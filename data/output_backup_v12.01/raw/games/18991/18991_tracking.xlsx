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nniepinnell/Documents/Documents - Ronnie’s MacBook Pro - 1/Programming_HD/Hockey/Beer League Beauties/beer-league-beauties/data/tracking/18991/"/>
    </mc:Choice>
  </mc:AlternateContent>
  <xr:revisionPtr revIDLastSave="0" documentId="13_ncr:1_{8D9AFBE9-EEB6-694F-8F87-C04000F5C108}" xr6:coauthVersionLast="47" xr6:coauthVersionMax="47" xr10:uidLastSave="{00000000-0000-0000-0000-000000000000}"/>
  <bookViews>
    <workbookView xWindow="4360" yWindow="1020" windowWidth="30200" windowHeight="20980" activeTab="4" xr2:uid="{EF01C613-D165-2D4B-B5E8-CA54AD994DA8}"/>
  </bookViews>
  <sheets>
    <sheet name="examples" sheetId="9" r:id="rId1"/>
    <sheet name="Sheet1" sheetId="10" r:id="rId2"/>
    <sheet name="Rules" sheetId="5" r:id="rId3"/>
    <sheet name="Lists" sheetId="4" r:id="rId4"/>
    <sheet name="events" sheetId="1" r:id="rId5"/>
    <sheet name="shifts" sheetId="8" r:id="rId6"/>
    <sheet name="game_rosters" sheetId="11" r:id="rId7"/>
  </sheets>
  <definedNames>
    <definedName name="_xlnm._FilterDatabase" localSheetId="4" hidden="1">events!$F$1:$BS$860</definedName>
    <definedName name="DEfensive">Lists!$BL:$BL</definedName>
    <definedName name="EventType">Lists!$A$2:$A$16</definedName>
    <definedName name="Faceoff">Lists!$G$2:$G$1048576</definedName>
    <definedName name="Goal">Lists!$J$2:$J$1048576</definedName>
    <definedName name="Goal_PenaltyShot">Lists!$BA$2:$BA$1048576</definedName>
    <definedName name="Goal_Scored">Lists!$AY$2:$AY$1048576</definedName>
    <definedName name="Goal_Shootout">Lists!$AZ$2:$AZ$1048576</definedName>
    <definedName name="LoosePuck">Lists!$P$2:$P$1048576</definedName>
    <definedName name="Offensive">Lists!$BK:$BK</definedName>
    <definedName name="Pass">Lists!$I$2:$I$1048576</definedName>
    <definedName name="Pass_Completed">Lists!$R$2:$R$1048576</definedName>
    <definedName name="Pass_Deflected">Lists!$T$2:$T$1048576</definedName>
    <definedName name="Pass_Intercepted">Lists!$U$2:$U$1048576</definedName>
    <definedName name="Pass_Missed">Lists!$S$2:$S$1048576</definedName>
    <definedName name="Penalty">Lists!$M$2:$M$1048576</definedName>
    <definedName name="Penalty_Major">Lists!$AA$2:$AA$1048576</definedName>
    <definedName name="Penalty_Minor">Lists!$AB$2:$AB$1048576</definedName>
    <definedName name="Penalty_Offsetting">Lists!$AC$2:$AC$1048576</definedName>
    <definedName name="PenaltyShot_Missed">Lists!$AK$2:$AK$1048576</definedName>
    <definedName name="PenaltyShot_OnNet">Lists!$AJ$2:$AJ$1048576</definedName>
    <definedName name="PenaltyShot_Saved">Lists!$AL$2:$AL$1048576</definedName>
    <definedName name="PenaltyShot_Shootout">Lists!$N$2:$N$1048576</definedName>
    <definedName name="Play">Lists!$F:$F</definedName>
    <definedName name="Play_Defensive">Lists!$BE:$BE</definedName>
    <definedName name="Play_Offensive">Lists!$BD:$BD</definedName>
    <definedName name="Possession">Lists!$BF:$BF</definedName>
    <definedName name="Rebound">Lists!$BC$2:$BC$1048576</definedName>
    <definedName name="Save">Lists!$Q$2:$Q$1048576</definedName>
    <definedName name="Save_Freeze">Lists!$AN$2:$AN$1048576</definedName>
    <definedName name="Save_Played">Lists!$BB:$BB</definedName>
    <definedName name="Save_Rebound">Lists!$AM$2:$AM$1048576</definedName>
    <definedName name="Shootout_Missed">Lists!$AH$2:$AH$1048576</definedName>
    <definedName name="Shootout_OnNet">Lists!$AG$2:$AG$1048576</definedName>
    <definedName name="Shootout_Saved">Lists!$AI$2:$AI$1048576</definedName>
    <definedName name="Shot">Lists!$H$2:$H$1048576</definedName>
    <definedName name="Shot_Blocked">Lists!$AQ$2:$AQ$1048576</definedName>
    <definedName name="Shot_BlockedSameTeam">Lists!$AR$2:$AR$1048576</definedName>
    <definedName name="Shot_Deflected">Lists!$AS$2:$AS$1048576</definedName>
    <definedName name="Shot_DeflectedGoal">Lists!$AX$2:$AX$1048576</definedName>
    <definedName name="Shot_DeflectedOnNetSaved">Lists!$AT$2:$AT$1048576</definedName>
    <definedName name="Shot_Missed">Lists!$AP$2:$AP$1048576</definedName>
    <definedName name="Shot_MissedPost">Lists!$BH:$BH</definedName>
    <definedName name="Shot_OnNetGoal">Lists!$AV$2:$AV$1048576</definedName>
    <definedName name="Shot_OnNetSaved">Lists!$AO$2:$AO$1048576</definedName>
    <definedName name="Shot_TippedGoal">Lists!$AW$2:$AW$1048576</definedName>
    <definedName name="Shot_TippedOnNetSaved">Lists!$AU$2:$AU$1048576</definedName>
    <definedName name="Stoppage">Lists!$O$2:$O$1048576</definedName>
    <definedName name="Stoppage_Other">Lists!$AF$2:$AF$1048576</definedName>
    <definedName name="Stoppage_Period">Lists!$AE$2:$AE$1048576</definedName>
    <definedName name="Stoppage_Play">Lists!$AD$2:$AD$1048576</definedName>
    <definedName name="Turnover">Lists!$K$2:$K$1048576</definedName>
    <definedName name="Turnover_Giveaway">Lists!$V$2:$V$1048576</definedName>
    <definedName name="Turnover_Takeaway">Lists!$W$2:$W$1048576</definedName>
    <definedName name="Zone_Entry">Lists!$X$2:$X$1048576</definedName>
    <definedName name="Zone_Entry_Exit">Lists!$L$2:$L$1048576</definedName>
    <definedName name="Zone_EntryFailed">Lists!$BM:$BM</definedName>
    <definedName name="Zone_Exit">Lists!$Y$2:$Y$1048576</definedName>
    <definedName name="Zone_ExitFailed">Lists!$BN:$BN</definedName>
    <definedName name="Zone_Keepin">Lists!$Z$2:$Z$1048576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" l="1" a="1"/>
  <c r="X3" i="1" s="1"/>
  <c r="X4" i="1" a="1"/>
  <c r="X4" i="1" s="1"/>
  <c r="X5" i="1" a="1"/>
  <c r="X5" i="1"/>
  <c r="X6" i="1" a="1"/>
  <c r="X6" i="1" s="1"/>
  <c r="X7" i="1" a="1"/>
  <c r="X7" i="1" s="1"/>
  <c r="X8" i="1" a="1"/>
  <c r="X8" i="1"/>
  <c r="X9" i="1" a="1"/>
  <c r="X9" i="1"/>
  <c r="X10" i="1" a="1"/>
  <c r="X10" i="1"/>
  <c r="X11" i="1" a="1"/>
  <c r="X11" i="1" s="1"/>
  <c r="X12" i="1" a="1"/>
  <c r="X12" i="1" s="1"/>
  <c r="X13" i="1" a="1"/>
  <c r="X13" i="1"/>
  <c r="X14" i="1" a="1"/>
  <c r="X14" i="1" s="1"/>
  <c r="X15" i="1" a="1"/>
  <c r="X15" i="1" s="1"/>
  <c r="X16" i="1" a="1"/>
  <c r="X16" i="1"/>
  <c r="X17" i="1" a="1"/>
  <c r="X17" i="1"/>
  <c r="X18" i="1" a="1"/>
  <c r="X18" i="1"/>
  <c r="X19" i="1" a="1"/>
  <c r="X19" i="1" s="1"/>
  <c r="X20" i="1" a="1"/>
  <c r="X20" i="1" s="1"/>
  <c r="X21" i="1" a="1"/>
  <c r="X21" i="1"/>
  <c r="X22" i="1" a="1"/>
  <c r="X22" i="1" s="1"/>
  <c r="X23" i="1" a="1"/>
  <c r="X23" i="1" s="1"/>
  <c r="X739" i="1" a="1"/>
  <c r="X739" i="1" s="1"/>
  <c r="X740" i="1" a="1"/>
  <c r="X740" i="1" s="1"/>
  <c r="X741" i="1" a="1"/>
  <c r="X741" i="1"/>
  <c r="X742" i="1" a="1"/>
  <c r="X742" i="1"/>
  <c r="X743" i="1" a="1"/>
  <c r="X743" i="1"/>
  <c r="X744" i="1" a="1"/>
  <c r="X744" i="1"/>
  <c r="X745" i="1" a="1"/>
  <c r="X745" i="1" s="1"/>
  <c r="X746" i="1" a="1"/>
  <c r="X746" i="1" s="1"/>
  <c r="X747" i="1" a="1"/>
  <c r="X747" i="1" s="1"/>
  <c r="X748" i="1" a="1"/>
  <c r="X748" i="1" s="1"/>
  <c r="X749" i="1" a="1"/>
  <c r="X749" i="1" s="1"/>
  <c r="X750" i="1" a="1"/>
  <c r="X750" i="1" s="1"/>
  <c r="X751" i="1" a="1"/>
  <c r="X751" i="1"/>
  <c r="X752" i="1" a="1"/>
  <c r="X752" i="1"/>
  <c r="X753" i="1" a="1"/>
  <c r="X753" i="1"/>
  <c r="X754" i="1" a="1"/>
  <c r="X754" i="1" s="1"/>
  <c r="X755" i="1" a="1"/>
  <c r="X755" i="1" s="1"/>
  <c r="X756" i="1" a="1"/>
  <c r="X756" i="1" s="1"/>
  <c r="X757" i="1" a="1"/>
  <c r="X757" i="1" s="1"/>
  <c r="X758" i="1" a="1"/>
  <c r="X758" i="1" s="1"/>
  <c r="X759" i="1" a="1"/>
  <c r="X759" i="1" s="1"/>
  <c r="X760" i="1" a="1"/>
  <c r="X760" i="1"/>
  <c r="X761" i="1" a="1"/>
  <c r="X761" i="1"/>
  <c r="X762" i="1" a="1"/>
  <c r="X762" i="1"/>
  <c r="X763" i="1" a="1"/>
  <c r="X763" i="1" s="1"/>
  <c r="X764" i="1" a="1"/>
  <c r="X764" i="1" s="1"/>
  <c r="X765" i="1" a="1"/>
  <c r="X765" i="1" s="1"/>
  <c r="X766" i="1" a="1"/>
  <c r="X766" i="1" s="1"/>
  <c r="X767" i="1" a="1"/>
  <c r="X767" i="1" s="1"/>
  <c r="X768" i="1" a="1"/>
  <c r="X768" i="1" s="1"/>
  <c r="X769" i="1" a="1"/>
  <c r="X769" i="1"/>
  <c r="X770" i="1" a="1"/>
  <c r="X770" i="1"/>
  <c r="X771" i="1" a="1"/>
  <c r="X771" i="1" s="1"/>
  <c r="X772" i="1" a="1"/>
  <c r="X772" i="1" s="1"/>
  <c r="X773" i="1" a="1"/>
  <c r="X773" i="1" s="1"/>
  <c r="X774" i="1" a="1"/>
  <c r="X774" i="1" s="1"/>
  <c r="X775" i="1" a="1"/>
  <c r="X775" i="1" s="1"/>
  <c r="X776" i="1" a="1"/>
  <c r="X776" i="1" s="1"/>
  <c r="X777" i="1" a="1"/>
  <c r="X777" i="1" s="1"/>
  <c r="X778" i="1" a="1"/>
  <c r="X778" i="1"/>
  <c r="X779" i="1" a="1"/>
  <c r="X779" i="1" s="1"/>
  <c r="X780" i="1" a="1"/>
  <c r="X780" i="1" s="1"/>
  <c r="X781" i="1" a="1"/>
  <c r="X781" i="1"/>
  <c r="X782" i="1" a="1"/>
  <c r="X782" i="1" s="1"/>
  <c r="X783" i="1" a="1"/>
  <c r="X783" i="1"/>
  <c r="X784" i="1" a="1"/>
  <c r="X784" i="1" s="1"/>
  <c r="X785" i="1" a="1"/>
  <c r="X785" i="1" s="1"/>
  <c r="X786" i="1" a="1"/>
  <c r="X786" i="1" s="1"/>
  <c r="X787" i="1" a="1"/>
  <c r="X787" i="1" s="1"/>
  <c r="X788" i="1" a="1"/>
  <c r="X788" i="1" s="1"/>
  <c r="X789" i="1" a="1"/>
  <c r="X789" i="1"/>
  <c r="X790" i="1" a="1"/>
  <c r="X790" i="1"/>
  <c r="X791" i="1" a="1"/>
  <c r="X791" i="1" s="1"/>
  <c r="X792" i="1" a="1"/>
  <c r="X792" i="1"/>
  <c r="X793" i="1" a="1"/>
  <c r="X793" i="1" s="1"/>
  <c r="X794" i="1" a="1"/>
  <c r="X794" i="1" s="1"/>
  <c r="X795" i="1" a="1"/>
  <c r="X795" i="1" s="1"/>
  <c r="X796" i="1" a="1"/>
  <c r="X796" i="1" s="1"/>
  <c r="X797" i="1" a="1"/>
  <c r="X797" i="1"/>
  <c r="X798" i="1" a="1"/>
  <c r="X798" i="1" s="1"/>
  <c r="X799" i="1" a="1"/>
  <c r="X799" i="1"/>
  <c r="X800" i="1" a="1"/>
  <c r="X800" i="1" s="1"/>
  <c r="X801" i="1" a="1"/>
  <c r="X801" i="1" s="1"/>
  <c r="X802" i="1" a="1"/>
  <c r="X802" i="1" s="1"/>
  <c r="X803" i="1" a="1"/>
  <c r="X803" i="1" s="1"/>
  <c r="X804" i="1" a="1"/>
  <c r="X804" i="1" s="1"/>
  <c r="X805" i="1" a="1"/>
  <c r="X805" i="1" s="1"/>
  <c r="X806" i="1" a="1"/>
  <c r="X806" i="1"/>
  <c r="X807" i="1" a="1"/>
  <c r="X807" i="1" s="1"/>
  <c r="X808" i="1" a="1"/>
  <c r="X808" i="1"/>
  <c r="X809" i="1" a="1"/>
  <c r="X809" i="1" s="1"/>
  <c r="X810" i="1" a="1"/>
  <c r="X810" i="1" s="1"/>
  <c r="X811" i="1" a="1"/>
  <c r="X811" i="1" s="1"/>
  <c r="X812" i="1" a="1"/>
  <c r="X812" i="1" s="1"/>
  <c r="X813" i="1" a="1"/>
  <c r="X813" i="1" s="1"/>
  <c r="X814" i="1" a="1"/>
  <c r="X814" i="1" s="1"/>
  <c r="X815" i="1" a="1"/>
  <c r="X815" i="1"/>
  <c r="X816" i="1" a="1"/>
  <c r="X816" i="1" s="1"/>
  <c r="X817" i="1" a="1"/>
  <c r="X817" i="1"/>
  <c r="X818" i="1" a="1"/>
  <c r="X818" i="1" s="1"/>
  <c r="X819" i="1" a="1"/>
  <c r="X819" i="1" s="1"/>
  <c r="X820" i="1" a="1"/>
  <c r="X820" i="1" s="1"/>
  <c r="X821" i="1" a="1"/>
  <c r="X821" i="1" s="1"/>
  <c r="X822" i="1" a="1"/>
  <c r="X822" i="1" s="1"/>
  <c r="X823" i="1" a="1"/>
  <c r="X823" i="1" s="1"/>
  <c r="X824" i="1" a="1"/>
  <c r="X824" i="1"/>
  <c r="X825" i="1" a="1"/>
  <c r="X825" i="1" s="1"/>
  <c r="X826" i="1" a="1"/>
  <c r="X826" i="1"/>
  <c r="X827" i="1" a="1"/>
  <c r="X827" i="1" s="1"/>
  <c r="X828" i="1" a="1"/>
  <c r="X828" i="1" s="1"/>
  <c r="X829" i="1" a="1"/>
  <c r="X829" i="1"/>
  <c r="X830" i="1" a="1"/>
  <c r="X830" i="1" s="1"/>
  <c r="X831" i="1" a="1"/>
  <c r="X831" i="1" s="1"/>
  <c r="X832" i="1" a="1"/>
  <c r="X832" i="1" s="1"/>
  <c r="X833" i="1" a="1"/>
  <c r="X833" i="1"/>
  <c r="X834" i="1" a="1"/>
  <c r="X834" i="1" s="1"/>
  <c r="X835" i="1" a="1"/>
  <c r="X835" i="1" s="1"/>
  <c r="X836" i="1" a="1"/>
  <c r="X836" i="1" s="1"/>
  <c r="X837" i="1" a="1"/>
  <c r="X837" i="1" s="1"/>
  <c r="X838" i="1" a="1"/>
  <c r="X838" i="1" s="1"/>
  <c r="X839" i="1" a="1"/>
  <c r="X839" i="1" s="1"/>
  <c r="X840" i="1" a="1"/>
  <c r="X840" i="1" s="1"/>
  <c r="X841" i="1" a="1"/>
  <c r="X841" i="1" s="1"/>
  <c r="X842" i="1" a="1"/>
  <c r="X842" i="1"/>
  <c r="X843" i="1" a="1"/>
  <c r="X843" i="1" s="1"/>
  <c r="X844" i="1" a="1"/>
  <c r="X844" i="1" s="1"/>
  <c r="X845" i="1" a="1"/>
  <c r="X845" i="1" s="1"/>
  <c r="X846" i="1" a="1"/>
  <c r="X846" i="1"/>
  <c r="X847" i="1" a="1"/>
  <c r="X847" i="1" s="1"/>
  <c r="X848" i="1" a="1"/>
  <c r="X848" i="1" s="1"/>
  <c r="X849" i="1" a="1"/>
  <c r="X849" i="1" s="1"/>
  <c r="X850" i="1" a="1"/>
  <c r="X850" i="1" s="1"/>
  <c r="X851" i="1" a="1"/>
  <c r="X851" i="1" s="1"/>
  <c r="X852" i="1" a="1"/>
  <c r="X852" i="1" s="1"/>
  <c r="X853" i="1" a="1"/>
  <c r="X853" i="1" s="1"/>
  <c r="X854" i="1" a="1"/>
  <c r="X854" i="1" s="1"/>
  <c r="X855" i="1" a="1"/>
  <c r="X855" i="1" s="1"/>
  <c r="X856" i="1" a="1"/>
  <c r="X856" i="1" s="1"/>
  <c r="X857" i="1" a="1"/>
  <c r="X857" i="1" s="1"/>
  <c r="X858" i="1" a="1"/>
  <c r="X858" i="1" s="1"/>
  <c r="X859" i="1" a="1"/>
  <c r="X859" i="1" s="1"/>
  <c r="X860" i="1" a="1"/>
  <c r="X860" i="1" s="1"/>
  <c r="X861" i="1" a="1"/>
  <c r="X861" i="1"/>
  <c r="X862" i="1" a="1"/>
  <c r="X862" i="1" s="1"/>
  <c r="X863" i="1" a="1"/>
  <c r="X863" i="1" s="1"/>
  <c r="X864" i="1" a="1"/>
  <c r="X864" i="1" s="1"/>
  <c r="X865" i="1" a="1"/>
  <c r="X865" i="1" s="1"/>
  <c r="X866" i="1" a="1"/>
  <c r="X866" i="1" s="1"/>
  <c r="X867" i="1" a="1"/>
  <c r="X867" i="1" s="1"/>
  <c r="X868" i="1" a="1"/>
  <c r="X868" i="1" s="1"/>
  <c r="X869" i="1" a="1"/>
  <c r="X869" i="1" s="1"/>
  <c r="X870" i="1" a="1"/>
  <c r="X870" i="1"/>
  <c r="X871" i="1" a="1"/>
  <c r="X871" i="1" s="1"/>
  <c r="X872" i="1" a="1"/>
  <c r="X872" i="1" s="1"/>
  <c r="X873" i="1" a="1"/>
  <c r="X873" i="1" s="1"/>
  <c r="X874" i="1" a="1"/>
  <c r="X874" i="1" s="1"/>
  <c r="X875" i="1" a="1"/>
  <c r="X875" i="1" s="1"/>
  <c r="X876" i="1" a="1"/>
  <c r="X876" i="1" s="1"/>
  <c r="X877" i="1" a="1"/>
  <c r="X877" i="1" s="1"/>
  <c r="X878" i="1" a="1"/>
  <c r="X878" i="1" s="1"/>
  <c r="X879" i="1" a="1"/>
  <c r="X879" i="1"/>
  <c r="X880" i="1" a="1"/>
  <c r="X880" i="1"/>
  <c r="X881" i="1" a="1"/>
  <c r="X881" i="1" s="1"/>
  <c r="X882" i="1" a="1"/>
  <c r="X882" i="1" s="1"/>
  <c r="X883" i="1" a="1"/>
  <c r="X883" i="1" s="1"/>
  <c r="X884" i="1" a="1"/>
  <c r="X884" i="1" s="1"/>
  <c r="X885" i="1" a="1"/>
  <c r="X885" i="1" s="1"/>
  <c r="X886" i="1" a="1"/>
  <c r="X886" i="1" s="1"/>
  <c r="X887" i="1" a="1"/>
  <c r="X887" i="1" s="1"/>
  <c r="X888" i="1" a="1"/>
  <c r="X888" i="1"/>
  <c r="X889" i="1" a="1"/>
  <c r="X889" i="1"/>
  <c r="X890" i="1" a="1"/>
  <c r="X890" i="1" s="1"/>
  <c r="X891" i="1" a="1"/>
  <c r="X891" i="1" s="1"/>
  <c r="X892" i="1" a="1"/>
  <c r="X892" i="1" s="1"/>
  <c r="X893" i="1" a="1"/>
  <c r="X893" i="1"/>
  <c r="X894" i="1" a="1"/>
  <c r="X894" i="1" s="1"/>
  <c r="X895" i="1" a="1"/>
  <c r="X895" i="1" s="1"/>
  <c r="X896" i="1" a="1"/>
  <c r="X896" i="1" s="1"/>
  <c r="X897" i="1" a="1"/>
  <c r="X897" i="1"/>
  <c r="X898" i="1" a="1"/>
  <c r="X898" i="1" s="1"/>
  <c r="X899" i="1" a="1"/>
  <c r="X899" i="1" s="1"/>
  <c r="X900" i="1" a="1"/>
  <c r="X900" i="1" s="1"/>
  <c r="X901" i="1" a="1"/>
  <c r="X901" i="1"/>
  <c r="X902" i="1" a="1"/>
  <c r="X902" i="1"/>
  <c r="X903" i="1" a="1"/>
  <c r="X903" i="1" s="1"/>
  <c r="X904" i="1" a="1"/>
  <c r="X904" i="1" s="1"/>
  <c r="X905" i="1" a="1"/>
  <c r="X905" i="1" s="1"/>
  <c r="X906" i="1" a="1"/>
  <c r="X906" i="1"/>
  <c r="X907" i="1" a="1"/>
  <c r="X907" i="1" s="1"/>
  <c r="X908" i="1" a="1"/>
  <c r="X908" i="1" s="1"/>
  <c r="X909" i="1" a="1"/>
  <c r="X909" i="1"/>
  <c r="X910" i="1" a="1"/>
  <c r="X910" i="1"/>
  <c r="X911" i="1" a="1"/>
  <c r="X911" i="1" s="1"/>
  <c r="X912" i="1" a="1"/>
  <c r="X912" i="1" s="1"/>
  <c r="X913" i="1" a="1"/>
  <c r="X913" i="1" s="1"/>
  <c r="X914" i="1" a="1"/>
  <c r="X914" i="1" s="1"/>
  <c r="X915" i="1" a="1"/>
  <c r="X915" i="1" s="1"/>
  <c r="X916" i="1" a="1"/>
  <c r="X916" i="1" s="1"/>
  <c r="X917" i="1" a="1"/>
  <c r="X917" i="1" s="1"/>
  <c r="X918" i="1" a="1"/>
  <c r="X918" i="1" s="1"/>
  <c r="X919" i="1" a="1"/>
  <c r="X919" i="1" s="1"/>
  <c r="X920" i="1" a="1"/>
  <c r="X920" i="1" s="1"/>
  <c r="X921" i="1" a="1"/>
  <c r="X921" i="1" s="1"/>
  <c r="X922" i="1" a="1"/>
  <c r="X922" i="1" s="1"/>
  <c r="X923" i="1" a="1"/>
  <c r="X923" i="1" s="1"/>
  <c r="X924" i="1" a="1"/>
  <c r="X924" i="1" s="1"/>
  <c r="X925" i="1" a="1"/>
  <c r="X925" i="1"/>
  <c r="X926" i="1" a="1"/>
  <c r="X926" i="1" s="1"/>
  <c r="X927" i="1" a="1"/>
  <c r="X927" i="1" s="1"/>
  <c r="X928" i="1" a="1"/>
  <c r="X928" i="1" s="1"/>
  <c r="X929" i="1" a="1"/>
  <c r="X929" i="1" s="1"/>
  <c r="X930" i="1" a="1"/>
  <c r="X930" i="1" s="1"/>
  <c r="X931" i="1" a="1"/>
  <c r="X931" i="1" s="1"/>
  <c r="X932" i="1" a="1"/>
  <c r="X932" i="1" s="1"/>
  <c r="X933" i="1" a="1"/>
  <c r="X933" i="1" s="1"/>
  <c r="X934" i="1" a="1"/>
  <c r="X934" i="1"/>
  <c r="X935" i="1" a="1"/>
  <c r="X935" i="1" s="1"/>
  <c r="X936" i="1" a="1"/>
  <c r="X936" i="1" s="1"/>
  <c r="X937" i="1" a="1"/>
  <c r="X937" i="1" s="1"/>
  <c r="X938" i="1" a="1"/>
  <c r="X938" i="1" s="1"/>
  <c r="X939" i="1" a="1"/>
  <c r="X939" i="1" s="1"/>
  <c r="X940" i="1" a="1"/>
  <c r="X940" i="1" s="1"/>
  <c r="X941" i="1" a="1"/>
  <c r="X941" i="1" s="1"/>
  <c r="X942" i="1" a="1"/>
  <c r="X942" i="1" s="1"/>
  <c r="X943" i="1" a="1"/>
  <c r="X943" i="1" s="1"/>
  <c r="X944" i="1" a="1"/>
  <c r="X944" i="1"/>
  <c r="X945" i="1" a="1"/>
  <c r="X945" i="1" s="1"/>
  <c r="X946" i="1" a="1"/>
  <c r="X946" i="1" s="1"/>
  <c r="X947" i="1" a="1"/>
  <c r="X947" i="1" s="1"/>
  <c r="X948" i="1" a="1"/>
  <c r="X948" i="1" s="1"/>
  <c r="X949" i="1" a="1"/>
  <c r="X949" i="1" s="1"/>
  <c r="X950" i="1" a="1"/>
  <c r="X950" i="1" s="1"/>
  <c r="X951" i="1" a="1"/>
  <c r="X951" i="1" s="1"/>
  <c r="X952" i="1" a="1"/>
  <c r="X952" i="1"/>
  <c r="X953" i="1" a="1"/>
  <c r="X953" i="1"/>
  <c r="X954" i="1" a="1"/>
  <c r="X954" i="1" s="1"/>
  <c r="X955" i="1" a="1"/>
  <c r="X955" i="1" s="1"/>
  <c r="X956" i="1" a="1"/>
  <c r="X956" i="1" s="1"/>
  <c r="X957" i="1" a="1"/>
  <c r="X957" i="1"/>
  <c r="X958" i="1" a="1"/>
  <c r="X958" i="1" s="1"/>
  <c r="X959" i="1" a="1"/>
  <c r="X959" i="1" s="1"/>
  <c r="X960" i="1" a="1"/>
  <c r="X960" i="1" s="1"/>
  <c r="X961" i="1" a="1"/>
  <c r="X961" i="1" s="1"/>
  <c r="X962" i="1" a="1"/>
  <c r="X962" i="1" s="1"/>
  <c r="X963" i="1" a="1"/>
  <c r="X963" i="1" s="1"/>
  <c r="X964" i="1" a="1"/>
  <c r="X964" i="1" s="1"/>
  <c r="X965" i="1" a="1"/>
  <c r="X965" i="1" s="1"/>
  <c r="X966" i="1" a="1"/>
  <c r="X966" i="1"/>
  <c r="X967" i="1" a="1"/>
  <c r="X967" i="1" s="1"/>
  <c r="X968" i="1" a="1"/>
  <c r="X968" i="1" s="1"/>
  <c r="X969" i="1" a="1"/>
  <c r="X969" i="1" s="1"/>
  <c r="X970" i="1" a="1"/>
  <c r="X970" i="1"/>
  <c r="X971" i="1" a="1"/>
  <c r="X971" i="1" s="1"/>
  <c r="X972" i="1" a="1"/>
  <c r="X972" i="1" s="1"/>
  <c r="X973" i="1" a="1"/>
  <c r="X973" i="1"/>
  <c r="X974" i="1" a="1"/>
  <c r="X974" i="1"/>
  <c r="X975" i="1" a="1"/>
  <c r="X975" i="1"/>
  <c r="X976" i="1" a="1"/>
  <c r="X976" i="1" s="1"/>
  <c r="X977" i="1" a="1"/>
  <c r="X977" i="1" s="1"/>
  <c r="X978" i="1" a="1"/>
  <c r="X978" i="1" s="1"/>
  <c r="X979" i="1" a="1"/>
  <c r="X979" i="1" s="1"/>
  <c r="X980" i="1" a="1"/>
  <c r="X980" i="1" s="1"/>
  <c r="X981" i="1" a="1"/>
  <c r="X981" i="1" s="1"/>
  <c r="X982" i="1" a="1"/>
  <c r="X982" i="1" s="1"/>
  <c r="X983" i="1" a="1"/>
  <c r="X983" i="1" s="1"/>
  <c r="X984" i="1" a="1"/>
  <c r="X984" i="1" s="1"/>
  <c r="X985" i="1" a="1"/>
  <c r="X985" i="1" s="1"/>
  <c r="X986" i="1" a="1"/>
  <c r="X986" i="1" s="1"/>
  <c r="X987" i="1" a="1"/>
  <c r="X987" i="1" s="1"/>
  <c r="X988" i="1" a="1"/>
  <c r="X988" i="1" s="1"/>
  <c r="X989" i="1" a="1"/>
  <c r="X989" i="1"/>
  <c r="X990" i="1" a="1"/>
  <c r="X990" i="1" s="1"/>
  <c r="X991" i="1" a="1"/>
  <c r="X991" i="1" s="1"/>
  <c r="X992" i="1" a="1"/>
  <c r="X992" i="1" s="1"/>
  <c r="X993" i="1" a="1"/>
  <c r="X993" i="1" s="1"/>
  <c r="X994" i="1" a="1"/>
  <c r="X994" i="1" s="1"/>
  <c r="X995" i="1" a="1"/>
  <c r="X995" i="1" s="1"/>
  <c r="X996" i="1" a="1"/>
  <c r="X996" i="1" s="1"/>
  <c r="X997" i="1" a="1"/>
  <c r="X997" i="1" s="1"/>
  <c r="X998" i="1" a="1"/>
  <c r="X998" i="1" s="1"/>
  <c r="X999" i="1" a="1"/>
  <c r="X999" i="1"/>
  <c r="X1000" i="1" a="1"/>
  <c r="X1000" i="1" s="1"/>
  <c r="X1001" i="1" a="1"/>
  <c r="X1001" i="1" s="1"/>
  <c r="X1002" i="1" a="1"/>
  <c r="X1002" i="1" s="1"/>
  <c r="X1003" i="1" a="1"/>
  <c r="X1003" i="1" s="1"/>
  <c r="X1004" i="1" a="1"/>
  <c r="X1004" i="1" s="1"/>
  <c r="X1005" i="1" a="1"/>
  <c r="X1005" i="1" s="1"/>
  <c r="X1006" i="1" a="1"/>
  <c r="X1006" i="1" s="1"/>
  <c r="X1007" i="1" a="1"/>
  <c r="X1007" i="1" s="1"/>
  <c r="X1008" i="1" a="1"/>
  <c r="X1008" i="1" s="1"/>
  <c r="X1009" i="1" a="1"/>
  <c r="X1009" i="1"/>
  <c r="X1010" i="1" a="1"/>
  <c r="X1010" i="1" s="1"/>
  <c r="X1011" i="1" a="1"/>
  <c r="X1011" i="1" s="1"/>
  <c r="X1012" i="1" a="1"/>
  <c r="X1012" i="1" s="1"/>
  <c r="X1013" i="1" a="1"/>
  <c r="X1013" i="1" s="1"/>
  <c r="X1014" i="1" a="1"/>
  <c r="X1014" i="1" s="1"/>
  <c r="X1015" i="1" a="1"/>
  <c r="X1015" i="1" s="1"/>
  <c r="X1016" i="1" a="1"/>
  <c r="X1016" i="1" s="1"/>
  <c r="X1017" i="1" a="1"/>
  <c r="X1017" i="1" s="1"/>
  <c r="X1018" i="1" a="1"/>
  <c r="X1018" i="1" s="1"/>
  <c r="X1019" i="1" a="1"/>
  <c r="X1019" i="1" s="1"/>
  <c r="X1020" i="1" a="1"/>
  <c r="X1020" i="1" s="1"/>
  <c r="X1021" i="1" a="1"/>
  <c r="X1021" i="1" s="1"/>
  <c r="X1022" i="1" a="1"/>
  <c r="X1022" i="1" s="1"/>
  <c r="X1023" i="1" a="1"/>
  <c r="X1023" i="1" s="1"/>
  <c r="X1024" i="1" a="1"/>
  <c r="X1024" i="1" s="1"/>
  <c r="X1025" i="1" a="1"/>
  <c r="X1025" i="1" s="1"/>
  <c r="X1026" i="1" a="1"/>
  <c r="X1026" i="1" s="1"/>
  <c r="X1027" i="1" a="1"/>
  <c r="X1027" i="1" s="1"/>
  <c r="X1028" i="1" a="1"/>
  <c r="X1028" i="1" s="1"/>
  <c r="X1029" i="1" a="1"/>
  <c r="X1029" i="1" s="1"/>
  <c r="X1030" i="1" a="1"/>
  <c r="X1030" i="1"/>
  <c r="X1031" i="1" a="1"/>
  <c r="X1031" i="1" s="1"/>
  <c r="X1032" i="1" a="1"/>
  <c r="X1032" i="1" s="1"/>
  <c r="X1033" i="1" a="1"/>
  <c r="X1033" i="1" s="1"/>
  <c r="X1034" i="1" a="1"/>
  <c r="X1034" i="1" s="1"/>
  <c r="X1035" i="1" a="1"/>
  <c r="X1035" i="1" s="1"/>
  <c r="X1036" i="1" a="1"/>
  <c r="X1036" i="1" s="1"/>
  <c r="X1037" i="1" a="1"/>
  <c r="X1037" i="1" s="1"/>
  <c r="X1038" i="1" a="1"/>
  <c r="X1038" i="1" s="1"/>
  <c r="X1039" i="1" a="1"/>
  <c r="X1039" i="1" s="1"/>
  <c r="X1040" i="1" a="1"/>
  <c r="X1040" i="1"/>
  <c r="X1041" i="1" a="1"/>
  <c r="X1041" i="1" s="1"/>
  <c r="X1042" i="1" a="1"/>
  <c r="X1042" i="1" s="1"/>
  <c r="X1043" i="1" a="1"/>
  <c r="X1043" i="1" s="1"/>
  <c r="X1044" i="1" a="1"/>
  <c r="X1044" i="1" s="1"/>
  <c r="X1045" i="1" a="1"/>
  <c r="X1045" i="1" s="1"/>
  <c r="X1046" i="1" a="1"/>
  <c r="X1046" i="1" s="1"/>
  <c r="X1047" i="1" a="1"/>
  <c r="X1047" i="1" s="1"/>
  <c r="X1048" i="1" a="1"/>
  <c r="X1048" i="1" s="1"/>
  <c r="X1049" i="1" a="1"/>
  <c r="X1049" i="1" s="1"/>
  <c r="X1050" i="1" a="1"/>
  <c r="X1050" i="1" s="1"/>
  <c r="X1051" i="1" a="1"/>
  <c r="X1051" i="1" s="1"/>
  <c r="X1052" i="1" a="1"/>
  <c r="X1052" i="1" s="1"/>
  <c r="X1053" i="1" a="1"/>
  <c r="X1053" i="1"/>
  <c r="X1054" i="1" a="1"/>
  <c r="X1054" i="1"/>
  <c r="X1055" i="1" a="1"/>
  <c r="X1055" i="1" s="1"/>
  <c r="X1056" i="1" a="1"/>
  <c r="X1056" i="1"/>
  <c r="X1057" i="1" a="1"/>
  <c r="X1057" i="1"/>
  <c r="X1058" i="1" a="1"/>
  <c r="X1058" i="1"/>
  <c r="X1059" i="1" a="1"/>
  <c r="X1059" i="1" s="1"/>
  <c r="X1060" i="1" a="1"/>
  <c r="X1060" i="1" s="1"/>
  <c r="X1061" i="1" a="1"/>
  <c r="X1061" i="1" s="1"/>
  <c r="X1062" i="1" a="1"/>
  <c r="X1062" i="1" s="1"/>
  <c r="X1063" i="1" a="1"/>
  <c r="X1063" i="1" s="1"/>
  <c r="X1064" i="1" a="1"/>
  <c r="X1064" i="1" s="1"/>
  <c r="X1065" i="1" a="1"/>
  <c r="X1065" i="1" s="1"/>
  <c r="X1066" i="1" a="1"/>
  <c r="X1066" i="1" s="1"/>
  <c r="X1067" i="1" a="1"/>
  <c r="X1067" i="1" s="1"/>
  <c r="X1068" i="1" a="1"/>
  <c r="X1068" i="1" s="1"/>
  <c r="X1069" i="1" a="1"/>
  <c r="X1069" i="1" s="1"/>
  <c r="X1070" i="1" a="1"/>
  <c r="X1070" i="1" s="1"/>
  <c r="X1071" i="1" a="1"/>
  <c r="X1071" i="1"/>
  <c r="X1072" i="1" a="1"/>
  <c r="X1072" i="1" s="1"/>
  <c r="X1073" i="1" a="1"/>
  <c r="X1073" i="1" s="1"/>
  <c r="X1074" i="1" a="1"/>
  <c r="X1074" i="1" s="1"/>
  <c r="X1075" i="1" a="1"/>
  <c r="X1075" i="1" s="1"/>
  <c r="X1076" i="1" a="1"/>
  <c r="X1076" i="1" s="1"/>
  <c r="X1077" i="1" a="1"/>
  <c r="X1077" i="1" s="1"/>
  <c r="X1078" i="1" a="1"/>
  <c r="X1078" i="1" s="1"/>
  <c r="X1079" i="1" a="1"/>
  <c r="X1079" i="1" s="1"/>
  <c r="X1080" i="1" a="1"/>
  <c r="X1080" i="1" s="1"/>
  <c r="X1081" i="1" a="1"/>
  <c r="X1081" i="1"/>
  <c r="X1082" i="1" a="1"/>
  <c r="X1082" i="1" s="1"/>
  <c r="X1083" i="1" a="1"/>
  <c r="X1083" i="1" s="1"/>
  <c r="X1084" i="1" a="1"/>
  <c r="X1084" i="1" s="1"/>
  <c r="X1085" i="1" a="1"/>
  <c r="X1085" i="1" s="1"/>
  <c r="X1086" i="1" a="1"/>
  <c r="X1086" i="1" s="1"/>
  <c r="X1087" i="1" a="1"/>
  <c r="X1087" i="1" s="1"/>
  <c r="X1088" i="1" a="1"/>
  <c r="X1088" i="1" s="1"/>
  <c r="X1089" i="1" a="1"/>
  <c r="X1089" i="1" s="1"/>
  <c r="X1090" i="1" a="1"/>
  <c r="X1090" i="1" s="1"/>
  <c r="X1091" i="1" a="1"/>
  <c r="X1091" i="1" s="1"/>
  <c r="X1092" i="1" a="1"/>
  <c r="X1092" i="1" s="1"/>
  <c r="X1093" i="1" a="1"/>
  <c r="X1093" i="1" s="1"/>
  <c r="X1094" i="1" a="1"/>
  <c r="X1094" i="1" s="1"/>
  <c r="X1095" i="1" a="1"/>
  <c r="X1095" i="1" s="1"/>
  <c r="X1096" i="1" a="1"/>
  <c r="X1096" i="1" s="1"/>
  <c r="X1097" i="1" a="1"/>
  <c r="X1097" i="1" s="1"/>
  <c r="X1098" i="1" a="1"/>
  <c r="X1098" i="1" s="1"/>
  <c r="X1099" i="1" a="1"/>
  <c r="X1099" i="1" s="1"/>
  <c r="X1100" i="1" a="1"/>
  <c r="X1100" i="1" s="1"/>
  <c r="X1101" i="1" a="1"/>
  <c r="X1101" i="1" s="1"/>
  <c r="X1102" i="1" a="1"/>
  <c r="X1102" i="1"/>
  <c r="X1103" i="1" a="1"/>
  <c r="X1103" i="1" s="1"/>
  <c r="X1104" i="1" a="1"/>
  <c r="X1104" i="1" s="1"/>
  <c r="X1105" i="1" a="1"/>
  <c r="X1105" i="1" s="1"/>
  <c r="X1106" i="1" a="1"/>
  <c r="X1106" i="1" s="1"/>
  <c r="X1107" i="1" a="1"/>
  <c r="X1107" i="1" s="1"/>
  <c r="X1108" i="1" a="1"/>
  <c r="X1108" i="1" s="1"/>
  <c r="X1109" i="1" a="1"/>
  <c r="X1109" i="1" s="1"/>
  <c r="X1110" i="1" a="1"/>
  <c r="X1110" i="1" s="1"/>
  <c r="X1111" i="1" a="1"/>
  <c r="X1111" i="1" s="1"/>
  <c r="X1112" i="1" a="1"/>
  <c r="X1112" i="1"/>
  <c r="X1113" i="1" a="1"/>
  <c r="X1113" i="1" s="1"/>
  <c r="X1114" i="1" a="1"/>
  <c r="X1114" i="1" s="1"/>
  <c r="X1115" i="1" a="1"/>
  <c r="X1115" i="1" s="1"/>
  <c r="X1116" i="1" a="1"/>
  <c r="X1116" i="1" s="1"/>
  <c r="X1117" i="1" a="1"/>
  <c r="X1117" i="1" s="1"/>
  <c r="X1118" i="1" a="1"/>
  <c r="X1118" i="1"/>
  <c r="X1119" i="1" a="1"/>
  <c r="X1119" i="1"/>
  <c r="X1120" i="1" a="1"/>
  <c r="X1120" i="1"/>
  <c r="X1121" i="1" a="1"/>
  <c r="X1121" i="1"/>
  <c r="X1122" i="1" a="1"/>
  <c r="X1122" i="1" s="1"/>
  <c r="X1123" i="1" a="1"/>
  <c r="X1123" i="1" s="1"/>
  <c r="X1124" i="1" a="1"/>
  <c r="X1124" i="1" s="1"/>
  <c r="X1125" i="1" a="1"/>
  <c r="X1125" i="1" s="1"/>
  <c r="X1126" i="1" a="1"/>
  <c r="X1126" i="1" s="1"/>
  <c r="X1127" i="1" a="1"/>
  <c r="X1127" i="1" s="1"/>
  <c r="X1128" i="1" a="1"/>
  <c r="X1128" i="1" s="1"/>
  <c r="X1129" i="1" a="1"/>
  <c r="X1129" i="1" s="1"/>
  <c r="X1130" i="1" a="1"/>
  <c r="X1130" i="1" s="1"/>
  <c r="X1131" i="1" a="1"/>
  <c r="X1131" i="1" s="1"/>
  <c r="X1132" i="1" a="1"/>
  <c r="X1132" i="1" s="1"/>
  <c r="X1133" i="1" a="1"/>
  <c r="X1133" i="1" s="1"/>
  <c r="X1134" i="1" a="1"/>
  <c r="X1134" i="1" s="1"/>
  <c r="X1135" i="1" a="1"/>
  <c r="X1135" i="1" s="1"/>
  <c r="X1136" i="1" a="1"/>
  <c r="X1136" i="1" s="1"/>
  <c r="X1137" i="1" a="1"/>
  <c r="X1137" i="1" s="1"/>
  <c r="X1138" i="1" a="1"/>
  <c r="X1138" i="1" s="1"/>
  <c r="X1139" i="1" a="1"/>
  <c r="X1139" i="1" s="1"/>
  <c r="X1140" i="1" a="1"/>
  <c r="X1140" i="1" s="1"/>
  <c r="X1141" i="1" a="1"/>
  <c r="X1141" i="1" s="1"/>
  <c r="X1142" i="1" a="1"/>
  <c r="X1142" i="1" s="1"/>
  <c r="X1143" i="1" a="1"/>
  <c r="X1143" i="1" s="1"/>
  <c r="X1144" i="1" a="1"/>
  <c r="X1144" i="1"/>
  <c r="X1145" i="1" a="1"/>
  <c r="X1145" i="1" s="1"/>
  <c r="X1146" i="1" a="1"/>
  <c r="X1146" i="1" s="1"/>
  <c r="X1147" i="1" a="1"/>
  <c r="X1147" i="1" s="1"/>
  <c r="X1148" i="1" a="1"/>
  <c r="X1148" i="1" s="1"/>
  <c r="X1149" i="1" a="1"/>
  <c r="X1149" i="1" s="1"/>
  <c r="X1150" i="1" a="1"/>
  <c r="X1150" i="1" s="1"/>
  <c r="X1151" i="1" a="1"/>
  <c r="X1151" i="1" s="1"/>
  <c r="X1152" i="1" a="1"/>
  <c r="X1152" i="1" s="1"/>
  <c r="X1153" i="1" a="1"/>
  <c r="X1153" i="1"/>
  <c r="X1154" i="1" a="1"/>
  <c r="X1154" i="1"/>
  <c r="X1155" i="1" a="1"/>
  <c r="X1155" i="1" s="1"/>
  <c r="X1156" i="1" a="1"/>
  <c r="X1156" i="1" s="1"/>
  <c r="X1157" i="1" a="1"/>
  <c r="X1157" i="1" s="1"/>
  <c r="X1158" i="1" a="1"/>
  <c r="X1158" i="1" s="1"/>
  <c r="X1159" i="1" a="1"/>
  <c r="X1159" i="1" s="1"/>
  <c r="X1160" i="1" a="1"/>
  <c r="X1160" i="1" s="1"/>
  <c r="X1161" i="1" a="1"/>
  <c r="X1161" i="1" s="1"/>
  <c r="X1162" i="1" a="1"/>
  <c r="X1162" i="1" s="1"/>
  <c r="X1163" i="1" a="1"/>
  <c r="X1163" i="1" s="1"/>
  <c r="X1164" i="1" a="1"/>
  <c r="X1164" i="1" s="1"/>
  <c r="X1165" i="1" a="1"/>
  <c r="X1165" i="1" s="1"/>
  <c r="X1166" i="1" a="1"/>
  <c r="X1166" i="1" s="1"/>
  <c r="X1167" i="1" a="1"/>
  <c r="X1167" i="1" s="1"/>
  <c r="X1168" i="1" a="1"/>
  <c r="X1168" i="1" s="1"/>
  <c r="X1169" i="1" a="1"/>
  <c r="X1169" i="1" s="1"/>
  <c r="X1170" i="1" a="1"/>
  <c r="X1170" i="1" s="1"/>
  <c r="X1171" i="1" a="1"/>
  <c r="X1171" i="1" s="1"/>
  <c r="X1172" i="1" a="1"/>
  <c r="X1172" i="1" s="1"/>
  <c r="X1173" i="1" a="1"/>
  <c r="X1173" i="1" s="1"/>
  <c r="X1174" i="1" a="1"/>
  <c r="X1174" i="1" s="1"/>
  <c r="X1175" i="1" a="1"/>
  <c r="X1175" i="1"/>
  <c r="X1176" i="1" a="1"/>
  <c r="X1176" i="1" s="1"/>
  <c r="X1177" i="1" a="1"/>
  <c r="X1177" i="1" s="1"/>
  <c r="X1178" i="1" a="1"/>
  <c r="X1178" i="1" s="1"/>
  <c r="X1179" i="1" a="1"/>
  <c r="X1179" i="1" s="1"/>
  <c r="X1180" i="1" a="1"/>
  <c r="X1180" i="1" s="1"/>
  <c r="X1181" i="1" a="1"/>
  <c r="X1181" i="1"/>
  <c r="X1182" i="1" a="1"/>
  <c r="X1182" i="1"/>
  <c r="X1183" i="1" a="1"/>
  <c r="X1183" i="1"/>
  <c r="X1184" i="1" a="1"/>
  <c r="X1184" i="1" s="1"/>
  <c r="X1185" i="1" a="1"/>
  <c r="X1185" i="1" s="1"/>
  <c r="X1186" i="1" a="1"/>
  <c r="X1186" i="1"/>
  <c r="X1187" i="1" a="1"/>
  <c r="X1187" i="1" s="1"/>
  <c r="X1188" i="1" a="1"/>
  <c r="X1188" i="1" s="1"/>
  <c r="X1189" i="1" a="1"/>
  <c r="X1189" i="1" s="1"/>
  <c r="X1190" i="1" a="1"/>
  <c r="X1190" i="1" s="1"/>
  <c r="X1191" i="1" a="1"/>
  <c r="X1191" i="1" s="1"/>
  <c r="X1192" i="1" a="1"/>
  <c r="X1192" i="1" s="1"/>
  <c r="X1193" i="1" a="1"/>
  <c r="X1193" i="1" s="1"/>
  <c r="X1194" i="1" a="1"/>
  <c r="X1194" i="1"/>
  <c r="X1195" i="1" a="1"/>
  <c r="X1195" i="1" s="1"/>
  <c r="X1196" i="1" a="1"/>
  <c r="X1196" i="1" s="1"/>
  <c r="X1197" i="1" a="1"/>
  <c r="X1197" i="1" s="1"/>
  <c r="X1198" i="1" a="1"/>
  <c r="X1198" i="1" s="1"/>
  <c r="X1199" i="1" a="1"/>
  <c r="X1199" i="1" s="1"/>
  <c r="X1200" i="1" a="1"/>
  <c r="X1200" i="1" s="1"/>
  <c r="X1201" i="1" a="1"/>
  <c r="X1201" i="1" s="1"/>
  <c r="X1202" i="1" a="1"/>
  <c r="X1202" i="1" s="1"/>
  <c r="X1203" i="1" a="1"/>
  <c r="X1203" i="1" s="1"/>
  <c r="X1204" i="1" a="1"/>
  <c r="X1204" i="1" s="1"/>
  <c r="X1205" i="1" a="1"/>
  <c r="X1205" i="1" s="1"/>
  <c r="X1206" i="1" a="1"/>
  <c r="X1206" i="1" s="1"/>
  <c r="X1207" i="1" a="1"/>
  <c r="X1207" i="1" s="1"/>
  <c r="X1208" i="1" a="1"/>
  <c r="X1208" i="1" s="1"/>
  <c r="X1209" i="1" a="1"/>
  <c r="X1209" i="1" s="1"/>
  <c r="X1210" i="1" a="1"/>
  <c r="X1210" i="1" s="1"/>
  <c r="X1211" i="1" a="1"/>
  <c r="X1211" i="1" s="1"/>
  <c r="X1212" i="1" a="1"/>
  <c r="X1212" i="1" s="1"/>
  <c r="X1213" i="1" a="1"/>
  <c r="X1213" i="1" s="1"/>
  <c r="X1214" i="1" a="1"/>
  <c r="X1214" i="1"/>
  <c r="X1215" i="1" a="1"/>
  <c r="X1215" i="1" s="1"/>
  <c r="X1216" i="1" a="1"/>
  <c r="X1216" i="1" s="1"/>
  <c r="X1217" i="1" a="1"/>
  <c r="X1217" i="1" s="1"/>
  <c r="X1218" i="1" a="1"/>
  <c r="X1218" i="1" s="1"/>
  <c r="X1219" i="1" a="1"/>
  <c r="X1219" i="1" s="1"/>
  <c r="X1220" i="1" a="1"/>
  <c r="X1220" i="1" s="1"/>
  <c r="X1221" i="1" a="1"/>
  <c r="X1221" i="1" s="1"/>
  <c r="X1222" i="1" a="1"/>
  <c r="X1222" i="1" s="1"/>
  <c r="X1223" i="1" a="1"/>
  <c r="X1223" i="1" s="1"/>
  <c r="X1224" i="1" a="1"/>
  <c r="X1224" i="1" s="1"/>
  <c r="X1225" i="1" a="1"/>
  <c r="X1225" i="1" s="1"/>
  <c r="X1226" i="1" a="1"/>
  <c r="X1226" i="1"/>
  <c r="X1227" i="1" a="1"/>
  <c r="X1227" i="1" s="1"/>
  <c r="X1228" i="1" a="1"/>
  <c r="X1228" i="1" s="1"/>
  <c r="X1229" i="1" a="1"/>
  <c r="X1229" i="1" s="1"/>
  <c r="X1230" i="1" a="1"/>
  <c r="X1230" i="1" s="1"/>
  <c r="X1231" i="1" a="1"/>
  <c r="X1231" i="1" s="1"/>
  <c r="X1232" i="1" a="1"/>
  <c r="X1232" i="1" s="1"/>
  <c r="X1233" i="1" a="1"/>
  <c r="X1233" i="1" s="1"/>
  <c r="X1234" i="1" a="1"/>
  <c r="X1234" i="1" s="1"/>
  <c r="X1235" i="1" a="1"/>
  <c r="X1235" i="1" s="1"/>
  <c r="X1236" i="1" a="1"/>
  <c r="X1236" i="1" s="1"/>
  <c r="X1237" i="1" a="1"/>
  <c r="X1237" i="1" s="1"/>
  <c r="X1238" i="1" a="1"/>
  <c r="X1238" i="1" s="1"/>
  <c r="X1239" i="1" a="1"/>
  <c r="X1239" i="1"/>
  <c r="X1240" i="1" a="1"/>
  <c r="X1240" i="1" s="1"/>
  <c r="X1241" i="1" a="1"/>
  <c r="X1241" i="1" s="1"/>
  <c r="X1242" i="1" a="1"/>
  <c r="X1242" i="1" s="1"/>
  <c r="X1243" i="1" a="1"/>
  <c r="X1243" i="1" s="1"/>
  <c r="X1244" i="1" a="1"/>
  <c r="X1244" i="1" s="1"/>
  <c r="X1245" i="1" a="1"/>
  <c r="X1245" i="1"/>
  <c r="X1246" i="1" a="1"/>
  <c r="X1246" i="1" s="1"/>
  <c r="X1247" i="1" a="1"/>
  <c r="X1247" i="1" s="1"/>
  <c r="X1248" i="1" a="1"/>
  <c r="X1248" i="1"/>
  <c r="X1249" i="1" a="1"/>
  <c r="X1249" i="1" s="1"/>
  <c r="X1250" i="1" a="1"/>
  <c r="X1250" i="1"/>
  <c r="X1251" i="1" a="1"/>
  <c r="X1251" i="1" s="1"/>
  <c r="X1252" i="1" a="1"/>
  <c r="X1252" i="1" s="1"/>
  <c r="X1253" i="1" a="1"/>
  <c r="X1253" i="1" s="1"/>
  <c r="X1254" i="1" a="1"/>
  <c r="X1254" i="1" s="1"/>
  <c r="X1255" i="1" a="1"/>
  <c r="X1255" i="1"/>
  <c r="X1256" i="1" a="1"/>
  <c r="X1256" i="1" s="1"/>
  <c r="X1257" i="1" a="1"/>
  <c r="X1257" i="1" s="1"/>
  <c r="X1258" i="1" a="1"/>
  <c r="X1258" i="1"/>
  <c r="X1259" i="1" a="1"/>
  <c r="X1259" i="1" s="1"/>
  <c r="X1260" i="1" a="1"/>
  <c r="X1260" i="1" s="1"/>
  <c r="X1261" i="1" a="1"/>
  <c r="X1261" i="1" s="1"/>
  <c r="X1262" i="1" a="1"/>
  <c r="X1262" i="1" s="1"/>
  <c r="X1263" i="1" a="1"/>
  <c r="X1263" i="1"/>
  <c r="X1264" i="1" a="1"/>
  <c r="X1264" i="1" s="1"/>
  <c r="X1265" i="1" a="1"/>
  <c r="X1265" i="1" s="1"/>
  <c r="X1266" i="1" a="1"/>
  <c r="X1266" i="1"/>
  <c r="X1267" i="1" a="1"/>
  <c r="X1267" i="1" s="1"/>
  <c r="X1268" i="1" a="1"/>
  <c r="X1268" i="1" s="1"/>
  <c r="X1269" i="1" a="1"/>
  <c r="X1269" i="1" s="1"/>
  <c r="X1270" i="1" a="1"/>
  <c r="X1270" i="1" s="1"/>
  <c r="X1271" i="1" a="1"/>
  <c r="X1271" i="1" s="1"/>
  <c r="X1272" i="1" a="1"/>
  <c r="X1272" i="1" s="1"/>
  <c r="X1273" i="1" a="1"/>
  <c r="X1273" i="1" s="1"/>
  <c r="X1274" i="1" a="1"/>
  <c r="X1274" i="1" s="1"/>
  <c r="X1275" i="1" a="1"/>
  <c r="X1275" i="1" s="1"/>
  <c r="X1276" i="1" a="1"/>
  <c r="X1276" i="1" s="1"/>
  <c r="X1277" i="1" a="1"/>
  <c r="X1277" i="1" s="1"/>
  <c r="X1278" i="1" a="1"/>
  <c r="X1278" i="1" s="1"/>
  <c r="X1279" i="1" a="1"/>
  <c r="X1279" i="1" s="1"/>
  <c r="X1280" i="1" a="1"/>
  <c r="X1280" i="1" s="1"/>
  <c r="X1281" i="1" a="1"/>
  <c r="X1281" i="1" s="1"/>
  <c r="X1282" i="1" a="1"/>
  <c r="X1282" i="1"/>
  <c r="X1283" i="1" a="1"/>
  <c r="X1283" i="1" s="1"/>
  <c r="X1284" i="1" a="1"/>
  <c r="X1284" i="1" s="1"/>
  <c r="X1285" i="1" a="1"/>
  <c r="X1285" i="1" s="1"/>
  <c r="X1286" i="1" a="1"/>
  <c r="X1286" i="1" s="1"/>
  <c r="X1287" i="1" a="1"/>
  <c r="X1287" i="1" s="1"/>
  <c r="X1288" i="1" a="1"/>
  <c r="X1288" i="1" s="1"/>
  <c r="X1289" i="1" a="1"/>
  <c r="X1289" i="1" s="1"/>
  <c r="X1290" i="1" a="1"/>
  <c r="X1290" i="1" s="1"/>
  <c r="X1291" i="1" a="1"/>
  <c r="X1291" i="1" s="1"/>
  <c r="X1292" i="1" a="1"/>
  <c r="X1292" i="1" s="1"/>
  <c r="X1293" i="1" a="1"/>
  <c r="X1293" i="1" s="1"/>
  <c r="X1294" i="1" a="1"/>
  <c r="X1294" i="1" s="1"/>
  <c r="X1295" i="1" a="1"/>
  <c r="X1295" i="1" s="1"/>
  <c r="X1296" i="1" a="1"/>
  <c r="X1296" i="1"/>
  <c r="X1297" i="1" a="1"/>
  <c r="X1297" i="1" s="1"/>
  <c r="X1298" i="1" a="1"/>
  <c r="X1298" i="1" s="1"/>
  <c r="X1299" i="1" a="1"/>
  <c r="X1299" i="1" s="1"/>
  <c r="X1300" i="1" a="1"/>
  <c r="X1300" i="1" s="1"/>
  <c r="X1301" i="1" a="1"/>
  <c r="X1301" i="1" s="1"/>
  <c r="X1302" i="1" a="1"/>
  <c r="X1302" i="1" s="1"/>
  <c r="X1303" i="1" a="1"/>
  <c r="X1303" i="1" s="1"/>
  <c r="X1304" i="1" a="1"/>
  <c r="X1304" i="1" s="1"/>
  <c r="X1305" i="1" a="1"/>
  <c r="X1305" i="1" s="1"/>
  <c r="X1306" i="1" a="1"/>
  <c r="X1306" i="1" s="1"/>
  <c r="X1307" i="1" a="1"/>
  <c r="X1307" i="1" s="1"/>
  <c r="X1308" i="1" a="1"/>
  <c r="X1308" i="1" s="1"/>
  <c r="X1309" i="1" a="1"/>
  <c r="X1309" i="1" s="1"/>
  <c r="X1310" i="1" a="1"/>
  <c r="X1310" i="1" s="1"/>
  <c r="X1311" i="1" a="1"/>
  <c r="X1311" i="1" s="1"/>
  <c r="X1312" i="1" a="1"/>
  <c r="X1312" i="1"/>
  <c r="X1313" i="1" a="1"/>
  <c r="X1313" i="1" s="1"/>
  <c r="X1314" i="1" a="1"/>
  <c r="X1314" i="1" s="1"/>
  <c r="X1315" i="1" a="1"/>
  <c r="X1315" i="1" s="1"/>
  <c r="X1316" i="1" a="1"/>
  <c r="X1316" i="1" s="1"/>
  <c r="X1317" i="1" a="1"/>
  <c r="X1317" i="1" s="1"/>
  <c r="X1318" i="1" a="1"/>
  <c r="X1318" i="1"/>
  <c r="X1319" i="1" a="1"/>
  <c r="X1319" i="1"/>
  <c r="X1320" i="1" a="1"/>
  <c r="X1320" i="1"/>
  <c r="X1321" i="1" a="1"/>
  <c r="X1321" i="1" s="1"/>
  <c r="X1322" i="1" a="1"/>
  <c r="X1322" i="1"/>
  <c r="X1323" i="1" a="1"/>
  <c r="X1323" i="1" s="1"/>
  <c r="X1324" i="1" a="1"/>
  <c r="X1324" i="1" s="1"/>
  <c r="X1325" i="1" a="1"/>
  <c r="X1325" i="1" s="1"/>
  <c r="X1326" i="1" a="1"/>
  <c r="X1326" i="1" s="1"/>
  <c r="X1327" i="1" a="1"/>
  <c r="X1327" i="1" s="1"/>
  <c r="X1328" i="1" a="1"/>
  <c r="X1328" i="1" s="1"/>
  <c r="X1329" i="1" a="1"/>
  <c r="X1329" i="1" s="1"/>
  <c r="X1330" i="1" a="1"/>
  <c r="X1330" i="1" s="1"/>
  <c r="X1331" i="1" a="1"/>
  <c r="X1331" i="1" s="1"/>
  <c r="X1332" i="1" a="1"/>
  <c r="X1332" i="1" s="1"/>
  <c r="X1333" i="1" a="1"/>
  <c r="X1333" i="1" s="1"/>
  <c r="X1334" i="1" a="1"/>
  <c r="X1334" i="1" s="1"/>
  <c r="X1335" i="1" a="1"/>
  <c r="X1335" i="1" s="1"/>
  <c r="X1336" i="1" a="1"/>
  <c r="X1336" i="1" s="1"/>
  <c r="X1337" i="1" a="1"/>
  <c r="X1337" i="1"/>
  <c r="X1338" i="1" a="1"/>
  <c r="X1338" i="1" s="1"/>
  <c r="X1339" i="1" a="1"/>
  <c r="X1339" i="1" s="1"/>
  <c r="X1340" i="1" a="1"/>
  <c r="X1340" i="1" s="1"/>
  <c r="X1341" i="1" a="1"/>
  <c r="X1341" i="1"/>
  <c r="X1342" i="1" a="1"/>
  <c r="X1342" i="1" s="1"/>
  <c r="X1343" i="1" a="1"/>
  <c r="X1343" i="1" s="1"/>
  <c r="X1344" i="1" a="1"/>
  <c r="X1344" i="1" s="1"/>
  <c r="X1345" i="1" a="1"/>
  <c r="X1345" i="1" s="1"/>
  <c r="X1346" i="1" a="1"/>
  <c r="X1346" i="1" s="1"/>
  <c r="X1347" i="1" a="1"/>
  <c r="X1347" i="1" s="1"/>
  <c r="X1348" i="1" a="1"/>
  <c r="X1348" i="1" s="1"/>
  <c r="X1349" i="1" a="1"/>
  <c r="X1349" i="1"/>
  <c r="X1350" i="1" a="1"/>
  <c r="X1350" i="1" s="1"/>
  <c r="X1351" i="1" a="1"/>
  <c r="X1351" i="1"/>
  <c r="X1352" i="1" a="1"/>
  <c r="X1352" i="1" s="1"/>
  <c r="X1353" i="1" a="1"/>
  <c r="X1353" i="1" s="1"/>
  <c r="X1354" i="1" a="1"/>
  <c r="X1354" i="1"/>
  <c r="X1355" i="1" a="1"/>
  <c r="X1355" i="1" s="1"/>
  <c r="X1356" i="1" a="1"/>
  <c r="X1356" i="1" s="1"/>
  <c r="X1357" i="1" a="1"/>
  <c r="X1357" i="1" s="1"/>
  <c r="X1358" i="1" a="1"/>
  <c r="X1358" i="1" s="1"/>
  <c r="X1359" i="1" a="1"/>
  <c r="X1359" i="1" s="1"/>
  <c r="X1360" i="1" a="1"/>
  <c r="X1360" i="1" s="1"/>
  <c r="X1361" i="1" a="1"/>
  <c r="X1361" i="1" s="1"/>
  <c r="X1362" i="1" a="1"/>
  <c r="X1362" i="1" s="1"/>
  <c r="X1363" i="1" a="1"/>
  <c r="X1363" i="1" s="1"/>
  <c r="X1364" i="1" a="1"/>
  <c r="X1364" i="1" s="1"/>
  <c r="X1365" i="1" a="1"/>
  <c r="X1365" i="1" s="1"/>
  <c r="X1366" i="1" a="1"/>
  <c r="X1366" i="1" s="1"/>
  <c r="X1367" i="1" a="1"/>
  <c r="X1367" i="1" s="1"/>
  <c r="X1368" i="1" a="1"/>
  <c r="X1368" i="1"/>
  <c r="X1369" i="1" a="1"/>
  <c r="X1369" i="1"/>
  <c r="X1370" i="1" a="1"/>
  <c r="X1370" i="1" s="1"/>
  <c r="X1371" i="1" a="1"/>
  <c r="X1371" i="1" s="1"/>
  <c r="X1372" i="1" a="1"/>
  <c r="X1372" i="1" s="1"/>
  <c r="X1373" i="1" a="1"/>
  <c r="X1373" i="1" s="1"/>
  <c r="X1374" i="1" a="1"/>
  <c r="X1374" i="1" s="1"/>
  <c r="X1375" i="1" a="1"/>
  <c r="X1375" i="1" s="1"/>
  <c r="X1376" i="1" a="1"/>
  <c r="X1376" i="1" s="1"/>
  <c r="X1377" i="1" a="1"/>
  <c r="X1377" i="1"/>
  <c r="X1378" i="1" a="1"/>
  <c r="X1378" i="1" s="1"/>
  <c r="X1379" i="1" a="1"/>
  <c r="X1379" i="1" s="1"/>
  <c r="X1380" i="1" a="1"/>
  <c r="X1380" i="1" s="1"/>
  <c r="X1381" i="1" a="1"/>
  <c r="X1381" i="1" s="1"/>
  <c r="X1382" i="1" a="1"/>
  <c r="X1382" i="1"/>
  <c r="X1383" i="1" a="1"/>
  <c r="X1383" i="1" s="1"/>
  <c r="X1384" i="1" a="1"/>
  <c r="X1384" i="1"/>
  <c r="X1385" i="1" a="1"/>
  <c r="X1385" i="1"/>
  <c r="X1386" i="1" a="1"/>
  <c r="X1386" i="1" s="1"/>
  <c r="X1387" i="1" a="1"/>
  <c r="X1387" i="1" s="1"/>
  <c r="X1388" i="1" a="1"/>
  <c r="X1388" i="1" s="1"/>
  <c r="X1389" i="1" a="1"/>
  <c r="X1389" i="1" s="1"/>
  <c r="X1390" i="1" a="1"/>
  <c r="X1390" i="1" s="1"/>
  <c r="X1391" i="1" a="1"/>
  <c r="X1391" i="1" s="1"/>
  <c r="X1392" i="1" a="1"/>
  <c r="X1392" i="1" s="1"/>
  <c r="X1393" i="1" a="1"/>
  <c r="X1393" i="1" s="1"/>
  <c r="X1394" i="1" a="1"/>
  <c r="X1394" i="1" s="1"/>
  <c r="X1395" i="1" a="1"/>
  <c r="X1395" i="1" s="1"/>
  <c r="X1396" i="1" a="1"/>
  <c r="X1396" i="1" s="1"/>
  <c r="X1397" i="1" a="1"/>
  <c r="X1397" i="1" s="1"/>
  <c r="X1398" i="1" a="1"/>
  <c r="X1398" i="1" s="1"/>
  <c r="X1399" i="1" a="1"/>
  <c r="X1399" i="1" s="1"/>
  <c r="X1400" i="1" a="1"/>
  <c r="X1400" i="1" s="1"/>
  <c r="X1401" i="1" a="1"/>
  <c r="X1401" i="1"/>
  <c r="X1402" i="1" a="1"/>
  <c r="X1402" i="1"/>
  <c r="X1403" i="1" a="1"/>
  <c r="X1403" i="1" s="1"/>
  <c r="X1404" i="1" a="1"/>
  <c r="X1404" i="1" s="1"/>
  <c r="X1405" i="1" a="1"/>
  <c r="X1405" i="1" s="1"/>
  <c r="X1406" i="1" a="1"/>
  <c r="X1406" i="1"/>
  <c r="X1407" i="1" a="1"/>
  <c r="X1407" i="1" s="1"/>
  <c r="X1408" i="1" a="1"/>
  <c r="X1408" i="1" s="1"/>
  <c r="X1409" i="1" a="1"/>
  <c r="X1409" i="1" s="1"/>
  <c r="X1410" i="1" a="1"/>
  <c r="X1410" i="1" s="1"/>
  <c r="X1411" i="1" a="1"/>
  <c r="X1411" i="1" s="1"/>
  <c r="X1412" i="1" a="1"/>
  <c r="X1412" i="1" s="1"/>
  <c r="X1413" i="1" a="1"/>
  <c r="X1413" i="1"/>
  <c r="X1414" i="1" a="1"/>
  <c r="X1414" i="1"/>
  <c r="X1415" i="1" a="1"/>
  <c r="X1415" i="1" s="1"/>
  <c r="X1416" i="1" a="1"/>
  <c r="X1416" i="1" s="1"/>
  <c r="X1417" i="1" a="1"/>
  <c r="X1417" i="1" s="1"/>
  <c r="X1418" i="1" a="1"/>
  <c r="X1418" i="1" s="1"/>
  <c r="X1419" i="1" a="1"/>
  <c r="X1419" i="1" s="1"/>
  <c r="X1420" i="1" a="1"/>
  <c r="X1420" i="1" s="1"/>
  <c r="X1421" i="1" a="1"/>
  <c r="X1421" i="1" s="1"/>
  <c r="X1422" i="1" a="1"/>
  <c r="X1422" i="1" s="1"/>
  <c r="X1423" i="1" a="1"/>
  <c r="X1423" i="1" s="1"/>
  <c r="X1424" i="1" a="1"/>
  <c r="X1424" i="1" s="1"/>
  <c r="X1425" i="1" a="1"/>
  <c r="X1425" i="1" s="1"/>
  <c r="X1426" i="1" a="1"/>
  <c r="X1426" i="1" s="1"/>
  <c r="X1427" i="1" a="1"/>
  <c r="X1427" i="1" s="1"/>
  <c r="X1428" i="1" a="1"/>
  <c r="X1428" i="1"/>
  <c r="X1429" i="1" a="1"/>
  <c r="X1429" i="1"/>
  <c r="X1430" i="1" a="1"/>
  <c r="X1430" i="1"/>
  <c r="X1431" i="1" a="1"/>
  <c r="X1431" i="1"/>
  <c r="X1432" i="1" a="1"/>
  <c r="X1432" i="1" s="1"/>
  <c r="X1433" i="1" a="1"/>
  <c r="X1433" i="1" s="1"/>
  <c r="X1434" i="1" a="1"/>
  <c r="X1434" i="1" s="1"/>
  <c r="X1435" i="1" a="1"/>
  <c r="X1435" i="1" s="1"/>
  <c r="X1436" i="1" a="1"/>
  <c r="X1436" i="1" s="1"/>
  <c r="X1437" i="1" a="1"/>
  <c r="X1437" i="1" s="1"/>
  <c r="X1438" i="1" a="1"/>
  <c r="X1438" i="1" s="1"/>
  <c r="X1439" i="1" a="1"/>
  <c r="X1439" i="1" s="1"/>
  <c r="X1440" i="1" a="1"/>
  <c r="X1440" i="1" s="1"/>
  <c r="X1441" i="1" a="1"/>
  <c r="X1441" i="1" s="1"/>
  <c r="X1442" i="1" a="1"/>
  <c r="X1442" i="1" s="1"/>
  <c r="X1443" i="1" a="1"/>
  <c r="X1443" i="1" s="1"/>
  <c r="X1444" i="1" a="1"/>
  <c r="X1444" i="1" s="1"/>
  <c r="X1445" i="1" a="1"/>
  <c r="X1445" i="1" s="1"/>
  <c r="X1446" i="1" a="1"/>
  <c r="X1446" i="1"/>
  <c r="X1447" i="1" a="1"/>
  <c r="X1447" i="1"/>
  <c r="X1448" i="1" a="1"/>
  <c r="X1448" i="1" s="1"/>
  <c r="X1449" i="1" a="1"/>
  <c r="X1449" i="1" s="1"/>
  <c r="X1450" i="1" a="1"/>
  <c r="X1450" i="1"/>
  <c r="X1451" i="1" a="1"/>
  <c r="X1451" i="1"/>
  <c r="X1452" i="1" a="1"/>
  <c r="X1452" i="1"/>
  <c r="X1453" i="1" a="1"/>
  <c r="X1453" i="1" s="1"/>
  <c r="X1454" i="1" a="1"/>
  <c r="X1454" i="1" s="1"/>
  <c r="X1455" i="1" a="1"/>
  <c r="X1455" i="1" s="1"/>
  <c r="X1456" i="1" a="1"/>
  <c r="X1456" i="1" s="1"/>
  <c r="X1457" i="1" a="1"/>
  <c r="X1457" i="1" s="1"/>
  <c r="X1458" i="1" a="1"/>
  <c r="X1458" i="1" s="1"/>
  <c r="X1459" i="1" a="1"/>
  <c r="X1459" i="1" s="1"/>
  <c r="X1460" i="1" a="1"/>
  <c r="X1460" i="1" s="1"/>
  <c r="X1461" i="1" a="1"/>
  <c r="X1461" i="1" s="1"/>
  <c r="X1462" i="1" a="1"/>
  <c r="X1462" i="1" s="1"/>
  <c r="X1463" i="1" a="1"/>
  <c r="X1463" i="1" s="1"/>
  <c r="X1464" i="1" a="1"/>
  <c r="X1464" i="1" s="1"/>
  <c r="X1465" i="1" a="1"/>
  <c r="X1465" i="1" s="1"/>
  <c r="X1466" i="1" a="1"/>
  <c r="X1466" i="1"/>
  <c r="X1467" i="1" a="1"/>
  <c r="X1467" i="1"/>
  <c r="X1468" i="1" a="1"/>
  <c r="X1468" i="1"/>
  <c r="X1469" i="1" a="1"/>
  <c r="X1469" i="1"/>
  <c r="X1470" i="1" a="1"/>
  <c r="X1470" i="1"/>
  <c r="X1471" i="1" a="1"/>
  <c r="X1471" i="1"/>
  <c r="X1472" i="1" a="1"/>
  <c r="X1472" i="1" s="1"/>
  <c r="X1473" i="1" a="1"/>
  <c r="X1473" i="1" s="1"/>
  <c r="X1474" i="1" a="1"/>
  <c r="X1474" i="1" s="1"/>
  <c r="X1475" i="1" a="1"/>
  <c r="X1475" i="1"/>
  <c r="X1476" i="1" a="1"/>
  <c r="X1476" i="1" s="1"/>
  <c r="X1477" i="1" a="1"/>
  <c r="X1477" i="1"/>
  <c r="X1478" i="1" a="1"/>
  <c r="X1478" i="1"/>
  <c r="X1479" i="1" a="1"/>
  <c r="X1479" i="1"/>
  <c r="X1480" i="1" a="1"/>
  <c r="X1480" i="1" s="1"/>
  <c r="X1481" i="1" a="1"/>
  <c r="X1481" i="1" s="1"/>
  <c r="X1482" i="1" a="1"/>
  <c r="X1482" i="1" s="1"/>
  <c r="X1483" i="1" a="1"/>
  <c r="X1483" i="1" s="1"/>
  <c r="X1484" i="1" a="1"/>
  <c r="X1484" i="1" s="1"/>
  <c r="X1485" i="1" a="1"/>
  <c r="X1485" i="1"/>
  <c r="X1486" i="1" a="1"/>
  <c r="X1486" i="1" s="1"/>
  <c r="X1487" i="1" a="1"/>
  <c r="X1487" i="1" s="1"/>
  <c r="X1488" i="1" a="1"/>
  <c r="X1488" i="1" s="1"/>
  <c r="X1489" i="1" a="1"/>
  <c r="X1489" i="1" s="1"/>
  <c r="X1490" i="1" a="1"/>
  <c r="X1490" i="1" s="1"/>
  <c r="X1491" i="1" a="1"/>
  <c r="X1491" i="1" s="1"/>
  <c r="X1492" i="1" a="1"/>
  <c r="X1492" i="1" s="1"/>
  <c r="X1493" i="1" a="1"/>
  <c r="X1493" i="1" s="1"/>
  <c r="X1494" i="1" a="1"/>
  <c r="X1494" i="1"/>
  <c r="X1495" i="1" a="1"/>
  <c r="X1495" i="1" s="1"/>
  <c r="X1496" i="1" a="1"/>
  <c r="X1496" i="1" s="1"/>
  <c r="X1497" i="1" a="1"/>
  <c r="X1497" i="1" s="1"/>
  <c r="X1498" i="1" a="1"/>
  <c r="X1498" i="1"/>
  <c r="X1499" i="1" a="1"/>
  <c r="X1499" i="1"/>
  <c r="X1500" i="1" a="1"/>
  <c r="X1500" i="1" s="1"/>
  <c r="X1501" i="1" a="1"/>
  <c r="X1501" i="1" s="1"/>
  <c r="X1502" i="1" a="1"/>
  <c r="X1502" i="1" s="1"/>
  <c r="X1503" i="1" a="1"/>
  <c r="X1503" i="1" s="1"/>
  <c r="X1504" i="1" a="1"/>
  <c r="X1504" i="1" s="1"/>
  <c r="X1505" i="1" a="1"/>
  <c r="X1505" i="1" s="1"/>
  <c r="X1506" i="1" a="1"/>
  <c r="X1506" i="1" s="1"/>
  <c r="X1507" i="1" a="1"/>
  <c r="X1507" i="1" s="1"/>
  <c r="X1508" i="1" a="1"/>
  <c r="X1508" i="1" s="1"/>
  <c r="X1509" i="1" a="1"/>
  <c r="X1509" i="1" s="1"/>
  <c r="X1510" i="1" a="1"/>
  <c r="X1510" i="1"/>
  <c r="X1511" i="1" a="1"/>
  <c r="X1511" i="1" s="1"/>
  <c r="X1512" i="1" a="1"/>
  <c r="X1512" i="1" s="1"/>
  <c r="X1513" i="1" a="1"/>
  <c r="X1513" i="1" s="1"/>
  <c r="X1514" i="1" a="1"/>
  <c r="X1514" i="1"/>
  <c r="X1515" i="1" a="1"/>
  <c r="X1515" i="1" s="1"/>
  <c r="X1516" i="1" a="1"/>
  <c r="X1516" i="1"/>
  <c r="X1517" i="1" a="1"/>
  <c r="X1517" i="1"/>
  <c r="X1518" i="1" a="1"/>
  <c r="X1518" i="1" s="1"/>
  <c r="X1519" i="1" a="1"/>
  <c r="X1519" i="1" s="1"/>
  <c r="X1520" i="1" a="1"/>
  <c r="X1520" i="1" s="1"/>
  <c r="X1521" i="1" a="1"/>
  <c r="X1521" i="1" s="1"/>
  <c r="X1522" i="1" a="1"/>
  <c r="X1522" i="1" s="1"/>
  <c r="X1523" i="1" a="1"/>
  <c r="X1523" i="1" s="1"/>
  <c r="X1524" i="1" a="1"/>
  <c r="X1524" i="1"/>
  <c r="X1525" i="1" a="1"/>
  <c r="X1525" i="1" s="1"/>
  <c r="X1526" i="1" a="1"/>
  <c r="X1526" i="1" s="1"/>
  <c r="X1527" i="1" a="1"/>
  <c r="X1527" i="1" s="1"/>
  <c r="X1528" i="1" a="1"/>
  <c r="X1528" i="1" s="1"/>
  <c r="X1529" i="1" a="1"/>
  <c r="X1529" i="1" s="1"/>
  <c r="X1530" i="1" a="1"/>
  <c r="X1530" i="1"/>
  <c r="X1531" i="1" a="1"/>
  <c r="X1531" i="1" s="1"/>
  <c r="X1532" i="1" a="1"/>
  <c r="X1532" i="1" s="1"/>
  <c r="X1533" i="1" a="1"/>
  <c r="X1533" i="1"/>
  <c r="X1534" i="1" a="1"/>
  <c r="X1534" i="1" s="1"/>
  <c r="X1535" i="1" a="1"/>
  <c r="X1535" i="1"/>
  <c r="X1536" i="1" a="1"/>
  <c r="X1536" i="1" s="1"/>
  <c r="X1537" i="1" a="1"/>
  <c r="X1537" i="1" s="1"/>
  <c r="X1538" i="1" a="1"/>
  <c r="X1538" i="1"/>
  <c r="X1539" i="1" a="1"/>
  <c r="X1539" i="1"/>
  <c r="X1540" i="1" a="1"/>
  <c r="X1540" i="1" s="1"/>
  <c r="X1541" i="1" a="1"/>
  <c r="X1541" i="1" s="1"/>
  <c r="X1542" i="1" a="1"/>
  <c r="X1542" i="1"/>
  <c r="X1543" i="1" a="1"/>
  <c r="X1543" i="1" s="1"/>
  <c r="X1544" i="1" a="1"/>
  <c r="X1544" i="1" s="1"/>
  <c r="X1545" i="1" a="1"/>
  <c r="X1545" i="1" s="1"/>
  <c r="X1546" i="1" a="1"/>
  <c r="X1546" i="1" s="1"/>
  <c r="X1547" i="1" a="1"/>
  <c r="X1547" i="1" s="1"/>
  <c r="X1548" i="1" a="1"/>
  <c r="X1548" i="1" s="1"/>
  <c r="X1549" i="1" a="1"/>
  <c r="X1549" i="1"/>
  <c r="X1550" i="1" a="1"/>
  <c r="X1550" i="1" s="1"/>
  <c r="X1551" i="1" a="1"/>
  <c r="X1551" i="1" s="1"/>
  <c r="X1552" i="1" a="1"/>
  <c r="X1552" i="1" s="1"/>
  <c r="X1553" i="1" a="1"/>
  <c r="X1553" i="1" s="1"/>
  <c r="X1554" i="1" a="1"/>
  <c r="X1554" i="1"/>
  <c r="X1555" i="1" a="1"/>
  <c r="X1555" i="1" s="1"/>
  <c r="X1556" i="1" a="1"/>
  <c r="X1556" i="1" s="1"/>
  <c r="X1557" i="1" a="1"/>
  <c r="X1557" i="1"/>
  <c r="X1558" i="1" a="1"/>
  <c r="X1558" i="1"/>
  <c r="X1559" i="1" a="1"/>
  <c r="X1559" i="1" s="1"/>
  <c r="X1560" i="1" a="1"/>
  <c r="X1560" i="1" s="1"/>
  <c r="X1561" i="1" a="1"/>
  <c r="X1561" i="1" s="1"/>
  <c r="X1562" i="1" a="1"/>
  <c r="X1562" i="1"/>
  <c r="X1563" i="1" a="1"/>
  <c r="X1563" i="1" s="1"/>
  <c r="X1564" i="1" a="1"/>
  <c r="X1564" i="1" s="1"/>
  <c r="X1565" i="1" a="1"/>
  <c r="X1565" i="1" s="1"/>
  <c r="X1566" i="1" a="1"/>
  <c r="X1566" i="1" s="1"/>
  <c r="X1567" i="1" a="1"/>
  <c r="X1567" i="1" s="1"/>
  <c r="X1568" i="1" a="1"/>
  <c r="X1568" i="1" s="1"/>
  <c r="X1569" i="1" a="1"/>
  <c r="X1569" i="1" s="1"/>
  <c r="X1570" i="1" a="1"/>
  <c r="X1570" i="1" s="1"/>
  <c r="X1571" i="1" a="1"/>
  <c r="X1571" i="1" s="1"/>
  <c r="X1572" i="1" a="1"/>
  <c r="X1572" i="1"/>
  <c r="X1573" i="1" a="1"/>
  <c r="X1573" i="1" s="1"/>
  <c r="X1574" i="1" a="1"/>
  <c r="X1574" i="1"/>
  <c r="X1575" i="1" a="1"/>
  <c r="X1575" i="1"/>
  <c r="X1576" i="1" a="1"/>
  <c r="X1576" i="1" s="1"/>
  <c r="X1577" i="1" a="1"/>
  <c r="X1577" i="1" s="1"/>
  <c r="X1578" i="1" a="1"/>
  <c r="X1578" i="1"/>
  <c r="X1579" i="1" a="1"/>
  <c r="X1579" i="1" s="1"/>
  <c r="X1580" i="1" a="1"/>
  <c r="X1580" i="1" s="1"/>
  <c r="X1581" i="1" a="1"/>
  <c r="X1581" i="1"/>
  <c r="X1582" i="1" a="1"/>
  <c r="X1582" i="1" s="1"/>
  <c r="X1583" i="1" a="1"/>
  <c r="X1583" i="1"/>
  <c r="X1584" i="1" a="1"/>
  <c r="X1584" i="1" s="1"/>
  <c r="X1585" i="1" a="1"/>
  <c r="X1585" i="1" s="1"/>
  <c r="X1586" i="1" a="1"/>
  <c r="X1586" i="1" s="1"/>
  <c r="X1587" i="1" a="1"/>
  <c r="X1587" i="1" s="1"/>
  <c r="X1588" i="1" a="1"/>
  <c r="X1588" i="1"/>
  <c r="X1589" i="1" a="1"/>
  <c r="X1589" i="1" s="1"/>
  <c r="X1590" i="1" a="1"/>
  <c r="X1590" i="1" s="1"/>
  <c r="X1591" i="1" a="1"/>
  <c r="X1591" i="1" s="1"/>
  <c r="X1592" i="1" a="1"/>
  <c r="X1592" i="1" s="1"/>
  <c r="X1593" i="1" a="1"/>
  <c r="X1593" i="1" s="1"/>
  <c r="X1594" i="1" a="1"/>
  <c r="X1594" i="1"/>
  <c r="X1595" i="1" a="1"/>
  <c r="X1595" i="1" s="1"/>
  <c r="X1596" i="1" a="1"/>
  <c r="X1596" i="1"/>
  <c r="X1597" i="1" a="1"/>
  <c r="X1597" i="1"/>
  <c r="X1598" i="1" a="1"/>
  <c r="X1598" i="1" s="1"/>
  <c r="X1599" i="1" a="1"/>
  <c r="X1599" i="1" s="1"/>
  <c r="X1600" i="1" a="1"/>
  <c r="X1600" i="1" s="1"/>
  <c r="X1601" i="1" a="1"/>
  <c r="X1601" i="1" s="1"/>
  <c r="X1602" i="1" a="1"/>
  <c r="X1602" i="1" s="1"/>
  <c r="X1603" i="1" a="1"/>
  <c r="X1603" i="1"/>
  <c r="X1604" i="1" a="1"/>
  <c r="X1604" i="1" s="1"/>
  <c r="X1605" i="1" a="1"/>
  <c r="X1605" i="1"/>
  <c r="X1606" i="1" a="1"/>
  <c r="X1606" i="1" s="1"/>
  <c r="X1607" i="1" a="1"/>
  <c r="X1607" i="1" s="1"/>
  <c r="X1608" i="1" a="1"/>
  <c r="X1608" i="1" s="1"/>
  <c r="X1609" i="1" a="1"/>
  <c r="X1609" i="1" s="1"/>
  <c r="X1610" i="1" a="1"/>
  <c r="X1610" i="1" s="1"/>
  <c r="X1611" i="1" a="1"/>
  <c r="X1611" i="1"/>
  <c r="X1612" i="1" a="1"/>
  <c r="X1612" i="1"/>
  <c r="X1613" i="1" a="1"/>
  <c r="X1613" i="1" s="1"/>
  <c r="X1614" i="1" a="1"/>
  <c r="X1614" i="1" s="1"/>
  <c r="X1615" i="1" a="1"/>
  <c r="X1615" i="1" s="1"/>
  <c r="X1616" i="1" a="1"/>
  <c r="X1616" i="1" s="1"/>
  <c r="X1617" i="1" a="1"/>
  <c r="X1617" i="1" s="1"/>
  <c r="X1618" i="1" a="1"/>
  <c r="X1618" i="1" s="1"/>
  <c r="X1619" i="1" a="1"/>
  <c r="X1619" i="1" s="1"/>
  <c r="X1620" i="1" a="1"/>
  <c r="X1620" i="1"/>
  <c r="X1621" i="1" a="1"/>
  <c r="X1621" i="1" s="1"/>
  <c r="X1622" i="1" a="1"/>
  <c r="X1622" i="1"/>
  <c r="X1623" i="1" a="1"/>
  <c r="X1623" i="1" s="1"/>
  <c r="X1624" i="1" a="1"/>
  <c r="X1624" i="1" s="1"/>
  <c r="X1625" i="1" a="1"/>
  <c r="X1625" i="1" s="1"/>
  <c r="X1626" i="1" a="1"/>
  <c r="X1626" i="1" s="1"/>
  <c r="X1627" i="1" a="1"/>
  <c r="X1627" i="1" s="1"/>
  <c r="X1628" i="1" a="1"/>
  <c r="X1628" i="1" s="1"/>
  <c r="X1629" i="1" a="1"/>
  <c r="X1629" i="1" s="1"/>
  <c r="X1630" i="1" a="1"/>
  <c r="X1630" i="1" s="1"/>
  <c r="X1631" i="1" a="1"/>
  <c r="X1631" i="1"/>
  <c r="X1632" i="1" a="1"/>
  <c r="X1632" i="1" s="1"/>
  <c r="X1633" i="1" a="1"/>
  <c r="X1633" i="1" s="1"/>
  <c r="X1634" i="1" a="1"/>
  <c r="X1634" i="1" s="1"/>
  <c r="X1635" i="1" a="1"/>
  <c r="X1635" i="1" s="1"/>
  <c r="X1636" i="1" a="1"/>
  <c r="X1636" i="1"/>
  <c r="X1637" i="1" a="1"/>
  <c r="X1637" i="1" s="1"/>
  <c r="X1638" i="1" a="1"/>
  <c r="X1638" i="1" s="1"/>
  <c r="X1639" i="1" a="1"/>
  <c r="X1639" i="1"/>
  <c r="X1640" i="1" a="1"/>
  <c r="X1640" i="1" s="1"/>
  <c r="X1641" i="1" a="1"/>
  <c r="X1641" i="1" s="1"/>
  <c r="X1642" i="1" a="1"/>
  <c r="X1642" i="1"/>
  <c r="X1643" i="1" a="1"/>
  <c r="X1643" i="1" s="1"/>
  <c r="X1644" i="1" a="1"/>
  <c r="X1644" i="1"/>
  <c r="X1645" i="1" a="1"/>
  <c r="X1645" i="1" s="1"/>
  <c r="X1646" i="1" a="1"/>
  <c r="X1646" i="1" s="1"/>
  <c r="X1647" i="1" a="1"/>
  <c r="X1647" i="1" s="1"/>
  <c r="X1648" i="1" a="1"/>
  <c r="X1648" i="1" s="1"/>
  <c r="X1649" i="1" a="1"/>
  <c r="X1649" i="1" s="1"/>
  <c r="X1650" i="1" a="1"/>
  <c r="X1650" i="1" s="1"/>
  <c r="X1651" i="1" a="1"/>
  <c r="X1651" i="1" s="1"/>
  <c r="X1652" i="1" a="1"/>
  <c r="X1652" i="1" s="1"/>
  <c r="X1653" i="1" a="1"/>
  <c r="X1653" i="1" s="1"/>
  <c r="X1654" i="1" a="1"/>
  <c r="X1654" i="1" s="1"/>
  <c r="X1655" i="1" a="1"/>
  <c r="X1655" i="1" s="1"/>
  <c r="X1656" i="1" a="1"/>
  <c r="X1656" i="1" s="1"/>
  <c r="X1657" i="1" a="1"/>
  <c r="X1657" i="1" s="1"/>
  <c r="X1658" i="1" a="1"/>
  <c r="X1658" i="1" s="1"/>
  <c r="X1659" i="1" a="1"/>
  <c r="X1659" i="1"/>
  <c r="X1660" i="1" a="1"/>
  <c r="X1660" i="1" s="1"/>
  <c r="X1661" i="1" a="1"/>
  <c r="X1661" i="1"/>
  <c r="X1662" i="1" a="1"/>
  <c r="X1662" i="1" s="1"/>
  <c r="X1663" i="1" a="1"/>
  <c r="X1663" i="1"/>
  <c r="X1664" i="1" a="1"/>
  <c r="X1664" i="1" s="1"/>
  <c r="X1665" i="1" a="1"/>
  <c r="X1665" i="1" s="1"/>
  <c r="X1666" i="1" a="1"/>
  <c r="X1666" i="1" s="1"/>
  <c r="X1667" i="1" a="1"/>
  <c r="X1667" i="1" s="1"/>
  <c r="X1668" i="1" a="1"/>
  <c r="X1668" i="1"/>
  <c r="X1669" i="1" a="1"/>
  <c r="X1669" i="1" s="1"/>
  <c r="X1670" i="1" a="1"/>
  <c r="X1670" i="1"/>
  <c r="X1671" i="1" a="1"/>
  <c r="X1671" i="1" s="1"/>
  <c r="X1672" i="1" a="1"/>
  <c r="X1672" i="1" s="1"/>
  <c r="X1673" i="1" a="1"/>
  <c r="X1673" i="1" s="1"/>
  <c r="X1674" i="1" a="1"/>
  <c r="X1674" i="1" s="1"/>
  <c r="X1675" i="1" a="1"/>
  <c r="X1675" i="1"/>
  <c r="X1676" i="1" a="1"/>
  <c r="X1676" i="1" s="1"/>
  <c r="X1677" i="1" a="1"/>
  <c r="X1677" i="1" s="1"/>
  <c r="X1678" i="1" a="1"/>
  <c r="X1678" i="1" s="1"/>
  <c r="X1679" i="1" a="1"/>
  <c r="X1679" i="1"/>
  <c r="X1680" i="1" a="1"/>
  <c r="X1680" i="1" s="1"/>
  <c r="X1681" i="1" a="1"/>
  <c r="X1681" i="1" s="1"/>
  <c r="X1682" i="1" a="1"/>
  <c r="X1682" i="1" s="1"/>
  <c r="X1683" i="1" a="1"/>
  <c r="X1683" i="1" s="1"/>
  <c r="X1684" i="1" a="1"/>
  <c r="X1684" i="1" s="1"/>
  <c r="X1685" i="1" a="1"/>
  <c r="X1685" i="1" s="1"/>
  <c r="X1686" i="1" a="1"/>
  <c r="X1686" i="1" s="1"/>
  <c r="X1687" i="1" a="1"/>
  <c r="X1687" i="1"/>
  <c r="X1688" i="1" a="1"/>
  <c r="X1688" i="1" s="1"/>
  <c r="X1689" i="1" a="1"/>
  <c r="X1689" i="1" s="1"/>
  <c r="X1690" i="1" a="1"/>
  <c r="X1690" i="1"/>
  <c r="X1691" i="1" a="1"/>
  <c r="X1691" i="1" s="1"/>
  <c r="X1692" i="1" a="1"/>
  <c r="X1692" i="1" s="1"/>
  <c r="X1693" i="1" a="1"/>
  <c r="X1693" i="1" s="1"/>
  <c r="X1694" i="1" a="1"/>
  <c r="X1694" i="1"/>
  <c r="X1695" i="1" a="1"/>
  <c r="X1695" i="1" s="1"/>
  <c r="X1696" i="1" a="1"/>
  <c r="X1696" i="1" s="1"/>
  <c r="X1697" i="1" a="1"/>
  <c r="X1697" i="1" s="1"/>
  <c r="X1698" i="1" a="1"/>
  <c r="X1698" i="1" s="1"/>
  <c r="X1699" i="1" a="1"/>
  <c r="X1699" i="1"/>
  <c r="X1700" i="1" a="1"/>
  <c r="X1700" i="1" s="1"/>
  <c r="X1701" i="1" a="1"/>
  <c r="X1701" i="1" s="1"/>
  <c r="X1702" i="1" a="1"/>
  <c r="X1702" i="1"/>
  <c r="X1703" i="1" a="1"/>
  <c r="X1703" i="1" s="1"/>
  <c r="X1704" i="1" a="1"/>
  <c r="X1704" i="1" s="1"/>
  <c r="X1705" i="1" a="1"/>
  <c r="X1705" i="1" s="1"/>
  <c r="X1706" i="1" a="1"/>
  <c r="X1706" i="1" s="1"/>
  <c r="X1707" i="1" a="1"/>
  <c r="X1707" i="1"/>
  <c r="X1708" i="1" a="1"/>
  <c r="X1708" i="1" s="1"/>
  <c r="X1709" i="1" a="1"/>
  <c r="X1709" i="1"/>
  <c r="X1710" i="1" a="1"/>
  <c r="X1710" i="1" s="1"/>
  <c r="X1711" i="1" a="1"/>
  <c r="X1711" i="1" s="1"/>
  <c r="X1712" i="1" a="1"/>
  <c r="X1712" i="1" s="1"/>
  <c r="X1713" i="1" a="1"/>
  <c r="X1713" i="1" s="1"/>
  <c r="X1714" i="1" a="1"/>
  <c r="X1714" i="1"/>
  <c r="X1715" i="1" a="1"/>
  <c r="X1715" i="1" s="1"/>
  <c r="X1716" i="1" a="1"/>
  <c r="X1716" i="1" s="1"/>
  <c r="X1717" i="1" a="1"/>
  <c r="X1717" i="1" s="1"/>
  <c r="X1718" i="1" a="1"/>
  <c r="X1718" i="1"/>
  <c r="X1719" i="1" a="1"/>
  <c r="X1719" i="1" s="1"/>
  <c r="X1720" i="1" a="1"/>
  <c r="X1720" i="1" s="1"/>
  <c r="X1721" i="1" a="1"/>
  <c r="X1721" i="1" s="1"/>
  <c r="X1722" i="1" a="1"/>
  <c r="X1722" i="1"/>
  <c r="X1723" i="1" a="1"/>
  <c r="X1723" i="1" s="1"/>
  <c r="X1724" i="1" a="1"/>
  <c r="X1724" i="1"/>
  <c r="X1725" i="1" a="1"/>
  <c r="X1725" i="1" s="1"/>
  <c r="X1726" i="1" a="1"/>
  <c r="X1726" i="1"/>
  <c r="X1727" i="1" a="1"/>
  <c r="X1727" i="1" s="1"/>
  <c r="X1728" i="1" a="1"/>
  <c r="X1728" i="1" s="1"/>
  <c r="X1729" i="1" a="1"/>
  <c r="X1729" i="1" s="1"/>
  <c r="X1730" i="1" a="1"/>
  <c r="X1730" i="1" s="1"/>
  <c r="X1731" i="1" a="1"/>
  <c r="X1731" i="1"/>
  <c r="X1732" i="1" a="1"/>
  <c r="X1732" i="1" s="1"/>
  <c r="X1733" i="1" a="1"/>
  <c r="X1733" i="1" s="1"/>
  <c r="X1734" i="1" a="1"/>
  <c r="X1734" i="1" s="1"/>
  <c r="X1735" i="1" a="1"/>
  <c r="X1735" i="1"/>
  <c r="X1736" i="1" a="1"/>
  <c r="X1736" i="1" s="1"/>
  <c r="X1737" i="1" a="1"/>
  <c r="X1737" i="1" s="1"/>
  <c r="X1738" i="1" a="1"/>
  <c r="X1738" i="1" s="1"/>
  <c r="X1739" i="1" a="1"/>
  <c r="X1739" i="1" s="1"/>
  <c r="X1740" i="1" a="1"/>
  <c r="X1740" i="1" s="1"/>
  <c r="X1741" i="1" a="1"/>
  <c r="X1741" i="1" s="1"/>
  <c r="X1742" i="1" a="1"/>
  <c r="X1742" i="1"/>
  <c r="X1743" i="1" a="1"/>
  <c r="X1743" i="1" s="1"/>
  <c r="X1744" i="1" a="1"/>
  <c r="X1744" i="1" s="1"/>
  <c r="X1745" i="1" a="1"/>
  <c r="X1745" i="1" s="1"/>
  <c r="X1746" i="1" a="1"/>
  <c r="X1746" i="1" s="1"/>
  <c r="X1747" i="1" a="1"/>
  <c r="X1747" i="1" s="1"/>
  <c r="X1748" i="1" a="1"/>
  <c r="X1748" i="1"/>
  <c r="X1749" i="1" a="1"/>
  <c r="X1749" i="1" s="1"/>
  <c r="X1750" i="1" a="1"/>
  <c r="X1750" i="1"/>
  <c r="X1751" i="1" a="1"/>
  <c r="X1751" i="1" s="1"/>
  <c r="X1752" i="1" a="1"/>
  <c r="X1752" i="1" s="1"/>
  <c r="X1753" i="1" a="1"/>
  <c r="X1753" i="1" s="1"/>
  <c r="X1754" i="1" a="1"/>
  <c r="X1754" i="1" s="1"/>
  <c r="X1755" i="1" a="1"/>
  <c r="X1755" i="1"/>
  <c r="X1756" i="1" a="1"/>
  <c r="X1756" i="1" s="1"/>
  <c r="X1757" i="1" a="1"/>
  <c r="X1757" i="1"/>
  <c r="X1758" i="1" a="1"/>
  <c r="X1758" i="1" s="1"/>
  <c r="X1759" i="1" a="1"/>
  <c r="X1759" i="1" s="1"/>
  <c r="X1760" i="1" a="1"/>
  <c r="X1760" i="1" s="1"/>
  <c r="X1761" i="1" a="1"/>
  <c r="X1761" i="1" s="1"/>
  <c r="X1762" i="1" a="1"/>
  <c r="X1762" i="1"/>
  <c r="X1763" i="1" a="1"/>
  <c r="X1763" i="1" s="1"/>
  <c r="X1764" i="1" a="1"/>
  <c r="X1764" i="1" s="1"/>
  <c r="X1765" i="1" a="1"/>
  <c r="X1765" i="1" s="1"/>
  <c r="X1766" i="1" a="1"/>
  <c r="X1766" i="1" s="1"/>
  <c r="X1767" i="1" a="1"/>
  <c r="X1767" i="1"/>
  <c r="X1768" i="1" a="1"/>
  <c r="X1768" i="1" s="1"/>
  <c r="X1769" i="1" a="1"/>
  <c r="X1769" i="1" s="1"/>
  <c r="X1770" i="1" a="1"/>
  <c r="X1770" i="1"/>
  <c r="X1771" i="1" a="1"/>
  <c r="X1771" i="1" s="1"/>
  <c r="X1772" i="1" a="1"/>
  <c r="X1772" i="1"/>
  <c r="X1773" i="1" a="1"/>
  <c r="X1773" i="1" s="1"/>
  <c r="X1774" i="1" a="1"/>
  <c r="X1774" i="1" s="1"/>
  <c r="X1775" i="1" a="1"/>
  <c r="X1775" i="1" s="1"/>
  <c r="X1776" i="1" a="1"/>
  <c r="X1776" i="1" s="1"/>
  <c r="X1777" i="1" a="1"/>
  <c r="X1777" i="1" s="1"/>
  <c r="X1778" i="1" a="1"/>
  <c r="X1778" i="1" s="1"/>
  <c r="X1779" i="1" a="1"/>
  <c r="X1779" i="1" s="1"/>
  <c r="X1780" i="1" a="1"/>
  <c r="X1780" i="1" s="1"/>
  <c r="X1781" i="1" a="1"/>
  <c r="X1781" i="1"/>
  <c r="X1782" i="1" a="1"/>
  <c r="X1782" i="1" s="1"/>
  <c r="X1783" i="1" a="1"/>
  <c r="X1783" i="1" s="1"/>
  <c r="X1784" i="1" a="1"/>
  <c r="X1784" i="1" s="1"/>
  <c r="X1785" i="1" a="1"/>
  <c r="X1785" i="1" s="1"/>
  <c r="X1786" i="1" a="1"/>
  <c r="X1786" i="1" s="1"/>
  <c r="X1787" i="1" a="1"/>
  <c r="X1787" i="1"/>
  <c r="X1788" i="1" a="1"/>
  <c r="X1788" i="1" s="1"/>
  <c r="X1789" i="1" a="1"/>
  <c r="X1789" i="1"/>
  <c r="X1790" i="1" a="1"/>
  <c r="X1790" i="1" s="1"/>
  <c r="X1791" i="1" a="1"/>
  <c r="X1791" i="1"/>
  <c r="X1792" i="1" a="1"/>
  <c r="X1792" i="1" s="1"/>
  <c r="X1793" i="1" a="1"/>
  <c r="X1793" i="1" s="1"/>
  <c r="X1794" i="1" a="1"/>
  <c r="X1794" i="1"/>
  <c r="X1795" i="1" a="1"/>
  <c r="X1795" i="1" s="1"/>
  <c r="X1796" i="1" a="1"/>
  <c r="X1796" i="1"/>
  <c r="X1797" i="1" a="1"/>
  <c r="X1797" i="1" s="1"/>
  <c r="X1798" i="1" a="1"/>
  <c r="X1798" i="1"/>
  <c r="X1799" i="1" a="1"/>
  <c r="X1799" i="1" s="1"/>
  <c r="X1800" i="1" a="1"/>
  <c r="X1800" i="1" s="1"/>
  <c r="X1801" i="1" a="1"/>
  <c r="X1801" i="1" s="1"/>
  <c r="X1802" i="1" a="1"/>
  <c r="X1802" i="1" s="1"/>
  <c r="X1803" i="1" a="1"/>
  <c r="X1803" i="1" s="1"/>
  <c r="X1804" i="1" a="1"/>
  <c r="X1804" i="1" s="1"/>
  <c r="X1805" i="1" a="1"/>
  <c r="X1805" i="1"/>
  <c r="X1806" i="1" a="1"/>
  <c r="X1806" i="1" s="1"/>
  <c r="X1807" i="1" a="1"/>
  <c r="X1807" i="1" s="1"/>
  <c r="X1808" i="1" a="1"/>
  <c r="X1808" i="1" s="1"/>
  <c r="X1809" i="1" a="1"/>
  <c r="X1809" i="1" s="1"/>
  <c r="X1810" i="1" a="1"/>
  <c r="X1810" i="1"/>
  <c r="X1811" i="1" a="1"/>
  <c r="X1811" i="1" s="1"/>
  <c r="X1812" i="1" a="1"/>
  <c r="X1812" i="1" s="1"/>
  <c r="X1813" i="1" a="1"/>
  <c r="X1813" i="1"/>
  <c r="X1814" i="1" a="1"/>
  <c r="X1814" i="1" s="1"/>
  <c r="X1815" i="1" a="1"/>
  <c r="X1815" i="1"/>
  <c r="X1816" i="1" a="1"/>
  <c r="X1816" i="1" s="1"/>
  <c r="X1817" i="1" a="1"/>
  <c r="X1817" i="1" s="1"/>
  <c r="X1818" i="1" a="1"/>
  <c r="X1818" i="1"/>
  <c r="X1819" i="1" a="1"/>
  <c r="X1819" i="1" s="1"/>
  <c r="X1820" i="1" a="1"/>
  <c r="X1820" i="1" s="1"/>
  <c r="X1821" i="1" a="1"/>
  <c r="X1821" i="1" s="1"/>
  <c r="X1822" i="1" a="1"/>
  <c r="X1822" i="1" s="1"/>
  <c r="X1823" i="1" a="1"/>
  <c r="X1823" i="1" s="1"/>
  <c r="X1824" i="1" a="1"/>
  <c r="X1824" i="1" s="1"/>
  <c r="X1825" i="1" a="1"/>
  <c r="X1825" i="1" s="1"/>
  <c r="X1826" i="1" a="1"/>
  <c r="X1826" i="1" s="1"/>
  <c r="X1827" i="1" a="1"/>
  <c r="X1827" i="1" s="1"/>
  <c r="X1828" i="1" a="1"/>
  <c r="X1828" i="1" s="1"/>
  <c r="X1829" i="1" a="1"/>
  <c r="X1829" i="1" s="1"/>
  <c r="X1830" i="1" a="1"/>
  <c r="X1830" i="1"/>
  <c r="X1831" i="1" a="1"/>
  <c r="X1831" i="1" s="1"/>
  <c r="X1832" i="1" a="1"/>
  <c r="X1832" i="1" s="1"/>
  <c r="X1833" i="1" a="1"/>
  <c r="X1833" i="1" s="1"/>
  <c r="X1834" i="1" a="1"/>
  <c r="X1834" i="1" s="1"/>
  <c r="X1835" i="1" a="1"/>
  <c r="X1835" i="1" s="1"/>
  <c r="X1836" i="1" a="1"/>
  <c r="X1836" i="1" s="1"/>
  <c r="X1837" i="1" a="1"/>
  <c r="X1837" i="1"/>
  <c r="X1838" i="1" a="1"/>
  <c r="X1838" i="1" s="1"/>
  <c r="X1839" i="1" a="1"/>
  <c r="X1839" i="1"/>
  <c r="X1840" i="1" a="1"/>
  <c r="X1840" i="1" s="1"/>
  <c r="X1841" i="1" a="1"/>
  <c r="X1841" i="1" s="1"/>
  <c r="X1842" i="1" a="1"/>
  <c r="X1842" i="1" s="1"/>
  <c r="X1843" i="1" a="1"/>
  <c r="X1843" i="1" s="1"/>
  <c r="X1844" i="1" a="1"/>
  <c r="X1844" i="1"/>
  <c r="X1845" i="1" a="1"/>
  <c r="X1845" i="1"/>
  <c r="X1846" i="1" a="1"/>
  <c r="X1846" i="1" s="1"/>
  <c r="X1847" i="1" a="1"/>
  <c r="X1847" i="1" s="1"/>
  <c r="X1848" i="1" a="1"/>
  <c r="X1848" i="1" s="1"/>
  <c r="X1849" i="1" a="1"/>
  <c r="X1849" i="1" s="1"/>
  <c r="X1850" i="1" a="1"/>
  <c r="X1850" i="1"/>
  <c r="X1851" i="1" a="1"/>
  <c r="X1851" i="1" s="1"/>
  <c r="X1852" i="1" a="1"/>
  <c r="X1852" i="1"/>
  <c r="X1853" i="1" a="1"/>
  <c r="X1853" i="1" s="1"/>
  <c r="X1854" i="1" a="1"/>
  <c r="X1854" i="1" s="1"/>
  <c r="X1855" i="1" a="1"/>
  <c r="X1855" i="1" s="1"/>
  <c r="X1856" i="1" a="1"/>
  <c r="X1856" i="1" s="1"/>
  <c r="X1857" i="1" a="1"/>
  <c r="X1857" i="1" s="1"/>
  <c r="X1858" i="1" a="1"/>
  <c r="X1858" i="1" s="1"/>
  <c r="X1859" i="1" a="1"/>
  <c r="X1859" i="1" s="1"/>
  <c r="X1860" i="1" a="1"/>
  <c r="X1860" i="1" s="1"/>
  <c r="X1861" i="1" a="1"/>
  <c r="X1861" i="1"/>
  <c r="X1862" i="1" a="1"/>
  <c r="X1862" i="1" s="1"/>
  <c r="X1863" i="1" a="1"/>
  <c r="X1863" i="1" s="1"/>
  <c r="X1864" i="1" a="1"/>
  <c r="X1864" i="1" s="1"/>
  <c r="X1865" i="1" a="1"/>
  <c r="X1865" i="1" s="1"/>
  <c r="X1866" i="1" a="1"/>
  <c r="X1866" i="1" s="1"/>
  <c r="X1867" i="1" a="1"/>
  <c r="X1867" i="1" s="1"/>
  <c r="X1868" i="1" a="1"/>
  <c r="X1868" i="1"/>
  <c r="X1869" i="1" a="1"/>
  <c r="X1869" i="1" s="1"/>
  <c r="X1870" i="1" a="1"/>
  <c r="X1870" i="1" s="1"/>
  <c r="X1871" i="1" a="1"/>
  <c r="X1871" i="1" s="1"/>
  <c r="X1872" i="1" a="1"/>
  <c r="X1872" i="1" s="1"/>
  <c r="X1873" i="1" a="1"/>
  <c r="X1873" i="1" s="1"/>
  <c r="X1874" i="1" a="1"/>
  <c r="X1874" i="1"/>
  <c r="X1875" i="1" a="1"/>
  <c r="X1875" i="1" s="1"/>
  <c r="X1876" i="1" a="1"/>
  <c r="X1876" i="1"/>
  <c r="X1877" i="1" a="1"/>
  <c r="X1877" i="1" s="1"/>
  <c r="X1878" i="1" a="1"/>
  <c r="X1878" i="1" s="1"/>
  <c r="X1879" i="1" a="1"/>
  <c r="X1879" i="1" s="1"/>
  <c r="X1880" i="1" a="1"/>
  <c r="X1880" i="1" s="1"/>
  <c r="X1881" i="1" a="1"/>
  <c r="X1881" i="1" s="1"/>
  <c r="X1882" i="1" a="1"/>
  <c r="X1882" i="1" s="1"/>
  <c r="X1883" i="1" a="1"/>
  <c r="X1883" i="1" s="1"/>
  <c r="X1884" i="1" a="1"/>
  <c r="X1884" i="1" s="1"/>
  <c r="X1885" i="1" a="1"/>
  <c r="X1885" i="1" s="1"/>
  <c r="X1886" i="1" a="1"/>
  <c r="X1886" i="1" s="1"/>
  <c r="X1887" i="1" a="1"/>
  <c r="X1887" i="1"/>
  <c r="X1888" i="1" a="1"/>
  <c r="X1888" i="1" s="1"/>
  <c r="X1889" i="1" a="1"/>
  <c r="X1889" i="1" s="1"/>
  <c r="X1890" i="1" a="1"/>
  <c r="X1890" i="1" s="1"/>
  <c r="X1891" i="1" a="1"/>
  <c r="X1891" i="1" s="1"/>
  <c r="X1892" i="1" a="1"/>
  <c r="X1892" i="1"/>
  <c r="X1893" i="1" a="1"/>
  <c r="X1893" i="1" s="1"/>
  <c r="X1894" i="1" a="1"/>
  <c r="X1894" i="1" s="1"/>
  <c r="X1895" i="1" a="1"/>
  <c r="X1895" i="1"/>
  <c r="X1896" i="1" a="1"/>
  <c r="X1896" i="1" s="1"/>
  <c r="X1897" i="1" a="1"/>
  <c r="X1897" i="1" s="1"/>
  <c r="X1898" i="1" a="1"/>
  <c r="X1898" i="1" s="1"/>
  <c r="X1899" i="1" a="1"/>
  <c r="X1899" i="1" s="1"/>
  <c r="X1900" i="1" a="1"/>
  <c r="X1900" i="1"/>
  <c r="X1901" i="1" a="1"/>
  <c r="X1901" i="1" s="1"/>
  <c r="X1902" i="1" a="1"/>
  <c r="X1902" i="1" s="1"/>
  <c r="X1903" i="1" a="1"/>
  <c r="X1903" i="1"/>
  <c r="X1904" i="1" a="1"/>
  <c r="X1904" i="1" s="1"/>
  <c r="X1905" i="1" a="1"/>
  <c r="X1905" i="1" s="1"/>
  <c r="X1906" i="1" a="1"/>
  <c r="X1906" i="1" s="1"/>
  <c r="X1907" i="1" a="1"/>
  <c r="X1907" i="1"/>
  <c r="X1908" i="1" a="1"/>
  <c r="X1908" i="1" s="1"/>
  <c r="X1909" i="1" a="1"/>
  <c r="X1909" i="1" s="1"/>
  <c r="X1910" i="1" a="1"/>
  <c r="X1910" i="1" s="1"/>
  <c r="X1911" i="1" a="1"/>
  <c r="X1911" i="1" s="1"/>
  <c r="X1912" i="1" a="1"/>
  <c r="X1912" i="1" s="1"/>
  <c r="X1913" i="1" a="1"/>
  <c r="X1913" i="1" s="1"/>
  <c r="X1914" i="1" a="1"/>
  <c r="X1914" i="1" s="1"/>
  <c r="X1915" i="1" a="1"/>
  <c r="X1915" i="1"/>
  <c r="X1916" i="1" a="1"/>
  <c r="X1916" i="1" s="1"/>
  <c r="X1917" i="1" a="1"/>
  <c r="X1917" i="1" s="1"/>
  <c r="X1918" i="1" a="1"/>
  <c r="X1918" i="1" s="1"/>
  <c r="X1919" i="1" a="1"/>
  <c r="X1919" i="1"/>
  <c r="X1920" i="1" a="1"/>
  <c r="X1920" i="1" s="1"/>
  <c r="X1921" i="1" a="1"/>
  <c r="X1921" i="1" s="1"/>
  <c r="X1922" i="1" a="1"/>
  <c r="X1922" i="1" s="1"/>
  <c r="X1923" i="1" a="1"/>
  <c r="X1923" i="1" s="1"/>
  <c r="X1924" i="1" a="1"/>
  <c r="X1924" i="1"/>
  <c r="X1925" i="1" a="1"/>
  <c r="X1925" i="1" s="1"/>
  <c r="X1926" i="1" a="1"/>
  <c r="X1926" i="1" s="1"/>
  <c r="X1927" i="1" a="1"/>
  <c r="X1927" i="1" s="1"/>
  <c r="X1928" i="1" a="1"/>
  <c r="X1928" i="1" s="1"/>
  <c r="X1929" i="1" a="1"/>
  <c r="X1929" i="1" s="1"/>
  <c r="X1930" i="1" a="1"/>
  <c r="X1930" i="1" s="1"/>
  <c r="X1931" i="1" a="1"/>
  <c r="X1931" i="1"/>
  <c r="X1932" i="1" a="1"/>
  <c r="X1932" i="1"/>
  <c r="X1933" i="1" a="1"/>
  <c r="X1933" i="1" s="1"/>
  <c r="X1934" i="1" a="1"/>
  <c r="X1934" i="1" s="1"/>
  <c r="X1935" i="1" a="1"/>
  <c r="X1935" i="1"/>
  <c r="X1936" i="1" a="1"/>
  <c r="X1936" i="1" s="1"/>
  <c r="X1937" i="1" a="1"/>
  <c r="X1937" i="1" s="1"/>
  <c r="X1938" i="1" a="1"/>
  <c r="X1938" i="1" s="1"/>
  <c r="X1939" i="1" a="1"/>
  <c r="X1939" i="1" s="1"/>
  <c r="X1940" i="1" a="1"/>
  <c r="X1940" i="1" s="1"/>
  <c r="X1941" i="1" a="1"/>
  <c r="X1941" i="1"/>
  <c r="X1942" i="1" a="1"/>
  <c r="X1942" i="1" s="1"/>
  <c r="X1943" i="1" a="1"/>
  <c r="X1943" i="1" s="1"/>
  <c r="X1944" i="1" a="1"/>
  <c r="X1944" i="1" s="1"/>
  <c r="X1945" i="1" a="1"/>
  <c r="X1945" i="1" s="1"/>
  <c r="X1946" i="1" a="1"/>
  <c r="X1946" i="1" s="1"/>
  <c r="X1947" i="1" a="1"/>
  <c r="X1947" i="1" s="1"/>
  <c r="X1948" i="1" a="1"/>
  <c r="X1948" i="1" s="1"/>
  <c r="X1949" i="1" a="1"/>
  <c r="X1949" i="1" s="1"/>
  <c r="X1950" i="1" a="1"/>
  <c r="X1950" i="1"/>
  <c r="X1951" i="1" a="1"/>
  <c r="X1951" i="1" s="1"/>
  <c r="X1952" i="1" a="1"/>
  <c r="X1952" i="1" s="1"/>
  <c r="X1953" i="1" a="1"/>
  <c r="X1953" i="1" s="1"/>
  <c r="X1954" i="1" a="1"/>
  <c r="X1954" i="1"/>
  <c r="X1955" i="1" a="1"/>
  <c r="X1955" i="1" s="1"/>
  <c r="X1956" i="1" a="1"/>
  <c r="X1956" i="1" s="1"/>
  <c r="X1957" i="1" a="1"/>
  <c r="X1957" i="1" s="1"/>
  <c r="X1958" i="1" a="1"/>
  <c r="X1958" i="1" s="1"/>
  <c r="X1959" i="1" a="1"/>
  <c r="X1959" i="1"/>
  <c r="X1960" i="1" a="1"/>
  <c r="X1960" i="1" s="1"/>
  <c r="X1961" i="1" a="1"/>
  <c r="X1961" i="1" s="1"/>
  <c r="X1962" i="1" a="1"/>
  <c r="X1962" i="1" s="1"/>
  <c r="X1963" i="1" a="1"/>
  <c r="X1963" i="1"/>
  <c r="X1964" i="1" a="1"/>
  <c r="X1964" i="1" s="1"/>
  <c r="X1965" i="1" a="1"/>
  <c r="X1965" i="1" s="1"/>
  <c r="X1966" i="1" a="1"/>
  <c r="X1966" i="1" s="1"/>
  <c r="X1967" i="1" a="1"/>
  <c r="X1967" i="1" s="1"/>
  <c r="X1968" i="1" a="1"/>
  <c r="X1968" i="1" s="1"/>
  <c r="X1969" i="1" a="1"/>
  <c r="X1969" i="1" s="1"/>
  <c r="X1970" i="1" a="1"/>
  <c r="X1970" i="1" s="1"/>
  <c r="X1971" i="1" a="1"/>
  <c r="X1971" i="1" s="1"/>
  <c r="X1972" i="1" a="1"/>
  <c r="X1972" i="1"/>
  <c r="X1973" i="1" a="1"/>
  <c r="X1973" i="1" s="1"/>
  <c r="X1974" i="1" a="1"/>
  <c r="X1974" i="1" s="1"/>
  <c r="X1975" i="1" a="1"/>
  <c r="X1975" i="1" s="1"/>
  <c r="X1976" i="1" a="1"/>
  <c r="X1976" i="1" s="1"/>
  <c r="X1977" i="1" a="1"/>
  <c r="X1977" i="1" s="1"/>
  <c r="X1978" i="1" a="1"/>
  <c r="X1978" i="1"/>
  <c r="X1979" i="1" a="1"/>
  <c r="X1979" i="1" s="1"/>
  <c r="X1980" i="1" a="1"/>
  <c r="X1980" i="1" s="1"/>
  <c r="X1981" i="1" a="1"/>
  <c r="X1981" i="1"/>
  <c r="X1982" i="1" a="1"/>
  <c r="X1982" i="1" s="1"/>
  <c r="X1983" i="1" a="1"/>
  <c r="X1983" i="1" s="1"/>
  <c r="X1984" i="1" a="1"/>
  <c r="X1984" i="1" s="1"/>
  <c r="X1985" i="1" a="1"/>
  <c r="X1985" i="1" s="1"/>
  <c r="X1986" i="1" a="1"/>
  <c r="X1986" i="1" s="1"/>
  <c r="X1987" i="1" a="1"/>
  <c r="X1987" i="1"/>
  <c r="X1988" i="1" a="1"/>
  <c r="X1988" i="1" s="1"/>
  <c r="X1989" i="1" a="1"/>
  <c r="X1989" i="1" s="1"/>
  <c r="X1990" i="1" a="1"/>
  <c r="X1990" i="1"/>
  <c r="X1991" i="1" a="1"/>
  <c r="X1991" i="1" s="1"/>
  <c r="X1992" i="1" a="1"/>
  <c r="X1992" i="1" s="1"/>
  <c r="X1993" i="1" a="1"/>
  <c r="X1993" i="1" s="1"/>
  <c r="X1994" i="1" a="1"/>
  <c r="X1994" i="1" s="1"/>
  <c r="X1995" i="1" a="1"/>
  <c r="X1995" i="1" s="1"/>
  <c r="X1996" i="1" a="1"/>
  <c r="X1996" i="1"/>
  <c r="X1997" i="1" a="1"/>
  <c r="X1997" i="1" s="1"/>
  <c r="X1998" i="1" a="1"/>
  <c r="X1998" i="1" s="1"/>
  <c r="X1999" i="1" a="1"/>
  <c r="X1999" i="1"/>
  <c r="X2000" i="1" a="1"/>
  <c r="X2000" i="1" s="1"/>
  <c r="X2001" i="1" a="1"/>
  <c r="X2001" i="1" s="1"/>
  <c r="X2002" i="1" a="1"/>
  <c r="X2002" i="1" s="1"/>
  <c r="X2003" i="1" a="1"/>
  <c r="X2003" i="1" s="1"/>
  <c r="X2004" i="1" a="1"/>
  <c r="X2004" i="1" s="1"/>
  <c r="X2005" i="1" a="1"/>
  <c r="X2005" i="1"/>
  <c r="X2006" i="1" a="1"/>
  <c r="X2006" i="1" s="1"/>
  <c r="X2007" i="1" a="1"/>
  <c r="X2007" i="1" s="1"/>
  <c r="X2008" i="1" a="1"/>
  <c r="X2008" i="1" s="1"/>
  <c r="X2009" i="1" a="1"/>
  <c r="X2009" i="1" s="1"/>
  <c r="X2010" i="1" a="1"/>
  <c r="X2010" i="1" s="1"/>
  <c r="X2011" i="1" a="1"/>
  <c r="X2011" i="1" s="1"/>
  <c r="X2012" i="1" a="1"/>
  <c r="X2012" i="1" s="1"/>
  <c r="X2013" i="1" a="1"/>
  <c r="X2013" i="1" s="1"/>
  <c r="X2014" i="1" a="1"/>
  <c r="X2014" i="1"/>
  <c r="X2015" i="1" a="1"/>
  <c r="X2015" i="1" s="1"/>
  <c r="X2016" i="1" a="1"/>
  <c r="X2016" i="1" s="1"/>
  <c r="X2017" i="1" a="1"/>
  <c r="X2017" i="1" s="1"/>
  <c r="X2018" i="1" a="1"/>
  <c r="X2018" i="1"/>
  <c r="X2019" i="1" a="1"/>
  <c r="X2019" i="1" s="1"/>
  <c r="X2020" i="1" a="1"/>
  <c r="X2020" i="1" s="1"/>
  <c r="X2021" i="1" a="1"/>
  <c r="X2021" i="1" s="1"/>
  <c r="X2022" i="1" a="1"/>
  <c r="X2022" i="1" s="1"/>
  <c r="X2023" i="1" a="1"/>
  <c r="X2023" i="1"/>
  <c r="X2024" i="1" a="1"/>
  <c r="X2024" i="1" s="1"/>
  <c r="X2025" i="1" a="1"/>
  <c r="X2025" i="1" s="1"/>
  <c r="X2026" i="1" a="1"/>
  <c r="X2026" i="1" s="1"/>
  <c r="X2027" i="1" a="1"/>
  <c r="X2027" i="1"/>
  <c r="X2028" i="1" a="1"/>
  <c r="X2028" i="1" s="1"/>
  <c r="X2029" i="1" a="1"/>
  <c r="X2029" i="1" s="1"/>
  <c r="X2030" i="1" a="1"/>
  <c r="X2030" i="1" s="1"/>
  <c r="X2031" i="1" a="1"/>
  <c r="X2031" i="1" s="1"/>
  <c r="X2032" i="1" a="1"/>
  <c r="X2032" i="1" s="1"/>
  <c r="X2033" i="1" a="1"/>
  <c r="X2033" i="1" s="1"/>
  <c r="X2034" i="1" a="1"/>
  <c r="X2034" i="1" s="1"/>
  <c r="X2035" i="1" a="1"/>
  <c r="X2035" i="1" s="1"/>
  <c r="X2036" i="1" a="1"/>
  <c r="X2036" i="1"/>
  <c r="X2037" i="1" a="1"/>
  <c r="X2037" i="1" s="1"/>
  <c r="X2038" i="1" a="1"/>
  <c r="X2038" i="1" s="1"/>
  <c r="X2039" i="1" a="1"/>
  <c r="X2039" i="1" s="1"/>
  <c r="X2040" i="1" a="1"/>
  <c r="X2040" i="1" s="1"/>
  <c r="X2041" i="1" a="1"/>
  <c r="X2041" i="1" s="1"/>
  <c r="X2042" i="1" a="1"/>
  <c r="X2042" i="1"/>
  <c r="X2043" i="1" a="1"/>
  <c r="X2043" i="1" s="1"/>
  <c r="X2044" i="1" a="1"/>
  <c r="X2044" i="1" s="1"/>
  <c r="X2045" i="1" a="1"/>
  <c r="X2045" i="1"/>
  <c r="X2046" i="1" a="1"/>
  <c r="X2046" i="1" s="1"/>
  <c r="X2047" i="1" a="1"/>
  <c r="X2047" i="1" s="1"/>
  <c r="X2048" i="1" a="1"/>
  <c r="X2048" i="1" s="1"/>
  <c r="X2049" i="1" a="1"/>
  <c r="X2049" i="1" s="1"/>
  <c r="X2050" i="1" a="1"/>
  <c r="X2050" i="1" s="1"/>
  <c r="X2051" i="1" a="1"/>
  <c r="X2051" i="1"/>
  <c r="X2052" i="1" a="1"/>
  <c r="X2052" i="1" s="1"/>
  <c r="X2053" i="1" a="1"/>
  <c r="X2053" i="1" s="1"/>
  <c r="X2054" i="1" a="1"/>
  <c r="X2054" i="1" s="1"/>
  <c r="X2055" i="1" a="1"/>
  <c r="X2055" i="1" s="1"/>
  <c r="X2056" i="1" a="1"/>
  <c r="X2056" i="1" s="1"/>
  <c r="X2057" i="1" a="1"/>
  <c r="X2057" i="1" s="1"/>
  <c r="X2058" i="1" a="1"/>
  <c r="X2058" i="1" s="1"/>
  <c r="X2059" i="1" a="1"/>
  <c r="X2059" i="1" s="1"/>
  <c r="X2060" i="1" a="1"/>
  <c r="X2060" i="1" s="1"/>
  <c r="X2061" i="1" a="1"/>
  <c r="X2061" i="1" s="1"/>
  <c r="X2062" i="1" a="1"/>
  <c r="X2062" i="1" s="1"/>
  <c r="X2063" i="1" a="1"/>
  <c r="X2063" i="1" s="1"/>
  <c r="X2064" i="1" a="1"/>
  <c r="X2064" i="1" s="1"/>
  <c r="X2065" i="1" a="1"/>
  <c r="X2065" i="1" s="1"/>
  <c r="X2066" i="1" a="1"/>
  <c r="X2066" i="1" s="1"/>
  <c r="X2067" i="1" a="1"/>
  <c r="X2067" i="1" s="1"/>
  <c r="X2068" i="1" a="1"/>
  <c r="X2068" i="1" s="1"/>
  <c r="X2069" i="1" a="1"/>
  <c r="X2069" i="1" s="1"/>
  <c r="X2070" i="1" a="1"/>
  <c r="X2070" i="1" s="1"/>
  <c r="X2071" i="1" a="1"/>
  <c r="X2071" i="1" s="1"/>
  <c r="X2072" i="1" a="1"/>
  <c r="X2072" i="1" s="1"/>
  <c r="X2073" i="1" a="1"/>
  <c r="X2073" i="1" s="1"/>
  <c r="X2074" i="1" a="1"/>
  <c r="X2074" i="1" s="1"/>
  <c r="X2075" i="1" a="1"/>
  <c r="X2075" i="1"/>
  <c r="X2076" i="1" a="1"/>
  <c r="X2076" i="1"/>
  <c r="X2077" i="1" a="1"/>
  <c r="X2077" i="1"/>
  <c r="X2078" i="1" a="1"/>
  <c r="X2078" i="1"/>
  <c r="X2079" i="1" a="1"/>
  <c r="X2079" i="1"/>
  <c r="X2080" i="1" a="1"/>
  <c r="X2080" i="1"/>
  <c r="X2081" i="1" a="1"/>
  <c r="X2081" i="1" s="1"/>
  <c r="X2082" i="1" a="1"/>
  <c r="X2082" i="1" s="1"/>
  <c r="X2083" i="1" a="1"/>
  <c r="X2083" i="1" s="1"/>
  <c r="X2084" i="1" a="1"/>
  <c r="X2084" i="1" s="1"/>
  <c r="X2085" i="1" a="1"/>
  <c r="X2085" i="1" s="1"/>
  <c r="X2086" i="1" a="1"/>
  <c r="X2086" i="1" s="1"/>
  <c r="X2087" i="1" a="1"/>
  <c r="X2087" i="1" s="1"/>
  <c r="X2088" i="1" a="1"/>
  <c r="X2088" i="1" s="1"/>
  <c r="X2089" i="1" a="1"/>
  <c r="X2089" i="1" s="1"/>
  <c r="X2090" i="1" a="1"/>
  <c r="X2090" i="1"/>
  <c r="X2091" i="1" a="1"/>
  <c r="X2091" i="1" s="1"/>
  <c r="X2092" i="1" a="1"/>
  <c r="X2092" i="1"/>
  <c r="X2093" i="1" a="1"/>
  <c r="X2093" i="1"/>
  <c r="X2094" i="1" a="1"/>
  <c r="X2094" i="1"/>
  <c r="X2095" i="1" a="1"/>
  <c r="X2095" i="1"/>
  <c r="X2096" i="1" a="1"/>
  <c r="X2096" i="1"/>
  <c r="X2097" i="1" a="1"/>
  <c r="X2097" i="1" s="1"/>
  <c r="X2098" i="1" a="1"/>
  <c r="X2098" i="1" s="1"/>
  <c r="X2099" i="1" a="1"/>
  <c r="X2099" i="1" s="1"/>
  <c r="X2100" i="1" a="1"/>
  <c r="X2100" i="1" s="1"/>
  <c r="X2101" i="1" a="1"/>
  <c r="X2101" i="1" s="1"/>
  <c r="X2102" i="1" a="1"/>
  <c r="X2102" i="1" s="1"/>
  <c r="X2103" i="1" a="1"/>
  <c r="X2103" i="1" s="1"/>
  <c r="X2104" i="1" a="1"/>
  <c r="X2104" i="1" s="1"/>
  <c r="X2105" i="1" a="1"/>
  <c r="X2105" i="1" s="1"/>
  <c r="X2106" i="1" a="1"/>
  <c r="X2106" i="1"/>
  <c r="X2107" i="1" a="1"/>
  <c r="X2107" i="1"/>
  <c r="X2108" i="1" a="1"/>
  <c r="X2108" i="1" s="1"/>
  <c r="X2109" i="1" a="1"/>
  <c r="X2109" i="1"/>
  <c r="X2110" i="1" a="1"/>
  <c r="X2110" i="1"/>
  <c r="X2111" i="1" a="1"/>
  <c r="X2111" i="1"/>
  <c r="X2112" i="1" a="1"/>
  <c r="X2112" i="1"/>
  <c r="X2113" i="1" a="1"/>
  <c r="X2113" i="1" s="1"/>
  <c r="X2114" i="1" a="1"/>
  <c r="X2114" i="1" s="1"/>
  <c r="X2115" i="1" a="1"/>
  <c r="X2115" i="1" s="1"/>
  <c r="X2116" i="1" a="1"/>
  <c r="X2116" i="1" s="1"/>
  <c r="X2117" i="1" a="1"/>
  <c r="X2117" i="1" s="1"/>
  <c r="X2118" i="1" a="1"/>
  <c r="X2118" i="1" s="1"/>
  <c r="X2119" i="1" a="1"/>
  <c r="X2119" i="1" s="1"/>
  <c r="X2120" i="1" a="1"/>
  <c r="X2120" i="1" s="1"/>
  <c r="X2121" i="1" a="1"/>
  <c r="X2121" i="1" s="1"/>
  <c r="X2122" i="1" a="1"/>
  <c r="X2122" i="1"/>
  <c r="X2123" i="1" a="1"/>
  <c r="X2123" i="1"/>
  <c r="X2124" i="1" a="1"/>
  <c r="X2124" i="1"/>
  <c r="X2125" i="1" a="1"/>
  <c r="X2125" i="1" s="1"/>
  <c r="X2126" i="1" a="1"/>
  <c r="X2126" i="1"/>
  <c r="X2127" i="1" a="1"/>
  <c r="X2127" i="1"/>
  <c r="X2128" i="1" a="1"/>
  <c r="X2128" i="1"/>
  <c r="X2129" i="1" a="1"/>
  <c r="X2129" i="1" s="1"/>
  <c r="X2130" i="1" a="1"/>
  <c r="X2130" i="1" s="1"/>
  <c r="X2131" i="1" a="1"/>
  <c r="X2131" i="1" s="1"/>
  <c r="X2132" i="1" a="1"/>
  <c r="X2132" i="1" s="1"/>
  <c r="X2133" i="1" a="1"/>
  <c r="X2133" i="1" s="1"/>
  <c r="X2134" i="1" a="1"/>
  <c r="X2134" i="1" s="1"/>
  <c r="X2135" i="1" a="1"/>
  <c r="X2135" i="1" s="1"/>
  <c r="X2136" i="1" a="1"/>
  <c r="X2136" i="1" s="1"/>
  <c r="X2137" i="1" a="1"/>
  <c r="X2137" i="1" s="1"/>
  <c r="X2138" i="1" a="1"/>
  <c r="X2138" i="1" s="1"/>
  <c r="X2139" i="1" a="1"/>
  <c r="X2139" i="1"/>
  <c r="X2140" i="1" a="1"/>
  <c r="X2140" i="1"/>
  <c r="X2141" i="1" a="1"/>
  <c r="X2141" i="1"/>
  <c r="X2142" i="1" a="1"/>
  <c r="X2142" i="1" s="1"/>
  <c r="X2143" i="1" a="1"/>
  <c r="X2143" i="1"/>
  <c r="X2144" i="1" a="1"/>
  <c r="X2144" i="1"/>
  <c r="X2145" i="1" a="1"/>
  <c r="X2145" i="1" s="1"/>
  <c r="X2146" i="1" a="1"/>
  <c r="X2146" i="1"/>
  <c r="X2147" i="1" a="1"/>
  <c r="X2147" i="1" s="1"/>
  <c r="X2148" i="1" a="1"/>
  <c r="X2148" i="1" s="1"/>
  <c r="X2149" i="1" a="1"/>
  <c r="X2149" i="1" s="1"/>
  <c r="X2150" i="1" a="1"/>
  <c r="X2150" i="1" s="1"/>
  <c r="X2151" i="1" a="1"/>
  <c r="X2151" i="1" s="1"/>
  <c r="X2152" i="1" a="1"/>
  <c r="X2152" i="1" s="1"/>
  <c r="X2153" i="1" a="1"/>
  <c r="X2153" i="1" s="1"/>
  <c r="X2154" i="1" a="1"/>
  <c r="X2154" i="1"/>
  <c r="X2155" i="1" a="1"/>
  <c r="X2155" i="1"/>
  <c r="X2156" i="1" a="1"/>
  <c r="X2156" i="1"/>
  <c r="X2157" i="1" a="1"/>
  <c r="X2157" i="1"/>
  <c r="X2158" i="1" a="1"/>
  <c r="X2158" i="1"/>
  <c r="X2159" i="1" a="1"/>
  <c r="X2159" i="1" s="1"/>
  <c r="X2160" i="1" a="1"/>
  <c r="X2160" i="1"/>
  <c r="X2161" i="1" a="1"/>
  <c r="X2161" i="1" s="1"/>
  <c r="X2162" i="1" a="1"/>
  <c r="X2162" i="1" s="1"/>
  <c r="X2163" i="1" a="1"/>
  <c r="X2163" i="1"/>
  <c r="X2164" i="1" a="1"/>
  <c r="X2164" i="1" s="1"/>
  <c r="X2165" i="1" a="1"/>
  <c r="X2165" i="1" s="1"/>
  <c r="X2166" i="1" a="1"/>
  <c r="X2166" i="1" s="1"/>
  <c r="X2167" i="1" a="1"/>
  <c r="X2167" i="1" s="1"/>
  <c r="X2168" i="1" a="1"/>
  <c r="X2168" i="1" s="1"/>
  <c r="X2169" i="1" a="1"/>
  <c r="X2169" i="1" s="1"/>
  <c r="X2170" i="1" a="1"/>
  <c r="X2170" i="1"/>
  <c r="X2171" i="1" a="1"/>
  <c r="X2171" i="1"/>
  <c r="X2172" i="1" a="1"/>
  <c r="X2172" i="1"/>
  <c r="X2173" i="1" a="1"/>
  <c r="X2173" i="1"/>
  <c r="X2174" i="1" a="1"/>
  <c r="X2174" i="1"/>
  <c r="X2175" i="1" a="1"/>
  <c r="X2175" i="1"/>
  <c r="X2176" i="1" a="1"/>
  <c r="X2176" i="1" s="1"/>
  <c r="X2177" i="1" a="1"/>
  <c r="X2177" i="1" s="1"/>
  <c r="X2178" i="1" a="1"/>
  <c r="X2178" i="1" s="1"/>
  <c r="X2179" i="1" a="1"/>
  <c r="X2179" i="1" s="1"/>
  <c r="X2180" i="1" a="1"/>
  <c r="X2180" i="1"/>
  <c r="X2181" i="1" a="1"/>
  <c r="X2181" i="1" s="1"/>
  <c r="X2182" i="1" a="1"/>
  <c r="X2182" i="1" s="1"/>
  <c r="X2183" i="1" a="1"/>
  <c r="X2183" i="1" s="1"/>
  <c r="X2184" i="1" a="1"/>
  <c r="X2184" i="1" s="1"/>
  <c r="X2185" i="1" a="1"/>
  <c r="X2185" i="1" s="1"/>
  <c r="X2186" i="1" a="1"/>
  <c r="X2186" i="1"/>
  <c r="X2187" i="1" a="1"/>
  <c r="X2187" i="1"/>
  <c r="X2188" i="1" a="1"/>
  <c r="X2188" i="1"/>
  <c r="X2189" i="1" a="1"/>
  <c r="X2189" i="1"/>
  <c r="X2190" i="1" a="1"/>
  <c r="X2190" i="1"/>
  <c r="X2191" i="1" a="1"/>
  <c r="X2191" i="1"/>
  <c r="X2192" i="1" a="1"/>
  <c r="X2192" i="1"/>
  <c r="X2193" i="1" a="1"/>
  <c r="X2193" i="1" s="1"/>
  <c r="X2194" i="1" a="1"/>
  <c r="X2194" i="1" s="1"/>
  <c r="X2195" i="1" a="1"/>
  <c r="X2195" i="1" s="1"/>
  <c r="X2196" i="1" a="1"/>
  <c r="X2196" i="1" s="1"/>
  <c r="X2197" i="1" a="1"/>
  <c r="X2197" i="1"/>
  <c r="X2198" i="1" a="1"/>
  <c r="X2198" i="1" s="1"/>
  <c r="X2199" i="1" a="1"/>
  <c r="X2199" i="1" s="1"/>
  <c r="X2200" i="1" a="1"/>
  <c r="X2200" i="1"/>
  <c r="X2201" i="1" a="1"/>
  <c r="X2201" i="1" s="1"/>
  <c r="X2202" i="1" a="1"/>
  <c r="X2202" i="1" s="1"/>
  <c r="X2203" i="1" a="1"/>
  <c r="X2203" i="1"/>
  <c r="X2204" i="1" a="1"/>
  <c r="X2204" i="1"/>
  <c r="X2205" i="1" a="1"/>
  <c r="X2205" i="1"/>
  <c r="X2206" i="1" a="1"/>
  <c r="X2206" i="1" s="1"/>
  <c r="X2207" i="1" a="1"/>
  <c r="X2207" i="1"/>
  <c r="X2208" i="1" a="1"/>
  <c r="X2208" i="1" s="1"/>
  <c r="X2209" i="1" a="1"/>
  <c r="X2209" i="1" s="1"/>
  <c r="X2210" i="1" a="1"/>
  <c r="X2210" i="1" s="1"/>
  <c r="X2211" i="1" a="1"/>
  <c r="X2211" i="1" s="1"/>
  <c r="X2212" i="1" a="1"/>
  <c r="X2212" i="1" s="1"/>
  <c r="X2213" i="1" a="1"/>
  <c r="X2213" i="1" s="1"/>
  <c r="X2214" i="1" a="1"/>
  <c r="X2214" i="1"/>
  <c r="X2215" i="1" a="1"/>
  <c r="X2215" i="1" s="1"/>
  <c r="X2216" i="1" a="1"/>
  <c r="X2216" i="1" s="1"/>
  <c r="X2217" i="1" a="1"/>
  <c r="X2217" i="1" s="1"/>
  <c r="X2218" i="1" a="1"/>
  <c r="X2218" i="1"/>
  <c r="X2219" i="1" a="1"/>
  <c r="X2219" i="1" s="1"/>
  <c r="X2220" i="1" a="1"/>
  <c r="X2220" i="1"/>
  <c r="X2221" i="1" a="1"/>
  <c r="X2221" i="1"/>
  <c r="X2222" i="1" a="1"/>
  <c r="X2222" i="1"/>
  <c r="X2223" i="1" a="1"/>
  <c r="X2223" i="1"/>
  <c r="X2224" i="1" a="1"/>
  <c r="X2224" i="1"/>
  <c r="X2225" i="1" a="1"/>
  <c r="X2225" i="1" s="1"/>
  <c r="X2226" i="1" a="1"/>
  <c r="X2226" i="1"/>
  <c r="X2227" i="1" a="1"/>
  <c r="X2227" i="1" s="1"/>
  <c r="X2228" i="1" a="1"/>
  <c r="X2228" i="1" s="1"/>
  <c r="X2229" i="1" a="1"/>
  <c r="X2229" i="1" s="1"/>
  <c r="X2230" i="1" a="1"/>
  <c r="X2230" i="1" s="1"/>
  <c r="X2231" i="1" a="1"/>
  <c r="X2231" i="1"/>
  <c r="X2232" i="1" a="1"/>
  <c r="X2232" i="1" s="1"/>
  <c r="X2233" i="1" a="1"/>
  <c r="X2233" i="1" s="1"/>
  <c r="X2234" i="1" a="1"/>
  <c r="X2234" i="1" s="1"/>
  <c r="X2235" i="1" a="1"/>
  <c r="X2235" i="1"/>
  <c r="X2236" i="1" a="1"/>
  <c r="X2236" i="1" s="1"/>
  <c r="X2237" i="1" a="1"/>
  <c r="X2237" i="1"/>
  <c r="X2238" i="1" a="1"/>
  <c r="X2238" i="1"/>
  <c r="X2239" i="1" a="1"/>
  <c r="X2239" i="1"/>
  <c r="X2240" i="1" a="1"/>
  <c r="X2240" i="1" s="1"/>
  <c r="X2241" i="1" a="1"/>
  <c r="X2241" i="1" s="1"/>
  <c r="X2242" i="1" a="1"/>
  <c r="X2242" i="1" s="1"/>
  <c r="X2243" i="1" a="1"/>
  <c r="X2243" i="1"/>
  <c r="X2244" i="1" a="1"/>
  <c r="X2244" i="1" s="1"/>
  <c r="X2245" i="1" a="1"/>
  <c r="X2245" i="1" s="1"/>
  <c r="X2246" i="1" a="1"/>
  <c r="X2246" i="1" s="1"/>
  <c r="X2247" i="1" a="1"/>
  <c r="X2247" i="1" s="1"/>
  <c r="X2248" i="1" a="1"/>
  <c r="X2248" i="1"/>
  <c r="X2249" i="1" a="1"/>
  <c r="X2249" i="1" s="1"/>
  <c r="X2250" i="1" a="1"/>
  <c r="X2250" i="1"/>
  <c r="X2251" i="1" a="1"/>
  <c r="X2251" i="1" s="1"/>
  <c r="X2252" i="1" a="1"/>
  <c r="X2252" i="1"/>
  <c r="X2253" i="1" a="1"/>
  <c r="X2253" i="1" s="1"/>
  <c r="X2254" i="1" a="1"/>
  <c r="X2254" i="1"/>
  <c r="X2255" i="1" a="1"/>
  <c r="X2255" i="1"/>
  <c r="X2256" i="1" a="1"/>
  <c r="X2256" i="1"/>
  <c r="X2257" i="1" a="1"/>
  <c r="X2257" i="1" s="1"/>
  <c r="X2258" i="1" a="1"/>
  <c r="X2258" i="1" s="1"/>
  <c r="X2259" i="1" a="1"/>
  <c r="X2259" i="1" s="1"/>
  <c r="X2260" i="1" a="1"/>
  <c r="X2260" i="1" s="1"/>
  <c r="X2261" i="1" a="1"/>
  <c r="X2261" i="1" s="1"/>
  <c r="X2262" i="1" a="1"/>
  <c r="X2262" i="1" s="1"/>
  <c r="X2263" i="1" a="1"/>
  <c r="X2263" i="1" s="1"/>
  <c r="X2264" i="1" a="1"/>
  <c r="X2264" i="1" s="1"/>
  <c r="X2265" i="1" a="1"/>
  <c r="X2265" i="1" s="1"/>
  <c r="X2266" i="1" a="1"/>
  <c r="X2266" i="1"/>
  <c r="X2267" i="1" a="1"/>
  <c r="X2267" i="1"/>
  <c r="X2268" i="1" a="1"/>
  <c r="X2268" i="1"/>
  <c r="X2269" i="1" a="1"/>
  <c r="X2269" i="1"/>
  <c r="X2270" i="1" a="1"/>
  <c r="X2270" i="1" s="1"/>
  <c r="X2271" i="1" a="1"/>
  <c r="X2271" i="1"/>
  <c r="X2272" i="1" a="1"/>
  <c r="X2272" i="1"/>
  <c r="X2273" i="1" a="1"/>
  <c r="X2273" i="1"/>
  <c r="X2274" i="1" a="1"/>
  <c r="X2274" i="1" s="1"/>
  <c r="X2275" i="1" a="1"/>
  <c r="X2275" i="1"/>
  <c r="X2276" i="1" a="1"/>
  <c r="X2276" i="1" s="1"/>
  <c r="X2277" i="1" a="1"/>
  <c r="X2277" i="1"/>
  <c r="X2278" i="1" a="1"/>
  <c r="X2278" i="1" s="1"/>
  <c r="X2279" i="1" a="1"/>
  <c r="X2279" i="1"/>
  <c r="X2280" i="1" a="1"/>
  <c r="X2280" i="1"/>
  <c r="X2281" i="1" a="1"/>
  <c r="X2281" i="1"/>
  <c r="X2282" i="1" a="1"/>
  <c r="X2282" i="1"/>
  <c r="X2283" i="1" a="1"/>
  <c r="X2283" i="1"/>
  <c r="X2284" i="1" a="1"/>
  <c r="X2284" i="1" s="1"/>
  <c r="X2285" i="1" a="1"/>
  <c r="X2285" i="1"/>
  <c r="X2286" i="1" a="1"/>
  <c r="X2286" i="1" s="1"/>
  <c r="X2287" i="1" a="1"/>
  <c r="X2287" i="1"/>
  <c r="X2288" i="1" a="1"/>
  <c r="X2288" i="1"/>
  <c r="X2289" i="1" a="1"/>
  <c r="X2289" i="1"/>
  <c r="X2290" i="1" a="1"/>
  <c r="X2290" i="1" s="1"/>
  <c r="X2291" i="1" a="1"/>
  <c r="X2291" i="1"/>
  <c r="X2292" i="1" a="1"/>
  <c r="X2292" i="1" s="1"/>
  <c r="X2293" i="1" a="1"/>
  <c r="X2293" i="1"/>
  <c r="X2294" i="1" a="1"/>
  <c r="X2294" i="1" s="1"/>
  <c r="X2295" i="1" a="1"/>
  <c r="X2295" i="1"/>
  <c r="X2296" i="1" a="1"/>
  <c r="X2296" i="1"/>
  <c r="X2297" i="1" a="1"/>
  <c r="X2297" i="1"/>
  <c r="X2298" i="1" a="1"/>
  <c r="X2298" i="1" s="1"/>
  <c r="X2299" i="1" a="1"/>
  <c r="X2299" i="1"/>
  <c r="X2300" i="1" a="1"/>
  <c r="X2300" i="1" s="1"/>
  <c r="X2301" i="1" a="1"/>
  <c r="X2301" i="1" s="1"/>
  <c r="X2302" i="1" a="1"/>
  <c r="X2302" i="1" s="1"/>
  <c r="X2303" i="1" a="1"/>
  <c r="X2303" i="1"/>
  <c r="X2304" i="1" a="1"/>
  <c r="X2304" i="1" s="1"/>
  <c r="X2305" i="1" a="1"/>
  <c r="X2305" i="1"/>
  <c r="X2306" i="1" a="1"/>
  <c r="X2306" i="1" s="1"/>
  <c r="X2307" i="1" a="1"/>
  <c r="X2307" i="1"/>
  <c r="X2308" i="1" a="1"/>
  <c r="X2308" i="1" s="1"/>
  <c r="X2309" i="1" a="1"/>
  <c r="X2309" i="1"/>
  <c r="X2310" i="1" a="1"/>
  <c r="X2310" i="1" s="1"/>
  <c r="X2311" i="1" a="1"/>
  <c r="X2311" i="1"/>
  <c r="X2312" i="1" a="1"/>
  <c r="X2312" i="1"/>
  <c r="X2313" i="1" a="1"/>
  <c r="X2313" i="1" s="1"/>
  <c r="X2314" i="1" a="1"/>
  <c r="X2314" i="1" s="1"/>
  <c r="X2315" i="1" a="1"/>
  <c r="X2315" i="1"/>
  <c r="X2316" i="1" a="1"/>
  <c r="X2316" i="1" s="1"/>
  <c r="X2317" i="1" a="1"/>
  <c r="X2317" i="1"/>
  <c r="X2318" i="1" a="1"/>
  <c r="X2318" i="1" s="1"/>
  <c r="X2319" i="1" a="1"/>
  <c r="X2319" i="1"/>
  <c r="X2320" i="1" a="1"/>
  <c r="X2320" i="1" s="1"/>
  <c r="X2321" i="1" a="1"/>
  <c r="X2321" i="1"/>
  <c r="X2322" i="1" a="1"/>
  <c r="X2322" i="1" s="1"/>
  <c r="X2323" i="1" a="1"/>
  <c r="X2323" i="1"/>
  <c r="X2324" i="1" a="1"/>
  <c r="X2324" i="1" s="1"/>
  <c r="X2325" i="1" a="1"/>
  <c r="X2325" i="1"/>
  <c r="X2326" i="1" a="1"/>
  <c r="X2326" i="1" s="1"/>
  <c r="X2327" i="1" a="1"/>
  <c r="X2327" i="1"/>
  <c r="X2328" i="1" a="1"/>
  <c r="X2328" i="1" s="1"/>
  <c r="X2329" i="1" a="1"/>
  <c r="X2329" i="1" s="1"/>
  <c r="X2330" i="1" a="1"/>
  <c r="X2330" i="1" s="1"/>
  <c r="X2331" i="1" a="1"/>
  <c r="X2331" i="1"/>
  <c r="X2332" i="1" a="1"/>
  <c r="X2332" i="1" s="1"/>
  <c r="X2333" i="1" a="1"/>
  <c r="X2333" i="1" s="1"/>
  <c r="X2334" i="1" a="1"/>
  <c r="X2334" i="1" s="1"/>
  <c r="X2335" i="1" a="1"/>
  <c r="X2335" i="1"/>
  <c r="X2336" i="1" a="1"/>
  <c r="X2336" i="1" s="1"/>
  <c r="X2337" i="1" a="1"/>
  <c r="X2337" i="1" s="1"/>
  <c r="X2338" i="1" a="1"/>
  <c r="X2338" i="1" s="1"/>
  <c r="X2339" i="1" a="1"/>
  <c r="X2339" i="1"/>
  <c r="X2340" i="1" a="1"/>
  <c r="X2340" i="1" s="1"/>
  <c r="X2341" i="1" a="1"/>
  <c r="X2341" i="1" s="1"/>
  <c r="X2342" i="1" a="1"/>
  <c r="X2342" i="1" s="1"/>
  <c r="X2343" i="1" a="1"/>
  <c r="X2343" i="1"/>
  <c r="X2344" i="1" a="1"/>
  <c r="X2344" i="1" s="1"/>
  <c r="X2345" i="1" a="1"/>
  <c r="X2345" i="1" s="1"/>
  <c r="X2346" i="1" a="1"/>
  <c r="X2346" i="1" s="1"/>
  <c r="X2347" i="1" a="1"/>
  <c r="X2347" i="1"/>
  <c r="X2348" i="1" a="1"/>
  <c r="X2348" i="1" s="1"/>
  <c r="X2349" i="1" a="1"/>
  <c r="X2349" i="1"/>
  <c r="X2350" i="1" a="1"/>
  <c r="X2350" i="1" s="1"/>
  <c r="X2351" i="1" a="1"/>
  <c r="X2351" i="1"/>
  <c r="X2352" i="1" a="1"/>
  <c r="X2352" i="1" s="1"/>
  <c r="X2353" i="1" a="1"/>
  <c r="X2353" i="1" s="1"/>
  <c r="X2354" i="1" a="1"/>
  <c r="X2354" i="1" s="1"/>
  <c r="X2355" i="1" a="1"/>
  <c r="X2355" i="1" s="1"/>
  <c r="X2356" i="1" a="1"/>
  <c r="X2356" i="1" s="1"/>
  <c r="X2357" i="1" a="1"/>
  <c r="X2357" i="1"/>
  <c r="X2358" i="1" a="1"/>
  <c r="X2358" i="1" s="1"/>
  <c r="X2359" i="1" a="1"/>
  <c r="X2359" i="1"/>
  <c r="X2360" i="1" a="1"/>
  <c r="X2360" i="1" s="1"/>
  <c r="X2361" i="1" a="1"/>
  <c r="X2361" i="1" s="1"/>
  <c r="X2362" i="1" a="1"/>
  <c r="X2362" i="1" s="1"/>
  <c r="X2363" i="1" a="1"/>
  <c r="X2363" i="1" s="1"/>
  <c r="X2364" i="1" a="1"/>
  <c r="X2364" i="1" s="1"/>
  <c r="X2365" i="1" a="1"/>
  <c r="X2365" i="1" s="1"/>
  <c r="X2366" i="1" a="1"/>
  <c r="X2366" i="1" s="1"/>
  <c r="X2367" i="1" a="1"/>
  <c r="X2367" i="1"/>
  <c r="X2368" i="1" a="1"/>
  <c r="X2368" i="1" s="1"/>
  <c r="X2369" i="1" a="1"/>
  <c r="X2369" i="1" s="1"/>
  <c r="X2370" i="1" a="1"/>
  <c r="X2370" i="1" s="1"/>
  <c r="X2371" i="1" a="1"/>
  <c r="X2371" i="1" s="1"/>
  <c r="X2372" i="1" a="1"/>
  <c r="X2372" i="1" s="1"/>
  <c r="X2373" i="1" a="1"/>
  <c r="X2373" i="1"/>
  <c r="X2374" i="1" a="1"/>
  <c r="X2374" i="1" s="1"/>
  <c r="X2375" i="1" a="1"/>
  <c r="X2375" i="1"/>
  <c r="X2376" i="1" a="1"/>
  <c r="X2376" i="1" s="1"/>
  <c r="X2377" i="1" a="1"/>
  <c r="X2377" i="1" s="1"/>
  <c r="X2378" i="1" a="1"/>
  <c r="X2378" i="1" s="1"/>
  <c r="X2379" i="1" a="1"/>
  <c r="X2379" i="1" s="1"/>
  <c r="X2380" i="1" a="1"/>
  <c r="X2380" i="1" s="1"/>
  <c r="X2381" i="1" a="1"/>
  <c r="X2381" i="1"/>
  <c r="X2382" i="1" a="1"/>
  <c r="X2382" i="1" s="1"/>
  <c r="X2383" i="1" a="1"/>
  <c r="X2383" i="1"/>
  <c r="X2384" i="1" a="1"/>
  <c r="X2384" i="1" s="1"/>
  <c r="X2385" i="1" a="1"/>
  <c r="X2385" i="1" s="1"/>
  <c r="X2386" i="1" a="1"/>
  <c r="X2386" i="1" s="1"/>
  <c r="X2387" i="1" a="1"/>
  <c r="X2387" i="1" s="1"/>
  <c r="X2388" i="1" a="1"/>
  <c r="X2388" i="1" s="1"/>
  <c r="X2389" i="1" a="1"/>
  <c r="X2389" i="1"/>
  <c r="X2390" i="1" a="1"/>
  <c r="X2390" i="1" s="1"/>
  <c r="X2391" i="1" a="1"/>
  <c r="X2391" i="1"/>
  <c r="X2392" i="1" a="1"/>
  <c r="X2392" i="1" s="1"/>
  <c r="X2393" i="1" a="1"/>
  <c r="X2393" i="1" s="1"/>
  <c r="X2394" i="1" a="1"/>
  <c r="X2394" i="1" s="1"/>
  <c r="X2395" i="1" a="1"/>
  <c r="X2395" i="1" s="1"/>
  <c r="X2396" i="1" a="1"/>
  <c r="X2396" i="1" s="1"/>
  <c r="X2397" i="1" a="1"/>
  <c r="X2397" i="1"/>
  <c r="X2398" i="1" a="1"/>
  <c r="X2398" i="1" s="1"/>
  <c r="X2399" i="1" a="1"/>
  <c r="X2399" i="1"/>
  <c r="X2400" i="1" a="1"/>
  <c r="X2400" i="1" s="1"/>
  <c r="X2401" i="1" a="1"/>
  <c r="X2401" i="1" s="1"/>
  <c r="X2402" i="1" a="1"/>
  <c r="X2402" i="1" s="1"/>
  <c r="X2403" i="1" a="1"/>
  <c r="X2403" i="1" s="1"/>
  <c r="X2404" i="1" a="1"/>
  <c r="X2404" i="1" s="1"/>
  <c r="X2405" i="1" a="1"/>
  <c r="X2405" i="1" s="1"/>
  <c r="X2406" i="1" a="1"/>
  <c r="X2406" i="1" s="1"/>
  <c r="X2407" i="1" a="1"/>
  <c r="X2407" i="1"/>
  <c r="X2408" i="1" a="1"/>
  <c r="X2408" i="1" s="1"/>
  <c r="X2409" i="1" a="1"/>
  <c r="X2409" i="1" s="1"/>
  <c r="X2410" i="1" a="1"/>
  <c r="X2410" i="1" s="1"/>
  <c r="X2411" i="1" a="1"/>
  <c r="X2411" i="1" s="1"/>
  <c r="X2412" i="1" a="1"/>
  <c r="X2412" i="1" s="1"/>
  <c r="X2413" i="1" a="1"/>
  <c r="X2413" i="1"/>
  <c r="X2414" i="1" a="1"/>
  <c r="X2414" i="1" s="1"/>
  <c r="X2415" i="1" a="1"/>
  <c r="X2415" i="1"/>
  <c r="X2416" i="1" a="1"/>
  <c r="X2416" i="1" s="1"/>
  <c r="X2417" i="1" a="1"/>
  <c r="X2417" i="1" s="1"/>
  <c r="X2418" i="1" a="1"/>
  <c r="X2418" i="1" s="1"/>
  <c r="X2419" i="1" a="1"/>
  <c r="X2419" i="1" s="1"/>
  <c r="X2420" i="1" a="1"/>
  <c r="X2420" i="1" s="1"/>
  <c r="X2421" i="1" a="1"/>
  <c r="X2421" i="1"/>
  <c r="X2422" i="1" a="1"/>
  <c r="X2422" i="1" s="1"/>
  <c r="X2423" i="1" a="1"/>
  <c r="X2423" i="1"/>
  <c r="X2424" i="1" a="1"/>
  <c r="X2424" i="1" s="1"/>
  <c r="X2425" i="1" a="1"/>
  <c r="X2425" i="1" s="1"/>
  <c r="X2426" i="1" a="1"/>
  <c r="X2426" i="1" s="1"/>
  <c r="X2427" i="1" a="1"/>
  <c r="X2427" i="1" s="1"/>
  <c r="X2428" i="1" a="1"/>
  <c r="X2428" i="1" s="1"/>
  <c r="X2429" i="1" a="1"/>
  <c r="X2429" i="1"/>
  <c r="X2430" i="1" a="1"/>
  <c r="X2430" i="1" s="1"/>
  <c r="X2431" i="1" a="1"/>
  <c r="X2431" i="1"/>
  <c r="X2432" i="1" a="1"/>
  <c r="X2432" i="1" s="1"/>
  <c r="X2433" i="1" a="1"/>
  <c r="X2433" i="1" s="1"/>
  <c r="X2434" i="1" a="1"/>
  <c r="X2434" i="1" s="1"/>
  <c r="X2435" i="1" a="1"/>
  <c r="X2435" i="1" s="1"/>
  <c r="X2436" i="1" a="1"/>
  <c r="X2436" i="1" s="1"/>
  <c r="X2437" i="1" a="1"/>
  <c r="X2437" i="1"/>
  <c r="X2438" i="1" a="1"/>
  <c r="X2438" i="1" s="1"/>
  <c r="X2439" i="1" a="1"/>
  <c r="X2439" i="1"/>
  <c r="X2440" i="1" a="1"/>
  <c r="X2440" i="1" s="1"/>
  <c r="X2441" i="1" a="1"/>
  <c r="X2441" i="1" s="1"/>
  <c r="X2442" i="1" a="1"/>
  <c r="X2442" i="1" s="1"/>
  <c r="X2443" i="1" a="1"/>
  <c r="X2443" i="1" s="1"/>
  <c r="X2444" i="1" a="1"/>
  <c r="X2444" i="1" s="1"/>
  <c r="X2445" i="1" a="1"/>
  <c r="X2445" i="1"/>
  <c r="X2446" i="1" a="1"/>
  <c r="X2446" i="1" s="1"/>
  <c r="X2447" i="1" a="1"/>
  <c r="X2447" i="1"/>
  <c r="X2448" i="1" a="1"/>
  <c r="X2448" i="1" s="1"/>
  <c r="X2449" i="1" a="1"/>
  <c r="X2449" i="1" s="1"/>
  <c r="X2450" i="1" a="1"/>
  <c r="X2450" i="1" s="1"/>
  <c r="X2451" i="1" a="1"/>
  <c r="X2451" i="1" s="1"/>
  <c r="X2452" i="1" a="1"/>
  <c r="X2452" i="1" s="1"/>
  <c r="X2453" i="1" a="1"/>
  <c r="X2453" i="1"/>
  <c r="X2454" i="1" a="1"/>
  <c r="X2454" i="1" s="1"/>
  <c r="X2455" i="1" a="1"/>
  <c r="X2455" i="1"/>
  <c r="X2456" i="1" a="1"/>
  <c r="X2456" i="1" s="1"/>
  <c r="X2457" i="1" a="1"/>
  <c r="X2457" i="1" s="1"/>
  <c r="X2458" i="1" a="1"/>
  <c r="X2458" i="1" s="1"/>
  <c r="X2459" i="1" a="1"/>
  <c r="X2459" i="1" s="1"/>
  <c r="X2460" i="1" a="1"/>
  <c r="X2460" i="1" s="1"/>
  <c r="X2461" i="1" a="1"/>
  <c r="X2461" i="1"/>
  <c r="X2462" i="1" a="1"/>
  <c r="X2462" i="1" s="1"/>
  <c r="X2463" i="1" a="1"/>
  <c r="X2463" i="1"/>
  <c r="X2464" i="1" a="1"/>
  <c r="X2464" i="1" s="1"/>
  <c r="X2465" i="1" a="1"/>
  <c r="X2465" i="1" s="1"/>
  <c r="X2466" i="1" a="1"/>
  <c r="X2466" i="1" s="1"/>
  <c r="X2467" i="1" a="1"/>
  <c r="X2467" i="1" s="1"/>
  <c r="X2468" i="1" a="1"/>
  <c r="X2468" i="1" s="1"/>
  <c r="X2469" i="1" a="1"/>
  <c r="X2469" i="1"/>
  <c r="X2470" i="1" a="1"/>
  <c r="X2470" i="1" s="1"/>
  <c r="X2471" i="1" a="1"/>
  <c r="X2471" i="1"/>
  <c r="X2472" i="1" a="1"/>
  <c r="X2472" i="1" s="1"/>
  <c r="X2473" i="1" a="1"/>
  <c r="X2473" i="1" s="1"/>
  <c r="X2474" i="1" a="1"/>
  <c r="X2474" i="1" s="1"/>
  <c r="X2475" i="1" a="1"/>
  <c r="X2475" i="1" s="1"/>
  <c r="X2476" i="1" a="1"/>
  <c r="X2476" i="1" s="1"/>
  <c r="X2477" i="1" a="1"/>
  <c r="X2477" i="1"/>
  <c r="X2478" i="1" a="1"/>
  <c r="X2478" i="1" s="1"/>
  <c r="X2479" i="1" a="1"/>
  <c r="X2479" i="1"/>
  <c r="X2480" i="1" a="1"/>
  <c r="X2480" i="1" s="1"/>
  <c r="X2481" i="1" a="1"/>
  <c r="X2481" i="1" s="1"/>
  <c r="X2482" i="1" a="1"/>
  <c r="X2482" i="1" s="1"/>
  <c r="X2483" i="1" a="1"/>
  <c r="X2483" i="1" s="1"/>
  <c r="X2484" i="1" a="1"/>
  <c r="X2484" i="1" s="1"/>
  <c r="X2485" i="1" a="1"/>
  <c r="X2485" i="1"/>
  <c r="X2486" i="1" a="1"/>
  <c r="X2486" i="1" s="1"/>
  <c r="X2487" i="1" a="1"/>
  <c r="X2487" i="1"/>
  <c r="X2488" i="1" a="1"/>
  <c r="X2488" i="1" s="1"/>
  <c r="X2489" i="1" a="1"/>
  <c r="X2489" i="1" s="1"/>
  <c r="X2490" i="1" a="1"/>
  <c r="X2490" i="1" s="1"/>
  <c r="X2491" i="1" a="1"/>
  <c r="X2491" i="1" s="1"/>
  <c r="X2492" i="1" a="1"/>
  <c r="X2492" i="1" s="1"/>
  <c r="X2493" i="1" a="1"/>
  <c r="X2493" i="1"/>
  <c r="X2494" i="1" a="1"/>
  <c r="X2494" i="1" s="1"/>
  <c r="X2495" i="1" a="1"/>
  <c r="X2495" i="1"/>
  <c r="X2496" i="1" a="1"/>
  <c r="X2496" i="1" s="1"/>
  <c r="X2497" i="1" a="1"/>
  <c r="X2497" i="1" s="1"/>
  <c r="X2498" i="1" a="1"/>
  <c r="X2498" i="1" s="1"/>
  <c r="X2499" i="1" a="1"/>
  <c r="X2499" i="1" s="1"/>
  <c r="X2500" i="1" a="1"/>
  <c r="X2500" i="1" s="1"/>
  <c r="X2501" i="1" a="1"/>
  <c r="X2501" i="1"/>
  <c r="X2502" i="1" a="1"/>
  <c r="X2502" i="1" s="1"/>
  <c r="X2503" i="1" a="1"/>
  <c r="X2503" i="1"/>
  <c r="X2504" i="1" a="1"/>
  <c r="X2504" i="1" s="1"/>
  <c r="X2505" i="1" a="1"/>
  <c r="X2505" i="1" s="1"/>
  <c r="X2506" i="1" a="1"/>
  <c r="X2506" i="1" s="1"/>
  <c r="X2507" i="1" a="1"/>
  <c r="X2507" i="1" s="1"/>
  <c r="X2508" i="1" a="1"/>
  <c r="X2508" i="1" s="1"/>
  <c r="X2509" i="1" a="1"/>
  <c r="X2509" i="1"/>
  <c r="X2510" i="1" a="1"/>
  <c r="X2510" i="1" s="1"/>
  <c r="X2511" i="1" a="1"/>
  <c r="X2511" i="1"/>
  <c r="X2512" i="1" a="1"/>
  <c r="X2512" i="1" s="1"/>
  <c r="X2513" i="1" a="1"/>
  <c r="X2513" i="1" s="1"/>
  <c r="X2514" i="1" a="1"/>
  <c r="X2514" i="1" s="1"/>
  <c r="X2515" i="1" a="1"/>
  <c r="X2515" i="1" s="1"/>
  <c r="X2516" i="1" a="1"/>
  <c r="X2516" i="1" s="1"/>
  <c r="X2517" i="1" a="1"/>
  <c r="X2517" i="1"/>
  <c r="X2518" i="1" a="1"/>
  <c r="X2518" i="1" s="1"/>
  <c r="X2519" i="1" a="1"/>
  <c r="X2519" i="1"/>
  <c r="X2520" i="1" a="1"/>
  <c r="X2520" i="1" s="1"/>
  <c r="X2521" i="1" a="1"/>
  <c r="X2521" i="1" s="1"/>
  <c r="X2522" i="1" a="1"/>
  <c r="X2522" i="1" s="1"/>
  <c r="X2523" i="1" a="1"/>
  <c r="X2523" i="1" s="1"/>
  <c r="X2524" i="1" a="1"/>
  <c r="X2524" i="1" s="1"/>
  <c r="X2525" i="1" a="1"/>
  <c r="X2525" i="1"/>
  <c r="X2526" i="1" a="1"/>
  <c r="X2526" i="1" s="1"/>
  <c r="X2527" i="1" a="1"/>
  <c r="X2527" i="1"/>
  <c r="X2528" i="1" a="1"/>
  <c r="X2528" i="1" s="1"/>
  <c r="X2529" i="1" a="1"/>
  <c r="X2529" i="1" s="1"/>
  <c r="X2530" i="1" a="1"/>
  <c r="X2530" i="1" s="1"/>
  <c r="X2531" i="1" a="1"/>
  <c r="X2531" i="1" s="1"/>
  <c r="X2532" i="1" a="1"/>
  <c r="X2532" i="1" s="1"/>
  <c r="X2533" i="1" a="1"/>
  <c r="X2533" i="1"/>
  <c r="X2534" i="1" a="1"/>
  <c r="X2534" i="1" s="1"/>
  <c r="X2535" i="1" a="1"/>
  <c r="X2535" i="1"/>
  <c r="X2536" i="1" a="1"/>
  <c r="X2536" i="1" s="1"/>
  <c r="X2537" i="1" a="1"/>
  <c r="X2537" i="1" s="1"/>
  <c r="X2538" i="1" a="1"/>
  <c r="X2538" i="1" s="1"/>
  <c r="X2539" i="1" a="1"/>
  <c r="X2539" i="1" s="1"/>
  <c r="X2540" i="1" a="1"/>
  <c r="X2540" i="1" s="1"/>
  <c r="X2541" i="1" a="1"/>
  <c r="X2541" i="1"/>
  <c r="X2542" i="1" a="1"/>
  <c r="X2542" i="1" s="1"/>
  <c r="X2543" i="1" a="1"/>
  <c r="X2543" i="1"/>
  <c r="X2544" i="1" a="1"/>
  <c r="X2544" i="1" s="1"/>
  <c r="X2545" i="1" a="1"/>
  <c r="X2545" i="1" s="1"/>
  <c r="X2546" i="1" a="1"/>
  <c r="X2546" i="1" s="1"/>
  <c r="X2547" i="1" a="1"/>
  <c r="X2547" i="1" s="1"/>
  <c r="X2548" i="1" a="1"/>
  <c r="X2548" i="1" s="1"/>
  <c r="X2549" i="1" a="1"/>
  <c r="X2549" i="1"/>
  <c r="X2550" i="1" a="1"/>
  <c r="X2550" i="1" s="1"/>
  <c r="X2551" i="1" a="1"/>
  <c r="X2551" i="1"/>
  <c r="X2552" i="1" a="1"/>
  <c r="X2552" i="1" s="1"/>
  <c r="X2553" i="1" a="1"/>
  <c r="X2553" i="1" s="1"/>
  <c r="X2554" i="1" a="1"/>
  <c r="X2554" i="1" s="1"/>
  <c r="X2555" i="1" a="1"/>
  <c r="X2555" i="1" s="1"/>
  <c r="X2556" i="1" a="1"/>
  <c r="X2556" i="1" s="1"/>
  <c r="X2557" i="1" a="1"/>
  <c r="X2557" i="1"/>
  <c r="X2558" i="1" a="1"/>
  <c r="X2558" i="1" s="1"/>
  <c r="X2559" i="1" a="1"/>
  <c r="X2559" i="1"/>
  <c r="X2560" i="1" a="1"/>
  <c r="X2560" i="1" s="1"/>
  <c r="X2561" i="1" a="1"/>
  <c r="X2561" i="1" s="1"/>
  <c r="X2562" i="1" a="1"/>
  <c r="X2562" i="1" s="1"/>
  <c r="X2563" i="1" a="1"/>
  <c r="X2563" i="1" s="1"/>
  <c r="X2564" i="1" a="1"/>
  <c r="X2564" i="1" s="1"/>
  <c r="X2565" i="1" a="1"/>
  <c r="X2565" i="1"/>
  <c r="X2566" i="1" a="1"/>
  <c r="X2566" i="1" s="1"/>
  <c r="X2567" i="1" a="1"/>
  <c r="X2567" i="1" s="1"/>
  <c r="X2568" i="1" a="1"/>
  <c r="X2568" i="1" s="1"/>
  <c r="X2569" i="1" a="1"/>
  <c r="X2569" i="1" s="1"/>
  <c r="X2570" i="1" a="1"/>
  <c r="X2570" i="1" s="1"/>
  <c r="X2571" i="1" a="1"/>
  <c r="X2571" i="1" s="1"/>
  <c r="X2572" i="1" a="1"/>
  <c r="X2572" i="1" s="1"/>
  <c r="X2573" i="1" a="1"/>
  <c r="X2573" i="1"/>
  <c r="X2574" i="1" a="1"/>
  <c r="X2574" i="1" s="1"/>
  <c r="X2575" i="1" a="1"/>
  <c r="X2575" i="1" s="1"/>
  <c r="X2576" i="1" a="1"/>
  <c r="X2576" i="1" s="1"/>
  <c r="X2577" i="1" a="1"/>
  <c r="X2577" i="1" s="1"/>
  <c r="X2578" i="1" a="1"/>
  <c r="X2578" i="1" s="1"/>
  <c r="X2579" i="1" a="1"/>
  <c r="X2579" i="1" s="1"/>
  <c r="X2580" i="1" a="1"/>
  <c r="X2580" i="1" s="1"/>
  <c r="X2581" i="1" a="1"/>
  <c r="X2581" i="1"/>
  <c r="X2582" i="1" a="1"/>
  <c r="X2582" i="1" s="1"/>
  <c r="X2583" i="1" a="1"/>
  <c r="X2583" i="1" s="1"/>
  <c r="X2584" i="1" a="1"/>
  <c r="X2584" i="1" s="1"/>
  <c r="X2585" i="1" a="1"/>
  <c r="X2585" i="1" s="1"/>
  <c r="X2586" i="1" a="1"/>
  <c r="X2586" i="1" s="1"/>
  <c r="X2587" i="1" a="1"/>
  <c r="X2587" i="1" s="1"/>
  <c r="X2588" i="1" a="1"/>
  <c r="X2588" i="1" s="1"/>
  <c r="X2589" i="1" a="1"/>
  <c r="X2589" i="1"/>
  <c r="X2590" i="1" a="1"/>
  <c r="X2590" i="1" s="1"/>
  <c r="X2591" i="1" a="1"/>
  <c r="X2591" i="1" s="1"/>
  <c r="X2592" i="1" a="1"/>
  <c r="X2592" i="1" s="1"/>
  <c r="X2593" i="1" a="1"/>
  <c r="X2593" i="1" s="1"/>
  <c r="X2594" i="1" a="1"/>
  <c r="X2594" i="1" s="1"/>
  <c r="X2595" i="1" a="1"/>
  <c r="X2595" i="1" s="1"/>
  <c r="X2596" i="1" a="1"/>
  <c r="X2596" i="1" s="1"/>
  <c r="X2597" i="1" a="1"/>
  <c r="X2597" i="1"/>
  <c r="X2598" i="1" a="1"/>
  <c r="X2598" i="1" s="1"/>
  <c r="X2599" i="1" a="1"/>
  <c r="X2599" i="1" s="1"/>
  <c r="X2600" i="1" a="1"/>
  <c r="X2600" i="1" s="1"/>
  <c r="X2601" i="1" a="1"/>
  <c r="X2601" i="1" s="1"/>
  <c r="X2602" i="1" a="1"/>
  <c r="X2602" i="1" s="1"/>
  <c r="X2603" i="1" a="1"/>
  <c r="X2603" i="1" s="1"/>
  <c r="X2604" i="1" a="1"/>
  <c r="X2604" i="1" s="1"/>
  <c r="X2605" i="1" a="1"/>
  <c r="X2605" i="1"/>
  <c r="X2606" i="1" a="1"/>
  <c r="X2606" i="1" s="1"/>
  <c r="X2607" i="1" a="1"/>
  <c r="X2607" i="1" s="1"/>
  <c r="X2608" i="1" a="1"/>
  <c r="X2608" i="1" s="1"/>
  <c r="X2609" i="1" a="1"/>
  <c r="X2609" i="1" s="1"/>
  <c r="X2610" i="1" a="1"/>
  <c r="X2610" i="1" s="1"/>
  <c r="X2611" i="1" a="1"/>
  <c r="X2611" i="1" s="1"/>
  <c r="X2612" i="1" a="1"/>
  <c r="X2612" i="1" s="1"/>
  <c r="X2613" i="1" a="1"/>
  <c r="X2613" i="1"/>
  <c r="X2614" i="1" a="1"/>
  <c r="X2614" i="1" s="1"/>
  <c r="X2615" i="1" a="1"/>
  <c r="X2615" i="1" s="1"/>
  <c r="X2616" i="1" a="1"/>
  <c r="X2616" i="1" s="1"/>
  <c r="X2617" i="1" a="1"/>
  <c r="X2617" i="1" s="1"/>
  <c r="X2618" i="1" a="1"/>
  <c r="X2618" i="1" s="1"/>
  <c r="X2619" i="1" a="1"/>
  <c r="X2619" i="1" s="1"/>
  <c r="X2620" i="1" a="1"/>
  <c r="X2620" i="1" s="1"/>
  <c r="X2621" i="1" a="1"/>
  <c r="X2621" i="1"/>
  <c r="X2622" i="1" a="1"/>
  <c r="X2622" i="1" s="1"/>
  <c r="X2623" i="1" a="1"/>
  <c r="X2623" i="1" s="1"/>
  <c r="X2624" i="1" a="1"/>
  <c r="X2624" i="1" s="1"/>
  <c r="X2625" i="1" a="1"/>
  <c r="X2625" i="1" s="1"/>
  <c r="X2626" i="1" a="1"/>
  <c r="X2626" i="1" s="1"/>
  <c r="X2627" i="1" a="1"/>
  <c r="X2627" i="1" s="1"/>
  <c r="X2628" i="1" a="1"/>
  <c r="X2628" i="1" s="1"/>
  <c r="X2629" i="1" a="1"/>
  <c r="X2629" i="1"/>
  <c r="X2630" i="1" a="1"/>
  <c r="X2630" i="1" s="1"/>
  <c r="X2631" i="1" a="1"/>
  <c r="X2631" i="1" s="1"/>
  <c r="X2632" i="1" a="1"/>
  <c r="X2632" i="1" s="1"/>
  <c r="X2633" i="1" a="1"/>
  <c r="X2633" i="1" s="1"/>
  <c r="X2634" i="1" a="1"/>
  <c r="X2634" i="1" s="1"/>
  <c r="X2635" i="1" a="1"/>
  <c r="X2635" i="1" s="1"/>
  <c r="X2636" i="1" a="1"/>
  <c r="X2636" i="1" s="1"/>
  <c r="X2637" i="1" a="1"/>
  <c r="X2637" i="1"/>
  <c r="X2638" i="1" a="1"/>
  <c r="X2638" i="1" s="1"/>
  <c r="X2639" i="1" a="1"/>
  <c r="X2639" i="1" s="1"/>
  <c r="X2640" i="1" a="1"/>
  <c r="X2640" i="1" s="1"/>
  <c r="X2641" i="1" a="1"/>
  <c r="X2641" i="1" s="1"/>
  <c r="X2642" i="1" a="1"/>
  <c r="X2642" i="1" s="1"/>
  <c r="X2643" i="1" a="1"/>
  <c r="X2643" i="1" s="1"/>
  <c r="X2644" i="1" a="1"/>
  <c r="X2644" i="1" s="1"/>
  <c r="X2645" i="1" a="1"/>
  <c r="X2645" i="1"/>
  <c r="X2646" i="1" a="1"/>
  <c r="X2646" i="1" s="1"/>
  <c r="X2647" i="1" a="1"/>
  <c r="X2647" i="1" s="1"/>
  <c r="X2648" i="1" a="1"/>
  <c r="X2648" i="1" s="1"/>
  <c r="X2649" i="1" a="1"/>
  <c r="X2649" i="1" s="1"/>
  <c r="X2650" i="1" a="1"/>
  <c r="X2650" i="1" s="1"/>
  <c r="X2651" i="1" a="1"/>
  <c r="X2651" i="1" s="1"/>
  <c r="X2652" i="1" a="1"/>
  <c r="X2652" i="1" s="1"/>
  <c r="X2653" i="1" a="1"/>
  <c r="X2653" i="1"/>
  <c r="X2654" i="1" a="1"/>
  <c r="X2654" i="1" s="1"/>
  <c r="X2655" i="1" a="1"/>
  <c r="X2655" i="1" s="1"/>
  <c r="X2656" i="1" a="1"/>
  <c r="X2656" i="1" s="1"/>
  <c r="X2657" i="1" a="1"/>
  <c r="X2657" i="1" s="1"/>
  <c r="X2658" i="1" a="1"/>
  <c r="X2658" i="1" s="1"/>
  <c r="X2659" i="1" a="1"/>
  <c r="X2659" i="1" s="1"/>
  <c r="X2660" i="1" a="1"/>
  <c r="X2660" i="1" s="1"/>
  <c r="X2661" i="1" a="1"/>
  <c r="X2661" i="1"/>
  <c r="X2662" i="1" a="1"/>
  <c r="X2662" i="1" s="1"/>
  <c r="X2663" i="1" a="1"/>
  <c r="X2663" i="1" s="1"/>
  <c r="X2664" i="1" a="1"/>
  <c r="X2664" i="1" s="1"/>
  <c r="X2665" i="1" a="1"/>
  <c r="X2665" i="1" s="1"/>
  <c r="X2666" i="1" a="1"/>
  <c r="X2666" i="1" s="1"/>
  <c r="X2667" i="1" a="1"/>
  <c r="X2667" i="1" s="1"/>
  <c r="X2668" i="1" a="1"/>
  <c r="X2668" i="1" s="1"/>
  <c r="X2669" i="1" a="1"/>
  <c r="X2669" i="1"/>
  <c r="X2670" i="1" a="1"/>
  <c r="X2670" i="1" s="1"/>
  <c r="X2671" i="1" a="1"/>
  <c r="X2671" i="1" s="1"/>
  <c r="X2672" i="1" a="1"/>
  <c r="X2672" i="1" s="1"/>
  <c r="X2673" i="1" a="1"/>
  <c r="X2673" i="1" s="1"/>
  <c r="X2674" i="1" a="1"/>
  <c r="X2674" i="1" s="1"/>
  <c r="X2675" i="1" a="1"/>
  <c r="X2675" i="1" s="1"/>
  <c r="X2676" i="1" a="1"/>
  <c r="X2676" i="1" s="1"/>
  <c r="X2677" i="1" a="1"/>
  <c r="X2677" i="1"/>
  <c r="X2678" i="1" a="1"/>
  <c r="X2678" i="1" s="1"/>
  <c r="X2679" i="1" a="1"/>
  <c r="X2679" i="1" s="1"/>
  <c r="X2680" i="1" a="1"/>
  <c r="X2680" i="1" s="1"/>
  <c r="X2681" i="1" a="1"/>
  <c r="X2681" i="1" s="1"/>
  <c r="X2682" i="1" a="1"/>
  <c r="X2682" i="1" s="1"/>
  <c r="X2683" i="1" a="1"/>
  <c r="X2683" i="1" s="1"/>
  <c r="X2684" i="1" a="1"/>
  <c r="X2684" i="1" s="1"/>
  <c r="X2685" i="1" a="1"/>
  <c r="X2685" i="1"/>
  <c r="X2686" i="1" a="1"/>
  <c r="X2686" i="1" s="1"/>
  <c r="X2687" i="1" a="1"/>
  <c r="X2687" i="1" s="1"/>
  <c r="X2688" i="1" a="1"/>
  <c r="X2688" i="1" s="1"/>
  <c r="X2689" i="1" a="1"/>
  <c r="X2689" i="1" s="1"/>
  <c r="X2690" i="1" a="1"/>
  <c r="X2690" i="1" s="1"/>
  <c r="X2691" i="1" a="1"/>
  <c r="X2691" i="1" s="1"/>
  <c r="X2692" i="1" a="1"/>
  <c r="X2692" i="1" s="1"/>
  <c r="X2693" i="1" a="1"/>
  <c r="X2693" i="1"/>
  <c r="X2694" i="1" a="1"/>
  <c r="X2694" i="1" s="1"/>
  <c r="X2695" i="1" a="1"/>
  <c r="X2695" i="1" s="1"/>
  <c r="X2696" i="1" a="1"/>
  <c r="X2696" i="1" s="1"/>
  <c r="X2697" i="1" a="1"/>
  <c r="X2697" i="1" s="1"/>
  <c r="X2698" i="1" a="1"/>
  <c r="X2698" i="1" s="1"/>
  <c r="X2699" i="1" a="1"/>
  <c r="X2699" i="1" s="1"/>
  <c r="X2700" i="1" a="1"/>
  <c r="X2700" i="1" s="1"/>
  <c r="X2701" i="1" a="1"/>
  <c r="X2701" i="1"/>
  <c r="X2702" i="1" a="1"/>
  <c r="X2702" i="1" s="1"/>
  <c r="X2703" i="1" a="1"/>
  <c r="X2703" i="1" s="1"/>
  <c r="X2704" i="1" a="1"/>
  <c r="X2704" i="1" s="1"/>
  <c r="X2705" i="1" a="1"/>
  <c r="X2705" i="1" s="1"/>
  <c r="X2706" i="1" a="1"/>
  <c r="X2706" i="1" s="1"/>
  <c r="X2707" i="1" a="1"/>
  <c r="X2707" i="1" s="1"/>
  <c r="X2708" i="1" a="1"/>
  <c r="X2708" i="1" s="1"/>
  <c r="X2709" i="1" a="1"/>
  <c r="X2709" i="1"/>
  <c r="X2710" i="1" a="1"/>
  <c r="X2710" i="1" s="1"/>
  <c r="X2711" i="1" a="1"/>
  <c r="X2711" i="1" s="1"/>
  <c r="X2712" i="1" a="1"/>
  <c r="X2712" i="1" s="1"/>
  <c r="X2713" i="1" a="1"/>
  <c r="X2713" i="1" s="1"/>
  <c r="X2714" i="1" a="1"/>
  <c r="X2714" i="1" s="1"/>
  <c r="X2715" i="1" a="1"/>
  <c r="X2715" i="1" s="1"/>
  <c r="X2716" i="1" a="1"/>
  <c r="X2716" i="1" s="1"/>
  <c r="X2717" i="1" a="1"/>
  <c r="X2717" i="1"/>
  <c r="X2718" i="1" a="1"/>
  <c r="X2718" i="1" s="1"/>
  <c r="X2719" i="1" a="1"/>
  <c r="X2719" i="1" s="1"/>
  <c r="X2720" i="1" a="1"/>
  <c r="X2720" i="1" s="1"/>
  <c r="X2721" i="1" a="1"/>
  <c r="X2721" i="1" s="1"/>
  <c r="X2722" i="1" a="1"/>
  <c r="X2722" i="1" s="1"/>
  <c r="X2723" i="1" a="1"/>
  <c r="X2723" i="1" s="1"/>
  <c r="X2724" i="1" a="1"/>
  <c r="X2724" i="1" s="1"/>
  <c r="X2725" i="1" a="1"/>
  <c r="X2725" i="1"/>
  <c r="X2726" i="1" a="1"/>
  <c r="X2726" i="1" s="1"/>
  <c r="X2727" i="1" a="1"/>
  <c r="X2727" i="1" s="1"/>
  <c r="X2728" i="1" a="1"/>
  <c r="X2728" i="1" s="1"/>
  <c r="X2729" i="1" a="1"/>
  <c r="X2729" i="1" s="1"/>
  <c r="X2730" i="1" a="1"/>
  <c r="X2730" i="1" s="1"/>
  <c r="X2731" i="1" a="1"/>
  <c r="X2731" i="1" s="1"/>
  <c r="X2732" i="1" a="1"/>
  <c r="X2732" i="1" s="1"/>
  <c r="X2733" i="1" a="1"/>
  <c r="X2733" i="1"/>
  <c r="X2734" i="1" a="1"/>
  <c r="X2734" i="1" s="1"/>
  <c r="X2735" i="1" a="1"/>
  <c r="X2735" i="1" s="1"/>
  <c r="X2736" i="1" a="1"/>
  <c r="X2736" i="1" s="1"/>
  <c r="X2737" i="1" a="1"/>
  <c r="X2737" i="1" s="1"/>
  <c r="X2738" i="1" a="1"/>
  <c r="X2738" i="1" s="1"/>
  <c r="X2739" i="1" a="1"/>
  <c r="X2739" i="1" s="1"/>
  <c r="X2740" i="1" a="1"/>
  <c r="X2740" i="1" s="1"/>
  <c r="X2741" i="1" a="1"/>
  <c r="X2741" i="1"/>
  <c r="X2742" i="1" a="1"/>
  <c r="X2742" i="1" s="1"/>
  <c r="X2743" i="1" a="1"/>
  <c r="X2743" i="1" s="1"/>
  <c r="X2744" i="1" a="1"/>
  <c r="X2744" i="1" s="1"/>
  <c r="X2745" i="1" a="1"/>
  <c r="X2745" i="1" s="1"/>
  <c r="X2746" i="1" a="1"/>
  <c r="X2746" i="1" s="1"/>
  <c r="X2747" i="1" a="1"/>
  <c r="X2747" i="1" s="1"/>
  <c r="X2748" i="1" a="1"/>
  <c r="X2748" i="1" s="1"/>
  <c r="X2749" i="1" a="1"/>
  <c r="X2749" i="1"/>
  <c r="X2750" i="1" a="1"/>
  <c r="X2750" i="1" s="1"/>
  <c r="X2751" i="1" a="1"/>
  <c r="X2751" i="1" s="1"/>
  <c r="X2752" i="1" a="1"/>
  <c r="X2752" i="1" s="1"/>
  <c r="X2753" i="1" a="1"/>
  <c r="X2753" i="1" s="1"/>
  <c r="X2754" i="1" a="1"/>
  <c r="X2754" i="1" s="1"/>
  <c r="X2755" i="1" a="1"/>
  <c r="X2755" i="1" s="1"/>
  <c r="X2756" i="1" a="1"/>
  <c r="X2756" i="1" s="1"/>
  <c r="X2757" i="1" a="1"/>
  <c r="X2757" i="1"/>
  <c r="X2758" i="1" a="1"/>
  <c r="X2758" i="1" s="1"/>
  <c r="X2759" i="1" a="1"/>
  <c r="X2759" i="1" s="1"/>
  <c r="X2760" i="1" a="1"/>
  <c r="X2760" i="1" s="1"/>
  <c r="X2761" i="1" a="1"/>
  <c r="X2761" i="1" s="1"/>
  <c r="X2762" i="1" a="1"/>
  <c r="X2762" i="1" s="1"/>
  <c r="X2763" i="1" a="1"/>
  <c r="X2763" i="1" s="1"/>
  <c r="X2764" i="1" a="1"/>
  <c r="X2764" i="1" s="1"/>
  <c r="X2765" i="1" a="1"/>
  <c r="X2765" i="1"/>
  <c r="X2766" i="1" a="1"/>
  <c r="X2766" i="1" s="1"/>
  <c r="X2767" i="1" a="1"/>
  <c r="X2767" i="1" s="1"/>
  <c r="X2768" i="1" a="1"/>
  <c r="X2768" i="1" s="1"/>
  <c r="X2769" i="1" a="1"/>
  <c r="X2769" i="1" s="1"/>
  <c r="X2770" i="1" a="1"/>
  <c r="X2770" i="1" s="1"/>
  <c r="X2771" i="1" a="1"/>
  <c r="X2771" i="1" s="1"/>
  <c r="X2772" i="1" a="1"/>
  <c r="X2772" i="1" s="1"/>
  <c r="X2773" i="1" a="1"/>
  <c r="X2773" i="1"/>
  <c r="X2774" i="1" a="1"/>
  <c r="X2774" i="1" s="1"/>
  <c r="X2775" i="1" a="1"/>
  <c r="X2775" i="1" s="1"/>
  <c r="X2776" i="1" a="1"/>
  <c r="X2776" i="1" s="1"/>
  <c r="X2777" i="1" a="1"/>
  <c r="X2777" i="1" s="1"/>
  <c r="X2778" i="1" a="1"/>
  <c r="X2778" i="1" s="1"/>
  <c r="X2779" i="1" a="1"/>
  <c r="X2779" i="1" s="1"/>
  <c r="X2780" i="1" a="1"/>
  <c r="X2780" i="1" s="1"/>
  <c r="X2781" i="1" a="1"/>
  <c r="X2781" i="1"/>
  <c r="X2782" i="1" a="1"/>
  <c r="X2782" i="1" s="1"/>
  <c r="X2783" i="1" a="1"/>
  <c r="X2783" i="1" s="1"/>
  <c r="X2784" i="1" a="1"/>
  <c r="X2784" i="1" s="1"/>
  <c r="X2785" i="1" a="1"/>
  <c r="X2785" i="1" s="1"/>
  <c r="X2786" i="1" a="1"/>
  <c r="X2786" i="1" s="1"/>
  <c r="X2787" i="1" a="1"/>
  <c r="X2787" i="1" s="1"/>
  <c r="X2788" i="1" a="1"/>
  <c r="X2788" i="1" s="1"/>
  <c r="X2789" i="1" a="1"/>
  <c r="X2789" i="1"/>
  <c r="X2790" i="1" a="1"/>
  <c r="X2790" i="1" s="1"/>
  <c r="X2791" i="1" a="1"/>
  <c r="X2791" i="1" s="1"/>
  <c r="X2792" i="1" a="1"/>
  <c r="X2792" i="1" s="1"/>
  <c r="X2793" i="1" a="1"/>
  <c r="X2793" i="1" s="1"/>
  <c r="X2794" i="1" a="1"/>
  <c r="X2794" i="1" s="1"/>
  <c r="X2795" i="1" a="1"/>
  <c r="X2795" i="1" s="1"/>
  <c r="X2796" i="1" a="1"/>
  <c r="X2796" i="1" s="1"/>
  <c r="X2797" i="1" a="1"/>
  <c r="X2797" i="1"/>
  <c r="X2798" i="1" a="1"/>
  <c r="X2798" i="1" s="1"/>
  <c r="X2799" i="1" a="1"/>
  <c r="X2799" i="1" s="1"/>
  <c r="X2800" i="1" a="1"/>
  <c r="X2800" i="1" s="1"/>
  <c r="X2801" i="1" a="1"/>
  <c r="X2801" i="1" s="1"/>
  <c r="X2802" i="1" a="1"/>
  <c r="X2802" i="1" s="1"/>
  <c r="X2803" i="1" a="1"/>
  <c r="X2803" i="1" s="1"/>
  <c r="X2804" i="1" a="1"/>
  <c r="X2804" i="1" s="1"/>
  <c r="X2805" i="1" a="1"/>
  <c r="X2805" i="1" s="1"/>
  <c r="X2806" i="1" a="1"/>
  <c r="X2806" i="1" s="1"/>
  <c r="X2807" i="1" a="1"/>
  <c r="X2807" i="1"/>
  <c r="X2808" i="1" a="1"/>
  <c r="X2808" i="1"/>
  <c r="X2809" i="1" a="1"/>
  <c r="X2809" i="1"/>
  <c r="X2810" i="1" a="1"/>
  <c r="X2810" i="1"/>
  <c r="X2811" i="1" a="1"/>
  <c r="X2811" i="1"/>
  <c r="X2812" i="1" a="1"/>
  <c r="X2812" i="1"/>
  <c r="X2813" i="1" a="1"/>
  <c r="X2813" i="1"/>
  <c r="X2814" i="1" a="1"/>
  <c r="X2814" i="1" s="1"/>
  <c r="X2815" i="1" a="1"/>
  <c r="X2815" i="1" s="1"/>
  <c r="X2816" i="1" a="1"/>
  <c r="X2816" i="1" s="1"/>
  <c r="X2817" i="1" a="1"/>
  <c r="X2817" i="1" s="1"/>
  <c r="X2818" i="1" a="1"/>
  <c r="X2818" i="1" s="1"/>
  <c r="X2819" i="1" a="1"/>
  <c r="X2819" i="1" s="1"/>
  <c r="X2820" i="1" a="1"/>
  <c r="X2820" i="1" s="1"/>
  <c r="X2821" i="1" a="1"/>
  <c r="X2821" i="1" s="1"/>
  <c r="X2822" i="1" a="1"/>
  <c r="X2822" i="1" s="1"/>
  <c r="X2823" i="1" a="1"/>
  <c r="X2823" i="1"/>
  <c r="X2824" i="1" a="1"/>
  <c r="X2824" i="1"/>
  <c r="X2825" i="1" a="1"/>
  <c r="X2825" i="1"/>
  <c r="X2826" i="1" a="1"/>
  <c r="X2826" i="1"/>
  <c r="X2827" i="1" a="1"/>
  <c r="X2827" i="1"/>
  <c r="X2828" i="1" a="1"/>
  <c r="X2828" i="1"/>
  <c r="X2829" i="1" a="1"/>
  <c r="X2829" i="1"/>
  <c r="X2830" i="1" a="1"/>
  <c r="X2830" i="1" s="1"/>
  <c r="X2831" i="1" a="1"/>
  <c r="X2831" i="1" s="1"/>
  <c r="X2832" i="1" a="1"/>
  <c r="X2832" i="1" s="1"/>
  <c r="X2833" i="1" a="1"/>
  <c r="X2833" i="1" s="1"/>
  <c r="X2834" i="1" a="1"/>
  <c r="X2834" i="1" s="1"/>
  <c r="X2835" i="1" a="1"/>
  <c r="X2835" i="1" s="1"/>
  <c r="X2836" i="1" a="1"/>
  <c r="X2836" i="1" s="1"/>
  <c r="X2837" i="1" a="1"/>
  <c r="X2837" i="1" s="1"/>
  <c r="X2838" i="1" a="1"/>
  <c r="X2838" i="1" s="1"/>
  <c r="X2839" i="1" a="1"/>
  <c r="X2839" i="1"/>
  <c r="X2840" i="1" a="1"/>
  <c r="X2840" i="1"/>
  <c r="X2841" i="1" a="1"/>
  <c r="X2841" i="1"/>
  <c r="X2842" i="1" a="1"/>
  <c r="X2842" i="1"/>
  <c r="X2843" i="1" a="1"/>
  <c r="X2843" i="1"/>
  <c r="X2844" i="1" a="1"/>
  <c r="X2844" i="1"/>
  <c r="X2845" i="1" a="1"/>
  <c r="X2845" i="1"/>
  <c r="X2846" i="1" a="1"/>
  <c r="X2846" i="1" s="1"/>
  <c r="X2847" i="1" a="1"/>
  <c r="X2847" i="1" s="1"/>
  <c r="X2848" i="1" a="1"/>
  <c r="X2848" i="1" s="1"/>
  <c r="X2849" i="1" a="1"/>
  <c r="X2849" i="1" s="1"/>
  <c r="X2850" i="1" a="1"/>
  <c r="X2850" i="1" s="1"/>
  <c r="X2851" i="1" a="1"/>
  <c r="X2851" i="1" s="1"/>
  <c r="X2852" i="1" a="1"/>
  <c r="X2852" i="1" s="1"/>
  <c r="X2853" i="1" a="1"/>
  <c r="X2853" i="1" s="1"/>
  <c r="X2854" i="1" a="1"/>
  <c r="X2854" i="1" s="1"/>
  <c r="X2855" i="1" a="1"/>
  <c r="X2855" i="1"/>
  <c r="X2856" i="1" a="1"/>
  <c r="X2856" i="1"/>
  <c r="X2857" i="1" a="1"/>
  <c r="X2857" i="1"/>
  <c r="X2858" i="1" a="1"/>
  <c r="X2858" i="1"/>
  <c r="X2859" i="1" a="1"/>
  <c r="X2859" i="1"/>
  <c r="X2860" i="1" a="1"/>
  <c r="X2860" i="1"/>
  <c r="X2861" i="1" a="1"/>
  <c r="X2861" i="1"/>
  <c r="X2862" i="1" a="1"/>
  <c r="X2862" i="1" s="1"/>
  <c r="X2863" i="1" a="1"/>
  <c r="X2863" i="1" s="1"/>
  <c r="X2864" i="1" a="1"/>
  <c r="X2864" i="1" s="1"/>
  <c r="X2865" i="1" a="1"/>
  <c r="X2865" i="1" s="1"/>
  <c r="X2866" i="1" a="1"/>
  <c r="X2866" i="1" s="1"/>
  <c r="X2867" i="1" a="1"/>
  <c r="X2867" i="1" s="1"/>
  <c r="X2868" i="1" a="1"/>
  <c r="X2868" i="1" s="1"/>
  <c r="X2869" i="1" a="1"/>
  <c r="X2869" i="1" s="1"/>
  <c r="X2870" i="1" a="1"/>
  <c r="X2870" i="1" s="1"/>
  <c r="X2871" i="1" a="1"/>
  <c r="X2871" i="1"/>
  <c r="X2872" i="1" a="1"/>
  <c r="X2872" i="1"/>
  <c r="X2873" i="1" a="1"/>
  <c r="X2873" i="1"/>
  <c r="X2874" i="1" a="1"/>
  <c r="X2874" i="1"/>
  <c r="X2875" i="1" a="1"/>
  <c r="X2875" i="1"/>
  <c r="X2876" i="1" a="1"/>
  <c r="X2876" i="1"/>
  <c r="X2877" i="1" a="1"/>
  <c r="X2877" i="1"/>
  <c r="X2878" i="1" a="1"/>
  <c r="X2878" i="1" s="1"/>
  <c r="X2879" i="1" a="1"/>
  <c r="X2879" i="1" s="1"/>
  <c r="X2880" i="1" a="1"/>
  <c r="X2880" i="1" s="1"/>
  <c r="X2881" i="1" a="1"/>
  <c r="X2881" i="1" s="1"/>
  <c r="X2882" i="1" a="1"/>
  <c r="X2882" i="1" s="1"/>
  <c r="X2883" i="1" a="1"/>
  <c r="X2883" i="1" s="1"/>
  <c r="X2884" i="1" a="1"/>
  <c r="X2884" i="1" s="1"/>
  <c r="X2885" i="1" a="1"/>
  <c r="X2885" i="1" s="1"/>
  <c r="X2886" i="1" a="1"/>
  <c r="X2886" i="1" s="1"/>
  <c r="X2887" i="1" a="1"/>
  <c r="X2887" i="1"/>
  <c r="X2888" i="1" a="1"/>
  <c r="X2888" i="1"/>
  <c r="X2889" i="1" a="1"/>
  <c r="X2889" i="1"/>
  <c r="X2890" i="1" a="1"/>
  <c r="X2890" i="1"/>
  <c r="X2891" i="1" a="1"/>
  <c r="X2891" i="1"/>
  <c r="X2892" i="1" a="1"/>
  <c r="X2892" i="1"/>
  <c r="X2893" i="1" a="1"/>
  <c r="X2893" i="1"/>
  <c r="X2894" i="1" a="1"/>
  <c r="X2894" i="1" s="1"/>
  <c r="X2895" i="1" a="1"/>
  <c r="X2895" i="1" s="1"/>
  <c r="X2896" i="1" a="1"/>
  <c r="X2896" i="1" s="1"/>
  <c r="X2897" i="1" a="1"/>
  <c r="X2897" i="1" s="1"/>
  <c r="X2898" i="1" a="1"/>
  <c r="X2898" i="1" s="1"/>
  <c r="X2899" i="1" a="1"/>
  <c r="X2899" i="1" s="1"/>
  <c r="X2900" i="1" a="1"/>
  <c r="X2900" i="1" s="1"/>
  <c r="X2901" i="1" a="1"/>
  <c r="X2901" i="1" s="1"/>
  <c r="X2902" i="1" a="1"/>
  <c r="X2902" i="1" s="1"/>
  <c r="X2903" i="1" a="1"/>
  <c r="X2903" i="1"/>
  <c r="X2904" i="1" a="1"/>
  <c r="X2904" i="1"/>
  <c r="X2905" i="1" a="1"/>
  <c r="X2905" i="1"/>
  <c r="X2906" i="1" a="1"/>
  <c r="X2906" i="1"/>
  <c r="X2907" i="1" a="1"/>
  <c r="X2907" i="1"/>
  <c r="X2908" i="1" a="1"/>
  <c r="X2908" i="1"/>
  <c r="X2909" i="1" a="1"/>
  <c r="X2909" i="1"/>
  <c r="X2910" i="1" a="1"/>
  <c r="X2910" i="1" s="1"/>
  <c r="X2911" i="1" a="1"/>
  <c r="X2911" i="1" s="1"/>
  <c r="X2912" i="1" a="1"/>
  <c r="X2912" i="1" s="1"/>
  <c r="X2913" i="1" a="1"/>
  <c r="X2913" i="1" s="1"/>
  <c r="X2914" i="1" a="1"/>
  <c r="X2914" i="1" s="1"/>
  <c r="X2915" i="1" a="1"/>
  <c r="X2915" i="1" s="1"/>
  <c r="X2916" i="1" a="1"/>
  <c r="X2916" i="1" s="1"/>
  <c r="X2917" i="1" a="1"/>
  <c r="X2917" i="1" s="1"/>
  <c r="X2918" i="1" a="1"/>
  <c r="X2918" i="1" s="1"/>
  <c r="X2919" i="1" a="1"/>
  <c r="X2919" i="1"/>
  <c r="X2920" i="1" a="1"/>
  <c r="X2920" i="1"/>
  <c r="X2921" i="1" a="1"/>
  <c r="X2921" i="1"/>
  <c r="X2922" i="1" a="1"/>
  <c r="X2922" i="1"/>
  <c r="X2923" i="1" a="1"/>
  <c r="X2923" i="1"/>
  <c r="X2924" i="1" a="1"/>
  <c r="X2924" i="1"/>
  <c r="X2925" i="1" a="1"/>
  <c r="X2925" i="1"/>
  <c r="X2926" i="1" a="1"/>
  <c r="X2926" i="1" s="1"/>
  <c r="X2927" i="1" a="1"/>
  <c r="X2927" i="1" s="1"/>
  <c r="X2928" i="1" a="1"/>
  <c r="X2928" i="1" s="1"/>
  <c r="X2929" i="1" a="1"/>
  <c r="X2929" i="1" s="1"/>
  <c r="X2930" i="1" a="1"/>
  <c r="X2930" i="1" s="1"/>
  <c r="X2931" i="1" a="1"/>
  <c r="X2931" i="1" s="1"/>
  <c r="X2932" i="1" a="1"/>
  <c r="X2932" i="1" s="1"/>
  <c r="X2933" i="1" a="1"/>
  <c r="X2933" i="1" s="1"/>
  <c r="X2934" i="1" a="1"/>
  <c r="X2934" i="1" s="1"/>
  <c r="X2935" i="1" a="1"/>
  <c r="X2935" i="1"/>
  <c r="X2936" i="1" a="1"/>
  <c r="X2936" i="1"/>
  <c r="X2937" i="1" a="1"/>
  <c r="X2937" i="1"/>
  <c r="X2938" i="1" a="1"/>
  <c r="X2938" i="1"/>
  <c r="X2939" i="1" a="1"/>
  <c r="X2939" i="1"/>
  <c r="X2940" i="1" a="1"/>
  <c r="X2940" i="1"/>
  <c r="X2941" i="1" a="1"/>
  <c r="X2941" i="1"/>
  <c r="X2942" i="1" a="1"/>
  <c r="X2942" i="1" s="1"/>
  <c r="X2943" i="1" a="1"/>
  <c r="X2943" i="1" s="1"/>
  <c r="X2944" i="1" a="1"/>
  <c r="X2944" i="1" s="1"/>
  <c r="X2945" i="1" a="1"/>
  <c r="X2945" i="1" s="1"/>
  <c r="X2946" i="1" a="1"/>
  <c r="X2946" i="1" s="1"/>
  <c r="X2947" i="1" a="1"/>
  <c r="X2947" i="1" s="1"/>
  <c r="X2948" i="1" a="1"/>
  <c r="X2948" i="1" s="1"/>
  <c r="X2949" i="1" a="1"/>
  <c r="X2949" i="1" s="1"/>
  <c r="X2950" i="1" a="1"/>
  <c r="X2950" i="1" s="1"/>
  <c r="X2951" i="1" a="1"/>
  <c r="X2951" i="1"/>
  <c r="X2952" i="1" a="1"/>
  <c r="X2952" i="1"/>
  <c r="X2953" i="1" a="1"/>
  <c r="X2953" i="1"/>
  <c r="X2954" i="1" a="1"/>
  <c r="X2954" i="1"/>
  <c r="X2955" i="1" a="1"/>
  <c r="X2955" i="1"/>
  <c r="X2956" i="1" a="1"/>
  <c r="X2956" i="1"/>
  <c r="X2957" i="1" a="1"/>
  <c r="X2957" i="1"/>
  <c r="X2958" i="1" a="1"/>
  <c r="X2958" i="1" s="1"/>
  <c r="X2959" i="1" a="1"/>
  <c r="X2959" i="1" s="1"/>
  <c r="X2960" i="1" a="1"/>
  <c r="X2960" i="1" s="1"/>
  <c r="X2961" i="1" a="1"/>
  <c r="X2961" i="1" s="1"/>
  <c r="X2962" i="1" a="1"/>
  <c r="X2962" i="1" s="1"/>
  <c r="X2963" i="1" a="1"/>
  <c r="X2963" i="1" s="1"/>
  <c r="X2964" i="1" a="1"/>
  <c r="X2964" i="1" s="1"/>
  <c r="X2965" i="1" a="1"/>
  <c r="X2965" i="1" s="1"/>
  <c r="X2966" i="1" a="1"/>
  <c r="X2966" i="1" s="1"/>
  <c r="X2967" i="1" a="1"/>
  <c r="X2967" i="1"/>
  <c r="X2968" i="1" a="1"/>
  <c r="X2968" i="1"/>
  <c r="X2969" i="1" a="1"/>
  <c r="X2969" i="1"/>
  <c r="X2970" i="1" a="1"/>
  <c r="X2970" i="1"/>
  <c r="X2971" i="1" a="1"/>
  <c r="X2971" i="1"/>
  <c r="X2972" i="1" a="1"/>
  <c r="X2972" i="1"/>
  <c r="X2973" i="1" a="1"/>
  <c r="X2973" i="1"/>
  <c r="X2974" i="1" a="1"/>
  <c r="X2974" i="1" s="1"/>
  <c r="X2975" i="1" a="1"/>
  <c r="X2975" i="1" s="1"/>
  <c r="X2976" i="1" a="1"/>
  <c r="X2976" i="1" s="1"/>
  <c r="X2977" i="1" a="1"/>
  <c r="X2977" i="1" s="1"/>
  <c r="X2978" i="1" a="1"/>
  <c r="X2978" i="1" s="1"/>
  <c r="X2979" i="1" a="1"/>
  <c r="X2979" i="1" s="1"/>
  <c r="X2980" i="1" a="1"/>
  <c r="X2980" i="1" s="1"/>
  <c r="X2981" i="1" a="1"/>
  <c r="X2981" i="1" s="1"/>
  <c r="X2982" i="1" a="1"/>
  <c r="X2982" i="1" s="1"/>
  <c r="X2983" i="1" a="1"/>
  <c r="X2983" i="1"/>
  <c r="X2984" i="1" a="1"/>
  <c r="X2984" i="1"/>
  <c r="X2985" i="1" a="1"/>
  <c r="X2985" i="1"/>
  <c r="X2986" i="1" a="1"/>
  <c r="X2986" i="1"/>
  <c r="X2987" i="1" a="1"/>
  <c r="X2987" i="1"/>
  <c r="X2988" i="1" a="1"/>
  <c r="X2988" i="1"/>
  <c r="X2989" i="1" a="1"/>
  <c r="X2989" i="1"/>
  <c r="X2990" i="1" a="1"/>
  <c r="X2990" i="1" s="1"/>
  <c r="X2991" i="1" a="1"/>
  <c r="X2991" i="1" s="1"/>
  <c r="X2992" i="1" a="1"/>
  <c r="X2992" i="1" s="1"/>
  <c r="X2993" i="1" a="1"/>
  <c r="X2993" i="1" s="1"/>
  <c r="X2994" i="1" a="1"/>
  <c r="X2994" i="1" s="1"/>
  <c r="X2995" i="1" a="1"/>
  <c r="X2995" i="1" s="1"/>
  <c r="X2996" i="1" a="1"/>
  <c r="X2996" i="1" s="1"/>
  <c r="X2997" i="1" a="1"/>
  <c r="X2997" i="1" s="1"/>
  <c r="X2998" i="1" a="1"/>
  <c r="X2998" i="1" s="1"/>
  <c r="X2999" i="1" a="1"/>
  <c r="X2999" i="1"/>
  <c r="X3000" i="1" a="1"/>
  <c r="X3000" i="1"/>
  <c r="X3001" i="1" a="1"/>
  <c r="X3001" i="1"/>
  <c r="X3002" i="1" a="1"/>
  <c r="X3002" i="1"/>
  <c r="X3003" i="1" a="1"/>
  <c r="X3003" i="1"/>
  <c r="X3004" i="1" a="1"/>
  <c r="X3004" i="1"/>
  <c r="X3005" i="1" a="1"/>
  <c r="X3005" i="1"/>
  <c r="X3006" i="1" a="1"/>
  <c r="X3006" i="1" s="1"/>
  <c r="X3007" i="1" a="1"/>
  <c r="X3007" i="1" s="1"/>
  <c r="X3008" i="1" a="1"/>
  <c r="X3008" i="1" s="1"/>
  <c r="X3009" i="1" a="1"/>
  <c r="X3009" i="1" s="1"/>
  <c r="X3010" i="1" a="1"/>
  <c r="X3010" i="1" s="1"/>
  <c r="X3011" i="1" a="1"/>
  <c r="X3011" i="1" s="1"/>
  <c r="X3012" i="1" a="1"/>
  <c r="X3012" i="1" s="1"/>
  <c r="X3013" i="1" a="1"/>
  <c r="X3013" i="1" s="1"/>
  <c r="X3014" i="1" a="1"/>
  <c r="X3014" i="1" s="1"/>
  <c r="X3015" i="1" a="1"/>
  <c r="X3015" i="1"/>
  <c r="X3016" i="1" a="1"/>
  <c r="X3016" i="1"/>
  <c r="X3017" i="1" a="1"/>
  <c r="X3017" i="1"/>
  <c r="X3018" i="1" a="1"/>
  <c r="X3018" i="1"/>
  <c r="X3019" i="1" a="1"/>
  <c r="X3019" i="1"/>
  <c r="X3020" i="1" a="1"/>
  <c r="X3020" i="1"/>
  <c r="X3021" i="1" a="1"/>
  <c r="X3021" i="1"/>
  <c r="X3022" i="1" a="1"/>
  <c r="X3022" i="1" s="1"/>
  <c r="X3023" i="1" a="1"/>
  <c r="X3023" i="1" s="1"/>
  <c r="X3024" i="1" a="1"/>
  <c r="X3024" i="1" s="1"/>
  <c r="X3025" i="1" a="1"/>
  <c r="X3025" i="1" s="1"/>
  <c r="X3026" i="1" a="1"/>
  <c r="X3026" i="1" s="1"/>
  <c r="X3027" i="1" a="1"/>
  <c r="X3027" i="1" s="1"/>
  <c r="X3028" i="1" a="1"/>
  <c r="X3028" i="1" s="1"/>
  <c r="X3029" i="1" a="1"/>
  <c r="X3029" i="1" s="1"/>
  <c r="X3030" i="1" a="1"/>
  <c r="X3030" i="1" s="1"/>
  <c r="X3031" i="1" a="1"/>
  <c r="X3031" i="1"/>
  <c r="X3032" i="1" a="1"/>
  <c r="X3032" i="1"/>
  <c r="X3033" i="1" a="1"/>
  <c r="X3033" i="1"/>
  <c r="X3034" i="1" a="1"/>
  <c r="X3034" i="1"/>
  <c r="X3035" i="1" a="1"/>
  <c r="X3035" i="1"/>
  <c r="X3036" i="1" a="1"/>
  <c r="X3036" i="1"/>
  <c r="X3037" i="1" a="1"/>
  <c r="X3037" i="1"/>
  <c r="X3038" i="1" a="1"/>
  <c r="X3038" i="1" s="1"/>
  <c r="X3039" i="1" a="1"/>
  <c r="X3039" i="1" s="1"/>
  <c r="X3040" i="1" a="1"/>
  <c r="X3040" i="1" s="1"/>
  <c r="X3041" i="1" a="1"/>
  <c r="X3041" i="1" s="1"/>
  <c r="X3042" i="1" a="1"/>
  <c r="X3042" i="1" s="1"/>
  <c r="X3043" i="1" a="1"/>
  <c r="X3043" i="1" s="1"/>
  <c r="X3044" i="1" a="1"/>
  <c r="X3044" i="1" s="1"/>
  <c r="X3045" i="1" a="1"/>
  <c r="X3045" i="1" s="1"/>
  <c r="X3046" i="1" a="1"/>
  <c r="X3046" i="1" s="1"/>
  <c r="X3047" i="1" a="1"/>
  <c r="X3047" i="1"/>
  <c r="X3048" i="1" a="1"/>
  <c r="X3048" i="1"/>
  <c r="X3049" i="1" a="1"/>
  <c r="X3049" i="1"/>
  <c r="X3050" i="1" a="1"/>
  <c r="X3050" i="1"/>
  <c r="X3051" i="1" a="1"/>
  <c r="X3051" i="1"/>
  <c r="X3052" i="1" a="1"/>
  <c r="X3052" i="1"/>
  <c r="X3053" i="1" a="1"/>
  <c r="X3053" i="1"/>
  <c r="X3054" i="1" a="1"/>
  <c r="X3054" i="1" s="1"/>
  <c r="X3055" i="1" a="1"/>
  <c r="X3055" i="1" s="1"/>
  <c r="X3056" i="1" a="1"/>
  <c r="X3056" i="1" s="1"/>
  <c r="X3057" i="1" a="1"/>
  <c r="X3057" i="1" s="1"/>
  <c r="X3058" i="1" a="1"/>
  <c r="X3058" i="1" s="1"/>
  <c r="X3059" i="1" a="1"/>
  <c r="X3059" i="1" s="1"/>
  <c r="X3060" i="1" a="1"/>
  <c r="X3060" i="1" s="1"/>
  <c r="X3061" i="1" a="1"/>
  <c r="X3061" i="1" s="1"/>
  <c r="X3062" i="1" a="1"/>
  <c r="X3062" i="1" s="1"/>
  <c r="X3063" i="1" a="1"/>
  <c r="X3063" i="1"/>
  <c r="X3064" i="1" a="1"/>
  <c r="X3064" i="1"/>
  <c r="X3065" i="1" a="1"/>
  <c r="X3065" i="1"/>
  <c r="X3066" i="1" a="1"/>
  <c r="X3066" i="1"/>
  <c r="X3067" i="1" a="1"/>
  <c r="X3067" i="1"/>
  <c r="X3068" i="1" a="1"/>
  <c r="X3068" i="1"/>
  <c r="X3069" i="1" a="1"/>
  <c r="X3069" i="1"/>
  <c r="X3070" i="1" a="1"/>
  <c r="X3070" i="1" s="1"/>
  <c r="X3071" i="1" a="1"/>
  <c r="X3071" i="1" s="1"/>
  <c r="X3072" i="1" a="1"/>
  <c r="X3072" i="1" s="1"/>
  <c r="X3073" i="1" a="1"/>
  <c r="X3073" i="1" s="1"/>
  <c r="X3074" i="1" a="1"/>
  <c r="X3074" i="1" s="1"/>
  <c r="X3075" i="1" a="1"/>
  <c r="X3075" i="1" s="1"/>
  <c r="X3076" i="1" a="1"/>
  <c r="X3076" i="1" s="1"/>
  <c r="X3077" i="1" a="1"/>
  <c r="X3077" i="1" s="1"/>
  <c r="X3078" i="1" a="1"/>
  <c r="X3078" i="1" s="1"/>
  <c r="X3079" i="1" a="1"/>
  <c r="X3079" i="1"/>
  <c r="X3080" i="1" a="1"/>
  <c r="X3080" i="1"/>
  <c r="X3081" i="1" a="1"/>
  <c r="X3081" i="1"/>
  <c r="X3082" i="1" a="1"/>
  <c r="X3082" i="1"/>
  <c r="X3083" i="1" a="1"/>
  <c r="X3083" i="1"/>
  <c r="X3084" i="1" a="1"/>
  <c r="X3084" i="1"/>
  <c r="X3085" i="1" a="1"/>
  <c r="X3085" i="1"/>
  <c r="X3086" i="1" a="1"/>
  <c r="X3086" i="1" s="1"/>
  <c r="X3087" i="1" a="1"/>
  <c r="X3087" i="1" s="1"/>
  <c r="X3088" i="1" a="1"/>
  <c r="X3088" i="1" s="1"/>
  <c r="X3089" i="1" a="1"/>
  <c r="X3089" i="1" s="1"/>
  <c r="X3090" i="1" a="1"/>
  <c r="X3090" i="1" s="1"/>
  <c r="X3091" i="1" a="1"/>
  <c r="X3091" i="1" s="1"/>
  <c r="X3092" i="1" a="1"/>
  <c r="X3092" i="1" s="1"/>
  <c r="X3093" i="1" a="1"/>
  <c r="X3093" i="1" s="1"/>
  <c r="X3094" i="1" a="1"/>
  <c r="X3094" i="1" s="1"/>
  <c r="X3095" i="1" a="1"/>
  <c r="X3095" i="1"/>
  <c r="X3096" i="1" a="1"/>
  <c r="X3096" i="1"/>
  <c r="X3097" i="1" a="1"/>
  <c r="X3097" i="1"/>
  <c r="X3098" i="1" a="1"/>
  <c r="X3098" i="1"/>
  <c r="X3099" i="1" a="1"/>
  <c r="X3099" i="1"/>
  <c r="X3100" i="1" a="1"/>
  <c r="X3100" i="1"/>
  <c r="X3101" i="1" a="1"/>
  <c r="X3101" i="1"/>
  <c r="X3102" i="1" a="1"/>
  <c r="X3102" i="1" s="1"/>
  <c r="X3103" i="1" a="1"/>
  <c r="X3103" i="1" s="1"/>
  <c r="X3104" i="1" a="1"/>
  <c r="X3104" i="1" s="1"/>
  <c r="X3105" i="1" a="1"/>
  <c r="X3105" i="1" s="1"/>
  <c r="X3106" i="1" a="1"/>
  <c r="X3106" i="1" s="1"/>
  <c r="X3107" i="1" a="1"/>
  <c r="X3107" i="1" s="1"/>
  <c r="X3108" i="1" a="1"/>
  <c r="X3108" i="1" s="1"/>
  <c r="X3109" i="1" a="1"/>
  <c r="X3109" i="1" s="1"/>
  <c r="X3110" i="1" a="1"/>
  <c r="X3110" i="1" s="1"/>
  <c r="X3111" i="1" a="1"/>
  <c r="X3111" i="1"/>
  <c r="X3112" i="1" a="1"/>
  <c r="X3112" i="1"/>
  <c r="X3113" i="1" a="1"/>
  <c r="X3113" i="1"/>
  <c r="X3114" i="1" a="1"/>
  <c r="X3114" i="1"/>
  <c r="X3115" i="1" a="1"/>
  <c r="X3115" i="1"/>
  <c r="X3116" i="1" a="1"/>
  <c r="X3116" i="1"/>
  <c r="X3117" i="1" a="1"/>
  <c r="X3117" i="1"/>
  <c r="X3118" i="1" a="1"/>
  <c r="X3118" i="1" s="1"/>
  <c r="X3119" i="1" a="1"/>
  <c r="X3119" i="1" s="1"/>
  <c r="X3120" i="1" a="1"/>
  <c r="X3120" i="1" s="1"/>
  <c r="X3121" i="1" a="1"/>
  <c r="X3121" i="1" s="1"/>
  <c r="X3122" i="1" a="1"/>
  <c r="X3122" i="1" s="1"/>
  <c r="X3123" i="1" a="1"/>
  <c r="X3123" i="1" s="1"/>
  <c r="X3124" i="1" a="1"/>
  <c r="X3124" i="1" s="1"/>
  <c r="X3125" i="1" a="1"/>
  <c r="X3125" i="1" s="1"/>
  <c r="X3126" i="1" a="1"/>
  <c r="X3126" i="1" s="1"/>
  <c r="X3127" i="1" a="1"/>
  <c r="X3127" i="1"/>
  <c r="X3128" i="1" a="1"/>
  <c r="X3128" i="1"/>
  <c r="X3129" i="1" a="1"/>
  <c r="X3129" i="1"/>
  <c r="X3130" i="1" a="1"/>
  <c r="X3130" i="1"/>
  <c r="X3131" i="1" a="1"/>
  <c r="X3131" i="1"/>
  <c r="X3132" i="1" a="1"/>
  <c r="X3132" i="1"/>
  <c r="X3133" i="1" a="1"/>
  <c r="X3133" i="1"/>
  <c r="X3134" i="1" a="1"/>
  <c r="X3134" i="1" s="1"/>
  <c r="X3135" i="1" a="1"/>
  <c r="X3135" i="1" s="1"/>
  <c r="X3136" i="1" a="1"/>
  <c r="X3136" i="1" s="1"/>
  <c r="X3137" i="1" a="1"/>
  <c r="X3137" i="1" s="1"/>
  <c r="X3138" i="1" a="1"/>
  <c r="X3138" i="1" s="1"/>
  <c r="X3139" i="1" a="1"/>
  <c r="X3139" i="1" s="1"/>
  <c r="X3140" i="1" a="1"/>
  <c r="X3140" i="1" s="1"/>
  <c r="X3141" i="1" a="1"/>
  <c r="X3141" i="1" s="1"/>
  <c r="X3142" i="1" a="1"/>
  <c r="X3142" i="1" s="1"/>
  <c r="X3143" i="1" a="1"/>
  <c r="X3143" i="1"/>
  <c r="X3144" i="1" a="1"/>
  <c r="X3144" i="1"/>
  <c r="X3145" i="1" a="1"/>
  <c r="X3145" i="1"/>
  <c r="X3146" i="1" a="1"/>
  <c r="X3146" i="1"/>
  <c r="X3147" i="1" a="1"/>
  <c r="X3147" i="1"/>
  <c r="X3148" i="1" a="1"/>
  <c r="X3148" i="1"/>
  <c r="X3149" i="1" a="1"/>
  <c r="X3149" i="1"/>
  <c r="X3150" i="1" a="1"/>
  <c r="X3150" i="1" s="1"/>
  <c r="X3151" i="1" a="1"/>
  <c r="X3151" i="1" s="1"/>
  <c r="X3152" i="1" a="1"/>
  <c r="X3152" i="1" s="1"/>
  <c r="X3153" i="1" a="1"/>
  <c r="X3153" i="1" s="1"/>
  <c r="X3154" i="1" a="1"/>
  <c r="X3154" i="1" s="1"/>
  <c r="X3155" i="1" a="1"/>
  <c r="X3155" i="1" s="1"/>
  <c r="X3156" i="1" a="1"/>
  <c r="X3156" i="1" s="1"/>
  <c r="X3157" i="1" a="1"/>
  <c r="X3157" i="1" s="1"/>
  <c r="X3158" i="1" a="1"/>
  <c r="X3158" i="1" s="1"/>
  <c r="X3159" i="1" a="1"/>
  <c r="X3159" i="1"/>
  <c r="X3160" i="1" a="1"/>
  <c r="X3160" i="1"/>
  <c r="X3161" i="1" a="1"/>
  <c r="X3161" i="1"/>
  <c r="X3162" i="1" a="1"/>
  <c r="X3162" i="1"/>
  <c r="X3163" i="1" a="1"/>
  <c r="X3163" i="1"/>
  <c r="X3164" i="1" a="1"/>
  <c r="X3164" i="1"/>
  <c r="X3165" i="1" a="1"/>
  <c r="X3165" i="1"/>
  <c r="X3166" i="1" a="1"/>
  <c r="X3166" i="1" s="1"/>
  <c r="X3167" i="1" a="1"/>
  <c r="X3167" i="1" s="1"/>
  <c r="X3168" i="1" a="1"/>
  <c r="X3168" i="1" s="1"/>
  <c r="X3169" i="1" a="1"/>
  <c r="X3169" i="1" s="1"/>
  <c r="X3170" i="1" a="1"/>
  <c r="X3170" i="1" s="1"/>
  <c r="X3171" i="1" a="1"/>
  <c r="X3171" i="1" s="1"/>
  <c r="X3172" i="1" a="1"/>
  <c r="X3172" i="1" s="1"/>
  <c r="X3173" i="1" a="1"/>
  <c r="X3173" i="1" s="1"/>
  <c r="X3174" i="1" a="1"/>
  <c r="X3174" i="1" s="1"/>
  <c r="X3175" i="1" a="1"/>
  <c r="X3175" i="1"/>
  <c r="X3176" i="1" a="1"/>
  <c r="X3176" i="1"/>
  <c r="X3177" i="1" a="1"/>
  <c r="X3177" i="1"/>
  <c r="X3178" i="1" a="1"/>
  <c r="X3178" i="1"/>
  <c r="X3179" i="1" a="1"/>
  <c r="X3179" i="1"/>
  <c r="X3180" i="1" a="1"/>
  <c r="X3180" i="1"/>
  <c r="X3181" i="1" a="1"/>
  <c r="X3181" i="1"/>
  <c r="X3182" i="1" a="1"/>
  <c r="X3182" i="1" s="1"/>
  <c r="X3183" i="1" a="1"/>
  <c r="X3183" i="1" s="1"/>
  <c r="X3184" i="1" a="1"/>
  <c r="X3184" i="1" s="1"/>
  <c r="X3185" i="1" a="1"/>
  <c r="X3185" i="1" s="1"/>
  <c r="X3186" i="1" a="1"/>
  <c r="X3186" i="1" s="1"/>
  <c r="X3187" i="1" a="1"/>
  <c r="X3187" i="1" s="1"/>
  <c r="X3188" i="1" a="1"/>
  <c r="X3188" i="1" s="1"/>
  <c r="X3189" i="1" a="1"/>
  <c r="X3189" i="1" s="1"/>
  <c r="X3190" i="1" a="1"/>
  <c r="X3190" i="1" s="1"/>
  <c r="X3191" i="1" a="1"/>
  <c r="X3191" i="1"/>
  <c r="X3192" i="1" a="1"/>
  <c r="X3192" i="1"/>
  <c r="X3193" i="1" a="1"/>
  <c r="X3193" i="1"/>
  <c r="X3194" i="1" a="1"/>
  <c r="X3194" i="1"/>
  <c r="X3195" i="1" a="1"/>
  <c r="X3195" i="1"/>
  <c r="X3196" i="1" a="1"/>
  <c r="X3196" i="1"/>
  <c r="X3197" i="1" a="1"/>
  <c r="X3197" i="1"/>
  <c r="X3198" i="1" a="1"/>
  <c r="X3198" i="1" s="1"/>
  <c r="X3199" i="1" a="1"/>
  <c r="X3199" i="1" s="1"/>
  <c r="X3200" i="1" a="1"/>
  <c r="X3200" i="1" s="1"/>
  <c r="X3201" i="1" a="1"/>
  <c r="X3201" i="1" s="1"/>
  <c r="X3202" i="1" a="1"/>
  <c r="X3202" i="1" s="1"/>
  <c r="X3203" i="1" a="1"/>
  <c r="X3203" i="1" s="1"/>
  <c r="X3204" i="1" a="1"/>
  <c r="X3204" i="1" s="1"/>
  <c r="X3205" i="1" a="1"/>
  <c r="X3205" i="1" s="1"/>
  <c r="X3206" i="1" a="1"/>
  <c r="X3206" i="1" s="1"/>
  <c r="X3207" i="1" a="1"/>
  <c r="X3207" i="1"/>
  <c r="X3208" i="1" a="1"/>
  <c r="X3208" i="1"/>
  <c r="X3209" i="1" a="1"/>
  <c r="X3209" i="1"/>
  <c r="X3210" i="1" a="1"/>
  <c r="X3210" i="1"/>
  <c r="X3211" i="1" a="1"/>
  <c r="X3211" i="1"/>
  <c r="X3212" i="1" a="1"/>
  <c r="X3212" i="1"/>
  <c r="X3213" i="1" a="1"/>
  <c r="X3213" i="1"/>
  <c r="X3214" i="1" a="1"/>
  <c r="X3214" i="1" s="1"/>
  <c r="X3215" i="1" a="1"/>
  <c r="X3215" i="1" s="1"/>
  <c r="X3216" i="1" a="1"/>
  <c r="X3216" i="1" s="1"/>
  <c r="X3217" i="1" a="1"/>
  <c r="X3217" i="1" s="1"/>
  <c r="X3218" i="1" a="1"/>
  <c r="X3218" i="1" s="1"/>
  <c r="X3219" i="1" a="1"/>
  <c r="X3219" i="1" s="1"/>
  <c r="X3220" i="1" a="1"/>
  <c r="X3220" i="1" s="1"/>
  <c r="X3221" i="1" a="1"/>
  <c r="X3221" i="1" s="1"/>
  <c r="X3222" i="1" a="1"/>
  <c r="X3222" i="1" s="1"/>
  <c r="X3223" i="1" a="1"/>
  <c r="X3223" i="1"/>
  <c r="X3224" i="1" a="1"/>
  <c r="X3224" i="1"/>
  <c r="X3225" i="1" a="1"/>
  <c r="X3225" i="1"/>
  <c r="X3226" i="1" a="1"/>
  <c r="X3226" i="1"/>
  <c r="X3227" i="1" a="1"/>
  <c r="X3227" i="1"/>
  <c r="X3228" i="1" a="1"/>
  <c r="X3228" i="1"/>
  <c r="X3229" i="1" a="1"/>
  <c r="X3229" i="1"/>
  <c r="X3230" i="1" a="1"/>
  <c r="X3230" i="1" s="1"/>
  <c r="X3231" i="1" a="1"/>
  <c r="X3231" i="1" s="1"/>
  <c r="X3232" i="1" a="1"/>
  <c r="X3232" i="1" s="1"/>
  <c r="X3233" i="1" a="1"/>
  <c r="X3233" i="1" s="1"/>
  <c r="X3234" i="1" a="1"/>
  <c r="X3234" i="1" s="1"/>
  <c r="X3235" i="1" a="1"/>
  <c r="X3235" i="1" s="1"/>
  <c r="X3236" i="1" a="1"/>
  <c r="X3236" i="1" s="1"/>
  <c r="X3237" i="1" a="1"/>
  <c r="X3237" i="1" s="1"/>
  <c r="X3238" i="1" a="1"/>
  <c r="X3238" i="1" s="1"/>
  <c r="X3239" i="1" a="1"/>
  <c r="X3239" i="1"/>
  <c r="X3240" i="1" a="1"/>
  <c r="X3240" i="1"/>
  <c r="X3241" i="1" a="1"/>
  <c r="X3241" i="1"/>
  <c r="X3242" i="1" a="1"/>
  <c r="X3242" i="1"/>
  <c r="X3243" i="1" a="1"/>
  <c r="X3243" i="1"/>
  <c r="X3244" i="1" a="1"/>
  <c r="X3244" i="1"/>
  <c r="X3245" i="1" a="1"/>
  <c r="X3245" i="1"/>
  <c r="X3246" i="1" a="1"/>
  <c r="X3246" i="1" s="1"/>
  <c r="X3247" i="1" a="1"/>
  <c r="X3247" i="1" s="1"/>
  <c r="X3248" i="1" a="1"/>
  <c r="X3248" i="1" s="1"/>
  <c r="X3249" i="1" a="1"/>
  <c r="X3249" i="1" s="1"/>
  <c r="X3250" i="1" a="1"/>
  <c r="X3250" i="1" s="1"/>
  <c r="X3251" i="1" a="1"/>
  <c r="X3251" i="1" s="1"/>
  <c r="X3252" i="1" a="1"/>
  <c r="X3252" i="1" s="1"/>
  <c r="X3253" i="1" a="1"/>
  <c r="X3253" i="1" s="1"/>
  <c r="X3254" i="1" a="1"/>
  <c r="X3254" i="1" s="1"/>
  <c r="X3255" i="1" a="1"/>
  <c r="X3255" i="1"/>
  <c r="X3256" i="1" a="1"/>
  <c r="X3256" i="1"/>
  <c r="X3257" i="1" a="1"/>
  <c r="X3257" i="1"/>
  <c r="X3258" i="1" a="1"/>
  <c r="X3258" i="1"/>
  <c r="X3259" i="1" a="1"/>
  <c r="X3259" i="1"/>
  <c r="X3260" i="1" a="1"/>
  <c r="X3260" i="1"/>
  <c r="X3261" i="1" a="1"/>
  <c r="X3261" i="1"/>
  <c r="X3262" i="1" a="1"/>
  <c r="X3262" i="1" s="1"/>
  <c r="X3263" i="1" a="1"/>
  <c r="X3263" i="1" s="1"/>
  <c r="X3264" i="1" a="1"/>
  <c r="X3264" i="1" s="1"/>
  <c r="X3265" i="1" a="1"/>
  <c r="X3265" i="1" s="1"/>
  <c r="X3266" i="1" a="1"/>
  <c r="X3266" i="1" s="1"/>
  <c r="X3267" i="1" a="1"/>
  <c r="X3267" i="1" s="1"/>
  <c r="X3268" i="1" a="1"/>
  <c r="X3268" i="1" s="1"/>
  <c r="X3269" i="1" a="1"/>
  <c r="X3269" i="1" s="1"/>
  <c r="X3270" i="1" a="1"/>
  <c r="X3270" i="1" s="1"/>
  <c r="X3271" i="1" a="1"/>
  <c r="X3271" i="1"/>
  <c r="X3272" i="1" a="1"/>
  <c r="X3272" i="1"/>
  <c r="X3273" i="1" a="1"/>
  <c r="X3273" i="1"/>
  <c r="X3274" i="1" a="1"/>
  <c r="X3274" i="1"/>
  <c r="X3275" i="1" a="1"/>
  <c r="X3275" i="1"/>
  <c r="X3276" i="1" a="1"/>
  <c r="X3276" i="1"/>
  <c r="X3277" i="1" a="1"/>
  <c r="X3277" i="1"/>
  <c r="X3278" i="1" a="1"/>
  <c r="X3278" i="1" s="1"/>
  <c r="X3279" i="1" a="1"/>
  <c r="X3279" i="1" s="1"/>
  <c r="X3280" i="1" a="1"/>
  <c r="X3280" i="1" s="1"/>
  <c r="X3281" i="1" a="1"/>
  <c r="X3281" i="1" s="1"/>
  <c r="X3282" i="1" a="1"/>
  <c r="X3282" i="1" s="1"/>
  <c r="X3283" i="1" a="1"/>
  <c r="X3283" i="1" s="1"/>
  <c r="X3284" i="1" a="1"/>
  <c r="X3284" i="1" s="1"/>
  <c r="X3285" i="1" a="1"/>
  <c r="X3285" i="1" s="1"/>
  <c r="X3286" i="1" a="1"/>
  <c r="X3286" i="1" s="1"/>
  <c r="X3287" i="1" a="1"/>
  <c r="X3287" i="1"/>
  <c r="X3288" i="1" a="1"/>
  <c r="X3288" i="1"/>
  <c r="X3289" i="1" a="1"/>
  <c r="X3289" i="1"/>
  <c r="X3290" i="1" a="1"/>
  <c r="X3290" i="1"/>
  <c r="X3291" i="1" a="1"/>
  <c r="X3291" i="1"/>
  <c r="X3292" i="1" a="1"/>
  <c r="X3292" i="1"/>
  <c r="X3293" i="1" a="1"/>
  <c r="X3293" i="1"/>
  <c r="X3294" i="1" a="1"/>
  <c r="X3294" i="1" s="1"/>
  <c r="X3295" i="1" a="1"/>
  <c r="X3295" i="1" s="1"/>
  <c r="X3296" i="1" a="1"/>
  <c r="X3296" i="1" s="1"/>
  <c r="X3297" i="1" a="1"/>
  <c r="X3297" i="1" s="1"/>
  <c r="X3298" i="1" a="1"/>
  <c r="X3298" i="1" s="1"/>
  <c r="X3299" i="1" a="1"/>
  <c r="X3299" i="1" s="1"/>
  <c r="X3300" i="1" a="1"/>
  <c r="X3300" i="1" s="1"/>
  <c r="X3301" i="1" a="1"/>
  <c r="X3301" i="1" s="1"/>
  <c r="X3302" i="1" a="1"/>
  <c r="X3302" i="1" s="1"/>
  <c r="X3303" i="1" a="1"/>
  <c r="X3303" i="1"/>
  <c r="X3304" i="1" a="1"/>
  <c r="X3304" i="1"/>
  <c r="X3305" i="1" a="1"/>
  <c r="X3305" i="1"/>
  <c r="X3306" i="1" a="1"/>
  <c r="X3306" i="1"/>
  <c r="X3307" i="1" a="1"/>
  <c r="X3307" i="1"/>
  <c r="X3308" i="1" a="1"/>
  <c r="X3308" i="1"/>
  <c r="X3309" i="1" a="1"/>
  <c r="X3309" i="1"/>
  <c r="X3310" i="1" a="1"/>
  <c r="X3310" i="1" s="1"/>
  <c r="X3311" i="1" a="1"/>
  <c r="X3311" i="1" s="1"/>
  <c r="X3312" i="1" a="1"/>
  <c r="X3312" i="1" s="1"/>
  <c r="X3313" i="1" a="1"/>
  <c r="X3313" i="1" s="1"/>
  <c r="X3314" i="1" a="1"/>
  <c r="X3314" i="1" s="1"/>
  <c r="X3315" i="1" a="1"/>
  <c r="X3315" i="1" s="1"/>
  <c r="X3316" i="1" a="1"/>
  <c r="X3316" i="1" s="1"/>
  <c r="X3317" i="1" a="1"/>
  <c r="X3317" i="1" s="1"/>
  <c r="X3318" i="1" a="1"/>
  <c r="X3318" i="1" s="1"/>
  <c r="X3319" i="1" a="1"/>
  <c r="X3319" i="1"/>
  <c r="X3320" i="1" a="1"/>
  <c r="X3320" i="1"/>
  <c r="X3321" i="1" a="1"/>
  <c r="X3321" i="1"/>
  <c r="X3322" i="1" a="1"/>
  <c r="X3322" i="1"/>
  <c r="X3323" i="1" a="1"/>
  <c r="X3323" i="1"/>
  <c r="X3324" i="1" a="1"/>
  <c r="X3324" i="1"/>
  <c r="X3325" i="1" a="1"/>
  <c r="X3325" i="1"/>
  <c r="X3326" i="1" a="1"/>
  <c r="X3326" i="1" s="1"/>
  <c r="X3327" i="1" a="1"/>
  <c r="X3327" i="1" s="1"/>
  <c r="X3328" i="1" a="1"/>
  <c r="X3328" i="1" s="1"/>
  <c r="X3329" i="1" a="1"/>
  <c r="X3329" i="1" s="1"/>
  <c r="X3330" i="1" a="1"/>
  <c r="X3330" i="1" s="1"/>
  <c r="X3331" i="1" a="1"/>
  <c r="X3331" i="1" s="1"/>
  <c r="X3332" i="1" a="1"/>
  <c r="X3332" i="1" s="1"/>
  <c r="X3333" i="1" a="1"/>
  <c r="X3333" i="1" s="1"/>
  <c r="X3334" i="1" a="1"/>
  <c r="X3334" i="1" s="1"/>
  <c r="X3335" i="1" a="1"/>
  <c r="X3335" i="1"/>
  <c r="X3336" i="1" a="1"/>
  <c r="X3336" i="1"/>
  <c r="X3337" i="1" a="1"/>
  <c r="X3337" i="1"/>
  <c r="X3338" i="1" a="1"/>
  <c r="X3338" i="1"/>
  <c r="X3339" i="1" a="1"/>
  <c r="X3339" i="1"/>
  <c r="X3340" i="1" a="1"/>
  <c r="X3340" i="1"/>
  <c r="X3341" i="1" a="1"/>
  <c r="X3341" i="1"/>
  <c r="X3342" i="1" a="1"/>
  <c r="X3342" i="1" s="1"/>
  <c r="X3343" i="1" a="1"/>
  <c r="X3343" i="1" s="1"/>
  <c r="X3344" i="1" a="1"/>
  <c r="X3344" i="1" s="1"/>
  <c r="X3345" i="1" a="1"/>
  <c r="X3345" i="1" s="1"/>
  <c r="X3346" i="1" a="1"/>
  <c r="X3346" i="1" s="1"/>
  <c r="X3347" i="1" a="1"/>
  <c r="X3347" i="1" s="1"/>
  <c r="X3348" i="1" a="1"/>
  <c r="X3348" i="1" s="1"/>
  <c r="X3349" i="1" a="1"/>
  <c r="X3349" i="1" s="1"/>
  <c r="X3350" i="1" a="1"/>
  <c r="X3350" i="1" s="1"/>
  <c r="X3351" i="1" a="1"/>
  <c r="X3351" i="1"/>
  <c r="X3352" i="1" a="1"/>
  <c r="X3352" i="1"/>
  <c r="X3353" i="1" a="1"/>
  <c r="X3353" i="1"/>
  <c r="X3354" i="1" a="1"/>
  <c r="X3354" i="1"/>
  <c r="X3355" i="1" a="1"/>
  <c r="X3355" i="1"/>
  <c r="X3356" i="1" a="1"/>
  <c r="X3356" i="1"/>
  <c r="X3357" i="1" a="1"/>
  <c r="X3357" i="1"/>
  <c r="X3358" i="1" a="1"/>
  <c r="X3358" i="1" s="1"/>
  <c r="X3359" i="1" a="1"/>
  <c r="X3359" i="1" s="1"/>
  <c r="X3360" i="1" a="1"/>
  <c r="X3360" i="1" s="1"/>
  <c r="X3361" i="1" a="1"/>
  <c r="X3361" i="1" s="1"/>
  <c r="X3362" i="1" a="1"/>
  <c r="X3362" i="1" s="1"/>
  <c r="X3363" i="1" a="1"/>
  <c r="X3363" i="1" s="1"/>
  <c r="X3364" i="1" a="1"/>
  <c r="X3364" i="1" s="1"/>
  <c r="X3365" i="1" a="1"/>
  <c r="X3365" i="1" s="1"/>
  <c r="X3366" i="1" a="1"/>
  <c r="X3366" i="1" s="1"/>
  <c r="X3367" i="1" a="1"/>
  <c r="X3367" i="1"/>
  <c r="X3368" i="1" a="1"/>
  <c r="X3368" i="1"/>
  <c r="X3369" i="1" a="1"/>
  <c r="X3369" i="1"/>
  <c r="X3370" i="1" a="1"/>
  <c r="X3370" i="1"/>
  <c r="X3371" i="1" a="1"/>
  <c r="X3371" i="1"/>
  <c r="X3372" i="1" a="1"/>
  <c r="X3372" i="1"/>
  <c r="X3373" i="1" a="1"/>
  <c r="X3373" i="1"/>
  <c r="X3374" i="1" a="1"/>
  <c r="X3374" i="1" s="1"/>
  <c r="X3375" i="1" a="1"/>
  <c r="X3375" i="1" s="1"/>
  <c r="X3376" i="1" a="1"/>
  <c r="X3376" i="1" s="1"/>
  <c r="X3377" i="1" a="1"/>
  <c r="X3377" i="1" s="1"/>
  <c r="X3378" i="1" a="1"/>
  <c r="X3378" i="1" s="1"/>
  <c r="X3379" i="1" a="1"/>
  <c r="X3379" i="1" s="1"/>
  <c r="X3380" i="1" a="1"/>
  <c r="X3380" i="1" s="1"/>
  <c r="X3381" i="1" a="1"/>
  <c r="X3381" i="1" s="1"/>
  <c r="X3382" i="1" a="1"/>
  <c r="X3382" i="1" s="1"/>
  <c r="X3383" i="1" a="1"/>
  <c r="X3383" i="1"/>
  <c r="X3384" i="1" a="1"/>
  <c r="X3384" i="1"/>
  <c r="X3385" i="1" a="1"/>
  <c r="X3385" i="1"/>
  <c r="X3386" i="1" a="1"/>
  <c r="X3386" i="1"/>
  <c r="X3387" i="1" a="1"/>
  <c r="X3387" i="1"/>
  <c r="X3388" i="1" a="1"/>
  <c r="X3388" i="1"/>
  <c r="X3389" i="1" a="1"/>
  <c r="X3389" i="1"/>
  <c r="X3390" i="1" a="1"/>
  <c r="X3390" i="1" s="1"/>
  <c r="X3391" i="1" a="1"/>
  <c r="X3391" i="1" s="1"/>
  <c r="X3392" i="1" a="1"/>
  <c r="X3392" i="1" s="1"/>
  <c r="X3393" i="1" a="1"/>
  <c r="X3393" i="1" s="1"/>
  <c r="X3394" i="1" a="1"/>
  <c r="X3394" i="1" s="1"/>
  <c r="X3395" i="1" a="1"/>
  <c r="X3395" i="1" s="1"/>
  <c r="X3396" i="1" a="1"/>
  <c r="X3396" i="1" s="1"/>
  <c r="X3397" i="1" a="1"/>
  <c r="X3397" i="1" s="1"/>
  <c r="X3398" i="1" a="1"/>
  <c r="X3398" i="1" s="1"/>
  <c r="X3399" i="1" a="1"/>
  <c r="X3399" i="1"/>
  <c r="X3400" i="1" a="1"/>
  <c r="X3400" i="1"/>
  <c r="X3401" i="1" a="1"/>
  <c r="X3401" i="1"/>
  <c r="X3402" i="1" a="1"/>
  <c r="X3402" i="1"/>
  <c r="X3403" i="1" a="1"/>
  <c r="X3403" i="1"/>
  <c r="X3404" i="1" a="1"/>
  <c r="X3404" i="1"/>
  <c r="X3405" i="1" a="1"/>
  <c r="X3405" i="1"/>
  <c r="X3406" i="1" a="1"/>
  <c r="X3406" i="1" s="1"/>
  <c r="X3407" i="1" a="1"/>
  <c r="X3407" i="1" s="1"/>
  <c r="X3408" i="1" a="1"/>
  <c r="X3408" i="1" s="1"/>
  <c r="X3409" i="1" a="1"/>
  <c r="X3409" i="1" s="1"/>
  <c r="X3410" i="1" a="1"/>
  <c r="X3410" i="1" s="1"/>
  <c r="X3411" i="1" a="1"/>
  <c r="X3411" i="1" s="1"/>
  <c r="X3412" i="1" a="1"/>
  <c r="X3412" i="1" s="1"/>
  <c r="X3413" i="1" a="1"/>
  <c r="X3413" i="1" s="1"/>
  <c r="X3414" i="1" a="1"/>
  <c r="X3414" i="1" s="1"/>
  <c r="X3415" i="1" a="1"/>
  <c r="X3415" i="1"/>
  <c r="X3416" i="1" a="1"/>
  <c r="X3416" i="1"/>
  <c r="X3417" i="1" a="1"/>
  <c r="X3417" i="1"/>
  <c r="X3418" i="1" a="1"/>
  <c r="X3418" i="1"/>
  <c r="X3419" i="1" a="1"/>
  <c r="X3419" i="1"/>
  <c r="X3420" i="1" a="1"/>
  <c r="X3420" i="1"/>
  <c r="X3421" i="1" a="1"/>
  <c r="X3421" i="1"/>
  <c r="X3422" i="1" a="1"/>
  <c r="X3422" i="1" s="1"/>
  <c r="X3423" i="1" a="1"/>
  <c r="X3423" i="1" s="1"/>
  <c r="X3424" i="1" a="1"/>
  <c r="X3424" i="1" s="1"/>
  <c r="X3425" i="1" a="1"/>
  <c r="X3425" i="1" s="1"/>
  <c r="X3426" i="1" a="1"/>
  <c r="X3426" i="1" s="1"/>
  <c r="X3427" i="1" a="1"/>
  <c r="X3427" i="1" s="1"/>
  <c r="X3428" i="1" a="1"/>
  <c r="X3428" i="1" s="1"/>
  <c r="X3429" i="1" a="1"/>
  <c r="X3429" i="1" s="1"/>
  <c r="X3430" i="1" a="1"/>
  <c r="X3430" i="1" s="1"/>
  <c r="X3431" i="1" a="1"/>
  <c r="X3431" i="1"/>
  <c r="X3432" i="1" a="1"/>
  <c r="X3432" i="1"/>
  <c r="X3433" i="1" a="1"/>
  <c r="X3433" i="1"/>
  <c r="X3434" i="1" a="1"/>
  <c r="X3434" i="1"/>
  <c r="X3435" i="1" a="1"/>
  <c r="X3435" i="1"/>
  <c r="X3436" i="1" a="1"/>
  <c r="X3436" i="1"/>
  <c r="X3437" i="1" a="1"/>
  <c r="X3437" i="1"/>
  <c r="X3438" i="1" a="1"/>
  <c r="X3438" i="1" s="1"/>
  <c r="X3439" i="1" a="1"/>
  <c r="X3439" i="1" s="1"/>
  <c r="X3440" i="1" a="1"/>
  <c r="X3440" i="1" s="1"/>
  <c r="X3441" i="1" a="1"/>
  <c r="X3441" i="1" s="1"/>
  <c r="X3442" i="1" a="1"/>
  <c r="X3442" i="1" s="1"/>
  <c r="X3443" i="1" a="1"/>
  <c r="X3443" i="1" s="1"/>
  <c r="X3444" i="1" a="1"/>
  <c r="X3444" i="1" s="1"/>
  <c r="X3445" i="1" a="1"/>
  <c r="X3445" i="1" s="1"/>
  <c r="X3446" i="1" a="1"/>
  <c r="X3446" i="1" s="1"/>
  <c r="X3447" i="1" a="1"/>
  <c r="X3447" i="1"/>
  <c r="X3448" i="1" a="1"/>
  <c r="X3448" i="1"/>
  <c r="X3449" i="1" a="1"/>
  <c r="X3449" i="1"/>
  <c r="X3450" i="1" a="1"/>
  <c r="X3450" i="1"/>
  <c r="X3451" i="1" a="1"/>
  <c r="X3451" i="1"/>
  <c r="X3452" i="1" a="1"/>
  <c r="X3452" i="1"/>
  <c r="X3453" i="1" a="1"/>
  <c r="X3453" i="1"/>
  <c r="X3454" i="1" a="1"/>
  <c r="X3454" i="1" s="1"/>
  <c r="X3455" i="1" a="1"/>
  <c r="X3455" i="1" s="1"/>
  <c r="X3456" i="1" a="1"/>
  <c r="X3456" i="1" s="1"/>
  <c r="X3457" i="1" a="1"/>
  <c r="X3457" i="1" s="1"/>
  <c r="X3458" i="1" a="1"/>
  <c r="X3458" i="1" s="1"/>
  <c r="X3459" i="1" a="1"/>
  <c r="X3459" i="1" s="1"/>
  <c r="X3460" i="1" a="1"/>
  <c r="X3460" i="1" s="1"/>
  <c r="X3461" i="1" a="1"/>
  <c r="X3461" i="1" s="1"/>
  <c r="X3462" i="1" a="1"/>
  <c r="X3462" i="1" s="1"/>
  <c r="X3463" i="1" a="1"/>
  <c r="X3463" i="1"/>
  <c r="X3464" i="1" a="1"/>
  <c r="X3464" i="1"/>
  <c r="X3465" i="1" a="1"/>
  <c r="X3465" i="1"/>
  <c r="X3466" i="1" a="1"/>
  <c r="X3466" i="1"/>
  <c r="X3467" i="1" a="1"/>
  <c r="X3467" i="1"/>
  <c r="X3468" i="1" a="1"/>
  <c r="X3468" i="1"/>
  <c r="X3469" i="1" a="1"/>
  <c r="X3469" i="1"/>
  <c r="X3470" i="1" a="1"/>
  <c r="X3470" i="1" s="1"/>
  <c r="X3471" i="1" a="1"/>
  <c r="X3471" i="1" s="1"/>
  <c r="X3472" i="1" a="1"/>
  <c r="X3472" i="1" s="1"/>
  <c r="X3473" i="1" a="1"/>
  <c r="X3473" i="1" s="1"/>
  <c r="X3474" i="1" a="1"/>
  <c r="X3474" i="1" s="1"/>
  <c r="X3475" i="1" a="1"/>
  <c r="X3475" i="1" s="1"/>
  <c r="X3476" i="1" a="1"/>
  <c r="X3476" i="1" s="1"/>
  <c r="X3477" i="1" a="1"/>
  <c r="X3477" i="1" s="1"/>
  <c r="X3478" i="1" a="1"/>
  <c r="X3478" i="1" s="1"/>
  <c r="X3479" i="1" a="1"/>
  <c r="X3479" i="1"/>
  <c r="X3480" i="1" a="1"/>
  <c r="X3480" i="1"/>
  <c r="X3481" i="1" a="1"/>
  <c r="X3481" i="1"/>
  <c r="X3482" i="1" a="1"/>
  <c r="X3482" i="1"/>
  <c r="X3483" i="1" a="1"/>
  <c r="X3483" i="1"/>
  <c r="X3484" i="1" a="1"/>
  <c r="X3484" i="1"/>
  <c r="X3485" i="1" a="1"/>
  <c r="X3485" i="1"/>
  <c r="X3486" i="1" a="1"/>
  <c r="X3486" i="1" s="1"/>
  <c r="X3487" i="1" a="1"/>
  <c r="X3487" i="1" s="1"/>
  <c r="X3488" i="1" a="1"/>
  <c r="X3488" i="1" s="1"/>
  <c r="X3489" i="1" a="1"/>
  <c r="X3489" i="1" s="1"/>
  <c r="X3490" i="1" a="1"/>
  <c r="X3490" i="1" s="1"/>
  <c r="X3491" i="1" a="1"/>
  <c r="X3491" i="1" s="1"/>
  <c r="X3492" i="1" a="1"/>
  <c r="X3492" i="1" s="1"/>
  <c r="X3493" i="1" a="1"/>
  <c r="X3493" i="1" s="1"/>
  <c r="X3494" i="1" a="1"/>
  <c r="X3494" i="1" s="1"/>
  <c r="X3495" i="1" a="1"/>
  <c r="X3495" i="1"/>
  <c r="X3496" i="1" a="1"/>
  <c r="X3496" i="1"/>
  <c r="X3497" i="1" a="1"/>
  <c r="X3497" i="1"/>
  <c r="X3498" i="1" a="1"/>
  <c r="X3498" i="1"/>
  <c r="X3499" i="1" a="1"/>
  <c r="X3499" i="1"/>
  <c r="X3500" i="1" a="1"/>
  <c r="X3500" i="1"/>
  <c r="X3501" i="1" a="1"/>
  <c r="X3501" i="1"/>
  <c r="X3502" i="1" a="1"/>
  <c r="X3502" i="1" s="1"/>
  <c r="X3503" i="1" a="1"/>
  <c r="X3503" i="1" s="1"/>
  <c r="X3504" i="1" a="1"/>
  <c r="X3504" i="1" s="1"/>
  <c r="X3505" i="1" a="1"/>
  <c r="X3505" i="1" s="1"/>
  <c r="X3506" i="1" a="1"/>
  <c r="X3506" i="1" s="1"/>
  <c r="X3507" i="1" a="1"/>
  <c r="X3507" i="1" s="1"/>
  <c r="X3508" i="1" a="1"/>
  <c r="X3508" i="1" s="1"/>
  <c r="X3509" i="1" a="1"/>
  <c r="X3509" i="1" s="1"/>
  <c r="X3510" i="1" a="1"/>
  <c r="X3510" i="1" s="1"/>
  <c r="X3511" i="1" a="1"/>
  <c r="X3511" i="1"/>
  <c r="X3512" i="1" a="1"/>
  <c r="X3512" i="1"/>
  <c r="X3513" i="1" a="1"/>
  <c r="X3513" i="1"/>
  <c r="X3514" i="1" a="1"/>
  <c r="X3514" i="1"/>
  <c r="X3515" i="1" a="1"/>
  <c r="X3515" i="1"/>
  <c r="X3516" i="1" a="1"/>
  <c r="X3516" i="1"/>
  <c r="X3517" i="1" a="1"/>
  <c r="X3517" i="1"/>
  <c r="X3518" i="1" a="1"/>
  <c r="X3518" i="1" s="1"/>
  <c r="X3519" i="1" a="1"/>
  <c r="X3519" i="1" s="1"/>
  <c r="X3520" i="1" a="1"/>
  <c r="X3520" i="1" s="1"/>
  <c r="X3521" i="1" a="1"/>
  <c r="X3521" i="1" s="1"/>
  <c r="X3522" i="1" a="1"/>
  <c r="X3522" i="1" s="1"/>
  <c r="X3523" i="1" a="1"/>
  <c r="X3523" i="1" s="1"/>
  <c r="X3524" i="1" a="1"/>
  <c r="X3524" i="1" s="1"/>
  <c r="X3525" i="1" a="1"/>
  <c r="X3525" i="1" s="1"/>
  <c r="X3526" i="1" a="1"/>
  <c r="X3526" i="1" s="1"/>
  <c r="X3527" i="1" a="1"/>
  <c r="X3527" i="1"/>
  <c r="X3528" i="1" a="1"/>
  <c r="X3528" i="1" s="1"/>
  <c r="X3529" i="1" a="1"/>
  <c r="X3529" i="1"/>
  <c r="X3530" i="1" a="1"/>
  <c r="X3530" i="1"/>
  <c r="X3531" i="1" a="1"/>
  <c r="X3531" i="1" s="1"/>
  <c r="X3532" i="1" a="1"/>
  <c r="X3532" i="1"/>
  <c r="X3533" i="1" a="1"/>
  <c r="X3533" i="1"/>
  <c r="X3534" i="1" a="1"/>
  <c r="X3534" i="1" s="1"/>
  <c r="X3535" i="1" a="1"/>
  <c r="X3535" i="1" s="1"/>
  <c r="X3536" i="1" a="1"/>
  <c r="X3536" i="1" s="1"/>
  <c r="X3537" i="1" a="1"/>
  <c r="X3537" i="1" s="1"/>
  <c r="X3538" i="1" a="1"/>
  <c r="X3538" i="1" s="1"/>
  <c r="X3539" i="1" a="1"/>
  <c r="X3539" i="1"/>
  <c r="X3540" i="1" a="1"/>
  <c r="X3540" i="1" s="1"/>
  <c r="X3541" i="1" a="1"/>
  <c r="X3541" i="1" s="1"/>
  <c r="X3542" i="1" a="1"/>
  <c r="X3542" i="1" s="1"/>
  <c r="X3543" i="1" a="1"/>
  <c r="X3543" i="1"/>
  <c r="X3544" i="1" a="1"/>
  <c r="X3544" i="1"/>
  <c r="X3545" i="1" a="1"/>
  <c r="X3545" i="1"/>
  <c r="X3546" i="1" a="1"/>
  <c r="X3546" i="1"/>
  <c r="X3547" i="1" a="1"/>
  <c r="X3547" i="1"/>
  <c r="X3548" i="1" a="1"/>
  <c r="X3548" i="1" s="1"/>
  <c r="X3549" i="1" a="1"/>
  <c r="X3549" i="1"/>
  <c r="X3550" i="1" a="1"/>
  <c r="X3550" i="1" s="1"/>
  <c r="X3551" i="1" a="1"/>
  <c r="X3551" i="1" s="1"/>
  <c r="X3552" i="1" a="1"/>
  <c r="X3552" i="1" s="1"/>
  <c r="X3553" i="1" a="1"/>
  <c r="X3553" i="1" s="1"/>
  <c r="X3554" i="1" a="1"/>
  <c r="X3554" i="1" s="1"/>
  <c r="X3555" i="1" a="1"/>
  <c r="X3555" i="1" s="1"/>
  <c r="X3556" i="1" a="1"/>
  <c r="X3556" i="1"/>
  <c r="X3557" i="1" a="1"/>
  <c r="X3557" i="1" s="1"/>
  <c r="X3558" i="1" a="1"/>
  <c r="X3558" i="1" s="1"/>
  <c r="X3559" i="1" a="1"/>
  <c r="X3559" i="1"/>
  <c r="X3560" i="1" a="1"/>
  <c r="X3560" i="1"/>
  <c r="X3561" i="1" a="1"/>
  <c r="X3561" i="1"/>
  <c r="X3562" i="1" a="1"/>
  <c r="X3562" i="1" s="1"/>
  <c r="X3563" i="1" a="1"/>
  <c r="X3563" i="1"/>
  <c r="X3564" i="1" a="1"/>
  <c r="X3564" i="1"/>
  <c r="X3565" i="1" a="1"/>
  <c r="X3565" i="1"/>
  <c r="X3566" i="1" a="1"/>
  <c r="X3566" i="1" s="1"/>
  <c r="X3567" i="1" a="1"/>
  <c r="X3567" i="1" s="1"/>
  <c r="X3568" i="1" a="1"/>
  <c r="X3568" i="1" s="1"/>
  <c r="X3569" i="1" a="1"/>
  <c r="X3569" i="1" s="1"/>
  <c r="X3570" i="1" a="1"/>
  <c r="X3570" i="1" s="1"/>
  <c r="X3571" i="1" a="1"/>
  <c r="X3571" i="1" s="1"/>
  <c r="X3572" i="1" a="1"/>
  <c r="X3572" i="1" s="1"/>
  <c r="X3573" i="1" a="1"/>
  <c r="X3573" i="1" s="1"/>
  <c r="X3574" i="1" a="1"/>
  <c r="X3574" i="1" s="1"/>
  <c r="X3575" i="1" a="1"/>
  <c r="X3575" i="1"/>
  <c r="X3576" i="1" a="1"/>
  <c r="X3576" i="1"/>
  <c r="X3577" i="1" a="1"/>
  <c r="X3577" i="1"/>
  <c r="X3578" i="1" a="1"/>
  <c r="X3578" i="1"/>
  <c r="X3579" i="1" a="1"/>
  <c r="X3579" i="1" s="1"/>
  <c r="X3580" i="1" a="1"/>
  <c r="X3580" i="1"/>
  <c r="X3581" i="1" a="1"/>
  <c r="X3581" i="1"/>
  <c r="X3582" i="1" a="1"/>
  <c r="X3582" i="1" s="1"/>
  <c r="X3583" i="1" a="1"/>
  <c r="X3583" i="1" s="1"/>
  <c r="X3584" i="1" a="1"/>
  <c r="X3584" i="1" s="1"/>
  <c r="X3585" i="1" a="1"/>
  <c r="X3585" i="1" s="1"/>
  <c r="X3586" i="1" a="1"/>
  <c r="X3586" i="1" s="1"/>
  <c r="X3587" i="1" a="1"/>
  <c r="X3587" i="1" s="1"/>
  <c r="X3588" i="1" a="1"/>
  <c r="X3588" i="1" s="1"/>
  <c r="X3589" i="1" a="1"/>
  <c r="X3589" i="1" s="1"/>
  <c r="X3590" i="1" a="1"/>
  <c r="X3590" i="1" s="1"/>
  <c r="X3591" i="1" a="1"/>
  <c r="X3591" i="1"/>
  <c r="X3592" i="1" a="1"/>
  <c r="X3592" i="1"/>
  <c r="X3593" i="1" a="1"/>
  <c r="X3593" i="1"/>
  <c r="X3594" i="1" a="1"/>
  <c r="X3594" i="1"/>
  <c r="X3595" i="1" a="1"/>
  <c r="X3595" i="1"/>
  <c r="X3596" i="1" a="1"/>
  <c r="X3596" i="1"/>
  <c r="X3597" i="1" a="1"/>
  <c r="X3597" i="1" s="1"/>
  <c r="X3598" i="1" a="1"/>
  <c r="X3598" i="1" s="1"/>
  <c r="X3599" i="1" a="1"/>
  <c r="X3599" i="1" s="1"/>
  <c r="X3600" i="1" a="1"/>
  <c r="X3600" i="1" s="1"/>
  <c r="X3601" i="1" a="1"/>
  <c r="X3601" i="1" s="1"/>
  <c r="X3602" i="1" a="1"/>
  <c r="X3602" i="1" s="1"/>
  <c r="X3603" i="1" a="1"/>
  <c r="X3603" i="1" s="1"/>
  <c r="X3604" i="1" a="1"/>
  <c r="X3604" i="1"/>
  <c r="X3605" i="1" a="1"/>
  <c r="X3605" i="1" s="1"/>
  <c r="X3606" i="1" a="1"/>
  <c r="X3606" i="1" s="1"/>
  <c r="X3607" i="1" a="1"/>
  <c r="X3607" i="1" s="1"/>
  <c r="X3608" i="1" a="1"/>
  <c r="X3608" i="1"/>
  <c r="X3609" i="1" a="1"/>
  <c r="X3609" i="1"/>
  <c r="X3610" i="1" a="1"/>
  <c r="X3610" i="1"/>
  <c r="X3611" i="1" a="1"/>
  <c r="X3611" i="1"/>
  <c r="X3612" i="1" a="1"/>
  <c r="X3612" i="1"/>
  <c r="X3613" i="1" a="1"/>
  <c r="X3613" i="1" s="1"/>
  <c r="X3614" i="1" a="1"/>
  <c r="X3614" i="1" s="1"/>
  <c r="X3615" i="1" a="1"/>
  <c r="X3615" i="1" s="1"/>
  <c r="X3616" i="1" a="1"/>
  <c r="X3616" i="1" s="1"/>
  <c r="X3617" i="1" a="1"/>
  <c r="X3617" i="1" s="1"/>
  <c r="X3618" i="1" a="1"/>
  <c r="X3618" i="1" s="1"/>
  <c r="X3619" i="1" a="1"/>
  <c r="X3619" i="1" s="1"/>
  <c r="X3620" i="1" a="1"/>
  <c r="X3620" i="1" s="1"/>
  <c r="X3621" i="1" a="1"/>
  <c r="X3621" i="1" s="1"/>
  <c r="X3622" i="1" a="1"/>
  <c r="X3622" i="1" s="1"/>
  <c r="X3623" i="1" a="1"/>
  <c r="X3623" i="1" s="1"/>
  <c r="X3624" i="1" a="1"/>
  <c r="X3624" i="1"/>
  <c r="X3625" i="1" a="1"/>
  <c r="X3625" i="1" s="1"/>
  <c r="X3626" i="1" a="1"/>
  <c r="X3626" i="1"/>
  <c r="X3627" i="1" a="1"/>
  <c r="X3627" i="1"/>
  <c r="X3628" i="1" a="1"/>
  <c r="X3628" i="1"/>
  <c r="X3629" i="1" a="1"/>
  <c r="X3629" i="1"/>
  <c r="X3630" i="1" a="1"/>
  <c r="X3630" i="1" s="1"/>
  <c r="X3631" i="1" a="1"/>
  <c r="X3631" i="1"/>
  <c r="X3632" i="1" a="1"/>
  <c r="X3632" i="1" s="1"/>
  <c r="X3633" i="1" a="1"/>
  <c r="X3633" i="1" s="1"/>
  <c r="X3634" i="1" a="1"/>
  <c r="X3634" i="1" s="1"/>
  <c r="X3635" i="1" a="1"/>
  <c r="X3635" i="1" s="1"/>
  <c r="X3636" i="1" a="1"/>
  <c r="X3636" i="1" s="1"/>
  <c r="X3637" i="1" a="1"/>
  <c r="X3637" i="1" s="1"/>
  <c r="X3638" i="1" a="1"/>
  <c r="X3638" i="1" s="1"/>
  <c r="X3639" i="1" a="1"/>
  <c r="X3639" i="1"/>
  <c r="X3640" i="1" a="1"/>
  <c r="X3640" i="1" s="1"/>
  <c r="X3641" i="1" a="1"/>
  <c r="X3641" i="1" s="1"/>
  <c r="X3642" i="1" a="1"/>
  <c r="X3642" i="1"/>
  <c r="X3643" i="1" a="1"/>
  <c r="X3643" i="1" s="1"/>
  <c r="X3644" i="1" a="1"/>
  <c r="X3644" i="1"/>
  <c r="X3645" i="1" a="1"/>
  <c r="X3645" i="1"/>
  <c r="X3646" i="1" a="1"/>
  <c r="X3646" i="1" s="1"/>
  <c r="X3647" i="1" a="1"/>
  <c r="X3647" i="1" s="1"/>
  <c r="X3648" i="1" a="1"/>
  <c r="X3648" i="1"/>
  <c r="X3649" i="1" a="1"/>
  <c r="X3649" i="1"/>
  <c r="X3650" i="1" a="1"/>
  <c r="X3650" i="1" s="1"/>
  <c r="X3651" i="1" a="1"/>
  <c r="X3651" i="1" s="1"/>
  <c r="X3652" i="1" a="1"/>
  <c r="X3652" i="1" s="1"/>
  <c r="X3653" i="1" a="1"/>
  <c r="X3653" i="1" s="1"/>
  <c r="X3654" i="1" a="1"/>
  <c r="X3654" i="1" s="1"/>
  <c r="X3655" i="1" a="1"/>
  <c r="X3655" i="1"/>
  <c r="X3656" i="1" a="1"/>
  <c r="X3656" i="1" s="1"/>
  <c r="X3657" i="1" a="1"/>
  <c r="X3657" i="1"/>
  <c r="X3658" i="1" a="1"/>
  <c r="X3658" i="1" s="1"/>
  <c r="X3659" i="1" a="1"/>
  <c r="X3659" i="1" s="1"/>
  <c r="X3660" i="1" a="1"/>
  <c r="X3660" i="1" s="1"/>
  <c r="X3661" i="1" a="1"/>
  <c r="X3661" i="1" s="1"/>
  <c r="X3662" i="1" a="1"/>
  <c r="X3662" i="1" s="1"/>
  <c r="X3663" i="1" a="1"/>
  <c r="X3663" i="1" s="1"/>
  <c r="X3664" i="1" a="1"/>
  <c r="X3664" i="1" s="1"/>
  <c r="X3665" i="1" a="1"/>
  <c r="X3665" i="1" s="1"/>
  <c r="X3666" i="1" a="1"/>
  <c r="X3666" i="1" s="1"/>
  <c r="X3667" i="1" a="1"/>
  <c r="X3667" i="1" s="1"/>
  <c r="X3668" i="1" a="1"/>
  <c r="X3668" i="1" s="1"/>
  <c r="X3669" i="1" a="1"/>
  <c r="X3669" i="1" s="1"/>
  <c r="X3670" i="1" a="1"/>
  <c r="X3670" i="1" s="1"/>
  <c r="X3671" i="1" a="1"/>
  <c r="X3671" i="1"/>
  <c r="X3672" i="1" a="1"/>
  <c r="X3672" i="1"/>
  <c r="X3673" i="1" a="1"/>
  <c r="X3673" i="1"/>
  <c r="X3674" i="1" a="1"/>
  <c r="X3674" i="1"/>
  <c r="X3675" i="1" a="1"/>
  <c r="X3675" i="1"/>
  <c r="X3676" i="1" a="1"/>
  <c r="X3676" i="1"/>
  <c r="X3677" i="1" a="1"/>
  <c r="X3677" i="1"/>
  <c r="X3678" i="1" a="1"/>
  <c r="X3678" i="1" s="1"/>
  <c r="X3679" i="1" a="1"/>
  <c r="X3679" i="1" s="1"/>
  <c r="X3680" i="1" a="1"/>
  <c r="X3680" i="1" s="1"/>
  <c r="X3681" i="1" a="1"/>
  <c r="X3681" i="1" s="1"/>
  <c r="X3682" i="1" a="1"/>
  <c r="X3682" i="1" s="1"/>
  <c r="X3683" i="1" a="1"/>
  <c r="X3683" i="1" s="1"/>
  <c r="X3684" i="1" a="1"/>
  <c r="X3684" i="1" s="1"/>
  <c r="X3685" i="1" a="1"/>
  <c r="X3685" i="1" s="1"/>
  <c r="X3686" i="1" a="1"/>
  <c r="X3686" i="1" s="1"/>
  <c r="X3687" i="1" a="1"/>
  <c r="X3687" i="1"/>
  <c r="X3688" i="1" a="1"/>
  <c r="X3688" i="1"/>
  <c r="X3689" i="1" a="1"/>
  <c r="X3689" i="1"/>
  <c r="X3690" i="1" a="1"/>
  <c r="X3690" i="1"/>
  <c r="X3691" i="1" a="1"/>
  <c r="X3691" i="1"/>
  <c r="X3692" i="1" a="1"/>
  <c r="X3692" i="1"/>
  <c r="X3693" i="1" a="1"/>
  <c r="X3693" i="1"/>
  <c r="X3694" i="1" a="1"/>
  <c r="X3694" i="1" s="1"/>
  <c r="X3695" i="1" a="1"/>
  <c r="X3695" i="1" s="1"/>
  <c r="X3696" i="1" a="1"/>
  <c r="X3696" i="1" s="1"/>
  <c r="X3697" i="1" a="1"/>
  <c r="X3697" i="1" s="1"/>
  <c r="X3698" i="1" a="1"/>
  <c r="X3698" i="1" s="1"/>
  <c r="X3699" i="1" a="1"/>
  <c r="X3699" i="1" s="1"/>
  <c r="X3700" i="1" a="1"/>
  <c r="X3700" i="1" s="1"/>
  <c r="X3701" i="1" a="1"/>
  <c r="X3701" i="1" s="1"/>
  <c r="X3702" i="1" a="1"/>
  <c r="X3702" i="1" s="1"/>
  <c r="X3703" i="1" a="1"/>
  <c r="X3703" i="1"/>
  <c r="X3704" i="1" a="1"/>
  <c r="X3704" i="1"/>
  <c r="X3705" i="1" a="1"/>
  <c r="X3705" i="1"/>
  <c r="X3706" i="1" a="1"/>
  <c r="X3706" i="1"/>
  <c r="X3707" i="1" a="1"/>
  <c r="X3707" i="1"/>
  <c r="X3708" i="1" a="1"/>
  <c r="X3708" i="1"/>
  <c r="X3709" i="1" a="1"/>
  <c r="X3709" i="1"/>
  <c r="X3710" i="1" a="1"/>
  <c r="X3710" i="1" s="1"/>
  <c r="X3711" i="1" a="1"/>
  <c r="X3711" i="1" s="1"/>
  <c r="X3712" i="1" a="1"/>
  <c r="X3712" i="1" s="1"/>
  <c r="X3713" i="1" a="1"/>
  <c r="X3713" i="1" s="1"/>
  <c r="X3714" i="1" a="1"/>
  <c r="X3714" i="1"/>
  <c r="X3715" i="1" a="1"/>
  <c r="X3715" i="1" s="1"/>
  <c r="X3716" i="1" a="1"/>
  <c r="X3716" i="1"/>
  <c r="X3717" i="1" a="1"/>
  <c r="X3717" i="1"/>
  <c r="X3718" i="1" a="1"/>
  <c r="X3718" i="1" s="1"/>
  <c r="X3719" i="1" a="1"/>
  <c r="X3719" i="1" s="1"/>
  <c r="X3720" i="1" a="1"/>
  <c r="X3720" i="1" s="1"/>
  <c r="X3721" i="1" a="1"/>
  <c r="X3721" i="1" s="1"/>
  <c r="X3722" i="1" a="1"/>
  <c r="X3722" i="1"/>
  <c r="X3723" i="1" a="1"/>
  <c r="X3723" i="1" s="1"/>
  <c r="X3724" i="1" a="1"/>
  <c r="X3724" i="1"/>
  <c r="X3725" i="1" a="1"/>
  <c r="X3725" i="1" s="1"/>
  <c r="X3726" i="1" a="1"/>
  <c r="X3726" i="1" s="1"/>
  <c r="X3727" i="1" a="1"/>
  <c r="X3727" i="1"/>
  <c r="X3728" i="1" a="1"/>
  <c r="X3728" i="1"/>
  <c r="X3729" i="1" a="1"/>
  <c r="X3729" i="1"/>
  <c r="X3730" i="1" a="1"/>
  <c r="X3730" i="1" s="1"/>
  <c r="X3731" i="1" a="1"/>
  <c r="X3731" i="1" s="1"/>
  <c r="X3732" i="1" a="1"/>
  <c r="X3732" i="1" s="1"/>
  <c r="X3733" i="1" a="1"/>
  <c r="X3733" i="1"/>
  <c r="X3734" i="1" a="1"/>
  <c r="X3734" i="1" s="1"/>
  <c r="X3735" i="1" a="1"/>
  <c r="X3735" i="1"/>
  <c r="X3736" i="1" a="1"/>
  <c r="X3736" i="1"/>
  <c r="X3737" i="1" a="1"/>
  <c r="X3737" i="1"/>
  <c r="X3738" i="1" a="1"/>
  <c r="X3738" i="1"/>
  <c r="X3739" i="1" a="1"/>
  <c r="X3739" i="1"/>
  <c r="X3740" i="1" a="1"/>
  <c r="X3740" i="1"/>
  <c r="X3741" i="1" a="1"/>
  <c r="X3741" i="1" s="1"/>
  <c r="X3742" i="1" a="1"/>
  <c r="X3742" i="1" s="1"/>
  <c r="X3743" i="1" a="1"/>
  <c r="X3743" i="1" s="1"/>
  <c r="X3744" i="1" a="1"/>
  <c r="X3744" i="1" s="1"/>
  <c r="X3745" i="1" a="1"/>
  <c r="X3745" i="1" s="1"/>
  <c r="X3746" i="1" a="1"/>
  <c r="X3746" i="1" s="1"/>
  <c r="X3747" i="1" a="1"/>
  <c r="X3747" i="1" s="1"/>
  <c r="X3748" i="1" a="1"/>
  <c r="X3748" i="1" s="1"/>
  <c r="X3749" i="1" a="1"/>
  <c r="X3749" i="1" s="1"/>
  <c r="X3750" i="1" a="1"/>
  <c r="X3750" i="1" s="1"/>
  <c r="X3751" i="1" a="1"/>
  <c r="X3751" i="1"/>
  <c r="X3752" i="1" a="1"/>
  <c r="X3752" i="1"/>
  <c r="X3753" i="1" a="1"/>
  <c r="X3753" i="1"/>
  <c r="X3754" i="1" a="1"/>
  <c r="X3754" i="1"/>
  <c r="X3755" i="1" a="1"/>
  <c r="X3755" i="1"/>
  <c r="X3756" i="1" a="1"/>
  <c r="X3756" i="1" s="1"/>
  <c r="X3757" i="1" a="1"/>
  <c r="X3757" i="1"/>
  <c r="X3758" i="1" a="1"/>
  <c r="X3758" i="1" s="1"/>
  <c r="X3759" i="1" a="1"/>
  <c r="X3759" i="1"/>
  <c r="X3760" i="1" a="1"/>
  <c r="X3760" i="1" s="1"/>
  <c r="X3761" i="1" a="1"/>
  <c r="X3761" i="1" s="1"/>
  <c r="X3762" i="1" a="1"/>
  <c r="X3762" i="1" s="1"/>
  <c r="X3763" i="1" a="1"/>
  <c r="X3763" i="1" s="1"/>
  <c r="X3764" i="1" a="1"/>
  <c r="X3764" i="1" s="1"/>
  <c r="X3765" i="1" a="1"/>
  <c r="X3765" i="1" s="1"/>
  <c r="X3766" i="1" a="1"/>
  <c r="X3766" i="1" s="1"/>
  <c r="X3767" i="1" a="1"/>
  <c r="X3767" i="1" s="1"/>
  <c r="X3768" i="1" a="1"/>
  <c r="X3768" i="1"/>
  <c r="X3769" i="1" a="1"/>
  <c r="X3769" i="1"/>
  <c r="X3770" i="1" a="1"/>
  <c r="X3770" i="1"/>
  <c r="X3771" i="1" a="1"/>
  <c r="X3771" i="1"/>
  <c r="X3772" i="1" a="1"/>
  <c r="X3772" i="1"/>
  <c r="X3773" i="1" a="1"/>
  <c r="X3773" i="1" s="1"/>
  <c r="X3774" i="1" a="1"/>
  <c r="X3774" i="1" s="1"/>
  <c r="X3775" i="1" a="1"/>
  <c r="X3775" i="1" s="1"/>
  <c r="X3776" i="1" a="1"/>
  <c r="X3776" i="1"/>
  <c r="X3777" i="1" a="1"/>
  <c r="X3777" i="1" s="1"/>
  <c r="X3778" i="1" a="1"/>
  <c r="X3778" i="1" s="1"/>
  <c r="X3779" i="1" a="1"/>
  <c r="X3779" i="1" s="1"/>
  <c r="X3780" i="1" a="1"/>
  <c r="X3780" i="1" s="1"/>
  <c r="X3781" i="1" a="1"/>
  <c r="X3781" i="1" s="1"/>
  <c r="X3782" i="1" a="1"/>
  <c r="X3782" i="1" s="1"/>
  <c r="X3783" i="1" a="1"/>
  <c r="X3783" i="1"/>
  <c r="X3784" i="1" a="1"/>
  <c r="X3784" i="1" s="1"/>
  <c r="X3785" i="1" a="1"/>
  <c r="X3785" i="1"/>
  <c r="X3786" i="1" a="1"/>
  <c r="X3786" i="1" s="1"/>
  <c r="X3787" i="1" a="1"/>
  <c r="X3787" i="1"/>
  <c r="X3788" i="1" a="1"/>
  <c r="X3788" i="1"/>
  <c r="X3789" i="1" a="1"/>
  <c r="X3789" i="1"/>
  <c r="X3790" i="1" a="1"/>
  <c r="X3790" i="1" s="1"/>
  <c r="X3791" i="1" a="1"/>
  <c r="X3791" i="1" s="1"/>
  <c r="X3792" i="1" a="1"/>
  <c r="X3792" i="1" s="1"/>
  <c r="X3793" i="1" a="1"/>
  <c r="X3793" i="1"/>
  <c r="X3794" i="1" a="1"/>
  <c r="X3794" i="1" s="1"/>
  <c r="X3795" i="1" a="1"/>
  <c r="X3795" i="1" s="1"/>
  <c r="X3796" i="1" a="1"/>
  <c r="X3796" i="1" s="1"/>
  <c r="X3797" i="1" a="1"/>
  <c r="X3797" i="1" s="1"/>
  <c r="X3798" i="1" a="1"/>
  <c r="X3798" i="1" s="1"/>
  <c r="X3799" i="1" a="1"/>
  <c r="X3799" i="1" s="1"/>
  <c r="X3800" i="1" a="1"/>
  <c r="X3800" i="1"/>
  <c r="X3801" i="1" a="1"/>
  <c r="X3801" i="1" s="1"/>
  <c r="X3802" i="1" a="1"/>
  <c r="X3802" i="1"/>
  <c r="X3803" i="1" a="1"/>
  <c r="X3803" i="1" s="1"/>
  <c r="X3804" i="1" a="1"/>
  <c r="X3804" i="1"/>
  <c r="X3805" i="1" a="1"/>
  <c r="X3805" i="1"/>
  <c r="X3806" i="1" a="1"/>
  <c r="X3806" i="1" s="1"/>
  <c r="X3807" i="1" a="1"/>
  <c r="X3807" i="1" s="1"/>
  <c r="X3808" i="1" a="1"/>
  <c r="X3808" i="1" s="1"/>
  <c r="X3809" i="1" a="1"/>
  <c r="X3809" i="1" s="1"/>
  <c r="X3810" i="1" a="1"/>
  <c r="X3810" i="1"/>
  <c r="X3811" i="1" a="1"/>
  <c r="X3811" i="1" s="1"/>
  <c r="X3812" i="1" a="1"/>
  <c r="X3812" i="1" s="1"/>
  <c r="X3813" i="1" a="1"/>
  <c r="X3813" i="1" s="1"/>
  <c r="X3814" i="1" a="1"/>
  <c r="X3814" i="1" s="1"/>
  <c r="X3815" i="1" a="1"/>
  <c r="X3815" i="1"/>
  <c r="X3816" i="1" a="1"/>
  <c r="X3816" i="1" s="1"/>
  <c r="X3817" i="1" a="1"/>
  <c r="X3817" i="1"/>
  <c r="X3818" i="1" a="1"/>
  <c r="X3818" i="1" s="1"/>
  <c r="X3819" i="1" a="1"/>
  <c r="X3819" i="1"/>
  <c r="X3820" i="1" a="1"/>
  <c r="X3820" i="1" s="1"/>
  <c r="X3821" i="1" a="1"/>
  <c r="X3821" i="1"/>
  <c r="X3822" i="1" a="1"/>
  <c r="X3822" i="1" s="1"/>
  <c r="X3823" i="1" a="1"/>
  <c r="X3823" i="1"/>
  <c r="X3824" i="1" a="1"/>
  <c r="X3824" i="1" s="1"/>
  <c r="X3825" i="1" a="1"/>
  <c r="X3825" i="1" s="1"/>
  <c r="X3826" i="1" a="1"/>
  <c r="X3826" i="1" s="1"/>
  <c r="X3827" i="1" a="1"/>
  <c r="X3827" i="1"/>
  <c r="X3828" i="1" a="1"/>
  <c r="X3828" i="1"/>
  <c r="X3829" i="1" a="1"/>
  <c r="X3829" i="1" s="1"/>
  <c r="X3830" i="1" a="1"/>
  <c r="X3830" i="1" s="1"/>
  <c r="X3831" i="1" a="1"/>
  <c r="X3831" i="1"/>
  <c r="X3832" i="1" a="1"/>
  <c r="X3832" i="1"/>
  <c r="X3833" i="1" a="1"/>
  <c r="X3833" i="1" s="1"/>
  <c r="X3834" i="1" a="1"/>
  <c r="X3834" i="1"/>
  <c r="X3835" i="1" a="1"/>
  <c r="X3835" i="1" s="1"/>
  <c r="X3836" i="1" a="1"/>
  <c r="X3836" i="1"/>
  <c r="X3837" i="1" a="1"/>
  <c r="X3837" i="1" s="1"/>
  <c r="X3838" i="1" a="1"/>
  <c r="X3838" i="1" s="1"/>
  <c r="X3839" i="1" a="1"/>
  <c r="X3839" i="1" s="1"/>
  <c r="X3840" i="1" a="1"/>
  <c r="X3840" i="1" s="1"/>
  <c r="X3841" i="1" a="1"/>
  <c r="X3841" i="1" s="1"/>
  <c r="X3842" i="1" a="1"/>
  <c r="X3842" i="1" s="1"/>
  <c r="X3843" i="1" a="1"/>
  <c r="X3843" i="1" s="1"/>
  <c r="X3844" i="1" a="1"/>
  <c r="X3844" i="1"/>
  <c r="X3845" i="1" a="1"/>
  <c r="X3845" i="1"/>
  <c r="X3846" i="1" a="1"/>
  <c r="X3846" i="1" s="1"/>
  <c r="X3847" i="1" a="1"/>
  <c r="X3847" i="1"/>
  <c r="X3848" i="1" a="1"/>
  <c r="X3848" i="1"/>
  <c r="X3849" i="1" a="1"/>
  <c r="X3849" i="1"/>
  <c r="X3850" i="1" a="1"/>
  <c r="X3850" i="1" s="1"/>
  <c r="X3851" i="1" a="1"/>
  <c r="X3851" i="1"/>
  <c r="X3852" i="1" a="1"/>
  <c r="X3852" i="1" s="1"/>
  <c r="X3853" i="1" a="1"/>
  <c r="X3853" i="1"/>
  <c r="X3854" i="1" a="1"/>
  <c r="X3854" i="1" s="1"/>
  <c r="X3855" i="1" a="1"/>
  <c r="X3855" i="1" s="1"/>
  <c r="X3856" i="1" a="1"/>
  <c r="X3856" i="1" s="1"/>
  <c r="X3857" i="1" a="1"/>
  <c r="X3857" i="1" s="1"/>
  <c r="X3858" i="1" a="1"/>
  <c r="X3858" i="1" s="1"/>
  <c r="X3859" i="1" a="1"/>
  <c r="X3859" i="1" s="1"/>
  <c r="X3860" i="1" a="1"/>
  <c r="X3860" i="1" s="1"/>
  <c r="X3861" i="1" a="1"/>
  <c r="X3861" i="1"/>
  <c r="X3862" i="1" a="1"/>
  <c r="X3862" i="1" s="1"/>
  <c r="X3863" i="1" a="1"/>
  <c r="X3863" i="1" s="1"/>
  <c r="X3864" i="1" a="1"/>
  <c r="X3864" i="1"/>
  <c r="X3865" i="1" a="1"/>
  <c r="X3865" i="1"/>
  <c r="X3866" i="1" a="1"/>
  <c r="X3866" i="1"/>
  <c r="X3867" i="1" a="1"/>
  <c r="X3867" i="1" s="1"/>
  <c r="X3868" i="1" a="1"/>
  <c r="X3868" i="1"/>
  <c r="X3869" i="1" a="1"/>
  <c r="X3869" i="1" s="1"/>
  <c r="X3870" i="1" a="1"/>
  <c r="X3870" i="1" s="1"/>
  <c r="X3871" i="1" a="1"/>
  <c r="X3871" i="1"/>
  <c r="X3872" i="1" a="1"/>
  <c r="X3872" i="1" s="1"/>
  <c r="X3873" i="1" a="1"/>
  <c r="X3873" i="1" s="1"/>
  <c r="X3874" i="1" a="1"/>
  <c r="X3874" i="1" s="1"/>
  <c r="X3875" i="1" a="1"/>
  <c r="X3875" i="1" s="1"/>
  <c r="X3876" i="1" a="1"/>
  <c r="X3876" i="1" s="1"/>
  <c r="X3877" i="1" a="1"/>
  <c r="X3877" i="1" s="1"/>
  <c r="X3878" i="1" a="1"/>
  <c r="X3878" i="1" s="1"/>
  <c r="X3879" i="1" a="1"/>
  <c r="X3879" i="1" s="1"/>
  <c r="X3880" i="1" a="1"/>
  <c r="X3880" i="1" s="1"/>
  <c r="X3881" i="1" a="1"/>
  <c r="X3881" i="1"/>
  <c r="X3882" i="1" a="1"/>
  <c r="X3882" i="1"/>
  <c r="X3883" i="1" a="1"/>
  <c r="X3883" i="1"/>
  <c r="X3884" i="1" a="1"/>
  <c r="X3884" i="1" s="1"/>
  <c r="X3885" i="1" a="1"/>
  <c r="X3885" i="1"/>
  <c r="X3886" i="1" a="1"/>
  <c r="X3886" i="1" s="1"/>
  <c r="X3887" i="1" a="1"/>
  <c r="X3887" i="1"/>
  <c r="X3888" i="1" a="1"/>
  <c r="X3888" i="1"/>
  <c r="X3889" i="1" a="1"/>
  <c r="X3889" i="1" s="1"/>
  <c r="X3890" i="1" a="1"/>
  <c r="X3890" i="1" s="1"/>
  <c r="X3891" i="1" a="1"/>
  <c r="X3891" i="1" s="1"/>
  <c r="X3892" i="1" a="1"/>
  <c r="X3892" i="1" s="1"/>
  <c r="X3893" i="1" a="1"/>
  <c r="X3893" i="1" s="1"/>
  <c r="X3894" i="1" a="1"/>
  <c r="X3894" i="1" s="1"/>
  <c r="X3895" i="1" a="1"/>
  <c r="X3895" i="1" s="1"/>
  <c r="X3896" i="1" a="1"/>
  <c r="X3896" i="1" s="1"/>
  <c r="X3897" i="1" a="1"/>
  <c r="X3897" i="1" s="1"/>
  <c r="X3898" i="1" a="1"/>
  <c r="X3898" i="1"/>
  <c r="X3899" i="1" a="1"/>
  <c r="X3899" i="1"/>
  <c r="X3900" i="1" a="1"/>
  <c r="X3900" i="1"/>
  <c r="X3901" i="1" a="1"/>
  <c r="X3901" i="1" s="1"/>
  <c r="X3902" i="1" a="1"/>
  <c r="X3902" i="1" s="1"/>
  <c r="X3903" i="1" a="1"/>
  <c r="X3903" i="1" s="1"/>
  <c r="X3904" i="1" a="1"/>
  <c r="X3904" i="1"/>
  <c r="X3905" i="1" a="1"/>
  <c r="X3905" i="1"/>
  <c r="X3906" i="1" a="1"/>
  <c r="X3906" i="1" s="1"/>
  <c r="X3907" i="1" a="1"/>
  <c r="X3907" i="1" s="1"/>
  <c r="X3908" i="1" a="1"/>
  <c r="X3908" i="1"/>
  <c r="X3909" i="1" a="1"/>
  <c r="X3909" i="1" s="1"/>
  <c r="X3910" i="1" a="1"/>
  <c r="X3910" i="1" s="1"/>
  <c r="X3911" i="1" a="1"/>
  <c r="X3911" i="1"/>
  <c r="X3912" i="1" a="1"/>
  <c r="X3912" i="1" s="1"/>
  <c r="X3913" i="1" a="1"/>
  <c r="X3913" i="1" s="1"/>
  <c r="X3914" i="1" a="1"/>
  <c r="X3914" i="1" s="1"/>
  <c r="X3915" i="1" a="1"/>
  <c r="X3915" i="1"/>
  <c r="X3916" i="1" a="1"/>
  <c r="X3916" i="1"/>
  <c r="X3917" i="1" a="1"/>
  <c r="X3917" i="1"/>
  <c r="X3918" i="1" a="1"/>
  <c r="X3918" i="1" s="1"/>
  <c r="X3919" i="1" a="1"/>
  <c r="X3919" i="1" s="1"/>
  <c r="X3920" i="1" a="1"/>
  <c r="X3920" i="1" s="1"/>
  <c r="X3921" i="1" a="1"/>
  <c r="X3921" i="1"/>
  <c r="X3922" i="1" a="1"/>
  <c r="X3922" i="1"/>
  <c r="X3923" i="1" a="1"/>
  <c r="X3923" i="1" s="1"/>
  <c r="X3924" i="1" a="1"/>
  <c r="X3924" i="1" s="1"/>
  <c r="X3925" i="1" a="1"/>
  <c r="X3925" i="1"/>
  <c r="X3926" i="1" a="1"/>
  <c r="X3926" i="1" s="1"/>
  <c r="X3927" i="1" a="1"/>
  <c r="X3927" i="1" s="1"/>
  <c r="X3928" i="1" a="1"/>
  <c r="X3928" i="1"/>
  <c r="X3929" i="1" a="1"/>
  <c r="X3929" i="1" s="1"/>
  <c r="X3930" i="1" a="1"/>
  <c r="X3930" i="1"/>
  <c r="X3931" i="1" a="1"/>
  <c r="X3931" i="1" s="1"/>
  <c r="X3932" i="1" a="1"/>
  <c r="X3932" i="1"/>
  <c r="X3933" i="1" a="1"/>
  <c r="X3933" i="1"/>
  <c r="X3934" i="1" a="1"/>
  <c r="X3934" i="1" s="1"/>
  <c r="X3935" i="1" a="1"/>
  <c r="X3935" i="1" s="1"/>
  <c r="X3936" i="1" a="1"/>
  <c r="X3936" i="1" s="1"/>
  <c r="X3937" i="1" a="1"/>
  <c r="X3937" i="1" s="1"/>
  <c r="X3938" i="1" a="1"/>
  <c r="X3938" i="1"/>
  <c r="X3939" i="1" a="1"/>
  <c r="X3939" i="1"/>
  <c r="X3940" i="1" a="1"/>
  <c r="X3940" i="1" s="1"/>
  <c r="X3941" i="1" a="1"/>
  <c r="X3941" i="1" s="1"/>
  <c r="X3942" i="1" a="1"/>
  <c r="X3942" i="1" s="1"/>
  <c r="X3943" i="1" a="1"/>
  <c r="X3943" i="1"/>
  <c r="X3944" i="1" a="1"/>
  <c r="X3944" i="1" s="1"/>
  <c r="X3945" i="1" a="1"/>
  <c r="X3945" i="1"/>
  <c r="X3946" i="1" a="1"/>
  <c r="X3946" i="1" s="1"/>
  <c r="X3947" i="1" a="1"/>
  <c r="X3947" i="1"/>
  <c r="X3948" i="1" a="1"/>
  <c r="X3948" i="1" s="1"/>
  <c r="X3949" i="1" a="1"/>
  <c r="X3949" i="1"/>
  <c r="X3950" i="1" a="1"/>
  <c r="X3950" i="1" s="1"/>
  <c r="X3951" i="1" a="1"/>
  <c r="X3951" i="1"/>
  <c r="X3952" i="1" a="1"/>
  <c r="X3952" i="1"/>
  <c r="X3953" i="1" a="1"/>
  <c r="X3953" i="1" s="1"/>
  <c r="X3954" i="1" a="1"/>
  <c r="X3954" i="1" s="1"/>
  <c r="X3955" i="1" a="1"/>
  <c r="X3955" i="1"/>
  <c r="X3956" i="1" a="1"/>
  <c r="X3956" i="1"/>
  <c r="X3957" i="1" a="1"/>
  <c r="X3957" i="1" s="1"/>
  <c r="X3958" i="1" a="1"/>
  <c r="X3958" i="1" s="1"/>
  <c r="X3959" i="1" a="1"/>
  <c r="X3959" i="1"/>
  <c r="X3960" i="1" a="1"/>
  <c r="X3960" i="1"/>
  <c r="X3961" i="1" a="1"/>
  <c r="X3961" i="1"/>
  <c r="X3962" i="1" a="1"/>
  <c r="X3962" i="1"/>
  <c r="X3963" i="1" a="1"/>
  <c r="X3963" i="1" s="1"/>
  <c r="X3964" i="1" a="1"/>
  <c r="X3964" i="1"/>
  <c r="X3965" i="1" a="1"/>
  <c r="X3965" i="1" s="1"/>
  <c r="X3966" i="1" a="1"/>
  <c r="X3966" i="1" s="1"/>
  <c r="X3967" i="1" a="1"/>
  <c r="X3967" i="1" s="1"/>
  <c r="X3968" i="1" a="1"/>
  <c r="X3968" i="1"/>
  <c r="X3969" i="1" a="1"/>
  <c r="X3969" i="1" s="1"/>
  <c r="X3970" i="1" a="1"/>
  <c r="X3970" i="1" s="1"/>
  <c r="X3971" i="1" a="1"/>
  <c r="X3971" i="1" s="1"/>
  <c r="X3972" i="1" a="1"/>
  <c r="X3972" i="1"/>
  <c r="X3973" i="1" a="1"/>
  <c r="X3973" i="1"/>
  <c r="X3974" i="1" a="1"/>
  <c r="X3974" i="1" s="1"/>
  <c r="X3975" i="1" a="1"/>
  <c r="X3975" i="1"/>
  <c r="X3976" i="1" a="1"/>
  <c r="X3976" i="1"/>
  <c r="X3977" i="1" a="1"/>
  <c r="X3977" i="1"/>
  <c r="X3978" i="1" a="1"/>
  <c r="X3978" i="1" s="1"/>
  <c r="X3979" i="1" a="1"/>
  <c r="X3979" i="1"/>
  <c r="X3980" i="1" a="1"/>
  <c r="X3980" i="1" s="1"/>
  <c r="X3981" i="1" a="1"/>
  <c r="X3981" i="1"/>
  <c r="X3982" i="1" a="1"/>
  <c r="X3982" i="1" s="1"/>
  <c r="X3983" i="1" a="1"/>
  <c r="X3983" i="1" s="1"/>
  <c r="X3984" i="1" a="1"/>
  <c r="X3984" i="1" s="1"/>
  <c r="X3985" i="1" a="1"/>
  <c r="X3985" i="1"/>
  <c r="X3986" i="1" a="1"/>
  <c r="X3986" i="1" s="1"/>
  <c r="X3987" i="1" a="1"/>
  <c r="X3987" i="1" s="1"/>
  <c r="X3988" i="1" a="1"/>
  <c r="X3988" i="1" s="1"/>
  <c r="X3989" i="1" a="1"/>
  <c r="X3989" i="1"/>
  <c r="X3990" i="1" a="1"/>
  <c r="X3990" i="1" s="1"/>
  <c r="X3991" i="1" a="1"/>
  <c r="X3991" i="1" s="1"/>
  <c r="X3992" i="1" a="1"/>
  <c r="X3992" i="1"/>
  <c r="X3993" i="1" a="1"/>
  <c r="X3993" i="1"/>
  <c r="X3994" i="1" a="1"/>
  <c r="X3994" i="1"/>
  <c r="X3995" i="1" a="1"/>
  <c r="X3995" i="1" s="1"/>
  <c r="X3996" i="1" a="1"/>
  <c r="X3996" i="1"/>
  <c r="X3997" i="1" a="1"/>
  <c r="X3997" i="1" s="1"/>
  <c r="X3998" i="1" a="1"/>
  <c r="X3998" i="1" s="1"/>
  <c r="X3999" i="1" a="1"/>
  <c r="X3999" i="1"/>
  <c r="X4000" i="1" a="1"/>
  <c r="X4000" i="1" s="1"/>
  <c r="X4001" i="1" a="1"/>
  <c r="X4001" i="1" s="1"/>
  <c r="X30" i="1" a="1"/>
  <c r="X30" i="1" s="1"/>
  <c r="X31" i="1" a="1"/>
  <c r="X31" i="1" s="1"/>
  <c r="X32" i="1" a="1"/>
  <c r="X32" i="1"/>
  <c r="X33" i="1" a="1"/>
  <c r="X33" i="1"/>
  <c r="X34" i="1" a="1"/>
  <c r="X34" i="1" s="1"/>
  <c r="X35" i="1" a="1"/>
  <c r="X35" i="1" s="1"/>
  <c r="X36" i="1" a="1"/>
  <c r="X36" i="1"/>
  <c r="X37" i="1" a="1"/>
  <c r="X37" i="1"/>
  <c r="X38" i="1" a="1"/>
  <c r="X38" i="1" s="1"/>
  <c r="X39" i="1" a="1"/>
  <c r="X39" i="1" s="1"/>
  <c r="X40" i="1" a="1"/>
  <c r="X40" i="1"/>
  <c r="X41" i="1" a="1"/>
  <c r="X41" i="1" s="1"/>
  <c r="X42" i="1" a="1"/>
  <c r="X42" i="1"/>
  <c r="X43" i="1" a="1"/>
  <c r="X43" i="1" s="1"/>
  <c r="X44" i="1" a="1"/>
  <c r="X44" i="1" s="1"/>
  <c r="X45" i="1" a="1"/>
  <c r="X45" i="1"/>
  <c r="X46" i="1" a="1"/>
  <c r="X46" i="1" s="1"/>
  <c r="X47" i="1" a="1"/>
  <c r="X47" i="1" s="1"/>
  <c r="X48" i="1" a="1"/>
  <c r="X48" i="1"/>
  <c r="X49" i="1" a="1"/>
  <c r="X49" i="1" s="1"/>
  <c r="X50" i="1" a="1"/>
  <c r="X50" i="1" s="1"/>
  <c r="X51" i="1" a="1"/>
  <c r="X51" i="1"/>
  <c r="X52" i="1" a="1"/>
  <c r="X52" i="1" s="1"/>
  <c r="X53" i="1" a="1"/>
  <c r="X53" i="1" s="1"/>
  <c r="X54" i="1" a="1"/>
  <c r="X54" i="1" s="1"/>
  <c r="X55" i="1" a="1"/>
  <c r="X55" i="1" s="1"/>
  <c r="X56" i="1" a="1"/>
  <c r="X56" i="1"/>
  <c r="X57" i="1" a="1"/>
  <c r="X57" i="1"/>
  <c r="X58" i="1" a="1"/>
  <c r="X58" i="1" s="1"/>
  <c r="X59" i="1" a="1"/>
  <c r="X59" i="1" s="1"/>
  <c r="X60" i="1" a="1"/>
  <c r="X60" i="1"/>
  <c r="X61" i="1" a="1"/>
  <c r="X61" i="1" s="1"/>
  <c r="X62" i="1" a="1"/>
  <c r="X62" i="1" s="1"/>
  <c r="X63" i="1" a="1"/>
  <c r="X63" i="1" s="1"/>
  <c r="X64" i="1" a="1"/>
  <c r="X64" i="1"/>
  <c r="X65" i="1" a="1"/>
  <c r="X65" i="1"/>
  <c r="X66" i="1" a="1"/>
  <c r="X66" i="1"/>
  <c r="X67" i="1" a="1"/>
  <c r="X67" i="1" s="1"/>
  <c r="X68" i="1" a="1"/>
  <c r="X68" i="1" s="1"/>
  <c r="X69" i="1" a="1"/>
  <c r="X69" i="1"/>
  <c r="X70" i="1" a="1"/>
  <c r="X70" i="1" s="1"/>
  <c r="X71" i="1" a="1"/>
  <c r="X71" i="1" s="1"/>
  <c r="X72" i="1" a="1"/>
  <c r="X72" i="1"/>
  <c r="X73" i="1" a="1"/>
  <c r="X73" i="1"/>
  <c r="X74" i="1" a="1"/>
  <c r="X74" i="1"/>
  <c r="X75" i="1" a="1"/>
  <c r="X75" i="1"/>
  <c r="X76" i="1" a="1"/>
  <c r="X76" i="1" s="1"/>
  <c r="X77" i="1" a="1"/>
  <c r="X77" i="1" s="1"/>
  <c r="X78" i="1" a="1"/>
  <c r="X78" i="1" s="1"/>
  <c r="X79" i="1" a="1"/>
  <c r="X79" i="1" s="1"/>
  <c r="X80" i="1" a="1"/>
  <c r="X80" i="1" s="1"/>
  <c r="X81" i="1" a="1"/>
  <c r="X81" i="1" s="1"/>
  <c r="X82" i="1" a="1"/>
  <c r="X82" i="1"/>
  <c r="X83" i="1" a="1"/>
  <c r="X83" i="1"/>
  <c r="X84" i="1" a="1"/>
  <c r="X84" i="1"/>
  <c r="X85" i="1" a="1"/>
  <c r="X85" i="1" s="1"/>
  <c r="X86" i="1" a="1"/>
  <c r="X86" i="1" s="1"/>
  <c r="X87" i="1" a="1"/>
  <c r="X87" i="1" s="1"/>
  <c r="X88" i="1" a="1"/>
  <c r="X88" i="1"/>
  <c r="X89" i="1" a="1"/>
  <c r="X89" i="1" s="1"/>
  <c r="X90" i="1" a="1"/>
  <c r="X90" i="1" s="1"/>
  <c r="X91" i="1" a="1"/>
  <c r="X91" i="1"/>
  <c r="X92" i="1" a="1"/>
  <c r="X92" i="1"/>
  <c r="X93" i="1" a="1"/>
  <c r="X93" i="1"/>
  <c r="X94" i="1" a="1"/>
  <c r="X94" i="1" s="1"/>
  <c r="X95" i="1" a="1"/>
  <c r="X95" i="1" s="1"/>
  <c r="X96" i="1" a="1"/>
  <c r="X96" i="1" s="1"/>
  <c r="X97" i="1" a="1"/>
  <c r="X97" i="1"/>
  <c r="X98" i="1" a="1"/>
  <c r="X98" i="1" s="1"/>
  <c r="X99" i="1" a="1"/>
  <c r="X99" i="1" s="1"/>
  <c r="X100" i="1" a="1"/>
  <c r="X100" i="1"/>
  <c r="X101" i="1" a="1"/>
  <c r="X101" i="1"/>
  <c r="X102" i="1" a="1"/>
  <c r="X102" i="1" s="1"/>
  <c r="X103" i="1" a="1"/>
  <c r="X103" i="1" s="1"/>
  <c r="X104" i="1" a="1"/>
  <c r="X104" i="1"/>
  <c r="X105" i="1" a="1"/>
  <c r="X105" i="1" s="1"/>
  <c r="X106" i="1" a="1"/>
  <c r="X106" i="1"/>
  <c r="X107" i="1" a="1"/>
  <c r="X107" i="1" s="1"/>
  <c r="X108" i="1" a="1"/>
  <c r="X108" i="1" s="1"/>
  <c r="X109" i="1" a="1"/>
  <c r="X109" i="1"/>
  <c r="X110" i="1" a="1"/>
  <c r="X110" i="1" s="1"/>
  <c r="X111" i="1" a="1"/>
  <c r="X111" i="1" s="1"/>
  <c r="X112" i="1" a="1"/>
  <c r="X112" i="1"/>
  <c r="X113" i="1" a="1"/>
  <c r="X113" i="1"/>
  <c r="X114" i="1" a="1"/>
  <c r="X114" i="1" s="1"/>
  <c r="X115" i="1" a="1"/>
  <c r="X115" i="1"/>
  <c r="X116" i="1" a="1"/>
  <c r="X116" i="1" s="1"/>
  <c r="X117" i="1" a="1"/>
  <c r="X117" i="1" s="1"/>
  <c r="X118" i="1" a="1"/>
  <c r="X118" i="1" s="1"/>
  <c r="X119" i="1" a="1"/>
  <c r="X119" i="1" s="1"/>
  <c r="X120" i="1" a="1"/>
  <c r="X120" i="1"/>
  <c r="X121" i="1" a="1"/>
  <c r="X121" i="1"/>
  <c r="X122" i="1" a="1"/>
  <c r="X122" i="1" s="1"/>
  <c r="X123" i="1" a="1"/>
  <c r="X123" i="1" s="1"/>
  <c r="X124" i="1" a="1"/>
  <c r="X124" i="1"/>
  <c r="X125" i="1" a="1"/>
  <c r="X125" i="1" s="1"/>
  <c r="X126" i="1" a="1"/>
  <c r="X126" i="1" s="1"/>
  <c r="X127" i="1" a="1"/>
  <c r="X127" i="1" s="1"/>
  <c r="X128" i="1" a="1"/>
  <c r="X128" i="1"/>
  <c r="X129" i="1" a="1"/>
  <c r="X129" i="1"/>
  <c r="X130" i="1" a="1"/>
  <c r="X130" i="1"/>
  <c r="X131" i="1" a="1"/>
  <c r="X131" i="1" s="1"/>
  <c r="X132" i="1" a="1"/>
  <c r="X132" i="1" s="1"/>
  <c r="X133" i="1" a="1"/>
  <c r="X133" i="1"/>
  <c r="X134" i="1" a="1"/>
  <c r="X134" i="1" s="1"/>
  <c r="X135" i="1" a="1"/>
  <c r="X135" i="1" s="1"/>
  <c r="X136" i="1" a="1"/>
  <c r="X136" i="1" s="1"/>
  <c r="X137" i="1" a="1"/>
  <c r="X137" i="1"/>
  <c r="X138" i="1" a="1"/>
  <c r="X138" i="1"/>
  <c r="X139" i="1" a="1"/>
  <c r="X139" i="1"/>
  <c r="X140" i="1" a="1"/>
  <c r="X140" i="1" s="1"/>
  <c r="X141" i="1" a="1"/>
  <c r="X141" i="1" s="1"/>
  <c r="X142" i="1" a="1"/>
  <c r="X142" i="1" s="1"/>
  <c r="X143" i="1" a="1"/>
  <c r="X143" i="1" s="1"/>
  <c r="X144" i="1" a="1"/>
  <c r="X144" i="1" s="1"/>
  <c r="X145" i="1" a="1"/>
  <c r="X145" i="1" s="1"/>
  <c r="X146" i="1" a="1"/>
  <c r="X146" i="1"/>
  <c r="X147" i="1" a="1"/>
  <c r="X147" i="1"/>
  <c r="X148" i="1" a="1"/>
  <c r="X148" i="1"/>
  <c r="X149" i="1" a="1"/>
  <c r="X149" i="1" s="1"/>
  <c r="X150" i="1" a="1"/>
  <c r="X150" i="1" s="1"/>
  <c r="X151" i="1" a="1"/>
  <c r="X151" i="1" s="1"/>
  <c r="X152" i="1" a="1"/>
  <c r="X152" i="1"/>
  <c r="X153" i="1" a="1"/>
  <c r="X153" i="1" s="1"/>
  <c r="X154" i="1" a="1"/>
  <c r="X154" i="1" s="1"/>
  <c r="X155" i="1" a="1"/>
  <c r="X155" i="1"/>
  <c r="X156" i="1" a="1"/>
  <c r="X156" i="1"/>
  <c r="X157" i="1" a="1"/>
  <c r="X157" i="1"/>
  <c r="X158" i="1" a="1"/>
  <c r="X158" i="1" s="1"/>
  <c r="X159" i="1" a="1"/>
  <c r="X159" i="1" s="1"/>
  <c r="X160" i="1" a="1"/>
  <c r="X160" i="1" s="1"/>
  <c r="X161" i="1" a="1"/>
  <c r="X161" i="1"/>
  <c r="X162" i="1" a="1"/>
  <c r="X162" i="1" s="1"/>
  <c r="X163" i="1" a="1"/>
  <c r="X163" i="1" s="1"/>
  <c r="X164" i="1" a="1"/>
  <c r="X164" i="1"/>
  <c r="X165" i="1" a="1"/>
  <c r="X165" i="1"/>
  <c r="X166" i="1" a="1"/>
  <c r="X166" i="1" s="1"/>
  <c r="X167" i="1" a="1"/>
  <c r="X167" i="1" s="1"/>
  <c r="X168" i="1" a="1"/>
  <c r="X168" i="1" s="1"/>
  <c r="X169" i="1" a="1"/>
  <c r="X169" i="1" s="1"/>
  <c r="X170" i="1" a="1"/>
  <c r="X170" i="1"/>
  <c r="X171" i="1" a="1"/>
  <c r="X171" i="1" s="1"/>
  <c r="X172" i="1" a="1"/>
  <c r="X172" i="1" s="1"/>
  <c r="X173" i="1" a="1"/>
  <c r="X173" i="1"/>
  <c r="X174" i="1" a="1"/>
  <c r="X174" i="1" s="1"/>
  <c r="X175" i="1" a="1"/>
  <c r="X175" i="1" s="1"/>
  <c r="X176" i="1" a="1"/>
  <c r="X176" i="1"/>
  <c r="X177" i="1" a="1"/>
  <c r="X177" i="1" s="1"/>
  <c r="X178" i="1" a="1"/>
  <c r="X178" i="1" s="1"/>
  <c r="X179" i="1" a="1"/>
  <c r="X179" i="1"/>
  <c r="X180" i="1" a="1"/>
  <c r="X180" i="1" s="1"/>
  <c r="X181" i="1" a="1"/>
  <c r="X181" i="1" s="1"/>
  <c r="X182" i="1" a="1"/>
  <c r="X182" i="1" s="1"/>
  <c r="X183" i="1" a="1"/>
  <c r="X183" i="1" s="1"/>
  <c r="X184" i="1" a="1"/>
  <c r="X184" i="1"/>
  <c r="X185" i="1" a="1"/>
  <c r="X185" i="1"/>
  <c r="X186" i="1" a="1"/>
  <c r="X186" i="1" s="1"/>
  <c r="X187" i="1" a="1"/>
  <c r="X187" i="1" s="1"/>
  <c r="X188" i="1" a="1"/>
  <c r="X188" i="1"/>
  <c r="X189" i="1" a="1"/>
  <c r="X189" i="1" s="1"/>
  <c r="X190" i="1" a="1"/>
  <c r="X190" i="1" s="1"/>
  <c r="X191" i="1" a="1"/>
  <c r="X191" i="1" s="1"/>
  <c r="X192" i="1" a="1"/>
  <c r="X192" i="1"/>
  <c r="X193" i="1" a="1"/>
  <c r="X193" i="1"/>
  <c r="X194" i="1" a="1"/>
  <c r="X194" i="1"/>
  <c r="X195" i="1" a="1"/>
  <c r="X195" i="1" s="1"/>
  <c r="X196" i="1" a="1"/>
  <c r="X196" i="1" s="1"/>
  <c r="X197" i="1" a="1"/>
  <c r="X197" i="1"/>
  <c r="X198" i="1" a="1"/>
  <c r="X198" i="1" s="1"/>
  <c r="X199" i="1" a="1"/>
  <c r="X199" i="1" s="1"/>
  <c r="X200" i="1" a="1"/>
  <c r="X200" i="1" s="1"/>
  <c r="X201" i="1" a="1"/>
  <c r="X201" i="1"/>
  <c r="X202" i="1" a="1"/>
  <c r="X202" i="1"/>
  <c r="X203" i="1" a="1"/>
  <c r="X203" i="1"/>
  <c r="X204" i="1" a="1"/>
  <c r="X204" i="1" s="1"/>
  <c r="X205" i="1" a="1"/>
  <c r="X205" i="1" s="1"/>
  <c r="X206" i="1" a="1"/>
  <c r="X206" i="1" s="1"/>
  <c r="X207" i="1" a="1"/>
  <c r="X207" i="1" s="1"/>
  <c r="X208" i="1" a="1"/>
  <c r="X208" i="1" s="1"/>
  <c r="X209" i="1" a="1"/>
  <c r="X209" i="1" s="1"/>
  <c r="X210" i="1" a="1"/>
  <c r="X210" i="1"/>
  <c r="X211" i="1" a="1"/>
  <c r="X211" i="1"/>
  <c r="X212" i="1" a="1"/>
  <c r="X212" i="1"/>
  <c r="X213" i="1" a="1"/>
  <c r="X213" i="1" s="1"/>
  <c r="X214" i="1" a="1"/>
  <c r="X214" i="1" s="1"/>
  <c r="X215" i="1" a="1"/>
  <c r="X215" i="1" s="1"/>
  <c r="X216" i="1" a="1"/>
  <c r="X216" i="1"/>
  <c r="X217" i="1" a="1"/>
  <c r="X217" i="1" s="1"/>
  <c r="X218" i="1" a="1"/>
  <c r="X218" i="1" s="1"/>
  <c r="X219" i="1" a="1"/>
  <c r="X219" i="1"/>
  <c r="X220" i="1" a="1"/>
  <c r="X220" i="1"/>
  <c r="X221" i="1" a="1"/>
  <c r="X221" i="1"/>
  <c r="X222" i="1" a="1"/>
  <c r="X222" i="1" s="1"/>
  <c r="X223" i="1" a="1"/>
  <c r="X223" i="1" s="1"/>
  <c r="X224" i="1" a="1"/>
  <c r="X224" i="1" s="1"/>
  <c r="X225" i="1" a="1"/>
  <c r="X225" i="1"/>
  <c r="X226" i="1" a="1"/>
  <c r="X226" i="1" s="1"/>
  <c r="X227" i="1" a="1"/>
  <c r="X227" i="1" s="1"/>
  <c r="X228" i="1" a="1"/>
  <c r="X228" i="1"/>
  <c r="X229" i="1" a="1"/>
  <c r="X229" i="1"/>
  <c r="X230" i="1" a="1"/>
  <c r="X230" i="1" s="1"/>
  <c r="X231" i="1" a="1"/>
  <c r="X231" i="1" s="1"/>
  <c r="X232" i="1" a="1"/>
  <c r="X232" i="1" s="1"/>
  <c r="X233" i="1" a="1"/>
  <c r="X233" i="1" s="1"/>
  <c r="X234" i="1" a="1"/>
  <c r="X234" i="1"/>
  <c r="X235" i="1" a="1"/>
  <c r="X235" i="1" s="1"/>
  <c r="X236" i="1" a="1"/>
  <c r="X236" i="1" s="1"/>
  <c r="X237" i="1" a="1"/>
  <c r="X237" i="1"/>
  <c r="X238" i="1" a="1"/>
  <c r="X238" i="1" s="1"/>
  <c r="X239" i="1" a="1"/>
  <c r="X239" i="1" s="1"/>
  <c r="X240" i="1" a="1"/>
  <c r="X240" i="1"/>
  <c r="X241" i="1" a="1"/>
  <c r="X241" i="1" s="1"/>
  <c r="X242" i="1" a="1"/>
  <c r="X242" i="1" s="1"/>
  <c r="X243" i="1" a="1"/>
  <c r="X243" i="1"/>
  <c r="X244" i="1" a="1"/>
  <c r="X244" i="1" s="1"/>
  <c r="X245" i="1" a="1"/>
  <c r="X245" i="1" s="1"/>
  <c r="X246" i="1" a="1"/>
  <c r="X246" i="1" s="1"/>
  <c r="X247" i="1" a="1"/>
  <c r="X247" i="1" s="1"/>
  <c r="X248" i="1" a="1"/>
  <c r="X248" i="1"/>
  <c r="X249" i="1" a="1"/>
  <c r="X249" i="1"/>
  <c r="X250" i="1" a="1"/>
  <c r="X250" i="1" s="1"/>
  <c r="X251" i="1" a="1"/>
  <c r="X251" i="1" s="1"/>
  <c r="X252" i="1" a="1"/>
  <c r="X252" i="1"/>
  <c r="X253" i="1" a="1"/>
  <c r="X253" i="1" s="1"/>
  <c r="X254" i="1" a="1"/>
  <c r="X254" i="1" s="1"/>
  <c r="X255" i="1" a="1"/>
  <c r="X255" i="1" s="1"/>
  <c r="X256" i="1" a="1"/>
  <c r="X256" i="1"/>
  <c r="X257" i="1" a="1"/>
  <c r="X257" i="1"/>
  <c r="X258" i="1" a="1"/>
  <c r="X258" i="1"/>
  <c r="X259" i="1" a="1"/>
  <c r="X259" i="1" s="1"/>
  <c r="X260" i="1" a="1"/>
  <c r="X260" i="1" s="1"/>
  <c r="X261" i="1" a="1"/>
  <c r="X261" i="1"/>
  <c r="X262" i="1" a="1"/>
  <c r="X262" i="1" s="1"/>
  <c r="X263" i="1" a="1"/>
  <c r="X263" i="1" s="1"/>
  <c r="X264" i="1" a="1"/>
  <c r="X264" i="1" s="1"/>
  <c r="X265" i="1" a="1"/>
  <c r="X265" i="1"/>
  <c r="X266" i="1" a="1"/>
  <c r="X266" i="1"/>
  <c r="X267" i="1" a="1"/>
  <c r="X267" i="1"/>
  <c r="X268" i="1" a="1"/>
  <c r="X268" i="1" s="1"/>
  <c r="X269" i="1" a="1"/>
  <c r="X269" i="1" s="1"/>
  <c r="X270" i="1" a="1"/>
  <c r="X270" i="1" s="1"/>
  <c r="X271" i="1" a="1"/>
  <c r="X271" i="1" s="1"/>
  <c r="X272" i="1" a="1"/>
  <c r="X272" i="1" s="1"/>
  <c r="X273" i="1" a="1"/>
  <c r="X273" i="1" s="1"/>
  <c r="X274" i="1" a="1"/>
  <c r="X274" i="1"/>
  <c r="X275" i="1" a="1"/>
  <c r="X275" i="1"/>
  <c r="X276" i="1" a="1"/>
  <c r="X276" i="1"/>
  <c r="X277" i="1" a="1"/>
  <c r="X277" i="1" s="1"/>
  <c r="X278" i="1" a="1"/>
  <c r="X278" i="1" s="1"/>
  <c r="X279" i="1" a="1"/>
  <c r="X279" i="1" s="1"/>
  <c r="X280" i="1" a="1"/>
  <c r="X280" i="1"/>
  <c r="X281" i="1" a="1"/>
  <c r="X281" i="1" s="1"/>
  <c r="X282" i="1" a="1"/>
  <c r="X282" i="1" s="1"/>
  <c r="X283" i="1" a="1"/>
  <c r="X283" i="1"/>
  <c r="X284" i="1" a="1"/>
  <c r="X284" i="1"/>
  <c r="X285" i="1" a="1"/>
  <c r="X285" i="1"/>
  <c r="X286" i="1" a="1"/>
  <c r="X286" i="1" s="1"/>
  <c r="X287" i="1" a="1"/>
  <c r="X287" i="1" s="1"/>
  <c r="X288" i="1" a="1"/>
  <c r="X288" i="1" s="1"/>
  <c r="X289" i="1" a="1"/>
  <c r="X289" i="1"/>
  <c r="X290" i="1" a="1"/>
  <c r="X290" i="1" s="1"/>
  <c r="X291" i="1" a="1"/>
  <c r="X291" i="1" s="1"/>
  <c r="X292" i="1" a="1"/>
  <c r="X292" i="1"/>
  <c r="X293" i="1" a="1"/>
  <c r="X293" i="1"/>
  <c r="X294" i="1" a="1"/>
  <c r="X294" i="1" s="1"/>
  <c r="X295" i="1" a="1"/>
  <c r="X295" i="1" s="1"/>
  <c r="X296" i="1" a="1"/>
  <c r="X296" i="1" s="1"/>
  <c r="X297" i="1" a="1"/>
  <c r="X297" i="1" s="1"/>
  <c r="X298" i="1" a="1"/>
  <c r="X298" i="1"/>
  <c r="X299" i="1" a="1"/>
  <c r="X299" i="1" s="1"/>
  <c r="X300" i="1" a="1"/>
  <c r="X300" i="1" s="1"/>
  <c r="X301" i="1" a="1"/>
  <c r="X301" i="1"/>
  <c r="X302" i="1" a="1"/>
  <c r="X302" i="1" s="1"/>
  <c r="X303" i="1" a="1"/>
  <c r="X303" i="1" s="1"/>
  <c r="X304" i="1" a="1"/>
  <c r="X304" i="1"/>
  <c r="X305" i="1" a="1"/>
  <c r="X305" i="1" s="1"/>
  <c r="X306" i="1" a="1"/>
  <c r="X306" i="1" s="1"/>
  <c r="X307" i="1" a="1"/>
  <c r="X307" i="1"/>
  <c r="X308" i="1" a="1"/>
  <c r="X308" i="1" s="1"/>
  <c r="X309" i="1" a="1"/>
  <c r="X309" i="1" s="1"/>
  <c r="X310" i="1" a="1"/>
  <c r="X310" i="1" s="1"/>
  <c r="X311" i="1" a="1"/>
  <c r="X311" i="1" s="1"/>
  <c r="X312" i="1" a="1"/>
  <c r="X312" i="1"/>
  <c r="X313" i="1" a="1"/>
  <c r="X313" i="1"/>
  <c r="X314" i="1" a="1"/>
  <c r="X314" i="1" s="1"/>
  <c r="X315" i="1" a="1"/>
  <c r="X315" i="1" s="1"/>
  <c r="X316" i="1" a="1"/>
  <c r="X316" i="1"/>
  <c r="X317" i="1" a="1"/>
  <c r="X317" i="1" s="1"/>
  <c r="X318" i="1" a="1"/>
  <c r="X318" i="1" s="1"/>
  <c r="X319" i="1" a="1"/>
  <c r="X319" i="1" s="1"/>
  <c r="X320" i="1" a="1"/>
  <c r="X320" i="1"/>
  <c r="X321" i="1" a="1"/>
  <c r="X321" i="1"/>
  <c r="X322" i="1" a="1"/>
  <c r="X322" i="1"/>
  <c r="X323" i="1" a="1"/>
  <c r="X323" i="1" s="1"/>
  <c r="X324" i="1" a="1"/>
  <c r="X324" i="1" s="1"/>
  <c r="X325" i="1" a="1"/>
  <c r="X325" i="1"/>
  <c r="X326" i="1" a="1"/>
  <c r="X326" i="1" s="1"/>
  <c r="X327" i="1" a="1"/>
  <c r="X327" i="1" s="1"/>
  <c r="X328" i="1" a="1"/>
  <c r="X328" i="1" s="1"/>
  <c r="X329" i="1" a="1"/>
  <c r="X329" i="1"/>
  <c r="X330" i="1" a="1"/>
  <c r="X330" i="1"/>
  <c r="X331" i="1" a="1"/>
  <c r="X331" i="1"/>
  <c r="X332" i="1" a="1"/>
  <c r="X332" i="1" s="1"/>
  <c r="X333" i="1" a="1"/>
  <c r="X333" i="1" s="1"/>
  <c r="X334" i="1" a="1"/>
  <c r="X334" i="1" s="1"/>
  <c r="X335" i="1" a="1"/>
  <c r="X335" i="1" s="1"/>
  <c r="X336" i="1" a="1"/>
  <c r="X336" i="1" s="1"/>
  <c r="X337" i="1" a="1"/>
  <c r="X337" i="1" s="1"/>
  <c r="X338" i="1" a="1"/>
  <c r="X338" i="1"/>
  <c r="X339" i="1" a="1"/>
  <c r="X339" i="1"/>
  <c r="X340" i="1" a="1"/>
  <c r="X340" i="1"/>
  <c r="X341" i="1" a="1"/>
  <c r="X341" i="1" s="1"/>
  <c r="X342" i="1" a="1"/>
  <c r="X342" i="1" s="1"/>
  <c r="X343" i="1" a="1"/>
  <c r="X343" i="1" s="1"/>
  <c r="X344" i="1" a="1"/>
  <c r="X344" i="1"/>
  <c r="X345" i="1" a="1"/>
  <c r="X345" i="1" s="1"/>
  <c r="X346" i="1" a="1"/>
  <c r="X346" i="1" s="1"/>
  <c r="X347" i="1" a="1"/>
  <c r="X347" i="1"/>
  <c r="X348" i="1" a="1"/>
  <c r="X348" i="1"/>
  <c r="X349" i="1" a="1"/>
  <c r="X349" i="1"/>
  <c r="X350" i="1" a="1"/>
  <c r="X350" i="1" s="1"/>
  <c r="X351" i="1" a="1"/>
  <c r="X351" i="1" s="1"/>
  <c r="X352" i="1" a="1"/>
  <c r="X352" i="1" s="1"/>
  <c r="X353" i="1" a="1"/>
  <c r="X353" i="1"/>
  <c r="X354" i="1" a="1"/>
  <c r="X354" i="1" s="1"/>
  <c r="X355" i="1" a="1"/>
  <c r="X355" i="1" s="1"/>
  <c r="X356" i="1" a="1"/>
  <c r="X356" i="1"/>
  <c r="X357" i="1" a="1"/>
  <c r="X357" i="1"/>
  <c r="X358" i="1" a="1"/>
  <c r="X358" i="1" s="1"/>
  <c r="X359" i="1" a="1"/>
  <c r="X359" i="1" s="1"/>
  <c r="X360" i="1" a="1"/>
  <c r="X360" i="1" s="1"/>
  <c r="X361" i="1" a="1"/>
  <c r="X361" i="1" s="1"/>
  <c r="X362" i="1" a="1"/>
  <c r="X362" i="1"/>
  <c r="X363" i="1" a="1"/>
  <c r="X363" i="1" s="1"/>
  <c r="X364" i="1" a="1"/>
  <c r="X364" i="1" s="1"/>
  <c r="X365" i="1" a="1"/>
  <c r="X365" i="1"/>
  <c r="X366" i="1" a="1"/>
  <c r="X366" i="1" s="1"/>
  <c r="X367" i="1" a="1"/>
  <c r="X367" i="1" s="1"/>
  <c r="X368" i="1" a="1"/>
  <c r="X368" i="1"/>
  <c r="X369" i="1" a="1"/>
  <c r="X369" i="1" s="1"/>
  <c r="X370" i="1" a="1"/>
  <c r="X370" i="1" s="1"/>
  <c r="X371" i="1" a="1"/>
  <c r="X371" i="1"/>
  <c r="X372" i="1" a="1"/>
  <c r="X372" i="1" s="1"/>
  <c r="X373" i="1" a="1"/>
  <c r="X373" i="1" s="1"/>
  <c r="X374" i="1" a="1"/>
  <c r="X374" i="1" s="1"/>
  <c r="X375" i="1" a="1"/>
  <c r="X375" i="1" s="1"/>
  <c r="X376" i="1" a="1"/>
  <c r="X376" i="1"/>
  <c r="X377" i="1" a="1"/>
  <c r="X377" i="1"/>
  <c r="X378" i="1" a="1"/>
  <c r="X378" i="1" s="1"/>
  <c r="X379" i="1" a="1"/>
  <c r="X379" i="1" s="1"/>
  <c r="X380" i="1" a="1"/>
  <c r="X380" i="1"/>
  <c r="X381" i="1" a="1"/>
  <c r="X381" i="1" s="1"/>
  <c r="X382" i="1" a="1"/>
  <c r="X382" i="1" s="1"/>
  <c r="X383" i="1" a="1"/>
  <c r="X383" i="1" s="1"/>
  <c r="X384" i="1" a="1"/>
  <c r="X384" i="1"/>
  <c r="X385" i="1" a="1"/>
  <c r="X385" i="1"/>
  <c r="X386" i="1" a="1"/>
  <c r="X386" i="1"/>
  <c r="X387" i="1" a="1"/>
  <c r="X387" i="1" s="1"/>
  <c r="X388" i="1" a="1"/>
  <c r="X388" i="1" s="1"/>
  <c r="X389" i="1" a="1"/>
  <c r="X389" i="1"/>
  <c r="X390" i="1" a="1"/>
  <c r="X390" i="1" s="1"/>
  <c r="X391" i="1" a="1"/>
  <c r="X391" i="1" s="1"/>
  <c r="X392" i="1" a="1"/>
  <c r="X392" i="1" s="1"/>
  <c r="X393" i="1" a="1"/>
  <c r="X393" i="1"/>
  <c r="X394" i="1" a="1"/>
  <c r="X394" i="1"/>
  <c r="X395" i="1" a="1"/>
  <c r="X395" i="1"/>
  <c r="X396" i="1" a="1"/>
  <c r="X396" i="1" s="1"/>
  <c r="X397" i="1" a="1"/>
  <c r="X397" i="1" s="1"/>
  <c r="X398" i="1" a="1"/>
  <c r="X398" i="1" s="1"/>
  <c r="X399" i="1" a="1"/>
  <c r="X399" i="1" s="1"/>
  <c r="X400" i="1" a="1"/>
  <c r="X400" i="1" s="1"/>
  <c r="X401" i="1" a="1"/>
  <c r="X401" i="1" s="1"/>
  <c r="X402" i="1" a="1"/>
  <c r="X402" i="1"/>
  <c r="X403" i="1" a="1"/>
  <c r="X403" i="1"/>
  <c r="X404" i="1" a="1"/>
  <c r="X404" i="1"/>
  <c r="X405" i="1" a="1"/>
  <c r="X405" i="1" s="1"/>
  <c r="X406" i="1" a="1"/>
  <c r="X406" i="1" s="1"/>
  <c r="X407" i="1" a="1"/>
  <c r="X407" i="1" s="1"/>
  <c r="X408" i="1" a="1"/>
  <c r="X408" i="1"/>
  <c r="X409" i="1" a="1"/>
  <c r="X409" i="1" s="1"/>
  <c r="X410" i="1" a="1"/>
  <c r="X410" i="1" s="1"/>
  <c r="X411" i="1" a="1"/>
  <c r="X411" i="1"/>
  <c r="X412" i="1" a="1"/>
  <c r="X412" i="1"/>
  <c r="X413" i="1" a="1"/>
  <c r="X413" i="1"/>
  <c r="X414" i="1" a="1"/>
  <c r="X414" i="1" s="1"/>
  <c r="X415" i="1" a="1"/>
  <c r="X415" i="1" s="1"/>
  <c r="X416" i="1" a="1"/>
  <c r="X416" i="1" s="1"/>
  <c r="X417" i="1" a="1"/>
  <c r="X417" i="1"/>
  <c r="X418" i="1" a="1"/>
  <c r="X418" i="1" s="1"/>
  <c r="X419" i="1" a="1"/>
  <c r="X419" i="1" s="1"/>
  <c r="X420" i="1" a="1"/>
  <c r="X420" i="1"/>
  <c r="X421" i="1" a="1"/>
  <c r="X421" i="1"/>
  <c r="X422" i="1" a="1"/>
  <c r="X422" i="1" s="1"/>
  <c r="X423" i="1" a="1"/>
  <c r="X423" i="1" s="1"/>
  <c r="X424" i="1" a="1"/>
  <c r="X424" i="1" s="1"/>
  <c r="X425" i="1" a="1"/>
  <c r="X425" i="1" s="1"/>
  <c r="X426" i="1" a="1"/>
  <c r="X426" i="1"/>
  <c r="X427" i="1" a="1"/>
  <c r="X427" i="1" s="1"/>
  <c r="X428" i="1" a="1"/>
  <c r="X428" i="1" s="1"/>
  <c r="X429" i="1" a="1"/>
  <c r="X429" i="1"/>
  <c r="X430" i="1" a="1"/>
  <c r="X430" i="1" s="1"/>
  <c r="X431" i="1" a="1"/>
  <c r="X431" i="1" s="1"/>
  <c r="X432" i="1" a="1"/>
  <c r="X432" i="1"/>
  <c r="X433" i="1" a="1"/>
  <c r="X433" i="1" s="1"/>
  <c r="X434" i="1" a="1"/>
  <c r="X434" i="1" s="1"/>
  <c r="X435" i="1" a="1"/>
  <c r="X435" i="1"/>
  <c r="X436" i="1" a="1"/>
  <c r="X436" i="1" s="1"/>
  <c r="X437" i="1" a="1"/>
  <c r="X437" i="1" s="1"/>
  <c r="X438" i="1" a="1"/>
  <c r="X438" i="1" s="1"/>
  <c r="X439" i="1" a="1"/>
  <c r="X439" i="1" s="1"/>
  <c r="X440" i="1" a="1"/>
  <c r="X440" i="1"/>
  <c r="X441" i="1" a="1"/>
  <c r="X441" i="1"/>
  <c r="X442" i="1" a="1"/>
  <c r="X442" i="1" s="1"/>
  <c r="X443" i="1" a="1"/>
  <c r="X443" i="1" s="1"/>
  <c r="X444" i="1" a="1"/>
  <c r="X444" i="1"/>
  <c r="X445" i="1" a="1"/>
  <c r="X445" i="1" s="1"/>
  <c r="X446" i="1" a="1"/>
  <c r="X446" i="1" s="1"/>
  <c r="X447" i="1" a="1"/>
  <c r="X447" i="1" s="1"/>
  <c r="X448" i="1" a="1"/>
  <c r="X448" i="1"/>
  <c r="X449" i="1" a="1"/>
  <c r="X449" i="1"/>
  <c r="X450" i="1" a="1"/>
  <c r="X450" i="1"/>
  <c r="X451" i="1" a="1"/>
  <c r="X451" i="1" s="1"/>
  <c r="X452" i="1" a="1"/>
  <c r="X452" i="1" s="1"/>
  <c r="X453" i="1" a="1"/>
  <c r="X453" i="1"/>
  <c r="X454" i="1" a="1"/>
  <c r="X454" i="1" s="1"/>
  <c r="X455" i="1" a="1"/>
  <c r="X455" i="1" s="1"/>
  <c r="X456" i="1" a="1"/>
  <c r="X456" i="1" s="1"/>
  <c r="X457" i="1" a="1"/>
  <c r="X457" i="1"/>
  <c r="X458" i="1" a="1"/>
  <c r="X458" i="1"/>
  <c r="X459" i="1" a="1"/>
  <c r="X459" i="1"/>
  <c r="X460" i="1" a="1"/>
  <c r="X460" i="1" s="1"/>
  <c r="X461" i="1" a="1"/>
  <c r="X461" i="1" s="1"/>
  <c r="X462" i="1" a="1"/>
  <c r="X462" i="1" s="1"/>
  <c r="X463" i="1" a="1"/>
  <c r="X463" i="1" s="1"/>
  <c r="X464" i="1" a="1"/>
  <c r="X464" i="1" s="1"/>
  <c r="X465" i="1" a="1"/>
  <c r="X465" i="1" s="1"/>
  <c r="X466" i="1" a="1"/>
  <c r="X466" i="1"/>
  <c r="X467" i="1" a="1"/>
  <c r="X467" i="1"/>
  <c r="X468" i="1" a="1"/>
  <c r="X468" i="1"/>
  <c r="X469" i="1" a="1"/>
  <c r="X469" i="1" s="1"/>
  <c r="X470" i="1" a="1"/>
  <c r="X470" i="1" s="1"/>
  <c r="X471" i="1" a="1"/>
  <c r="X471" i="1" s="1"/>
  <c r="X472" i="1" a="1"/>
  <c r="X472" i="1"/>
  <c r="X473" i="1" a="1"/>
  <c r="X473" i="1" s="1"/>
  <c r="X474" i="1" a="1"/>
  <c r="X474" i="1" s="1"/>
  <c r="X475" i="1" a="1"/>
  <c r="X475" i="1"/>
  <c r="X476" i="1" a="1"/>
  <c r="X476" i="1"/>
  <c r="X477" i="1" a="1"/>
  <c r="X477" i="1"/>
  <c r="X478" i="1" a="1"/>
  <c r="X478" i="1" s="1"/>
  <c r="X479" i="1" a="1"/>
  <c r="X479" i="1" s="1"/>
  <c r="X480" i="1" a="1"/>
  <c r="X480" i="1" s="1"/>
  <c r="X481" i="1" a="1"/>
  <c r="X481" i="1"/>
  <c r="X482" i="1" a="1"/>
  <c r="X482" i="1" s="1"/>
  <c r="X483" i="1" a="1"/>
  <c r="X483" i="1" s="1"/>
  <c r="X484" i="1" a="1"/>
  <c r="X484" i="1"/>
  <c r="X485" i="1" a="1"/>
  <c r="X485" i="1"/>
  <c r="X486" i="1" a="1"/>
  <c r="X486" i="1" s="1"/>
  <c r="X487" i="1" a="1"/>
  <c r="X487" i="1" s="1"/>
  <c r="X488" i="1" a="1"/>
  <c r="X488" i="1" s="1"/>
  <c r="X489" i="1" a="1"/>
  <c r="X489" i="1" s="1"/>
  <c r="X490" i="1" a="1"/>
  <c r="X490" i="1"/>
  <c r="X491" i="1" a="1"/>
  <c r="X491" i="1" s="1"/>
  <c r="X492" i="1" a="1"/>
  <c r="X492" i="1" s="1"/>
  <c r="X493" i="1" a="1"/>
  <c r="X493" i="1"/>
  <c r="X494" i="1" a="1"/>
  <c r="X494" i="1" s="1"/>
  <c r="X495" i="1" a="1"/>
  <c r="X495" i="1" s="1"/>
  <c r="X496" i="1" a="1"/>
  <c r="X496" i="1"/>
  <c r="X497" i="1" a="1"/>
  <c r="X497" i="1" s="1"/>
  <c r="X498" i="1" a="1"/>
  <c r="X498" i="1" s="1"/>
  <c r="X499" i="1" a="1"/>
  <c r="X499" i="1"/>
  <c r="X500" i="1" a="1"/>
  <c r="X500" i="1" s="1"/>
  <c r="X501" i="1" a="1"/>
  <c r="X501" i="1" s="1"/>
  <c r="X502" i="1" a="1"/>
  <c r="X502" i="1" s="1"/>
  <c r="X503" i="1" a="1"/>
  <c r="X503" i="1" s="1"/>
  <c r="X504" i="1" a="1"/>
  <c r="X504" i="1"/>
  <c r="X505" i="1" a="1"/>
  <c r="X505" i="1"/>
  <c r="X506" i="1" a="1"/>
  <c r="X506" i="1" s="1"/>
  <c r="X507" i="1" a="1"/>
  <c r="X507" i="1" s="1"/>
  <c r="X508" i="1" a="1"/>
  <c r="X508" i="1"/>
  <c r="X509" i="1" a="1"/>
  <c r="X509" i="1" s="1"/>
  <c r="X510" i="1" a="1"/>
  <c r="X510" i="1" s="1"/>
  <c r="X511" i="1" a="1"/>
  <c r="X511" i="1" s="1"/>
  <c r="X512" i="1" a="1"/>
  <c r="X512" i="1"/>
  <c r="X513" i="1" a="1"/>
  <c r="X513" i="1"/>
  <c r="X514" i="1" a="1"/>
  <c r="X514" i="1"/>
  <c r="X515" i="1" a="1"/>
  <c r="X515" i="1" s="1"/>
  <c r="X516" i="1" a="1"/>
  <c r="X516" i="1" s="1"/>
  <c r="X517" i="1" a="1"/>
  <c r="X517" i="1"/>
  <c r="X518" i="1" a="1"/>
  <c r="X518" i="1" s="1"/>
  <c r="X519" i="1" a="1"/>
  <c r="X519" i="1" s="1"/>
  <c r="X520" i="1" a="1"/>
  <c r="X520" i="1" s="1"/>
  <c r="X521" i="1" a="1"/>
  <c r="X521" i="1"/>
  <c r="X522" i="1" a="1"/>
  <c r="X522" i="1"/>
  <c r="X523" i="1" a="1"/>
  <c r="X523" i="1"/>
  <c r="X524" i="1" a="1"/>
  <c r="X524" i="1" s="1"/>
  <c r="X525" i="1" a="1"/>
  <c r="X525" i="1" s="1"/>
  <c r="X526" i="1" a="1"/>
  <c r="X526" i="1" s="1"/>
  <c r="X527" i="1" a="1"/>
  <c r="X527" i="1" s="1"/>
  <c r="X528" i="1" a="1"/>
  <c r="X528" i="1" s="1"/>
  <c r="X529" i="1" a="1"/>
  <c r="X529" i="1" s="1"/>
  <c r="X530" i="1" a="1"/>
  <c r="X530" i="1"/>
  <c r="X531" i="1" a="1"/>
  <c r="X531" i="1"/>
  <c r="X532" i="1" a="1"/>
  <c r="X532" i="1"/>
  <c r="X533" i="1" a="1"/>
  <c r="X533" i="1" s="1"/>
  <c r="X534" i="1" a="1"/>
  <c r="X534" i="1" s="1"/>
  <c r="X535" i="1" a="1"/>
  <c r="X535" i="1" s="1"/>
  <c r="X536" i="1" a="1"/>
  <c r="X536" i="1"/>
  <c r="X537" i="1" a="1"/>
  <c r="X537" i="1" s="1"/>
  <c r="X538" i="1" a="1"/>
  <c r="X538" i="1" s="1"/>
  <c r="X539" i="1" a="1"/>
  <c r="X539" i="1"/>
  <c r="X540" i="1" a="1"/>
  <c r="X540" i="1"/>
  <c r="X541" i="1" a="1"/>
  <c r="X541" i="1"/>
  <c r="X542" i="1" a="1"/>
  <c r="X542" i="1" s="1"/>
  <c r="X543" i="1" a="1"/>
  <c r="X543" i="1" s="1"/>
  <c r="X544" i="1" a="1"/>
  <c r="X544" i="1" s="1"/>
  <c r="X545" i="1" a="1"/>
  <c r="X545" i="1"/>
  <c r="X546" i="1" a="1"/>
  <c r="X546" i="1" s="1"/>
  <c r="X547" i="1" a="1"/>
  <c r="X547" i="1" s="1"/>
  <c r="X548" i="1" a="1"/>
  <c r="X548" i="1"/>
  <c r="X549" i="1" a="1"/>
  <c r="X549" i="1"/>
  <c r="X550" i="1" a="1"/>
  <c r="X550" i="1" s="1"/>
  <c r="X551" i="1" a="1"/>
  <c r="X551" i="1" s="1"/>
  <c r="X552" i="1" a="1"/>
  <c r="X552" i="1" s="1"/>
  <c r="X553" i="1" a="1"/>
  <c r="X553" i="1" s="1"/>
  <c r="X554" i="1" a="1"/>
  <c r="X554" i="1"/>
  <c r="X555" i="1" a="1"/>
  <c r="X555" i="1" s="1"/>
  <c r="X556" i="1" a="1"/>
  <c r="X556" i="1" s="1"/>
  <c r="X557" i="1" a="1"/>
  <c r="X557" i="1"/>
  <c r="X558" i="1" a="1"/>
  <c r="X558" i="1" s="1"/>
  <c r="X559" i="1" a="1"/>
  <c r="X559" i="1" s="1"/>
  <c r="X560" i="1" a="1"/>
  <c r="X560" i="1"/>
  <c r="X561" i="1" a="1"/>
  <c r="X561" i="1" s="1"/>
  <c r="X562" i="1" a="1"/>
  <c r="X562" i="1" s="1"/>
  <c r="X563" i="1" a="1"/>
  <c r="X563" i="1"/>
  <c r="X564" i="1" a="1"/>
  <c r="X564" i="1" s="1"/>
  <c r="X565" i="1" a="1"/>
  <c r="X565" i="1" s="1"/>
  <c r="X566" i="1" a="1"/>
  <c r="X566" i="1" s="1"/>
  <c r="X567" i="1" a="1"/>
  <c r="X567" i="1" s="1"/>
  <c r="X568" i="1" a="1"/>
  <c r="X568" i="1"/>
  <c r="X569" i="1" a="1"/>
  <c r="X569" i="1"/>
  <c r="X570" i="1" a="1"/>
  <c r="X570" i="1" s="1"/>
  <c r="X571" i="1" a="1"/>
  <c r="X571" i="1" s="1"/>
  <c r="X572" i="1" a="1"/>
  <c r="X572" i="1"/>
  <c r="X573" i="1" a="1"/>
  <c r="X573" i="1" s="1"/>
  <c r="X574" i="1" a="1"/>
  <c r="X574" i="1" s="1"/>
  <c r="X575" i="1" a="1"/>
  <c r="X575" i="1" s="1"/>
  <c r="X576" i="1" a="1"/>
  <c r="X576" i="1"/>
  <c r="X577" i="1" a="1"/>
  <c r="X577" i="1"/>
  <c r="X578" i="1" a="1"/>
  <c r="X578" i="1"/>
  <c r="X579" i="1" a="1"/>
  <c r="X579" i="1" s="1"/>
  <c r="X580" i="1" a="1"/>
  <c r="X580" i="1" s="1"/>
  <c r="X581" i="1" a="1"/>
  <c r="X581" i="1"/>
  <c r="X582" i="1" a="1"/>
  <c r="X582" i="1" s="1"/>
  <c r="X583" i="1" a="1"/>
  <c r="X583" i="1" s="1"/>
  <c r="X584" i="1" a="1"/>
  <c r="X584" i="1" s="1"/>
  <c r="X585" i="1" a="1"/>
  <c r="X585" i="1"/>
  <c r="X586" i="1" a="1"/>
  <c r="X586" i="1"/>
  <c r="X587" i="1" a="1"/>
  <c r="X587" i="1"/>
  <c r="X588" i="1" a="1"/>
  <c r="X588" i="1" s="1"/>
  <c r="X589" i="1" a="1"/>
  <c r="X589" i="1" s="1"/>
  <c r="X590" i="1" a="1"/>
  <c r="X590" i="1" s="1"/>
  <c r="X591" i="1" a="1"/>
  <c r="X591" i="1" s="1"/>
  <c r="X592" i="1" a="1"/>
  <c r="X592" i="1" s="1"/>
  <c r="X593" i="1" a="1"/>
  <c r="X593" i="1" s="1"/>
  <c r="X594" i="1" a="1"/>
  <c r="X594" i="1" s="1"/>
  <c r="X595" i="1" a="1"/>
  <c r="X595" i="1"/>
  <c r="X596" i="1" a="1"/>
  <c r="X596" i="1"/>
  <c r="X597" i="1" a="1"/>
  <c r="X597" i="1" s="1"/>
  <c r="X598" i="1" a="1"/>
  <c r="X598" i="1" s="1"/>
  <c r="X599" i="1" a="1"/>
  <c r="X599" i="1" s="1"/>
  <c r="X600" i="1" a="1"/>
  <c r="X600" i="1"/>
  <c r="X601" i="1" a="1"/>
  <c r="X601" i="1" s="1"/>
  <c r="X602" i="1" a="1"/>
  <c r="X602" i="1" s="1"/>
  <c r="X603" i="1" a="1"/>
  <c r="X603" i="1"/>
  <c r="X604" i="1" a="1"/>
  <c r="X604" i="1"/>
  <c r="X605" i="1" a="1"/>
  <c r="X605" i="1"/>
  <c r="X606" i="1" a="1"/>
  <c r="X606" i="1" s="1"/>
  <c r="X607" i="1" a="1"/>
  <c r="X607" i="1" s="1"/>
  <c r="X608" i="1" a="1"/>
  <c r="X608" i="1" s="1"/>
  <c r="X609" i="1" a="1"/>
  <c r="X609" i="1"/>
  <c r="X610" i="1" a="1"/>
  <c r="X610" i="1" s="1"/>
  <c r="X611" i="1" a="1"/>
  <c r="X611" i="1" s="1"/>
  <c r="X612" i="1" a="1"/>
  <c r="X612" i="1"/>
  <c r="X613" i="1" a="1"/>
  <c r="X613" i="1"/>
  <c r="X614" i="1" a="1"/>
  <c r="X614" i="1" s="1"/>
  <c r="X615" i="1" a="1"/>
  <c r="X615" i="1" s="1"/>
  <c r="X616" i="1" a="1"/>
  <c r="X616" i="1" s="1"/>
  <c r="X617" i="1" a="1"/>
  <c r="X617" i="1" s="1"/>
  <c r="X618" i="1" a="1"/>
  <c r="X618" i="1"/>
  <c r="X619" i="1" a="1"/>
  <c r="X619" i="1" s="1"/>
  <c r="X620" i="1" a="1"/>
  <c r="X620" i="1" s="1"/>
  <c r="X621" i="1" a="1"/>
  <c r="X621" i="1"/>
  <c r="X622" i="1" a="1"/>
  <c r="X622" i="1"/>
  <c r="X623" i="1" a="1"/>
  <c r="X623" i="1" s="1"/>
  <c r="X624" i="1" a="1"/>
  <c r="X624" i="1" s="1"/>
  <c r="X625" i="1" a="1"/>
  <c r="X625" i="1"/>
  <c r="X626" i="1" a="1"/>
  <c r="X626" i="1"/>
  <c r="X627" i="1" a="1"/>
  <c r="X627" i="1"/>
  <c r="X628" i="1" a="1"/>
  <c r="X628" i="1"/>
  <c r="X629" i="1" a="1"/>
  <c r="X629" i="1"/>
  <c r="X630" i="1" a="1"/>
  <c r="X630" i="1"/>
  <c r="X631" i="1" a="1"/>
  <c r="X631" i="1" s="1"/>
  <c r="X632" i="1" a="1"/>
  <c r="X632" i="1"/>
  <c r="X633" i="1" a="1"/>
  <c r="X633" i="1" s="1"/>
  <c r="X634" i="1" a="1"/>
  <c r="X634" i="1" s="1"/>
  <c r="X635" i="1" a="1"/>
  <c r="X635" i="1" s="1"/>
  <c r="X636" i="1" a="1"/>
  <c r="X636" i="1" s="1"/>
  <c r="X637" i="1" a="1"/>
  <c r="X637" i="1" s="1"/>
  <c r="X638" i="1" a="1"/>
  <c r="X638" i="1"/>
  <c r="X639" i="1" a="1"/>
  <c r="X639" i="1" s="1"/>
  <c r="X640" i="1" a="1"/>
  <c r="X640" i="1"/>
  <c r="X641" i="1" a="1"/>
  <c r="X641" i="1" s="1"/>
  <c r="X642" i="1" a="1"/>
  <c r="X642" i="1"/>
  <c r="X643" i="1" a="1"/>
  <c r="X643" i="1"/>
  <c r="X644" i="1" a="1"/>
  <c r="X644" i="1"/>
  <c r="X645" i="1" a="1"/>
  <c r="X645" i="1"/>
  <c r="X646" i="1" a="1"/>
  <c r="X646" i="1"/>
  <c r="X647" i="1" a="1"/>
  <c r="X647" i="1" s="1"/>
  <c r="X648" i="1" a="1"/>
  <c r="X648" i="1"/>
  <c r="X649" i="1" a="1"/>
  <c r="X649" i="1"/>
  <c r="X650" i="1" a="1"/>
  <c r="X650" i="1" s="1"/>
  <c r="X651" i="1" a="1"/>
  <c r="X651" i="1" s="1"/>
  <c r="X652" i="1" a="1"/>
  <c r="X652" i="1" s="1"/>
  <c r="X653" i="1" a="1"/>
  <c r="X653" i="1" s="1"/>
  <c r="X654" i="1" a="1"/>
  <c r="X654" i="1" s="1"/>
  <c r="X655" i="1" a="1"/>
  <c r="X655" i="1" s="1"/>
  <c r="X656" i="1" a="1"/>
  <c r="X656" i="1"/>
  <c r="X657" i="1" a="1"/>
  <c r="X657" i="1"/>
  <c r="X658" i="1" a="1"/>
  <c r="X658" i="1" s="1"/>
  <c r="X659" i="1" a="1"/>
  <c r="X659" i="1"/>
  <c r="X660" i="1" a="1"/>
  <c r="X660" i="1"/>
  <c r="X661" i="1" a="1"/>
  <c r="X661" i="1"/>
  <c r="X662" i="1" a="1"/>
  <c r="X662" i="1"/>
  <c r="X663" i="1" a="1"/>
  <c r="X663" i="1" s="1"/>
  <c r="X664" i="1" a="1"/>
  <c r="X664" i="1"/>
  <c r="X665" i="1" a="1"/>
  <c r="X665" i="1"/>
  <c r="X666" i="1" a="1"/>
  <c r="X666" i="1"/>
  <c r="X667" i="1" a="1"/>
  <c r="X667" i="1" s="1"/>
  <c r="X668" i="1" a="1"/>
  <c r="X668" i="1" s="1"/>
  <c r="X669" i="1" a="1"/>
  <c r="X669" i="1" s="1"/>
  <c r="X670" i="1" a="1"/>
  <c r="X670" i="1"/>
  <c r="X671" i="1" a="1"/>
  <c r="X671" i="1" s="1"/>
  <c r="X672" i="1" a="1"/>
  <c r="X672" i="1"/>
  <c r="X673" i="1" a="1"/>
  <c r="X673" i="1"/>
  <c r="X674" i="1" a="1"/>
  <c r="X674" i="1"/>
  <c r="X675" i="1" a="1"/>
  <c r="X675" i="1" s="1"/>
  <c r="X676" i="1" a="1"/>
  <c r="X676" i="1"/>
  <c r="X677" i="1" a="1"/>
  <c r="X677" i="1"/>
  <c r="X678" i="1" a="1"/>
  <c r="X678" i="1"/>
  <c r="X679" i="1" a="1"/>
  <c r="X679" i="1" s="1"/>
  <c r="X680" i="1" a="1"/>
  <c r="X680" i="1"/>
  <c r="X681" i="1" a="1"/>
  <c r="X681" i="1"/>
  <c r="X682" i="1" a="1"/>
  <c r="X682" i="1"/>
  <c r="X683" i="1" a="1"/>
  <c r="X683" i="1"/>
  <c r="X684" i="1" a="1"/>
  <c r="X684" i="1" s="1"/>
  <c r="X685" i="1" a="1"/>
  <c r="X685" i="1" s="1"/>
  <c r="X686" i="1" a="1"/>
  <c r="X686" i="1" s="1"/>
  <c r="X687" i="1" a="1"/>
  <c r="X687" i="1" s="1"/>
  <c r="X688" i="1" a="1"/>
  <c r="X688" i="1"/>
  <c r="X689" i="1" a="1"/>
  <c r="X689" i="1"/>
  <c r="X690" i="1" a="1"/>
  <c r="X690" i="1"/>
  <c r="X691" i="1" a="1"/>
  <c r="X691" i="1"/>
  <c r="X692" i="1" a="1"/>
  <c r="X692" i="1" s="1"/>
  <c r="X693" i="1" a="1"/>
  <c r="X693" i="1"/>
  <c r="X694" i="1" a="1"/>
  <c r="X694" i="1"/>
  <c r="X695" i="1" a="1"/>
  <c r="X695" i="1" s="1"/>
  <c r="X696" i="1" a="1"/>
  <c r="X696" i="1"/>
  <c r="X697" i="1" a="1"/>
  <c r="X697" i="1"/>
  <c r="X698" i="1" a="1"/>
  <c r="X698" i="1"/>
  <c r="X699" i="1" a="1"/>
  <c r="X699" i="1"/>
  <c r="X700" i="1" a="1"/>
  <c r="X700" i="1"/>
  <c r="X701" i="1" a="1"/>
  <c r="X701" i="1" s="1"/>
  <c r="X702" i="1" a="1"/>
  <c r="X702" i="1" s="1"/>
  <c r="X703" i="1" a="1"/>
  <c r="X703" i="1" s="1"/>
  <c r="X704" i="1" a="1"/>
  <c r="X704" i="1"/>
  <c r="X705" i="1" a="1"/>
  <c r="X705" i="1"/>
  <c r="X706" i="1" a="1"/>
  <c r="X706" i="1"/>
  <c r="X707" i="1" a="1"/>
  <c r="X707" i="1"/>
  <c r="X708" i="1" a="1"/>
  <c r="X708" i="1"/>
  <c r="X709" i="1" a="1"/>
  <c r="X709" i="1" s="1"/>
  <c r="X710" i="1" a="1"/>
  <c r="X710" i="1"/>
  <c r="X711" i="1" a="1"/>
  <c r="X711" i="1"/>
  <c r="X712" i="1" a="1"/>
  <c r="X712" i="1"/>
  <c r="X713" i="1" a="1"/>
  <c r="X713" i="1"/>
  <c r="X714" i="1" a="1"/>
  <c r="X714" i="1"/>
  <c r="X715" i="1" a="1"/>
  <c r="X715" i="1"/>
  <c r="X716" i="1" a="1"/>
  <c r="X716" i="1"/>
  <c r="X717" i="1" a="1"/>
  <c r="X717" i="1" s="1"/>
  <c r="X718" i="1" a="1"/>
  <c r="X718" i="1"/>
  <c r="X719" i="1" a="1"/>
  <c r="X719" i="1"/>
  <c r="X720" i="1" a="1"/>
  <c r="X720" i="1" s="1"/>
  <c r="X721" i="1" a="1"/>
  <c r="X721" i="1"/>
  <c r="X722" i="1" a="1"/>
  <c r="X722" i="1"/>
  <c r="X723" i="1" a="1"/>
  <c r="X723" i="1"/>
  <c r="X724" i="1" a="1"/>
  <c r="X724" i="1"/>
  <c r="X725" i="1" a="1"/>
  <c r="X725" i="1" s="1"/>
  <c r="X726" i="1" a="1"/>
  <c r="X726" i="1"/>
  <c r="X727" i="1" a="1"/>
  <c r="X727" i="1"/>
  <c r="X728" i="1" a="1"/>
  <c r="X728" i="1"/>
  <c r="X729" i="1" a="1"/>
  <c r="X729" i="1"/>
  <c r="X730" i="1" a="1"/>
  <c r="X730" i="1"/>
  <c r="X731" i="1" a="1"/>
  <c r="X731" i="1"/>
  <c r="X732" i="1" a="1"/>
  <c r="X732" i="1"/>
  <c r="X733" i="1" a="1"/>
  <c r="X733" i="1" s="1"/>
  <c r="X734" i="1" a="1"/>
  <c r="X734" i="1"/>
  <c r="X735" i="1" a="1"/>
  <c r="X735" i="1"/>
  <c r="X736" i="1" a="1"/>
  <c r="X736" i="1"/>
  <c r="X737" i="1" a="1"/>
  <c r="X737" i="1"/>
  <c r="X738" i="1" a="1"/>
  <c r="X738" i="1"/>
  <c r="X24" i="1" a="1"/>
  <c r="X24" i="1"/>
  <c r="X25" i="1" a="1"/>
  <c r="X25" i="1"/>
  <c r="X26" i="1" a="1"/>
  <c r="X26" i="1"/>
  <c r="X27" i="1" a="1"/>
  <c r="X27" i="1"/>
  <c r="X28" i="1" a="1"/>
  <c r="X28" i="1" s="1"/>
  <c r="X29" i="1" a="1"/>
  <c r="X29" i="1" s="1"/>
  <c r="N715" i="1"/>
  <c r="B4" i="8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3" i="8"/>
  <c r="S3" i="1"/>
  <c r="J13" i="1" l="1"/>
  <c r="AG3" i="1"/>
  <c r="AG5" i="1"/>
  <c r="AG6" i="1"/>
  <c r="AD5" i="1"/>
  <c r="AE5" i="1"/>
  <c r="AF5" i="1"/>
  <c r="M29" i="8"/>
  <c r="C4" i="8"/>
  <c r="D4" i="8"/>
  <c r="C5" i="8"/>
  <c r="D5" i="8"/>
  <c r="C6" i="8"/>
  <c r="D6" i="8"/>
  <c r="C7" i="8"/>
  <c r="D7" i="8"/>
  <c r="C8" i="8"/>
  <c r="D8" i="8"/>
  <c r="C9" i="8"/>
  <c r="D9" i="8"/>
  <c r="C10" i="8"/>
  <c r="D10" i="8"/>
  <c r="C11" i="8"/>
  <c r="D11" i="8"/>
  <c r="C12" i="8"/>
  <c r="D12" i="8"/>
  <c r="C13" i="8"/>
  <c r="D13" i="8"/>
  <c r="C14" i="8"/>
  <c r="D14" i="8"/>
  <c r="C15" i="8"/>
  <c r="D15" i="8"/>
  <c r="C16" i="8"/>
  <c r="D16" i="8"/>
  <c r="C17" i="8"/>
  <c r="D17" i="8"/>
  <c r="C18" i="8"/>
  <c r="D18" i="8"/>
  <c r="C19" i="8"/>
  <c r="D19" i="8"/>
  <c r="C20" i="8"/>
  <c r="D20" i="8"/>
  <c r="C21" i="8"/>
  <c r="D21" i="8"/>
  <c r="C22" i="8"/>
  <c r="D22" i="8"/>
  <c r="C23" i="8"/>
  <c r="D23" i="8"/>
  <c r="C24" i="8"/>
  <c r="D24" i="8"/>
  <c r="C25" i="8"/>
  <c r="D25" i="8"/>
  <c r="C26" i="8"/>
  <c r="D26" i="8"/>
  <c r="C27" i="8"/>
  <c r="D27" i="8"/>
  <c r="L27" i="8" s="1"/>
  <c r="C28" i="8"/>
  <c r="D28" i="8"/>
  <c r="C29" i="8"/>
  <c r="D29" i="8"/>
  <c r="C30" i="8"/>
  <c r="D30" i="8"/>
  <c r="M30" i="8" s="1"/>
  <c r="C31" i="8"/>
  <c r="D31" i="8"/>
  <c r="M31" i="8" s="1"/>
  <c r="C32" i="8"/>
  <c r="D32" i="8"/>
  <c r="C33" i="8"/>
  <c r="D33" i="8"/>
  <c r="C34" i="8"/>
  <c r="D34" i="8"/>
  <c r="C35" i="8"/>
  <c r="D35" i="8"/>
  <c r="C36" i="8"/>
  <c r="D36" i="8"/>
  <c r="C38" i="8"/>
  <c r="D38" i="8"/>
  <c r="L38" i="8" s="1"/>
  <c r="C39" i="8"/>
  <c r="D39" i="8"/>
  <c r="C40" i="8"/>
  <c r="D40" i="8"/>
  <c r="C41" i="8"/>
  <c r="D41" i="8"/>
  <c r="C42" i="8"/>
  <c r="D42" i="8"/>
  <c r="C43" i="8"/>
  <c r="D43" i="8"/>
  <c r="C44" i="8"/>
  <c r="D44" i="8"/>
  <c r="C45" i="8"/>
  <c r="D45" i="8"/>
  <c r="C46" i="8"/>
  <c r="D46" i="8"/>
  <c r="C47" i="8"/>
  <c r="D47" i="8"/>
  <c r="C48" i="8"/>
  <c r="D48" i="8"/>
  <c r="C49" i="8"/>
  <c r="D49" i="8"/>
  <c r="C50" i="8"/>
  <c r="D50" i="8"/>
  <c r="C51" i="8"/>
  <c r="D51" i="8"/>
  <c r="C52" i="8"/>
  <c r="D52" i="8"/>
  <c r="C53" i="8"/>
  <c r="D53" i="8"/>
  <c r="C54" i="8"/>
  <c r="D54" i="8"/>
  <c r="C55" i="8"/>
  <c r="D55" i="8"/>
  <c r="C56" i="8"/>
  <c r="D56" i="8"/>
  <c r="C57" i="8"/>
  <c r="D57" i="8"/>
  <c r="C58" i="8"/>
  <c r="D58" i="8"/>
  <c r="C59" i="8"/>
  <c r="D59" i="8"/>
  <c r="C61" i="8"/>
  <c r="D61" i="8"/>
  <c r="C62" i="8"/>
  <c r="D62" i="8"/>
  <c r="C63" i="8"/>
  <c r="D63" i="8"/>
  <c r="C64" i="8"/>
  <c r="D64" i="8"/>
  <c r="C65" i="8"/>
  <c r="D65" i="8"/>
  <c r="C66" i="8"/>
  <c r="D66" i="8"/>
  <c r="C67" i="8"/>
  <c r="D67" i="8"/>
  <c r="C68" i="8"/>
  <c r="D68" i="8"/>
  <c r="C69" i="8"/>
  <c r="D69" i="8"/>
  <c r="C70" i="8"/>
  <c r="D70" i="8"/>
  <c r="C71" i="8"/>
  <c r="D71" i="8"/>
  <c r="C72" i="8"/>
  <c r="D72" i="8"/>
  <c r="C73" i="8"/>
  <c r="D73" i="8"/>
  <c r="S73" i="8" s="1"/>
  <c r="C74" i="8"/>
  <c r="D74" i="8"/>
  <c r="C75" i="8"/>
  <c r="D75" i="8"/>
  <c r="C76" i="8"/>
  <c r="D76" i="8"/>
  <c r="C77" i="8"/>
  <c r="D77" i="8"/>
  <c r="C78" i="8"/>
  <c r="D78" i="8"/>
  <c r="C79" i="8"/>
  <c r="D79" i="8"/>
  <c r="D3" i="8"/>
  <c r="C3" i="8"/>
  <c r="A851" i="1"/>
  <c r="J851" i="1"/>
  <c r="N851" i="1"/>
  <c r="Q851" i="1"/>
  <c r="A852" i="1"/>
  <c r="J852" i="1"/>
  <c r="N852" i="1"/>
  <c r="Q852" i="1"/>
  <c r="A853" i="1"/>
  <c r="J853" i="1"/>
  <c r="N853" i="1"/>
  <c r="Q853" i="1"/>
  <c r="A854" i="1"/>
  <c r="J854" i="1"/>
  <c r="N854" i="1"/>
  <c r="Q854" i="1"/>
  <c r="A855" i="1"/>
  <c r="J855" i="1"/>
  <c r="N855" i="1"/>
  <c r="Q855" i="1"/>
  <c r="A856" i="1"/>
  <c r="J856" i="1"/>
  <c r="N856" i="1"/>
  <c r="Q856" i="1"/>
  <c r="A857" i="1"/>
  <c r="J857" i="1"/>
  <c r="N857" i="1"/>
  <c r="Q857" i="1"/>
  <c r="A858" i="1"/>
  <c r="S858" i="1" s="1"/>
  <c r="AA858" i="1" s="1"/>
  <c r="J858" i="1"/>
  <c r="N858" i="1"/>
  <c r="Q858" i="1"/>
  <c r="A859" i="1"/>
  <c r="J859" i="1"/>
  <c r="N859" i="1"/>
  <c r="Q859" i="1"/>
  <c r="A860" i="1"/>
  <c r="J860" i="1"/>
  <c r="N860" i="1"/>
  <c r="Q860" i="1"/>
  <c r="A861" i="1"/>
  <c r="J861" i="1"/>
  <c r="N861" i="1"/>
  <c r="Q861" i="1"/>
  <c r="A862" i="1"/>
  <c r="J862" i="1"/>
  <c r="N862" i="1"/>
  <c r="Q862" i="1"/>
  <c r="A863" i="1"/>
  <c r="J863" i="1"/>
  <c r="N863" i="1"/>
  <c r="Q863" i="1"/>
  <c r="A864" i="1"/>
  <c r="J864" i="1"/>
  <c r="N864" i="1"/>
  <c r="Q864" i="1"/>
  <c r="A865" i="1"/>
  <c r="J865" i="1"/>
  <c r="N865" i="1"/>
  <c r="Q865" i="1"/>
  <c r="A866" i="1"/>
  <c r="J866" i="1"/>
  <c r="N866" i="1"/>
  <c r="Q866" i="1"/>
  <c r="A867" i="1"/>
  <c r="J867" i="1"/>
  <c r="N867" i="1"/>
  <c r="Q867" i="1"/>
  <c r="A868" i="1"/>
  <c r="J868" i="1"/>
  <c r="N868" i="1"/>
  <c r="Q868" i="1"/>
  <c r="A869" i="1"/>
  <c r="J869" i="1"/>
  <c r="N869" i="1"/>
  <c r="Q869" i="1"/>
  <c r="A870" i="1"/>
  <c r="J870" i="1"/>
  <c r="N870" i="1"/>
  <c r="Q870" i="1"/>
  <c r="A871" i="1"/>
  <c r="J871" i="1"/>
  <c r="N871" i="1"/>
  <c r="Q871" i="1"/>
  <c r="A872" i="1"/>
  <c r="J872" i="1"/>
  <c r="N872" i="1"/>
  <c r="Q872" i="1"/>
  <c r="A873" i="1"/>
  <c r="J873" i="1"/>
  <c r="N873" i="1"/>
  <c r="Q873" i="1"/>
  <c r="A874" i="1"/>
  <c r="J874" i="1"/>
  <c r="N874" i="1"/>
  <c r="Q874" i="1"/>
  <c r="A875" i="1"/>
  <c r="J875" i="1"/>
  <c r="N875" i="1"/>
  <c r="Q875" i="1"/>
  <c r="A876" i="1"/>
  <c r="J876" i="1"/>
  <c r="N876" i="1"/>
  <c r="Q876" i="1"/>
  <c r="A877" i="1"/>
  <c r="J877" i="1"/>
  <c r="N877" i="1"/>
  <c r="Q877" i="1"/>
  <c r="A878" i="1"/>
  <c r="J878" i="1"/>
  <c r="N878" i="1"/>
  <c r="Q878" i="1"/>
  <c r="A879" i="1"/>
  <c r="J879" i="1"/>
  <c r="N879" i="1"/>
  <c r="Q879" i="1"/>
  <c r="A880" i="1"/>
  <c r="J880" i="1"/>
  <c r="N880" i="1"/>
  <c r="Q880" i="1"/>
  <c r="A881" i="1"/>
  <c r="J881" i="1"/>
  <c r="N881" i="1"/>
  <c r="Q881" i="1"/>
  <c r="A882" i="1"/>
  <c r="J882" i="1"/>
  <c r="N882" i="1"/>
  <c r="Q882" i="1"/>
  <c r="A883" i="1"/>
  <c r="J883" i="1"/>
  <c r="N883" i="1"/>
  <c r="Q883" i="1"/>
  <c r="A884" i="1"/>
  <c r="J884" i="1"/>
  <c r="N884" i="1"/>
  <c r="Q884" i="1"/>
  <c r="A885" i="1"/>
  <c r="J885" i="1"/>
  <c r="N885" i="1"/>
  <c r="Q885" i="1"/>
  <c r="A886" i="1"/>
  <c r="J886" i="1"/>
  <c r="N886" i="1"/>
  <c r="Q886" i="1"/>
  <c r="A887" i="1"/>
  <c r="J887" i="1"/>
  <c r="N887" i="1"/>
  <c r="Q887" i="1"/>
  <c r="A888" i="1"/>
  <c r="S888" i="1" s="1"/>
  <c r="AA888" i="1" s="1"/>
  <c r="J888" i="1"/>
  <c r="N888" i="1"/>
  <c r="Q888" i="1"/>
  <c r="A889" i="1"/>
  <c r="J889" i="1"/>
  <c r="N889" i="1"/>
  <c r="Q889" i="1"/>
  <c r="A890" i="1"/>
  <c r="J890" i="1"/>
  <c r="N890" i="1"/>
  <c r="Q890" i="1"/>
  <c r="A891" i="1"/>
  <c r="J891" i="1"/>
  <c r="N891" i="1"/>
  <c r="Q891" i="1"/>
  <c r="A892" i="1"/>
  <c r="S892" i="1" s="1"/>
  <c r="AA892" i="1" s="1"/>
  <c r="J892" i="1"/>
  <c r="N892" i="1"/>
  <c r="Q892" i="1"/>
  <c r="A893" i="1"/>
  <c r="J893" i="1"/>
  <c r="N893" i="1"/>
  <c r="Q893" i="1"/>
  <c r="A894" i="1"/>
  <c r="J894" i="1"/>
  <c r="N894" i="1"/>
  <c r="Q894" i="1"/>
  <c r="A895" i="1"/>
  <c r="J895" i="1"/>
  <c r="N895" i="1"/>
  <c r="Q895" i="1"/>
  <c r="A896" i="1"/>
  <c r="J896" i="1"/>
  <c r="N896" i="1"/>
  <c r="Q896" i="1"/>
  <c r="A897" i="1"/>
  <c r="J897" i="1"/>
  <c r="N897" i="1"/>
  <c r="Q897" i="1"/>
  <c r="A898" i="1"/>
  <c r="J898" i="1"/>
  <c r="N898" i="1"/>
  <c r="Q898" i="1"/>
  <c r="A899" i="1"/>
  <c r="J899" i="1"/>
  <c r="N899" i="1"/>
  <c r="Q899" i="1"/>
  <c r="A900" i="1"/>
  <c r="J900" i="1"/>
  <c r="N900" i="1"/>
  <c r="Q900" i="1"/>
  <c r="A901" i="1"/>
  <c r="J901" i="1"/>
  <c r="N901" i="1"/>
  <c r="Q901" i="1"/>
  <c r="A902" i="1"/>
  <c r="J902" i="1"/>
  <c r="N902" i="1"/>
  <c r="Q902" i="1"/>
  <c r="A903" i="1"/>
  <c r="J903" i="1"/>
  <c r="N903" i="1"/>
  <c r="Q903" i="1"/>
  <c r="A904" i="1"/>
  <c r="J904" i="1"/>
  <c r="N904" i="1"/>
  <c r="Q904" i="1"/>
  <c r="A905" i="1"/>
  <c r="J905" i="1"/>
  <c r="N905" i="1"/>
  <c r="Q905" i="1"/>
  <c r="A906" i="1"/>
  <c r="J906" i="1"/>
  <c r="N906" i="1"/>
  <c r="Q906" i="1"/>
  <c r="A907" i="1"/>
  <c r="J907" i="1"/>
  <c r="N907" i="1"/>
  <c r="Q907" i="1"/>
  <c r="A908" i="1"/>
  <c r="J908" i="1"/>
  <c r="N908" i="1"/>
  <c r="Q908" i="1"/>
  <c r="A909" i="1"/>
  <c r="J909" i="1"/>
  <c r="N909" i="1"/>
  <c r="Q909" i="1"/>
  <c r="A910" i="1"/>
  <c r="J910" i="1"/>
  <c r="N910" i="1"/>
  <c r="Q910" i="1"/>
  <c r="A911" i="1"/>
  <c r="J911" i="1"/>
  <c r="N911" i="1"/>
  <c r="Q911" i="1"/>
  <c r="A912" i="1"/>
  <c r="J912" i="1"/>
  <c r="N912" i="1"/>
  <c r="Q912" i="1"/>
  <c r="A913" i="1"/>
  <c r="J913" i="1"/>
  <c r="N913" i="1"/>
  <c r="Q913" i="1"/>
  <c r="A914" i="1"/>
  <c r="J914" i="1"/>
  <c r="N914" i="1"/>
  <c r="Q914" i="1"/>
  <c r="A915" i="1"/>
  <c r="J915" i="1"/>
  <c r="N915" i="1"/>
  <c r="Q915" i="1"/>
  <c r="A916" i="1"/>
  <c r="J916" i="1"/>
  <c r="N916" i="1"/>
  <c r="Q916" i="1"/>
  <c r="A917" i="1"/>
  <c r="J917" i="1"/>
  <c r="N917" i="1"/>
  <c r="Q917" i="1"/>
  <c r="A918" i="1"/>
  <c r="J918" i="1"/>
  <c r="N918" i="1"/>
  <c r="Q918" i="1"/>
  <c r="A919" i="1"/>
  <c r="J919" i="1"/>
  <c r="N919" i="1"/>
  <c r="Q919" i="1"/>
  <c r="A920" i="1"/>
  <c r="J920" i="1"/>
  <c r="N920" i="1"/>
  <c r="Q920" i="1"/>
  <c r="A921" i="1"/>
  <c r="J921" i="1"/>
  <c r="N921" i="1"/>
  <c r="Q921" i="1"/>
  <c r="A922" i="1"/>
  <c r="J922" i="1"/>
  <c r="N922" i="1"/>
  <c r="Q922" i="1"/>
  <c r="A923" i="1"/>
  <c r="J923" i="1"/>
  <c r="N923" i="1"/>
  <c r="Q923" i="1"/>
  <c r="A924" i="1"/>
  <c r="J924" i="1"/>
  <c r="N924" i="1"/>
  <c r="Q924" i="1"/>
  <c r="A925" i="1"/>
  <c r="J925" i="1"/>
  <c r="N925" i="1"/>
  <c r="Q925" i="1"/>
  <c r="A926" i="1"/>
  <c r="J926" i="1"/>
  <c r="N926" i="1"/>
  <c r="Q926" i="1"/>
  <c r="A927" i="1"/>
  <c r="J927" i="1"/>
  <c r="N927" i="1"/>
  <c r="Q927" i="1"/>
  <c r="A928" i="1"/>
  <c r="J928" i="1"/>
  <c r="N928" i="1"/>
  <c r="Q928" i="1"/>
  <c r="A929" i="1"/>
  <c r="J929" i="1"/>
  <c r="N929" i="1"/>
  <c r="Q929" i="1"/>
  <c r="A930" i="1"/>
  <c r="J930" i="1"/>
  <c r="N930" i="1"/>
  <c r="Q930" i="1"/>
  <c r="A931" i="1"/>
  <c r="J931" i="1"/>
  <c r="N931" i="1"/>
  <c r="Q931" i="1"/>
  <c r="A932" i="1"/>
  <c r="J932" i="1"/>
  <c r="N932" i="1"/>
  <c r="Q932" i="1"/>
  <c r="A933" i="1"/>
  <c r="J933" i="1"/>
  <c r="N933" i="1"/>
  <c r="Q933" i="1"/>
  <c r="A934" i="1"/>
  <c r="J934" i="1"/>
  <c r="N934" i="1"/>
  <c r="Q934" i="1"/>
  <c r="A935" i="1"/>
  <c r="J935" i="1"/>
  <c r="N935" i="1"/>
  <c r="Q935" i="1"/>
  <c r="A936" i="1"/>
  <c r="J936" i="1"/>
  <c r="N936" i="1"/>
  <c r="Q936" i="1"/>
  <c r="A937" i="1"/>
  <c r="J937" i="1"/>
  <c r="N937" i="1"/>
  <c r="Q937" i="1"/>
  <c r="A938" i="1"/>
  <c r="J938" i="1"/>
  <c r="N938" i="1"/>
  <c r="Q938" i="1"/>
  <c r="A939" i="1"/>
  <c r="J939" i="1"/>
  <c r="N939" i="1"/>
  <c r="Q939" i="1"/>
  <c r="A940" i="1"/>
  <c r="J940" i="1"/>
  <c r="N940" i="1"/>
  <c r="Q940" i="1"/>
  <c r="A941" i="1"/>
  <c r="J941" i="1"/>
  <c r="N941" i="1"/>
  <c r="Q941" i="1"/>
  <c r="A942" i="1"/>
  <c r="J942" i="1"/>
  <c r="N942" i="1"/>
  <c r="Q942" i="1"/>
  <c r="A943" i="1"/>
  <c r="J943" i="1"/>
  <c r="N943" i="1"/>
  <c r="Q943" i="1"/>
  <c r="A944" i="1"/>
  <c r="J944" i="1"/>
  <c r="N944" i="1"/>
  <c r="Q944" i="1"/>
  <c r="A945" i="1"/>
  <c r="J945" i="1"/>
  <c r="N945" i="1"/>
  <c r="Q945" i="1"/>
  <c r="A946" i="1"/>
  <c r="J946" i="1"/>
  <c r="N946" i="1"/>
  <c r="Q946" i="1"/>
  <c r="A947" i="1"/>
  <c r="J947" i="1"/>
  <c r="N947" i="1"/>
  <c r="Q947" i="1"/>
  <c r="A948" i="1"/>
  <c r="J948" i="1"/>
  <c r="N948" i="1"/>
  <c r="Q948" i="1"/>
  <c r="A949" i="1"/>
  <c r="J949" i="1"/>
  <c r="N949" i="1"/>
  <c r="Q949" i="1"/>
  <c r="A950" i="1"/>
  <c r="J950" i="1"/>
  <c r="N950" i="1"/>
  <c r="Q950" i="1"/>
  <c r="A951" i="1"/>
  <c r="J951" i="1"/>
  <c r="N951" i="1"/>
  <c r="Q951" i="1"/>
  <c r="A952" i="1"/>
  <c r="J952" i="1"/>
  <c r="N952" i="1"/>
  <c r="Q952" i="1"/>
  <c r="A953" i="1"/>
  <c r="J953" i="1"/>
  <c r="N953" i="1"/>
  <c r="Q953" i="1"/>
  <c r="A954" i="1"/>
  <c r="J954" i="1"/>
  <c r="N954" i="1"/>
  <c r="Q954" i="1"/>
  <c r="A955" i="1"/>
  <c r="J955" i="1"/>
  <c r="N955" i="1"/>
  <c r="Q955" i="1"/>
  <c r="A956" i="1"/>
  <c r="J956" i="1"/>
  <c r="N956" i="1"/>
  <c r="Q956" i="1"/>
  <c r="A957" i="1"/>
  <c r="J957" i="1"/>
  <c r="N957" i="1"/>
  <c r="Q957" i="1"/>
  <c r="A958" i="1"/>
  <c r="J958" i="1"/>
  <c r="N958" i="1"/>
  <c r="Q958" i="1"/>
  <c r="A959" i="1"/>
  <c r="J959" i="1"/>
  <c r="N959" i="1"/>
  <c r="Q959" i="1"/>
  <c r="A960" i="1"/>
  <c r="J960" i="1"/>
  <c r="N960" i="1"/>
  <c r="Q960" i="1"/>
  <c r="A961" i="1"/>
  <c r="J961" i="1"/>
  <c r="N961" i="1"/>
  <c r="Q961" i="1"/>
  <c r="A962" i="1"/>
  <c r="J962" i="1"/>
  <c r="N962" i="1"/>
  <c r="Q962" i="1"/>
  <c r="A963" i="1"/>
  <c r="J963" i="1"/>
  <c r="N963" i="1"/>
  <c r="Q963" i="1"/>
  <c r="A964" i="1"/>
  <c r="J964" i="1"/>
  <c r="N964" i="1"/>
  <c r="Q964" i="1"/>
  <c r="A965" i="1"/>
  <c r="J965" i="1"/>
  <c r="N965" i="1"/>
  <c r="Q965" i="1"/>
  <c r="A966" i="1"/>
  <c r="J966" i="1"/>
  <c r="N966" i="1"/>
  <c r="Q966" i="1"/>
  <c r="A967" i="1"/>
  <c r="S967" i="1" s="1"/>
  <c r="AA967" i="1" s="1"/>
  <c r="J967" i="1"/>
  <c r="N967" i="1"/>
  <c r="Q967" i="1"/>
  <c r="A968" i="1"/>
  <c r="J968" i="1"/>
  <c r="N968" i="1"/>
  <c r="Q968" i="1"/>
  <c r="A969" i="1"/>
  <c r="J969" i="1"/>
  <c r="N969" i="1"/>
  <c r="Q969" i="1"/>
  <c r="A970" i="1"/>
  <c r="J970" i="1"/>
  <c r="N970" i="1"/>
  <c r="Q970" i="1"/>
  <c r="A971" i="1"/>
  <c r="J971" i="1"/>
  <c r="N971" i="1"/>
  <c r="Q971" i="1"/>
  <c r="A972" i="1"/>
  <c r="J972" i="1"/>
  <c r="N972" i="1"/>
  <c r="Q972" i="1"/>
  <c r="A973" i="1"/>
  <c r="J973" i="1"/>
  <c r="N973" i="1"/>
  <c r="Q973" i="1"/>
  <c r="A974" i="1"/>
  <c r="J974" i="1"/>
  <c r="N974" i="1"/>
  <c r="Q974" i="1"/>
  <c r="A975" i="1"/>
  <c r="J975" i="1"/>
  <c r="N975" i="1"/>
  <c r="Q975" i="1"/>
  <c r="A976" i="1"/>
  <c r="J976" i="1"/>
  <c r="N976" i="1"/>
  <c r="Q976" i="1"/>
  <c r="A977" i="1"/>
  <c r="J977" i="1"/>
  <c r="N977" i="1"/>
  <c r="Q977" i="1"/>
  <c r="A978" i="1"/>
  <c r="J978" i="1"/>
  <c r="N978" i="1"/>
  <c r="Q978" i="1"/>
  <c r="A979" i="1"/>
  <c r="J979" i="1"/>
  <c r="N979" i="1"/>
  <c r="Q979" i="1"/>
  <c r="A980" i="1"/>
  <c r="J980" i="1"/>
  <c r="N980" i="1"/>
  <c r="Q980" i="1"/>
  <c r="A981" i="1"/>
  <c r="J981" i="1"/>
  <c r="N981" i="1"/>
  <c r="Q981" i="1"/>
  <c r="A982" i="1"/>
  <c r="J982" i="1"/>
  <c r="N982" i="1"/>
  <c r="Q982" i="1"/>
  <c r="A983" i="1"/>
  <c r="S983" i="1" s="1"/>
  <c r="AA983" i="1" s="1"/>
  <c r="J983" i="1"/>
  <c r="N983" i="1"/>
  <c r="Q983" i="1"/>
  <c r="A984" i="1"/>
  <c r="J984" i="1"/>
  <c r="N984" i="1"/>
  <c r="Q984" i="1"/>
  <c r="A985" i="1"/>
  <c r="J985" i="1"/>
  <c r="N985" i="1"/>
  <c r="Q985" i="1"/>
  <c r="A986" i="1"/>
  <c r="J986" i="1"/>
  <c r="N986" i="1"/>
  <c r="Q986" i="1"/>
  <c r="A987" i="1"/>
  <c r="J987" i="1"/>
  <c r="N987" i="1"/>
  <c r="Q987" i="1"/>
  <c r="A988" i="1"/>
  <c r="J988" i="1"/>
  <c r="N988" i="1"/>
  <c r="Q988" i="1"/>
  <c r="A989" i="1"/>
  <c r="J989" i="1"/>
  <c r="N989" i="1"/>
  <c r="Q989" i="1"/>
  <c r="A990" i="1"/>
  <c r="J990" i="1"/>
  <c r="N990" i="1"/>
  <c r="Q990" i="1"/>
  <c r="A991" i="1"/>
  <c r="J991" i="1"/>
  <c r="N991" i="1"/>
  <c r="Q991" i="1"/>
  <c r="A992" i="1"/>
  <c r="J992" i="1"/>
  <c r="N992" i="1"/>
  <c r="Q992" i="1"/>
  <c r="A993" i="1"/>
  <c r="J993" i="1"/>
  <c r="N993" i="1"/>
  <c r="Q993" i="1"/>
  <c r="A994" i="1"/>
  <c r="J994" i="1"/>
  <c r="N994" i="1"/>
  <c r="Q994" i="1"/>
  <c r="A995" i="1"/>
  <c r="J995" i="1"/>
  <c r="N995" i="1"/>
  <c r="Q995" i="1"/>
  <c r="A996" i="1"/>
  <c r="J996" i="1"/>
  <c r="N996" i="1"/>
  <c r="Q996" i="1"/>
  <c r="A997" i="1"/>
  <c r="J997" i="1"/>
  <c r="N997" i="1"/>
  <c r="Q997" i="1"/>
  <c r="A998" i="1"/>
  <c r="J998" i="1"/>
  <c r="N998" i="1"/>
  <c r="Q998" i="1"/>
  <c r="A999" i="1"/>
  <c r="J999" i="1"/>
  <c r="N999" i="1"/>
  <c r="Q999" i="1"/>
  <c r="A1000" i="1"/>
  <c r="J1000" i="1"/>
  <c r="N1000" i="1"/>
  <c r="Q1000" i="1"/>
  <c r="A1001" i="1"/>
  <c r="J1001" i="1"/>
  <c r="N1001" i="1"/>
  <c r="Q1001" i="1"/>
  <c r="A1002" i="1"/>
  <c r="J1002" i="1"/>
  <c r="N1002" i="1"/>
  <c r="Q1002" i="1"/>
  <c r="A1003" i="1"/>
  <c r="J1003" i="1"/>
  <c r="N1003" i="1"/>
  <c r="Q1003" i="1"/>
  <c r="A1004" i="1"/>
  <c r="J1004" i="1"/>
  <c r="N1004" i="1"/>
  <c r="Q1004" i="1"/>
  <c r="A1005" i="1"/>
  <c r="J1005" i="1"/>
  <c r="N1005" i="1"/>
  <c r="Q1005" i="1"/>
  <c r="A1006" i="1"/>
  <c r="J1006" i="1"/>
  <c r="N1006" i="1"/>
  <c r="Q1006" i="1"/>
  <c r="A1007" i="1"/>
  <c r="J1007" i="1"/>
  <c r="N1007" i="1"/>
  <c r="Q1007" i="1"/>
  <c r="A1008" i="1"/>
  <c r="J1008" i="1"/>
  <c r="N1008" i="1"/>
  <c r="Q1008" i="1"/>
  <c r="A1009" i="1"/>
  <c r="J1009" i="1"/>
  <c r="N1009" i="1"/>
  <c r="Q1009" i="1"/>
  <c r="A1010" i="1"/>
  <c r="J1010" i="1"/>
  <c r="N1010" i="1"/>
  <c r="Q1010" i="1"/>
  <c r="A1011" i="1"/>
  <c r="J1011" i="1"/>
  <c r="N1011" i="1"/>
  <c r="Q1011" i="1"/>
  <c r="A1012" i="1"/>
  <c r="J1012" i="1"/>
  <c r="N1012" i="1"/>
  <c r="Q1012" i="1"/>
  <c r="A1013" i="1"/>
  <c r="J1013" i="1"/>
  <c r="N1013" i="1"/>
  <c r="Q1013" i="1"/>
  <c r="A1014" i="1"/>
  <c r="J1014" i="1"/>
  <c r="N1014" i="1"/>
  <c r="Q1014" i="1"/>
  <c r="A1015" i="1"/>
  <c r="J1015" i="1"/>
  <c r="N1015" i="1"/>
  <c r="Q1015" i="1"/>
  <c r="A1016" i="1"/>
  <c r="J1016" i="1"/>
  <c r="N1016" i="1"/>
  <c r="Q1016" i="1"/>
  <c r="A1017" i="1"/>
  <c r="J1017" i="1"/>
  <c r="N1017" i="1"/>
  <c r="Q1017" i="1"/>
  <c r="A1018" i="1"/>
  <c r="J1018" i="1"/>
  <c r="N1018" i="1"/>
  <c r="Q1018" i="1"/>
  <c r="A1019" i="1"/>
  <c r="S1019" i="1" s="1"/>
  <c r="AA1019" i="1" s="1"/>
  <c r="J1019" i="1"/>
  <c r="N1019" i="1"/>
  <c r="Q1019" i="1"/>
  <c r="A1020" i="1"/>
  <c r="J1020" i="1"/>
  <c r="N1020" i="1"/>
  <c r="Q1020" i="1"/>
  <c r="A1021" i="1"/>
  <c r="J1021" i="1"/>
  <c r="N1021" i="1"/>
  <c r="Q1021" i="1"/>
  <c r="A1022" i="1"/>
  <c r="J1022" i="1"/>
  <c r="N1022" i="1"/>
  <c r="Q1022" i="1"/>
  <c r="A1023" i="1"/>
  <c r="J1023" i="1"/>
  <c r="N1023" i="1"/>
  <c r="Q1023" i="1"/>
  <c r="A1024" i="1"/>
  <c r="J1024" i="1"/>
  <c r="N1024" i="1"/>
  <c r="Q1024" i="1"/>
  <c r="A1025" i="1"/>
  <c r="J1025" i="1"/>
  <c r="N1025" i="1"/>
  <c r="Q1025" i="1"/>
  <c r="A1026" i="1"/>
  <c r="J1026" i="1"/>
  <c r="N1026" i="1"/>
  <c r="Q1026" i="1"/>
  <c r="A1027" i="1"/>
  <c r="J1027" i="1"/>
  <c r="N1027" i="1"/>
  <c r="Q1027" i="1"/>
  <c r="A1028" i="1"/>
  <c r="J1028" i="1"/>
  <c r="N1028" i="1"/>
  <c r="Q1028" i="1"/>
  <c r="A1029" i="1"/>
  <c r="J1029" i="1"/>
  <c r="N1029" i="1"/>
  <c r="Q1029" i="1"/>
  <c r="A1030" i="1"/>
  <c r="J1030" i="1"/>
  <c r="N1030" i="1"/>
  <c r="Q1030" i="1"/>
  <c r="A1031" i="1"/>
  <c r="J1031" i="1"/>
  <c r="N1031" i="1"/>
  <c r="Q1031" i="1"/>
  <c r="A1032" i="1"/>
  <c r="J1032" i="1"/>
  <c r="N1032" i="1"/>
  <c r="Q1032" i="1"/>
  <c r="A1033" i="1"/>
  <c r="J1033" i="1"/>
  <c r="N1033" i="1"/>
  <c r="Q1033" i="1"/>
  <c r="A1034" i="1"/>
  <c r="J1034" i="1"/>
  <c r="N1034" i="1"/>
  <c r="Q1034" i="1"/>
  <c r="A1035" i="1"/>
  <c r="J1035" i="1"/>
  <c r="N1035" i="1"/>
  <c r="Q1035" i="1"/>
  <c r="A1036" i="1"/>
  <c r="J1036" i="1"/>
  <c r="N1036" i="1"/>
  <c r="Q1036" i="1"/>
  <c r="A1037" i="1"/>
  <c r="J1037" i="1"/>
  <c r="N1037" i="1"/>
  <c r="Q1037" i="1"/>
  <c r="A1038" i="1"/>
  <c r="J1038" i="1"/>
  <c r="N1038" i="1"/>
  <c r="Q1038" i="1"/>
  <c r="A1039" i="1"/>
  <c r="J1039" i="1"/>
  <c r="N1039" i="1"/>
  <c r="Q1039" i="1"/>
  <c r="A1040" i="1"/>
  <c r="J1040" i="1"/>
  <c r="N1040" i="1"/>
  <c r="Q1040" i="1"/>
  <c r="A1041" i="1"/>
  <c r="J1041" i="1"/>
  <c r="N1041" i="1"/>
  <c r="Q1041" i="1"/>
  <c r="A1042" i="1"/>
  <c r="J1042" i="1"/>
  <c r="N1042" i="1"/>
  <c r="Q1042" i="1"/>
  <c r="A1043" i="1"/>
  <c r="J1043" i="1"/>
  <c r="N1043" i="1"/>
  <c r="Q1043" i="1"/>
  <c r="A1044" i="1"/>
  <c r="J1044" i="1"/>
  <c r="N1044" i="1"/>
  <c r="Q1044" i="1"/>
  <c r="A1045" i="1"/>
  <c r="J1045" i="1"/>
  <c r="N1045" i="1"/>
  <c r="Q1045" i="1"/>
  <c r="A1046" i="1"/>
  <c r="J1046" i="1"/>
  <c r="N1046" i="1"/>
  <c r="Q1046" i="1"/>
  <c r="A1047" i="1"/>
  <c r="J1047" i="1"/>
  <c r="N1047" i="1"/>
  <c r="Q1047" i="1"/>
  <c r="A1048" i="1"/>
  <c r="J1048" i="1"/>
  <c r="N1048" i="1"/>
  <c r="Q1048" i="1"/>
  <c r="A1049" i="1"/>
  <c r="J1049" i="1"/>
  <c r="N1049" i="1"/>
  <c r="Q1049" i="1"/>
  <c r="A1050" i="1"/>
  <c r="J1050" i="1"/>
  <c r="N1050" i="1"/>
  <c r="Q1050" i="1"/>
  <c r="A1051" i="1"/>
  <c r="J1051" i="1"/>
  <c r="N1051" i="1"/>
  <c r="Q1051" i="1"/>
  <c r="A1052" i="1"/>
  <c r="J1052" i="1"/>
  <c r="N1052" i="1"/>
  <c r="Q1052" i="1"/>
  <c r="A1053" i="1"/>
  <c r="J1053" i="1"/>
  <c r="N1053" i="1"/>
  <c r="Q1053" i="1"/>
  <c r="A1054" i="1"/>
  <c r="J1054" i="1"/>
  <c r="N1054" i="1"/>
  <c r="Q1054" i="1"/>
  <c r="A1055" i="1"/>
  <c r="J1055" i="1"/>
  <c r="N1055" i="1"/>
  <c r="Q1055" i="1"/>
  <c r="A1056" i="1"/>
  <c r="J1056" i="1"/>
  <c r="N1056" i="1"/>
  <c r="Q1056" i="1"/>
  <c r="A1057" i="1"/>
  <c r="J1057" i="1"/>
  <c r="N1057" i="1"/>
  <c r="Q1057" i="1"/>
  <c r="A1058" i="1"/>
  <c r="J1058" i="1"/>
  <c r="N1058" i="1"/>
  <c r="Q1058" i="1"/>
  <c r="A1059" i="1"/>
  <c r="J1059" i="1"/>
  <c r="N1059" i="1"/>
  <c r="Q1059" i="1"/>
  <c r="A1060" i="1"/>
  <c r="J1060" i="1"/>
  <c r="N1060" i="1"/>
  <c r="Q1060" i="1"/>
  <c r="A1061" i="1"/>
  <c r="J1061" i="1"/>
  <c r="N1061" i="1"/>
  <c r="Q1061" i="1"/>
  <c r="A1062" i="1"/>
  <c r="J1062" i="1"/>
  <c r="N1062" i="1"/>
  <c r="Q1062" i="1"/>
  <c r="A1063" i="1"/>
  <c r="J1063" i="1"/>
  <c r="N1063" i="1"/>
  <c r="Q1063" i="1"/>
  <c r="A1064" i="1"/>
  <c r="J1064" i="1"/>
  <c r="N1064" i="1"/>
  <c r="Q1064" i="1"/>
  <c r="A1065" i="1"/>
  <c r="J1065" i="1"/>
  <c r="N1065" i="1"/>
  <c r="Q1065" i="1"/>
  <c r="A1066" i="1"/>
  <c r="J1066" i="1"/>
  <c r="N1066" i="1"/>
  <c r="Q1066" i="1"/>
  <c r="A1067" i="1"/>
  <c r="J1067" i="1"/>
  <c r="N1067" i="1"/>
  <c r="Q1067" i="1"/>
  <c r="A1068" i="1"/>
  <c r="J1068" i="1"/>
  <c r="N1068" i="1"/>
  <c r="Q1068" i="1"/>
  <c r="A1069" i="1"/>
  <c r="J1069" i="1"/>
  <c r="N1069" i="1"/>
  <c r="Q1069" i="1"/>
  <c r="A1070" i="1"/>
  <c r="J1070" i="1"/>
  <c r="N1070" i="1"/>
  <c r="Q1070" i="1"/>
  <c r="A1071" i="1"/>
  <c r="J1071" i="1"/>
  <c r="N1071" i="1"/>
  <c r="Q1071" i="1"/>
  <c r="A1072" i="1"/>
  <c r="J1072" i="1"/>
  <c r="N1072" i="1"/>
  <c r="Q1072" i="1"/>
  <c r="A1073" i="1"/>
  <c r="J1073" i="1"/>
  <c r="N1073" i="1"/>
  <c r="Q1073" i="1"/>
  <c r="A1074" i="1"/>
  <c r="J1074" i="1"/>
  <c r="N1074" i="1"/>
  <c r="Q1074" i="1"/>
  <c r="A1075" i="1"/>
  <c r="J1075" i="1"/>
  <c r="N1075" i="1"/>
  <c r="Q1075" i="1"/>
  <c r="A1076" i="1"/>
  <c r="J1076" i="1"/>
  <c r="N1076" i="1"/>
  <c r="Q1076" i="1"/>
  <c r="A1077" i="1"/>
  <c r="J1077" i="1"/>
  <c r="N1077" i="1"/>
  <c r="Q1077" i="1"/>
  <c r="A1078" i="1"/>
  <c r="J1078" i="1"/>
  <c r="N1078" i="1"/>
  <c r="Q1078" i="1"/>
  <c r="A1079" i="1"/>
  <c r="J1079" i="1"/>
  <c r="N1079" i="1"/>
  <c r="Q1079" i="1"/>
  <c r="A1080" i="1"/>
  <c r="J1080" i="1"/>
  <c r="N1080" i="1"/>
  <c r="Q1080" i="1"/>
  <c r="A1081" i="1"/>
  <c r="J1081" i="1"/>
  <c r="N1081" i="1"/>
  <c r="Q1081" i="1"/>
  <c r="A1082" i="1"/>
  <c r="J1082" i="1"/>
  <c r="N1082" i="1"/>
  <c r="Q1082" i="1"/>
  <c r="A1083" i="1"/>
  <c r="J1083" i="1"/>
  <c r="N1083" i="1"/>
  <c r="Q1083" i="1"/>
  <c r="A1084" i="1"/>
  <c r="J1084" i="1"/>
  <c r="N1084" i="1"/>
  <c r="Q1084" i="1"/>
  <c r="A1085" i="1"/>
  <c r="J1085" i="1"/>
  <c r="N1085" i="1"/>
  <c r="Q1085" i="1"/>
  <c r="A1086" i="1"/>
  <c r="J1086" i="1"/>
  <c r="N1086" i="1"/>
  <c r="Q1086" i="1"/>
  <c r="A1087" i="1"/>
  <c r="J1087" i="1"/>
  <c r="N1087" i="1"/>
  <c r="Q1087" i="1"/>
  <c r="A1088" i="1"/>
  <c r="J1088" i="1"/>
  <c r="N1088" i="1"/>
  <c r="Q1088" i="1"/>
  <c r="A1089" i="1"/>
  <c r="J1089" i="1"/>
  <c r="N1089" i="1"/>
  <c r="Q1089" i="1"/>
  <c r="A1090" i="1"/>
  <c r="J1090" i="1"/>
  <c r="N1090" i="1"/>
  <c r="Q1090" i="1"/>
  <c r="A1091" i="1"/>
  <c r="J1091" i="1"/>
  <c r="N1091" i="1"/>
  <c r="Q1091" i="1"/>
  <c r="A1092" i="1"/>
  <c r="J1092" i="1"/>
  <c r="N1092" i="1"/>
  <c r="Q1092" i="1"/>
  <c r="A1093" i="1"/>
  <c r="J1093" i="1"/>
  <c r="N1093" i="1"/>
  <c r="Q1093" i="1"/>
  <c r="A1094" i="1"/>
  <c r="J1094" i="1"/>
  <c r="N1094" i="1"/>
  <c r="Q1094" i="1"/>
  <c r="A1095" i="1"/>
  <c r="J1095" i="1"/>
  <c r="N1095" i="1"/>
  <c r="Q1095" i="1"/>
  <c r="A1096" i="1"/>
  <c r="J1096" i="1"/>
  <c r="N1096" i="1"/>
  <c r="Q1096" i="1"/>
  <c r="A1097" i="1"/>
  <c r="J1097" i="1"/>
  <c r="N1097" i="1"/>
  <c r="Q1097" i="1"/>
  <c r="A1098" i="1"/>
  <c r="J1098" i="1"/>
  <c r="N1098" i="1"/>
  <c r="Q1098" i="1"/>
  <c r="A1099" i="1"/>
  <c r="J1099" i="1"/>
  <c r="N1099" i="1"/>
  <c r="Q1099" i="1"/>
  <c r="A1100" i="1"/>
  <c r="J1100" i="1"/>
  <c r="N1100" i="1"/>
  <c r="Q1100" i="1"/>
  <c r="A1101" i="1"/>
  <c r="J1101" i="1"/>
  <c r="N1101" i="1"/>
  <c r="Q1101" i="1"/>
  <c r="A1102" i="1"/>
  <c r="J1102" i="1"/>
  <c r="N1102" i="1"/>
  <c r="Q1102" i="1"/>
  <c r="A1103" i="1"/>
  <c r="J1103" i="1"/>
  <c r="N1103" i="1"/>
  <c r="Q1103" i="1"/>
  <c r="A1104" i="1"/>
  <c r="J1104" i="1"/>
  <c r="N1104" i="1"/>
  <c r="Q1104" i="1"/>
  <c r="A1105" i="1"/>
  <c r="J1105" i="1"/>
  <c r="N1105" i="1"/>
  <c r="Q1105" i="1"/>
  <c r="A1106" i="1"/>
  <c r="J1106" i="1"/>
  <c r="N1106" i="1"/>
  <c r="Q1106" i="1"/>
  <c r="A1107" i="1"/>
  <c r="J1107" i="1"/>
  <c r="N1107" i="1"/>
  <c r="Q1107" i="1"/>
  <c r="A1108" i="1"/>
  <c r="J1108" i="1"/>
  <c r="N1108" i="1"/>
  <c r="Q1108" i="1"/>
  <c r="A1109" i="1"/>
  <c r="J1109" i="1"/>
  <c r="N1109" i="1"/>
  <c r="Q1109" i="1"/>
  <c r="A1110" i="1"/>
  <c r="J1110" i="1"/>
  <c r="N1110" i="1"/>
  <c r="Q1110" i="1"/>
  <c r="A1111" i="1"/>
  <c r="J1111" i="1"/>
  <c r="N1111" i="1"/>
  <c r="Q1111" i="1"/>
  <c r="A1112" i="1"/>
  <c r="J1112" i="1"/>
  <c r="N1112" i="1"/>
  <c r="Q1112" i="1"/>
  <c r="A1113" i="1"/>
  <c r="J1113" i="1"/>
  <c r="N1113" i="1"/>
  <c r="Q1113" i="1"/>
  <c r="A1114" i="1"/>
  <c r="J1114" i="1"/>
  <c r="N1114" i="1"/>
  <c r="Q1114" i="1"/>
  <c r="A1115" i="1"/>
  <c r="J1115" i="1"/>
  <c r="N1115" i="1"/>
  <c r="Q1115" i="1"/>
  <c r="A1116" i="1"/>
  <c r="J1116" i="1"/>
  <c r="N1116" i="1"/>
  <c r="Q1116" i="1"/>
  <c r="A1117" i="1"/>
  <c r="J1117" i="1"/>
  <c r="N1117" i="1"/>
  <c r="Q1117" i="1"/>
  <c r="A1118" i="1"/>
  <c r="J1118" i="1"/>
  <c r="N1118" i="1"/>
  <c r="Q1118" i="1"/>
  <c r="A1119" i="1"/>
  <c r="J1119" i="1"/>
  <c r="N1119" i="1"/>
  <c r="Q1119" i="1"/>
  <c r="A1120" i="1"/>
  <c r="J1120" i="1"/>
  <c r="N1120" i="1"/>
  <c r="Q1120" i="1"/>
  <c r="A1121" i="1"/>
  <c r="J1121" i="1"/>
  <c r="N1121" i="1"/>
  <c r="Q1121" i="1"/>
  <c r="A1122" i="1"/>
  <c r="J1122" i="1"/>
  <c r="N1122" i="1"/>
  <c r="Q1122" i="1"/>
  <c r="A1123" i="1"/>
  <c r="J1123" i="1"/>
  <c r="N1123" i="1"/>
  <c r="Q1123" i="1"/>
  <c r="A1124" i="1"/>
  <c r="J1124" i="1"/>
  <c r="N1124" i="1"/>
  <c r="Q1124" i="1"/>
  <c r="A1125" i="1"/>
  <c r="J1125" i="1"/>
  <c r="N1125" i="1"/>
  <c r="Q1125" i="1"/>
  <c r="A1126" i="1"/>
  <c r="J1126" i="1"/>
  <c r="N1126" i="1"/>
  <c r="Q1126" i="1"/>
  <c r="A1127" i="1"/>
  <c r="J1127" i="1"/>
  <c r="N1127" i="1"/>
  <c r="Q1127" i="1"/>
  <c r="A1128" i="1"/>
  <c r="J1128" i="1"/>
  <c r="N1128" i="1"/>
  <c r="Q1128" i="1"/>
  <c r="A1129" i="1"/>
  <c r="J1129" i="1"/>
  <c r="N1129" i="1"/>
  <c r="Q1129" i="1"/>
  <c r="A1130" i="1"/>
  <c r="J1130" i="1"/>
  <c r="N1130" i="1"/>
  <c r="Q1130" i="1"/>
  <c r="A1131" i="1"/>
  <c r="J1131" i="1"/>
  <c r="N1131" i="1"/>
  <c r="Q1131" i="1"/>
  <c r="A1132" i="1"/>
  <c r="S1132" i="1" s="1"/>
  <c r="AA1132" i="1" s="1"/>
  <c r="J1132" i="1"/>
  <c r="N1132" i="1"/>
  <c r="Q1132" i="1"/>
  <c r="A1133" i="1"/>
  <c r="S1133" i="1" s="1"/>
  <c r="AA1133" i="1" s="1"/>
  <c r="J1133" i="1"/>
  <c r="N1133" i="1"/>
  <c r="Q1133" i="1"/>
  <c r="A1134" i="1"/>
  <c r="J1134" i="1"/>
  <c r="N1134" i="1"/>
  <c r="Q1134" i="1"/>
  <c r="A1135" i="1"/>
  <c r="S1135" i="1" s="1"/>
  <c r="AA1135" i="1" s="1"/>
  <c r="J1135" i="1"/>
  <c r="N1135" i="1"/>
  <c r="Q1135" i="1"/>
  <c r="A1136" i="1"/>
  <c r="J1136" i="1"/>
  <c r="N1136" i="1"/>
  <c r="Q1136" i="1"/>
  <c r="A1137" i="1"/>
  <c r="J1137" i="1"/>
  <c r="N1137" i="1"/>
  <c r="Q1137" i="1"/>
  <c r="A1138" i="1"/>
  <c r="J1138" i="1"/>
  <c r="N1138" i="1"/>
  <c r="Q1138" i="1"/>
  <c r="A1139" i="1"/>
  <c r="J1139" i="1"/>
  <c r="N1139" i="1"/>
  <c r="Q1139" i="1"/>
  <c r="A1140" i="1"/>
  <c r="S1140" i="1" s="1"/>
  <c r="AA1140" i="1" s="1"/>
  <c r="J1140" i="1"/>
  <c r="N1140" i="1"/>
  <c r="Q1140" i="1"/>
  <c r="A1141" i="1"/>
  <c r="J1141" i="1"/>
  <c r="N1141" i="1"/>
  <c r="Q1141" i="1"/>
  <c r="A1142" i="1"/>
  <c r="J1142" i="1"/>
  <c r="N1142" i="1"/>
  <c r="Q1142" i="1"/>
  <c r="A1143" i="1"/>
  <c r="J1143" i="1"/>
  <c r="N1143" i="1"/>
  <c r="Q1143" i="1"/>
  <c r="A1144" i="1"/>
  <c r="J1144" i="1"/>
  <c r="N1144" i="1"/>
  <c r="Q1144" i="1"/>
  <c r="A1145" i="1"/>
  <c r="J1145" i="1"/>
  <c r="N1145" i="1"/>
  <c r="Q1145" i="1"/>
  <c r="A1146" i="1"/>
  <c r="J1146" i="1"/>
  <c r="N1146" i="1"/>
  <c r="Q1146" i="1"/>
  <c r="A1147" i="1"/>
  <c r="J1147" i="1"/>
  <c r="N1147" i="1"/>
  <c r="Q1147" i="1"/>
  <c r="A1148" i="1"/>
  <c r="J1148" i="1"/>
  <c r="N1148" i="1"/>
  <c r="Q1148" i="1"/>
  <c r="A1149" i="1"/>
  <c r="J1149" i="1"/>
  <c r="N1149" i="1"/>
  <c r="Q1149" i="1"/>
  <c r="A1150" i="1"/>
  <c r="J1150" i="1"/>
  <c r="N1150" i="1"/>
  <c r="Q1150" i="1"/>
  <c r="A1151" i="1"/>
  <c r="J1151" i="1"/>
  <c r="N1151" i="1"/>
  <c r="Q1151" i="1"/>
  <c r="A1152" i="1"/>
  <c r="J1152" i="1"/>
  <c r="N1152" i="1"/>
  <c r="Q1152" i="1"/>
  <c r="A1153" i="1"/>
  <c r="J1153" i="1"/>
  <c r="N1153" i="1"/>
  <c r="Q1153" i="1"/>
  <c r="A1154" i="1"/>
  <c r="J1154" i="1"/>
  <c r="N1154" i="1"/>
  <c r="Q1154" i="1"/>
  <c r="A1155" i="1"/>
  <c r="J1155" i="1"/>
  <c r="N1155" i="1"/>
  <c r="Q1155" i="1"/>
  <c r="A1156" i="1"/>
  <c r="J1156" i="1"/>
  <c r="N1156" i="1"/>
  <c r="Q1156" i="1"/>
  <c r="A1157" i="1"/>
  <c r="J1157" i="1"/>
  <c r="N1157" i="1"/>
  <c r="Q1157" i="1"/>
  <c r="A1158" i="1"/>
  <c r="J1158" i="1"/>
  <c r="N1158" i="1"/>
  <c r="Q1158" i="1"/>
  <c r="A1159" i="1"/>
  <c r="J1159" i="1"/>
  <c r="N1159" i="1"/>
  <c r="Q1159" i="1"/>
  <c r="A1160" i="1"/>
  <c r="J1160" i="1"/>
  <c r="N1160" i="1"/>
  <c r="Q1160" i="1"/>
  <c r="A1161" i="1"/>
  <c r="J1161" i="1"/>
  <c r="N1161" i="1"/>
  <c r="Q1161" i="1"/>
  <c r="A1162" i="1"/>
  <c r="J1162" i="1"/>
  <c r="N1162" i="1"/>
  <c r="Q1162" i="1"/>
  <c r="A1163" i="1"/>
  <c r="J1163" i="1"/>
  <c r="N1163" i="1"/>
  <c r="Q1163" i="1"/>
  <c r="A1164" i="1"/>
  <c r="J1164" i="1"/>
  <c r="N1164" i="1"/>
  <c r="Q1164" i="1"/>
  <c r="A1165" i="1"/>
  <c r="J1165" i="1"/>
  <c r="N1165" i="1"/>
  <c r="Q1165" i="1"/>
  <c r="A1166" i="1"/>
  <c r="J1166" i="1"/>
  <c r="N1166" i="1"/>
  <c r="Q1166" i="1"/>
  <c r="A1167" i="1"/>
  <c r="J1167" i="1"/>
  <c r="N1167" i="1"/>
  <c r="Q1167" i="1"/>
  <c r="A1168" i="1"/>
  <c r="J1168" i="1"/>
  <c r="N1168" i="1"/>
  <c r="Q1168" i="1"/>
  <c r="A1169" i="1"/>
  <c r="J1169" i="1"/>
  <c r="N1169" i="1"/>
  <c r="Q1169" i="1"/>
  <c r="A1170" i="1"/>
  <c r="J1170" i="1"/>
  <c r="N1170" i="1"/>
  <c r="Q1170" i="1"/>
  <c r="A1171" i="1"/>
  <c r="J1171" i="1"/>
  <c r="N1171" i="1"/>
  <c r="Q1171" i="1"/>
  <c r="A1172" i="1"/>
  <c r="J1172" i="1"/>
  <c r="N1172" i="1"/>
  <c r="Q1172" i="1"/>
  <c r="A1173" i="1"/>
  <c r="J1173" i="1"/>
  <c r="N1173" i="1"/>
  <c r="Q1173" i="1"/>
  <c r="A1174" i="1"/>
  <c r="J1174" i="1"/>
  <c r="N1174" i="1"/>
  <c r="Q1174" i="1"/>
  <c r="A1175" i="1"/>
  <c r="J1175" i="1"/>
  <c r="N1175" i="1"/>
  <c r="Q1175" i="1"/>
  <c r="A1176" i="1"/>
  <c r="J1176" i="1"/>
  <c r="N1176" i="1"/>
  <c r="Q1176" i="1"/>
  <c r="A1177" i="1"/>
  <c r="J1177" i="1"/>
  <c r="N1177" i="1"/>
  <c r="Q1177" i="1"/>
  <c r="A1178" i="1"/>
  <c r="J1178" i="1"/>
  <c r="N1178" i="1"/>
  <c r="Q1178" i="1"/>
  <c r="A1179" i="1"/>
  <c r="J1179" i="1"/>
  <c r="N1179" i="1"/>
  <c r="Q1179" i="1"/>
  <c r="A1180" i="1"/>
  <c r="J1180" i="1"/>
  <c r="N1180" i="1"/>
  <c r="Q1180" i="1"/>
  <c r="A1181" i="1"/>
  <c r="J1181" i="1"/>
  <c r="N1181" i="1"/>
  <c r="Q1181" i="1"/>
  <c r="A1182" i="1"/>
  <c r="J1182" i="1"/>
  <c r="N1182" i="1"/>
  <c r="Q1182" i="1"/>
  <c r="A1183" i="1"/>
  <c r="J1183" i="1"/>
  <c r="N1183" i="1"/>
  <c r="Q1183" i="1"/>
  <c r="A1184" i="1"/>
  <c r="J1184" i="1"/>
  <c r="N1184" i="1"/>
  <c r="Q1184" i="1"/>
  <c r="A1185" i="1"/>
  <c r="J1185" i="1"/>
  <c r="N1185" i="1"/>
  <c r="Q1185" i="1"/>
  <c r="A1186" i="1"/>
  <c r="J1186" i="1"/>
  <c r="N1186" i="1"/>
  <c r="Q1186" i="1"/>
  <c r="A1187" i="1"/>
  <c r="J1187" i="1"/>
  <c r="N1187" i="1"/>
  <c r="Q1187" i="1"/>
  <c r="A1188" i="1"/>
  <c r="J1188" i="1"/>
  <c r="N1188" i="1"/>
  <c r="Q1188" i="1"/>
  <c r="A1189" i="1"/>
  <c r="J1189" i="1"/>
  <c r="N1189" i="1"/>
  <c r="Q1189" i="1"/>
  <c r="A1190" i="1"/>
  <c r="J1190" i="1"/>
  <c r="N1190" i="1"/>
  <c r="Q1190" i="1"/>
  <c r="A1191" i="1"/>
  <c r="J1191" i="1"/>
  <c r="N1191" i="1"/>
  <c r="Q1191" i="1"/>
  <c r="A1192" i="1"/>
  <c r="J1192" i="1"/>
  <c r="N1192" i="1"/>
  <c r="Q1192" i="1"/>
  <c r="A1193" i="1"/>
  <c r="J1193" i="1"/>
  <c r="N1193" i="1"/>
  <c r="Q1193" i="1"/>
  <c r="A1194" i="1"/>
  <c r="J1194" i="1"/>
  <c r="N1194" i="1"/>
  <c r="Q1194" i="1"/>
  <c r="A1195" i="1"/>
  <c r="J1195" i="1"/>
  <c r="N1195" i="1"/>
  <c r="Q1195" i="1"/>
  <c r="A1196" i="1"/>
  <c r="J1196" i="1"/>
  <c r="N1196" i="1"/>
  <c r="Q1196" i="1"/>
  <c r="A1197" i="1"/>
  <c r="J1197" i="1"/>
  <c r="N1197" i="1"/>
  <c r="Q1197" i="1"/>
  <c r="A1198" i="1"/>
  <c r="J1198" i="1"/>
  <c r="N1198" i="1"/>
  <c r="Q1198" i="1"/>
  <c r="A1199" i="1"/>
  <c r="J1199" i="1"/>
  <c r="N1199" i="1"/>
  <c r="Q1199" i="1"/>
  <c r="A1200" i="1"/>
  <c r="J1200" i="1"/>
  <c r="N1200" i="1"/>
  <c r="Q1200" i="1"/>
  <c r="A1201" i="1"/>
  <c r="J1201" i="1"/>
  <c r="N1201" i="1"/>
  <c r="Q1201" i="1"/>
  <c r="A1202" i="1"/>
  <c r="J1202" i="1"/>
  <c r="N1202" i="1"/>
  <c r="Q1202" i="1"/>
  <c r="A1203" i="1"/>
  <c r="J1203" i="1"/>
  <c r="N1203" i="1"/>
  <c r="Q1203" i="1"/>
  <c r="A1204" i="1"/>
  <c r="J1204" i="1"/>
  <c r="N1204" i="1"/>
  <c r="Q1204" i="1"/>
  <c r="A1205" i="1"/>
  <c r="S1205" i="1" s="1"/>
  <c r="AA1205" i="1" s="1"/>
  <c r="J1205" i="1"/>
  <c r="N1205" i="1"/>
  <c r="Q1205" i="1"/>
  <c r="A1206" i="1"/>
  <c r="J1206" i="1"/>
  <c r="N1206" i="1"/>
  <c r="Q1206" i="1"/>
  <c r="A1207" i="1"/>
  <c r="J1207" i="1"/>
  <c r="N1207" i="1"/>
  <c r="Q1207" i="1"/>
  <c r="A1208" i="1"/>
  <c r="J1208" i="1"/>
  <c r="N1208" i="1"/>
  <c r="Q1208" i="1"/>
  <c r="A1209" i="1"/>
  <c r="J1209" i="1"/>
  <c r="N1209" i="1"/>
  <c r="Q1209" i="1"/>
  <c r="A1210" i="1"/>
  <c r="J1210" i="1"/>
  <c r="N1210" i="1"/>
  <c r="Q1210" i="1"/>
  <c r="A1211" i="1"/>
  <c r="J1211" i="1"/>
  <c r="N1211" i="1"/>
  <c r="Q1211" i="1"/>
  <c r="A1212" i="1"/>
  <c r="J1212" i="1"/>
  <c r="N1212" i="1"/>
  <c r="Q1212" i="1"/>
  <c r="A1213" i="1"/>
  <c r="J1213" i="1"/>
  <c r="N1213" i="1"/>
  <c r="Q1213" i="1"/>
  <c r="A1214" i="1"/>
  <c r="J1214" i="1"/>
  <c r="N1214" i="1"/>
  <c r="Q1214" i="1"/>
  <c r="A1215" i="1"/>
  <c r="J1215" i="1"/>
  <c r="N1215" i="1"/>
  <c r="Q1215" i="1"/>
  <c r="A1216" i="1"/>
  <c r="J1216" i="1"/>
  <c r="N1216" i="1"/>
  <c r="Q1216" i="1"/>
  <c r="A1217" i="1"/>
  <c r="J1217" i="1"/>
  <c r="N1217" i="1"/>
  <c r="Q1217" i="1"/>
  <c r="A1218" i="1"/>
  <c r="J1218" i="1"/>
  <c r="N1218" i="1"/>
  <c r="Q1218" i="1"/>
  <c r="A1219" i="1"/>
  <c r="J1219" i="1"/>
  <c r="N1219" i="1"/>
  <c r="Q1219" i="1"/>
  <c r="A1220" i="1"/>
  <c r="J1220" i="1"/>
  <c r="N1220" i="1"/>
  <c r="Q1220" i="1"/>
  <c r="A1221" i="1"/>
  <c r="J1221" i="1"/>
  <c r="N1221" i="1"/>
  <c r="Q1221" i="1"/>
  <c r="A1222" i="1"/>
  <c r="J1222" i="1"/>
  <c r="N1222" i="1"/>
  <c r="Q1222" i="1"/>
  <c r="A1223" i="1"/>
  <c r="J1223" i="1"/>
  <c r="N1223" i="1"/>
  <c r="Q1223" i="1"/>
  <c r="A1224" i="1"/>
  <c r="J1224" i="1"/>
  <c r="N1224" i="1"/>
  <c r="Q1224" i="1"/>
  <c r="A1225" i="1"/>
  <c r="J1225" i="1"/>
  <c r="N1225" i="1"/>
  <c r="Q1225" i="1"/>
  <c r="A1226" i="1"/>
  <c r="J1226" i="1"/>
  <c r="N1226" i="1"/>
  <c r="Q1226" i="1"/>
  <c r="A1227" i="1"/>
  <c r="J1227" i="1"/>
  <c r="N1227" i="1"/>
  <c r="Q1227" i="1"/>
  <c r="A1228" i="1"/>
  <c r="J1228" i="1"/>
  <c r="N1228" i="1"/>
  <c r="Q1228" i="1"/>
  <c r="A1229" i="1"/>
  <c r="J1229" i="1"/>
  <c r="N1229" i="1"/>
  <c r="Q1229" i="1"/>
  <c r="A1230" i="1"/>
  <c r="J1230" i="1"/>
  <c r="N1230" i="1"/>
  <c r="Q1230" i="1"/>
  <c r="A1231" i="1"/>
  <c r="J1231" i="1"/>
  <c r="N1231" i="1"/>
  <c r="Q1231" i="1"/>
  <c r="A1232" i="1"/>
  <c r="J1232" i="1"/>
  <c r="N1232" i="1"/>
  <c r="Q1232" i="1"/>
  <c r="A1233" i="1"/>
  <c r="J1233" i="1"/>
  <c r="N1233" i="1"/>
  <c r="Q1233" i="1"/>
  <c r="A1234" i="1"/>
  <c r="J1234" i="1"/>
  <c r="N1234" i="1"/>
  <c r="Q1234" i="1"/>
  <c r="A1235" i="1"/>
  <c r="J1235" i="1"/>
  <c r="N1235" i="1"/>
  <c r="Q1235" i="1"/>
  <c r="A1236" i="1"/>
  <c r="J1236" i="1"/>
  <c r="N1236" i="1"/>
  <c r="Q1236" i="1"/>
  <c r="A1237" i="1"/>
  <c r="J1237" i="1"/>
  <c r="N1237" i="1"/>
  <c r="Q1237" i="1"/>
  <c r="A1238" i="1"/>
  <c r="J1238" i="1"/>
  <c r="N1238" i="1"/>
  <c r="Q1238" i="1"/>
  <c r="A1239" i="1"/>
  <c r="J1239" i="1"/>
  <c r="N1239" i="1"/>
  <c r="Q1239" i="1"/>
  <c r="A1240" i="1"/>
  <c r="J1240" i="1"/>
  <c r="N1240" i="1"/>
  <c r="Q1240" i="1"/>
  <c r="A1241" i="1"/>
  <c r="J1241" i="1"/>
  <c r="N1241" i="1"/>
  <c r="Q1241" i="1"/>
  <c r="A1242" i="1"/>
  <c r="J1242" i="1"/>
  <c r="N1242" i="1"/>
  <c r="Q1242" i="1"/>
  <c r="A1243" i="1"/>
  <c r="J1243" i="1"/>
  <c r="N1243" i="1"/>
  <c r="Q1243" i="1"/>
  <c r="A1244" i="1"/>
  <c r="J1244" i="1"/>
  <c r="N1244" i="1"/>
  <c r="Q1244" i="1"/>
  <c r="A1245" i="1"/>
  <c r="J1245" i="1"/>
  <c r="N1245" i="1"/>
  <c r="Q1245" i="1"/>
  <c r="A1246" i="1"/>
  <c r="J1246" i="1"/>
  <c r="N1246" i="1"/>
  <c r="Q1246" i="1"/>
  <c r="A1247" i="1"/>
  <c r="J1247" i="1"/>
  <c r="N1247" i="1"/>
  <c r="Q1247" i="1"/>
  <c r="A1248" i="1"/>
  <c r="J1248" i="1"/>
  <c r="N1248" i="1"/>
  <c r="Q1248" i="1"/>
  <c r="A1249" i="1"/>
  <c r="J1249" i="1"/>
  <c r="N1249" i="1"/>
  <c r="Q1249" i="1"/>
  <c r="A1250" i="1"/>
  <c r="J1250" i="1"/>
  <c r="N1250" i="1"/>
  <c r="Q1250" i="1"/>
  <c r="A1251" i="1"/>
  <c r="J1251" i="1"/>
  <c r="N1251" i="1"/>
  <c r="Q1251" i="1"/>
  <c r="A1252" i="1"/>
  <c r="J1252" i="1"/>
  <c r="N1252" i="1"/>
  <c r="Q1252" i="1"/>
  <c r="A1253" i="1"/>
  <c r="J1253" i="1"/>
  <c r="N1253" i="1"/>
  <c r="Q1253" i="1"/>
  <c r="A1254" i="1"/>
  <c r="J1254" i="1"/>
  <c r="N1254" i="1"/>
  <c r="Q1254" i="1"/>
  <c r="A1255" i="1"/>
  <c r="J1255" i="1"/>
  <c r="N1255" i="1"/>
  <c r="Q1255" i="1"/>
  <c r="A1256" i="1"/>
  <c r="J1256" i="1"/>
  <c r="N1256" i="1"/>
  <c r="Q1256" i="1"/>
  <c r="A1257" i="1"/>
  <c r="J1257" i="1"/>
  <c r="N1257" i="1"/>
  <c r="Q1257" i="1"/>
  <c r="A1258" i="1"/>
  <c r="J1258" i="1"/>
  <c r="N1258" i="1"/>
  <c r="Q1258" i="1"/>
  <c r="A1259" i="1"/>
  <c r="J1259" i="1"/>
  <c r="N1259" i="1"/>
  <c r="Q1259" i="1"/>
  <c r="A1260" i="1"/>
  <c r="J1260" i="1"/>
  <c r="N1260" i="1"/>
  <c r="Q1260" i="1"/>
  <c r="A1261" i="1"/>
  <c r="J1261" i="1"/>
  <c r="N1261" i="1"/>
  <c r="Q1261" i="1"/>
  <c r="A1262" i="1"/>
  <c r="J1262" i="1"/>
  <c r="N1262" i="1"/>
  <c r="Q1262" i="1"/>
  <c r="A1263" i="1"/>
  <c r="J1263" i="1"/>
  <c r="N1263" i="1"/>
  <c r="Q1263" i="1"/>
  <c r="A1264" i="1"/>
  <c r="J1264" i="1"/>
  <c r="N1264" i="1"/>
  <c r="Q1264" i="1"/>
  <c r="A1265" i="1"/>
  <c r="J1265" i="1"/>
  <c r="N1265" i="1"/>
  <c r="Q1265" i="1"/>
  <c r="A1266" i="1"/>
  <c r="J1266" i="1"/>
  <c r="N1266" i="1"/>
  <c r="Q1266" i="1"/>
  <c r="A1267" i="1"/>
  <c r="J1267" i="1"/>
  <c r="N1267" i="1"/>
  <c r="Q1267" i="1"/>
  <c r="A1268" i="1"/>
  <c r="J1268" i="1"/>
  <c r="N1268" i="1"/>
  <c r="Q1268" i="1"/>
  <c r="A1269" i="1"/>
  <c r="J1269" i="1"/>
  <c r="N1269" i="1"/>
  <c r="Q1269" i="1"/>
  <c r="A1270" i="1"/>
  <c r="J1270" i="1"/>
  <c r="N1270" i="1"/>
  <c r="Q1270" i="1"/>
  <c r="A1271" i="1"/>
  <c r="J1271" i="1"/>
  <c r="N1271" i="1"/>
  <c r="Q1271" i="1"/>
  <c r="A1272" i="1"/>
  <c r="J1272" i="1"/>
  <c r="N1272" i="1"/>
  <c r="Q1272" i="1"/>
  <c r="A1273" i="1"/>
  <c r="J1273" i="1"/>
  <c r="N1273" i="1"/>
  <c r="Q1273" i="1"/>
  <c r="A1274" i="1"/>
  <c r="J1274" i="1"/>
  <c r="N1274" i="1"/>
  <c r="Q1274" i="1"/>
  <c r="A1275" i="1"/>
  <c r="J1275" i="1"/>
  <c r="N1275" i="1"/>
  <c r="Q1275" i="1"/>
  <c r="A1276" i="1"/>
  <c r="S1276" i="1" s="1"/>
  <c r="AA1276" i="1" s="1"/>
  <c r="J1276" i="1"/>
  <c r="N1276" i="1"/>
  <c r="Q1276" i="1"/>
  <c r="A1277" i="1"/>
  <c r="J1277" i="1"/>
  <c r="N1277" i="1"/>
  <c r="Q1277" i="1"/>
  <c r="A1278" i="1"/>
  <c r="J1278" i="1"/>
  <c r="N1278" i="1"/>
  <c r="Q1278" i="1"/>
  <c r="A1279" i="1"/>
  <c r="J1279" i="1"/>
  <c r="N1279" i="1"/>
  <c r="Q1279" i="1"/>
  <c r="A1280" i="1"/>
  <c r="J1280" i="1"/>
  <c r="N1280" i="1"/>
  <c r="Q1280" i="1"/>
  <c r="A1281" i="1"/>
  <c r="J1281" i="1"/>
  <c r="N1281" i="1"/>
  <c r="Q1281" i="1"/>
  <c r="A1282" i="1"/>
  <c r="J1282" i="1"/>
  <c r="N1282" i="1"/>
  <c r="Q1282" i="1"/>
  <c r="A1283" i="1"/>
  <c r="J1283" i="1"/>
  <c r="N1283" i="1"/>
  <c r="Q1283" i="1"/>
  <c r="A1284" i="1"/>
  <c r="J1284" i="1"/>
  <c r="N1284" i="1"/>
  <c r="Q1284" i="1"/>
  <c r="A1285" i="1"/>
  <c r="J1285" i="1"/>
  <c r="N1285" i="1"/>
  <c r="Q1285" i="1"/>
  <c r="A1286" i="1"/>
  <c r="J1286" i="1"/>
  <c r="N1286" i="1"/>
  <c r="Q1286" i="1"/>
  <c r="A1287" i="1"/>
  <c r="J1287" i="1"/>
  <c r="N1287" i="1"/>
  <c r="Q1287" i="1"/>
  <c r="A1288" i="1"/>
  <c r="J1288" i="1"/>
  <c r="N1288" i="1"/>
  <c r="Q1288" i="1"/>
  <c r="A1289" i="1"/>
  <c r="J1289" i="1"/>
  <c r="N1289" i="1"/>
  <c r="Q1289" i="1"/>
  <c r="A1290" i="1"/>
  <c r="J1290" i="1"/>
  <c r="N1290" i="1"/>
  <c r="Q1290" i="1"/>
  <c r="A1291" i="1"/>
  <c r="J1291" i="1"/>
  <c r="N1291" i="1"/>
  <c r="Q1291" i="1"/>
  <c r="A1292" i="1"/>
  <c r="J1292" i="1"/>
  <c r="N1292" i="1"/>
  <c r="Q1292" i="1"/>
  <c r="A1293" i="1"/>
  <c r="J1293" i="1"/>
  <c r="N1293" i="1"/>
  <c r="Q1293" i="1"/>
  <c r="A1294" i="1"/>
  <c r="J1294" i="1"/>
  <c r="N1294" i="1"/>
  <c r="Q1294" i="1"/>
  <c r="A1295" i="1"/>
  <c r="J1295" i="1"/>
  <c r="N1295" i="1"/>
  <c r="Q1295" i="1"/>
  <c r="A1296" i="1"/>
  <c r="J1296" i="1"/>
  <c r="N1296" i="1"/>
  <c r="Q1296" i="1"/>
  <c r="A1297" i="1"/>
  <c r="J1297" i="1"/>
  <c r="N1297" i="1"/>
  <c r="Q1297" i="1"/>
  <c r="A1298" i="1"/>
  <c r="J1298" i="1"/>
  <c r="N1298" i="1"/>
  <c r="Q1298" i="1"/>
  <c r="A1299" i="1"/>
  <c r="J1299" i="1"/>
  <c r="N1299" i="1"/>
  <c r="Q1299" i="1"/>
  <c r="A1300" i="1"/>
  <c r="J1300" i="1"/>
  <c r="N1300" i="1"/>
  <c r="Q1300" i="1"/>
  <c r="A1301" i="1"/>
  <c r="J1301" i="1"/>
  <c r="N1301" i="1"/>
  <c r="Q1301" i="1"/>
  <c r="A1302" i="1"/>
  <c r="J1302" i="1"/>
  <c r="N1302" i="1"/>
  <c r="Q1302" i="1"/>
  <c r="A1303" i="1"/>
  <c r="J1303" i="1"/>
  <c r="N1303" i="1"/>
  <c r="Q1303" i="1"/>
  <c r="A1304" i="1"/>
  <c r="J1304" i="1"/>
  <c r="N1304" i="1"/>
  <c r="Q1304" i="1"/>
  <c r="A1305" i="1"/>
  <c r="J1305" i="1"/>
  <c r="N1305" i="1"/>
  <c r="Q1305" i="1"/>
  <c r="A1306" i="1"/>
  <c r="J1306" i="1"/>
  <c r="N1306" i="1"/>
  <c r="Q1306" i="1"/>
  <c r="A1307" i="1"/>
  <c r="J1307" i="1"/>
  <c r="N1307" i="1"/>
  <c r="Q1307" i="1"/>
  <c r="A1308" i="1"/>
  <c r="J1308" i="1"/>
  <c r="N1308" i="1"/>
  <c r="Q1308" i="1"/>
  <c r="A1309" i="1"/>
  <c r="J1309" i="1"/>
  <c r="N1309" i="1"/>
  <c r="Q1309" i="1"/>
  <c r="A1310" i="1"/>
  <c r="J1310" i="1"/>
  <c r="N1310" i="1"/>
  <c r="Q1310" i="1"/>
  <c r="A1311" i="1"/>
  <c r="J1311" i="1"/>
  <c r="N1311" i="1"/>
  <c r="Q1311" i="1"/>
  <c r="A1312" i="1"/>
  <c r="J1312" i="1"/>
  <c r="N1312" i="1"/>
  <c r="Q1312" i="1"/>
  <c r="A1313" i="1"/>
  <c r="J1313" i="1"/>
  <c r="N1313" i="1"/>
  <c r="Q1313" i="1"/>
  <c r="A1314" i="1"/>
  <c r="J1314" i="1"/>
  <c r="N1314" i="1"/>
  <c r="Q1314" i="1"/>
  <c r="A1315" i="1"/>
  <c r="J1315" i="1"/>
  <c r="N1315" i="1"/>
  <c r="Q1315" i="1"/>
  <c r="A1316" i="1"/>
  <c r="J1316" i="1"/>
  <c r="N1316" i="1"/>
  <c r="Q1316" i="1"/>
  <c r="A1317" i="1"/>
  <c r="J1317" i="1"/>
  <c r="N1317" i="1"/>
  <c r="Q1317" i="1"/>
  <c r="A1318" i="1"/>
  <c r="J1318" i="1"/>
  <c r="N1318" i="1"/>
  <c r="Q1318" i="1"/>
  <c r="A1319" i="1"/>
  <c r="J1319" i="1"/>
  <c r="N1319" i="1"/>
  <c r="Q1319" i="1"/>
  <c r="A1320" i="1"/>
  <c r="J1320" i="1"/>
  <c r="N1320" i="1"/>
  <c r="Q1320" i="1"/>
  <c r="A1321" i="1"/>
  <c r="J1321" i="1"/>
  <c r="N1321" i="1"/>
  <c r="Q1321" i="1"/>
  <c r="A1322" i="1"/>
  <c r="J1322" i="1"/>
  <c r="N1322" i="1"/>
  <c r="Q1322" i="1"/>
  <c r="A1323" i="1"/>
  <c r="J1323" i="1"/>
  <c r="N1323" i="1"/>
  <c r="Q1323" i="1"/>
  <c r="A1324" i="1"/>
  <c r="J1324" i="1"/>
  <c r="N1324" i="1"/>
  <c r="Q1324" i="1"/>
  <c r="A1325" i="1"/>
  <c r="J1325" i="1"/>
  <c r="N1325" i="1"/>
  <c r="Q1325" i="1"/>
  <c r="A1326" i="1"/>
  <c r="J1326" i="1"/>
  <c r="N1326" i="1"/>
  <c r="Q1326" i="1"/>
  <c r="A1327" i="1"/>
  <c r="J1327" i="1"/>
  <c r="N1327" i="1"/>
  <c r="Q1327" i="1"/>
  <c r="A1328" i="1"/>
  <c r="J1328" i="1"/>
  <c r="N1328" i="1"/>
  <c r="Q1328" i="1"/>
  <c r="A1329" i="1"/>
  <c r="J1329" i="1"/>
  <c r="N1329" i="1"/>
  <c r="Q1329" i="1"/>
  <c r="A1330" i="1"/>
  <c r="J1330" i="1"/>
  <c r="N1330" i="1"/>
  <c r="Q1330" i="1"/>
  <c r="A1331" i="1"/>
  <c r="J1331" i="1"/>
  <c r="N1331" i="1"/>
  <c r="Q1331" i="1"/>
  <c r="A1332" i="1"/>
  <c r="J1332" i="1"/>
  <c r="N1332" i="1"/>
  <c r="Q1332" i="1"/>
  <c r="A1333" i="1"/>
  <c r="J1333" i="1"/>
  <c r="N1333" i="1"/>
  <c r="Q1333" i="1"/>
  <c r="A1334" i="1"/>
  <c r="J1334" i="1"/>
  <c r="N1334" i="1"/>
  <c r="Q1334" i="1"/>
  <c r="A1335" i="1"/>
  <c r="J1335" i="1"/>
  <c r="N1335" i="1"/>
  <c r="Q1335" i="1"/>
  <c r="A1336" i="1"/>
  <c r="J1336" i="1"/>
  <c r="N1336" i="1"/>
  <c r="Q1336" i="1"/>
  <c r="A1337" i="1"/>
  <c r="J1337" i="1"/>
  <c r="N1337" i="1"/>
  <c r="Q1337" i="1"/>
  <c r="A1338" i="1"/>
  <c r="J1338" i="1"/>
  <c r="N1338" i="1"/>
  <c r="Q1338" i="1"/>
  <c r="A1339" i="1"/>
  <c r="J1339" i="1"/>
  <c r="N1339" i="1"/>
  <c r="Q1339" i="1"/>
  <c r="A1340" i="1"/>
  <c r="J1340" i="1"/>
  <c r="N1340" i="1"/>
  <c r="Q1340" i="1"/>
  <c r="A1341" i="1"/>
  <c r="J1341" i="1"/>
  <c r="N1341" i="1"/>
  <c r="Q1341" i="1"/>
  <c r="A1342" i="1"/>
  <c r="J1342" i="1"/>
  <c r="N1342" i="1"/>
  <c r="Q1342" i="1"/>
  <c r="A1343" i="1"/>
  <c r="J1343" i="1"/>
  <c r="N1343" i="1"/>
  <c r="Q1343" i="1"/>
  <c r="A1344" i="1"/>
  <c r="J1344" i="1"/>
  <c r="N1344" i="1"/>
  <c r="Q1344" i="1"/>
  <c r="A1345" i="1"/>
  <c r="J1345" i="1"/>
  <c r="N1345" i="1"/>
  <c r="Q1345" i="1"/>
  <c r="A1346" i="1"/>
  <c r="J1346" i="1"/>
  <c r="N1346" i="1"/>
  <c r="Q1346" i="1"/>
  <c r="A1347" i="1"/>
  <c r="J1347" i="1"/>
  <c r="N1347" i="1"/>
  <c r="Q1347" i="1"/>
  <c r="A1348" i="1"/>
  <c r="J1348" i="1"/>
  <c r="N1348" i="1"/>
  <c r="Q1348" i="1"/>
  <c r="A1349" i="1"/>
  <c r="J1349" i="1"/>
  <c r="N1349" i="1"/>
  <c r="Q1349" i="1"/>
  <c r="A1350" i="1"/>
  <c r="J1350" i="1"/>
  <c r="N1350" i="1"/>
  <c r="Q1350" i="1"/>
  <c r="A1351" i="1"/>
  <c r="J1351" i="1"/>
  <c r="N1351" i="1"/>
  <c r="Q1351" i="1"/>
  <c r="A1352" i="1"/>
  <c r="J1352" i="1"/>
  <c r="N1352" i="1"/>
  <c r="Q1352" i="1"/>
  <c r="A1353" i="1"/>
  <c r="J1353" i="1"/>
  <c r="N1353" i="1"/>
  <c r="Q1353" i="1"/>
  <c r="A1354" i="1"/>
  <c r="J1354" i="1"/>
  <c r="N1354" i="1"/>
  <c r="Q1354" i="1"/>
  <c r="A1355" i="1"/>
  <c r="J1355" i="1"/>
  <c r="N1355" i="1"/>
  <c r="Q1355" i="1"/>
  <c r="A1356" i="1"/>
  <c r="J1356" i="1"/>
  <c r="N1356" i="1"/>
  <c r="Q1356" i="1"/>
  <c r="A1357" i="1"/>
  <c r="J1357" i="1"/>
  <c r="N1357" i="1"/>
  <c r="Q1357" i="1"/>
  <c r="A1358" i="1"/>
  <c r="J1358" i="1"/>
  <c r="N1358" i="1"/>
  <c r="Q1358" i="1"/>
  <c r="A1359" i="1"/>
  <c r="J1359" i="1"/>
  <c r="N1359" i="1"/>
  <c r="Q1359" i="1"/>
  <c r="A1360" i="1"/>
  <c r="J1360" i="1"/>
  <c r="N1360" i="1"/>
  <c r="Q1360" i="1"/>
  <c r="A1361" i="1"/>
  <c r="J1361" i="1"/>
  <c r="N1361" i="1"/>
  <c r="Q1361" i="1"/>
  <c r="A1362" i="1"/>
  <c r="J1362" i="1"/>
  <c r="N1362" i="1"/>
  <c r="Q1362" i="1"/>
  <c r="A1363" i="1"/>
  <c r="J1363" i="1"/>
  <c r="N1363" i="1"/>
  <c r="Q1363" i="1"/>
  <c r="A1364" i="1"/>
  <c r="J1364" i="1"/>
  <c r="N1364" i="1"/>
  <c r="Q1364" i="1"/>
  <c r="A1365" i="1"/>
  <c r="J1365" i="1"/>
  <c r="N1365" i="1"/>
  <c r="Q1365" i="1"/>
  <c r="A1366" i="1"/>
  <c r="J1366" i="1"/>
  <c r="N1366" i="1"/>
  <c r="Q1366" i="1"/>
  <c r="A1367" i="1"/>
  <c r="J1367" i="1"/>
  <c r="N1367" i="1"/>
  <c r="Q1367" i="1"/>
  <c r="A1368" i="1"/>
  <c r="J1368" i="1"/>
  <c r="N1368" i="1"/>
  <c r="Q1368" i="1"/>
  <c r="A1369" i="1"/>
  <c r="J1369" i="1"/>
  <c r="N1369" i="1"/>
  <c r="Q1369" i="1"/>
  <c r="A1370" i="1"/>
  <c r="J1370" i="1"/>
  <c r="N1370" i="1"/>
  <c r="Q1370" i="1"/>
  <c r="A1371" i="1"/>
  <c r="J1371" i="1"/>
  <c r="N1371" i="1"/>
  <c r="Q1371" i="1"/>
  <c r="A1372" i="1"/>
  <c r="J1372" i="1"/>
  <c r="N1372" i="1"/>
  <c r="Q1372" i="1"/>
  <c r="A1373" i="1"/>
  <c r="J1373" i="1"/>
  <c r="N1373" i="1"/>
  <c r="Q1373" i="1"/>
  <c r="A1374" i="1"/>
  <c r="J1374" i="1"/>
  <c r="N1374" i="1"/>
  <c r="Q1374" i="1"/>
  <c r="A1375" i="1"/>
  <c r="S1375" i="1" s="1"/>
  <c r="AA1375" i="1" s="1"/>
  <c r="J1375" i="1"/>
  <c r="N1375" i="1"/>
  <c r="Q1375" i="1"/>
  <c r="A1376" i="1"/>
  <c r="J1376" i="1"/>
  <c r="N1376" i="1"/>
  <c r="Q1376" i="1"/>
  <c r="A1377" i="1"/>
  <c r="J1377" i="1"/>
  <c r="N1377" i="1"/>
  <c r="Q1377" i="1"/>
  <c r="A1378" i="1"/>
  <c r="J1378" i="1"/>
  <c r="N1378" i="1"/>
  <c r="Q1378" i="1"/>
  <c r="A1379" i="1"/>
  <c r="J1379" i="1"/>
  <c r="N1379" i="1"/>
  <c r="Q1379" i="1"/>
  <c r="A1380" i="1"/>
  <c r="S1380" i="1" s="1"/>
  <c r="AA1380" i="1" s="1"/>
  <c r="J1380" i="1"/>
  <c r="N1380" i="1"/>
  <c r="Q1380" i="1"/>
  <c r="A1381" i="1"/>
  <c r="S1381" i="1" s="1"/>
  <c r="AA1381" i="1" s="1"/>
  <c r="J1381" i="1"/>
  <c r="N1381" i="1"/>
  <c r="Q1381" i="1"/>
  <c r="A1382" i="1"/>
  <c r="J1382" i="1"/>
  <c r="N1382" i="1"/>
  <c r="Q1382" i="1"/>
  <c r="A1383" i="1"/>
  <c r="J1383" i="1"/>
  <c r="N1383" i="1"/>
  <c r="Q1383" i="1"/>
  <c r="A1384" i="1"/>
  <c r="J1384" i="1"/>
  <c r="N1384" i="1"/>
  <c r="Q1384" i="1"/>
  <c r="A1385" i="1"/>
  <c r="J1385" i="1"/>
  <c r="N1385" i="1"/>
  <c r="Q1385" i="1"/>
  <c r="A1386" i="1"/>
  <c r="J1386" i="1"/>
  <c r="N1386" i="1"/>
  <c r="Q1386" i="1"/>
  <c r="A1387" i="1"/>
  <c r="J1387" i="1"/>
  <c r="N1387" i="1"/>
  <c r="Q1387" i="1"/>
  <c r="A1388" i="1"/>
  <c r="J1388" i="1"/>
  <c r="N1388" i="1"/>
  <c r="Q1388" i="1"/>
  <c r="A1389" i="1"/>
  <c r="J1389" i="1"/>
  <c r="N1389" i="1"/>
  <c r="Q1389" i="1"/>
  <c r="A1390" i="1"/>
  <c r="J1390" i="1"/>
  <c r="N1390" i="1"/>
  <c r="Q1390" i="1"/>
  <c r="A1391" i="1"/>
  <c r="J1391" i="1"/>
  <c r="N1391" i="1"/>
  <c r="Q1391" i="1"/>
  <c r="A1392" i="1"/>
  <c r="J1392" i="1"/>
  <c r="N1392" i="1"/>
  <c r="Q1392" i="1"/>
  <c r="A1393" i="1"/>
  <c r="J1393" i="1"/>
  <c r="N1393" i="1"/>
  <c r="Q1393" i="1"/>
  <c r="A1394" i="1"/>
  <c r="J1394" i="1"/>
  <c r="N1394" i="1"/>
  <c r="Q1394" i="1"/>
  <c r="A1395" i="1"/>
  <c r="J1395" i="1"/>
  <c r="N1395" i="1"/>
  <c r="Q1395" i="1"/>
  <c r="A1396" i="1"/>
  <c r="J1396" i="1"/>
  <c r="N1396" i="1"/>
  <c r="Q1396" i="1"/>
  <c r="A1397" i="1"/>
  <c r="J1397" i="1"/>
  <c r="N1397" i="1"/>
  <c r="Q1397" i="1"/>
  <c r="A1398" i="1"/>
  <c r="J1398" i="1"/>
  <c r="N1398" i="1"/>
  <c r="Q1398" i="1"/>
  <c r="A1399" i="1"/>
  <c r="J1399" i="1"/>
  <c r="N1399" i="1"/>
  <c r="Q1399" i="1"/>
  <c r="A1400" i="1"/>
  <c r="J1400" i="1"/>
  <c r="N1400" i="1"/>
  <c r="Q1400" i="1"/>
  <c r="A1401" i="1"/>
  <c r="J1401" i="1"/>
  <c r="N1401" i="1"/>
  <c r="Q1401" i="1"/>
  <c r="A1402" i="1"/>
  <c r="J1402" i="1"/>
  <c r="N1402" i="1"/>
  <c r="Q1402" i="1"/>
  <c r="A1403" i="1"/>
  <c r="J1403" i="1"/>
  <c r="N1403" i="1"/>
  <c r="Q1403" i="1"/>
  <c r="A1404" i="1"/>
  <c r="J1404" i="1"/>
  <c r="N1404" i="1"/>
  <c r="Q1404" i="1"/>
  <c r="A1405" i="1"/>
  <c r="J1405" i="1"/>
  <c r="N1405" i="1"/>
  <c r="Q1405" i="1"/>
  <c r="A1406" i="1"/>
  <c r="J1406" i="1"/>
  <c r="N1406" i="1"/>
  <c r="Q1406" i="1"/>
  <c r="A1407" i="1"/>
  <c r="J1407" i="1"/>
  <c r="N1407" i="1"/>
  <c r="Q1407" i="1"/>
  <c r="A1408" i="1"/>
  <c r="J1408" i="1"/>
  <c r="N1408" i="1"/>
  <c r="Q1408" i="1"/>
  <c r="A1409" i="1"/>
  <c r="J1409" i="1"/>
  <c r="N1409" i="1"/>
  <c r="Q1409" i="1"/>
  <c r="A1410" i="1"/>
  <c r="J1410" i="1"/>
  <c r="N1410" i="1"/>
  <c r="Q1410" i="1"/>
  <c r="A1411" i="1"/>
  <c r="J1411" i="1"/>
  <c r="N1411" i="1"/>
  <c r="Q1411" i="1"/>
  <c r="A1412" i="1"/>
  <c r="J1412" i="1"/>
  <c r="N1412" i="1"/>
  <c r="Q1412" i="1"/>
  <c r="A1413" i="1"/>
  <c r="J1413" i="1"/>
  <c r="N1413" i="1"/>
  <c r="Q1413" i="1"/>
  <c r="A1414" i="1"/>
  <c r="J1414" i="1"/>
  <c r="N1414" i="1"/>
  <c r="Q1414" i="1"/>
  <c r="A1415" i="1"/>
  <c r="J1415" i="1"/>
  <c r="N1415" i="1"/>
  <c r="Q1415" i="1"/>
  <c r="A1416" i="1"/>
  <c r="J1416" i="1"/>
  <c r="N1416" i="1"/>
  <c r="Q1416" i="1"/>
  <c r="A1417" i="1"/>
  <c r="J1417" i="1"/>
  <c r="N1417" i="1"/>
  <c r="Q1417" i="1"/>
  <c r="A1418" i="1"/>
  <c r="J1418" i="1"/>
  <c r="N1418" i="1"/>
  <c r="Q1418" i="1"/>
  <c r="A1419" i="1"/>
  <c r="J1419" i="1"/>
  <c r="N1419" i="1"/>
  <c r="Q1419" i="1"/>
  <c r="A1420" i="1"/>
  <c r="J1420" i="1"/>
  <c r="N1420" i="1"/>
  <c r="Q1420" i="1"/>
  <c r="A1421" i="1"/>
  <c r="J1421" i="1"/>
  <c r="N1421" i="1"/>
  <c r="Q1421" i="1"/>
  <c r="A1422" i="1"/>
  <c r="J1422" i="1"/>
  <c r="N1422" i="1"/>
  <c r="Q1422" i="1"/>
  <c r="A1423" i="1"/>
  <c r="J1423" i="1"/>
  <c r="N1423" i="1"/>
  <c r="Q1423" i="1"/>
  <c r="A1424" i="1"/>
  <c r="J1424" i="1"/>
  <c r="N1424" i="1"/>
  <c r="Q1424" i="1"/>
  <c r="A1425" i="1"/>
  <c r="J1425" i="1"/>
  <c r="N1425" i="1"/>
  <c r="Q1425" i="1"/>
  <c r="A1426" i="1"/>
  <c r="J1426" i="1"/>
  <c r="N1426" i="1"/>
  <c r="Q1426" i="1"/>
  <c r="A1427" i="1"/>
  <c r="J1427" i="1"/>
  <c r="N1427" i="1"/>
  <c r="Q1427" i="1"/>
  <c r="A1428" i="1"/>
  <c r="J1428" i="1"/>
  <c r="N1428" i="1"/>
  <c r="Q1428" i="1"/>
  <c r="A1429" i="1"/>
  <c r="S1429" i="1" s="1"/>
  <c r="AA1429" i="1" s="1"/>
  <c r="J1429" i="1"/>
  <c r="N1429" i="1"/>
  <c r="Q1429" i="1"/>
  <c r="A1430" i="1"/>
  <c r="J1430" i="1"/>
  <c r="N1430" i="1"/>
  <c r="Q1430" i="1"/>
  <c r="A1431" i="1"/>
  <c r="J1431" i="1"/>
  <c r="N1431" i="1"/>
  <c r="Q1431" i="1"/>
  <c r="A1432" i="1"/>
  <c r="J1432" i="1"/>
  <c r="N1432" i="1"/>
  <c r="Q1432" i="1"/>
  <c r="A1433" i="1"/>
  <c r="J1433" i="1"/>
  <c r="N1433" i="1"/>
  <c r="Q1433" i="1"/>
  <c r="A1434" i="1"/>
  <c r="J1434" i="1"/>
  <c r="N1434" i="1"/>
  <c r="Q1434" i="1"/>
  <c r="A1435" i="1"/>
  <c r="J1435" i="1"/>
  <c r="N1435" i="1"/>
  <c r="Q1435" i="1"/>
  <c r="A1436" i="1"/>
  <c r="J1436" i="1"/>
  <c r="N1436" i="1"/>
  <c r="Q1436" i="1"/>
  <c r="A1437" i="1"/>
  <c r="J1437" i="1"/>
  <c r="N1437" i="1"/>
  <c r="Q1437" i="1"/>
  <c r="A1438" i="1"/>
  <c r="J1438" i="1"/>
  <c r="N1438" i="1"/>
  <c r="Q1438" i="1"/>
  <c r="A1439" i="1"/>
  <c r="J1439" i="1"/>
  <c r="N1439" i="1"/>
  <c r="Q1439" i="1"/>
  <c r="A1440" i="1"/>
  <c r="J1440" i="1"/>
  <c r="N1440" i="1"/>
  <c r="Q1440" i="1"/>
  <c r="A1441" i="1"/>
  <c r="J1441" i="1"/>
  <c r="N1441" i="1"/>
  <c r="Q1441" i="1"/>
  <c r="A1442" i="1"/>
  <c r="J1442" i="1"/>
  <c r="N1442" i="1"/>
  <c r="Q1442" i="1"/>
  <c r="A1443" i="1"/>
  <c r="J1443" i="1"/>
  <c r="N1443" i="1"/>
  <c r="Q1443" i="1"/>
  <c r="A1444" i="1"/>
  <c r="J1444" i="1"/>
  <c r="N1444" i="1"/>
  <c r="Q1444" i="1"/>
  <c r="A1445" i="1"/>
  <c r="J1445" i="1"/>
  <c r="N1445" i="1"/>
  <c r="Q1445" i="1"/>
  <c r="A1446" i="1"/>
  <c r="J1446" i="1"/>
  <c r="N1446" i="1"/>
  <c r="Q1446" i="1"/>
  <c r="A1447" i="1"/>
  <c r="J1447" i="1"/>
  <c r="N1447" i="1"/>
  <c r="Q1447" i="1"/>
  <c r="A1448" i="1"/>
  <c r="J1448" i="1"/>
  <c r="N1448" i="1"/>
  <c r="Q1448" i="1"/>
  <c r="A1449" i="1"/>
  <c r="J1449" i="1"/>
  <c r="N1449" i="1"/>
  <c r="Q1449" i="1"/>
  <c r="A1450" i="1"/>
  <c r="J1450" i="1"/>
  <c r="N1450" i="1"/>
  <c r="Q1450" i="1"/>
  <c r="A1451" i="1"/>
  <c r="J1451" i="1"/>
  <c r="N1451" i="1"/>
  <c r="Q1451" i="1"/>
  <c r="A1452" i="1"/>
  <c r="J1452" i="1"/>
  <c r="N1452" i="1"/>
  <c r="Q1452" i="1"/>
  <c r="A1453" i="1"/>
  <c r="J1453" i="1"/>
  <c r="N1453" i="1"/>
  <c r="Q1453" i="1"/>
  <c r="A1454" i="1"/>
  <c r="J1454" i="1"/>
  <c r="N1454" i="1"/>
  <c r="Q1454" i="1"/>
  <c r="A1455" i="1"/>
  <c r="J1455" i="1"/>
  <c r="N1455" i="1"/>
  <c r="Q1455" i="1"/>
  <c r="A1456" i="1"/>
  <c r="J1456" i="1"/>
  <c r="N1456" i="1"/>
  <c r="Q1456" i="1"/>
  <c r="A1457" i="1"/>
  <c r="J1457" i="1"/>
  <c r="N1457" i="1"/>
  <c r="Q1457" i="1"/>
  <c r="A1458" i="1"/>
  <c r="J1458" i="1"/>
  <c r="N1458" i="1"/>
  <c r="Q1458" i="1"/>
  <c r="A1459" i="1"/>
  <c r="S1459" i="1" s="1"/>
  <c r="AA1459" i="1" s="1"/>
  <c r="J1459" i="1"/>
  <c r="N1459" i="1"/>
  <c r="Q1459" i="1"/>
  <c r="A1460" i="1"/>
  <c r="J1460" i="1"/>
  <c r="N1460" i="1"/>
  <c r="Q1460" i="1"/>
  <c r="A1461" i="1"/>
  <c r="J1461" i="1"/>
  <c r="N1461" i="1"/>
  <c r="Q1461" i="1"/>
  <c r="A1462" i="1"/>
  <c r="J1462" i="1"/>
  <c r="N1462" i="1"/>
  <c r="Q1462" i="1"/>
  <c r="A1463" i="1"/>
  <c r="J1463" i="1"/>
  <c r="N1463" i="1"/>
  <c r="Q1463" i="1"/>
  <c r="A1464" i="1"/>
  <c r="J1464" i="1"/>
  <c r="N1464" i="1"/>
  <c r="Q1464" i="1"/>
  <c r="A1465" i="1"/>
  <c r="J1465" i="1"/>
  <c r="N1465" i="1"/>
  <c r="Q1465" i="1"/>
  <c r="A1466" i="1"/>
  <c r="J1466" i="1"/>
  <c r="N1466" i="1"/>
  <c r="Q1466" i="1"/>
  <c r="A1467" i="1"/>
  <c r="J1467" i="1"/>
  <c r="N1467" i="1"/>
  <c r="Q1467" i="1"/>
  <c r="A1468" i="1"/>
  <c r="J1468" i="1"/>
  <c r="N1468" i="1"/>
  <c r="Q1468" i="1"/>
  <c r="A1469" i="1"/>
  <c r="J1469" i="1"/>
  <c r="N1469" i="1"/>
  <c r="Q1469" i="1"/>
  <c r="A1470" i="1"/>
  <c r="J1470" i="1"/>
  <c r="N1470" i="1"/>
  <c r="Q1470" i="1"/>
  <c r="A1471" i="1"/>
  <c r="J1471" i="1"/>
  <c r="N1471" i="1"/>
  <c r="Q1471" i="1"/>
  <c r="A1472" i="1"/>
  <c r="J1472" i="1"/>
  <c r="N1472" i="1"/>
  <c r="Q1472" i="1"/>
  <c r="A1473" i="1"/>
  <c r="J1473" i="1"/>
  <c r="N1473" i="1"/>
  <c r="Q1473" i="1"/>
  <c r="A1474" i="1"/>
  <c r="J1474" i="1"/>
  <c r="N1474" i="1"/>
  <c r="Q1474" i="1"/>
  <c r="A1475" i="1"/>
  <c r="J1475" i="1"/>
  <c r="N1475" i="1"/>
  <c r="Q1475" i="1"/>
  <c r="A1476" i="1"/>
  <c r="J1476" i="1"/>
  <c r="N1476" i="1"/>
  <c r="Q1476" i="1"/>
  <c r="A1477" i="1"/>
  <c r="J1477" i="1"/>
  <c r="N1477" i="1"/>
  <c r="Q1477" i="1"/>
  <c r="A1478" i="1"/>
  <c r="J1478" i="1"/>
  <c r="N1478" i="1"/>
  <c r="Q1478" i="1"/>
  <c r="A1479" i="1"/>
  <c r="J1479" i="1"/>
  <c r="N1479" i="1"/>
  <c r="Q1479" i="1"/>
  <c r="A1480" i="1"/>
  <c r="J1480" i="1"/>
  <c r="N1480" i="1"/>
  <c r="Q1480" i="1"/>
  <c r="A1481" i="1"/>
  <c r="J1481" i="1"/>
  <c r="N1481" i="1"/>
  <c r="Q1481" i="1"/>
  <c r="A1482" i="1"/>
  <c r="J1482" i="1"/>
  <c r="N1482" i="1"/>
  <c r="Q1482" i="1"/>
  <c r="A1483" i="1"/>
  <c r="J1483" i="1"/>
  <c r="N1483" i="1"/>
  <c r="Q1483" i="1"/>
  <c r="A1484" i="1"/>
  <c r="J1484" i="1"/>
  <c r="N1484" i="1"/>
  <c r="Q1484" i="1"/>
  <c r="A1485" i="1"/>
  <c r="J1485" i="1"/>
  <c r="N1485" i="1"/>
  <c r="Q1485" i="1"/>
  <c r="A1486" i="1"/>
  <c r="J1486" i="1"/>
  <c r="N1486" i="1"/>
  <c r="Q1486" i="1"/>
  <c r="A1487" i="1"/>
  <c r="J1487" i="1"/>
  <c r="N1487" i="1"/>
  <c r="Q1487" i="1"/>
  <c r="A1488" i="1"/>
  <c r="J1488" i="1"/>
  <c r="N1488" i="1"/>
  <c r="Q1488" i="1"/>
  <c r="A1489" i="1"/>
  <c r="J1489" i="1"/>
  <c r="N1489" i="1"/>
  <c r="Q1489" i="1"/>
  <c r="A1490" i="1"/>
  <c r="J1490" i="1"/>
  <c r="N1490" i="1"/>
  <c r="Q1490" i="1"/>
  <c r="A1491" i="1"/>
  <c r="J1491" i="1"/>
  <c r="N1491" i="1"/>
  <c r="Q1491" i="1"/>
  <c r="A1492" i="1"/>
  <c r="J1492" i="1"/>
  <c r="N1492" i="1"/>
  <c r="Q1492" i="1"/>
  <c r="A1493" i="1"/>
  <c r="J1493" i="1"/>
  <c r="N1493" i="1"/>
  <c r="Q1493" i="1"/>
  <c r="A1494" i="1"/>
  <c r="J1494" i="1"/>
  <c r="N1494" i="1"/>
  <c r="Q1494" i="1"/>
  <c r="A1495" i="1"/>
  <c r="J1495" i="1"/>
  <c r="N1495" i="1"/>
  <c r="Q1495" i="1"/>
  <c r="A1496" i="1"/>
  <c r="J1496" i="1"/>
  <c r="N1496" i="1"/>
  <c r="Q1496" i="1"/>
  <c r="A1497" i="1"/>
  <c r="J1497" i="1"/>
  <c r="N1497" i="1"/>
  <c r="Q1497" i="1"/>
  <c r="A1498" i="1"/>
  <c r="J1498" i="1"/>
  <c r="N1498" i="1"/>
  <c r="Q1498" i="1"/>
  <c r="A1499" i="1"/>
  <c r="J1499" i="1"/>
  <c r="N1499" i="1"/>
  <c r="Q1499" i="1"/>
  <c r="A1500" i="1"/>
  <c r="J1500" i="1"/>
  <c r="N1500" i="1"/>
  <c r="Q1500" i="1"/>
  <c r="A1501" i="1"/>
  <c r="J1501" i="1"/>
  <c r="N1501" i="1"/>
  <c r="Q1501" i="1"/>
  <c r="A1502" i="1"/>
  <c r="J1502" i="1"/>
  <c r="N1502" i="1"/>
  <c r="Q1502" i="1"/>
  <c r="A1503" i="1"/>
  <c r="J1503" i="1"/>
  <c r="N1503" i="1"/>
  <c r="Q1503" i="1"/>
  <c r="A1504" i="1"/>
  <c r="J1504" i="1"/>
  <c r="N1504" i="1"/>
  <c r="Q1504" i="1"/>
  <c r="A1505" i="1"/>
  <c r="J1505" i="1"/>
  <c r="N1505" i="1"/>
  <c r="Q1505" i="1"/>
  <c r="A1506" i="1"/>
  <c r="J1506" i="1"/>
  <c r="N1506" i="1"/>
  <c r="Q1506" i="1"/>
  <c r="A1507" i="1"/>
  <c r="S1507" i="1" s="1"/>
  <c r="AA1507" i="1" s="1"/>
  <c r="J1507" i="1"/>
  <c r="N1507" i="1"/>
  <c r="Q1507" i="1"/>
  <c r="A1508" i="1"/>
  <c r="S1508" i="1" s="1"/>
  <c r="AA1508" i="1" s="1"/>
  <c r="J1508" i="1"/>
  <c r="N1508" i="1"/>
  <c r="Q1508" i="1"/>
  <c r="A1509" i="1"/>
  <c r="S1509" i="1" s="1"/>
  <c r="AA1509" i="1" s="1"/>
  <c r="J1509" i="1"/>
  <c r="N1509" i="1"/>
  <c r="Q1509" i="1"/>
  <c r="A1510" i="1"/>
  <c r="J1510" i="1"/>
  <c r="N1510" i="1"/>
  <c r="Q1510" i="1"/>
  <c r="A1511" i="1"/>
  <c r="J1511" i="1"/>
  <c r="N1511" i="1"/>
  <c r="Q1511" i="1"/>
  <c r="A1512" i="1"/>
  <c r="J1512" i="1"/>
  <c r="N1512" i="1"/>
  <c r="Q1512" i="1"/>
  <c r="A1513" i="1"/>
  <c r="J1513" i="1"/>
  <c r="N1513" i="1"/>
  <c r="Q1513" i="1"/>
  <c r="A1514" i="1"/>
  <c r="J1514" i="1"/>
  <c r="N1514" i="1"/>
  <c r="Q1514" i="1"/>
  <c r="A1515" i="1"/>
  <c r="J1515" i="1"/>
  <c r="N1515" i="1"/>
  <c r="Q1515" i="1"/>
  <c r="A1516" i="1"/>
  <c r="J1516" i="1"/>
  <c r="N1516" i="1"/>
  <c r="Q1516" i="1"/>
  <c r="A1517" i="1"/>
  <c r="J1517" i="1"/>
  <c r="N1517" i="1"/>
  <c r="Q1517" i="1"/>
  <c r="A1518" i="1"/>
  <c r="J1518" i="1"/>
  <c r="N1518" i="1"/>
  <c r="Q1518" i="1"/>
  <c r="A1519" i="1"/>
  <c r="J1519" i="1"/>
  <c r="N1519" i="1"/>
  <c r="Q1519" i="1"/>
  <c r="A1520" i="1"/>
  <c r="J1520" i="1"/>
  <c r="N1520" i="1"/>
  <c r="Q1520" i="1"/>
  <c r="A1521" i="1"/>
  <c r="J1521" i="1"/>
  <c r="N1521" i="1"/>
  <c r="Q1521" i="1"/>
  <c r="A1522" i="1"/>
  <c r="J1522" i="1"/>
  <c r="N1522" i="1"/>
  <c r="Q1522" i="1"/>
  <c r="A1523" i="1"/>
  <c r="J1523" i="1"/>
  <c r="N1523" i="1"/>
  <c r="Q1523" i="1"/>
  <c r="A1524" i="1"/>
  <c r="J1524" i="1"/>
  <c r="N1524" i="1"/>
  <c r="Q1524" i="1"/>
  <c r="A1525" i="1"/>
  <c r="J1525" i="1"/>
  <c r="N1525" i="1"/>
  <c r="Q1525" i="1"/>
  <c r="A1526" i="1"/>
  <c r="J1526" i="1"/>
  <c r="N1526" i="1"/>
  <c r="Q1526" i="1"/>
  <c r="A1527" i="1"/>
  <c r="J1527" i="1"/>
  <c r="N1527" i="1"/>
  <c r="Q1527" i="1"/>
  <c r="A1528" i="1"/>
  <c r="J1528" i="1"/>
  <c r="N1528" i="1"/>
  <c r="Q1528" i="1"/>
  <c r="A1529" i="1"/>
  <c r="J1529" i="1"/>
  <c r="N1529" i="1"/>
  <c r="Q1529" i="1"/>
  <c r="A1530" i="1"/>
  <c r="J1530" i="1"/>
  <c r="N1530" i="1"/>
  <c r="Q1530" i="1"/>
  <c r="A1531" i="1"/>
  <c r="J1531" i="1"/>
  <c r="N1531" i="1"/>
  <c r="Q1531" i="1"/>
  <c r="A1532" i="1"/>
  <c r="J1532" i="1"/>
  <c r="N1532" i="1"/>
  <c r="Q1532" i="1"/>
  <c r="A1533" i="1"/>
  <c r="J1533" i="1"/>
  <c r="N1533" i="1"/>
  <c r="Q1533" i="1"/>
  <c r="A1534" i="1"/>
  <c r="J1534" i="1"/>
  <c r="N1534" i="1"/>
  <c r="Q1534" i="1"/>
  <c r="A1535" i="1"/>
  <c r="J1535" i="1"/>
  <c r="N1535" i="1"/>
  <c r="Q1535" i="1"/>
  <c r="A1536" i="1"/>
  <c r="J1536" i="1"/>
  <c r="N1536" i="1"/>
  <c r="Q1536" i="1"/>
  <c r="A1537" i="1"/>
  <c r="J1537" i="1"/>
  <c r="N1537" i="1"/>
  <c r="Q1537" i="1"/>
  <c r="A1538" i="1"/>
  <c r="J1538" i="1"/>
  <c r="N1538" i="1"/>
  <c r="Q1538" i="1"/>
  <c r="A1539" i="1"/>
  <c r="S1539" i="1" s="1"/>
  <c r="AA1539" i="1" s="1"/>
  <c r="J1539" i="1"/>
  <c r="N1539" i="1"/>
  <c r="Q1539" i="1"/>
  <c r="A1540" i="1"/>
  <c r="J1540" i="1"/>
  <c r="N1540" i="1"/>
  <c r="Q1540" i="1"/>
  <c r="A1541" i="1"/>
  <c r="J1541" i="1"/>
  <c r="N1541" i="1"/>
  <c r="Q1541" i="1"/>
  <c r="A1542" i="1"/>
  <c r="J1542" i="1"/>
  <c r="N1542" i="1"/>
  <c r="Q1542" i="1"/>
  <c r="A1543" i="1"/>
  <c r="J1543" i="1"/>
  <c r="N1543" i="1"/>
  <c r="Q1543" i="1"/>
  <c r="A1544" i="1"/>
  <c r="J1544" i="1"/>
  <c r="N1544" i="1"/>
  <c r="Q1544" i="1"/>
  <c r="A1545" i="1"/>
  <c r="J1545" i="1"/>
  <c r="N1545" i="1"/>
  <c r="Q1545" i="1"/>
  <c r="A1546" i="1"/>
  <c r="J1546" i="1"/>
  <c r="N1546" i="1"/>
  <c r="Q1546" i="1"/>
  <c r="A1547" i="1"/>
  <c r="J1547" i="1"/>
  <c r="N1547" i="1"/>
  <c r="Q1547" i="1"/>
  <c r="A1548" i="1"/>
  <c r="J1548" i="1"/>
  <c r="N1548" i="1"/>
  <c r="Q1548" i="1"/>
  <c r="A1549" i="1"/>
  <c r="J1549" i="1"/>
  <c r="N1549" i="1"/>
  <c r="Q1549" i="1"/>
  <c r="A1550" i="1"/>
  <c r="J1550" i="1"/>
  <c r="N1550" i="1"/>
  <c r="Q1550" i="1"/>
  <c r="A1551" i="1"/>
  <c r="J1551" i="1"/>
  <c r="N1551" i="1"/>
  <c r="Q1551" i="1"/>
  <c r="A1552" i="1"/>
  <c r="J1552" i="1"/>
  <c r="N1552" i="1"/>
  <c r="Q1552" i="1"/>
  <c r="A1553" i="1"/>
  <c r="J1553" i="1"/>
  <c r="N1553" i="1"/>
  <c r="Q1553" i="1"/>
  <c r="A1554" i="1"/>
  <c r="J1554" i="1"/>
  <c r="N1554" i="1"/>
  <c r="Q1554" i="1"/>
  <c r="A1555" i="1"/>
  <c r="J1555" i="1"/>
  <c r="N1555" i="1"/>
  <c r="Q1555" i="1"/>
  <c r="A1556" i="1"/>
  <c r="J1556" i="1"/>
  <c r="N1556" i="1"/>
  <c r="Q1556" i="1"/>
  <c r="A1557" i="1"/>
  <c r="J1557" i="1"/>
  <c r="N1557" i="1"/>
  <c r="Q1557" i="1"/>
  <c r="A1558" i="1"/>
  <c r="J1558" i="1"/>
  <c r="N1558" i="1"/>
  <c r="Q1558" i="1"/>
  <c r="A1559" i="1"/>
  <c r="J1559" i="1"/>
  <c r="N1559" i="1"/>
  <c r="Q1559" i="1"/>
  <c r="A1560" i="1"/>
  <c r="J1560" i="1"/>
  <c r="N1560" i="1"/>
  <c r="Q1560" i="1"/>
  <c r="A1561" i="1"/>
  <c r="J1561" i="1"/>
  <c r="N1561" i="1"/>
  <c r="Q1561" i="1"/>
  <c r="A1562" i="1"/>
  <c r="J1562" i="1"/>
  <c r="N1562" i="1"/>
  <c r="Q1562" i="1"/>
  <c r="A1563" i="1"/>
  <c r="J1563" i="1"/>
  <c r="N1563" i="1"/>
  <c r="Q1563" i="1"/>
  <c r="A1564" i="1"/>
  <c r="J1564" i="1"/>
  <c r="N1564" i="1"/>
  <c r="Q1564" i="1"/>
  <c r="A1565" i="1"/>
  <c r="J1565" i="1"/>
  <c r="N1565" i="1"/>
  <c r="Q1565" i="1"/>
  <c r="A1566" i="1"/>
  <c r="J1566" i="1"/>
  <c r="N1566" i="1"/>
  <c r="Q1566" i="1"/>
  <c r="A1567" i="1"/>
  <c r="J1567" i="1"/>
  <c r="N1567" i="1"/>
  <c r="Q1567" i="1"/>
  <c r="A1568" i="1"/>
  <c r="J1568" i="1"/>
  <c r="N1568" i="1"/>
  <c r="Q1568" i="1"/>
  <c r="A1569" i="1"/>
  <c r="J1569" i="1"/>
  <c r="N1569" i="1"/>
  <c r="Q1569" i="1"/>
  <c r="A1570" i="1"/>
  <c r="J1570" i="1"/>
  <c r="N1570" i="1"/>
  <c r="Q1570" i="1"/>
  <c r="A1571" i="1"/>
  <c r="J1571" i="1"/>
  <c r="N1571" i="1"/>
  <c r="Q1571" i="1"/>
  <c r="A1572" i="1"/>
  <c r="J1572" i="1"/>
  <c r="N1572" i="1"/>
  <c r="Q1572" i="1"/>
  <c r="A1573" i="1"/>
  <c r="J1573" i="1"/>
  <c r="N1573" i="1"/>
  <c r="Q1573" i="1"/>
  <c r="A1574" i="1"/>
  <c r="J1574" i="1"/>
  <c r="N1574" i="1"/>
  <c r="Q1574" i="1"/>
  <c r="A1575" i="1"/>
  <c r="J1575" i="1"/>
  <c r="N1575" i="1"/>
  <c r="Q1575" i="1"/>
  <c r="A1576" i="1"/>
  <c r="J1576" i="1"/>
  <c r="N1576" i="1"/>
  <c r="Q1576" i="1"/>
  <c r="A1577" i="1"/>
  <c r="J1577" i="1"/>
  <c r="N1577" i="1"/>
  <c r="Q1577" i="1"/>
  <c r="A1578" i="1"/>
  <c r="J1578" i="1"/>
  <c r="N1578" i="1"/>
  <c r="Q1578" i="1"/>
  <c r="A1579" i="1"/>
  <c r="J1579" i="1"/>
  <c r="N1579" i="1"/>
  <c r="Q1579" i="1"/>
  <c r="A1580" i="1"/>
  <c r="J1580" i="1"/>
  <c r="N1580" i="1"/>
  <c r="Q1580" i="1"/>
  <c r="A1581" i="1"/>
  <c r="J1581" i="1"/>
  <c r="N1581" i="1"/>
  <c r="Q1581" i="1"/>
  <c r="A1582" i="1"/>
  <c r="J1582" i="1"/>
  <c r="N1582" i="1"/>
  <c r="Q1582" i="1"/>
  <c r="A1583" i="1"/>
  <c r="J1583" i="1"/>
  <c r="N1583" i="1"/>
  <c r="Q1583" i="1"/>
  <c r="A1584" i="1"/>
  <c r="J1584" i="1"/>
  <c r="N1584" i="1"/>
  <c r="Q1584" i="1"/>
  <c r="A1585" i="1"/>
  <c r="J1585" i="1"/>
  <c r="N1585" i="1"/>
  <c r="Q1585" i="1"/>
  <c r="A1586" i="1"/>
  <c r="J1586" i="1"/>
  <c r="N1586" i="1"/>
  <c r="Q1586" i="1"/>
  <c r="A1587" i="1"/>
  <c r="J1587" i="1"/>
  <c r="N1587" i="1"/>
  <c r="Q1587" i="1"/>
  <c r="A1588" i="1"/>
  <c r="J1588" i="1"/>
  <c r="N1588" i="1"/>
  <c r="Q1588" i="1"/>
  <c r="A1589" i="1"/>
  <c r="J1589" i="1"/>
  <c r="N1589" i="1"/>
  <c r="Q1589" i="1"/>
  <c r="A1590" i="1"/>
  <c r="J1590" i="1"/>
  <c r="N1590" i="1"/>
  <c r="Q1590" i="1"/>
  <c r="A1591" i="1"/>
  <c r="J1591" i="1"/>
  <c r="N1591" i="1"/>
  <c r="Q1591" i="1"/>
  <c r="A1592" i="1"/>
  <c r="J1592" i="1"/>
  <c r="N1592" i="1"/>
  <c r="Q1592" i="1"/>
  <c r="A1593" i="1"/>
  <c r="J1593" i="1"/>
  <c r="N1593" i="1"/>
  <c r="Q1593" i="1"/>
  <c r="A1594" i="1"/>
  <c r="J1594" i="1"/>
  <c r="N1594" i="1"/>
  <c r="Q1594" i="1"/>
  <c r="A1595" i="1"/>
  <c r="J1595" i="1"/>
  <c r="N1595" i="1"/>
  <c r="Q1595" i="1"/>
  <c r="A1596" i="1"/>
  <c r="J1596" i="1"/>
  <c r="N1596" i="1"/>
  <c r="Q1596" i="1"/>
  <c r="A1597" i="1"/>
  <c r="J1597" i="1"/>
  <c r="N1597" i="1"/>
  <c r="Q1597" i="1"/>
  <c r="A1598" i="1"/>
  <c r="J1598" i="1"/>
  <c r="N1598" i="1"/>
  <c r="Q1598" i="1"/>
  <c r="A1599" i="1"/>
  <c r="J1599" i="1"/>
  <c r="N1599" i="1"/>
  <c r="Q1599" i="1"/>
  <c r="A1600" i="1"/>
  <c r="J1600" i="1"/>
  <c r="N1600" i="1"/>
  <c r="Q1600" i="1"/>
  <c r="A1601" i="1"/>
  <c r="J1601" i="1"/>
  <c r="N1601" i="1"/>
  <c r="Q1601" i="1"/>
  <c r="A1602" i="1"/>
  <c r="J1602" i="1"/>
  <c r="N1602" i="1"/>
  <c r="Q1602" i="1"/>
  <c r="A1603" i="1"/>
  <c r="J1603" i="1"/>
  <c r="N1603" i="1"/>
  <c r="Q1603" i="1"/>
  <c r="A1604" i="1"/>
  <c r="S1604" i="1" s="1"/>
  <c r="AA1604" i="1" s="1"/>
  <c r="J1604" i="1"/>
  <c r="N1604" i="1"/>
  <c r="Q1604" i="1"/>
  <c r="A1605" i="1"/>
  <c r="S1605" i="1" s="1"/>
  <c r="AA1605" i="1" s="1"/>
  <c r="J1605" i="1"/>
  <c r="N1605" i="1"/>
  <c r="Q1605" i="1"/>
  <c r="A1606" i="1"/>
  <c r="J1606" i="1"/>
  <c r="N1606" i="1"/>
  <c r="Q1606" i="1"/>
  <c r="A1607" i="1"/>
  <c r="S1607" i="1" s="1"/>
  <c r="AA1607" i="1" s="1"/>
  <c r="J1607" i="1"/>
  <c r="N1607" i="1"/>
  <c r="Q1607" i="1"/>
  <c r="A1608" i="1"/>
  <c r="J1608" i="1"/>
  <c r="N1608" i="1"/>
  <c r="Q1608" i="1"/>
  <c r="A1609" i="1"/>
  <c r="J1609" i="1"/>
  <c r="N1609" i="1"/>
  <c r="Q1609" i="1"/>
  <c r="A1610" i="1"/>
  <c r="J1610" i="1"/>
  <c r="N1610" i="1"/>
  <c r="Q1610" i="1"/>
  <c r="A1611" i="1"/>
  <c r="J1611" i="1"/>
  <c r="N1611" i="1"/>
  <c r="Q1611" i="1"/>
  <c r="A1612" i="1"/>
  <c r="J1612" i="1"/>
  <c r="N1612" i="1"/>
  <c r="Q1612" i="1"/>
  <c r="A1613" i="1"/>
  <c r="J1613" i="1"/>
  <c r="N1613" i="1"/>
  <c r="Q1613" i="1"/>
  <c r="A1614" i="1"/>
  <c r="J1614" i="1"/>
  <c r="N1614" i="1"/>
  <c r="Q1614" i="1"/>
  <c r="A1615" i="1"/>
  <c r="J1615" i="1"/>
  <c r="N1615" i="1"/>
  <c r="Q1615" i="1"/>
  <c r="A1616" i="1"/>
  <c r="J1616" i="1"/>
  <c r="N1616" i="1"/>
  <c r="Q1616" i="1"/>
  <c r="A1617" i="1"/>
  <c r="J1617" i="1"/>
  <c r="N1617" i="1"/>
  <c r="Q1617" i="1"/>
  <c r="A1618" i="1"/>
  <c r="J1618" i="1"/>
  <c r="N1618" i="1"/>
  <c r="Q1618" i="1"/>
  <c r="A1619" i="1"/>
  <c r="J1619" i="1"/>
  <c r="N1619" i="1"/>
  <c r="Q1619" i="1"/>
  <c r="A1620" i="1"/>
  <c r="J1620" i="1"/>
  <c r="N1620" i="1"/>
  <c r="Q1620" i="1"/>
  <c r="A1621" i="1"/>
  <c r="J1621" i="1"/>
  <c r="N1621" i="1"/>
  <c r="Q1621" i="1"/>
  <c r="A1622" i="1"/>
  <c r="J1622" i="1"/>
  <c r="N1622" i="1"/>
  <c r="Q1622" i="1"/>
  <c r="A1623" i="1"/>
  <c r="J1623" i="1"/>
  <c r="N1623" i="1"/>
  <c r="Q1623" i="1"/>
  <c r="A1624" i="1"/>
  <c r="J1624" i="1"/>
  <c r="N1624" i="1"/>
  <c r="Q1624" i="1"/>
  <c r="A1625" i="1"/>
  <c r="J1625" i="1"/>
  <c r="N1625" i="1"/>
  <c r="Q1625" i="1"/>
  <c r="A1626" i="1"/>
  <c r="J1626" i="1"/>
  <c r="N1626" i="1"/>
  <c r="Q1626" i="1"/>
  <c r="A1627" i="1"/>
  <c r="J1627" i="1"/>
  <c r="N1627" i="1"/>
  <c r="Q1627" i="1"/>
  <c r="A1628" i="1"/>
  <c r="J1628" i="1"/>
  <c r="N1628" i="1"/>
  <c r="Q1628" i="1"/>
  <c r="A1629" i="1"/>
  <c r="S1629" i="1" s="1"/>
  <c r="AA1629" i="1" s="1"/>
  <c r="J1629" i="1"/>
  <c r="N1629" i="1"/>
  <c r="Q1629" i="1"/>
  <c r="A1630" i="1"/>
  <c r="J1630" i="1"/>
  <c r="N1630" i="1"/>
  <c r="Q1630" i="1"/>
  <c r="A1631" i="1"/>
  <c r="J1631" i="1"/>
  <c r="N1631" i="1"/>
  <c r="Q1631" i="1"/>
  <c r="A1632" i="1"/>
  <c r="J1632" i="1"/>
  <c r="N1632" i="1"/>
  <c r="Q1632" i="1"/>
  <c r="A1633" i="1"/>
  <c r="J1633" i="1"/>
  <c r="N1633" i="1"/>
  <c r="Q1633" i="1"/>
  <c r="A1634" i="1"/>
  <c r="J1634" i="1"/>
  <c r="N1634" i="1"/>
  <c r="Q1634" i="1"/>
  <c r="A1635" i="1"/>
  <c r="J1635" i="1"/>
  <c r="N1635" i="1"/>
  <c r="Q1635" i="1"/>
  <c r="A1636" i="1"/>
  <c r="J1636" i="1"/>
  <c r="N1636" i="1"/>
  <c r="Q1636" i="1"/>
  <c r="A1637" i="1"/>
  <c r="J1637" i="1"/>
  <c r="N1637" i="1"/>
  <c r="Q1637" i="1"/>
  <c r="A1638" i="1"/>
  <c r="J1638" i="1"/>
  <c r="N1638" i="1"/>
  <c r="Q1638" i="1"/>
  <c r="A1639" i="1"/>
  <c r="J1639" i="1"/>
  <c r="N1639" i="1"/>
  <c r="Q1639" i="1"/>
  <c r="A1640" i="1"/>
  <c r="J1640" i="1"/>
  <c r="N1640" i="1"/>
  <c r="Q1640" i="1"/>
  <c r="A1641" i="1"/>
  <c r="J1641" i="1"/>
  <c r="N1641" i="1"/>
  <c r="Q1641" i="1"/>
  <c r="A1642" i="1"/>
  <c r="J1642" i="1"/>
  <c r="N1642" i="1"/>
  <c r="Q1642" i="1"/>
  <c r="A1643" i="1"/>
  <c r="J1643" i="1"/>
  <c r="N1643" i="1"/>
  <c r="Q1643" i="1"/>
  <c r="A1644" i="1"/>
  <c r="J1644" i="1"/>
  <c r="N1644" i="1"/>
  <c r="Q1644" i="1"/>
  <c r="A1645" i="1"/>
  <c r="J1645" i="1"/>
  <c r="N1645" i="1"/>
  <c r="Q1645" i="1"/>
  <c r="A1646" i="1"/>
  <c r="J1646" i="1"/>
  <c r="N1646" i="1"/>
  <c r="Q1646" i="1"/>
  <c r="A1647" i="1"/>
  <c r="J1647" i="1"/>
  <c r="N1647" i="1"/>
  <c r="Q1647" i="1"/>
  <c r="A1648" i="1"/>
  <c r="J1648" i="1"/>
  <c r="N1648" i="1"/>
  <c r="Q1648" i="1"/>
  <c r="A1649" i="1"/>
  <c r="J1649" i="1"/>
  <c r="N1649" i="1"/>
  <c r="Q1649" i="1"/>
  <c r="A1650" i="1"/>
  <c r="J1650" i="1"/>
  <c r="N1650" i="1"/>
  <c r="Q1650" i="1"/>
  <c r="A1651" i="1"/>
  <c r="J1651" i="1"/>
  <c r="N1651" i="1"/>
  <c r="Q1651" i="1"/>
  <c r="A1652" i="1"/>
  <c r="J1652" i="1"/>
  <c r="N1652" i="1"/>
  <c r="Q1652" i="1"/>
  <c r="A1653" i="1"/>
  <c r="J1653" i="1"/>
  <c r="N1653" i="1"/>
  <c r="Q1653" i="1"/>
  <c r="A1654" i="1"/>
  <c r="J1654" i="1"/>
  <c r="N1654" i="1"/>
  <c r="Q1654" i="1"/>
  <c r="A1655" i="1"/>
  <c r="S1655" i="1" s="1"/>
  <c r="AA1655" i="1" s="1"/>
  <c r="J1655" i="1"/>
  <c r="N1655" i="1"/>
  <c r="Q1655" i="1"/>
  <c r="A1656" i="1"/>
  <c r="J1656" i="1"/>
  <c r="N1656" i="1"/>
  <c r="Q1656" i="1"/>
  <c r="A1657" i="1"/>
  <c r="J1657" i="1"/>
  <c r="N1657" i="1"/>
  <c r="Q1657" i="1"/>
  <c r="A1658" i="1"/>
  <c r="J1658" i="1"/>
  <c r="N1658" i="1"/>
  <c r="Q1658" i="1"/>
  <c r="A1659" i="1"/>
  <c r="J1659" i="1"/>
  <c r="N1659" i="1"/>
  <c r="Q1659" i="1"/>
  <c r="A1660" i="1"/>
  <c r="J1660" i="1"/>
  <c r="N1660" i="1"/>
  <c r="Q1660" i="1"/>
  <c r="A1661" i="1"/>
  <c r="J1661" i="1"/>
  <c r="N1661" i="1"/>
  <c r="Q1661" i="1"/>
  <c r="A1662" i="1"/>
  <c r="J1662" i="1"/>
  <c r="N1662" i="1"/>
  <c r="Q1662" i="1"/>
  <c r="A1663" i="1"/>
  <c r="J1663" i="1"/>
  <c r="N1663" i="1"/>
  <c r="Q1663" i="1"/>
  <c r="A1664" i="1"/>
  <c r="J1664" i="1"/>
  <c r="N1664" i="1"/>
  <c r="Q1664" i="1"/>
  <c r="A1665" i="1"/>
  <c r="J1665" i="1"/>
  <c r="N1665" i="1"/>
  <c r="Q1665" i="1"/>
  <c r="A1666" i="1"/>
  <c r="J1666" i="1"/>
  <c r="N1666" i="1"/>
  <c r="Q1666" i="1"/>
  <c r="A1667" i="1"/>
  <c r="J1667" i="1"/>
  <c r="N1667" i="1"/>
  <c r="Q1667" i="1"/>
  <c r="A1668" i="1"/>
  <c r="J1668" i="1"/>
  <c r="N1668" i="1"/>
  <c r="Q1668" i="1"/>
  <c r="A1669" i="1"/>
  <c r="J1669" i="1"/>
  <c r="N1669" i="1"/>
  <c r="Q1669" i="1"/>
  <c r="A1670" i="1"/>
  <c r="J1670" i="1"/>
  <c r="N1670" i="1"/>
  <c r="Q1670" i="1"/>
  <c r="A1671" i="1"/>
  <c r="J1671" i="1"/>
  <c r="N1671" i="1"/>
  <c r="Q1671" i="1"/>
  <c r="A1672" i="1"/>
  <c r="J1672" i="1"/>
  <c r="N1672" i="1"/>
  <c r="Q1672" i="1"/>
  <c r="A1673" i="1"/>
  <c r="J1673" i="1"/>
  <c r="N1673" i="1"/>
  <c r="Q1673" i="1"/>
  <c r="A1674" i="1"/>
  <c r="J1674" i="1"/>
  <c r="N1674" i="1"/>
  <c r="Q1674" i="1"/>
  <c r="A1675" i="1"/>
  <c r="J1675" i="1"/>
  <c r="N1675" i="1"/>
  <c r="Q1675" i="1"/>
  <c r="A1676" i="1"/>
  <c r="J1676" i="1"/>
  <c r="N1676" i="1"/>
  <c r="Q1676" i="1"/>
  <c r="A1677" i="1"/>
  <c r="J1677" i="1"/>
  <c r="N1677" i="1"/>
  <c r="Q1677" i="1"/>
  <c r="A1678" i="1"/>
  <c r="J1678" i="1"/>
  <c r="N1678" i="1"/>
  <c r="Q1678" i="1"/>
  <c r="A1679" i="1"/>
  <c r="J1679" i="1"/>
  <c r="N1679" i="1"/>
  <c r="Q1679" i="1"/>
  <c r="A1680" i="1"/>
  <c r="J1680" i="1"/>
  <c r="N1680" i="1"/>
  <c r="Q1680" i="1"/>
  <c r="A1681" i="1"/>
  <c r="J1681" i="1"/>
  <c r="N1681" i="1"/>
  <c r="Q1681" i="1"/>
  <c r="A1682" i="1"/>
  <c r="J1682" i="1"/>
  <c r="N1682" i="1"/>
  <c r="Q1682" i="1"/>
  <c r="A1683" i="1"/>
  <c r="S1683" i="1" s="1"/>
  <c r="AA1683" i="1" s="1"/>
  <c r="J1683" i="1"/>
  <c r="N1683" i="1"/>
  <c r="Q1683" i="1"/>
  <c r="A1684" i="1"/>
  <c r="S1684" i="1" s="1"/>
  <c r="AA1684" i="1" s="1"/>
  <c r="J1684" i="1"/>
  <c r="N1684" i="1"/>
  <c r="Q1684" i="1"/>
  <c r="A1685" i="1"/>
  <c r="S1685" i="1" s="1"/>
  <c r="AA1685" i="1" s="1"/>
  <c r="J1685" i="1"/>
  <c r="N1685" i="1"/>
  <c r="Q1685" i="1"/>
  <c r="A1686" i="1"/>
  <c r="J1686" i="1"/>
  <c r="N1686" i="1"/>
  <c r="Q1686" i="1"/>
  <c r="A1687" i="1"/>
  <c r="J1687" i="1"/>
  <c r="N1687" i="1"/>
  <c r="Q1687" i="1"/>
  <c r="A1688" i="1"/>
  <c r="J1688" i="1"/>
  <c r="N1688" i="1"/>
  <c r="Q1688" i="1"/>
  <c r="A1689" i="1"/>
  <c r="J1689" i="1"/>
  <c r="N1689" i="1"/>
  <c r="Q1689" i="1"/>
  <c r="A1690" i="1"/>
  <c r="J1690" i="1"/>
  <c r="N1690" i="1"/>
  <c r="Q1690" i="1"/>
  <c r="A1691" i="1"/>
  <c r="S1691" i="1" s="1"/>
  <c r="AA1691" i="1" s="1"/>
  <c r="J1691" i="1"/>
  <c r="N1691" i="1"/>
  <c r="Q1691" i="1"/>
  <c r="A1692" i="1"/>
  <c r="J1692" i="1"/>
  <c r="N1692" i="1"/>
  <c r="Q1692" i="1"/>
  <c r="A1693" i="1"/>
  <c r="J1693" i="1"/>
  <c r="N1693" i="1"/>
  <c r="Q1693" i="1"/>
  <c r="A1694" i="1"/>
  <c r="J1694" i="1"/>
  <c r="N1694" i="1"/>
  <c r="Q1694" i="1"/>
  <c r="A1695" i="1"/>
  <c r="J1695" i="1"/>
  <c r="N1695" i="1"/>
  <c r="Q1695" i="1"/>
  <c r="A1696" i="1"/>
  <c r="J1696" i="1"/>
  <c r="N1696" i="1"/>
  <c r="Q1696" i="1"/>
  <c r="A1697" i="1"/>
  <c r="J1697" i="1"/>
  <c r="N1697" i="1"/>
  <c r="Q1697" i="1"/>
  <c r="A1698" i="1"/>
  <c r="J1698" i="1"/>
  <c r="N1698" i="1"/>
  <c r="Q1698" i="1"/>
  <c r="A1699" i="1"/>
  <c r="J1699" i="1"/>
  <c r="N1699" i="1"/>
  <c r="Q1699" i="1"/>
  <c r="A1700" i="1"/>
  <c r="J1700" i="1"/>
  <c r="N1700" i="1"/>
  <c r="Q1700" i="1"/>
  <c r="A1701" i="1"/>
  <c r="J1701" i="1"/>
  <c r="N1701" i="1"/>
  <c r="Q1701" i="1"/>
  <c r="A1702" i="1"/>
  <c r="J1702" i="1"/>
  <c r="N1702" i="1"/>
  <c r="Q1702" i="1"/>
  <c r="A1703" i="1"/>
  <c r="J1703" i="1"/>
  <c r="N1703" i="1"/>
  <c r="Q1703" i="1"/>
  <c r="A1704" i="1"/>
  <c r="J1704" i="1"/>
  <c r="N1704" i="1"/>
  <c r="Q1704" i="1"/>
  <c r="A1705" i="1"/>
  <c r="J1705" i="1"/>
  <c r="N1705" i="1"/>
  <c r="Q1705" i="1"/>
  <c r="A1706" i="1"/>
  <c r="J1706" i="1"/>
  <c r="N1706" i="1"/>
  <c r="Q1706" i="1"/>
  <c r="A1707" i="1"/>
  <c r="J1707" i="1"/>
  <c r="N1707" i="1"/>
  <c r="Q1707" i="1"/>
  <c r="A1708" i="1"/>
  <c r="J1708" i="1"/>
  <c r="N1708" i="1"/>
  <c r="Q1708" i="1"/>
  <c r="A1709" i="1"/>
  <c r="J1709" i="1"/>
  <c r="N1709" i="1"/>
  <c r="Q1709" i="1"/>
  <c r="A1710" i="1"/>
  <c r="J1710" i="1"/>
  <c r="N1710" i="1"/>
  <c r="Q1710" i="1"/>
  <c r="A1711" i="1"/>
  <c r="J1711" i="1"/>
  <c r="N1711" i="1"/>
  <c r="Q1711" i="1"/>
  <c r="A1712" i="1"/>
  <c r="J1712" i="1"/>
  <c r="N1712" i="1"/>
  <c r="Q1712" i="1"/>
  <c r="A1713" i="1"/>
  <c r="S1713" i="1" s="1"/>
  <c r="AA1713" i="1" s="1"/>
  <c r="J1713" i="1"/>
  <c r="N1713" i="1"/>
  <c r="Q1713" i="1"/>
  <c r="A1714" i="1"/>
  <c r="J1714" i="1"/>
  <c r="N1714" i="1"/>
  <c r="Q1714" i="1"/>
  <c r="A1715" i="1"/>
  <c r="J1715" i="1"/>
  <c r="N1715" i="1"/>
  <c r="Q1715" i="1"/>
  <c r="A1716" i="1"/>
  <c r="J1716" i="1"/>
  <c r="N1716" i="1"/>
  <c r="Q1716" i="1"/>
  <c r="A1717" i="1"/>
  <c r="J1717" i="1"/>
  <c r="N1717" i="1"/>
  <c r="Q1717" i="1"/>
  <c r="A1718" i="1"/>
  <c r="J1718" i="1"/>
  <c r="N1718" i="1"/>
  <c r="Q1718" i="1"/>
  <c r="A1719" i="1"/>
  <c r="J1719" i="1"/>
  <c r="N1719" i="1"/>
  <c r="Q1719" i="1"/>
  <c r="A1720" i="1"/>
  <c r="J1720" i="1"/>
  <c r="N1720" i="1"/>
  <c r="Q1720" i="1"/>
  <c r="A1721" i="1"/>
  <c r="J1721" i="1"/>
  <c r="N1721" i="1"/>
  <c r="Q1721" i="1"/>
  <c r="A1722" i="1"/>
  <c r="J1722" i="1"/>
  <c r="N1722" i="1"/>
  <c r="Q1722" i="1"/>
  <c r="A1723" i="1"/>
  <c r="J1723" i="1"/>
  <c r="N1723" i="1"/>
  <c r="Q1723" i="1"/>
  <c r="A1724" i="1"/>
  <c r="J1724" i="1"/>
  <c r="N1724" i="1"/>
  <c r="Q1724" i="1"/>
  <c r="A1725" i="1"/>
  <c r="J1725" i="1"/>
  <c r="N1725" i="1"/>
  <c r="Q1725" i="1"/>
  <c r="A1726" i="1"/>
  <c r="J1726" i="1"/>
  <c r="N1726" i="1"/>
  <c r="Q1726" i="1"/>
  <c r="A1727" i="1"/>
  <c r="J1727" i="1"/>
  <c r="N1727" i="1"/>
  <c r="Q1727" i="1"/>
  <c r="A1728" i="1"/>
  <c r="J1728" i="1"/>
  <c r="N1728" i="1"/>
  <c r="Q1728" i="1"/>
  <c r="A1729" i="1"/>
  <c r="J1729" i="1"/>
  <c r="N1729" i="1"/>
  <c r="Q1729" i="1"/>
  <c r="A1730" i="1"/>
  <c r="J1730" i="1"/>
  <c r="N1730" i="1"/>
  <c r="Q1730" i="1"/>
  <c r="A1731" i="1"/>
  <c r="J1731" i="1"/>
  <c r="N1731" i="1"/>
  <c r="Q1731" i="1"/>
  <c r="A1732" i="1"/>
  <c r="S1732" i="1" s="1"/>
  <c r="AA1732" i="1" s="1"/>
  <c r="J1732" i="1"/>
  <c r="N1732" i="1"/>
  <c r="Q1732" i="1"/>
  <c r="A1733" i="1"/>
  <c r="J1733" i="1"/>
  <c r="N1733" i="1"/>
  <c r="Q1733" i="1"/>
  <c r="A1734" i="1"/>
  <c r="J1734" i="1"/>
  <c r="N1734" i="1"/>
  <c r="Q1734" i="1"/>
  <c r="A1735" i="1"/>
  <c r="J1735" i="1"/>
  <c r="N1735" i="1"/>
  <c r="Q1735" i="1"/>
  <c r="A1736" i="1"/>
  <c r="J1736" i="1"/>
  <c r="N1736" i="1"/>
  <c r="Q1736" i="1"/>
  <c r="A1737" i="1"/>
  <c r="J1737" i="1"/>
  <c r="N1737" i="1"/>
  <c r="Q1737" i="1"/>
  <c r="A1738" i="1"/>
  <c r="J1738" i="1"/>
  <c r="N1738" i="1"/>
  <c r="Q1738" i="1"/>
  <c r="A1739" i="1"/>
  <c r="J1739" i="1"/>
  <c r="N1739" i="1"/>
  <c r="Q1739" i="1"/>
  <c r="A1740" i="1"/>
  <c r="J1740" i="1"/>
  <c r="N1740" i="1"/>
  <c r="Q1740" i="1"/>
  <c r="A1741" i="1"/>
  <c r="J1741" i="1"/>
  <c r="N1741" i="1"/>
  <c r="Q1741" i="1"/>
  <c r="A1742" i="1"/>
  <c r="J1742" i="1"/>
  <c r="N1742" i="1"/>
  <c r="Q1742" i="1"/>
  <c r="A1743" i="1"/>
  <c r="J1743" i="1"/>
  <c r="N1743" i="1"/>
  <c r="Q1743" i="1"/>
  <c r="A1744" i="1"/>
  <c r="J1744" i="1"/>
  <c r="N1744" i="1"/>
  <c r="Q1744" i="1"/>
  <c r="A1745" i="1"/>
  <c r="J1745" i="1"/>
  <c r="N1745" i="1"/>
  <c r="Q1745" i="1"/>
  <c r="A1746" i="1"/>
  <c r="J1746" i="1"/>
  <c r="N1746" i="1"/>
  <c r="Q1746" i="1"/>
  <c r="A1747" i="1"/>
  <c r="J1747" i="1"/>
  <c r="N1747" i="1"/>
  <c r="Q1747" i="1"/>
  <c r="A1748" i="1"/>
  <c r="J1748" i="1"/>
  <c r="N1748" i="1"/>
  <c r="Q1748" i="1"/>
  <c r="A1749" i="1"/>
  <c r="J1749" i="1"/>
  <c r="N1749" i="1"/>
  <c r="Q1749" i="1"/>
  <c r="A1750" i="1"/>
  <c r="J1750" i="1"/>
  <c r="N1750" i="1"/>
  <c r="Q1750" i="1"/>
  <c r="A1751" i="1"/>
  <c r="J1751" i="1"/>
  <c r="N1751" i="1"/>
  <c r="Q1751" i="1"/>
  <c r="A1752" i="1"/>
  <c r="J1752" i="1"/>
  <c r="N1752" i="1"/>
  <c r="Q1752" i="1"/>
  <c r="A1753" i="1"/>
  <c r="J1753" i="1"/>
  <c r="N1753" i="1"/>
  <c r="Q1753" i="1"/>
  <c r="A1754" i="1"/>
  <c r="J1754" i="1"/>
  <c r="N1754" i="1"/>
  <c r="Q1754" i="1"/>
  <c r="A1755" i="1"/>
  <c r="J1755" i="1"/>
  <c r="N1755" i="1"/>
  <c r="Q1755" i="1"/>
  <c r="A1756" i="1"/>
  <c r="J1756" i="1"/>
  <c r="N1756" i="1"/>
  <c r="Q1756" i="1"/>
  <c r="A1757" i="1"/>
  <c r="J1757" i="1"/>
  <c r="N1757" i="1"/>
  <c r="Q1757" i="1"/>
  <c r="A1758" i="1"/>
  <c r="J1758" i="1"/>
  <c r="N1758" i="1"/>
  <c r="Q1758" i="1"/>
  <c r="A1759" i="1"/>
  <c r="J1759" i="1"/>
  <c r="N1759" i="1"/>
  <c r="Q1759" i="1"/>
  <c r="A1760" i="1"/>
  <c r="J1760" i="1"/>
  <c r="N1760" i="1"/>
  <c r="Q1760" i="1"/>
  <c r="A1761" i="1"/>
  <c r="J1761" i="1"/>
  <c r="N1761" i="1"/>
  <c r="Q1761" i="1"/>
  <c r="A1762" i="1"/>
  <c r="J1762" i="1"/>
  <c r="N1762" i="1"/>
  <c r="Q1762" i="1"/>
  <c r="A1763" i="1"/>
  <c r="J1763" i="1"/>
  <c r="N1763" i="1"/>
  <c r="Q1763" i="1"/>
  <c r="A1764" i="1"/>
  <c r="J1764" i="1"/>
  <c r="N1764" i="1"/>
  <c r="Q1764" i="1"/>
  <c r="A1765" i="1"/>
  <c r="J1765" i="1"/>
  <c r="N1765" i="1"/>
  <c r="Q1765" i="1"/>
  <c r="A1766" i="1"/>
  <c r="J1766" i="1"/>
  <c r="N1766" i="1"/>
  <c r="Q1766" i="1"/>
  <c r="A1767" i="1"/>
  <c r="S1767" i="1" s="1"/>
  <c r="AA1767" i="1" s="1"/>
  <c r="J1767" i="1"/>
  <c r="N1767" i="1"/>
  <c r="Q1767" i="1"/>
  <c r="A1768" i="1"/>
  <c r="S1768" i="1" s="1"/>
  <c r="AA1768" i="1" s="1"/>
  <c r="J1768" i="1"/>
  <c r="N1768" i="1"/>
  <c r="Q1768" i="1"/>
  <c r="A1769" i="1"/>
  <c r="J1769" i="1"/>
  <c r="N1769" i="1"/>
  <c r="Q1769" i="1"/>
  <c r="A1770" i="1"/>
  <c r="J1770" i="1"/>
  <c r="N1770" i="1"/>
  <c r="Q1770" i="1"/>
  <c r="A1771" i="1"/>
  <c r="J1771" i="1"/>
  <c r="N1771" i="1"/>
  <c r="Q1771" i="1"/>
  <c r="A1772" i="1"/>
  <c r="J1772" i="1"/>
  <c r="N1772" i="1"/>
  <c r="Q1772" i="1"/>
  <c r="A1773" i="1"/>
  <c r="J1773" i="1"/>
  <c r="N1773" i="1"/>
  <c r="Q1773" i="1"/>
  <c r="A1774" i="1"/>
  <c r="J1774" i="1"/>
  <c r="N1774" i="1"/>
  <c r="Q1774" i="1"/>
  <c r="A1775" i="1"/>
  <c r="J1775" i="1"/>
  <c r="N1775" i="1"/>
  <c r="Q1775" i="1"/>
  <c r="A1776" i="1"/>
  <c r="J1776" i="1"/>
  <c r="N1776" i="1"/>
  <c r="Q1776" i="1"/>
  <c r="A1777" i="1"/>
  <c r="J1777" i="1"/>
  <c r="N1777" i="1"/>
  <c r="Q1777" i="1"/>
  <c r="A1778" i="1"/>
  <c r="J1778" i="1"/>
  <c r="N1778" i="1"/>
  <c r="Q1778" i="1"/>
  <c r="A1779" i="1"/>
  <c r="J1779" i="1"/>
  <c r="N1779" i="1"/>
  <c r="Q1779" i="1"/>
  <c r="A1780" i="1"/>
  <c r="J1780" i="1"/>
  <c r="N1780" i="1"/>
  <c r="Q1780" i="1"/>
  <c r="A1781" i="1"/>
  <c r="J1781" i="1"/>
  <c r="N1781" i="1"/>
  <c r="Q1781" i="1"/>
  <c r="A1782" i="1"/>
  <c r="J1782" i="1"/>
  <c r="N1782" i="1"/>
  <c r="Q1782" i="1"/>
  <c r="A1783" i="1"/>
  <c r="J1783" i="1"/>
  <c r="N1783" i="1"/>
  <c r="Q1783" i="1"/>
  <c r="A1784" i="1"/>
  <c r="J1784" i="1"/>
  <c r="N1784" i="1"/>
  <c r="Q1784" i="1"/>
  <c r="A1785" i="1"/>
  <c r="J1785" i="1"/>
  <c r="N1785" i="1"/>
  <c r="Q1785" i="1"/>
  <c r="A1786" i="1"/>
  <c r="J1786" i="1"/>
  <c r="N1786" i="1"/>
  <c r="Q1786" i="1"/>
  <c r="A1787" i="1"/>
  <c r="S1787" i="1" s="1"/>
  <c r="AA1787" i="1" s="1"/>
  <c r="J1787" i="1"/>
  <c r="N1787" i="1"/>
  <c r="Q1787" i="1"/>
  <c r="A1788" i="1"/>
  <c r="J1788" i="1"/>
  <c r="N1788" i="1"/>
  <c r="Q1788" i="1"/>
  <c r="A1789" i="1"/>
  <c r="J1789" i="1"/>
  <c r="N1789" i="1"/>
  <c r="Q1789" i="1"/>
  <c r="A1790" i="1"/>
  <c r="J1790" i="1"/>
  <c r="N1790" i="1"/>
  <c r="Q1790" i="1"/>
  <c r="A1791" i="1"/>
  <c r="J1791" i="1"/>
  <c r="N1791" i="1"/>
  <c r="Q1791" i="1"/>
  <c r="A1792" i="1"/>
  <c r="J1792" i="1"/>
  <c r="N1792" i="1"/>
  <c r="Q1792" i="1"/>
  <c r="A1793" i="1"/>
  <c r="J1793" i="1"/>
  <c r="N1793" i="1"/>
  <c r="Q1793" i="1"/>
  <c r="A1794" i="1"/>
  <c r="J1794" i="1"/>
  <c r="N1794" i="1"/>
  <c r="Q1794" i="1"/>
  <c r="A1795" i="1"/>
  <c r="J1795" i="1"/>
  <c r="N1795" i="1"/>
  <c r="Q1795" i="1"/>
  <c r="A1796" i="1"/>
  <c r="J1796" i="1"/>
  <c r="N1796" i="1"/>
  <c r="Q1796" i="1"/>
  <c r="A1797" i="1"/>
  <c r="J1797" i="1"/>
  <c r="N1797" i="1"/>
  <c r="Q1797" i="1"/>
  <c r="A1798" i="1"/>
  <c r="J1798" i="1"/>
  <c r="N1798" i="1"/>
  <c r="Q1798" i="1"/>
  <c r="A1799" i="1"/>
  <c r="J1799" i="1"/>
  <c r="N1799" i="1"/>
  <c r="Q1799" i="1"/>
  <c r="A1800" i="1"/>
  <c r="J1800" i="1"/>
  <c r="N1800" i="1"/>
  <c r="Q1800" i="1"/>
  <c r="A1801" i="1"/>
  <c r="J1801" i="1"/>
  <c r="N1801" i="1"/>
  <c r="Q1801" i="1"/>
  <c r="A1802" i="1"/>
  <c r="J1802" i="1"/>
  <c r="N1802" i="1"/>
  <c r="Q1802" i="1"/>
  <c r="A1803" i="1"/>
  <c r="J1803" i="1"/>
  <c r="N1803" i="1"/>
  <c r="Q1803" i="1"/>
  <c r="A1804" i="1"/>
  <c r="J1804" i="1"/>
  <c r="N1804" i="1"/>
  <c r="Q1804" i="1"/>
  <c r="A1805" i="1"/>
  <c r="J1805" i="1"/>
  <c r="N1805" i="1"/>
  <c r="Q1805" i="1"/>
  <c r="A1806" i="1"/>
  <c r="J1806" i="1"/>
  <c r="N1806" i="1"/>
  <c r="Q1806" i="1"/>
  <c r="A1807" i="1"/>
  <c r="J1807" i="1"/>
  <c r="N1807" i="1"/>
  <c r="Q1807" i="1"/>
  <c r="A1808" i="1"/>
  <c r="J1808" i="1"/>
  <c r="N1808" i="1"/>
  <c r="Q1808" i="1"/>
  <c r="A1809" i="1"/>
  <c r="J1809" i="1"/>
  <c r="N1809" i="1"/>
  <c r="Q1809" i="1"/>
  <c r="A1810" i="1"/>
  <c r="J1810" i="1"/>
  <c r="N1810" i="1"/>
  <c r="Q1810" i="1"/>
  <c r="A1811" i="1"/>
  <c r="J1811" i="1"/>
  <c r="N1811" i="1"/>
  <c r="Q1811" i="1"/>
  <c r="A1812" i="1"/>
  <c r="J1812" i="1"/>
  <c r="N1812" i="1"/>
  <c r="Q1812" i="1"/>
  <c r="A1813" i="1"/>
  <c r="J1813" i="1"/>
  <c r="N1813" i="1"/>
  <c r="Q1813" i="1"/>
  <c r="A1814" i="1"/>
  <c r="J1814" i="1"/>
  <c r="N1814" i="1"/>
  <c r="Q1814" i="1"/>
  <c r="A1815" i="1"/>
  <c r="J1815" i="1"/>
  <c r="N1815" i="1"/>
  <c r="Q1815" i="1"/>
  <c r="A1816" i="1"/>
  <c r="J1816" i="1"/>
  <c r="N1816" i="1"/>
  <c r="Q1816" i="1"/>
  <c r="A1817" i="1"/>
  <c r="J1817" i="1"/>
  <c r="N1817" i="1"/>
  <c r="Q1817" i="1"/>
  <c r="A1818" i="1"/>
  <c r="J1818" i="1"/>
  <c r="N1818" i="1"/>
  <c r="Q1818" i="1"/>
  <c r="A1819" i="1"/>
  <c r="J1819" i="1"/>
  <c r="N1819" i="1"/>
  <c r="Q1819" i="1"/>
  <c r="A1820" i="1"/>
  <c r="J1820" i="1"/>
  <c r="N1820" i="1"/>
  <c r="Q1820" i="1"/>
  <c r="A1821" i="1"/>
  <c r="J1821" i="1"/>
  <c r="N1821" i="1"/>
  <c r="Q1821" i="1"/>
  <c r="A1822" i="1"/>
  <c r="J1822" i="1"/>
  <c r="N1822" i="1"/>
  <c r="Q1822" i="1"/>
  <c r="A1823" i="1"/>
  <c r="J1823" i="1"/>
  <c r="N1823" i="1"/>
  <c r="Q1823" i="1"/>
  <c r="A1824" i="1"/>
  <c r="J1824" i="1"/>
  <c r="N1824" i="1"/>
  <c r="Q1824" i="1"/>
  <c r="A1825" i="1"/>
  <c r="J1825" i="1"/>
  <c r="N1825" i="1"/>
  <c r="Q1825" i="1"/>
  <c r="A1826" i="1"/>
  <c r="J1826" i="1"/>
  <c r="N1826" i="1"/>
  <c r="Q1826" i="1"/>
  <c r="A1827" i="1"/>
  <c r="J1827" i="1"/>
  <c r="N1827" i="1"/>
  <c r="Q1827" i="1"/>
  <c r="A1828" i="1"/>
  <c r="J1828" i="1"/>
  <c r="N1828" i="1"/>
  <c r="Q1828" i="1"/>
  <c r="A1829" i="1"/>
  <c r="J1829" i="1"/>
  <c r="N1829" i="1"/>
  <c r="Q1829" i="1"/>
  <c r="A1830" i="1"/>
  <c r="J1830" i="1"/>
  <c r="N1830" i="1"/>
  <c r="Q1830" i="1"/>
  <c r="A1831" i="1"/>
  <c r="J1831" i="1"/>
  <c r="N1831" i="1"/>
  <c r="Q1831" i="1"/>
  <c r="A1832" i="1"/>
  <c r="J1832" i="1"/>
  <c r="N1832" i="1"/>
  <c r="Q1832" i="1"/>
  <c r="A1833" i="1"/>
  <c r="J1833" i="1"/>
  <c r="N1833" i="1"/>
  <c r="Q1833" i="1"/>
  <c r="A1834" i="1"/>
  <c r="J1834" i="1"/>
  <c r="N1834" i="1"/>
  <c r="Q1834" i="1"/>
  <c r="A1835" i="1"/>
  <c r="J1835" i="1"/>
  <c r="N1835" i="1"/>
  <c r="Q1835" i="1"/>
  <c r="A1836" i="1"/>
  <c r="J1836" i="1"/>
  <c r="N1836" i="1"/>
  <c r="Q1836" i="1"/>
  <c r="A1837" i="1"/>
  <c r="J1837" i="1"/>
  <c r="N1837" i="1"/>
  <c r="Q1837" i="1"/>
  <c r="A1838" i="1"/>
  <c r="J1838" i="1"/>
  <c r="N1838" i="1"/>
  <c r="Q1838" i="1"/>
  <c r="A1839" i="1"/>
  <c r="S1839" i="1" s="1"/>
  <c r="AA1839" i="1" s="1"/>
  <c r="J1839" i="1"/>
  <c r="N1839" i="1"/>
  <c r="Q1839" i="1"/>
  <c r="A1840" i="1"/>
  <c r="S1840" i="1" s="1"/>
  <c r="AA1840" i="1" s="1"/>
  <c r="J1840" i="1"/>
  <c r="N1840" i="1"/>
  <c r="Q1840" i="1"/>
  <c r="A1841" i="1"/>
  <c r="J1841" i="1"/>
  <c r="N1841" i="1"/>
  <c r="Q1841" i="1"/>
  <c r="A1842" i="1"/>
  <c r="J1842" i="1"/>
  <c r="N1842" i="1"/>
  <c r="Q1842" i="1"/>
  <c r="A1843" i="1"/>
  <c r="J1843" i="1"/>
  <c r="N1843" i="1"/>
  <c r="Q1843" i="1"/>
  <c r="A1844" i="1"/>
  <c r="J1844" i="1"/>
  <c r="N1844" i="1"/>
  <c r="Q1844" i="1"/>
  <c r="A1845" i="1"/>
  <c r="J1845" i="1"/>
  <c r="N1845" i="1"/>
  <c r="Q1845" i="1"/>
  <c r="A1846" i="1"/>
  <c r="J1846" i="1"/>
  <c r="N1846" i="1"/>
  <c r="Q1846" i="1"/>
  <c r="A1847" i="1"/>
  <c r="J1847" i="1"/>
  <c r="N1847" i="1"/>
  <c r="Q1847" i="1"/>
  <c r="A1848" i="1"/>
  <c r="J1848" i="1"/>
  <c r="N1848" i="1"/>
  <c r="Q1848" i="1"/>
  <c r="A1849" i="1"/>
  <c r="J1849" i="1"/>
  <c r="N1849" i="1"/>
  <c r="Q1849" i="1"/>
  <c r="A1850" i="1"/>
  <c r="J1850" i="1"/>
  <c r="N1850" i="1"/>
  <c r="Q1850" i="1"/>
  <c r="A1851" i="1"/>
  <c r="J1851" i="1"/>
  <c r="N1851" i="1"/>
  <c r="Q1851" i="1"/>
  <c r="A1852" i="1"/>
  <c r="J1852" i="1"/>
  <c r="N1852" i="1"/>
  <c r="Q1852" i="1"/>
  <c r="A1853" i="1"/>
  <c r="J1853" i="1"/>
  <c r="N1853" i="1"/>
  <c r="Q1853" i="1"/>
  <c r="A1854" i="1"/>
  <c r="J1854" i="1"/>
  <c r="N1854" i="1"/>
  <c r="Q1854" i="1"/>
  <c r="A1855" i="1"/>
  <c r="J1855" i="1"/>
  <c r="N1855" i="1"/>
  <c r="Q1855" i="1"/>
  <c r="A1856" i="1"/>
  <c r="J1856" i="1"/>
  <c r="N1856" i="1"/>
  <c r="Q1856" i="1"/>
  <c r="A1857" i="1"/>
  <c r="J1857" i="1"/>
  <c r="N1857" i="1"/>
  <c r="Q1857" i="1"/>
  <c r="A1858" i="1"/>
  <c r="J1858" i="1"/>
  <c r="N1858" i="1"/>
  <c r="Q1858" i="1"/>
  <c r="A1859" i="1"/>
  <c r="S1859" i="1" s="1"/>
  <c r="AA1859" i="1" s="1"/>
  <c r="J1859" i="1"/>
  <c r="N1859" i="1"/>
  <c r="Q1859" i="1"/>
  <c r="A1860" i="1"/>
  <c r="J1860" i="1"/>
  <c r="N1860" i="1"/>
  <c r="Q1860" i="1"/>
  <c r="A1861" i="1"/>
  <c r="J1861" i="1"/>
  <c r="N1861" i="1"/>
  <c r="Q1861" i="1"/>
  <c r="A1862" i="1"/>
  <c r="J1862" i="1"/>
  <c r="N1862" i="1"/>
  <c r="Q1862" i="1"/>
  <c r="A1863" i="1"/>
  <c r="J1863" i="1"/>
  <c r="N1863" i="1"/>
  <c r="Q1863" i="1"/>
  <c r="A1864" i="1"/>
  <c r="J1864" i="1"/>
  <c r="N1864" i="1"/>
  <c r="Q1864" i="1"/>
  <c r="A1865" i="1"/>
  <c r="J1865" i="1"/>
  <c r="N1865" i="1"/>
  <c r="Q1865" i="1"/>
  <c r="A1866" i="1"/>
  <c r="J1866" i="1"/>
  <c r="N1866" i="1"/>
  <c r="Q1866" i="1"/>
  <c r="A1867" i="1"/>
  <c r="J1867" i="1"/>
  <c r="N1867" i="1"/>
  <c r="Q1867" i="1"/>
  <c r="A1868" i="1"/>
  <c r="J1868" i="1"/>
  <c r="N1868" i="1"/>
  <c r="Q1868" i="1"/>
  <c r="A1869" i="1"/>
  <c r="J1869" i="1"/>
  <c r="N1869" i="1"/>
  <c r="Q1869" i="1"/>
  <c r="A1870" i="1"/>
  <c r="J1870" i="1"/>
  <c r="N1870" i="1"/>
  <c r="Q1870" i="1"/>
  <c r="A1871" i="1"/>
  <c r="J1871" i="1"/>
  <c r="N1871" i="1"/>
  <c r="Q1871" i="1"/>
  <c r="A1872" i="1"/>
  <c r="S1872" i="1" s="1"/>
  <c r="AA1872" i="1" s="1"/>
  <c r="J1872" i="1"/>
  <c r="N1872" i="1"/>
  <c r="Q1872" i="1"/>
  <c r="A1873" i="1"/>
  <c r="J1873" i="1"/>
  <c r="N1873" i="1"/>
  <c r="Q1873" i="1"/>
  <c r="A1874" i="1"/>
  <c r="J1874" i="1"/>
  <c r="N1874" i="1"/>
  <c r="Q1874" i="1"/>
  <c r="A1875" i="1"/>
  <c r="J1875" i="1"/>
  <c r="N1875" i="1"/>
  <c r="Q1875" i="1"/>
  <c r="A1876" i="1"/>
  <c r="J1876" i="1"/>
  <c r="N1876" i="1"/>
  <c r="Q1876" i="1"/>
  <c r="A1877" i="1"/>
  <c r="J1877" i="1"/>
  <c r="N1877" i="1"/>
  <c r="Q1877" i="1"/>
  <c r="A1878" i="1"/>
  <c r="J1878" i="1"/>
  <c r="N1878" i="1"/>
  <c r="Q1878" i="1"/>
  <c r="A1879" i="1"/>
  <c r="J1879" i="1"/>
  <c r="N1879" i="1"/>
  <c r="Q1879" i="1"/>
  <c r="A1880" i="1"/>
  <c r="J1880" i="1"/>
  <c r="N1880" i="1"/>
  <c r="Q1880" i="1"/>
  <c r="A1881" i="1"/>
  <c r="J1881" i="1"/>
  <c r="N1881" i="1"/>
  <c r="Q1881" i="1"/>
  <c r="A1882" i="1"/>
  <c r="J1882" i="1"/>
  <c r="N1882" i="1"/>
  <c r="Q1882" i="1"/>
  <c r="A1883" i="1"/>
  <c r="J1883" i="1"/>
  <c r="N1883" i="1"/>
  <c r="Q1883" i="1"/>
  <c r="A1884" i="1"/>
  <c r="J1884" i="1"/>
  <c r="N1884" i="1"/>
  <c r="Q1884" i="1"/>
  <c r="A1885" i="1"/>
  <c r="J1885" i="1"/>
  <c r="N1885" i="1"/>
  <c r="Q1885" i="1"/>
  <c r="A1886" i="1"/>
  <c r="J1886" i="1"/>
  <c r="N1886" i="1"/>
  <c r="Q1886" i="1"/>
  <c r="A1887" i="1"/>
  <c r="J1887" i="1"/>
  <c r="N1887" i="1"/>
  <c r="Q1887" i="1"/>
  <c r="A1888" i="1"/>
  <c r="J1888" i="1"/>
  <c r="N1888" i="1"/>
  <c r="Q1888" i="1"/>
  <c r="A1889" i="1"/>
  <c r="J1889" i="1"/>
  <c r="N1889" i="1"/>
  <c r="Q1889" i="1"/>
  <c r="A1890" i="1"/>
  <c r="J1890" i="1"/>
  <c r="N1890" i="1"/>
  <c r="Q1890" i="1"/>
  <c r="A1891" i="1"/>
  <c r="J1891" i="1"/>
  <c r="N1891" i="1"/>
  <c r="Q1891" i="1"/>
  <c r="A1892" i="1"/>
  <c r="J1892" i="1"/>
  <c r="N1892" i="1"/>
  <c r="Q1892" i="1"/>
  <c r="A1893" i="1"/>
  <c r="J1893" i="1"/>
  <c r="N1893" i="1"/>
  <c r="Q1893" i="1"/>
  <c r="A1894" i="1"/>
  <c r="J1894" i="1"/>
  <c r="N1894" i="1"/>
  <c r="Q1894" i="1"/>
  <c r="A1895" i="1"/>
  <c r="J1895" i="1"/>
  <c r="N1895" i="1"/>
  <c r="Q1895" i="1"/>
  <c r="A1896" i="1"/>
  <c r="J1896" i="1"/>
  <c r="N1896" i="1"/>
  <c r="Q1896" i="1"/>
  <c r="A1897" i="1"/>
  <c r="J1897" i="1"/>
  <c r="N1897" i="1"/>
  <c r="Q1897" i="1"/>
  <c r="A1898" i="1"/>
  <c r="J1898" i="1"/>
  <c r="N1898" i="1"/>
  <c r="Q1898" i="1"/>
  <c r="A1899" i="1"/>
  <c r="J1899" i="1"/>
  <c r="N1899" i="1"/>
  <c r="Q1899" i="1"/>
  <c r="A1900" i="1"/>
  <c r="J1900" i="1"/>
  <c r="N1900" i="1"/>
  <c r="Q1900" i="1"/>
  <c r="A1901" i="1"/>
  <c r="J1901" i="1"/>
  <c r="N1901" i="1"/>
  <c r="Q1901" i="1"/>
  <c r="A1902" i="1"/>
  <c r="J1902" i="1"/>
  <c r="N1902" i="1"/>
  <c r="Q1902" i="1"/>
  <c r="A1903" i="1"/>
  <c r="J1903" i="1"/>
  <c r="N1903" i="1"/>
  <c r="Q1903" i="1"/>
  <c r="A1904" i="1"/>
  <c r="J1904" i="1"/>
  <c r="N1904" i="1"/>
  <c r="Q1904" i="1"/>
  <c r="A1905" i="1"/>
  <c r="J1905" i="1"/>
  <c r="N1905" i="1"/>
  <c r="Q1905" i="1"/>
  <c r="A1906" i="1"/>
  <c r="J1906" i="1"/>
  <c r="N1906" i="1"/>
  <c r="Q1906" i="1"/>
  <c r="A1907" i="1"/>
  <c r="S1907" i="1" s="1"/>
  <c r="AA1907" i="1" s="1"/>
  <c r="J1907" i="1"/>
  <c r="N1907" i="1"/>
  <c r="Q1907" i="1"/>
  <c r="A1908" i="1"/>
  <c r="S1908" i="1" s="1"/>
  <c r="AA1908" i="1" s="1"/>
  <c r="J1908" i="1"/>
  <c r="N1908" i="1"/>
  <c r="Q1908" i="1"/>
  <c r="A1909" i="1"/>
  <c r="S1909" i="1" s="1"/>
  <c r="AA1909" i="1" s="1"/>
  <c r="J1909" i="1"/>
  <c r="N1909" i="1"/>
  <c r="Q1909" i="1"/>
  <c r="A1910" i="1"/>
  <c r="J1910" i="1"/>
  <c r="N1910" i="1"/>
  <c r="Q1910" i="1"/>
  <c r="A1911" i="1"/>
  <c r="J1911" i="1"/>
  <c r="N1911" i="1"/>
  <c r="Q1911" i="1"/>
  <c r="A1912" i="1"/>
  <c r="J1912" i="1"/>
  <c r="N1912" i="1"/>
  <c r="Q1912" i="1"/>
  <c r="A1913" i="1"/>
  <c r="J1913" i="1"/>
  <c r="N1913" i="1"/>
  <c r="Q1913" i="1"/>
  <c r="A1914" i="1"/>
  <c r="J1914" i="1"/>
  <c r="N1914" i="1"/>
  <c r="Q1914" i="1"/>
  <c r="A1915" i="1"/>
  <c r="J1915" i="1"/>
  <c r="N1915" i="1"/>
  <c r="Q1915" i="1"/>
  <c r="A1916" i="1"/>
  <c r="J1916" i="1"/>
  <c r="N1916" i="1"/>
  <c r="Q1916" i="1"/>
  <c r="A1917" i="1"/>
  <c r="J1917" i="1"/>
  <c r="N1917" i="1"/>
  <c r="Q1917" i="1"/>
  <c r="A1918" i="1"/>
  <c r="J1918" i="1"/>
  <c r="N1918" i="1"/>
  <c r="Q1918" i="1"/>
  <c r="A1919" i="1"/>
  <c r="J1919" i="1"/>
  <c r="N1919" i="1"/>
  <c r="Q1919" i="1"/>
  <c r="A1920" i="1"/>
  <c r="J1920" i="1"/>
  <c r="N1920" i="1"/>
  <c r="Q1920" i="1"/>
  <c r="A1921" i="1"/>
  <c r="J1921" i="1"/>
  <c r="N1921" i="1"/>
  <c r="Q1921" i="1"/>
  <c r="A1922" i="1"/>
  <c r="J1922" i="1"/>
  <c r="N1922" i="1"/>
  <c r="Q1922" i="1"/>
  <c r="A1923" i="1"/>
  <c r="J1923" i="1"/>
  <c r="N1923" i="1"/>
  <c r="Q1923" i="1"/>
  <c r="A1924" i="1"/>
  <c r="J1924" i="1"/>
  <c r="N1924" i="1"/>
  <c r="Q1924" i="1"/>
  <c r="A1925" i="1"/>
  <c r="J1925" i="1"/>
  <c r="N1925" i="1"/>
  <c r="Q1925" i="1"/>
  <c r="A1926" i="1"/>
  <c r="J1926" i="1"/>
  <c r="N1926" i="1"/>
  <c r="Q1926" i="1"/>
  <c r="A1927" i="1"/>
  <c r="J1927" i="1"/>
  <c r="N1927" i="1"/>
  <c r="Q1927" i="1"/>
  <c r="A1928" i="1"/>
  <c r="J1928" i="1"/>
  <c r="N1928" i="1"/>
  <c r="Q1928" i="1"/>
  <c r="A1929" i="1"/>
  <c r="J1929" i="1"/>
  <c r="N1929" i="1"/>
  <c r="Q1929" i="1"/>
  <c r="A1930" i="1"/>
  <c r="J1930" i="1"/>
  <c r="N1930" i="1"/>
  <c r="Q1930" i="1"/>
  <c r="A1931" i="1"/>
  <c r="J1931" i="1"/>
  <c r="N1931" i="1"/>
  <c r="Q1931" i="1"/>
  <c r="A1932" i="1"/>
  <c r="J1932" i="1"/>
  <c r="N1932" i="1"/>
  <c r="Q1932" i="1"/>
  <c r="A1933" i="1"/>
  <c r="J1933" i="1"/>
  <c r="N1933" i="1"/>
  <c r="Q1933" i="1"/>
  <c r="A1934" i="1"/>
  <c r="J1934" i="1"/>
  <c r="N1934" i="1"/>
  <c r="Q1934" i="1"/>
  <c r="A1935" i="1"/>
  <c r="J1935" i="1"/>
  <c r="N1935" i="1"/>
  <c r="Q1935" i="1"/>
  <c r="A1936" i="1"/>
  <c r="S1936" i="1" s="1"/>
  <c r="AA1936" i="1" s="1"/>
  <c r="J1936" i="1"/>
  <c r="N1936" i="1"/>
  <c r="Q1936" i="1"/>
  <c r="A1937" i="1"/>
  <c r="J1937" i="1"/>
  <c r="N1937" i="1"/>
  <c r="Q1937" i="1"/>
  <c r="A1938" i="1"/>
  <c r="J1938" i="1"/>
  <c r="N1938" i="1"/>
  <c r="Q1938" i="1"/>
  <c r="A1939" i="1"/>
  <c r="J1939" i="1"/>
  <c r="N1939" i="1"/>
  <c r="Q1939" i="1"/>
  <c r="A1940" i="1"/>
  <c r="J1940" i="1"/>
  <c r="N1940" i="1"/>
  <c r="Q1940" i="1"/>
  <c r="A1941" i="1"/>
  <c r="J1941" i="1"/>
  <c r="N1941" i="1"/>
  <c r="Q1941" i="1"/>
  <c r="A1942" i="1"/>
  <c r="J1942" i="1"/>
  <c r="N1942" i="1"/>
  <c r="Q1942" i="1"/>
  <c r="A1943" i="1"/>
  <c r="J1943" i="1"/>
  <c r="N1943" i="1"/>
  <c r="Q1943" i="1"/>
  <c r="A1944" i="1"/>
  <c r="J1944" i="1"/>
  <c r="N1944" i="1"/>
  <c r="Q1944" i="1"/>
  <c r="A1945" i="1"/>
  <c r="J1945" i="1"/>
  <c r="N1945" i="1"/>
  <c r="Q1945" i="1"/>
  <c r="A1946" i="1"/>
  <c r="J1946" i="1"/>
  <c r="N1946" i="1"/>
  <c r="Q1946" i="1"/>
  <c r="A1947" i="1"/>
  <c r="J1947" i="1"/>
  <c r="N1947" i="1"/>
  <c r="Q1947" i="1"/>
  <c r="A1948" i="1"/>
  <c r="J1948" i="1"/>
  <c r="N1948" i="1"/>
  <c r="Q1948" i="1"/>
  <c r="A1949" i="1"/>
  <c r="J1949" i="1"/>
  <c r="N1949" i="1"/>
  <c r="Q1949" i="1"/>
  <c r="A1950" i="1"/>
  <c r="J1950" i="1"/>
  <c r="N1950" i="1"/>
  <c r="Q1950" i="1"/>
  <c r="A1951" i="1"/>
  <c r="J1951" i="1"/>
  <c r="N1951" i="1"/>
  <c r="Q1951" i="1"/>
  <c r="A1952" i="1"/>
  <c r="J1952" i="1"/>
  <c r="N1952" i="1"/>
  <c r="Q1952" i="1"/>
  <c r="A1953" i="1"/>
  <c r="J1953" i="1"/>
  <c r="N1953" i="1"/>
  <c r="Q1953" i="1"/>
  <c r="A1954" i="1"/>
  <c r="J1954" i="1"/>
  <c r="N1954" i="1"/>
  <c r="Q1954" i="1"/>
  <c r="A1955" i="1"/>
  <c r="J1955" i="1"/>
  <c r="N1955" i="1"/>
  <c r="Q1955" i="1"/>
  <c r="A1956" i="1"/>
  <c r="J1956" i="1"/>
  <c r="N1956" i="1"/>
  <c r="Q1956" i="1"/>
  <c r="A1957" i="1"/>
  <c r="J1957" i="1"/>
  <c r="N1957" i="1"/>
  <c r="Q1957" i="1"/>
  <c r="A1958" i="1"/>
  <c r="J1958" i="1"/>
  <c r="N1958" i="1"/>
  <c r="Q1958" i="1"/>
  <c r="A1959" i="1"/>
  <c r="S1959" i="1" s="1"/>
  <c r="AA1959" i="1" s="1"/>
  <c r="J1959" i="1"/>
  <c r="N1959" i="1"/>
  <c r="Q1959" i="1"/>
  <c r="A1960" i="1"/>
  <c r="J1960" i="1"/>
  <c r="N1960" i="1"/>
  <c r="Q1960" i="1"/>
  <c r="A1961" i="1"/>
  <c r="J1961" i="1"/>
  <c r="N1961" i="1"/>
  <c r="Q1961" i="1"/>
  <c r="A1962" i="1"/>
  <c r="J1962" i="1"/>
  <c r="N1962" i="1"/>
  <c r="Q1962" i="1"/>
  <c r="A1963" i="1"/>
  <c r="J1963" i="1"/>
  <c r="N1963" i="1"/>
  <c r="Q1963" i="1"/>
  <c r="A1964" i="1"/>
  <c r="J1964" i="1"/>
  <c r="N1964" i="1"/>
  <c r="Q1964" i="1"/>
  <c r="A1965" i="1"/>
  <c r="S1965" i="1" s="1"/>
  <c r="AA1965" i="1" s="1"/>
  <c r="J1965" i="1"/>
  <c r="N1965" i="1"/>
  <c r="Q1965" i="1"/>
  <c r="A1966" i="1"/>
  <c r="J1966" i="1"/>
  <c r="N1966" i="1"/>
  <c r="Q1966" i="1"/>
  <c r="A1967" i="1"/>
  <c r="S1967" i="1" s="1"/>
  <c r="AA1967" i="1" s="1"/>
  <c r="J1967" i="1"/>
  <c r="N1967" i="1"/>
  <c r="Q1967" i="1"/>
  <c r="A1968" i="1"/>
  <c r="J1968" i="1"/>
  <c r="N1968" i="1"/>
  <c r="Q1968" i="1"/>
  <c r="A1969" i="1"/>
  <c r="J1969" i="1"/>
  <c r="N1969" i="1"/>
  <c r="Q1969" i="1"/>
  <c r="A1970" i="1"/>
  <c r="J1970" i="1"/>
  <c r="N1970" i="1"/>
  <c r="Q1970" i="1"/>
  <c r="A1971" i="1"/>
  <c r="J1971" i="1"/>
  <c r="N1971" i="1"/>
  <c r="Q1971" i="1"/>
  <c r="A1972" i="1"/>
  <c r="J1972" i="1"/>
  <c r="N1972" i="1"/>
  <c r="Q1972" i="1"/>
  <c r="A1973" i="1"/>
  <c r="J1973" i="1"/>
  <c r="N1973" i="1"/>
  <c r="Q1973" i="1"/>
  <c r="A1974" i="1"/>
  <c r="J1974" i="1"/>
  <c r="N1974" i="1"/>
  <c r="Q1974" i="1"/>
  <c r="A1975" i="1"/>
  <c r="J1975" i="1"/>
  <c r="N1975" i="1"/>
  <c r="Q1975" i="1"/>
  <c r="A1976" i="1"/>
  <c r="J1976" i="1"/>
  <c r="N1976" i="1"/>
  <c r="Q1976" i="1"/>
  <c r="A1977" i="1"/>
  <c r="J1977" i="1"/>
  <c r="N1977" i="1"/>
  <c r="Q1977" i="1"/>
  <c r="A1978" i="1"/>
  <c r="J1978" i="1"/>
  <c r="N1978" i="1"/>
  <c r="Q1978" i="1"/>
  <c r="A1979" i="1"/>
  <c r="J1979" i="1"/>
  <c r="N1979" i="1"/>
  <c r="Q1979" i="1"/>
  <c r="A1980" i="1"/>
  <c r="J1980" i="1"/>
  <c r="N1980" i="1"/>
  <c r="Q1980" i="1"/>
  <c r="A1981" i="1"/>
  <c r="J1981" i="1"/>
  <c r="N1981" i="1"/>
  <c r="Q1981" i="1"/>
  <c r="A1982" i="1"/>
  <c r="J1982" i="1"/>
  <c r="N1982" i="1"/>
  <c r="Q1982" i="1"/>
  <c r="A1983" i="1"/>
  <c r="J1983" i="1"/>
  <c r="N1983" i="1"/>
  <c r="Q1983" i="1"/>
  <c r="A1984" i="1"/>
  <c r="J1984" i="1"/>
  <c r="N1984" i="1"/>
  <c r="Q1984" i="1"/>
  <c r="A1985" i="1"/>
  <c r="J1985" i="1"/>
  <c r="N1985" i="1"/>
  <c r="Q1985" i="1"/>
  <c r="A1986" i="1"/>
  <c r="J1986" i="1"/>
  <c r="N1986" i="1"/>
  <c r="Q1986" i="1"/>
  <c r="A1987" i="1"/>
  <c r="J1987" i="1"/>
  <c r="N1987" i="1"/>
  <c r="Q1987" i="1"/>
  <c r="A1988" i="1"/>
  <c r="J1988" i="1"/>
  <c r="N1988" i="1"/>
  <c r="Q1988" i="1"/>
  <c r="A1989" i="1"/>
  <c r="J1989" i="1"/>
  <c r="N1989" i="1"/>
  <c r="Q1989" i="1"/>
  <c r="A1990" i="1"/>
  <c r="J1990" i="1"/>
  <c r="N1990" i="1"/>
  <c r="Q1990" i="1"/>
  <c r="A1991" i="1"/>
  <c r="J1991" i="1"/>
  <c r="N1991" i="1"/>
  <c r="Q1991" i="1"/>
  <c r="A1992" i="1"/>
  <c r="J1992" i="1"/>
  <c r="N1992" i="1"/>
  <c r="Q1992" i="1"/>
  <c r="A1993" i="1"/>
  <c r="J1993" i="1"/>
  <c r="N1993" i="1"/>
  <c r="Q1993" i="1"/>
  <c r="A1994" i="1"/>
  <c r="J1994" i="1"/>
  <c r="N1994" i="1"/>
  <c r="Q1994" i="1"/>
  <c r="A1995" i="1"/>
  <c r="J1995" i="1"/>
  <c r="N1995" i="1"/>
  <c r="Q1995" i="1"/>
  <c r="A1996" i="1"/>
  <c r="J1996" i="1"/>
  <c r="N1996" i="1"/>
  <c r="Q1996" i="1"/>
  <c r="A1997" i="1"/>
  <c r="J1997" i="1"/>
  <c r="N1997" i="1"/>
  <c r="Q1997" i="1"/>
  <c r="A1998" i="1"/>
  <c r="J1998" i="1"/>
  <c r="N1998" i="1"/>
  <c r="Q1998" i="1"/>
  <c r="A1999" i="1"/>
  <c r="S1999" i="1" s="1"/>
  <c r="AA1999" i="1" s="1"/>
  <c r="J1999" i="1"/>
  <c r="N1999" i="1"/>
  <c r="Q1999" i="1"/>
  <c r="A2000" i="1"/>
  <c r="J2000" i="1"/>
  <c r="N2000" i="1"/>
  <c r="Q2000" i="1"/>
  <c r="A2001" i="1"/>
  <c r="J2001" i="1"/>
  <c r="N2001" i="1"/>
  <c r="Q2001" i="1"/>
  <c r="A2002" i="1"/>
  <c r="J2002" i="1"/>
  <c r="N2002" i="1"/>
  <c r="Q2002" i="1"/>
  <c r="A2003" i="1"/>
  <c r="J2003" i="1"/>
  <c r="N2003" i="1"/>
  <c r="Q2003" i="1"/>
  <c r="A2004" i="1"/>
  <c r="J2004" i="1"/>
  <c r="N2004" i="1"/>
  <c r="Q2004" i="1"/>
  <c r="A2005" i="1"/>
  <c r="J2005" i="1"/>
  <c r="N2005" i="1"/>
  <c r="Q2005" i="1"/>
  <c r="A2006" i="1"/>
  <c r="J2006" i="1"/>
  <c r="N2006" i="1"/>
  <c r="Q2006" i="1"/>
  <c r="A2007" i="1"/>
  <c r="S2007" i="1" s="1"/>
  <c r="AA2007" i="1" s="1"/>
  <c r="J2007" i="1"/>
  <c r="N2007" i="1"/>
  <c r="Q2007" i="1"/>
  <c r="A2008" i="1"/>
  <c r="J2008" i="1"/>
  <c r="N2008" i="1"/>
  <c r="Q2008" i="1"/>
  <c r="A2009" i="1"/>
  <c r="J2009" i="1"/>
  <c r="N2009" i="1"/>
  <c r="Q2009" i="1"/>
  <c r="A2010" i="1"/>
  <c r="J2010" i="1"/>
  <c r="N2010" i="1"/>
  <c r="Q2010" i="1"/>
  <c r="A2011" i="1"/>
  <c r="J2011" i="1"/>
  <c r="N2011" i="1"/>
  <c r="Q2011" i="1"/>
  <c r="A2012" i="1"/>
  <c r="J2012" i="1"/>
  <c r="N2012" i="1"/>
  <c r="Q2012" i="1"/>
  <c r="A2013" i="1"/>
  <c r="S2013" i="1" s="1"/>
  <c r="AA2013" i="1" s="1"/>
  <c r="J2013" i="1"/>
  <c r="N2013" i="1"/>
  <c r="Q2013" i="1"/>
  <c r="A2014" i="1"/>
  <c r="J2014" i="1"/>
  <c r="N2014" i="1"/>
  <c r="Q2014" i="1"/>
  <c r="A2015" i="1"/>
  <c r="J2015" i="1"/>
  <c r="N2015" i="1"/>
  <c r="Q2015" i="1"/>
  <c r="A2016" i="1"/>
  <c r="J2016" i="1"/>
  <c r="N2016" i="1"/>
  <c r="Q2016" i="1"/>
  <c r="A2017" i="1"/>
  <c r="J2017" i="1"/>
  <c r="N2017" i="1"/>
  <c r="Q2017" i="1"/>
  <c r="A2018" i="1"/>
  <c r="J2018" i="1"/>
  <c r="N2018" i="1"/>
  <c r="Q2018" i="1"/>
  <c r="A2019" i="1"/>
  <c r="J2019" i="1"/>
  <c r="N2019" i="1"/>
  <c r="Q2019" i="1"/>
  <c r="A2020" i="1"/>
  <c r="J2020" i="1"/>
  <c r="N2020" i="1"/>
  <c r="Q2020" i="1"/>
  <c r="A2021" i="1"/>
  <c r="J2021" i="1"/>
  <c r="N2021" i="1"/>
  <c r="Q2021" i="1"/>
  <c r="A2022" i="1"/>
  <c r="J2022" i="1"/>
  <c r="N2022" i="1"/>
  <c r="Q2022" i="1"/>
  <c r="A2023" i="1"/>
  <c r="J2023" i="1"/>
  <c r="N2023" i="1"/>
  <c r="Q2023" i="1"/>
  <c r="A2024" i="1"/>
  <c r="J2024" i="1"/>
  <c r="N2024" i="1"/>
  <c r="Q2024" i="1"/>
  <c r="A2025" i="1"/>
  <c r="J2025" i="1"/>
  <c r="N2025" i="1"/>
  <c r="Q2025" i="1"/>
  <c r="A2026" i="1"/>
  <c r="J2026" i="1"/>
  <c r="N2026" i="1"/>
  <c r="Q2026" i="1"/>
  <c r="A2027" i="1"/>
  <c r="J2027" i="1"/>
  <c r="N2027" i="1"/>
  <c r="Q2027" i="1"/>
  <c r="A2028" i="1"/>
  <c r="J2028" i="1"/>
  <c r="N2028" i="1"/>
  <c r="Q2028" i="1"/>
  <c r="A2029" i="1"/>
  <c r="J2029" i="1"/>
  <c r="N2029" i="1"/>
  <c r="Q2029" i="1"/>
  <c r="A2030" i="1"/>
  <c r="J2030" i="1"/>
  <c r="N2030" i="1"/>
  <c r="Q2030" i="1"/>
  <c r="A2031" i="1"/>
  <c r="J2031" i="1"/>
  <c r="N2031" i="1"/>
  <c r="Q2031" i="1"/>
  <c r="A2032" i="1"/>
  <c r="J2032" i="1"/>
  <c r="N2032" i="1"/>
  <c r="Q2032" i="1"/>
  <c r="A2033" i="1"/>
  <c r="J2033" i="1"/>
  <c r="N2033" i="1"/>
  <c r="Q2033" i="1"/>
  <c r="A2034" i="1"/>
  <c r="J2034" i="1"/>
  <c r="N2034" i="1"/>
  <c r="Q2034" i="1"/>
  <c r="A2035" i="1"/>
  <c r="J2035" i="1"/>
  <c r="N2035" i="1"/>
  <c r="Q2035" i="1"/>
  <c r="A2036" i="1"/>
  <c r="J2036" i="1"/>
  <c r="N2036" i="1"/>
  <c r="Q2036" i="1"/>
  <c r="A2037" i="1"/>
  <c r="J2037" i="1"/>
  <c r="N2037" i="1"/>
  <c r="Q2037" i="1"/>
  <c r="A2038" i="1"/>
  <c r="J2038" i="1"/>
  <c r="N2038" i="1"/>
  <c r="Q2038" i="1"/>
  <c r="A2039" i="1"/>
  <c r="J2039" i="1"/>
  <c r="N2039" i="1"/>
  <c r="Q2039" i="1"/>
  <c r="A2040" i="1"/>
  <c r="J2040" i="1"/>
  <c r="N2040" i="1"/>
  <c r="Q2040" i="1"/>
  <c r="A2041" i="1"/>
  <c r="J2041" i="1"/>
  <c r="N2041" i="1"/>
  <c r="Q2041" i="1"/>
  <c r="A2042" i="1"/>
  <c r="J2042" i="1"/>
  <c r="N2042" i="1"/>
  <c r="Q2042" i="1"/>
  <c r="A2043" i="1"/>
  <c r="J2043" i="1"/>
  <c r="N2043" i="1"/>
  <c r="Q2043" i="1"/>
  <c r="A2044" i="1"/>
  <c r="J2044" i="1"/>
  <c r="N2044" i="1"/>
  <c r="Q2044" i="1"/>
  <c r="A2045" i="1"/>
  <c r="J2045" i="1"/>
  <c r="N2045" i="1"/>
  <c r="Q2045" i="1"/>
  <c r="A2046" i="1"/>
  <c r="J2046" i="1"/>
  <c r="N2046" i="1"/>
  <c r="Q2046" i="1"/>
  <c r="A2047" i="1"/>
  <c r="J2047" i="1"/>
  <c r="N2047" i="1"/>
  <c r="Q2047" i="1"/>
  <c r="A2048" i="1"/>
  <c r="J2048" i="1"/>
  <c r="N2048" i="1"/>
  <c r="Q2048" i="1"/>
  <c r="A2049" i="1"/>
  <c r="J2049" i="1"/>
  <c r="N2049" i="1"/>
  <c r="Q2049" i="1"/>
  <c r="A2050" i="1"/>
  <c r="J2050" i="1"/>
  <c r="N2050" i="1"/>
  <c r="Q2050" i="1"/>
  <c r="A2051" i="1"/>
  <c r="J2051" i="1"/>
  <c r="N2051" i="1"/>
  <c r="Q2051" i="1"/>
  <c r="A2052" i="1"/>
  <c r="J2052" i="1"/>
  <c r="N2052" i="1"/>
  <c r="Q2052" i="1"/>
  <c r="A2053" i="1"/>
  <c r="J2053" i="1"/>
  <c r="N2053" i="1"/>
  <c r="Q2053" i="1"/>
  <c r="A2054" i="1"/>
  <c r="J2054" i="1"/>
  <c r="N2054" i="1"/>
  <c r="Q2054" i="1"/>
  <c r="A2055" i="1"/>
  <c r="J2055" i="1"/>
  <c r="N2055" i="1"/>
  <c r="Q2055" i="1"/>
  <c r="A2056" i="1"/>
  <c r="J2056" i="1"/>
  <c r="N2056" i="1"/>
  <c r="Q2056" i="1"/>
  <c r="A2057" i="1"/>
  <c r="J2057" i="1"/>
  <c r="N2057" i="1"/>
  <c r="Q2057" i="1"/>
  <c r="A2058" i="1"/>
  <c r="J2058" i="1"/>
  <c r="N2058" i="1"/>
  <c r="Q2058" i="1"/>
  <c r="A2059" i="1"/>
  <c r="J2059" i="1"/>
  <c r="N2059" i="1"/>
  <c r="Q2059" i="1"/>
  <c r="A2060" i="1"/>
  <c r="J2060" i="1"/>
  <c r="N2060" i="1"/>
  <c r="Q2060" i="1"/>
  <c r="A2061" i="1"/>
  <c r="J2061" i="1"/>
  <c r="N2061" i="1"/>
  <c r="Q2061" i="1"/>
  <c r="A2062" i="1"/>
  <c r="J2062" i="1"/>
  <c r="N2062" i="1"/>
  <c r="Q2062" i="1"/>
  <c r="A2063" i="1"/>
  <c r="J2063" i="1"/>
  <c r="N2063" i="1"/>
  <c r="Q2063" i="1"/>
  <c r="A2064" i="1"/>
  <c r="J2064" i="1"/>
  <c r="N2064" i="1"/>
  <c r="Q2064" i="1"/>
  <c r="A2065" i="1"/>
  <c r="J2065" i="1"/>
  <c r="N2065" i="1"/>
  <c r="Q2065" i="1"/>
  <c r="A2066" i="1"/>
  <c r="J2066" i="1"/>
  <c r="N2066" i="1"/>
  <c r="Q2066" i="1"/>
  <c r="A2067" i="1"/>
  <c r="J2067" i="1"/>
  <c r="N2067" i="1"/>
  <c r="Q2067" i="1"/>
  <c r="A2068" i="1"/>
  <c r="J2068" i="1"/>
  <c r="N2068" i="1"/>
  <c r="Q2068" i="1"/>
  <c r="A2069" i="1"/>
  <c r="S2069" i="1" s="1"/>
  <c r="AA2069" i="1" s="1"/>
  <c r="J2069" i="1"/>
  <c r="N2069" i="1"/>
  <c r="Q2069" i="1"/>
  <c r="A2070" i="1"/>
  <c r="J2070" i="1"/>
  <c r="N2070" i="1"/>
  <c r="Q2070" i="1"/>
  <c r="A2071" i="1"/>
  <c r="S2071" i="1" s="1"/>
  <c r="AA2071" i="1" s="1"/>
  <c r="J2071" i="1"/>
  <c r="N2071" i="1"/>
  <c r="Q2071" i="1"/>
  <c r="A2072" i="1"/>
  <c r="J2072" i="1"/>
  <c r="N2072" i="1"/>
  <c r="Q2072" i="1"/>
  <c r="A2073" i="1"/>
  <c r="J2073" i="1"/>
  <c r="N2073" i="1"/>
  <c r="Q2073" i="1"/>
  <c r="A2074" i="1"/>
  <c r="J2074" i="1"/>
  <c r="N2074" i="1"/>
  <c r="Q2074" i="1"/>
  <c r="A2075" i="1"/>
  <c r="J2075" i="1"/>
  <c r="N2075" i="1"/>
  <c r="Q2075" i="1"/>
  <c r="A2076" i="1"/>
  <c r="J2076" i="1"/>
  <c r="N2076" i="1"/>
  <c r="Q2076" i="1"/>
  <c r="A2077" i="1"/>
  <c r="S2077" i="1" s="1"/>
  <c r="AA2077" i="1" s="1"/>
  <c r="J2077" i="1"/>
  <c r="N2077" i="1"/>
  <c r="Q2077" i="1"/>
  <c r="A2078" i="1"/>
  <c r="J2078" i="1"/>
  <c r="N2078" i="1"/>
  <c r="Q2078" i="1"/>
  <c r="A2079" i="1"/>
  <c r="J2079" i="1"/>
  <c r="N2079" i="1"/>
  <c r="Q2079" i="1"/>
  <c r="A2080" i="1"/>
  <c r="J2080" i="1"/>
  <c r="N2080" i="1"/>
  <c r="Q2080" i="1"/>
  <c r="A2081" i="1"/>
  <c r="J2081" i="1"/>
  <c r="N2081" i="1"/>
  <c r="Q2081" i="1"/>
  <c r="A2082" i="1"/>
  <c r="J2082" i="1"/>
  <c r="N2082" i="1"/>
  <c r="Q2082" i="1"/>
  <c r="A2083" i="1"/>
  <c r="J2083" i="1"/>
  <c r="N2083" i="1"/>
  <c r="Q2083" i="1"/>
  <c r="A2084" i="1"/>
  <c r="J2084" i="1"/>
  <c r="N2084" i="1"/>
  <c r="Q2084" i="1"/>
  <c r="A2085" i="1"/>
  <c r="J2085" i="1"/>
  <c r="N2085" i="1"/>
  <c r="Q2085" i="1"/>
  <c r="A2086" i="1"/>
  <c r="J2086" i="1"/>
  <c r="N2086" i="1"/>
  <c r="Q2086" i="1"/>
  <c r="A2087" i="1"/>
  <c r="J2087" i="1"/>
  <c r="N2087" i="1"/>
  <c r="Q2087" i="1"/>
  <c r="A2088" i="1"/>
  <c r="J2088" i="1"/>
  <c r="N2088" i="1"/>
  <c r="Q2088" i="1"/>
  <c r="A2089" i="1"/>
  <c r="J2089" i="1"/>
  <c r="N2089" i="1"/>
  <c r="Q2089" i="1"/>
  <c r="A2090" i="1"/>
  <c r="J2090" i="1"/>
  <c r="N2090" i="1"/>
  <c r="Q2090" i="1"/>
  <c r="A2091" i="1"/>
  <c r="J2091" i="1"/>
  <c r="N2091" i="1"/>
  <c r="Q2091" i="1"/>
  <c r="A2092" i="1"/>
  <c r="J2092" i="1"/>
  <c r="N2092" i="1"/>
  <c r="Q2092" i="1"/>
  <c r="A2093" i="1"/>
  <c r="J2093" i="1"/>
  <c r="N2093" i="1"/>
  <c r="Q2093" i="1"/>
  <c r="A2094" i="1"/>
  <c r="J2094" i="1"/>
  <c r="N2094" i="1"/>
  <c r="Q2094" i="1"/>
  <c r="A2095" i="1"/>
  <c r="J2095" i="1"/>
  <c r="N2095" i="1"/>
  <c r="Q2095" i="1"/>
  <c r="A2096" i="1"/>
  <c r="J2096" i="1"/>
  <c r="N2096" i="1"/>
  <c r="Q2096" i="1"/>
  <c r="A2097" i="1"/>
  <c r="J2097" i="1"/>
  <c r="N2097" i="1"/>
  <c r="Q2097" i="1"/>
  <c r="A2098" i="1"/>
  <c r="J2098" i="1"/>
  <c r="N2098" i="1"/>
  <c r="Q2098" i="1"/>
  <c r="A2099" i="1"/>
  <c r="S2099" i="1" s="1"/>
  <c r="AA2099" i="1" s="1"/>
  <c r="J2099" i="1"/>
  <c r="N2099" i="1"/>
  <c r="Q2099" i="1"/>
  <c r="A2100" i="1"/>
  <c r="J2100" i="1"/>
  <c r="N2100" i="1"/>
  <c r="Q2100" i="1"/>
  <c r="A2101" i="1"/>
  <c r="J2101" i="1"/>
  <c r="N2101" i="1"/>
  <c r="Q2101" i="1"/>
  <c r="A2102" i="1"/>
  <c r="J2102" i="1"/>
  <c r="N2102" i="1"/>
  <c r="Q2102" i="1"/>
  <c r="A2103" i="1"/>
  <c r="J2103" i="1"/>
  <c r="N2103" i="1"/>
  <c r="Q2103" i="1"/>
  <c r="A2104" i="1"/>
  <c r="J2104" i="1"/>
  <c r="N2104" i="1"/>
  <c r="Q2104" i="1"/>
  <c r="A2105" i="1"/>
  <c r="J2105" i="1"/>
  <c r="N2105" i="1"/>
  <c r="Q2105" i="1"/>
  <c r="A2106" i="1"/>
  <c r="J2106" i="1"/>
  <c r="N2106" i="1"/>
  <c r="Q2106" i="1"/>
  <c r="A2107" i="1"/>
  <c r="J2107" i="1"/>
  <c r="N2107" i="1"/>
  <c r="Q2107" i="1"/>
  <c r="A2108" i="1"/>
  <c r="J2108" i="1"/>
  <c r="N2108" i="1"/>
  <c r="Q2108" i="1"/>
  <c r="A2109" i="1"/>
  <c r="J2109" i="1"/>
  <c r="N2109" i="1"/>
  <c r="Q2109" i="1"/>
  <c r="A2110" i="1"/>
  <c r="J2110" i="1"/>
  <c r="N2110" i="1"/>
  <c r="Q2110" i="1"/>
  <c r="A2111" i="1"/>
  <c r="J2111" i="1"/>
  <c r="N2111" i="1"/>
  <c r="Q2111" i="1"/>
  <c r="A2112" i="1"/>
  <c r="J2112" i="1"/>
  <c r="N2112" i="1"/>
  <c r="Q2112" i="1"/>
  <c r="A2113" i="1"/>
  <c r="J2113" i="1"/>
  <c r="N2113" i="1"/>
  <c r="Q2113" i="1"/>
  <c r="A2114" i="1"/>
  <c r="J2114" i="1"/>
  <c r="N2114" i="1"/>
  <c r="Q2114" i="1"/>
  <c r="A2115" i="1"/>
  <c r="S2115" i="1" s="1"/>
  <c r="AA2115" i="1" s="1"/>
  <c r="J2115" i="1"/>
  <c r="N2115" i="1"/>
  <c r="Q2115" i="1"/>
  <c r="A2116" i="1"/>
  <c r="S2116" i="1" s="1"/>
  <c r="AA2116" i="1" s="1"/>
  <c r="J2116" i="1"/>
  <c r="N2116" i="1"/>
  <c r="Q2116" i="1"/>
  <c r="A2117" i="1"/>
  <c r="J2117" i="1"/>
  <c r="N2117" i="1"/>
  <c r="Q2117" i="1"/>
  <c r="A2118" i="1"/>
  <c r="J2118" i="1"/>
  <c r="N2118" i="1"/>
  <c r="Q2118" i="1"/>
  <c r="A2119" i="1"/>
  <c r="J2119" i="1"/>
  <c r="N2119" i="1"/>
  <c r="Q2119" i="1"/>
  <c r="A2120" i="1"/>
  <c r="J2120" i="1"/>
  <c r="N2120" i="1"/>
  <c r="Q2120" i="1"/>
  <c r="A2121" i="1"/>
  <c r="J2121" i="1"/>
  <c r="N2121" i="1"/>
  <c r="Q2121" i="1"/>
  <c r="A2122" i="1"/>
  <c r="J2122" i="1"/>
  <c r="N2122" i="1"/>
  <c r="Q2122" i="1"/>
  <c r="A2123" i="1"/>
  <c r="J2123" i="1"/>
  <c r="N2123" i="1"/>
  <c r="Q2123" i="1"/>
  <c r="A2124" i="1"/>
  <c r="J2124" i="1"/>
  <c r="N2124" i="1"/>
  <c r="Q2124" i="1"/>
  <c r="A2125" i="1"/>
  <c r="J2125" i="1"/>
  <c r="N2125" i="1"/>
  <c r="Q2125" i="1"/>
  <c r="A2126" i="1"/>
  <c r="J2126" i="1"/>
  <c r="N2126" i="1"/>
  <c r="Q2126" i="1"/>
  <c r="A2127" i="1"/>
  <c r="J2127" i="1"/>
  <c r="N2127" i="1"/>
  <c r="Q2127" i="1"/>
  <c r="A2128" i="1"/>
  <c r="S2128" i="1" s="1"/>
  <c r="AA2128" i="1" s="1"/>
  <c r="J2128" i="1"/>
  <c r="N2128" i="1"/>
  <c r="Q2128" i="1"/>
  <c r="A2129" i="1"/>
  <c r="S2129" i="1" s="1"/>
  <c r="AA2129" i="1" s="1"/>
  <c r="J2129" i="1"/>
  <c r="N2129" i="1"/>
  <c r="Q2129" i="1"/>
  <c r="A2130" i="1"/>
  <c r="J2130" i="1"/>
  <c r="N2130" i="1"/>
  <c r="Q2130" i="1"/>
  <c r="A2131" i="1"/>
  <c r="J2131" i="1"/>
  <c r="N2131" i="1"/>
  <c r="Q2131" i="1"/>
  <c r="A2132" i="1"/>
  <c r="J2132" i="1"/>
  <c r="N2132" i="1"/>
  <c r="Q2132" i="1"/>
  <c r="A2133" i="1"/>
  <c r="J2133" i="1"/>
  <c r="N2133" i="1"/>
  <c r="Q2133" i="1"/>
  <c r="A2134" i="1"/>
  <c r="J2134" i="1"/>
  <c r="N2134" i="1"/>
  <c r="Q2134" i="1"/>
  <c r="A2135" i="1"/>
  <c r="S2135" i="1" s="1"/>
  <c r="AA2135" i="1" s="1"/>
  <c r="J2135" i="1"/>
  <c r="N2135" i="1"/>
  <c r="Q2135" i="1"/>
  <c r="A2136" i="1"/>
  <c r="J2136" i="1"/>
  <c r="N2136" i="1"/>
  <c r="Q2136" i="1"/>
  <c r="A2137" i="1"/>
  <c r="J2137" i="1"/>
  <c r="N2137" i="1"/>
  <c r="Q2137" i="1"/>
  <c r="A2138" i="1"/>
  <c r="J2138" i="1"/>
  <c r="N2138" i="1"/>
  <c r="Q2138" i="1"/>
  <c r="A2139" i="1"/>
  <c r="J2139" i="1"/>
  <c r="N2139" i="1"/>
  <c r="Q2139" i="1"/>
  <c r="A2140" i="1"/>
  <c r="J2140" i="1"/>
  <c r="N2140" i="1"/>
  <c r="Q2140" i="1"/>
  <c r="A2141" i="1"/>
  <c r="J2141" i="1"/>
  <c r="N2141" i="1"/>
  <c r="Q2141" i="1"/>
  <c r="A2142" i="1"/>
  <c r="J2142" i="1"/>
  <c r="N2142" i="1"/>
  <c r="Q2142" i="1"/>
  <c r="A2143" i="1"/>
  <c r="J2143" i="1"/>
  <c r="N2143" i="1"/>
  <c r="Q2143" i="1"/>
  <c r="A2144" i="1"/>
  <c r="J2144" i="1"/>
  <c r="N2144" i="1"/>
  <c r="Q2144" i="1"/>
  <c r="A2145" i="1"/>
  <c r="J2145" i="1"/>
  <c r="N2145" i="1"/>
  <c r="Q2145" i="1"/>
  <c r="A2146" i="1"/>
  <c r="J2146" i="1"/>
  <c r="N2146" i="1"/>
  <c r="Q2146" i="1"/>
  <c r="A2147" i="1"/>
  <c r="J2147" i="1"/>
  <c r="N2147" i="1"/>
  <c r="Q2147" i="1"/>
  <c r="A2148" i="1"/>
  <c r="J2148" i="1"/>
  <c r="N2148" i="1"/>
  <c r="Q2148" i="1"/>
  <c r="A2149" i="1"/>
  <c r="J2149" i="1"/>
  <c r="N2149" i="1"/>
  <c r="Q2149" i="1"/>
  <c r="A2150" i="1"/>
  <c r="J2150" i="1"/>
  <c r="N2150" i="1"/>
  <c r="Q2150" i="1"/>
  <c r="A2151" i="1"/>
  <c r="J2151" i="1"/>
  <c r="N2151" i="1"/>
  <c r="Q2151" i="1"/>
  <c r="A2152" i="1"/>
  <c r="J2152" i="1"/>
  <c r="N2152" i="1"/>
  <c r="Q2152" i="1"/>
  <c r="A2153" i="1"/>
  <c r="J2153" i="1"/>
  <c r="N2153" i="1"/>
  <c r="Q2153" i="1"/>
  <c r="A2154" i="1"/>
  <c r="J2154" i="1"/>
  <c r="N2154" i="1"/>
  <c r="Q2154" i="1"/>
  <c r="A2155" i="1"/>
  <c r="J2155" i="1"/>
  <c r="N2155" i="1"/>
  <c r="Q2155" i="1"/>
  <c r="A2156" i="1"/>
  <c r="J2156" i="1"/>
  <c r="N2156" i="1"/>
  <c r="Q2156" i="1"/>
  <c r="A2157" i="1"/>
  <c r="J2157" i="1"/>
  <c r="N2157" i="1"/>
  <c r="Q2157" i="1"/>
  <c r="A2158" i="1"/>
  <c r="J2158" i="1"/>
  <c r="N2158" i="1"/>
  <c r="Q2158" i="1"/>
  <c r="A2159" i="1"/>
  <c r="J2159" i="1"/>
  <c r="N2159" i="1"/>
  <c r="Q2159" i="1"/>
  <c r="A2160" i="1"/>
  <c r="J2160" i="1"/>
  <c r="N2160" i="1"/>
  <c r="Q2160" i="1"/>
  <c r="A2161" i="1"/>
  <c r="J2161" i="1"/>
  <c r="N2161" i="1"/>
  <c r="Q2161" i="1"/>
  <c r="A2162" i="1"/>
  <c r="J2162" i="1"/>
  <c r="N2162" i="1"/>
  <c r="Q2162" i="1"/>
  <c r="A2163" i="1"/>
  <c r="J2163" i="1"/>
  <c r="N2163" i="1"/>
  <c r="Q2163" i="1"/>
  <c r="A2164" i="1"/>
  <c r="J2164" i="1"/>
  <c r="N2164" i="1"/>
  <c r="Q2164" i="1"/>
  <c r="A2165" i="1"/>
  <c r="J2165" i="1"/>
  <c r="N2165" i="1"/>
  <c r="Q2165" i="1"/>
  <c r="A2166" i="1"/>
  <c r="J2166" i="1"/>
  <c r="N2166" i="1"/>
  <c r="Q2166" i="1"/>
  <c r="A2167" i="1"/>
  <c r="J2167" i="1"/>
  <c r="N2167" i="1"/>
  <c r="Q2167" i="1"/>
  <c r="A2168" i="1"/>
  <c r="J2168" i="1"/>
  <c r="N2168" i="1"/>
  <c r="Q2168" i="1"/>
  <c r="A2169" i="1"/>
  <c r="J2169" i="1"/>
  <c r="N2169" i="1"/>
  <c r="Q2169" i="1"/>
  <c r="A2170" i="1"/>
  <c r="J2170" i="1"/>
  <c r="N2170" i="1"/>
  <c r="Q2170" i="1"/>
  <c r="A2171" i="1"/>
  <c r="J2171" i="1"/>
  <c r="N2171" i="1"/>
  <c r="Q2171" i="1"/>
  <c r="A2172" i="1"/>
  <c r="J2172" i="1"/>
  <c r="N2172" i="1"/>
  <c r="Q2172" i="1"/>
  <c r="A2173" i="1"/>
  <c r="J2173" i="1"/>
  <c r="N2173" i="1"/>
  <c r="Q2173" i="1"/>
  <c r="A2174" i="1"/>
  <c r="J2174" i="1"/>
  <c r="N2174" i="1"/>
  <c r="Q2174" i="1"/>
  <c r="A2175" i="1"/>
  <c r="S2175" i="1" s="1"/>
  <c r="AA2175" i="1" s="1"/>
  <c r="J2175" i="1"/>
  <c r="N2175" i="1"/>
  <c r="Q2175" i="1"/>
  <c r="A2176" i="1"/>
  <c r="S2176" i="1" s="1"/>
  <c r="AA2176" i="1" s="1"/>
  <c r="J2176" i="1"/>
  <c r="N2176" i="1"/>
  <c r="Q2176" i="1"/>
  <c r="A2177" i="1"/>
  <c r="J2177" i="1"/>
  <c r="N2177" i="1"/>
  <c r="Q2177" i="1"/>
  <c r="A2178" i="1"/>
  <c r="J2178" i="1"/>
  <c r="N2178" i="1"/>
  <c r="Q2178" i="1"/>
  <c r="A2179" i="1"/>
  <c r="J2179" i="1"/>
  <c r="N2179" i="1"/>
  <c r="Q2179" i="1"/>
  <c r="A2180" i="1"/>
  <c r="J2180" i="1"/>
  <c r="N2180" i="1"/>
  <c r="Q2180" i="1"/>
  <c r="A2181" i="1"/>
  <c r="J2181" i="1"/>
  <c r="N2181" i="1"/>
  <c r="Q2181" i="1"/>
  <c r="A2182" i="1"/>
  <c r="J2182" i="1"/>
  <c r="N2182" i="1"/>
  <c r="Q2182" i="1"/>
  <c r="A2183" i="1"/>
  <c r="J2183" i="1"/>
  <c r="N2183" i="1"/>
  <c r="Q2183" i="1"/>
  <c r="A2184" i="1"/>
  <c r="J2184" i="1"/>
  <c r="N2184" i="1"/>
  <c r="Q2184" i="1"/>
  <c r="A2185" i="1"/>
  <c r="J2185" i="1"/>
  <c r="N2185" i="1"/>
  <c r="Q2185" i="1"/>
  <c r="A2186" i="1"/>
  <c r="J2186" i="1"/>
  <c r="N2186" i="1"/>
  <c r="Q2186" i="1"/>
  <c r="A2187" i="1"/>
  <c r="J2187" i="1"/>
  <c r="N2187" i="1"/>
  <c r="Q2187" i="1"/>
  <c r="A2188" i="1"/>
  <c r="J2188" i="1"/>
  <c r="N2188" i="1"/>
  <c r="Q2188" i="1"/>
  <c r="A2189" i="1"/>
  <c r="J2189" i="1"/>
  <c r="N2189" i="1"/>
  <c r="Q2189" i="1"/>
  <c r="A2190" i="1"/>
  <c r="J2190" i="1"/>
  <c r="N2190" i="1"/>
  <c r="Q2190" i="1"/>
  <c r="A2191" i="1"/>
  <c r="J2191" i="1"/>
  <c r="N2191" i="1"/>
  <c r="Q2191" i="1"/>
  <c r="A2192" i="1"/>
  <c r="J2192" i="1"/>
  <c r="N2192" i="1"/>
  <c r="Q2192" i="1"/>
  <c r="A2193" i="1"/>
  <c r="J2193" i="1"/>
  <c r="N2193" i="1"/>
  <c r="Q2193" i="1"/>
  <c r="A2194" i="1"/>
  <c r="J2194" i="1"/>
  <c r="N2194" i="1"/>
  <c r="Q2194" i="1"/>
  <c r="A2195" i="1"/>
  <c r="J2195" i="1"/>
  <c r="N2195" i="1"/>
  <c r="Q2195" i="1"/>
  <c r="A2196" i="1"/>
  <c r="J2196" i="1"/>
  <c r="N2196" i="1"/>
  <c r="Q2196" i="1"/>
  <c r="A2197" i="1"/>
  <c r="J2197" i="1"/>
  <c r="N2197" i="1"/>
  <c r="Q2197" i="1"/>
  <c r="A2198" i="1"/>
  <c r="J2198" i="1"/>
  <c r="N2198" i="1"/>
  <c r="Q2198" i="1"/>
  <c r="A2199" i="1"/>
  <c r="J2199" i="1"/>
  <c r="N2199" i="1"/>
  <c r="Q2199" i="1"/>
  <c r="A2200" i="1"/>
  <c r="J2200" i="1"/>
  <c r="N2200" i="1"/>
  <c r="Q2200" i="1"/>
  <c r="A2201" i="1"/>
  <c r="J2201" i="1"/>
  <c r="N2201" i="1"/>
  <c r="Q2201" i="1"/>
  <c r="A2202" i="1"/>
  <c r="J2202" i="1"/>
  <c r="N2202" i="1"/>
  <c r="Q2202" i="1"/>
  <c r="A2203" i="1"/>
  <c r="J2203" i="1"/>
  <c r="N2203" i="1"/>
  <c r="Q2203" i="1"/>
  <c r="A2204" i="1"/>
  <c r="J2204" i="1"/>
  <c r="N2204" i="1"/>
  <c r="Q2204" i="1"/>
  <c r="A2205" i="1"/>
  <c r="J2205" i="1"/>
  <c r="N2205" i="1"/>
  <c r="Q2205" i="1"/>
  <c r="A2206" i="1"/>
  <c r="J2206" i="1"/>
  <c r="N2206" i="1"/>
  <c r="Q2206" i="1"/>
  <c r="A2207" i="1"/>
  <c r="J2207" i="1"/>
  <c r="N2207" i="1"/>
  <c r="Q2207" i="1"/>
  <c r="A2208" i="1"/>
  <c r="S2208" i="1" s="1"/>
  <c r="AA2208" i="1" s="1"/>
  <c r="J2208" i="1"/>
  <c r="N2208" i="1"/>
  <c r="Q2208" i="1"/>
  <c r="A2209" i="1"/>
  <c r="J2209" i="1"/>
  <c r="N2209" i="1"/>
  <c r="Q2209" i="1"/>
  <c r="A2210" i="1"/>
  <c r="J2210" i="1"/>
  <c r="N2210" i="1"/>
  <c r="Q2210" i="1"/>
  <c r="A2211" i="1"/>
  <c r="J2211" i="1"/>
  <c r="N2211" i="1"/>
  <c r="Q2211" i="1"/>
  <c r="A2212" i="1"/>
  <c r="J2212" i="1"/>
  <c r="N2212" i="1"/>
  <c r="Q2212" i="1"/>
  <c r="A2213" i="1"/>
  <c r="J2213" i="1"/>
  <c r="N2213" i="1"/>
  <c r="Q2213" i="1"/>
  <c r="A2214" i="1"/>
  <c r="J2214" i="1"/>
  <c r="N2214" i="1"/>
  <c r="Q2214" i="1"/>
  <c r="A2215" i="1"/>
  <c r="J2215" i="1"/>
  <c r="N2215" i="1"/>
  <c r="Q2215" i="1"/>
  <c r="A2216" i="1"/>
  <c r="J2216" i="1"/>
  <c r="N2216" i="1"/>
  <c r="Q2216" i="1"/>
  <c r="A2217" i="1"/>
  <c r="J2217" i="1"/>
  <c r="N2217" i="1"/>
  <c r="Q2217" i="1"/>
  <c r="A2218" i="1"/>
  <c r="J2218" i="1"/>
  <c r="N2218" i="1"/>
  <c r="Q2218" i="1"/>
  <c r="A2219" i="1"/>
  <c r="J2219" i="1"/>
  <c r="N2219" i="1"/>
  <c r="Q2219" i="1"/>
  <c r="A2220" i="1"/>
  <c r="J2220" i="1"/>
  <c r="N2220" i="1"/>
  <c r="Q2220" i="1"/>
  <c r="A2221" i="1"/>
  <c r="J2221" i="1"/>
  <c r="N2221" i="1"/>
  <c r="Q2221" i="1"/>
  <c r="A2222" i="1"/>
  <c r="J2222" i="1"/>
  <c r="N2222" i="1"/>
  <c r="Q2222" i="1"/>
  <c r="A2223" i="1"/>
  <c r="J2223" i="1"/>
  <c r="N2223" i="1"/>
  <c r="Q2223" i="1"/>
  <c r="A2224" i="1"/>
  <c r="J2224" i="1"/>
  <c r="N2224" i="1"/>
  <c r="Q2224" i="1"/>
  <c r="A2225" i="1"/>
  <c r="J2225" i="1"/>
  <c r="N2225" i="1"/>
  <c r="Q2225" i="1"/>
  <c r="A2226" i="1"/>
  <c r="J2226" i="1"/>
  <c r="N2226" i="1"/>
  <c r="Q2226" i="1"/>
  <c r="A2227" i="1"/>
  <c r="J2227" i="1"/>
  <c r="N2227" i="1"/>
  <c r="Q2227" i="1"/>
  <c r="A2228" i="1"/>
  <c r="S2228" i="1" s="1"/>
  <c r="AA2228" i="1" s="1"/>
  <c r="J2228" i="1"/>
  <c r="N2228" i="1"/>
  <c r="Q2228" i="1"/>
  <c r="A2229" i="1"/>
  <c r="S2229" i="1" s="1"/>
  <c r="AA2229" i="1" s="1"/>
  <c r="J2229" i="1"/>
  <c r="N2229" i="1"/>
  <c r="Q2229" i="1"/>
  <c r="A2230" i="1"/>
  <c r="J2230" i="1"/>
  <c r="N2230" i="1"/>
  <c r="Q2230" i="1"/>
  <c r="A2231" i="1"/>
  <c r="S2231" i="1" s="1"/>
  <c r="AA2231" i="1" s="1"/>
  <c r="J2231" i="1"/>
  <c r="N2231" i="1"/>
  <c r="Q2231" i="1"/>
  <c r="A2232" i="1"/>
  <c r="J2232" i="1"/>
  <c r="N2232" i="1"/>
  <c r="Q2232" i="1"/>
  <c r="A2233" i="1"/>
  <c r="J2233" i="1"/>
  <c r="N2233" i="1"/>
  <c r="Q2233" i="1"/>
  <c r="A2234" i="1"/>
  <c r="J2234" i="1"/>
  <c r="N2234" i="1"/>
  <c r="Q2234" i="1"/>
  <c r="A2235" i="1"/>
  <c r="J2235" i="1"/>
  <c r="N2235" i="1"/>
  <c r="Q2235" i="1"/>
  <c r="A2236" i="1"/>
  <c r="J2236" i="1"/>
  <c r="N2236" i="1"/>
  <c r="Q2236" i="1"/>
  <c r="A2237" i="1"/>
  <c r="J2237" i="1"/>
  <c r="N2237" i="1"/>
  <c r="Q2237" i="1"/>
  <c r="A2238" i="1"/>
  <c r="J2238" i="1"/>
  <c r="N2238" i="1"/>
  <c r="Q2238" i="1"/>
  <c r="A2239" i="1"/>
  <c r="J2239" i="1"/>
  <c r="N2239" i="1"/>
  <c r="Q2239" i="1"/>
  <c r="A2240" i="1"/>
  <c r="J2240" i="1"/>
  <c r="N2240" i="1"/>
  <c r="Q2240" i="1"/>
  <c r="A2241" i="1"/>
  <c r="J2241" i="1"/>
  <c r="N2241" i="1"/>
  <c r="Q2241" i="1"/>
  <c r="A2242" i="1"/>
  <c r="J2242" i="1"/>
  <c r="N2242" i="1"/>
  <c r="Q2242" i="1"/>
  <c r="A2243" i="1"/>
  <c r="J2243" i="1"/>
  <c r="N2243" i="1"/>
  <c r="Q2243" i="1"/>
  <c r="A2244" i="1"/>
  <c r="J2244" i="1"/>
  <c r="N2244" i="1"/>
  <c r="Q2244" i="1"/>
  <c r="A2245" i="1"/>
  <c r="J2245" i="1"/>
  <c r="N2245" i="1"/>
  <c r="Q2245" i="1"/>
  <c r="A2246" i="1"/>
  <c r="J2246" i="1"/>
  <c r="N2246" i="1"/>
  <c r="Q2246" i="1"/>
  <c r="A2247" i="1"/>
  <c r="J2247" i="1"/>
  <c r="N2247" i="1"/>
  <c r="Q2247" i="1"/>
  <c r="A2248" i="1"/>
  <c r="J2248" i="1"/>
  <c r="N2248" i="1"/>
  <c r="Q2248" i="1"/>
  <c r="A2249" i="1"/>
  <c r="J2249" i="1"/>
  <c r="N2249" i="1"/>
  <c r="Q2249" i="1"/>
  <c r="A2250" i="1"/>
  <c r="J2250" i="1"/>
  <c r="N2250" i="1"/>
  <c r="Q2250" i="1"/>
  <c r="A2251" i="1"/>
  <c r="S2251" i="1" s="1"/>
  <c r="AA2251" i="1" s="1"/>
  <c r="J2251" i="1"/>
  <c r="N2251" i="1"/>
  <c r="Q2251" i="1"/>
  <c r="A2252" i="1"/>
  <c r="J2252" i="1"/>
  <c r="N2252" i="1"/>
  <c r="Q2252" i="1"/>
  <c r="A2253" i="1"/>
  <c r="J2253" i="1"/>
  <c r="N2253" i="1"/>
  <c r="Q2253" i="1"/>
  <c r="A2254" i="1"/>
  <c r="J2254" i="1"/>
  <c r="N2254" i="1"/>
  <c r="Q2254" i="1"/>
  <c r="A2255" i="1"/>
  <c r="J2255" i="1"/>
  <c r="N2255" i="1"/>
  <c r="Q2255" i="1"/>
  <c r="A2256" i="1"/>
  <c r="J2256" i="1"/>
  <c r="N2256" i="1"/>
  <c r="Q2256" i="1"/>
  <c r="A2257" i="1"/>
  <c r="J2257" i="1"/>
  <c r="N2257" i="1"/>
  <c r="Q2257" i="1"/>
  <c r="A2258" i="1"/>
  <c r="J2258" i="1"/>
  <c r="N2258" i="1"/>
  <c r="Q2258" i="1"/>
  <c r="A2259" i="1"/>
  <c r="J2259" i="1"/>
  <c r="N2259" i="1"/>
  <c r="Q2259" i="1"/>
  <c r="A2260" i="1"/>
  <c r="J2260" i="1"/>
  <c r="N2260" i="1"/>
  <c r="Q2260" i="1"/>
  <c r="A2261" i="1"/>
  <c r="J2261" i="1"/>
  <c r="N2261" i="1"/>
  <c r="Q2261" i="1"/>
  <c r="A2262" i="1"/>
  <c r="J2262" i="1"/>
  <c r="N2262" i="1"/>
  <c r="Q2262" i="1"/>
  <c r="A2263" i="1"/>
  <c r="J2263" i="1"/>
  <c r="N2263" i="1"/>
  <c r="Q2263" i="1"/>
  <c r="A2264" i="1"/>
  <c r="J2264" i="1"/>
  <c r="N2264" i="1"/>
  <c r="Q2264" i="1"/>
  <c r="A2265" i="1"/>
  <c r="S2265" i="1" s="1"/>
  <c r="AA2265" i="1" s="1"/>
  <c r="J2265" i="1"/>
  <c r="N2265" i="1"/>
  <c r="Q2265" i="1"/>
  <c r="A2266" i="1"/>
  <c r="J2266" i="1"/>
  <c r="N2266" i="1"/>
  <c r="Q2266" i="1"/>
  <c r="A2267" i="1"/>
  <c r="S2267" i="1" s="1"/>
  <c r="AA2267" i="1" s="1"/>
  <c r="J2267" i="1"/>
  <c r="N2267" i="1"/>
  <c r="Q2267" i="1"/>
  <c r="A2268" i="1"/>
  <c r="J2268" i="1"/>
  <c r="N2268" i="1"/>
  <c r="Q2268" i="1"/>
  <c r="A2269" i="1"/>
  <c r="J2269" i="1"/>
  <c r="N2269" i="1"/>
  <c r="Q2269" i="1"/>
  <c r="A2270" i="1"/>
  <c r="J2270" i="1"/>
  <c r="N2270" i="1"/>
  <c r="Q2270" i="1"/>
  <c r="A2271" i="1"/>
  <c r="J2271" i="1"/>
  <c r="N2271" i="1"/>
  <c r="Q2271" i="1"/>
  <c r="A2272" i="1"/>
  <c r="J2272" i="1"/>
  <c r="N2272" i="1"/>
  <c r="Q2272" i="1"/>
  <c r="A2273" i="1"/>
  <c r="J2273" i="1"/>
  <c r="N2273" i="1"/>
  <c r="Q2273" i="1"/>
  <c r="A2274" i="1"/>
  <c r="J2274" i="1"/>
  <c r="N2274" i="1"/>
  <c r="Q2274" i="1"/>
  <c r="A2275" i="1"/>
  <c r="J2275" i="1"/>
  <c r="N2275" i="1"/>
  <c r="Q2275" i="1"/>
  <c r="A2276" i="1"/>
  <c r="J2276" i="1"/>
  <c r="N2276" i="1"/>
  <c r="Q2276" i="1"/>
  <c r="A2277" i="1"/>
  <c r="J2277" i="1"/>
  <c r="N2277" i="1"/>
  <c r="Q2277" i="1"/>
  <c r="A2278" i="1"/>
  <c r="J2278" i="1"/>
  <c r="N2278" i="1"/>
  <c r="Q2278" i="1"/>
  <c r="A2279" i="1"/>
  <c r="J2279" i="1"/>
  <c r="N2279" i="1"/>
  <c r="Q2279" i="1"/>
  <c r="A2280" i="1"/>
  <c r="J2280" i="1"/>
  <c r="N2280" i="1"/>
  <c r="Q2280" i="1"/>
  <c r="A2281" i="1"/>
  <c r="S2281" i="1" s="1"/>
  <c r="AA2281" i="1" s="1"/>
  <c r="J2281" i="1"/>
  <c r="N2281" i="1"/>
  <c r="Q2281" i="1"/>
  <c r="A2282" i="1"/>
  <c r="J2282" i="1"/>
  <c r="N2282" i="1"/>
  <c r="Q2282" i="1"/>
  <c r="A2283" i="1"/>
  <c r="J2283" i="1"/>
  <c r="N2283" i="1"/>
  <c r="Q2283" i="1"/>
  <c r="A2284" i="1"/>
  <c r="J2284" i="1"/>
  <c r="N2284" i="1"/>
  <c r="Q2284" i="1"/>
  <c r="A2285" i="1"/>
  <c r="J2285" i="1"/>
  <c r="N2285" i="1"/>
  <c r="Q2285" i="1"/>
  <c r="A2286" i="1"/>
  <c r="J2286" i="1"/>
  <c r="N2286" i="1"/>
  <c r="Q2286" i="1"/>
  <c r="A2287" i="1"/>
  <c r="J2287" i="1"/>
  <c r="N2287" i="1"/>
  <c r="Q2287" i="1"/>
  <c r="A2288" i="1"/>
  <c r="S2288" i="1" s="1"/>
  <c r="AA2288" i="1" s="1"/>
  <c r="J2288" i="1"/>
  <c r="N2288" i="1"/>
  <c r="Q2288" i="1"/>
  <c r="A2289" i="1"/>
  <c r="J2289" i="1"/>
  <c r="N2289" i="1"/>
  <c r="Q2289" i="1"/>
  <c r="A2290" i="1"/>
  <c r="J2290" i="1"/>
  <c r="N2290" i="1"/>
  <c r="Q2290" i="1"/>
  <c r="A2291" i="1"/>
  <c r="J2291" i="1"/>
  <c r="N2291" i="1"/>
  <c r="Q2291" i="1"/>
  <c r="A2292" i="1"/>
  <c r="J2292" i="1"/>
  <c r="N2292" i="1"/>
  <c r="Q2292" i="1"/>
  <c r="A2293" i="1"/>
  <c r="J2293" i="1"/>
  <c r="N2293" i="1"/>
  <c r="Q2293" i="1"/>
  <c r="A2294" i="1"/>
  <c r="J2294" i="1"/>
  <c r="N2294" i="1"/>
  <c r="Q2294" i="1"/>
  <c r="A2295" i="1"/>
  <c r="J2295" i="1"/>
  <c r="N2295" i="1"/>
  <c r="Q2295" i="1"/>
  <c r="A2296" i="1"/>
  <c r="J2296" i="1"/>
  <c r="N2296" i="1"/>
  <c r="Q2296" i="1"/>
  <c r="A2297" i="1"/>
  <c r="J2297" i="1"/>
  <c r="N2297" i="1"/>
  <c r="Q2297" i="1"/>
  <c r="A2298" i="1"/>
  <c r="J2298" i="1"/>
  <c r="N2298" i="1"/>
  <c r="Q2298" i="1"/>
  <c r="A2299" i="1"/>
  <c r="J2299" i="1"/>
  <c r="N2299" i="1"/>
  <c r="Q2299" i="1"/>
  <c r="A2300" i="1"/>
  <c r="J2300" i="1"/>
  <c r="N2300" i="1"/>
  <c r="Q2300" i="1"/>
  <c r="A2301" i="1"/>
  <c r="J2301" i="1"/>
  <c r="N2301" i="1"/>
  <c r="Q2301" i="1"/>
  <c r="A2302" i="1"/>
  <c r="J2302" i="1"/>
  <c r="N2302" i="1"/>
  <c r="Q2302" i="1"/>
  <c r="A2303" i="1"/>
  <c r="J2303" i="1"/>
  <c r="N2303" i="1"/>
  <c r="Q2303" i="1"/>
  <c r="A2304" i="1"/>
  <c r="J2304" i="1"/>
  <c r="N2304" i="1"/>
  <c r="Q2304" i="1"/>
  <c r="A2305" i="1"/>
  <c r="J2305" i="1"/>
  <c r="N2305" i="1"/>
  <c r="Q2305" i="1"/>
  <c r="A2306" i="1"/>
  <c r="J2306" i="1"/>
  <c r="N2306" i="1"/>
  <c r="Q2306" i="1"/>
  <c r="A2307" i="1"/>
  <c r="J2307" i="1"/>
  <c r="N2307" i="1"/>
  <c r="Q2307" i="1"/>
  <c r="A2308" i="1"/>
  <c r="S2308" i="1" s="1"/>
  <c r="AA2308" i="1" s="1"/>
  <c r="J2308" i="1"/>
  <c r="N2308" i="1"/>
  <c r="Q2308" i="1"/>
  <c r="A2309" i="1"/>
  <c r="S2309" i="1" s="1"/>
  <c r="AA2309" i="1" s="1"/>
  <c r="J2309" i="1"/>
  <c r="N2309" i="1"/>
  <c r="Q2309" i="1"/>
  <c r="A2310" i="1"/>
  <c r="J2310" i="1"/>
  <c r="N2310" i="1"/>
  <c r="Q2310" i="1"/>
  <c r="A2311" i="1"/>
  <c r="J2311" i="1"/>
  <c r="N2311" i="1"/>
  <c r="Q2311" i="1"/>
  <c r="A2312" i="1"/>
  <c r="J2312" i="1"/>
  <c r="N2312" i="1"/>
  <c r="Q2312" i="1"/>
  <c r="A2313" i="1"/>
  <c r="J2313" i="1"/>
  <c r="N2313" i="1"/>
  <c r="Q2313" i="1"/>
  <c r="A2314" i="1"/>
  <c r="J2314" i="1"/>
  <c r="N2314" i="1"/>
  <c r="Q2314" i="1"/>
  <c r="A2315" i="1"/>
  <c r="J2315" i="1"/>
  <c r="N2315" i="1"/>
  <c r="Q2315" i="1"/>
  <c r="A2316" i="1"/>
  <c r="J2316" i="1"/>
  <c r="N2316" i="1"/>
  <c r="Q2316" i="1"/>
  <c r="A2317" i="1"/>
  <c r="S2317" i="1" s="1"/>
  <c r="AA2317" i="1" s="1"/>
  <c r="J2317" i="1"/>
  <c r="N2317" i="1"/>
  <c r="Q2317" i="1"/>
  <c r="A2318" i="1"/>
  <c r="J2318" i="1"/>
  <c r="N2318" i="1"/>
  <c r="Q2318" i="1"/>
  <c r="A2319" i="1"/>
  <c r="J2319" i="1"/>
  <c r="N2319" i="1"/>
  <c r="Q2319" i="1"/>
  <c r="A2320" i="1"/>
  <c r="J2320" i="1"/>
  <c r="N2320" i="1"/>
  <c r="Q2320" i="1"/>
  <c r="A2321" i="1"/>
  <c r="J2321" i="1"/>
  <c r="N2321" i="1"/>
  <c r="Q2321" i="1"/>
  <c r="A2322" i="1"/>
  <c r="J2322" i="1"/>
  <c r="N2322" i="1"/>
  <c r="Q2322" i="1"/>
  <c r="A2323" i="1"/>
  <c r="J2323" i="1"/>
  <c r="N2323" i="1"/>
  <c r="Q2323" i="1"/>
  <c r="A2324" i="1"/>
  <c r="J2324" i="1"/>
  <c r="N2324" i="1"/>
  <c r="Q2324" i="1"/>
  <c r="A2325" i="1"/>
  <c r="J2325" i="1"/>
  <c r="N2325" i="1"/>
  <c r="Q2325" i="1"/>
  <c r="A2326" i="1"/>
  <c r="J2326" i="1"/>
  <c r="N2326" i="1"/>
  <c r="Q2326" i="1"/>
  <c r="A2327" i="1"/>
  <c r="J2327" i="1"/>
  <c r="N2327" i="1"/>
  <c r="Q2327" i="1"/>
  <c r="A2328" i="1"/>
  <c r="J2328" i="1"/>
  <c r="N2328" i="1"/>
  <c r="Q2328" i="1"/>
  <c r="A2329" i="1"/>
  <c r="J2329" i="1"/>
  <c r="N2329" i="1"/>
  <c r="Q2329" i="1"/>
  <c r="A2330" i="1"/>
  <c r="J2330" i="1"/>
  <c r="N2330" i="1"/>
  <c r="Q2330" i="1"/>
  <c r="A2331" i="1"/>
  <c r="J2331" i="1"/>
  <c r="N2331" i="1"/>
  <c r="Q2331" i="1"/>
  <c r="A2332" i="1"/>
  <c r="J2332" i="1"/>
  <c r="N2332" i="1"/>
  <c r="Q2332" i="1"/>
  <c r="A2333" i="1"/>
  <c r="J2333" i="1"/>
  <c r="N2333" i="1"/>
  <c r="Q2333" i="1"/>
  <c r="A2334" i="1"/>
  <c r="J2334" i="1"/>
  <c r="N2334" i="1"/>
  <c r="Q2334" i="1"/>
  <c r="A2335" i="1"/>
  <c r="J2335" i="1"/>
  <c r="N2335" i="1"/>
  <c r="Q2335" i="1"/>
  <c r="A2336" i="1"/>
  <c r="S2336" i="1" s="1"/>
  <c r="AA2336" i="1" s="1"/>
  <c r="J2336" i="1"/>
  <c r="N2336" i="1"/>
  <c r="Q2336" i="1"/>
  <c r="A2337" i="1"/>
  <c r="J2337" i="1"/>
  <c r="N2337" i="1"/>
  <c r="Q2337" i="1"/>
  <c r="A2338" i="1"/>
  <c r="J2338" i="1"/>
  <c r="N2338" i="1"/>
  <c r="Q2338" i="1"/>
  <c r="A2339" i="1"/>
  <c r="J2339" i="1"/>
  <c r="N2339" i="1"/>
  <c r="Q2339" i="1"/>
  <c r="A2340" i="1"/>
  <c r="J2340" i="1"/>
  <c r="N2340" i="1"/>
  <c r="Q2340" i="1"/>
  <c r="A2341" i="1"/>
  <c r="J2341" i="1"/>
  <c r="N2341" i="1"/>
  <c r="Q2341" i="1"/>
  <c r="A2342" i="1"/>
  <c r="J2342" i="1"/>
  <c r="N2342" i="1"/>
  <c r="Q2342" i="1"/>
  <c r="A2343" i="1"/>
  <c r="S2343" i="1" s="1"/>
  <c r="AA2343" i="1" s="1"/>
  <c r="J2343" i="1"/>
  <c r="N2343" i="1"/>
  <c r="Q2343" i="1"/>
  <c r="A2344" i="1"/>
  <c r="J2344" i="1"/>
  <c r="N2344" i="1"/>
  <c r="Q2344" i="1"/>
  <c r="A2345" i="1"/>
  <c r="J2345" i="1"/>
  <c r="N2345" i="1"/>
  <c r="Q2345" i="1"/>
  <c r="A2346" i="1"/>
  <c r="J2346" i="1"/>
  <c r="N2346" i="1"/>
  <c r="Q2346" i="1"/>
  <c r="A2347" i="1"/>
  <c r="J2347" i="1"/>
  <c r="N2347" i="1"/>
  <c r="Q2347" i="1"/>
  <c r="A2348" i="1"/>
  <c r="J2348" i="1"/>
  <c r="N2348" i="1"/>
  <c r="Q2348" i="1"/>
  <c r="A2349" i="1"/>
  <c r="J2349" i="1"/>
  <c r="N2349" i="1"/>
  <c r="Q2349" i="1"/>
  <c r="A2350" i="1"/>
  <c r="J2350" i="1"/>
  <c r="N2350" i="1"/>
  <c r="Q2350" i="1"/>
  <c r="A2351" i="1"/>
  <c r="J2351" i="1"/>
  <c r="N2351" i="1"/>
  <c r="Q2351" i="1"/>
  <c r="A2352" i="1"/>
  <c r="J2352" i="1"/>
  <c r="N2352" i="1"/>
  <c r="Q2352" i="1"/>
  <c r="A2353" i="1"/>
  <c r="J2353" i="1"/>
  <c r="N2353" i="1"/>
  <c r="Q2353" i="1"/>
  <c r="A2354" i="1"/>
  <c r="J2354" i="1"/>
  <c r="N2354" i="1"/>
  <c r="Q2354" i="1"/>
  <c r="A2355" i="1"/>
  <c r="J2355" i="1"/>
  <c r="N2355" i="1"/>
  <c r="Q2355" i="1"/>
  <c r="A2356" i="1"/>
  <c r="S2356" i="1" s="1"/>
  <c r="AA2356" i="1" s="1"/>
  <c r="J2356" i="1"/>
  <c r="N2356" i="1"/>
  <c r="Q2356" i="1"/>
  <c r="A2357" i="1"/>
  <c r="S2357" i="1" s="1"/>
  <c r="AA2357" i="1" s="1"/>
  <c r="J2357" i="1"/>
  <c r="N2357" i="1"/>
  <c r="Q2357" i="1"/>
  <c r="A2358" i="1"/>
  <c r="J2358" i="1"/>
  <c r="N2358" i="1"/>
  <c r="Q2358" i="1"/>
  <c r="A2359" i="1"/>
  <c r="J2359" i="1"/>
  <c r="N2359" i="1"/>
  <c r="Q2359" i="1"/>
  <c r="A2360" i="1"/>
  <c r="J2360" i="1"/>
  <c r="N2360" i="1"/>
  <c r="Q2360" i="1"/>
  <c r="A2361" i="1"/>
  <c r="J2361" i="1"/>
  <c r="N2361" i="1"/>
  <c r="Q2361" i="1"/>
  <c r="A2362" i="1"/>
  <c r="J2362" i="1"/>
  <c r="N2362" i="1"/>
  <c r="Q2362" i="1"/>
  <c r="A2363" i="1"/>
  <c r="J2363" i="1"/>
  <c r="N2363" i="1"/>
  <c r="Q2363" i="1"/>
  <c r="A2364" i="1"/>
  <c r="J2364" i="1"/>
  <c r="N2364" i="1"/>
  <c r="Q2364" i="1"/>
  <c r="A2365" i="1"/>
  <c r="J2365" i="1"/>
  <c r="N2365" i="1"/>
  <c r="Q2365" i="1"/>
  <c r="A2366" i="1"/>
  <c r="J2366" i="1"/>
  <c r="N2366" i="1"/>
  <c r="Q2366" i="1"/>
  <c r="A2367" i="1"/>
  <c r="J2367" i="1"/>
  <c r="N2367" i="1"/>
  <c r="Q2367" i="1"/>
  <c r="A2368" i="1"/>
  <c r="J2368" i="1"/>
  <c r="N2368" i="1"/>
  <c r="Q2368" i="1"/>
  <c r="A2369" i="1"/>
  <c r="J2369" i="1"/>
  <c r="N2369" i="1"/>
  <c r="Q2369" i="1"/>
  <c r="A2370" i="1"/>
  <c r="J2370" i="1"/>
  <c r="N2370" i="1"/>
  <c r="Q2370" i="1"/>
  <c r="A2371" i="1"/>
  <c r="J2371" i="1"/>
  <c r="N2371" i="1"/>
  <c r="Q2371" i="1"/>
  <c r="A2372" i="1"/>
  <c r="J2372" i="1"/>
  <c r="N2372" i="1"/>
  <c r="Q2372" i="1"/>
  <c r="A2373" i="1"/>
  <c r="J2373" i="1"/>
  <c r="N2373" i="1"/>
  <c r="Q2373" i="1"/>
  <c r="A2374" i="1"/>
  <c r="J2374" i="1"/>
  <c r="N2374" i="1"/>
  <c r="Q2374" i="1"/>
  <c r="A2375" i="1"/>
  <c r="J2375" i="1"/>
  <c r="N2375" i="1"/>
  <c r="Q2375" i="1"/>
  <c r="A2376" i="1"/>
  <c r="J2376" i="1"/>
  <c r="N2376" i="1"/>
  <c r="Q2376" i="1"/>
  <c r="A2377" i="1"/>
  <c r="J2377" i="1"/>
  <c r="N2377" i="1"/>
  <c r="Q2377" i="1"/>
  <c r="A2378" i="1"/>
  <c r="J2378" i="1"/>
  <c r="N2378" i="1"/>
  <c r="Q2378" i="1"/>
  <c r="A2379" i="1"/>
  <c r="J2379" i="1"/>
  <c r="N2379" i="1"/>
  <c r="Q2379" i="1"/>
  <c r="A2380" i="1"/>
  <c r="J2380" i="1"/>
  <c r="N2380" i="1"/>
  <c r="Q2380" i="1"/>
  <c r="A2381" i="1"/>
  <c r="J2381" i="1"/>
  <c r="N2381" i="1"/>
  <c r="Q2381" i="1"/>
  <c r="A2382" i="1"/>
  <c r="J2382" i="1"/>
  <c r="N2382" i="1"/>
  <c r="Q2382" i="1"/>
  <c r="A2383" i="1"/>
  <c r="J2383" i="1"/>
  <c r="N2383" i="1"/>
  <c r="Q2383" i="1"/>
  <c r="A2384" i="1"/>
  <c r="J2384" i="1"/>
  <c r="N2384" i="1"/>
  <c r="Q2384" i="1"/>
  <c r="A2385" i="1"/>
  <c r="J2385" i="1"/>
  <c r="N2385" i="1"/>
  <c r="Q2385" i="1"/>
  <c r="A2386" i="1"/>
  <c r="J2386" i="1"/>
  <c r="N2386" i="1"/>
  <c r="Q2386" i="1"/>
  <c r="A2387" i="1"/>
  <c r="J2387" i="1"/>
  <c r="N2387" i="1"/>
  <c r="Q2387" i="1"/>
  <c r="A2388" i="1"/>
  <c r="J2388" i="1"/>
  <c r="N2388" i="1"/>
  <c r="Q2388" i="1"/>
  <c r="A2389" i="1"/>
  <c r="S2389" i="1" s="1"/>
  <c r="AA2389" i="1" s="1"/>
  <c r="J2389" i="1"/>
  <c r="N2389" i="1"/>
  <c r="Q2389" i="1"/>
  <c r="A2390" i="1"/>
  <c r="J2390" i="1"/>
  <c r="N2390" i="1"/>
  <c r="Q2390" i="1"/>
  <c r="A2391" i="1"/>
  <c r="S2391" i="1" s="1"/>
  <c r="AA2391" i="1" s="1"/>
  <c r="J2391" i="1"/>
  <c r="N2391" i="1"/>
  <c r="Q2391" i="1"/>
  <c r="A2392" i="1"/>
  <c r="J2392" i="1"/>
  <c r="N2392" i="1"/>
  <c r="Q2392" i="1"/>
  <c r="A2393" i="1"/>
  <c r="S2393" i="1" s="1"/>
  <c r="AA2393" i="1" s="1"/>
  <c r="J2393" i="1"/>
  <c r="N2393" i="1"/>
  <c r="Q2393" i="1"/>
  <c r="A2394" i="1"/>
  <c r="J2394" i="1"/>
  <c r="N2394" i="1"/>
  <c r="Q2394" i="1"/>
  <c r="A2395" i="1"/>
  <c r="J2395" i="1"/>
  <c r="N2395" i="1"/>
  <c r="Q2395" i="1"/>
  <c r="A2396" i="1"/>
  <c r="J2396" i="1"/>
  <c r="N2396" i="1"/>
  <c r="Q2396" i="1"/>
  <c r="A2397" i="1"/>
  <c r="J2397" i="1"/>
  <c r="N2397" i="1"/>
  <c r="Q2397" i="1"/>
  <c r="A2398" i="1"/>
  <c r="J2398" i="1"/>
  <c r="N2398" i="1"/>
  <c r="Q2398" i="1"/>
  <c r="A2399" i="1"/>
  <c r="J2399" i="1"/>
  <c r="N2399" i="1"/>
  <c r="Q2399" i="1"/>
  <c r="A2400" i="1"/>
  <c r="J2400" i="1"/>
  <c r="N2400" i="1"/>
  <c r="Q2400" i="1"/>
  <c r="A2401" i="1"/>
  <c r="J2401" i="1"/>
  <c r="N2401" i="1"/>
  <c r="Q2401" i="1"/>
  <c r="A2402" i="1"/>
  <c r="J2402" i="1"/>
  <c r="N2402" i="1"/>
  <c r="Q2402" i="1"/>
  <c r="A2403" i="1"/>
  <c r="J2403" i="1"/>
  <c r="N2403" i="1"/>
  <c r="Q2403" i="1"/>
  <c r="A2404" i="1"/>
  <c r="J2404" i="1"/>
  <c r="N2404" i="1"/>
  <c r="Q2404" i="1"/>
  <c r="A2405" i="1"/>
  <c r="J2405" i="1"/>
  <c r="N2405" i="1"/>
  <c r="Q2405" i="1"/>
  <c r="A2406" i="1"/>
  <c r="J2406" i="1"/>
  <c r="N2406" i="1"/>
  <c r="Q2406" i="1"/>
  <c r="A2407" i="1"/>
  <c r="J2407" i="1"/>
  <c r="N2407" i="1"/>
  <c r="Q2407" i="1"/>
  <c r="A2408" i="1"/>
  <c r="J2408" i="1"/>
  <c r="N2408" i="1"/>
  <c r="Q2408" i="1"/>
  <c r="A2409" i="1"/>
  <c r="J2409" i="1"/>
  <c r="N2409" i="1"/>
  <c r="Q2409" i="1"/>
  <c r="A2410" i="1"/>
  <c r="J2410" i="1"/>
  <c r="N2410" i="1"/>
  <c r="Q2410" i="1"/>
  <c r="A2411" i="1"/>
  <c r="S2411" i="1" s="1"/>
  <c r="AA2411" i="1" s="1"/>
  <c r="J2411" i="1"/>
  <c r="N2411" i="1"/>
  <c r="Q2411" i="1"/>
  <c r="A2412" i="1"/>
  <c r="J2412" i="1"/>
  <c r="N2412" i="1"/>
  <c r="Q2412" i="1"/>
  <c r="A2413" i="1"/>
  <c r="J2413" i="1"/>
  <c r="N2413" i="1"/>
  <c r="Q2413" i="1"/>
  <c r="A2414" i="1"/>
  <c r="J2414" i="1"/>
  <c r="N2414" i="1"/>
  <c r="Q2414" i="1"/>
  <c r="A2415" i="1"/>
  <c r="J2415" i="1"/>
  <c r="N2415" i="1"/>
  <c r="Q2415" i="1"/>
  <c r="A2416" i="1"/>
  <c r="J2416" i="1"/>
  <c r="N2416" i="1"/>
  <c r="Q2416" i="1"/>
  <c r="A2417" i="1"/>
  <c r="J2417" i="1"/>
  <c r="N2417" i="1"/>
  <c r="Q2417" i="1"/>
  <c r="A2418" i="1"/>
  <c r="J2418" i="1"/>
  <c r="N2418" i="1"/>
  <c r="Q2418" i="1"/>
  <c r="A2419" i="1"/>
  <c r="J2419" i="1"/>
  <c r="N2419" i="1"/>
  <c r="Q2419" i="1"/>
  <c r="A2420" i="1"/>
  <c r="J2420" i="1"/>
  <c r="N2420" i="1"/>
  <c r="Q2420" i="1"/>
  <c r="A2421" i="1"/>
  <c r="J2421" i="1"/>
  <c r="N2421" i="1"/>
  <c r="Q2421" i="1"/>
  <c r="A2422" i="1"/>
  <c r="J2422" i="1"/>
  <c r="N2422" i="1"/>
  <c r="Q2422" i="1"/>
  <c r="A2423" i="1"/>
  <c r="J2423" i="1"/>
  <c r="N2423" i="1"/>
  <c r="Q2423" i="1"/>
  <c r="A2424" i="1"/>
  <c r="J2424" i="1"/>
  <c r="N2424" i="1"/>
  <c r="Q2424" i="1"/>
  <c r="A2425" i="1"/>
  <c r="J2425" i="1"/>
  <c r="N2425" i="1"/>
  <c r="Q2425" i="1"/>
  <c r="A2426" i="1"/>
  <c r="J2426" i="1"/>
  <c r="N2426" i="1"/>
  <c r="Q2426" i="1"/>
  <c r="A2427" i="1"/>
  <c r="J2427" i="1"/>
  <c r="N2427" i="1"/>
  <c r="Q2427" i="1"/>
  <c r="A2428" i="1"/>
  <c r="J2428" i="1"/>
  <c r="N2428" i="1"/>
  <c r="Q2428" i="1"/>
  <c r="A2429" i="1"/>
  <c r="J2429" i="1"/>
  <c r="N2429" i="1"/>
  <c r="Q2429" i="1"/>
  <c r="A2430" i="1"/>
  <c r="J2430" i="1"/>
  <c r="N2430" i="1"/>
  <c r="Q2430" i="1"/>
  <c r="A2431" i="1"/>
  <c r="J2431" i="1"/>
  <c r="N2431" i="1"/>
  <c r="Q2431" i="1"/>
  <c r="A2432" i="1"/>
  <c r="J2432" i="1"/>
  <c r="N2432" i="1"/>
  <c r="Q2432" i="1"/>
  <c r="A2433" i="1"/>
  <c r="J2433" i="1"/>
  <c r="N2433" i="1"/>
  <c r="Q2433" i="1"/>
  <c r="A2434" i="1"/>
  <c r="J2434" i="1"/>
  <c r="N2434" i="1"/>
  <c r="Q2434" i="1"/>
  <c r="A2435" i="1"/>
  <c r="J2435" i="1"/>
  <c r="N2435" i="1"/>
  <c r="Q2435" i="1"/>
  <c r="A2436" i="1"/>
  <c r="S2436" i="1" s="1"/>
  <c r="AA2436" i="1" s="1"/>
  <c r="J2436" i="1"/>
  <c r="N2436" i="1"/>
  <c r="Q2436" i="1"/>
  <c r="A2437" i="1"/>
  <c r="S2437" i="1" s="1"/>
  <c r="AA2437" i="1" s="1"/>
  <c r="J2437" i="1"/>
  <c r="N2437" i="1"/>
  <c r="Q2437" i="1"/>
  <c r="A2438" i="1"/>
  <c r="J2438" i="1"/>
  <c r="N2438" i="1"/>
  <c r="Q2438" i="1"/>
  <c r="A2439" i="1"/>
  <c r="J2439" i="1"/>
  <c r="N2439" i="1"/>
  <c r="Q2439" i="1"/>
  <c r="A2440" i="1"/>
  <c r="J2440" i="1"/>
  <c r="N2440" i="1"/>
  <c r="Q2440" i="1"/>
  <c r="A2441" i="1"/>
  <c r="J2441" i="1"/>
  <c r="N2441" i="1"/>
  <c r="Q2441" i="1"/>
  <c r="A2442" i="1"/>
  <c r="J2442" i="1"/>
  <c r="N2442" i="1"/>
  <c r="Q2442" i="1"/>
  <c r="A2443" i="1"/>
  <c r="J2443" i="1"/>
  <c r="N2443" i="1"/>
  <c r="Q2443" i="1"/>
  <c r="A2444" i="1"/>
  <c r="J2444" i="1"/>
  <c r="N2444" i="1"/>
  <c r="Q2444" i="1"/>
  <c r="A2445" i="1"/>
  <c r="J2445" i="1"/>
  <c r="N2445" i="1"/>
  <c r="Q2445" i="1"/>
  <c r="A2446" i="1"/>
  <c r="J2446" i="1"/>
  <c r="N2446" i="1"/>
  <c r="Q2446" i="1"/>
  <c r="A2447" i="1"/>
  <c r="J2447" i="1"/>
  <c r="N2447" i="1"/>
  <c r="Q2447" i="1"/>
  <c r="A2448" i="1"/>
  <c r="J2448" i="1"/>
  <c r="N2448" i="1"/>
  <c r="Q2448" i="1"/>
  <c r="A2449" i="1"/>
  <c r="J2449" i="1"/>
  <c r="N2449" i="1"/>
  <c r="Q2449" i="1"/>
  <c r="A2450" i="1"/>
  <c r="J2450" i="1"/>
  <c r="N2450" i="1"/>
  <c r="Q2450" i="1"/>
  <c r="A2451" i="1"/>
  <c r="J2451" i="1"/>
  <c r="N2451" i="1"/>
  <c r="Q2451" i="1"/>
  <c r="A2452" i="1"/>
  <c r="J2452" i="1"/>
  <c r="N2452" i="1"/>
  <c r="Q2452" i="1"/>
  <c r="A2453" i="1"/>
  <c r="J2453" i="1"/>
  <c r="N2453" i="1"/>
  <c r="Q2453" i="1"/>
  <c r="A2454" i="1"/>
  <c r="J2454" i="1"/>
  <c r="N2454" i="1"/>
  <c r="Q2454" i="1"/>
  <c r="A2455" i="1"/>
  <c r="J2455" i="1"/>
  <c r="N2455" i="1"/>
  <c r="Q2455" i="1"/>
  <c r="A2456" i="1"/>
  <c r="J2456" i="1"/>
  <c r="N2456" i="1"/>
  <c r="Q2456" i="1"/>
  <c r="A2457" i="1"/>
  <c r="J2457" i="1"/>
  <c r="N2457" i="1"/>
  <c r="Q2457" i="1"/>
  <c r="A2458" i="1"/>
  <c r="J2458" i="1"/>
  <c r="N2458" i="1"/>
  <c r="Q2458" i="1"/>
  <c r="A2459" i="1"/>
  <c r="J2459" i="1"/>
  <c r="N2459" i="1"/>
  <c r="Q2459" i="1"/>
  <c r="A2460" i="1"/>
  <c r="J2460" i="1"/>
  <c r="N2460" i="1"/>
  <c r="Q2460" i="1"/>
  <c r="A2461" i="1"/>
  <c r="J2461" i="1"/>
  <c r="N2461" i="1"/>
  <c r="Q2461" i="1"/>
  <c r="A2462" i="1"/>
  <c r="J2462" i="1"/>
  <c r="N2462" i="1"/>
  <c r="Q2462" i="1"/>
  <c r="A2463" i="1"/>
  <c r="S2463" i="1" s="1"/>
  <c r="AA2463" i="1" s="1"/>
  <c r="J2463" i="1"/>
  <c r="N2463" i="1"/>
  <c r="Q2463" i="1"/>
  <c r="A2464" i="1"/>
  <c r="J2464" i="1"/>
  <c r="N2464" i="1"/>
  <c r="Q2464" i="1"/>
  <c r="A2465" i="1"/>
  <c r="J2465" i="1"/>
  <c r="N2465" i="1"/>
  <c r="Q2465" i="1"/>
  <c r="A2466" i="1"/>
  <c r="J2466" i="1"/>
  <c r="N2466" i="1"/>
  <c r="Q2466" i="1"/>
  <c r="A2467" i="1"/>
  <c r="J2467" i="1"/>
  <c r="N2467" i="1"/>
  <c r="Q2467" i="1"/>
  <c r="A2468" i="1"/>
  <c r="J2468" i="1"/>
  <c r="N2468" i="1"/>
  <c r="Q2468" i="1"/>
  <c r="A2469" i="1"/>
  <c r="S2469" i="1" s="1"/>
  <c r="AA2469" i="1" s="1"/>
  <c r="J2469" i="1"/>
  <c r="N2469" i="1"/>
  <c r="Q2469" i="1"/>
  <c r="A2470" i="1"/>
  <c r="J2470" i="1"/>
  <c r="N2470" i="1"/>
  <c r="Q2470" i="1"/>
  <c r="A2471" i="1"/>
  <c r="J2471" i="1"/>
  <c r="N2471" i="1"/>
  <c r="Q2471" i="1"/>
  <c r="A2472" i="1"/>
  <c r="J2472" i="1"/>
  <c r="N2472" i="1"/>
  <c r="Q2472" i="1"/>
  <c r="A2473" i="1"/>
  <c r="J2473" i="1"/>
  <c r="N2473" i="1"/>
  <c r="Q2473" i="1"/>
  <c r="A2474" i="1"/>
  <c r="J2474" i="1"/>
  <c r="N2474" i="1"/>
  <c r="Q2474" i="1"/>
  <c r="A2475" i="1"/>
  <c r="J2475" i="1"/>
  <c r="N2475" i="1"/>
  <c r="Q2475" i="1"/>
  <c r="A2476" i="1"/>
  <c r="J2476" i="1"/>
  <c r="N2476" i="1"/>
  <c r="Q2476" i="1"/>
  <c r="A2477" i="1"/>
  <c r="S2477" i="1" s="1"/>
  <c r="AA2477" i="1" s="1"/>
  <c r="J2477" i="1"/>
  <c r="N2477" i="1"/>
  <c r="Q2477" i="1"/>
  <c r="A2478" i="1"/>
  <c r="J2478" i="1"/>
  <c r="N2478" i="1"/>
  <c r="Q2478" i="1"/>
  <c r="A2479" i="1"/>
  <c r="J2479" i="1"/>
  <c r="N2479" i="1"/>
  <c r="Q2479" i="1"/>
  <c r="A2480" i="1"/>
  <c r="J2480" i="1"/>
  <c r="N2480" i="1"/>
  <c r="Q2480" i="1"/>
  <c r="A2481" i="1"/>
  <c r="J2481" i="1"/>
  <c r="N2481" i="1"/>
  <c r="Q2481" i="1"/>
  <c r="A2482" i="1"/>
  <c r="J2482" i="1"/>
  <c r="N2482" i="1"/>
  <c r="Q2482" i="1"/>
  <c r="A2483" i="1"/>
  <c r="J2483" i="1"/>
  <c r="N2483" i="1"/>
  <c r="Q2483" i="1"/>
  <c r="A2484" i="1"/>
  <c r="J2484" i="1"/>
  <c r="N2484" i="1"/>
  <c r="Q2484" i="1"/>
  <c r="A2485" i="1"/>
  <c r="J2485" i="1"/>
  <c r="N2485" i="1"/>
  <c r="Q2485" i="1"/>
  <c r="A2486" i="1"/>
  <c r="J2486" i="1"/>
  <c r="N2486" i="1"/>
  <c r="Q2486" i="1"/>
  <c r="A2487" i="1"/>
  <c r="J2487" i="1"/>
  <c r="N2487" i="1"/>
  <c r="Q2487" i="1"/>
  <c r="A2488" i="1"/>
  <c r="J2488" i="1"/>
  <c r="N2488" i="1"/>
  <c r="Q2488" i="1"/>
  <c r="A2489" i="1"/>
  <c r="J2489" i="1"/>
  <c r="N2489" i="1"/>
  <c r="Q2489" i="1"/>
  <c r="A2490" i="1"/>
  <c r="J2490" i="1"/>
  <c r="N2490" i="1"/>
  <c r="Q2490" i="1"/>
  <c r="A2491" i="1"/>
  <c r="J2491" i="1"/>
  <c r="N2491" i="1"/>
  <c r="Q2491" i="1"/>
  <c r="A2492" i="1"/>
  <c r="J2492" i="1"/>
  <c r="N2492" i="1"/>
  <c r="Q2492" i="1"/>
  <c r="A2493" i="1"/>
  <c r="J2493" i="1"/>
  <c r="N2493" i="1"/>
  <c r="Q2493" i="1"/>
  <c r="A2494" i="1"/>
  <c r="J2494" i="1"/>
  <c r="N2494" i="1"/>
  <c r="Q2494" i="1"/>
  <c r="A2495" i="1"/>
  <c r="J2495" i="1"/>
  <c r="N2495" i="1"/>
  <c r="Q2495" i="1"/>
  <c r="A2496" i="1"/>
  <c r="J2496" i="1"/>
  <c r="N2496" i="1"/>
  <c r="Q2496" i="1"/>
  <c r="A2497" i="1"/>
  <c r="J2497" i="1"/>
  <c r="N2497" i="1"/>
  <c r="Q2497" i="1"/>
  <c r="A2498" i="1"/>
  <c r="J2498" i="1"/>
  <c r="N2498" i="1"/>
  <c r="Q2498" i="1"/>
  <c r="A2499" i="1"/>
  <c r="J2499" i="1"/>
  <c r="N2499" i="1"/>
  <c r="Q2499" i="1"/>
  <c r="A2500" i="1"/>
  <c r="J2500" i="1"/>
  <c r="N2500" i="1"/>
  <c r="Q2500" i="1"/>
  <c r="A2501" i="1"/>
  <c r="J2501" i="1"/>
  <c r="N2501" i="1"/>
  <c r="Q2501" i="1"/>
  <c r="A2502" i="1"/>
  <c r="J2502" i="1"/>
  <c r="N2502" i="1"/>
  <c r="Q2502" i="1"/>
  <c r="A2503" i="1"/>
  <c r="J2503" i="1"/>
  <c r="N2503" i="1"/>
  <c r="Q2503" i="1"/>
  <c r="A2504" i="1"/>
  <c r="J2504" i="1"/>
  <c r="N2504" i="1"/>
  <c r="Q2504" i="1"/>
  <c r="A2505" i="1"/>
  <c r="J2505" i="1"/>
  <c r="N2505" i="1"/>
  <c r="Q2505" i="1"/>
  <c r="A2506" i="1"/>
  <c r="J2506" i="1"/>
  <c r="N2506" i="1"/>
  <c r="Q2506" i="1"/>
  <c r="A2507" i="1"/>
  <c r="S2507" i="1" s="1"/>
  <c r="AA2507" i="1" s="1"/>
  <c r="J2507" i="1"/>
  <c r="N2507" i="1"/>
  <c r="Q2507" i="1"/>
  <c r="A2508" i="1"/>
  <c r="S2508" i="1" s="1"/>
  <c r="AA2508" i="1" s="1"/>
  <c r="J2508" i="1"/>
  <c r="N2508" i="1"/>
  <c r="Q2508" i="1"/>
  <c r="A2509" i="1"/>
  <c r="S2509" i="1" s="1"/>
  <c r="AA2509" i="1" s="1"/>
  <c r="J2509" i="1"/>
  <c r="N2509" i="1"/>
  <c r="Q2509" i="1"/>
  <c r="A2510" i="1"/>
  <c r="J2510" i="1"/>
  <c r="N2510" i="1"/>
  <c r="Q2510" i="1"/>
  <c r="A2511" i="1"/>
  <c r="J2511" i="1"/>
  <c r="N2511" i="1"/>
  <c r="Q2511" i="1"/>
  <c r="A2512" i="1"/>
  <c r="J2512" i="1"/>
  <c r="N2512" i="1"/>
  <c r="Q2512" i="1"/>
  <c r="A2513" i="1"/>
  <c r="J2513" i="1"/>
  <c r="N2513" i="1"/>
  <c r="Q2513" i="1"/>
  <c r="A2514" i="1"/>
  <c r="J2514" i="1"/>
  <c r="N2514" i="1"/>
  <c r="Q2514" i="1"/>
  <c r="A2515" i="1"/>
  <c r="J2515" i="1"/>
  <c r="N2515" i="1"/>
  <c r="Q2515" i="1"/>
  <c r="A2516" i="1"/>
  <c r="J2516" i="1"/>
  <c r="N2516" i="1"/>
  <c r="Q2516" i="1"/>
  <c r="A2517" i="1"/>
  <c r="J2517" i="1"/>
  <c r="N2517" i="1"/>
  <c r="Q2517" i="1"/>
  <c r="A2518" i="1"/>
  <c r="J2518" i="1"/>
  <c r="N2518" i="1"/>
  <c r="Q2518" i="1"/>
  <c r="A2519" i="1"/>
  <c r="J2519" i="1"/>
  <c r="N2519" i="1"/>
  <c r="Q2519" i="1"/>
  <c r="A2520" i="1"/>
  <c r="J2520" i="1"/>
  <c r="N2520" i="1"/>
  <c r="Q2520" i="1"/>
  <c r="A2521" i="1"/>
  <c r="J2521" i="1"/>
  <c r="N2521" i="1"/>
  <c r="Q2521" i="1"/>
  <c r="A2522" i="1"/>
  <c r="J2522" i="1"/>
  <c r="N2522" i="1"/>
  <c r="Q2522" i="1"/>
  <c r="A2523" i="1"/>
  <c r="J2523" i="1"/>
  <c r="N2523" i="1"/>
  <c r="Q2523" i="1"/>
  <c r="A2524" i="1"/>
  <c r="J2524" i="1"/>
  <c r="N2524" i="1"/>
  <c r="Q2524" i="1"/>
  <c r="A2525" i="1"/>
  <c r="J2525" i="1"/>
  <c r="N2525" i="1"/>
  <c r="Q2525" i="1"/>
  <c r="A2526" i="1"/>
  <c r="J2526" i="1"/>
  <c r="N2526" i="1"/>
  <c r="Q2526" i="1"/>
  <c r="A2527" i="1"/>
  <c r="J2527" i="1"/>
  <c r="N2527" i="1"/>
  <c r="Q2527" i="1"/>
  <c r="A2528" i="1"/>
  <c r="J2528" i="1"/>
  <c r="N2528" i="1"/>
  <c r="Q2528" i="1"/>
  <c r="A2529" i="1"/>
  <c r="J2529" i="1"/>
  <c r="N2529" i="1"/>
  <c r="Q2529" i="1"/>
  <c r="A2530" i="1"/>
  <c r="J2530" i="1"/>
  <c r="N2530" i="1"/>
  <c r="Q2530" i="1"/>
  <c r="A2531" i="1"/>
  <c r="J2531" i="1"/>
  <c r="N2531" i="1"/>
  <c r="Q2531" i="1"/>
  <c r="A2532" i="1"/>
  <c r="J2532" i="1"/>
  <c r="N2532" i="1"/>
  <c r="Q2532" i="1"/>
  <c r="A2533" i="1"/>
  <c r="J2533" i="1"/>
  <c r="N2533" i="1"/>
  <c r="Q2533" i="1"/>
  <c r="A2534" i="1"/>
  <c r="J2534" i="1"/>
  <c r="N2534" i="1"/>
  <c r="Q2534" i="1"/>
  <c r="A2535" i="1"/>
  <c r="J2535" i="1"/>
  <c r="N2535" i="1"/>
  <c r="Q2535" i="1"/>
  <c r="A2536" i="1"/>
  <c r="J2536" i="1"/>
  <c r="N2536" i="1"/>
  <c r="Q2536" i="1"/>
  <c r="A2537" i="1"/>
  <c r="J2537" i="1"/>
  <c r="N2537" i="1"/>
  <c r="Q2537" i="1"/>
  <c r="A2538" i="1"/>
  <c r="J2538" i="1"/>
  <c r="N2538" i="1"/>
  <c r="Q2538" i="1"/>
  <c r="A2539" i="1"/>
  <c r="J2539" i="1"/>
  <c r="N2539" i="1"/>
  <c r="Q2539" i="1"/>
  <c r="A2540" i="1"/>
  <c r="J2540" i="1"/>
  <c r="N2540" i="1"/>
  <c r="Q2540" i="1"/>
  <c r="A2541" i="1"/>
  <c r="J2541" i="1"/>
  <c r="N2541" i="1"/>
  <c r="Q2541" i="1"/>
  <c r="A2542" i="1"/>
  <c r="J2542" i="1"/>
  <c r="N2542" i="1"/>
  <c r="Q2542" i="1"/>
  <c r="A2543" i="1"/>
  <c r="J2543" i="1"/>
  <c r="N2543" i="1"/>
  <c r="Q2543" i="1"/>
  <c r="A2544" i="1"/>
  <c r="J2544" i="1"/>
  <c r="N2544" i="1"/>
  <c r="Q2544" i="1"/>
  <c r="A2545" i="1"/>
  <c r="J2545" i="1"/>
  <c r="N2545" i="1"/>
  <c r="Q2545" i="1"/>
  <c r="A2546" i="1"/>
  <c r="J2546" i="1"/>
  <c r="N2546" i="1"/>
  <c r="Q2546" i="1"/>
  <c r="A2547" i="1"/>
  <c r="J2547" i="1"/>
  <c r="N2547" i="1"/>
  <c r="Q2547" i="1"/>
  <c r="A2548" i="1"/>
  <c r="J2548" i="1"/>
  <c r="N2548" i="1"/>
  <c r="Q2548" i="1"/>
  <c r="A2549" i="1"/>
  <c r="J2549" i="1"/>
  <c r="N2549" i="1"/>
  <c r="Q2549" i="1"/>
  <c r="A2550" i="1"/>
  <c r="J2550" i="1"/>
  <c r="N2550" i="1"/>
  <c r="Q2550" i="1"/>
  <c r="A2551" i="1"/>
  <c r="S2551" i="1" s="1"/>
  <c r="AA2551" i="1" s="1"/>
  <c r="J2551" i="1"/>
  <c r="N2551" i="1"/>
  <c r="Q2551" i="1"/>
  <c r="A2552" i="1"/>
  <c r="S2552" i="1" s="1"/>
  <c r="AA2552" i="1" s="1"/>
  <c r="J2552" i="1"/>
  <c r="N2552" i="1"/>
  <c r="Q2552" i="1"/>
  <c r="A2553" i="1"/>
  <c r="J2553" i="1"/>
  <c r="N2553" i="1"/>
  <c r="Q2553" i="1"/>
  <c r="A2554" i="1"/>
  <c r="J2554" i="1"/>
  <c r="N2554" i="1"/>
  <c r="Q2554" i="1"/>
  <c r="A2555" i="1"/>
  <c r="J2555" i="1"/>
  <c r="N2555" i="1"/>
  <c r="Q2555" i="1"/>
  <c r="A2556" i="1"/>
  <c r="J2556" i="1"/>
  <c r="N2556" i="1"/>
  <c r="Q2556" i="1"/>
  <c r="A2557" i="1"/>
  <c r="J2557" i="1"/>
  <c r="N2557" i="1"/>
  <c r="Q2557" i="1"/>
  <c r="A2558" i="1"/>
  <c r="J2558" i="1"/>
  <c r="N2558" i="1"/>
  <c r="Q2558" i="1"/>
  <c r="A2559" i="1"/>
  <c r="J2559" i="1"/>
  <c r="N2559" i="1"/>
  <c r="Q2559" i="1"/>
  <c r="A2560" i="1"/>
  <c r="J2560" i="1"/>
  <c r="N2560" i="1"/>
  <c r="Q2560" i="1"/>
  <c r="A2561" i="1"/>
  <c r="J2561" i="1"/>
  <c r="N2561" i="1"/>
  <c r="Q2561" i="1"/>
  <c r="A2562" i="1"/>
  <c r="J2562" i="1"/>
  <c r="N2562" i="1"/>
  <c r="Q2562" i="1"/>
  <c r="A2563" i="1"/>
  <c r="J2563" i="1"/>
  <c r="N2563" i="1"/>
  <c r="Q2563" i="1"/>
  <c r="A2564" i="1"/>
  <c r="J2564" i="1"/>
  <c r="N2564" i="1"/>
  <c r="Q2564" i="1"/>
  <c r="A2565" i="1"/>
  <c r="J2565" i="1"/>
  <c r="N2565" i="1"/>
  <c r="Q2565" i="1"/>
  <c r="A2566" i="1"/>
  <c r="J2566" i="1"/>
  <c r="N2566" i="1"/>
  <c r="Q2566" i="1"/>
  <c r="A2567" i="1"/>
  <c r="J2567" i="1"/>
  <c r="N2567" i="1"/>
  <c r="Q2567" i="1"/>
  <c r="A2568" i="1"/>
  <c r="J2568" i="1"/>
  <c r="N2568" i="1"/>
  <c r="Q2568" i="1"/>
  <c r="A2569" i="1"/>
  <c r="J2569" i="1"/>
  <c r="N2569" i="1"/>
  <c r="Q2569" i="1"/>
  <c r="A2570" i="1"/>
  <c r="J2570" i="1"/>
  <c r="N2570" i="1"/>
  <c r="Q2570" i="1"/>
  <c r="A2571" i="1"/>
  <c r="J2571" i="1"/>
  <c r="N2571" i="1"/>
  <c r="Q2571" i="1"/>
  <c r="A2572" i="1"/>
  <c r="J2572" i="1"/>
  <c r="N2572" i="1"/>
  <c r="Q2572" i="1"/>
  <c r="A2573" i="1"/>
  <c r="J2573" i="1"/>
  <c r="N2573" i="1"/>
  <c r="Q2573" i="1"/>
  <c r="A2574" i="1"/>
  <c r="J2574" i="1"/>
  <c r="N2574" i="1"/>
  <c r="Q2574" i="1"/>
  <c r="A2575" i="1"/>
  <c r="J2575" i="1"/>
  <c r="N2575" i="1"/>
  <c r="Q2575" i="1"/>
  <c r="A2576" i="1"/>
  <c r="J2576" i="1"/>
  <c r="N2576" i="1"/>
  <c r="Q2576" i="1"/>
  <c r="A2577" i="1"/>
  <c r="J2577" i="1"/>
  <c r="N2577" i="1"/>
  <c r="Q2577" i="1"/>
  <c r="A2578" i="1"/>
  <c r="J2578" i="1"/>
  <c r="N2578" i="1"/>
  <c r="Q2578" i="1"/>
  <c r="A2579" i="1"/>
  <c r="J2579" i="1"/>
  <c r="N2579" i="1"/>
  <c r="Q2579" i="1"/>
  <c r="A2580" i="1"/>
  <c r="J2580" i="1"/>
  <c r="N2580" i="1"/>
  <c r="Q2580" i="1"/>
  <c r="A2581" i="1"/>
  <c r="S2581" i="1" s="1"/>
  <c r="AA2581" i="1" s="1"/>
  <c r="J2581" i="1"/>
  <c r="N2581" i="1"/>
  <c r="Q2581" i="1"/>
  <c r="A2582" i="1"/>
  <c r="J2582" i="1"/>
  <c r="N2582" i="1"/>
  <c r="Q2582" i="1"/>
  <c r="A2583" i="1"/>
  <c r="S2583" i="1" s="1"/>
  <c r="AA2583" i="1" s="1"/>
  <c r="J2583" i="1"/>
  <c r="N2583" i="1"/>
  <c r="Q2583" i="1"/>
  <c r="A2584" i="1"/>
  <c r="S2584" i="1" s="1"/>
  <c r="AA2584" i="1" s="1"/>
  <c r="J2584" i="1"/>
  <c r="N2584" i="1"/>
  <c r="Q2584" i="1"/>
  <c r="A2585" i="1"/>
  <c r="J2585" i="1"/>
  <c r="N2585" i="1"/>
  <c r="Q2585" i="1"/>
  <c r="A2586" i="1"/>
  <c r="J2586" i="1"/>
  <c r="N2586" i="1"/>
  <c r="Q2586" i="1"/>
  <c r="A2587" i="1"/>
  <c r="J2587" i="1"/>
  <c r="N2587" i="1"/>
  <c r="Q2587" i="1"/>
  <c r="A2588" i="1"/>
  <c r="J2588" i="1"/>
  <c r="N2588" i="1"/>
  <c r="Q2588" i="1"/>
  <c r="A2589" i="1"/>
  <c r="J2589" i="1"/>
  <c r="N2589" i="1"/>
  <c r="Q2589" i="1"/>
  <c r="A2590" i="1"/>
  <c r="J2590" i="1"/>
  <c r="N2590" i="1"/>
  <c r="Q2590" i="1"/>
  <c r="A2591" i="1"/>
  <c r="J2591" i="1"/>
  <c r="N2591" i="1"/>
  <c r="Q2591" i="1"/>
  <c r="A2592" i="1"/>
  <c r="J2592" i="1"/>
  <c r="N2592" i="1"/>
  <c r="Q2592" i="1"/>
  <c r="A2593" i="1"/>
  <c r="J2593" i="1"/>
  <c r="N2593" i="1"/>
  <c r="Q2593" i="1"/>
  <c r="A2594" i="1"/>
  <c r="J2594" i="1"/>
  <c r="N2594" i="1"/>
  <c r="Q2594" i="1"/>
  <c r="A2595" i="1"/>
  <c r="J2595" i="1"/>
  <c r="N2595" i="1"/>
  <c r="Q2595" i="1"/>
  <c r="A2596" i="1"/>
  <c r="J2596" i="1"/>
  <c r="N2596" i="1"/>
  <c r="Q2596" i="1"/>
  <c r="A2597" i="1"/>
  <c r="J2597" i="1"/>
  <c r="N2597" i="1"/>
  <c r="Q2597" i="1"/>
  <c r="A2598" i="1"/>
  <c r="J2598" i="1"/>
  <c r="N2598" i="1"/>
  <c r="Q2598" i="1"/>
  <c r="A2599" i="1"/>
  <c r="J2599" i="1"/>
  <c r="N2599" i="1"/>
  <c r="Q2599" i="1"/>
  <c r="A2600" i="1"/>
  <c r="J2600" i="1"/>
  <c r="N2600" i="1"/>
  <c r="Q2600" i="1"/>
  <c r="A2601" i="1"/>
  <c r="J2601" i="1"/>
  <c r="N2601" i="1"/>
  <c r="Q2601" i="1"/>
  <c r="A2602" i="1"/>
  <c r="J2602" i="1"/>
  <c r="N2602" i="1"/>
  <c r="Q2602" i="1"/>
  <c r="A2603" i="1"/>
  <c r="J2603" i="1"/>
  <c r="N2603" i="1"/>
  <c r="Q2603" i="1"/>
  <c r="A2604" i="1"/>
  <c r="J2604" i="1"/>
  <c r="N2604" i="1"/>
  <c r="Q2604" i="1"/>
  <c r="A2605" i="1"/>
  <c r="J2605" i="1"/>
  <c r="N2605" i="1"/>
  <c r="Q2605" i="1"/>
  <c r="A2606" i="1"/>
  <c r="J2606" i="1"/>
  <c r="N2606" i="1"/>
  <c r="Q2606" i="1"/>
  <c r="A2607" i="1"/>
  <c r="J2607" i="1"/>
  <c r="N2607" i="1"/>
  <c r="Q2607" i="1"/>
  <c r="A2608" i="1"/>
  <c r="J2608" i="1"/>
  <c r="N2608" i="1"/>
  <c r="Q2608" i="1"/>
  <c r="A2609" i="1"/>
  <c r="J2609" i="1"/>
  <c r="N2609" i="1"/>
  <c r="Q2609" i="1"/>
  <c r="A2610" i="1"/>
  <c r="J2610" i="1"/>
  <c r="N2610" i="1"/>
  <c r="Q2610" i="1"/>
  <c r="A2611" i="1"/>
  <c r="J2611" i="1"/>
  <c r="N2611" i="1"/>
  <c r="Q2611" i="1"/>
  <c r="A2612" i="1"/>
  <c r="J2612" i="1"/>
  <c r="N2612" i="1"/>
  <c r="Q2612" i="1"/>
  <c r="A2613" i="1"/>
  <c r="J2613" i="1"/>
  <c r="N2613" i="1"/>
  <c r="Q2613" i="1"/>
  <c r="A2614" i="1"/>
  <c r="J2614" i="1"/>
  <c r="N2614" i="1"/>
  <c r="Q2614" i="1"/>
  <c r="A2615" i="1"/>
  <c r="J2615" i="1"/>
  <c r="N2615" i="1"/>
  <c r="Q2615" i="1"/>
  <c r="A2616" i="1"/>
  <c r="J2616" i="1"/>
  <c r="N2616" i="1"/>
  <c r="Q2616" i="1"/>
  <c r="A2617" i="1"/>
  <c r="J2617" i="1"/>
  <c r="N2617" i="1"/>
  <c r="Q2617" i="1"/>
  <c r="A2618" i="1"/>
  <c r="J2618" i="1"/>
  <c r="N2618" i="1"/>
  <c r="Q2618" i="1"/>
  <c r="A2619" i="1"/>
  <c r="S2619" i="1" s="1"/>
  <c r="AA2619" i="1" s="1"/>
  <c r="J2619" i="1"/>
  <c r="N2619" i="1"/>
  <c r="Q2619" i="1"/>
  <c r="A2620" i="1"/>
  <c r="S2620" i="1" s="1"/>
  <c r="AA2620" i="1" s="1"/>
  <c r="J2620" i="1"/>
  <c r="N2620" i="1"/>
  <c r="Q2620" i="1"/>
  <c r="A2621" i="1"/>
  <c r="S2621" i="1" s="1"/>
  <c r="AA2621" i="1" s="1"/>
  <c r="J2621" i="1"/>
  <c r="N2621" i="1"/>
  <c r="Q2621" i="1"/>
  <c r="A2622" i="1"/>
  <c r="J2622" i="1"/>
  <c r="N2622" i="1"/>
  <c r="Q2622" i="1"/>
  <c r="A2623" i="1"/>
  <c r="J2623" i="1"/>
  <c r="N2623" i="1"/>
  <c r="Q2623" i="1"/>
  <c r="A2624" i="1"/>
  <c r="J2624" i="1"/>
  <c r="N2624" i="1"/>
  <c r="Q2624" i="1"/>
  <c r="A2625" i="1"/>
  <c r="J2625" i="1"/>
  <c r="N2625" i="1"/>
  <c r="Q2625" i="1"/>
  <c r="A2626" i="1"/>
  <c r="J2626" i="1"/>
  <c r="N2626" i="1"/>
  <c r="Q2626" i="1"/>
  <c r="A2627" i="1"/>
  <c r="J2627" i="1"/>
  <c r="N2627" i="1"/>
  <c r="Q2627" i="1"/>
  <c r="A2628" i="1"/>
  <c r="J2628" i="1"/>
  <c r="N2628" i="1"/>
  <c r="Q2628" i="1"/>
  <c r="A2629" i="1"/>
  <c r="J2629" i="1"/>
  <c r="N2629" i="1"/>
  <c r="Q2629" i="1"/>
  <c r="A2630" i="1"/>
  <c r="J2630" i="1"/>
  <c r="N2630" i="1"/>
  <c r="Q2630" i="1"/>
  <c r="A2631" i="1"/>
  <c r="J2631" i="1"/>
  <c r="N2631" i="1"/>
  <c r="Q2631" i="1"/>
  <c r="A2632" i="1"/>
  <c r="J2632" i="1"/>
  <c r="N2632" i="1"/>
  <c r="Q2632" i="1"/>
  <c r="A2633" i="1"/>
  <c r="J2633" i="1"/>
  <c r="N2633" i="1"/>
  <c r="Q2633" i="1"/>
  <c r="A2634" i="1"/>
  <c r="J2634" i="1"/>
  <c r="N2634" i="1"/>
  <c r="Q2634" i="1"/>
  <c r="A2635" i="1"/>
  <c r="J2635" i="1"/>
  <c r="N2635" i="1"/>
  <c r="Q2635" i="1"/>
  <c r="A2636" i="1"/>
  <c r="J2636" i="1"/>
  <c r="N2636" i="1"/>
  <c r="Q2636" i="1"/>
  <c r="A2637" i="1"/>
  <c r="J2637" i="1"/>
  <c r="N2637" i="1"/>
  <c r="Q2637" i="1"/>
  <c r="A2638" i="1"/>
  <c r="J2638" i="1"/>
  <c r="N2638" i="1"/>
  <c r="Q2638" i="1"/>
  <c r="A2639" i="1"/>
  <c r="S2639" i="1" s="1"/>
  <c r="AA2639" i="1" s="1"/>
  <c r="J2639" i="1"/>
  <c r="N2639" i="1"/>
  <c r="Q2639" i="1"/>
  <c r="A2640" i="1"/>
  <c r="J2640" i="1"/>
  <c r="N2640" i="1"/>
  <c r="Q2640" i="1"/>
  <c r="A2641" i="1"/>
  <c r="J2641" i="1"/>
  <c r="N2641" i="1"/>
  <c r="Q2641" i="1"/>
  <c r="A2642" i="1"/>
  <c r="J2642" i="1"/>
  <c r="N2642" i="1"/>
  <c r="Q2642" i="1"/>
  <c r="A2643" i="1"/>
  <c r="J2643" i="1"/>
  <c r="N2643" i="1"/>
  <c r="Q2643" i="1"/>
  <c r="A2644" i="1"/>
  <c r="J2644" i="1"/>
  <c r="N2644" i="1"/>
  <c r="Q2644" i="1"/>
  <c r="A2645" i="1"/>
  <c r="J2645" i="1"/>
  <c r="N2645" i="1"/>
  <c r="Q2645" i="1"/>
  <c r="A2646" i="1"/>
  <c r="J2646" i="1"/>
  <c r="N2646" i="1"/>
  <c r="Q2646" i="1"/>
  <c r="A2647" i="1"/>
  <c r="J2647" i="1"/>
  <c r="N2647" i="1"/>
  <c r="Q2647" i="1"/>
  <c r="A2648" i="1"/>
  <c r="J2648" i="1"/>
  <c r="N2648" i="1"/>
  <c r="Q2648" i="1"/>
  <c r="A2649" i="1"/>
  <c r="J2649" i="1"/>
  <c r="N2649" i="1"/>
  <c r="Q2649" i="1"/>
  <c r="A2650" i="1"/>
  <c r="J2650" i="1"/>
  <c r="N2650" i="1"/>
  <c r="Q2650" i="1"/>
  <c r="A2651" i="1"/>
  <c r="S2651" i="1" s="1"/>
  <c r="AA2651" i="1" s="1"/>
  <c r="J2651" i="1"/>
  <c r="N2651" i="1"/>
  <c r="Q2651" i="1"/>
  <c r="A2652" i="1"/>
  <c r="S2652" i="1" s="1"/>
  <c r="AA2652" i="1" s="1"/>
  <c r="J2652" i="1"/>
  <c r="N2652" i="1"/>
  <c r="Q2652" i="1"/>
  <c r="A2653" i="1"/>
  <c r="S2653" i="1" s="1"/>
  <c r="AA2653" i="1" s="1"/>
  <c r="J2653" i="1"/>
  <c r="N2653" i="1"/>
  <c r="Q2653" i="1"/>
  <c r="A2654" i="1"/>
  <c r="J2654" i="1"/>
  <c r="N2654" i="1"/>
  <c r="Q2654" i="1"/>
  <c r="A2655" i="1"/>
  <c r="J2655" i="1"/>
  <c r="N2655" i="1"/>
  <c r="Q2655" i="1"/>
  <c r="A2656" i="1"/>
  <c r="J2656" i="1"/>
  <c r="N2656" i="1"/>
  <c r="Q2656" i="1"/>
  <c r="A2657" i="1"/>
  <c r="J2657" i="1"/>
  <c r="N2657" i="1"/>
  <c r="Q2657" i="1"/>
  <c r="A2658" i="1"/>
  <c r="J2658" i="1"/>
  <c r="N2658" i="1"/>
  <c r="Q2658" i="1"/>
  <c r="A2659" i="1"/>
  <c r="J2659" i="1"/>
  <c r="N2659" i="1"/>
  <c r="Q2659" i="1"/>
  <c r="A2660" i="1"/>
  <c r="J2660" i="1"/>
  <c r="N2660" i="1"/>
  <c r="Q2660" i="1"/>
  <c r="A2661" i="1"/>
  <c r="J2661" i="1"/>
  <c r="N2661" i="1"/>
  <c r="Q2661" i="1"/>
  <c r="A2662" i="1"/>
  <c r="J2662" i="1"/>
  <c r="N2662" i="1"/>
  <c r="Q2662" i="1"/>
  <c r="A2663" i="1"/>
  <c r="J2663" i="1"/>
  <c r="N2663" i="1"/>
  <c r="Q2663" i="1"/>
  <c r="A2664" i="1"/>
  <c r="J2664" i="1"/>
  <c r="N2664" i="1"/>
  <c r="Q2664" i="1"/>
  <c r="A2665" i="1"/>
  <c r="S2665" i="1" s="1"/>
  <c r="AA2665" i="1" s="1"/>
  <c r="J2665" i="1"/>
  <c r="N2665" i="1"/>
  <c r="Q2665" i="1"/>
  <c r="A2666" i="1"/>
  <c r="J2666" i="1"/>
  <c r="N2666" i="1"/>
  <c r="Q2666" i="1"/>
  <c r="A2667" i="1"/>
  <c r="J2667" i="1"/>
  <c r="N2667" i="1"/>
  <c r="Q2667" i="1"/>
  <c r="A2668" i="1"/>
  <c r="J2668" i="1"/>
  <c r="N2668" i="1"/>
  <c r="Q2668" i="1"/>
  <c r="A2669" i="1"/>
  <c r="J2669" i="1"/>
  <c r="N2669" i="1"/>
  <c r="Q2669" i="1"/>
  <c r="A2670" i="1"/>
  <c r="J2670" i="1"/>
  <c r="N2670" i="1"/>
  <c r="Q2670" i="1"/>
  <c r="A2671" i="1"/>
  <c r="S2671" i="1" s="1"/>
  <c r="AA2671" i="1" s="1"/>
  <c r="J2671" i="1"/>
  <c r="N2671" i="1"/>
  <c r="Q2671" i="1"/>
  <c r="A2672" i="1"/>
  <c r="J2672" i="1"/>
  <c r="N2672" i="1"/>
  <c r="Q2672" i="1"/>
  <c r="A2673" i="1"/>
  <c r="J2673" i="1"/>
  <c r="N2673" i="1"/>
  <c r="Q2673" i="1"/>
  <c r="A2674" i="1"/>
  <c r="J2674" i="1"/>
  <c r="N2674" i="1"/>
  <c r="Q2674" i="1"/>
  <c r="A2675" i="1"/>
  <c r="J2675" i="1"/>
  <c r="N2675" i="1"/>
  <c r="Q2675" i="1"/>
  <c r="A2676" i="1"/>
  <c r="J2676" i="1"/>
  <c r="N2676" i="1"/>
  <c r="Q2676" i="1"/>
  <c r="A2677" i="1"/>
  <c r="J2677" i="1"/>
  <c r="N2677" i="1"/>
  <c r="Q2677" i="1"/>
  <c r="A2678" i="1"/>
  <c r="J2678" i="1"/>
  <c r="N2678" i="1"/>
  <c r="Q2678" i="1"/>
  <c r="A2679" i="1"/>
  <c r="J2679" i="1"/>
  <c r="N2679" i="1"/>
  <c r="Q2679" i="1"/>
  <c r="A2680" i="1"/>
  <c r="J2680" i="1"/>
  <c r="N2680" i="1"/>
  <c r="Q2680" i="1"/>
  <c r="A2681" i="1"/>
  <c r="J2681" i="1"/>
  <c r="N2681" i="1"/>
  <c r="Q2681" i="1"/>
  <c r="A2682" i="1"/>
  <c r="J2682" i="1"/>
  <c r="N2682" i="1"/>
  <c r="Q2682" i="1"/>
  <c r="A2683" i="1"/>
  <c r="J2683" i="1"/>
  <c r="N2683" i="1"/>
  <c r="Q2683" i="1"/>
  <c r="A2684" i="1"/>
  <c r="J2684" i="1"/>
  <c r="N2684" i="1"/>
  <c r="Q2684" i="1"/>
  <c r="A2685" i="1"/>
  <c r="J2685" i="1"/>
  <c r="N2685" i="1"/>
  <c r="Q2685" i="1"/>
  <c r="A2686" i="1"/>
  <c r="J2686" i="1"/>
  <c r="N2686" i="1"/>
  <c r="Q2686" i="1"/>
  <c r="A2687" i="1"/>
  <c r="J2687" i="1"/>
  <c r="N2687" i="1"/>
  <c r="Q2687" i="1"/>
  <c r="A2688" i="1"/>
  <c r="J2688" i="1"/>
  <c r="N2688" i="1"/>
  <c r="Q2688" i="1"/>
  <c r="A2689" i="1"/>
  <c r="J2689" i="1"/>
  <c r="N2689" i="1"/>
  <c r="Q2689" i="1"/>
  <c r="A2690" i="1"/>
  <c r="J2690" i="1"/>
  <c r="N2690" i="1"/>
  <c r="Q2690" i="1"/>
  <c r="A2691" i="1"/>
  <c r="J2691" i="1"/>
  <c r="N2691" i="1"/>
  <c r="Q2691" i="1"/>
  <c r="A2692" i="1"/>
  <c r="J2692" i="1"/>
  <c r="N2692" i="1"/>
  <c r="Q2692" i="1"/>
  <c r="A2693" i="1"/>
  <c r="J2693" i="1"/>
  <c r="N2693" i="1"/>
  <c r="Q2693" i="1"/>
  <c r="A2694" i="1"/>
  <c r="J2694" i="1"/>
  <c r="N2694" i="1"/>
  <c r="Q2694" i="1"/>
  <c r="A2695" i="1"/>
  <c r="S2695" i="1" s="1"/>
  <c r="AA2695" i="1" s="1"/>
  <c r="J2695" i="1"/>
  <c r="N2695" i="1"/>
  <c r="Q2695" i="1"/>
  <c r="A2696" i="1"/>
  <c r="S2696" i="1" s="1"/>
  <c r="AA2696" i="1" s="1"/>
  <c r="J2696" i="1"/>
  <c r="N2696" i="1"/>
  <c r="Q2696" i="1"/>
  <c r="A2697" i="1"/>
  <c r="S2697" i="1" s="1"/>
  <c r="AA2697" i="1" s="1"/>
  <c r="J2697" i="1"/>
  <c r="N2697" i="1"/>
  <c r="Q2697" i="1"/>
  <c r="A2698" i="1"/>
  <c r="J2698" i="1"/>
  <c r="N2698" i="1"/>
  <c r="Q2698" i="1"/>
  <c r="A2699" i="1"/>
  <c r="J2699" i="1"/>
  <c r="N2699" i="1"/>
  <c r="Q2699" i="1"/>
  <c r="A2700" i="1"/>
  <c r="J2700" i="1"/>
  <c r="N2700" i="1"/>
  <c r="Q2700" i="1"/>
  <c r="A2701" i="1"/>
  <c r="J2701" i="1"/>
  <c r="N2701" i="1"/>
  <c r="Q2701" i="1"/>
  <c r="A2702" i="1"/>
  <c r="J2702" i="1"/>
  <c r="N2702" i="1"/>
  <c r="Q2702" i="1"/>
  <c r="A2703" i="1"/>
  <c r="J2703" i="1"/>
  <c r="N2703" i="1"/>
  <c r="Q2703" i="1"/>
  <c r="A2704" i="1"/>
  <c r="J2704" i="1"/>
  <c r="N2704" i="1"/>
  <c r="Q2704" i="1"/>
  <c r="A2705" i="1"/>
  <c r="J2705" i="1"/>
  <c r="N2705" i="1"/>
  <c r="Q2705" i="1"/>
  <c r="A2706" i="1"/>
  <c r="J2706" i="1"/>
  <c r="N2706" i="1"/>
  <c r="Q2706" i="1"/>
  <c r="A2707" i="1"/>
  <c r="J2707" i="1"/>
  <c r="N2707" i="1"/>
  <c r="Q2707" i="1"/>
  <c r="A2708" i="1"/>
  <c r="J2708" i="1"/>
  <c r="N2708" i="1"/>
  <c r="Q2708" i="1"/>
  <c r="A2709" i="1"/>
  <c r="J2709" i="1"/>
  <c r="N2709" i="1"/>
  <c r="Q2709" i="1"/>
  <c r="A2710" i="1"/>
  <c r="J2710" i="1"/>
  <c r="N2710" i="1"/>
  <c r="Q2710" i="1"/>
  <c r="A2711" i="1"/>
  <c r="J2711" i="1"/>
  <c r="N2711" i="1"/>
  <c r="Q2711" i="1"/>
  <c r="A2712" i="1"/>
  <c r="J2712" i="1"/>
  <c r="N2712" i="1"/>
  <c r="Q2712" i="1"/>
  <c r="A2713" i="1"/>
  <c r="J2713" i="1"/>
  <c r="N2713" i="1"/>
  <c r="Q2713" i="1"/>
  <c r="A2714" i="1"/>
  <c r="J2714" i="1"/>
  <c r="N2714" i="1"/>
  <c r="Q2714" i="1"/>
  <c r="A2715" i="1"/>
  <c r="J2715" i="1"/>
  <c r="N2715" i="1"/>
  <c r="Q2715" i="1"/>
  <c r="A2716" i="1"/>
  <c r="J2716" i="1"/>
  <c r="N2716" i="1"/>
  <c r="Q2716" i="1"/>
  <c r="A2717" i="1"/>
  <c r="J2717" i="1"/>
  <c r="N2717" i="1"/>
  <c r="Q2717" i="1"/>
  <c r="A2718" i="1"/>
  <c r="J2718" i="1"/>
  <c r="N2718" i="1"/>
  <c r="Q2718" i="1"/>
  <c r="A2719" i="1"/>
  <c r="J2719" i="1"/>
  <c r="N2719" i="1"/>
  <c r="Q2719" i="1"/>
  <c r="A2720" i="1"/>
  <c r="J2720" i="1"/>
  <c r="N2720" i="1"/>
  <c r="Q2720" i="1"/>
  <c r="A2721" i="1"/>
  <c r="J2721" i="1"/>
  <c r="N2721" i="1"/>
  <c r="Q2721" i="1"/>
  <c r="A2722" i="1"/>
  <c r="J2722" i="1"/>
  <c r="N2722" i="1"/>
  <c r="Q2722" i="1"/>
  <c r="A2723" i="1"/>
  <c r="J2723" i="1"/>
  <c r="N2723" i="1"/>
  <c r="Q2723" i="1"/>
  <c r="A2724" i="1"/>
  <c r="J2724" i="1"/>
  <c r="N2724" i="1"/>
  <c r="Q2724" i="1"/>
  <c r="A2725" i="1"/>
  <c r="J2725" i="1"/>
  <c r="N2725" i="1"/>
  <c r="Q2725" i="1"/>
  <c r="A2726" i="1"/>
  <c r="J2726" i="1"/>
  <c r="N2726" i="1"/>
  <c r="Q2726" i="1"/>
  <c r="A2727" i="1"/>
  <c r="J2727" i="1"/>
  <c r="N2727" i="1"/>
  <c r="Q2727" i="1"/>
  <c r="A2728" i="1"/>
  <c r="J2728" i="1"/>
  <c r="N2728" i="1"/>
  <c r="Q2728" i="1"/>
  <c r="A2729" i="1"/>
  <c r="J2729" i="1"/>
  <c r="N2729" i="1"/>
  <c r="Q2729" i="1"/>
  <c r="A2730" i="1"/>
  <c r="J2730" i="1"/>
  <c r="N2730" i="1"/>
  <c r="Q2730" i="1"/>
  <c r="A2731" i="1"/>
  <c r="J2731" i="1"/>
  <c r="N2731" i="1"/>
  <c r="Q2731" i="1"/>
  <c r="A2732" i="1"/>
  <c r="J2732" i="1"/>
  <c r="N2732" i="1"/>
  <c r="Q2732" i="1"/>
  <c r="A2733" i="1"/>
  <c r="S2733" i="1" s="1"/>
  <c r="AA2733" i="1" s="1"/>
  <c r="J2733" i="1"/>
  <c r="N2733" i="1"/>
  <c r="Q2733" i="1"/>
  <c r="A2734" i="1"/>
  <c r="J2734" i="1"/>
  <c r="N2734" i="1"/>
  <c r="Q2734" i="1"/>
  <c r="A2735" i="1"/>
  <c r="S2735" i="1" s="1"/>
  <c r="AA2735" i="1" s="1"/>
  <c r="J2735" i="1"/>
  <c r="N2735" i="1"/>
  <c r="Q2735" i="1"/>
  <c r="A2736" i="1"/>
  <c r="J2736" i="1"/>
  <c r="N2736" i="1"/>
  <c r="Q2736" i="1"/>
  <c r="A2737" i="1"/>
  <c r="J2737" i="1"/>
  <c r="N2737" i="1"/>
  <c r="Q2737" i="1"/>
  <c r="A2738" i="1"/>
  <c r="J2738" i="1"/>
  <c r="N2738" i="1"/>
  <c r="Q2738" i="1"/>
  <c r="A2739" i="1"/>
  <c r="J2739" i="1"/>
  <c r="N2739" i="1"/>
  <c r="Q2739" i="1"/>
  <c r="A2740" i="1"/>
  <c r="J2740" i="1"/>
  <c r="N2740" i="1"/>
  <c r="Q2740" i="1"/>
  <c r="A2741" i="1"/>
  <c r="J2741" i="1"/>
  <c r="N2741" i="1"/>
  <c r="Q2741" i="1"/>
  <c r="A2742" i="1"/>
  <c r="J2742" i="1"/>
  <c r="N2742" i="1"/>
  <c r="Q2742" i="1"/>
  <c r="A2743" i="1"/>
  <c r="J2743" i="1"/>
  <c r="N2743" i="1"/>
  <c r="Q2743" i="1"/>
  <c r="A2744" i="1"/>
  <c r="J2744" i="1"/>
  <c r="N2744" i="1"/>
  <c r="Q2744" i="1"/>
  <c r="A2745" i="1"/>
  <c r="J2745" i="1"/>
  <c r="N2745" i="1"/>
  <c r="Q2745" i="1"/>
  <c r="A2746" i="1"/>
  <c r="J2746" i="1"/>
  <c r="N2746" i="1"/>
  <c r="Q2746" i="1"/>
  <c r="A2747" i="1"/>
  <c r="J2747" i="1"/>
  <c r="N2747" i="1"/>
  <c r="Q2747" i="1"/>
  <c r="A2748" i="1"/>
  <c r="J2748" i="1"/>
  <c r="N2748" i="1"/>
  <c r="Q2748" i="1"/>
  <c r="A2749" i="1"/>
  <c r="J2749" i="1"/>
  <c r="N2749" i="1"/>
  <c r="Q2749" i="1"/>
  <c r="A2750" i="1"/>
  <c r="J2750" i="1"/>
  <c r="N2750" i="1"/>
  <c r="Q2750" i="1"/>
  <c r="A2751" i="1"/>
  <c r="J2751" i="1"/>
  <c r="N2751" i="1"/>
  <c r="Q2751" i="1"/>
  <c r="A2752" i="1"/>
  <c r="J2752" i="1"/>
  <c r="N2752" i="1"/>
  <c r="Q2752" i="1"/>
  <c r="A2753" i="1"/>
  <c r="J2753" i="1"/>
  <c r="N2753" i="1"/>
  <c r="Q2753" i="1"/>
  <c r="A2754" i="1"/>
  <c r="J2754" i="1"/>
  <c r="N2754" i="1"/>
  <c r="Q2754" i="1"/>
  <c r="A2755" i="1"/>
  <c r="J2755" i="1"/>
  <c r="N2755" i="1"/>
  <c r="Q2755" i="1"/>
  <c r="A2756" i="1"/>
  <c r="J2756" i="1"/>
  <c r="N2756" i="1"/>
  <c r="Q2756" i="1"/>
  <c r="A2757" i="1"/>
  <c r="J2757" i="1"/>
  <c r="N2757" i="1"/>
  <c r="Q2757" i="1"/>
  <c r="A2758" i="1"/>
  <c r="J2758" i="1"/>
  <c r="N2758" i="1"/>
  <c r="Q2758" i="1"/>
  <c r="A2759" i="1"/>
  <c r="J2759" i="1"/>
  <c r="N2759" i="1"/>
  <c r="Q2759" i="1"/>
  <c r="A2760" i="1"/>
  <c r="J2760" i="1"/>
  <c r="N2760" i="1"/>
  <c r="Q2760" i="1"/>
  <c r="A2761" i="1"/>
  <c r="J2761" i="1"/>
  <c r="N2761" i="1"/>
  <c r="Q2761" i="1"/>
  <c r="A2762" i="1"/>
  <c r="J2762" i="1"/>
  <c r="N2762" i="1"/>
  <c r="Q2762" i="1"/>
  <c r="A2763" i="1"/>
  <c r="J2763" i="1"/>
  <c r="N2763" i="1"/>
  <c r="Q2763" i="1"/>
  <c r="A2764" i="1"/>
  <c r="S2764" i="1" s="1"/>
  <c r="AA2764" i="1" s="1"/>
  <c r="J2764" i="1"/>
  <c r="N2764" i="1"/>
  <c r="Q2764" i="1"/>
  <c r="A2765" i="1"/>
  <c r="S2765" i="1" s="1"/>
  <c r="AA2765" i="1" s="1"/>
  <c r="J2765" i="1"/>
  <c r="N2765" i="1"/>
  <c r="Q2765" i="1"/>
  <c r="A2766" i="1"/>
  <c r="J2766" i="1"/>
  <c r="N2766" i="1"/>
  <c r="Q2766" i="1"/>
  <c r="A2767" i="1"/>
  <c r="S2767" i="1" s="1"/>
  <c r="AA2767" i="1" s="1"/>
  <c r="J2767" i="1"/>
  <c r="N2767" i="1"/>
  <c r="Q2767" i="1"/>
  <c r="A2768" i="1"/>
  <c r="J2768" i="1"/>
  <c r="N2768" i="1"/>
  <c r="Q2768" i="1"/>
  <c r="A2769" i="1"/>
  <c r="J2769" i="1"/>
  <c r="N2769" i="1"/>
  <c r="Q2769" i="1"/>
  <c r="A2770" i="1"/>
  <c r="J2770" i="1"/>
  <c r="N2770" i="1"/>
  <c r="Q2770" i="1"/>
  <c r="A2771" i="1"/>
  <c r="J2771" i="1"/>
  <c r="N2771" i="1"/>
  <c r="Q2771" i="1"/>
  <c r="A2772" i="1"/>
  <c r="J2772" i="1"/>
  <c r="N2772" i="1"/>
  <c r="Q2772" i="1"/>
  <c r="A2773" i="1"/>
  <c r="J2773" i="1"/>
  <c r="N2773" i="1"/>
  <c r="Q2773" i="1"/>
  <c r="A2774" i="1"/>
  <c r="J2774" i="1"/>
  <c r="N2774" i="1"/>
  <c r="Q2774" i="1"/>
  <c r="A2775" i="1"/>
  <c r="J2775" i="1"/>
  <c r="N2775" i="1"/>
  <c r="Q2775" i="1"/>
  <c r="A2776" i="1"/>
  <c r="J2776" i="1"/>
  <c r="N2776" i="1"/>
  <c r="Q2776" i="1"/>
  <c r="A2777" i="1"/>
  <c r="J2777" i="1"/>
  <c r="N2777" i="1"/>
  <c r="Q2777" i="1"/>
  <c r="A2778" i="1"/>
  <c r="J2778" i="1"/>
  <c r="N2778" i="1"/>
  <c r="Q2778" i="1"/>
  <c r="A2779" i="1"/>
  <c r="J2779" i="1"/>
  <c r="N2779" i="1"/>
  <c r="Q2779" i="1"/>
  <c r="A2780" i="1"/>
  <c r="J2780" i="1"/>
  <c r="N2780" i="1"/>
  <c r="Q2780" i="1"/>
  <c r="A2781" i="1"/>
  <c r="J2781" i="1"/>
  <c r="N2781" i="1"/>
  <c r="Q2781" i="1"/>
  <c r="A2782" i="1"/>
  <c r="J2782" i="1"/>
  <c r="N2782" i="1"/>
  <c r="Q2782" i="1"/>
  <c r="A2783" i="1"/>
  <c r="J2783" i="1"/>
  <c r="N2783" i="1"/>
  <c r="Q2783" i="1"/>
  <c r="A2784" i="1"/>
  <c r="J2784" i="1"/>
  <c r="N2784" i="1"/>
  <c r="Q2784" i="1"/>
  <c r="A2785" i="1"/>
  <c r="J2785" i="1"/>
  <c r="N2785" i="1"/>
  <c r="Q2785" i="1"/>
  <c r="A2786" i="1"/>
  <c r="J2786" i="1"/>
  <c r="N2786" i="1"/>
  <c r="Q2786" i="1"/>
  <c r="A2787" i="1"/>
  <c r="J2787" i="1"/>
  <c r="N2787" i="1"/>
  <c r="Q2787" i="1"/>
  <c r="A2788" i="1"/>
  <c r="J2788" i="1"/>
  <c r="N2788" i="1"/>
  <c r="Q2788" i="1"/>
  <c r="A2789" i="1"/>
  <c r="J2789" i="1"/>
  <c r="N2789" i="1"/>
  <c r="Q2789" i="1"/>
  <c r="A2790" i="1"/>
  <c r="J2790" i="1"/>
  <c r="N2790" i="1"/>
  <c r="Q2790" i="1"/>
  <c r="A2791" i="1"/>
  <c r="J2791" i="1"/>
  <c r="N2791" i="1"/>
  <c r="Q2791" i="1"/>
  <c r="A2792" i="1"/>
  <c r="J2792" i="1"/>
  <c r="N2792" i="1"/>
  <c r="Q2792" i="1"/>
  <c r="A2793" i="1"/>
  <c r="J2793" i="1"/>
  <c r="N2793" i="1"/>
  <c r="Q2793" i="1"/>
  <c r="A2794" i="1"/>
  <c r="J2794" i="1"/>
  <c r="N2794" i="1"/>
  <c r="Q2794" i="1"/>
  <c r="A2795" i="1"/>
  <c r="J2795" i="1"/>
  <c r="N2795" i="1"/>
  <c r="Q2795" i="1"/>
  <c r="A2796" i="1"/>
  <c r="J2796" i="1"/>
  <c r="N2796" i="1"/>
  <c r="Q2796" i="1"/>
  <c r="A2797" i="1"/>
  <c r="J2797" i="1"/>
  <c r="N2797" i="1"/>
  <c r="Q2797" i="1"/>
  <c r="A2798" i="1"/>
  <c r="J2798" i="1"/>
  <c r="N2798" i="1"/>
  <c r="Q2798" i="1"/>
  <c r="A2799" i="1"/>
  <c r="J2799" i="1"/>
  <c r="N2799" i="1"/>
  <c r="Q2799" i="1"/>
  <c r="A2800" i="1"/>
  <c r="J2800" i="1"/>
  <c r="N2800" i="1"/>
  <c r="Q2800" i="1"/>
  <c r="A2801" i="1"/>
  <c r="S2801" i="1" s="1"/>
  <c r="AA2801" i="1" s="1"/>
  <c r="J2801" i="1"/>
  <c r="N2801" i="1"/>
  <c r="Q2801" i="1"/>
  <c r="A2802" i="1"/>
  <c r="J2802" i="1"/>
  <c r="N2802" i="1"/>
  <c r="Q2802" i="1"/>
  <c r="A2803" i="1"/>
  <c r="S2803" i="1" s="1"/>
  <c r="AA2803" i="1" s="1"/>
  <c r="J2803" i="1"/>
  <c r="N2803" i="1"/>
  <c r="Q2803" i="1"/>
  <c r="A2804" i="1"/>
  <c r="J2804" i="1"/>
  <c r="N2804" i="1"/>
  <c r="Q2804" i="1"/>
  <c r="A2805" i="1"/>
  <c r="S2805" i="1" s="1"/>
  <c r="AA2805" i="1" s="1"/>
  <c r="J2805" i="1"/>
  <c r="N2805" i="1"/>
  <c r="Q2805" i="1"/>
  <c r="A2806" i="1"/>
  <c r="J2806" i="1"/>
  <c r="N2806" i="1"/>
  <c r="Q2806" i="1"/>
  <c r="A2807" i="1"/>
  <c r="J2807" i="1"/>
  <c r="N2807" i="1"/>
  <c r="Q2807" i="1"/>
  <c r="A2808" i="1"/>
  <c r="J2808" i="1"/>
  <c r="N2808" i="1"/>
  <c r="Q2808" i="1"/>
  <c r="A2809" i="1"/>
  <c r="J2809" i="1"/>
  <c r="N2809" i="1"/>
  <c r="Q2809" i="1"/>
  <c r="A2810" i="1"/>
  <c r="J2810" i="1"/>
  <c r="N2810" i="1"/>
  <c r="Q2810" i="1"/>
  <c r="A2811" i="1"/>
  <c r="J2811" i="1"/>
  <c r="N2811" i="1"/>
  <c r="Q2811" i="1"/>
  <c r="A2812" i="1"/>
  <c r="J2812" i="1"/>
  <c r="N2812" i="1"/>
  <c r="Q2812" i="1"/>
  <c r="A2813" i="1"/>
  <c r="J2813" i="1"/>
  <c r="N2813" i="1"/>
  <c r="Q2813" i="1"/>
  <c r="A2814" i="1"/>
  <c r="J2814" i="1"/>
  <c r="N2814" i="1"/>
  <c r="Q2814" i="1"/>
  <c r="A2815" i="1"/>
  <c r="J2815" i="1"/>
  <c r="N2815" i="1"/>
  <c r="Q2815" i="1"/>
  <c r="A2816" i="1"/>
  <c r="J2816" i="1"/>
  <c r="N2816" i="1"/>
  <c r="Q2816" i="1"/>
  <c r="A2817" i="1"/>
  <c r="J2817" i="1"/>
  <c r="N2817" i="1"/>
  <c r="Q2817" i="1"/>
  <c r="A2818" i="1"/>
  <c r="J2818" i="1"/>
  <c r="N2818" i="1"/>
  <c r="Q2818" i="1"/>
  <c r="A2819" i="1"/>
  <c r="J2819" i="1"/>
  <c r="N2819" i="1"/>
  <c r="Q2819" i="1"/>
  <c r="A2820" i="1"/>
  <c r="J2820" i="1"/>
  <c r="N2820" i="1"/>
  <c r="Q2820" i="1"/>
  <c r="A2821" i="1"/>
  <c r="J2821" i="1"/>
  <c r="N2821" i="1"/>
  <c r="Q2821" i="1"/>
  <c r="A2822" i="1"/>
  <c r="J2822" i="1"/>
  <c r="N2822" i="1"/>
  <c r="Q2822" i="1"/>
  <c r="A2823" i="1"/>
  <c r="J2823" i="1"/>
  <c r="N2823" i="1"/>
  <c r="Q2823" i="1"/>
  <c r="A2824" i="1"/>
  <c r="J2824" i="1"/>
  <c r="N2824" i="1"/>
  <c r="Q2824" i="1"/>
  <c r="A2825" i="1"/>
  <c r="J2825" i="1"/>
  <c r="N2825" i="1"/>
  <c r="Q2825" i="1"/>
  <c r="A2826" i="1"/>
  <c r="J2826" i="1"/>
  <c r="N2826" i="1"/>
  <c r="Q2826" i="1"/>
  <c r="A2827" i="1"/>
  <c r="J2827" i="1"/>
  <c r="N2827" i="1"/>
  <c r="Q2827" i="1"/>
  <c r="A2828" i="1"/>
  <c r="S2828" i="1" s="1"/>
  <c r="AA2828" i="1" s="1"/>
  <c r="J2828" i="1"/>
  <c r="N2828" i="1"/>
  <c r="Q2828" i="1"/>
  <c r="A2829" i="1"/>
  <c r="S2829" i="1" s="1"/>
  <c r="AA2829" i="1" s="1"/>
  <c r="J2829" i="1"/>
  <c r="N2829" i="1"/>
  <c r="Q2829" i="1"/>
  <c r="A2830" i="1"/>
  <c r="J2830" i="1"/>
  <c r="N2830" i="1"/>
  <c r="Q2830" i="1"/>
  <c r="A2831" i="1"/>
  <c r="J2831" i="1"/>
  <c r="N2831" i="1"/>
  <c r="Q2831" i="1"/>
  <c r="A2832" i="1"/>
  <c r="J2832" i="1"/>
  <c r="N2832" i="1"/>
  <c r="Q2832" i="1"/>
  <c r="A2833" i="1"/>
  <c r="J2833" i="1"/>
  <c r="N2833" i="1"/>
  <c r="Q2833" i="1"/>
  <c r="A2834" i="1"/>
  <c r="J2834" i="1"/>
  <c r="N2834" i="1"/>
  <c r="Q2834" i="1"/>
  <c r="A2835" i="1"/>
  <c r="J2835" i="1"/>
  <c r="N2835" i="1"/>
  <c r="Q2835" i="1"/>
  <c r="A2836" i="1"/>
  <c r="J2836" i="1"/>
  <c r="N2836" i="1"/>
  <c r="Q2836" i="1"/>
  <c r="A2837" i="1"/>
  <c r="J2837" i="1"/>
  <c r="N2837" i="1"/>
  <c r="Q2837" i="1"/>
  <c r="A2838" i="1"/>
  <c r="J2838" i="1"/>
  <c r="N2838" i="1"/>
  <c r="Q2838" i="1"/>
  <c r="A2839" i="1"/>
  <c r="S2839" i="1" s="1"/>
  <c r="AA2839" i="1" s="1"/>
  <c r="J2839" i="1"/>
  <c r="N2839" i="1"/>
  <c r="Q2839" i="1"/>
  <c r="A2840" i="1"/>
  <c r="J2840" i="1"/>
  <c r="N2840" i="1"/>
  <c r="Q2840" i="1"/>
  <c r="A2841" i="1"/>
  <c r="J2841" i="1"/>
  <c r="N2841" i="1"/>
  <c r="Q2841" i="1"/>
  <c r="A2842" i="1"/>
  <c r="J2842" i="1"/>
  <c r="N2842" i="1"/>
  <c r="Q2842" i="1"/>
  <c r="A2843" i="1"/>
  <c r="J2843" i="1"/>
  <c r="N2843" i="1"/>
  <c r="Q2843" i="1"/>
  <c r="A2844" i="1"/>
  <c r="J2844" i="1"/>
  <c r="N2844" i="1"/>
  <c r="Q2844" i="1"/>
  <c r="A2845" i="1"/>
  <c r="J2845" i="1"/>
  <c r="N2845" i="1"/>
  <c r="Q2845" i="1"/>
  <c r="A2846" i="1"/>
  <c r="J2846" i="1"/>
  <c r="N2846" i="1"/>
  <c r="Q2846" i="1"/>
  <c r="A2847" i="1"/>
  <c r="J2847" i="1"/>
  <c r="N2847" i="1"/>
  <c r="Q2847" i="1"/>
  <c r="A2848" i="1"/>
  <c r="J2848" i="1"/>
  <c r="N2848" i="1"/>
  <c r="Q2848" i="1"/>
  <c r="A2849" i="1"/>
  <c r="J2849" i="1"/>
  <c r="N2849" i="1"/>
  <c r="Q2849" i="1"/>
  <c r="A2850" i="1"/>
  <c r="J2850" i="1"/>
  <c r="N2850" i="1"/>
  <c r="Q2850" i="1"/>
  <c r="A2851" i="1"/>
  <c r="J2851" i="1"/>
  <c r="N2851" i="1"/>
  <c r="Q2851" i="1"/>
  <c r="A2852" i="1"/>
  <c r="J2852" i="1"/>
  <c r="N2852" i="1"/>
  <c r="Q2852" i="1"/>
  <c r="A2853" i="1"/>
  <c r="J2853" i="1"/>
  <c r="N2853" i="1"/>
  <c r="Q2853" i="1"/>
  <c r="A2854" i="1"/>
  <c r="J2854" i="1"/>
  <c r="N2854" i="1"/>
  <c r="Q2854" i="1"/>
  <c r="A2855" i="1"/>
  <c r="J2855" i="1"/>
  <c r="N2855" i="1"/>
  <c r="Q2855" i="1"/>
  <c r="A2856" i="1"/>
  <c r="J2856" i="1"/>
  <c r="N2856" i="1"/>
  <c r="Q2856" i="1"/>
  <c r="A2857" i="1"/>
  <c r="J2857" i="1"/>
  <c r="N2857" i="1"/>
  <c r="Q2857" i="1"/>
  <c r="A2858" i="1"/>
  <c r="J2858" i="1"/>
  <c r="N2858" i="1"/>
  <c r="Q2858" i="1"/>
  <c r="A2859" i="1"/>
  <c r="J2859" i="1"/>
  <c r="N2859" i="1"/>
  <c r="Q2859" i="1"/>
  <c r="A2860" i="1"/>
  <c r="S2860" i="1" s="1"/>
  <c r="AA2860" i="1" s="1"/>
  <c r="J2860" i="1"/>
  <c r="N2860" i="1"/>
  <c r="Q2860" i="1"/>
  <c r="A2861" i="1"/>
  <c r="S2861" i="1" s="1"/>
  <c r="AA2861" i="1" s="1"/>
  <c r="J2861" i="1"/>
  <c r="N2861" i="1"/>
  <c r="Q2861" i="1"/>
  <c r="A2862" i="1"/>
  <c r="J2862" i="1"/>
  <c r="N2862" i="1"/>
  <c r="Q2862" i="1"/>
  <c r="A2863" i="1"/>
  <c r="S2863" i="1" s="1"/>
  <c r="AA2863" i="1" s="1"/>
  <c r="J2863" i="1"/>
  <c r="N2863" i="1"/>
  <c r="Q2863" i="1"/>
  <c r="A2864" i="1"/>
  <c r="J2864" i="1"/>
  <c r="N2864" i="1"/>
  <c r="Q2864" i="1"/>
  <c r="A2865" i="1"/>
  <c r="J2865" i="1"/>
  <c r="N2865" i="1"/>
  <c r="Q2865" i="1"/>
  <c r="A2866" i="1"/>
  <c r="J2866" i="1"/>
  <c r="N2866" i="1"/>
  <c r="Q2866" i="1"/>
  <c r="A2867" i="1"/>
  <c r="J2867" i="1"/>
  <c r="N2867" i="1"/>
  <c r="Q2867" i="1"/>
  <c r="A2868" i="1"/>
  <c r="J2868" i="1"/>
  <c r="N2868" i="1"/>
  <c r="Q2868" i="1"/>
  <c r="A2869" i="1"/>
  <c r="J2869" i="1"/>
  <c r="N2869" i="1"/>
  <c r="Q2869" i="1"/>
  <c r="A2870" i="1"/>
  <c r="J2870" i="1"/>
  <c r="N2870" i="1"/>
  <c r="Q2870" i="1"/>
  <c r="A2871" i="1"/>
  <c r="J2871" i="1"/>
  <c r="N2871" i="1"/>
  <c r="Q2871" i="1"/>
  <c r="A2872" i="1"/>
  <c r="J2872" i="1"/>
  <c r="N2872" i="1"/>
  <c r="Q2872" i="1"/>
  <c r="A2873" i="1"/>
  <c r="J2873" i="1"/>
  <c r="N2873" i="1"/>
  <c r="Q2873" i="1"/>
  <c r="A2874" i="1"/>
  <c r="J2874" i="1"/>
  <c r="N2874" i="1"/>
  <c r="Q2874" i="1"/>
  <c r="A2875" i="1"/>
  <c r="J2875" i="1"/>
  <c r="N2875" i="1"/>
  <c r="Q2875" i="1"/>
  <c r="A2876" i="1"/>
  <c r="J2876" i="1"/>
  <c r="N2876" i="1"/>
  <c r="Q2876" i="1"/>
  <c r="A2877" i="1"/>
  <c r="J2877" i="1"/>
  <c r="N2877" i="1"/>
  <c r="Q2877" i="1"/>
  <c r="A2878" i="1"/>
  <c r="J2878" i="1"/>
  <c r="N2878" i="1"/>
  <c r="Q2878" i="1"/>
  <c r="A2879" i="1"/>
  <c r="J2879" i="1"/>
  <c r="N2879" i="1"/>
  <c r="Q2879" i="1"/>
  <c r="A2880" i="1"/>
  <c r="J2880" i="1"/>
  <c r="N2880" i="1"/>
  <c r="Q2880" i="1"/>
  <c r="A2881" i="1"/>
  <c r="J2881" i="1"/>
  <c r="N2881" i="1"/>
  <c r="Q2881" i="1"/>
  <c r="A2882" i="1"/>
  <c r="J2882" i="1"/>
  <c r="N2882" i="1"/>
  <c r="Q2882" i="1"/>
  <c r="A2883" i="1"/>
  <c r="J2883" i="1"/>
  <c r="N2883" i="1"/>
  <c r="Q2883" i="1"/>
  <c r="A2884" i="1"/>
  <c r="J2884" i="1"/>
  <c r="N2884" i="1"/>
  <c r="Q2884" i="1"/>
  <c r="A2885" i="1"/>
  <c r="J2885" i="1"/>
  <c r="N2885" i="1"/>
  <c r="Q2885" i="1"/>
  <c r="A2886" i="1"/>
  <c r="J2886" i="1"/>
  <c r="N2886" i="1"/>
  <c r="Q2886" i="1"/>
  <c r="A2887" i="1"/>
  <c r="J2887" i="1"/>
  <c r="N2887" i="1"/>
  <c r="Q2887" i="1"/>
  <c r="A2888" i="1"/>
  <c r="J2888" i="1"/>
  <c r="N2888" i="1"/>
  <c r="Q2888" i="1"/>
  <c r="A2889" i="1"/>
  <c r="J2889" i="1"/>
  <c r="N2889" i="1"/>
  <c r="Q2889" i="1"/>
  <c r="A2890" i="1"/>
  <c r="J2890" i="1"/>
  <c r="N2890" i="1"/>
  <c r="Q2890" i="1"/>
  <c r="A2891" i="1"/>
  <c r="J2891" i="1"/>
  <c r="N2891" i="1"/>
  <c r="Q2891" i="1"/>
  <c r="A2892" i="1"/>
  <c r="J2892" i="1"/>
  <c r="N2892" i="1"/>
  <c r="Q2892" i="1"/>
  <c r="A2893" i="1"/>
  <c r="S2893" i="1" s="1"/>
  <c r="AA2893" i="1" s="1"/>
  <c r="J2893" i="1"/>
  <c r="N2893" i="1"/>
  <c r="Q2893" i="1"/>
  <c r="A2894" i="1"/>
  <c r="J2894" i="1"/>
  <c r="N2894" i="1"/>
  <c r="Q2894" i="1"/>
  <c r="A2895" i="1"/>
  <c r="S2895" i="1" s="1"/>
  <c r="AA2895" i="1" s="1"/>
  <c r="J2895" i="1"/>
  <c r="N2895" i="1"/>
  <c r="Q2895" i="1"/>
  <c r="A2896" i="1"/>
  <c r="J2896" i="1"/>
  <c r="N2896" i="1"/>
  <c r="Q2896" i="1"/>
  <c r="A2897" i="1"/>
  <c r="J2897" i="1"/>
  <c r="N2897" i="1"/>
  <c r="Q2897" i="1"/>
  <c r="A2898" i="1"/>
  <c r="J2898" i="1"/>
  <c r="N2898" i="1"/>
  <c r="Q2898" i="1"/>
  <c r="A2899" i="1"/>
  <c r="J2899" i="1"/>
  <c r="N2899" i="1"/>
  <c r="Q2899" i="1"/>
  <c r="A2900" i="1"/>
  <c r="J2900" i="1"/>
  <c r="N2900" i="1"/>
  <c r="Q2900" i="1"/>
  <c r="A2901" i="1"/>
  <c r="J2901" i="1"/>
  <c r="N2901" i="1"/>
  <c r="Q2901" i="1"/>
  <c r="A2902" i="1"/>
  <c r="J2902" i="1"/>
  <c r="N2902" i="1"/>
  <c r="Q2902" i="1"/>
  <c r="A2903" i="1"/>
  <c r="S2903" i="1" s="1"/>
  <c r="AA2903" i="1" s="1"/>
  <c r="J2903" i="1"/>
  <c r="N2903" i="1"/>
  <c r="Q2903" i="1"/>
  <c r="A2904" i="1"/>
  <c r="J2904" i="1"/>
  <c r="N2904" i="1"/>
  <c r="Q2904" i="1"/>
  <c r="A2905" i="1"/>
  <c r="J2905" i="1"/>
  <c r="N2905" i="1"/>
  <c r="Q2905" i="1"/>
  <c r="A2906" i="1"/>
  <c r="J2906" i="1"/>
  <c r="N2906" i="1"/>
  <c r="Q2906" i="1"/>
  <c r="A2907" i="1"/>
  <c r="J2907" i="1"/>
  <c r="N2907" i="1"/>
  <c r="Q2907" i="1"/>
  <c r="A2908" i="1"/>
  <c r="J2908" i="1"/>
  <c r="N2908" i="1"/>
  <c r="Q2908" i="1"/>
  <c r="A2909" i="1"/>
  <c r="J2909" i="1"/>
  <c r="N2909" i="1"/>
  <c r="Q2909" i="1"/>
  <c r="A2910" i="1"/>
  <c r="J2910" i="1"/>
  <c r="N2910" i="1"/>
  <c r="Q2910" i="1"/>
  <c r="A2911" i="1"/>
  <c r="J2911" i="1"/>
  <c r="N2911" i="1"/>
  <c r="Q2911" i="1"/>
  <c r="A2912" i="1"/>
  <c r="J2912" i="1"/>
  <c r="N2912" i="1"/>
  <c r="Q2912" i="1"/>
  <c r="A2913" i="1"/>
  <c r="J2913" i="1"/>
  <c r="N2913" i="1"/>
  <c r="Q2913" i="1"/>
  <c r="A2914" i="1"/>
  <c r="J2914" i="1"/>
  <c r="N2914" i="1"/>
  <c r="Q2914" i="1"/>
  <c r="A2915" i="1"/>
  <c r="J2915" i="1"/>
  <c r="N2915" i="1"/>
  <c r="Q2915" i="1"/>
  <c r="A2916" i="1"/>
  <c r="J2916" i="1"/>
  <c r="N2916" i="1"/>
  <c r="Q2916" i="1"/>
  <c r="A2917" i="1"/>
  <c r="J2917" i="1"/>
  <c r="N2917" i="1"/>
  <c r="Q2917" i="1"/>
  <c r="A2918" i="1"/>
  <c r="J2918" i="1"/>
  <c r="N2918" i="1"/>
  <c r="Q2918" i="1"/>
  <c r="A2919" i="1"/>
  <c r="S2919" i="1" s="1"/>
  <c r="AA2919" i="1" s="1"/>
  <c r="J2919" i="1"/>
  <c r="N2919" i="1"/>
  <c r="Q2919" i="1"/>
  <c r="A2920" i="1"/>
  <c r="S2920" i="1" s="1"/>
  <c r="AA2920" i="1" s="1"/>
  <c r="J2920" i="1"/>
  <c r="N2920" i="1"/>
  <c r="Q2920" i="1"/>
  <c r="A2921" i="1"/>
  <c r="S2921" i="1" s="1"/>
  <c r="AA2921" i="1" s="1"/>
  <c r="J2921" i="1"/>
  <c r="N2921" i="1"/>
  <c r="Q2921" i="1"/>
  <c r="A2922" i="1"/>
  <c r="J2922" i="1"/>
  <c r="N2922" i="1"/>
  <c r="Q2922" i="1"/>
  <c r="A2923" i="1"/>
  <c r="J2923" i="1"/>
  <c r="N2923" i="1"/>
  <c r="Q2923" i="1"/>
  <c r="A2924" i="1"/>
  <c r="J2924" i="1"/>
  <c r="N2924" i="1"/>
  <c r="Q2924" i="1"/>
  <c r="A2925" i="1"/>
  <c r="J2925" i="1"/>
  <c r="N2925" i="1"/>
  <c r="Q2925" i="1"/>
  <c r="A2926" i="1"/>
  <c r="J2926" i="1"/>
  <c r="N2926" i="1"/>
  <c r="Q2926" i="1"/>
  <c r="A2927" i="1"/>
  <c r="J2927" i="1"/>
  <c r="N2927" i="1"/>
  <c r="Q2927" i="1"/>
  <c r="A2928" i="1"/>
  <c r="J2928" i="1"/>
  <c r="N2928" i="1"/>
  <c r="Q2928" i="1"/>
  <c r="A2929" i="1"/>
  <c r="J2929" i="1"/>
  <c r="N2929" i="1"/>
  <c r="Q2929" i="1"/>
  <c r="A2930" i="1"/>
  <c r="J2930" i="1"/>
  <c r="N2930" i="1"/>
  <c r="Q2930" i="1"/>
  <c r="A2931" i="1"/>
  <c r="J2931" i="1"/>
  <c r="N2931" i="1"/>
  <c r="Q2931" i="1"/>
  <c r="A2932" i="1"/>
  <c r="J2932" i="1"/>
  <c r="N2932" i="1"/>
  <c r="Q2932" i="1"/>
  <c r="A2933" i="1"/>
  <c r="J2933" i="1"/>
  <c r="N2933" i="1"/>
  <c r="Q2933" i="1"/>
  <c r="A2934" i="1"/>
  <c r="J2934" i="1"/>
  <c r="N2934" i="1"/>
  <c r="Q2934" i="1"/>
  <c r="A2935" i="1"/>
  <c r="S2935" i="1" s="1"/>
  <c r="AA2935" i="1" s="1"/>
  <c r="J2935" i="1"/>
  <c r="N2935" i="1"/>
  <c r="Q2935" i="1"/>
  <c r="A2936" i="1"/>
  <c r="J2936" i="1"/>
  <c r="N2936" i="1"/>
  <c r="Q2936" i="1"/>
  <c r="A2937" i="1"/>
  <c r="J2937" i="1"/>
  <c r="N2937" i="1"/>
  <c r="Q2937" i="1"/>
  <c r="A2938" i="1"/>
  <c r="J2938" i="1"/>
  <c r="N2938" i="1"/>
  <c r="Q2938" i="1"/>
  <c r="A2939" i="1"/>
  <c r="J2939" i="1"/>
  <c r="N2939" i="1"/>
  <c r="Q2939" i="1"/>
  <c r="A2940" i="1"/>
  <c r="J2940" i="1"/>
  <c r="N2940" i="1"/>
  <c r="Q2940" i="1"/>
  <c r="A2941" i="1"/>
  <c r="J2941" i="1"/>
  <c r="N2941" i="1"/>
  <c r="Q2941" i="1"/>
  <c r="A2942" i="1"/>
  <c r="J2942" i="1"/>
  <c r="N2942" i="1"/>
  <c r="Q2942" i="1"/>
  <c r="A2943" i="1"/>
  <c r="J2943" i="1"/>
  <c r="N2943" i="1"/>
  <c r="Q2943" i="1"/>
  <c r="A2944" i="1"/>
  <c r="J2944" i="1"/>
  <c r="N2944" i="1"/>
  <c r="Q2944" i="1"/>
  <c r="A2945" i="1"/>
  <c r="J2945" i="1"/>
  <c r="N2945" i="1"/>
  <c r="Q2945" i="1"/>
  <c r="A2946" i="1"/>
  <c r="J2946" i="1"/>
  <c r="N2946" i="1"/>
  <c r="Q2946" i="1"/>
  <c r="A2947" i="1"/>
  <c r="J2947" i="1"/>
  <c r="N2947" i="1"/>
  <c r="Q2947" i="1"/>
  <c r="A2948" i="1"/>
  <c r="J2948" i="1"/>
  <c r="N2948" i="1"/>
  <c r="Q2948" i="1"/>
  <c r="A2949" i="1"/>
  <c r="S2949" i="1" s="1"/>
  <c r="AA2949" i="1" s="1"/>
  <c r="J2949" i="1"/>
  <c r="N2949" i="1"/>
  <c r="Q2949" i="1"/>
  <c r="A2950" i="1"/>
  <c r="J2950" i="1"/>
  <c r="N2950" i="1"/>
  <c r="Q2950" i="1"/>
  <c r="A2951" i="1"/>
  <c r="S2951" i="1" s="1"/>
  <c r="AA2951" i="1" s="1"/>
  <c r="J2951" i="1"/>
  <c r="N2951" i="1"/>
  <c r="Q2951" i="1"/>
  <c r="A2952" i="1"/>
  <c r="S2952" i="1" s="1"/>
  <c r="AA2952" i="1" s="1"/>
  <c r="J2952" i="1"/>
  <c r="N2952" i="1"/>
  <c r="Q2952" i="1"/>
  <c r="A2953" i="1"/>
  <c r="J2953" i="1"/>
  <c r="N2953" i="1"/>
  <c r="Q2953" i="1"/>
  <c r="A2954" i="1"/>
  <c r="J2954" i="1"/>
  <c r="N2954" i="1"/>
  <c r="Q2954" i="1"/>
  <c r="A2955" i="1"/>
  <c r="J2955" i="1"/>
  <c r="N2955" i="1"/>
  <c r="Q2955" i="1"/>
  <c r="A2956" i="1"/>
  <c r="J2956" i="1"/>
  <c r="N2956" i="1"/>
  <c r="Q2956" i="1"/>
  <c r="A2957" i="1"/>
  <c r="J2957" i="1"/>
  <c r="N2957" i="1"/>
  <c r="Q2957" i="1"/>
  <c r="A2958" i="1"/>
  <c r="J2958" i="1"/>
  <c r="N2958" i="1"/>
  <c r="Q2958" i="1"/>
  <c r="A2959" i="1"/>
  <c r="J2959" i="1"/>
  <c r="N2959" i="1"/>
  <c r="Q2959" i="1"/>
  <c r="A2960" i="1"/>
  <c r="J2960" i="1"/>
  <c r="N2960" i="1"/>
  <c r="Q2960" i="1"/>
  <c r="A2961" i="1"/>
  <c r="J2961" i="1"/>
  <c r="N2961" i="1"/>
  <c r="Q2961" i="1"/>
  <c r="A2962" i="1"/>
  <c r="J2962" i="1"/>
  <c r="N2962" i="1"/>
  <c r="Q2962" i="1"/>
  <c r="A2963" i="1"/>
  <c r="J2963" i="1"/>
  <c r="N2963" i="1"/>
  <c r="Q2963" i="1"/>
  <c r="A2964" i="1"/>
  <c r="J2964" i="1"/>
  <c r="N2964" i="1"/>
  <c r="Q2964" i="1"/>
  <c r="A2965" i="1"/>
  <c r="J2965" i="1"/>
  <c r="N2965" i="1"/>
  <c r="Q2965" i="1"/>
  <c r="A2966" i="1"/>
  <c r="J2966" i="1"/>
  <c r="N2966" i="1"/>
  <c r="Q2966" i="1"/>
  <c r="A2967" i="1"/>
  <c r="J2967" i="1"/>
  <c r="N2967" i="1"/>
  <c r="Q2967" i="1"/>
  <c r="A2968" i="1"/>
  <c r="J2968" i="1"/>
  <c r="N2968" i="1"/>
  <c r="Q2968" i="1"/>
  <c r="A2969" i="1"/>
  <c r="J2969" i="1"/>
  <c r="N2969" i="1"/>
  <c r="Q2969" i="1"/>
  <c r="A2970" i="1"/>
  <c r="J2970" i="1"/>
  <c r="N2970" i="1"/>
  <c r="Q2970" i="1"/>
  <c r="A2971" i="1"/>
  <c r="J2971" i="1"/>
  <c r="N2971" i="1"/>
  <c r="Q2971" i="1"/>
  <c r="A2972" i="1"/>
  <c r="S2972" i="1" s="1"/>
  <c r="AA2972" i="1" s="1"/>
  <c r="J2972" i="1"/>
  <c r="N2972" i="1"/>
  <c r="Q2972" i="1"/>
  <c r="A2973" i="1"/>
  <c r="S2973" i="1" s="1"/>
  <c r="AA2973" i="1" s="1"/>
  <c r="J2973" i="1"/>
  <c r="N2973" i="1"/>
  <c r="Q2973" i="1"/>
  <c r="A2974" i="1"/>
  <c r="J2974" i="1"/>
  <c r="N2974" i="1"/>
  <c r="Q2974" i="1"/>
  <c r="A2975" i="1"/>
  <c r="J2975" i="1"/>
  <c r="N2975" i="1"/>
  <c r="Q2975" i="1"/>
  <c r="A2976" i="1"/>
  <c r="J2976" i="1"/>
  <c r="N2976" i="1"/>
  <c r="Q2976" i="1"/>
  <c r="A2977" i="1"/>
  <c r="J2977" i="1"/>
  <c r="N2977" i="1"/>
  <c r="Q2977" i="1"/>
  <c r="A2978" i="1"/>
  <c r="J2978" i="1"/>
  <c r="N2978" i="1"/>
  <c r="Q2978" i="1"/>
  <c r="A2979" i="1"/>
  <c r="J2979" i="1"/>
  <c r="N2979" i="1"/>
  <c r="Q2979" i="1"/>
  <c r="A2980" i="1"/>
  <c r="J2980" i="1"/>
  <c r="N2980" i="1"/>
  <c r="Q2980" i="1"/>
  <c r="A2981" i="1"/>
  <c r="J2981" i="1"/>
  <c r="N2981" i="1"/>
  <c r="Q2981" i="1"/>
  <c r="A2982" i="1"/>
  <c r="J2982" i="1"/>
  <c r="N2982" i="1"/>
  <c r="Q2982" i="1"/>
  <c r="A2983" i="1"/>
  <c r="J2983" i="1"/>
  <c r="N2983" i="1"/>
  <c r="Q2983" i="1"/>
  <c r="A2984" i="1"/>
  <c r="J2984" i="1"/>
  <c r="N2984" i="1"/>
  <c r="Q2984" i="1"/>
  <c r="A2985" i="1"/>
  <c r="J2985" i="1"/>
  <c r="N2985" i="1"/>
  <c r="Q2985" i="1"/>
  <c r="A2986" i="1"/>
  <c r="J2986" i="1"/>
  <c r="N2986" i="1"/>
  <c r="Q2986" i="1"/>
  <c r="A2987" i="1"/>
  <c r="J2987" i="1"/>
  <c r="N2987" i="1"/>
  <c r="Q2987" i="1"/>
  <c r="A2988" i="1"/>
  <c r="J2988" i="1"/>
  <c r="N2988" i="1"/>
  <c r="Q2988" i="1"/>
  <c r="A2989" i="1"/>
  <c r="J2989" i="1"/>
  <c r="N2989" i="1"/>
  <c r="Q2989" i="1"/>
  <c r="A2990" i="1"/>
  <c r="J2990" i="1"/>
  <c r="N2990" i="1"/>
  <c r="Q2990" i="1"/>
  <c r="A2991" i="1"/>
  <c r="J2991" i="1"/>
  <c r="N2991" i="1"/>
  <c r="Q2991" i="1"/>
  <c r="A2992" i="1"/>
  <c r="J2992" i="1"/>
  <c r="N2992" i="1"/>
  <c r="Q2992" i="1"/>
  <c r="A2993" i="1"/>
  <c r="J2993" i="1"/>
  <c r="N2993" i="1"/>
  <c r="Q2993" i="1"/>
  <c r="A2994" i="1"/>
  <c r="J2994" i="1"/>
  <c r="N2994" i="1"/>
  <c r="Q2994" i="1"/>
  <c r="A2995" i="1"/>
  <c r="J2995" i="1"/>
  <c r="N2995" i="1"/>
  <c r="Q2995" i="1"/>
  <c r="A2996" i="1"/>
  <c r="J2996" i="1"/>
  <c r="N2996" i="1"/>
  <c r="Q2996" i="1"/>
  <c r="A2997" i="1"/>
  <c r="J2997" i="1"/>
  <c r="N2997" i="1"/>
  <c r="Q2997" i="1"/>
  <c r="A2998" i="1"/>
  <c r="J2998" i="1"/>
  <c r="N2998" i="1"/>
  <c r="Q2998" i="1"/>
  <c r="A2999" i="1"/>
  <c r="J2999" i="1"/>
  <c r="N2999" i="1"/>
  <c r="Q2999" i="1"/>
  <c r="A3000" i="1"/>
  <c r="J3000" i="1"/>
  <c r="N3000" i="1"/>
  <c r="Q3000" i="1"/>
  <c r="A3001" i="1"/>
  <c r="J3001" i="1"/>
  <c r="N3001" i="1"/>
  <c r="Q3001" i="1"/>
  <c r="A3002" i="1"/>
  <c r="J3002" i="1"/>
  <c r="N3002" i="1"/>
  <c r="Q3002" i="1"/>
  <c r="A3003" i="1"/>
  <c r="S3003" i="1" s="1"/>
  <c r="AA3003" i="1" s="1"/>
  <c r="J3003" i="1"/>
  <c r="N3003" i="1"/>
  <c r="Q3003" i="1"/>
  <c r="A3004" i="1"/>
  <c r="S3004" i="1" s="1"/>
  <c r="AA3004" i="1" s="1"/>
  <c r="J3004" i="1"/>
  <c r="N3004" i="1"/>
  <c r="Q3004" i="1"/>
  <c r="A3005" i="1"/>
  <c r="S3005" i="1" s="1"/>
  <c r="AA3005" i="1" s="1"/>
  <c r="J3005" i="1"/>
  <c r="N3005" i="1"/>
  <c r="Q3005" i="1"/>
  <c r="A3006" i="1"/>
  <c r="J3006" i="1"/>
  <c r="N3006" i="1"/>
  <c r="Q3006" i="1"/>
  <c r="A3007" i="1"/>
  <c r="J3007" i="1"/>
  <c r="N3007" i="1"/>
  <c r="Q3007" i="1"/>
  <c r="A3008" i="1"/>
  <c r="J3008" i="1"/>
  <c r="N3008" i="1"/>
  <c r="Q3008" i="1"/>
  <c r="A3009" i="1"/>
  <c r="J3009" i="1"/>
  <c r="N3009" i="1"/>
  <c r="Q3009" i="1"/>
  <c r="A3010" i="1"/>
  <c r="J3010" i="1"/>
  <c r="N3010" i="1"/>
  <c r="Q3010" i="1"/>
  <c r="A3011" i="1"/>
  <c r="J3011" i="1"/>
  <c r="N3011" i="1"/>
  <c r="Q3011" i="1"/>
  <c r="A3012" i="1"/>
  <c r="J3012" i="1"/>
  <c r="N3012" i="1"/>
  <c r="Q3012" i="1"/>
  <c r="A3013" i="1"/>
  <c r="J3013" i="1"/>
  <c r="N3013" i="1"/>
  <c r="Q3013" i="1"/>
  <c r="A3014" i="1"/>
  <c r="J3014" i="1"/>
  <c r="N3014" i="1"/>
  <c r="Q3014" i="1"/>
  <c r="A3015" i="1"/>
  <c r="J3015" i="1"/>
  <c r="N3015" i="1"/>
  <c r="Q3015" i="1"/>
  <c r="A3016" i="1"/>
  <c r="J3016" i="1"/>
  <c r="N3016" i="1"/>
  <c r="Q3016" i="1"/>
  <c r="A3017" i="1"/>
  <c r="J3017" i="1"/>
  <c r="N3017" i="1"/>
  <c r="Q3017" i="1"/>
  <c r="A3018" i="1"/>
  <c r="J3018" i="1"/>
  <c r="N3018" i="1"/>
  <c r="Q3018" i="1"/>
  <c r="A3019" i="1"/>
  <c r="J3019" i="1"/>
  <c r="N3019" i="1"/>
  <c r="Q3019" i="1"/>
  <c r="A3020" i="1"/>
  <c r="J3020" i="1"/>
  <c r="N3020" i="1"/>
  <c r="Q3020" i="1"/>
  <c r="A3021" i="1"/>
  <c r="J3021" i="1"/>
  <c r="N3021" i="1"/>
  <c r="Q3021" i="1"/>
  <c r="A3022" i="1"/>
  <c r="J3022" i="1"/>
  <c r="N3022" i="1"/>
  <c r="Q3022" i="1"/>
  <c r="A3023" i="1"/>
  <c r="J3023" i="1"/>
  <c r="N3023" i="1"/>
  <c r="Q3023" i="1"/>
  <c r="A3024" i="1"/>
  <c r="J3024" i="1"/>
  <c r="N3024" i="1"/>
  <c r="Q3024" i="1"/>
  <c r="A3025" i="1"/>
  <c r="S3025" i="1" s="1"/>
  <c r="AA3025" i="1" s="1"/>
  <c r="J3025" i="1"/>
  <c r="N3025" i="1"/>
  <c r="Q3025" i="1"/>
  <c r="A3026" i="1"/>
  <c r="J3026" i="1"/>
  <c r="N3026" i="1"/>
  <c r="Q3026" i="1"/>
  <c r="A3027" i="1"/>
  <c r="J3027" i="1"/>
  <c r="N3027" i="1"/>
  <c r="Q3027" i="1"/>
  <c r="A3028" i="1"/>
  <c r="J3028" i="1"/>
  <c r="N3028" i="1"/>
  <c r="Q3028" i="1"/>
  <c r="A3029" i="1"/>
  <c r="J3029" i="1"/>
  <c r="N3029" i="1"/>
  <c r="Q3029" i="1"/>
  <c r="A3030" i="1"/>
  <c r="J3030" i="1"/>
  <c r="N3030" i="1"/>
  <c r="Q3030" i="1"/>
  <c r="A3031" i="1"/>
  <c r="J3031" i="1"/>
  <c r="N3031" i="1"/>
  <c r="Q3031" i="1"/>
  <c r="A3032" i="1"/>
  <c r="J3032" i="1"/>
  <c r="N3032" i="1"/>
  <c r="Q3032" i="1"/>
  <c r="A3033" i="1"/>
  <c r="S3033" i="1" s="1"/>
  <c r="AA3033" i="1" s="1"/>
  <c r="J3033" i="1"/>
  <c r="N3033" i="1"/>
  <c r="Q3033" i="1"/>
  <c r="A3034" i="1"/>
  <c r="J3034" i="1"/>
  <c r="N3034" i="1"/>
  <c r="Q3034" i="1"/>
  <c r="A3035" i="1"/>
  <c r="S3035" i="1" s="1"/>
  <c r="AA3035" i="1" s="1"/>
  <c r="J3035" i="1"/>
  <c r="N3035" i="1"/>
  <c r="Q3035" i="1"/>
  <c r="A3036" i="1"/>
  <c r="J3036" i="1"/>
  <c r="N3036" i="1"/>
  <c r="Q3036" i="1"/>
  <c r="A3037" i="1"/>
  <c r="J3037" i="1"/>
  <c r="N3037" i="1"/>
  <c r="Q3037" i="1"/>
  <c r="A3038" i="1"/>
  <c r="J3038" i="1"/>
  <c r="N3038" i="1"/>
  <c r="Q3038" i="1"/>
  <c r="A3039" i="1"/>
  <c r="J3039" i="1"/>
  <c r="N3039" i="1"/>
  <c r="Q3039" i="1"/>
  <c r="A3040" i="1"/>
  <c r="J3040" i="1"/>
  <c r="N3040" i="1"/>
  <c r="Q3040" i="1"/>
  <c r="A3041" i="1"/>
  <c r="J3041" i="1"/>
  <c r="N3041" i="1"/>
  <c r="Q3041" i="1"/>
  <c r="A3042" i="1"/>
  <c r="J3042" i="1"/>
  <c r="N3042" i="1"/>
  <c r="Q3042" i="1"/>
  <c r="A3043" i="1"/>
  <c r="J3043" i="1"/>
  <c r="N3043" i="1"/>
  <c r="Q3043" i="1"/>
  <c r="A3044" i="1"/>
  <c r="J3044" i="1"/>
  <c r="N3044" i="1"/>
  <c r="Q3044" i="1"/>
  <c r="A3045" i="1"/>
  <c r="J3045" i="1"/>
  <c r="N3045" i="1"/>
  <c r="Q3045" i="1"/>
  <c r="A3046" i="1"/>
  <c r="J3046" i="1"/>
  <c r="N3046" i="1"/>
  <c r="Q3046" i="1"/>
  <c r="A3047" i="1"/>
  <c r="J3047" i="1"/>
  <c r="N3047" i="1"/>
  <c r="Q3047" i="1"/>
  <c r="A3048" i="1"/>
  <c r="J3048" i="1"/>
  <c r="N3048" i="1"/>
  <c r="Q3048" i="1"/>
  <c r="A3049" i="1"/>
  <c r="J3049" i="1"/>
  <c r="N3049" i="1"/>
  <c r="Q3049" i="1"/>
  <c r="A3050" i="1"/>
  <c r="J3050" i="1"/>
  <c r="N3050" i="1"/>
  <c r="Q3050" i="1"/>
  <c r="A3051" i="1"/>
  <c r="J3051" i="1"/>
  <c r="N3051" i="1"/>
  <c r="Q3051" i="1"/>
  <c r="A3052" i="1"/>
  <c r="J3052" i="1"/>
  <c r="N3052" i="1"/>
  <c r="Q3052" i="1"/>
  <c r="A3053" i="1"/>
  <c r="J3053" i="1"/>
  <c r="N3053" i="1"/>
  <c r="Q3053" i="1"/>
  <c r="A3054" i="1"/>
  <c r="J3054" i="1"/>
  <c r="N3054" i="1"/>
  <c r="Q3054" i="1"/>
  <c r="A3055" i="1"/>
  <c r="S3055" i="1" s="1"/>
  <c r="AA3055" i="1" s="1"/>
  <c r="J3055" i="1"/>
  <c r="N3055" i="1"/>
  <c r="Q3055" i="1"/>
  <c r="A3056" i="1"/>
  <c r="S3056" i="1" s="1"/>
  <c r="AA3056" i="1" s="1"/>
  <c r="J3056" i="1"/>
  <c r="N3056" i="1"/>
  <c r="Q3056" i="1"/>
  <c r="A3057" i="1"/>
  <c r="S3057" i="1" s="1"/>
  <c r="AA3057" i="1" s="1"/>
  <c r="J3057" i="1"/>
  <c r="N3057" i="1"/>
  <c r="Q3057" i="1"/>
  <c r="A3058" i="1"/>
  <c r="J3058" i="1"/>
  <c r="N3058" i="1"/>
  <c r="Q3058" i="1"/>
  <c r="A3059" i="1"/>
  <c r="J3059" i="1"/>
  <c r="N3059" i="1"/>
  <c r="Q3059" i="1"/>
  <c r="A3060" i="1"/>
  <c r="J3060" i="1"/>
  <c r="N3060" i="1"/>
  <c r="Q3060" i="1"/>
  <c r="A3061" i="1"/>
  <c r="J3061" i="1"/>
  <c r="N3061" i="1"/>
  <c r="Q3061" i="1"/>
  <c r="A3062" i="1"/>
  <c r="J3062" i="1"/>
  <c r="N3062" i="1"/>
  <c r="Q3062" i="1"/>
  <c r="A3063" i="1"/>
  <c r="J3063" i="1"/>
  <c r="N3063" i="1"/>
  <c r="Q3063" i="1"/>
  <c r="A3064" i="1"/>
  <c r="J3064" i="1"/>
  <c r="N3064" i="1"/>
  <c r="Q3064" i="1"/>
  <c r="A3065" i="1"/>
  <c r="J3065" i="1"/>
  <c r="N3065" i="1"/>
  <c r="Q3065" i="1"/>
  <c r="A3066" i="1"/>
  <c r="J3066" i="1"/>
  <c r="N3066" i="1"/>
  <c r="Q3066" i="1"/>
  <c r="A3067" i="1"/>
  <c r="J3067" i="1"/>
  <c r="N3067" i="1"/>
  <c r="Q3067" i="1"/>
  <c r="A3068" i="1"/>
  <c r="J3068" i="1"/>
  <c r="N3068" i="1"/>
  <c r="Q3068" i="1"/>
  <c r="A3069" i="1"/>
  <c r="J3069" i="1"/>
  <c r="N3069" i="1"/>
  <c r="Q3069" i="1"/>
  <c r="A3070" i="1"/>
  <c r="J3070" i="1"/>
  <c r="N3070" i="1"/>
  <c r="Q3070" i="1"/>
  <c r="A3071" i="1"/>
  <c r="J3071" i="1"/>
  <c r="N3071" i="1"/>
  <c r="Q3071" i="1"/>
  <c r="A3072" i="1"/>
  <c r="J3072" i="1"/>
  <c r="N3072" i="1"/>
  <c r="Q3072" i="1"/>
  <c r="A3073" i="1"/>
  <c r="J3073" i="1"/>
  <c r="N3073" i="1"/>
  <c r="Q3073" i="1"/>
  <c r="A3074" i="1"/>
  <c r="J3074" i="1"/>
  <c r="N3074" i="1"/>
  <c r="Q3074" i="1"/>
  <c r="A3075" i="1"/>
  <c r="J3075" i="1"/>
  <c r="N3075" i="1"/>
  <c r="Q3075" i="1"/>
  <c r="A3076" i="1"/>
  <c r="J3076" i="1"/>
  <c r="N3076" i="1"/>
  <c r="Q3076" i="1"/>
  <c r="A3077" i="1"/>
  <c r="J3077" i="1"/>
  <c r="N3077" i="1"/>
  <c r="Q3077" i="1"/>
  <c r="A3078" i="1"/>
  <c r="J3078" i="1"/>
  <c r="N3078" i="1"/>
  <c r="Q3078" i="1"/>
  <c r="A3079" i="1"/>
  <c r="J3079" i="1"/>
  <c r="N3079" i="1"/>
  <c r="Q3079" i="1"/>
  <c r="A3080" i="1"/>
  <c r="J3080" i="1"/>
  <c r="N3080" i="1"/>
  <c r="Q3080" i="1"/>
  <c r="A3081" i="1"/>
  <c r="J3081" i="1"/>
  <c r="N3081" i="1"/>
  <c r="Q3081" i="1"/>
  <c r="A3082" i="1"/>
  <c r="J3082" i="1"/>
  <c r="N3082" i="1"/>
  <c r="Q3082" i="1"/>
  <c r="A3083" i="1"/>
  <c r="S3083" i="1" s="1"/>
  <c r="AA3083" i="1" s="1"/>
  <c r="J3083" i="1"/>
  <c r="N3083" i="1"/>
  <c r="Q3083" i="1"/>
  <c r="A3084" i="1"/>
  <c r="S3084" i="1" s="1"/>
  <c r="AA3084" i="1" s="1"/>
  <c r="J3084" i="1"/>
  <c r="N3084" i="1"/>
  <c r="Q3084" i="1"/>
  <c r="A3085" i="1"/>
  <c r="S3085" i="1" s="1"/>
  <c r="AA3085" i="1" s="1"/>
  <c r="J3085" i="1"/>
  <c r="N3085" i="1"/>
  <c r="Q3085" i="1"/>
  <c r="A3086" i="1"/>
  <c r="J3086" i="1"/>
  <c r="N3086" i="1"/>
  <c r="Q3086" i="1"/>
  <c r="A3087" i="1"/>
  <c r="J3087" i="1"/>
  <c r="N3087" i="1"/>
  <c r="Q3087" i="1"/>
  <c r="A3088" i="1"/>
  <c r="J3088" i="1"/>
  <c r="N3088" i="1"/>
  <c r="Q3088" i="1"/>
  <c r="A3089" i="1"/>
  <c r="J3089" i="1"/>
  <c r="N3089" i="1"/>
  <c r="Q3089" i="1"/>
  <c r="A3090" i="1"/>
  <c r="J3090" i="1"/>
  <c r="N3090" i="1"/>
  <c r="Q3090" i="1"/>
  <c r="A3091" i="1"/>
  <c r="J3091" i="1"/>
  <c r="N3091" i="1"/>
  <c r="Q3091" i="1"/>
  <c r="A3092" i="1"/>
  <c r="J3092" i="1"/>
  <c r="N3092" i="1"/>
  <c r="Q3092" i="1"/>
  <c r="A3093" i="1"/>
  <c r="J3093" i="1"/>
  <c r="N3093" i="1"/>
  <c r="Q3093" i="1"/>
  <c r="A3094" i="1"/>
  <c r="J3094" i="1"/>
  <c r="N3094" i="1"/>
  <c r="Q3094" i="1"/>
  <c r="A3095" i="1"/>
  <c r="J3095" i="1"/>
  <c r="N3095" i="1"/>
  <c r="Q3095" i="1"/>
  <c r="A3096" i="1"/>
  <c r="J3096" i="1"/>
  <c r="N3096" i="1"/>
  <c r="Q3096" i="1"/>
  <c r="A3097" i="1"/>
  <c r="J3097" i="1"/>
  <c r="N3097" i="1"/>
  <c r="Q3097" i="1"/>
  <c r="A3098" i="1"/>
  <c r="J3098" i="1"/>
  <c r="N3098" i="1"/>
  <c r="Q3098" i="1"/>
  <c r="A3099" i="1"/>
  <c r="J3099" i="1"/>
  <c r="N3099" i="1"/>
  <c r="Q3099" i="1"/>
  <c r="A3100" i="1"/>
  <c r="J3100" i="1"/>
  <c r="N3100" i="1"/>
  <c r="Q3100" i="1"/>
  <c r="A3101" i="1"/>
  <c r="J3101" i="1"/>
  <c r="N3101" i="1"/>
  <c r="Q3101" i="1"/>
  <c r="A3102" i="1"/>
  <c r="J3102" i="1"/>
  <c r="N3102" i="1"/>
  <c r="Q3102" i="1"/>
  <c r="A3103" i="1"/>
  <c r="J3103" i="1"/>
  <c r="N3103" i="1"/>
  <c r="Q3103" i="1"/>
  <c r="A3104" i="1"/>
  <c r="S3104" i="1" s="1"/>
  <c r="AA3104" i="1" s="1"/>
  <c r="J3104" i="1"/>
  <c r="N3104" i="1"/>
  <c r="Q3104" i="1"/>
  <c r="A3105" i="1"/>
  <c r="S3105" i="1" s="1"/>
  <c r="AA3105" i="1" s="1"/>
  <c r="J3105" i="1"/>
  <c r="N3105" i="1"/>
  <c r="Q3105" i="1"/>
  <c r="A3106" i="1"/>
  <c r="J3106" i="1"/>
  <c r="N3106" i="1"/>
  <c r="Q3106" i="1"/>
  <c r="A3107" i="1"/>
  <c r="J3107" i="1"/>
  <c r="N3107" i="1"/>
  <c r="Q3107" i="1"/>
  <c r="A3108" i="1"/>
  <c r="J3108" i="1"/>
  <c r="N3108" i="1"/>
  <c r="Q3108" i="1"/>
  <c r="A3109" i="1"/>
  <c r="J3109" i="1"/>
  <c r="N3109" i="1"/>
  <c r="Q3109" i="1"/>
  <c r="A3110" i="1"/>
  <c r="J3110" i="1"/>
  <c r="N3110" i="1"/>
  <c r="Q3110" i="1"/>
  <c r="A3111" i="1"/>
  <c r="J3111" i="1"/>
  <c r="N3111" i="1"/>
  <c r="Q3111" i="1"/>
  <c r="A3112" i="1"/>
  <c r="J3112" i="1"/>
  <c r="N3112" i="1"/>
  <c r="Q3112" i="1"/>
  <c r="A3113" i="1"/>
  <c r="S3113" i="1" s="1"/>
  <c r="AA3113" i="1" s="1"/>
  <c r="J3113" i="1"/>
  <c r="N3113" i="1"/>
  <c r="Q3113" i="1"/>
  <c r="A3114" i="1"/>
  <c r="J3114" i="1"/>
  <c r="N3114" i="1"/>
  <c r="Q3114" i="1"/>
  <c r="A3115" i="1"/>
  <c r="J3115" i="1"/>
  <c r="N3115" i="1"/>
  <c r="Q3115" i="1"/>
  <c r="A3116" i="1"/>
  <c r="J3116" i="1"/>
  <c r="N3116" i="1"/>
  <c r="Q3116" i="1"/>
  <c r="A3117" i="1"/>
  <c r="J3117" i="1"/>
  <c r="N3117" i="1"/>
  <c r="Q3117" i="1"/>
  <c r="A3118" i="1"/>
  <c r="J3118" i="1"/>
  <c r="N3118" i="1"/>
  <c r="Q3118" i="1"/>
  <c r="A3119" i="1"/>
  <c r="J3119" i="1"/>
  <c r="N3119" i="1"/>
  <c r="Q3119" i="1"/>
  <c r="A3120" i="1"/>
  <c r="J3120" i="1"/>
  <c r="N3120" i="1"/>
  <c r="Q3120" i="1"/>
  <c r="A3121" i="1"/>
  <c r="J3121" i="1"/>
  <c r="N3121" i="1"/>
  <c r="Q3121" i="1"/>
  <c r="A3122" i="1"/>
  <c r="J3122" i="1"/>
  <c r="N3122" i="1"/>
  <c r="Q3122" i="1"/>
  <c r="A3123" i="1"/>
  <c r="J3123" i="1"/>
  <c r="N3123" i="1"/>
  <c r="Q3123" i="1"/>
  <c r="A3124" i="1"/>
  <c r="J3124" i="1"/>
  <c r="N3124" i="1"/>
  <c r="Q3124" i="1"/>
  <c r="A3125" i="1"/>
  <c r="J3125" i="1"/>
  <c r="N3125" i="1"/>
  <c r="Q3125" i="1"/>
  <c r="A3126" i="1"/>
  <c r="J3126" i="1"/>
  <c r="N3126" i="1"/>
  <c r="Q3126" i="1"/>
  <c r="A3127" i="1"/>
  <c r="J3127" i="1"/>
  <c r="N3127" i="1"/>
  <c r="Q3127" i="1"/>
  <c r="A3128" i="1"/>
  <c r="J3128" i="1"/>
  <c r="N3128" i="1"/>
  <c r="Q3128" i="1"/>
  <c r="A3129" i="1"/>
  <c r="J3129" i="1"/>
  <c r="N3129" i="1"/>
  <c r="Q3129" i="1"/>
  <c r="A3130" i="1"/>
  <c r="J3130" i="1"/>
  <c r="N3130" i="1"/>
  <c r="Q3130" i="1"/>
  <c r="A3131" i="1"/>
  <c r="J3131" i="1"/>
  <c r="N3131" i="1"/>
  <c r="Q3131" i="1"/>
  <c r="A3132" i="1"/>
  <c r="S3132" i="1" s="1"/>
  <c r="AA3132" i="1" s="1"/>
  <c r="J3132" i="1"/>
  <c r="N3132" i="1"/>
  <c r="Q3132" i="1"/>
  <c r="A3133" i="1"/>
  <c r="S3133" i="1" s="1"/>
  <c r="AA3133" i="1" s="1"/>
  <c r="J3133" i="1"/>
  <c r="N3133" i="1"/>
  <c r="Q3133" i="1"/>
  <c r="A3134" i="1"/>
  <c r="J3134" i="1"/>
  <c r="N3134" i="1"/>
  <c r="Q3134" i="1"/>
  <c r="A3135" i="1"/>
  <c r="S3135" i="1" s="1"/>
  <c r="AA3135" i="1" s="1"/>
  <c r="J3135" i="1"/>
  <c r="N3135" i="1"/>
  <c r="Q3135" i="1"/>
  <c r="A3136" i="1"/>
  <c r="J3136" i="1"/>
  <c r="N3136" i="1"/>
  <c r="Q3136" i="1"/>
  <c r="A3137" i="1"/>
  <c r="J3137" i="1"/>
  <c r="N3137" i="1"/>
  <c r="Q3137" i="1"/>
  <c r="A3138" i="1"/>
  <c r="J3138" i="1"/>
  <c r="N3138" i="1"/>
  <c r="Q3138" i="1"/>
  <c r="A3139" i="1"/>
  <c r="J3139" i="1"/>
  <c r="N3139" i="1"/>
  <c r="Q3139" i="1"/>
  <c r="A3140" i="1"/>
  <c r="J3140" i="1"/>
  <c r="N3140" i="1"/>
  <c r="Q3140" i="1"/>
  <c r="A3141" i="1"/>
  <c r="J3141" i="1"/>
  <c r="N3141" i="1"/>
  <c r="Q3141" i="1"/>
  <c r="A3142" i="1"/>
  <c r="J3142" i="1"/>
  <c r="N3142" i="1"/>
  <c r="Q3142" i="1"/>
  <c r="A3143" i="1"/>
  <c r="J3143" i="1"/>
  <c r="N3143" i="1"/>
  <c r="Q3143" i="1"/>
  <c r="A3144" i="1"/>
  <c r="J3144" i="1"/>
  <c r="N3144" i="1"/>
  <c r="Q3144" i="1"/>
  <c r="A3145" i="1"/>
  <c r="J3145" i="1"/>
  <c r="N3145" i="1"/>
  <c r="Q3145" i="1"/>
  <c r="A3146" i="1"/>
  <c r="J3146" i="1"/>
  <c r="N3146" i="1"/>
  <c r="Q3146" i="1"/>
  <c r="A3147" i="1"/>
  <c r="J3147" i="1"/>
  <c r="N3147" i="1"/>
  <c r="Q3147" i="1"/>
  <c r="A3148" i="1"/>
  <c r="J3148" i="1"/>
  <c r="N3148" i="1"/>
  <c r="Q3148" i="1"/>
  <c r="A3149" i="1"/>
  <c r="J3149" i="1"/>
  <c r="N3149" i="1"/>
  <c r="Q3149" i="1"/>
  <c r="A3150" i="1"/>
  <c r="J3150" i="1"/>
  <c r="N3150" i="1"/>
  <c r="Q3150" i="1"/>
  <c r="A3151" i="1"/>
  <c r="J3151" i="1"/>
  <c r="N3151" i="1"/>
  <c r="Q3151" i="1"/>
  <c r="A3152" i="1"/>
  <c r="J3152" i="1"/>
  <c r="N3152" i="1"/>
  <c r="Q3152" i="1"/>
  <c r="A3153" i="1"/>
  <c r="J3153" i="1"/>
  <c r="N3153" i="1"/>
  <c r="Q3153" i="1"/>
  <c r="A3154" i="1"/>
  <c r="J3154" i="1"/>
  <c r="N3154" i="1"/>
  <c r="Q3154" i="1"/>
  <c r="A3155" i="1"/>
  <c r="J3155" i="1"/>
  <c r="N3155" i="1"/>
  <c r="Q3155" i="1"/>
  <c r="A3156" i="1"/>
  <c r="J3156" i="1"/>
  <c r="N3156" i="1"/>
  <c r="Q3156" i="1"/>
  <c r="A3157" i="1"/>
  <c r="J3157" i="1"/>
  <c r="N3157" i="1"/>
  <c r="Q3157" i="1"/>
  <c r="A3158" i="1"/>
  <c r="J3158" i="1"/>
  <c r="N3158" i="1"/>
  <c r="Q3158" i="1"/>
  <c r="A3159" i="1"/>
  <c r="J3159" i="1"/>
  <c r="N3159" i="1"/>
  <c r="Q3159" i="1"/>
  <c r="A3160" i="1"/>
  <c r="J3160" i="1"/>
  <c r="N3160" i="1"/>
  <c r="Q3160" i="1"/>
  <c r="A3161" i="1"/>
  <c r="S3161" i="1" s="1"/>
  <c r="AA3161" i="1" s="1"/>
  <c r="J3161" i="1"/>
  <c r="N3161" i="1"/>
  <c r="Q3161" i="1"/>
  <c r="A3162" i="1"/>
  <c r="J3162" i="1"/>
  <c r="N3162" i="1"/>
  <c r="Q3162" i="1"/>
  <c r="A3163" i="1"/>
  <c r="S3163" i="1" s="1"/>
  <c r="AA3163" i="1" s="1"/>
  <c r="J3163" i="1"/>
  <c r="N3163" i="1"/>
  <c r="Q3163" i="1"/>
  <c r="A3164" i="1"/>
  <c r="J3164" i="1"/>
  <c r="N3164" i="1"/>
  <c r="Q3164" i="1"/>
  <c r="A3165" i="1"/>
  <c r="J3165" i="1"/>
  <c r="N3165" i="1"/>
  <c r="Q3165" i="1"/>
  <c r="A3166" i="1"/>
  <c r="J3166" i="1"/>
  <c r="N3166" i="1"/>
  <c r="Q3166" i="1"/>
  <c r="A3167" i="1"/>
  <c r="J3167" i="1"/>
  <c r="N3167" i="1"/>
  <c r="Q3167" i="1"/>
  <c r="A3168" i="1"/>
  <c r="J3168" i="1"/>
  <c r="N3168" i="1"/>
  <c r="Q3168" i="1"/>
  <c r="A3169" i="1"/>
  <c r="J3169" i="1"/>
  <c r="N3169" i="1"/>
  <c r="Q3169" i="1"/>
  <c r="A3170" i="1"/>
  <c r="J3170" i="1"/>
  <c r="N3170" i="1"/>
  <c r="Q3170" i="1"/>
  <c r="A3171" i="1"/>
  <c r="J3171" i="1"/>
  <c r="N3171" i="1"/>
  <c r="Q3171" i="1"/>
  <c r="A3172" i="1"/>
  <c r="J3172" i="1"/>
  <c r="N3172" i="1"/>
  <c r="Q3172" i="1"/>
  <c r="A3173" i="1"/>
  <c r="J3173" i="1"/>
  <c r="N3173" i="1"/>
  <c r="Q3173" i="1"/>
  <c r="A3174" i="1"/>
  <c r="J3174" i="1"/>
  <c r="N3174" i="1"/>
  <c r="Q3174" i="1"/>
  <c r="A3175" i="1"/>
  <c r="J3175" i="1"/>
  <c r="N3175" i="1"/>
  <c r="Q3175" i="1"/>
  <c r="A3176" i="1"/>
  <c r="J3176" i="1"/>
  <c r="N3176" i="1"/>
  <c r="Q3176" i="1"/>
  <c r="A3177" i="1"/>
  <c r="J3177" i="1"/>
  <c r="N3177" i="1"/>
  <c r="Q3177" i="1"/>
  <c r="A3178" i="1"/>
  <c r="J3178" i="1"/>
  <c r="N3178" i="1"/>
  <c r="Q3178" i="1"/>
  <c r="A3179" i="1"/>
  <c r="J3179" i="1"/>
  <c r="N3179" i="1"/>
  <c r="Q3179" i="1"/>
  <c r="A3180" i="1"/>
  <c r="J3180" i="1"/>
  <c r="N3180" i="1"/>
  <c r="Q3180" i="1"/>
  <c r="A3181" i="1"/>
  <c r="J3181" i="1"/>
  <c r="N3181" i="1"/>
  <c r="Q3181" i="1"/>
  <c r="A3182" i="1"/>
  <c r="J3182" i="1"/>
  <c r="N3182" i="1"/>
  <c r="Q3182" i="1"/>
  <c r="A3183" i="1"/>
  <c r="S3183" i="1" s="1"/>
  <c r="AA3183" i="1" s="1"/>
  <c r="J3183" i="1"/>
  <c r="N3183" i="1"/>
  <c r="Q3183" i="1"/>
  <c r="A3184" i="1"/>
  <c r="S3184" i="1" s="1"/>
  <c r="AA3184" i="1" s="1"/>
  <c r="J3184" i="1"/>
  <c r="N3184" i="1"/>
  <c r="Q3184" i="1"/>
  <c r="A3185" i="1"/>
  <c r="S3185" i="1" s="1"/>
  <c r="AA3185" i="1" s="1"/>
  <c r="J3185" i="1"/>
  <c r="N3185" i="1"/>
  <c r="Q3185" i="1"/>
  <c r="A3186" i="1"/>
  <c r="J3186" i="1"/>
  <c r="N3186" i="1"/>
  <c r="Q3186" i="1"/>
  <c r="A3187" i="1"/>
  <c r="J3187" i="1"/>
  <c r="N3187" i="1"/>
  <c r="Q3187" i="1"/>
  <c r="A3188" i="1"/>
  <c r="J3188" i="1"/>
  <c r="N3188" i="1"/>
  <c r="Q3188" i="1"/>
  <c r="A3189" i="1"/>
  <c r="J3189" i="1"/>
  <c r="N3189" i="1"/>
  <c r="Q3189" i="1"/>
  <c r="A3190" i="1"/>
  <c r="J3190" i="1"/>
  <c r="N3190" i="1"/>
  <c r="Q3190" i="1"/>
  <c r="A3191" i="1"/>
  <c r="J3191" i="1"/>
  <c r="N3191" i="1"/>
  <c r="Q3191" i="1"/>
  <c r="A3192" i="1"/>
  <c r="J3192" i="1"/>
  <c r="N3192" i="1"/>
  <c r="Q3192" i="1"/>
  <c r="A3193" i="1"/>
  <c r="J3193" i="1"/>
  <c r="N3193" i="1"/>
  <c r="Q3193" i="1"/>
  <c r="A3194" i="1"/>
  <c r="J3194" i="1"/>
  <c r="N3194" i="1"/>
  <c r="Q3194" i="1"/>
  <c r="A3195" i="1"/>
  <c r="J3195" i="1"/>
  <c r="N3195" i="1"/>
  <c r="Q3195" i="1"/>
  <c r="A3196" i="1"/>
  <c r="J3196" i="1"/>
  <c r="N3196" i="1"/>
  <c r="Q3196" i="1"/>
  <c r="A3197" i="1"/>
  <c r="J3197" i="1"/>
  <c r="N3197" i="1"/>
  <c r="Q3197" i="1"/>
  <c r="A3198" i="1"/>
  <c r="J3198" i="1"/>
  <c r="N3198" i="1"/>
  <c r="Q3198" i="1"/>
  <c r="A3199" i="1"/>
  <c r="J3199" i="1"/>
  <c r="N3199" i="1"/>
  <c r="Q3199" i="1"/>
  <c r="A3200" i="1"/>
  <c r="J3200" i="1"/>
  <c r="N3200" i="1"/>
  <c r="Q3200" i="1"/>
  <c r="A3201" i="1"/>
  <c r="J3201" i="1"/>
  <c r="N3201" i="1"/>
  <c r="Q3201" i="1"/>
  <c r="A3202" i="1"/>
  <c r="J3202" i="1"/>
  <c r="N3202" i="1"/>
  <c r="Q3202" i="1"/>
  <c r="A3203" i="1"/>
  <c r="J3203" i="1"/>
  <c r="N3203" i="1"/>
  <c r="Q3203" i="1"/>
  <c r="A3204" i="1"/>
  <c r="J3204" i="1"/>
  <c r="N3204" i="1"/>
  <c r="Q3204" i="1"/>
  <c r="A3205" i="1"/>
  <c r="J3205" i="1"/>
  <c r="N3205" i="1"/>
  <c r="Q3205" i="1"/>
  <c r="A3206" i="1"/>
  <c r="J3206" i="1"/>
  <c r="N3206" i="1"/>
  <c r="Q3206" i="1"/>
  <c r="A3207" i="1"/>
  <c r="J3207" i="1"/>
  <c r="N3207" i="1"/>
  <c r="Q3207" i="1"/>
  <c r="A3208" i="1"/>
  <c r="J3208" i="1"/>
  <c r="N3208" i="1"/>
  <c r="Q3208" i="1"/>
  <c r="A3209" i="1"/>
  <c r="J3209" i="1"/>
  <c r="N3209" i="1"/>
  <c r="Q3209" i="1"/>
  <c r="A3210" i="1"/>
  <c r="J3210" i="1"/>
  <c r="N3210" i="1"/>
  <c r="Q3210" i="1"/>
  <c r="A3211" i="1"/>
  <c r="S3211" i="1" s="1"/>
  <c r="AA3211" i="1" s="1"/>
  <c r="J3211" i="1"/>
  <c r="N3211" i="1"/>
  <c r="Q3211" i="1"/>
  <c r="A3212" i="1"/>
  <c r="S3212" i="1" s="1"/>
  <c r="AA3212" i="1" s="1"/>
  <c r="J3212" i="1"/>
  <c r="N3212" i="1"/>
  <c r="Q3212" i="1"/>
  <c r="A3213" i="1"/>
  <c r="S3213" i="1" s="1"/>
  <c r="AA3213" i="1" s="1"/>
  <c r="J3213" i="1"/>
  <c r="N3213" i="1"/>
  <c r="Q3213" i="1"/>
  <c r="A3214" i="1"/>
  <c r="J3214" i="1"/>
  <c r="N3214" i="1"/>
  <c r="Q3214" i="1"/>
  <c r="A3215" i="1"/>
  <c r="J3215" i="1"/>
  <c r="N3215" i="1"/>
  <c r="Q3215" i="1"/>
  <c r="A3216" i="1"/>
  <c r="J3216" i="1"/>
  <c r="N3216" i="1"/>
  <c r="Q3216" i="1"/>
  <c r="A3217" i="1"/>
  <c r="J3217" i="1"/>
  <c r="N3217" i="1"/>
  <c r="Q3217" i="1"/>
  <c r="A3218" i="1"/>
  <c r="J3218" i="1"/>
  <c r="N3218" i="1"/>
  <c r="Q3218" i="1"/>
  <c r="A3219" i="1"/>
  <c r="J3219" i="1"/>
  <c r="N3219" i="1"/>
  <c r="Q3219" i="1"/>
  <c r="A3220" i="1"/>
  <c r="J3220" i="1"/>
  <c r="N3220" i="1"/>
  <c r="Q3220" i="1"/>
  <c r="A3221" i="1"/>
  <c r="J3221" i="1"/>
  <c r="N3221" i="1"/>
  <c r="Q3221" i="1"/>
  <c r="A3222" i="1"/>
  <c r="J3222" i="1"/>
  <c r="N3222" i="1"/>
  <c r="Q3222" i="1"/>
  <c r="A3223" i="1"/>
  <c r="J3223" i="1"/>
  <c r="N3223" i="1"/>
  <c r="Q3223" i="1"/>
  <c r="A3224" i="1"/>
  <c r="J3224" i="1"/>
  <c r="N3224" i="1"/>
  <c r="Q3224" i="1"/>
  <c r="A3225" i="1"/>
  <c r="J3225" i="1"/>
  <c r="N3225" i="1"/>
  <c r="Q3225" i="1"/>
  <c r="A3226" i="1"/>
  <c r="J3226" i="1"/>
  <c r="N3226" i="1"/>
  <c r="Q3226" i="1"/>
  <c r="A3227" i="1"/>
  <c r="J3227" i="1"/>
  <c r="N3227" i="1"/>
  <c r="Q3227" i="1"/>
  <c r="A3228" i="1"/>
  <c r="J3228" i="1"/>
  <c r="N3228" i="1"/>
  <c r="Q3228" i="1"/>
  <c r="A3229" i="1"/>
  <c r="J3229" i="1"/>
  <c r="N3229" i="1"/>
  <c r="Q3229" i="1"/>
  <c r="A3230" i="1"/>
  <c r="J3230" i="1"/>
  <c r="N3230" i="1"/>
  <c r="Q3230" i="1"/>
  <c r="A3231" i="1"/>
  <c r="J3231" i="1"/>
  <c r="N3231" i="1"/>
  <c r="Q3231" i="1"/>
  <c r="A3232" i="1"/>
  <c r="S3232" i="1" s="1"/>
  <c r="AA3232" i="1" s="1"/>
  <c r="J3232" i="1"/>
  <c r="N3232" i="1"/>
  <c r="Q3232" i="1"/>
  <c r="A3233" i="1"/>
  <c r="S3233" i="1" s="1"/>
  <c r="AA3233" i="1" s="1"/>
  <c r="J3233" i="1"/>
  <c r="N3233" i="1"/>
  <c r="Q3233" i="1"/>
  <c r="A3234" i="1"/>
  <c r="J3234" i="1"/>
  <c r="N3234" i="1"/>
  <c r="Q3234" i="1"/>
  <c r="A3235" i="1"/>
  <c r="J3235" i="1"/>
  <c r="N3235" i="1"/>
  <c r="Q3235" i="1"/>
  <c r="A3236" i="1"/>
  <c r="J3236" i="1"/>
  <c r="N3236" i="1"/>
  <c r="Q3236" i="1"/>
  <c r="A3237" i="1"/>
  <c r="J3237" i="1"/>
  <c r="N3237" i="1"/>
  <c r="Q3237" i="1"/>
  <c r="A3238" i="1"/>
  <c r="J3238" i="1"/>
  <c r="N3238" i="1"/>
  <c r="Q3238" i="1"/>
  <c r="A3239" i="1"/>
  <c r="J3239" i="1"/>
  <c r="N3239" i="1"/>
  <c r="Q3239" i="1"/>
  <c r="A3240" i="1"/>
  <c r="J3240" i="1"/>
  <c r="N3240" i="1"/>
  <c r="Q3240" i="1"/>
  <c r="A3241" i="1"/>
  <c r="S3241" i="1" s="1"/>
  <c r="AA3241" i="1" s="1"/>
  <c r="J3241" i="1"/>
  <c r="N3241" i="1"/>
  <c r="Q3241" i="1"/>
  <c r="A3242" i="1"/>
  <c r="J3242" i="1"/>
  <c r="N3242" i="1"/>
  <c r="Q3242" i="1"/>
  <c r="A3243" i="1"/>
  <c r="J3243" i="1"/>
  <c r="N3243" i="1"/>
  <c r="Q3243" i="1"/>
  <c r="A3244" i="1"/>
  <c r="J3244" i="1"/>
  <c r="N3244" i="1"/>
  <c r="Q3244" i="1"/>
  <c r="A3245" i="1"/>
  <c r="J3245" i="1"/>
  <c r="N3245" i="1"/>
  <c r="Q3245" i="1"/>
  <c r="A3246" i="1"/>
  <c r="J3246" i="1"/>
  <c r="N3246" i="1"/>
  <c r="Q3246" i="1"/>
  <c r="A3247" i="1"/>
  <c r="J3247" i="1"/>
  <c r="N3247" i="1"/>
  <c r="Q3247" i="1"/>
  <c r="A3248" i="1"/>
  <c r="J3248" i="1"/>
  <c r="N3248" i="1"/>
  <c r="Q3248" i="1"/>
  <c r="A3249" i="1"/>
  <c r="J3249" i="1"/>
  <c r="N3249" i="1"/>
  <c r="Q3249" i="1"/>
  <c r="A3250" i="1"/>
  <c r="J3250" i="1"/>
  <c r="N3250" i="1"/>
  <c r="Q3250" i="1"/>
  <c r="A3251" i="1"/>
  <c r="J3251" i="1"/>
  <c r="N3251" i="1"/>
  <c r="Q3251" i="1"/>
  <c r="A3252" i="1"/>
  <c r="J3252" i="1"/>
  <c r="N3252" i="1"/>
  <c r="Q3252" i="1"/>
  <c r="A3253" i="1"/>
  <c r="J3253" i="1"/>
  <c r="N3253" i="1"/>
  <c r="Q3253" i="1"/>
  <c r="A3254" i="1"/>
  <c r="J3254" i="1"/>
  <c r="N3254" i="1"/>
  <c r="Q3254" i="1"/>
  <c r="A3255" i="1"/>
  <c r="J3255" i="1"/>
  <c r="N3255" i="1"/>
  <c r="Q3255" i="1"/>
  <c r="A3256" i="1"/>
  <c r="J3256" i="1"/>
  <c r="N3256" i="1"/>
  <c r="Q3256" i="1"/>
  <c r="A3257" i="1"/>
  <c r="J3257" i="1"/>
  <c r="N3257" i="1"/>
  <c r="Q3257" i="1"/>
  <c r="A3258" i="1"/>
  <c r="J3258" i="1"/>
  <c r="N3258" i="1"/>
  <c r="Q3258" i="1"/>
  <c r="A3259" i="1"/>
  <c r="J3259" i="1"/>
  <c r="N3259" i="1"/>
  <c r="Q3259" i="1"/>
  <c r="A3260" i="1"/>
  <c r="S3260" i="1" s="1"/>
  <c r="AA3260" i="1" s="1"/>
  <c r="J3260" i="1"/>
  <c r="N3260" i="1"/>
  <c r="Q3260" i="1"/>
  <c r="A3261" i="1"/>
  <c r="S3261" i="1" s="1"/>
  <c r="AA3261" i="1" s="1"/>
  <c r="J3261" i="1"/>
  <c r="N3261" i="1"/>
  <c r="Q3261" i="1"/>
  <c r="A3262" i="1"/>
  <c r="J3262" i="1"/>
  <c r="N3262" i="1"/>
  <c r="Q3262" i="1"/>
  <c r="A3263" i="1"/>
  <c r="S3263" i="1" s="1"/>
  <c r="AA3263" i="1" s="1"/>
  <c r="J3263" i="1"/>
  <c r="N3263" i="1"/>
  <c r="Q3263" i="1"/>
  <c r="A3264" i="1"/>
  <c r="J3264" i="1"/>
  <c r="N3264" i="1"/>
  <c r="Q3264" i="1"/>
  <c r="A3265" i="1"/>
  <c r="J3265" i="1"/>
  <c r="N3265" i="1"/>
  <c r="Q3265" i="1"/>
  <c r="A3266" i="1"/>
  <c r="J3266" i="1"/>
  <c r="N3266" i="1"/>
  <c r="Q3266" i="1"/>
  <c r="A3267" i="1"/>
  <c r="J3267" i="1"/>
  <c r="N3267" i="1"/>
  <c r="Q3267" i="1"/>
  <c r="A3268" i="1"/>
  <c r="J3268" i="1"/>
  <c r="N3268" i="1"/>
  <c r="Q3268" i="1"/>
  <c r="A3269" i="1"/>
  <c r="J3269" i="1"/>
  <c r="N3269" i="1"/>
  <c r="Q3269" i="1"/>
  <c r="A3270" i="1"/>
  <c r="J3270" i="1"/>
  <c r="N3270" i="1"/>
  <c r="Q3270" i="1"/>
  <c r="A3271" i="1"/>
  <c r="J3271" i="1"/>
  <c r="N3271" i="1"/>
  <c r="Q3271" i="1"/>
  <c r="A3272" i="1"/>
  <c r="J3272" i="1"/>
  <c r="N3272" i="1"/>
  <c r="Q3272" i="1"/>
  <c r="A3273" i="1"/>
  <c r="J3273" i="1"/>
  <c r="N3273" i="1"/>
  <c r="Q3273" i="1"/>
  <c r="A3274" i="1"/>
  <c r="J3274" i="1"/>
  <c r="N3274" i="1"/>
  <c r="Q3274" i="1"/>
  <c r="A3275" i="1"/>
  <c r="J3275" i="1"/>
  <c r="N3275" i="1"/>
  <c r="Q3275" i="1"/>
  <c r="A3276" i="1"/>
  <c r="J3276" i="1"/>
  <c r="N3276" i="1"/>
  <c r="Q3276" i="1"/>
  <c r="A3277" i="1"/>
  <c r="J3277" i="1"/>
  <c r="N3277" i="1"/>
  <c r="Q3277" i="1"/>
  <c r="A3278" i="1"/>
  <c r="J3278" i="1"/>
  <c r="N3278" i="1"/>
  <c r="Q3278" i="1"/>
  <c r="A3279" i="1"/>
  <c r="J3279" i="1"/>
  <c r="N3279" i="1"/>
  <c r="Q3279" i="1"/>
  <c r="A3280" i="1"/>
  <c r="J3280" i="1"/>
  <c r="N3280" i="1"/>
  <c r="Q3280" i="1"/>
  <c r="A3281" i="1"/>
  <c r="J3281" i="1"/>
  <c r="N3281" i="1"/>
  <c r="Q3281" i="1"/>
  <c r="A3282" i="1"/>
  <c r="J3282" i="1"/>
  <c r="N3282" i="1"/>
  <c r="Q3282" i="1"/>
  <c r="A3283" i="1"/>
  <c r="J3283" i="1"/>
  <c r="N3283" i="1"/>
  <c r="Q3283" i="1"/>
  <c r="A3284" i="1"/>
  <c r="J3284" i="1"/>
  <c r="N3284" i="1"/>
  <c r="Q3284" i="1"/>
  <c r="A3285" i="1"/>
  <c r="J3285" i="1"/>
  <c r="N3285" i="1"/>
  <c r="Q3285" i="1"/>
  <c r="A3286" i="1"/>
  <c r="J3286" i="1"/>
  <c r="N3286" i="1"/>
  <c r="Q3286" i="1"/>
  <c r="A3287" i="1"/>
  <c r="J3287" i="1"/>
  <c r="N3287" i="1"/>
  <c r="Q3287" i="1"/>
  <c r="A3288" i="1"/>
  <c r="J3288" i="1"/>
  <c r="N3288" i="1"/>
  <c r="Q3288" i="1"/>
  <c r="A3289" i="1"/>
  <c r="S3289" i="1" s="1"/>
  <c r="AA3289" i="1" s="1"/>
  <c r="J3289" i="1"/>
  <c r="N3289" i="1"/>
  <c r="Q3289" i="1"/>
  <c r="A3290" i="1"/>
  <c r="J3290" i="1"/>
  <c r="N3290" i="1"/>
  <c r="Q3290" i="1"/>
  <c r="A3291" i="1"/>
  <c r="S3291" i="1" s="1"/>
  <c r="AA3291" i="1" s="1"/>
  <c r="J3291" i="1"/>
  <c r="N3291" i="1"/>
  <c r="Q3291" i="1"/>
  <c r="A3292" i="1"/>
  <c r="J3292" i="1"/>
  <c r="N3292" i="1"/>
  <c r="Q3292" i="1"/>
  <c r="A3293" i="1"/>
  <c r="J3293" i="1"/>
  <c r="N3293" i="1"/>
  <c r="Q3293" i="1"/>
  <c r="A3294" i="1"/>
  <c r="J3294" i="1"/>
  <c r="N3294" i="1"/>
  <c r="Q3294" i="1"/>
  <c r="A3295" i="1"/>
  <c r="J3295" i="1"/>
  <c r="N3295" i="1"/>
  <c r="Q3295" i="1"/>
  <c r="A3296" i="1"/>
  <c r="J3296" i="1"/>
  <c r="N3296" i="1"/>
  <c r="Q3296" i="1"/>
  <c r="A3297" i="1"/>
  <c r="J3297" i="1"/>
  <c r="N3297" i="1"/>
  <c r="Q3297" i="1"/>
  <c r="A3298" i="1"/>
  <c r="J3298" i="1"/>
  <c r="N3298" i="1"/>
  <c r="Q3298" i="1"/>
  <c r="A3299" i="1"/>
  <c r="J3299" i="1"/>
  <c r="N3299" i="1"/>
  <c r="Q3299" i="1"/>
  <c r="A3300" i="1"/>
  <c r="J3300" i="1"/>
  <c r="N3300" i="1"/>
  <c r="Q3300" i="1"/>
  <c r="A3301" i="1"/>
  <c r="J3301" i="1"/>
  <c r="N3301" i="1"/>
  <c r="Q3301" i="1"/>
  <c r="A3302" i="1"/>
  <c r="J3302" i="1"/>
  <c r="N3302" i="1"/>
  <c r="Q3302" i="1"/>
  <c r="A3303" i="1"/>
  <c r="J3303" i="1"/>
  <c r="N3303" i="1"/>
  <c r="Q3303" i="1"/>
  <c r="A3304" i="1"/>
  <c r="J3304" i="1"/>
  <c r="N3304" i="1"/>
  <c r="Q3304" i="1"/>
  <c r="A3305" i="1"/>
  <c r="J3305" i="1"/>
  <c r="N3305" i="1"/>
  <c r="Q3305" i="1"/>
  <c r="A3306" i="1"/>
  <c r="J3306" i="1"/>
  <c r="N3306" i="1"/>
  <c r="Q3306" i="1"/>
  <c r="A3307" i="1"/>
  <c r="J3307" i="1"/>
  <c r="N3307" i="1"/>
  <c r="Q3307" i="1"/>
  <c r="A3308" i="1"/>
  <c r="J3308" i="1"/>
  <c r="N3308" i="1"/>
  <c r="Q3308" i="1"/>
  <c r="A3309" i="1"/>
  <c r="J3309" i="1"/>
  <c r="N3309" i="1"/>
  <c r="Q3309" i="1"/>
  <c r="A3310" i="1"/>
  <c r="J3310" i="1"/>
  <c r="N3310" i="1"/>
  <c r="Q3310" i="1"/>
  <c r="A3311" i="1"/>
  <c r="S3311" i="1" s="1"/>
  <c r="AA3311" i="1" s="1"/>
  <c r="J3311" i="1"/>
  <c r="N3311" i="1"/>
  <c r="Q3311" i="1"/>
  <c r="A3312" i="1"/>
  <c r="S3312" i="1" s="1"/>
  <c r="AA3312" i="1" s="1"/>
  <c r="J3312" i="1"/>
  <c r="N3312" i="1"/>
  <c r="Q3312" i="1"/>
  <c r="A3313" i="1"/>
  <c r="S3313" i="1" s="1"/>
  <c r="AA3313" i="1" s="1"/>
  <c r="J3313" i="1"/>
  <c r="N3313" i="1"/>
  <c r="Q3313" i="1"/>
  <c r="A3314" i="1"/>
  <c r="J3314" i="1"/>
  <c r="N3314" i="1"/>
  <c r="Q3314" i="1"/>
  <c r="A3315" i="1"/>
  <c r="J3315" i="1"/>
  <c r="N3315" i="1"/>
  <c r="Q3315" i="1"/>
  <c r="A3316" i="1"/>
  <c r="J3316" i="1"/>
  <c r="N3316" i="1"/>
  <c r="Q3316" i="1"/>
  <c r="A3317" i="1"/>
  <c r="J3317" i="1"/>
  <c r="N3317" i="1"/>
  <c r="Q3317" i="1"/>
  <c r="A3318" i="1"/>
  <c r="J3318" i="1"/>
  <c r="N3318" i="1"/>
  <c r="Q3318" i="1"/>
  <c r="A3319" i="1"/>
  <c r="J3319" i="1"/>
  <c r="N3319" i="1"/>
  <c r="Q3319" i="1"/>
  <c r="A3320" i="1"/>
  <c r="J3320" i="1"/>
  <c r="N3320" i="1"/>
  <c r="Q3320" i="1"/>
  <c r="A3321" i="1"/>
  <c r="J3321" i="1"/>
  <c r="N3321" i="1"/>
  <c r="Q3321" i="1"/>
  <c r="A3322" i="1"/>
  <c r="J3322" i="1"/>
  <c r="N3322" i="1"/>
  <c r="Q3322" i="1"/>
  <c r="A3323" i="1"/>
  <c r="J3323" i="1"/>
  <c r="N3323" i="1"/>
  <c r="Q3323" i="1"/>
  <c r="A3324" i="1"/>
  <c r="J3324" i="1"/>
  <c r="N3324" i="1"/>
  <c r="Q3324" i="1"/>
  <c r="A3325" i="1"/>
  <c r="J3325" i="1"/>
  <c r="N3325" i="1"/>
  <c r="Q3325" i="1"/>
  <c r="A3326" i="1"/>
  <c r="J3326" i="1"/>
  <c r="N3326" i="1"/>
  <c r="Q3326" i="1"/>
  <c r="A3327" i="1"/>
  <c r="J3327" i="1"/>
  <c r="N3327" i="1"/>
  <c r="Q3327" i="1"/>
  <c r="A3328" i="1"/>
  <c r="J3328" i="1"/>
  <c r="N3328" i="1"/>
  <c r="Q3328" i="1"/>
  <c r="A3329" i="1"/>
  <c r="J3329" i="1"/>
  <c r="N3329" i="1"/>
  <c r="Q3329" i="1"/>
  <c r="A3330" i="1"/>
  <c r="J3330" i="1"/>
  <c r="N3330" i="1"/>
  <c r="Q3330" i="1"/>
  <c r="A3331" i="1"/>
  <c r="J3331" i="1"/>
  <c r="N3331" i="1"/>
  <c r="Q3331" i="1"/>
  <c r="A3332" i="1"/>
  <c r="J3332" i="1"/>
  <c r="N3332" i="1"/>
  <c r="Q3332" i="1"/>
  <c r="A3333" i="1"/>
  <c r="J3333" i="1"/>
  <c r="N3333" i="1"/>
  <c r="Q3333" i="1"/>
  <c r="A3334" i="1"/>
  <c r="J3334" i="1"/>
  <c r="N3334" i="1"/>
  <c r="Q3334" i="1"/>
  <c r="A3335" i="1"/>
  <c r="J3335" i="1"/>
  <c r="N3335" i="1"/>
  <c r="Q3335" i="1"/>
  <c r="A3336" i="1"/>
  <c r="J3336" i="1"/>
  <c r="N3336" i="1"/>
  <c r="Q3336" i="1"/>
  <c r="A3337" i="1"/>
  <c r="S3337" i="1" s="1"/>
  <c r="AA3337" i="1" s="1"/>
  <c r="J3337" i="1"/>
  <c r="N3337" i="1"/>
  <c r="Q3337" i="1"/>
  <c r="A3338" i="1"/>
  <c r="J3338" i="1"/>
  <c r="N3338" i="1"/>
  <c r="Q3338" i="1"/>
  <c r="A3339" i="1"/>
  <c r="S3339" i="1" s="1"/>
  <c r="AA3339" i="1" s="1"/>
  <c r="J3339" i="1"/>
  <c r="N3339" i="1"/>
  <c r="Q3339" i="1"/>
  <c r="A3340" i="1"/>
  <c r="S3340" i="1" s="1"/>
  <c r="AA3340" i="1" s="1"/>
  <c r="J3340" i="1"/>
  <c r="N3340" i="1"/>
  <c r="Q3340" i="1"/>
  <c r="A3341" i="1"/>
  <c r="J3341" i="1"/>
  <c r="N3341" i="1"/>
  <c r="Q3341" i="1"/>
  <c r="A3342" i="1"/>
  <c r="J3342" i="1"/>
  <c r="N3342" i="1"/>
  <c r="Q3342" i="1"/>
  <c r="A3343" i="1"/>
  <c r="J3343" i="1"/>
  <c r="N3343" i="1"/>
  <c r="Q3343" i="1"/>
  <c r="A3344" i="1"/>
  <c r="J3344" i="1"/>
  <c r="N3344" i="1"/>
  <c r="Q3344" i="1"/>
  <c r="A3345" i="1"/>
  <c r="J3345" i="1"/>
  <c r="N3345" i="1"/>
  <c r="Q3345" i="1"/>
  <c r="A3346" i="1"/>
  <c r="J3346" i="1"/>
  <c r="N3346" i="1"/>
  <c r="Q3346" i="1"/>
  <c r="A3347" i="1"/>
  <c r="J3347" i="1"/>
  <c r="N3347" i="1"/>
  <c r="Q3347" i="1"/>
  <c r="A3348" i="1"/>
  <c r="J3348" i="1"/>
  <c r="N3348" i="1"/>
  <c r="Q3348" i="1"/>
  <c r="A3349" i="1"/>
  <c r="J3349" i="1"/>
  <c r="N3349" i="1"/>
  <c r="Q3349" i="1"/>
  <c r="A3350" i="1"/>
  <c r="J3350" i="1"/>
  <c r="N3350" i="1"/>
  <c r="Q3350" i="1"/>
  <c r="A3351" i="1"/>
  <c r="J3351" i="1"/>
  <c r="N3351" i="1"/>
  <c r="Q3351" i="1"/>
  <c r="A3352" i="1"/>
  <c r="J3352" i="1"/>
  <c r="N3352" i="1"/>
  <c r="Q3352" i="1"/>
  <c r="A3353" i="1"/>
  <c r="J3353" i="1"/>
  <c r="N3353" i="1"/>
  <c r="Q3353" i="1"/>
  <c r="A3354" i="1"/>
  <c r="J3354" i="1"/>
  <c r="N3354" i="1"/>
  <c r="Q3354" i="1"/>
  <c r="A3355" i="1"/>
  <c r="J3355" i="1"/>
  <c r="N3355" i="1"/>
  <c r="Q3355" i="1"/>
  <c r="A3356" i="1"/>
  <c r="J3356" i="1"/>
  <c r="N3356" i="1"/>
  <c r="Q3356" i="1"/>
  <c r="A3357" i="1"/>
  <c r="J3357" i="1"/>
  <c r="N3357" i="1"/>
  <c r="Q3357" i="1"/>
  <c r="A3358" i="1"/>
  <c r="J3358" i="1"/>
  <c r="N3358" i="1"/>
  <c r="Q3358" i="1"/>
  <c r="A3359" i="1"/>
  <c r="S3359" i="1" s="1"/>
  <c r="AA3359" i="1" s="1"/>
  <c r="J3359" i="1"/>
  <c r="N3359" i="1"/>
  <c r="Q3359" i="1"/>
  <c r="A3360" i="1"/>
  <c r="S3360" i="1" s="1"/>
  <c r="AA3360" i="1" s="1"/>
  <c r="J3360" i="1"/>
  <c r="N3360" i="1"/>
  <c r="Q3360" i="1"/>
  <c r="A3361" i="1"/>
  <c r="S3361" i="1" s="1"/>
  <c r="AA3361" i="1" s="1"/>
  <c r="J3361" i="1"/>
  <c r="N3361" i="1"/>
  <c r="Q3361" i="1"/>
  <c r="A3362" i="1"/>
  <c r="J3362" i="1"/>
  <c r="N3362" i="1"/>
  <c r="Q3362" i="1"/>
  <c r="A3363" i="1"/>
  <c r="J3363" i="1"/>
  <c r="N3363" i="1"/>
  <c r="Q3363" i="1"/>
  <c r="A3364" i="1"/>
  <c r="J3364" i="1"/>
  <c r="N3364" i="1"/>
  <c r="Q3364" i="1"/>
  <c r="A3365" i="1"/>
  <c r="J3365" i="1"/>
  <c r="N3365" i="1"/>
  <c r="Q3365" i="1"/>
  <c r="A3366" i="1"/>
  <c r="J3366" i="1"/>
  <c r="N3366" i="1"/>
  <c r="Q3366" i="1"/>
  <c r="A3367" i="1"/>
  <c r="J3367" i="1"/>
  <c r="N3367" i="1"/>
  <c r="Q3367" i="1"/>
  <c r="A3368" i="1"/>
  <c r="J3368" i="1"/>
  <c r="N3368" i="1"/>
  <c r="Q3368" i="1"/>
  <c r="A3369" i="1"/>
  <c r="J3369" i="1"/>
  <c r="N3369" i="1"/>
  <c r="Q3369" i="1"/>
  <c r="A3370" i="1"/>
  <c r="J3370" i="1"/>
  <c r="N3370" i="1"/>
  <c r="Q3370" i="1"/>
  <c r="A3371" i="1"/>
  <c r="J3371" i="1"/>
  <c r="N3371" i="1"/>
  <c r="Q3371" i="1"/>
  <c r="A3372" i="1"/>
  <c r="J3372" i="1"/>
  <c r="N3372" i="1"/>
  <c r="Q3372" i="1"/>
  <c r="A3373" i="1"/>
  <c r="J3373" i="1"/>
  <c r="N3373" i="1"/>
  <c r="Q3373" i="1"/>
  <c r="A3374" i="1"/>
  <c r="J3374" i="1"/>
  <c r="N3374" i="1"/>
  <c r="Q3374" i="1"/>
  <c r="A3375" i="1"/>
  <c r="J3375" i="1"/>
  <c r="N3375" i="1"/>
  <c r="Q3375" i="1"/>
  <c r="A3376" i="1"/>
  <c r="J3376" i="1"/>
  <c r="N3376" i="1"/>
  <c r="Q3376" i="1"/>
  <c r="A3377" i="1"/>
  <c r="J3377" i="1"/>
  <c r="N3377" i="1"/>
  <c r="Q3377" i="1"/>
  <c r="A3378" i="1"/>
  <c r="J3378" i="1"/>
  <c r="N3378" i="1"/>
  <c r="Q3378" i="1"/>
  <c r="A3379" i="1"/>
  <c r="J3379" i="1"/>
  <c r="N3379" i="1"/>
  <c r="Q3379" i="1"/>
  <c r="A3380" i="1"/>
  <c r="J3380" i="1"/>
  <c r="N3380" i="1"/>
  <c r="Q3380" i="1"/>
  <c r="A3381" i="1"/>
  <c r="J3381" i="1"/>
  <c r="N3381" i="1"/>
  <c r="Q3381" i="1"/>
  <c r="A3382" i="1"/>
  <c r="J3382" i="1"/>
  <c r="N3382" i="1"/>
  <c r="Q3382" i="1"/>
  <c r="A3383" i="1"/>
  <c r="J3383" i="1"/>
  <c r="N3383" i="1"/>
  <c r="Q3383" i="1"/>
  <c r="A3384" i="1"/>
  <c r="S3384" i="1" s="1"/>
  <c r="AA3384" i="1" s="1"/>
  <c r="J3384" i="1"/>
  <c r="N3384" i="1"/>
  <c r="Q3384" i="1"/>
  <c r="A3385" i="1"/>
  <c r="S3385" i="1" s="1"/>
  <c r="AA3385" i="1" s="1"/>
  <c r="J3385" i="1"/>
  <c r="N3385" i="1"/>
  <c r="Q3385" i="1"/>
  <c r="A3386" i="1"/>
  <c r="J3386" i="1"/>
  <c r="N3386" i="1"/>
  <c r="Q3386" i="1"/>
  <c r="A3387" i="1"/>
  <c r="S3387" i="1" s="1"/>
  <c r="AA3387" i="1" s="1"/>
  <c r="J3387" i="1"/>
  <c r="N3387" i="1"/>
  <c r="Q3387" i="1"/>
  <c r="A3388" i="1"/>
  <c r="J3388" i="1"/>
  <c r="N3388" i="1"/>
  <c r="Q3388" i="1"/>
  <c r="A3389" i="1"/>
  <c r="J3389" i="1"/>
  <c r="N3389" i="1"/>
  <c r="Q3389" i="1"/>
  <c r="A3390" i="1"/>
  <c r="J3390" i="1"/>
  <c r="N3390" i="1"/>
  <c r="Q3390" i="1"/>
  <c r="A3391" i="1"/>
  <c r="J3391" i="1"/>
  <c r="N3391" i="1"/>
  <c r="Q3391" i="1"/>
  <c r="A3392" i="1"/>
  <c r="J3392" i="1"/>
  <c r="N3392" i="1"/>
  <c r="Q3392" i="1"/>
  <c r="A3393" i="1"/>
  <c r="J3393" i="1"/>
  <c r="N3393" i="1"/>
  <c r="Q3393" i="1"/>
  <c r="A3394" i="1"/>
  <c r="J3394" i="1"/>
  <c r="N3394" i="1"/>
  <c r="Q3394" i="1"/>
  <c r="A3395" i="1"/>
  <c r="J3395" i="1"/>
  <c r="N3395" i="1"/>
  <c r="Q3395" i="1"/>
  <c r="A3396" i="1"/>
  <c r="J3396" i="1"/>
  <c r="N3396" i="1"/>
  <c r="Q3396" i="1"/>
  <c r="A3397" i="1"/>
  <c r="J3397" i="1"/>
  <c r="N3397" i="1"/>
  <c r="Q3397" i="1"/>
  <c r="A3398" i="1"/>
  <c r="J3398" i="1"/>
  <c r="N3398" i="1"/>
  <c r="Q3398" i="1"/>
  <c r="A3399" i="1"/>
  <c r="J3399" i="1"/>
  <c r="N3399" i="1"/>
  <c r="Q3399" i="1"/>
  <c r="A3400" i="1"/>
  <c r="J3400" i="1"/>
  <c r="N3400" i="1"/>
  <c r="Q3400" i="1"/>
  <c r="A3401" i="1"/>
  <c r="J3401" i="1"/>
  <c r="N3401" i="1"/>
  <c r="Q3401" i="1"/>
  <c r="A3402" i="1"/>
  <c r="J3402" i="1"/>
  <c r="N3402" i="1"/>
  <c r="Q3402" i="1"/>
  <c r="A3403" i="1"/>
  <c r="J3403" i="1"/>
  <c r="N3403" i="1"/>
  <c r="Q3403" i="1"/>
  <c r="A3404" i="1"/>
  <c r="J3404" i="1"/>
  <c r="N3404" i="1"/>
  <c r="Q3404" i="1"/>
  <c r="A3405" i="1"/>
  <c r="S3405" i="1" s="1"/>
  <c r="AA3405" i="1" s="1"/>
  <c r="J3405" i="1"/>
  <c r="N3405" i="1"/>
  <c r="Q3405" i="1"/>
  <c r="A3406" i="1"/>
  <c r="J3406" i="1"/>
  <c r="N3406" i="1"/>
  <c r="Q3406" i="1"/>
  <c r="A3407" i="1"/>
  <c r="S3407" i="1" s="1"/>
  <c r="AA3407" i="1" s="1"/>
  <c r="J3407" i="1"/>
  <c r="N3407" i="1"/>
  <c r="Q3407" i="1"/>
  <c r="A3408" i="1"/>
  <c r="S3408" i="1" s="1"/>
  <c r="AA3408" i="1" s="1"/>
  <c r="J3408" i="1"/>
  <c r="N3408" i="1"/>
  <c r="Q3408" i="1"/>
  <c r="A3409" i="1"/>
  <c r="J3409" i="1"/>
  <c r="N3409" i="1"/>
  <c r="Q3409" i="1"/>
  <c r="A3410" i="1"/>
  <c r="J3410" i="1"/>
  <c r="N3410" i="1"/>
  <c r="Q3410" i="1"/>
  <c r="A3411" i="1"/>
  <c r="J3411" i="1"/>
  <c r="N3411" i="1"/>
  <c r="Q3411" i="1"/>
  <c r="A3412" i="1"/>
  <c r="J3412" i="1"/>
  <c r="N3412" i="1"/>
  <c r="Q3412" i="1"/>
  <c r="A3413" i="1"/>
  <c r="J3413" i="1"/>
  <c r="N3413" i="1"/>
  <c r="Q3413" i="1"/>
  <c r="A3414" i="1"/>
  <c r="J3414" i="1"/>
  <c r="N3414" i="1"/>
  <c r="Q3414" i="1"/>
  <c r="A3415" i="1"/>
  <c r="J3415" i="1"/>
  <c r="N3415" i="1"/>
  <c r="Q3415" i="1"/>
  <c r="A3416" i="1"/>
  <c r="J3416" i="1"/>
  <c r="N3416" i="1"/>
  <c r="Q3416" i="1"/>
  <c r="A3417" i="1"/>
  <c r="J3417" i="1"/>
  <c r="N3417" i="1"/>
  <c r="Q3417" i="1"/>
  <c r="A3418" i="1"/>
  <c r="J3418" i="1"/>
  <c r="N3418" i="1"/>
  <c r="Q3418" i="1"/>
  <c r="A3419" i="1"/>
  <c r="J3419" i="1"/>
  <c r="N3419" i="1"/>
  <c r="Q3419" i="1"/>
  <c r="A3420" i="1"/>
  <c r="J3420" i="1"/>
  <c r="N3420" i="1"/>
  <c r="Q3420" i="1"/>
  <c r="A3421" i="1"/>
  <c r="J3421" i="1"/>
  <c r="N3421" i="1"/>
  <c r="Q3421" i="1"/>
  <c r="A3422" i="1"/>
  <c r="J3422" i="1"/>
  <c r="N3422" i="1"/>
  <c r="Q3422" i="1"/>
  <c r="A3423" i="1"/>
  <c r="J3423" i="1"/>
  <c r="N3423" i="1"/>
  <c r="Q3423" i="1"/>
  <c r="A3424" i="1"/>
  <c r="J3424" i="1"/>
  <c r="N3424" i="1"/>
  <c r="Q3424" i="1"/>
  <c r="A3425" i="1"/>
  <c r="J3425" i="1"/>
  <c r="N3425" i="1"/>
  <c r="Q3425" i="1"/>
  <c r="A3426" i="1"/>
  <c r="J3426" i="1"/>
  <c r="N3426" i="1"/>
  <c r="Q3426" i="1"/>
  <c r="A3427" i="1"/>
  <c r="J3427" i="1"/>
  <c r="N3427" i="1"/>
  <c r="Q3427" i="1"/>
  <c r="A3428" i="1"/>
  <c r="J3428" i="1"/>
  <c r="N3428" i="1"/>
  <c r="Q3428" i="1"/>
  <c r="A3429" i="1"/>
  <c r="J3429" i="1"/>
  <c r="N3429" i="1"/>
  <c r="Q3429" i="1"/>
  <c r="A3430" i="1"/>
  <c r="J3430" i="1"/>
  <c r="N3430" i="1"/>
  <c r="Q3430" i="1"/>
  <c r="A3431" i="1"/>
  <c r="J3431" i="1"/>
  <c r="N3431" i="1"/>
  <c r="Q3431" i="1"/>
  <c r="A3432" i="1"/>
  <c r="S3432" i="1" s="1"/>
  <c r="AA3432" i="1" s="1"/>
  <c r="J3432" i="1"/>
  <c r="N3432" i="1"/>
  <c r="Q3432" i="1"/>
  <c r="A3433" i="1"/>
  <c r="S3433" i="1" s="1"/>
  <c r="AA3433" i="1" s="1"/>
  <c r="J3433" i="1"/>
  <c r="N3433" i="1"/>
  <c r="Q3433" i="1"/>
  <c r="A3434" i="1"/>
  <c r="J3434" i="1"/>
  <c r="N3434" i="1"/>
  <c r="Q3434" i="1"/>
  <c r="A3435" i="1"/>
  <c r="J3435" i="1"/>
  <c r="N3435" i="1"/>
  <c r="Q3435" i="1"/>
  <c r="A3436" i="1"/>
  <c r="J3436" i="1"/>
  <c r="N3436" i="1"/>
  <c r="Q3436" i="1"/>
  <c r="A3437" i="1"/>
  <c r="J3437" i="1"/>
  <c r="N3437" i="1"/>
  <c r="Q3437" i="1"/>
  <c r="A3438" i="1"/>
  <c r="J3438" i="1"/>
  <c r="N3438" i="1"/>
  <c r="Q3438" i="1"/>
  <c r="A3439" i="1"/>
  <c r="J3439" i="1"/>
  <c r="N3439" i="1"/>
  <c r="Q3439" i="1"/>
  <c r="A3440" i="1"/>
  <c r="J3440" i="1"/>
  <c r="N3440" i="1"/>
  <c r="Q3440" i="1"/>
  <c r="A3441" i="1"/>
  <c r="J3441" i="1"/>
  <c r="N3441" i="1"/>
  <c r="Q3441" i="1"/>
  <c r="A3442" i="1"/>
  <c r="J3442" i="1"/>
  <c r="N3442" i="1"/>
  <c r="Q3442" i="1"/>
  <c r="A3443" i="1"/>
  <c r="J3443" i="1"/>
  <c r="N3443" i="1"/>
  <c r="Q3443" i="1"/>
  <c r="A3444" i="1"/>
  <c r="J3444" i="1"/>
  <c r="N3444" i="1"/>
  <c r="Q3444" i="1"/>
  <c r="A3445" i="1"/>
  <c r="J3445" i="1"/>
  <c r="N3445" i="1"/>
  <c r="Q3445" i="1"/>
  <c r="A3446" i="1"/>
  <c r="J3446" i="1"/>
  <c r="N3446" i="1"/>
  <c r="Q3446" i="1"/>
  <c r="A3447" i="1"/>
  <c r="J3447" i="1"/>
  <c r="N3447" i="1"/>
  <c r="Q3447" i="1"/>
  <c r="A3448" i="1"/>
  <c r="J3448" i="1"/>
  <c r="N3448" i="1"/>
  <c r="Q3448" i="1"/>
  <c r="A3449" i="1"/>
  <c r="J3449" i="1"/>
  <c r="N3449" i="1"/>
  <c r="Q3449" i="1"/>
  <c r="A3450" i="1"/>
  <c r="J3450" i="1"/>
  <c r="N3450" i="1"/>
  <c r="Q3450" i="1"/>
  <c r="A3451" i="1"/>
  <c r="J3451" i="1"/>
  <c r="N3451" i="1"/>
  <c r="Q3451" i="1"/>
  <c r="A3452" i="1"/>
  <c r="S3452" i="1" s="1"/>
  <c r="AA3452" i="1" s="1"/>
  <c r="J3452" i="1"/>
  <c r="N3452" i="1"/>
  <c r="Q3452" i="1"/>
  <c r="A3453" i="1"/>
  <c r="S3453" i="1" s="1"/>
  <c r="AA3453" i="1" s="1"/>
  <c r="J3453" i="1"/>
  <c r="N3453" i="1"/>
  <c r="Q3453" i="1"/>
  <c r="A3454" i="1"/>
  <c r="J3454" i="1"/>
  <c r="N3454" i="1"/>
  <c r="Q3454" i="1"/>
  <c r="A3455" i="1"/>
  <c r="S3455" i="1" s="1"/>
  <c r="AA3455" i="1" s="1"/>
  <c r="J3455" i="1"/>
  <c r="N3455" i="1"/>
  <c r="Q3455" i="1"/>
  <c r="A3456" i="1"/>
  <c r="J3456" i="1"/>
  <c r="N3456" i="1"/>
  <c r="Q3456" i="1"/>
  <c r="A3457" i="1"/>
  <c r="J3457" i="1"/>
  <c r="N3457" i="1"/>
  <c r="Q3457" i="1"/>
  <c r="A3458" i="1"/>
  <c r="J3458" i="1"/>
  <c r="N3458" i="1"/>
  <c r="Q3458" i="1"/>
  <c r="A3459" i="1"/>
  <c r="J3459" i="1"/>
  <c r="N3459" i="1"/>
  <c r="Q3459" i="1"/>
  <c r="A3460" i="1"/>
  <c r="J3460" i="1"/>
  <c r="N3460" i="1"/>
  <c r="Q3460" i="1"/>
  <c r="A3461" i="1"/>
  <c r="J3461" i="1"/>
  <c r="N3461" i="1"/>
  <c r="Q3461" i="1"/>
  <c r="A3462" i="1"/>
  <c r="J3462" i="1"/>
  <c r="N3462" i="1"/>
  <c r="Q3462" i="1"/>
  <c r="A3463" i="1"/>
  <c r="J3463" i="1"/>
  <c r="N3463" i="1"/>
  <c r="Q3463" i="1"/>
  <c r="A3464" i="1"/>
  <c r="J3464" i="1"/>
  <c r="N3464" i="1"/>
  <c r="Q3464" i="1"/>
  <c r="A3465" i="1"/>
  <c r="J3465" i="1"/>
  <c r="N3465" i="1"/>
  <c r="Q3465" i="1"/>
  <c r="A3466" i="1"/>
  <c r="J3466" i="1"/>
  <c r="N3466" i="1"/>
  <c r="Q3466" i="1"/>
  <c r="A3467" i="1"/>
  <c r="J3467" i="1"/>
  <c r="N3467" i="1"/>
  <c r="Q3467" i="1"/>
  <c r="A3468" i="1"/>
  <c r="J3468" i="1"/>
  <c r="N3468" i="1"/>
  <c r="Q3468" i="1"/>
  <c r="A3469" i="1"/>
  <c r="J3469" i="1"/>
  <c r="N3469" i="1"/>
  <c r="Q3469" i="1"/>
  <c r="A3470" i="1"/>
  <c r="J3470" i="1"/>
  <c r="N3470" i="1"/>
  <c r="Q3470" i="1"/>
  <c r="A3471" i="1"/>
  <c r="J3471" i="1"/>
  <c r="N3471" i="1"/>
  <c r="Q3471" i="1"/>
  <c r="A3472" i="1"/>
  <c r="J3472" i="1"/>
  <c r="N3472" i="1"/>
  <c r="Q3472" i="1"/>
  <c r="A3473" i="1"/>
  <c r="S3473" i="1" s="1"/>
  <c r="AA3473" i="1" s="1"/>
  <c r="J3473" i="1"/>
  <c r="N3473" i="1"/>
  <c r="Q3473" i="1"/>
  <c r="A3474" i="1"/>
  <c r="J3474" i="1"/>
  <c r="N3474" i="1"/>
  <c r="Q3474" i="1"/>
  <c r="A3475" i="1"/>
  <c r="J3475" i="1"/>
  <c r="N3475" i="1"/>
  <c r="Q3475" i="1"/>
  <c r="A3476" i="1"/>
  <c r="J3476" i="1"/>
  <c r="N3476" i="1"/>
  <c r="Q3476" i="1"/>
  <c r="A3477" i="1"/>
  <c r="J3477" i="1"/>
  <c r="N3477" i="1"/>
  <c r="Q3477" i="1"/>
  <c r="A3478" i="1"/>
  <c r="J3478" i="1"/>
  <c r="N3478" i="1"/>
  <c r="Q3478" i="1"/>
  <c r="A3479" i="1"/>
  <c r="J3479" i="1"/>
  <c r="N3479" i="1"/>
  <c r="Q3479" i="1"/>
  <c r="A3480" i="1"/>
  <c r="S3480" i="1" s="1"/>
  <c r="AA3480" i="1" s="1"/>
  <c r="J3480" i="1"/>
  <c r="N3480" i="1"/>
  <c r="Q3480" i="1"/>
  <c r="A3481" i="1"/>
  <c r="S3481" i="1" s="1"/>
  <c r="AA3481" i="1" s="1"/>
  <c r="J3481" i="1"/>
  <c r="N3481" i="1"/>
  <c r="Q3481" i="1"/>
  <c r="A3482" i="1"/>
  <c r="J3482" i="1"/>
  <c r="N3482" i="1"/>
  <c r="Q3482" i="1"/>
  <c r="A3483" i="1"/>
  <c r="J3483" i="1"/>
  <c r="N3483" i="1"/>
  <c r="Q3483" i="1"/>
  <c r="A3484" i="1"/>
  <c r="J3484" i="1"/>
  <c r="N3484" i="1"/>
  <c r="Q3484" i="1"/>
  <c r="A3485" i="1"/>
  <c r="J3485" i="1"/>
  <c r="N3485" i="1"/>
  <c r="Q3485" i="1"/>
  <c r="A3486" i="1"/>
  <c r="J3486" i="1"/>
  <c r="N3486" i="1"/>
  <c r="Q3486" i="1"/>
  <c r="A3487" i="1"/>
  <c r="J3487" i="1"/>
  <c r="N3487" i="1"/>
  <c r="Q3487" i="1"/>
  <c r="A3488" i="1"/>
  <c r="J3488" i="1"/>
  <c r="N3488" i="1"/>
  <c r="Q3488" i="1"/>
  <c r="A3489" i="1"/>
  <c r="J3489" i="1"/>
  <c r="N3489" i="1"/>
  <c r="Q3489" i="1"/>
  <c r="A3490" i="1"/>
  <c r="J3490" i="1"/>
  <c r="N3490" i="1"/>
  <c r="Q3490" i="1"/>
  <c r="A3491" i="1"/>
  <c r="J3491" i="1"/>
  <c r="N3491" i="1"/>
  <c r="Q3491" i="1"/>
  <c r="A3492" i="1"/>
  <c r="J3492" i="1"/>
  <c r="N3492" i="1"/>
  <c r="Q3492" i="1"/>
  <c r="A3493" i="1"/>
  <c r="J3493" i="1"/>
  <c r="N3493" i="1"/>
  <c r="Q3493" i="1"/>
  <c r="A3494" i="1"/>
  <c r="J3494" i="1"/>
  <c r="N3494" i="1"/>
  <c r="Q3494" i="1"/>
  <c r="A3495" i="1"/>
  <c r="J3495" i="1"/>
  <c r="N3495" i="1"/>
  <c r="Q3495" i="1"/>
  <c r="A3496" i="1"/>
  <c r="J3496" i="1"/>
  <c r="N3496" i="1"/>
  <c r="Q3496" i="1"/>
  <c r="A3497" i="1"/>
  <c r="J3497" i="1"/>
  <c r="N3497" i="1"/>
  <c r="Q3497" i="1"/>
  <c r="A3498" i="1"/>
  <c r="J3498" i="1"/>
  <c r="N3498" i="1"/>
  <c r="Q3498" i="1"/>
  <c r="A3499" i="1"/>
  <c r="S3499" i="1" s="1"/>
  <c r="AA3499" i="1" s="1"/>
  <c r="J3499" i="1"/>
  <c r="N3499" i="1"/>
  <c r="Q3499" i="1"/>
  <c r="A3500" i="1"/>
  <c r="S3500" i="1" s="1"/>
  <c r="AA3500" i="1" s="1"/>
  <c r="J3500" i="1"/>
  <c r="N3500" i="1"/>
  <c r="Q3500" i="1"/>
  <c r="A3501" i="1"/>
  <c r="S3501" i="1" s="1"/>
  <c r="AA3501" i="1" s="1"/>
  <c r="J3501" i="1"/>
  <c r="N3501" i="1"/>
  <c r="Q3501" i="1"/>
  <c r="A3502" i="1"/>
  <c r="J3502" i="1"/>
  <c r="N3502" i="1"/>
  <c r="Q3502" i="1"/>
  <c r="A3503" i="1"/>
  <c r="J3503" i="1"/>
  <c r="N3503" i="1"/>
  <c r="Q3503" i="1"/>
  <c r="A3504" i="1"/>
  <c r="J3504" i="1"/>
  <c r="N3504" i="1"/>
  <c r="Q3504" i="1"/>
  <c r="A3505" i="1"/>
  <c r="J3505" i="1"/>
  <c r="N3505" i="1"/>
  <c r="Q3505" i="1"/>
  <c r="A3506" i="1"/>
  <c r="J3506" i="1"/>
  <c r="N3506" i="1"/>
  <c r="Q3506" i="1"/>
  <c r="A3507" i="1"/>
  <c r="J3507" i="1"/>
  <c r="N3507" i="1"/>
  <c r="Q3507" i="1"/>
  <c r="A3508" i="1"/>
  <c r="J3508" i="1"/>
  <c r="N3508" i="1"/>
  <c r="Q3508" i="1"/>
  <c r="A3509" i="1"/>
  <c r="J3509" i="1"/>
  <c r="N3509" i="1"/>
  <c r="Q3509" i="1"/>
  <c r="A3510" i="1"/>
  <c r="J3510" i="1"/>
  <c r="N3510" i="1"/>
  <c r="Q3510" i="1"/>
  <c r="A3511" i="1"/>
  <c r="J3511" i="1"/>
  <c r="N3511" i="1"/>
  <c r="Q3511" i="1"/>
  <c r="A3512" i="1"/>
  <c r="J3512" i="1"/>
  <c r="N3512" i="1"/>
  <c r="Q3512" i="1"/>
  <c r="A3513" i="1"/>
  <c r="J3513" i="1"/>
  <c r="N3513" i="1"/>
  <c r="Q3513" i="1"/>
  <c r="A3514" i="1"/>
  <c r="J3514" i="1"/>
  <c r="N3514" i="1"/>
  <c r="Q3514" i="1"/>
  <c r="A3515" i="1"/>
  <c r="J3515" i="1"/>
  <c r="N3515" i="1"/>
  <c r="Q3515" i="1"/>
  <c r="A3516" i="1"/>
  <c r="J3516" i="1"/>
  <c r="N3516" i="1"/>
  <c r="Q3516" i="1"/>
  <c r="A3517" i="1"/>
  <c r="J3517" i="1"/>
  <c r="N3517" i="1"/>
  <c r="Q3517" i="1"/>
  <c r="A3518" i="1"/>
  <c r="J3518" i="1"/>
  <c r="N3518" i="1"/>
  <c r="Q3518" i="1"/>
  <c r="A3519" i="1"/>
  <c r="J3519" i="1"/>
  <c r="N3519" i="1"/>
  <c r="Q3519" i="1"/>
  <c r="A3520" i="1"/>
  <c r="S3520" i="1" s="1"/>
  <c r="AA3520" i="1" s="1"/>
  <c r="J3520" i="1"/>
  <c r="N3520" i="1"/>
  <c r="Q3520" i="1"/>
  <c r="A3521" i="1"/>
  <c r="S3521" i="1" s="1"/>
  <c r="AA3521" i="1" s="1"/>
  <c r="J3521" i="1"/>
  <c r="N3521" i="1"/>
  <c r="Q3521" i="1"/>
  <c r="A3522" i="1"/>
  <c r="J3522" i="1"/>
  <c r="N3522" i="1"/>
  <c r="Q3522" i="1"/>
  <c r="A3523" i="1"/>
  <c r="J3523" i="1"/>
  <c r="N3523" i="1"/>
  <c r="Q3523" i="1"/>
  <c r="A3524" i="1"/>
  <c r="J3524" i="1"/>
  <c r="N3524" i="1"/>
  <c r="Q3524" i="1"/>
  <c r="A3525" i="1"/>
  <c r="J3525" i="1"/>
  <c r="N3525" i="1"/>
  <c r="Q3525" i="1"/>
  <c r="A3526" i="1"/>
  <c r="J3526" i="1"/>
  <c r="N3526" i="1"/>
  <c r="Q3526" i="1"/>
  <c r="A3527" i="1"/>
  <c r="J3527" i="1"/>
  <c r="N3527" i="1"/>
  <c r="Q3527" i="1"/>
  <c r="A3528" i="1"/>
  <c r="S3528" i="1" s="1"/>
  <c r="AA3528" i="1" s="1"/>
  <c r="J3528" i="1"/>
  <c r="N3528" i="1"/>
  <c r="Q3528" i="1"/>
  <c r="A3529" i="1"/>
  <c r="J3529" i="1"/>
  <c r="N3529" i="1"/>
  <c r="Q3529" i="1"/>
  <c r="A3530" i="1"/>
  <c r="J3530" i="1"/>
  <c r="N3530" i="1"/>
  <c r="Q3530" i="1"/>
  <c r="A3531" i="1"/>
  <c r="J3531" i="1"/>
  <c r="N3531" i="1"/>
  <c r="Q3531" i="1"/>
  <c r="A3532" i="1"/>
  <c r="J3532" i="1"/>
  <c r="N3532" i="1"/>
  <c r="Q3532" i="1"/>
  <c r="A3533" i="1"/>
  <c r="J3533" i="1"/>
  <c r="N3533" i="1"/>
  <c r="Q3533" i="1"/>
  <c r="A3534" i="1"/>
  <c r="J3534" i="1"/>
  <c r="N3534" i="1"/>
  <c r="Q3534" i="1"/>
  <c r="A3535" i="1"/>
  <c r="J3535" i="1"/>
  <c r="N3535" i="1"/>
  <c r="Q3535" i="1"/>
  <c r="A3536" i="1"/>
  <c r="J3536" i="1"/>
  <c r="N3536" i="1"/>
  <c r="Q3536" i="1"/>
  <c r="A3537" i="1"/>
  <c r="J3537" i="1"/>
  <c r="N3537" i="1"/>
  <c r="Q3537" i="1"/>
  <c r="A3538" i="1"/>
  <c r="J3538" i="1"/>
  <c r="N3538" i="1"/>
  <c r="Q3538" i="1"/>
  <c r="A3539" i="1"/>
  <c r="J3539" i="1"/>
  <c r="N3539" i="1"/>
  <c r="Q3539" i="1"/>
  <c r="A3540" i="1"/>
  <c r="J3540" i="1"/>
  <c r="N3540" i="1"/>
  <c r="Q3540" i="1"/>
  <c r="A3541" i="1"/>
  <c r="J3541" i="1"/>
  <c r="N3541" i="1"/>
  <c r="Q3541" i="1"/>
  <c r="A3542" i="1"/>
  <c r="J3542" i="1"/>
  <c r="N3542" i="1"/>
  <c r="Q3542" i="1"/>
  <c r="A3543" i="1"/>
  <c r="J3543" i="1"/>
  <c r="N3543" i="1"/>
  <c r="Q3543" i="1"/>
  <c r="A3544" i="1"/>
  <c r="J3544" i="1"/>
  <c r="N3544" i="1"/>
  <c r="Q3544" i="1"/>
  <c r="A3545" i="1"/>
  <c r="J3545" i="1"/>
  <c r="N3545" i="1"/>
  <c r="Q3545" i="1"/>
  <c r="A3546" i="1"/>
  <c r="J3546" i="1"/>
  <c r="N3546" i="1"/>
  <c r="Q3546" i="1"/>
  <c r="A3547" i="1"/>
  <c r="S3547" i="1" s="1"/>
  <c r="AA3547" i="1" s="1"/>
  <c r="J3547" i="1"/>
  <c r="N3547" i="1"/>
  <c r="Q3547" i="1"/>
  <c r="A3548" i="1"/>
  <c r="S3548" i="1" s="1"/>
  <c r="AA3548" i="1" s="1"/>
  <c r="J3548" i="1"/>
  <c r="N3548" i="1"/>
  <c r="Q3548" i="1"/>
  <c r="A3549" i="1"/>
  <c r="S3549" i="1" s="1"/>
  <c r="AA3549" i="1" s="1"/>
  <c r="J3549" i="1"/>
  <c r="N3549" i="1"/>
  <c r="Q3549" i="1"/>
  <c r="A3550" i="1"/>
  <c r="J3550" i="1"/>
  <c r="N3550" i="1"/>
  <c r="Q3550" i="1"/>
  <c r="A3551" i="1"/>
  <c r="J3551" i="1"/>
  <c r="N3551" i="1"/>
  <c r="Q3551" i="1"/>
  <c r="A3552" i="1"/>
  <c r="J3552" i="1"/>
  <c r="N3552" i="1"/>
  <c r="Q3552" i="1"/>
  <c r="A3553" i="1"/>
  <c r="J3553" i="1"/>
  <c r="N3553" i="1"/>
  <c r="Q3553" i="1"/>
  <c r="A3554" i="1"/>
  <c r="J3554" i="1"/>
  <c r="N3554" i="1"/>
  <c r="Q3554" i="1"/>
  <c r="A3555" i="1"/>
  <c r="J3555" i="1"/>
  <c r="N3555" i="1"/>
  <c r="Q3555" i="1"/>
  <c r="A3556" i="1"/>
  <c r="J3556" i="1"/>
  <c r="N3556" i="1"/>
  <c r="Q3556" i="1"/>
  <c r="A3557" i="1"/>
  <c r="J3557" i="1"/>
  <c r="N3557" i="1"/>
  <c r="Q3557" i="1"/>
  <c r="A3558" i="1"/>
  <c r="J3558" i="1"/>
  <c r="N3558" i="1"/>
  <c r="Q3558" i="1"/>
  <c r="A3559" i="1"/>
  <c r="J3559" i="1"/>
  <c r="N3559" i="1"/>
  <c r="Q3559" i="1"/>
  <c r="A3560" i="1"/>
  <c r="J3560" i="1"/>
  <c r="N3560" i="1"/>
  <c r="Q3560" i="1"/>
  <c r="A3561" i="1"/>
  <c r="J3561" i="1"/>
  <c r="N3561" i="1"/>
  <c r="Q3561" i="1"/>
  <c r="A3562" i="1"/>
  <c r="J3562" i="1"/>
  <c r="N3562" i="1"/>
  <c r="Q3562" i="1"/>
  <c r="A3563" i="1"/>
  <c r="J3563" i="1"/>
  <c r="N3563" i="1"/>
  <c r="Q3563" i="1"/>
  <c r="A3564" i="1"/>
  <c r="J3564" i="1"/>
  <c r="N3564" i="1"/>
  <c r="Q3564" i="1"/>
  <c r="A3565" i="1"/>
  <c r="J3565" i="1"/>
  <c r="N3565" i="1"/>
  <c r="Q3565" i="1"/>
  <c r="A3566" i="1"/>
  <c r="J3566" i="1"/>
  <c r="N3566" i="1"/>
  <c r="Q3566" i="1"/>
  <c r="A3567" i="1"/>
  <c r="S3567" i="1" s="1"/>
  <c r="AA3567" i="1" s="1"/>
  <c r="J3567" i="1"/>
  <c r="N3567" i="1"/>
  <c r="Q3567" i="1"/>
  <c r="A3568" i="1"/>
  <c r="S3568" i="1" s="1"/>
  <c r="AA3568" i="1" s="1"/>
  <c r="J3568" i="1"/>
  <c r="N3568" i="1"/>
  <c r="Q3568" i="1"/>
  <c r="A3569" i="1"/>
  <c r="S3569" i="1" s="1"/>
  <c r="AA3569" i="1" s="1"/>
  <c r="J3569" i="1"/>
  <c r="N3569" i="1"/>
  <c r="Q3569" i="1"/>
  <c r="A3570" i="1"/>
  <c r="J3570" i="1"/>
  <c r="N3570" i="1"/>
  <c r="Q3570" i="1"/>
  <c r="A3571" i="1"/>
  <c r="J3571" i="1"/>
  <c r="N3571" i="1"/>
  <c r="Q3571" i="1"/>
  <c r="A3572" i="1"/>
  <c r="J3572" i="1"/>
  <c r="N3572" i="1"/>
  <c r="Q3572" i="1"/>
  <c r="A3573" i="1"/>
  <c r="J3573" i="1"/>
  <c r="N3573" i="1"/>
  <c r="Q3573" i="1"/>
  <c r="A3574" i="1"/>
  <c r="J3574" i="1"/>
  <c r="N3574" i="1"/>
  <c r="Q3574" i="1"/>
  <c r="A3575" i="1"/>
  <c r="J3575" i="1"/>
  <c r="N3575" i="1"/>
  <c r="Q3575" i="1"/>
  <c r="A3576" i="1"/>
  <c r="J3576" i="1"/>
  <c r="N3576" i="1"/>
  <c r="Q3576" i="1"/>
  <c r="A3577" i="1"/>
  <c r="J3577" i="1"/>
  <c r="N3577" i="1"/>
  <c r="Q3577" i="1"/>
  <c r="A3578" i="1"/>
  <c r="J3578" i="1"/>
  <c r="N3578" i="1"/>
  <c r="Q3578" i="1"/>
  <c r="A3579" i="1"/>
  <c r="J3579" i="1"/>
  <c r="N3579" i="1"/>
  <c r="Q3579" i="1"/>
  <c r="A3580" i="1"/>
  <c r="J3580" i="1"/>
  <c r="N3580" i="1"/>
  <c r="Q3580" i="1"/>
  <c r="A3581" i="1"/>
  <c r="J3581" i="1"/>
  <c r="N3581" i="1"/>
  <c r="Q3581" i="1"/>
  <c r="A3582" i="1"/>
  <c r="J3582" i="1"/>
  <c r="N3582" i="1"/>
  <c r="Q3582" i="1"/>
  <c r="A3583" i="1"/>
  <c r="J3583" i="1"/>
  <c r="N3583" i="1"/>
  <c r="Q3583" i="1"/>
  <c r="A3584" i="1"/>
  <c r="J3584" i="1"/>
  <c r="N3584" i="1"/>
  <c r="Q3584" i="1"/>
  <c r="A3585" i="1"/>
  <c r="J3585" i="1"/>
  <c r="N3585" i="1"/>
  <c r="Q3585" i="1"/>
  <c r="A3586" i="1"/>
  <c r="J3586" i="1"/>
  <c r="N3586" i="1"/>
  <c r="Q3586" i="1"/>
  <c r="A3587" i="1"/>
  <c r="J3587" i="1"/>
  <c r="N3587" i="1"/>
  <c r="Q3587" i="1"/>
  <c r="A3588" i="1"/>
  <c r="J3588" i="1"/>
  <c r="N3588" i="1"/>
  <c r="Q3588" i="1"/>
  <c r="A3589" i="1"/>
  <c r="J3589" i="1"/>
  <c r="N3589" i="1"/>
  <c r="Q3589" i="1"/>
  <c r="A3590" i="1"/>
  <c r="J3590" i="1"/>
  <c r="N3590" i="1"/>
  <c r="Q3590" i="1"/>
  <c r="A3591" i="1"/>
  <c r="J3591" i="1"/>
  <c r="N3591" i="1"/>
  <c r="Q3591" i="1"/>
  <c r="A3592" i="1"/>
  <c r="J3592" i="1"/>
  <c r="N3592" i="1"/>
  <c r="Q3592" i="1"/>
  <c r="A3593" i="1"/>
  <c r="S3593" i="1" s="1"/>
  <c r="AA3593" i="1" s="1"/>
  <c r="J3593" i="1"/>
  <c r="N3593" i="1"/>
  <c r="Q3593" i="1"/>
  <c r="A3594" i="1"/>
  <c r="J3594" i="1"/>
  <c r="N3594" i="1"/>
  <c r="Q3594" i="1"/>
  <c r="A3595" i="1"/>
  <c r="S3595" i="1" s="1"/>
  <c r="AA3595" i="1" s="1"/>
  <c r="J3595" i="1"/>
  <c r="N3595" i="1"/>
  <c r="Q3595" i="1"/>
  <c r="A3596" i="1"/>
  <c r="S3596" i="1" s="1"/>
  <c r="AA3596" i="1" s="1"/>
  <c r="J3596" i="1"/>
  <c r="N3596" i="1"/>
  <c r="Q3596" i="1"/>
  <c r="A3597" i="1"/>
  <c r="J3597" i="1"/>
  <c r="N3597" i="1"/>
  <c r="Q3597" i="1"/>
  <c r="A3598" i="1"/>
  <c r="J3598" i="1"/>
  <c r="N3598" i="1"/>
  <c r="Q3598" i="1"/>
  <c r="A3599" i="1"/>
  <c r="J3599" i="1"/>
  <c r="N3599" i="1"/>
  <c r="Q3599" i="1"/>
  <c r="A3600" i="1"/>
  <c r="J3600" i="1"/>
  <c r="N3600" i="1"/>
  <c r="Q3600" i="1"/>
  <c r="A3601" i="1"/>
  <c r="J3601" i="1"/>
  <c r="N3601" i="1"/>
  <c r="Q3601" i="1"/>
  <c r="A3602" i="1"/>
  <c r="J3602" i="1"/>
  <c r="N3602" i="1"/>
  <c r="Q3602" i="1"/>
  <c r="A3603" i="1"/>
  <c r="J3603" i="1"/>
  <c r="N3603" i="1"/>
  <c r="Q3603" i="1"/>
  <c r="A3604" i="1"/>
  <c r="J3604" i="1"/>
  <c r="N3604" i="1"/>
  <c r="Q3604" i="1"/>
  <c r="A3605" i="1"/>
  <c r="J3605" i="1"/>
  <c r="N3605" i="1"/>
  <c r="Q3605" i="1"/>
  <c r="A3606" i="1"/>
  <c r="J3606" i="1"/>
  <c r="N3606" i="1"/>
  <c r="Q3606" i="1"/>
  <c r="A3607" i="1"/>
  <c r="J3607" i="1"/>
  <c r="N3607" i="1"/>
  <c r="Q3607" i="1"/>
  <c r="A3608" i="1"/>
  <c r="J3608" i="1"/>
  <c r="N3608" i="1"/>
  <c r="Q3608" i="1"/>
  <c r="A3609" i="1"/>
  <c r="J3609" i="1"/>
  <c r="N3609" i="1"/>
  <c r="Q3609" i="1"/>
  <c r="A3610" i="1"/>
  <c r="J3610" i="1"/>
  <c r="N3610" i="1"/>
  <c r="Q3610" i="1"/>
  <c r="A3611" i="1"/>
  <c r="J3611" i="1"/>
  <c r="N3611" i="1"/>
  <c r="Q3611" i="1"/>
  <c r="A3612" i="1"/>
  <c r="J3612" i="1"/>
  <c r="N3612" i="1"/>
  <c r="Q3612" i="1"/>
  <c r="A3613" i="1"/>
  <c r="J3613" i="1"/>
  <c r="N3613" i="1"/>
  <c r="Q3613" i="1"/>
  <c r="A3614" i="1"/>
  <c r="J3614" i="1"/>
  <c r="N3614" i="1"/>
  <c r="Q3614" i="1"/>
  <c r="A3615" i="1"/>
  <c r="S3615" i="1" s="1"/>
  <c r="AA3615" i="1" s="1"/>
  <c r="J3615" i="1"/>
  <c r="N3615" i="1"/>
  <c r="Q3615" i="1"/>
  <c r="A3616" i="1"/>
  <c r="S3616" i="1" s="1"/>
  <c r="AA3616" i="1" s="1"/>
  <c r="J3616" i="1"/>
  <c r="N3616" i="1"/>
  <c r="Q3616" i="1"/>
  <c r="A3617" i="1"/>
  <c r="S3617" i="1" s="1"/>
  <c r="AA3617" i="1" s="1"/>
  <c r="J3617" i="1"/>
  <c r="N3617" i="1"/>
  <c r="Q3617" i="1"/>
  <c r="A3618" i="1"/>
  <c r="J3618" i="1"/>
  <c r="N3618" i="1"/>
  <c r="Q3618" i="1"/>
  <c r="A3619" i="1"/>
  <c r="J3619" i="1"/>
  <c r="N3619" i="1"/>
  <c r="Q3619" i="1"/>
  <c r="A3620" i="1"/>
  <c r="J3620" i="1"/>
  <c r="N3620" i="1"/>
  <c r="Q3620" i="1"/>
  <c r="A3621" i="1"/>
  <c r="J3621" i="1"/>
  <c r="N3621" i="1"/>
  <c r="Q3621" i="1"/>
  <c r="A3622" i="1"/>
  <c r="J3622" i="1"/>
  <c r="N3622" i="1"/>
  <c r="Q3622" i="1"/>
  <c r="A3623" i="1"/>
  <c r="J3623" i="1"/>
  <c r="N3623" i="1"/>
  <c r="Q3623" i="1"/>
  <c r="A3624" i="1"/>
  <c r="J3624" i="1"/>
  <c r="N3624" i="1"/>
  <c r="Q3624" i="1"/>
  <c r="A3625" i="1"/>
  <c r="J3625" i="1"/>
  <c r="N3625" i="1"/>
  <c r="Q3625" i="1"/>
  <c r="A3626" i="1"/>
  <c r="J3626" i="1"/>
  <c r="N3626" i="1"/>
  <c r="Q3626" i="1"/>
  <c r="A3627" i="1"/>
  <c r="J3627" i="1"/>
  <c r="N3627" i="1"/>
  <c r="Q3627" i="1"/>
  <c r="A3628" i="1"/>
  <c r="J3628" i="1"/>
  <c r="N3628" i="1"/>
  <c r="Q3628" i="1"/>
  <c r="A3629" i="1"/>
  <c r="J3629" i="1"/>
  <c r="N3629" i="1"/>
  <c r="Q3629" i="1"/>
  <c r="A3630" i="1"/>
  <c r="J3630" i="1"/>
  <c r="N3630" i="1"/>
  <c r="Q3630" i="1"/>
  <c r="A3631" i="1"/>
  <c r="J3631" i="1"/>
  <c r="N3631" i="1"/>
  <c r="Q3631" i="1"/>
  <c r="A3632" i="1"/>
  <c r="J3632" i="1"/>
  <c r="N3632" i="1"/>
  <c r="Q3632" i="1"/>
  <c r="A3633" i="1"/>
  <c r="J3633" i="1"/>
  <c r="N3633" i="1"/>
  <c r="Q3633" i="1"/>
  <c r="A3634" i="1"/>
  <c r="J3634" i="1"/>
  <c r="N3634" i="1"/>
  <c r="Q3634" i="1"/>
  <c r="A3635" i="1"/>
  <c r="J3635" i="1"/>
  <c r="N3635" i="1"/>
  <c r="Q3635" i="1"/>
  <c r="A3636" i="1"/>
  <c r="J3636" i="1"/>
  <c r="N3636" i="1"/>
  <c r="Q3636" i="1"/>
  <c r="A3637" i="1"/>
  <c r="J3637" i="1"/>
  <c r="N3637" i="1"/>
  <c r="Q3637" i="1"/>
  <c r="A3638" i="1"/>
  <c r="J3638" i="1"/>
  <c r="N3638" i="1"/>
  <c r="Q3638" i="1"/>
  <c r="A3639" i="1"/>
  <c r="J3639" i="1"/>
  <c r="N3639" i="1"/>
  <c r="Q3639" i="1"/>
  <c r="A3640" i="1"/>
  <c r="S3640" i="1" s="1"/>
  <c r="AA3640" i="1" s="1"/>
  <c r="J3640" i="1"/>
  <c r="N3640" i="1"/>
  <c r="Q3640" i="1"/>
  <c r="A3641" i="1"/>
  <c r="S3641" i="1" s="1"/>
  <c r="AA3641" i="1" s="1"/>
  <c r="J3641" i="1"/>
  <c r="N3641" i="1"/>
  <c r="Q3641" i="1"/>
  <c r="A3642" i="1"/>
  <c r="J3642" i="1"/>
  <c r="N3642" i="1"/>
  <c r="Q3642" i="1"/>
  <c r="A3643" i="1"/>
  <c r="S3643" i="1" s="1"/>
  <c r="AA3643" i="1" s="1"/>
  <c r="J3643" i="1"/>
  <c r="N3643" i="1"/>
  <c r="Q3643" i="1"/>
  <c r="A3644" i="1"/>
  <c r="J3644" i="1"/>
  <c r="N3644" i="1"/>
  <c r="Q3644" i="1"/>
  <c r="A3645" i="1"/>
  <c r="J3645" i="1"/>
  <c r="N3645" i="1"/>
  <c r="Q3645" i="1"/>
  <c r="A3646" i="1"/>
  <c r="J3646" i="1"/>
  <c r="N3646" i="1"/>
  <c r="Q3646" i="1"/>
  <c r="A3647" i="1"/>
  <c r="J3647" i="1"/>
  <c r="N3647" i="1"/>
  <c r="Q3647" i="1"/>
  <c r="A3648" i="1"/>
  <c r="J3648" i="1"/>
  <c r="N3648" i="1"/>
  <c r="Q3648" i="1"/>
  <c r="A3649" i="1"/>
  <c r="J3649" i="1"/>
  <c r="N3649" i="1"/>
  <c r="Q3649" i="1"/>
  <c r="A3650" i="1"/>
  <c r="J3650" i="1"/>
  <c r="N3650" i="1"/>
  <c r="Q3650" i="1"/>
  <c r="A3651" i="1"/>
  <c r="J3651" i="1"/>
  <c r="N3651" i="1"/>
  <c r="Q3651" i="1"/>
  <c r="A3652" i="1"/>
  <c r="J3652" i="1"/>
  <c r="N3652" i="1"/>
  <c r="Q3652" i="1"/>
  <c r="A3653" i="1"/>
  <c r="J3653" i="1"/>
  <c r="N3653" i="1"/>
  <c r="Q3653" i="1"/>
  <c r="A3654" i="1"/>
  <c r="J3654" i="1"/>
  <c r="N3654" i="1"/>
  <c r="Q3654" i="1"/>
  <c r="A3655" i="1"/>
  <c r="J3655" i="1"/>
  <c r="N3655" i="1"/>
  <c r="Q3655" i="1"/>
  <c r="A3656" i="1"/>
  <c r="J3656" i="1"/>
  <c r="N3656" i="1"/>
  <c r="Q3656" i="1"/>
  <c r="A3657" i="1"/>
  <c r="J3657" i="1"/>
  <c r="N3657" i="1"/>
  <c r="Q3657" i="1"/>
  <c r="A3658" i="1"/>
  <c r="J3658" i="1"/>
  <c r="N3658" i="1"/>
  <c r="Q3658" i="1"/>
  <c r="A3659" i="1"/>
  <c r="J3659" i="1"/>
  <c r="N3659" i="1"/>
  <c r="Q3659" i="1"/>
  <c r="A3660" i="1"/>
  <c r="J3660" i="1"/>
  <c r="N3660" i="1"/>
  <c r="Q3660" i="1"/>
  <c r="A3661" i="1"/>
  <c r="S3661" i="1" s="1"/>
  <c r="AA3661" i="1" s="1"/>
  <c r="J3661" i="1"/>
  <c r="N3661" i="1"/>
  <c r="Q3661" i="1"/>
  <c r="A3662" i="1"/>
  <c r="J3662" i="1"/>
  <c r="N3662" i="1"/>
  <c r="Q3662" i="1"/>
  <c r="A3663" i="1"/>
  <c r="S3663" i="1" s="1"/>
  <c r="AA3663" i="1" s="1"/>
  <c r="J3663" i="1"/>
  <c r="N3663" i="1"/>
  <c r="Q3663" i="1"/>
  <c r="A3664" i="1"/>
  <c r="S3664" i="1" s="1"/>
  <c r="AA3664" i="1" s="1"/>
  <c r="J3664" i="1"/>
  <c r="N3664" i="1"/>
  <c r="Q3664" i="1"/>
  <c r="A3665" i="1"/>
  <c r="J3665" i="1"/>
  <c r="N3665" i="1"/>
  <c r="Q3665" i="1"/>
  <c r="A3666" i="1"/>
  <c r="J3666" i="1"/>
  <c r="N3666" i="1"/>
  <c r="Q3666" i="1"/>
  <c r="A3667" i="1"/>
  <c r="J3667" i="1"/>
  <c r="N3667" i="1"/>
  <c r="Q3667" i="1"/>
  <c r="A3668" i="1"/>
  <c r="J3668" i="1"/>
  <c r="N3668" i="1"/>
  <c r="Q3668" i="1"/>
  <c r="A3669" i="1"/>
  <c r="J3669" i="1"/>
  <c r="N3669" i="1"/>
  <c r="Q3669" i="1"/>
  <c r="A3670" i="1"/>
  <c r="J3670" i="1"/>
  <c r="N3670" i="1"/>
  <c r="Q3670" i="1"/>
  <c r="A3671" i="1"/>
  <c r="J3671" i="1"/>
  <c r="N3671" i="1"/>
  <c r="Q3671" i="1"/>
  <c r="A3672" i="1"/>
  <c r="J3672" i="1"/>
  <c r="N3672" i="1"/>
  <c r="Q3672" i="1"/>
  <c r="A3673" i="1"/>
  <c r="J3673" i="1"/>
  <c r="N3673" i="1"/>
  <c r="Q3673" i="1"/>
  <c r="A3674" i="1"/>
  <c r="J3674" i="1"/>
  <c r="N3674" i="1"/>
  <c r="Q3674" i="1"/>
  <c r="A3675" i="1"/>
  <c r="J3675" i="1"/>
  <c r="N3675" i="1"/>
  <c r="Q3675" i="1"/>
  <c r="A3676" i="1"/>
  <c r="J3676" i="1"/>
  <c r="N3676" i="1"/>
  <c r="Q3676" i="1"/>
  <c r="A3677" i="1"/>
  <c r="J3677" i="1"/>
  <c r="N3677" i="1"/>
  <c r="Q3677" i="1"/>
  <c r="A3678" i="1"/>
  <c r="J3678" i="1"/>
  <c r="N3678" i="1"/>
  <c r="Q3678" i="1"/>
  <c r="A3679" i="1"/>
  <c r="J3679" i="1"/>
  <c r="N3679" i="1"/>
  <c r="Q3679" i="1"/>
  <c r="A3680" i="1"/>
  <c r="J3680" i="1"/>
  <c r="N3680" i="1"/>
  <c r="Q3680" i="1"/>
  <c r="A3681" i="1"/>
  <c r="J3681" i="1"/>
  <c r="N3681" i="1"/>
  <c r="Q3681" i="1"/>
  <c r="A3682" i="1"/>
  <c r="J3682" i="1"/>
  <c r="N3682" i="1"/>
  <c r="Q3682" i="1"/>
  <c r="A3683" i="1"/>
  <c r="J3683" i="1"/>
  <c r="N3683" i="1"/>
  <c r="Q3683" i="1"/>
  <c r="A3684" i="1"/>
  <c r="J3684" i="1"/>
  <c r="N3684" i="1"/>
  <c r="Q3684" i="1"/>
  <c r="A3685" i="1"/>
  <c r="J3685" i="1"/>
  <c r="N3685" i="1"/>
  <c r="Q3685" i="1"/>
  <c r="A3686" i="1"/>
  <c r="J3686" i="1"/>
  <c r="N3686" i="1"/>
  <c r="Q3686" i="1"/>
  <c r="A3687" i="1"/>
  <c r="J3687" i="1"/>
  <c r="N3687" i="1"/>
  <c r="Q3687" i="1"/>
  <c r="A3688" i="1"/>
  <c r="S3688" i="1" s="1"/>
  <c r="AA3688" i="1" s="1"/>
  <c r="J3688" i="1"/>
  <c r="N3688" i="1"/>
  <c r="Q3688" i="1"/>
  <c r="A3689" i="1"/>
  <c r="S3689" i="1" s="1"/>
  <c r="AA3689" i="1" s="1"/>
  <c r="J3689" i="1"/>
  <c r="N3689" i="1"/>
  <c r="Q3689" i="1"/>
  <c r="A3690" i="1"/>
  <c r="J3690" i="1"/>
  <c r="N3690" i="1"/>
  <c r="Q3690" i="1"/>
  <c r="A3691" i="1"/>
  <c r="J3691" i="1"/>
  <c r="N3691" i="1"/>
  <c r="Q3691" i="1"/>
  <c r="A3692" i="1"/>
  <c r="J3692" i="1"/>
  <c r="N3692" i="1"/>
  <c r="Q3692" i="1"/>
  <c r="A3693" i="1"/>
  <c r="J3693" i="1"/>
  <c r="N3693" i="1"/>
  <c r="Q3693" i="1"/>
  <c r="A3694" i="1"/>
  <c r="J3694" i="1"/>
  <c r="N3694" i="1"/>
  <c r="Q3694" i="1"/>
  <c r="A3695" i="1"/>
  <c r="J3695" i="1"/>
  <c r="N3695" i="1"/>
  <c r="Q3695" i="1"/>
  <c r="A3696" i="1"/>
  <c r="J3696" i="1"/>
  <c r="N3696" i="1"/>
  <c r="Q3696" i="1"/>
  <c r="A3697" i="1"/>
  <c r="J3697" i="1"/>
  <c r="N3697" i="1"/>
  <c r="Q3697" i="1"/>
  <c r="A3698" i="1"/>
  <c r="J3698" i="1"/>
  <c r="N3698" i="1"/>
  <c r="Q3698" i="1"/>
  <c r="A3699" i="1"/>
  <c r="J3699" i="1"/>
  <c r="N3699" i="1"/>
  <c r="Q3699" i="1"/>
  <c r="A3700" i="1"/>
  <c r="J3700" i="1"/>
  <c r="N3700" i="1"/>
  <c r="Q3700" i="1"/>
  <c r="A3701" i="1"/>
  <c r="J3701" i="1"/>
  <c r="N3701" i="1"/>
  <c r="Q3701" i="1"/>
  <c r="A3702" i="1"/>
  <c r="J3702" i="1"/>
  <c r="N3702" i="1"/>
  <c r="Q3702" i="1"/>
  <c r="A3703" i="1"/>
  <c r="J3703" i="1"/>
  <c r="N3703" i="1"/>
  <c r="Q3703" i="1"/>
  <c r="A3704" i="1"/>
  <c r="J3704" i="1"/>
  <c r="N3704" i="1"/>
  <c r="Q3704" i="1"/>
  <c r="A3705" i="1"/>
  <c r="J3705" i="1"/>
  <c r="N3705" i="1"/>
  <c r="Q3705" i="1"/>
  <c r="A3706" i="1"/>
  <c r="J3706" i="1"/>
  <c r="N3706" i="1"/>
  <c r="Q3706" i="1"/>
  <c r="A3707" i="1"/>
  <c r="J3707" i="1"/>
  <c r="N3707" i="1"/>
  <c r="Q3707" i="1"/>
  <c r="A3708" i="1"/>
  <c r="S3708" i="1" s="1"/>
  <c r="AA3708" i="1" s="1"/>
  <c r="J3708" i="1"/>
  <c r="N3708" i="1"/>
  <c r="Q3708" i="1"/>
  <c r="A3709" i="1"/>
  <c r="S3709" i="1" s="1"/>
  <c r="AA3709" i="1" s="1"/>
  <c r="J3709" i="1"/>
  <c r="N3709" i="1"/>
  <c r="Q3709" i="1"/>
  <c r="A3710" i="1"/>
  <c r="J3710" i="1"/>
  <c r="N3710" i="1"/>
  <c r="Q3710" i="1"/>
  <c r="A3711" i="1"/>
  <c r="S3711" i="1" s="1"/>
  <c r="AA3711" i="1" s="1"/>
  <c r="J3711" i="1"/>
  <c r="N3711" i="1"/>
  <c r="Q3711" i="1"/>
  <c r="A3712" i="1"/>
  <c r="J3712" i="1"/>
  <c r="N3712" i="1"/>
  <c r="Q3712" i="1"/>
  <c r="A3713" i="1"/>
  <c r="J3713" i="1"/>
  <c r="N3713" i="1"/>
  <c r="Q3713" i="1"/>
  <c r="A3714" i="1"/>
  <c r="J3714" i="1"/>
  <c r="N3714" i="1"/>
  <c r="Q3714" i="1"/>
  <c r="A3715" i="1"/>
  <c r="J3715" i="1"/>
  <c r="N3715" i="1"/>
  <c r="Q3715" i="1"/>
  <c r="A3716" i="1"/>
  <c r="J3716" i="1"/>
  <c r="N3716" i="1"/>
  <c r="Q3716" i="1"/>
  <c r="A3717" i="1"/>
  <c r="J3717" i="1"/>
  <c r="N3717" i="1"/>
  <c r="Q3717" i="1"/>
  <c r="A3718" i="1"/>
  <c r="J3718" i="1"/>
  <c r="N3718" i="1"/>
  <c r="Q3718" i="1"/>
  <c r="A3719" i="1"/>
  <c r="J3719" i="1"/>
  <c r="N3719" i="1"/>
  <c r="Q3719" i="1"/>
  <c r="A3720" i="1"/>
  <c r="J3720" i="1"/>
  <c r="N3720" i="1"/>
  <c r="Q3720" i="1"/>
  <c r="A3721" i="1"/>
  <c r="J3721" i="1"/>
  <c r="N3721" i="1"/>
  <c r="Q3721" i="1"/>
  <c r="A3722" i="1"/>
  <c r="J3722" i="1"/>
  <c r="N3722" i="1"/>
  <c r="Q3722" i="1"/>
  <c r="A3723" i="1"/>
  <c r="J3723" i="1"/>
  <c r="N3723" i="1"/>
  <c r="Q3723" i="1"/>
  <c r="A3724" i="1"/>
  <c r="J3724" i="1"/>
  <c r="N3724" i="1"/>
  <c r="Q3724" i="1"/>
  <c r="A3725" i="1"/>
  <c r="J3725" i="1"/>
  <c r="N3725" i="1"/>
  <c r="Q3725" i="1"/>
  <c r="A3726" i="1"/>
  <c r="J3726" i="1"/>
  <c r="N3726" i="1"/>
  <c r="Q3726" i="1"/>
  <c r="A3727" i="1"/>
  <c r="J3727" i="1"/>
  <c r="N3727" i="1"/>
  <c r="Q3727" i="1"/>
  <c r="A3728" i="1"/>
  <c r="J3728" i="1"/>
  <c r="N3728" i="1"/>
  <c r="Q3728" i="1"/>
  <c r="A3729" i="1"/>
  <c r="S3729" i="1" s="1"/>
  <c r="AA3729" i="1" s="1"/>
  <c r="J3729" i="1"/>
  <c r="N3729" i="1"/>
  <c r="Q3729" i="1"/>
  <c r="A3730" i="1"/>
  <c r="J3730" i="1"/>
  <c r="N3730" i="1"/>
  <c r="Q3730" i="1"/>
  <c r="A3731" i="1"/>
  <c r="J3731" i="1"/>
  <c r="N3731" i="1"/>
  <c r="Q3731" i="1"/>
  <c r="A3732" i="1"/>
  <c r="J3732" i="1"/>
  <c r="N3732" i="1"/>
  <c r="Q3732" i="1"/>
  <c r="A3733" i="1"/>
  <c r="J3733" i="1"/>
  <c r="N3733" i="1"/>
  <c r="Q3733" i="1"/>
  <c r="A3734" i="1"/>
  <c r="J3734" i="1"/>
  <c r="N3734" i="1"/>
  <c r="Q3734" i="1"/>
  <c r="A3735" i="1"/>
  <c r="J3735" i="1"/>
  <c r="N3735" i="1"/>
  <c r="Q3735" i="1"/>
  <c r="A3736" i="1"/>
  <c r="S3736" i="1" s="1"/>
  <c r="AA3736" i="1" s="1"/>
  <c r="J3736" i="1"/>
  <c r="N3736" i="1"/>
  <c r="Q3736" i="1"/>
  <c r="A3737" i="1"/>
  <c r="S3737" i="1" s="1"/>
  <c r="AA3737" i="1" s="1"/>
  <c r="J3737" i="1"/>
  <c r="N3737" i="1"/>
  <c r="Q3737" i="1"/>
  <c r="A3738" i="1"/>
  <c r="J3738" i="1"/>
  <c r="N3738" i="1"/>
  <c r="Q3738" i="1"/>
  <c r="A3739" i="1"/>
  <c r="J3739" i="1"/>
  <c r="N3739" i="1"/>
  <c r="Q3739" i="1"/>
  <c r="A3740" i="1"/>
  <c r="J3740" i="1"/>
  <c r="N3740" i="1"/>
  <c r="Q3740" i="1"/>
  <c r="A3741" i="1"/>
  <c r="J3741" i="1"/>
  <c r="N3741" i="1"/>
  <c r="Q3741" i="1"/>
  <c r="A3742" i="1"/>
  <c r="J3742" i="1"/>
  <c r="N3742" i="1"/>
  <c r="Q3742" i="1"/>
  <c r="A3743" i="1"/>
  <c r="J3743" i="1"/>
  <c r="N3743" i="1"/>
  <c r="Q3743" i="1"/>
  <c r="A3744" i="1"/>
  <c r="J3744" i="1"/>
  <c r="N3744" i="1"/>
  <c r="Q3744" i="1"/>
  <c r="A3745" i="1"/>
  <c r="J3745" i="1"/>
  <c r="N3745" i="1"/>
  <c r="Q3745" i="1"/>
  <c r="A3746" i="1"/>
  <c r="J3746" i="1"/>
  <c r="N3746" i="1"/>
  <c r="Q3746" i="1"/>
  <c r="A3747" i="1"/>
  <c r="J3747" i="1"/>
  <c r="N3747" i="1"/>
  <c r="Q3747" i="1"/>
  <c r="A3748" i="1"/>
  <c r="J3748" i="1"/>
  <c r="N3748" i="1"/>
  <c r="Q3748" i="1"/>
  <c r="A3749" i="1"/>
  <c r="J3749" i="1"/>
  <c r="N3749" i="1"/>
  <c r="Q3749" i="1"/>
  <c r="A3750" i="1"/>
  <c r="J3750" i="1"/>
  <c r="N3750" i="1"/>
  <c r="Q3750" i="1"/>
  <c r="A3751" i="1"/>
  <c r="J3751" i="1"/>
  <c r="N3751" i="1"/>
  <c r="Q3751" i="1"/>
  <c r="A3752" i="1"/>
  <c r="J3752" i="1"/>
  <c r="N3752" i="1"/>
  <c r="Q3752" i="1"/>
  <c r="A3753" i="1"/>
  <c r="J3753" i="1"/>
  <c r="N3753" i="1"/>
  <c r="Q3753" i="1"/>
  <c r="A3754" i="1"/>
  <c r="J3754" i="1"/>
  <c r="N3754" i="1"/>
  <c r="Q3754" i="1"/>
  <c r="A3755" i="1"/>
  <c r="S3755" i="1" s="1"/>
  <c r="AA3755" i="1" s="1"/>
  <c r="J3755" i="1"/>
  <c r="N3755" i="1"/>
  <c r="Q3755" i="1"/>
  <c r="A3756" i="1"/>
  <c r="S3756" i="1" s="1"/>
  <c r="AA3756" i="1" s="1"/>
  <c r="J3756" i="1"/>
  <c r="N3756" i="1"/>
  <c r="Q3756" i="1"/>
  <c r="A3757" i="1"/>
  <c r="S3757" i="1" s="1"/>
  <c r="AA3757" i="1" s="1"/>
  <c r="J3757" i="1"/>
  <c r="N3757" i="1"/>
  <c r="Q3757" i="1"/>
  <c r="A3758" i="1"/>
  <c r="J3758" i="1"/>
  <c r="N3758" i="1"/>
  <c r="Q3758" i="1"/>
  <c r="A3759" i="1"/>
  <c r="J3759" i="1"/>
  <c r="N3759" i="1"/>
  <c r="Q3759" i="1"/>
  <c r="A3760" i="1"/>
  <c r="J3760" i="1"/>
  <c r="N3760" i="1"/>
  <c r="Q3760" i="1"/>
  <c r="A3761" i="1"/>
  <c r="J3761" i="1"/>
  <c r="N3761" i="1"/>
  <c r="Q3761" i="1"/>
  <c r="A3762" i="1"/>
  <c r="J3762" i="1"/>
  <c r="N3762" i="1"/>
  <c r="Q3762" i="1"/>
  <c r="A3763" i="1"/>
  <c r="J3763" i="1"/>
  <c r="N3763" i="1"/>
  <c r="Q3763" i="1"/>
  <c r="A3764" i="1"/>
  <c r="J3764" i="1"/>
  <c r="N3764" i="1"/>
  <c r="Q3764" i="1"/>
  <c r="A3765" i="1"/>
  <c r="J3765" i="1"/>
  <c r="N3765" i="1"/>
  <c r="Q3765" i="1"/>
  <c r="A3766" i="1"/>
  <c r="J3766" i="1"/>
  <c r="N3766" i="1"/>
  <c r="Q3766" i="1"/>
  <c r="A3767" i="1"/>
  <c r="J3767" i="1"/>
  <c r="N3767" i="1"/>
  <c r="Q3767" i="1"/>
  <c r="A3768" i="1"/>
  <c r="J3768" i="1"/>
  <c r="N3768" i="1"/>
  <c r="Q3768" i="1"/>
  <c r="A3769" i="1"/>
  <c r="J3769" i="1"/>
  <c r="N3769" i="1"/>
  <c r="Q3769" i="1"/>
  <c r="A3770" i="1"/>
  <c r="J3770" i="1"/>
  <c r="N3770" i="1"/>
  <c r="Q3770" i="1"/>
  <c r="A3771" i="1"/>
  <c r="J3771" i="1"/>
  <c r="N3771" i="1"/>
  <c r="Q3771" i="1"/>
  <c r="A3772" i="1"/>
  <c r="J3772" i="1"/>
  <c r="N3772" i="1"/>
  <c r="Q3772" i="1"/>
  <c r="A3773" i="1"/>
  <c r="J3773" i="1"/>
  <c r="N3773" i="1"/>
  <c r="Q3773" i="1"/>
  <c r="A3774" i="1"/>
  <c r="J3774" i="1"/>
  <c r="N3774" i="1"/>
  <c r="Q3774" i="1"/>
  <c r="A3775" i="1"/>
  <c r="J3775" i="1"/>
  <c r="N3775" i="1"/>
  <c r="Q3775" i="1"/>
  <c r="A3776" i="1"/>
  <c r="S3776" i="1" s="1"/>
  <c r="AA3776" i="1" s="1"/>
  <c r="J3776" i="1"/>
  <c r="N3776" i="1"/>
  <c r="Q3776" i="1"/>
  <c r="A3777" i="1"/>
  <c r="S3777" i="1" s="1"/>
  <c r="AA3777" i="1" s="1"/>
  <c r="J3777" i="1"/>
  <c r="N3777" i="1"/>
  <c r="Q3777" i="1"/>
  <c r="A3778" i="1"/>
  <c r="J3778" i="1"/>
  <c r="N3778" i="1"/>
  <c r="Q3778" i="1"/>
  <c r="A3779" i="1"/>
  <c r="J3779" i="1"/>
  <c r="N3779" i="1"/>
  <c r="Q3779" i="1"/>
  <c r="A3780" i="1"/>
  <c r="J3780" i="1"/>
  <c r="N3780" i="1"/>
  <c r="Q3780" i="1"/>
  <c r="A3781" i="1"/>
  <c r="J3781" i="1"/>
  <c r="N3781" i="1"/>
  <c r="Q3781" i="1"/>
  <c r="A3782" i="1"/>
  <c r="J3782" i="1"/>
  <c r="N3782" i="1"/>
  <c r="Q3782" i="1"/>
  <c r="A3783" i="1"/>
  <c r="J3783" i="1"/>
  <c r="N3783" i="1"/>
  <c r="Q3783" i="1"/>
  <c r="A3784" i="1"/>
  <c r="S3784" i="1" s="1"/>
  <c r="AA3784" i="1" s="1"/>
  <c r="J3784" i="1"/>
  <c r="N3784" i="1"/>
  <c r="Q3784" i="1"/>
  <c r="A3785" i="1"/>
  <c r="J3785" i="1"/>
  <c r="N3785" i="1"/>
  <c r="Q3785" i="1"/>
  <c r="A3786" i="1"/>
  <c r="J3786" i="1"/>
  <c r="N3786" i="1"/>
  <c r="Q3786" i="1"/>
  <c r="A3787" i="1"/>
  <c r="J3787" i="1"/>
  <c r="N3787" i="1"/>
  <c r="Q3787" i="1"/>
  <c r="A3788" i="1"/>
  <c r="J3788" i="1"/>
  <c r="N3788" i="1"/>
  <c r="Q3788" i="1"/>
  <c r="A3789" i="1"/>
  <c r="J3789" i="1"/>
  <c r="N3789" i="1"/>
  <c r="Q3789" i="1"/>
  <c r="A3790" i="1"/>
  <c r="J3790" i="1"/>
  <c r="N3790" i="1"/>
  <c r="Q3790" i="1"/>
  <c r="A3791" i="1"/>
  <c r="J3791" i="1"/>
  <c r="N3791" i="1"/>
  <c r="Q3791" i="1"/>
  <c r="A3792" i="1"/>
  <c r="J3792" i="1"/>
  <c r="N3792" i="1"/>
  <c r="Q3792" i="1"/>
  <c r="A3793" i="1"/>
  <c r="J3793" i="1"/>
  <c r="N3793" i="1"/>
  <c r="Q3793" i="1"/>
  <c r="A3794" i="1"/>
  <c r="J3794" i="1"/>
  <c r="N3794" i="1"/>
  <c r="Q3794" i="1"/>
  <c r="A3795" i="1"/>
  <c r="J3795" i="1"/>
  <c r="N3795" i="1"/>
  <c r="Q3795" i="1"/>
  <c r="A3796" i="1"/>
  <c r="J3796" i="1"/>
  <c r="N3796" i="1"/>
  <c r="Q3796" i="1"/>
  <c r="A3797" i="1"/>
  <c r="J3797" i="1"/>
  <c r="N3797" i="1"/>
  <c r="Q3797" i="1"/>
  <c r="A3798" i="1"/>
  <c r="J3798" i="1"/>
  <c r="N3798" i="1"/>
  <c r="Q3798" i="1"/>
  <c r="A3799" i="1"/>
  <c r="J3799" i="1"/>
  <c r="N3799" i="1"/>
  <c r="Q3799" i="1"/>
  <c r="A3800" i="1"/>
  <c r="J3800" i="1"/>
  <c r="N3800" i="1"/>
  <c r="Q3800" i="1"/>
  <c r="A3801" i="1"/>
  <c r="J3801" i="1"/>
  <c r="N3801" i="1"/>
  <c r="Q3801" i="1"/>
  <c r="A3802" i="1"/>
  <c r="J3802" i="1"/>
  <c r="N3802" i="1"/>
  <c r="Q3802" i="1"/>
  <c r="A3803" i="1"/>
  <c r="S3803" i="1" s="1"/>
  <c r="AA3803" i="1" s="1"/>
  <c r="J3803" i="1"/>
  <c r="N3803" i="1"/>
  <c r="Q3803" i="1"/>
  <c r="A3804" i="1"/>
  <c r="S3804" i="1" s="1"/>
  <c r="AA3804" i="1" s="1"/>
  <c r="J3804" i="1"/>
  <c r="N3804" i="1"/>
  <c r="Q3804" i="1"/>
  <c r="A3805" i="1"/>
  <c r="S3805" i="1" s="1"/>
  <c r="AA3805" i="1" s="1"/>
  <c r="J3805" i="1"/>
  <c r="N3805" i="1"/>
  <c r="Q3805" i="1"/>
  <c r="A3806" i="1"/>
  <c r="J3806" i="1"/>
  <c r="N3806" i="1"/>
  <c r="Q3806" i="1"/>
  <c r="A3807" i="1"/>
  <c r="J3807" i="1"/>
  <c r="N3807" i="1"/>
  <c r="Q3807" i="1"/>
  <c r="A3808" i="1"/>
  <c r="J3808" i="1"/>
  <c r="N3808" i="1"/>
  <c r="Q3808" i="1"/>
  <c r="A3809" i="1"/>
  <c r="J3809" i="1"/>
  <c r="N3809" i="1"/>
  <c r="Q3809" i="1"/>
  <c r="A3810" i="1"/>
  <c r="J3810" i="1"/>
  <c r="N3810" i="1"/>
  <c r="Q3810" i="1"/>
  <c r="A3811" i="1"/>
  <c r="J3811" i="1"/>
  <c r="N3811" i="1"/>
  <c r="Q3811" i="1"/>
  <c r="A3812" i="1"/>
  <c r="J3812" i="1"/>
  <c r="N3812" i="1"/>
  <c r="Q3812" i="1"/>
  <c r="A3813" i="1"/>
  <c r="J3813" i="1"/>
  <c r="N3813" i="1"/>
  <c r="Q3813" i="1"/>
  <c r="A3814" i="1"/>
  <c r="J3814" i="1"/>
  <c r="N3814" i="1"/>
  <c r="Q3814" i="1"/>
  <c r="A3815" i="1"/>
  <c r="J3815" i="1"/>
  <c r="N3815" i="1"/>
  <c r="Q3815" i="1"/>
  <c r="A3816" i="1"/>
  <c r="J3816" i="1"/>
  <c r="N3816" i="1"/>
  <c r="Q3816" i="1"/>
  <c r="A3817" i="1"/>
  <c r="J3817" i="1"/>
  <c r="N3817" i="1"/>
  <c r="Q3817" i="1"/>
  <c r="A3818" i="1"/>
  <c r="J3818" i="1"/>
  <c r="N3818" i="1"/>
  <c r="Q3818" i="1"/>
  <c r="A3819" i="1"/>
  <c r="J3819" i="1"/>
  <c r="N3819" i="1"/>
  <c r="Q3819" i="1"/>
  <c r="A3820" i="1"/>
  <c r="J3820" i="1"/>
  <c r="N3820" i="1"/>
  <c r="Q3820" i="1"/>
  <c r="A3821" i="1"/>
  <c r="J3821" i="1"/>
  <c r="N3821" i="1"/>
  <c r="Q3821" i="1"/>
  <c r="A3822" i="1"/>
  <c r="J3822" i="1"/>
  <c r="N3822" i="1"/>
  <c r="Q3822" i="1"/>
  <c r="A3823" i="1"/>
  <c r="S3823" i="1" s="1"/>
  <c r="AA3823" i="1" s="1"/>
  <c r="J3823" i="1"/>
  <c r="N3823" i="1"/>
  <c r="Q3823" i="1"/>
  <c r="A3824" i="1"/>
  <c r="S3824" i="1" s="1"/>
  <c r="AA3824" i="1" s="1"/>
  <c r="J3824" i="1"/>
  <c r="N3824" i="1"/>
  <c r="Q3824" i="1"/>
  <c r="A3825" i="1"/>
  <c r="S3825" i="1" s="1"/>
  <c r="AA3825" i="1" s="1"/>
  <c r="J3825" i="1"/>
  <c r="N3825" i="1"/>
  <c r="Q3825" i="1"/>
  <c r="A3826" i="1"/>
  <c r="J3826" i="1"/>
  <c r="N3826" i="1"/>
  <c r="Q3826" i="1"/>
  <c r="A3827" i="1"/>
  <c r="J3827" i="1"/>
  <c r="N3827" i="1"/>
  <c r="Q3827" i="1"/>
  <c r="A3828" i="1"/>
  <c r="J3828" i="1"/>
  <c r="N3828" i="1"/>
  <c r="Q3828" i="1"/>
  <c r="A3829" i="1"/>
  <c r="J3829" i="1"/>
  <c r="N3829" i="1"/>
  <c r="Q3829" i="1"/>
  <c r="A3830" i="1"/>
  <c r="J3830" i="1"/>
  <c r="N3830" i="1"/>
  <c r="Q3830" i="1"/>
  <c r="A3831" i="1"/>
  <c r="J3831" i="1"/>
  <c r="N3831" i="1"/>
  <c r="Q3831" i="1"/>
  <c r="A3832" i="1"/>
  <c r="J3832" i="1"/>
  <c r="N3832" i="1"/>
  <c r="Q3832" i="1"/>
  <c r="A3833" i="1"/>
  <c r="J3833" i="1"/>
  <c r="N3833" i="1"/>
  <c r="Q3833" i="1"/>
  <c r="A3834" i="1"/>
  <c r="J3834" i="1"/>
  <c r="N3834" i="1"/>
  <c r="Q3834" i="1"/>
  <c r="A3835" i="1"/>
  <c r="J3835" i="1"/>
  <c r="N3835" i="1"/>
  <c r="Q3835" i="1"/>
  <c r="A3836" i="1"/>
  <c r="J3836" i="1"/>
  <c r="N3836" i="1"/>
  <c r="Q3836" i="1"/>
  <c r="A3837" i="1"/>
  <c r="J3837" i="1"/>
  <c r="N3837" i="1"/>
  <c r="Q3837" i="1"/>
  <c r="A3838" i="1"/>
  <c r="J3838" i="1"/>
  <c r="N3838" i="1"/>
  <c r="Q3838" i="1"/>
  <c r="A3839" i="1"/>
  <c r="J3839" i="1"/>
  <c r="N3839" i="1"/>
  <c r="Q3839" i="1"/>
  <c r="A3840" i="1"/>
  <c r="J3840" i="1"/>
  <c r="N3840" i="1"/>
  <c r="Q3840" i="1"/>
  <c r="A3841" i="1"/>
  <c r="J3841" i="1"/>
  <c r="N3841" i="1"/>
  <c r="Q3841" i="1"/>
  <c r="A3842" i="1"/>
  <c r="J3842" i="1"/>
  <c r="N3842" i="1"/>
  <c r="Q3842" i="1"/>
  <c r="A3843" i="1"/>
  <c r="J3843" i="1"/>
  <c r="N3843" i="1"/>
  <c r="Q3843" i="1"/>
  <c r="A3844" i="1"/>
  <c r="J3844" i="1"/>
  <c r="N3844" i="1"/>
  <c r="Q3844" i="1"/>
  <c r="A3845" i="1"/>
  <c r="J3845" i="1"/>
  <c r="N3845" i="1"/>
  <c r="Q3845" i="1"/>
  <c r="A3846" i="1"/>
  <c r="J3846" i="1"/>
  <c r="N3846" i="1"/>
  <c r="Q3846" i="1"/>
  <c r="A3847" i="1"/>
  <c r="J3847" i="1"/>
  <c r="N3847" i="1"/>
  <c r="Q3847" i="1"/>
  <c r="A3848" i="1"/>
  <c r="J3848" i="1"/>
  <c r="N3848" i="1"/>
  <c r="Q3848" i="1"/>
  <c r="A3849" i="1"/>
  <c r="S3849" i="1" s="1"/>
  <c r="AA3849" i="1" s="1"/>
  <c r="J3849" i="1"/>
  <c r="N3849" i="1"/>
  <c r="Q3849" i="1"/>
  <c r="A3850" i="1"/>
  <c r="J3850" i="1"/>
  <c r="N3850" i="1"/>
  <c r="Q3850" i="1"/>
  <c r="A3851" i="1"/>
  <c r="S3851" i="1" s="1"/>
  <c r="AA3851" i="1" s="1"/>
  <c r="J3851" i="1"/>
  <c r="N3851" i="1"/>
  <c r="Q3851" i="1"/>
  <c r="A3852" i="1"/>
  <c r="S3852" i="1" s="1"/>
  <c r="AA3852" i="1" s="1"/>
  <c r="J3852" i="1"/>
  <c r="N3852" i="1"/>
  <c r="Q3852" i="1"/>
  <c r="A3853" i="1"/>
  <c r="J3853" i="1"/>
  <c r="N3853" i="1"/>
  <c r="Q3853" i="1"/>
  <c r="A3854" i="1"/>
  <c r="J3854" i="1"/>
  <c r="N3854" i="1"/>
  <c r="Q3854" i="1"/>
  <c r="A3855" i="1"/>
  <c r="J3855" i="1"/>
  <c r="N3855" i="1"/>
  <c r="Q3855" i="1"/>
  <c r="A3856" i="1"/>
  <c r="J3856" i="1"/>
  <c r="N3856" i="1"/>
  <c r="Q3856" i="1"/>
  <c r="A3857" i="1"/>
  <c r="J3857" i="1"/>
  <c r="N3857" i="1"/>
  <c r="Q3857" i="1"/>
  <c r="A3858" i="1"/>
  <c r="J3858" i="1"/>
  <c r="N3858" i="1"/>
  <c r="Q3858" i="1"/>
  <c r="A3859" i="1"/>
  <c r="J3859" i="1"/>
  <c r="N3859" i="1"/>
  <c r="Q3859" i="1"/>
  <c r="A3860" i="1"/>
  <c r="J3860" i="1"/>
  <c r="N3860" i="1"/>
  <c r="Q3860" i="1"/>
  <c r="A3861" i="1"/>
  <c r="J3861" i="1"/>
  <c r="N3861" i="1"/>
  <c r="Q3861" i="1"/>
  <c r="A3862" i="1"/>
  <c r="J3862" i="1"/>
  <c r="N3862" i="1"/>
  <c r="Q3862" i="1"/>
  <c r="A3863" i="1"/>
  <c r="J3863" i="1"/>
  <c r="N3863" i="1"/>
  <c r="Q3863" i="1"/>
  <c r="A3864" i="1"/>
  <c r="J3864" i="1"/>
  <c r="N3864" i="1"/>
  <c r="Q3864" i="1"/>
  <c r="A3865" i="1"/>
  <c r="J3865" i="1"/>
  <c r="N3865" i="1"/>
  <c r="Q3865" i="1"/>
  <c r="A3866" i="1"/>
  <c r="J3866" i="1"/>
  <c r="N3866" i="1"/>
  <c r="Q3866" i="1"/>
  <c r="A3867" i="1"/>
  <c r="J3867" i="1"/>
  <c r="N3867" i="1"/>
  <c r="Q3867" i="1"/>
  <c r="A3868" i="1"/>
  <c r="J3868" i="1"/>
  <c r="N3868" i="1"/>
  <c r="Q3868" i="1"/>
  <c r="A3869" i="1"/>
  <c r="J3869" i="1"/>
  <c r="N3869" i="1"/>
  <c r="Q3869" i="1"/>
  <c r="A3870" i="1"/>
  <c r="J3870" i="1"/>
  <c r="N3870" i="1"/>
  <c r="Q3870" i="1"/>
  <c r="A3871" i="1"/>
  <c r="S3871" i="1" s="1"/>
  <c r="AA3871" i="1" s="1"/>
  <c r="J3871" i="1"/>
  <c r="N3871" i="1"/>
  <c r="Q3871" i="1"/>
  <c r="A3872" i="1"/>
  <c r="S3872" i="1" s="1"/>
  <c r="AA3872" i="1" s="1"/>
  <c r="J3872" i="1"/>
  <c r="N3872" i="1"/>
  <c r="Q3872" i="1"/>
  <c r="A3873" i="1"/>
  <c r="S3873" i="1" s="1"/>
  <c r="AA3873" i="1" s="1"/>
  <c r="J3873" i="1"/>
  <c r="N3873" i="1"/>
  <c r="Q3873" i="1"/>
  <c r="A3874" i="1"/>
  <c r="J3874" i="1"/>
  <c r="N3874" i="1"/>
  <c r="Q3874" i="1"/>
  <c r="A3875" i="1"/>
  <c r="J3875" i="1"/>
  <c r="N3875" i="1"/>
  <c r="Q3875" i="1"/>
  <c r="A3876" i="1"/>
  <c r="J3876" i="1"/>
  <c r="N3876" i="1"/>
  <c r="Q3876" i="1"/>
  <c r="A3877" i="1"/>
  <c r="J3877" i="1"/>
  <c r="N3877" i="1"/>
  <c r="Q3877" i="1"/>
  <c r="A3878" i="1"/>
  <c r="J3878" i="1"/>
  <c r="N3878" i="1"/>
  <c r="Q3878" i="1"/>
  <c r="A3879" i="1"/>
  <c r="J3879" i="1"/>
  <c r="N3879" i="1"/>
  <c r="Q3879" i="1"/>
  <c r="A3880" i="1"/>
  <c r="J3880" i="1"/>
  <c r="N3880" i="1"/>
  <c r="Q3880" i="1"/>
  <c r="A3881" i="1"/>
  <c r="J3881" i="1"/>
  <c r="N3881" i="1"/>
  <c r="Q3881" i="1"/>
  <c r="A3882" i="1"/>
  <c r="J3882" i="1"/>
  <c r="N3882" i="1"/>
  <c r="Q3882" i="1"/>
  <c r="A3883" i="1"/>
  <c r="J3883" i="1"/>
  <c r="N3883" i="1"/>
  <c r="Q3883" i="1"/>
  <c r="A3884" i="1"/>
  <c r="J3884" i="1"/>
  <c r="N3884" i="1"/>
  <c r="Q3884" i="1"/>
  <c r="A3885" i="1"/>
  <c r="J3885" i="1"/>
  <c r="N3885" i="1"/>
  <c r="Q3885" i="1"/>
  <c r="A3886" i="1"/>
  <c r="J3886" i="1"/>
  <c r="N3886" i="1"/>
  <c r="Q3886" i="1"/>
  <c r="A3887" i="1"/>
  <c r="S3887" i="1" s="1"/>
  <c r="AA3887" i="1" s="1"/>
  <c r="J3887" i="1"/>
  <c r="N3887" i="1"/>
  <c r="Q3887" i="1"/>
  <c r="A3888" i="1"/>
  <c r="S3888" i="1" s="1"/>
  <c r="AA3888" i="1" s="1"/>
  <c r="J3888" i="1"/>
  <c r="N3888" i="1"/>
  <c r="Q3888" i="1"/>
  <c r="A3889" i="1"/>
  <c r="S3889" i="1" s="1"/>
  <c r="AA3889" i="1" s="1"/>
  <c r="J3889" i="1"/>
  <c r="N3889" i="1"/>
  <c r="Q3889" i="1"/>
  <c r="A3890" i="1"/>
  <c r="J3890" i="1"/>
  <c r="N3890" i="1"/>
  <c r="Q3890" i="1"/>
  <c r="A3891" i="1"/>
  <c r="J3891" i="1"/>
  <c r="N3891" i="1"/>
  <c r="Q3891" i="1"/>
  <c r="A3892" i="1"/>
  <c r="J3892" i="1"/>
  <c r="N3892" i="1"/>
  <c r="Q3892" i="1"/>
  <c r="A3893" i="1"/>
  <c r="J3893" i="1"/>
  <c r="N3893" i="1"/>
  <c r="Q3893" i="1"/>
  <c r="A3894" i="1"/>
  <c r="J3894" i="1"/>
  <c r="N3894" i="1"/>
  <c r="Q3894" i="1"/>
  <c r="A3895" i="1"/>
  <c r="J3895" i="1"/>
  <c r="N3895" i="1"/>
  <c r="Q3895" i="1"/>
  <c r="A3896" i="1"/>
  <c r="J3896" i="1"/>
  <c r="N3896" i="1"/>
  <c r="Q3896" i="1"/>
  <c r="A3897" i="1"/>
  <c r="J3897" i="1"/>
  <c r="N3897" i="1"/>
  <c r="Q3897" i="1"/>
  <c r="A3898" i="1"/>
  <c r="J3898" i="1"/>
  <c r="N3898" i="1"/>
  <c r="Q3898" i="1"/>
  <c r="A3899" i="1"/>
  <c r="J3899" i="1"/>
  <c r="N3899" i="1"/>
  <c r="Q3899" i="1"/>
  <c r="A3900" i="1"/>
  <c r="J3900" i="1"/>
  <c r="N3900" i="1"/>
  <c r="Q3900" i="1"/>
  <c r="A3901" i="1"/>
  <c r="J3901" i="1"/>
  <c r="N3901" i="1"/>
  <c r="Q3901" i="1"/>
  <c r="A3902" i="1"/>
  <c r="J3902" i="1"/>
  <c r="N3902" i="1"/>
  <c r="Q3902" i="1"/>
  <c r="A3903" i="1"/>
  <c r="S3903" i="1" s="1"/>
  <c r="AA3903" i="1" s="1"/>
  <c r="J3903" i="1"/>
  <c r="N3903" i="1"/>
  <c r="Q3903" i="1"/>
  <c r="A3904" i="1"/>
  <c r="S3904" i="1" s="1"/>
  <c r="AA3904" i="1" s="1"/>
  <c r="J3904" i="1"/>
  <c r="N3904" i="1"/>
  <c r="Q3904" i="1"/>
  <c r="A3905" i="1"/>
  <c r="S3905" i="1" s="1"/>
  <c r="AA3905" i="1" s="1"/>
  <c r="J3905" i="1"/>
  <c r="N3905" i="1"/>
  <c r="Q3905" i="1"/>
  <c r="A3906" i="1"/>
  <c r="J3906" i="1"/>
  <c r="N3906" i="1"/>
  <c r="Q3906" i="1"/>
  <c r="A3907" i="1"/>
  <c r="J3907" i="1"/>
  <c r="N3907" i="1"/>
  <c r="Q3907" i="1"/>
  <c r="A3908" i="1"/>
  <c r="J3908" i="1"/>
  <c r="N3908" i="1"/>
  <c r="Q3908" i="1"/>
  <c r="A3909" i="1"/>
  <c r="J3909" i="1"/>
  <c r="N3909" i="1"/>
  <c r="Q3909" i="1"/>
  <c r="A3910" i="1"/>
  <c r="J3910" i="1"/>
  <c r="N3910" i="1"/>
  <c r="Q3910" i="1"/>
  <c r="A3911" i="1"/>
  <c r="J3911" i="1"/>
  <c r="N3911" i="1"/>
  <c r="Q3911" i="1"/>
  <c r="A3912" i="1"/>
  <c r="J3912" i="1"/>
  <c r="N3912" i="1"/>
  <c r="Q3912" i="1"/>
  <c r="A3913" i="1"/>
  <c r="J3913" i="1"/>
  <c r="N3913" i="1"/>
  <c r="Q3913" i="1"/>
  <c r="A3914" i="1"/>
  <c r="J3914" i="1"/>
  <c r="N3914" i="1"/>
  <c r="Q3914" i="1"/>
  <c r="A3915" i="1"/>
  <c r="J3915" i="1"/>
  <c r="N3915" i="1"/>
  <c r="Q3915" i="1"/>
  <c r="A3916" i="1"/>
  <c r="J3916" i="1"/>
  <c r="N3916" i="1"/>
  <c r="Q3916" i="1"/>
  <c r="A3917" i="1"/>
  <c r="J3917" i="1"/>
  <c r="N3917" i="1"/>
  <c r="Q3917" i="1"/>
  <c r="A3918" i="1"/>
  <c r="J3918" i="1"/>
  <c r="N3918" i="1"/>
  <c r="Q3918" i="1"/>
  <c r="A3919" i="1"/>
  <c r="S3919" i="1" s="1"/>
  <c r="AA3919" i="1" s="1"/>
  <c r="J3919" i="1"/>
  <c r="N3919" i="1"/>
  <c r="Q3919" i="1"/>
  <c r="A3920" i="1"/>
  <c r="S3920" i="1" s="1"/>
  <c r="AA3920" i="1" s="1"/>
  <c r="J3920" i="1"/>
  <c r="N3920" i="1"/>
  <c r="Q3920" i="1"/>
  <c r="A3921" i="1"/>
  <c r="S3921" i="1" s="1"/>
  <c r="AA3921" i="1" s="1"/>
  <c r="J3921" i="1"/>
  <c r="N3921" i="1"/>
  <c r="Q3921" i="1"/>
  <c r="A3922" i="1"/>
  <c r="J3922" i="1"/>
  <c r="N3922" i="1"/>
  <c r="Q3922" i="1"/>
  <c r="A3923" i="1"/>
  <c r="J3923" i="1"/>
  <c r="N3923" i="1"/>
  <c r="Q3923" i="1"/>
  <c r="A3924" i="1"/>
  <c r="J3924" i="1"/>
  <c r="N3924" i="1"/>
  <c r="Q3924" i="1"/>
  <c r="A3925" i="1"/>
  <c r="J3925" i="1"/>
  <c r="N3925" i="1"/>
  <c r="Q3925" i="1"/>
  <c r="A3926" i="1"/>
  <c r="J3926" i="1"/>
  <c r="N3926" i="1"/>
  <c r="Q3926" i="1"/>
  <c r="A3927" i="1"/>
  <c r="J3927" i="1"/>
  <c r="N3927" i="1"/>
  <c r="Q3927" i="1"/>
  <c r="A3928" i="1"/>
  <c r="J3928" i="1"/>
  <c r="N3928" i="1"/>
  <c r="Q3928" i="1"/>
  <c r="A3929" i="1"/>
  <c r="J3929" i="1"/>
  <c r="N3929" i="1"/>
  <c r="Q3929" i="1"/>
  <c r="A3930" i="1"/>
  <c r="J3930" i="1"/>
  <c r="N3930" i="1"/>
  <c r="Q3930" i="1"/>
  <c r="A3931" i="1"/>
  <c r="J3931" i="1"/>
  <c r="N3931" i="1"/>
  <c r="Q3931" i="1"/>
  <c r="A3932" i="1"/>
  <c r="J3932" i="1"/>
  <c r="N3932" i="1"/>
  <c r="Q3932" i="1"/>
  <c r="A3933" i="1"/>
  <c r="J3933" i="1"/>
  <c r="N3933" i="1"/>
  <c r="Q3933" i="1"/>
  <c r="A3934" i="1"/>
  <c r="J3934" i="1"/>
  <c r="N3934" i="1"/>
  <c r="Q3934" i="1"/>
  <c r="A3935" i="1"/>
  <c r="S3935" i="1" s="1"/>
  <c r="AA3935" i="1" s="1"/>
  <c r="J3935" i="1"/>
  <c r="N3935" i="1"/>
  <c r="Q3935" i="1"/>
  <c r="A3936" i="1"/>
  <c r="S3936" i="1" s="1"/>
  <c r="AA3936" i="1" s="1"/>
  <c r="J3936" i="1"/>
  <c r="N3936" i="1"/>
  <c r="Q3936" i="1"/>
  <c r="A3937" i="1"/>
  <c r="S3937" i="1" s="1"/>
  <c r="AA3937" i="1" s="1"/>
  <c r="J3937" i="1"/>
  <c r="N3937" i="1"/>
  <c r="Q3937" i="1"/>
  <c r="A3938" i="1"/>
  <c r="J3938" i="1"/>
  <c r="N3938" i="1"/>
  <c r="Q3938" i="1"/>
  <c r="A3939" i="1"/>
  <c r="J3939" i="1"/>
  <c r="N3939" i="1"/>
  <c r="Q3939" i="1"/>
  <c r="A3940" i="1"/>
  <c r="J3940" i="1"/>
  <c r="N3940" i="1"/>
  <c r="Q3940" i="1"/>
  <c r="A3941" i="1"/>
  <c r="J3941" i="1"/>
  <c r="N3941" i="1"/>
  <c r="Q3941" i="1"/>
  <c r="A3942" i="1"/>
  <c r="J3942" i="1"/>
  <c r="N3942" i="1"/>
  <c r="Q3942" i="1"/>
  <c r="A3943" i="1"/>
  <c r="J3943" i="1"/>
  <c r="N3943" i="1"/>
  <c r="Q3943" i="1"/>
  <c r="A3944" i="1"/>
  <c r="J3944" i="1"/>
  <c r="N3944" i="1"/>
  <c r="Q3944" i="1"/>
  <c r="A3945" i="1"/>
  <c r="J3945" i="1"/>
  <c r="N3945" i="1"/>
  <c r="Q3945" i="1"/>
  <c r="A3946" i="1"/>
  <c r="J3946" i="1"/>
  <c r="N3946" i="1"/>
  <c r="Q3946" i="1"/>
  <c r="A3947" i="1"/>
  <c r="J3947" i="1"/>
  <c r="N3947" i="1"/>
  <c r="Q3947" i="1"/>
  <c r="A3948" i="1"/>
  <c r="J3948" i="1"/>
  <c r="N3948" i="1"/>
  <c r="Q3948" i="1"/>
  <c r="A3949" i="1"/>
  <c r="J3949" i="1"/>
  <c r="N3949" i="1"/>
  <c r="Q3949" i="1"/>
  <c r="A3950" i="1"/>
  <c r="J3950" i="1"/>
  <c r="N3950" i="1"/>
  <c r="Q3950" i="1"/>
  <c r="A3951" i="1"/>
  <c r="S3951" i="1" s="1"/>
  <c r="AA3951" i="1" s="1"/>
  <c r="J3951" i="1"/>
  <c r="N3951" i="1"/>
  <c r="Q3951" i="1"/>
  <c r="A3952" i="1"/>
  <c r="S3952" i="1" s="1"/>
  <c r="AA3952" i="1" s="1"/>
  <c r="J3952" i="1"/>
  <c r="N3952" i="1"/>
  <c r="Q3952" i="1"/>
  <c r="A3953" i="1"/>
  <c r="S3953" i="1" s="1"/>
  <c r="AA3953" i="1" s="1"/>
  <c r="J3953" i="1"/>
  <c r="N3953" i="1"/>
  <c r="Q3953" i="1"/>
  <c r="A3954" i="1"/>
  <c r="J3954" i="1"/>
  <c r="N3954" i="1"/>
  <c r="Q3954" i="1"/>
  <c r="A3955" i="1"/>
  <c r="J3955" i="1"/>
  <c r="N3955" i="1"/>
  <c r="Q3955" i="1"/>
  <c r="A3956" i="1"/>
  <c r="J3956" i="1"/>
  <c r="N3956" i="1"/>
  <c r="Q3956" i="1"/>
  <c r="A3957" i="1"/>
  <c r="J3957" i="1"/>
  <c r="N3957" i="1"/>
  <c r="Q3957" i="1"/>
  <c r="A3958" i="1"/>
  <c r="J3958" i="1"/>
  <c r="N3958" i="1"/>
  <c r="Q3958" i="1"/>
  <c r="A3959" i="1"/>
  <c r="J3959" i="1"/>
  <c r="N3959" i="1"/>
  <c r="Q3959" i="1"/>
  <c r="A3960" i="1"/>
  <c r="J3960" i="1"/>
  <c r="N3960" i="1"/>
  <c r="Q3960" i="1"/>
  <c r="A3961" i="1"/>
  <c r="J3961" i="1"/>
  <c r="N3961" i="1"/>
  <c r="Q3961" i="1"/>
  <c r="A3962" i="1"/>
  <c r="J3962" i="1"/>
  <c r="N3962" i="1"/>
  <c r="Q3962" i="1"/>
  <c r="A3963" i="1"/>
  <c r="J3963" i="1"/>
  <c r="N3963" i="1"/>
  <c r="Q3963" i="1"/>
  <c r="A3964" i="1"/>
  <c r="J3964" i="1"/>
  <c r="N3964" i="1"/>
  <c r="Q3964" i="1"/>
  <c r="A3965" i="1"/>
  <c r="S3965" i="1" s="1"/>
  <c r="J3965" i="1"/>
  <c r="N3965" i="1"/>
  <c r="Q3965" i="1"/>
  <c r="A3966" i="1"/>
  <c r="J3966" i="1"/>
  <c r="N3966" i="1"/>
  <c r="Q3966" i="1"/>
  <c r="A3967" i="1"/>
  <c r="S3967" i="1" s="1"/>
  <c r="AA3967" i="1" s="1"/>
  <c r="J3967" i="1"/>
  <c r="N3967" i="1"/>
  <c r="Q3967" i="1"/>
  <c r="A3968" i="1"/>
  <c r="S3968" i="1" s="1"/>
  <c r="AA3968" i="1" s="1"/>
  <c r="J3968" i="1"/>
  <c r="N3968" i="1"/>
  <c r="Q3968" i="1"/>
  <c r="A3969" i="1"/>
  <c r="S3969" i="1" s="1"/>
  <c r="AA3969" i="1" s="1"/>
  <c r="J3969" i="1"/>
  <c r="N3969" i="1"/>
  <c r="Q3969" i="1"/>
  <c r="A3970" i="1"/>
  <c r="J3970" i="1"/>
  <c r="N3970" i="1"/>
  <c r="Q3970" i="1"/>
  <c r="A3971" i="1"/>
  <c r="J3971" i="1"/>
  <c r="N3971" i="1"/>
  <c r="Q3971" i="1"/>
  <c r="A3972" i="1"/>
  <c r="J3972" i="1"/>
  <c r="N3972" i="1"/>
  <c r="Q3972" i="1"/>
  <c r="A3973" i="1"/>
  <c r="J3973" i="1"/>
  <c r="N3973" i="1"/>
  <c r="Q3973" i="1"/>
  <c r="A3974" i="1"/>
  <c r="J3974" i="1"/>
  <c r="N3974" i="1"/>
  <c r="Q3974" i="1"/>
  <c r="A3975" i="1"/>
  <c r="J3975" i="1"/>
  <c r="N3975" i="1"/>
  <c r="Q3975" i="1"/>
  <c r="A3976" i="1"/>
  <c r="J3976" i="1"/>
  <c r="N3976" i="1"/>
  <c r="Q3976" i="1"/>
  <c r="A3977" i="1"/>
  <c r="J3977" i="1"/>
  <c r="N3977" i="1"/>
  <c r="Q3977" i="1"/>
  <c r="A3978" i="1"/>
  <c r="J3978" i="1"/>
  <c r="N3978" i="1"/>
  <c r="Q3978" i="1"/>
  <c r="A3979" i="1"/>
  <c r="J3979" i="1"/>
  <c r="N3979" i="1"/>
  <c r="Q3979" i="1"/>
  <c r="A3980" i="1"/>
  <c r="J3980" i="1"/>
  <c r="N3980" i="1"/>
  <c r="Q3980" i="1"/>
  <c r="A3981" i="1"/>
  <c r="J3981" i="1"/>
  <c r="N3981" i="1"/>
  <c r="Q3981" i="1"/>
  <c r="A3982" i="1"/>
  <c r="J3982" i="1"/>
  <c r="N3982" i="1"/>
  <c r="Q3982" i="1"/>
  <c r="A3983" i="1"/>
  <c r="S3983" i="1" s="1"/>
  <c r="AA3983" i="1" s="1"/>
  <c r="J3983" i="1"/>
  <c r="N3983" i="1"/>
  <c r="Q3983" i="1"/>
  <c r="A3984" i="1"/>
  <c r="S3984" i="1" s="1"/>
  <c r="AA3984" i="1" s="1"/>
  <c r="J3984" i="1"/>
  <c r="N3984" i="1"/>
  <c r="Q3984" i="1"/>
  <c r="A3985" i="1"/>
  <c r="S3985" i="1" s="1"/>
  <c r="AA3985" i="1" s="1"/>
  <c r="J3985" i="1"/>
  <c r="N3985" i="1"/>
  <c r="Q3985" i="1"/>
  <c r="A3986" i="1"/>
  <c r="J3986" i="1"/>
  <c r="N3986" i="1"/>
  <c r="Q3986" i="1"/>
  <c r="A3987" i="1"/>
  <c r="J3987" i="1"/>
  <c r="N3987" i="1"/>
  <c r="Q3987" i="1"/>
  <c r="A3988" i="1"/>
  <c r="J3988" i="1"/>
  <c r="N3988" i="1"/>
  <c r="Q3988" i="1"/>
  <c r="A3989" i="1"/>
  <c r="S3989" i="1" s="1"/>
  <c r="J3989" i="1"/>
  <c r="N3989" i="1"/>
  <c r="Q3989" i="1"/>
  <c r="A3990" i="1"/>
  <c r="J3990" i="1"/>
  <c r="N3990" i="1"/>
  <c r="Q3990" i="1"/>
  <c r="A3991" i="1"/>
  <c r="J3991" i="1"/>
  <c r="N3991" i="1"/>
  <c r="Q3991" i="1"/>
  <c r="A3992" i="1"/>
  <c r="J3992" i="1"/>
  <c r="N3992" i="1"/>
  <c r="Q3992" i="1"/>
  <c r="A3993" i="1"/>
  <c r="S3993" i="1" s="1"/>
  <c r="J3993" i="1"/>
  <c r="N3993" i="1"/>
  <c r="Q3993" i="1"/>
  <c r="A3994" i="1"/>
  <c r="J3994" i="1"/>
  <c r="N3994" i="1"/>
  <c r="Q3994" i="1"/>
  <c r="A3995" i="1"/>
  <c r="J3995" i="1"/>
  <c r="N3995" i="1"/>
  <c r="Q3995" i="1"/>
  <c r="A3996" i="1"/>
  <c r="J3996" i="1"/>
  <c r="N3996" i="1"/>
  <c r="Q3996" i="1"/>
  <c r="A3997" i="1"/>
  <c r="J3997" i="1"/>
  <c r="N3997" i="1"/>
  <c r="Q3997" i="1"/>
  <c r="A3998" i="1"/>
  <c r="J3998" i="1"/>
  <c r="N3998" i="1"/>
  <c r="Q3998" i="1"/>
  <c r="A3999" i="1"/>
  <c r="S3999" i="1" s="1"/>
  <c r="AA3999" i="1" s="1"/>
  <c r="J3999" i="1"/>
  <c r="N3999" i="1"/>
  <c r="Q3999" i="1"/>
  <c r="A4000" i="1"/>
  <c r="S4000" i="1" s="1"/>
  <c r="AA4000" i="1" s="1"/>
  <c r="J4000" i="1"/>
  <c r="N4000" i="1"/>
  <c r="Q4000" i="1"/>
  <c r="A4001" i="1"/>
  <c r="S4001" i="1" s="1"/>
  <c r="AA4001" i="1" s="1"/>
  <c r="J4001" i="1"/>
  <c r="N4001" i="1"/>
  <c r="Q4001" i="1"/>
  <c r="A4" i="1"/>
  <c r="S4" i="1" s="1"/>
  <c r="BA3" i="11" a="1"/>
  <c r="BA3" i="11" s="1"/>
  <c r="S3717" i="1" l="1"/>
  <c r="AA3717" i="1" s="1"/>
  <c r="S3509" i="1"/>
  <c r="AA3509" i="1" s="1"/>
  <c r="S3381" i="1"/>
  <c r="AA3381" i="1" s="1"/>
  <c r="S3369" i="1"/>
  <c r="AA3369" i="1" s="1"/>
  <c r="S3365" i="1"/>
  <c r="AA3365" i="1" s="1"/>
  <c r="S3357" i="1"/>
  <c r="AA3357" i="1" s="1"/>
  <c r="S3353" i="1"/>
  <c r="AA3353" i="1" s="1"/>
  <c r="S3349" i="1"/>
  <c r="AA3349" i="1" s="1"/>
  <c r="S3345" i="1"/>
  <c r="AA3345" i="1" s="1"/>
  <c r="S3341" i="1"/>
  <c r="AA3341" i="1" s="1"/>
  <c r="S3333" i="1"/>
  <c r="AA3333" i="1" s="1"/>
  <c r="S3329" i="1"/>
  <c r="AA3329" i="1" s="1"/>
  <c r="S3325" i="1"/>
  <c r="AA3325" i="1" s="1"/>
  <c r="S3321" i="1"/>
  <c r="AA3321" i="1" s="1"/>
  <c r="S3317" i="1"/>
  <c r="AA3317" i="1" s="1"/>
  <c r="S3285" i="1"/>
  <c r="AA3285" i="1" s="1"/>
  <c r="S3281" i="1"/>
  <c r="AA3281" i="1" s="1"/>
  <c r="S3277" i="1"/>
  <c r="AA3277" i="1" s="1"/>
  <c r="S3273" i="1"/>
  <c r="AA3273" i="1" s="1"/>
  <c r="S3269" i="1"/>
  <c r="AA3269" i="1" s="1"/>
  <c r="S3265" i="1"/>
  <c r="AA3265" i="1" s="1"/>
  <c r="S3257" i="1"/>
  <c r="AA3257" i="1" s="1"/>
  <c r="S3249" i="1"/>
  <c r="AA3249" i="1" s="1"/>
  <c r="S3229" i="1"/>
  <c r="AA3229" i="1" s="1"/>
  <c r="S3225" i="1"/>
  <c r="AA3225" i="1" s="1"/>
  <c r="S3217" i="1"/>
  <c r="AA3217" i="1" s="1"/>
  <c r="S3209" i="1"/>
  <c r="AA3209" i="1" s="1"/>
  <c r="S3205" i="1"/>
  <c r="AA3205" i="1" s="1"/>
  <c r="S3201" i="1"/>
  <c r="AA3201" i="1" s="1"/>
  <c r="S3197" i="1"/>
  <c r="AA3197" i="1" s="1"/>
  <c r="S3193" i="1"/>
  <c r="AA3193" i="1" s="1"/>
  <c r="S3189" i="1"/>
  <c r="AA3189" i="1" s="1"/>
  <c r="S3181" i="1"/>
  <c r="AA3181" i="1" s="1"/>
  <c r="S3177" i="1"/>
  <c r="AA3177" i="1" s="1"/>
  <c r="S3173" i="1"/>
  <c r="AA3173" i="1" s="1"/>
  <c r="S3169" i="1"/>
  <c r="AA3169" i="1" s="1"/>
  <c r="S3165" i="1"/>
  <c r="AA3165" i="1" s="1"/>
  <c r="S3157" i="1"/>
  <c r="AA3157" i="1" s="1"/>
  <c r="S3153" i="1"/>
  <c r="AA3153" i="1" s="1"/>
  <c r="S3149" i="1"/>
  <c r="AA3149" i="1" s="1"/>
  <c r="S3145" i="1"/>
  <c r="AA3145" i="1" s="1"/>
  <c r="S3141" i="1"/>
  <c r="AA3141" i="1" s="1"/>
  <c r="S3137" i="1"/>
  <c r="AA3137" i="1" s="1"/>
  <c r="S3129" i="1"/>
  <c r="AA3129" i="1" s="1"/>
  <c r="S3125" i="1"/>
  <c r="AA3125" i="1" s="1"/>
  <c r="S3121" i="1"/>
  <c r="AA3121" i="1" s="1"/>
  <c r="S3117" i="1"/>
  <c r="AA3117" i="1" s="1"/>
  <c r="S3109" i="1"/>
  <c r="AA3109" i="1" s="1"/>
  <c r="S3101" i="1"/>
  <c r="AA3101" i="1" s="1"/>
  <c r="S3097" i="1"/>
  <c r="AA3097" i="1" s="1"/>
  <c r="S3093" i="1"/>
  <c r="AA3093" i="1" s="1"/>
  <c r="S3089" i="1"/>
  <c r="AA3089" i="1" s="1"/>
  <c r="S3081" i="1"/>
  <c r="AA3081" i="1" s="1"/>
  <c r="S3077" i="1"/>
  <c r="AA3077" i="1" s="1"/>
  <c r="S3073" i="1"/>
  <c r="AA3073" i="1" s="1"/>
  <c r="S3069" i="1"/>
  <c r="AA3069" i="1" s="1"/>
  <c r="S3065" i="1"/>
  <c r="AA3065" i="1" s="1"/>
  <c r="S3061" i="1"/>
  <c r="AA3061" i="1" s="1"/>
  <c r="S3053" i="1"/>
  <c r="AA3053" i="1" s="1"/>
  <c r="S3049" i="1"/>
  <c r="AA3049" i="1" s="1"/>
  <c r="S3045" i="1"/>
  <c r="AA3045" i="1" s="1"/>
  <c r="S3041" i="1"/>
  <c r="AA3041" i="1" s="1"/>
  <c r="S3037" i="1"/>
  <c r="AA3037" i="1" s="1"/>
  <c r="S3029" i="1"/>
  <c r="AA3029" i="1" s="1"/>
  <c r="S3021" i="1"/>
  <c r="AA3021" i="1" s="1"/>
  <c r="S3017" i="1"/>
  <c r="AA3017" i="1" s="1"/>
  <c r="S3013" i="1"/>
  <c r="AA3013" i="1" s="1"/>
  <c r="S3009" i="1"/>
  <c r="AA3009" i="1" s="1"/>
  <c r="S3001" i="1"/>
  <c r="AA3001" i="1" s="1"/>
  <c r="S2997" i="1"/>
  <c r="AA2997" i="1" s="1"/>
  <c r="S2993" i="1"/>
  <c r="AA2993" i="1" s="1"/>
  <c r="S2989" i="1"/>
  <c r="AA2989" i="1" s="1"/>
  <c r="S2985" i="1"/>
  <c r="AA2985" i="1" s="1"/>
  <c r="S2981" i="1"/>
  <c r="AA2981" i="1" s="1"/>
  <c r="S2977" i="1"/>
  <c r="AA2977" i="1" s="1"/>
  <c r="S2969" i="1"/>
  <c r="AA2969" i="1" s="1"/>
  <c r="S2965" i="1"/>
  <c r="AA2965" i="1" s="1"/>
  <c r="S2961" i="1"/>
  <c r="AA2961" i="1" s="1"/>
  <c r="S2957" i="1"/>
  <c r="AA2957" i="1" s="1"/>
  <c r="S2953" i="1"/>
  <c r="AA2953" i="1" s="1"/>
  <c r="S2945" i="1"/>
  <c r="AA2945" i="1" s="1"/>
  <c r="S2941" i="1"/>
  <c r="AA2941" i="1" s="1"/>
  <c r="S2937" i="1"/>
  <c r="AA2937" i="1" s="1"/>
  <c r="S2933" i="1"/>
  <c r="AA2933" i="1" s="1"/>
  <c r="S2929" i="1"/>
  <c r="AA2929" i="1" s="1"/>
  <c r="S2925" i="1"/>
  <c r="AA2925" i="1" s="1"/>
  <c r="S2917" i="1"/>
  <c r="AA2917" i="1" s="1"/>
  <c r="S2913" i="1"/>
  <c r="AA2913" i="1" s="1"/>
  <c r="S2909" i="1"/>
  <c r="AA2909" i="1" s="1"/>
  <c r="S2905" i="1"/>
  <c r="AA2905" i="1" s="1"/>
  <c r="S2901" i="1"/>
  <c r="AA2901" i="1" s="1"/>
  <c r="S2897" i="1"/>
  <c r="AA2897" i="1" s="1"/>
  <c r="S2889" i="1"/>
  <c r="AA2889" i="1" s="1"/>
  <c r="S2885" i="1"/>
  <c r="AA2885" i="1" s="1"/>
  <c r="S2881" i="1"/>
  <c r="AA2881" i="1" s="1"/>
  <c r="S2877" i="1"/>
  <c r="AA2877" i="1" s="1"/>
  <c r="S2873" i="1"/>
  <c r="AA2873" i="1" s="1"/>
  <c r="S2869" i="1"/>
  <c r="AA2869" i="1" s="1"/>
  <c r="S2865" i="1"/>
  <c r="AA2865" i="1" s="1"/>
  <c r="S2857" i="1"/>
  <c r="AA2857" i="1" s="1"/>
  <c r="S2853" i="1"/>
  <c r="AA2853" i="1" s="1"/>
  <c r="S2849" i="1"/>
  <c r="AA2849" i="1" s="1"/>
  <c r="S2845" i="1"/>
  <c r="AA2845" i="1" s="1"/>
  <c r="S2841" i="1"/>
  <c r="AA2841" i="1" s="1"/>
  <c r="S2837" i="1"/>
  <c r="AA2837" i="1" s="1"/>
  <c r="S2833" i="1"/>
  <c r="AA2833" i="1" s="1"/>
  <c r="S2825" i="1"/>
  <c r="AA2825" i="1" s="1"/>
  <c r="S2821" i="1"/>
  <c r="AA2821" i="1" s="1"/>
  <c r="S2817" i="1"/>
  <c r="AA2817" i="1" s="1"/>
  <c r="S2813" i="1"/>
  <c r="AA2813" i="1" s="1"/>
  <c r="S2809" i="1"/>
  <c r="AA2809" i="1" s="1"/>
  <c r="S2797" i="1"/>
  <c r="AA2797" i="1" s="1"/>
  <c r="S2793" i="1"/>
  <c r="AA2793" i="1" s="1"/>
  <c r="S2789" i="1"/>
  <c r="AA2789" i="1" s="1"/>
  <c r="S2785" i="1"/>
  <c r="AA2785" i="1" s="1"/>
  <c r="S2781" i="1"/>
  <c r="AA2781" i="1" s="1"/>
  <c r="S2777" i="1"/>
  <c r="AA2777" i="1" s="1"/>
  <c r="S2773" i="1"/>
  <c r="AA2773" i="1" s="1"/>
  <c r="S2769" i="1"/>
  <c r="AA2769" i="1" s="1"/>
  <c r="S2761" i="1"/>
  <c r="AA2761" i="1" s="1"/>
  <c r="S2757" i="1"/>
  <c r="AA2757" i="1" s="1"/>
  <c r="S2753" i="1"/>
  <c r="AA2753" i="1" s="1"/>
  <c r="S2749" i="1"/>
  <c r="AA2749" i="1" s="1"/>
  <c r="S2745" i="1"/>
  <c r="AA2745" i="1" s="1"/>
  <c r="S2741" i="1"/>
  <c r="AA2741" i="1" s="1"/>
  <c r="S2737" i="1"/>
  <c r="AA2737" i="1" s="1"/>
  <c r="S2729" i="1"/>
  <c r="AA2729" i="1" s="1"/>
  <c r="S2725" i="1"/>
  <c r="AA2725" i="1" s="1"/>
  <c r="S2721" i="1"/>
  <c r="AA2721" i="1" s="1"/>
  <c r="S2717" i="1"/>
  <c r="AA2717" i="1" s="1"/>
  <c r="S2713" i="1"/>
  <c r="AA2713" i="1" s="1"/>
  <c r="S2709" i="1"/>
  <c r="AA2709" i="1" s="1"/>
  <c r="S2705" i="1"/>
  <c r="AA2705" i="1" s="1"/>
  <c r="S2701" i="1"/>
  <c r="AA2701" i="1" s="1"/>
  <c r="S2693" i="1"/>
  <c r="AA2693" i="1" s="1"/>
  <c r="S2689" i="1"/>
  <c r="AA2689" i="1" s="1"/>
  <c r="S2685" i="1"/>
  <c r="AA2685" i="1" s="1"/>
  <c r="S2681" i="1"/>
  <c r="AA2681" i="1" s="1"/>
  <c r="S2677" i="1"/>
  <c r="AA2677" i="1" s="1"/>
  <c r="S2673" i="1"/>
  <c r="AA2673" i="1" s="1"/>
  <c r="S2669" i="1"/>
  <c r="AA2669" i="1" s="1"/>
  <c r="S2661" i="1"/>
  <c r="AA2661" i="1" s="1"/>
  <c r="S2657" i="1"/>
  <c r="AA2657" i="1" s="1"/>
  <c r="S2649" i="1"/>
  <c r="AA2649" i="1" s="1"/>
  <c r="S2645" i="1"/>
  <c r="AA2645" i="1" s="1"/>
  <c r="S2641" i="1"/>
  <c r="AA2641" i="1" s="1"/>
  <c r="S2637" i="1"/>
  <c r="AA2637" i="1" s="1"/>
  <c r="S2633" i="1"/>
  <c r="AA2633" i="1" s="1"/>
  <c r="S2629" i="1"/>
  <c r="AA2629" i="1" s="1"/>
  <c r="S2625" i="1"/>
  <c r="AA2625" i="1" s="1"/>
  <c r="S2617" i="1"/>
  <c r="AA2617" i="1" s="1"/>
  <c r="S2613" i="1"/>
  <c r="AA2613" i="1" s="1"/>
  <c r="S2609" i="1"/>
  <c r="AA2609" i="1" s="1"/>
  <c r="S2605" i="1"/>
  <c r="AA2605" i="1" s="1"/>
  <c r="S2601" i="1"/>
  <c r="AA2601" i="1" s="1"/>
  <c r="S2597" i="1"/>
  <c r="AA2597" i="1" s="1"/>
  <c r="S2593" i="1"/>
  <c r="AA2593" i="1" s="1"/>
  <c r="S2589" i="1"/>
  <c r="AA2589" i="1" s="1"/>
  <c r="S2585" i="1"/>
  <c r="AA2585" i="1" s="1"/>
  <c r="S2577" i="1"/>
  <c r="AA2577" i="1" s="1"/>
  <c r="S2573" i="1"/>
  <c r="AA2573" i="1" s="1"/>
  <c r="S2569" i="1"/>
  <c r="AA2569" i="1" s="1"/>
  <c r="S2565" i="1"/>
  <c r="AA2565" i="1" s="1"/>
  <c r="S2561" i="1"/>
  <c r="AA2561" i="1" s="1"/>
  <c r="S2557" i="1"/>
  <c r="AA2557" i="1" s="1"/>
  <c r="S2553" i="1"/>
  <c r="AA2553" i="1" s="1"/>
  <c r="S2549" i="1"/>
  <c r="AA2549" i="1" s="1"/>
  <c r="S2545" i="1"/>
  <c r="AA2545" i="1" s="1"/>
  <c r="S2541" i="1"/>
  <c r="AA2541" i="1" s="1"/>
  <c r="S2537" i="1"/>
  <c r="AA2537" i="1" s="1"/>
  <c r="S2533" i="1"/>
  <c r="AA2533" i="1" s="1"/>
  <c r="S2529" i="1"/>
  <c r="AA2529" i="1" s="1"/>
  <c r="S2525" i="1"/>
  <c r="AA2525" i="1" s="1"/>
  <c r="S2521" i="1"/>
  <c r="AA2521" i="1" s="1"/>
  <c r="S2517" i="1"/>
  <c r="AA2517" i="1" s="1"/>
  <c r="S2513" i="1"/>
  <c r="AA2513" i="1" s="1"/>
  <c r="S2505" i="1"/>
  <c r="AA2505" i="1" s="1"/>
  <c r="S2501" i="1"/>
  <c r="AA2501" i="1" s="1"/>
  <c r="S2497" i="1"/>
  <c r="AA2497" i="1" s="1"/>
  <c r="S2493" i="1"/>
  <c r="AA2493" i="1" s="1"/>
  <c r="S2489" i="1"/>
  <c r="AA2489" i="1" s="1"/>
  <c r="S2485" i="1"/>
  <c r="AA2485" i="1" s="1"/>
  <c r="S2481" i="1"/>
  <c r="AA2481" i="1" s="1"/>
  <c r="S2473" i="1"/>
  <c r="AA2473" i="1" s="1"/>
  <c r="S2465" i="1"/>
  <c r="AA2465" i="1" s="1"/>
  <c r="S2461" i="1"/>
  <c r="AA2461" i="1" s="1"/>
  <c r="S2457" i="1"/>
  <c r="AA2457" i="1" s="1"/>
  <c r="S2453" i="1"/>
  <c r="AA2453" i="1" s="1"/>
  <c r="S2449" i="1"/>
  <c r="AA2449" i="1" s="1"/>
  <c r="S2445" i="1"/>
  <c r="AA2445" i="1" s="1"/>
  <c r="S2441" i="1"/>
  <c r="AA2441" i="1" s="1"/>
  <c r="S2433" i="1"/>
  <c r="AA2433" i="1" s="1"/>
  <c r="S2429" i="1"/>
  <c r="AA2429" i="1" s="1"/>
  <c r="S2425" i="1"/>
  <c r="AA2425" i="1" s="1"/>
  <c r="S2421" i="1"/>
  <c r="AA2421" i="1" s="1"/>
  <c r="S2417" i="1"/>
  <c r="AA2417" i="1" s="1"/>
  <c r="S2413" i="1"/>
  <c r="AA2413" i="1" s="1"/>
  <c r="S2409" i="1"/>
  <c r="AA2409" i="1" s="1"/>
  <c r="S2405" i="1"/>
  <c r="AA2405" i="1" s="1"/>
  <c r="S2401" i="1"/>
  <c r="AA2401" i="1" s="1"/>
  <c r="S2397" i="1"/>
  <c r="AA2397" i="1" s="1"/>
  <c r="S2385" i="1"/>
  <c r="AA2385" i="1" s="1"/>
  <c r="S2381" i="1"/>
  <c r="AA2381" i="1" s="1"/>
  <c r="S2377" i="1"/>
  <c r="AA2377" i="1" s="1"/>
  <c r="S2373" i="1"/>
  <c r="AA2373" i="1" s="1"/>
  <c r="S2369" i="1"/>
  <c r="AA2369" i="1" s="1"/>
  <c r="S2365" i="1"/>
  <c r="AA2365" i="1" s="1"/>
  <c r="S2361" i="1"/>
  <c r="AA2361" i="1" s="1"/>
  <c r="S2353" i="1"/>
  <c r="AA2353" i="1" s="1"/>
  <c r="S2349" i="1"/>
  <c r="AA2349" i="1" s="1"/>
  <c r="S2345" i="1"/>
  <c r="AA2345" i="1" s="1"/>
  <c r="S2341" i="1"/>
  <c r="AA2341" i="1" s="1"/>
  <c r="S2337" i="1"/>
  <c r="AA2337" i="1" s="1"/>
  <c r="S2333" i="1"/>
  <c r="AA2333" i="1" s="1"/>
  <c r="S2329" i="1"/>
  <c r="AA2329" i="1" s="1"/>
  <c r="S2325" i="1"/>
  <c r="AA2325" i="1" s="1"/>
  <c r="S2321" i="1"/>
  <c r="AA2321" i="1" s="1"/>
  <c r="S2313" i="1"/>
  <c r="AA2313" i="1" s="1"/>
  <c r="S2305" i="1"/>
  <c r="AA2305" i="1" s="1"/>
  <c r="S2301" i="1"/>
  <c r="AA2301" i="1" s="1"/>
  <c r="S2297" i="1"/>
  <c r="AA2297" i="1" s="1"/>
  <c r="S2293" i="1"/>
  <c r="AA2293" i="1" s="1"/>
  <c r="S2289" i="1"/>
  <c r="AA2289" i="1" s="1"/>
  <c r="S2285" i="1"/>
  <c r="AA2285" i="1" s="1"/>
  <c r="S2277" i="1"/>
  <c r="AA2277" i="1" s="1"/>
  <c r="S2273" i="1"/>
  <c r="AA2273" i="1" s="1"/>
  <c r="S2269" i="1"/>
  <c r="AA2269" i="1" s="1"/>
  <c r="S2261" i="1"/>
  <c r="AA2261" i="1" s="1"/>
  <c r="S2257" i="1"/>
  <c r="AA2257" i="1" s="1"/>
  <c r="S2253" i="1"/>
  <c r="AA2253" i="1" s="1"/>
  <c r="S2249" i="1"/>
  <c r="AA2249" i="1" s="1"/>
  <c r="S2245" i="1"/>
  <c r="AA2245" i="1" s="1"/>
  <c r="S2241" i="1"/>
  <c r="AA2241" i="1" s="1"/>
  <c r="S2237" i="1"/>
  <c r="AA2237" i="1" s="1"/>
  <c r="S2233" i="1"/>
  <c r="AA2233" i="1" s="1"/>
  <c r="S2225" i="1"/>
  <c r="AA2225" i="1" s="1"/>
  <c r="S2221" i="1"/>
  <c r="AA2221" i="1" s="1"/>
  <c r="S2217" i="1"/>
  <c r="AA2217" i="1" s="1"/>
  <c r="S2213" i="1"/>
  <c r="AA2213" i="1" s="1"/>
  <c r="S2209" i="1"/>
  <c r="AA2209" i="1" s="1"/>
  <c r="S2205" i="1"/>
  <c r="AA2205" i="1" s="1"/>
  <c r="S2201" i="1"/>
  <c r="AA2201" i="1" s="1"/>
  <c r="S2197" i="1"/>
  <c r="AA2197" i="1" s="1"/>
  <c r="S2193" i="1"/>
  <c r="AA2193" i="1" s="1"/>
  <c r="S2189" i="1"/>
  <c r="AA2189" i="1" s="1"/>
  <c r="S2185" i="1"/>
  <c r="AA2185" i="1" s="1"/>
  <c r="S2181" i="1"/>
  <c r="AA2181" i="1" s="1"/>
  <c r="S2177" i="1"/>
  <c r="AA2177" i="1" s="1"/>
  <c r="S2173" i="1"/>
  <c r="AA2173" i="1" s="1"/>
  <c r="S2169" i="1"/>
  <c r="AA2169" i="1" s="1"/>
  <c r="S2165" i="1"/>
  <c r="AA2165" i="1" s="1"/>
  <c r="S2161" i="1"/>
  <c r="AA2161" i="1" s="1"/>
  <c r="S2157" i="1"/>
  <c r="AA2157" i="1" s="1"/>
  <c r="S2153" i="1"/>
  <c r="AA2153" i="1" s="1"/>
  <c r="S2149" i="1"/>
  <c r="AA2149" i="1" s="1"/>
  <c r="S2145" i="1"/>
  <c r="AA2145" i="1" s="1"/>
  <c r="S2141" i="1"/>
  <c r="AA2141" i="1" s="1"/>
  <c r="S2137" i="1"/>
  <c r="AA2137" i="1" s="1"/>
  <c r="S2133" i="1"/>
  <c r="AA2133" i="1" s="1"/>
  <c r="S2125" i="1"/>
  <c r="AA2125" i="1" s="1"/>
  <c r="S2121" i="1"/>
  <c r="AA2121" i="1" s="1"/>
  <c r="S2117" i="1"/>
  <c r="AA2117" i="1" s="1"/>
  <c r="S2113" i="1"/>
  <c r="AA2113" i="1" s="1"/>
  <c r="S2109" i="1"/>
  <c r="AA2109" i="1" s="1"/>
  <c r="S2105" i="1"/>
  <c r="AA2105" i="1" s="1"/>
  <c r="S2101" i="1"/>
  <c r="AA2101" i="1" s="1"/>
  <c r="S2097" i="1"/>
  <c r="AA2097" i="1" s="1"/>
  <c r="S2093" i="1"/>
  <c r="AA2093" i="1" s="1"/>
  <c r="S2089" i="1"/>
  <c r="AA2089" i="1" s="1"/>
  <c r="S2085" i="1"/>
  <c r="AA2085" i="1" s="1"/>
  <c r="S2081" i="1"/>
  <c r="AA2081" i="1" s="1"/>
  <c r="S2073" i="1"/>
  <c r="AA2073" i="1" s="1"/>
  <c r="S2065" i="1"/>
  <c r="AA2065" i="1" s="1"/>
  <c r="S2061" i="1"/>
  <c r="AA2061" i="1" s="1"/>
  <c r="S2057" i="1"/>
  <c r="AA2057" i="1" s="1"/>
  <c r="S2053" i="1"/>
  <c r="AA2053" i="1" s="1"/>
  <c r="S2049" i="1"/>
  <c r="AA2049" i="1" s="1"/>
  <c r="S2045" i="1"/>
  <c r="AA2045" i="1" s="1"/>
  <c r="S2041" i="1"/>
  <c r="AA2041" i="1" s="1"/>
  <c r="S2037" i="1"/>
  <c r="AA2037" i="1" s="1"/>
  <c r="S2033" i="1"/>
  <c r="AA2033" i="1" s="1"/>
  <c r="S2029" i="1"/>
  <c r="AA2029" i="1" s="1"/>
  <c r="S2025" i="1"/>
  <c r="AA2025" i="1" s="1"/>
  <c r="S2021" i="1"/>
  <c r="AA2021" i="1" s="1"/>
  <c r="S2017" i="1"/>
  <c r="AA2017" i="1" s="1"/>
  <c r="S2009" i="1"/>
  <c r="AA2009" i="1" s="1"/>
  <c r="S2005" i="1"/>
  <c r="AA2005" i="1" s="1"/>
  <c r="S2001" i="1"/>
  <c r="AA2001" i="1" s="1"/>
  <c r="S1997" i="1"/>
  <c r="AA1997" i="1" s="1"/>
  <c r="S1993" i="1"/>
  <c r="AA1993" i="1" s="1"/>
  <c r="S1989" i="1"/>
  <c r="AA1989" i="1" s="1"/>
  <c r="S1985" i="1"/>
  <c r="AA1985" i="1" s="1"/>
  <c r="S1981" i="1"/>
  <c r="AA1981" i="1" s="1"/>
  <c r="S1977" i="1"/>
  <c r="AA1977" i="1" s="1"/>
  <c r="S1973" i="1"/>
  <c r="AA1973" i="1" s="1"/>
  <c r="S1969" i="1"/>
  <c r="AA1969" i="1" s="1"/>
  <c r="S1961" i="1"/>
  <c r="AA1961" i="1" s="1"/>
  <c r="S1957" i="1"/>
  <c r="AA1957" i="1" s="1"/>
  <c r="S1953" i="1"/>
  <c r="AA1953" i="1" s="1"/>
  <c r="S1949" i="1"/>
  <c r="AA1949" i="1" s="1"/>
  <c r="S1945" i="1"/>
  <c r="AA1945" i="1" s="1"/>
  <c r="S1941" i="1"/>
  <c r="AA1941" i="1" s="1"/>
  <c r="S1937" i="1"/>
  <c r="AA1937" i="1" s="1"/>
  <c r="S1933" i="1"/>
  <c r="AA1933" i="1" s="1"/>
  <c r="S1929" i="1"/>
  <c r="AA1929" i="1" s="1"/>
  <c r="S1925" i="1"/>
  <c r="AA1925" i="1" s="1"/>
  <c r="S1921" i="1"/>
  <c r="AA1921" i="1" s="1"/>
  <c r="S1917" i="1"/>
  <c r="AA1917" i="1" s="1"/>
  <c r="S1913" i="1"/>
  <c r="AA1913" i="1" s="1"/>
  <c r="S1905" i="1"/>
  <c r="AA1905" i="1" s="1"/>
  <c r="S1901" i="1"/>
  <c r="AA1901" i="1" s="1"/>
  <c r="S1897" i="1"/>
  <c r="AA1897" i="1" s="1"/>
  <c r="S1893" i="1"/>
  <c r="AA1893" i="1" s="1"/>
  <c r="S1889" i="1"/>
  <c r="AA1889" i="1" s="1"/>
  <c r="S1885" i="1"/>
  <c r="AA1885" i="1" s="1"/>
  <c r="S1881" i="1"/>
  <c r="AA1881" i="1" s="1"/>
  <c r="S1877" i="1"/>
  <c r="AA1877" i="1" s="1"/>
  <c r="S1873" i="1"/>
  <c r="AA1873" i="1" s="1"/>
  <c r="S1869" i="1"/>
  <c r="AA1869" i="1" s="1"/>
  <c r="S1865" i="1"/>
  <c r="AA1865" i="1" s="1"/>
  <c r="S1861" i="1"/>
  <c r="AA1861" i="1" s="1"/>
  <c r="S1857" i="1"/>
  <c r="AA1857" i="1" s="1"/>
  <c r="S1853" i="1"/>
  <c r="AA1853" i="1" s="1"/>
  <c r="S1849" i="1"/>
  <c r="AA1849" i="1" s="1"/>
  <c r="S1845" i="1"/>
  <c r="AA1845" i="1" s="1"/>
  <c r="S1841" i="1"/>
  <c r="AA1841" i="1" s="1"/>
  <c r="S1837" i="1"/>
  <c r="AA1837" i="1" s="1"/>
  <c r="S1833" i="1"/>
  <c r="AA1833" i="1" s="1"/>
  <c r="S1829" i="1"/>
  <c r="AA1829" i="1" s="1"/>
  <c r="S1825" i="1"/>
  <c r="AA1825" i="1" s="1"/>
  <c r="S1821" i="1"/>
  <c r="AA1821" i="1" s="1"/>
  <c r="S1817" i="1"/>
  <c r="AA1817" i="1" s="1"/>
  <c r="S1813" i="1"/>
  <c r="AA1813" i="1" s="1"/>
  <c r="S1809" i="1"/>
  <c r="AA1809" i="1" s="1"/>
  <c r="S1805" i="1"/>
  <c r="AA1805" i="1" s="1"/>
  <c r="S1801" i="1"/>
  <c r="AA1801" i="1" s="1"/>
  <c r="S1797" i="1"/>
  <c r="AA1797" i="1" s="1"/>
  <c r="S1793" i="1"/>
  <c r="AA1793" i="1" s="1"/>
  <c r="S1789" i="1"/>
  <c r="AA1789" i="1" s="1"/>
  <c r="S1785" i="1"/>
  <c r="AA1785" i="1" s="1"/>
  <c r="S1781" i="1"/>
  <c r="AA1781" i="1" s="1"/>
  <c r="S1777" i="1"/>
  <c r="AA1777" i="1" s="1"/>
  <c r="S1773" i="1"/>
  <c r="AA1773" i="1" s="1"/>
  <c r="S1769" i="1"/>
  <c r="AA1769" i="1" s="1"/>
  <c r="S1765" i="1"/>
  <c r="AA1765" i="1" s="1"/>
  <c r="S1761" i="1"/>
  <c r="AA1761" i="1" s="1"/>
  <c r="S1757" i="1"/>
  <c r="AA1757" i="1" s="1"/>
  <c r="S1753" i="1"/>
  <c r="AA1753" i="1" s="1"/>
  <c r="S1749" i="1"/>
  <c r="AA1749" i="1" s="1"/>
  <c r="S1745" i="1"/>
  <c r="AA1745" i="1" s="1"/>
  <c r="S1741" i="1"/>
  <c r="AA1741" i="1" s="1"/>
  <c r="S1737" i="1"/>
  <c r="AA1737" i="1" s="1"/>
  <c r="S1733" i="1"/>
  <c r="AA1733" i="1" s="1"/>
  <c r="S1729" i="1"/>
  <c r="AA1729" i="1" s="1"/>
  <c r="S1725" i="1"/>
  <c r="AA1725" i="1" s="1"/>
  <c r="S1721" i="1"/>
  <c r="AA1721" i="1" s="1"/>
  <c r="S1717" i="1"/>
  <c r="AA1717" i="1" s="1"/>
  <c r="S1709" i="1"/>
  <c r="AA1709" i="1" s="1"/>
  <c r="S1705" i="1"/>
  <c r="AA1705" i="1" s="1"/>
  <c r="S1701" i="1"/>
  <c r="AA1701" i="1" s="1"/>
  <c r="S1697" i="1"/>
  <c r="AA1697" i="1" s="1"/>
  <c r="S1693" i="1"/>
  <c r="AA1693" i="1" s="1"/>
  <c r="S1689" i="1"/>
  <c r="AA1689" i="1" s="1"/>
  <c r="S1681" i="1"/>
  <c r="AA1681" i="1" s="1"/>
  <c r="S1677" i="1"/>
  <c r="AA1677" i="1" s="1"/>
  <c r="S1673" i="1"/>
  <c r="AA1673" i="1" s="1"/>
  <c r="S1669" i="1"/>
  <c r="AA1669" i="1" s="1"/>
  <c r="S1665" i="1"/>
  <c r="AA1665" i="1" s="1"/>
  <c r="S1661" i="1"/>
  <c r="AA1661" i="1" s="1"/>
  <c r="S1657" i="1"/>
  <c r="AA1657" i="1" s="1"/>
  <c r="S1653" i="1"/>
  <c r="AA1653" i="1" s="1"/>
  <c r="S1649" i="1"/>
  <c r="AA1649" i="1" s="1"/>
  <c r="S1645" i="1"/>
  <c r="AA1645" i="1" s="1"/>
  <c r="S1641" i="1"/>
  <c r="AA1641" i="1" s="1"/>
  <c r="S1637" i="1"/>
  <c r="AA1637" i="1" s="1"/>
  <c r="S1633" i="1"/>
  <c r="AA1633" i="1" s="1"/>
  <c r="S1625" i="1"/>
  <c r="AA1625" i="1" s="1"/>
  <c r="S1621" i="1"/>
  <c r="AA1621" i="1" s="1"/>
  <c r="S1617" i="1"/>
  <c r="AA1617" i="1" s="1"/>
  <c r="S1613" i="1"/>
  <c r="AA1613" i="1" s="1"/>
  <c r="S1609" i="1"/>
  <c r="AA1609" i="1" s="1"/>
  <c r="S1601" i="1"/>
  <c r="AA1601" i="1" s="1"/>
  <c r="S1597" i="1"/>
  <c r="AA1597" i="1" s="1"/>
  <c r="S1593" i="1"/>
  <c r="AA1593" i="1" s="1"/>
  <c r="S1589" i="1"/>
  <c r="AA1589" i="1" s="1"/>
  <c r="S1585" i="1"/>
  <c r="AA1585" i="1" s="1"/>
  <c r="S1581" i="1"/>
  <c r="AA1581" i="1" s="1"/>
  <c r="S1577" i="1"/>
  <c r="AA1577" i="1" s="1"/>
  <c r="S1573" i="1"/>
  <c r="AA1573" i="1" s="1"/>
  <c r="S1569" i="1"/>
  <c r="AA1569" i="1" s="1"/>
  <c r="S1565" i="1"/>
  <c r="AA1565" i="1" s="1"/>
  <c r="S1561" i="1"/>
  <c r="AA1561" i="1" s="1"/>
  <c r="S1557" i="1"/>
  <c r="AA1557" i="1" s="1"/>
  <c r="S1553" i="1"/>
  <c r="AA1553" i="1" s="1"/>
  <c r="S1549" i="1"/>
  <c r="AA1549" i="1" s="1"/>
  <c r="S1545" i="1"/>
  <c r="AA1545" i="1" s="1"/>
  <c r="S1541" i="1"/>
  <c r="AA1541" i="1" s="1"/>
  <c r="S1537" i="1"/>
  <c r="AA1537" i="1" s="1"/>
  <c r="S1533" i="1"/>
  <c r="AA1533" i="1" s="1"/>
  <c r="S1529" i="1"/>
  <c r="AA1529" i="1" s="1"/>
  <c r="S1525" i="1"/>
  <c r="AA1525" i="1" s="1"/>
  <c r="S1521" i="1"/>
  <c r="AA1521" i="1" s="1"/>
  <c r="S1517" i="1"/>
  <c r="AA1517" i="1" s="1"/>
  <c r="S1513" i="1"/>
  <c r="AA1513" i="1" s="1"/>
  <c r="S1505" i="1"/>
  <c r="AA1505" i="1" s="1"/>
  <c r="S1501" i="1"/>
  <c r="AA1501" i="1" s="1"/>
  <c r="S1497" i="1"/>
  <c r="AA1497" i="1" s="1"/>
  <c r="S1493" i="1"/>
  <c r="AA1493" i="1" s="1"/>
  <c r="S1489" i="1"/>
  <c r="AA1489" i="1" s="1"/>
  <c r="S1485" i="1"/>
  <c r="AA1485" i="1" s="1"/>
  <c r="S1481" i="1"/>
  <c r="AA1481" i="1" s="1"/>
  <c r="S1477" i="1"/>
  <c r="AA1477" i="1" s="1"/>
  <c r="S1473" i="1"/>
  <c r="AA1473" i="1" s="1"/>
  <c r="S1469" i="1"/>
  <c r="AA1469" i="1" s="1"/>
  <c r="S1465" i="1"/>
  <c r="AA1465" i="1" s="1"/>
  <c r="S1461" i="1"/>
  <c r="AA1461" i="1" s="1"/>
  <c r="S1457" i="1"/>
  <c r="AA1457" i="1" s="1"/>
  <c r="S1453" i="1"/>
  <c r="AA1453" i="1" s="1"/>
  <c r="S1449" i="1"/>
  <c r="AA1449" i="1" s="1"/>
  <c r="S1445" i="1"/>
  <c r="AA1445" i="1" s="1"/>
  <c r="S1441" i="1"/>
  <c r="AA1441" i="1" s="1"/>
  <c r="S1437" i="1"/>
  <c r="AA1437" i="1" s="1"/>
  <c r="S1433" i="1"/>
  <c r="AA1433" i="1" s="1"/>
  <c r="S1425" i="1"/>
  <c r="AA1425" i="1" s="1"/>
  <c r="S1421" i="1"/>
  <c r="AA1421" i="1" s="1"/>
  <c r="S1417" i="1"/>
  <c r="AA1417" i="1" s="1"/>
  <c r="S1413" i="1"/>
  <c r="AA1413" i="1" s="1"/>
  <c r="S1409" i="1"/>
  <c r="AA1409" i="1" s="1"/>
  <c r="S1405" i="1"/>
  <c r="AA1405" i="1" s="1"/>
  <c r="S1401" i="1"/>
  <c r="AA1401" i="1" s="1"/>
  <c r="S1397" i="1"/>
  <c r="AA1397" i="1" s="1"/>
  <c r="S1393" i="1"/>
  <c r="AA1393" i="1" s="1"/>
  <c r="S1389" i="1"/>
  <c r="AA1389" i="1" s="1"/>
  <c r="S1385" i="1"/>
  <c r="AA1385" i="1" s="1"/>
  <c r="S1377" i="1"/>
  <c r="AA1377" i="1" s="1"/>
  <c r="S1373" i="1"/>
  <c r="AA1373" i="1" s="1"/>
  <c r="S1369" i="1"/>
  <c r="AA1369" i="1" s="1"/>
  <c r="S1365" i="1"/>
  <c r="AA1365" i="1" s="1"/>
  <c r="S1361" i="1"/>
  <c r="AA1361" i="1" s="1"/>
  <c r="S1357" i="1"/>
  <c r="AA1357" i="1" s="1"/>
  <c r="S1353" i="1"/>
  <c r="AA1353" i="1" s="1"/>
  <c r="S1349" i="1"/>
  <c r="AA1349" i="1" s="1"/>
  <c r="S1345" i="1"/>
  <c r="AA1345" i="1" s="1"/>
  <c r="S1341" i="1"/>
  <c r="AA1341" i="1" s="1"/>
  <c r="S1337" i="1"/>
  <c r="AA1337" i="1" s="1"/>
  <c r="S1333" i="1"/>
  <c r="AA1333" i="1" s="1"/>
  <c r="S1329" i="1"/>
  <c r="AA1329" i="1" s="1"/>
  <c r="S1325" i="1"/>
  <c r="AA1325" i="1" s="1"/>
  <c r="S1321" i="1"/>
  <c r="AA1321" i="1" s="1"/>
  <c r="S1317" i="1"/>
  <c r="AA1317" i="1" s="1"/>
  <c r="S1313" i="1"/>
  <c r="AA1313" i="1" s="1"/>
  <c r="S1309" i="1"/>
  <c r="AA1309" i="1" s="1"/>
  <c r="S1305" i="1"/>
  <c r="AA1305" i="1" s="1"/>
  <c r="S1301" i="1"/>
  <c r="AA1301" i="1" s="1"/>
  <c r="S1297" i="1"/>
  <c r="AA1297" i="1" s="1"/>
  <c r="S1293" i="1"/>
  <c r="AA1293" i="1" s="1"/>
  <c r="S1289" i="1"/>
  <c r="AA1289" i="1" s="1"/>
  <c r="S1285" i="1"/>
  <c r="AA1285" i="1" s="1"/>
  <c r="S1281" i="1"/>
  <c r="AA1281" i="1" s="1"/>
  <c r="S1277" i="1"/>
  <c r="AA1277" i="1" s="1"/>
  <c r="S1273" i="1"/>
  <c r="AA1273" i="1" s="1"/>
  <c r="S1269" i="1"/>
  <c r="AA1269" i="1" s="1"/>
  <c r="S1265" i="1"/>
  <c r="AA1265" i="1" s="1"/>
  <c r="S1261" i="1"/>
  <c r="AA1261" i="1" s="1"/>
  <c r="S1257" i="1"/>
  <c r="AA1257" i="1" s="1"/>
  <c r="S1253" i="1"/>
  <c r="AA1253" i="1" s="1"/>
  <c r="S1249" i="1"/>
  <c r="AA1249" i="1" s="1"/>
  <c r="S1245" i="1"/>
  <c r="AA1245" i="1" s="1"/>
  <c r="S1241" i="1"/>
  <c r="AA1241" i="1" s="1"/>
  <c r="S1237" i="1"/>
  <c r="AA1237" i="1" s="1"/>
  <c r="S1233" i="1"/>
  <c r="AA1233" i="1" s="1"/>
  <c r="S1229" i="1"/>
  <c r="AA1229" i="1" s="1"/>
  <c r="S1225" i="1"/>
  <c r="AA1225" i="1" s="1"/>
  <c r="S1221" i="1"/>
  <c r="AA1221" i="1" s="1"/>
  <c r="S1217" i="1"/>
  <c r="AA1217" i="1" s="1"/>
  <c r="S1213" i="1"/>
  <c r="AA1213" i="1" s="1"/>
  <c r="S1209" i="1"/>
  <c r="AA1209" i="1" s="1"/>
  <c r="S1201" i="1"/>
  <c r="AA1201" i="1" s="1"/>
  <c r="S1197" i="1"/>
  <c r="AA1197" i="1" s="1"/>
  <c r="S1193" i="1"/>
  <c r="AA1193" i="1" s="1"/>
  <c r="S1189" i="1"/>
  <c r="AA1189" i="1" s="1"/>
  <c r="S1185" i="1"/>
  <c r="AA1185" i="1" s="1"/>
  <c r="S1181" i="1"/>
  <c r="AA1181" i="1" s="1"/>
  <c r="S1177" i="1"/>
  <c r="AA1177" i="1" s="1"/>
  <c r="S1173" i="1"/>
  <c r="AA1173" i="1" s="1"/>
  <c r="S3537" i="1"/>
  <c r="AA3537" i="1" s="1"/>
  <c r="S3929" i="1"/>
  <c r="AA3929" i="1" s="1"/>
  <c r="S3893" i="1"/>
  <c r="AA3893" i="1" s="1"/>
  <c r="S3861" i="1"/>
  <c r="AA3861" i="1" s="1"/>
  <c r="S3837" i="1"/>
  <c r="AA3837" i="1" s="1"/>
  <c r="S3809" i="1"/>
  <c r="AA3809" i="1" s="1"/>
  <c r="S3773" i="1"/>
  <c r="AA3773" i="1" s="1"/>
  <c r="S3733" i="1"/>
  <c r="AA3733" i="1" s="1"/>
  <c r="S3701" i="1"/>
  <c r="AA3701" i="1" s="1"/>
  <c r="S3677" i="1"/>
  <c r="AA3677" i="1" s="1"/>
  <c r="S3657" i="1"/>
  <c r="AA3657" i="1" s="1"/>
  <c r="S3629" i="1"/>
  <c r="AA3629" i="1" s="1"/>
  <c r="S3597" i="1"/>
  <c r="AA3597" i="1" s="1"/>
  <c r="S3553" i="1"/>
  <c r="AA3553" i="1" s="1"/>
  <c r="S3469" i="1"/>
  <c r="AA3469" i="1" s="1"/>
  <c r="S3457" i="1"/>
  <c r="AA3457" i="1" s="1"/>
  <c r="S3441" i="1"/>
  <c r="AA3441" i="1" s="1"/>
  <c r="S3421" i="1"/>
  <c r="AA3421" i="1" s="1"/>
  <c r="S3389" i="1"/>
  <c r="AA3389" i="1" s="1"/>
  <c r="S3297" i="1"/>
  <c r="AA3297" i="1" s="1"/>
  <c r="S3997" i="1"/>
  <c r="AA3997" i="1" s="1"/>
  <c r="S3973" i="1"/>
  <c r="AA3973" i="1" s="1"/>
  <c r="S3933" i="1"/>
  <c r="AA3933" i="1" s="1"/>
  <c r="S3845" i="1"/>
  <c r="AA3845" i="1" s="1"/>
  <c r="S3821" i="1"/>
  <c r="AA3821" i="1" s="1"/>
  <c r="S3697" i="1"/>
  <c r="AA3697" i="1" s="1"/>
  <c r="S3673" i="1"/>
  <c r="AA3673" i="1" s="1"/>
  <c r="S3637" i="1"/>
  <c r="AA3637" i="1" s="1"/>
  <c r="S3557" i="1"/>
  <c r="AA3557" i="1" s="1"/>
  <c r="S3513" i="1"/>
  <c r="AA3513" i="1" s="1"/>
  <c r="S3445" i="1"/>
  <c r="AA3445" i="1" s="1"/>
  <c r="S3981" i="1"/>
  <c r="AA3981" i="1" s="1"/>
  <c r="S3949" i="1"/>
  <c r="AA3949" i="1" s="1"/>
  <c r="S3913" i="1"/>
  <c r="AA3913" i="1" s="1"/>
  <c r="S3897" i="1"/>
  <c r="AA3897" i="1" s="1"/>
  <c r="S3869" i="1"/>
  <c r="AA3869" i="1" s="1"/>
  <c r="S3841" i="1"/>
  <c r="AA3841" i="1" s="1"/>
  <c r="S3765" i="1"/>
  <c r="AA3765" i="1" s="1"/>
  <c r="S3665" i="1"/>
  <c r="AA3665" i="1" s="1"/>
  <c r="S3425" i="1"/>
  <c r="AA3425" i="1" s="1"/>
  <c r="S3393" i="1"/>
  <c r="AA3393" i="1" s="1"/>
  <c r="S3293" i="1"/>
  <c r="AA3293" i="1" s="1"/>
  <c r="S3976" i="1"/>
  <c r="AA3976" i="1" s="1"/>
  <c r="S3928" i="1"/>
  <c r="AA3928" i="1" s="1"/>
  <c r="S3836" i="1"/>
  <c r="AA3836" i="1" s="1"/>
  <c r="S3808" i="1"/>
  <c r="AA3808" i="1" s="1"/>
  <c r="S3772" i="1"/>
  <c r="AA3772" i="1" s="1"/>
  <c r="S3764" i="1"/>
  <c r="AA3764" i="1" s="1"/>
  <c r="S3760" i="1"/>
  <c r="AA3760" i="1" s="1"/>
  <c r="S3748" i="1"/>
  <c r="AA3748" i="1" s="1"/>
  <c r="S3740" i="1"/>
  <c r="AA3740" i="1" s="1"/>
  <c r="S3732" i="1"/>
  <c r="AA3732" i="1" s="1"/>
  <c r="S3720" i="1"/>
  <c r="AA3720" i="1" s="1"/>
  <c r="S3716" i="1"/>
  <c r="AA3716" i="1" s="1"/>
  <c r="S3704" i="1"/>
  <c r="AA3704" i="1" s="1"/>
  <c r="S3700" i="1"/>
  <c r="AA3700" i="1" s="1"/>
  <c r="S3684" i="1"/>
  <c r="AA3684" i="1" s="1"/>
  <c r="S3680" i="1"/>
  <c r="AA3680" i="1" s="1"/>
  <c r="S3668" i="1"/>
  <c r="AA3668" i="1" s="1"/>
  <c r="S3660" i="1"/>
  <c r="AA3660" i="1" s="1"/>
  <c r="S3656" i="1"/>
  <c r="AA3656" i="1" s="1"/>
  <c r="S3652" i="1"/>
  <c r="AA3652" i="1" s="1"/>
  <c r="S3648" i="1"/>
  <c r="AA3648" i="1" s="1"/>
  <c r="S3644" i="1"/>
  <c r="AA3644" i="1" s="1"/>
  <c r="S3636" i="1"/>
  <c r="AA3636" i="1" s="1"/>
  <c r="S3632" i="1"/>
  <c r="AA3632" i="1" s="1"/>
  <c r="S3628" i="1"/>
  <c r="AA3628" i="1" s="1"/>
  <c r="S3624" i="1"/>
  <c r="AA3624" i="1" s="1"/>
  <c r="S3620" i="1"/>
  <c r="AA3620" i="1" s="1"/>
  <c r="S3612" i="1"/>
  <c r="AA3612" i="1" s="1"/>
  <c r="S3608" i="1"/>
  <c r="AA3608" i="1" s="1"/>
  <c r="S3604" i="1"/>
  <c r="AA3604" i="1" s="1"/>
  <c r="S3600" i="1"/>
  <c r="AA3600" i="1" s="1"/>
  <c r="S3588" i="1"/>
  <c r="AA3588" i="1" s="1"/>
  <c r="S3584" i="1"/>
  <c r="AA3584" i="1" s="1"/>
  <c r="S3580" i="1"/>
  <c r="AA3580" i="1" s="1"/>
  <c r="S3576" i="1"/>
  <c r="AA3576" i="1" s="1"/>
  <c r="S3572" i="1"/>
  <c r="AA3572" i="1" s="1"/>
  <c r="S3564" i="1"/>
  <c r="AA3564" i="1" s="1"/>
  <c r="S3560" i="1"/>
  <c r="AA3560" i="1" s="1"/>
  <c r="S3556" i="1"/>
  <c r="AA3556" i="1" s="1"/>
  <c r="S3552" i="1"/>
  <c r="AA3552" i="1" s="1"/>
  <c r="S3544" i="1"/>
  <c r="AA3544" i="1" s="1"/>
  <c r="S3540" i="1"/>
  <c r="AA3540" i="1" s="1"/>
  <c r="S3536" i="1"/>
  <c r="AA3536" i="1" s="1"/>
  <c r="S3532" i="1"/>
  <c r="AA3532" i="1" s="1"/>
  <c r="S3524" i="1"/>
  <c r="AA3524" i="1" s="1"/>
  <c r="S3516" i="1"/>
  <c r="AA3516" i="1" s="1"/>
  <c r="S3512" i="1"/>
  <c r="AA3512" i="1" s="1"/>
  <c r="S3508" i="1"/>
  <c r="AA3508" i="1" s="1"/>
  <c r="S3504" i="1"/>
  <c r="AA3504" i="1" s="1"/>
  <c r="S3496" i="1"/>
  <c r="AA3496" i="1" s="1"/>
  <c r="S3492" i="1"/>
  <c r="AA3492" i="1" s="1"/>
  <c r="S3488" i="1"/>
  <c r="AA3488" i="1" s="1"/>
  <c r="S3484" i="1"/>
  <c r="AA3484" i="1" s="1"/>
  <c r="S3476" i="1"/>
  <c r="AA3476" i="1" s="1"/>
  <c r="S3472" i="1"/>
  <c r="AA3472" i="1" s="1"/>
  <c r="S3468" i="1"/>
  <c r="AA3468" i="1" s="1"/>
  <c r="S3464" i="1"/>
  <c r="AA3464" i="1" s="1"/>
  <c r="S3460" i="1"/>
  <c r="AA3460" i="1" s="1"/>
  <c r="S3456" i="1"/>
  <c r="AA3456" i="1" s="1"/>
  <c r="S3448" i="1"/>
  <c r="AA3448" i="1" s="1"/>
  <c r="S3444" i="1"/>
  <c r="AA3444" i="1" s="1"/>
  <c r="S3440" i="1"/>
  <c r="AA3440" i="1" s="1"/>
  <c r="S3436" i="1"/>
  <c r="AA3436" i="1" s="1"/>
  <c r="S3428" i="1"/>
  <c r="AA3428" i="1" s="1"/>
  <c r="S3424" i="1"/>
  <c r="AA3424" i="1" s="1"/>
  <c r="S3420" i="1"/>
  <c r="AA3420" i="1" s="1"/>
  <c r="S3416" i="1"/>
  <c r="AA3416" i="1" s="1"/>
  <c r="S3412" i="1"/>
  <c r="AA3412" i="1" s="1"/>
  <c r="S3404" i="1"/>
  <c r="AA3404" i="1" s="1"/>
  <c r="S3400" i="1"/>
  <c r="AA3400" i="1" s="1"/>
  <c r="S3256" i="1"/>
  <c r="AA3256" i="1" s="1"/>
  <c r="S3248" i="1"/>
  <c r="AA3248" i="1" s="1"/>
  <c r="S3957" i="1"/>
  <c r="AA3957" i="1" s="1"/>
  <c r="S3917" i="1"/>
  <c r="AA3917" i="1" s="1"/>
  <c r="S3881" i="1"/>
  <c r="AA3881" i="1" s="1"/>
  <c r="S3853" i="1"/>
  <c r="AA3853" i="1" s="1"/>
  <c r="S3797" i="1"/>
  <c r="AA3797" i="1" s="1"/>
  <c r="S3745" i="1"/>
  <c r="AA3745" i="1" s="1"/>
  <c r="S3705" i="1"/>
  <c r="AA3705" i="1" s="1"/>
  <c r="S3681" i="1"/>
  <c r="AA3681" i="1" s="1"/>
  <c r="S3653" i="1"/>
  <c r="AA3653" i="1" s="1"/>
  <c r="S3625" i="1"/>
  <c r="AA3625" i="1" s="1"/>
  <c r="S3601" i="1"/>
  <c r="AA3601" i="1" s="1"/>
  <c r="S3541" i="1"/>
  <c r="AA3541" i="1" s="1"/>
  <c r="S3517" i="1"/>
  <c r="AA3517" i="1" s="1"/>
  <c r="S3489" i="1"/>
  <c r="AA3489" i="1" s="1"/>
  <c r="S3413" i="1"/>
  <c r="AA3413" i="1" s="1"/>
  <c r="S3397" i="1"/>
  <c r="AA3397" i="1" s="1"/>
  <c r="S3373" i="1"/>
  <c r="AA3373" i="1" s="1"/>
  <c r="S3309" i="1"/>
  <c r="AA3309" i="1" s="1"/>
  <c r="S3996" i="1"/>
  <c r="AA3996" i="1" s="1"/>
  <c r="S3960" i="1"/>
  <c r="AA3960" i="1" s="1"/>
  <c r="S3948" i="1"/>
  <c r="AA3948" i="1" s="1"/>
  <c r="S3944" i="1"/>
  <c r="AA3944" i="1" s="1"/>
  <c r="S3940" i="1"/>
  <c r="AA3940" i="1" s="1"/>
  <c r="S3932" i="1"/>
  <c r="AA3932" i="1" s="1"/>
  <c r="S3924" i="1"/>
  <c r="AA3924" i="1" s="1"/>
  <c r="S3916" i="1"/>
  <c r="AA3916" i="1" s="1"/>
  <c r="S3912" i="1"/>
  <c r="AA3912" i="1" s="1"/>
  <c r="S3908" i="1"/>
  <c r="AA3908" i="1" s="1"/>
  <c r="S3900" i="1"/>
  <c r="AA3900" i="1" s="1"/>
  <c r="S3896" i="1"/>
  <c r="AA3896" i="1" s="1"/>
  <c r="S3892" i="1"/>
  <c r="AA3892" i="1" s="1"/>
  <c r="S3880" i="1"/>
  <c r="AA3880" i="1" s="1"/>
  <c r="S3864" i="1"/>
  <c r="AA3864" i="1" s="1"/>
  <c r="S3848" i="1"/>
  <c r="AA3848" i="1" s="1"/>
  <c r="S3840" i="1"/>
  <c r="AA3840" i="1" s="1"/>
  <c r="S3832" i="1"/>
  <c r="AA3832" i="1" s="1"/>
  <c r="S3828" i="1"/>
  <c r="AA3828" i="1" s="1"/>
  <c r="S3820" i="1"/>
  <c r="AA3820" i="1" s="1"/>
  <c r="S3812" i="1"/>
  <c r="AA3812" i="1" s="1"/>
  <c r="S3800" i="1"/>
  <c r="AA3800" i="1" s="1"/>
  <c r="S3724" i="1"/>
  <c r="AA3724" i="1" s="1"/>
  <c r="S3696" i="1"/>
  <c r="AA3696" i="1" s="1"/>
  <c r="S3676" i="1"/>
  <c r="AA3676" i="1" s="1"/>
  <c r="S3253" i="1"/>
  <c r="AA3253" i="1" s="1"/>
  <c r="S3992" i="1"/>
  <c r="AA3992" i="1" s="1"/>
  <c r="S3988" i="1"/>
  <c r="AA3988" i="1" s="1"/>
  <c r="S3980" i="1"/>
  <c r="AA3980" i="1" s="1"/>
  <c r="S3972" i="1"/>
  <c r="AA3972" i="1" s="1"/>
  <c r="S3964" i="1"/>
  <c r="AA3964" i="1" s="1"/>
  <c r="S3956" i="1"/>
  <c r="AA3956" i="1" s="1"/>
  <c r="S3884" i="1"/>
  <c r="AA3884" i="1" s="1"/>
  <c r="S3876" i="1"/>
  <c r="AA3876" i="1" s="1"/>
  <c r="S3868" i="1"/>
  <c r="AA3868" i="1" s="1"/>
  <c r="S3860" i="1"/>
  <c r="AA3860" i="1" s="1"/>
  <c r="S3856" i="1"/>
  <c r="AA3856" i="1" s="1"/>
  <c r="S3844" i="1"/>
  <c r="AA3844" i="1" s="1"/>
  <c r="S3816" i="1"/>
  <c r="AA3816" i="1" s="1"/>
  <c r="S3796" i="1"/>
  <c r="AA3796" i="1" s="1"/>
  <c r="S3792" i="1"/>
  <c r="AA3792" i="1" s="1"/>
  <c r="S3788" i="1"/>
  <c r="AA3788" i="1" s="1"/>
  <c r="S3780" i="1"/>
  <c r="AA3780" i="1" s="1"/>
  <c r="S3768" i="1"/>
  <c r="AA3768" i="1" s="1"/>
  <c r="S3752" i="1"/>
  <c r="AA3752" i="1" s="1"/>
  <c r="S3744" i="1"/>
  <c r="AA3744" i="1" s="1"/>
  <c r="S3728" i="1"/>
  <c r="AA3728" i="1" s="1"/>
  <c r="S3712" i="1"/>
  <c r="AA3712" i="1" s="1"/>
  <c r="S3692" i="1"/>
  <c r="AA3692" i="1" s="1"/>
  <c r="S3672" i="1"/>
  <c r="AA3672" i="1" s="1"/>
  <c r="S3592" i="1"/>
  <c r="AA3592" i="1" s="1"/>
  <c r="S3941" i="1"/>
  <c r="AA3941" i="1" s="1"/>
  <c r="S3901" i="1"/>
  <c r="AA3901" i="1" s="1"/>
  <c r="S3885" i="1"/>
  <c r="AA3885" i="1" s="1"/>
  <c r="S3877" i="1"/>
  <c r="AA3877" i="1" s="1"/>
  <c r="S3865" i="1"/>
  <c r="AA3865" i="1" s="1"/>
  <c r="S3829" i="1"/>
  <c r="AA3829" i="1" s="1"/>
  <c r="S3813" i="1"/>
  <c r="AA3813" i="1" s="1"/>
  <c r="S3789" i="1"/>
  <c r="AA3789" i="1" s="1"/>
  <c r="S3761" i="1"/>
  <c r="AA3761" i="1" s="1"/>
  <c r="S3721" i="1"/>
  <c r="AA3721" i="1" s="1"/>
  <c r="S3669" i="1"/>
  <c r="AA3669" i="1" s="1"/>
  <c r="S3621" i="1"/>
  <c r="AA3621" i="1" s="1"/>
  <c r="S3609" i="1"/>
  <c r="AA3609" i="1" s="1"/>
  <c r="S3585" i="1"/>
  <c r="AA3585" i="1" s="1"/>
  <c r="S3561" i="1"/>
  <c r="AA3561" i="1" s="1"/>
  <c r="S3525" i="1"/>
  <c r="AA3525" i="1" s="1"/>
  <c r="S3465" i="1"/>
  <c r="AA3465" i="1" s="1"/>
  <c r="S3449" i="1"/>
  <c r="AA3449" i="1" s="1"/>
  <c r="S3429" i="1"/>
  <c r="AA3429" i="1" s="1"/>
  <c r="S3417" i="1"/>
  <c r="AA3417" i="1" s="1"/>
  <c r="S3401" i="1"/>
  <c r="AA3401" i="1" s="1"/>
  <c r="S3377" i="1"/>
  <c r="AA3377" i="1" s="1"/>
  <c r="S3305" i="1"/>
  <c r="AA3305" i="1" s="1"/>
  <c r="S3909" i="1"/>
  <c r="AA3909" i="1" s="1"/>
  <c r="S3741" i="1"/>
  <c r="AA3741" i="1" s="1"/>
  <c r="S3245" i="1"/>
  <c r="AA3245" i="1" s="1"/>
  <c r="S3977" i="1"/>
  <c r="AA3977" i="1" s="1"/>
  <c r="S3945" i="1"/>
  <c r="AA3945" i="1" s="1"/>
  <c r="S3857" i="1"/>
  <c r="AA3857" i="1" s="1"/>
  <c r="S3833" i="1"/>
  <c r="AA3833" i="1" s="1"/>
  <c r="S3817" i="1"/>
  <c r="AA3817" i="1" s="1"/>
  <c r="S3801" i="1"/>
  <c r="AA3801" i="1" s="1"/>
  <c r="S3781" i="1"/>
  <c r="AA3781" i="1" s="1"/>
  <c r="S3769" i="1"/>
  <c r="AA3769" i="1" s="1"/>
  <c r="S3749" i="1"/>
  <c r="AA3749" i="1" s="1"/>
  <c r="S3725" i="1"/>
  <c r="AA3725" i="1" s="1"/>
  <c r="S3713" i="1"/>
  <c r="AA3713" i="1" s="1"/>
  <c r="S3693" i="1"/>
  <c r="AA3693" i="1" s="1"/>
  <c r="S3685" i="1"/>
  <c r="AA3685" i="1" s="1"/>
  <c r="S3649" i="1"/>
  <c r="AA3649" i="1" s="1"/>
  <c r="S3645" i="1"/>
  <c r="AA3645" i="1" s="1"/>
  <c r="S3633" i="1"/>
  <c r="AA3633" i="1" s="1"/>
  <c r="S3613" i="1"/>
  <c r="AA3613" i="1" s="1"/>
  <c r="S3605" i="1"/>
  <c r="AA3605" i="1" s="1"/>
  <c r="S3589" i="1"/>
  <c r="AA3589" i="1" s="1"/>
  <c r="S3573" i="1"/>
  <c r="AA3573" i="1" s="1"/>
  <c r="S3565" i="1"/>
  <c r="AA3565" i="1" s="1"/>
  <c r="S3545" i="1"/>
  <c r="AA3545" i="1" s="1"/>
  <c r="S3529" i="1"/>
  <c r="AA3529" i="1" s="1"/>
  <c r="S3505" i="1"/>
  <c r="AA3505" i="1" s="1"/>
  <c r="S3497" i="1"/>
  <c r="AA3497" i="1" s="1"/>
  <c r="S3493" i="1"/>
  <c r="AA3493" i="1" s="1"/>
  <c r="S3485" i="1"/>
  <c r="AA3485" i="1" s="1"/>
  <c r="S3477" i="1"/>
  <c r="AA3477" i="1" s="1"/>
  <c r="S3461" i="1"/>
  <c r="AA3461" i="1" s="1"/>
  <c r="S3437" i="1"/>
  <c r="AA3437" i="1" s="1"/>
  <c r="S3409" i="1"/>
  <c r="AA3409" i="1" s="1"/>
  <c r="S3301" i="1"/>
  <c r="AA3301" i="1" s="1"/>
  <c r="S3925" i="1"/>
  <c r="AA3925" i="1" s="1"/>
  <c r="S3753" i="1"/>
  <c r="AA3753" i="1" s="1"/>
  <c r="S3533" i="1"/>
  <c r="AA3533" i="1" s="1"/>
  <c r="S3237" i="1"/>
  <c r="AA3237" i="1" s="1"/>
  <c r="S3785" i="1"/>
  <c r="AA3785" i="1" s="1"/>
  <c r="S3577" i="1"/>
  <c r="AA3577" i="1" s="1"/>
  <c r="S3221" i="1"/>
  <c r="AA3221" i="1" s="1"/>
  <c r="S3961" i="1"/>
  <c r="AA3961" i="1" s="1"/>
  <c r="S3793" i="1"/>
  <c r="AA3793" i="1" s="1"/>
  <c r="S3581" i="1"/>
  <c r="AA3581" i="1" s="1"/>
  <c r="S3998" i="1"/>
  <c r="AA3998" i="1" s="1"/>
  <c r="S3994" i="1"/>
  <c r="AA3994" i="1" s="1"/>
  <c r="S3990" i="1"/>
  <c r="AA3990" i="1" s="1"/>
  <c r="S3986" i="1"/>
  <c r="AA3986" i="1" s="1"/>
  <c r="S3982" i="1"/>
  <c r="AA3982" i="1" s="1"/>
  <c r="S3978" i="1"/>
  <c r="AA3978" i="1" s="1"/>
  <c r="S3974" i="1"/>
  <c r="AA3974" i="1" s="1"/>
  <c r="S3970" i="1"/>
  <c r="AA3970" i="1" s="1"/>
  <c r="S3966" i="1"/>
  <c r="AA3966" i="1" s="1"/>
  <c r="S3962" i="1"/>
  <c r="AA3962" i="1" s="1"/>
  <c r="S3958" i="1"/>
  <c r="AA3958" i="1" s="1"/>
  <c r="S3954" i="1"/>
  <c r="AA3954" i="1" s="1"/>
  <c r="S3950" i="1"/>
  <c r="AA3950" i="1" s="1"/>
  <c r="S3946" i="1"/>
  <c r="AA3946" i="1" s="1"/>
  <c r="S3942" i="1"/>
  <c r="AA3942" i="1" s="1"/>
  <c r="S3938" i="1"/>
  <c r="AA3938" i="1" s="1"/>
  <c r="S3934" i="1"/>
  <c r="AA3934" i="1" s="1"/>
  <c r="S3930" i="1"/>
  <c r="AA3930" i="1" s="1"/>
  <c r="S3926" i="1"/>
  <c r="AA3926" i="1" s="1"/>
  <c r="S3922" i="1"/>
  <c r="AA3922" i="1" s="1"/>
  <c r="S3918" i="1"/>
  <c r="AA3918" i="1" s="1"/>
  <c r="S3914" i="1"/>
  <c r="AA3914" i="1" s="1"/>
  <c r="S3910" i="1"/>
  <c r="AA3910" i="1" s="1"/>
  <c r="S3906" i="1"/>
  <c r="AA3906" i="1" s="1"/>
  <c r="S3902" i="1"/>
  <c r="AA3902" i="1" s="1"/>
  <c r="S3898" i="1"/>
  <c r="AA3898" i="1" s="1"/>
  <c r="S3894" i="1"/>
  <c r="AA3894" i="1" s="1"/>
  <c r="S3890" i="1"/>
  <c r="AA3890" i="1" s="1"/>
  <c r="S3886" i="1"/>
  <c r="AA3886" i="1" s="1"/>
  <c r="S3882" i="1"/>
  <c r="AA3882" i="1" s="1"/>
  <c r="S3878" i="1"/>
  <c r="AA3878" i="1" s="1"/>
  <c r="S3874" i="1"/>
  <c r="AA3874" i="1" s="1"/>
  <c r="S3870" i="1"/>
  <c r="AA3870" i="1" s="1"/>
  <c r="S3866" i="1"/>
  <c r="AA3866" i="1" s="1"/>
  <c r="S3862" i="1"/>
  <c r="AA3862" i="1" s="1"/>
  <c r="S3858" i="1"/>
  <c r="AA3858" i="1" s="1"/>
  <c r="S3854" i="1"/>
  <c r="AA3854" i="1" s="1"/>
  <c r="S3850" i="1"/>
  <c r="AA3850" i="1" s="1"/>
  <c r="S3846" i="1"/>
  <c r="AA3846" i="1" s="1"/>
  <c r="S3842" i="1"/>
  <c r="AA3842" i="1" s="1"/>
  <c r="S3838" i="1"/>
  <c r="AA3838" i="1" s="1"/>
  <c r="S3834" i="1"/>
  <c r="AA3834" i="1" s="1"/>
  <c r="S3830" i="1"/>
  <c r="AA3830" i="1" s="1"/>
  <c r="S3826" i="1"/>
  <c r="AA3826" i="1" s="1"/>
  <c r="S3822" i="1"/>
  <c r="AA3822" i="1" s="1"/>
  <c r="S3818" i="1"/>
  <c r="AA3818" i="1" s="1"/>
  <c r="S3814" i="1"/>
  <c r="AA3814" i="1" s="1"/>
  <c r="S3810" i="1"/>
  <c r="AA3810" i="1" s="1"/>
  <c r="S3806" i="1"/>
  <c r="AA3806" i="1" s="1"/>
  <c r="S3802" i="1"/>
  <c r="AA3802" i="1" s="1"/>
  <c r="S3798" i="1"/>
  <c r="AA3798" i="1" s="1"/>
  <c r="S3794" i="1"/>
  <c r="AA3794" i="1" s="1"/>
  <c r="S3790" i="1"/>
  <c r="AA3790" i="1" s="1"/>
  <c r="S3786" i="1"/>
  <c r="AA3786" i="1" s="1"/>
  <c r="S3782" i="1"/>
  <c r="AA3782" i="1" s="1"/>
  <c r="S3778" i="1"/>
  <c r="AA3778" i="1" s="1"/>
  <c r="S3774" i="1"/>
  <c r="AA3774" i="1" s="1"/>
  <c r="S3770" i="1"/>
  <c r="AA3770" i="1" s="1"/>
  <c r="S3766" i="1"/>
  <c r="AA3766" i="1" s="1"/>
  <c r="S3762" i="1"/>
  <c r="AA3762" i="1" s="1"/>
  <c r="S3758" i="1"/>
  <c r="AA3758" i="1" s="1"/>
  <c r="S3754" i="1"/>
  <c r="AA3754" i="1" s="1"/>
  <c r="S3750" i="1"/>
  <c r="AA3750" i="1" s="1"/>
  <c r="S3746" i="1"/>
  <c r="AA3746" i="1" s="1"/>
  <c r="S3742" i="1"/>
  <c r="AA3742" i="1" s="1"/>
  <c r="S3738" i="1"/>
  <c r="AA3738" i="1" s="1"/>
  <c r="S3734" i="1"/>
  <c r="AA3734" i="1" s="1"/>
  <c r="S3730" i="1"/>
  <c r="AA3730" i="1" s="1"/>
  <c r="S3726" i="1"/>
  <c r="AA3726" i="1" s="1"/>
  <c r="S3722" i="1"/>
  <c r="AA3722" i="1" s="1"/>
  <c r="S3718" i="1"/>
  <c r="AA3718" i="1" s="1"/>
  <c r="S3714" i="1"/>
  <c r="AA3714" i="1" s="1"/>
  <c r="S3710" i="1"/>
  <c r="AA3710" i="1" s="1"/>
  <c r="S3706" i="1"/>
  <c r="AA3706" i="1" s="1"/>
  <c r="S3702" i="1"/>
  <c r="AA3702" i="1" s="1"/>
  <c r="S3698" i="1"/>
  <c r="AA3698" i="1" s="1"/>
  <c r="S3694" i="1"/>
  <c r="AA3694" i="1" s="1"/>
  <c r="S3690" i="1"/>
  <c r="AA3690" i="1" s="1"/>
  <c r="S3686" i="1"/>
  <c r="AA3686" i="1" s="1"/>
  <c r="S3682" i="1"/>
  <c r="AA3682" i="1" s="1"/>
  <c r="S3678" i="1"/>
  <c r="AA3678" i="1" s="1"/>
  <c r="S3674" i="1"/>
  <c r="AA3674" i="1" s="1"/>
  <c r="S3670" i="1"/>
  <c r="AA3670" i="1" s="1"/>
  <c r="S3666" i="1"/>
  <c r="AA3666" i="1" s="1"/>
  <c r="S3662" i="1"/>
  <c r="AA3662" i="1" s="1"/>
  <c r="S3658" i="1"/>
  <c r="AA3658" i="1" s="1"/>
  <c r="S3654" i="1"/>
  <c r="AA3654" i="1" s="1"/>
  <c r="S3650" i="1"/>
  <c r="AA3650" i="1" s="1"/>
  <c r="S3646" i="1"/>
  <c r="AA3646" i="1" s="1"/>
  <c r="S3642" i="1"/>
  <c r="AA3642" i="1" s="1"/>
  <c r="S3638" i="1"/>
  <c r="AA3638" i="1" s="1"/>
  <c r="S3634" i="1"/>
  <c r="AA3634" i="1" s="1"/>
  <c r="S3630" i="1"/>
  <c r="AA3630" i="1" s="1"/>
  <c r="S3626" i="1"/>
  <c r="AA3626" i="1" s="1"/>
  <c r="S3622" i="1"/>
  <c r="AA3622" i="1" s="1"/>
  <c r="S3618" i="1"/>
  <c r="AA3618" i="1" s="1"/>
  <c r="S3614" i="1"/>
  <c r="AA3614" i="1" s="1"/>
  <c r="S3610" i="1"/>
  <c r="AA3610" i="1" s="1"/>
  <c r="S3606" i="1"/>
  <c r="AA3606" i="1" s="1"/>
  <c r="S3602" i="1"/>
  <c r="AA3602" i="1" s="1"/>
  <c r="S3598" i="1"/>
  <c r="AA3598" i="1" s="1"/>
  <c r="S3594" i="1"/>
  <c r="AA3594" i="1" s="1"/>
  <c r="S3590" i="1"/>
  <c r="AA3590" i="1" s="1"/>
  <c r="S3586" i="1"/>
  <c r="AA3586" i="1" s="1"/>
  <c r="S3582" i="1"/>
  <c r="AA3582" i="1" s="1"/>
  <c r="S3578" i="1"/>
  <c r="AA3578" i="1" s="1"/>
  <c r="S3574" i="1"/>
  <c r="AA3574" i="1" s="1"/>
  <c r="S3570" i="1"/>
  <c r="AA3570" i="1" s="1"/>
  <c r="S3566" i="1"/>
  <c r="AA3566" i="1" s="1"/>
  <c r="S3562" i="1"/>
  <c r="AA3562" i="1" s="1"/>
  <c r="S3558" i="1"/>
  <c r="AA3558" i="1" s="1"/>
  <c r="S3554" i="1"/>
  <c r="AA3554" i="1" s="1"/>
  <c r="S3550" i="1"/>
  <c r="AA3550" i="1" s="1"/>
  <c r="S3546" i="1"/>
  <c r="AA3546" i="1" s="1"/>
  <c r="S3542" i="1"/>
  <c r="AA3542" i="1" s="1"/>
  <c r="S3538" i="1"/>
  <c r="AA3538" i="1" s="1"/>
  <c r="S3534" i="1"/>
  <c r="AA3534" i="1" s="1"/>
  <c r="S3530" i="1"/>
  <c r="AA3530" i="1" s="1"/>
  <c r="S3526" i="1"/>
  <c r="AA3526" i="1" s="1"/>
  <c r="S3522" i="1"/>
  <c r="AA3522" i="1" s="1"/>
  <c r="S3518" i="1"/>
  <c r="AA3518" i="1" s="1"/>
  <c r="S3514" i="1"/>
  <c r="AA3514" i="1" s="1"/>
  <c r="S3510" i="1"/>
  <c r="AA3510" i="1" s="1"/>
  <c r="S3506" i="1"/>
  <c r="AA3506" i="1" s="1"/>
  <c r="S3502" i="1"/>
  <c r="AA3502" i="1" s="1"/>
  <c r="S3498" i="1"/>
  <c r="AA3498" i="1" s="1"/>
  <c r="S3494" i="1"/>
  <c r="AA3494" i="1" s="1"/>
  <c r="S3490" i="1"/>
  <c r="AA3490" i="1" s="1"/>
  <c r="S3486" i="1"/>
  <c r="AA3486" i="1" s="1"/>
  <c r="S3482" i="1"/>
  <c r="AA3482" i="1" s="1"/>
  <c r="S3478" i="1"/>
  <c r="AA3478" i="1" s="1"/>
  <c r="S3474" i="1"/>
  <c r="AA3474" i="1" s="1"/>
  <c r="S3470" i="1"/>
  <c r="AA3470" i="1" s="1"/>
  <c r="S3466" i="1"/>
  <c r="AA3466" i="1" s="1"/>
  <c r="S3462" i="1"/>
  <c r="AA3462" i="1" s="1"/>
  <c r="S3458" i="1"/>
  <c r="AA3458" i="1" s="1"/>
  <c r="S3454" i="1"/>
  <c r="AA3454" i="1" s="1"/>
  <c r="S3450" i="1"/>
  <c r="AA3450" i="1" s="1"/>
  <c r="S3446" i="1"/>
  <c r="AA3446" i="1" s="1"/>
  <c r="S3442" i="1"/>
  <c r="AA3442" i="1" s="1"/>
  <c r="S3438" i="1"/>
  <c r="AA3438" i="1" s="1"/>
  <c r="S3434" i="1"/>
  <c r="AA3434" i="1" s="1"/>
  <c r="S3430" i="1"/>
  <c r="AA3430" i="1" s="1"/>
  <c r="S3426" i="1"/>
  <c r="AA3426" i="1" s="1"/>
  <c r="S3422" i="1"/>
  <c r="AA3422" i="1" s="1"/>
  <c r="S3418" i="1"/>
  <c r="AA3418" i="1" s="1"/>
  <c r="S3414" i="1"/>
  <c r="AA3414" i="1" s="1"/>
  <c r="S3410" i="1"/>
  <c r="AA3410" i="1" s="1"/>
  <c r="S3406" i="1"/>
  <c r="AA3406" i="1" s="1"/>
  <c r="S3402" i="1"/>
  <c r="AA3402" i="1" s="1"/>
  <c r="S3398" i="1"/>
  <c r="AA3398" i="1" s="1"/>
  <c r="S3394" i="1"/>
  <c r="AA3394" i="1" s="1"/>
  <c r="S3390" i="1"/>
  <c r="AA3390" i="1" s="1"/>
  <c r="S3386" i="1"/>
  <c r="AA3386" i="1" s="1"/>
  <c r="S3382" i="1"/>
  <c r="AA3382" i="1" s="1"/>
  <c r="S3378" i="1"/>
  <c r="AA3378" i="1" s="1"/>
  <c r="S3374" i="1"/>
  <c r="AA3374" i="1" s="1"/>
  <c r="S3370" i="1"/>
  <c r="AA3370" i="1" s="1"/>
  <c r="S3366" i="1"/>
  <c r="AA3366" i="1" s="1"/>
  <c r="S3362" i="1"/>
  <c r="AA3362" i="1" s="1"/>
  <c r="S3358" i="1"/>
  <c r="AA3358" i="1" s="1"/>
  <c r="S3354" i="1"/>
  <c r="AA3354" i="1" s="1"/>
  <c r="S3350" i="1"/>
  <c r="AA3350" i="1" s="1"/>
  <c r="S3346" i="1"/>
  <c r="AA3346" i="1" s="1"/>
  <c r="S3342" i="1"/>
  <c r="AA3342" i="1" s="1"/>
  <c r="S3338" i="1"/>
  <c r="AA3338" i="1" s="1"/>
  <c r="S3334" i="1"/>
  <c r="AA3334" i="1" s="1"/>
  <c r="S3330" i="1"/>
  <c r="AA3330" i="1" s="1"/>
  <c r="S3326" i="1"/>
  <c r="AA3326" i="1" s="1"/>
  <c r="S3322" i="1"/>
  <c r="AA3322" i="1" s="1"/>
  <c r="S3318" i="1"/>
  <c r="AA3318" i="1" s="1"/>
  <c r="S3314" i="1"/>
  <c r="AA3314" i="1" s="1"/>
  <c r="S3310" i="1"/>
  <c r="AA3310" i="1" s="1"/>
  <c r="S3306" i="1"/>
  <c r="AA3306" i="1" s="1"/>
  <c r="S3302" i="1"/>
  <c r="AA3302" i="1" s="1"/>
  <c r="S3298" i="1"/>
  <c r="AA3298" i="1" s="1"/>
  <c r="S3294" i="1"/>
  <c r="AA3294" i="1" s="1"/>
  <c r="S3290" i="1"/>
  <c r="AA3290" i="1" s="1"/>
  <c r="S3286" i="1"/>
  <c r="AA3286" i="1" s="1"/>
  <c r="S3282" i="1"/>
  <c r="AA3282" i="1" s="1"/>
  <c r="S3278" i="1"/>
  <c r="AA3278" i="1" s="1"/>
  <c r="S3274" i="1"/>
  <c r="AA3274" i="1" s="1"/>
  <c r="S3270" i="1"/>
  <c r="AA3270" i="1" s="1"/>
  <c r="S3266" i="1"/>
  <c r="AA3266" i="1" s="1"/>
  <c r="S3262" i="1"/>
  <c r="AA3262" i="1" s="1"/>
  <c r="S3258" i="1"/>
  <c r="AA3258" i="1" s="1"/>
  <c r="S3254" i="1"/>
  <c r="AA3254" i="1" s="1"/>
  <c r="S3250" i="1"/>
  <c r="AA3250" i="1" s="1"/>
  <c r="S3246" i="1"/>
  <c r="AA3246" i="1" s="1"/>
  <c r="S3242" i="1"/>
  <c r="AA3242" i="1" s="1"/>
  <c r="S3238" i="1"/>
  <c r="AA3238" i="1" s="1"/>
  <c r="S3234" i="1"/>
  <c r="AA3234" i="1" s="1"/>
  <c r="S3230" i="1"/>
  <c r="AA3230" i="1" s="1"/>
  <c r="S3226" i="1"/>
  <c r="AA3226" i="1" s="1"/>
  <c r="S3222" i="1"/>
  <c r="AA3222" i="1" s="1"/>
  <c r="S3218" i="1"/>
  <c r="AA3218" i="1" s="1"/>
  <c r="S3214" i="1"/>
  <c r="AA3214" i="1" s="1"/>
  <c r="S3210" i="1"/>
  <c r="AA3210" i="1" s="1"/>
  <c r="S3206" i="1"/>
  <c r="AA3206" i="1" s="1"/>
  <c r="S3202" i="1"/>
  <c r="AA3202" i="1" s="1"/>
  <c r="S3198" i="1"/>
  <c r="AA3198" i="1" s="1"/>
  <c r="S3194" i="1"/>
  <c r="AA3194" i="1" s="1"/>
  <c r="S3190" i="1"/>
  <c r="AA3190" i="1" s="1"/>
  <c r="S3186" i="1"/>
  <c r="AA3186" i="1" s="1"/>
  <c r="S3182" i="1"/>
  <c r="AA3182" i="1" s="1"/>
  <c r="S3178" i="1"/>
  <c r="AA3178" i="1" s="1"/>
  <c r="S3174" i="1"/>
  <c r="AA3174" i="1" s="1"/>
  <c r="S3170" i="1"/>
  <c r="AA3170" i="1" s="1"/>
  <c r="S3166" i="1"/>
  <c r="AA3166" i="1" s="1"/>
  <c r="S3162" i="1"/>
  <c r="AA3162" i="1" s="1"/>
  <c r="S3158" i="1"/>
  <c r="AA3158" i="1" s="1"/>
  <c r="S3154" i="1"/>
  <c r="AA3154" i="1" s="1"/>
  <c r="S3150" i="1"/>
  <c r="AA3150" i="1" s="1"/>
  <c r="S3146" i="1"/>
  <c r="AA3146" i="1" s="1"/>
  <c r="S3142" i="1"/>
  <c r="AA3142" i="1" s="1"/>
  <c r="S3138" i="1"/>
  <c r="AA3138" i="1" s="1"/>
  <c r="S3134" i="1"/>
  <c r="AA3134" i="1" s="1"/>
  <c r="S3130" i="1"/>
  <c r="AA3130" i="1" s="1"/>
  <c r="S3126" i="1"/>
  <c r="AA3126" i="1" s="1"/>
  <c r="S3122" i="1"/>
  <c r="AA3122" i="1" s="1"/>
  <c r="S3118" i="1"/>
  <c r="AA3118" i="1" s="1"/>
  <c r="S3114" i="1"/>
  <c r="AA3114" i="1" s="1"/>
  <c r="S3110" i="1"/>
  <c r="AA3110" i="1" s="1"/>
  <c r="S3106" i="1"/>
  <c r="AA3106" i="1" s="1"/>
  <c r="S3102" i="1"/>
  <c r="AA3102" i="1" s="1"/>
  <c r="S3098" i="1"/>
  <c r="AA3098" i="1" s="1"/>
  <c r="S3094" i="1"/>
  <c r="AA3094" i="1" s="1"/>
  <c r="S3090" i="1"/>
  <c r="AA3090" i="1" s="1"/>
  <c r="S3086" i="1"/>
  <c r="AA3086" i="1" s="1"/>
  <c r="S3082" i="1"/>
  <c r="AA3082" i="1" s="1"/>
  <c r="S3078" i="1"/>
  <c r="AA3078" i="1" s="1"/>
  <c r="S3074" i="1"/>
  <c r="AA3074" i="1" s="1"/>
  <c r="S3070" i="1"/>
  <c r="AA3070" i="1" s="1"/>
  <c r="S3066" i="1"/>
  <c r="AA3066" i="1" s="1"/>
  <c r="S3062" i="1"/>
  <c r="AA3062" i="1" s="1"/>
  <c r="S3058" i="1"/>
  <c r="AA3058" i="1" s="1"/>
  <c r="S3054" i="1"/>
  <c r="AA3054" i="1" s="1"/>
  <c r="S3050" i="1"/>
  <c r="AA3050" i="1" s="1"/>
  <c r="S3046" i="1"/>
  <c r="AA3046" i="1" s="1"/>
  <c r="S3042" i="1"/>
  <c r="AA3042" i="1" s="1"/>
  <c r="S3038" i="1"/>
  <c r="AA3038" i="1" s="1"/>
  <c r="S3034" i="1"/>
  <c r="AA3034" i="1" s="1"/>
  <c r="S3030" i="1"/>
  <c r="AA3030" i="1" s="1"/>
  <c r="S3026" i="1"/>
  <c r="AA3026" i="1" s="1"/>
  <c r="S3022" i="1"/>
  <c r="AA3022" i="1" s="1"/>
  <c r="S3018" i="1"/>
  <c r="AA3018" i="1" s="1"/>
  <c r="S3014" i="1"/>
  <c r="AA3014" i="1" s="1"/>
  <c r="S3010" i="1"/>
  <c r="AA3010" i="1" s="1"/>
  <c r="S3006" i="1"/>
  <c r="AA3006" i="1" s="1"/>
  <c r="S3002" i="1"/>
  <c r="AA3002" i="1" s="1"/>
  <c r="S2998" i="1"/>
  <c r="AA2998" i="1" s="1"/>
  <c r="S2994" i="1"/>
  <c r="AA2994" i="1" s="1"/>
  <c r="S2990" i="1"/>
  <c r="AA2990" i="1" s="1"/>
  <c r="S2986" i="1"/>
  <c r="AA2986" i="1" s="1"/>
  <c r="S2982" i="1"/>
  <c r="AA2982" i="1" s="1"/>
  <c r="S2978" i="1"/>
  <c r="AA2978" i="1" s="1"/>
  <c r="S2974" i="1"/>
  <c r="AA2974" i="1" s="1"/>
  <c r="S2970" i="1"/>
  <c r="AA2970" i="1" s="1"/>
  <c r="S2966" i="1"/>
  <c r="AA2966" i="1" s="1"/>
  <c r="S2962" i="1"/>
  <c r="AA2962" i="1" s="1"/>
  <c r="S2958" i="1"/>
  <c r="AA2958" i="1" s="1"/>
  <c r="S2954" i="1"/>
  <c r="AA2954" i="1" s="1"/>
  <c r="S2950" i="1"/>
  <c r="AA2950" i="1" s="1"/>
  <c r="S2946" i="1"/>
  <c r="AA2946" i="1" s="1"/>
  <c r="S2942" i="1"/>
  <c r="AA2942" i="1" s="1"/>
  <c r="S2938" i="1"/>
  <c r="AA2938" i="1" s="1"/>
  <c r="S2934" i="1"/>
  <c r="AA2934" i="1" s="1"/>
  <c r="S2930" i="1"/>
  <c r="AA2930" i="1" s="1"/>
  <c r="S2926" i="1"/>
  <c r="AA2926" i="1" s="1"/>
  <c r="S2922" i="1"/>
  <c r="AA2922" i="1" s="1"/>
  <c r="S2918" i="1"/>
  <c r="AA2918" i="1" s="1"/>
  <c r="S2914" i="1"/>
  <c r="AA2914" i="1" s="1"/>
  <c r="S2910" i="1"/>
  <c r="AA2910" i="1" s="1"/>
  <c r="S2906" i="1"/>
  <c r="AA2906" i="1" s="1"/>
  <c r="S2902" i="1"/>
  <c r="AA2902" i="1" s="1"/>
  <c r="S2898" i="1"/>
  <c r="AA2898" i="1" s="1"/>
  <c r="S2894" i="1"/>
  <c r="AA2894" i="1" s="1"/>
  <c r="S2890" i="1"/>
  <c r="AA2890" i="1" s="1"/>
  <c r="S2886" i="1"/>
  <c r="AA2886" i="1" s="1"/>
  <c r="S2882" i="1"/>
  <c r="AA2882" i="1" s="1"/>
  <c r="S2878" i="1"/>
  <c r="AA2878" i="1" s="1"/>
  <c r="S2874" i="1"/>
  <c r="AA2874" i="1" s="1"/>
  <c r="S2870" i="1"/>
  <c r="AA2870" i="1" s="1"/>
  <c r="S2866" i="1"/>
  <c r="AA2866" i="1" s="1"/>
  <c r="S2862" i="1"/>
  <c r="AA2862" i="1" s="1"/>
  <c r="S2858" i="1"/>
  <c r="AA2858" i="1" s="1"/>
  <c r="S2854" i="1"/>
  <c r="AA2854" i="1" s="1"/>
  <c r="S2850" i="1"/>
  <c r="AA2850" i="1" s="1"/>
  <c r="S2846" i="1"/>
  <c r="AA2846" i="1" s="1"/>
  <c r="S2842" i="1"/>
  <c r="AA2842" i="1" s="1"/>
  <c r="S2838" i="1"/>
  <c r="AA2838" i="1" s="1"/>
  <c r="S2834" i="1"/>
  <c r="AA2834" i="1" s="1"/>
  <c r="S2830" i="1"/>
  <c r="AA2830" i="1" s="1"/>
  <c r="S2826" i="1"/>
  <c r="AA2826" i="1" s="1"/>
  <c r="S2822" i="1"/>
  <c r="AA2822" i="1" s="1"/>
  <c r="S2818" i="1"/>
  <c r="AA2818" i="1" s="1"/>
  <c r="S2814" i="1"/>
  <c r="AA2814" i="1" s="1"/>
  <c r="S2810" i="1"/>
  <c r="AA2810" i="1" s="1"/>
  <c r="S2806" i="1"/>
  <c r="AA2806" i="1" s="1"/>
  <c r="S2802" i="1"/>
  <c r="AA2802" i="1" s="1"/>
  <c r="S2798" i="1"/>
  <c r="AA2798" i="1" s="1"/>
  <c r="S2794" i="1"/>
  <c r="AA2794" i="1" s="1"/>
  <c r="S2790" i="1"/>
  <c r="AA2790" i="1" s="1"/>
  <c r="S2786" i="1"/>
  <c r="AA2786" i="1" s="1"/>
  <c r="S2782" i="1"/>
  <c r="AA2782" i="1" s="1"/>
  <c r="S2778" i="1"/>
  <c r="AA2778" i="1" s="1"/>
  <c r="S2774" i="1"/>
  <c r="AA2774" i="1" s="1"/>
  <c r="S2770" i="1"/>
  <c r="AA2770" i="1" s="1"/>
  <c r="S2766" i="1"/>
  <c r="AA2766" i="1" s="1"/>
  <c r="S2762" i="1"/>
  <c r="AA2762" i="1" s="1"/>
  <c r="S2758" i="1"/>
  <c r="AA2758" i="1" s="1"/>
  <c r="S2754" i="1"/>
  <c r="AA2754" i="1" s="1"/>
  <c r="S2750" i="1"/>
  <c r="AA2750" i="1" s="1"/>
  <c r="S2746" i="1"/>
  <c r="AA2746" i="1" s="1"/>
  <c r="S2742" i="1"/>
  <c r="AA2742" i="1" s="1"/>
  <c r="S2738" i="1"/>
  <c r="AA2738" i="1" s="1"/>
  <c r="S2734" i="1"/>
  <c r="AA2734" i="1" s="1"/>
  <c r="S2730" i="1"/>
  <c r="AA2730" i="1" s="1"/>
  <c r="S2726" i="1"/>
  <c r="AA2726" i="1" s="1"/>
  <c r="S2722" i="1"/>
  <c r="AA2722" i="1" s="1"/>
  <c r="S2718" i="1"/>
  <c r="AA2718" i="1" s="1"/>
  <c r="S2714" i="1"/>
  <c r="AA2714" i="1" s="1"/>
  <c r="S2710" i="1"/>
  <c r="AA2710" i="1" s="1"/>
  <c r="S2706" i="1"/>
  <c r="AA2706" i="1" s="1"/>
  <c r="S2702" i="1"/>
  <c r="AA2702" i="1" s="1"/>
  <c r="S2698" i="1"/>
  <c r="AA2698" i="1" s="1"/>
  <c r="S2694" i="1"/>
  <c r="AA2694" i="1" s="1"/>
  <c r="S2690" i="1"/>
  <c r="AA2690" i="1" s="1"/>
  <c r="S2686" i="1"/>
  <c r="AA2686" i="1" s="1"/>
  <c r="S2682" i="1"/>
  <c r="AA2682" i="1" s="1"/>
  <c r="S1169" i="1"/>
  <c r="AA1169" i="1" s="1"/>
  <c r="S1165" i="1"/>
  <c r="AA1165" i="1" s="1"/>
  <c r="S1161" i="1"/>
  <c r="AA1161" i="1" s="1"/>
  <c r="S1157" i="1"/>
  <c r="AA1157" i="1" s="1"/>
  <c r="S1153" i="1"/>
  <c r="AA1153" i="1" s="1"/>
  <c r="S1149" i="1"/>
  <c r="AA1149" i="1" s="1"/>
  <c r="S1145" i="1"/>
  <c r="AA1145" i="1" s="1"/>
  <c r="S1141" i="1"/>
  <c r="AA1141" i="1" s="1"/>
  <c r="S1137" i="1"/>
  <c r="AA1137" i="1" s="1"/>
  <c r="S1129" i="1"/>
  <c r="AA1129" i="1" s="1"/>
  <c r="S1125" i="1"/>
  <c r="AA1125" i="1" s="1"/>
  <c r="S1121" i="1"/>
  <c r="AA1121" i="1" s="1"/>
  <c r="S1117" i="1"/>
  <c r="AA1117" i="1" s="1"/>
  <c r="S1113" i="1"/>
  <c r="AA1113" i="1" s="1"/>
  <c r="S1109" i="1"/>
  <c r="AA1109" i="1" s="1"/>
  <c r="S1105" i="1"/>
  <c r="AA1105" i="1" s="1"/>
  <c r="S1101" i="1"/>
  <c r="AA1101" i="1" s="1"/>
  <c r="S1097" i="1"/>
  <c r="AA1097" i="1" s="1"/>
  <c r="S1093" i="1"/>
  <c r="AA1093" i="1" s="1"/>
  <c r="S1089" i="1"/>
  <c r="AA1089" i="1" s="1"/>
  <c r="S1085" i="1"/>
  <c r="AA1085" i="1" s="1"/>
  <c r="S1081" i="1"/>
  <c r="AA1081" i="1" s="1"/>
  <c r="S1077" i="1"/>
  <c r="AA1077" i="1" s="1"/>
  <c r="S1073" i="1"/>
  <c r="AA1073" i="1" s="1"/>
  <c r="S1069" i="1"/>
  <c r="AA1069" i="1" s="1"/>
  <c r="S1065" i="1"/>
  <c r="AA1065" i="1" s="1"/>
  <c r="S1061" i="1"/>
  <c r="AA1061" i="1" s="1"/>
  <c r="S1057" i="1"/>
  <c r="AA1057" i="1" s="1"/>
  <c r="S1053" i="1"/>
  <c r="AA1053" i="1" s="1"/>
  <c r="S1049" i="1"/>
  <c r="AA1049" i="1" s="1"/>
  <c r="S1045" i="1"/>
  <c r="AA1045" i="1" s="1"/>
  <c r="S1041" i="1"/>
  <c r="AA1041" i="1" s="1"/>
  <c r="S1037" i="1"/>
  <c r="AA1037" i="1" s="1"/>
  <c r="S1033" i="1"/>
  <c r="AA1033" i="1" s="1"/>
  <c r="S1029" i="1"/>
  <c r="AA1029" i="1" s="1"/>
  <c r="S1025" i="1"/>
  <c r="AA1025" i="1" s="1"/>
  <c r="S1021" i="1"/>
  <c r="AA1021" i="1" s="1"/>
  <c r="S1017" i="1"/>
  <c r="AA1017" i="1" s="1"/>
  <c r="S1013" i="1"/>
  <c r="AA1013" i="1" s="1"/>
  <c r="S1009" i="1"/>
  <c r="AA1009" i="1" s="1"/>
  <c r="S1005" i="1"/>
  <c r="AA1005" i="1" s="1"/>
  <c r="S1001" i="1"/>
  <c r="AA1001" i="1" s="1"/>
  <c r="S997" i="1"/>
  <c r="AA997" i="1" s="1"/>
  <c r="S993" i="1"/>
  <c r="AA993" i="1" s="1"/>
  <c r="S989" i="1"/>
  <c r="AA989" i="1" s="1"/>
  <c r="S985" i="1"/>
  <c r="AA985" i="1" s="1"/>
  <c r="S981" i="1"/>
  <c r="AA981" i="1" s="1"/>
  <c r="S977" i="1"/>
  <c r="AA977" i="1" s="1"/>
  <c r="S973" i="1"/>
  <c r="AA973" i="1" s="1"/>
  <c r="S969" i="1"/>
  <c r="AA969" i="1" s="1"/>
  <c r="S965" i="1"/>
  <c r="AA965" i="1" s="1"/>
  <c r="S961" i="1"/>
  <c r="AA961" i="1" s="1"/>
  <c r="S957" i="1"/>
  <c r="AA957" i="1" s="1"/>
  <c r="S953" i="1"/>
  <c r="AA953" i="1" s="1"/>
  <c r="S949" i="1"/>
  <c r="AA949" i="1" s="1"/>
  <c r="S945" i="1"/>
  <c r="AA945" i="1" s="1"/>
  <c r="S941" i="1"/>
  <c r="AA941" i="1" s="1"/>
  <c r="S937" i="1"/>
  <c r="AA937" i="1" s="1"/>
  <c r="S933" i="1"/>
  <c r="AA933" i="1" s="1"/>
  <c r="S929" i="1"/>
  <c r="AA929" i="1" s="1"/>
  <c r="S925" i="1"/>
  <c r="AA925" i="1" s="1"/>
  <c r="S921" i="1"/>
  <c r="AA921" i="1" s="1"/>
  <c r="S917" i="1"/>
  <c r="AA917" i="1" s="1"/>
  <c r="S913" i="1"/>
  <c r="AA913" i="1" s="1"/>
  <c r="S909" i="1"/>
  <c r="AA909" i="1" s="1"/>
  <c r="S905" i="1"/>
  <c r="AA905" i="1" s="1"/>
  <c r="S901" i="1"/>
  <c r="AA901" i="1" s="1"/>
  <c r="S897" i="1"/>
  <c r="AA897" i="1" s="1"/>
  <c r="S893" i="1"/>
  <c r="AA893" i="1" s="1"/>
  <c r="S889" i="1"/>
  <c r="AA889" i="1" s="1"/>
  <c r="S885" i="1"/>
  <c r="AA885" i="1" s="1"/>
  <c r="S881" i="1"/>
  <c r="AA881" i="1" s="1"/>
  <c r="S877" i="1"/>
  <c r="AA877" i="1" s="1"/>
  <c r="S873" i="1"/>
  <c r="AA873" i="1" s="1"/>
  <c r="S869" i="1"/>
  <c r="AA869" i="1" s="1"/>
  <c r="S865" i="1"/>
  <c r="AA865" i="1" s="1"/>
  <c r="S861" i="1"/>
  <c r="AA861" i="1" s="1"/>
  <c r="S857" i="1"/>
  <c r="AA857" i="1" s="1"/>
  <c r="S853" i="1"/>
  <c r="AA853" i="1" s="1"/>
  <c r="S3396" i="1"/>
  <c r="AA3396" i="1" s="1"/>
  <c r="S3392" i="1"/>
  <c r="AA3392" i="1" s="1"/>
  <c r="S3388" i="1"/>
  <c r="AA3388" i="1" s="1"/>
  <c r="S3380" i="1"/>
  <c r="AA3380" i="1" s="1"/>
  <c r="S3376" i="1"/>
  <c r="AA3376" i="1" s="1"/>
  <c r="S3372" i="1"/>
  <c r="AA3372" i="1" s="1"/>
  <c r="S3368" i="1"/>
  <c r="AA3368" i="1" s="1"/>
  <c r="S3364" i="1"/>
  <c r="AA3364" i="1" s="1"/>
  <c r="S3356" i="1"/>
  <c r="AA3356" i="1" s="1"/>
  <c r="S3352" i="1"/>
  <c r="AA3352" i="1" s="1"/>
  <c r="S3348" i="1"/>
  <c r="AA3348" i="1" s="1"/>
  <c r="S3344" i="1"/>
  <c r="AA3344" i="1" s="1"/>
  <c r="S3336" i="1"/>
  <c r="AA3336" i="1" s="1"/>
  <c r="S3332" i="1"/>
  <c r="AA3332" i="1" s="1"/>
  <c r="S3328" i="1"/>
  <c r="AA3328" i="1" s="1"/>
  <c r="S3324" i="1"/>
  <c r="AA3324" i="1" s="1"/>
  <c r="S3320" i="1"/>
  <c r="AA3320" i="1" s="1"/>
  <c r="S3316" i="1"/>
  <c r="AA3316" i="1" s="1"/>
  <c r="S3308" i="1"/>
  <c r="AA3308" i="1" s="1"/>
  <c r="S3304" i="1"/>
  <c r="AA3304" i="1" s="1"/>
  <c r="S3300" i="1"/>
  <c r="AA3300" i="1" s="1"/>
  <c r="S3296" i="1"/>
  <c r="AA3296" i="1" s="1"/>
  <c r="S3292" i="1"/>
  <c r="AA3292" i="1" s="1"/>
  <c r="S3288" i="1"/>
  <c r="AA3288" i="1" s="1"/>
  <c r="S3284" i="1"/>
  <c r="AA3284" i="1" s="1"/>
  <c r="S3280" i="1"/>
  <c r="AA3280" i="1" s="1"/>
  <c r="S3276" i="1"/>
  <c r="AA3276" i="1" s="1"/>
  <c r="S3272" i="1"/>
  <c r="AA3272" i="1" s="1"/>
  <c r="S3268" i="1"/>
  <c r="AA3268" i="1" s="1"/>
  <c r="S3264" i="1"/>
  <c r="AA3264" i="1" s="1"/>
  <c r="S3252" i="1"/>
  <c r="AA3252" i="1" s="1"/>
  <c r="S3244" i="1"/>
  <c r="AA3244" i="1" s="1"/>
  <c r="S3240" i="1"/>
  <c r="AA3240" i="1" s="1"/>
  <c r="S3236" i="1"/>
  <c r="AA3236" i="1" s="1"/>
  <c r="S3228" i="1"/>
  <c r="AA3228" i="1" s="1"/>
  <c r="S3224" i="1"/>
  <c r="AA3224" i="1" s="1"/>
  <c r="S3220" i="1"/>
  <c r="AA3220" i="1" s="1"/>
  <c r="S3216" i="1"/>
  <c r="AA3216" i="1" s="1"/>
  <c r="S3208" i="1"/>
  <c r="AA3208" i="1" s="1"/>
  <c r="S3204" i="1"/>
  <c r="AA3204" i="1" s="1"/>
  <c r="S3200" i="1"/>
  <c r="AA3200" i="1" s="1"/>
  <c r="S3196" i="1"/>
  <c r="AA3196" i="1" s="1"/>
  <c r="S3192" i="1"/>
  <c r="AA3192" i="1" s="1"/>
  <c r="S3188" i="1"/>
  <c r="AA3188" i="1" s="1"/>
  <c r="S3180" i="1"/>
  <c r="AA3180" i="1" s="1"/>
  <c r="S3176" i="1"/>
  <c r="AA3176" i="1" s="1"/>
  <c r="S3172" i="1"/>
  <c r="AA3172" i="1" s="1"/>
  <c r="S3168" i="1"/>
  <c r="AA3168" i="1" s="1"/>
  <c r="S3164" i="1"/>
  <c r="AA3164" i="1" s="1"/>
  <c r="S3160" i="1"/>
  <c r="AA3160" i="1" s="1"/>
  <c r="S3156" i="1"/>
  <c r="AA3156" i="1" s="1"/>
  <c r="S3152" i="1"/>
  <c r="AA3152" i="1" s="1"/>
  <c r="S3148" i="1"/>
  <c r="AA3148" i="1" s="1"/>
  <c r="S3144" i="1"/>
  <c r="AA3144" i="1" s="1"/>
  <c r="S3140" i="1"/>
  <c r="AA3140" i="1" s="1"/>
  <c r="S3136" i="1"/>
  <c r="AA3136" i="1" s="1"/>
  <c r="S3128" i="1"/>
  <c r="AA3128" i="1" s="1"/>
  <c r="S3124" i="1"/>
  <c r="AA3124" i="1" s="1"/>
  <c r="S3120" i="1"/>
  <c r="AA3120" i="1" s="1"/>
  <c r="S3116" i="1"/>
  <c r="AA3116" i="1" s="1"/>
  <c r="S3112" i="1"/>
  <c r="AA3112" i="1" s="1"/>
  <c r="S3108" i="1"/>
  <c r="AA3108" i="1" s="1"/>
  <c r="S3100" i="1"/>
  <c r="AA3100" i="1" s="1"/>
  <c r="S3096" i="1"/>
  <c r="AA3096" i="1" s="1"/>
  <c r="S3092" i="1"/>
  <c r="AA3092" i="1" s="1"/>
  <c r="S3088" i="1"/>
  <c r="AA3088" i="1" s="1"/>
  <c r="S3080" i="1"/>
  <c r="AA3080" i="1" s="1"/>
  <c r="S3076" i="1"/>
  <c r="AA3076" i="1" s="1"/>
  <c r="S3072" i="1"/>
  <c r="AA3072" i="1" s="1"/>
  <c r="S3068" i="1"/>
  <c r="AA3068" i="1" s="1"/>
  <c r="S3064" i="1"/>
  <c r="AA3064" i="1" s="1"/>
  <c r="S3060" i="1"/>
  <c r="AA3060" i="1" s="1"/>
  <c r="S3052" i="1"/>
  <c r="AA3052" i="1" s="1"/>
  <c r="S3048" i="1"/>
  <c r="AA3048" i="1" s="1"/>
  <c r="S3044" i="1"/>
  <c r="AA3044" i="1" s="1"/>
  <c r="S3040" i="1"/>
  <c r="AA3040" i="1" s="1"/>
  <c r="S3036" i="1"/>
  <c r="AA3036" i="1" s="1"/>
  <c r="S3032" i="1"/>
  <c r="AA3032" i="1" s="1"/>
  <c r="S3028" i="1"/>
  <c r="AA3028" i="1" s="1"/>
  <c r="S3024" i="1"/>
  <c r="AA3024" i="1" s="1"/>
  <c r="S3020" i="1"/>
  <c r="AA3020" i="1" s="1"/>
  <c r="S3016" i="1"/>
  <c r="AA3016" i="1" s="1"/>
  <c r="S3012" i="1"/>
  <c r="AA3012" i="1" s="1"/>
  <c r="S3008" i="1"/>
  <c r="AA3008" i="1" s="1"/>
  <c r="S3000" i="1"/>
  <c r="AA3000" i="1" s="1"/>
  <c r="S2996" i="1"/>
  <c r="AA2996" i="1" s="1"/>
  <c r="S2992" i="1"/>
  <c r="AA2992" i="1" s="1"/>
  <c r="S2988" i="1"/>
  <c r="AA2988" i="1" s="1"/>
  <c r="S2984" i="1"/>
  <c r="AA2984" i="1" s="1"/>
  <c r="S2980" i="1"/>
  <c r="AA2980" i="1" s="1"/>
  <c r="S2976" i="1"/>
  <c r="AA2976" i="1" s="1"/>
  <c r="S2968" i="1"/>
  <c r="AA2968" i="1" s="1"/>
  <c r="S2964" i="1"/>
  <c r="AA2964" i="1" s="1"/>
  <c r="S2960" i="1"/>
  <c r="AA2960" i="1" s="1"/>
  <c r="S2956" i="1"/>
  <c r="AA2956" i="1" s="1"/>
  <c r="S2948" i="1"/>
  <c r="AA2948" i="1" s="1"/>
  <c r="S2944" i="1"/>
  <c r="AA2944" i="1" s="1"/>
  <c r="S2940" i="1"/>
  <c r="AA2940" i="1" s="1"/>
  <c r="S2936" i="1"/>
  <c r="AA2936" i="1" s="1"/>
  <c r="S2932" i="1"/>
  <c r="AA2932" i="1" s="1"/>
  <c r="S2928" i="1"/>
  <c r="AA2928" i="1" s="1"/>
  <c r="S2924" i="1"/>
  <c r="AA2924" i="1" s="1"/>
  <c r="S2916" i="1"/>
  <c r="AA2916" i="1" s="1"/>
  <c r="S2912" i="1"/>
  <c r="AA2912" i="1" s="1"/>
  <c r="S2908" i="1"/>
  <c r="AA2908" i="1" s="1"/>
  <c r="S2904" i="1"/>
  <c r="AA2904" i="1" s="1"/>
  <c r="S2900" i="1"/>
  <c r="AA2900" i="1" s="1"/>
  <c r="S2896" i="1"/>
  <c r="AA2896" i="1" s="1"/>
  <c r="S2892" i="1"/>
  <c r="AA2892" i="1" s="1"/>
  <c r="S2888" i="1"/>
  <c r="AA2888" i="1" s="1"/>
  <c r="S2884" i="1"/>
  <c r="AA2884" i="1" s="1"/>
  <c r="S2880" i="1"/>
  <c r="AA2880" i="1" s="1"/>
  <c r="S2876" i="1"/>
  <c r="AA2876" i="1" s="1"/>
  <c r="S2872" i="1"/>
  <c r="AA2872" i="1" s="1"/>
  <c r="S2868" i="1"/>
  <c r="AA2868" i="1" s="1"/>
  <c r="S2864" i="1"/>
  <c r="AA2864" i="1" s="1"/>
  <c r="S2856" i="1"/>
  <c r="AA2856" i="1" s="1"/>
  <c r="S2852" i="1"/>
  <c r="AA2852" i="1" s="1"/>
  <c r="S2848" i="1"/>
  <c r="AA2848" i="1" s="1"/>
  <c r="S2844" i="1"/>
  <c r="AA2844" i="1" s="1"/>
  <c r="S2840" i="1"/>
  <c r="AA2840" i="1" s="1"/>
  <c r="S2836" i="1"/>
  <c r="AA2836" i="1" s="1"/>
  <c r="S2832" i="1"/>
  <c r="AA2832" i="1" s="1"/>
  <c r="S2824" i="1"/>
  <c r="AA2824" i="1" s="1"/>
  <c r="S2820" i="1"/>
  <c r="AA2820" i="1" s="1"/>
  <c r="S2816" i="1"/>
  <c r="AA2816" i="1" s="1"/>
  <c r="S2812" i="1"/>
  <c r="AA2812" i="1" s="1"/>
  <c r="S2808" i="1"/>
  <c r="AA2808" i="1" s="1"/>
  <c r="S2804" i="1"/>
  <c r="AA2804" i="1" s="1"/>
  <c r="S2800" i="1"/>
  <c r="AA2800" i="1" s="1"/>
  <c r="S2796" i="1"/>
  <c r="AA2796" i="1" s="1"/>
  <c r="S2792" i="1"/>
  <c r="AA2792" i="1" s="1"/>
  <c r="S2788" i="1"/>
  <c r="AA2788" i="1" s="1"/>
  <c r="S2784" i="1"/>
  <c r="AA2784" i="1" s="1"/>
  <c r="S2780" i="1"/>
  <c r="AA2780" i="1" s="1"/>
  <c r="S2776" i="1"/>
  <c r="AA2776" i="1" s="1"/>
  <c r="S2772" i="1"/>
  <c r="AA2772" i="1" s="1"/>
  <c r="S2768" i="1"/>
  <c r="AA2768" i="1" s="1"/>
  <c r="S2760" i="1"/>
  <c r="AA2760" i="1" s="1"/>
  <c r="S2756" i="1"/>
  <c r="AA2756" i="1" s="1"/>
  <c r="S2752" i="1"/>
  <c r="AA2752" i="1" s="1"/>
  <c r="S2748" i="1"/>
  <c r="AA2748" i="1" s="1"/>
  <c r="S2744" i="1"/>
  <c r="AA2744" i="1" s="1"/>
  <c r="S2740" i="1"/>
  <c r="AA2740" i="1" s="1"/>
  <c r="S2736" i="1"/>
  <c r="AA2736" i="1" s="1"/>
  <c r="S2732" i="1"/>
  <c r="AA2732" i="1" s="1"/>
  <c r="S2728" i="1"/>
  <c r="AA2728" i="1" s="1"/>
  <c r="S2724" i="1"/>
  <c r="AA2724" i="1" s="1"/>
  <c r="S2720" i="1"/>
  <c r="AA2720" i="1" s="1"/>
  <c r="S2716" i="1"/>
  <c r="AA2716" i="1" s="1"/>
  <c r="S2712" i="1"/>
  <c r="AA2712" i="1" s="1"/>
  <c r="S2708" i="1"/>
  <c r="AA2708" i="1" s="1"/>
  <c r="S2704" i="1"/>
  <c r="AA2704" i="1" s="1"/>
  <c r="S2700" i="1"/>
  <c r="AA2700" i="1" s="1"/>
  <c r="S2692" i="1"/>
  <c r="AA2692" i="1" s="1"/>
  <c r="S2688" i="1"/>
  <c r="AA2688" i="1" s="1"/>
  <c r="S2684" i="1"/>
  <c r="AA2684" i="1" s="1"/>
  <c r="S2680" i="1"/>
  <c r="AA2680" i="1" s="1"/>
  <c r="S2676" i="1"/>
  <c r="AA2676" i="1" s="1"/>
  <c r="S2672" i="1"/>
  <c r="AA2672" i="1" s="1"/>
  <c r="S2668" i="1"/>
  <c r="AA2668" i="1" s="1"/>
  <c r="S2664" i="1"/>
  <c r="AA2664" i="1" s="1"/>
  <c r="S2660" i="1"/>
  <c r="AA2660" i="1" s="1"/>
  <c r="S2656" i="1"/>
  <c r="AA2656" i="1" s="1"/>
  <c r="S2648" i="1"/>
  <c r="AA2648" i="1" s="1"/>
  <c r="S2644" i="1"/>
  <c r="AA2644" i="1" s="1"/>
  <c r="S2640" i="1"/>
  <c r="AA2640" i="1" s="1"/>
  <c r="S2636" i="1"/>
  <c r="AA2636" i="1" s="1"/>
  <c r="S2632" i="1"/>
  <c r="AA2632" i="1" s="1"/>
  <c r="S2628" i="1"/>
  <c r="AA2628" i="1" s="1"/>
  <c r="S2624" i="1"/>
  <c r="AA2624" i="1" s="1"/>
  <c r="S2616" i="1"/>
  <c r="AA2616" i="1" s="1"/>
  <c r="S2612" i="1"/>
  <c r="AA2612" i="1" s="1"/>
  <c r="S2608" i="1"/>
  <c r="AA2608" i="1" s="1"/>
  <c r="S2604" i="1"/>
  <c r="AA2604" i="1" s="1"/>
  <c r="S2600" i="1"/>
  <c r="AA2600" i="1" s="1"/>
  <c r="S2596" i="1"/>
  <c r="AA2596" i="1" s="1"/>
  <c r="S2592" i="1"/>
  <c r="AA2592" i="1" s="1"/>
  <c r="S2588" i="1"/>
  <c r="AA2588" i="1" s="1"/>
  <c r="S2580" i="1"/>
  <c r="AA2580" i="1" s="1"/>
  <c r="S2576" i="1"/>
  <c r="AA2576" i="1" s="1"/>
  <c r="S2572" i="1"/>
  <c r="AA2572" i="1" s="1"/>
  <c r="S2568" i="1"/>
  <c r="AA2568" i="1" s="1"/>
  <c r="S2564" i="1"/>
  <c r="AA2564" i="1" s="1"/>
  <c r="S2560" i="1"/>
  <c r="AA2560" i="1" s="1"/>
  <c r="S2556" i="1"/>
  <c r="AA2556" i="1" s="1"/>
  <c r="S2548" i="1"/>
  <c r="AA2548" i="1" s="1"/>
  <c r="S2544" i="1"/>
  <c r="AA2544" i="1" s="1"/>
  <c r="S2540" i="1"/>
  <c r="AA2540" i="1" s="1"/>
  <c r="S2536" i="1"/>
  <c r="AA2536" i="1" s="1"/>
  <c r="S2532" i="1"/>
  <c r="AA2532" i="1" s="1"/>
  <c r="S2528" i="1"/>
  <c r="AA2528" i="1" s="1"/>
  <c r="S2524" i="1"/>
  <c r="AA2524" i="1" s="1"/>
  <c r="S2520" i="1"/>
  <c r="AA2520" i="1" s="1"/>
  <c r="S2516" i="1"/>
  <c r="AA2516" i="1" s="1"/>
  <c r="S2512" i="1"/>
  <c r="AA2512" i="1" s="1"/>
  <c r="S2504" i="1"/>
  <c r="AA2504" i="1" s="1"/>
  <c r="S2500" i="1"/>
  <c r="AA2500" i="1" s="1"/>
  <c r="S2496" i="1"/>
  <c r="AA2496" i="1" s="1"/>
  <c r="S2492" i="1"/>
  <c r="AA2492" i="1" s="1"/>
  <c r="S2488" i="1"/>
  <c r="AA2488" i="1" s="1"/>
  <c r="S2484" i="1"/>
  <c r="AA2484" i="1" s="1"/>
  <c r="S2480" i="1"/>
  <c r="AA2480" i="1" s="1"/>
  <c r="S2476" i="1"/>
  <c r="AA2476" i="1" s="1"/>
  <c r="S2472" i="1"/>
  <c r="AA2472" i="1" s="1"/>
  <c r="S2468" i="1"/>
  <c r="AA2468" i="1" s="1"/>
  <c r="S2464" i="1"/>
  <c r="AA2464" i="1" s="1"/>
  <c r="S2460" i="1"/>
  <c r="AA2460" i="1" s="1"/>
  <c r="S2456" i="1"/>
  <c r="AA2456" i="1" s="1"/>
  <c r="S2452" i="1"/>
  <c r="AA2452" i="1" s="1"/>
  <c r="S2448" i="1"/>
  <c r="AA2448" i="1" s="1"/>
  <c r="S2444" i="1"/>
  <c r="AA2444" i="1" s="1"/>
  <c r="S2440" i="1"/>
  <c r="AA2440" i="1" s="1"/>
  <c r="S2432" i="1"/>
  <c r="AA2432" i="1" s="1"/>
  <c r="S2428" i="1"/>
  <c r="AA2428" i="1" s="1"/>
  <c r="S2424" i="1"/>
  <c r="AA2424" i="1" s="1"/>
  <c r="S2420" i="1"/>
  <c r="AA2420" i="1" s="1"/>
  <c r="S2416" i="1"/>
  <c r="AA2416" i="1" s="1"/>
  <c r="S2412" i="1"/>
  <c r="AA2412" i="1" s="1"/>
  <c r="S2408" i="1"/>
  <c r="AA2408" i="1" s="1"/>
  <c r="S2404" i="1"/>
  <c r="AA2404" i="1" s="1"/>
  <c r="S2400" i="1"/>
  <c r="AA2400" i="1" s="1"/>
  <c r="S2396" i="1"/>
  <c r="AA2396" i="1" s="1"/>
  <c r="S2392" i="1"/>
  <c r="AA2392" i="1" s="1"/>
  <c r="S2388" i="1"/>
  <c r="AA2388" i="1" s="1"/>
  <c r="S2384" i="1"/>
  <c r="AA2384" i="1" s="1"/>
  <c r="S2380" i="1"/>
  <c r="AA2380" i="1" s="1"/>
  <c r="S2376" i="1"/>
  <c r="AA2376" i="1" s="1"/>
  <c r="S2372" i="1"/>
  <c r="AA2372" i="1" s="1"/>
  <c r="S2368" i="1"/>
  <c r="AA2368" i="1" s="1"/>
  <c r="S2364" i="1"/>
  <c r="AA2364" i="1" s="1"/>
  <c r="S2360" i="1"/>
  <c r="AA2360" i="1" s="1"/>
  <c r="S2352" i="1"/>
  <c r="AA2352" i="1" s="1"/>
  <c r="S2348" i="1"/>
  <c r="AA2348" i="1" s="1"/>
  <c r="S2344" i="1"/>
  <c r="AA2344" i="1" s="1"/>
  <c r="S2340" i="1"/>
  <c r="AA2340" i="1" s="1"/>
  <c r="S2332" i="1"/>
  <c r="AA2332" i="1" s="1"/>
  <c r="S2328" i="1"/>
  <c r="AA2328" i="1" s="1"/>
  <c r="S2324" i="1"/>
  <c r="AA2324" i="1" s="1"/>
  <c r="S2320" i="1"/>
  <c r="AA2320" i="1" s="1"/>
  <c r="S2316" i="1"/>
  <c r="AA2316" i="1" s="1"/>
  <c r="S2312" i="1"/>
  <c r="AA2312" i="1" s="1"/>
  <c r="S2304" i="1"/>
  <c r="AA2304" i="1" s="1"/>
  <c r="S2300" i="1"/>
  <c r="AA2300" i="1" s="1"/>
  <c r="S2296" i="1"/>
  <c r="AA2296" i="1" s="1"/>
  <c r="S2292" i="1"/>
  <c r="AA2292" i="1" s="1"/>
  <c r="S2284" i="1"/>
  <c r="AA2284" i="1" s="1"/>
  <c r="S2280" i="1"/>
  <c r="AA2280" i="1" s="1"/>
  <c r="S2276" i="1"/>
  <c r="AA2276" i="1" s="1"/>
  <c r="S2272" i="1"/>
  <c r="AA2272" i="1" s="1"/>
  <c r="S2268" i="1"/>
  <c r="AA2268" i="1" s="1"/>
  <c r="S2264" i="1"/>
  <c r="AA2264" i="1" s="1"/>
  <c r="S2260" i="1"/>
  <c r="AA2260" i="1" s="1"/>
  <c r="S2256" i="1"/>
  <c r="AA2256" i="1" s="1"/>
  <c r="S2252" i="1"/>
  <c r="AA2252" i="1" s="1"/>
  <c r="S2248" i="1"/>
  <c r="AA2248" i="1" s="1"/>
  <c r="S2244" i="1"/>
  <c r="AA2244" i="1" s="1"/>
  <c r="S2240" i="1"/>
  <c r="AA2240" i="1" s="1"/>
  <c r="S2236" i="1"/>
  <c r="AA2236" i="1" s="1"/>
  <c r="S2232" i="1"/>
  <c r="AA2232" i="1" s="1"/>
  <c r="S2224" i="1"/>
  <c r="AA2224" i="1" s="1"/>
  <c r="S2220" i="1"/>
  <c r="AA2220" i="1" s="1"/>
  <c r="S2216" i="1"/>
  <c r="AA2216" i="1" s="1"/>
  <c r="S2212" i="1"/>
  <c r="AA2212" i="1" s="1"/>
  <c r="S2204" i="1"/>
  <c r="AA2204" i="1" s="1"/>
  <c r="S2200" i="1"/>
  <c r="AA2200" i="1" s="1"/>
  <c r="S2196" i="1"/>
  <c r="AA2196" i="1" s="1"/>
  <c r="S2192" i="1"/>
  <c r="AA2192" i="1" s="1"/>
  <c r="S2188" i="1"/>
  <c r="AA2188" i="1" s="1"/>
  <c r="S2184" i="1"/>
  <c r="AA2184" i="1" s="1"/>
  <c r="S2180" i="1"/>
  <c r="AA2180" i="1" s="1"/>
  <c r="S2172" i="1"/>
  <c r="AA2172" i="1" s="1"/>
  <c r="S2168" i="1"/>
  <c r="AA2168" i="1" s="1"/>
  <c r="S2164" i="1"/>
  <c r="AA2164" i="1" s="1"/>
  <c r="S2160" i="1"/>
  <c r="AA2160" i="1" s="1"/>
  <c r="S2156" i="1"/>
  <c r="AA2156" i="1" s="1"/>
  <c r="S2152" i="1"/>
  <c r="AA2152" i="1" s="1"/>
  <c r="S2148" i="1"/>
  <c r="AA2148" i="1" s="1"/>
  <c r="S2144" i="1"/>
  <c r="AA2144" i="1" s="1"/>
  <c r="S2140" i="1"/>
  <c r="AA2140" i="1" s="1"/>
  <c r="S2136" i="1"/>
  <c r="AA2136" i="1" s="1"/>
  <c r="S2132" i="1"/>
  <c r="AA2132" i="1" s="1"/>
  <c r="S2124" i="1"/>
  <c r="AA2124" i="1" s="1"/>
  <c r="S2120" i="1"/>
  <c r="AA2120" i="1" s="1"/>
  <c r="S2112" i="1"/>
  <c r="AA2112" i="1" s="1"/>
  <c r="S2108" i="1"/>
  <c r="AA2108" i="1" s="1"/>
  <c r="S2104" i="1"/>
  <c r="AA2104" i="1" s="1"/>
  <c r="S2100" i="1"/>
  <c r="AA2100" i="1" s="1"/>
  <c r="S2096" i="1"/>
  <c r="AA2096" i="1" s="1"/>
  <c r="S2092" i="1"/>
  <c r="AA2092" i="1" s="1"/>
  <c r="S2088" i="1"/>
  <c r="AA2088" i="1" s="1"/>
  <c r="S2084" i="1"/>
  <c r="AA2084" i="1" s="1"/>
  <c r="S2080" i="1"/>
  <c r="AA2080" i="1" s="1"/>
  <c r="S2076" i="1"/>
  <c r="AA2076" i="1" s="1"/>
  <c r="S2072" i="1"/>
  <c r="AA2072" i="1" s="1"/>
  <c r="S2068" i="1"/>
  <c r="AA2068" i="1" s="1"/>
  <c r="S2064" i="1"/>
  <c r="AA2064" i="1" s="1"/>
  <c r="S2060" i="1"/>
  <c r="AA2060" i="1" s="1"/>
  <c r="S2056" i="1"/>
  <c r="AA2056" i="1" s="1"/>
  <c r="S2052" i="1"/>
  <c r="AA2052" i="1" s="1"/>
  <c r="S2048" i="1"/>
  <c r="AA2048" i="1" s="1"/>
  <c r="S2044" i="1"/>
  <c r="AA2044" i="1" s="1"/>
  <c r="S2040" i="1"/>
  <c r="AA2040" i="1" s="1"/>
  <c r="S2036" i="1"/>
  <c r="AA2036" i="1" s="1"/>
  <c r="S2032" i="1"/>
  <c r="AA2032" i="1" s="1"/>
  <c r="S2028" i="1"/>
  <c r="AA2028" i="1" s="1"/>
  <c r="S2024" i="1"/>
  <c r="AA2024" i="1" s="1"/>
  <c r="S2020" i="1"/>
  <c r="AA2020" i="1" s="1"/>
  <c r="S2016" i="1"/>
  <c r="AA2016" i="1" s="1"/>
  <c r="S2012" i="1"/>
  <c r="AA2012" i="1" s="1"/>
  <c r="S2008" i="1"/>
  <c r="AA2008" i="1" s="1"/>
  <c r="S2004" i="1"/>
  <c r="AA2004" i="1" s="1"/>
  <c r="S2000" i="1"/>
  <c r="AA2000" i="1" s="1"/>
  <c r="S1996" i="1"/>
  <c r="AA1996" i="1" s="1"/>
  <c r="S1992" i="1"/>
  <c r="AA1992" i="1" s="1"/>
  <c r="S1988" i="1"/>
  <c r="AA1988" i="1" s="1"/>
  <c r="S1984" i="1"/>
  <c r="AA1984" i="1" s="1"/>
  <c r="S1980" i="1"/>
  <c r="AA1980" i="1" s="1"/>
  <c r="S1976" i="1"/>
  <c r="AA1976" i="1" s="1"/>
  <c r="S1972" i="1"/>
  <c r="AA1972" i="1" s="1"/>
  <c r="S1968" i="1"/>
  <c r="AA1968" i="1" s="1"/>
  <c r="S1964" i="1"/>
  <c r="AA1964" i="1" s="1"/>
  <c r="S1960" i="1"/>
  <c r="AA1960" i="1" s="1"/>
  <c r="S1956" i="1"/>
  <c r="AA1956" i="1" s="1"/>
  <c r="S1952" i="1"/>
  <c r="AA1952" i="1" s="1"/>
  <c r="S1948" i="1"/>
  <c r="AA1948" i="1" s="1"/>
  <c r="S1944" i="1"/>
  <c r="AA1944" i="1" s="1"/>
  <c r="S1940" i="1"/>
  <c r="AA1940" i="1" s="1"/>
  <c r="S1932" i="1"/>
  <c r="AA1932" i="1" s="1"/>
  <c r="S1928" i="1"/>
  <c r="AA1928" i="1" s="1"/>
  <c r="S1924" i="1"/>
  <c r="AA1924" i="1" s="1"/>
  <c r="S1920" i="1"/>
  <c r="AA1920" i="1" s="1"/>
  <c r="S1916" i="1"/>
  <c r="AA1916" i="1" s="1"/>
  <c r="S1912" i="1"/>
  <c r="AA1912" i="1" s="1"/>
  <c r="S1904" i="1"/>
  <c r="AA1904" i="1" s="1"/>
  <c r="S1900" i="1"/>
  <c r="AA1900" i="1" s="1"/>
  <c r="S1896" i="1"/>
  <c r="AA1896" i="1" s="1"/>
  <c r="S1892" i="1"/>
  <c r="AA1892" i="1" s="1"/>
  <c r="S1888" i="1"/>
  <c r="AA1888" i="1" s="1"/>
  <c r="S1884" i="1"/>
  <c r="AA1884" i="1" s="1"/>
  <c r="S1880" i="1"/>
  <c r="AA1880" i="1" s="1"/>
  <c r="S1876" i="1"/>
  <c r="AA1876" i="1" s="1"/>
  <c r="S1868" i="1"/>
  <c r="AA1868" i="1" s="1"/>
  <c r="S1864" i="1"/>
  <c r="AA1864" i="1" s="1"/>
  <c r="S1860" i="1"/>
  <c r="AA1860" i="1" s="1"/>
  <c r="S1856" i="1"/>
  <c r="AA1856" i="1" s="1"/>
  <c r="S1852" i="1"/>
  <c r="AA1852" i="1" s="1"/>
  <c r="S1848" i="1"/>
  <c r="AA1848" i="1" s="1"/>
  <c r="S1844" i="1"/>
  <c r="AA1844" i="1" s="1"/>
  <c r="S1836" i="1"/>
  <c r="AA1836" i="1" s="1"/>
  <c r="S1832" i="1"/>
  <c r="AA1832" i="1" s="1"/>
  <c r="S1828" i="1"/>
  <c r="AA1828" i="1" s="1"/>
  <c r="S1824" i="1"/>
  <c r="AA1824" i="1" s="1"/>
  <c r="S1820" i="1"/>
  <c r="AA1820" i="1" s="1"/>
  <c r="S1816" i="1"/>
  <c r="AA1816" i="1" s="1"/>
  <c r="S1812" i="1"/>
  <c r="AA1812" i="1" s="1"/>
  <c r="S1808" i="1"/>
  <c r="AA1808" i="1" s="1"/>
  <c r="S1804" i="1"/>
  <c r="AA1804" i="1" s="1"/>
  <c r="S1800" i="1"/>
  <c r="AA1800" i="1" s="1"/>
  <c r="S1796" i="1"/>
  <c r="AA1796" i="1" s="1"/>
  <c r="S1792" i="1"/>
  <c r="AA1792" i="1" s="1"/>
  <c r="S1788" i="1"/>
  <c r="AA1788" i="1" s="1"/>
  <c r="S1784" i="1"/>
  <c r="AA1784" i="1" s="1"/>
  <c r="S1780" i="1"/>
  <c r="AA1780" i="1" s="1"/>
  <c r="S1776" i="1"/>
  <c r="AA1776" i="1" s="1"/>
  <c r="S1772" i="1"/>
  <c r="AA1772" i="1" s="1"/>
  <c r="S1764" i="1"/>
  <c r="AA1764" i="1" s="1"/>
  <c r="S1760" i="1"/>
  <c r="AA1760" i="1" s="1"/>
  <c r="S1756" i="1"/>
  <c r="AA1756" i="1" s="1"/>
  <c r="S1752" i="1"/>
  <c r="AA1752" i="1" s="1"/>
  <c r="S1748" i="1"/>
  <c r="AA1748" i="1" s="1"/>
  <c r="S1744" i="1"/>
  <c r="AA1744" i="1" s="1"/>
  <c r="S1740" i="1"/>
  <c r="AA1740" i="1" s="1"/>
  <c r="S1736" i="1"/>
  <c r="AA1736" i="1" s="1"/>
  <c r="S1728" i="1"/>
  <c r="AA1728" i="1" s="1"/>
  <c r="S1724" i="1"/>
  <c r="AA1724" i="1" s="1"/>
  <c r="S1720" i="1"/>
  <c r="AA1720" i="1" s="1"/>
  <c r="S1716" i="1"/>
  <c r="AA1716" i="1" s="1"/>
  <c r="S1712" i="1"/>
  <c r="AA1712" i="1" s="1"/>
  <c r="S1708" i="1"/>
  <c r="AA1708" i="1" s="1"/>
  <c r="S1704" i="1"/>
  <c r="AA1704" i="1" s="1"/>
  <c r="S1700" i="1"/>
  <c r="AA1700" i="1" s="1"/>
  <c r="S1696" i="1"/>
  <c r="AA1696" i="1" s="1"/>
  <c r="S1692" i="1"/>
  <c r="AA1692" i="1" s="1"/>
  <c r="S1688" i="1"/>
  <c r="AA1688" i="1" s="1"/>
  <c r="S1680" i="1"/>
  <c r="AA1680" i="1" s="1"/>
  <c r="S1676" i="1"/>
  <c r="AA1676" i="1" s="1"/>
  <c r="S1672" i="1"/>
  <c r="AA1672" i="1" s="1"/>
  <c r="S1668" i="1"/>
  <c r="AA1668" i="1" s="1"/>
  <c r="S1664" i="1"/>
  <c r="AA1664" i="1" s="1"/>
  <c r="S1660" i="1"/>
  <c r="AA1660" i="1" s="1"/>
  <c r="S1656" i="1"/>
  <c r="AA1656" i="1" s="1"/>
  <c r="S1652" i="1"/>
  <c r="AA1652" i="1" s="1"/>
  <c r="S1648" i="1"/>
  <c r="AA1648" i="1" s="1"/>
  <c r="S1644" i="1"/>
  <c r="AA1644" i="1" s="1"/>
  <c r="S1640" i="1"/>
  <c r="AA1640" i="1" s="1"/>
  <c r="S1636" i="1"/>
  <c r="AA1636" i="1" s="1"/>
  <c r="S1632" i="1"/>
  <c r="AA1632" i="1" s="1"/>
  <c r="S1628" i="1"/>
  <c r="AA1628" i="1" s="1"/>
  <c r="S1624" i="1"/>
  <c r="AA1624" i="1" s="1"/>
  <c r="S1620" i="1"/>
  <c r="AA1620" i="1" s="1"/>
  <c r="S1616" i="1"/>
  <c r="AA1616" i="1" s="1"/>
  <c r="S1612" i="1"/>
  <c r="AA1612" i="1" s="1"/>
  <c r="S1608" i="1"/>
  <c r="AA1608" i="1" s="1"/>
  <c r="S1600" i="1"/>
  <c r="AA1600" i="1" s="1"/>
  <c r="S1596" i="1"/>
  <c r="AA1596" i="1" s="1"/>
  <c r="S1592" i="1"/>
  <c r="AA1592" i="1" s="1"/>
  <c r="S1588" i="1"/>
  <c r="AA1588" i="1" s="1"/>
  <c r="S1584" i="1"/>
  <c r="AA1584" i="1" s="1"/>
  <c r="S1580" i="1"/>
  <c r="AA1580" i="1" s="1"/>
  <c r="S1576" i="1"/>
  <c r="AA1576" i="1" s="1"/>
  <c r="S1572" i="1"/>
  <c r="AA1572" i="1" s="1"/>
  <c r="S1568" i="1"/>
  <c r="AA1568" i="1" s="1"/>
  <c r="S1564" i="1"/>
  <c r="AA1564" i="1" s="1"/>
  <c r="S1560" i="1"/>
  <c r="AA1560" i="1" s="1"/>
  <c r="S1556" i="1"/>
  <c r="AA1556" i="1" s="1"/>
  <c r="S1552" i="1"/>
  <c r="AA1552" i="1" s="1"/>
  <c r="S1548" i="1"/>
  <c r="AA1548" i="1" s="1"/>
  <c r="S1544" i="1"/>
  <c r="AA1544" i="1" s="1"/>
  <c r="S1540" i="1"/>
  <c r="AA1540" i="1" s="1"/>
  <c r="S1536" i="1"/>
  <c r="AA1536" i="1" s="1"/>
  <c r="S1532" i="1"/>
  <c r="AA1532" i="1" s="1"/>
  <c r="S1528" i="1"/>
  <c r="AA1528" i="1" s="1"/>
  <c r="S1524" i="1"/>
  <c r="AA1524" i="1" s="1"/>
  <c r="S1520" i="1"/>
  <c r="AA1520" i="1" s="1"/>
  <c r="S1516" i="1"/>
  <c r="AA1516" i="1" s="1"/>
  <c r="S1512" i="1"/>
  <c r="AA1512" i="1" s="1"/>
  <c r="S1504" i="1"/>
  <c r="AA1504" i="1" s="1"/>
  <c r="S1500" i="1"/>
  <c r="AA1500" i="1" s="1"/>
  <c r="S1496" i="1"/>
  <c r="AA1496" i="1" s="1"/>
  <c r="S1492" i="1"/>
  <c r="AA1492" i="1" s="1"/>
  <c r="S1488" i="1"/>
  <c r="AA1488" i="1" s="1"/>
  <c r="S1484" i="1"/>
  <c r="AA1484" i="1" s="1"/>
  <c r="S1480" i="1"/>
  <c r="AA1480" i="1" s="1"/>
  <c r="S1476" i="1"/>
  <c r="AA1476" i="1" s="1"/>
  <c r="S1472" i="1"/>
  <c r="AA1472" i="1" s="1"/>
  <c r="S1468" i="1"/>
  <c r="AA1468" i="1" s="1"/>
  <c r="S1464" i="1"/>
  <c r="AA1464" i="1" s="1"/>
  <c r="S1460" i="1"/>
  <c r="AA1460" i="1" s="1"/>
  <c r="S1456" i="1"/>
  <c r="AA1456" i="1" s="1"/>
  <c r="S1452" i="1"/>
  <c r="AA1452" i="1" s="1"/>
  <c r="S1448" i="1"/>
  <c r="AA1448" i="1" s="1"/>
  <c r="S1444" i="1"/>
  <c r="AA1444" i="1" s="1"/>
  <c r="S1440" i="1"/>
  <c r="AA1440" i="1" s="1"/>
  <c r="S1436" i="1"/>
  <c r="AA1436" i="1" s="1"/>
  <c r="S1432" i="1"/>
  <c r="AA1432" i="1" s="1"/>
  <c r="S1428" i="1"/>
  <c r="AA1428" i="1" s="1"/>
  <c r="S1424" i="1"/>
  <c r="AA1424" i="1" s="1"/>
  <c r="S1420" i="1"/>
  <c r="AA1420" i="1" s="1"/>
  <c r="S1416" i="1"/>
  <c r="AA1416" i="1" s="1"/>
  <c r="S1412" i="1"/>
  <c r="AA1412" i="1" s="1"/>
  <c r="S1408" i="1"/>
  <c r="AA1408" i="1" s="1"/>
  <c r="S1404" i="1"/>
  <c r="AA1404" i="1" s="1"/>
  <c r="S1400" i="1"/>
  <c r="AA1400" i="1" s="1"/>
  <c r="S1396" i="1"/>
  <c r="AA1396" i="1" s="1"/>
  <c r="S1392" i="1"/>
  <c r="AA1392" i="1" s="1"/>
  <c r="S1388" i="1"/>
  <c r="AA1388" i="1" s="1"/>
  <c r="S1384" i="1"/>
  <c r="AA1384" i="1" s="1"/>
  <c r="S1376" i="1"/>
  <c r="AA1376" i="1" s="1"/>
  <c r="S1372" i="1"/>
  <c r="AA1372" i="1" s="1"/>
  <c r="S1368" i="1"/>
  <c r="AA1368" i="1" s="1"/>
  <c r="S1364" i="1"/>
  <c r="AA1364" i="1" s="1"/>
  <c r="S1360" i="1"/>
  <c r="AA1360" i="1" s="1"/>
  <c r="S1356" i="1"/>
  <c r="AA1356" i="1" s="1"/>
  <c r="S1352" i="1"/>
  <c r="AA1352" i="1" s="1"/>
  <c r="S1348" i="1"/>
  <c r="AA1348" i="1" s="1"/>
  <c r="S1344" i="1"/>
  <c r="AA1344" i="1" s="1"/>
  <c r="S1340" i="1"/>
  <c r="AA1340" i="1" s="1"/>
  <c r="S1336" i="1"/>
  <c r="AA1336" i="1" s="1"/>
  <c r="S1332" i="1"/>
  <c r="AA1332" i="1" s="1"/>
  <c r="S1328" i="1"/>
  <c r="AA1328" i="1" s="1"/>
  <c r="S1324" i="1"/>
  <c r="AA1324" i="1" s="1"/>
  <c r="S1320" i="1"/>
  <c r="AA1320" i="1" s="1"/>
  <c r="S1316" i="1"/>
  <c r="AA1316" i="1" s="1"/>
  <c r="S1312" i="1"/>
  <c r="AA1312" i="1" s="1"/>
  <c r="S1308" i="1"/>
  <c r="AA1308" i="1" s="1"/>
  <c r="S1304" i="1"/>
  <c r="AA1304" i="1" s="1"/>
  <c r="S1300" i="1"/>
  <c r="AA1300" i="1" s="1"/>
  <c r="S1296" i="1"/>
  <c r="AA1296" i="1" s="1"/>
  <c r="S1292" i="1"/>
  <c r="AA1292" i="1" s="1"/>
  <c r="S1288" i="1"/>
  <c r="AA1288" i="1" s="1"/>
  <c r="S1284" i="1"/>
  <c r="AA1284" i="1" s="1"/>
  <c r="S1280" i="1"/>
  <c r="AA1280" i="1" s="1"/>
  <c r="S1272" i="1"/>
  <c r="AA1272" i="1" s="1"/>
  <c r="S1268" i="1"/>
  <c r="AA1268" i="1" s="1"/>
  <c r="S1264" i="1"/>
  <c r="AA1264" i="1" s="1"/>
  <c r="S1260" i="1"/>
  <c r="AA1260" i="1" s="1"/>
  <c r="S1256" i="1"/>
  <c r="AA1256" i="1" s="1"/>
  <c r="S1252" i="1"/>
  <c r="AA1252" i="1" s="1"/>
  <c r="S1248" i="1"/>
  <c r="AA1248" i="1" s="1"/>
  <c r="S1244" i="1"/>
  <c r="AA1244" i="1" s="1"/>
  <c r="S1240" i="1"/>
  <c r="AA1240" i="1" s="1"/>
  <c r="S1236" i="1"/>
  <c r="AA1236" i="1" s="1"/>
  <c r="S1232" i="1"/>
  <c r="AA1232" i="1" s="1"/>
  <c r="S1228" i="1"/>
  <c r="AA1228" i="1" s="1"/>
  <c r="S3995" i="1"/>
  <c r="AA3995" i="1" s="1"/>
  <c r="S3991" i="1"/>
  <c r="AA3991" i="1" s="1"/>
  <c r="S3987" i="1"/>
  <c r="AA3987" i="1" s="1"/>
  <c r="S3979" i="1"/>
  <c r="AA3979" i="1" s="1"/>
  <c r="S3975" i="1"/>
  <c r="AA3975" i="1" s="1"/>
  <c r="S3971" i="1"/>
  <c r="AA3971" i="1" s="1"/>
  <c r="S3963" i="1"/>
  <c r="AA3963" i="1" s="1"/>
  <c r="S3959" i="1"/>
  <c r="AA3959" i="1" s="1"/>
  <c r="S3955" i="1"/>
  <c r="AA3955" i="1" s="1"/>
  <c r="S3947" i="1"/>
  <c r="AA3947" i="1" s="1"/>
  <c r="S3943" i="1"/>
  <c r="AA3943" i="1" s="1"/>
  <c r="S3939" i="1"/>
  <c r="AA3939" i="1" s="1"/>
  <c r="S3931" i="1"/>
  <c r="AA3931" i="1" s="1"/>
  <c r="S3927" i="1"/>
  <c r="AA3927" i="1" s="1"/>
  <c r="S3923" i="1"/>
  <c r="AA3923" i="1" s="1"/>
  <c r="S3915" i="1"/>
  <c r="AA3915" i="1" s="1"/>
  <c r="S3911" i="1"/>
  <c r="AA3911" i="1" s="1"/>
  <c r="S3907" i="1"/>
  <c r="AA3907" i="1" s="1"/>
  <c r="S3899" i="1"/>
  <c r="AA3899" i="1" s="1"/>
  <c r="S3895" i="1"/>
  <c r="AA3895" i="1" s="1"/>
  <c r="S3891" i="1"/>
  <c r="AA3891" i="1" s="1"/>
  <c r="S3883" i="1"/>
  <c r="AA3883" i="1" s="1"/>
  <c r="S3879" i="1"/>
  <c r="AA3879" i="1" s="1"/>
  <c r="S3875" i="1"/>
  <c r="AA3875" i="1" s="1"/>
  <c r="S3867" i="1"/>
  <c r="AA3867" i="1" s="1"/>
  <c r="S3863" i="1"/>
  <c r="AA3863" i="1" s="1"/>
  <c r="S3859" i="1"/>
  <c r="AA3859" i="1" s="1"/>
  <c r="S3855" i="1"/>
  <c r="AA3855" i="1" s="1"/>
  <c r="S3847" i="1"/>
  <c r="AA3847" i="1" s="1"/>
  <c r="S3843" i="1"/>
  <c r="AA3843" i="1" s="1"/>
  <c r="S3839" i="1"/>
  <c r="AA3839" i="1" s="1"/>
  <c r="S3835" i="1"/>
  <c r="AA3835" i="1" s="1"/>
  <c r="S3831" i="1"/>
  <c r="AA3831" i="1" s="1"/>
  <c r="S3827" i="1"/>
  <c r="AA3827" i="1" s="1"/>
  <c r="S3819" i="1"/>
  <c r="AA3819" i="1" s="1"/>
  <c r="S3815" i="1"/>
  <c r="AA3815" i="1" s="1"/>
  <c r="S3811" i="1"/>
  <c r="AA3811" i="1" s="1"/>
  <c r="S3807" i="1"/>
  <c r="AA3807" i="1" s="1"/>
  <c r="S3799" i="1"/>
  <c r="AA3799" i="1" s="1"/>
  <c r="S3795" i="1"/>
  <c r="AA3795" i="1" s="1"/>
  <c r="S3791" i="1"/>
  <c r="AA3791" i="1" s="1"/>
  <c r="S3787" i="1"/>
  <c r="AA3787" i="1" s="1"/>
  <c r="S3783" i="1"/>
  <c r="AA3783" i="1" s="1"/>
  <c r="S3779" i="1"/>
  <c r="AA3779" i="1" s="1"/>
  <c r="S3775" i="1"/>
  <c r="AA3775" i="1" s="1"/>
  <c r="S3771" i="1"/>
  <c r="AA3771" i="1" s="1"/>
  <c r="S3767" i="1"/>
  <c r="AA3767" i="1" s="1"/>
  <c r="S3763" i="1"/>
  <c r="AA3763" i="1" s="1"/>
  <c r="S3759" i="1"/>
  <c r="AA3759" i="1" s="1"/>
  <c r="S3751" i="1"/>
  <c r="AA3751" i="1" s="1"/>
  <c r="S3747" i="1"/>
  <c r="AA3747" i="1" s="1"/>
  <c r="S3743" i="1"/>
  <c r="AA3743" i="1" s="1"/>
  <c r="S3739" i="1"/>
  <c r="AA3739" i="1" s="1"/>
  <c r="S3735" i="1"/>
  <c r="AA3735" i="1" s="1"/>
  <c r="S3731" i="1"/>
  <c r="AA3731" i="1" s="1"/>
  <c r="S3727" i="1"/>
  <c r="AA3727" i="1" s="1"/>
  <c r="S3723" i="1"/>
  <c r="AA3723" i="1" s="1"/>
  <c r="S3719" i="1"/>
  <c r="AA3719" i="1" s="1"/>
  <c r="S3715" i="1"/>
  <c r="AA3715" i="1" s="1"/>
  <c r="S3707" i="1"/>
  <c r="AA3707" i="1" s="1"/>
  <c r="S3703" i="1"/>
  <c r="AA3703" i="1" s="1"/>
  <c r="S3699" i="1"/>
  <c r="AA3699" i="1" s="1"/>
  <c r="S3695" i="1"/>
  <c r="AA3695" i="1" s="1"/>
  <c r="S3691" i="1"/>
  <c r="AA3691" i="1" s="1"/>
  <c r="S3687" i="1"/>
  <c r="AA3687" i="1" s="1"/>
  <c r="S3683" i="1"/>
  <c r="AA3683" i="1" s="1"/>
  <c r="S3679" i="1"/>
  <c r="AA3679" i="1" s="1"/>
  <c r="S3675" i="1"/>
  <c r="AA3675" i="1" s="1"/>
  <c r="S3671" i="1"/>
  <c r="AA3671" i="1" s="1"/>
  <c r="S3667" i="1"/>
  <c r="AA3667" i="1" s="1"/>
  <c r="S3659" i="1"/>
  <c r="AA3659" i="1" s="1"/>
  <c r="S3655" i="1"/>
  <c r="AA3655" i="1" s="1"/>
  <c r="S3651" i="1"/>
  <c r="AA3651" i="1" s="1"/>
  <c r="S3647" i="1"/>
  <c r="AA3647" i="1" s="1"/>
  <c r="S3639" i="1"/>
  <c r="AA3639" i="1" s="1"/>
  <c r="S3635" i="1"/>
  <c r="AA3635" i="1" s="1"/>
  <c r="S3631" i="1"/>
  <c r="AA3631" i="1" s="1"/>
  <c r="S3627" i="1"/>
  <c r="AA3627" i="1" s="1"/>
  <c r="S3623" i="1"/>
  <c r="AA3623" i="1" s="1"/>
  <c r="S3619" i="1"/>
  <c r="AA3619" i="1" s="1"/>
  <c r="S3611" i="1"/>
  <c r="AA3611" i="1" s="1"/>
  <c r="S3607" i="1"/>
  <c r="AA3607" i="1" s="1"/>
  <c r="S3603" i="1"/>
  <c r="AA3603" i="1" s="1"/>
  <c r="S3599" i="1"/>
  <c r="AA3599" i="1" s="1"/>
  <c r="S3591" i="1"/>
  <c r="AA3591" i="1" s="1"/>
  <c r="S3587" i="1"/>
  <c r="AA3587" i="1" s="1"/>
  <c r="S3583" i="1"/>
  <c r="AA3583" i="1" s="1"/>
  <c r="S3579" i="1"/>
  <c r="AA3579" i="1" s="1"/>
  <c r="S3575" i="1"/>
  <c r="AA3575" i="1" s="1"/>
  <c r="S3571" i="1"/>
  <c r="AA3571" i="1" s="1"/>
  <c r="S3563" i="1"/>
  <c r="AA3563" i="1" s="1"/>
  <c r="S3559" i="1"/>
  <c r="AA3559" i="1" s="1"/>
  <c r="S3555" i="1"/>
  <c r="AA3555" i="1" s="1"/>
  <c r="S3551" i="1"/>
  <c r="AA3551" i="1" s="1"/>
  <c r="S3543" i="1"/>
  <c r="AA3543" i="1" s="1"/>
  <c r="S3539" i="1"/>
  <c r="AA3539" i="1" s="1"/>
  <c r="S3535" i="1"/>
  <c r="AA3535" i="1" s="1"/>
  <c r="S3531" i="1"/>
  <c r="AA3531" i="1" s="1"/>
  <c r="S3527" i="1"/>
  <c r="AA3527" i="1" s="1"/>
  <c r="S3523" i="1"/>
  <c r="AA3523" i="1" s="1"/>
  <c r="S3519" i="1"/>
  <c r="AA3519" i="1" s="1"/>
  <c r="S3515" i="1"/>
  <c r="AA3515" i="1" s="1"/>
  <c r="S3511" i="1"/>
  <c r="AA3511" i="1" s="1"/>
  <c r="S3507" i="1"/>
  <c r="AA3507" i="1" s="1"/>
  <c r="S3503" i="1"/>
  <c r="AA3503" i="1" s="1"/>
  <c r="S3495" i="1"/>
  <c r="AA3495" i="1" s="1"/>
  <c r="S3491" i="1"/>
  <c r="AA3491" i="1" s="1"/>
  <c r="S3487" i="1"/>
  <c r="AA3487" i="1" s="1"/>
  <c r="S3483" i="1"/>
  <c r="AA3483" i="1" s="1"/>
  <c r="S3479" i="1"/>
  <c r="AA3479" i="1" s="1"/>
  <c r="S3475" i="1"/>
  <c r="AA3475" i="1" s="1"/>
  <c r="S3471" i="1"/>
  <c r="AA3471" i="1" s="1"/>
  <c r="S3467" i="1"/>
  <c r="AA3467" i="1" s="1"/>
  <c r="S3463" i="1"/>
  <c r="AA3463" i="1" s="1"/>
  <c r="S3459" i="1"/>
  <c r="AA3459" i="1" s="1"/>
  <c r="S3451" i="1"/>
  <c r="AA3451" i="1" s="1"/>
  <c r="S3447" i="1"/>
  <c r="AA3447" i="1" s="1"/>
  <c r="S3443" i="1"/>
  <c r="AA3443" i="1" s="1"/>
  <c r="S3439" i="1"/>
  <c r="AA3439" i="1" s="1"/>
  <c r="S3435" i="1"/>
  <c r="AA3435" i="1" s="1"/>
  <c r="S3431" i="1"/>
  <c r="AA3431" i="1" s="1"/>
  <c r="S3427" i="1"/>
  <c r="AA3427" i="1" s="1"/>
  <c r="S3423" i="1"/>
  <c r="AA3423" i="1" s="1"/>
  <c r="S3419" i="1"/>
  <c r="AA3419" i="1" s="1"/>
  <c r="S3415" i="1"/>
  <c r="AA3415" i="1" s="1"/>
  <c r="S3411" i="1"/>
  <c r="AA3411" i="1" s="1"/>
  <c r="S3403" i="1"/>
  <c r="AA3403" i="1" s="1"/>
  <c r="S3399" i="1"/>
  <c r="AA3399" i="1" s="1"/>
  <c r="S3395" i="1"/>
  <c r="AA3395" i="1" s="1"/>
  <c r="S3391" i="1"/>
  <c r="AA3391" i="1" s="1"/>
  <c r="S3383" i="1"/>
  <c r="AA3383" i="1" s="1"/>
  <c r="S3379" i="1"/>
  <c r="AA3379" i="1" s="1"/>
  <c r="S3375" i="1"/>
  <c r="AA3375" i="1" s="1"/>
  <c r="S3371" i="1"/>
  <c r="AA3371" i="1" s="1"/>
  <c r="S3367" i="1"/>
  <c r="AA3367" i="1" s="1"/>
  <c r="S3363" i="1"/>
  <c r="AA3363" i="1" s="1"/>
  <c r="S3355" i="1"/>
  <c r="AA3355" i="1" s="1"/>
  <c r="S3351" i="1"/>
  <c r="AA3351" i="1" s="1"/>
  <c r="S3347" i="1"/>
  <c r="AA3347" i="1" s="1"/>
  <c r="S3343" i="1"/>
  <c r="AA3343" i="1" s="1"/>
  <c r="S3335" i="1"/>
  <c r="AA3335" i="1" s="1"/>
  <c r="S3331" i="1"/>
  <c r="AA3331" i="1" s="1"/>
  <c r="S3327" i="1"/>
  <c r="AA3327" i="1" s="1"/>
  <c r="S3323" i="1"/>
  <c r="AA3323" i="1" s="1"/>
  <c r="S3319" i="1"/>
  <c r="AA3319" i="1" s="1"/>
  <c r="S3315" i="1"/>
  <c r="AA3315" i="1" s="1"/>
  <c r="S3307" i="1"/>
  <c r="AA3307" i="1" s="1"/>
  <c r="S3303" i="1"/>
  <c r="AA3303" i="1" s="1"/>
  <c r="S3299" i="1"/>
  <c r="AA3299" i="1" s="1"/>
  <c r="S3295" i="1"/>
  <c r="AA3295" i="1" s="1"/>
  <c r="S3287" i="1"/>
  <c r="AA3287" i="1" s="1"/>
  <c r="S3283" i="1"/>
  <c r="AA3283" i="1" s="1"/>
  <c r="S3279" i="1"/>
  <c r="AA3279" i="1" s="1"/>
  <c r="S3275" i="1"/>
  <c r="AA3275" i="1" s="1"/>
  <c r="S3271" i="1"/>
  <c r="AA3271" i="1" s="1"/>
  <c r="S3267" i="1"/>
  <c r="AA3267" i="1" s="1"/>
  <c r="S3259" i="1"/>
  <c r="AA3259" i="1" s="1"/>
  <c r="S3255" i="1"/>
  <c r="AA3255" i="1" s="1"/>
  <c r="S3251" i="1"/>
  <c r="AA3251" i="1" s="1"/>
  <c r="S3247" i="1"/>
  <c r="AA3247" i="1" s="1"/>
  <c r="S3243" i="1"/>
  <c r="AA3243" i="1" s="1"/>
  <c r="S3239" i="1"/>
  <c r="AA3239" i="1" s="1"/>
  <c r="S3235" i="1"/>
  <c r="AA3235" i="1" s="1"/>
  <c r="S3231" i="1"/>
  <c r="AA3231" i="1" s="1"/>
  <c r="S3227" i="1"/>
  <c r="AA3227" i="1" s="1"/>
  <c r="S3223" i="1"/>
  <c r="AA3223" i="1" s="1"/>
  <c r="S3219" i="1"/>
  <c r="AA3219" i="1" s="1"/>
  <c r="S3215" i="1"/>
  <c r="AA3215" i="1" s="1"/>
  <c r="S3207" i="1"/>
  <c r="AA3207" i="1" s="1"/>
  <c r="S3203" i="1"/>
  <c r="AA3203" i="1" s="1"/>
  <c r="S3199" i="1"/>
  <c r="AA3199" i="1" s="1"/>
  <c r="S3195" i="1"/>
  <c r="AA3195" i="1" s="1"/>
  <c r="S3191" i="1"/>
  <c r="AA3191" i="1" s="1"/>
  <c r="S3187" i="1"/>
  <c r="AA3187" i="1" s="1"/>
  <c r="S3179" i="1"/>
  <c r="AA3179" i="1" s="1"/>
  <c r="S3175" i="1"/>
  <c r="AA3175" i="1" s="1"/>
  <c r="S3171" i="1"/>
  <c r="AA3171" i="1" s="1"/>
  <c r="S3167" i="1"/>
  <c r="AA3167" i="1" s="1"/>
  <c r="S3159" i="1"/>
  <c r="AA3159" i="1" s="1"/>
  <c r="S3155" i="1"/>
  <c r="AA3155" i="1" s="1"/>
  <c r="S3151" i="1"/>
  <c r="AA3151" i="1" s="1"/>
  <c r="S3147" i="1"/>
  <c r="AA3147" i="1" s="1"/>
  <c r="S3143" i="1"/>
  <c r="AA3143" i="1" s="1"/>
  <c r="S3139" i="1"/>
  <c r="AA3139" i="1" s="1"/>
  <c r="S3131" i="1"/>
  <c r="AA3131" i="1" s="1"/>
  <c r="S3127" i="1"/>
  <c r="AA3127" i="1" s="1"/>
  <c r="S3123" i="1"/>
  <c r="AA3123" i="1" s="1"/>
  <c r="S3119" i="1"/>
  <c r="AA3119" i="1" s="1"/>
  <c r="S3115" i="1"/>
  <c r="AA3115" i="1" s="1"/>
  <c r="S3111" i="1"/>
  <c r="AA3111" i="1" s="1"/>
  <c r="S3107" i="1"/>
  <c r="AA3107" i="1" s="1"/>
  <c r="S3103" i="1"/>
  <c r="AA3103" i="1" s="1"/>
  <c r="S3099" i="1"/>
  <c r="AA3099" i="1" s="1"/>
  <c r="S3095" i="1"/>
  <c r="AA3095" i="1" s="1"/>
  <c r="S3091" i="1"/>
  <c r="AA3091" i="1" s="1"/>
  <c r="S3087" i="1"/>
  <c r="AA3087" i="1" s="1"/>
  <c r="S3079" i="1"/>
  <c r="AA3079" i="1" s="1"/>
  <c r="S3075" i="1"/>
  <c r="AA3075" i="1" s="1"/>
  <c r="S3071" i="1"/>
  <c r="AA3071" i="1" s="1"/>
  <c r="S3067" i="1"/>
  <c r="AA3067" i="1" s="1"/>
  <c r="S3063" i="1"/>
  <c r="AA3063" i="1" s="1"/>
  <c r="S3059" i="1"/>
  <c r="AA3059" i="1" s="1"/>
  <c r="S3051" i="1"/>
  <c r="AA3051" i="1" s="1"/>
  <c r="S3047" i="1"/>
  <c r="AA3047" i="1" s="1"/>
  <c r="S3043" i="1"/>
  <c r="AA3043" i="1" s="1"/>
  <c r="S3039" i="1"/>
  <c r="AA3039" i="1" s="1"/>
  <c r="S3031" i="1"/>
  <c r="AA3031" i="1" s="1"/>
  <c r="S3027" i="1"/>
  <c r="AA3027" i="1" s="1"/>
  <c r="S3023" i="1"/>
  <c r="AA3023" i="1" s="1"/>
  <c r="S3019" i="1"/>
  <c r="AA3019" i="1" s="1"/>
  <c r="S3015" i="1"/>
  <c r="AA3015" i="1" s="1"/>
  <c r="S3011" i="1"/>
  <c r="AA3011" i="1" s="1"/>
  <c r="S3007" i="1"/>
  <c r="AA3007" i="1" s="1"/>
  <c r="S2999" i="1"/>
  <c r="AA2999" i="1" s="1"/>
  <c r="S2995" i="1"/>
  <c r="AA2995" i="1" s="1"/>
  <c r="S2991" i="1"/>
  <c r="AA2991" i="1" s="1"/>
  <c r="S2987" i="1"/>
  <c r="AA2987" i="1" s="1"/>
  <c r="S2983" i="1"/>
  <c r="AA2983" i="1" s="1"/>
  <c r="S2979" i="1"/>
  <c r="AA2979" i="1" s="1"/>
  <c r="S2975" i="1"/>
  <c r="AA2975" i="1" s="1"/>
  <c r="S2971" i="1"/>
  <c r="AA2971" i="1" s="1"/>
  <c r="S2967" i="1"/>
  <c r="AA2967" i="1" s="1"/>
  <c r="S2963" i="1"/>
  <c r="AA2963" i="1" s="1"/>
  <c r="S2959" i="1"/>
  <c r="AA2959" i="1" s="1"/>
  <c r="S2955" i="1"/>
  <c r="AA2955" i="1" s="1"/>
  <c r="S2947" i="1"/>
  <c r="AA2947" i="1" s="1"/>
  <c r="S2943" i="1"/>
  <c r="AA2943" i="1" s="1"/>
  <c r="S2939" i="1"/>
  <c r="AA2939" i="1" s="1"/>
  <c r="S2931" i="1"/>
  <c r="AA2931" i="1" s="1"/>
  <c r="S2927" i="1"/>
  <c r="AA2927" i="1" s="1"/>
  <c r="S2923" i="1"/>
  <c r="AA2923" i="1" s="1"/>
  <c r="S2915" i="1"/>
  <c r="AA2915" i="1" s="1"/>
  <c r="S2911" i="1"/>
  <c r="AA2911" i="1" s="1"/>
  <c r="S2907" i="1"/>
  <c r="AA2907" i="1" s="1"/>
  <c r="S2899" i="1"/>
  <c r="AA2899" i="1" s="1"/>
  <c r="S2891" i="1"/>
  <c r="AA2891" i="1" s="1"/>
  <c r="S2887" i="1"/>
  <c r="AA2887" i="1" s="1"/>
  <c r="S2883" i="1"/>
  <c r="AA2883" i="1" s="1"/>
  <c r="S2879" i="1"/>
  <c r="AA2879" i="1" s="1"/>
  <c r="S2875" i="1"/>
  <c r="AA2875" i="1" s="1"/>
  <c r="S2871" i="1"/>
  <c r="AA2871" i="1" s="1"/>
  <c r="S2867" i="1"/>
  <c r="AA2867" i="1" s="1"/>
  <c r="S2859" i="1"/>
  <c r="AA2859" i="1" s="1"/>
  <c r="S2855" i="1"/>
  <c r="AA2855" i="1" s="1"/>
  <c r="S2851" i="1"/>
  <c r="AA2851" i="1" s="1"/>
  <c r="S2847" i="1"/>
  <c r="AA2847" i="1" s="1"/>
  <c r="S2843" i="1"/>
  <c r="AA2843" i="1" s="1"/>
  <c r="S2835" i="1"/>
  <c r="AA2835" i="1" s="1"/>
  <c r="S2831" i="1"/>
  <c r="AA2831" i="1" s="1"/>
  <c r="S2827" i="1"/>
  <c r="AA2827" i="1" s="1"/>
  <c r="S2823" i="1"/>
  <c r="AA2823" i="1" s="1"/>
  <c r="S2819" i="1"/>
  <c r="AA2819" i="1" s="1"/>
  <c r="S2815" i="1"/>
  <c r="AA2815" i="1" s="1"/>
  <c r="S2811" i="1"/>
  <c r="AA2811" i="1" s="1"/>
  <c r="S2807" i="1"/>
  <c r="AA2807" i="1" s="1"/>
  <c r="S2799" i="1"/>
  <c r="AA2799" i="1" s="1"/>
  <c r="S2795" i="1"/>
  <c r="AA2795" i="1" s="1"/>
  <c r="S2791" i="1"/>
  <c r="AA2791" i="1" s="1"/>
  <c r="S2787" i="1"/>
  <c r="AA2787" i="1" s="1"/>
  <c r="S2783" i="1"/>
  <c r="AA2783" i="1" s="1"/>
  <c r="S2779" i="1"/>
  <c r="AA2779" i="1" s="1"/>
  <c r="S2775" i="1"/>
  <c r="AA2775" i="1" s="1"/>
  <c r="S2771" i="1"/>
  <c r="AA2771" i="1" s="1"/>
  <c r="S2763" i="1"/>
  <c r="AA2763" i="1" s="1"/>
  <c r="S2759" i="1"/>
  <c r="AA2759" i="1" s="1"/>
  <c r="S2755" i="1"/>
  <c r="AA2755" i="1" s="1"/>
  <c r="S2751" i="1"/>
  <c r="AA2751" i="1" s="1"/>
  <c r="S2747" i="1"/>
  <c r="AA2747" i="1" s="1"/>
  <c r="S2743" i="1"/>
  <c r="AA2743" i="1" s="1"/>
  <c r="S2739" i="1"/>
  <c r="AA2739" i="1" s="1"/>
  <c r="S2731" i="1"/>
  <c r="AA2731" i="1" s="1"/>
  <c r="S2727" i="1"/>
  <c r="AA2727" i="1" s="1"/>
  <c r="S2723" i="1"/>
  <c r="AA2723" i="1" s="1"/>
  <c r="S2719" i="1"/>
  <c r="AA2719" i="1" s="1"/>
  <c r="S2715" i="1"/>
  <c r="AA2715" i="1" s="1"/>
  <c r="S2711" i="1"/>
  <c r="AA2711" i="1" s="1"/>
  <c r="S2707" i="1"/>
  <c r="AA2707" i="1" s="1"/>
  <c r="S2703" i="1"/>
  <c r="AA2703" i="1" s="1"/>
  <c r="S2699" i="1"/>
  <c r="AA2699" i="1" s="1"/>
  <c r="S2691" i="1"/>
  <c r="AA2691" i="1" s="1"/>
  <c r="S2687" i="1"/>
  <c r="AA2687" i="1" s="1"/>
  <c r="S2683" i="1"/>
  <c r="AA2683" i="1" s="1"/>
  <c r="S2679" i="1"/>
  <c r="AA2679" i="1" s="1"/>
  <c r="S2675" i="1"/>
  <c r="AA2675" i="1" s="1"/>
  <c r="S2667" i="1"/>
  <c r="AA2667" i="1" s="1"/>
  <c r="S2663" i="1"/>
  <c r="AA2663" i="1" s="1"/>
  <c r="S2659" i="1"/>
  <c r="AA2659" i="1" s="1"/>
  <c r="S2655" i="1"/>
  <c r="AA2655" i="1" s="1"/>
  <c r="S2647" i="1"/>
  <c r="AA2647" i="1" s="1"/>
  <c r="S2643" i="1"/>
  <c r="AA2643" i="1" s="1"/>
  <c r="S2635" i="1"/>
  <c r="AA2635" i="1" s="1"/>
  <c r="S2631" i="1"/>
  <c r="AA2631" i="1" s="1"/>
  <c r="S2627" i="1"/>
  <c r="AA2627" i="1" s="1"/>
  <c r="S2623" i="1"/>
  <c r="AA2623" i="1" s="1"/>
  <c r="S2615" i="1"/>
  <c r="AA2615" i="1" s="1"/>
  <c r="S2611" i="1"/>
  <c r="AA2611" i="1" s="1"/>
  <c r="S2607" i="1"/>
  <c r="AA2607" i="1" s="1"/>
  <c r="S2603" i="1"/>
  <c r="AA2603" i="1" s="1"/>
  <c r="S2599" i="1"/>
  <c r="AA2599" i="1" s="1"/>
  <c r="S2595" i="1"/>
  <c r="AA2595" i="1" s="1"/>
  <c r="S2591" i="1"/>
  <c r="AA2591" i="1" s="1"/>
  <c r="S2587" i="1"/>
  <c r="AA2587" i="1" s="1"/>
  <c r="S2579" i="1"/>
  <c r="AA2579" i="1" s="1"/>
  <c r="S2575" i="1"/>
  <c r="AA2575" i="1" s="1"/>
  <c r="S2571" i="1"/>
  <c r="AA2571" i="1" s="1"/>
  <c r="S2567" i="1"/>
  <c r="AA2567" i="1" s="1"/>
  <c r="S2563" i="1"/>
  <c r="AA2563" i="1" s="1"/>
  <c r="S2559" i="1"/>
  <c r="AA2559" i="1" s="1"/>
  <c r="S2555" i="1"/>
  <c r="AA2555" i="1" s="1"/>
  <c r="S2547" i="1"/>
  <c r="AA2547" i="1" s="1"/>
  <c r="S2543" i="1"/>
  <c r="AA2543" i="1" s="1"/>
  <c r="S2539" i="1"/>
  <c r="AA2539" i="1" s="1"/>
  <c r="S2535" i="1"/>
  <c r="AA2535" i="1" s="1"/>
  <c r="S2531" i="1"/>
  <c r="AA2531" i="1" s="1"/>
  <c r="S2527" i="1"/>
  <c r="AA2527" i="1" s="1"/>
  <c r="S2523" i="1"/>
  <c r="AA2523" i="1" s="1"/>
  <c r="S2519" i="1"/>
  <c r="AA2519" i="1" s="1"/>
  <c r="S1224" i="1"/>
  <c r="AA1224" i="1" s="1"/>
  <c r="S1220" i="1"/>
  <c r="AA1220" i="1" s="1"/>
  <c r="S1216" i="1"/>
  <c r="AA1216" i="1" s="1"/>
  <c r="S1212" i="1"/>
  <c r="AA1212" i="1" s="1"/>
  <c r="S1208" i="1"/>
  <c r="AA1208" i="1" s="1"/>
  <c r="S1204" i="1"/>
  <c r="AA1204" i="1" s="1"/>
  <c r="S1200" i="1"/>
  <c r="AA1200" i="1" s="1"/>
  <c r="S1196" i="1"/>
  <c r="AA1196" i="1" s="1"/>
  <c r="S1192" i="1"/>
  <c r="AA1192" i="1" s="1"/>
  <c r="S1188" i="1"/>
  <c r="AA1188" i="1" s="1"/>
  <c r="S1184" i="1"/>
  <c r="AA1184" i="1" s="1"/>
  <c r="S1180" i="1"/>
  <c r="AA1180" i="1" s="1"/>
  <c r="S1176" i="1"/>
  <c r="AA1176" i="1" s="1"/>
  <c r="S1172" i="1"/>
  <c r="AA1172" i="1" s="1"/>
  <c r="S1168" i="1"/>
  <c r="AA1168" i="1" s="1"/>
  <c r="S1164" i="1"/>
  <c r="AA1164" i="1" s="1"/>
  <c r="S1160" i="1"/>
  <c r="AA1160" i="1" s="1"/>
  <c r="S1156" i="1"/>
  <c r="AA1156" i="1" s="1"/>
  <c r="S1152" i="1"/>
  <c r="AA1152" i="1" s="1"/>
  <c r="S1148" i="1"/>
  <c r="AA1148" i="1" s="1"/>
  <c r="S1144" i="1"/>
  <c r="AA1144" i="1" s="1"/>
  <c r="S1136" i="1"/>
  <c r="AA1136" i="1" s="1"/>
  <c r="S1128" i="1"/>
  <c r="AA1128" i="1" s="1"/>
  <c r="S1124" i="1"/>
  <c r="AA1124" i="1" s="1"/>
  <c r="S1120" i="1"/>
  <c r="AA1120" i="1" s="1"/>
  <c r="S1116" i="1"/>
  <c r="AA1116" i="1" s="1"/>
  <c r="S1112" i="1"/>
  <c r="AA1112" i="1" s="1"/>
  <c r="S1108" i="1"/>
  <c r="AA1108" i="1" s="1"/>
  <c r="S1104" i="1"/>
  <c r="AA1104" i="1" s="1"/>
  <c r="S1100" i="1"/>
  <c r="AA1100" i="1" s="1"/>
  <c r="S1096" i="1"/>
  <c r="AA1096" i="1" s="1"/>
  <c r="S1092" i="1"/>
  <c r="AA1092" i="1" s="1"/>
  <c r="S1088" i="1"/>
  <c r="AA1088" i="1" s="1"/>
  <c r="S1084" i="1"/>
  <c r="AA1084" i="1" s="1"/>
  <c r="S1080" i="1"/>
  <c r="AA1080" i="1" s="1"/>
  <c r="S1076" i="1"/>
  <c r="AA1076" i="1" s="1"/>
  <c r="S1072" i="1"/>
  <c r="AA1072" i="1" s="1"/>
  <c r="S1068" i="1"/>
  <c r="AA1068" i="1" s="1"/>
  <c r="S1064" i="1"/>
  <c r="AA1064" i="1" s="1"/>
  <c r="S1060" i="1"/>
  <c r="AA1060" i="1" s="1"/>
  <c r="S1056" i="1"/>
  <c r="AA1056" i="1" s="1"/>
  <c r="S1052" i="1"/>
  <c r="AA1052" i="1" s="1"/>
  <c r="S1048" i="1"/>
  <c r="AA1048" i="1" s="1"/>
  <c r="S1044" i="1"/>
  <c r="AA1044" i="1" s="1"/>
  <c r="S1040" i="1"/>
  <c r="AA1040" i="1" s="1"/>
  <c r="S1036" i="1"/>
  <c r="AA1036" i="1" s="1"/>
  <c r="S1032" i="1"/>
  <c r="AA1032" i="1" s="1"/>
  <c r="S1028" i="1"/>
  <c r="AA1028" i="1" s="1"/>
  <c r="S1024" i="1"/>
  <c r="AA1024" i="1" s="1"/>
  <c r="S1020" i="1"/>
  <c r="AA1020" i="1" s="1"/>
  <c r="S1016" i="1"/>
  <c r="AA1016" i="1" s="1"/>
  <c r="S1012" i="1"/>
  <c r="AA1012" i="1" s="1"/>
  <c r="S1008" i="1"/>
  <c r="AA1008" i="1" s="1"/>
  <c r="S1004" i="1"/>
  <c r="AA1004" i="1" s="1"/>
  <c r="S1000" i="1"/>
  <c r="AA1000" i="1" s="1"/>
  <c r="S996" i="1"/>
  <c r="AA996" i="1" s="1"/>
  <c r="S992" i="1"/>
  <c r="AA992" i="1" s="1"/>
  <c r="S988" i="1"/>
  <c r="AA988" i="1" s="1"/>
  <c r="S984" i="1"/>
  <c r="AA984" i="1" s="1"/>
  <c r="S980" i="1"/>
  <c r="AA980" i="1" s="1"/>
  <c r="S976" i="1"/>
  <c r="AA976" i="1" s="1"/>
  <c r="S972" i="1"/>
  <c r="AA972" i="1" s="1"/>
  <c r="S968" i="1"/>
  <c r="AA968" i="1" s="1"/>
  <c r="S964" i="1"/>
  <c r="AA964" i="1" s="1"/>
  <c r="S960" i="1"/>
  <c r="AA960" i="1" s="1"/>
  <c r="S956" i="1"/>
  <c r="AA956" i="1" s="1"/>
  <c r="S952" i="1"/>
  <c r="AA952" i="1" s="1"/>
  <c r="S948" i="1"/>
  <c r="AA948" i="1" s="1"/>
  <c r="S944" i="1"/>
  <c r="AA944" i="1" s="1"/>
  <c r="S940" i="1"/>
  <c r="AA940" i="1" s="1"/>
  <c r="S936" i="1"/>
  <c r="AA936" i="1" s="1"/>
  <c r="S932" i="1"/>
  <c r="AA932" i="1" s="1"/>
  <c r="S928" i="1"/>
  <c r="AA928" i="1" s="1"/>
  <c r="S924" i="1"/>
  <c r="AA924" i="1" s="1"/>
  <c r="S920" i="1"/>
  <c r="AA920" i="1" s="1"/>
  <c r="S916" i="1"/>
  <c r="AA916" i="1" s="1"/>
  <c r="S912" i="1"/>
  <c r="AA912" i="1" s="1"/>
  <c r="S908" i="1"/>
  <c r="AA908" i="1" s="1"/>
  <c r="S904" i="1"/>
  <c r="AA904" i="1" s="1"/>
  <c r="S900" i="1"/>
  <c r="AA900" i="1" s="1"/>
  <c r="S896" i="1"/>
  <c r="AA896" i="1" s="1"/>
  <c r="S884" i="1"/>
  <c r="AA884" i="1" s="1"/>
  <c r="S880" i="1"/>
  <c r="AA880" i="1" s="1"/>
  <c r="S876" i="1"/>
  <c r="AA876" i="1" s="1"/>
  <c r="S872" i="1"/>
  <c r="AA872" i="1" s="1"/>
  <c r="S868" i="1"/>
  <c r="AA868" i="1" s="1"/>
  <c r="S864" i="1"/>
  <c r="AA864" i="1" s="1"/>
  <c r="S860" i="1"/>
  <c r="AA860" i="1" s="1"/>
  <c r="S856" i="1"/>
  <c r="AA856" i="1" s="1"/>
  <c r="S852" i="1"/>
  <c r="AA852" i="1" s="1"/>
  <c r="S2515" i="1"/>
  <c r="AA2515" i="1" s="1"/>
  <c r="S2511" i="1"/>
  <c r="AA2511" i="1" s="1"/>
  <c r="S2503" i="1"/>
  <c r="AA2503" i="1" s="1"/>
  <c r="S2499" i="1"/>
  <c r="AA2499" i="1" s="1"/>
  <c r="S2495" i="1"/>
  <c r="AA2495" i="1" s="1"/>
  <c r="S2491" i="1"/>
  <c r="AA2491" i="1" s="1"/>
  <c r="S2487" i="1"/>
  <c r="AA2487" i="1" s="1"/>
  <c r="S2483" i="1"/>
  <c r="AA2483" i="1" s="1"/>
  <c r="S2479" i="1"/>
  <c r="AA2479" i="1" s="1"/>
  <c r="S2475" i="1"/>
  <c r="AA2475" i="1" s="1"/>
  <c r="S2471" i="1"/>
  <c r="AA2471" i="1" s="1"/>
  <c r="S2467" i="1"/>
  <c r="AA2467" i="1" s="1"/>
  <c r="S2459" i="1"/>
  <c r="AA2459" i="1" s="1"/>
  <c r="S2455" i="1"/>
  <c r="AA2455" i="1" s="1"/>
  <c r="S2451" i="1"/>
  <c r="AA2451" i="1" s="1"/>
  <c r="S2447" i="1"/>
  <c r="AA2447" i="1" s="1"/>
  <c r="S2443" i="1"/>
  <c r="AA2443" i="1" s="1"/>
  <c r="S2439" i="1"/>
  <c r="AA2439" i="1" s="1"/>
  <c r="S2435" i="1"/>
  <c r="AA2435" i="1" s="1"/>
  <c r="S2431" i="1"/>
  <c r="AA2431" i="1" s="1"/>
  <c r="S2427" i="1"/>
  <c r="AA2427" i="1" s="1"/>
  <c r="S2423" i="1"/>
  <c r="AA2423" i="1" s="1"/>
  <c r="S2419" i="1"/>
  <c r="AA2419" i="1" s="1"/>
  <c r="S2415" i="1"/>
  <c r="AA2415" i="1" s="1"/>
  <c r="S2407" i="1"/>
  <c r="AA2407" i="1" s="1"/>
  <c r="S2403" i="1"/>
  <c r="AA2403" i="1" s="1"/>
  <c r="S2399" i="1"/>
  <c r="AA2399" i="1" s="1"/>
  <c r="S2395" i="1"/>
  <c r="AA2395" i="1" s="1"/>
  <c r="S2387" i="1"/>
  <c r="AA2387" i="1" s="1"/>
  <c r="S2383" i="1"/>
  <c r="AA2383" i="1" s="1"/>
  <c r="S2379" i="1"/>
  <c r="AA2379" i="1" s="1"/>
  <c r="S2375" i="1"/>
  <c r="AA2375" i="1" s="1"/>
  <c r="S2371" i="1"/>
  <c r="AA2371" i="1" s="1"/>
  <c r="S2367" i="1"/>
  <c r="AA2367" i="1" s="1"/>
  <c r="S2363" i="1"/>
  <c r="AA2363" i="1" s="1"/>
  <c r="S2359" i="1"/>
  <c r="AA2359" i="1" s="1"/>
  <c r="S2355" i="1"/>
  <c r="AA2355" i="1" s="1"/>
  <c r="S2351" i="1"/>
  <c r="AA2351" i="1" s="1"/>
  <c r="S2347" i="1"/>
  <c r="AA2347" i="1" s="1"/>
  <c r="S2339" i="1"/>
  <c r="AA2339" i="1" s="1"/>
  <c r="S2335" i="1"/>
  <c r="AA2335" i="1" s="1"/>
  <c r="S2331" i="1"/>
  <c r="AA2331" i="1" s="1"/>
  <c r="S2327" i="1"/>
  <c r="AA2327" i="1" s="1"/>
  <c r="S2323" i="1"/>
  <c r="AA2323" i="1" s="1"/>
  <c r="S2319" i="1"/>
  <c r="AA2319" i="1" s="1"/>
  <c r="S2315" i="1"/>
  <c r="AA2315" i="1" s="1"/>
  <c r="S2311" i="1"/>
  <c r="AA2311" i="1" s="1"/>
  <c r="S2307" i="1"/>
  <c r="AA2307" i="1" s="1"/>
  <c r="S2303" i="1"/>
  <c r="AA2303" i="1" s="1"/>
  <c r="S2299" i="1"/>
  <c r="AA2299" i="1" s="1"/>
  <c r="S2295" i="1"/>
  <c r="AA2295" i="1" s="1"/>
  <c r="S2291" i="1"/>
  <c r="AA2291" i="1" s="1"/>
  <c r="S2287" i="1"/>
  <c r="AA2287" i="1" s="1"/>
  <c r="S2283" i="1"/>
  <c r="AA2283" i="1" s="1"/>
  <c r="S2279" i="1"/>
  <c r="AA2279" i="1" s="1"/>
  <c r="S2275" i="1"/>
  <c r="AA2275" i="1" s="1"/>
  <c r="S2271" i="1"/>
  <c r="AA2271" i="1" s="1"/>
  <c r="S2263" i="1"/>
  <c r="AA2263" i="1" s="1"/>
  <c r="S2259" i="1"/>
  <c r="AA2259" i="1" s="1"/>
  <c r="S2255" i="1"/>
  <c r="AA2255" i="1" s="1"/>
  <c r="S2247" i="1"/>
  <c r="AA2247" i="1" s="1"/>
  <c r="S2243" i="1"/>
  <c r="AA2243" i="1" s="1"/>
  <c r="S2239" i="1"/>
  <c r="AA2239" i="1" s="1"/>
  <c r="S2235" i="1"/>
  <c r="AA2235" i="1" s="1"/>
  <c r="S2227" i="1"/>
  <c r="AA2227" i="1" s="1"/>
  <c r="S2223" i="1"/>
  <c r="AA2223" i="1" s="1"/>
  <c r="S2219" i="1"/>
  <c r="AA2219" i="1" s="1"/>
  <c r="S2215" i="1"/>
  <c r="AA2215" i="1" s="1"/>
  <c r="S2211" i="1"/>
  <c r="AA2211" i="1" s="1"/>
  <c r="S2207" i="1"/>
  <c r="AA2207" i="1" s="1"/>
  <c r="S2203" i="1"/>
  <c r="AA2203" i="1" s="1"/>
  <c r="S2199" i="1"/>
  <c r="AA2199" i="1" s="1"/>
  <c r="S2195" i="1"/>
  <c r="AA2195" i="1" s="1"/>
  <c r="S2191" i="1"/>
  <c r="AA2191" i="1" s="1"/>
  <c r="S2187" i="1"/>
  <c r="AA2187" i="1" s="1"/>
  <c r="S2183" i="1"/>
  <c r="AA2183" i="1" s="1"/>
  <c r="S2179" i="1"/>
  <c r="AA2179" i="1" s="1"/>
  <c r="S2171" i="1"/>
  <c r="AA2171" i="1" s="1"/>
  <c r="S2167" i="1"/>
  <c r="AA2167" i="1" s="1"/>
  <c r="S2163" i="1"/>
  <c r="AA2163" i="1" s="1"/>
  <c r="S2159" i="1"/>
  <c r="AA2159" i="1" s="1"/>
  <c r="S2155" i="1"/>
  <c r="AA2155" i="1" s="1"/>
  <c r="S2151" i="1"/>
  <c r="AA2151" i="1" s="1"/>
  <c r="S2147" i="1"/>
  <c r="AA2147" i="1" s="1"/>
  <c r="S2143" i="1"/>
  <c r="AA2143" i="1" s="1"/>
  <c r="S2139" i="1"/>
  <c r="AA2139" i="1" s="1"/>
  <c r="S2131" i="1"/>
  <c r="AA2131" i="1" s="1"/>
  <c r="S2127" i="1"/>
  <c r="AA2127" i="1" s="1"/>
  <c r="S2123" i="1"/>
  <c r="AA2123" i="1" s="1"/>
  <c r="S2119" i="1"/>
  <c r="AA2119" i="1" s="1"/>
  <c r="S2111" i="1"/>
  <c r="AA2111" i="1" s="1"/>
  <c r="S2107" i="1"/>
  <c r="AA2107" i="1" s="1"/>
  <c r="S2103" i="1"/>
  <c r="AA2103" i="1" s="1"/>
  <c r="S2095" i="1"/>
  <c r="AA2095" i="1" s="1"/>
  <c r="S2091" i="1"/>
  <c r="AA2091" i="1" s="1"/>
  <c r="S2087" i="1"/>
  <c r="AA2087" i="1" s="1"/>
  <c r="S2083" i="1"/>
  <c r="AA2083" i="1" s="1"/>
  <c r="S2079" i="1"/>
  <c r="AA2079" i="1" s="1"/>
  <c r="S2075" i="1"/>
  <c r="AA2075" i="1" s="1"/>
  <c r="S2067" i="1"/>
  <c r="AA2067" i="1" s="1"/>
  <c r="S2063" i="1"/>
  <c r="AA2063" i="1" s="1"/>
  <c r="S2059" i="1"/>
  <c r="AA2059" i="1" s="1"/>
  <c r="S2055" i="1"/>
  <c r="AA2055" i="1" s="1"/>
  <c r="S2051" i="1"/>
  <c r="AA2051" i="1" s="1"/>
  <c r="S2047" i="1"/>
  <c r="AA2047" i="1" s="1"/>
  <c r="S2043" i="1"/>
  <c r="AA2043" i="1" s="1"/>
  <c r="S2039" i="1"/>
  <c r="AA2039" i="1" s="1"/>
  <c r="S2035" i="1"/>
  <c r="AA2035" i="1" s="1"/>
  <c r="S2031" i="1"/>
  <c r="AA2031" i="1" s="1"/>
  <c r="S2027" i="1"/>
  <c r="AA2027" i="1" s="1"/>
  <c r="S2023" i="1"/>
  <c r="AA2023" i="1" s="1"/>
  <c r="S2019" i="1"/>
  <c r="AA2019" i="1" s="1"/>
  <c r="S2015" i="1"/>
  <c r="AA2015" i="1" s="1"/>
  <c r="S2011" i="1"/>
  <c r="AA2011" i="1" s="1"/>
  <c r="S2003" i="1"/>
  <c r="AA2003" i="1" s="1"/>
  <c r="S1995" i="1"/>
  <c r="AA1995" i="1" s="1"/>
  <c r="S1991" i="1"/>
  <c r="AA1991" i="1" s="1"/>
  <c r="S1987" i="1"/>
  <c r="AA1987" i="1" s="1"/>
  <c r="S1983" i="1"/>
  <c r="AA1983" i="1" s="1"/>
  <c r="S1979" i="1"/>
  <c r="AA1979" i="1" s="1"/>
  <c r="S1975" i="1"/>
  <c r="AA1975" i="1" s="1"/>
  <c r="S1971" i="1"/>
  <c r="AA1971" i="1" s="1"/>
  <c r="S1963" i="1"/>
  <c r="AA1963" i="1" s="1"/>
  <c r="S1955" i="1"/>
  <c r="AA1955" i="1" s="1"/>
  <c r="S1951" i="1"/>
  <c r="AA1951" i="1" s="1"/>
  <c r="S1947" i="1"/>
  <c r="AA1947" i="1" s="1"/>
  <c r="S1943" i="1"/>
  <c r="AA1943" i="1" s="1"/>
  <c r="S1939" i="1"/>
  <c r="AA1939" i="1" s="1"/>
  <c r="S1935" i="1"/>
  <c r="AA1935" i="1" s="1"/>
  <c r="S1931" i="1"/>
  <c r="AA1931" i="1" s="1"/>
  <c r="S1927" i="1"/>
  <c r="AA1927" i="1" s="1"/>
  <c r="S1923" i="1"/>
  <c r="AA1923" i="1" s="1"/>
  <c r="S1919" i="1"/>
  <c r="AA1919" i="1" s="1"/>
  <c r="S1915" i="1"/>
  <c r="AA1915" i="1" s="1"/>
  <c r="S1911" i="1"/>
  <c r="AA1911" i="1" s="1"/>
  <c r="S1903" i="1"/>
  <c r="AA1903" i="1" s="1"/>
  <c r="S1899" i="1"/>
  <c r="AA1899" i="1" s="1"/>
  <c r="S1895" i="1"/>
  <c r="AA1895" i="1" s="1"/>
  <c r="S1891" i="1"/>
  <c r="AA1891" i="1" s="1"/>
  <c r="S1887" i="1"/>
  <c r="AA1887" i="1" s="1"/>
  <c r="S1883" i="1"/>
  <c r="AA1883" i="1" s="1"/>
  <c r="S1879" i="1"/>
  <c r="AA1879" i="1" s="1"/>
  <c r="S1875" i="1"/>
  <c r="AA1875" i="1" s="1"/>
  <c r="S1871" i="1"/>
  <c r="AA1871" i="1" s="1"/>
  <c r="S1867" i="1"/>
  <c r="AA1867" i="1" s="1"/>
  <c r="S1863" i="1"/>
  <c r="AA1863" i="1" s="1"/>
  <c r="S1855" i="1"/>
  <c r="AA1855" i="1" s="1"/>
  <c r="S1851" i="1"/>
  <c r="AA1851" i="1" s="1"/>
  <c r="S1847" i="1"/>
  <c r="AA1847" i="1" s="1"/>
  <c r="S1843" i="1"/>
  <c r="AA1843" i="1" s="1"/>
  <c r="S1835" i="1"/>
  <c r="AA1835" i="1" s="1"/>
  <c r="S1831" i="1"/>
  <c r="AA1831" i="1" s="1"/>
  <c r="S1827" i="1"/>
  <c r="AA1827" i="1" s="1"/>
  <c r="S1823" i="1"/>
  <c r="AA1823" i="1" s="1"/>
  <c r="S1819" i="1"/>
  <c r="AA1819" i="1" s="1"/>
  <c r="S1815" i="1"/>
  <c r="AA1815" i="1" s="1"/>
  <c r="S1811" i="1"/>
  <c r="AA1811" i="1" s="1"/>
  <c r="S1807" i="1"/>
  <c r="AA1807" i="1" s="1"/>
  <c r="S1803" i="1"/>
  <c r="AA1803" i="1" s="1"/>
  <c r="S1799" i="1"/>
  <c r="AA1799" i="1" s="1"/>
  <c r="S1795" i="1"/>
  <c r="AA1795" i="1" s="1"/>
  <c r="S1791" i="1"/>
  <c r="AA1791" i="1" s="1"/>
  <c r="S1783" i="1"/>
  <c r="AA1783" i="1" s="1"/>
  <c r="S1779" i="1"/>
  <c r="AA1779" i="1" s="1"/>
  <c r="S1775" i="1"/>
  <c r="AA1775" i="1" s="1"/>
  <c r="S1771" i="1"/>
  <c r="AA1771" i="1" s="1"/>
  <c r="S1763" i="1"/>
  <c r="AA1763" i="1" s="1"/>
  <c r="S1759" i="1"/>
  <c r="AA1759" i="1" s="1"/>
  <c r="S1755" i="1"/>
  <c r="AA1755" i="1" s="1"/>
  <c r="S1751" i="1"/>
  <c r="AA1751" i="1" s="1"/>
  <c r="S1747" i="1"/>
  <c r="AA1747" i="1" s="1"/>
  <c r="S1743" i="1"/>
  <c r="AA1743" i="1" s="1"/>
  <c r="S1739" i="1"/>
  <c r="AA1739" i="1" s="1"/>
  <c r="S1735" i="1"/>
  <c r="AA1735" i="1" s="1"/>
  <c r="S1731" i="1"/>
  <c r="AA1731" i="1" s="1"/>
  <c r="S1727" i="1"/>
  <c r="AA1727" i="1" s="1"/>
  <c r="S1723" i="1"/>
  <c r="AA1723" i="1" s="1"/>
  <c r="S1719" i="1"/>
  <c r="AA1719" i="1" s="1"/>
  <c r="S1715" i="1"/>
  <c r="AA1715" i="1" s="1"/>
  <c r="S1711" i="1"/>
  <c r="AA1711" i="1" s="1"/>
  <c r="S1707" i="1"/>
  <c r="AA1707" i="1" s="1"/>
  <c r="S1703" i="1"/>
  <c r="AA1703" i="1" s="1"/>
  <c r="S1699" i="1"/>
  <c r="AA1699" i="1" s="1"/>
  <c r="S1695" i="1"/>
  <c r="AA1695" i="1" s="1"/>
  <c r="S1687" i="1"/>
  <c r="AA1687" i="1" s="1"/>
  <c r="S1679" i="1"/>
  <c r="AA1679" i="1" s="1"/>
  <c r="S1675" i="1"/>
  <c r="AA1675" i="1" s="1"/>
  <c r="S1671" i="1"/>
  <c r="AA1671" i="1" s="1"/>
  <c r="S1667" i="1"/>
  <c r="AA1667" i="1" s="1"/>
  <c r="S1663" i="1"/>
  <c r="AA1663" i="1" s="1"/>
  <c r="S1659" i="1"/>
  <c r="AA1659" i="1" s="1"/>
  <c r="S1651" i="1"/>
  <c r="AA1651" i="1" s="1"/>
  <c r="S1647" i="1"/>
  <c r="AA1647" i="1" s="1"/>
  <c r="S1643" i="1"/>
  <c r="AA1643" i="1" s="1"/>
  <c r="S1639" i="1"/>
  <c r="AA1639" i="1" s="1"/>
  <c r="S1635" i="1"/>
  <c r="AA1635" i="1" s="1"/>
  <c r="S1631" i="1"/>
  <c r="AA1631" i="1" s="1"/>
  <c r="S1627" i="1"/>
  <c r="AA1627" i="1" s="1"/>
  <c r="S1623" i="1"/>
  <c r="AA1623" i="1" s="1"/>
  <c r="S1619" i="1"/>
  <c r="AA1619" i="1" s="1"/>
  <c r="S1615" i="1"/>
  <c r="AA1615" i="1" s="1"/>
  <c r="S1611" i="1"/>
  <c r="AA1611" i="1" s="1"/>
  <c r="S1603" i="1"/>
  <c r="AA1603" i="1" s="1"/>
  <c r="S1599" i="1"/>
  <c r="AA1599" i="1" s="1"/>
  <c r="S1595" i="1"/>
  <c r="AA1595" i="1" s="1"/>
  <c r="S1591" i="1"/>
  <c r="AA1591" i="1" s="1"/>
  <c r="S1587" i="1"/>
  <c r="AA1587" i="1" s="1"/>
  <c r="S1583" i="1"/>
  <c r="AA1583" i="1" s="1"/>
  <c r="S1579" i="1"/>
  <c r="AA1579" i="1" s="1"/>
  <c r="S1575" i="1"/>
  <c r="AA1575" i="1" s="1"/>
  <c r="S1571" i="1"/>
  <c r="AA1571" i="1" s="1"/>
  <c r="S1567" i="1"/>
  <c r="AA1567" i="1" s="1"/>
  <c r="S1563" i="1"/>
  <c r="AA1563" i="1" s="1"/>
  <c r="S1559" i="1"/>
  <c r="AA1559" i="1" s="1"/>
  <c r="S1555" i="1"/>
  <c r="AA1555" i="1" s="1"/>
  <c r="S1551" i="1"/>
  <c r="AA1551" i="1" s="1"/>
  <c r="S1547" i="1"/>
  <c r="AA1547" i="1" s="1"/>
  <c r="S1543" i="1"/>
  <c r="AA1543" i="1" s="1"/>
  <c r="S1535" i="1"/>
  <c r="AA1535" i="1" s="1"/>
  <c r="S1531" i="1"/>
  <c r="AA1531" i="1" s="1"/>
  <c r="S1527" i="1"/>
  <c r="AA1527" i="1" s="1"/>
  <c r="S1523" i="1"/>
  <c r="AA1523" i="1" s="1"/>
  <c r="S1519" i="1"/>
  <c r="AA1519" i="1" s="1"/>
  <c r="S1515" i="1"/>
  <c r="AA1515" i="1" s="1"/>
  <c r="S1511" i="1"/>
  <c r="AA1511" i="1" s="1"/>
  <c r="S1503" i="1"/>
  <c r="AA1503" i="1" s="1"/>
  <c r="S1499" i="1"/>
  <c r="AA1499" i="1" s="1"/>
  <c r="S1495" i="1"/>
  <c r="AA1495" i="1" s="1"/>
  <c r="S1491" i="1"/>
  <c r="AA1491" i="1" s="1"/>
  <c r="S1487" i="1"/>
  <c r="AA1487" i="1" s="1"/>
  <c r="S1483" i="1"/>
  <c r="AA1483" i="1" s="1"/>
  <c r="S1479" i="1"/>
  <c r="AA1479" i="1" s="1"/>
  <c r="S1475" i="1"/>
  <c r="AA1475" i="1" s="1"/>
  <c r="S1471" i="1"/>
  <c r="AA1471" i="1" s="1"/>
  <c r="S1467" i="1"/>
  <c r="AA1467" i="1" s="1"/>
  <c r="S1463" i="1"/>
  <c r="AA1463" i="1" s="1"/>
  <c r="S1455" i="1"/>
  <c r="AA1455" i="1" s="1"/>
  <c r="S1451" i="1"/>
  <c r="AA1451" i="1" s="1"/>
  <c r="S1447" i="1"/>
  <c r="AA1447" i="1" s="1"/>
  <c r="S1443" i="1"/>
  <c r="AA1443" i="1" s="1"/>
  <c r="S1439" i="1"/>
  <c r="AA1439" i="1" s="1"/>
  <c r="S1435" i="1"/>
  <c r="AA1435" i="1" s="1"/>
  <c r="S1431" i="1"/>
  <c r="AA1431" i="1" s="1"/>
  <c r="S1427" i="1"/>
  <c r="AA1427" i="1" s="1"/>
  <c r="S1423" i="1"/>
  <c r="AA1423" i="1" s="1"/>
  <c r="S1419" i="1"/>
  <c r="AA1419" i="1" s="1"/>
  <c r="S1415" i="1"/>
  <c r="AA1415" i="1" s="1"/>
  <c r="S1411" i="1"/>
  <c r="AA1411" i="1" s="1"/>
  <c r="S1407" i="1"/>
  <c r="AA1407" i="1" s="1"/>
  <c r="S1403" i="1"/>
  <c r="AA1403" i="1" s="1"/>
  <c r="S1399" i="1"/>
  <c r="AA1399" i="1" s="1"/>
  <c r="S1395" i="1"/>
  <c r="AA1395" i="1" s="1"/>
  <c r="S1391" i="1"/>
  <c r="AA1391" i="1" s="1"/>
  <c r="S1387" i="1"/>
  <c r="AA1387" i="1" s="1"/>
  <c r="S1383" i="1"/>
  <c r="AA1383" i="1" s="1"/>
  <c r="S1379" i="1"/>
  <c r="AA1379" i="1" s="1"/>
  <c r="S1371" i="1"/>
  <c r="AA1371" i="1" s="1"/>
  <c r="S1367" i="1"/>
  <c r="AA1367" i="1" s="1"/>
  <c r="S1363" i="1"/>
  <c r="AA1363" i="1" s="1"/>
  <c r="S1359" i="1"/>
  <c r="AA1359" i="1" s="1"/>
  <c r="S1355" i="1"/>
  <c r="AA1355" i="1" s="1"/>
  <c r="S1351" i="1"/>
  <c r="AA1351" i="1" s="1"/>
  <c r="S1347" i="1"/>
  <c r="AA1347" i="1" s="1"/>
  <c r="S1343" i="1"/>
  <c r="AA1343" i="1" s="1"/>
  <c r="S1339" i="1"/>
  <c r="AA1339" i="1" s="1"/>
  <c r="S1335" i="1"/>
  <c r="AA1335" i="1" s="1"/>
  <c r="S1331" i="1"/>
  <c r="AA1331" i="1" s="1"/>
  <c r="S1327" i="1"/>
  <c r="AA1327" i="1" s="1"/>
  <c r="S1323" i="1"/>
  <c r="AA1323" i="1" s="1"/>
  <c r="S1319" i="1"/>
  <c r="AA1319" i="1" s="1"/>
  <c r="S1315" i="1"/>
  <c r="AA1315" i="1" s="1"/>
  <c r="S1311" i="1"/>
  <c r="AA1311" i="1" s="1"/>
  <c r="S1307" i="1"/>
  <c r="AA1307" i="1" s="1"/>
  <c r="S1303" i="1"/>
  <c r="AA1303" i="1" s="1"/>
  <c r="S1299" i="1"/>
  <c r="AA1299" i="1" s="1"/>
  <c r="S1295" i="1"/>
  <c r="AA1295" i="1" s="1"/>
  <c r="S1291" i="1"/>
  <c r="AA1291" i="1" s="1"/>
  <c r="S1287" i="1"/>
  <c r="AA1287" i="1" s="1"/>
  <c r="S1283" i="1"/>
  <c r="AA1283" i="1" s="1"/>
  <c r="S1279" i="1"/>
  <c r="AA1279" i="1" s="1"/>
  <c r="S1275" i="1"/>
  <c r="AA1275" i="1" s="1"/>
  <c r="S1271" i="1"/>
  <c r="AA1271" i="1" s="1"/>
  <c r="S1267" i="1"/>
  <c r="AA1267" i="1" s="1"/>
  <c r="S1263" i="1"/>
  <c r="AA1263" i="1" s="1"/>
  <c r="S1259" i="1"/>
  <c r="AA1259" i="1" s="1"/>
  <c r="S1255" i="1"/>
  <c r="AA1255" i="1" s="1"/>
  <c r="S1251" i="1"/>
  <c r="AA1251" i="1" s="1"/>
  <c r="S1247" i="1"/>
  <c r="AA1247" i="1" s="1"/>
  <c r="S1243" i="1"/>
  <c r="AA1243" i="1" s="1"/>
  <c r="S1239" i="1"/>
  <c r="AA1239" i="1" s="1"/>
  <c r="S1235" i="1"/>
  <c r="AA1235" i="1" s="1"/>
  <c r="S1231" i="1"/>
  <c r="AA1231" i="1" s="1"/>
  <c r="S1227" i="1"/>
  <c r="AA1227" i="1" s="1"/>
  <c r="S1223" i="1"/>
  <c r="AA1223" i="1" s="1"/>
  <c r="S1219" i="1"/>
  <c r="AA1219" i="1" s="1"/>
  <c r="S1215" i="1"/>
  <c r="AA1215" i="1" s="1"/>
  <c r="S1211" i="1"/>
  <c r="AA1211" i="1" s="1"/>
  <c r="S1207" i="1"/>
  <c r="AA1207" i="1" s="1"/>
  <c r="S1203" i="1"/>
  <c r="AA1203" i="1" s="1"/>
  <c r="S1199" i="1"/>
  <c r="AA1199" i="1" s="1"/>
  <c r="S1195" i="1"/>
  <c r="AA1195" i="1" s="1"/>
  <c r="S1191" i="1"/>
  <c r="AA1191" i="1" s="1"/>
  <c r="S1187" i="1"/>
  <c r="AA1187" i="1" s="1"/>
  <c r="S1183" i="1"/>
  <c r="AA1183" i="1" s="1"/>
  <c r="S1179" i="1"/>
  <c r="AA1179" i="1" s="1"/>
  <c r="S1175" i="1"/>
  <c r="AA1175" i="1" s="1"/>
  <c r="S1171" i="1"/>
  <c r="AA1171" i="1" s="1"/>
  <c r="S1167" i="1"/>
  <c r="AA1167" i="1" s="1"/>
  <c r="S1163" i="1"/>
  <c r="AA1163" i="1" s="1"/>
  <c r="S1159" i="1"/>
  <c r="AA1159" i="1" s="1"/>
  <c r="S1155" i="1"/>
  <c r="AA1155" i="1" s="1"/>
  <c r="S1151" i="1"/>
  <c r="AA1151" i="1" s="1"/>
  <c r="S1147" i="1"/>
  <c r="AA1147" i="1" s="1"/>
  <c r="S1143" i="1"/>
  <c r="AA1143" i="1" s="1"/>
  <c r="S1139" i="1"/>
  <c r="AA1139" i="1" s="1"/>
  <c r="S1131" i="1"/>
  <c r="AA1131" i="1" s="1"/>
  <c r="S1127" i="1"/>
  <c r="AA1127" i="1" s="1"/>
  <c r="S1123" i="1"/>
  <c r="AA1123" i="1" s="1"/>
  <c r="S1119" i="1"/>
  <c r="AA1119" i="1" s="1"/>
  <c r="S1115" i="1"/>
  <c r="AA1115" i="1" s="1"/>
  <c r="S1111" i="1"/>
  <c r="AA1111" i="1" s="1"/>
  <c r="S1107" i="1"/>
  <c r="AA1107" i="1" s="1"/>
  <c r="S1103" i="1"/>
  <c r="AA1103" i="1" s="1"/>
  <c r="S1099" i="1"/>
  <c r="AA1099" i="1" s="1"/>
  <c r="S1095" i="1"/>
  <c r="AA1095" i="1" s="1"/>
  <c r="S1091" i="1"/>
  <c r="AA1091" i="1" s="1"/>
  <c r="S1087" i="1"/>
  <c r="AA1087" i="1" s="1"/>
  <c r="S1083" i="1"/>
  <c r="AA1083" i="1" s="1"/>
  <c r="S1079" i="1"/>
  <c r="AA1079" i="1" s="1"/>
  <c r="S1075" i="1"/>
  <c r="AA1075" i="1" s="1"/>
  <c r="S1071" i="1"/>
  <c r="AA1071" i="1" s="1"/>
  <c r="S1067" i="1"/>
  <c r="AA1067" i="1" s="1"/>
  <c r="S1063" i="1"/>
  <c r="AA1063" i="1" s="1"/>
  <c r="S1059" i="1"/>
  <c r="AA1059" i="1" s="1"/>
  <c r="S1055" i="1"/>
  <c r="AA1055" i="1" s="1"/>
  <c r="S1051" i="1"/>
  <c r="AA1051" i="1" s="1"/>
  <c r="S1047" i="1"/>
  <c r="AA1047" i="1" s="1"/>
  <c r="S1043" i="1"/>
  <c r="AA1043" i="1" s="1"/>
  <c r="S1039" i="1"/>
  <c r="AA1039" i="1" s="1"/>
  <c r="S1035" i="1"/>
  <c r="AA1035" i="1" s="1"/>
  <c r="S1031" i="1"/>
  <c r="AA1031" i="1" s="1"/>
  <c r="S1027" i="1"/>
  <c r="AA1027" i="1" s="1"/>
  <c r="S1023" i="1"/>
  <c r="AA1023" i="1" s="1"/>
  <c r="S1015" i="1"/>
  <c r="AA1015" i="1" s="1"/>
  <c r="S1011" i="1"/>
  <c r="AA1011" i="1" s="1"/>
  <c r="S1007" i="1"/>
  <c r="AA1007" i="1" s="1"/>
  <c r="S1003" i="1"/>
  <c r="AA1003" i="1" s="1"/>
  <c r="S999" i="1"/>
  <c r="AA999" i="1" s="1"/>
  <c r="S995" i="1"/>
  <c r="AA995" i="1" s="1"/>
  <c r="S991" i="1"/>
  <c r="AA991" i="1" s="1"/>
  <c r="S987" i="1"/>
  <c r="AA987" i="1" s="1"/>
  <c r="S979" i="1"/>
  <c r="AA979" i="1" s="1"/>
  <c r="S975" i="1"/>
  <c r="AA975" i="1" s="1"/>
  <c r="S971" i="1"/>
  <c r="AA971" i="1" s="1"/>
  <c r="S963" i="1"/>
  <c r="AA963" i="1" s="1"/>
  <c r="S959" i="1"/>
  <c r="AA959" i="1" s="1"/>
  <c r="S955" i="1"/>
  <c r="AA955" i="1" s="1"/>
  <c r="S951" i="1"/>
  <c r="AA951" i="1" s="1"/>
  <c r="S947" i="1"/>
  <c r="AA947" i="1" s="1"/>
  <c r="S943" i="1"/>
  <c r="AA943" i="1" s="1"/>
  <c r="S939" i="1"/>
  <c r="AA939" i="1" s="1"/>
  <c r="S935" i="1"/>
  <c r="AA935" i="1" s="1"/>
  <c r="S931" i="1"/>
  <c r="AA931" i="1" s="1"/>
  <c r="S927" i="1"/>
  <c r="AA927" i="1" s="1"/>
  <c r="S923" i="1"/>
  <c r="AA923" i="1" s="1"/>
  <c r="S919" i="1"/>
  <c r="AA919" i="1" s="1"/>
  <c r="S915" i="1"/>
  <c r="AA915" i="1" s="1"/>
  <c r="S911" i="1"/>
  <c r="AA911" i="1" s="1"/>
  <c r="S907" i="1"/>
  <c r="AA907" i="1" s="1"/>
  <c r="S903" i="1"/>
  <c r="AA903" i="1" s="1"/>
  <c r="S899" i="1"/>
  <c r="AA899" i="1" s="1"/>
  <c r="S895" i="1"/>
  <c r="AA895" i="1" s="1"/>
  <c r="S891" i="1"/>
  <c r="AA891" i="1" s="1"/>
  <c r="S887" i="1"/>
  <c r="AA887" i="1" s="1"/>
  <c r="S883" i="1"/>
  <c r="AA883" i="1" s="1"/>
  <c r="S879" i="1"/>
  <c r="AA879" i="1" s="1"/>
  <c r="S875" i="1"/>
  <c r="AA875" i="1" s="1"/>
  <c r="S871" i="1"/>
  <c r="AA871" i="1" s="1"/>
  <c r="S867" i="1"/>
  <c r="AA867" i="1" s="1"/>
  <c r="S863" i="1"/>
  <c r="AA863" i="1" s="1"/>
  <c r="S859" i="1"/>
  <c r="AA859" i="1" s="1"/>
  <c r="S855" i="1"/>
  <c r="AA855" i="1" s="1"/>
  <c r="S851" i="1"/>
  <c r="AA851" i="1" s="1"/>
  <c r="AG4" i="1"/>
  <c r="S2678" i="1"/>
  <c r="AA2678" i="1" s="1"/>
  <c r="S2674" i="1"/>
  <c r="AA2674" i="1" s="1"/>
  <c r="S2670" i="1"/>
  <c r="AA2670" i="1" s="1"/>
  <c r="S2666" i="1"/>
  <c r="AA2666" i="1" s="1"/>
  <c r="S2662" i="1"/>
  <c r="AA2662" i="1" s="1"/>
  <c r="S2658" i="1"/>
  <c r="AA2658" i="1" s="1"/>
  <c r="S2654" i="1"/>
  <c r="AA2654" i="1" s="1"/>
  <c r="S2650" i="1"/>
  <c r="AA2650" i="1" s="1"/>
  <c r="S2646" i="1"/>
  <c r="AA2646" i="1" s="1"/>
  <c r="S2642" i="1"/>
  <c r="AA2642" i="1" s="1"/>
  <c r="S2638" i="1"/>
  <c r="AA2638" i="1" s="1"/>
  <c r="S2634" i="1"/>
  <c r="AA2634" i="1" s="1"/>
  <c r="S2630" i="1"/>
  <c r="AA2630" i="1" s="1"/>
  <c r="S2626" i="1"/>
  <c r="AA2626" i="1" s="1"/>
  <c r="S2622" i="1"/>
  <c r="AA2622" i="1" s="1"/>
  <c r="S2618" i="1"/>
  <c r="AA2618" i="1" s="1"/>
  <c r="S2614" i="1"/>
  <c r="AA2614" i="1" s="1"/>
  <c r="S2610" i="1"/>
  <c r="AA2610" i="1" s="1"/>
  <c r="S2606" i="1"/>
  <c r="AA2606" i="1" s="1"/>
  <c r="S2602" i="1"/>
  <c r="AA2602" i="1" s="1"/>
  <c r="S2598" i="1"/>
  <c r="AA2598" i="1" s="1"/>
  <c r="S2594" i="1"/>
  <c r="AA2594" i="1" s="1"/>
  <c r="S2590" i="1"/>
  <c r="AA2590" i="1" s="1"/>
  <c r="S2586" i="1"/>
  <c r="AA2586" i="1" s="1"/>
  <c r="S2582" i="1"/>
  <c r="AA2582" i="1" s="1"/>
  <c r="S2578" i="1"/>
  <c r="AA2578" i="1" s="1"/>
  <c r="S2574" i="1"/>
  <c r="AA2574" i="1" s="1"/>
  <c r="S2570" i="1"/>
  <c r="AA2570" i="1" s="1"/>
  <c r="S2566" i="1"/>
  <c r="AA2566" i="1" s="1"/>
  <c r="S2562" i="1"/>
  <c r="AA2562" i="1" s="1"/>
  <c r="S2558" i="1"/>
  <c r="AA2558" i="1" s="1"/>
  <c r="S2554" i="1"/>
  <c r="AA2554" i="1" s="1"/>
  <c r="S2550" i="1"/>
  <c r="AA2550" i="1" s="1"/>
  <c r="S2546" i="1"/>
  <c r="AA2546" i="1" s="1"/>
  <c r="S2542" i="1"/>
  <c r="AA2542" i="1" s="1"/>
  <c r="S2538" i="1"/>
  <c r="AA2538" i="1" s="1"/>
  <c r="S2534" i="1"/>
  <c r="AA2534" i="1" s="1"/>
  <c r="S2530" i="1"/>
  <c r="AA2530" i="1" s="1"/>
  <c r="S2526" i="1"/>
  <c r="AA2526" i="1" s="1"/>
  <c r="S2522" i="1"/>
  <c r="AA2522" i="1" s="1"/>
  <c r="S2518" i="1"/>
  <c r="AA2518" i="1" s="1"/>
  <c r="S2514" i="1"/>
  <c r="AA2514" i="1" s="1"/>
  <c r="S2510" i="1"/>
  <c r="AA2510" i="1" s="1"/>
  <c r="S2506" i="1"/>
  <c r="AA2506" i="1" s="1"/>
  <c r="S2502" i="1"/>
  <c r="AA2502" i="1" s="1"/>
  <c r="S2498" i="1"/>
  <c r="AA2498" i="1" s="1"/>
  <c r="S2494" i="1"/>
  <c r="AA2494" i="1" s="1"/>
  <c r="S2490" i="1"/>
  <c r="AA2490" i="1" s="1"/>
  <c r="S2486" i="1"/>
  <c r="AA2486" i="1" s="1"/>
  <c r="S2482" i="1"/>
  <c r="AA2482" i="1" s="1"/>
  <c r="S2478" i="1"/>
  <c r="AA2478" i="1" s="1"/>
  <c r="S2474" i="1"/>
  <c r="AA2474" i="1" s="1"/>
  <c r="S2470" i="1"/>
  <c r="AA2470" i="1" s="1"/>
  <c r="S2466" i="1"/>
  <c r="AA2466" i="1" s="1"/>
  <c r="S2462" i="1"/>
  <c r="AA2462" i="1" s="1"/>
  <c r="S2458" i="1"/>
  <c r="AA2458" i="1" s="1"/>
  <c r="S2454" i="1"/>
  <c r="AA2454" i="1" s="1"/>
  <c r="S2450" i="1"/>
  <c r="AA2450" i="1" s="1"/>
  <c r="S2446" i="1"/>
  <c r="AA2446" i="1" s="1"/>
  <c r="S2442" i="1"/>
  <c r="AA2442" i="1" s="1"/>
  <c r="S2438" i="1"/>
  <c r="AA2438" i="1" s="1"/>
  <c r="S2434" i="1"/>
  <c r="AA2434" i="1" s="1"/>
  <c r="S2430" i="1"/>
  <c r="AA2430" i="1" s="1"/>
  <c r="S2426" i="1"/>
  <c r="AA2426" i="1" s="1"/>
  <c r="S2422" i="1"/>
  <c r="AA2422" i="1" s="1"/>
  <c r="S2418" i="1"/>
  <c r="AA2418" i="1" s="1"/>
  <c r="S2414" i="1"/>
  <c r="AA2414" i="1" s="1"/>
  <c r="S2410" i="1"/>
  <c r="AA2410" i="1" s="1"/>
  <c r="S2406" i="1"/>
  <c r="AA2406" i="1" s="1"/>
  <c r="S2402" i="1"/>
  <c r="AA2402" i="1" s="1"/>
  <c r="S2398" i="1"/>
  <c r="AA2398" i="1" s="1"/>
  <c r="S2394" i="1"/>
  <c r="AA2394" i="1" s="1"/>
  <c r="S2390" i="1"/>
  <c r="AA2390" i="1" s="1"/>
  <c r="S2386" i="1"/>
  <c r="AA2386" i="1" s="1"/>
  <c r="S2382" i="1"/>
  <c r="AA2382" i="1" s="1"/>
  <c r="S2378" i="1"/>
  <c r="AA2378" i="1" s="1"/>
  <c r="S2374" i="1"/>
  <c r="AA2374" i="1" s="1"/>
  <c r="S2370" i="1"/>
  <c r="AA2370" i="1" s="1"/>
  <c r="S2366" i="1"/>
  <c r="AA2366" i="1" s="1"/>
  <c r="S2362" i="1"/>
  <c r="AA2362" i="1" s="1"/>
  <c r="S2358" i="1"/>
  <c r="AA2358" i="1" s="1"/>
  <c r="S2354" i="1"/>
  <c r="AA2354" i="1" s="1"/>
  <c r="S2350" i="1"/>
  <c r="AA2350" i="1" s="1"/>
  <c r="S2346" i="1"/>
  <c r="AA2346" i="1" s="1"/>
  <c r="S2342" i="1"/>
  <c r="AA2342" i="1" s="1"/>
  <c r="S2338" i="1"/>
  <c r="AA2338" i="1" s="1"/>
  <c r="S2334" i="1"/>
  <c r="AA2334" i="1" s="1"/>
  <c r="S2330" i="1"/>
  <c r="AA2330" i="1" s="1"/>
  <c r="S2326" i="1"/>
  <c r="AA2326" i="1" s="1"/>
  <c r="S2322" i="1"/>
  <c r="AA2322" i="1" s="1"/>
  <c r="S2318" i="1"/>
  <c r="AA2318" i="1" s="1"/>
  <c r="S2314" i="1"/>
  <c r="AA2314" i="1" s="1"/>
  <c r="S2310" i="1"/>
  <c r="AA2310" i="1" s="1"/>
  <c r="S2306" i="1"/>
  <c r="AA2306" i="1" s="1"/>
  <c r="S2302" i="1"/>
  <c r="AA2302" i="1" s="1"/>
  <c r="S2298" i="1"/>
  <c r="AA2298" i="1" s="1"/>
  <c r="S2294" i="1"/>
  <c r="AA2294" i="1" s="1"/>
  <c r="S2290" i="1"/>
  <c r="AA2290" i="1" s="1"/>
  <c r="S2286" i="1"/>
  <c r="AA2286" i="1" s="1"/>
  <c r="S2282" i="1"/>
  <c r="AA2282" i="1" s="1"/>
  <c r="S2278" i="1"/>
  <c r="AA2278" i="1" s="1"/>
  <c r="S2274" i="1"/>
  <c r="AA2274" i="1" s="1"/>
  <c r="S2270" i="1"/>
  <c r="AA2270" i="1" s="1"/>
  <c r="S2266" i="1"/>
  <c r="AA2266" i="1" s="1"/>
  <c r="S2262" i="1"/>
  <c r="AA2262" i="1" s="1"/>
  <c r="S2258" i="1"/>
  <c r="AA2258" i="1" s="1"/>
  <c r="S2254" i="1"/>
  <c r="AA2254" i="1" s="1"/>
  <c r="S2250" i="1"/>
  <c r="AA2250" i="1" s="1"/>
  <c r="S2246" i="1"/>
  <c r="AA2246" i="1" s="1"/>
  <c r="S2242" i="1"/>
  <c r="AA2242" i="1" s="1"/>
  <c r="S2238" i="1"/>
  <c r="AA2238" i="1" s="1"/>
  <c r="S2234" i="1"/>
  <c r="AA2234" i="1" s="1"/>
  <c r="S2230" i="1"/>
  <c r="AA2230" i="1" s="1"/>
  <c r="S2226" i="1"/>
  <c r="AA2226" i="1" s="1"/>
  <c r="S2222" i="1"/>
  <c r="AA2222" i="1" s="1"/>
  <c r="S2218" i="1"/>
  <c r="AA2218" i="1" s="1"/>
  <c r="S2214" i="1"/>
  <c r="AA2214" i="1" s="1"/>
  <c r="S2210" i="1"/>
  <c r="AA2210" i="1" s="1"/>
  <c r="S2206" i="1"/>
  <c r="AA2206" i="1" s="1"/>
  <c r="S2202" i="1"/>
  <c r="AA2202" i="1" s="1"/>
  <c r="S2198" i="1"/>
  <c r="AA2198" i="1" s="1"/>
  <c r="S2194" i="1"/>
  <c r="AA2194" i="1" s="1"/>
  <c r="S2190" i="1"/>
  <c r="AA2190" i="1" s="1"/>
  <c r="S2186" i="1"/>
  <c r="AA2186" i="1" s="1"/>
  <c r="S2182" i="1"/>
  <c r="AA2182" i="1" s="1"/>
  <c r="S2178" i="1"/>
  <c r="AA2178" i="1" s="1"/>
  <c r="S2174" i="1"/>
  <c r="AA2174" i="1" s="1"/>
  <c r="S2170" i="1"/>
  <c r="AA2170" i="1" s="1"/>
  <c r="S2166" i="1"/>
  <c r="AA2166" i="1" s="1"/>
  <c r="S2162" i="1"/>
  <c r="AA2162" i="1" s="1"/>
  <c r="S2158" i="1"/>
  <c r="AA2158" i="1" s="1"/>
  <c r="S2154" i="1"/>
  <c r="AA2154" i="1" s="1"/>
  <c r="S2150" i="1"/>
  <c r="AA2150" i="1" s="1"/>
  <c r="S2146" i="1"/>
  <c r="AA2146" i="1" s="1"/>
  <c r="S2142" i="1"/>
  <c r="AA2142" i="1" s="1"/>
  <c r="S2138" i="1"/>
  <c r="AA2138" i="1" s="1"/>
  <c r="S2134" i="1"/>
  <c r="AA2134" i="1" s="1"/>
  <c r="S2130" i="1"/>
  <c r="AA2130" i="1" s="1"/>
  <c r="S2126" i="1"/>
  <c r="AA2126" i="1" s="1"/>
  <c r="S2122" i="1"/>
  <c r="AA2122" i="1" s="1"/>
  <c r="S2118" i="1"/>
  <c r="AA2118" i="1" s="1"/>
  <c r="S2114" i="1"/>
  <c r="AA2114" i="1" s="1"/>
  <c r="S2110" i="1"/>
  <c r="AA2110" i="1" s="1"/>
  <c r="S2106" i="1"/>
  <c r="AA2106" i="1" s="1"/>
  <c r="S2102" i="1"/>
  <c r="AA2102" i="1" s="1"/>
  <c r="S2098" i="1"/>
  <c r="AA2098" i="1" s="1"/>
  <c r="S2094" i="1"/>
  <c r="AA2094" i="1" s="1"/>
  <c r="S2090" i="1"/>
  <c r="AA2090" i="1" s="1"/>
  <c r="S2086" i="1"/>
  <c r="AA2086" i="1" s="1"/>
  <c r="S2082" i="1"/>
  <c r="AA2082" i="1" s="1"/>
  <c r="S2078" i="1"/>
  <c r="AA2078" i="1" s="1"/>
  <c r="S2074" i="1"/>
  <c r="AA2074" i="1" s="1"/>
  <c r="S2070" i="1"/>
  <c r="AA2070" i="1" s="1"/>
  <c r="S2066" i="1"/>
  <c r="AA2066" i="1" s="1"/>
  <c r="S2062" i="1"/>
  <c r="AA2062" i="1" s="1"/>
  <c r="S2058" i="1"/>
  <c r="AA2058" i="1" s="1"/>
  <c r="S2054" i="1"/>
  <c r="AA2054" i="1" s="1"/>
  <c r="S2050" i="1"/>
  <c r="AA2050" i="1" s="1"/>
  <c r="S2046" i="1"/>
  <c r="AA2046" i="1" s="1"/>
  <c r="S2042" i="1"/>
  <c r="AA2042" i="1" s="1"/>
  <c r="S2038" i="1"/>
  <c r="AA2038" i="1" s="1"/>
  <c r="S2034" i="1"/>
  <c r="AA2034" i="1" s="1"/>
  <c r="S2030" i="1"/>
  <c r="AA2030" i="1" s="1"/>
  <c r="S2026" i="1"/>
  <c r="AA2026" i="1" s="1"/>
  <c r="S2022" i="1"/>
  <c r="AA2022" i="1" s="1"/>
  <c r="S2018" i="1"/>
  <c r="AA2018" i="1" s="1"/>
  <c r="S2014" i="1"/>
  <c r="AA2014" i="1" s="1"/>
  <c r="S2010" i="1"/>
  <c r="AA2010" i="1" s="1"/>
  <c r="S2006" i="1"/>
  <c r="AA2006" i="1" s="1"/>
  <c r="S2002" i="1"/>
  <c r="AA2002" i="1" s="1"/>
  <c r="S1998" i="1"/>
  <c r="AA1998" i="1" s="1"/>
  <c r="S1994" i="1"/>
  <c r="AA1994" i="1" s="1"/>
  <c r="S1990" i="1"/>
  <c r="AA1990" i="1" s="1"/>
  <c r="S1986" i="1"/>
  <c r="AA1986" i="1" s="1"/>
  <c r="S1982" i="1"/>
  <c r="AA1982" i="1" s="1"/>
  <c r="S1978" i="1"/>
  <c r="AA1978" i="1" s="1"/>
  <c r="S1974" i="1"/>
  <c r="AA1974" i="1" s="1"/>
  <c r="S1970" i="1"/>
  <c r="AA1970" i="1" s="1"/>
  <c r="S1966" i="1"/>
  <c r="AA1966" i="1" s="1"/>
  <c r="S1962" i="1"/>
  <c r="AA1962" i="1" s="1"/>
  <c r="S1958" i="1"/>
  <c r="AA1958" i="1" s="1"/>
  <c r="S1954" i="1"/>
  <c r="AA1954" i="1" s="1"/>
  <c r="S1950" i="1"/>
  <c r="AA1950" i="1" s="1"/>
  <c r="S1946" i="1"/>
  <c r="AA1946" i="1" s="1"/>
  <c r="S1942" i="1"/>
  <c r="AA1942" i="1" s="1"/>
  <c r="S1938" i="1"/>
  <c r="AA1938" i="1" s="1"/>
  <c r="S1934" i="1"/>
  <c r="AA1934" i="1" s="1"/>
  <c r="S1930" i="1"/>
  <c r="AA1930" i="1" s="1"/>
  <c r="S1926" i="1"/>
  <c r="AA1926" i="1" s="1"/>
  <c r="S1922" i="1"/>
  <c r="AA1922" i="1" s="1"/>
  <c r="S1918" i="1"/>
  <c r="AA1918" i="1" s="1"/>
  <c r="S1914" i="1"/>
  <c r="AA1914" i="1" s="1"/>
  <c r="S1910" i="1"/>
  <c r="AA1910" i="1" s="1"/>
  <c r="S1906" i="1"/>
  <c r="AA1906" i="1" s="1"/>
  <c r="S1902" i="1"/>
  <c r="AA1902" i="1" s="1"/>
  <c r="S1898" i="1"/>
  <c r="AA1898" i="1" s="1"/>
  <c r="S1894" i="1"/>
  <c r="AA1894" i="1" s="1"/>
  <c r="S1890" i="1"/>
  <c r="AA1890" i="1" s="1"/>
  <c r="S1886" i="1"/>
  <c r="AA1886" i="1" s="1"/>
  <c r="S1882" i="1"/>
  <c r="AA1882" i="1" s="1"/>
  <c r="S1878" i="1"/>
  <c r="AA1878" i="1" s="1"/>
  <c r="S1874" i="1"/>
  <c r="AA1874" i="1" s="1"/>
  <c r="S1870" i="1"/>
  <c r="AA1870" i="1" s="1"/>
  <c r="S1866" i="1"/>
  <c r="AA1866" i="1" s="1"/>
  <c r="S1862" i="1"/>
  <c r="AA1862" i="1" s="1"/>
  <c r="S1858" i="1"/>
  <c r="AA1858" i="1" s="1"/>
  <c r="S1854" i="1"/>
  <c r="AA1854" i="1" s="1"/>
  <c r="S1850" i="1"/>
  <c r="AA1850" i="1" s="1"/>
  <c r="S1846" i="1"/>
  <c r="AA1846" i="1" s="1"/>
  <c r="S1842" i="1"/>
  <c r="AA1842" i="1" s="1"/>
  <c r="S1838" i="1"/>
  <c r="AA1838" i="1" s="1"/>
  <c r="S1834" i="1"/>
  <c r="AA1834" i="1" s="1"/>
  <c r="S1830" i="1"/>
  <c r="AA1830" i="1" s="1"/>
  <c r="S1826" i="1"/>
  <c r="AA1826" i="1" s="1"/>
  <c r="S1822" i="1"/>
  <c r="AA1822" i="1" s="1"/>
  <c r="S1818" i="1"/>
  <c r="AA1818" i="1" s="1"/>
  <c r="S1814" i="1"/>
  <c r="AA1814" i="1" s="1"/>
  <c r="S1810" i="1"/>
  <c r="AA1810" i="1" s="1"/>
  <c r="S1806" i="1"/>
  <c r="AA1806" i="1" s="1"/>
  <c r="S1802" i="1"/>
  <c r="AA1802" i="1" s="1"/>
  <c r="S1798" i="1"/>
  <c r="AA1798" i="1" s="1"/>
  <c r="S1794" i="1"/>
  <c r="AA1794" i="1" s="1"/>
  <c r="S1790" i="1"/>
  <c r="AA1790" i="1" s="1"/>
  <c r="S1786" i="1"/>
  <c r="AA1786" i="1" s="1"/>
  <c r="S1782" i="1"/>
  <c r="AA1782" i="1" s="1"/>
  <c r="S1778" i="1"/>
  <c r="AA1778" i="1" s="1"/>
  <c r="S1774" i="1"/>
  <c r="AA1774" i="1" s="1"/>
  <c r="S1770" i="1"/>
  <c r="AA1770" i="1" s="1"/>
  <c r="S1766" i="1"/>
  <c r="AA1766" i="1" s="1"/>
  <c r="S1762" i="1"/>
  <c r="AA1762" i="1" s="1"/>
  <c r="S1758" i="1"/>
  <c r="AA1758" i="1" s="1"/>
  <c r="S1754" i="1"/>
  <c r="AA1754" i="1" s="1"/>
  <c r="S1750" i="1"/>
  <c r="AA1750" i="1" s="1"/>
  <c r="S1746" i="1"/>
  <c r="AA1746" i="1" s="1"/>
  <c r="S1742" i="1"/>
  <c r="AA1742" i="1" s="1"/>
  <c r="S1738" i="1"/>
  <c r="AA1738" i="1" s="1"/>
  <c r="S1734" i="1"/>
  <c r="AA1734" i="1" s="1"/>
  <c r="S1730" i="1"/>
  <c r="AA1730" i="1" s="1"/>
  <c r="S1726" i="1"/>
  <c r="AA1726" i="1" s="1"/>
  <c r="S1722" i="1"/>
  <c r="AA1722" i="1" s="1"/>
  <c r="S1718" i="1"/>
  <c r="AA1718" i="1" s="1"/>
  <c r="S1714" i="1"/>
  <c r="AA1714" i="1" s="1"/>
  <c r="S1710" i="1"/>
  <c r="AA1710" i="1" s="1"/>
  <c r="S1706" i="1"/>
  <c r="AA1706" i="1" s="1"/>
  <c r="S1702" i="1"/>
  <c r="AA1702" i="1" s="1"/>
  <c r="S1698" i="1"/>
  <c r="AA1698" i="1" s="1"/>
  <c r="S1694" i="1"/>
  <c r="AA1694" i="1" s="1"/>
  <c r="S1690" i="1"/>
  <c r="AA1690" i="1" s="1"/>
  <c r="S1686" i="1"/>
  <c r="AA1686" i="1" s="1"/>
  <c r="S1682" i="1"/>
  <c r="AA1682" i="1" s="1"/>
  <c r="S1678" i="1"/>
  <c r="AA1678" i="1" s="1"/>
  <c r="S1674" i="1"/>
  <c r="AA1674" i="1" s="1"/>
  <c r="S1670" i="1"/>
  <c r="AA1670" i="1" s="1"/>
  <c r="S1666" i="1"/>
  <c r="AA1666" i="1" s="1"/>
  <c r="S1662" i="1"/>
  <c r="AA1662" i="1" s="1"/>
  <c r="S1658" i="1"/>
  <c r="AA1658" i="1" s="1"/>
  <c r="S1654" i="1"/>
  <c r="AA1654" i="1" s="1"/>
  <c r="S1650" i="1"/>
  <c r="AA1650" i="1" s="1"/>
  <c r="S1646" i="1"/>
  <c r="AA1646" i="1" s="1"/>
  <c r="S1642" i="1"/>
  <c r="AA1642" i="1" s="1"/>
  <c r="S1638" i="1"/>
  <c r="AA1638" i="1" s="1"/>
  <c r="S1634" i="1"/>
  <c r="AA1634" i="1" s="1"/>
  <c r="S1630" i="1"/>
  <c r="AA1630" i="1" s="1"/>
  <c r="S1626" i="1"/>
  <c r="AA1626" i="1" s="1"/>
  <c r="S1622" i="1"/>
  <c r="AA1622" i="1" s="1"/>
  <c r="S1618" i="1"/>
  <c r="AA1618" i="1" s="1"/>
  <c r="S1614" i="1"/>
  <c r="AA1614" i="1" s="1"/>
  <c r="S1610" i="1"/>
  <c r="AA1610" i="1" s="1"/>
  <c r="S1606" i="1"/>
  <c r="AA1606" i="1" s="1"/>
  <c r="S1602" i="1"/>
  <c r="AA1602" i="1" s="1"/>
  <c r="S1598" i="1"/>
  <c r="AA1598" i="1" s="1"/>
  <c r="S1594" i="1"/>
  <c r="AA1594" i="1" s="1"/>
  <c r="S1590" i="1"/>
  <c r="AA1590" i="1" s="1"/>
  <c r="S1586" i="1"/>
  <c r="AA1586" i="1" s="1"/>
  <c r="S1582" i="1"/>
  <c r="AA1582" i="1" s="1"/>
  <c r="S1578" i="1"/>
  <c r="AA1578" i="1" s="1"/>
  <c r="S1574" i="1"/>
  <c r="AA1574" i="1" s="1"/>
  <c r="S1570" i="1"/>
  <c r="AA1570" i="1" s="1"/>
  <c r="S1566" i="1"/>
  <c r="AA1566" i="1" s="1"/>
  <c r="S1562" i="1"/>
  <c r="AA1562" i="1" s="1"/>
  <c r="S1558" i="1"/>
  <c r="AA1558" i="1" s="1"/>
  <c r="S1554" i="1"/>
  <c r="AA1554" i="1" s="1"/>
  <c r="S1550" i="1"/>
  <c r="AA1550" i="1" s="1"/>
  <c r="S1546" i="1"/>
  <c r="AA1546" i="1" s="1"/>
  <c r="S1542" i="1"/>
  <c r="AA1542" i="1" s="1"/>
  <c r="S1538" i="1"/>
  <c r="AA1538" i="1" s="1"/>
  <c r="S1534" i="1"/>
  <c r="AA1534" i="1" s="1"/>
  <c r="S1530" i="1"/>
  <c r="AA1530" i="1" s="1"/>
  <c r="S1526" i="1"/>
  <c r="AA1526" i="1" s="1"/>
  <c r="S1522" i="1"/>
  <c r="AA1522" i="1" s="1"/>
  <c r="S1518" i="1"/>
  <c r="AA1518" i="1" s="1"/>
  <c r="S1514" i="1"/>
  <c r="AA1514" i="1" s="1"/>
  <c r="S1510" i="1"/>
  <c r="AA1510" i="1" s="1"/>
  <c r="S1506" i="1"/>
  <c r="AA1506" i="1" s="1"/>
  <c r="S1502" i="1"/>
  <c r="AA1502" i="1" s="1"/>
  <c r="S1498" i="1"/>
  <c r="AA1498" i="1" s="1"/>
  <c r="S1494" i="1"/>
  <c r="AA1494" i="1" s="1"/>
  <c r="S1490" i="1"/>
  <c r="AA1490" i="1" s="1"/>
  <c r="S1486" i="1"/>
  <c r="AA1486" i="1" s="1"/>
  <c r="S1482" i="1"/>
  <c r="AA1482" i="1" s="1"/>
  <c r="S1478" i="1"/>
  <c r="AA1478" i="1" s="1"/>
  <c r="S1474" i="1"/>
  <c r="AA1474" i="1" s="1"/>
  <c r="S1470" i="1"/>
  <c r="AA1470" i="1" s="1"/>
  <c r="S1466" i="1"/>
  <c r="AA1466" i="1" s="1"/>
  <c r="S1462" i="1"/>
  <c r="AA1462" i="1" s="1"/>
  <c r="S1458" i="1"/>
  <c r="AA1458" i="1" s="1"/>
  <c r="S1454" i="1"/>
  <c r="AA1454" i="1" s="1"/>
  <c r="S1450" i="1"/>
  <c r="AA1450" i="1" s="1"/>
  <c r="S1446" i="1"/>
  <c r="AA1446" i="1" s="1"/>
  <c r="S1442" i="1"/>
  <c r="AA1442" i="1" s="1"/>
  <c r="S1438" i="1"/>
  <c r="AA1438" i="1" s="1"/>
  <c r="S1434" i="1"/>
  <c r="AA1434" i="1" s="1"/>
  <c r="S1430" i="1"/>
  <c r="AA1430" i="1" s="1"/>
  <c r="S1426" i="1"/>
  <c r="AA1426" i="1" s="1"/>
  <c r="S1422" i="1"/>
  <c r="AA1422" i="1" s="1"/>
  <c r="S1418" i="1"/>
  <c r="AA1418" i="1" s="1"/>
  <c r="S1414" i="1"/>
  <c r="AA1414" i="1" s="1"/>
  <c r="S1410" i="1"/>
  <c r="AA1410" i="1" s="1"/>
  <c r="S1406" i="1"/>
  <c r="AA1406" i="1" s="1"/>
  <c r="S1402" i="1"/>
  <c r="AA1402" i="1" s="1"/>
  <c r="S1398" i="1"/>
  <c r="AA1398" i="1" s="1"/>
  <c r="S1394" i="1"/>
  <c r="AA1394" i="1" s="1"/>
  <c r="S1390" i="1"/>
  <c r="AA1390" i="1" s="1"/>
  <c r="S1386" i="1"/>
  <c r="AA1386" i="1" s="1"/>
  <c r="S1382" i="1"/>
  <c r="AA1382" i="1" s="1"/>
  <c r="S1378" i="1"/>
  <c r="AA1378" i="1" s="1"/>
  <c r="S1374" i="1"/>
  <c r="AA1374" i="1" s="1"/>
  <c r="S1370" i="1"/>
  <c r="AA1370" i="1" s="1"/>
  <c r="S1366" i="1"/>
  <c r="AA1366" i="1" s="1"/>
  <c r="S1362" i="1"/>
  <c r="AA1362" i="1" s="1"/>
  <c r="S1358" i="1"/>
  <c r="AA1358" i="1" s="1"/>
  <c r="S1354" i="1"/>
  <c r="AA1354" i="1" s="1"/>
  <c r="S1350" i="1"/>
  <c r="AA1350" i="1" s="1"/>
  <c r="S1346" i="1"/>
  <c r="AA1346" i="1" s="1"/>
  <c r="S1342" i="1"/>
  <c r="AA1342" i="1" s="1"/>
  <c r="S1338" i="1"/>
  <c r="AA1338" i="1" s="1"/>
  <c r="S1334" i="1"/>
  <c r="AA1334" i="1" s="1"/>
  <c r="S1330" i="1"/>
  <c r="AA1330" i="1" s="1"/>
  <c r="S1326" i="1"/>
  <c r="AA1326" i="1" s="1"/>
  <c r="S1322" i="1"/>
  <c r="AA1322" i="1" s="1"/>
  <c r="S1318" i="1"/>
  <c r="AA1318" i="1" s="1"/>
  <c r="S1314" i="1"/>
  <c r="AA1314" i="1" s="1"/>
  <c r="S1310" i="1"/>
  <c r="AA1310" i="1" s="1"/>
  <c r="S1306" i="1"/>
  <c r="AA1306" i="1" s="1"/>
  <c r="S1302" i="1"/>
  <c r="AA1302" i="1" s="1"/>
  <c r="S1298" i="1"/>
  <c r="AA1298" i="1" s="1"/>
  <c r="S1294" i="1"/>
  <c r="AA1294" i="1" s="1"/>
  <c r="S1290" i="1"/>
  <c r="AA1290" i="1" s="1"/>
  <c r="S1286" i="1"/>
  <c r="AA1286" i="1" s="1"/>
  <c r="S1282" i="1"/>
  <c r="AA1282" i="1" s="1"/>
  <c r="S1278" i="1"/>
  <c r="AA1278" i="1" s="1"/>
  <c r="S1274" i="1"/>
  <c r="AA1274" i="1" s="1"/>
  <c r="S1270" i="1"/>
  <c r="AA1270" i="1" s="1"/>
  <c r="S1266" i="1"/>
  <c r="AA1266" i="1" s="1"/>
  <c r="S1262" i="1"/>
  <c r="AA1262" i="1" s="1"/>
  <c r="S1258" i="1"/>
  <c r="AA1258" i="1" s="1"/>
  <c r="S1254" i="1"/>
  <c r="AA1254" i="1" s="1"/>
  <c r="S1250" i="1"/>
  <c r="AA1250" i="1" s="1"/>
  <c r="S1246" i="1"/>
  <c r="AA1246" i="1" s="1"/>
  <c r="S1242" i="1"/>
  <c r="AA1242" i="1" s="1"/>
  <c r="S1238" i="1"/>
  <c r="AA1238" i="1" s="1"/>
  <c r="S1234" i="1"/>
  <c r="AA1234" i="1" s="1"/>
  <c r="S1230" i="1"/>
  <c r="AA1230" i="1" s="1"/>
  <c r="S1226" i="1"/>
  <c r="AA1226" i="1" s="1"/>
  <c r="S1222" i="1"/>
  <c r="AA1222" i="1" s="1"/>
  <c r="S1218" i="1"/>
  <c r="AA1218" i="1" s="1"/>
  <c r="S1214" i="1"/>
  <c r="AA1214" i="1" s="1"/>
  <c r="S1210" i="1"/>
  <c r="AA1210" i="1" s="1"/>
  <c r="S1206" i="1"/>
  <c r="AA1206" i="1" s="1"/>
  <c r="S1202" i="1"/>
  <c r="AA1202" i="1" s="1"/>
  <c r="S1198" i="1"/>
  <c r="AA1198" i="1" s="1"/>
  <c r="S1194" i="1"/>
  <c r="AA1194" i="1" s="1"/>
  <c r="S1190" i="1"/>
  <c r="AA1190" i="1" s="1"/>
  <c r="S1186" i="1"/>
  <c r="AA1186" i="1" s="1"/>
  <c r="S1182" i="1"/>
  <c r="AA1182" i="1" s="1"/>
  <c r="S1178" i="1"/>
  <c r="AA1178" i="1" s="1"/>
  <c r="S1174" i="1"/>
  <c r="AA1174" i="1" s="1"/>
  <c r="S1170" i="1"/>
  <c r="AA1170" i="1" s="1"/>
  <c r="S1166" i="1"/>
  <c r="AA1166" i="1" s="1"/>
  <c r="S1162" i="1"/>
  <c r="AA1162" i="1" s="1"/>
  <c r="S1158" i="1"/>
  <c r="AA1158" i="1" s="1"/>
  <c r="S1154" i="1"/>
  <c r="AA1154" i="1" s="1"/>
  <c r="S1150" i="1"/>
  <c r="AA1150" i="1" s="1"/>
  <c r="S1146" i="1"/>
  <c r="AA1146" i="1" s="1"/>
  <c r="S1142" i="1"/>
  <c r="AA1142" i="1" s="1"/>
  <c r="S1138" i="1"/>
  <c r="AA1138" i="1" s="1"/>
  <c r="S1134" i="1"/>
  <c r="AA1134" i="1" s="1"/>
  <c r="S1130" i="1"/>
  <c r="AA1130" i="1" s="1"/>
  <c r="S1126" i="1"/>
  <c r="AA1126" i="1" s="1"/>
  <c r="S1122" i="1"/>
  <c r="AA1122" i="1" s="1"/>
  <c r="S1118" i="1"/>
  <c r="AA1118" i="1" s="1"/>
  <c r="S1114" i="1"/>
  <c r="AA1114" i="1" s="1"/>
  <c r="S1110" i="1"/>
  <c r="AA1110" i="1" s="1"/>
  <c r="S1106" i="1"/>
  <c r="AA1106" i="1" s="1"/>
  <c r="S1102" i="1"/>
  <c r="AA1102" i="1" s="1"/>
  <c r="S1098" i="1"/>
  <c r="AA1098" i="1" s="1"/>
  <c r="S1094" i="1"/>
  <c r="AA1094" i="1" s="1"/>
  <c r="S1090" i="1"/>
  <c r="AA1090" i="1" s="1"/>
  <c r="S1086" i="1"/>
  <c r="AA1086" i="1" s="1"/>
  <c r="S1082" i="1"/>
  <c r="AA1082" i="1" s="1"/>
  <c r="S1078" i="1"/>
  <c r="AA1078" i="1" s="1"/>
  <c r="S1074" i="1"/>
  <c r="AA1074" i="1" s="1"/>
  <c r="S1070" i="1"/>
  <c r="AA1070" i="1" s="1"/>
  <c r="S1066" i="1"/>
  <c r="AA1066" i="1" s="1"/>
  <c r="S1062" i="1"/>
  <c r="AA1062" i="1" s="1"/>
  <c r="S1058" i="1"/>
  <c r="AA1058" i="1" s="1"/>
  <c r="S1054" i="1"/>
  <c r="AA1054" i="1" s="1"/>
  <c r="S1050" i="1"/>
  <c r="AA1050" i="1" s="1"/>
  <c r="S1046" i="1"/>
  <c r="AA1046" i="1" s="1"/>
  <c r="S1042" i="1"/>
  <c r="AA1042" i="1" s="1"/>
  <c r="S1038" i="1"/>
  <c r="AA1038" i="1" s="1"/>
  <c r="S1034" i="1"/>
  <c r="AA1034" i="1" s="1"/>
  <c r="S1030" i="1"/>
  <c r="AA1030" i="1" s="1"/>
  <c r="S1026" i="1"/>
  <c r="AA1026" i="1" s="1"/>
  <c r="S1022" i="1"/>
  <c r="AA1022" i="1" s="1"/>
  <c r="S1018" i="1"/>
  <c r="AA1018" i="1" s="1"/>
  <c r="S1014" i="1"/>
  <c r="AA1014" i="1" s="1"/>
  <c r="S1010" i="1"/>
  <c r="AA1010" i="1" s="1"/>
  <c r="S1006" i="1"/>
  <c r="AA1006" i="1" s="1"/>
  <c r="S1002" i="1"/>
  <c r="AA1002" i="1" s="1"/>
  <c r="S998" i="1"/>
  <c r="AA998" i="1" s="1"/>
  <c r="S994" i="1"/>
  <c r="AA994" i="1" s="1"/>
  <c r="S990" i="1"/>
  <c r="AA990" i="1" s="1"/>
  <c r="S986" i="1"/>
  <c r="AA986" i="1" s="1"/>
  <c r="S982" i="1"/>
  <c r="AA982" i="1" s="1"/>
  <c r="S978" i="1"/>
  <c r="AA978" i="1" s="1"/>
  <c r="S974" i="1"/>
  <c r="AA974" i="1" s="1"/>
  <c r="S970" i="1"/>
  <c r="AA970" i="1" s="1"/>
  <c r="S966" i="1"/>
  <c r="AA966" i="1" s="1"/>
  <c r="S962" i="1"/>
  <c r="AA962" i="1" s="1"/>
  <c r="S958" i="1"/>
  <c r="AA958" i="1" s="1"/>
  <c r="S954" i="1"/>
  <c r="AA954" i="1" s="1"/>
  <c r="S950" i="1"/>
  <c r="AA950" i="1" s="1"/>
  <c r="S946" i="1"/>
  <c r="AA946" i="1" s="1"/>
  <c r="S942" i="1"/>
  <c r="AA942" i="1" s="1"/>
  <c r="S938" i="1"/>
  <c r="AA938" i="1" s="1"/>
  <c r="S934" i="1"/>
  <c r="AA934" i="1" s="1"/>
  <c r="S930" i="1"/>
  <c r="AA930" i="1" s="1"/>
  <c r="S926" i="1"/>
  <c r="AA926" i="1" s="1"/>
  <c r="S922" i="1"/>
  <c r="AA922" i="1" s="1"/>
  <c r="S918" i="1"/>
  <c r="AA918" i="1" s="1"/>
  <c r="S914" i="1"/>
  <c r="AA914" i="1" s="1"/>
  <c r="S910" i="1"/>
  <c r="AA910" i="1" s="1"/>
  <c r="S906" i="1"/>
  <c r="AA906" i="1" s="1"/>
  <c r="S902" i="1"/>
  <c r="AA902" i="1" s="1"/>
  <c r="S898" i="1"/>
  <c r="AA898" i="1" s="1"/>
  <c r="S894" i="1"/>
  <c r="AA894" i="1" s="1"/>
  <c r="S890" i="1"/>
  <c r="AA890" i="1" s="1"/>
  <c r="S886" i="1"/>
  <c r="AA886" i="1" s="1"/>
  <c r="S882" i="1"/>
  <c r="AA882" i="1" s="1"/>
  <c r="S878" i="1"/>
  <c r="AA878" i="1" s="1"/>
  <c r="S874" i="1"/>
  <c r="AA874" i="1" s="1"/>
  <c r="S870" i="1"/>
  <c r="AA870" i="1" s="1"/>
  <c r="S866" i="1"/>
  <c r="AA866" i="1" s="1"/>
  <c r="S862" i="1"/>
  <c r="AA862" i="1" s="1"/>
  <c r="S854" i="1"/>
  <c r="AA854" i="1" s="1"/>
  <c r="AA3993" i="1"/>
  <c r="AA3965" i="1"/>
  <c r="AA3989" i="1"/>
  <c r="J6" i="1"/>
  <c r="J7" i="1"/>
  <c r="J8" i="1"/>
  <c r="J9" i="1"/>
  <c r="J16" i="1"/>
  <c r="J17" i="1"/>
  <c r="J18" i="1"/>
  <c r="J20" i="1"/>
  <c r="J21" i="1"/>
  <c r="J22" i="1"/>
  <c r="J25" i="1"/>
  <c r="J27" i="1"/>
  <c r="J29" i="1"/>
  <c r="J30" i="1"/>
  <c r="J32" i="1"/>
  <c r="J33" i="1"/>
  <c r="J37" i="1"/>
  <c r="J39" i="1"/>
  <c r="J40" i="1"/>
  <c r="J42" i="1"/>
  <c r="J43" i="1"/>
  <c r="J45" i="1"/>
  <c r="J46" i="1"/>
  <c r="J47" i="1"/>
  <c r="J48" i="1"/>
  <c r="J50" i="1"/>
  <c r="J51" i="1"/>
  <c r="J54" i="1"/>
  <c r="J56" i="1"/>
  <c r="J58" i="1"/>
  <c r="J60" i="1"/>
  <c r="J61" i="1"/>
  <c r="J62" i="1"/>
  <c r="J63" i="1"/>
  <c r="J65" i="1"/>
  <c r="J67" i="1"/>
  <c r="J68" i="1"/>
  <c r="J69" i="1"/>
  <c r="J71" i="1"/>
  <c r="J72" i="1"/>
  <c r="J73" i="1"/>
  <c r="J80" i="1"/>
  <c r="J82" i="1"/>
  <c r="J84" i="1"/>
  <c r="J85" i="1"/>
  <c r="J86" i="1"/>
  <c r="J87" i="1"/>
  <c r="J88" i="1"/>
  <c r="J89" i="1"/>
  <c r="J92" i="1"/>
  <c r="J94" i="1"/>
  <c r="J96" i="1"/>
  <c r="J100" i="1"/>
  <c r="J102" i="1"/>
  <c r="J104" i="1"/>
  <c r="J105" i="1"/>
  <c r="J106" i="1"/>
  <c r="J109" i="1"/>
  <c r="J111" i="1"/>
  <c r="J113" i="1"/>
  <c r="J118" i="1"/>
  <c r="J120" i="1"/>
  <c r="J121" i="1"/>
  <c r="J123" i="1"/>
  <c r="J125" i="1"/>
  <c r="J126" i="1"/>
  <c r="J130" i="1"/>
  <c r="J131" i="1"/>
  <c r="J133" i="1"/>
  <c r="J135" i="1"/>
  <c r="J136" i="1"/>
  <c r="J137" i="1"/>
  <c r="J139" i="1"/>
  <c r="J141" i="1"/>
  <c r="J143" i="1"/>
  <c r="J146" i="1"/>
  <c r="J147" i="1"/>
  <c r="J148" i="1"/>
  <c r="J149" i="1"/>
  <c r="J150" i="1"/>
  <c r="J152" i="1"/>
  <c r="J154" i="1"/>
  <c r="J156" i="1"/>
  <c r="J158" i="1"/>
  <c r="J160" i="1"/>
  <c r="J161" i="1"/>
  <c r="J162" i="1"/>
  <c r="J164" i="1"/>
  <c r="J165" i="1"/>
  <c r="J167" i="1"/>
  <c r="J171" i="1"/>
  <c r="J172" i="1"/>
  <c r="J174" i="1"/>
  <c r="J176" i="1"/>
  <c r="J177" i="1"/>
  <c r="J178" i="1"/>
  <c r="J180" i="1"/>
  <c r="J181" i="1"/>
  <c r="J182" i="1"/>
  <c r="J185" i="1"/>
  <c r="J187" i="1"/>
  <c r="J189" i="1"/>
  <c r="J195" i="1"/>
  <c r="J196" i="1"/>
  <c r="J197" i="1"/>
  <c r="J198" i="1"/>
  <c r="J199" i="1"/>
  <c r="J200" i="1"/>
  <c r="J201" i="1"/>
  <c r="J202" i="1"/>
  <c r="J203" i="1"/>
  <c r="J205" i="1"/>
  <c r="J206" i="1"/>
  <c r="J207" i="1"/>
  <c r="J209" i="1"/>
  <c r="J211" i="1"/>
  <c r="J215" i="1"/>
  <c r="J217" i="1"/>
  <c r="J218" i="1"/>
  <c r="J220" i="1"/>
  <c r="J221" i="1"/>
  <c r="J223" i="1"/>
  <c r="J224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6" i="1"/>
  <c r="J259" i="1"/>
  <c r="J260" i="1"/>
  <c r="J262" i="1"/>
  <c r="J263" i="1"/>
  <c r="J264" i="1"/>
  <c r="J265" i="1"/>
  <c r="J266" i="1"/>
  <c r="J267" i="1"/>
  <c r="J268" i="1"/>
  <c r="J269" i="1"/>
  <c r="J271" i="1"/>
  <c r="J272" i="1"/>
  <c r="J273" i="1"/>
  <c r="J274" i="1"/>
  <c r="J275" i="1"/>
  <c r="J278" i="1"/>
  <c r="J281" i="1"/>
  <c r="J283" i="1"/>
  <c r="J284" i="1"/>
  <c r="J285" i="1"/>
  <c r="J287" i="1"/>
  <c r="J288" i="1"/>
  <c r="J289" i="1"/>
  <c r="J291" i="1"/>
  <c r="J293" i="1"/>
  <c r="J294" i="1"/>
  <c r="J295" i="1"/>
  <c r="J296" i="1"/>
  <c r="J297" i="1"/>
  <c r="J299" i="1"/>
  <c r="J301" i="1"/>
  <c r="J303" i="1"/>
  <c r="J305" i="1"/>
  <c r="J306" i="1"/>
  <c r="J308" i="1"/>
  <c r="J309" i="1"/>
  <c r="J310" i="1"/>
  <c r="J312" i="1"/>
  <c r="J313" i="1"/>
  <c r="J314" i="1"/>
  <c r="J315" i="1"/>
  <c r="J316" i="1"/>
  <c r="J317" i="1"/>
  <c r="J318" i="1"/>
  <c r="J319" i="1"/>
  <c r="J320" i="1"/>
  <c r="J321" i="1"/>
  <c r="J324" i="1"/>
  <c r="J325" i="1"/>
  <c r="J326" i="1"/>
  <c r="J328" i="1"/>
  <c r="J331" i="1"/>
  <c r="J332" i="1"/>
  <c r="J335" i="1"/>
  <c r="J336" i="1"/>
  <c r="J337" i="1"/>
  <c r="J340" i="1"/>
  <c r="J341" i="1"/>
  <c r="J343" i="1"/>
  <c r="J344" i="1"/>
  <c r="J345" i="1"/>
  <c r="J347" i="1"/>
  <c r="J348" i="1"/>
  <c r="J349" i="1"/>
  <c r="J351" i="1"/>
  <c r="J352" i="1"/>
  <c r="J354" i="1"/>
  <c r="J355" i="1"/>
  <c r="J357" i="1"/>
  <c r="J358" i="1"/>
  <c r="J359" i="1"/>
  <c r="J361" i="1"/>
  <c r="J362" i="1"/>
  <c r="J364" i="1"/>
  <c r="J365" i="1"/>
  <c r="J366" i="1"/>
  <c r="J367" i="1"/>
  <c r="J368" i="1"/>
  <c r="J369" i="1"/>
  <c r="J370" i="1"/>
  <c r="J371" i="1"/>
  <c r="J372" i="1"/>
  <c r="J374" i="1"/>
  <c r="J375" i="1"/>
  <c r="J376" i="1"/>
  <c r="J378" i="1"/>
  <c r="J379" i="1"/>
  <c r="J381" i="1"/>
  <c r="J383" i="1"/>
  <c r="J384" i="1"/>
  <c r="J385" i="1"/>
  <c r="J386" i="1"/>
  <c r="J387" i="1"/>
  <c r="J390" i="1"/>
  <c r="J392" i="1"/>
  <c r="J393" i="1"/>
  <c r="J395" i="1"/>
  <c r="J397" i="1"/>
  <c r="J398" i="1"/>
  <c r="J399" i="1"/>
  <c r="J400" i="1"/>
  <c r="J401" i="1"/>
  <c r="J407" i="1"/>
  <c r="J408" i="1"/>
  <c r="J409" i="1"/>
  <c r="J410" i="1"/>
  <c r="J411" i="1"/>
  <c r="J415" i="1"/>
  <c r="J416" i="1"/>
  <c r="J417" i="1"/>
  <c r="J418" i="1"/>
  <c r="J419" i="1"/>
  <c r="J421" i="1"/>
  <c r="J423" i="1"/>
  <c r="J424" i="1"/>
  <c r="J425" i="1"/>
  <c r="J426" i="1"/>
  <c r="J427" i="1"/>
  <c r="J428" i="1"/>
  <c r="J429" i="1"/>
  <c r="J430" i="1"/>
  <c r="J432" i="1"/>
  <c r="J434" i="1"/>
  <c r="J435" i="1"/>
  <c r="J437" i="1"/>
  <c r="J438" i="1"/>
  <c r="J440" i="1"/>
  <c r="J441" i="1"/>
  <c r="J443" i="1"/>
  <c r="J445" i="1"/>
  <c r="J446" i="1"/>
  <c r="J448" i="1"/>
  <c r="J449" i="1"/>
  <c r="J452" i="1"/>
  <c r="J454" i="1"/>
  <c r="J456" i="1"/>
  <c r="J458" i="1"/>
  <c r="J461" i="1"/>
  <c r="J463" i="1"/>
  <c r="J465" i="1"/>
  <c r="J466" i="1"/>
  <c r="J467" i="1"/>
  <c r="J468" i="1"/>
  <c r="J469" i="1"/>
  <c r="J471" i="1"/>
  <c r="J472" i="1"/>
  <c r="J474" i="1"/>
  <c r="J475" i="1"/>
  <c r="J476" i="1"/>
  <c r="J478" i="1"/>
  <c r="J482" i="1"/>
  <c r="J484" i="1"/>
  <c r="J485" i="1"/>
  <c r="J487" i="1"/>
  <c r="J488" i="1"/>
  <c r="J490" i="1"/>
  <c r="J492" i="1"/>
  <c r="J493" i="1"/>
  <c r="J497" i="1"/>
  <c r="J499" i="1"/>
  <c r="J501" i="1"/>
  <c r="J502" i="1"/>
  <c r="J506" i="1"/>
  <c r="J508" i="1"/>
  <c r="J509" i="1"/>
  <c r="J511" i="1"/>
  <c r="J512" i="1"/>
  <c r="J513" i="1"/>
  <c r="J515" i="1"/>
  <c r="J516" i="1"/>
  <c r="J517" i="1"/>
  <c r="J521" i="1"/>
  <c r="J523" i="1"/>
  <c r="J524" i="1"/>
  <c r="J525" i="1"/>
  <c r="J526" i="1"/>
  <c r="J527" i="1"/>
  <c r="J528" i="1"/>
  <c r="J529" i="1"/>
  <c r="J530" i="1"/>
  <c r="J532" i="1"/>
  <c r="J533" i="1"/>
  <c r="J535" i="1"/>
  <c r="J536" i="1"/>
  <c r="J538" i="1"/>
  <c r="J539" i="1"/>
  <c r="J540" i="1"/>
  <c r="J541" i="1"/>
  <c r="J542" i="1"/>
  <c r="J543" i="1"/>
  <c r="J544" i="1"/>
  <c r="J546" i="1"/>
  <c r="J548" i="1"/>
  <c r="J549" i="1"/>
  <c r="J551" i="1"/>
  <c r="J552" i="1"/>
  <c r="J554" i="1"/>
  <c r="J556" i="1"/>
  <c r="J557" i="1"/>
  <c r="J558" i="1"/>
  <c r="J566" i="1"/>
  <c r="J568" i="1"/>
  <c r="J570" i="1"/>
  <c r="J572" i="1"/>
  <c r="J574" i="1"/>
  <c r="J576" i="1"/>
  <c r="J577" i="1"/>
  <c r="J578" i="1"/>
  <c r="J581" i="1"/>
  <c r="J584" i="1"/>
  <c r="J585" i="1"/>
  <c r="J586" i="1"/>
  <c r="J588" i="1"/>
  <c r="J589" i="1"/>
  <c r="J590" i="1"/>
  <c r="J592" i="1"/>
  <c r="J593" i="1"/>
  <c r="J594" i="1"/>
  <c r="J595" i="1"/>
  <c r="J597" i="1"/>
  <c r="J600" i="1"/>
  <c r="J601" i="1"/>
  <c r="J602" i="1"/>
  <c r="J603" i="1"/>
  <c r="J608" i="1"/>
  <c r="J610" i="1"/>
  <c r="J611" i="1"/>
  <c r="J613" i="1"/>
  <c r="J615" i="1"/>
  <c r="J616" i="1"/>
  <c r="J617" i="1"/>
  <c r="J618" i="1"/>
  <c r="J619" i="1"/>
  <c r="J620" i="1"/>
  <c r="J622" i="1"/>
  <c r="J624" i="1"/>
  <c r="J625" i="1"/>
  <c r="J627" i="1"/>
  <c r="J629" i="1"/>
  <c r="J630" i="1"/>
  <c r="J633" i="1"/>
  <c r="J634" i="1"/>
  <c r="J636" i="1"/>
  <c r="J637" i="1"/>
  <c r="J640" i="1"/>
  <c r="J641" i="1"/>
  <c r="J644" i="1"/>
  <c r="J645" i="1"/>
  <c r="J646" i="1"/>
  <c r="J647" i="1"/>
  <c r="J648" i="1"/>
  <c r="J650" i="1"/>
  <c r="J651" i="1"/>
  <c r="J652" i="1"/>
  <c r="J654" i="1"/>
  <c r="J657" i="1"/>
  <c r="J658" i="1"/>
  <c r="J659" i="1"/>
  <c r="J660" i="1"/>
  <c r="J661" i="1"/>
  <c r="J663" i="1"/>
  <c r="J666" i="1"/>
  <c r="J667" i="1"/>
  <c r="J668" i="1"/>
  <c r="J670" i="1"/>
  <c r="J671" i="1"/>
  <c r="J672" i="1"/>
  <c r="J673" i="1"/>
  <c r="J675" i="1"/>
  <c r="J681" i="1"/>
  <c r="J682" i="1"/>
  <c r="J684" i="1"/>
  <c r="J685" i="1"/>
  <c r="J687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2" i="1"/>
  <c r="J733" i="1"/>
  <c r="J734" i="1"/>
  <c r="J736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V5" i="8"/>
  <c r="V6" i="8" s="1"/>
  <c r="V7" i="8" s="1"/>
  <c r="V8" i="8" s="1"/>
  <c r="V9" i="8" s="1"/>
  <c r="V10" i="8" s="1"/>
  <c r="V11" i="8" s="1"/>
  <c r="V12" i="8" s="1"/>
  <c r="V13" i="8" s="1"/>
  <c r="V14" i="8" s="1"/>
  <c r="V15" i="8" s="1"/>
  <c r="V16" i="8" s="1"/>
  <c r="V17" i="8" s="1"/>
  <c r="V18" i="8" s="1"/>
  <c r="V19" i="8" s="1"/>
  <c r="V20" i="8" s="1"/>
  <c r="V21" i="8" s="1"/>
  <c r="V22" i="8" s="1"/>
  <c r="V23" i="8" s="1"/>
  <c r="V24" i="8" s="1"/>
  <c r="V25" i="8" s="1"/>
  <c r="V26" i="8" s="1"/>
  <c r="V27" i="8" s="1"/>
  <c r="V28" i="8" s="1"/>
  <c r="V29" i="8" s="1"/>
  <c r="V30" i="8" s="1"/>
  <c r="V31" i="8" s="1"/>
  <c r="V32" i="8" s="1"/>
  <c r="V33" i="8" s="1"/>
  <c r="V34" i="8" s="1"/>
  <c r="V35" i="8" s="1"/>
  <c r="V38" i="8" s="1"/>
  <c r="V39" i="8" s="1"/>
  <c r="V40" i="8" s="1"/>
  <c r="V41" i="8" s="1"/>
  <c r="V42" i="8" s="1"/>
  <c r="V43" i="8" s="1"/>
  <c r="V44" i="8" s="1"/>
  <c r="V45" i="8" s="1"/>
  <c r="V46" i="8" s="1"/>
  <c r="V47" i="8" s="1"/>
  <c r="V48" i="8" s="1"/>
  <c r="V49" i="8" s="1"/>
  <c r="V50" i="8" s="1"/>
  <c r="V51" i="8" s="1"/>
  <c r="V52" i="8" s="1"/>
  <c r="V53" i="8" s="1"/>
  <c r="V54" i="8" s="1"/>
  <c r="V55" i="8" s="1"/>
  <c r="V56" i="8" s="1"/>
  <c r="V57" i="8" s="1"/>
  <c r="V58" i="8" s="1"/>
  <c r="V61" i="8" s="1"/>
  <c r="V62" i="8" s="1"/>
  <c r="V63" i="8" s="1"/>
  <c r="V64" i="8" s="1"/>
  <c r="V65" i="8" s="1"/>
  <c r="V66" i="8" s="1"/>
  <c r="V67" i="8" s="1"/>
  <c r="V68" i="8" s="1"/>
  <c r="V69" i="8" s="1"/>
  <c r="V70" i="8" s="1"/>
  <c r="V71" i="8" s="1"/>
  <c r="V72" i="8" s="1"/>
  <c r="V73" i="8" s="1"/>
  <c r="V74" i="8" s="1"/>
  <c r="V75" i="8" s="1"/>
  <c r="V76" i="8" s="1"/>
  <c r="V77" i="8" s="1"/>
  <c r="V78" i="8" s="1"/>
  <c r="R3" i="8"/>
  <c r="S4" i="8"/>
  <c r="T4" i="8"/>
  <c r="I3" i="8"/>
  <c r="J3" i="8"/>
  <c r="L3" i="8"/>
  <c r="M3" i="8"/>
  <c r="P5" i="8"/>
  <c r="Q5" i="8"/>
  <c r="R5" i="8"/>
  <c r="S5" i="8"/>
  <c r="T5" i="8"/>
  <c r="P6" i="8"/>
  <c r="Q6" i="8"/>
  <c r="R6" i="8"/>
  <c r="S6" i="8"/>
  <c r="P7" i="8"/>
  <c r="Q7" i="8"/>
  <c r="R7" i="8"/>
  <c r="S7" i="8"/>
  <c r="T7" i="8"/>
  <c r="Q8" i="8"/>
  <c r="R8" i="8"/>
  <c r="T8" i="8"/>
  <c r="P9" i="8"/>
  <c r="Q9" i="8"/>
  <c r="R9" i="8"/>
  <c r="S9" i="8"/>
  <c r="T9" i="8"/>
  <c r="P10" i="8"/>
  <c r="S10" i="8"/>
  <c r="T10" i="8"/>
  <c r="P11" i="8"/>
  <c r="Q11" i="8"/>
  <c r="R11" i="8"/>
  <c r="S11" i="8"/>
  <c r="Q12" i="8"/>
  <c r="R12" i="8"/>
  <c r="T12" i="8"/>
  <c r="P13" i="8"/>
  <c r="Q13" i="8"/>
  <c r="R13" i="8"/>
  <c r="S13" i="8"/>
  <c r="T13" i="8"/>
  <c r="P14" i="8"/>
  <c r="S14" i="8"/>
  <c r="T14" i="8"/>
  <c r="P15" i="8"/>
  <c r="Q15" i="8"/>
  <c r="R15" i="8"/>
  <c r="S15" i="8"/>
  <c r="P16" i="8"/>
  <c r="Q16" i="8"/>
  <c r="R16" i="8"/>
  <c r="S16" i="8"/>
  <c r="T16" i="8"/>
  <c r="P17" i="8"/>
  <c r="Q17" i="8"/>
  <c r="R17" i="8"/>
  <c r="T17" i="8"/>
  <c r="P18" i="8"/>
  <c r="Q18" i="8"/>
  <c r="R18" i="8"/>
  <c r="S18" i="8"/>
  <c r="T18" i="8"/>
  <c r="S19" i="8"/>
  <c r="T19" i="8"/>
  <c r="P20" i="8"/>
  <c r="Q20" i="8"/>
  <c r="R20" i="8"/>
  <c r="S20" i="8"/>
  <c r="T20" i="8"/>
  <c r="P21" i="8"/>
  <c r="Q21" i="8"/>
  <c r="R21" i="8"/>
  <c r="T21" i="8"/>
  <c r="P22" i="8"/>
  <c r="Q22" i="8"/>
  <c r="R22" i="8"/>
  <c r="S22" i="8"/>
  <c r="P23" i="8"/>
  <c r="Q23" i="8"/>
  <c r="S23" i="8"/>
  <c r="T23" i="8"/>
  <c r="P24" i="8"/>
  <c r="Q24" i="8"/>
  <c r="R24" i="8"/>
  <c r="S24" i="8"/>
  <c r="T24" i="8"/>
  <c r="P25" i="8"/>
  <c r="Q25" i="8"/>
  <c r="R25" i="8"/>
  <c r="S25" i="8"/>
  <c r="T25" i="8"/>
  <c r="R26" i="8"/>
  <c r="S26" i="8"/>
  <c r="T26" i="8"/>
  <c r="P27" i="8"/>
  <c r="Q27" i="8"/>
  <c r="R27" i="8"/>
  <c r="T27" i="8"/>
  <c r="P28" i="8"/>
  <c r="Q28" i="8"/>
  <c r="R28" i="8"/>
  <c r="S28" i="8"/>
  <c r="P29" i="8"/>
  <c r="Q29" i="8"/>
  <c r="R29" i="8"/>
  <c r="S29" i="8"/>
  <c r="T29" i="8"/>
  <c r="Q30" i="8"/>
  <c r="S30" i="8"/>
  <c r="T30" i="8"/>
  <c r="P31" i="8"/>
  <c r="R31" i="8"/>
  <c r="S31" i="8"/>
  <c r="P32" i="8"/>
  <c r="Q32" i="8"/>
  <c r="R32" i="8"/>
  <c r="P33" i="8"/>
  <c r="Q33" i="8"/>
  <c r="S33" i="8"/>
  <c r="T33" i="8"/>
  <c r="P34" i="8"/>
  <c r="R34" i="8"/>
  <c r="S34" i="8"/>
  <c r="T34" i="8"/>
  <c r="P35" i="8"/>
  <c r="Q35" i="8"/>
  <c r="R35" i="8"/>
  <c r="P38" i="8"/>
  <c r="Q38" i="8"/>
  <c r="R38" i="8"/>
  <c r="S38" i="8"/>
  <c r="T38" i="8"/>
  <c r="P40" i="8"/>
  <c r="R40" i="8"/>
  <c r="S40" i="8"/>
  <c r="T40" i="8"/>
  <c r="P41" i="8"/>
  <c r="Q41" i="8"/>
  <c r="S41" i="8"/>
  <c r="T41" i="8"/>
  <c r="P43" i="8"/>
  <c r="Q43" i="8"/>
  <c r="S43" i="8"/>
  <c r="T43" i="8"/>
  <c r="P44" i="8"/>
  <c r="Q44" i="8"/>
  <c r="R44" i="8"/>
  <c r="S44" i="8"/>
  <c r="T44" i="8"/>
  <c r="Q45" i="8"/>
  <c r="R45" i="8"/>
  <c r="S46" i="8"/>
  <c r="T46" i="8"/>
  <c r="P47" i="8"/>
  <c r="Q47" i="8"/>
  <c r="R47" i="8"/>
  <c r="S48" i="8"/>
  <c r="T48" i="8"/>
  <c r="P49" i="8"/>
  <c r="Q49" i="8"/>
  <c r="R49" i="8"/>
  <c r="S49" i="8"/>
  <c r="T49" i="8"/>
  <c r="P50" i="8"/>
  <c r="Q50" i="8"/>
  <c r="R50" i="8"/>
  <c r="S50" i="8"/>
  <c r="T50" i="8"/>
  <c r="P51" i="8"/>
  <c r="Q51" i="8"/>
  <c r="R51" i="8"/>
  <c r="S52" i="8"/>
  <c r="T52" i="8"/>
  <c r="P53" i="8"/>
  <c r="Q53" i="8"/>
  <c r="R53" i="8"/>
  <c r="S53" i="8"/>
  <c r="T53" i="8"/>
  <c r="P54" i="8"/>
  <c r="Q54" i="8"/>
  <c r="R54" i="8"/>
  <c r="S54" i="8"/>
  <c r="T54" i="8"/>
  <c r="P55" i="8"/>
  <c r="R55" i="8"/>
  <c r="S55" i="8"/>
  <c r="T55" i="8"/>
  <c r="P56" i="8"/>
  <c r="Q56" i="8"/>
  <c r="R56" i="8"/>
  <c r="S56" i="8"/>
  <c r="T56" i="8"/>
  <c r="P57" i="8"/>
  <c r="Q57" i="8"/>
  <c r="S57" i="8"/>
  <c r="T57" i="8"/>
  <c r="Q58" i="8"/>
  <c r="R58" i="8"/>
  <c r="Q61" i="8"/>
  <c r="R61" i="8"/>
  <c r="P62" i="8"/>
  <c r="S62" i="8"/>
  <c r="T62" i="8"/>
  <c r="P63" i="8"/>
  <c r="Q63" i="8"/>
  <c r="R63" i="8"/>
  <c r="S63" i="8"/>
  <c r="T63" i="8"/>
  <c r="Q64" i="8"/>
  <c r="R64" i="8"/>
  <c r="P65" i="8"/>
  <c r="Q65" i="8"/>
  <c r="R65" i="8"/>
  <c r="S65" i="8"/>
  <c r="T65" i="8"/>
  <c r="P66" i="8"/>
  <c r="S66" i="8"/>
  <c r="T66" i="8"/>
  <c r="Q67" i="8"/>
  <c r="R67" i="8"/>
  <c r="P68" i="8"/>
  <c r="Q68" i="8"/>
  <c r="R68" i="8"/>
  <c r="S68" i="8"/>
  <c r="S69" i="8" s="1"/>
  <c r="T68" i="8"/>
  <c r="P69" i="8"/>
  <c r="Q69" i="8"/>
  <c r="R69" i="8"/>
  <c r="T69" i="8"/>
  <c r="P70" i="8"/>
  <c r="Q70" i="8"/>
  <c r="S70" i="8"/>
  <c r="T70" i="8"/>
  <c r="P71" i="8"/>
  <c r="Q71" i="8"/>
  <c r="R71" i="8"/>
  <c r="S71" i="8"/>
  <c r="T71" i="8"/>
  <c r="R72" i="8"/>
  <c r="P73" i="8"/>
  <c r="T73" i="8"/>
  <c r="R74" i="8"/>
  <c r="P75" i="8"/>
  <c r="S75" i="8"/>
  <c r="T75" i="8"/>
  <c r="P76" i="8"/>
  <c r="Q76" i="8"/>
  <c r="R76" i="8"/>
  <c r="S76" i="8"/>
  <c r="T76" i="8"/>
  <c r="P77" i="8"/>
  <c r="Q77" i="8"/>
  <c r="R77" i="8"/>
  <c r="T77" i="8"/>
  <c r="S78" i="8"/>
  <c r="Q4" i="8"/>
  <c r="K5" i="8"/>
  <c r="M5" i="8"/>
  <c r="I6" i="8"/>
  <c r="J6" i="8"/>
  <c r="K6" i="8"/>
  <c r="L6" i="8"/>
  <c r="M6" i="8"/>
  <c r="I7" i="8"/>
  <c r="J7" i="8"/>
  <c r="J8" i="8"/>
  <c r="K8" i="8"/>
  <c r="L8" i="8"/>
  <c r="M8" i="8"/>
  <c r="J9" i="8"/>
  <c r="K9" i="8"/>
  <c r="L9" i="8"/>
  <c r="M9" i="8"/>
  <c r="I10" i="8"/>
  <c r="K10" i="8"/>
  <c r="I11" i="8"/>
  <c r="J11" i="8"/>
  <c r="K11" i="8"/>
  <c r="L11" i="8"/>
  <c r="L12" i="8" s="1"/>
  <c r="M11" i="8"/>
  <c r="I12" i="8"/>
  <c r="J12" i="8"/>
  <c r="J13" i="8" s="1"/>
  <c r="K12" i="8"/>
  <c r="M12" i="8"/>
  <c r="I13" i="8"/>
  <c r="I14" i="8"/>
  <c r="K14" i="8"/>
  <c r="L14" i="8"/>
  <c r="M14" i="8"/>
  <c r="I15" i="8"/>
  <c r="J15" i="8"/>
  <c r="K15" i="8"/>
  <c r="L15" i="8"/>
  <c r="M15" i="8"/>
  <c r="J16" i="8"/>
  <c r="K16" i="8"/>
  <c r="L16" i="8"/>
  <c r="M16" i="8"/>
  <c r="I17" i="8"/>
  <c r="J17" i="8"/>
  <c r="K17" i="8"/>
  <c r="L17" i="8"/>
  <c r="M17" i="8"/>
  <c r="I18" i="8"/>
  <c r="J18" i="8"/>
  <c r="K18" i="8"/>
  <c r="I19" i="8"/>
  <c r="L19" i="8"/>
  <c r="M19" i="8"/>
  <c r="I20" i="8"/>
  <c r="J20" i="8"/>
  <c r="K20" i="8"/>
  <c r="I21" i="8"/>
  <c r="K21" i="8"/>
  <c r="L21" i="8"/>
  <c r="M21" i="8"/>
  <c r="I22" i="8"/>
  <c r="J22" i="8"/>
  <c r="K22" i="8"/>
  <c r="L22" i="8"/>
  <c r="M22" i="8"/>
  <c r="I23" i="8"/>
  <c r="J23" i="8"/>
  <c r="K23" i="8"/>
  <c r="L23" i="8"/>
  <c r="M23" i="8"/>
  <c r="I24" i="8"/>
  <c r="J24" i="8"/>
  <c r="L24" i="8"/>
  <c r="M24" i="8"/>
  <c r="J25" i="8"/>
  <c r="K25" i="8"/>
  <c r="L25" i="8"/>
  <c r="M25" i="8"/>
  <c r="I26" i="8"/>
  <c r="J26" i="8"/>
  <c r="K26" i="8"/>
  <c r="I27" i="8"/>
  <c r="J27" i="8"/>
  <c r="K27" i="8"/>
  <c r="M27" i="8"/>
  <c r="I28" i="8"/>
  <c r="L28" i="8"/>
  <c r="M28" i="8"/>
  <c r="I29" i="8"/>
  <c r="J29" i="8"/>
  <c r="K29" i="8"/>
  <c r="I30" i="8"/>
  <c r="J30" i="8"/>
  <c r="K30" i="8"/>
  <c r="L30" i="8"/>
  <c r="I31" i="8"/>
  <c r="J31" i="8"/>
  <c r="K31" i="8"/>
  <c r="L31" i="8"/>
  <c r="L32" i="8"/>
  <c r="K33" i="8"/>
  <c r="M33" i="8"/>
  <c r="I34" i="8"/>
  <c r="J34" i="8"/>
  <c r="K34" i="8"/>
  <c r="L34" i="8"/>
  <c r="M34" i="8"/>
  <c r="I35" i="8"/>
  <c r="J35" i="8"/>
  <c r="J38" i="8"/>
  <c r="K38" i="8"/>
  <c r="M38" i="8"/>
  <c r="I40" i="8"/>
  <c r="J40" i="8"/>
  <c r="K40" i="8"/>
  <c r="L40" i="8"/>
  <c r="M40" i="8"/>
  <c r="I41" i="8"/>
  <c r="J42" i="8"/>
  <c r="K42" i="8"/>
  <c r="I43" i="8"/>
  <c r="J43" i="8"/>
  <c r="K43" i="8"/>
  <c r="L43" i="8"/>
  <c r="M43" i="8"/>
  <c r="I44" i="8"/>
  <c r="L44" i="8"/>
  <c r="M44" i="8"/>
  <c r="I45" i="8"/>
  <c r="J45" i="8"/>
  <c r="K45" i="8"/>
  <c r="J47" i="8"/>
  <c r="K47" i="8"/>
  <c r="I48" i="8"/>
  <c r="J48" i="8"/>
  <c r="K48" i="8"/>
  <c r="L48" i="8"/>
  <c r="M48" i="8"/>
  <c r="I49" i="8"/>
  <c r="L49" i="8"/>
  <c r="M49" i="8"/>
  <c r="I50" i="8"/>
  <c r="J50" i="8"/>
  <c r="I51" i="8"/>
  <c r="J51" i="8"/>
  <c r="K51" i="8"/>
  <c r="L51" i="8"/>
  <c r="M51" i="8"/>
  <c r="K52" i="8"/>
  <c r="L52" i="8"/>
  <c r="M52" i="8"/>
  <c r="I53" i="8"/>
  <c r="J53" i="8"/>
  <c r="K53" i="8"/>
  <c r="L53" i="8"/>
  <c r="J54" i="8"/>
  <c r="K54" i="8"/>
  <c r="L54" i="8"/>
  <c r="M54" i="8"/>
  <c r="I55" i="8"/>
  <c r="J55" i="8"/>
  <c r="K55" i="8"/>
  <c r="M55" i="8"/>
  <c r="I56" i="8"/>
  <c r="J56" i="8"/>
  <c r="L56" i="8"/>
  <c r="M56" i="8"/>
  <c r="I57" i="8"/>
  <c r="J57" i="8"/>
  <c r="K57" i="8"/>
  <c r="L57" i="8"/>
  <c r="M57" i="8"/>
  <c r="I58" i="8"/>
  <c r="K58" i="8"/>
  <c r="L58" i="8"/>
  <c r="M58" i="8"/>
  <c r="J61" i="8"/>
  <c r="K61" i="8"/>
  <c r="L61" i="8"/>
  <c r="M61" i="8"/>
  <c r="I62" i="8"/>
  <c r="L62" i="8"/>
  <c r="M62" i="8"/>
  <c r="I63" i="8"/>
  <c r="J63" i="8"/>
  <c r="K63" i="8"/>
  <c r="J64" i="8"/>
  <c r="K64" i="8"/>
  <c r="L64" i="8"/>
  <c r="M64" i="8"/>
  <c r="I65" i="8"/>
  <c r="J65" i="8"/>
  <c r="L65" i="8"/>
  <c r="M65" i="8"/>
  <c r="I66" i="8"/>
  <c r="K66" i="8"/>
  <c r="I67" i="8"/>
  <c r="J67" i="8"/>
  <c r="K67" i="8"/>
  <c r="L67" i="8"/>
  <c r="M67" i="8"/>
  <c r="I68" i="8"/>
  <c r="I69" i="8" s="1"/>
  <c r="J68" i="8"/>
  <c r="K68" i="8"/>
  <c r="M68" i="8"/>
  <c r="K69" i="8"/>
  <c r="L69" i="8"/>
  <c r="I70" i="8"/>
  <c r="J70" i="8"/>
  <c r="L70" i="8"/>
  <c r="M70" i="8"/>
  <c r="J71" i="8"/>
  <c r="K71" i="8"/>
  <c r="L71" i="8"/>
  <c r="M71" i="8"/>
  <c r="I72" i="8"/>
  <c r="J72" i="8"/>
  <c r="K72" i="8"/>
  <c r="L72" i="8"/>
  <c r="M72" i="8"/>
  <c r="I73" i="8"/>
  <c r="J74" i="8"/>
  <c r="K74" i="8"/>
  <c r="L74" i="8"/>
  <c r="M74" i="8"/>
  <c r="I75" i="8"/>
  <c r="J75" i="8"/>
  <c r="K75" i="8"/>
  <c r="I76" i="8"/>
  <c r="L76" i="8"/>
  <c r="M76" i="8"/>
  <c r="J77" i="8"/>
  <c r="K77" i="8"/>
  <c r="L77" i="8"/>
  <c r="M77" i="8"/>
  <c r="I78" i="8"/>
  <c r="J4" i="8"/>
  <c r="K4" i="8"/>
  <c r="L4" i="8"/>
  <c r="N4" i="8"/>
  <c r="AZ3" i="8"/>
  <c r="BA3" i="8" s="1"/>
  <c r="AZ4" i="8"/>
  <c r="BA4" i="8" s="1"/>
  <c r="BB4" i="8" s="1"/>
  <c r="AZ2" i="8"/>
  <c r="AH2" i="1"/>
  <c r="AK2" i="1"/>
  <c r="AL2" i="1"/>
  <c r="AJ3" i="1"/>
  <c r="AI3" i="1"/>
  <c r="BL4" i="1"/>
  <c r="BL3" i="1"/>
  <c r="AT3" i="8"/>
  <c r="AT4" i="8" s="1"/>
  <c r="AG4" i="8"/>
  <c r="AH4" i="8"/>
  <c r="AM4" i="8"/>
  <c r="AI4" i="8" l="1"/>
  <c r="BC4" i="8" s="1"/>
  <c r="A5" i="1"/>
  <c r="S5" i="1" s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S799" i="1" l="1"/>
  <c r="AA799" i="1" s="1"/>
  <c r="S739" i="1"/>
  <c r="AA739" i="1" s="1"/>
  <c r="S754" i="1"/>
  <c r="AA754" i="1" s="1"/>
  <c r="S753" i="1"/>
  <c r="AA753" i="1" s="1"/>
  <c r="S752" i="1"/>
  <c r="AA752" i="1" s="1"/>
  <c r="S783" i="1"/>
  <c r="AA783" i="1" s="1"/>
  <c r="S802" i="1"/>
  <c r="AA802" i="1" s="1"/>
  <c r="S835" i="1"/>
  <c r="AA835" i="1" s="1"/>
  <c r="S834" i="1"/>
  <c r="AA834" i="1" s="1"/>
  <c r="S803" i="1"/>
  <c r="AA803" i="1" s="1"/>
  <c r="S786" i="1"/>
  <c r="AA786" i="1" s="1"/>
  <c r="S769" i="1"/>
  <c r="AA769" i="1" s="1"/>
  <c r="S848" i="1"/>
  <c r="AA848" i="1" s="1"/>
  <c r="S768" i="1"/>
  <c r="AA768" i="1" s="1"/>
  <c r="S815" i="1"/>
  <c r="AA815" i="1" s="1"/>
  <c r="S830" i="1"/>
  <c r="AA830" i="1" s="1"/>
  <c r="S750" i="1"/>
  <c r="AA750" i="1" s="1"/>
  <c r="S829" i="1"/>
  <c r="AA829" i="1" s="1"/>
  <c r="S796" i="1"/>
  <c r="AA796" i="1" s="1"/>
  <c r="S811" i="1"/>
  <c r="AA811" i="1" s="1"/>
  <c r="S747" i="1"/>
  <c r="AA747" i="1" s="1"/>
  <c r="S842" i="1"/>
  <c r="AA842" i="1" s="1"/>
  <c r="S826" i="1"/>
  <c r="AA826" i="1" s="1"/>
  <c r="S810" i="1"/>
  <c r="AA810" i="1" s="1"/>
  <c r="S794" i="1"/>
  <c r="AA794" i="1" s="1"/>
  <c r="S778" i="1"/>
  <c r="AA778" i="1" s="1"/>
  <c r="S762" i="1"/>
  <c r="AA762" i="1" s="1"/>
  <c r="S746" i="1"/>
  <c r="AA746" i="1" s="1"/>
  <c r="S818" i="1"/>
  <c r="AA818" i="1" s="1"/>
  <c r="S819" i="1"/>
  <c r="AA819" i="1" s="1"/>
  <c r="S850" i="1"/>
  <c r="AA850" i="1" s="1"/>
  <c r="S833" i="1"/>
  <c r="AA833" i="1" s="1"/>
  <c r="S832" i="1"/>
  <c r="AA832" i="1" s="1"/>
  <c r="S814" i="1"/>
  <c r="AA814" i="1" s="1"/>
  <c r="S765" i="1"/>
  <c r="AA765" i="1" s="1"/>
  <c r="S844" i="1"/>
  <c r="AA844" i="1" s="1"/>
  <c r="S780" i="1"/>
  <c r="AA780" i="1" s="1"/>
  <c r="S843" i="1"/>
  <c r="AA843" i="1" s="1"/>
  <c r="S779" i="1"/>
  <c r="AA779" i="1" s="1"/>
  <c r="S841" i="1"/>
  <c r="AA841" i="1" s="1"/>
  <c r="S793" i="1"/>
  <c r="AA793" i="1" s="1"/>
  <c r="S745" i="1"/>
  <c r="AA745" i="1" s="1"/>
  <c r="S840" i="1"/>
  <c r="AA840" i="1" s="1"/>
  <c r="S824" i="1"/>
  <c r="AA824" i="1" s="1"/>
  <c r="S808" i="1"/>
  <c r="AA808" i="1" s="1"/>
  <c r="S792" i="1"/>
  <c r="AA792" i="1" s="1"/>
  <c r="S776" i="1"/>
  <c r="AA776" i="1" s="1"/>
  <c r="S760" i="1"/>
  <c r="AA760" i="1" s="1"/>
  <c r="S744" i="1"/>
  <c r="AA744" i="1" s="1"/>
  <c r="S787" i="1"/>
  <c r="AA787" i="1" s="1"/>
  <c r="S849" i="1"/>
  <c r="AA849" i="1" s="1"/>
  <c r="S785" i="1"/>
  <c r="AA785" i="1" s="1"/>
  <c r="S800" i="1"/>
  <c r="AA800" i="1" s="1"/>
  <c r="S767" i="1"/>
  <c r="AA767" i="1" s="1"/>
  <c r="S766" i="1"/>
  <c r="AA766" i="1" s="1"/>
  <c r="S797" i="1"/>
  <c r="AA797" i="1" s="1"/>
  <c r="S812" i="1"/>
  <c r="AA812" i="1" s="1"/>
  <c r="S795" i="1"/>
  <c r="AA795" i="1" s="1"/>
  <c r="S809" i="1"/>
  <c r="AA809" i="1" s="1"/>
  <c r="S761" i="1"/>
  <c r="AA761" i="1" s="1"/>
  <c r="S839" i="1"/>
  <c r="AA839" i="1" s="1"/>
  <c r="S823" i="1"/>
  <c r="AA823" i="1" s="1"/>
  <c r="S807" i="1"/>
  <c r="AA807" i="1" s="1"/>
  <c r="S791" i="1"/>
  <c r="AA791" i="1" s="1"/>
  <c r="S775" i="1"/>
  <c r="AA775" i="1" s="1"/>
  <c r="S759" i="1"/>
  <c r="AA759" i="1" s="1"/>
  <c r="S743" i="1"/>
  <c r="AA743" i="1" s="1"/>
  <c r="S755" i="1"/>
  <c r="AA755" i="1" s="1"/>
  <c r="S817" i="1"/>
  <c r="AA817" i="1" s="1"/>
  <c r="S816" i="1"/>
  <c r="AA816" i="1" s="1"/>
  <c r="S831" i="1"/>
  <c r="AA831" i="1" s="1"/>
  <c r="S751" i="1"/>
  <c r="AA751" i="1" s="1"/>
  <c r="S846" i="1"/>
  <c r="AA846" i="1" s="1"/>
  <c r="S782" i="1"/>
  <c r="AA782" i="1" s="1"/>
  <c r="S813" i="1"/>
  <c r="AA813" i="1" s="1"/>
  <c r="S749" i="1"/>
  <c r="AA749" i="1" s="1"/>
  <c r="S828" i="1"/>
  <c r="AA828" i="1" s="1"/>
  <c r="S748" i="1"/>
  <c r="AA748" i="1" s="1"/>
  <c r="S827" i="1"/>
  <c r="AA827" i="1" s="1"/>
  <c r="S763" i="1"/>
  <c r="AA763" i="1" s="1"/>
  <c r="S825" i="1"/>
  <c r="AA825" i="1" s="1"/>
  <c r="S777" i="1"/>
  <c r="AA777" i="1" s="1"/>
  <c r="S838" i="1"/>
  <c r="AA838" i="1" s="1"/>
  <c r="S822" i="1"/>
  <c r="AA822" i="1" s="1"/>
  <c r="S806" i="1"/>
  <c r="AA806" i="1" s="1"/>
  <c r="S790" i="1"/>
  <c r="AA790" i="1" s="1"/>
  <c r="S774" i="1"/>
  <c r="AA774" i="1" s="1"/>
  <c r="S758" i="1"/>
  <c r="AA758" i="1" s="1"/>
  <c r="S742" i="1"/>
  <c r="AA742" i="1" s="1"/>
  <c r="S6" i="1"/>
  <c r="S771" i="1"/>
  <c r="AA771" i="1" s="1"/>
  <c r="S770" i="1"/>
  <c r="AA770" i="1" s="1"/>
  <c r="S801" i="1"/>
  <c r="AA801" i="1" s="1"/>
  <c r="S784" i="1"/>
  <c r="AA784" i="1" s="1"/>
  <c r="S847" i="1"/>
  <c r="AA847" i="1" s="1"/>
  <c r="S798" i="1"/>
  <c r="AA798" i="1" s="1"/>
  <c r="S845" i="1"/>
  <c r="AA845" i="1" s="1"/>
  <c r="S781" i="1"/>
  <c r="AA781" i="1" s="1"/>
  <c r="S764" i="1"/>
  <c r="AA764" i="1" s="1"/>
  <c r="S837" i="1"/>
  <c r="AA837" i="1" s="1"/>
  <c r="S821" i="1"/>
  <c r="AA821" i="1" s="1"/>
  <c r="S805" i="1"/>
  <c r="AA805" i="1" s="1"/>
  <c r="S789" i="1"/>
  <c r="AA789" i="1" s="1"/>
  <c r="S773" i="1"/>
  <c r="AA773" i="1" s="1"/>
  <c r="S757" i="1"/>
  <c r="AA757" i="1" s="1"/>
  <c r="S741" i="1"/>
  <c r="AA741" i="1" s="1"/>
  <c r="S836" i="1"/>
  <c r="AA836" i="1" s="1"/>
  <c r="S820" i="1"/>
  <c r="AA820" i="1" s="1"/>
  <c r="S804" i="1"/>
  <c r="AA804" i="1" s="1"/>
  <c r="S788" i="1"/>
  <c r="AA788" i="1" s="1"/>
  <c r="S772" i="1"/>
  <c r="AA772" i="1" s="1"/>
  <c r="S756" i="1"/>
  <c r="AA756" i="1" s="1"/>
  <c r="S740" i="1"/>
  <c r="AA740" i="1" s="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3" i="11"/>
  <c r="D44" i="11" a="1"/>
  <c r="D44" i="11" s="1"/>
  <c r="C44" i="11" a="1"/>
  <c r="C44" i="11" s="1"/>
  <c r="AE3" i="1"/>
  <c r="AD3" i="1"/>
  <c r="AU2" i="1"/>
  <c r="AT2" i="1"/>
  <c r="AY2" i="1" a="1"/>
  <c r="AY2" i="1" s="1"/>
  <c r="AX2" i="1" a="1"/>
  <c r="AX2" i="1" s="1"/>
  <c r="AW2" i="1" a="1"/>
  <c r="AW2" i="1" s="1"/>
  <c r="AV2" i="1" a="1"/>
  <c r="AV2" i="1" s="1"/>
  <c r="N5" i="1"/>
  <c r="Q5" i="1"/>
  <c r="Q6" i="1"/>
  <c r="N7" i="1"/>
  <c r="Q7" i="1"/>
  <c r="N8" i="1"/>
  <c r="Q8" i="1"/>
  <c r="N9" i="1"/>
  <c r="Q9" i="1"/>
  <c r="Q10" i="1"/>
  <c r="N11" i="1"/>
  <c r="Q11" i="1"/>
  <c r="N12" i="1"/>
  <c r="Q12" i="1" s="1"/>
  <c r="N13" i="1"/>
  <c r="Q13" i="1"/>
  <c r="Q14" i="1"/>
  <c r="N15" i="1"/>
  <c r="Q15" i="1" s="1"/>
  <c r="N16" i="1"/>
  <c r="Q16" i="1"/>
  <c r="N17" i="1"/>
  <c r="Q17" i="1"/>
  <c r="N18" i="1"/>
  <c r="Q18" i="1"/>
  <c r="N19" i="1"/>
  <c r="Q19" i="1"/>
  <c r="N20" i="1"/>
  <c r="Q20" i="1"/>
  <c r="N21" i="1"/>
  <c r="Q21" i="1"/>
  <c r="N22" i="1"/>
  <c r="Q22" i="1"/>
  <c r="Q23" i="1"/>
  <c r="N24" i="1"/>
  <c r="Q24" i="1" s="1"/>
  <c r="N25" i="1"/>
  <c r="Q25" i="1" s="1"/>
  <c r="N26" i="1"/>
  <c r="Q26" i="1"/>
  <c r="N27" i="1"/>
  <c r="Q27" i="1"/>
  <c r="Q28" i="1"/>
  <c r="N29" i="1"/>
  <c r="Q29" i="1" s="1"/>
  <c r="N30" i="1"/>
  <c r="Q30" i="1"/>
  <c r="Q31" i="1"/>
  <c r="N32" i="1"/>
  <c r="Q32" i="1"/>
  <c r="N33" i="1"/>
  <c r="Q33" i="1" s="1"/>
  <c r="N34" i="1"/>
  <c r="Q34" i="1" s="1"/>
  <c r="N35" i="1"/>
  <c r="Q35" i="1"/>
  <c r="Q36" i="1"/>
  <c r="N37" i="1"/>
  <c r="Q37" i="1"/>
  <c r="N38" i="1"/>
  <c r="Q38" i="1"/>
  <c r="N39" i="1"/>
  <c r="Q39" i="1"/>
  <c r="N40" i="1"/>
  <c r="Q40" i="1"/>
  <c r="N41" i="1"/>
  <c r="Q41" i="1"/>
  <c r="N42" i="1"/>
  <c r="Q42" i="1"/>
  <c r="N43" i="1"/>
  <c r="Q43" i="1"/>
  <c r="N44" i="1"/>
  <c r="Q44" i="1"/>
  <c r="N45" i="1"/>
  <c r="Q45" i="1" s="1"/>
  <c r="N46" i="1"/>
  <c r="Q46" i="1"/>
  <c r="N47" i="1"/>
  <c r="Q47" i="1" s="1"/>
  <c r="N48" i="1"/>
  <c r="Q48" i="1"/>
  <c r="N49" i="1"/>
  <c r="Q49" i="1"/>
  <c r="N50" i="1"/>
  <c r="Q50" i="1"/>
  <c r="N51" i="1"/>
  <c r="Q51" i="1" s="1"/>
  <c r="N52" i="1"/>
  <c r="Q52" i="1"/>
  <c r="N53" i="1"/>
  <c r="Q53" i="1"/>
  <c r="N54" i="1"/>
  <c r="Q54" i="1"/>
  <c r="Q55" i="1"/>
  <c r="N56" i="1"/>
  <c r="Q56" i="1"/>
  <c r="N57" i="1"/>
  <c r="Q57" i="1"/>
  <c r="N58" i="1"/>
  <c r="Q58" i="1"/>
  <c r="Q59" i="1"/>
  <c r="N60" i="1"/>
  <c r="Q60" i="1" s="1"/>
  <c r="N61" i="1"/>
  <c r="Q61" i="1"/>
  <c r="N62" i="1"/>
  <c r="Q62" i="1"/>
  <c r="N63" i="1"/>
  <c r="Q63" i="1" s="1"/>
  <c r="Q64" i="1"/>
  <c r="N65" i="1"/>
  <c r="Q65" i="1"/>
  <c r="N66" i="1"/>
  <c r="Q66" i="1" s="1"/>
  <c r="N67" i="1"/>
  <c r="Q67" i="1"/>
  <c r="N68" i="1"/>
  <c r="Q68" i="1"/>
  <c r="N69" i="1"/>
  <c r="Q69" i="1"/>
  <c r="N70" i="1"/>
  <c r="Q70" i="1"/>
  <c r="N71" i="1"/>
  <c r="Q71" i="1"/>
  <c r="N72" i="1"/>
  <c r="Q72" i="1"/>
  <c r="N73" i="1"/>
  <c r="Q73" i="1"/>
  <c r="Q74" i="1"/>
  <c r="N75" i="1"/>
  <c r="Q75" i="1"/>
  <c r="N76" i="1"/>
  <c r="Q76" i="1"/>
  <c r="N77" i="1"/>
  <c r="Q77" i="1"/>
  <c r="N78" i="1"/>
  <c r="Q78" i="1"/>
  <c r="N79" i="1"/>
  <c r="Q79" i="1"/>
  <c r="N80" i="1"/>
  <c r="Q80" i="1"/>
  <c r="N81" i="1"/>
  <c r="Q81" i="1"/>
  <c r="N82" i="1"/>
  <c r="Q82" i="1"/>
  <c r="N83" i="1"/>
  <c r="Q83" i="1"/>
  <c r="N84" i="1"/>
  <c r="Q84" i="1"/>
  <c r="N85" i="1"/>
  <c r="Q85" i="1"/>
  <c r="N86" i="1"/>
  <c r="Q86" i="1"/>
  <c r="N87" i="1"/>
  <c r="Q87" i="1"/>
  <c r="N88" i="1"/>
  <c r="Q88" i="1"/>
  <c r="N89" i="1"/>
  <c r="Q89" i="1"/>
  <c r="Q90" i="1"/>
  <c r="N91" i="1"/>
  <c r="Q91" i="1"/>
  <c r="N92" i="1"/>
  <c r="Q92" i="1"/>
  <c r="N93" i="1"/>
  <c r="Q93" i="1"/>
  <c r="N94" i="1"/>
  <c r="Q94" i="1"/>
  <c r="N95" i="1"/>
  <c r="Q95" i="1"/>
  <c r="N96" i="1"/>
  <c r="Q96" i="1"/>
  <c r="Q97" i="1"/>
  <c r="N98" i="1"/>
  <c r="Q98" i="1" s="1"/>
  <c r="N100" i="1"/>
  <c r="Q100" i="1"/>
  <c r="N101" i="1"/>
  <c r="Q101" i="1"/>
  <c r="N102" i="1"/>
  <c r="Q102" i="1"/>
  <c r="Q103" i="1"/>
  <c r="N104" i="1"/>
  <c r="Q104" i="1" s="1"/>
  <c r="N105" i="1"/>
  <c r="Q105" i="1"/>
  <c r="N106" i="1"/>
  <c r="Q106" i="1"/>
  <c r="Q107" i="1"/>
  <c r="N108" i="1"/>
  <c r="Q108" i="1"/>
  <c r="N109" i="1"/>
  <c r="Q109" i="1"/>
  <c r="N110" i="1"/>
  <c r="Q110" i="1" s="1"/>
  <c r="N111" i="1"/>
  <c r="Q111" i="1"/>
  <c r="N112" i="1"/>
  <c r="Q112" i="1"/>
  <c r="N113" i="1"/>
  <c r="Q113" i="1"/>
  <c r="Q114" i="1"/>
  <c r="N115" i="1"/>
  <c r="Q115" i="1" s="1"/>
  <c r="Q116" i="1"/>
  <c r="N117" i="1"/>
  <c r="Q117" i="1" s="1"/>
  <c r="N118" i="1"/>
  <c r="Q118" i="1"/>
  <c r="N119" i="1"/>
  <c r="Q119" i="1"/>
  <c r="N120" i="1"/>
  <c r="Q120" i="1" s="1"/>
  <c r="N121" i="1"/>
  <c r="Q121" i="1"/>
  <c r="N122" i="1"/>
  <c r="Q122" i="1"/>
  <c r="N123" i="1"/>
  <c r="Q123" i="1"/>
  <c r="N124" i="1"/>
  <c r="Q124" i="1"/>
  <c r="N125" i="1"/>
  <c r="Q125" i="1"/>
  <c r="N126" i="1"/>
  <c r="Q126" i="1"/>
  <c r="N127" i="1"/>
  <c r="Q127" i="1"/>
  <c r="N128" i="1"/>
  <c r="Q128" i="1" s="1"/>
  <c r="N129" i="1"/>
  <c r="Q129" i="1"/>
  <c r="N130" i="1"/>
  <c r="Q130" i="1"/>
  <c r="N131" i="1"/>
  <c r="Q131" i="1"/>
  <c r="N132" i="1"/>
  <c r="Q132" i="1"/>
  <c r="N133" i="1"/>
  <c r="Q133" i="1"/>
  <c r="N134" i="1"/>
  <c r="Q134" i="1"/>
  <c r="N135" i="1"/>
  <c r="Q135" i="1"/>
  <c r="N136" i="1"/>
  <c r="Q136" i="1"/>
  <c r="N137" i="1"/>
  <c r="Q137" i="1" s="1"/>
  <c r="Q138" i="1"/>
  <c r="N139" i="1"/>
  <c r="N140" i="1"/>
  <c r="Q140" i="1"/>
  <c r="N141" i="1"/>
  <c r="Q141" i="1"/>
  <c r="Q142" i="1"/>
  <c r="N143" i="1"/>
  <c r="Q143" i="1"/>
  <c r="N144" i="1"/>
  <c r="Q144" i="1"/>
  <c r="N145" i="1"/>
  <c r="Q145" i="1" s="1"/>
  <c r="N146" i="1"/>
  <c r="Q146" i="1"/>
  <c r="N147" i="1"/>
  <c r="Q147" i="1" s="1"/>
  <c r="N148" i="1"/>
  <c r="Q148" i="1"/>
  <c r="N149" i="1"/>
  <c r="Q149" i="1"/>
  <c r="N150" i="1"/>
  <c r="Q150" i="1"/>
  <c r="Q151" i="1"/>
  <c r="N152" i="1"/>
  <c r="Q152" i="1" s="1"/>
  <c r="N153" i="1"/>
  <c r="Q153" i="1"/>
  <c r="N154" i="1"/>
  <c r="Q154" i="1"/>
  <c r="Q155" i="1"/>
  <c r="N156" i="1"/>
  <c r="Q156" i="1"/>
  <c r="N157" i="1"/>
  <c r="Q157" i="1"/>
  <c r="N158" i="1"/>
  <c r="Q158" i="1"/>
  <c r="N159" i="1"/>
  <c r="Q159" i="1"/>
  <c r="N160" i="1"/>
  <c r="Q160" i="1"/>
  <c r="N161" i="1"/>
  <c r="Q161" i="1"/>
  <c r="N162" i="1"/>
  <c r="Q162" i="1"/>
  <c r="N163" i="1"/>
  <c r="Q163" i="1"/>
  <c r="N164" i="1"/>
  <c r="Q164" i="1" s="1"/>
  <c r="N165" i="1"/>
  <c r="Q165" i="1"/>
  <c r="N166" i="1"/>
  <c r="Q166" i="1"/>
  <c r="N167" i="1"/>
  <c r="Q167" i="1"/>
  <c r="N168" i="1"/>
  <c r="Q168" i="1"/>
  <c r="N169" i="1"/>
  <c r="Q169" i="1"/>
  <c r="N170" i="1"/>
  <c r="Q170" i="1"/>
  <c r="N171" i="1"/>
  <c r="Q171" i="1"/>
  <c r="N172" i="1"/>
  <c r="Q172" i="1"/>
  <c r="N173" i="1"/>
  <c r="Q173" i="1"/>
  <c r="N174" i="1"/>
  <c r="Q174" i="1"/>
  <c r="N175" i="1"/>
  <c r="Q175" i="1"/>
  <c r="N176" i="1"/>
  <c r="Q176" i="1"/>
  <c r="N177" i="1"/>
  <c r="Q177" i="1" s="1"/>
  <c r="N178" i="1"/>
  <c r="Q178" i="1"/>
  <c r="N179" i="1"/>
  <c r="Q179" i="1"/>
  <c r="N180" i="1"/>
  <c r="Q180" i="1"/>
  <c r="N181" i="1"/>
  <c r="Q181" i="1"/>
  <c r="N182" i="1"/>
  <c r="Q182" i="1"/>
  <c r="Q183" i="1"/>
  <c r="N184" i="1"/>
  <c r="Q184" i="1"/>
  <c r="N185" i="1"/>
  <c r="Q185" i="1"/>
  <c r="N186" i="1"/>
  <c r="Q186" i="1"/>
  <c r="N187" i="1"/>
  <c r="Q187" i="1"/>
  <c r="Q188" i="1"/>
  <c r="N189" i="1"/>
  <c r="Q189" i="1" s="1"/>
  <c r="N190" i="1"/>
  <c r="Q190" i="1"/>
  <c r="Q191" i="1"/>
  <c r="Q192" i="1"/>
  <c r="N193" i="1"/>
  <c r="Q193" i="1"/>
  <c r="Q194" i="1"/>
  <c r="N195" i="1"/>
  <c r="Q195" i="1"/>
  <c r="N196" i="1"/>
  <c r="Q196" i="1"/>
  <c r="N197" i="1"/>
  <c r="N198" i="1"/>
  <c r="Q198" i="1"/>
  <c r="N199" i="1"/>
  <c r="Q199" i="1"/>
  <c r="N200" i="1"/>
  <c r="Q200" i="1"/>
  <c r="N201" i="1"/>
  <c r="Q201" i="1"/>
  <c r="N202" i="1"/>
  <c r="Q202" i="1"/>
  <c r="N203" i="1"/>
  <c r="Q203" i="1"/>
  <c r="N204" i="1"/>
  <c r="Q204" i="1"/>
  <c r="N205" i="1"/>
  <c r="Q205" i="1"/>
  <c r="N206" i="1"/>
  <c r="Q206" i="1" s="1"/>
  <c r="N207" i="1"/>
  <c r="Q207" i="1" s="1"/>
  <c r="N208" i="1"/>
  <c r="Q208" i="1" s="1"/>
  <c r="N209" i="1"/>
  <c r="Q209" i="1"/>
  <c r="N210" i="1"/>
  <c r="Q210" i="1"/>
  <c r="N211" i="1"/>
  <c r="Q211" i="1"/>
  <c r="N212" i="1"/>
  <c r="Q212" i="1"/>
  <c r="N213" i="1"/>
  <c r="Q213" i="1"/>
  <c r="N214" i="1"/>
  <c r="Q214" i="1" s="1"/>
  <c r="N215" i="1"/>
  <c r="Q215" i="1"/>
  <c r="N216" i="1"/>
  <c r="Q216" i="1" s="1"/>
  <c r="N217" i="1"/>
  <c r="Q217" i="1"/>
  <c r="N218" i="1"/>
  <c r="Q218" i="1"/>
  <c r="N219" i="1"/>
  <c r="Q219" i="1"/>
  <c r="N220" i="1"/>
  <c r="Q220" i="1"/>
  <c r="N221" i="1"/>
  <c r="Q221" i="1"/>
  <c r="N222" i="1"/>
  <c r="Q222" i="1"/>
  <c r="N223" i="1"/>
  <c r="Q223" i="1"/>
  <c r="N224" i="1"/>
  <c r="Q224" i="1"/>
  <c r="Q225" i="1"/>
  <c r="N226" i="1"/>
  <c r="Q226" i="1"/>
  <c r="Q227" i="1"/>
  <c r="N228" i="1"/>
  <c r="Q228" i="1"/>
  <c r="N229" i="1"/>
  <c r="Q229" i="1"/>
  <c r="N230" i="1"/>
  <c r="Q230" i="1"/>
  <c r="N231" i="1"/>
  <c r="Q231" i="1" s="1"/>
  <c r="N232" i="1"/>
  <c r="Q232" i="1"/>
  <c r="N233" i="1"/>
  <c r="Q233" i="1"/>
  <c r="N234" i="1"/>
  <c r="Q234" i="1" s="1"/>
  <c r="N235" i="1"/>
  <c r="Q235" i="1"/>
  <c r="N236" i="1"/>
  <c r="Q236" i="1"/>
  <c r="N237" i="1"/>
  <c r="Q237" i="1"/>
  <c r="N238" i="1"/>
  <c r="Q238" i="1"/>
  <c r="N239" i="1"/>
  <c r="Q239" i="1" s="1"/>
  <c r="N240" i="1"/>
  <c r="Q240" i="1"/>
  <c r="N241" i="1"/>
  <c r="Q241" i="1" s="1"/>
  <c r="N242" i="1"/>
  <c r="Q242" i="1"/>
  <c r="N243" i="1"/>
  <c r="Q243" i="1" s="1"/>
  <c r="N244" i="1"/>
  <c r="Q244" i="1" s="1"/>
  <c r="N245" i="1"/>
  <c r="Q245" i="1"/>
  <c r="N246" i="1"/>
  <c r="Q246" i="1"/>
  <c r="N247" i="1"/>
  <c r="Q247" i="1" s="1"/>
  <c r="N248" i="1"/>
  <c r="Q248" i="1" s="1"/>
  <c r="N249" i="1"/>
  <c r="Q249" i="1"/>
  <c r="N250" i="1"/>
  <c r="Q250" i="1"/>
  <c r="N251" i="1"/>
  <c r="Q251" i="1"/>
  <c r="N252" i="1"/>
  <c r="Q252" i="1"/>
  <c r="N253" i="1"/>
  <c r="Q253" i="1"/>
  <c r="N254" i="1"/>
  <c r="Q254" i="1"/>
  <c r="N255" i="1"/>
  <c r="Q255" i="1"/>
  <c r="N256" i="1"/>
  <c r="Q256" i="1"/>
  <c r="N257" i="1"/>
  <c r="Q257" i="1"/>
  <c r="N258" i="1"/>
  <c r="Q258" i="1"/>
  <c r="N259" i="1"/>
  <c r="Q259" i="1"/>
  <c r="N260" i="1"/>
  <c r="Q260" i="1"/>
  <c r="N261" i="1"/>
  <c r="Q261" i="1"/>
  <c r="N262" i="1"/>
  <c r="Q262" i="1" s="1"/>
  <c r="N263" i="1"/>
  <c r="Q263" i="1"/>
  <c r="N264" i="1"/>
  <c r="Q264" i="1"/>
  <c r="N265" i="1"/>
  <c r="Q265" i="1"/>
  <c r="N266" i="1"/>
  <c r="Q266" i="1" s="1"/>
  <c r="N267" i="1"/>
  <c r="Q267" i="1"/>
  <c r="Q268" i="1"/>
  <c r="N269" i="1"/>
  <c r="Q269" i="1"/>
  <c r="N270" i="1"/>
  <c r="Q270" i="1"/>
  <c r="Q271" i="1"/>
  <c r="N272" i="1"/>
  <c r="Q272" i="1"/>
  <c r="N273" i="1"/>
  <c r="Q273" i="1"/>
  <c r="N274" i="1"/>
  <c r="Q274" i="1"/>
  <c r="N275" i="1"/>
  <c r="Q275" i="1" s="1"/>
  <c r="Q276" i="1"/>
  <c r="Q277" i="1"/>
  <c r="N278" i="1"/>
  <c r="Q278" i="1" s="1"/>
  <c r="N279" i="1"/>
  <c r="Q279" i="1"/>
  <c r="N280" i="1"/>
  <c r="Q280" i="1"/>
  <c r="N281" i="1"/>
  <c r="Q281" i="1"/>
  <c r="N282" i="1"/>
  <c r="Q282" i="1"/>
  <c r="N283" i="1"/>
  <c r="Q283" i="1"/>
  <c r="N284" i="1"/>
  <c r="Q284" i="1"/>
  <c r="N285" i="1"/>
  <c r="Q285" i="1"/>
  <c r="N286" i="1"/>
  <c r="Q286" i="1"/>
  <c r="N287" i="1"/>
  <c r="Q287" i="1"/>
  <c r="N288" i="1"/>
  <c r="Q288" i="1"/>
  <c r="N289" i="1"/>
  <c r="Q289" i="1"/>
  <c r="N290" i="1"/>
  <c r="Q290" i="1"/>
  <c r="N291" i="1"/>
  <c r="Q291" i="1"/>
  <c r="N292" i="1"/>
  <c r="Q292" i="1"/>
  <c r="N293" i="1"/>
  <c r="Q293" i="1"/>
  <c r="N294" i="1"/>
  <c r="Q294" i="1"/>
  <c r="N295" i="1"/>
  <c r="Q295" i="1"/>
  <c r="N296" i="1"/>
  <c r="Q296" i="1"/>
  <c r="N297" i="1"/>
  <c r="Q297" i="1"/>
  <c r="Q298" i="1"/>
  <c r="N299" i="1"/>
  <c r="Q299" i="1"/>
  <c r="N300" i="1"/>
  <c r="Q300" i="1"/>
  <c r="N301" i="1"/>
  <c r="Q301" i="1"/>
  <c r="N302" i="1"/>
  <c r="Q302" i="1"/>
  <c r="N303" i="1"/>
  <c r="Q303" i="1"/>
  <c r="N304" i="1"/>
  <c r="Q304" i="1"/>
  <c r="Q305" i="1"/>
  <c r="N306" i="1"/>
  <c r="Q306" i="1"/>
  <c r="Q307" i="1"/>
  <c r="N308" i="1"/>
  <c r="Q308" i="1" s="1"/>
  <c r="N309" i="1"/>
  <c r="Q309" i="1"/>
  <c r="N310" i="1"/>
  <c r="Q310" i="1"/>
  <c r="N311" i="1"/>
  <c r="Q311" i="1"/>
  <c r="N312" i="1"/>
  <c r="Q312" i="1"/>
  <c r="N313" i="1"/>
  <c r="Q313" i="1"/>
  <c r="N314" i="1"/>
  <c r="Q314" i="1"/>
  <c r="N315" i="1"/>
  <c r="Q315" i="1"/>
  <c r="N316" i="1"/>
  <c r="Q316" i="1"/>
  <c r="N317" i="1"/>
  <c r="Q317" i="1"/>
  <c r="N318" i="1"/>
  <c r="Q318" i="1"/>
  <c r="N319" i="1"/>
  <c r="Q319" i="1"/>
  <c r="N320" i="1"/>
  <c r="Q320" i="1"/>
  <c r="N321" i="1"/>
  <c r="Q321" i="1"/>
  <c r="N322" i="1"/>
  <c r="Q322" i="1"/>
  <c r="N323" i="1"/>
  <c r="Q323" i="1"/>
  <c r="N324" i="1"/>
  <c r="Q324" i="1"/>
  <c r="N325" i="1"/>
  <c r="Q325" i="1" s="1"/>
  <c r="N326" i="1"/>
  <c r="Q326" i="1"/>
  <c r="Q327" i="1"/>
  <c r="N328" i="1"/>
  <c r="Q328" i="1"/>
  <c r="N329" i="1"/>
  <c r="Q329" i="1"/>
  <c r="N330" i="1"/>
  <c r="Q330" i="1"/>
  <c r="N331" i="1"/>
  <c r="Q331" i="1"/>
  <c r="N332" i="1"/>
  <c r="Q332" i="1" s="1"/>
  <c r="N333" i="1"/>
  <c r="Q333" i="1"/>
  <c r="N334" i="1"/>
  <c r="Q334" i="1"/>
  <c r="N335" i="1"/>
  <c r="Q335" i="1"/>
  <c r="N336" i="1"/>
  <c r="Q336" i="1"/>
  <c r="N337" i="1"/>
  <c r="Q337" i="1" s="1"/>
  <c r="N338" i="1"/>
  <c r="Q338" i="1"/>
  <c r="N339" i="1"/>
  <c r="Q339" i="1"/>
  <c r="N340" i="1"/>
  <c r="Q340" i="1"/>
  <c r="N341" i="1"/>
  <c r="Q341" i="1"/>
  <c r="N342" i="1"/>
  <c r="Q342" i="1"/>
  <c r="N343" i="1"/>
  <c r="Q343" i="1"/>
  <c r="N344" i="1"/>
  <c r="Q344" i="1"/>
  <c r="N345" i="1"/>
  <c r="Q345" i="1" s="1"/>
  <c r="N346" i="1"/>
  <c r="Q346" i="1"/>
  <c r="N347" i="1"/>
  <c r="Q347" i="1"/>
  <c r="N348" i="1"/>
  <c r="Q348" i="1"/>
  <c r="N349" i="1"/>
  <c r="Q349" i="1"/>
  <c r="N350" i="1"/>
  <c r="Q350" i="1"/>
  <c r="N351" i="1"/>
  <c r="Q351" i="1"/>
  <c r="N352" i="1"/>
  <c r="Q352" i="1"/>
  <c r="Q353" i="1"/>
  <c r="Q354" i="1"/>
  <c r="N355" i="1"/>
  <c r="Q355" i="1"/>
  <c r="N356" i="1"/>
  <c r="Q356" i="1"/>
  <c r="N357" i="1"/>
  <c r="Q357" i="1"/>
  <c r="N358" i="1"/>
  <c r="Q358" i="1" s="1"/>
  <c r="N359" i="1"/>
  <c r="Q359" i="1"/>
  <c r="N360" i="1"/>
  <c r="Q360" i="1"/>
  <c r="N361" i="1"/>
  <c r="Q361" i="1"/>
  <c r="N362" i="1"/>
  <c r="Q362" i="1" s="1"/>
  <c r="N363" i="1"/>
  <c r="Q363" i="1"/>
  <c r="N364" i="1"/>
  <c r="Q364" i="1"/>
  <c r="N365" i="1"/>
  <c r="Q365" i="1"/>
  <c r="N366" i="1"/>
  <c r="Q366" i="1"/>
  <c r="N367" i="1"/>
  <c r="Q367" i="1" s="1"/>
  <c r="N368" i="1"/>
  <c r="Q368" i="1"/>
  <c r="N369" i="1"/>
  <c r="Q369" i="1"/>
  <c r="N370" i="1"/>
  <c r="Q370" i="1"/>
  <c r="N371" i="1"/>
  <c r="Q371" i="1"/>
  <c r="N372" i="1"/>
  <c r="Q372" i="1"/>
  <c r="N373" i="1"/>
  <c r="Q373" i="1"/>
  <c r="N374" i="1"/>
  <c r="Q374" i="1"/>
  <c r="N375" i="1"/>
  <c r="Q375" i="1"/>
  <c r="N376" i="1"/>
  <c r="Q376" i="1"/>
  <c r="N377" i="1"/>
  <c r="Q377" i="1"/>
  <c r="N378" i="1"/>
  <c r="Q378" i="1"/>
  <c r="N379" i="1"/>
  <c r="Q379" i="1"/>
  <c r="N380" i="1"/>
  <c r="Q380" i="1"/>
  <c r="N381" i="1"/>
  <c r="Q381" i="1"/>
  <c r="Q382" i="1"/>
  <c r="N383" i="1"/>
  <c r="Q383" i="1"/>
  <c r="N384" i="1"/>
  <c r="Q384" i="1" s="1"/>
  <c r="N385" i="1"/>
  <c r="Q385" i="1"/>
  <c r="N386" i="1"/>
  <c r="Q386" i="1"/>
  <c r="N387" i="1"/>
  <c r="Q387" i="1"/>
  <c r="N388" i="1"/>
  <c r="Q388" i="1"/>
  <c r="N389" i="1"/>
  <c r="Q389" i="1"/>
  <c r="N390" i="1"/>
  <c r="Q390" i="1"/>
  <c r="N391" i="1"/>
  <c r="Q391" i="1"/>
  <c r="N392" i="1"/>
  <c r="Q392" i="1"/>
  <c r="N393" i="1"/>
  <c r="Q393" i="1" s="1"/>
  <c r="Q394" i="1"/>
  <c r="N395" i="1"/>
  <c r="Q395" i="1"/>
  <c r="N396" i="1"/>
  <c r="Q396" i="1"/>
  <c r="N397" i="1"/>
  <c r="Q397" i="1"/>
  <c r="N398" i="1"/>
  <c r="N399" i="1"/>
  <c r="Q399" i="1"/>
  <c r="N400" i="1"/>
  <c r="Q400" i="1"/>
  <c r="N401" i="1"/>
  <c r="Q401" i="1"/>
  <c r="Q402" i="1"/>
  <c r="N403" i="1"/>
  <c r="Q403" i="1" s="1"/>
  <c r="Q404" i="1"/>
  <c r="N405" i="1"/>
  <c r="Q405" i="1"/>
  <c r="N406" i="1"/>
  <c r="Q406" i="1"/>
  <c r="N407" i="1"/>
  <c r="Q407" i="1"/>
  <c r="N408" i="1"/>
  <c r="Q408" i="1"/>
  <c r="N409" i="1"/>
  <c r="Q409" i="1"/>
  <c r="N410" i="1"/>
  <c r="Q410" i="1"/>
  <c r="N411" i="1"/>
  <c r="Q411" i="1"/>
  <c r="Q412" i="1"/>
  <c r="N413" i="1"/>
  <c r="Q413" i="1"/>
  <c r="N414" i="1"/>
  <c r="Q414" i="1"/>
  <c r="N415" i="1"/>
  <c r="Q415" i="1"/>
  <c r="N416" i="1"/>
  <c r="Q416" i="1"/>
  <c r="N417" i="1"/>
  <c r="Q417" i="1"/>
  <c r="N418" i="1"/>
  <c r="Q418" i="1"/>
  <c r="N419" i="1"/>
  <c r="Q419" i="1"/>
  <c r="N420" i="1"/>
  <c r="Q420" i="1"/>
  <c r="N421" i="1"/>
  <c r="Q421" i="1"/>
  <c r="N422" i="1"/>
  <c r="Q422" i="1"/>
  <c r="N423" i="1"/>
  <c r="Q423" i="1"/>
  <c r="N424" i="1"/>
  <c r="Q424" i="1"/>
  <c r="N425" i="1"/>
  <c r="Q425" i="1"/>
  <c r="N426" i="1"/>
  <c r="Q426" i="1"/>
  <c r="N427" i="1"/>
  <c r="Q427" i="1"/>
  <c r="N428" i="1"/>
  <c r="Q428" i="1"/>
  <c r="N429" i="1"/>
  <c r="Q429" i="1"/>
  <c r="N430" i="1"/>
  <c r="Q430" i="1"/>
  <c r="N432" i="1"/>
  <c r="N433" i="1"/>
  <c r="Q433" i="1"/>
  <c r="N434" i="1"/>
  <c r="Q434" i="1"/>
  <c r="N435" i="1"/>
  <c r="Q435" i="1" s="1"/>
  <c r="N436" i="1"/>
  <c r="Q436" i="1"/>
  <c r="N437" i="1"/>
  <c r="Q437" i="1" s="1"/>
  <c r="N438" i="1"/>
  <c r="Q438" i="1" s="1"/>
  <c r="N439" i="1"/>
  <c r="Q439" i="1"/>
  <c r="N440" i="1"/>
  <c r="Q440" i="1"/>
  <c r="N441" i="1"/>
  <c r="Q441" i="1"/>
  <c r="N442" i="1"/>
  <c r="Q442" i="1" s="1"/>
  <c r="N443" i="1"/>
  <c r="Q443" i="1"/>
  <c r="N444" i="1"/>
  <c r="Q444" i="1"/>
  <c r="N445" i="1"/>
  <c r="Q445" i="1"/>
  <c r="N446" i="1"/>
  <c r="Q446" i="1"/>
  <c r="N447" i="1"/>
  <c r="Q447" i="1"/>
  <c r="N448" i="1"/>
  <c r="Q448" i="1"/>
  <c r="N449" i="1"/>
  <c r="Q449" i="1"/>
  <c r="N450" i="1"/>
  <c r="Q450" i="1" s="1"/>
  <c r="N451" i="1"/>
  <c r="Q451" i="1"/>
  <c r="N452" i="1"/>
  <c r="Q452" i="1" s="1"/>
  <c r="N453" i="1"/>
  <c r="Q453" i="1"/>
  <c r="N454" i="1"/>
  <c r="Q454" i="1"/>
  <c r="N455" i="1"/>
  <c r="Q455" i="1"/>
  <c r="N456" i="1"/>
  <c r="Q456" i="1"/>
  <c r="N457" i="1"/>
  <c r="Q457" i="1"/>
  <c r="N458" i="1"/>
  <c r="Q458" i="1"/>
  <c r="N459" i="1"/>
  <c r="Q459" i="1"/>
  <c r="N460" i="1"/>
  <c r="Q460" i="1" s="1"/>
  <c r="N461" i="1"/>
  <c r="Q461" i="1"/>
  <c r="N462" i="1"/>
  <c r="Q462" i="1"/>
  <c r="N463" i="1"/>
  <c r="Q463" i="1"/>
  <c r="N464" i="1"/>
  <c r="Q464" i="1"/>
  <c r="N465" i="1"/>
  <c r="Q465" i="1"/>
  <c r="N466" i="1"/>
  <c r="Q466" i="1" s="1"/>
  <c r="N467" i="1"/>
  <c r="Q467" i="1"/>
  <c r="N468" i="1"/>
  <c r="Q468" i="1"/>
  <c r="N469" i="1"/>
  <c r="Q469" i="1"/>
  <c r="N470" i="1"/>
  <c r="Q470" i="1"/>
  <c r="N471" i="1"/>
  <c r="Q471" i="1"/>
  <c r="N472" i="1"/>
  <c r="Q472" i="1"/>
  <c r="Q473" i="1"/>
  <c r="N474" i="1"/>
  <c r="Q474" i="1"/>
  <c r="N475" i="1"/>
  <c r="Q475" i="1"/>
  <c r="N476" i="1"/>
  <c r="Q476" i="1"/>
  <c r="N477" i="1"/>
  <c r="Q477" i="1"/>
  <c r="N478" i="1"/>
  <c r="Q478" i="1"/>
  <c r="Q479" i="1"/>
  <c r="N480" i="1"/>
  <c r="Q480" i="1"/>
  <c r="N481" i="1"/>
  <c r="Q481" i="1"/>
  <c r="N482" i="1"/>
  <c r="Q482" i="1"/>
  <c r="N483" i="1"/>
  <c r="Q483" i="1"/>
  <c r="N484" i="1"/>
  <c r="Q484" i="1"/>
  <c r="N485" i="1"/>
  <c r="Q485" i="1"/>
  <c r="N486" i="1"/>
  <c r="Q486" i="1"/>
  <c r="N487" i="1"/>
  <c r="Q487" i="1" s="1"/>
  <c r="N488" i="1"/>
  <c r="Q488" i="1" s="1"/>
  <c r="Q489" i="1"/>
  <c r="N490" i="1"/>
  <c r="Q490" i="1"/>
  <c r="Q491" i="1"/>
  <c r="N492" i="1"/>
  <c r="Q492" i="1"/>
  <c r="N493" i="1"/>
  <c r="Q493" i="1"/>
  <c r="N494" i="1"/>
  <c r="Q494" i="1"/>
  <c r="N495" i="1"/>
  <c r="Q495" i="1"/>
  <c r="N496" i="1"/>
  <c r="N497" i="1"/>
  <c r="Q497" i="1"/>
  <c r="N498" i="1"/>
  <c r="Q498" i="1"/>
  <c r="N499" i="1"/>
  <c r="Q499" i="1"/>
  <c r="N500" i="1"/>
  <c r="Q500" i="1"/>
  <c r="N501" i="1"/>
  <c r="Q501" i="1"/>
  <c r="N502" i="1"/>
  <c r="Q502" i="1"/>
  <c r="Q503" i="1"/>
  <c r="N504" i="1"/>
  <c r="Q504" i="1"/>
  <c r="N505" i="1"/>
  <c r="Q505" i="1"/>
  <c r="N506" i="1"/>
  <c r="Q506" i="1"/>
  <c r="Q507" i="1"/>
  <c r="Q508" i="1"/>
  <c r="N509" i="1"/>
  <c r="Q509" i="1"/>
  <c r="N510" i="1"/>
  <c r="Q510" i="1"/>
  <c r="N511" i="1"/>
  <c r="Q511" i="1"/>
  <c r="N512" i="1"/>
  <c r="N513" i="1"/>
  <c r="N514" i="1"/>
  <c r="Q514" i="1"/>
  <c r="N515" i="1"/>
  <c r="Q515" i="1"/>
  <c r="N516" i="1"/>
  <c r="Q516" i="1"/>
  <c r="N517" i="1"/>
  <c r="Q517" i="1"/>
  <c r="Q518" i="1"/>
  <c r="N519" i="1"/>
  <c r="Q519" i="1"/>
  <c r="N520" i="1"/>
  <c r="Q520" i="1"/>
  <c r="N521" i="1"/>
  <c r="Q521" i="1"/>
  <c r="N522" i="1"/>
  <c r="Q522" i="1"/>
  <c r="N523" i="1"/>
  <c r="Q523" i="1"/>
  <c r="N524" i="1"/>
  <c r="Q524" i="1"/>
  <c r="N525" i="1"/>
  <c r="Q525" i="1"/>
  <c r="N526" i="1"/>
  <c r="Q526" i="1"/>
  <c r="N527" i="1"/>
  <c r="Q527" i="1"/>
  <c r="N528" i="1"/>
  <c r="Q528" i="1"/>
  <c r="N529" i="1"/>
  <c r="Q529" i="1"/>
  <c r="Q530" i="1"/>
  <c r="N531" i="1"/>
  <c r="Q531" i="1"/>
  <c r="N532" i="1"/>
  <c r="Q532" i="1"/>
  <c r="N533" i="1"/>
  <c r="Q533" i="1" s="1"/>
  <c r="N534" i="1"/>
  <c r="Q534" i="1"/>
  <c r="N535" i="1"/>
  <c r="Q535" i="1"/>
  <c r="N536" i="1"/>
  <c r="Q536" i="1"/>
  <c r="N537" i="1"/>
  <c r="Q537" i="1"/>
  <c r="N538" i="1"/>
  <c r="Q538" i="1"/>
  <c r="N539" i="1"/>
  <c r="Q539" i="1"/>
  <c r="N540" i="1"/>
  <c r="Q540" i="1"/>
  <c r="N541" i="1"/>
  <c r="Q541" i="1"/>
  <c r="N542" i="1"/>
  <c r="Q542" i="1"/>
  <c r="N543" i="1"/>
  <c r="Q543" i="1"/>
  <c r="N544" i="1"/>
  <c r="Q544" i="1"/>
  <c r="Q545" i="1"/>
  <c r="N546" i="1"/>
  <c r="Q546" i="1"/>
  <c r="N547" i="1"/>
  <c r="Q547" i="1"/>
  <c r="N548" i="1"/>
  <c r="Q548" i="1"/>
  <c r="N549" i="1"/>
  <c r="Q549" i="1"/>
  <c r="N550" i="1"/>
  <c r="Q550" i="1"/>
  <c r="N551" i="1"/>
  <c r="Q551" i="1"/>
  <c r="N552" i="1"/>
  <c r="Q552" i="1"/>
  <c r="N553" i="1"/>
  <c r="Q553" i="1"/>
  <c r="N554" i="1"/>
  <c r="Q554" i="1"/>
  <c r="N555" i="1"/>
  <c r="Q555" i="1"/>
  <c r="N556" i="1"/>
  <c r="Q556" i="1"/>
  <c r="N557" i="1"/>
  <c r="Q557" i="1"/>
  <c r="N558" i="1"/>
  <c r="Q558" i="1" s="1"/>
  <c r="Q559" i="1"/>
  <c r="N560" i="1"/>
  <c r="Q560" i="1"/>
  <c r="Q561" i="1"/>
  <c r="N562" i="1"/>
  <c r="Q562" i="1"/>
  <c r="N563" i="1"/>
  <c r="Q563" i="1"/>
  <c r="Q564" i="1"/>
  <c r="N565" i="1"/>
  <c r="Q565" i="1"/>
  <c r="N566" i="1"/>
  <c r="Q566" i="1"/>
  <c r="N567" i="1"/>
  <c r="Q567" i="1"/>
  <c r="N568" i="1"/>
  <c r="Q568" i="1"/>
  <c r="N569" i="1"/>
  <c r="Q569" i="1"/>
  <c r="N570" i="1"/>
  <c r="Q570" i="1"/>
  <c r="N571" i="1"/>
  <c r="Q571" i="1"/>
  <c r="N572" i="1"/>
  <c r="Q572" i="1"/>
  <c r="N573" i="1"/>
  <c r="Q573" i="1" s="1"/>
  <c r="N574" i="1"/>
  <c r="Q574" i="1"/>
  <c r="N575" i="1"/>
  <c r="Q575" i="1"/>
  <c r="N576" i="1"/>
  <c r="Q576" i="1"/>
  <c r="N577" i="1"/>
  <c r="Q577" i="1"/>
  <c r="N578" i="1"/>
  <c r="Q578" i="1"/>
  <c r="Q579" i="1"/>
  <c r="N580" i="1"/>
  <c r="Q580" i="1" s="1"/>
  <c r="N581" i="1"/>
  <c r="Q581" i="1"/>
  <c r="N582" i="1"/>
  <c r="Q582" i="1"/>
  <c r="N583" i="1"/>
  <c r="Q583" i="1"/>
  <c r="N584" i="1"/>
  <c r="Q584" i="1"/>
  <c r="N585" i="1"/>
  <c r="Q585" i="1" s="1"/>
  <c r="N586" i="1"/>
  <c r="Q586" i="1"/>
  <c r="N587" i="1"/>
  <c r="Q587" i="1"/>
  <c r="N588" i="1"/>
  <c r="Q588" i="1"/>
  <c r="N589" i="1"/>
  <c r="Q589" i="1"/>
  <c r="N590" i="1"/>
  <c r="Q590" i="1"/>
  <c r="Q591" i="1"/>
  <c r="N592" i="1"/>
  <c r="Q592" i="1"/>
  <c r="N593" i="1"/>
  <c r="Q593" i="1"/>
  <c r="N594" i="1"/>
  <c r="Q594" i="1"/>
  <c r="N595" i="1"/>
  <c r="Q595" i="1"/>
  <c r="Q596" i="1"/>
  <c r="N597" i="1"/>
  <c r="N598" i="1"/>
  <c r="Q598" i="1" s="1"/>
  <c r="N599" i="1"/>
  <c r="Q599" i="1"/>
  <c r="Q600" i="1"/>
  <c r="N601" i="1"/>
  <c r="Q601" i="1" s="1"/>
  <c r="Q602" i="1"/>
  <c r="N603" i="1"/>
  <c r="Q603" i="1" s="1"/>
  <c r="Q604" i="1"/>
  <c r="N605" i="1"/>
  <c r="Q605" i="1"/>
  <c r="N606" i="1"/>
  <c r="Q606" i="1"/>
  <c r="Q607" i="1"/>
  <c r="N608" i="1"/>
  <c r="Q608" i="1"/>
  <c r="N609" i="1"/>
  <c r="Q609" i="1" s="1"/>
  <c r="N610" i="1"/>
  <c r="Q610" i="1"/>
  <c r="N611" i="1"/>
  <c r="Q611" i="1" s="1"/>
  <c r="N612" i="1"/>
  <c r="Q612" i="1" s="1"/>
  <c r="N613" i="1"/>
  <c r="Q613" i="1"/>
  <c r="N614" i="1"/>
  <c r="Q614" i="1"/>
  <c r="N615" i="1"/>
  <c r="Q615" i="1"/>
  <c r="N616" i="1"/>
  <c r="Q616" i="1"/>
  <c r="N617" i="1"/>
  <c r="Q617" i="1"/>
  <c r="N618" i="1"/>
  <c r="Q618" i="1"/>
  <c r="N619" i="1"/>
  <c r="Q619" i="1"/>
  <c r="N620" i="1"/>
  <c r="Q620" i="1" s="1"/>
  <c r="Q621" i="1"/>
  <c r="N622" i="1"/>
  <c r="Q622" i="1"/>
  <c r="N623" i="1"/>
  <c r="Q623" i="1" s="1"/>
  <c r="N624" i="1"/>
  <c r="Q624" i="1"/>
  <c r="N625" i="1"/>
  <c r="Q625" i="1"/>
  <c r="N626" i="1"/>
  <c r="Q626" i="1"/>
  <c r="N627" i="1"/>
  <c r="Q627" i="1"/>
  <c r="N628" i="1"/>
  <c r="Q628" i="1"/>
  <c r="N629" i="1"/>
  <c r="Q629" i="1"/>
  <c r="N630" i="1"/>
  <c r="Q630" i="1" s="1"/>
  <c r="N631" i="1"/>
  <c r="Q631" i="1"/>
  <c r="N632" i="1"/>
  <c r="Q632" i="1"/>
  <c r="N633" i="1"/>
  <c r="Q633" i="1"/>
  <c r="N634" i="1"/>
  <c r="Q634" i="1"/>
  <c r="N635" i="1"/>
  <c r="Q635" i="1"/>
  <c r="N636" i="1"/>
  <c r="Q636" i="1"/>
  <c r="N637" i="1"/>
  <c r="Q637" i="1"/>
  <c r="Q638" i="1"/>
  <c r="N639" i="1"/>
  <c r="Q639" i="1"/>
  <c r="N640" i="1"/>
  <c r="Q640" i="1"/>
  <c r="N641" i="1"/>
  <c r="Q641" i="1"/>
  <c r="N642" i="1"/>
  <c r="Q642" i="1"/>
  <c r="N643" i="1"/>
  <c r="Q643" i="1" s="1"/>
  <c r="N644" i="1"/>
  <c r="Q644" i="1"/>
  <c r="N645" i="1"/>
  <c r="Q645" i="1" s="1"/>
  <c r="N646" i="1"/>
  <c r="Q646" i="1"/>
  <c r="N647" i="1"/>
  <c r="Q647" i="1"/>
  <c r="N648" i="1"/>
  <c r="Q648" i="1"/>
  <c r="N649" i="1"/>
  <c r="Q649" i="1"/>
  <c r="N650" i="1"/>
  <c r="Q650" i="1"/>
  <c r="N651" i="1"/>
  <c r="Q651" i="1"/>
  <c r="N652" i="1"/>
  <c r="Q652" i="1"/>
  <c r="N653" i="1"/>
  <c r="Q653" i="1"/>
  <c r="N654" i="1"/>
  <c r="Q654" i="1"/>
  <c r="N655" i="1"/>
  <c r="Q655" i="1"/>
  <c r="N656" i="1"/>
  <c r="Q656" i="1"/>
  <c r="N657" i="1"/>
  <c r="Q657" i="1"/>
  <c r="Q658" i="1"/>
  <c r="N659" i="1"/>
  <c r="Q659" i="1"/>
  <c r="N660" i="1"/>
  <c r="Q660" i="1"/>
  <c r="N661" i="1"/>
  <c r="Q661" i="1" s="1"/>
  <c r="N662" i="1"/>
  <c r="Q662" i="1"/>
  <c r="N663" i="1"/>
  <c r="Q663" i="1"/>
  <c r="N664" i="1"/>
  <c r="Q664" i="1"/>
  <c r="N665" i="1"/>
  <c r="Q665" i="1"/>
  <c r="N666" i="1"/>
  <c r="Q666" i="1"/>
  <c r="N667" i="1"/>
  <c r="Q667" i="1"/>
  <c r="N668" i="1"/>
  <c r="Q668" i="1"/>
  <c r="Q669" i="1"/>
  <c r="Q670" i="1"/>
  <c r="N671" i="1"/>
  <c r="Q671" i="1"/>
  <c r="N672" i="1"/>
  <c r="Q672" i="1"/>
  <c r="N673" i="1"/>
  <c r="Q673" i="1" s="1"/>
  <c r="N674" i="1"/>
  <c r="Q674" i="1"/>
  <c r="N675" i="1"/>
  <c r="Q675" i="1"/>
  <c r="Q676" i="1"/>
  <c r="N677" i="1"/>
  <c r="Q677" i="1" s="1"/>
  <c r="Q678" i="1"/>
  <c r="N679" i="1"/>
  <c r="Q679" i="1"/>
  <c r="N680" i="1"/>
  <c r="Q680" i="1"/>
  <c r="N681" i="1"/>
  <c r="Q681" i="1" s="1"/>
  <c r="N682" i="1"/>
  <c r="Q682" i="1" s="1"/>
  <c r="N683" i="1"/>
  <c r="Q683" i="1"/>
  <c r="N684" i="1"/>
  <c r="Q684" i="1"/>
  <c r="N685" i="1"/>
  <c r="Q685" i="1"/>
  <c r="N686" i="1"/>
  <c r="Q686" i="1"/>
  <c r="N687" i="1"/>
  <c r="Q687" i="1"/>
  <c r="N688" i="1"/>
  <c r="Q688" i="1"/>
  <c r="N689" i="1"/>
  <c r="Q689" i="1" s="1"/>
  <c r="N690" i="1"/>
  <c r="Q690" i="1"/>
  <c r="N691" i="1"/>
  <c r="Q691" i="1"/>
  <c r="N692" i="1"/>
  <c r="Q692" i="1"/>
  <c r="N693" i="1"/>
  <c r="Q693" i="1"/>
  <c r="N694" i="1"/>
  <c r="Q694" i="1"/>
  <c r="N695" i="1"/>
  <c r="Q695" i="1"/>
  <c r="N696" i="1"/>
  <c r="Q696" i="1"/>
  <c r="N697" i="1"/>
  <c r="Q697" i="1"/>
  <c r="N698" i="1"/>
  <c r="Q698" i="1"/>
  <c r="Q699" i="1"/>
  <c r="N700" i="1"/>
  <c r="Q700" i="1"/>
  <c r="N701" i="1"/>
  <c r="Q701" i="1" s="1"/>
  <c r="N702" i="1"/>
  <c r="Q702" i="1"/>
  <c r="Q703" i="1"/>
  <c r="N704" i="1"/>
  <c r="Q704" i="1"/>
  <c r="N705" i="1"/>
  <c r="Q705" i="1"/>
  <c r="N706" i="1"/>
  <c r="Q706" i="1"/>
  <c r="N707" i="1"/>
  <c r="Q707" i="1"/>
  <c r="N708" i="1"/>
  <c r="Q708" i="1"/>
  <c r="N709" i="1"/>
  <c r="Q709" i="1"/>
  <c r="N710" i="1"/>
  <c r="Q710" i="1"/>
  <c r="N711" i="1"/>
  <c r="Q711" i="1"/>
  <c r="N712" i="1"/>
  <c r="Q712" i="1"/>
  <c r="N713" i="1"/>
  <c r="Q713" i="1"/>
  <c r="N714" i="1"/>
  <c r="Q714" i="1"/>
  <c r="Q715" i="1"/>
  <c r="N716" i="1"/>
  <c r="Q716" i="1"/>
  <c r="N717" i="1"/>
  <c r="Q717" i="1"/>
  <c r="N718" i="1"/>
  <c r="Q718" i="1"/>
  <c r="N719" i="1"/>
  <c r="Q719" i="1"/>
  <c r="N720" i="1"/>
  <c r="Q720" i="1"/>
  <c r="N721" i="1"/>
  <c r="Q721" i="1"/>
  <c r="N722" i="1"/>
  <c r="Q722" i="1"/>
  <c r="N723" i="1"/>
  <c r="Q723" i="1"/>
  <c r="Q724" i="1"/>
  <c r="N725" i="1"/>
  <c r="Q725" i="1"/>
  <c r="N726" i="1"/>
  <c r="Q726" i="1"/>
  <c r="N727" i="1"/>
  <c r="Q727" i="1"/>
  <c r="N728" i="1"/>
  <c r="Q728" i="1"/>
  <c r="N729" i="1"/>
  <c r="Q729" i="1"/>
  <c r="N730" i="1"/>
  <c r="Q730" i="1"/>
  <c r="N731" i="1"/>
  <c r="Q731" i="1"/>
  <c r="N732" i="1"/>
  <c r="Q732" i="1"/>
  <c r="N733" i="1"/>
  <c r="Q733" i="1"/>
  <c r="N734" i="1"/>
  <c r="Q734" i="1"/>
  <c r="N735" i="1"/>
  <c r="Q735" i="1"/>
  <c r="N736" i="1"/>
  <c r="Q736" i="1"/>
  <c r="N737" i="1"/>
  <c r="Q737" i="1"/>
  <c r="N738" i="1"/>
  <c r="Q738" i="1"/>
  <c r="N739" i="1"/>
  <c r="Q739" i="1"/>
  <c r="N740" i="1"/>
  <c r="Q740" i="1"/>
  <c r="N741" i="1"/>
  <c r="Q741" i="1"/>
  <c r="N742" i="1"/>
  <c r="Q742" i="1"/>
  <c r="N743" i="1"/>
  <c r="Q743" i="1"/>
  <c r="N744" i="1"/>
  <c r="Q744" i="1"/>
  <c r="N745" i="1"/>
  <c r="Q745" i="1"/>
  <c r="N746" i="1"/>
  <c r="Q746" i="1"/>
  <c r="N747" i="1"/>
  <c r="Q747" i="1"/>
  <c r="N748" i="1"/>
  <c r="Q748" i="1"/>
  <c r="N749" i="1"/>
  <c r="Q749" i="1"/>
  <c r="N750" i="1"/>
  <c r="Q750" i="1"/>
  <c r="N751" i="1"/>
  <c r="Q751" i="1"/>
  <c r="N752" i="1"/>
  <c r="Q752" i="1"/>
  <c r="N753" i="1"/>
  <c r="Q753" i="1"/>
  <c r="N754" i="1"/>
  <c r="Q754" i="1"/>
  <c r="N755" i="1"/>
  <c r="Q755" i="1"/>
  <c r="N756" i="1"/>
  <c r="Q756" i="1"/>
  <c r="N757" i="1"/>
  <c r="Q757" i="1"/>
  <c r="N758" i="1"/>
  <c r="Q758" i="1"/>
  <c r="N759" i="1"/>
  <c r="Q759" i="1"/>
  <c r="N760" i="1"/>
  <c r="Q760" i="1"/>
  <c r="N761" i="1"/>
  <c r="Q761" i="1"/>
  <c r="N762" i="1"/>
  <c r="Q762" i="1"/>
  <c r="N763" i="1"/>
  <c r="Q763" i="1"/>
  <c r="N764" i="1"/>
  <c r="Q764" i="1"/>
  <c r="N765" i="1"/>
  <c r="Q765" i="1"/>
  <c r="N766" i="1"/>
  <c r="Q766" i="1"/>
  <c r="N767" i="1"/>
  <c r="Q767" i="1"/>
  <c r="N768" i="1"/>
  <c r="Q768" i="1"/>
  <c r="N769" i="1"/>
  <c r="Q769" i="1"/>
  <c r="N770" i="1"/>
  <c r="Q770" i="1"/>
  <c r="N771" i="1"/>
  <c r="Q771" i="1"/>
  <c r="N772" i="1"/>
  <c r="Q772" i="1"/>
  <c r="N773" i="1"/>
  <c r="Q773" i="1"/>
  <c r="N774" i="1"/>
  <c r="Q774" i="1"/>
  <c r="N775" i="1"/>
  <c r="Q775" i="1"/>
  <c r="N776" i="1"/>
  <c r="Q776" i="1"/>
  <c r="N777" i="1"/>
  <c r="Q777" i="1"/>
  <c r="N778" i="1"/>
  <c r="Q778" i="1"/>
  <c r="N779" i="1"/>
  <c r="Q779" i="1"/>
  <c r="N780" i="1"/>
  <c r="Q780" i="1"/>
  <c r="N781" i="1"/>
  <c r="Q781" i="1"/>
  <c r="N782" i="1"/>
  <c r="Q782" i="1"/>
  <c r="N783" i="1"/>
  <c r="Q783" i="1"/>
  <c r="N784" i="1"/>
  <c r="Q784" i="1"/>
  <c r="N785" i="1"/>
  <c r="Q785" i="1"/>
  <c r="N786" i="1"/>
  <c r="Q786" i="1"/>
  <c r="N787" i="1"/>
  <c r="Q787" i="1"/>
  <c r="N788" i="1"/>
  <c r="Q788" i="1"/>
  <c r="N789" i="1"/>
  <c r="Q789" i="1"/>
  <c r="N790" i="1"/>
  <c r="Q790" i="1"/>
  <c r="N791" i="1"/>
  <c r="Q791" i="1"/>
  <c r="N792" i="1"/>
  <c r="Q792" i="1"/>
  <c r="N793" i="1"/>
  <c r="Q793" i="1"/>
  <c r="N794" i="1"/>
  <c r="Q794" i="1"/>
  <c r="N795" i="1"/>
  <c r="Q795" i="1"/>
  <c r="N796" i="1"/>
  <c r="Q796" i="1"/>
  <c r="N797" i="1"/>
  <c r="Q797" i="1"/>
  <c r="N798" i="1"/>
  <c r="Q798" i="1"/>
  <c r="N799" i="1"/>
  <c r="Q799" i="1"/>
  <c r="N800" i="1"/>
  <c r="Q800" i="1"/>
  <c r="N801" i="1"/>
  <c r="Q801" i="1"/>
  <c r="N802" i="1"/>
  <c r="Q802" i="1"/>
  <c r="N803" i="1"/>
  <c r="Q803" i="1"/>
  <c r="N804" i="1"/>
  <c r="Q804" i="1"/>
  <c r="N805" i="1"/>
  <c r="Q805" i="1"/>
  <c r="N806" i="1"/>
  <c r="Q806" i="1"/>
  <c r="N807" i="1"/>
  <c r="Q807" i="1"/>
  <c r="N808" i="1"/>
  <c r="Q808" i="1"/>
  <c r="N809" i="1"/>
  <c r="Q809" i="1"/>
  <c r="N810" i="1"/>
  <c r="Q810" i="1"/>
  <c r="N811" i="1"/>
  <c r="Q811" i="1"/>
  <c r="N812" i="1"/>
  <c r="Q812" i="1"/>
  <c r="N813" i="1"/>
  <c r="Q813" i="1"/>
  <c r="N814" i="1"/>
  <c r="Q814" i="1"/>
  <c r="N815" i="1"/>
  <c r="Q815" i="1"/>
  <c r="N816" i="1"/>
  <c r="Q816" i="1"/>
  <c r="N817" i="1"/>
  <c r="Q817" i="1"/>
  <c r="N818" i="1"/>
  <c r="Q818" i="1"/>
  <c r="N819" i="1"/>
  <c r="Q819" i="1"/>
  <c r="N820" i="1"/>
  <c r="Q820" i="1"/>
  <c r="N821" i="1"/>
  <c r="Q821" i="1"/>
  <c r="N822" i="1"/>
  <c r="Q822" i="1"/>
  <c r="N823" i="1"/>
  <c r="Q823" i="1"/>
  <c r="N824" i="1"/>
  <c r="Q824" i="1"/>
  <c r="N825" i="1"/>
  <c r="Q825" i="1"/>
  <c r="N826" i="1"/>
  <c r="Q826" i="1"/>
  <c r="N827" i="1"/>
  <c r="Q827" i="1"/>
  <c r="N828" i="1"/>
  <c r="Q828" i="1"/>
  <c r="N829" i="1"/>
  <c r="Q829" i="1"/>
  <c r="N830" i="1"/>
  <c r="Q830" i="1"/>
  <c r="N831" i="1"/>
  <c r="Q831" i="1"/>
  <c r="N832" i="1"/>
  <c r="Q832" i="1"/>
  <c r="N833" i="1"/>
  <c r="Q833" i="1"/>
  <c r="N834" i="1"/>
  <c r="Q834" i="1"/>
  <c r="N835" i="1"/>
  <c r="Q835" i="1"/>
  <c r="N836" i="1"/>
  <c r="Q836" i="1"/>
  <c r="N837" i="1"/>
  <c r="Q837" i="1"/>
  <c r="N838" i="1"/>
  <c r="Q838" i="1"/>
  <c r="N839" i="1"/>
  <c r="Q839" i="1"/>
  <c r="N840" i="1"/>
  <c r="Q840" i="1"/>
  <c r="N841" i="1"/>
  <c r="Q841" i="1"/>
  <c r="N842" i="1"/>
  <c r="Q842" i="1"/>
  <c r="N843" i="1"/>
  <c r="Q843" i="1"/>
  <c r="N844" i="1"/>
  <c r="Q844" i="1"/>
  <c r="N845" i="1"/>
  <c r="Q845" i="1"/>
  <c r="N846" i="1"/>
  <c r="Q846" i="1"/>
  <c r="N847" i="1"/>
  <c r="Q847" i="1"/>
  <c r="N848" i="1"/>
  <c r="Q848" i="1"/>
  <c r="N849" i="1"/>
  <c r="Q849" i="1"/>
  <c r="N850" i="1"/>
  <c r="Q850" i="1"/>
  <c r="Q3" i="1"/>
  <c r="Q4" i="1"/>
  <c r="N3" i="1"/>
  <c r="N4" i="1"/>
  <c r="AE2" i="8"/>
  <c r="AE3" i="8" s="1"/>
  <c r="AE4" i="8" s="1"/>
  <c r="AF2" i="8"/>
  <c r="AF3" i="8" s="1"/>
  <c r="AF4" i="8" s="1"/>
  <c r="AD2" i="8"/>
  <c r="AD3" i="8" s="1"/>
  <c r="AD4" i="8" s="1"/>
  <c r="O3" i="8"/>
  <c r="AL3" i="8" s="1"/>
  <c r="V3" i="8"/>
  <c r="X3" i="8"/>
  <c r="Z3" i="8"/>
  <c r="AB3" i="8"/>
  <c r="AH3" i="8"/>
  <c r="AU3" i="8"/>
  <c r="AU4" i="8" s="1"/>
  <c r="BB3" i="1"/>
  <c r="BB4" i="1" s="1"/>
  <c r="BC3" i="1"/>
  <c r="BC4" i="1" s="1"/>
  <c r="BA3" i="1"/>
  <c r="BA4" i="1" s="1"/>
  <c r="S7" i="1" l="1"/>
  <c r="T3" i="1"/>
  <c r="O4" i="8"/>
  <c r="AM3" i="8"/>
  <c r="V4" i="8"/>
  <c r="AZ3" i="11" a="1"/>
  <c r="AZ3" i="11" s="1"/>
  <c r="AX3" i="11" a="1"/>
  <c r="AX3" i="11" s="1"/>
  <c r="AY3" i="11" a="1"/>
  <c r="AY3" i="11" s="1"/>
  <c r="BB3" i="11" a="1"/>
  <c r="BB3" i="11" s="1"/>
  <c r="BC3" i="11" a="1"/>
  <c r="BC3" i="11" s="1"/>
  <c r="S8" i="1" l="1"/>
  <c r="AG7" i="1"/>
  <c r="AG8" i="1" s="1"/>
  <c r="AA7" i="1"/>
  <c r="S9" i="1"/>
  <c r="AA5" i="1"/>
  <c r="AA6" i="1"/>
  <c r="AL4" i="8"/>
  <c r="O5" i="8"/>
  <c r="O6" i="8" s="1"/>
  <c r="O7" i="8" s="1"/>
  <c r="O8" i="8" s="1"/>
  <c r="O9" i="8" s="1"/>
  <c r="O10" i="8" s="1"/>
  <c r="O11" i="8" s="1"/>
  <c r="O12" i="8" s="1"/>
  <c r="O13" i="8" s="1"/>
  <c r="O14" i="8" s="1"/>
  <c r="O15" i="8" s="1"/>
  <c r="O16" i="8" s="1"/>
  <c r="O17" i="8" s="1"/>
  <c r="O18" i="8" s="1"/>
  <c r="O19" i="8" s="1"/>
  <c r="O20" i="8" s="1"/>
  <c r="O21" i="8" s="1"/>
  <c r="O22" i="8" s="1"/>
  <c r="O23" i="8" s="1"/>
  <c r="O24" i="8" s="1"/>
  <c r="O25" i="8" s="1"/>
  <c r="O26" i="8" s="1"/>
  <c r="O27" i="8" s="1"/>
  <c r="O28" i="8" s="1"/>
  <c r="O29" i="8" s="1"/>
  <c r="O30" i="8" s="1"/>
  <c r="O31" i="8" s="1"/>
  <c r="O32" i="8" s="1"/>
  <c r="O33" i="8" s="1"/>
  <c r="O34" i="8" s="1"/>
  <c r="O35" i="8" s="1"/>
  <c r="O38" i="8" s="1"/>
  <c r="O39" i="8" s="1"/>
  <c r="O40" i="8" s="1"/>
  <c r="O41" i="8" s="1"/>
  <c r="O42" i="8" s="1"/>
  <c r="O43" i="8" s="1"/>
  <c r="O44" i="8" s="1"/>
  <c r="O45" i="8" s="1"/>
  <c r="O46" i="8" s="1"/>
  <c r="O47" i="8" s="1"/>
  <c r="O48" i="8" s="1"/>
  <c r="O49" i="8" s="1"/>
  <c r="O50" i="8" s="1"/>
  <c r="O51" i="8" s="1"/>
  <c r="O52" i="8" s="1"/>
  <c r="O53" i="8" s="1"/>
  <c r="O54" i="8" s="1"/>
  <c r="O55" i="8" s="1"/>
  <c r="O56" i="8" s="1"/>
  <c r="O57" i="8" s="1"/>
  <c r="O58" i="8" s="1"/>
  <c r="O61" i="8" s="1"/>
  <c r="O62" i="8" s="1"/>
  <c r="O63" i="8" s="1"/>
  <c r="O64" i="8" s="1"/>
  <c r="O65" i="8" s="1"/>
  <c r="O66" i="8" s="1"/>
  <c r="O67" i="8" s="1"/>
  <c r="O68" i="8" s="1"/>
  <c r="O69" i="8" s="1"/>
  <c r="O70" i="8" s="1"/>
  <c r="O71" i="8" s="1"/>
  <c r="O72" i="8" s="1"/>
  <c r="O73" i="8" s="1"/>
  <c r="O74" i="8" s="1"/>
  <c r="O75" i="8" s="1"/>
  <c r="O76" i="8" s="1"/>
  <c r="O77" i="8" s="1"/>
  <c r="O78" i="8" s="1"/>
  <c r="AV3" i="1" a="1"/>
  <c r="AV3" i="1" s="1"/>
  <c r="U3" i="1"/>
  <c r="AT3" i="1" s="1"/>
  <c r="V3" i="1"/>
  <c r="AU3" i="1" s="1"/>
  <c r="AW3" i="1" a="1"/>
  <c r="AW3" i="1" s="1"/>
  <c r="T4" i="1"/>
  <c r="T5" i="1" s="1"/>
  <c r="AX3" i="1" a="1"/>
  <c r="AX3" i="1" s="1"/>
  <c r="AY3" i="1" a="1"/>
  <c r="AY3" i="1" s="1"/>
  <c r="AA9" i="1" l="1"/>
  <c r="AG9" i="1"/>
  <c r="AA8" i="1"/>
  <c r="S10" i="1"/>
  <c r="AB5" i="1"/>
  <c r="AC5" i="1" s="1"/>
  <c r="T6" i="1"/>
  <c r="U5" i="1"/>
  <c r="V5" i="1"/>
  <c r="AW4" i="1" a="1"/>
  <c r="AW4" i="1" s="1"/>
  <c r="AY4" i="1" a="1"/>
  <c r="AY4" i="1" s="1"/>
  <c r="AX4" i="1" a="1"/>
  <c r="AX4" i="1" s="1"/>
  <c r="AV4" i="1" a="1"/>
  <c r="AV4" i="1" s="1"/>
  <c r="U4" i="1"/>
  <c r="AT4" i="1" s="1"/>
  <c r="V4" i="1"/>
  <c r="AU4" i="1" s="1"/>
  <c r="S11" i="1" l="1"/>
  <c r="AA10" i="1"/>
  <c r="S12" i="1"/>
  <c r="AB6" i="1"/>
  <c r="AC6" i="1" s="1"/>
  <c r="T7" i="1"/>
  <c r="U6" i="1"/>
  <c r="V6" i="1"/>
  <c r="AA11" i="1" l="1"/>
  <c r="S13" i="1"/>
  <c r="AA12" i="1"/>
  <c r="AE6" i="1"/>
  <c r="AD6" i="1"/>
  <c r="AF6" i="1" s="1"/>
  <c r="AB7" i="1"/>
  <c r="AC7" i="1" s="1"/>
  <c r="AD7" i="1" s="1"/>
  <c r="V7" i="1"/>
  <c r="T8" i="1"/>
  <c r="U7" i="1"/>
  <c r="AG2" i="8"/>
  <c r="AA4" i="1"/>
  <c r="AB4" i="1"/>
  <c r="AC4" i="1" s="1"/>
  <c r="BQ2" i="4" a="1"/>
  <c r="BQ2" i="4" s="1"/>
  <c r="BE3" i="1"/>
  <c r="BE4" i="1" s="1"/>
  <c r="AB3" i="1"/>
  <c r="AA3" i="1"/>
  <c r="AZ3" i="1"/>
  <c r="AZ4" i="1" s="1"/>
  <c r="AA2" i="1"/>
  <c r="BG3" i="1"/>
  <c r="BG4" i="1" s="1"/>
  <c r="AB2" i="1"/>
  <c r="AC2" i="1" s="1"/>
  <c r="S15" i="1" l="1"/>
  <c r="S16" i="1" s="1"/>
  <c r="S14" i="1"/>
  <c r="AA14" i="1" s="1"/>
  <c r="AA15" i="1"/>
  <c r="AF7" i="1"/>
  <c r="AA13" i="1"/>
  <c r="AE7" i="1"/>
  <c r="U8" i="1"/>
  <c r="V8" i="1"/>
  <c r="AB8" i="1"/>
  <c r="AC8" i="1" s="1"/>
  <c r="AF8" i="1" s="1"/>
  <c r="T9" i="1"/>
  <c r="AI2" i="1"/>
  <c r="AJ2" i="1"/>
  <c r="AP2" i="1"/>
  <c r="AN2" i="1"/>
  <c r="AO2" i="1"/>
  <c r="I4" i="8"/>
  <c r="AJ4" i="8" s="1"/>
  <c r="P4" i="8"/>
  <c r="AK4" i="8" s="1"/>
  <c r="AA16" i="1" l="1"/>
  <c r="S17" i="1"/>
  <c r="AD8" i="1"/>
  <c r="AE8" i="1"/>
  <c r="AB9" i="1"/>
  <c r="AC9" i="1" s="1"/>
  <c r="U9" i="1"/>
  <c r="V9" i="1"/>
  <c r="T10" i="1"/>
  <c r="AS4" i="8"/>
  <c r="AO4" i="8"/>
  <c r="AN4" i="8"/>
  <c r="AP4" i="8" s="1"/>
  <c r="AX4" i="8" s="1"/>
  <c r="AW4" i="8" s="1"/>
  <c r="AR2" i="1"/>
  <c r="AM2" i="1"/>
  <c r="AQ2" i="1" s="1"/>
  <c r="S18" i="1" l="1"/>
  <c r="AA17" i="1"/>
  <c r="AE9" i="1"/>
  <c r="AD9" i="1"/>
  <c r="AF9" i="1"/>
  <c r="AB10" i="1"/>
  <c r="AC10" i="1" s="1"/>
  <c r="U10" i="1"/>
  <c r="T11" i="1"/>
  <c r="V10" i="1"/>
  <c r="AR4" i="8"/>
  <c r="AV4" i="8"/>
  <c r="AY4" i="8" s="1"/>
  <c r="AQ4" i="8"/>
  <c r="AC3" i="1"/>
  <c r="S19" i="1" l="1"/>
  <c r="AA18" i="1"/>
  <c r="AB11" i="1"/>
  <c r="AC11" i="1" s="1"/>
  <c r="T12" i="1"/>
  <c r="U11" i="1"/>
  <c r="V11" i="1"/>
  <c r="AI4" i="1"/>
  <c r="AJ4" i="1"/>
  <c r="AF3" i="1"/>
  <c r="AD4" i="1"/>
  <c r="AE4" i="1"/>
  <c r="BT2" i="1"/>
  <c r="BS2" i="1" s="1"/>
  <c r="A5" i="8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S20" i="1" l="1"/>
  <c r="AA19" i="1"/>
  <c r="AB12" i="1"/>
  <c r="AC12" i="1" s="1"/>
  <c r="V12" i="1"/>
  <c r="U12" i="1"/>
  <c r="T13" i="1"/>
  <c r="AF4" i="1"/>
  <c r="BJ4" i="1"/>
  <c r="AK3" i="8"/>
  <c r="AG3" i="8"/>
  <c r="AA20" i="1" l="1"/>
  <c r="S21" i="1"/>
  <c r="V13" i="1"/>
  <c r="U13" i="1"/>
  <c r="AB13" i="1"/>
  <c r="AC13" i="1" s="1"/>
  <c r="T14" i="1"/>
  <c r="BI4" i="1"/>
  <c r="BK4" i="1"/>
  <c r="AJ3" i="8"/>
  <c r="AO3" i="8" s="1"/>
  <c r="AV3" i="8" s="1"/>
  <c r="AY3" i="8" s="1"/>
  <c r="AI3" i="8"/>
  <c r="AF2" i="1"/>
  <c r="AG2" i="1"/>
  <c r="Z3" i="1"/>
  <c r="BF3" i="1"/>
  <c r="BF4" i="1" s="1"/>
  <c r="BD2" i="1"/>
  <c r="AS2" i="1" s="1"/>
  <c r="BO2" i="1"/>
  <c r="BP2" i="1" s="1"/>
  <c r="S22" i="1" l="1"/>
  <c r="AA21" i="1"/>
  <c r="AB14" i="1"/>
  <c r="AC14" i="1" s="1"/>
  <c r="U14" i="1"/>
  <c r="T15" i="1"/>
  <c r="V14" i="1"/>
  <c r="AS3" i="8"/>
  <c r="AN3" i="8"/>
  <c r="AP3" i="8" s="1"/>
  <c r="AX3" i="8" s="1"/>
  <c r="AW3" i="8" s="1"/>
  <c r="AQ3" i="8"/>
  <c r="Z4" i="1"/>
  <c r="Z5" i="1" s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Z36" i="1" s="1"/>
  <c r="Z37" i="1" s="1"/>
  <c r="Z38" i="1" s="1"/>
  <c r="Z39" i="1" s="1"/>
  <c r="Z40" i="1" s="1"/>
  <c r="Z41" i="1" s="1"/>
  <c r="Z42" i="1" s="1"/>
  <c r="Z43" i="1" s="1"/>
  <c r="Z44" i="1" s="1"/>
  <c r="Z45" i="1" s="1"/>
  <c r="Z46" i="1" s="1"/>
  <c r="Z47" i="1" s="1"/>
  <c r="Z48" i="1" s="1"/>
  <c r="Z49" i="1" s="1"/>
  <c r="Z50" i="1" s="1"/>
  <c r="Z51" i="1" s="1"/>
  <c r="Z52" i="1" s="1"/>
  <c r="Z53" i="1" s="1"/>
  <c r="Z54" i="1" s="1"/>
  <c r="Z55" i="1" s="1"/>
  <c r="Z56" i="1" s="1"/>
  <c r="Z57" i="1" s="1"/>
  <c r="Z58" i="1" s="1"/>
  <c r="Z59" i="1" s="1"/>
  <c r="Z60" i="1" s="1"/>
  <c r="Z61" i="1" s="1"/>
  <c r="Z62" i="1" s="1"/>
  <c r="Z63" i="1" s="1"/>
  <c r="Z64" i="1" s="1"/>
  <c r="Z65" i="1" s="1"/>
  <c r="Z66" i="1" s="1"/>
  <c r="Z67" i="1" s="1"/>
  <c r="Z68" i="1" s="1"/>
  <c r="Z69" i="1" s="1"/>
  <c r="Z70" i="1" s="1"/>
  <c r="Z71" i="1" s="1"/>
  <c r="Z72" i="1" s="1"/>
  <c r="Z73" i="1" s="1"/>
  <c r="Z74" i="1" s="1"/>
  <c r="Z75" i="1" s="1"/>
  <c r="Z76" i="1" s="1"/>
  <c r="Z77" i="1" s="1"/>
  <c r="Z78" i="1" s="1"/>
  <c r="Z79" i="1" s="1"/>
  <c r="Z80" i="1" s="1"/>
  <c r="Z81" i="1" s="1"/>
  <c r="Z82" i="1" s="1"/>
  <c r="Z83" i="1" s="1"/>
  <c r="Z84" i="1" s="1"/>
  <c r="Z85" i="1" s="1"/>
  <c r="Z86" i="1" s="1"/>
  <c r="Z87" i="1" s="1"/>
  <c r="Z88" i="1" s="1"/>
  <c r="Z89" i="1" s="1"/>
  <c r="Z90" i="1" s="1"/>
  <c r="Z91" i="1" s="1"/>
  <c r="Z92" i="1" s="1"/>
  <c r="Z93" i="1" s="1"/>
  <c r="Z94" i="1" s="1"/>
  <c r="Z95" i="1" s="1"/>
  <c r="Z96" i="1" s="1"/>
  <c r="Z97" i="1" s="1"/>
  <c r="Z98" i="1" s="1"/>
  <c r="Z99" i="1" s="1"/>
  <c r="Z100" i="1" s="1"/>
  <c r="Z101" i="1" s="1"/>
  <c r="Z102" i="1" s="1"/>
  <c r="Z103" i="1" s="1"/>
  <c r="Z104" i="1" s="1"/>
  <c r="Z105" i="1" s="1"/>
  <c r="Z106" i="1" s="1"/>
  <c r="Z107" i="1" s="1"/>
  <c r="Z108" i="1" s="1"/>
  <c r="Z109" i="1" s="1"/>
  <c r="Z110" i="1" s="1"/>
  <c r="Z111" i="1" s="1"/>
  <c r="Z112" i="1" s="1"/>
  <c r="Z113" i="1" s="1"/>
  <c r="Z114" i="1" s="1"/>
  <c r="Z115" i="1" s="1"/>
  <c r="Z116" i="1" s="1"/>
  <c r="Z117" i="1" s="1"/>
  <c r="Z118" i="1" s="1"/>
  <c r="Z119" i="1" s="1"/>
  <c r="Z120" i="1" s="1"/>
  <c r="Z121" i="1" s="1"/>
  <c r="Z122" i="1" s="1"/>
  <c r="Z123" i="1" s="1"/>
  <c r="Z124" i="1" s="1"/>
  <c r="Z125" i="1" s="1"/>
  <c r="Z126" i="1" s="1"/>
  <c r="Z127" i="1" s="1"/>
  <c r="Z128" i="1" s="1"/>
  <c r="Z129" i="1" s="1"/>
  <c r="Z130" i="1" s="1"/>
  <c r="Z131" i="1" s="1"/>
  <c r="Z132" i="1" s="1"/>
  <c r="Z133" i="1" s="1"/>
  <c r="Z134" i="1" s="1"/>
  <c r="Z135" i="1" s="1"/>
  <c r="Z136" i="1" s="1"/>
  <c r="Z137" i="1" s="1"/>
  <c r="Z138" i="1" s="1"/>
  <c r="Z139" i="1" s="1"/>
  <c r="Z140" i="1" s="1"/>
  <c r="Z141" i="1" s="1"/>
  <c r="Z142" i="1" s="1"/>
  <c r="Z143" i="1" s="1"/>
  <c r="Z144" i="1" s="1"/>
  <c r="Z145" i="1" s="1"/>
  <c r="Z146" i="1" s="1"/>
  <c r="Z147" i="1" s="1"/>
  <c r="Z148" i="1" s="1"/>
  <c r="Z149" i="1" s="1"/>
  <c r="Z150" i="1" s="1"/>
  <c r="Z151" i="1" s="1"/>
  <c r="Z152" i="1" s="1"/>
  <c r="Z153" i="1" s="1"/>
  <c r="Z154" i="1" s="1"/>
  <c r="Z155" i="1" s="1"/>
  <c r="Z156" i="1" s="1"/>
  <c r="Z157" i="1" s="1"/>
  <c r="Z158" i="1" s="1"/>
  <c r="Z159" i="1" s="1"/>
  <c r="Z160" i="1" s="1"/>
  <c r="Z161" i="1" s="1"/>
  <c r="Z162" i="1" s="1"/>
  <c r="Z163" i="1" s="1"/>
  <c r="Z164" i="1" s="1"/>
  <c r="Z165" i="1" s="1"/>
  <c r="Z166" i="1" s="1"/>
  <c r="Z167" i="1" s="1"/>
  <c r="Z168" i="1" s="1"/>
  <c r="Z169" i="1" s="1"/>
  <c r="Z170" i="1" s="1"/>
  <c r="Z171" i="1" s="1"/>
  <c r="Z172" i="1" s="1"/>
  <c r="Z173" i="1" s="1"/>
  <c r="Z174" i="1" s="1"/>
  <c r="Z175" i="1" s="1"/>
  <c r="Z176" i="1" s="1"/>
  <c r="Z177" i="1" s="1"/>
  <c r="Z178" i="1" s="1"/>
  <c r="Z179" i="1" s="1"/>
  <c r="Z180" i="1" s="1"/>
  <c r="Z181" i="1" s="1"/>
  <c r="Z182" i="1" s="1"/>
  <c r="Z183" i="1" s="1"/>
  <c r="Z184" i="1" s="1"/>
  <c r="Z185" i="1" s="1"/>
  <c r="Z186" i="1" s="1"/>
  <c r="Z187" i="1" s="1"/>
  <c r="Z188" i="1" s="1"/>
  <c r="Z189" i="1" s="1"/>
  <c r="Z190" i="1" s="1"/>
  <c r="Z191" i="1" s="1"/>
  <c r="Z192" i="1" s="1"/>
  <c r="Z193" i="1" s="1"/>
  <c r="Z194" i="1" s="1"/>
  <c r="Z195" i="1" s="1"/>
  <c r="Z196" i="1" s="1"/>
  <c r="Z197" i="1" s="1"/>
  <c r="Z198" i="1" s="1"/>
  <c r="Z199" i="1" s="1"/>
  <c r="Z200" i="1" s="1"/>
  <c r="Z201" i="1" s="1"/>
  <c r="Z202" i="1" s="1"/>
  <c r="Z203" i="1" s="1"/>
  <c r="Z204" i="1" s="1"/>
  <c r="Z205" i="1" s="1"/>
  <c r="Z206" i="1" s="1"/>
  <c r="Z207" i="1" s="1"/>
  <c r="Z208" i="1" s="1"/>
  <c r="Z209" i="1" s="1"/>
  <c r="Z210" i="1" s="1"/>
  <c r="Z211" i="1" s="1"/>
  <c r="Z212" i="1" s="1"/>
  <c r="Z213" i="1" s="1"/>
  <c r="Z214" i="1" s="1"/>
  <c r="Z215" i="1" s="1"/>
  <c r="Z216" i="1" s="1"/>
  <c r="Z217" i="1" s="1"/>
  <c r="Z218" i="1" s="1"/>
  <c r="Z219" i="1" s="1"/>
  <c r="Z220" i="1" s="1"/>
  <c r="Z221" i="1" s="1"/>
  <c r="Z222" i="1" s="1"/>
  <c r="Z223" i="1" s="1"/>
  <c r="Z224" i="1" s="1"/>
  <c r="Z225" i="1" s="1"/>
  <c r="Z226" i="1" s="1"/>
  <c r="Z227" i="1" s="1"/>
  <c r="Z228" i="1" s="1"/>
  <c r="Z229" i="1" s="1"/>
  <c r="Z230" i="1" s="1"/>
  <c r="Z231" i="1" s="1"/>
  <c r="Z232" i="1" s="1"/>
  <c r="Z233" i="1" s="1"/>
  <c r="Z234" i="1" s="1"/>
  <c r="Z235" i="1" s="1"/>
  <c r="Z236" i="1" s="1"/>
  <c r="Z237" i="1" s="1"/>
  <c r="Z238" i="1" s="1"/>
  <c r="Z239" i="1" s="1"/>
  <c r="Z240" i="1" s="1"/>
  <c r="Z241" i="1" s="1"/>
  <c r="Z242" i="1" s="1"/>
  <c r="Z243" i="1" s="1"/>
  <c r="Z244" i="1" s="1"/>
  <c r="Z245" i="1" s="1"/>
  <c r="Z246" i="1" s="1"/>
  <c r="Z247" i="1" s="1"/>
  <c r="Z248" i="1" s="1"/>
  <c r="Z249" i="1" s="1"/>
  <c r="Z250" i="1" s="1"/>
  <c r="Z251" i="1" s="1"/>
  <c r="Z252" i="1" s="1"/>
  <c r="Z253" i="1" s="1"/>
  <c r="Z254" i="1" s="1"/>
  <c r="Z255" i="1" s="1"/>
  <c r="Z256" i="1" s="1"/>
  <c r="Z257" i="1" s="1"/>
  <c r="Z258" i="1" s="1"/>
  <c r="Z259" i="1" s="1"/>
  <c r="Z260" i="1" s="1"/>
  <c r="Z261" i="1" s="1"/>
  <c r="Z262" i="1" s="1"/>
  <c r="Z263" i="1" s="1"/>
  <c r="Z264" i="1" s="1"/>
  <c r="Z265" i="1" s="1"/>
  <c r="Z266" i="1" s="1"/>
  <c r="Z267" i="1" s="1"/>
  <c r="Z268" i="1" s="1"/>
  <c r="Z269" i="1" s="1"/>
  <c r="Z270" i="1" s="1"/>
  <c r="Z271" i="1" s="1"/>
  <c r="Z272" i="1" s="1"/>
  <c r="Z273" i="1" s="1"/>
  <c r="Z274" i="1" s="1"/>
  <c r="Z275" i="1" s="1"/>
  <c r="Z276" i="1" s="1"/>
  <c r="Z277" i="1" s="1"/>
  <c r="Z278" i="1" s="1"/>
  <c r="Z279" i="1" s="1"/>
  <c r="Z280" i="1" s="1"/>
  <c r="Z281" i="1" s="1"/>
  <c r="Z282" i="1" s="1"/>
  <c r="Z283" i="1" s="1"/>
  <c r="Z284" i="1" s="1"/>
  <c r="Z285" i="1" s="1"/>
  <c r="Z286" i="1" s="1"/>
  <c r="Z287" i="1" s="1"/>
  <c r="Z288" i="1" s="1"/>
  <c r="Z289" i="1" s="1"/>
  <c r="Z290" i="1" s="1"/>
  <c r="Z291" i="1" s="1"/>
  <c r="Z292" i="1" s="1"/>
  <c r="Z293" i="1" s="1"/>
  <c r="Z294" i="1" s="1"/>
  <c r="Z295" i="1" s="1"/>
  <c r="Z296" i="1" s="1"/>
  <c r="Z297" i="1" s="1"/>
  <c r="Z298" i="1" s="1"/>
  <c r="Z299" i="1" s="1"/>
  <c r="Z300" i="1" s="1"/>
  <c r="Z301" i="1" s="1"/>
  <c r="Z302" i="1" s="1"/>
  <c r="Z303" i="1" s="1"/>
  <c r="Z304" i="1" s="1"/>
  <c r="Z305" i="1" s="1"/>
  <c r="Z306" i="1" s="1"/>
  <c r="Z307" i="1" s="1"/>
  <c r="Z308" i="1" s="1"/>
  <c r="Z309" i="1" s="1"/>
  <c r="Z310" i="1" s="1"/>
  <c r="Z311" i="1" s="1"/>
  <c r="Z312" i="1" s="1"/>
  <c r="Z313" i="1" s="1"/>
  <c r="Z314" i="1" s="1"/>
  <c r="Z315" i="1" s="1"/>
  <c r="Z316" i="1" s="1"/>
  <c r="Z317" i="1" s="1"/>
  <c r="Z318" i="1" s="1"/>
  <c r="Z319" i="1" s="1"/>
  <c r="Z320" i="1" s="1"/>
  <c r="Z321" i="1" s="1"/>
  <c r="Z322" i="1" s="1"/>
  <c r="Z323" i="1" s="1"/>
  <c r="Z324" i="1" s="1"/>
  <c r="Z325" i="1" s="1"/>
  <c r="Z326" i="1" s="1"/>
  <c r="Z327" i="1" s="1"/>
  <c r="Z328" i="1" s="1"/>
  <c r="Z329" i="1" s="1"/>
  <c r="Z330" i="1" s="1"/>
  <c r="Z331" i="1" s="1"/>
  <c r="Z332" i="1" s="1"/>
  <c r="Z333" i="1" s="1"/>
  <c r="Z334" i="1" s="1"/>
  <c r="Z335" i="1" s="1"/>
  <c r="Z336" i="1" s="1"/>
  <c r="Z337" i="1" s="1"/>
  <c r="Z338" i="1" s="1"/>
  <c r="Z339" i="1" s="1"/>
  <c r="Z340" i="1" s="1"/>
  <c r="Z341" i="1" s="1"/>
  <c r="Z342" i="1" s="1"/>
  <c r="Z343" i="1" s="1"/>
  <c r="Z344" i="1" s="1"/>
  <c r="Z345" i="1" s="1"/>
  <c r="Z346" i="1" s="1"/>
  <c r="Z347" i="1" s="1"/>
  <c r="Z348" i="1" s="1"/>
  <c r="Z349" i="1" s="1"/>
  <c r="Z350" i="1" s="1"/>
  <c r="Z351" i="1" s="1"/>
  <c r="Z352" i="1" s="1"/>
  <c r="Z353" i="1" s="1"/>
  <c r="Z354" i="1" s="1"/>
  <c r="Z355" i="1" s="1"/>
  <c r="Z356" i="1" s="1"/>
  <c r="Z357" i="1" s="1"/>
  <c r="Z358" i="1" s="1"/>
  <c r="Z359" i="1" s="1"/>
  <c r="Z360" i="1" s="1"/>
  <c r="Z361" i="1" s="1"/>
  <c r="Z362" i="1" s="1"/>
  <c r="Z363" i="1" s="1"/>
  <c r="Z364" i="1" s="1"/>
  <c r="Z365" i="1" s="1"/>
  <c r="Z366" i="1" s="1"/>
  <c r="Z367" i="1" s="1"/>
  <c r="Z368" i="1" s="1"/>
  <c r="Z369" i="1" s="1"/>
  <c r="Z370" i="1" s="1"/>
  <c r="Z371" i="1" s="1"/>
  <c r="Z372" i="1" s="1"/>
  <c r="Z373" i="1" s="1"/>
  <c r="Z374" i="1" s="1"/>
  <c r="Z375" i="1" s="1"/>
  <c r="Z376" i="1" s="1"/>
  <c r="Z377" i="1" s="1"/>
  <c r="Z378" i="1" s="1"/>
  <c r="Z379" i="1" s="1"/>
  <c r="Z380" i="1" s="1"/>
  <c r="Z381" i="1" s="1"/>
  <c r="Z382" i="1" s="1"/>
  <c r="Z383" i="1" s="1"/>
  <c r="Z384" i="1" s="1"/>
  <c r="Z385" i="1" s="1"/>
  <c r="Z386" i="1" s="1"/>
  <c r="Z387" i="1" s="1"/>
  <c r="Z388" i="1" s="1"/>
  <c r="Z389" i="1" s="1"/>
  <c r="Z390" i="1" s="1"/>
  <c r="Z391" i="1" s="1"/>
  <c r="Z392" i="1" s="1"/>
  <c r="Z393" i="1" s="1"/>
  <c r="Z394" i="1" s="1"/>
  <c r="Z395" i="1" s="1"/>
  <c r="Z396" i="1" s="1"/>
  <c r="Z397" i="1" s="1"/>
  <c r="Z398" i="1" s="1"/>
  <c r="Z399" i="1" s="1"/>
  <c r="Z400" i="1" s="1"/>
  <c r="Z401" i="1" s="1"/>
  <c r="Z402" i="1" s="1"/>
  <c r="Z403" i="1" s="1"/>
  <c r="Z404" i="1" s="1"/>
  <c r="Z405" i="1" s="1"/>
  <c r="Z406" i="1" s="1"/>
  <c r="Z407" i="1" s="1"/>
  <c r="Z408" i="1" s="1"/>
  <c r="Z409" i="1" s="1"/>
  <c r="Z410" i="1" s="1"/>
  <c r="Z411" i="1" s="1"/>
  <c r="Z412" i="1" s="1"/>
  <c r="Z413" i="1" s="1"/>
  <c r="Z414" i="1" s="1"/>
  <c r="Z415" i="1" s="1"/>
  <c r="Z416" i="1" s="1"/>
  <c r="Z417" i="1" s="1"/>
  <c r="Z418" i="1" s="1"/>
  <c r="Z419" i="1" s="1"/>
  <c r="Z420" i="1" s="1"/>
  <c r="Z421" i="1" s="1"/>
  <c r="Z422" i="1" s="1"/>
  <c r="Z423" i="1" s="1"/>
  <c r="Z424" i="1" s="1"/>
  <c r="Z425" i="1" s="1"/>
  <c r="Z426" i="1" s="1"/>
  <c r="Z427" i="1" s="1"/>
  <c r="Z428" i="1" s="1"/>
  <c r="Z429" i="1" s="1"/>
  <c r="Z430" i="1" s="1"/>
  <c r="Z431" i="1" s="1"/>
  <c r="Z432" i="1" s="1"/>
  <c r="Z433" i="1" s="1"/>
  <c r="Z434" i="1" s="1"/>
  <c r="Z435" i="1" s="1"/>
  <c r="Z436" i="1" s="1"/>
  <c r="Z437" i="1" s="1"/>
  <c r="Z438" i="1" s="1"/>
  <c r="Z439" i="1" s="1"/>
  <c r="Z440" i="1" s="1"/>
  <c r="Z441" i="1" s="1"/>
  <c r="Z442" i="1" s="1"/>
  <c r="Z443" i="1" s="1"/>
  <c r="Z444" i="1" s="1"/>
  <c r="Z445" i="1" s="1"/>
  <c r="Z446" i="1" s="1"/>
  <c r="Z447" i="1" s="1"/>
  <c r="Z448" i="1" s="1"/>
  <c r="Z449" i="1" s="1"/>
  <c r="Z450" i="1" s="1"/>
  <c r="Z451" i="1" s="1"/>
  <c r="Z452" i="1" s="1"/>
  <c r="Z453" i="1" s="1"/>
  <c r="Z454" i="1" s="1"/>
  <c r="Z455" i="1" s="1"/>
  <c r="Z456" i="1" s="1"/>
  <c r="Z457" i="1" s="1"/>
  <c r="Z458" i="1" s="1"/>
  <c r="Z459" i="1" s="1"/>
  <c r="Z460" i="1" s="1"/>
  <c r="Z461" i="1" s="1"/>
  <c r="Z462" i="1" s="1"/>
  <c r="Z463" i="1" s="1"/>
  <c r="Z464" i="1" s="1"/>
  <c r="Z465" i="1" s="1"/>
  <c r="Z466" i="1" s="1"/>
  <c r="Z467" i="1" s="1"/>
  <c r="Z468" i="1" s="1"/>
  <c r="Z469" i="1" s="1"/>
  <c r="Z470" i="1" s="1"/>
  <c r="Z471" i="1" s="1"/>
  <c r="Z472" i="1" s="1"/>
  <c r="Z473" i="1" s="1"/>
  <c r="Z474" i="1" s="1"/>
  <c r="Z475" i="1" s="1"/>
  <c r="Z476" i="1" s="1"/>
  <c r="Z477" i="1" s="1"/>
  <c r="Z478" i="1" s="1"/>
  <c r="Z479" i="1" s="1"/>
  <c r="Z480" i="1" s="1"/>
  <c r="Z481" i="1" s="1"/>
  <c r="Z482" i="1" s="1"/>
  <c r="Z483" i="1" s="1"/>
  <c r="Z484" i="1" s="1"/>
  <c r="Z485" i="1" s="1"/>
  <c r="Z486" i="1" s="1"/>
  <c r="Z487" i="1" s="1"/>
  <c r="Z488" i="1" s="1"/>
  <c r="Z489" i="1" s="1"/>
  <c r="Z490" i="1" s="1"/>
  <c r="Z491" i="1" s="1"/>
  <c r="Z492" i="1" s="1"/>
  <c r="Z493" i="1" s="1"/>
  <c r="Z494" i="1" s="1"/>
  <c r="Z495" i="1" s="1"/>
  <c r="Z496" i="1" s="1"/>
  <c r="Z497" i="1" s="1"/>
  <c r="Z498" i="1" s="1"/>
  <c r="Z499" i="1" s="1"/>
  <c r="Z500" i="1" s="1"/>
  <c r="Z501" i="1" s="1"/>
  <c r="Z502" i="1" s="1"/>
  <c r="Z503" i="1" s="1"/>
  <c r="Z504" i="1" s="1"/>
  <c r="Z505" i="1" s="1"/>
  <c r="Z506" i="1" s="1"/>
  <c r="Z507" i="1" s="1"/>
  <c r="Z508" i="1" s="1"/>
  <c r="Z509" i="1" s="1"/>
  <c r="Z510" i="1" s="1"/>
  <c r="Z511" i="1" s="1"/>
  <c r="Z512" i="1" s="1"/>
  <c r="Z513" i="1" s="1"/>
  <c r="Z514" i="1" s="1"/>
  <c r="Z515" i="1" s="1"/>
  <c r="Z516" i="1" s="1"/>
  <c r="Z517" i="1" s="1"/>
  <c r="Z518" i="1" s="1"/>
  <c r="Z519" i="1" s="1"/>
  <c r="Z520" i="1" s="1"/>
  <c r="Z521" i="1" s="1"/>
  <c r="Z522" i="1" s="1"/>
  <c r="Z523" i="1" s="1"/>
  <c r="Z524" i="1" s="1"/>
  <c r="Z525" i="1" s="1"/>
  <c r="Z526" i="1" s="1"/>
  <c r="Z527" i="1" s="1"/>
  <c r="Z528" i="1" s="1"/>
  <c r="Z529" i="1" s="1"/>
  <c r="Z530" i="1" s="1"/>
  <c r="Z531" i="1" s="1"/>
  <c r="Z532" i="1" s="1"/>
  <c r="Z533" i="1" s="1"/>
  <c r="Z534" i="1" s="1"/>
  <c r="Z535" i="1" s="1"/>
  <c r="Z536" i="1" s="1"/>
  <c r="Z537" i="1" s="1"/>
  <c r="Z538" i="1" s="1"/>
  <c r="Z539" i="1" s="1"/>
  <c r="Z540" i="1" s="1"/>
  <c r="Z541" i="1" s="1"/>
  <c r="Z542" i="1" s="1"/>
  <c r="Z543" i="1" s="1"/>
  <c r="Z544" i="1" s="1"/>
  <c r="Z545" i="1" s="1"/>
  <c r="Z546" i="1" s="1"/>
  <c r="Z547" i="1" s="1"/>
  <c r="Z548" i="1" s="1"/>
  <c r="Z549" i="1" s="1"/>
  <c r="Z550" i="1" s="1"/>
  <c r="Z551" i="1" s="1"/>
  <c r="Z552" i="1" s="1"/>
  <c r="Z553" i="1" s="1"/>
  <c r="Z554" i="1" s="1"/>
  <c r="Z555" i="1" s="1"/>
  <c r="Z556" i="1" s="1"/>
  <c r="Z557" i="1" s="1"/>
  <c r="Z558" i="1" s="1"/>
  <c r="Z559" i="1" s="1"/>
  <c r="Z560" i="1" s="1"/>
  <c r="Z561" i="1" s="1"/>
  <c r="Z562" i="1" s="1"/>
  <c r="Z563" i="1" s="1"/>
  <c r="Z564" i="1" s="1"/>
  <c r="Z565" i="1" s="1"/>
  <c r="Z566" i="1" s="1"/>
  <c r="Z567" i="1" s="1"/>
  <c r="Z568" i="1" s="1"/>
  <c r="Z569" i="1" s="1"/>
  <c r="Z570" i="1" s="1"/>
  <c r="Z571" i="1" s="1"/>
  <c r="Z572" i="1" s="1"/>
  <c r="Z573" i="1" s="1"/>
  <c r="Z574" i="1" s="1"/>
  <c r="Z575" i="1" s="1"/>
  <c r="Z576" i="1" s="1"/>
  <c r="Z577" i="1" s="1"/>
  <c r="Z578" i="1" s="1"/>
  <c r="Z579" i="1" s="1"/>
  <c r="Z580" i="1" s="1"/>
  <c r="Z581" i="1" s="1"/>
  <c r="Z582" i="1" s="1"/>
  <c r="Z583" i="1" s="1"/>
  <c r="Z584" i="1" s="1"/>
  <c r="Z585" i="1" s="1"/>
  <c r="Z586" i="1" s="1"/>
  <c r="Z587" i="1" s="1"/>
  <c r="Z588" i="1" s="1"/>
  <c r="Z589" i="1" s="1"/>
  <c r="Z590" i="1" s="1"/>
  <c r="Z591" i="1" s="1"/>
  <c r="Z592" i="1" s="1"/>
  <c r="Z593" i="1" s="1"/>
  <c r="Z594" i="1" s="1"/>
  <c r="Z595" i="1" s="1"/>
  <c r="Z596" i="1" s="1"/>
  <c r="Z597" i="1" s="1"/>
  <c r="Z598" i="1" s="1"/>
  <c r="Z599" i="1" s="1"/>
  <c r="Z600" i="1" s="1"/>
  <c r="Z601" i="1" s="1"/>
  <c r="Z602" i="1" s="1"/>
  <c r="Z603" i="1" s="1"/>
  <c r="Z604" i="1" s="1"/>
  <c r="Z605" i="1" s="1"/>
  <c r="Z606" i="1" s="1"/>
  <c r="Z607" i="1" s="1"/>
  <c r="Z608" i="1" s="1"/>
  <c r="Z609" i="1" s="1"/>
  <c r="Z610" i="1" s="1"/>
  <c r="Z611" i="1" s="1"/>
  <c r="Z612" i="1" s="1"/>
  <c r="Z613" i="1" s="1"/>
  <c r="Z614" i="1" s="1"/>
  <c r="Z615" i="1" s="1"/>
  <c r="Z616" i="1" s="1"/>
  <c r="Z617" i="1" s="1"/>
  <c r="Z618" i="1" s="1"/>
  <c r="Z619" i="1" s="1"/>
  <c r="Z620" i="1" s="1"/>
  <c r="Z621" i="1" s="1"/>
  <c r="Z622" i="1" s="1"/>
  <c r="Z623" i="1" s="1"/>
  <c r="Z624" i="1" s="1"/>
  <c r="Z625" i="1" s="1"/>
  <c r="Z626" i="1" s="1"/>
  <c r="Z627" i="1" s="1"/>
  <c r="Z628" i="1" s="1"/>
  <c r="Z629" i="1" s="1"/>
  <c r="Z630" i="1" s="1"/>
  <c r="Z631" i="1" s="1"/>
  <c r="Z632" i="1" s="1"/>
  <c r="Z633" i="1" s="1"/>
  <c r="Z634" i="1" s="1"/>
  <c r="Z635" i="1" s="1"/>
  <c r="Z636" i="1" s="1"/>
  <c r="Z637" i="1" s="1"/>
  <c r="Z638" i="1" s="1"/>
  <c r="Z639" i="1" s="1"/>
  <c r="Z640" i="1" s="1"/>
  <c r="Z641" i="1" s="1"/>
  <c r="Z642" i="1" s="1"/>
  <c r="Z643" i="1" s="1"/>
  <c r="Z644" i="1" s="1"/>
  <c r="Z645" i="1" s="1"/>
  <c r="Z646" i="1" s="1"/>
  <c r="Z647" i="1" s="1"/>
  <c r="Z648" i="1" s="1"/>
  <c r="Z649" i="1" s="1"/>
  <c r="Z650" i="1" s="1"/>
  <c r="Z651" i="1" s="1"/>
  <c r="Z652" i="1" s="1"/>
  <c r="Z653" i="1" s="1"/>
  <c r="Z654" i="1" s="1"/>
  <c r="Z655" i="1" s="1"/>
  <c r="Z656" i="1" s="1"/>
  <c r="Z657" i="1" s="1"/>
  <c r="Z658" i="1" s="1"/>
  <c r="Z659" i="1" s="1"/>
  <c r="Z660" i="1" s="1"/>
  <c r="Z661" i="1" s="1"/>
  <c r="Z662" i="1" s="1"/>
  <c r="Z663" i="1" s="1"/>
  <c r="Z664" i="1" s="1"/>
  <c r="Z665" i="1" s="1"/>
  <c r="Z666" i="1" s="1"/>
  <c r="Z667" i="1" s="1"/>
  <c r="Z668" i="1" s="1"/>
  <c r="Z669" i="1" s="1"/>
  <c r="Z670" i="1" s="1"/>
  <c r="Z671" i="1" s="1"/>
  <c r="Z672" i="1" s="1"/>
  <c r="Z673" i="1" s="1"/>
  <c r="Z674" i="1" s="1"/>
  <c r="Z675" i="1" s="1"/>
  <c r="Z676" i="1" s="1"/>
  <c r="Z677" i="1" s="1"/>
  <c r="Z678" i="1" s="1"/>
  <c r="Z679" i="1" s="1"/>
  <c r="Z680" i="1" s="1"/>
  <c r="Z681" i="1" s="1"/>
  <c r="Z682" i="1" s="1"/>
  <c r="Z683" i="1" s="1"/>
  <c r="Z684" i="1" s="1"/>
  <c r="Z685" i="1" s="1"/>
  <c r="Z686" i="1" s="1"/>
  <c r="Z687" i="1" s="1"/>
  <c r="Z688" i="1" s="1"/>
  <c r="Z689" i="1" s="1"/>
  <c r="Z690" i="1" s="1"/>
  <c r="Z691" i="1" s="1"/>
  <c r="Z692" i="1" s="1"/>
  <c r="Z693" i="1" s="1"/>
  <c r="Z694" i="1" s="1"/>
  <c r="Z695" i="1" s="1"/>
  <c r="Z696" i="1" s="1"/>
  <c r="Z697" i="1" s="1"/>
  <c r="Z698" i="1" s="1"/>
  <c r="Z699" i="1" s="1"/>
  <c r="Z700" i="1" s="1"/>
  <c r="Z701" i="1" s="1"/>
  <c r="Z702" i="1" s="1"/>
  <c r="Z703" i="1" s="1"/>
  <c r="Z704" i="1" s="1"/>
  <c r="Z705" i="1" s="1"/>
  <c r="Z706" i="1" s="1"/>
  <c r="Z707" i="1" s="1"/>
  <c r="Z708" i="1" s="1"/>
  <c r="Z709" i="1" s="1"/>
  <c r="Z710" i="1" s="1"/>
  <c r="Z711" i="1" s="1"/>
  <c r="Z712" i="1" s="1"/>
  <c r="Z713" i="1" s="1"/>
  <c r="Z714" i="1" s="1"/>
  <c r="Z715" i="1" s="1"/>
  <c r="Z716" i="1" s="1"/>
  <c r="Z717" i="1" s="1"/>
  <c r="Z718" i="1" s="1"/>
  <c r="Z719" i="1" s="1"/>
  <c r="Z720" i="1" s="1"/>
  <c r="Z721" i="1" s="1"/>
  <c r="Z722" i="1" s="1"/>
  <c r="Z723" i="1" s="1"/>
  <c r="Z724" i="1" s="1"/>
  <c r="Z725" i="1" s="1"/>
  <c r="Z726" i="1" s="1"/>
  <c r="Z727" i="1" s="1"/>
  <c r="Z728" i="1" s="1"/>
  <c r="Z729" i="1" s="1"/>
  <c r="Z730" i="1" s="1"/>
  <c r="Z731" i="1" s="1"/>
  <c r="Z732" i="1" s="1"/>
  <c r="Z733" i="1" s="1"/>
  <c r="Z734" i="1" s="1"/>
  <c r="Z735" i="1" s="1"/>
  <c r="Z736" i="1" s="1"/>
  <c r="Z737" i="1" s="1"/>
  <c r="Z738" i="1" s="1"/>
  <c r="Z739" i="1" s="1"/>
  <c r="Z740" i="1" s="1"/>
  <c r="Z741" i="1" s="1"/>
  <c r="Z742" i="1" s="1"/>
  <c r="Z743" i="1" s="1"/>
  <c r="Z744" i="1" s="1"/>
  <c r="Z745" i="1" s="1"/>
  <c r="Z746" i="1" s="1"/>
  <c r="Z747" i="1" s="1"/>
  <c r="Z748" i="1" s="1"/>
  <c r="Z749" i="1" s="1"/>
  <c r="Z750" i="1" s="1"/>
  <c r="Z751" i="1" s="1"/>
  <c r="Z752" i="1" s="1"/>
  <c r="Z753" i="1" s="1"/>
  <c r="Z754" i="1" s="1"/>
  <c r="Z755" i="1" s="1"/>
  <c r="Z756" i="1" s="1"/>
  <c r="Z757" i="1" s="1"/>
  <c r="Z758" i="1" s="1"/>
  <c r="Z759" i="1" s="1"/>
  <c r="Z760" i="1" s="1"/>
  <c r="Z761" i="1" s="1"/>
  <c r="Z762" i="1" s="1"/>
  <c r="Z763" i="1" s="1"/>
  <c r="Z764" i="1" s="1"/>
  <c r="Z765" i="1" s="1"/>
  <c r="Z766" i="1" s="1"/>
  <c r="Z767" i="1" s="1"/>
  <c r="Z768" i="1" s="1"/>
  <c r="Z769" i="1" s="1"/>
  <c r="Z770" i="1" s="1"/>
  <c r="Z771" i="1" s="1"/>
  <c r="Z772" i="1" s="1"/>
  <c r="Z773" i="1" s="1"/>
  <c r="Z774" i="1" s="1"/>
  <c r="Z775" i="1" s="1"/>
  <c r="Z776" i="1" s="1"/>
  <c r="Z777" i="1" s="1"/>
  <c r="Z778" i="1" s="1"/>
  <c r="Z779" i="1" s="1"/>
  <c r="Z780" i="1" s="1"/>
  <c r="Z781" i="1" s="1"/>
  <c r="Z782" i="1" s="1"/>
  <c r="Z783" i="1" s="1"/>
  <c r="Z784" i="1" s="1"/>
  <c r="Z785" i="1" s="1"/>
  <c r="Z786" i="1" s="1"/>
  <c r="Z787" i="1" s="1"/>
  <c r="Z788" i="1" s="1"/>
  <c r="Z789" i="1" s="1"/>
  <c r="Z790" i="1" s="1"/>
  <c r="Z791" i="1" s="1"/>
  <c r="Z792" i="1" s="1"/>
  <c r="Z793" i="1" s="1"/>
  <c r="Z794" i="1" s="1"/>
  <c r="Z795" i="1" s="1"/>
  <c r="Z796" i="1" s="1"/>
  <c r="Z797" i="1" s="1"/>
  <c r="Z798" i="1" s="1"/>
  <c r="Z799" i="1" s="1"/>
  <c r="Z800" i="1" s="1"/>
  <c r="Z801" i="1" s="1"/>
  <c r="Z802" i="1" s="1"/>
  <c r="Z803" i="1" s="1"/>
  <c r="Z804" i="1" s="1"/>
  <c r="Z805" i="1" s="1"/>
  <c r="Z806" i="1" s="1"/>
  <c r="Z807" i="1" s="1"/>
  <c r="Z808" i="1" s="1"/>
  <c r="Z809" i="1" s="1"/>
  <c r="Z810" i="1" s="1"/>
  <c r="Z811" i="1" s="1"/>
  <c r="Z812" i="1" s="1"/>
  <c r="Z813" i="1" s="1"/>
  <c r="Z814" i="1" s="1"/>
  <c r="Z815" i="1" s="1"/>
  <c r="Z816" i="1" s="1"/>
  <c r="Z817" i="1" s="1"/>
  <c r="Z818" i="1" s="1"/>
  <c r="Z819" i="1" s="1"/>
  <c r="Z820" i="1" s="1"/>
  <c r="Z821" i="1" s="1"/>
  <c r="Z822" i="1" s="1"/>
  <c r="Z823" i="1" s="1"/>
  <c r="Z824" i="1" s="1"/>
  <c r="Z825" i="1" s="1"/>
  <c r="Z826" i="1" s="1"/>
  <c r="Z827" i="1" s="1"/>
  <c r="Z828" i="1" s="1"/>
  <c r="Z829" i="1" s="1"/>
  <c r="Z830" i="1" s="1"/>
  <c r="Z831" i="1" s="1"/>
  <c r="Z832" i="1" s="1"/>
  <c r="Z833" i="1" s="1"/>
  <c r="Z834" i="1" s="1"/>
  <c r="Z835" i="1" s="1"/>
  <c r="Z836" i="1" s="1"/>
  <c r="Z837" i="1" s="1"/>
  <c r="Z838" i="1" s="1"/>
  <c r="Z839" i="1" s="1"/>
  <c r="Z840" i="1" s="1"/>
  <c r="Z841" i="1" s="1"/>
  <c r="Z842" i="1" s="1"/>
  <c r="Z843" i="1" s="1"/>
  <c r="Z844" i="1" s="1"/>
  <c r="Z845" i="1" s="1"/>
  <c r="Z846" i="1" s="1"/>
  <c r="Z847" i="1" s="1"/>
  <c r="Z848" i="1" s="1"/>
  <c r="Z849" i="1" s="1"/>
  <c r="Z850" i="1" s="1"/>
  <c r="Z851" i="1" s="1"/>
  <c r="Z852" i="1" s="1"/>
  <c r="Z853" i="1" s="1"/>
  <c r="Z854" i="1" s="1"/>
  <c r="Z855" i="1" s="1"/>
  <c r="Z856" i="1" s="1"/>
  <c r="Z857" i="1" s="1"/>
  <c r="Z858" i="1" s="1"/>
  <c r="Z859" i="1" s="1"/>
  <c r="Z860" i="1" s="1"/>
  <c r="Z861" i="1" s="1"/>
  <c r="Z862" i="1" s="1"/>
  <c r="Z863" i="1" s="1"/>
  <c r="Z864" i="1" s="1"/>
  <c r="Z865" i="1" s="1"/>
  <c r="Z866" i="1" s="1"/>
  <c r="Z867" i="1" s="1"/>
  <c r="Z868" i="1" s="1"/>
  <c r="Z869" i="1" s="1"/>
  <c r="Z870" i="1" s="1"/>
  <c r="Z871" i="1" s="1"/>
  <c r="Z872" i="1" s="1"/>
  <c r="Z873" i="1" s="1"/>
  <c r="Z874" i="1" s="1"/>
  <c r="Z875" i="1" s="1"/>
  <c r="Z876" i="1" s="1"/>
  <c r="Z877" i="1" s="1"/>
  <c r="Z878" i="1" s="1"/>
  <c r="Z879" i="1" s="1"/>
  <c r="Z880" i="1" s="1"/>
  <c r="Z881" i="1" s="1"/>
  <c r="Z882" i="1" s="1"/>
  <c r="Z883" i="1" s="1"/>
  <c r="Z884" i="1" s="1"/>
  <c r="Z885" i="1" s="1"/>
  <c r="Z886" i="1" s="1"/>
  <c r="Z887" i="1" s="1"/>
  <c r="Z888" i="1" s="1"/>
  <c r="Z889" i="1" s="1"/>
  <c r="Z890" i="1" s="1"/>
  <c r="Z891" i="1" s="1"/>
  <c r="Z892" i="1" s="1"/>
  <c r="Z893" i="1" s="1"/>
  <c r="Z894" i="1" s="1"/>
  <c r="Z895" i="1" s="1"/>
  <c r="Z896" i="1" s="1"/>
  <c r="Z897" i="1" s="1"/>
  <c r="Z898" i="1" s="1"/>
  <c r="Z899" i="1" s="1"/>
  <c r="Z900" i="1" s="1"/>
  <c r="Z901" i="1" s="1"/>
  <c r="Z902" i="1" s="1"/>
  <c r="Z903" i="1" s="1"/>
  <c r="Z904" i="1" s="1"/>
  <c r="Z905" i="1" s="1"/>
  <c r="Z906" i="1" s="1"/>
  <c r="Z907" i="1" s="1"/>
  <c r="Z908" i="1" s="1"/>
  <c r="Z909" i="1" s="1"/>
  <c r="Z910" i="1" s="1"/>
  <c r="Z911" i="1" s="1"/>
  <c r="Z912" i="1" s="1"/>
  <c r="Z913" i="1" s="1"/>
  <c r="Z914" i="1" s="1"/>
  <c r="Z915" i="1" s="1"/>
  <c r="Z916" i="1" s="1"/>
  <c r="Z917" i="1" s="1"/>
  <c r="Z918" i="1" s="1"/>
  <c r="Z919" i="1" s="1"/>
  <c r="Z920" i="1" s="1"/>
  <c r="Z921" i="1" s="1"/>
  <c r="Z922" i="1" s="1"/>
  <c r="Z923" i="1" s="1"/>
  <c r="Z924" i="1" s="1"/>
  <c r="Z925" i="1" s="1"/>
  <c r="Z926" i="1" s="1"/>
  <c r="Z927" i="1" s="1"/>
  <c r="Z928" i="1" s="1"/>
  <c r="Z929" i="1" s="1"/>
  <c r="Z930" i="1" s="1"/>
  <c r="Z931" i="1" s="1"/>
  <c r="Z932" i="1" s="1"/>
  <c r="Z933" i="1" s="1"/>
  <c r="Z934" i="1" s="1"/>
  <c r="Z935" i="1" s="1"/>
  <c r="Z936" i="1" s="1"/>
  <c r="Z937" i="1" s="1"/>
  <c r="Z938" i="1" s="1"/>
  <c r="Z939" i="1" s="1"/>
  <c r="Z940" i="1" s="1"/>
  <c r="Z941" i="1" s="1"/>
  <c r="Z942" i="1" s="1"/>
  <c r="Z943" i="1" s="1"/>
  <c r="Z944" i="1" s="1"/>
  <c r="Z945" i="1" s="1"/>
  <c r="Z946" i="1" s="1"/>
  <c r="Z947" i="1" s="1"/>
  <c r="Z948" i="1" s="1"/>
  <c r="Z949" i="1" s="1"/>
  <c r="Z950" i="1" s="1"/>
  <c r="Z951" i="1" s="1"/>
  <c r="Z952" i="1" s="1"/>
  <c r="Z953" i="1" s="1"/>
  <c r="Z954" i="1" s="1"/>
  <c r="Z955" i="1" s="1"/>
  <c r="Z956" i="1" s="1"/>
  <c r="Z957" i="1" s="1"/>
  <c r="Z958" i="1" s="1"/>
  <c r="Z959" i="1" s="1"/>
  <c r="Z960" i="1" s="1"/>
  <c r="Z961" i="1" s="1"/>
  <c r="Z962" i="1" s="1"/>
  <c r="Z963" i="1" s="1"/>
  <c r="Z964" i="1" s="1"/>
  <c r="Z965" i="1" s="1"/>
  <c r="Z966" i="1" s="1"/>
  <c r="Z967" i="1" s="1"/>
  <c r="Z968" i="1" s="1"/>
  <c r="Z969" i="1" s="1"/>
  <c r="Z970" i="1" s="1"/>
  <c r="Z971" i="1" s="1"/>
  <c r="Z972" i="1" s="1"/>
  <c r="Z973" i="1" s="1"/>
  <c r="Z974" i="1" s="1"/>
  <c r="Z975" i="1" s="1"/>
  <c r="Z976" i="1" s="1"/>
  <c r="Z977" i="1" s="1"/>
  <c r="Z978" i="1" s="1"/>
  <c r="Z979" i="1" s="1"/>
  <c r="Z980" i="1" s="1"/>
  <c r="Z981" i="1" s="1"/>
  <c r="Z982" i="1" s="1"/>
  <c r="Z983" i="1" s="1"/>
  <c r="Z984" i="1" s="1"/>
  <c r="Z985" i="1" s="1"/>
  <c r="Z986" i="1" s="1"/>
  <c r="Z987" i="1" s="1"/>
  <c r="Z988" i="1" s="1"/>
  <c r="Z989" i="1" s="1"/>
  <c r="Z990" i="1" s="1"/>
  <c r="Z991" i="1" s="1"/>
  <c r="Z992" i="1" s="1"/>
  <c r="Z993" i="1" s="1"/>
  <c r="Z994" i="1" s="1"/>
  <c r="Z995" i="1" s="1"/>
  <c r="Z996" i="1" s="1"/>
  <c r="Z997" i="1" s="1"/>
  <c r="Z998" i="1" s="1"/>
  <c r="Z999" i="1" s="1"/>
  <c r="Z1000" i="1" s="1"/>
  <c r="Z1001" i="1" s="1"/>
  <c r="Z1002" i="1" s="1"/>
  <c r="Z1003" i="1" s="1"/>
  <c r="Z1004" i="1" s="1"/>
  <c r="Z1005" i="1" s="1"/>
  <c r="Z1006" i="1" s="1"/>
  <c r="Z1007" i="1" s="1"/>
  <c r="Z1008" i="1" s="1"/>
  <c r="Z1009" i="1" s="1"/>
  <c r="Z1010" i="1" s="1"/>
  <c r="Z1011" i="1" s="1"/>
  <c r="Z1012" i="1" s="1"/>
  <c r="Z1013" i="1" s="1"/>
  <c r="Z1014" i="1" s="1"/>
  <c r="Z1015" i="1" s="1"/>
  <c r="Z1016" i="1" s="1"/>
  <c r="Z1017" i="1" s="1"/>
  <c r="Z1018" i="1" s="1"/>
  <c r="Z1019" i="1" s="1"/>
  <c r="Z1020" i="1" s="1"/>
  <c r="Z1021" i="1" s="1"/>
  <c r="Z1022" i="1" s="1"/>
  <c r="Z1023" i="1" s="1"/>
  <c r="Z1024" i="1" s="1"/>
  <c r="Z1025" i="1" s="1"/>
  <c r="Z1026" i="1" s="1"/>
  <c r="Z1027" i="1" s="1"/>
  <c r="Z1028" i="1" s="1"/>
  <c r="Z1029" i="1" s="1"/>
  <c r="Z1030" i="1" s="1"/>
  <c r="Z1031" i="1" s="1"/>
  <c r="Z1032" i="1" s="1"/>
  <c r="Z1033" i="1" s="1"/>
  <c r="Z1034" i="1" s="1"/>
  <c r="Z1035" i="1" s="1"/>
  <c r="Z1036" i="1" s="1"/>
  <c r="Z1037" i="1" s="1"/>
  <c r="Z1038" i="1" s="1"/>
  <c r="Z1039" i="1" s="1"/>
  <c r="Z1040" i="1" s="1"/>
  <c r="Z1041" i="1" s="1"/>
  <c r="Z1042" i="1" s="1"/>
  <c r="Z1043" i="1" s="1"/>
  <c r="Z1044" i="1" s="1"/>
  <c r="Z1045" i="1" s="1"/>
  <c r="Z1046" i="1" s="1"/>
  <c r="Z1047" i="1" s="1"/>
  <c r="Z1048" i="1" s="1"/>
  <c r="Z1049" i="1" s="1"/>
  <c r="Z1050" i="1" s="1"/>
  <c r="Z1051" i="1" s="1"/>
  <c r="Z1052" i="1" s="1"/>
  <c r="Z1053" i="1" s="1"/>
  <c r="Z1054" i="1" s="1"/>
  <c r="Z1055" i="1" s="1"/>
  <c r="Z1056" i="1" s="1"/>
  <c r="Z1057" i="1" s="1"/>
  <c r="Z1058" i="1" s="1"/>
  <c r="Z1059" i="1" s="1"/>
  <c r="Z1060" i="1" s="1"/>
  <c r="Z1061" i="1" s="1"/>
  <c r="Z1062" i="1" s="1"/>
  <c r="Z1063" i="1" s="1"/>
  <c r="Z1064" i="1" s="1"/>
  <c r="Z1065" i="1" s="1"/>
  <c r="Z1066" i="1" s="1"/>
  <c r="Z1067" i="1" s="1"/>
  <c r="Z1068" i="1" s="1"/>
  <c r="Z1069" i="1" s="1"/>
  <c r="Z1070" i="1" s="1"/>
  <c r="Z1071" i="1" s="1"/>
  <c r="Z1072" i="1" s="1"/>
  <c r="Z1073" i="1" s="1"/>
  <c r="Z1074" i="1" s="1"/>
  <c r="Z1075" i="1" s="1"/>
  <c r="Z1076" i="1" s="1"/>
  <c r="Z1077" i="1" s="1"/>
  <c r="Z1078" i="1" s="1"/>
  <c r="Z1079" i="1" s="1"/>
  <c r="Z1080" i="1" s="1"/>
  <c r="Z1081" i="1" s="1"/>
  <c r="Z1082" i="1" s="1"/>
  <c r="Z1083" i="1" s="1"/>
  <c r="Z1084" i="1" s="1"/>
  <c r="Z1085" i="1" s="1"/>
  <c r="Z1086" i="1" s="1"/>
  <c r="Z1087" i="1" s="1"/>
  <c r="Z1088" i="1" s="1"/>
  <c r="Z1089" i="1" s="1"/>
  <c r="Z1090" i="1" s="1"/>
  <c r="Z1091" i="1" s="1"/>
  <c r="Z1092" i="1" s="1"/>
  <c r="Z1093" i="1" s="1"/>
  <c r="Z1094" i="1" s="1"/>
  <c r="Z1095" i="1" s="1"/>
  <c r="Z1096" i="1" s="1"/>
  <c r="Z1097" i="1" s="1"/>
  <c r="Z1098" i="1" s="1"/>
  <c r="Z1099" i="1" s="1"/>
  <c r="Z1100" i="1" s="1"/>
  <c r="Z1101" i="1" s="1"/>
  <c r="Z1102" i="1" s="1"/>
  <c r="Z1103" i="1" s="1"/>
  <c r="Z1104" i="1" s="1"/>
  <c r="Z1105" i="1" s="1"/>
  <c r="Z1106" i="1" s="1"/>
  <c r="Z1107" i="1" s="1"/>
  <c r="Z1108" i="1" s="1"/>
  <c r="Z1109" i="1" s="1"/>
  <c r="Z1110" i="1" s="1"/>
  <c r="Z1111" i="1" s="1"/>
  <c r="Z1112" i="1" s="1"/>
  <c r="Z1113" i="1" s="1"/>
  <c r="Z1114" i="1" s="1"/>
  <c r="Z1115" i="1" s="1"/>
  <c r="Z1116" i="1" s="1"/>
  <c r="Z1117" i="1" s="1"/>
  <c r="Z1118" i="1" s="1"/>
  <c r="Z1119" i="1" s="1"/>
  <c r="Z1120" i="1" s="1"/>
  <c r="Z1121" i="1" s="1"/>
  <c r="Z1122" i="1" s="1"/>
  <c r="Z1123" i="1" s="1"/>
  <c r="Z1124" i="1" s="1"/>
  <c r="Z1125" i="1" s="1"/>
  <c r="Z1126" i="1" s="1"/>
  <c r="Z1127" i="1" s="1"/>
  <c r="Z1128" i="1" s="1"/>
  <c r="Z1129" i="1" s="1"/>
  <c r="Z1130" i="1" s="1"/>
  <c r="Z1131" i="1" s="1"/>
  <c r="Z1132" i="1" s="1"/>
  <c r="Z1133" i="1" s="1"/>
  <c r="Z1134" i="1" s="1"/>
  <c r="Z1135" i="1" s="1"/>
  <c r="Z1136" i="1" s="1"/>
  <c r="Z1137" i="1" s="1"/>
  <c r="Z1138" i="1" s="1"/>
  <c r="Z1139" i="1" s="1"/>
  <c r="Z1140" i="1" s="1"/>
  <c r="Z1141" i="1" s="1"/>
  <c r="Z1142" i="1" s="1"/>
  <c r="Z1143" i="1" s="1"/>
  <c r="Z1144" i="1" s="1"/>
  <c r="Z1145" i="1" s="1"/>
  <c r="Z1146" i="1" s="1"/>
  <c r="Z1147" i="1" s="1"/>
  <c r="Z1148" i="1" s="1"/>
  <c r="Z1149" i="1" s="1"/>
  <c r="Z1150" i="1" s="1"/>
  <c r="Z1151" i="1" s="1"/>
  <c r="Z1152" i="1" s="1"/>
  <c r="Z1153" i="1" s="1"/>
  <c r="Z1154" i="1" s="1"/>
  <c r="Z1155" i="1" s="1"/>
  <c r="Z1156" i="1" s="1"/>
  <c r="Z1157" i="1" s="1"/>
  <c r="Z1158" i="1" s="1"/>
  <c r="Z1159" i="1" s="1"/>
  <c r="Z1160" i="1" s="1"/>
  <c r="Z1161" i="1" s="1"/>
  <c r="Z1162" i="1" s="1"/>
  <c r="Z1163" i="1" s="1"/>
  <c r="Z1164" i="1" s="1"/>
  <c r="Z1165" i="1" s="1"/>
  <c r="Z1166" i="1" s="1"/>
  <c r="Z1167" i="1" s="1"/>
  <c r="Z1168" i="1" s="1"/>
  <c r="Z1169" i="1" s="1"/>
  <c r="Z1170" i="1" s="1"/>
  <c r="Z1171" i="1" s="1"/>
  <c r="Z1172" i="1" s="1"/>
  <c r="Z1173" i="1" s="1"/>
  <c r="Z1174" i="1" s="1"/>
  <c r="Z1175" i="1" s="1"/>
  <c r="Z1176" i="1" s="1"/>
  <c r="Z1177" i="1" s="1"/>
  <c r="Z1178" i="1" s="1"/>
  <c r="Z1179" i="1" s="1"/>
  <c r="Z1180" i="1" s="1"/>
  <c r="Z1181" i="1" s="1"/>
  <c r="Z1182" i="1" s="1"/>
  <c r="Z1183" i="1" s="1"/>
  <c r="Z1184" i="1" s="1"/>
  <c r="Z1185" i="1" s="1"/>
  <c r="Z1186" i="1" s="1"/>
  <c r="Z1187" i="1" s="1"/>
  <c r="Z1188" i="1" s="1"/>
  <c r="Z1189" i="1" s="1"/>
  <c r="Z1190" i="1" s="1"/>
  <c r="Z1191" i="1" s="1"/>
  <c r="Z1192" i="1" s="1"/>
  <c r="Z1193" i="1" s="1"/>
  <c r="Z1194" i="1" s="1"/>
  <c r="Z1195" i="1" s="1"/>
  <c r="Z1196" i="1" s="1"/>
  <c r="Z1197" i="1" s="1"/>
  <c r="Z1198" i="1" s="1"/>
  <c r="Z1199" i="1" s="1"/>
  <c r="Z1200" i="1" s="1"/>
  <c r="Z1201" i="1" s="1"/>
  <c r="Z1202" i="1" s="1"/>
  <c r="Z1203" i="1" s="1"/>
  <c r="Z1204" i="1" s="1"/>
  <c r="Z1205" i="1" s="1"/>
  <c r="Z1206" i="1" s="1"/>
  <c r="Z1207" i="1" s="1"/>
  <c r="Z1208" i="1" s="1"/>
  <c r="Z1209" i="1" s="1"/>
  <c r="Z1210" i="1" s="1"/>
  <c r="Z1211" i="1" s="1"/>
  <c r="Z1212" i="1" s="1"/>
  <c r="Z1213" i="1" s="1"/>
  <c r="Z1214" i="1" s="1"/>
  <c r="Z1215" i="1" s="1"/>
  <c r="Z1216" i="1" s="1"/>
  <c r="Z1217" i="1" s="1"/>
  <c r="Z1218" i="1" s="1"/>
  <c r="Z1219" i="1" s="1"/>
  <c r="Z1220" i="1" s="1"/>
  <c r="Z1221" i="1" s="1"/>
  <c r="Z1222" i="1" s="1"/>
  <c r="Z1223" i="1" s="1"/>
  <c r="Z1224" i="1" s="1"/>
  <c r="Z1225" i="1" s="1"/>
  <c r="Z1226" i="1" s="1"/>
  <c r="Z1227" i="1" s="1"/>
  <c r="Z1228" i="1" s="1"/>
  <c r="Z1229" i="1" s="1"/>
  <c r="Z1230" i="1" s="1"/>
  <c r="Z1231" i="1" s="1"/>
  <c r="Z1232" i="1" s="1"/>
  <c r="Z1233" i="1" s="1"/>
  <c r="Z1234" i="1" s="1"/>
  <c r="Z1235" i="1" s="1"/>
  <c r="Z1236" i="1" s="1"/>
  <c r="Z1237" i="1" s="1"/>
  <c r="Z1238" i="1" s="1"/>
  <c r="Z1239" i="1" s="1"/>
  <c r="Z1240" i="1" s="1"/>
  <c r="Z1241" i="1" s="1"/>
  <c r="Z1242" i="1" s="1"/>
  <c r="Z1243" i="1" s="1"/>
  <c r="Z1244" i="1" s="1"/>
  <c r="Z1245" i="1" s="1"/>
  <c r="Z1246" i="1" s="1"/>
  <c r="Z1247" i="1" s="1"/>
  <c r="Z1248" i="1" s="1"/>
  <c r="Z1249" i="1" s="1"/>
  <c r="Z1250" i="1" s="1"/>
  <c r="Z1251" i="1" s="1"/>
  <c r="Z1252" i="1" s="1"/>
  <c r="Z1253" i="1" s="1"/>
  <c r="Z1254" i="1" s="1"/>
  <c r="Z1255" i="1" s="1"/>
  <c r="Z1256" i="1" s="1"/>
  <c r="Z1257" i="1" s="1"/>
  <c r="Z1258" i="1" s="1"/>
  <c r="Z1259" i="1" s="1"/>
  <c r="Z1260" i="1" s="1"/>
  <c r="Z1261" i="1" s="1"/>
  <c r="Z1262" i="1" s="1"/>
  <c r="Z1263" i="1" s="1"/>
  <c r="Z1264" i="1" s="1"/>
  <c r="Z1265" i="1" s="1"/>
  <c r="Z1266" i="1" s="1"/>
  <c r="Z1267" i="1" s="1"/>
  <c r="Z1268" i="1" s="1"/>
  <c r="Z1269" i="1" s="1"/>
  <c r="Z1270" i="1" s="1"/>
  <c r="Z1271" i="1" s="1"/>
  <c r="Z1272" i="1" s="1"/>
  <c r="Z1273" i="1" s="1"/>
  <c r="Z1274" i="1" s="1"/>
  <c r="Z1275" i="1" s="1"/>
  <c r="Z1276" i="1" s="1"/>
  <c r="Z1277" i="1" s="1"/>
  <c r="Z1278" i="1" s="1"/>
  <c r="Z1279" i="1" s="1"/>
  <c r="Z1280" i="1" s="1"/>
  <c r="Z1281" i="1" s="1"/>
  <c r="Z1282" i="1" s="1"/>
  <c r="Z1283" i="1" s="1"/>
  <c r="Z1284" i="1" s="1"/>
  <c r="Z1285" i="1" s="1"/>
  <c r="Z1286" i="1" s="1"/>
  <c r="Z1287" i="1" s="1"/>
  <c r="Z1288" i="1" s="1"/>
  <c r="Z1289" i="1" s="1"/>
  <c r="Z1290" i="1" s="1"/>
  <c r="Z1291" i="1" s="1"/>
  <c r="Z1292" i="1" s="1"/>
  <c r="Z1293" i="1" s="1"/>
  <c r="Z1294" i="1" s="1"/>
  <c r="Z1295" i="1" s="1"/>
  <c r="Z1296" i="1" s="1"/>
  <c r="Z1297" i="1" s="1"/>
  <c r="Z1298" i="1" s="1"/>
  <c r="Z1299" i="1" s="1"/>
  <c r="Z1300" i="1" s="1"/>
  <c r="Z1301" i="1" s="1"/>
  <c r="Z1302" i="1" s="1"/>
  <c r="Z1303" i="1" s="1"/>
  <c r="Z1304" i="1" s="1"/>
  <c r="Z1305" i="1" s="1"/>
  <c r="Z1306" i="1" s="1"/>
  <c r="Z1307" i="1" s="1"/>
  <c r="Z1308" i="1" s="1"/>
  <c r="Z1309" i="1" s="1"/>
  <c r="Z1310" i="1" s="1"/>
  <c r="Z1311" i="1" s="1"/>
  <c r="Z1312" i="1" s="1"/>
  <c r="Z1313" i="1" s="1"/>
  <c r="Z1314" i="1" s="1"/>
  <c r="Z1315" i="1" s="1"/>
  <c r="Z1316" i="1" s="1"/>
  <c r="Z1317" i="1" s="1"/>
  <c r="Z1318" i="1" s="1"/>
  <c r="Z1319" i="1" s="1"/>
  <c r="Z1320" i="1" s="1"/>
  <c r="Z1321" i="1" s="1"/>
  <c r="Z1322" i="1" s="1"/>
  <c r="Z1323" i="1" s="1"/>
  <c r="Z1324" i="1" s="1"/>
  <c r="Z1325" i="1" s="1"/>
  <c r="Z1326" i="1" s="1"/>
  <c r="Z1327" i="1" s="1"/>
  <c r="Z1328" i="1" s="1"/>
  <c r="Z1329" i="1" s="1"/>
  <c r="Z1330" i="1" s="1"/>
  <c r="Z1331" i="1" s="1"/>
  <c r="Z1332" i="1" s="1"/>
  <c r="Z1333" i="1" s="1"/>
  <c r="Z1334" i="1" s="1"/>
  <c r="Z1335" i="1" s="1"/>
  <c r="Z1336" i="1" s="1"/>
  <c r="Z1337" i="1" s="1"/>
  <c r="Z1338" i="1" s="1"/>
  <c r="Z1339" i="1" s="1"/>
  <c r="Z1340" i="1" s="1"/>
  <c r="Z1341" i="1" s="1"/>
  <c r="Z1342" i="1" s="1"/>
  <c r="Z1343" i="1" s="1"/>
  <c r="Z1344" i="1" s="1"/>
  <c r="Z1345" i="1" s="1"/>
  <c r="Z1346" i="1" s="1"/>
  <c r="Z1347" i="1" s="1"/>
  <c r="Z1348" i="1" s="1"/>
  <c r="Z1349" i="1" s="1"/>
  <c r="Z1350" i="1" s="1"/>
  <c r="Z1351" i="1" s="1"/>
  <c r="Z1352" i="1" s="1"/>
  <c r="Z1353" i="1" s="1"/>
  <c r="Z1354" i="1" s="1"/>
  <c r="Z1355" i="1" s="1"/>
  <c r="Z1356" i="1" s="1"/>
  <c r="Z1357" i="1" s="1"/>
  <c r="Z1358" i="1" s="1"/>
  <c r="Z1359" i="1" s="1"/>
  <c r="Z1360" i="1" s="1"/>
  <c r="Z1361" i="1" s="1"/>
  <c r="Z1362" i="1" s="1"/>
  <c r="Z1363" i="1" s="1"/>
  <c r="Z1364" i="1" s="1"/>
  <c r="Z1365" i="1" s="1"/>
  <c r="Z1366" i="1" s="1"/>
  <c r="Z1367" i="1" s="1"/>
  <c r="Z1368" i="1" s="1"/>
  <c r="Z1369" i="1" s="1"/>
  <c r="Z1370" i="1" s="1"/>
  <c r="Z1371" i="1" s="1"/>
  <c r="Z1372" i="1" s="1"/>
  <c r="Z1373" i="1" s="1"/>
  <c r="Z1374" i="1" s="1"/>
  <c r="Z1375" i="1" s="1"/>
  <c r="Z1376" i="1" s="1"/>
  <c r="Z1377" i="1" s="1"/>
  <c r="Z1378" i="1" s="1"/>
  <c r="Z1379" i="1" s="1"/>
  <c r="Z1380" i="1" s="1"/>
  <c r="Z1381" i="1" s="1"/>
  <c r="Z1382" i="1" s="1"/>
  <c r="Z1383" i="1" s="1"/>
  <c r="Z1384" i="1" s="1"/>
  <c r="Z1385" i="1" s="1"/>
  <c r="Z1386" i="1" s="1"/>
  <c r="Z1387" i="1" s="1"/>
  <c r="Z1388" i="1" s="1"/>
  <c r="Z1389" i="1" s="1"/>
  <c r="Z1390" i="1" s="1"/>
  <c r="Z1391" i="1" s="1"/>
  <c r="Z1392" i="1" s="1"/>
  <c r="Z1393" i="1" s="1"/>
  <c r="Z1394" i="1" s="1"/>
  <c r="Z1395" i="1" s="1"/>
  <c r="Z1396" i="1" s="1"/>
  <c r="Z1397" i="1" s="1"/>
  <c r="Z1398" i="1" s="1"/>
  <c r="Z1399" i="1" s="1"/>
  <c r="Z1400" i="1" s="1"/>
  <c r="Z1401" i="1" s="1"/>
  <c r="Z1402" i="1" s="1"/>
  <c r="Z1403" i="1" s="1"/>
  <c r="Z1404" i="1" s="1"/>
  <c r="Z1405" i="1" s="1"/>
  <c r="Z1406" i="1" s="1"/>
  <c r="Z1407" i="1" s="1"/>
  <c r="Z1408" i="1" s="1"/>
  <c r="Z1409" i="1" s="1"/>
  <c r="Z1410" i="1" s="1"/>
  <c r="Z1411" i="1" s="1"/>
  <c r="Z1412" i="1" s="1"/>
  <c r="Z1413" i="1" s="1"/>
  <c r="Z1414" i="1" s="1"/>
  <c r="Z1415" i="1" s="1"/>
  <c r="Z1416" i="1" s="1"/>
  <c r="Z1417" i="1" s="1"/>
  <c r="Z1418" i="1" s="1"/>
  <c r="Z1419" i="1" s="1"/>
  <c r="Z1420" i="1" s="1"/>
  <c r="Z1421" i="1" s="1"/>
  <c r="Z1422" i="1" s="1"/>
  <c r="Z1423" i="1" s="1"/>
  <c r="Z1424" i="1" s="1"/>
  <c r="Z1425" i="1" s="1"/>
  <c r="Z1426" i="1" s="1"/>
  <c r="Z1427" i="1" s="1"/>
  <c r="Z1428" i="1" s="1"/>
  <c r="Z1429" i="1" s="1"/>
  <c r="Z1430" i="1" s="1"/>
  <c r="Z1431" i="1" s="1"/>
  <c r="Z1432" i="1" s="1"/>
  <c r="Z1433" i="1" s="1"/>
  <c r="Z1434" i="1" s="1"/>
  <c r="Z1435" i="1" s="1"/>
  <c r="Z1436" i="1" s="1"/>
  <c r="Z1437" i="1" s="1"/>
  <c r="Z1438" i="1" s="1"/>
  <c r="Z1439" i="1" s="1"/>
  <c r="Z1440" i="1" s="1"/>
  <c r="Z1441" i="1" s="1"/>
  <c r="Z1442" i="1" s="1"/>
  <c r="Z1443" i="1" s="1"/>
  <c r="Z1444" i="1" s="1"/>
  <c r="Z1445" i="1" s="1"/>
  <c r="Z1446" i="1" s="1"/>
  <c r="Z1447" i="1" s="1"/>
  <c r="Z1448" i="1" s="1"/>
  <c r="Z1449" i="1" s="1"/>
  <c r="Z1450" i="1" s="1"/>
  <c r="Z1451" i="1" s="1"/>
  <c r="Z1452" i="1" s="1"/>
  <c r="Z1453" i="1" s="1"/>
  <c r="Z1454" i="1" s="1"/>
  <c r="Z1455" i="1" s="1"/>
  <c r="Z1456" i="1" s="1"/>
  <c r="Z1457" i="1" s="1"/>
  <c r="Z1458" i="1" s="1"/>
  <c r="Z1459" i="1" s="1"/>
  <c r="Z1460" i="1" s="1"/>
  <c r="Z1461" i="1" s="1"/>
  <c r="Z1462" i="1" s="1"/>
  <c r="Z1463" i="1" s="1"/>
  <c r="Z1464" i="1" s="1"/>
  <c r="Z1465" i="1" s="1"/>
  <c r="Z1466" i="1" s="1"/>
  <c r="Z1467" i="1" s="1"/>
  <c r="Z1468" i="1" s="1"/>
  <c r="Z1469" i="1" s="1"/>
  <c r="Z1470" i="1" s="1"/>
  <c r="Z1471" i="1" s="1"/>
  <c r="Z1472" i="1" s="1"/>
  <c r="Z1473" i="1" s="1"/>
  <c r="Z1474" i="1" s="1"/>
  <c r="Z1475" i="1" s="1"/>
  <c r="Z1476" i="1" s="1"/>
  <c r="Z1477" i="1" s="1"/>
  <c r="Z1478" i="1" s="1"/>
  <c r="Z1479" i="1" s="1"/>
  <c r="Z1480" i="1" s="1"/>
  <c r="Z1481" i="1" s="1"/>
  <c r="Z1482" i="1" s="1"/>
  <c r="Z1483" i="1" s="1"/>
  <c r="Z1484" i="1" s="1"/>
  <c r="Z1485" i="1" s="1"/>
  <c r="Z1486" i="1" s="1"/>
  <c r="Z1487" i="1" s="1"/>
  <c r="Z1488" i="1" s="1"/>
  <c r="Z1489" i="1" s="1"/>
  <c r="Z1490" i="1" s="1"/>
  <c r="Z1491" i="1" s="1"/>
  <c r="Z1492" i="1" s="1"/>
  <c r="Z1493" i="1" s="1"/>
  <c r="Z1494" i="1" s="1"/>
  <c r="Z1495" i="1" s="1"/>
  <c r="Z1496" i="1" s="1"/>
  <c r="Z1497" i="1" s="1"/>
  <c r="Z1498" i="1" s="1"/>
  <c r="Z1499" i="1" s="1"/>
  <c r="Z1500" i="1" s="1"/>
  <c r="Z1501" i="1" s="1"/>
  <c r="Z1502" i="1" s="1"/>
  <c r="Z1503" i="1" s="1"/>
  <c r="Z1504" i="1" s="1"/>
  <c r="Z1505" i="1" s="1"/>
  <c r="Z1506" i="1" s="1"/>
  <c r="Z1507" i="1" s="1"/>
  <c r="Z1508" i="1" s="1"/>
  <c r="Z1509" i="1" s="1"/>
  <c r="Z1510" i="1" s="1"/>
  <c r="Z1511" i="1" s="1"/>
  <c r="Z1512" i="1" s="1"/>
  <c r="Z1513" i="1" s="1"/>
  <c r="Z1514" i="1" s="1"/>
  <c r="Z1515" i="1" s="1"/>
  <c r="Z1516" i="1" s="1"/>
  <c r="Z1517" i="1" s="1"/>
  <c r="Z1518" i="1" s="1"/>
  <c r="Z1519" i="1" s="1"/>
  <c r="Z1520" i="1" s="1"/>
  <c r="Z1521" i="1" s="1"/>
  <c r="Z1522" i="1" s="1"/>
  <c r="Z1523" i="1" s="1"/>
  <c r="Z1524" i="1" s="1"/>
  <c r="Z1525" i="1" s="1"/>
  <c r="Z1526" i="1" s="1"/>
  <c r="Z1527" i="1" s="1"/>
  <c r="Z1528" i="1" s="1"/>
  <c r="Z1529" i="1" s="1"/>
  <c r="Z1530" i="1" s="1"/>
  <c r="Z1531" i="1" s="1"/>
  <c r="Z1532" i="1" s="1"/>
  <c r="Z1533" i="1" s="1"/>
  <c r="Z1534" i="1" s="1"/>
  <c r="Z1535" i="1" s="1"/>
  <c r="Z1536" i="1" s="1"/>
  <c r="Z1537" i="1" s="1"/>
  <c r="Z1538" i="1" s="1"/>
  <c r="Z1539" i="1" s="1"/>
  <c r="Z1540" i="1" s="1"/>
  <c r="Z1541" i="1" s="1"/>
  <c r="Z1542" i="1" s="1"/>
  <c r="Z1543" i="1" s="1"/>
  <c r="Z1544" i="1" s="1"/>
  <c r="Z1545" i="1" s="1"/>
  <c r="Z1546" i="1" s="1"/>
  <c r="Z1547" i="1" s="1"/>
  <c r="Z1548" i="1" s="1"/>
  <c r="Z1549" i="1" s="1"/>
  <c r="Z1550" i="1" s="1"/>
  <c r="Z1551" i="1" s="1"/>
  <c r="Z1552" i="1" s="1"/>
  <c r="Z1553" i="1" s="1"/>
  <c r="Z1554" i="1" s="1"/>
  <c r="Z1555" i="1" s="1"/>
  <c r="Z1556" i="1" s="1"/>
  <c r="Z1557" i="1" s="1"/>
  <c r="Z1558" i="1" s="1"/>
  <c r="Z1559" i="1" s="1"/>
  <c r="Z1560" i="1" s="1"/>
  <c r="Z1561" i="1" s="1"/>
  <c r="Z1562" i="1" s="1"/>
  <c r="Z1563" i="1" s="1"/>
  <c r="Z1564" i="1" s="1"/>
  <c r="Z1565" i="1" s="1"/>
  <c r="Z1566" i="1" s="1"/>
  <c r="Z1567" i="1" s="1"/>
  <c r="Z1568" i="1" s="1"/>
  <c r="Z1569" i="1" s="1"/>
  <c r="Z1570" i="1" s="1"/>
  <c r="Z1571" i="1" s="1"/>
  <c r="Z1572" i="1" s="1"/>
  <c r="Z1573" i="1" s="1"/>
  <c r="Z1574" i="1" s="1"/>
  <c r="Z1575" i="1" s="1"/>
  <c r="Z1576" i="1" s="1"/>
  <c r="Z1577" i="1" s="1"/>
  <c r="Z1578" i="1" s="1"/>
  <c r="Z1579" i="1" s="1"/>
  <c r="Z1580" i="1" s="1"/>
  <c r="Z1581" i="1" s="1"/>
  <c r="Z1582" i="1" s="1"/>
  <c r="Z1583" i="1" s="1"/>
  <c r="Z1584" i="1" s="1"/>
  <c r="Z1585" i="1" s="1"/>
  <c r="Z1586" i="1" s="1"/>
  <c r="Z1587" i="1" s="1"/>
  <c r="Z1588" i="1" s="1"/>
  <c r="Z1589" i="1" s="1"/>
  <c r="Z1590" i="1" s="1"/>
  <c r="Z1591" i="1" s="1"/>
  <c r="Z1592" i="1" s="1"/>
  <c r="Z1593" i="1" s="1"/>
  <c r="Z1594" i="1" s="1"/>
  <c r="Z1595" i="1" s="1"/>
  <c r="Z1596" i="1" s="1"/>
  <c r="Z1597" i="1" s="1"/>
  <c r="Z1598" i="1" s="1"/>
  <c r="Z1599" i="1" s="1"/>
  <c r="Z1600" i="1" s="1"/>
  <c r="Z1601" i="1" s="1"/>
  <c r="Z1602" i="1" s="1"/>
  <c r="Z1603" i="1" s="1"/>
  <c r="Z1604" i="1" s="1"/>
  <c r="Z1605" i="1" s="1"/>
  <c r="Z1606" i="1" s="1"/>
  <c r="Z1607" i="1" s="1"/>
  <c r="Z1608" i="1" s="1"/>
  <c r="Z1609" i="1" s="1"/>
  <c r="Z1610" i="1" s="1"/>
  <c r="Z1611" i="1" s="1"/>
  <c r="Z1612" i="1" s="1"/>
  <c r="Z1613" i="1" s="1"/>
  <c r="Z1614" i="1" s="1"/>
  <c r="Z1615" i="1" s="1"/>
  <c r="Z1616" i="1" s="1"/>
  <c r="Z1617" i="1" s="1"/>
  <c r="Z1618" i="1" s="1"/>
  <c r="Z1619" i="1" s="1"/>
  <c r="Z1620" i="1" s="1"/>
  <c r="Z1621" i="1" s="1"/>
  <c r="Z1622" i="1" s="1"/>
  <c r="Z1623" i="1" s="1"/>
  <c r="Z1624" i="1" s="1"/>
  <c r="Z1625" i="1" s="1"/>
  <c r="Z1626" i="1" s="1"/>
  <c r="Z1627" i="1" s="1"/>
  <c r="Z1628" i="1" s="1"/>
  <c r="Z1629" i="1" s="1"/>
  <c r="Z1630" i="1" s="1"/>
  <c r="Z1631" i="1" s="1"/>
  <c r="Z1632" i="1" s="1"/>
  <c r="Z1633" i="1" s="1"/>
  <c r="Z1634" i="1" s="1"/>
  <c r="Z1635" i="1" s="1"/>
  <c r="Z1636" i="1" s="1"/>
  <c r="Z1637" i="1" s="1"/>
  <c r="Z1638" i="1" s="1"/>
  <c r="Z1639" i="1" s="1"/>
  <c r="Z1640" i="1" s="1"/>
  <c r="Z1641" i="1" s="1"/>
  <c r="Z1642" i="1" s="1"/>
  <c r="Z1643" i="1" s="1"/>
  <c r="Z1644" i="1" s="1"/>
  <c r="Z1645" i="1" s="1"/>
  <c r="Z1646" i="1" s="1"/>
  <c r="Z1647" i="1" s="1"/>
  <c r="Z1648" i="1" s="1"/>
  <c r="Z1649" i="1" s="1"/>
  <c r="Z1650" i="1" s="1"/>
  <c r="Z1651" i="1" s="1"/>
  <c r="Z1652" i="1" s="1"/>
  <c r="Z1653" i="1" s="1"/>
  <c r="Z1654" i="1" s="1"/>
  <c r="Z1655" i="1" s="1"/>
  <c r="Z1656" i="1" s="1"/>
  <c r="Z1657" i="1" s="1"/>
  <c r="Z1658" i="1" s="1"/>
  <c r="Z1659" i="1" s="1"/>
  <c r="Z1660" i="1" s="1"/>
  <c r="Z1661" i="1" s="1"/>
  <c r="Z1662" i="1" s="1"/>
  <c r="Z1663" i="1" s="1"/>
  <c r="Z1664" i="1" s="1"/>
  <c r="Z1665" i="1" s="1"/>
  <c r="Z1666" i="1" s="1"/>
  <c r="Z1667" i="1" s="1"/>
  <c r="Z1668" i="1" s="1"/>
  <c r="Z1669" i="1" s="1"/>
  <c r="Z1670" i="1" s="1"/>
  <c r="Z1671" i="1" s="1"/>
  <c r="Z1672" i="1" s="1"/>
  <c r="Z1673" i="1" s="1"/>
  <c r="Z1674" i="1" s="1"/>
  <c r="Z1675" i="1" s="1"/>
  <c r="Z1676" i="1" s="1"/>
  <c r="Z1677" i="1" s="1"/>
  <c r="Z1678" i="1" s="1"/>
  <c r="Z1679" i="1" s="1"/>
  <c r="Z1680" i="1" s="1"/>
  <c r="Z1681" i="1" s="1"/>
  <c r="Z1682" i="1" s="1"/>
  <c r="Z1683" i="1" s="1"/>
  <c r="Z1684" i="1" s="1"/>
  <c r="Z1685" i="1" s="1"/>
  <c r="Z1686" i="1" s="1"/>
  <c r="Z1687" i="1" s="1"/>
  <c r="Z1688" i="1" s="1"/>
  <c r="Z1689" i="1" s="1"/>
  <c r="Z1690" i="1" s="1"/>
  <c r="Z1691" i="1" s="1"/>
  <c r="Z1692" i="1" s="1"/>
  <c r="Z1693" i="1" s="1"/>
  <c r="Z1694" i="1" s="1"/>
  <c r="Z1695" i="1" s="1"/>
  <c r="Z1696" i="1" s="1"/>
  <c r="Z1697" i="1" s="1"/>
  <c r="Z1698" i="1" s="1"/>
  <c r="Z1699" i="1" s="1"/>
  <c r="Z1700" i="1" s="1"/>
  <c r="Z1701" i="1" s="1"/>
  <c r="Z1702" i="1" s="1"/>
  <c r="Z1703" i="1" s="1"/>
  <c r="Z1704" i="1" s="1"/>
  <c r="Z1705" i="1" s="1"/>
  <c r="Z1706" i="1" s="1"/>
  <c r="Z1707" i="1" s="1"/>
  <c r="Z1708" i="1" s="1"/>
  <c r="Z1709" i="1" s="1"/>
  <c r="Z1710" i="1" s="1"/>
  <c r="Z1711" i="1" s="1"/>
  <c r="Z1712" i="1" s="1"/>
  <c r="Z1713" i="1" s="1"/>
  <c r="Z1714" i="1" s="1"/>
  <c r="Z1715" i="1" s="1"/>
  <c r="Z1716" i="1" s="1"/>
  <c r="Z1717" i="1" s="1"/>
  <c r="Z1718" i="1" s="1"/>
  <c r="Z1719" i="1" s="1"/>
  <c r="Z1720" i="1" s="1"/>
  <c r="Z1721" i="1" s="1"/>
  <c r="Z1722" i="1" s="1"/>
  <c r="Z1723" i="1" s="1"/>
  <c r="Z1724" i="1" s="1"/>
  <c r="Z1725" i="1" s="1"/>
  <c r="Z1726" i="1" s="1"/>
  <c r="Z1727" i="1" s="1"/>
  <c r="Z1728" i="1" s="1"/>
  <c r="Z1729" i="1" s="1"/>
  <c r="Z1730" i="1" s="1"/>
  <c r="Z1731" i="1" s="1"/>
  <c r="Z1732" i="1" s="1"/>
  <c r="Z1733" i="1" s="1"/>
  <c r="Z1734" i="1" s="1"/>
  <c r="Z1735" i="1" s="1"/>
  <c r="Z1736" i="1" s="1"/>
  <c r="Z1737" i="1" s="1"/>
  <c r="Z1738" i="1" s="1"/>
  <c r="Z1739" i="1" s="1"/>
  <c r="Z1740" i="1" s="1"/>
  <c r="Z1741" i="1" s="1"/>
  <c r="Z1742" i="1" s="1"/>
  <c r="Z1743" i="1" s="1"/>
  <c r="Z1744" i="1" s="1"/>
  <c r="Z1745" i="1" s="1"/>
  <c r="Z1746" i="1" s="1"/>
  <c r="Z1747" i="1" s="1"/>
  <c r="Z1748" i="1" s="1"/>
  <c r="Z1749" i="1" s="1"/>
  <c r="Z1750" i="1" s="1"/>
  <c r="Z1751" i="1" s="1"/>
  <c r="Z1752" i="1" s="1"/>
  <c r="Z1753" i="1" s="1"/>
  <c r="Z1754" i="1" s="1"/>
  <c r="Z1755" i="1" s="1"/>
  <c r="Z1756" i="1" s="1"/>
  <c r="Z1757" i="1" s="1"/>
  <c r="Z1758" i="1" s="1"/>
  <c r="Z1759" i="1" s="1"/>
  <c r="Z1760" i="1" s="1"/>
  <c r="Z1761" i="1" s="1"/>
  <c r="Z1762" i="1" s="1"/>
  <c r="Z1763" i="1" s="1"/>
  <c r="Z1764" i="1" s="1"/>
  <c r="Z1765" i="1" s="1"/>
  <c r="Z1766" i="1" s="1"/>
  <c r="Z1767" i="1" s="1"/>
  <c r="Z1768" i="1" s="1"/>
  <c r="Z1769" i="1" s="1"/>
  <c r="Z1770" i="1" s="1"/>
  <c r="Z1771" i="1" s="1"/>
  <c r="Z1772" i="1" s="1"/>
  <c r="Z1773" i="1" s="1"/>
  <c r="Z1774" i="1" s="1"/>
  <c r="Z1775" i="1" s="1"/>
  <c r="Z1776" i="1" s="1"/>
  <c r="Z1777" i="1" s="1"/>
  <c r="Z1778" i="1" s="1"/>
  <c r="Z1779" i="1" s="1"/>
  <c r="Z1780" i="1" s="1"/>
  <c r="Z1781" i="1" s="1"/>
  <c r="Z1782" i="1" s="1"/>
  <c r="Z1783" i="1" s="1"/>
  <c r="Z1784" i="1" s="1"/>
  <c r="Z1785" i="1" s="1"/>
  <c r="Z1786" i="1" s="1"/>
  <c r="Z1787" i="1" s="1"/>
  <c r="Z1788" i="1" s="1"/>
  <c r="Z1789" i="1" s="1"/>
  <c r="Z1790" i="1" s="1"/>
  <c r="Z1791" i="1" s="1"/>
  <c r="Z1792" i="1" s="1"/>
  <c r="Z1793" i="1" s="1"/>
  <c r="Z1794" i="1" s="1"/>
  <c r="Z1795" i="1" s="1"/>
  <c r="Z1796" i="1" s="1"/>
  <c r="Z1797" i="1" s="1"/>
  <c r="Z1798" i="1" s="1"/>
  <c r="Z1799" i="1" s="1"/>
  <c r="Z1800" i="1" s="1"/>
  <c r="Z1801" i="1" s="1"/>
  <c r="Z1802" i="1" s="1"/>
  <c r="Z1803" i="1" s="1"/>
  <c r="Z1804" i="1" s="1"/>
  <c r="Z1805" i="1" s="1"/>
  <c r="Z1806" i="1" s="1"/>
  <c r="Z1807" i="1" s="1"/>
  <c r="Z1808" i="1" s="1"/>
  <c r="Z1809" i="1" s="1"/>
  <c r="Z1810" i="1" s="1"/>
  <c r="Z1811" i="1" s="1"/>
  <c r="Z1812" i="1" s="1"/>
  <c r="Z1813" i="1" s="1"/>
  <c r="Z1814" i="1" s="1"/>
  <c r="Z1815" i="1" s="1"/>
  <c r="Z1816" i="1" s="1"/>
  <c r="Z1817" i="1" s="1"/>
  <c r="Z1818" i="1" s="1"/>
  <c r="Z1819" i="1" s="1"/>
  <c r="Z1820" i="1" s="1"/>
  <c r="Z1821" i="1" s="1"/>
  <c r="Z1822" i="1" s="1"/>
  <c r="Z1823" i="1" s="1"/>
  <c r="Z1824" i="1" s="1"/>
  <c r="Z1825" i="1" s="1"/>
  <c r="Z1826" i="1" s="1"/>
  <c r="Z1827" i="1" s="1"/>
  <c r="Z1828" i="1" s="1"/>
  <c r="Z1829" i="1" s="1"/>
  <c r="Z1830" i="1" s="1"/>
  <c r="Z1831" i="1" s="1"/>
  <c r="Z1832" i="1" s="1"/>
  <c r="Z1833" i="1" s="1"/>
  <c r="Z1834" i="1" s="1"/>
  <c r="Z1835" i="1" s="1"/>
  <c r="Z1836" i="1" s="1"/>
  <c r="Z1837" i="1" s="1"/>
  <c r="Z1838" i="1" s="1"/>
  <c r="Z1839" i="1" s="1"/>
  <c r="Z1840" i="1" s="1"/>
  <c r="Z1841" i="1" s="1"/>
  <c r="Z1842" i="1" s="1"/>
  <c r="Z1843" i="1" s="1"/>
  <c r="Z1844" i="1" s="1"/>
  <c r="Z1845" i="1" s="1"/>
  <c r="Z1846" i="1" s="1"/>
  <c r="Z1847" i="1" s="1"/>
  <c r="Z1848" i="1" s="1"/>
  <c r="Z1849" i="1" s="1"/>
  <c r="Z1850" i="1" s="1"/>
  <c r="Z1851" i="1" s="1"/>
  <c r="Z1852" i="1" s="1"/>
  <c r="Z1853" i="1" s="1"/>
  <c r="Z1854" i="1" s="1"/>
  <c r="Z1855" i="1" s="1"/>
  <c r="Z1856" i="1" s="1"/>
  <c r="Z1857" i="1" s="1"/>
  <c r="Z1858" i="1" s="1"/>
  <c r="Z1859" i="1" s="1"/>
  <c r="Z1860" i="1" s="1"/>
  <c r="Z1861" i="1" s="1"/>
  <c r="Z1862" i="1" s="1"/>
  <c r="Z1863" i="1" s="1"/>
  <c r="Z1864" i="1" s="1"/>
  <c r="Z1865" i="1" s="1"/>
  <c r="Z1866" i="1" s="1"/>
  <c r="Z1867" i="1" s="1"/>
  <c r="Z1868" i="1" s="1"/>
  <c r="Z1869" i="1" s="1"/>
  <c r="Z1870" i="1" s="1"/>
  <c r="Z1871" i="1" s="1"/>
  <c r="Z1872" i="1" s="1"/>
  <c r="Z1873" i="1" s="1"/>
  <c r="Z1874" i="1" s="1"/>
  <c r="Z1875" i="1" s="1"/>
  <c r="Z1876" i="1" s="1"/>
  <c r="Z1877" i="1" s="1"/>
  <c r="Z1878" i="1" s="1"/>
  <c r="Z1879" i="1" s="1"/>
  <c r="Z1880" i="1" s="1"/>
  <c r="Z1881" i="1" s="1"/>
  <c r="Z1882" i="1" s="1"/>
  <c r="Z1883" i="1" s="1"/>
  <c r="Z1884" i="1" s="1"/>
  <c r="Z1885" i="1" s="1"/>
  <c r="Z1886" i="1" s="1"/>
  <c r="Z1887" i="1" s="1"/>
  <c r="Z1888" i="1" s="1"/>
  <c r="Z1889" i="1" s="1"/>
  <c r="Z1890" i="1" s="1"/>
  <c r="Z1891" i="1" s="1"/>
  <c r="Z1892" i="1" s="1"/>
  <c r="Z1893" i="1" s="1"/>
  <c r="Z1894" i="1" s="1"/>
  <c r="Z1895" i="1" s="1"/>
  <c r="Z1896" i="1" s="1"/>
  <c r="Z1897" i="1" s="1"/>
  <c r="Z1898" i="1" s="1"/>
  <c r="Z1899" i="1" s="1"/>
  <c r="Z1900" i="1" s="1"/>
  <c r="Z1901" i="1" s="1"/>
  <c r="Z1902" i="1" s="1"/>
  <c r="Z1903" i="1" s="1"/>
  <c r="Z1904" i="1" s="1"/>
  <c r="Z1905" i="1" s="1"/>
  <c r="Z1906" i="1" s="1"/>
  <c r="Z1907" i="1" s="1"/>
  <c r="Z1908" i="1" s="1"/>
  <c r="Z1909" i="1" s="1"/>
  <c r="Z1910" i="1" s="1"/>
  <c r="Z1911" i="1" s="1"/>
  <c r="Z1912" i="1" s="1"/>
  <c r="Z1913" i="1" s="1"/>
  <c r="Z1914" i="1" s="1"/>
  <c r="Z1915" i="1" s="1"/>
  <c r="Z1916" i="1" s="1"/>
  <c r="Z1917" i="1" s="1"/>
  <c r="Z1918" i="1" s="1"/>
  <c r="Z1919" i="1" s="1"/>
  <c r="Z1920" i="1" s="1"/>
  <c r="Z1921" i="1" s="1"/>
  <c r="Z1922" i="1" s="1"/>
  <c r="Z1923" i="1" s="1"/>
  <c r="Z1924" i="1" s="1"/>
  <c r="Z1925" i="1" s="1"/>
  <c r="Z1926" i="1" s="1"/>
  <c r="Z1927" i="1" s="1"/>
  <c r="Z1928" i="1" s="1"/>
  <c r="Z1929" i="1" s="1"/>
  <c r="Z1930" i="1" s="1"/>
  <c r="Z1931" i="1" s="1"/>
  <c r="Z1932" i="1" s="1"/>
  <c r="Z1933" i="1" s="1"/>
  <c r="Z1934" i="1" s="1"/>
  <c r="Z1935" i="1" s="1"/>
  <c r="Z1936" i="1" s="1"/>
  <c r="Z1937" i="1" s="1"/>
  <c r="Z1938" i="1" s="1"/>
  <c r="Z1939" i="1" s="1"/>
  <c r="Z1940" i="1" s="1"/>
  <c r="Z1941" i="1" s="1"/>
  <c r="Z1942" i="1" s="1"/>
  <c r="Z1943" i="1" s="1"/>
  <c r="Z1944" i="1" s="1"/>
  <c r="Z1945" i="1" s="1"/>
  <c r="Z1946" i="1" s="1"/>
  <c r="Z1947" i="1" s="1"/>
  <c r="Z1948" i="1" s="1"/>
  <c r="Z1949" i="1" s="1"/>
  <c r="Z1950" i="1" s="1"/>
  <c r="Z1951" i="1" s="1"/>
  <c r="Z1952" i="1" s="1"/>
  <c r="Z1953" i="1" s="1"/>
  <c r="Z1954" i="1" s="1"/>
  <c r="Z1955" i="1" s="1"/>
  <c r="Z1956" i="1" s="1"/>
  <c r="Z1957" i="1" s="1"/>
  <c r="Z1958" i="1" s="1"/>
  <c r="Z1959" i="1" s="1"/>
  <c r="Z1960" i="1" s="1"/>
  <c r="Z1961" i="1" s="1"/>
  <c r="Z1962" i="1" s="1"/>
  <c r="Z1963" i="1" s="1"/>
  <c r="Z1964" i="1" s="1"/>
  <c r="Z1965" i="1" s="1"/>
  <c r="Z1966" i="1" s="1"/>
  <c r="Z1967" i="1" s="1"/>
  <c r="Z1968" i="1" s="1"/>
  <c r="Z1969" i="1" s="1"/>
  <c r="Z1970" i="1" s="1"/>
  <c r="Z1971" i="1" s="1"/>
  <c r="Z1972" i="1" s="1"/>
  <c r="Z1973" i="1" s="1"/>
  <c r="Z1974" i="1" s="1"/>
  <c r="Z1975" i="1" s="1"/>
  <c r="Z1976" i="1" s="1"/>
  <c r="Z1977" i="1" s="1"/>
  <c r="Z1978" i="1" s="1"/>
  <c r="Z1979" i="1" s="1"/>
  <c r="Z1980" i="1" s="1"/>
  <c r="Z1981" i="1" s="1"/>
  <c r="Z1982" i="1" s="1"/>
  <c r="Z1983" i="1" s="1"/>
  <c r="Z1984" i="1" s="1"/>
  <c r="Z1985" i="1" s="1"/>
  <c r="Z1986" i="1" s="1"/>
  <c r="Z1987" i="1" s="1"/>
  <c r="Z1988" i="1" s="1"/>
  <c r="Z1989" i="1" s="1"/>
  <c r="Z1990" i="1" s="1"/>
  <c r="Z1991" i="1" s="1"/>
  <c r="Z1992" i="1" s="1"/>
  <c r="Z1993" i="1" s="1"/>
  <c r="Z1994" i="1" s="1"/>
  <c r="Z1995" i="1" s="1"/>
  <c r="Z1996" i="1" s="1"/>
  <c r="Z1997" i="1" s="1"/>
  <c r="Z1998" i="1" s="1"/>
  <c r="Z1999" i="1" s="1"/>
  <c r="Z2000" i="1" s="1"/>
  <c r="Z2001" i="1" s="1"/>
  <c r="Z2002" i="1" s="1"/>
  <c r="Z2003" i="1" s="1"/>
  <c r="Z2004" i="1" s="1"/>
  <c r="Z2005" i="1" s="1"/>
  <c r="Z2006" i="1" s="1"/>
  <c r="Z2007" i="1" s="1"/>
  <c r="Z2008" i="1" s="1"/>
  <c r="Z2009" i="1" s="1"/>
  <c r="Z2010" i="1" s="1"/>
  <c r="Z2011" i="1" s="1"/>
  <c r="Z2012" i="1" s="1"/>
  <c r="Z2013" i="1" s="1"/>
  <c r="Z2014" i="1" s="1"/>
  <c r="Z2015" i="1" s="1"/>
  <c r="Z2016" i="1" s="1"/>
  <c r="Z2017" i="1" s="1"/>
  <c r="Z2018" i="1" s="1"/>
  <c r="Z2019" i="1" s="1"/>
  <c r="Z2020" i="1" s="1"/>
  <c r="Z2021" i="1" s="1"/>
  <c r="Z2022" i="1" s="1"/>
  <c r="Z2023" i="1" s="1"/>
  <c r="Z2024" i="1" s="1"/>
  <c r="Z2025" i="1" s="1"/>
  <c r="Z2026" i="1" s="1"/>
  <c r="Z2027" i="1" s="1"/>
  <c r="Z2028" i="1" s="1"/>
  <c r="Z2029" i="1" s="1"/>
  <c r="Z2030" i="1" s="1"/>
  <c r="Z2031" i="1" s="1"/>
  <c r="Z2032" i="1" s="1"/>
  <c r="Z2033" i="1" s="1"/>
  <c r="Z2034" i="1" s="1"/>
  <c r="Z2035" i="1" s="1"/>
  <c r="Z2036" i="1" s="1"/>
  <c r="Z2037" i="1" s="1"/>
  <c r="Z2038" i="1" s="1"/>
  <c r="Z2039" i="1" s="1"/>
  <c r="Z2040" i="1" s="1"/>
  <c r="Z2041" i="1" s="1"/>
  <c r="Z2042" i="1" s="1"/>
  <c r="Z2043" i="1" s="1"/>
  <c r="Z2044" i="1" s="1"/>
  <c r="Z2045" i="1" s="1"/>
  <c r="Z2046" i="1" s="1"/>
  <c r="Z2047" i="1" s="1"/>
  <c r="Z2048" i="1" s="1"/>
  <c r="Z2049" i="1" s="1"/>
  <c r="Z2050" i="1" s="1"/>
  <c r="Z2051" i="1" s="1"/>
  <c r="Z2052" i="1" s="1"/>
  <c r="Z2053" i="1" s="1"/>
  <c r="Z2054" i="1" s="1"/>
  <c r="Z2055" i="1" s="1"/>
  <c r="Z2056" i="1" s="1"/>
  <c r="Z2057" i="1" s="1"/>
  <c r="Z2058" i="1" s="1"/>
  <c r="Z2059" i="1" s="1"/>
  <c r="Z2060" i="1" s="1"/>
  <c r="Z2061" i="1" s="1"/>
  <c r="Z2062" i="1" s="1"/>
  <c r="Z2063" i="1" s="1"/>
  <c r="Z2064" i="1" s="1"/>
  <c r="Z2065" i="1" s="1"/>
  <c r="Z2066" i="1" s="1"/>
  <c r="Z2067" i="1" s="1"/>
  <c r="Z2068" i="1" s="1"/>
  <c r="Z2069" i="1" s="1"/>
  <c r="Z2070" i="1" s="1"/>
  <c r="Z2071" i="1" s="1"/>
  <c r="Z2072" i="1" s="1"/>
  <c r="Z2073" i="1" s="1"/>
  <c r="Z2074" i="1" s="1"/>
  <c r="Z2075" i="1" s="1"/>
  <c r="Z2076" i="1" s="1"/>
  <c r="Z2077" i="1" s="1"/>
  <c r="Z2078" i="1" s="1"/>
  <c r="Z2079" i="1" s="1"/>
  <c r="Z2080" i="1" s="1"/>
  <c r="Z2081" i="1" s="1"/>
  <c r="Z2082" i="1" s="1"/>
  <c r="Z2083" i="1" s="1"/>
  <c r="Z2084" i="1" s="1"/>
  <c r="Z2085" i="1" s="1"/>
  <c r="Z2086" i="1" s="1"/>
  <c r="Z2087" i="1" s="1"/>
  <c r="Z2088" i="1" s="1"/>
  <c r="Z2089" i="1" s="1"/>
  <c r="Z2090" i="1" s="1"/>
  <c r="Z2091" i="1" s="1"/>
  <c r="Z2092" i="1" s="1"/>
  <c r="Z2093" i="1" s="1"/>
  <c r="Z2094" i="1" s="1"/>
  <c r="Z2095" i="1" s="1"/>
  <c r="Z2096" i="1" s="1"/>
  <c r="Z2097" i="1" s="1"/>
  <c r="Z2098" i="1" s="1"/>
  <c r="Z2099" i="1" s="1"/>
  <c r="Z2100" i="1" s="1"/>
  <c r="Z2101" i="1" s="1"/>
  <c r="Z2102" i="1" s="1"/>
  <c r="Z2103" i="1" s="1"/>
  <c r="Z2104" i="1" s="1"/>
  <c r="Z2105" i="1" s="1"/>
  <c r="Z2106" i="1" s="1"/>
  <c r="Z2107" i="1" s="1"/>
  <c r="Z2108" i="1" s="1"/>
  <c r="Z2109" i="1" s="1"/>
  <c r="Z2110" i="1" s="1"/>
  <c r="Z2111" i="1" s="1"/>
  <c r="Z2112" i="1" s="1"/>
  <c r="Z2113" i="1" s="1"/>
  <c r="Z2114" i="1" s="1"/>
  <c r="Z2115" i="1" s="1"/>
  <c r="Z2116" i="1" s="1"/>
  <c r="Z2117" i="1" s="1"/>
  <c r="Z2118" i="1" s="1"/>
  <c r="Z2119" i="1" s="1"/>
  <c r="Z2120" i="1" s="1"/>
  <c r="Z2121" i="1" s="1"/>
  <c r="Z2122" i="1" s="1"/>
  <c r="Z2123" i="1" s="1"/>
  <c r="Z2124" i="1" s="1"/>
  <c r="Z2125" i="1" s="1"/>
  <c r="Z2126" i="1" s="1"/>
  <c r="Z2127" i="1" s="1"/>
  <c r="Z2128" i="1" s="1"/>
  <c r="Z2129" i="1" s="1"/>
  <c r="Z2130" i="1" s="1"/>
  <c r="Z2131" i="1" s="1"/>
  <c r="Z2132" i="1" s="1"/>
  <c r="Z2133" i="1" s="1"/>
  <c r="Z2134" i="1" s="1"/>
  <c r="Z2135" i="1" s="1"/>
  <c r="Z2136" i="1" s="1"/>
  <c r="Z2137" i="1" s="1"/>
  <c r="Z2138" i="1" s="1"/>
  <c r="Z2139" i="1" s="1"/>
  <c r="Z2140" i="1" s="1"/>
  <c r="Z2141" i="1" s="1"/>
  <c r="Z2142" i="1" s="1"/>
  <c r="Z2143" i="1" s="1"/>
  <c r="Z2144" i="1" s="1"/>
  <c r="Z2145" i="1" s="1"/>
  <c r="Z2146" i="1" s="1"/>
  <c r="Z2147" i="1" s="1"/>
  <c r="Z2148" i="1" s="1"/>
  <c r="Z2149" i="1" s="1"/>
  <c r="Z2150" i="1" s="1"/>
  <c r="Z2151" i="1" s="1"/>
  <c r="Z2152" i="1" s="1"/>
  <c r="Z2153" i="1" s="1"/>
  <c r="Z2154" i="1" s="1"/>
  <c r="Z2155" i="1" s="1"/>
  <c r="Z2156" i="1" s="1"/>
  <c r="Z2157" i="1" s="1"/>
  <c r="Z2158" i="1" s="1"/>
  <c r="Z2159" i="1" s="1"/>
  <c r="Z2160" i="1" s="1"/>
  <c r="Z2161" i="1" s="1"/>
  <c r="Z2162" i="1" s="1"/>
  <c r="Z2163" i="1" s="1"/>
  <c r="Z2164" i="1" s="1"/>
  <c r="Z2165" i="1" s="1"/>
  <c r="Z2166" i="1" s="1"/>
  <c r="Z2167" i="1" s="1"/>
  <c r="Z2168" i="1" s="1"/>
  <c r="Z2169" i="1" s="1"/>
  <c r="Z2170" i="1" s="1"/>
  <c r="Z2171" i="1" s="1"/>
  <c r="Z2172" i="1" s="1"/>
  <c r="Z2173" i="1" s="1"/>
  <c r="Z2174" i="1" s="1"/>
  <c r="Z2175" i="1" s="1"/>
  <c r="Z2176" i="1" s="1"/>
  <c r="Z2177" i="1" s="1"/>
  <c r="Z2178" i="1" s="1"/>
  <c r="Z2179" i="1" s="1"/>
  <c r="Z2180" i="1" s="1"/>
  <c r="Z2181" i="1" s="1"/>
  <c r="Z2182" i="1" s="1"/>
  <c r="Z2183" i="1" s="1"/>
  <c r="Z2184" i="1" s="1"/>
  <c r="Z2185" i="1" s="1"/>
  <c r="Z2186" i="1" s="1"/>
  <c r="Z2187" i="1" s="1"/>
  <c r="Z2188" i="1" s="1"/>
  <c r="Z2189" i="1" s="1"/>
  <c r="Z2190" i="1" s="1"/>
  <c r="Z2191" i="1" s="1"/>
  <c r="Z2192" i="1" s="1"/>
  <c r="Z2193" i="1" s="1"/>
  <c r="Z2194" i="1" s="1"/>
  <c r="Z2195" i="1" s="1"/>
  <c r="Z2196" i="1" s="1"/>
  <c r="Z2197" i="1" s="1"/>
  <c r="Z2198" i="1" s="1"/>
  <c r="Z2199" i="1" s="1"/>
  <c r="Z2200" i="1" s="1"/>
  <c r="Z2201" i="1" s="1"/>
  <c r="Z2202" i="1" s="1"/>
  <c r="Z2203" i="1" s="1"/>
  <c r="Z2204" i="1" s="1"/>
  <c r="Z2205" i="1" s="1"/>
  <c r="Z2206" i="1" s="1"/>
  <c r="Z2207" i="1" s="1"/>
  <c r="Z2208" i="1" s="1"/>
  <c r="Z2209" i="1" s="1"/>
  <c r="Z2210" i="1" s="1"/>
  <c r="Z2211" i="1" s="1"/>
  <c r="Z2212" i="1" s="1"/>
  <c r="Z2213" i="1" s="1"/>
  <c r="Z2214" i="1" s="1"/>
  <c r="Z2215" i="1" s="1"/>
  <c r="Z2216" i="1" s="1"/>
  <c r="Z2217" i="1" s="1"/>
  <c r="Z2218" i="1" s="1"/>
  <c r="Z2219" i="1" s="1"/>
  <c r="Z2220" i="1" s="1"/>
  <c r="Z2221" i="1" s="1"/>
  <c r="Z2222" i="1" s="1"/>
  <c r="Z2223" i="1" s="1"/>
  <c r="Z2224" i="1" s="1"/>
  <c r="Z2225" i="1" s="1"/>
  <c r="Z2226" i="1" s="1"/>
  <c r="Z2227" i="1" s="1"/>
  <c r="Z2228" i="1" s="1"/>
  <c r="Z2229" i="1" s="1"/>
  <c r="Z2230" i="1" s="1"/>
  <c r="Z2231" i="1" s="1"/>
  <c r="Z2232" i="1" s="1"/>
  <c r="Z2233" i="1" s="1"/>
  <c r="Z2234" i="1" s="1"/>
  <c r="Z2235" i="1" s="1"/>
  <c r="Z2236" i="1" s="1"/>
  <c r="Z2237" i="1" s="1"/>
  <c r="Z2238" i="1" s="1"/>
  <c r="Z2239" i="1" s="1"/>
  <c r="Z2240" i="1" s="1"/>
  <c r="Z2241" i="1" s="1"/>
  <c r="Z2242" i="1" s="1"/>
  <c r="Z2243" i="1" s="1"/>
  <c r="Z2244" i="1" s="1"/>
  <c r="Z2245" i="1" s="1"/>
  <c r="Z2246" i="1" s="1"/>
  <c r="Z2247" i="1" s="1"/>
  <c r="Z2248" i="1" s="1"/>
  <c r="Z2249" i="1" s="1"/>
  <c r="Z2250" i="1" s="1"/>
  <c r="Z2251" i="1" s="1"/>
  <c r="Z2252" i="1" s="1"/>
  <c r="Z2253" i="1" s="1"/>
  <c r="Z2254" i="1" s="1"/>
  <c r="Z2255" i="1" s="1"/>
  <c r="Z2256" i="1" s="1"/>
  <c r="Z2257" i="1" s="1"/>
  <c r="Z2258" i="1" s="1"/>
  <c r="Z2259" i="1" s="1"/>
  <c r="Z2260" i="1" s="1"/>
  <c r="Z2261" i="1" s="1"/>
  <c r="Z2262" i="1" s="1"/>
  <c r="Z2263" i="1" s="1"/>
  <c r="Z2264" i="1" s="1"/>
  <c r="Z2265" i="1" s="1"/>
  <c r="Z2266" i="1" s="1"/>
  <c r="Z2267" i="1" s="1"/>
  <c r="Z2268" i="1" s="1"/>
  <c r="Z2269" i="1" s="1"/>
  <c r="Z2270" i="1" s="1"/>
  <c r="Z2271" i="1" s="1"/>
  <c r="Z2272" i="1" s="1"/>
  <c r="Z2273" i="1" s="1"/>
  <c r="Z2274" i="1" s="1"/>
  <c r="Z2275" i="1" s="1"/>
  <c r="Z2276" i="1" s="1"/>
  <c r="Z2277" i="1" s="1"/>
  <c r="Z2278" i="1" s="1"/>
  <c r="Z2279" i="1" s="1"/>
  <c r="Z2280" i="1" s="1"/>
  <c r="Z2281" i="1" s="1"/>
  <c r="Z2282" i="1" s="1"/>
  <c r="Z2283" i="1" s="1"/>
  <c r="Z2284" i="1" s="1"/>
  <c r="Z2285" i="1" s="1"/>
  <c r="Z2286" i="1" s="1"/>
  <c r="Z2287" i="1" s="1"/>
  <c r="Z2288" i="1" s="1"/>
  <c r="Z2289" i="1" s="1"/>
  <c r="Z2290" i="1" s="1"/>
  <c r="Z2291" i="1" s="1"/>
  <c r="Z2292" i="1" s="1"/>
  <c r="Z2293" i="1" s="1"/>
  <c r="Z2294" i="1" s="1"/>
  <c r="Z2295" i="1" s="1"/>
  <c r="Z2296" i="1" s="1"/>
  <c r="Z2297" i="1" s="1"/>
  <c r="Z2298" i="1" s="1"/>
  <c r="Z2299" i="1" s="1"/>
  <c r="Z2300" i="1" s="1"/>
  <c r="Z2301" i="1" s="1"/>
  <c r="Z2302" i="1" s="1"/>
  <c r="Z2303" i="1" s="1"/>
  <c r="Z2304" i="1" s="1"/>
  <c r="Z2305" i="1" s="1"/>
  <c r="Z2306" i="1" s="1"/>
  <c r="Z2307" i="1" s="1"/>
  <c r="Z2308" i="1" s="1"/>
  <c r="Z2309" i="1" s="1"/>
  <c r="Z2310" i="1" s="1"/>
  <c r="Z2311" i="1" s="1"/>
  <c r="Z2312" i="1" s="1"/>
  <c r="Z2313" i="1" s="1"/>
  <c r="Z2314" i="1" s="1"/>
  <c r="Z2315" i="1" s="1"/>
  <c r="Z2316" i="1" s="1"/>
  <c r="Z2317" i="1" s="1"/>
  <c r="Z2318" i="1" s="1"/>
  <c r="Z2319" i="1" s="1"/>
  <c r="Z2320" i="1" s="1"/>
  <c r="Z2321" i="1" s="1"/>
  <c r="Z2322" i="1" s="1"/>
  <c r="Z2323" i="1" s="1"/>
  <c r="Z2324" i="1" s="1"/>
  <c r="Z2325" i="1" s="1"/>
  <c r="Z2326" i="1" s="1"/>
  <c r="Z2327" i="1" s="1"/>
  <c r="Z2328" i="1" s="1"/>
  <c r="Z2329" i="1" s="1"/>
  <c r="Z2330" i="1" s="1"/>
  <c r="Z2331" i="1" s="1"/>
  <c r="Z2332" i="1" s="1"/>
  <c r="Z2333" i="1" s="1"/>
  <c r="Z2334" i="1" s="1"/>
  <c r="Z2335" i="1" s="1"/>
  <c r="Z2336" i="1" s="1"/>
  <c r="Z2337" i="1" s="1"/>
  <c r="Z2338" i="1" s="1"/>
  <c r="Z2339" i="1" s="1"/>
  <c r="Z2340" i="1" s="1"/>
  <c r="Z2341" i="1" s="1"/>
  <c r="Z2342" i="1" s="1"/>
  <c r="Z2343" i="1" s="1"/>
  <c r="Z2344" i="1" s="1"/>
  <c r="Z2345" i="1" s="1"/>
  <c r="Z2346" i="1" s="1"/>
  <c r="Z2347" i="1" s="1"/>
  <c r="Z2348" i="1" s="1"/>
  <c r="Z2349" i="1" s="1"/>
  <c r="Z2350" i="1" s="1"/>
  <c r="Z2351" i="1" s="1"/>
  <c r="Z2352" i="1" s="1"/>
  <c r="Z2353" i="1" s="1"/>
  <c r="Z2354" i="1" s="1"/>
  <c r="Z2355" i="1" s="1"/>
  <c r="Z2356" i="1" s="1"/>
  <c r="Z2357" i="1" s="1"/>
  <c r="Z2358" i="1" s="1"/>
  <c r="Z2359" i="1" s="1"/>
  <c r="Z2360" i="1" s="1"/>
  <c r="Z2361" i="1" s="1"/>
  <c r="Z2362" i="1" s="1"/>
  <c r="Z2363" i="1" s="1"/>
  <c r="Z2364" i="1" s="1"/>
  <c r="Z2365" i="1" s="1"/>
  <c r="Z2366" i="1" s="1"/>
  <c r="Z2367" i="1" s="1"/>
  <c r="Z2368" i="1" s="1"/>
  <c r="Z2369" i="1" s="1"/>
  <c r="Z2370" i="1" s="1"/>
  <c r="Z2371" i="1" s="1"/>
  <c r="Z2372" i="1" s="1"/>
  <c r="Z2373" i="1" s="1"/>
  <c r="Z2374" i="1" s="1"/>
  <c r="Z2375" i="1" s="1"/>
  <c r="Z2376" i="1" s="1"/>
  <c r="Z2377" i="1" s="1"/>
  <c r="Z2378" i="1" s="1"/>
  <c r="Z2379" i="1" s="1"/>
  <c r="Z2380" i="1" s="1"/>
  <c r="Z2381" i="1" s="1"/>
  <c r="Z2382" i="1" s="1"/>
  <c r="Z2383" i="1" s="1"/>
  <c r="Z2384" i="1" s="1"/>
  <c r="Z2385" i="1" s="1"/>
  <c r="Z2386" i="1" s="1"/>
  <c r="Z2387" i="1" s="1"/>
  <c r="Z2388" i="1" s="1"/>
  <c r="Z2389" i="1" s="1"/>
  <c r="Z2390" i="1" s="1"/>
  <c r="Z2391" i="1" s="1"/>
  <c r="Z2392" i="1" s="1"/>
  <c r="Z2393" i="1" s="1"/>
  <c r="Z2394" i="1" s="1"/>
  <c r="Z2395" i="1" s="1"/>
  <c r="Z2396" i="1" s="1"/>
  <c r="Z2397" i="1" s="1"/>
  <c r="Z2398" i="1" s="1"/>
  <c r="Z2399" i="1" s="1"/>
  <c r="Z2400" i="1" s="1"/>
  <c r="Z2401" i="1" s="1"/>
  <c r="Z2402" i="1" s="1"/>
  <c r="Z2403" i="1" s="1"/>
  <c r="Z2404" i="1" s="1"/>
  <c r="Z2405" i="1" s="1"/>
  <c r="Z2406" i="1" s="1"/>
  <c r="Z2407" i="1" s="1"/>
  <c r="Z2408" i="1" s="1"/>
  <c r="Z2409" i="1" s="1"/>
  <c r="Z2410" i="1" s="1"/>
  <c r="Z2411" i="1" s="1"/>
  <c r="Z2412" i="1" s="1"/>
  <c r="Z2413" i="1" s="1"/>
  <c r="Z2414" i="1" s="1"/>
  <c r="Z2415" i="1" s="1"/>
  <c r="Z2416" i="1" s="1"/>
  <c r="Z2417" i="1" s="1"/>
  <c r="Z2418" i="1" s="1"/>
  <c r="Z2419" i="1" s="1"/>
  <c r="Z2420" i="1" s="1"/>
  <c r="Z2421" i="1" s="1"/>
  <c r="Z2422" i="1" s="1"/>
  <c r="Z2423" i="1" s="1"/>
  <c r="Z2424" i="1" s="1"/>
  <c r="Z2425" i="1" s="1"/>
  <c r="Z2426" i="1" s="1"/>
  <c r="Z2427" i="1" s="1"/>
  <c r="Z2428" i="1" s="1"/>
  <c r="Z2429" i="1" s="1"/>
  <c r="Z2430" i="1" s="1"/>
  <c r="Z2431" i="1" s="1"/>
  <c r="Z2432" i="1" s="1"/>
  <c r="Z2433" i="1" s="1"/>
  <c r="Z2434" i="1" s="1"/>
  <c r="Z2435" i="1" s="1"/>
  <c r="Z2436" i="1" s="1"/>
  <c r="Z2437" i="1" s="1"/>
  <c r="Z2438" i="1" s="1"/>
  <c r="Z2439" i="1" s="1"/>
  <c r="Z2440" i="1" s="1"/>
  <c r="Z2441" i="1" s="1"/>
  <c r="Z2442" i="1" s="1"/>
  <c r="Z2443" i="1" s="1"/>
  <c r="Z2444" i="1" s="1"/>
  <c r="Z2445" i="1" s="1"/>
  <c r="Z2446" i="1" s="1"/>
  <c r="Z2447" i="1" s="1"/>
  <c r="Z2448" i="1" s="1"/>
  <c r="Z2449" i="1" s="1"/>
  <c r="Z2450" i="1" s="1"/>
  <c r="Z2451" i="1" s="1"/>
  <c r="Z2452" i="1" s="1"/>
  <c r="Z2453" i="1" s="1"/>
  <c r="Z2454" i="1" s="1"/>
  <c r="Z2455" i="1" s="1"/>
  <c r="Z2456" i="1" s="1"/>
  <c r="Z2457" i="1" s="1"/>
  <c r="Z2458" i="1" s="1"/>
  <c r="Z2459" i="1" s="1"/>
  <c r="Z2460" i="1" s="1"/>
  <c r="Z2461" i="1" s="1"/>
  <c r="Z2462" i="1" s="1"/>
  <c r="Z2463" i="1" s="1"/>
  <c r="Z2464" i="1" s="1"/>
  <c r="Z2465" i="1" s="1"/>
  <c r="Z2466" i="1" s="1"/>
  <c r="Z2467" i="1" s="1"/>
  <c r="Z2468" i="1" s="1"/>
  <c r="Z2469" i="1" s="1"/>
  <c r="Z2470" i="1" s="1"/>
  <c r="Z2471" i="1" s="1"/>
  <c r="Z2472" i="1" s="1"/>
  <c r="Z2473" i="1" s="1"/>
  <c r="Z2474" i="1" s="1"/>
  <c r="Z2475" i="1" s="1"/>
  <c r="Z2476" i="1" s="1"/>
  <c r="Z2477" i="1" s="1"/>
  <c r="Z2478" i="1" s="1"/>
  <c r="Z2479" i="1" s="1"/>
  <c r="Z2480" i="1" s="1"/>
  <c r="Z2481" i="1" s="1"/>
  <c r="Z2482" i="1" s="1"/>
  <c r="Z2483" i="1" s="1"/>
  <c r="Z2484" i="1" s="1"/>
  <c r="Z2485" i="1" s="1"/>
  <c r="Z2486" i="1" s="1"/>
  <c r="Z2487" i="1" s="1"/>
  <c r="Z2488" i="1" s="1"/>
  <c r="Z2489" i="1" s="1"/>
  <c r="Z2490" i="1" s="1"/>
  <c r="Z2491" i="1" s="1"/>
  <c r="Z2492" i="1" s="1"/>
  <c r="Z2493" i="1" s="1"/>
  <c r="Z2494" i="1" s="1"/>
  <c r="Z2495" i="1" s="1"/>
  <c r="Z2496" i="1" s="1"/>
  <c r="Z2497" i="1" s="1"/>
  <c r="Z2498" i="1" s="1"/>
  <c r="Z2499" i="1" s="1"/>
  <c r="Z2500" i="1" s="1"/>
  <c r="Z2501" i="1" s="1"/>
  <c r="Z2502" i="1" s="1"/>
  <c r="Z2503" i="1" s="1"/>
  <c r="Z2504" i="1" s="1"/>
  <c r="Z2505" i="1" s="1"/>
  <c r="Z2506" i="1" s="1"/>
  <c r="Z2507" i="1" s="1"/>
  <c r="Z2508" i="1" s="1"/>
  <c r="Z2509" i="1" s="1"/>
  <c r="Z2510" i="1" s="1"/>
  <c r="Z2511" i="1" s="1"/>
  <c r="Z2512" i="1" s="1"/>
  <c r="Z2513" i="1" s="1"/>
  <c r="Z2514" i="1" s="1"/>
  <c r="Z2515" i="1" s="1"/>
  <c r="Z2516" i="1" s="1"/>
  <c r="Z2517" i="1" s="1"/>
  <c r="Z2518" i="1" s="1"/>
  <c r="Z2519" i="1" s="1"/>
  <c r="Z2520" i="1" s="1"/>
  <c r="Z2521" i="1" s="1"/>
  <c r="Z2522" i="1" s="1"/>
  <c r="Z2523" i="1" s="1"/>
  <c r="Z2524" i="1" s="1"/>
  <c r="Z2525" i="1" s="1"/>
  <c r="Z2526" i="1" s="1"/>
  <c r="Z2527" i="1" s="1"/>
  <c r="Z2528" i="1" s="1"/>
  <c r="Z2529" i="1" s="1"/>
  <c r="Z2530" i="1" s="1"/>
  <c r="Z2531" i="1" s="1"/>
  <c r="Z2532" i="1" s="1"/>
  <c r="Z2533" i="1" s="1"/>
  <c r="Z2534" i="1" s="1"/>
  <c r="Z2535" i="1" s="1"/>
  <c r="Z2536" i="1" s="1"/>
  <c r="Z2537" i="1" s="1"/>
  <c r="Z2538" i="1" s="1"/>
  <c r="Z2539" i="1" s="1"/>
  <c r="Z2540" i="1" s="1"/>
  <c r="Z2541" i="1" s="1"/>
  <c r="Z2542" i="1" s="1"/>
  <c r="Z2543" i="1" s="1"/>
  <c r="Z2544" i="1" s="1"/>
  <c r="Z2545" i="1" s="1"/>
  <c r="Z2546" i="1" s="1"/>
  <c r="Z2547" i="1" s="1"/>
  <c r="Z2548" i="1" s="1"/>
  <c r="Z2549" i="1" s="1"/>
  <c r="Z2550" i="1" s="1"/>
  <c r="Z2551" i="1" s="1"/>
  <c r="Z2552" i="1" s="1"/>
  <c r="Z2553" i="1" s="1"/>
  <c r="Z2554" i="1" s="1"/>
  <c r="Z2555" i="1" s="1"/>
  <c r="Z2556" i="1" s="1"/>
  <c r="Z2557" i="1" s="1"/>
  <c r="Z2558" i="1" s="1"/>
  <c r="Z2559" i="1" s="1"/>
  <c r="Z2560" i="1" s="1"/>
  <c r="Z2561" i="1" s="1"/>
  <c r="Z2562" i="1" s="1"/>
  <c r="Z2563" i="1" s="1"/>
  <c r="Z2564" i="1" s="1"/>
  <c r="Z2565" i="1" s="1"/>
  <c r="Z2566" i="1" s="1"/>
  <c r="Z2567" i="1" s="1"/>
  <c r="Z2568" i="1" s="1"/>
  <c r="Z2569" i="1" s="1"/>
  <c r="Z2570" i="1" s="1"/>
  <c r="Z2571" i="1" s="1"/>
  <c r="Z2572" i="1" s="1"/>
  <c r="Z2573" i="1" s="1"/>
  <c r="Z2574" i="1" s="1"/>
  <c r="Z2575" i="1" s="1"/>
  <c r="Z2576" i="1" s="1"/>
  <c r="Z2577" i="1" s="1"/>
  <c r="Z2578" i="1" s="1"/>
  <c r="Z2579" i="1" s="1"/>
  <c r="Z2580" i="1" s="1"/>
  <c r="Z2581" i="1" s="1"/>
  <c r="Z2582" i="1" s="1"/>
  <c r="Z2583" i="1" s="1"/>
  <c r="Z2584" i="1" s="1"/>
  <c r="Z2585" i="1" s="1"/>
  <c r="Z2586" i="1" s="1"/>
  <c r="Z2587" i="1" s="1"/>
  <c r="Z2588" i="1" s="1"/>
  <c r="Z2589" i="1" s="1"/>
  <c r="Z2590" i="1" s="1"/>
  <c r="Z2591" i="1" s="1"/>
  <c r="Z2592" i="1" s="1"/>
  <c r="Z2593" i="1" s="1"/>
  <c r="Z2594" i="1" s="1"/>
  <c r="Z2595" i="1" s="1"/>
  <c r="Z2596" i="1" s="1"/>
  <c r="Z2597" i="1" s="1"/>
  <c r="Z2598" i="1" s="1"/>
  <c r="Z2599" i="1" s="1"/>
  <c r="Z2600" i="1" s="1"/>
  <c r="Z2601" i="1" s="1"/>
  <c r="Z2602" i="1" s="1"/>
  <c r="Z2603" i="1" s="1"/>
  <c r="Z2604" i="1" s="1"/>
  <c r="Z2605" i="1" s="1"/>
  <c r="Z2606" i="1" s="1"/>
  <c r="Z2607" i="1" s="1"/>
  <c r="Z2608" i="1" s="1"/>
  <c r="Z2609" i="1" s="1"/>
  <c r="Z2610" i="1" s="1"/>
  <c r="Z2611" i="1" s="1"/>
  <c r="Z2612" i="1" s="1"/>
  <c r="Z2613" i="1" s="1"/>
  <c r="Z2614" i="1" s="1"/>
  <c r="Z2615" i="1" s="1"/>
  <c r="Z2616" i="1" s="1"/>
  <c r="Z2617" i="1" s="1"/>
  <c r="Z2618" i="1" s="1"/>
  <c r="Z2619" i="1" s="1"/>
  <c r="Z2620" i="1" s="1"/>
  <c r="Z2621" i="1" s="1"/>
  <c r="Z2622" i="1" s="1"/>
  <c r="Z2623" i="1" s="1"/>
  <c r="Z2624" i="1" s="1"/>
  <c r="Z2625" i="1" s="1"/>
  <c r="Z2626" i="1" s="1"/>
  <c r="Z2627" i="1" s="1"/>
  <c r="Z2628" i="1" s="1"/>
  <c r="Z2629" i="1" s="1"/>
  <c r="Z2630" i="1" s="1"/>
  <c r="Z2631" i="1" s="1"/>
  <c r="Z2632" i="1" s="1"/>
  <c r="Z2633" i="1" s="1"/>
  <c r="Z2634" i="1" s="1"/>
  <c r="Z2635" i="1" s="1"/>
  <c r="Z2636" i="1" s="1"/>
  <c r="Z2637" i="1" s="1"/>
  <c r="Z2638" i="1" s="1"/>
  <c r="Z2639" i="1" s="1"/>
  <c r="Z2640" i="1" s="1"/>
  <c r="Z2641" i="1" s="1"/>
  <c r="Z2642" i="1" s="1"/>
  <c r="Z2643" i="1" s="1"/>
  <c r="Z2644" i="1" s="1"/>
  <c r="Z2645" i="1" s="1"/>
  <c r="Z2646" i="1" s="1"/>
  <c r="Z2647" i="1" s="1"/>
  <c r="Z2648" i="1" s="1"/>
  <c r="Z2649" i="1" s="1"/>
  <c r="Z2650" i="1" s="1"/>
  <c r="Z2651" i="1" s="1"/>
  <c r="Z2652" i="1" s="1"/>
  <c r="Z2653" i="1" s="1"/>
  <c r="Z2654" i="1" s="1"/>
  <c r="Z2655" i="1" s="1"/>
  <c r="Z2656" i="1" s="1"/>
  <c r="Z2657" i="1" s="1"/>
  <c r="Z2658" i="1" s="1"/>
  <c r="Z2659" i="1" s="1"/>
  <c r="Z2660" i="1" s="1"/>
  <c r="Z2661" i="1" s="1"/>
  <c r="Z2662" i="1" s="1"/>
  <c r="Z2663" i="1" s="1"/>
  <c r="Z2664" i="1" s="1"/>
  <c r="Z2665" i="1" s="1"/>
  <c r="Z2666" i="1" s="1"/>
  <c r="Z2667" i="1" s="1"/>
  <c r="Z2668" i="1" s="1"/>
  <c r="Z2669" i="1" s="1"/>
  <c r="Z2670" i="1" s="1"/>
  <c r="Z2671" i="1" s="1"/>
  <c r="Z2672" i="1" s="1"/>
  <c r="Z2673" i="1" s="1"/>
  <c r="Z2674" i="1" s="1"/>
  <c r="Z2675" i="1" s="1"/>
  <c r="Z2676" i="1" s="1"/>
  <c r="Z2677" i="1" s="1"/>
  <c r="Z2678" i="1" s="1"/>
  <c r="Z2679" i="1" s="1"/>
  <c r="Z2680" i="1" s="1"/>
  <c r="Z2681" i="1" s="1"/>
  <c r="Z2682" i="1" s="1"/>
  <c r="Z2683" i="1" s="1"/>
  <c r="Z2684" i="1" s="1"/>
  <c r="Z2685" i="1" s="1"/>
  <c r="Z2686" i="1" s="1"/>
  <c r="Z2687" i="1" s="1"/>
  <c r="Z2688" i="1" s="1"/>
  <c r="Z2689" i="1" s="1"/>
  <c r="Z2690" i="1" s="1"/>
  <c r="Z2691" i="1" s="1"/>
  <c r="Z2692" i="1" s="1"/>
  <c r="Z2693" i="1" s="1"/>
  <c r="Z2694" i="1" s="1"/>
  <c r="Z2695" i="1" s="1"/>
  <c r="Z2696" i="1" s="1"/>
  <c r="Z2697" i="1" s="1"/>
  <c r="Z2698" i="1" s="1"/>
  <c r="Z2699" i="1" s="1"/>
  <c r="Z2700" i="1" s="1"/>
  <c r="Z2701" i="1" s="1"/>
  <c r="Z2702" i="1" s="1"/>
  <c r="Z2703" i="1" s="1"/>
  <c r="Z2704" i="1" s="1"/>
  <c r="Z2705" i="1" s="1"/>
  <c r="Z2706" i="1" s="1"/>
  <c r="Z2707" i="1" s="1"/>
  <c r="Z2708" i="1" s="1"/>
  <c r="Z2709" i="1" s="1"/>
  <c r="Z2710" i="1" s="1"/>
  <c r="Z2711" i="1" s="1"/>
  <c r="Z2712" i="1" s="1"/>
  <c r="Z2713" i="1" s="1"/>
  <c r="Z2714" i="1" s="1"/>
  <c r="Z2715" i="1" s="1"/>
  <c r="Z2716" i="1" s="1"/>
  <c r="Z2717" i="1" s="1"/>
  <c r="Z2718" i="1" s="1"/>
  <c r="Z2719" i="1" s="1"/>
  <c r="Z2720" i="1" s="1"/>
  <c r="Z2721" i="1" s="1"/>
  <c r="Z2722" i="1" s="1"/>
  <c r="Z2723" i="1" s="1"/>
  <c r="Z2724" i="1" s="1"/>
  <c r="Z2725" i="1" s="1"/>
  <c r="Z2726" i="1" s="1"/>
  <c r="Z2727" i="1" s="1"/>
  <c r="Z2728" i="1" s="1"/>
  <c r="Z2729" i="1" s="1"/>
  <c r="Z2730" i="1" s="1"/>
  <c r="Z2731" i="1" s="1"/>
  <c r="Z2732" i="1" s="1"/>
  <c r="Z2733" i="1" s="1"/>
  <c r="Z2734" i="1" s="1"/>
  <c r="Z2735" i="1" s="1"/>
  <c r="Z2736" i="1" s="1"/>
  <c r="Z2737" i="1" s="1"/>
  <c r="Z2738" i="1" s="1"/>
  <c r="Z2739" i="1" s="1"/>
  <c r="Z2740" i="1" s="1"/>
  <c r="Z2741" i="1" s="1"/>
  <c r="Z2742" i="1" s="1"/>
  <c r="Z2743" i="1" s="1"/>
  <c r="Z2744" i="1" s="1"/>
  <c r="Z2745" i="1" s="1"/>
  <c r="Z2746" i="1" s="1"/>
  <c r="Z2747" i="1" s="1"/>
  <c r="Z2748" i="1" s="1"/>
  <c r="Z2749" i="1" s="1"/>
  <c r="Z2750" i="1" s="1"/>
  <c r="Z2751" i="1" s="1"/>
  <c r="Z2752" i="1" s="1"/>
  <c r="Z2753" i="1" s="1"/>
  <c r="Z2754" i="1" s="1"/>
  <c r="Z2755" i="1" s="1"/>
  <c r="Z2756" i="1" s="1"/>
  <c r="Z2757" i="1" s="1"/>
  <c r="Z2758" i="1" s="1"/>
  <c r="Z2759" i="1" s="1"/>
  <c r="Z2760" i="1" s="1"/>
  <c r="Z2761" i="1" s="1"/>
  <c r="Z2762" i="1" s="1"/>
  <c r="Z2763" i="1" s="1"/>
  <c r="Z2764" i="1" s="1"/>
  <c r="Z2765" i="1" s="1"/>
  <c r="Z2766" i="1" s="1"/>
  <c r="Z2767" i="1" s="1"/>
  <c r="Z2768" i="1" s="1"/>
  <c r="Z2769" i="1" s="1"/>
  <c r="Z2770" i="1" s="1"/>
  <c r="Z2771" i="1" s="1"/>
  <c r="Z2772" i="1" s="1"/>
  <c r="Z2773" i="1" s="1"/>
  <c r="Z2774" i="1" s="1"/>
  <c r="Z2775" i="1" s="1"/>
  <c r="Z2776" i="1" s="1"/>
  <c r="Z2777" i="1" s="1"/>
  <c r="Z2778" i="1" s="1"/>
  <c r="Z2779" i="1" s="1"/>
  <c r="Z2780" i="1" s="1"/>
  <c r="Z2781" i="1" s="1"/>
  <c r="Z2782" i="1" s="1"/>
  <c r="Z2783" i="1" s="1"/>
  <c r="Z2784" i="1" s="1"/>
  <c r="Z2785" i="1" s="1"/>
  <c r="Z2786" i="1" s="1"/>
  <c r="Z2787" i="1" s="1"/>
  <c r="Z2788" i="1" s="1"/>
  <c r="Z2789" i="1" s="1"/>
  <c r="Z2790" i="1" s="1"/>
  <c r="Z2791" i="1" s="1"/>
  <c r="Z2792" i="1" s="1"/>
  <c r="Z2793" i="1" s="1"/>
  <c r="Z2794" i="1" s="1"/>
  <c r="Z2795" i="1" s="1"/>
  <c r="Z2796" i="1" s="1"/>
  <c r="Z2797" i="1" s="1"/>
  <c r="Z2798" i="1" s="1"/>
  <c r="Z2799" i="1" s="1"/>
  <c r="Z2800" i="1" s="1"/>
  <c r="Z2801" i="1" s="1"/>
  <c r="Z2802" i="1" s="1"/>
  <c r="Z2803" i="1" s="1"/>
  <c r="Z2804" i="1" s="1"/>
  <c r="Z2805" i="1" s="1"/>
  <c r="Z2806" i="1" s="1"/>
  <c r="Z2807" i="1" s="1"/>
  <c r="Z2808" i="1" s="1"/>
  <c r="Z2809" i="1" s="1"/>
  <c r="Z2810" i="1" s="1"/>
  <c r="Z2811" i="1" s="1"/>
  <c r="Z2812" i="1" s="1"/>
  <c r="Z2813" i="1" s="1"/>
  <c r="Z2814" i="1" s="1"/>
  <c r="Z2815" i="1" s="1"/>
  <c r="Z2816" i="1" s="1"/>
  <c r="Z2817" i="1" s="1"/>
  <c r="Z2818" i="1" s="1"/>
  <c r="Z2819" i="1" s="1"/>
  <c r="Z2820" i="1" s="1"/>
  <c r="Z2821" i="1" s="1"/>
  <c r="Z2822" i="1" s="1"/>
  <c r="Z2823" i="1" s="1"/>
  <c r="Z2824" i="1" s="1"/>
  <c r="Z2825" i="1" s="1"/>
  <c r="Z2826" i="1" s="1"/>
  <c r="Z2827" i="1" s="1"/>
  <c r="Z2828" i="1" s="1"/>
  <c r="Z2829" i="1" s="1"/>
  <c r="Z2830" i="1" s="1"/>
  <c r="Z2831" i="1" s="1"/>
  <c r="Z2832" i="1" s="1"/>
  <c r="Z2833" i="1" s="1"/>
  <c r="Z2834" i="1" s="1"/>
  <c r="Z2835" i="1" s="1"/>
  <c r="Z2836" i="1" s="1"/>
  <c r="Z2837" i="1" s="1"/>
  <c r="Z2838" i="1" s="1"/>
  <c r="Z2839" i="1" s="1"/>
  <c r="Z2840" i="1" s="1"/>
  <c r="Z2841" i="1" s="1"/>
  <c r="Z2842" i="1" s="1"/>
  <c r="Z2843" i="1" s="1"/>
  <c r="Z2844" i="1" s="1"/>
  <c r="Z2845" i="1" s="1"/>
  <c r="Z2846" i="1" s="1"/>
  <c r="Z2847" i="1" s="1"/>
  <c r="Z2848" i="1" s="1"/>
  <c r="Z2849" i="1" s="1"/>
  <c r="Z2850" i="1" s="1"/>
  <c r="Z2851" i="1" s="1"/>
  <c r="Z2852" i="1" s="1"/>
  <c r="Z2853" i="1" s="1"/>
  <c r="Z2854" i="1" s="1"/>
  <c r="Z2855" i="1" s="1"/>
  <c r="Z2856" i="1" s="1"/>
  <c r="Z2857" i="1" s="1"/>
  <c r="Z2858" i="1" s="1"/>
  <c r="Z2859" i="1" s="1"/>
  <c r="Z2860" i="1" s="1"/>
  <c r="Z2861" i="1" s="1"/>
  <c r="Z2862" i="1" s="1"/>
  <c r="Z2863" i="1" s="1"/>
  <c r="Z2864" i="1" s="1"/>
  <c r="Z2865" i="1" s="1"/>
  <c r="Z2866" i="1" s="1"/>
  <c r="Z2867" i="1" s="1"/>
  <c r="Z2868" i="1" s="1"/>
  <c r="Z2869" i="1" s="1"/>
  <c r="Z2870" i="1" s="1"/>
  <c r="Z2871" i="1" s="1"/>
  <c r="Z2872" i="1" s="1"/>
  <c r="Z2873" i="1" s="1"/>
  <c r="Z2874" i="1" s="1"/>
  <c r="Z2875" i="1" s="1"/>
  <c r="Z2876" i="1" s="1"/>
  <c r="Z2877" i="1" s="1"/>
  <c r="Z2878" i="1" s="1"/>
  <c r="Z2879" i="1" s="1"/>
  <c r="Z2880" i="1" s="1"/>
  <c r="Z2881" i="1" s="1"/>
  <c r="Z2882" i="1" s="1"/>
  <c r="Z2883" i="1" s="1"/>
  <c r="Z2884" i="1" s="1"/>
  <c r="Z2885" i="1" s="1"/>
  <c r="Z2886" i="1" s="1"/>
  <c r="Z2887" i="1" s="1"/>
  <c r="Z2888" i="1" s="1"/>
  <c r="Z2889" i="1" s="1"/>
  <c r="Z2890" i="1" s="1"/>
  <c r="Z2891" i="1" s="1"/>
  <c r="Z2892" i="1" s="1"/>
  <c r="Z2893" i="1" s="1"/>
  <c r="Z2894" i="1" s="1"/>
  <c r="Z2895" i="1" s="1"/>
  <c r="Z2896" i="1" s="1"/>
  <c r="Z2897" i="1" s="1"/>
  <c r="Z2898" i="1" s="1"/>
  <c r="Z2899" i="1" s="1"/>
  <c r="Z2900" i="1" s="1"/>
  <c r="Z2901" i="1" s="1"/>
  <c r="Z2902" i="1" s="1"/>
  <c r="Z2903" i="1" s="1"/>
  <c r="Z2904" i="1" s="1"/>
  <c r="Z2905" i="1" s="1"/>
  <c r="Z2906" i="1" s="1"/>
  <c r="Z2907" i="1" s="1"/>
  <c r="Z2908" i="1" s="1"/>
  <c r="Z2909" i="1" s="1"/>
  <c r="Z2910" i="1" s="1"/>
  <c r="Z2911" i="1" s="1"/>
  <c r="Z2912" i="1" s="1"/>
  <c r="Z2913" i="1" s="1"/>
  <c r="Z2914" i="1" s="1"/>
  <c r="Z2915" i="1" s="1"/>
  <c r="Z2916" i="1" s="1"/>
  <c r="Z2917" i="1" s="1"/>
  <c r="Z2918" i="1" s="1"/>
  <c r="Z2919" i="1" s="1"/>
  <c r="Z2920" i="1" s="1"/>
  <c r="Z2921" i="1" s="1"/>
  <c r="Z2922" i="1" s="1"/>
  <c r="Z2923" i="1" s="1"/>
  <c r="Z2924" i="1" s="1"/>
  <c r="Z2925" i="1" s="1"/>
  <c r="Z2926" i="1" s="1"/>
  <c r="Z2927" i="1" s="1"/>
  <c r="Z2928" i="1" s="1"/>
  <c r="Z2929" i="1" s="1"/>
  <c r="Z2930" i="1" s="1"/>
  <c r="Z2931" i="1" s="1"/>
  <c r="Z2932" i="1" s="1"/>
  <c r="Z2933" i="1" s="1"/>
  <c r="Z2934" i="1" s="1"/>
  <c r="Z2935" i="1" s="1"/>
  <c r="Z2936" i="1" s="1"/>
  <c r="Z2937" i="1" s="1"/>
  <c r="Z2938" i="1" s="1"/>
  <c r="Z2939" i="1" s="1"/>
  <c r="Z2940" i="1" s="1"/>
  <c r="Z2941" i="1" s="1"/>
  <c r="Z2942" i="1" s="1"/>
  <c r="Z2943" i="1" s="1"/>
  <c r="Z2944" i="1" s="1"/>
  <c r="Z2945" i="1" s="1"/>
  <c r="Z2946" i="1" s="1"/>
  <c r="Z2947" i="1" s="1"/>
  <c r="Z2948" i="1" s="1"/>
  <c r="Z2949" i="1" s="1"/>
  <c r="Z2950" i="1" s="1"/>
  <c r="Z2951" i="1" s="1"/>
  <c r="Z2952" i="1" s="1"/>
  <c r="Z2953" i="1" s="1"/>
  <c r="Z2954" i="1" s="1"/>
  <c r="Z2955" i="1" s="1"/>
  <c r="Z2956" i="1" s="1"/>
  <c r="Z2957" i="1" s="1"/>
  <c r="Z2958" i="1" s="1"/>
  <c r="Z2959" i="1" s="1"/>
  <c r="Z2960" i="1" s="1"/>
  <c r="Z2961" i="1" s="1"/>
  <c r="Z2962" i="1" s="1"/>
  <c r="Z2963" i="1" s="1"/>
  <c r="Z2964" i="1" s="1"/>
  <c r="Z2965" i="1" s="1"/>
  <c r="Z2966" i="1" s="1"/>
  <c r="Z2967" i="1" s="1"/>
  <c r="Z2968" i="1" s="1"/>
  <c r="Z2969" i="1" s="1"/>
  <c r="Z2970" i="1" s="1"/>
  <c r="Z2971" i="1" s="1"/>
  <c r="Z2972" i="1" s="1"/>
  <c r="Z2973" i="1" s="1"/>
  <c r="Z2974" i="1" s="1"/>
  <c r="Z2975" i="1" s="1"/>
  <c r="Z2976" i="1" s="1"/>
  <c r="Z2977" i="1" s="1"/>
  <c r="Z2978" i="1" s="1"/>
  <c r="Z2979" i="1" s="1"/>
  <c r="Z2980" i="1" s="1"/>
  <c r="Z2981" i="1" s="1"/>
  <c r="Z2982" i="1" s="1"/>
  <c r="Z2983" i="1" s="1"/>
  <c r="Z2984" i="1" s="1"/>
  <c r="Z2985" i="1" s="1"/>
  <c r="Z2986" i="1" s="1"/>
  <c r="Z2987" i="1" s="1"/>
  <c r="Z2988" i="1" s="1"/>
  <c r="Z2989" i="1" s="1"/>
  <c r="Z2990" i="1" s="1"/>
  <c r="Z2991" i="1" s="1"/>
  <c r="Z2992" i="1" s="1"/>
  <c r="Z2993" i="1" s="1"/>
  <c r="Z2994" i="1" s="1"/>
  <c r="Z2995" i="1" s="1"/>
  <c r="Z2996" i="1" s="1"/>
  <c r="Z2997" i="1" s="1"/>
  <c r="Z2998" i="1" s="1"/>
  <c r="Z2999" i="1" s="1"/>
  <c r="Z3000" i="1" s="1"/>
  <c r="Z3001" i="1" s="1"/>
  <c r="Z3002" i="1" s="1"/>
  <c r="Z3003" i="1" s="1"/>
  <c r="Z3004" i="1" s="1"/>
  <c r="Z3005" i="1" s="1"/>
  <c r="Z3006" i="1" s="1"/>
  <c r="Z3007" i="1" s="1"/>
  <c r="Z3008" i="1" s="1"/>
  <c r="Z3009" i="1" s="1"/>
  <c r="Z3010" i="1" s="1"/>
  <c r="Z3011" i="1" s="1"/>
  <c r="Z3012" i="1" s="1"/>
  <c r="Z3013" i="1" s="1"/>
  <c r="Z3014" i="1" s="1"/>
  <c r="Z3015" i="1" s="1"/>
  <c r="Z3016" i="1" s="1"/>
  <c r="Z3017" i="1" s="1"/>
  <c r="Z3018" i="1" s="1"/>
  <c r="Z3019" i="1" s="1"/>
  <c r="Z3020" i="1" s="1"/>
  <c r="Z3021" i="1" s="1"/>
  <c r="Z3022" i="1" s="1"/>
  <c r="Z3023" i="1" s="1"/>
  <c r="Z3024" i="1" s="1"/>
  <c r="Z3025" i="1" s="1"/>
  <c r="Z3026" i="1" s="1"/>
  <c r="Z3027" i="1" s="1"/>
  <c r="Z3028" i="1" s="1"/>
  <c r="Z3029" i="1" s="1"/>
  <c r="Z3030" i="1" s="1"/>
  <c r="Z3031" i="1" s="1"/>
  <c r="Z3032" i="1" s="1"/>
  <c r="Z3033" i="1" s="1"/>
  <c r="Z3034" i="1" s="1"/>
  <c r="Z3035" i="1" s="1"/>
  <c r="Z3036" i="1" s="1"/>
  <c r="Z3037" i="1" s="1"/>
  <c r="Z3038" i="1" s="1"/>
  <c r="Z3039" i="1" s="1"/>
  <c r="Z3040" i="1" s="1"/>
  <c r="Z3041" i="1" s="1"/>
  <c r="Z3042" i="1" s="1"/>
  <c r="Z3043" i="1" s="1"/>
  <c r="Z3044" i="1" s="1"/>
  <c r="Z3045" i="1" s="1"/>
  <c r="Z3046" i="1" s="1"/>
  <c r="Z3047" i="1" s="1"/>
  <c r="Z3048" i="1" s="1"/>
  <c r="Z3049" i="1" s="1"/>
  <c r="Z3050" i="1" s="1"/>
  <c r="Z3051" i="1" s="1"/>
  <c r="Z3052" i="1" s="1"/>
  <c r="Z3053" i="1" s="1"/>
  <c r="Z3054" i="1" s="1"/>
  <c r="Z3055" i="1" s="1"/>
  <c r="Z3056" i="1" s="1"/>
  <c r="Z3057" i="1" s="1"/>
  <c r="Z3058" i="1" s="1"/>
  <c r="Z3059" i="1" s="1"/>
  <c r="Z3060" i="1" s="1"/>
  <c r="Z3061" i="1" s="1"/>
  <c r="Z3062" i="1" s="1"/>
  <c r="Z3063" i="1" s="1"/>
  <c r="Z3064" i="1" s="1"/>
  <c r="Z3065" i="1" s="1"/>
  <c r="Z3066" i="1" s="1"/>
  <c r="Z3067" i="1" s="1"/>
  <c r="Z3068" i="1" s="1"/>
  <c r="Z3069" i="1" s="1"/>
  <c r="Z3070" i="1" s="1"/>
  <c r="Z3071" i="1" s="1"/>
  <c r="Z3072" i="1" s="1"/>
  <c r="Z3073" i="1" s="1"/>
  <c r="Z3074" i="1" s="1"/>
  <c r="Z3075" i="1" s="1"/>
  <c r="Z3076" i="1" s="1"/>
  <c r="Z3077" i="1" s="1"/>
  <c r="Z3078" i="1" s="1"/>
  <c r="Z3079" i="1" s="1"/>
  <c r="Z3080" i="1" s="1"/>
  <c r="Z3081" i="1" s="1"/>
  <c r="Z3082" i="1" s="1"/>
  <c r="Z3083" i="1" s="1"/>
  <c r="Z3084" i="1" s="1"/>
  <c r="Z3085" i="1" s="1"/>
  <c r="Z3086" i="1" s="1"/>
  <c r="Z3087" i="1" s="1"/>
  <c r="Z3088" i="1" s="1"/>
  <c r="Z3089" i="1" s="1"/>
  <c r="Z3090" i="1" s="1"/>
  <c r="Z3091" i="1" s="1"/>
  <c r="Z3092" i="1" s="1"/>
  <c r="Z3093" i="1" s="1"/>
  <c r="Z3094" i="1" s="1"/>
  <c r="Z3095" i="1" s="1"/>
  <c r="Z3096" i="1" s="1"/>
  <c r="Z3097" i="1" s="1"/>
  <c r="Z3098" i="1" s="1"/>
  <c r="Z3099" i="1" s="1"/>
  <c r="Z3100" i="1" s="1"/>
  <c r="Z3101" i="1" s="1"/>
  <c r="Z3102" i="1" s="1"/>
  <c r="Z3103" i="1" s="1"/>
  <c r="Z3104" i="1" s="1"/>
  <c r="Z3105" i="1" s="1"/>
  <c r="Z3106" i="1" s="1"/>
  <c r="Z3107" i="1" s="1"/>
  <c r="Z3108" i="1" s="1"/>
  <c r="Z3109" i="1" s="1"/>
  <c r="Z3110" i="1" s="1"/>
  <c r="Z3111" i="1" s="1"/>
  <c r="Z3112" i="1" s="1"/>
  <c r="Z3113" i="1" s="1"/>
  <c r="Z3114" i="1" s="1"/>
  <c r="Z3115" i="1" s="1"/>
  <c r="Z3116" i="1" s="1"/>
  <c r="Z3117" i="1" s="1"/>
  <c r="Z3118" i="1" s="1"/>
  <c r="Z3119" i="1" s="1"/>
  <c r="Z3120" i="1" s="1"/>
  <c r="Z3121" i="1" s="1"/>
  <c r="Z3122" i="1" s="1"/>
  <c r="Z3123" i="1" s="1"/>
  <c r="Z3124" i="1" s="1"/>
  <c r="Z3125" i="1" s="1"/>
  <c r="Z3126" i="1" s="1"/>
  <c r="Z3127" i="1" s="1"/>
  <c r="Z3128" i="1" s="1"/>
  <c r="Z3129" i="1" s="1"/>
  <c r="Z3130" i="1" s="1"/>
  <c r="Z3131" i="1" s="1"/>
  <c r="Z3132" i="1" s="1"/>
  <c r="Z3133" i="1" s="1"/>
  <c r="Z3134" i="1" s="1"/>
  <c r="Z3135" i="1" s="1"/>
  <c r="Z3136" i="1" s="1"/>
  <c r="Z3137" i="1" s="1"/>
  <c r="Z3138" i="1" s="1"/>
  <c r="Z3139" i="1" s="1"/>
  <c r="Z3140" i="1" s="1"/>
  <c r="Z3141" i="1" s="1"/>
  <c r="Z3142" i="1" s="1"/>
  <c r="Z3143" i="1" s="1"/>
  <c r="Z3144" i="1" s="1"/>
  <c r="Z3145" i="1" s="1"/>
  <c r="Z3146" i="1" s="1"/>
  <c r="Z3147" i="1" s="1"/>
  <c r="Z3148" i="1" s="1"/>
  <c r="Z3149" i="1" s="1"/>
  <c r="Z3150" i="1" s="1"/>
  <c r="Z3151" i="1" s="1"/>
  <c r="Z3152" i="1" s="1"/>
  <c r="Z3153" i="1" s="1"/>
  <c r="Z3154" i="1" s="1"/>
  <c r="Z3155" i="1" s="1"/>
  <c r="Z3156" i="1" s="1"/>
  <c r="Z3157" i="1" s="1"/>
  <c r="Z3158" i="1" s="1"/>
  <c r="Z3159" i="1" s="1"/>
  <c r="Z3160" i="1" s="1"/>
  <c r="Z3161" i="1" s="1"/>
  <c r="Z3162" i="1" s="1"/>
  <c r="Z3163" i="1" s="1"/>
  <c r="Z3164" i="1" s="1"/>
  <c r="Z3165" i="1" s="1"/>
  <c r="Z3166" i="1" s="1"/>
  <c r="Z3167" i="1" s="1"/>
  <c r="Z3168" i="1" s="1"/>
  <c r="Z3169" i="1" s="1"/>
  <c r="Z3170" i="1" s="1"/>
  <c r="Z3171" i="1" s="1"/>
  <c r="Z3172" i="1" s="1"/>
  <c r="Z3173" i="1" s="1"/>
  <c r="Z3174" i="1" s="1"/>
  <c r="Z3175" i="1" s="1"/>
  <c r="Z3176" i="1" s="1"/>
  <c r="Z3177" i="1" s="1"/>
  <c r="Z3178" i="1" s="1"/>
  <c r="Z3179" i="1" s="1"/>
  <c r="Z3180" i="1" s="1"/>
  <c r="Z3181" i="1" s="1"/>
  <c r="Z3182" i="1" s="1"/>
  <c r="Z3183" i="1" s="1"/>
  <c r="Z3184" i="1" s="1"/>
  <c r="Z3185" i="1" s="1"/>
  <c r="Z3186" i="1" s="1"/>
  <c r="Z3187" i="1" s="1"/>
  <c r="Z3188" i="1" s="1"/>
  <c r="Z3189" i="1" s="1"/>
  <c r="Z3190" i="1" s="1"/>
  <c r="Z3191" i="1" s="1"/>
  <c r="Z3192" i="1" s="1"/>
  <c r="Z3193" i="1" s="1"/>
  <c r="Z3194" i="1" s="1"/>
  <c r="Z3195" i="1" s="1"/>
  <c r="Z3196" i="1" s="1"/>
  <c r="Z3197" i="1" s="1"/>
  <c r="Z3198" i="1" s="1"/>
  <c r="Z3199" i="1" s="1"/>
  <c r="Z3200" i="1" s="1"/>
  <c r="Z3201" i="1" s="1"/>
  <c r="Z3202" i="1" s="1"/>
  <c r="Z3203" i="1" s="1"/>
  <c r="Z3204" i="1" s="1"/>
  <c r="Z3205" i="1" s="1"/>
  <c r="Z3206" i="1" s="1"/>
  <c r="Z3207" i="1" s="1"/>
  <c r="Z3208" i="1" s="1"/>
  <c r="Z3209" i="1" s="1"/>
  <c r="Z3210" i="1" s="1"/>
  <c r="Z3211" i="1" s="1"/>
  <c r="Z3212" i="1" s="1"/>
  <c r="Z3213" i="1" s="1"/>
  <c r="Z3214" i="1" s="1"/>
  <c r="Z3215" i="1" s="1"/>
  <c r="Z3216" i="1" s="1"/>
  <c r="Z3217" i="1" s="1"/>
  <c r="Z3218" i="1" s="1"/>
  <c r="Z3219" i="1" s="1"/>
  <c r="Z3220" i="1" s="1"/>
  <c r="Z3221" i="1" s="1"/>
  <c r="Z3222" i="1" s="1"/>
  <c r="Z3223" i="1" s="1"/>
  <c r="Z3224" i="1" s="1"/>
  <c r="Z3225" i="1" s="1"/>
  <c r="Z3226" i="1" s="1"/>
  <c r="Z3227" i="1" s="1"/>
  <c r="Z3228" i="1" s="1"/>
  <c r="Z3229" i="1" s="1"/>
  <c r="Z3230" i="1" s="1"/>
  <c r="Z3231" i="1" s="1"/>
  <c r="Z3232" i="1" s="1"/>
  <c r="Z3233" i="1" s="1"/>
  <c r="Z3234" i="1" s="1"/>
  <c r="Z3235" i="1" s="1"/>
  <c r="Z3236" i="1" s="1"/>
  <c r="Z3237" i="1" s="1"/>
  <c r="Z3238" i="1" s="1"/>
  <c r="Z3239" i="1" s="1"/>
  <c r="Z3240" i="1" s="1"/>
  <c r="Z3241" i="1" s="1"/>
  <c r="Z3242" i="1" s="1"/>
  <c r="Z3243" i="1" s="1"/>
  <c r="Z3244" i="1" s="1"/>
  <c r="Z3245" i="1" s="1"/>
  <c r="Z3246" i="1" s="1"/>
  <c r="Z3247" i="1" s="1"/>
  <c r="Z3248" i="1" s="1"/>
  <c r="Z3249" i="1" s="1"/>
  <c r="Z3250" i="1" s="1"/>
  <c r="Z3251" i="1" s="1"/>
  <c r="Z3252" i="1" s="1"/>
  <c r="Z3253" i="1" s="1"/>
  <c r="Z3254" i="1" s="1"/>
  <c r="Z3255" i="1" s="1"/>
  <c r="Z3256" i="1" s="1"/>
  <c r="Z3257" i="1" s="1"/>
  <c r="Z3258" i="1" s="1"/>
  <c r="Z3259" i="1" s="1"/>
  <c r="Z3260" i="1" s="1"/>
  <c r="Z3261" i="1" s="1"/>
  <c r="Z3262" i="1" s="1"/>
  <c r="Z3263" i="1" s="1"/>
  <c r="Z3264" i="1" s="1"/>
  <c r="Z3265" i="1" s="1"/>
  <c r="Z3266" i="1" s="1"/>
  <c r="Z3267" i="1" s="1"/>
  <c r="Z3268" i="1" s="1"/>
  <c r="Z3269" i="1" s="1"/>
  <c r="Z3270" i="1" s="1"/>
  <c r="Z3271" i="1" s="1"/>
  <c r="Z3272" i="1" s="1"/>
  <c r="Z3273" i="1" s="1"/>
  <c r="Z3274" i="1" s="1"/>
  <c r="Z3275" i="1" s="1"/>
  <c r="Z3276" i="1" s="1"/>
  <c r="Z3277" i="1" s="1"/>
  <c r="Z3278" i="1" s="1"/>
  <c r="Z3279" i="1" s="1"/>
  <c r="Z3280" i="1" s="1"/>
  <c r="Z3281" i="1" s="1"/>
  <c r="Z3282" i="1" s="1"/>
  <c r="Z3283" i="1" s="1"/>
  <c r="Z3284" i="1" s="1"/>
  <c r="Z3285" i="1" s="1"/>
  <c r="Z3286" i="1" s="1"/>
  <c r="Z3287" i="1" s="1"/>
  <c r="Z3288" i="1" s="1"/>
  <c r="Z3289" i="1" s="1"/>
  <c r="Z3290" i="1" s="1"/>
  <c r="Z3291" i="1" s="1"/>
  <c r="Z3292" i="1" s="1"/>
  <c r="Z3293" i="1" s="1"/>
  <c r="Z3294" i="1" s="1"/>
  <c r="Z3295" i="1" s="1"/>
  <c r="Z3296" i="1" s="1"/>
  <c r="Z3297" i="1" s="1"/>
  <c r="Z3298" i="1" s="1"/>
  <c r="Z3299" i="1" s="1"/>
  <c r="Z3300" i="1" s="1"/>
  <c r="Z3301" i="1" s="1"/>
  <c r="Z3302" i="1" s="1"/>
  <c r="Z3303" i="1" s="1"/>
  <c r="Z3304" i="1" s="1"/>
  <c r="Z3305" i="1" s="1"/>
  <c r="Z3306" i="1" s="1"/>
  <c r="Z3307" i="1" s="1"/>
  <c r="Z3308" i="1" s="1"/>
  <c r="Z3309" i="1" s="1"/>
  <c r="Z3310" i="1" s="1"/>
  <c r="Z3311" i="1" s="1"/>
  <c r="Z3312" i="1" s="1"/>
  <c r="Z3313" i="1" s="1"/>
  <c r="Z3314" i="1" s="1"/>
  <c r="Z3315" i="1" s="1"/>
  <c r="Z3316" i="1" s="1"/>
  <c r="Z3317" i="1" s="1"/>
  <c r="Z3318" i="1" s="1"/>
  <c r="Z3319" i="1" s="1"/>
  <c r="Z3320" i="1" s="1"/>
  <c r="Z3321" i="1" s="1"/>
  <c r="Z3322" i="1" s="1"/>
  <c r="Z3323" i="1" s="1"/>
  <c r="Z3324" i="1" s="1"/>
  <c r="Z3325" i="1" s="1"/>
  <c r="Z3326" i="1" s="1"/>
  <c r="Z3327" i="1" s="1"/>
  <c r="Z3328" i="1" s="1"/>
  <c r="Z3329" i="1" s="1"/>
  <c r="Z3330" i="1" s="1"/>
  <c r="Z3331" i="1" s="1"/>
  <c r="Z3332" i="1" s="1"/>
  <c r="Z3333" i="1" s="1"/>
  <c r="Z3334" i="1" s="1"/>
  <c r="Z3335" i="1" s="1"/>
  <c r="Z3336" i="1" s="1"/>
  <c r="Z3337" i="1" s="1"/>
  <c r="Z3338" i="1" s="1"/>
  <c r="Z3339" i="1" s="1"/>
  <c r="Z3340" i="1" s="1"/>
  <c r="Z3341" i="1" s="1"/>
  <c r="Z3342" i="1" s="1"/>
  <c r="Z3343" i="1" s="1"/>
  <c r="Z3344" i="1" s="1"/>
  <c r="Z3345" i="1" s="1"/>
  <c r="Z3346" i="1" s="1"/>
  <c r="Z3347" i="1" s="1"/>
  <c r="Z3348" i="1" s="1"/>
  <c r="Z3349" i="1" s="1"/>
  <c r="Z3350" i="1" s="1"/>
  <c r="Z3351" i="1" s="1"/>
  <c r="Z3352" i="1" s="1"/>
  <c r="Z3353" i="1" s="1"/>
  <c r="Z3354" i="1" s="1"/>
  <c r="Z3355" i="1" s="1"/>
  <c r="Z3356" i="1" s="1"/>
  <c r="Z3357" i="1" s="1"/>
  <c r="Z3358" i="1" s="1"/>
  <c r="Z3359" i="1" s="1"/>
  <c r="Z3360" i="1" s="1"/>
  <c r="Z3361" i="1" s="1"/>
  <c r="Z3362" i="1" s="1"/>
  <c r="Z3363" i="1" s="1"/>
  <c r="Z3364" i="1" s="1"/>
  <c r="Z3365" i="1" s="1"/>
  <c r="Z3366" i="1" s="1"/>
  <c r="Z3367" i="1" s="1"/>
  <c r="Z3368" i="1" s="1"/>
  <c r="Z3369" i="1" s="1"/>
  <c r="Z3370" i="1" s="1"/>
  <c r="Z3371" i="1" s="1"/>
  <c r="Z3372" i="1" s="1"/>
  <c r="Z3373" i="1" s="1"/>
  <c r="Z3374" i="1" s="1"/>
  <c r="Z3375" i="1" s="1"/>
  <c r="Z3376" i="1" s="1"/>
  <c r="Z3377" i="1" s="1"/>
  <c r="Z3378" i="1" s="1"/>
  <c r="Z3379" i="1" s="1"/>
  <c r="Z3380" i="1" s="1"/>
  <c r="Z3381" i="1" s="1"/>
  <c r="Z3382" i="1" s="1"/>
  <c r="Z3383" i="1" s="1"/>
  <c r="Z3384" i="1" s="1"/>
  <c r="Z3385" i="1" s="1"/>
  <c r="Z3386" i="1" s="1"/>
  <c r="Z3387" i="1" s="1"/>
  <c r="Z3388" i="1" s="1"/>
  <c r="Z3389" i="1" s="1"/>
  <c r="Z3390" i="1" s="1"/>
  <c r="Z3391" i="1" s="1"/>
  <c r="Z3392" i="1" s="1"/>
  <c r="Z3393" i="1" s="1"/>
  <c r="Z3394" i="1" s="1"/>
  <c r="Z3395" i="1" s="1"/>
  <c r="Z3396" i="1" s="1"/>
  <c r="Z3397" i="1" s="1"/>
  <c r="Z3398" i="1" s="1"/>
  <c r="Z3399" i="1" s="1"/>
  <c r="Z3400" i="1" s="1"/>
  <c r="Z3401" i="1" s="1"/>
  <c r="Z3402" i="1" s="1"/>
  <c r="Z3403" i="1" s="1"/>
  <c r="Z3404" i="1" s="1"/>
  <c r="Z3405" i="1" s="1"/>
  <c r="Z3406" i="1" s="1"/>
  <c r="Z3407" i="1" s="1"/>
  <c r="Z3408" i="1" s="1"/>
  <c r="Z3409" i="1" s="1"/>
  <c r="Z3410" i="1" s="1"/>
  <c r="Z3411" i="1" s="1"/>
  <c r="Z3412" i="1" s="1"/>
  <c r="Z3413" i="1" s="1"/>
  <c r="Z3414" i="1" s="1"/>
  <c r="Z3415" i="1" s="1"/>
  <c r="Z3416" i="1" s="1"/>
  <c r="Z3417" i="1" s="1"/>
  <c r="Z3418" i="1" s="1"/>
  <c r="Z3419" i="1" s="1"/>
  <c r="Z3420" i="1" s="1"/>
  <c r="Z3421" i="1" s="1"/>
  <c r="Z3422" i="1" s="1"/>
  <c r="Z3423" i="1" s="1"/>
  <c r="Z3424" i="1" s="1"/>
  <c r="Z3425" i="1" s="1"/>
  <c r="Z3426" i="1" s="1"/>
  <c r="Z3427" i="1" s="1"/>
  <c r="Z3428" i="1" s="1"/>
  <c r="Z3429" i="1" s="1"/>
  <c r="Z3430" i="1" s="1"/>
  <c r="Z3431" i="1" s="1"/>
  <c r="Z3432" i="1" s="1"/>
  <c r="Z3433" i="1" s="1"/>
  <c r="Z3434" i="1" s="1"/>
  <c r="Z3435" i="1" s="1"/>
  <c r="Z3436" i="1" s="1"/>
  <c r="Z3437" i="1" s="1"/>
  <c r="Z3438" i="1" s="1"/>
  <c r="Z3439" i="1" s="1"/>
  <c r="Z3440" i="1" s="1"/>
  <c r="Z3441" i="1" s="1"/>
  <c r="Z3442" i="1" s="1"/>
  <c r="Z3443" i="1" s="1"/>
  <c r="Z3444" i="1" s="1"/>
  <c r="Z3445" i="1" s="1"/>
  <c r="Z3446" i="1" s="1"/>
  <c r="Z3447" i="1" s="1"/>
  <c r="Z3448" i="1" s="1"/>
  <c r="Z3449" i="1" s="1"/>
  <c r="Z3450" i="1" s="1"/>
  <c r="Z3451" i="1" s="1"/>
  <c r="Z3452" i="1" s="1"/>
  <c r="Z3453" i="1" s="1"/>
  <c r="Z3454" i="1" s="1"/>
  <c r="Z3455" i="1" s="1"/>
  <c r="Z3456" i="1" s="1"/>
  <c r="Z3457" i="1" s="1"/>
  <c r="Z3458" i="1" s="1"/>
  <c r="Z3459" i="1" s="1"/>
  <c r="Z3460" i="1" s="1"/>
  <c r="Z3461" i="1" s="1"/>
  <c r="Z3462" i="1" s="1"/>
  <c r="Z3463" i="1" s="1"/>
  <c r="Z3464" i="1" s="1"/>
  <c r="Z3465" i="1" s="1"/>
  <c r="Z3466" i="1" s="1"/>
  <c r="Z3467" i="1" s="1"/>
  <c r="Z3468" i="1" s="1"/>
  <c r="Z3469" i="1" s="1"/>
  <c r="Z3470" i="1" s="1"/>
  <c r="Z3471" i="1" s="1"/>
  <c r="Z3472" i="1" s="1"/>
  <c r="Z3473" i="1" s="1"/>
  <c r="Z3474" i="1" s="1"/>
  <c r="Z3475" i="1" s="1"/>
  <c r="Z3476" i="1" s="1"/>
  <c r="Z3477" i="1" s="1"/>
  <c r="Z3478" i="1" s="1"/>
  <c r="Z3479" i="1" s="1"/>
  <c r="Z3480" i="1" s="1"/>
  <c r="Z3481" i="1" s="1"/>
  <c r="Z3482" i="1" s="1"/>
  <c r="Z3483" i="1" s="1"/>
  <c r="Z3484" i="1" s="1"/>
  <c r="Z3485" i="1" s="1"/>
  <c r="Z3486" i="1" s="1"/>
  <c r="Z3487" i="1" s="1"/>
  <c r="Z3488" i="1" s="1"/>
  <c r="Z3489" i="1" s="1"/>
  <c r="Z3490" i="1" s="1"/>
  <c r="Z3491" i="1" s="1"/>
  <c r="Z3492" i="1" s="1"/>
  <c r="Z3493" i="1" s="1"/>
  <c r="Z3494" i="1" s="1"/>
  <c r="Z3495" i="1" s="1"/>
  <c r="Z3496" i="1" s="1"/>
  <c r="Z3497" i="1" s="1"/>
  <c r="Z3498" i="1" s="1"/>
  <c r="Z3499" i="1" s="1"/>
  <c r="Z3500" i="1" s="1"/>
  <c r="Z3501" i="1" s="1"/>
  <c r="Z3502" i="1" s="1"/>
  <c r="Z3503" i="1" s="1"/>
  <c r="Z3504" i="1" s="1"/>
  <c r="Z3505" i="1" s="1"/>
  <c r="Z3506" i="1" s="1"/>
  <c r="Z3507" i="1" s="1"/>
  <c r="Z3508" i="1" s="1"/>
  <c r="Z3509" i="1" s="1"/>
  <c r="Z3510" i="1" s="1"/>
  <c r="Z3511" i="1" s="1"/>
  <c r="Z3512" i="1" s="1"/>
  <c r="Z3513" i="1" s="1"/>
  <c r="Z3514" i="1" s="1"/>
  <c r="Z3515" i="1" s="1"/>
  <c r="Z3516" i="1" s="1"/>
  <c r="Z3517" i="1" s="1"/>
  <c r="Z3518" i="1" s="1"/>
  <c r="Z3519" i="1" s="1"/>
  <c r="Z3520" i="1" s="1"/>
  <c r="Z3521" i="1" s="1"/>
  <c r="Z3522" i="1" s="1"/>
  <c r="Z3523" i="1" s="1"/>
  <c r="Z3524" i="1" s="1"/>
  <c r="Z3525" i="1" s="1"/>
  <c r="Z3526" i="1" s="1"/>
  <c r="Z3527" i="1" s="1"/>
  <c r="Z3528" i="1" s="1"/>
  <c r="Z3529" i="1" s="1"/>
  <c r="Z3530" i="1" s="1"/>
  <c r="Z3531" i="1" s="1"/>
  <c r="Z3532" i="1" s="1"/>
  <c r="Z3533" i="1" s="1"/>
  <c r="Z3534" i="1" s="1"/>
  <c r="Z3535" i="1" s="1"/>
  <c r="Z3536" i="1" s="1"/>
  <c r="Z3537" i="1" s="1"/>
  <c r="Z3538" i="1" s="1"/>
  <c r="Z3539" i="1" s="1"/>
  <c r="Z3540" i="1" s="1"/>
  <c r="Z3541" i="1" s="1"/>
  <c r="Z3542" i="1" s="1"/>
  <c r="Z3543" i="1" s="1"/>
  <c r="Z3544" i="1" s="1"/>
  <c r="Z3545" i="1" s="1"/>
  <c r="Z3546" i="1" s="1"/>
  <c r="Z3547" i="1" s="1"/>
  <c r="Z3548" i="1" s="1"/>
  <c r="Z3549" i="1" s="1"/>
  <c r="Z3550" i="1" s="1"/>
  <c r="Z3551" i="1" s="1"/>
  <c r="Z3552" i="1" s="1"/>
  <c r="Z3553" i="1" s="1"/>
  <c r="Z3554" i="1" s="1"/>
  <c r="Z3555" i="1" s="1"/>
  <c r="Z3556" i="1" s="1"/>
  <c r="Z3557" i="1" s="1"/>
  <c r="Z3558" i="1" s="1"/>
  <c r="Z3559" i="1" s="1"/>
  <c r="Z3560" i="1" s="1"/>
  <c r="Z3561" i="1" s="1"/>
  <c r="Z3562" i="1" s="1"/>
  <c r="Z3563" i="1" s="1"/>
  <c r="Z3564" i="1" s="1"/>
  <c r="Z3565" i="1" s="1"/>
  <c r="Z3566" i="1" s="1"/>
  <c r="Z3567" i="1" s="1"/>
  <c r="Z3568" i="1" s="1"/>
  <c r="Z3569" i="1" s="1"/>
  <c r="Z3570" i="1" s="1"/>
  <c r="Z3571" i="1" s="1"/>
  <c r="Z3572" i="1" s="1"/>
  <c r="Z3573" i="1" s="1"/>
  <c r="Z3574" i="1" s="1"/>
  <c r="Z3575" i="1" s="1"/>
  <c r="Z3576" i="1" s="1"/>
  <c r="Z3577" i="1" s="1"/>
  <c r="Z3578" i="1" s="1"/>
  <c r="Z3579" i="1" s="1"/>
  <c r="Z3580" i="1" s="1"/>
  <c r="Z3581" i="1" s="1"/>
  <c r="Z3582" i="1" s="1"/>
  <c r="Z3583" i="1" s="1"/>
  <c r="Z3584" i="1" s="1"/>
  <c r="Z3585" i="1" s="1"/>
  <c r="Z3586" i="1" s="1"/>
  <c r="Z3587" i="1" s="1"/>
  <c r="Z3588" i="1" s="1"/>
  <c r="Z3589" i="1" s="1"/>
  <c r="Z3590" i="1" s="1"/>
  <c r="Z3591" i="1" s="1"/>
  <c r="Z3592" i="1" s="1"/>
  <c r="Z3593" i="1" s="1"/>
  <c r="Z3594" i="1" s="1"/>
  <c r="Z3595" i="1" s="1"/>
  <c r="Z3596" i="1" s="1"/>
  <c r="Z3597" i="1" s="1"/>
  <c r="Z3598" i="1" s="1"/>
  <c r="Z3599" i="1" s="1"/>
  <c r="Z3600" i="1" s="1"/>
  <c r="Z3601" i="1" s="1"/>
  <c r="Z3602" i="1" s="1"/>
  <c r="Z3603" i="1" s="1"/>
  <c r="Z3604" i="1" s="1"/>
  <c r="Z3605" i="1" s="1"/>
  <c r="Z3606" i="1" s="1"/>
  <c r="Z3607" i="1" s="1"/>
  <c r="Z3608" i="1" s="1"/>
  <c r="Z3609" i="1" s="1"/>
  <c r="Z3610" i="1" s="1"/>
  <c r="Z3611" i="1" s="1"/>
  <c r="Z3612" i="1" s="1"/>
  <c r="Z3613" i="1" s="1"/>
  <c r="Z3614" i="1" s="1"/>
  <c r="Z3615" i="1" s="1"/>
  <c r="Z3616" i="1" s="1"/>
  <c r="Z3617" i="1" s="1"/>
  <c r="Z3618" i="1" s="1"/>
  <c r="Z3619" i="1" s="1"/>
  <c r="Z3620" i="1" s="1"/>
  <c r="Z3621" i="1" s="1"/>
  <c r="Z3622" i="1" s="1"/>
  <c r="Z3623" i="1" s="1"/>
  <c r="Z3624" i="1" s="1"/>
  <c r="Z3625" i="1" s="1"/>
  <c r="Z3626" i="1" s="1"/>
  <c r="Z3627" i="1" s="1"/>
  <c r="Z3628" i="1" s="1"/>
  <c r="Z3629" i="1" s="1"/>
  <c r="Z3630" i="1" s="1"/>
  <c r="Z3631" i="1" s="1"/>
  <c r="Z3632" i="1" s="1"/>
  <c r="Z3633" i="1" s="1"/>
  <c r="Z3634" i="1" s="1"/>
  <c r="Z3635" i="1" s="1"/>
  <c r="Z3636" i="1" s="1"/>
  <c r="Z3637" i="1" s="1"/>
  <c r="Z3638" i="1" s="1"/>
  <c r="Z3639" i="1" s="1"/>
  <c r="Z3640" i="1" s="1"/>
  <c r="Z3641" i="1" s="1"/>
  <c r="Z3642" i="1" s="1"/>
  <c r="Z3643" i="1" s="1"/>
  <c r="Z3644" i="1" s="1"/>
  <c r="Z3645" i="1" s="1"/>
  <c r="Z3646" i="1" s="1"/>
  <c r="Z3647" i="1" s="1"/>
  <c r="Z3648" i="1" s="1"/>
  <c r="Z3649" i="1" s="1"/>
  <c r="Z3650" i="1" s="1"/>
  <c r="Z3651" i="1" s="1"/>
  <c r="Z3652" i="1" s="1"/>
  <c r="Z3653" i="1" s="1"/>
  <c r="Z3654" i="1" s="1"/>
  <c r="Z3655" i="1" s="1"/>
  <c r="Z3656" i="1" s="1"/>
  <c r="Z3657" i="1" s="1"/>
  <c r="Z3658" i="1" s="1"/>
  <c r="Z3659" i="1" s="1"/>
  <c r="Z3660" i="1" s="1"/>
  <c r="Z3661" i="1" s="1"/>
  <c r="Z3662" i="1" s="1"/>
  <c r="Z3663" i="1" s="1"/>
  <c r="Z3664" i="1" s="1"/>
  <c r="Z3665" i="1" s="1"/>
  <c r="Z3666" i="1" s="1"/>
  <c r="Z3667" i="1" s="1"/>
  <c r="Z3668" i="1" s="1"/>
  <c r="Z3669" i="1" s="1"/>
  <c r="Z3670" i="1" s="1"/>
  <c r="Z3671" i="1" s="1"/>
  <c r="Z3672" i="1" s="1"/>
  <c r="Z3673" i="1" s="1"/>
  <c r="Z3674" i="1" s="1"/>
  <c r="Z3675" i="1" s="1"/>
  <c r="Z3676" i="1" s="1"/>
  <c r="Z3677" i="1" s="1"/>
  <c r="Z3678" i="1" s="1"/>
  <c r="Z3679" i="1" s="1"/>
  <c r="Z3680" i="1" s="1"/>
  <c r="Z3681" i="1" s="1"/>
  <c r="Z3682" i="1" s="1"/>
  <c r="Z3683" i="1" s="1"/>
  <c r="Z3684" i="1" s="1"/>
  <c r="Z3685" i="1" s="1"/>
  <c r="Z3686" i="1" s="1"/>
  <c r="Z3687" i="1" s="1"/>
  <c r="Z3688" i="1" s="1"/>
  <c r="Z3689" i="1" s="1"/>
  <c r="Z3690" i="1" s="1"/>
  <c r="Z3691" i="1" s="1"/>
  <c r="Z3692" i="1" s="1"/>
  <c r="Z3693" i="1" s="1"/>
  <c r="Z3694" i="1" s="1"/>
  <c r="Z3695" i="1" s="1"/>
  <c r="Z3696" i="1" s="1"/>
  <c r="Z3697" i="1" s="1"/>
  <c r="Z3698" i="1" s="1"/>
  <c r="Z3699" i="1" s="1"/>
  <c r="Z3700" i="1" s="1"/>
  <c r="Z3701" i="1" s="1"/>
  <c r="Z3702" i="1" s="1"/>
  <c r="Z3703" i="1" s="1"/>
  <c r="Z3704" i="1" s="1"/>
  <c r="Z3705" i="1" s="1"/>
  <c r="Z3706" i="1" s="1"/>
  <c r="Z3707" i="1" s="1"/>
  <c r="Z3708" i="1" s="1"/>
  <c r="Z3709" i="1" s="1"/>
  <c r="Z3710" i="1" s="1"/>
  <c r="Z3711" i="1" s="1"/>
  <c r="Z3712" i="1" s="1"/>
  <c r="Z3713" i="1" s="1"/>
  <c r="Z3714" i="1" s="1"/>
  <c r="Z3715" i="1" s="1"/>
  <c r="Z3716" i="1" s="1"/>
  <c r="Z3717" i="1" s="1"/>
  <c r="Z3718" i="1" s="1"/>
  <c r="Z3719" i="1" s="1"/>
  <c r="Z3720" i="1" s="1"/>
  <c r="Z3721" i="1" s="1"/>
  <c r="Z3722" i="1" s="1"/>
  <c r="Z3723" i="1" s="1"/>
  <c r="Z3724" i="1" s="1"/>
  <c r="Z3725" i="1" s="1"/>
  <c r="Z3726" i="1" s="1"/>
  <c r="Z3727" i="1" s="1"/>
  <c r="Z3728" i="1" s="1"/>
  <c r="Z3729" i="1" s="1"/>
  <c r="Z3730" i="1" s="1"/>
  <c r="Z3731" i="1" s="1"/>
  <c r="Z3732" i="1" s="1"/>
  <c r="Z3733" i="1" s="1"/>
  <c r="Z3734" i="1" s="1"/>
  <c r="Z3735" i="1" s="1"/>
  <c r="Z3736" i="1" s="1"/>
  <c r="Z3737" i="1" s="1"/>
  <c r="Z3738" i="1" s="1"/>
  <c r="Z3739" i="1" s="1"/>
  <c r="Z3740" i="1" s="1"/>
  <c r="Z3741" i="1" s="1"/>
  <c r="Z3742" i="1" s="1"/>
  <c r="Z3743" i="1" s="1"/>
  <c r="Z3744" i="1" s="1"/>
  <c r="Z3745" i="1" s="1"/>
  <c r="Z3746" i="1" s="1"/>
  <c r="Z3747" i="1" s="1"/>
  <c r="Z3748" i="1" s="1"/>
  <c r="Z3749" i="1" s="1"/>
  <c r="Z3750" i="1" s="1"/>
  <c r="Z3751" i="1" s="1"/>
  <c r="Z3752" i="1" s="1"/>
  <c r="Z3753" i="1" s="1"/>
  <c r="Z3754" i="1" s="1"/>
  <c r="Z3755" i="1" s="1"/>
  <c r="Z3756" i="1" s="1"/>
  <c r="Z3757" i="1" s="1"/>
  <c r="Z3758" i="1" s="1"/>
  <c r="Z3759" i="1" s="1"/>
  <c r="Z3760" i="1" s="1"/>
  <c r="Z3761" i="1" s="1"/>
  <c r="Z3762" i="1" s="1"/>
  <c r="Z3763" i="1" s="1"/>
  <c r="Z3764" i="1" s="1"/>
  <c r="Z3765" i="1" s="1"/>
  <c r="Z3766" i="1" s="1"/>
  <c r="Z3767" i="1" s="1"/>
  <c r="Z3768" i="1" s="1"/>
  <c r="Z3769" i="1" s="1"/>
  <c r="Z3770" i="1" s="1"/>
  <c r="Z3771" i="1" s="1"/>
  <c r="Z3772" i="1" s="1"/>
  <c r="Z3773" i="1" s="1"/>
  <c r="Z3774" i="1" s="1"/>
  <c r="Z3775" i="1" s="1"/>
  <c r="Z3776" i="1" s="1"/>
  <c r="Z3777" i="1" s="1"/>
  <c r="Z3778" i="1" s="1"/>
  <c r="Z3779" i="1" s="1"/>
  <c r="Z3780" i="1" s="1"/>
  <c r="Z3781" i="1" s="1"/>
  <c r="Z3782" i="1" s="1"/>
  <c r="Z3783" i="1" s="1"/>
  <c r="Z3784" i="1" s="1"/>
  <c r="Z3785" i="1" s="1"/>
  <c r="Z3786" i="1" s="1"/>
  <c r="Z3787" i="1" s="1"/>
  <c r="Z3788" i="1" s="1"/>
  <c r="Z3789" i="1" s="1"/>
  <c r="Z3790" i="1" s="1"/>
  <c r="Z3791" i="1" s="1"/>
  <c r="Z3792" i="1" s="1"/>
  <c r="Z3793" i="1" s="1"/>
  <c r="Z3794" i="1" s="1"/>
  <c r="Z3795" i="1" s="1"/>
  <c r="Z3796" i="1" s="1"/>
  <c r="Z3797" i="1" s="1"/>
  <c r="Z3798" i="1" s="1"/>
  <c r="Z3799" i="1" s="1"/>
  <c r="Z3800" i="1" s="1"/>
  <c r="Z3801" i="1" s="1"/>
  <c r="Z3802" i="1" s="1"/>
  <c r="Z3803" i="1" s="1"/>
  <c r="Z3804" i="1" s="1"/>
  <c r="Z3805" i="1" s="1"/>
  <c r="Z3806" i="1" s="1"/>
  <c r="Z3807" i="1" s="1"/>
  <c r="Z3808" i="1" s="1"/>
  <c r="Z3809" i="1" s="1"/>
  <c r="Z3810" i="1" s="1"/>
  <c r="Z3811" i="1" s="1"/>
  <c r="Z3812" i="1" s="1"/>
  <c r="Z3813" i="1" s="1"/>
  <c r="Z3814" i="1" s="1"/>
  <c r="Z3815" i="1" s="1"/>
  <c r="Z3816" i="1" s="1"/>
  <c r="Z3817" i="1" s="1"/>
  <c r="Z3818" i="1" s="1"/>
  <c r="Z3819" i="1" s="1"/>
  <c r="Z3820" i="1" s="1"/>
  <c r="Z3821" i="1" s="1"/>
  <c r="Z3822" i="1" s="1"/>
  <c r="Z3823" i="1" s="1"/>
  <c r="Z3824" i="1" s="1"/>
  <c r="Z3825" i="1" s="1"/>
  <c r="Z3826" i="1" s="1"/>
  <c r="Z3827" i="1" s="1"/>
  <c r="Z3828" i="1" s="1"/>
  <c r="Z3829" i="1" s="1"/>
  <c r="Z3830" i="1" s="1"/>
  <c r="Z3831" i="1" s="1"/>
  <c r="Z3832" i="1" s="1"/>
  <c r="Z3833" i="1" s="1"/>
  <c r="Z3834" i="1" s="1"/>
  <c r="Z3835" i="1" s="1"/>
  <c r="Z3836" i="1" s="1"/>
  <c r="Z3837" i="1" s="1"/>
  <c r="Z3838" i="1" s="1"/>
  <c r="Z3839" i="1" s="1"/>
  <c r="Z3840" i="1" s="1"/>
  <c r="Z3841" i="1" s="1"/>
  <c r="Z3842" i="1" s="1"/>
  <c r="Z3843" i="1" s="1"/>
  <c r="Z3844" i="1" s="1"/>
  <c r="Z3845" i="1" s="1"/>
  <c r="Z3846" i="1" s="1"/>
  <c r="Z3847" i="1" s="1"/>
  <c r="Z3848" i="1" s="1"/>
  <c r="Z3849" i="1" s="1"/>
  <c r="Z3850" i="1" s="1"/>
  <c r="Z3851" i="1" s="1"/>
  <c r="Z3852" i="1" s="1"/>
  <c r="Z3853" i="1" s="1"/>
  <c r="Z3854" i="1" s="1"/>
  <c r="Z3855" i="1" s="1"/>
  <c r="Z3856" i="1" s="1"/>
  <c r="Z3857" i="1" s="1"/>
  <c r="Z3858" i="1" s="1"/>
  <c r="Z3859" i="1" s="1"/>
  <c r="Z3860" i="1" s="1"/>
  <c r="Z3861" i="1" s="1"/>
  <c r="Z3862" i="1" s="1"/>
  <c r="Z3863" i="1" s="1"/>
  <c r="Z3864" i="1" s="1"/>
  <c r="Z3865" i="1" s="1"/>
  <c r="Z3866" i="1" s="1"/>
  <c r="Z3867" i="1" s="1"/>
  <c r="Z3868" i="1" s="1"/>
  <c r="Z3869" i="1" s="1"/>
  <c r="Z3870" i="1" s="1"/>
  <c r="Z3871" i="1" s="1"/>
  <c r="Z3872" i="1" s="1"/>
  <c r="Z3873" i="1" s="1"/>
  <c r="Z3874" i="1" s="1"/>
  <c r="Z3875" i="1" s="1"/>
  <c r="Z3876" i="1" s="1"/>
  <c r="Z3877" i="1" s="1"/>
  <c r="Z3878" i="1" s="1"/>
  <c r="Z3879" i="1" s="1"/>
  <c r="Z3880" i="1" s="1"/>
  <c r="Z3881" i="1" s="1"/>
  <c r="Z3882" i="1" s="1"/>
  <c r="Z3883" i="1" s="1"/>
  <c r="Z3884" i="1" s="1"/>
  <c r="Z3885" i="1" s="1"/>
  <c r="Z3886" i="1" s="1"/>
  <c r="Z3887" i="1" s="1"/>
  <c r="Z3888" i="1" s="1"/>
  <c r="Z3889" i="1" s="1"/>
  <c r="Z3890" i="1" s="1"/>
  <c r="Z3891" i="1" s="1"/>
  <c r="Z3892" i="1" s="1"/>
  <c r="Z3893" i="1" s="1"/>
  <c r="Z3894" i="1" s="1"/>
  <c r="Z3895" i="1" s="1"/>
  <c r="Z3896" i="1" s="1"/>
  <c r="Z3897" i="1" s="1"/>
  <c r="Z3898" i="1" s="1"/>
  <c r="Z3899" i="1" s="1"/>
  <c r="Z3900" i="1" s="1"/>
  <c r="Z3901" i="1" s="1"/>
  <c r="Z3902" i="1" s="1"/>
  <c r="Z3903" i="1" s="1"/>
  <c r="Z3904" i="1" s="1"/>
  <c r="Z3905" i="1" s="1"/>
  <c r="Z3906" i="1" s="1"/>
  <c r="Z3907" i="1" s="1"/>
  <c r="Z3908" i="1" s="1"/>
  <c r="Z3909" i="1" s="1"/>
  <c r="Z3910" i="1" s="1"/>
  <c r="Z3911" i="1" s="1"/>
  <c r="Z3912" i="1" s="1"/>
  <c r="Z3913" i="1" s="1"/>
  <c r="Z3914" i="1" s="1"/>
  <c r="Z3915" i="1" s="1"/>
  <c r="Z3916" i="1" s="1"/>
  <c r="Z3917" i="1" s="1"/>
  <c r="Z3918" i="1" s="1"/>
  <c r="Z3919" i="1" s="1"/>
  <c r="Z3920" i="1" s="1"/>
  <c r="Z3921" i="1" s="1"/>
  <c r="Z3922" i="1" s="1"/>
  <c r="Z3923" i="1" s="1"/>
  <c r="Z3924" i="1" s="1"/>
  <c r="Z3925" i="1" s="1"/>
  <c r="Z3926" i="1" s="1"/>
  <c r="Z3927" i="1" s="1"/>
  <c r="Z3928" i="1" s="1"/>
  <c r="Z3929" i="1" s="1"/>
  <c r="Z3930" i="1" s="1"/>
  <c r="Z3931" i="1" s="1"/>
  <c r="Z3932" i="1" s="1"/>
  <c r="Z3933" i="1" s="1"/>
  <c r="Z3934" i="1" s="1"/>
  <c r="Z3935" i="1" s="1"/>
  <c r="Z3936" i="1" s="1"/>
  <c r="Z3937" i="1" s="1"/>
  <c r="Z3938" i="1" s="1"/>
  <c r="Z3939" i="1" s="1"/>
  <c r="Z3940" i="1" s="1"/>
  <c r="Z3941" i="1" s="1"/>
  <c r="Z3942" i="1" s="1"/>
  <c r="Z3943" i="1" s="1"/>
  <c r="Z3944" i="1" s="1"/>
  <c r="Z3945" i="1" s="1"/>
  <c r="Z3946" i="1" s="1"/>
  <c r="Z3947" i="1" s="1"/>
  <c r="Z3948" i="1" s="1"/>
  <c r="Z3949" i="1" s="1"/>
  <c r="Z3950" i="1" s="1"/>
  <c r="Z3951" i="1" s="1"/>
  <c r="Z3952" i="1" s="1"/>
  <c r="Z3953" i="1" s="1"/>
  <c r="Z3954" i="1" s="1"/>
  <c r="Z3955" i="1" s="1"/>
  <c r="Z3956" i="1" s="1"/>
  <c r="Z3957" i="1" s="1"/>
  <c r="Z3958" i="1" s="1"/>
  <c r="Z3959" i="1" s="1"/>
  <c r="Z3960" i="1" s="1"/>
  <c r="Z3961" i="1" s="1"/>
  <c r="Z3962" i="1" s="1"/>
  <c r="Z3963" i="1" s="1"/>
  <c r="Z3964" i="1" s="1"/>
  <c r="Z3965" i="1" s="1"/>
  <c r="Z3966" i="1" s="1"/>
  <c r="Z3967" i="1" s="1"/>
  <c r="Z3968" i="1" s="1"/>
  <c r="Z3969" i="1" s="1"/>
  <c r="Z3970" i="1" s="1"/>
  <c r="Z3971" i="1" s="1"/>
  <c r="Z3972" i="1" s="1"/>
  <c r="Z3973" i="1" s="1"/>
  <c r="Z3974" i="1" s="1"/>
  <c r="Z3975" i="1" s="1"/>
  <c r="Z3976" i="1" s="1"/>
  <c r="Z3977" i="1" s="1"/>
  <c r="Z3978" i="1" s="1"/>
  <c r="Z3979" i="1" s="1"/>
  <c r="Z3980" i="1" s="1"/>
  <c r="Z3981" i="1" s="1"/>
  <c r="Z3982" i="1" s="1"/>
  <c r="Z3983" i="1" s="1"/>
  <c r="Z3984" i="1" s="1"/>
  <c r="Z3985" i="1" s="1"/>
  <c r="Z3986" i="1" s="1"/>
  <c r="Z3987" i="1" s="1"/>
  <c r="Z3988" i="1" s="1"/>
  <c r="Z3989" i="1" s="1"/>
  <c r="Z3990" i="1" s="1"/>
  <c r="Z3991" i="1" s="1"/>
  <c r="Z3992" i="1" s="1"/>
  <c r="Z3993" i="1" s="1"/>
  <c r="Z3994" i="1" s="1"/>
  <c r="Z3995" i="1" s="1"/>
  <c r="Z3996" i="1" s="1"/>
  <c r="Z3997" i="1" s="1"/>
  <c r="Z3998" i="1" s="1"/>
  <c r="Z3999" i="1" s="1"/>
  <c r="Z4000" i="1" s="1"/>
  <c r="Z4001" i="1" s="1"/>
  <c r="BB2" i="8"/>
  <c r="BD3" i="1"/>
  <c r="BD4" i="1" s="1"/>
  <c r="BM3" i="1"/>
  <c r="AA22" i="1" l="1"/>
  <c r="S23" i="1"/>
  <c r="T16" i="1"/>
  <c r="V15" i="1"/>
  <c r="AB15" i="1"/>
  <c r="AC15" i="1" s="1"/>
  <c r="U15" i="1"/>
  <c r="BM4" i="1"/>
  <c r="BN4" i="1" s="1"/>
  <c r="BO4" i="1" s="1"/>
  <c r="BP4" i="1" s="1"/>
  <c r="BB3" i="8"/>
  <c r="BC3" i="8" s="1"/>
  <c r="AR3" i="8"/>
  <c r="AK2" i="8"/>
  <c r="AJ2" i="8"/>
  <c r="AM2" i="8"/>
  <c r="AL2" i="8"/>
  <c r="AH2" i="8"/>
  <c r="BI3" i="1"/>
  <c r="AA23" i="1" l="1"/>
  <c r="S24" i="1"/>
  <c r="U16" i="1"/>
  <c r="AB16" i="1"/>
  <c r="AC16" i="1" s="1"/>
  <c r="T17" i="1"/>
  <c r="V16" i="1"/>
  <c r="AO2" i="8"/>
  <c r="AV2" i="8" s="1"/>
  <c r="AY2" i="8" s="1"/>
  <c r="AN2" i="8"/>
  <c r="AP2" i="8" s="1"/>
  <c r="AX2" i="8" s="1"/>
  <c r="AW2" i="8" s="1"/>
  <c r="AI2" i="8"/>
  <c r="BC2" i="8" s="1"/>
  <c r="AS2" i="8"/>
  <c r="AQ2" i="8"/>
  <c r="AA24" i="1" l="1"/>
  <c r="S25" i="1"/>
  <c r="AB17" i="1"/>
  <c r="AC17" i="1" s="1"/>
  <c r="U17" i="1"/>
  <c r="T18" i="1"/>
  <c r="AR2" i="8"/>
  <c r="AA25" i="1" l="1"/>
  <c r="S26" i="1"/>
  <c r="AB18" i="1"/>
  <c r="AC18" i="1" s="1"/>
  <c r="T19" i="1"/>
  <c r="U18" i="1"/>
  <c r="V18" i="1"/>
  <c r="BJ3" i="1"/>
  <c r="S27" i="1" l="1"/>
  <c r="AA26" i="1"/>
  <c r="AB19" i="1"/>
  <c r="AC19" i="1" s="1"/>
  <c r="V19" i="1"/>
  <c r="U19" i="1"/>
  <c r="T20" i="1"/>
  <c r="BK3" i="1"/>
  <c r="BH3" i="1" a="1"/>
  <c r="BH3" i="1" s="1"/>
  <c r="BH4" i="1" s="1" a="1"/>
  <c r="BH4" i="1" s="1"/>
  <c r="BN3" i="1"/>
  <c r="BO3" i="1" s="1"/>
  <c r="BP3" i="1" s="1"/>
  <c r="AA27" i="1" l="1"/>
  <c r="S28" i="1"/>
  <c r="AB20" i="1"/>
  <c r="AC20" i="1" s="1"/>
  <c r="V20" i="1"/>
  <c r="T21" i="1"/>
  <c r="U20" i="1"/>
  <c r="AA28" i="1" l="1"/>
  <c r="S29" i="1"/>
  <c r="AB21" i="1"/>
  <c r="AC21" i="1" s="1"/>
  <c r="T22" i="1"/>
  <c r="U21" i="1"/>
  <c r="V21" i="1"/>
  <c r="AA29" i="1" l="1"/>
  <c r="S30" i="1"/>
  <c r="AB22" i="1"/>
  <c r="AC22" i="1" s="1"/>
  <c r="T23" i="1"/>
  <c r="U22" i="1"/>
  <c r="V22" i="1"/>
  <c r="AA30" i="1" l="1"/>
  <c r="S31" i="1"/>
  <c r="AB23" i="1"/>
  <c r="AC23" i="1" s="1"/>
  <c r="T24" i="1"/>
  <c r="U23" i="1"/>
  <c r="V23" i="1"/>
  <c r="S32" i="1" l="1"/>
  <c r="AA31" i="1"/>
  <c r="AB24" i="1"/>
  <c r="AC24" i="1" s="1"/>
  <c r="V24" i="1"/>
  <c r="U24" i="1"/>
  <c r="T25" i="1"/>
  <c r="S33" i="1" l="1"/>
  <c r="AA32" i="1"/>
  <c r="U25" i="1"/>
  <c r="V25" i="1"/>
  <c r="AB25" i="1"/>
  <c r="AC25" i="1" s="1"/>
  <c r="T26" i="1"/>
  <c r="AA33" i="1" l="1"/>
  <c r="S34" i="1"/>
  <c r="AB26" i="1"/>
  <c r="AC26" i="1" s="1"/>
  <c r="V26" i="1"/>
  <c r="U26" i="1"/>
  <c r="T27" i="1"/>
  <c r="AA34" i="1" l="1"/>
  <c r="S35" i="1"/>
  <c r="V27" i="1"/>
  <c r="T28" i="1"/>
  <c r="U27" i="1"/>
  <c r="AB27" i="1"/>
  <c r="AC27" i="1" s="1"/>
  <c r="AA35" i="1" l="1"/>
  <c r="S36" i="1"/>
  <c r="AB28" i="1"/>
  <c r="AC28" i="1" s="1"/>
  <c r="V28" i="1"/>
  <c r="U28" i="1"/>
  <c r="T29" i="1"/>
  <c r="AA36" i="1" l="1"/>
  <c r="S37" i="1"/>
  <c r="AB29" i="1"/>
  <c r="AC29" i="1" s="1"/>
  <c r="T30" i="1"/>
  <c r="V29" i="1"/>
  <c r="U29" i="1"/>
  <c r="AA37" i="1" l="1"/>
  <c r="S38" i="1"/>
  <c r="AB30" i="1"/>
  <c r="AC30" i="1" s="1"/>
  <c r="V30" i="1"/>
  <c r="U30" i="1"/>
  <c r="T31" i="1"/>
  <c r="S39" i="1" l="1"/>
  <c r="AA38" i="1"/>
  <c r="U31" i="1"/>
  <c r="V31" i="1"/>
  <c r="AB31" i="1"/>
  <c r="AC31" i="1" s="1"/>
  <c r="T32" i="1"/>
  <c r="S40" i="1" l="1"/>
  <c r="AA39" i="1"/>
  <c r="U32" i="1"/>
  <c r="T33" i="1"/>
  <c r="AB32" i="1"/>
  <c r="AC32" i="1" s="1"/>
  <c r="V32" i="1"/>
  <c r="AA40" i="1" l="1"/>
  <c r="S41" i="1"/>
  <c r="AB33" i="1"/>
  <c r="AC33" i="1" s="1"/>
  <c r="U33" i="1"/>
  <c r="T34" i="1"/>
  <c r="V33" i="1"/>
  <c r="AA41" i="1" l="1"/>
  <c r="S42" i="1"/>
  <c r="U34" i="1"/>
  <c r="AB34" i="1"/>
  <c r="AC34" i="1" s="1"/>
  <c r="T35" i="1"/>
  <c r="V34" i="1"/>
  <c r="AA42" i="1" l="1"/>
  <c r="S43" i="1"/>
  <c r="AB35" i="1"/>
  <c r="AC35" i="1" s="1"/>
  <c r="U35" i="1"/>
  <c r="T36" i="1"/>
  <c r="V35" i="1"/>
  <c r="AA43" i="1" l="1"/>
  <c r="S44" i="1"/>
  <c r="AB36" i="1"/>
  <c r="AC36" i="1" s="1"/>
  <c r="U36" i="1"/>
  <c r="T37" i="1"/>
  <c r="V36" i="1"/>
  <c r="AA44" i="1" l="1"/>
  <c r="S45" i="1"/>
  <c r="AB37" i="1"/>
  <c r="AC37" i="1" s="1"/>
  <c r="V37" i="1"/>
  <c r="T38" i="1"/>
  <c r="U37" i="1"/>
  <c r="S46" i="1" l="1"/>
  <c r="AA45" i="1"/>
  <c r="U38" i="1"/>
  <c r="V38" i="1"/>
  <c r="AB38" i="1"/>
  <c r="AC38" i="1" s="1"/>
  <c r="T39" i="1"/>
  <c r="AA46" i="1" l="1"/>
  <c r="S47" i="1"/>
  <c r="U39" i="1"/>
  <c r="AB39" i="1"/>
  <c r="AC39" i="1" s="1"/>
  <c r="T40" i="1"/>
  <c r="V39" i="1"/>
  <c r="S48" i="1" l="1"/>
  <c r="AA47" i="1"/>
  <c r="V40" i="1"/>
  <c r="T41" i="1"/>
  <c r="AB40" i="1"/>
  <c r="AC40" i="1" s="1"/>
  <c r="U40" i="1"/>
  <c r="AA48" i="1" l="1"/>
  <c r="S49" i="1"/>
  <c r="AB41" i="1"/>
  <c r="AC41" i="1" s="1"/>
  <c r="V41" i="1"/>
  <c r="T42" i="1"/>
  <c r="U41" i="1"/>
  <c r="S50" i="1" l="1"/>
  <c r="AA49" i="1"/>
  <c r="V42" i="1"/>
  <c r="T43" i="1"/>
  <c r="U42" i="1"/>
  <c r="AB42" i="1"/>
  <c r="AC42" i="1" s="1"/>
  <c r="AA50" i="1" l="1"/>
  <c r="S51" i="1"/>
  <c r="AB43" i="1"/>
  <c r="AC43" i="1" s="1"/>
  <c r="U43" i="1"/>
  <c r="V43" i="1"/>
  <c r="T44" i="1"/>
  <c r="AA51" i="1" l="1"/>
  <c r="S52" i="1"/>
  <c r="AB44" i="1"/>
  <c r="AC44" i="1" s="1"/>
  <c r="V44" i="1"/>
  <c r="T45" i="1"/>
  <c r="U44" i="1"/>
  <c r="AA52" i="1" l="1"/>
  <c r="S53" i="1"/>
  <c r="U45" i="1"/>
  <c r="AB45" i="1"/>
  <c r="AC45" i="1" s="1"/>
  <c r="T46" i="1"/>
  <c r="V45" i="1"/>
  <c r="AA53" i="1" l="1"/>
  <c r="S54" i="1"/>
  <c r="V46" i="1"/>
  <c r="T47" i="1"/>
  <c r="U46" i="1"/>
  <c r="AB46" i="1"/>
  <c r="AC46" i="1" s="1"/>
  <c r="AA54" i="1" l="1"/>
  <c r="S55" i="1"/>
  <c r="AB47" i="1"/>
  <c r="AC47" i="1" s="1"/>
  <c r="V47" i="1"/>
  <c r="U47" i="1"/>
  <c r="T48" i="1"/>
  <c r="S56" i="1" l="1"/>
  <c r="AA55" i="1"/>
  <c r="AB48" i="1"/>
  <c r="AC48" i="1" s="1"/>
  <c r="T49" i="1"/>
  <c r="V48" i="1"/>
  <c r="U48" i="1"/>
  <c r="AA56" i="1" l="1"/>
  <c r="S57" i="1"/>
  <c r="V49" i="1"/>
  <c r="T50" i="1"/>
  <c r="AB49" i="1"/>
  <c r="AC49" i="1" s="1"/>
  <c r="U49" i="1"/>
  <c r="S58" i="1" l="1"/>
  <c r="AA57" i="1"/>
  <c r="U50" i="1"/>
  <c r="T51" i="1"/>
  <c r="AB50" i="1"/>
  <c r="AC50" i="1" s="1"/>
  <c r="V50" i="1"/>
  <c r="AA58" i="1" l="1"/>
  <c r="S59" i="1"/>
  <c r="U51" i="1"/>
  <c r="V51" i="1"/>
  <c r="T52" i="1"/>
  <c r="AB51" i="1"/>
  <c r="AC51" i="1" s="1"/>
  <c r="AA59" i="1" l="1"/>
  <c r="S60" i="1"/>
  <c r="T53" i="1"/>
  <c r="AB52" i="1"/>
  <c r="AC52" i="1" s="1"/>
  <c r="V52" i="1"/>
  <c r="U52" i="1"/>
  <c r="S61" i="1" l="1"/>
  <c r="AA60" i="1"/>
  <c r="AB53" i="1"/>
  <c r="AC53" i="1" s="1"/>
  <c r="U53" i="1"/>
  <c r="V53" i="1"/>
  <c r="T54" i="1"/>
  <c r="AA61" i="1" l="1"/>
  <c r="S62" i="1"/>
  <c r="AB54" i="1"/>
  <c r="AC54" i="1" s="1"/>
  <c r="T55" i="1"/>
  <c r="V54" i="1"/>
  <c r="U54" i="1"/>
  <c r="S63" i="1" l="1"/>
  <c r="AA62" i="1"/>
  <c r="AB55" i="1"/>
  <c r="AC55" i="1" s="1"/>
  <c r="V55" i="1"/>
  <c r="T56" i="1"/>
  <c r="U55" i="1"/>
  <c r="AA63" i="1" l="1"/>
  <c r="S64" i="1"/>
  <c r="V56" i="1"/>
  <c r="T57" i="1"/>
  <c r="AB56" i="1"/>
  <c r="AC56" i="1" s="1"/>
  <c r="U56" i="1"/>
  <c r="S65" i="1" l="1"/>
  <c r="AA64" i="1"/>
  <c r="AB57" i="1"/>
  <c r="AC57" i="1" s="1"/>
  <c r="T58" i="1"/>
  <c r="U57" i="1"/>
  <c r="V57" i="1"/>
  <c r="AA65" i="1" l="1"/>
  <c r="S66" i="1"/>
  <c r="T59" i="1"/>
  <c r="U58" i="1"/>
  <c r="AB58" i="1"/>
  <c r="AC58" i="1" s="1"/>
  <c r="V58" i="1"/>
  <c r="AA66" i="1" l="1"/>
  <c r="S67" i="1"/>
  <c r="AB59" i="1"/>
  <c r="AC59" i="1" s="1"/>
  <c r="T60" i="1"/>
  <c r="V59" i="1"/>
  <c r="U59" i="1"/>
  <c r="S68" i="1" l="1"/>
  <c r="AA67" i="1"/>
  <c r="AB60" i="1"/>
  <c r="AC60" i="1" s="1"/>
  <c r="T61" i="1"/>
  <c r="V60" i="1"/>
  <c r="U60" i="1"/>
  <c r="S69" i="1" l="1"/>
  <c r="AA68" i="1"/>
  <c r="AB61" i="1"/>
  <c r="AC61" i="1" s="1"/>
  <c r="T62" i="1"/>
  <c r="V61" i="1"/>
  <c r="U61" i="1"/>
  <c r="AA69" i="1" l="1"/>
  <c r="S70" i="1"/>
  <c r="AB62" i="1"/>
  <c r="AC62" i="1" s="1"/>
  <c r="T63" i="1"/>
  <c r="U62" i="1"/>
  <c r="V62" i="1"/>
  <c r="W2" i="8"/>
  <c r="AA70" i="1" l="1"/>
  <c r="S71" i="1"/>
  <c r="AB63" i="1"/>
  <c r="AC63" i="1" s="1"/>
  <c r="T64" i="1"/>
  <c r="V63" i="1"/>
  <c r="U63" i="1"/>
  <c r="S72" i="1" l="1"/>
  <c r="AA71" i="1"/>
  <c r="AB64" i="1"/>
  <c r="AC64" i="1" s="1"/>
  <c r="V64" i="1"/>
  <c r="T65" i="1"/>
  <c r="U64" i="1"/>
  <c r="S73" i="1" l="1"/>
  <c r="AA72" i="1"/>
  <c r="AB65" i="1"/>
  <c r="AC65" i="1" s="1"/>
  <c r="V65" i="1"/>
  <c r="U65" i="1"/>
  <c r="T66" i="1"/>
  <c r="AA73" i="1" l="1"/>
  <c r="S74" i="1"/>
  <c r="AB66" i="1"/>
  <c r="AC66" i="1" s="1"/>
  <c r="T67" i="1"/>
  <c r="V66" i="1"/>
  <c r="U66" i="1"/>
  <c r="AA74" i="1" l="1"/>
  <c r="S75" i="1"/>
  <c r="U67" i="1"/>
  <c r="V67" i="1"/>
  <c r="T68" i="1"/>
  <c r="AB67" i="1"/>
  <c r="AC67" i="1" s="1"/>
  <c r="AA75" i="1" l="1"/>
  <c r="S76" i="1"/>
  <c r="AB68" i="1"/>
  <c r="AC68" i="1" s="1"/>
  <c r="T69" i="1"/>
  <c r="U68" i="1"/>
  <c r="V68" i="1"/>
  <c r="AA76" i="1" l="1"/>
  <c r="S77" i="1"/>
  <c r="AB69" i="1"/>
  <c r="AC69" i="1" s="1"/>
  <c r="T70" i="1"/>
  <c r="V69" i="1"/>
  <c r="U69" i="1"/>
  <c r="AA77" i="1" l="1"/>
  <c r="S78" i="1"/>
  <c r="AB70" i="1"/>
  <c r="AC70" i="1" s="1"/>
  <c r="V70" i="1"/>
  <c r="U70" i="1"/>
  <c r="T71" i="1"/>
  <c r="AA78" i="1" l="1"/>
  <c r="S79" i="1"/>
  <c r="T72" i="1"/>
  <c r="U71" i="1"/>
  <c r="V71" i="1"/>
  <c r="AB71" i="1"/>
  <c r="AC71" i="1" s="1"/>
  <c r="AA79" i="1" l="1"/>
  <c r="S80" i="1"/>
  <c r="AB72" i="1"/>
  <c r="AC72" i="1" s="1"/>
  <c r="T73" i="1"/>
  <c r="U72" i="1"/>
  <c r="V72" i="1"/>
  <c r="AA80" i="1" l="1"/>
  <c r="S81" i="1"/>
  <c r="AB73" i="1"/>
  <c r="AC73" i="1" s="1"/>
  <c r="T74" i="1"/>
  <c r="V73" i="1"/>
  <c r="U73" i="1"/>
  <c r="S82" i="1" l="1"/>
  <c r="AA81" i="1"/>
  <c r="V74" i="1"/>
  <c r="AB74" i="1"/>
  <c r="AC74" i="1" s="1"/>
  <c r="T75" i="1"/>
  <c r="U74" i="1"/>
  <c r="AA82" i="1" l="1"/>
  <c r="S83" i="1"/>
  <c r="U75" i="1"/>
  <c r="AB75" i="1"/>
  <c r="AC75" i="1" s="1"/>
  <c r="T76" i="1"/>
  <c r="V75" i="1"/>
  <c r="AA83" i="1" l="1"/>
  <c r="S84" i="1"/>
  <c r="AB76" i="1"/>
  <c r="AC76" i="1" s="1"/>
  <c r="V76" i="1"/>
  <c r="U76" i="1"/>
  <c r="T77" i="1"/>
  <c r="S85" i="1" l="1"/>
  <c r="AA84" i="1"/>
  <c r="AB77" i="1"/>
  <c r="AC77" i="1" s="1"/>
  <c r="T78" i="1"/>
  <c r="U77" i="1"/>
  <c r="V77" i="1"/>
  <c r="AA85" i="1" l="1"/>
  <c r="S86" i="1"/>
  <c r="AB78" i="1"/>
  <c r="AC78" i="1" s="1"/>
  <c r="T79" i="1"/>
  <c r="V78" i="1"/>
  <c r="U78" i="1"/>
  <c r="AA86" i="1" l="1"/>
  <c r="S87" i="1"/>
  <c r="AB79" i="1"/>
  <c r="AC79" i="1" s="1"/>
  <c r="T80" i="1"/>
  <c r="V79" i="1"/>
  <c r="U79" i="1"/>
  <c r="AA87" i="1" l="1"/>
  <c r="S88" i="1"/>
  <c r="AB80" i="1"/>
  <c r="AC80" i="1" s="1"/>
  <c r="V80" i="1"/>
  <c r="U80" i="1"/>
  <c r="T81" i="1"/>
  <c r="AA88" i="1" l="1"/>
  <c r="S89" i="1"/>
  <c r="AB81" i="1"/>
  <c r="AC81" i="1" s="1"/>
  <c r="T82" i="1"/>
  <c r="V81" i="1"/>
  <c r="U81" i="1"/>
  <c r="AA89" i="1" l="1"/>
  <c r="S90" i="1"/>
  <c r="AB82" i="1"/>
  <c r="AC82" i="1" s="1"/>
  <c r="T83" i="1"/>
  <c r="V82" i="1"/>
  <c r="U82" i="1"/>
  <c r="AA90" i="1" l="1"/>
  <c r="S91" i="1"/>
  <c r="U83" i="1"/>
  <c r="AB83" i="1"/>
  <c r="AC83" i="1" s="1"/>
  <c r="T84" i="1"/>
  <c r="V83" i="1"/>
  <c r="S92" i="1" l="1"/>
  <c r="AA91" i="1"/>
  <c r="U84" i="1"/>
  <c r="T85" i="1"/>
  <c r="AB84" i="1"/>
  <c r="AC84" i="1" s="1"/>
  <c r="V84" i="1"/>
  <c r="AA92" i="1" l="1"/>
  <c r="S93" i="1"/>
  <c r="AB85" i="1"/>
  <c r="AC85" i="1" s="1"/>
  <c r="T86" i="1"/>
  <c r="U85" i="1"/>
  <c r="V85" i="1"/>
  <c r="AA93" i="1" l="1"/>
  <c r="S94" i="1"/>
  <c r="AB86" i="1"/>
  <c r="AC86" i="1" s="1"/>
  <c r="T87" i="1"/>
  <c r="V86" i="1"/>
  <c r="U86" i="1"/>
  <c r="AA94" i="1" l="1"/>
  <c r="S95" i="1"/>
  <c r="AB87" i="1"/>
  <c r="AC87" i="1" s="1"/>
  <c r="T88" i="1"/>
  <c r="V87" i="1"/>
  <c r="U87" i="1"/>
  <c r="AA95" i="1" l="1"/>
  <c r="S96" i="1"/>
  <c r="AB88" i="1"/>
  <c r="AC88" i="1" s="1"/>
  <c r="T89" i="1"/>
  <c r="V88" i="1"/>
  <c r="U88" i="1"/>
  <c r="AA96" i="1" l="1"/>
  <c r="S97" i="1"/>
  <c r="AB89" i="1"/>
  <c r="AC89" i="1" s="1"/>
  <c r="T90" i="1"/>
  <c r="V89" i="1"/>
  <c r="U89" i="1"/>
  <c r="AA97" i="1" l="1"/>
  <c r="S98" i="1"/>
  <c r="AB90" i="1"/>
  <c r="AC90" i="1" s="1"/>
  <c r="T91" i="1"/>
  <c r="V90" i="1"/>
  <c r="U90" i="1"/>
  <c r="AA98" i="1" l="1"/>
  <c r="S99" i="1"/>
  <c r="U91" i="1"/>
  <c r="AB91" i="1"/>
  <c r="AC91" i="1" s="1"/>
  <c r="V91" i="1"/>
  <c r="T92" i="1"/>
  <c r="S100" i="1" l="1"/>
  <c r="AA99" i="1"/>
  <c r="AB92" i="1"/>
  <c r="AC92" i="1" s="1"/>
  <c r="T93" i="1"/>
  <c r="U92" i="1"/>
  <c r="V92" i="1"/>
  <c r="AA100" i="1" l="1"/>
  <c r="S101" i="1"/>
  <c r="AB93" i="1"/>
  <c r="AC93" i="1" s="1"/>
  <c r="T94" i="1"/>
  <c r="V93" i="1"/>
  <c r="U93" i="1"/>
  <c r="S102" i="1" l="1"/>
  <c r="AA101" i="1"/>
  <c r="AB94" i="1"/>
  <c r="AC94" i="1" s="1"/>
  <c r="T95" i="1"/>
  <c r="V94" i="1"/>
  <c r="U94" i="1"/>
  <c r="AA102" i="1" l="1"/>
  <c r="S103" i="1"/>
  <c r="AB95" i="1"/>
  <c r="AC95" i="1" s="1"/>
  <c r="T96" i="1"/>
  <c r="V95" i="1"/>
  <c r="U95" i="1"/>
  <c r="S104" i="1" l="1"/>
  <c r="AA103" i="1"/>
  <c r="T97" i="1"/>
  <c r="V96" i="1"/>
  <c r="U96" i="1"/>
  <c r="AB96" i="1"/>
  <c r="AC96" i="1" s="1"/>
  <c r="S105" i="1" l="1"/>
  <c r="AA104" i="1"/>
  <c r="AB97" i="1"/>
  <c r="AC97" i="1" s="1"/>
  <c r="T98" i="1"/>
  <c r="U97" i="1"/>
  <c r="V97" i="1"/>
  <c r="S106" i="1" l="1"/>
  <c r="AA105" i="1"/>
  <c r="AB98" i="1"/>
  <c r="AC98" i="1" s="1"/>
  <c r="T99" i="1"/>
  <c r="U98" i="1"/>
  <c r="V98" i="1"/>
  <c r="AA106" i="1" l="1"/>
  <c r="S107" i="1"/>
  <c r="U99" i="1"/>
  <c r="AB99" i="1"/>
  <c r="AC99" i="1" s="1"/>
  <c r="T100" i="1"/>
  <c r="V99" i="1"/>
  <c r="AA107" i="1" l="1"/>
  <c r="S108" i="1"/>
  <c r="AB100" i="1"/>
  <c r="AC100" i="1" s="1"/>
  <c r="T101" i="1"/>
  <c r="U100" i="1"/>
  <c r="V100" i="1"/>
  <c r="AA108" i="1" l="1"/>
  <c r="S109" i="1"/>
  <c r="AB101" i="1"/>
  <c r="AC101" i="1" s="1"/>
  <c r="V101" i="1"/>
  <c r="T102" i="1"/>
  <c r="U101" i="1"/>
  <c r="AA109" i="1" l="1"/>
  <c r="S110" i="1"/>
  <c r="V102" i="1"/>
  <c r="AB102" i="1"/>
  <c r="AC102" i="1" s="1"/>
  <c r="T103" i="1"/>
  <c r="U102" i="1"/>
  <c r="S111" i="1" l="1"/>
  <c r="AA110" i="1"/>
  <c r="AB103" i="1"/>
  <c r="AC103" i="1" s="1"/>
  <c r="T104" i="1"/>
  <c r="U103" i="1"/>
  <c r="V103" i="1"/>
  <c r="AA111" i="1" l="1"/>
  <c r="S112" i="1"/>
  <c r="AB104" i="1"/>
  <c r="AC104" i="1" s="1"/>
  <c r="T105" i="1"/>
  <c r="V104" i="1"/>
  <c r="U104" i="1"/>
  <c r="S113" i="1" l="1"/>
  <c r="AA112" i="1"/>
  <c r="AB105" i="1"/>
  <c r="AC105" i="1" s="1"/>
  <c r="T106" i="1"/>
  <c r="V105" i="1"/>
  <c r="U105" i="1"/>
  <c r="AA113" i="1" l="1"/>
  <c r="S114" i="1"/>
  <c r="V106" i="1"/>
  <c r="T107" i="1"/>
  <c r="AB106" i="1"/>
  <c r="AC106" i="1" s="1"/>
  <c r="U106" i="1"/>
  <c r="S115" i="1" l="1"/>
  <c r="AA114" i="1"/>
  <c r="AB107" i="1"/>
  <c r="AC107" i="1" s="1"/>
  <c r="V107" i="1"/>
  <c r="U107" i="1"/>
  <c r="T108" i="1"/>
  <c r="AA115" i="1" l="1"/>
  <c r="S116" i="1"/>
  <c r="AB108" i="1"/>
  <c r="AC108" i="1" s="1"/>
  <c r="T109" i="1"/>
  <c r="U108" i="1"/>
  <c r="V108" i="1"/>
  <c r="AA116" i="1" l="1"/>
  <c r="S117" i="1"/>
  <c r="T110" i="1"/>
  <c r="V109" i="1"/>
  <c r="AB109" i="1"/>
  <c r="AC109" i="1" s="1"/>
  <c r="U109" i="1"/>
  <c r="S118" i="1" l="1"/>
  <c r="AA117" i="1"/>
  <c r="AB110" i="1"/>
  <c r="AC110" i="1" s="1"/>
  <c r="T111" i="1"/>
  <c r="V110" i="1"/>
  <c r="U110" i="1"/>
  <c r="AA118" i="1" l="1"/>
  <c r="S119" i="1"/>
  <c r="AB111" i="1"/>
  <c r="AC111" i="1" s="1"/>
  <c r="T112" i="1"/>
  <c r="V111" i="1"/>
  <c r="U111" i="1"/>
  <c r="S120" i="1" l="1"/>
  <c r="AA119" i="1"/>
  <c r="AB112" i="1"/>
  <c r="AC112" i="1" s="1"/>
  <c r="T113" i="1"/>
  <c r="V112" i="1"/>
  <c r="U112" i="1"/>
  <c r="S121" i="1" l="1"/>
  <c r="AA120" i="1"/>
  <c r="T114" i="1"/>
  <c r="AB113" i="1"/>
  <c r="AC113" i="1" s="1"/>
  <c r="U113" i="1"/>
  <c r="V113" i="1"/>
  <c r="S122" i="1" l="1"/>
  <c r="AA121" i="1"/>
  <c r="AB114" i="1"/>
  <c r="AC114" i="1" s="1"/>
  <c r="T115" i="1"/>
  <c r="U114" i="1"/>
  <c r="V114" i="1"/>
  <c r="S123" i="1" l="1"/>
  <c r="AA122" i="1"/>
  <c r="U115" i="1"/>
  <c r="AB115" i="1"/>
  <c r="AC115" i="1" s="1"/>
  <c r="V115" i="1"/>
  <c r="T116" i="1"/>
  <c r="AA123" i="1" l="1"/>
  <c r="S124" i="1"/>
  <c r="T117" i="1"/>
  <c r="U116" i="1"/>
  <c r="AB116" i="1"/>
  <c r="AC116" i="1" s="1"/>
  <c r="V116" i="1"/>
  <c r="S125" i="1" l="1"/>
  <c r="AA124" i="1"/>
  <c r="AB117" i="1"/>
  <c r="AC117" i="1" s="1"/>
  <c r="V117" i="1"/>
  <c r="U117" i="1"/>
  <c r="T118" i="1"/>
  <c r="S126" i="1" l="1"/>
  <c r="AA125" i="1"/>
  <c r="AB118" i="1"/>
  <c r="AC118" i="1" s="1"/>
  <c r="T119" i="1"/>
  <c r="V118" i="1"/>
  <c r="U118" i="1"/>
  <c r="AA126" i="1" l="1"/>
  <c r="S127" i="1"/>
  <c r="AB119" i="1"/>
  <c r="AC119" i="1" s="1"/>
  <c r="T120" i="1"/>
  <c r="V119" i="1"/>
  <c r="U119" i="1"/>
  <c r="AA127" i="1" l="1"/>
  <c r="S128" i="1"/>
  <c r="AB120" i="1"/>
  <c r="AC120" i="1" s="1"/>
  <c r="T121" i="1"/>
  <c r="U120" i="1"/>
  <c r="V120" i="1"/>
  <c r="AA128" i="1" l="1"/>
  <c r="S129" i="1"/>
  <c r="AB121" i="1"/>
  <c r="AC121" i="1" s="1"/>
  <c r="T122" i="1"/>
  <c r="V121" i="1"/>
  <c r="U121" i="1"/>
  <c r="S130" i="1" l="1"/>
  <c r="AA129" i="1"/>
  <c r="AB122" i="1"/>
  <c r="AC122" i="1" s="1"/>
  <c r="T123" i="1"/>
  <c r="V122" i="1"/>
  <c r="U122" i="1"/>
  <c r="S131" i="1" l="1"/>
  <c r="AA130" i="1"/>
  <c r="U123" i="1"/>
  <c r="AB123" i="1"/>
  <c r="AC123" i="1" s="1"/>
  <c r="T124" i="1"/>
  <c r="V123" i="1"/>
  <c r="AA131" i="1" l="1"/>
  <c r="S132" i="1"/>
  <c r="AB124" i="1"/>
  <c r="AC124" i="1" s="1"/>
  <c r="T125" i="1"/>
  <c r="U124" i="1"/>
  <c r="V124" i="1"/>
  <c r="S133" i="1" l="1"/>
  <c r="AA132" i="1"/>
  <c r="AB125" i="1"/>
  <c r="AC125" i="1" s="1"/>
  <c r="U125" i="1"/>
  <c r="T126" i="1"/>
  <c r="V125" i="1"/>
  <c r="AA133" i="1" l="1"/>
  <c r="S134" i="1"/>
  <c r="AB126" i="1"/>
  <c r="AC126" i="1" s="1"/>
  <c r="T127" i="1"/>
  <c r="V126" i="1"/>
  <c r="U126" i="1"/>
  <c r="S135" i="1" l="1"/>
  <c r="AA134" i="1"/>
  <c r="AB127" i="1"/>
  <c r="AC127" i="1" s="1"/>
  <c r="T128" i="1"/>
  <c r="V127" i="1"/>
  <c r="U127" i="1"/>
  <c r="S136" i="1" l="1"/>
  <c r="AA135" i="1"/>
  <c r="AB128" i="1"/>
  <c r="AC128" i="1" s="1"/>
  <c r="V128" i="1"/>
  <c r="U128" i="1"/>
  <c r="T129" i="1"/>
  <c r="S137" i="1" l="1"/>
  <c r="AA136" i="1"/>
  <c r="AB129" i="1"/>
  <c r="AC129" i="1" s="1"/>
  <c r="T130" i="1"/>
  <c r="V129" i="1"/>
  <c r="U129" i="1"/>
  <c r="AA137" i="1" l="1"/>
  <c r="S138" i="1"/>
  <c r="T131" i="1"/>
  <c r="U130" i="1"/>
  <c r="AB130" i="1"/>
  <c r="AC130" i="1" s="1"/>
  <c r="V130" i="1"/>
  <c r="S139" i="1" l="1"/>
  <c r="AA138" i="1"/>
  <c r="U131" i="1"/>
  <c r="AB131" i="1"/>
  <c r="AC131" i="1" s="1"/>
  <c r="V131" i="1"/>
  <c r="T132" i="1"/>
  <c r="AA139" i="1" l="1"/>
  <c r="S140" i="1"/>
  <c r="AB132" i="1"/>
  <c r="AC132" i="1" s="1"/>
  <c r="T133" i="1"/>
  <c r="U132" i="1"/>
  <c r="V132" i="1"/>
  <c r="S141" i="1" l="1"/>
  <c r="AA140" i="1"/>
  <c r="AB133" i="1"/>
  <c r="AC133" i="1" s="1"/>
  <c r="T134" i="1"/>
  <c r="U133" i="1"/>
  <c r="V133" i="1"/>
  <c r="AA141" i="1" l="1"/>
  <c r="S142" i="1"/>
  <c r="AB134" i="1"/>
  <c r="AC134" i="1" s="1"/>
  <c r="T135" i="1"/>
  <c r="V134" i="1"/>
  <c r="U134" i="1"/>
  <c r="S143" i="1" l="1"/>
  <c r="AA142" i="1"/>
  <c r="AB135" i="1"/>
  <c r="AC135" i="1" s="1"/>
  <c r="T136" i="1"/>
  <c r="U135" i="1"/>
  <c r="V135" i="1"/>
  <c r="AA143" i="1" l="1"/>
  <c r="S144" i="1"/>
  <c r="AB136" i="1"/>
  <c r="AC136" i="1" s="1"/>
  <c r="T137" i="1"/>
  <c r="V136" i="1"/>
  <c r="U136" i="1"/>
  <c r="AA144" i="1" l="1"/>
  <c r="S145" i="1"/>
  <c r="AB137" i="1"/>
  <c r="AC137" i="1" s="1"/>
  <c r="V137" i="1"/>
  <c r="U137" i="1"/>
  <c r="T138" i="1"/>
  <c r="S146" i="1" l="1"/>
  <c r="AA145" i="1"/>
  <c r="AB138" i="1"/>
  <c r="AC138" i="1" s="1"/>
  <c r="T139" i="1"/>
  <c r="V138" i="1"/>
  <c r="U138" i="1"/>
  <c r="S147" i="1" l="1"/>
  <c r="AA146" i="1"/>
  <c r="U139" i="1"/>
  <c r="AB139" i="1"/>
  <c r="AC139" i="1" s="1"/>
  <c r="T140" i="1"/>
  <c r="V139" i="1"/>
  <c r="AA147" i="1" l="1"/>
  <c r="S148" i="1"/>
  <c r="AB140" i="1"/>
  <c r="AC140" i="1" s="1"/>
  <c r="U140" i="1"/>
  <c r="T141" i="1"/>
  <c r="V140" i="1"/>
  <c r="AA148" i="1" l="1"/>
  <c r="S149" i="1"/>
  <c r="AB141" i="1"/>
  <c r="AC141" i="1" s="1"/>
  <c r="U141" i="1"/>
  <c r="T142" i="1"/>
  <c r="V141" i="1"/>
  <c r="S150" i="1" l="1"/>
  <c r="AA149" i="1"/>
  <c r="AB142" i="1"/>
  <c r="AC142" i="1" s="1"/>
  <c r="U142" i="1"/>
  <c r="V142" i="1"/>
  <c r="T143" i="1"/>
  <c r="AA150" i="1" l="1"/>
  <c r="S151" i="1"/>
  <c r="AB143" i="1"/>
  <c r="AC143" i="1" s="1"/>
  <c r="U143" i="1"/>
  <c r="V143" i="1"/>
  <c r="T144" i="1"/>
  <c r="S152" i="1" l="1"/>
  <c r="AA151" i="1"/>
  <c r="AB144" i="1"/>
  <c r="AC144" i="1" s="1"/>
  <c r="U144" i="1"/>
  <c r="V144" i="1"/>
  <c r="T145" i="1"/>
  <c r="AA152" i="1" l="1"/>
  <c r="S153" i="1"/>
  <c r="AB145" i="1"/>
  <c r="AC145" i="1" s="1"/>
  <c r="T146" i="1"/>
  <c r="V145" i="1"/>
  <c r="U145" i="1"/>
  <c r="AA153" i="1" l="1"/>
  <c r="S154" i="1"/>
  <c r="AB146" i="1"/>
  <c r="AC146" i="1" s="1"/>
  <c r="T147" i="1"/>
  <c r="U146" i="1"/>
  <c r="V146" i="1"/>
  <c r="AA154" i="1" l="1"/>
  <c r="S155" i="1"/>
  <c r="V147" i="1"/>
  <c r="AB147" i="1"/>
  <c r="AC147" i="1" s="1"/>
  <c r="U147" i="1"/>
  <c r="T148" i="1"/>
  <c r="AA155" i="1" l="1"/>
  <c r="S156" i="1"/>
  <c r="U148" i="1"/>
  <c r="AB148" i="1"/>
  <c r="AC148" i="1" s="1"/>
  <c r="T149" i="1"/>
  <c r="V148" i="1"/>
  <c r="AA156" i="1" l="1"/>
  <c r="S157" i="1"/>
  <c r="V149" i="1"/>
  <c r="AB149" i="1"/>
  <c r="AC149" i="1" s="1"/>
  <c r="T150" i="1"/>
  <c r="U149" i="1"/>
  <c r="S158" i="1" l="1"/>
  <c r="AA157" i="1"/>
  <c r="T151" i="1"/>
  <c r="AB150" i="1"/>
  <c r="AC150" i="1" s="1"/>
  <c r="U150" i="1"/>
  <c r="V150" i="1"/>
  <c r="AA158" i="1" l="1"/>
  <c r="S159" i="1"/>
  <c r="U151" i="1"/>
  <c r="V151" i="1"/>
  <c r="T152" i="1"/>
  <c r="AB151" i="1"/>
  <c r="AC151" i="1" s="1"/>
  <c r="S160" i="1" l="1"/>
  <c r="AA159" i="1"/>
  <c r="AB152" i="1"/>
  <c r="AC152" i="1" s="1"/>
  <c r="T153" i="1"/>
  <c r="V152" i="1"/>
  <c r="U152" i="1"/>
  <c r="AA160" i="1" l="1"/>
  <c r="S161" i="1"/>
  <c r="AB153" i="1"/>
  <c r="AC153" i="1" s="1"/>
  <c r="U153" i="1"/>
  <c r="T154" i="1"/>
  <c r="V153" i="1"/>
  <c r="AA161" i="1" l="1"/>
  <c r="S162" i="1"/>
  <c r="U154" i="1"/>
  <c r="T155" i="1"/>
  <c r="AB154" i="1"/>
  <c r="AC154" i="1" s="1"/>
  <c r="V154" i="1"/>
  <c r="AA162" i="1" l="1"/>
  <c r="S163" i="1"/>
  <c r="U155" i="1"/>
  <c r="V155" i="1"/>
  <c r="T156" i="1"/>
  <c r="AB155" i="1"/>
  <c r="AC155" i="1" s="1"/>
  <c r="AA163" i="1" l="1"/>
  <c r="S164" i="1"/>
  <c r="AB156" i="1"/>
  <c r="AC156" i="1" s="1"/>
  <c r="T157" i="1"/>
  <c r="V156" i="1"/>
  <c r="U156" i="1"/>
  <c r="S165" i="1" l="1"/>
  <c r="AA164" i="1"/>
  <c r="T158" i="1"/>
  <c r="U157" i="1"/>
  <c r="AB157" i="1"/>
  <c r="AC157" i="1" s="1"/>
  <c r="V157" i="1"/>
  <c r="AA165" i="1" l="1"/>
  <c r="S166" i="1"/>
  <c r="U158" i="1"/>
  <c r="V158" i="1"/>
  <c r="AB158" i="1"/>
  <c r="AC158" i="1" s="1"/>
  <c r="T159" i="1"/>
  <c r="S167" i="1" l="1"/>
  <c r="AA166" i="1"/>
  <c r="AB159" i="1"/>
  <c r="AC159" i="1" s="1"/>
  <c r="T160" i="1"/>
  <c r="U159" i="1"/>
  <c r="V159" i="1"/>
  <c r="AA167" i="1" l="1"/>
  <c r="S168" i="1"/>
  <c r="AB160" i="1"/>
  <c r="AC160" i="1" s="1"/>
  <c r="V160" i="1"/>
  <c r="T161" i="1"/>
  <c r="U160" i="1"/>
  <c r="S169" i="1" l="1"/>
  <c r="AA168" i="1"/>
  <c r="AB161" i="1"/>
  <c r="AC161" i="1" s="1"/>
  <c r="T162" i="1"/>
  <c r="V161" i="1"/>
  <c r="U161" i="1"/>
  <c r="AA169" i="1" l="1"/>
  <c r="S170" i="1"/>
  <c r="AB162" i="1"/>
  <c r="AC162" i="1" s="1"/>
  <c r="U162" i="1"/>
  <c r="T163" i="1"/>
  <c r="V162" i="1"/>
  <c r="S171" i="1" l="1"/>
  <c r="AA170" i="1"/>
  <c r="U163" i="1"/>
  <c r="V163" i="1"/>
  <c r="AB163" i="1"/>
  <c r="AC163" i="1" s="1"/>
  <c r="T164" i="1"/>
  <c r="S172" i="1" l="1"/>
  <c r="AA171" i="1"/>
  <c r="AB164" i="1"/>
  <c r="AC164" i="1" s="1"/>
  <c r="T165" i="1"/>
  <c r="V164" i="1"/>
  <c r="U164" i="1"/>
  <c r="AA172" i="1" l="1"/>
  <c r="S173" i="1"/>
  <c r="T166" i="1"/>
  <c r="V165" i="1"/>
  <c r="AB165" i="1"/>
  <c r="AC165" i="1" s="1"/>
  <c r="U165" i="1"/>
  <c r="S174" i="1" l="1"/>
  <c r="AA173" i="1"/>
  <c r="T167" i="1"/>
  <c r="V166" i="1"/>
  <c r="AB166" i="1"/>
  <c r="AC166" i="1" s="1"/>
  <c r="U166" i="1"/>
  <c r="AA174" i="1" l="1"/>
  <c r="S175" i="1"/>
  <c r="AB167" i="1"/>
  <c r="AC167" i="1" s="1"/>
  <c r="T168" i="1"/>
  <c r="U167" i="1"/>
  <c r="V167" i="1"/>
  <c r="S176" i="1" l="1"/>
  <c r="AA175" i="1"/>
  <c r="U168" i="1"/>
  <c r="T169" i="1"/>
  <c r="AB168" i="1"/>
  <c r="AC168" i="1" s="1"/>
  <c r="V168" i="1"/>
  <c r="S177" i="1" l="1"/>
  <c r="AA176" i="1"/>
  <c r="AB169" i="1"/>
  <c r="AC169" i="1" s="1"/>
  <c r="T170" i="1"/>
  <c r="V169" i="1"/>
  <c r="U169" i="1"/>
  <c r="S178" i="1" l="1"/>
  <c r="AA177" i="1"/>
  <c r="V170" i="1"/>
  <c r="AB170" i="1"/>
  <c r="AC170" i="1" s="1"/>
  <c r="T171" i="1"/>
  <c r="U170" i="1"/>
  <c r="AA178" i="1" l="1"/>
  <c r="S179" i="1"/>
  <c r="AB171" i="1"/>
  <c r="AC171" i="1" s="1"/>
  <c r="T172" i="1"/>
  <c r="U171" i="1"/>
  <c r="V171" i="1"/>
  <c r="AA179" i="1" l="1"/>
  <c r="S180" i="1"/>
  <c r="AB172" i="1"/>
  <c r="AC172" i="1" s="1"/>
  <c r="U172" i="1"/>
  <c r="T173" i="1"/>
  <c r="V172" i="1"/>
  <c r="AA180" i="1" l="1"/>
  <c r="S181" i="1"/>
  <c r="AB173" i="1"/>
  <c r="AC173" i="1" s="1"/>
  <c r="U173" i="1"/>
  <c r="V173" i="1"/>
  <c r="T174" i="1"/>
  <c r="S182" i="1" l="1"/>
  <c r="AA181" i="1"/>
  <c r="AB174" i="1"/>
  <c r="AC174" i="1" s="1"/>
  <c r="T175" i="1"/>
  <c r="U174" i="1"/>
  <c r="V174" i="1"/>
  <c r="AA182" i="1" l="1"/>
  <c r="S183" i="1"/>
  <c r="U175" i="1"/>
  <c r="AB175" i="1"/>
  <c r="AC175" i="1" s="1"/>
  <c r="V175" i="1"/>
  <c r="T176" i="1"/>
  <c r="AA183" i="1" l="1"/>
  <c r="S184" i="1"/>
  <c r="AB176" i="1"/>
  <c r="AC176" i="1" s="1"/>
  <c r="T177" i="1"/>
  <c r="U176" i="1"/>
  <c r="V176" i="1"/>
  <c r="S185" i="1" l="1"/>
  <c r="AA184" i="1"/>
  <c r="U177" i="1"/>
  <c r="T178" i="1"/>
  <c r="AB177" i="1"/>
  <c r="AC177" i="1" s="1"/>
  <c r="V177" i="1"/>
  <c r="S186" i="1" l="1"/>
  <c r="AA185" i="1"/>
  <c r="AB178" i="1"/>
  <c r="AC178" i="1" s="1"/>
  <c r="T179" i="1"/>
  <c r="U178" i="1"/>
  <c r="V178" i="1"/>
  <c r="AA186" i="1" l="1"/>
  <c r="S187" i="1"/>
  <c r="AB179" i="1"/>
  <c r="AC179" i="1" s="1"/>
  <c r="T180" i="1"/>
  <c r="V179" i="1"/>
  <c r="U179" i="1"/>
  <c r="AA187" i="1" l="1"/>
  <c r="S188" i="1"/>
  <c r="AB180" i="1"/>
  <c r="AC180" i="1" s="1"/>
  <c r="T181" i="1"/>
  <c r="U180" i="1"/>
  <c r="V180" i="1"/>
  <c r="AA188" i="1" l="1"/>
  <c r="S189" i="1"/>
  <c r="AB181" i="1"/>
  <c r="AC181" i="1" s="1"/>
  <c r="T182" i="1"/>
  <c r="V181" i="1"/>
  <c r="U181" i="1"/>
  <c r="S190" i="1" l="1"/>
  <c r="AA189" i="1"/>
  <c r="AB182" i="1"/>
  <c r="AC182" i="1" s="1"/>
  <c r="U182" i="1"/>
  <c r="V182" i="1"/>
  <c r="T183" i="1"/>
  <c r="AA190" i="1" l="1"/>
  <c r="S191" i="1"/>
  <c r="AB183" i="1"/>
  <c r="AC183" i="1" s="1"/>
  <c r="T184" i="1"/>
  <c r="U183" i="1"/>
  <c r="V183" i="1"/>
  <c r="AA191" i="1" l="1"/>
  <c r="S192" i="1"/>
  <c r="T185" i="1"/>
  <c r="AB184" i="1"/>
  <c r="AC184" i="1" s="1"/>
  <c r="U184" i="1"/>
  <c r="V184" i="1"/>
  <c r="AA192" i="1" l="1"/>
  <c r="S193" i="1"/>
  <c r="AB185" i="1"/>
  <c r="AC185" i="1" s="1"/>
  <c r="T186" i="1"/>
  <c r="U185" i="1"/>
  <c r="V185" i="1"/>
  <c r="AA193" i="1" l="1"/>
  <c r="S194" i="1"/>
  <c r="U186" i="1"/>
  <c r="V186" i="1"/>
  <c r="AB186" i="1"/>
  <c r="AC186" i="1" s="1"/>
  <c r="T187" i="1"/>
  <c r="AA194" i="1" l="1"/>
  <c r="S195" i="1"/>
  <c r="AB187" i="1"/>
  <c r="AC187" i="1" s="1"/>
  <c r="V187" i="1"/>
  <c r="U187" i="1"/>
  <c r="T188" i="1"/>
  <c r="S196" i="1" l="1"/>
  <c r="AA195" i="1"/>
  <c r="AB188" i="1"/>
  <c r="AC188" i="1" s="1"/>
  <c r="U188" i="1"/>
  <c r="V188" i="1"/>
  <c r="T189" i="1"/>
  <c r="S197" i="1" l="1"/>
  <c r="AA196" i="1"/>
  <c r="AB189" i="1"/>
  <c r="AC189" i="1" s="1"/>
  <c r="T190" i="1"/>
  <c r="U189" i="1"/>
  <c r="V189" i="1"/>
  <c r="AA197" i="1" l="1"/>
  <c r="S198" i="1"/>
  <c r="AB190" i="1"/>
  <c r="AC190" i="1" s="1"/>
  <c r="T191" i="1"/>
  <c r="U190" i="1"/>
  <c r="V190" i="1"/>
  <c r="AA198" i="1" l="1"/>
  <c r="S199" i="1"/>
  <c r="U191" i="1"/>
  <c r="AB191" i="1"/>
  <c r="AC191" i="1" s="1"/>
  <c r="T192" i="1"/>
  <c r="V191" i="1"/>
  <c r="S200" i="1" l="1"/>
  <c r="AA199" i="1"/>
  <c r="V192" i="1"/>
  <c r="U192" i="1"/>
  <c r="AB192" i="1"/>
  <c r="AC192" i="1" s="1"/>
  <c r="T193" i="1"/>
  <c r="AA200" i="1" l="1"/>
  <c r="S201" i="1"/>
  <c r="AB193" i="1"/>
  <c r="AC193" i="1" s="1"/>
  <c r="T194" i="1"/>
  <c r="V193" i="1"/>
  <c r="U193" i="1"/>
  <c r="S202" i="1" l="1"/>
  <c r="AA201" i="1"/>
  <c r="AB194" i="1"/>
  <c r="AC194" i="1" s="1"/>
  <c r="T195" i="1"/>
  <c r="U194" i="1"/>
  <c r="V194" i="1"/>
  <c r="AA202" i="1" l="1"/>
  <c r="S203" i="1"/>
  <c r="AB195" i="1"/>
  <c r="AC195" i="1" s="1"/>
  <c r="T196" i="1"/>
  <c r="V195" i="1"/>
  <c r="U195" i="1"/>
  <c r="AA203" i="1" l="1"/>
  <c r="S204" i="1"/>
  <c r="AB196" i="1"/>
  <c r="AC196" i="1" s="1"/>
  <c r="T197" i="1"/>
  <c r="U196" i="1"/>
  <c r="V196" i="1"/>
  <c r="S205" i="1" l="1"/>
  <c r="AA204" i="1"/>
  <c r="AB197" i="1"/>
  <c r="AC197" i="1" s="1"/>
  <c r="T198" i="1"/>
  <c r="U197" i="1"/>
  <c r="V197" i="1"/>
  <c r="AA205" i="1" l="1"/>
  <c r="S206" i="1"/>
  <c r="AB198" i="1"/>
  <c r="AC198" i="1" s="1"/>
  <c r="V198" i="1"/>
  <c r="T199" i="1"/>
  <c r="U198" i="1"/>
  <c r="S207" i="1" l="1"/>
  <c r="AA206" i="1"/>
  <c r="V199" i="1"/>
  <c r="U199" i="1"/>
  <c r="AB199" i="1"/>
  <c r="AC199" i="1" s="1"/>
  <c r="T200" i="1"/>
  <c r="AA207" i="1" l="1"/>
  <c r="S208" i="1"/>
  <c r="AB200" i="1"/>
  <c r="AC200" i="1" s="1"/>
  <c r="T201" i="1"/>
  <c r="U200" i="1"/>
  <c r="V200" i="1"/>
  <c r="S209" i="1" l="1"/>
  <c r="AA208" i="1"/>
  <c r="AB201" i="1"/>
  <c r="AC201" i="1" s="1"/>
  <c r="T202" i="1"/>
  <c r="U201" i="1"/>
  <c r="V201" i="1"/>
  <c r="AA209" i="1" l="1"/>
  <c r="S210" i="1"/>
  <c r="AB202" i="1"/>
  <c r="AC202" i="1" s="1"/>
  <c r="T203" i="1"/>
  <c r="U202" i="1"/>
  <c r="V202" i="1"/>
  <c r="S211" i="1" l="1"/>
  <c r="AA210" i="1"/>
  <c r="T204" i="1"/>
  <c r="AB203" i="1"/>
  <c r="AC203" i="1" s="1"/>
  <c r="V203" i="1"/>
  <c r="U203" i="1"/>
  <c r="AA211" i="1" l="1"/>
  <c r="S212" i="1"/>
  <c r="AB204" i="1"/>
  <c r="AC204" i="1" s="1"/>
  <c r="T205" i="1"/>
  <c r="V204" i="1"/>
  <c r="U204" i="1"/>
  <c r="AA212" i="1" l="1"/>
  <c r="S213" i="1"/>
  <c r="AB205" i="1"/>
  <c r="AC205" i="1" s="1"/>
  <c r="T206" i="1"/>
  <c r="V205" i="1"/>
  <c r="U205" i="1"/>
  <c r="AA213" i="1" l="1"/>
  <c r="S214" i="1"/>
  <c r="AB206" i="1"/>
  <c r="AC206" i="1" s="1"/>
  <c r="V206" i="1"/>
  <c r="U206" i="1"/>
  <c r="T207" i="1"/>
  <c r="S215" i="1" l="1"/>
  <c r="AA214" i="1"/>
  <c r="AB207" i="1"/>
  <c r="AC207" i="1" s="1"/>
  <c r="T208" i="1"/>
  <c r="U207" i="1"/>
  <c r="V207" i="1"/>
  <c r="S216" i="1" l="1"/>
  <c r="AA215" i="1"/>
  <c r="AB208" i="1"/>
  <c r="AC208" i="1" s="1"/>
  <c r="T209" i="1"/>
  <c r="V208" i="1"/>
  <c r="U208" i="1"/>
  <c r="S217" i="1" l="1"/>
  <c r="AA216" i="1"/>
  <c r="AB209" i="1"/>
  <c r="AC209" i="1" s="1"/>
  <c r="T210" i="1"/>
  <c r="U209" i="1"/>
  <c r="V209" i="1"/>
  <c r="S218" i="1" l="1"/>
  <c r="AA217" i="1"/>
  <c r="AB210" i="1"/>
  <c r="AC210" i="1" s="1"/>
  <c r="V210" i="1"/>
  <c r="U210" i="1"/>
  <c r="T211" i="1"/>
  <c r="AA218" i="1" l="1"/>
  <c r="S219" i="1"/>
  <c r="AB211" i="1"/>
  <c r="AC211" i="1" s="1"/>
  <c r="T212" i="1"/>
  <c r="U211" i="1"/>
  <c r="V211" i="1"/>
  <c r="S220" i="1" l="1"/>
  <c r="AA219" i="1"/>
  <c r="AB212" i="1"/>
  <c r="AC212" i="1" s="1"/>
  <c r="V212" i="1"/>
  <c r="T213" i="1"/>
  <c r="U212" i="1"/>
  <c r="S221" i="1" l="1"/>
  <c r="AA220" i="1"/>
  <c r="V213" i="1"/>
  <c r="AB213" i="1"/>
  <c r="AC213" i="1" s="1"/>
  <c r="U213" i="1"/>
  <c r="T214" i="1"/>
  <c r="AA221" i="1" l="1"/>
  <c r="S222" i="1"/>
  <c r="AB214" i="1"/>
  <c r="AC214" i="1" s="1"/>
  <c r="T215" i="1"/>
  <c r="V214" i="1"/>
  <c r="U214" i="1"/>
  <c r="S223" i="1" l="1"/>
  <c r="AA222" i="1"/>
  <c r="AB215" i="1"/>
  <c r="AC215" i="1" s="1"/>
  <c r="V215" i="1"/>
  <c r="U215" i="1"/>
  <c r="T216" i="1"/>
  <c r="S224" i="1" l="1"/>
  <c r="AA223" i="1"/>
  <c r="AB216" i="1"/>
  <c r="AC216" i="1" s="1"/>
  <c r="T217" i="1"/>
  <c r="U216" i="1"/>
  <c r="V216" i="1"/>
  <c r="AA224" i="1" l="1"/>
  <c r="S225" i="1"/>
  <c r="AB217" i="1"/>
  <c r="AC217" i="1" s="1"/>
  <c r="V217" i="1"/>
  <c r="U217" i="1"/>
  <c r="T218" i="1"/>
  <c r="S226" i="1" l="1"/>
  <c r="AA225" i="1"/>
  <c r="U218" i="1"/>
  <c r="AB218" i="1"/>
  <c r="AC218" i="1" s="1"/>
  <c r="T219" i="1"/>
  <c r="V218" i="1"/>
  <c r="AA226" i="1" l="1"/>
  <c r="S227" i="1"/>
  <c r="AB219" i="1"/>
  <c r="AC219" i="1" s="1"/>
  <c r="T220" i="1"/>
  <c r="V219" i="1"/>
  <c r="U219" i="1"/>
  <c r="S228" i="1" l="1"/>
  <c r="AA227" i="1"/>
  <c r="V220" i="1"/>
  <c r="T221" i="1"/>
  <c r="U220" i="1"/>
  <c r="AB220" i="1"/>
  <c r="AC220" i="1" s="1"/>
  <c r="AA228" i="1" l="1"/>
  <c r="S229" i="1"/>
  <c r="T222" i="1"/>
  <c r="U221" i="1"/>
  <c r="AB221" i="1"/>
  <c r="AC221" i="1" s="1"/>
  <c r="V221" i="1"/>
  <c r="S230" i="1" l="1"/>
  <c r="AA229" i="1"/>
  <c r="AB222" i="1"/>
  <c r="AC222" i="1" s="1"/>
  <c r="T223" i="1"/>
  <c r="U222" i="1"/>
  <c r="V222" i="1"/>
  <c r="S231" i="1" l="1"/>
  <c r="AA230" i="1"/>
  <c r="AB223" i="1"/>
  <c r="AC223" i="1" s="1"/>
  <c r="T224" i="1"/>
  <c r="U223" i="1"/>
  <c r="V223" i="1"/>
  <c r="S232" i="1" l="1"/>
  <c r="AA231" i="1"/>
  <c r="AB224" i="1"/>
  <c r="AC224" i="1" s="1"/>
  <c r="T225" i="1"/>
  <c r="U224" i="1"/>
  <c r="V224" i="1"/>
  <c r="AA232" i="1" l="1"/>
  <c r="S233" i="1"/>
  <c r="T226" i="1"/>
  <c r="U225" i="1"/>
  <c r="AB225" i="1"/>
  <c r="AC225" i="1" s="1"/>
  <c r="V225" i="1"/>
  <c r="AA233" i="1" l="1"/>
  <c r="S234" i="1"/>
  <c r="AB226" i="1"/>
  <c r="AC226" i="1" s="1"/>
  <c r="V226" i="1"/>
  <c r="U226" i="1"/>
  <c r="T227" i="1"/>
  <c r="AA234" i="1" l="1"/>
  <c r="S235" i="1"/>
  <c r="AB227" i="1"/>
  <c r="AC227" i="1" s="1"/>
  <c r="T228" i="1"/>
  <c r="U227" i="1"/>
  <c r="V227" i="1"/>
  <c r="AA235" i="1" l="1"/>
  <c r="S236" i="1"/>
  <c r="AB228" i="1"/>
  <c r="AC228" i="1" s="1"/>
  <c r="T229" i="1"/>
  <c r="U228" i="1"/>
  <c r="V228" i="1"/>
  <c r="AA236" i="1" l="1"/>
  <c r="S237" i="1"/>
  <c r="V229" i="1"/>
  <c r="U229" i="1"/>
  <c r="AB229" i="1"/>
  <c r="AC229" i="1" s="1"/>
  <c r="T230" i="1"/>
  <c r="S238" i="1" l="1"/>
  <c r="AA237" i="1"/>
  <c r="AB230" i="1"/>
  <c r="AC230" i="1" s="1"/>
  <c r="U230" i="1"/>
  <c r="V230" i="1"/>
  <c r="T231" i="1"/>
  <c r="AA238" i="1" l="1"/>
  <c r="S239" i="1"/>
  <c r="T232" i="1"/>
  <c r="AB231" i="1"/>
  <c r="AC231" i="1" s="1"/>
  <c r="V231" i="1"/>
  <c r="U231" i="1"/>
  <c r="S240" i="1" l="1"/>
  <c r="AA239" i="1"/>
  <c r="AB232" i="1"/>
  <c r="AC232" i="1" s="1"/>
  <c r="T233" i="1"/>
  <c r="U232" i="1"/>
  <c r="V232" i="1"/>
  <c r="S241" i="1" l="1"/>
  <c r="AA240" i="1"/>
  <c r="T234" i="1"/>
  <c r="AB233" i="1"/>
  <c r="AC233" i="1" s="1"/>
  <c r="U233" i="1"/>
  <c r="V233" i="1"/>
  <c r="AA241" i="1" l="1"/>
  <c r="S242" i="1"/>
  <c r="AB234" i="1"/>
  <c r="AC234" i="1" s="1"/>
  <c r="V234" i="1"/>
  <c r="U234" i="1"/>
  <c r="T235" i="1"/>
  <c r="AA242" i="1" l="1"/>
  <c r="S243" i="1"/>
  <c r="AB235" i="1"/>
  <c r="AC235" i="1" s="1"/>
  <c r="V235" i="1"/>
  <c r="U235" i="1"/>
  <c r="T236" i="1"/>
  <c r="S244" i="1" l="1"/>
  <c r="AA243" i="1"/>
  <c r="AB236" i="1"/>
  <c r="AC236" i="1" s="1"/>
  <c r="U236" i="1"/>
  <c r="T237" i="1"/>
  <c r="V236" i="1"/>
  <c r="AA244" i="1" l="1"/>
  <c r="S245" i="1"/>
  <c r="AB237" i="1"/>
  <c r="AC237" i="1" s="1"/>
  <c r="T238" i="1"/>
  <c r="V237" i="1"/>
  <c r="U237" i="1"/>
  <c r="S246" i="1" l="1"/>
  <c r="AA245" i="1"/>
  <c r="AB238" i="1"/>
  <c r="AC238" i="1" s="1"/>
  <c r="V238" i="1"/>
  <c r="T239" i="1"/>
  <c r="U238" i="1"/>
  <c r="S247" i="1" l="1"/>
  <c r="AA246" i="1"/>
  <c r="AB239" i="1"/>
  <c r="AC239" i="1" s="1"/>
  <c r="T240" i="1"/>
  <c r="U239" i="1"/>
  <c r="V239" i="1"/>
  <c r="S248" i="1" l="1"/>
  <c r="AA247" i="1"/>
  <c r="AB240" i="1"/>
  <c r="AC240" i="1" s="1"/>
  <c r="T241" i="1"/>
  <c r="U240" i="1"/>
  <c r="V240" i="1"/>
  <c r="AA248" i="1" l="1"/>
  <c r="S249" i="1"/>
  <c r="T242" i="1"/>
  <c r="U241" i="1"/>
  <c r="AB241" i="1"/>
  <c r="AC241" i="1" s="1"/>
  <c r="V241" i="1"/>
  <c r="AA249" i="1" l="1"/>
  <c r="S250" i="1"/>
  <c r="AB242" i="1"/>
  <c r="AC242" i="1" s="1"/>
  <c r="U242" i="1"/>
  <c r="V242" i="1"/>
  <c r="T243" i="1"/>
  <c r="AA250" i="1" l="1"/>
  <c r="S251" i="1"/>
  <c r="AB243" i="1"/>
  <c r="AC243" i="1" s="1"/>
  <c r="U243" i="1"/>
  <c r="V243" i="1"/>
  <c r="T244" i="1"/>
  <c r="AA251" i="1" l="1"/>
  <c r="S252" i="1"/>
  <c r="AB244" i="1"/>
  <c r="AC244" i="1" s="1"/>
  <c r="T245" i="1"/>
  <c r="U244" i="1"/>
  <c r="V244" i="1"/>
  <c r="AA252" i="1" l="1"/>
  <c r="S253" i="1"/>
  <c r="AB245" i="1"/>
  <c r="AC245" i="1" s="1"/>
  <c r="V245" i="1"/>
  <c r="T246" i="1"/>
  <c r="U245" i="1"/>
  <c r="AA253" i="1" l="1"/>
  <c r="S254" i="1"/>
  <c r="AB246" i="1"/>
  <c r="AC246" i="1" s="1"/>
  <c r="T247" i="1"/>
  <c r="V246" i="1"/>
  <c r="U246" i="1"/>
  <c r="AA254" i="1" l="1"/>
  <c r="S255" i="1"/>
  <c r="T248" i="1"/>
  <c r="U247" i="1"/>
  <c r="AB247" i="1"/>
  <c r="AC247" i="1" s="1"/>
  <c r="V247" i="1"/>
  <c r="S256" i="1" l="1"/>
  <c r="AA255" i="1"/>
  <c r="T249" i="1"/>
  <c r="V248" i="1"/>
  <c r="AB248" i="1"/>
  <c r="AC248" i="1" s="1"/>
  <c r="U248" i="1"/>
  <c r="AA256" i="1" l="1"/>
  <c r="S257" i="1"/>
  <c r="AB249" i="1"/>
  <c r="AC249" i="1" s="1"/>
  <c r="T250" i="1"/>
  <c r="U249" i="1"/>
  <c r="V249" i="1"/>
  <c r="AA257" i="1" l="1"/>
  <c r="S258" i="1"/>
  <c r="AB250" i="1"/>
  <c r="AC250" i="1" s="1"/>
  <c r="T251" i="1"/>
  <c r="U250" i="1"/>
  <c r="V250" i="1"/>
  <c r="S259" i="1" l="1"/>
  <c r="AA258" i="1"/>
  <c r="V251" i="1"/>
  <c r="T252" i="1"/>
  <c r="AB251" i="1"/>
  <c r="AC251" i="1" s="1"/>
  <c r="U251" i="1"/>
  <c r="S260" i="1" l="1"/>
  <c r="AA259" i="1"/>
  <c r="T253" i="1"/>
  <c r="AB252" i="1"/>
  <c r="AC252" i="1" s="1"/>
  <c r="V252" i="1"/>
  <c r="U252" i="1"/>
  <c r="AA260" i="1" l="1"/>
  <c r="S261" i="1"/>
  <c r="AB253" i="1"/>
  <c r="AC253" i="1" s="1"/>
  <c r="T254" i="1"/>
  <c r="U253" i="1"/>
  <c r="V253" i="1"/>
  <c r="AA261" i="1" l="1"/>
  <c r="S262" i="1"/>
  <c r="V254" i="1"/>
  <c r="U254" i="1"/>
  <c r="AB254" i="1"/>
  <c r="AC254" i="1" s="1"/>
  <c r="T255" i="1"/>
  <c r="S263" i="1" l="1"/>
  <c r="AA262" i="1"/>
  <c r="V255" i="1"/>
  <c r="U255" i="1"/>
  <c r="AB255" i="1"/>
  <c r="AC255" i="1" s="1"/>
  <c r="T256" i="1"/>
  <c r="AA263" i="1" l="1"/>
  <c r="S264" i="1"/>
  <c r="T257" i="1"/>
  <c r="AB256" i="1"/>
  <c r="AC256" i="1" s="1"/>
  <c r="U256" i="1"/>
  <c r="V256" i="1"/>
  <c r="S265" i="1" l="1"/>
  <c r="AA264" i="1"/>
  <c r="AB257" i="1"/>
  <c r="AC257" i="1" s="1"/>
  <c r="U257" i="1"/>
  <c r="V257" i="1"/>
  <c r="T258" i="1"/>
  <c r="S266" i="1" l="1"/>
  <c r="AA265" i="1"/>
  <c r="U258" i="1"/>
  <c r="AB258" i="1"/>
  <c r="AC258" i="1" s="1"/>
  <c r="V258" i="1"/>
  <c r="T259" i="1"/>
  <c r="AA266" i="1" l="1"/>
  <c r="S267" i="1"/>
  <c r="V259" i="1"/>
  <c r="U259" i="1"/>
  <c r="AB259" i="1"/>
  <c r="AC259" i="1" s="1"/>
  <c r="T260" i="1"/>
  <c r="AA267" i="1" l="1"/>
  <c r="S268" i="1"/>
  <c r="AB260" i="1"/>
  <c r="AC260" i="1" s="1"/>
  <c r="T261" i="1"/>
  <c r="U260" i="1"/>
  <c r="V260" i="1"/>
  <c r="AA268" i="1" l="1"/>
  <c r="S269" i="1"/>
  <c r="T262" i="1"/>
  <c r="AB261" i="1"/>
  <c r="AC261" i="1" s="1"/>
  <c r="U261" i="1"/>
  <c r="V261" i="1"/>
  <c r="AA269" i="1" l="1"/>
  <c r="S270" i="1"/>
  <c r="AB262" i="1"/>
  <c r="AC262" i="1" s="1"/>
  <c r="T263" i="1"/>
  <c r="U262" i="1"/>
  <c r="V262" i="1"/>
  <c r="AA270" i="1" l="1"/>
  <c r="S271" i="1"/>
  <c r="T264" i="1"/>
  <c r="V263" i="1"/>
  <c r="AB263" i="1"/>
  <c r="AC263" i="1" s="1"/>
  <c r="U263" i="1"/>
  <c r="S272" i="1" l="1"/>
  <c r="AA271" i="1"/>
  <c r="U264" i="1"/>
  <c r="T265" i="1"/>
  <c r="AB264" i="1"/>
  <c r="AC264" i="1" s="1"/>
  <c r="V264" i="1"/>
  <c r="AA272" i="1" l="1"/>
  <c r="S273" i="1"/>
  <c r="U265" i="1"/>
  <c r="T266" i="1"/>
  <c r="V265" i="1"/>
  <c r="AB265" i="1"/>
  <c r="AC265" i="1" s="1"/>
  <c r="S274" i="1" l="1"/>
  <c r="AA273" i="1"/>
  <c r="AB266" i="1"/>
  <c r="AC266" i="1" s="1"/>
  <c r="V266" i="1"/>
  <c r="T267" i="1"/>
  <c r="U266" i="1"/>
  <c r="S275" i="1" l="1"/>
  <c r="AA274" i="1"/>
  <c r="AB267" i="1"/>
  <c r="AC267" i="1" s="1"/>
  <c r="T268" i="1"/>
  <c r="V267" i="1"/>
  <c r="U267" i="1"/>
  <c r="AA275" i="1" l="1"/>
  <c r="S276" i="1"/>
  <c r="U268" i="1"/>
  <c r="T269" i="1"/>
  <c r="AB268" i="1"/>
  <c r="AC268" i="1" s="1"/>
  <c r="V268" i="1"/>
  <c r="AA276" i="1" l="1"/>
  <c r="S277" i="1"/>
  <c r="T270" i="1"/>
  <c r="V269" i="1"/>
  <c r="AB269" i="1"/>
  <c r="AC269" i="1" s="1"/>
  <c r="U269" i="1"/>
  <c r="S278" i="1" l="1"/>
  <c r="AA277" i="1"/>
  <c r="AB270" i="1"/>
  <c r="AC270" i="1" s="1"/>
  <c r="T271" i="1"/>
  <c r="V270" i="1"/>
  <c r="U270" i="1"/>
  <c r="AA278" i="1" l="1"/>
  <c r="S279" i="1"/>
  <c r="AB271" i="1"/>
  <c r="AC271" i="1" s="1"/>
  <c r="T272" i="1"/>
  <c r="U271" i="1"/>
  <c r="V271" i="1"/>
  <c r="AA279" i="1" l="1"/>
  <c r="S280" i="1"/>
  <c r="T273" i="1"/>
  <c r="AB272" i="1"/>
  <c r="AC272" i="1" s="1"/>
  <c r="U272" i="1"/>
  <c r="V272" i="1"/>
  <c r="S281" i="1" l="1"/>
  <c r="AA280" i="1"/>
  <c r="AB273" i="1"/>
  <c r="AC273" i="1" s="1"/>
  <c r="T274" i="1"/>
  <c r="U273" i="1"/>
  <c r="V273" i="1"/>
  <c r="AA281" i="1" l="1"/>
  <c r="S282" i="1"/>
  <c r="AB274" i="1"/>
  <c r="AC274" i="1" s="1"/>
  <c r="T275" i="1"/>
  <c r="U274" i="1"/>
  <c r="V274" i="1"/>
  <c r="S283" i="1" l="1"/>
  <c r="AA282" i="1"/>
  <c r="U275" i="1"/>
  <c r="AB275" i="1"/>
  <c r="AC275" i="1" s="1"/>
  <c r="T276" i="1"/>
  <c r="V275" i="1"/>
  <c r="S284" i="1" l="1"/>
  <c r="AA283" i="1"/>
  <c r="AB276" i="1"/>
  <c r="AC276" i="1" s="1"/>
  <c r="T277" i="1"/>
  <c r="V276" i="1"/>
  <c r="U276" i="1"/>
  <c r="AA284" i="1" l="1"/>
  <c r="S285" i="1"/>
  <c r="AB277" i="1"/>
  <c r="AC277" i="1" s="1"/>
  <c r="T278" i="1"/>
  <c r="U277" i="1"/>
  <c r="V277" i="1"/>
  <c r="AA285" i="1" l="1"/>
  <c r="S286" i="1"/>
  <c r="AB278" i="1"/>
  <c r="AC278" i="1" s="1"/>
  <c r="T279" i="1"/>
  <c r="V278" i="1"/>
  <c r="U278" i="1"/>
  <c r="AA286" i="1" l="1"/>
  <c r="S287" i="1"/>
  <c r="AB279" i="1"/>
  <c r="AC279" i="1" s="1"/>
  <c r="T280" i="1"/>
  <c r="V279" i="1"/>
  <c r="U279" i="1"/>
  <c r="AA287" i="1" l="1"/>
  <c r="S288" i="1"/>
  <c r="AB280" i="1"/>
  <c r="AC280" i="1" s="1"/>
  <c r="T281" i="1"/>
  <c r="U280" i="1"/>
  <c r="V280" i="1"/>
  <c r="AA288" i="1" l="1"/>
  <c r="S289" i="1"/>
  <c r="AB281" i="1"/>
  <c r="AC281" i="1" s="1"/>
  <c r="V281" i="1"/>
  <c r="U281" i="1"/>
  <c r="T282" i="1"/>
  <c r="AA289" i="1" l="1"/>
  <c r="S290" i="1"/>
  <c r="AB282" i="1"/>
  <c r="AC282" i="1" s="1"/>
  <c r="T283" i="1"/>
  <c r="U282" i="1"/>
  <c r="V282" i="1"/>
  <c r="S291" i="1" l="1"/>
  <c r="AA290" i="1"/>
  <c r="AB283" i="1"/>
  <c r="AC283" i="1" s="1"/>
  <c r="T284" i="1"/>
  <c r="U283" i="1"/>
  <c r="V283" i="1"/>
  <c r="AA291" i="1" l="1"/>
  <c r="S292" i="1"/>
  <c r="AB284" i="1"/>
  <c r="AC284" i="1" s="1"/>
  <c r="T285" i="1"/>
  <c r="U284" i="1"/>
  <c r="V284" i="1"/>
  <c r="AA292" i="1" l="1"/>
  <c r="S293" i="1"/>
  <c r="T286" i="1"/>
  <c r="AB285" i="1"/>
  <c r="AC285" i="1" s="1"/>
  <c r="V285" i="1"/>
  <c r="U285" i="1"/>
  <c r="S294" i="1" l="1"/>
  <c r="AA293" i="1"/>
  <c r="AB286" i="1"/>
  <c r="AC286" i="1" s="1"/>
  <c r="T287" i="1"/>
  <c r="U286" i="1"/>
  <c r="V286" i="1"/>
  <c r="S295" i="1" l="1"/>
  <c r="AA294" i="1"/>
  <c r="T288" i="1"/>
  <c r="U287" i="1"/>
  <c r="AB287" i="1"/>
  <c r="AC287" i="1" s="1"/>
  <c r="V287" i="1"/>
  <c r="S296" i="1" l="1"/>
  <c r="AA295" i="1"/>
  <c r="AB288" i="1"/>
  <c r="AC288" i="1" s="1"/>
  <c r="T289" i="1"/>
  <c r="U288" i="1"/>
  <c r="V288" i="1"/>
  <c r="S297" i="1" l="1"/>
  <c r="AA296" i="1"/>
  <c r="AB289" i="1"/>
  <c r="AC289" i="1" s="1"/>
  <c r="T290" i="1"/>
  <c r="U289" i="1"/>
  <c r="V289" i="1"/>
  <c r="AA297" i="1" l="1"/>
  <c r="S298" i="1"/>
  <c r="U290" i="1"/>
  <c r="AB290" i="1"/>
  <c r="AC290" i="1" s="1"/>
  <c r="T291" i="1"/>
  <c r="V290" i="1"/>
  <c r="S299" i="1" l="1"/>
  <c r="AA298" i="1"/>
  <c r="AB291" i="1"/>
  <c r="AC291" i="1" s="1"/>
  <c r="T292" i="1"/>
  <c r="V291" i="1"/>
  <c r="U291" i="1"/>
  <c r="S300" i="1" l="1"/>
  <c r="AA299" i="1"/>
  <c r="AB292" i="1"/>
  <c r="AC292" i="1" s="1"/>
  <c r="T293" i="1"/>
  <c r="V292" i="1"/>
  <c r="U292" i="1"/>
  <c r="S301" i="1" l="1"/>
  <c r="AA300" i="1"/>
  <c r="AB293" i="1"/>
  <c r="AC293" i="1" s="1"/>
  <c r="U293" i="1"/>
  <c r="V293" i="1"/>
  <c r="T294" i="1"/>
  <c r="AA301" i="1" l="1"/>
  <c r="S302" i="1"/>
  <c r="V294" i="1"/>
  <c r="T295" i="1"/>
  <c r="AB294" i="1"/>
  <c r="AC294" i="1" s="1"/>
  <c r="U294" i="1"/>
  <c r="AA302" i="1" l="1"/>
  <c r="S303" i="1"/>
  <c r="AB295" i="1"/>
  <c r="AC295" i="1" s="1"/>
  <c r="T296" i="1"/>
  <c r="V295" i="1"/>
  <c r="U295" i="1"/>
  <c r="AA303" i="1" l="1"/>
  <c r="S304" i="1"/>
  <c r="T297" i="1"/>
  <c r="U296" i="1"/>
  <c r="AB296" i="1"/>
  <c r="AC296" i="1" s="1"/>
  <c r="V296" i="1"/>
  <c r="AA304" i="1" l="1"/>
  <c r="S305" i="1"/>
  <c r="AB297" i="1"/>
  <c r="AC297" i="1" s="1"/>
  <c r="T298" i="1"/>
  <c r="U297" i="1"/>
  <c r="V297" i="1"/>
  <c r="S306" i="1" l="1"/>
  <c r="AA305" i="1"/>
  <c r="T299" i="1"/>
  <c r="AB298" i="1"/>
  <c r="AC298" i="1" s="1"/>
  <c r="U298" i="1"/>
  <c r="V298" i="1"/>
  <c r="AA306" i="1" l="1"/>
  <c r="S307" i="1"/>
  <c r="AB299" i="1"/>
  <c r="AC299" i="1" s="1"/>
  <c r="T300" i="1"/>
  <c r="U299" i="1"/>
  <c r="V299" i="1"/>
  <c r="S308" i="1" l="1"/>
  <c r="AA307" i="1"/>
  <c r="T301" i="1"/>
  <c r="AB300" i="1"/>
  <c r="AC300" i="1" s="1"/>
  <c r="V300" i="1"/>
  <c r="U300" i="1"/>
  <c r="S309" i="1" l="1"/>
  <c r="AA308" i="1"/>
  <c r="AB301" i="1"/>
  <c r="AC301" i="1" s="1"/>
  <c r="U301" i="1"/>
  <c r="V301" i="1"/>
  <c r="T302" i="1"/>
  <c r="S310" i="1" l="1"/>
  <c r="AA309" i="1"/>
  <c r="V302" i="1"/>
  <c r="AB302" i="1"/>
  <c r="AC302" i="1" s="1"/>
  <c r="T303" i="1"/>
  <c r="U302" i="1"/>
  <c r="S311" i="1" l="1"/>
  <c r="AA310" i="1"/>
  <c r="T304" i="1"/>
  <c r="AB303" i="1"/>
  <c r="AC303" i="1" s="1"/>
  <c r="U303" i="1"/>
  <c r="V303" i="1"/>
  <c r="AA311" i="1" l="1"/>
  <c r="S312" i="1"/>
  <c r="T305" i="1"/>
  <c r="V304" i="1"/>
  <c r="AB304" i="1"/>
  <c r="AC304" i="1" s="1"/>
  <c r="U304" i="1"/>
  <c r="AA312" i="1" l="1"/>
  <c r="S313" i="1"/>
  <c r="AB305" i="1"/>
  <c r="AC305" i="1" s="1"/>
  <c r="T306" i="1"/>
  <c r="U305" i="1"/>
  <c r="V305" i="1"/>
  <c r="S314" i="1" l="1"/>
  <c r="AA313" i="1"/>
  <c r="AB306" i="1"/>
  <c r="AC306" i="1" s="1"/>
  <c r="T307" i="1"/>
  <c r="V306" i="1"/>
  <c r="U306" i="1"/>
  <c r="AA314" i="1" l="1"/>
  <c r="S315" i="1"/>
  <c r="T308" i="1"/>
  <c r="AB307" i="1"/>
  <c r="AC307" i="1" s="1"/>
  <c r="U307" i="1"/>
  <c r="V307" i="1"/>
  <c r="S316" i="1" l="1"/>
  <c r="AA315" i="1"/>
  <c r="AB308" i="1"/>
  <c r="AC308" i="1" s="1"/>
  <c r="T309" i="1"/>
  <c r="U308" i="1"/>
  <c r="V308" i="1"/>
  <c r="S317" i="1" l="1"/>
  <c r="AA316" i="1"/>
  <c r="T310" i="1"/>
  <c r="U309" i="1"/>
  <c r="AB309" i="1"/>
  <c r="AC309" i="1" s="1"/>
  <c r="V309" i="1"/>
  <c r="S318" i="1" l="1"/>
  <c r="AA317" i="1"/>
  <c r="T311" i="1"/>
  <c r="AB310" i="1"/>
  <c r="AC310" i="1" s="1"/>
  <c r="U310" i="1"/>
  <c r="V310" i="1"/>
  <c r="S319" i="1" l="1"/>
  <c r="AA318" i="1"/>
  <c r="AB311" i="1"/>
  <c r="AC311" i="1" s="1"/>
  <c r="U311" i="1"/>
  <c r="V311" i="1"/>
  <c r="T312" i="1"/>
  <c r="S320" i="1" l="1"/>
  <c r="AA319" i="1"/>
  <c r="AB312" i="1"/>
  <c r="AC312" i="1" s="1"/>
  <c r="T313" i="1"/>
  <c r="V312" i="1"/>
  <c r="U312" i="1"/>
  <c r="S321" i="1" l="1"/>
  <c r="AA320" i="1"/>
  <c r="V313" i="1"/>
  <c r="U313" i="1"/>
  <c r="AB313" i="1"/>
  <c r="AC313" i="1" s="1"/>
  <c r="T314" i="1"/>
  <c r="AA321" i="1" l="1"/>
  <c r="S322" i="1"/>
  <c r="U314" i="1"/>
  <c r="AB314" i="1"/>
  <c r="AC314" i="1" s="1"/>
  <c r="T315" i="1"/>
  <c r="V314" i="1"/>
  <c r="AA322" i="1" l="1"/>
  <c r="S323" i="1"/>
  <c r="AB315" i="1"/>
  <c r="AC315" i="1" s="1"/>
  <c r="T316" i="1"/>
  <c r="U315" i="1"/>
  <c r="V315" i="1"/>
  <c r="AA323" i="1" l="1"/>
  <c r="S324" i="1"/>
  <c r="AB316" i="1"/>
  <c r="AC316" i="1" s="1"/>
  <c r="T317" i="1"/>
  <c r="V316" i="1"/>
  <c r="U316" i="1"/>
  <c r="AA324" i="1" l="1"/>
  <c r="S325" i="1"/>
  <c r="AB317" i="1"/>
  <c r="AC317" i="1" s="1"/>
  <c r="T318" i="1"/>
  <c r="U317" i="1"/>
  <c r="V317" i="1"/>
  <c r="S326" i="1" l="1"/>
  <c r="AA325" i="1"/>
  <c r="AB318" i="1"/>
  <c r="AC318" i="1" s="1"/>
  <c r="T319" i="1"/>
  <c r="U318" i="1"/>
  <c r="V318" i="1"/>
  <c r="AA326" i="1" l="1"/>
  <c r="S327" i="1"/>
  <c r="AB319" i="1"/>
  <c r="AC319" i="1" s="1"/>
  <c r="T320" i="1"/>
  <c r="V319" i="1"/>
  <c r="U319" i="1"/>
  <c r="AA327" i="1" l="1"/>
  <c r="S328" i="1"/>
  <c r="AB320" i="1"/>
  <c r="AC320" i="1" s="1"/>
  <c r="T321" i="1"/>
  <c r="V320" i="1"/>
  <c r="U320" i="1"/>
  <c r="AA328" i="1" l="1"/>
  <c r="S329" i="1"/>
  <c r="AB321" i="1"/>
  <c r="AC321" i="1" s="1"/>
  <c r="T322" i="1"/>
  <c r="U321" i="1"/>
  <c r="V321" i="1"/>
  <c r="AA329" i="1" l="1"/>
  <c r="S330" i="1"/>
  <c r="T323" i="1"/>
  <c r="AB322" i="1"/>
  <c r="AC322" i="1" s="1"/>
  <c r="U322" i="1"/>
  <c r="V322" i="1"/>
  <c r="S331" i="1" l="1"/>
  <c r="AA330" i="1"/>
  <c r="AB323" i="1"/>
  <c r="AC323" i="1" s="1"/>
  <c r="U323" i="1"/>
  <c r="T324" i="1"/>
  <c r="V323" i="1"/>
  <c r="S332" i="1" l="1"/>
  <c r="AA331" i="1"/>
  <c r="T325" i="1"/>
  <c r="U324" i="1"/>
  <c r="AB324" i="1"/>
  <c r="AC324" i="1" s="1"/>
  <c r="V324" i="1"/>
  <c r="AA332" i="1" l="1"/>
  <c r="S333" i="1"/>
  <c r="AB325" i="1"/>
  <c r="AC325" i="1" s="1"/>
  <c r="T326" i="1"/>
  <c r="V325" i="1"/>
  <c r="U325" i="1"/>
  <c r="AA333" i="1" l="1"/>
  <c r="S334" i="1"/>
  <c r="AB326" i="1"/>
  <c r="AC326" i="1" s="1"/>
  <c r="U326" i="1"/>
  <c r="V326" i="1"/>
  <c r="T327" i="1"/>
  <c r="S335" i="1" l="1"/>
  <c r="AA334" i="1"/>
  <c r="V327" i="1"/>
  <c r="AB327" i="1"/>
  <c r="AC327" i="1" s="1"/>
  <c r="T328" i="1"/>
  <c r="U327" i="1"/>
  <c r="S336" i="1" l="1"/>
  <c r="AA335" i="1"/>
  <c r="AB328" i="1"/>
  <c r="AC328" i="1" s="1"/>
  <c r="T329" i="1"/>
  <c r="U328" i="1"/>
  <c r="V328" i="1"/>
  <c r="S337" i="1" l="1"/>
  <c r="AA336" i="1"/>
  <c r="AB329" i="1"/>
  <c r="AC329" i="1" s="1"/>
  <c r="T330" i="1"/>
  <c r="U329" i="1"/>
  <c r="V329" i="1"/>
  <c r="AA337" i="1" l="1"/>
  <c r="S338" i="1"/>
  <c r="AB330" i="1"/>
  <c r="AC330" i="1" s="1"/>
  <c r="T331" i="1"/>
  <c r="V330" i="1"/>
  <c r="U330" i="1"/>
  <c r="AA338" i="1" l="1"/>
  <c r="S339" i="1"/>
  <c r="AB331" i="1"/>
  <c r="AC331" i="1" s="1"/>
  <c r="T332" i="1"/>
  <c r="V331" i="1"/>
  <c r="U331" i="1"/>
  <c r="S340" i="1" l="1"/>
  <c r="AA339" i="1"/>
  <c r="AB332" i="1"/>
  <c r="AC332" i="1" s="1"/>
  <c r="T333" i="1"/>
  <c r="U332" i="1"/>
  <c r="V332" i="1"/>
  <c r="S341" i="1" l="1"/>
  <c r="AA340" i="1"/>
  <c r="AB333" i="1"/>
  <c r="AC333" i="1" s="1"/>
  <c r="T334" i="1"/>
  <c r="U333" i="1"/>
  <c r="V333" i="1"/>
  <c r="AA341" i="1" l="1"/>
  <c r="S342" i="1"/>
  <c r="T335" i="1"/>
  <c r="AB334" i="1"/>
  <c r="AC334" i="1" s="1"/>
  <c r="V334" i="1"/>
  <c r="U334" i="1"/>
  <c r="S343" i="1" l="1"/>
  <c r="AA342" i="1"/>
  <c r="AB335" i="1"/>
  <c r="AC335" i="1" s="1"/>
  <c r="T336" i="1"/>
  <c r="V335" i="1"/>
  <c r="U335" i="1"/>
  <c r="S344" i="1" l="1"/>
  <c r="AA343" i="1"/>
  <c r="AB336" i="1"/>
  <c r="AC336" i="1" s="1"/>
  <c r="V336" i="1"/>
  <c r="U336" i="1"/>
  <c r="T337" i="1"/>
  <c r="AA344" i="1" l="1"/>
  <c r="S345" i="1"/>
  <c r="AB337" i="1"/>
  <c r="AC337" i="1" s="1"/>
  <c r="U337" i="1"/>
  <c r="T338" i="1"/>
  <c r="V337" i="1"/>
  <c r="AA345" i="1" l="1"/>
  <c r="S346" i="1"/>
  <c r="AB338" i="1"/>
  <c r="AC338" i="1" s="1"/>
  <c r="U338" i="1"/>
  <c r="V338" i="1"/>
  <c r="T339" i="1"/>
  <c r="AA346" i="1" l="1"/>
  <c r="S347" i="1"/>
  <c r="AB339" i="1"/>
  <c r="AC339" i="1" s="1"/>
  <c r="T340" i="1"/>
  <c r="U339" i="1"/>
  <c r="V339" i="1"/>
  <c r="AA347" i="1" l="1"/>
  <c r="S348" i="1"/>
  <c r="AB340" i="1"/>
  <c r="AC340" i="1" s="1"/>
  <c r="T341" i="1"/>
  <c r="V340" i="1"/>
  <c r="U340" i="1"/>
  <c r="AA348" i="1" l="1"/>
  <c r="S349" i="1"/>
  <c r="T342" i="1"/>
  <c r="AB341" i="1"/>
  <c r="AC341" i="1" s="1"/>
  <c r="U341" i="1"/>
  <c r="V341" i="1"/>
  <c r="AA349" i="1" l="1"/>
  <c r="S350" i="1"/>
  <c r="U342" i="1"/>
  <c r="AB342" i="1"/>
  <c r="AC342" i="1" s="1"/>
  <c r="V342" i="1"/>
  <c r="T343" i="1"/>
  <c r="S351" i="1" l="1"/>
  <c r="AA350" i="1"/>
  <c r="AB343" i="1"/>
  <c r="AC343" i="1" s="1"/>
  <c r="V343" i="1"/>
  <c r="T344" i="1"/>
  <c r="U343" i="1"/>
  <c r="S352" i="1" l="1"/>
  <c r="AA351" i="1"/>
  <c r="AB344" i="1"/>
  <c r="AC344" i="1" s="1"/>
  <c r="T345" i="1"/>
  <c r="V344" i="1"/>
  <c r="U344" i="1"/>
  <c r="AA352" i="1" l="1"/>
  <c r="S353" i="1"/>
  <c r="AB345" i="1"/>
  <c r="AC345" i="1" s="1"/>
  <c r="T346" i="1"/>
  <c r="U345" i="1"/>
  <c r="V345" i="1"/>
  <c r="AA353" i="1" l="1"/>
  <c r="S354" i="1"/>
  <c r="AB346" i="1"/>
  <c r="AC346" i="1" s="1"/>
  <c r="U346" i="1"/>
  <c r="T347" i="1"/>
  <c r="V346" i="1"/>
  <c r="S355" i="1" l="1"/>
  <c r="AA354" i="1"/>
  <c r="AB347" i="1"/>
  <c r="AC347" i="1" s="1"/>
  <c r="T348" i="1"/>
  <c r="U347" i="1"/>
  <c r="V347" i="1"/>
  <c r="AA355" i="1" l="1"/>
  <c r="S356" i="1"/>
  <c r="T349" i="1"/>
  <c r="V348" i="1"/>
  <c r="AB348" i="1"/>
  <c r="AC348" i="1" s="1"/>
  <c r="U348" i="1"/>
  <c r="S357" i="1" l="1"/>
  <c r="AA356" i="1"/>
  <c r="T350" i="1"/>
  <c r="AB349" i="1"/>
  <c r="AC349" i="1" s="1"/>
  <c r="U349" i="1"/>
  <c r="V349" i="1"/>
  <c r="S358" i="1" l="1"/>
  <c r="AA357" i="1"/>
  <c r="AB350" i="1"/>
  <c r="AC350" i="1" s="1"/>
  <c r="T351" i="1"/>
  <c r="U350" i="1"/>
  <c r="V350" i="1"/>
  <c r="S359" i="1" l="1"/>
  <c r="AA358" i="1"/>
  <c r="AB351" i="1"/>
  <c r="AC351" i="1" s="1"/>
  <c r="T352" i="1"/>
  <c r="V351" i="1"/>
  <c r="U351" i="1"/>
  <c r="AA359" i="1" l="1"/>
  <c r="S360" i="1"/>
  <c r="AB352" i="1"/>
  <c r="AC352" i="1" s="1"/>
  <c r="U352" i="1"/>
  <c r="T353" i="1"/>
  <c r="V352" i="1"/>
  <c r="AA360" i="1" l="1"/>
  <c r="S361" i="1"/>
  <c r="AB353" i="1"/>
  <c r="AC353" i="1" s="1"/>
  <c r="T354" i="1"/>
  <c r="V353" i="1"/>
  <c r="U353" i="1"/>
  <c r="S362" i="1" l="1"/>
  <c r="AA361" i="1"/>
  <c r="AB354" i="1"/>
  <c r="AC354" i="1" s="1"/>
  <c r="T355" i="1"/>
  <c r="U354" i="1"/>
  <c r="V354" i="1"/>
  <c r="AA362" i="1" l="1"/>
  <c r="S363" i="1"/>
  <c r="AB355" i="1"/>
  <c r="AC355" i="1" s="1"/>
  <c r="V355" i="1"/>
  <c r="U355" i="1"/>
  <c r="T356" i="1"/>
  <c r="S364" i="1" l="1"/>
  <c r="AA363" i="1"/>
  <c r="AB356" i="1"/>
  <c r="AC356" i="1" s="1"/>
  <c r="T357" i="1"/>
  <c r="V356" i="1"/>
  <c r="U356" i="1"/>
  <c r="AA364" i="1" l="1"/>
  <c r="S365" i="1"/>
  <c r="AB357" i="1"/>
  <c r="AC357" i="1" s="1"/>
  <c r="T358" i="1"/>
  <c r="U357" i="1"/>
  <c r="V357" i="1"/>
  <c r="S366" i="1" l="1"/>
  <c r="AA365" i="1"/>
  <c r="AB358" i="1"/>
  <c r="AC358" i="1" s="1"/>
  <c r="T359" i="1"/>
  <c r="V358" i="1"/>
  <c r="U358" i="1"/>
  <c r="S367" i="1" l="1"/>
  <c r="AA366" i="1"/>
  <c r="AB359" i="1"/>
  <c r="AC359" i="1" s="1"/>
  <c r="T360" i="1"/>
  <c r="V359" i="1"/>
  <c r="U359" i="1"/>
  <c r="S368" i="1" l="1"/>
  <c r="AA367" i="1"/>
  <c r="AB360" i="1"/>
  <c r="AC360" i="1" s="1"/>
  <c r="T361" i="1"/>
  <c r="V360" i="1"/>
  <c r="U360" i="1"/>
  <c r="S369" i="1" l="1"/>
  <c r="AA368" i="1"/>
  <c r="AB361" i="1"/>
  <c r="AC361" i="1" s="1"/>
  <c r="T362" i="1"/>
  <c r="V361" i="1"/>
  <c r="U361" i="1"/>
  <c r="S370" i="1" l="1"/>
  <c r="AA369" i="1"/>
  <c r="AB362" i="1"/>
  <c r="AC362" i="1" s="1"/>
  <c r="T363" i="1"/>
  <c r="U362" i="1"/>
  <c r="V362" i="1"/>
  <c r="S371" i="1" l="1"/>
  <c r="AA370" i="1"/>
  <c r="AB363" i="1"/>
  <c r="AC363" i="1" s="1"/>
  <c r="T364" i="1"/>
  <c r="U363" i="1"/>
  <c r="V363" i="1"/>
  <c r="S372" i="1" l="1"/>
  <c r="AA371" i="1"/>
  <c r="AB364" i="1"/>
  <c r="AC364" i="1" s="1"/>
  <c r="T365" i="1"/>
  <c r="V364" i="1"/>
  <c r="U364" i="1"/>
  <c r="AA372" i="1" l="1"/>
  <c r="S373" i="1"/>
  <c r="AB365" i="1"/>
  <c r="AC365" i="1" s="1"/>
  <c r="T366" i="1"/>
  <c r="U365" i="1"/>
  <c r="V365" i="1"/>
  <c r="AA373" i="1" l="1"/>
  <c r="S374" i="1"/>
  <c r="AB366" i="1"/>
  <c r="AC366" i="1" s="1"/>
  <c r="T367" i="1"/>
  <c r="U366" i="1"/>
  <c r="V366" i="1"/>
  <c r="AA374" i="1" l="1"/>
  <c r="S375" i="1"/>
  <c r="AB367" i="1"/>
  <c r="AC367" i="1" s="1"/>
  <c r="T368" i="1"/>
  <c r="U367" i="1"/>
  <c r="V367" i="1"/>
  <c r="AA375" i="1" l="1"/>
  <c r="S376" i="1"/>
  <c r="AB368" i="1"/>
  <c r="AC368" i="1" s="1"/>
  <c r="T369" i="1"/>
  <c r="U368" i="1"/>
  <c r="V368" i="1"/>
  <c r="AA376" i="1" l="1"/>
  <c r="S377" i="1"/>
  <c r="AB369" i="1"/>
  <c r="AC369" i="1" s="1"/>
  <c r="T370" i="1"/>
  <c r="U369" i="1"/>
  <c r="V369" i="1"/>
  <c r="S378" i="1" l="1"/>
  <c r="AA377" i="1"/>
  <c r="AB370" i="1"/>
  <c r="AC370" i="1" s="1"/>
  <c r="T371" i="1"/>
  <c r="U370" i="1"/>
  <c r="V370" i="1"/>
  <c r="S379" i="1" l="1"/>
  <c r="AA378" i="1"/>
  <c r="AB371" i="1"/>
  <c r="AC371" i="1" s="1"/>
  <c r="T372" i="1"/>
  <c r="U371" i="1"/>
  <c r="V371" i="1"/>
  <c r="AA379" i="1" l="1"/>
  <c r="S380" i="1"/>
  <c r="T373" i="1"/>
  <c r="U372" i="1"/>
  <c r="AB372" i="1"/>
  <c r="AC372" i="1" s="1"/>
  <c r="V372" i="1"/>
  <c r="S381" i="1" l="1"/>
  <c r="AA380" i="1"/>
  <c r="T374" i="1"/>
  <c r="AB373" i="1"/>
  <c r="AC373" i="1" s="1"/>
  <c r="U373" i="1"/>
  <c r="V373" i="1"/>
  <c r="AA381" i="1" l="1"/>
  <c r="S382" i="1"/>
  <c r="AB374" i="1"/>
  <c r="AC374" i="1" s="1"/>
  <c r="T375" i="1"/>
  <c r="U374" i="1"/>
  <c r="V374" i="1"/>
  <c r="S383" i="1" l="1"/>
  <c r="AA382" i="1"/>
  <c r="V375" i="1"/>
  <c r="U375" i="1"/>
  <c r="AB375" i="1"/>
  <c r="AC375" i="1" s="1"/>
  <c r="T376" i="1"/>
  <c r="S384" i="1" l="1"/>
  <c r="AA383" i="1"/>
  <c r="T377" i="1"/>
  <c r="V376" i="1"/>
  <c r="AB376" i="1"/>
  <c r="AC376" i="1" s="1"/>
  <c r="U376" i="1"/>
  <c r="AA384" i="1" l="1"/>
  <c r="S385" i="1"/>
  <c r="AB377" i="1"/>
  <c r="AC377" i="1" s="1"/>
  <c r="T378" i="1"/>
  <c r="U377" i="1"/>
  <c r="V377" i="1"/>
  <c r="AA385" i="1" l="1"/>
  <c r="S386" i="1"/>
  <c r="AB378" i="1"/>
  <c r="AC378" i="1" s="1"/>
  <c r="T379" i="1"/>
  <c r="V378" i="1"/>
  <c r="U378" i="1"/>
  <c r="S387" i="1" l="1"/>
  <c r="AA386" i="1"/>
  <c r="T380" i="1"/>
  <c r="AB379" i="1"/>
  <c r="AC379" i="1" s="1"/>
  <c r="V379" i="1"/>
  <c r="U379" i="1"/>
  <c r="AA387" i="1" l="1"/>
  <c r="S388" i="1"/>
  <c r="U380" i="1"/>
  <c r="AB380" i="1"/>
  <c r="AC380" i="1" s="1"/>
  <c r="V380" i="1"/>
  <c r="T381" i="1"/>
  <c r="AA388" i="1" l="1"/>
  <c r="S389" i="1"/>
  <c r="AB381" i="1"/>
  <c r="AC381" i="1" s="1"/>
  <c r="T382" i="1"/>
  <c r="V381" i="1"/>
  <c r="U381" i="1"/>
  <c r="S390" i="1" l="1"/>
  <c r="AA389" i="1"/>
  <c r="AB382" i="1"/>
  <c r="AC382" i="1" s="1"/>
  <c r="T383" i="1"/>
  <c r="V382" i="1"/>
  <c r="U382" i="1"/>
  <c r="S391" i="1" l="1"/>
  <c r="AA390" i="1"/>
  <c r="AB383" i="1"/>
  <c r="AC383" i="1" s="1"/>
  <c r="T384" i="1"/>
  <c r="U383" i="1"/>
  <c r="V383" i="1"/>
  <c r="S392" i="1" l="1"/>
  <c r="AA391" i="1"/>
  <c r="U384" i="1"/>
  <c r="V384" i="1"/>
  <c r="AB384" i="1"/>
  <c r="AC384" i="1" s="1"/>
  <c r="T385" i="1"/>
  <c r="S393" i="1" l="1"/>
  <c r="AA392" i="1"/>
  <c r="AB385" i="1"/>
  <c r="AC385" i="1" s="1"/>
  <c r="V385" i="1"/>
  <c r="T386" i="1"/>
  <c r="U385" i="1"/>
  <c r="AA393" i="1" l="1"/>
  <c r="S394" i="1"/>
  <c r="AB386" i="1"/>
  <c r="AC386" i="1" s="1"/>
  <c r="V386" i="1"/>
  <c r="U386" i="1"/>
  <c r="T387" i="1"/>
  <c r="S395" i="1" l="1"/>
  <c r="AA394" i="1"/>
  <c r="AB387" i="1"/>
  <c r="AC387" i="1" s="1"/>
  <c r="U387" i="1"/>
  <c r="V387" i="1"/>
  <c r="T388" i="1"/>
  <c r="AA395" i="1" l="1"/>
  <c r="S396" i="1"/>
  <c r="V388" i="1"/>
  <c r="U388" i="1"/>
  <c r="AB388" i="1"/>
  <c r="AC388" i="1" s="1"/>
  <c r="T389" i="1"/>
  <c r="S397" i="1" l="1"/>
  <c r="AA396" i="1"/>
  <c r="AB389" i="1"/>
  <c r="AC389" i="1" s="1"/>
  <c r="T390" i="1"/>
  <c r="V389" i="1"/>
  <c r="U389" i="1"/>
  <c r="S398" i="1" l="1"/>
  <c r="AA397" i="1"/>
  <c r="AB390" i="1"/>
  <c r="AC390" i="1" s="1"/>
  <c r="U390" i="1"/>
  <c r="V390" i="1"/>
  <c r="T391" i="1"/>
  <c r="AA398" i="1" l="1"/>
  <c r="S399" i="1"/>
  <c r="U391" i="1"/>
  <c r="T392" i="1"/>
  <c r="AB391" i="1"/>
  <c r="AC391" i="1" s="1"/>
  <c r="V391" i="1"/>
  <c r="AA399" i="1" l="1"/>
  <c r="S400" i="1"/>
  <c r="AB392" i="1"/>
  <c r="AC392" i="1" s="1"/>
  <c r="T393" i="1"/>
  <c r="V392" i="1"/>
  <c r="U392" i="1"/>
  <c r="AA400" i="1" l="1"/>
  <c r="S401" i="1"/>
  <c r="AB393" i="1"/>
  <c r="AC393" i="1" s="1"/>
  <c r="T394" i="1"/>
  <c r="V393" i="1"/>
  <c r="U393" i="1"/>
  <c r="AA401" i="1" l="1"/>
  <c r="S402" i="1"/>
  <c r="V394" i="1"/>
  <c r="AB394" i="1"/>
  <c r="AC394" i="1" s="1"/>
  <c r="U394" i="1"/>
  <c r="T395" i="1"/>
  <c r="AA402" i="1" l="1"/>
  <c r="S403" i="1"/>
  <c r="T396" i="1"/>
  <c r="AB395" i="1"/>
  <c r="AC395" i="1" s="1"/>
  <c r="V395" i="1"/>
  <c r="U395" i="1"/>
  <c r="AA403" i="1" l="1"/>
  <c r="S404" i="1"/>
  <c r="AB396" i="1"/>
  <c r="AC396" i="1" s="1"/>
  <c r="V396" i="1"/>
  <c r="U396" i="1"/>
  <c r="T397" i="1"/>
  <c r="S405" i="1" l="1"/>
  <c r="AA404" i="1"/>
  <c r="AB397" i="1"/>
  <c r="AC397" i="1" s="1"/>
  <c r="U397" i="1"/>
  <c r="V397" i="1"/>
  <c r="T398" i="1"/>
  <c r="AA405" i="1" l="1"/>
  <c r="S406" i="1"/>
  <c r="T399" i="1"/>
  <c r="V398" i="1"/>
  <c r="AB398" i="1"/>
  <c r="AC398" i="1" s="1"/>
  <c r="U398" i="1"/>
  <c r="S407" i="1" l="1"/>
  <c r="AA406" i="1"/>
  <c r="AB399" i="1"/>
  <c r="AC399" i="1" s="1"/>
  <c r="U399" i="1"/>
  <c r="T400" i="1"/>
  <c r="V399" i="1"/>
  <c r="AA407" i="1" l="1"/>
  <c r="S408" i="1"/>
  <c r="AB400" i="1"/>
  <c r="AC400" i="1" s="1"/>
  <c r="T401" i="1"/>
  <c r="U400" i="1"/>
  <c r="V400" i="1"/>
  <c r="AA408" i="1" l="1"/>
  <c r="S409" i="1"/>
  <c r="T402" i="1"/>
  <c r="U401" i="1"/>
  <c r="V401" i="1"/>
  <c r="AB401" i="1"/>
  <c r="AC401" i="1" s="1"/>
  <c r="AA409" i="1" l="1"/>
  <c r="S410" i="1"/>
  <c r="AB402" i="1"/>
  <c r="AC402" i="1" s="1"/>
  <c r="T403" i="1"/>
  <c r="V402" i="1"/>
  <c r="U402" i="1"/>
  <c r="AA410" i="1" l="1"/>
  <c r="S411" i="1"/>
  <c r="AB403" i="1"/>
  <c r="AC403" i="1" s="1"/>
  <c r="T404" i="1"/>
  <c r="U403" i="1"/>
  <c r="V403" i="1"/>
  <c r="AA411" i="1" l="1"/>
  <c r="S412" i="1"/>
  <c r="AB404" i="1"/>
  <c r="AC404" i="1" s="1"/>
  <c r="T405" i="1"/>
  <c r="V404" i="1"/>
  <c r="U404" i="1"/>
  <c r="AA412" i="1" l="1"/>
  <c r="S413" i="1"/>
  <c r="U405" i="1"/>
  <c r="V405" i="1"/>
  <c r="AB405" i="1"/>
  <c r="AC405" i="1" s="1"/>
  <c r="T406" i="1"/>
  <c r="AA413" i="1" l="1"/>
  <c r="S414" i="1"/>
  <c r="AB406" i="1"/>
  <c r="AC406" i="1" s="1"/>
  <c r="T407" i="1"/>
  <c r="U406" i="1"/>
  <c r="V406" i="1"/>
  <c r="S415" i="1" l="1"/>
  <c r="AA414" i="1"/>
  <c r="T408" i="1"/>
  <c r="AB407" i="1"/>
  <c r="AC407" i="1" s="1"/>
  <c r="U407" i="1"/>
  <c r="V407" i="1"/>
  <c r="AA415" i="1" l="1"/>
  <c r="S416" i="1"/>
  <c r="T409" i="1"/>
  <c r="AB408" i="1"/>
  <c r="AC408" i="1" s="1"/>
  <c r="U408" i="1"/>
  <c r="V408" i="1"/>
  <c r="S417" i="1" l="1"/>
  <c r="AA416" i="1"/>
  <c r="AB409" i="1"/>
  <c r="AC409" i="1" s="1"/>
  <c r="U409" i="1"/>
  <c r="T410" i="1"/>
  <c r="V409" i="1"/>
  <c r="S418" i="1" l="1"/>
  <c r="AA417" i="1"/>
  <c r="AB410" i="1"/>
  <c r="AC410" i="1" s="1"/>
  <c r="T411" i="1"/>
  <c r="V410" i="1"/>
  <c r="U410" i="1"/>
  <c r="S419" i="1" l="1"/>
  <c r="AA418" i="1"/>
  <c r="AB411" i="1"/>
  <c r="AC411" i="1" s="1"/>
  <c r="T412" i="1"/>
  <c r="V411" i="1"/>
  <c r="U411" i="1"/>
  <c r="AA419" i="1" l="1"/>
  <c r="S420" i="1"/>
  <c r="V412" i="1"/>
  <c r="AB412" i="1"/>
  <c r="AC412" i="1" s="1"/>
  <c r="T413" i="1"/>
  <c r="U412" i="1"/>
  <c r="S421" i="1" l="1"/>
  <c r="AA420" i="1"/>
  <c r="AB413" i="1"/>
  <c r="AC413" i="1" s="1"/>
  <c r="T414" i="1"/>
  <c r="U413" i="1"/>
  <c r="V413" i="1"/>
  <c r="AA421" i="1" l="1"/>
  <c r="S422" i="1"/>
  <c r="AB414" i="1"/>
  <c r="AC414" i="1" s="1"/>
  <c r="T415" i="1"/>
  <c r="U414" i="1"/>
  <c r="V414" i="1"/>
  <c r="S423" i="1" l="1"/>
  <c r="AA422" i="1"/>
  <c r="U415" i="1"/>
  <c r="T416" i="1"/>
  <c r="AB415" i="1"/>
  <c r="AC415" i="1" s="1"/>
  <c r="V415" i="1"/>
  <c r="AA423" i="1" l="1"/>
  <c r="S424" i="1"/>
  <c r="T417" i="1"/>
  <c r="AB416" i="1"/>
  <c r="AC416" i="1" s="1"/>
  <c r="V416" i="1"/>
  <c r="U416" i="1"/>
  <c r="S425" i="1" l="1"/>
  <c r="AA424" i="1"/>
  <c r="AB417" i="1"/>
  <c r="AC417" i="1" s="1"/>
  <c r="T418" i="1"/>
  <c r="U417" i="1"/>
  <c r="V417" i="1"/>
  <c r="S426" i="1" l="1"/>
  <c r="AA425" i="1"/>
  <c r="V418" i="1"/>
  <c r="AB418" i="1"/>
  <c r="AC418" i="1" s="1"/>
  <c r="T419" i="1"/>
  <c r="U418" i="1"/>
  <c r="S427" i="1" l="1"/>
  <c r="AA426" i="1"/>
  <c r="AB419" i="1"/>
  <c r="AC419" i="1" s="1"/>
  <c r="T420" i="1"/>
  <c r="U419" i="1"/>
  <c r="V419" i="1"/>
  <c r="S428" i="1" l="1"/>
  <c r="AA427" i="1"/>
  <c r="AB420" i="1"/>
  <c r="AC420" i="1" s="1"/>
  <c r="T421" i="1"/>
  <c r="U420" i="1"/>
  <c r="V420" i="1"/>
  <c r="S429" i="1" l="1"/>
  <c r="AA428" i="1"/>
  <c r="AB421" i="1"/>
  <c r="AC421" i="1" s="1"/>
  <c r="T422" i="1"/>
  <c r="U421" i="1"/>
  <c r="V421" i="1"/>
  <c r="S430" i="1" l="1"/>
  <c r="AA429" i="1"/>
  <c r="T423" i="1"/>
  <c r="V422" i="1"/>
  <c r="AB422" i="1"/>
  <c r="AC422" i="1" s="1"/>
  <c r="U422" i="1"/>
  <c r="AA430" i="1" l="1"/>
  <c r="S431" i="1"/>
  <c r="AB423" i="1"/>
  <c r="AC423" i="1" s="1"/>
  <c r="T424" i="1"/>
  <c r="V423" i="1"/>
  <c r="U423" i="1"/>
  <c r="S432" i="1" l="1"/>
  <c r="AA431" i="1"/>
  <c r="AB424" i="1"/>
  <c r="AC424" i="1" s="1"/>
  <c r="U424" i="1"/>
  <c r="V424" i="1"/>
  <c r="T425" i="1"/>
  <c r="S433" i="1" l="1"/>
  <c r="AA432" i="1"/>
  <c r="T426" i="1"/>
  <c r="AB425" i="1"/>
  <c r="AC425" i="1" s="1"/>
  <c r="U425" i="1"/>
  <c r="V425" i="1"/>
  <c r="S434" i="1" l="1"/>
  <c r="AA433" i="1"/>
  <c r="AB426" i="1"/>
  <c r="AC426" i="1" s="1"/>
  <c r="T427" i="1"/>
  <c r="U426" i="1"/>
  <c r="V426" i="1"/>
  <c r="AA434" i="1" l="1"/>
  <c r="S435" i="1"/>
  <c r="AB427" i="1"/>
  <c r="AC427" i="1" s="1"/>
  <c r="T428" i="1"/>
  <c r="U427" i="1"/>
  <c r="V427" i="1"/>
  <c r="AA435" i="1" l="1"/>
  <c r="S436" i="1"/>
  <c r="AB428" i="1"/>
  <c r="AC428" i="1" s="1"/>
  <c r="T429" i="1"/>
  <c r="U428" i="1"/>
  <c r="V428" i="1"/>
  <c r="AA436" i="1" l="1"/>
  <c r="S437" i="1"/>
  <c r="T430" i="1"/>
  <c r="V429" i="1"/>
  <c r="AB429" i="1"/>
  <c r="AC429" i="1" s="1"/>
  <c r="U429" i="1"/>
  <c r="S438" i="1" l="1"/>
  <c r="AA437" i="1"/>
  <c r="T431" i="1"/>
  <c r="AB430" i="1"/>
  <c r="AC430" i="1" s="1"/>
  <c r="V430" i="1"/>
  <c r="U430" i="1"/>
  <c r="AA438" i="1" l="1"/>
  <c r="S439" i="1"/>
  <c r="T432" i="1"/>
  <c r="V431" i="1"/>
  <c r="AB431" i="1"/>
  <c r="AC431" i="1" s="1"/>
  <c r="U431" i="1"/>
  <c r="AA439" i="1" l="1"/>
  <c r="S440" i="1"/>
  <c r="AB432" i="1"/>
  <c r="AC432" i="1" s="1"/>
  <c r="U432" i="1"/>
  <c r="V432" i="1"/>
  <c r="T433" i="1"/>
  <c r="AA440" i="1" l="1"/>
  <c r="S441" i="1"/>
  <c r="AB433" i="1"/>
  <c r="AC433" i="1" s="1"/>
  <c r="V433" i="1"/>
  <c r="U433" i="1"/>
  <c r="T434" i="1"/>
  <c r="AA441" i="1" l="1"/>
  <c r="S442" i="1"/>
  <c r="AB434" i="1"/>
  <c r="AC434" i="1" s="1"/>
  <c r="U434" i="1"/>
  <c r="T435" i="1"/>
  <c r="V434" i="1"/>
  <c r="S443" i="1" l="1"/>
  <c r="AA442" i="1"/>
  <c r="AB435" i="1"/>
  <c r="AC435" i="1" s="1"/>
  <c r="T436" i="1"/>
  <c r="U435" i="1"/>
  <c r="V435" i="1"/>
  <c r="AA443" i="1" l="1"/>
  <c r="S444" i="1"/>
  <c r="AB436" i="1"/>
  <c r="AC436" i="1" s="1"/>
  <c r="U436" i="1"/>
  <c r="V436" i="1"/>
  <c r="T437" i="1"/>
  <c r="S445" i="1" l="1"/>
  <c r="AA444" i="1"/>
  <c r="T438" i="1"/>
  <c r="AB437" i="1"/>
  <c r="AC437" i="1" s="1"/>
  <c r="U437" i="1"/>
  <c r="V437" i="1"/>
  <c r="S446" i="1" l="1"/>
  <c r="AA445" i="1"/>
  <c r="AB438" i="1"/>
  <c r="AC438" i="1" s="1"/>
  <c r="T439" i="1"/>
  <c r="V438" i="1"/>
  <c r="U438" i="1"/>
  <c r="AA446" i="1" l="1"/>
  <c r="S447" i="1"/>
  <c r="AB439" i="1"/>
  <c r="AC439" i="1" s="1"/>
  <c r="T440" i="1"/>
  <c r="V439" i="1"/>
  <c r="U439" i="1"/>
  <c r="AA447" i="1" l="1"/>
  <c r="S448" i="1"/>
  <c r="AB440" i="1"/>
  <c r="AC440" i="1" s="1"/>
  <c r="T441" i="1"/>
  <c r="U440" i="1"/>
  <c r="V440" i="1"/>
  <c r="AA448" i="1" l="1"/>
  <c r="S449" i="1"/>
  <c r="AB441" i="1"/>
  <c r="AC441" i="1" s="1"/>
  <c r="U441" i="1"/>
  <c r="V441" i="1"/>
  <c r="T442" i="1"/>
  <c r="AA449" i="1" l="1"/>
  <c r="S450" i="1"/>
  <c r="AB442" i="1"/>
  <c r="AC442" i="1" s="1"/>
  <c r="V442" i="1"/>
  <c r="T443" i="1"/>
  <c r="U442" i="1"/>
  <c r="AA450" i="1" l="1"/>
  <c r="S451" i="1"/>
  <c r="AB443" i="1"/>
  <c r="AC443" i="1" s="1"/>
  <c r="U443" i="1"/>
  <c r="V443" i="1"/>
  <c r="T444" i="1"/>
  <c r="S452" i="1" l="1"/>
  <c r="AA451" i="1"/>
  <c r="AB444" i="1"/>
  <c r="AC444" i="1" s="1"/>
  <c r="V444" i="1"/>
  <c r="U444" i="1"/>
  <c r="T445" i="1"/>
  <c r="AA452" i="1" l="1"/>
  <c r="S453" i="1"/>
  <c r="AB445" i="1"/>
  <c r="AC445" i="1" s="1"/>
  <c r="T446" i="1"/>
  <c r="U445" i="1"/>
  <c r="V445" i="1"/>
  <c r="AA453" i="1" l="1"/>
  <c r="S454" i="1"/>
  <c r="T447" i="1"/>
  <c r="V446" i="1"/>
  <c r="AB446" i="1"/>
  <c r="AC446" i="1" s="1"/>
  <c r="U446" i="1"/>
  <c r="AA454" i="1" l="1"/>
  <c r="S455" i="1"/>
  <c r="AB447" i="1"/>
  <c r="AC447" i="1" s="1"/>
  <c r="V447" i="1"/>
  <c r="T448" i="1"/>
  <c r="U447" i="1"/>
  <c r="AA455" i="1" l="1"/>
  <c r="S456" i="1"/>
  <c r="AB448" i="1"/>
  <c r="AC448" i="1" s="1"/>
  <c r="T449" i="1"/>
  <c r="U448" i="1"/>
  <c r="V448" i="1"/>
  <c r="AA456" i="1" l="1"/>
  <c r="S457" i="1"/>
  <c r="AB449" i="1"/>
  <c r="AC449" i="1" s="1"/>
  <c r="V449" i="1"/>
  <c r="U449" i="1"/>
  <c r="T450" i="1"/>
  <c r="AA457" i="1" l="1"/>
  <c r="S458" i="1"/>
  <c r="AB450" i="1"/>
  <c r="AC450" i="1" s="1"/>
  <c r="T451" i="1"/>
  <c r="V450" i="1"/>
  <c r="U450" i="1"/>
  <c r="AA458" i="1" l="1"/>
  <c r="S459" i="1"/>
  <c r="AB451" i="1"/>
  <c r="AC451" i="1" s="1"/>
  <c r="T452" i="1"/>
  <c r="U451" i="1"/>
  <c r="V451" i="1"/>
  <c r="AA459" i="1" l="1"/>
  <c r="S460" i="1"/>
  <c r="AB452" i="1"/>
  <c r="AC452" i="1" s="1"/>
  <c r="T453" i="1"/>
  <c r="U452" i="1"/>
  <c r="V452" i="1"/>
  <c r="S461" i="1" l="1"/>
  <c r="AA460" i="1"/>
  <c r="V453" i="1"/>
  <c r="AB453" i="1"/>
  <c r="AC453" i="1" s="1"/>
  <c r="T454" i="1"/>
  <c r="U453" i="1"/>
  <c r="AA461" i="1" l="1"/>
  <c r="S462" i="1"/>
  <c r="AB454" i="1"/>
  <c r="AC454" i="1" s="1"/>
  <c r="T455" i="1"/>
  <c r="U454" i="1"/>
  <c r="V454" i="1"/>
  <c r="S463" i="1" l="1"/>
  <c r="AA462" i="1"/>
  <c r="AB455" i="1"/>
  <c r="AC455" i="1" s="1"/>
  <c r="T456" i="1"/>
  <c r="U455" i="1"/>
  <c r="V455" i="1"/>
  <c r="AA463" i="1" l="1"/>
  <c r="S464" i="1"/>
  <c r="AB456" i="1"/>
  <c r="AC456" i="1" s="1"/>
  <c r="T457" i="1"/>
  <c r="U456" i="1"/>
  <c r="V456" i="1"/>
  <c r="S465" i="1" l="1"/>
  <c r="AA464" i="1"/>
  <c r="AB457" i="1"/>
  <c r="AC457" i="1" s="1"/>
  <c r="T458" i="1"/>
  <c r="V457" i="1"/>
  <c r="U457" i="1"/>
  <c r="S466" i="1" l="1"/>
  <c r="AA465" i="1"/>
  <c r="AB458" i="1"/>
  <c r="AC458" i="1" s="1"/>
  <c r="AI458" i="1" s="1"/>
  <c r="T459" i="1"/>
  <c r="U458" i="1"/>
  <c r="V458" i="1"/>
  <c r="AA466" i="1" l="1"/>
  <c r="S467" i="1"/>
  <c r="AB459" i="1"/>
  <c r="AC459" i="1" s="1"/>
  <c r="AI459" i="1" s="1"/>
  <c r="V459" i="1"/>
  <c r="T460" i="1"/>
  <c r="U459" i="1"/>
  <c r="AA467" i="1" l="1"/>
  <c r="S468" i="1"/>
  <c r="AB460" i="1"/>
  <c r="AC460" i="1" s="1"/>
  <c r="AI460" i="1" s="1"/>
  <c r="U460" i="1"/>
  <c r="T461" i="1"/>
  <c r="V460" i="1"/>
  <c r="AA468" i="1" l="1"/>
  <c r="S469" i="1"/>
  <c r="AB461" i="1"/>
  <c r="AC461" i="1" s="1"/>
  <c r="AI461" i="1" s="1"/>
  <c r="U461" i="1"/>
  <c r="T462" i="1"/>
  <c r="V461" i="1"/>
  <c r="AA469" i="1" l="1"/>
  <c r="S470" i="1"/>
  <c r="AB462" i="1"/>
  <c r="AC462" i="1" s="1"/>
  <c r="AI462" i="1" s="1"/>
  <c r="T463" i="1"/>
  <c r="V462" i="1"/>
  <c r="U462" i="1"/>
  <c r="AA470" i="1" l="1"/>
  <c r="S471" i="1"/>
  <c r="AB463" i="1"/>
  <c r="AC463" i="1" s="1"/>
  <c r="AI463" i="1" s="1"/>
  <c r="U463" i="1"/>
  <c r="V463" i="1"/>
  <c r="T464" i="1"/>
  <c r="AA471" i="1" l="1"/>
  <c r="S472" i="1"/>
  <c r="AB464" i="1"/>
  <c r="AC464" i="1" s="1"/>
  <c r="AI464" i="1" s="1"/>
  <c r="V464" i="1"/>
  <c r="U464" i="1"/>
  <c r="T465" i="1"/>
  <c r="AA472" i="1" l="1"/>
  <c r="S473" i="1"/>
  <c r="AB465" i="1"/>
  <c r="AC465" i="1" s="1"/>
  <c r="AI465" i="1" s="1"/>
  <c r="T466" i="1"/>
  <c r="U465" i="1"/>
  <c r="V465" i="1"/>
  <c r="S474" i="1" l="1"/>
  <c r="AA473" i="1"/>
  <c r="AB466" i="1"/>
  <c r="AC466" i="1" s="1"/>
  <c r="AI466" i="1" s="1"/>
  <c r="T467" i="1"/>
  <c r="V466" i="1"/>
  <c r="U466" i="1"/>
  <c r="AA474" i="1" l="1"/>
  <c r="S475" i="1"/>
  <c r="U467" i="1"/>
  <c r="T468" i="1"/>
  <c r="AB467" i="1"/>
  <c r="AC467" i="1" s="1"/>
  <c r="AI467" i="1" s="1"/>
  <c r="V467" i="1"/>
  <c r="S476" i="1" l="1"/>
  <c r="AA475" i="1"/>
  <c r="AB468" i="1"/>
  <c r="AC468" i="1" s="1"/>
  <c r="AI468" i="1" s="1"/>
  <c r="T469" i="1"/>
  <c r="V468" i="1"/>
  <c r="U468" i="1"/>
  <c r="S477" i="1" l="1"/>
  <c r="AA476" i="1"/>
  <c r="AB469" i="1"/>
  <c r="AC469" i="1" s="1"/>
  <c r="AI469" i="1" s="1"/>
  <c r="T470" i="1"/>
  <c r="V469" i="1"/>
  <c r="U469" i="1"/>
  <c r="AA477" i="1" l="1"/>
  <c r="S478" i="1"/>
  <c r="AB470" i="1"/>
  <c r="AC470" i="1" s="1"/>
  <c r="AI470" i="1" s="1"/>
  <c r="T471" i="1"/>
  <c r="V470" i="1"/>
  <c r="U470" i="1"/>
  <c r="AA478" i="1" l="1"/>
  <c r="S479" i="1"/>
  <c r="AB471" i="1"/>
  <c r="AC471" i="1" s="1"/>
  <c r="AI471" i="1" s="1"/>
  <c r="T472" i="1"/>
  <c r="V471" i="1"/>
  <c r="U471" i="1"/>
  <c r="AA479" i="1" l="1"/>
  <c r="S480" i="1"/>
  <c r="AB472" i="1"/>
  <c r="AC472" i="1" s="1"/>
  <c r="AI472" i="1" s="1"/>
  <c r="T473" i="1"/>
  <c r="V472" i="1"/>
  <c r="U472" i="1"/>
  <c r="AA480" i="1" l="1"/>
  <c r="S481" i="1"/>
  <c r="AB473" i="1"/>
  <c r="AC473" i="1" s="1"/>
  <c r="AI473" i="1" s="1"/>
  <c r="V473" i="1"/>
  <c r="U473" i="1"/>
  <c r="T474" i="1"/>
  <c r="AA481" i="1" l="1"/>
  <c r="S482" i="1"/>
  <c r="AB474" i="1"/>
  <c r="AC474" i="1" s="1"/>
  <c r="AI474" i="1" s="1"/>
  <c r="T475" i="1"/>
  <c r="U474" i="1"/>
  <c r="V474" i="1"/>
  <c r="AA482" i="1" l="1"/>
  <c r="S483" i="1"/>
  <c r="AB475" i="1"/>
  <c r="AC475" i="1" s="1"/>
  <c r="AI475" i="1" s="1"/>
  <c r="V475" i="1"/>
  <c r="T476" i="1"/>
  <c r="U475" i="1"/>
  <c r="AA483" i="1" l="1"/>
  <c r="S484" i="1"/>
  <c r="AB476" i="1"/>
  <c r="AC476" i="1" s="1"/>
  <c r="AI476" i="1" s="1"/>
  <c r="T477" i="1"/>
  <c r="V476" i="1"/>
  <c r="U476" i="1"/>
  <c r="S485" i="1" l="1"/>
  <c r="AA484" i="1"/>
  <c r="AB477" i="1"/>
  <c r="AC477" i="1" s="1"/>
  <c r="AI477" i="1" s="1"/>
  <c r="T478" i="1"/>
  <c r="U477" i="1"/>
  <c r="V477" i="1"/>
  <c r="AA485" i="1" l="1"/>
  <c r="S486" i="1"/>
  <c r="AB478" i="1"/>
  <c r="AC478" i="1" s="1"/>
  <c r="AI478" i="1" s="1"/>
  <c r="T479" i="1"/>
  <c r="V478" i="1"/>
  <c r="U478" i="1"/>
  <c r="S487" i="1" l="1"/>
  <c r="AA486" i="1"/>
  <c r="AB479" i="1"/>
  <c r="AC479" i="1" s="1"/>
  <c r="AI479" i="1" s="1"/>
  <c r="T480" i="1"/>
  <c r="U479" i="1"/>
  <c r="V479" i="1"/>
  <c r="S488" i="1" l="1"/>
  <c r="AA487" i="1"/>
  <c r="T481" i="1"/>
  <c r="AB480" i="1"/>
  <c r="AC480" i="1" s="1"/>
  <c r="AI480" i="1" s="1"/>
  <c r="U480" i="1"/>
  <c r="V480" i="1"/>
  <c r="AA488" i="1" l="1"/>
  <c r="S489" i="1"/>
  <c r="AB481" i="1"/>
  <c r="AC481" i="1" s="1"/>
  <c r="AI481" i="1" s="1"/>
  <c r="T482" i="1"/>
  <c r="V481" i="1"/>
  <c r="U481" i="1"/>
  <c r="AA489" i="1" l="1"/>
  <c r="S490" i="1"/>
  <c r="AB482" i="1"/>
  <c r="AC482" i="1" s="1"/>
  <c r="AI482" i="1" s="1"/>
  <c r="T483" i="1"/>
  <c r="V482" i="1"/>
  <c r="U482" i="1"/>
  <c r="AA490" i="1" l="1"/>
  <c r="S491" i="1"/>
  <c r="AB483" i="1"/>
  <c r="AC483" i="1" s="1"/>
  <c r="AI483" i="1" s="1"/>
  <c r="T484" i="1"/>
  <c r="U483" i="1"/>
  <c r="V483" i="1"/>
  <c r="S492" i="1" l="1"/>
  <c r="AA491" i="1"/>
  <c r="AB484" i="1"/>
  <c r="AC484" i="1" s="1"/>
  <c r="AI484" i="1" s="1"/>
  <c r="T485" i="1"/>
  <c r="V484" i="1"/>
  <c r="U484" i="1"/>
  <c r="S493" i="1" l="1"/>
  <c r="AA492" i="1"/>
  <c r="AB485" i="1"/>
  <c r="AC485" i="1" s="1"/>
  <c r="AI485" i="1" s="1"/>
  <c r="T486" i="1"/>
  <c r="U485" i="1"/>
  <c r="V485" i="1"/>
  <c r="AA493" i="1" l="1"/>
  <c r="S494" i="1"/>
  <c r="AB486" i="1"/>
  <c r="AC486" i="1" s="1"/>
  <c r="AI486" i="1" s="1"/>
  <c r="T487" i="1"/>
  <c r="U486" i="1"/>
  <c r="V486" i="1"/>
  <c r="AA494" i="1" l="1"/>
  <c r="S495" i="1"/>
  <c r="V487" i="1"/>
  <c r="AB487" i="1"/>
  <c r="AC487" i="1" s="1"/>
  <c r="AI487" i="1" s="1"/>
  <c r="T488" i="1"/>
  <c r="U487" i="1"/>
  <c r="AA495" i="1" l="1"/>
  <c r="S496" i="1"/>
  <c r="AB488" i="1"/>
  <c r="AC488" i="1" s="1"/>
  <c r="AI488" i="1" s="1"/>
  <c r="T489" i="1"/>
  <c r="U488" i="1"/>
  <c r="V488" i="1"/>
  <c r="S497" i="1" l="1"/>
  <c r="AA496" i="1"/>
  <c r="AB489" i="1"/>
  <c r="AC489" i="1" s="1"/>
  <c r="AI489" i="1" s="1"/>
  <c r="T490" i="1"/>
  <c r="U489" i="1"/>
  <c r="V489" i="1"/>
  <c r="AA497" i="1" l="1"/>
  <c r="S498" i="1"/>
  <c r="AB490" i="1"/>
  <c r="AC490" i="1" s="1"/>
  <c r="AI490" i="1" s="1"/>
  <c r="T491" i="1"/>
  <c r="V490" i="1"/>
  <c r="U490" i="1"/>
  <c r="AA498" i="1" l="1"/>
  <c r="S499" i="1"/>
  <c r="AB491" i="1"/>
  <c r="AC491" i="1" s="1"/>
  <c r="AI491" i="1" s="1"/>
  <c r="V491" i="1"/>
  <c r="T492" i="1"/>
  <c r="U491" i="1"/>
  <c r="AA499" i="1" l="1"/>
  <c r="S500" i="1"/>
  <c r="AB492" i="1"/>
  <c r="AC492" i="1" s="1"/>
  <c r="AI492" i="1" s="1"/>
  <c r="T493" i="1"/>
  <c r="U492" i="1"/>
  <c r="V492" i="1"/>
  <c r="S501" i="1" l="1"/>
  <c r="AA500" i="1"/>
  <c r="AB493" i="1"/>
  <c r="AC493" i="1" s="1"/>
  <c r="AI493" i="1" s="1"/>
  <c r="V493" i="1"/>
  <c r="U493" i="1"/>
  <c r="T494" i="1"/>
  <c r="S502" i="1" l="1"/>
  <c r="AA501" i="1"/>
  <c r="AB494" i="1"/>
  <c r="AC494" i="1" s="1"/>
  <c r="AI494" i="1" s="1"/>
  <c r="T495" i="1"/>
  <c r="V494" i="1"/>
  <c r="U494" i="1"/>
  <c r="AA502" i="1" l="1"/>
  <c r="S503" i="1"/>
  <c r="AB495" i="1"/>
  <c r="AC495" i="1" s="1"/>
  <c r="AI495" i="1" s="1"/>
  <c r="U495" i="1"/>
  <c r="V495" i="1"/>
  <c r="T496" i="1"/>
  <c r="AA503" i="1" l="1"/>
  <c r="S504" i="1"/>
  <c r="AB496" i="1"/>
  <c r="AC496" i="1" s="1"/>
  <c r="AI496" i="1" s="1"/>
  <c r="T497" i="1"/>
  <c r="U496" i="1"/>
  <c r="V496" i="1"/>
  <c r="AA504" i="1" l="1"/>
  <c r="S505" i="1"/>
  <c r="AB497" i="1"/>
  <c r="AC497" i="1" s="1"/>
  <c r="AI497" i="1" s="1"/>
  <c r="U497" i="1"/>
  <c r="V497" i="1"/>
  <c r="T498" i="1"/>
  <c r="AA505" i="1" l="1"/>
  <c r="S506" i="1"/>
  <c r="AB498" i="1"/>
  <c r="AC498" i="1" s="1"/>
  <c r="AI498" i="1" s="1"/>
  <c r="T499" i="1"/>
  <c r="U498" i="1"/>
  <c r="V498" i="1"/>
  <c r="AA506" i="1" l="1"/>
  <c r="S507" i="1"/>
  <c r="AB499" i="1"/>
  <c r="AC499" i="1" s="1"/>
  <c r="AI499" i="1" s="1"/>
  <c r="U499" i="1"/>
  <c r="V499" i="1"/>
  <c r="T500" i="1"/>
  <c r="S508" i="1" l="1"/>
  <c r="AA507" i="1"/>
  <c r="AB500" i="1"/>
  <c r="AC500" i="1" s="1"/>
  <c r="AI500" i="1" s="1"/>
  <c r="T501" i="1"/>
  <c r="V500" i="1"/>
  <c r="U500" i="1"/>
  <c r="S509" i="1" l="1"/>
  <c r="AA508" i="1"/>
  <c r="AB501" i="1"/>
  <c r="AC501" i="1" s="1"/>
  <c r="AI501" i="1" s="1"/>
  <c r="T502" i="1"/>
  <c r="U501" i="1"/>
  <c r="V501" i="1"/>
  <c r="AA509" i="1" l="1"/>
  <c r="S510" i="1"/>
  <c r="T503" i="1"/>
  <c r="V502" i="1"/>
  <c r="AB502" i="1"/>
  <c r="AC502" i="1" s="1"/>
  <c r="AI502" i="1" s="1"/>
  <c r="U502" i="1"/>
  <c r="S511" i="1" l="1"/>
  <c r="AA510" i="1"/>
  <c r="AB503" i="1"/>
  <c r="AC503" i="1" s="1"/>
  <c r="AI503" i="1" s="1"/>
  <c r="T504" i="1"/>
  <c r="U503" i="1"/>
  <c r="V503" i="1"/>
  <c r="S512" i="1" l="1"/>
  <c r="AA511" i="1"/>
  <c r="AB504" i="1"/>
  <c r="AC504" i="1" s="1"/>
  <c r="AI504" i="1" s="1"/>
  <c r="T505" i="1"/>
  <c r="V504" i="1"/>
  <c r="U504" i="1"/>
  <c r="S513" i="1" l="1"/>
  <c r="AA512" i="1"/>
  <c r="AB505" i="1"/>
  <c r="AC505" i="1" s="1"/>
  <c r="AI505" i="1" s="1"/>
  <c r="V505" i="1"/>
  <c r="T506" i="1"/>
  <c r="U505" i="1"/>
  <c r="AA513" i="1" l="1"/>
  <c r="S514" i="1"/>
  <c r="AB506" i="1"/>
  <c r="AC506" i="1" s="1"/>
  <c r="AI506" i="1" s="1"/>
  <c r="T507" i="1"/>
  <c r="U506" i="1"/>
  <c r="V506" i="1"/>
  <c r="AA514" i="1" l="1"/>
  <c r="S515" i="1"/>
  <c r="U507" i="1"/>
  <c r="T508" i="1"/>
  <c r="AB507" i="1"/>
  <c r="AC507" i="1" s="1"/>
  <c r="AI507" i="1" s="1"/>
  <c r="V507" i="1"/>
  <c r="AA515" i="1" l="1"/>
  <c r="S516" i="1"/>
  <c r="AB508" i="1"/>
  <c r="AC508" i="1" s="1"/>
  <c r="AI508" i="1" s="1"/>
  <c r="T509" i="1"/>
  <c r="V508" i="1"/>
  <c r="U508" i="1"/>
  <c r="AA516" i="1" l="1"/>
  <c r="S517" i="1"/>
  <c r="U509" i="1"/>
  <c r="T510" i="1"/>
  <c r="AB509" i="1"/>
  <c r="AC509" i="1" s="1"/>
  <c r="AI509" i="1" s="1"/>
  <c r="V509" i="1"/>
  <c r="AA517" i="1" l="1"/>
  <c r="S518" i="1"/>
  <c r="AB510" i="1"/>
  <c r="AC510" i="1" s="1"/>
  <c r="AI510" i="1" s="1"/>
  <c r="T511" i="1"/>
  <c r="U510" i="1"/>
  <c r="V510" i="1"/>
  <c r="AA518" i="1" l="1"/>
  <c r="S519" i="1"/>
  <c r="AB511" i="1"/>
  <c r="AC511" i="1" s="1"/>
  <c r="AI511" i="1" s="1"/>
  <c r="T512" i="1"/>
  <c r="U511" i="1"/>
  <c r="V511" i="1"/>
  <c r="AA519" i="1" l="1"/>
  <c r="S520" i="1"/>
  <c r="AB512" i="1"/>
  <c r="AC512" i="1" s="1"/>
  <c r="AI512" i="1" s="1"/>
  <c r="T513" i="1"/>
  <c r="U512" i="1"/>
  <c r="V512" i="1"/>
  <c r="S521" i="1" l="1"/>
  <c r="AA520" i="1"/>
  <c r="AB513" i="1"/>
  <c r="AC513" i="1" s="1"/>
  <c r="AI513" i="1" s="1"/>
  <c r="T514" i="1"/>
  <c r="U513" i="1"/>
  <c r="V513" i="1"/>
  <c r="AA521" i="1" l="1"/>
  <c r="S522" i="1"/>
  <c r="V514" i="1"/>
  <c r="U514" i="1"/>
  <c r="AB514" i="1"/>
  <c r="AC514" i="1" s="1"/>
  <c r="AI514" i="1" s="1"/>
  <c r="T515" i="1"/>
  <c r="S523" i="1" l="1"/>
  <c r="AA522" i="1"/>
  <c r="AB515" i="1"/>
  <c r="AC515" i="1" s="1"/>
  <c r="AI515" i="1" s="1"/>
  <c r="T516" i="1"/>
  <c r="V515" i="1"/>
  <c r="U515" i="1"/>
  <c r="S524" i="1" l="1"/>
  <c r="AA523" i="1"/>
  <c r="AB516" i="1"/>
  <c r="AC516" i="1" s="1"/>
  <c r="AI516" i="1" s="1"/>
  <c r="V516" i="1"/>
  <c r="U516" i="1"/>
  <c r="T517" i="1"/>
  <c r="AA524" i="1" l="1"/>
  <c r="S525" i="1"/>
  <c r="V517" i="1"/>
  <c r="AB517" i="1"/>
  <c r="AC517" i="1" s="1"/>
  <c r="AI517" i="1" s="1"/>
  <c r="U517" i="1"/>
  <c r="T518" i="1"/>
  <c r="S526" i="1" l="1"/>
  <c r="AA525" i="1"/>
  <c r="AB518" i="1"/>
  <c r="AC518" i="1" s="1"/>
  <c r="AI518" i="1" s="1"/>
  <c r="T519" i="1"/>
  <c r="U518" i="1"/>
  <c r="V518" i="1"/>
  <c r="S527" i="1" l="1"/>
  <c r="AA526" i="1"/>
  <c r="AB519" i="1"/>
  <c r="AC519" i="1" s="1"/>
  <c r="AI519" i="1" s="1"/>
  <c r="T520" i="1"/>
  <c r="V519" i="1"/>
  <c r="U519" i="1"/>
  <c r="S528" i="1" l="1"/>
  <c r="AA527" i="1"/>
  <c r="T521" i="1"/>
  <c r="AB520" i="1"/>
  <c r="AC520" i="1" s="1"/>
  <c r="AI520" i="1" s="1"/>
  <c r="V520" i="1"/>
  <c r="U520" i="1"/>
  <c r="S529" i="1" l="1"/>
  <c r="AA528" i="1"/>
  <c r="T522" i="1"/>
  <c r="V521" i="1"/>
  <c r="AB521" i="1"/>
  <c r="AC521" i="1" s="1"/>
  <c r="AI521" i="1" s="1"/>
  <c r="U521" i="1"/>
  <c r="S530" i="1" l="1"/>
  <c r="AA529" i="1"/>
  <c r="AB522" i="1"/>
  <c r="AC522" i="1" s="1"/>
  <c r="AI522" i="1" s="1"/>
  <c r="T523" i="1"/>
  <c r="V522" i="1"/>
  <c r="U522" i="1"/>
  <c r="AA530" i="1" l="1"/>
  <c r="S531" i="1"/>
  <c r="AB523" i="1"/>
  <c r="AC523" i="1" s="1"/>
  <c r="AI523" i="1" s="1"/>
  <c r="T524" i="1"/>
  <c r="U523" i="1"/>
  <c r="V523" i="1"/>
  <c r="AA531" i="1" l="1"/>
  <c r="S532" i="1"/>
  <c r="T525" i="1"/>
  <c r="U524" i="1"/>
  <c r="AB524" i="1"/>
  <c r="AC524" i="1" s="1"/>
  <c r="AI524" i="1" s="1"/>
  <c r="V524" i="1"/>
  <c r="S533" i="1" l="1"/>
  <c r="AA532" i="1"/>
  <c r="AB525" i="1"/>
  <c r="AC525" i="1" s="1"/>
  <c r="AI525" i="1" s="1"/>
  <c r="T526" i="1"/>
  <c r="U525" i="1"/>
  <c r="V525" i="1"/>
  <c r="AA533" i="1" l="1"/>
  <c r="S534" i="1"/>
  <c r="AB526" i="1"/>
  <c r="AC526" i="1" s="1"/>
  <c r="AI526" i="1" s="1"/>
  <c r="T527" i="1"/>
  <c r="U526" i="1"/>
  <c r="V526" i="1"/>
  <c r="AA534" i="1" l="1"/>
  <c r="S535" i="1"/>
  <c r="AB527" i="1"/>
  <c r="AC527" i="1" s="1"/>
  <c r="AI527" i="1" s="1"/>
  <c r="T528" i="1"/>
  <c r="U527" i="1"/>
  <c r="V527" i="1"/>
  <c r="AA535" i="1" l="1"/>
  <c r="S536" i="1"/>
  <c r="AB528" i="1"/>
  <c r="AC528" i="1" s="1"/>
  <c r="AI528" i="1" s="1"/>
  <c r="V528" i="1"/>
  <c r="T529" i="1"/>
  <c r="U528" i="1"/>
  <c r="AA536" i="1" l="1"/>
  <c r="S537" i="1"/>
  <c r="AB529" i="1"/>
  <c r="AC529" i="1" s="1"/>
  <c r="AI529" i="1" s="1"/>
  <c r="V529" i="1"/>
  <c r="U529" i="1"/>
  <c r="T530" i="1"/>
  <c r="AA537" i="1" l="1"/>
  <c r="S538" i="1"/>
  <c r="AB530" i="1"/>
  <c r="AC530" i="1" s="1"/>
  <c r="AI530" i="1" s="1"/>
  <c r="T531" i="1"/>
  <c r="U530" i="1"/>
  <c r="V530" i="1"/>
  <c r="S539" i="1" l="1"/>
  <c r="AA538" i="1"/>
  <c r="AB531" i="1"/>
  <c r="AC531" i="1" s="1"/>
  <c r="AI531" i="1" s="1"/>
  <c r="U531" i="1"/>
  <c r="V531" i="1"/>
  <c r="T532" i="1"/>
  <c r="S540" i="1" l="1"/>
  <c r="AA539" i="1"/>
  <c r="AB532" i="1"/>
  <c r="AC532" i="1" s="1"/>
  <c r="AI532" i="1" s="1"/>
  <c r="U532" i="1"/>
  <c r="V532" i="1"/>
  <c r="T533" i="1"/>
  <c r="AA540" i="1" l="1"/>
  <c r="S541" i="1"/>
  <c r="AB533" i="1"/>
  <c r="AC533" i="1" s="1"/>
  <c r="AI533" i="1" s="1"/>
  <c r="T534" i="1"/>
  <c r="V533" i="1"/>
  <c r="U533" i="1"/>
  <c r="S542" i="1" l="1"/>
  <c r="AA541" i="1"/>
  <c r="AB534" i="1"/>
  <c r="AC534" i="1" s="1"/>
  <c r="AI534" i="1" s="1"/>
  <c r="V534" i="1"/>
  <c r="T535" i="1"/>
  <c r="U534" i="1"/>
  <c r="AA542" i="1" l="1"/>
  <c r="S543" i="1"/>
  <c r="AB535" i="1"/>
  <c r="AC535" i="1" s="1"/>
  <c r="AI535" i="1" s="1"/>
  <c r="V535" i="1"/>
  <c r="T536" i="1"/>
  <c r="U535" i="1"/>
  <c r="AA543" i="1" l="1"/>
  <c r="S544" i="1"/>
  <c r="T537" i="1"/>
  <c r="AB536" i="1"/>
  <c r="AC536" i="1" s="1"/>
  <c r="AI536" i="1" s="1"/>
  <c r="U536" i="1"/>
  <c r="V536" i="1"/>
  <c r="AA544" i="1" l="1"/>
  <c r="S545" i="1"/>
  <c r="AB537" i="1"/>
  <c r="AC537" i="1" s="1"/>
  <c r="AI537" i="1" s="1"/>
  <c r="T538" i="1"/>
  <c r="V537" i="1"/>
  <c r="U537" i="1"/>
  <c r="AA545" i="1" l="1"/>
  <c r="S546" i="1"/>
  <c r="AB538" i="1"/>
  <c r="AC538" i="1" s="1"/>
  <c r="AI538" i="1" s="1"/>
  <c r="U538" i="1"/>
  <c r="V538" i="1"/>
  <c r="T539" i="1"/>
  <c r="AA546" i="1" l="1"/>
  <c r="S547" i="1"/>
  <c r="AB539" i="1"/>
  <c r="AC539" i="1" s="1"/>
  <c r="AI539" i="1" s="1"/>
  <c r="T540" i="1"/>
  <c r="U539" i="1"/>
  <c r="V539" i="1"/>
  <c r="AA547" i="1" l="1"/>
  <c r="S548" i="1"/>
  <c r="AB540" i="1"/>
  <c r="AC540" i="1" s="1"/>
  <c r="AI540" i="1" s="1"/>
  <c r="T541" i="1"/>
  <c r="U540" i="1"/>
  <c r="V540" i="1"/>
  <c r="S549" i="1" l="1"/>
  <c r="AA548" i="1"/>
  <c r="AB541" i="1"/>
  <c r="AC541" i="1" s="1"/>
  <c r="AI541" i="1" s="1"/>
  <c r="V541" i="1"/>
  <c r="U541" i="1"/>
  <c r="T542" i="1"/>
  <c r="AA549" i="1" l="1"/>
  <c r="S550" i="1"/>
  <c r="AB542" i="1"/>
  <c r="AC542" i="1" s="1"/>
  <c r="AI542" i="1" s="1"/>
  <c r="T543" i="1"/>
  <c r="U542" i="1"/>
  <c r="V542" i="1"/>
  <c r="AA550" i="1" l="1"/>
  <c r="S551" i="1"/>
  <c r="AB543" i="1"/>
  <c r="AC543" i="1" s="1"/>
  <c r="AI543" i="1" s="1"/>
  <c r="T544" i="1"/>
  <c r="U543" i="1"/>
  <c r="V543" i="1"/>
  <c r="AA551" i="1" l="1"/>
  <c r="S552" i="1"/>
  <c r="AB544" i="1"/>
  <c r="AC544" i="1" s="1"/>
  <c r="AI544" i="1" s="1"/>
  <c r="U544" i="1"/>
  <c r="V544" i="1"/>
  <c r="T545" i="1"/>
  <c r="AA552" i="1" l="1"/>
  <c r="S553" i="1"/>
  <c r="AB545" i="1"/>
  <c r="AC545" i="1" s="1"/>
  <c r="AI545" i="1" s="1"/>
  <c r="T546" i="1"/>
  <c r="U545" i="1"/>
  <c r="V545" i="1"/>
  <c r="AA553" i="1" l="1"/>
  <c r="S554" i="1"/>
  <c r="T547" i="1"/>
  <c r="U546" i="1"/>
  <c r="AB546" i="1"/>
  <c r="AC546" i="1" s="1"/>
  <c r="AI546" i="1" s="1"/>
  <c r="V546" i="1"/>
  <c r="AA554" i="1" l="1"/>
  <c r="S555" i="1"/>
  <c r="AB547" i="1"/>
  <c r="AC547" i="1" s="1"/>
  <c r="AI547" i="1" s="1"/>
  <c r="T548" i="1"/>
  <c r="U547" i="1"/>
  <c r="V547" i="1"/>
  <c r="S556" i="1" l="1"/>
  <c r="AA555" i="1"/>
  <c r="AB548" i="1"/>
  <c r="AC548" i="1" s="1"/>
  <c r="AI548" i="1" s="1"/>
  <c r="T549" i="1"/>
  <c r="U548" i="1"/>
  <c r="V548" i="1"/>
  <c r="S557" i="1" l="1"/>
  <c r="AA556" i="1"/>
  <c r="T550" i="1"/>
  <c r="U549" i="1"/>
  <c r="AB549" i="1"/>
  <c r="AC549" i="1" s="1"/>
  <c r="AI549" i="1" s="1"/>
  <c r="V549" i="1"/>
  <c r="AA557" i="1" l="1"/>
  <c r="S558" i="1"/>
  <c r="AB550" i="1"/>
  <c r="AC550" i="1" s="1"/>
  <c r="AI550" i="1" s="1"/>
  <c r="T551" i="1"/>
  <c r="U550" i="1"/>
  <c r="V550" i="1"/>
  <c r="AA558" i="1" l="1"/>
  <c r="S559" i="1"/>
  <c r="AB551" i="1"/>
  <c r="AC551" i="1" s="1"/>
  <c r="AI551" i="1" s="1"/>
  <c r="U551" i="1"/>
  <c r="T552" i="1"/>
  <c r="V551" i="1"/>
  <c r="AA559" i="1" l="1"/>
  <c r="S560" i="1"/>
  <c r="AB552" i="1"/>
  <c r="AC552" i="1" s="1"/>
  <c r="AI552" i="1" s="1"/>
  <c r="T553" i="1"/>
  <c r="U552" i="1"/>
  <c r="V552" i="1"/>
  <c r="AA560" i="1" l="1"/>
  <c r="S561" i="1"/>
  <c r="AB553" i="1"/>
  <c r="AC553" i="1" s="1"/>
  <c r="AI553" i="1" s="1"/>
  <c r="T554" i="1"/>
  <c r="U553" i="1"/>
  <c r="V553" i="1"/>
  <c r="AA561" i="1" l="1"/>
  <c r="S562" i="1"/>
  <c r="AB554" i="1"/>
  <c r="AC554" i="1" s="1"/>
  <c r="AI554" i="1" s="1"/>
  <c r="T555" i="1"/>
  <c r="V554" i="1"/>
  <c r="U554" i="1"/>
  <c r="AA562" i="1" l="1"/>
  <c r="S563" i="1"/>
  <c r="AB555" i="1"/>
  <c r="AC555" i="1" s="1"/>
  <c r="AI555" i="1" s="1"/>
  <c r="T556" i="1"/>
  <c r="U555" i="1"/>
  <c r="V555" i="1"/>
  <c r="AA563" i="1" l="1"/>
  <c r="S564" i="1"/>
  <c r="AB556" i="1"/>
  <c r="AC556" i="1" s="1"/>
  <c r="AI556" i="1" s="1"/>
  <c r="T557" i="1"/>
  <c r="U556" i="1"/>
  <c r="V556" i="1"/>
  <c r="AA564" i="1" l="1"/>
  <c r="S565" i="1"/>
  <c r="AB557" i="1"/>
  <c r="AC557" i="1" s="1"/>
  <c r="AI557" i="1" s="1"/>
  <c r="T558" i="1"/>
  <c r="U557" i="1"/>
  <c r="V557" i="1"/>
  <c r="S566" i="1" l="1"/>
  <c r="AA565" i="1"/>
  <c r="AB558" i="1"/>
  <c r="AC558" i="1" s="1"/>
  <c r="AI558" i="1" s="1"/>
  <c r="T559" i="1"/>
  <c r="U558" i="1"/>
  <c r="V558" i="1"/>
  <c r="AA566" i="1" l="1"/>
  <c r="S567" i="1"/>
  <c r="AB559" i="1"/>
  <c r="AC559" i="1" s="1"/>
  <c r="AI559" i="1" s="1"/>
  <c r="T560" i="1"/>
  <c r="V559" i="1"/>
  <c r="U559" i="1"/>
  <c r="AA567" i="1" l="1"/>
  <c r="S568" i="1"/>
  <c r="AB560" i="1"/>
  <c r="AC560" i="1" s="1"/>
  <c r="AI560" i="1" s="1"/>
  <c r="T561" i="1"/>
  <c r="U560" i="1"/>
  <c r="V560" i="1"/>
  <c r="AA568" i="1" l="1"/>
  <c r="S569" i="1"/>
  <c r="AB561" i="1"/>
  <c r="AC561" i="1" s="1"/>
  <c r="AI561" i="1" s="1"/>
  <c r="T562" i="1"/>
  <c r="U561" i="1"/>
  <c r="V561" i="1"/>
  <c r="S570" i="1" l="1"/>
  <c r="AA569" i="1"/>
  <c r="U562" i="1"/>
  <c r="AB562" i="1"/>
  <c r="AC562" i="1" s="1"/>
  <c r="AI562" i="1" s="1"/>
  <c r="V562" i="1"/>
  <c r="T563" i="1"/>
  <c r="AA570" i="1" l="1"/>
  <c r="S571" i="1"/>
  <c r="AB563" i="1"/>
  <c r="AC563" i="1" s="1"/>
  <c r="AI563" i="1" s="1"/>
  <c r="U563" i="1"/>
  <c r="V563" i="1"/>
  <c r="T564" i="1"/>
  <c r="AA571" i="1" l="1"/>
  <c r="S572" i="1"/>
  <c r="AB564" i="1"/>
  <c r="AC564" i="1" s="1"/>
  <c r="AI564" i="1" s="1"/>
  <c r="T565" i="1"/>
  <c r="V564" i="1"/>
  <c r="U564" i="1"/>
  <c r="AA572" i="1" l="1"/>
  <c r="S573" i="1"/>
  <c r="AB565" i="1"/>
  <c r="AC565" i="1" s="1"/>
  <c r="AI565" i="1" s="1"/>
  <c r="T566" i="1"/>
  <c r="V565" i="1"/>
  <c r="U565" i="1"/>
  <c r="AA573" i="1" l="1"/>
  <c r="S574" i="1"/>
  <c r="AB566" i="1"/>
  <c r="AC566" i="1" s="1"/>
  <c r="AI566" i="1" s="1"/>
  <c r="T567" i="1"/>
  <c r="U566" i="1"/>
  <c r="V566" i="1"/>
  <c r="AA574" i="1" l="1"/>
  <c r="S575" i="1"/>
  <c r="AB567" i="1"/>
  <c r="AC567" i="1" s="1"/>
  <c r="AI567" i="1" s="1"/>
  <c r="T568" i="1"/>
  <c r="U567" i="1"/>
  <c r="V567" i="1"/>
  <c r="AA575" i="1" l="1"/>
  <c r="S576" i="1"/>
  <c r="AB568" i="1"/>
  <c r="AC568" i="1" s="1"/>
  <c r="AI568" i="1" s="1"/>
  <c r="U568" i="1"/>
  <c r="T569" i="1"/>
  <c r="V568" i="1"/>
  <c r="S577" i="1" l="1"/>
  <c r="AA576" i="1"/>
  <c r="AB569" i="1"/>
  <c r="AC569" i="1" s="1"/>
  <c r="AI569" i="1" s="1"/>
  <c r="T570" i="1"/>
  <c r="V569" i="1"/>
  <c r="U569" i="1"/>
  <c r="AA577" i="1" l="1"/>
  <c r="S578" i="1"/>
  <c r="AB570" i="1"/>
  <c r="AC570" i="1" s="1"/>
  <c r="AI570" i="1" s="1"/>
  <c r="T571" i="1"/>
  <c r="V570" i="1"/>
  <c r="U570" i="1"/>
  <c r="AA578" i="1" l="1"/>
  <c r="S579" i="1"/>
  <c r="AB571" i="1"/>
  <c r="AC571" i="1" s="1"/>
  <c r="AI571" i="1" s="1"/>
  <c r="T572" i="1"/>
  <c r="V571" i="1"/>
  <c r="U571" i="1"/>
  <c r="AA579" i="1" l="1"/>
  <c r="S580" i="1"/>
  <c r="AB572" i="1"/>
  <c r="AC572" i="1" s="1"/>
  <c r="AI572" i="1" s="1"/>
  <c r="T573" i="1"/>
  <c r="U572" i="1"/>
  <c r="V572" i="1"/>
  <c r="AA580" i="1" l="1"/>
  <c r="S581" i="1"/>
  <c r="AB573" i="1"/>
  <c r="AC573" i="1" s="1"/>
  <c r="AI573" i="1" s="1"/>
  <c r="T574" i="1"/>
  <c r="U573" i="1"/>
  <c r="V573" i="1"/>
  <c r="AA581" i="1" l="1"/>
  <c r="S582" i="1"/>
  <c r="AB574" i="1"/>
  <c r="AC574" i="1" s="1"/>
  <c r="AI574" i="1" s="1"/>
  <c r="U574" i="1"/>
  <c r="T575" i="1"/>
  <c r="V574" i="1"/>
  <c r="AA582" i="1" l="1"/>
  <c r="S583" i="1"/>
  <c r="AB575" i="1"/>
  <c r="AC575" i="1" s="1"/>
  <c r="AI575" i="1" s="1"/>
  <c r="T576" i="1"/>
  <c r="V575" i="1"/>
  <c r="U575" i="1"/>
  <c r="S584" i="1" l="1"/>
  <c r="AA583" i="1"/>
  <c r="AB576" i="1"/>
  <c r="AC576" i="1" s="1"/>
  <c r="AI576" i="1" s="1"/>
  <c r="T577" i="1"/>
  <c r="U576" i="1"/>
  <c r="V576" i="1"/>
  <c r="S585" i="1" l="1"/>
  <c r="AA584" i="1"/>
  <c r="AB577" i="1"/>
  <c r="AC577" i="1" s="1"/>
  <c r="AI577" i="1" s="1"/>
  <c r="V577" i="1"/>
  <c r="U577" i="1"/>
  <c r="T578" i="1"/>
  <c r="S586" i="1" l="1"/>
  <c r="AA585" i="1"/>
  <c r="AB578" i="1"/>
  <c r="AC578" i="1" s="1"/>
  <c r="AI578" i="1" s="1"/>
  <c r="U578" i="1"/>
  <c r="V578" i="1"/>
  <c r="T579" i="1"/>
  <c r="AA586" i="1" l="1"/>
  <c r="S587" i="1"/>
  <c r="AB579" i="1"/>
  <c r="AC579" i="1" s="1"/>
  <c r="AI579" i="1" s="1"/>
  <c r="T580" i="1"/>
  <c r="U579" i="1"/>
  <c r="V579" i="1"/>
  <c r="AA587" i="1" l="1"/>
  <c r="S588" i="1"/>
  <c r="V580" i="1"/>
  <c r="AB580" i="1"/>
  <c r="AC580" i="1" s="1"/>
  <c r="AI580" i="1" s="1"/>
  <c r="U580" i="1"/>
  <c r="T581" i="1"/>
  <c r="AA588" i="1" l="1"/>
  <c r="S589" i="1"/>
  <c r="AB581" i="1"/>
  <c r="AC581" i="1" s="1"/>
  <c r="AI581" i="1" s="1"/>
  <c r="V581" i="1"/>
  <c r="U581" i="1"/>
  <c r="T582" i="1"/>
  <c r="AA589" i="1" l="1"/>
  <c r="S590" i="1"/>
  <c r="AB582" i="1"/>
  <c r="AC582" i="1" s="1"/>
  <c r="AI582" i="1" s="1"/>
  <c r="T583" i="1"/>
  <c r="U582" i="1"/>
  <c r="V582" i="1"/>
  <c r="AA590" i="1" l="1"/>
  <c r="S591" i="1"/>
  <c r="AB583" i="1"/>
  <c r="AC583" i="1" s="1"/>
  <c r="AI583" i="1" s="1"/>
  <c r="T584" i="1"/>
  <c r="V583" i="1"/>
  <c r="U583" i="1"/>
  <c r="AA591" i="1" l="1"/>
  <c r="S592" i="1"/>
  <c r="AB584" i="1"/>
  <c r="AC584" i="1" s="1"/>
  <c r="AI584" i="1" s="1"/>
  <c r="T585" i="1"/>
  <c r="V584" i="1"/>
  <c r="U584" i="1"/>
  <c r="S593" i="1" l="1"/>
  <c r="AA592" i="1"/>
  <c r="AB585" i="1"/>
  <c r="AC585" i="1" s="1"/>
  <c r="AI585" i="1" s="1"/>
  <c r="T586" i="1"/>
  <c r="U585" i="1"/>
  <c r="V585" i="1"/>
  <c r="AA593" i="1" l="1"/>
  <c r="S594" i="1"/>
  <c r="V586" i="1"/>
  <c r="AB586" i="1"/>
  <c r="AC586" i="1" s="1"/>
  <c r="AI586" i="1" s="1"/>
  <c r="T587" i="1"/>
  <c r="U586" i="1"/>
  <c r="AA594" i="1" l="1"/>
  <c r="S595" i="1"/>
  <c r="AB587" i="1"/>
  <c r="AC587" i="1" s="1"/>
  <c r="AI587" i="1" s="1"/>
  <c r="U587" i="1"/>
  <c r="T588" i="1"/>
  <c r="V587" i="1"/>
  <c r="AA595" i="1" l="1"/>
  <c r="S596" i="1"/>
  <c r="U588" i="1"/>
  <c r="AB588" i="1"/>
  <c r="AC588" i="1" s="1"/>
  <c r="AI588" i="1" s="1"/>
  <c r="T589" i="1"/>
  <c r="V588" i="1"/>
  <c r="AA596" i="1" l="1"/>
  <c r="S597" i="1"/>
  <c r="AB589" i="1"/>
  <c r="AC589" i="1" s="1"/>
  <c r="AI589" i="1" s="1"/>
  <c r="T590" i="1"/>
  <c r="V589" i="1"/>
  <c r="U589" i="1"/>
  <c r="AA597" i="1" l="1"/>
  <c r="S598" i="1"/>
  <c r="U590" i="1"/>
  <c r="V590" i="1"/>
  <c r="AB590" i="1"/>
  <c r="AC590" i="1" s="1"/>
  <c r="AI590" i="1" s="1"/>
  <c r="T591" i="1"/>
  <c r="AA598" i="1" l="1"/>
  <c r="S599" i="1"/>
  <c r="AB591" i="1"/>
  <c r="AC591" i="1" s="1"/>
  <c r="AI591" i="1" s="1"/>
  <c r="T592" i="1"/>
  <c r="V591" i="1"/>
  <c r="U591" i="1"/>
  <c r="S600" i="1" l="1"/>
  <c r="AA599" i="1"/>
  <c r="V592" i="1"/>
  <c r="U592" i="1"/>
  <c r="T593" i="1"/>
  <c r="AB592" i="1"/>
  <c r="AC592" i="1" s="1"/>
  <c r="AI592" i="1" s="1"/>
  <c r="AA600" i="1" l="1"/>
  <c r="S601" i="1"/>
  <c r="T594" i="1"/>
  <c r="AB593" i="1"/>
  <c r="AC593" i="1" s="1"/>
  <c r="AI593" i="1" s="1"/>
  <c r="U593" i="1"/>
  <c r="V593" i="1"/>
  <c r="AA601" i="1" l="1"/>
  <c r="S602" i="1"/>
  <c r="AB594" i="1"/>
  <c r="AC594" i="1" s="1"/>
  <c r="AI594" i="1" s="1"/>
  <c r="T595" i="1"/>
  <c r="V594" i="1"/>
  <c r="U594" i="1"/>
  <c r="S603" i="1" l="1"/>
  <c r="AA602" i="1"/>
  <c r="AB595" i="1"/>
  <c r="AC595" i="1" s="1"/>
  <c r="AI595" i="1" s="1"/>
  <c r="U595" i="1"/>
  <c r="V595" i="1"/>
  <c r="T596" i="1"/>
  <c r="AA603" i="1" l="1"/>
  <c r="S604" i="1"/>
  <c r="AB596" i="1"/>
  <c r="AC596" i="1" s="1"/>
  <c r="AI596" i="1" s="1"/>
  <c r="T597" i="1"/>
  <c r="V596" i="1"/>
  <c r="U596" i="1"/>
  <c r="AA604" i="1" l="1"/>
  <c r="S605" i="1"/>
  <c r="V597" i="1"/>
  <c r="U597" i="1"/>
  <c r="AB597" i="1"/>
  <c r="AC597" i="1" s="1"/>
  <c r="AI597" i="1" s="1"/>
  <c r="T598" i="1"/>
  <c r="AA605" i="1" l="1"/>
  <c r="S606" i="1"/>
  <c r="AB598" i="1"/>
  <c r="AC598" i="1" s="1"/>
  <c r="AI598" i="1" s="1"/>
  <c r="T599" i="1"/>
  <c r="V598" i="1"/>
  <c r="U598" i="1"/>
  <c r="AA606" i="1" l="1"/>
  <c r="S607" i="1"/>
  <c r="AB599" i="1"/>
  <c r="AC599" i="1" s="1"/>
  <c r="AI599" i="1" s="1"/>
  <c r="T600" i="1"/>
  <c r="U599" i="1"/>
  <c r="V599" i="1"/>
  <c r="AA607" i="1" l="1"/>
  <c r="S608" i="1"/>
  <c r="T601" i="1"/>
  <c r="AB600" i="1"/>
  <c r="AC600" i="1" s="1"/>
  <c r="AI600" i="1" s="1"/>
  <c r="V600" i="1"/>
  <c r="U600" i="1"/>
  <c r="AA608" i="1" l="1"/>
  <c r="S609" i="1"/>
  <c r="T602" i="1"/>
  <c r="V601" i="1"/>
  <c r="AB601" i="1"/>
  <c r="AC601" i="1" s="1"/>
  <c r="AI601" i="1" s="1"/>
  <c r="U601" i="1"/>
  <c r="S610" i="1" l="1"/>
  <c r="AA609" i="1"/>
  <c r="AB602" i="1"/>
  <c r="AC602" i="1" s="1"/>
  <c r="AI602" i="1" s="1"/>
  <c r="T603" i="1"/>
  <c r="U602" i="1"/>
  <c r="V602" i="1"/>
  <c r="S611" i="1" l="1"/>
  <c r="AA610" i="1"/>
  <c r="AB603" i="1"/>
  <c r="AC603" i="1" s="1"/>
  <c r="AI603" i="1" s="1"/>
  <c r="T604" i="1"/>
  <c r="U603" i="1"/>
  <c r="V603" i="1"/>
  <c r="AA611" i="1" l="1"/>
  <c r="S612" i="1"/>
  <c r="U604" i="1"/>
  <c r="AB604" i="1"/>
  <c r="AC604" i="1" s="1"/>
  <c r="AI604" i="1" s="1"/>
  <c r="V604" i="1"/>
  <c r="T605" i="1"/>
  <c r="AA612" i="1" l="1"/>
  <c r="S613" i="1"/>
  <c r="AB605" i="1"/>
  <c r="AC605" i="1" s="1"/>
  <c r="AI605" i="1" s="1"/>
  <c r="T606" i="1"/>
  <c r="V605" i="1"/>
  <c r="U605" i="1"/>
  <c r="AA613" i="1" l="1"/>
  <c r="S614" i="1"/>
  <c r="AB606" i="1"/>
  <c r="AC606" i="1" s="1"/>
  <c r="AI606" i="1" s="1"/>
  <c r="U606" i="1"/>
  <c r="V606" i="1"/>
  <c r="T607" i="1"/>
  <c r="S615" i="1" l="1"/>
  <c r="AA614" i="1"/>
  <c r="T608" i="1"/>
  <c r="AB607" i="1"/>
  <c r="AC607" i="1" s="1"/>
  <c r="AI607" i="1" s="1"/>
  <c r="U607" i="1"/>
  <c r="V607" i="1"/>
  <c r="S616" i="1" l="1"/>
  <c r="AA615" i="1"/>
  <c r="AB608" i="1"/>
  <c r="AC608" i="1" s="1"/>
  <c r="AI608" i="1" s="1"/>
  <c r="V608" i="1"/>
  <c r="T609" i="1"/>
  <c r="U608" i="1"/>
  <c r="AA616" i="1" l="1"/>
  <c r="S617" i="1"/>
  <c r="AB609" i="1"/>
  <c r="AC609" i="1" s="1"/>
  <c r="AI609" i="1" s="1"/>
  <c r="U609" i="1"/>
  <c r="V609" i="1"/>
  <c r="T610" i="1"/>
  <c r="AA617" i="1" l="1"/>
  <c r="S618" i="1"/>
  <c r="AB610" i="1"/>
  <c r="AC610" i="1" s="1"/>
  <c r="AI610" i="1" s="1"/>
  <c r="T611" i="1"/>
  <c r="U610" i="1"/>
  <c r="V610" i="1"/>
  <c r="AA618" i="1" l="1"/>
  <c r="S619" i="1"/>
  <c r="T612" i="1"/>
  <c r="AB611" i="1"/>
  <c r="AC611" i="1" s="1"/>
  <c r="AI611" i="1" s="1"/>
  <c r="U611" i="1"/>
  <c r="V611" i="1"/>
  <c r="S620" i="1" l="1"/>
  <c r="AA619" i="1"/>
  <c r="AB612" i="1"/>
  <c r="AC612" i="1" s="1"/>
  <c r="AI612" i="1" s="1"/>
  <c r="T613" i="1"/>
  <c r="U612" i="1"/>
  <c r="V612" i="1"/>
  <c r="AA620" i="1" l="1"/>
  <c r="S621" i="1"/>
  <c r="AB613" i="1"/>
  <c r="AC613" i="1" s="1"/>
  <c r="AI613" i="1" s="1"/>
  <c r="T614" i="1"/>
  <c r="V613" i="1"/>
  <c r="U613" i="1"/>
  <c r="AA621" i="1" l="1"/>
  <c r="S622" i="1"/>
  <c r="U614" i="1"/>
  <c r="V614" i="1"/>
  <c r="AB614" i="1"/>
  <c r="AC614" i="1" s="1"/>
  <c r="AI614" i="1" s="1"/>
  <c r="T615" i="1"/>
  <c r="AA622" i="1" l="1"/>
  <c r="S623" i="1"/>
  <c r="AB615" i="1"/>
  <c r="AC615" i="1" s="1"/>
  <c r="AI615" i="1" s="1"/>
  <c r="T616" i="1"/>
  <c r="V615" i="1"/>
  <c r="U615" i="1"/>
  <c r="S624" i="1" l="1"/>
  <c r="AA623" i="1"/>
  <c r="U616" i="1"/>
  <c r="T617" i="1"/>
  <c r="AB616" i="1"/>
  <c r="AC616" i="1" s="1"/>
  <c r="AI616" i="1" s="1"/>
  <c r="V616" i="1"/>
  <c r="S625" i="1" l="1"/>
  <c r="AA624" i="1"/>
  <c r="AB617" i="1"/>
  <c r="AC617" i="1" s="1"/>
  <c r="AI617" i="1" s="1"/>
  <c r="T618" i="1"/>
  <c r="V617" i="1"/>
  <c r="U617" i="1"/>
  <c r="AA625" i="1" l="1"/>
  <c r="S626" i="1"/>
  <c r="V618" i="1"/>
  <c r="AB618" i="1"/>
  <c r="AC618" i="1" s="1"/>
  <c r="AI618" i="1" s="1"/>
  <c r="U618" i="1"/>
  <c r="T619" i="1"/>
  <c r="S627" i="1" l="1"/>
  <c r="AA626" i="1"/>
  <c r="AB619" i="1"/>
  <c r="AC619" i="1" s="1"/>
  <c r="AI619" i="1" s="1"/>
  <c r="T620" i="1"/>
  <c r="U619" i="1"/>
  <c r="V619" i="1"/>
  <c r="AA627" i="1" l="1"/>
  <c r="S628" i="1"/>
  <c r="AB620" i="1"/>
  <c r="AC620" i="1" s="1"/>
  <c r="AI620" i="1" s="1"/>
  <c r="T621" i="1"/>
  <c r="U620" i="1"/>
  <c r="V620" i="1"/>
  <c r="S629" i="1" l="1"/>
  <c r="AA628" i="1"/>
  <c r="AB621" i="1"/>
  <c r="AC621" i="1" s="1"/>
  <c r="AI621" i="1" s="1"/>
  <c r="U621" i="1"/>
  <c r="V621" i="1"/>
  <c r="T622" i="1"/>
  <c r="S630" i="1" l="1"/>
  <c r="AA629" i="1"/>
  <c r="AB622" i="1"/>
  <c r="AC622" i="1" s="1"/>
  <c r="AI622" i="1" s="1"/>
  <c r="T623" i="1"/>
  <c r="U622" i="1"/>
  <c r="V622" i="1"/>
  <c r="AA630" i="1" l="1"/>
  <c r="S631" i="1"/>
  <c r="T624" i="1"/>
  <c r="U623" i="1"/>
  <c r="V623" i="1"/>
  <c r="AB623" i="1"/>
  <c r="AC623" i="1" s="1"/>
  <c r="AI623" i="1" s="1"/>
  <c r="AA631" i="1" l="1"/>
  <c r="S632" i="1"/>
  <c r="AB624" i="1"/>
  <c r="AC624" i="1" s="1"/>
  <c r="AI624" i="1" s="1"/>
  <c r="U624" i="1"/>
  <c r="T625" i="1"/>
  <c r="V624" i="1"/>
  <c r="S633" i="1" l="1"/>
  <c r="AA632" i="1"/>
  <c r="AB625" i="1"/>
  <c r="AC625" i="1" s="1"/>
  <c r="AI625" i="1" s="1"/>
  <c r="T626" i="1"/>
  <c r="V625" i="1"/>
  <c r="U625" i="1"/>
  <c r="S634" i="1" l="1"/>
  <c r="AA633" i="1"/>
  <c r="T627" i="1"/>
  <c r="V626" i="1"/>
  <c r="AB626" i="1"/>
  <c r="AC626" i="1" s="1"/>
  <c r="AI626" i="1" s="1"/>
  <c r="U626" i="1"/>
  <c r="AA634" i="1" l="1"/>
  <c r="S635" i="1"/>
  <c r="AB627" i="1"/>
  <c r="AC627" i="1" s="1"/>
  <c r="AI627" i="1" s="1"/>
  <c r="T628" i="1"/>
  <c r="V627" i="1"/>
  <c r="U627" i="1"/>
  <c r="AA635" i="1" l="1"/>
  <c r="S636" i="1"/>
  <c r="AB628" i="1"/>
  <c r="AC628" i="1" s="1"/>
  <c r="AI628" i="1" s="1"/>
  <c r="T629" i="1"/>
  <c r="V628" i="1"/>
  <c r="U628" i="1"/>
  <c r="S637" i="1" l="1"/>
  <c r="AA636" i="1"/>
  <c r="AB629" i="1"/>
  <c r="AC629" i="1" s="1"/>
  <c r="AI629" i="1" s="1"/>
  <c r="V629" i="1"/>
  <c r="U629" i="1"/>
  <c r="T630" i="1"/>
  <c r="AA637" i="1" l="1"/>
  <c r="S638" i="1"/>
  <c r="AB630" i="1"/>
  <c r="AC630" i="1" s="1"/>
  <c r="AI630" i="1" s="1"/>
  <c r="V630" i="1"/>
  <c r="T631" i="1"/>
  <c r="U630" i="1"/>
  <c r="AA638" i="1" l="1"/>
  <c r="S639" i="1"/>
  <c r="U631" i="1"/>
  <c r="AB631" i="1"/>
  <c r="AC631" i="1" s="1"/>
  <c r="AI631" i="1" s="1"/>
  <c r="T632" i="1"/>
  <c r="V631" i="1"/>
  <c r="AA639" i="1" l="1"/>
  <c r="S640" i="1"/>
  <c r="AB632" i="1"/>
  <c r="AC632" i="1" s="1"/>
  <c r="AI632" i="1" s="1"/>
  <c r="U632" i="1"/>
  <c r="V632" i="1"/>
  <c r="T633" i="1"/>
  <c r="AA640" i="1" l="1"/>
  <c r="S641" i="1"/>
  <c r="AB633" i="1"/>
  <c r="AC633" i="1" s="1"/>
  <c r="AI633" i="1" s="1"/>
  <c r="T634" i="1"/>
  <c r="U633" i="1"/>
  <c r="V633" i="1"/>
  <c r="AA641" i="1" l="1"/>
  <c r="S642" i="1"/>
  <c r="T635" i="1"/>
  <c r="AB634" i="1"/>
  <c r="AC634" i="1" s="1"/>
  <c r="AI634" i="1" s="1"/>
  <c r="U634" i="1"/>
  <c r="V634" i="1"/>
  <c r="AA642" i="1" l="1"/>
  <c r="S643" i="1"/>
  <c r="AB635" i="1"/>
  <c r="AC635" i="1" s="1"/>
  <c r="AI635" i="1" s="1"/>
  <c r="V635" i="1"/>
  <c r="U635" i="1"/>
  <c r="T636" i="1"/>
  <c r="AA643" i="1" l="1"/>
  <c r="S644" i="1"/>
  <c r="AB636" i="1"/>
  <c r="AC636" i="1" s="1"/>
  <c r="AI636" i="1" s="1"/>
  <c r="T637" i="1"/>
  <c r="U636" i="1"/>
  <c r="V636" i="1"/>
  <c r="AA644" i="1" l="1"/>
  <c r="S645" i="1"/>
  <c r="AB637" i="1"/>
  <c r="AC637" i="1" s="1"/>
  <c r="AI637" i="1" s="1"/>
  <c r="T638" i="1"/>
  <c r="V637" i="1"/>
  <c r="U637" i="1"/>
  <c r="AA645" i="1" l="1"/>
  <c r="S646" i="1"/>
  <c r="T639" i="1"/>
  <c r="V638" i="1"/>
  <c r="AB638" i="1"/>
  <c r="AC638" i="1" s="1"/>
  <c r="AI638" i="1" s="1"/>
  <c r="U638" i="1"/>
  <c r="AA646" i="1" l="1"/>
  <c r="S647" i="1"/>
  <c r="AB639" i="1"/>
  <c r="AC639" i="1" s="1"/>
  <c r="AI639" i="1" s="1"/>
  <c r="T640" i="1"/>
  <c r="V639" i="1"/>
  <c r="U639" i="1"/>
  <c r="AA647" i="1" l="1"/>
  <c r="S648" i="1"/>
  <c r="AB640" i="1"/>
  <c r="AC640" i="1" s="1"/>
  <c r="AI640" i="1" s="1"/>
  <c r="V640" i="1"/>
  <c r="T641" i="1"/>
  <c r="U640" i="1"/>
  <c r="AA648" i="1" l="1"/>
  <c r="S649" i="1"/>
  <c r="V641" i="1"/>
  <c r="T642" i="1"/>
  <c r="AB641" i="1"/>
  <c r="AC641" i="1" s="1"/>
  <c r="AI641" i="1" s="1"/>
  <c r="U641" i="1"/>
  <c r="S650" i="1" l="1"/>
  <c r="AA649" i="1"/>
  <c r="AB642" i="1"/>
  <c r="AC642" i="1" s="1"/>
  <c r="AI642" i="1" s="1"/>
  <c r="T643" i="1"/>
  <c r="V642" i="1"/>
  <c r="U642" i="1"/>
  <c r="AA650" i="1" l="1"/>
  <c r="S651" i="1"/>
  <c r="AB643" i="1"/>
  <c r="AC643" i="1" s="1"/>
  <c r="AI643" i="1" s="1"/>
  <c r="T644" i="1"/>
  <c r="U643" i="1"/>
  <c r="V643" i="1"/>
  <c r="AA651" i="1" l="1"/>
  <c r="S652" i="1"/>
  <c r="AB644" i="1"/>
  <c r="AC644" i="1" s="1"/>
  <c r="AI644" i="1" s="1"/>
  <c r="T645" i="1"/>
  <c r="U644" i="1"/>
  <c r="V644" i="1"/>
  <c r="AA652" i="1" l="1"/>
  <c r="S653" i="1"/>
  <c r="AB645" i="1"/>
  <c r="AC645" i="1" s="1"/>
  <c r="AI645" i="1" s="1"/>
  <c r="T646" i="1"/>
  <c r="V645" i="1"/>
  <c r="U645" i="1"/>
  <c r="AA653" i="1" l="1"/>
  <c r="S654" i="1"/>
  <c r="AB646" i="1"/>
  <c r="AC646" i="1" s="1"/>
  <c r="AI646" i="1" s="1"/>
  <c r="T647" i="1"/>
  <c r="U646" i="1"/>
  <c r="V646" i="1"/>
  <c r="AA654" i="1" l="1"/>
  <c r="S655" i="1"/>
  <c r="AB647" i="1"/>
  <c r="AC647" i="1" s="1"/>
  <c r="AI647" i="1" s="1"/>
  <c r="T648" i="1"/>
  <c r="V647" i="1"/>
  <c r="U647" i="1"/>
  <c r="AA655" i="1" l="1"/>
  <c r="S656" i="1"/>
  <c r="T649" i="1"/>
  <c r="U648" i="1"/>
  <c r="V648" i="1"/>
  <c r="AB648" i="1"/>
  <c r="AC648" i="1" s="1"/>
  <c r="AI648" i="1" s="1"/>
  <c r="AA656" i="1" l="1"/>
  <c r="S657" i="1"/>
  <c r="AB649" i="1"/>
  <c r="AC649" i="1" s="1"/>
  <c r="AI649" i="1" s="1"/>
  <c r="T650" i="1"/>
  <c r="V649" i="1"/>
  <c r="U649" i="1"/>
  <c r="AA657" i="1" l="1"/>
  <c r="S658" i="1"/>
  <c r="AB650" i="1"/>
  <c r="AC650" i="1" s="1"/>
  <c r="AI650" i="1" s="1"/>
  <c r="T651" i="1"/>
  <c r="V650" i="1"/>
  <c r="U650" i="1"/>
  <c r="AA658" i="1" l="1"/>
  <c r="S659" i="1"/>
  <c r="AB651" i="1"/>
  <c r="AC651" i="1" s="1"/>
  <c r="AI651" i="1" s="1"/>
  <c r="T652" i="1"/>
  <c r="U651" i="1"/>
  <c r="V651" i="1"/>
  <c r="AA659" i="1" l="1"/>
  <c r="S660" i="1"/>
  <c r="AB652" i="1"/>
  <c r="AC652" i="1" s="1"/>
  <c r="AI652" i="1" s="1"/>
  <c r="T653" i="1"/>
  <c r="U652" i="1"/>
  <c r="V652" i="1"/>
  <c r="AA660" i="1" l="1"/>
  <c r="S661" i="1"/>
  <c r="AB653" i="1"/>
  <c r="AC653" i="1" s="1"/>
  <c r="AI653" i="1" s="1"/>
  <c r="U653" i="1"/>
  <c r="T654" i="1"/>
  <c r="V653" i="1"/>
  <c r="AA661" i="1" l="1"/>
  <c r="S662" i="1"/>
  <c r="AB654" i="1"/>
  <c r="AC654" i="1" s="1"/>
  <c r="AI654" i="1" s="1"/>
  <c r="T655" i="1"/>
  <c r="V654" i="1"/>
  <c r="U654" i="1"/>
  <c r="AA662" i="1" l="1"/>
  <c r="S663" i="1"/>
  <c r="T656" i="1"/>
  <c r="V655" i="1"/>
  <c r="AB655" i="1"/>
  <c r="AC655" i="1" s="1"/>
  <c r="AI655" i="1" s="1"/>
  <c r="U655" i="1"/>
  <c r="AA663" i="1" l="1"/>
  <c r="S664" i="1"/>
  <c r="T657" i="1"/>
  <c r="U656" i="1"/>
  <c r="AB656" i="1"/>
  <c r="AC656" i="1" s="1"/>
  <c r="AI656" i="1" s="1"/>
  <c r="V656" i="1"/>
  <c r="AA664" i="1" l="1"/>
  <c r="S665" i="1"/>
  <c r="AB657" i="1"/>
  <c r="AC657" i="1" s="1"/>
  <c r="AI657" i="1" s="1"/>
  <c r="T658" i="1"/>
  <c r="U657" i="1"/>
  <c r="V657" i="1"/>
  <c r="AA665" i="1" l="1"/>
  <c r="S666" i="1"/>
  <c r="U658" i="1"/>
  <c r="T659" i="1"/>
  <c r="AB658" i="1"/>
  <c r="AC658" i="1" s="1"/>
  <c r="AI658" i="1" s="1"/>
  <c r="V658" i="1"/>
  <c r="AA666" i="1" l="1"/>
  <c r="S667" i="1"/>
  <c r="AB659" i="1"/>
  <c r="AC659" i="1" s="1"/>
  <c r="AI659" i="1" s="1"/>
  <c r="T660" i="1"/>
  <c r="U659" i="1"/>
  <c r="V659" i="1"/>
  <c r="AA667" i="1" l="1"/>
  <c r="S668" i="1"/>
  <c r="T661" i="1"/>
  <c r="V660" i="1"/>
  <c r="AB660" i="1"/>
  <c r="AC660" i="1" s="1"/>
  <c r="AI660" i="1" s="1"/>
  <c r="U660" i="1"/>
  <c r="AA668" i="1" l="1"/>
  <c r="S669" i="1"/>
  <c r="T662" i="1"/>
  <c r="U661" i="1"/>
  <c r="AB661" i="1"/>
  <c r="AC661" i="1" s="1"/>
  <c r="AI661" i="1" s="1"/>
  <c r="V661" i="1"/>
  <c r="AA669" i="1" l="1"/>
  <c r="S670" i="1"/>
  <c r="T663" i="1"/>
  <c r="U662" i="1"/>
  <c r="V662" i="1"/>
  <c r="AB662" i="1"/>
  <c r="AC662" i="1" s="1"/>
  <c r="AI662" i="1" s="1"/>
  <c r="AA670" i="1" l="1"/>
  <c r="S671" i="1"/>
  <c r="AB663" i="1"/>
  <c r="AC663" i="1" s="1"/>
  <c r="AI663" i="1" s="1"/>
  <c r="T664" i="1"/>
  <c r="V663" i="1"/>
  <c r="U663" i="1"/>
  <c r="AA671" i="1" l="1"/>
  <c r="S672" i="1"/>
  <c r="AB664" i="1"/>
  <c r="AC664" i="1" s="1"/>
  <c r="AI664" i="1" s="1"/>
  <c r="V664" i="1"/>
  <c r="T665" i="1"/>
  <c r="U664" i="1"/>
  <c r="S673" i="1" l="1"/>
  <c r="AA672" i="1"/>
  <c r="AB665" i="1"/>
  <c r="AC665" i="1" s="1"/>
  <c r="AI665" i="1" s="1"/>
  <c r="T666" i="1"/>
  <c r="V665" i="1"/>
  <c r="U665" i="1"/>
  <c r="AA673" i="1" l="1"/>
  <c r="S674" i="1"/>
  <c r="AB666" i="1"/>
  <c r="AC666" i="1" s="1"/>
  <c r="AI666" i="1" s="1"/>
  <c r="T667" i="1"/>
  <c r="U666" i="1"/>
  <c r="V666" i="1"/>
  <c r="S675" i="1" l="1"/>
  <c r="AA674" i="1"/>
  <c r="U667" i="1"/>
  <c r="V667" i="1"/>
  <c r="AB667" i="1"/>
  <c r="AC667" i="1" s="1"/>
  <c r="AI667" i="1" s="1"/>
  <c r="T668" i="1"/>
  <c r="AA675" i="1" l="1"/>
  <c r="S676" i="1"/>
  <c r="V668" i="1"/>
  <c r="T669" i="1"/>
  <c r="AB668" i="1"/>
  <c r="AC668" i="1" s="1"/>
  <c r="AI668" i="1" s="1"/>
  <c r="U668" i="1"/>
  <c r="S677" i="1" l="1"/>
  <c r="AA676" i="1"/>
  <c r="AB669" i="1"/>
  <c r="AC669" i="1" s="1"/>
  <c r="AI669" i="1" s="1"/>
  <c r="V669" i="1"/>
  <c r="T670" i="1"/>
  <c r="U669" i="1"/>
  <c r="AA677" i="1" l="1"/>
  <c r="S678" i="1"/>
  <c r="AB670" i="1"/>
  <c r="AC670" i="1" s="1"/>
  <c r="AI670" i="1" s="1"/>
  <c r="U670" i="1"/>
  <c r="T671" i="1"/>
  <c r="V670" i="1"/>
  <c r="AA678" i="1" l="1"/>
  <c r="S679" i="1"/>
  <c r="AB671" i="1"/>
  <c r="AC671" i="1" s="1"/>
  <c r="AI671" i="1" s="1"/>
  <c r="V671" i="1"/>
  <c r="U671" i="1"/>
  <c r="T672" i="1"/>
  <c r="AA679" i="1" l="1"/>
  <c r="S680" i="1"/>
  <c r="AB672" i="1"/>
  <c r="AC672" i="1" s="1"/>
  <c r="AI672" i="1" s="1"/>
  <c r="T673" i="1"/>
  <c r="U672" i="1"/>
  <c r="V672" i="1"/>
  <c r="S681" i="1" l="1"/>
  <c r="AA680" i="1"/>
  <c r="T674" i="1"/>
  <c r="V673" i="1"/>
  <c r="AB673" i="1"/>
  <c r="AC673" i="1" s="1"/>
  <c r="AI673" i="1" s="1"/>
  <c r="U673" i="1"/>
  <c r="AA681" i="1" l="1"/>
  <c r="S682" i="1"/>
  <c r="AB674" i="1"/>
  <c r="AC674" i="1" s="1"/>
  <c r="AI674" i="1" s="1"/>
  <c r="T675" i="1"/>
  <c r="V674" i="1"/>
  <c r="U674" i="1"/>
  <c r="AA682" i="1" l="1"/>
  <c r="S683" i="1"/>
  <c r="AB675" i="1"/>
  <c r="AC675" i="1" s="1"/>
  <c r="AI675" i="1" s="1"/>
  <c r="T676" i="1"/>
  <c r="V675" i="1"/>
  <c r="U675" i="1"/>
  <c r="AA683" i="1" l="1"/>
  <c r="S684" i="1"/>
  <c r="AB676" i="1"/>
  <c r="AC676" i="1" s="1"/>
  <c r="AI676" i="1" s="1"/>
  <c r="U676" i="1"/>
  <c r="V676" i="1"/>
  <c r="T677" i="1"/>
  <c r="AA684" i="1" l="1"/>
  <c r="S685" i="1"/>
  <c r="AB677" i="1"/>
  <c r="AC677" i="1" s="1"/>
  <c r="AI677" i="1" s="1"/>
  <c r="T678" i="1"/>
  <c r="V677" i="1"/>
  <c r="U677" i="1"/>
  <c r="AA685" i="1" l="1"/>
  <c r="S686" i="1"/>
  <c r="AB678" i="1"/>
  <c r="AC678" i="1" s="1"/>
  <c r="AI678" i="1" s="1"/>
  <c r="T679" i="1"/>
  <c r="U678" i="1"/>
  <c r="V678" i="1"/>
  <c r="AA686" i="1" l="1"/>
  <c r="S687" i="1"/>
  <c r="AB679" i="1"/>
  <c r="AC679" i="1" s="1"/>
  <c r="AI679" i="1" s="1"/>
  <c r="U679" i="1"/>
  <c r="V679" i="1"/>
  <c r="T680" i="1"/>
  <c r="AA687" i="1" l="1"/>
  <c r="S688" i="1"/>
  <c r="AB680" i="1"/>
  <c r="AC680" i="1" s="1"/>
  <c r="AI680" i="1" s="1"/>
  <c r="T681" i="1"/>
  <c r="U680" i="1"/>
  <c r="V680" i="1"/>
  <c r="AA688" i="1" l="1"/>
  <c r="S689" i="1"/>
  <c r="AB681" i="1"/>
  <c r="AC681" i="1" s="1"/>
  <c r="AI681" i="1" s="1"/>
  <c r="V681" i="1"/>
  <c r="U681" i="1"/>
  <c r="T682" i="1"/>
  <c r="AA689" i="1" l="1"/>
  <c r="S690" i="1"/>
  <c r="AB682" i="1"/>
  <c r="AC682" i="1" s="1"/>
  <c r="AI682" i="1" s="1"/>
  <c r="T683" i="1"/>
  <c r="U682" i="1"/>
  <c r="V682" i="1"/>
  <c r="AA690" i="1" l="1"/>
  <c r="S691" i="1"/>
  <c r="AB683" i="1"/>
  <c r="AC683" i="1" s="1"/>
  <c r="AI683" i="1" s="1"/>
  <c r="T684" i="1"/>
  <c r="U683" i="1"/>
  <c r="V683" i="1"/>
  <c r="AA691" i="1" l="1"/>
  <c r="S692" i="1"/>
  <c r="AB684" i="1"/>
  <c r="AC684" i="1" s="1"/>
  <c r="AI684" i="1" s="1"/>
  <c r="T685" i="1"/>
  <c r="U684" i="1"/>
  <c r="V684" i="1"/>
  <c r="AA692" i="1" l="1"/>
  <c r="S693" i="1"/>
  <c r="AB685" i="1"/>
  <c r="AC685" i="1" s="1"/>
  <c r="AI685" i="1" s="1"/>
  <c r="T686" i="1"/>
  <c r="V685" i="1"/>
  <c r="U685" i="1"/>
  <c r="AA693" i="1" l="1"/>
  <c r="S694" i="1"/>
  <c r="AB686" i="1"/>
  <c r="AC686" i="1" s="1"/>
  <c r="AI686" i="1" s="1"/>
  <c r="T687" i="1"/>
  <c r="U686" i="1"/>
  <c r="V686" i="1"/>
  <c r="AA694" i="1" l="1"/>
  <c r="S695" i="1"/>
  <c r="AB687" i="1"/>
  <c r="AC687" i="1" s="1"/>
  <c r="AI687" i="1" s="1"/>
  <c r="T688" i="1"/>
  <c r="U687" i="1"/>
  <c r="V687" i="1"/>
  <c r="S696" i="1" l="1"/>
  <c r="AA695" i="1"/>
  <c r="AB688" i="1"/>
  <c r="AC688" i="1" s="1"/>
  <c r="AI688" i="1" s="1"/>
  <c r="U688" i="1"/>
  <c r="V688" i="1"/>
  <c r="T689" i="1"/>
  <c r="AA696" i="1" l="1"/>
  <c r="S697" i="1"/>
  <c r="AB689" i="1"/>
  <c r="AC689" i="1" s="1"/>
  <c r="AI689" i="1" s="1"/>
  <c r="T690" i="1"/>
  <c r="V689" i="1"/>
  <c r="U689" i="1"/>
  <c r="AA697" i="1" l="1"/>
  <c r="S698" i="1"/>
  <c r="AB690" i="1"/>
  <c r="AC690" i="1" s="1"/>
  <c r="AI690" i="1" s="1"/>
  <c r="T691" i="1"/>
  <c r="U690" i="1"/>
  <c r="V690" i="1"/>
  <c r="AA698" i="1" l="1"/>
  <c r="S699" i="1"/>
  <c r="AB691" i="1"/>
  <c r="AC691" i="1" s="1"/>
  <c r="AI691" i="1" s="1"/>
  <c r="U691" i="1"/>
  <c r="V691" i="1"/>
  <c r="T692" i="1"/>
  <c r="AA699" i="1" l="1"/>
  <c r="S700" i="1"/>
  <c r="AB692" i="1"/>
  <c r="AC692" i="1" s="1"/>
  <c r="AI692" i="1" s="1"/>
  <c r="T693" i="1"/>
  <c r="V692" i="1"/>
  <c r="U692" i="1"/>
  <c r="AA700" i="1" l="1"/>
  <c r="S701" i="1"/>
  <c r="AB693" i="1"/>
  <c r="AC693" i="1" s="1"/>
  <c r="AI693" i="1" s="1"/>
  <c r="T694" i="1"/>
  <c r="V693" i="1"/>
  <c r="U693" i="1"/>
  <c r="AA701" i="1" l="1"/>
  <c r="S702" i="1"/>
  <c r="AB694" i="1"/>
  <c r="AC694" i="1" s="1"/>
  <c r="AI694" i="1" s="1"/>
  <c r="T695" i="1"/>
  <c r="V694" i="1"/>
  <c r="U694" i="1"/>
  <c r="AA702" i="1" l="1"/>
  <c r="S703" i="1"/>
  <c r="AB695" i="1"/>
  <c r="AC695" i="1" s="1"/>
  <c r="AI695" i="1" s="1"/>
  <c r="U695" i="1"/>
  <c r="V695" i="1"/>
  <c r="T696" i="1"/>
  <c r="AA703" i="1" l="1"/>
  <c r="S704" i="1"/>
  <c r="AB696" i="1"/>
  <c r="AC696" i="1" s="1"/>
  <c r="AI696" i="1" s="1"/>
  <c r="T697" i="1"/>
  <c r="U696" i="1"/>
  <c r="V696" i="1"/>
  <c r="AA704" i="1" l="1"/>
  <c r="S705" i="1"/>
  <c r="AB697" i="1"/>
  <c r="AC697" i="1" s="1"/>
  <c r="AI697" i="1" s="1"/>
  <c r="V697" i="1"/>
  <c r="U697" i="1"/>
  <c r="T698" i="1"/>
  <c r="AA705" i="1" l="1"/>
  <c r="S706" i="1"/>
  <c r="AB698" i="1"/>
  <c r="AC698" i="1" s="1"/>
  <c r="AI698" i="1" s="1"/>
  <c r="T699" i="1"/>
  <c r="U698" i="1"/>
  <c r="V698" i="1"/>
  <c r="AA706" i="1" l="1"/>
  <c r="S707" i="1"/>
  <c r="AB699" i="1"/>
  <c r="AC699" i="1" s="1"/>
  <c r="AI699" i="1" s="1"/>
  <c r="U699" i="1"/>
  <c r="T700" i="1"/>
  <c r="V699" i="1"/>
  <c r="S708" i="1" l="1"/>
  <c r="AA707" i="1"/>
  <c r="AB700" i="1"/>
  <c r="AC700" i="1" s="1"/>
  <c r="AI700" i="1" s="1"/>
  <c r="T701" i="1"/>
  <c r="U700" i="1"/>
  <c r="V700" i="1"/>
  <c r="AA708" i="1" l="1"/>
  <c r="S709" i="1"/>
  <c r="AB701" i="1"/>
  <c r="AC701" i="1" s="1"/>
  <c r="AI701" i="1" s="1"/>
  <c r="V701" i="1"/>
  <c r="T702" i="1"/>
  <c r="U701" i="1"/>
  <c r="AA709" i="1" l="1"/>
  <c r="S710" i="1"/>
  <c r="T703" i="1"/>
  <c r="V702" i="1"/>
  <c r="AB702" i="1"/>
  <c r="AC702" i="1" s="1"/>
  <c r="AI702" i="1" s="1"/>
  <c r="U702" i="1"/>
  <c r="AA710" i="1" l="1"/>
  <c r="S711" i="1"/>
  <c r="AB703" i="1"/>
  <c r="AC703" i="1" s="1"/>
  <c r="AI703" i="1" s="1"/>
  <c r="T704" i="1"/>
  <c r="V703" i="1"/>
  <c r="U703" i="1"/>
  <c r="AA711" i="1" l="1"/>
  <c r="S712" i="1"/>
  <c r="AB704" i="1"/>
  <c r="AC704" i="1" s="1"/>
  <c r="AI704" i="1" s="1"/>
  <c r="T705" i="1"/>
  <c r="U704" i="1"/>
  <c r="V704" i="1"/>
  <c r="AA712" i="1" l="1"/>
  <c r="S713" i="1"/>
  <c r="V705" i="1"/>
  <c r="AB705" i="1"/>
  <c r="AC705" i="1" s="1"/>
  <c r="AI705" i="1" s="1"/>
  <c r="T706" i="1"/>
  <c r="U705" i="1"/>
  <c r="AA713" i="1" l="1"/>
  <c r="S714" i="1"/>
  <c r="AB706" i="1"/>
  <c r="AC706" i="1" s="1"/>
  <c r="AI706" i="1" s="1"/>
  <c r="T707" i="1"/>
  <c r="V706" i="1"/>
  <c r="U706" i="1"/>
  <c r="AA714" i="1" l="1"/>
  <c r="S715" i="1"/>
  <c r="AB707" i="1"/>
  <c r="AC707" i="1" s="1"/>
  <c r="AI707" i="1" s="1"/>
  <c r="V707" i="1"/>
  <c r="T708" i="1"/>
  <c r="U707" i="1"/>
  <c r="S716" i="1" l="1"/>
  <c r="AA715" i="1"/>
  <c r="AB708" i="1"/>
  <c r="AC708" i="1" s="1"/>
  <c r="AI708" i="1" s="1"/>
  <c r="T709" i="1"/>
  <c r="V708" i="1"/>
  <c r="U708" i="1"/>
  <c r="AA716" i="1" l="1"/>
  <c r="S717" i="1"/>
  <c r="U709" i="1"/>
  <c r="AB709" i="1"/>
  <c r="AC709" i="1" s="1"/>
  <c r="AI709" i="1" s="1"/>
  <c r="V709" i="1"/>
  <c r="T710" i="1"/>
  <c r="AA717" i="1" l="1"/>
  <c r="S718" i="1"/>
  <c r="AB710" i="1"/>
  <c r="AC710" i="1" s="1"/>
  <c r="AI710" i="1" s="1"/>
  <c r="T711" i="1"/>
  <c r="V710" i="1"/>
  <c r="U710" i="1"/>
  <c r="AA718" i="1" l="1"/>
  <c r="S719" i="1"/>
  <c r="AB711" i="1"/>
  <c r="AC711" i="1" s="1"/>
  <c r="AI711" i="1" s="1"/>
  <c r="T712" i="1"/>
  <c r="V711" i="1"/>
  <c r="U711" i="1"/>
  <c r="AA719" i="1" l="1"/>
  <c r="S720" i="1"/>
  <c r="U712" i="1"/>
  <c r="AB712" i="1"/>
  <c r="AC712" i="1" s="1"/>
  <c r="AI712" i="1" s="1"/>
  <c r="V712" i="1"/>
  <c r="T713" i="1"/>
  <c r="AA720" i="1" l="1"/>
  <c r="S721" i="1"/>
  <c r="AB713" i="1"/>
  <c r="AC713" i="1" s="1"/>
  <c r="AI713" i="1" s="1"/>
  <c r="V713" i="1"/>
  <c r="T714" i="1"/>
  <c r="U713" i="1"/>
  <c r="AA721" i="1" l="1"/>
  <c r="S722" i="1"/>
  <c r="AB714" i="1"/>
  <c r="AC714" i="1" s="1"/>
  <c r="AI714" i="1" s="1"/>
  <c r="T715" i="1"/>
  <c r="U714" i="1"/>
  <c r="V714" i="1"/>
  <c r="AA722" i="1" l="1"/>
  <c r="S723" i="1"/>
  <c r="AB715" i="1"/>
  <c r="AC715" i="1" s="1"/>
  <c r="AI715" i="1" s="1"/>
  <c r="T716" i="1"/>
  <c r="V715" i="1"/>
  <c r="U715" i="1"/>
  <c r="AA723" i="1" l="1"/>
  <c r="S724" i="1"/>
  <c r="AB716" i="1"/>
  <c r="AC716" i="1" s="1"/>
  <c r="AI716" i="1" s="1"/>
  <c r="U716" i="1"/>
  <c r="T717" i="1"/>
  <c r="V716" i="1"/>
  <c r="AA724" i="1" l="1"/>
  <c r="S725" i="1"/>
  <c r="AB717" i="1"/>
  <c r="AC717" i="1" s="1"/>
  <c r="AI717" i="1" s="1"/>
  <c r="V717" i="1"/>
  <c r="T718" i="1"/>
  <c r="U717" i="1"/>
  <c r="AA725" i="1" l="1"/>
  <c r="S726" i="1"/>
  <c r="T719" i="1"/>
  <c r="V718" i="1"/>
  <c r="AB718" i="1"/>
  <c r="AC718" i="1" s="1"/>
  <c r="AI718" i="1" s="1"/>
  <c r="U718" i="1"/>
  <c r="AA726" i="1" l="1"/>
  <c r="S727" i="1"/>
  <c r="U719" i="1"/>
  <c r="T720" i="1"/>
  <c r="AB719" i="1"/>
  <c r="AC719" i="1" s="1"/>
  <c r="AI719" i="1" s="1"/>
  <c r="V719" i="1"/>
  <c r="AA727" i="1" l="1"/>
  <c r="S728" i="1"/>
  <c r="AB720" i="1"/>
  <c r="AC720" i="1" s="1"/>
  <c r="AI720" i="1" s="1"/>
  <c r="U720" i="1"/>
  <c r="T721" i="1"/>
  <c r="V720" i="1"/>
  <c r="AA728" i="1" l="1"/>
  <c r="S729" i="1"/>
  <c r="AB721" i="1"/>
  <c r="AC721" i="1" s="1"/>
  <c r="AI721" i="1" s="1"/>
  <c r="T722" i="1"/>
  <c r="U721" i="1"/>
  <c r="V721" i="1"/>
  <c r="AA729" i="1" l="1"/>
  <c r="S730" i="1"/>
  <c r="AB722" i="1"/>
  <c r="AC722" i="1" s="1"/>
  <c r="AI722" i="1" s="1"/>
  <c r="T723" i="1"/>
  <c r="U722" i="1"/>
  <c r="V722" i="1"/>
  <c r="AA730" i="1" l="1"/>
  <c r="S731" i="1"/>
  <c r="AB723" i="1"/>
  <c r="AC723" i="1" s="1"/>
  <c r="AI723" i="1" s="1"/>
  <c r="T724" i="1"/>
  <c r="U723" i="1"/>
  <c r="V723" i="1"/>
  <c r="AA731" i="1" l="1"/>
  <c r="S732" i="1"/>
  <c r="AB724" i="1"/>
  <c r="AC724" i="1" s="1"/>
  <c r="AI724" i="1" s="1"/>
  <c r="T725" i="1"/>
  <c r="V724" i="1"/>
  <c r="U724" i="1"/>
  <c r="AA732" i="1" l="1"/>
  <c r="S733" i="1"/>
  <c r="T726" i="1"/>
  <c r="AB725" i="1"/>
  <c r="AC725" i="1" s="1"/>
  <c r="AI725" i="1" s="1"/>
  <c r="U725" i="1"/>
  <c r="V725" i="1"/>
  <c r="S734" i="1" l="1"/>
  <c r="AA733" i="1"/>
  <c r="AB726" i="1"/>
  <c r="AC726" i="1" s="1"/>
  <c r="AI726" i="1" s="1"/>
  <c r="T727" i="1"/>
  <c r="V726" i="1"/>
  <c r="U726" i="1"/>
  <c r="AA734" i="1" l="1"/>
  <c r="S735" i="1"/>
  <c r="AB727" i="1"/>
  <c r="AC727" i="1" s="1"/>
  <c r="AI727" i="1" s="1"/>
  <c r="U727" i="1"/>
  <c r="V727" i="1"/>
  <c r="T728" i="1"/>
  <c r="AA735" i="1" l="1"/>
  <c r="S736" i="1"/>
  <c r="AB728" i="1"/>
  <c r="AC728" i="1" s="1"/>
  <c r="AI728" i="1" s="1"/>
  <c r="T729" i="1"/>
  <c r="U728" i="1"/>
  <c r="V728" i="1"/>
  <c r="AA736" i="1" l="1"/>
  <c r="S737" i="1"/>
  <c r="AB729" i="1"/>
  <c r="AC729" i="1" s="1"/>
  <c r="AI729" i="1" s="1"/>
  <c r="V729" i="1"/>
  <c r="U729" i="1"/>
  <c r="T730" i="1"/>
  <c r="AA737" i="1" l="1"/>
  <c r="S738" i="1"/>
  <c r="AA738" i="1" s="1"/>
  <c r="T731" i="1"/>
  <c r="V730" i="1"/>
  <c r="AB730" i="1"/>
  <c r="AC730" i="1" s="1"/>
  <c r="AI730" i="1" s="1"/>
  <c r="U730" i="1"/>
  <c r="U731" i="1" l="1"/>
  <c r="V731" i="1"/>
  <c r="AB731" i="1"/>
  <c r="AC731" i="1" s="1"/>
  <c r="AI731" i="1" s="1"/>
  <c r="T732" i="1"/>
  <c r="U732" i="1" l="1"/>
  <c r="T733" i="1"/>
  <c r="AB732" i="1"/>
  <c r="AC732" i="1" s="1"/>
  <c r="AI732" i="1" s="1"/>
  <c r="V732" i="1"/>
  <c r="AB733" i="1" l="1"/>
  <c r="AC733" i="1" s="1"/>
  <c r="AI733" i="1" s="1"/>
  <c r="T734" i="1"/>
  <c r="V733" i="1"/>
  <c r="U733" i="1"/>
  <c r="T735" i="1" l="1"/>
  <c r="V734" i="1"/>
  <c r="AB734" i="1"/>
  <c r="AC734" i="1" s="1"/>
  <c r="AI734" i="1" s="1"/>
  <c r="U734" i="1"/>
  <c r="U735" i="1" l="1"/>
  <c r="V735" i="1"/>
  <c r="AB735" i="1"/>
  <c r="AC735" i="1" s="1"/>
  <c r="AI735" i="1" s="1"/>
  <c r="T736" i="1"/>
  <c r="V736" i="1" l="1"/>
  <c r="T737" i="1"/>
  <c r="AB736" i="1"/>
  <c r="AC736" i="1" s="1"/>
  <c r="AI736" i="1" s="1"/>
  <c r="U736" i="1"/>
  <c r="T738" i="1" l="1"/>
  <c r="AB737" i="1"/>
  <c r="AC737" i="1" s="1"/>
  <c r="AI737" i="1" s="1"/>
  <c r="V737" i="1"/>
  <c r="U737" i="1"/>
  <c r="V738" i="1" l="1"/>
  <c r="U738" i="1"/>
  <c r="T739" i="1"/>
  <c r="AB738" i="1"/>
  <c r="AC738" i="1" s="1"/>
  <c r="AI738" i="1" s="1"/>
  <c r="AB739" i="1" l="1"/>
  <c r="AC739" i="1" s="1"/>
  <c r="AI739" i="1" s="1"/>
  <c r="T740" i="1"/>
  <c r="U739" i="1"/>
  <c r="V739" i="1"/>
  <c r="AB740" i="1" l="1"/>
  <c r="AC740" i="1" s="1"/>
  <c r="AI740" i="1" s="1"/>
  <c r="T741" i="1"/>
  <c r="U740" i="1"/>
  <c r="V740" i="1"/>
  <c r="U741" i="1" l="1"/>
  <c r="T742" i="1"/>
  <c r="AB741" i="1"/>
  <c r="AC741" i="1" s="1"/>
  <c r="AI741" i="1" s="1"/>
  <c r="V741" i="1"/>
  <c r="AB742" i="1" l="1"/>
  <c r="AC742" i="1" s="1"/>
  <c r="AI742" i="1" s="1"/>
  <c r="U742" i="1"/>
  <c r="T743" i="1"/>
  <c r="V742" i="1"/>
  <c r="AB743" i="1" l="1"/>
  <c r="AC743" i="1" s="1"/>
  <c r="AI743" i="1" s="1"/>
  <c r="U743" i="1"/>
  <c r="V743" i="1"/>
  <c r="T744" i="1"/>
  <c r="AB744" i="1" l="1"/>
  <c r="AC744" i="1" s="1"/>
  <c r="AI744" i="1" s="1"/>
  <c r="V744" i="1"/>
  <c r="U744" i="1"/>
  <c r="T745" i="1"/>
  <c r="U745" i="1" l="1"/>
  <c r="AB745" i="1"/>
  <c r="AC745" i="1" s="1"/>
  <c r="AI745" i="1" s="1"/>
  <c r="V745" i="1"/>
  <c r="T746" i="1"/>
  <c r="V746" i="1" l="1"/>
  <c r="AB746" i="1"/>
  <c r="AC746" i="1" s="1"/>
  <c r="AI746" i="1" s="1"/>
  <c r="T747" i="1"/>
  <c r="U746" i="1"/>
  <c r="T748" i="1" l="1"/>
  <c r="AB747" i="1"/>
  <c r="AC747" i="1" s="1"/>
  <c r="AI747" i="1" s="1"/>
  <c r="V747" i="1"/>
  <c r="U747" i="1"/>
  <c r="AB748" i="1" l="1"/>
  <c r="AC748" i="1" s="1"/>
  <c r="AI748" i="1" s="1"/>
  <c r="U748" i="1"/>
  <c r="T749" i="1"/>
  <c r="V748" i="1"/>
  <c r="AB749" i="1" l="1"/>
  <c r="AC749" i="1" s="1"/>
  <c r="AI749" i="1" s="1"/>
  <c r="U749" i="1"/>
  <c r="V749" i="1"/>
  <c r="T750" i="1"/>
  <c r="AB750" i="1" l="1"/>
  <c r="AC750" i="1" s="1"/>
  <c r="AI750" i="1" s="1"/>
  <c r="T751" i="1"/>
  <c r="U750" i="1"/>
  <c r="V750" i="1"/>
  <c r="U751" i="1" l="1"/>
  <c r="AB751" i="1"/>
  <c r="AC751" i="1" s="1"/>
  <c r="AI751" i="1" s="1"/>
  <c r="T752" i="1"/>
  <c r="V751" i="1"/>
  <c r="U752" i="1" l="1"/>
  <c r="AB752" i="1"/>
  <c r="AC752" i="1" s="1"/>
  <c r="AI752" i="1" s="1"/>
  <c r="V752" i="1"/>
  <c r="T753" i="1"/>
  <c r="U753" i="1" l="1"/>
  <c r="AB753" i="1"/>
  <c r="AC753" i="1" s="1"/>
  <c r="AI753" i="1" s="1"/>
  <c r="T754" i="1"/>
  <c r="V753" i="1"/>
  <c r="T755" i="1" l="1"/>
  <c r="U754" i="1"/>
  <c r="AB754" i="1"/>
  <c r="AC754" i="1" s="1"/>
  <c r="AI754" i="1" s="1"/>
  <c r="V754" i="1"/>
  <c r="AB755" i="1" l="1"/>
  <c r="AC755" i="1" s="1"/>
  <c r="AI755" i="1" s="1"/>
  <c r="T756" i="1"/>
  <c r="V755" i="1"/>
  <c r="U755" i="1"/>
  <c r="AB756" i="1" l="1"/>
  <c r="AC756" i="1" s="1"/>
  <c r="AI756" i="1" s="1"/>
  <c r="V756" i="1"/>
  <c r="U756" i="1"/>
  <c r="T757" i="1"/>
  <c r="AB757" i="1" l="1"/>
  <c r="AC757" i="1" s="1"/>
  <c r="AI757" i="1" s="1"/>
  <c r="T758" i="1"/>
  <c r="V757" i="1"/>
  <c r="U757" i="1"/>
  <c r="AB758" i="1" l="1"/>
  <c r="AC758" i="1" s="1"/>
  <c r="AI758" i="1" s="1"/>
  <c r="T759" i="1"/>
  <c r="V758" i="1"/>
  <c r="U758" i="1"/>
  <c r="AB759" i="1" l="1"/>
  <c r="AC759" i="1" s="1"/>
  <c r="AI759" i="1" s="1"/>
  <c r="V759" i="1"/>
  <c r="U759" i="1"/>
  <c r="T760" i="1"/>
  <c r="V760" i="1" l="1"/>
  <c r="AB760" i="1"/>
  <c r="AC760" i="1" s="1"/>
  <c r="AI760" i="1" s="1"/>
  <c r="T761" i="1"/>
  <c r="U760" i="1"/>
  <c r="AB761" i="1" l="1"/>
  <c r="AC761" i="1" s="1"/>
  <c r="AI761" i="1" s="1"/>
  <c r="U761" i="1"/>
  <c r="V761" i="1"/>
  <c r="T762" i="1"/>
  <c r="AB762" i="1" l="1"/>
  <c r="AC762" i="1" s="1"/>
  <c r="AI762" i="1" s="1"/>
  <c r="U762" i="1"/>
  <c r="V762" i="1"/>
  <c r="T763" i="1"/>
  <c r="V763" i="1" l="1"/>
  <c r="U763" i="1"/>
  <c r="T764" i="1"/>
  <c r="AB763" i="1"/>
  <c r="AC763" i="1" s="1"/>
  <c r="AI763" i="1" s="1"/>
  <c r="AB764" i="1" l="1"/>
  <c r="AC764" i="1" s="1"/>
  <c r="AI764" i="1" s="1"/>
  <c r="T765" i="1"/>
  <c r="V764" i="1"/>
  <c r="U764" i="1"/>
  <c r="AB765" i="1" l="1"/>
  <c r="AC765" i="1" s="1"/>
  <c r="AI765" i="1" s="1"/>
  <c r="T766" i="1"/>
  <c r="V765" i="1"/>
  <c r="U765" i="1"/>
  <c r="AB766" i="1" l="1"/>
  <c r="AC766" i="1" s="1"/>
  <c r="AI766" i="1" s="1"/>
  <c r="T767" i="1"/>
  <c r="V766" i="1"/>
  <c r="U766" i="1"/>
  <c r="AB767" i="1" l="1"/>
  <c r="AC767" i="1" s="1"/>
  <c r="AI767" i="1" s="1"/>
  <c r="T768" i="1"/>
  <c r="U767" i="1"/>
  <c r="V767" i="1"/>
  <c r="AB768" i="1" l="1"/>
  <c r="AC768" i="1" s="1"/>
  <c r="AI768" i="1" s="1"/>
  <c r="U768" i="1"/>
  <c r="T769" i="1"/>
  <c r="V768" i="1"/>
  <c r="AB769" i="1" l="1"/>
  <c r="AC769" i="1" s="1"/>
  <c r="AI769" i="1" s="1"/>
  <c r="T770" i="1"/>
  <c r="U769" i="1"/>
  <c r="V769" i="1"/>
  <c r="AB770" i="1" l="1"/>
  <c r="AC770" i="1" s="1"/>
  <c r="AI770" i="1" s="1"/>
  <c r="T771" i="1"/>
  <c r="V770" i="1"/>
  <c r="U770" i="1"/>
  <c r="AB771" i="1" l="1"/>
  <c r="AC771" i="1" s="1"/>
  <c r="AI771" i="1" s="1"/>
  <c r="U771" i="1"/>
  <c r="V771" i="1"/>
  <c r="T772" i="1"/>
  <c r="AB772" i="1" l="1"/>
  <c r="AC772" i="1" s="1"/>
  <c r="AI772" i="1" s="1"/>
  <c r="U772" i="1"/>
  <c r="T773" i="1"/>
  <c r="V772" i="1"/>
  <c r="AB773" i="1" l="1"/>
  <c r="AC773" i="1" s="1"/>
  <c r="AI773" i="1" s="1"/>
  <c r="V773" i="1"/>
  <c r="U773" i="1"/>
  <c r="T774" i="1"/>
  <c r="T775" i="1" l="1"/>
  <c r="AB774" i="1"/>
  <c r="AC774" i="1" s="1"/>
  <c r="AI774" i="1" s="1"/>
  <c r="U774" i="1"/>
  <c r="V774" i="1"/>
  <c r="AB775" i="1" l="1"/>
  <c r="AC775" i="1" s="1"/>
  <c r="AI775" i="1" s="1"/>
  <c r="T776" i="1"/>
  <c r="U775" i="1"/>
  <c r="V775" i="1"/>
  <c r="V776" i="1" l="1"/>
  <c r="U776" i="1"/>
  <c r="AB776" i="1"/>
  <c r="AC776" i="1" s="1"/>
  <c r="AI776" i="1" s="1"/>
  <c r="T777" i="1"/>
  <c r="AB777" i="1" l="1"/>
  <c r="AC777" i="1" s="1"/>
  <c r="AI777" i="1" s="1"/>
  <c r="U777" i="1"/>
  <c r="V777" i="1"/>
  <c r="T778" i="1"/>
  <c r="AB778" i="1" l="1"/>
  <c r="AC778" i="1" s="1"/>
  <c r="AI778" i="1" s="1"/>
  <c r="T779" i="1"/>
  <c r="U778" i="1"/>
  <c r="V778" i="1"/>
  <c r="AB779" i="1" l="1"/>
  <c r="AC779" i="1" s="1"/>
  <c r="AI779" i="1" s="1"/>
  <c r="U779" i="1"/>
  <c r="V779" i="1"/>
  <c r="T780" i="1"/>
  <c r="T781" i="1" l="1"/>
  <c r="AB780" i="1"/>
  <c r="AC780" i="1" s="1"/>
  <c r="AI780" i="1" s="1"/>
  <c r="U780" i="1"/>
  <c r="V780" i="1"/>
  <c r="V781" i="1" l="1"/>
  <c r="U781" i="1"/>
  <c r="AB781" i="1"/>
  <c r="AC781" i="1" s="1"/>
  <c r="AI781" i="1" s="1"/>
  <c r="T782" i="1"/>
  <c r="AB782" i="1" l="1"/>
  <c r="AC782" i="1" s="1"/>
  <c r="AI782" i="1" s="1"/>
  <c r="V782" i="1"/>
  <c r="T783" i="1"/>
  <c r="U782" i="1"/>
  <c r="T784" i="1" l="1"/>
  <c r="V783" i="1"/>
  <c r="AB783" i="1"/>
  <c r="AC783" i="1" s="1"/>
  <c r="AI783" i="1" s="1"/>
  <c r="U783" i="1"/>
  <c r="U784" i="1" l="1"/>
  <c r="AB784" i="1"/>
  <c r="AC784" i="1" s="1"/>
  <c r="AI784" i="1" s="1"/>
  <c r="V784" i="1"/>
  <c r="T785" i="1"/>
  <c r="AB785" i="1" l="1"/>
  <c r="AC785" i="1" s="1"/>
  <c r="AI785" i="1" s="1"/>
  <c r="T786" i="1"/>
  <c r="V785" i="1"/>
  <c r="U785" i="1"/>
  <c r="AB786" i="1" l="1"/>
  <c r="AC786" i="1" s="1"/>
  <c r="AI786" i="1" s="1"/>
  <c r="U786" i="1"/>
  <c r="V786" i="1"/>
  <c r="T787" i="1"/>
  <c r="AB787" i="1" l="1"/>
  <c r="AC787" i="1" s="1"/>
  <c r="AI787" i="1" s="1"/>
  <c r="T788" i="1"/>
  <c r="U787" i="1"/>
  <c r="V787" i="1"/>
  <c r="T789" i="1" l="1"/>
  <c r="V788" i="1"/>
  <c r="AB788" i="1"/>
  <c r="AC788" i="1" s="1"/>
  <c r="AI788" i="1" s="1"/>
  <c r="U788" i="1"/>
  <c r="AB789" i="1" l="1"/>
  <c r="AC789" i="1" s="1"/>
  <c r="AI789" i="1" s="1"/>
  <c r="V789" i="1"/>
  <c r="U789" i="1"/>
  <c r="T790" i="1"/>
  <c r="T791" i="1" l="1"/>
  <c r="AB790" i="1"/>
  <c r="AC790" i="1" s="1"/>
  <c r="AI790" i="1" s="1"/>
  <c r="V790" i="1"/>
  <c r="U790" i="1"/>
  <c r="AB791" i="1" l="1"/>
  <c r="AC791" i="1" s="1"/>
  <c r="AI791" i="1" s="1"/>
  <c r="T792" i="1"/>
  <c r="V791" i="1"/>
  <c r="U791" i="1"/>
  <c r="AB792" i="1" l="1"/>
  <c r="AC792" i="1" s="1"/>
  <c r="AI792" i="1" s="1"/>
  <c r="V792" i="1"/>
  <c r="T793" i="1"/>
  <c r="U792" i="1"/>
  <c r="AB793" i="1" l="1"/>
  <c r="AC793" i="1" s="1"/>
  <c r="AI793" i="1" s="1"/>
  <c r="V793" i="1"/>
  <c r="U793" i="1"/>
  <c r="T794" i="1"/>
  <c r="T795" i="1" l="1"/>
  <c r="V794" i="1"/>
  <c r="AB794" i="1"/>
  <c r="AC794" i="1" s="1"/>
  <c r="AI794" i="1" s="1"/>
  <c r="U794" i="1"/>
  <c r="U795" i="1" l="1"/>
  <c r="V795" i="1"/>
  <c r="AB795" i="1"/>
  <c r="AC795" i="1" s="1"/>
  <c r="AI795" i="1" s="1"/>
  <c r="T796" i="1"/>
  <c r="AB796" i="1" l="1"/>
  <c r="AC796" i="1" s="1"/>
  <c r="AI796" i="1" s="1"/>
  <c r="U796" i="1"/>
  <c r="V796" i="1"/>
  <c r="T797" i="1"/>
  <c r="AB797" i="1" l="1"/>
  <c r="AC797" i="1" s="1"/>
  <c r="AI797" i="1" s="1"/>
  <c r="T798" i="1"/>
  <c r="U797" i="1"/>
  <c r="V797" i="1"/>
  <c r="U798" i="1" l="1"/>
  <c r="T799" i="1"/>
  <c r="AB798" i="1"/>
  <c r="AC798" i="1" s="1"/>
  <c r="AI798" i="1" s="1"/>
  <c r="V798" i="1"/>
  <c r="U799" i="1" l="1"/>
  <c r="AB799" i="1"/>
  <c r="AC799" i="1" s="1"/>
  <c r="AI799" i="1" s="1"/>
  <c r="V799" i="1"/>
  <c r="T800" i="1"/>
  <c r="AB800" i="1" l="1"/>
  <c r="AC800" i="1" s="1"/>
  <c r="AI800" i="1" s="1"/>
  <c r="V800" i="1"/>
  <c r="T801" i="1"/>
  <c r="U800" i="1"/>
  <c r="AB801" i="1" l="1"/>
  <c r="AC801" i="1" s="1"/>
  <c r="AI801" i="1" s="1"/>
  <c r="T802" i="1"/>
  <c r="V801" i="1"/>
  <c r="U801" i="1"/>
  <c r="AB802" i="1" l="1"/>
  <c r="AC802" i="1" s="1"/>
  <c r="AI802" i="1" s="1"/>
  <c r="T803" i="1"/>
  <c r="V802" i="1"/>
  <c r="U802" i="1"/>
  <c r="AB803" i="1" l="1"/>
  <c r="AC803" i="1" s="1"/>
  <c r="AI803" i="1" s="1"/>
  <c r="T804" i="1"/>
  <c r="V803" i="1"/>
  <c r="U803" i="1"/>
  <c r="AB804" i="1" l="1"/>
  <c r="AC804" i="1" s="1"/>
  <c r="AI804" i="1" s="1"/>
  <c r="T805" i="1"/>
  <c r="V804" i="1"/>
  <c r="U804" i="1"/>
  <c r="AB805" i="1" l="1"/>
  <c r="AC805" i="1" s="1"/>
  <c r="AI805" i="1" s="1"/>
  <c r="U805" i="1"/>
  <c r="V805" i="1"/>
  <c r="T806" i="1"/>
  <c r="AB806" i="1" l="1"/>
  <c r="AC806" i="1" s="1"/>
  <c r="AI806" i="1" s="1"/>
  <c r="T807" i="1"/>
  <c r="U806" i="1"/>
  <c r="V806" i="1"/>
  <c r="AB807" i="1" l="1"/>
  <c r="AC807" i="1" s="1"/>
  <c r="AI807" i="1" s="1"/>
  <c r="T808" i="1"/>
  <c r="U807" i="1"/>
  <c r="V807" i="1"/>
  <c r="AB808" i="1" l="1"/>
  <c r="AC808" i="1" s="1"/>
  <c r="AI808" i="1" s="1"/>
  <c r="T809" i="1"/>
  <c r="V808" i="1"/>
  <c r="U808" i="1"/>
  <c r="AB809" i="1" l="1"/>
  <c r="AC809" i="1" s="1"/>
  <c r="AI809" i="1" s="1"/>
  <c r="T810" i="1"/>
  <c r="U809" i="1"/>
  <c r="V809" i="1"/>
  <c r="T811" i="1" l="1"/>
  <c r="AB810" i="1"/>
  <c r="AC810" i="1" s="1"/>
  <c r="AI810" i="1" s="1"/>
  <c r="U810" i="1"/>
  <c r="V810" i="1"/>
  <c r="AB811" i="1" l="1"/>
  <c r="AC811" i="1" s="1"/>
  <c r="AI811" i="1" s="1"/>
  <c r="T812" i="1"/>
  <c r="U811" i="1"/>
  <c r="V811" i="1"/>
  <c r="AB812" i="1" l="1"/>
  <c r="AC812" i="1" s="1"/>
  <c r="AI812" i="1" s="1"/>
  <c r="T813" i="1"/>
  <c r="U812" i="1"/>
  <c r="V812" i="1"/>
  <c r="AB813" i="1" l="1"/>
  <c r="AC813" i="1" s="1"/>
  <c r="AI813" i="1" s="1"/>
  <c r="T814" i="1"/>
  <c r="V813" i="1"/>
  <c r="U813" i="1"/>
  <c r="AB814" i="1" l="1"/>
  <c r="AC814" i="1" s="1"/>
  <c r="AI814" i="1" s="1"/>
  <c r="U814" i="1"/>
  <c r="T815" i="1"/>
  <c r="V814" i="1"/>
  <c r="V815" i="1" l="1"/>
  <c r="AB815" i="1"/>
  <c r="AC815" i="1" s="1"/>
  <c r="AI815" i="1" s="1"/>
  <c r="U815" i="1"/>
  <c r="T816" i="1"/>
  <c r="AB816" i="1" l="1"/>
  <c r="AC816" i="1" s="1"/>
  <c r="AI816" i="1" s="1"/>
  <c r="U816" i="1"/>
  <c r="V816" i="1"/>
  <c r="T817" i="1"/>
  <c r="AB817" i="1" l="1"/>
  <c r="AC817" i="1" s="1"/>
  <c r="AI817" i="1" s="1"/>
  <c r="V817" i="1"/>
  <c r="U817" i="1"/>
  <c r="T818" i="1"/>
  <c r="AB818" i="1" l="1"/>
  <c r="AC818" i="1" s="1"/>
  <c r="AI818" i="1" s="1"/>
  <c r="U818" i="1"/>
  <c r="V818" i="1"/>
  <c r="T819" i="1"/>
  <c r="T820" i="1" l="1"/>
  <c r="U819" i="1"/>
  <c r="AB819" i="1"/>
  <c r="AC819" i="1" s="1"/>
  <c r="AI819" i="1" s="1"/>
  <c r="V819" i="1"/>
  <c r="AB820" i="1" l="1"/>
  <c r="AC820" i="1" s="1"/>
  <c r="AI820" i="1" s="1"/>
  <c r="V820" i="1"/>
  <c r="T821" i="1"/>
  <c r="U820" i="1"/>
  <c r="AB821" i="1" l="1"/>
  <c r="AC821" i="1" s="1"/>
  <c r="AI821" i="1" s="1"/>
  <c r="T822" i="1"/>
  <c r="U821" i="1"/>
  <c r="V821" i="1"/>
  <c r="T823" i="1" l="1"/>
  <c r="AB822" i="1"/>
  <c r="AC822" i="1" s="1"/>
  <c r="AI822" i="1" s="1"/>
  <c r="U822" i="1"/>
  <c r="V822" i="1"/>
  <c r="AB823" i="1" l="1"/>
  <c r="AC823" i="1" s="1"/>
  <c r="AI823" i="1" s="1"/>
  <c r="V823" i="1"/>
  <c r="U823" i="1"/>
  <c r="T824" i="1"/>
  <c r="T825" i="1" l="1"/>
  <c r="U824" i="1"/>
  <c r="AB824" i="1"/>
  <c r="AC824" i="1" s="1"/>
  <c r="AI824" i="1" s="1"/>
  <c r="V824" i="1"/>
  <c r="AB825" i="1" l="1"/>
  <c r="AC825" i="1" s="1"/>
  <c r="AI825" i="1" s="1"/>
  <c r="T826" i="1"/>
  <c r="V825" i="1"/>
  <c r="U825" i="1"/>
  <c r="U826" i="1" l="1"/>
  <c r="AB826" i="1"/>
  <c r="AC826" i="1" s="1"/>
  <c r="AI826" i="1" s="1"/>
  <c r="T827" i="1"/>
  <c r="V826" i="1"/>
  <c r="AB827" i="1" l="1"/>
  <c r="AC827" i="1" s="1"/>
  <c r="AI827" i="1" s="1"/>
  <c r="T828" i="1"/>
  <c r="V827" i="1"/>
  <c r="U827" i="1"/>
  <c r="AB828" i="1" l="1"/>
  <c r="AC828" i="1" s="1"/>
  <c r="AI828" i="1" s="1"/>
  <c r="U828" i="1"/>
  <c r="V828" i="1"/>
  <c r="T829" i="1"/>
  <c r="AB829" i="1" l="1"/>
  <c r="AC829" i="1" s="1"/>
  <c r="AI829" i="1" s="1"/>
  <c r="T830" i="1"/>
  <c r="U829" i="1"/>
  <c r="V829" i="1"/>
  <c r="AB830" i="1" l="1"/>
  <c r="AC830" i="1" s="1"/>
  <c r="AI830" i="1" s="1"/>
  <c r="T831" i="1"/>
  <c r="U830" i="1"/>
  <c r="V830" i="1"/>
  <c r="U831" i="1" l="1"/>
  <c r="T832" i="1"/>
  <c r="V831" i="1"/>
  <c r="AB831" i="1"/>
  <c r="AC831" i="1" s="1"/>
  <c r="AI831" i="1" s="1"/>
  <c r="AB832" i="1" l="1"/>
  <c r="AC832" i="1" s="1"/>
  <c r="AI832" i="1" s="1"/>
  <c r="V832" i="1"/>
  <c r="T833" i="1"/>
  <c r="U832" i="1"/>
  <c r="AB833" i="1" l="1"/>
  <c r="AC833" i="1" s="1"/>
  <c r="AI833" i="1" s="1"/>
  <c r="T834" i="1"/>
  <c r="U833" i="1"/>
  <c r="V833" i="1"/>
  <c r="AB834" i="1" l="1"/>
  <c r="AC834" i="1" s="1"/>
  <c r="AI834" i="1" s="1"/>
  <c r="T835" i="1"/>
  <c r="V834" i="1"/>
  <c r="U834" i="1"/>
  <c r="AB835" i="1" l="1"/>
  <c r="AC835" i="1" s="1"/>
  <c r="AI835" i="1" s="1"/>
  <c r="T836" i="1"/>
  <c r="U835" i="1"/>
  <c r="V835" i="1"/>
  <c r="AB836" i="1" l="1"/>
  <c r="AC836" i="1" s="1"/>
  <c r="AI836" i="1" s="1"/>
  <c r="U836" i="1"/>
  <c r="V836" i="1"/>
  <c r="T837" i="1"/>
  <c r="AB837" i="1" l="1"/>
  <c r="AC837" i="1" s="1"/>
  <c r="AI837" i="1" s="1"/>
  <c r="T838" i="1"/>
  <c r="U837" i="1"/>
  <c r="V837" i="1"/>
  <c r="AB838" i="1" l="1"/>
  <c r="AC838" i="1" s="1"/>
  <c r="AI838" i="1" s="1"/>
  <c r="V838" i="1"/>
  <c r="U838" i="1"/>
  <c r="T839" i="1"/>
  <c r="AB839" i="1" l="1"/>
  <c r="AC839" i="1" s="1"/>
  <c r="AI839" i="1" s="1"/>
  <c r="T840" i="1"/>
  <c r="U839" i="1"/>
  <c r="V839" i="1"/>
  <c r="AB840" i="1" l="1"/>
  <c r="AC840" i="1" s="1"/>
  <c r="AI840" i="1" s="1"/>
  <c r="T841" i="1"/>
  <c r="U840" i="1"/>
  <c r="V840" i="1"/>
  <c r="AB841" i="1" l="1"/>
  <c r="AC841" i="1" s="1"/>
  <c r="AI841" i="1" s="1"/>
  <c r="T842" i="1"/>
  <c r="V841" i="1"/>
  <c r="U841" i="1"/>
  <c r="AB842" i="1" l="1"/>
  <c r="AC842" i="1" s="1"/>
  <c r="AI842" i="1" s="1"/>
  <c r="T843" i="1"/>
  <c r="U842" i="1"/>
  <c r="V842" i="1"/>
  <c r="AB843" i="1" l="1"/>
  <c r="AC843" i="1" s="1"/>
  <c r="AI843" i="1" s="1"/>
  <c r="T844" i="1"/>
  <c r="U843" i="1"/>
  <c r="V843" i="1"/>
  <c r="AB844" i="1" l="1"/>
  <c r="AC844" i="1" s="1"/>
  <c r="AI844" i="1" s="1"/>
  <c r="T845" i="1"/>
  <c r="U844" i="1"/>
  <c r="V844" i="1"/>
  <c r="AB845" i="1" l="1"/>
  <c r="AC845" i="1" s="1"/>
  <c r="AI845" i="1" s="1"/>
  <c r="U845" i="1"/>
  <c r="V845" i="1"/>
  <c r="T846" i="1"/>
  <c r="AB846" i="1" l="1"/>
  <c r="AC846" i="1" s="1"/>
  <c r="AI846" i="1" s="1"/>
  <c r="V846" i="1"/>
  <c r="T847" i="1"/>
  <c r="U846" i="1"/>
  <c r="T848" i="1" l="1"/>
  <c r="AB847" i="1"/>
  <c r="AC847" i="1" s="1"/>
  <c r="AI847" i="1" s="1"/>
  <c r="V847" i="1"/>
  <c r="U847" i="1"/>
  <c r="AB848" i="1" l="1"/>
  <c r="AC848" i="1" s="1"/>
  <c r="AI848" i="1" s="1"/>
  <c r="T849" i="1"/>
  <c r="U848" i="1"/>
  <c r="V848" i="1"/>
  <c r="AB849" i="1" l="1"/>
  <c r="AC849" i="1" s="1"/>
  <c r="AI849" i="1" s="1"/>
  <c r="T850" i="1"/>
  <c r="U849" i="1"/>
  <c r="V849" i="1"/>
  <c r="AB850" i="1" l="1"/>
  <c r="AC850" i="1" s="1"/>
  <c r="AI850" i="1" s="1"/>
  <c r="U850" i="1"/>
  <c r="V850" i="1"/>
  <c r="T851" i="1"/>
  <c r="AB851" i="1" l="1"/>
  <c r="AC851" i="1" s="1"/>
  <c r="AI851" i="1" s="1"/>
  <c r="T852" i="1"/>
  <c r="V851" i="1"/>
  <c r="U851" i="1"/>
  <c r="AB852" i="1" l="1"/>
  <c r="AC852" i="1" s="1"/>
  <c r="AI852" i="1" s="1"/>
  <c r="T853" i="1"/>
  <c r="V852" i="1"/>
  <c r="U852" i="1"/>
  <c r="AB853" i="1" l="1"/>
  <c r="AC853" i="1" s="1"/>
  <c r="AI853" i="1" s="1"/>
  <c r="U853" i="1"/>
  <c r="V853" i="1"/>
  <c r="T854" i="1"/>
  <c r="AB854" i="1" l="1"/>
  <c r="AC854" i="1" s="1"/>
  <c r="AI854" i="1" s="1"/>
  <c r="U854" i="1"/>
  <c r="V854" i="1"/>
  <c r="T855" i="1"/>
  <c r="AB855" i="1" l="1"/>
  <c r="AC855" i="1" s="1"/>
  <c r="AI855" i="1" s="1"/>
  <c r="T856" i="1"/>
  <c r="V855" i="1"/>
  <c r="U855" i="1"/>
  <c r="T857" i="1" l="1"/>
  <c r="AB856" i="1"/>
  <c r="AC856" i="1" s="1"/>
  <c r="AI856" i="1" s="1"/>
  <c r="V856" i="1"/>
  <c r="U856" i="1"/>
  <c r="T858" i="1" l="1"/>
  <c r="AB857" i="1"/>
  <c r="AC857" i="1" s="1"/>
  <c r="AI857" i="1" s="1"/>
  <c r="U857" i="1"/>
  <c r="V857" i="1"/>
  <c r="AB858" i="1" l="1"/>
  <c r="AC858" i="1" s="1"/>
  <c r="AI858" i="1" s="1"/>
  <c r="U858" i="1"/>
  <c r="T859" i="1"/>
  <c r="V858" i="1"/>
  <c r="T860" i="1" l="1"/>
  <c r="AB859" i="1"/>
  <c r="AC859" i="1" s="1"/>
  <c r="AI859" i="1" s="1"/>
  <c r="U859" i="1"/>
  <c r="V859" i="1"/>
  <c r="T861" i="1" l="1"/>
  <c r="V860" i="1"/>
  <c r="U860" i="1"/>
  <c r="AB860" i="1"/>
  <c r="AC860" i="1" s="1"/>
  <c r="AI860" i="1" s="1"/>
  <c r="T862" i="1" l="1"/>
  <c r="AB861" i="1"/>
  <c r="AC861" i="1" s="1"/>
  <c r="U861" i="1"/>
  <c r="V861" i="1"/>
  <c r="T863" i="1" l="1"/>
  <c r="AB862" i="1"/>
  <c r="AC862" i="1" s="1"/>
  <c r="U862" i="1"/>
  <c r="V862" i="1"/>
  <c r="AB863" i="1" l="1"/>
  <c r="AC863" i="1" s="1"/>
  <c r="T864" i="1"/>
  <c r="U863" i="1"/>
  <c r="V863" i="1"/>
  <c r="T865" i="1" l="1"/>
  <c r="U864" i="1"/>
  <c r="V864" i="1"/>
  <c r="AB864" i="1"/>
  <c r="AC864" i="1" s="1"/>
  <c r="AB865" i="1" l="1"/>
  <c r="AC865" i="1" s="1"/>
  <c r="U865" i="1"/>
  <c r="V865" i="1"/>
  <c r="T866" i="1"/>
  <c r="U866" i="1" l="1"/>
  <c r="T867" i="1"/>
  <c r="AB866" i="1"/>
  <c r="AC866" i="1" s="1"/>
  <c r="V866" i="1"/>
  <c r="T868" i="1" l="1"/>
  <c r="AB867" i="1"/>
  <c r="AC867" i="1" s="1"/>
  <c r="U867" i="1"/>
  <c r="V867" i="1"/>
  <c r="U868" i="1" l="1"/>
  <c r="T869" i="1"/>
  <c r="AB868" i="1"/>
  <c r="AC868" i="1" s="1"/>
  <c r="V868" i="1"/>
  <c r="T870" i="1" l="1"/>
  <c r="U869" i="1"/>
  <c r="V869" i="1"/>
  <c r="AB869" i="1"/>
  <c r="AC869" i="1" s="1"/>
  <c r="AB870" i="1" l="1"/>
  <c r="AC870" i="1" s="1"/>
  <c r="U870" i="1"/>
  <c r="T871" i="1"/>
  <c r="V870" i="1"/>
  <c r="T872" i="1" l="1"/>
  <c r="AB871" i="1"/>
  <c r="AC871" i="1" s="1"/>
  <c r="V871" i="1"/>
  <c r="U871" i="1"/>
  <c r="T873" i="1" l="1"/>
  <c r="U872" i="1"/>
  <c r="AB872" i="1"/>
  <c r="AC872" i="1" s="1"/>
  <c r="V872" i="1"/>
  <c r="AB873" i="1" l="1"/>
  <c r="AC873" i="1" s="1"/>
  <c r="U873" i="1"/>
  <c r="V873" i="1"/>
  <c r="T874" i="1"/>
  <c r="T875" i="1" l="1"/>
  <c r="V874" i="1"/>
  <c r="AB874" i="1"/>
  <c r="AC874" i="1" s="1"/>
  <c r="U874" i="1"/>
  <c r="AB875" i="1" l="1"/>
  <c r="AC875" i="1" s="1"/>
  <c r="U875" i="1"/>
  <c r="V875" i="1"/>
  <c r="T876" i="1"/>
  <c r="AB876" i="1" l="1"/>
  <c r="AC876" i="1" s="1"/>
  <c r="V876" i="1"/>
  <c r="T877" i="1"/>
  <c r="U876" i="1"/>
  <c r="U877" i="1" l="1"/>
  <c r="AB877" i="1"/>
  <c r="AC877" i="1" s="1"/>
  <c r="T878" i="1"/>
  <c r="V877" i="1"/>
  <c r="T879" i="1" l="1"/>
  <c r="AB878" i="1"/>
  <c r="AC878" i="1" s="1"/>
  <c r="U878" i="1"/>
  <c r="V878" i="1"/>
  <c r="AB879" i="1" l="1"/>
  <c r="AC879" i="1" s="1"/>
  <c r="T880" i="1"/>
  <c r="V879" i="1"/>
  <c r="U879" i="1"/>
  <c r="T881" i="1" l="1"/>
  <c r="V880" i="1"/>
  <c r="U880" i="1"/>
  <c r="AB880" i="1"/>
  <c r="AC880" i="1" s="1"/>
  <c r="T882" i="1" l="1"/>
  <c r="AB881" i="1"/>
  <c r="AC881" i="1" s="1"/>
  <c r="U881" i="1"/>
  <c r="V881" i="1"/>
  <c r="AB882" i="1" l="1"/>
  <c r="AC882" i="1" s="1"/>
  <c r="V882" i="1"/>
  <c r="U882" i="1"/>
  <c r="T883" i="1"/>
  <c r="T884" i="1" l="1"/>
  <c r="V883" i="1"/>
  <c r="U883" i="1"/>
  <c r="AB883" i="1"/>
  <c r="AC883" i="1" s="1"/>
  <c r="T885" i="1" l="1"/>
  <c r="AB884" i="1"/>
  <c r="AC884" i="1" s="1"/>
  <c r="V884" i="1"/>
  <c r="U884" i="1"/>
  <c r="T886" i="1" l="1"/>
  <c r="AB885" i="1"/>
  <c r="AC885" i="1" s="1"/>
  <c r="U885" i="1"/>
  <c r="V885" i="1"/>
  <c r="T887" i="1" l="1"/>
  <c r="U886" i="1"/>
  <c r="V886" i="1"/>
  <c r="AB886" i="1"/>
  <c r="AC886" i="1" s="1"/>
  <c r="AB887" i="1" l="1"/>
  <c r="AC887" i="1" s="1"/>
  <c r="V887" i="1"/>
  <c r="U887" i="1"/>
  <c r="T888" i="1"/>
  <c r="T889" i="1" l="1"/>
  <c r="AB888" i="1"/>
  <c r="AC888" i="1" s="1"/>
  <c r="U888" i="1"/>
  <c r="V888" i="1"/>
  <c r="U889" i="1" l="1"/>
  <c r="T890" i="1"/>
  <c r="AB889" i="1"/>
  <c r="AC889" i="1" s="1"/>
  <c r="V889" i="1"/>
  <c r="AB890" i="1" l="1"/>
  <c r="AC890" i="1" s="1"/>
  <c r="U890" i="1"/>
  <c r="V890" i="1"/>
  <c r="T891" i="1"/>
  <c r="U891" i="1" l="1"/>
  <c r="AB891" i="1"/>
  <c r="AC891" i="1" s="1"/>
  <c r="V891" i="1"/>
  <c r="T892" i="1"/>
  <c r="V892" i="1" l="1"/>
  <c r="T893" i="1"/>
  <c r="AB892" i="1"/>
  <c r="AC892" i="1" s="1"/>
  <c r="U892" i="1"/>
  <c r="AB893" i="1" l="1"/>
  <c r="AC893" i="1" s="1"/>
  <c r="U893" i="1"/>
  <c r="T894" i="1"/>
  <c r="V893" i="1"/>
  <c r="AB894" i="1" l="1"/>
  <c r="AC894" i="1" s="1"/>
  <c r="U894" i="1"/>
  <c r="V894" i="1"/>
  <c r="T895" i="1"/>
  <c r="T896" i="1" l="1"/>
  <c r="U895" i="1"/>
  <c r="V895" i="1"/>
  <c r="AB895" i="1"/>
  <c r="AC895" i="1" s="1"/>
  <c r="T897" i="1" l="1"/>
  <c r="AB896" i="1"/>
  <c r="AC896" i="1" s="1"/>
  <c r="V896" i="1"/>
  <c r="U896" i="1"/>
  <c r="AB897" i="1" l="1"/>
  <c r="AC897" i="1" s="1"/>
  <c r="U897" i="1"/>
  <c r="V897" i="1"/>
  <c r="T898" i="1"/>
  <c r="AB898" i="1" l="1"/>
  <c r="AC898" i="1" s="1"/>
  <c r="U898" i="1"/>
  <c r="V898" i="1"/>
  <c r="T899" i="1"/>
  <c r="AB899" i="1" l="1"/>
  <c r="AC899" i="1" s="1"/>
  <c r="U899" i="1"/>
  <c r="V899" i="1"/>
  <c r="T900" i="1"/>
  <c r="T901" i="1" l="1"/>
  <c r="U900" i="1"/>
  <c r="AB900" i="1"/>
  <c r="AC900" i="1" s="1"/>
  <c r="V900" i="1"/>
  <c r="AB901" i="1" l="1"/>
  <c r="AC901" i="1" s="1"/>
  <c r="U901" i="1"/>
  <c r="T902" i="1"/>
  <c r="V901" i="1"/>
  <c r="T903" i="1" l="1"/>
  <c r="U902" i="1"/>
  <c r="AB902" i="1"/>
  <c r="AC902" i="1" s="1"/>
  <c r="V902" i="1"/>
  <c r="T904" i="1" l="1"/>
  <c r="AB903" i="1"/>
  <c r="AC903" i="1" s="1"/>
  <c r="U903" i="1"/>
  <c r="V903" i="1"/>
  <c r="T905" i="1" l="1"/>
  <c r="AB904" i="1"/>
  <c r="AC904" i="1" s="1"/>
  <c r="V904" i="1"/>
  <c r="U904" i="1"/>
  <c r="AB905" i="1" l="1"/>
  <c r="AC905" i="1" s="1"/>
  <c r="V905" i="1"/>
  <c r="T906" i="1"/>
  <c r="U905" i="1"/>
  <c r="AB906" i="1" l="1"/>
  <c r="AC906" i="1" s="1"/>
  <c r="V906" i="1"/>
  <c r="U906" i="1"/>
  <c r="T907" i="1"/>
  <c r="AB907" i="1" l="1"/>
  <c r="AC907" i="1" s="1"/>
  <c r="U907" i="1"/>
  <c r="V907" i="1"/>
  <c r="T908" i="1"/>
  <c r="AB908" i="1" l="1"/>
  <c r="AC908" i="1" s="1"/>
  <c r="T909" i="1"/>
  <c r="V908" i="1"/>
  <c r="U908" i="1"/>
  <c r="T910" i="1" l="1"/>
  <c r="AB909" i="1"/>
  <c r="AC909" i="1" s="1"/>
  <c r="V909" i="1"/>
  <c r="U909" i="1"/>
  <c r="T911" i="1" l="1"/>
  <c r="V910" i="1"/>
  <c r="AB910" i="1"/>
  <c r="AC910" i="1" s="1"/>
  <c r="U910" i="1"/>
  <c r="AB911" i="1" l="1"/>
  <c r="AC911" i="1" s="1"/>
  <c r="T912" i="1"/>
  <c r="V911" i="1"/>
  <c r="U911" i="1"/>
  <c r="T913" i="1" l="1"/>
  <c r="V912" i="1"/>
  <c r="AB912" i="1"/>
  <c r="AC912" i="1" s="1"/>
  <c r="U912" i="1"/>
  <c r="T914" i="1" l="1"/>
  <c r="V913" i="1"/>
  <c r="AB913" i="1"/>
  <c r="AC913" i="1" s="1"/>
  <c r="U913" i="1"/>
  <c r="AB914" i="1" l="1"/>
  <c r="AC914" i="1" s="1"/>
  <c r="T915" i="1"/>
  <c r="V914" i="1"/>
  <c r="U914" i="1"/>
  <c r="AB915" i="1" l="1"/>
  <c r="AC915" i="1" s="1"/>
  <c r="U915" i="1"/>
  <c r="V915" i="1"/>
  <c r="T916" i="1"/>
  <c r="T917" i="1" l="1"/>
  <c r="U916" i="1"/>
  <c r="V916" i="1"/>
  <c r="AB916" i="1"/>
  <c r="AC916" i="1" s="1"/>
  <c r="T918" i="1" l="1"/>
  <c r="AB917" i="1"/>
  <c r="AC917" i="1" s="1"/>
  <c r="V917" i="1"/>
  <c r="U917" i="1"/>
  <c r="T919" i="1" l="1"/>
  <c r="AB918" i="1"/>
  <c r="AC918" i="1" s="1"/>
  <c r="U918" i="1"/>
  <c r="V918" i="1"/>
  <c r="AB919" i="1" l="1"/>
  <c r="AC919" i="1" s="1"/>
  <c r="V919" i="1"/>
  <c r="U919" i="1"/>
  <c r="T920" i="1"/>
  <c r="V920" i="1" l="1"/>
  <c r="AB920" i="1"/>
  <c r="AC920" i="1" s="1"/>
  <c r="T921" i="1"/>
  <c r="U920" i="1"/>
  <c r="T922" i="1" l="1"/>
  <c r="AB921" i="1"/>
  <c r="AC921" i="1" s="1"/>
  <c r="V921" i="1"/>
  <c r="U921" i="1"/>
  <c r="V922" i="1" l="1"/>
  <c r="T923" i="1"/>
  <c r="U922" i="1"/>
  <c r="AB922" i="1"/>
  <c r="AC922" i="1" s="1"/>
  <c r="AB923" i="1" l="1"/>
  <c r="AC923" i="1" s="1"/>
  <c r="V923" i="1"/>
  <c r="T924" i="1"/>
  <c r="U923" i="1"/>
  <c r="U924" i="1" l="1"/>
  <c r="T925" i="1"/>
  <c r="AB924" i="1"/>
  <c r="AC924" i="1" s="1"/>
  <c r="V924" i="1"/>
  <c r="T926" i="1" l="1"/>
  <c r="U925" i="1"/>
  <c r="V925" i="1"/>
  <c r="AB925" i="1"/>
  <c r="AC925" i="1" s="1"/>
  <c r="T927" i="1" l="1"/>
  <c r="AB926" i="1"/>
  <c r="AC926" i="1" s="1"/>
  <c r="U926" i="1"/>
  <c r="V926" i="1"/>
  <c r="T928" i="1" l="1"/>
  <c r="V927" i="1"/>
  <c r="AB927" i="1"/>
  <c r="AC927" i="1" s="1"/>
  <c r="U927" i="1"/>
  <c r="T929" i="1" l="1"/>
  <c r="V928" i="1"/>
  <c r="U928" i="1"/>
  <c r="AB928" i="1"/>
  <c r="AC928" i="1" s="1"/>
  <c r="T930" i="1" l="1"/>
  <c r="AB929" i="1"/>
  <c r="AC929" i="1" s="1"/>
  <c r="U929" i="1"/>
  <c r="V929" i="1"/>
  <c r="T931" i="1" l="1"/>
  <c r="U930" i="1"/>
  <c r="V930" i="1"/>
  <c r="AB930" i="1"/>
  <c r="AC930" i="1" s="1"/>
  <c r="AB931" i="1" l="1"/>
  <c r="AC931" i="1" s="1"/>
  <c r="T932" i="1"/>
  <c r="V931" i="1"/>
  <c r="U931" i="1"/>
  <c r="V932" i="1" l="1"/>
  <c r="T933" i="1"/>
  <c r="AB932" i="1"/>
  <c r="AC932" i="1" s="1"/>
  <c r="U932" i="1"/>
  <c r="AB933" i="1" l="1"/>
  <c r="AC933" i="1" s="1"/>
  <c r="U933" i="1"/>
  <c r="V933" i="1"/>
  <c r="T934" i="1"/>
  <c r="T935" i="1" l="1"/>
  <c r="U934" i="1"/>
  <c r="AB934" i="1"/>
  <c r="AC934" i="1" s="1"/>
  <c r="V934" i="1"/>
  <c r="AB935" i="1" l="1"/>
  <c r="AC935" i="1" s="1"/>
  <c r="V935" i="1"/>
  <c r="T936" i="1"/>
  <c r="U935" i="1"/>
  <c r="U936" i="1" l="1"/>
  <c r="T937" i="1"/>
  <c r="AB936" i="1"/>
  <c r="AC936" i="1" s="1"/>
  <c r="V936" i="1"/>
  <c r="U937" i="1" l="1"/>
  <c r="AB937" i="1"/>
  <c r="AC937" i="1" s="1"/>
  <c r="T938" i="1"/>
  <c r="V937" i="1"/>
  <c r="T939" i="1" l="1"/>
  <c r="AB938" i="1"/>
  <c r="AC938" i="1" s="1"/>
  <c r="V938" i="1"/>
  <c r="U938" i="1"/>
  <c r="T940" i="1" l="1"/>
  <c r="AB939" i="1"/>
  <c r="AC939" i="1" s="1"/>
  <c r="V939" i="1"/>
  <c r="U939" i="1"/>
  <c r="T941" i="1" l="1"/>
  <c r="AB940" i="1"/>
  <c r="AC940" i="1" s="1"/>
  <c r="V940" i="1"/>
  <c r="U940" i="1"/>
  <c r="AB941" i="1" l="1"/>
  <c r="AC941" i="1" s="1"/>
  <c r="V941" i="1"/>
  <c r="T942" i="1"/>
  <c r="U941" i="1"/>
  <c r="AB942" i="1" l="1"/>
  <c r="AC942" i="1" s="1"/>
  <c r="T943" i="1"/>
  <c r="U942" i="1"/>
  <c r="V942" i="1"/>
  <c r="AB943" i="1" l="1"/>
  <c r="AC943" i="1" s="1"/>
  <c r="U943" i="1"/>
  <c r="V943" i="1"/>
  <c r="T944" i="1"/>
  <c r="AB944" i="1" l="1"/>
  <c r="AC944" i="1" s="1"/>
  <c r="T945" i="1"/>
  <c r="U944" i="1"/>
  <c r="V944" i="1"/>
  <c r="U945" i="1" l="1"/>
  <c r="AB945" i="1"/>
  <c r="AC945" i="1" s="1"/>
  <c r="T946" i="1"/>
  <c r="V945" i="1"/>
  <c r="V946" i="1" l="1"/>
  <c r="AB946" i="1"/>
  <c r="AC946" i="1" s="1"/>
  <c r="T947" i="1"/>
  <c r="U946" i="1"/>
  <c r="AB947" i="1" l="1"/>
  <c r="AC947" i="1" s="1"/>
  <c r="U947" i="1"/>
  <c r="V947" i="1"/>
  <c r="T948" i="1"/>
  <c r="T949" i="1" l="1"/>
  <c r="AB948" i="1"/>
  <c r="AC948" i="1" s="1"/>
  <c r="U948" i="1"/>
  <c r="V948" i="1"/>
  <c r="AB949" i="1" l="1"/>
  <c r="AC949" i="1" s="1"/>
  <c r="V949" i="1"/>
  <c r="U949" i="1"/>
  <c r="T950" i="1"/>
  <c r="AB950" i="1" l="1"/>
  <c r="AC950" i="1" s="1"/>
  <c r="T951" i="1"/>
  <c r="U950" i="1"/>
  <c r="V950" i="1"/>
  <c r="AB951" i="1" l="1"/>
  <c r="AC951" i="1" s="1"/>
  <c r="T952" i="1"/>
  <c r="V951" i="1"/>
  <c r="U951" i="1"/>
  <c r="AB952" i="1" l="1"/>
  <c r="AC952" i="1" s="1"/>
  <c r="T953" i="1"/>
  <c r="U952" i="1"/>
  <c r="V952" i="1"/>
  <c r="AB953" i="1" l="1"/>
  <c r="AC953" i="1" s="1"/>
  <c r="T954" i="1"/>
  <c r="V953" i="1"/>
  <c r="U953" i="1"/>
  <c r="V954" i="1" l="1"/>
  <c r="AB954" i="1"/>
  <c r="AC954" i="1" s="1"/>
  <c r="T955" i="1"/>
  <c r="U954" i="1"/>
  <c r="AB955" i="1" l="1"/>
  <c r="AC955" i="1" s="1"/>
  <c r="T956" i="1"/>
  <c r="U955" i="1"/>
  <c r="V955" i="1"/>
  <c r="AB956" i="1" l="1"/>
  <c r="AC956" i="1" s="1"/>
  <c r="T957" i="1"/>
  <c r="U956" i="1"/>
  <c r="V956" i="1"/>
  <c r="T958" i="1" l="1"/>
  <c r="AB957" i="1"/>
  <c r="AC957" i="1" s="1"/>
  <c r="V957" i="1"/>
  <c r="U957" i="1"/>
  <c r="T959" i="1" l="1"/>
  <c r="AB958" i="1"/>
  <c r="AC958" i="1" s="1"/>
  <c r="U958" i="1"/>
  <c r="V958" i="1"/>
  <c r="AB959" i="1" l="1"/>
  <c r="AC959" i="1" s="1"/>
  <c r="U959" i="1"/>
  <c r="T960" i="1"/>
  <c r="V959" i="1"/>
  <c r="AB960" i="1" l="1"/>
  <c r="AC960" i="1" s="1"/>
  <c r="T961" i="1"/>
  <c r="U960" i="1"/>
  <c r="V960" i="1"/>
  <c r="AB961" i="1" l="1"/>
  <c r="AC961" i="1" s="1"/>
  <c r="V961" i="1"/>
  <c r="U961" i="1"/>
  <c r="T962" i="1"/>
  <c r="U962" i="1" l="1"/>
  <c r="V962" i="1"/>
  <c r="AB962" i="1"/>
  <c r="AC962" i="1" s="1"/>
  <c r="T963" i="1"/>
  <c r="U963" i="1" l="1"/>
  <c r="V963" i="1"/>
  <c r="AB963" i="1"/>
  <c r="AC963" i="1" s="1"/>
  <c r="T964" i="1"/>
  <c r="U964" i="1" l="1"/>
  <c r="AB964" i="1"/>
  <c r="AC964" i="1" s="1"/>
  <c r="V964" i="1"/>
  <c r="T965" i="1"/>
  <c r="T966" i="1" l="1"/>
  <c r="AB965" i="1"/>
  <c r="AC965" i="1" s="1"/>
  <c r="U965" i="1"/>
  <c r="V965" i="1"/>
  <c r="U966" i="1" l="1"/>
  <c r="AB966" i="1"/>
  <c r="AC966" i="1" s="1"/>
  <c r="V966" i="1"/>
  <c r="T967" i="1"/>
  <c r="AB967" i="1" l="1"/>
  <c r="AC967" i="1" s="1"/>
  <c r="T968" i="1"/>
  <c r="V967" i="1"/>
  <c r="U967" i="1"/>
  <c r="AB968" i="1" l="1"/>
  <c r="AC968" i="1" s="1"/>
  <c r="T969" i="1"/>
  <c r="V968" i="1"/>
  <c r="U968" i="1"/>
  <c r="AB969" i="1" l="1"/>
  <c r="AC969" i="1" s="1"/>
  <c r="T970" i="1"/>
  <c r="V969" i="1"/>
  <c r="U969" i="1"/>
  <c r="T971" i="1" l="1"/>
  <c r="U970" i="1"/>
  <c r="AB970" i="1"/>
  <c r="AC970" i="1" s="1"/>
  <c r="V970" i="1"/>
  <c r="AB971" i="1" l="1"/>
  <c r="AC971" i="1" s="1"/>
  <c r="U971" i="1"/>
  <c r="V971" i="1"/>
  <c r="T972" i="1"/>
  <c r="AB972" i="1" l="1"/>
  <c r="AC972" i="1" s="1"/>
  <c r="T973" i="1"/>
  <c r="V972" i="1"/>
  <c r="U972" i="1"/>
  <c r="V973" i="1" l="1"/>
  <c r="AB973" i="1"/>
  <c r="AC973" i="1" s="1"/>
  <c r="U973" i="1"/>
  <c r="T974" i="1"/>
  <c r="AB974" i="1" l="1"/>
  <c r="AC974" i="1" s="1"/>
  <c r="T975" i="1"/>
  <c r="U974" i="1"/>
  <c r="V974" i="1"/>
  <c r="AB975" i="1" l="1"/>
  <c r="AC975" i="1" s="1"/>
  <c r="T976" i="1"/>
  <c r="V975" i="1"/>
  <c r="U975" i="1"/>
  <c r="AB976" i="1" l="1"/>
  <c r="AC976" i="1" s="1"/>
  <c r="U976" i="1"/>
  <c r="T977" i="1"/>
  <c r="V976" i="1"/>
  <c r="U977" i="1" l="1"/>
  <c r="T978" i="1"/>
  <c r="AB977" i="1"/>
  <c r="AC977" i="1" s="1"/>
  <c r="V977" i="1"/>
  <c r="V978" i="1" l="1"/>
  <c r="T979" i="1"/>
  <c r="U978" i="1"/>
  <c r="AB978" i="1"/>
  <c r="AC978" i="1" s="1"/>
  <c r="AB979" i="1" l="1"/>
  <c r="AC979" i="1" s="1"/>
  <c r="U979" i="1"/>
  <c r="V979" i="1"/>
  <c r="T980" i="1"/>
  <c r="AB980" i="1" l="1"/>
  <c r="AC980" i="1" s="1"/>
  <c r="V980" i="1"/>
  <c r="T981" i="1"/>
  <c r="U980" i="1"/>
  <c r="T982" i="1" l="1"/>
  <c r="U981" i="1"/>
  <c r="AB981" i="1"/>
  <c r="AC981" i="1" s="1"/>
  <c r="V981" i="1"/>
  <c r="AB982" i="1" l="1"/>
  <c r="AC982" i="1" s="1"/>
  <c r="U982" i="1"/>
  <c r="V982" i="1"/>
  <c r="T983" i="1"/>
  <c r="AB983" i="1" l="1"/>
  <c r="AC983" i="1" s="1"/>
  <c r="T984" i="1"/>
  <c r="V983" i="1"/>
  <c r="U983" i="1"/>
  <c r="AB984" i="1" l="1"/>
  <c r="AC984" i="1" s="1"/>
  <c r="V984" i="1"/>
  <c r="T985" i="1"/>
  <c r="U984" i="1"/>
  <c r="T986" i="1" l="1"/>
  <c r="AB985" i="1"/>
  <c r="AC985" i="1" s="1"/>
  <c r="U985" i="1"/>
  <c r="V985" i="1"/>
  <c r="V986" i="1" l="1"/>
  <c r="AB986" i="1"/>
  <c r="AC986" i="1" s="1"/>
  <c r="T987" i="1"/>
  <c r="U986" i="1"/>
  <c r="T988" i="1" l="1"/>
  <c r="AB987" i="1"/>
  <c r="AC987" i="1" s="1"/>
  <c r="V987" i="1"/>
  <c r="U987" i="1"/>
  <c r="AB988" i="1" l="1"/>
  <c r="AC988" i="1" s="1"/>
  <c r="T989" i="1"/>
  <c r="U988" i="1"/>
  <c r="V988" i="1"/>
  <c r="T990" i="1" l="1"/>
  <c r="AB989" i="1"/>
  <c r="AC989" i="1" s="1"/>
  <c r="U989" i="1"/>
  <c r="V989" i="1"/>
  <c r="T991" i="1" l="1"/>
  <c r="AB990" i="1"/>
  <c r="AC990" i="1" s="1"/>
  <c r="U990" i="1"/>
  <c r="V990" i="1"/>
  <c r="AB991" i="1" l="1"/>
  <c r="AC991" i="1" s="1"/>
  <c r="V991" i="1"/>
  <c r="U991" i="1"/>
  <c r="T992" i="1"/>
  <c r="AB992" i="1" l="1"/>
  <c r="AC992" i="1" s="1"/>
  <c r="T993" i="1"/>
  <c r="U992" i="1"/>
  <c r="V992" i="1"/>
  <c r="AB993" i="1" l="1"/>
  <c r="AC993" i="1" s="1"/>
  <c r="T994" i="1"/>
  <c r="V993" i="1"/>
  <c r="U993" i="1"/>
  <c r="U994" i="1" l="1"/>
  <c r="V994" i="1"/>
  <c r="AB994" i="1"/>
  <c r="AC994" i="1" s="1"/>
  <c r="T995" i="1"/>
  <c r="T996" i="1" l="1"/>
  <c r="AB995" i="1"/>
  <c r="AC995" i="1" s="1"/>
  <c r="U995" i="1"/>
  <c r="V995" i="1"/>
  <c r="T997" i="1" l="1"/>
  <c r="AB996" i="1"/>
  <c r="AC996" i="1" s="1"/>
  <c r="V996" i="1"/>
  <c r="U996" i="1"/>
  <c r="U997" i="1" l="1"/>
  <c r="AB997" i="1"/>
  <c r="AC997" i="1" s="1"/>
  <c r="V997" i="1"/>
  <c r="T998" i="1"/>
  <c r="T999" i="1" l="1"/>
  <c r="V998" i="1"/>
  <c r="U998" i="1"/>
  <c r="AB998" i="1"/>
  <c r="AC998" i="1" s="1"/>
  <c r="AB999" i="1" l="1"/>
  <c r="AC999" i="1" s="1"/>
  <c r="V999" i="1"/>
  <c r="U999" i="1"/>
  <c r="T1000" i="1"/>
  <c r="AB1000" i="1" l="1"/>
  <c r="AC1000" i="1" s="1"/>
  <c r="T1001" i="1"/>
  <c r="U1000" i="1"/>
  <c r="V1000" i="1"/>
  <c r="AB1001" i="1" l="1"/>
  <c r="AC1001" i="1" s="1"/>
  <c r="T1002" i="1"/>
  <c r="U1001" i="1"/>
  <c r="V1001" i="1"/>
  <c r="T1003" i="1" l="1"/>
  <c r="U1002" i="1"/>
  <c r="V1002" i="1"/>
  <c r="AB1002" i="1"/>
  <c r="AC1002" i="1" s="1"/>
  <c r="AB1003" i="1" l="1"/>
  <c r="AC1003" i="1" s="1"/>
  <c r="T1004" i="1"/>
  <c r="V1003" i="1"/>
  <c r="U1003" i="1"/>
  <c r="AB1004" i="1" l="1"/>
  <c r="AC1004" i="1" s="1"/>
  <c r="T1005" i="1"/>
  <c r="V1004" i="1"/>
  <c r="U1004" i="1"/>
  <c r="AB1005" i="1" l="1"/>
  <c r="AC1005" i="1" s="1"/>
  <c r="T1006" i="1"/>
  <c r="U1005" i="1"/>
  <c r="V1005" i="1"/>
  <c r="T1007" i="1" l="1"/>
  <c r="U1006" i="1"/>
  <c r="AB1006" i="1"/>
  <c r="AC1006" i="1" s="1"/>
  <c r="V1006" i="1"/>
  <c r="AB1007" i="1" l="1"/>
  <c r="AC1007" i="1" s="1"/>
  <c r="T1008" i="1"/>
  <c r="V1007" i="1"/>
  <c r="U1007" i="1"/>
  <c r="AB1008" i="1" l="1"/>
  <c r="AC1008" i="1" s="1"/>
  <c r="T1009" i="1"/>
  <c r="U1008" i="1"/>
  <c r="V1008" i="1"/>
  <c r="AB1009" i="1" l="1"/>
  <c r="AC1009" i="1" s="1"/>
  <c r="T1010" i="1"/>
  <c r="V1009" i="1"/>
  <c r="U1009" i="1"/>
  <c r="T1011" i="1" l="1"/>
  <c r="AB1010" i="1"/>
  <c r="AC1010" i="1" s="1"/>
  <c r="U1010" i="1"/>
  <c r="V1010" i="1"/>
  <c r="AB1011" i="1" l="1"/>
  <c r="AC1011" i="1" s="1"/>
  <c r="U1011" i="1"/>
  <c r="V1011" i="1"/>
  <c r="T1012" i="1"/>
  <c r="T1013" i="1" l="1"/>
  <c r="AB1012" i="1"/>
  <c r="AC1012" i="1" s="1"/>
  <c r="V1012" i="1"/>
  <c r="U1012" i="1"/>
  <c r="T1014" i="1" l="1"/>
  <c r="AB1013" i="1"/>
  <c r="AC1013" i="1" s="1"/>
  <c r="U1013" i="1"/>
  <c r="V1013" i="1"/>
  <c r="AB1014" i="1" l="1"/>
  <c r="AC1014" i="1" s="1"/>
  <c r="V1014" i="1"/>
  <c r="U1014" i="1"/>
  <c r="T1015" i="1"/>
  <c r="AB1015" i="1" l="1"/>
  <c r="AC1015" i="1" s="1"/>
  <c r="T1016" i="1"/>
  <c r="U1015" i="1"/>
  <c r="V1015" i="1"/>
  <c r="AB1016" i="1" l="1"/>
  <c r="AC1016" i="1" s="1"/>
  <c r="T1017" i="1"/>
  <c r="U1016" i="1"/>
  <c r="V1016" i="1"/>
  <c r="AB1017" i="1" l="1"/>
  <c r="AC1017" i="1" s="1"/>
  <c r="T1018" i="1"/>
  <c r="V1017" i="1"/>
  <c r="U1017" i="1"/>
  <c r="U1018" i="1" l="1"/>
  <c r="T1019" i="1"/>
  <c r="AB1018" i="1"/>
  <c r="AC1018" i="1" s="1"/>
  <c r="V1018" i="1"/>
  <c r="AB1019" i="1" l="1"/>
  <c r="AC1019" i="1" s="1"/>
  <c r="V1019" i="1"/>
  <c r="U1019" i="1"/>
  <c r="T1020" i="1"/>
  <c r="U1020" i="1" l="1"/>
  <c r="AB1020" i="1"/>
  <c r="AC1020" i="1" s="1"/>
  <c r="T1021" i="1"/>
  <c r="V1020" i="1"/>
  <c r="AB1021" i="1" l="1"/>
  <c r="AC1021" i="1" s="1"/>
  <c r="T1022" i="1"/>
  <c r="U1021" i="1"/>
  <c r="V1021" i="1"/>
  <c r="T1023" i="1" l="1"/>
  <c r="AB1022" i="1"/>
  <c r="AC1022" i="1" s="1"/>
  <c r="U1022" i="1"/>
  <c r="V1022" i="1"/>
  <c r="T1024" i="1" l="1"/>
  <c r="AB1023" i="1"/>
  <c r="AC1023" i="1" s="1"/>
  <c r="V1023" i="1"/>
  <c r="U1023" i="1"/>
  <c r="T1025" i="1" l="1"/>
  <c r="V1024" i="1"/>
  <c r="AB1024" i="1"/>
  <c r="AC1024" i="1" s="1"/>
  <c r="U1024" i="1"/>
  <c r="T1026" i="1" l="1"/>
  <c r="AB1025" i="1"/>
  <c r="AC1025" i="1" s="1"/>
  <c r="U1025" i="1"/>
  <c r="V1025" i="1"/>
  <c r="AB1026" i="1" l="1"/>
  <c r="AC1026" i="1" s="1"/>
  <c r="T1027" i="1"/>
  <c r="V1026" i="1"/>
  <c r="U1026" i="1"/>
  <c r="V1027" i="1" l="1"/>
  <c r="T1028" i="1"/>
  <c r="U1027" i="1"/>
  <c r="AB1027" i="1"/>
  <c r="AC1027" i="1" s="1"/>
  <c r="AB1028" i="1" l="1"/>
  <c r="AC1028" i="1" s="1"/>
  <c r="T1029" i="1"/>
  <c r="U1028" i="1"/>
  <c r="V1028" i="1"/>
  <c r="V1029" i="1" l="1"/>
  <c r="AB1029" i="1"/>
  <c r="AC1029" i="1" s="1"/>
  <c r="T1030" i="1"/>
  <c r="U1029" i="1"/>
  <c r="T1031" i="1" l="1"/>
  <c r="AB1030" i="1"/>
  <c r="AC1030" i="1" s="1"/>
  <c r="V1030" i="1"/>
  <c r="U1030" i="1"/>
  <c r="U1031" i="1" l="1"/>
  <c r="V1031" i="1"/>
  <c r="AB1031" i="1"/>
  <c r="AC1031" i="1" s="1"/>
  <c r="T1032" i="1"/>
  <c r="T1033" i="1" l="1"/>
  <c r="AB1032" i="1"/>
  <c r="AC1032" i="1" s="1"/>
  <c r="U1032" i="1"/>
  <c r="V1032" i="1"/>
  <c r="T1034" i="1" l="1"/>
  <c r="AB1033" i="1"/>
  <c r="AC1033" i="1" s="1"/>
  <c r="U1033" i="1"/>
  <c r="V1033" i="1"/>
  <c r="V1034" i="1" l="1"/>
  <c r="U1034" i="1"/>
  <c r="AB1034" i="1"/>
  <c r="AC1034" i="1" s="1"/>
  <c r="T1035" i="1"/>
  <c r="U1035" i="1" l="1"/>
  <c r="V1035" i="1"/>
  <c r="AB1035" i="1"/>
  <c r="AC1035" i="1" s="1"/>
  <c r="T1036" i="1"/>
  <c r="V1036" i="1" l="1"/>
  <c r="AB1036" i="1"/>
  <c r="AC1036" i="1" s="1"/>
  <c r="T1037" i="1"/>
  <c r="U1036" i="1"/>
  <c r="AB1037" i="1" l="1"/>
  <c r="AC1037" i="1" s="1"/>
  <c r="T1038" i="1"/>
  <c r="U1037" i="1"/>
  <c r="V1037" i="1"/>
  <c r="U1038" i="1" l="1"/>
  <c r="AB1038" i="1"/>
  <c r="AC1038" i="1" s="1"/>
  <c r="V1038" i="1"/>
  <c r="T1039" i="1"/>
  <c r="AB1039" i="1" l="1"/>
  <c r="AC1039" i="1" s="1"/>
  <c r="T1040" i="1"/>
  <c r="V1039" i="1"/>
  <c r="U1039" i="1"/>
  <c r="T1041" i="1" l="1"/>
  <c r="AB1040" i="1"/>
  <c r="AC1040" i="1" s="1"/>
  <c r="U1040" i="1"/>
  <c r="V1040" i="1"/>
  <c r="AB1041" i="1" l="1"/>
  <c r="AC1041" i="1" s="1"/>
  <c r="T1042" i="1"/>
  <c r="U1041" i="1"/>
  <c r="V1041" i="1"/>
  <c r="U1042" i="1" l="1"/>
  <c r="T1043" i="1"/>
  <c r="V1042" i="1"/>
  <c r="AB1042" i="1"/>
  <c r="AC1042" i="1" s="1"/>
  <c r="AB1043" i="1" l="1"/>
  <c r="AC1043" i="1" s="1"/>
  <c r="T1044" i="1"/>
  <c r="V1043" i="1"/>
  <c r="U1043" i="1"/>
  <c r="AB1044" i="1" l="1"/>
  <c r="AC1044" i="1" s="1"/>
  <c r="V1044" i="1"/>
  <c r="T1045" i="1"/>
  <c r="U1044" i="1"/>
  <c r="AB1045" i="1" l="1"/>
  <c r="AC1045" i="1" s="1"/>
  <c r="U1045" i="1"/>
  <c r="V1045" i="1"/>
  <c r="T1046" i="1"/>
  <c r="AB1046" i="1" l="1"/>
  <c r="AC1046" i="1" s="1"/>
  <c r="T1047" i="1"/>
  <c r="U1046" i="1"/>
  <c r="V1046" i="1"/>
  <c r="AB1047" i="1" l="1"/>
  <c r="AC1047" i="1" s="1"/>
  <c r="V1047" i="1"/>
  <c r="T1048" i="1"/>
  <c r="U1047" i="1"/>
  <c r="AB1048" i="1" l="1"/>
  <c r="AC1048" i="1" s="1"/>
  <c r="U1048" i="1"/>
  <c r="V1048" i="1"/>
  <c r="T1049" i="1"/>
  <c r="V1049" i="1" l="1"/>
  <c r="AB1049" i="1"/>
  <c r="AC1049" i="1" s="1"/>
  <c r="T1050" i="1"/>
  <c r="U1049" i="1"/>
  <c r="T1051" i="1" l="1"/>
  <c r="AB1050" i="1"/>
  <c r="AC1050" i="1" s="1"/>
  <c r="U1050" i="1"/>
  <c r="V1050" i="1"/>
  <c r="T1052" i="1" l="1"/>
  <c r="AB1051" i="1"/>
  <c r="AC1051" i="1" s="1"/>
  <c r="U1051" i="1"/>
  <c r="V1051" i="1"/>
  <c r="T1053" i="1" l="1"/>
  <c r="AB1052" i="1"/>
  <c r="AC1052" i="1" s="1"/>
  <c r="U1052" i="1"/>
  <c r="V1052" i="1"/>
  <c r="V1053" i="1" l="1"/>
  <c r="T1054" i="1"/>
  <c r="AB1053" i="1"/>
  <c r="AC1053" i="1" s="1"/>
  <c r="U1053" i="1"/>
  <c r="AB1054" i="1" l="1"/>
  <c r="AC1054" i="1" s="1"/>
  <c r="T1055" i="1"/>
  <c r="U1054" i="1"/>
  <c r="V1054" i="1"/>
  <c r="AB1055" i="1" l="1"/>
  <c r="AC1055" i="1" s="1"/>
  <c r="T1056" i="1"/>
  <c r="V1055" i="1"/>
  <c r="U1055" i="1"/>
  <c r="U1056" i="1" l="1"/>
  <c r="V1056" i="1"/>
  <c r="AB1056" i="1"/>
  <c r="AC1056" i="1" s="1"/>
  <c r="T1057" i="1"/>
  <c r="T1058" i="1" l="1"/>
  <c r="U1057" i="1"/>
  <c r="V1057" i="1"/>
  <c r="AB1057" i="1"/>
  <c r="AC1057" i="1" s="1"/>
  <c r="T1059" i="1" l="1"/>
  <c r="AB1058" i="1"/>
  <c r="AC1058" i="1" s="1"/>
  <c r="U1058" i="1"/>
  <c r="V1058" i="1"/>
  <c r="T1060" i="1" l="1"/>
  <c r="U1059" i="1"/>
  <c r="AB1059" i="1"/>
  <c r="AC1059" i="1" s="1"/>
  <c r="V1059" i="1"/>
  <c r="U1060" i="1" l="1"/>
  <c r="AB1060" i="1"/>
  <c r="AC1060" i="1" s="1"/>
  <c r="V1060" i="1"/>
  <c r="T1061" i="1"/>
  <c r="AB1061" i="1" l="1"/>
  <c r="AC1061" i="1" s="1"/>
  <c r="T1062" i="1"/>
  <c r="V1061" i="1"/>
  <c r="U1061" i="1"/>
  <c r="V1062" i="1" l="1"/>
  <c r="U1062" i="1"/>
  <c r="AB1062" i="1"/>
  <c r="AC1062" i="1" s="1"/>
  <c r="T1063" i="1"/>
  <c r="T1064" i="1" l="1"/>
  <c r="V1063" i="1"/>
  <c r="U1063" i="1"/>
  <c r="AB1063" i="1"/>
  <c r="AC1063" i="1" s="1"/>
  <c r="AB1064" i="1" l="1"/>
  <c r="AC1064" i="1" s="1"/>
  <c r="U1064" i="1"/>
  <c r="T1065" i="1"/>
  <c r="V1064" i="1"/>
  <c r="T1066" i="1" l="1"/>
  <c r="AB1065" i="1"/>
  <c r="AC1065" i="1" s="1"/>
  <c r="V1065" i="1"/>
  <c r="U1065" i="1"/>
  <c r="AB1066" i="1" l="1"/>
  <c r="AC1066" i="1" s="1"/>
  <c r="U1066" i="1"/>
  <c r="V1066" i="1"/>
  <c r="T1067" i="1"/>
  <c r="T1068" i="1" l="1"/>
  <c r="AB1067" i="1"/>
  <c r="AC1067" i="1" s="1"/>
  <c r="U1067" i="1"/>
  <c r="V1067" i="1"/>
  <c r="T1069" i="1" l="1"/>
  <c r="AB1068" i="1"/>
  <c r="AC1068" i="1" s="1"/>
  <c r="U1068" i="1"/>
  <c r="V1068" i="1"/>
  <c r="AB1069" i="1" l="1"/>
  <c r="AC1069" i="1" s="1"/>
  <c r="U1069" i="1"/>
  <c r="V1069" i="1"/>
  <c r="T1070" i="1"/>
  <c r="AB1070" i="1" l="1"/>
  <c r="AC1070" i="1" s="1"/>
  <c r="U1070" i="1"/>
  <c r="V1070" i="1"/>
  <c r="T1071" i="1"/>
  <c r="T1072" i="1" l="1"/>
  <c r="AB1071" i="1"/>
  <c r="AC1071" i="1" s="1"/>
  <c r="U1071" i="1"/>
  <c r="V1071" i="1"/>
  <c r="AB1072" i="1" l="1"/>
  <c r="AC1072" i="1" s="1"/>
  <c r="V1072" i="1"/>
  <c r="T1073" i="1"/>
  <c r="U1072" i="1"/>
  <c r="AB1073" i="1" l="1"/>
  <c r="AC1073" i="1" s="1"/>
  <c r="U1073" i="1"/>
  <c r="V1073" i="1"/>
  <c r="T1074" i="1"/>
  <c r="U1074" i="1" l="1"/>
  <c r="AB1074" i="1"/>
  <c r="AC1074" i="1" s="1"/>
  <c r="T1075" i="1"/>
  <c r="V1074" i="1"/>
  <c r="T1076" i="1" l="1"/>
  <c r="AB1075" i="1"/>
  <c r="AC1075" i="1" s="1"/>
  <c r="V1075" i="1"/>
  <c r="U1075" i="1"/>
  <c r="AB1076" i="1" l="1"/>
  <c r="AC1076" i="1" s="1"/>
  <c r="U1076" i="1"/>
  <c r="V1076" i="1"/>
  <c r="T1077" i="1"/>
  <c r="T1078" i="1" l="1"/>
  <c r="U1077" i="1"/>
  <c r="AB1077" i="1"/>
  <c r="AC1077" i="1" s="1"/>
  <c r="V1077" i="1"/>
  <c r="U1078" i="1" l="1"/>
  <c r="T1079" i="1"/>
  <c r="AB1078" i="1"/>
  <c r="AC1078" i="1" s="1"/>
  <c r="V1078" i="1"/>
  <c r="T1080" i="1" l="1"/>
  <c r="AB1079" i="1"/>
  <c r="AC1079" i="1" s="1"/>
  <c r="V1079" i="1"/>
  <c r="U1079" i="1"/>
  <c r="T1081" i="1" l="1"/>
  <c r="AB1080" i="1"/>
  <c r="AC1080" i="1" s="1"/>
  <c r="U1080" i="1"/>
  <c r="V1080" i="1"/>
  <c r="AB1081" i="1" l="1"/>
  <c r="AC1081" i="1" s="1"/>
  <c r="T1082" i="1"/>
  <c r="U1081" i="1"/>
  <c r="V1081" i="1"/>
  <c r="T1083" i="1" l="1"/>
  <c r="U1082" i="1"/>
  <c r="V1082" i="1"/>
  <c r="AB1082" i="1"/>
  <c r="AC1082" i="1" s="1"/>
  <c r="T1084" i="1" l="1"/>
  <c r="U1083" i="1"/>
  <c r="V1083" i="1"/>
  <c r="AB1083" i="1"/>
  <c r="AC1083" i="1" s="1"/>
  <c r="T1085" i="1" l="1"/>
  <c r="V1084" i="1"/>
  <c r="AB1084" i="1"/>
  <c r="AC1084" i="1" s="1"/>
  <c r="U1084" i="1"/>
  <c r="AB1085" i="1" l="1"/>
  <c r="AC1085" i="1" s="1"/>
  <c r="U1085" i="1"/>
  <c r="T1086" i="1"/>
  <c r="V1085" i="1"/>
  <c r="AB1086" i="1" l="1"/>
  <c r="AC1086" i="1" s="1"/>
  <c r="T1087" i="1"/>
  <c r="V1086" i="1"/>
  <c r="U1086" i="1"/>
  <c r="T1088" i="1" l="1"/>
  <c r="U1087" i="1"/>
  <c r="V1087" i="1"/>
  <c r="AB1087" i="1"/>
  <c r="AC1087" i="1" s="1"/>
  <c r="AB1088" i="1" l="1"/>
  <c r="AC1088" i="1" s="1"/>
  <c r="V1088" i="1"/>
  <c r="T1089" i="1"/>
  <c r="U1088" i="1"/>
  <c r="AB1089" i="1" l="1"/>
  <c r="AC1089" i="1" s="1"/>
  <c r="U1089" i="1"/>
  <c r="T1090" i="1"/>
  <c r="V1089" i="1"/>
  <c r="T1091" i="1" l="1"/>
  <c r="AB1090" i="1"/>
  <c r="AC1090" i="1" s="1"/>
  <c r="U1090" i="1"/>
  <c r="V1090" i="1"/>
  <c r="T1092" i="1" l="1"/>
  <c r="AB1091" i="1"/>
  <c r="AC1091" i="1" s="1"/>
  <c r="U1091" i="1"/>
  <c r="V1091" i="1"/>
  <c r="V1092" i="1" l="1"/>
  <c r="T1093" i="1"/>
  <c r="AB1092" i="1"/>
  <c r="AC1092" i="1" s="1"/>
  <c r="U1092" i="1"/>
  <c r="T1094" i="1" l="1"/>
  <c r="U1093" i="1"/>
  <c r="V1093" i="1"/>
  <c r="AB1093" i="1"/>
  <c r="AC1093" i="1" s="1"/>
  <c r="AB1094" i="1" l="1"/>
  <c r="AC1094" i="1" s="1"/>
  <c r="U1094" i="1"/>
  <c r="V1094" i="1"/>
  <c r="T1095" i="1"/>
  <c r="AB1095" i="1" l="1"/>
  <c r="AC1095" i="1" s="1"/>
  <c r="T1096" i="1"/>
  <c r="V1095" i="1"/>
  <c r="U1095" i="1"/>
  <c r="AB1096" i="1" l="1"/>
  <c r="AC1096" i="1" s="1"/>
  <c r="U1096" i="1"/>
  <c r="V1096" i="1"/>
  <c r="T1097" i="1"/>
  <c r="T1098" i="1" l="1"/>
  <c r="AB1097" i="1"/>
  <c r="AC1097" i="1" s="1"/>
  <c r="U1097" i="1"/>
  <c r="V1097" i="1"/>
  <c r="AB1098" i="1" l="1"/>
  <c r="AC1098" i="1" s="1"/>
  <c r="U1098" i="1"/>
  <c r="V1098" i="1"/>
  <c r="T1099" i="1"/>
  <c r="AB1099" i="1" l="1"/>
  <c r="AC1099" i="1" s="1"/>
  <c r="T1100" i="1"/>
  <c r="U1099" i="1"/>
  <c r="V1099" i="1"/>
  <c r="AB1100" i="1" l="1"/>
  <c r="AC1100" i="1" s="1"/>
  <c r="T1101" i="1"/>
  <c r="U1100" i="1"/>
  <c r="V1100" i="1"/>
  <c r="AB1101" i="1" l="1"/>
  <c r="AC1101" i="1" s="1"/>
  <c r="T1102" i="1"/>
  <c r="U1101" i="1"/>
  <c r="V1101" i="1"/>
  <c r="T1103" i="1" l="1"/>
  <c r="AB1102" i="1"/>
  <c r="AC1102" i="1" s="1"/>
  <c r="V1102" i="1"/>
  <c r="U1102" i="1"/>
  <c r="V1103" i="1" l="1"/>
  <c r="T1104" i="1"/>
  <c r="U1103" i="1"/>
  <c r="AB1103" i="1"/>
  <c r="AC1103" i="1" s="1"/>
  <c r="T1105" i="1" l="1"/>
  <c r="U1104" i="1"/>
  <c r="AB1104" i="1"/>
  <c r="AC1104" i="1" s="1"/>
  <c r="V1104" i="1"/>
  <c r="T1106" i="1" l="1"/>
  <c r="V1105" i="1"/>
  <c r="AB1105" i="1"/>
  <c r="AC1105" i="1" s="1"/>
  <c r="U1105" i="1"/>
  <c r="V1106" i="1" l="1"/>
  <c r="T1107" i="1"/>
  <c r="U1106" i="1"/>
  <c r="AB1106" i="1"/>
  <c r="AC1106" i="1" s="1"/>
  <c r="AB1107" i="1" l="1"/>
  <c r="AC1107" i="1" s="1"/>
  <c r="U1107" i="1"/>
  <c r="T1108" i="1"/>
  <c r="V1107" i="1"/>
  <c r="AB1108" i="1" l="1"/>
  <c r="AC1108" i="1" s="1"/>
  <c r="U1108" i="1"/>
  <c r="V1108" i="1"/>
  <c r="T1109" i="1"/>
  <c r="T1110" i="1" l="1"/>
  <c r="U1109" i="1"/>
  <c r="AB1109" i="1"/>
  <c r="AC1109" i="1" s="1"/>
  <c r="V1109" i="1"/>
  <c r="AB1110" i="1" l="1"/>
  <c r="AC1110" i="1" s="1"/>
  <c r="U1110" i="1"/>
  <c r="V1110" i="1"/>
  <c r="T1111" i="1"/>
  <c r="AB1111" i="1" l="1"/>
  <c r="AC1111" i="1" s="1"/>
  <c r="U1111" i="1"/>
  <c r="V1111" i="1"/>
  <c r="T1112" i="1"/>
  <c r="AB1112" i="1" l="1"/>
  <c r="AC1112" i="1" s="1"/>
  <c r="U1112" i="1"/>
  <c r="T1113" i="1"/>
  <c r="V1112" i="1"/>
  <c r="AB1113" i="1" l="1"/>
  <c r="AC1113" i="1" s="1"/>
  <c r="T1114" i="1"/>
  <c r="U1113" i="1"/>
  <c r="V1113" i="1"/>
  <c r="U1114" i="1" l="1"/>
  <c r="V1114" i="1"/>
  <c r="T1115" i="1"/>
  <c r="AB1114" i="1"/>
  <c r="AC1114" i="1" s="1"/>
  <c r="T1116" i="1" l="1"/>
  <c r="V1115" i="1"/>
  <c r="AB1115" i="1"/>
  <c r="AC1115" i="1" s="1"/>
  <c r="U1115" i="1"/>
  <c r="T1117" i="1" l="1"/>
  <c r="V1116" i="1"/>
  <c r="AB1116" i="1"/>
  <c r="AC1116" i="1" s="1"/>
  <c r="U1116" i="1"/>
  <c r="U1117" i="1" l="1"/>
  <c r="T1118" i="1"/>
  <c r="V1117" i="1"/>
  <c r="AB1117" i="1"/>
  <c r="AC1117" i="1" s="1"/>
  <c r="AB1118" i="1" l="1"/>
  <c r="AC1118" i="1" s="1"/>
  <c r="T1119" i="1"/>
  <c r="V1118" i="1"/>
  <c r="U1118" i="1"/>
  <c r="V1119" i="1" l="1"/>
  <c r="T1120" i="1"/>
  <c r="AB1119" i="1"/>
  <c r="AC1119" i="1" s="1"/>
  <c r="U1119" i="1"/>
  <c r="V1120" i="1" l="1"/>
  <c r="T1121" i="1"/>
  <c r="U1120" i="1"/>
  <c r="AB1120" i="1"/>
  <c r="AC1120" i="1" s="1"/>
  <c r="T1122" i="1" l="1"/>
  <c r="V1121" i="1"/>
  <c r="AB1121" i="1"/>
  <c r="AC1121" i="1" s="1"/>
  <c r="U1121" i="1"/>
  <c r="T1123" i="1" l="1"/>
  <c r="U1122" i="1"/>
  <c r="AB1122" i="1"/>
  <c r="AC1122" i="1" s="1"/>
  <c r="V1122" i="1"/>
  <c r="T1124" i="1" l="1"/>
  <c r="U1123" i="1"/>
  <c r="V1123" i="1"/>
  <c r="AB1123" i="1"/>
  <c r="AC1123" i="1" s="1"/>
  <c r="T1125" i="1" l="1"/>
  <c r="U1124" i="1"/>
  <c r="AB1124" i="1"/>
  <c r="AC1124" i="1" s="1"/>
  <c r="V1124" i="1"/>
  <c r="T1126" i="1" l="1"/>
  <c r="AB1125" i="1"/>
  <c r="AC1125" i="1" s="1"/>
  <c r="U1125" i="1"/>
  <c r="V1125" i="1"/>
  <c r="T1127" i="1" l="1"/>
  <c r="AB1126" i="1"/>
  <c r="AC1126" i="1" s="1"/>
  <c r="U1126" i="1"/>
  <c r="V1126" i="1"/>
  <c r="T1128" i="1" l="1"/>
  <c r="V1127" i="1"/>
  <c r="AB1127" i="1"/>
  <c r="AC1127" i="1" s="1"/>
  <c r="U1127" i="1"/>
  <c r="T1129" i="1" l="1"/>
  <c r="V1128" i="1"/>
  <c r="U1128" i="1"/>
  <c r="AB1128" i="1"/>
  <c r="AC1128" i="1" s="1"/>
  <c r="V1129" i="1" l="1"/>
  <c r="T1130" i="1"/>
  <c r="AB1129" i="1"/>
  <c r="AC1129" i="1" s="1"/>
  <c r="U1129" i="1"/>
  <c r="U1130" i="1" l="1"/>
  <c r="V1130" i="1"/>
  <c r="AB1130" i="1"/>
  <c r="AC1130" i="1" s="1"/>
  <c r="T1131" i="1"/>
  <c r="T1132" i="1" l="1"/>
  <c r="V1131" i="1"/>
  <c r="AB1131" i="1"/>
  <c r="AC1131" i="1" s="1"/>
  <c r="U1131" i="1"/>
  <c r="V1132" i="1" l="1"/>
  <c r="T1133" i="1"/>
  <c r="U1132" i="1"/>
  <c r="AB1132" i="1"/>
  <c r="AC1132" i="1" s="1"/>
  <c r="AB1133" i="1" l="1"/>
  <c r="AC1133" i="1" s="1"/>
  <c r="T1134" i="1"/>
  <c r="V1133" i="1"/>
  <c r="U1133" i="1"/>
  <c r="V1134" i="1" l="1"/>
  <c r="AB1134" i="1"/>
  <c r="AC1134" i="1" s="1"/>
  <c r="U1134" i="1"/>
  <c r="T1135" i="1"/>
  <c r="V1135" i="1" l="1"/>
  <c r="T1136" i="1"/>
  <c r="AB1135" i="1"/>
  <c r="AC1135" i="1" s="1"/>
  <c r="U1135" i="1"/>
  <c r="U1136" i="1" l="1"/>
  <c r="T1137" i="1"/>
  <c r="AB1136" i="1"/>
  <c r="AC1136" i="1" s="1"/>
  <c r="V1136" i="1"/>
  <c r="T1138" i="1" l="1"/>
  <c r="V1137" i="1"/>
  <c r="AB1137" i="1"/>
  <c r="AC1137" i="1" s="1"/>
  <c r="U1137" i="1"/>
  <c r="V1138" i="1" l="1"/>
  <c r="U1138" i="1"/>
  <c r="AB1138" i="1"/>
  <c r="AC1138" i="1" s="1"/>
  <c r="T1139" i="1"/>
  <c r="V1139" i="1" l="1"/>
  <c r="U1139" i="1"/>
  <c r="AB1139" i="1"/>
  <c r="AC1139" i="1" s="1"/>
  <c r="T1140" i="1"/>
  <c r="AB1140" i="1" l="1"/>
  <c r="AC1140" i="1" s="1"/>
  <c r="V1140" i="1"/>
  <c r="U1140" i="1"/>
  <c r="T1141" i="1"/>
  <c r="V1141" i="1" l="1"/>
  <c r="T1142" i="1"/>
  <c r="AB1141" i="1"/>
  <c r="AC1141" i="1" s="1"/>
  <c r="U1141" i="1"/>
  <c r="T1143" i="1" l="1"/>
  <c r="U1142" i="1"/>
  <c r="V1142" i="1"/>
  <c r="AB1142" i="1"/>
  <c r="AC1142" i="1" s="1"/>
  <c r="U1143" i="1" l="1"/>
  <c r="V1143" i="1"/>
  <c r="AB1143" i="1"/>
  <c r="AC1143" i="1" s="1"/>
  <c r="T1144" i="1"/>
  <c r="V1144" i="1" l="1"/>
  <c r="U1144" i="1"/>
  <c r="AB1144" i="1"/>
  <c r="AC1144" i="1" s="1"/>
  <c r="T1145" i="1"/>
  <c r="T1146" i="1" l="1"/>
  <c r="AB1145" i="1"/>
  <c r="AC1145" i="1" s="1"/>
  <c r="V1145" i="1"/>
  <c r="U1145" i="1"/>
  <c r="AB1146" i="1" l="1"/>
  <c r="AC1146" i="1" s="1"/>
  <c r="V1146" i="1"/>
  <c r="T1147" i="1"/>
  <c r="U1146" i="1"/>
  <c r="U1147" i="1" l="1"/>
  <c r="AB1147" i="1"/>
  <c r="AC1147" i="1" s="1"/>
  <c r="T1148" i="1"/>
  <c r="V1147" i="1"/>
  <c r="V1148" i="1" l="1"/>
  <c r="U1148" i="1"/>
  <c r="AB1148" i="1"/>
  <c r="AC1148" i="1" s="1"/>
  <c r="T1149" i="1"/>
  <c r="T1150" i="1" l="1"/>
  <c r="V1149" i="1"/>
  <c r="U1149" i="1"/>
  <c r="AB1149" i="1"/>
  <c r="AC1149" i="1" s="1"/>
  <c r="AB1150" i="1" l="1"/>
  <c r="AC1150" i="1" s="1"/>
  <c r="V1150" i="1"/>
  <c r="T1151" i="1"/>
  <c r="U1150" i="1"/>
  <c r="AB1151" i="1" l="1"/>
  <c r="AC1151" i="1" s="1"/>
  <c r="U1151" i="1"/>
  <c r="V1151" i="1"/>
  <c r="T1152" i="1"/>
  <c r="T1153" i="1" l="1"/>
  <c r="V1152" i="1"/>
  <c r="U1152" i="1"/>
  <c r="AB1152" i="1"/>
  <c r="AC1152" i="1" s="1"/>
  <c r="V1153" i="1" l="1"/>
  <c r="AB1153" i="1"/>
  <c r="AC1153" i="1" s="1"/>
  <c r="T1154" i="1"/>
  <c r="U1153" i="1"/>
  <c r="T1155" i="1" l="1"/>
  <c r="AB1154" i="1"/>
  <c r="AC1154" i="1" s="1"/>
  <c r="U1154" i="1"/>
  <c r="V1154" i="1"/>
  <c r="T1156" i="1" l="1"/>
  <c r="U1155" i="1"/>
  <c r="AB1155" i="1"/>
  <c r="AC1155" i="1" s="1"/>
  <c r="V1155" i="1"/>
  <c r="AB1156" i="1" l="1"/>
  <c r="AC1156" i="1" s="1"/>
  <c r="U1156" i="1"/>
  <c r="T1157" i="1"/>
  <c r="V1156" i="1"/>
  <c r="AB1157" i="1" l="1"/>
  <c r="AC1157" i="1" s="1"/>
  <c r="U1157" i="1"/>
  <c r="V1157" i="1"/>
  <c r="T1158" i="1"/>
  <c r="T1159" i="1" l="1"/>
  <c r="AB1158" i="1"/>
  <c r="AC1158" i="1" s="1"/>
  <c r="U1158" i="1"/>
  <c r="V1158" i="1"/>
  <c r="AB1159" i="1" l="1"/>
  <c r="AC1159" i="1" s="1"/>
  <c r="T1160" i="1"/>
  <c r="U1159" i="1"/>
  <c r="V1159" i="1"/>
  <c r="T1161" i="1" l="1"/>
  <c r="V1160" i="1"/>
  <c r="AB1160" i="1"/>
  <c r="AC1160" i="1" s="1"/>
  <c r="U1160" i="1"/>
  <c r="AB1161" i="1" l="1"/>
  <c r="AC1161" i="1" s="1"/>
  <c r="V1161" i="1"/>
  <c r="T1162" i="1"/>
  <c r="U1161" i="1"/>
  <c r="AB1162" i="1" l="1"/>
  <c r="AC1162" i="1" s="1"/>
  <c r="U1162" i="1"/>
  <c r="V1162" i="1"/>
  <c r="T1163" i="1"/>
  <c r="AB1163" i="1" l="1"/>
  <c r="AC1163" i="1" s="1"/>
  <c r="U1163" i="1"/>
  <c r="V1163" i="1"/>
  <c r="T1164" i="1"/>
  <c r="AB1164" i="1" l="1"/>
  <c r="AC1164" i="1" s="1"/>
  <c r="T1165" i="1"/>
  <c r="V1164" i="1"/>
  <c r="U1164" i="1"/>
  <c r="AB1165" i="1" l="1"/>
  <c r="AC1165" i="1" s="1"/>
  <c r="V1165" i="1"/>
  <c r="T1166" i="1"/>
  <c r="U1165" i="1"/>
  <c r="AB1166" i="1" l="1"/>
  <c r="AC1166" i="1" s="1"/>
  <c r="T1167" i="1"/>
  <c r="U1166" i="1"/>
  <c r="V1166" i="1"/>
  <c r="AB1167" i="1" l="1"/>
  <c r="AC1167" i="1" s="1"/>
  <c r="V1167" i="1"/>
  <c r="U1167" i="1"/>
  <c r="T1168" i="1"/>
  <c r="T1169" i="1" l="1"/>
  <c r="V1168" i="1"/>
  <c r="AB1168" i="1"/>
  <c r="AC1168" i="1" s="1"/>
  <c r="U1168" i="1"/>
  <c r="AB1169" i="1" l="1"/>
  <c r="AC1169" i="1" s="1"/>
  <c r="T1170" i="1"/>
  <c r="V1169" i="1"/>
  <c r="U1169" i="1"/>
  <c r="AB1170" i="1" l="1"/>
  <c r="AC1170" i="1" s="1"/>
  <c r="V1170" i="1"/>
  <c r="T1171" i="1"/>
  <c r="U1170" i="1"/>
  <c r="AB1171" i="1" l="1"/>
  <c r="AC1171" i="1" s="1"/>
  <c r="T1172" i="1"/>
  <c r="U1171" i="1"/>
  <c r="V1171" i="1"/>
  <c r="AB1172" i="1" l="1"/>
  <c r="AC1172" i="1" s="1"/>
  <c r="U1172" i="1"/>
  <c r="T1173" i="1"/>
  <c r="V1172" i="1"/>
  <c r="AB1173" i="1" l="1"/>
  <c r="AC1173" i="1" s="1"/>
  <c r="T1174" i="1"/>
  <c r="U1173" i="1"/>
  <c r="V1173" i="1"/>
  <c r="AB1174" i="1" l="1"/>
  <c r="AC1174" i="1" s="1"/>
  <c r="U1174" i="1"/>
  <c r="V1174" i="1"/>
  <c r="T1175" i="1"/>
  <c r="V1175" i="1" l="1"/>
  <c r="AB1175" i="1"/>
  <c r="AC1175" i="1" s="1"/>
  <c r="U1175" i="1"/>
  <c r="T1176" i="1"/>
  <c r="AB1176" i="1" l="1"/>
  <c r="AC1176" i="1" s="1"/>
  <c r="V1176" i="1"/>
  <c r="T1177" i="1"/>
  <c r="U1176" i="1"/>
  <c r="AB1177" i="1" l="1"/>
  <c r="AC1177" i="1" s="1"/>
  <c r="V1177" i="1"/>
  <c r="T1178" i="1"/>
  <c r="U1177" i="1"/>
  <c r="AB1178" i="1" l="1"/>
  <c r="AC1178" i="1" s="1"/>
  <c r="V1178" i="1"/>
  <c r="T1179" i="1"/>
  <c r="U1178" i="1"/>
  <c r="V1179" i="1" l="1"/>
  <c r="T1180" i="1"/>
  <c r="AB1179" i="1"/>
  <c r="AC1179" i="1" s="1"/>
  <c r="U1179" i="1"/>
  <c r="AB1180" i="1" l="1"/>
  <c r="AC1180" i="1" s="1"/>
  <c r="U1180" i="1"/>
  <c r="T1181" i="1"/>
  <c r="V1180" i="1"/>
  <c r="AB1181" i="1" l="1"/>
  <c r="AC1181" i="1" s="1"/>
  <c r="U1181" i="1"/>
  <c r="V1181" i="1"/>
  <c r="T1182" i="1"/>
  <c r="T1183" i="1" l="1"/>
  <c r="V1182" i="1"/>
  <c r="AB1182" i="1"/>
  <c r="AC1182" i="1" s="1"/>
  <c r="U1182" i="1"/>
  <c r="T1184" i="1" l="1"/>
  <c r="V1183" i="1"/>
  <c r="AB1183" i="1"/>
  <c r="AC1183" i="1" s="1"/>
  <c r="U1183" i="1"/>
  <c r="V1184" i="1" l="1"/>
  <c r="T1185" i="1"/>
  <c r="AB1184" i="1"/>
  <c r="AC1184" i="1" s="1"/>
  <c r="U1184" i="1"/>
  <c r="AB1185" i="1" l="1"/>
  <c r="AC1185" i="1" s="1"/>
  <c r="V1185" i="1"/>
  <c r="T1186" i="1"/>
  <c r="U1185" i="1"/>
  <c r="AB1186" i="1" l="1"/>
  <c r="AC1186" i="1" s="1"/>
  <c r="U1186" i="1"/>
  <c r="V1186" i="1"/>
  <c r="T1187" i="1"/>
  <c r="T1188" i="1" l="1"/>
  <c r="AB1187" i="1"/>
  <c r="AC1187" i="1" s="1"/>
  <c r="V1187" i="1"/>
  <c r="U1187" i="1"/>
  <c r="AB1188" i="1" l="1"/>
  <c r="AC1188" i="1" s="1"/>
  <c r="T1189" i="1"/>
  <c r="U1188" i="1"/>
  <c r="V1188" i="1"/>
  <c r="T1190" i="1" l="1"/>
  <c r="U1189" i="1"/>
  <c r="V1189" i="1"/>
  <c r="AB1189" i="1"/>
  <c r="AC1189" i="1" s="1"/>
  <c r="AB1190" i="1" l="1"/>
  <c r="AC1190" i="1" s="1"/>
  <c r="T1191" i="1"/>
  <c r="U1190" i="1"/>
  <c r="V1190" i="1"/>
  <c r="AB1191" i="1" l="1"/>
  <c r="AC1191" i="1" s="1"/>
  <c r="U1191" i="1"/>
  <c r="V1191" i="1"/>
  <c r="T1192" i="1"/>
  <c r="T1193" i="1" l="1"/>
  <c r="AB1192" i="1"/>
  <c r="AC1192" i="1" s="1"/>
  <c r="U1192" i="1"/>
  <c r="V1192" i="1"/>
  <c r="AB1193" i="1" l="1"/>
  <c r="AC1193" i="1" s="1"/>
  <c r="T1194" i="1"/>
  <c r="V1193" i="1"/>
  <c r="U1193" i="1"/>
  <c r="AB1194" i="1" l="1"/>
  <c r="AC1194" i="1" s="1"/>
  <c r="V1194" i="1"/>
  <c r="T1195" i="1"/>
  <c r="U1194" i="1"/>
  <c r="T1196" i="1" l="1"/>
  <c r="AB1195" i="1"/>
  <c r="AC1195" i="1" s="1"/>
  <c r="V1195" i="1"/>
  <c r="U1195" i="1"/>
  <c r="AB1196" i="1" l="1"/>
  <c r="AC1196" i="1" s="1"/>
  <c r="T1197" i="1"/>
  <c r="U1196" i="1"/>
  <c r="V1196" i="1"/>
  <c r="T1198" i="1" l="1"/>
  <c r="AB1197" i="1"/>
  <c r="AC1197" i="1" s="1"/>
  <c r="U1197" i="1"/>
  <c r="V1197" i="1"/>
  <c r="AB1198" i="1" l="1"/>
  <c r="AC1198" i="1" s="1"/>
  <c r="U1198" i="1"/>
  <c r="V1198" i="1"/>
  <c r="T1199" i="1"/>
  <c r="AB1199" i="1" l="1"/>
  <c r="AC1199" i="1" s="1"/>
  <c r="V1199" i="1"/>
  <c r="T1200" i="1"/>
  <c r="U1199" i="1"/>
  <c r="AB1200" i="1" l="1"/>
  <c r="AC1200" i="1" s="1"/>
  <c r="U1200" i="1"/>
  <c r="V1200" i="1"/>
  <c r="T1201" i="1"/>
  <c r="T1202" i="1" l="1"/>
  <c r="AB1201" i="1"/>
  <c r="AC1201" i="1" s="1"/>
  <c r="U1201" i="1"/>
  <c r="V1201" i="1"/>
  <c r="AB1202" i="1" l="1"/>
  <c r="AC1202" i="1" s="1"/>
  <c r="U1202" i="1"/>
  <c r="V1202" i="1"/>
  <c r="T1203" i="1"/>
  <c r="T1204" i="1" l="1"/>
  <c r="AB1203" i="1"/>
  <c r="AC1203" i="1" s="1"/>
  <c r="U1203" i="1"/>
  <c r="V1203" i="1"/>
  <c r="AB1204" i="1" l="1"/>
  <c r="AC1204" i="1" s="1"/>
  <c r="U1204" i="1"/>
  <c r="V1204" i="1"/>
  <c r="T1205" i="1"/>
  <c r="AB1205" i="1" l="1"/>
  <c r="AC1205" i="1" s="1"/>
  <c r="U1205" i="1"/>
  <c r="V1205" i="1"/>
  <c r="T1206" i="1"/>
  <c r="AB1206" i="1" l="1"/>
  <c r="AC1206" i="1" s="1"/>
  <c r="V1206" i="1"/>
  <c r="T1207" i="1"/>
  <c r="U1206" i="1"/>
  <c r="AB1207" i="1" l="1"/>
  <c r="AC1207" i="1" s="1"/>
  <c r="V1207" i="1"/>
  <c r="U1207" i="1"/>
  <c r="T1208" i="1"/>
  <c r="T1209" i="1" l="1"/>
  <c r="U1208" i="1"/>
  <c r="AB1208" i="1"/>
  <c r="AC1208" i="1" s="1"/>
  <c r="V1208" i="1"/>
  <c r="T1210" i="1" l="1"/>
  <c r="AB1209" i="1"/>
  <c r="AC1209" i="1" s="1"/>
  <c r="U1209" i="1"/>
  <c r="V1209" i="1"/>
  <c r="T1211" i="1" l="1"/>
  <c r="AB1210" i="1"/>
  <c r="AC1210" i="1" s="1"/>
  <c r="U1210" i="1"/>
  <c r="V1210" i="1"/>
  <c r="AB1211" i="1" l="1"/>
  <c r="AC1211" i="1" s="1"/>
  <c r="T1212" i="1"/>
  <c r="U1211" i="1"/>
  <c r="V1211" i="1"/>
  <c r="AB1212" i="1" l="1"/>
  <c r="AC1212" i="1" s="1"/>
  <c r="T1213" i="1"/>
  <c r="U1212" i="1"/>
  <c r="V1212" i="1"/>
  <c r="T1214" i="1" l="1"/>
  <c r="U1213" i="1"/>
  <c r="AB1213" i="1"/>
  <c r="AC1213" i="1" s="1"/>
  <c r="V1213" i="1"/>
  <c r="T1215" i="1" l="1"/>
  <c r="U1214" i="1"/>
  <c r="AB1214" i="1"/>
  <c r="AC1214" i="1" s="1"/>
  <c r="V1214" i="1"/>
  <c r="AB1215" i="1" l="1"/>
  <c r="AC1215" i="1" s="1"/>
  <c r="V1215" i="1"/>
  <c r="T1216" i="1"/>
  <c r="U1215" i="1"/>
  <c r="AB1216" i="1" l="1"/>
  <c r="AC1216" i="1" s="1"/>
  <c r="U1216" i="1"/>
  <c r="V1216" i="1"/>
  <c r="T1217" i="1"/>
  <c r="V1217" i="1" l="1"/>
  <c r="AB1217" i="1"/>
  <c r="AC1217" i="1" s="1"/>
  <c r="U1217" i="1"/>
  <c r="T1218" i="1"/>
  <c r="T1219" i="1" l="1"/>
  <c r="AB1218" i="1"/>
  <c r="AC1218" i="1" s="1"/>
  <c r="U1218" i="1"/>
  <c r="V1218" i="1"/>
  <c r="T1220" i="1" l="1"/>
  <c r="AB1219" i="1"/>
  <c r="AC1219" i="1" s="1"/>
  <c r="V1219" i="1"/>
  <c r="U1219" i="1"/>
  <c r="AB1220" i="1" l="1"/>
  <c r="AC1220" i="1" s="1"/>
  <c r="U1220" i="1"/>
  <c r="T1221" i="1"/>
  <c r="V1220" i="1"/>
  <c r="AB1221" i="1" l="1"/>
  <c r="AC1221" i="1" s="1"/>
  <c r="T1222" i="1"/>
  <c r="U1221" i="1"/>
  <c r="V1221" i="1"/>
  <c r="AB1222" i="1" l="1"/>
  <c r="AC1222" i="1" s="1"/>
  <c r="T1223" i="1"/>
  <c r="U1222" i="1"/>
  <c r="V1222" i="1"/>
  <c r="T1224" i="1" l="1"/>
  <c r="AB1223" i="1"/>
  <c r="AC1223" i="1" s="1"/>
  <c r="V1223" i="1"/>
  <c r="U1223" i="1"/>
  <c r="T1225" i="1" l="1"/>
  <c r="U1224" i="1"/>
  <c r="V1224" i="1"/>
  <c r="AB1224" i="1"/>
  <c r="AC1224" i="1" s="1"/>
  <c r="T1226" i="1" l="1"/>
  <c r="U1225" i="1"/>
  <c r="AB1225" i="1"/>
  <c r="AC1225" i="1" s="1"/>
  <c r="V1225" i="1"/>
  <c r="T1227" i="1" l="1"/>
  <c r="AB1226" i="1"/>
  <c r="AC1226" i="1" s="1"/>
  <c r="V1226" i="1"/>
  <c r="U1226" i="1"/>
  <c r="T1228" i="1" l="1"/>
  <c r="AB1227" i="1"/>
  <c r="AC1227" i="1" s="1"/>
  <c r="U1227" i="1"/>
  <c r="V1227" i="1"/>
  <c r="AB1228" i="1" l="1"/>
  <c r="AC1228" i="1" s="1"/>
  <c r="U1228" i="1"/>
  <c r="V1228" i="1"/>
  <c r="T1229" i="1"/>
  <c r="T1230" i="1" l="1"/>
  <c r="AB1229" i="1"/>
  <c r="AC1229" i="1" s="1"/>
  <c r="U1229" i="1"/>
  <c r="V1229" i="1"/>
  <c r="AB1230" i="1" l="1"/>
  <c r="AC1230" i="1" s="1"/>
  <c r="T1231" i="1"/>
  <c r="U1230" i="1"/>
  <c r="V1230" i="1"/>
  <c r="AB1231" i="1" l="1"/>
  <c r="AC1231" i="1" s="1"/>
  <c r="U1231" i="1"/>
  <c r="T1232" i="1"/>
  <c r="V1231" i="1"/>
  <c r="V1232" i="1" l="1"/>
  <c r="T1233" i="1"/>
  <c r="U1232" i="1"/>
  <c r="AB1232" i="1"/>
  <c r="AC1232" i="1" s="1"/>
  <c r="AB1233" i="1" l="1"/>
  <c r="AC1233" i="1" s="1"/>
  <c r="T1234" i="1"/>
  <c r="V1233" i="1"/>
  <c r="U1233" i="1"/>
  <c r="T1235" i="1" l="1"/>
  <c r="AB1234" i="1"/>
  <c r="AC1234" i="1" s="1"/>
  <c r="V1234" i="1"/>
  <c r="U1234" i="1"/>
  <c r="AB1235" i="1" l="1"/>
  <c r="AC1235" i="1" s="1"/>
  <c r="T1236" i="1"/>
  <c r="U1235" i="1"/>
  <c r="V1235" i="1"/>
  <c r="AB1236" i="1" l="1"/>
  <c r="AC1236" i="1" s="1"/>
  <c r="T1237" i="1"/>
  <c r="V1236" i="1"/>
  <c r="U1236" i="1"/>
  <c r="AB1237" i="1" l="1"/>
  <c r="AC1237" i="1" s="1"/>
  <c r="T1238" i="1"/>
  <c r="U1237" i="1"/>
  <c r="V1237" i="1"/>
  <c r="AB1238" i="1" l="1"/>
  <c r="AC1238" i="1" s="1"/>
  <c r="U1238" i="1"/>
  <c r="V1238" i="1"/>
  <c r="T1239" i="1"/>
  <c r="T1240" i="1" l="1"/>
  <c r="AB1239" i="1"/>
  <c r="AC1239" i="1" s="1"/>
  <c r="U1239" i="1"/>
  <c r="V1239" i="1"/>
  <c r="T1241" i="1" l="1"/>
  <c r="AB1240" i="1"/>
  <c r="AC1240" i="1" s="1"/>
  <c r="U1240" i="1"/>
  <c r="V1240" i="1"/>
  <c r="T1242" i="1" l="1"/>
  <c r="AB1241" i="1"/>
  <c r="AC1241" i="1" s="1"/>
  <c r="U1241" i="1"/>
  <c r="V1241" i="1"/>
  <c r="T1243" i="1" l="1"/>
  <c r="AB1242" i="1"/>
  <c r="AC1242" i="1" s="1"/>
  <c r="U1242" i="1"/>
  <c r="V1242" i="1"/>
  <c r="T1244" i="1" l="1"/>
  <c r="AB1243" i="1"/>
  <c r="AC1243" i="1" s="1"/>
  <c r="U1243" i="1"/>
  <c r="V1243" i="1"/>
  <c r="T1245" i="1" l="1"/>
  <c r="AB1244" i="1"/>
  <c r="AC1244" i="1" s="1"/>
  <c r="V1244" i="1"/>
  <c r="U1244" i="1"/>
  <c r="AB1245" i="1" l="1"/>
  <c r="AC1245" i="1" s="1"/>
  <c r="T1246" i="1"/>
  <c r="U1245" i="1"/>
  <c r="V1245" i="1"/>
  <c r="U1246" i="1" l="1"/>
  <c r="AB1246" i="1"/>
  <c r="AC1246" i="1" s="1"/>
  <c r="T1247" i="1"/>
  <c r="V1246" i="1"/>
  <c r="T1248" i="1" l="1"/>
  <c r="V1247" i="1"/>
  <c r="U1247" i="1"/>
  <c r="AB1247" i="1"/>
  <c r="AC1247" i="1" s="1"/>
  <c r="AB1248" i="1" l="1"/>
  <c r="AC1248" i="1" s="1"/>
  <c r="T1249" i="1"/>
  <c r="V1248" i="1"/>
  <c r="U1248" i="1"/>
  <c r="AB1249" i="1" l="1"/>
  <c r="AC1249" i="1" s="1"/>
  <c r="T1250" i="1"/>
  <c r="U1249" i="1"/>
  <c r="V1249" i="1"/>
  <c r="AB1250" i="1" l="1"/>
  <c r="AC1250" i="1" s="1"/>
  <c r="T1251" i="1"/>
  <c r="U1250" i="1"/>
  <c r="V1250" i="1"/>
  <c r="AB1251" i="1" l="1"/>
  <c r="AC1251" i="1" s="1"/>
  <c r="T1252" i="1"/>
  <c r="V1251" i="1"/>
  <c r="U1251" i="1"/>
  <c r="T1253" i="1" l="1"/>
  <c r="AB1252" i="1"/>
  <c r="AC1252" i="1" s="1"/>
  <c r="U1252" i="1"/>
  <c r="V1252" i="1"/>
  <c r="T1254" i="1" l="1"/>
  <c r="U1253" i="1"/>
  <c r="AB1253" i="1"/>
  <c r="AC1253" i="1" s="1"/>
  <c r="V1253" i="1"/>
  <c r="V1254" i="1" l="1"/>
  <c r="U1254" i="1"/>
  <c r="AB1254" i="1"/>
  <c r="AC1254" i="1" s="1"/>
  <c r="T1255" i="1"/>
  <c r="T1256" i="1" l="1"/>
  <c r="AB1255" i="1"/>
  <c r="AC1255" i="1" s="1"/>
  <c r="V1255" i="1"/>
  <c r="U1255" i="1"/>
  <c r="AB1256" i="1" l="1"/>
  <c r="AC1256" i="1" s="1"/>
  <c r="U1256" i="1"/>
  <c r="T1257" i="1"/>
  <c r="V1256" i="1"/>
  <c r="AB1257" i="1" l="1"/>
  <c r="AC1257" i="1" s="1"/>
  <c r="U1257" i="1"/>
  <c r="V1257" i="1"/>
  <c r="T1258" i="1"/>
  <c r="U1258" i="1" l="1"/>
  <c r="V1258" i="1"/>
  <c r="AB1258" i="1"/>
  <c r="AC1258" i="1" s="1"/>
  <c r="T1259" i="1"/>
  <c r="T1260" i="1" l="1"/>
  <c r="V1259" i="1"/>
  <c r="U1259" i="1"/>
  <c r="AB1259" i="1"/>
  <c r="AC1259" i="1" s="1"/>
  <c r="T1261" i="1" l="1"/>
  <c r="AB1260" i="1"/>
  <c r="AC1260" i="1" s="1"/>
  <c r="V1260" i="1"/>
  <c r="U1260" i="1"/>
  <c r="T1262" i="1" l="1"/>
  <c r="AB1261" i="1"/>
  <c r="AC1261" i="1" s="1"/>
  <c r="V1261" i="1"/>
  <c r="U1261" i="1"/>
  <c r="V1262" i="1" l="1"/>
  <c r="AB1262" i="1"/>
  <c r="AC1262" i="1" s="1"/>
  <c r="U1262" i="1"/>
  <c r="T1263" i="1"/>
  <c r="T1264" i="1" l="1"/>
  <c r="V1263" i="1"/>
  <c r="U1263" i="1"/>
  <c r="AB1263" i="1"/>
  <c r="AC1263" i="1" s="1"/>
  <c r="T1265" i="1" l="1"/>
  <c r="V1264" i="1"/>
  <c r="AB1264" i="1"/>
  <c r="AC1264" i="1" s="1"/>
  <c r="U1264" i="1"/>
  <c r="V1265" i="1" l="1"/>
  <c r="AB1265" i="1"/>
  <c r="AC1265" i="1" s="1"/>
  <c r="T1266" i="1"/>
  <c r="U1265" i="1"/>
  <c r="AB1266" i="1" l="1"/>
  <c r="AC1266" i="1" s="1"/>
  <c r="V1266" i="1"/>
  <c r="T1267" i="1"/>
  <c r="U1266" i="1"/>
  <c r="T1268" i="1" l="1"/>
  <c r="AB1267" i="1"/>
  <c r="AC1267" i="1" s="1"/>
  <c r="V1267" i="1"/>
  <c r="U1267" i="1"/>
  <c r="AB1268" i="1" l="1"/>
  <c r="AC1268" i="1" s="1"/>
  <c r="T1269" i="1"/>
  <c r="U1268" i="1"/>
  <c r="V1268" i="1"/>
  <c r="AB1269" i="1" l="1"/>
  <c r="AC1269" i="1" s="1"/>
  <c r="U1269" i="1"/>
  <c r="T1270" i="1"/>
  <c r="V1269" i="1"/>
  <c r="AB1270" i="1" l="1"/>
  <c r="AC1270" i="1" s="1"/>
  <c r="T1271" i="1"/>
  <c r="V1270" i="1"/>
  <c r="U1270" i="1"/>
  <c r="V1271" i="1" l="1"/>
  <c r="T1272" i="1"/>
  <c r="AB1271" i="1"/>
  <c r="AC1271" i="1" s="1"/>
  <c r="U1271" i="1"/>
  <c r="AB1272" i="1" l="1"/>
  <c r="AC1272" i="1" s="1"/>
  <c r="T1273" i="1"/>
  <c r="V1272" i="1"/>
  <c r="U1272" i="1"/>
  <c r="AB1273" i="1" l="1"/>
  <c r="AC1273" i="1" s="1"/>
  <c r="T1274" i="1"/>
  <c r="U1273" i="1"/>
  <c r="V1273" i="1"/>
  <c r="AB1274" i="1" l="1"/>
  <c r="AC1274" i="1" s="1"/>
  <c r="U1274" i="1"/>
  <c r="V1274" i="1"/>
  <c r="T1275" i="1"/>
  <c r="AB1275" i="1" l="1"/>
  <c r="AC1275" i="1" s="1"/>
  <c r="T1276" i="1"/>
  <c r="U1275" i="1"/>
  <c r="V1275" i="1"/>
  <c r="T1277" i="1" l="1"/>
  <c r="AB1276" i="1"/>
  <c r="AC1276" i="1" s="1"/>
  <c r="V1276" i="1"/>
  <c r="U1276" i="1"/>
  <c r="AB1277" i="1" l="1"/>
  <c r="AC1277" i="1" s="1"/>
  <c r="T1278" i="1"/>
  <c r="U1277" i="1"/>
  <c r="V1277" i="1"/>
  <c r="T1279" i="1" l="1"/>
  <c r="U1278" i="1"/>
  <c r="V1278" i="1"/>
  <c r="AB1278" i="1"/>
  <c r="AC1278" i="1" s="1"/>
  <c r="T1280" i="1" l="1"/>
  <c r="AB1279" i="1"/>
  <c r="AC1279" i="1" s="1"/>
  <c r="U1279" i="1"/>
  <c r="V1279" i="1"/>
  <c r="T1281" i="1" l="1"/>
  <c r="AB1280" i="1"/>
  <c r="AC1280" i="1" s="1"/>
  <c r="V1280" i="1"/>
  <c r="U1280" i="1"/>
  <c r="AB1281" i="1" l="1"/>
  <c r="AC1281" i="1" s="1"/>
  <c r="U1281" i="1"/>
  <c r="V1281" i="1"/>
  <c r="T1282" i="1"/>
  <c r="U1282" i="1" l="1"/>
  <c r="T1283" i="1"/>
  <c r="AB1282" i="1"/>
  <c r="AC1282" i="1" s="1"/>
  <c r="V1282" i="1"/>
  <c r="AB1283" i="1" l="1"/>
  <c r="AC1283" i="1" s="1"/>
  <c r="V1283" i="1"/>
  <c r="U1283" i="1"/>
  <c r="T1284" i="1"/>
  <c r="AB1284" i="1" l="1"/>
  <c r="AC1284" i="1" s="1"/>
  <c r="T1285" i="1"/>
  <c r="U1284" i="1"/>
  <c r="V1284" i="1"/>
  <c r="T1286" i="1" l="1"/>
  <c r="U1285" i="1"/>
  <c r="AB1285" i="1"/>
  <c r="AC1285" i="1" s="1"/>
  <c r="V1285" i="1"/>
  <c r="AB1286" i="1" l="1"/>
  <c r="AC1286" i="1" s="1"/>
  <c r="T1287" i="1"/>
  <c r="U1286" i="1"/>
  <c r="V1286" i="1"/>
  <c r="AB1287" i="1" l="1"/>
  <c r="AC1287" i="1" s="1"/>
  <c r="T1288" i="1"/>
  <c r="U1287" i="1"/>
  <c r="V1287" i="1"/>
  <c r="T1289" i="1" l="1"/>
  <c r="AB1288" i="1"/>
  <c r="AC1288" i="1" s="1"/>
  <c r="U1288" i="1"/>
  <c r="V1288" i="1"/>
  <c r="AB1289" i="1" l="1"/>
  <c r="AC1289" i="1" s="1"/>
  <c r="T1290" i="1"/>
  <c r="U1289" i="1"/>
  <c r="V1289" i="1"/>
  <c r="AB1290" i="1" l="1"/>
  <c r="AC1290" i="1" s="1"/>
  <c r="V1290" i="1"/>
  <c r="T1291" i="1"/>
  <c r="U1290" i="1"/>
  <c r="AB1291" i="1" l="1"/>
  <c r="AC1291" i="1" s="1"/>
  <c r="U1291" i="1"/>
  <c r="T1292" i="1"/>
  <c r="V1291" i="1"/>
  <c r="AB1292" i="1" l="1"/>
  <c r="AC1292" i="1" s="1"/>
  <c r="U1292" i="1"/>
  <c r="V1292" i="1"/>
  <c r="T1293" i="1"/>
  <c r="T1294" i="1" l="1"/>
  <c r="AB1293" i="1"/>
  <c r="AC1293" i="1" s="1"/>
  <c r="V1293" i="1"/>
  <c r="U1293" i="1"/>
  <c r="T1295" i="1" l="1"/>
  <c r="U1294" i="1"/>
  <c r="V1294" i="1"/>
  <c r="AB1294" i="1"/>
  <c r="AC1294" i="1" s="1"/>
  <c r="T1296" i="1" l="1"/>
  <c r="AB1295" i="1"/>
  <c r="AC1295" i="1" s="1"/>
  <c r="V1295" i="1"/>
  <c r="U1295" i="1"/>
  <c r="AB1296" i="1" l="1"/>
  <c r="AC1296" i="1" s="1"/>
  <c r="T1297" i="1"/>
  <c r="U1296" i="1"/>
  <c r="V1296" i="1"/>
  <c r="AB1297" i="1" l="1"/>
  <c r="AC1297" i="1" s="1"/>
  <c r="T1298" i="1"/>
  <c r="U1297" i="1"/>
  <c r="V1297" i="1"/>
  <c r="T1299" i="1" l="1"/>
  <c r="AB1298" i="1"/>
  <c r="AC1298" i="1" s="1"/>
  <c r="U1298" i="1"/>
  <c r="V1298" i="1"/>
  <c r="AB1299" i="1" l="1"/>
  <c r="AC1299" i="1" s="1"/>
  <c r="V1299" i="1"/>
  <c r="T1300" i="1"/>
  <c r="U1299" i="1"/>
  <c r="U1300" i="1" l="1"/>
  <c r="V1300" i="1"/>
  <c r="AB1300" i="1"/>
  <c r="AC1300" i="1" s="1"/>
  <c r="T1301" i="1"/>
  <c r="AB1301" i="1" l="1"/>
  <c r="AC1301" i="1" s="1"/>
  <c r="U1301" i="1"/>
  <c r="V1301" i="1"/>
  <c r="T1302" i="1"/>
  <c r="T1303" i="1" l="1"/>
  <c r="AB1302" i="1"/>
  <c r="AC1302" i="1" s="1"/>
  <c r="U1302" i="1"/>
  <c r="V1302" i="1"/>
  <c r="T1304" i="1" l="1"/>
  <c r="U1303" i="1"/>
  <c r="AB1303" i="1"/>
  <c r="AC1303" i="1" s="1"/>
  <c r="V1303" i="1"/>
  <c r="AB1304" i="1" l="1"/>
  <c r="AC1304" i="1" s="1"/>
  <c r="T1305" i="1"/>
  <c r="U1304" i="1"/>
  <c r="V1304" i="1"/>
  <c r="T1306" i="1" l="1"/>
  <c r="AB1305" i="1"/>
  <c r="AC1305" i="1" s="1"/>
  <c r="U1305" i="1"/>
  <c r="V1305" i="1"/>
  <c r="AB1306" i="1" l="1"/>
  <c r="AC1306" i="1" s="1"/>
  <c r="V1306" i="1"/>
  <c r="T1307" i="1"/>
  <c r="U1306" i="1"/>
  <c r="V1307" i="1" l="1"/>
  <c r="AB1307" i="1"/>
  <c r="AC1307" i="1" s="1"/>
  <c r="U1307" i="1"/>
  <c r="T1308" i="1"/>
  <c r="AB1308" i="1" l="1"/>
  <c r="AC1308" i="1" s="1"/>
  <c r="U1308" i="1"/>
  <c r="T1309" i="1"/>
  <c r="V1308" i="1"/>
  <c r="AB1309" i="1" l="1"/>
  <c r="AC1309" i="1" s="1"/>
  <c r="T1310" i="1"/>
  <c r="U1309" i="1"/>
  <c r="V1309" i="1"/>
  <c r="T1311" i="1" l="1"/>
  <c r="AB1310" i="1"/>
  <c r="AC1310" i="1" s="1"/>
  <c r="U1310" i="1"/>
  <c r="V1310" i="1"/>
  <c r="T1312" i="1" l="1"/>
  <c r="AB1311" i="1"/>
  <c r="AC1311" i="1" s="1"/>
  <c r="U1311" i="1"/>
  <c r="V1311" i="1"/>
  <c r="AB1312" i="1" l="1"/>
  <c r="AC1312" i="1" s="1"/>
  <c r="T1313" i="1"/>
  <c r="V1312" i="1"/>
  <c r="U1312" i="1"/>
  <c r="AB1313" i="1" l="1"/>
  <c r="AC1313" i="1" s="1"/>
  <c r="T1314" i="1"/>
  <c r="V1313" i="1"/>
  <c r="U1313" i="1"/>
  <c r="V1314" i="1" l="1"/>
  <c r="AB1314" i="1"/>
  <c r="AC1314" i="1" s="1"/>
  <c r="T1315" i="1"/>
  <c r="U1314" i="1"/>
  <c r="V1315" i="1" l="1"/>
  <c r="T1316" i="1"/>
  <c r="AB1315" i="1"/>
  <c r="AC1315" i="1" s="1"/>
  <c r="U1315" i="1"/>
  <c r="T1317" i="1" l="1"/>
  <c r="AB1316" i="1"/>
  <c r="AC1316" i="1" s="1"/>
  <c r="U1316" i="1"/>
  <c r="V1316" i="1"/>
  <c r="T1318" i="1" l="1"/>
  <c r="V1317" i="1"/>
  <c r="AB1317" i="1"/>
  <c r="AC1317" i="1" s="1"/>
  <c r="U1317" i="1"/>
  <c r="U1318" i="1" l="1"/>
  <c r="AB1318" i="1"/>
  <c r="AC1318" i="1" s="1"/>
  <c r="T1319" i="1"/>
  <c r="V1318" i="1"/>
  <c r="AB1319" i="1" l="1"/>
  <c r="AC1319" i="1" s="1"/>
  <c r="T1320" i="1"/>
  <c r="U1319" i="1"/>
  <c r="V1319" i="1"/>
  <c r="AB1320" i="1" l="1"/>
  <c r="AC1320" i="1" s="1"/>
  <c r="U1320" i="1"/>
  <c r="V1320" i="1"/>
  <c r="T1321" i="1"/>
  <c r="AB1321" i="1" l="1"/>
  <c r="AC1321" i="1" s="1"/>
  <c r="T1322" i="1"/>
  <c r="U1321" i="1"/>
  <c r="V1321" i="1"/>
  <c r="AB1322" i="1" l="1"/>
  <c r="AC1322" i="1" s="1"/>
  <c r="U1322" i="1"/>
  <c r="V1322" i="1"/>
  <c r="T1323" i="1"/>
  <c r="T1324" i="1" l="1"/>
  <c r="AB1323" i="1"/>
  <c r="AC1323" i="1" s="1"/>
  <c r="U1323" i="1"/>
  <c r="V1323" i="1"/>
  <c r="AB1324" i="1" l="1"/>
  <c r="AC1324" i="1" s="1"/>
  <c r="T1325" i="1"/>
  <c r="V1324" i="1"/>
  <c r="U1324" i="1"/>
  <c r="AB1325" i="1" l="1"/>
  <c r="AC1325" i="1" s="1"/>
  <c r="V1325" i="1"/>
  <c r="U1325" i="1"/>
  <c r="T1326" i="1"/>
  <c r="AB1326" i="1" l="1"/>
  <c r="AC1326" i="1" s="1"/>
  <c r="U1326" i="1"/>
  <c r="V1326" i="1"/>
  <c r="T1327" i="1"/>
  <c r="T1328" i="1" l="1"/>
  <c r="V1327" i="1"/>
  <c r="U1327" i="1"/>
  <c r="AB1327" i="1"/>
  <c r="AC1327" i="1" s="1"/>
  <c r="AB1328" i="1" l="1"/>
  <c r="AC1328" i="1" s="1"/>
  <c r="T1329" i="1"/>
  <c r="V1328" i="1"/>
  <c r="U1328" i="1"/>
  <c r="AB1329" i="1" l="1"/>
  <c r="AC1329" i="1" s="1"/>
  <c r="V1329" i="1"/>
  <c r="U1329" i="1"/>
  <c r="T1330" i="1"/>
  <c r="AB1330" i="1" l="1"/>
  <c r="AC1330" i="1" s="1"/>
  <c r="T1331" i="1"/>
  <c r="V1330" i="1"/>
  <c r="U1330" i="1"/>
  <c r="AB1331" i="1" l="1"/>
  <c r="AC1331" i="1" s="1"/>
  <c r="V1331" i="1"/>
  <c r="U1331" i="1"/>
  <c r="T1332" i="1"/>
  <c r="T1333" i="1" l="1"/>
  <c r="AB1332" i="1"/>
  <c r="AC1332" i="1" s="1"/>
  <c r="U1332" i="1"/>
  <c r="V1332" i="1"/>
  <c r="T1334" i="1" l="1"/>
  <c r="AB1333" i="1"/>
  <c r="AC1333" i="1" s="1"/>
  <c r="V1333" i="1"/>
  <c r="U1333" i="1"/>
  <c r="AB1334" i="1" l="1"/>
  <c r="AC1334" i="1" s="1"/>
  <c r="T1335" i="1"/>
  <c r="U1334" i="1"/>
  <c r="V1334" i="1"/>
  <c r="T1336" i="1" l="1"/>
  <c r="V1335" i="1"/>
  <c r="U1335" i="1"/>
  <c r="AB1335" i="1"/>
  <c r="AC1335" i="1" s="1"/>
  <c r="AB1336" i="1" l="1"/>
  <c r="AC1336" i="1" s="1"/>
  <c r="T1337" i="1"/>
  <c r="V1336" i="1"/>
  <c r="U1336" i="1"/>
  <c r="U1337" i="1" l="1"/>
  <c r="AB1337" i="1"/>
  <c r="AC1337" i="1" s="1"/>
  <c r="T1338" i="1"/>
  <c r="V1337" i="1"/>
  <c r="AB1338" i="1" l="1"/>
  <c r="AC1338" i="1" s="1"/>
  <c r="T1339" i="1"/>
  <c r="U1338" i="1"/>
  <c r="V1338" i="1"/>
  <c r="V1339" i="1" l="1"/>
  <c r="T1340" i="1"/>
  <c r="U1339" i="1"/>
  <c r="AB1339" i="1"/>
  <c r="AC1339" i="1" s="1"/>
  <c r="T1341" i="1" l="1"/>
  <c r="U1340" i="1"/>
  <c r="V1340" i="1"/>
  <c r="AB1340" i="1"/>
  <c r="AC1340" i="1" s="1"/>
  <c r="V1341" i="1" l="1"/>
  <c r="T1342" i="1"/>
  <c r="U1341" i="1"/>
  <c r="AB1341" i="1"/>
  <c r="AC1341" i="1" s="1"/>
  <c r="T1343" i="1" l="1"/>
  <c r="V1342" i="1"/>
  <c r="U1342" i="1"/>
  <c r="AB1342" i="1"/>
  <c r="AC1342" i="1" s="1"/>
  <c r="T1344" i="1" l="1"/>
  <c r="AB1343" i="1"/>
  <c r="AC1343" i="1" s="1"/>
  <c r="V1343" i="1"/>
  <c r="U1343" i="1"/>
  <c r="V1344" i="1" l="1"/>
  <c r="T1345" i="1"/>
  <c r="AB1344" i="1"/>
  <c r="AC1344" i="1" s="1"/>
  <c r="U1344" i="1"/>
  <c r="U1345" i="1" l="1"/>
  <c r="T1346" i="1"/>
  <c r="V1345" i="1"/>
  <c r="AB1345" i="1"/>
  <c r="AC1345" i="1" s="1"/>
  <c r="T1347" i="1" l="1"/>
  <c r="V1346" i="1"/>
  <c r="U1346" i="1"/>
  <c r="AB1346" i="1"/>
  <c r="AC1346" i="1" s="1"/>
  <c r="AB1347" i="1" l="1"/>
  <c r="AC1347" i="1" s="1"/>
  <c r="T1348" i="1"/>
  <c r="V1347" i="1"/>
  <c r="U1347" i="1"/>
  <c r="T1349" i="1" l="1"/>
  <c r="AB1348" i="1"/>
  <c r="AC1348" i="1" s="1"/>
  <c r="U1348" i="1"/>
  <c r="V1348" i="1"/>
  <c r="AB1349" i="1" l="1"/>
  <c r="AC1349" i="1" s="1"/>
  <c r="T1350" i="1"/>
  <c r="V1349" i="1"/>
  <c r="U1349" i="1"/>
  <c r="T1351" i="1" l="1"/>
  <c r="AB1350" i="1"/>
  <c r="AC1350" i="1" s="1"/>
  <c r="V1350" i="1"/>
  <c r="U1350" i="1"/>
  <c r="AB1351" i="1" l="1"/>
  <c r="AC1351" i="1" s="1"/>
  <c r="T1352" i="1"/>
  <c r="U1351" i="1"/>
  <c r="V1351" i="1"/>
  <c r="T1353" i="1" l="1"/>
  <c r="V1352" i="1"/>
  <c r="AB1352" i="1"/>
  <c r="AC1352" i="1" s="1"/>
  <c r="U1352" i="1"/>
  <c r="AB1353" i="1" l="1"/>
  <c r="AC1353" i="1" s="1"/>
  <c r="V1353" i="1"/>
  <c r="T1354" i="1"/>
  <c r="U1353" i="1"/>
  <c r="AB1354" i="1" l="1"/>
  <c r="AC1354" i="1" s="1"/>
  <c r="T1355" i="1"/>
  <c r="V1354" i="1"/>
  <c r="U1354" i="1"/>
  <c r="V1355" i="1" l="1"/>
  <c r="T1356" i="1"/>
  <c r="AB1355" i="1"/>
  <c r="AC1355" i="1" s="1"/>
  <c r="U1355" i="1"/>
  <c r="T1357" i="1" l="1"/>
  <c r="AB1356" i="1"/>
  <c r="AC1356" i="1" s="1"/>
  <c r="U1356" i="1"/>
  <c r="V1356" i="1"/>
  <c r="AB1357" i="1" l="1"/>
  <c r="AC1357" i="1" s="1"/>
  <c r="T1358" i="1"/>
  <c r="U1357" i="1"/>
  <c r="V1357" i="1"/>
  <c r="AB1358" i="1" l="1"/>
  <c r="AC1358" i="1" s="1"/>
  <c r="U1358" i="1"/>
  <c r="T1359" i="1"/>
  <c r="V1358" i="1"/>
  <c r="U1359" i="1" l="1"/>
  <c r="V1359" i="1"/>
  <c r="T1360" i="1"/>
  <c r="AB1359" i="1"/>
  <c r="AC1359" i="1" s="1"/>
  <c r="AB1360" i="1" l="1"/>
  <c r="AC1360" i="1" s="1"/>
  <c r="T1361" i="1"/>
  <c r="V1360" i="1"/>
  <c r="U1360" i="1"/>
  <c r="AB1361" i="1" l="1"/>
  <c r="AC1361" i="1" s="1"/>
  <c r="T1362" i="1"/>
  <c r="U1361" i="1"/>
  <c r="V1361" i="1"/>
  <c r="V1362" i="1" l="1"/>
  <c r="AB1362" i="1"/>
  <c r="AC1362" i="1" s="1"/>
  <c r="U1362" i="1"/>
  <c r="T1363" i="1"/>
  <c r="U1363" i="1" l="1"/>
  <c r="AB1363" i="1"/>
  <c r="AC1363" i="1" s="1"/>
  <c r="T1364" i="1"/>
  <c r="V1363" i="1"/>
  <c r="U1364" i="1" l="1"/>
  <c r="V1364" i="1"/>
  <c r="AB1364" i="1"/>
  <c r="AC1364" i="1" s="1"/>
  <c r="T1365" i="1"/>
  <c r="V1365" i="1" l="1"/>
  <c r="T1366" i="1"/>
  <c r="AB1365" i="1"/>
  <c r="AC1365" i="1" s="1"/>
  <c r="U1365" i="1"/>
  <c r="U1366" i="1" l="1"/>
  <c r="V1366" i="1"/>
  <c r="AB1366" i="1"/>
  <c r="AC1366" i="1" s="1"/>
  <c r="T1367" i="1"/>
  <c r="U1367" i="1" l="1"/>
  <c r="T1368" i="1"/>
  <c r="AB1367" i="1"/>
  <c r="AC1367" i="1" s="1"/>
  <c r="V1367" i="1"/>
  <c r="T1369" i="1" l="1"/>
  <c r="AB1368" i="1"/>
  <c r="AC1368" i="1" s="1"/>
  <c r="V1368" i="1"/>
  <c r="U1368" i="1"/>
  <c r="T1370" i="1" l="1"/>
  <c r="V1369" i="1"/>
  <c r="U1369" i="1"/>
  <c r="AB1369" i="1"/>
  <c r="AC1369" i="1" s="1"/>
  <c r="T1371" i="1" l="1"/>
  <c r="AB1370" i="1"/>
  <c r="AC1370" i="1" s="1"/>
  <c r="U1370" i="1"/>
  <c r="V1370" i="1"/>
  <c r="U1371" i="1" l="1"/>
  <c r="AB1371" i="1"/>
  <c r="AC1371" i="1" s="1"/>
  <c r="V1371" i="1"/>
  <c r="T1372" i="1"/>
  <c r="U1372" i="1" l="1"/>
  <c r="V1372" i="1"/>
  <c r="T1373" i="1"/>
  <c r="AB1372" i="1"/>
  <c r="AC1372" i="1" s="1"/>
  <c r="T1374" i="1" l="1"/>
  <c r="U1373" i="1"/>
  <c r="V1373" i="1"/>
  <c r="AB1373" i="1"/>
  <c r="AC1373" i="1" s="1"/>
  <c r="T1375" i="1" l="1"/>
  <c r="U1374" i="1"/>
  <c r="V1374" i="1"/>
  <c r="AB1374" i="1"/>
  <c r="AC1374" i="1" s="1"/>
  <c r="AB1375" i="1" l="1"/>
  <c r="AC1375" i="1" s="1"/>
  <c r="T1376" i="1"/>
  <c r="U1375" i="1"/>
  <c r="V1375" i="1"/>
  <c r="T1377" i="1" l="1"/>
  <c r="AB1376" i="1"/>
  <c r="AC1376" i="1" s="1"/>
  <c r="U1376" i="1"/>
  <c r="V1376" i="1"/>
  <c r="V1377" i="1" l="1"/>
  <c r="T1378" i="1"/>
  <c r="AB1377" i="1"/>
  <c r="AC1377" i="1" s="1"/>
  <c r="U1377" i="1"/>
  <c r="AB1378" i="1" l="1"/>
  <c r="AC1378" i="1" s="1"/>
  <c r="T1379" i="1"/>
  <c r="U1378" i="1"/>
  <c r="V1378" i="1"/>
  <c r="V1379" i="1" l="1"/>
  <c r="AB1379" i="1"/>
  <c r="AC1379" i="1" s="1"/>
  <c r="U1379" i="1"/>
  <c r="T1380" i="1"/>
  <c r="T1381" i="1" l="1"/>
  <c r="V1380" i="1"/>
  <c r="AB1380" i="1"/>
  <c r="AC1380" i="1" s="1"/>
  <c r="U1380" i="1"/>
  <c r="AB1381" i="1" l="1"/>
  <c r="AC1381" i="1" s="1"/>
  <c r="U1381" i="1"/>
  <c r="V1381" i="1"/>
  <c r="T1382" i="1"/>
  <c r="V1382" i="1" l="1"/>
  <c r="AB1382" i="1"/>
  <c r="AC1382" i="1" s="1"/>
  <c r="T1383" i="1"/>
  <c r="U1382" i="1"/>
  <c r="T1384" i="1" l="1"/>
  <c r="AB1383" i="1"/>
  <c r="AC1383" i="1" s="1"/>
  <c r="U1383" i="1"/>
  <c r="V1383" i="1"/>
  <c r="T1385" i="1" l="1"/>
  <c r="AB1384" i="1"/>
  <c r="AC1384" i="1" s="1"/>
  <c r="U1384" i="1"/>
  <c r="V1384" i="1"/>
  <c r="AB1385" i="1" l="1"/>
  <c r="AC1385" i="1" s="1"/>
  <c r="T1386" i="1"/>
  <c r="V1385" i="1"/>
  <c r="U1385" i="1"/>
  <c r="AB1386" i="1" l="1"/>
  <c r="AC1386" i="1" s="1"/>
  <c r="V1386" i="1"/>
  <c r="U1386" i="1"/>
  <c r="T1387" i="1"/>
  <c r="U1387" i="1" l="1"/>
  <c r="T1388" i="1"/>
  <c r="V1387" i="1"/>
  <c r="AB1387" i="1"/>
  <c r="AC1387" i="1" s="1"/>
  <c r="V1388" i="1" l="1"/>
  <c r="T1389" i="1"/>
  <c r="AB1388" i="1"/>
  <c r="AC1388" i="1" s="1"/>
  <c r="U1388" i="1"/>
  <c r="U1389" i="1" l="1"/>
  <c r="V1389" i="1"/>
  <c r="AB1389" i="1"/>
  <c r="AC1389" i="1" s="1"/>
  <c r="T1390" i="1"/>
  <c r="AB1390" i="1" l="1"/>
  <c r="AC1390" i="1" s="1"/>
  <c r="U1390" i="1"/>
  <c r="V1390" i="1"/>
  <c r="T1391" i="1"/>
  <c r="U1391" i="1" l="1"/>
  <c r="AB1391" i="1"/>
  <c r="AC1391" i="1" s="1"/>
  <c r="T1392" i="1"/>
  <c r="V1391" i="1"/>
  <c r="AB1392" i="1" l="1"/>
  <c r="AC1392" i="1" s="1"/>
  <c r="U1392" i="1"/>
  <c r="T1393" i="1"/>
  <c r="V1392" i="1"/>
  <c r="T1394" i="1" l="1"/>
  <c r="AB1393" i="1"/>
  <c r="AC1393" i="1" s="1"/>
  <c r="U1393" i="1"/>
  <c r="V1393" i="1"/>
  <c r="T1395" i="1" l="1"/>
  <c r="AB1394" i="1"/>
  <c r="AC1394" i="1" s="1"/>
  <c r="U1394" i="1"/>
  <c r="V1394" i="1"/>
  <c r="T1396" i="1" l="1"/>
  <c r="AB1395" i="1"/>
  <c r="AC1395" i="1" s="1"/>
  <c r="V1395" i="1"/>
  <c r="U1395" i="1"/>
  <c r="T1397" i="1" l="1"/>
  <c r="AB1396" i="1"/>
  <c r="AC1396" i="1" s="1"/>
  <c r="V1396" i="1"/>
  <c r="U1396" i="1"/>
  <c r="AB1397" i="1" l="1"/>
  <c r="AC1397" i="1" s="1"/>
  <c r="U1397" i="1"/>
  <c r="V1397" i="1"/>
  <c r="T1398" i="1"/>
  <c r="AB1398" i="1" l="1"/>
  <c r="AC1398" i="1" s="1"/>
  <c r="V1398" i="1"/>
  <c r="U1398" i="1"/>
  <c r="T1399" i="1"/>
  <c r="T1400" i="1" l="1"/>
  <c r="AB1399" i="1"/>
  <c r="AC1399" i="1" s="1"/>
  <c r="U1399" i="1"/>
  <c r="V1399" i="1"/>
  <c r="AB1400" i="1" l="1"/>
  <c r="AC1400" i="1" s="1"/>
  <c r="V1400" i="1"/>
  <c r="U1400" i="1"/>
  <c r="T1401" i="1"/>
  <c r="AB1401" i="1" l="1"/>
  <c r="AC1401" i="1" s="1"/>
  <c r="U1401" i="1"/>
  <c r="T1402" i="1"/>
  <c r="V1401" i="1"/>
  <c r="AB1402" i="1" l="1"/>
  <c r="AC1402" i="1" s="1"/>
  <c r="U1402" i="1"/>
  <c r="V1402" i="1"/>
  <c r="T1403" i="1"/>
  <c r="AB1403" i="1" l="1"/>
  <c r="AC1403" i="1" s="1"/>
  <c r="T1404" i="1"/>
  <c r="U1403" i="1"/>
  <c r="V1403" i="1"/>
  <c r="AB1404" i="1" l="1"/>
  <c r="AC1404" i="1" s="1"/>
  <c r="T1405" i="1"/>
  <c r="U1404" i="1"/>
  <c r="V1404" i="1"/>
  <c r="AB1405" i="1" l="1"/>
  <c r="AC1405" i="1" s="1"/>
  <c r="T1406" i="1"/>
  <c r="U1405" i="1"/>
  <c r="V1405" i="1"/>
  <c r="AB1406" i="1" l="1"/>
  <c r="AC1406" i="1" s="1"/>
  <c r="U1406" i="1"/>
  <c r="V1406" i="1"/>
  <c r="T1407" i="1"/>
  <c r="AB1407" i="1" l="1"/>
  <c r="AC1407" i="1" s="1"/>
  <c r="V1407" i="1"/>
  <c r="T1408" i="1"/>
  <c r="U1407" i="1"/>
  <c r="AB1408" i="1" l="1"/>
  <c r="AC1408" i="1" s="1"/>
  <c r="T1409" i="1"/>
  <c r="U1408" i="1"/>
  <c r="V1408" i="1"/>
  <c r="AB1409" i="1" l="1"/>
  <c r="AC1409" i="1" s="1"/>
  <c r="U1409" i="1"/>
  <c r="V1409" i="1"/>
  <c r="T1410" i="1"/>
  <c r="AB1410" i="1" l="1"/>
  <c r="AC1410" i="1" s="1"/>
  <c r="T1411" i="1"/>
  <c r="V1410" i="1"/>
  <c r="U1410" i="1"/>
  <c r="AB1411" i="1" l="1"/>
  <c r="AC1411" i="1" s="1"/>
  <c r="U1411" i="1"/>
  <c r="V1411" i="1"/>
  <c r="T1412" i="1"/>
  <c r="AB1412" i="1" l="1"/>
  <c r="AC1412" i="1" s="1"/>
  <c r="T1413" i="1"/>
  <c r="U1412" i="1"/>
  <c r="V1412" i="1"/>
  <c r="T1414" i="1" l="1"/>
  <c r="AB1413" i="1"/>
  <c r="AC1413" i="1" s="1"/>
  <c r="U1413" i="1"/>
  <c r="V1413" i="1"/>
  <c r="AB1414" i="1" l="1"/>
  <c r="AC1414" i="1" s="1"/>
  <c r="U1414" i="1"/>
  <c r="T1415" i="1"/>
  <c r="V1414" i="1"/>
  <c r="AB1415" i="1" l="1"/>
  <c r="AC1415" i="1" s="1"/>
  <c r="V1415" i="1"/>
  <c r="U1415" i="1"/>
  <c r="T1416" i="1"/>
  <c r="AB1416" i="1" l="1"/>
  <c r="AC1416" i="1" s="1"/>
  <c r="U1416" i="1"/>
  <c r="V1416" i="1"/>
  <c r="T1417" i="1"/>
  <c r="AB1417" i="1" l="1"/>
  <c r="AC1417" i="1" s="1"/>
  <c r="T1418" i="1"/>
  <c r="V1417" i="1"/>
  <c r="U1417" i="1"/>
  <c r="AB1418" i="1" l="1"/>
  <c r="AC1418" i="1" s="1"/>
  <c r="V1418" i="1"/>
  <c r="U1418" i="1"/>
  <c r="T1419" i="1"/>
  <c r="AB1419" i="1" l="1"/>
  <c r="AC1419" i="1" s="1"/>
  <c r="T1420" i="1"/>
  <c r="U1419" i="1"/>
  <c r="V1419" i="1"/>
  <c r="AB1420" i="1" l="1"/>
  <c r="AC1420" i="1" s="1"/>
  <c r="V1420" i="1"/>
  <c r="U1420" i="1"/>
  <c r="T1421" i="1"/>
  <c r="T1422" i="1" l="1"/>
  <c r="U1421" i="1"/>
  <c r="AB1421" i="1"/>
  <c r="AC1421" i="1" s="1"/>
  <c r="V1421" i="1"/>
  <c r="T1423" i="1" l="1"/>
  <c r="V1422" i="1"/>
  <c r="AB1422" i="1"/>
  <c r="AC1422" i="1" s="1"/>
  <c r="U1422" i="1"/>
  <c r="AB1423" i="1" l="1"/>
  <c r="AC1423" i="1" s="1"/>
  <c r="T1424" i="1"/>
  <c r="U1423" i="1"/>
  <c r="V1423" i="1"/>
  <c r="AB1424" i="1" l="1"/>
  <c r="AC1424" i="1" s="1"/>
  <c r="T1425" i="1"/>
  <c r="U1424" i="1"/>
  <c r="V1424" i="1"/>
  <c r="AB1425" i="1" l="1"/>
  <c r="AC1425" i="1" s="1"/>
  <c r="V1425" i="1"/>
  <c r="U1425" i="1"/>
  <c r="T1426" i="1"/>
  <c r="AB1426" i="1" l="1"/>
  <c r="AC1426" i="1" s="1"/>
  <c r="T1427" i="1"/>
  <c r="U1426" i="1"/>
  <c r="V1426" i="1"/>
  <c r="AB1427" i="1" l="1"/>
  <c r="AC1427" i="1" s="1"/>
  <c r="T1428" i="1"/>
  <c r="V1427" i="1"/>
  <c r="U1427" i="1"/>
  <c r="AB1428" i="1" l="1"/>
  <c r="AC1428" i="1" s="1"/>
  <c r="T1429" i="1"/>
  <c r="U1428" i="1"/>
  <c r="V1428" i="1"/>
  <c r="T1430" i="1" l="1"/>
  <c r="AB1429" i="1"/>
  <c r="AC1429" i="1" s="1"/>
  <c r="U1429" i="1"/>
  <c r="V1429" i="1"/>
  <c r="AB1430" i="1" l="1"/>
  <c r="AC1430" i="1" s="1"/>
  <c r="U1430" i="1"/>
  <c r="V1430" i="1"/>
  <c r="T1431" i="1"/>
  <c r="AB1431" i="1" l="1"/>
  <c r="AC1431" i="1" s="1"/>
  <c r="V1431" i="1"/>
  <c r="T1432" i="1"/>
  <c r="U1431" i="1"/>
  <c r="T1433" i="1" l="1"/>
  <c r="AB1432" i="1"/>
  <c r="AC1432" i="1" s="1"/>
  <c r="U1432" i="1"/>
  <c r="V1432" i="1"/>
  <c r="T1434" i="1" l="1"/>
  <c r="U1433" i="1"/>
  <c r="AB1433" i="1"/>
  <c r="AC1433" i="1" s="1"/>
  <c r="V1433" i="1"/>
  <c r="V1434" i="1" l="1"/>
  <c r="T1435" i="1"/>
  <c r="AB1434" i="1"/>
  <c r="AC1434" i="1" s="1"/>
  <c r="U1434" i="1"/>
  <c r="AB1435" i="1" l="1"/>
  <c r="AC1435" i="1" s="1"/>
  <c r="U1435" i="1"/>
  <c r="V1435" i="1"/>
  <c r="T1436" i="1"/>
  <c r="AB1436" i="1" l="1"/>
  <c r="AC1436" i="1" s="1"/>
  <c r="T1437" i="1"/>
  <c r="U1436" i="1"/>
  <c r="V1436" i="1"/>
  <c r="T1438" i="1" l="1"/>
  <c r="AB1437" i="1"/>
  <c r="AC1437" i="1" s="1"/>
  <c r="U1437" i="1"/>
  <c r="V1437" i="1"/>
  <c r="AB1438" i="1" l="1"/>
  <c r="AC1438" i="1" s="1"/>
  <c r="U1438" i="1"/>
  <c r="V1438" i="1"/>
  <c r="T1439" i="1"/>
  <c r="T1440" i="1" l="1"/>
  <c r="AB1439" i="1"/>
  <c r="AC1439" i="1" s="1"/>
  <c r="U1439" i="1"/>
  <c r="V1439" i="1"/>
  <c r="T1441" i="1" l="1"/>
  <c r="AB1440" i="1"/>
  <c r="AC1440" i="1" s="1"/>
  <c r="U1440" i="1"/>
  <c r="V1440" i="1"/>
  <c r="AB1441" i="1" l="1"/>
  <c r="AC1441" i="1" s="1"/>
  <c r="V1441" i="1"/>
  <c r="T1442" i="1"/>
  <c r="U1441" i="1"/>
  <c r="T1443" i="1" l="1"/>
  <c r="AB1442" i="1"/>
  <c r="AC1442" i="1" s="1"/>
  <c r="U1442" i="1"/>
  <c r="V1442" i="1"/>
  <c r="AB1443" i="1" l="1"/>
  <c r="AC1443" i="1" s="1"/>
  <c r="V1443" i="1"/>
  <c r="T1444" i="1"/>
  <c r="U1443" i="1"/>
  <c r="AB1444" i="1" l="1"/>
  <c r="AC1444" i="1" s="1"/>
  <c r="V1444" i="1"/>
  <c r="T1445" i="1"/>
  <c r="U1444" i="1"/>
  <c r="T1446" i="1" l="1"/>
  <c r="AB1445" i="1"/>
  <c r="AC1445" i="1" s="1"/>
  <c r="U1445" i="1"/>
  <c r="V1445" i="1"/>
  <c r="AB1446" i="1" l="1"/>
  <c r="AC1446" i="1" s="1"/>
  <c r="T1447" i="1"/>
  <c r="V1446" i="1"/>
  <c r="U1446" i="1"/>
  <c r="AB1447" i="1" l="1"/>
  <c r="AC1447" i="1" s="1"/>
  <c r="U1447" i="1"/>
  <c r="V1447" i="1"/>
  <c r="T1448" i="1"/>
  <c r="AB1448" i="1" l="1"/>
  <c r="AC1448" i="1" s="1"/>
  <c r="T1449" i="1"/>
  <c r="U1448" i="1"/>
  <c r="V1448" i="1"/>
  <c r="V1449" i="1" l="1"/>
  <c r="T1450" i="1"/>
  <c r="AB1449" i="1"/>
  <c r="AC1449" i="1" s="1"/>
  <c r="U1449" i="1"/>
  <c r="AB1450" i="1" l="1"/>
  <c r="AC1450" i="1" s="1"/>
  <c r="V1450" i="1"/>
  <c r="U1450" i="1"/>
  <c r="T1451" i="1"/>
  <c r="T1452" i="1" l="1"/>
  <c r="AB1451" i="1"/>
  <c r="AC1451" i="1" s="1"/>
  <c r="U1451" i="1"/>
  <c r="V1451" i="1"/>
  <c r="AB1452" i="1" l="1"/>
  <c r="AC1452" i="1" s="1"/>
  <c r="U1452" i="1"/>
  <c r="V1452" i="1"/>
  <c r="T1453" i="1"/>
  <c r="T1454" i="1" l="1"/>
  <c r="AB1453" i="1"/>
  <c r="AC1453" i="1" s="1"/>
  <c r="V1453" i="1"/>
  <c r="U1453" i="1"/>
  <c r="AB1454" i="1" l="1"/>
  <c r="AC1454" i="1" s="1"/>
  <c r="T1455" i="1"/>
  <c r="U1454" i="1"/>
  <c r="V1454" i="1"/>
  <c r="AB1455" i="1" l="1"/>
  <c r="AC1455" i="1" s="1"/>
  <c r="U1455" i="1"/>
  <c r="V1455" i="1"/>
  <c r="T1456" i="1"/>
  <c r="AB1456" i="1" l="1"/>
  <c r="AC1456" i="1" s="1"/>
  <c r="T1457" i="1"/>
  <c r="V1456" i="1"/>
  <c r="U1456" i="1"/>
  <c r="AB1457" i="1" l="1"/>
  <c r="AC1457" i="1" s="1"/>
  <c r="U1457" i="1"/>
  <c r="T1458" i="1"/>
  <c r="V1457" i="1"/>
  <c r="AB1458" i="1" l="1"/>
  <c r="AC1458" i="1" s="1"/>
  <c r="T1459" i="1"/>
  <c r="V1458" i="1"/>
  <c r="U1458" i="1"/>
  <c r="AB1459" i="1" l="1"/>
  <c r="AC1459" i="1" s="1"/>
  <c r="V1459" i="1"/>
  <c r="T1460" i="1"/>
  <c r="U1459" i="1"/>
  <c r="AB1460" i="1" l="1"/>
  <c r="AC1460" i="1" s="1"/>
  <c r="V1460" i="1"/>
  <c r="T1461" i="1"/>
  <c r="U1460" i="1"/>
  <c r="T1462" i="1" l="1"/>
  <c r="AB1461" i="1"/>
  <c r="AC1461" i="1" s="1"/>
  <c r="U1461" i="1"/>
  <c r="V1461" i="1"/>
  <c r="T1463" i="1" l="1"/>
  <c r="AB1462" i="1"/>
  <c r="AC1462" i="1" s="1"/>
  <c r="V1462" i="1"/>
  <c r="U1462" i="1"/>
  <c r="AB1463" i="1" l="1"/>
  <c r="AC1463" i="1" s="1"/>
  <c r="U1463" i="1"/>
  <c r="V1463" i="1"/>
  <c r="T1464" i="1"/>
  <c r="AB1464" i="1" l="1"/>
  <c r="AC1464" i="1" s="1"/>
  <c r="V1464" i="1"/>
  <c r="U1464" i="1"/>
  <c r="T1465" i="1"/>
  <c r="T1466" i="1" l="1"/>
  <c r="AB1465" i="1"/>
  <c r="AC1465" i="1" s="1"/>
  <c r="V1465" i="1"/>
  <c r="U1465" i="1"/>
  <c r="AB1466" i="1" l="1"/>
  <c r="AC1466" i="1" s="1"/>
  <c r="T1467" i="1"/>
  <c r="U1466" i="1"/>
  <c r="V1466" i="1"/>
  <c r="AB1467" i="1" l="1"/>
  <c r="AC1467" i="1" s="1"/>
  <c r="V1467" i="1"/>
  <c r="T1468" i="1"/>
  <c r="U1467" i="1"/>
  <c r="T1469" i="1" l="1"/>
  <c r="AB1468" i="1"/>
  <c r="AC1468" i="1" s="1"/>
  <c r="V1468" i="1"/>
  <c r="U1468" i="1"/>
  <c r="T1470" i="1" l="1"/>
  <c r="AB1469" i="1"/>
  <c r="AC1469" i="1" s="1"/>
  <c r="U1469" i="1"/>
  <c r="V1469" i="1"/>
  <c r="T1471" i="1" l="1"/>
  <c r="AB1470" i="1"/>
  <c r="AC1470" i="1" s="1"/>
  <c r="U1470" i="1"/>
  <c r="V1470" i="1"/>
  <c r="T1472" i="1" l="1"/>
  <c r="AB1471" i="1"/>
  <c r="AC1471" i="1" s="1"/>
  <c r="U1471" i="1"/>
  <c r="V1471" i="1"/>
  <c r="AB1472" i="1" l="1"/>
  <c r="AC1472" i="1" s="1"/>
  <c r="T1473" i="1"/>
  <c r="U1472" i="1"/>
  <c r="V1472" i="1"/>
  <c r="AB1473" i="1" l="1"/>
  <c r="AC1473" i="1" s="1"/>
  <c r="V1473" i="1"/>
  <c r="T1474" i="1"/>
  <c r="U1473" i="1"/>
  <c r="AB1474" i="1" l="1"/>
  <c r="AC1474" i="1" s="1"/>
  <c r="U1474" i="1"/>
  <c r="T1475" i="1"/>
  <c r="V1474" i="1"/>
  <c r="AB1475" i="1" l="1"/>
  <c r="AC1475" i="1" s="1"/>
  <c r="T1476" i="1"/>
  <c r="U1475" i="1"/>
  <c r="V1475" i="1"/>
  <c r="T1477" i="1" l="1"/>
  <c r="AB1476" i="1"/>
  <c r="AC1476" i="1" s="1"/>
  <c r="U1476" i="1"/>
  <c r="V1476" i="1"/>
  <c r="AB1477" i="1" l="1"/>
  <c r="AC1477" i="1" s="1"/>
  <c r="V1477" i="1"/>
  <c r="U1477" i="1"/>
  <c r="T1478" i="1"/>
  <c r="T1479" i="1" l="1"/>
  <c r="AB1478" i="1"/>
  <c r="AC1478" i="1" s="1"/>
  <c r="U1478" i="1"/>
  <c r="V1478" i="1"/>
  <c r="AB1479" i="1" l="1"/>
  <c r="AC1479" i="1" s="1"/>
  <c r="U1479" i="1"/>
  <c r="T1480" i="1"/>
  <c r="V1479" i="1"/>
  <c r="AB1480" i="1" l="1"/>
  <c r="AC1480" i="1" s="1"/>
  <c r="T1481" i="1"/>
  <c r="U1480" i="1"/>
  <c r="V1480" i="1"/>
  <c r="T1482" i="1" l="1"/>
  <c r="AB1481" i="1"/>
  <c r="AC1481" i="1" s="1"/>
  <c r="U1481" i="1"/>
  <c r="V1481" i="1"/>
  <c r="AB1482" i="1" l="1"/>
  <c r="AC1482" i="1" s="1"/>
  <c r="T1483" i="1"/>
  <c r="U1482" i="1"/>
  <c r="V1482" i="1"/>
  <c r="T1484" i="1" l="1"/>
  <c r="AB1483" i="1"/>
  <c r="AC1483" i="1" s="1"/>
  <c r="V1483" i="1"/>
  <c r="U1483" i="1"/>
  <c r="T1485" i="1" l="1"/>
  <c r="AB1484" i="1"/>
  <c r="AC1484" i="1" s="1"/>
  <c r="V1484" i="1"/>
  <c r="U1484" i="1"/>
  <c r="T1486" i="1" l="1"/>
  <c r="AB1485" i="1"/>
  <c r="AC1485" i="1" s="1"/>
  <c r="U1485" i="1"/>
  <c r="V1485" i="1"/>
  <c r="T1487" i="1" l="1"/>
  <c r="AB1486" i="1"/>
  <c r="AC1486" i="1" s="1"/>
  <c r="V1486" i="1"/>
  <c r="U1486" i="1"/>
  <c r="AB1487" i="1" l="1"/>
  <c r="AC1487" i="1" s="1"/>
  <c r="T1488" i="1"/>
  <c r="U1487" i="1"/>
  <c r="V1487" i="1"/>
  <c r="T1489" i="1" l="1"/>
  <c r="AB1488" i="1"/>
  <c r="AC1488" i="1" s="1"/>
  <c r="V1488" i="1"/>
  <c r="U1488" i="1"/>
  <c r="T1490" i="1" l="1"/>
  <c r="AB1489" i="1"/>
  <c r="AC1489" i="1" s="1"/>
  <c r="U1489" i="1"/>
  <c r="V1489" i="1"/>
  <c r="AB1490" i="1" l="1"/>
  <c r="AC1490" i="1" s="1"/>
  <c r="T1491" i="1"/>
  <c r="V1490" i="1"/>
  <c r="U1490" i="1"/>
  <c r="AB1491" i="1" l="1"/>
  <c r="AC1491" i="1" s="1"/>
  <c r="T1492" i="1"/>
  <c r="V1491" i="1"/>
  <c r="U1491" i="1"/>
  <c r="T1493" i="1" l="1"/>
  <c r="AB1492" i="1"/>
  <c r="AC1492" i="1" s="1"/>
  <c r="U1492" i="1"/>
  <c r="V1492" i="1"/>
  <c r="AB1493" i="1" l="1"/>
  <c r="AC1493" i="1" s="1"/>
  <c r="T1494" i="1"/>
  <c r="V1493" i="1"/>
  <c r="U1493" i="1"/>
  <c r="AB1494" i="1" l="1"/>
  <c r="AC1494" i="1" s="1"/>
  <c r="T1495" i="1"/>
  <c r="U1494" i="1"/>
  <c r="V1494" i="1"/>
  <c r="AB1495" i="1" l="1"/>
  <c r="AC1495" i="1" s="1"/>
  <c r="V1495" i="1"/>
  <c r="U1495" i="1"/>
  <c r="T1496" i="1"/>
  <c r="T1497" i="1" l="1"/>
  <c r="AB1496" i="1"/>
  <c r="AC1496" i="1" s="1"/>
  <c r="U1496" i="1"/>
  <c r="V1496" i="1"/>
  <c r="AB1497" i="1" l="1"/>
  <c r="AC1497" i="1" s="1"/>
  <c r="U1497" i="1"/>
  <c r="T1498" i="1"/>
  <c r="V1497" i="1"/>
  <c r="AB1498" i="1" l="1"/>
  <c r="AC1498" i="1" s="1"/>
  <c r="T1499" i="1"/>
  <c r="V1498" i="1"/>
  <c r="U1498" i="1"/>
  <c r="AB1499" i="1" l="1"/>
  <c r="AC1499" i="1" s="1"/>
  <c r="T1500" i="1"/>
  <c r="U1499" i="1"/>
  <c r="V1499" i="1"/>
  <c r="T1501" i="1" l="1"/>
  <c r="U1500" i="1"/>
  <c r="AB1500" i="1"/>
  <c r="AC1500" i="1" s="1"/>
  <c r="V1500" i="1"/>
  <c r="T1502" i="1" l="1"/>
  <c r="AB1501" i="1"/>
  <c r="AC1501" i="1" s="1"/>
  <c r="V1501" i="1"/>
  <c r="U1501" i="1"/>
  <c r="T1503" i="1" l="1"/>
  <c r="AB1502" i="1"/>
  <c r="AC1502" i="1" s="1"/>
  <c r="U1502" i="1"/>
  <c r="V1502" i="1"/>
  <c r="AB1503" i="1" l="1"/>
  <c r="AC1503" i="1" s="1"/>
  <c r="U1503" i="1"/>
  <c r="V1503" i="1"/>
  <c r="T1504" i="1"/>
  <c r="T1505" i="1" l="1"/>
  <c r="AB1504" i="1"/>
  <c r="AC1504" i="1" s="1"/>
  <c r="U1504" i="1"/>
  <c r="V1504" i="1"/>
  <c r="T1506" i="1" l="1"/>
  <c r="AB1505" i="1"/>
  <c r="AC1505" i="1" s="1"/>
  <c r="U1505" i="1"/>
  <c r="V1505" i="1"/>
  <c r="AB1506" i="1" l="1"/>
  <c r="AC1506" i="1" s="1"/>
  <c r="T1507" i="1"/>
  <c r="V1506" i="1"/>
  <c r="U1506" i="1"/>
  <c r="AB1507" i="1" l="1"/>
  <c r="AC1507" i="1" s="1"/>
  <c r="T1508" i="1"/>
  <c r="V1507" i="1"/>
  <c r="U1507" i="1"/>
  <c r="T1509" i="1" l="1"/>
  <c r="AB1508" i="1"/>
  <c r="AC1508" i="1" s="1"/>
  <c r="V1508" i="1"/>
  <c r="U1508" i="1"/>
  <c r="AB1509" i="1" l="1"/>
  <c r="AC1509" i="1" s="1"/>
  <c r="T1510" i="1"/>
  <c r="U1509" i="1"/>
  <c r="V1509" i="1"/>
  <c r="AB1510" i="1" l="1"/>
  <c r="AC1510" i="1" s="1"/>
  <c r="T1511" i="1"/>
  <c r="U1510" i="1"/>
  <c r="V1510" i="1"/>
  <c r="T1512" i="1" l="1"/>
  <c r="V1511" i="1"/>
  <c r="U1511" i="1"/>
  <c r="AB1511" i="1"/>
  <c r="AC1511" i="1" s="1"/>
  <c r="V1512" i="1" l="1"/>
  <c r="AB1512" i="1"/>
  <c r="AC1512" i="1" s="1"/>
  <c r="U1512" i="1"/>
  <c r="T1513" i="1"/>
  <c r="T1514" i="1" l="1"/>
  <c r="AB1513" i="1"/>
  <c r="AC1513" i="1" s="1"/>
  <c r="U1513" i="1"/>
  <c r="V1513" i="1"/>
  <c r="T1515" i="1" l="1"/>
  <c r="AB1514" i="1"/>
  <c r="AC1514" i="1" s="1"/>
  <c r="U1514" i="1"/>
  <c r="V1514" i="1"/>
  <c r="AB1515" i="1" l="1"/>
  <c r="AC1515" i="1" s="1"/>
  <c r="T1516" i="1"/>
  <c r="V1515" i="1"/>
  <c r="U1515" i="1"/>
  <c r="T1517" i="1" l="1"/>
  <c r="U1516" i="1"/>
  <c r="V1516" i="1"/>
  <c r="AB1516" i="1"/>
  <c r="AC1516" i="1" s="1"/>
  <c r="V1517" i="1" l="1"/>
  <c r="AB1517" i="1"/>
  <c r="AC1517" i="1" s="1"/>
  <c r="U1517" i="1"/>
  <c r="T1518" i="1"/>
  <c r="AB1518" i="1" l="1"/>
  <c r="AC1518" i="1" s="1"/>
  <c r="T1519" i="1"/>
  <c r="U1518" i="1"/>
  <c r="V1518" i="1"/>
  <c r="T1520" i="1" l="1"/>
  <c r="AB1519" i="1"/>
  <c r="AC1519" i="1" s="1"/>
  <c r="U1519" i="1"/>
  <c r="V1519" i="1"/>
  <c r="AB1520" i="1" l="1"/>
  <c r="AC1520" i="1" s="1"/>
  <c r="U1520" i="1"/>
  <c r="V1520" i="1"/>
  <c r="T1521" i="1"/>
  <c r="T1522" i="1" l="1"/>
  <c r="AB1521" i="1"/>
  <c r="AC1521" i="1" s="1"/>
  <c r="U1521" i="1"/>
  <c r="V1521" i="1"/>
  <c r="AB1522" i="1" l="1"/>
  <c r="AC1522" i="1" s="1"/>
  <c r="T1523" i="1"/>
  <c r="V1522" i="1"/>
  <c r="U1522" i="1"/>
  <c r="T1524" i="1" l="1"/>
  <c r="U1523" i="1"/>
  <c r="V1523" i="1"/>
  <c r="AB1523" i="1"/>
  <c r="AC1523" i="1" s="1"/>
  <c r="U1524" i="1" l="1"/>
  <c r="T1525" i="1"/>
  <c r="V1524" i="1"/>
  <c r="AB1524" i="1"/>
  <c r="AC1524" i="1" s="1"/>
  <c r="AB1525" i="1" l="1"/>
  <c r="AC1525" i="1" s="1"/>
  <c r="T1526" i="1"/>
  <c r="U1525" i="1"/>
  <c r="V1525" i="1"/>
  <c r="U1526" i="1" l="1"/>
  <c r="AB1526" i="1"/>
  <c r="AC1526" i="1" s="1"/>
  <c r="V1526" i="1"/>
  <c r="T1527" i="1"/>
  <c r="AB1527" i="1" l="1"/>
  <c r="AC1527" i="1" s="1"/>
  <c r="T1528" i="1"/>
  <c r="V1527" i="1"/>
  <c r="U1527" i="1"/>
  <c r="V1528" i="1" l="1"/>
  <c r="AB1528" i="1"/>
  <c r="AC1528" i="1" s="1"/>
  <c r="U1528" i="1"/>
  <c r="T1529" i="1"/>
  <c r="AB1529" i="1" l="1"/>
  <c r="AC1529" i="1" s="1"/>
  <c r="U1529" i="1"/>
  <c r="V1529" i="1"/>
  <c r="T1530" i="1"/>
  <c r="AB1530" i="1" l="1"/>
  <c r="AC1530" i="1" s="1"/>
  <c r="V1530" i="1"/>
  <c r="T1531" i="1"/>
  <c r="U1530" i="1"/>
  <c r="U1531" i="1" l="1"/>
  <c r="AB1531" i="1"/>
  <c r="AC1531" i="1" s="1"/>
  <c r="V1531" i="1"/>
  <c r="T1532" i="1"/>
  <c r="AB1532" i="1" l="1"/>
  <c r="AC1532" i="1" s="1"/>
  <c r="T1533" i="1"/>
  <c r="U1532" i="1"/>
  <c r="V1532" i="1"/>
  <c r="AB1533" i="1" l="1"/>
  <c r="AC1533" i="1" s="1"/>
  <c r="T1534" i="1"/>
  <c r="U1533" i="1"/>
  <c r="V1533" i="1"/>
  <c r="AB1534" i="1" l="1"/>
  <c r="AC1534" i="1" s="1"/>
  <c r="U1534" i="1"/>
  <c r="V1534" i="1"/>
  <c r="T1535" i="1"/>
  <c r="AB1535" i="1" l="1"/>
  <c r="AC1535" i="1" s="1"/>
  <c r="T1536" i="1"/>
  <c r="U1535" i="1"/>
  <c r="V1535" i="1"/>
  <c r="T1537" i="1" l="1"/>
  <c r="U1536" i="1"/>
  <c r="AB1536" i="1"/>
  <c r="AC1536" i="1" s="1"/>
  <c r="V1536" i="1"/>
  <c r="AB1537" i="1" l="1"/>
  <c r="AC1537" i="1" s="1"/>
  <c r="V1537" i="1"/>
  <c r="T1538" i="1"/>
  <c r="U1537" i="1"/>
  <c r="T1539" i="1" l="1"/>
  <c r="U1538" i="1"/>
  <c r="AB1538" i="1"/>
  <c r="AC1538" i="1" s="1"/>
  <c r="V1538" i="1"/>
  <c r="AB1539" i="1" l="1"/>
  <c r="AC1539" i="1" s="1"/>
  <c r="T1540" i="1"/>
  <c r="V1539" i="1"/>
  <c r="U1539" i="1"/>
  <c r="T1541" i="1" l="1"/>
  <c r="AB1540" i="1"/>
  <c r="AC1540" i="1" s="1"/>
  <c r="U1540" i="1"/>
  <c r="V1540" i="1"/>
  <c r="T1542" i="1" l="1"/>
  <c r="AB1541" i="1"/>
  <c r="AC1541" i="1" s="1"/>
  <c r="V1541" i="1"/>
  <c r="U1541" i="1"/>
  <c r="AB1542" i="1" l="1"/>
  <c r="AC1542" i="1" s="1"/>
  <c r="V1542" i="1"/>
  <c r="T1543" i="1"/>
  <c r="U1542" i="1"/>
  <c r="AB1543" i="1" l="1"/>
  <c r="AC1543" i="1" s="1"/>
  <c r="T1544" i="1"/>
  <c r="U1543" i="1"/>
  <c r="V1543" i="1"/>
  <c r="AB1544" i="1" l="1"/>
  <c r="AC1544" i="1" s="1"/>
  <c r="U1544" i="1"/>
  <c r="T1545" i="1"/>
  <c r="V1544" i="1"/>
  <c r="T1546" i="1" l="1"/>
  <c r="U1545" i="1"/>
  <c r="V1545" i="1"/>
  <c r="AB1545" i="1"/>
  <c r="AC1545" i="1" s="1"/>
  <c r="T1547" i="1" l="1"/>
  <c r="AB1546" i="1"/>
  <c r="AC1546" i="1" s="1"/>
  <c r="V1546" i="1"/>
  <c r="U1546" i="1"/>
  <c r="AB1547" i="1" l="1"/>
  <c r="AC1547" i="1" s="1"/>
  <c r="V1547" i="1"/>
  <c r="U1547" i="1"/>
  <c r="T1548" i="1"/>
  <c r="AB1548" i="1" l="1"/>
  <c r="AC1548" i="1" s="1"/>
  <c r="V1548" i="1"/>
  <c r="T1549" i="1"/>
  <c r="U1548" i="1"/>
  <c r="T1550" i="1" l="1"/>
  <c r="AB1549" i="1"/>
  <c r="AC1549" i="1" s="1"/>
  <c r="U1549" i="1"/>
  <c r="V1549" i="1"/>
  <c r="T1551" i="1" l="1"/>
  <c r="V1550" i="1"/>
  <c r="U1550" i="1"/>
  <c r="AB1550" i="1"/>
  <c r="AC1550" i="1" s="1"/>
  <c r="AB1551" i="1" l="1"/>
  <c r="AC1551" i="1" s="1"/>
  <c r="V1551" i="1"/>
  <c r="T1552" i="1"/>
  <c r="U1551" i="1"/>
  <c r="AB1552" i="1" l="1"/>
  <c r="AC1552" i="1" s="1"/>
  <c r="U1552" i="1"/>
  <c r="V1552" i="1"/>
  <c r="T1553" i="1"/>
  <c r="T1554" i="1" l="1"/>
  <c r="U1553" i="1"/>
  <c r="V1553" i="1"/>
  <c r="AB1553" i="1"/>
  <c r="AC1553" i="1" s="1"/>
  <c r="AB1554" i="1" l="1"/>
  <c r="AC1554" i="1" s="1"/>
  <c r="T1555" i="1"/>
  <c r="V1554" i="1"/>
  <c r="U1554" i="1"/>
  <c r="AB1555" i="1" l="1"/>
  <c r="AC1555" i="1" s="1"/>
  <c r="T1556" i="1"/>
  <c r="U1555" i="1"/>
  <c r="V1555" i="1"/>
  <c r="T1557" i="1" l="1"/>
  <c r="AB1556" i="1"/>
  <c r="AC1556" i="1" s="1"/>
  <c r="V1556" i="1"/>
  <c r="U1556" i="1"/>
  <c r="U1557" i="1" l="1"/>
  <c r="AB1557" i="1"/>
  <c r="AC1557" i="1" s="1"/>
  <c r="T1558" i="1"/>
  <c r="V1557" i="1"/>
  <c r="U1558" i="1" l="1"/>
  <c r="AB1558" i="1"/>
  <c r="AC1558" i="1" s="1"/>
  <c r="T1559" i="1"/>
  <c r="V1558" i="1"/>
  <c r="T1560" i="1" l="1"/>
  <c r="AB1559" i="1"/>
  <c r="AC1559" i="1" s="1"/>
  <c r="U1559" i="1"/>
  <c r="V1559" i="1"/>
  <c r="AB1560" i="1" l="1"/>
  <c r="AC1560" i="1" s="1"/>
  <c r="U1560" i="1"/>
  <c r="V1560" i="1"/>
  <c r="T1561" i="1"/>
  <c r="AB1561" i="1" l="1"/>
  <c r="AC1561" i="1" s="1"/>
  <c r="T1562" i="1"/>
  <c r="U1561" i="1"/>
  <c r="V1561" i="1"/>
  <c r="T1563" i="1" l="1"/>
  <c r="AB1562" i="1"/>
  <c r="AC1562" i="1" s="1"/>
  <c r="U1562" i="1"/>
  <c r="V1562" i="1"/>
  <c r="AB1563" i="1" l="1"/>
  <c r="AC1563" i="1" s="1"/>
  <c r="T1564" i="1"/>
  <c r="U1563" i="1"/>
  <c r="V1563" i="1"/>
  <c r="AB1564" i="1" l="1"/>
  <c r="AC1564" i="1" s="1"/>
  <c r="U1564" i="1"/>
  <c r="V1564" i="1"/>
  <c r="T1565" i="1"/>
  <c r="T1566" i="1" l="1"/>
  <c r="AB1565" i="1"/>
  <c r="AC1565" i="1" s="1"/>
  <c r="V1565" i="1"/>
  <c r="U1565" i="1"/>
  <c r="V1566" i="1" l="1"/>
  <c r="AB1566" i="1"/>
  <c r="AC1566" i="1" s="1"/>
  <c r="U1566" i="1"/>
  <c r="T1567" i="1"/>
  <c r="AB1567" i="1" l="1"/>
  <c r="AC1567" i="1" s="1"/>
  <c r="V1567" i="1"/>
  <c r="U1567" i="1"/>
  <c r="T1568" i="1"/>
  <c r="AB1568" i="1" l="1"/>
  <c r="AC1568" i="1" s="1"/>
  <c r="T1569" i="1"/>
  <c r="U1568" i="1"/>
  <c r="V1568" i="1"/>
  <c r="T1570" i="1" l="1"/>
  <c r="AB1569" i="1"/>
  <c r="AC1569" i="1" s="1"/>
  <c r="V1569" i="1"/>
  <c r="U1569" i="1"/>
  <c r="AB1570" i="1" l="1"/>
  <c r="AC1570" i="1" s="1"/>
  <c r="T1571" i="1"/>
  <c r="U1570" i="1"/>
  <c r="V1570" i="1"/>
  <c r="AB1571" i="1" l="1"/>
  <c r="AC1571" i="1" s="1"/>
  <c r="T1572" i="1"/>
  <c r="U1571" i="1"/>
  <c r="V1571" i="1"/>
  <c r="U1572" i="1" l="1"/>
  <c r="T1573" i="1"/>
  <c r="AB1572" i="1"/>
  <c r="AC1572" i="1" s="1"/>
  <c r="V1572" i="1"/>
  <c r="T1574" i="1" l="1"/>
  <c r="AB1573" i="1"/>
  <c r="AC1573" i="1" s="1"/>
  <c r="V1573" i="1"/>
  <c r="U1573" i="1"/>
  <c r="AB1574" i="1" l="1"/>
  <c r="AC1574" i="1" s="1"/>
  <c r="T1575" i="1"/>
  <c r="U1574" i="1"/>
  <c r="V1574" i="1"/>
  <c r="AB1575" i="1" l="1"/>
  <c r="AC1575" i="1" s="1"/>
  <c r="T1576" i="1"/>
  <c r="U1575" i="1"/>
  <c r="V1575" i="1"/>
  <c r="AB1576" i="1" l="1"/>
  <c r="AC1576" i="1" s="1"/>
  <c r="T1577" i="1"/>
  <c r="V1576" i="1"/>
  <c r="U1576" i="1"/>
  <c r="T1578" i="1" l="1"/>
  <c r="V1577" i="1"/>
  <c r="AB1577" i="1"/>
  <c r="AC1577" i="1" s="1"/>
  <c r="U1577" i="1"/>
  <c r="T1579" i="1" l="1"/>
  <c r="V1578" i="1"/>
  <c r="U1578" i="1"/>
  <c r="AB1578" i="1"/>
  <c r="AC1578" i="1" s="1"/>
  <c r="T1580" i="1" l="1"/>
  <c r="AB1579" i="1"/>
  <c r="AC1579" i="1" s="1"/>
  <c r="V1579" i="1"/>
  <c r="U1579" i="1"/>
  <c r="V1580" i="1" l="1"/>
  <c r="AB1580" i="1"/>
  <c r="AC1580" i="1" s="1"/>
  <c r="U1580" i="1"/>
  <c r="T1581" i="1"/>
  <c r="AB1581" i="1" l="1"/>
  <c r="AC1581" i="1" s="1"/>
  <c r="T1582" i="1"/>
  <c r="U1581" i="1"/>
  <c r="V1581" i="1"/>
  <c r="T1583" i="1" l="1"/>
  <c r="AB1582" i="1"/>
  <c r="AC1582" i="1" s="1"/>
  <c r="V1582" i="1"/>
  <c r="U1582" i="1"/>
  <c r="T1584" i="1" l="1"/>
  <c r="AB1583" i="1"/>
  <c r="AC1583" i="1" s="1"/>
  <c r="U1583" i="1"/>
  <c r="V1583" i="1"/>
  <c r="AB1584" i="1" l="1"/>
  <c r="AC1584" i="1" s="1"/>
  <c r="T1585" i="1"/>
  <c r="V1584" i="1"/>
  <c r="U1584" i="1"/>
  <c r="AB1585" i="1" l="1"/>
  <c r="AC1585" i="1" s="1"/>
  <c r="V1585" i="1"/>
  <c r="T1586" i="1"/>
  <c r="U1585" i="1"/>
  <c r="T1587" i="1" l="1"/>
  <c r="AB1586" i="1"/>
  <c r="AC1586" i="1" s="1"/>
  <c r="U1586" i="1"/>
  <c r="V1586" i="1"/>
  <c r="T1588" i="1" l="1"/>
  <c r="AB1587" i="1"/>
  <c r="AC1587" i="1" s="1"/>
  <c r="U1587" i="1"/>
  <c r="V1587" i="1"/>
  <c r="AB1588" i="1" l="1"/>
  <c r="AC1588" i="1" s="1"/>
  <c r="U1588" i="1"/>
  <c r="V1588" i="1"/>
  <c r="T1589" i="1"/>
  <c r="AB1589" i="1" l="1"/>
  <c r="AC1589" i="1" s="1"/>
  <c r="T1590" i="1"/>
  <c r="U1589" i="1"/>
  <c r="V1589" i="1"/>
  <c r="AB1590" i="1" l="1"/>
  <c r="AC1590" i="1" s="1"/>
  <c r="V1590" i="1"/>
  <c r="U1590" i="1"/>
  <c r="T1591" i="1"/>
  <c r="T1592" i="1" l="1"/>
  <c r="AB1591" i="1"/>
  <c r="AC1591" i="1" s="1"/>
  <c r="V1591" i="1"/>
  <c r="U1591" i="1"/>
  <c r="AB1592" i="1" l="1"/>
  <c r="AC1592" i="1" s="1"/>
  <c r="U1592" i="1"/>
  <c r="V1592" i="1"/>
  <c r="T1593" i="1"/>
  <c r="V1593" i="1" l="1"/>
  <c r="AB1593" i="1"/>
  <c r="AC1593" i="1" s="1"/>
  <c r="U1593" i="1"/>
  <c r="T1594" i="1"/>
  <c r="AB1594" i="1" l="1"/>
  <c r="AC1594" i="1" s="1"/>
  <c r="U1594" i="1"/>
  <c r="T1595" i="1"/>
  <c r="V1594" i="1"/>
  <c r="AB1595" i="1" l="1"/>
  <c r="AC1595" i="1" s="1"/>
  <c r="V1595" i="1"/>
  <c r="T1596" i="1"/>
  <c r="U1595" i="1"/>
  <c r="AB1596" i="1" l="1"/>
  <c r="AC1596" i="1" s="1"/>
  <c r="T1597" i="1"/>
  <c r="U1596" i="1"/>
  <c r="V1596" i="1"/>
  <c r="AB1597" i="1" l="1"/>
  <c r="AC1597" i="1" s="1"/>
  <c r="T1598" i="1"/>
  <c r="U1597" i="1"/>
  <c r="V1597" i="1"/>
  <c r="T1599" i="1" l="1"/>
  <c r="U1598" i="1"/>
  <c r="AB1598" i="1"/>
  <c r="AC1598" i="1" s="1"/>
  <c r="V1598" i="1"/>
  <c r="T1600" i="1" l="1"/>
  <c r="AB1599" i="1"/>
  <c r="AC1599" i="1" s="1"/>
  <c r="U1599" i="1"/>
  <c r="V1599" i="1"/>
  <c r="U1600" i="1" l="1"/>
  <c r="V1600" i="1"/>
  <c r="AB1600" i="1"/>
  <c r="AC1600" i="1" s="1"/>
  <c r="T1601" i="1"/>
  <c r="T1602" i="1" l="1"/>
  <c r="U1601" i="1"/>
  <c r="V1601" i="1"/>
  <c r="AB1601" i="1"/>
  <c r="AC1601" i="1" s="1"/>
  <c r="T1603" i="1" l="1"/>
  <c r="AB1602" i="1"/>
  <c r="AC1602" i="1" s="1"/>
  <c r="U1602" i="1"/>
  <c r="V1602" i="1"/>
  <c r="T1604" i="1" l="1"/>
  <c r="AB1603" i="1"/>
  <c r="AC1603" i="1" s="1"/>
  <c r="V1603" i="1"/>
  <c r="U1603" i="1"/>
  <c r="T1605" i="1" l="1"/>
  <c r="AB1604" i="1"/>
  <c r="AC1604" i="1" s="1"/>
  <c r="U1604" i="1"/>
  <c r="V1604" i="1"/>
  <c r="T1606" i="1" l="1"/>
  <c r="V1605" i="1"/>
  <c r="U1605" i="1"/>
  <c r="AB1605" i="1"/>
  <c r="AC1605" i="1" s="1"/>
  <c r="T1607" i="1" l="1"/>
  <c r="AB1606" i="1"/>
  <c r="AC1606" i="1" s="1"/>
  <c r="V1606" i="1"/>
  <c r="U1606" i="1"/>
  <c r="U1607" i="1" l="1"/>
  <c r="AB1607" i="1"/>
  <c r="AC1607" i="1" s="1"/>
  <c r="V1607" i="1"/>
  <c r="T1608" i="1"/>
  <c r="T1609" i="1" l="1"/>
  <c r="AB1608" i="1"/>
  <c r="AC1608" i="1" s="1"/>
  <c r="V1608" i="1"/>
  <c r="U1608" i="1"/>
  <c r="AB1609" i="1" l="1"/>
  <c r="AC1609" i="1" s="1"/>
  <c r="T1610" i="1"/>
  <c r="U1609" i="1"/>
  <c r="V1609" i="1"/>
  <c r="AB1610" i="1" l="1"/>
  <c r="AC1610" i="1" s="1"/>
  <c r="V1610" i="1"/>
  <c r="U1610" i="1"/>
  <c r="T1611" i="1"/>
  <c r="T1612" i="1" l="1"/>
  <c r="AB1611" i="1"/>
  <c r="AC1611" i="1" s="1"/>
  <c r="U1611" i="1"/>
  <c r="V1611" i="1"/>
  <c r="V1612" i="1" l="1"/>
  <c r="T1613" i="1"/>
  <c r="U1612" i="1"/>
  <c r="AB1612" i="1"/>
  <c r="AC1612" i="1" s="1"/>
  <c r="AB1613" i="1" l="1"/>
  <c r="AC1613" i="1" s="1"/>
  <c r="T1614" i="1"/>
  <c r="V1613" i="1"/>
  <c r="U1613" i="1"/>
  <c r="V1614" i="1" l="1"/>
  <c r="AB1614" i="1"/>
  <c r="AC1614" i="1" s="1"/>
  <c r="T1615" i="1"/>
  <c r="U1614" i="1"/>
  <c r="T1616" i="1" l="1"/>
  <c r="AB1615" i="1"/>
  <c r="AC1615" i="1" s="1"/>
  <c r="V1615" i="1"/>
  <c r="U1615" i="1"/>
  <c r="T1617" i="1" l="1"/>
  <c r="AB1616" i="1"/>
  <c r="AC1616" i="1" s="1"/>
  <c r="V1616" i="1"/>
  <c r="U1616" i="1"/>
  <c r="AB1617" i="1" l="1"/>
  <c r="AC1617" i="1" s="1"/>
  <c r="V1617" i="1"/>
  <c r="T1618" i="1"/>
  <c r="U1617" i="1"/>
  <c r="AB1618" i="1" l="1"/>
  <c r="AC1618" i="1" s="1"/>
  <c r="T1619" i="1"/>
  <c r="U1618" i="1"/>
  <c r="V1618" i="1"/>
  <c r="V1619" i="1" l="1"/>
  <c r="T1620" i="1"/>
  <c r="U1619" i="1"/>
  <c r="AB1619" i="1"/>
  <c r="AC1619" i="1" s="1"/>
  <c r="AB1620" i="1" l="1"/>
  <c r="AC1620" i="1" s="1"/>
  <c r="U1620" i="1"/>
  <c r="V1620" i="1"/>
  <c r="T1621" i="1"/>
  <c r="T1622" i="1" l="1"/>
  <c r="AB1621" i="1"/>
  <c r="AC1621" i="1" s="1"/>
  <c r="U1621" i="1"/>
  <c r="V1621" i="1"/>
  <c r="AB1622" i="1" l="1"/>
  <c r="AC1622" i="1" s="1"/>
  <c r="V1622" i="1"/>
  <c r="U1622" i="1"/>
  <c r="T1623" i="1"/>
  <c r="T1624" i="1" l="1"/>
  <c r="AB1623" i="1"/>
  <c r="AC1623" i="1" s="1"/>
  <c r="U1623" i="1"/>
  <c r="V1623" i="1"/>
  <c r="V1624" i="1" l="1"/>
  <c r="T1625" i="1"/>
  <c r="U1624" i="1"/>
  <c r="AB1624" i="1"/>
  <c r="AC1624" i="1" s="1"/>
  <c r="T1626" i="1" l="1"/>
  <c r="AB1625" i="1"/>
  <c r="AC1625" i="1" s="1"/>
  <c r="U1625" i="1"/>
  <c r="V1625" i="1"/>
  <c r="T1627" i="1" l="1"/>
  <c r="V1626" i="1"/>
  <c r="AB1626" i="1"/>
  <c r="AC1626" i="1" s="1"/>
  <c r="U1626" i="1"/>
  <c r="U1627" i="1" l="1"/>
  <c r="AB1627" i="1"/>
  <c r="AC1627" i="1" s="1"/>
  <c r="T1628" i="1"/>
  <c r="V1627" i="1"/>
  <c r="T1629" i="1" l="1"/>
  <c r="AB1628" i="1"/>
  <c r="AC1628" i="1" s="1"/>
  <c r="U1628" i="1"/>
  <c r="V1628" i="1"/>
  <c r="AB1629" i="1" l="1"/>
  <c r="AC1629" i="1" s="1"/>
  <c r="U1629" i="1"/>
  <c r="V1629" i="1"/>
  <c r="T1630" i="1"/>
  <c r="T1631" i="1" l="1"/>
  <c r="U1630" i="1"/>
  <c r="V1630" i="1"/>
  <c r="AB1630" i="1"/>
  <c r="AC1630" i="1" s="1"/>
  <c r="AB1631" i="1" l="1"/>
  <c r="AC1631" i="1" s="1"/>
  <c r="T1632" i="1"/>
  <c r="V1631" i="1"/>
  <c r="U1631" i="1"/>
  <c r="T1633" i="1" l="1"/>
  <c r="V1632" i="1"/>
  <c r="AB1632" i="1"/>
  <c r="AC1632" i="1" s="1"/>
  <c r="U1632" i="1"/>
  <c r="AB1633" i="1" l="1"/>
  <c r="AC1633" i="1" s="1"/>
  <c r="U1633" i="1"/>
  <c r="T1634" i="1"/>
  <c r="V1633" i="1"/>
  <c r="T1635" i="1" l="1"/>
  <c r="AB1634" i="1"/>
  <c r="AC1634" i="1" s="1"/>
  <c r="V1634" i="1"/>
  <c r="U1634" i="1"/>
  <c r="AB1635" i="1" l="1"/>
  <c r="AC1635" i="1" s="1"/>
  <c r="T1636" i="1"/>
  <c r="U1635" i="1"/>
  <c r="V1635" i="1"/>
  <c r="AB1636" i="1" l="1"/>
  <c r="AC1636" i="1" s="1"/>
  <c r="U1636" i="1"/>
  <c r="V1636" i="1"/>
  <c r="T1637" i="1"/>
  <c r="T1638" i="1" l="1"/>
  <c r="AB1637" i="1"/>
  <c r="AC1637" i="1" s="1"/>
  <c r="V1637" i="1"/>
  <c r="U1637" i="1"/>
  <c r="T1639" i="1" l="1"/>
  <c r="AB1638" i="1"/>
  <c r="AC1638" i="1" s="1"/>
  <c r="V1638" i="1"/>
  <c r="U1638" i="1"/>
  <c r="AB1639" i="1" l="1"/>
  <c r="AC1639" i="1" s="1"/>
  <c r="U1639" i="1"/>
  <c r="T1640" i="1"/>
  <c r="V1639" i="1"/>
  <c r="T1641" i="1" l="1"/>
  <c r="AB1640" i="1"/>
  <c r="AC1640" i="1" s="1"/>
  <c r="V1640" i="1"/>
  <c r="U1640" i="1"/>
  <c r="AB1641" i="1" l="1"/>
  <c r="AC1641" i="1" s="1"/>
  <c r="U1641" i="1"/>
  <c r="V1641" i="1"/>
  <c r="T1642" i="1"/>
  <c r="AB1642" i="1" l="1"/>
  <c r="AC1642" i="1" s="1"/>
  <c r="V1642" i="1"/>
  <c r="U1642" i="1"/>
  <c r="T1643" i="1"/>
  <c r="AB1643" i="1" l="1"/>
  <c r="AC1643" i="1" s="1"/>
  <c r="T1644" i="1"/>
  <c r="U1643" i="1"/>
  <c r="V1643" i="1"/>
  <c r="T1645" i="1" l="1"/>
  <c r="AB1644" i="1"/>
  <c r="AC1644" i="1" s="1"/>
  <c r="V1644" i="1"/>
  <c r="U1644" i="1"/>
  <c r="AB1645" i="1" l="1"/>
  <c r="AC1645" i="1" s="1"/>
  <c r="T1646" i="1"/>
  <c r="U1645" i="1"/>
  <c r="V1645" i="1"/>
  <c r="T1647" i="1" l="1"/>
  <c r="AB1646" i="1"/>
  <c r="AC1646" i="1" s="1"/>
  <c r="U1646" i="1"/>
  <c r="V1646" i="1"/>
  <c r="U1647" i="1" l="1"/>
  <c r="AB1647" i="1"/>
  <c r="AC1647" i="1" s="1"/>
  <c r="V1647" i="1"/>
  <c r="T1648" i="1"/>
  <c r="T1649" i="1" l="1"/>
  <c r="AB1648" i="1"/>
  <c r="AC1648" i="1" s="1"/>
  <c r="V1648" i="1"/>
  <c r="U1648" i="1"/>
  <c r="T1650" i="1" l="1"/>
  <c r="AB1649" i="1"/>
  <c r="AC1649" i="1" s="1"/>
  <c r="U1649" i="1"/>
  <c r="V1649" i="1"/>
  <c r="AB1650" i="1" l="1"/>
  <c r="AC1650" i="1" s="1"/>
  <c r="T1651" i="1"/>
  <c r="U1650" i="1"/>
  <c r="V1650" i="1"/>
  <c r="AB1651" i="1" l="1"/>
  <c r="AC1651" i="1" s="1"/>
  <c r="T1652" i="1"/>
  <c r="U1651" i="1"/>
  <c r="V1651" i="1"/>
  <c r="AB1652" i="1" l="1"/>
  <c r="AC1652" i="1" s="1"/>
  <c r="U1652" i="1"/>
  <c r="V1652" i="1"/>
  <c r="T1653" i="1"/>
  <c r="T1654" i="1" l="1"/>
  <c r="AB1653" i="1"/>
  <c r="AC1653" i="1" s="1"/>
  <c r="V1653" i="1"/>
  <c r="U1653" i="1"/>
  <c r="AB1654" i="1" l="1"/>
  <c r="AC1654" i="1" s="1"/>
  <c r="V1654" i="1"/>
  <c r="T1655" i="1"/>
  <c r="U1654" i="1"/>
  <c r="V1655" i="1" l="1"/>
  <c r="T1656" i="1"/>
  <c r="AB1655" i="1"/>
  <c r="AC1655" i="1" s="1"/>
  <c r="U1655" i="1"/>
  <c r="T1657" i="1" l="1"/>
  <c r="AB1656" i="1"/>
  <c r="AC1656" i="1" s="1"/>
  <c r="U1656" i="1"/>
  <c r="V1656" i="1"/>
  <c r="T1658" i="1" l="1"/>
  <c r="AB1657" i="1"/>
  <c r="AC1657" i="1" s="1"/>
  <c r="U1657" i="1"/>
  <c r="V1657" i="1"/>
  <c r="T1659" i="1" l="1"/>
  <c r="AB1658" i="1"/>
  <c r="AC1658" i="1" s="1"/>
  <c r="U1658" i="1"/>
  <c r="V1658" i="1"/>
  <c r="AB1659" i="1" l="1"/>
  <c r="AC1659" i="1" s="1"/>
  <c r="U1659" i="1"/>
  <c r="V1659" i="1"/>
  <c r="T1660" i="1"/>
  <c r="T1661" i="1" l="1"/>
  <c r="AB1660" i="1"/>
  <c r="AC1660" i="1" s="1"/>
  <c r="U1660" i="1"/>
  <c r="V1660" i="1"/>
  <c r="AB1661" i="1" l="1"/>
  <c r="AC1661" i="1" s="1"/>
  <c r="T1662" i="1"/>
  <c r="V1661" i="1"/>
  <c r="U1661" i="1"/>
  <c r="T1663" i="1" l="1"/>
  <c r="AB1662" i="1"/>
  <c r="AC1662" i="1" s="1"/>
  <c r="V1662" i="1"/>
  <c r="U1662" i="1"/>
  <c r="AB1663" i="1" l="1"/>
  <c r="AC1663" i="1" s="1"/>
  <c r="V1663" i="1"/>
  <c r="T1664" i="1"/>
  <c r="U1663" i="1"/>
  <c r="AB1664" i="1" l="1"/>
  <c r="AC1664" i="1" s="1"/>
  <c r="T1665" i="1"/>
  <c r="V1664" i="1"/>
  <c r="U1664" i="1"/>
  <c r="AB1665" i="1" l="1"/>
  <c r="AC1665" i="1" s="1"/>
  <c r="T1666" i="1"/>
  <c r="V1665" i="1"/>
  <c r="U1665" i="1"/>
  <c r="T1667" i="1" l="1"/>
  <c r="U1666" i="1"/>
  <c r="AB1666" i="1"/>
  <c r="AC1666" i="1" s="1"/>
  <c r="V1666" i="1"/>
  <c r="AB1667" i="1" l="1"/>
  <c r="AC1667" i="1" s="1"/>
  <c r="T1668" i="1"/>
  <c r="V1667" i="1"/>
  <c r="U1667" i="1"/>
  <c r="T1669" i="1" l="1"/>
  <c r="AB1668" i="1"/>
  <c r="AC1668" i="1" s="1"/>
  <c r="V1668" i="1"/>
  <c r="U1668" i="1"/>
  <c r="T1670" i="1" l="1"/>
  <c r="AB1669" i="1"/>
  <c r="AC1669" i="1" s="1"/>
  <c r="V1669" i="1"/>
  <c r="U1669" i="1"/>
  <c r="T1671" i="1" l="1"/>
  <c r="V1670" i="1"/>
  <c r="AB1670" i="1"/>
  <c r="AC1670" i="1" s="1"/>
  <c r="U1670" i="1"/>
  <c r="AB1671" i="1" l="1"/>
  <c r="AC1671" i="1" s="1"/>
  <c r="U1671" i="1"/>
  <c r="V1671" i="1"/>
  <c r="T1672" i="1"/>
  <c r="AB1672" i="1" l="1"/>
  <c r="AC1672" i="1" s="1"/>
  <c r="T1673" i="1"/>
  <c r="U1672" i="1"/>
  <c r="V1672" i="1"/>
  <c r="AB1673" i="1" l="1"/>
  <c r="AC1673" i="1" s="1"/>
  <c r="V1673" i="1"/>
  <c r="T1674" i="1"/>
  <c r="U1673" i="1"/>
  <c r="T1675" i="1" l="1"/>
  <c r="U1674" i="1"/>
  <c r="AB1674" i="1"/>
  <c r="AC1674" i="1" s="1"/>
  <c r="V1674" i="1"/>
  <c r="AB1675" i="1" l="1"/>
  <c r="AC1675" i="1" s="1"/>
  <c r="T1676" i="1"/>
  <c r="V1675" i="1"/>
  <c r="U1675" i="1"/>
  <c r="AB1676" i="1" l="1"/>
  <c r="AC1676" i="1" s="1"/>
  <c r="T1677" i="1"/>
  <c r="V1676" i="1"/>
  <c r="U1676" i="1"/>
  <c r="T1678" i="1" l="1"/>
  <c r="U1677" i="1"/>
  <c r="AB1677" i="1"/>
  <c r="AC1677" i="1" s="1"/>
  <c r="V1677" i="1"/>
  <c r="T1679" i="1" l="1"/>
  <c r="AB1678" i="1"/>
  <c r="AC1678" i="1" s="1"/>
  <c r="V1678" i="1"/>
  <c r="U1678" i="1"/>
  <c r="U1679" i="1" l="1"/>
  <c r="T1680" i="1"/>
  <c r="V1679" i="1"/>
  <c r="AB1679" i="1"/>
  <c r="AC1679" i="1" s="1"/>
  <c r="T1681" i="1" l="1"/>
  <c r="U1680" i="1"/>
  <c r="V1680" i="1"/>
  <c r="AB1680" i="1"/>
  <c r="AC1680" i="1" s="1"/>
  <c r="U1681" i="1" l="1"/>
  <c r="T1682" i="1"/>
  <c r="V1681" i="1"/>
  <c r="AB1681" i="1"/>
  <c r="AC1681" i="1" s="1"/>
  <c r="T1683" i="1" l="1"/>
  <c r="V1682" i="1"/>
  <c r="U1682" i="1"/>
  <c r="AB1682" i="1"/>
  <c r="AC1682" i="1" s="1"/>
  <c r="T1684" i="1" l="1"/>
  <c r="U1683" i="1"/>
  <c r="AB1683" i="1"/>
  <c r="AC1683" i="1" s="1"/>
  <c r="V1683" i="1"/>
  <c r="V1684" i="1" l="1"/>
  <c r="AB1684" i="1"/>
  <c r="AC1684" i="1" s="1"/>
  <c r="T1685" i="1"/>
  <c r="U1684" i="1"/>
  <c r="AB1685" i="1" l="1"/>
  <c r="AC1685" i="1" s="1"/>
  <c r="T1686" i="1"/>
  <c r="U1685" i="1"/>
  <c r="V1685" i="1"/>
  <c r="T1687" i="1" l="1"/>
  <c r="V1686" i="1"/>
  <c r="U1686" i="1"/>
  <c r="AB1686" i="1"/>
  <c r="AC1686" i="1" s="1"/>
  <c r="T1688" i="1" l="1"/>
  <c r="AB1687" i="1"/>
  <c r="AC1687" i="1" s="1"/>
  <c r="V1687" i="1"/>
  <c r="U1687" i="1"/>
  <c r="AB1688" i="1" l="1"/>
  <c r="AC1688" i="1" s="1"/>
  <c r="T1689" i="1"/>
  <c r="U1688" i="1"/>
  <c r="V1688" i="1"/>
  <c r="AB1689" i="1" l="1"/>
  <c r="AC1689" i="1" s="1"/>
  <c r="U1689" i="1"/>
  <c r="T1690" i="1"/>
  <c r="V1689" i="1"/>
  <c r="T1691" i="1" l="1"/>
  <c r="AB1690" i="1"/>
  <c r="AC1690" i="1" s="1"/>
  <c r="U1690" i="1"/>
  <c r="V1690" i="1"/>
  <c r="T1692" i="1" l="1"/>
  <c r="AB1691" i="1"/>
  <c r="AC1691" i="1" s="1"/>
  <c r="U1691" i="1"/>
  <c r="V1691" i="1"/>
  <c r="U1692" i="1" l="1"/>
  <c r="T1693" i="1"/>
  <c r="AB1692" i="1"/>
  <c r="AC1692" i="1" s="1"/>
  <c r="V1692" i="1"/>
  <c r="AB1693" i="1" l="1"/>
  <c r="AC1693" i="1" s="1"/>
  <c r="T1694" i="1"/>
  <c r="U1693" i="1"/>
  <c r="V1693" i="1"/>
  <c r="T1695" i="1" l="1"/>
  <c r="AB1694" i="1"/>
  <c r="AC1694" i="1" s="1"/>
  <c r="V1694" i="1"/>
  <c r="U1694" i="1"/>
  <c r="T1696" i="1" l="1"/>
  <c r="AB1695" i="1"/>
  <c r="AC1695" i="1" s="1"/>
  <c r="U1695" i="1"/>
  <c r="V1695" i="1"/>
  <c r="AB1696" i="1" l="1"/>
  <c r="AC1696" i="1" s="1"/>
  <c r="T1697" i="1"/>
  <c r="U1696" i="1"/>
  <c r="V1696" i="1"/>
  <c r="AB1697" i="1" l="1"/>
  <c r="AC1697" i="1" s="1"/>
  <c r="V1697" i="1"/>
  <c r="U1697" i="1"/>
  <c r="T1698" i="1"/>
  <c r="T1699" i="1" l="1"/>
  <c r="U1698" i="1"/>
  <c r="AB1698" i="1"/>
  <c r="AC1698" i="1" s="1"/>
  <c r="V1698" i="1"/>
  <c r="U1699" i="1" l="1"/>
  <c r="T1700" i="1"/>
  <c r="AB1699" i="1"/>
  <c r="AC1699" i="1" s="1"/>
  <c r="V1699" i="1"/>
  <c r="AB1700" i="1" l="1"/>
  <c r="AC1700" i="1" s="1"/>
  <c r="U1700" i="1"/>
  <c r="V1700" i="1"/>
  <c r="T1701" i="1"/>
  <c r="U1701" i="1" l="1"/>
  <c r="T1702" i="1"/>
  <c r="AB1701" i="1"/>
  <c r="AC1701" i="1" s="1"/>
  <c r="V1701" i="1"/>
  <c r="T1703" i="1" l="1"/>
  <c r="U1702" i="1"/>
  <c r="AB1702" i="1"/>
  <c r="AC1702" i="1" s="1"/>
  <c r="V1702" i="1"/>
  <c r="AB1703" i="1" l="1"/>
  <c r="AC1703" i="1" s="1"/>
  <c r="V1703" i="1"/>
  <c r="U1703" i="1"/>
  <c r="T1704" i="1"/>
  <c r="AB1704" i="1" l="1"/>
  <c r="AC1704" i="1" s="1"/>
  <c r="U1704" i="1"/>
  <c r="V1704" i="1"/>
  <c r="T1705" i="1"/>
  <c r="AB1705" i="1" l="1"/>
  <c r="AC1705" i="1" s="1"/>
  <c r="V1705" i="1"/>
  <c r="U1705" i="1"/>
  <c r="T1706" i="1"/>
  <c r="T1707" i="1" l="1"/>
  <c r="AB1706" i="1"/>
  <c r="AC1706" i="1" s="1"/>
  <c r="U1706" i="1"/>
  <c r="V1706" i="1"/>
  <c r="AB1707" i="1" l="1"/>
  <c r="AC1707" i="1" s="1"/>
  <c r="T1708" i="1"/>
  <c r="U1707" i="1"/>
  <c r="V1707" i="1"/>
  <c r="AB1708" i="1" l="1"/>
  <c r="AC1708" i="1" s="1"/>
  <c r="U1708" i="1"/>
  <c r="V1708" i="1"/>
  <c r="T1709" i="1"/>
  <c r="T1710" i="1" l="1"/>
  <c r="U1709" i="1"/>
  <c r="AB1709" i="1"/>
  <c r="AC1709" i="1" s="1"/>
  <c r="V1709" i="1"/>
  <c r="AB1710" i="1" l="1"/>
  <c r="AC1710" i="1" s="1"/>
  <c r="T1711" i="1"/>
  <c r="U1710" i="1"/>
  <c r="V1710" i="1"/>
  <c r="T1712" i="1" l="1"/>
  <c r="U1711" i="1"/>
  <c r="AB1711" i="1"/>
  <c r="AC1711" i="1" s="1"/>
  <c r="V1711" i="1"/>
  <c r="V1712" i="1" l="1"/>
  <c r="T1713" i="1"/>
  <c r="AB1712" i="1"/>
  <c r="AC1712" i="1" s="1"/>
  <c r="U1712" i="1"/>
  <c r="AB1713" i="1" l="1"/>
  <c r="AC1713" i="1" s="1"/>
  <c r="U1713" i="1"/>
  <c r="T1714" i="1"/>
  <c r="V1713" i="1"/>
  <c r="T1715" i="1" l="1"/>
  <c r="V1714" i="1"/>
  <c r="U1714" i="1"/>
  <c r="AB1714" i="1"/>
  <c r="AC1714" i="1" s="1"/>
  <c r="AB1715" i="1" l="1"/>
  <c r="AC1715" i="1" s="1"/>
  <c r="T1716" i="1"/>
  <c r="V1715" i="1"/>
  <c r="U1715" i="1"/>
  <c r="V1716" i="1" l="1"/>
  <c r="U1716" i="1"/>
  <c r="AB1716" i="1"/>
  <c r="AC1716" i="1" s="1"/>
  <c r="T1717" i="1"/>
  <c r="AB1717" i="1" l="1"/>
  <c r="AC1717" i="1" s="1"/>
  <c r="U1717" i="1"/>
  <c r="V1717" i="1"/>
  <c r="T1718" i="1"/>
  <c r="T1719" i="1" l="1"/>
  <c r="AB1718" i="1"/>
  <c r="AC1718" i="1" s="1"/>
  <c r="V1718" i="1"/>
  <c r="U1718" i="1"/>
  <c r="V1719" i="1" l="1"/>
  <c r="AB1719" i="1"/>
  <c r="AC1719" i="1" s="1"/>
  <c r="U1719" i="1"/>
  <c r="T1720" i="1"/>
  <c r="T1721" i="1" l="1"/>
  <c r="AB1720" i="1"/>
  <c r="AC1720" i="1" s="1"/>
  <c r="U1720" i="1"/>
  <c r="V1720" i="1"/>
  <c r="AB1721" i="1" l="1"/>
  <c r="AC1721" i="1" s="1"/>
  <c r="U1721" i="1"/>
  <c r="T1722" i="1"/>
  <c r="V1721" i="1"/>
  <c r="AB1722" i="1" l="1"/>
  <c r="AC1722" i="1" s="1"/>
  <c r="T1723" i="1"/>
  <c r="V1722" i="1"/>
  <c r="U1722" i="1"/>
  <c r="AB1723" i="1" l="1"/>
  <c r="AC1723" i="1" s="1"/>
  <c r="U1723" i="1"/>
  <c r="V1723" i="1"/>
  <c r="T1724" i="1"/>
  <c r="AB1724" i="1" l="1"/>
  <c r="AC1724" i="1" s="1"/>
  <c r="U1724" i="1"/>
  <c r="V1724" i="1"/>
  <c r="T1725" i="1"/>
  <c r="U1725" i="1" l="1"/>
  <c r="V1725" i="1"/>
  <c r="AB1725" i="1"/>
  <c r="AC1725" i="1" s="1"/>
  <c r="T1726" i="1"/>
  <c r="AB1726" i="1" l="1"/>
  <c r="AC1726" i="1" s="1"/>
  <c r="U1726" i="1"/>
  <c r="V1726" i="1"/>
  <c r="T1727" i="1"/>
  <c r="T1728" i="1" l="1"/>
  <c r="AB1727" i="1"/>
  <c r="AC1727" i="1" s="1"/>
  <c r="U1727" i="1"/>
  <c r="V1727" i="1"/>
  <c r="AB1728" i="1" l="1"/>
  <c r="AC1728" i="1" s="1"/>
  <c r="V1728" i="1"/>
  <c r="U1728" i="1"/>
  <c r="T1729" i="1"/>
  <c r="T1730" i="1" l="1"/>
  <c r="U1729" i="1"/>
  <c r="V1729" i="1"/>
  <c r="AB1729" i="1"/>
  <c r="AC1729" i="1" s="1"/>
  <c r="T1731" i="1" l="1"/>
  <c r="AB1730" i="1"/>
  <c r="AC1730" i="1" s="1"/>
  <c r="V1730" i="1"/>
  <c r="U1730" i="1"/>
  <c r="AB1731" i="1" l="1"/>
  <c r="AC1731" i="1" s="1"/>
  <c r="U1731" i="1"/>
  <c r="V1731" i="1"/>
  <c r="T1732" i="1"/>
  <c r="T1733" i="1" l="1"/>
  <c r="V1732" i="1"/>
  <c r="AB1732" i="1"/>
  <c r="AC1732" i="1" s="1"/>
  <c r="U1732" i="1"/>
  <c r="T1734" i="1" l="1"/>
  <c r="U1733" i="1"/>
  <c r="AB1733" i="1"/>
  <c r="AC1733" i="1" s="1"/>
  <c r="V1733" i="1"/>
  <c r="AB1734" i="1" l="1"/>
  <c r="AC1734" i="1" s="1"/>
  <c r="V1734" i="1"/>
  <c r="T1735" i="1"/>
  <c r="U1734" i="1"/>
  <c r="T1736" i="1" l="1"/>
  <c r="AB1735" i="1"/>
  <c r="AC1735" i="1" s="1"/>
  <c r="V1735" i="1"/>
  <c r="U1735" i="1"/>
  <c r="AB1736" i="1" l="1"/>
  <c r="AC1736" i="1" s="1"/>
  <c r="V1736" i="1"/>
  <c r="T1737" i="1"/>
  <c r="U1736" i="1"/>
  <c r="U1737" i="1" l="1"/>
  <c r="V1737" i="1"/>
  <c r="AB1737" i="1"/>
  <c r="AC1737" i="1" s="1"/>
  <c r="T1738" i="1"/>
  <c r="T1739" i="1" l="1"/>
  <c r="AB1738" i="1"/>
  <c r="AC1738" i="1" s="1"/>
  <c r="V1738" i="1"/>
  <c r="U1738" i="1"/>
  <c r="T1740" i="1" l="1"/>
  <c r="V1739" i="1"/>
  <c r="AB1739" i="1"/>
  <c r="AC1739" i="1" s="1"/>
  <c r="U1739" i="1"/>
  <c r="T1741" i="1" l="1"/>
  <c r="AB1740" i="1"/>
  <c r="AC1740" i="1" s="1"/>
  <c r="V1740" i="1"/>
  <c r="U1740" i="1"/>
  <c r="T1742" i="1" l="1"/>
  <c r="AB1741" i="1"/>
  <c r="AC1741" i="1" s="1"/>
  <c r="U1741" i="1"/>
  <c r="V1741" i="1"/>
  <c r="AB1742" i="1" l="1"/>
  <c r="AC1742" i="1" s="1"/>
  <c r="V1742" i="1"/>
  <c r="U1742" i="1"/>
  <c r="T1743" i="1"/>
  <c r="V1743" i="1" l="1"/>
  <c r="AB1743" i="1"/>
  <c r="AC1743" i="1" s="1"/>
  <c r="T1744" i="1"/>
  <c r="U1743" i="1"/>
  <c r="U1744" i="1" l="1"/>
  <c r="T1745" i="1"/>
  <c r="AB1744" i="1"/>
  <c r="AC1744" i="1" s="1"/>
  <c r="V1744" i="1"/>
  <c r="AB1745" i="1" l="1"/>
  <c r="AC1745" i="1" s="1"/>
  <c r="U1745" i="1"/>
  <c r="V1745" i="1"/>
  <c r="T1746" i="1"/>
  <c r="V1746" i="1" l="1"/>
  <c r="AB1746" i="1"/>
  <c r="AC1746" i="1" s="1"/>
  <c r="T1747" i="1"/>
  <c r="U1746" i="1"/>
  <c r="T1748" i="1" l="1"/>
  <c r="U1747" i="1"/>
  <c r="AB1747" i="1"/>
  <c r="AC1747" i="1" s="1"/>
  <c r="V1747" i="1"/>
  <c r="V1748" i="1" l="1"/>
  <c r="T1749" i="1"/>
  <c r="AB1748" i="1"/>
  <c r="AC1748" i="1" s="1"/>
  <c r="U1748" i="1"/>
  <c r="V1749" i="1" l="1"/>
  <c r="AB1749" i="1"/>
  <c r="AC1749" i="1" s="1"/>
  <c r="T1750" i="1"/>
  <c r="U1749" i="1"/>
  <c r="AB1750" i="1" l="1"/>
  <c r="AC1750" i="1" s="1"/>
  <c r="V1750" i="1"/>
  <c r="T1751" i="1"/>
  <c r="U1750" i="1"/>
  <c r="AB1751" i="1" l="1"/>
  <c r="AC1751" i="1" s="1"/>
  <c r="V1751" i="1"/>
  <c r="T1752" i="1"/>
  <c r="U1751" i="1"/>
  <c r="AB1752" i="1" l="1"/>
  <c r="AC1752" i="1" s="1"/>
  <c r="V1752" i="1"/>
  <c r="U1752" i="1"/>
  <c r="T1753" i="1"/>
  <c r="U1753" i="1" l="1"/>
  <c r="AB1753" i="1"/>
  <c r="AC1753" i="1" s="1"/>
  <c r="V1753" i="1"/>
  <c r="T1754" i="1"/>
  <c r="T1755" i="1" l="1"/>
  <c r="AB1754" i="1"/>
  <c r="AC1754" i="1" s="1"/>
  <c r="U1754" i="1"/>
  <c r="V1754" i="1"/>
  <c r="T1756" i="1" l="1"/>
  <c r="AB1755" i="1"/>
  <c r="AC1755" i="1" s="1"/>
  <c r="U1755" i="1"/>
  <c r="V1755" i="1"/>
  <c r="V1756" i="1" l="1"/>
  <c r="U1756" i="1"/>
  <c r="AB1756" i="1"/>
  <c r="AC1756" i="1" s="1"/>
  <c r="T1757" i="1"/>
  <c r="AB1757" i="1" l="1"/>
  <c r="AC1757" i="1" s="1"/>
  <c r="U1757" i="1"/>
  <c r="T1758" i="1"/>
  <c r="V1757" i="1"/>
  <c r="AB1758" i="1" l="1"/>
  <c r="AC1758" i="1" s="1"/>
  <c r="T1759" i="1"/>
  <c r="U1758" i="1"/>
  <c r="V1758" i="1"/>
  <c r="T1760" i="1" l="1"/>
  <c r="U1759" i="1"/>
  <c r="AB1759" i="1"/>
  <c r="AC1759" i="1" s="1"/>
  <c r="V1759" i="1"/>
  <c r="AB1760" i="1" l="1"/>
  <c r="AC1760" i="1" s="1"/>
  <c r="T1761" i="1"/>
  <c r="U1760" i="1"/>
  <c r="V1760" i="1"/>
  <c r="T1762" i="1" l="1"/>
  <c r="U1761" i="1"/>
  <c r="AB1761" i="1"/>
  <c r="AC1761" i="1" s="1"/>
  <c r="V1761" i="1"/>
  <c r="T1763" i="1" l="1"/>
  <c r="AB1762" i="1"/>
  <c r="AC1762" i="1" s="1"/>
  <c r="U1762" i="1"/>
  <c r="V1762" i="1"/>
  <c r="U1763" i="1" l="1"/>
  <c r="AB1763" i="1"/>
  <c r="AC1763" i="1" s="1"/>
  <c r="V1763" i="1"/>
  <c r="T1764" i="1"/>
  <c r="AB1764" i="1" l="1"/>
  <c r="AC1764" i="1" s="1"/>
  <c r="T1765" i="1"/>
  <c r="V1764" i="1"/>
  <c r="U1764" i="1"/>
  <c r="U1765" i="1" l="1"/>
  <c r="V1765" i="1"/>
  <c r="T1766" i="1"/>
  <c r="AB1765" i="1"/>
  <c r="AC1765" i="1" s="1"/>
  <c r="AB1766" i="1" l="1"/>
  <c r="AC1766" i="1" s="1"/>
  <c r="T1767" i="1"/>
  <c r="U1766" i="1"/>
  <c r="V1766" i="1"/>
  <c r="T1768" i="1" l="1"/>
  <c r="AB1767" i="1"/>
  <c r="AC1767" i="1" s="1"/>
  <c r="U1767" i="1"/>
  <c r="V1767" i="1"/>
  <c r="T1769" i="1" l="1"/>
  <c r="AB1768" i="1"/>
  <c r="AC1768" i="1" s="1"/>
  <c r="U1768" i="1"/>
  <c r="V1768" i="1"/>
  <c r="T1770" i="1" l="1"/>
  <c r="AB1769" i="1"/>
  <c r="AC1769" i="1" s="1"/>
  <c r="V1769" i="1"/>
  <c r="U1769" i="1"/>
  <c r="U1770" i="1" l="1"/>
  <c r="V1770" i="1"/>
  <c r="T1771" i="1"/>
  <c r="AB1770" i="1"/>
  <c r="AC1770" i="1" s="1"/>
  <c r="U1771" i="1" l="1"/>
  <c r="T1772" i="1"/>
  <c r="AB1771" i="1"/>
  <c r="AC1771" i="1" s="1"/>
  <c r="V1771" i="1"/>
  <c r="AB1772" i="1" l="1"/>
  <c r="AC1772" i="1" s="1"/>
  <c r="T1773" i="1"/>
  <c r="U1772" i="1"/>
  <c r="V1772" i="1"/>
  <c r="T1774" i="1" l="1"/>
  <c r="AB1773" i="1"/>
  <c r="AC1773" i="1" s="1"/>
  <c r="U1773" i="1"/>
  <c r="V1773" i="1"/>
  <c r="T1775" i="1" l="1"/>
  <c r="AB1774" i="1"/>
  <c r="AC1774" i="1" s="1"/>
  <c r="U1774" i="1"/>
  <c r="V1774" i="1"/>
  <c r="T1776" i="1" l="1"/>
  <c r="AB1775" i="1"/>
  <c r="AC1775" i="1" s="1"/>
  <c r="V1775" i="1"/>
  <c r="U1775" i="1"/>
  <c r="AB1776" i="1" l="1"/>
  <c r="AC1776" i="1" s="1"/>
  <c r="U1776" i="1"/>
  <c r="V1776" i="1"/>
  <c r="T1777" i="1"/>
  <c r="AB1777" i="1" l="1"/>
  <c r="AC1777" i="1" s="1"/>
  <c r="T1778" i="1"/>
  <c r="U1777" i="1"/>
  <c r="V1777" i="1"/>
  <c r="V1778" i="1" l="1"/>
  <c r="U1778" i="1"/>
  <c r="AB1778" i="1"/>
  <c r="AC1778" i="1" s="1"/>
  <c r="T1779" i="1"/>
  <c r="AB1779" i="1" l="1"/>
  <c r="AC1779" i="1" s="1"/>
  <c r="U1779" i="1"/>
  <c r="V1779" i="1"/>
  <c r="T1780" i="1"/>
  <c r="AB1780" i="1" l="1"/>
  <c r="AC1780" i="1" s="1"/>
  <c r="U1780" i="1"/>
  <c r="V1780" i="1"/>
  <c r="T1781" i="1"/>
  <c r="T1782" i="1" l="1"/>
  <c r="AB1781" i="1"/>
  <c r="AC1781" i="1" s="1"/>
  <c r="U1781" i="1"/>
  <c r="V1781" i="1"/>
  <c r="T1783" i="1" l="1"/>
  <c r="AB1782" i="1"/>
  <c r="AC1782" i="1" s="1"/>
  <c r="U1782" i="1"/>
  <c r="V1782" i="1"/>
  <c r="T1784" i="1" l="1"/>
  <c r="AB1783" i="1"/>
  <c r="AC1783" i="1" s="1"/>
  <c r="U1783" i="1"/>
  <c r="V1783" i="1"/>
  <c r="T1785" i="1" l="1"/>
  <c r="AB1784" i="1"/>
  <c r="AC1784" i="1" s="1"/>
  <c r="U1784" i="1"/>
  <c r="V1784" i="1"/>
  <c r="AB1785" i="1" l="1"/>
  <c r="AC1785" i="1" s="1"/>
  <c r="T1786" i="1"/>
  <c r="V1785" i="1"/>
  <c r="U1785" i="1"/>
  <c r="AB1786" i="1" l="1"/>
  <c r="AC1786" i="1" s="1"/>
  <c r="T1787" i="1"/>
  <c r="U1786" i="1"/>
  <c r="V1786" i="1"/>
  <c r="T1788" i="1" l="1"/>
  <c r="AB1787" i="1"/>
  <c r="AC1787" i="1" s="1"/>
  <c r="U1787" i="1"/>
  <c r="V1787" i="1"/>
  <c r="AB1788" i="1" l="1"/>
  <c r="AC1788" i="1" s="1"/>
  <c r="T1789" i="1"/>
  <c r="U1788" i="1"/>
  <c r="V1788" i="1"/>
  <c r="T1790" i="1" l="1"/>
  <c r="AB1789" i="1"/>
  <c r="AC1789" i="1" s="1"/>
  <c r="U1789" i="1"/>
  <c r="V1789" i="1"/>
  <c r="T1791" i="1" l="1"/>
  <c r="AB1790" i="1"/>
  <c r="AC1790" i="1" s="1"/>
  <c r="U1790" i="1"/>
  <c r="V1790" i="1"/>
  <c r="T1792" i="1" l="1"/>
  <c r="AB1791" i="1"/>
  <c r="AC1791" i="1" s="1"/>
  <c r="V1791" i="1"/>
  <c r="U1791" i="1"/>
  <c r="T1793" i="1" l="1"/>
  <c r="AB1792" i="1"/>
  <c r="AC1792" i="1" s="1"/>
  <c r="U1792" i="1"/>
  <c r="V1792" i="1"/>
  <c r="AB1793" i="1" l="1"/>
  <c r="AC1793" i="1" s="1"/>
  <c r="T1794" i="1"/>
  <c r="U1793" i="1"/>
  <c r="V1793" i="1"/>
  <c r="AB1794" i="1" l="1"/>
  <c r="AC1794" i="1" s="1"/>
  <c r="U1794" i="1"/>
  <c r="V1794" i="1"/>
  <c r="T1795" i="1"/>
  <c r="AB1795" i="1" l="1"/>
  <c r="AC1795" i="1" s="1"/>
  <c r="T1796" i="1"/>
  <c r="U1795" i="1"/>
  <c r="V1795" i="1"/>
  <c r="V1796" i="1" l="1"/>
  <c r="T1797" i="1"/>
  <c r="AB1796" i="1"/>
  <c r="AC1796" i="1" s="1"/>
  <c r="U1796" i="1"/>
  <c r="AB1797" i="1" l="1"/>
  <c r="AC1797" i="1" s="1"/>
  <c r="U1797" i="1"/>
  <c r="V1797" i="1"/>
  <c r="T1798" i="1"/>
  <c r="AB1798" i="1" l="1"/>
  <c r="AC1798" i="1" s="1"/>
  <c r="U1798" i="1"/>
  <c r="V1798" i="1"/>
  <c r="T1799" i="1"/>
  <c r="T1800" i="1" l="1"/>
  <c r="AB1799" i="1"/>
  <c r="AC1799" i="1" s="1"/>
  <c r="U1799" i="1"/>
  <c r="V1799" i="1"/>
  <c r="T1801" i="1" l="1"/>
  <c r="U1800" i="1"/>
  <c r="AB1800" i="1"/>
  <c r="AC1800" i="1" s="1"/>
  <c r="V1800" i="1"/>
  <c r="AB1801" i="1" l="1"/>
  <c r="AC1801" i="1" s="1"/>
  <c r="T1802" i="1"/>
  <c r="U1801" i="1"/>
  <c r="V1801" i="1"/>
  <c r="AB1802" i="1" l="1"/>
  <c r="AC1802" i="1" s="1"/>
  <c r="T1803" i="1"/>
  <c r="U1802" i="1"/>
  <c r="V1802" i="1"/>
  <c r="AB1803" i="1" l="1"/>
  <c r="AC1803" i="1" s="1"/>
  <c r="V1803" i="1"/>
  <c r="T1804" i="1"/>
  <c r="U1803" i="1"/>
  <c r="T1805" i="1" l="1"/>
  <c r="AB1804" i="1"/>
  <c r="AC1804" i="1" s="1"/>
  <c r="V1804" i="1"/>
  <c r="U1804" i="1"/>
  <c r="AB1805" i="1" l="1"/>
  <c r="AC1805" i="1" s="1"/>
  <c r="T1806" i="1"/>
  <c r="U1805" i="1"/>
  <c r="V1805" i="1"/>
  <c r="AB1806" i="1" l="1"/>
  <c r="AC1806" i="1" s="1"/>
  <c r="U1806" i="1"/>
  <c r="V1806" i="1"/>
  <c r="T1807" i="1"/>
  <c r="T1808" i="1" l="1"/>
  <c r="V1807" i="1"/>
  <c r="U1807" i="1"/>
  <c r="AB1807" i="1"/>
  <c r="AC1807" i="1" s="1"/>
  <c r="T1809" i="1" l="1"/>
  <c r="AB1808" i="1"/>
  <c r="AC1808" i="1" s="1"/>
  <c r="U1808" i="1"/>
  <c r="V1808" i="1"/>
  <c r="T1810" i="1" l="1"/>
  <c r="AB1809" i="1"/>
  <c r="AC1809" i="1" s="1"/>
  <c r="U1809" i="1"/>
  <c r="V1809" i="1"/>
  <c r="U1810" i="1" l="1"/>
  <c r="T1811" i="1"/>
  <c r="AB1810" i="1"/>
  <c r="AC1810" i="1" s="1"/>
  <c r="V1810" i="1"/>
  <c r="T1812" i="1" l="1"/>
  <c r="V1811" i="1"/>
  <c r="U1811" i="1"/>
  <c r="AB1811" i="1"/>
  <c r="AC1811" i="1" s="1"/>
  <c r="T1813" i="1" l="1"/>
  <c r="AB1812" i="1"/>
  <c r="AC1812" i="1" s="1"/>
  <c r="V1812" i="1"/>
  <c r="U1812" i="1"/>
  <c r="AB1813" i="1" l="1"/>
  <c r="AC1813" i="1" s="1"/>
  <c r="T1814" i="1"/>
  <c r="V1813" i="1"/>
  <c r="U1813" i="1"/>
  <c r="T1815" i="1" l="1"/>
  <c r="V1814" i="1"/>
  <c r="U1814" i="1"/>
  <c r="AB1814" i="1"/>
  <c r="AC1814" i="1" s="1"/>
  <c r="AB1815" i="1" l="1"/>
  <c r="AC1815" i="1" s="1"/>
  <c r="U1815" i="1"/>
  <c r="V1815" i="1"/>
  <c r="T1816" i="1"/>
  <c r="T1817" i="1" l="1"/>
  <c r="U1816" i="1"/>
  <c r="V1816" i="1"/>
  <c r="AB1816" i="1"/>
  <c r="AC1816" i="1" s="1"/>
  <c r="U1817" i="1" l="1"/>
  <c r="AB1817" i="1"/>
  <c r="AC1817" i="1" s="1"/>
  <c r="T1818" i="1"/>
  <c r="V1817" i="1"/>
  <c r="AB1818" i="1" l="1"/>
  <c r="AC1818" i="1" s="1"/>
  <c r="V1818" i="1"/>
  <c r="T1819" i="1"/>
  <c r="U1818" i="1"/>
  <c r="AB1819" i="1" l="1"/>
  <c r="AC1819" i="1" s="1"/>
  <c r="T1820" i="1"/>
  <c r="U1819" i="1"/>
  <c r="V1819" i="1"/>
  <c r="AB1820" i="1" l="1"/>
  <c r="AC1820" i="1" s="1"/>
  <c r="V1820" i="1"/>
  <c r="U1820" i="1"/>
  <c r="T1821" i="1"/>
  <c r="T1822" i="1" l="1"/>
  <c r="AB1821" i="1"/>
  <c r="AC1821" i="1" s="1"/>
  <c r="U1821" i="1"/>
  <c r="V1821" i="1"/>
  <c r="T1823" i="1" l="1"/>
  <c r="AB1822" i="1"/>
  <c r="AC1822" i="1" s="1"/>
  <c r="V1822" i="1"/>
  <c r="U1822" i="1"/>
  <c r="U1823" i="1" l="1"/>
  <c r="AB1823" i="1"/>
  <c r="AC1823" i="1" s="1"/>
  <c r="T1824" i="1"/>
  <c r="V1823" i="1"/>
  <c r="AB1824" i="1" l="1"/>
  <c r="AC1824" i="1" s="1"/>
  <c r="T1825" i="1"/>
  <c r="V1824" i="1"/>
  <c r="U1824" i="1"/>
  <c r="AB1825" i="1" l="1"/>
  <c r="AC1825" i="1" s="1"/>
  <c r="V1825" i="1"/>
  <c r="T1826" i="1"/>
  <c r="U1825" i="1"/>
  <c r="AB1826" i="1" l="1"/>
  <c r="AC1826" i="1" s="1"/>
  <c r="U1826" i="1"/>
  <c r="T1827" i="1"/>
  <c r="V1826" i="1"/>
  <c r="T1828" i="1" l="1"/>
  <c r="U1827" i="1"/>
  <c r="AB1827" i="1"/>
  <c r="AC1827" i="1" s="1"/>
  <c r="V1827" i="1"/>
  <c r="T1829" i="1" l="1"/>
  <c r="AB1828" i="1"/>
  <c r="AC1828" i="1" s="1"/>
  <c r="V1828" i="1"/>
  <c r="U1828" i="1"/>
  <c r="AB1829" i="1" l="1"/>
  <c r="AC1829" i="1" s="1"/>
  <c r="T1830" i="1"/>
  <c r="V1829" i="1"/>
  <c r="U1829" i="1"/>
  <c r="T1831" i="1" l="1"/>
  <c r="U1830" i="1"/>
  <c r="AB1830" i="1"/>
  <c r="AC1830" i="1" s="1"/>
  <c r="V1830" i="1"/>
  <c r="AB1831" i="1" l="1"/>
  <c r="AC1831" i="1" s="1"/>
  <c r="U1831" i="1"/>
  <c r="T1832" i="1"/>
  <c r="V1831" i="1"/>
  <c r="T1833" i="1" l="1"/>
  <c r="AB1832" i="1"/>
  <c r="AC1832" i="1" s="1"/>
  <c r="V1832" i="1"/>
  <c r="U1832" i="1"/>
  <c r="T1834" i="1" l="1"/>
  <c r="AB1833" i="1"/>
  <c r="AC1833" i="1" s="1"/>
  <c r="V1833" i="1"/>
  <c r="U1833" i="1"/>
  <c r="AB1834" i="1" l="1"/>
  <c r="AC1834" i="1" s="1"/>
  <c r="U1834" i="1"/>
  <c r="V1834" i="1"/>
  <c r="T1835" i="1"/>
  <c r="T1836" i="1" l="1"/>
  <c r="U1835" i="1"/>
  <c r="V1835" i="1"/>
  <c r="AB1835" i="1"/>
  <c r="AC1835" i="1" s="1"/>
  <c r="T1837" i="1" l="1"/>
  <c r="V1836" i="1"/>
  <c r="AB1836" i="1"/>
  <c r="AC1836" i="1" s="1"/>
  <c r="U1836" i="1"/>
  <c r="AB1837" i="1" l="1"/>
  <c r="AC1837" i="1" s="1"/>
  <c r="U1837" i="1"/>
  <c r="T1838" i="1"/>
  <c r="V1837" i="1"/>
  <c r="AB1838" i="1" l="1"/>
  <c r="AC1838" i="1" s="1"/>
  <c r="T1839" i="1"/>
  <c r="U1838" i="1"/>
  <c r="V1838" i="1"/>
  <c r="T1840" i="1" l="1"/>
  <c r="V1839" i="1"/>
  <c r="AB1839" i="1"/>
  <c r="AC1839" i="1" s="1"/>
  <c r="U1839" i="1"/>
  <c r="AB1840" i="1" l="1"/>
  <c r="AC1840" i="1" s="1"/>
  <c r="V1840" i="1"/>
  <c r="U1840" i="1"/>
  <c r="T1841" i="1"/>
  <c r="AB1841" i="1" l="1"/>
  <c r="AC1841" i="1" s="1"/>
  <c r="T1842" i="1"/>
  <c r="U1841" i="1"/>
  <c r="V1841" i="1"/>
  <c r="U1842" i="1" l="1"/>
  <c r="AB1842" i="1"/>
  <c r="AC1842" i="1" s="1"/>
  <c r="V1842" i="1"/>
  <c r="T1843" i="1"/>
  <c r="AB1843" i="1" l="1"/>
  <c r="AC1843" i="1" s="1"/>
  <c r="T1844" i="1"/>
  <c r="V1843" i="1"/>
  <c r="U1843" i="1"/>
  <c r="U1844" i="1" l="1"/>
  <c r="AB1844" i="1"/>
  <c r="AC1844" i="1" s="1"/>
  <c r="V1844" i="1"/>
  <c r="T1845" i="1"/>
  <c r="T1846" i="1" l="1"/>
  <c r="U1845" i="1"/>
  <c r="V1845" i="1"/>
  <c r="AB1845" i="1"/>
  <c r="AC1845" i="1" s="1"/>
  <c r="V1846" i="1" l="1"/>
  <c r="AB1846" i="1"/>
  <c r="AC1846" i="1" s="1"/>
  <c r="U1846" i="1"/>
  <c r="T1847" i="1"/>
  <c r="T1848" i="1" l="1"/>
  <c r="AB1847" i="1"/>
  <c r="AC1847" i="1" s="1"/>
  <c r="U1847" i="1"/>
  <c r="V1847" i="1"/>
  <c r="V1848" i="1" l="1"/>
  <c r="T1849" i="1"/>
  <c r="AB1848" i="1"/>
  <c r="AC1848" i="1" s="1"/>
  <c r="U1848" i="1"/>
  <c r="T1850" i="1" l="1"/>
  <c r="AB1849" i="1"/>
  <c r="AC1849" i="1" s="1"/>
  <c r="U1849" i="1"/>
  <c r="V1849" i="1"/>
  <c r="AB1850" i="1" l="1"/>
  <c r="AC1850" i="1" s="1"/>
  <c r="U1850" i="1"/>
  <c r="V1850" i="1"/>
  <c r="T1851" i="1"/>
  <c r="U1851" i="1" l="1"/>
  <c r="V1851" i="1"/>
  <c r="AB1851" i="1"/>
  <c r="AC1851" i="1" s="1"/>
  <c r="T1852" i="1"/>
  <c r="AB1852" i="1" l="1"/>
  <c r="AC1852" i="1" s="1"/>
  <c r="V1852" i="1"/>
  <c r="U1852" i="1"/>
  <c r="T1853" i="1"/>
  <c r="AB1853" i="1" l="1"/>
  <c r="AC1853" i="1" s="1"/>
  <c r="V1853" i="1"/>
  <c r="T1854" i="1"/>
  <c r="U1853" i="1"/>
  <c r="T1855" i="1" l="1"/>
  <c r="AB1854" i="1"/>
  <c r="AC1854" i="1" s="1"/>
  <c r="U1854" i="1"/>
  <c r="V1854" i="1"/>
  <c r="AB1855" i="1" l="1"/>
  <c r="AC1855" i="1" s="1"/>
  <c r="T1856" i="1"/>
  <c r="U1855" i="1"/>
  <c r="V1855" i="1"/>
  <c r="AB1856" i="1" l="1"/>
  <c r="AC1856" i="1" s="1"/>
  <c r="T1857" i="1"/>
  <c r="V1856" i="1"/>
  <c r="U1856" i="1"/>
  <c r="T1858" i="1" l="1"/>
  <c r="AB1857" i="1"/>
  <c r="AC1857" i="1" s="1"/>
  <c r="U1857" i="1"/>
  <c r="V1857" i="1"/>
  <c r="V1858" i="1" l="1"/>
  <c r="AB1858" i="1"/>
  <c r="AC1858" i="1" s="1"/>
  <c r="T1859" i="1"/>
  <c r="U1858" i="1"/>
  <c r="AB1859" i="1" l="1"/>
  <c r="AC1859" i="1" s="1"/>
  <c r="U1859" i="1"/>
  <c r="V1859" i="1"/>
  <c r="T1860" i="1"/>
  <c r="AB1860" i="1" l="1"/>
  <c r="AC1860" i="1" s="1"/>
  <c r="V1860" i="1"/>
  <c r="U1860" i="1"/>
  <c r="T1861" i="1"/>
  <c r="AB1861" i="1" l="1"/>
  <c r="AC1861" i="1" s="1"/>
  <c r="T1862" i="1"/>
  <c r="V1861" i="1"/>
  <c r="U1861" i="1"/>
  <c r="T1863" i="1" l="1"/>
  <c r="U1862" i="1"/>
  <c r="V1862" i="1"/>
  <c r="AB1862" i="1"/>
  <c r="AC1862" i="1" s="1"/>
  <c r="AB1863" i="1" l="1"/>
  <c r="AC1863" i="1" s="1"/>
  <c r="U1863" i="1"/>
  <c r="V1863" i="1"/>
  <c r="T1864" i="1"/>
  <c r="AB1864" i="1" l="1"/>
  <c r="AC1864" i="1" s="1"/>
  <c r="U1864" i="1"/>
  <c r="V1864" i="1"/>
  <c r="T1865" i="1"/>
  <c r="AB1865" i="1" l="1"/>
  <c r="AC1865" i="1" s="1"/>
  <c r="T1866" i="1"/>
  <c r="U1865" i="1"/>
  <c r="V1865" i="1"/>
  <c r="T1867" i="1" l="1"/>
  <c r="AB1866" i="1"/>
  <c r="AC1866" i="1" s="1"/>
  <c r="U1866" i="1"/>
  <c r="V1866" i="1"/>
  <c r="AB1867" i="1" l="1"/>
  <c r="AC1867" i="1" s="1"/>
  <c r="T1868" i="1"/>
  <c r="U1867" i="1"/>
  <c r="V1867" i="1"/>
  <c r="AB1868" i="1" l="1"/>
  <c r="AC1868" i="1" s="1"/>
  <c r="T1869" i="1"/>
  <c r="V1868" i="1"/>
  <c r="U1868" i="1"/>
  <c r="AB1869" i="1" l="1"/>
  <c r="AC1869" i="1" s="1"/>
  <c r="U1869" i="1"/>
  <c r="V1869" i="1"/>
  <c r="T1870" i="1"/>
  <c r="T1871" i="1" l="1"/>
  <c r="AB1870" i="1"/>
  <c r="AC1870" i="1" s="1"/>
  <c r="V1870" i="1"/>
  <c r="U1870" i="1"/>
  <c r="T1872" i="1" l="1"/>
  <c r="U1871" i="1"/>
  <c r="V1871" i="1"/>
  <c r="AB1871" i="1"/>
  <c r="AC1871" i="1" s="1"/>
  <c r="AB1872" i="1" l="1"/>
  <c r="AC1872" i="1" s="1"/>
  <c r="V1872" i="1"/>
  <c r="T1873" i="1"/>
  <c r="U1872" i="1"/>
  <c r="AB1873" i="1" l="1"/>
  <c r="AC1873" i="1" s="1"/>
  <c r="V1873" i="1"/>
  <c r="T1874" i="1"/>
  <c r="U1873" i="1"/>
  <c r="U1874" i="1" l="1"/>
  <c r="T1875" i="1"/>
  <c r="AB1874" i="1"/>
  <c r="AC1874" i="1" s="1"/>
  <c r="V1874" i="1"/>
  <c r="AB1875" i="1" l="1"/>
  <c r="AC1875" i="1" s="1"/>
  <c r="V1875" i="1"/>
  <c r="T1876" i="1"/>
  <c r="U1875" i="1"/>
  <c r="AB1876" i="1" l="1"/>
  <c r="AC1876" i="1" s="1"/>
  <c r="T1877" i="1"/>
  <c r="U1876" i="1"/>
  <c r="V1876" i="1"/>
  <c r="T1878" i="1" l="1"/>
  <c r="AB1877" i="1"/>
  <c r="AC1877" i="1" s="1"/>
  <c r="U1877" i="1"/>
  <c r="V1877" i="1"/>
  <c r="AB1878" i="1" l="1"/>
  <c r="AC1878" i="1" s="1"/>
  <c r="U1878" i="1"/>
  <c r="T1879" i="1"/>
  <c r="V1878" i="1"/>
  <c r="AB1879" i="1" l="1"/>
  <c r="AC1879" i="1" s="1"/>
  <c r="U1879" i="1"/>
  <c r="V1879" i="1"/>
  <c r="T1880" i="1"/>
  <c r="T1881" i="1" l="1"/>
  <c r="AB1880" i="1"/>
  <c r="AC1880" i="1" s="1"/>
  <c r="U1880" i="1"/>
  <c r="V1880" i="1"/>
  <c r="AB1881" i="1" l="1"/>
  <c r="AC1881" i="1" s="1"/>
  <c r="V1881" i="1"/>
  <c r="T1882" i="1"/>
  <c r="U1881" i="1"/>
  <c r="T1883" i="1" l="1"/>
  <c r="AB1882" i="1"/>
  <c r="AC1882" i="1" s="1"/>
  <c r="V1882" i="1"/>
  <c r="U1882" i="1"/>
  <c r="T1884" i="1" l="1"/>
  <c r="AB1883" i="1"/>
  <c r="AC1883" i="1" s="1"/>
  <c r="U1883" i="1"/>
  <c r="V1883" i="1"/>
  <c r="AB1884" i="1" l="1"/>
  <c r="AC1884" i="1" s="1"/>
  <c r="T1885" i="1"/>
  <c r="U1884" i="1"/>
  <c r="V1884" i="1"/>
  <c r="AB1885" i="1" l="1"/>
  <c r="AC1885" i="1" s="1"/>
  <c r="T1886" i="1"/>
  <c r="U1885" i="1"/>
  <c r="V1885" i="1"/>
  <c r="AB1886" i="1" l="1"/>
  <c r="AC1886" i="1" s="1"/>
  <c r="T1887" i="1"/>
  <c r="U1886" i="1"/>
  <c r="V1886" i="1"/>
  <c r="AB1887" i="1" l="1"/>
  <c r="AC1887" i="1" s="1"/>
  <c r="T1888" i="1"/>
  <c r="U1887" i="1"/>
  <c r="V1887" i="1"/>
  <c r="AB1888" i="1" l="1"/>
  <c r="AC1888" i="1" s="1"/>
  <c r="U1888" i="1"/>
  <c r="V1888" i="1"/>
  <c r="T1889" i="1"/>
  <c r="T1890" i="1" l="1"/>
  <c r="AB1889" i="1"/>
  <c r="AC1889" i="1" s="1"/>
  <c r="U1889" i="1"/>
  <c r="V1889" i="1"/>
  <c r="U1890" i="1" l="1"/>
  <c r="AB1890" i="1"/>
  <c r="AC1890" i="1" s="1"/>
  <c r="V1890" i="1"/>
  <c r="T1891" i="1"/>
  <c r="AB1891" i="1" l="1"/>
  <c r="AC1891" i="1" s="1"/>
  <c r="T1892" i="1"/>
  <c r="U1891" i="1"/>
  <c r="V1891" i="1"/>
  <c r="AB1892" i="1" l="1"/>
  <c r="AC1892" i="1" s="1"/>
  <c r="U1892" i="1"/>
  <c r="V1892" i="1"/>
  <c r="T1893" i="1"/>
  <c r="AB1893" i="1" l="1"/>
  <c r="AC1893" i="1" s="1"/>
  <c r="V1893" i="1"/>
  <c r="T1894" i="1"/>
  <c r="U1893" i="1"/>
  <c r="T1895" i="1" l="1"/>
  <c r="U1894" i="1"/>
  <c r="V1894" i="1"/>
  <c r="AB1894" i="1"/>
  <c r="AC1894" i="1" s="1"/>
  <c r="T1896" i="1" l="1"/>
  <c r="AB1895" i="1"/>
  <c r="AC1895" i="1" s="1"/>
  <c r="U1895" i="1"/>
  <c r="V1895" i="1"/>
  <c r="V1896" i="1" l="1"/>
  <c r="AB1896" i="1"/>
  <c r="AC1896" i="1" s="1"/>
  <c r="U1896" i="1"/>
  <c r="T1897" i="1"/>
  <c r="AB1897" i="1" l="1"/>
  <c r="AC1897" i="1" s="1"/>
  <c r="U1897" i="1"/>
  <c r="T1898" i="1"/>
  <c r="V1897" i="1"/>
  <c r="U1898" i="1" l="1"/>
  <c r="AB1898" i="1"/>
  <c r="AC1898" i="1" s="1"/>
  <c r="T1899" i="1"/>
  <c r="V1898" i="1"/>
  <c r="AB1899" i="1" l="1"/>
  <c r="AC1899" i="1" s="1"/>
  <c r="T1900" i="1"/>
  <c r="U1899" i="1"/>
  <c r="V1899" i="1"/>
  <c r="AB1900" i="1" l="1"/>
  <c r="AC1900" i="1" s="1"/>
  <c r="T1901" i="1"/>
  <c r="V1900" i="1"/>
  <c r="U1900" i="1"/>
  <c r="AB1901" i="1" l="1"/>
  <c r="AC1901" i="1" s="1"/>
  <c r="T1902" i="1"/>
  <c r="U1901" i="1"/>
  <c r="V1901" i="1"/>
  <c r="AB1902" i="1" l="1"/>
  <c r="AC1902" i="1" s="1"/>
  <c r="T1903" i="1"/>
  <c r="U1902" i="1"/>
  <c r="V1902" i="1"/>
  <c r="AB1903" i="1" l="1"/>
  <c r="AC1903" i="1" s="1"/>
  <c r="T1904" i="1"/>
  <c r="U1903" i="1"/>
  <c r="V1903" i="1"/>
  <c r="AB1904" i="1" l="1"/>
  <c r="AC1904" i="1" s="1"/>
  <c r="T1905" i="1"/>
  <c r="U1904" i="1"/>
  <c r="V1904" i="1"/>
  <c r="U1905" i="1" l="1"/>
  <c r="T1906" i="1"/>
  <c r="V1905" i="1"/>
  <c r="AB1905" i="1"/>
  <c r="AC1905" i="1" s="1"/>
  <c r="T1907" i="1" l="1"/>
  <c r="AB1906" i="1"/>
  <c r="AC1906" i="1" s="1"/>
  <c r="U1906" i="1"/>
  <c r="V1906" i="1"/>
  <c r="AB1907" i="1" l="1"/>
  <c r="AC1907" i="1" s="1"/>
  <c r="T1908" i="1"/>
  <c r="V1907" i="1"/>
  <c r="U1907" i="1"/>
  <c r="AB1908" i="1" l="1"/>
  <c r="AC1908" i="1" s="1"/>
  <c r="T1909" i="1"/>
  <c r="V1908" i="1"/>
  <c r="U1908" i="1"/>
  <c r="AB1909" i="1" l="1"/>
  <c r="AC1909" i="1" s="1"/>
  <c r="T1910" i="1"/>
  <c r="U1909" i="1"/>
  <c r="V1909" i="1"/>
  <c r="U1910" i="1" l="1"/>
  <c r="AB1910" i="1"/>
  <c r="AC1910" i="1" s="1"/>
  <c r="T1911" i="1"/>
  <c r="V1910" i="1"/>
  <c r="T1912" i="1" l="1"/>
  <c r="U1911" i="1"/>
  <c r="V1911" i="1"/>
  <c r="AB1911" i="1"/>
  <c r="AC1911" i="1" s="1"/>
  <c r="AB1912" i="1" l="1"/>
  <c r="AC1912" i="1" s="1"/>
  <c r="U1912" i="1"/>
  <c r="V1912" i="1"/>
  <c r="T1913" i="1"/>
  <c r="T1914" i="1" l="1"/>
  <c r="AB1913" i="1"/>
  <c r="AC1913" i="1" s="1"/>
  <c r="V1913" i="1"/>
  <c r="U1913" i="1"/>
  <c r="AB1914" i="1" l="1"/>
  <c r="AC1914" i="1" s="1"/>
  <c r="V1914" i="1"/>
  <c r="T1915" i="1"/>
  <c r="U1914" i="1"/>
  <c r="V1915" i="1" l="1"/>
  <c r="T1916" i="1"/>
  <c r="AB1915" i="1"/>
  <c r="AC1915" i="1" s="1"/>
  <c r="U1915" i="1"/>
  <c r="T1917" i="1" l="1"/>
  <c r="AB1916" i="1"/>
  <c r="AC1916" i="1" s="1"/>
  <c r="U1916" i="1"/>
  <c r="V1916" i="1"/>
  <c r="AB1917" i="1" l="1"/>
  <c r="AC1917" i="1" s="1"/>
  <c r="T1918" i="1"/>
  <c r="V1917" i="1"/>
  <c r="U1917" i="1"/>
  <c r="AB1918" i="1" l="1"/>
  <c r="AC1918" i="1" s="1"/>
  <c r="T1919" i="1"/>
  <c r="U1918" i="1"/>
  <c r="V1918" i="1"/>
  <c r="U1919" i="1" l="1"/>
  <c r="T1920" i="1"/>
  <c r="AB1919" i="1"/>
  <c r="AC1919" i="1" s="1"/>
  <c r="V1919" i="1"/>
  <c r="T1921" i="1" l="1"/>
  <c r="AB1920" i="1"/>
  <c r="AC1920" i="1" s="1"/>
  <c r="U1920" i="1"/>
  <c r="V1920" i="1"/>
  <c r="T1922" i="1" l="1"/>
  <c r="AB1921" i="1"/>
  <c r="AC1921" i="1" s="1"/>
  <c r="V1921" i="1"/>
  <c r="U1921" i="1"/>
  <c r="T1923" i="1" l="1"/>
  <c r="V1922" i="1"/>
  <c r="AB1922" i="1"/>
  <c r="AC1922" i="1" s="1"/>
  <c r="U1922" i="1"/>
  <c r="V1923" i="1" l="1"/>
  <c r="AB1923" i="1"/>
  <c r="AC1923" i="1" s="1"/>
  <c r="T1924" i="1"/>
  <c r="U1923" i="1"/>
  <c r="AB1924" i="1" l="1"/>
  <c r="AC1924" i="1" s="1"/>
  <c r="T1925" i="1"/>
  <c r="U1924" i="1"/>
  <c r="V1924" i="1"/>
  <c r="AB1925" i="1" l="1"/>
  <c r="AC1925" i="1" s="1"/>
  <c r="U1925" i="1"/>
  <c r="V1925" i="1"/>
  <c r="T1926" i="1"/>
  <c r="T1927" i="1" l="1"/>
  <c r="U1926" i="1"/>
  <c r="V1926" i="1"/>
  <c r="AB1926" i="1"/>
  <c r="AC1926" i="1" s="1"/>
  <c r="T1928" i="1" l="1"/>
  <c r="AB1927" i="1"/>
  <c r="AC1927" i="1" s="1"/>
  <c r="U1927" i="1"/>
  <c r="V1927" i="1"/>
  <c r="AB1928" i="1" l="1"/>
  <c r="AC1928" i="1" s="1"/>
  <c r="V1928" i="1"/>
  <c r="U1928" i="1"/>
  <c r="T1929" i="1"/>
  <c r="T1930" i="1" l="1"/>
  <c r="AB1929" i="1"/>
  <c r="AC1929" i="1" s="1"/>
  <c r="V1929" i="1"/>
  <c r="U1929" i="1"/>
  <c r="AB1930" i="1" l="1"/>
  <c r="AC1930" i="1" s="1"/>
  <c r="V1930" i="1"/>
  <c r="U1930" i="1"/>
  <c r="T1931" i="1"/>
  <c r="U1931" i="1" l="1"/>
  <c r="V1931" i="1"/>
  <c r="AB1931" i="1"/>
  <c r="AC1931" i="1" s="1"/>
  <c r="T1932" i="1"/>
  <c r="AB1932" i="1" l="1"/>
  <c r="AC1932" i="1" s="1"/>
  <c r="V1932" i="1"/>
  <c r="U1932" i="1"/>
  <c r="T1933" i="1"/>
  <c r="V1933" i="1" l="1"/>
  <c r="AB1933" i="1"/>
  <c r="AC1933" i="1" s="1"/>
  <c r="T1934" i="1"/>
  <c r="U1933" i="1"/>
  <c r="T1935" i="1" l="1"/>
  <c r="AB1934" i="1"/>
  <c r="AC1934" i="1" s="1"/>
  <c r="V1934" i="1"/>
  <c r="U1934" i="1"/>
  <c r="AB1935" i="1" l="1"/>
  <c r="AC1935" i="1" s="1"/>
  <c r="T1936" i="1"/>
  <c r="U1935" i="1"/>
  <c r="V1935" i="1"/>
  <c r="AB1936" i="1" l="1"/>
  <c r="AC1936" i="1" s="1"/>
  <c r="U1936" i="1"/>
  <c r="V1936" i="1"/>
  <c r="T1937" i="1"/>
  <c r="AB1937" i="1" l="1"/>
  <c r="AC1937" i="1" s="1"/>
  <c r="T1938" i="1"/>
  <c r="V1937" i="1"/>
  <c r="U1937" i="1"/>
  <c r="T1939" i="1" l="1"/>
  <c r="AB1938" i="1"/>
  <c r="AC1938" i="1" s="1"/>
  <c r="V1938" i="1"/>
  <c r="U1938" i="1"/>
  <c r="T1940" i="1" l="1"/>
  <c r="U1939" i="1"/>
  <c r="V1939" i="1"/>
  <c r="AB1939" i="1"/>
  <c r="AC1939" i="1" s="1"/>
  <c r="AB1940" i="1" l="1"/>
  <c r="AC1940" i="1" s="1"/>
  <c r="V1940" i="1"/>
  <c r="U1940" i="1"/>
  <c r="T1941" i="1"/>
  <c r="AB1941" i="1" l="1"/>
  <c r="AC1941" i="1" s="1"/>
  <c r="T1942" i="1"/>
  <c r="U1941" i="1"/>
  <c r="V1941" i="1"/>
  <c r="T1943" i="1" l="1"/>
  <c r="AB1942" i="1"/>
  <c r="AC1942" i="1" s="1"/>
  <c r="V1942" i="1"/>
  <c r="U1942" i="1"/>
  <c r="AB1943" i="1" l="1"/>
  <c r="AC1943" i="1" s="1"/>
  <c r="V1943" i="1"/>
  <c r="T1944" i="1"/>
  <c r="U1943" i="1"/>
  <c r="T1945" i="1" l="1"/>
  <c r="AB1944" i="1"/>
  <c r="AC1944" i="1" s="1"/>
  <c r="V1944" i="1"/>
  <c r="U1944" i="1"/>
  <c r="AB1945" i="1" l="1"/>
  <c r="AC1945" i="1" s="1"/>
  <c r="V1945" i="1"/>
  <c r="T1946" i="1"/>
  <c r="U1945" i="1"/>
  <c r="AB1946" i="1" l="1"/>
  <c r="AC1946" i="1" s="1"/>
  <c r="V1946" i="1"/>
  <c r="T1947" i="1"/>
  <c r="U1946" i="1"/>
  <c r="T1948" i="1" l="1"/>
  <c r="V1947" i="1"/>
  <c r="AB1947" i="1"/>
  <c r="AC1947" i="1" s="1"/>
  <c r="U1947" i="1"/>
  <c r="AB1948" i="1" l="1"/>
  <c r="AC1948" i="1" s="1"/>
  <c r="T1949" i="1"/>
  <c r="U1948" i="1"/>
  <c r="V1948" i="1"/>
  <c r="T1950" i="1" l="1"/>
  <c r="AB1949" i="1"/>
  <c r="AC1949" i="1" s="1"/>
  <c r="V1949" i="1"/>
  <c r="U1949" i="1"/>
  <c r="U1950" i="1" l="1"/>
  <c r="T1951" i="1"/>
  <c r="AB1950" i="1"/>
  <c r="AC1950" i="1" s="1"/>
  <c r="V1950" i="1"/>
  <c r="AB1951" i="1" l="1"/>
  <c r="AC1951" i="1" s="1"/>
  <c r="T1952" i="1"/>
  <c r="V1951" i="1"/>
  <c r="U1951" i="1"/>
  <c r="T1953" i="1" l="1"/>
  <c r="AB1952" i="1"/>
  <c r="AC1952" i="1" s="1"/>
  <c r="U1952" i="1"/>
  <c r="V1952" i="1"/>
  <c r="T1954" i="1" l="1"/>
  <c r="AB1953" i="1"/>
  <c r="AC1953" i="1" s="1"/>
  <c r="V1953" i="1"/>
  <c r="U1953" i="1"/>
  <c r="T1955" i="1" l="1"/>
  <c r="AB1954" i="1"/>
  <c r="AC1954" i="1" s="1"/>
  <c r="U1954" i="1"/>
  <c r="V1954" i="1"/>
  <c r="T1956" i="1" l="1"/>
  <c r="AB1955" i="1"/>
  <c r="AC1955" i="1" s="1"/>
  <c r="V1955" i="1"/>
  <c r="U1955" i="1"/>
  <c r="U1956" i="1" l="1"/>
  <c r="V1956" i="1"/>
  <c r="T1957" i="1"/>
  <c r="AB1956" i="1"/>
  <c r="AC1956" i="1" s="1"/>
  <c r="AB1957" i="1" l="1"/>
  <c r="AC1957" i="1" s="1"/>
  <c r="T1958" i="1"/>
  <c r="V1957" i="1"/>
  <c r="U1957" i="1"/>
  <c r="V1958" i="1" l="1"/>
  <c r="T1959" i="1"/>
  <c r="AB1958" i="1"/>
  <c r="AC1958" i="1" s="1"/>
  <c r="U1958" i="1"/>
  <c r="AB1959" i="1" l="1"/>
  <c r="AC1959" i="1" s="1"/>
  <c r="U1959" i="1"/>
  <c r="V1959" i="1"/>
  <c r="T1960" i="1"/>
  <c r="U1960" i="1" l="1"/>
  <c r="V1960" i="1"/>
  <c r="AB1960" i="1"/>
  <c r="AC1960" i="1" s="1"/>
  <c r="T1961" i="1"/>
  <c r="V1961" i="1" l="1"/>
  <c r="T1962" i="1"/>
  <c r="U1961" i="1"/>
  <c r="AB1961" i="1"/>
  <c r="AC1961" i="1" s="1"/>
  <c r="T1963" i="1" l="1"/>
  <c r="V1962" i="1"/>
  <c r="AB1962" i="1"/>
  <c r="AC1962" i="1" s="1"/>
  <c r="U1962" i="1"/>
  <c r="T1964" i="1" l="1"/>
  <c r="AB1963" i="1"/>
  <c r="AC1963" i="1" s="1"/>
  <c r="V1963" i="1"/>
  <c r="U1963" i="1"/>
  <c r="AB1964" i="1" l="1"/>
  <c r="AC1964" i="1" s="1"/>
  <c r="V1964" i="1"/>
  <c r="U1964" i="1"/>
  <c r="T1965" i="1"/>
  <c r="T1966" i="1" l="1"/>
  <c r="AB1965" i="1"/>
  <c r="AC1965" i="1" s="1"/>
  <c r="U1965" i="1"/>
  <c r="V1965" i="1"/>
  <c r="AB1966" i="1" l="1"/>
  <c r="AC1966" i="1" s="1"/>
  <c r="T1967" i="1"/>
  <c r="U1966" i="1"/>
  <c r="V1966" i="1"/>
  <c r="V1967" i="1" l="1"/>
  <c r="U1967" i="1"/>
  <c r="AB1967" i="1"/>
  <c r="AC1967" i="1" s="1"/>
  <c r="T1968" i="1"/>
  <c r="AB1968" i="1" l="1"/>
  <c r="AC1968" i="1" s="1"/>
  <c r="T1969" i="1"/>
  <c r="U1968" i="1"/>
  <c r="V1968" i="1"/>
  <c r="T1970" i="1" l="1"/>
  <c r="U1969" i="1"/>
  <c r="AB1969" i="1"/>
  <c r="AC1969" i="1" s="1"/>
  <c r="V1969" i="1"/>
  <c r="V1970" i="1" l="1"/>
  <c r="T1971" i="1"/>
  <c r="AB1970" i="1"/>
  <c r="AC1970" i="1" s="1"/>
  <c r="U1970" i="1"/>
  <c r="T1972" i="1" l="1"/>
  <c r="AB1971" i="1"/>
  <c r="AC1971" i="1" s="1"/>
  <c r="U1971" i="1"/>
  <c r="V1971" i="1"/>
  <c r="T1973" i="1" l="1"/>
  <c r="U1972" i="1"/>
  <c r="V1972" i="1"/>
  <c r="AB1972" i="1"/>
  <c r="AC1972" i="1" s="1"/>
  <c r="T1974" i="1" l="1"/>
  <c r="AB1973" i="1"/>
  <c r="AC1973" i="1" s="1"/>
  <c r="U1973" i="1"/>
  <c r="V1973" i="1"/>
  <c r="V1974" i="1" l="1"/>
  <c r="T1975" i="1"/>
  <c r="AB1974" i="1"/>
  <c r="AC1974" i="1" s="1"/>
  <c r="U1974" i="1"/>
  <c r="T1976" i="1" l="1"/>
  <c r="AB1975" i="1"/>
  <c r="AC1975" i="1" s="1"/>
  <c r="U1975" i="1"/>
  <c r="V1975" i="1"/>
  <c r="U1976" i="1" l="1"/>
  <c r="V1976" i="1"/>
  <c r="AB1976" i="1"/>
  <c r="AC1976" i="1" s="1"/>
  <c r="T1977" i="1"/>
  <c r="V1977" i="1" l="1"/>
  <c r="U1977" i="1"/>
  <c r="AB1977" i="1"/>
  <c r="AC1977" i="1" s="1"/>
  <c r="T1978" i="1"/>
  <c r="U1978" i="1" l="1"/>
  <c r="V1978" i="1"/>
  <c r="AB1978" i="1"/>
  <c r="AC1978" i="1" s="1"/>
  <c r="T1979" i="1"/>
  <c r="AB1979" i="1" l="1"/>
  <c r="AC1979" i="1" s="1"/>
  <c r="U1979" i="1"/>
  <c r="V1979" i="1"/>
  <c r="T1980" i="1"/>
  <c r="U1980" i="1" l="1"/>
  <c r="T1981" i="1"/>
  <c r="V1980" i="1"/>
  <c r="AB1980" i="1"/>
  <c r="AC1980" i="1" s="1"/>
  <c r="T1982" i="1" l="1"/>
  <c r="U1981" i="1"/>
  <c r="V1981" i="1"/>
  <c r="AB1981" i="1"/>
  <c r="AC1981" i="1" s="1"/>
  <c r="AB1982" i="1" l="1"/>
  <c r="AC1982" i="1" s="1"/>
  <c r="T1983" i="1"/>
  <c r="U1982" i="1"/>
  <c r="V1982" i="1"/>
  <c r="AB1983" i="1" l="1"/>
  <c r="AC1983" i="1" s="1"/>
  <c r="V1983" i="1"/>
  <c r="T1984" i="1"/>
  <c r="U1983" i="1"/>
  <c r="U1984" i="1" l="1"/>
  <c r="AB1984" i="1"/>
  <c r="AC1984" i="1" s="1"/>
  <c r="V1984" i="1"/>
  <c r="T1985" i="1"/>
  <c r="AB1985" i="1" l="1"/>
  <c r="AC1985" i="1" s="1"/>
  <c r="T1986" i="1"/>
  <c r="U1985" i="1"/>
  <c r="V1985" i="1"/>
  <c r="AB1986" i="1" l="1"/>
  <c r="AC1986" i="1" s="1"/>
  <c r="V1986" i="1"/>
  <c r="U1986" i="1"/>
  <c r="T1987" i="1"/>
  <c r="V1987" i="1" l="1"/>
  <c r="AB1987" i="1"/>
  <c r="AC1987" i="1" s="1"/>
  <c r="T1988" i="1"/>
  <c r="U1987" i="1"/>
  <c r="T1989" i="1" l="1"/>
  <c r="U1988" i="1"/>
  <c r="V1988" i="1"/>
  <c r="AB1988" i="1"/>
  <c r="AC1988" i="1" s="1"/>
  <c r="T1990" i="1" l="1"/>
  <c r="U1989" i="1"/>
  <c r="AB1989" i="1"/>
  <c r="AC1989" i="1" s="1"/>
  <c r="V1989" i="1"/>
  <c r="V1990" i="1" l="1"/>
  <c r="T1991" i="1"/>
  <c r="AB1990" i="1"/>
  <c r="AC1990" i="1" s="1"/>
  <c r="U1990" i="1"/>
  <c r="T1992" i="1" l="1"/>
  <c r="U1991" i="1"/>
  <c r="V1991" i="1"/>
  <c r="AB1991" i="1"/>
  <c r="AC1991" i="1" s="1"/>
  <c r="AB1992" i="1" l="1"/>
  <c r="AC1992" i="1" s="1"/>
  <c r="T1993" i="1"/>
  <c r="U1992" i="1"/>
  <c r="V1992" i="1"/>
  <c r="AB1993" i="1" l="1"/>
  <c r="AC1993" i="1" s="1"/>
  <c r="T1994" i="1"/>
  <c r="U1993" i="1"/>
  <c r="V1993" i="1"/>
  <c r="AB1994" i="1" l="1"/>
  <c r="AC1994" i="1" s="1"/>
  <c r="V1994" i="1"/>
  <c r="U1994" i="1"/>
  <c r="T1995" i="1"/>
  <c r="V1995" i="1" l="1"/>
  <c r="T1996" i="1"/>
  <c r="U1995" i="1"/>
  <c r="AB1995" i="1"/>
  <c r="AC1995" i="1" s="1"/>
  <c r="V1996" i="1" l="1"/>
  <c r="T1997" i="1"/>
  <c r="AB1996" i="1"/>
  <c r="AC1996" i="1" s="1"/>
  <c r="U1996" i="1"/>
  <c r="V1997" i="1" l="1"/>
  <c r="T1998" i="1"/>
  <c r="AB1997" i="1"/>
  <c r="AC1997" i="1" s="1"/>
  <c r="U1997" i="1"/>
  <c r="AB1998" i="1" l="1"/>
  <c r="AC1998" i="1" s="1"/>
  <c r="U1998" i="1"/>
  <c r="T1999" i="1"/>
  <c r="V1998" i="1"/>
  <c r="T2000" i="1" l="1"/>
  <c r="AB1999" i="1"/>
  <c r="AC1999" i="1" s="1"/>
  <c r="U1999" i="1"/>
  <c r="V1999" i="1"/>
  <c r="U2000" i="1" l="1"/>
  <c r="V2000" i="1"/>
  <c r="T2001" i="1"/>
  <c r="AB2000" i="1"/>
  <c r="AC2000" i="1" s="1"/>
  <c r="T2002" i="1" l="1"/>
  <c r="AB2001" i="1"/>
  <c r="AC2001" i="1" s="1"/>
  <c r="U2001" i="1"/>
  <c r="V2001" i="1"/>
  <c r="U2002" i="1" l="1"/>
  <c r="T2003" i="1"/>
  <c r="AB2002" i="1"/>
  <c r="AC2002" i="1" s="1"/>
  <c r="V2002" i="1"/>
  <c r="U2003" i="1" l="1"/>
  <c r="V2003" i="1"/>
  <c r="AB2003" i="1"/>
  <c r="AC2003" i="1" s="1"/>
  <c r="T2004" i="1"/>
  <c r="T2005" i="1" l="1"/>
  <c r="V2004" i="1"/>
  <c r="AB2004" i="1"/>
  <c r="AC2004" i="1" s="1"/>
  <c r="U2004" i="1"/>
  <c r="AB2005" i="1" l="1"/>
  <c r="AC2005" i="1" s="1"/>
  <c r="T2006" i="1"/>
  <c r="V2005" i="1"/>
  <c r="U2005" i="1"/>
  <c r="V2006" i="1" l="1"/>
  <c r="AB2006" i="1"/>
  <c r="AC2006" i="1" s="1"/>
  <c r="T2007" i="1"/>
  <c r="U2006" i="1"/>
  <c r="AB2007" i="1" l="1"/>
  <c r="AC2007" i="1" s="1"/>
  <c r="V2007" i="1"/>
  <c r="T2008" i="1"/>
  <c r="U2007" i="1"/>
  <c r="T2009" i="1" l="1"/>
  <c r="AB2008" i="1"/>
  <c r="AC2008" i="1" s="1"/>
  <c r="U2008" i="1"/>
  <c r="V2008" i="1"/>
  <c r="T2010" i="1" l="1"/>
  <c r="U2009" i="1"/>
  <c r="AB2009" i="1"/>
  <c r="AC2009" i="1" s="1"/>
  <c r="V2009" i="1"/>
  <c r="AB2010" i="1" l="1"/>
  <c r="AC2010" i="1" s="1"/>
  <c r="T2011" i="1"/>
  <c r="U2010" i="1"/>
  <c r="V2010" i="1"/>
  <c r="U2011" i="1" l="1"/>
  <c r="T2012" i="1"/>
  <c r="AB2011" i="1"/>
  <c r="AC2011" i="1" s="1"/>
  <c r="V2011" i="1"/>
  <c r="T2013" i="1" l="1"/>
  <c r="V2012" i="1"/>
  <c r="U2012" i="1"/>
  <c r="AB2012" i="1"/>
  <c r="AC2012" i="1" s="1"/>
  <c r="AB2013" i="1" l="1"/>
  <c r="AC2013" i="1" s="1"/>
  <c r="T2014" i="1"/>
  <c r="V2013" i="1"/>
  <c r="U2013" i="1"/>
  <c r="T2015" i="1" l="1"/>
  <c r="AB2014" i="1"/>
  <c r="AC2014" i="1" s="1"/>
  <c r="V2014" i="1"/>
  <c r="U2014" i="1"/>
  <c r="T2016" i="1" l="1"/>
  <c r="AB2015" i="1"/>
  <c r="AC2015" i="1" s="1"/>
  <c r="V2015" i="1"/>
  <c r="U2015" i="1"/>
  <c r="V2016" i="1" l="1"/>
  <c r="AB2016" i="1"/>
  <c r="AC2016" i="1" s="1"/>
  <c r="T2017" i="1"/>
  <c r="U2016" i="1"/>
  <c r="AB2017" i="1" l="1"/>
  <c r="AC2017" i="1" s="1"/>
  <c r="T2018" i="1"/>
  <c r="V2017" i="1"/>
  <c r="U2017" i="1"/>
  <c r="U2018" i="1" l="1"/>
  <c r="V2018" i="1"/>
  <c r="AB2018" i="1"/>
  <c r="AC2018" i="1" s="1"/>
  <c r="T2019" i="1"/>
  <c r="AB2019" i="1" l="1"/>
  <c r="AC2019" i="1" s="1"/>
  <c r="V2019" i="1"/>
  <c r="U2019" i="1"/>
  <c r="T2020" i="1"/>
  <c r="U2020" i="1" l="1"/>
  <c r="T2021" i="1"/>
  <c r="V2020" i="1"/>
  <c r="AB2020" i="1"/>
  <c r="AC2020" i="1" s="1"/>
  <c r="T2022" i="1" l="1"/>
  <c r="V2021" i="1"/>
  <c r="U2021" i="1"/>
  <c r="AB2021" i="1"/>
  <c r="AC2021" i="1" s="1"/>
  <c r="T2023" i="1" l="1"/>
  <c r="AB2022" i="1"/>
  <c r="AC2022" i="1" s="1"/>
  <c r="V2022" i="1"/>
  <c r="U2022" i="1"/>
  <c r="AB2023" i="1" l="1"/>
  <c r="AC2023" i="1" s="1"/>
  <c r="V2023" i="1"/>
  <c r="U2023" i="1"/>
  <c r="T2024" i="1"/>
  <c r="AB2024" i="1" l="1"/>
  <c r="AC2024" i="1" s="1"/>
  <c r="U2024" i="1"/>
  <c r="T2025" i="1"/>
  <c r="V2024" i="1"/>
  <c r="AB2025" i="1" l="1"/>
  <c r="AC2025" i="1" s="1"/>
  <c r="U2025" i="1"/>
  <c r="V2025" i="1"/>
  <c r="T2026" i="1"/>
  <c r="T2027" i="1" l="1"/>
  <c r="U2026" i="1"/>
  <c r="AB2026" i="1"/>
  <c r="AC2026" i="1" s="1"/>
  <c r="V2026" i="1"/>
  <c r="U2027" i="1" l="1"/>
  <c r="AB2027" i="1"/>
  <c r="AC2027" i="1" s="1"/>
  <c r="T2028" i="1"/>
  <c r="V2027" i="1"/>
  <c r="V2028" i="1" l="1"/>
  <c r="AB2028" i="1"/>
  <c r="AC2028" i="1" s="1"/>
  <c r="T2029" i="1"/>
  <c r="U2028" i="1"/>
  <c r="AB2029" i="1" l="1"/>
  <c r="AC2029" i="1" s="1"/>
  <c r="U2029" i="1"/>
  <c r="T2030" i="1"/>
  <c r="V2029" i="1"/>
  <c r="T2031" i="1" l="1"/>
  <c r="AB2030" i="1"/>
  <c r="AC2030" i="1" s="1"/>
  <c r="U2030" i="1"/>
  <c r="V2030" i="1"/>
  <c r="AB2031" i="1" l="1"/>
  <c r="AC2031" i="1" s="1"/>
  <c r="U2031" i="1"/>
  <c r="T2032" i="1"/>
  <c r="V2031" i="1"/>
  <c r="AB2032" i="1" l="1"/>
  <c r="AC2032" i="1" s="1"/>
  <c r="U2032" i="1"/>
  <c r="V2032" i="1"/>
  <c r="T2033" i="1"/>
  <c r="AB2033" i="1" l="1"/>
  <c r="AC2033" i="1" s="1"/>
  <c r="V2033" i="1"/>
  <c r="T2034" i="1"/>
  <c r="U2033" i="1"/>
  <c r="V2034" i="1" l="1"/>
  <c r="AB2034" i="1"/>
  <c r="AC2034" i="1" s="1"/>
  <c r="T2035" i="1"/>
  <c r="U2034" i="1"/>
  <c r="AB2035" i="1" l="1"/>
  <c r="AC2035" i="1" s="1"/>
  <c r="V2035" i="1"/>
  <c r="T2036" i="1"/>
  <c r="U2035" i="1"/>
  <c r="AB2036" i="1" l="1"/>
  <c r="AC2036" i="1" s="1"/>
  <c r="U2036" i="1"/>
  <c r="V2036" i="1"/>
  <c r="T2037" i="1"/>
  <c r="AB2037" i="1" l="1"/>
  <c r="AC2037" i="1" s="1"/>
  <c r="V2037" i="1"/>
  <c r="T2038" i="1"/>
  <c r="U2037" i="1"/>
  <c r="T2039" i="1" l="1"/>
  <c r="U2038" i="1"/>
  <c r="V2038" i="1"/>
  <c r="AB2038" i="1"/>
  <c r="AC2038" i="1" s="1"/>
  <c r="T2040" i="1" l="1"/>
  <c r="V2039" i="1"/>
  <c r="U2039" i="1"/>
  <c r="AB2039" i="1"/>
  <c r="AC2039" i="1" s="1"/>
  <c r="V2040" i="1" l="1"/>
  <c r="T2041" i="1"/>
  <c r="AB2040" i="1"/>
  <c r="AC2040" i="1" s="1"/>
  <c r="U2040" i="1"/>
  <c r="AB2041" i="1" l="1"/>
  <c r="AC2041" i="1" s="1"/>
  <c r="T2042" i="1"/>
  <c r="U2041" i="1"/>
  <c r="V2041" i="1"/>
  <c r="T2043" i="1" l="1"/>
  <c r="AB2042" i="1"/>
  <c r="AC2042" i="1" s="1"/>
  <c r="U2042" i="1"/>
  <c r="V2042" i="1"/>
  <c r="V2043" i="1" l="1"/>
  <c r="AB2043" i="1"/>
  <c r="AC2043" i="1" s="1"/>
  <c r="T2044" i="1"/>
  <c r="U2043" i="1"/>
  <c r="AB2044" i="1" l="1"/>
  <c r="AC2044" i="1" s="1"/>
  <c r="T2045" i="1"/>
  <c r="U2044" i="1"/>
  <c r="V2044" i="1"/>
  <c r="AB2045" i="1" l="1"/>
  <c r="AC2045" i="1" s="1"/>
  <c r="T2046" i="1"/>
  <c r="U2045" i="1"/>
  <c r="V2045" i="1"/>
  <c r="V2046" i="1" l="1"/>
  <c r="T2047" i="1"/>
  <c r="AB2046" i="1"/>
  <c r="AC2046" i="1" s="1"/>
  <c r="U2046" i="1"/>
  <c r="U2047" i="1" l="1"/>
  <c r="V2047" i="1"/>
  <c r="T2048" i="1"/>
  <c r="AB2047" i="1"/>
  <c r="AC2047" i="1" s="1"/>
  <c r="AB2048" i="1" l="1"/>
  <c r="AC2048" i="1" s="1"/>
  <c r="T2049" i="1"/>
  <c r="U2048" i="1"/>
  <c r="V2048" i="1"/>
  <c r="V2049" i="1" l="1"/>
  <c r="AB2049" i="1"/>
  <c r="AC2049" i="1" s="1"/>
  <c r="U2049" i="1"/>
  <c r="T2050" i="1"/>
  <c r="V2050" i="1" l="1"/>
  <c r="U2050" i="1"/>
  <c r="AB2050" i="1"/>
  <c r="AC2050" i="1" s="1"/>
  <c r="T2051" i="1"/>
  <c r="AB2051" i="1" l="1"/>
  <c r="AC2051" i="1" s="1"/>
  <c r="V2051" i="1"/>
  <c r="U2051" i="1"/>
  <c r="T2052" i="1"/>
  <c r="T2053" i="1" l="1"/>
  <c r="V2052" i="1"/>
  <c r="U2052" i="1"/>
  <c r="AB2052" i="1"/>
  <c r="AC2052" i="1" s="1"/>
  <c r="T2054" i="1" l="1"/>
  <c r="U2053" i="1"/>
  <c r="AB2053" i="1"/>
  <c r="AC2053" i="1" s="1"/>
  <c r="V2053" i="1"/>
  <c r="AB2054" i="1" l="1"/>
  <c r="AC2054" i="1" s="1"/>
  <c r="V2054" i="1"/>
  <c r="T2055" i="1"/>
  <c r="U2054" i="1"/>
  <c r="AB2055" i="1" l="1"/>
  <c r="AC2055" i="1" s="1"/>
  <c r="T2056" i="1"/>
  <c r="U2055" i="1"/>
  <c r="V2055" i="1"/>
  <c r="AB2056" i="1" l="1"/>
  <c r="AC2056" i="1" s="1"/>
  <c r="T2057" i="1"/>
  <c r="V2056" i="1"/>
  <c r="U2056" i="1"/>
  <c r="T2058" i="1" l="1"/>
  <c r="AB2057" i="1"/>
  <c r="AC2057" i="1" s="1"/>
  <c r="V2057" i="1"/>
  <c r="U2057" i="1"/>
  <c r="AB2058" i="1" l="1"/>
  <c r="AC2058" i="1" s="1"/>
  <c r="V2058" i="1"/>
  <c r="U2058" i="1"/>
  <c r="T2059" i="1"/>
  <c r="T2060" i="1" l="1"/>
  <c r="U2059" i="1"/>
  <c r="AB2059" i="1"/>
  <c r="AC2059" i="1" s="1"/>
  <c r="V2059" i="1"/>
  <c r="AB2060" i="1" l="1"/>
  <c r="AC2060" i="1" s="1"/>
  <c r="V2060" i="1"/>
  <c r="T2061" i="1"/>
  <c r="U2060" i="1"/>
  <c r="T2062" i="1" l="1"/>
  <c r="U2061" i="1"/>
  <c r="AB2061" i="1"/>
  <c r="AC2061" i="1" s="1"/>
  <c r="V2061" i="1"/>
  <c r="T2063" i="1" l="1"/>
  <c r="AB2062" i="1"/>
  <c r="AC2062" i="1" s="1"/>
  <c r="U2062" i="1"/>
  <c r="V2062" i="1"/>
  <c r="AB2063" i="1" l="1"/>
  <c r="AC2063" i="1" s="1"/>
  <c r="U2063" i="1"/>
  <c r="T2064" i="1"/>
  <c r="V2063" i="1"/>
  <c r="T2065" i="1" l="1"/>
  <c r="AB2064" i="1"/>
  <c r="AC2064" i="1" s="1"/>
  <c r="V2064" i="1"/>
  <c r="U2064" i="1"/>
  <c r="T2066" i="1" l="1"/>
  <c r="AB2065" i="1"/>
  <c r="AC2065" i="1" s="1"/>
  <c r="V2065" i="1"/>
  <c r="U2065" i="1"/>
  <c r="AB2066" i="1" l="1"/>
  <c r="AC2066" i="1" s="1"/>
  <c r="U2066" i="1"/>
  <c r="T2067" i="1"/>
  <c r="V2066" i="1"/>
  <c r="T2068" i="1" l="1"/>
  <c r="AB2067" i="1"/>
  <c r="AC2067" i="1" s="1"/>
  <c r="U2067" i="1"/>
  <c r="V2067" i="1"/>
  <c r="T2069" i="1" l="1"/>
  <c r="V2068" i="1"/>
  <c r="AB2068" i="1"/>
  <c r="AC2068" i="1" s="1"/>
  <c r="U2068" i="1"/>
  <c r="AB2069" i="1" l="1"/>
  <c r="AC2069" i="1" s="1"/>
  <c r="U2069" i="1"/>
  <c r="V2069" i="1"/>
  <c r="T2070" i="1"/>
  <c r="T2071" i="1" l="1"/>
  <c r="U2070" i="1"/>
  <c r="V2070" i="1"/>
  <c r="AB2070" i="1"/>
  <c r="AC2070" i="1" s="1"/>
  <c r="AB2071" i="1" l="1"/>
  <c r="AC2071" i="1" s="1"/>
  <c r="V2071" i="1"/>
  <c r="T2072" i="1"/>
  <c r="U2071" i="1"/>
  <c r="T2073" i="1" l="1"/>
  <c r="AB2072" i="1"/>
  <c r="AC2072" i="1" s="1"/>
  <c r="V2072" i="1"/>
  <c r="U2072" i="1"/>
  <c r="AB2073" i="1" l="1"/>
  <c r="AC2073" i="1" s="1"/>
  <c r="V2073" i="1"/>
  <c r="U2073" i="1"/>
  <c r="T2074" i="1"/>
  <c r="AB2074" i="1" l="1"/>
  <c r="AC2074" i="1" s="1"/>
  <c r="T2075" i="1"/>
  <c r="U2074" i="1"/>
  <c r="V2074" i="1"/>
  <c r="AB2075" i="1" l="1"/>
  <c r="AC2075" i="1" s="1"/>
  <c r="U2075" i="1"/>
  <c r="T2076" i="1"/>
  <c r="V2075" i="1"/>
  <c r="T2077" i="1" l="1"/>
  <c r="U2076" i="1"/>
  <c r="AB2076" i="1"/>
  <c r="AC2076" i="1" s="1"/>
  <c r="V2076" i="1"/>
  <c r="AB2077" i="1" l="1"/>
  <c r="AC2077" i="1" s="1"/>
  <c r="V2077" i="1"/>
  <c r="U2077" i="1"/>
  <c r="T2078" i="1"/>
  <c r="AB2078" i="1" l="1"/>
  <c r="AC2078" i="1" s="1"/>
  <c r="V2078" i="1"/>
  <c r="T2079" i="1"/>
  <c r="U2078" i="1"/>
  <c r="AB2079" i="1" l="1"/>
  <c r="AC2079" i="1" s="1"/>
  <c r="U2079" i="1"/>
  <c r="T2080" i="1"/>
  <c r="V2079" i="1"/>
  <c r="T2081" i="1" l="1"/>
  <c r="AB2080" i="1"/>
  <c r="AC2080" i="1" s="1"/>
  <c r="U2080" i="1"/>
  <c r="V2080" i="1"/>
  <c r="T2082" i="1" l="1"/>
  <c r="AB2081" i="1"/>
  <c r="AC2081" i="1" s="1"/>
  <c r="V2081" i="1"/>
  <c r="U2081" i="1"/>
  <c r="T2083" i="1" l="1"/>
  <c r="U2082" i="1"/>
  <c r="V2082" i="1"/>
  <c r="AB2082" i="1"/>
  <c r="AC2082" i="1" s="1"/>
  <c r="AB2083" i="1" l="1"/>
  <c r="AC2083" i="1" s="1"/>
  <c r="V2083" i="1"/>
  <c r="U2083" i="1"/>
  <c r="T2084" i="1"/>
  <c r="AB2084" i="1" l="1"/>
  <c r="AC2084" i="1" s="1"/>
  <c r="T2085" i="1"/>
  <c r="V2084" i="1"/>
  <c r="U2084" i="1"/>
  <c r="T2086" i="1" l="1"/>
  <c r="U2085" i="1"/>
  <c r="AB2085" i="1"/>
  <c r="AC2085" i="1" s="1"/>
  <c r="V2085" i="1"/>
  <c r="T2087" i="1" l="1"/>
  <c r="U2086" i="1"/>
  <c r="AB2086" i="1"/>
  <c r="AC2086" i="1" s="1"/>
  <c r="V2086" i="1"/>
  <c r="T2088" i="1" l="1"/>
  <c r="U2087" i="1"/>
  <c r="AB2087" i="1"/>
  <c r="AC2087" i="1" s="1"/>
  <c r="V2087" i="1"/>
  <c r="V2088" i="1" l="1"/>
  <c r="T2089" i="1"/>
  <c r="AB2088" i="1"/>
  <c r="AC2088" i="1" s="1"/>
  <c r="U2088" i="1"/>
  <c r="U2089" i="1" l="1"/>
  <c r="T2090" i="1"/>
  <c r="AB2089" i="1"/>
  <c r="AC2089" i="1" s="1"/>
  <c r="V2089" i="1"/>
  <c r="AB2090" i="1" l="1"/>
  <c r="AC2090" i="1" s="1"/>
  <c r="V2090" i="1"/>
  <c r="T2091" i="1"/>
  <c r="U2090" i="1"/>
  <c r="AB2091" i="1" l="1"/>
  <c r="AC2091" i="1" s="1"/>
  <c r="T2092" i="1"/>
  <c r="U2091" i="1"/>
  <c r="V2091" i="1"/>
  <c r="AB2092" i="1" l="1"/>
  <c r="AC2092" i="1" s="1"/>
  <c r="T2093" i="1"/>
  <c r="V2092" i="1"/>
  <c r="U2092" i="1"/>
  <c r="T2094" i="1" l="1"/>
  <c r="AB2093" i="1"/>
  <c r="AC2093" i="1" s="1"/>
  <c r="U2093" i="1"/>
  <c r="V2093" i="1"/>
  <c r="AB2094" i="1" l="1"/>
  <c r="AC2094" i="1" s="1"/>
  <c r="T2095" i="1"/>
  <c r="U2094" i="1"/>
  <c r="V2094" i="1"/>
  <c r="T2096" i="1" l="1"/>
  <c r="AB2095" i="1"/>
  <c r="AC2095" i="1" s="1"/>
  <c r="V2095" i="1"/>
  <c r="U2095" i="1"/>
  <c r="T2097" i="1" l="1"/>
  <c r="AB2096" i="1"/>
  <c r="AC2096" i="1" s="1"/>
  <c r="U2096" i="1"/>
  <c r="V2096" i="1"/>
  <c r="V2097" i="1" l="1"/>
  <c r="T2098" i="1"/>
  <c r="U2097" i="1"/>
  <c r="AB2097" i="1"/>
  <c r="AC2097" i="1" s="1"/>
  <c r="T2099" i="1" l="1"/>
  <c r="AB2098" i="1"/>
  <c r="AC2098" i="1" s="1"/>
  <c r="U2098" i="1"/>
  <c r="V2098" i="1"/>
  <c r="T2100" i="1" l="1"/>
  <c r="AB2099" i="1"/>
  <c r="AC2099" i="1" s="1"/>
  <c r="U2099" i="1"/>
  <c r="V2099" i="1"/>
  <c r="AB2100" i="1" l="1"/>
  <c r="AC2100" i="1" s="1"/>
  <c r="T2101" i="1"/>
  <c r="U2100" i="1"/>
  <c r="V2100" i="1"/>
  <c r="U2101" i="1" l="1"/>
  <c r="T2102" i="1"/>
  <c r="AB2101" i="1"/>
  <c r="AC2101" i="1" s="1"/>
  <c r="V2101" i="1"/>
  <c r="AB2102" i="1" l="1"/>
  <c r="AC2102" i="1" s="1"/>
  <c r="T2103" i="1"/>
  <c r="V2102" i="1"/>
  <c r="U2102" i="1"/>
  <c r="AB2103" i="1" l="1"/>
  <c r="AC2103" i="1" s="1"/>
  <c r="U2103" i="1"/>
  <c r="V2103" i="1"/>
  <c r="T2104" i="1"/>
  <c r="U2104" i="1" l="1"/>
  <c r="AB2104" i="1"/>
  <c r="AC2104" i="1" s="1"/>
  <c r="T2105" i="1"/>
  <c r="V2104" i="1"/>
  <c r="T2106" i="1" l="1"/>
  <c r="AB2105" i="1"/>
  <c r="AC2105" i="1" s="1"/>
  <c r="U2105" i="1"/>
  <c r="V2105" i="1"/>
  <c r="T2107" i="1" l="1"/>
  <c r="AB2106" i="1"/>
  <c r="AC2106" i="1" s="1"/>
  <c r="U2106" i="1"/>
  <c r="V2106" i="1"/>
  <c r="T2108" i="1" l="1"/>
  <c r="AB2107" i="1"/>
  <c r="AC2107" i="1" s="1"/>
  <c r="V2107" i="1"/>
  <c r="U2107" i="1"/>
  <c r="T2109" i="1" l="1"/>
  <c r="AB2108" i="1"/>
  <c r="AC2108" i="1" s="1"/>
  <c r="V2108" i="1"/>
  <c r="U2108" i="1"/>
  <c r="AB2109" i="1" l="1"/>
  <c r="AC2109" i="1" s="1"/>
  <c r="T2110" i="1"/>
  <c r="U2109" i="1"/>
  <c r="V2109" i="1"/>
  <c r="AB2110" i="1" l="1"/>
  <c r="AC2110" i="1" s="1"/>
  <c r="V2110" i="1"/>
  <c r="U2110" i="1"/>
  <c r="T2111" i="1"/>
  <c r="AB2111" i="1" l="1"/>
  <c r="AC2111" i="1" s="1"/>
  <c r="V2111" i="1"/>
  <c r="U2111" i="1"/>
  <c r="T2112" i="1"/>
  <c r="T2113" i="1" l="1"/>
  <c r="AB2112" i="1"/>
  <c r="AC2112" i="1" s="1"/>
  <c r="U2112" i="1"/>
  <c r="V2112" i="1"/>
  <c r="T2114" i="1" l="1"/>
  <c r="V2113" i="1"/>
  <c r="AB2113" i="1"/>
  <c r="AC2113" i="1" s="1"/>
  <c r="U2113" i="1"/>
  <c r="AB2114" i="1" l="1"/>
  <c r="AC2114" i="1" s="1"/>
  <c r="V2114" i="1"/>
  <c r="T2115" i="1"/>
  <c r="U2114" i="1"/>
  <c r="AB2115" i="1" l="1"/>
  <c r="AC2115" i="1" s="1"/>
  <c r="U2115" i="1"/>
  <c r="V2115" i="1"/>
  <c r="T2116" i="1"/>
  <c r="T2117" i="1" l="1"/>
  <c r="U2116" i="1"/>
  <c r="V2116" i="1"/>
  <c r="AB2116" i="1"/>
  <c r="AC2116" i="1" s="1"/>
  <c r="AB2117" i="1" l="1"/>
  <c r="AC2117" i="1" s="1"/>
  <c r="V2117" i="1"/>
  <c r="U2117" i="1"/>
  <c r="T2118" i="1"/>
  <c r="T2119" i="1" l="1"/>
  <c r="AB2118" i="1"/>
  <c r="AC2118" i="1" s="1"/>
  <c r="U2118" i="1"/>
  <c r="V2118" i="1"/>
  <c r="T2120" i="1" l="1"/>
  <c r="AB2119" i="1"/>
  <c r="AC2119" i="1" s="1"/>
  <c r="U2119" i="1"/>
  <c r="V2119" i="1"/>
  <c r="AB2120" i="1" l="1"/>
  <c r="AC2120" i="1" s="1"/>
  <c r="T2121" i="1"/>
  <c r="U2120" i="1"/>
  <c r="V2120" i="1"/>
  <c r="T2122" i="1" l="1"/>
  <c r="AB2121" i="1"/>
  <c r="AC2121" i="1" s="1"/>
  <c r="V2121" i="1"/>
  <c r="U2121" i="1"/>
  <c r="AB2122" i="1" l="1"/>
  <c r="AC2122" i="1" s="1"/>
  <c r="T2123" i="1"/>
  <c r="U2122" i="1"/>
  <c r="V2122" i="1"/>
  <c r="V2123" i="1" l="1"/>
  <c r="AB2123" i="1"/>
  <c r="AC2123" i="1" s="1"/>
  <c r="T2124" i="1"/>
  <c r="U2123" i="1"/>
  <c r="AB2124" i="1" l="1"/>
  <c r="AC2124" i="1" s="1"/>
  <c r="T2125" i="1"/>
  <c r="U2124" i="1"/>
  <c r="V2124" i="1"/>
  <c r="AB2125" i="1" l="1"/>
  <c r="AC2125" i="1" s="1"/>
  <c r="V2125" i="1"/>
  <c r="U2125" i="1"/>
  <c r="T2126" i="1"/>
  <c r="T2127" i="1" l="1"/>
  <c r="U2126" i="1"/>
  <c r="V2126" i="1"/>
  <c r="AB2126" i="1"/>
  <c r="AC2126" i="1" s="1"/>
  <c r="T2128" i="1" l="1"/>
  <c r="AB2127" i="1"/>
  <c r="AC2127" i="1" s="1"/>
  <c r="U2127" i="1"/>
  <c r="V2127" i="1"/>
  <c r="U2128" i="1" l="1"/>
  <c r="AB2128" i="1"/>
  <c r="AC2128" i="1" s="1"/>
  <c r="V2128" i="1"/>
  <c r="T2129" i="1"/>
  <c r="T2130" i="1" l="1"/>
  <c r="AB2129" i="1"/>
  <c r="AC2129" i="1" s="1"/>
  <c r="V2129" i="1"/>
  <c r="U2129" i="1"/>
  <c r="AB2130" i="1" l="1"/>
  <c r="AC2130" i="1" s="1"/>
  <c r="V2130" i="1"/>
  <c r="U2130" i="1"/>
  <c r="T2131" i="1"/>
  <c r="AB2131" i="1" l="1"/>
  <c r="AC2131" i="1" s="1"/>
  <c r="T2132" i="1"/>
  <c r="V2131" i="1"/>
  <c r="U2131" i="1"/>
  <c r="AB2132" i="1" l="1"/>
  <c r="AC2132" i="1" s="1"/>
  <c r="V2132" i="1"/>
  <c r="U2132" i="1"/>
  <c r="T2133" i="1"/>
  <c r="T2134" i="1" l="1"/>
  <c r="AB2133" i="1"/>
  <c r="AC2133" i="1" s="1"/>
  <c r="U2133" i="1"/>
  <c r="V2133" i="1"/>
  <c r="T2135" i="1" l="1"/>
  <c r="V2134" i="1"/>
  <c r="AB2134" i="1"/>
  <c r="AC2134" i="1" s="1"/>
  <c r="U2134" i="1"/>
  <c r="AB2135" i="1" l="1"/>
  <c r="AC2135" i="1" s="1"/>
  <c r="T2136" i="1"/>
  <c r="V2135" i="1"/>
  <c r="U2135" i="1"/>
  <c r="T2137" i="1" l="1"/>
  <c r="V2136" i="1"/>
  <c r="AB2136" i="1"/>
  <c r="AC2136" i="1" s="1"/>
  <c r="U2136" i="1"/>
  <c r="AB2137" i="1" l="1"/>
  <c r="AC2137" i="1" s="1"/>
  <c r="T2138" i="1"/>
  <c r="U2137" i="1"/>
  <c r="V2137" i="1"/>
  <c r="AB2138" i="1" l="1"/>
  <c r="AC2138" i="1" s="1"/>
  <c r="T2139" i="1"/>
  <c r="V2138" i="1"/>
  <c r="U2138" i="1"/>
  <c r="AB2139" i="1" l="1"/>
  <c r="AC2139" i="1" s="1"/>
  <c r="V2139" i="1"/>
  <c r="U2139" i="1"/>
  <c r="T2140" i="1"/>
  <c r="T2141" i="1" l="1"/>
  <c r="U2140" i="1"/>
  <c r="AB2140" i="1"/>
  <c r="AC2140" i="1" s="1"/>
  <c r="V2140" i="1"/>
  <c r="T2142" i="1" l="1"/>
  <c r="AB2141" i="1"/>
  <c r="AC2141" i="1" s="1"/>
  <c r="V2141" i="1"/>
  <c r="U2141" i="1"/>
  <c r="T2143" i="1" l="1"/>
  <c r="U2142" i="1"/>
  <c r="AB2142" i="1"/>
  <c r="AC2142" i="1" s="1"/>
  <c r="V2142" i="1"/>
  <c r="U2143" i="1" l="1"/>
  <c r="T2144" i="1"/>
  <c r="AB2143" i="1"/>
  <c r="AC2143" i="1" s="1"/>
  <c r="V2143" i="1"/>
  <c r="V2144" i="1" l="1"/>
  <c r="T2145" i="1"/>
  <c r="AB2144" i="1"/>
  <c r="AC2144" i="1" s="1"/>
  <c r="U2144" i="1"/>
  <c r="V2145" i="1" l="1"/>
  <c r="AB2145" i="1"/>
  <c r="AC2145" i="1" s="1"/>
  <c r="U2145" i="1"/>
  <c r="T2146" i="1"/>
  <c r="T2147" i="1" l="1"/>
  <c r="U2146" i="1"/>
  <c r="AB2146" i="1"/>
  <c r="AC2146" i="1" s="1"/>
  <c r="V2146" i="1"/>
  <c r="T2148" i="1" l="1"/>
  <c r="V2147" i="1"/>
  <c r="AB2147" i="1"/>
  <c r="AC2147" i="1" s="1"/>
  <c r="U2147" i="1"/>
  <c r="AB2148" i="1" l="1"/>
  <c r="AC2148" i="1" s="1"/>
  <c r="T2149" i="1"/>
  <c r="U2148" i="1"/>
  <c r="V2148" i="1"/>
  <c r="T2150" i="1" l="1"/>
  <c r="V2149" i="1"/>
  <c r="U2149" i="1"/>
  <c r="AB2149" i="1"/>
  <c r="AC2149" i="1" s="1"/>
  <c r="U2150" i="1" l="1"/>
  <c r="V2150" i="1"/>
  <c r="AB2150" i="1"/>
  <c r="AC2150" i="1" s="1"/>
  <c r="T2151" i="1"/>
  <c r="V2151" i="1" l="1"/>
  <c r="U2151" i="1"/>
  <c r="T2152" i="1"/>
  <c r="AB2151" i="1"/>
  <c r="AC2151" i="1" s="1"/>
  <c r="AB2152" i="1" l="1"/>
  <c r="AC2152" i="1" s="1"/>
  <c r="U2152" i="1"/>
  <c r="V2152" i="1"/>
  <c r="T2153" i="1"/>
  <c r="AB2153" i="1" l="1"/>
  <c r="AC2153" i="1" s="1"/>
  <c r="V2153" i="1"/>
  <c r="T2154" i="1"/>
  <c r="U2153" i="1"/>
  <c r="U2154" i="1" l="1"/>
  <c r="AB2154" i="1"/>
  <c r="AC2154" i="1" s="1"/>
  <c r="T2155" i="1"/>
  <c r="V2154" i="1"/>
  <c r="AB2155" i="1" l="1"/>
  <c r="AC2155" i="1" s="1"/>
  <c r="T2156" i="1"/>
  <c r="U2155" i="1"/>
  <c r="V2155" i="1"/>
  <c r="T2157" i="1" l="1"/>
  <c r="AB2156" i="1"/>
  <c r="AC2156" i="1" s="1"/>
  <c r="U2156" i="1"/>
  <c r="V2156" i="1"/>
  <c r="U2157" i="1" l="1"/>
  <c r="T2158" i="1"/>
  <c r="AB2157" i="1"/>
  <c r="AC2157" i="1" s="1"/>
  <c r="V2157" i="1"/>
  <c r="T2159" i="1" l="1"/>
  <c r="AB2158" i="1"/>
  <c r="AC2158" i="1" s="1"/>
  <c r="U2158" i="1"/>
  <c r="V2158" i="1"/>
  <c r="T2160" i="1" l="1"/>
  <c r="V2159" i="1"/>
  <c r="U2159" i="1"/>
  <c r="AB2159" i="1"/>
  <c r="AC2159" i="1" s="1"/>
  <c r="T2161" i="1" l="1"/>
  <c r="AB2160" i="1"/>
  <c r="AC2160" i="1" s="1"/>
  <c r="V2160" i="1"/>
  <c r="U2160" i="1"/>
  <c r="AB2161" i="1" l="1"/>
  <c r="AC2161" i="1" s="1"/>
  <c r="T2162" i="1"/>
  <c r="U2161" i="1"/>
  <c r="V2161" i="1"/>
  <c r="T2163" i="1" l="1"/>
  <c r="AB2162" i="1"/>
  <c r="AC2162" i="1" s="1"/>
  <c r="U2162" i="1"/>
  <c r="V2162" i="1"/>
  <c r="T2164" i="1" l="1"/>
  <c r="AB2163" i="1"/>
  <c r="AC2163" i="1" s="1"/>
  <c r="U2163" i="1"/>
  <c r="V2163" i="1"/>
  <c r="T2165" i="1" l="1"/>
  <c r="U2164" i="1"/>
  <c r="AB2164" i="1"/>
  <c r="AC2164" i="1" s="1"/>
  <c r="V2164" i="1"/>
  <c r="AB2165" i="1" l="1"/>
  <c r="AC2165" i="1" s="1"/>
  <c r="V2165" i="1"/>
  <c r="U2165" i="1"/>
  <c r="T2166" i="1"/>
  <c r="T2167" i="1" l="1"/>
  <c r="AB2166" i="1"/>
  <c r="AC2166" i="1" s="1"/>
  <c r="V2166" i="1"/>
  <c r="U2166" i="1"/>
  <c r="AB2167" i="1" l="1"/>
  <c r="AC2167" i="1" s="1"/>
  <c r="V2167" i="1"/>
  <c r="T2168" i="1"/>
  <c r="U2167" i="1"/>
  <c r="AB2168" i="1" l="1"/>
  <c r="AC2168" i="1" s="1"/>
  <c r="U2168" i="1"/>
  <c r="V2168" i="1"/>
  <c r="T2169" i="1"/>
  <c r="AB2169" i="1" l="1"/>
  <c r="AC2169" i="1" s="1"/>
  <c r="V2169" i="1"/>
  <c r="U2169" i="1"/>
  <c r="T2170" i="1"/>
  <c r="T2171" i="1" l="1"/>
  <c r="U2170" i="1"/>
  <c r="AB2170" i="1"/>
  <c r="AC2170" i="1" s="1"/>
  <c r="V2170" i="1"/>
  <c r="AB2171" i="1" l="1"/>
  <c r="AC2171" i="1" s="1"/>
  <c r="V2171" i="1"/>
  <c r="T2172" i="1"/>
  <c r="U2171" i="1"/>
  <c r="AB2172" i="1" l="1"/>
  <c r="AC2172" i="1" s="1"/>
  <c r="U2172" i="1"/>
  <c r="V2172" i="1"/>
  <c r="T2173" i="1"/>
  <c r="T2174" i="1" l="1"/>
  <c r="U2173" i="1"/>
  <c r="AB2173" i="1"/>
  <c r="AC2173" i="1" s="1"/>
  <c r="V2173" i="1"/>
  <c r="AB2174" i="1" l="1"/>
  <c r="AC2174" i="1" s="1"/>
  <c r="U2174" i="1"/>
  <c r="V2174" i="1"/>
  <c r="T2175" i="1"/>
  <c r="T2176" i="1" l="1"/>
  <c r="AB2175" i="1"/>
  <c r="AC2175" i="1" s="1"/>
  <c r="U2175" i="1"/>
  <c r="V2175" i="1"/>
  <c r="AB2176" i="1" l="1"/>
  <c r="AC2176" i="1" s="1"/>
  <c r="T2177" i="1"/>
  <c r="U2176" i="1"/>
  <c r="V2176" i="1"/>
  <c r="T2178" i="1" l="1"/>
  <c r="AB2177" i="1"/>
  <c r="AC2177" i="1" s="1"/>
  <c r="U2177" i="1"/>
  <c r="V2177" i="1"/>
  <c r="T2179" i="1" l="1"/>
  <c r="AB2178" i="1"/>
  <c r="AC2178" i="1" s="1"/>
  <c r="V2178" i="1"/>
  <c r="U2178" i="1"/>
  <c r="T2180" i="1" l="1"/>
  <c r="AB2179" i="1"/>
  <c r="AC2179" i="1" s="1"/>
  <c r="V2179" i="1"/>
  <c r="U2179" i="1"/>
  <c r="T2181" i="1" l="1"/>
  <c r="V2180" i="1"/>
  <c r="AB2180" i="1"/>
  <c r="AC2180" i="1" s="1"/>
  <c r="U2180" i="1"/>
  <c r="AB2181" i="1" l="1"/>
  <c r="AC2181" i="1" s="1"/>
  <c r="T2182" i="1"/>
  <c r="V2181" i="1"/>
  <c r="U2181" i="1"/>
  <c r="AB2182" i="1" l="1"/>
  <c r="AC2182" i="1" s="1"/>
  <c r="U2182" i="1"/>
  <c r="T2183" i="1"/>
  <c r="V2182" i="1"/>
  <c r="AB2183" i="1" l="1"/>
  <c r="AC2183" i="1" s="1"/>
  <c r="V2183" i="1"/>
  <c r="T2184" i="1"/>
  <c r="U2183" i="1"/>
  <c r="AB2184" i="1" l="1"/>
  <c r="AC2184" i="1" s="1"/>
  <c r="V2184" i="1"/>
  <c r="U2184" i="1"/>
  <c r="T2185" i="1"/>
  <c r="T2186" i="1" l="1"/>
  <c r="AB2185" i="1"/>
  <c r="AC2185" i="1" s="1"/>
  <c r="V2185" i="1"/>
  <c r="U2185" i="1"/>
  <c r="T2187" i="1" l="1"/>
  <c r="U2186" i="1"/>
  <c r="V2186" i="1"/>
  <c r="AB2186" i="1"/>
  <c r="AC2186" i="1" s="1"/>
  <c r="T2188" i="1" l="1"/>
  <c r="AB2187" i="1"/>
  <c r="AC2187" i="1" s="1"/>
  <c r="U2187" i="1"/>
  <c r="V2187" i="1"/>
  <c r="T2189" i="1" l="1"/>
  <c r="AB2188" i="1"/>
  <c r="AC2188" i="1" s="1"/>
  <c r="V2188" i="1"/>
  <c r="U2188" i="1"/>
  <c r="T2190" i="1" l="1"/>
  <c r="AB2189" i="1"/>
  <c r="AC2189" i="1" s="1"/>
  <c r="V2189" i="1"/>
  <c r="U2189" i="1"/>
  <c r="AB2190" i="1" l="1"/>
  <c r="AC2190" i="1" s="1"/>
  <c r="U2190" i="1"/>
  <c r="V2190" i="1"/>
  <c r="T2191" i="1"/>
  <c r="T2192" i="1" l="1"/>
  <c r="AB2191" i="1"/>
  <c r="AC2191" i="1" s="1"/>
  <c r="U2191" i="1"/>
  <c r="V2191" i="1"/>
  <c r="T2193" i="1" l="1"/>
  <c r="AB2192" i="1"/>
  <c r="AC2192" i="1" s="1"/>
  <c r="U2192" i="1"/>
  <c r="V2192" i="1"/>
  <c r="AB2193" i="1" l="1"/>
  <c r="AC2193" i="1" s="1"/>
  <c r="V2193" i="1"/>
  <c r="U2193" i="1"/>
  <c r="T2194" i="1"/>
  <c r="T2195" i="1" l="1"/>
  <c r="U2194" i="1"/>
  <c r="V2194" i="1"/>
  <c r="AB2194" i="1"/>
  <c r="AC2194" i="1" s="1"/>
  <c r="T2196" i="1" l="1"/>
  <c r="AB2195" i="1"/>
  <c r="AC2195" i="1" s="1"/>
  <c r="V2195" i="1"/>
  <c r="U2195" i="1"/>
  <c r="AB2196" i="1" l="1"/>
  <c r="AC2196" i="1" s="1"/>
  <c r="V2196" i="1"/>
  <c r="U2196" i="1"/>
  <c r="T2197" i="1"/>
  <c r="AB2197" i="1" l="1"/>
  <c r="AC2197" i="1" s="1"/>
  <c r="T2198" i="1"/>
  <c r="U2197" i="1"/>
  <c r="V2197" i="1"/>
  <c r="AB2198" i="1" l="1"/>
  <c r="AC2198" i="1" s="1"/>
  <c r="U2198" i="1"/>
  <c r="V2198" i="1"/>
  <c r="T2199" i="1"/>
  <c r="AB2199" i="1" l="1"/>
  <c r="AC2199" i="1" s="1"/>
  <c r="T2200" i="1"/>
  <c r="U2199" i="1"/>
  <c r="V2199" i="1"/>
  <c r="AB2200" i="1" l="1"/>
  <c r="AC2200" i="1" s="1"/>
  <c r="U2200" i="1"/>
  <c r="V2200" i="1"/>
  <c r="T2201" i="1"/>
  <c r="V2201" i="1" l="1"/>
  <c r="AB2201" i="1"/>
  <c r="AC2201" i="1" s="1"/>
  <c r="T2202" i="1"/>
  <c r="U2201" i="1"/>
  <c r="T2203" i="1" l="1"/>
  <c r="V2202" i="1"/>
  <c r="AB2202" i="1"/>
  <c r="AC2202" i="1" s="1"/>
  <c r="U2202" i="1"/>
  <c r="AB2203" i="1" l="1"/>
  <c r="AC2203" i="1" s="1"/>
  <c r="U2203" i="1"/>
  <c r="T2204" i="1"/>
  <c r="V2203" i="1"/>
  <c r="T2205" i="1" l="1"/>
  <c r="AB2204" i="1"/>
  <c r="AC2204" i="1" s="1"/>
  <c r="V2204" i="1"/>
  <c r="U2204" i="1"/>
  <c r="T2206" i="1" l="1"/>
  <c r="V2205" i="1"/>
  <c r="AB2205" i="1"/>
  <c r="AC2205" i="1" s="1"/>
  <c r="U2205" i="1"/>
  <c r="AB2206" i="1" l="1"/>
  <c r="AC2206" i="1" s="1"/>
  <c r="T2207" i="1"/>
  <c r="V2206" i="1"/>
  <c r="U2206" i="1"/>
  <c r="T2208" i="1" l="1"/>
  <c r="AB2207" i="1"/>
  <c r="AC2207" i="1" s="1"/>
  <c r="U2207" i="1"/>
  <c r="V2207" i="1"/>
  <c r="T2209" i="1" l="1"/>
  <c r="AB2208" i="1"/>
  <c r="AC2208" i="1" s="1"/>
  <c r="V2208" i="1"/>
  <c r="U2208" i="1"/>
  <c r="T2210" i="1" l="1"/>
  <c r="U2209" i="1"/>
  <c r="AB2209" i="1"/>
  <c r="AC2209" i="1" s="1"/>
  <c r="V2209" i="1"/>
  <c r="V2210" i="1" l="1"/>
  <c r="T2211" i="1"/>
  <c r="AB2210" i="1"/>
  <c r="AC2210" i="1" s="1"/>
  <c r="U2210" i="1"/>
  <c r="AB2211" i="1" l="1"/>
  <c r="AC2211" i="1" s="1"/>
  <c r="U2211" i="1"/>
  <c r="V2211" i="1"/>
  <c r="T2212" i="1"/>
  <c r="AB2212" i="1" l="1"/>
  <c r="AC2212" i="1" s="1"/>
  <c r="T2213" i="1"/>
  <c r="V2212" i="1"/>
  <c r="U2212" i="1"/>
  <c r="T2214" i="1" l="1"/>
  <c r="AB2213" i="1"/>
  <c r="AC2213" i="1" s="1"/>
  <c r="U2213" i="1"/>
  <c r="V2213" i="1"/>
  <c r="T2215" i="1" l="1"/>
  <c r="U2214" i="1"/>
  <c r="AB2214" i="1"/>
  <c r="AC2214" i="1" s="1"/>
  <c r="V2214" i="1"/>
  <c r="AB2215" i="1" l="1"/>
  <c r="AC2215" i="1" s="1"/>
  <c r="T2216" i="1"/>
  <c r="U2215" i="1"/>
  <c r="V2215" i="1"/>
  <c r="U2216" i="1" l="1"/>
  <c r="V2216" i="1"/>
  <c r="T2217" i="1"/>
  <c r="AB2216" i="1"/>
  <c r="AC2216" i="1" s="1"/>
  <c r="AB2217" i="1" l="1"/>
  <c r="AC2217" i="1" s="1"/>
  <c r="U2217" i="1"/>
  <c r="V2217" i="1"/>
  <c r="T2218" i="1"/>
  <c r="T2219" i="1" l="1"/>
  <c r="AB2218" i="1"/>
  <c r="AC2218" i="1" s="1"/>
  <c r="U2218" i="1"/>
  <c r="V2218" i="1"/>
  <c r="AB2219" i="1" l="1"/>
  <c r="AC2219" i="1" s="1"/>
  <c r="U2219" i="1"/>
  <c r="V2219" i="1"/>
  <c r="T2220" i="1"/>
  <c r="V2220" i="1" l="1"/>
  <c r="T2221" i="1"/>
  <c r="U2220" i="1"/>
  <c r="AB2220" i="1"/>
  <c r="AC2220" i="1" s="1"/>
  <c r="T2222" i="1" l="1"/>
  <c r="AB2221" i="1"/>
  <c r="AC2221" i="1" s="1"/>
  <c r="V2221" i="1"/>
  <c r="U2221" i="1"/>
  <c r="T2223" i="1" l="1"/>
  <c r="V2222" i="1"/>
  <c r="U2222" i="1"/>
  <c r="AB2222" i="1"/>
  <c r="AC2222" i="1" s="1"/>
  <c r="AB2223" i="1" l="1"/>
  <c r="AC2223" i="1" s="1"/>
  <c r="T2224" i="1"/>
  <c r="U2223" i="1"/>
  <c r="V2223" i="1"/>
  <c r="T2225" i="1" l="1"/>
  <c r="U2224" i="1"/>
  <c r="AB2224" i="1"/>
  <c r="AC2224" i="1" s="1"/>
  <c r="V2224" i="1"/>
  <c r="T2226" i="1" l="1"/>
  <c r="V2225" i="1"/>
  <c r="AB2225" i="1"/>
  <c r="AC2225" i="1" s="1"/>
  <c r="U2225" i="1"/>
  <c r="V2226" i="1" l="1"/>
  <c r="U2226" i="1"/>
  <c r="T2227" i="1"/>
  <c r="AB2226" i="1"/>
  <c r="AC2226" i="1" s="1"/>
  <c r="AB2227" i="1" l="1"/>
  <c r="AC2227" i="1" s="1"/>
  <c r="V2227" i="1"/>
  <c r="U2227" i="1"/>
  <c r="T2228" i="1"/>
  <c r="U2228" i="1" l="1"/>
  <c r="AB2228" i="1"/>
  <c r="AC2228" i="1" s="1"/>
  <c r="V2228" i="1"/>
  <c r="T2229" i="1"/>
  <c r="T2230" i="1" l="1"/>
  <c r="U2229" i="1"/>
  <c r="V2229" i="1"/>
  <c r="AB2229" i="1"/>
  <c r="AC2229" i="1" s="1"/>
  <c r="T2231" i="1" l="1"/>
  <c r="AB2230" i="1"/>
  <c r="AC2230" i="1" s="1"/>
  <c r="V2230" i="1"/>
  <c r="U2230" i="1"/>
  <c r="T2232" i="1" l="1"/>
  <c r="AB2231" i="1"/>
  <c r="AC2231" i="1" s="1"/>
  <c r="V2231" i="1"/>
  <c r="U2231" i="1"/>
  <c r="T2233" i="1" l="1"/>
  <c r="U2232" i="1"/>
  <c r="AB2232" i="1"/>
  <c r="AC2232" i="1" s="1"/>
  <c r="V2232" i="1"/>
  <c r="AB2233" i="1" l="1"/>
  <c r="AC2233" i="1" s="1"/>
  <c r="T2234" i="1"/>
  <c r="U2233" i="1"/>
  <c r="V2233" i="1"/>
  <c r="AB2234" i="1" l="1"/>
  <c r="AC2234" i="1" s="1"/>
  <c r="T2235" i="1"/>
  <c r="V2234" i="1"/>
  <c r="U2234" i="1"/>
  <c r="U2235" i="1" l="1"/>
  <c r="V2235" i="1"/>
  <c r="AB2235" i="1"/>
  <c r="AC2235" i="1" s="1"/>
  <c r="T2236" i="1"/>
  <c r="T2237" i="1" l="1"/>
  <c r="V2236" i="1"/>
  <c r="U2236" i="1"/>
  <c r="AB2236" i="1"/>
  <c r="AC2236" i="1" s="1"/>
  <c r="T2238" i="1" l="1"/>
  <c r="AB2237" i="1"/>
  <c r="AC2237" i="1" s="1"/>
  <c r="V2237" i="1"/>
  <c r="U2237" i="1"/>
  <c r="U2238" i="1" l="1"/>
  <c r="T2239" i="1"/>
  <c r="V2238" i="1"/>
  <c r="AB2238" i="1"/>
  <c r="AC2238" i="1" s="1"/>
  <c r="T2240" i="1" l="1"/>
  <c r="AB2239" i="1"/>
  <c r="AC2239" i="1" s="1"/>
  <c r="U2239" i="1"/>
  <c r="V2239" i="1"/>
  <c r="U2240" i="1" l="1"/>
  <c r="AB2240" i="1"/>
  <c r="AC2240" i="1" s="1"/>
  <c r="T2241" i="1"/>
  <c r="V2240" i="1"/>
  <c r="AB2241" i="1" l="1"/>
  <c r="AC2241" i="1" s="1"/>
  <c r="T2242" i="1"/>
  <c r="V2241" i="1"/>
  <c r="U2241" i="1"/>
  <c r="AB2242" i="1" l="1"/>
  <c r="AC2242" i="1" s="1"/>
  <c r="V2242" i="1"/>
  <c r="U2242" i="1"/>
  <c r="T2243" i="1"/>
  <c r="U2243" i="1" l="1"/>
  <c r="AB2243" i="1"/>
  <c r="AC2243" i="1" s="1"/>
  <c r="T2244" i="1"/>
  <c r="V2243" i="1"/>
  <c r="T2245" i="1" l="1"/>
  <c r="AB2244" i="1"/>
  <c r="AC2244" i="1" s="1"/>
  <c r="V2244" i="1"/>
  <c r="U2244" i="1"/>
  <c r="U2245" i="1" l="1"/>
  <c r="AB2245" i="1"/>
  <c r="AC2245" i="1" s="1"/>
  <c r="T2246" i="1"/>
  <c r="V2245" i="1"/>
  <c r="AB2246" i="1" l="1"/>
  <c r="AC2246" i="1" s="1"/>
  <c r="T2247" i="1"/>
  <c r="V2246" i="1"/>
  <c r="U2246" i="1"/>
  <c r="U2247" i="1" l="1"/>
  <c r="T2248" i="1"/>
  <c r="AB2247" i="1"/>
  <c r="AC2247" i="1" s="1"/>
  <c r="V2247" i="1"/>
  <c r="AB2248" i="1" l="1"/>
  <c r="AC2248" i="1" s="1"/>
  <c r="U2248" i="1"/>
  <c r="T2249" i="1"/>
  <c r="V2248" i="1"/>
  <c r="T2250" i="1" l="1"/>
  <c r="AB2249" i="1"/>
  <c r="AC2249" i="1" s="1"/>
  <c r="U2249" i="1"/>
  <c r="V2249" i="1"/>
  <c r="T2251" i="1" l="1"/>
  <c r="V2250" i="1"/>
  <c r="AB2250" i="1"/>
  <c r="AC2250" i="1" s="1"/>
  <c r="U2250" i="1"/>
  <c r="AB2251" i="1" l="1"/>
  <c r="AC2251" i="1" s="1"/>
  <c r="U2251" i="1"/>
  <c r="V2251" i="1"/>
  <c r="T2252" i="1"/>
  <c r="AB2252" i="1" l="1"/>
  <c r="AC2252" i="1" s="1"/>
  <c r="U2252" i="1"/>
  <c r="V2252" i="1"/>
  <c r="T2253" i="1"/>
  <c r="V2253" i="1" l="1"/>
  <c r="U2253" i="1"/>
  <c r="AB2253" i="1"/>
  <c r="AC2253" i="1" s="1"/>
  <c r="T2254" i="1"/>
  <c r="U2254" i="1" l="1"/>
  <c r="V2254" i="1"/>
  <c r="AB2254" i="1"/>
  <c r="AC2254" i="1" s="1"/>
  <c r="T2255" i="1"/>
  <c r="T2256" i="1" l="1"/>
  <c r="U2255" i="1"/>
  <c r="AB2255" i="1"/>
  <c r="AC2255" i="1" s="1"/>
  <c r="V2255" i="1"/>
  <c r="T2257" i="1" l="1"/>
  <c r="U2256" i="1"/>
  <c r="V2256" i="1"/>
  <c r="AB2256" i="1"/>
  <c r="AC2256" i="1" s="1"/>
  <c r="AB2257" i="1" l="1"/>
  <c r="AC2257" i="1" s="1"/>
  <c r="V2257" i="1"/>
  <c r="T2258" i="1"/>
  <c r="U2257" i="1"/>
  <c r="T2259" i="1" l="1"/>
  <c r="U2258" i="1"/>
  <c r="V2258" i="1"/>
  <c r="AB2258" i="1"/>
  <c r="AC2258" i="1" s="1"/>
  <c r="U2259" i="1" l="1"/>
  <c r="V2259" i="1"/>
  <c r="T2260" i="1"/>
  <c r="AB2259" i="1"/>
  <c r="AC2259" i="1" s="1"/>
  <c r="T2261" i="1" l="1"/>
  <c r="U2260" i="1"/>
  <c r="AB2260" i="1"/>
  <c r="AC2260" i="1" s="1"/>
  <c r="V2260" i="1"/>
  <c r="U2261" i="1" l="1"/>
  <c r="V2261" i="1"/>
  <c r="T2262" i="1"/>
  <c r="AB2261" i="1"/>
  <c r="AC2261" i="1" s="1"/>
  <c r="AB2262" i="1" l="1"/>
  <c r="AC2262" i="1" s="1"/>
  <c r="V2262" i="1"/>
  <c r="U2262" i="1"/>
  <c r="T2263" i="1"/>
  <c r="U2263" i="1" l="1"/>
  <c r="T2264" i="1"/>
  <c r="AB2263" i="1"/>
  <c r="AC2263" i="1" s="1"/>
  <c r="V2263" i="1"/>
  <c r="V2264" i="1" l="1"/>
  <c r="U2264" i="1"/>
  <c r="T2265" i="1"/>
  <c r="AB2264" i="1"/>
  <c r="AC2264" i="1" s="1"/>
  <c r="AB2265" i="1" l="1"/>
  <c r="AC2265" i="1" s="1"/>
  <c r="T2266" i="1"/>
  <c r="V2265" i="1"/>
  <c r="U2265" i="1"/>
  <c r="AB2266" i="1" l="1"/>
  <c r="AC2266" i="1" s="1"/>
  <c r="T2267" i="1"/>
  <c r="U2266" i="1"/>
  <c r="V2266" i="1"/>
  <c r="AB2267" i="1" l="1"/>
  <c r="AC2267" i="1" s="1"/>
  <c r="U2267" i="1"/>
  <c r="V2267" i="1"/>
  <c r="T2268" i="1"/>
  <c r="T2269" i="1" l="1"/>
  <c r="AB2268" i="1"/>
  <c r="AC2268" i="1" s="1"/>
  <c r="U2268" i="1"/>
  <c r="V2268" i="1"/>
  <c r="U2269" i="1" l="1"/>
  <c r="T2270" i="1"/>
  <c r="V2269" i="1"/>
  <c r="AB2269" i="1"/>
  <c r="AC2269" i="1" s="1"/>
  <c r="U2270" i="1" l="1"/>
  <c r="T2271" i="1"/>
  <c r="V2270" i="1"/>
  <c r="AB2270" i="1"/>
  <c r="AC2270" i="1" s="1"/>
  <c r="U2271" i="1" l="1"/>
  <c r="V2271" i="1"/>
  <c r="AB2271" i="1"/>
  <c r="AC2271" i="1" s="1"/>
  <c r="T2272" i="1"/>
  <c r="AB2272" i="1" l="1"/>
  <c r="AC2272" i="1" s="1"/>
  <c r="T2273" i="1"/>
  <c r="U2272" i="1"/>
  <c r="V2272" i="1"/>
  <c r="T2274" i="1" l="1"/>
  <c r="AB2273" i="1"/>
  <c r="AC2273" i="1" s="1"/>
  <c r="V2273" i="1"/>
  <c r="U2273" i="1"/>
  <c r="U2274" i="1" l="1"/>
  <c r="V2274" i="1"/>
  <c r="T2275" i="1"/>
  <c r="AB2274" i="1"/>
  <c r="AC2274" i="1" s="1"/>
  <c r="T2276" i="1" l="1"/>
  <c r="AB2275" i="1"/>
  <c r="AC2275" i="1" s="1"/>
  <c r="V2275" i="1"/>
  <c r="U2275" i="1"/>
  <c r="U2276" i="1" l="1"/>
  <c r="V2276" i="1"/>
  <c r="AB2276" i="1"/>
  <c r="AC2276" i="1" s="1"/>
  <c r="T2277" i="1"/>
  <c r="U2277" i="1" l="1"/>
  <c r="V2277" i="1"/>
  <c r="T2278" i="1"/>
  <c r="AB2277" i="1"/>
  <c r="AC2277" i="1" s="1"/>
  <c r="AB2278" i="1" l="1"/>
  <c r="AC2278" i="1" s="1"/>
  <c r="T2279" i="1"/>
  <c r="U2278" i="1"/>
  <c r="V2278" i="1"/>
  <c r="T2280" i="1" l="1"/>
  <c r="U2279" i="1"/>
  <c r="AB2279" i="1"/>
  <c r="AC2279" i="1" s="1"/>
  <c r="V2279" i="1"/>
  <c r="U2280" i="1" l="1"/>
  <c r="T2281" i="1"/>
  <c r="V2280" i="1"/>
  <c r="AB2280" i="1"/>
  <c r="AC2280" i="1" s="1"/>
  <c r="U2281" i="1" l="1"/>
  <c r="AB2281" i="1"/>
  <c r="AC2281" i="1" s="1"/>
  <c r="T2282" i="1"/>
  <c r="V2281" i="1"/>
  <c r="AB2282" i="1" l="1"/>
  <c r="AC2282" i="1" s="1"/>
  <c r="T2283" i="1"/>
  <c r="U2282" i="1"/>
  <c r="V2282" i="1"/>
  <c r="V2283" i="1" l="1"/>
  <c r="T2284" i="1"/>
  <c r="U2283" i="1"/>
  <c r="AB2283" i="1"/>
  <c r="AC2283" i="1" s="1"/>
  <c r="AB2284" i="1" l="1"/>
  <c r="AC2284" i="1" s="1"/>
  <c r="U2284" i="1"/>
  <c r="V2284" i="1"/>
  <c r="T2285" i="1"/>
  <c r="T2286" i="1" l="1"/>
  <c r="AB2285" i="1"/>
  <c r="AC2285" i="1" s="1"/>
  <c r="U2285" i="1"/>
  <c r="V2285" i="1"/>
  <c r="V2286" i="1" l="1"/>
  <c r="T2287" i="1"/>
  <c r="AB2286" i="1"/>
  <c r="AC2286" i="1" s="1"/>
  <c r="U2286" i="1"/>
  <c r="V2287" i="1" l="1"/>
  <c r="U2287" i="1"/>
  <c r="AB2287" i="1"/>
  <c r="AC2287" i="1" s="1"/>
  <c r="T2288" i="1"/>
  <c r="T2289" i="1" l="1"/>
  <c r="AB2288" i="1"/>
  <c r="AC2288" i="1" s="1"/>
  <c r="V2288" i="1"/>
  <c r="U2288" i="1"/>
  <c r="T2290" i="1" l="1"/>
  <c r="AB2289" i="1"/>
  <c r="AC2289" i="1" s="1"/>
  <c r="V2289" i="1"/>
  <c r="U2289" i="1"/>
  <c r="T2291" i="1" l="1"/>
  <c r="U2290" i="1"/>
  <c r="V2290" i="1"/>
  <c r="AB2290" i="1"/>
  <c r="AC2290" i="1" s="1"/>
  <c r="U2291" i="1" l="1"/>
  <c r="T2292" i="1"/>
  <c r="AB2291" i="1"/>
  <c r="AC2291" i="1" s="1"/>
  <c r="V2291" i="1"/>
  <c r="AB2292" i="1" l="1"/>
  <c r="AC2292" i="1" s="1"/>
  <c r="U2292" i="1"/>
  <c r="T2293" i="1"/>
  <c r="V2292" i="1"/>
  <c r="V2293" i="1" l="1"/>
  <c r="AB2293" i="1"/>
  <c r="AC2293" i="1" s="1"/>
  <c r="T2294" i="1"/>
  <c r="U2293" i="1"/>
  <c r="U2294" i="1" l="1"/>
  <c r="T2295" i="1"/>
  <c r="V2294" i="1"/>
  <c r="AB2294" i="1"/>
  <c r="AC2294" i="1" s="1"/>
  <c r="AB2295" i="1" l="1"/>
  <c r="AC2295" i="1" s="1"/>
  <c r="U2295" i="1"/>
  <c r="V2295" i="1"/>
  <c r="T2296" i="1"/>
  <c r="T2297" i="1" l="1"/>
  <c r="U2296" i="1"/>
  <c r="V2296" i="1"/>
  <c r="AB2296" i="1"/>
  <c r="AC2296" i="1" s="1"/>
  <c r="T2298" i="1" l="1"/>
  <c r="V2297" i="1"/>
  <c r="AB2297" i="1"/>
  <c r="AC2297" i="1" s="1"/>
  <c r="U2297" i="1"/>
  <c r="V2298" i="1" l="1"/>
  <c r="T2299" i="1"/>
  <c r="U2298" i="1"/>
  <c r="AB2298" i="1"/>
  <c r="AC2298" i="1" s="1"/>
  <c r="AB2299" i="1" l="1"/>
  <c r="AC2299" i="1" s="1"/>
  <c r="T2300" i="1"/>
  <c r="V2299" i="1"/>
  <c r="U2299" i="1"/>
  <c r="V2300" i="1" l="1"/>
  <c r="U2300" i="1"/>
  <c r="AB2300" i="1"/>
  <c r="AC2300" i="1" s="1"/>
  <c r="T2301" i="1"/>
  <c r="AB2301" i="1" l="1"/>
  <c r="AC2301" i="1" s="1"/>
  <c r="T2302" i="1"/>
  <c r="U2301" i="1"/>
  <c r="V2301" i="1"/>
  <c r="U2302" i="1" l="1"/>
  <c r="T2303" i="1"/>
  <c r="AB2302" i="1"/>
  <c r="AC2302" i="1" s="1"/>
  <c r="V2302" i="1"/>
  <c r="V2303" i="1" l="1"/>
  <c r="U2303" i="1"/>
  <c r="T2304" i="1"/>
  <c r="AB2303" i="1"/>
  <c r="AC2303" i="1" s="1"/>
  <c r="T2305" i="1" l="1"/>
  <c r="U2304" i="1"/>
  <c r="AB2304" i="1"/>
  <c r="AC2304" i="1" s="1"/>
  <c r="V2304" i="1"/>
  <c r="AB2305" i="1" l="1"/>
  <c r="AC2305" i="1" s="1"/>
  <c r="V2305" i="1"/>
  <c r="U2305" i="1"/>
  <c r="T2306" i="1"/>
  <c r="V2306" i="1" l="1"/>
  <c r="T2307" i="1"/>
  <c r="U2306" i="1"/>
  <c r="AB2306" i="1"/>
  <c r="AC2306" i="1" s="1"/>
  <c r="T2308" i="1" l="1"/>
  <c r="V2307" i="1"/>
  <c r="U2307" i="1"/>
  <c r="AB2307" i="1"/>
  <c r="AC2307" i="1" s="1"/>
  <c r="U2308" i="1" l="1"/>
  <c r="T2309" i="1"/>
  <c r="AB2308" i="1"/>
  <c r="AC2308" i="1" s="1"/>
  <c r="V2308" i="1"/>
  <c r="U2309" i="1" l="1"/>
  <c r="AB2309" i="1"/>
  <c r="AC2309" i="1" s="1"/>
  <c r="T2310" i="1"/>
  <c r="V2309" i="1"/>
  <c r="U2310" i="1" l="1"/>
  <c r="AB2310" i="1"/>
  <c r="AC2310" i="1" s="1"/>
  <c r="T2311" i="1"/>
  <c r="V2310" i="1"/>
  <c r="V2311" i="1" l="1"/>
  <c r="U2311" i="1"/>
  <c r="T2312" i="1"/>
  <c r="AB2311" i="1"/>
  <c r="AC2311" i="1" s="1"/>
  <c r="T2313" i="1" l="1"/>
  <c r="V2312" i="1"/>
  <c r="U2312" i="1"/>
  <c r="AB2312" i="1"/>
  <c r="AC2312" i="1" s="1"/>
  <c r="AB2313" i="1" l="1"/>
  <c r="AC2313" i="1" s="1"/>
  <c r="U2313" i="1"/>
  <c r="V2313" i="1"/>
  <c r="T2314" i="1"/>
  <c r="T2315" i="1" l="1"/>
  <c r="U2314" i="1"/>
  <c r="V2314" i="1"/>
  <c r="AB2314" i="1"/>
  <c r="AC2314" i="1" s="1"/>
  <c r="AB2315" i="1" l="1"/>
  <c r="AC2315" i="1" s="1"/>
  <c r="U2315" i="1"/>
  <c r="T2316" i="1"/>
  <c r="V2315" i="1"/>
  <c r="T2317" i="1" l="1"/>
  <c r="U2316" i="1"/>
  <c r="AB2316" i="1"/>
  <c r="AC2316" i="1" s="1"/>
  <c r="V2316" i="1"/>
  <c r="U2317" i="1" l="1"/>
  <c r="V2317" i="1"/>
  <c r="AB2317" i="1"/>
  <c r="AC2317" i="1" s="1"/>
  <c r="T2318" i="1"/>
  <c r="U2318" i="1" l="1"/>
  <c r="V2318" i="1"/>
  <c r="T2319" i="1"/>
  <c r="AB2318" i="1"/>
  <c r="AC2318" i="1" s="1"/>
  <c r="U2319" i="1" l="1"/>
  <c r="T2320" i="1"/>
  <c r="V2319" i="1"/>
  <c r="AB2319" i="1"/>
  <c r="AC2319" i="1" s="1"/>
  <c r="AB2320" i="1" l="1"/>
  <c r="AC2320" i="1" s="1"/>
  <c r="T2321" i="1"/>
  <c r="V2320" i="1"/>
  <c r="U2320" i="1"/>
  <c r="U2321" i="1" l="1"/>
  <c r="AB2321" i="1"/>
  <c r="AC2321" i="1" s="1"/>
  <c r="T2322" i="1"/>
  <c r="V2321" i="1"/>
  <c r="U2322" i="1" l="1"/>
  <c r="T2323" i="1"/>
  <c r="V2322" i="1"/>
  <c r="AB2322" i="1"/>
  <c r="AC2322" i="1" s="1"/>
  <c r="AB2323" i="1" l="1"/>
  <c r="AC2323" i="1" s="1"/>
  <c r="U2323" i="1"/>
  <c r="T2324" i="1"/>
  <c r="V2323" i="1"/>
  <c r="T2325" i="1" l="1"/>
  <c r="AB2324" i="1"/>
  <c r="AC2324" i="1" s="1"/>
  <c r="V2324" i="1"/>
  <c r="U2324" i="1"/>
  <c r="U2325" i="1" l="1"/>
  <c r="V2325" i="1"/>
  <c r="T2326" i="1"/>
  <c r="AB2325" i="1"/>
  <c r="AC2325" i="1" s="1"/>
  <c r="V2326" i="1" l="1"/>
  <c r="AB2326" i="1"/>
  <c r="AC2326" i="1" s="1"/>
  <c r="U2326" i="1"/>
  <c r="T2327" i="1"/>
  <c r="AB2327" i="1" l="1"/>
  <c r="AC2327" i="1" s="1"/>
  <c r="T2328" i="1"/>
  <c r="U2327" i="1"/>
  <c r="V2327" i="1"/>
  <c r="U2328" i="1" l="1"/>
  <c r="T2329" i="1"/>
  <c r="AB2328" i="1"/>
  <c r="AC2328" i="1" s="1"/>
  <c r="V2328" i="1"/>
  <c r="V2329" i="1" l="1"/>
  <c r="AB2329" i="1"/>
  <c r="AC2329" i="1" s="1"/>
  <c r="T2330" i="1"/>
  <c r="U2329" i="1"/>
  <c r="U2330" i="1" l="1"/>
  <c r="AB2330" i="1"/>
  <c r="AC2330" i="1" s="1"/>
  <c r="T2331" i="1"/>
  <c r="V2330" i="1"/>
  <c r="AB2331" i="1" l="1"/>
  <c r="AC2331" i="1" s="1"/>
  <c r="V2331" i="1"/>
  <c r="U2331" i="1"/>
  <c r="T2332" i="1"/>
  <c r="V2332" i="1" l="1"/>
  <c r="AB2332" i="1"/>
  <c r="AC2332" i="1" s="1"/>
  <c r="U2332" i="1"/>
  <c r="T2333" i="1"/>
  <c r="T2334" i="1" l="1"/>
  <c r="AB2333" i="1"/>
  <c r="AC2333" i="1" s="1"/>
  <c r="V2333" i="1"/>
  <c r="U2333" i="1"/>
  <c r="U2334" i="1" l="1"/>
  <c r="V2334" i="1"/>
  <c r="T2335" i="1"/>
  <c r="AB2334" i="1"/>
  <c r="AC2334" i="1" s="1"/>
  <c r="U2335" i="1" l="1"/>
  <c r="AB2335" i="1"/>
  <c r="AC2335" i="1" s="1"/>
  <c r="T2336" i="1"/>
  <c r="V2335" i="1"/>
  <c r="T2337" i="1" l="1"/>
  <c r="V2336" i="1"/>
  <c r="AB2336" i="1"/>
  <c r="AC2336" i="1" s="1"/>
  <c r="U2336" i="1"/>
  <c r="V2337" i="1" l="1"/>
  <c r="T2338" i="1"/>
  <c r="AB2337" i="1"/>
  <c r="AC2337" i="1" s="1"/>
  <c r="U2337" i="1"/>
  <c r="AB2338" i="1" l="1"/>
  <c r="AC2338" i="1" s="1"/>
  <c r="U2338" i="1"/>
  <c r="V2338" i="1"/>
  <c r="T2339" i="1"/>
  <c r="U2339" i="1" l="1"/>
  <c r="AB2339" i="1"/>
  <c r="AC2339" i="1" s="1"/>
  <c r="V2339" i="1"/>
  <c r="T2340" i="1"/>
  <c r="V2340" i="1" l="1"/>
  <c r="U2340" i="1"/>
  <c r="T2341" i="1"/>
  <c r="AB2340" i="1"/>
  <c r="AC2340" i="1" s="1"/>
  <c r="AB2341" i="1" l="1"/>
  <c r="AC2341" i="1" s="1"/>
  <c r="V2341" i="1"/>
  <c r="U2341" i="1"/>
  <c r="T2342" i="1"/>
  <c r="V2342" i="1" l="1"/>
  <c r="T2343" i="1"/>
  <c r="AB2342" i="1"/>
  <c r="AC2342" i="1" s="1"/>
  <c r="U2342" i="1"/>
  <c r="V2343" i="1" l="1"/>
  <c r="AB2343" i="1"/>
  <c r="AC2343" i="1" s="1"/>
  <c r="U2343" i="1"/>
  <c r="T2344" i="1"/>
  <c r="T2345" i="1" l="1"/>
  <c r="AB2344" i="1"/>
  <c r="AC2344" i="1" s="1"/>
  <c r="U2344" i="1"/>
  <c r="V2344" i="1"/>
  <c r="T2346" i="1" l="1"/>
  <c r="AB2345" i="1"/>
  <c r="AC2345" i="1" s="1"/>
  <c r="V2345" i="1"/>
  <c r="U2345" i="1"/>
  <c r="U2346" i="1" l="1"/>
  <c r="V2346" i="1"/>
  <c r="AB2346" i="1"/>
  <c r="AC2346" i="1" s="1"/>
  <c r="T2347" i="1"/>
  <c r="AB2347" i="1" l="1"/>
  <c r="AC2347" i="1" s="1"/>
  <c r="T2348" i="1"/>
  <c r="U2347" i="1"/>
  <c r="V2347" i="1"/>
  <c r="AB2348" i="1" l="1"/>
  <c r="AC2348" i="1" s="1"/>
  <c r="T2349" i="1"/>
  <c r="U2348" i="1"/>
  <c r="V2348" i="1"/>
  <c r="T2350" i="1" l="1"/>
  <c r="AB2349" i="1"/>
  <c r="AC2349" i="1" s="1"/>
  <c r="V2349" i="1"/>
  <c r="U2349" i="1"/>
  <c r="V2350" i="1" l="1"/>
  <c r="AB2350" i="1"/>
  <c r="AC2350" i="1" s="1"/>
  <c r="T2351" i="1"/>
  <c r="U2350" i="1"/>
  <c r="V2351" i="1" l="1"/>
  <c r="U2351" i="1"/>
  <c r="AB2351" i="1"/>
  <c r="AC2351" i="1" s="1"/>
  <c r="T2352" i="1"/>
  <c r="T2353" i="1" l="1"/>
  <c r="V2352" i="1"/>
  <c r="AB2352" i="1"/>
  <c r="AC2352" i="1" s="1"/>
  <c r="U2352" i="1"/>
  <c r="AB2353" i="1" l="1"/>
  <c r="AC2353" i="1" s="1"/>
  <c r="T2354" i="1"/>
  <c r="U2353" i="1"/>
  <c r="V2353" i="1"/>
  <c r="U2354" i="1" l="1"/>
  <c r="V2354" i="1"/>
  <c r="AB2354" i="1"/>
  <c r="AC2354" i="1" s="1"/>
  <c r="T2355" i="1"/>
  <c r="AB2355" i="1" l="1"/>
  <c r="AC2355" i="1" s="1"/>
  <c r="T2356" i="1"/>
  <c r="V2355" i="1"/>
  <c r="U2355" i="1"/>
  <c r="AB2356" i="1" l="1"/>
  <c r="AC2356" i="1" s="1"/>
  <c r="T2357" i="1"/>
  <c r="U2356" i="1"/>
  <c r="V2356" i="1"/>
  <c r="U2357" i="1" l="1"/>
  <c r="AB2357" i="1"/>
  <c r="AC2357" i="1" s="1"/>
  <c r="V2357" i="1"/>
  <c r="T2358" i="1"/>
  <c r="AB2358" i="1" l="1"/>
  <c r="AC2358" i="1" s="1"/>
  <c r="V2358" i="1"/>
  <c r="T2359" i="1"/>
  <c r="U2358" i="1"/>
  <c r="T2360" i="1" l="1"/>
  <c r="V2359" i="1"/>
  <c r="AB2359" i="1"/>
  <c r="AC2359" i="1" s="1"/>
  <c r="U2359" i="1"/>
  <c r="T2361" i="1" l="1"/>
  <c r="AB2360" i="1"/>
  <c r="AC2360" i="1" s="1"/>
  <c r="U2360" i="1"/>
  <c r="V2360" i="1"/>
  <c r="AB2361" i="1" l="1"/>
  <c r="AC2361" i="1" s="1"/>
  <c r="T2362" i="1"/>
  <c r="V2361" i="1"/>
  <c r="U2361" i="1"/>
  <c r="AB2362" i="1" l="1"/>
  <c r="AC2362" i="1" s="1"/>
  <c r="V2362" i="1"/>
  <c r="U2362" i="1"/>
  <c r="T2363" i="1"/>
  <c r="AB2363" i="1" l="1"/>
  <c r="AC2363" i="1" s="1"/>
  <c r="U2363" i="1"/>
  <c r="V2363" i="1"/>
  <c r="T2364" i="1"/>
  <c r="AB2364" i="1" l="1"/>
  <c r="AC2364" i="1" s="1"/>
  <c r="T2365" i="1"/>
  <c r="U2364" i="1"/>
  <c r="V2364" i="1"/>
  <c r="AB2365" i="1" l="1"/>
  <c r="AC2365" i="1" s="1"/>
  <c r="T2366" i="1"/>
  <c r="U2365" i="1"/>
  <c r="V2365" i="1"/>
  <c r="AB2366" i="1" l="1"/>
  <c r="AC2366" i="1" s="1"/>
  <c r="U2366" i="1"/>
  <c r="T2367" i="1"/>
  <c r="V2366" i="1"/>
  <c r="AB2367" i="1" l="1"/>
  <c r="AC2367" i="1" s="1"/>
  <c r="U2367" i="1"/>
  <c r="V2367" i="1"/>
  <c r="T2368" i="1"/>
  <c r="T2369" i="1" l="1"/>
  <c r="AB2368" i="1"/>
  <c r="AC2368" i="1" s="1"/>
  <c r="V2368" i="1"/>
  <c r="U2368" i="1"/>
  <c r="AB2369" i="1" l="1"/>
  <c r="AC2369" i="1" s="1"/>
  <c r="U2369" i="1"/>
  <c r="V2369" i="1"/>
  <c r="T2370" i="1"/>
  <c r="AB2370" i="1" l="1"/>
  <c r="AC2370" i="1" s="1"/>
  <c r="U2370" i="1"/>
  <c r="V2370" i="1"/>
  <c r="T2371" i="1"/>
  <c r="V2371" i="1" l="1"/>
  <c r="U2371" i="1"/>
  <c r="AB2371" i="1"/>
  <c r="AC2371" i="1" s="1"/>
  <c r="T2372" i="1"/>
  <c r="V2372" i="1" l="1"/>
  <c r="AB2372" i="1"/>
  <c r="AC2372" i="1" s="1"/>
  <c r="T2373" i="1"/>
  <c r="U2372" i="1"/>
  <c r="T2374" i="1" l="1"/>
  <c r="AB2373" i="1"/>
  <c r="AC2373" i="1" s="1"/>
  <c r="U2373" i="1"/>
  <c r="V2373" i="1"/>
  <c r="AB2374" i="1" l="1"/>
  <c r="AC2374" i="1" s="1"/>
  <c r="V2374" i="1"/>
  <c r="T2375" i="1"/>
  <c r="U2374" i="1"/>
  <c r="AB2375" i="1" l="1"/>
  <c r="AC2375" i="1" s="1"/>
  <c r="V2375" i="1"/>
  <c r="T2376" i="1"/>
  <c r="U2375" i="1"/>
  <c r="AB2376" i="1" l="1"/>
  <c r="AC2376" i="1" s="1"/>
  <c r="U2376" i="1"/>
  <c r="V2376" i="1"/>
  <c r="T2377" i="1"/>
  <c r="AB2377" i="1" l="1"/>
  <c r="AC2377" i="1" s="1"/>
  <c r="U2377" i="1"/>
  <c r="V2377" i="1"/>
  <c r="T2378" i="1"/>
  <c r="AB2378" i="1" l="1"/>
  <c r="AC2378" i="1" s="1"/>
  <c r="T2379" i="1"/>
  <c r="U2378" i="1"/>
  <c r="V2378" i="1"/>
  <c r="AB2379" i="1" l="1"/>
  <c r="AC2379" i="1" s="1"/>
  <c r="U2379" i="1"/>
  <c r="V2379" i="1"/>
  <c r="T2380" i="1"/>
  <c r="AB2380" i="1" l="1"/>
  <c r="AC2380" i="1" s="1"/>
  <c r="V2380" i="1"/>
  <c r="U2380" i="1"/>
  <c r="T2381" i="1"/>
  <c r="AB2381" i="1" l="1"/>
  <c r="AC2381" i="1" s="1"/>
  <c r="T2382" i="1"/>
  <c r="U2381" i="1"/>
  <c r="V2381" i="1"/>
  <c r="AB2382" i="1" l="1"/>
  <c r="AC2382" i="1" s="1"/>
  <c r="U2382" i="1"/>
  <c r="V2382" i="1"/>
  <c r="T2383" i="1"/>
  <c r="AB2383" i="1" l="1"/>
  <c r="AC2383" i="1" s="1"/>
  <c r="V2383" i="1"/>
  <c r="T2384" i="1"/>
  <c r="U2383" i="1"/>
  <c r="AB2384" i="1" l="1"/>
  <c r="AC2384" i="1" s="1"/>
  <c r="U2384" i="1"/>
  <c r="T2385" i="1"/>
  <c r="V2384" i="1"/>
  <c r="T2386" i="1" l="1"/>
  <c r="V2385" i="1"/>
  <c r="AB2385" i="1"/>
  <c r="AC2385" i="1" s="1"/>
  <c r="U2385" i="1"/>
  <c r="AB2386" i="1" l="1"/>
  <c r="AC2386" i="1" s="1"/>
  <c r="T2387" i="1"/>
  <c r="V2386" i="1"/>
  <c r="U2386" i="1"/>
  <c r="T2388" i="1" l="1"/>
  <c r="AB2387" i="1"/>
  <c r="AC2387" i="1" s="1"/>
  <c r="U2387" i="1"/>
  <c r="V2387" i="1"/>
  <c r="AB2388" i="1" l="1"/>
  <c r="AC2388" i="1" s="1"/>
  <c r="U2388" i="1"/>
  <c r="V2388" i="1"/>
  <c r="T2389" i="1"/>
  <c r="V2389" i="1" l="1"/>
  <c r="AB2389" i="1"/>
  <c r="AC2389" i="1" s="1"/>
  <c r="U2389" i="1"/>
  <c r="T2390" i="1"/>
  <c r="AB2390" i="1" l="1"/>
  <c r="AC2390" i="1" s="1"/>
  <c r="V2390" i="1"/>
  <c r="U2390" i="1"/>
  <c r="T2391" i="1"/>
  <c r="AB2391" i="1" l="1"/>
  <c r="AC2391" i="1" s="1"/>
  <c r="T2392" i="1"/>
  <c r="U2391" i="1"/>
  <c r="V2391" i="1"/>
  <c r="T2393" i="1" l="1"/>
  <c r="V2392" i="1"/>
  <c r="U2392" i="1"/>
  <c r="AB2392" i="1"/>
  <c r="AC2392" i="1" s="1"/>
  <c r="AB2393" i="1" l="1"/>
  <c r="AC2393" i="1" s="1"/>
  <c r="V2393" i="1"/>
  <c r="T2394" i="1"/>
  <c r="U2393" i="1"/>
  <c r="T2395" i="1" l="1"/>
  <c r="AB2394" i="1"/>
  <c r="AC2394" i="1" s="1"/>
  <c r="U2394" i="1"/>
  <c r="V2394" i="1"/>
  <c r="V2395" i="1" l="1"/>
  <c r="T2396" i="1"/>
  <c r="AB2395" i="1"/>
  <c r="AC2395" i="1" s="1"/>
  <c r="U2395" i="1"/>
  <c r="V2396" i="1" l="1"/>
  <c r="U2396" i="1"/>
  <c r="T2397" i="1"/>
  <c r="AB2396" i="1"/>
  <c r="AC2396" i="1" s="1"/>
  <c r="AB2397" i="1" l="1"/>
  <c r="AC2397" i="1" s="1"/>
  <c r="V2397" i="1"/>
  <c r="U2397" i="1"/>
  <c r="T2398" i="1"/>
  <c r="AB2398" i="1" l="1"/>
  <c r="AC2398" i="1" s="1"/>
  <c r="U2398" i="1"/>
  <c r="V2398" i="1"/>
  <c r="T2399" i="1"/>
  <c r="AB2399" i="1" l="1"/>
  <c r="AC2399" i="1" s="1"/>
  <c r="V2399" i="1"/>
  <c r="U2399" i="1"/>
  <c r="T2400" i="1"/>
  <c r="AB2400" i="1" l="1"/>
  <c r="AC2400" i="1" s="1"/>
  <c r="T2401" i="1"/>
  <c r="U2400" i="1"/>
  <c r="V2400" i="1"/>
  <c r="AB2401" i="1" l="1"/>
  <c r="AC2401" i="1" s="1"/>
  <c r="U2401" i="1"/>
  <c r="V2401" i="1"/>
  <c r="T2402" i="1"/>
  <c r="V2402" i="1" l="1"/>
  <c r="T2403" i="1"/>
  <c r="U2402" i="1"/>
  <c r="AB2402" i="1"/>
  <c r="AC2402" i="1" s="1"/>
  <c r="T2404" i="1" l="1"/>
  <c r="U2403" i="1"/>
  <c r="AB2403" i="1"/>
  <c r="AC2403" i="1" s="1"/>
  <c r="V2403" i="1"/>
  <c r="T2405" i="1" l="1"/>
  <c r="V2404" i="1"/>
  <c r="AB2404" i="1"/>
  <c r="AC2404" i="1" s="1"/>
  <c r="U2404" i="1"/>
  <c r="AB2405" i="1" l="1"/>
  <c r="AC2405" i="1" s="1"/>
  <c r="T2406" i="1"/>
  <c r="U2405" i="1"/>
  <c r="V2405" i="1"/>
  <c r="AB2406" i="1" l="1"/>
  <c r="AC2406" i="1" s="1"/>
  <c r="V2406" i="1"/>
  <c r="U2406" i="1"/>
  <c r="T2407" i="1"/>
  <c r="T2408" i="1" l="1"/>
  <c r="V2407" i="1"/>
  <c r="AB2407" i="1"/>
  <c r="AC2407" i="1" s="1"/>
  <c r="U2407" i="1"/>
  <c r="T2409" i="1" l="1"/>
  <c r="U2408" i="1"/>
  <c r="V2408" i="1"/>
  <c r="AB2408" i="1"/>
  <c r="AC2408" i="1" s="1"/>
  <c r="T2410" i="1" l="1"/>
  <c r="AB2409" i="1"/>
  <c r="AC2409" i="1" s="1"/>
  <c r="V2409" i="1"/>
  <c r="U2409" i="1"/>
  <c r="AB2410" i="1" l="1"/>
  <c r="AC2410" i="1" s="1"/>
  <c r="U2410" i="1"/>
  <c r="V2410" i="1"/>
  <c r="T2411" i="1"/>
  <c r="U2411" i="1" l="1"/>
  <c r="AB2411" i="1"/>
  <c r="AC2411" i="1" s="1"/>
  <c r="V2411" i="1"/>
  <c r="T2412" i="1"/>
  <c r="T2413" i="1" l="1"/>
  <c r="AB2412" i="1"/>
  <c r="AC2412" i="1" s="1"/>
  <c r="V2412" i="1"/>
  <c r="U2412" i="1"/>
  <c r="AB2413" i="1" l="1"/>
  <c r="AC2413" i="1" s="1"/>
  <c r="T2414" i="1"/>
  <c r="U2413" i="1"/>
  <c r="V2413" i="1"/>
  <c r="AB2414" i="1" l="1"/>
  <c r="AC2414" i="1" s="1"/>
  <c r="U2414" i="1"/>
  <c r="V2414" i="1"/>
  <c r="T2415" i="1"/>
  <c r="AB2415" i="1" l="1"/>
  <c r="AC2415" i="1" s="1"/>
  <c r="U2415" i="1"/>
  <c r="V2415" i="1"/>
  <c r="T2416" i="1"/>
  <c r="AB2416" i="1" l="1"/>
  <c r="AC2416" i="1" s="1"/>
  <c r="T2417" i="1"/>
  <c r="V2416" i="1"/>
  <c r="U2416" i="1"/>
  <c r="T2418" i="1" l="1"/>
  <c r="AB2417" i="1"/>
  <c r="AC2417" i="1" s="1"/>
  <c r="V2417" i="1"/>
  <c r="U2417" i="1"/>
  <c r="AB2418" i="1" l="1"/>
  <c r="AC2418" i="1" s="1"/>
  <c r="U2418" i="1"/>
  <c r="T2419" i="1"/>
  <c r="V2418" i="1"/>
  <c r="AB2419" i="1" l="1"/>
  <c r="AC2419" i="1" s="1"/>
  <c r="U2419" i="1"/>
  <c r="V2419" i="1"/>
  <c r="T2420" i="1"/>
  <c r="AB2420" i="1" l="1"/>
  <c r="AC2420" i="1" s="1"/>
  <c r="V2420" i="1"/>
  <c r="T2421" i="1"/>
  <c r="U2420" i="1"/>
  <c r="T2422" i="1" l="1"/>
  <c r="AB2421" i="1"/>
  <c r="AC2421" i="1" s="1"/>
  <c r="U2421" i="1"/>
  <c r="V2421" i="1"/>
  <c r="T2423" i="1" l="1"/>
  <c r="AB2422" i="1"/>
  <c r="AC2422" i="1" s="1"/>
  <c r="U2422" i="1"/>
  <c r="V2422" i="1"/>
  <c r="AB2423" i="1" l="1"/>
  <c r="AC2423" i="1" s="1"/>
  <c r="V2423" i="1"/>
  <c r="T2424" i="1"/>
  <c r="U2423" i="1"/>
  <c r="T2425" i="1" l="1"/>
  <c r="AB2424" i="1"/>
  <c r="AC2424" i="1" s="1"/>
  <c r="V2424" i="1"/>
  <c r="U2424" i="1"/>
  <c r="AB2425" i="1" l="1"/>
  <c r="AC2425" i="1" s="1"/>
  <c r="T2426" i="1"/>
  <c r="U2425" i="1"/>
  <c r="V2425" i="1"/>
  <c r="AB2426" i="1" l="1"/>
  <c r="AC2426" i="1" s="1"/>
  <c r="T2427" i="1"/>
  <c r="U2426" i="1"/>
  <c r="V2426" i="1"/>
  <c r="AB2427" i="1" l="1"/>
  <c r="AC2427" i="1" s="1"/>
  <c r="U2427" i="1"/>
  <c r="V2427" i="1"/>
  <c r="T2428" i="1"/>
  <c r="AB2428" i="1" l="1"/>
  <c r="AC2428" i="1" s="1"/>
  <c r="U2428" i="1"/>
  <c r="T2429" i="1"/>
  <c r="V2428" i="1"/>
  <c r="T2430" i="1" l="1"/>
  <c r="U2429" i="1"/>
  <c r="V2429" i="1"/>
  <c r="AB2429" i="1"/>
  <c r="AC2429" i="1" s="1"/>
  <c r="T2431" i="1" l="1"/>
  <c r="U2430" i="1"/>
  <c r="V2430" i="1"/>
  <c r="AB2430" i="1"/>
  <c r="AC2430" i="1" s="1"/>
  <c r="AB2431" i="1" l="1"/>
  <c r="AC2431" i="1" s="1"/>
  <c r="V2431" i="1"/>
  <c r="T2432" i="1"/>
  <c r="U2431" i="1"/>
  <c r="T2433" i="1" l="1"/>
  <c r="AB2432" i="1"/>
  <c r="AC2432" i="1" s="1"/>
  <c r="V2432" i="1"/>
  <c r="U2432" i="1"/>
  <c r="AB2433" i="1" l="1"/>
  <c r="AC2433" i="1" s="1"/>
  <c r="U2433" i="1"/>
  <c r="T2434" i="1"/>
  <c r="V2433" i="1"/>
  <c r="T2435" i="1" l="1"/>
  <c r="U2434" i="1"/>
  <c r="AB2434" i="1"/>
  <c r="AC2434" i="1" s="1"/>
  <c r="V2434" i="1"/>
  <c r="T2436" i="1" l="1"/>
  <c r="AB2435" i="1"/>
  <c r="AC2435" i="1" s="1"/>
  <c r="U2435" i="1"/>
  <c r="V2435" i="1"/>
  <c r="AB2436" i="1" l="1"/>
  <c r="AC2436" i="1" s="1"/>
  <c r="T2437" i="1"/>
  <c r="V2436" i="1"/>
  <c r="U2436" i="1"/>
  <c r="U2437" i="1" l="1"/>
  <c r="AB2437" i="1"/>
  <c r="AC2437" i="1" s="1"/>
  <c r="T2438" i="1"/>
  <c r="V2437" i="1"/>
  <c r="U2438" i="1" l="1"/>
  <c r="V2438" i="1"/>
  <c r="AB2438" i="1"/>
  <c r="AC2438" i="1" s="1"/>
  <c r="T2439" i="1"/>
  <c r="T2440" i="1" l="1"/>
  <c r="AB2439" i="1"/>
  <c r="AC2439" i="1" s="1"/>
  <c r="V2439" i="1"/>
  <c r="U2439" i="1"/>
  <c r="AB2440" i="1" l="1"/>
  <c r="AC2440" i="1" s="1"/>
  <c r="T2441" i="1"/>
  <c r="U2440" i="1"/>
  <c r="V2440" i="1"/>
  <c r="AB2441" i="1" l="1"/>
  <c r="AC2441" i="1" s="1"/>
  <c r="U2441" i="1"/>
  <c r="V2441" i="1"/>
  <c r="T2442" i="1"/>
  <c r="AB2442" i="1" l="1"/>
  <c r="AC2442" i="1" s="1"/>
  <c r="T2443" i="1"/>
  <c r="V2442" i="1"/>
  <c r="U2442" i="1"/>
  <c r="U2443" i="1" l="1"/>
  <c r="T2444" i="1"/>
  <c r="AB2443" i="1"/>
  <c r="AC2443" i="1" s="1"/>
  <c r="V2443" i="1"/>
  <c r="T2445" i="1" l="1"/>
  <c r="V2444" i="1"/>
  <c r="U2444" i="1"/>
  <c r="AB2444" i="1"/>
  <c r="AC2444" i="1" s="1"/>
  <c r="T2446" i="1" l="1"/>
  <c r="AB2445" i="1"/>
  <c r="AC2445" i="1" s="1"/>
  <c r="U2445" i="1"/>
  <c r="V2445" i="1"/>
  <c r="U2446" i="1" l="1"/>
  <c r="T2447" i="1"/>
  <c r="AB2446" i="1"/>
  <c r="AC2446" i="1" s="1"/>
  <c r="V2446" i="1"/>
  <c r="AB2447" i="1" l="1"/>
  <c r="AC2447" i="1" s="1"/>
  <c r="T2448" i="1"/>
  <c r="U2447" i="1"/>
  <c r="V2447" i="1"/>
  <c r="AB2448" i="1" l="1"/>
  <c r="AC2448" i="1" s="1"/>
  <c r="T2449" i="1"/>
  <c r="V2448" i="1"/>
  <c r="U2448" i="1"/>
  <c r="V2449" i="1" l="1"/>
  <c r="T2450" i="1"/>
  <c r="AB2449" i="1"/>
  <c r="AC2449" i="1" s="1"/>
  <c r="U2449" i="1"/>
  <c r="AB2450" i="1" l="1"/>
  <c r="AC2450" i="1" s="1"/>
  <c r="T2451" i="1"/>
  <c r="V2450" i="1"/>
  <c r="U2450" i="1"/>
  <c r="T2452" i="1" l="1"/>
  <c r="AB2451" i="1"/>
  <c r="AC2451" i="1" s="1"/>
  <c r="V2451" i="1"/>
  <c r="U2451" i="1"/>
  <c r="AB2452" i="1" l="1"/>
  <c r="AC2452" i="1" s="1"/>
  <c r="V2452" i="1"/>
  <c r="U2452" i="1"/>
  <c r="T2453" i="1"/>
  <c r="U2453" i="1" l="1"/>
  <c r="T2454" i="1"/>
  <c r="AB2453" i="1"/>
  <c r="AC2453" i="1" s="1"/>
  <c r="V2453" i="1"/>
  <c r="AB2454" i="1" l="1"/>
  <c r="AC2454" i="1" s="1"/>
  <c r="T2455" i="1"/>
  <c r="U2454" i="1"/>
  <c r="V2454" i="1"/>
  <c r="AB2455" i="1" l="1"/>
  <c r="AC2455" i="1" s="1"/>
  <c r="U2455" i="1"/>
  <c r="V2455" i="1"/>
  <c r="T2456" i="1"/>
  <c r="AB2456" i="1" l="1"/>
  <c r="AC2456" i="1" s="1"/>
  <c r="T2457" i="1"/>
  <c r="V2456" i="1"/>
  <c r="U2456" i="1"/>
  <c r="AB2457" i="1" l="1"/>
  <c r="AC2457" i="1" s="1"/>
  <c r="T2458" i="1"/>
  <c r="V2457" i="1"/>
  <c r="U2457" i="1"/>
  <c r="T2459" i="1" l="1"/>
  <c r="AB2458" i="1"/>
  <c r="AC2458" i="1" s="1"/>
  <c r="V2458" i="1"/>
  <c r="U2458" i="1"/>
  <c r="T2460" i="1" l="1"/>
  <c r="AB2459" i="1"/>
  <c r="AC2459" i="1" s="1"/>
  <c r="V2459" i="1"/>
  <c r="U2459" i="1"/>
  <c r="T2461" i="1" l="1"/>
  <c r="AB2460" i="1"/>
  <c r="AC2460" i="1" s="1"/>
  <c r="V2460" i="1"/>
  <c r="U2460" i="1"/>
  <c r="V2461" i="1" l="1"/>
  <c r="T2462" i="1"/>
  <c r="AB2461" i="1"/>
  <c r="AC2461" i="1" s="1"/>
  <c r="U2461" i="1"/>
  <c r="AB2462" i="1" l="1"/>
  <c r="AC2462" i="1" s="1"/>
  <c r="T2463" i="1"/>
  <c r="U2462" i="1"/>
  <c r="V2462" i="1"/>
  <c r="AB2463" i="1" l="1"/>
  <c r="AC2463" i="1" s="1"/>
  <c r="T2464" i="1"/>
  <c r="U2463" i="1"/>
  <c r="V2463" i="1"/>
  <c r="AB2464" i="1" l="1"/>
  <c r="AC2464" i="1" s="1"/>
  <c r="T2465" i="1"/>
  <c r="U2464" i="1"/>
  <c r="V2464" i="1"/>
  <c r="AB2465" i="1" l="1"/>
  <c r="AC2465" i="1" s="1"/>
  <c r="U2465" i="1"/>
  <c r="V2465" i="1"/>
  <c r="T2466" i="1"/>
  <c r="AB2466" i="1" l="1"/>
  <c r="AC2466" i="1" s="1"/>
  <c r="T2467" i="1"/>
  <c r="U2466" i="1"/>
  <c r="V2466" i="1"/>
  <c r="AB2467" i="1" l="1"/>
  <c r="AC2467" i="1" s="1"/>
  <c r="T2468" i="1"/>
  <c r="U2467" i="1"/>
  <c r="V2467" i="1"/>
  <c r="T2469" i="1" l="1"/>
  <c r="V2468" i="1"/>
  <c r="AB2468" i="1"/>
  <c r="AC2468" i="1" s="1"/>
  <c r="U2468" i="1"/>
  <c r="AB2469" i="1" l="1"/>
  <c r="AC2469" i="1" s="1"/>
  <c r="T2470" i="1"/>
  <c r="U2469" i="1"/>
  <c r="V2469" i="1"/>
  <c r="AB2470" i="1" l="1"/>
  <c r="AC2470" i="1" s="1"/>
  <c r="U2470" i="1"/>
  <c r="V2470" i="1"/>
  <c r="T2471" i="1"/>
  <c r="AB2471" i="1" l="1"/>
  <c r="AC2471" i="1" s="1"/>
  <c r="T2472" i="1"/>
  <c r="U2471" i="1"/>
  <c r="V2471" i="1"/>
  <c r="T2473" i="1" l="1"/>
  <c r="AB2472" i="1"/>
  <c r="AC2472" i="1" s="1"/>
  <c r="U2472" i="1"/>
  <c r="V2472" i="1"/>
  <c r="T2474" i="1" l="1"/>
  <c r="U2473" i="1"/>
  <c r="V2473" i="1"/>
  <c r="AB2473" i="1"/>
  <c r="AC2473" i="1" s="1"/>
  <c r="T2475" i="1" l="1"/>
  <c r="AB2474" i="1"/>
  <c r="AC2474" i="1" s="1"/>
  <c r="V2474" i="1"/>
  <c r="U2474" i="1"/>
  <c r="T2476" i="1" l="1"/>
  <c r="V2475" i="1"/>
  <c r="AB2475" i="1"/>
  <c r="AC2475" i="1" s="1"/>
  <c r="U2475" i="1"/>
  <c r="AB2476" i="1" l="1"/>
  <c r="AC2476" i="1" s="1"/>
  <c r="T2477" i="1"/>
  <c r="V2476" i="1"/>
  <c r="U2476" i="1"/>
  <c r="T2478" i="1" l="1"/>
  <c r="AB2477" i="1"/>
  <c r="AC2477" i="1" s="1"/>
  <c r="V2477" i="1"/>
  <c r="U2477" i="1"/>
  <c r="T2479" i="1" l="1"/>
  <c r="AB2478" i="1"/>
  <c r="AC2478" i="1" s="1"/>
  <c r="V2478" i="1"/>
  <c r="U2478" i="1"/>
  <c r="AB2479" i="1" l="1"/>
  <c r="AC2479" i="1" s="1"/>
  <c r="V2479" i="1"/>
  <c r="T2480" i="1"/>
  <c r="U2479" i="1"/>
  <c r="T2481" i="1" l="1"/>
  <c r="U2480" i="1"/>
  <c r="AB2480" i="1"/>
  <c r="AC2480" i="1" s="1"/>
  <c r="V2480" i="1"/>
  <c r="AB2481" i="1" l="1"/>
  <c r="AC2481" i="1" s="1"/>
  <c r="T2482" i="1"/>
  <c r="U2481" i="1"/>
  <c r="V2481" i="1"/>
  <c r="U2482" i="1" l="1"/>
  <c r="AB2482" i="1"/>
  <c r="AC2482" i="1" s="1"/>
  <c r="T2483" i="1"/>
  <c r="V2482" i="1"/>
  <c r="AB2483" i="1" l="1"/>
  <c r="AC2483" i="1" s="1"/>
  <c r="T2484" i="1"/>
  <c r="U2483" i="1"/>
  <c r="V2483" i="1"/>
  <c r="T2485" i="1" l="1"/>
  <c r="AB2484" i="1"/>
  <c r="AC2484" i="1" s="1"/>
  <c r="V2484" i="1"/>
  <c r="U2484" i="1"/>
  <c r="T2486" i="1" l="1"/>
  <c r="AB2485" i="1"/>
  <c r="AC2485" i="1" s="1"/>
  <c r="V2485" i="1"/>
  <c r="U2485" i="1"/>
  <c r="V2486" i="1" l="1"/>
  <c r="T2487" i="1"/>
  <c r="AB2486" i="1"/>
  <c r="AC2486" i="1" s="1"/>
  <c r="U2486" i="1"/>
  <c r="AB2487" i="1" l="1"/>
  <c r="AC2487" i="1" s="1"/>
  <c r="U2487" i="1"/>
  <c r="V2487" i="1"/>
  <c r="T2488" i="1"/>
  <c r="T2489" i="1" l="1"/>
  <c r="V2488" i="1"/>
  <c r="AB2488" i="1"/>
  <c r="AC2488" i="1" s="1"/>
  <c r="U2488" i="1"/>
  <c r="T2490" i="1" l="1"/>
  <c r="U2489" i="1"/>
  <c r="AB2489" i="1"/>
  <c r="AC2489" i="1" s="1"/>
  <c r="V2489" i="1"/>
  <c r="T2491" i="1" l="1"/>
  <c r="AB2490" i="1"/>
  <c r="AC2490" i="1" s="1"/>
  <c r="U2490" i="1"/>
  <c r="V2490" i="1"/>
  <c r="U2491" i="1" l="1"/>
  <c r="AB2491" i="1"/>
  <c r="AC2491" i="1" s="1"/>
  <c r="V2491" i="1"/>
  <c r="T2492" i="1"/>
  <c r="T2493" i="1" l="1"/>
  <c r="V2492" i="1"/>
  <c r="AB2492" i="1"/>
  <c r="AC2492" i="1" s="1"/>
  <c r="U2492" i="1"/>
  <c r="AB2493" i="1" l="1"/>
  <c r="AC2493" i="1" s="1"/>
  <c r="T2494" i="1"/>
  <c r="U2493" i="1"/>
  <c r="V2493" i="1"/>
  <c r="T2495" i="1" l="1"/>
  <c r="AB2494" i="1"/>
  <c r="AC2494" i="1" s="1"/>
  <c r="U2494" i="1"/>
  <c r="V2494" i="1"/>
  <c r="AB2495" i="1" l="1"/>
  <c r="AC2495" i="1" s="1"/>
  <c r="U2495" i="1"/>
  <c r="V2495" i="1"/>
  <c r="T2496" i="1"/>
  <c r="AB2496" i="1" l="1"/>
  <c r="AC2496" i="1" s="1"/>
  <c r="V2496" i="1"/>
  <c r="T2497" i="1"/>
  <c r="U2496" i="1"/>
  <c r="T2498" i="1" l="1"/>
  <c r="AB2497" i="1"/>
  <c r="AC2497" i="1" s="1"/>
  <c r="U2497" i="1"/>
  <c r="V2497" i="1"/>
  <c r="AB2498" i="1" l="1"/>
  <c r="AC2498" i="1" s="1"/>
  <c r="U2498" i="1"/>
  <c r="V2498" i="1"/>
  <c r="T2499" i="1"/>
  <c r="AB2499" i="1" l="1"/>
  <c r="AC2499" i="1" s="1"/>
  <c r="V2499" i="1"/>
  <c r="U2499" i="1"/>
  <c r="T2500" i="1"/>
  <c r="AB2500" i="1" l="1"/>
  <c r="AC2500" i="1" s="1"/>
  <c r="T2501" i="1"/>
  <c r="V2500" i="1"/>
  <c r="U2500" i="1"/>
  <c r="AB2501" i="1" l="1"/>
  <c r="AC2501" i="1" s="1"/>
  <c r="T2502" i="1"/>
  <c r="U2501" i="1"/>
  <c r="V2501" i="1"/>
  <c r="AB2502" i="1" l="1"/>
  <c r="AC2502" i="1" s="1"/>
  <c r="U2502" i="1"/>
  <c r="V2502" i="1"/>
  <c r="T2503" i="1"/>
  <c r="T2504" i="1" l="1"/>
  <c r="AB2503" i="1"/>
  <c r="AC2503" i="1" s="1"/>
  <c r="U2503" i="1"/>
  <c r="V2503" i="1"/>
  <c r="AB2504" i="1" l="1"/>
  <c r="AC2504" i="1" s="1"/>
  <c r="T2505" i="1"/>
  <c r="V2504" i="1"/>
  <c r="U2504" i="1"/>
  <c r="AB2505" i="1" l="1"/>
  <c r="AC2505" i="1" s="1"/>
  <c r="U2505" i="1"/>
  <c r="V2505" i="1"/>
  <c r="T2506" i="1"/>
  <c r="T2507" i="1" l="1"/>
  <c r="V2506" i="1"/>
  <c r="U2506" i="1"/>
  <c r="AB2506" i="1"/>
  <c r="AC2506" i="1" s="1"/>
  <c r="AB2507" i="1" l="1"/>
  <c r="AC2507" i="1" s="1"/>
  <c r="T2508" i="1"/>
  <c r="U2507" i="1"/>
  <c r="V2507" i="1"/>
  <c r="AB2508" i="1" l="1"/>
  <c r="AC2508" i="1" s="1"/>
  <c r="T2509" i="1"/>
  <c r="V2508" i="1"/>
  <c r="U2508" i="1"/>
  <c r="AB2509" i="1" l="1"/>
  <c r="AC2509" i="1" s="1"/>
  <c r="T2510" i="1"/>
  <c r="U2509" i="1"/>
  <c r="V2509" i="1"/>
  <c r="AB2510" i="1" l="1"/>
  <c r="AC2510" i="1" s="1"/>
  <c r="U2510" i="1"/>
  <c r="V2510" i="1"/>
  <c r="T2511" i="1"/>
  <c r="AB2511" i="1" l="1"/>
  <c r="AC2511" i="1" s="1"/>
  <c r="U2511" i="1"/>
  <c r="V2511" i="1"/>
  <c r="T2512" i="1"/>
  <c r="T2513" i="1" l="1"/>
  <c r="AB2512" i="1"/>
  <c r="AC2512" i="1" s="1"/>
  <c r="V2512" i="1"/>
  <c r="U2512" i="1"/>
  <c r="AB2513" i="1" l="1"/>
  <c r="AC2513" i="1" s="1"/>
  <c r="T2514" i="1"/>
  <c r="V2513" i="1"/>
  <c r="U2513" i="1"/>
  <c r="AB2514" i="1" l="1"/>
  <c r="AC2514" i="1" s="1"/>
  <c r="T2515" i="1"/>
  <c r="V2514" i="1"/>
  <c r="U2514" i="1"/>
  <c r="AB2515" i="1" l="1"/>
  <c r="AC2515" i="1" s="1"/>
  <c r="U2515" i="1"/>
  <c r="T2516" i="1"/>
  <c r="V2515" i="1"/>
  <c r="AB2516" i="1" l="1"/>
  <c r="AC2516" i="1" s="1"/>
  <c r="T2517" i="1"/>
  <c r="V2516" i="1"/>
  <c r="U2516" i="1"/>
  <c r="AB2517" i="1" l="1"/>
  <c r="AC2517" i="1" s="1"/>
  <c r="V2517" i="1"/>
  <c r="T2518" i="1"/>
  <c r="U2517" i="1"/>
  <c r="T2519" i="1" l="1"/>
  <c r="AB2518" i="1"/>
  <c r="AC2518" i="1" s="1"/>
  <c r="U2518" i="1"/>
  <c r="V2518" i="1"/>
  <c r="T2520" i="1" l="1"/>
  <c r="U2519" i="1"/>
  <c r="V2519" i="1"/>
  <c r="AB2519" i="1"/>
  <c r="AC2519" i="1" s="1"/>
  <c r="T2521" i="1" l="1"/>
  <c r="AB2520" i="1"/>
  <c r="AC2520" i="1" s="1"/>
  <c r="U2520" i="1"/>
  <c r="V2520" i="1"/>
  <c r="T2522" i="1" l="1"/>
  <c r="AB2521" i="1"/>
  <c r="AC2521" i="1" s="1"/>
  <c r="V2521" i="1"/>
  <c r="U2521" i="1"/>
  <c r="T2523" i="1" l="1"/>
  <c r="AB2522" i="1"/>
  <c r="AC2522" i="1" s="1"/>
  <c r="U2522" i="1"/>
  <c r="V2522" i="1"/>
  <c r="T2524" i="1" l="1"/>
  <c r="AB2523" i="1"/>
  <c r="AC2523" i="1" s="1"/>
  <c r="V2523" i="1"/>
  <c r="U2523" i="1"/>
  <c r="AB2524" i="1" l="1"/>
  <c r="AC2524" i="1" s="1"/>
  <c r="T2525" i="1"/>
  <c r="U2524" i="1"/>
  <c r="V2524" i="1"/>
  <c r="AB2525" i="1" l="1"/>
  <c r="AC2525" i="1" s="1"/>
  <c r="T2526" i="1"/>
  <c r="U2525" i="1"/>
  <c r="V2525" i="1"/>
  <c r="AB2526" i="1" l="1"/>
  <c r="AC2526" i="1" s="1"/>
  <c r="V2526" i="1"/>
  <c r="U2526" i="1"/>
  <c r="T2527" i="1"/>
  <c r="T2528" i="1" l="1"/>
  <c r="AB2527" i="1"/>
  <c r="AC2527" i="1" s="1"/>
  <c r="U2527" i="1"/>
  <c r="V2527" i="1"/>
  <c r="T2529" i="1" l="1"/>
  <c r="U2528" i="1"/>
  <c r="V2528" i="1"/>
  <c r="AB2528" i="1"/>
  <c r="AC2528" i="1" s="1"/>
  <c r="AB2529" i="1" l="1"/>
  <c r="AC2529" i="1" s="1"/>
  <c r="U2529" i="1"/>
  <c r="V2529" i="1"/>
  <c r="T2530" i="1"/>
  <c r="AB2530" i="1" l="1"/>
  <c r="AC2530" i="1" s="1"/>
  <c r="V2530" i="1"/>
  <c r="U2530" i="1"/>
  <c r="T2531" i="1"/>
  <c r="T2532" i="1" l="1"/>
  <c r="AB2531" i="1"/>
  <c r="AC2531" i="1" s="1"/>
  <c r="U2531" i="1"/>
  <c r="V2531" i="1"/>
  <c r="AB2532" i="1" l="1"/>
  <c r="AC2532" i="1" s="1"/>
  <c r="V2532" i="1"/>
  <c r="U2532" i="1"/>
  <c r="T2533" i="1"/>
  <c r="AB2533" i="1" l="1"/>
  <c r="AC2533" i="1" s="1"/>
  <c r="U2533" i="1"/>
  <c r="V2533" i="1"/>
  <c r="T2534" i="1"/>
  <c r="T2535" i="1" l="1"/>
  <c r="AB2534" i="1"/>
  <c r="AC2534" i="1" s="1"/>
  <c r="U2534" i="1"/>
  <c r="V2534" i="1"/>
  <c r="T2536" i="1" l="1"/>
  <c r="AB2535" i="1"/>
  <c r="AC2535" i="1" s="1"/>
  <c r="V2535" i="1"/>
  <c r="U2535" i="1"/>
  <c r="T2537" i="1" l="1"/>
  <c r="U2536" i="1"/>
  <c r="V2536" i="1"/>
  <c r="AB2536" i="1"/>
  <c r="AC2536" i="1" s="1"/>
  <c r="AB2537" i="1" l="1"/>
  <c r="AC2537" i="1" s="1"/>
  <c r="T2538" i="1"/>
  <c r="V2537" i="1"/>
  <c r="U2537" i="1"/>
  <c r="U2538" i="1" l="1"/>
  <c r="V2538" i="1"/>
  <c r="AB2538" i="1"/>
  <c r="AC2538" i="1" s="1"/>
  <c r="T2539" i="1"/>
  <c r="AB2539" i="1" l="1"/>
  <c r="AC2539" i="1" s="1"/>
  <c r="T2540" i="1"/>
  <c r="U2539" i="1"/>
  <c r="V2539" i="1"/>
  <c r="T2541" i="1" l="1"/>
  <c r="V2540" i="1"/>
  <c r="AB2540" i="1"/>
  <c r="AC2540" i="1" s="1"/>
  <c r="U2540" i="1"/>
  <c r="T2542" i="1" l="1"/>
  <c r="V2541" i="1"/>
  <c r="AB2541" i="1"/>
  <c r="AC2541" i="1" s="1"/>
  <c r="U2541" i="1"/>
  <c r="T2543" i="1" l="1"/>
  <c r="U2542" i="1"/>
  <c r="V2542" i="1"/>
  <c r="AB2542" i="1"/>
  <c r="AC2542" i="1" s="1"/>
  <c r="AB2543" i="1" l="1"/>
  <c r="AC2543" i="1" s="1"/>
  <c r="V2543" i="1"/>
  <c r="U2543" i="1"/>
  <c r="T2544" i="1"/>
  <c r="AB2544" i="1" l="1"/>
  <c r="AC2544" i="1" s="1"/>
  <c r="T2545" i="1"/>
  <c r="U2544" i="1"/>
  <c r="V2544" i="1"/>
  <c r="AB2545" i="1" l="1"/>
  <c r="AC2545" i="1" s="1"/>
  <c r="T2546" i="1"/>
  <c r="U2545" i="1"/>
  <c r="V2545" i="1"/>
  <c r="AB2546" i="1" l="1"/>
  <c r="AC2546" i="1" s="1"/>
  <c r="T2547" i="1"/>
  <c r="U2546" i="1"/>
  <c r="V2546" i="1"/>
  <c r="U2547" i="1" l="1"/>
  <c r="T2548" i="1"/>
  <c r="AB2547" i="1"/>
  <c r="AC2547" i="1" s="1"/>
  <c r="V2547" i="1"/>
  <c r="T2549" i="1" l="1"/>
  <c r="V2548" i="1"/>
  <c r="AB2548" i="1"/>
  <c r="AC2548" i="1" s="1"/>
  <c r="U2548" i="1"/>
  <c r="AB2549" i="1" l="1"/>
  <c r="AC2549" i="1" s="1"/>
  <c r="U2549" i="1"/>
  <c r="T2550" i="1"/>
  <c r="V2549" i="1"/>
  <c r="T2551" i="1" l="1"/>
  <c r="AB2550" i="1"/>
  <c r="AC2550" i="1" s="1"/>
  <c r="U2550" i="1"/>
  <c r="V2550" i="1"/>
  <c r="AB2551" i="1" l="1"/>
  <c r="AC2551" i="1" s="1"/>
  <c r="U2551" i="1"/>
  <c r="V2551" i="1"/>
  <c r="T2552" i="1"/>
  <c r="T2553" i="1" l="1"/>
  <c r="AB2552" i="1"/>
  <c r="AC2552" i="1" s="1"/>
  <c r="V2552" i="1"/>
  <c r="U2552" i="1"/>
  <c r="T2554" i="1" l="1"/>
  <c r="AB2553" i="1"/>
  <c r="AC2553" i="1" s="1"/>
  <c r="V2553" i="1"/>
  <c r="U2553" i="1"/>
  <c r="AB2554" i="1" l="1"/>
  <c r="AC2554" i="1" s="1"/>
  <c r="T2555" i="1"/>
  <c r="U2554" i="1"/>
  <c r="V2554" i="1"/>
  <c r="AB2555" i="1" l="1"/>
  <c r="AC2555" i="1" s="1"/>
  <c r="T2556" i="1"/>
  <c r="U2555" i="1"/>
  <c r="V2555" i="1"/>
  <c r="AB2556" i="1" l="1"/>
  <c r="AC2556" i="1" s="1"/>
  <c r="T2557" i="1"/>
  <c r="V2556" i="1"/>
  <c r="U2556" i="1"/>
  <c r="T2558" i="1" l="1"/>
  <c r="V2557" i="1"/>
  <c r="U2557" i="1"/>
  <c r="AB2557" i="1"/>
  <c r="AC2557" i="1" s="1"/>
  <c r="AB2558" i="1" l="1"/>
  <c r="AC2558" i="1" s="1"/>
  <c r="U2558" i="1"/>
  <c r="V2558" i="1"/>
  <c r="T2559" i="1"/>
  <c r="AB2559" i="1" l="1"/>
  <c r="AC2559" i="1" s="1"/>
  <c r="U2559" i="1"/>
  <c r="V2559" i="1"/>
  <c r="T2560" i="1"/>
  <c r="AB2560" i="1" l="1"/>
  <c r="AC2560" i="1" s="1"/>
  <c r="T2561" i="1"/>
  <c r="U2560" i="1"/>
  <c r="V2560" i="1"/>
  <c r="AB2561" i="1" l="1"/>
  <c r="AC2561" i="1" s="1"/>
  <c r="T2562" i="1"/>
  <c r="V2561" i="1"/>
  <c r="U2561" i="1"/>
  <c r="T2563" i="1" l="1"/>
  <c r="AB2562" i="1"/>
  <c r="AC2562" i="1" s="1"/>
  <c r="V2562" i="1"/>
  <c r="U2562" i="1"/>
  <c r="AB2563" i="1" l="1"/>
  <c r="AC2563" i="1" s="1"/>
  <c r="T2564" i="1"/>
  <c r="V2563" i="1"/>
  <c r="U2563" i="1"/>
  <c r="U2564" i="1" l="1"/>
  <c r="AB2564" i="1"/>
  <c r="AC2564" i="1" s="1"/>
  <c r="V2564" i="1"/>
  <c r="T2565" i="1"/>
  <c r="T2566" i="1" l="1"/>
  <c r="V2565" i="1"/>
  <c r="AB2565" i="1"/>
  <c r="AC2565" i="1" s="1"/>
  <c r="U2565" i="1"/>
  <c r="T2567" i="1" l="1"/>
  <c r="U2566" i="1"/>
  <c r="AB2566" i="1"/>
  <c r="AC2566" i="1" s="1"/>
  <c r="V2566" i="1"/>
  <c r="T2568" i="1" l="1"/>
  <c r="AB2567" i="1"/>
  <c r="AC2567" i="1" s="1"/>
  <c r="U2567" i="1"/>
  <c r="V2567" i="1"/>
  <c r="T2569" i="1" l="1"/>
  <c r="U2568" i="1"/>
  <c r="AB2568" i="1"/>
  <c r="AC2568" i="1" s="1"/>
  <c r="V2568" i="1"/>
  <c r="AB2569" i="1" l="1"/>
  <c r="AC2569" i="1" s="1"/>
  <c r="T2570" i="1"/>
  <c r="V2569" i="1"/>
  <c r="U2569" i="1"/>
  <c r="AB2570" i="1" l="1"/>
  <c r="AC2570" i="1" s="1"/>
  <c r="T2571" i="1"/>
  <c r="V2570" i="1"/>
  <c r="U2570" i="1"/>
  <c r="T2572" i="1" l="1"/>
  <c r="AB2571" i="1"/>
  <c r="AC2571" i="1" s="1"/>
  <c r="V2571" i="1"/>
  <c r="U2571" i="1"/>
  <c r="AB2572" i="1" l="1"/>
  <c r="AC2572" i="1" s="1"/>
  <c r="T2573" i="1"/>
  <c r="V2572" i="1"/>
  <c r="U2572" i="1"/>
  <c r="T2574" i="1" l="1"/>
  <c r="AB2573" i="1"/>
  <c r="AC2573" i="1" s="1"/>
  <c r="U2573" i="1"/>
  <c r="V2573" i="1"/>
  <c r="U2574" i="1" l="1"/>
  <c r="V2574" i="1"/>
  <c r="AB2574" i="1"/>
  <c r="AC2574" i="1" s="1"/>
  <c r="T2575" i="1"/>
  <c r="AB2575" i="1" l="1"/>
  <c r="AC2575" i="1" s="1"/>
  <c r="V2575" i="1"/>
  <c r="T2576" i="1"/>
  <c r="U2575" i="1"/>
  <c r="AB2576" i="1" l="1"/>
  <c r="AC2576" i="1" s="1"/>
  <c r="V2576" i="1"/>
  <c r="U2576" i="1"/>
  <c r="T2577" i="1"/>
  <c r="T2578" i="1" l="1"/>
  <c r="AB2577" i="1"/>
  <c r="AC2577" i="1" s="1"/>
  <c r="V2577" i="1"/>
  <c r="U2577" i="1"/>
  <c r="T2579" i="1" l="1"/>
  <c r="V2578" i="1"/>
  <c r="AB2578" i="1"/>
  <c r="AC2578" i="1" s="1"/>
  <c r="U2578" i="1"/>
  <c r="T2580" i="1" l="1"/>
  <c r="AB2579" i="1"/>
  <c r="AC2579" i="1" s="1"/>
  <c r="V2579" i="1"/>
  <c r="U2579" i="1"/>
  <c r="T2581" i="1" l="1"/>
  <c r="AB2580" i="1"/>
  <c r="AC2580" i="1" s="1"/>
  <c r="V2580" i="1"/>
  <c r="U2580" i="1"/>
  <c r="AB2581" i="1" l="1"/>
  <c r="AC2581" i="1" s="1"/>
  <c r="V2581" i="1"/>
  <c r="U2581" i="1"/>
  <c r="T2582" i="1"/>
  <c r="T2583" i="1" l="1"/>
  <c r="AB2582" i="1"/>
  <c r="AC2582" i="1" s="1"/>
  <c r="V2582" i="1"/>
  <c r="U2582" i="1"/>
  <c r="T2584" i="1" l="1"/>
  <c r="AB2583" i="1"/>
  <c r="AC2583" i="1" s="1"/>
  <c r="V2583" i="1"/>
  <c r="U2583" i="1"/>
  <c r="T2585" i="1" l="1"/>
  <c r="AB2584" i="1"/>
  <c r="AC2584" i="1" s="1"/>
  <c r="U2584" i="1"/>
  <c r="V2584" i="1"/>
  <c r="V2585" i="1" l="1"/>
  <c r="U2585" i="1"/>
  <c r="AB2585" i="1"/>
  <c r="AC2585" i="1" s="1"/>
  <c r="T2586" i="1"/>
  <c r="T2587" i="1" l="1"/>
  <c r="AB2586" i="1"/>
  <c r="AC2586" i="1" s="1"/>
  <c r="U2586" i="1"/>
  <c r="V2586" i="1"/>
  <c r="AB2587" i="1" l="1"/>
  <c r="AC2587" i="1" s="1"/>
  <c r="V2587" i="1"/>
  <c r="U2587" i="1"/>
  <c r="T2588" i="1"/>
  <c r="T2589" i="1" l="1"/>
  <c r="AB2588" i="1"/>
  <c r="AC2588" i="1" s="1"/>
  <c r="V2588" i="1"/>
  <c r="U2588" i="1"/>
  <c r="T2590" i="1" l="1"/>
  <c r="AB2589" i="1"/>
  <c r="AC2589" i="1" s="1"/>
  <c r="V2589" i="1"/>
  <c r="U2589" i="1"/>
  <c r="AB2590" i="1" l="1"/>
  <c r="AC2590" i="1" s="1"/>
  <c r="U2590" i="1"/>
  <c r="V2590" i="1"/>
  <c r="T2591" i="1"/>
  <c r="U2591" i="1" l="1"/>
  <c r="T2592" i="1"/>
  <c r="AB2591" i="1"/>
  <c r="AC2591" i="1" s="1"/>
  <c r="V2591" i="1"/>
  <c r="T2593" i="1" l="1"/>
  <c r="V2592" i="1"/>
  <c r="U2592" i="1"/>
  <c r="AB2592" i="1"/>
  <c r="AC2592" i="1" s="1"/>
  <c r="AB2593" i="1" l="1"/>
  <c r="AC2593" i="1" s="1"/>
  <c r="U2593" i="1"/>
  <c r="V2593" i="1"/>
  <c r="T2594" i="1"/>
  <c r="T2595" i="1" l="1"/>
  <c r="AB2594" i="1"/>
  <c r="AC2594" i="1" s="1"/>
  <c r="U2594" i="1"/>
  <c r="V2594" i="1"/>
  <c r="AB2595" i="1" l="1"/>
  <c r="AC2595" i="1" s="1"/>
  <c r="V2595" i="1"/>
  <c r="U2595" i="1"/>
  <c r="T2596" i="1"/>
  <c r="T2597" i="1" l="1"/>
  <c r="AB2596" i="1"/>
  <c r="AC2596" i="1" s="1"/>
  <c r="V2596" i="1"/>
  <c r="U2596" i="1"/>
  <c r="T2598" i="1" l="1"/>
  <c r="AB2597" i="1"/>
  <c r="AC2597" i="1" s="1"/>
  <c r="U2597" i="1"/>
  <c r="V2597" i="1"/>
  <c r="V2598" i="1" l="1"/>
  <c r="AB2598" i="1"/>
  <c r="AC2598" i="1" s="1"/>
  <c r="U2598" i="1"/>
  <c r="T2599" i="1"/>
  <c r="T2600" i="1" l="1"/>
  <c r="V2599" i="1"/>
  <c r="AB2599" i="1"/>
  <c r="AC2599" i="1" s="1"/>
  <c r="U2599" i="1"/>
  <c r="T2601" i="1" l="1"/>
  <c r="V2600" i="1"/>
  <c r="U2600" i="1"/>
  <c r="AB2600" i="1"/>
  <c r="AC2600" i="1" s="1"/>
  <c r="AB2601" i="1" l="1"/>
  <c r="AC2601" i="1" s="1"/>
  <c r="T2602" i="1"/>
  <c r="V2601" i="1"/>
  <c r="U2601" i="1"/>
  <c r="AB2602" i="1" l="1"/>
  <c r="AC2602" i="1" s="1"/>
  <c r="U2602" i="1"/>
  <c r="V2602" i="1"/>
  <c r="T2603" i="1"/>
  <c r="T2604" i="1" l="1"/>
  <c r="V2603" i="1"/>
  <c r="U2603" i="1"/>
  <c r="AB2603" i="1"/>
  <c r="AC2603" i="1" s="1"/>
  <c r="AB2604" i="1" l="1"/>
  <c r="AC2604" i="1" s="1"/>
  <c r="V2604" i="1"/>
  <c r="U2604" i="1"/>
  <c r="T2605" i="1"/>
  <c r="AB2605" i="1" l="1"/>
  <c r="AC2605" i="1" s="1"/>
  <c r="U2605" i="1"/>
  <c r="V2605" i="1"/>
  <c r="T2606" i="1"/>
  <c r="T2607" i="1" l="1"/>
  <c r="AB2606" i="1"/>
  <c r="AC2606" i="1" s="1"/>
  <c r="U2606" i="1"/>
  <c r="V2606" i="1"/>
  <c r="AB2607" i="1" l="1"/>
  <c r="AC2607" i="1" s="1"/>
  <c r="T2608" i="1"/>
  <c r="V2607" i="1"/>
  <c r="U2607" i="1"/>
  <c r="T2609" i="1" l="1"/>
  <c r="AB2608" i="1"/>
  <c r="AC2608" i="1" s="1"/>
  <c r="U2608" i="1"/>
  <c r="V2608" i="1"/>
  <c r="T2610" i="1" l="1"/>
  <c r="U2609" i="1"/>
  <c r="AB2609" i="1"/>
  <c r="AC2609" i="1" s="1"/>
  <c r="V2609" i="1"/>
  <c r="U2610" i="1" l="1"/>
  <c r="T2611" i="1"/>
  <c r="V2610" i="1"/>
  <c r="AB2610" i="1"/>
  <c r="AC2610" i="1" s="1"/>
  <c r="T2612" i="1" l="1"/>
  <c r="V2611" i="1"/>
  <c r="AB2611" i="1"/>
  <c r="AC2611" i="1" s="1"/>
  <c r="U2611" i="1"/>
  <c r="T2613" i="1" l="1"/>
  <c r="V2612" i="1"/>
  <c r="AB2612" i="1"/>
  <c r="AC2612" i="1" s="1"/>
  <c r="U2612" i="1"/>
  <c r="T2614" i="1" l="1"/>
  <c r="V2613" i="1"/>
  <c r="AB2613" i="1"/>
  <c r="AC2613" i="1" s="1"/>
  <c r="U2613" i="1"/>
  <c r="T2615" i="1" l="1"/>
  <c r="AB2614" i="1"/>
  <c r="AC2614" i="1" s="1"/>
  <c r="V2614" i="1"/>
  <c r="U2614" i="1"/>
  <c r="AB2615" i="1" l="1"/>
  <c r="AC2615" i="1" s="1"/>
  <c r="T2616" i="1"/>
  <c r="V2615" i="1"/>
  <c r="U2615" i="1"/>
  <c r="AB2616" i="1" l="1"/>
  <c r="AC2616" i="1" s="1"/>
  <c r="U2616" i="1"/>
  <c r="V2616" i="1"/>
  <c r="T2617" i="1"/>
  <c r="U2617" i="1" l="1"/>
  <c r="V2617" i="1"/>
  <c r="T2618" i="1"/>
  <c r="AB2617" i="1"/>
  <c r="AC2617" i="1" s="1"/>
  <c r="T2619" i="1" l="1"/>
  <c r="U2618" i="1"/>
  <c r="V2618" i="1"/>
  <c r="AB2618" i="1"/>
  <c r="AC2618" i="1" s="1"/>
  <c r="AB2619" i="1" l="1"/>
  <c r="AC2619" i="1" s="1"/>
  <c r="T2620" i="1"/>
  <c r="U2619" i="1"/>
  <c r="V2619" i="1"/>
  <c r="AB2620" i="1" l="1"/>
  <c r="AC2620" i="1" s="1"/>
  <c r="T2621" i="1"/>
  <c r="U2620" i="1"/>
  <c r="V2620" i="1"/>
  <c r="T2622" i="1" l="1"/>
  <c r="U2621" i="1"/>
  <c r="AB2621" i="1"/>
  <c r="AC2621" i="1" s="1"/>
  <c r="V2621" i="1"/>
  <c r="T2623" i="1" l="1"/>
  <c r="V2622" i="1"/>
  <c r="AB2622" i="1"/>
  <c r="AC2622" i="1" s="1"/>
  <c r="U2622" i="1"/>
  <c r="T2624" i="1" l="1"/>
  <c r="AB2623" i="1"/>
  <c r="AC2623" i="1" s="1"/>
  <c r="V2623" i="1"/>
  <c r="U2623" i="1"/>
  <c r="AB2624" i="1" l="1"/>
  <c r="AC2624" i="1" s="1"/>
  <c r="V2624" i="1"/>
  <c r="T2625" i="1"/>
  <c r="U2624" i="1"/>
  <c r="T2626" i="1" l="1"/>
  <c r="AB2625" i="1"/>
  <c r="AC2625" i="1" s="1"/>
  <c r="V2625" i="1"/>
  <c r="U2625" i="1"/>
  <c r="U2626" i="1" l="1"/>
  <c r="AB2626" i="1"/>
  <c r="AC2626" i="1" s="1"/>
  <c r="T2627" i="1"/>
  <c r="V2626" i="1"/>
  <c r="T2628" i="1" l="1"/>
  <c r="AB2627" i="1"/>
  <c r="AC2627" i="1" s="1"/>
  <c r="V2627" i="1"/>
  <c r="U2627" i="1"/>
  <c r="AB2628" i="1" l="1"/>
  <c r="AC2628" i="1" s="1"/>
  <c r="T2629" i="1"/>
  <c r="V2628" i="1"/>
  <c r="U2628" i="1"/>
  <c r="AB2629" i="1" l="1"/>
  <c r="AC2629" i="1" s="1"/>
  <c r="V2629" i="1"/>
  <c r="T2630" i="1"/>
  <c r="U2629" i="1"/>
  <c r="T2631" i="1" l="1"/>
  <c r="V2630" i="1"/>
  <c r="AB2630" i="1"/>
  <c r="AC2630" i="1" s="1"/>
  <c r="U2630" i="1"/>
  <c r="T2632" i="1" l="1"/>
  <c r="U2631" i="1"/>
  <c r="V2631" i="1"/>
  <c r="AB2631" i="1"/>
  <c r="AC2631" i="1" s="1"/>
  <c r="T2633" i="1" l="1"/>
  <c r="AB2632" i="1"/>
  <c r="AC2632" i="1" s="1"/>
  <c r="U2632" i="1"/>
  <c r="V2632" i="1"/>
  <c r="AB2633" i="1" l="1"/>
  <c r="AC2633" i="1" s="1"/>
  <c r="U2633" i="1"/>
  <c r="V2633" i="1"/>
  <c r="T2634" i="1"/>
  <c r="T2635" i="1" l="1"/>
  <c r="U2634" i="1"/>
  <c r="AB2634" i="1"/>
  <c r="AC2634" i="1" s="1"/>
  <c r="V2634" i="1"/>
  <c r="AB2635" i="1" l="1"/>
  <c r="AC2635" i="1" s="1"/>
  <c r="T2636" i="1"/>
  <c r="V2635" i="1"/>
  <c r="U2635" i="1"/>
  <c r="AB2636" i="1" l="1"/>
  <c r="AC2636" i="1" s="1"/>
  <c r="U2636" i="1"/>
  <c r="V2636" i="1"/>
  <c r="T2637" i="1"/>
  <c r="AB2637" i="1" l="1"/>
  <c r="AC2637" i="1" s="1"/>
  <c r="T2638" i="1"/>
  <c r="V2637" i="1"/>
  <c r="U2637" i="1"/>
  <c r="T2639" i="1" l="1"/>
  <c r="V2638" i="1"/>
  <c r="U2638" i="1"/>
  <c r="AB2638" i="1"/>
  <c r="AC2638" i="1" s="1"/>
  <c r="V2639" i="1" l="1"/>
  <c r="T2640" i="1"/>
  <c r="U2639" i="1"/>
  <c r="AB2639" i="1"/>
  <c r="AC2639" i="1" s="1"/>
  <c r="T2641" i="1" l="1"/>
  <c r="AB2640" i="1"/>
  <c r="AC2640" i="1" s="1"/>
  <c r="U2640" i="1"/>
  <c r="V2640" i="1"/>
  <c r="V2641" i="1" l="1"/>
  <c r="AB2641" i="1"/>
  <c r="AC2641" i="1" s="1"/>
  <c r="U2641" i="1"/>
  <c r="T2642" i="1"/>
  <c r="AB2642" i="1" l="1"/>
  <c r="AC2642" i="1" s="1"/>
  <c r="V2642" i="1"/>
  <c r="U2642" i="1"/>
  <c r="T2643" i="1"/>
  <c r="U2643" i="1" l="1"/>
  <c r="T2644" i="1"/>
  <c r="AB2643" i="1"/>
  <c r="AC2643" i="1" s="1"/>
  <c r="V2643" i="1"/>
  <c r="AB2644" i="1" l="1"/>
  <c r="AC2644" i="1" s="1"/>
  <c r="U2644" i="1"/>
  <c r="V2644" i="1"/>
  <c r="T2645" i="1"/>
  <c r="AB2645" i="1" l="1"/>
  <c r="AC2645" i="1" s="1"/>
  <c r="T2646" i="1"/>
  <c r="V2645" i="1"/>
  <c r="U2645" i="1"/>
  <c r="AB2646" i="1" l="1"/>
  <c r="AC2646" i="1" s="1"/>
  <c r="V2646" i="1"/>
  <c r="U2646" i="1"/>
  <c r="T2647" i="1"/>
  <c r="U2647" i="1" l="1"/>
  <c r="V2647" i="1"/>
  <c r="AB2647" i="1"/>
  <c r="AC2647" i="1" s="1"/>
  <c r="T2648" i="1"/>
  <c r="AB2648" i="1" l="1"/>
  <c r="AC2648" i="1" s="1"/>
  <c r="U2648" i="1"/>
  <c r="V2648" i="1"/>
  <c r="T2649" i="1"/>
  <c r="T2650" i="1" l="1"/>
  <c r="AB2649" i="1"/>
  <c r="AC2649" i="1" s="1"/>
  <c r="V2649" i="1"/>
  <c r="U2649" i="1"/>
  <c r="V2650" i="1" l="1"/>
  <c r="AB2650" i="1"/>
  <c r="AC2650" i="1" s="1"/>
  <c r="U2650" i="1"/>
  <c r="T2651" i="1"/>
  <c r="T2652" i="1" l="1"/>
  <c r="AB2651" i="1"/>
  <c r="AC2651" i="1" s="1"/>
  <c r="V2651" i="1"/>
  <c r="U2651" i="1"/>
  <c r="T2653" i="1" l="1"/>
  <c r="V2652" i="1"/>
  <c r="AB2652" i="1"/>
  <c r="AC2652" i="1" s="1"/>
  <c r="U2652" i="1"/>
  <c r="AB2653" i="1" l="1"/>
  <c r="AC2653" i="1" s="1"/>
  <c r="V2653" i="1"/>
  <c r="T2654" i="1"/>
  <c r="U2653" i="1"/>
  <c r="AB2654" i="1" l="1"/>
  <c r="AC2654" i="1" s="1"/>
  <c r="T2655" i="1"/>
  <c r="V2654" i="1"/>
  <c r="U2654" i="1"/>
  <c r="T2656" i="1" l="1"/>
  <c r="AB2655" i="1"/>
  <c r="AC2655" i="1" s="1"/>
  <c r="U2655" i="1"/>
  <c r="V2655" i="1"/>
  <c r="AB2656" i="1" l="1"/>
  <c r="AC2656" i="1" s="1"/>
  <c r="T2657" i="1"/>
  <c r="V2656" i="1"/>
  <c r="U2656" i="1"/>
  <c r="AB2657" i="1" l="1"/>
  <c r="AC2657" i="1" s="1"/>
  <c r="U2657" i="1"/>
  <c r="T2658" i="1"/>
  <c r="V2657" i="1"/>
  <c r="AB2658" i="1" l="1"/>
  <c r="AC2658" i="1" s="1"/>
  <c r="T2659" i="1"/>
  <c r="U2658" i="1"/>
  <c r="V2658" i="1"/>
  <c r="T2660" i="1" l="1"/>
  <c r="V2659" i="1"/>
  <c r="AB2659" i="1"/>
  <c r="AC2659" i="1" s="1"/>
  <c r="U2659" i="1"/>
  <c r="U2660" i="1" l="1"/>
  <c r="AB2660" i="1"/>
  <c r="AC2660" i="1" s="1"/>
  <c r="V2660" i="1"/>
  <c r="T2661" i="1"/>
  <c r="T2662" i="1" l="1"/>
  <c r="AB2661" i="1"/>
  <c r="AC2661" i="1" s="1"/>
  <c r="U2661" i="1"/>
  <c r="V2661" i="1"/>
  <c r="T2663" i="1" l="1"/>
  <c r="U2662" i="1"/>
  <c r="AB2662" i="1"/>
  <c r="AC2662" i="1" s="1"/>
  <c r="V2662" i="1"/>
  <c r="T2664" i="1" l="1"/>
  <c r="AB2663" i="1"/>
  <c r="AC2663" i="1" s="1"/>
  <c r="U2663" i="1"/>
  <c r="V2663" i="1"/>
  <c r="AB2664" i="1" l="1"/>
  <c r="AC2664" i="1" s="1"/>
  <c r="U2664" i="1"/>
  <c r="V2664" i="1"/>
  <c r="T2665" i="1"/>
  <c r="T2666" i="1" l="1"/>
  <c r="AB2665" i="1"/>
  <c r="AC2665" i="1" s="1"/>
  <c r="V2665" i="1"/>
  <c r="U2665" i="1"/>
  <c r="AB2666" i="1" l="1"/>
  <c r="AC2666" i="1" s="1"/>
  <c r="V2666" i="1"/>
  <c r="U2666" i="1"/>
  <c r="T2667" i="1"/>
  <c r="AB2667" i="1" l="1"/>
  <c r="AC2667" i="1" s="1"/>
  <c r="V2667" i="1"/>
  <c r="U2667" i="1"/>
  <c r="T2668" i="1"/>
  <c r="T2669" i="1" l="1"/>
  <c r="U2668" i="1"/>
  <c r="AB2668" i="1"/>
  <c r="AC2668" i="1" s="1"/>
  <c r="V2668" i="1"/>
  <c r="AB2669" i="1" l="1"/>
  <c r="AC2669" i="1" s="1"/>
  <c r="T2670" i="1"/>
  <c r="V2669" i="1"/>
  <c r="U2669" i="1"/>
  <c r="AB2670" i="1" l="1"/>
  <c r="AC2670" i="1" s="1"/>
  <c r="T2671" i="1"/>
  <c r="V2670" i="1"/>
  <c r="U2670" i="1"/>
  <c r="T2672" i="1" l="1"/>
  <c r="AB2671" i="1"/>
  <c r="AC2671" i="1" s="1"/>
  <c r="U2671" i="1"/>
  <c r="V2671" i="1"/>
  <c r="T2673" i="1" l="1"/>
  <c r="AB2672" i="1"/>
  <c r="AC2672" i="1" s="1"/>
  <c r="V2672" i="1"/>
  <c r="U2672" i="1"/>
  <c r="AB2673" i="1" l="1"/>
  <c r="AC2673" i="1" s="1"/>
  <c r="U2673" i="1"/>
  <c r="T2674" i="1"/>
  <c r="V2673" i="1"/>
  <c r="AB2674" i="1" l="1"/>
  <c r="AC2674" i="1" s="1"/>
  <c r="V2674" i="1"/>
  <c r="U2674" i="1"/>
  <c r="T2675" i="1"/>
  <c r="AB2675" i="1" l="1"/>
  <c r="AC2675" i="1" s="1"/>
  <c r="T2676" i="1"/>
  <c r="V2675" i="1"/>
  <c r="U2675" i="1"/>
  <c r="T2677" i="1" l="1"/>
  <c r="AB2676" i="1"/>
  <c r="AC2676" i="1" s="1"/>
  <c r="U2676" i="1"/>
  <c r="V2676" i="1"/>
  <c r="T2678" i="1" l="1"/>
  <c r="AB2677" i="1"/>
  <c r="AC2677" i="1" s="1"/>
  <c r="U2677" i="1"/>
  <c r="V2677" i="1"/>
  <c r="AB2678" i="1" l="1"/>
  <c r="AC2678" i="1" s="1"/>
  <c r="T2679" i="1"/>
  <c r="U2678" i="1"/>
  <c r="V2678" i="1"/>
  <c r="T2680" i="1" l="1"/>
  <c r="AB2679" i="1"/>
  <c r="AC2679" i="1" s="1"/>
  <c r="V2679" i="1"/>
  <c r="U2679" i="1"/>
  <c r="T2681" i="1" l="1"/>
  <c r="AB2680" i="1"/>
  <c r="AC2680" i="1" s="1"/>
  <c r="U2680" i="1"/>
  <c r="V2680" i="1"/>
  <c r="AB2681" i="1" l="1"/>
  <c r="AC2681" i="1" s="1"/>
  <c r="V2681" i="1"/>
  <c r="U2681" i="1"/>
  <c r="T2682" i="1"/>
  <c r="AB2682" i="1" l="1"/>
  <c r="AC2682" i="1" s="1"/>
  <c r="T2683" i="1"/>
  <c r="U2682" i="1"/>
  <c r="V2682" i="1"/>
  <c r="AB2683" i="1" l="1"/>
  <c r="AC2683" i="1" s="1"/>
  <c r="T2684" i="1"/>
  <c r="U2683" i="1"/>
  <c r="V2683" i="1"/>
  <c r="AB2684" i="1" l="1"/>
  <c r="AC2684" i="1" s="1"/>
  <c r="U2684" i="1"/>
  <c r="V2684" i="1"/>
  <c r="T2685" i="1"/>
  <c r="AB2685" i="1" l="1"/>
  <c r="AC2685" i="1" s="1"/>
  <c r="U2685" i="1"/>
  <c r="V2685" i="1"/>
  <c r="T2686" i="1"/>
  <c r="U2686" i="1" l="1"/>
  <c r="AB2686" i="1"/>
  <c r="AC2686" i="1" s="1"/>
  <c r="T2687" i="1"/>
  <c r="V2686" i="1"/>
  <c r="AB2687" i="1" l="1"/>
  <c r="AC2687" i="1" s="1"/>
  <c r="T2688" i="1"/>
  <c r="V2687" i="1"/>
  <c r="U2687" i="1"/>
  <c r="AB2688" i="1" l="1"/>
  <c r="AC2688" i="1" s="1"/>
  <c r="V2688" i="1"/>
  <c r="T2689" i="1"/>
  <c r="U2688" i="1"/>
  <c r="AB2689" i="1" l="1"/>
  <c r="AC2689" i="1" s="1"/>
  <c r="T2690" i="1"/>
  <c r="U2689" i="1"/>
  <c r="V2689" i="1"/>
  <c r="AB2690" i="1" l="1"/>
  <c r="AC2690" i="1" s="1"/>
  <c r="V2690" i="1"/>
  <c r="U2690" i="1"/>
  <c r="T2691" i="1"/>
  <c r="AB2691" i="1" l="1"/>
  <c r="AC2691" i="1" s="1"/>
  <c r="T2692" i="1"/>
  <c r="V2691" i="1"/>
  <c r="U2691" i="1"/>
  <c r="T2693" i="1" l="1"/>
  <c r="V2692" i="1"/>
  <c r="AB2692" i="1"/>
  <c r="AC2692" i="1" s="1"/>
  <c r="U2692" i="1"/>
  <c r="T2694" i="1" l="1"/>
  <c r="AB2693" i="1"/>
  <c r="AC2693" i="1" s="1"/>
  <c r="U2693" i="1"/>
  <c r="V2693" i="1"/>
  <c r="T2695" i="1" l="1"/>
  <c r="AB2694" i="1"/>
  <c r="AC2694" i="1" s="1"/>
  <c r="U2694" i="1"/>
  <c r="V2694" i="1"/>
  <c r="T2696" i="1" l="1"/>
  <c r="AB2695" i="1"/>
  <c r="AC2695" i="1" s="1"/>
  <c r="U2695" i="1"/>
  <c r="V2695" i="1"/>
  <c r="T2697" i="1" l="1"/>
  <c r="AB2696" i="1"/>
  <c r="AC2696" i="1" s="1"/>
  <c r="U2696" i="1"/>
  <c r="V2696" i="1"/>
  <c r="AB2697" i="1" l="1"/>
  <c r="AC2697" i="1" s="1"/>
  <c r="T2698" i="1"/>
  <c r="U2697" i="1"/>
  <c r="V2697" i="1"/>
  <c r="T2699" i="1" l="1"/>
  <c r="AB2698" i="1"/>
  <c r="AC2698" i="1" s="1"/>
  <c r="U2698" i="1"/>
  <c r="V2698" i="1"/>
  <c r="T2700" i="1" l="1"/>
  <c r="U2699" i="1"/>
  <c r="AB2699" i="1"/>
  <c r="AC2699" i="1" s="1"/>
  <c r="V2699" i="1"/>
  <c r="T2701" i="1" l="1"/>
  <c r="AB2700" i="1"/>
  <c r="AC2700" i="1" s="1"/>
  <c r="U2700" i="1"/>
  <c r="V2700" i="1"/>
  <c r="AB2701" i="1" l="1"/>
  <c r="AC2701" i="1" s="1"/>
  <c r="U2701" i="1"/>
  <c r="V2701" i="1"/>
  <c r="T2702" i="1"/>
  <c r="AB2702" i="1" l="1"/>
  <c r="AC2702" i="1" s="1"/>
  <c r="T2703" i="1"/>
  <c r="V2702" i="1"/>
  <c r="U2702" i="1"/>
  <c r="AB2703" i="1" l="1"/>
  <c r="AC2703" i="1" s="1"/>
  <c r="U2703" i="1"/>
  <c r="T2704" i="1"/>
  <c r="V2703" i="1"/>
  <c r="AB2704" i="1" l="1"/>
  <c r="AC2704" i="1" s="1"/>
  <c r="T2705" i="1"/>
  <c r="V2704" i="1"/>
  <c r="U2704" i="1"/>
  <c r="T2706" i="1" l="1"/>
  <c r="U2705" i="1"/>
  <c r="V2705" i="1"/>
  <c r="AB2705" i="1"/>
  <c r="AC2705" i="1" s="1"/>
  <c r="T2707" i="1" l="1"/>
  <c r="AB2706" i="1"/>
  <c r="AC2706" i="1" s="1"/>
  <c r="V2706" i="1"/>
  <c r="U2706" i="1"/>
  <c r="T2708" i="1" l="1"/>
  <c r="AB2707" i="1"/>
  <c r="AC2707" i="1" s="1"/>
  <c r="V2707" i="1"/>
  <c r="U2707" i="1"/>
  <c r="T2709" i="1" l="1"/>
  <c r="AB2708" i="1"/>
  <c r="AC2708" i="1" s="1"/>
  <c r="U2708" i="1"/>
  <c r="V2708" i="1"/>
  <c r="U2709" i="1" l="1"/>
  <c r="V2709" i="1"/>
  <c r="AB2709" i="1"/>
  <c r="AC2709" i="1" s="1"/>
  <c r="T2710" i="1"/>
  <c r="AB2710" i="1" l="1"/>
  <c r="AC2710" i="1" s="1"/>
  <c r="T2711" i="1"/>
  <c r="V2710" i="1"/>
  <c r="U2710" i="1"/>
  <c r="AB2711" i="1" l="1"/>
  <c r="AC2711" i="1" s="1"/>
  <c r="T2712" i="1"/>
  <c r="U2711" i="1"/>
  <c r="V2711" i="1"/>
  <c r="V2712" i="1" l="1"/>
  <c r="T2713" i="1"/>
  <c r="U2712" i="1"/>
  <c r="AB2712" i="1"/>
  <c r="AC2712" i="1" s="1"/>
  <c r="T2714" i="1" l="1"/>
  <c r="AB2713" i="1"/>
  <c r="AC2713" i="1" s="1"/>
  <c r="V2713" i="1"/>
  <c r="U2713" i="1"/>
  <c r="T2715" i="1" l="1"/>
  <c r="AB2714" i="1"/>
  <c r="AC2714" i="1" s="1"/>
  <c r="V2714" i="1"/>
  <c r="U2714" i="1"/>
  <c r="V2715" i="1" l="1"/>
  <c r="T2716" i="1"/>
  <c r="AB2715" i="1"/>
  <c r="AC2715" i="1" s="1"/>
  <c r="U2715" i="1"/>
  <c r="AB2716" i="1" l="1"/>
  <c r="AC2716" i="1" s="1"/>
  <c r="T2717" i="1"/>
  <c r="U2716" i="1"/>
  <c r="V2716" i="1"/>
  <c r="AB2717" i="1" l="1"/>
  <c r="AC2717" i="1" s="1"/>
  <c r="U2717" i="1"/>
  <c r="T2718" i="1"/>
  <c r="V2717" i="1"/>
  <c r="AB2718" i="1" l="1"/>
  <c r="AC2718" i="1" s="1"/>
  <c r="T2719" i="1"/>
  <c r="U2718" i="1"/>
  <c r="V2718" i="1"/>
  <c r="U2719" i="1" l="1"/>
  <c r="AB2719" i="1"/>
  <c r="AC2719" i="1" s="1"/>
  <c r="V2719" i="1"/>
  <c r="T2720" i="1"/>
  <c r="T2721" i="1" l="1"/>
  <c r="AB2720" i="1"/>
  <c r="AC2720" i="1" s="1"/>
  <c r="V2720" i="1"/>
  <c r="U2720" i="1"/>
  <c r="T2722" i="1" l="1"/>
  <c r="AB2721" i="1"/>
  <c r="AC2721" i="1" s="1"/>
  <c r="U2721" i="1"/>
  <c r="V2721" i="1"/>
  <c r="AB2722" i="1" l="1"/>
  <c r="AC2722" i="1" s="1"/>
  <c r="T2723" i="1"/>
  <c r="V2722" i="1"/>
  <c r="U2722" i="1"/>
  <c r="AB2723" i="1" l="1"/>
  <c r="AC2723" i="1" s="1"/>
  <c r="T2724" i="1"/>
  <c r="U2723" i="1"/>
  <c r="V2723" i="1"/>
  <c r="T2725" i="1" l="1"/>
  <c r="AB2724" i="1"/>
  <c r="AC2724" i="1" s="1"/>
  <c r="U2724" i="1"/>
  <c r="V2724" i="1"/>
  <c r="AB2725" i="1" l="1"/>
  <c r="AC2725" i="1" s="1"/>
  <c r="T2726" i="1"/>
  <c r="U2725" i="1"/>
  <c r="V2725" i="1"/>
  <c r="T2727" i="1" l="1"/>
  <c r="AB2726" i="1"/>
  <c r="AC2726" i="1" s="1"/>
  <c r="U2726" i="1"/>
  <c r="V2726" i="1"/>
  <c r="T2728" i="1" l="1"/>
  <c r="AB2727" i="1"/>
  <c r="AC2727" i="1" s="1"/>
  <c r="V2727" i="1"/>
  <c r="U2727" i="1"/>
  <c r="T2729" i="1" l="1"/>
  <c r="AB2728" i="1"/>
  <c r="AC2728" i="1" s="1"/>
  <c r="U2728" i="1"/>
  <c r="V2728" i="1"/>
  <c r="T2730" i="1" l="1"/>
  <c r="AB2729" i="1"/>
  <c r="AC2729" i="1" s="1"/>
  <c r="U2729" i="1"/>
  <c r="V2729" i="1"/>
  <c r="T2731" i="1" l="1"/>
  <c r="AB2730" i="1"/>
  <c r="AC2730" i="1" s="1"/>
  <c r="V2730" i="1"/>
  <c r="U2730" i="1"/>
  <c r="U2731" i="1" l="1"/>
  <c r="T2732" i="1"/>
  <c r="AB2731" i="1"/>
  <c r="AC2731" i="1" s="1"/>
  <c r="V2731" i="1"/>
  <c r="AB2732" i="1" l="1"/>
  <c r="AC2732" i="1" s="1"/>
  <c r="T2733" i="1"/>
  <c r="U2732" i="1"/>
  <c r="V2732" i="1"/>
  <c r="AB2733" i="1" l="1"/>
  <c r="AC2733" i="1" s="1"/>
  <c r="U2733" i="1"/>
  <c r="V2733" i="1"/>
  <c r="T2734" i="1"/>
  <c r="T2735" i="1" l="1"/>
  <c r="AB2734" i="1"/>
  <c r="AC2734" i="1" s="1"/>
  <c r="U2734" i="1"/>
  <c r="V2734" i="1"/>
  <c r="AB2735" i="1" l="1"/>
  <c r="AC2735" i="1" s="1"/>
  <c r="T2736" i="1"/>
  <c r="U2735" i="1"/>
  <c r="V2735" i="1"/>
  <c r="T2737" i="1" l="1"/>
  <c r="AB2736" i="1"/>
  <c r="AC2736" i="1" s="1"/>
  <c r="U2736" i="1"/>
  <c r="V2736" i="1"/>
  <c r="AB2737" i="1" l="1"/>
  <c r="AC2737" i="1" s="1"/>
  <c r="V2737" i="1"/>
  <c r="U2737" i="1"/>
  <c r="T2738" i="1"/>
  <c r="T2739" i="1" l="1"/>
  <c r="AB2738" i="1"/>
  <c r="AC2738" i="1" s="1"/>
  <c r="V2738" i="1"/>
  <c r="U2738" i="1"/>
  <c r="T2740" i="1" l="1"/>
  <c r="AB2739" i="1"/>
  <c r="AC2739" i="1" s="1"/>
  <c r="U2739" i="1"/>
  <c r="V2739" i="1"/>
  <c r="AB2740" i="1" l="1"/>
  <c r="AC2740" i="1" s="1"/>
  <c r="T2741" i="1"/>
  <c r="V2740" i="1"/>
  <c r="U2740" i="1"/>
  <c r="AB2741" i="1" l="1"/>
  <c r="AC2741" i="1" s="1"/>
  <c r="U2741" i="1"/>
  <c r="V2741" i="1"/>
  <c r="T2742" i="1"/>
  <c r="T2743" i="1" l="1"/>
  <c r="U2742" i="1"/>
  <c r="AB2742" i="1"/>
  <c r="AC2742" i="1" s="1"/>
  <c r="V2742" i="1"/>
  <c r="AB2743" i="1" l="1"/>
  <c r="AC2743" i="1" s="1"/>
  <c r="U2743" i="1"/>
  <c r="V2743" i="1"/>
  <c r="T2744" i="1"/>
  <c r="T2745" i="1" l="1"/>
  <c r="AB2744" i="1"/>
  <c r="AC2744" i="1" s="1"/>
  <c r="V2744" i="1"/>
  <c r="U2744" i="1"/>
  <c r="T2746" i="1" l="1"/>
  <c r="AB2745" i="1"/>
  <c r="AC2745" i="1" s="1"/>
  <c r="V2745" i="1"/>
  <c r="U2745" i="1"/>
  <c r="T2747" i="1" l="1"/>
  <c r="U2746" i="1"/>
  <c r="AB2746" i="1"/>
  <c r="AC2746" i="1" s="1"/>
  <c r="V2746" i="1"/>
  <c r="T2748" i="1" l="1"/>
  <c r="AB2747" i="1"/>
  <c r="AC2747" i="1" s="1"/>
  <c r="U2747" i="1"/>
  <c r="V2747" i="1"/>
  <c r="AB2748" i="1" l="1"/>
  <c r="AC2748" i="1" s="1"/>
  <c r="T2749" i="1"/>
  <c r="U2748" i="1"/>
  <c r="V2748" i="1"/>
  <c r="AB2749" i="1" l="1"/>
  <c r="AC2749" i="1" s="1"/>
  <c r="T2750" i="1"/>
  <c r="U2749" i="1"/>
  <c r="V2749" i="1"/>
  <c r="T2751" i="1" l="1"/>
  <c r="U2750" i="1"/>
  <c r="AB2750" i="1"/>
  <c r="AC2750" i="1" s="1"/>
  <c r="V2750" i="1"/>
  <c r="AB2751" i="1" l="1"/>
  <c r="AC2751" i="1" s="1"/>
  <c r="T2752" i="1"/>
  <c r="V2751" i="1"/>
  <c r="U2751" i="1"/>
  <c r="T2753" i="1" l="1"/>
  <c r="AB2752" i="1"/>
  <c r="AC2752" i="1" s="1"/>
  <c r="U2752" i="1"/>
  <c r="V2752" i="1"/>
  <c r="V2753" i="1" l="1"/>
  <c r="AB2753" i="1"/>
  <c r="AC2753" i="1" s="1"/>
  <c r="T2754" i="1"/>
  <c r="U2753" i="1"/>
  <c r="AB2754" i="1" l="1"/>
  <c r="AC2754" i="1" s="1"/>
  <c r="V2754" i="1"/>
  <c r="U2754" i="1"/>
  <c r="T2755" i="1"/>
  <c r="AB2755" i="1" l="1"/>
  <c r="AC2755" i="1" s="1"/>
  <c r="U2755" i="1"/>
  <c r="V2755" i="1"/>
  <c r="T2756" i="1"/>
  <c r="T2757" i="1" l="1"/>
  <c r="AB2756" i="1"/>
  <c r="AC2756" i="1" s="1"/>
  <c r="U2756" i="1"/>
  <c r="V2756" i="1"/>
  <c r="V2757" i="1" l="1"/>
  <c r="T2758" i="1"/>
  <c r="AB2757" i="1"/>
  <c r="AC2757" i="1" s="1"/>
  <c r="U2757" i="1"/>
  <c r="U2758" i="1" l="1"/>
  <c r="T2759" i="1"/>
  <c r="AB2758" i="1"/>
  <c r="AC2758" i="1" s="1"/>
  <c r="V2758" i="1"/>
  <c r="T2760" i="1" l="1"/>
  <c r="AB2759" i="1"/>
  <c r="AC2759" i="1" s="1"/>
  <c r="V2759" i="1"/>
  <c r="U2759" i="1"/>
  <c r="AB2760" i="1" l="1"/>
  <c r="AC2760" i="1" s="1"/>
  <c r="U2760" i="1"/>
  <c r="V2760" i="1"/>
  <c r="T2761" i="1"/>
  <c r="T2762" i="1" l="1"/>
  <c r="AB2761" i="1"/>
  <c r="AC2761" i="1" s="1"/>
  <c r="U2761" i="1"/>
  <c r="V2761" i="1"/>
  <c r="T2763" i="1" l="1"/>
  <c r="AB2762" i="1"/>
  <c r="AC2762" i="1" s="1"/>
  <c r="V2762" i="1"/>
  <c r="U2762" i="1"/>
  <c r="T2764" i="1" l="1"/>
  <c r="AB2763" i="1"/>
  <c r="AC2763" i="1" s="1"/>
  <c r="U2763" i="1"/>
  <c r="V2763" i="1"/>
  <c r="AB2764" i="1" l="1"/>
  <c r="AC2764" i="1" s="1"/>
  <c r="T2765" i="1"/>
  <c r="V2764" i="1"/>
  <c r="U2764" i="1"/>
  <c r="AB2765" i="1" l="1"/>
  <c r="AC2765" i="1" s="1"/>
  <c r="V2765" i="1"/>
  <c r="T2766" i="1"/>
  <c r="U2765" i="1"/>
  <c r="T2767" i="1" l="1"/>
  <c r="V2766" i="1"/>
  <c r="AB2766" i="1"/>
  <c r="AC2766" i="1" s="1"/>
  <c r="U2766" i="1"/>
  <c r="T2768" i="1" l="1"/>
  <c r="U2767" i="1"/>
  <c r="V2767" i="1"/>
  <c r="AB2767" i="1"/>
  <c r="AC2767" i="1" s="1"/>
  <c r="AB2768" i="1" l="1"/>
  <c r="AC2768" i="1" s="1"/>
  <c r="U2768" i="1"/>
  <c r="T2769" i="1"/>
  <c r="V2768" i="1"/>
  <c r="T2770" i="1" l="1"/>
  <c r="AB2769" i="1"/>
  <c r="AC2769" i="1" s="1"/>
  <c r="U2769" i="1"/>
  <c r="V2769" i="1"/>
  <c r="AB2770" i="1" l="1"/>
  <c r="AC2770" i="1" s="1"/>
  <c r="T2771" i="1"/>
  <c r="V2770" i="1"/>
  <c r="U2770" i="1"/>
  <c r="AB2771" i="1" l="1"/>
  <c r="AC2771" i="1" s="1"/>
  <c r="U2771" i="1"/>
  <c r="V2771" i="1"/>
  <c r="T2772" i="1"/>
  <c r="V2772" i="1" l="1"/>
  <c r="AB2772" i="1"/>
  <c r="AC2772" i="1" s="1"/>
  <c r="U2772" i="1"/>
  <c r="T2773" i="1"/>
  <c r="AB2773" i="1" l="1"/>
  <c r="AC2773" i="1" s="1"/>
  <c r="T2774" i="1"/>
  <c r="V2773" i="1"/>
  <c r="U2773" i="1"/>
  <c r="AB2774" i="1" l="1"/>
  <c r="AC2774" i="1" s="1"/>
  <c r="V2774" i="1"/>
  <c r="T2775" i="1"/>
  <c r="U2774" i="1"/>
  <c r="T2776" i="1" l="1"/>
  <c r="U2775" i="1"/>
  <c r="V2775" i="1"/>
  <c r="AB2775" i="1"/>
  <c r="AC2775" i="1" s="1"/>
  <c r="AB2776" i="1" l="1"/>
  <c r="AC2776" i="1" s="1"/>
  <c r="V2776" i="1"/>
  <c r="U2776" i="1"/>
  <c r="T2777" i="1"/>
  <c r="T2778" i="1" l="1"/>
  <c r="AB2777" i="1"/>
  <c r="AC2777" i="1" s="1"/>
  <c r="V2777" i="1"/>
  <c r="U2777" i="1"/>
  <c r="AB2778" i="1" l="1"/>
  <c r="AC2778" i="1" s="1"/>
  <c r="V2778" i="1"/>
  <c r="U2778" i="1"/>
  <c r="T2779" i="1"/>
  <c r="AB2779" i="1" l="1"/>
  <c r="AC2779" i="1" s="1"/>
  <c r="T2780" i="1"/>
  <c r="V2779" i="1"/>
  <c r="U2779" i="1"/>
  <c r="AB2780" i="1" l="1"/>
  <c r="AC2780" i="1" s="1"/>
  <c r="V2780" i="1"/>
  <c r="U2780" i="1"/>
  <c r="T2781" i="1"/>
  <c r="AB2781" i="1" l="1"/>
  <c r="AC2781" i="1" s="1"/>
  <c r="T2782" i="1"/>
  <c r="U2781" i="1"/>
  <c r="V2781" i="1"/>
  <c r="T2783" i="1" l="1"/>
  <c r="AB2782" i="1"/>
  <c r="AC2782" i="1" s="1"/>
  <c r="U2782" i="1"/>
  <c r="V2782" i="1"/>
  <c r="T2784" i="1" l="1"/>
  <c r="AB2783" i="1"/>
  <c r="AC2783" i="1" s="1"/>
  <c r="U2783" i="1"/>
  <c r="V2783" i="1"/>
  <c r="AB2784" i="1" l="1"/>
  <c r="AC2784" i="1" s="1"/>
  <c r="U2784" i="1"/>
  <c r="V2784" i="1"/>
  <c r="T2785" i="1"/>
  <c r="T2786" i="1" l="1"/>
  <c r="U2785" i="1"/>
  <c r="V2785" i="1"/>
  <c r="AB2785" i="1"/>
  <c r="AC2785" i="1" s="1"/>
  <c r="T2787" i="1" l="1"/>
  <c r="AB2786" i="1"/>
  <c r="AC2786" i="1" s="1"/>
  <c r="V2786" i="1"/>
  <c r="U2786" i="1"/>
  <c r="T2788" i="1" l="1"/>
  <c r="AB2787" i="1"/>
  <c r="AC2787" i="1" s="1"/>
  <c r="V2787" i="1"/>
  <c r="U2787" i="1"/>
  <c r="AB2788" i="1" l="1"/>
  <c r="AC2788" i="1" s="1"/>
  <c r="V2788" i="1"/>
  <c r="T2789" i="1"/>
  <c r="U2788" i="1"/>
  <c r="AB2789" i="1" l="1"/>
  <c r="AC2789" i="1" s="1"/>
  <c r="U2789" i="1"/>
  <c r="V2789" i="1"/>
  <c r="T2790" i="1"/>
  <c r="AB2790" i="1" l="1"/>
  <c r="AC2790" i="1" s="1"/>
  <c r="T2791" i="1"/>
  <c r="V2790" i="1"/>
  <c r="U2790" i="1"/>
  <c r="T2792" i="1" l="1"/>
  <c r="AB2791" i="1"/>
  <c r="AC2791" i="1" s="1"/>
  <c r="U2791" i="1"/>
  <c r="V2791" i="1"/>
  <c r="AB2792" i="1" l="1"/>
  <c r="AC2792" i="1" s="1"/>
  <c r="U2792" i="1"/>
  <c r="V2792" i="1"/>
  <c r="T2793" i="1"/>
  <c r="T2794" i="1" l="1"/>
  <c r="V2793" i="1"/>
  <c r="U2793" i="1"/>
  <c r="AB2793" i="1"/>
  <c r="AC2793" i="1" s="1"/>
  <c r="V2794" i="1" l="1"/>
  <c r="AB2794" i="1"/>
  <c r="AC2794" i="1" s="1"/>
  <c r="U2794" i="1"/>
  <c r="T2795" i="1"/>
  <c r="T2796" i="1" l="1"/>
  <c r="AB2795" i="1"/>
  <c r="AC2795" i="1" s="1"/>
  <c r="U2795" i="1"/>
  <c r="V2795" i="1"/>
  <c r="T2797" i="1" l="1"/>
  <c r="AB2796" i="1"/>
  <c r="AC2796" i="1" s="1"/>
  <c r="U2796" i="1"/>
  <c r="V2796" i="1"/>
  <c r="AB2797" i="1" l="1"/>
  <c r="AC2797" i="1" s="1"/>
  <c r="T2798" i="1"/>
  <c r="U2797" i="1"/>
  <c r="V2797" i="1"/>
  <c r="T2799" i="1" l="1"/>
  <c r="V2798" i="1"/>
  <c r="AB2798" i="1"/>
  <c r="AC2798" i="1" s="1"/>
  <c r="U2798" i="1"/>
  <c r="AB2799" i="1" l="1"/>
  <c r="AC2799" i="1" s="1"/>
  <c r="U2799" i="1"/>
  <c r="V2799" i="1"/>
  <c r="T2800" i="1"/>
  <c r="T2801" i="1" l="1"/>
  <c r="AB2800" i="1"/>
  <c r="AC2800" i="1" s="1"/>
  <c r="U2800" i="1"/>
  <c r="V2800" i="1"/>
  <c r="V2801" i="1" l="1"/>
  <c r="AB2801" i="1"/>
  <c r="AC2801" i="1" s="1"/>
  <c r="T2802" i="1"/>
  <c r="U2801" i="1"/>
  <c r="AB2802" i="1" l="1"/>
  <c r="AC2802" i="1" s="1"/>
  <c r="T2803" i="1"/>
  <c r="U2802" i="1"/>
  <c r="V2802" i="1"/>
  <c r="AB2803" i="1" l="1"/>
  <c r="AC2803" i="1" s="1"/>
  <c r="T2804" i="1"/>
  <c r="V2803" i="1"/>
  <c r="U2803" i="1"/>
  <c r="AB2804" i="1" l="1"/>
  <c r="AC2804" i="1" s="1"/>
  <c r="T2805" i="1"/>
  <c r="V2804" i="1"/>
  <c r="U2804" i="1"/>
  <c r="AB2805" i="1" l="1"/>
  <c r="AC2805" i="1" s="1"/>
  <c r="U2805" i="1"/>
  <c r="V2805" i="1"/>
  <c r="T2806" i="1"/>
  <c r="AB2806" i="1" l="1"/>
  <c r="AC2806" i="1" s="1"/>
  <c r="T2807" i="1"/>
  <c r="U2806" i="1"/>
  <c r="V2806" i="1"/>
  <c r="V2807" i="1" l="1"/>
  <c r="AB2807" i="1"/>
  <c r="AC2807" i="1" s="1"/>
  <c r="T2808" i="1"/>
  <c r="U2807" i="1"/>
  <c r="T2809" i="1" l="1"/>
  <c r="AB2808" i="1"/>
  <c r="AC2808" i="1" s="1"/>
  <c r="U2808" i="1"/>
  <c r="V2808" i="1"/>
  <c r="T2810" i="1" l="1"/>
  <c r="AB2809" i="1"/>
  <c r="AC2809" i="1" s="1"/>
  <c r="U2809" i="1"/>
  <c r="V2809" i="1"/>
  <c r="AB2810" i="1" l="1"/>
  <c r="AC2810" i="1" s="1"/>
  <c r="V2810" i="1"/>
  <c r="U2810" i="1"/>
  <c r="T2811" i="1"/>
  <c r="AB2811" i="1" l="1"/>
  <c r="AC2811" i="1" s="1"/>
  <c r="T2812" i="1"/>
  <c r="V2811" i="1"/>
  <c r="U2811" i="1"/>
  <c r="AB2812" i="1" l="1"/>
  <c r="AC2812" i="1" s="1"/>
  <c r="T2813" i="1"/>
  <c r="U2812" i="1"/>
  <c r="V2812" i="1"/>
  <c r="U2813" i="1" l="1"/>
  <c r="AB2813" i="1"/>
  <c r="AC2813" i="1" s="1"/>
  <c r="V2813" i="1"/>
  <c r="T2814" i="1"/>
  <c r="V2814" i="1" l="1"/>
  <c r="AB2814" i="1"/>
  <c r="AC2814" i="1" s="1"/>
  <c r="T2815" i="1"/>
  <c r="U2814" i="1"/>
  <c r="AB2815" i="1" l="1"/>
  <c r="AC2815" i="1" s="1"/>
  <c r="T2816" i="1"/>
  <c r="V2815" i="1"/>
  <c r="U2815" i="1"/>
  <c r="AB2816" i="1" l="1"/>
  <c r="AC2816" i="1" s="1"/>
  <c r="V2816" i="1"/>
  <c r="T2817" i="1"/>
  <c r="U2816" i="1"/>
  <c r="AB2817" i="1" l="1"/>
  <c r="AC2817" i="1" s="1"/>
  <c r="T2818" i="1"/>
  <c r="U2817" i="1"/>
  <c r="V2817" i="1"/>
  <c r="T2819" i="1" l="1"/>
  <c r="AB2818" i="1"/>
  <c r="AC2818" i="1" s="1"/>
  <c r="V2818" i="1"/>
  <c r="U2818" i="1"/>
  <c r="AB2819" i="1" l="1"/>
  <c r="AC2819" i="1" s="1"/>
  <c r="T2820" i="1"/>
  <c r="V2819" i="1"/>
  <c r="U2819" i="1"/>
  <c r="AB2820" i="1" l="1"/>
  <c r="AC2820" i="1" s="1"/>
  <c r="U2820" i="1"/>
  <c r="T2821" i="1"/>
  <c r="V2820" i="1"/>
  <c r="T2822" i="1" l="1"/>
  <c r="U2821" i="1"/>
  <c r="AB2821" i="1"/>
  <c r="AC2821" i="1" s="1"/>
  <c r="V2821" i="1"/>
  <c r="AB2822" i="1" l="1"/>
  <c r="AC2822" i="1" s="1"/>
  <c r="T2823" i="1"/>
  <c r="V2822" i="1"/>
  <c r="U2822" i="1"/>
  <c r="AB2823" i="1" l="1"/>
  <c r="AC2823" i="1" s="1"/>
  <c r="T2824" i="1"/>
  <c r="U2823" i="1"/>
  <c r="V2823" i="1"/>
  <c r="T2825" i="1" l="1"/>
  <c r="U2824" i="1"/>
  <c r="AB2824" i="1"/>
  <c r="AC2824" i="1" s="1"/>
  <c r="V2824" i="1"/>
  <c r="T2826" i="1" l="1"/>
  <c r="U2825" i="1"/>
  <c r="V2825" i="1"/>
  <c r="AB2825" i="1"/>
  <c r="AC2825" i="1" s="1"/>
  <c r="T2827" i="1" l="1"/>
  <c r="V2826" i="1"/>
  <c r="U2826" i="1"/>
  <c r="AB2826" i="1"/>
  <c r="AC2826" i="1" s="1"/>
  <c r="T2828" i="1" l="1"/>
  <c r="AB2827" i="1"/>
  <c r="AC2827" i="1" s="1"/>
  <c r="U2827" i="1"/>
  <c r="V2827" i="1"/>
  <c r="T2829" i="1" l="1"/>
  <c r="V2828" i="1"/>
  <c r="U2828" i="1"/>
  <c r="AB2828" i="1"/>
  <c r="AC2828" i="1" s="1"/>
  <c r="T2830" i="1" l="1"/>
  <c r="AB2829" i="1"/>
  <c r="AC2829" i="1" s="1"/>
  <c r="U2829" i="1"/>
  <c r="V2829" i="1"/>
  <c r="AB2830" i="1" l="1"/>
  <c r="AC2830" i="1" s="1"/>
  <c r="U2830" i="1"/>
  <c r="V2830" i="1"/>
  <c r="T2831" i="1"/>
  <c r="AB2831" i="1" l="1"/>
  <c r="AC2831" i="1" s="1"/>
  <c r="U2831" i="1"/>
  <c r="T2832" i="1"/>
  <c r="V2831" i="1"/>
  <c r="V2832" i="1" l="1"/>
  <c r="AB2832" i="1"/>
  <c r="AC2832" i="1" s="1"/>
  <c r="U2832" i="1"/>
  <c r="T2833" i="1"/>
  <c r="V2833" i="1" l="1"/>
  <c r="AB2833" i="1"/>
  <c r="AC2833" i="1" s="1"/>
  <c r="U2833" i="1"/>
  <c r="T2834" i="1"/>
  <c r="T2835" i="1" l="1"/>
  <c r="AB2834" i="1"/>
  <c r="AC2834" i="1" s="1"/>
  <c r="V2834" i="1"/>
  <c r="U2834" i="1"/>
  <c r="AB2835" i="1" l="1"/>
  <c r="AC2835" i="1" s="1"/>
  <c r="U2835" i="1"/>
  <c r="T2836" i="1"/>
  <c r="V2835" i="1"/>
  <c r="T2837" i="1" l="1"/>
  <c r="AB2836" i="1"/>
  <c r="AC2836" i="1" s="1"/>
  <c r="V2836" i="1"/>
  <c r="U2836" i="1"/>
  <c r="AB2837" i="1" l="1"/>
  <c r="AC2837" i="1" s="1"/>
  <c r="U2837" i="1"/>
  <c r="V2837" i="1"/>
  <c r="T2838" i="1"/>
  <c r="T2839" i="1" l="1"/>
  <c r="AB2838" i="1"/>
  <c r="AC2838" i="1" s="1"/>
  <c r="V2838" i="1"/>
  <c r="U2838" i="1"/>
  <c r="V2839" i="1" l="1"/>
  <c r="AB2839" i="1"/>
  <c r="AC2839" i="1" s="1"/>
  <c r="T2840" i="1"/>
  <c r="U2839" i="1"/>
  <c r="AB2840" i="1" l="1"/>
  <c r="AC2840" i="1" s="1"/>
  <c r="T2841" i="1"/>
  <c r="V2840" i="1"/>
  <c r="U2840" i="1"/>
  <c r="AB2841" i="1" l="1"/>
  <c r="AC2841" i="1" s="1"/>
  <c r="V2841" i="1"/>
  <c r="T2842" i="1"/>
  <c r="U2841" i="1"/>
  <c r="T2843" i="1" l="1"/>
  <c r="AB2842" i="1"/>
  <c r="AC2842" i="1" s="1"/>
  <c r="V2842" i="1"/>
  <c r="U2842" i="1"/>
  <c r="U2843" i="1" l="1"/>
  <c r="T2844" i="1"/>
  <c r="AB2843" i="1"/>
  <c r="AC2843" i="1" s="1"/>
  <c r="V2843" i="1"/>
  <c r="U2844" i="1" l="1"/>
  <c r="V2844" i="1"/>
  <c r="AB2844" i="1"/>
  <c r="AC2844" i="1" s="1"/>
  <c r="T2845" i="1"/>
  <c r="U2845" i="1" l="1"/>
  <c r="V2845" i="1"/>
  <c r="AB2845" i="1"/>
  <c r="AC2845" i="1" s="1"/>
  <c r="T2846" i="1"/>
  <c r="AB2846" i="1" l="1"/>
  <c r="AC2846" i="1" s="1"/>
  <c r="T2847" i="1"/>
  <c r="U2846" i="1"/>
  <c r="V2846" i="1"/>
  <c r="AB2847" i="1" l="1"/>
  <c r="AC2847" i="1" s="1"/>
  <c r="T2848" i="1"/>
  <c r="V2847" i="1"/>
  <c r="U2847" i="1"/>
  <c r="T2849" i="1" l="1"/>
  <c r="V2848" i="1"/>
  <c r="AB2848" i="1"/>
  <c r="AC2848" i="1" s="1"/>
  <c r="U2848" i="1"/>
  <c r="AB2849" i="1" l="1"/>
  <c r="AC2849" i="1" s="1"/>
  <c r="U2849" i="1"/>
  <c r="V2849" i="1"/>
  <c r="T2850" i="1"/>
  <c r="T2851" i="1" l="1"/>
  <c r="AB2850" i="1"/>
  <c r="AC2850" i="1" s="1"/>
  <c r="U2850" i="1"/>
  <c r="V2850" i="1"/>
  <c r="AB2851" i="1" l="1"/>
  <c r="AC2851" i="1" s="1"/>
  <c r="V2851" i="1"/>
  <c r="U2851" i="1"/>
  <c r="T2852" i="1"/>
  <c r="AB2852" i="1" l="1"/>
  <c r="AC2852" i="1" s="1"/>
  <c r="T2853" i="1"/>
  <c r="V2852" i="1"/>
  <c r="U2852" i="1"/>
  <c r="T2854" i="1" l="1"/>
  <c r="AB2853" i="1"/>
  <c r="AC2853" i="1" s="1"/>
  <c r="U2853" i="1"/>
  <c r="V2853" i="1"/>
  <c r="T2855" i="1" l="1"/>
  <c r="U2854" i="1"/>
  <c r="V2854" i="1"/>
  <c r="AB2854" i="1"/>
  <c r="AC2854" i="1" s="1"/>
  <c r="T2856" i="1" l="1"/>
  <c r="AB2855" i="1"/>
  <c r="AC2855" i="1" s="1"/>
  <c r="U2855" i="1"/>
  <c r="V2855" i="1"/>
  <c r="AB2856" i="1" l="1"/>
  <c r="AC2856" i="1" s="1"/>
  <c r="V2856" i="1"/>
  <c r="T2857" i="1"/>
  <c r="U2856" i="1"/>
  <c r="T2858" i="1" l="1"/>
  <c r="AB2857" i="1"/>
  <c r="AC2857" i="1" s="1"/>
  <c r="V2857" i="1"/>
  <c r="U2857" i="1"/>
  <c r="AB2858" i="1" l="1"/>
  <c r="AC2858" i="1" s="1"/>
  <c r="V2858" i="1"/>
  <c r="T2859" i="1"/>
  <c r="U2858" i="1"/>
  <c r="T2860" i="1" l="1"/>
  <c r="V2859" i="1"/>
  <c r="AB2859" i="1"/>
  <c r="AC2859" i="1" s="1"/>
  <c r="U2859" i="1"/>
  <c r="AB2860" i="1" l="1"/>
  <c r="AC2860" i="1" s="1"/>
  <c r="T2861" i="1"/>
  <c r="V2860" i="1"/>
  <c r="U2860" i="1"/>
  <c r="AB2861" i="1" l="1"/>
  <c r="AC2861" i="1" s="1"/>
  <c r="V2861" i="1"/>
  <c r="T2862" i="1"/>
  <c r="U2861" i="1"/>
  <c r="AB2862" i="1" l="1"/>
  <c r="AC2862" i="1" s="1"/>
  <c r="U2862" i="1"/>
  <c r="V2862" i="1"/>
  <c r="T2863" i="1"/>
  <c r="T2864" i="1" l="1"/>
  <c r="AB2863" i="1"/>
  <c r="AC2863" i="1" s="1"/>
  <c r="U2863" i="1"/>
  <c r="V2863" i="1"/>
  <c r="T2865" i="1" l="1"/>
  <c r="U2864" i="1"/>
  <c r="AB2864" i="1"/>
  <c r="AC2864" i="1" s="1"/>
  <c r="V2864" i="1"/>
  <c r="AB2865" i="1" l="1"/>
  <c r="AC2865" i="1" s="1"/>
  <c r="T2866" i="1"/>
  <c r="U2865" i="1"/>
  <c r="V2865" i="1"/>
  <c r="T2867" i="1" l="1"/>
  <c r="V2866" i="1"/>
  <c r="AB2866" i="1"/>
  <c r="AC2866" i="1" s="1"/>
  <c r="U2866" i="1"/>
  <c r="T2868" i="1" l="1"/>
  <c r="AB2867" i="1"/>
  <c r="AC2867" i="1" s="1"/>
  <c r="U2867" i="1"/>
  <c r="V2867" i="1"/>
  <c r="T2869" i="1" l="1"/>
  <c r="U2868" i="1"/>
  <c r="AB2868" i="1"/>
  <c r="AC2868" i="1" s="1"/>
  <c r="V2868" i="1"/>
  <c r="AB2869" i="1" l="1"/>
  <c r="AC2869" i="1" s="1"/>
  <c r="V2869" i="1"/>
  <c r="U2869" i="1"/>
  <c r="T2870" i="1"/>
  <c r="T2871" i="1" l="1"/>
  <c r="AB2870" i="1"/>
  <c r="AC2870" i="1" s="1"/>
  <c r="V2870" i="1"/>
  <c r="U2870" i="1"/>
  <c r="T2872" i="1" l="1"/>
  <c r="AB2871" i="1"/>
  <c r="AC2871" i="1" s="1"/>
  <c r="V2871" i="1"/>
  <c r="U2871" i="1"/>
  <c r="T2873" i="1" l="1"/>
  <c r="AB2872" i="1"/>
  <c r="AC2872" i="1" s="1"/>
  <c r="U2872" i="1"/>
  <c r="V2872" i="1"/>
  <c r="AB2873" i="1" l="1"/>
  <c r="AC2873" i="1" s="1"/>
  <c r="T2874" i="1"/>
  <c r="V2873" i="1"/>
  <c r="U2873" i="1"/>
  <c r="T2875" i="1" l="1"/>
  <c r="AB2874" i="1"/>
  <c r="AC2874" i="1" s="1"/>
  <c r="V2874" i="1"/>
  <c r="U2874" i="1"/>
  <c r="T2876" i="1" l="1"/>
  <c r="AB2875" i="1"/>
  <c r="AC2875" i="1" s="1"/>
  <c r="U2875" i="1"/>
  <c r="V2875" i="1"/>
  <c r="T2877" i="1" l="1"/>
  <c r="AB2876" i="1"/>
  <c r="AC2876" i="1" s="1"/>
  <c r="U2876" i="1"/>
  <c r="V2876" i="1"/>
  <c r="AB2877" i="1" l="1"/>
  <c r="AC2877" i="1" s="1"/>
  <c r="U2877" i="1"/>
  <c r="V2877" i="1"/>
  <c r="T2878" i="1"/>
  <c r="AB2878" i="1" l="1"/>
  <c r="AC2878" i="1" s="1"/>
  <c r="U2878" i="1"/>
  <c r="V2878" i="1"/>
  <c r="T2879" i="1"/>
  <c r="AB2879" i="1" l="1"/>
  <c r="AC2879" i="1" s="1"/>
  <c r="V2879" i="1"/>
  <c r="U2879" i="1"/>
  <c r="T2880" i="1"/>
  <c r="AB2880" i="1" l="1"/>
  <c r="AC2880" i="1" s="1"/>
  <c r="V2880" i="1"/>
  <c r="T2881" i="1"/>
  <c r="U2880" i="1"/>
  <c r="AB2881" i="1" l="1"/>
  <c r="AC2881" i="1" s="1"/>
  <c r="U2881" i="1"/>
  <c r="T2882" i="1"/>
  <c r="V2881" i="1"/>
  <c r="T2883" i="1" l="1"/>
  <c r="V2882" i="1"/>
  <c r="AB2882" i="1"/>
  <c r="AC2882" i="1" s="1"/>
  <c r="U2882" i="1"/>
  <c r="AB2883" i="1" l="1"/>
  <c r="AC2883" i="1" s="1"/>
  <c r="T2884" i="1"/>
  <c r="U2883" i="1"/>
  <c r="V2883" i="1"/>
  <c r="AB2884" i="1" l="1"/>
  <c r="AC2884" i="1" s="1"/>
  <c r="T2885" i="1"/>
  <c r="V2884" i="1"/>
  <c r="U2884" i="1"/>
  <c r="AB2885" i="1" l="1"/>
  <c r="AC2885" i="1" s="1"/>
  <c r="T2886" i="1"/>
  <c r="V2885" i="1"/>
  <c r="U2885" i="1"/>
  <c r="T2887" i="1" l="1"/>
  <c r="AB2886" i="1"/>
  <c r="AC2886" i="1" s="1"/>
  <c r="V2886" i="1"/>
  <c r="U2886" i="1"/>
  <c r="AB2887" i="1" l="1"/>
  <c r="AC2887" i="1" s="1"/>
  <c r="V2887" i="1"/>
  <c r="U2887" i="1"/>
  <c r="T2888" i="1"/>
  <c r="T2889" i="1" l="1"/>
  <c r="AB2888" i="1"/>
  <c r="AC2888" i="1" s="1"/>
  <c r="U2888" i="1"/>
  <c r="V2888" i="1"/>
  <c r="T2890" i="1" l="1"/>
  <c r="U2889" i="1"/>
  <c r="AB2889" i="1"/>
  <c r="AC2889" i="1" s="1"/>
  <c r="V2889" i="1"/>
  <c r="T2891" i="1" l="1"/>
  <c r="AB2890" i="1"/>
  <c r="AC2890" i="1" s="1"/>
  <c r="U2890" i="1"/>
  <c r="V2890" i="1"/>
  <c r="T2892" i="1" l="1"/>
  <c r="U2891" i="1"/>
  <c r="V2891" i="1"/>
  <c r="AB2891" i="1"/>
  <c r="AC2891" i="1" s="1"/>
  <c r="T2893" i="1" l="1"/>
  <c r="AB2892" i="1"/>
  <c r="AC2892" i="1" s="1"/>
  <c r="U2892" i="1"/>
  <c r="V2892" i="1"/>
  <c r="AB2893" i="1" l="1"/>
  <c r="AC2893" i="1" s="1"/>
  <c r="U2893" i="1"/>
  <c r="T2894" i="1"/>
  <c r="V2893" i="1"/>
  <c r="U2894" i="1" l="1"/>
  <c r="T2895" i="1"/>
  <c r="AB2894" i="1"/>
  <c r="AC2894" i="1" s="1"/>
  <c r="V2894" i="1"/>
  <c r="T2896" i="1" l="1"/>
  <c r="V2895" i="1"/>
  <c r="AB2895" i="1"/>
  <c r="AC2895" i="1" s="1"/>
  <c r="U2895" i="1"/>
  <c r="T2897" i="1" l="1"/>
  <c r="AB2896" i="1"/>
  <c r="AC2896" i="1" s="1"/>
  <c r="V2896" i="1"/>
  <c r="U2896" i="1"/>
  <c r="U2897" i="1" l="1"/>
  <c r="AB2897" i="1"/>
  <c r="AC2897" i="1" s="1"/>
  <c r="T2898" i="1"/>
  <c r="V2897" i="1"/>
  <c r="AB2898" i="1" l="1"/>
  <c r="AC2898" i="1" s="1"/>
  <c r="T2899" i="1"/>
  <c r="U2898" i="1"/>
  <c r="V2898" i="1"/>
  <c r="T2900" i="1" l="1"/>
  <c r="AB2899" i="1"/>
  <c r="AC2899" i="1" s="1"/>
  <c r="V2899" i="1"/>
  <c r="U2899" i="1"/>
  <c r="T2901" i="1" l="1"/>
  <c r="AB2900" i="1"/>
  <c r="AC2900" i="1" s="1"/>
  <c r="U2900" i="1"/>
  <c r="V2900" i="1"/>
  <c r="V2901" i="1" l="1"/>
  <c r="U2901" i="1"/>
  <c r="T2902" i="1"/>
  <c r="AB2901" i="1"/>
  <c r="AC2901" i="1" s="1"/>
  <c r="T2903" i="1" l="1"/>
  <c r="AB2902" i="1"/>
  <c r="AC2902" i="1" s="1"/>
  <c r="U2902" i="1"/>
  <c r="V2902" i="1"/>
  <c r="V2903" i="1" l="1"/>
  <c r="AB2903" i="1"/>
  <c r="AC2903" i="1" s="1"/>
  <c r="U2903" i="1"/>
  <c r="T2904" i="1"/>
  <c r="AB2904" i="1" l="1"/>
  <c r="AC2904" i="1" s="1"/>
  <c r="U2904" i="1"/>
  <c r="V2904" i="1"/>
  <c r="T2905" i="1"/>
  <c r="T2906" i="1" l="1"/>
  <c r="AB2905" i="1"/>
  <c r="AC2905" i="1" s="1"/>
  <c r="V2905" i="1"/>
  <c r="U2905" i="1"/>
  <c r="AB2906" i="1" l="1"/>
  <c r="AC2906" i="1" s="1"/>
  <c r="T2907" i="1"/>
  <c r="V2906" i="1"/>
  <c r="U2906" i="1"/>
  <c r="AB2907" i="1" l="1"/>
  <c r="AC2907" i="1" s="1"/>
  <c r="V2907" i="1"/>
  <c r="T2908" i="1"/>
  <c r="U2907" i="1"/>
  <c r="AB2908" i="1" l="1"/>
  <c r="AC2908" i="1" s="1"/>
  <c r="V2908" i="1"/>
  <c r="T2909" i="1"/>
  <c r="U2908" i="1"/>
  <c r="AB2909" i="1" l="1"/>
  <c r="AC2909" i="1" s="1"/>
  <c r="V2909" i="1"/>
  <c r="T2910" i="1"/>
  <c r="U2909" i="1"/>
  <c r="V2910" i="1" l="1"/>
  <c r="T2911" i="1"/>
  <c r="AB2910" i="1"/>
  <c r="AC2910" i="1" s="1"/>
  <c r="U2910" i="1"/>
  <c r="T2912" i="1" l="1"/>
  <c r="AB2911" i="1"/>
  <c r="AC2911" i="1" s="1"/>
  <c r="V2911" i="1"/>
  <c r="U2911" i="1"/>
  <c r="AB2912" i="1" l="1"/>
  <c r="AC2912" i="1" s="1"/>
  <c r="V2912" i="1"/>
  <c r="T2913" i="1"/>
  <c r="U2912" i="1"/>
  <c r="AB2913" i="1" l="1"/>
  <c r="AC2913" i="1" s="1"/>
  <c r="T2914" i="1"/>
  <c r="U2913" i="1"/>
  <c r="V2913" i="1"/>
  <c r="T2915" i="1" l="1"/>
  <c r="V2914" i="1"/>
  <c r="AB2914" i="1"/>
  <c r="AC2914" i="1" s="1"/>
  <c r="U2914" i="1"/>
  <c r="V2915" i="1" l="1"/>
  <c r="T2916" i="1"/>
  <c r="AB2915" i="1"/>
  <c r="AC2915" i="1" s="1"/>
  <c r="U2915" i="1"/>
  <c r="T2917" i="1" l="1"/>
  <c r="AB2916" i="1"/>
  <c r="AC2916" i="1" s="1"/>
  <c r="U2916" i="1"/>
  <c r="V2916" i="1"/>
  <c r="U2917" i="1" l="1"/>
  <c r="AB2917" i="1"/>
  <c r="AC2917" i="1" s="1"/>
  <c r="V2917" i="1"/>
  <c r="T2918" i="1"/>
  <c r="V2918" i="1" l="1"/>
  <c r="T2919" i="1"/>
  <c r="AB2918" i="1"/>
  <c r="AC2918" i="1" s="1"/>
  <c r="U2918" i="1"/>
  <c r="AB2919" i="1" l="1"/>
  <c r="AC2919" i="1" s="1"/>
  <c r="T2920" i="1"/>
  <c r="V2919" i="1"/>
  <c r="U2919" i="1"/>
  <c r="T2921" i="1" l="1"/>
  <c r="AB2920" i="1"/>
  <c r="AC2920" i="1" s="1"/>
  <c r="U2920" i="1"/>
  <c r="V2920" i="1"/>
  <c r="V2921" i="1" l="1"/>
  <c r="AB2921" i="1"/>
  <c r="AC2921" i="1" s="1"/>
  <c r="U2921" i="1"/>
  <c r="T2922" i="1"/>
  <c r="T2923" i="1" l="1"/>
  <c r="AB2922" i="1"/>
  <c r="AC2922" i="1" s="1"/>
  <c r="V2922" i="1"/>
  <c r="U2922" i="1"/>
  <c r="AB2923" i="1" l="1"/>
  <c r="AC2923" i="1" s="1"/>
  <c r="U2923" i="1"/>
  <c r="V2923" i="1"/>
  <c r="T2924" i="1"/>
  <c r="AB2924" i="1" l="1"/>
  <c r="AC2924" i="1" s="1"/>
  <c r="T2925" i="1"/>
  <c r="U2924" i="1"/>
  <c r="V2924" i="1"/>
  <c r="AB2925" i="1" l="1"/>
  <c r="AC2925" i="1" s="1"/>
  <c r="T2926" i="1"/>
  <c r="V2925" i="1"/>
  <c r="U2925" i="1"/>
  <c r="T2927" i="1" l="1"/>
  <c r="U2926" i="1"/>
  <c r="V2926" i="1"/>
  <c r="AB2926" i="1"/>
  <c r="AC2926" i="1" s="1"/>
  <c r="U2927" i="1" l="1"/>
  <c r="AB2927" i="1"/>
  <c r="AC2927" i="1" s="1"/>
  <c r="T2928" i="1"/>
  <c r="V2927" i="1"/>
  <c r="V2928" i="1" l="1"/>
  <c r="T2929" i="1"/>
  <c r="U2928" i="1"/>
  <c r="AB2928" i="1"/>
  <c r="AC2928" i="1" s="1"/>
  <c r="T2930" i="1" l="1"/>
  <c r="U2929" i="1"/>
  <c r="V2929" i="1"/>
  <c r="AB2929" i="1"/>
  <c r="AC2929" i="1" s="1"/>
  <c r="U2930" i="1" l="1"/>
  <c r="V2930" i="1"/>
  <c r="AB2930" i="1"/>
  <c r="AC2930" i="1" s="1"/>
  <c r="T2931" i="1"/>
  <c r="T2932" i="1" l="1"/>
  <c r="AB2931" i="1"/>
  <c r="AC2931" i="1" s="1"/>
  <c r="U2931" i="1"/>
  <c r="V2931" i="1"/>
  <c r="AB2932" i="1" l="1"/>
  <c r="AC2932" i="1" s="1"/>
  <c r="T2933" i="1"/>
  <c r="U2932" i="1"/>
  <c r="V2932" i="1"/>
  <c r="T2934" i="1" l="1"/>
  <c r="V2933" i="1"/>
  <c r="U2933" i="1"/>
  <c r="AB2933" i="1"/>
  <c r="AC2933" i="1" s="1"/>
  <c r="T2935" i="1" l="1"/>
  <c r="AB2934" i="1"/>
  <c r="AC2934" i="1" s="1"/>
  <c r="V2934" i="1"/>
  <c r="U2934" i="1"/>
  <c r="V2935" i="1" l="1"/>
  <c r="T2936" i="1"/>
  <c r="AB2935" i="1"/>
  <c r="AC2935" i="1" s="1"/>
  <c r="U2935" i="1"/>
  <c r="AB2936" i="1" l="1"/>
  <c r="AC2936" i="1" s="1"/>
  <c r="T2937" i="1"/>
  <c r="U2936" i="1"/>
  <c r="V2936" i="1"/>
  <c r="AB2937" i="1" l="1"/>
  <c r="AC2937" i="1" s="1"/>
  <c r="U2937" i="1"/>
  <c r="T2938" i="1"/>
  <c r="V2937" i="1"/>
  <c r="U2938" i="1" l="1"/>
  <c r="AB2938" i="1"/>
  <c r="AC2938" i="1" s="1"/>
  <c r="T2939" i="1"/>
  <c r="V2938" i="1"/>
  <c r="U2939" i="1" l="1"/>
  <c r="T2940" i="1"/>
  <c r="AB2939" i="1"/>
  <c r="AC2939" i="1" s="1"/>
  <c r="V2939" i="1"/>
  <c r="AB2940" i="1" l="1"/>
  <c r="AC2940" i="1" s="1"/>
  <c r="V2940" i="1"/>
  <c r="T2941" i="1"/>
  <c r="U2940" i="1"/>
  <c r="T2942" i="1" l="1"/>
  <c r="AB2941" i="1"/>
  <c r="AC2941" i="1" s="1"/>
  <c r="U2941" i="1"/>
  <c r="V2941" i="1"/>
  <c r="AB2942" i="1" l="1"/>
  <c r="AC2942" i="1" s="1"/>
  <c r="T2943" i="1"/>
  <c r="U2942" i="1"/>
  <c r="V2942" i="1"/>
  <c r="AB2943" i="1" l="1"/>
  <c r="AC2943" i="1" s="1"/>
  <c r="V2943" i="1"/>
  <c r="U2943" i="1"/>
  <c r="T2944" i="1"/>
  <c r="V2944" i="1" l="1"/>
  <c r="AB2944" i="1"/>
  <c r="AC2944" i="1" s="1"/>
  <c r="T2945" i="1"/>
  <c r="U2944" i="1"/>
  <c r="U2945" i="1" l="1"/>
  <c r="T2946" i="1"/>
  <c r="AB2945" i="1"/>
  <c r="AC2945" i="1" s="1"/>
  <c r="V2945" i="1"/>
  <c r="AB2946" i="1" l="1"/>
  <c r="AC2946" i="1" s="1"/>
  <c r="U2946" i="1"/>
  <c r="T2947" i="1"/>
  <c r="V2946" i="1"/>
  <c r="V2947" i="1" l="1"/>
  <c r="T2948" i="1"/>
  <c r="AB2947" i="1"/>
  <c r="AC2947" i="1" s="1"/>
  <c r="U2947" i="1"/>
  <c r="AB2948" i="1" l="1"/>
  <c r="AC2948" i="1" s="1"/>
  <c r="U2948" i="1"/>
  <c r="T2949" i="1"/>
  <c r="V2948" i="1"/>
  <c r="AB2949" i="1" l="1"/>
  <c r="AC2949" i="1" s="1"/>
  <c r="T2950" i="1"/>
  <c r="U2949" i="1"/>
  <c r="V2949" i="1"/>
  <c r="V2950" i="1" l="1"/>
  <c r="T2951" i="1"/>
  <c r="AB2950" i="1"/>
  <c r="AC2950" i="1" s="1"/>
  <c r="U2950" i="1"/>
  <c r="V2951" i="1" l="1"/>
  <c r="U2951" i="1"/>
  <c r="T2952" i="1"/>
  <c r="AB2951" i="1"/>
  <c r="AC2951" i="1" s="1"/>
  <c r="U2952" i="1" l="1"/>
  <c r="T2953" i="1"/>
  <c r="V2952" i="1"/>
  <c r="AB2952" i="1"/>
  <c r="AC2952" i="1" s="1"/>
  <c r="T2954" i="1" l="1"/>
  <c r="AB2953" i="1"/>
  <c r="AC2953" i="1" s="1"/>
  <c r="U2953" i="1"/>
  <c r="V2953" i="1"/>
  <c r="T2955" i="1" l="1"/>
  <c r="V2954" i="1"/>
  <c r="U2954" i="1"/>
  <c r="AB2954" i="1"/>
  <c r="AC2954" i="1" s="1"/>
  <c r="T2956" i="1" l="1"/>
  <c r="U2955" i="1"/>
  <c r="AB2955" i="1"/>
  <c r="AC2955" i="1" s="1"/>
  <c r="V2955" i="1"/>
  <c r="V2956" i="1" l="1"/>
  <c r="AB2956" i="1"/>
  <c r="AC2956" i="1" s="1"/>
  <c r="T2957" i="1"/>
  <c r="U2956" i="1"/>
  <c r="T2958" i="1" l="1"/>
  <c r="V2957" i="1"/>
  <c r="U2957" i="1"/>
  <c r="AB2957" i="1"/>
  <c r="AC2957" i="1" s="1"/>
  <c r="AB2958" i="1" l="1"/>
  <c r="AC2958" i="1" s="1"/>
  <c r="U2958" i="1"/>
  <c r="T2959" i="1"/>
  <c r="V2958" i="1"/>
  <c r="V2959" i="1" l="1"/>
  <c r="U2959" i="1"/>
  <c r="AB2959" i="1"/>
  <c r="AC2959" i="1" s="1"/>
  <c r="T2960" i="1"/>
  <c r="V2960" i="1" l="1"/>
  <c r="T2961" i="1"/>
  <c r="U2960" i="1"/>
  <c r="AB2960" i="1"/>
  <c r="AC2960" i="1" s="1"/>
  <c r="V2961" i="1" l="1"/>
  <c r="AB2961" i="1"/>
  <c r="AC2961" i="1" s="1"/>
  <c r="U2961" i="1"/>
  <c r="T2962" i="1"/>
  <c r="T2963" i="1" l="1"/>
  <c r="V2962" i="1"/>
  <c r="AB2962" i="1"/>
  <c r="AC2962" i="1" s="1"/>
  <c r="U2962" i="1"/>
  <c r="T2964" i="1" l="1"/>
  <c r="U2963" i="1"/>
  <c r="AB2963" i="1"/>
  <c r="AC2963" i="1" s="1"/>
  <c r="V2963" i="1"/>
  <c r="T2965" i="1" l="1"/>
  <c r="AB2964" i="1"/>
  <c r="AC2964" i="1" s="1"/>
  <c r="U2964" i="1"/>
  <c r="V2964" i="1"/>
  <c r="T2966" i="1" l="1"/>
  <c r="U2965" i="1"/>
  <c r="V2965" i="1"/>
  <c r="AB2965" i="1"/>
  <c r="AC2965" i="1" s="1"/>
  <c r="AB2966" i="1" l="1"/>
  <c r="AC2966" i="1" s="1"/>
  <c r="U2966" i="1"/>
  <c r="V2966" i="1"/>
  <c r="T2967" i="1"/>
  <c r="AB2967" i="1" l="1"/>
  <c r="AC2967" i="1" s="1"/>
  <c r="T2968" i="1"/>
  <c r="V2967" i="1"/>
  <c r="U2967" i="1"/>
  <c r="AB2968" i="1" l="1"/>
  <c r="AC2968" i="1" s="1"/>
  <c r="V2968" i="1"/>
  <c r="U2968" i="1"/>
  <c r="T2969" i="1"/>
  <c r="U2969" i="1" l="1"/>
  <c r="AB2969" i="1"/>
  <c r="AC2969" i="1" s="1"/>
  <c r="T2970" i="1"/>
  <c r="V2969" i="1"/>
  <c r="T2971" i="1" l="1"/>
  <c r="AB2970" i="1"/>
  <c r="AC2970" i="1" s="1"/>
  <c r="V2970" i="1"/>
  <c r="U2970" i="1"/>
  <c r="AB2971" i="1" l="1"/>
  <c r="AC2971" i="1" s="1"/>
  <c r="U2971" i="1"/>
  <c r="V2971" i="1"/>
  <c r="T2972" i="1"/>
  <c r="AB2972" i="1" l="1"/>
  <c r="AC2972" i="1" s="1"/>
  <c r="T2973" i="1"/>
  <c r="U2972" i="1"/>
  <c r="V2972" i="1"/>
  <c r="AB2973" i="1" l="1"/>
  <c r="AC2973" i="1" s="1"/>
  <c r="T2974" i="1"/>
  <c r="U2973" i="1"/>
  <c r="V2973" i="1"/>
  <c r="U2974" i="1" l="1"/>
  <c r="V2974" i="1"/>
  <c r="T2975" i="1"/>
  <c r="AB2974" i="1"/>
  <c r="AC2974" i="1" s="1"/>
  <c r="T2976" i="1" l="1"/>
  <c r="AB2975" i="1"/>
  <c r="AC2975" i="1" s="1"/>
  <c r="V2975" i="1"/>
  <c r="U2975" i="1"/>
  <c r="T2977" i="1" l="1"/>
  <c r="U2976" i="1"/>
  <c r="AB2976" i="1"/>
  <c r="AC2976" i="1" s="1"/>
  <c r="V2976" i="1"/>
  <c r="AB2977" i="1" l="1"/>
  <c r="AC2977" i="1" s="1"/>
  <c r="T2978" i="1"/>
  <c r="V2977" i="1"/>
  <c r="U2977" i="1"/>
  <c r="U2978" i="1" l="1"/>
  <c r="AB2978" i="1"/>
  <c r="AC2978" i="1" s="1"/>
  <c r="T2979" i="1"/>
  <c r="V2978" i="1"/>
  <c r="T2980" i="1" l="1"/>
  <c r="V2979" i="1"/>
  <c r="AB2979" i="1"/>
  <c r="AC2979" i="1" s="1"/>
  <c r="U2979" i="1"/>
  <c r="T2981" i="1" l="1"/>
  <c r="AB2980" i="1"/>
  <c r="AC2980" i="1" s="1"/>
  <c r="V2980" i="1"/>
  <c r="U2980" i="1"/>
  <c r="T2982" i="1" l="1"/>
  <c r="AB2981" i="1"/>
  <c r="AC2981" i="1" s="1"/>
  <c r="U2981" i="1"/>
  <c r="V2981" i="1"/>
  <c r="T2983" i="1" l="1"/>
  <c r="AB2982" i="1"/>
  <c r="AC2982" i="1" s="1"/>
  <c r="U2982" i="1"/>
  <c r="V2982" i="1"/>
  <c r="AB2983" i="1" l="1"/>
  <c r="AC2983" i="1" s="1"/>
  <c r="V2983" i="1"/>
  <c r="T2984" i="1"/>
  <c r="U2983" i="1"/>
  <c r="U2984" i="1" l="1"/>
  <c r="T2985" i="1"/>
  <c r="AB2984" i="1"/>
  <c r="AC2984" i="1" s="1"/>
  <c r="V2984" i="1"/>
  <c r="T2986" i="1" l="1"/>
  <c r="AB2985" i="1"/>
  <c r="AC2985" i="1" s="1"/>
  <c r="U2985" i="1"/>
  <c r="V2985" i="1"/>
  <c r="V2986" i="1" l="1"/>
  <c r="U2986" i="1"/>
  <c r="AB2986" i="1"/>
  <c r="AC2986" i="1" s="1"/>
  <c r="T2987" i="1"/>
  <c r="AB2987" i="1" l="1"/>
  <c r="AC2987" i="1" s="1"/>
  <c r="V2987" i="1"/>
  <c r="U2987" i="1"/>
  <c r="T2988" i="1"/>
  <c r="T2989" i="1" l="1"/>
  <c r="AB2988" i="1"/>
  <c r="AC2988" i="1" s="1"/>
  <c r="U2988" i="1"/>
  <c r="V2988" i="1"/>
  <c r="AB2989" i="1" l="1"/>
  <c r="AC2989" i="1" s="1"/>
  <c r="U2989" i="1"/>
  <c r="V2989" i="1"/>
  <c r="T2990" i="1"/>
  <c r="T2991" i="1" l="1"/>
  <c r="AB2990" i="1"/>
  <c r="AC2990" i="1" s="1"/>
  <c r="U2990" i="1"/>
  <c r="V2990" i="1"/>
  <c r="V2991" i="1" l="1"/>
  <c r="U2991" i="1"/>
  <c r="AB2991" i="1"/>
  <c r="AC2991" i="1" s="1"/>
  <c r="T2992" i="1"/>
  <c r="V2992" i="1" l="1"/>
  <c r="T2993" i="1"/>
  <c r="AB2992" i="1"/>
  <c r="AC2992" i="1" s="1"/>
  <c r="U2992" i="1"/>
  <c r="AB2993" i="1" l="1"/>
  <c r="AC2993" i="1" s="1"/>
  <c r="T2994" i="1"/>
  <c r="U2993" i="1"/>
  <c r="V2993" i="1"/>
  <c r="T2995" i="1" l="1"/>
  <c r="AB2994" i="1"/>
  <c r="AC2994" i="1" s="1"/>
  <c r="U2994" i="1"/>
  <c r="V2994" i="1"/>
  <c r="T2996" i="1" l="1"/>
  <c r="U2995" i="1"/>
  <c r="AB2995" i="1"/>
  <c r="AC2995" i="1" s="1"/>
  <c r="V2995" i="1"/>
  <c r="AB2996" i="1" l="1"/>
  <c r="AC2996" i="1" s="1"/>
  <c r="U2996" i="1"/>
  <c r="V2996" i="1"/>
  <c r="T2997" i="1"/>
  <c r="AB2997" i="1" l="1"/>
  <c r="AC2997" i="1" s="1"/>
  <c r="U2997" i="1"/>
  <c r="V2997" i="1"/>
  <c r="T2998" i="1"/>
  <c r="T2999" i="1" l="1"/>
  <c r="V2998" i="1"/>
  <c r="AB2998" i="1"/>
  <c r="AC2998" i="1" s="1"/>
  <c r="U2998" i="1"/>
  <c r="AB2999" i="1" l="1"/>
  <c r="AC2999" i="1" s="1"/>
  <c r="U2999" i="1"/>
  <c r="V2999" i="1"/>
  <c r="T3000" i="1"/>
  <c r="AB3000" i="1" l="1"/>
  <c r="AC3000" i="1" s="1"/>
  <c r="T3001" i="1"/>
  <c r="U3000" i="1"/>
  <c r="V3000" i="1"/>
  <c r="U3001" i="1" l="1"/>
  <c r="V3001" i="1"/>
  <c r="AB3001" i="1"/>
  <c r="AC3001" i="1" s="1"/>
  <c r="T3002" i="1"/>
  <c r="AB3002" i="1" l="1"/>
  <c r="AC3002" i="1" s="1"/>
  <c r="V3002" i="1"/>
  <c r="U3002" i="1"/>
  <c r="T3003" i="1"/>
  <c r="AB3003" i="1" l="1"/>
  <c r="AC3003" i="1" s="1"/>
  <c r="T3004" i="1"/>
  <c r="U3003" i="1"/>
  <c r="V3003" i="1"/>
  <c r="U3004" i="1" l="1"/>
  <c r="T3005" i="1"/>
  <c r="AB3004" i="1"/>
  <c r="AC3004" i="1" s="1"/>
  <c r="V3004" i="1"/>
  <c r="AB3005" i="1" l="1"/>
  <c r="AC3005" i="1" s="1"/>
  <c r="U3005" i="1"/>
  <c r="V3005" i="1"/>
  <c r="T3006" i="1"/>
  <c r="T3007" i="1" l="1"/>
  <c r="AB3006" i="1"/>
  <c r="AC3006" i="1" s="1"/>
  <c r="U3006" i="1"/>
  <c r="V3006" i="1"/>
  <c r="AB3007" i="1" l="1"/>
  <c r="AC3007" i="1" s="1"/>
  <c r="V3007" i="1"/>
  <c r="T3008" i="1"/>
  <c r="U3007" i="1"/>
  <c r="AB3008" i="1" l="1"/>
  <c r="AC3008" i="1" s="1"/>
  <c r="T3009" i="1"/>
  <c r="U3008" i="1"/>
  <c r="V3008" i="1"/>
  <c r="AB3009" i="1" l="1"/>
  <c r="AC3009" i="1" s="1"/>
  <c r="U3009" i="1"/>
  <c r="V3009" i="1"/>
  <c r="T3010" i="1"/>
  <c r="AB3010" i="1" l="1"/>
  <c r="AC3010" i="1" s="1"/>
  <c r="V3010" i="1"/>
  <c r="T3011" i="1"/>
  <c r="U3010" i="1"/>
  <c r="AB3011" i="1" l="1"/>
  <c r="AC3011" i="1" s="1"/>
  <c r="U3011" i="1"/>
  <c r="V3011" i="1"/>
  <c r="T3012" i="1"/>
  <c r="AB3012" i="1" l="1"/>
  <c r="AC3012" i="1" s="1"/>
  <c r="T3013" i="1"/>
  <c r="U3012" i="1"/>
  <c r="V3012" i="1"/>
  <c r="AB3013" i="1" l="1"/>
  <c r="AC3013" i="1" s="1"/>
  <c r="T3014" i="1"/>
  <c r="U3013" i="1"/>
  <c r="V3013" i="1"/>
  <c r="T3015" i="1" l="1"/>
  <c r="U3014" i="1"/>
  <c r="V3014" i="1"/>
  <c r="AB3014" i="1"/>
  <c r="AC3014" i="1" s="1"/>
  <c r="AB3015" i="1" l="1"/>
  <c r="AC3015" i="1" s="1"/>
  <c r="U3015" i="1"/>
  <c r="V3015" i="1"/>
  <c r="T3016" i="1"/>
  <c r="AB3016" i="1" l="1"/>
  <c r="AC3016" i="1" s="1"/>
  <c r="V3016" i="1"/>
  <c r="T3017" i="1"/>
  <c r="U3016" i="1"/>
  <c r="AB3017" i="1" l="1"/>
  <c r="AC3017" i="1" s="1"/>
  <c r="T3018" i="1"/>
  <c r="U3017" i="1"/>
  <c r="V3017" i="1"/>
  <c r="AB3018" i="1" l="1"/>
  <c r="AC3018" i="1" s="1"/>
  <c r="T3019" i="1"/>
  <c r="V3018" i="1"/>
  <c r="U3018" i="1"/>
  <c r="AB3019" i="1" l="1"/>
  <c r="AC3019" i="1" s="1"/>
  <c r="U3019" i="1"/>
  <c r="V3019" i="1"/>
  <c r="T3020" i="1"/>
  <c r="AB3020" i="1" l="1"/>
  <c r="AC3020" i="1" s="1"/>
  <c r="T3021" i="1"/>
  <c r="U3020" i="1"/>
  <c r="V3020" i="1"/>
  <c r="AB3021" i="1" l="1"/>
  <c r="AC3021" i="1" s="1"/>
  <c r="U3021" i="1"/>
  <c r="V3021" i="1"/>
  <c r="T3022" i="1"/>
  <c r="T3023" i="1" l="1"/>
  <c r="AB3022" i="1"/>
  <c r="AC3022" i="1" s="1"/>
  <c r="V3022" i="1"/>
  <c r="U3022" i="1"/>
  <c r="AB3023" i="1" l="1"/>
  <c r="AC3023" i="1" s="1"/>
  <c r="U3023" i="1"/>
  <c r="V3023" i="1"/>
  <c r="T3024" i="1"/>
  <c r="T3025" i="1" l="1"/>
  <c r="V3024" i="1"/>
  <c r="AB3024" i="1"/>
  <c r="AC3024" i="1" s="1"/>
  <c r="U3024" i="1"/>
  <c r="AB3025" i="1" l="1"/>
  <c r="AC3025" i="1" s="1"/>
  <c r="T3026" i="1"/>
  <c r="U3025" i="1"/>
  <c r="V3025" i="1"/>
  <c r="V3026" i="1" l="1"/>
  <c r="T3027" i="1"/>
  <c r="AB3026" i="1"/>
  <c r="AC3026" i="1" s="1"/>
  <c r="U3026" i="1"/>
  <c r="U3027" i="1" l="1"/>
  <c r="T3028" i="1"/>
  <c r="AB3027" i="1"/>
  <c r="AC3027" i="1" s="1"/>
  <c r="V3027" i="1"/>
  <c r="U3028" i="1" l="1"/>
  <c r="V3028" i="1"/>
  <c r="T3029" i="1"/>
  <c r="AB3028" i="1"/>
  <c r="AC3028" i="1" s="1"/>
  <c r="U3029" i="1" l="1"/>
  <c r="T3030" i="1"/>
  <c r="AB3029" i="1"/>
  <c r="AC3029" i="1" s="1"/>
  <c r="V3029" i="1"/>
  <c r="T3031" i="1" l="1"/>
  <c r="AB3030" i="1"/>
  <c r="AC3030" i="1" s="1"/>
  <c r="U3030" i="1"/>
  <c r="V3030" i="1"/>
  <c r="U3031" i="1" l="1"/>
  <c r="V3031" i="1"/>
  <c r="AB3031" i="1"/>
  <c r="AC3031" i="1" s="1"/>
  <c r="T3032" i="1"/>
  <c r="AB3032" i="1" l="1"/>
  <c r="AC3032" i="1" s="1"/>
  <c r="T3033" i="1"/>
  <c r="U3032" i="1"/>
  <c r="V3032" i="1"/>
  <c r="AB3033" i="1" l="1"/>
  <c r="AC3033" i="1" s="1"/>
  <c r="U3033" i="1"/>
  <c r="V3033" i="1"/>
  <c r="T3034" i="1"/>
  <c r="AB3034" i="1" l="1"/>
  <c r="AC3034" i="1" s="1"/>
  <c r="V3034" i="1"/>
  <c r="T3035" i="1"/>
  <c r="U3034" i="1"/>
  <c r="AB3035" i="1" l="1"/>
  <c r="AC3035" i="1" s="1"/>
  <c r="U3035" i="1"/>
  <c r="V3035" i="1"/>
  <c r="T3036" i="1"/>
  <c r="AB3036" i="1" l="1"/>
  <c r="AC3036" i="1" s="1"/>
  <c r="T3037" i="1"/>
  <c r="V3036" i="1"/>
  <c r="U3036" i="1"/>
  <c r="AB3037" i="1" l="1"/>
  <c r="AC3037" i="1" s="1"/>
  <c r="T3038" i="1"/>
  <c r="V3037" i="1"/>
  <c r="U3037" i="1"/>
  <c r="T3039" i="1" l="1"/>
  <c r="AB3038" i="1"/>
  <c r="AC3038" i="1" s="1"/>
  <c r="U3038" i="1"/>
  <c r="V3038" i="1"/>
  <c r="T3040" i="1" l="1"/>
  <c r="V3039" i="1"/>
  <c r="AB3039" i="1"/>
  <c r="AC3039" i="1" s="1"/>
  <c r="U3039" i="1"/>
  <c r="AB3040" i="1" l="1"/>
  <c r="AC3040" i="1" s="1"/>
  <c r="U3040" i="1"/>
  <c r="V3040" i="1"/>
  <c r="T3041" i="1"/>
  <c r="AB3041" i="1" l="1"/>
  <c r="AC3041" i="1" s="1"/>
  <c r="T3042" i="1"/>
  <c r="U3041" i="1"/>
  <c r="V3041" i="1"/>
  <c r="AB3042" i="1" l="1"/>
  <c r="AC3042" i="1" s="1"/>
  <c r="V3042" i="1"/>
  <c r="T3043" i="1"/>
  <c r="U3042" i="1"/>
  <c r="AB3043" i="1" l="1"/>
  <c r="AC3043" i="1" s="1"/>
  <c r="U3043" i="1"/>
  <c r="V3043" i="1"/>
  <c r="T3044" i="1"/>
  <c r="AB3044" i="1" l="1"/>
  <c r="AC3044" i="1" s="1"/>
  <c r="V3044" i="1"/>
  <c r="T3045" i="1"/>
  <c r="U3044" i="1"/>
  <c r="T3046" i="1" l="1"/>
  <c r="AB3045" i="1"/>
  <c r="AC3045" i="1" s="1"/>
  <c r="U3045" i="1"/>
  <c r="V3045" i="1"/>
  <c r="T3047" i="1" l="1"/>
  <c r="AB3046" i="1"/>
  <c r="AC3046" i="1" s="1"/>
  <c r="U3046" i="1"/>
  <c r="V3046" i="1"/>
  <c r="AB3047" i="1" l="1"/>
  <c r="AC3047" i="1" s="1"/>
  <c r="U3047" i="1"/>
  <c r="V3047" i="1"/>
  <c r="T3048" i="1"/>
  <c r="AB3048" i="1" l="1"/>
  <c r="AC3048" i="1" s="1"/>
  <c r="U3048" i="1"/>
  <c r="V3048" i="1"/>
  <c r="T3049" i="1"/>
  <c r="AB3049" i="1" l="1"/>
  <c r="AC3049" i="1" s="1"/>
  <c r="V3049" i="1"/>
  <c r="T3050" i="1"/>
  <c r="U3049" i="1"/>
  <c r="AB3050" i="1" l="1"/>
  <c r="AC3050" i="1" s="1"/>
  <c r="T3051" i="1"/>
  <c r="V3050" i="1"/>
  <c r="U3050" i="1"/>
  <c r="AB3051" i="1" l="1"/>
  <c r="AC3051" i="1" s="1"/>
  <c r="T3052" i="1"/>
  <c r="U3051" i="1"/>
  <c r="V3051" i="1"/>
  <c r="AB3052" i="1" l="1"/>
  <c r="AC3052" i="1" s="1"/>
  <c r="U3052" i="1"/>
  <c r="V3052" i="1"/>
  <c r="T3053" i="1"/>
  <c r="AB3053" i="1" l="1"/>
  <c r="AC3053" i="1" s="1"/>
  <c r="V3053" i="1"/>
  <c r="T3054" i="1"/>
  <c r="U3053" i="1"/>
  <c r="AB3054" i="1" l="1"/>
  <c r="AC3054" i="1" s="1"/>
  <c r="T3055" i="1"/>
  <c r="U3054" i="1"/>
  <c r="V3054" i="1"/>
  <c r="AB3055" i="1" l="1"/>
  <c r="AC3055" i="1" s="1"/>
  <c r="U3055" i="1"/>
  <c r="V3055" i="1"/>
  <c r="T3056" i="1"/>
  <c r="V3056" i="1" l="1"/>
  <c r="T3057" i="1"/>
  <c r="AB3056" i="1"/>
  <c r="AC3056" i="1" s="1"/>
  <c r="U3056" i="1"/>
  <c r="AB3057" i="1" l="1"/>
  <c r="AC3057" i="1" s="1"/>
  <c r="T3058" i="1"/>
  <c r="U3057" i="1"/>
  <c r="V3057" i="1"/>
  <c r="T3059" i="1" l="1"/>
  <c r="AB3058" i="1"/>
  <c r="AC3058" i="1" s="1"/>
  <c r="U3058" i="1"/>
  <c r="V3058" i="1"/>
  <c r="V3059" i="1" l="1"/>
  <c r="T3060" i="1"/>
  <c r="U3059" i="1"/>
  <c r="AB3059" i="1"/>
  <c r="AC3059" i="1" s="1"/>
  <c r="AB3060" i="1" l="1"/>
  <c r="AC3060" i="1" s="1"/>
  <c r="T3061" i="1"/>
  <c r="U3060" i="1"/>
  <c r="V3060" i="1"/>
  <c r="AB3061" i="1" l="1"/>
  <c r="AC3061" i="1" s="1"/>
  <c r="T3062" i="1"/>
  <c r="U3061" i="1"/>
  <c r="V3061" i="1"/>
  <c r="T3063" i="1" l="1"/>
  <c r="AB3062" i="1"/>
  <c r="AC3062" i="1" s="1"/>
  <c r="U3062" i="1"/>
  <c r="V3062" i="1"/>
  <c r="U3063" i="1" l="1"/>
  <c r="V3063" i="1"/>
  <c r="AB3063" i="1"/>
  <c r="AC3063" i="1" s="1"/>
  <c r="T3064" i="1"/>
  <c r="AB3064" i="1" l="1"/>
  <c r="AC3064" i="1" s="1"/>
  <c r="V3064" i="1"/>
  <c r="U3064" i="1"/>
  <c r="T3065" i="1"/>
  <c r="V3065" i="1" l="1"/>
  <c r="U3065" i="1"/>
  <c r="AB3065" i="1"/>
  <c r="AC3065" i="1" s="1"/>
  <c r="T3066" i="1"/>
  <c r="AB3066" i="1" l="1"/>
  <c r="AC3066" i="1" s="1"/>
  <c r="U3066" i="1"/>
  <c r="V3066" i="1"/>
  <c r="T3067" i="1"/>
  <c r="AB3067" i="1" l="1"/>
  <c r="AC3067" i="1" s="1"/>
  <c r="T3068" i="1"/>
  <c r="U3067" i="1"/>
  <c r="V3067" i="1"/>
  <c r="AB3068" i="1" l="1"/>
  <c r="AC3068" i="1" s="1"/>
  <c r="T3069" i="1"/>
  <c r="U3068" i="1"/>
  <c r="V3068" i="1"/>
  <c r="AB3069" i="1" l="1"/>
  <c r="AC3069" i="1" s="1"/>
  <c r="T3070" i="1"/>
  <c r="U3069" i="1"/>
  <c r="V3069" i="1"/>
  <c r="V3070" i="1" l="1"/>
  <c r="U3070" i="1"/>
  <c r="T3071" i="1"/>
  <c r="AB3070" i="1"/>
  <c r="AC3070" i="1" s="1"/>
  <c r="V3071" i="1" l="1"/>
  <c r="AB3071" i="1"/>
  <c r="AC3071" i="1" s="1"/>
  <c r="T3072" i="1"/>
  <c r="U3071" i="1"/>
  <c r="T3073" i="1" l="1"/>
  <c r="AB3072" i="1"/>
  <c r="AC3072" i="1" s="1"/>
  <c r="U3072" i="1"/>
  <c r="V3072" i="1"/>
  <c r="AB3073" i="1" l="1"/>
  <c r="AC3073" i="1" s="1"/>
  <c r="T3074" i="1"/>
  <c r="U3073" i="1"/>
  <c r="V3073" i="1"/>
  <c r="T3075" i="1" l="1"/>
  <c r="U3074" i="1"/>
  <c r="AB3074" i="1"/>
  <c r="AC3074" i="1" s="1"/>
  <c r="V3074" i="1"/>
  <c r="AB3075" i="1" l="1"/>
  <c r="AC3075" i="1" s="1"/>
  <c r="T3076" i="1"/>
  <c r="V3075" i="1"/>
  <c r="U3075" i="1"/>
  <c r="AB3076" i="1" l="1"/>
  <c r="AC3076" i="1" s="1"/>
  <c r="U3076" i="1"/>
  <c r="V3076" i="1"/>
  <c r="T3077" i="1"/>
  <c r="T3078" i="1" l="1"/>
  <c r="AB3077" i="1"/>
  <c r="AC3077" i="1" s="1"/>
  <c r="U3077" i="1"/>
  <c r="V3077" i="1"/>
  <c r="V3078" i="1" l="1"/>
  <c r="U3078" i="1"/>
  <c r="AB3078" i="1"/>
  <c r="AC3078" i="1" s="1"/>
  <c r="T3079" i="1"/>
  <c r="V3079" i="1" l="1"/>
  <c r="AB3079" i="1"/>
  <c r="AC3079" i="1" s="1"/>
  <c r="U3079" i="1"/>
  <c r="T3080" i="1"/>
  <c r="U3080" i="1" l="1"/>
  <c r="AB3080" i="1"/>
  <c r="AC3080" i="1" s="1"/>
  <c r="T3081" i="1"/>
  <c r="V3080" i="1"/>
  <c r="AB3081" i="1" l="1"/>
  <c r="AC3081" i="1" s="1"/>
  <c r="V3081" i="1"/>
  <c r="T3082" i="1"/>
  <c r="U3081" i="1"/>
  <c r="AB3082" i="1" l="1"/>
  <c r="AC3082" i="1" s="1"/>
  <c r="V3082" i="1"/>
  <c r="T3083" i="1"/>
  <c r="U3082" i="1"/>
  <c r="T3084" i="1" l="1"/>
  <c r="AB3083" i="1"/>
  <c r="AC3083" i="1" s="1"/>
  <c r="V3083" i="1"/>
  <c r="U3083" i="1"/>
  <c r="AB3084" i="1" l="1"/>
  <c r="AC3084" i="1" s="1"/>
  <c r="U3084" i="1"/>
  <c r="V3084" i="1"/>
  <c r="T3085" i="1"/>
  <c r="V3085" i="1" l="1"/>
  <c r="T3086" i="1"/>
  <c r="AB3085" i="1"/>
  <c r="AC3085" i="1" s="1"/>
  <c r="U3085" i="1"/>
  <c r="T3087" i="1" l="1"/>
  <c r="V3086" i="1"/>
  <c r="U3086" i="1"/>
  <c r="AB3086" i="1"/>
  <c r="AC3086" i="1" s="1"/>
  <c r="AB3087" i="1" l="1"/>
  <c r="AC3087" i="1" s="1"/>
  <c r="U3087" i="1"/>
  <c r="T3088" i="1"/>
  <c r="V3087" i="1"/>
  <c r="V3088" i="1" l="1"/>
  <c r="T3089" i="1"/>
  <c r="AB3088" i="1"/>
  <c r="AC3088" i="1" s="1"/>
  <c r="U3088" i="1"/>
  <c r="U3089" i="1" l="1"/>
  <c r="V3089" i="1"/>
  <c r="T3090" i="1"/>
  <c r="AB3089" i="1"/>
  <c r="AC3089" i="1" s="1"/>
  <c r="U3090" i="1" l="1"/>
  <c r="V3090" i="1"/>
  <c r="T3091" i="1"/>
  <c r="AB3090" i="1"/>
  <c r="AC3090" i="1" s="1"/>
  <c r="AB3091" i="1" l="1"/>
  <c r="AC3091" i="1" s="1"/>
  <c r="T3092" i="1"/>
  <c r="U3091" i="1"/>
  <c r="V3091" i="1"/>
  <c r="U3092" i="1" l="1"/>
  <c r="T3093" i="1"/>
  <c r="V3092" i="1"/>
  <c r="AB3092" i="1"/>
  <c r="AC3092" i="1" s="1"/>
  <c r="U3093" i="1" l="1"/>
  <c r="AB3093" i="1"/>
  <c r="AC3093" i="1" s="1"/>
  <c r="V3093" i="1"/>
  <c r="T3094" i="1"/>
  <c r="U3094" i="1" l="1"/>
  <c r="T3095" i="1"/>
  <c r="V3094" i="1"/>
  <c r="AB3094" i="1"/>
  <c r="AC3094" i="1" s="1"/>
  <c r="T3096" i="1" l="1"/>
  <c r="U3095" i="1"/>
  <c r="V3095" i="1"/>
  <c r="AB3095" i="1"/>
  <c r="AC3095" i="1" s="1"/>
  <c r="U3096" i="1" l="1"/>
  <c r="AB3096" i="1"/>
  <c r="AC3096" i="1" s="1"/>
  <c r="V3096" i="1"/>
  <c r="T3097" i="1"/>
  <c r="U3097" i="1" l="1"/>
  <c r="V3097" i="1"/>
  <c r="AB3097" i="1"/>
  <c r="AC3097" i="1" s="1"/>
  <c r="T3098" i="1"/>
  <c r="T3099" i="1" l="1"/>
  <c r="AB3098" i="1"/>
  <c r="AC3098" i="1" s="1"/>
  <c r="V3098" i="1"/>
  <c r="U3098" i="1"/>
  <c r="V3099" i="1" l="1"/>
  <c r="AB3099" i="1"/>
  <c r="AC3099" i="1" s="1"/>
  <c r="U3099" i="1"/>
  <c r="T3100" i="1"/>
  <c r="T3101" i="1" l="1"/>
  <c r="AB3100" i="1"/>
  <c r="AC3100" i="1" s="1"/>
  <c r="U3100" i="1"/>
  <c r="V3100" i="1"/>
  <c r="U3101" i="1" l="1"/>
  <c r="AB3101" i="1"/>
  <c r="AC3101" i="1" s="1"/>
  <c r="T3102" i="1"/>
  <c r="V3101" i="1"/>
  <c r="U3102" i="1" l="1"/>
  <c r="V3102" i="1"/>
  <c r="AB3102" i="1"/>
  <c r="AC3102" i="1" s="1"/>
  <c r="T3103" i="1"/>
  <c r="T3104" i="1" l="1"/>
  <c r="V3103" i="1"/>
  <c r="AB3103" i="1"/>
  <c r="AC3103" i="1" s="1"/>
  <c r="U3103" i="1"/>
  <c r="U3104" i="1" l="1"/>
  <c r="V3104" i="1"/>
  <c r="T3105" i="1"/>
  <c r="AB3104" i="1"/>
  <c r="AC3104" i="1" s="1"/>
  <c r="T3106" i="1" l="1"/>
  <c r="U3105" i="1"/>
  <c r="V3105" i="1"/>
  <c r="AB3105" i="1"/>
  <c r="AC3105" i="1" s="1"/>
  <c r="U3106" i="1" l="1"/>
  <c r="T3107" i="1"/>
  <c r="V3106" i="1"/>
  <c r="AB3106" i="1"/>
  <c r="AC3106" i="1" s="1"/>
  <c r="AB3107" i="1" l="1"/>
  <c r="AC3107" i="1" s="1"/>
  <c r="T3108" i="1"/>
  <c r="V3107" i="1"/>
  <c r="U3107" i="1"/>
  <c r="T3109" i="1" l="1"/>
  <c r="U3108" i="1"/>
  <c r="AB3108" i="1"/>
  <c r="AC3108" i="1" s="1"/>
  <c r="V3108" i="1"/>
  <c r="V3109" i="1" l="1"/>
  <c r="AB3109" i="1"/>
  <c r="AC3109" i="1" s="1"/>
  <c r="T3110" i="1"/>
  <c r="U3109" i="1"/>
  <c r="U3110" i="1" l="1"/>
  <c r="V3110" i="1"/>
  <c r="T3111" i="1"/>
  <c r="AB3110" i="1"/>
  <c r="AC3110" i="1" s="1"/>
  <c r="V3111" i="1" l="1"/>
  <c r="T3112" i="1"/>
  <c r="U3111" i="1"/>
  <c r="AB3111" i="1"/>
  <c r="AC3111" i="1" s="1"/>
  <c r="U3112" i="1" l="1"/>
  <c r="V3112" i="1"/>
  <c r="T3113" i="1"/>
  <c r="AB3112" i="1"/>
  <c r="AC3112" i="1" s="1"/>
  <c r="U3113" i="1" l="1"/>
  <c r="V3113" i="1"/>
  <c r="AB3113" i="1"/>
  <c r="AC3113" i="1" s="1"/>
  <c r="T3114" i="1"/>
  <c r="V3114" i="1" l="1"/>
  <c r="U3114" i="1"/>
  <c r="AB3114" i="1"/>
  <c r="AC3114" i="1" s="1"/>
  <c r="T3115" i="1"/>
  <c r="V3115" i="1" l="1"/>
  <c r="U3115" i="1"/>
  <c r="T3116" i="1"/>
  <c r="AB3115" i="1"/>
  <c r="AC3115" i="1" s="1"/>
  <c r="V3116" i="1" l="1"/>
  <c r="AB3116" i="1"/>
  <c r="AC3116" i="1" s="1"/>
  <c r="U3116" i="1"/>
  <c r="T3117" i="1"/>
  <c r="T3118" i="1" l="1"/>
  <c r="U3117" i="1"/>
  <c r="AB3117" i="1"/>
  <c r="AC3117" i="1" s="1"/>
  <c r="V3117" i="1"/>
  <c r="U3118" i="1" l="1"/>
  <c r="T3119" i="1"/>
  <c r="V3118" i="1"/>
  <c r="AB3118" i="1"/>
  <c r="AC3118" i="1" s="1"/>
  <c r="T3120" i="1" l="1"/>
  <c r="U3119" i="1"/>
  <c r="AB3119" i="1"/>
  <c r="AC3119" i="1" s="1"/>
  <c r="V3119" i="1"/>
  <c r="V3120" i="1" l="1"/>
  <c r="T3121" i="1"/>
  <c r="U3120" i="1"/>
  <c r="AB3120" i="1"/>
  <c r="AC3120" i="1" s="1"/>
  <c r="V3121" i="1" l="1"/>
  <c r="U3121" i="1"/>
  <c r="T3122" i="1"/>
  <c r="AB3121" i="1"/>
  <c r="AC3121" i="1" s="1"/>
  <c r="V3122" i="1" l="1"/>
  <c r="U3122" i="1"/>
  <c r="T3123" i="1"/>
  <c r="AB3122" i="1"/>
  <c r="AC3122" i="1" s="1"/>
  <c r="U3123" i="1" l="1"/>
  <c r="V3123" i="1"/>
  <c r="AB3123" i="1"/>
  <c r="AC3123" i="1" s="1"/>
  <c r="T3124" i="1"/>
  <c r="T3125" i="1" l="1"/>
  <c r="U3124" i="1"/>
  <c r="V3124" i="1"/>
  <c r="AB3124" i="1"/>
  <c r="AC3124" i="1" s="1"/>
  <c r="V3125" i="1" l="1"/>
  <c r="U3125" i="1"/>
  <c r="T3126" i="1"/>
  <c r="AB3125" i="1"/>
  <c r="AC3125" i="1" s="1"/>
  <c r="U3126" i="1" l="1"/>
  <c r="V3126" i="1"/>
  <c r="AB3126" i="1"/>
  <c r="AC3126" i="1" s="1"/>
  <c r="T3127" i="1"/>
  <c r="U3127" i="1" l="1"/>
  <c r="V3127" i="1"/>
  <c r="T3128" i="1"/>
  <c r="AB3127" i="1"/>
  <c r="AC3127" i="1" s="1"/>
  <c r="AB3128" i="1" l="1"/>
  <c r="AC3128" i="1" s="1"/>
  <c r="T3129" i="1"/>
  <c r="U3128" i="1"/>
  <c r="V3128" i="1"/>
  <c r="U3129" i="1" l="1"/>
  <c r="V3129" i="1"/>
  <c r="T3130" i="1"/>
  <c r="AB3129" i="1"/>
  <c r="AC3129" i="1" s="1"/>
  <c r="V3130" i="1" l="1"/>
  <c r="T3131" i="1"/>
  <c r="AB3130" i="1"/>
  <c r="AC3130" i="1" s="1"/>
  <c r="U3130" i="1"/>
  <c r="U3131" i="1" l="1"/>
  <c r="V3131" i="1"/>
  <c r="T3132" i="1"/>
  <c r="AB3131" i="1"/>
  <c r="AC3131" i="1" s="1"/>
  <c r="V3132" i="1" l="1"/>
  <c r="T3133" i="1"/>
  <c r="U3132" i="1"/>
  <c r="AB3132" i="1"/>
  <c r="AC3132" i="1" s="1"/>
  <c r="T3134" i="1" l="1"/>
  <c r="U3133" i="1"/>
  <c r="V3133" i="1"/>
  <c r="AB3133" i="1"/>
  <c r="AC3133" i="1" s="1"/>
  <c r="V3134" i="1" l="1"/>
  <c r="T3135" i="1"/>
  <c r="U3134" i="1"/>
  <c r="AB3134" i="1"/>
  <c r="AC3134" i="1" s="1"/>
  <c r="T3136" i="1" l="1"/>
  <c r="V3135" i="1"/>
  <c r="AB3135" i="1"/>
  <c r="AC3135" i="1" s="1"/>
  <c r="U3135" i="1"/>
  <c r="V3136" i="1" l="1"/>
  <c r="T3137" i="1"/>
  <c r="U3136" i="1"/>
  <c r="AB3136" i="1"/>
  <c r="AC3136" i="1" s="1"/>
  <c r="T3138" i="1" l="1"/>
  <c r="V3137" i="1"/>
  <c r="U3137" i="1"/>
  <c r="AB3137" i="1"/>
  <c r="AC3137" i="1" s="1"/>
  <c r="V3138" i="1" l="1"/>
  <c r="T3139" i="1"/>
  <c r="AB3138" i="1"/>
  <c r="AC3138" i="1" s="1"/>
  <c r="U3138" i="1"/>
  <c r="U3139" i="1" l="1"/>
  <c r="T3140" i="1"/>
  <c r="AB3139" i="1"/>
  <c r="AC3139" i="1" s="1"/>
  <c r="V3139" i="1"/>
  <c r="U3140" i="1" l="1"/>
  <c r="AB3140" i="1"/>
  <c r="AC3140" i="1" s="1"/>
  <c r="T3141" i="1"/>
  <c r="V3140" i="1"/>
  <c r="U3141" i="1" l="1"/>
  <c r="V3141" i="1"/>
  <c r="T3142" i="1"/>
  <c r="AB3141" i="1"/>
  <c r="AC3141" i="1" s="1"/>
  <c r="V3142" i="1" l="1"/>
  <c r="T3143" i="1"/>
  <c r="U3142" i="1"/>
  <c r="AB3142" i="1"/>
  <c r="AC3142" i="1" s="1"/>
  <c r="U3143" i="1" l="1"/>
  <c r="V3143" i="1"/>
  <c r="AB3143" i="1"/>
  <c r="AC3143" i="1" s="1"/>
  <c r="T3144" i="1"/>
  <c r="U3144" i="1" l="1"/>
  <c r="V3144" i="1"/>
  <c r="T3145" i="1"/>
  <c r="AB3144" i="1"/>
  <c r="AC3144" i="1" s="1"/>
  <c r="T3146" i="1" l="1"/>
  <c r="U3145" i="1"/>
  <c r="AB3145" i="1"/>
  <c r="AC3145" i="1" s="1"/>
  <c r="V3145" i="1"/>
  <c r="V3146" i="1" l="1"/>
  <c r="U3146" i="1"/>
  <c r="T3147" i="1"/>
  <c r="AB3146" i="1"/>
  <c r="AC3146" i="1" s="1"/>
  <c r="T3148" i="1" l="1"/>
  <c r="U3147" i="1"/>
  <c r="V3147" i="1"/>
  <c r="AB3147" i="1"/>
  <c r="AC3147" i="1" s="1"/>
  <c r="U3148" i="1" l="1"/>
  <c r="V3148" i="1"/>
  <c r="T3149" i="1"/>
  <c r="AB3148" i="1"/>
  <c r="AC3148" i="1" s="1"/>
  <c r="U3149" i="1" l="1"/>
  <c r="V3149" i="1"/>
  <c r="T3150" i="1"/>
  <c r="AB3149" i="1"/>
  <c r="AC3149" i="1" s="1"/>
  <c r="V3150" i="1" l="1"/>
  <c r="T3151" i="1"/>
  <c r="U3150" i="1"/>
  <c r="AB3150" i="1"/>
  <c r="AC3150" i="1" s="1"/>
  <c r="V3151" i="1" l="1"/>
  <c r="T3152" i="1"/>
  <c r="U3151" i="1"/>
  <c r="AB3151" i="1"/>
  <c r="AC3151" i="1" s="1"/>
  <c r="U3152" i="1" l="1"/>
  <c r="AB3152" i="1"/>
  <c r="AC3152" i="1" s="1"/>
  <c r="T3153" i="1"/>
  <c r="V3152" i="1"/>
  <c r="U3153" i="1" l="1"/>
  <c r="V3153" i="1"/>
  <c r="T3154" i="1"/>
  <c r="AB3153" i="1"/>
  <c r="AC3153" i="1" s="1"/>
  <c r="V3154" i="1" l="1"/>
  <c r="U3154" i="1"/>
  <c r="AB3154" i="1"/>
  <c r="AC3154" i="1" s="1"/>
  <c r="T3155" i="1"/>
  <c r="U3155" i="1" l="1"/>
  <c r="T3156" i="1"/>
  <c r="AB3155" i="1"/>
  <c r="AC3155" i="1" s="1"/>
  <c r="V3155" i="1"/>
  <c r="AB3156" i="1" l="1"/>
  <c r="AC3156" i="1" s="1"/>
  <c r="U3156" i="1"/>
  <c r="V3156" i="1"/>
  <c r="T3157" i="1"/>
  <c r="T3158" i="1" l="1"/>
  <c r="U3157" i="1"/>
  <c r="V3157" i="1"/>
  <c r="AB3157" i="1"/>
  <c r="AC3157" i="1" s="1"/>
  <c r="V3158" i="1" l="1"/>
  <c r="AB3158" i="1"/>
  <c r="AC3158" i="1" s="1"/>
  <c r="U3158" i="1"/>
  <c r="T3159" i="1"/>
  <c r="T3160" i="1" l="1"/>
  <c r="U3159" i="1"/>
  <c r="V3159" i="1"/>
  <c r="AB3159" i="1"/>
  <c r="AC3159" i="1" s="1"/>
  <c r="U3160" i="1" l="1"/>
  <c r="V3160" i="1"/>
  <c r="T3161" i="1"/>
  <c r="AB3160" i="1"/>
  <c r="AC3160" i="1" s="1"/>
  <c r="V3161" i="1" l="1"/>
  <c r="T3162" i="1"/>
  <c r="AB3161" i="1"/>
  <c r="AC3161" i="1" s="1"/>
  <c r="U3161" i="1"/>
  <c r="T3163" i="1" l="1"/>
  <c r="V3162" i="1"/>
  <c r="AB3162" i="1"/>
  <c r="AC3162" i="1" s="1"/>
  <c r="U3162" i="1"/>
  <c r="U3163" i="1" l="1"/>
  <c r="T3164" i="1"/>
  <c r="AB3163" i="1"/>
  <c r="AC3163" i="1" s="1"/>
  <c r="V3163" i="1"/>
  <c r="U3164" i="1" l="1"/>
  <c r="T3165" i="1"/>
  <c r="V3164" i="1"/>
  <c r="AB3164" i="1"/>
  <c r="AC3164" i="1" s="1"/>
  <c r="V3165" i="1" l="1"/>
  <c r="AB3165" i="1"/>
  <c r="AC3165" i="1" s="1"/>
  <c r="U3165" i="1"/>
  <c r="T3166" i="1"/>
  <c r="U3166" i="1" l="1"/>
  <c r="V3166" i="1"/>
  <c r="T3167" i="1"/>
  <c r="AB3166" i="1"/>
  <c r="AC3166" i="1" s="1"/>
  <c r="AB3167" i="1" l="1"/>
  <c r="AC3167" i="1" s="1"/>
  <c r="T3168" i="1"/>
  <c r="U3167" i="1"/>
  <c r="V3167" i="1"/>
  <c r="AB3168" i="1" l="1"/>
  <c r="AC3168" i="1" s="1"/>
  <c r="U3168" i="1"/>
  <c r="T3169" i="1"/>
  <c r="V3168" i="1"/>
  <c r="T3170" i="1" l="1"/>
  <c r="U3169" i="1"/>
  <c r="V3169" i="1"/>
  <c r="AB3169" i="1"/>
  <c r="AC3169" i="1" s="1"/>
  <c r="V3170" i="1" l="1"/>
  <c r="U3170" i="1"/>
  <c r="T3171" i="1"/>
  <c r="AB3170" i="1"/>
  <c r="AC3170" i="1" s="1"/>
  <c r="T3172" i="1" l="1"/>
  <c r="V3171" i="1"/>
  <c r="AB3171" i="1"/>
  <c r="AC3171" i="1" s="1"/>
  <c r="U3171" i="1"/>
  <c r="U3172" i="1" l="1"/>
  <c r="V3172" i="1"/>
  <c r="T3173" i="1"/>
  <c r="AB3172" i="1"/>
  <c r="AC3172" i="1" s="1"/>
  <c r="T3174" i="1" l="1"/>
  <c r="V3173" i="1"/>
  <c r="U3173" i="1"/>
  <c r="AB3173" i="1"/>
  <c r="AC3173" i="1" s="1"/>
  <c r="V3174" i="1" l="1"/>
  <c r="T3175" i="1"/>
  <c r="U3174" i="1"/>
  <c r="AB3174" i="1"/>
  <c r="AC3174" i="1" s="1"/>
  <c r="AB3175" i="1" l="1"/>
  <c r="AC3175" i="1" s="1"/>
  <c r="U3175" i="1"/>
  <c r="V3175" i="1"/>
  <c r="T3176" i="1"/>
  <c r="T3177" i="1" l="1"/>
  <c r="V3176" i="1"/>
  <c r="U3176" i="1"/>
  <c r="AB3176" i="1"/>
  <c r="AC3176" i="1" s="1"/>
  <c r="AB3177" i="1" l="1"/>
  <c r="AC3177" i="1" s="1"/>
  <c r="U3177" i="1"/>
  <c r="V3177" i="1"/>
  <c r="T3178" i="1"/>
  <c r="T3179" i="1" l="1"/>
  <c r="U3178" i="1"/>
  <c r="V3178" i="1"/>
  <c r="AB3178" i="1"/>
  <c r="AC3178" i="1" s="1"/>
  <c r="U3179" i="1" l="1"/>
  <c r="V3179" i="1"/>
  <c r="AB3179" i="1"/>
  <c r="AC3179" i="1" s="1"/>
  <c r="T3180" i="1"/>
  <c r="U3180" i="1" l="1"/>
  <c r="T3181" i="1"/>
  <c r="V3180" i="1"/>
  <c r="AB3180" i="1"/>
  <c r="AC3180" i="1" s="1"/>
  <c r="U3181" i="1" l="1"/>
  <c r="T3182" i="1"/>
  <c r="AB3181" i="1"/>
  <c r="AC3181" i="1" s="1"/>
  <c r="V3181" i="1"/>
  <c r="U3182" i="1" l="1"/>
  <c r="V3182" i="1"/>
  <c r="T3183" i="1"/>
  <c r="AB3182" i="1"/>
  <c r="AC3182" i="1" s="1"/>
  <c r="T3184" i="1" l="1"/>
  <c r="U3183" i="1"/>
  <c r="V3183" i="1"/>
  <c r="AB3183" i="1"/>
  <c r="AC3183" i="1" s="1"/>
  <c r="U3184" i="1" l="1"/>
  <c r="V3184" i="1"/>
  <c r="T3185" i="1"/>
  <c r="AB3184" i="1"/>
  <c r="AC3184" i="1" s="1"/>
  <c r="V3185" i="1" l="1"/>
  <c r="U3185" i="1"/>
  <c r="T3186" i="1"/>
  <c r="AB3185" i="1"/>
  <c r="AC3185" i="1" s="1"/>
  <c r="U3186" i="1" l="1"/>
  <c r="AB3186" i="1"/>
  <c r="AC3186" i="1" s="1"/>
  <c r="V3186" i="1"/>
  <c r="T3187" i="1"/>
  <c r="U3187" i="1" l="1"/>
  <c r="T3188" i="1"/>
  <c r="AB3187" i="1"/>
  <c r="AC3187" i="1" s="1"/>
  <c r="V3187" i="1"/>
  <c r="U3188" i="1" l="1"/>
  <c r="T3189" i="1"/>
  <c r="AB3188" i="1"/>
  <c r="AC3188" i="1" s="1"/>
  <c r="V3188" i="1"/>
  <c r="V3189" i="1" l="1"/>
  <c r="U3189" i="1"/>
  <c r="T3190" i="1"/>
  <c r="AB3189" i="1"/>
  <c r="AC3189" i="1" s="1"/>
  <c r="V3190" i="1" l="1"/>
  <c r="T3191" i="1"/>
  <c r="U3190" i="1"/>
  <c r="AB3190" i="1"/>
  <c r="AC3190" i="1" s="1"/>
  <c r="T3192" i="1" l="1"/>
  <c r="U3191" i="1"/>
  <c r="V3191" i="1"/>
  <c r="AB3191" i="1"/>
  <c r="AC3191" i="1" s="1"/>
  <c r="U3192" i="1" l="1"/>
  <c r="V3192" i="1"/>
  <c r="T3193" i="1"/>
  <c r="AB3192" i="1"/>
  <c r="AC3192" i="1" s="1"/>
  <c r="U3193" i="1" l="1"/>
  <c r="T3194" i="1"/>
  <c r="V3193" i="1"/>
  <c r="AB3193" i="1"/>
  <c r="AC3193" i="1" s="1"/>
  <c r="U3194" i="1" l="1"/>
  <c r="T3195" i="1"/>
  <c r="AB3194" i="1"/>
  <c r="AC3194" i="1" s="1"/>
  <c r="V3194" i="1"/>
  <c r="T3196" i="1" l="1"/>
  <c r="U3195" i="1"/>
  <c r="V3195" i="1"/>
  <c r="AB3195" i="1"/>
  <c r="AC3195" i="1" s="1"/>
  <c r="U3196" i="1" l="1"/>
  <c r="AB3196" i="1"/>
  <c r="AC3196" i="1" s="1"/>
  <c r="T3197" i="1"/>
  <c r="V3196" i="1"/>
  <c r="T3198" i="1" l="1"/>
  <c r="U3197" i="1"/>
  <c r="V3197" i="1"/>
  <c r="AB3197" i="1"/>
  <c r="AC3197" i="1" s="1"/>
  <c r="AB3198" i="1" l="1"/>
  <c r="AC3198" i="1" s="1"/>
  <c r="U3198" i="1"/>
  <c r="V3198" i="1"/>
  <c r="T3199" i="1"/>
  <c r="U3199" i="1" l="1"/>
  <c r="T3200" i="1"/>
  <c r="AB3199" i="1"/>
  <c r="AC3199" i="1" s="1"/>
  <c r="V3199" i="1"/>
  <c r="V3200" i="1" l="1"/>
  <c r="T3201" i="1"/>
  <c r="U3200" i="1"/>
  <c r="AB3200" i="1"/>
  <c r="AC3200" i="1" s="1"/>
  <c r="U3201" i="1" l="1"/>
  <c r="V3201" i="1"/>
  <c r="T3202" i="1"/>
  <c r="AB3201" i="1"/>
  <c r="AC3201" i="1" s="1"/>
  <c r="T3203" i="1" l="1"/>
  <c r="V3202" i="1"/>
  <c r="U3202" i="1"/>
  <c r="AB3202" i="1"/>
  <c r="AC3202" i="1" s="1"/>
  <c r="U3203" i="1" l="1"/>
  <c r="T3204" i="1"/>
  <c r="V3203" i="1"/>
  <c r="AB3203" i="1"/>
  <c r="AC3203" i="1" s="1"/>
  <c r="U3204" i="1" l="1"/>
  <c r="V3204" i="1"/>
  <c r="T3205" i="1"/>
  <c r="AB3204" i="1"/>
  <c r="AC3204" i="1" s="1"/>
  <c r="T3206" i="1" l="1"/>
  <c r="V3205" i="1"/>
  <c r="AB3205" i="1"/>
  <c r="AC3205" i="1" s="1"/>
  <c r="U3205" i="1"/>
  <c r="AB3206" i="1" l="1"/>
  <c r="AC3206" i="1" s="1"/>
  <c r="V3206" i="1"/>
  <c r="U3206" i="1"/>
  <c r="T3207" i="1"/>
  <c r="T3208" i="1" l="1"/>
  <c r="U3207" i="1"/>
  <c r="V3207" i="1"/>
  <c r="AB3207" i="1"/>
  <c r="AC3207" i="1" s="1"/>
  <c r="U3208" i="1" l="1"/>
  <c r="AB3208" i="1"/>
  <c r="AC3208" i="1" s="1"/>
  <c r="V3208" i="1"/>
  <c r="T3209" i="1"/>
  <c r="U3209" i="1" l="1"/>
  <c r="V3209" i="1"/>
  <c r="T3210" i="1"/>
  <c r="AB3209" i="1"/>
  <c r="AC3209" i="1" s="1"/>
  <c r="V3210" i="1" l="1"/>
  <c r="U3210" i="1"/>
  <c r="AB3210" i="1"/>
  <c r="AC3210" i="1" s="1"/>
  <c r="T3211" i="1"/>
  <c r="U3211" i="1" l="1"/>
  <c r="V3211" i="1"/>
  <c r="T3212" i="1"/>
  <c r="AB3211" i="1"/>
  <c r="AC3211" i="1" s="1"/>
  <c r="U3212" i="1" l="1"/>
  <c r="V3212" i="1"/>
  <c r="AB3212" i="1"/>
  <c r="AC3212" i="1" s="1"/>
  <c r="T3213" i="1"/>
  <c r="U3213" i="1" l="1"/>
  <c r="V3213" i="1"/>
  <c r="AB3213" i="1"/>
  <c r="AC3213" i="1" s="1"/>
  <c r="T3214" i="1"/>
  <c r="T3215" i="1" l="1"/>
  <c r="V3214" i="1"/>
  <c r="U3214" i="1"/>
  <c r="AB3214" i="1"/>
  <c r="AC3214" i="1" s="1"/>
  <c r="V3215" i="1" l="1"/>
  <c r="AB3215" i="1"/>
  <c r="AC3215" i="1" s="1"/>
  <c r="U3215" i="1"/>
  <c r="T3216" i="1"/>
  <c r="U3216" i="1" l="1"/>
  <c r="V3216" i="1"/>
  <c r="T3217" i="1"/>
  <c r="AB3216" i="1"/>
  <c r="AC3216" i="1" s="1"/>
  <c r="T3218" i="1" l="1"/>
  <c r="U3217" i="1"/>
  <c r="AB3217" i="1"/>
  <c r="AC3217" i="1" s="1"/>
  <c r="V3217" i="1"/>
  <c r="T3219" i="1" l="1"/>
  <c r="V3218" i="1"/>
  <c r="U3218" i="1"/>
  <c r="AB3218" i="1"/>
  <c r="AC3218" i="1" s="1"/>
  <c r="V3219" i="1" l="1"/>
  <c r="T3220" i="1"/>
  <c r="U3219" i="1"/>
  <c r="AB3219" i="1"/>
  <c r="AC3219" i="1" s="1"/>
  <c r="V3220" i="1" l="1"/>
  <c r="U3220" i="1"/>
  <c r="AB3220" i="1"/>
  <c r="AC3220" i="1" s="1"/>
  <c r="T3221" i="1"/>
  <c r="U3221" i="1" l="1"/>
  <c r="V3221" i="1"/>
  <c r="T3222" i="1"/>
  <c r="AB3221" i="1"/>
  <c r="AC3221" i="1" s="1"/>
  <c r="T3223" i="1" l="1"/>
  <c r="AB3222" i="1"/>
  <c r="AC3222" i="1" s="1"/>
  <c r="V3222" i="1"/>
  <c r="U3222" i="1"/>
  <c r="U3223" i="1" l="1"/>
  <c r="V3223" i="1"/>
  <c r="AB3223" i="1"/>
  <c r="AC3223" i="1" s="1"/>
  <c r="T3224" i="1"/>
  <c r="U3224" i="1" l="1"/>
  <c r="AB3224" i="1"/>
  <c r="AC3224" i="1" s="1"/>
  <c r="V3224" i="1"/>
  <c r="T3225" i="1"/>
  <c r="U3225" i="1" l="1"/>
  <c r="V3225" i="1"/>
  <c r="T3226" i="1"/>
  <c r="AB3225" i="1"/>
  <c r="AC3225" i="1" s="1"/>
  <c r="V3226" i="1" l="1"/>
  <c r="U3226" i="1"/>
  <c r="T3227" i="1"/>
  <c r="AB3226" i="1"/>
  <c r="AC3226" i="1" s="1"/>
  <c r="AB3227" i="1" l="1"/>
  <c r="AC3227" i="1" s="1"/>
  <c r="U3227" i="1"/>
  <c r="T3228" i="1"/>
  <c r="V3227" i="1"/>
  <c r="U3228" i="1" l="1"/>
  <c r="V3228" i="1"/>
  <c r="T3229" i="1"/>
  <c r="AB3228" i="1"/>
  <c r="AC3228" i="1" s="1"/>
  <c r="T3230" i="1" l="1"/>
  <c r="U3229" i="1"/>
  <c r="V3229" i="1"/>
  <c r="AB3229" i="1"/>
  <c r="AC3229" i="1" s="1"/>
  <c r="V3230" i="1" l="1"/>
  <c r="U3230" i="1"/>
  <c r="T3231" i="1"/>
  <c r="AB3230" i="1"/>
  <c r="AC3230" i="1" s="1"/>
  <c r="U3231" i="1" l="1"/>
  <c r="T3232" i="1"/>
  <c r="AB3231" i="1"/>
  <c r="AC3231" i="1" s="1"/>
  <c r="V3231" i="1"/>
  <c r="U3232" i="1" l="1"/>
  <c r="V3232" i="1"/>
  <c r="T3233" i="1"/>
  <c r="AB3232" i="1"/>
  <c r="AC3232" i="1" s="1"/>
  <c r="V3233" i="1" l="1"/>
  <c r="T3234" i="1"/>
  <c r="U3233" i="1"/>
  <c r="AB3233" i="1"/>
  <c r="AC3233" i="1" s="1"/>
  <c r="U3234" i="1" l="1"/>
  <c r="T3235" i="1"/>
  <c r="V3234" i="1"/>
  <c r="AB3234" i="1"/>
  <c r="AC3234" i="1" s="1"/>
  <c r="U3235" i="1" l="1"/>
  <c r="V3235" i="1"/>
  <c r="T3236" i="1"/>
  <c r="AB3235" i="1"/>
  <c r="AC3235" i="1" s="1"/>
  <c r="V3236" i="1" l="1"/>
  <c r="U3236" i="1"/>
  <c r="T3237" i="1"/>
  <c r="AB3236" i="1"/>
  <c r="AC3236" i="1" s="1"/>
  <c r="V3237" i="1" l="1"/>
  <c r="U3237" i="1"/>
  <c r="T3238" i="1"/>
  <c r="AB3237" i="1"/>
  <c r="AC3237" i="1" s="1"/>
  <c r="V3238" i="1" l="1"/>
  <c r="U3238" i="1"/>
  <c r="AB3238" i="1"/>
  <c r="AC3238" i="1" s="1"/>
  <c r="T3239" i="1"/>
  <c r="U3239" i="1" l="1"/>
  <c r="T3240" i="1"/>
  <c r="AB3239" i="1"/>
  <c r="AC3239" i="1" s="1"/>
  <c r="V3239" i="1"/>
  <c r="U3240" i="1" l="1"/>
  <c r="T3241" i="1"/>
  <c r="AB3240" i="1"/>
  <c r="AC3240" i="1" s="1"/>
  <c r="V3240" i="1"/>
  <c r="V3241" i="1" l="1"/>
  <c r="U3241" i="1"/>
  <c r="T3242" i="1"/>
  <c r="AB3241" i="1"/>
  <c r="AC3241" i="1" s="1"/>
  <c r="U3242" i="1" l="1"/>
  <c r="AB3242" i="1"/>
  <c r="AC3242" i="1" s="1"/>
  <c r="T3243" i="1"/>
  <c r="V3242" i="1"/>
  <c r="V3243" i="1" l="1"/>
  <c r="T3244" i="1"/>
  <c r="U3243" i="1"/>
  <c r="AB3243" i="1"/>
  <c r="AC3243" i="1" s="1"/>
  <c r="U3244" i="1" l="1"/>
  <c r="V3244" i="1"/>
  <c r="T3245" i="1"/>
  <c r="AB3244" i="1"/>
  <c r="AC3244" i="1" s="1"/>
  <c r="V3245" i="1" l="1"/>
  <c r="T3246" i="1"/>
  <c r="AB3245" i="1"/>
  <c r="AC3245" i="1" s="1"/>
  <c r="U3245" i="1"/>
  <c r="T3247" i="1" l="1"/>
  <c r="V3246" i="1"/>
  <c r="U3246" i="1"/>
  <c r="AB3246" i="1"/>
  <c r="AC3246" i="1" s="1"/>
  <c r="U3247" i="1" l="1"/>
  <c r="T3248" i="1"/>
  <c r="V3247" i="1"/>
  <c r="AB3247" i="1"/>
  <c r="AC3247" i="1" s="1"/>
  <c r="V3248" i="1" l="1"/>
  <c r="T3249" i="1"/>
  <c r="U3248" i="1"/>
  <c r="AB3248" i="1"/>
  <c r="AC3248" i="1" s="1"/>
  <c r="V3249" i="1" l="1"/>
  <c r="T3250" i="1"/>
  <c r="AB3249" i="1"/>
  <c r="AC3249" i="1" s="1"/>
  <c r="U3249" i="1"/>
  <c r="U3250" i="1" l="1"/>
  <c r="V3250" i="1"/>
  <c r="AB3250" i="1"/>
  <c r="AC3250" i="1" s="1"/>
  <c r="T3251" i="1"/>
  <c r="U3251" i="1" l="1"/>
  <c r="V3251" i="1"/>
  <c r="AB3251" i="1"/>
  <c r="AC3251" i="1" s="1"/>
  <c r="T3252" i="1"/>
  <c r="V3252" i="1" l="1"/>
  <c r="AB3252" i="1"/>
  <c r="AC3252" i="1" s="1"/>
  <c r="T3253" i="1"/>
  <c r="U3252" i="1"/>
  <c r="U3253" i="1" l="1"/>
  <c r="AB3253" i="1"/>
  <c r="AC3253" i="1" s="1"/>
  <c r="V3253" i="1"/>
  <c r="T3254" i="1"/>
  <c r="U3254" i="1" l="1"/>
  <c r="AB3254" i="1"/>
  <c r="AC3254" i="1" s="1"/>
  <c r="T3255" i="1"/>
  <c r="V3254" i="1"/>
  <c r="U3255" i="1" l="1"/>
  <c r="V3255" i="1"/>
  <c r="T3256" i="1"/>
  <c r="AB3255" i="1"/>
  <c r="AC3255" i="1" s="1"/>
  <c r="U3256" i="1" l="1"/>
  <c r="V3256" i="1"/>
  <c r="T3257" i="1"/>
  <c r="AB3256" i="1"/>
  <c r="AC3256" i="1" s="1"/>
  <c r="V3257" i="1" l="1"/>
  <c r="T3258" i="1"/>
  <c r="U3257" i="1"/>
  <c r="AB3257" i="1"/>
  <c r="AC3257" i="1" s="1"/>
  <c r="V3258" i="1" l="1"/>
  <c r="U3258" i="1"/>
  <c r="T3259" i="1"/>
  <c r="AB3258" i="1"/>
  <c r="AC3258" i="1" s="1"/>
  <c r="U3259" i="1" l="1"/>
  <c r="V3259" i="1"/>
  <c r="T3260" i="1"/>
  <c r="AB3259" i="1"/>
  <c r="AC3259" i="1" s="1"/>
  <c r="AB3260" i="1" l="1"/>
  <c r="AC3260" i="1" s="1"/>
  <c r="U3260" i="1"/>
  <c r="V3260" i="1"/>
  <c r="T3261" i="1"/>
  <c r="V3261" i="1" l="1"/>
  <c r="U3261" i="1"/>
  <c r="AB3261" i="1"/>
  <c r="AC3261" i="1" s="1"/>
  <c r="T3262" i="1"/>
  <c r="U3262" i="1" l="1"/>
  <c r="V3262" i="1"/>
  <c r="T3263" i="1"/>
  <c r="AB3262" i="1"/>
  <c r="AC3262" i="1" s="1"/>
  <c r="T3264" i="1" l="1"/>
  <c r="U3263" i="1"/>
  <c r="AB3263" i="1"/>
  <c r="AC3263" i="1" s="1"/>
  <c r="V3263" i="1"/>
  <c r="U3264" i="1" l="1"/>
  <c r="V3264" i="1"/>
  <c r="AB3264" i="1"/>
  <c r="AC3264" i="1" s="1"/>
  <c r="T3265" i="1"/>
  <c r="U3265" i="1" l="1"/>
  <c r="V3265" i="1"/>
  <c r="AB3265" i="1"/>
  <c r="AC3265" i="1" s="1"/>
  <c r="T3266" i="1"/>
  <c r="V3266" i="1" l="1"/>
  <c r="T3267" i="1"/>
  <c r="AB3266" i="1"/>
  <c r="AC3266" i="1" s="1"/>
  <c r="U3266" i="1"/>
  <c r="U3267" i="1" l="1"/>
  <c r="V3267" i="1"/>
  <c r="T3268" i="1"/>
  <c r="AB3267" i="1"/>
  <c r="AC3267" i="1" s="1"/>
  <c r="U3268" i="1" l="1"/>
  <c r="V3268" i="1"/>
  <c r="T3269" i="1"/>
  <c r="AB3268" i="1"/>
  <c r="AC3268" i="1" s="1"/>
  <c r="V3269" i="1" l="1"/>
  <c r="U3269" i="1"/>
  <c r="AB3269" i="1"/>
  <c r="AC3269" i="1" s="1"/>
  <c r="T3270" i="1"/>
  <c r="U3270" i="1" l="1"/>
  <c r="T3271" i="1"/>
  <c r="V3270" i="1"/>
  <c r="AB3270" i="1"/>
  <c r="AC3270" i="1" s="1"/>
  <c r="AB3271" i="1" l="1"/>
  <c r="AC3271" i="1" s="1"/>
  <c r="T3272" i="1"/>
  <c r="U3271" i="1"/>
  <c r="V3271" i="1"/>
  <c r="U3272" i="1" l="1"/>
  <c r="V3272" i="1"/>
  <c r="AB3272" i="1"/>
  <c r="AC3272" i="1" s="1"/>
  <c r="T3273" i="1"/>
  <c r="U3273" i="1" l="1"/>
  <c r="V3273" i="1"/>
  <c r="T3274" i="1"/>
  <c r="AB3273" i="1"/>
  <c r="AC3273" i="1" s="1"/>
  <c r="AB3274" i="1" l="1"/>
  <c r="AC3274" i="1" s="1"/>
  <c r="V3274" i="1"/>
  <c r="U3274" i="1"/>
  <c r="T3275" i="1"/>
  <c r="U3275" i="1" l="1"/>
  <c r="V3275" i="1"/>
  <c r="T3276" i="1"/>
  <c r="AB3275" i="1"/>
  <c r="AC3275" i="1" s="1"/>
  <c r="T3277" i="1" l="1"/>
  <c r="U3276" i="1"/>
  <c r="V3276" i="1"/>
  <c r="AB3276" i="1"/>
  <c r="AC3276" i="1" s="1"/>
  <c r="U3277" i="1" l="1"/>
  <c r="V3277" i="1"/>
  <c r="T3278" i="1"/>
  <c r="AB3277" i="1"/>
  <c r="AC3277" i="1" s="1"/>
  <c r="V3278" i="1" l="1"/>
  <c r="U3278" i="1"/>
  <c r="T3279" i="1"/>
  <c r="AB3278" i="1"/>
  <c r="AC3278" i="1" s="1"/>
  <c r="V3279" i="1" l="1"/>
  <c r="AB3279" i="1"/>
  <c r="AC3279" i="1" s="1"/>
  <c r="U3279" i="1"/>
  <c r="T3280" i="1"/>
  <c r="V3280" i="1" l="1"/>
  <c r="AB3280" i="1"/>
  <c r="AC3280" i="1" s="1"/>
  <c r="U3280" i="1"/>
  <c r="T3281" i="1"/>
  <c r="U3281" i="1" l="1"/>
  <c r="T3282" i="1"/>
  <c r="AB3281" i="1"/>
  <c r="AC3281" i="1" s="1"/>
  <c r="V3281" i="1"/>
  <c r="V3282" i="1" l="1"/>
  <c r="U3282" i="1"/>
  <c r="AB3282" i="1"/>
  <c r="AC3282" i="1" s="1"/>
  <c r="T3283" i="1"/>
  <c r="V3283" i="1" l="1"/>
  <c r="AB3283" i="1"/>
  <c r="AC3283" i="1" s="1"/>
  <c r="U3283" i="1"/>
  <c r="T3284" i="1"/>
  <c r="U3284" i="1" l="1"/>
  <c r="T3285" i="1"/>
  <c r="AB3284" i="1"/>
  <c r="AC3284" i="1" s="1"/>
  <c r="V3284" i="1"/>
  <c r="U3285" i="1" l="1"/>
  <c r="V3285" i="1"/>
  <c r="T3286" i="1"/>
  <c r="AB3285" i="1"/>
  <c r="AC3285" i="1" s="1"/>
  <c r="V3286" i="1" l="1"/>
  <c r="U3286" i="1"/>
  <c r="T3287" i="1"/>
  <c r="AB3286" i="1"/>
  <c r="AC3286" i="1" s="1"/>
  <c r="U3287" i="1" l="1"/>
  <c r="V3287" i="1"/>
  <c r="AB3287" i="1"/>
  <c r="AC3287" i="1" s="1"/>
  <c r="T3288" i="1"/>
  <c r="U3288" i="1" l="1"/>
  <c r="V3288" i="1"/>
  <c r="T3289" i="1"/>
  <c r="AB3288" i="1"/>
  <c r="AC3288" i="1" s="1"/>
  <c r="U3289" i="1" l="1"/>
  <c r="V3289" i="1"/>
  <c r="T3290" i="1"/>
  <c r="AB3289" i="1"/>
  <c r="AC3289" i="1" s="1"/>
  <c r="V3290" i="1" l="1"/>
  <c r="U3290" i="1"/>
  <c r="T3291" i="1"/>
  <c r="AB3290" i="1"/>
  <c r="AC3290" i="1" s="1"/>
  <c r="U3291" i="1" l="1"/>
  <c r="V3291" i="1"/>
  <c r="T3292" i="1"/>
  <c r="AB3291" i="1"/>
  <c r="AC3291" i="1" s="1"/>
  <c r="AB3292" i="1" l="1"/>
  <c r="AC3292" i="1" s="1"/>
  <c r="U3292" i="1"/>
  <c r="V3292" i="1"/>
  <c r="T3293" i="1"/>
  <c r="T3294" i="1" l="1"/>
  <c r="U3293" i="1"/>
  <c r="V3293" i="1"/>
  <c r="AB3293" i="1"/>
  <c r="AC3293" i="1" s="1"/>
  <c r="V3294" i="1" l="1"/>
  <c r="T3295" i="1"/>
  <c r="U3294" i="1"/>
  <c r="AB3294" i="1"/>
  <c r="AC3294" i="1" s="1"/>
  <c r="V3295" i="1" l="1"/>
  <c r="AB3295" i="1"/>
  <c r="AC3295" i="1" s="1"/>
  <c r="T3296" i="1"/>
  <c r="U3295" i="1"/>
  <c r="U3296" i="1" l="1"/>
  <c r="V3296" i="1"/>
  <c r="AB3296" i="1"/>
  <c r="AC3296" i="1" s="1"/>
  <c r="T3297" i="1"/>
  <c r="U3297" i="1" l="1"/>
  <c r="V3297" i="1"/>
  <c r="AB3297" i="1"/>
  <c r="AC3297" i="1" s="1"/>
  <c r="T3298" i="1"/>
  <c r="V3298" i="1" l="1"/>
  <c r="U3298" i="1"/>
  <c r="T3299" i="1"/>
  <c r="AB3298" i="1"/>
  <c r="AC3298" i="1" s="1"/>
  <c r="U3299" i="1" l="1"/>
  <c r="V3299" i="1"/>
  <c r="T3300" i="1"/>
  <c r="AB3299" i="1"/>
  <c r="AC3299" i="1" s="1"/>
  <c r="AB3300" i="1" l="1"/>
  <c r="AC3300" i="1" s="1"/>
  <c r="U3300" i="1"/>
  <c r="T3301" i="1"/>
  <c r="V3300" i="1"/>
  <c r="V3301" i="1" l="1"/>
  <c r="T3302" i="1"/>
  <c r="AB3301" i="1"/>
  <c r="AC3301" i="1" s="1"/>
  <c r="U3301" i="1"/>
  <c r="U3302" i="1" l="1"/>
  <c r="V3302" i="1"/>
  <c r="T3303" i="1"/>
  <c r="AB3302" i="1"/>
  <c r="AC3302" i="1" s="1"/>
  <c r="U3303" i="1" l="1"/>
  <c r="V3303" i="1"/>
  <c r="T3304" i="1"/>
  <c r="AB3303" i="1"/>
  <c r="AC3303" i="1" s="1"/>
  <c r="V3304" i="1" l="1"/>
  <c r="T3305" i="1"/>
  <c r="U3304" i="1"/>
  <c r="AB3304" i="1"/>
  <c r="AC3304" i="1" s="1"/>
  <c r="T3306" i="1" l="1"/>
  <c r="V3305" i="1"/>
  <c r="AB3305" i="1"/>
  <c r="AC3305" i="1" s="1"/>
  <c r="U3305" i="1"/>
  <c r="V3306" i="1" l="1"/>
  <c r="T3307" i="1"/>
  <c r="AB3306" i="1"/>
  <c r="AC3306" i="1" s="1"/>
  <c r="U3306" i="1"/>
  <c r="V3307" i="1" l="1"/>
  <c r="T3308" i="1"/>
  <c r="U3307" i="1"/>
  <c r="AB3307" i="1"/>
  <c r="AC3307" i="1" s="1"/>
  <c r="V3308" i="1" l="1"/>
  <c r="T3309" i="1"/>
  <c r="U3308" i="1"/>
  <c r="AB3308" i="1"/>
  <c r="AC3308" i="1" s="1"/>
  <c r="U3309" i="1" l="1"/>
  <c r="V3309" i="1"/>
  <c r="T3310" i="1"/>
  <c r="AB3309" i="1"/>
  <c r="AC3309" i="1" s="1"/>
  <c r="U3310" i="1" l="1"/>
  <c r="V3310" i="1"/>
  <c r="AB3310" i="1"/>
  <c r="AC3310" i="1" s="1"/>
  <c r="T3311" i="1"/>
  <c r="U3311" i="1" l="1"/>
  <c r="V3311" i="1"/>
  <c r="T3312" i="1"/>
  <c r="AB3311" i="1"/>
  <c r="AC3311" i="1" s="1"/>
  <c r="U3312" i="1" l="1"/>
  <c r="V3312" i="1"/>
  <c r="T3313" i="1"/>
  <c r="AB3312" i="1"/>
  <c r="AC3312" i="1" s="1"/>
  <c r="V3313" i="1" l="1"/>
  <c r="U3313" i="1"/>
  <c r="T3314" i="1"/>
  <c r="AB3313" i="1"/>
  <c r="AC3313" i="1" s="1"/>
  <c r="V3314" i="1" l="1"/>
  <c r="U3314" i="1"/>
  <c r="AB3314" i="1"/>
  <c r="AC3314" i="1" s="1"/>
  <c r="T3315" i="1"/>
  <c r="T3316" i="1" l="1"/>
  <c r="V3315" i="1"/>
  <c r="AB3315" i="1"/>
  <c r="AC3315" i="1" s="1"/>
  <c r="U3315" i="1"/>
  <c r="U3316" i="1" l="1"/>
  <c r="V3316" i="1"/>
  <c r="T3317" i="1"/>
  <c r="AB3316" i="1"/>
  <c r="AC3316" i="1" s="1"/>
  <c r="U3317" i="1" l="1"/>
  <c r="V3317" i="1"/>
  <c r="T3318" i="1"/>
  <c r="AB3317" i="1"/>
  <c r="AC3317" i="1" s="1"/>
  <c r="T3319" i="1" l="1"/>
  <c r="U3318" i="1"/>
  <c r="V3318" i="1"/>
  <c r="AB3318" i="1"/>
  <c r="AC3318" i="1" s="1"/>
  <c r="V3319" i="1" l="1"/>
  <c r="U3319" i="1"/>
  <c r="AB3319" i="1"/>
  <c r="AC3319" i="1" s="1"/>
  <c r="T3320" i="1"/>
  <c r="U3320" i="1" l="1"/>
  <c r="V3320" i="1"/>
  <c r="T3321" i="1"/>
  <c r="AB3320" i="1"/>
  <c r="AC3320" i="1" s="1"/>
  <c r="U3321" i="1" l="1"/>
  <c r="T3322" i="1"/>
  <c r="V3321" i="1"/>
  <c r="AB3321" i="1"/>
  <c r="AC3321" i="1" s="1"/>
  <c r="V3322" i="1" l="1"/>
  <c r="U3322" i="1"/>
  <c r="T3323" i="1"/>
  <c r="AB3322" i="1"/>
  <c r="AC3322" i="1" s="1"/>
  <c r="V3323" i="1" l="1"/>
  <c r="T3324" i="1"/>
  <c r="U3323" i="1"/>
  <c r="AB3323" i="1"/>
  <c r="AC3323" i="1" s="1"/>
  <c r="U3324" i="1" l="1"/>
  <c r="T3325" i="1"/>
  <c r="V3324" i="1"/>
  <c r="AB3324" i="1"/>
  <c r="AC3324" i="1" s="1"/>
  <c r="U3325" i="1" l="1"/>
  <c r="V3325" i="1"/>
  <c r="AB3325" i="1"/>
  <c r="AC3325" i="1" s="1"/>
  <c r="T3326" i="1"/>
  <c r="U3326" i="1" l="1"/>
  <c r="V3326" i="1"/>
  <c r="AB3326" i="1"/>
  <c r="AC3326" i="1" s="1"/>
  <c r="T3327" i="1"/>
  <c r="U3327" i="1" l="1"/>
  <c r="V3327" i="1"/>
  <c r="T3328" i="1"/>
  <c r="AB3327" i="1"/>
  <c r="AC3327" i="1" s="1"/>
  <c r="U3328" i="1" l="1"/>
  <c r="V3328" i="1"/>
  <c r="T3329" i="1"/>
  <c r="AB3328" i="1"/>
  <c r="AC3328" i="1" s="1"/>
  <c r="U3329" i="1" l="1"/>
  <c r="V3329" i="1"/>
  <c r="AB3329" i="1"/>
  <c r="AC3329" i="1" s="1"/>
  <c r="T3330" i="1"/>
  <c r="AB3330" i="1" l="1"/>
  <c r="AC3330" i="1" s="1"/>
  <c r="V3330" i="1"/>
  <c r="U3330" i="1"/>
  <c r="T3331" i="1"/>
  <c r="U3331" i="1" l="1"/>
  <c r="V3331" i="1"/>
  <c r="AB3331" i="1"/>
  <c r="AC3331" i="1" s="1"/>
  <c r="T3332" i="1"/>
  <c r="U3332" i="1" l="1"/>
  <c r="V3332" i="1"/>
  <c r="T3333" i="1"/>
  <c r="AB3332" i="1"/>
  <c r="AC3332" i="1" s="1"/>
  <c r="U3333" i="1" l="1"/>
  <c r="V3333" i="1"/>
  <c r="AB3333" i="1"/>
  <c r="AC3333" i="1" s="1"/>
  <c r="T3334" i="1"/>
  <c r="U3334" i="1" l="1"/>
  <c r="V3334" i="1"/>
  <c r="T3335" i="1"/>
  <c r="AB3334" i="1"/>
  <c r="AC3334" i="1" s="1"/>
  <c r="U3335" i="1" l="1"/>
  <c r="V3335" i="1"/>
  <c r="T3336" i="1"/>
  <c r="AB3335" i="1"/>
  <c r="AC3335" i="1" s="1"/>
  <c r="V3336" i="1" l="1"/>
  <c r="U3336" i="1"/>
  <c r="AB3336" i="1"/>
  <c r="AC3336" i="1" s="1"/>
  <c r="T3337" i="1"/>
  <c r="U3337" i="1" l="1"/>
  <c r="V3337" i="1"/>
  <c r="AB3337" i="1"/>
  <c r="AC3337" i="1" s="1"/>
  <c r="T3338" i="1"/>
  <c r="V3338" i="1" l="1"/>
  <c r="U3338" i="1"/>
  <c r="T3339" i="1"/>
  <c r="AB3338" i="1"/>
  <c r="AC3338" i="1" s="1"/>
  <c r="V3339" i="1" l="1"/>
  <c r="U3339" i="1"/>
  <c r="AB3339" i="1"/>
  <c r="AC3339" i="1" s="1"/>
  <c r="T3340" i="1"/>
  <c r="V3340" i="1" l="1"/>
  <c r="U3340" i="1"/>
  <c r="AB3340" i="1"/>
  <c r="AC3340" i="1" s="1"/>
  <c r="T3341" i="1"/>
  <c r="U3341" i="1" l="1"/>
  <c r="T3342" i="1"/>
  <c r="AB3341" i="1"/>
  <c r="AC3341" i="1" s="1"/>
  <c r="V3341" i="1"/>
  <c r="T3343" i="1" l="1"/>
  <c r="U3342" i="1"/>
  <c r="V3342" i="1"/>
  <c r="AB3342" i="1"/>
  <c r="AC3342" i="1" s="1"/>
  <c r="V3343" i="1" l="1"/>
  <c r="U3343" i="1"/>
  <c r="AB3343" i="1"/>
  <c r="AC3343" i="1" s="1"/>
  <c r="T3344" i="1"/>
  <c r="T3345" i="1" l="1"/>
  <c r="U3344" i="1"/>
  <c r="AB3344" i="1"/>
  <c r="AC3344" i="1" s="1"/>
  <c r="V3344" i="1"/>
  <c r="U3345" i="1" l="1"/>
  <c r="V3345" i="1"/>
  <c r="T3346" i="1"/>
  <c r="AB3345" i="1"/>
  <c r="AC3345" i="1" s="1"/>
  <c r="V3346" i="1" l="1"/>
  <c r="U3346" i="1"/>
  <c r="T3347" i="1"/>
  <c r="AB3346" i="1"/>
  <c r="AC3346" i="1" s="1"/>
  <c r="V3347" i="1" l="1"/>
  <c r="T3348" i="1"/>
  <c r="U3347" i="1"/>
  <c r="AB3347" i="1"/>
  <c r="AC3347" i="1" s="1"/>
  <c r="U3348" i="1" l="1"/>
  <c r="AB3348" i="1"/>
  <c r="AC3348" i="1" s="1"/>
  <c r="V3348" i="1"/>
  <c r="T3349" i="1"/>
  <c r="U3349" i="1" l="1"/>
  <c r="V3349" i="1"/>
  <c r="T3350" i="1"/>
  <c r="AB3349" i="1"/>
  <c r="AC3349" i="1" s="1"/>
  <c r="U3350" i="1" l="1"/>
  <c r="V3350" i="1"/>
  <c r="T3351" i="1"/>
  <c r="AB3350" i="1"/>
  <c r="AC3350" i="1" s="1"/>
  <c r="V3351" i="1" l="1"/>
  <c r="U3351" i="1"/>
  <c r="AB3351" i="1"/>
  <c r="AC3351" i="1" s="1"/>
  <c r="T3352" i="1"/>
  <c r="T3353" i="1" l="1"/>
  <c r="U3352" i="1"/>
  <c r="AB3352" i="1"/>
  <c r="AC3352" i="1" s="1"/>
  <c r="V3352" i="1"/>
  <c r="V3353" i="1" l="1"/>
  <c r="AB3353" i="1"/>
  <c r="AC3353" i="1" s="1"/>
  <c r="U3353" i="1"/>
  <c r="T3354" i="1"/>
  <c r="AB3354" i="1" l="1"/>
  <c r="AC3354" i="1" s="1"/>
  <c r="V3354" i="1"/>
  <c r="U3354" i="1"/>
  <c r="T3355" i="1"/>
  <c r="V3355" i="1" l="1"/>
  <c r="AB3355" i="1"/>
  <c r="AC3355" i="1" s="1"/>
  <c r="U3355" i="1"/>
  <c r="T3356" i="1"/>
  <c r="U3356" i="1" l="1"/>
  <c r="V3356" i="1"/>
  <c r="T3357" i="1"/>
  <c r="AB3356" i="1"/>
  <c r="AC3356" i="1" s="1"/>
  <c r="V3357" i="1" l="1"/>
  <c r="AB3357" i="1"/>
  <c r="AC3357" i="1" s="1"/>
  <c r="U3357" i="1"/>
  <c r="T3358" i="1"/>
  <c r="AB3358" i="1" l="1"/>
  <c r="AC3358" i="1" s="1"/>
  <c r="U3358" i="1"/>
  <c r="V3358" i="1"/>
  <c r="T3359" i="1"/>
  <c r="U3359" i="1" l="1"/>
  <c r="T3360" i="1"/>
  <c r="V3359" i="1"/>
  <c r="AB3359" i="1"/>
  <c r="AC3359" i="1" s="1"/>
  <c r="U3360" i="1" l="1"/>
  <c r="V3360" i="1"/>
  <c r="T3361" i="1"/>
  <c r="AB3360" i="1"/>
  <c r="AC3360" i="1" s="1"/>
  <c r="U3361" i="1" l="1"/>
  <c r="V3361" i="1"/>
  <c r="T3362" i="1"/>
  <c r="AB3361" i="1"/>
  <c r="AC3361" i="1" s="1"/>
  <c r="V3362" i="1" l="1"/>
  <c r="U3362" i="1"/>
  <c r="T3363" i="1"/>
  <c r="AB3362" i="1"/>
  <c r="AC3362" i="1" s="1"/>
  <c r="V3363" i="1" l="1"/>
  <c r="U3363" i="1"/>
  <c r="AB3363" i="1"/>
  <c r="AC3363" i="1" s="1"/>
  <c r="T3364" i="1"/>
  <c r="V3364" i="1" l="1"/>
  <c r="T3365" i="1"/>
  <c r="U3364" i="1"/>
  <c r="AB3364" i="1"/>
  <c r="AC3364" i="1" s="1"/>
  <c r="V3365" i="1" l="1"/>
  <c r="T3366" i="1"/>
  <c r="AB3365" i="1"/>
  <c r="AC3365" i="1" s="1"/>
  <c r="U3365" i="1"/>
  <c r="V3366" i="1" l="1"/>
  <c r="U3366" i="1"/>
  <c r="T3367" i="1"/>
  <c r="AB3366" i="1"/>
  <c r="AC3366" i="1" s="1"/>
  <c r="AB3367" i="1" l="1"/>
  <c r="AC3367" i="1" s="1"/>
  <c r="U3367" i="1"/>
  <c r="V3367" i="1"/>
  <c r="T3368" i="1"/>
  <c r="U3368" i="1" l="1"/>
  <c r="V3368" i="1"/>
  <c r="T3369" i="1"/>
  <c r="AB3368" i="1"/>
  <c r="AC3368" i="1" s="1"/>
  <c r="V3369" i="1" l="1"/>
  <c r="U3369" i="1"/>
  <c r="AB3369" i="1"/>
  <c r="AC3369" i="1" s="1"/>
  <c r="T3370" i="1"/>
  <c r="V3370" i="1" l="1"/>
  <c r="U3370" i="1"/>
  <c r="T3371" i="1"/>
  <c r="AB3370" i="1"/>
  <c r="AC3370" i="1" s="1"/>
  <c r="V3371" i="1" l="1"/>
  <c r="U3371" i="1"/>
  <c r="AB3371" i="1"/>
  <c r="AC3371" i="1" s="1"/>
  <c r="T3372" i="1"/>
  <c r="U3372" i="1" l="1"/>
  <c r="V3372" i="1"/>
  <c r="AB3372" i="1"/>
  <c r="AC3372" i="1" s="1"/>
  <c r="T3373" i="1"/>
  <c r="U3373" i="1" l="1"/>
  <c r="V3373" i="1"/>
  <c r="T3374" i="1"/>
  <c r="AB3373" i="1"/>
  <c r="AC3373" i="1" s="1"/>
  <c r="U3374" i="1" l="1"/>
  <c r="V3374" i="1"/>
  <c r="T3375" i="1"/>
  <c r="AB3374" i="1"/>
  <c r="AC3374" i="1" s="1"/>
  <c r="U3375" i="1" l="1"/>
  <c r="V3375" i="1"/>
  <c r="AB3375" i="1"/>
  <c r="AC3375" i="1" s="1"/>
  <c r="T3376" i="1"/>
  <c r="U3376" i="1" l="1"/>
  <c r="V3376" i="1"/>
  <c r="AB3376" i="1"/>
  <c r="AC3376" i="1" s="1"/>
  <c r="T3377" i="1"/>
  <c r="V3377" i="1" l="1"/>
  <c r="AB3377" i="1"/>
  <c r="AC3377" i="1" s="1"/>
  <c r="U3377" i="1"/>
  <c r="T3378" i="1"/>
  <c r="V3378" i="1" l="1"/>
  <c r="U3378" i="1"/>
  <c r="AB3378" i="1"/>
  <c r="AC3378" i="1" s="1"/>
  <c r="T3379" i="1"/>
  <c r="U3379" i="1" l="1"/>
  <c r="V3379" i="1"/>
  <c r="AB3379" i="1"/>
  <c r="AC3379" i="1" s="1"/>
  <c r="T3380" i="1"/>
  <c r="V3380" i="1" l="1"/>
  <c r="U3380" i="1"/>
  <c r="AB3380" i="1"/>
  <c r="AC3380" i="1" s="1"/>
  <c r="T3381" i="1"/>
  <c r="V3381" i="1" l="1"/>
  <c r="U3381" i="1"/>
  <c r="T3382" i="1"/>
  <c r="AB3381" i="1"/>
  <c r="AC3381" i="1" s="1"/>
  <c r="U3382" i="1" l="1"/>
  <c r="V3382" i="1"/>
  <c r="AB3382" i="1"/>
  <c r="AC3382" i="1" s="1"/>
  <c r="T3383" i="1"/>
  <c r="U3383" i="1" l="1"/>
  <c r="V3383" i="1"/>
  <c r="T3384" i="1"/>
  <c r="AB3383" i="1"/>
  <c r="AC3383" i="1" s="1"/>
  <c r="U3384" i="1" l="1"/>
  <c r="V3384" i="1"/>
  <c r="AB3384" i="1"/>
  <c r="AC3384" i="1" s="1"/>
  <c r="T3385" i="1"/>
  <c r="T3386" i="1" l="1"/>
  <c r="U3385" i="1"/>
  <c r="V3385" i="1"/>
  <c r="AB3385" i="1"/>
  <c r="AC3385" i="1" s="1"/>
  <c r="V3386" i="1" l="1"/>
  <c r="U3386" i="1"/>
  <c r="AB3386" i="1"/>
  <c r="AC3386" i="1" s="1"/>
  <c r="T3387" i="1"/>
  <c r="V3387" i="1" l="1"/>
  <c r="U3387" i="1"/>
  <c r="AB3387" i="1"/>
  <c r="AC3387" i="1" s="1"/>
  <c r="T3388" i="1"/>
  <c r="U3388" i="1" l="1"/>
  <c r="T3389" i="1"/>
  <c r="AB3388" i="1"/>
  <c r="AC3388" i="1" s="1"/>
  <c r="V3388" i="1"/>
  <c r="V3389" i="1" l="1"/>
  <c r="U3389" i="1"/>
  <c r="T3390" i="1"/>
  <c r="AB3389" i="1"/>
  <c r="AC3389" i="1" s="1"/>
  <c r="U3390" i="1" l="1"/>
  <c r="V3390" i="1"/>
  <c r="T3391" i="1"/>
  <c r="AB3390" i="1"/>
  <c r="AC3390" i="1" s="1"/>
  <c r="V3391" i="1" l="1"/>
  <c r="T3392" i="1"/>
  <c r="U3391" i="1"/>
  <c r="AB3391" i="1"/>
  <c r="AC3391" i="1" s="1"/>
  <c r="U3392" i="1" l="1"/>
  <c r="V3392" i="1"/>
  <c r="T3393" i="1"/>
  <c r="AB3392" i="1"/>
  <c r="AC3392" i="1" s="1"/>
  <c r="AB3393" i="1" l="1"/>
  <c r="AC3393" i="1" s="1"/>
  <c r="V3393" i="1"/>
  <c r="U3393" i="1"/>
  <c r="T3394" i="1"/>
  <c r="V3394" i="1" l="1"/>
  <c r="U3394" i="1"/>
  <c r="AB3394" i="1"/>
  <c r="AC3394" i="1" s="1"/>
  <c r="T3395" i="1"/>
  <c r="U3395" i="1" l="1"/>
  <c r="V3395" i="1"/>
  <c r="AB3395" i="1"/>
  <c r="AC3395" i="1" s="1"/>
  <c r="T3396" i="1"/>
  <c r="AB3396" i="1" l="1"/>
  <c r="AC3396" i="1" s="1"/>
  <c r="U3396" i="1"/>
  <c r="V3396" i="1"/>
  <c r="T3397" i="1"/>
  <c r="U3397" i="1" l="1"/>
  <c r="V3397" i="1"/>
  <c r="T3398" i="1"/>
  <c r="AB3397" i="1"/>
  <c r="AC3397" i="1" s="1"/>
  <c r="U3398" i="1" l="1"/>
  <c r="V3398" i="1"/>
  <c r="T3399" i="1"/>
  <c r="AB3398" i="1"/>
  <c r="AC3398" i="1" s="1"/>
  <c r="T3400" i="1" l="1"/>
  <c r="U3399" i="1"/>
  <c r="V3399" i="1"/>
  <c r="AB3399" i="1"/>
  <c r="AC3399" i="1" s="1"/>
  <c r="V3400" i="1" l="1"/>
  <c r="T3401" i="1"/>
  <c r="U3400" i="1"/>
  <c r="AB3400" i="1"/>
  <c r="AC3400" i="1" s="1"/>
  <c r="T3402" i="1" l="1"/>
  <c r="V3401" i="1"/>
  <c r="U3401" i="1"/>
  <c r="AB3401" i="1"/>
  <c r="AC3401" i="1" s="1"/>
  <c r="U3402" i="1" l="1"/>
  <c r="T3403" i="1"/>
  <c r="V3402" i="1"/>
  <c r="AB3402" i="1"/>
  <c r="AC3402" i="1" s="1"/>
  <c r="U3403" i="1" l="1"/>
  <c r="V3403" i="1"/>
  <c r="T3404" i="1"/>
  <c r="AB3403" i="1"/>
  <c r="AC3403" i="1" s="1"/>
  <c r="U3404" i="1" l="1"/>
  <c r="V3404" i="1"/>
  <c r="AB3404" i="1"/>
  <c r="AC3404" i="1" s="1"/>
  <c r="T3405" i="1"/>
  <c r="T3406" i="1" l="1"/>
  <c r="U3405" i="1"/>
  <c r="V3405" i="1"/>
  <c r="AB3405" i="1"/>
  <c r="AC3405" i="1" s="1"/>
  <c r="U3406" i="1" l="1"/>
  <c r="V3406" i="1"/>
  <c r="T3407" i="1"/>
  <c r="AB3406" i="1"/>
  <c r="AC3406" i="1" s="1"/>
  <c r="U3407" i="1" l="1"/>
  <c r="V3407" i="1"/>
  <c r="T3408" i="1"/>
  <c r="AB3407" i="1"/>
  <c r="AC3407" i="1" s="1"/>
  <c r="V3408" i="1" l="1"/>
  <c r="U3408" i="1"/>
  <c r="T3409" i="1"/>
  <c r="AB3408" i="1"/>
  <c r="AC3408" i="1" s="1"/>
  <c r="U3409" i="1" l="1"/>
  <c r="V3409" i="1"/>
  <c r="AB3409" i="1"/>
  <c r="AC3409" i="1" s="1"/>
  <c r="T3410" i="1"/>
  <c r="V3410" i="1" l="1"/>
  <c r="U3410" i="1"/>
  <c r="AB3410" i="1"/>
  <c r="AC3410" i="1" s="1"/>
  <c r="T3411" i="1"/>
  <c r="T3412" i="1" l="1"/>
  <c r="U3411" i="1"/>
  <c r="V3411" i="1"/>
  <c r="AB3411" i="1"/>
  <c r="AC3411" i="1" s="1"/>
  <c r="V3412" i="1" l="1"/>
  <c r="U3412" i="1"/>
  <c r="T3413" i="1"/>
  <c r="AB3412" i="1"/>
  <c r="AC3412" i="1" s="1"/>
  <c r="V3413" i="1" l="1"/>
  <c r="U3413" i="1"/>
  <c r="AB3413" i="1"/>
  <c r="AC3413" i="1" s="1"/>
  <c r="T3414" i="1"/>
  <c r="AB3414" i="1" l="1"/>
  <c r="AC3414" i="1" s="1"/>
  <c r="U3414" i="1"/>
  <c r="V3414" i="1"/>
  <c r="T3415" i="1"/>
  <c r="T3416" i="1" l="1"/>
  <c r="U3415" i="1"/>
  <c r="V3415" i="1"/>
  <c r="AB3415" i="1"/>
  <c r="AC3415" i="1" s="1"/>
  <c r="U3416" i="1" l="1"/>
  <c r="V3416" i="1"/>
  <c r="T3417" i="1"/>
  <c r="AB3416" i="1"/>
  <c r="AC3416" i="1" s="1"/>
  <c r="U3417" i="1" l="1"/>
  <c r="V3417" i="1"/>
  <c r="AB3417" i="1"/>
  <c r="AC3417" i="1" s="1"/>
  <c r="T3418" i="1"/>
  <c r="V3418" i="1" l="1"/>
  <c r="U3418" i="1"/>
  <c r="T3419" i="1"/>
  <c r="AB3418" i="1"/>
  <c r="AC3418" i="1" s="1"/>
  <c r="U3419" i="1" l="1"/>
  <c r="V3419" i="1"/>
  <c r="AB3419" i="1"/>
  <c r="AC3419" i="1" s="1"/>
  <c r="T3420" i="1"/>
  <c r="V3420" i="1" l="1"/>
  <c r="U3420" i="1"/>
  <c r="T3421" i="1"/>
  <c r="AB3420" i="1"/>
  <c r="AC3420" i="1" s="1"/>
  <c r="T3422" i="1" l="1"/>
  <c r="V3421" i="1"/>
  <c r="U3421" i="1"/>
  <c r="AB3421" i="1"/>
  <c r="AC3421" i="1" s="1"/>
  <c r="V3422" i="1" l="1"/>
  <c r="U3422" i="1"/>
  <c r="AB3422" i="1"/>
  <c r="AC3422" i="1" s="1"/>
  <c r="T3423" i="1"/>
  <c r="U3423" i="1" l="1"/>
  <c r="V3423" i="1"/>
  <c r="AB3423" i="1"/>
  <c r="AC3423" i="1" s="1"/>
  <c r="T3424" i="1"/>
  <c r="U3424" i="1" l="1"/>
  <c r="V3424" i="1"/>
  <c r="AB3424" i="1"/>
  <c r="AC3424" i="1" s="1"/>
  <c r="T3425" i="1"/>
  <c r="U3425" i="1" l="1"/>
  <c r="AB3425" i="1"/>
  <c r="AC3425" i="1" s="1"/>
  <c r="V3425" i="1"/>
  <c r="T3426" i="1"/>
  <c r="V3426" i="1" l="1"/>
  <c r="U3426" i="1"/>
  <c r="T3427" i="1"/>
  <c r="AB3426" i="1"/>
  <c r="AC3426" i="1" s="1"/>
  <c r="V3427" i="1" l="1"/>
  <c r="U3427" i="1"/>
  <c r="AB3427" i="1"/>
  <c r="AC3427" i="1" s="1"/>
  <c r="T3428" i="1"/>
  <c r="U3428" i="1" l="1"/>
  <c r="V3428" i="1"/>
  <c r="T3429" i="1"/>
  <c r="AB3428" i="1"/>
  <c r="AC3428" i="1" s="1"/>
  <c r="U3429" i="1" l="1"/>
  <c r="V3429" i="1"/>
  <c r="T3430" i="1"/>
  <c r="AB3429" i="1"/>
  <c r="AC3429" i="1" s="1"/>
  <c r="U3430" i="1" l="1"/>
  <c r="T3431" i="1"/>
  <c r="V3430" i="1"/>
  <c r="AB3430" i="1"/>
  <c r="AC3430" i="1" s="1"/>
  <c r="T3432" i="1" l="1"/>
  <c r="AB3431" i="1"/>
  <c r="AC3431" i="1" s="1"/>
  <c r="U3431" i="1"/>
  <c r="V3431" i="1"/>
  <c r="AB3432" i="1" l="1"/>
  <c r="AC3432" i="1" s="1"/>
  <c r="U3432" i="1"/>
  <c r="T3433" i="1"/>
  <c r="V3432" i="1"/>
  <c r="V3433" i="1" l="1"/>
  <c r="T3434" i="1"/>
  <c r="AB3433" i="1"/>
  <c r="AC3433" i="1" s="1"/>
  <c r="U3433" i="1"/>
  <c r="V3434" i="1" l="1"/>
  <c r="U3434" i="1"/>
  <c r="T3435" i="1"/>
  <c r="AB3434" i="1"/>
  <c r="AC3434" i="1" s="1"/>
  <c r="U3435" i="1" l="1"/>
  <c r="V3435" i="1"/>
  <c r="AB3435" i="1"/>
  <c r="AC3435" i="1" s="1"/>
  <c r="T3436" i="1"/>
  <c r="U3436" i="1" l="1"/>
  <c r="AB3436" i="1"/>
  <c r="AC3436" i="1" s="1"/>
  <c r="V3436" i="1"/>
  <c r="T3437" i="1"/>
  <c r="V3437" i="1" l="1"/>
  <c r="T3438" i="1"/>
  <c r="U3437" i="1"/>
  <c r="AB3437" i="1"/>
  <c r="AC3437" i="1" s="1"/>
  <c r="AB3438" i="1" l="1"/>
  <c r="AC3438" i="1" s="1"/>
  <c r="U3438" i="1"/>
  <c r="V3438" i="1"/>
  <c r="T3439" i="1"/>
  <c r="U3439" i="1" l="1"/>
  <c r="T3440" i="1"/>
  <c r="V3439" i="1"/>
  <c r="AB3439" i="1"/>
  <c r="AC3439" i="1" s="1"/>
  <c r="U3440" i="1" l="1"/>
  <c r="V3440" i="1"/>
  <c r="AB3440" i="1"/>
  <c r="AC3440" i="1" s="1"/>
  <c r="T3441" i="1"/>
  <c r="U3441" i="1" l="1"/>
  <c r="AB3441" i="1"/>
  <c r="AC3441" i="1" s="1"/>
  <c r="T3442" i="1"/>
  <c r="V3441" i="1"/>
  <c r="U3442" i="1" l="1"/>
  <c r="T3443" i="1"/>
  <c r="V3442" i="1"/>
  <c r="AB3442" i="1"/>
  <c r="AC3442" i="1" s="1"/>
  <c r="U3443" i="1" l="1"/>
  <c r="AB3443" i="1"/>
  <c r="AC3443" i="1" s="1"/>
  <c r="T3444" i="1"/>
  <c r="V3443" i="1"/>
  <c r="U3444" i="1" l="1"/>
  <c r="V3444" i="1"/>
  <c r="T3445" i="1"/>
  <c r="AB3444" i="1"/>
  <c r="AC3444" i="1" s="1"/>
  <c r="U3445" i="1" l="1"/>
  <c r="V3445" i="1"/>
  <c r="T3446" i="1"/>
  <c r="AB3445" i="1"/>
  <c r="AC3445" i="1" s="1"/>
  <c r="U3446" i="1" l="1"/>
  <c r="T3447" i="1"/>
  <c r="V3446" i="1"/>
  <c r="AB3446" i="1"/>
  <c r="AC3446" i="1" s="1"/>
  <c r="V3447" i="1" l="1"/>
  <c r="U3447" i="1"/>
  <c r="AB3447" i="1"/>
  <c r="AC3447" i="1" s="1"/>
  <c r="T3448" i="1"/>
  <c r="U3448" i="1" l="1"/>
  <c r="V3448" i="1"/>
  <c r="AB3448" i="1"/>
  <c r="AC3448" i="1" s="1"/>
  <c r="T3449" i="1"/>
  <c r="T3450" i="1" l="1"/>
  <c r="U3449" i="1"/>
  <c r="V3449" i="1"/>
  <c r="AB3449" i="1"/>
  <c r="AC3449" i="1" s="1"/>
  <c r="U3450" i="1" l="1"/>
  <c r="AB3450" i="1"/>
  <c r="AC3450" i="1" s="1"/>
  <c r="V3450" i="1"/>
  <c r="T3451" i="1"/>
  <c r="T3452" i="1" l="1"/>
  <c r="U3451" i="1"/>
  <c r="V3451" i="1"/>
  <c r="AB3451" i="1"/>
  <c r="AC3451" i="1" s="1"/>
  <c r="T3453" i="1" l="1"/>
  <c r="U3452" i="1"/>
  <c r="V3452" i="1"/>
  <c r="AB3452" i="1"/>
  <c r="AC3452" i="1" s="1"/>
  <c r="U3453" i="1" l="1"/>
  <c r="V3453" i="1"/>
  <c r="T3454" i="1"/>
  <c r="AB3453" i="1"/>
  <c r="AC3453" i="1" s="1"/>
  <c r="T3455" i="1" l="1"/>
  <c r="V3454" i="1"/>
  <c r="AB3454" i="1"/>
  <c r="AC3454" i="1" s="1"/>
  <c r="U3454" i="1"/>
  <c r="U3455" i="1" l="1"/>
  <c r="T3456" i="1"/>
  <c r="V3455" i="1"/>
  <c r="AB3455" i="1"/>
  <c r="AC3455" i="1" s="1"/>
  <c r="AB3456" i="1" l="1"/>
  <c r="AC3456" i="1" s="1"/>
  <c r="U3456" i="1"/>
  <c r="V3456" i="1"/>
  <c r="T3457" i="1"/>
  <c r="T3458" i="1" l="1"/>
  <c r="U3457" i="1"/>
  <c r="V3457" i="1"/>
  <c r="AB3457" i="1"/>
  <c r="AC3457" i="1" s="1"/>
  <c r="U3458" i="1" l="1"/>
  <c r="V3458" i="1"/>
  <c r="T3459" i="1"/>
  <c r="AB3458" i="1"/>
  <c r="AC3458" i="1" s="1"/>
  <c r="U3459" i="1" l="1"/>
  <c r="V3459" i="1"/>
  <c r="AB3459" i="1"/>
  <c r="AC3459" i="1" s="1"/>
  <c r="T3460" i="1"/>
  <c r="U3460" i="1" l="1"/>
  <c r="V3460" i="1"/>
  <c r="AB3460" i="1"/>
  <c r="AC3460" i="1" s="1"/>
  <c r="T3461" i="1"/>
  <c r="V3461" i="1" l="1"/>
  <c r="U3461" i="1"/>
  <c r="AB3461" i="1"/>
  <c r="AC3461" i="1" s="1"/>
  <c r="T3462" i="1"/>
  <c r="U3462" i="1" l="1"/>
  <c r="V3462" i="1"/>
  <c r="T3463" i="1"/>
  <c r="AB3462" i="1"/>
  <c r="AC3462" i="1" s="1"/>
  <c r="U3463" i="1" l="1"/>
  <c r="V3463" i="1"/>
  <c r="AB3463" i="1"/>
  <c r="AC3463" i="1" s="1"/>
  <c r="T3464" i="1"/>
  <c r="U3464" i="1" l="1"/>
  <c r="AB3464" i="1"/>
  <c r="AC3464" i="1" s="1"/>
  <c r="T3465" i="1"/>
  <c r="V3464" i="1"/>
  <c r="V3465" i="1" l="1"/>
  <c r="T3466" i="1"/>
  <c r="AB3465" i="1"/>
  <c r="AC3465" i="1" s="1"/>
  <c r="U3465" i="1"/>
  <c r="T3467" i="1" l="1"/>
  <c r="U3466" i="1"/>
  <c r="AB3466" i="1"/>
  <c r="AC3466" i="1" s="1"/>
  <c r="V3466" i="1"/>
  <c r="U3467" i="1" l="1"/>
  <c r="V3467" i="1"/>
  <c r="T3468" i="1"/>
  <c r="AB3467" i="1"/>
  <c r="AC3467" i="1" s="1"/>
  <c r="V3468" i="1" l="1"/>
  <c r="T3469" i="1"/>
  <c r="U3468" i="1"/>
  <c r="AB3468" i="1"/>
  <c r="AC3468" i="1" s="1"/>
  <c r="V3469" i="1" l="1"/>
  <c r="U3469" i="1"/>
  <c r="AB3469" i="1"/>
  <c r="AC3469" i="1" s="1"/>
  <c r="T3470" i="1"/>
  <c r="AB3470" i="1" l="1"/>
  <c r="AC3470" i="1" s="1"/>
  <c r="U3470" i="1"/>
  <c r="V3470" i="1"/>
  <c r="T3471" i="1"/>
  <c r="AB3471" i="1" l="1"/>
  <c r="AC3471" i="1" s="1"/>
  <c r="V3471" i="1"/>
  <c r="T3472" i="1"/>
  <c r="U3471" i="1"/>
  <c r="U3472" i="1" l="1"/>
  <c r="V3472" i="1"/>
  <c r="T3473" i="1"/>
  <c r="AB3472" i="1"/>
  <c r="AC3472" i="1" s="1"/>
  <c r="U3473" i="1" l="1"/>
  <c r="AB3473" i="1"/>
  <c r="AC3473" i="1" s="1"/>
  <c r="V3473" i="1"/>
  <c r="T3474" i="1"/>
  <c r="AB3474" i="1" l="1"/>
  <c r="AC3474" i="1" s="1"/>
  <c r="U3474" i="1"/>
  <c r="T3475" i="1"/>
  <c r="V3474" i="1"/>
  <c r="U3475" i="1" l="1"/>
  <c r="T3476" i="1"/>
  <c r="V3475" i="1"/>
  <c r="AB3475" i="1"/>
  <c r="AC3475" i="1" s="1"/>
  <c r="U3476" i="1" l="1"/>
  <c r="V3476" i="1"/>
  <c r="AB3476" i="1"/>
  <c r="AC3476" i="1" s="1"/>
  <c r="T3477" i="1"/>
  <c r="U3477" i="1" l="1"/>
  <c r="V3477" i="1"/>
  <c r="T3478" i="1"/>
  <c r="AB3477" i="1"/>
  <c r="AC3477" i="1" s="1"/>
  <c r="U3478" i="1" l="1"/>
  <c r="V3478" i="1"/>
  <c r="T3479" i="1"/>
  <c r="AB3478" i="1"/>
  <c r="AC3478" i="1" s="1"/>
  <c r="U3479" i="1" l="1"/>
  <c r="V3479" i="1"/>
  <c r="T3480" i="1"/>
  <c r="AB3479" i="1"/>
  <c r="AC3479" i="1" s="1"/>
  <c r="V3480" i="1" l="1"/>
  <c r="T3481" i="1"/>
  <c r="U3480" i="1"/>
  <c r="AB3480" i="1"/>
  <c r="AC3480" i="1" s="1"/>
  <c r="V3481" i="1" l="1"/>
  <c r="U3481" i="1"/>
  <c r="AB3481" i="1"/>
  <c r="AC3481" i="1" s="1"/>
  <c r="T3482" i="1"/>
  <c r="U3482" i="1" l="1"/>
  <c r="V3482" i="1"/>
  <c r="T3483" i="1"/>
  <c r="AB3482" i="1"/>
  <c r="AC3482" i="1" s="1"/>
  <c r="T3484" i="1" l="1"/>
  <c r="V3483" i="1"/>
  <c r="U3483" i="1"/>
  <c r="AB3483" i="1"/>
  <c r="AC3483" i="1" s="1"/>
  <c r="V3484" i="1" l="1"/>
  <c r="U3484" i="1"/>
  <c r="T3485" i="1"/>
  <c r="AB3484" i="1"/>
  <c r="AC3484" i="1" s="1"/>
  <c r="V3485" i="1" l="1"/>
  <c r="U3485" i="1"/>
  <c r="T3486" i="1"/>
  <c r="AB3485" i="1"/>
  <c r="AC3485" i="1" s="1"/>
  <c r="V3486" i="1" l="1"/>
  <c r="T3487" i="1"/>
  <c r="AB3486" i="1"/>
  <c r="AC3486" i="1" s="1"/>
  <c r="U3486" i="1"/>
  <c r="AB3487" i="1" l="1"/>
  <c r="AC3487" i="1" s="1"/>
  <c r="U3487" i="1"/>
  <c r="V3487" i="1"/>
  <c r="T3488" i="1"/>
  <c r="U3488" i="1" l="1"/>
  <c r="V3488" i="1"/>
  <c r="T3489" i="1"/>
  <c r="AB3488" i="1"/>
  <c r="AC3488" i="1" s="1"/>
  <c r="V3489" i="1" l="1"/>
  <c r="U3489" i="1"/>
  <c r="AB3489" i="1"/>
  <c r="AC3489" i="1" s="1"/>
  <c r="T3490" i="1"/>
  <c r="T3491" i="1" l="1"/>
  <c r="U3490" i="1"/>
  <c r="V3490" i="1"/>
  <c r="AB3490" i="1"/>
  <c r="AC3490" i="1" s="1"/>
  <c r="T3492" i="1" l="1"/>
  <c r="U3491" i="1"/>
  <c r="V3491" i="1"/>
  <c r="AB3491" i="1"/>
  <c r="AC3491" i="1" s="1"/>
  <c r="V3492" i="1" l="1"/>
  <c r="T3493" i="1"/>
  <c r="AB3492" i="1"/>
  <c r="AC3492" i="1" s="1"/>
  <c r="U3492" i="1"/>
  <c r="V3493" i="1" l="1"/>
  <c r="T3494" i="1"/>
  <c r="U3493" i="1"/>
  <c r="AB3493" i="1"/>
  <c r="AC3493" i="1" s="1"/>
  <c r="U3494" i="1" l="1"/>
  <c r="V3494" i="1"/>
  <c r="T3495" i="1"/>
  <c r="AB3494" i="1"/>
  <c r="AC3494" i="1" s="1"/>
  <c r="V3495" i="1" l="1"/>
  <c r="AB3495" i="1"/>
  <c r="AC3495" i="1" s="1"/>
  <c r="U3495" i="1"/>
  <c r="T3496" i="1"/>
  <c r="U3496" i="1" l="1"/>
  <c r="V3496" i="1"/>
  <c r="T3497" i="1"/>
  <c r="AB3496" i="1"/>
  <c r="AC3496" i="1" s="1"/>
  <c r="V3497" i="1" l="1"/>
  <c r="AB3497" i="1"/>
  <c r="AC3497" i="1" s="1"/>
  <c r="T3498" i="1"/>
  <c r="U3497" i="1"/>
  <c r="V3498" i="1" l="1"/>
  <c r="U3498" i="1"/>
  <c r="T3499" i="1"/>
  <c r="AB3498" i="1"/>
  <c r="AC3498" i="1" s="1"/>
  <c r="V3499" i="1" l="1"/>
  <c r="U3499" i="1"/>
  <c r="T3500" i="1"/>
  <c r="AB3499" i="1"/>
  <c r="AC3499" i="1" s="1"/>
  <c r="AB3500" i="1" l="1"/>
  <c r="AC3500" i="1" s="1"/>
  <c r="V3500" i="1"/>
  <c r="U3500" i="1"/>
  <c r="T3501" i="1"/>
  <c r="U3501" i="1" l="1"/>
  <c r="V3501" i="1"/>
  <c r="T3502" i="1"/>
  <c r="AB3501" i="1"/>
  <c r="AC3501" i="1" s="1"/>
  <c r="U3502" i="1" l="1"/>
  <c r="V3502" i="1"/>
  <c r="T3503" i="1"/>
  <c r="AB3502" i="1"/>
  <c r="AC3502" i="1" s="1"/>
  <c r="V3503" i="1" l="1"/>
  <c r="U3503" i="1"/>
  <c r="T3504" i="1"/>
  <c r="AB3503" i="1"/>
  <c r="AC3503" i="1" s="1"/>
  <c r="U3504" i="1" l="1"/>
  <c r="AB3504" i="1"/>
  <c r="AC3504" i="1" s="1"/>
  <c r="V3504" i="1"/>
  <c r="T3505" i="1"/>
  <c r="V3505" i="1" l="1"/>
  <c r="U3505" i="1"/>
  <c r="AB3505" i="1"/>
  <c r="AC3505" i="1" s="1"/>
  <c r="T3506" i="1"/>
  <c r="AB3506" i="1" l="1"/>
  <c r="AC3506" i="1" s="1"/>
  <c r="U3506" i="1"/>
  <c r="T3507" i="1"/>
  <c r="V3506" i="1"/>
  <c r="V3507" i="1" l="1"/>
  <c r="T3508" i="1"/>
  <c r="AB3507" i="1"/>
  <c r="AC3507" i="1" s="1"/>
  <c r="U3507" i="1"/>
  <c r="U3508" i="1" l="1"/>
  <c r="V3508" i="1"/>
  <c r="T3509" i="1"/>
  <c r="AB3508" i="1"/>
  <c r="AC3508" i="1" s="1"/>
  <c r="U3509" i="1" l="1"/>
  <c r="V3509" i="1"/>
  <c r="T3510" i="1"/>
  <c r="AB3509" i="1"/>
  <c r="AC3509" i="1" s="1"/>
  <c r="T3511" i="1" l="1"/>
  <c r="U3510" i="1"/>
  <c r="V3510" i="1"/>
  <c r="AB3510" i="1"/>
  <c r="AC3510" i="1" s="1"/>
  <c r="T3512" i="1" l="1"/>
  <c r="U3511" i="1"/>
  <c r="AB3511" i="1"/>
  <c r="AC3511" i="1" s="1"/>
  <c r="V3511" i="1"/>
  <c r="U3512" i="1" l="1"/>
  <c r="V3512" i="1"/>
  <c r="T3513" i="1"/>
  <c r="AB3512" i="1"/>
  <c r="AC3512" i="1" s="1"/>
  <c r="V3513" i="1" l="1"/>
  <c r="U3513" i="1"/>
  <c r="AB3513" i="1"/>
  <c r="AC3513" i="1" s="1"/>
  <c r="T3514" i="1"/>
  <c r="AB3514" i="1" l="1"/>
  <c r="AC3514" i="1" s="1"/>
  <c r="U3514" i="1"/>
  <c r="V3514" i="1"/>
  <c r="T3515" i="1"/>
  <c r="U3515" i="1" l="1"/>
  <c r="V3515" i="1"/>
  <c r="T3516" i="1"/>
  <c r="AB3515" i="1"/>
  <c r="AC3515" i="1" s="1"/>
  <c r="T3517" i="1" l="1"/>
  <c r="U3516" i="1"/>
  <c r="AB3516" i="1"/>
  <c r="AC3516" i="1" s="1"/>
  <c r="V3516" i="1"/>
  <c r="U3517" i="1" l="1"/>
  <c r="V3517" i="1"/>
  <c r="AB3517" i="1"/>
  <c r="AC3517" i="1" s="1"/>
  <c r="T3518" i="1"/>
  <c r="U3518" i="1" l="1"/>
  <c r="T3519" i="1"/>
  <c r="AB3518" i="1"/>
  <c r="AC3518" i="1" s="1"/>
  <c r="V3518" i="1"/>
  <c r="U3519" i="1" l="1"/>
  <c r="T3520" i="1"/>
  <c r="AB3519" i="1"/>
  <c r="AC3519" i="1" s="1"/>
  <c r="V3519" i="1"/>
  <c r="AB3520" i="1" l="1"/>
  <c r="AC3520" i="1" s="1"/>
  <c r="U3520" i="1"/>
  <c r="T3521" i="1"/>
  <c r="V3520" i="1"/>
  <c r="V3521" i="1" l="1"/>
  <c r="U3521" i="1"/>
  <c r="T3522" i="1"/>
  <c r="AB3521" i="1"/>
  <c r="AC3521" i="1" s="1"/>
  <c r="U3522" i="1" l="1"/>
  <c r="AB3522" i="1"/>
  <c r="AC3522" i="1" s="1"/>
  <c r="T3523" i="1"/>
  <c r="V3522" i="1"/>
  <c r="V3523" i="1" l="1"/>
  <c r="U3523" i="1"/>
  <c r="AB3523" i="1"/>
  <c r="AC3523" i="1" s="1"/>
  <c r="T3524" i="1"/>
  <c r="U3524" i="1" l="1"/>
  <c r="V3524" i="1"/>
  <c r="T3525" i="1"/>
  <c r="AB3524" i="1"/>
  <c r="AC3524" i="1" s="1"/>
  <c r="U3525" i="1" l="1"/>
  <c r="V3525" i="1"/>
  <c r="AB3525" i="1"/>
  <c r="AC3525" i="1" s="1"/>
  <c r="T3526" i="1"/>
  <c r="T3527" i="1" l="1"/>
  <c r="U3526" i="1"/>
  <c r="V3526" i="1"/>
  <c r="AB3526" i="1"/>
  <c r="AC3526" i="1" s="1"/>
  <c r="U3527" i="1" l="1"/>
  <c r="V3527" i="1"/>
  <c r="T3528" i="1"/>
  <c r="AB3527" i="1"/>
  <c r="AC3527" i="1" s="1"/>
  <c r="U3528" i="1" l="1"/>
  <c r="V3528" i="1"/>
  <c r="T3529" i="1"/>
  <c r="AB3528" i="1"/>
  <c r="AC3528" i="1" s="1"/>
  <c r="U3529" i="1" l="1"/>
  <c r="AB3529" i="1"/>
  <c r="AC3529" i="1" s="1"/>
  <c r="V3529" i="1"/>
  <c r="T3530" i="1"/>
  <c r="U3530" i="1" l="1"/>
  <c r="V3530" i="1"/>
  <c r="T3531" i="1"/>
  <c r="AB3530" i="1"/>
  <c r="AC3530" i="1" s="1"/>
  <c r="V3531" i="1" l="1"/>
  <c r="T3532" i="1"/>
  <c r="U3531" i="1"/>
  <c r="AB3531" i="1"/>
  <c r="AC3531" i="1" s="1"/>
  <c r="V3532" i="1" l="1"/>
  <c r="AB3532" i="1"/>
  <c r="AC3532" i="1" s="1"/>
  <c r="U3532" i="1"/>
  <c r="T3533" i="1"/>
  <c r="T3534" i="1" l="1"/>
  <c r="V3533" i="1"/>
  <c r="U3533" i="1"/>
  <c r="AB3533" i="1"/>
  <c r="AC3533" i="1" s="1"/>
  <c r="U3534" i="1" l="1"/>
  <c r="V3534" i="1"/>
  <c r="T3535" i="1"/>
  <c r="AB3534" i="1"/>
  <c r="AC3534" i="1" s="1"/>
  <c r="U3535" i="1" l="1"/>
  <c r="T3536" i="1"/>
  <c r="V3535" i="1"/>
  <c r="AB3535" i="1"/>
  <c r="AC3535" i="1" s="1"/>
  <c r="U3536" i="1" l="1"/>
  <c r="AB3536" i="1"/>
  <c r="AC3536" i="1" s="1"/>
  <c r="T3537" i="1"/>
  <c r="V3536" i="1"/>
  <c r="U3537" i="1" l="1"/>
  <c r="AB3537" i="1"/>
  <c r="AC3537" i="1" s="1"/>
  <c r="T3538" i="1"/>
  <c r="V3537" i="1"/>
  <c r="V3538" i="1" l="1"/>
  <c r="T3539" i="1"/>
  <c r="U3538" i="1"/>
  <c r="AB3538" i="1"/>
  <c r="AC3538" i="1" s="1"/>
  <c r="V3539" i="1" l="1"/>
  <c r="AB3539" i="1"/>
  <c r="AC3539" i="1" s="1"/>
  <c r="T3540" i="1"/>
  <c r="U3539" i="1"/>
  <c r="V3540" i="1" l="1"/>
  <c r="T3541" i="1"/>
  <c r="AB3540" i="1"/>
  <c r="AC3540" i="1" s="1"/>
  <c r="U3540" i="1"/>
  <c r="U3541" i="1" l="1"/>
  <c r="V3541" i="1"/>
  <c r="T3542" i="1"/>
  <c r="AB3541" i="1"/>
  <c r="AC3541" i="1" s="1"/>
  <c r="T3543" i="1" l="1"/>
  <c r="U3542" i="1"/>
  <c r="V3542" i="1"/>
  <c r="AB3542" i="1"/>
  <c r="AC3542" i="1" s="1"/>
  <c r="V3543" i="1" l="1"/>
  <c r="T3544" i="1"/>
  <c r="U3543" i="1"/>
  <c r="AB3543" i="1"/>
  <c r="AC3543" i="1" s="1"/>
  <c r="U3544" i="1" l="1"/>
  <c r="T3545" i="1"/>
  <c r="V3544" i="1"/>
  <c r="AB3544" i="1"/>
  <c r="AC3544" i="1" s="1"/>
  <c r="T3546" i="1" l="1"/>
  <c r="U3545" i="1"/>
  <c r="V3545" i="1"/>
  <c r="AB3545" i="1"/>
  <c r="AC3545" i="1" s="1"/>
  <c r="T3547" i="1" l="1"/>
  <c r="U3546" i="1"/>
  <c r="V3546" i="1"/>
  <c r="AB3546" i="1"/>
  <c r="AC3546" i="1" s="1"/>
  <c r="V3547" i="1" l="1"/>
  <c r="U3547" i="1"/>
  <c r="T3548" i="1"/>
  <c r="AB3547" i="1"/>
  <c r="AC3547" i="1" s="1"/>
  <c r="T3549" i="1" l="1"/>
  <c r="U3548" i="1"/>
  <c r="V3548" i="1"/>
  <c r="AB3548" i="1"/>
  <c r="AC3548" i="1" s="1"/>
  <c r="U3549" i="1" l="1"/>
  <c r="V3549" i="1"/>
  <c r="T3550" i="1"/>
  <c r="AB3549" i="1"/>
  <c r="AC3549" i="1" s="1"/>
  <c r="V3550" i="1" l="1"/>
  <c r="U3550" i="1"/>
  <c r="AB3550" i="1"/>
  <c r="AC3550" i="1" s="1"/>
  <c r="T3551" i="1"/>
  <c r="V3551" i="1" l="1"/>
  <c r="U3551" i="1"/>
  <c r="AB3551" i="1"/>
  <c r="AC3551" i="1" s="1"/>
  <c r="T3552" i="1"/>
  <c r="U3552" i="1" l="1"/>
  <c r="V3552" i="1"/>
  <c r="AB3552" i="1"/>
  <c r="AC3552" i="1" s="1"/>
  <c r="T3553" i="1"/>
  <c r="V3553" i="1" l="1"/>
  <c r="AB3553" i="1"/>
  <c r="AC3553" i="1" s="1"/>
  <c r="T3554" i="1"/>
  <c r="U3553" i="1"/>
  <c r="U3554" i="1" l="1"/>
  <c r="V3554" i="1"/>
  <c r="AB3554" i="1"/>
  <c r="AC3554" i="1" s="1"/>
  <c r="T3555" i="1"/>
  <c r="T3556" i="1" l="1"/>
  <c r="V3555" i="1"/>
  <c r="U3555" i="1"/>
  <c r="AB3555" i="1"/>
  <c r="AC3555" i="1" s="1"/>
  <c r="U3556" i="1" l="1"/>
  <c r="V3556" i="1"/>
  <c r="T3557" i="1"/>
  <c r="AB3556" i="1"/>
  <c r="AC3556" i="1" s="1"/>
  <c r="V3557" i="1" l="1"/>
  <c r="U3557" i="1"/>
  <c r="AB3557" i="1"/>
  <c r="AC3557" i="1" s="1"/>
  <c r="T3558" i="1"/>
  <c r="V3558" i="1" l="1"/>
  <c r="U3558" i="1"/>
  <c r="T3559" i="1"/>
  <c r="AB3558" i="1"/>
  <c r="AC3558" i="1" s="1"/>
  <c r="U3559" i="1" l="1"/>
  <c r="V3559" i="1"/>
  <c r="T3560" i="1"/>
  <c r="AB3559" i="1"/>
  <c r="AC3559" i="1" s="1"/>
  <c r="U3560" i="1" l="1"/>
  <c r="V3560" i="1"/>
  <c r="AB3560" i="1"/>
  <c r="AC3560" i="1" s="1"/>
  <c r="T3561" i="1"/>
  <c r="U3561" i="1" l="1"/>
  <c r="V3561" i="1"/>
  <c r="T3562" i="1"/>
  <c r="AB3561" i="1"/>
  <c r="AC3561" i="1" s="1"/>
  <c r="V3562" i="1" l="1"/>
  <c r="T3563" i="1"/>
  <c r="U3562" i="1"/>
  <c r="AB3562" i="1"/>
  <c r="AC3562" i="1" s="1"/>
  <c r="V3563" i="1" l="1"/>
  <c r="U3563" i="1"/>
  <c r="T3564" i="1"/>
  <c r="AB3563" i="1"/>
  <c r="AC3563" i="1" s="1"/>
  <c r="V3564" i="1" l="1"/>
  <c r="U3564" i="1"/>
  <c r="T3565" i="1"/>
  <c r="AB3564" i="1"/>
  <c r="AC3564" i="1" s="1"/>
  <c r="V3565" i="1" l="1"/>
  <c r="T3566" i="1"/>
  <c r="U3565" i="1"/>
  <c r="AB3565" i="1"/>
  <c r="AC3565" i="1" s="1"/>
  <c r="U3566" i="1" l="1"/>
  <c r="V3566" i="1"/>
  <c r="T3567" i="1"/>
  <c r="AB3566" i="1"/>
  <c r="AC3566" i="1" s="1"/>
  <c r="AB3567" i="1" l="1"/>
  <c r="AC3567" i="1" s="1"/>
  <c r="U3567" i="1"/>
  <c r="V3567" i="1"/>
  <c r="T3568" i="1"/>
  <c r="T3569" i="1" l="1"/>
  <c r="V3568" i="1"/>
  <c r="AB3568" i="1"/>
  <c r="AC3568" i="1" s="1"/>
  <c r="U3568" i="1"/>
  <c r="U3569" i="1" l="1"/>
  <c r="T3570" i="1"/>
  <c r="AB3569" i="1"/>
  <c r="AC3569" i="1" s="1"/>
  <c r="V3569" i="1"/>
  <c r="U3570" i="1" l="1"/>
  <c r="V3570" i="1"/>
  <c r="AB3570" i="1"/>
  <c r="AC3570" i="1" s="1"/>
  <c r="T3571" i="1"/>
  <c r="V3571" i="1" l="1"/>
  <c r="U3571" i="1"/>
  <c r="T3572" i="1"/>
  <c r="AB3571" i="1"/>
  <c r="AC3571" i="1" s="1"/>
  <c r="U3572" i="1" l="1"/>
  <c r="T3573" i="1"/>
  <c r="AB3572" i="1"/>
  <c r="AC3572" i="1" s="1"/>
  <c r="V3572" i="1"/>
  <c r="V3573" i="1" l="1"/>
  <c r="U3573" i="1"/>
  <c r="AB3573" i="1"/>
  <c r="AC3573" i="1" s="1"/>
  <c r="T3574" i="1"/>
  <c r="U3574" i="1" l="1"/>
  <c r="V3574" i="1"/>
  <c r="T3575" i="1"/>
  <c r="AB3574" i="1"/>
  <c r="AC3574" i="1" s="1"/>
  <c r="U3575" i="1" l="1"/>
  <c r="V3575" i="1"/>
  <c r="T3576" i="1"/>
  <c r="AB3575" i="1"/>
  <c r="AC3575" i="1" s="1"/>
  <c r="U3576" i="1" l="1"/>
  <c r="V3576" i="1"/>
  <c r="T3577" i="1"/>
  <c r="AB3576" i="1"/>
  <c r="AC3576" i="1" s="1"/>
  <c r="U3577" i="1" l="1"/>
  <c r="V3577" i="1"/>
  <c r="T3578" i="1"/>
  <c r="AB3577" i="1"/>
  <c r="AC3577" i="1" s="1"/>
  <c r="T3579" i="1" l="1"/>
  <c r="V3578" i="1"/>
  <c r="AB3578" i="1"/>
  <c r="AC3578" i="1" s="1"/>
  <c r="U3578" i="1"/>
  <c r="U3579" i="1" l="1"/>
  <c r="V3579" i="1"/>
  <c r="AB3579" i="1"/>
  <c r="AC3579" i="1" s="1"/>
  <c r="T3580" i="1"/>
  <c r="U3580" i="1" l="1"/>
  <c r="V3580" i="1"/>
  <c r="T3581" i="1"/>
  <c r="AB3580" i="1"/>
  <c r="AC3580" i="1" s="1"/>
  <c r="V3581" i="1" l="1"/>
  <c r="U3581" i="1"/>
  <c r="T3582" i="1"/>
  <c r="AB3581" i="1"/>
  <c r="AC3581" i="1" s="1"/>
  <c r="U3582" i="1" l="1"/>
  <c r="V3582" i="1"/>
  <c r="T3583" i="1"/>
  <c r="AB3582" i="1"/>
  <c r="AC3582" i="1" s="1"/>
  <c r="V3583" i="1" l="1"/>
  <c r="T3584" i="1"/>
  <c r="AB3583" i="1"/>
  <c r="AC3583" i="1" s="1"/>
  <c r="U3583" i="1"/>
  <c r="U3584" i="1" l="1"/>
  <c r="T3585" i="1"/>
  <c r="AB3584" i="1"/>
  <c r="AC3584" i="1" s="1"/>
  <c r="V3584" i="1"/>
  <c r="V3585" i="1" l="1"/>
  <c r="U3585" i="1"/>
  <c r="T3586" i="1"/>
  <c r="AB3585" i="1"/>
  <c r="AC3585" i="1" s="1"/>
  <c r="U3586" i="1" l="1"/>
  <c r="AB3586" i="1"/>
  <c r="AC3586" i="1" s="1"/>
  <c r="T3587" i="1"/>
  <c r="V3586" i="1"/>
  <c r="V3587" i="1" l="1"/>
  <c r="U3587" i="1"/>
  <c r="T3588" i="1"/>
  <c r="AB3587" i="1"/>
  <c r="AC3587" i="1" s="1"/>
  <c r="AB3588" i="1" l="1"/>
  <c r="AC3588" i="1" s="1"/>
  <c r="U3588" i="1"/>
  <c r="V3588" i="1"/>
  <c r="T3589" i="1"/>
  <c r="U3589" i="1" l="1"/>
  <c r="V3589" i="1"/>
  <c r="T3590" i="1"/>
  <c r="AB3589" i="1"/>
  <c r="AC3589" i="1" s="1"/>
  <c r="U3590" i="1" l="1"/>
  <c r="V3590" i="1"/>
  <c r="AB3590" i="1"/>
  <c r="AC3590" i="1" s="1"/>
  <c r="T3591" i="1"/>
  <c r="T3592" i="1" l="1"/>
  <c r="U3591" i="1"/>
  <c r="V3591" i="1"/>
  <c r="AB3591" i="1"/>
  <c r="AC3591" i="1" s="1"/>
  <c r="U3592" i="1" l="1"/>
  <c r="V3592" i="1"/>
  <c r="T3593" i="1"/>
  <c r="AB3592" i="1"/>
  <c r="AC3592" i="1" s="1"/>
  <c r="U3593" i="1" l="1"/>
  <c r="T3594" i="1"/>
  <c r="AB3593" i="1"/>
  <c r="AC3593" i="1" s="1"/>
  <c r="V3593" i="1"/>
  <c r="U3594" i="1" l="1"/>
  <c r="V3594" i="1"/>
  <c r="AB3594" i="1"/>
  <c r="AC3594" i="1" s="1"/>
  <c r="T3595" i="1"/>
  <c r="U3595" i="1" l="1"/>
  <c r="AB3595" i="1"/>
  <c r="AC3595" i="1" s="1"/>
  <c r="T3596" i="1"/>
  <c r="V3595" i="1"/>
  <c r="V3596" i="1" l="1"/>
  <c r="T3597" i="1"/>
  <c r="U3596" i="1"/>
  <c r="AB3596" i="1"/>
  <c r="AC3596" i="1" s="1"/>
  <c r="U3597" i="1" l="1"/>
  <c r="T3598" i="1"/>
  <c r="AB3597" i="1"/>
  <c r="AC3597" i="1" s="1"/>
  <c r="V3597" i="1"/>
  <c r="U3598" i="1" l="1"/>
  <c r="V3598" i="1"/>
  <c r="T3599" i="1"/>
  <c r="AB3598" i="1"/>
  <c r="AC3598" i="1" s="1"/>
  <c r="V3599" i="1" l="1"/>
  <c r="U3599" i="1"/>
  <c r="AB3599" i="1"/>
  <c r="AC3599" i="1" s="1"/>
  <c r="T3600" i="1"/>
  <c r="U3600" i="1" l="1"/>
  <c r="V3600" i="1"/>
  <c r="T3601" i="1"/>
  <c r="AB3600" i="1"/>
  <c r="AC3600" i="1" s="1"/>
  <c r="U3601" i="1" l="1"/>
  <c r="V3601" i="1"/>
  <c r="T3602" i="1"/>
  <c r="AB3601" i="1"/>
  <c r="AC3601" i="1" s="1"/>
  <c r="V3602" i="1" l="1"/>
  <c r="T3603" i="1"/>
  <c r="U3602" i="1"/>
  <c r="AB3602" i="1"/>
  <c r="AC3602" i="1" s="1"/>
  <c r="U3603" i="1" l="1"/>
  <c r="V3603" i="1"/>
  <c r="T3604" i="1"/>
  <c r="AB3603" i="1"/>
  <c r="AC3603" i="1" s="1"/>
  <c r="U3604" i="1" l="1"/>
  <c r="AB3604" i="1"/>
  <c r="AC3604" i="1" s="1"/>
  <c r="V3604" i="1"/>
  <c r="T3605" i="1"/>
  <c r="T3606" i="1" l="1"/>
  <c r="U3605" i="1"/>
  <c r="AB3605" i="1"/>
  <c r="AC3605" i="1" s="1"/>
  <c r="V3605" i="1"/>
  <c r="U3606" i="1" l="1"/>
  <c r="V3606" i="1"/>
  <c r="T3607" i="1"/>
  <c r="AB3606" i="1"/>
  <c r="AC3606" i="1" s="1"/>
  <c r="V3607" i="1" l="1"/>
  <c r="T3608" i="1"/>
  <c r="U3607" i="1"/>
  <c r="AB3607" i="1"/>
  <c r="AC3607" i="1" s="1"/>
  <c r="U3608" i="1" l="1"/>
  <c r="V3608" i="1"/>
  <c r="T3609" i="1"/>
  <c r="AB3608" i="1"/>
  <c r="AC3608" i="1" s="1"/>
  <c r="U3609" i="1" l="1"/>
  <c r="V3609" i="1"/>
  <c r="T3610" i="1"/>
  <c r="AB3609" i="1"/>
  <c r="AC3609" i="1" s="1"/>
  <c r="V3610" i="1" l="1"/>
  <c r="U3610" i="1"/>
  <c r="T3611" i="1"/>
  <c r="AB3610" i="1"/>
  <c r="AC3610" i="1" s="1"/>
  <c r="T3612" i="1" l="1"/>
  <c r="V3611" i="1"/>
  <c r="U3611" i="1"/>
  <c r="AB3611" i="1"/>
  <c r="AC3611" i="1" s="1"/>
  <c r="T3613" i="1" l="1"/>
  <c r="U3612" i="1"/>
  <c r="V3612" i="1"/>
  <c r="AB3612" i="1"/>
  <c r="AC3612" i="1" s="1"/>
  <c r="U3613" i="1" l="1"/>
  <c r="V3613" i="1"/>
  <c r="T3614" i="1"/>
  <c r="AB3613" i="1"/>
  <c r="AC3613" i="1" s="1"/>
  <c r="V3614" i="1" l="1"/>
  <c r="U3614" i="1"/>
  <c r="AB3614" i="1"/>
  <c r="AC3614" i="1" s="1"/>
  <c r="T3615" i="1"/>
  <c r="V3615" i="1" l="1"/>
  <c r="U3615" i="1"/>
  <c r="AB3615" i="1"/>
  <c r="AC3615" i="1" s="1"/>
  <c r="T3616" i="1"/>
  <c r="U3616" i="1" l="1"/>
  <c r="V3616" i="1"/>
  <c r="T3617" i="1"/>
  <c r="AB3616" i="1"/>
  <c r="AC3616" i="1" s="1"/>
  <c r="U3617" i="1" l="1"/>
  <c r="V3617" i="1"/>
  <c r="AB3617" i="1"/>
  <c r="AC3617" i="1" s="1"/>
  <c r="T3618" i="1"/>
  <c r="V3618" i="1" l="1"/>
  <c r="U3618" i="1"/>
  <c r="T3619" i="1"/>
  <c r="AB3618" i="1"/>
  <c r="AC3618" i="1" s="1"/>
  <c r="U3619" i="1" l="1"/>
  <c r="V3619" i="1"/>
  <c r="AB3619" i="1"/>
  <c r="AC3619" i="1" s="1"/>
  <c r="T3620" i="1"/>
  <c r="V3620" i="1" l="1"/>
  <c r="AB3620" i="1"/>
  <c r="AC3620" i="1" s="1"/>
  <c r="U3620" i="1"/>
  <c r="T3621" i="1"/>
  <c r="U3621" i="1" l="1"/>
  <c r="V3621" i="1"/>
  <c r="AB3621" i="1"/>
  <c r="AC3621" i="1" s="1"/>
  <c r="T3622" i="1"/>
  <c r="AB3622" i="1" l="1"/>
  <c r="AC3622" i="1" s="1"/>
  <c r="V3622" i="1"/>
  <c r="U3622" i="1"/>
  <c r="T3623" i="1"/>
  <c r="V3623" i="1" l="1"/>
  <c r="U3623" i="1"/>
  <c r="T3624" i="1"/>
  <c r="AB3623" i="1"/>
  <c r="AC3623" i="1" s="1"/>
  <c r="U3624" i="1" l="1"/>
  <c r="V3624" i="1"/>
  <c r="AB3624" i="1"/>
  <c r="AC3624" i="1" s="1"/>
  <c r="T3625" i="1"/>
  <c r="T3626" i="1" l="1"/>
  <c r="V3625" i="1"/>
  <c r="U3625" i="1"/>
  <c r="AB3625" i="1"/>
  <c r="AC3625" i="1" s="1"/>
  <c r="V3626" i="1" l="1"/>
  <c r="U3626" i="1"/>
  <c r="T3627" i="1"/>
  <c r="AB3626" i="1"/>
  <c r="AC3626" i="1" s="1"/>
  <c r="U3627" i="1" l="1"/>
  <c r="V3627" i="1"/>
  <c r="T3628" i="1"/>
  <c r="AB3627" i="1"/>
  <c r="AC3627" i="1" s="1"/>
  <c r="U3628" i="1" l="1"/>
  <c r="V3628" i="1"/>
  <c r="AB3628" i="1"/>
  <c r="AC3628" i="1" s="1"/>
  <c r="T3629" i="1"/>
  <c r="V3629" i="1" l="1"/>
  <c r="AB3629" i="1"/>
  <c r="AC3629" i="1" s="1"/>
  <c r="U3629" i="1"/>
  <c r="T3630" i="1"/>
  <c r="V3630" i="1" l="1"/>
  <c r="U3630" i="1"/>
  <c r="AB3630" i="1"/>
  <c r="AC3630" i="1" s="1"/>
  <c r="T3631" i="1"/>
  <c r="U3631" i="1" l="1"/>
  <c r="V3631" i="1"/>
  <c r="AB3631" i="1"/>
  <c r="AC3631" i="1" s="1"/>
  <c r="T3632" i="1"/>
  <c r="U3632" i="1" l="1"/>
  <c r="V3632" i="1"/>
  <c r="T3633" i="1"/>
  <c r="AB3632" i="1"/>
  <c r="AC3632" i="1" s="1"/>
  <c r="V3633" i="1" l="1"/>
  <c r="AB3633" i="1"/>
  <c r="AC3633" i="1" s="1"/>
  <c r="U3633" i="1"/>
  <c r="T3634" i="1"/>
  <c r="V3634" i="1" l="1"/>
  <c r="U3634" i="1"/>
  <c r="AB3634" i="1"/>
  <c r="AC3634" i="1" s="1"/>
  <c r="T3635" i="1"/>
  <c r="V3635" i="1" l="1"/>
  <c r="U3635" i="1"/>
  <c r="AB3635" i="1"/>
  <c r="AC3635" i="1" s="1"/>
  <c r="T3636" i="1"/>
  <c r="V3636" i="1" l="1"/>
  <c r="AB3636" i="1"/>
  <c r="AC3636" i="1" s="1"/>
  <c r="U3636" i="1"/>
  <c r="T3637" i="1"/>
  <c r="U3637" i="1" l="1"/>
  <c r="V3637" i="1"/>
  <c r="T3638" i="1"/>
  <c r="AB3637" i="1"/>
  <c r="AC3637" i="1" s="1"/>
  <c r="U3638" i="1" l="1"/>
  <c r="AB3638" i="1"/>
  <c r="AC3638" i="1" s="1"/>
  <c r="V3638" i="1"/>
  <c r="T3639" i="1"/>
  <c r="V3639" i="1" l="1"/>
  <c r="U3639" i="1"/>
  <c r="T3640" i="1"/>
  <c r="AB3639" i="1"/>
  <c r="AC3639" i="1" s="1"/>
  <c r="V3640" i="1" l="1"/>
  <c r="AB3640" i="1"/>
  <c r="AC3640" i="1" s="1"/>
  <c r="T3641" i="1"/>
  <c r="U3640" i="1"/>
  <c r="U3641" i="1" l="1"/>
  <c r="V3641" i="1"/>
  <c r="T3642" i="1"/>
  <c r="AB3641" i="1"/>
  <c r="AC3641" i="1" s="1"/>
  <c r="U3642" i="1" l="1"/>
  <c r="T3643" i="1"/>
  <c r="AB3642" i="1"/>
  <c r="AC3642" i="1" s="1"/>
  <c r="V3642" i="1"/>
  <c r="V3643" i="1" l="1"/>
  <c r="U3643" i="1"/>
  <c r="AB3643" i="1"/>
  <c r="AC3643" i="1" s="1"/>
  <c r="T3644" i="1"/>
  <c r="U3644" i="1" l="1"/>
  <c r="V3644" i="1"/>
  <c r="T3645" i="1"/>
  <c r="AB3644" i="1"/>
  <c r="AC3644" i="1" s="1"/>
  <c r="V3645" i="1" l="1"/>
  <c r="T3646" i="1"/>
  <c r="U3645" i="1"/>
  <c r="AB3645" i="1"/>
  <c r="AC3645" i="1" s="1"/>
  <c r="T3647" i="1" l="1"/>
  <c r="U3646" i="1"/>
  <c r="V3646" i="1"/>
  <c r="AB3646" i="1"/>
  <c r="AC3646" i="1" s="1"/>
  <c r="V3647" i="1" l="1"/>
  <c r="AB3647" i="1"/>
  <c r="AC3647" i="1" s="1"/>
  <c r="U3647" i="1"/>
  <c r="T3648" i="1"/>
  <c r="T3649" i="1" l="1"/>
  <c r="U3648" i="1"/>
  <c r="V3648" i="1"/>
  <c r="AB3648" i="1"/>
  <c r="AC3648" i="1" s="1"/>
  <c r="U3649" i="1" l="1"/>
  <c r="V3649" i="1"/>
  <c r="T3650" i="1"/>
  <c r="AB3649" i="1"/>
  <c r="AC3649" i="1" s="1"/>
  <c r="U3650" i="1" l="1"/>
  <c r="V3650" i="1"/>
  <c r="T3651" i="1"/>
  <c r="AB3650" i="1"/>
  <c r="AC3650" i="1" s="1"/>
  <c r="U3651" i="1" l="1"/>
  <c r="V3651" i="1"/>
  <c r="AB3651" i="1"/>
  <c r="AC3651" i="1" s="1"/>
  <c r="T3652" i="1"/>
  <c r="V3652" i="1" l="1"/>
  <c r="U3652" i="1"/>
  <c r="T3653" i="1"/>
  <c r="AB3652" i="1"/>
  <c r="AC3652" i="1" s="1"/>
  <c r="V3653" i="1" l="1"/>
  <c r="T3654" i="1"/>
  <c r="AB3653" i="1"/>
  <c r="AC3653" i="1" s="1"/>
  <c r="U3653" i="1"/>
  <c r="U3654" i="1" l="1"/>
  <c r="V3654" i="1"/>
  <c r="AB3654" i="1"/>
  <c r="AC3654" i="1" s="1"/>
  <c r="T3655" i="1"/>
  <c r="V3655" i="1" l="1"/>
  <c r="T3656" i="1"/>
  <c r="AB3655" i="1"/>
  <c r="AC3655" i="1" s="1"/>
  <c r="U3655" i="1"/>
  <c r="T3657" i="1" l="1"/>
  <c r="U3656" i="1"/>
  <c r="AB3656" i="1"/>
  <c r="AC3656" i="1" s="1"/>
  <c r="V3656" i="1"/>
  <c r="T3658" i="1" l="1"/>
  <c r="U3657" i="1"/>
  <c r="V3657" i="1"/>
  <c r="AB3657" i="1"/>
  <c r="AC3657" i="1" s="1"/>
  <c r="U3658" i="1" l="1"/>
  <c r="AB3658" i="1"/>
  <c r="AC3658" i="1" s="1"/>
  <c r="T3659" i="1"/>
  <c r="V3658" i="1"/>
  <c r="U3659" i="1" l="1"/>
  <c r="V3659" i="1"/>
  <c r="AB3659" i="1"/>
  <c r="AC3659" i="1" s="1"/>
  <c r="T3660" i="1"/>
  <c r="U3660" i="1" l="1"/>
  <c r="V3660" i="1"/>
  <c r="T3661" i="1"/>
  <c r="AB3660" i="1"/>
  <c r="AC3660" i="1" s="1"/>
  <c r="V3661" i="1" l="1"/>
  <c r="U3661" i="1"/>
  <c r="AB3661" i="1"/>
  <c r="AC3661" i="1" s="1"/>
  <c r="T3662" i="1"/>
  <c r="U3662" i="1" l="1"/>
  <c r="V3662" i="1"/>
  <c r="AB3662" i="1"/>
  <c r="AC3662" i="1" s="1"/>
  <c r="T3663" i="1"/>
  <c r="V3663" i="1" l="1"/>
  <c r="U3663" i="1"/>
  <c r="AB3663" i="1"/>
  <c r="AC3663" i="1" s="1"/>
  <c r="T3664" i="1"/>
  <c r="V3664" i="1" l="1"/>
  <c r="U3664" i="1"/>
  <c r="AB3664" i="1"/>
  <c r="AC3664" i="1" s="1"/>
  <c r="T3665" i="1"/>
  <c r="T3666" i="1" l="1"/>
  <c r="U3665" i="1"/>
  <c r="V3665" i="1"/>
  <c r="AB3665" i="1"/>
  <c r="AC3665" i="1" s="1"/>
  <c r="T3667" i="1" l="1"/>
  <c r="U3666" i="1"/>
  <c r="AB3666" i="1"/>
  <c r="AC3666" i="1" s="1"/>
  <c r="V3666" i="1"/>
  <c r="U3667" i="1" l="1"/>
  <c r="T3668" i="1"/>
  <c r="V3667" i="1"/>
  <c r="AB3667" i="1"/>
  <c r="AC3667" i="1" s="1"/>
  <c r="V3668" i="1" l="1"/>
  <c r="T3669" i="1"/>
  <c r="U3668" i="1"/>
  <c r="AB3668" i="1"/>
  <c r="AC3668" i="1" s="1"/>
  <c r="T3670" i="1" l="1"/>
  <c r="V3669" i="1"/>
  <c r="U3669" i="1"/>
  <c r="AB3669" i="1"/>
  <c r="AC3669" i="1" s="1"/>
  <c r="V3670" i="1" l="1"/>
  <c r="U3670" i="1"/>
  <c r="T3671" i="1"/>
  <c r="AB3670" i="1"/>
  <c r="AC3670" i="1" s="1"/>
  <c r="V3671" i="1" l="1"/>
  <c r="U3671" i="1"/>
  <c r="T3672" i="1"/>
  <c r="AB3671" i="1"/>
  <c r="AC3671" i="1" s="1"/>
  <c r="T3673" i="1" l="1"/>
  <c r="V3672" i="1"/>
  <c r="AB3672" i="1"/>
  <c r="AC3672" i="1" s="1"/>
  <c r="U3672" i="1"/>
  <c r="V3673" i="1" l="1"/>
  <c r="U3673" i="1"/>
  <c r="T3674" i="1"/>
  <c r="AB3673" i="1"/>
  <c r="AC3673" i="1" s="1"/>
  <c r="V3674" i="1" l="1"/>
  <c r="T3675" i="1"/>
  <c r="U3674" i="1"/>
  <c r="AB3674" i="1"/>
  <c r="AC3674" i="1" s="1"/>
  <c r="U3675" i="1" l="1"/>
  <c r="V3675" i="1"/>
  <c r="T3676" i="1"/>
  <c r="AB3675" i="1"/>
  <c r="AC3675" i="1" s="1"/>
  <c r="U3676" i="1" l="1"/>
  <c r="V3676" i="1"/>
  <c r="T3677" i="1"/>
  <c r="AB3676" i="1"/>
  <c r="AC3676" i="1" s="1"/>
  <c r="V3677" i="1" l="1"/>
  <c r="U3677" i="1"/>
  <c r="T3678" i="1"/>
  <c r="AB3677" i="1"/>
  <c r="AC3677" i="1" s="1"/>
  <c r="V3678" i="1" l="1"/>
  <c r="AB3678" i="1"/>
  <c r="AC3678" i="1" s="1"/>
  <c r="T3679" i="1"/>
  <c r="U3678" i="1"/>
  <c r="U3679" i="1" l="1"/>
  <c r="V3679" i="1"/>
  <c r="T3680" i="1"/>
  <c r="AB3679" i="1"/>
  <c r="AC3679" i="1" s="1"/>
  <c r="V3680" i="1" l="1"/>
  <c r="U3680" i="1"/>
  <c r="AB3680" i="1"/>
  <c r="AC3680" i="1" s="1"/>
  <c r="T3681" i="1"/>
  <c r="U3681" i="1" l="1"/>
  <c r="V3681" i="1"/>
  <c r="AB3681" i="1"/>
  <c r="AC3681" i="1" s="1"/>
  <c r="T3682" i="1"/>
  <c r="V3682" i="1" l="1"/>
  <c r="U3682" i="1"/>
  <c r="T3683" i="1"/>
  <c r="AB3682" i="1"/>
  <c r="AC3682" i="1" s="1"/>
  <c r="T3684" i="1" l="1"/>
  <c r="U3683" i="1"/>
  <c r="V3683" i="1"/>
  <c r="AB3683" i="1"/>
  <c r="AC3683" i="1" s="1"/>
  <c r="V3684" i="1" l="1"/>
  <c r="T3685" i="1"/>
  <c r="U3684" i="1"/>
  <c r="AB3684" i="1"/>
  <c r="AC3684" i="1" s="1"/>
  <c r="V3685" i="1" l="1"/>
  <c r="AB3685" i="1"/>
  <c r="AC3685" i="1" s="1"/>
  <c r="U3685" i="1"/>
  <c r="T3686" i="1"/>
  <c r="U3686" i="1" l="1"/>
  <c r="T3687" i="1"/>
  <c r="V3686" i="1"/>
  <c r="AB3686" i="1"/>
  <c r="AC3686" i="1" s="1"/>
  <c r="U3687" i="1" l="1"/>
  <c r="AB3687" i="1"/>
  <c r="AC3687" i="1" s="1"/>
  <c r="T3688" i="1"/>
  <c r="V3687" i="1"/>
  <c r="T3689" i="1" l="1"/>
  <c r="U3688" i="1"/>
  <c r="V3688" i="1"/>
  <c r="AB3688" i="1"/>
  <c r="AC3688" i="1" s="1"/>
  <c r="V3689" i="1" l="1"/>
  <c r="T3690" i="1"/>
  <c r="U3689" i="1"/>
  <c r="AB3689" i="1"/>
  <c r="AC3689" i="1" s="1"/>
  <c r="V3690" i="1" l="1"/>
  <c r="AB3690" i="1"/>
  <c r="AC3690" i="1" s="1"/>
  <c r="U3690" i="1"/>
  <c r="T3691" i="1"/>
  <c r="V3691" i="1" l="1"/>
  <c r="AB3691" i="1"/>
  <c r="AC3691" i="1" s="1"/>
  <c r="T3692" i="1"/>
  <c r="U3691" i="1"/>
  <c r="V3692" i="1" l="1"/>
  <c r="T3693" i="1"/>
  <c r="U3692" i="1"/>
  <c r="AB3692" i="1"/>
  <c r="AC3692" i="1" s="1"/>
  <c r="AB3693" i="1" l="1"/>
  <c r="AC3693" i="1" s="1"/>
  <c r="V3693" i="1"/>
  <c r="T3694" i="1"/>
  <c r="U3693" i="1"/>
  <c r="V3694" i="1" l="1"/>
  <c r="U3694" i="1"/>
  <c r="T3695" i="1"/>
  <c r="AB3694" i="1"/>
  <c r="AC3694" i="1" s="1"/>
  <c r="V3695" i="1" l="1"/>
  <c r="AB3695" i="1"/>
  <c r="AC3695" i="1" s="1"/>
  <c r="U3695" i="1"/>
  <c r="T3696" i="1"/>
  <c r="V3696" i="1" l="1"/>
  <c r="AB3696" i="1"/>
  <c r="AC3696" i="1" s="1"/>
  <c r="U3696" i="1"/>
  <c r="T3697" i="1"/>
  <c r="U3697" i="1" l="1"/>
  <c r="V3697" i="1"/>
  <c r="AB3697" i="1"/>
  <c r="AC3697" i="1" s="1"/>
  <c r="T3698" i="1"/>
  <c r="V3698" i="1" l="1"/>
  <c r="T3699" i="1"/>
  <c r="U3698" i="1"/>
  <c r="AB3698" i="1"/>
  <c r="AC3698" i="1" s="1"/>
  <c r="U3699" i="1" l="1"/>
  <c r="V3699" i="1"/>
  <c r="AB3699" i="1"/>
  <c r="AC3699" i="1" s="1"/>
  <c r="T3700" i="1"/>
  <c r="U3700" i="1" l="1"/>
  <c r="V3700" i="1"/>
  <c r="T3701" i="1"/>
  <c r="AB3700" i="1"/>
  <c r="AC3700" i="1" s="1"/>
  <c r="V3701" i="1" l="1"/>
  <c r="U3701" i="1"/>
  <c r="AB3701" i="1"/>
  <c r="AC3701" i="1" s="1"/>
  <c r="T3702" i="1"/>
  <c r="AB3702" i="1" l="1"/>
  <c r="AC3702" i="1" s="1"/>
  <c r="U3702" i="1"/>
  <c r="V3702" i="1"/>
  <c r="T3703" i="1"/>
  <c r="AB3703" i="1" l="1"/>
  <c r="AC3703" i="1" s="1"/>
  <c r="U3703" i="1"/>
  <c r="V3703" i="1"/>
  <c r="T3704" i="1"/>
  <c r="T3705" i="1" l="1"/>
  <c r="U3704" i="1"/>
  <c r="V3704" i="1"/>
  <c r="AB3704" i="1"/>
  <c r="AC3704" i="1" s="1"/>
  <c r="T3706" i="1" l="1"/>
  <c r="U3705" i="1"/>
  <c r="V3705" i="1"/>
  <c r="AB3705" i="1"/>
  <c r="AC3705" i="1" s="1"/>
  <c r="V3706" i="1" l="1"/>
  <c r="U3706" i="1"/>
  <c r="T3707" i="1"/>
  <c r="AB3706" i="1"/>
  <c r="AC3706" i="1" s="1"/>
  <c r="V3707" i="1" l="1"/>
  <c r="U3707" i="1"/>
  <c r="T3708" i="1"/>
  <c r="AB3707" i="1"/>
  <c r="AC3707" i="1" s="1"/>
  <c r="U3708" i="1" l="1"/>
  <c r="V3708" i="1"/>
  <c r="T3709" i="1"/>
  <c r="AB3708" i="1"/>
  <c r="AC3708" i="1" s="1"/>
  <c r="U3709" i="1" l="1"/>
  <c r="V3709" i="1"/>
  <c r="AB3709" i="1"/>
  <c r="AC3709" i="1" s="1"/>
  <c r="T3710" i="1"/>
  <c r="U3710" i="1" l="1"/>
  <c r="V3710" i="1"/>
  <c r="T3711" i="1"/>
  <c r="AB3710" i="1"/>
  <c r="AC3710" i="1" s="1"/>
  <c r="U3711" i="1" l="1"/>
  <c r="V3711" i="1"/>
  <c r="T3712" i="1"/>
  <c r="AB3711" i="1"/>
  <c r="AC3711" i="1" s="1"/>
  <c r="V3712" i="1" l="1"/>
  <c r="T3713" i="1"/>
  <c r="U3712" i="1"/>
  <c r="AB3712" i="1"/>
  <c r="AC3712" i="1" s="1"/>
  <c r="U3713" i="1" l="1"/>
  <c r="V3713" i="1"/>
  <c r="T3714" i="1"/>
  <c r="AB3713" i="1"/>
  <c r="AC3713" i="1" s="1"/>
  <c r="AB3714" i="1" l="1"/>
  <c r="AC3714" i="1" s="1"/>
  <c r="V3714" i="1"/>
  <c r="U3714" i="1"/>
  <c r="T3715" i="1"/>
  <c r="U3715" i="1" l="1"/>
  <c r="V3715" i="1"/>
  <c r="T3716" i="1"/>
  <c r="AB3715" i="1"/>
  <c r="AC3715" i="1" s="1"/>
  <c r="U3716" i="1" l="1"/>
  <c r="V3716" i="1"/>
  <c r="AB3716" i="1"/>
  <c r="AC3716" i="1" s="1"/>
  <c r="T3717" i="1"/>
  <c r="V3717" i="1" l="1"/>
  <c r="AB3717" i="1"/>
  <c r="AC3717" i="1" s="1"/>
  <c r="U3717" i="1"/>
  <c r="T3718" i="1"/>
  <c r="T3719" i="1" l="1"/>
  <c r="U3718" i="1"/>
  <c r="V3718" i="1"/>
  <c r="AB3718" i="1"/>
  <c r="AC3718" i="1" s="1"/>
  <c r="V3719" i="1" l="1"/>
  <c r="U3719" i="1"/>
  <c r="T3720" i="1"/>
  <c r="AB3719" i="1"/>
  <c r="AC3719" i="1" s="1"/>
  <c r="V3720" i="1" l="1"/>
  <c r="U3720" i="1"/>
  <c r="AB3720" i="1"/>
  <c r="AC3720" i="1" s="1"/>
  <c r="T3721" i="1"/>
  <c r="U3721" i="1" l="1"/>
  <c r="AB3721" i="1"/>
  <c r="AC3721" i="1" s="1"/>
  <c r="V3721" i="1"/>
  <c r="T3722" i="1"/>
  <c r="U3722" i="1" l="1"/>
  <c r="T3723" i="1"/>
  <c r="V3722" i="1"/>
  <c r="AB3722" i="1"/>
  <c r="AC3722" i="1" s="1"/>
  <c r="AB3723" i="1" l="1"/>
  <c r="AC3723" i="1" s="1"/>
  <c r="U3723" i="1"/>
  <c r="V3723" i="1"/>
  <c r="T3724" i="1"/>
  <c r="T3725" i="1" l="1"/>
  <c r="U3724" i="1"/>
  <c r="V3724" i="1"/>
  <c r="AB3724" i="1"/>
  <c r="AC3724" i="1" s="1"/>
  <c r="V3725" i="1" l="1"/>
  <c r="AB3725" i="1"/>
  <c r="AC3725" i="1" s="1"/>
  <c r="U3725" i="1"/>
  <c r="T3726" i="1"/>
  <c r="U3726" i="1" l="1"/>
  <c r="V3726" i="1"/>
  <c r="T3727" i="1"/>
  <c r="AB3726" i="1"/>
  <c r="AC3726" i="1" s="1"/>
  <c r="U3727" i="1" l="1"/>
  <c r="V3727" i="1"/>
  <c r="T3728" i="1"/>
  <c r="AB3727" i="1"/>
  <c r="AC3727" i="1" s="1"/>
  <c r="U3728" i="1" l="1"/>
  <c r="V3728" i="1"/>
  <c r="AB3728" i="1"/>
  <c r="AC3728" i="1" s="1"/>
  <c r="T3729" i="1"/>
  <c r="U3729" i="1" l="1"/>
  <c r="V3729" i="1"/>
  <c r="T3730" i="1"/>
  <c r="AB3729" i="1"/>
  <c r="AC3729" i="1" s="1"/>
  <c r="V3730" i="1" l="1"/>
  <c r="U3730" i="1"/>
  <c r="AB3730" i="1"/>
  <c r="AC3730" i="1" s="1"/>
  <c r="T3731" i="1"/>
  <c r="V3731" i="1" l="1"/>
  <c r="T3732" i="1"/>
  <c r="AB3731" i="1"/>
  <c r="AC3731" i="1" s="1"/>
  <c r="U3731" i="1"/>
  <c r="U3732" i="1" l="1"/>
  <c r="V3732" i="1"/>
  <c r="AB3732" i="1"/>
  <c r="AC3732" i="1" s="1"/>
  <c r="T3733" i="1"/>
  <c r="U3733" i="1" l="1"/>
  <c r="V3733" i="1"/>
  <c r="T3734" i="1"/>
  <c r="AB3733" i="1"/>
  <c r="AC3733" i="1" s="1"/>
  <c r="U3734" i="1" l="1"/>
  <c r="V3734" i="1"/>
  <c r="T3735" i="1"/>
  <c r="AB3734" i="1"/>
  <c r="AC3734" i="1" s="1"/>
  <c r="U3735" i="1" l="1"/>
  <c r="T3736" i="1"/>
  <c r="V3735" i="1"/>
  <c r="AB3735" i="1"/>
  <c r="AC3735" i="1" s="1"/>
  <c r="AB3736" i="1" l="1"/>
  <c r="AC3736" i="1" s="1"/>
  <c r="U3736" i="1"/>
  <c r="V3736" i="1"/>
  <c r="T3737" i="1"/>
  <c r="U3737" i="1" l="1"/>
  <c r="V3737" i="1"/>
  <c r="AB3737" i="1"/>
  <c r="AC3737" i="1" s="1"/>
  <c r="T3738" i="1"/>
  <c r="V3738" i="1" l="1"/>
  <c r="U3738" i="1"/>
  <c r="T3739" i="1"/>
  <c r="AB3738" i="1"/>
  <c r="AC3738" i="1" s="1"/>
  <c r="V3739" i="1" l="1"/>
  <c r="T3740" i="1"/>
  <c r="U3739" i="1"/>
  <c r="AB3739" i="1"/>
  <c r="AC3739" i="1" s="1"/>
  <c r="V3740" i="1" l="1"/>
  <c r="U3740" i="1"/>
  <c r="AB3740" i="1"/>
  <c r="AC3740" i="1" s="1"/>
  <c r="T3741" i="1"/>
  <c r="U3741" i="1" l="1"/>
  <c r="V3741" i="1"/>
  <c r="T3742" i="1"/>
  <c r="AB3741" i="1"/>
  <c r="AC3741" i="1" s="1"/>
  <c r="U3742" i="1" l="1"/>
  <c r="T3743" i="1"/>
  <c r="V3742" i="1"/>
  <c r="AB3742" i="1"/>
  <c r="AC3742" i="1" s="1"/>
  <c r="T3744" i="1" l="1"/>
  <c r="AB3743" i="1"/>
  <c r="AC3743" i="1" s="1"/>
  <c r="V3743" i="1"/>
  <c r="U3743" i="1"/>
  <c r="V3744" i="1" l="1"/>
  <c r="U3744" i="1"/>
  <c r="T3745" i="1"/>
  <c r="AB3744" i="1"/>
  <c r="AC3744" i="1" s="1"/>
  <c r="U3745" i="1" l="1"/>
  <c r="V3745" i="1"/>
  <c r="AB3745" i="1"/>
  <c r="AC3745" i="1" s="1"/>
  <c r="T3746" i="1"/>
  <c r="U3746" i="1" l="1"/>
  <c r="T3747" i="1"/>
  <c r="V3746" i="1"/>
  <c r="AB3746" i="1"/>
  <c r="AC3746" i="1" s="1"/>
  <c r="U3747" i="1" l="1"/>
  <c r="AB3747" i="1"/>
  <c r="AC3747" i="1" s="1"/>
  <c r="V3747" i="1"/>
  <c r="T3748" i="1"/>
  <c r="AB3748" i="1" l="1"/>
  <c r="AC3748" i="1" s="1"/>
  <c r="U3748" i="1"/>
  <c r="V3748" i="1"/>
  <c r="T3749" i="1"/>
  <c r="V3749" i="1" l="1"/>
  <c r="U3749" i="1"/>
  <c r="T3750" i="1"/>
  <c r="AB3749" i="1"/>
  <c r="AC3749" i="1" s="1"/>
  <c r="U3750" i="1" l="1"/>
  <c r="V3750" i="1"/>
  <c r="T3751" i="1"/>
  <c r="AB3750" i="1"/>
  <c r="AC3750" i="1" s="1"/>
  <c r="V3751" i="1" l="1"/>
  <c r="AB3751" i="1"/>
  <c r="AC3751" i="1" s="1"/>
  <c r="U3751" i="1"/>
  <c r="T3752" i="1"/>
  <c r="U3752" i="1" l="1"/>
  <c r="V3752" i="1"/>
  <c r="T3753" i="1"/>
  <c r="AB3752" i="1"/>
  <c r="AC3752" i="1" s="1"/>
  <c r="U3753" i="1" l="1"/>
  <c r="T3754" i="1"/>
  <c r="V3753" i="1"/>
  <c r="AB3753" i="1"/>
  <c r="AC3753" i="1" s="1"/>
  <c r="AB3754" i="1" l="1"/>
  <c r="AC3754" i="1" s="1"/>
  <c r="V3754" i="1"/>
  <c r="U3754" i="1"/>
  <c r="T3755" i="1"/>
  <c r="U3755" i="1" l="1"/>
  <c r="V3755" i="1"/>
  <c r="T3756" i="1"/>
  <c r="AB3755" i="1"/>
  <c r="AC3755" i="1" s="1"/>
  <c r="U3756" i="1" l="1"/>
  <c r="V3756" i="1"/>
  <c r="T3757" i="1"/>
  <c r="AB3756" i="1"/>
  <c r="AC3756" i="1" s="1"/>
  <c r="U3757" i="1" l="1"/>
  <c r="V3757" i="1"/>
  <c r="T3758" i="1"/>
  <c r="AB3757" i="1"/>
  <c r="AC3757" i="1" s="1"/>
  <c r="V3758" i="1" l="1"/>
  <c r="U3758" i="1"/>
  <c r="T3759" i="1"/>
  <c r="AB3758" i="1"/>
  <c r="AC3758" i="1" s="1"/>
  <c r="U3759" i="1" l="1"/>
  <c r="V3759" i="1"/>
  <c r="T3760" i="1"/>
  <c r="AB3759" i="1"/>
  <c r="AC3759" i="1" s="1"/>
  <c r="V3760" i="1" l="1"/>
  <c r="T3761" i="1"/>
  <c r="AB3760" i="1"/>
  <c r="AC3760" i="1" s="1"/>
  <c r="U3760" i="1"/>
  <c r="U3761" i="1" l="1"/>
  <c r="V3761" i="1"/>
  <c r="T3762" i="1"/>
  <c r="AB3761" i="1"/>
  <c r="AC3761" i="1" s="1"/>
  <c r="V3762" i="1" l="1"/>
  <c r="U3762" i="1"/>
  <c r="T3763" i="1"/>
  <c r="AB3762" i="1"/>
  <c r="AC3762" i="1" s="1"/>
  <c r="U3763" i="1" l="1"/>
  <c r="V3763" i="1"/>
  <c r="AB3763" i="1"/>
  <c r="AC3763" i="1" s="1"/>
  <c r="T3764" i="1"/>
  <c r="U3764" i="1" l="1"/>
  <c r="V3764" i="1"/>
  <c r="T3765" i="1"/>
  <c r="AB3764" i="1"/>
  <c r="AC3764" i="1" s="1"/>
  <c r="U3765" i="1" l="1"/>
  <c r="V3765" i="1"/>
  <c r="AB3765" i="1"/>
  <c r="AC3765" i="1" s="1"/>
  <c r="T3766" i="1"/>
  <c r="U3766" i="1" l="1"/>
  <c r="T3767" i="1"/>
  <c r="AB3766" i="1"/>
  <c r="AC3766" i="1" s="1"/>
  <c r="V3766" i="1"/>
  <c r="U3767" i="1" l="1"/>
  <c r="V3767" i="1"/>
  <c r="T3768" i="1"/>
  <c r="AB3767" i="1"/>
  <c r="AC3767" i="1" s="1"/>
  <c r="V3768" i="1" l="1"/>
  <c r="U3768" i="1"/>
  <c r="T3769" i="1"/>
  <c r="AB3768" i="1"/>
  <c r="AC3768" i="1" s="1"/>
  <c r="U3769" i="1" l="1"/>
  <c r="V3769" i="1"/>
  <c r="AB3769" i="1"/>
  <c r="AC3769" i="1" s="1"/>
  <c r="T3770" i="1"/>
  <c r="V3770" i="1" l="1"/>
  <c r="U3770" i="1"/>
  <c r="AB3770" i="1"/>
  <c r="AC3770" i="1" s="1"/>
  <c r="T3771" i="1"/>
  <c r="U3771" i="1" l="1"/>
  <c r="AB3771" i="1"/>
  <c r="AC3771" i="1" s="1"/>
  <c r="T3772" i="1"/>
  <c r="V3771" i="1"/>
  <c r="V3772" i="1" l="1"/>
  <c r="U3772" i="1"/>
  <c r="AB3772" i="1"/>
  <c r="AC3772" i="1" s="1"/>
  <c r="T3773" i="1"/>
  <c r="T3774" i="1" l="1"/>
  <c r="U3773" i="1"/>
  <c r="V3773" i="1"/>
  <c r="AB3773" i="1"/>
  <c r="AC3773" i="1" s="1"/>
  <c r="U3774" i="1" l="1"/>
  <c r="V3774" i="1"/>
  <c r="T3775" i="1"/>
  <c r="AB3774" i="1"/>
  <c r="AC3774" i="1" s="1"/>
  <c r="U3775" i="1" l="1"/>
  <c r="V3775" i="1"/>
  <c r="T3776" i="1"/>
  <c r="AB3775" i="1"/>
  <c r="AC3775" i="1" s="1"/>
  <c r="U3776" i="1" l="1"/>
  <c r="V3776" i="1"/>
  <c r="T3777" i="1"/>
  <c r="AB3776" i="1"/>
  <c r="AC3776" i="1" s="1"/>
  <c r="V3777" i="1" l="1"/>
  <c r="U3777" i="1"/>
  <c r="AB3777" i="1"/>
  <c r="AC3777" i="1" s="1"/>
  <c r="T3778" i="1"/>
  <c r="V3778" i="1" l="1"/>
  <c r="AB3778" i="1"/>
  <c r="AC3778" i="1" s="1"/>
  <c r="T3779" i="1"/>
  <c r="U3778" i="1"/>
  <c r="U3779" i="1" l="1"/>
  <c r="V3779" i="1"/>
  <c r="AB3779" i="1"/>
  <c r="AC3779" i="1" s="1"/>
  <c r="T3780" i="1"/>
  <c r="U3780" i="1" l="1"/>
  <c r="T3781" i="1"/>
  <c r="AB3780" i="1"/>
  <c r="AC3780" i="1" s="1"/>
  <c r="V3780" i="1"/>
  <c r="T3782" i="1" l="1"/>
  <c r="U3781" i="1"/>
  <c r="V3781" i="1"/>
  <c r="AB3781" i="1"/>
  <c r="AC3781" i="1" s="1"/>
  <c r="V3782" i="1" l="1"/>
  <c r="T3783" i="1"/>
  <c r="AB3782" i="1"/>
  <c r="AC3782" i="1" s="1"/>
  <c r="U3782" i="1"/>
  <c r="U3783" i="1" l="1"/>
  <c r="V3783" i="1"/>
  <c r="T3784" i="1"/>
  <c r="AB3783" i="1"/>
  <c r="AC3783" i="1" s="1"/>
  <c r="U3784" i="1" l="1"/>
  <c r="V3784" i="1"/>
  <c r="T3785" i="1"/>
  <c r="AB3784" i="1"/>
  <c r="AC3784" i="1" s="1"/>
  <c r="V3785" i="1" l="1"/>
  <c r="T3786" i="1"/>
  <c r="U3785" i="1"/>
  <c r="AB3785" i="1"/>
  <c r="AC3785" i="1" s="1"/>
  <c r="U3786" i="1" l="1"/>
  <c r="V3786" i="1"/>
  <c r="AB3786" i="1"/>
  <c r="AC3786" i="1" s="1"/>
  <c r="T3787" i="1"/>
  <c r="U3787" i="1" l="1"/>
  <c r="T3788" i="1"/>
  <c r="V3787" i="1"/>
  <c r="AB3787" i="1"/>
  <c r="AC3787" i="1" s="1"/>
  <c r="T3789" i="1" l="1"/>
  <c r="AB3788" i="1"/>
  <c r="AC3788" i="1" s="1"/>
  <c r="U3788" i="1"/>
  <c r="V3788" i="1"/>
  <c r="U3789" i="1" l="1"/>
  <c r="AB3789" i="1"/>
  <c r="AC3789" i="1" s="1"/>
  <c r="V3789" i="1"/>
  <c r="T3790" i="1"/>
  <c r="U3790" i="1" l="1"/>
  <c r="V3790" i="1"/>
  <c r="AB3790" i="1"/>
  <c r="AC3790" i="1" s="1"/>
  <c r="T3791" i="1"/>
  <c r="U3791" i="1" l="1"/>
  <c r="V3791" i="1"/>
  <c r="T3792" i="1"/>
  <c r="AB3791" i="1"/>
  <c r="AC3791" i="1" s="1"/>
  <c r="AB3792" i="1" l="1"/>
  <c r="AC3792" i="1" s="1"/>
  <c r="U3792" i="1"/>
  <c r="V3792" i="1"/>
  <c r="T3793" i="1"/>
  <c r="U3793" i="1" l="1"/>
  <c r="V3793" i="1"/>
  <c r="T3794" i="1"/>
  <c r="AB3793" i="1"/>
  <c r="AC3793" i="1" s="1"/>
  <c r="T3795" i="1" l="1"/>
  <c r="V3794" i="1"/>
  <c r="AB3794" i="1"/>
  <c r="AC3794" i="1" s="1"/>
  <c r="U3794" i="1"/>
  <c r="U3795" i="1" l="1"/>
  <c r="T3796" i="1"/>
  <c r="AB3795" i="1"/>
  <c r="AC3795" i="1" s="1"/>
  <c r="V3795" i="1"/>
  <c r="T3797" i="1" l="1"/>
  <c r="U3796" i="1"/>
  <c r="V3796" i="1"/>
  <c r="AB3796" i="1"/>
  <c r="AC3796" i="1" s="1"/>
  <c r="V3797" i="1" l="1"/>
  <c r="U3797" i="1"/>
  <c r="AB3797" i="1"/>
  <c r="AC3797" i="1" s="1"/>
  <c r="T3798" i="1"/>
  <c r="U3798" i="1" l="1"/>
  <c r="V3798" i="1"/>
  <c r="AB3798" i="1"/>
  <c r="AC3798" i="1" s="1"/>
  <c r="T3799" i="1"/>
  <c r="U3799" i="1" l="1"/>
  <c r="V3799" i="1"/>
  <c r="T3800" i="1"/>
  <c r="AB3799" i="1"/>
  <c r="AC3799" i="1" s="1"/>
  <c r="V3800" i="1" l="1"/>
  <c r="T3801" i="1"/>
  <c r="AB3800" i="1"/>
  <c r="AC3800" i="1" s="1"/>
  <c r="U3800" i="1"/>
  <c r="V3801" i="1" l="1"/>
  <c r="U3801" i="1"/>
  <c r="AB3801" i="1"/>
  <c r="AC3801" i="1" s="1"/>
  <c r="T3802" i="1"/>
  <c r="U3802" i="1" l="1"/>
  <c r="T3803" i="1"/>
  <c r="V3802" i="1"/>
  <c r="AB3802" i="1"/>
  <c r="AC3802" i="1" s="1"/>
  <c r="U3803" i="1" l="1"/>
  <c r="V3803" i="1"/>
  <c r="AB3803" i="1"/>
  <c r="AC3803" i="1" s="1"/>
  <c r="T3804" i="1"/>
  <c r="U3804" i="1" l="1"/>
  <c r="V3804" i="1"/>
  <c r="AB3804" i="1"/>
  <c r="AC3804" i="1" s="1"/>
  <c r="T3805" i="1"/>
  <c r="U3805" i="1" l="1"/>
  <c r="T3806" i="1"/>
  <c r="V3805" i="1"/>
  <c r="AB3805" i="1"/>
  <c r="AC3805" i="1" s="1"/>
  <c r="V3806" i="1" l="1"/>
  <c r="AB3806" i="1"/>
  <c r="AC3806" i="1" s="1"/>
  <c r="U3806" i="1"/>
  <c r="T3807" i="1"/>
  <c r="U3807" i="1" l="1"/>
  <c r="V3807" i="1"/>
  <c r="AB3807" i="1"/>
  <c r="AC3807" i="1" s="1"/>
  <c r="T3808" i="1"/>
  <c r="U3808" i="1" l="1"/>
  <c r="V3808" i="1"/>
  <c r="AB3808" i="1"/>
  <c r="AC3808" i="1" s="1"/>
  <c r="T3809" i="1"/>
  <c r="V3809" i="1" l="1"/>
  <c r="AB3809" i="1"/>
  <c r="AC3809" i="1" s="1"/>
  <c r="T3810" i="1"/>
  <c r="U3809" i="1"/>
  <c r="U3810" i="1" l="1"/>
  <c r="V3810" i="1"/>
  <c r="T3811" i="1"/>
  <c r="AB3810" i="1"/>
  <c r="AC3810" i="1" s="1"/>
  <c r="V3811" i="1" l="1"/>
  <c r="U3811" i="1"/>
  <c r="T3812" i="1"/>
  <c r="AB3811" i="1"/>
  <c r="AC3811" i="1" s="1"/>
  <c r="U3812" i="1" l="1"/>
  <c r="AB3812" i="1"/>
  <c r="AC3812" i="1" s="1"/>
  <c r="V3812" i="1"/>
  <c r="T3813" i="1"/>
  <c r="U3813" i="1" l="1"/>
  <c r="T3814" i="1"/>
  <c r="AB3813" i="1"/>
  <c r="AC3813" i="1" s="1"/>
  <c r="V3813" i="1"/>
  <c r="T3815" i="1" l="1"/>
  <c r="U3814" i="1"/>
  <c r="V3814" i="1"/>
  <c r="AB3814" i="1"/>
  <c r="AC3814" i="1" s="1"/>
  <c r="U3815" i="1" l="1"/>
  <c r="AB3815" i="1"/>
  <c r="AC3815" i="1" s="1"/>
  <c r="T3816" i="1"/>
  <c r="V3815" i="1"/>
  <c r="V3816" i="1" l="1"/>
  <c r="T3817" i="1"/>
  <c r="U3816" i="1"/>
  <c r="AB3816" i="1"/>
  <c r="AC3816" i="1" s="1"/>
  <c r="U3817" i="1" l="1"/>
  <c r="V3817" i="1"/>
  <c r="T3818" i="1"/>
  <c r="AB3817" i="1"/>
  <c r="AC3817" i="1" s="1"/>
  <c r="V3818" i="1" l="1"/>
  <c r="U3818" i="1"/>
  <c r="AB3818" i="1"/>
  <c r="AC3818" i="1" s="1"/>
  <c r="T3819" i="1"/>
  <c r="V3819" i="1" l="1"/>
  <c r="U3819" i="1"/>
  <c r="T3820" i="1"/>
  <c r="AB3819" i="1"/>
  <c r="AC3819" i="1" s="1"/>
  <c r="U3820" i="1" l="1"/>
  <c r="T3821" i="1"/>
  <c r="V3820" i="1"/>
  <c r="AB3820" i="1"/>
  <c r="AC3820" i="1" s="1"/>
  <c r="T3822" i="1" l="1"/>
  <c r="U3821" i="1"/>
  <c r="V3821" i="1"/>
  <c r="AB3821" i="1"/>
  <c r="AC3821" i="1" s="1"/>
  <c r="V3822" i="1" l="1"/>
  <c r="U3822" i="1"/>
  <c r="T3823" i="1"/>
  <c r="AB3822" i="1"/>
  <c r="AC3822" i="1" s="1"/>
  <c r="V3823" i="1" l="1"/>
  <c r="T3824" i="1"/>
  <c r="AB3823" i="1"/>
  <c r="AC3823" i="1" s="1"/>
  <c r="U3823" i="1"/>
  <c r="T3825" i="1" l="1"/>
  <c r="U3824" i="1"/>
  <c r="V3824" i="1"/>
  <c r="AB3824" i="1"/>
  <c r="AC3824" i="1" s="1"/>
  <c r="U3825" i="1" l="1"/>
  <c r="V3825" i="1"/>
  <c r="AB3825" i="1"/>
  <c r="AC3825" i="1" s="1"/>
  <c r="T3826" i="1"/>
  <c r="V3826" i="1" l="1"/>
  <c r="U3826" i="1"/>
  <c r="T3827" i="1"/>
  <c r="AB3826" i="1"/>
  <c r="AC3826" i="1" s="1"/>
  <c r="V3827" i="1" l="1"/>
  <c r="U3827" i="1"/>
  <c r="T3828" i="1"/>
  <c r="AB3827" i="1"/>
  <c r="AC3827" i="1" s="1"/>
  <c r="U3828" i="1" l="1"/>
  <c r="V3828" i="1"/>
  <c r="T3829" i="1"/>
  <c r="AB3828" i="1"/>
  <c r="AC3828" i="1" s="1"/>
  <c r="T3830" i="1" l="1"/>
  <c r="V3829" i="1"/>
  <c r="U3829" i="1"/>
  <c r="AB3829" i="1"/>
  <c r="AC3829" i="1" s="1"/>
  <c r="U3830" i="1" l="1"/>
  <c r="V3830" i="1"/>
  <c r="AB3830" i="1"/>
  <c r="AC3830" i="1" s="1"/>
  <c r="T3831" i="1"/>
  <c r="U3831" i="1" l="1"/>
  <c r="V3831" i="1"/>
  <c r="AB3831" i="1"/>
  <c r="AC3831" i="1" s="1"/>
  <c r="T3832" i="1"/>
  <c r="U3832" i="1" l="1"/>
  <c r="V3832" i="1"/>
  <c r="T3833" i="1"/>
  <c r="AB3832" i="1"/>
  <c r="AC3832" i="1" s="1"/>
  <c r="V3833" i="1" l="1"/>
  <c r="U3833" i="1"/>
  <c r="AB3833" i="1"/>
  <c r="AC3833" i="1" s="1"/>
  <c r="T3834" i="1"/>
  <c r="V3834" i="1" l="1"/>
  <c r="U3834" i="1"/>
  <c r="AB3834" i="1"/>
  <c r="AC3834" i="1" s="1"/>
  <c r="T3835" i="1"/>
  <c r="U3835" i="1" l="1"/>
  <c r="T3836" i="1"/>
  <c r="V3835" i="1"/>
  <c r="AB3835" i="1"/>
  <c r="AC3835" i="1" s="1"/>
  <c r="V3836" i="1" l="1"/>
  <c r="T3837" i="1"/>
  <c r="U3836" i="1"/>
  <c r="AB3836" i="1"/>
  <c r="AC3836" i="1" s="1"/>
  <c r="AB3837" i="1" l="1"/>
  <c r="AC3837" i="1" s="1"/>
  <c r="V3837" i="1"/>
  <c r="U3837" i="1"/>
  <c r="T3838" i="1"/>
  <c r="V3838" i="1" l="1"/>
  <c r="U3838" i="1"/>
  <c r="T3839" i="1"/>
  <c r="AB3838" i="1"/>
  <c r="AC3838" i="1" s="1"/>
  <c r="T3840" i="1" l="1"/>
  <c r="AB3839" i="1"/>
  <c r="AC3839" i="1" s="1"/>
  <c r="V3839" i="1"/>
  <c r="U3839" i="1"/>
  <c r="U3840" i="1" l="1"/>
  <c r="AB3840" i="1"/>
  <c r="AC3840" i="1" s="1"/>
  <c r="V3840" i="1"/>
  <c r="T3841" i="1"/>
  <c r="V3841" i="1" l="1"/>
  <c r="T3842" i="1"/>
  <c r="U3841" i="1"/>
  <c r="AB3841" i="1"/>
  <c r="AC3841" i="1" s="1"/>
  <c r="V3842" i="1" l="1"/>
  <c r="U3842" i="1"/>
  <c r="T3843" i="1"/>
  <c r="AB3842" i="1"/>
  <c r="AC3842" i="1" s="1"/>
  <c r="U3843" i="1" l="1"/>
  <c r="V3843" i="1"/>
  <c r="AB3843" i="1"/>
  <c r="AC3843" i="1" s="1"/>
  <c r="T3844" i="1"/>
  <c r="T3845" i="1" l="1"/>
  <c r="U3844" i="1"/>
  <c r="V3844" i="1"/>
  <c r="AB3844" i="1"/>
  <c r="AC3844" i="1" s="1"/>
  <c r="AB3845" i="1" l="1"/>
  <c r="AC3845" i="1" s="1"/>
  <c r="U3845" i="1"/>
  <c r="V3845" i="1"/>
  <c r="T3846" i="1"/>
  <c r="V3846" i="1" l="1"/>
  <c r="T3847" i="1"/>
  <c r="U3846" i="1"/>
  <c r="AB3846" i="1"/>
  <c r="AC3846" i="1" s="1"/>
  <c r="U3847" i="1" l="1"/>
  <c r="V3847" i="1"/>
  <c r="AB3847" i="1"/>
  <c r="AC3847" i="1" s="1"/>
  <c r="T3848" i="1"/>
  <c r="AB3848" i="1" l="1"/>
  <c r="AC3848" i="1" s="1"/>
  <c r="U3848" i="1"/>
  <c r="V3848" i="1"/>
  <c r="T3849" i="1"/>
  <c r="U3849" i="1" l="1"/>
  <c r="V3849" i="1"/>
  <c r="T3850" i="1"/>
  <c r="AB3849" i="1"/>
  <c r="AC3849" i="1" s="1"/>
  <c r="U3850" i="1" l="1"/>
  <c r="AB3850" i="1"/>
  <c r="AC3850" i="1" s="1"/>
  <c r="V3850" i="1"/>
  <c r="T3851" i="1"/>
  <c r="V3851" i="1" l="1"/>
  <c r="AB3851" i="1"/>
  <c r="AC3851" i="1" s="1"/>
  <c r="T3852" i="1"/>
  <c r="U3851" i="1"/>
  <c r="U3852" i="1" l="1"/>
  <c r="V3852" i="1"/>
  <c r="AB3852" i="1"/>
  <c r="AC3852" i="1" s="1"/>
  <c r="T3853" i="1"/>
  <c r="V3853" i="1" l="1"/>
  <c r="U3853" i="1"/>
  <c r="T3854" i="1"/>
  <c r="AB3853" i="1"/>
  <c r="AC3853" i="1" s="1"/>
  <c r="V3854" i="1" l="1"/>
  <c r="AB3854" i="1"/>
  <c r="AC3854" i="1" s="1"/>
  <c r="U3854" i="1"/>
  <c r="T3855" i="1"/>
  <c r="T3856" i="1" l="1"/>
  <c r="U3855" i="1"/>
  <c r="V3855" i="1"/>
  <c r="AB3855" i="1"/>
  <c r="AC3855" i="1" s="1"/>
  <c r="U3856" i="1" l="1"/>
  <c r="AB3856" i="1"/>
  <c r="AC3856" i="1" s="1"/>
  <c r="T3857" i="1"/>
  <c r="V3856" i="1"/>
  <c r="V3857" i="1" l="1"/>
  <c r="T3858" i="1"/>
  <c r="AB3857" i="1"/>
  <c r="AC3857" i="1" s="1"/>
  <c r="U3857" i="1"/>
  <c r="U3858" i="1" l="1"/>
  <c r="V3858" i="1"/>
  <c r="AB3858" i="1"/>
  <c r="AC3858" i="1" s="1"/>
  <c r="T3859" i="1"/>
  <c r="T3860" i="1" l="1"/>
  <c r="U3859" i="1"/>
  <c r="V3859" i="1"/>
  <c r="AB3859" i="1"/>
  <c r="AC3859" i="1" s="1"/>
  <c r="AB3860" i="1" l="1"/>
  <c r="AC3860" i="1" s="1"/>
  <c r="U3860" i="1"/>
  <c r="T3861" i="1"/>
  <c r="V3860" i="1"/>
  <c r="V3861" i="1" l="1"/>
  <c r="U3861" i="1"/>
  <c r="AB3861" i="1"/>
  <c r="AC3861" i="1" s="1"/>
  <c r="T3862" i="1"/>
  <c r="U3862" i="1" l="1"/>
  <c r="V3862" i="1"/>
  <c r="T3863" i="1"/>
  <c r="AB3862" i="1"/>
  <c r="AC3862" i="1" s="1"/>
  <c r="U3863" i="1" l="1"/>
  <c r="V3863" i="1"/>
  <c r="T3864" i="1"/>
  <c r="AB3863" i="1"/>
  <c r="AC3863" i="1" s="1"/>
  <c r="V3864" i="1" l="1"/>
  <c r="U3864" i="1"/>
  <c r="AB3864" i="1"/>
  <c r="AC3864" i="1" s="1"/>
  <c r="T3865" i="1"/>
  <c r="U3865" i="1" l="1"/>
  <c r="V3865" i="1"/>
  <c r="T3866" i="1"/>
  <c r="AB3865" i="1"/>
  <c r="AC3865" i="1" s="1"/>
  <c r="V3866" i="1" l="1"/>
  <c r="U3866" i="1"/>
  <c r="T3867" i="1"/>
  <c r="AB3866" i="1"/>
  <c r="AC3866" i="1" s="1"/>
  <c r="V3867" i="1" l="1"/>
  <c r="U3867" i="1"/>
  <c r="T3868" i="1"/>
  <c r="AB3867" i="1"/>
  <c r="AC3867" i="1" s="1"/>
  <c r="V3868" i="1" l="1"/>
  <c r="U3868" i="1"/>
  <c r="AB3868" i="1"/>
  <c r="AC3868" i="1" s="1"/>
  <c r="T3869" i="1"/>
  <c r="U3869" i="1" l="1"/>
  <c r="V3869" i="1"/>
  <c r="T3870" i="1"/>
  <c r="AB3869" i="1"/>
  <c r="AC3869" i="1" s="1"/>
  <c r="U3870" i="1" l="1"/>
  <c r="V3870" i="1"/>
  <c r="AB3870" i="1"/>
  <c r="AC3870" i="1" s="1"/>
  <c r="T3871" i="1"/>
  <c r="V3871" i="1" l="1"/>
  <c r="U3871" i="1"/>
  <c r="T3872" i="1"/>
  <c r="AB3871" i="1"/>
  <c r="AC3871" i="1" s="1"/>
  <c r="U3872" i="1" l="1"/>
  <c r="V3872" i="1"/>
  <c r="T3873" i="1"/>
  <c r="AB3872" i="1"/>
  <c r="AC3872" i="1" s="1"/>
  <c r="T3874" i="1" l="1"/>
  <c r="U3873" i="1"/>
  <c r="V3873" i="1"/>
  <c r="AB3873" i="1"/>
  <c r="AC3873" i="1" s="1"/>
  <c r="V3874" i="1" l="1"/>
  <c r="U3874" i="1"/>
  <c r="T3875" i="1"/>
  <c r="AB3874" i="1"/>
  <c r="AC3874" i="1" s="1"/>
  <c r="U3875" i="1" l="1"/>
  <c r="V3875" i="1"/>
  <c r="T3876" i="1"/>
  <c r="AB3875" i="1"/>
  <c r="AC3875" i="1" s="1"/>
  <c r="V3876" i="1" l="1"/>
  <c r="U3876" i="1"/>
  <c r="T3877" i="1"/>
  <c r="AB3876" i="1"/>
  <c r="AC3876" i="1" s="1"/>
  <c r="AB3877" i="1" l="1"/>
  <c r="AC3877" i="1" s="1"/>
  <c r="U3877" i="1"/>
  <c r="V3877" i="1"/>
  <c r="T3878" i="1"/>
  <c r="V3878" i="1" l="1"/>
  <c r="U3878" i="1"/>
  <c r="AB3878" i="1"/>
  <c r="AC3878" i="1" s="1"/>
  <c r="T3879" i="1"/>
  <c r="U3879" i="1" l="1"/>
  <c r="T3880" i="1"/>
  <c r="V3879" i="1"/>
  <c r="AB3879" i="1"/>
  <c r="AC3879" i="1" s="1"/>
  <c r="AB3880" i="1" l="1"/>
  <c r="AC3880" i="1" s="1"/>
  <c r="V3880" i="1"/>
  <c r="U3880" i="1"/>
  <c r="T3881" i="1"/>
  <c r="U3881" i="1" l="1"/>
  <c r="V3881" i="1"/>
  <c r="AB3881" i="1"/>
  <c r="AC3881" i="1" s="1"/>
  <c r="T3882" i="1"/>
  <c r="V3882" i="1" l="1"/>
  <c r="U3882" i="1"/>
  <c r="T3883" i="1"/>
  <c r="AB3882" i="1"/>
  <c r="AC3882" i="1" s="1"/>
  <c r="V3883" i="1" l="1"/>
  <c r="U3883" i="1"/>
  <c r="AB3883" i="1"/>
  <c r="AC3883" i="1" s="1"/>
  <c r="T3884" i="1"/>
  <c r="U3884" i="1" l="1"/>
  <c r="V3884" i="1"/>
  <c r="T3885" i="1"/>
  <c r="AB3884" i="1"/>
  <c r="AC3884" i="1" s="1"/>
  <c r="U3885" i="1" l="1"/>
  <c r="V3885" i="1"/>
  <c r="AB3885" i="1"/>
  <c r="AC3885" i="1" s="1"/>
  <c r="T3886" i="1"/>
  <c r="U3886" i="1" l="1"/>
  <c r="V3886" i="1"/>
  <c r="T3887" i="1"/>
  <c r="AB3886" i="1"/>
  <c r="AC3886" i="1" s="1"/>
  <c r="U3887" i="1" l="1"/>
  <c r="V3887" i="1"/>
  <c r="AB3887" i="1"/>
  <c r="AC3887" i="1" s="1"/>
  <c r="T3888" i="1"/>
  <c r="V3888" i="1" l="1"/>
  <c r="U3888" i="1"/>
  <c r="AB3888" i="1"/>
  <c r="AC3888" i="1" s="1"/>
  <c r="T3889" i="1"/>
  <c r="U3889" i="1" l="1"/>
  <c r="V3889" i="1"/>
  <c r="T3890" i="1"/>
  <c r="AB3889" i="1"/>
  <c r="AC3889" i="1" s="1"/>
  <c r="V3890" i="1" l="1"/>
  <c r="U3890" i="1"/>
  <c r="T3891" i="1"/>
  <c r="AB3890" i="1"/>
  <c r="AC3890" i="1" s="1"/>
  <c r="AB3891" i="1" l="1"/>
  <c r="AC3891" i="1" s="1"/>
  <c r="V3891" i="1"/>
  <c r="U3891" i="1"/>
  <c r="T3892" i="1"/>
  <c r="V3892" i="1" l="1"/>
  <c r="T3893" i="1"/>
  <c r="U3892" i="1"/>
  <c r="AB3892" i="1"/>
  <c r="AC3892" i="1" s="1"/>
  <c r="U3893" i="1" l="1"/>
  <c r="V3893" i="1"/>
  <c r="T3894" i="1"/>
  <c r="AB3893" i="1"/>
  <c r="AC3893" i="1" s="1"/>
  <c r="U3894" i="1" l="1"/>
  <c r="V3894" i="1"/>
  <c r="T3895" i="1"/>
  <c r="AB3894" i="1"/>
  <c r="AC3894" i="1" s="1"/>
  <c r="U3895" i="1" l="1"/>
  <c r="V3895" i="1"/>
  <c r="AB3895" i="1"/>
  <c r="AC3895" i="1" s="1"/>
  <c r="T3896" i="1"/>
  <c r="AB3896" i="1" l="1"/>
  <c r="AC3896" i="1" s="1"/>
  <c r="U3896" i="1"/>
  <c r="V3896" i="1"/>
  <c r="T3897" i="1"/>
  <c r="U3897" i="1" l="1"/>
  <c r="T3898" i="1"/>
  <c r="AB3897" i="1"/>
  <c r="AC3897" i="1" s="1"/>
  <c r="V3897" i="1"/>
  <c r="U3898" i="1" l="1"/>
  <c r="AB3898" i="1"/>
  <c r="AC3898" i="1" s="1"/>
  <c r="T3899" i="1"/>
  <c r="V3898" i="1"/>
  <c r="U3899" i="1" l="1"/>
  <c r="V3899" i="1"/>
  <c r="T3900" i="1"/>
  <c r="AB3899" i="1"/>
  <c r="AC3899" i="1" s="1"/>
  <c r="U3900" i="1" l="1"/>
  <c r="T3901" i="1"/>
  <c r="V3900" i="1"/>
  <c r="AB3900" i="1"/>
  <c r="AC3900" i="1" s="1"/>
  <c r="U3901" i="1" l="1"/>
  <c r="V3901" i="1"/>
  <c r="T3902" i="1"/>
  <c r="AB3901" i="1"/>
  <c r="AC3901" i="1" s="1"/>
  <c r="V3902" i="1" l="1"/>
  <c r="U3902" i="1"/>
  <c r="AB3902" i="1"/>
  <c r="AC3902" i="1" s="1"/>
  <c r="T3903" i="1"/>
  <c r="U3903" i="1" l="1"/>
  <c r="V3903" i="1"/>
  <c r="T3904" i="1"/>
  <c r="AB3903" i="1"/>
  <c r="AC3903" i="1" s="1"/>
  <c r="U3904" i="1" l="1"/>
  <c r="V3904" i="1"/>
  <c r="AB3904" i="1"/>
  <c r="AC3904" i="1" s="1"/>
  <c r="T3905" i="1"/>
  <c r="V3905" i="1" l="1"/>
  <c r="AB3905" i="1"/>
  <c r="AC3905" i="1" s="1"/>
  <c r="T3906" i="1"/>
  <c r="U3905" i="1"/>
  <c r="V3906" i="1" l="1"/>
  <c r="U3906" i="1"/>
  <c r="T3907" i="1"/>
  <c r="AB3906" i="1"/>
  <c r="AC3906" i="1" s="1"/>
  <c r="T3908" i="1" l="1"/>
  <c r="U3907" i="1"/>
  <c r="AB3907" i="1"/>
  <c r="AC3907" i="1" s="1"/>
  <c r="V3907" i="1"/>
  <c r="V3908" i="1" l="1"/>
  <c r="U3908" i="1"/>
  <c r="AB3908" i="1"/>
  <c r="AC3908" i="1" s="1"/>
  <c r="T3909" i="1"/>
  <c r="T3910" i="1" l="1"/>
  <c r="U3909" i="1"/>
  <c r="V3909" i="1"/>
  <c r="AB3909" i="1"/>
  <c r="AC3909" i="1" s="1"/>
  <c r="U3910" i="1" l="1"/>
  <c r="AB3910" i="1"/>
  <c r="AC3910" i="1" s="1"/>
  <c r="V3910" i="1"/>
  <c r="T3911" i="1"/>
  <c r="U3911" i="1" l="1"/>
  <c r="V3911" i="1"/>
  <c r="T3912" i="1"/>
  <c r="AB3911" i="1"/>
  <c r="AC3911" i="1" s="1"/>
  <c r="V3912" i="1" l="1"/>
  <c r="T3913" i="1"/>
  <c r="U3912" i="1"/>
  <c r="AB3912" i="1"/>
  <c r="AC3912" i="1" s="1"/>
  <c r="V3913" i="1" l="1"/>
  <c r="U3913" i="1"/>
  <c r="T3914" i="1"/>
  <c r="AB3913" i="1"/>
  <c r="AC3913" i="1" s="1"/>
  <c r="U3914" i="1" l="1"/>
  <c r="T3915" i="1"/>
  <c r="AB3914" i="1"/>
  <c r="AC3914" i="1" s="1"/>
  <c r="V3914" i="1"/>
  <c r="T3916" i="1" l="1"/>
  <c r="V3915" i="1"/>
  <c r="U3915" i="1"/>
  <c r="AB3915" i="1"/>
  <c r="AC3915" i="1" s="1"/>
  <c r="U3916" i="1" l="1"/>
  <c r="T3917" i="1"/>
  <c r="AB3916" i="1"/>
  <c r="AC3916" i="1" s="1"/>
  <c r="V3916" i="1"/>
  <c r="U3917" i="1" l="1"/>
  <c r="V3917" i="1"/>
  <c r="T3918" i="1"/>
  <c r="AB3917" i="1"/>
  <c r="AC3917" i="1" s="1"/>
  <c r="V3918" i="1" l="1"/>
  <c r="U3918" i="1"/>
  <c r="AB3918" i="1"/>
  <c r="AC3918" i="1" s="1"/>
  <c r="T3919" i="1"/>
  <c r="V3919" i="1" l="1"/>
  <c r="T3920" i="1"/>
  <c r="U3919" i="1"/>
  <c r="AB3919" i="1"/>
  <c r="AC3919" i="1" s="1"/>
  <c r="U3920" i="1" l="1"/>
  <c r="V3920" i="1"/>
  <c r="AB3920" i="1"/>
  <c r="AC3920" i="1" s="1"/>
  <c r="T3921" i="1"/>
  <c r="U3921" i="1" l="1"/>
  <c r="V3921" i="1"/>
  <c r="T3922" i="1"/>
  <c r="AB3921" i="1"/>
  <c r="AC3921" i="1" s="1"/>
  <c r="T3923" i="1" l="1"/>
  <c r="U3922" i="1"/>
  <c r="V3922" i="1"/>
  <c r="AB3922" i="1"/>
  <c r="AC3922" i="1" s="1"/>
  <c r="T3924" i="1" l="1"/>
  <c r="U3923" i="1"/>
  <c r="V3923" i="1"/>
  <c r="AB3923" i="1"/>
  <c r="AC3923" i="1" s="1"/>
  <c r="T3925" i="1" l="1"/>
  <c r="U3924" i="1"/>
  <c r="AB3924" i="1"/>
  <c r="AC3924" i="1" s="1"/>
  <c r="V3924" i="1"/>
  <c r="V3925" i="1" l="1"/>
  <c r="U3925" i="1"/>
  <c r="T3926" i="1"/>
  <c r="AB3925" i="1"/>
  <c r="AC3925" i="1" s="1"/>
  <c r="V3926" i="1" l="1"/>
  <c r="U3926" i="1"/>
  <c r="AB3926" i="1"/>
  <c r="AC3926" i="1" s="1"/>
  <c r="T3927" i="1"/>
  <c r="U3927" i="1" l="1"/>
  <c r="V3927" i="1"/>
  <c r="AB3927" i="1"/>
  <c r="AC3927" i="1" s="1"/>
  <c r="T3928" i="1"/>
  <c r="U3928" i="1" l="1"/>
  <c r="V3928" i="1"/>
  <c r="T3929" i="1"/>
  <c r="AB3928" i="1"/>
  <c r="AC3928" i="1" s="1"/>
  <c r="U3929" i="1" l="1"/>
  <c r="V3929" i="1"/>
  <c r="T3930" i="1"/>
  <c r="AB3929" i="1"/>
  <c r="AC3929" i="1" s="1"/>
  <c r="U3930" i="1" l="1"/>
  <c r="V3930" i="1"/>
  <c r="T3931" i="1"/>
  <c r="AB3930" i="1"/>
  <c r="AC3930" i="1" s="1"/>
  <c r="U3931" i="1" l="1"/>
  <c r="V3931" i="1"/>
  <c r="T3932" i="1"/>
  <c r="AB3931" i="1"/>
  <c r="AC3931" i="1" s="1"/>
  <c r="V3932" i="1" l="1"/>
  <c r="U3932" i="1"/>
  <c r="AB3932" i="1"/>
  <c r="AC3932" i="1" s="1"/>
  <c r="T3933" i="1"/>
  <c r="U3933" i="1" l="1"/>
  <c r="V3933" i="1"/>
  <c r="T3934" i="1"/>
  <c r="AB3933" i="1"/>
  <c r="AC3933" i="1" s="1"/>
  <c r="T3935" i="1" l="1"/>
  <c r="V3934" i="1"/>
  <c r="U3934" i="1"/>
  <c r="AB3934" i="1"/>
  <c r="AC3934" i="1" s="1"/>
  <c r="U3935" i="1" l="1"/>
  <c r="V3935" i="1"/>
  <c r="T3936" i="1"/>
  <c r="AB3935" i="1"/>
  <c r="AC3935" i="1" s="1"/>
  <c r="V3936" i="1" l="1"/>
  <c r="U3936" i="1"/>
  <c r="T3937" i="1"/>
  <c r="AB3936" i="1"/>
  <c r="AC3936" i="1" s="1"/>
  <c r="T3938" i="1" l="1"/>
  <c r="U3937" i="1"/>
  <c r="V3937" i="1"/>
  <c r="AB3937" i="1"/>
  <c r="AC3937" i="1" s="1"/>
  <c r="U3938" i="1" l="1"/>
  <c r="AB3938" i="1"/>
  <c r="AC3938" i="1" s="1"/>
  <c r="V3938" i="1"/>
  <c r="T3939" i="1"/>
  <c r="U3939" i="1" l="1"/>
  <c r="V3939" i="1"/>
  <c r="AB3939" i="1"/>
  <c r="AC3939" i="1" s="1"/>
  <c r="T3940" i="1"/>
  <c r="AB3940" i="1" l="1"/>
  <c r="AC3940" i="1" s="1"/>
  <c r="U3940" i="1"/>
  <c r="V3940" i="1"/>
  <c r="T3941" i="1"/>
  <c r="U3941" i="1" l="1"/>
  <c r="AB3941" i="1"/>
  <c r="AC3941" i="1" s="1"/>
  <c r="T3942" i="1"/>
  <c r="V3941" i="1"/>
  <c r="V3942" i="1" l="1"/>
  <c r="U3942" i="1"/>
  <c r="T3943" i="1"/>
  <c r="AB3942" i="1"/>
  <c r="AC3942" i="1" s="1"/>
  <c r="V3943" i="1" l="1"/>
  <c r="U3943" i="1"/>
  <c r="T3944" i="1"/>
  <c r="AB3943" i="1"/>
  <c r="AC3943" i="1" s="1"/>
  <c r="V3944" i="1" l="1"/>
  <c r="AB3944" i="1"/>
  <c r="AC3944" i="1" s="1"/>
  <c r="T3945" i="1"/>
  <c r="U3944" i="1"/>
  <c r="U3945" i="1" l="1"/>
  <c r="V3945" i="1"/>
  <c r="T3946" i="1"/>
  <c r="AB3945" i="1"/>
  <c r="AC3945" i="1" s="1"/>
  <c r="U3946" i="1" l="1"/>
  <c r="V3946" i="1"/>
  <c r="AB3946" i="1"/>
  <c r="AC3946" i="1" s="1"/>
  <c r="T3947" i="1"/>
  <c r="U3947" i="1" l="1"/>
  <c r="T3948" i="1"/>
  <c r="V3947" i="1"/>
  <c r="AB3947" i="1"/>
  <c r="AC3947" i="1" s="1"/>
  <c r="V3948" i="1" l="1"/>
  <c r="T3949" i="1"/>
  <c r="U3948" i="1"/>
  <c r="AB3948" i="1"/>
  <c r="AC3948" i="1" s="1"/>
  <c r="V3949" i="1" l="1"/>
  <c r="U3949" i="1"/>
  <c r="AB3949" i="1"/>
  <c r="AC3949" i="1" s="1"/>
  <c r="T3950" i="1"/>
  <c r="V3950" i="1" l="1"/>
  <c r="U3950" i="1"/>
  <c r="T3951" i="1"/>
  <c r="AB3950" i="1"/>
  <c r="AC3950" i="1" s="1"/>
  <c r="U3951" i="1" l="1"/>
  <c r="AB3951" i="1"/>
  <c r="AC3951" i="1" s="1"/>
  <c r="T3952" i="1"/>
  <c r="V3951" i="1"/>
  <c r="V3952" i="1" l="1"/>
  <c r="AB3952" i="1"/>
  <c r="AC3952" i="1" s="1"/>
  <c r="T3953" i="1"/>
  <c r="U3952" i="1"/>
  <c r="V3953" i="1" l="1"/>
  <c r="AB3953" i="1"/>
  <c r="AC3953" i="1" s="1"/>
  <c r="T3954" i="1"/>
  <c r="U3953" i="1"/>
  <c r="U3954" i="1" l="1"/>
  <c r="V3954" i="1"/>
  <c r="T3955" i="1"/>
  <c r="AB3954" i="1"/>
  <c r="AC3954" i="1" s="1"/>
  <c r="U3955" i="1" l="1"/>
  <c r="V3955" i="1"/>
  <c r="T3956" i="1"/>
  <c r="AB3955" i="1"/>
  <c r="AC3955" i="1" s="1"/>
  <c r="T3957" i="1" l="1"/>
  <c r="U3956" i="1"/>
  <c r="AB3956" i="1"/>
  <c r="AC3956" i="1" s="1"/>
  <c r="V3956" i="1"/>
  <c r="V3957" i="1" l="1"/>
  <c r="T3958" i="1"/>
  <c r="U3957" i="1"/>
  <c r="AB3957" i="1"/>
  <c r="AC3957" i="1" s="1"/>
  <c r="T3959" i="1" l="1"/>
  <c r="V3958" i="1"/>
  <c r="U3958" i="1"/>
  <c r="AB3958" i="1"/>
  <c r="AC3958" i="1" s="1"/>
  <c r="U3959" i="1" l="1"/>
  <c r="V3959" i="1"/>
  <c r="T3960" i="1"/>
  <c r="AB3959" i="1"/>
  <c r="AC3959" i="1" s="1"/>
  <c r="U3960" i="1" l="1"/>
  <c r="V3960" i="1"/>
  <c r="AB3960" i="1"/>
  <c r="AC3960" i="1" s="1"/>
  <c r="T3961" i="1"/>
  <c r="V3961" i="1" l="1"/>
  <c r="U3961" i="1"/>
  <c r="T3962" i="1"/>
  <c r="AB3961" i="1"/>
  <c r="AC3961" i="1" s="1"/>
  <c r="U3962" i="1" l="1"/>
  <c r="V3962" i="1"/>
  <c r="T3963" i="1"/>
  <c r="AB3962" i="1"/>
  <c r="AC3962" i="1" s="1"/>
  <c r="U3963" i="1" l="1"/>
  <c r="V3963" i="1"/>
  <c r="T3964" i="1"/>
  <c r="AB3963" i="1"/>
  <c r="AC3963" i="1" s="1"/>
  <c r="U3964" i="1" l="1"/>
  <c r="V3964" i="1"/>
  <c r="T3965" i="1"/>
  <c r="AB3964" i="1"/>
  <c r="AC3964" i="1" s="1"/>
  <c r="V3965" i="1" l="1"/>
  <c r="U3965" i="1"/>
  <c r="AB3965" i="1"/>
  <c r="AC3965" i="1" s="1"/>
  <c r="T3966" i="1"/>
  <c r="V3966" i="1" l="1"/>
  <c r="T3967" i="1"/>
  <c r="AB3966" i="1"/>
  <c r="AC3966" i="1" s="1"/>
  <c r="U3966" i="1"/>
  <c r="V3967" i="1" l="1"/>
  <c r="T3968" i="1"/>
  <c r="AB3967" i="1"/>
  <c r="AC3967" i="1" s="1"/>
  <c r="U3967" i="1"/>
  <c r="U3968" i="1" l="1"/>
  <c r="V3968" i="1"/>
  <c r="T3969" i="1"/>
  <c r="AB3968" i="1"/>
  <c r="AC3968" i="1" s="1"/>
  <c r="U3969" i="1" l="1"/>
  <c r="V3969" i="1"/>
  <c r="AB3969" i="1"/>
  <c r="AC3969" i="1" s="1"/>
  <c r="T3970" i="1"/>
  <c r="U3970" i="1" l="1"/>
  <c r="T3971" i="1"/>
  <c r="V3970" i="1"/>
  <c r="AB3970" i="1"/>
  <c r="AC3970" i="1" s="1"/>
  <c r="U3971" i="1" l="1"/>
  <c r="T3972" i="1"/>
  <c r="AB3971" i="1"/>
  <c r="AC3971" i="1" s="1"/>
  <c r="V3971" i="1"/>
  <c r="V3972" i="1" l="1"/>
  <c r="AB3972" i="1"/>
  <c r="AC3972" i="1" s="1"/>
  <c r="T3973" i="1"/>
  <c r="U3972" i="1"/>
  <c r="V3973" i="1" l="1"/>
  <c r="T3974" i="1"/>
  <c r="AB3973" i="1"/>
  <c r="AC3973" i="1" s="1"/>
  <c r="U3973" i="1"/>
  <c r="V3974" i="1" l="1"/>
  <c r="T3975" i="1"/>
  <c r="U3974" i="1"/>
  <c r="AB3974" i="1"/>
  <c r="AC3974" i="1" s="1"/>
  <c r="U3975" i="1" l="1"/>
  <c r="V3975" i="1"/>
  <c r="T3976" i="1"/>
  <c r="AB3975" i="1"/>
  <c r="AC3975" i="1" s="1"/>
  <c r="U3976" i="1" l="1"/>
  <c r="V3976" i="1"/>
  <c r="AB3976" i="1"/>
  <c r="AC3976" i="1" s="1"/>
  <c r="T3977" i="1"/>
  <c r="V3977" i="1" l="1"/>
  <c r="U3977" i="1"/>
  <c r="AB3977" i="1"/>
  <c r="AC3977" i="1" s="1"/>
  <c r="T3978" i="1"/>
  <c r="T3979" i="1" l="1"/>
  <c r="V3978" i="1"/>
  <c r="AB3978" i="1"/>
  <c r="AC3978" i="1" s="1"/>
  <c r="U3978" i="1"/>
  <c r="U3979" i="1" l="1"/>
  <c r="V3979" i="1"/>
  <c r="T3980" i="1"/>
  <c r="AB3979" i="1"/>
  <c r="AC3979" i="1" s="1"/>
  <c r="T3981" i="1" l="1"/>
  <c r="U3980" i="1"/>
  <c r="AB3980" i="1"/>
  <c r="AC3980" i="1" s="1"/>
  <c r="V3980" i="1"/>
  <c r="V3981" i="1" l="1"/>
  <c r="U3981" i="1"/>
  <c r="T3982" i="1"/>
  <c r="AB3981" i="1"/>
  <c r="AC3981" i="1" s="1"/>
  <c r="V3982" i="1" l="1"/>
  <c r="AB3982" i="1"/>
  <c r="AC3982" i="1" s="1"/>
  <c r="U3982" i="1"/>
  <c r="T3983" i="1"/>
  <c r="U3983" i="1" l="1"/>
  <c r="V3983" i="1"/>
  <c r="T3984" i="1"/>
  <c r="AB3983" i="1"/>
  <c r="AC3983" i="1" s="1"/>
  <c r="V3984" i="1" l="1"/>
  <c r="U3984" i="1"/>
  <c r="T3985" i="1"/>
  <c r="AB3984" i="1"/>
  <c r="AC3984" i="1" s="1"/>
  <c r="AB3985" i="1" l="1"/>
  <c r="AC3985" i="1" s="1"/>
  <c r="V3985" i="1"/>
  <c r="T3986" i="1"/>
  <c r="U3985" i="1"/>
  <c r="V3986" i="1" l="1"/>
  <c r="U3986" i="1"/>
  <c r="AB3986" i="1"/>
  <c r="AC3986" i="1" s="1"/>
  <c r="T3987" i="1"/>
  <c r="U3987" i="1" l="1"/>
  <c r="T3988" i="1"/>
  <c r="V3987" i="1"/>
  <c r="AB3987" i="1"/>
  <c r="AC3987" i="1" s="1"/>
  <c r="V3988" i="1" l="1"/>
  <c r="U3988" i="1"/>
  <c r="AB3988" i="1"/>
  <c r="AC3988" i="1" s="1"/>
  <c r="T3989" i="1"/>
  <c r="U3989" i="1" l="1"/>
  <c r="T3990" i="1"/>
  <c r="AB3989" i="1"/>
  <c r="AC3989" i="1" s="1"/>
  <c r="V3989" i="1"/>
  <c r="U3990" i="1" l="1"/>
  <c r="V3990" i="1"/>
  <c r="T3991" i="1"/>
  <c r="AB3990" i="1"/>
  <c r="AC3990" i="1" s="1"/>
  <c r="V3991" i="1" l="1"/>
  <c r="U3991" i="1"/>
  <c r="T3992" i="1"/>
  <c r="AB3991" i="1"/>
  <c r="AC3991" i="1" s="1"/>
  <c r="U3992" i="1" l="1"/>
  <c r="T3993" i="1"/>
  <c r="V3992" i="1"/>
  <c r="AB3992" i="1"/>
  <c r="AC3992" i="1" s="1"/>
  <c r="U3993" i="1" l="1"/>
  <c r="V3993" i="1"/>
  <c r="AB3993" i="1"/>
  <c r="AC3993" i="1" s="1"/>
  <c r="T3994" i="1"/>
  <c r="U3994" i="1" l="1"/>
  <c r="AB3994" i="1"/>
  <c r="AC3994" i="1" s="1"/>
  <c r="V3994" i="1"/>
  <c r="T3995" i="1"/>
  <c r="V3995" i="1" l="1"/>
  <c r="U3995" i="1"/>
  <c r="AB3995" i="1"/>
  <c r="AC3995" i="1" s="1"/>
  <c r="T3996" i="1"/>
  <c r="W3" i="1" a="1"/>
  <c r="W3" i="1" s="1"/>
  <c r="AK3" i="1" s="1"/>
  <c r="V3996" i="1" l="1"/>
  <c r="U3996" i="1"/>
  <c r="T3997" i="1"/>
  <c r="AB3996" i="1"/>
  <c r="AC3996" i="1" s="1"/>
  <c r="AG11" i="11"/>
  <c r="Y5" i="1" a="1"/>
  <c r="Y5" i="1" s="1"/>
  <c r="AO3" i="1"/>
  <c r="AN3" i="1"/>
  <c r="AL3" i="1"/>
  <c r="AP3" i="1" s="1"/>
  <c r="AF12" i="11" l="1"/>
  <c r="AF11" i="11"/>
  <c r="AH11" i="11" s="1"/>
  <c r="AK11" i="11" s="1"/>
  <c r="AF7" i="11"/>
  <c r="AG14" i="11"/>
  <c r="AG4" i="11"/>
  <c r="AF19" i="11"/>
  <c r="AF5" i="11"/>
  <c r="AG8" i="11"/>
  <c r="AF23" i="11"/>
  <c r="AG12" i="11"/>
  <c r="AF27" i="11"/>
  <c r="AG16" i="11"/>
  <c r="AG26" i="11"/>
  <c r="AG19" i="11"/>
  <c r="AF3" i="11"/>
  <c r="AF24" i="11"/>
  <c r="AF16" i="11"/>
  <c r="AF21" i="11"/>
  <c r="AF20" i="11"/>
  <c r="AF26" i="11"/>
  <c r="AF9" i="11"/>
  <c r="AF25" i="11"/>
  <c r="AG27" i="11"/>
  <c r="AG5" i="11"/>
  <c r="AG9" i="11"/>
  <c r="AG6" i="11"/>
  <c r="AF17" i="11"/>
  <c r="AF18" i="11"/>
  <c r="AG18" i="11"/>
  <c r="AG7" i="11"/>
  <c r="AG20" i="11"/>
  <c r="AF8" i="11"/>
  <c r="AF6" i="11"/>
  <c r="AG3" i="11"/>
  <c r="AF15" i="11"/>
  <c r="AG10" i="11"/>
  <c r="AF4" i="11"/>
  <c r="AG21" i="11"/>
  <c r="AG24" i="11"/>
  <c r="AG17" i="11"/>
  <c r="AG15" i="11"/>
  <c r="AG25" i="11"/>
  <c r="AE15" i="11"/>
  <c r="AJ15" i="11" s="1"/>
  <c r="AE18" i="11"/>
  <c r="AJ18" i="11" s="1"/>
  <c r="AE10" i="11"/>
  <c r="AJ10" i="11" s="1"/>
  <c r="AE24" i="11"/>
  <c r="AJ24" i="11" s="1"/>
  <c r="AE16" i="11"/>
  <c r="AJ16" i="11" s="1"/>
  <c r="AD9" i="11"/>
  <c r="AI9" i="11" s="1"/>
  <c r="AE17" i="11"/>
  <c r="AJ17" i="11" s="1"/>
  <c r="AE11" i="11"/>
  <c r="AJ11" i="11" s="1"/>
  <c r="AD24" i="11"/>
  <c r="AI24" i="11" s="1"/>
  <c r="AD16" i="11"/>
  <c r="AI16" i="11" s="1"/>
  <c r="AE19" i="11"/>
  <c r="AJ19" i="11" s="1"/>
  <c r="AE20" i="11"/>
  <c r="AJ20" i="11" s="1"/>
  <c r="AD12" i="11"/>
  <c r="AI12" i="11" s="1"/>
  <c r="AD4" i="11"/>
  <c r="AI4" i="11" s="1"/>
  <c r="AD27" i="11"/>
  <c r="AI27" i="11" s="1"/>
  <c r="AD23" i="11"/>
  <c r="AI23" i="11" s="1"/>
  <c r="AE4" i="11"/>
  <c r="AJ4" i="11" s="1"/>
  <c r="AD21" i="11"/>
  <c r="AI21" i="11" s="1"/>
  <c r="AD25" i="11"/>
  <c r="AI25" i="11" s="1"/>
  <c r="AE25" i="11"/>
  <c r="AJ25" i="11" s="1"/>
  <c r="AD14" i="11"/>
  <c r="AI14" i="11" s="1"/>
  <c r="AD6" i="11"/>
  <c r="AI6" i="11" s="1"/>
  <c r="AD10" i="11"/>
  <c r="AI10" i="11" s="1"/>
  <c r="AE27" i="11"/>
  <c r="AJ27" i="11" s="1"/>
  <c r="AE26" i="11"/>
  <c r="AJ26" i="11" s="1"/>
  <c r="AD5" i="11"/>
  <c r="AI5" i="11" s="1"/>
  <c r="AE6" i="11"/>
  <c r="AJ6" i="11" s="1"/>
  <c r="AD26" i="11"/>
  <c r="AI26" i="11" s="1"/>
  <c r="AD3" i="11"/>
  <c r="AI3" i="11" s="1"/>
  <c r="AE3" i="11"/>
  <c r="AJ3" i="11" s="1"/>
  <c r="AD8" i="11"/>
  <c r="AI8" i="11" s="1"/>
  <c r="AE14" i="11"/>
  <c r="AJ14" i="11" s="1"/>
  <c r="AE21" i="11"/>
  <c r="AJ21" i="11" s="1"/>
  <c r="AD20" i="11"/>
  <c r="AI20" i="11" s="1"/>
  <c r="AE9" i="11"/>
  <c r="AJ9" i="11" s="1"/>
  <c r="AE5" i="11"/>
  <c r="AJ5" i="11" s="1"/>
  <c r="AD15" i="11"/>
  <c r="AI15" i="11" s="1"/>
  <c r="AE23" i="11"/>
  <c r="AJ23" i="11" s="1"/>
  <c r="AD7" i="11"/>
  <c r="AI7" i="11" s="1"/>
  <c r="AE12" i="11"/>
  <c r="AJ12" i="11" s="1"/>
  <c r="AE7" i="11"/>
  <c r="AJ7" i="11" s="1"/>
  <c r="AD18" i="11"/>
  <c r="AI18" i="11" s="1"/>
  <c r="AD17" i="11"/>
  <c r="AI17" i="11" s="1"/>
  <c r="AD19" i="11"/>
  <c r="AI19" i="11" s="1"/>
  <c r="AE8" i="11"/>
  <c r="AJ8" i="11" s="1"/>
  <c r="AD11" i="11"/>
  <c r="AI11" i="11" s="1"/>
  <c r="W4" i="1" a="1"/>
  <c r="W4" i="1" s="1"/>
  <c r="AK4" i="1" s="1"/>
  <c r="AO4" i="1" s="1"/>
  <c r="AF14" i="11"/>
  <c r="AF10" i="11"/>
  <c r="AG23" i="11"/>
  <c r="W5" i="1" a="1"/>
  <c r="W5" i="1" s="1"/>
  <c r="V3997" i="1"/>
  <c r="U3997" i="1"/>
  <c r="T3998" i="1"/>
  <c r="AB3997" i="1"/>
  <c r="AC3997" i="1" s="1"/>
  <c r="AR3" i="1"/>
  <c r="AM3" i="1"/>
  <c r="AH23" i="11" l="1"/>
  <c r="AK23" i="11" s="1"/>
  <c r="AH14" i="11"/>
  <c r="AK14" i="11" s="1"/>
  <c r="AH9" i="11"/>
  <c r="AK9" i="11" s="1"/>
  <c r="AH8" i="11"/>
  <c r="AK8" i="11" s="1"/>
  <c r="AH7" i="11"/>
  <c r="AK7" i="11" s="1"/>
  <c r="AH27" i="11"/>
  <c r="AK27" i="11" s="1"/>
  <c r="AH20" i="11"/>
  <c r="AK20" i="11" s="1"/>
  <c r="AH4" i="11"/>
  <c r="AK4" i="11" s="1"/>
  <c r="AH17" i="11"/>
  <c r="AK17" i="11" s="1"/>
  <c r="AH5" i="11"/>
  <c r="AK5" i="11" s="1"/>
  <c r="AH3" i="11"/>
  <c r="AK3" i="11" s="1"/>
  <c r="AH26" i="11"/>
  <c r="AK26" i="11" s="1"/>
  <c r="AH16" i="11"/>
  <c r="AK16" i="11" s="1"/>
  <c r="AH12" i="11"/>
  <c r="AK12" i="11" s="1"/>
  <c r="AH18" i="11"/>
  <c r="AK18" i="11" s="1"/>
  <c r="AH25" i="11"/>
  <c r="AK25" i="11" s="1"/>
  <c r="AH24" i="11"/>
  <c r="AK24" i="11" s="1"/>
  <c r="AH21" i="11"/>
  <c r="AK21" i="11" s="1"/>
  <c r="AH19" i="11"/>
  <c r="AK19" i="11" s="1"/>
  <c r="AH6" i="11"/>
  <c r="AK6" i="11" s="1"/>
  <c r="AH10" i="11"/>
  <c r="AK10" i="11" s="1"/>
  <c r="AH15" i="11"/>
  <c r="AK15" i="11" s="1"/>
  <c r="AN4" i="1"/>
  <c r="AM4" i="1" s="1"/>
  <c r="Y4" i="1" s="1" a="1"/>
  <c r="Y4" i="1" s="1"/>
  <c r="AL4" i="1"/>
  <c r="AP4" i="1" s="1"/>
  <c r="U3998" i="1"/>
  <c r="V3998" i="1"/>
  <c r="T3999" i="1"/>
  <c r="AB3998" i="1"/>
  <c r="AC3998" i="1" s="1"/>
  <c r="AQ3" i="1"/>
  <c r="Y3" i="1" a="1"/>
  <c r="Y3" i="1" s="1"/>
  <c r="AH3" i="1" s="1"/>
  <c r="AR4" i="1" l="1"/>
  <c r="AG22" i="11"/>
  <c r="AF22" i="11"/>
  <c r="AE22" i="11"/>
  <c r="AJ22" i="11" s="1"/>
  <c r="AD22" i="11"/>
  <c r="AI22" i="11" s="1"/>
  <c r="AH4" i="1"/>
  <c r="AQ4" i="1"/>
  <c r="W6" i="1" a="1"/>
  <c r="W6" i="1" s="1"/>
  <c r="Y6" i="1" a="1"/>
  <c r="Y6" i="1" s="1"/>
  <c r="U3999" i="1"/>
  <c r="V3999" i="1"/>
  <c r="T4000" i="1"/>
  <c r="AB3999" i="1"/>
  <c r="AC3999" i="1" s="1"/>
  <c r="BR3" i="1"/>
  <c r="BQ3" i="1" s="1"/>
  <c r="AS3" i="1"/>
  <c r="AP3" i="11" a="1"/>
  <c r="AP3" i="11" s="1"/>
  <c r="BT3" i="1"/>
  <c r="BS3" i="1" s="1"/>
  <c r="AT3" i="11" a="1"/>
  <c r="AT3" i="11" s="1"/>
  <c r="AU3" i="11" a="1"/>
  <c r="AU3" i="11" s="1"/>
  <c r="AQ3" i="11" a="1"/>
  <c r="AQ3" i="11" s="1"/>
  <c r="AS3" i="11" a="1"/>
  <c r="AS3" i="11" s="1"/>
  <c r="AR3" i="11" a="1"/>
  <c r="AR3" i="11" s="1"/>
  <c r="AF13" i="11" l="1"/>
  <c r="AG13" i="11"/>
  <c r="AH22" i="11"/>
  <c r="AK22" i="11" s="1"/>
  <c r="AD13" i="11"/>
  <c r="AI13" i="11" s="1"/>
  <c r="AE13" i="11"/>
  <c r="AJ13" i="11" s="1"/>
  <c r="BT4" i="1"/>
  <c r="BS4" i="1" s="1"/>
  <c r="BR4" i="1"/>
  <c r="BQ4" i="1" s="1"/>
  <c r="AS4" i="1"/>
  <c r="T4001" i="1"/>
  <c r="U4000" i="1"/>
  <c r="AB4000" i="1"/>
  <c r="AC4000" i="1" s="1"/>
  <c r="V4000" i="1"/>
  <c r="AH13" i="11" l="1"/>
  <c r="AK13" i="11" s="1"/>
  <c r="W7" i="1" a="1"/>
  <c r="W7" i="1" s="1"/>
  <c r="W19" i="1" a="1"/>
  <c r="W19" i="1" s="1"/>
  <c r="W24" i="1" a="1"/>
  <c r="W24" i="1" s="1"/>
  <c r="W23" i="1" a="1"/>
  <c r="W23" i="1" s="1"/>
  <c r="W22" i="1" a="1"/>
  <c r="W22" i="1" s="1"/>
  <c r="W12" i="1" a="1"/>
  <c r="W12" i="1" s="1"/>
  <c r="W10" i="1" a="1"/>
  <c r="W10" i="1" s="1"/>
  <c r="W27" i="1" a="1"/>
  <c r="W27" i="1" s="1"/>
  <c r="W21" i="1" a="1"/>
  <c r="W21" i="1" s="1"/>
  <c r="W9" i="1" a="1"/>
  <c r="W9" i="1" s="1"/>
  <c r="Y10" i="1" a="1"/>
  <c r="Y10" i="1" s="1"/>
  <c r="V4001" i="1"/>
  <c r="AB4001" i="1"/>
  <c r="AC4001" i="1" s="1"/>
  <c r="U4001" i="1"/>
  <c r="Y7" i="1" l="1" a="1"/>
  <c r="Y7" i="1" s="1"/>
  <c r="Y9" i="1" a="1"/>
  <c r="Y9" i="1" s="1"/>
  <c r="W14" i="1" a="1"/>
  <c r="W14" i="1" s="1"/>
  <c r="Y14" i="1" a="1"/>
  <c r="Y14" i="1" s="1"/>
  <c r="W18" i="1" a="1"/>
  <c r="W18" i="1" s="1"/>
  <c r="W25" i="1" a="1"/>
  <c r="W25" i="1" s="1"/>
  <c r="W20" i="1" a="1"/>
  <c r="W20" i="1" s="1"/>
  <c r="Y12" i="1" a="1"/>
  <c r="Y12" i="1" s="1"/>
  <c r="W16" i="1" a="1"/>
  <c r="W16" i="1" s="1"/>
  <c r="W26" i="1" a="1"/>
  <c r="W26" i="1" s="1"/>
  <c r="W17" i="1" a="1"/>
  <c r="W17" i="1" s="1"/>
  <c r="Y11" i="1" a="1"/>
  <c r="Y11" i="1" s="1"/>
  <c r="W11" i="1" a="1"/>
  <c r="W11" i="1" s="1"/>
  <c r="W15" i="1" a="1"/>
  <c r="W15" i="1" s="1"/>
  <c r="Y15" i="1" a="1"/>
  <c r="Y15" i="1" s="1"/>
  <c r="W8" i="1" a="1"/>
  <c r="W8" i="1" s="1"/>
  <c r="Y8" i="1" a="1"/>
  <c r="Y8" i="1" s="1"/>
  <c r="W13" i="1" a="1"/>
  <c r="W13" i="1" s="1"/>
  <c r="Y13" i="1" a="1"/>
  <c r="Y1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<sst xmlns="http://schemas.openxmlformats.org/spreadsheetml/2006/main" count="4829" uniqueCount="1073">
  <si>
    <t>Period</t>
  </si>
  <si>
    <t>EventType</t>
  </si>
  <si>
    <t>OffensivePlay</t>
  </si>
  <si>
    <t>DefensivePlay</t>
  </si>
  <si>
    <t>Player</t>
  </si>
  <si>
    <t>Faceoff</t>
  </si>
  <si>
    <t>Shot</t>
  </si>
  <si>
    <t>Pass</t>
  </si>
  <si>
    <t>Goal</t>
  </si>
  <si>
    <t>Turnover</t>
  </si>
  <si>
    <t>Penalty</t>
  </si>
  <si>
    <t>Stoppage</t>
  </si>
  <si>
    <t>Hit</t>
  </si>
  <si>
    <t>Possession</t>
  </si>
  <si>
    <t>LoosePuck</t>
  </si>
  <si>
    <t>Save</t>
  </si>
  <si>
    <t>TeamPossessionChange</t>
  </si>
  <si>
    <t>Faceoff-AfterPenalty</t>
  </si>
  <si>
    <t>Faceoff-AfterGoal</t>
  </si>
  <si>
    <t>Faceoff-PeriodStart</t>
  </si>
  <si>
    <t>Shot-OnNet</t>
  </si>
  <si>
    <t>Shot-Missed</t>
  </si>
  <si>
    <t>Shot-Blocked</t>
  </si>
  <si>
    <t>Shot-BlockedSameTeam</t>
  </si>
  <si>
    <t>Shot-Deflected</t>
  </si>
  <si>
    <t>Shot-DeflectedOnNet</t>
  </si>
  <si>
    <t>Shot-Tipped</t>
  </si>
  <si>
    <t>Pass-Completed</t>
  </si>
  <si>
    <t>Pass-Missed</t>
  </si>
  <si>
    <t>Pass-Deflected</t>
  </si>
  <si>
    <t>Pass-Intercepted</t>
  </si>
  <si>
    <t>Turnover-Giveaway</t>
  </si>
  <si>
    <t>Turnover-Takeaway</t>
  </si>
  <si>
    <t>Zone-Entry</t>
  </si>
  <si>
    <t>Zone-Exit</t>
  </si>
  <si>
    <t>Zone-Keepin</t>
  </si>
  <si>
    <t>Penalty-Offsetting</t>
  </si>
  <si>
    <t>Stoppage-Freeze</t>
  </si>
  <si>
    <t>Stoppage-OutfofPlay</t>
  </si>
  <si>
    <t>Stoppage-PeriodEnd</t>
  </si>
  <si>
    <t>Stoppage-Goal</t>
  </si>
  <si>
    <t>Stoppage-Penalty</t>
  </si>
  <si>
    <t>Shootout-OnNet</t>
  </si>
  <si>
    <t>Shootout-Missed</t>
  </si>
  <si>
    <t>Shootout-Saved</t>
  </si>
  <si>
    <t>PenaltyShot-OnNet</t>
  </si>
  <si>
    <t>PenaltyShot-Missed</t>
  </si>
  <si>
    <t>PenaltyShot-Saved</t>
  </si>
  <si>
    <t>LoosePuck-Forecheck</t>
  </si>
  <si>
    <t>LoosePuck-Battle</t>
  </si>
  <si>
    <t>EventTypeDetail</t>
  </si>
  <si>
    <t>Shot-Wrist</t>
  </si>
  <si>
    <t>Shot-Slap</t>
  </si>
  <si>
    <t>Shot-Backhand</t>
  </si>
  <si>
    <t>Shot-Tip</t>
  </si>
  <si>
    <t>Shot-Snap</t>
  </si>
  <si>
    <t>Shot-WrapAround</t>
  </si>
  <si>
    <t>Shot-Bat</t>
  </si>
  <si>
    <t>Shot-Cradle</t>
  </si>
  <si>
    <t>Shot-Poke</t>
  </si>
  <si>
    <t>Shot-BetweenLegs</t>
  </si>
  <si>
    <t>Shot-Dumpin</t>
  </si>
  <si>
    <t>Shot-Deflection</t>
  </si>
  <si>
    <t>Shot-OneTime</t>
  </si>
  <si>
    <t>Shot-Other</t>
  </si>
  <si>
    <t>Pass-Stretch</t>
  </si>
  <si>
    <t>Pass-Rim/Wrap</t>
  </si>
  <si>
    <t>Pass-Backhand</t>
  </si>
  <si>
    <t>Pass-Forehand</t>
  </si>
  <si>
    <t>Pass-Bank</t>
  </si>
  <si>
    <t>Pass-Other</t>
  </si>
  <si>
    <t>Giveaway-Misplayed</t>
  </si>
  <si>
    <t>Giveaway-BattleLost</t>
  </si>
  <si>
    <t>Giveaway-PassIntercepted</t>
  </si>
  <si>
    <t>Giveaway-PassMissed</t>
  </si>
  <si>
    <t>Giveaway-PassBlocked</t>
  </si>
  <si>
    <t>Giveaway-ShotBlocked</t>
  </si>
  <si>
    <t>Giveaway-ShotMissed</t>
  </si>
  <si>
    <t>Giveaway-Other</t>
  </si>
  <si>
    <t>Takeaway-BattleWon</t>
  </si>
  <si>
    <t>Takeaway-PokeCheck</t>
  </si>
  <si>
    <t>Takeaway-PassIntercepted</t>
  </si>
  <si>
    <t>Takeaway-PassBlocked</t>
  </si>
  <si>
    <t>Takeaway-ShotBlocked</t>
  </si>
  <si>
    <t>Takeaway-Other</t>
  </si>
  <si>
    <t>ZoneEntry-Rush</t>
  </si>
  <si>
    <t>ZoneEntry-Pass</t>
  </si>
  <si>
    <t>ZoneEntry-DumpIn</t>
  </si>
  <si>
    <t>ZoneExit-Rush</t>
  </si>
  <si>
    <t>ZoneExit-Pass</t>
  </si>
  <si>
    <t>ZoneExit-Clear</t>
  </si>
  <si>
    <t>Zone-KeepIn</t>
  </si>
  <si>
    <t>Zone-Pinch</t>
  </si>
  <si>
    <t>Zone-Other</t>
  </si>
  <si>
    <t>Save-Glove</t>
  </si>
  <si>
    <t>Save-Blocker</t>
  </si>
  <si>
    <t>Save-LeftPad</t>
  </si>
  <si>
    <t>Save-RightPad</t>
  </si>
  <si>
    <t>Save-Stick</t>
  </si>
  <si>
    <t>Save-Scramble</t>
  </si>
  <si>
    <t>Save-Butterfly</t>
  </si>
  <si>
    <t>Save-Chest</t>
  </si>
  <si>
    <t>Save-Other</t>
  </si>
  <si>
    <t>Stoppage-StartofShootout</t>
  </si>
  <si>
    <t>Stoppage-PeriodStart</t>
  </si>
  <si>
    <t>Stoppage-PuckOutofPlay</t>
  </si>
  <si>
    <t>Stoppage-Icing</t>
  </si>
  <si>
    <t>Stoppage-Offsides</t>
  </si>
  <si>
    <t>Stoppage-GoalieStoppage</t>
  </si>
  <si>
    <t>Stoppage-ClockProblem</t>
  </si>
  <si>
    <t>Stoppage-HighStick</t>
  </si>
  <si>
    <t>Stoppage-ObjectsonIce</t>
  </si>
  <si>
    <t>Stoppage-HandPass</t>
  </si>
  <si>
    <t>Stoppage-NetDislodged</t>
  </si>
  <si>
    <t>Stoppage-HomeTimeout</t>
  </si>
  <si>
    <t>Stoppage-VisitorTimeout</t>
  </si>
  <si>
    <t>Stoppage-Injury</t>
  </si>
  <si>
    <t>Stoppage-OfficialInjury</t>
  </si>
  <si>
    <t>Stoppage-RinkRepair</t>
  </si>
  <si>
    <t>Stoppage-PlayerEquipment</t>
  </si>
  <si>
    <t>Stoppage-Challenge</t>
  </si>
  <si>
    <t>Stoppage-Other</t>
  </si>
  <si>
    <t>Penalty-Bench Penalty</t>
  </si>
  <si>
    <t>Penalty-Boarding</t>
  </si>
  <si>
    <t>Penalty-Charging</t>
  </si>
  <si>
    <t>Penalty-CrossChecking</t>
  </si>
  <si>
    <t>Penalty-DelayofGame</t>
  </si>
  <si>
    <t>Penalty-Diving</t>
  </si>
  <si>
    <t>Penalty-Elbowing</t>
  </si>
  <si>
    <t>Penalty-GoalieInterference</t>
  </si>
  <si>
    <t>Penalty-HighSticking</t>
  </si>
  <si>
    <t>Penalty-Holding</t>
  </si>
  <si>
    <t>Penalty-Interference</t>
  </si>
  <si>
    <t>Penalty-Fighting</t>
  </si>
  <si>
    <t>Penalty-Hooking</t>
  </si>
  <si>
    <t>Penalty-Roughing</t>
  </si>
  <si>
    <t>Penalty-Slashing</t>
  </si>
  <si>
    <t>Penalty-Misconduct</t>
  </si>
  <si>
    <t>Penalty-TooManyMenontheIce</t>
  </si>
  <si>
    <t>Penalty-Tripping</t>
  </si>
  <si>
    <t>Penalty-UnsportsmanlikeConduct</t>
  </si>
  <si>
    <t>Penalty-Other</t>
  </si>
  <si>
    <t>EventTypeDetail2</t>
  </si>
  <si>
    <t>DriveMiddle</t>
  </si>
  <si>
    <t>DriveWide</t>
  </si>
  <si>
    <t>DriveCorner</t>
  </si>
  <si>
    <t>DriveNetMiddle</t>
  </si>
  <si>
    <t>DriveNetWide</t>
  </si>
  <si>
    <t>CrashNet</t>
  </si>
  <si>
    <t>Delay</t>
  </si>
  <si>
    <t>Deke</t>
  </si>
  <si>
    <t>Chip</t>
  </si>
  <si>
    <t>Other</t>
  </si>
  <si>
    <t>DumpChase</t>
  </si>
  <si>
    <t>Forecheck</t>
  </si>
  <si>
    <t>Speed</t>
  </si>
  <si>
    <t>PokeCheck</t>
  </si>
  <si>
    <t>PokeCheckFailed</t>
  </si>
  <si>
    <t>SeperateFromPuck</t>
  </si>
  <si>
    <t>Backcheck</t>
  </si>
  <si>
    <t>FroceWide</t>
  </si>
  <si>
    <t>Contain</t>
  </si>
  <si>
    <t>BeatMiddle</t>
  </si>
  <si>
    <t>BeatWide</t>
  </si>
  <si>
    <t>BeatDeke</t>
  </si>
  <si>
    <t>BeatSpeed</t>
  </si>
  <si>
    <t>BoxOut</t>
  </si>
  <si>
    <t>Save-Rebound</t>
  </si>
  <si>
    <t>Save-Freeze</t>
  </si>
  <si>
    <t>ZoneEntry-Other</t>
  </si>
  <si>
    <t>ZoneExit-Other</t>
  </si>
  <si>
    <t>PenaltyShot/Shootout</t>
  </si>
  <si>
    <t>Pass_Completed</t>
  </si>
  <si>
    <t>Turnover_Giveaway</t>
  </si>
  <si>
    <t>Zone_Entry</t>
  </si>
  <si>
    <t>Penalty_Minor</t>
  </si>
  <si>
    <t>PenaltyShot_OnNet</t>
  </si>
  <si>
    <t>Stoppage_Period</t>
  </si>
  <si>
    <t>LoosePuck_Forecheck</t>
  </si>
  <si>
    <t>Save_Rebound</t>
  </si>
  <si>
    <t>Faceoff_AfterPenalty</t>
  </si>
  <si>
    <t>Shot_Missed</t>
  </si>
  <si>
    <t>Pass_Missed</t>
  </si>
  <si>
    <t>Turnover_Takeaway</t>
  </si>
  <si>
    <t>Zone_Exit</t>
  </si>
  <si>
    <t>Penalty_Offsetting</t>
  </si>
  <si>
    <t>PenaltyShot_Missed</t>
  </si>
  <si>
    <t>Stoppage_Play</t>
  </si>
  <si>
    <t>LoosePuck_Battle</t>
  </si>
  <si>
    <t>Save_Freeze</t>
  </si>
  <si>
    <t>Faceoff_AfterGoal</t>
  </si>
  <si>
    <t>Shot_Blocked</t>
  </si>
  <si>
    <t>Pass_Deflected</t>
  </si>
  <si>
    <t>Zone_Keepin</t>
  </si>
  <si>
    <t>Penalty_Major</t>
  </si>
  <si>
    <t>PenaltyShot_Saved</t>
  </si>
  <si>
    <t>Stoppage_Other</t>
  </si>
  <si>
    <t>Faceoff_PeriodStart</t>
  </si>
  <si>
    <t>Shot_BlockedSameTeam</t>
  </si>
  <si>
    <t>Pass_Intercepted</t>
  </si>
  <si>
    <t>ShootoutShot_OnNet</t>
  </si>
  <si>
    <t>Shot_Deflected</t>
  </si>
  <si>
    <t>ShootoutShot_Missed</t>
  </si>
  <si>
    <t>ShootoutShot_Saved</t>
  </si>
  <si>
    <t>Shot_Tipped</t>
  </si>
  <si>
    <t>Shot_OnNetSaved</t>
  </si>
  <si>
    <t>Shot_DeflectedOnNetSaved</t>
  </si>
  <si>
    <t>Shot_TippedOnNetSaved</t>
  </si>
  <si>
    <t>Shot_OnNetGoal</t>
  </si>
  <si>
    <t>Shot_TippedGoal</t>
  </si>
  <si>
    <t>Shot_DeflectedGoal</t>
  </si>
  <si>
    <t>Shot_OnNetTippedGoal</t>
  </si>
  <si>
    <t>Shot_OnNetDeflectedGoal</t>
  </si>
  <si>
    <t>Goal_Scored</t>
  </si>
  <si>
    <t>Goal_Shootout</t>
  </si>
  <si>
    <t>Goal_PenaltyShot</t>
  </si>
  <si>
    <t>Goal-Wrist</t>
  </si>
  <si>
    <t>Goal-Slap</t>
  </si>
  <si>
    <t>Goal-Backhand</t>
  </si>
  <si>
    <t>Goal-Tip</t>
  </si>
  <si>
    <t>Goal-Snap</t>
  </si>
  <si>
    <t>Goal-WrapAround</t>
  </si>
  <si>
    <t>Goal-Bat</t>
  </si>
  <si>
    <t>Goal-Cradle</t>
  </si>
  <si>
    <t>Goal-Poke</t>
  </si>
  <si>
    <t>Goal-BetweenLegs</t>
  </si>
  <si>
    <t>Goal-Dumpin</t>
  </si>
  <si>
    <t>Goal-Deflection</t>
  </si>
  <si>
    <t>Goal-OneTime</t>
  </si>
  <si>
    <t>Goal-Other</t>
  </si>
  <si>
    <t>Play</t>
  </si>
  <si>
    <t>Rebound</t>
  </si>
  <si>
    <t>Rebound_TeamRecovered</t>
  </si>
  <si>
    <t>Rebound_OppTeamRecovered</t>
  </si>
  <si>
    <t>Rebound_ShotGenerated</t>
  </si>
  <si>
    <t>Rebound_FlurryGenerated</t>
  </si>
  <si>
    <t>Faceoff_AfterStoppage</t>
  </si>
  <si>
    <t>PenaltyShot_Shootout</t>
  </si>
  <si>
    <t>Zone_Entry_Exit</t>
  </si>
  <si>
    <t>Type</t>
  </si>
  <si>
    <t>Shot_Goal</t>
  </si>
  <si>
    <t>DeadIce</t>
  </si>
  <si>
    <t>event_index</t>
  </si>
  <si>
    <t>sequence_index</t>
  </si>
  <si>
    <t>play_index</t>
  </si>
  <si>
    <t>player_role</t>
  </si>
  <si>
    <t>event_detail</t>
  </si>
  <si>
    <t>event_detail_2</t>
  </si>
  <si>
    <t>game_id</t>
  </si>
  <si>
    <t>home_team</t>
  </si>
  <si>
    <t>away_team</t>
  </si>
  <si>
    <t>-</t>
  </si>
  <si>
    <t>event_start_min</t>
  </si>
  <si>
    <t>event_start_sec</t>
  </si>
  <si>
    <t>event_end_min</t>
  </si>
  <si>
    <t>event_end_sec</t>
  </si>
  <si>
    <t>shift_index</t>
  </si>
  <si>
    <t>shift_start_type</t>
  </si>
  <si>
    <t>shift_stop_type</t>
  </si>
  <si>
    <t>shift_start_min</t>
  </si>
  <si>
    <t>shift_start_sec</t>
  </si>
  <si>
    <t>shift_end_min</t>
  </si>
  <si>
    <t>shift_end_sec</t>
  </si>
  <si>
    <t>home_forward_1</t>
  </si>
  <si>
    <t>home_forward_2</t>
  </si>
  <si>
    <t>home_forward_3</t>
  </si>
  <si>
    <t>home_defense_1</t>
  </si>
  <si>
    <t>home_defense_2</t>
  </si>
  <si>
    <t>home_goalie</t>
  </si>
  <si>
    <t>home_xtra</t>
  </si>
  <si>
    <t>away_forward_1</t>
  </si>
  <si>
    <t>away_forward_2</t>
  </si>
  <si>
    <t>away_forward_3</t>
  </si>
  <si>
    <t>away_defense_1</t>
  </si>
  <si>
    <t>away_defense_2</t>
  </si>
  <si>
    <t>away_goalie</t>
  </si>
  <si>
    <t>away_xtra</t>
  </si>
  <si>
    <t>stoppage_time</t>
  </si>
  <si>
    <t>home_ozone_start</t>
  </si>
  <si>
    <t>home_ozone_end</t>
  </si>
  <si>
    <t>home_dzone_start</t>
  </si>
  <si>
    <t>home_dzone_end</t>
  </si>
  <si>
    <t>home_nzone_start</t>
  </si>
  <si>
    <t>home_nzone_end</t>
  </si>
  <si>
    <t>PeriodStart</t>
  </si>
  <si>
    <t>Home Goalie Stoppage</t>
  </si>
  <si>
    <t>FaceoffAfterGoal</t>
  </si>
  <si>
    <t>GameStart</t>
  </si>
  <si>
    <t>FaceoffAfterPenalty</t>
  </si>
  <si>
    <t>OtherFaceoff</t>
  </si>
  <si>
    <t>DeadIce/Stoppage</t>
  </si>
  <si>
    <t>Period Start</t>
  </si>
  <si>
    <t>Period End</t>
  </si>
  <si>
    <t>Puck Out of Play</t>
  </si>
  <si>
    <t>Injury</t>
  </si>
  <si>
    <t>Home Penalty</t>
  </si>
  <si>
    <t>Away Penalty</t>
  </si>
  <si>
    <t>Away Goalie Stoppage</t>
  </si>
  <si>
    <t>Home Offside</t>
  </si>
  <si>
    <t>Home Icing</t>
  </si>
  <si>
    <t>Away Offside</t>
  </si>
  <si>
    <t>Away Icing</t>
  </si>
  <si>
    <t>Clock Problem</t>
  </si>
  <si>
    <t>Puck Frozen</t>
  </si>
  <si>
    <t>Puck in Crowd</t>
  </si>
  <si>
    <t>Goalie Stopped (after SOG)</t>
  </si>
  <si>
    <t>Referee or Linesperson</t>
  </si>
  <si>
    <t>High Stick</t>
  </si>
  <si>
    <t>Objects on Ice</t>
  </si>
  <si>
    <t>Hand Pass</t>
  </si>
  <si>
    <t>Premature Substitution</t>
  </si>
  <si>
    <t>Puck in Netting</t>
  </si>
  <si>
    <t>Puck in Benches</t>
  </si>
  <si>
    <t>Net Dislodged Offensive Skater</t>
  </si>
  <si>
    <t>Puck Frzn-Goalie-Bynd Ctr</t>
  </si>
  <si>
    <t>Skater Puck Frozen</t>
  </si>
  <si>
    <t>Valid stoppage type reasons (reason):</t>
  </si>
  <si>
    <t>TV timeout</t>
  </si>
  <si>
    <t>Home Timeout</t>
  </si>
  <si>
    <t>Visitor Timeout</t>
  </si>
  <si>
    <t>Player Injury</t>
  </si>
  <si>
    <t>Official Injury</t>
  </si>
  <si>
    <t>Rink Repair</t>
  </si>
  <si>
    <t>Ice problem</t>
  </si>
  <si>
    <t>Player Equipment</t>
  </si>
  <si>
    <t>Video Review</t>
  </si>
  <si>
    <t>Chlg Hm - off-side</t>
  </si>
  <si>
    <t>Chlg Vis - off-side</t>
  </si>
  <si>
    <t>Chlg Hm - goal interference</t>
  </si>
  <si>
    <t>Chlg Vis - goal interference</t>
  </si>
  <si>
    <t>Chlg League - off-side</t>
  </si>
  <si>
    <t>Chlg League - goal interference</t>
  </si>
  <si>
    <t>Switch sides</t>
  </si>
  <si>
    <t>Chlg Hm - Missed stoppage</t>
  </si>
  <si>
    <t>Chlg Vis - Missed stoppage</t>
  </si>
  <si>
    <t>Chlg League - Missed stoppage</t>
  </si>
  <si>
    <t>Chlg Hm - puck over glass</t>
  </si>
  <si>
    <t>Chlg Vis - puck over glass</t>
  </si>
  <si>
    <t>Chlg League - puck over glass</t>
  </si>
  <si>
    <t>Home Goal</t>
  </si>
  <si>
    <t>Away Goal</t>
  </si>
  <si>
    <t>Away Goalie Stopped (after Home SOG)</t>
  </si>
  <si>
    <t>Home Goalie Stopped (after Away SOG)</t>
  </si>
  <si>
    <t>shift_start</t>
  </si>
  <si>
    <t>shift_end</t>
  </si>
  <si>
    <t>home_team_strength</t>
  </si>
  <si>
    <t>away_team_strength</t>
  </si>
  <si>
    <t>home_team_en</t>
  </si>
  <si>
    <t>away_team_en</t>
  </si>
  <si>
    <t>home_team_pp</t>
  </si>
  <si>
    <t>home_team_pk</t>
  </si>
  <si>
    <t>away_team_pp</t>
  </si>
  <si>
    <t>away_team_pk</t>
  </si>
  <si>
    <t>situation</t>
  </si>
  <si>
    <t>Giveaway-ZoneClear/Dump</t>
  </si>
  <si>
    <t>Takeaway-ZoneClear/Dump</t>
  </si>
  <si>
    <t>duration</t>
  </si>
  <si>
    <t>time_start_total_seconds</t>
  </si>
  <si>
    <t>time_end_total_seconds</t>
  </si>
  <si>
    <t>shift_end_total_seconds</t>
  </si>
  <si>
    <t>shift_start_total_seconds</t>
  </si>
  <si>
    <t>shift_duration</t>
  </si>
  <si>
    <t>strength</t>
  </si>
  <si>
    <t>home_goals</t>
  </si>
  <si>
    <t>away_goals</t>
  </si>
  <si>
    <t>Giveaway-AttemptedZoneClear/Dump</t>
  </si>
  <si>
    <t>Takeaway-AttemptedZoneClear/Dump</t>
  </si>
  <si>
    <t>e</t>
  </si>
  <si>
    <t>o</t>
  </si>
  <si>
    <t>role_abrev</t>
  </si>
  <si>
    <t>role_number</t>
  </si>
  <si>
    <t>Pass-Dump</t>
  </si>
  <si>
    <t>Pass-Tipped</t>
  </si>
  <si>
    <t>ZoneEntry-Chip</t>
  </si>
  <si>
    <t>ZoneExit-Chip</t>
  </si>
  <si>
    <t>ZoneEntry-FromExitClear</t>
  </si>
  <si>
    <t>ZoneExit-PassMiss/Misplay</t>
  </si>
  <si>
    <t>ZoneEntry-OppTeam</t>
  </si>
  <si>
    <t>ZoneExit-OppTeam</t>
  </si>
  <si>
    <t>ZoneEntry-Lob</t>
  </si>
  <si>
    <t>ZoneExit-Lob</t>
  </si>
  <si>
    <t>Pass-Lob</t>
  </si>
  <si>
    <t>ZoneEntry-RushBreakaway</t>
  </si>
  <si>
    <t>Giveaway-ZoneEntry/ExitMisplay</t>
  </si>
  <si>
    <t>Save_Played</t>
  </si>
  <si>
    <t>Pass-Drop</t>
  </si>
  <si>
    <t>Play-Offensive</t>
  </si>
  <si>
    <t>Play-Defensive</t>
  </si>
  <si>
    <t>Play_Offensive</t>
  </si>
  <si>
    <t>Play_Defensive</t>
  </si>
  <si>
    <t>ZoneEntry-PassMiss/Misplay</t>
  </si>
  <si>
    <t>Giveaway-DumpInZone</t>
  </si>
  <si>
    <t>Timeout</t>
  </si>
  <si>
    <t>Intermission</t>
  </si>
  <si>
    <t>event_running_start</t>
  </si>
  <si>
    <t>event_running_end</t>
  </si>
  <si>
    <t>period_start_total_running_seconds</t>
  </si>
  <si>
    <t>running_intermission_duration</t>
  </si>
  <si>
    <t>Clockstop</t>
  </si>
  <si>
    <t>Faceoff-GameStart</t>
  </si>
  <si>
    <t>GameEnd</t>
  </si>
  <si>
    <t>Faceoff_GameStart</t>
  </si>
  <si>
    <t>Stoppage_GameEnd</t>
  </si>
  <si>
    <t>running_video_time</t>
  </si>
  <si>
    <t>shift_start_running_time</t>
  </si>
  <si>
    <t>shift_end_running_time</t>
  </si>
  <si>
    <t>Type_</t>
  </si>
  <si>
    <t>event_detail_</t>
  </si>
  <si>
    <t>event_detail_2_</t>
  </si>
  <si>
    <t>event_start_min_</t>
  </si>
  <si>
    <t>event_start_sec_</t>
  </si>
  <si>
    <t>event_end_min_</t>
  </si>
  <si>
    <t>event_end_sec_</t>
  </si>
  <si>
    <t>00</t>
  </si>
  <si>
    <t>ZoneEntry-CausedTurnover</t>
  </si>
  <si>
    <t>ZoneExit-CausedTurnover</t>
  </si>
  <si>
    <t>Save-Shoulder</t>
  </si>
  <si>
    <t>Penalty_Delayed</t>
  </si>
  <si>
    <t>Breakaway</t>
  </si>
  <si>
    <t>Play-DriveMiddle</t>
  </si>
  <si>
    <t>Play-DriveWide</t>
  </si>
  <si>
    <t>Play-DriveCorner</t>
  </si>
  <si>
    <t>Play-DriveNetMiddle</t>
  </si>
  <si>
    <t>Play-DriveNetWide</t>
  </si>
  <si>
    <t>Play-CrashNet</t>
  </si>
  <si>
    <t>Play-Delay</t>
  </si>
  <si>
    <t>Play-Chip</t>
  </si>
  <si>
    <t>Play-Other</t>
  </si>
  <si>
    <t>Play-DumpChase</t>
  </si>
  <si>
    <t>Play-Forecheck</t>
  </si>
  <si>
    <t>Play-Speed</t>
  </si>
  <si>
    <t>Play-Dump/RimInZone</t>
  </si>
  <si>
    <t>Play-PokeCheck</t>
  </si>
  <si>
    <t>Play-PokeCheckFailed</t>
  </si>
  <si>
    <t>Play-SeperateFromPuck</t>
  </si>
  <si>
    <t>Play-Backcheck</t>
  </si>
  <si>
    <t>Play-FroceWide</t>
  </si>
  <si>
    <t>Play-Contain</t>
  </si>
  <si>
    <t>Play-BeatMiddle</t>
  </si>
  <si>
    <t>Play-BeatWide</t>
  </si>
  <si>
    <t>Play-BeatDeke</t>
  </si>
  <si>
    <t>Play-BeatSpeed</t>
  </si>
  <si>
    <t>Play-BoxOut</t>
  </si>
  <si>
    <t>Save-Skate</t>
  </si>
  <si>
    <t>Pass-Deflected/TippedShot</t>
  </si>
  <si>
    <t>Pass-ReceiverMissed</t>
  </si>
  <si>
    <t>Giveaway-PassReceiverMissed</t>
  </si>
  <si>
    <t>Play-Deke</t>
  </si>
  <si>
    <t>Play-AttemptedClear</t>
  </si>
  <si>
    <t>successful</t>
  </si>
  <si>
    <t>Breakout</t>
  </si>
  <si>
    <t>play_detail1</t>
  </si>
  <si>
    <t>play_detail2</t>
  </si>
  <si>
    <t>play_detail_successful</t>
  </si>
  <si>
    <t>event_team_zone</t>
  </si>
  <si>
    <t>home_team_zone</t>
  </si>
  <si>
    <t>away_team_zone</t>
  </si>
  <si>
    <t>next_event</t>
  </si>
  <si>
    <t>last_event</t>
  </si>
  <si>
    <t>event_id</t>
  </si>
  <si>
    <t>play_id</t>
  </si>
  <si>
    <t>sequence_id</t>
  </si>
  <si>
    <t>next_faceoff</t>
  </si>
  <si>
    <t>last_faceoff</t>
  </si>
  <si>
    <t>next_team_zone_entry</t>
  </si>
  <si>
    <t>last_team_zone_entry</t>
  </si>
  <si>
    <t>next_team_zone_exit</t>
  </si>
  <si>
    <t>next_team_shot</t>
  </si>
  <si>
    <t>last_team_shot</t>
  </si>
  <si>
    <t>next_team_goal</t>
  </si>
  <si>
    <t>last_team_goal</t>
  </si>
  <si>
    <t>associated_faceoff_id</t>
  </si>
  <si>
    <t>associated_pass_id2</t>
  </si>
  <si>
    <t>associated_pass_id1</t>
  </si>
  <si>
    <t>associated_pass_id3</t>
  </si>
  <si>
    <t>associated_pass_id4</t>
  </si>
  <si>
    <t>associated_zone_entry</t>
  </si>
  <si>
    <t>assocaited_zone_exit</t>
  </si>
  <si>
    <t>assocaited_penalty</t>
  </si>
  <si>
    <t>assocaited_shot1</t>
  </si>
  <si>
    <t>assocaited_shot2</t>
  </si>
  <si>
    <t>assocaited_shot3</t>
  </si>
  <si>
    <t>assocaited_shot4</t>
  </si>
  <si>
    <t>associated_save1</t>
  </si>
  <si>
    <t>associated_save2</t>
  </si>
  <si>
    <t>associated_save3</t>
  </si>
  <si>
    <t>associated_save4</t>
  </si>
  <si>
    <t>associated_turnover1</t>
  </si>
  <si>
    <t>associated_turnover2</t>
  </si>
  <si>
    <t>associated_turnover3</t>
  </si>
  <si>
    <t>associated_turnover4</t>
  </si>
  <si>
    <t>assocaited_possession1</t>
  </si>
  <si>
    <t>assocaited_possession2</t>
  </si>
  <si>
    <t>assocaited_possession3</t>
  </si>
  <si>
    <t>assocaited_possession4</t>
  </si>
  <si>
    <t>associated_breakout</t>
  </si>
  <si>
    <t>assocaited_assist_secondary</t>
  </si>
  <si>
    <t>assocaited_assist_primary</t>
  </si>
  <si>
    <t>faceoff_id</t>
  </si>
  <si>
    <t>pass_id</t>
  </si>
  <si>
    <t>turnover_id</t>
  </si>
  <si>
    <t>shot_id</t>
  </si>
  <si>
    <t>save_id</t>
  </si>
  <si>
    <t>rebound_id</t>
  </si>
  <si>
    <t>goal_id</t>
  </si>
  <si>
    <t>penalty_id</t>
  </si>
  <si>
    <t>zone_entry_id</t>
  </si>
  <si>
    <t>zone_exit_id</t>
  </si>
  <si>
    <t>possession_id</t>
  </si>
  <si>
    <t>pre_shot_pass</t>
  </si>
  <si>
    <t>failed_entry</t>
  </si>
  <si>
    <t>failed_exit</t>
  </si>
  <si>
    <t>botched_retreivals</t>
  </si>
  <si>
    <t>retreival_lead_to_breakout</t>
  </si>
  <si>
    <t>possession_change</t>
  </si>
  <si>
    <t>side_of_puck</t>
  </si>
  <si>
    <t>Offensive</t>
  </si>
  <si>
    <t>Defensive</t>
  </si>
  <si>
    <t>linked_event_index</t>
  </si>
  <si>
    <t>DelayedPenalty</t>
  </si>
  <si>
    <t>Offset Penalty</t>
  </si>
  <si>
    <t>Velodrome</t>
  </si>
  <si>
    <t>Team_</t>
  </si>
  <si>
    <t>ZoneEntry-PenaltyKillClear</t>
  </si>
  <si>
    <t>ZoneExit-PenaltyKillClear</t>
  </si>
  <si>
    <t>play_tag1</t>
  </si>
  <si>
    <t>play_tag2</t>
  </si>
  <si>
    <t>Cycle</t>
  </si>
  <si>
    <t>Rush</t>
  </si>
  <si>
    <t>Zone_Change</t>
  </si>
  <si>
    <t>Slot</t>
  </si>
  <si>
    <t>LowToHigh</t>
  </si>
  <si>
    <t>HighToLow</t>
  </si>
  <si>
    <t>CrossIce</t>
  </si>
  <si>
    <t>forced_forcer</t>
  </si>
  <si>
    <t>pressured_pressurer</t>
  </si>
  <si>
    <t>high_danger</t>
  </si>
  <si>
    <t>Dump/RimInZone</t>
  </si>
  <si>
    <t>AssistPrimary</t>
  </si>
  <si>
    <t>AssistSecondary</t>
  </si>
  <si>
    <t>OpenIceDeke</t>
  </si>
  <si>
    <t>PuckRetrievalDumpIn</t>
  </si>
  <si>
    <t>PuckRetrievalShot</t>
  </si>
  <si>
    <t>PuckRetreivalTurnover</t>
  </si>
  <si>
    <t>PuckRetreivalPass</t>
  </si>
  <si>
    <t>EndToEndRush</t>
  </si>
  <si>
    <t>FrontofNet</t>
  </si>
  <si>
    <t>DumpInAttempt</t>
  </si>
  <si>
    <t>CutBack</t>
  </si>
  <si>
    <t>GiveAndGo</t>
  </si>
  <si>
    <t>Wheel</t>
  </si>
  <si>
    <t>Reverse</t>
  </si>
  <si>
    <t>QuickUp</t>
  </si>
  <si>
    <t>Screen</t>
  </si>
  <si>
    <t>ForecedOutside</t>
  </si>
  <si>
    <t>Zone</t>
  </si>
  <si>
    <t>BlockedShot</t>
  </si>
  <si>
    <t>PassIntercepted</t>
  </si>
  <si>
    <t>ClearingAttempt</t>
  </si>
  <si>
    <t>Pressure</t>
  </si>
  <si>
    <t>ZoneEntryDenial</t>
  </si>
  <si>
    <t>ZoneExitDenial</t>
  </si>
  <si>
    <t>PenaltyKillClear</t>
  </si>
  <si>
    <t>ManOnMan</t>
  </si>
  <si>
    <t>Tracker</t>
  </si>
  <si>
    <t>Surf</t>
  </si>
  <si>
    <t>InShotPassLane</t>
  </si>
  <si>
    <t>StickCheck</t>
  </si>
  <si>
    <t>OffensivePlay_Possession-DriveMiddle</t>
  </si>
  <si>
    <t>OffensivePlay_Zone-Breakout</t>
  </si>
  <si>
    <t>OffensivePlay_Possession-CutBack</t>
  </si>
  <si>
    <t>OffensivePlay_Zone-Dump/RimInZone</t>
  </si>
  <si>
    <t>Defensive_PlayShot-BlockedShot</t>
  </si>
  <si>
    <t>OffensivePlay_Zone-PuckRetrievalShot</t>
  </si>
  <si>
    <t>Regroup</t>
  </si>
  <si>
    <t>Counter</t>
  </si>
  <si>
    <t>SecondTouch</t>
  </si>
  <si>
    <t>ZoneExit</t>
  </si>
  <si>
    <t>ZoneEntry</t>
  </si>
  <si>
    <t>PuckRecoveryDumpIn</t>
  </si>
  <si>
    <t>PuckRecoveryShot</t>
  </si>
  <si>
    <t>PuckRecoveryTurnover</t>
  </si>
  <si>
    <t>PuckRecoveryPass</t>
  </si>
  <si>
    <t>PuckRetrievalRebound</t>
  </si>
  <si>
    <t>ForcedDumpin/Clear</t>
  </si>
  <si>
    <t>PuckRecoveryRebound</t>
  </si>
  <si>
    <t>PuckRetrieval</t>
  </si>
  <si>
    <t>PuckRecovery</t>
  </si>
  <si>
    <t>Pass-OneTouch</t>
  </si>
  <si>
    <t>Pass-SecondTouch</t>
  </si>
  <si>
    <t>Pass-QuickUp</t>
  </si>
  <si>
    <t>Pass-GiveAndGo</t>
  </si>
  <si>
    <t>Pass-Reverse</t>
  </si>
  <si>
    <t>ReceiverMissed</t>
  </si>
  <si>
    <t>u</t>
  </si>
  <si>
    <t>s</t>
  </si>
  <si>
    <t>AssistTertiary</t>
  </si>
  <si>
    <t>Context</t>
  </si>
  <si>
    <t>Dumpin</t>
  </si>
  <si>
    <t>Clear</t>
  </si>
  <si>
    <t>OffensivePlay_Zone-PuckRetreivalTurnover</t>
  </si>
  <si>
    <t>Defensive_PlayPossession-PokeCheck</t>
  </si>
  <si>
    <t>Defensive_PlayPossession-StickCheck</t>
  </si>
  <si>
    <t>OffensivePlay_Zone-DumpChase</t>
  </si>
  <si>
    <t>OffensivePlay_Zone-PuckRetrievalDumpIn</t>
  </si>
  <si>
    <t>Defensive_PlayPass-InShotPassLane</t>
  </si>
  <si>
    <t>Defensive_PlayPass-PassIntercepted</t>
  </si>
  <si>
    <t>OffensivePlay_Zone-PuckRetreivalPass</t>
  </si>
  <si>
    <t>OffensivePlay_Possession-DriveWide</t>
  </si>
  <si>
    <t>Defensive_PlayPossession-FroceWide</t>
  </si>
  <si>
    <t>Offensive_Zone-AttemptedKeepin</t>
  </si>
  <si>
    <t>OffensivePlay_Zone-PuckRecoveryShot</t>
  </si>
  <si>
    <t>Defensive_Zone-AttemptedBreakOutPass</t>
  </si>
  <si>
    <t>Defensive_Zone-AttemptedBreakOutRush</t>
  </si>
  <si>
    <t>Defensive_Zone-AttemptedBreakOutClear</t>
  </si>
  <si>
    <t>Offensive_Zone-AttemptedEntryPass</t>
  </si>
  <si>
    <t>Offensive_Zone-AttemptedEntryDumpIn</t>
  </si>
  <si>
    <t>Offensive_Zone-AttemptedEntryRush</t>
  </si>
  <si>
    <t>OffensivePlay_Zone-PuckRecoveryTurnover</t>
  </si>
  <si>
    <t>OffensivePlay_Pass-ReceiverMissed</t>
  </si>
  <si>
    <t>OffensivePlay_Zone-PuckRecoveryPass</t>
  </si>
  <si>
    <t>zone_change_index</t>
  </si>
  <si>
    <t>OffensivePlay_Possession-Chip</t>
  </si>
  <si>
    <t>Defensive_PlayZone-PuckRecoveryDumpIn</t>
  </si>
  <si>
    <t>OffensivePlay_Possession-OpenIceDeke</t>
  </si>
  <si>
    <t>Defensive_PlayPossession-BeatDeke</t>
  </si>
  <si>
    <t>Defensive_PlayPossession-Pressure</t>
  </si>
  <si>
    <t>OffensivePlay_Possession-Deke</t>
  </si>
  <si>
    <t>Defensive_PlayShot-FrontofNet</t>
  </si>
  <si>
    <t>OffensivePlay_Possession-FrontofNet</t>
  </si>
  <si>
    <t>OffensivePlay_Possession-CrashNet</t>
  </si>
  <si>
    <t>Defensive_PlayPossession-SeperateFromPuck</t>
  </si>
  <si>
    <t>Defensive_PlayZone-PuckRecoveryTurnover</t>
  </si>
  <si>
    <t>OffensivePlay_Possession-Delay</t>
  </si>
  <si>
    <t>Defensive_PlayPossession-BeatMiddle</t>
  </si>
  <si>
    <t>Defensive_PlayZone-PuckRetrievalShot</t>
  </si>
  <si>
    <t>OffensivePlay_Pass-Reverse</t>
  </si>
  <si>
    <t>Defensive_PlayPossession-BeatWide</t>
  </si>
  <si>
    <t>context</t>
  </si>
  <si>
    <t>LeadToBreakout</t>
  </si>
  <si>
    <t>LeadToZoneEntry</t>
  </si>
  <si>
    <t>LeadToTurnover</t>
  </si>
  <si>
    <t>LeadToShot</t>
  </si>
  <si>
    <t>LeadToGoal</t>
  </si>
  <si>
    <t>LeadToPenalty</t>
  </si>
  <si>
    <t>LeadToFailedBreakout</t>
  </si>
  <si>
    <t>LeadToFailedZoneEntry</t>
  </si>
  <si>
    <t>Defensive_PlayPossession-Surf</t>
  </si>
  <si>
    <t>OffensivePlay_Pass-QuickUp</t>
  </si>
  <si>
    <t>linked_event_id</t>
  </si>
  <si>
    <t>zone_change_id</t>
  </si>
  <si>
    <t>Defensive_PlayShot-BoxOut</t>
  </si>
  <si>
    <t>OffensivePlay_Zone-PuckRecoveryRebound</t>
  </si>
  <si>
    <t>OffensivePlay_Possession-DriveCorner</t>
  </si>
  <si>
    <t>OffensivePlay_Pass-SecondTouch</t>
  </si>
  <si>
    <t>OffensivePlay_Zone-DumpInAttempt</t>
  </si>
  <si>
    <t>Zone_Entryfailed</t>
  </si>
  <si>
    <t>Zone_ExitFailed</t>
  </si>
  <si>
    <t>Zone_KeepinFailed</t>
  </si>
  <si>
    <t>Zone-EntryFailed</t>
  </si>
  <si>
    <t>Zone-ExitFailed</t>
  </si>
  <si>
    <t>Zone-KeepinFailed</t>
  </si>
  <si>
    <t>Defensive_PlayPossession-Backcheck</t>
  </si>
  <si>
    <t>OffensivePlay_Possession-DriveNetMiddle</t>
  </si>
  <si>
    <t>OffensivePlay_Possession-DriveNetWide</t>
  </si>
  <si>
    <t>Defensive_PlayPossession-Contain</t>
  </si>
  <si>
    <t>Defensive_PlayPossession-BeatSpeed</t>
  </si>
  <si>
    <t>OffensivePlay_Possession-Other</t>
  </si>
  <si>
    <t>OffensivePlay_Possession-Speed</t>
  </si>
  <si>
    <t>Defensive_PlayPossession-Zone</t>
  </si>
  <si>
    <t>Defensive_PlayPossession-ManOnMan</t>
  </si>
  <si>
    <t>OffensivePlay_Possession-EndToEndRush</t>
  </si>
  <si>
    <t>Defensive_PlayPossession-Tracker</t>
  </si>
  <si>
    <t>OffensivePlay_Possession-Wheel</t>
  </si>
  <si>
    <t>OffensivePlay_Possession-ForecedOutside</t>
  </si>
  <si>
    <t>OffensivePlay_Pass-AssistPrimary</t>
  </si>
  <si>
    <t>OffensivePlay_Pass-AssistSecondary</t>
  </si>
  <si>
    <t>OffensivePlay_Pass-AssistTertiary</t>
  </si>
  <si>
    <t>OffensivePlay_Pass-GiveAndGo</t>
  </si>
  <si>
    <t>Defensive_PlayZone-ClearingAttempt</t>
  </si>
  <si>
    <t>Defensive_PlayZone-ZoneEntryDenial</t>
  </si>
  <si>
    <t>Defensive_PlayZone-ZoneExitDenial</t>
  </si>
  <si>
    <t>Defensive_PlayZone-PenaltyKillClear</t>
  </si>
  <si>
    <t>Defensive_PlayZone-PuckRetrievalDumpIn</t>
  </si>
  <si>
    <t>OffensivePlay_Shot-Screen</t>
  </si>
  <si>
    <t>Defensive_PlayZone-PuckRetreivalTurnover</t>
  </si>
  <si>
    <t>Defensive_PlayZone-PuckRetreivalPass</t>
  </si>
  <si>
    <t>OffensivePlay_Zone-Forecheck</t>
  </si>
  <si>
    <t>Defensive_PlayZone-PuckRetrievalRebound</t>
  </si>
  <si>
    <t>Defensive_PlayZone-PuckRecoveryShot</t>
  </si>
  <si>
    <t>OffensivePlay_Zone-Cycle</t>
  </si>
  <si>
    <t>Defensive_PlayZone-PuckRecoveryPass</t>
  </si>
  <si>
    <t>Defensive_PlayZone-PuckRecoveryRebound</t>
  </si>
  <si>
    <t>Defensive_PlayZone-ForcedDumpin/Clear</t>
  </si>
  <si>
    <t>OffensivePlay_Zone-PuckRetreivalRebound</t>
  </si>
  <si>
    <t>OffensivePlay_Zone-PuckRetreivalShot</t>
  </si>
  <si>
    <t>OffensivePlay_Zone-PuckRecoveryDumpIn</t>
  </si>
  <si>
    <t>Definition</t>
  </si>
  <si>
    <t>Next Event</t>
  </si>
  <si>
    <t>Linked Events</t>
  </si>
  <si>
    <t>Uses</t>
  </si>
  <si>
    <t>Pass, Turnover, Attempted Failed, Keepins</t>
  </si>
  <si>
    <t>Save Freeze</t>
  </si>
  <si>
    <t>Shot, Stoppage, Deadice</t>
  </si>
  <si>
    <t>Shot, Save</t>
  </si>
  <si>
    <t>Pass, Shot, Play</t>
  </si>
  <si>
    <t>Successful/Unsuccessful</t>
  </si>
  <si>
    <t>Successful Def</t>
  </si>
  <si>
    <t>Possession on zone entry when on breakaway</t>
  </si>
  <si>
    <t>Puck reterived after opp team touch/turnover'</t>
  </si>
  <si>
    <t>Puck recovered after same team touch/turnover</t>
  </si>
  <si>
    <t>Circle back in Nzone/Dzone</t>
  </si>
  <si>
    <t>Cut to middle of ice</t>
  </si>
  <si>
    <t>drive wide either foreced /unforced</t>
  </si>
  <si>
    <t>drive to offensive corner forced/unforced</t>
  </si>
  <si>
    <t>drive to slot from middle</t>
  </si>
  <si>
    <t>drive to slot from wide</t>
  </si>
  <si>
    <t>crash net for rebound</t>
  </si>
  <si>
    <t>dumped into ozone form ozone/nzone</t>
  </si>
  <si>
    <t>offensive players crashing puck after dumpin</t>
  </si>
  <si>
    <t>s/u</t>
  </si>
  <si>
    <t>successful if positive play made next</t>
  </si>
  <si>
    <t>sucessful if next play positive</t>
  </si>
  <si>
    <t>successful if next play positive</t>
  </si>
  <si>
    <t>tracking_event_index</t>
  </si>
  <si>
    <t>linked_event_index_</t>
  </si>
  <si>
    <t>ZoneEntry-Shot</t>
  </si>
  <si>
    <t>ZoneExit-Shot</t>
  </si>
  <si>
    <t>role_abrev_binary</t>
  </si>
  <si>
    <t>x</t>
  </si>
  <si>
    <t>Shot_MissedPost</t>
  </si>
  <si>
    <t>a</t>
  </si>
  <si>
    <t>17</t>
  </si>
  <si>
    <t>56</t>
  </si>
  <si>
    <t>n</t>
  </si>
  <si>
    <t>h</t>
  </si>
  <si>
    <t>d</t>
  </si>
  <si>
    <t>46</t>
  </si>
  <si>
    <t>31</t>
  </si>
  <si>
    <t>26</t>
  </si>
  <si>
    <t>25</t>
  </si>
  <si>
    <t>21</t>
  </si>
  <si>
    <t>0</t>
  </si>
  <si>
    <t>18</t>
  </si>
  <si>
    <t>15</t>
  </si>
  <si>
    <t>14</t>
  </si>
  <si>
    <t>12</t>
  </si>
  <si>
    <t>07</t>
  </si>
  <si>
    <t>01</t>
  </si>
  <si>
    <t>39</t>
  </si>
  <si>
    <t>35</t>
  </si>
  <si>
    <t>49</t>
  </si>
  <si>
    <t>5</t>
  </si>
  <si>
    <t>55</t>
  </si>
  <si>
    <t>11</t>
  </si>
  <si>
    <t>0.01</t>
  </si>
  <si>
    <t/>
  </si>
  <si>
    <t>GapControl</t>
  </si>
  <si>
    <t>BeatFake</t>
  </si>
  <si>
    <t>ForcedTurnover</t>
  </si>
  <si>
    <t>ForcedLostPossession</t>
  </si>
  <si>
    <t>ForcedMissedShot</t>
  </si>
  <si>
    <t>ForcedMissedPass</t>
  </si>
  <si>
    <t>FakeShot</t>
  </si>
  <si>
    <t>LoosePuckBattleWon</t>
  </si>
  <si>
    <t>LoosePuckBattleLost</t>
  </si>
  <si>
    <t>AttemptedKeepin</t>
  </si>
  <si>
    <t>AttemptedBreakOutPass</t>
  </si>
  <si>
    <t>AttemptedBreakOutRush</t>
  </si>
  <si>
    <t>AttemptedBreakOutClear</t>
  </si>
  <si>
    <t>AttemptedEntryDumpIn</t>
  </si>
  <si>
    <t>AttemptedEntryPass</t>
  </si>
  <si>
    <t>AttemptedEntryRush</t>
  </si>
  <si>
    <t>CededZoneExit</t>
  </si>
  <si>
    <t>CededZoneEntry</t>
  </si>
  <si>
    <t>PuckRetreivalFaceoff</t>
  </si>
  <si>
    <t>PuckRecoveryFaceoff</t>
  </si>
  <si>
    <t>PuckRetreivalOther</t>
  </si>
  <si>
    <t>PuckRecoveryOther</t>
  </si>
  <si>
    <t>RegroupClear</t>
  </si>
  <si>
    <t>RegroupDumpin</t>
  </si>
  <si>
    <t>ZoneKeepin</t>
  </si>
  <si>
    <t>PassDeflected</t>
  </si>
  <si>
    <t>StoppedDeke</t>
  </si>
  <si>
    <t>MisplayedPuck</t>
  </si>
  <si>
    <t>LostPuck</t>
  </si>
  <si>
    <t>ForceWide</t>
  </si>
  <si>
    <t>AttemptedBlockedShot</t>
  </si>
  <si>
    <t>team_</t>
  </si>
  <si>
    <t>player_game_number</t>
  </si>
  <si>
    <t>role_abrev_binary_</t>
  </si>
  <si>
    <t>event_team_zone_</t>
  </si>
  <si>
    <t>event_type_</t>
  </si>
  <si>
    <t>team_venue</t>
  </si>
  <si>
    <t>team_venue_abv</t>
  </si>
  <si>
    <t>home_team_zone_</t>
  </si>
  <si>
    <t>away_team_zone_</t>
  </si>
  <si>
    <t>team_venue_</t>
  </si>
  <si>
    <t>team_venue_abv_</t>
  </si>
  <si>
    <t>event_successful</t>
  </si>
  <si>
    <t>event_successful_</t>
  </si>
  <si>
    <t>period</t>
  </si>
  <si>
    <t>event_index_</t>
  </si>
  <si>
    <t>Shootout_OnNet</t>
  </si>
  <si>
    <t>Shootout_Missed</t>
  </si>
  <si>
    <t>Shootout_Saved</t>
  </si>
  <si>
    <t>Zone_EntryFailed</t>
  </si>
  <si>
    <t>play_details</t>
  </si>
  <si>
    <t>DelayedOffside</t>
  </si>
  <si>
    <t>DeflectedShot</t>
  </si>
  <si>
    <t>player_id</t>
  </si>
  <si>
    <t>player_team</t>
  </si>
  <si>
    <t>index</t>
  </si>
  <si>
    <t>team_game_id</t>
  </si>
  <si>
    <t>opp_team_game_id</t>
  </si>
  <si>
    <t>player_game_id</t>
  </si>
  <si>
    <t>team_name</t>
  </si>
  <si>
    <t>opp_team_name</t>
  </si>
  <si>
    <t>n_player_url</t>
  </si>
  <si>
    <t>player_position</t>
  </si>
  <si>
    <t>games_played</t>
  </si>
  <si>
    <t>goals</t>
  </si>
  <si>
    <t>assist</t>
  </si>
  <si>
    <t>goals_against</t>
  </si>
  <si>
    <t>pim</t>
  </si>
  <si>
    <t>shutouts</t>
  </si>
  <si>
    <t>team_id</t>
  </si>
  <si>
    <t>opp_team_id</t>
  </si>
  <si>
    <t>key</t>
  </si>
  <si>
    <t>player_full_name</t>
  </si>
  <si>
    <t>date</t>
  </si>
  <si>
    <t>season</t>
  </si>
  <si>
    <t>sub</t>
  </si>
  <si>
    <t>skill_rating</t>
  </si>
  <si>
    <t>Away Team Goals</t>
  </si>
  <si>
    <t>Home Team Goals</t>
  </si>
  <si>
    <t>Home Team Assists</t>
  </si>
  <si>
    <t>Home Team Penalties</t>
  </si>
  <si>
    <t>Away Team Assists</t>
  </si>
  <si>
    <t>Away Team Penalties</t>
  </si>
  <si>
    <t>In cell B3</t>
  </si>
  <si>
    <t>Goals</t>
  </si>
  <si>
    <t>Penalties</t>
  </si>
  <si>
    <t>AssistP</t>
  </si>
  <si>
    <t>AssistS</t>
  </si>
  <si>
    <t>Total Assists</t>
  </si>
  <si>
    <t>Goal Diff</t>
  </si>
  <si>
    <t>Penalty Diff</t>
  </si>
  <si>
    <t>Assist Diff</t>
  </si>
  <si>
    <t>home</t>
  </si>
  <si>
    <t>Defense</t>
  </si>
  <si>
    <t>N10010</t>
  </si>
  <si>
    <t>Forward</t>
  </si>
  <si>
    <t>Goalie</t>
  </si>
  <si>
    <t>away</t>
  </si>
  <si>
    <t>Ronnie Pinnell (C) – 4</t>
  </si>
  <si>
    <t>Ronnie Pinnell</t>
  </si>
  <si>
    <t>P100105</t>
  </si>
  <si>
    <t>Nick Ciampoli – 4</t>
  </si>
  <si>
    <t>Nick Ciampoli</t>
  </si>
  <si>
    <t>P100132</t>
  </si>
  <si>
    <t>Robert Mayfield (S) – 3</t>
  </si>
  <si>
    <t>Robert Mayfield</t>
  </si>
  <si>
    <t>P100108</t>
  </si>
  <si>
    <t>Wyatt Crandall – 5</t>
  </si>
  <si>
    <t>Wyatt Crandall</t>
  </si>
  <si>
    <t>P100016</t>
  </si>
  <si>
    <t>James Rynearson – 3</t>
  </si>
  <si>
    <t>James Rynearson</t>
  </si>
  <si>
    <t>P100064</t>
  </si>
  <si>
    <t>Kaitlyn Shain – 3</t>
  </si>
  <si>
    <t>Kaitlyn Shain</t>
  </si>
  <si>
    <t>P100224</t>
  </si>
  <si>
    <t>Sam Downs (A) – 6</t>
  </si>
  <si>
    <t>Sam Downs</t>
  </si>
  <si>
    <t>P100001</t>
  </si>
  <si>
    <t>Nicole Downs – 2</t>
  </si>
  <si>
    <t>Nicole Downs</t>
  </si>
  <si>
    <t>P100039</t>
  </si>
  <si>
    <t>Maxwell Donaty – 4</t>
  </si>
  <si>
    <t>Maxwell Donaty</t>
  </si>
  <si>
    <t>P100198</t>
  </si>
  <si>
    <t>Kevin White – 4</t>
  </si>
  <si>
    <t>Kevin White</t>
  </si>
  <si>
    <t>P100002</t>
  </si>
  <si>
    <t>Pat Major – 3</t>
  </si>
  <si>
    <t>Pat Major</t>
  </si>
  <si>
    <t>P100093</t>
  </si>
  <si>
    <t>play_detail_2</t>
  </si>
  <si>
    <t>play_detail1_</t>
  </si>
  <si>
    <t>play_detail2_</t>
  </si>
  <si>
    <t>play_detail_successful_</t>
  </si>
  <si>
    <t>pressured_pressurer_</t>
  </si>
  <si>
    <t>event_index_flag_</t>
  </si>
  <si>
    <t>linked_event_index_flag_</t>
  </si>
  <si>
    <t>sequence_index_flag_</t>
  </si>
  <si>
    <t>play_index_flag_</t>
  </si>
  <si>
    <t>AttemptedTip/Deflection</t>
  </si>
  <si>
    <t>sequence_index_</t>
  </si>
  <si>
    <t>play_index_</t>
  </si>
  <si>
    <t>Home</t>
  </si>
  <si>
    <t>Away</t>
  </si>
  <si>
    <t>player_game_number_</t>
  </si>
  <si>
    <t>venue</t>
  </si>
  <si>
    <t>PuckRecoveryRetreivalDumpIn</t>
  </si>
  <si>
    <t>PuckRecoveryRetreivalFaceoff</t>
  </si>
  <si>
    <t>PuckRecoveryRetreivalOther</t>
  </si>
  <si>
    <t>PuckRecoveryRetreivalPass</t>
  </si>
  <si>
    <t>PuckRecoveryRetreivalRebound</t>
  </si>
  <si>
    <t>PuckRecoveryRetreivalShot</t>
  </si>
  <si>
    <t>PuckRecoveryRetreivalTurnover</t>
  </si>
  <si>
    <t>PuckRecoveryRetreivalAttemptedClear</t>
  </si>
  <si>
    <t>PuckRecoveryRetreivalClear</t>
  </si>
  <si>
    <t>PuckRecoveryRetreivalLoosePuckBattle</t>
  </si>
  <si>
    <t>RecoveryRetreivalDumpIn</t>
  </si>
  <si>
    <t>RecoveryRetreivalFaceoff</t>
  </si>
  <si>
    <t>RecoveryRetreivalOther</t>
  </si>
  <si>
    <t>RecoveryRetreivalPass</t>
  </si>
  <si>
    <t>RecoveryRetreivalRebound</t>
  </si>
  <si>
    <t>RecoveryRetreivalShot</t>
  </si>
  <si>
    <t>RecoveryRetreivalTurnover</t>
  </si>
  <si>
    <t>RecoveryRetrievalDumpIn</t>
  </si>
  <si>
    <t>RecoveryRetrievalShot</t>
  </si>
  <si>
    <t>AttemptedShot</t>
  </si>
  <si>
    <t>AttemptedPass</t>
  </si>
  <si>
    <t>PassForTip</t>
  </si>
  <si>
    <t>home_team_plus</t>
  </si>
  <si>
    <t>home_team_minus</t>
  </si>
  <si>
    <t>away_team_plus</t>
  </si>
  <si>
    <t>away_team_minus</t>
  </si>
  <si>
    <t>event_team_zone2_</t>
  </si>
  <si>
    <t>Triple J</t>
  </si>
  <si>
    <t>=FILTER([BLB_Tables.xlsx]fact_gameroster!$A:$AA,[BLB_Tables.xlsx]fact_gameroster!$B:$B=events!$BA$2)'</t>
  </si>
  <si>
    <t>18991N10009</t>
  </si>
  <si>
    <t>18991N10010</t>
  </si>
  <si>
    <t>18991N10009P100020</t>
  </si>
  <si>
    <t>Rick Haenke – 5</t>
  </si>
  <si>
    <t>N10009</t>
  </si>
  <si>
    <t>18991Triple J1</t>
  </si>
  <si>
    <t>Rick Haenke</t>
  </si>
  <si>
    <t>P100020</t>
  </si>
  <si>
    <t>18991N10009P100183</t>
  </si>
  <si>
    <t>Lucy Spreter – 2</t>
  </si>
  <si>
    <t>18991Triple J10</t>
  </si>
  <si>
    <t>Lucy Spreter</t>
  </si>
  <si>
    <t>P100183</t>
  </si>
  <si>
    <t>18991N10009P100094</t>
  </si>
  <si>
    <t>Ryan Lewis – 3</t>
  </si>
  <si>
    <t>18991Triple J16</t>
  </si>
  <si>
    <t>Ryan Lewis</t>
  </si>
  <si>
    <t>P100094</t>
  </si>
  <si>
    <t>18991N10009P100089</t>
  </si>
  <si>
    <t>Brian Myers – 4</t>
  </si>
  <si>
    <t>18991Triple J19</t>
  </si>
  <si>
    <t>Brian Myers</t>
  </si>
  <si>
    <t>P100089</t>
  </si>
  <si>
    <t>18991N10009P100019</t>
  </si>
  <si>
    <t>Matt Lee – 5</t>
  </si>
  <si>
    <t>18991Triple J21</t>
  </si>
  <si>
    <t>Matt Lee</t>
  </si>
  <si>
    <t>P100019</t>
  </si>
  <si>
    <t>18991N10009P100006</t>
  </si>
  <si>
    <t>Bob Colby (C) – 4</t>
  </si>
  <si>
    <t>18991Triple J37</t>
  </si>
  <si>
    <t>Bob Colby</t>
  </si>
  <si>
    <t>P100006</t>
  </si>
  <si>
    <t>18991N10009P100206</t>
  </si>
  <si>
    <t>Brad Hogan – 4</t>
  </si>
  <si>
    <t>18991Triple J41</t>
  </si>
  <si>
    <t>Brad Hogan</t>
  </si>
  <si>
    <t>P100206</t>
  </si>
  <si>
    <t>18991N10009P100007</t>
  </si>
  <si>
    <t>Jason Mantaro (A) – 5</t>
  </si>
  <si>
    <t>18991Triple J57</t>
  </si>
  <si>
    <t>Jason Mantaro</t>
  </si>
  <si>
    <t>P100007</t>
  </si>
  <si>
    <t>18991N10009P100014</t>
  </si>
  <si>
    <t>Jon Schuepbach – 3</t>
  </si>
  <si>
    <t>18991Triple J69</t>
  </si>
  <si>
    <t>Jon Schuepbach</t>
  </si>
  <si>
    <t>P100014</t>
  </si>
  <si>
    <t>18991N10009P100008</t>
  </si>
  <si>
    <t>Zach DeBlois – 4</t>
  </si>
  <si>
    <t>18991Triple J71</t>
  </si>
  <si>
    <t>Zach DeBlois</t>
  </si>
  <si>
    <t>P100008</t>
  </si>
  <si>
    <t>18991N10009P100021</t>
  </si>
  <si>
    <t>Mike Flood – 5</t>
  </si>
  <si>
    <t>18991Triple J73</t>
  </si>
  <si>
    <t>Mike Flood</t>
  </si>
  <si>
    <t>P100021</t>
  </si>
  <si>
    <t>18991N10009P100233</t>
  </si>
  <si>
    <t>Laura Hogan – 2</t>
  </si>
  <si>
    <t>18991Triple J90</t>
  </si>
  <si>
    <t>Laura Hogan</t>
  </si>
  <si>
    <t>P100233</t>
  </si>
  <si>
    <t>18991N10010P100105</t>
  </si>
  <si>
    <t>18991Velodrome9</t>
  </si>
  <si>
    <t>18991N10010P100132</t>
  </si>
  <si>
    <t>18991Velodrome14</t>
  </si>
  <si>
    <t>18991N10010P100108</t>
  </si>
  <si>
    <t>18991Velodrome22</t>
  </si>
  <si>
    <t>18991N10010P100230</t>
  </si>
  <si>
    <t>Jennifer Valente – 2</t>
  </si>
  <si>
    <t>18991Velodrome24</t>
  </si>
  <si>
    <t>Jennifer Valente</t>
  </si>
  <si>
    <t>P100230</t>
  </si>
  <si>
    <t>18991N10010P100016</t>
  </si>
  <si>
    <t>18991Velodrome39</t>
  </si>
  <si>
    <t>18991N10010P100064</t>
  </si>
  <si>
    <t>18991Velodrome55</t>
  </si>
  <si>
    <t>18991N10010P100224</t>
  </si>
  <si>
    <t>18991Velodrome61</t>
  </si>
  <si>
    <t>18991N10010P100001</t>
  </si>
  <si>
    <t>18991Velodrome70</t>
  </si>
  <si>
    <t>18991N10010P100039</t>
  </si>
  <si>
    <t>18991Velodrome75</t>
  </si>
  <si>
    <t>18991N10010P100198</t>
  </si>
  <si>
    <t>18991Velodrome84</t>
  </si>
  <si>
    <t>18991N10010P100159</t>
  </si>
  <si>
    <t>Josh Cronk – 5</t>
  </si>
  <si>
    <t>18991Velodrome87</t>
  </si>
  <si>
    <t>Josh Cronk</t>
  </si>
  <si>
    <t>P100159</t>
  </si>
  <si>
    <t>18991N10010P100002</t>
  </si>
  <si>
    <t>18991Velodrome91</t>
  </si>
  <si>
    <t>18991N10010P100093</t>
  </si>
  <si>
    <t>18991Velodrome93</t>
  </si>
  <si>
    <t>58</t>
  </si>
  <si>
    <t>44</t>
  </si>
  <si>
    <t>34</t>
  </si>
  <si>
    <t>47</t>
  </si>
  <si>
    <t>42</t>
  </si>
  <si>
    <t>57</t>
  </si>
  <si>
    <t>24</t>
  </si>
  <si>
    <t>38</t>
  </si>
  <si>
    <t>20</t>
  </si>
  <si>
    <t>41</t>
  </si>
  <si>
    <t>37</t>
  </si>
  <si>
    <t>27</t>
  </si>
  <si>
    <t>02</t>
  </si>
  <si>
    <t>43</t>
  </si>
  <si>
    <t>06</t>
  </si>
  <si>
    <t>33</t>
  </si>
  <si>
    <t>52</t>
  </si>
  <si>
    <t>50</t>
  </si>
  <si>
    <t>30</t>
  </si>
  <si>
    <t>09</t>
  </si>
  <si>
    <t>32</t>
  </si>
  <si>
    <t>45</t>
  </si>
  <si>
    <t>10</t>
  </si>
  <si>
    <t>04</t>
  </si>
  <si>
    <t>28</t>
  </si>
  <si>
    <t>53</t>
  </si>
  <si>
    <t>16</t>
  </si>
  <si>
    <t>23</t>
  </si>
  <si>
    <t>19</t>
  </si>
  <si>
    <t>03</t>
  </si>
  <si>
    <t>59</t>
  </si>
  <si>
    <t>54</t>
  </si>
  <si>
    <t>51</t>
  </si>
  <si>
    <t>,</t>
  </si>
  <si>
    <t>36</t>
  </si>
  <si>
    <t>29</t>
  </si>
  <si>
    <t>13</t>
  </si>
  <si>
    <t>08</t>
  </si>
  <si>
    <t>48</t>
  </si>
  <si>
    <t>22</t>
  </si>
  <si>
    <t>40</t>
  </si>
  <si>
    <t>05</t>
  </si>
  <si>
    <t>9</t>
  </si>
  <si>
    <t>8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</si>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</sst>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/>
    <xf numFmtId="0" fontId="0" fillId="0" borderId="1" xfId="0" applyBorder="1"/>
    <xf numFmtId="0" fontId="0" fillId="0" borderId="2" xfId="0" applyBorder="1"/>
    <xf numFmtId="0" fontId="3" fillId="0" borderId="1" xfId="0" applyFon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49" fontId="0" fillId="0" borderId="0" xfId="1" applyNumberFormat="1" applyFont="1"/>
    <xf numFmtId="164" fontId="0" fillId="0" borderId="0" xfId="1" applyNumberFormat="1" applyFont="1"/>
    <xf numFmtId="0" fontId="0" fillId="3" borderId="0" xfId="0" applyFill="1" applyAlignment="1">
      <alignment horizontal="center" vertical="center" wrapText="1"/>
    </xf>
    <xf numFmtId="164" fontId="0" fillId="0" borderId="0" xfId="0" applyNumberFormat="1"/>
    <xf numFmtId="0" fontId="4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49" fontId="3" fillId="4" borderId="0" xfId="0" applyNumberFormat="1" applyFont="1" applyFill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0" borderId="0" xfId="0" applyFont="1"/>
    <xf numFmtId="0" fontId="3" fillId="6" borderId="0" xfId="0" applyFont="1" applyFill="1"/>
    <xf numFmtId="0" fontId="0" fillId="6" borderId="0" xfId="0" applyFill="1"/>
    <xf numFmtId="0" fontId="0" fillId="2" borderId="0" xfId="0" applyFill="1"/>
    <xf numFmtId="0" fontId="0" fillId="7" borderId="0" xfId="0" applyFill="1"/>
    <xf numFmtId="0" fontId="3" fillId="5" borderId="1" xfId="0" applyFont="1" applyFill="1" applyBorder="1" applyAlignment="1">
      <alignment horizontal="center" vertical="center" wrapText="1"/>
    </xf>
    <xf numFmtId="164" fontId="3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164" fontId="3" fillId="2" borderId="0" xfId="1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top"/>
    </xf>
    <xf numFmtId="14" fontId="4" fillId="0" borderId="0" xfId="0" applyNumberFormat="1" applyFont="1" applyAlignment="1">
      <alignment horizontal="left" vertical="top"/>
    </xf>
    <xf numFmtId="0" fontId="0" fillId="0" borderId="0" xfId="0" quotePrefix="1"/>
    <xf numFmtId="164" fontId="0" fillId="0" borderId="0" xfId="1" applyNumberFormat="1" applyFont="1" applyFill="1"/>
    <xf numFmtId="0" fontId="0" fillId="4" borderId="0" xfId="0" applyFill="1"/>
    <xf numFmtId="0" fontId="4" fillId="4" borderId="0" xfId="0" applyFont="1" applyFill="1" applyAlignment="1">
      <alignment horizontal="left" vertical="top"/>
    </xf>
    <xf numFmtId="0" fontId="3" fillId="2" borderId="2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0" fillId="6" borderId="0" xfId="0" applyNumberFormat="1" applyFill="1"/>
    <xf numFmtId="49" fontId="3" fillId="6" borderId="1" xfId="0" applyNumberFormat="1" applyFont="1" applyFill="1" applyBorder="1" applyAlignment="1">
      <alignment horizontal="center" vertical="center" wrapText="1"/>
    </xf>
    <xf numFmtId="49" fontId="0" fillId="6" borderId="1" xfId="0" applyNumberFormat="1" applyFill="1" applyBorder="1"/>
    <xf numFmtId="0" fontId="3" fillId="6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0" fillId="8" borderId="0" xfId="0" applyFill="1"/>
  </cellXfs>
  <cellStyles count="2">
    <cellStyle name="Comma" xfId="1" builtinId="3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39AB4-E8FF-9D43-AA82-D735CBAF8F65}">
  <dimension ref="A1:AY66"/>
  <sheetViews>
    <sheetView workbookViewId="0">
      <selection activeCell="G4" sqref="G4"/>
    </sheetView>
  </sheetViews>
  <sheetFormatPr baseColWidth="10" defaultRowHeight="16" x14ac:dyDescent="0.2"/>
  <sheetData>
    <row r="1" spans="1:51" ht="68" x14ac:dyDescent="0.2">
      <c r="A1" s="2" t="s">
        <v>256</v>
      </c>
      <c r="B1" s="9" t="s">
        <v>0</v>
      </c>
      <c r="C1" s="2" t="s">
        <v>259</v>
      </c>
      <c r="D1" s="8" t="s">
        <v>260</v>
      </c>
      <c r="E1" s="2" t="s">
        <v>261</v>
      </c>
      <c r="F1" s="8" t="s">
        <v>262</v>
      </c>
      <c r="G1" s="9" t="s">
        <v>257</v>
      </c>
      <c r="H1" s="12" t="s">
        <v>258</v>
      </c>
      <c r="I1" s="2" t="s">
        <v>263</v>
      </c>
      <c r="J1" s="2" t="s">
        <v>264</v>
      </c>
      <c r="K1" s="2" t="s">
        <v>265</v>
      </c>
      <c r="L1" s="2" t="s">
        <v>266</v>
      </c>
      <c r="M1" s="2" t="s">
        <v>267</v>
      </c>
      <c r="N1" s="2" t="s">
        <v>269</v>
      </c>
      <c r="O1" s="12" t="s">
        <v>268</v>
      </c>
      <c r="P1" s="9" t="s">
        <v>270</v>
      </c>
      <c r="Q1" s="2" t="s">
        <v>271</v>
      </c>
      <c r="R1" s="2" t="s">
        <v>272</v>
      </c>
      <c r="S1" s="2" t="s">
        <v>273</v>
      </c>
      <c r="T1" s="2" t="s">
        <v>274</v>
      </c>
      <c r="U1" s="2" t="s">
        <v>276</v>
      </c>
      <c r="V1" s="2" t="s">
        <v>275</v>
      </c>
      <c r="W1" s="10" t="s">
        <v>277</v>
      </c>
      <c r="X1" s="13" t="s">
        <v>278</v>
      </c>
      <c r="Y1" s="11" t="s">
        <v>279</v>
      </c>
      <c r="Z1" s="16" t="s">
        <v>280</v>
      </c>
      <c r="AA1" s="11" t="s">
        <v>281</v>
      </c>
      <c r="AB1" s="16" t="s">
        <v>282</v>
      </c>
      <c r="AC1" s="11" t="s">
        <v>283</v>
      </c>
      <c r="AD1" s="2" t="s">
        <v>248</v>
      </c>
      <c r="AE1" s="2" t="s">
        <v>249</v>
      </c>
      <c r="AF1" s="2" t="s">
        <v>250</v>
      </c>
      <c r="AG1" s="2" t="s">
        <v>360</v>
      </c>
      <c r="AH1" s="2" t="s">
        <v>359</v>
      </c>
      <c r="AI1" s="2" t="s">
        <v>361</v>
      </c>
      <c r="AJ1" s="2" t="s">
        <v>345</v>
      </c>
      <c r="AK1" s="2" t="s">
        <v>346</v>
      </c>
      <c r="AL1" s="2" t="s">
        <v>347</v>
      </c>
      <c r="AM1" s="2" t="s">
        <v>348</v>
      </c>
      <c r="AN1" s="2" t="s">
        <v>350</v>
      </c>
      <c r="AO1" s="2" t="s">
        <v>349</v>
      </c>
      <c r="AP1" s="2" t="s">
        <v>351</v>
      </c>
      <c r="AQ1" s="2" t="s">
        <v>352</v>
      </c>
      <c r="AR1" s="2" t="s">
        <v>353</v>
      </c>
      <c r="AS1" s="2" t="s">
        <v>362</v>
      </c>
      <c r="AT1" s="2" t="s">
        <v>363</v>
      </c>
      <c r="AU1" s="2" t="s">
        <v>364</v>
      </c>
      <c r="AV1" s="18" t="s">
        <v>396</v>
      </c>
      <c r="AW1" s="18" t="s">
        <v>403</v>
      </c>
      <c r="AX1" s="2" t="s">
        <v>404</v>
      </c>
      <c r="AY1" s="2" t="s">
        <v>405</v>
      </c>
    </row>
    <row r="2" spans="1:51" x14ac:dyDescent="0.2">
      <c r="A2">
        <v>40</v>
      </c>
      <c r="B2">
        <v>1</v>
      </c>
      <c r="C2">
        <v>2</v>
      </c>
      <c r="D2" t="s">
        <v>747</v>
      </c>
      <c r="E2">
        <v>0</v>
      </c>
      <c r="F2" t="s">
        <v>750</v>
      </c>
      <c r="G2" t="s">
        <v>289</v>
      </c>
      <c r="H2" t="s">
        <v>341</v>
      </c>
      <c r="I2">
        <v>42</v>
      </c>
      <c r="J2">
        <v>14</v>
      </c>
      <c r="K2">
        <v>61</v>
      </c>
      <c r="L2">
        <v>22</v>
      </c>
      <c r="M2">
        <v>9</v>
      </c>
      <c r="O2">
        <v>39</v>
      </c>
      <c r="P2">
        <v>91</v>
      </c>
      <c r="Q2">
        <v>80</v>
      </c>
      <c r="R2">
        <v>89</v>
      </c>
      <c r="S2">
        <v>4</v>
      </c>
      <c r="T2">
        <v>25</v>
      </c>
      <c r="V2">
        <v>30</v>
      </c>
      <c r="Y2">
        <v>1</v>
      </c>
    </row>
    <row r="3" spans="1:51" x14ac:dyDescent="0.2">
      <c r="A3">
        <v>41</v>
      </c>
      <c r="B3">
        <v>1</v>
      </c>
      <c r="C3">
        <v>0</v>
      </c>
      <c r="D3" t="s">
        <v>750</v>
      </c>
      <c r="E3">
        <v>0</v>
      </c>
      <c r="F3" t="s">
        <v>755</v>
      </c>
      <c r="G3" t="s">
        <v>289</v>
      </c>
      <c r="H3" t="s">
        <v>292</v>
      </c>
      <c r="I3">
        <v>42</v>
      </c>
      <c r="J3">
        <v>14</v>
      </c>
      <c r="K3">
        <v>61</v>
      </c>
      <c r="L3">
        <v>22</v>
      </c>
      <c r="M3">
        <v>9</v>
      </c>
      <c r="O3">
        <v>39</v>
      </c>
      <c r="P3">
        <v>77</v>
      </c>
      <c r="Q3">
        <v>13</v>
      </c>
      <c r="R3">
        <v>68</v>
      </c>
      <c r="S3">
        <v>4</v>
      </c>
      <c r="T3">
        <v>25</v>
      </c>
      <c r="V3">
        <v>30</v>
      </c>
      <c r="Y3">
        <v>1</v>
      </c>
    </row>
    <row r="4" spans="1:51" x14ac:dyDescent="0.2">
      <c r="A4">
        <v>42</v>
      </c>
      <c r="B4">
        <v>1</v>
      </c>
      <c r="G4" t="s">
        <v>393</v>
      </c>
    </row>
    <row r="5" spans="1:51" x14ac:dyDescent="0.2">
      <c r="A5">
        <v>43</v>
      </c>
      <c r="B5">
        <v>2</v>
      </c>
      <c r="C5">
        <v>18</v>
      </c>
      <c r="D5">
        <v>0</v>
      </c>
      <c r="E5">
        <v>17</v>
      </c>
      <c r="F5" t="s">
        <v>743</v>
      </c>
      <c r="G5" t="s">
        <v>284</v>
      </c>
      <c r="H5" t="s">
        <v>341</v>
      </c>
      <c r="I5">
        <v>70</v>
      </c>
      <c r="J5">
        <v>14</v>
      </c>
      <c r="K5">
        <v>55</v>
      </c>
      <c r="L5">
        <v>91</v>
      </c>
      <c r="M5">
        <v>84</v>
      </c>
      <c r="O5">
        <v>39</v>
      </c>
      <c r="P5">
        <v>77</v>
      </c>
      <c r="Q5">
        <v>13</v>
      </c>
      <c r="R5">
        <v>68</v>
      </c>
      <c r="S5">
        <v>44</v>
      </c>
      <c r="T5">
        <v>18</v>
      </c>
      <c r="V5">
        <v>30</v>
      </c>
      <c r="Y5">
        <v>1</v>
      </c>
    </row>
    <row r="8" spans="1:51" x14ac:dyDescent="0.2">
      <c r="A8">
        <v>105</v>
      </c>
      <c r="B8">
        <v>3</v>
      </c>
      <c r="C8">
        <v>1</v>
      </c>
      <c r="D8" t="s">
        <v>748</v>
      </c>
      <c r="E8">
        <v>0</v>
      </c>
      <c r="F8" t="s">
        <v>751</v>
      </c>
      <c r="I8">
        <v>42</v>
      </c>
      <c r="J8">
        <v>24</v>
      </c>
      <c r="K8">
        <v>61</v>
      </c>
      <c r="L8">
        <v>91</v>
      </c>
      <c r="M8">
        <v>84</v>
      </c>
      <c r="O8">
        <v>39</v>
      </c>
      <c r="P8">
        <v>77</v>
      </c>
      <c r="Q8">
        <v>12</v>
      </c>
      <c r="R8">
        <v>68</v>
      </c>
      <c r="S8">
        <v>44</v>
      </c>
      <c r="T8">
        <v>18</v>
      </c>
      <c r="V8">
        <v>30</v>
      </c>
      <c r="AA8">
        <v>1</v>
      </c>
    </row>
    <row r="9" spans="1:51" x14ac:dyDescent="0.2">
      <c r="A9">
        <v>106</v>
      </c>
      <c r="B9">
        <v>3</v>
      </c>
      <c r="C9">
        <v>0</v>
      </c>
      <c r="D9" t="s">
        <v>751</v>
      </c>
      <c r="E9">
        <v>0</v>
      </c>
      <c r="F9" t="s">
        <v>755</v>
      </c>
      <c r="H9" t="s">
        <v>400</v>
      </c>
      <c r="I9">
        <v>42</v>
      </c>
      <c r="J9">
        <v>24</v>
      </c>
      <c r="K9">
        <v>61</v>
      </c>
      <c r="L9">
        <v>91</v>
      </c>
      <c r="M9">
        <v>84</v>
      </c>
      <c r="O9">
        <v>39</v>
      </c>
      <c r="P9">
        <v>77</v>
      </c>
      <c r="Q9">
        <v>12</v>
      </c>
      <c r="R9">
        <v>56</v>
      </c>
      <c r="S9">
        <v>44</v>
      </c>
      <c r="T9">
        <v>18</v>
      </c>
      <c r="U9">
        <v>3</v>
      </c>
      <c r="AA9">
        <v>1</v>
      </c>
    </row>
    <row r="10" spans="1:51" x14ac:dyDescent="0.2">
      <c r="A10">
        <v>107</v>
      </c>
      <c r="B10">
        <v>3</v>
      </c>
      <c r="C10">
        <v>0</v>
      </c>
      <c r="D10" t="s">
        <v>755</v>
      </c>
    </row>
    <row r="25" spans="1:42" ht="34" x14ac:dyDescent="0.2">
      <c r="A25" s="20" t="s">
        <v>242</v>
      </c>
      <c r="B25" s="20" t="s">
        <v>725</v>
      </c>
      <c r="C25" s="20" t="s">
        <v>518</v>
      </c>
      <c r="D25" s="20" t="s">
        <v>724</v>
      </c>
      <c r="E25" s="23" t="s">
        <v>243</v>
      </c>
      <c r="F25" s="23" t="s">
        <v>244</v>
      </c>
      <c r="G25" s="29" t="s">
        <v>621</v>
      </c>
      <c r="H25" s="1" t="s">
        <v>0</v>
      </c>
      <c r="I25" s="21" t="s">
        <v>409</v>
      </c>
      <c r="J25" s="21" t="s">
        <v>410</v>
      </c>
      <c r="K25" s="21" t="s">
        <v>411</v>
      </c>
      <c r="L25" s="22" t="s">
        <v>412</v>
      </c>
      <c r="M25" s="1" t="s">
        <v>252</v>
      </c>
      <c r="N25" s="1" t="s">
        <v>253</v>
      </c>
      <c r="O25" s="1" t="s">
        <v>254</v>
      </c>
      <c r="P25" s="7" t="s">
        <v>255</v>
      </c>
      <c r="Q25" s="20" t="s">
        <v>522</v>
      </c>
      <c r="R25" s="20" t="s">
        <v>4</v>
      </c>
      <c r="S25" s="20" t="s">
        <v>728</v>
      </c>
      <c r="T25" s="20" t="s">
        <v>369</v>
      </c>
      <c r="U25" s="20" t="s">
        <v>406</v>
      </c>
      <c r="V25" s="20" t="s">
        <v>407</v>
      </c>
      <c r="W25" s="20" t="s">
        <v>408</v>
      </c>
      <c r="X25" s="23" t="s">
        <v>449</v>
      </c>
      <c r="Y25" s="20" t="s">
        <v>451</v>
      </c>
      <c r="Z25" s="20" t="s">
        <v>452</v>
      </c>
      <c r="AA25" s="23" t="s">
        <v>453</v>
      </c>
      <c r="AB25" s="23" t="s">
        <v>638</v>
      </c>
      <c r="AC25" s="23" t="s">
        <v>525</v>
      </c>
      <c r="AD25" s="23" t="s">
        <v>526</v>
      </c>
      <c r="AE25" s="23" t="s">
        <v>536</v>
      </c>
      <c r="AF25" s="20" t="s">
        <v>454</v>
      </c>
      <c r="AG25" s="1" t="s">
        <v>455</v>
      </c>
      <c r="AH25" s="1" t="s">
        <v>456</v>
      </c>
      <c r="AI25" s="20" t="s">
        <v>534</v>
      </c>
      <c r="AJ25" s="20" t="s">
        <v>535</v>
      </c>
    </row>
    <row r="27" spans="1:42" x14ac:dyDescent="0.2">
      <c r="A27">
        <v>599</v>
      </c>
      <c r="B27" t="s">
        <v>756</v>
      </c>
      <c r="C27" t="s">
        <v>756</v>
      </c>
      <c r="D27" t="s">
        <v>756</v>
      </c>
      <c r="H27">
        <v>1</v>
      </c>
      <c r="I27" t="s">
        <v>742</v>
      </c>
      <c r="J27" t="s">
        <v>748</v>
      </c>
      <c r="Q27" t="s">
        <v>731</v>
      </c>
      <c r="R27">
        <v>13</v>
      </c>
      <c r="S27">
        <v>1</v>
      </c>
      <c r="T27" t="s">
        <v>367</v>
      </c>
      <c r="U27" t="s">
        <v>6</v>
      </c>
      <c r="V27" t="s">
        <v>181</v>
      </c>
      <c r="W27" t="s">
        <v>53</v>
      </c>
      <c r="X27" t="s">
        <v>594</v>
      </c>
      <c r="AF27" t="s">
        <v>368</v>
      </c>
      <c r="AJ27">
        <v>1</v>
      </c>
      <c r="AM27" t="s">
        <v>6</v>
      </c>
      <c r="AN27" t="s">
        <v>181</v>
      </c>
      <c r="AP27" t="s">
        <v>516</v>
      </c>
    </row>
    <row r="28" spans="1:42" x14ac:dyDescent="0.2">
      <c r="A28">
        <v>599</v>
      </c>
      <c r="B28" t="s">
        <v>756</v>
      </c>
      <c r="C28" t="s">
        <v>756</v>
      </c>
      <c r="D28" t="s">
        <v>756</v>
      </c>
      <c r="H28">
        <v>1</v>
      </c>
      <c r="R28">
        <v>9</v>
      </c>
      <c r="T28" t="s">
        <v>368</v>
      </c>
      <c r="Y28" t="s">
        <v>602</v>
      </c>
      <c r="AA28" t="s">
        <v>595</v>
      </c>
      <c r="AJ28">
        <v>1</v>
      </c>
      <c r="AM28" t="s">
        <v>6</v>
      </c>
      <c r="AN28" t="s">
        <v>181</v>
      </c>
      <c r="AP28" t="s">
        <v>517</v>
      </c>
    </row>
    <row r="29" spans="1:42" x14ac:dyDescent="0.2">
      <c r="A29">
        <v>600</v>
      </c>
      <c r="B29" t="s">
        <v>756</v>
      </c>
      <c r="C29" t="s">
        <v>756</v>
      </c>
      <c r="D29" t="s">
        <v>756</v>
      </c>
      <c r="H29">
        <v>1</v>
      </c>
      <c r="I29" t="s">
        <v>742</v>
      </c>
      <c r="J29" t="s">
        <v>413</v>
      </c>
      <c r="T29" t="s">
        <v>368</v>
      </c>
      <c r="U29" t="s">
        <v>11</v>
      </c>
      <c r="V29" t="s">
        <v>177</v>
      </c>
      <c r="W29" t="s">
        <v>39</v>
      </c>
      <c r="AM29" t="s">
        <v>11</v>
      </c>
      <c r="AN29" t="s">
        <v>177</v>
      </c>
      <c r="AP29" t="s">
        <v>756</v>
      </c>
    </row>
    <row r="30" spans="1:42" x14ac:dyDescent="0.2">
      <c r="A30">
        <v>601</v>
      </c>
      <c r="B30" t="s">
        <v>756</v>
      </c>
      <c r="C30" t="s">
        <v>756</v>
      </c>
      <c r="D30" t="s">
        <v>756</v>
      </c>
      <c r="H30">
        <v>2</v>
      </c>
      <c r="I30" t="s">
        <v>733</v>
      </c>
      <c r="J30" t="s">
        <v>737</v>
      </c>
      <c r="K30" t="s">
        <v>753</v>
      </c>
      <c r="L30" t="s">
        <v>749</v>
      </c>
      <c r="T30" t="s">
        <v>368</v>
      </c>
      <c r="U30" t="s">
        <v>393</v>
      </c>
      <c r="AM30" t="s">
        <v>393</v>
      </c>
      <c r="AN30" t="s">
        <v>756</v>
      </c>
      <c r="AP30" t="s">
        <v>756</v>
      </c>
    </row>
    <row r="31" spans="1:42" x14ac:dyDescent="0.2">
      <c r="A31">
        <v>602</v>
      </c>
      <c r="B31" t="s">
        <v>756</v>
      </c>
      <c r="C31" t="s">
        <v>756</v>
      </c>
      <c r="D31" t="s">
        <v>756</v>
      </c>
      <c r="H31">
        <v>2</v>
      </c>
      <c r="I31" t="s">
        <v>743</v>
      </c>
      <c r="J31" t="s">
        <v>413</v>
      </c>
      <c r="Q31" t="s">
        <v>735</v>
      </c>
      <c r="R31">
        <v>70</v>
      </c>
      <c r="S31">
        <v>1</v>
      </c>
      <c r="T31" t="s">
        <v>367</v>
      </c>
      <c r="U31" t="s">
        <v>5</v>
      </c>
      <c r="V31" t="s">
        <v>197</v>
      </c>
      <c r="AF31" t="s">
        <v>734</v>
      </c>
      <c r="AM31" t="s">
        <v>5</v>
      </c>
      <c r="AN31" t="s">
        <v>197</v>
      </c>
      <c r="AP31" t="s">
        <v>516</v>
      </c>
    </row>
    <row r="34" spans="1:42" x14ac:dyDescent="0.2">
      <c r="A34">
        <v>1438</v>
      </c>
      <c r="B34">
        <v>223</v>
      </c>
      <c r="H34">
        <v>3</v>
      </c>
      <c r="I34" t="s">
        <v>752</v>
      </c>
      <c r="J34" t="s">
        <v>753</v>
      </c>
      <c r="Q34" t="s">
        <v>735</v>
      </c>
      <c r="R34">
        <v>61</v>
      </c>
      <c r="S34">
        <v>1</v>
      </c>
      <c r="T34" t="s">
        <v>367</v>
      </c>
      <c r="U34" t="s">
        <v>6</v>
      </c>
      <c r="V34" t="s">
        <v>240</v>
      </c>
      <c r="AF34" t="s">
        <v>368</v>
      </c>
      <c r="AM34" t="s">
        <v>6</v>
      </c>
      <c r="AN34" t="s">
        <v>240</v>
      </c>
      <c r="AP34" t="s">
        <v>516</v>
      </c>
    </row>
    <row r="35" spans="1:42" x14ac:dyDescent="0.2">
      <c r="A35">
        <v>1438</v>
      </c>
      <c r="B35">
        <v>223</v>
      </c>
      <c r="H35">
        <v>3</v>
      </c>
      <c r="R35">
        <v>30</v>
      </c>
      <c r="T35" t="s">
        <v>368</v>
      </c>
      <c r="AM35" t="s">
        <v>6</v>
      </c>
      <c r="AN35" t="s">
        <v>240</v>
      </c>
      <c r="AP35" t="s">
        <v>517</v>
      </c>
    </row>
    <row r="36" spans="1:42" x14ac:dyDescent="0.2">
      <c r="A36">
        <v>1439</v>
      </c>
      <c r="B36">
        <v>223</v>
      </c>
      <c r="H36">
        <v>3</v>
      </c>
      <c r="I36" t="s">
        <v>752</v>
      </c>
      <c r="J36" t="s">
        <v>753</v>
      </c>
      <c r="Q36" t="s">
        <v>735</v>
      </c>
      <c r="R36">
        <v>61</v>
      </c>
      <c r="S36">
        <v>1</v>
      </c>
      <c r="T36" t="s">
        <v>367</v>
      </c>
      <c r="U36" t="s">
        <v>8</v>
      </c>
      <c r="V36" t="s">
        <v>213</v>
      </c>
      <c r="W36" t="s">
        <v>216</v>
      </c>
      <c r="AF36" t="s">
        <v>368</v>
      </c>
      <c r="AM36" t="s">
        <v>8</v>
      </c>
      <c r="AN36" t="s">
        <v>213</v>
      </c>
      <c r="AP36" t="s">
        <v>516</v>
      </c>
    </row>
    <row r="37" spans="1:42" x14ac:dyDescent="0.2">
      <c r="A37">
        <v>1439</v>
      </c>
      <c r="B37">
        <v>223</v>
      </c>
      <c r="H37">
        <v>3</v>
      </c>
      <c r="R37">
        <v>30</v>
      </c>
      <c r="T37" t="s">
        <v>368</v>
      </c>
      <c r="AM37" t="s">
        <v>8</v>
      </c>
      <c r="AN37" t="s">
        <v>213</v>
      </c>
      <c r="AP37" t="s">
        <v>517</v>
      </c>
    </row>
    <row r="38" spans="1:42" x14ac:dyDescent="0.2">
      <c r="A38">
        <v>1440</v>
      </c>
      <c r="B38">
        <v>223</v>
      </c>
      <c r="H38">
        <v>3</v>
      </c>
      <c r="I38" t="s">
        <v>752</v>
      </c>
      <c r="J38" t="s">
        <v>753</v>
      </c>
      <c r="Q38" t="s">
        <v>735</v>
      </c>
      <c r="R38">
        <v>61</v>
      </c>
      <c r="S38">
        <v>1</v>
      </c>
      <c r="T38" t="s">
        <v>367</v>
      </c>
      <c r="U38" t="s">
        <v>11</v>
      </c>
      <c r="V38" t="s">
        <v>187</v>
      </c>
      <c r="W38" t="s">
        <v>40</v>
      </c>
      <c r="AF38" t="s">
        <v>368</v>
      </c>
      <c r="AJ38">
        <v>1</v>
      </c>
      <c r="AM38" t="s">
        <v>11</v>
      </c>
      <c r="AN38" t="s">
        <v>187</v>
      </c>
      <c r="AP38" t="s">
        <v>756</v>
      </c>
    </row>
    <row r="39" spans="1:42" x14ac:dyDescent="0.2">
      <c r="A39">
        <v>1441</v>
      </c>
      <c r="B39">
        <v>223</v>
      </c>
      <c r="H39">
        <v>3</v>
      </c>
      <c r="I39" t="s">
        <v>752</v>
      </c>
      <c r="J39" t="s">
        <v>753</v>
      </c>
      <c r="K39" t="s">
        <v>752</v>
      </c>
      <c r="L39" t="s">
        <v>738</v>
      </c>
      <c r="Q39" t="s">
        <v>735</v>
      </c>
      <c r="R39">
        <v>61</v>
      </c>
      <c r="S39">
        <v>1</v>
      </c>
      <c r="T39" t="s">
        <v>367</v>
      </c>
      <c r="U39" t="s">
        <v>241</v>
      </c>
      <c r="AF39" t="s">
        <v>368</v>
      </c>
      <c r="AJ39">
        <v>1</v>
      </c>
      <c r="AM39" t="s">
        <v>241</v>
      </c>
      <c r="AN39" t="s">
        <v>756</v>
      </c>
      <c r="AP39" t="s">
        <v>756</v>
      </c>
    </row>
    <row r="43" spans="1:42" x14ac:dyDescent="0.2">
      <c r="A43">
        <v>1590</v>
      </c>
      <c r="H43">
        <v>3</v>
      </c>
      <c r="I43" t="s">
        <v>742</v>
      </c>
      <c r="J43" t="s">
        <v>739</v>
      </c>
      <c r="Q43" t="s">
        <v>735</v>
      </c>
      <c r="R43">
        <v>84</v>
      </c>
      <c r="S43">
        <v>1</v>
      </c>
      <c r="T43" t="s">
        <v>367</v>
      </c>
      <c r="U43" t="s">
        <v>417</v>
      </c>
      <c r="AF43" t="s">
        <v>736</v>
      </c>
      <c r="AJ43">
        <v>1</v>
      </c>
      <c r="AM43" t="s">
        <v>417</v>
      </c>
      <c r="AN43" t="s">
        <v>756</v>
      </c>
      <c r="AP43" t="s">
        <v>516</v>
      </c>
    </row>
    <row r="44" spans="1:42" x14ac:dyDescent="0.2">
      <c r="A44">
        <v>1590</v>
      </c>
      <c r="H44">
        <v>3</v>
      </c>
      <c r="R44">
        <v>3</v>
      </c>
      <c r="T44" t="s">
        <v>368</v>
      </c>
      <c r="AJ44">
        <v>1</v>
      </c>
      <c r="AM44" t="s">
        <v>417</v>
      </c>
      <c r="AN44" t="s">
        <v>756</v>
      </c>
      <c r="AP44" t="s">
        <v>517</v>
      </c>
    </row>
    <row r="45" spans="1:42" x14ac:dyDescent="0.2">
      <c r="A45">
        <v>1591</v>
      </c>
      <c r="B45">
        <v>247</v>
      </c>
      <c r="H45">
        <v>3</v>
      </c>
      <c r="I45" t="s">
        <v>742</v>
      </c>
      <c r="J45" t="s">
        <v>740</v>
      </c>
      <c r="Q45" t="s">
        <v>731</v>
      </c>
      <c r="R45">
        <v>18</v>
      </c>
      <c r="S45">
        <v>1</v>
      </c>
      <c r="T45" t="s">
        <v>367</v>
      </c>
      <c r="U45" t="s">
        <v>6</v>
      </c>
      <c r="V45" t="s">
        <v>205</v>
      </c>
      <c r="W45" t="s">
        <v>51</v>
      </c>
      <c r="X45" t="s">
        <v>595</v>
      </c>
      <c r="AF45" t="s">
        <v>368</v>
      </c>
      <c r="AM45" t="s">
        <v>6</v>
      </c>
      <c r="AN45" t="s">
        <v>205</v>
      </c>
      <c r="AP45" t="s">
        <v>516</v>
      </c>
    </row>
    <row r="46" spans="1:42" x14ac:dyDescent="0.2">
      <c r="A46">
        <v>1591</v>
      </c>
      <c r="B46">
        <v>247</v>
      </c>
      <c r="H46">
        <v>3</v>
      </c>
      <c r="R46">
        <v>77</v>
      </c>
      <c r="S46">
        <v>1</v>
      </c>
      <c r="T46" t="s">
        <v>367</v>
      </c>
      <c r="Y46" t="s">
        <v>684</v>
      </c>
      <c r="AM46" t="s">
        <v>6</v>
      </c>
      <c r="AN46" t="s">
        <v>205</v>
      </c>
      <c r="AP46" t="s">
        <v>516</v>
      </c>
    </row>
    <row r="47" spans="1:42" x14ac:dyDescent="0.2">
      <c r="A47">
        <v>1591</v>
      </c>
      <c r="B47">
        <v>247</v>
      </c>
      <c r="H47">
        <v>3</v>
      </c>
      <c r="R47">
        <v>39</v>
      </c>
      <c r="T47" t="s">
        <v>368</v>
      </c>
      <c r="AM47" t="s">
        <v>6</v>
      </c>
      <c r="AN47" t="s">
        <v>205</v>
      </c>
      <c r="AP47" t="s">
        <v>517</v>
      </c>
    </row>
    <row r="48" spans="1:42" x14ac:dyDescent="0.2">
      <c r="A48">
        <v>1592</v>
      </c>
      <c r="B48">
        <v>247</v>
      </c>
      <c r="H48">
        <v>3</v>
      </c>
      <c r="I48" t="s">
        <v>742</v>
      </c>
      <c r="J48" t="s">
        <v>740</v>
      </c>
      <c r="Q48" t="s">
        <v>735</v>
      </c>
      <c r="R48">
        <v>39</v>
      </c>
      <c r="S48">
        <v>1</v>
      </c>
      <c r="T48" t="s">
        <v>367</v>
      </c>
      <c r="U48" t="s">
        <v>15</v>
      </c>
      <c r="V48" t="s">
        <v>179</v>
      </c>
      <c r="W48" t="s">
        <v>95</v>
      </c>
      <c r="AF48" t="s">
        <v>736</v>
      </c>
      <c r="AM48" t="s">
        <v>15</v>
      </c>
      <c r="AN48" t="s">
        <v>179</v>
      </c>
      <c r="AP48" t="s">
        <v>517</v>
      </c>
    </row>
    <row r="49" spans="1:42" x14ac:dyDescent="0.2">
      <c r="A49">
        <v>1592</v>
      </c>
      <c r="B49">
        <v>247</v>
      </c>
      <c r="H49">
        <v>3</v>
      </c>
      <c r="R49">
        <v>18</v>
      </c>
      <c r="T49" t="s">
        <v>368</v>
      </c>
      <c r="AM49" t="s">
        <v>15</v>
      </c>
      <c r="AN49" t="s">
        <v>179</v>
      </c>
      <c r="AP49" t="s">
        <v>516</v>
      </c>
    </row>
    <row r="50" spans="1:42" x14ac:dyDescent="0.2">
      <c r="A50">
        <v>1592</v>
      </c>
      <c r="B50">
        <v>247</v>
      </c>
      <c r="H50">
        <v>3</v>
      </c>
      <c r="R50">
        <v>77</v>
      </c>
      <c r="T50" t="s">
        <v>368</v>
      </c>
      <c r="Y50" t="s">
        <v>684</v>
      </c>
      <c r="AM50" t="s">
        <v>15</v>
      </c>
      <c r="AN50" t="s">
        <v>179</v>
      </c>
      <c r="AP50" t="s">
        <v>516</v>
      </c>
    </row>
    <row r="51" spans="1:42" x14ac:dyDescent="0.2">
      <c r="A51">
        <v>1593</v>
      </c>
      <c r="B51">
        <v>247</v>
      </c>
      <c r="H51">
        <v>3</v>
      </c>
      <c r="I51" t="s">
        <v>742</v>
      </c>
      <c r="J51" t="s">
        <v>740</v>
      </c>
      <c r="Q51" t="s">
        <v>735</v>
      </c>
      <c r="R51">
        <v>39</v>
      </c>
      <c r="S51">
        <v>1</v>
      </c>
      <c r="T51" t="s">
        <v>367</v>
      </c>
      <c r="AF51" t="s">
        <v>736</v>
      </c>
      <c r="AM51" t="s">
        <v>756</v>
      </c>
      <c r="AN51" t="s">
        <v>756</v>
      </c>
      <c r="AP51" t="s">
        <v>516</v>
      </c>
    </row>
    <row r="52" spans="1:42" x14ac:dyDescent="0.2">
      <c r="A52">
        <v>1594</v>
      </c>
      <c r="H52">
        <v>3</v>
      </c>
      <c r="I52" t="s">
        <v>742</v>
      </c>
      <c r="J52" t="s">
        <v>741</v>
      </c>
      <c r="Q52" t="s">
        <v>731</v>
      </c>
      <c r="R52">
        <v>56</v>
      </c>
      <c r="S52">
        <v>1</v>
      </c>
      <c r="T52" t="s">
        <v>367</v>
      </c>
      <c r="U52" t="s">
        <v>13</v>
      </c>
      <c r="V52" t="s">
        <v>587</v>
      </c>
      <c r="X52" t="s">
        <v>594</v>
      </c>
      <c r="Y52" t="s">
        <v>611</v>
      </c>
      <c r="AA52" t="s">
        <v>594</v>
      </c>
      <c r="AF52" t="s">
        <v>368</v>
      </c>
      <c r="AM52" t="s">
        <v>13</v>
      </c>
      <c r="AN52" t="s">
        <v>587</v>
      </c>
      <c r="AP52" t="s">
        <v>516</v>
      </c>
    </row>
    <row r="53" spans="1:42" x14ac:dyDescent="0.2">
      <c r="A53">
        <v>1595</v>
      </c>
      <c r="H53">
        <v>3</v>
      </c>
      <c r="I53" t="s">
        <v>742</v>
      </c>
      <c r="J53" t="s">
        <v>741</v>
      </c>
      <c r="Q53" t="s">
        <v>731</v>
      </c>
      <c r="R53">
        <v>56</v>
      </c>
      <c r="S53">
        <v>1</v>
      </c>
      <c r="T53" t="s">
        <v>367</v>
      </c>
      <c r="U53" t="s">
        <v>7</v>
      </c>
      <c r="V53" t="s">
        <v>182</v>
      </c>
      <c r="W53" t="s">
        <v>68</v>
      </c>
      <c r="X53" t="s">
        <v>594</v>
      </c>
      <c r="Y53" t="s">
        <v>654</v>
      </c>
      <c r="AA53" t="s">
        <v>594</v>
      </c>
      <c r="AF53" t="s">
        <v>368</v>
      </c>
      <c r="AJ53">
        <v>1</v>
      </c>
      <c r="AM53" t="s">
        <v>7</v>
      </c>
      <c r="AN53" t="s">
        <v>182</v>
      </c>
      <c r="AP53" t="s">
        <v>516</v>
      </c>
    </row>
    <row r="54" spans="1:42" x14ac:dyDescent="0.2">
      <c r="A54">
        <v>1595</v>
      </c>
      <c r="H54">
        <v>3</v>
      </c>
      <c r="R54">
        <v>3</v>
      </c>
      <c r="S54">
        <v>1</v>
      </c>
      <c r="T54" t="s">
        <v>367</v>
      </c>
      <c r="AM54" t="s">
        <v>7</v>
      </c>
      <c r="AN54" t="s">
        <v>182</v>
      </c>
      <c r="AP54" t="s">
        <v>516</v>
      </c>
    </row>
    <row r="55" spans="1:42" x14ac:dyDescent="0.2">
      <c r="A55">
        <v>1595</v>
      </c>
      <c r="H55">
        <v>3</v>
      </c>
      <c r="R55">
        <v>91</v>
      </c>
      <c r="T55" t="s">
        <v>368</v>
      </c>
      <c r="AJ55">
        <v>1</v>
      </c>
      <c r="AM55" t="s">
        <v>7</v>
      </c>
      <c r="AN55" t="s">
        <v>182</v>
      </c>
      <c r="AP55" t="s">
        <v>517</v>
      </c>
    </row>
    <row r="56" spans="1:42" x14ac:dyDescent="0.2">
      <c r="A56">
        <v>1596</v>
      </c>
      <c r="H56">
        <v>3</v>
      </c>
      <c r="I56" t="s">
        <v>742</v>
      </c>
      <c r="J56" t="s">
        <v>741</v>
      </c>
      <c r="Q56" t="s">
        <v>735</v>
      </c>
      <c r="S56">
        <v>1</v>
      </c>
      <c r="T56" t="s">
        <v>367</v>
      </c>
      <c r="U56" t="s">
        <v>238</v>
      </c>
      <c r="V56" t="s">
        <v>184</v>
      </c>
      <c r="W56" t="s">
        <v>378</v>
      </c>
      <c r="AF56" t="s">
        <v>736</v>
      </c>
      <c r="AM56" t="s">
        <v>238</v>
      </c>
      <c r="AN56" t="s">
        <v>184</v>
      </c>
      <c r="AP56" t="s">
        <v>516</v>
      </c>
    </row>
    <row r="57" spans="1:42" x14ac:dyDescent="0.2">
      <c r="A57">
        <v>1597</v>
      </c>
      <c r="H57">
        <v>3</v>
      </c>
      <c r="I57" t="s">
        <v>742</v>
      </c>
      <c r="J57" t="s">
        <v>732</v>
      </c>
      <c r="K57" t="s">
        <v>742</v>
      </c>
      <c r="L57" t="s">
        <v>744</v>
      </c>
      <c r="Q57" t="s">
        <v>731</v>
      </c>
      <c r="R57">
        <v>44</v>
      </c>
      <c r="S57">
        <v>1</v>
      </c>
      <c r="T57" t="s">
        <v>367</v>
      </c>
      <c r="U57" t="s">
        <v>13</v>
      </c>
      <c r="V57" t="s">
        <v>587</v>
      </c>
      <c r="X57" t="s">
        <v>595</v>
      </c>
      <c r="Y57" t="s">
        <v>618</v>
      </c>
      <c r="AA57" t="s">
        <v>595</v>
      </c>
      <c r="AF57" t="s">
        <v>734</v>
      </c>
      <c r="AM57" t="s">
        <v>13</v>
      </c>
      <c r="AN57" t="s">
        <v>587</v>
      </c>
      <c r="AP57" t="s">
        <v>516</v>
      </c>
    </row>
    <row r="58" spans="1:42" x14ac:dyDescent="0.2">
      <c r="A58">
        <v>1598</v>
      </c>
      <c r="H58">
        <v>3</v>
      </c>
      <c r="I58" t="s">
        <v>742</v>
      </c>
      <c r="J58" t="s">
        <v>744</v>
      </c>
      <c r="Q58" t="s">
        <v>731</v>
      </c>
      <c r="R58">
        <v>44</v>
      </c>
      <c r="S58">
        <v>1</v>
      </c>
      <c r="T58" t="s">
        <v>367</v>
      </c>
      <c r="U58" t="s">
        <v>7</v>
      </c>
      <c r="V58" t="s">
        <v>172</v>
      </c>
      <c r="W58" t="s">
        <v>68</v>
      </c>
      <c r="X58" t="s">
        <v>595</v>
      </c>
      <c r="AF58" t="s">
        <v>734</v>
      </c>
      <c r="AM58" t="s">
        <v>7</v>
      </c>
      <c r="AN58" t="s">
        <v>172</v>
      </c>
      <c r="AP58" t="s">
        <v>516</v>
      </c>
    </row>
    <row r="59" spans="1:42" x14ac:dyDescent="0.2">
      <c r="A59">
        <v>1598</v>
      </c>
      <c r="H59">
        <v>3</v>
      </c>
      <c r="R59">
        <v>18</v>
      </c>
      <c r="S59">
        <v>1</v>
      </c>
      <c r="T59" t="s">
        <v>367</v>
      </c>
      <c r="AM59" t="s">
        <v>7</v>
      </c>
      <c r="AN59" t="s">
        <v>172</v>
      </c>
      <c r="AP59" t="s">
        <v>516</v>
      </c>
    </row>
    <row r="60" spans="1:42" x14ac:dyDescent="0.2">
      <c r="A60">
        <v>1599</v>
      </c>
      <c r="H60">
        <v>3</v>
      </c>
      <c r="I60" t="s">
        <v>742</v>
      </c>
      <c r="J60" t="s">
        <v>745</v>
      </c>
      <c r="Q60" t="s">
        <v>731</v>
      </c>
      <c r="R60">
        <v>18</v>
      </c>
      <c r="S60">
        <v>1</v>
      </c>
      <c r="T60" t="s">
        <v>367</v>
      </c>
      <c r="U60" t="s">
        <v>238</v>
      </c>
      <c r="V60" t="s">
        <v>174</v>
      </c>
      <c r="W60" t="s">
        <v>85</v>
      </c>
      <c r="X60" t="s">
        <v>594</v>
      </c>
      <c r="AF60" t="s">
        <v>368</v>
      </c>
      <c r="AJ60">
        <v>1</v>
      </c>
      <c r="AM60" t="s">
        <v>238</v>
      </c>
      <c r="AN60" t="s">
        <v>174</v>
      </c>
      <c r="AP60" t="s">
        <v>516</v>
      </c>
    </row>
    <row r="61" spans="1:42" x14ac:dyDescent="0.2">
      <c r="A61">
        <v>1599</v>
      </c>
      <c r="H61">
        <v>3</v>
      </c>
      <c r="R61">
        <v>24</v>
      </c>
      <c r="T61" t="s">
        <v>368</v>
      </c>
      <c r="AJ61">
        <v>1</v>
      </c>
      <c r="AM61" t="s">
        <v>238</v>
      </c>
      <c r="AN61" t="s">
        <v>174</v>
      </c>
      <c r="AP61" t="s">
        <v>517</v>
      </c>
    </row>
    <row r="62" spans="1:42" x14ac:dyDescent="0.2">
      <c r="A62">
        <v>1600</v>
      </c>
      <c r="H62">
        <v>3</v>
      </c>
      <c r="I62" t="s">
        <v>742</v>
      </c>
      <c r="J62" t="s">
        <v>746</v>
      </c>
      <c r="Q62" t="s">
        <v>735</v>
      </c>
      <c r="R62">
        <v>24</v>
      </c>
      <c r="S62">
        <v>1</v>
      </c>
      <c r="T62" t="s">
        <v>367</v>
      </c>
      <c r="U62" t="s">
        <v>9</v>
      </c>
      <c r="V62" t="s">
        <v>183</v>
      </c>
      <c r="W62" t="s">
        <v>79</v>
      </c>
      <c r="X62" t="s">
        <v>595</v>
      </c>
      <c r="Y62" t="s">
        <v>631</v>
      </c>
      <c r="AA62" t="s">
        <v>595</v>
      </c>
      <c r="AF62" t="s">
        <v>736</v>
      </c>
      <c r="AJ62">
        <v>1</v>
      </c>
      <c r="AM62" t="s">
        <v>9</v>
      </c>
      <c r="AN62" t="s">
        <v>183</v>
      </c>
      <c r="AP62" t="s">
        <v>517</v>
      </c>
    </row>
    <row r="63" spans="1:42" x14ac:dyDescent="0.2">
      <c r="A63">
        <v>1600</v>
      </c>
      <c r="H63">
        <v>3</v>
      </c>
      <c r="R63">
        <v>91</v>
      </c>
      <c r="S63">
        <v>1</v>
      </c>
      <c r="T63" t="s">
        <v>367</v>
      </c>
      <c r="Y63" t="s">
        <v>602</v>
      </c>
      <c r="AA63" t="s">
        <v>595</v>
      </c>
      <c r="AJ63">
        <v>1</v>
      </c>
      <c r="AM63" t="s">
        <v>9</v>
      </c>
      <c r="AN63" t="s">
        <v>183</v>
      </c>
      <c r="AP63" t="s">
        <v>517</v>
      </c>
    </row>
    <row r="64" spans="1:42" x14ac:dyDescent="0.2">
      <c r="A64">
        <v>1600</v>
      </c>
      <c r="H64">
        <v>3</v>
      </c>
      <c r="R64">
        <v>18</v>
      </c>
      <c r="T64" t="s">
        <v>368</v>
      </c>
      <c r="AJ64">
        <v>1</v>
      </c>
      <c r="AM64" t="s">
        <v>9</v>
      </c>
      <c r="AN64" t="s">
        <v>183</v>
      </c>
      <c r="AP64" t="s">
        <v>516</v>
      </c>
    </row>
    <row r="65" spans="1:42" x14ac:dyDescent="0.2">
      <c r="A65">
        <v>1601</v>
      </c>
      <c r="B65">
        <v>248</v>
      </c>
      <c r="H65">
        <v>3</v>
      </c>
      <c r="I65" t="s">
        <v>742</v>
      </c>
      <c r="J65" t="s">
        <v>754</v>
      </c>
      <c r="Q65" t="s">
        <v>735</v>
      </c>
      <c r="R65">
        <v>84</v>
      </c>
      <c r="S65">
        <v>1</v>
      </c>
      <c r="T65" t="s">
        <v>367</v>
      </c>
      <c r="U65" t="s">
        <v>10</v>
      </c>
      <c r="V65" t="s">
        <v>175</v>
      </c>
      <c r="W65" t="s">
        <v>139</v>
      </c>
      <c r="AF65" t="s">
        <v>736</v>
      </c>
      <c r="AM65" t="s">
        <v>10</v>
      </c>
      <c r="AN65" t="s">
        <v>175</v>
      </c>
      <c r="AP65" t="s">
        <v>516</v>
      </c>
    </row>
    <row r="66" spans="1:42" x14ac:dyDescent="0.2">
      <c r="A66">
        <v>1602</v>
      </c>
      <c r="B66">
        <v>248</v>
      </c>
      <c r="H66">
        <v>3</v>
      </c>
      <c r="I66" t="s">
        <v>742</v>
      </c>
      <c r="J66" t="s">
        <v>754</v>
      </c>
      <c r="K66" t="s">
        <v>742</v>
      </c>
      <c r="L66" t="s">
        <v>413</v>
      </c>
      <c r="Q66" t="s">
        <v>735</v>
      </c>
      <c r="R66">
        <v>84</v>
      </c>
      <c r="S66">
        <v>1</v>
      </c>
      <c r="T66" t="s">
        <v>367</v>
      </c>
      <c r="U66" t="s">
        <v>11</v>
      </c>
      <c r="V66" t="s">
        <v>177</v>
      </c>
      <c r="W66" t="s">
        <v>39</v>
      </c>
      <c r="AF66" t="s">
        <v>736</v>
      </c>
      <c r="AM66" t="s">
        <v>11</v>
      </c>
      <c r="AN66" t="s">
        <v>177</v>
      </c>
      <c r="AP66" t="s">
        <v>756</v>
      </c>
    </row>
  </sheetData>
  <conditionalFormatting sqref="A25:AJ25">
    <cfRule type="expression" dxfId="7" priority="1" stopIfTrue="1">
      <formula>$A25&lt;$A26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647B2-7444-B245-A004-A349BFD42DF6}">
  <dimension ref="A1:C72"/>
  <sheetViews>
    <sheetView workbookViewId="0">
      <selection activeCell="A7" sqref="A7"/>
    </sheetView>
  </sheetViews>
  <sheetFormatPr baseColWidth="10" defaultRowHeight="16" x14ac:dyDescent="0.2"/>
  <cols>
    <col min="1" max="1" width="57.6640625" customWidth="1"/>
    <col min="3" max="3" width="18.83203125" customWidth="1"/>
  </cols>
  <sheetData>
    <row r="1" spans="1:3" ht="17" x14ac:dyDescent="0.2">
      <c r="A1" s="30" t="s">
        <v>356</v>
      </c>
      <c r="C1" s="33" t="s">
        <v>638</v>
      </c>
    </row>
    <row r="2" spans="1:3" ht="17" x14ac:dyDescent="0.2">
      <c r="A2" s="31" t="s">
        <v>357</v>
      </c>
      <c r="C2" s="33" t="s">
        <v>525</v>
      </c>
    </row>
    <row r="3" spans="1:3" ht="17" x14ac:dyDescent="0.2">
      <c r="A3" s="31" t="s">
        <v>358</v>
      </c>
      <c r="C3" s="33" t="s">
        <v>526</v>
      </c>
    </row>
    <row r="4" spans="1:3" ht="17" x14ac:dyDescent="0.2">
      <c r="A4" s="31" t="s">
        <v>256</v>
      </c>
      <c r="C4" s="33" t="s">
        <v>536</v>
      </c>
    </row>
    <row r="5" spans="1:3" x14ac:dyDescent="0.2">
      <c r="A5" s="32" t="s">
        <v>245</v>
      </c>
    </row>
    <row r="6" spans="1:3" x14ac:dyDescent="0.2">
      <c r="A6" s="31" t="s">
        <v>370</v>
      </c>
    </row>
    <row r="7" spans="1:3" x14ac:dyDescent="0.2">
      <c r="A7" s="30" t="s">
        <v>397</v>
      </c>
    </row>
    <row r="8" spans="1:3" x14ac:dyDescent="0.2">
      <c r="A8" s="31" t="s">
        <v>396</v>
      </c>
    </row>
    <row r="9" spans="1:3" x14ac:dyDescent="0.2">
      <c r="A9" s="31" t="s">
        <v>403</v>
      </c>
    </row>
    <row r="10" spans="1:3" x14ac:dyDescent="0.2">
      <c r="A10" s="31" t="s">
        <v>394</v>
      </c>
    </row>
    <row r="11" spans="1:3" x14ac:dyDescent="0.2">
      <c r="A11" s="31" t="s">
        <v>395</v>
      </c>
    </row>
    <row r="12" spans="1:3" x14ac:dyDescent="0.2">
      <c r="A12" s="31" t="s">
        <v>459</v>
      </c>
    </row>
    <row r="13" spans="1:3" x14ac:dyDescent="0.2">
      <c r="A13" s="31" t="s">
        <v>649</v>
      </c>
    </row>
    <row r="14" spans="1:3" x14ac:dyDescent="0.2">
      <c r="A14" s="31" t="s">
        <v>460</v>
      </c>
    </row>
    <row r="15" spans="1:3" x14ac:dyDescent="0.2">
      <c r="A15" s="31" t="s">
        <v>461</v>
      </c>
    </row>
    <row r="16" spans="1:3" x14ac:dyDescent="0.2">
      <c r="A16" s="31" t="s">
        <v>650</v>
      </c>
    </row>
    <row r="17" spans="1:1" x14ac:dyDescent="0.2">
      <c r="A17" s="31" t="s">
        <v>457</v>
      </c>
    </row>
    <row r="18" spans="1:1" x14ac:dyDescent="0.2">
      <c r="A18" s="31" t="s">
        <v>458</v>
      </c>
    </row>
    <row r="19" spans="1:1" x14ac:dyDescent="0.2">
      <c r="A19" s="31" t="s">
        <v>462</v>
      </c>
    </row>
    <row r="20" spans="1:1" x14ac:dyDescent="0.2">
      <c r="A20" s="31" t="s">
        <v>463</v>
      </c>
    </row>
    <row r="21" spans="1:1" x14ac:dyDescent="0.2">
      <c r="A21" s="31" t="s">
        <v>464</v>
      </c>
    </row>
    <row r="22" spans="1:1" x14ac:dyDescent="0.2">
      <c r="A22" s="31" t="s">
        <v>465</v>
      </c>
    </row>
    <row r="23" spans="1:1" x14ac:dyDescent="0.2">
      <c r="A23" s="31" t="s">
        <v>466</v>
      </c>
    </row>
    <row r="24" spans="1:1" x14ac:dyDescent="0.2">
      <c r="A24" s="31" t="s">
        <v>466</v>
      </c>
    </row>
    <row r="25" spans="1:1" x14ac:dyDescent="0.2">
      <c r="A25" s="31" t="s">
        <v>467</v>
      </c>
    </row>
    <row r="26" spans="1:1" x14ac:dyDescent="0.2">
      <c r="A26" s="31" t="s">
        <v>468</v>
      </c>
    </row>
    <row r="27" spans="1:1" x14ac:dyDescent="0.2">
      <c r="A27" s="31" t="s">
        <v>469</v>
      </c>
    </row>
    <row r="28" spans="1:1" x14ac:dyDescent="0.2">
      <c r="A28" s="31" t="s">
        <v>470</v>
      </c>
    </row>
    <row r="29" spans="1:1" x14ac:dyDescent="0.2">
      <c r="A29" s="31" t="s">
        <v>471</v>
      </c>
    </row>
    <row r="30" spans="1:1" x14ac:dyDescent="0.2">
      <c r="A30" s="31" t="s">
        <v>473</v>
      </c>
    </row>
    <row r="31" spans="1:1" x14ac:dyDescent="0.2">
      <c r="A31" s="31" t="s">
        <v>472</v>
      </c>
    </row>
    <row r="32" spans="1:1" x14ac:dyDescent="0.2">
      <c r="A32" s="31" t="s">
        <v>474</v>
      </c>
    </row>
    <row r="33" spans="1:1" x14ac:dyDescent="0.2">
      <c r="A33" s="31" t="s">
        <v>475</v>
      </c>
    </row>
    <row r="34" spans="1:1" x14ac:dyDescent="0.2">
      <c r="A34" s="31" t="s">
        <v>476</v>
      </c>
    </row>
    <row r="35" spans="1:1" x14ac:dyDescent="0.2">
      <c r="A35" s="31" t="s">
        <v>477</v>
      </c>
    </row>
    <row r="36" spans="1:1" x14ac:dyDescent="0.2">
      <c r="A36" s="31" t="s">
        <v>478</v>
      </c>
    </row>
    <row r="37" spans="1:1" x14ac:dyDescent="0.2">
      <c r="A37" s="31" t="s">
        <v>479</v>
      </c>
    </row>
    <row r="38" spans="1:1" x14ac:dyDescent="0.2">
      <c r="A38" s="31" t="s">
        <v>480</v>
      </c>
    </row>
    <row r="39" spans="1:1" x14ac:dyDescent="0.2">
      <c r="A39" s="31" t="s">
        <v>481</v>
      </c>
    </row>
    <row r="40" spans="1:1" x14ac:dyDescent="0.2">
      <c r="A40" s="31" t="s">
        <v>482</v>
      </c>
    </row>
    <row r="41" spans="1:1" x14ac:dyDescent="0.2">
      <c r="A41" s="31" t="s">
        <v>483</v>
      </c>
    </row>
    <row r="42" spans="1:1" x14ac:dyDescent="0.2">
      <c r="A42" s="31" t="s">
        <v>484</v>
      </c>
    </row>
    <row r="43" spans="1:1" x14ac:dyDescent="0.2">
      <c r="A43" s="31" t="s">
        <v>485</v>
      </c>
    </row>
    <row r="44" spans="1:1" x14ac:dyDescent="0.2">
      <c r="A44" s="31" t="s">
        <v>486</v>
      </c>
    </row>
    <row r="45" spans="1:1" x14ac:dyDescent="0.2">
      <c r="A45" s="31" t="s">
        <v>487</v>
      </c>
    </row>
    <row r="46" spans="1:1" x14ac:dyDescent="0.2">
      <c r="A46" s="31" t="s">
        <v>488</v>
      </c>
    </row>
    <row r="47" spans="1:1" x14ac:dyDescent="0.2">
      <c r="A47" s="31" t="s">
        <v>489</v>
      </c>
    </row>
    <row r="48" spans="1:1" x14ac:dyDescent="0.2">
      <c r="A48" s="31" t="s">
        <v>490</v>
      </c>
    </row>
    <row r="49" spans="1:1" x14ac:dyDescent="0.2">
      <c r="A49" s="31" t="s">
        <v>491</v>
      </c>
    </row>
    <row r="50" spans="1:1" x14ac:dyDescent="0.2">
      <c r="A50" s="31" t="s">
        <v>492</v>
      </c>
    </row>
    <row r="51" spans="1:1" x14ac:dyDescent="0.2">
      <c r="A51" s="31" t="s">
        <v>493</v>
      </c>
    </row>
    <row r="52" spans="1:1" x14ac:dyDescent="0.2">
      <c r="A52" s="31" t="s">
        <v>494</v>
      </c>
    </row>
    <row r="53" spans="1:1" x14ac:dyDescent="0.2">
      <c r="A53" s="31" t="s">
        <v>495</v>
      </c>
    </row>
    <row r="54" spans="1:1" x14ac:dyDescent="0.2">
      <c r="A54" s="31" t="s">
        <v>497</v>
      </c>
    </row>
    <row r="55" spans="1:1" x14ac:dyDescent="0.2">
      <c r="A55" s="31" t="s">
        <v>496</v>
      </c>
    </row>
    <row r="56" spans="1:1" x14ac:dyDescent="0.2">
      <c r="A56" s="31" t="s">
        <v>498</v>
      </c>
    </row>
    <row r="57" spans="1:1" x14ac:dyDescent="0.2">
      <c r="A57" s="31" t="s">
        <v>499</v>
      </c>
    </row>
    <row r="58" spans="1:1" x14ac:dyDescent="0.2">
      <c r="A58" s="31" t="s">
        <v>500</v>
      </c>
    </row>
    <row r="59" spans="1:1" x14ac:dyDescent="0.2">
      <c r="A59" s="31" t="s">
        <v>501</v>
      </c>
    </row>
    <row r="60" spans="1:1" x14ac:dyDescent="0.2">
      <c r="A60" s="31" t="s">
        <v>502</v>
      </c>
    </row>
    <row r="61" spans="1:1" x14ac:dyDescent="0.2">
      <c r="A61" s="31" t="s">
        <v>503</v>
      </c>
    </row>
    <row r="62" spans="1:1" x14ac:dyDescent="0.2">
      <c r="A62" s="31" t="s">
        <v>504</v>
      </c>
    </row>
    <row r="63" spans="1:1" x14ac:dyDescent="0.2">
      <c r="A63" s="31" t="s">
        <v>505</v>
      </c>
    </row>
    <row r="64" spans="1:1" x14ac:dyDescent="0.2">
      <c r="A64" s="31" t="s">
        <v>506</v>
      </c>
    </row>
    <row r="65" spans="1:1" x14ac:dyDescent="0.2">
      <c r="A65" s="31" t="s">
        <v>507</v>
      </c>
    </row>
    <row r="66" spans="1:1" x14ac:dyDescent="0.2">
      <c r="A66" s="31" t="s">
        <v>508</v>
      </c>
    </row>
    <row r="67" spans="1:1" x14ac:dyDescent="0.2">
      <c r="A67" s="31" t="s">
        <v>509</v>
      </c>
    </row>
    <row r="68" spans="1:1" x14ac:dyDescent="0.2">
      <c r="A68" s="31" t="s">
        <v>510</v>
      </c>
    </row>
    <row r="69" spans="1:1" x14ac:dyDescent="0.2">
      <c r="A69" s="31" t="s">
        <v>511</v>
      </c>
    </row>
    <row r="70" spans="1:1" x14ac:dyDescent="0.2">
      <c r="A70" s="31" t="s">
        <v>513</v>
      </c>
    </row>
    <row r="71" spans="1:1" x14ac:dyDescent="0.2">
      <c r="A71" s="31" t="s">
        <v>512</v>
      </c>
    </row>
    <row r="72" spans="1:1" x14ac:dyDescent="0.2">
      <c r="A72" s="31" t="s">
        <v>514</v>
      </c>
    </row>
  </sheetData>
  <conditionalFormatting sqref="A1:A72">
    <cfRule type="expression" dxfId="6" priority="2" stopIfTrue="1">
      <formula>$A1&lt;$A2</formula>
    </cfRule>
  </conditionalFormatting>
  <conditionalFormatting sqref="C1:C4">
    <cfRule type="expression" dxfId="5" priority="1" stopIfTrue="1">
      <formula>$A1&lt;$A2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9BB87-8E62-5845-9DA4-9A73CBFF24F9}">
  <dimension ref="A1:BU147"/>
  <sheetViews>
    <sheetView topLeftCell="E1" workbookViewId="0">
      <pane ySplit="1" topLeftCell="A9" activePane="bottomLeft" state="frozen"/>
      <selection pane="bottomLeft" activeCell="P48" sqref="P48"/>
    </sheetView>
  </sheetViews>
  <sheetFormatPr baseColWidth="10" defaultRowHeight="16" x14ac:dyDescent="0.2"/>
  <cols>
    <col min="1" max="1" width="20.6640625" style="26" bestFit="1" customWidth="1"/>
    <col min="2" max="4" width="20" customWidth="1"/>
    <col min="5" max="5" width="35.1640625" bestFit="1" customWidth="1"/>
    <col min="6" max="7" width="12" customWidth="1"/>
    <col min="8" max="8" width="35.1640625" customWidth="1"/>
    <col min="9" max="9" width="3.5" customWidth="1"/>
    <col min="10" max="10" width="21" style="26" bestFit="1" customWidth="1"/>
    <col min="11" max="17" width="26.6640625" customWidth="1"/>
    <col min="18" max="18" width="4" customWidth="1"/>
    <col min="19" max="19" width="32.83203125" style="26" bestFit="1" customWidth="1"/>
    <col min="21" max="22" width="24" customWidth="1"/>
    <col min="23" max="26" width="21" customWidth="1"/>
    <col min="27" max="27" width="4.5" customWidth="1"/>
    <col min="28" max="28" width="36.6640625" style="26" bestFit="1" customWidth="1"/>
    <col min="36" max="36" width="4" customWidth="1"/>
    <col min="37" max="37" width="39" style="26" bestFit="1" customWidth="1"/>
    <col min="45" max="45" width="4.5" customWidth="1"/>
    <col min="46" max="46" width="9.83203125" style="26" bestFit="1" customWidth="1"/>
    <col min="52" max="52" width="10.83203125" style="26"/>
    <col min="58" max="58" width="20.1640625" style="26" bestFit="1" customWidth="1"/>
    <col min="65" max="65" width="17.1640625" style="26" bestFit="1" customWidth="1"/>
    <col min="70" max="70" width="33.33203125" style="26" bestFit="1" customWidth="1"/>
  </cols>
  <sheetData>
    <row r="1" spans="1:73" s="24" customFormat="1" x14ac:dyDescent="0.2">
      <c r="A1" s="25" t="s">
        <v>1</v>
      </c>
      <c r="B1" s="24" t="s">
        <v>697</v>
      </c>
      <c r="C1" s="24" t="s">
        <v>698</v>
      </c>
      <c r="D1" s="24" t="s">
        <v>700</v>
      </c>
      <c r="E1" s="24" t="s">
        <v>699</v>
      </c>
      <c r="F1" s="24" t="s">
        <v>706</v>
      </c>
      <c r="G1" s="24" t="s">
        <v>707</v>
      </c>
      <c r="J1" s="25" t="s">
        <v>50</v>
      </c>
      <c r="K1" s="24" t="s">
        <v>697</v>
      </c>
      <c r="L1" s="24" t="s">
        <v>698</v>
      </c>
      <c r="M1" s="24" t="s">
        <v>700</v>
      </c>
      <c r="N1" s="24" t="s">
        <v>699</v>
      </c>
      <c r="O1" s="24" t="s">
        <v>706</v>
      </c>
      <c r="P1" s="24" t="s">
        <v>707</v>
      </c>
      <c r="S1" s="25" t="s">
        <v>142</v>
      </c>
      <c r="T1" s="24" t="s">
        <v>697</v>
      </c>
      <c r="U1" s="24" t="s">
        <v>698</v>
      </c>
      <c r="V1" s="24" t="s">
        <v>700</v>
      </c>
      <c r="W1" s="24" t="s">
        <v>699</v>
      </c>
      <c r="X1" s="24" t="s">
        <v>706</v>
      </c>
      <c r="Y1" s="24" t="s">
        <v>707</v>
      </c>
      <c r="AC1" s="24" t="s">
        <v>697</v>
      </c>
      <c r="AD1" s="24" t="s">
        <v>698</v>
      </c>
      <c r="AE1" s="24" t="s">
        <v>700</v>
      </c>
      <c r="AF1" s="24" t="s">
        <v>699</v>
      </c>
      <c r="AG1" s="24" t="s">
        <v>706</v>
      </c>
      <c r="AH1" s="24" t="s">
        <v>707</v>
      </c>
      <c r="AL1" s="24" t="s">
        <v>697</v>
      </c>
      <c r="AM1" s="24" t="s">
        <v>698</v>
      </c>
      <c r="AN1" s="24" t="s">
        <v>700</v>
      </c>
      <c r="AO1" s="24" t="s">
        <v>699</v>
      </c>
      <c r="AP1" s="24" t="s">
        <v>699</v>
      </c>
      <c r="AQ1" s="24" t="s">
        <v>706</v>
      </c>
      <c r="AR1" s="24" t="s">
        <v>707</v>
      </c>
      <c r="AT1" s="25" t="s">
        <v>525</v>
      </c>
      <c r="AU1" s="24" t="s">
        <v>697</v>
      </c>
      <c r="AV1" s="24" t="s">
        <v>698</v>
      </c>
      <c r="AW1" s="24" t="s">
        <v>700</v>
      </c>
      <c r="AX1" s="24" t="s">
        <v>699</v>
      </c>
      <c r="AZ1" s="25" t="s">
        <v>526</v>
      </c>
      <c r="BA1" s="24" t="s">
        <v>697</v>
      </c>
      <c r="BB1" s="24" t="s">
        <v>698</v>
      </c>
      <c r="BC1" s="24" t="s">
        <v>700</v>
      </c>
      <c r="BD1" s="24" t="s">
        <v>699</v>
      </c>
      <c r="BF1" s="25" t="s">
        <v>597</v>
      </c>
      <c r="BG1" s="24" t="s">
        <v>697</v>
      </c>
      <c r="BH1" s="24" t="s">
        <v>698</v>
      </c>
      <c r="BI1" s="24" t="s">
        <v>700</v>
      </c>
      <c r="BJ1" s="24" t="s">
        <v>699</v>
      </c>
      <c r="BM1" s="25" t="s">
        <v>343</v>
      </c>
      <c r="BN1" s="24" t="s">
        <v>697</v>
      </c>
      <c r="BO1" s="24" t="s">
        <v>698</v>
      </c>
      <c r="BP1" s="24" t="s">
        <v>699</v>
      </c>
      <c r="BR1" s="25" t="s">
        <v>344</v>
      </c>
      <c r="BS1" s="24" t="s">
        <v>697</v>
      </c>
      <c r="BT1" s="24" t="s">
        <v>698</v>
      </c>
      <c r="BU1" s="24" t="s">
        <v>699</v>
      </c>
    </row>
    <row r="2" spans="1:73" x14ac:dyDescent="0.2">
      <c r="A2" s="26" t="s">
        <v>5</v>
      </c>
      <c r="J2" s="26" t="s">
        <v>5</v>
      </c>
      <c r="S2" s="26" t="s">
        <v>171</v>
      </c>
      <c r="AB2" s="25" t="s">
        <v>516</v>
      </c>
      <c r="AH2" t="s">
        <v>722</v>
      </c>
      <c r="AK2" s="25" t="s">
        <v>517</v>
      </c>
      <c r="AR2" t="s">
        <v>722</v>
      </c>
      <c r="AT2" s="26" t="s">
        <v>531</v>
      </c>
      <c r="AZ2" s="26" t="s">
        <v>528</v>
      </c>
      <c r="BF2" s="26" t="s">
        <v>639</v>
      </c>
      <c r="BM2" s="26" t="s">
        <v>284</v>
      </c>
      <c r="BR2" s="26" t="s">
        <v>251</v>
      </c>
    </row>
    <row r="3" spans="1:73" x14ac:dyDescent="0.2">
      <c r="A3" s="26" t="s">
        <v>6</v>
      </c>
      <c r="E3" t="s">
        <v>15</v>
      </c>
      <c r="J3" s="26" t="s">
        <v>17</v>
      </c>
      <c r="S3" s="26" t="s">
        <v>176</v>
      </c>
      <c r="X3" t="s">
        <v>595</v>
      </c>
      <c r="AB3" s="26" t="s">
        <v>568</v>
      </c>
      <c r="AK3" s="26" t="s">
        <v>601</v>
      </c>
      <c r="AT3" s="26" t="s">
        <v>532</v>
      </c>
      <c r="AZ3" s="26" t="s">
        <v>527</v>
      </c>
      <c r="BF3" s="26" t="s">
        <v>640</v>
      </c>
      <c r="BM3" s="26" t="s">
        <v>286</v>
      </c>
      <c r="BR3" s="26" t="s">
        <v>291</v>
      </c>
    </row>
    <row r="4" spans="1:73" x14ac:dyDescent="0.2">
      <c r="A4" s="26" t="s">
        <v>7</v>
      </c>
      <c r="J4" s="26" t="s">
        <v>18</v>
      </c>
      <c r="S4" s="26" t="s">
        <v>186</v>
      </c>
      <c r="X4" t="s">
        <v>594</v>
      </c>
      <c r="AB4" s="26" t="s">
        <v>608</v>
      </c>
      <c r="AK4" s="26" t="s">
        <v>631</v>
      </c>
      <c r="AT4" s="26" t="s">
        <v>533</v>
      </c>
      <c r="AZ4" s="26" t="s">
        <v>154</v>
      </c>
      <c r="BF4" s="26" t="s">
        <v>641</v>
      </c>
      <c r="BM4" s="26" t="s">
        <v>287</v>
      </c>
      <c r="BR4" s="26" t="s">
        <v>292</v>
      </c>
    </row>
    <row r="5" spans="1:73" x14ac:dyDescent="0.2">
      <c r="A5" s="26" t="s">
        <v>8</v>
      </c>
      <c r="E5" t="s">
        <v>6</v>
      </c>
      <c r="J5" s="26" t="s">
        <v>19</v>
      </c>
      <c r="S5" s="26" t="s">
        <v>195</v>
      </c>
      <c r="X5" t="s">
        <v>595</v>
      </c>
      <c r="AB5" s="26" t="s">
        <v>653</v>
      </c>
      <c r="AK5" s="26" t="s">
        <v>662</v>
      </c>
      <c r="AT5" s="26" t="s">
        <v>530</v>
      </c>
      <c r="AZ5" s="26" t="s">
        <v>598</v>
      </c>
      <c r="BF5" s="26" t="s">
        <v>642</v>
      </c>
      <c r="BM5" s="26" t="s">
        <v>288</v>
      </c>
      <c r="BR5" s="26" t="s">
        <v>293</v>
      </c>
    </row>
    <row r="6" spans="1:73" x14ac:dyDescent="0.2">
      <c r="A6" s="26" t="s">
        <v>9</v>
      </c>
      <c r="E6" t="s">
        <v>705</v>
      </c>
      <c r="J6" s="27" t="s">
        <v>20</v>
      </c>
      <c r="S6" s="26" t="s">
        <v>200</v>
      </c>
      <c r="X6" t="s">
        <v>595</v>
      </c>
      <c r="AB6" s="26" t="s">
        <v>663</v>
      </c>
      <c r="AK6" s="26" t="s">
        <v>609</v>
      </c>
      <c r="AZ6" s="26" t="s">
        <v>574</v>
      </c>
      <c r="BF6" s="26" t="s">
        <v>643</v>
      </c>
      <c r="BM6" s="26" t="s">
        <v>289</v>
      </c>
      <c r="BR6" s="26" t="s">
        <v>294</v>
      </c>
    </row>
    <row r="7" spans="1:73" x14ac:dyDescent="0.2">
      <c r="A7" s="26" t="s">
        <v>238</v>
      </c>
      <c r="E7" t="s">
        <v>701</v>
      </c>
      <c r="J7" s="26" t="s">
        <v>21</v>
      </c>
      <c r="S7" s="26" t="s">
        <v>202</v>
      </c>
      <c r="X7" t="s">
        <v>594</v>
      </c>
      <c r="AB7" s="26" t="s">
        <v>664</v>
      </c>
      <c r="AK7" s="26" t="s">
        <v>665</v>
      </c>
      <c r="AZ7" s="26" t="s">
        <v>575</v>
      </c>
      <c r="BF7" s="26" t="s">
        <v>644</v>
      </c>
      <c r="BM7" s="26" t="s">
        <v>290</v>
      </c>
      <c r="BR7" s="26" t="s">
        <v>295</v>
      </c>
    </row>
    <row r="8" spans="1:73" x14ac:dyDescent="0.2">
      <c r="A8" s="26" t="s">
        <v>10</v>
      </c>
      <c r="J8" s="26" t="s">
        <v>22</v>
      </c>
      <c r="S8" s="26" t="s">
        <v>203</v>
      </c>
      <c r="X8" t="s">
        <v>595</v>
      </c>
      <c r="AB8" s="26" t="s">
        <v>630</v>
      </c>
      <c r="AK8" s="26" t="s">
        <v>634</v>
      </c>
      <c r="AZ8" s="26" t="s">
        <v>577</v>
      </c>
      <c r="BF8" s="26" t="s">
        <v>645</v>
      </c>
      <c r="BM8" s="26" t="s">
        <v>393</v>
      </c>
      <c r="BR8" s="26" t="s">
        <v>296</v>
      </c>
    </row>
    <row r="9" spans="1:73" x14ac:dyDescent="0.2">
      <c r="A9" s="26" t="s">
        <v>237</v>
      </c>
      <c r="J9" s="26" t="s">
        <v>23</v>
      </c>
      <c r="AB9" s="26" t="s">
        <v>633</v>
      </c>
      <c r="AK9" s="26" t="s">
        <v>637</v>
      </c>
      <c r="AZ9" s="26" t="s">
        <v>578</v>
      </c>
      <c r="BF9" s="26" t="s">
        <v>646</v>
      </c>
      <c r="BM9" s="26" t="s">
        <v>519</v>
      </c>
      <c r="BR9" s="26" t="s">
        <v>285</v>
      </c>
    </row>
    <row r="10" spans="1:73" x14ac:dyDescent="0.2">
      <c r="A10" s="26" t="s">
        <v>11</v>
      </c>
      <c r="E10" t="s">
        <v>702</v>
      </c>
      <c r="J10" s="26" t="s">
        <v>24</v>
      </c>
      <c r="S10" s="26" t="s">
        <v>177</v>
      </c>
      <c r="AB10" s="26" t="s">
        <v>627</v>
      </c>
      <c r="AK10" s="26" t="s">
        <v>625</v>
      </c>
      <c r="AZ10" s="26" t="s">
        <v>599</v>
      </c>
      <c r="BM10" s="26" t="s">
        <v>287</v>
      </c>
      <c r="BR10" s="26" t="s">
        <v>297</v>
      </c>
    </row>
    <row r="11" spans="1:73" x14ac:dyDescent="0.2">
      <c r="A11" s="26" t="s">
        <v>12</v>
      </c>
      <c r="J11" s="28" t="s">
        <v>25</v>
      </c>
      <c r="S11" s="26" t="s">
        <v>187</v>
      </c>
      <c r="AB11" s="26" t="s">
        <v>622</v>
      </c>
      <c r="AK11" s="26" t="s">
        <v>666</v>
      </c>
      <c r="BR11" s="26" t="s">
        <v>298</v>
      </c>
    </row>
    <row r="12" spans="1:73" x14ac:dyDescent="0.2">
      <c r="A12" s="26" t="s">
        <v>13</v>
      </c>
      <c r="J12" s="26" t="s">
        <v>26</v>
      </c>
      <c r="S12" s="26" t="s">
        <v>196</v>
      </c>
      <c r="AB12" s="26" t="s">
        <v>667</v>
      </c>
      <c r="AK12" s="26" t="s">
        <v>626</v>
      </c>
      <c r="BR12" s="26" t="s">
        <v>299</v>
      </c>
    </row>
    <row r="13" spans="1:73" x14ac:dyDescent="0.2">
      <c r="A13" s="26" t="s">
        <v>14</v>
      </c>
      <c r="J13" s="26" t="s">
        <v>27</v>
      </c>
      <c r="S13" s="26" t="s">
        <v>402</v>
      </c>
      <c r="AB13" s="26" t="s">
        <v>668</v>
      </c>
      <c r="AK13" s="26" t="s">
        <v>669</v>
      </c>
      <c r="BR13" s="26" t="s">
        <v>300</v>
      </c>
    </row>
    <row r="14" spans="1:73" x14ac:dyDescent="0.2">
      <c r="A14" s="26" t="s">
        <v>15</v>
      </c>
      <c r="E14" t="s">
        <v>703</v>
      </c>
      <c r="J14" s="26" t="s">
        <v>28</v>
      </c>
      <c r="AB14" s="26" t="s">
        <v>624</v>
      </c>
      <c r="AK14" s="26" t="s">
        <v>670</v>
      </c>
      <c r="BR14" s="26" t="s">
        <v>301</v>
      </c>
    </row>
    <row r="15" spans="1:73" x14ac:dyDescent="0.2">
      <c r="A15" s="26" t="s">
        <v>16</v>
      </c>
      <c r="J15" s="26" t="s">
        <v>29</v>
      </c>
      <c r="S15" s="26" t="s">
        <v>179</v>
      </c>
      <c r="AB15" s="26" t="s">
        <v>671</v>
      </c>
      <c r="AK15" s="26" t="s">
        <v>672</v>
      </c>
      <c r="BR15" s="26" t="s">
        <v>302</v>
      </c>
    </row>
    <row r="16" spans="1:73" x14ac:dyDescent="0.2">
      <c r="A16" s="26" t="s">
        <v>231</v>
      </c>
      <c r="E16" t="s">
        <v>704</v>
      </c>
      <c r="J16" s="26" t="s">
        <v>30</v>
      </c>
      <c r="S16" s="26" t="s">
        <v>189</v>
      </c>
      <c r="AB16" s="26" t="s">
        <v>629</v>
      </c>
      <c r="AK16" s="26" t="s">
        <v>647</v>
      </c>
      <c r="BR16" s="26" t="s">
        <v>303</v>
      </c>
    </row>
    <row r="17" spans="1:70" x14ac:dyDescent="0.2">
      <c r="A17" s="26" t="s">
        <v>241</v>
      </c>
      <c r="J17" s="26" t="s">
        <v>31</v>
      </c>
      <c r="S17" s="26" t="s">
        <v>384</v>
      </c>
      <c r="AB17" s="26" t="s">
        <v>570</v>
      </c>
      <c r="AK17" s="26" t="s">
        <v>602</v>
      </c>
      <c r="BR17" s="26" t="s">
        <v>304</v>
      </c>
    </row>
    <row r="18" spans="1:70" x14ac:dyDescent="0.2">
      <c r="A18" s="26" t="s">
        <v>230</v>
      </c>
      <c r="J18" s="26" t="s">
        <v>32</v>
      </c>
      <c r="AB18" s="26" t="s">
        <v>673</v>
      </c>
      <c r="AK18" s="26" t="s">
        <v>606</v>
      </c>
      <c r="BR18" s="26" t="s">
        <v>305</v>
      </c>
    </row>
    <row r="19" spans="1:70" x14ac:dyDescent="0.2">
      <c r="A19" s="26" t="s">
        <v>392</v>
      </c>
      <c r="J19" s="26" t="s">
        <v>33</v>
      </c>
      <c r="S19" s="26" t="s">
        <v>65</v>
      </c>
      <c r="X19" t="s">
        <v>720</v>
      </c>
      <c r="AB19" s="26" t="s">
        <v>674</v>
      </c>
      <c r="AK19" s="26" t="s">
        <v>605</v>
      </c>
      <c r="BR19" s="26" t="s">
        <v>306</v>
      </c>
    </row>
    <row r="20" spans="1:70" x14ac:dyDescent="0.2">
      <c r="A20" s="26" t="s">
        <v>393</v>
      </c>
      <c r="J20" s="26" t="s">
        <v>34</v>
      </c>
      <c r="S20" s="26" t="s">
        <v>66</v>
      </c>
      <c r="X20" t="s">
        <v>720</v>
      </c>
      <c r="AB20" s="26" t="s">
        <v>675</v>
      </c>
      <c r="AK20" s="26" t="s">
        <v>651</v>
      </c>
      <c r="BR20" s="26" t="s">
        <v>307</v>
      </c>
    </row>
    <row r="21" spans="1:70" x14ac:dyDescent="0.2">
      <c r="A21" s="26" t="s">
        <v>398</v>
      </c>
      <c r="J21" s="26" t="s">
        <v>35</v>
      </c>
      <c r="S21" s="26" t="s">
        <v>67</v>
      </c>
      <c r="X21" t="s">
        <v>720</v>
      </c>
      <c r="AB21" s="26" t="s">
        <v>676</v>
      </c>
      <c r="AK21" s="26" t="s">
        <v>572</v>
      </c>
      <c r="BR21" s="26" t="s">
        <v>308</v>
      </c>
    </row>
    <row r="22" spans="1:70" x14ac:dyDescent="0.2">
      <c r="A22" s="26" t="s">
        <v>287</v>
      </c>
      <c r="J22" s="26" t="s">
        <v>656</v>
      </c>
      <c r="S22" s="26" t="s">
        <v>68</v>
      </c>
      <c r="X22" t="s">
        <v>720</v>
      </c>
      <c r="AB22" s="26" t="s">
        <v>677</v>
      </c>
      <c r="AK22" s="26" t="s">
        <v>628</v>
      </c>
      <c r="BR22" s="26" t="s">
        <v>309</v>
      </c>
    </row>
    <row r="23" spans="1:70" x14ac:dyDescent="0.2">
      <c r="A23" s="26" t="s">
        <v>400</v>
      </c>
      <c r="J23" s="26" t="s">
        <v>657</v>
      </c>
      <c r="S23" s="26" t="s">
        <v>69</v>
      </c>
      <c r="X23" t="s">
        <v>720</v>
      </c>
      <c r="AB23" s="26" t="s">
        <v>678</v>
      </c>
      <c r="AK23" s="26" t="s">
        <v>679</v>
      </c>
      <c r="BR23" s="26" t="s">
        <v>310</v>
      </c>
    </row>
    <row r="24" spans="1:70" x14ac:dyDescent="0.2">
      <c r="A24" s="26" t="s">
        <v>417</v>
      </c>
      <c r="J24" s="26" t="s">
        <v>658</v>
      </c>
      <c r="S24" s="26" t="s">
        <v>371</v>
      </c>
      <c r="X24" t="s">
        <v>720</v>
      </c>
      <c r="AB24" s="26" t="s">
        <v>636</v>
      </c>
      <c r="AK24" s="26" t="s">
        <v>680</v>
      </c>
      <c r="BR24" s="26" t="s">
        <v>311</v>
      </c>
    </row>
    <row r="25" spans="1:70" x14ac:dyDescent="0.2">
      <c r="A25" s="26" t="s">
        <v>529</v>
      </c>
      <c r="J25" s="26" t="s">
        <v>10</v>
      </c>
      <c r="S25" s="26" t="s">
        <v>372</v>
      </c>
      <c r="X25" t="s">
        <v>720</v>
      </c>
      <c r="AB25" s="26" t="s">
        <v>648</v>
      </c>
      <c r="AK25" s="26" t="s">
        <v>681</v>
      </c>
      <c r="BR25" s="26" t="s">
        <v>312</v>
      </c>
    </row>
    <row r="26" spans="1:70" x14ac:dyDescent="0.2">
      <c r="J26" s="26" t="s">
        <v>36</v>
      </c>
      <c r="S26" s="26" t="s">
        <v>381</v>
      </c>
      <c r="X26" t="s">
        <v>720</v>
      </c>
      <c r="AB26" s="26" t="s">
        <v>654</v>
      </c>
      <c r="AK26" s="26" t="s">
        <v>682</v>
      </c>
      <c r="BR26" s="26" t="s">
        <v>313</v>
      </c>
    </row>
    <row r="27" spans="1:70" x14ac:dyDescent="0.2">
      <c r="J27" s="26" t="s">
        <v>37</v>
      </c>
      <c r="S27" s="26" t="s">
        <v>385</v>
      </c>
      <c r="X27" t="s">
        <v>720</v>
      </c>
      <c r="AB27" s="26" t="s">
        <v>619</v>
      </c>
      <c r="AK27" s="26" t="s">
        <v>683</v>
      </c>
      <c r="BR27" s="26" t="s">
        <v>314</v>
      </c>
    </row>
    <row r="28" spans="1:70" x14ac:dyDescent="0.2">
      <c r="J28" s="26" t="s">
        <v>38</v>
      </c>
      <c r="S28" s="26" t="s">
        <v>444</v>
      </c>
      <c r="X28" t="s">
        <v>720</v>
      </c>
      <c r="AB28" s="26" t="s">
        <v>684</v>
      </c>
      <c r="AK28" s="26" t="s">
        <v>635</v>
      </c>
      <c r="BR28" s="26" t="s">
        <v>315</v>
      </c>
    </row>
    <row r="29" spans="1:70" x14ac:dyDescent="0.2">
      <c r="J29" s="26" t="s">
        <v>39</v>
      </c>
      <c r="S29" s="26" t="s">
        <v>445</v>
      </c>
      <c r="X29" t="s">
        <v>720</v>
      </c>
      <c r="AB29" s="26" t="s">
        <v>569</v>
      </c>
      <c r="AK29" s="26" t="s">
        <v>685</v>
      </c>
      <c r="BR29" s="26" t="s">
        <v>316</v>
      </c>
    </row>
    <row r="30" spans="1:70" x14ac:dyDescent="0.2">
      <c r="J30" s="26" t="s">
        <v>40</v>
      </c>
      <c r="S30" s="28" t="s">
        <v>588</v>
      </c>
      <c r="X30" t="s">
        <v>720</v>
      </c>
      <c r="AB30" s="26" t="s">
        <v>603</v>
      </c>
      <c r="AK30" s="26" t="s">
        <v>686</v>
      </c>
      <c r="BR30" s="26" t="s">
        <v>317</v>
      </c>
    </row>
    <row r="31" spans="1:70" x14ac:dyDescent="0.2">
      <c r="J31" s="26" t="s">
        <v>41</v>
      </c>
      <c r="S31" s="28" t="s">
        <v>589</v>
      </c>
      <c r="X31" t="s">
        <v>720</v>
      </c>
      <c r="AB31" s="26" t="s">
        <v>687</v>
      </c>
      <c r="AK31" s="26" t="s">
        <v>688</v>
      </c>
      <c r="BR31" s="26" t="s">
        <v>318</v>
      </c>
    </row>
    <row r="32" spans="1:70" x14ac:dyDescent="0.2">
      <c r="J32" s="26" t="s">
        <v>42</v>
      </c>
      <c r="S32" s="28" t="s">
        <v>590</v>
      </c>
      <c r="X32" t="s">
        <v>720</v>
      </c>
      <c r="AB32" s="26" t="s">
        <v>571</v>
      </c>
      <c r="AK32" s="26" t="s">
        <v>623</v>
      </c>
      <c r="BR32" s="26" t="s">
        <v>319</v>
      </c>
    </row>
    <row r="33" spans="10:70" x14ac:dyDescent="0.2">
      <c r="J33" s="26" t="s">
        <v>43</v>
      </c>
      <c r="S33" s="28" t="s">
        <v>591</v>
      </c>
      <c r="X33" t="s">
        <v>720</v>
      </c>
      <c r="AB33" s="26" t="s">
        <v>655</v>
      </c>
      <c r="AK33" s="26" t="s">
        <v>689</v>
      </c>
      <c r="BR33" s="26" t="s">
        <v>320</v>
      </c>
    </row>
    <row r="34" spans="10:70" x14ac:dyDescent="0.2">
      <c r="J34" s="26" t="s">
        <v>44</v>
      </c>
      <c r="S34" s="28" t="s">
        <v>592</v>
      </c>
      <c r="X34" t="s">
        <v>720</v>
      </c>
      <c r="AB34" s="26" t="s">
        <v>569</v>
      </c>
      <c r="AK34" s="26" t="s">
        <v>632</v>
      </c>
      <c r="BR34" s="26" t="s">
        <v>321</v>
      </c>
    </row>
    <row r="35" spans="10:70" x14ac:dyDescent="0.2">
      <c r="J35" s="26" t="s">
        <v>45</v>
      </c>
      <c r="S35" s="28" t="s">
        <v>70</v>
      </c>
      <c r="X35" t="s">
        <v>720</v>
      </c>
      <c r="AB35" s="26" t="s">
        <v>690</v>
      </c>
      <c r="AK35" s="26" t="s">
        <v>691</v>
      </c>
      <c r="BR35" s="26" t="s">
        <v>322</v>
      </c>
    </row>
    <row r="36" spans="10:70" x14ac:dyDescent="0.2">
      <c r="J36" s="26" t="s">
        <v>46</v>
      </c>
      <c r="AB36" s="26" t="s">
        <v>604</v>
      </c>
      <c r="AK36" s="26" t="s">
        <v>692</v>
      </c>
      <c r="BR36" s="26" t="s">
        <v>323</v>
      </c>
    </row>
    <row r="37" spans="10:70" x14ac:dyDescent="0.2">
      <c r="J37" s="26" t="s">
        <v>47</v>
      </c>
      <c r="S37" s="26" t="s">
        <v>71</v>
      </c>
      <c r="AB37" s="26" t="s">
        <v>573</v>
      </c>
      <c r="AK37" s="26" t="s">
        <v>693</v>
      </c>
      <c r="BR37" s="26" t="s">
        <v>324</v>
      </c>
    </row>
    <row r="38" spans="10:70" x14ac:dyDescent="0.2">
      <c r="J38" s="26" t="s">
        <v>48</v>
      </c>
      <c r="S38" s="26" t="s">
        <v>72</v>
      </c>
      <c r="AB38" s="26" t="s">
        <v>600</v>
      </c>
      <c r="AK38" s="26" t="s">
        <v>610</v>
      </c>
      <c r="BR38" s="26" t="s">
        <v>325</v>
      </c>
    </row>
    <row r="39" spans="10:70" x14ac:dyDescent="0.2">
      <c r="J39" s="26" t="s">
        <v>49</v>
      </c>
      <c r="S39" s="26" t="s">
        <v>73</v>
      </c>
      <c r="AB39" s="26" t="s">
        <v>607</v>
      </c>
      <c r="AK39" s="26" t="s">
        <v>612</v>
      </c>
      <c r="BR39" s="26" t="s">
        <v>326</v>
      </c>
    </row>
    <row r="40" spans="10:70" x14ac:dyDescent="0.2">
      <c r="J40" s="26" t="s">
        <v>167</v>
      </c>
      <c r="S40" s="26" t="s">
        <v>74</v>
      </c>
      <c r="AB40" s="26" t="s">
        <v>694</v>
      </c>
      <c r="AK40" s="26" t="s">
        <v>613</v>
      </c>
      <c r="BR40" s="26" t="s">
        <v>327</v>
      </c>
    </row>
    <row r="41" spans="10:70" x14ac:dyDescent="0.2">
      <c r="J41" s="26" t="s">
        <v>168</v>
      </c>
      <c r="S41" s="26" t="s">
        <v>75</v>
      </c>
      <c r="AB41" s="26" t="s">
        <v>695</v>
      </c>
      <c r="AK41" s="26" t="s">
        <v>614</v>
      </c>
      <c r="BR41" s="26" t="s">
        <v>328</v>
      </c>
    </row>
    <row r="42" spans="10:70" x14ac:dyDescent="0.2">
      <c r="J42" s="26" t="s">
        <v>15</v>
      </c>
      <c r="S42" s="26" t="s">
        <v>446</v>
      </c>
      <c r="AB42" s="26" t="s">
        <v>696</v>
      </c>
      <c r="AK42" s="26" t="s">
        <v>616</v>
      </c>
      <c r="BR42" s="26" t="s">
        <v>329</v>
      </c>
    </row>
    <row r="43" spans="10:70" x14ac:dyDescent="0.2">
      <c r="J43" s="26" t="s">
        <v>241</v>
      </c>
      <c r="S43" s="26" t="s">
        <v>76</v>
      </c>
      <c r="AB43" s="26" t="s">
        <v>611</v>
      </c>
      <c r="AK43" s="26" t="s">
        <v>615</v>
      </c>
      <c r="BR43" s="26" t="s">
        <v>330</v>
      </c>
    </row>
    <row r="44" spans="10:70" x14ac:dyDescent="0.2">
      <c r="J44" s="26" t="s">
        <v>230</v>
      </c>
      <c r="S44" s="26" t="s">
        <v>77</v>
      </c>
      <c r="AB44" s="26" t="s">
        <v>618</v>
      </c>
      <c r="AK44" s="26" t="s">
        <v>617</v>
      </c>
      <c r="BR44" s="26" t="s">
        <v>331</v>
      </c>
    </row>
    <row r="45" spans="10:70" x14ac:dyDescent="0.2">
      <c r="J45" s="26" t="s">
        <v>399</v>
      </c>
      <c r="S45" s="26" t="s">
        <v>354</v>
      </c>
      <c r="AB45" s="26" t="s">
        <v>620</v>
      </c>
      <c r="BR45" s="26" t="s">
        <v>332</v>
      </c>
    </row>
    <row r="46" spans="10:70" x14ac:dyDescent="0.2">
      <c r="J46" s="26" t="s">
        <v>418</v>
      </c>
      <c r="K46" t="s">
        <v>708</v>
      </c>
      <c r="S46" s="26" t="s">
        <v>365</v>
      </c>
      <c r="AB46" s="26" t="s">
        <v>652</v>
      </c>
      <c r="BR46" s="26" t="s">
        <v>333</v>
      </c>
    </row>
    <row r="47" spans="10:70" x14ac:dyDescent="0.2">
      <c r="J47" s="26" t="s">
        <v>586</v>
      </c>
      <c r="K47" t="s">
        <v>709</v>
      </c>
      <c r="O47" t="s">
        <v>720</v>
      </c>
      <c r="P47" t="s">
        <v>723</v>
      </c>
      <c r="S47" s="26" t="s">
        <v>383</v>
      </c>
      <c r="AB47" s="26" t="s">
        <v>610</v>
      </c>
      <c r="BR47" s="26" t="s">
        <v>334</v>
      </c>
    </row>
    <row r="48" spans="10:70" x14ac:dyDescent="0.2">
      <c r="J48" s="26" t="s">
        <v>587</v>
      </c>
      <c r="K48" t="s">
        <v>710</v>
      </c>
      <c r="O48" t="s">
        <v>720</v>
      </c>
      <c r="S48" s="26" t="s">
        <v>391</v>
      </c>
      <c r="AB48" s="26" t="s">
        <v>612</v>
      </c>
      <c r="BR48" s="26" t="s">
        <v>335</v>
      </c>
    </row>
    <row r="49" spans="10:70" x14ac:dyDescent="0.2">
      <c r="J49" s="26" t="s">
        <v>574</v>
      </c>
      <c r="K49" t="s">
        <v>711</v>
      </c>
      <c r="O49" t="s">
        <v>720</v>
      </c>
      <c r="S49" s="26" t="s">
        <v>78</v>
      </c>
      <c r="AB49" s="26" t="s">
        <v>613</v>
      </c>
      <c r="BR49" s="26" t="s">
        <v>336</v>
      </c>
    </row>
    <row r="50" spans="10:70" x14ac:dyDescent="0.2">
      <c r="O50" t="s">
        <v>720</v>
      </c>
      <c r="AB50" s="26" t="s">
        <v>614</v>
      </c>
      <c r="BR50" s="26" t="s">
        <v>337</v>
      </c>
    </row>
    <row r="51" spans="10:70" x14ac:dyDescent="0.2">
      <c r="S51" s="26" t="s">
        <v>79</v>
      </c>
      <c r="AB51" s="26" t="s">
        <v>616</v>
      </c>
      <c r="BR51" s="26" t="s">
        <v>338</v>
      </c>
    </row>
    <row r="52" spans="10:70" x14ac:dyDescent="0.2">
      <c r="S52" s="26" t="s">
        <v>80</v>
      </c>
      <c r="AB52" s="26" t="s">
        <v>615</v>
      </c>
      <c r="BR52" s="26" t="s">
        <v>339</v>
      </c>
    </row>
    <row r="53" spans="10:70" x14ac:dyDescent="0.2">
      <c r="S53" s="26" t="s">
        <v>81</v>
      </c>
      <c r="AB53" s="26" t="s">
        <v>617</v>
      </c>
      <c r="BR53" s="26" t="s">
        <v>340</v>
      </c>
    </row>
    <row r="54" spans="10:70" x14ac:dyDescent="0.2">
      <c r="S54" s="26" t="s">
        <v>82</v>
      </c>
      <c r="BR54" s="26" t="s">
        <v>341</v>
      </c>
    </row>
    <row r="55" spans="10:70" x14ac:dyDescent="0.2">
      <c r="S55" s="26" t="s">
        <v>83</v>
      </c>
      <c r="BR55" s="26" t="s">
        <v>342</v>
      </c>
    </row>
    <row r="56" spans="10:70" x14ac:dyDescent="0.2">
      <c r="S56" s="26" t="s">
        <v>355</v>
      </c>
      <c r="BR56" s="26" t="s">
        <v>290</v>
      </c>
    </row>
    <row r="57" spans="10:70" x14ac:dyDescent="0.2">
      <c r="S57" s="26" t="s">
        <v>366</v>
      </c>
      <c r="BR57" s="26" t="s">
        <v>520</v>
      </c>
    </row>
    <row r="58" spans="10:70" x14ac:dyDescent="0.2">
      <c r="S58" s="26" t="s">
        <v>84</v>
      </c>
      <c r="BR58" s="26" t="s">
        <v>400</v>
      </c>
    </row>
    <row r="60" spans="10:70" x14ac:dyDescent="0.2">
      <c r="S60" s="26" t="s">
        <v>659</v>
      </c>
      <c r="X60" t="s">
        <v>720</v>
      </c>
    </row>
    <row r="61" spans="10:70" x14ac:dyDescent="0.2">
      <c r="S61" s="26" t="s">
        <v>85</v>
      </c>
      <c r="X61" t="s">
        <v>720</v>
      </c>
    </row>
    <row r="62" spans="10:70" x14ac:dyDescent="0.2">
      <c r="S62" s="26" t="s">
        <v>86</v>
      </c>
      <c r="X62" t="s">
        <v>720</v>
      </c>
    </row>
    <row r="63" spans="10:70" x14ac:dyDescent="0.2">
      <c r="S63" s="26" t="s">
        <v>87</v>
      </c>
      <c r="X63" t="s">
        <v>720</v>
      </c>
    </row>
    <row r="64" spans="10:70" x14ac:dyDescent="0.2">
      <c r="S64" s="26" t="s">
        <v>373</v>
      </c>
      <c r="X64" t="s">
        <v>720</v>
      </c>
    </row>
    <row r="65" spans="19:24" x14ac:dyDescent="0.2">
      <c r="S65" s="26" t="s">
        <v>375</v>
      </c>
      <c r="X65" t="s">
        <v>720</v>
      </c>
    </row>
    <row r="66" spans="19:24" x14ac:dyDescent="0.2">
      <c r="S66" s="26" t="s">
        <v>390</v>
      </c>
      <c r="X66" t="s">
        <v>720</v>
      </c>
    </row>
    <row r="67" spans="19:24" x14ac:dyDescent="0.2">
      <c r="S67" s="26" t="s">
        <v>377</v>
      </c>
      <c r="X67" t="s">
        <v>720</v>
      </c>
    </row>
    <row r="68" spans="19:24" x14ac:dyDescent="0.2">
      <c r="S68" s="26" t="s">
        <v>379</v>
      </c>
      <c r="X68" t="s">
        <v>720</v>
      </c>
    </row>
    <row r="69" spans="19:24" x14ac:dyDescent="0.2">
      <c r="S69" s="26" t="s">
        <v>382</v>
      </c>
      <c r="X69" t="s">
        <v>720</v>
      </c>
    </row>
    <row r="70" spans="19:24" x14ac:dyDescent="0.2">
      <c r="S70" s="26" t="s">
        <v>414</v>
      </c>
      <c r="X70" t="s">
        <v>720</v>
      </c>
    </row>
    <row r="71" spans="19:24" x14ac:dyDescent="0.2">
      <c r="S71" s="26" t="s">
        <v>523</v>
      </c>
      <c r="X71" t="s">
        <v>720</v>
      </c>
    </row>
    <row r="72" spans="19:24" x14ac:dyDescent="0.2">
      <c r="S72" s="26" t="s">
        <v>169</v>
      </c>
      <c r="X72" t="s">
        <v>720</v>
      </c>
    </row>
    <row r="74" spans="19:24" x14ac:dyDescent="0.2">
      <c r="S74" s="26" t="s">
        <v>660</v>
      </c>
      <c r="X74" t="s">
        <v>720</v>
      </c>
    </row>
    <row r="75" spans="19:24" x14ac:dyDescent="0.2">
      <c r="S75" s="26" t="s">
        <v>88</v>
      </c>
      <c r="X75" t="s">
        <v>720</v>
      </c>
    </row>
    <row r="76" spans="19:24" x14ac:dyDescent="0.2">
      <c r="S76" s="26" t="s">
        <v>89</v>
      </c>
      <c r="X76" t="s">
        <v>720</v>
      </c>
    </row>
    <row r="77" spans="19:24" x14ac:dyDescent="0.2">
      <c r="S77" s="26" t="s">
        <v>90</v>
      </c>
      <c r="X77" t="s">
        <v>720</v>
      </c>
    </row>
    <row r="78" spans="19:24" x14ac:dyDescent="0.2">
      <c r="S78" s="26" t="s">
        <v>374</v>
      </c>
      <c r="X78" t="s">
        <v>720</v>
      </c>
    </row>
    <row r="79" spans="19:24" x14ac:dyDescent="0.2">
      <c r="S79" s="26" t="s">
        <v>376</v>
      </c>
      <c r="X79" t="s">
        <v>720</v>
      </c>
    </row>
    <row r="80" spans="19:24" x14ac:dyDescent="0.2">
      <c r="S80" s="26" t="s">
        <v>378</v>
      </c>
      <c r="X80" t="s">
        <v>720</v>
      </c>
    </row>
    <row r="81" spans="19:25" x14ac:dyDescent="0.2">
      <c r="S81" s="26" t="s">
        <v>380</v>
      </c>
      <c r="X81" t="s">
        <v>720</v>
      </c>
    </row>
    <row r="82" spans="19:25" x14ac:dyDescent="0.2">
      <c r="S82" s="26" t="s">
        <v>415</v>
      </c>
      <c r="X82" t="s">
        <v>720</v>
      </c>
    </row>
    <row r="83" spans="19:25" x14ac:dyDescent="0.2">
      <c r="S83" s="26" t="s">
        <v>524</v>
      </c>
      <c r="X83" t="s">
        <v>720</v>
      </c>
    </row>
    <row r="84" spans="19:25" x14ac:dyDescent="0.2">
      <c r="S84" s="26" t="s">
        <v>170</v>
      </c>
      <c r="X84" t="s">
        <v>720</v>
      </c>
    </row>
    <row r="86" spans="19:25" x14ac:dyDescent="0.2">
      <c r="S86" s="26" t="s">
        <v>661</v>
      </c>
      <c r="X86" t="s">
        <v>720</v>
      </c>
    </row>
    <row r="87" spans="19:25" x14ac:dyDescent="0.2">
      <c r="S87" s="26" t="s">
        <v>91</v>
      </c>
      <c r="X87" t="s">
        <v>720</v>
      </c>
    </row>
    <row r="88" spans="19:25" x14ac:dyDescent="0.2">
      <c r="S88" s="26" t="s">
        <v>92</v>
      </c>
      <c r="X88" t="s">
        <v>720</v>
      </c>
    </row>
    <row r="89" spans="19:25" x14ac:dyDescent="0.2">
      <c r="S89" s="26" t="s">
        <v>93</v>
      </c>
      <c r="X89" t="s">
        <v>720</v>
      </c>
    </row>
    <row r="91" spans="19:25" x14ac:dyDescent="0.2">
      <c r="S91" s="26" t="s">
        <v>2</v>
      </c>
      <c r="Y91" t="s">
        <v>721</v>
      </c>
    </row>
    <row r="92" spans="19:25" x14ac:dyDescent="0.2">
      <c r="S92" s="26" t="s">
        <v>143</v>
      </c>
      <c r="T92" t="s">
        <v>712</v>
      </c>
      <c r="X92" t="s">
        <v>720</v>
      </c>
    </row>
    <row r="93" spans="19:25" x14ac:dyDescent="0.2">
      <c r="S93" s="26" t="s">
        <v>144</v>
      </c>
      <c r="T93" t="s">
        <v>713</v>
      </c>
      <c r="X93" t="s">
        <v>720</v>
      </c>
    </row>
    <row r="94" spans="19:25" x14ac:dyDescent="0.2">
      <c r="S94" s="26" t="s">
        <v>145</v>
      </c>
      <c r="T94" t="s">
        <v>714</v>
      </c>
      <c r="X94" t="s">
        <v>720</v>
      </c>
    </row>
    <row r="95" spans="19:25" x14ac:dyDescent="0.2">
      <c r="S95" s="26" t="s">
        <v>146</v>
      </c>
      <c r="T95" t="s">
        <v>715</v>
      </c>
      <c r="X95" t="s">
        <v>720</v>
      </c>
    </row>
    <row r="96" spans="19:25" x14ac:dyDescent="0.2">
      <c r="S96" s="26" t="s">
        <v>147</v>
      </c>
      <c r="T96" t="s">
        <v>716</v>
      </c>
      <c r="X96" t="s">
        <v>720</v>
      </c>
    </row>
    <row r="97" spans="19:25" x14ac:dyDescent="0.2">
      <c r="S97" s="26" t="s">
        <v>148</v>
      </c>
      <c r="T97" t="s">
        <v>717</v>
      </c>
      <c r="X97" t="s">
        <v>720</v>
      </c>
    </row>
    <row r="98" spans="19:25" x14ac:dyDescent="0.2">
      <c r="S98" s="26" t="s">
        <v>149</v>
      </c>
      <c r="X98" t="s">
        <v>720</v>
      </c>
    </row>
    <row r="99" spans="19:25" x14ac:dyDescent="0.2">
      <c r="S99" s="26" t="s">
        <v>150</v>
      </c>
      <c r="X99" t="s">
        <v>720</v>
      </c>
    </row>
    <row r="100" spans="19:25" x14ac:dyDescent="0.2">
      <c r="S100" s="26" t="s">
        <v>151</v>
      </c>
      <c r="X100" t="s">
        <v>720</v>
      </c>
    </row>
    <row r="101" spans="19:25" x14ac:dyDescent="0.2">
      <c r="S101" s="26" t="s">
        <v>152</v>
      </c>
      <c r="X101" t="s">
        <v>720</v>
      </c>
    </row>
    <row r="102" spans="19:25" x14ac:dyDescent="0.2">
      <c r="S102" s="26" t="s">
        <v>153</v>
      </c>
      <c r="T102" t="s">
        <v>718</v>
      </c>
      <c r="X102" t="s">
        <v>720</v>
      </c>
    </row>
    <row r="103" spans="19:25" x14ac:dyDescent="0.2">
      <c r="S103" s="26" t="s">
        <v>154</v>
      </c>
      <c r="T103" t="s">
        <v>719</v>
      </c>
      <c r="X103" t="s">
        <v>720</v>
      </c>
    </row>
    <row r="104" spans="19:25" x14ac:dyDescent="0.2">
      <c r="S104" s="26" t="s">
        <v>155</v>
      </c>
      <c r="X104" t="s">
        <v>720</v>
      </c>
    </row>
    <row r="106" spans="19:25" x14ac:dyDescent="0.2">
      <c r="S106" s="26" t="s">
        <v>3</v>
      </c>
      <c r="Y106" t="s">
        <v>721</v>
      </c>
    </row>
    <row r="107" spans="19:25" x14ac:dyDescent="0.2">
      <c r="S107" s="26" t="s">
        <v>156</v>
      </c>
      <c r="X107" t="s">
        <v>720</v>
      </c>
    </row>
    <row r="108" spans="19:25" x14ac:dyDescent="0.2">
      <c r="S108" s="26" t="s">
        <v>157</v>
      </c>
      <c r="X108" t="s">
        <v>720</v>
      </c>
    </row>
    <row r="109" spans="19:25" x14ac:dyDescent="0.2">
      <c r="S109" s="26" t="s">
        <v>158</v>
      </c>
      <c r="X109" t="s">
        <v>720</v>
      </c>
    </row>
    <row r="110" spans="19:25" x14ac:dyDescent="0.2">
      <c r="S110" s="26" t="s">
        <v>159</v>
      </c>
      <c r="X110" t="s">
        <v>720</v>
      </c>
    </row>
    <row r="111" spans="19:25" x14ac:dyDescent="0.2">
      <c r="S111" s="26" t="s">
        <v>160</v>
      </c>
      <c r="X111" t="s">
        <v>720</v>
      </c>
    </row>
    <row r="112" spans="19:25" x14ac:dyDescent="0.2">
      <c r="S112" s="26" t="s">
        <v>161</v>
      </c>
      <c r="X112" t="s">
        <v>720</v>
      </c>
    </row>
    <row r="113" spans="19:24" x14ac:dyDescent="0.2">
      <c r="S113" s="26" t="s">
        <v>162</v>
      </c>
      <c r="X113" t="s">
        <v>720</v>
      </c>
    </row>
    <row r="114" spans="19:24" x14ac:dyDescent="0.2">
      <c r="S114" s="26" t="s">
        <v>163</v>
      </c>
      <c r="X114" t="s">
        <v>720</v>
      </c>
    </row>
    <row r="115" spans="19:24" x14ac:dyDescent="0.2">
      <c r="S115" s="26" t="s">
        <v>164</v>
      </c>
      <c r="X115" t="s">
        <v>720</v>
      </c>
    </row>
    <row r="116" spans="19:24" x14ac:dyDescent="0.2">
      <c r="S116" s="26" t="s">
        <v>165</v>
      </c>
      <c r="X116" t="s">
        <v>720</v>
      </c>
    </row>
    <row r="117" spans="19:24" x14ac:dyDescent="0.2">
      <c r="S117" s="26" t="s">
        <v>166</v>
      </c>
      <c r="X117" t="s">
        <v>720</v>
      </c>
    </row>
    <row r="118" spans="19:24" x14ac:dyDescent="0.2">
      <c r="S118" s="26" t="s">
        <v>152</v>
      </c>
      <c r="X118" t="s">
        <v>720</v>
      </c>
    </row>
    <row r="120" spans="19:24" x14ac:dyDescent="0.2">
      <c r="S120" s="26" t="s">
        <v>51</v>
      </c>
      <c r="X120" t="s">
        <v>720</v>
      </c>
    </row>
    <row r="121" spans="19:24" x14ac:dyDescent="0.2">
      <c r="S121" s="26" t="s">
        <v>52</v>
      </c>
      <c r="X121" t="s">
        <v>720</v>
      </c>
    </row>
    <row r="122" spans="19:24" x14ac:dyDescent="0.2">
      <c r="S122" s="26" t="s">
        <v>53</v>
      </c>
      <c r="X122" t="s">
        <v>720</v>
      </c>
    </row>
    <row r="123" spans="19:24" x14ac:dyDescent="0.2">
      <c r="S123" s="26" t="s">
        <v>55</v>
      </c>
      <c r="X123" t="s">
        <v>720</v>
      </c>
    </row>
    <row r="124" spans="19:24" x14ac:dyDescent="0.2">
      <c r="S124" s="26" t="s">
        <v>56</v>
      </c>
      <c r="X124" t="s">
        <v>720</v>
      </c>
    </row>
    <row r="125" spans="19:24" x14ac:dyDescent="0.2">
      <c r="S125" s="26" t="s">
        <v>57</v>
      </c>
      <c r="X125" t="s">
        <v>720</v>
      </c>
    </row>
    <row r="126" spans="19:24" x14ac:dyDescent="0.2">
      <c r="S126" s="26" t="s">
        <v>58</v>
      </c>
      <c r="X126" t="s">
        <v>720</v>
      </c>
    </row>
    <row r="127" spans="19:24" x14ac:dyDescent="0.2">
      <c r="S127" s="26" t="s">
        <v>59</v>
      </c>
      <c r="X127" t="s">
        <v>720</v>
      </c>
    </row>
    <row r="128" spans="19:24" x14ac:dyDescent="0.2">
      <c r="S128" s="26" t="s">
        <v>60</v>
      </c>
      <c r="X128" t="s">
        <v>720</v>
      </c>
    </row>
    <row r="129" spans="19:24" x14ac:dyDescent="0.2">
      <c r="S129" s="26" t="s">
        <v>54</v>
      </c>
      <c r="X129" t="s">
        <v>720</v>
      </c>
    </row>
    <row r="130" spans="19:24" x14ac:dyDescent="0.2">
      <c r="S130" s="26" t="s">
        <v>64</v>
      </c>
      <c r="X130" t="s">
        <v>720</v>
      </c>
    </row>
    <row r="132" spans="19:24" x14ac:dyDescent="0.2">
      <c r="S132" s="26" t="s">
        <v>94</v>
      </c>
    </row>
    <row r="133" spans="19:24" x14ac:dyDescent="0.2">
      <c r="S133" s="26" t="s">
        <v>95</v>
      </c>
    </row>
    <row r="134" spans="19:24" x14ac:dyDescent="0.2">
      <c r="S134" s="26" t="s">
        <v>96</v>
      </c>
    </row>
    <row r="135" spans="19:24" x14ac:dyDescent="0.2">
      <c r="S135" s="26" t="s">
        <v>97</v>
      </c>
    </row>
    <row r="136" spans="19:24" x14ac:dyDescent="0.2">
      <c r="S136" s="26" t="s">
        <v>98</v>
      </c>
    </row>
    <row r="137" spans="19:24" x14ac:dyDescent="0.2">
      <c r="S137" s="26" t="s">
        <v>99</v>
      </c>
    </row>
    <row r="138" spans="19:24" x14ac:dyDescent="0.2">
      <c r="S138" s="26" t="s">
        <v>100</v>
      </c>
    </row>
    <row r="139" spans="19:24" x14ac:dyDescent="0.2">
      <c r="S139" s="26" t="s">
        <v>101</v>
      </c>
    </row>
    <row r="140" spans="19:24" x14ac:dyDescent="0.2">
      <c r="S140" s="26" t="s">
        <v>416</v>
      </c>
    </row>
    <row r="141" spans="19:24" x14ac:dyDescent="0.2">
      <c r="S141" s="26" t="s">
        <v>443</v>
      </c>
    </row>
    <row r="142" spans="19:24" x14ac:dyDescent="0.2">
      <c r="S142" s="26" t="s">
        <v>102</v>
      </c>
    </row>
    <row r="144" spans="19:24" x14ac:dyDescent="0.2">
      <c r="S144" s="26" t="s">
        <v>232</v>
      </c>
    </row>
    <row r="145" spans="19:19" x14ac:dyDescent="0.2">
      <c r="S145" s="26" t="s">
        <v>233</v>
      </c>
    </row>
    <row r="146" spans="19:19" x14ac:dyDescent="0.2">
      <c r="S146" s="26" t="s">
        <v>234</v>
      </c>
    </row>
    <row r="147" spans="19:19" x14ac:dyDescent="0.2">
      <c r="S147" s="26" t="s">
        <v>235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E449-BB39-5C43-8DC0-DEC76A4E5AA4}">
  <dimension ref="A1:BQ139"/>
  <sheetViews>
    <sheetView topLeftCell="AK1" workbookViewId="0">
      <selection activeCell="AH11" sqref="AH11"/>
    </sheetView>
  </sheetViews>
  <sheetFormatPr baseColWidth="10" defaultRowHeight="16" x14ac:dyDescent="0.2"/>
  <cols>
    <col min="1" max="1" width="13.5" customWidth="1"/>
    <col min="7" max="7" width="16.6640625" customWidth="1"/>
    <col min="8" max="8" width="25.5" customWidth="1"/>
    <col min="9" max="9" width="16.5" customWidth="1"/>
    <col min="14" max="14" width="19.33203125" customWidth="1"/>
    <col min="15" max="15" width="19.6640625" customWidth="1"/>
    <col min="16" max="16" width="18.5" customWidth="1"/>
    <col min="17" max="17" width="17.33203125" customWidth="1"/>
    <col min="22" max="22" width="18.5" customWidth="1"/>
    <col min="24" max="24" width="23.83203125" bestFit="1" customWidth="1"/>
    <col min="27" max="27" width="28.83203125" bestFit="1" customWidth="1"/>
    <col min="29" max="29" width="27.5" customWidth="1"/>
    <col min="32" max="32" width="21.5" customWidth="1"/>
    <col min="41" max="41" width="24.33203125" customWidth="1"/>
    <col min="63" max="63" width="32.33203125" customWidth="1"/>
    <col min="64" max="64" width="32" bestFit="1" customWidth="1"/>
    <col min="65" max="65" width="23.83203125" bestFit="1" customWidth="1"/>
    <col min="69" max="69" width="21" customWidth="1"/>
  </cols>
  <sheetData>
    <row r="1" spans="1:69" s="2" customFormat="1" ht="51" x14ac:dyDescent="0.2">
      <c r="A1" s="2" t="s">
        <v>1</v>
      </c>
      <c r="B1" s="2" t="s">
        <v>50</v>
      </c>
      <c r="C1" s="2" t="s">
        <v>142</v>
      </c>
      <c r="D1" s="2" t="s">
        <v>2</v>
      </c>
      <c r="E1" s="2" t="s">
        <v>3</v>
      </c>
      <c r="F1" s="2" t="s">
        <v>230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238</v>
      </c>
      <c r="M1" s="2" t="s">
        <v>10</v>
      </c>
      <c r="N1" s="2" t="s">
        <v>171</v>
      </c>
      <c r="O1" s="2" t="s">
        <v>11</v>
      </c>
      <c r="P1" s="2" t="s">
        <v>14</v>
      </c>
      <c r="Q1" s="2" t="s">
        <v>15</v>
      </c>
      <c r="R1" s="2" t="s">
        <v>172</v>
      </c>
      <c r="S1" s="2" t="s">
        <v>182</v>
      </c>
      <c r="T1" s="2" t="s">
        <v>192</v>
      </c>
      <c r="U1" s="2" t="s">
        <v>199</v>
      </c>
      <c r="V1" s="2" t="s">
        <v>173</v>
      </c>
      <c r="W1" s="2" t="s">
        <v>183</v>
      </c>
      <c r="X1" s="2" t="s">
        <v>174</v>
      </c>
      <c r="Y1" s="2" t="s">
        <v>184</v>
      </c>
      <c r="Z1" s="2" t="s">
        <v>193</v>
      </c>
      <c r="AA1" s="2" t="s">
        <v>194</v>
      </c>
      <c r="AB1" s="2" t="s">
        <v>175</v>
      </c>
      <c r="AC1" s="2" t="s">
        <v>185</v>
      </c>
      <c r="AD1" s="2" t="s">
        <v>187</v>
      </c>
      <c r="AE1" s="2" t="s">
        <v>177</v>
      </c>
      <c r="AF1" s="2" t="s">
        <v>196</v>
      </c>
      <c r="AG1" s="2" t="s">
        <v>803</v>
      </c>
      <c r="AH1" s="2" t="s">
        <v>804</v>
      </c>
      <c r="AI1" s="2" t="s">
        <v>805</v>
      </c>
      <c r="AJ1" s="2" t="s">
        <v>176</v>
      </c>
      <c r="AK1" s="2" t="s">
        <v>186</v>
      </c>
      <c r="AL1" s="2" t="s">
        <v>195</v>
      </c>
      <c r="AM1" s="2" t="s">
        <v>179</v>
      </c>
      <c r="AN1" s="2" t="s">
        <v>189</v>
      </c>
      <c r="AO1" s="2" t="s">
        <v>205</v>
      </c>
      <c r="AP1" s="2" t="s">
        <v>181</v>
      </c>
      <c r="AQ1" s="2" t="s">
        <v>191</v>
      </c>
      <c r="AR1" s="2" t="s">
        <v>198</v>
      </c>
      <c r="AS1" s="2" t="s">
        <v>201</v>
      </c>
      <c r="AT1" s="2" t="s">
        <v>206</v>
      </c>
      <c r="AU1" s="2" t="s">
        <v>207</v>
      </c>
      <c r="AV1" s="2" t="s">
        <v>208</v>
      </c>
      <c r="AW1" s="2" t="s">
        <v>209</v>
      </c>
      <c r="AX1" s="2" t="s">
        <v>210</v>
      </c>
      <c r="AY1" s="2" t="s">
        <v>213</v>
      </c>
      <c r="AZ1" s="2" t="s">
        <v>214</v>
      </c>
      <c r="BA1" s="2" t="s">
        <v>215</v>
      </c>
      <c r="BB1" s="2" t="s">
        <v>384</v>
      </c>
      <c r="BC1" s="2" t="s">
        <v>231</v>
      </c>
      <c r="BD1" s="2" t="s">
        <v>388</v>
      </c>
      <c r="BE1" s="2" t="s">
        <v>389</v>
      </c>
      <c r="BF1" t="s">
        <v>13</v>
      </c>
      <c r="BG1" t="s">
        <v>5</v>
      </c>
      <c r="BH1" s="2" t="s">
        <v>730</v>
      </c>
      <c r="BI1" s="2" t="s">
        <v>343</v>
      </c>
      <c r="BJ1" s="2" t="s">
        <v>344</v>
      </c>
      <c r="BK1" s="2" t="s">
        <v>516</v>
      </c>
      <c r="BL1" s="2" t="s">
        <v>517</v>
      </c>
      <c r="BM1" s="2" t="s">
        <v>806</v>
      </c>
      <c r="BN1" s="2" t="s">
        <v>657</v>
      </c>
      <c r="BO1" s="2" t="s">
        <v>658</v>
      </c>
      <c r="BQ1" s="2" t="s">
        <v>807</v>
      </c>
    </row>
    <row r="2" spans="1:69" x14ac:dyDescent="0.2">
      <c r="F2" t="s">
        <v>388</v>
      </c>
      <c r="G2" t="s">
        <v>180</v>
      </c>
      <c r="H2" t="s">
        <v>205</v>
      </c>
      <c r="I2" t="s">
        <v>172</v>
      </c>
      <c r="J2" t="s">
        <v>213</v>
      </c>
      <c r="K2" t="s">
        <v>173</v>
      </c>
      <c r="L2" t="s">
        <v>174</v>
      </c>
      <c r="M2" t="s">
        <v>175</v>
      </c>
      <c r="N2" t="s">
        <v>176</v>
      </c>
      <c r="O2" t="s">
        <v>177</v>
      </c>
      <c r="P2" t="s">
        <v>178</v>
      </c>
      <c r="Q2" t="s">
        <v>179</v>
      </c>
      <c r="R2" t="s">
        <v>65</v>
      </c>
      <c r="S2" t="s">
        <v>65</v>
      </c>
      <c r="T2" t="s">
        <v>65</v>
      </c>
      <c r="U2" t="s">
        <v>65</v>
      </c>
      <c r="V2" t="s">
        <v>71</v>
      </c>
      <c r="W2" t="s">
        <v>79</v>
      </c>
      <c r="X2" t="s">
        <v>85</v>
      </c>
      <c r="Y2" t="s">
        <v>88</v>
      </c>
      <c r="Z2" t="s">
        <v>91</v>
      </c>
      <c r="AA2" t="s">
        <v>122</v>
      </c>
      <c r="AB2" t="s">
        <v>122</v>
      </c>
      <c r="AC2" t="s">
        <v>122</v>
      </c>
      <c r="AD2" t="s">
        <v>106</v>
      </c>
      <c r="AE2" t="s">
        <v>103</v>
      </c>
      <c r="AF2" t="s">
        <v>111</v>
      </c>
      <c r="AG2" t="s">
        <v>51</v>
      </c>
      <c r="AH2" t="s">
        <v>51</v>
      </c>
      <c r="AI2" t="s">
        <v>51</v>
      </c>
      <c r="AJ2" t="s">
        <v>51</v>
      </c>
      <c r="AK2" t="s">
        <v>51</v>
      </c>
      <c r="AL2" t="s">
        <v>51</v>
      </c>
      <c r="AM2" t="s">
        <v>94</v>
      </c>
      <c r="AN2" t="s">
        <v>94</v>
      </c>
      <c r="AO2" t="s">
        <v>51</v>
      </c>
      <c r="AP2" t="s">
        <v>51</v>
      </c>
      <c r="AQ2" t="s">
        <v>51</v>
      </c>
      <c r="AR2" t="s">
        <v>51</v>
      </c>
      <c r="AS2" t="s">
        <v>62</v>
      </c>
      <c r="AT2" t="s">
        <v>62</v>
      </c>
      <c r="AU2" t="s">
        <v>54</v>
      </c>
      <c r="AV2" t="s">
        <v>51</v>
      </c>
      <c r="AX2" t="s">
        <v>62</v>
      </c>
      <c r="AY2" t="s">
        <v>216</v>
      </c>
      <c r="AZ2" t="s">
        <v>216</v>
      </c>
      <c r="BA2" t="s">
        <v>216</v>
      </c>
      <c r="BB2" t="s">
        <v>94</v>
      </c>
      <c r="BC2" t="s">
        <v>232</v>
      </c>
      <c r="BE2" t="s">
        <v>432</v>
      </c>
      <c r="BF2" t="s">
        <v>418</v>
      </c>
      <c r="BG2" t="s">
        <v>6</v>
      </c>
      <c r="BH2" t="s">
        <v>51</v>
      </c>
      <c r="BI2" t="s">
        <v>284</v>
      </c>
      <c r="BJ2" t="s">
        <v>251</v>
      </c>
      <c r="BK2" t="s">
        <v>538</v>
      </c>
      <c r="BL2" t="s">
        <v>787</v>
      </c>
      <c r="BM2" t="s">
        <v>85</v>
      </c>
      <c r="BN2" t="s">
        <v>88</v>
      </c>
      <c r="BO2" t="s">
        <v>91</v>
      </c>
      <c r="BQ2" t="str" cm="1">
        <f t="array" ref="BQ2:BQ113">_xlfn._xlws.SORT(_xlfn.UNIQUE(BK2:BK1000))</f>
        <v>AssistPrimary</v>
      </c>
    </row>
    <row r="3" spans="1:69" x14ac:dyDescent="0.2">
      <c r="A3" t="s">
        <v>5</v>
      </c>
      <c r="B3" t="s">
        <v>5</v>
      </c>
      <c r="C3" t="s">
        <v>51</v>
      </c>
      <c r="D3" t="s">
        <v>143</v>
      </c>
      <c r="E3" t="s">
        <v>156</v>
      </c>
      <c r="F3" t="s">
        <v>389</v>
      </c>
      <c r="G3" t="s">
        <v>190</v>
      </c>
      <c r="H3" t="s">
        <v>181</v>
      </c>
      <c r="I3" t="s">
        <v>182</v>
      </c>
      <c r="J3" t="s">
        <v>214</v>
      </c>
      <c r="K3" t="s">
        <v>183</v>
      </c>
      <c r="L3" t="s">
        <v>184</v>
      </c>
      <c r="M3" t="s">
        <v>185</v>
      </c>
      <c r="N3" t="s">
        <v>186</v>
      </c>
      <c r="O3" t="s">
        <v>187</v>
      </c>
      <c r="P3" t="s">
        <v>188</v>
      </c>
      <c r="Q3" t="s">
        <v>189</v>
      </c>
      <c r="R3" t="s">
        <v>66</v>
      </c>
      <c r="S3" t="s">
        <v>66</v>
      </c>
      <c r="T3" t="s">
        <v>66</v>
      </c>
      <c r="U3" t="s">
        <v>66</v>
      </c>
      <c r="V3" t="s">
        <v>72</v>
      </c>
      <c r="W3" t="s">
        <v>80</v>
      </c>
      <c r="X3" t="s">
        <v>86</v>
      </c>
      <c r="Y3" t="s">
        <v>89</v>
      </c>
      <c r="Z3" t="s">
        <v>92</v>
      </c>
      <c r="AA3" t="s">
        <v>123</v>
      </c>
      <c r="AB3" t="s">
        <v>123</v>
      </c>
      <c r="AC3" t="s">
        <v>123</v>
      </c>
      <c r="AD3" t="s">
        <v>107</v>
      </c>
      <c r="AE3" t="s">
        <v>104</v>
      </c>
      <c r="AF3" t="s">
        <v>114</v>
      </c>
      <c r="AG3" t="s">
        <v>52</v>
      </c>
      <c r="AH3" t="s">
        <v>52</v>
      </c>
      <c r="AI3" t="s">
        <v>52</v>
      </c>
      <c r="AJ3" t="s">
        <v>52</v>
      </c>
      <c r="AK3" t="s">
        <v>52</v>
      </c>
      <c r="AL3" t="s">
        <v>52</v>
      </c>
      <c r="AM3" t="s">
        <v>95</v>
      </c>
      <c r="AN3" t="s">
        <v>95</v>
      </c>
      <c r="AO3" t="s">
        <v>52</v>
      </c>
      <c r="AP3" t="s">
        <v>52</v>
      </c>
      <c r="AQ3" t="s">
        <v>52</v>
      </c>
      <c r="AR3" t="s">
        <v>52</v>
      </c>
      <c r="AS3" t="s">
        <v>51</v>
      </c>
      <c r="AT3" t="s">
        <v>51</v>
      </c>
      <c r="AU3" t="s">
        <v>51</v>
      </c>
      <c r="AV3" t="s">
        <v>52</v>
      </c>
      <c r="AW3" t="s">
        <v>51</v>
      </c>
      <c r="AX3" t="s">
        <v>51</v>
      </c>
      <c r="AY3" t="s">
        <v>217</v>
      </c>
      <c r="AZ3" t="s">
        <v>217</v>
      </c>
      <c r="BA3" t="s">
        <v>217</v>
      </c>
      <c r="BB3" t="s">
        <v>95</v>
      </c>
      <c r="BC3" t="s">
        <v>233</v>
      </c>
      <c r="BD3" t="s">
        <v>419</v>
      </c>
      <c r="BE3" t="s">
        <v>433</v>
      </c>
      <c r="BF3" t="s">
        <v>586</v>
      </c>
      <c r="BG3" t="s">
        <v>7</v>
      </c>
      <c r="BH3" t="s">
        <v>52</v>
      </c>
      <c r="BI3" t="s">
        <v>286</v>
      </c>
      <c r="BJ3" t="s">
        <v>291</v>
      </c>
      <c r="BK3" t="s">
        <v>539</v>
      </c>
      <c r="BL3" t="s">
        <v>769</v>
      </c>
      <c r="BM3" t="s">
        <v>86</v>
      </c>
      <c r="BN3" t="s">
        <v>89</v>
      </c>
      <c r="BO3" t="s">
        <v>92</v>
      </c>
      <c r="BQ3" t="str">
        <v>AssistSecondary</v>
      </c>
    </row>
    <row r="4" spans="1:69" x14ac:dyDescent="0.2">
      <c r="A4" t="s">
        <v>6</v>
      </c>
      <c r="B4" t="s">
        <v>17</v>
      </c>
      <c r="C4" t="s">
        <v>52</v>
      </c>
      <c r="D4" t="s">
        <v>144</v>
      </c>
      <c r="E4" t="s">
        <v>157</v>
      </c>
      <c r="G4" t="s">
        <v>197</v>
      </c>
      <c r="H4" t="s">
        <v>191</v>
      </c>
      <c r="I4" t="s">
        <v>192</v>
      </c>
      <c r="J4" t="s">
        <v>215</v>
      </c>
      <c r="L4" t="s">
        <v>193</v>
      </c>
      <c r="M4" t="s">
        <v>194</v>
      </c>
      <c r="N4" t="s">
        <v>195</v>
      </c>
      <c r="O4" s="3" t="s">
        <v>196</v>
      </c>
      <c r="Q4" t="s">
        <v>384</v>
      </c>
      <c r="R4" t="s">
        <v>67</v>
      </c>
      <c r="S4" t="s">
        <v>67</v>
      </c>
      <c r="T4" t="s">
        <v>67</v>
      </c>
      <c r="U4" t="s">
        <v>67</v>
      </c>
      <c r="V4" t="s">
        <v>73</v>
      </c>
      <c r="W4" t="s">
        <v>81</v>
      </c>
      <c r="X4" t="s">
        <v>87</v>
      </c>
      <c r="Y4" t="s">
        <v>90</v>
      </c>
      <c r="Z4" t="s">
        <v>93</v>
      </c>
      <c r="AA4" t="s">
        <v>124</v>
      </c>
      <c r="AB4" t="s">
        <v>124</v>
      </c>
      <c r="AC4" t="s">
        <v>124</v>
      </c>
      <c r="AD4" t="s">
        <v>109</v>
      </c>
      <c r="AE4" t="s">
        <v>39</v>
      </c>
      <c r="AF4" t="s">
        <v>115</v>
      </c>
      <c r="AG4" t="s">
        <v>53</v>
      </c>
      <c r="AH4" t="s">
        <v>53</v>
      </c>
      <c r="AI4" t="s">
        <v>53</v>
      </c>
      <c r="AJ4" t="s">
        <v>53</v>
      </c>
      <c r="AK4" t="s">
        <v>53</v>
      </c>
      <c r="AL4" t="s">
        <v>53</v>
      </c>
      <c r="AM4" t="s">
        <v>96</v>
      </c>
      <c r="AN4" t="s">
        <v>96</v>
      </c>
      <c r="AO4" t="s">
        <v>53</v>
      </c>
      <c r="AP4" t="s">
        <v>53</v>
      </c>
      <c r="AQ4" t="s">
        <v>53</v>
      </c>
      <c r="AR4" t="s">
        <v>53</v>
      </c>
      <c r="AS4" t="s">
        <v>52</v>
      </c>
      <c r="AT4" t="s">
        <v>52</v>
      </c>
      <c r="AU4" t="s">
        <v>52</v>
      </c>
      <c r="AV4" t="s">
        <v>53</v>
      </c>
      <c r="AW4" t="s">
        <v>52</v>
      </c>
      <c r="AX4" t="s">
        <v>52</v>
      </c>
      <c r="AY4" t="s">
        <v>218</v>
      </c>
      <c r="AZ4" t="s">
        <v>218</v>
      </c>
      <c r="BA4" t="s">
        <v>218</v>
      </c>
      <c r="BB4" t="s">
        <v>96</v>
      </c>
      <c r="BC4" t="s">
        <v>234</v>
      </c>
      <c r="BD4" t="s">
        <v>420</v>
      </c>
      <c r="BE4" t="s">
        <v>434</v>
      </c>
      <c r="BF4" t="s">
        <v>587</v>
      </c>
      <c r="BG4" t="s">
        <v>8</v>
      </c>
      <c r="BH4" t="s">
        <v>53</v>
      </c>
      <c r="BI4" t="s">
        <v>287</v>
      </c>
      <c r="BJ4" t="s">
        <v>292</v>
      </c>
      <c r="BK4" t="s">
        <v>596</v>
      </c>
      <c r="BL4" t="s">
        <v>767</v>
      </c>
      <c r="BM4" t="s">
        <v>87</v>
      </c>
      <c r="BN4" t="s">
        <v>90</v>
      </c>
      <c r="BO4" t="s">
        <v>93</v>
      </c>
      <c r="BQ4" t="str">
        <v>AssistTertiary</v>
      </c>
    </row>
    <row r="5" spans="1:69" x14ac:dyDescent="0.2">
      <c r="A5" t="s">
        <v>7</v>
      </c>
      <c r="B5" t="s">
        <v>18</v>
      </c>
      <c r="C5" t="s">
        <v>53</v>
      </c>
      <c r="D5" t="s">
        <v>145</v>
      </c>
      <c r="E5" t="s">
        <v>158</v>
      </c>
      <c r="G5" t="s">
        <v>236</v>
      </c>
      <c r="H5" t="s">
        <v>198</v>
      </c>
      <c r="I5" t="s">
        <v>199</v>
      </c>
      <c r="L5" t="s">
        <v>656</v>
      </c>
      <c r="N5" t="s">
        <v>200</v>
      </c>
      <c r="O5" t="s">
        <v>402</v>
      </c>
      <c r="R5" t="s">
        <v>68</v>
      </c>
      <c r="S5" t="s">
        <v>68</v>
      </c>
      <c r="T5" t="s">
        <v>68</v>
      </c>
      <c r="U5" t="s">
        <v>68</v>
      </c>
      <c r="V5" t="s">
        <v>74</v>
      </c>
      <c r="W5" t="s">
        <v>82</v>
      </c>
      <c r="X5" t="s">
        <v>373</v>
      </c>
      <c r="Y5" t="s">
        <v>374</v>
      </c>
      <c r="AA5" t="s">
        <v>125</v>
      </c>
      <c r="AB5" t="s">
        <v>125</v>
      </c>
      <c r="AC5" t="s">
        <v>125</v>
      </c>
      <c r="AD5" t="s">
        <v>110</v>
      </c>
      <c r="AF5" t="s">
        <v>118</v>
      </c>
      <c r="AG5" t="s">
        <v>55</v>
      </c>
      <c r="AH5" t="s">
        <v>55</v>
      </c>
      <c r="AI5" t="s">
        <v>55</v>
      </c>
      <c r="AJ5" t="s">
        <v>55</v>
      </c>
      <c r="AK5" t="s">
        <v>55</v>
      </c>
      <c r="AL5" t="s">
        <v>55</v>
      </c>
      <c r="AM5" t="s">
        <v>97</v>
      </c>
      <c r="AN5" t="s">
        <v>97</v>
      </c>
      <c r="AO5" t="s">
        <v>55</v>
      </c>
      <c r="AP5" t="s">
        <v>55</v>
      </c>
      <c r="AQ5" t="s">
        <v>55</v>
      </c>
      <c r="AR5" t="s">
        <v>55</v>
      </c>
      <c r="AS5" t="s">
        <v>53</v>
      </c>
      <c r="AT5" t="s">
        <v>53</v>
      </c>
      <c r="AU5" t="s">
        <v>53</v>
      </c>
      <c r="AV5" t="s">
        <v>55</v>
      </c>
      <c r="AW5" t="s">
        <v>53</v>
      </c>
      <c r="AX5" t="s">
        <v>53</v>
      </c>
      <c r="AY5" t="s">
        <v>219</v>
      </c>
      <c r="AZ5" t="s">
        <v>220</v>
      </c>
      <c r="BA5" t="s">
        <v>220</v>
      </c>
      <c r="BB5" t="s">
        <v>97</v>
      </c>
      <c r="BC5" t="s">
        <v>235</v>
      </c>
      <c r="BD5" t="s">
        <v>421</v>
      </c>
      <c r="BE5" t="s">
        <v>435</v>
      </c>
      <c r="BF5" t="s">
        <v>574</v>
      </c>
      <c r="BG5" t="s">
        <v>9</v>
      </c>
      <c r="BH5" t="s">
        <v>55</v>
      </c>
      <c r="BI5" t="s">
        <v>288</v>
      </c>
      <c r="BJ5" t="s">
        <v>293</v>
      </c>
      <c r="BK5" t="s">
        <v>769</v>
      </c>
      <c r="BL5" t="s">
        <v>768</v>
      </c>
      <c r="BM5" t="s">
        <v>373</v>
      </c>
      <c r="BN5" t="s">
        <v>374</v>
      </c>
      <c r="BQ5" t="str">
        <v>AttemptedBlockedShot</v>
      </c>
    </row>
    <row r="6" spans="1:69" x14ac:dyDescent="0.2">
      <c r="A6" t="s">
        <v>8</v>
      </c>
      <c r="B6" t="s">
        <v>19</v>
      </c>
      <c r="C6" t="s">
        <v>54</v>
      </c>
      <c r="D6" t="s">
        <v>146</v>
      </c>
      <c r="E6" t="s">
        <v>159</v>
      </c>
      <c r="G6" t="s">
        <v>401</v>
      </c>
      <c r="H6" t="s">
        <v>201</v>
      </c>
      <c r="L6" t="s">
        <v>657</v>
      </c>
      <c r="N6" t="s">
        <v>202</v>
      </c>
      <c r="R6" t="s">
        <v>69</v>
      </c>
      <c r="S6" t="s">
        <v>69</v>
      </c>
      <c r="T6" t="s">
        <v>69</v>
      </c>
      <c r="U6" t="s">
        <v>69</v>
      </c>
      <c r="V6" t="s">
        <v>75</v>
      </c>
      <c r="W6" t="s">
        <v>83</v>
      </c>
      <c r="X6" t="s">
        <v>375</v>
      </c>
      <c r="Y6" t="s">
        <v>376</v>
      </c>
      <c r="AA6" t="s">
        <v>126</v>
      </c>
      <c r="AB6" t="s">
        <v>126</v>
      </c>
      <c r="AC6" t="s">
        <v>126</v>
      </c>
      <c r="AD6" t="s">
        <v>112</v>
      </c>
      <c r="AF6" t="s">
        <v>119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98</v>
      </c>
      <c r="AN6" t="s">
        <v>98</v>
      </c>
      <c r="AO6" t="s">
        <v>56</v>
      </c>
      <c r="AP6" t="s">
        <v>56</v>
      </c>
      <c r="AQ6" t="s">
        <v>56</v>
      </c>
      <c r="AR6" t="s">
        <v>56</v>
      </c>
      <c r="AS6" t="s">
        <v>55</v>
      </c>
      <c r="AT6" t="s">
        <v>55</v>
      </c>
      <c r="AU6" t="s">
        <v>55</v>
      </c>
      <c r="AV6" t="s">
        <v>56</v>
      </c>
      <c r="AW6" t="s">
        <v>55</v>
      </c>
      <c r="AX6" t="s">
        <v>55</v>
      </c>
      <c r="AY6" t="s">
        <v>220</v>
      </c>
      <c r="AZ6" t="s">
        <v>221</v>
      </c>
      <c r="BA6" t="s">
        <v>221</v>
      </c>
      <c r="BB6" t="s">
        <v>98</v>
      </c>
      <c r="BD6" t="s">
        <v>422</v>
      </c>
      <c r="BE6" t="s">
        <v>436</v>
      </c>
      <c r="BG6" t="s">
        <v>238</v>
      </c>
      <c r="BH6" t="s">
        <v>56</v>
      </c>
      <c r="BI6" t="s">
        <v>289</v>
      </c>
      <c r="BJ6" t="s">
        <v>294</v>
      </c>
      <c r="BK6" t="s">
        <v>767</v>
      </c>
      <c r="BL6" t="s">
        <v>770</v>
      </c>
      <c r="BM6" t="s">
        <v>375</v>
      </c>
      <c r="BN6" t="s">
        <v>376</v>
      </c>
      <c r="BQ6" t="str">
        <v>AttemptedBreakOutClear</v>
      </c>
    </row>
    <row r="7" spans="1:69" x14ac:dyDescent="0.2">
      <c r="A7" t="s">
        <v>9</v>
      </c>
      <c r="B7" t="s">
        <v>20</v>
      </c>
      <c r="C7" t="s">
        <v>55</v>
      </c>
      <c r="D7" t="s">
        <v>147</v>
      </c>
      <c r="E7" t="s">
        <v>160</v>
      </c>
      <c r="H7" t="s">
        <v>206</v>
      </c>
      <c r="L7" t="s">
        <v>658</v>
      </c>
      <c r="N7" t="s">
        <v>203</v>
      </c>
      <c r="R7" t="s">
        <v>371</v>
      </c>
      <c r="S7" t="s">
        <v>371</v>
      </c>
      <c r="T7" t="s">
        <v>371</v>
      </c>
      <c r="U7" t="s">
        <v>371</v>
      </c>
      <c r="V7" t="s">
        <v>446</v>
      </c>
      <c r="W7" t="s">
        <v>355</v>
      </c>
      <c r="X7" t="s">
        <v>390</v>
      </c>
      <c r="Y7" t="s">
        <v>378</v>
      </c>
      <c r="AA7" t="s">
        <v>127</v>
      </c>
      <c r="AB7" t="s">
        <v>127</v>
      </c>
      <c r="AC7" t="s">
        <v>127</v>
      </c>
      <c r="AD7" t="s">
        <v>113</v>
      </c>
      <c r="AF7" t="s">
        <v>120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57</v>
      </c>
      <c r="AM7" t="s">
        <v>99</v>
      </c>
      <c r="AN7" t="s">
        <v>99</v>
      </c>
      <c r="AO7" t="s">
        <v>57</v>
      </c>
      <c r="AP7" t="s">
        <v>57</v>
      </c>
      <c r="AQ7" t="s">
        <v>57</v>
      </c>
      <c r="AR7" t="s">
        <v>57</v>
      </c>
      <c r="AS7" t="s">
        <v>56</v>
      </c>
      <c r="AT7" t="s">
        <v>56</v>
      </c>
      <c r="AU7" t="s">
        <v>56</v>
      </c>
      <c r="AV7" t="s">
        <v>57</v>
      </c>
      <c r="AW7" t="s">
        <v>56</v>
      </c>
      <c r="AX7" t="s">
        <v>56</v>
      </c>
      <c r="AY7" t="s">
        <v>221</v>
      </c>
      <c r="AZ7" t="s">
        <v>222</v>
      </c>
      <c r="BA7" t="s">
        <v>222</v>
      </c>
      <c r="BB7" t="s">
        <v>99</v>
      </c>
      <c r="BD7" t="s">
        <v>423</v>
      </c>
      <c r="BE7" t="s">
        <v>437</v>
      </c>
      <c r="BG7" t="s">
        <v>10</v>
      </c>
      <c r="BH7" t="s">
        <v>57</v>
      </c>
      <c r="BI7" t="s">
        <v>290</v>
      </c>
      <c r="BJ7" t="s">
        <v>295</v>
      </c>
      <c r="BK7" t="s">
        <v>768</v>
      </c>
      <c r="BL7" t="s">
        <v>771</v>
      </c>
      <c r="BM7" t="s">
        <v>390</v>
      </c>
      <c r="BN7" t="s">
        <v>378</v>
      </c>
      <c r="BQ7" t="str">
        <v>AttemptedBreakOutPass</v>
      </c>
    </row>
    <row r="8" spans="1:69" x14ac:dyDescent="0.2">
      <c r="A8" t="s">
        <v>238</v>
      </c>
      <c r="B8" t="s">
        <v>21</v>
      </c>
      <c r="C8" t="s">
        <v>56</v>
      </c>
      <c r="D8" t="s">
        <v>148</v>
      </c>
      <c r="E8" t="s">
        <v>161</v>
      </c>
      <c r="H8" t="s">
        <v>204</v>
      </c>
      <c r="R8" t="s">
        <v>372</v>
      </c>
      <c r="S8" t="s">
        <v>372</v>
      </c>
      <c r="T8" t="s">
        <v>372</v>
      </c>
      <c r="U8" t="s">
        <v>372</v>
      </c>
      <c r="V8" t="s">
        <v>76</v>
      </c>
      <c r="W8" t="s">
        <v>366</v>
      </c>
      <c r="X8" t="s">
        <v>377</v>
      </c>
      <c r="Y8" t="s">
        <v>380</v>
      </c>
      <c r="AA8" t="s">
        <v>128</v>
      </c>
      <c r="AB8" t="s">
        <v>128</v>
      </c>
      <c r="AC8" t="s">
        <v>128</v>
      </c>
      <c r="AD8" t="s">
        <v>116</v>
      </c>
      <c r="AF8" t="s">
        <v>121</v>
      </c>
      <c r="AG8" t="s">
        <v>58</v>
      </c>
      <c r="AH8" t="s">
        <v>58</v>
      </c>
      <c r="AI8" t="s">
        <v>58</v>
      </c>
      <c r="AJ8" t="s">
        <v>58</v>
      </c>
      <c r="AK8" t="s">
        <v>58</v>
      </c>
      <c r="AL8" t="s">
        <v>58</v>
      </c>
      <c r="AM8" t="s">
        <v>100</v>
      </c>
      <c r="AN8" t="s">
        <v>100</v>
      </c>
      <c r="AO8" t="s">
        <v>58</v>
      </c>
      <c r="AP8" t="s">
        <v>58</v>
      </c>
      <c r="AQ8" t="s">
        <v>58</v>
      </c>
      <c r="AR8" t="s">
        <v>58</v>
      </c>
      <c r="AS8" t="s">
        <v>57</v>
      </c>
      <c r="AT8" t="s">
        <v>57</v>
      </c>
      <c r="AU8" t="s">
        <v>57</v>
      </c>
      <c r="AV8" t="s">
        <v>58</v>
      </c>
      <c r="AW8" t="s">
        <v>57</v>
      </c>
      <c r="AX8" t="s">
        <v>57</v>
      </c>
      <c r="AY8" t="s">
        <v>222</v>
      </c>
      <c r="AZ8" t="s">
        <v>223</v>
      </c>
      <c r="BA8" t="s">
        <v>223</v>
      </c>
      <c r="BB8" t="s">
        <v>100</v>
      </c>
      <c r="BD8" t="s">
        <v>424</v>
      </c>
      <c r="BE8" t="s">
        <v>438</v>
      </c>
      <c r="BG8" t="s">
        <v>237</v>
      </c>
      <c r="BH8" t="s">
        <v>58</v>
      </c>
      <c r="BI8" t="s">
        <v>393</v>
      </c>
      <c r="BJ8" t="s">
        <v>296</v>
      </c>
      <c r="BK8" t="s">
        <v>770</v>
      </c>
      <c r="BL8" t="s">
        <v>772</v>
      </c>
      <c r="BM8" t="s">
        <v>377</v>
      </c>
      <c r="BN8" t="s">
        <v>380</v>
      </c>
      <c r="BQ8" t="str">
        <v>AttemptedBreakOutRush</v>
      </c>
    </row>
    <row r="9" spans="1:69" x14ac:dyDescent="0.2">
      <c r="A9" t="s">
        <v>10</v>
      </c>
      <c r="B9" t="s">
        <v>22</v>
      </c>
      <c r="C9" t="s">
        <v>57</v>
      </c>
      <c r="D9" t="s">
        <v>149</v>
      </c>
      <c r="E9" t="s">
        <v>162</v>
      </c>
      <c r="H9" t="s">
        <v>207</v>
      </c>
      <c r="R9" t="s">
        <v>381</v>
      </c>
      <c r="S9" t="s">
        <v>381</v>
      </c>
      <c r="T9" t="s">
        <v>381</v>
      </c>
      <c r="U9" t="s">
        <v>381</v>
      </c>
      <c r="V9" t="s">
        <v>77</v>
      </c>
      <c r="W9" t="s">
        <v>84</v>
      </c>
      <c r="X9" t="s">
        <v>379</v>
      </c>
      <c r="Y9" t="s">
        <v>415</v>
      </c>
      <c r="AA9" t="s">
        <v>129</v>
      </c>
      <c r="AB9" t="s">
        <v>129</v>
      </c>
      <c r="AC9" t="s">
        <v>129</v>
      </c>
      <c r="AD9" t="s">
        <v>108</v>
      </c>
      <c r="AG9" t="s">
        <v>59</v>
      </c>
      <c r="AH9" t="s">
        <v>59</v>
      </c>
      <c r="AI9" t="s">
        <v>59</v>
      </c>
      <c r="AJ9" t="s">
        <v>59</v>
      </c>
      <c r="AK9" t="s">
        <v>59</v>
      </c>
      <c r="AL9" t="s">
        <v>59</v>
      </c>
      <c r="AM9" t="s">
        <v>101</v>
      </c>
      <c r="AN9" t="s">
        <v>101</v>
      </c>
      <c r="AO9" t="s">
        <v>59</v>
      </c>
      <c r="AP9" t="s">
        <v>59</v>
      </c>
      <c r="AQ9" t="s">
        <v>59</v>
      </c>
      <c r="AR9" t="s">
        <v>59</v>
      </c>
      <c r="AS9" t="s">
        <v>58</v>
      </c>
      <c r="AT9" t="s">
        <v>58</v>
      </c>
      <c r="AU9" t="s">
        <v>58</v>
      </c>
      <c r="AV9" t="s">
        <v>59</v>
      </c>
      <c r="AW9" t="s">
        <v>58</v>
      </c>
      <c r="AX9" t="s">
        <v>58</v>
      </c>
      <c r="AY9" t="s">
        <v>223</v>
      </c>
      <c r="AZ9" t="s">
        <v>224</v>
      </c>
      <c r="BA9" t="s">
        <v>224</v>
      </c>
      <c r="BB9" t="s">
        <v>101</v>
      </c>
      <c r="BD9" t="s">
        <v>425</v>
      </c>
      <c r="BE9" t="s">
        <v>439</v>
      </c>
      <c r="BG9" t="s">
        <v>11</v>
      </c>
      <c r="BH9" t="s">
        <v>59</v>
      </c>
      <c r="BI9" t="s">
        <v>519</v>
      </c>
      <c r="BJ9" t="s">
        <v>285</v>
      </c>
      <c r="BK9" t="s">
        <v>771</v>
      </c>
      <c r="BL9" t="s">
        <v>766</v>
      </c>
      <c r="BM9" t="s">
        <v>379</v>
      </c>
      <c r="BN9" t="s">
        <v>415</v>
      </c>
      <c r="BQ9" t="str">
        <v>AttemptedEntryDumpIn</v>
      </c>
    </row>
    <row r="10" spans="1:69" x14ac:dyDescent="0.2">
      <c r="A10" t="s">
        <v>237</v>
      </c>
      <c r="B10" t="s">
        <v>23</v>
      </c>
      <c r="C10" t="s">
        <v>58</v>
      </c>
      <c r="D10" t="s">
        <v>150</v>
      </c>
      <c r="E10" t="s">
        <v>163</v>
      </c>
      <c r="H10" t="s">
        <v>208</v>
      </c>
      <c r="R10" t="s">
        <v>385</v>
      </c>
      <c r="S10" t="s">
        <v>385</v>
      </c>
      <c r="T10" t="s">
        <v>385</v>
      </c>
      <c r="U10" t="s">
        <v>385</v>
      </c>
      <c r="V10" t="s">
        <v>354</v>
      </c>
      <c r="X10" t="s">
        <v>382</v>
      </c>
      <c r="Y10" t="s">
        <v>524</v>
      </c>
      <c r="AA10" t="s">
        <v>130</v>
      </c>
      <c r="AB10" t="s">
        <v>130</v>
      </c>
      <c r="AC10" t="s">
        <v>130</v>
      </c>
      <c r="AD10" t="s">
        <v>105</v>
      </c>
      <c r="AG10" t="s">
        <v>60</v>
      </c>
      <c r="AH10" t="s">
        <v>60</v>
      </c>
      <c r="AI10" t="s">
        <v>60</v>
      </c>
      <c r="AJ10" t="s">
        <v>60</v>
      </c>
      <c r="AK10" t="s">
        <v>60</v>
      </c>
      <c r="AL10" t="s">
        <v>60</v>
      </c>
      <c r="AM10" t="s">
        <v>416</v>
      </c>
      <c r="AN10" t="s">
        <v>416</v>
      </c>
      <c r="AO10" t="s">
        <v>60</v>
      </c>
      <c r="AP10" t="s">
        <v>60</v>
      </c>
      <c r="AQ10" t="s">
        <v>60</v>
      </c>
      <c r="AR10" t="s">
        <v>60</v>
      </c>
      <c r="AS10" t="s">
        <v>59</v>
      </c>
      <c r="AT10" t="s">
        <v>59</v>
      </c>
      <c r="AU10" t="s">
        <v>59</v>
      </c>
      <c r="AV10" t="s">
        <v>60</v>
      </c>
      <c r="AW10" t="s">
        <v>59</v>
      </c>
      <c r="AX10" t="s">
        <v>59</v>
      </c>
      <c r="AY10" t="s">
        <v>224</v>
      </c>
      <c r="AZ10" t="s">
        <v>225</v>
      </c>
      <c r="BA10" t="s">
        <v>225</v>
      </c>
      <c r="BB10" t="s">
        <v>102</v>
      </c>
      <c r="BD10" t="s">
        <v>447</v>
      </c>
      <c r="BE10" t="s">
        <v>440</v>
      </c>
      <c r="BG10" t="s">
        <v>12</v>
      </c>
      <c r="BH10" t="s">
        <v>60</v>
      </c>
      <c r="BI10" t="s">
        <v>287</v>
      </c>
      <c r="BJ10" t="s">
        <v>297</v>
      </c>
      <c r="BK10" t="s">
        <v>772</v>
      </c>
      <c r="BL10" t="s">
        <v>159</v>
      </c>
      <c r="BM10" t="s">
        <v>382</v>
      </c>
      <c r="BN10" t="s">
        <v>524</v>
      </c>
      <c r="BQ10" t="str">
        <v>AttemptedEntryPass</v>
      </c>
    </row>
    <row r="11" spans="1:69" x14ac:dyDescent="0.2">
      <c r="A11" t="s">
        <v>11</v>
      </c>
      <c r="B11" t="s">
        <v>24</v>
      </c>
      <c r="C11" t="s">
        <v>59</v>
      </c>
      <c r="D11" t="s">
        <v>151</v>
      </c>
      <c r="E11" t="s">
        <v>164</v>
      </c>
      <c r="H11" t="s">
        <v>211</v>
      </c>
      <c r="R11" t="s">
        <v>444</v>
      </c>
      <c r="S11" t="s">
        <v>444</v>
      </c>
      <c r="T11" t="s">
        <v>444</v>
      </c>
      <c r="U11" t="s">
        <v>444</v>
      </c>
      <c r="V11" t="s">
        <v>365</v>
      </c>
      <c r="X11" t="s">
        <v>414</v>
      </c>
      <c r="Y11" t="s">
        <v>727</v>
      </c>
      <c r="AA11" t="s">
        <v>131</v>
      </c>
      <c r="AB11" t="s">
        <v>131</v>
      </c>
      <c r="AC11" t="s">
        <v>131</v>
      </c>
      <c r="AD11" t="s">
        <v>41</v>
      </c>
      <c r="AG11" t="s">
        <v>54</v>
      </c>
      <c r="AH11" t="s">
        <v>54</v>
      </c>
      <c r="AI11" t="s">
        <v>64</v>
      </c>
      <c r="AJ11" t="s">
        <v>64</v>
      </c>
      <c r="AK11" t="s">
        <v>64</v>
      </c>
      <c r="AL11" t="s">
        <v>64</v>
      </c>
      <c r="AM11" t="s">
        <v>443</v>
      </c>
      <c r="AN11" t="s">
        <v>443</v>
      </c>
      <c r="AO11" t="s">
        <v>61</v>
      </c>
      <c r="AP11" t="s">
        <v>61</v>
      </c>
      <c r="AQ11" t="s">
        <v>61</v>
      </c>
      <c r="AR11" t="s">
        <v>61</v>
      </c>
      <c r="AS11" t="s">
        <v>60</v>
      </c>
      <c r="AT11" t="s">
        <v>60</v>
      </c>
      <c r="AU11" t="s">
        <v>60</v>
      </c>
      <c r="AV11" t="s">
        <v>61</v>
      </c>
      <c r="AW11" t="s">
        <v>60</v>
      </c>
      <c r="AX11" t="s">
        <v>60</v>
      </c>
      <c r="AY11" t="s">
        <v>225</v>
      </c>
      <c r="AZ11" t="s">
        <v>229</v>
      </c>
      <c r="BA11" t="s">
        <v>229</v>
      </c>
      <c r="BD11" t="s">
        <v>426</v>
      </c>
      <c r="BE11" t="s">
        <v>441</v>
      </c>
      <c r="BG11" t="s">
        <v>13</v>
      </c>
      <c r="BH11" t="s">
        <v>61</v>
      </c>
      <c r="BJ11" t="s">
        <v>298</v>
      </c>
      <c r="BK11" t="s">
        <v>766</v>
      </c>
      <c r="BL11" t="s">
        <v>164</v>
      </c>
      <c r="BM11" t="s">
        <v>414</v>
      </c>
      <c r="BN11" t="s">
        <v>170</v>
      </c>
      <c r="BQ11" t="str">
        <v>AttemptedEntryRush</v>
      </c>
    </row>
    <row r="12" spans="1:69" x14ac:dyDescent="0.2">
      <c r="A12" t="s">
        <v>12</v>
      </c>
      <c r="B12" t="s">
        <v>25</v>
      </c>
      <c r="C12" t="s">
        <v>60</v>
      </c>
      <c r="D12" t="s">
        <v>152</v>
      </c>
      <c r="E12" t="s">
        <v>165</v>
      </c>
      <c r="H12" t="s">
        <v>212</v>
      </c>
      <c r="R12" t="s">
        <v>445</v>
      </c>
      <c r="S12" t="s">
        <v>445</v>
      </c>
      <c r="T12" t="s">
        <v>445</v>
      </c>
      <c r="U12" t="s">
        <v>445</v>
      </c>
      <c r="V12" t="s">
        <v>383</v>
      </c>
      <c r="X12" t="s">
        <v>523</v>
      </c>
      <c r="Y12" t="s">
        <v>170</v>
      </c>
      <c r="AA12" t="s">
        <v>132</v>
      </c>
      <c r="AB12" t="s">
        <v>132</v>
      </c>
      <c r="AC12" t="s">
        <v>132</v>
      </c>
      <c r="AD12" t="s">
        <v>40</v>
      </c>
      <c r="AG12" t="s">
        <v>64</v>
      </c>
      <c r="AH12" t="s">
        <v>64</v>
      </c>
      <c r="AM12" t="s">
        <v>102</v>
      </c>
      <c r="AN12" t="s">
        <v>102</v>
      </c>
      <c r="AO12" t="s">
        <v>63</v>
      </c>
      <c r="AP12" t="s">
        <v>63</v>
      </c>
      <c r="AQ12" t="s">
        <v>63</v>
      </c>
      <c r="AR12" t="s">
        <v>63</v>
      </c>
      <c r="AS12" t="s">
        <v>61</v>
      </c>
      <c r="AT12" t="s">
        <v>61</v>
      </c>
      <c r="AU12" t="s">
        <v>61</v>
      </c>
      <c r="AV12" t="s">
        <v>63</v>
      </c>
      <c r="AW12" t="s">
        <v>61</v>
      </c>
      <c r="AX12" t="s">
        <v>61</v>
      </c>
      <c r="AY12" t="s">
        <v>226</v>
      </c>
      <c r="BD12" t="s">
        <v>427</v>
      </c>
      <c r="BE12" t="s">
        <v>442</v>
      </c>
      <c r="BG12" t="s">
        <v>14</v>
      </c>
      <c r="BH12" t="s">
        <v>63</v>
      </c>
      <c r="BJ12" t="s">
        <v>299</v>
      </c>
      <c r="BK12" t="s">
        <v>450</v>
      </c>
      <c r="BL12" t="s">
        <v>758</v>
      </c>
      <c r="BM12" t="s">
        <v>523</v>
      </c>
      <c r="BQ12" t="str">
        <v>AttemptedKeepin</v>
      </c>
    </row>
    <row r="13" spans="1:69" x14ac:dyDescent="0.2">
      <c r="A13" t="s">
        <v>13</v>
      </c>
      <c r="B13" t="s">
        <v>26</v>
      </c>
      <c r="C13" t="s">
        <v>61</v>
      </c>
      <c r="D13" t="s">
        <v>153</v>
      </c>
      <c r="E13" t="s">
        <v>166</v>
      </c>
      <c r="H13" t="s">
        <v>240</v>
      </c>
      <c r="R13" t="s">
        <v>588</v>
      </c>
      <c r="S13" t="s">
        <v>70</v>
      </c>
      <c r="T13" t="s">
        <v>70</v>
      </c>
      <c r="U13" t="s">
        <v>70</v>
      </c>
      <c r="V13" t="s">
        <v>391</v>
      </c>
      <c r="X13" t="s">
        <v>726</v>
      </c>
      <c r="AA13" t="s">
        <v>134</v>
      </c>
      <c r="AB13" t="s">
        <v>133</v>
      </c>
      <c r="AC13" t="s">
        <v>133</v>
      </c>
      <c r="AO13" t="s">
        <v>54</v>
      </c>
      <c r="AP13" t="s">
        <v>204</v>
      </c>
      <c r="AQ13" t="s">
        <v>204</v>
      </c>
      <c r="AR13" t="s">
        <v>204</v>
      </c>
      <c r="AS13" t="s">
        <v>63</v>
      </c>
      <c r="AT13" t="s">
        <v>63</v>
      </c>
      <c r="AU13" t="s">
        <v>63</v>
      </c>
      <c r="AV13" t="s">
        <v>64</v>
      </c>
      <c r="AW13" t="s">
        <v>63</v>
      </c>
      <c r="AX13" t="s">
        <v>63</v>
      </c>
      <c r="AY13" t="s">
        <v>227</v>
      </c>
      <c r="BD13" t="s">
        <v>428</v>
      </c>
      <c r="BE13" t="s">
        <v>448</v>
      </c>
      <c r="BG13" t="s">
        <v>15</v>
      </c>
      <c r="BH13" t="s">
        <v>204</v>
      </c>
      <c r="BJ13" t="s">
        <v>300</v>
      </c>
      <c r="BK13" t="s">
        <v>450</v>
      </c>
      <c r="BL13" t="s">
        <v>162</v>
      </c>
      <c r="BM13" t="s">
        <v>169</v>
      </c>
      <c r="BQ13" t="str">
        <v>AttemptedPass</v>
      </c>
    </row>
    <row r="14" spans="1:69" x14ac:dyDescent="0.2">
      <c r="A14" t="s">
        <v>14</v>
      </c>
      <c r="B14" t="s">
        <v>27</v>
      </c>
      <c r="C14" t="s">
        <v>62</v>
      </c>
      <c r="D14" t="s">
        <v>154</v>
      </c>
      <c r="E14" t="s">
        <v>152</v>
      </c>
      <c r="H14" t="s">
        <v>730</v>
      </c>
      <c r="R14" t="s">
        <v>589</v>
      </c>
      <c r="S14" t="s">
        <v>589</v>
      </c>
      <c r="T14" t="s">
        <v>589</v>
      </c>
      <c r="U14" t="s">
        <v>589</v>
      </c>
      <c r="V14" t="s">
        <v>78</v>
      </c>
      <c r="X14" t="s">
        <v>169</v>
      </c>
      <c r="AA14" t="s">
        <v>135</v>
      </c>
      <c r="AB14" t="s">
        <v>134</v>
      </c>
      <c r="AC14" t="s">
        <v>134</v>
      </c>
      <c r="AO14" t="s">
        <v>64</v>
      </c>
      <c r="AP14" t="s">
        <v>64</v>
      </c>
      <c r="AQ14" t="s">
        <v>64</v>
      </c>
      <c r="AR14" t="s">
        <v>64</v>
      </c>
      <c r="AS14" t="s">
        <v>64</v>
      </c>
      <c r="AT14" t="s">
        <v>64</v>
      </c>
      <c r="AU14" t="s">
        <v>64</v>
      </c>
      <c r="AV14" t="s">
        <v>62</v>
      </c>
      <c r="AW14" t="s">
        <v>64</v>
      </c>
      <c r="AX14" t="s">
        <v>64</v>
      </c>
      <c r="AY14" t="s">
        <v>228</v>
      </c>
      <c r="BD14" t="s">
        <v>429</v>
      </c>
      <c r="BE14" t="s">
        <v>427</v>
      </c>
      <c r="BG14" t="s">
        <v>16</v>
      </c>
      <c r="BH14" t="s">
        <v>64</v>
      </c>
      <c r="BJ14" t="s">
        <v>301</v>
      </c>
      <c r="BK14" t="s">
        <v>774</v>
      </c>
      <c r="BL14" t="s">
        <v>165</v>
      </c>
      <c r="BQ14" t="str">
        <v>AttemptedShot</v>
      </c>
    </row>
    <row r="15" spans="1:69" x14ac:dyDescent="0.2">
      <c r="A15" t="s">
        <v>15</v>
      </c>
      <c r="B15" t="s">
        <v>28</v>
      </c>
      <c r="C15" t="s">
        <v>63</v>
      </c>
      <c r="D15" t="s">
        <v>155</v>
      </c>
      <c r="R15" t="s">
        <v>590</v>
      </c>
      <c r="S15" t="s">
        <v>590</v>
      </c>
      <c r="T15" t="s">
        <v>590</v>
      </c>
      <c r="U15" t="s">
        <v>590</v>
      </c>
      <c r="AA15" t="s">
        <v>136</v>
      </c>
      <c r="AB15" t="s">
        <v>135</v>
      </c>
      <c r="AC15" t="s">
        <v>135</v>
      </c>
      <c r="AV15" t="s">
        <v>54</v>
      </c>
      <c r="AY15" t="s">
        <v>229</v>
      </c>
      <c r="BD15" t="s">
        <v>430</v>
      </c>
      <c r="BG15" t="s">
        <v>231</v>
      </c>
      <c r="BJ15" t="s">
        <v>302</v>
      </c>
      <c r="BK15" t="s">
        <v>773</v>
      </c>
      <c r="BL15" t="s">
        <v>163</v>
      </c>
      <c r="BQ15" t="str">
        <v>AttemptedTip/Deflection</v>
      </c>
    </row>
    <row r="16" spans="1:69" x14ac:dyDescent="0.2">
      <c r="A16" t="s">
        <v>16</v>
      </c>
      <c r="B16" t="s">
        <v>29</v>
      </c>
      <c r="C16" t="s">
        <v>64</v>
      </c>
      <c r="R16" t="s">
        <v>591</v>
      </c>
      <c r="S16" t="s">
        <v>591</v>
      </c>
      <c r="T16" t="s">
        <v>591</v>
      </c>
      <c r="U16" t="s">
        <v>591</v>
      </c>
      <c r="AA16" t="s">
        <v>138</v>
      </c>
      <c r="AB16" t="s">
        <v>136</v>
      </c>
      <c r="AC16" t="s">
        <v>136</v>
      </c>
      <c r="BD16" t="s">
        <v>431</v>
      </c>
      <c r="BJ16" t="s">
        <v>303</v>
      </c>
      <c r="BK16" t="s">
        <v>151</v>
      </c>
      <c r="BL16" t="s">
        <v>556</v>
      </c>
      <c r="BQ16" t="str">
        <v>Backcheck</v>
      </c>
    </row>
    <row r="17" spans="1:69" x14ac:dyDescent="0.2">
      <c r="A17" t="s">
        <v>231</v>
      </c>
      <c r="B17" t="s">
        <v>30</v>
      </c>
      <c r="C17" t="s">
        <v>65</v>
      </c>
      <c r="R17" t="s">
        <v>592</v>
      </c>
      <c r="S17" t="s">
        <v>592</v>
      </c>
      <c r="T17" t="s">
        <v>592</v>
      </c>
      <c r="U17" t="s">
        <v>592</v>
      </c>
      <c r="AA17" t="s">
        <v>139</v>
      </c>
      <c r="AB17" t="s">
        <v>137</v>
      </c>
      <c r="AC17" t="s">
        <v>137</v>
      </c>
      <c r="BJ17" t="s">
        <v>304</v>
      </c>
      <c r="BK17" t="s">
        <v>148</v>
      </c>
      <c r="BL17" t="s">
        <v>166</v>
      </c>
      <c r="BQ17" t="str">
        <v>BeatDeke</v>
      </c>
    </row>
    <row r="18" spans="1:69" x14ac:dyDescent="0.2">
      <c r="A18" t="s">
        <v>241</v>
      </c>
      <c r="B18" t="s">
        <v>31</v>
      </c>
      <c r="C18" t="s">
        <v>66</v>
      </c>
      <c r="R18" t="s">
        <v>70</v>
      </c>
      <c r="S18" t="s">
        <v>70</v>
      </c>
      <c r="T18" t="s">
        <v>70</v>
      </c>
      <c r="U18" t="s">
        <v>70</v>
      </c>
      <c r="AA18" t="s">
        <v>141</v>
      </c>
      <c r="AB18" t="s">
        <v>138</v>
      </c>
      <c r="AC18" t="s">
        <v>138</v>
      </c>
      <c r="BJ18" t="s">
        <v>305</v>
      </c>
      <c r="BK18" t="s">
        <v>548</v>
      </c>
      <c r="BL18" t="s">
        <v>774</v>
      </c>
      <c r="BQ18" t="str">
        <v>BeatFake</v>
      </c>
    </row>
    <row r="19" spans="1:69" x14ac:dyDescent="0.2">
      <c r="A19" t="s">
        <v>230</v>
      </c>
      <c r="B19" t="s">
        <v>32</v>
      </c>
      <c r="C19" t="s">
        <v>67</v>
      </c>
      <c r="AB19" t="s">
        <v>139</v>
      </c>
      <c r="AC19" t="s">
        <v>139</v>
      </c>
      <c r="BJ19" t="s">
        <v>306</v>
      </c>
      <c r="BK19" t="s">
        <v>527</v>
      </c>
      <c r="BL19" t="s">
        <v>773</v>
      </c>
      <c r="BQ19" t="str">
        <v>BeatMiddle</v>
      </c>
    </row>
    <row r="20" spans="1:69" x14ac:dyDescent="0.2">
      <c r="A20" t="s">
        <v>392</v>
      </c>
      <c r="B20" t="s">
        <v>33</v>
      </c>
      <c r="C20" t="s">
        <v>68</v>
      </c>
      <c r="AB20" t="s">
        <v>140</v>
      </c>
      <c r="AC20" t="s">
        <v>140</v>
      </c>
      <c r="BJ20" t="s">
        <v>307</v>
      </c>
      <c r="BK20" t="s">
        <v>150</v>
      </c>
      <c r="BL20" t="s">
        <v>558</v>
      </c>
      <c r="BQ20" t="str">
        <v>BeatSpeed</v>
      </c>
    </row>
    <row r="21" spans="1:69" x14ac:dyDescent="0.2">
      <c r="A21" t="s">
        <v>393</v>
      </c>
      <c r="B21" t="s">
        <v>34</v>
      </c>
      <c r="C21" t="s">
        <v>69</v>
      </c>
      <c r="AB21" t="s">
        <v>141</v>
      </c>
      <c r="AC21" t="s">
        <v>141</v>
      </c>
      <c r="BJ21" t="s">
        <v>308</v>
      </c>
      <c r="BK21" t="s">
        <v>149</v>
      </c>
      <c r="BL21" t="s">
        <v>161</v>
      </c>
      <c r="BQ21" t="str">
        <v>BeatWide</v>
      </c>
    </row>
    <row r="22" spans="1:69" x14ac:dyDescent="0.2">
      <c r="A22" t="s">
        <v>398</v>
      </c>
      <c r="B22" t="s">
        <v>35</v>
      </c>
      <c r="C22" t="s">
        <v>70</v>
      </c>
      <c r="BJ22" t="s">
        <v>309</v>
      </c>
      <c r="BK22" t="s">
        <v>145</v>
      </c>
      <c r="BL22" t="s">
        <v>584</v>
      </c>
      <c r="BQ22" t="str">
        <v>BlockedShot</v>
      </c>
    </row>
    <row r="23" spans="1:69" x14ac:dyDescent="0.2">
      <c r="A23" t="s">
        <v>287</v>
      </c>
      <c r="B23" t="s">
        <v>10</v>
      </c>
      <c r="C23" t="s">
        <v>71</v>
      </c>
      <c r="BJ23" t="s">
        <v>310</v>
      </c>
      <c r="BK23" t="s">
        <v>143</v>
      </c>
      <c r="BL23" t="s">
        <v>760</v>
      </c>
      <c r="BQ23" t="str">
        <v>BoxOut</v>
      </c>
    </row>
    <row r="24" spans="1:69" x14ac:dyDescent="0.2">
      <c r="A24" t="s">
        <v>400</v>
      </c>
      <c r="B24" t="s">
        <v>36</v>
      </c>
      <c r="C24" t="s">
        <v>72</v>
      </c>
      <c r="BJ24" t="s">
        <v>311</v>
      </c>
      <c r="BK24" t="s">
        <v>146</v>
      </c>
      <c r="BL24" t="s">
        <v>762</v>
      </c>
      <c r="BQ24" t="str">
        <v>Breakout</v>
      </c>
    </row>
    <row r="25" spans="1:69" x14ac:dyDescent="0.2">
      <c r="A25" t="s">
        <v>417</v>
      </c>
      <c r="B25" t="s">
        <v>37</v>
      </c>
      <c r="C25" t="s">
        <v>73</v>
      </c>
      <c r="BJ25" t="s">
        <v>312</v>
      </c>
      <c r="BK25" t="s">
        <v>147</v>
      </c>
      <c r="BL25" t="s">
        <v>761</v>
      </c>
      <c r="BQ25" t="str">
        <v>CededZoneEntry</v>
      </c>
    </row>
    <row r="26" spans="1:69" x14ac:dyDescent="0.2">
      <c r="A26" t="s">
        <v>529</v>
      </c>
      <c r="B26" t="s">
        <v>38</v>
      </c>
      <c r="C26" t="s">
        <v>74</v>
      </c>
      <c r="BJ26" t="s">
        <v>313</v>
      </c>
      <c r="BK26" t="s">
        <v>144</v>
      </c>
      <c r="BL26" t="s">
        <v>759</v>
      </c>
      <c r="BQ26" t="str">
        <v>CededZoneExit</v>
      </c>
    </row>
    <row r="27" spans="1:69" x14ac:dyDescent="0.2">
      <c r="B27" t="s">
        <v>39</v>
      </c>
      <c r="C27" t="s">
        <v>75</v>
      </c>
      <c r="BJ27" t="s">
        <v>314</v>
      </c>
      <c r="BK27" t="s">
        <v>537</v>
      </c>
      <c r="BL27" t="s">
        <v>786</v>
      </c>
      <c r="BQ27" t="str">
        <v>Chip</v>
      </c>
    </row>
    <row r="28" spans="1:69" x14ac:dyDescent="0.2">
      <c r="B28" t="s">
        <v>40</v>
      </c>
      <c r="C28" t="s">
        <v>76</v>
      </c>
      <c r="BJ28" t="s">
        <v>315</v>
      </c>
      <c r="BK28" t="s">
        <v>153</v>
      </c>
      <c r="BL28" t="s">
        <v>154</v>
      </c>
      <c r="BQ28" t="str">
        <v>ClearingAttempt</v>
      </c>
    </row>
    <row r="29" spans="1:69" x14ac:dyDescent="0.2">
      <c r="B29" t="s">
        <v>41</v>
      </c>
      <c r="C29" t="s">
        <v>77</v>
      </c>
      <c r="BJ29" t="s">
        <v>316</v>
      </c>
      <c r="BK29" t="s">
        <v>547</v>
      </c>
      <c r="BL29" t="s">
        <v>546</v>
      </c>
      <c r="BQ29" t="str">
        <v>Contain</v>
      </c>
    </row>
    <row r="30" spans="1:69" x14ac:dyDescent="0.2">
      <c r="B30" t="s">
        <v>42</v>
      </c>
      <c r="C30" t="s">
        <v>78</v>
      </c>
      <c r="BJ30" t="s">
        <v>317</v>
      </c>
      <c r="BK30" t="s">
        <v>545</v>
      </c>
      <c r="BL30" t="s">
        <v>757</v>
      </c>
      <c r="BQ30" t="str">
        <v>CrashNet</v>
      </c>
    </row>
    <row r="31" spans="1:69" x14ac:dyDescent="0.2">
      <c r="B31" t="s">
        <v>43</v>
      </c>
      <c r="C31" t="s">
        <v>79</v>
      </c>
      <c r="BJ31" t="s">
        <v>318</v>
      </c>
      <c r="BK31" t="s">
        <v>763</v>
      </c>
      <c r="BL31" t="s">
        <v>566</v>
      </c>
      <c r="BQ31" t="str">
        <v>CutBack</v>
      </c>
    </row>
    <row r="32" spans="1:69" x14ac:dyDescent="0.2">
      <c r="B32" t="s">
        <v>44</v>
      </c>
      <c r="C32" t="s">
        <v>80</v>
      </c>
      <c r="BJ32" t="s">
        <v>319</v>
      </c>
      <c r="BK32" t="s">
        <v>554</v>
      </c>
      <c r="BL32" t="s">
        <v>765</v>
      </c>
      <c r="BQ32" t="str">
        <v>Cycle</v>
      </c>
    </row>
    <row r="33" spans="2:69" x14ac:dyDescent="0.2">
      <c r="B33" t="s">
        <v>45</v>
      </c>
      <c r="C33" t="s">
        <v>81</v>
      </c>
      <c r="BJ33" t="s">
        <v>320</v>
      </c>
      <c r="BK33" t="s">
        <v>154</v>
      </c>
      <c r="BL33" t="s">
        <v>764</v>
      </c>
      <c r="BQ33" t="str">
        <v>DeflectedShot</v>
      </c>
    </row>
    <row r="34" spans="2:69" x14ac:dyDescent="0.2">
      <c r="B34" t="s">
        <v>46</v>
      </c>
      <c r="C34" t="s">
        <v>82</v>
      </c>
      <c r="BJ34" t="s">
        <v>321</v>
      </c>
      <c r="BK34" t="s">
        <v>546</v>
      </c>
      <c r="BL34" t="s">
        <v>563</v>
      </c>
      <c r="BQ34" t="str">
        <v>Deke</v>
      </c>
    </row>
    <row r="35" spans="2:69" x14ac:dyDescent="0.2">
      <c r="B35" t="s">
        <v>47</v>
      </c>
      <c r="C35" t="s">
        <v>83</v>
      </c>
      <c r="BJ35" t="s">
        <v>322</v>
      </c>
      <c r="BK35" t="s">
        <v>549</v>
      </c>
      <c r="BL35" t="s">
        <v>782</v>
      </c>
      <c r="BQ35" t="str">
        <v>Delay</v>
      </c>
    </row>
    <row r="36" spans="2:69" x14ac:dyDescent="0.2">
      <c r="B36" t="s">
        <v>48</v>
      </c>
      <c r="C36" t="s">
        <v>84</v>
      </c>
      <c r="BJ36" t="s">
        <v>323</v>
      </c>
      <c r="BK36" t="s">
        <v>765</v>
      </c>
      <c r="BL36" t="s">
        <v>557</v>
      </c>
      <c r="BQ36" t="str">
        <v>DelayedOffside</v>
      </c>
    </row>
    <row r="37" spans="2:69" x14ac:dyDescent="0.2">
      <c r="B37" t="s">
        <v>49</v>
      </c>
      <c r="C37" t="s">
        <v>85</v>
      </c>
      <c r="BJ37" t="s">
        <v>324</v>
      </c>
      <c r="BK37" t="s">
        <v>764</v>
      </c>
      <c r="BL37" t="s">
        <v>562</v>
      </c>
      <c r="BQ37" t="str">
        <v>DriveCorner</v>
      </c>
    </row>
    <row r="38" spans="2:69" x14ac:dyDescent="0.2">
      <c r="B38" t="s">
        <v>167</v>
      </c>
      <c r="C38" t="s">
        <v>86</v>
      </c>
      <c r="BJ38" t="s">
        <v>325</v>
      </c>
      <c r="BK38" t="s">
        <v>785</v>
      </c>
      <c r="BL38" t="s">
        <v>156</v>
      </c>
      <c r="BQ38" t="str">
        <v>DriveMiddle</v>
      </c>
    </row>
    <row r="39" spans="2:69" x14ac:dyDescent="0.2">
      <c r="B39" t="s">
        <v>168</v>
      </c>
      <c r="C39" t="s">
        <v>87</v>
      </c>
      <c r="BJ39" t="s">
        <v>326</v>
      </c>
      <c r="BK39" t="s">
        <v>784</v>
      </c>
      <c r="BL39" t="s">
        <v>559</v>
      </c>
      <c r="BQ39" t="str">
        <v>DriveNetMiddle</v>
      </c>
    </row>
    <row r="40" spans="2:69" x14ac:dyDescent="0.2">
      <c r="B40" t="s">
        <v>15</v>
      </c>
      <c r="C40" t="s">
        <v>88</v>
      </c>
      <c r="BJ40" t="s">
        <v>327</v>
      </c>
      <c r="BK40" t="s">
        <v>540</v>
      </c>
      <c r="BL40" t="s">
        <v>579</v>
      </c>
      <c r="BQ40" t="str">
        <v>DriveNetWide</v>
      </c>
    </row>
    <row r="41" spans="2:69" x14ac:dyDescent="0.2">
      <c r="B41" t="s">
        <v>241</v>
      </c>
      <c r="C41" t="s">
        <v>89</v>
      </c>
      <c r="BJ41" t="s">
        <v>328</v>
      </c>
      <c r="BK41" t="s">
        <v>152</v>
      </c>
      <c r="BL41" t="s">
        <v>776</v>
      </c>
      <c r="BQ41" t="str">
        <v>DriveWide</v>
      </c>
    </row>
    <row r="42" spans="2:69" x14ac:dyDescent="0.2">
      <c r="B42" t="s">
        <v>230</v>
      </c>
      <c r="C42" t="s">
        <v>90</v>
      </c>
      <c r="BJ42" t="s">
        <v>329</v>
      </c>
      <c r="BK42" t="s">
        <v>914</v>
      </c>
      <c r="BL42" t="s">
        <v>778</v>
      </c>
      <c r="BQ42" t="str">
        <v>Dump/RimInZone</v>
      </c>
    </row>
    <row r="43" spans="2:69" x14ac:dyDescent="0.2">
      <c r="B43" t="s">
        <v>399</v>
      </c>
      <c r="C43" t="s">
        <v>91</v>
      </c>
      <c r="BJ43" t="s">
        <v>330</v>
      </c>
      <c r="BK43" t="s">
        <v>915</v>
      </c>
      <c r="BL43" t="s">
        <v>582</v>
      </c>
      <c r="BQ43" t="str">
        <v>DumpChase</v>
      </c>
    </row>
    <row r="44" spans="2:69" x14ac:dyDescent="0.2">
      <c r="C44" t="s">
        <v>92</v>
      </c>
      <c r="BJ44" t="s">
        <v>331</v>
      </c>
      <c r="BK44" t="s">
        <v>916</v>
      </c>
      <c r="BL44" t="s">
        <v>585</v>
      </c>
      <c r="BQ44" t="str">
        <v>DumpInAttempt</v>
      </c>
    </row>
    <row r="45" spans="2:69" x14ac:dyDescent="0.2">
      <c r="C45" t="s">
        <v>93</v>
      </c>
      <c r="BJ45" t="s">
        <v>332</v>
      </c>
      <c r="BK45" t="s">
        <v>917</v>
      </c>
      <c r="BL45" t="s">
        <v>580</v>
      </c>
      <c r="BQ45" t="str">
        <v>EndToEndRush</v>
      </c>
    </row>
    <row r="46" spans="2:69" x14ac:dyDescent="0.2">
      <c r="C46" t="s">
        <v>94</v>
      </c>
      <c r="BJ46" t="s">
        <v>333</v>
      </c>
      <c r="BK46" t="s">
        <v>918</v>
      </c>
      <c r="BL46" t="s">
        <v>581</v>
      </c>
      <c r="BQ46" t="str">
        <v>FakeShot</v>
      </c>
    </row>
    <row r="47" spans="2:69" x14ac:dyDescent="0.2">
      <c r="C47" t="s">
        <v>95</v>
      </c>
      <c r="BJ47" t="s">
        <v>334</v>
      </c>
      <c r="BK47" t="s">
        <v>919</v>
      </c>
      <c r="BL47" t="s">
        <v>775</v>
      </c>
      <c r="BQ47" t="str">
        <v>ForcedDumpin/Clear</v>
      </c>
    </row>
    <row r="48" spans="2:69" x14ac:dyDescent="0.2">
      <c r="C48" t="s">
        <v>96</v>
      </c>
      <c r="BJ48" t="s">
        <v>335</v>
      </c>
      <c r="BK48" t="s">
        <v>920</v>
      </c>
      <c r="BL48" t="s">
        <v>777</v>
      </c>
      <c r="BQ48" t="str">
        <v>ForcedLostPossession</v>
      </c>
    </row>
    <row r="49" spans="3:69" x14ac:dyDescent="0.2">
      <c r="C49" t="s">
        <v>97</v>
      </c>
      <c r="BJ49" t="s">
        <v>336</v>
      </c>
      <c r="BK49" t="s">
        <v>915</v>
      </c>
      <c r="BL49" t="s">
        <v>544</v>
      </c>
      <c r="BQ49" t="str">
        <v>ForcedMissedPass</v>
      </c>
    </row>
    <row r="50" spans="3:69" x14ac:dyDescent="0.2">
      <c r="C50" t="s">
        <v>98</v>
      </c>
      <c r="BJ50" t="s">
        <v>337</v>
      </c>
      <c r="BK50" t="s">
        <v>916</v>
      </c>
      <c r="BL50" t="s">
        <v>543</v>
      </c>
      <c r="BQ50" t="str">
        <v>ForcedMissedShot</v>
      </c>
    </row>
    <row r="51" spans="3:69" x14ac:dyDescent="0.2">
      <c r="C51" t="s">
        <v>99</v>
      </c>
      <c r="BJ51" t="s">
        <v>338</v>
      </c>
      <c r="BK51" t="s">
        <v>917</v>
      </c>
      <c r="BL51" t="s">
        <v>541</v>
      </c>
      <c r="BQ51" t="str">
        <v>ForcedTurnover</v>
      </c>
    </row>
    <row r="52" spans="3:69" x14ac:dyDescent="0.2">
      <c r="C52" t="s">
        <v>100</v>
      </c>
      <c r="BJ52" t="s">
        <v>339</v>
      </c>
      <c r="BK52" t="s">
        <v>918</v>
      </c>
      <c r="BL52" t="s">
        <v>583</v>
      </c>
      <c r="BQ52" t="str">
        <v>ForceWide</v>
      </c>
    </row>
    <row r="53" spans="3:69" x14ac:dyDescent="0.2">
      <c r="C53" t="s">
        <v>101</v>
      </c>
      <c r="BJ53" t="s">
        <v>340</v>
      </c>
      <c r="BK53" t="s">
        <v>919</v>
      </c>
      <c r="BL53" t="s">
        <v>542</v>
      </c>
      <c r="BQ53" t="str">
        <v>ForecedOutside</v>
      </c>
    </row>
    <row r="54" spans="3:69" x14ac:dyDescent="0.2">
      <c r="C54" t="s">
        <v>102</v>
      </c>
      <c r="BJ54" t="s">
        <v>341</v>
      </c>
      <c r="BK54" t="s">
        <v>920</v>
      </c>
      <c r="BL54" t="s">
        <v>779</v>
      </c>
      <c r="BQ54" t="str">
        <v>Forecheck</v>
      </c>
    </row>
    <row r="55" spans="3:69" x14ac:dyDescent="0.2">
      <c r="C55" t="s">
        <v>103</v>
      </c>
      <c r="BJ55" t="s">
        <v>342</v>
      </c>
      <c r="BK55" t="s">
        <v>921</v>
      </c>
      <c r="BL55" t="s">
        <v>158</v>
      </c>
      <c r="BQ55" t="str">
        <v>FrontofNet</v>
      </c>
    </row>
    <row r="56" spans="3:69" x14ac:dyDescent="0.2">
      <c r="C56" t="s">
        <v>104</v>
      </c>
      <c r="BJ56" t="s">
        <v>290</v>
      </c>
      <c r="BK56" t="s">
        <v>922</v>
      </c>
      <c r="BL56" t="s">
        <v>567</v>
      </c>
      <c r="BQ56" t="str">
        <v>GapControl</v>
      </c>
    </row>
    <row r="57" spans="3:69" x14ac:dyDescent="0.2">
      <c r="C57" t="s">
        <v>39</v>
      </c>
      <c r="BJ57" t="s">
        <v>520</v>
      </c>
      <c r="BK57" t="s">
        <v>552</v>
      </c>
      <c r="BL57" t="s">
        <v>783</v>
      </c>
      <c r="BQ57" t="str">
        <v>GiveAndGo</v>
      </c>
    </row>
    <row r="58" spans="3:69" x14ac:dyDescent="0.2">
      <c r="C58" t="s">
        <v>105</v>
      </c>
      <c r="BJ58" t="s">
        <v>400</v>
      </c>
      <c r="BK58" t="s">
        <v>593</v>
      </c>
      <c r="BL58" t="s">
        <v>565</v>
      </c>
      <c r="BQ58" t="str">
        <v>InShotPassLane</v>
      </c>
    </row>
    <row r="59" spans="3:69" x14ac:dyDescent="0.2">
      <c r="C59" t="s">
        <v>41</v>
      </c>
      <c r="BK59" t="s">
        <v>574</v>
      </c>
      <c r="BL59" t="s">
        <v>564</v>
      </c>
      <c r="BQ59" t="str">
        <v>LoosePuckBattleLost</v>
      </c>
    </row>
    <row r="60" spans="3:69" x14ac:dyDescent="0.2">
      <c r="C60" t="s">
        <v>106</v>
      </c>
      <c r="BK60" t="s">
        <v>780</v>
      </c>
      <c r="BL60" t="s">
        <v>555</v>
      </c>
      <c r="BQ60" t="str">
        <v>LoosePuckBattleWon</v>
      </c>
    </row>
    <row r="61" spans="3:69" x14ac:dyDescent="0.2">
      <c r="C61" t="s">
        <v>107</v>
      </c>
      <c r="BK61" t="s">
        <v>551</v>
      </c>
      <c r="BL61" t="s">
        <v>560</v>
      </c>
      <c r="BQ61" t="str">
        <v>LostPuck</v>
      </c>
    </row>
    <row r="62" spans="3:69" x14ac:dyDescent="0.2">
      <c r="C62" t="s">
        <v>108</v>
      </c>
      <c r="BK62" t="s">
        <v>553</v>
      </c>
      <c r="BL62" t="s">
        <v>561</v>
      </c>
      <c r="BQ62" t="str">
        <v>ManOnMan</v>
      </c>
    </row>
    <row r="63" spans="3:69" x14ac:dyDescent="0.2">
      <c r="C63" t="s">
        <v>109</v>
      </c>
      <c r="BK63" t="s">
        <v>576</v>
      </c>
      <c r="BQ63" t="str">
        <v>MisplayedPuck</v>
      </c>
    </row>
    <row r="64" spans="3:69" x14ac:dyDescent="0.2">
      <c r="C64" t="s">
        <v>110</v>
      </c>
      <c r="BK64" t="s">
        <v>155</v>
      </c>
      <c r="BQ64" t="str">
        <v>OpenIceDeke</v>
      </c>
    </row>
    <row r="65" spans="3:69" x14ac:dyDescent="0.2">
      <c r="C65" t="s">
        <v>111</v>
      </c>
      <c r="BK65" t="s">
        <v>550</v>
      </c>
      <c r="BQ65" t="str">
        <v>Other</v>
      </c>
    </row>
    <row r="66" spans="3:69" x14ac:dyDescent="0.2">
      <c r="C66" t="s">
        <v>112</v>
      </c>
      <c r="BK66" t="s">
        <v>781</v>
      </c>
      <c r="BQ66" t="str">
        <v>PassDeflected</v>
      </c>
    </row>
    <row r="67" spans="3:69" x14ac:dyDescent="0.2">
      <c r="C67" t="s">
        <v>113</v>
      </c>
      <c r="BK67" t="s">
        <v>787</v>
      </c>
      <c r="BQ67" t="str">
        <v>PassForTip</v>
      </c>
    </row>
    <row r="68" spans="3:69" x14ac:dyDescent="0.2">
      <c r="C68" t="s">
        <v>114</v>
      </c>
      <c r="BK68" t="s">
        <v>769</v>
      </c>
      <c r="BQ68" t="str">
        <v>PassIntercepted</v>
      </c>
    </row>
    <row r="69" spans="3:69" x14ac:dyDescent="0.2">
      <c r="C69" t="s">
        <v>115</v>
      </c>
      <c r="BK69" t="s">
        <v>767</v>
      </c>
      <c r="BQ69" t="str">
        <v>PenaltyKillClear</v>
      </c>
    </row>
    <row r="70" spans="3:69" x14ac:dyDescent="0.2">
      <c r="C70" t="s">
        <v>116</v>
      </c>
      <c r="BK70" t="s">
        <v>768</v>
      </c>
      <c r="BQ70" t="str">
        <v>PokeCheck</v>
      </c>
    </row>
    <row r="71" spans="3:69" x14ac:dyDescent="0.2">
      <c r="C71" t="s">
        <v>117</v>
      </c>
      <c r="BK71" t="s">
        <v>770</v>
      </c>
      <c r="BQ71" t="str">
        <v>Pressure</v>
      </c>
    </row>
    <row r="72" spans="3:69" x14ac:dyDescent="0.2">
      <c r="C72" t="s">
        <v>118</v>
      </c>
      <c r="BK72" t="s">
        <v>771</v>
      </c>
      <c r="BQ72" t="str">
        <v>PuckRecoveryRetreivalAttemptedClear</v>
      </c>
    </row>
    <row r="73" spans="3:69" x14ac:dyDescent="0.2">
      <c r="C73" t="s">
        <v>119</v>
      </c>
      <c r="BK73" t="s">
        <v>772</v>
      </c>
      <c r="BQ73" t="str">
        <v>PuckRecoveryRetreivalClear</v>
      </c>
    </row>
    <row r="74" spans="3:69" x14ac:dyDescent="0.2">
      <c r="C74" t="s">
        <v>120</v>
      </c>
      <c r="BK74" t="s">
        <v>766</v>
      </c>
      <c r="BQ74" t="str">
        <v>PuckRecoveryRetreivalDumpIn</v>
      </c>
    </row>
    <row r="75" spans="3:69" x14ac:dyDescent="0.2">
      <c r="C75" t="s">
        <v>121</v>
      </c>
      <c r="BK75" t="s">
        <v>159</v>
      </c>
      <c r="BQ75" t="str">
        <v>PuckRecoveryRetreivalFaceoff</v>
      </c>
    </row>
    <row r="76" spans="3:69" x14ac:dyDescent="0.2">
      <c r="C76" t="s">
        <v>122</v>
      </c>
      <c r="BK76" t="s">
        <v>164</v>
      </c>
      <c r="BQ76" t="str">
        <v>PuckRecoveryRetreivalLoosePuckBattle</v>
      </c>
    </row>
    <row r="77" spans="3:69" x14ac:dyDescent="0.2">
      <c r="C77" t="s">
        <v>123</v>
      </c>
      <c r="BK77" t="s">
        <v>758</v>
      </c>
      <c r="BQ77" t="str">
        <v>PuckRecoveryRetreivalOther</v>
      </c>
    </row>
    <row r="78" spans="3:69" x14ac:dyDescent="0.2">
      <c r="C78" t="s">
        <v>124</v>
      </c>
      <c r="BK78" t="s">
        <v>162</v>
      </c>
      <c r="BQ78" t="str">
        <v>PuckRecoveryRetreivalPass</v>
      </c>
    </row>
    <row r="79" spans="3:69" x14ac:dyDescent="0.2">
      <c r="C79" t="s">
        <v>125</v>
      </c>
      <c r="BK79" t="s">
        <v>165</v>
      </c>
      <c r="BQ79" t="str">
        <v>PuckRecoveryRetreivalRebound</v>
      </c>
    </row>
    <row r="80" spans="3:69" x14ac:dyDescent="0.2">
      <c r="C80" t="s">
        <v>126</v>
      </c>
      <c r="BK80" t="s">
        <v>163</v>
      </c>
      <c r="BQ80" t="str">
        <v>PuckRecoveryRetreivalShot</v>
      </c>
    </row>
    <row r="81" spans="3:69" x14ac:dyDescent="0.2">
      <c r="C81" t="s">
        <v>127</v>
      </c>
      <c r="BK81" t="s">
        <v>556</v>
      </c>
      <c r="BQ81" t="str">
        <v>PuckRecoveryRetreivalTurnover</v>
      </c>
    </row>
    <row r="82" spans="3:69" x14ac:dyDescent="0.2">
      <c r="C82" t="s">
        <v>128</v>
      </c>
      <c r="BK82" t="s">
        <v>166</v>
      </c>
      <c r="BQ82" t="str">
        <v>PuckRetrievalDumpIn</v>
      </c>
    </row>
    <row r="83" spans="3:69" x14ac:dyDescent="0.2">
      <c r="C83" t="s">
        <v>129</v>
      </c>
      <c r="BK83" t="s">
        <v>774</v>
      </c>
      <c r="BQ83" t="str">
        <v>PuckRetrievalRebound</v>
      </c>
    </row>
    <row r="84" spans="3:69" x14ac:dyDescent="0.2">
      <c r="C84" t="s">
        <v>130</v>
      </c>
      <c r="BK84" t="s">
        <v>773</v>
      </c>
      <c r="BQ84" t="str">
        <v>PuckRetrievalShot</v>
      </c>
    </row>
    <row r="85" spans="3:69" x14ac:dyDescent="0.2">
      <c r="C85" t="s">
        <v>131</v>
      </c>
      <c r="BK85" t="s">
        <v>558</v>
      </c>
      <c r="BQ85" t="str">
        <v>QuickUp</v>
      </c>
    </row>
    <row r="86" spans="3:69" x14ac:dyDescent="0.2">
      <c r="C86" t="s">
        <v>132</v>
      </c>
      <c r="BK86" t="s">
        <v>161</v>
      </c>
      <c r="BQ86" t="str">
        <v>ReceiverMissed</v>
      </c>
    </row>
    <row r="87" spans="3:69" x14ac:dyDescent="0.2">
      <c r="C87" t="s">
        <v>133</v>
      </c>
      <c r="BK87" t="s">
        <v>584</v>
      </c>
      <c r="BQ87" t="str">
        <v>RecoveryRetreivalDumpIn</v>
      </c>
    </row>
    <row r="88" spans="3:69" x14ac:dyDescent="0.2">
      <c r="C88" t="s">
        <v>134</v>
      </c>
      <c r="BK88" t="s">
        <v>760</v>
      </c>
      <c r="BQ88" t="str">
        <v>RecoveryRetreivalFaceoff</v>
      </c>
    </row>
    <row r="89" spans="3:69" x14ac:dyDescent="0.2">
      <c r="C89" t="s">
        <v>135</v>
      </c>
      <c r="BK89" t="s">
        <v>762</v>
      </c>
      <c r="BQ89" t="str">
        <v>RecoveryRetreivalOther</v>
      </c>
    </row>
    <row r="90" spans="3:69" x14ac:dyDescent="0.2">
      <c r="C90" t="s">
        <v>136</v>
      </c>
      <c r="BK90" t="s">
        <v>761</v>
      </c>
      <c r="BQ90" t="str">
        <v>RecoveryRetreivalPass</v>
      </c>
    </row>
    <row r="91" spans="3:69" x14ac:dyDescent="0.2">
      <c r="C91" t="s">
        <v>137</v>
      </c>
      <c r="BK91" t="s">
        <v>759</v>
      </c>
      <c r="BQ91" t="str">
        <v>RecoveryRetreivalRebound</v>
      </c>
    </row>
    <row r="92" spans="3:69" x14ac:dyDescent="0.2">
      <c r="C92" t="s">
        <v>138</v>
      </c>
      <c r="BK92" t="s">
        <v>786</v>
      </c>
      <c r="BQ92" t="str">
        <v>RecoveryRetreivalShot</v>
      </c>
    </row>
    <row r="93" spans="3:69" x14ac:dyDescent="0.2">
      <c r="C93" t="s">
        <v>139</v>
      </c>
      <c r="BK93" t="s">
        <v>154</v>
      </c>
      <c r="BQ93" t="str">
        <v>RecoveryRetreivalTurnover</v>
      </c>
    </row>
    <row r="94" spans="3:69" x14ac:dyDescent="0.2">
      <c r="C94" t="s">
        <v>140</v>
      </c>
      <c r="BK94" t="s">
        <v>546</v>
      </c>
      <c r="BQ94" t="str">
        <v>RecoveryRetrievalDumpIn</v>
      </c>
    </row>
    <row r="95" spans="3:69" x14ac:dyDescent="0.2">
      <c r="C95" t="s">
        <v>141</v>
      </c>
      <c r="BK95" t="s">
        <v>757</v>
      </c>
      <c r="BQ95" t="str">
        <v>RecoveryRetrievalShot</v>
      </c>
    </row>
    <row r="96" spans="3:69" x14ac:dyDescent="0.2">
      <c r="C96" t="s">
        <v>241</v>
      </c>
      <c r="BK96" t="s">
        <v>566</v>
      </c>
      <c r="BQ96" t="str">
        <v>Regroup</v>
      </c>
    </row>
    <row r="97" spans="3:69" x14ac:dyDescent="0.2">
      <c r="C97" t="s">
        <v>386</v>
      </c>
      <c r="BK97" t="s">
        <v>765</v>
      </c>
      <c r="BQ97" t="str">
        <v>RegroupClear</v>
      </c>
    </row>
    <row r="98" spans="3:69" x14ac:dyDescent="0.2">
      <c r="C98" t="s">
        <v>387</v>
      </c>
      <c r="BK98" t="s">
        <v>764</v>
      </c>
      <c r="BQ98" t="str">
        <v>RegroupDumpin</v>
      </c>
    </row>
    <row r="99" spans="3:69" x14ac:dyDescent="0.2">
      <c r="BK99" t="s">
        <v>563</v>
      </c>
      <c r="BQ99" t="str">
        <v>Reverse</v>
      </c>
    </row>
    <row r="100" spans="3:69" x14ac:dyDescent="0.2">
      <c r="BK100" t="s">
        <v>782</v>
      </c>
      <c r="BQ100" t="str">
        <v>Screen</v>
      </c>
    </row>
    <row r="101" spans="3:69" x14ac:dyDescent="0.2">
      <c r="BK101" t="s">
        <v>557</v>
      </c>
      <c r="BQ101" t="str">
        <v>SecondTouch</v>
      </c>
    </row>
    <row r="102" spans="3:69" x14ac:dyDescent="0.2">
      <c r="BK102" t="s">
        <v>562</v>
      </c>
      <c r="BQ102" t="str">
        <v>SeperateFromPuck</v>
      </c>
    </row>
    <row r="103" spans="3:69" x14ac:dyDescent="0.2">
      <c r="BK103" t="s">
        <v>156</v>
      </c>
      <c r="BQ103" t="str">
        <v>Speed</v>
      </c>
    </row>
    <row r="104" spans="3:69" x14ac:dyDescent="0.2">
      <c r="BK104" t="s">
        <v>559</v>
      </c>
      <c r="BQ104" t="str">
        <v>StickCheck</v>
      </c>
    </row>
    <row r="105" spans="3:69" x14ac:dyDescent="0.2">
      <c r="BK105" t="s">
        <v>904</v>
      </c>
      <c r="BQ105" t="str">
        <v>StoppedDeke</v>
      </c>
    </row>
    <row r="106" spans="3:69" x14ac:dyDescent="0.2">
      <c r="BK106" t="s">
        <v>905</v>
      </c>
      <c r="BQ106" t="str">
        <v>Surf</v>
      </c>
    </row>
    <row r="107" spans="3:69" x14ac:dyDescent="0.2">
      <c r="BK107" t="s">
        <v>906</v>
      </c>
      <c r="BQ107" t="str">
        <v>Tracker</v>
      </c>
    </row>
    <row r="108" spans="3:69" x14ac:dyDescent="0.2">
      <c r="BK108" t="s">
        <v>907</v>
      </c>
      <c r="BQ108" t="str">
        <v>Wheel</v>
      </c>
    </row>
    <row r="109" spans="3:69" x14ac:dyDescent="0.2">
      <c r="BK109" t="s">
        <v>908</v>
      </c>
      <c r="BQ109" t="str">
        <v>Zone</v>
      </c>
    </row>
    <row r="110" spans="3:69" x14ac:dyDescent="0.2">
      <c r="BK110" t="s">
        <v>909</v>
      </c>
      <c r="BQ110" t="str">
        <v>ZoneEntryDenial</v>
      </c>
    </row>
    <row r="111" spans="3:69" x14ac:dyDescent="0.2">
      <c r="BK111" t="s">
        <v>910</v>
      </c>
      <c r="BQ111" t="str">
        <v>ZoneExitDenial</v>
      </c>
    </row>
    <row r="112" spans="3:69" x14ac:dyDescent="0.2">
      <c r="BK112" t="s">
        <v>905</v>
      </c>
      <c r="BQ112" t="str">
        <v>ZoneKeepin</v>
      </c>
    </row>
    <row r="113" spans="63:69" x14ac:dyDescent="0.2">
      <c r="BK113" t="s">
        <v>906</v>
      </c>
      <c r="BQ113">
        <v>0</v>
      </c>
    </row>
    <row r="114" spans="63:69" x14ac:dyDescent="0.2">
      <c r="BK114" t="s">
        <v>907</v>
      </c>
    </row>
    <row r="115" spans="63:69" x14ac:dyDescent="0.2">
      <c r="BK115" t="s">
        <v>910</v>
      </c>
    </row>
    <row r="116" spans="63:69" x14ac:dyDescent="0.2">
      <c r="BK116" t="s">
        <v>541</v>
      </c>
    </row>
    <row r="117" spans="63:69" x14ac:dyDescent="0.2">
      <c r="BK117" t="s">
        <v>583</v>
      </c>
    </row>
    <row r="118" spans="63:69" x14ac:dyDescent="0.2">
      <c r="BK118" t="s">
        <v>542</v>
      </c>
    </row>
    <row r="119" spans="63:69" x14ac:dyDescent="0.2">
      <c r="BK119" t="s">
        <v>779</v>
      </c>
    </row>
    <row r="120" spans="63:69" x14ac:dyDescent="0.2">
      <c r="BK120" t="s">
        <v>158</v>
      </c>
    </row>
    <row r="121" spans="63:69" x14ac:dyDescent="0.2">
      <c r="BK121" t="s">
        <v>567</v>
      </c>
    </row>
    <row r="122" spans="63:69" x14ac:dyDescent="0.2">
      <c r="BK122" t="s">
        <v>783</v>
      </c>
    </row>
    <row r="123" spans="63:69" x14ac:dyDescent="0.2">
      <c r="BK123" t="s">
        <v>565</v>
      </c>
    </row>
    <row r="124" spans="63:69" x14ac:dyDescent="0.2">
      <c r="BK124" t="s">
        <v>564</v>
      </c>
    </row>
    <row r="125" spans="63:69" x14ac:dyDescent="0.2">
      <c r="BK125" t="s">
        <v>555</v>
      </c>
    </row>
    <row r="126" spans="63:69" x14ac:dyDescent="0.2">
      <c r="BK126" t="s">
        <v>560</v>
      </c>
    </row>
    <row r="127" spans="63:69" x14ac:dyDescent="0.2">
      <c r="BK127" t="s">
        <v>561</v>
      </c>
    </row>
    <row r="128" spans="63:69" x14ac:dyDescent="0.2">
      <c r="BK128" t="s">
        <v>808</v>
      </c>
    </row>
    <row r="129" spans="63:63" x14ac:dyDescent="0.2">
      <c r="BK129" t="s">
        <v>809</v>
      </c>
    </row>
    <row r="130" spans="63:63" x14ac:dyDescent="0.2">
      <c r="BK130" t="s">
        <v>911</v>
      </c>
    </row>
    <row r="131" spans="63:63" x14ac:dyDescent="0.2">
      <c r="BK131" t="s">
        <v>911</v>
      </c>
    </row>
    <row r="132" spans="63:63" x14ac:dyDescent="0.2">
      <c r="BK132" t="s">
        <v>912</v>
      </c>
    </row>
    <row r="133" spans="63:63" x14ac:dyDescent="0.2">
      <c r="BK133" t="s">
        <v>912</v>
      </c>
    </row>
    <row r="134" spans="63:63" x14ac:dyDescent="0.2">
      <c r="BK134" t="s">
        <v>913</v>
      </c>
    </row>
    <row r="135" spans="63:63" x14ac:dyDescent="0.2">
      <c r="BK135" t="s">
        <v>913</v>
      </c>
    </row>
    <row r="136" spans="63:63" x14ac:dyDescent="0.2">
      <c r="BK136" t="s">
        <v>897</v>
      </c>
    </row>
    <row r="137" spans="63:63" x14ac:dyDescent="0.2">
      <c r="BK137" t="s">
        <v>923</v>
      </c>
    </row>
    <row r="138" spans="63:63" x14ac:dyDescent="0.2">
      <c r="BK138" t="s">
        <v>924</v>
      </c>
    </row>
    <row r="139" spans="63:63" x14ac:dyDescent="0.2">
      <c r="BK139" t="s">
        <v>925</v>
      </c>
    </row>
  </sheetData>
  <sortState xmlns:xlrd2="http://schemas.microsoft.com/office/spreadsheetml/2017/richdata2" ref="BL2:BL60">
    <sortCondition ref="BL2:BL60"/>
  </sortState>
  <phoneticPr fontId="2" type="noConversion"/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10568-2B3A-4A48-AC24-E8A68FC7CC92}">
  <sheetPr>
    <tabColor theme="7"/>
  </sheetPr>
  <dimension ref="A1:BT4001"/>
  <sheetViews>
    <sheetView tabSelected="1" topLeftCell="E1" zoomScale="90" zoomScaleNormal="90" workbookViewId="0">
      <pane ySplit="1" topLeftCell="A2" activePane="bottomLeft" state="frozen"/>
      <selection pane="bottomLeft" activeCell="X3" sqref="X3"/>
    </sheetView>
  </sheetViews>
  <sheetFormatPr baseColWidth="10" defaultRowHeight="16" x14ac:dyDescent="0.2"/>
  <cols>
    <col min="1" max="1" width="5.33203125" customWidth="1"/>
    <col min="2" max="2" width="6.33203125" style="51" customWidth="1"/>
    <col min="3" max="3" width="6" style="51" customWidth="1"/>
    <col min="4" max="4" width="6" style="26" customWidth="1"/>
    <col min="5" max="5" width="7.1640625" customWidth="1"/>
    <col min="6" max="6" width="8.6640625" style="26" customWidth="1"/>
    <col min="7" max="7" width="7.5" customWidth="1"/>
    <col min="8" max="8" width="7.1640625" style="26" customWidth="1"/>
    <col min="9" max="10" width="7.6640625" style="26" customWidth="1"/>
    <col min="11" max="11" width="17.6640625" customWidth="1"/>
    <col min="12" max="12" width="18.83203125" customWidth="1"/>
    <col min="13" max="13" width="14.33203125" customWidth="1"/>
    <col min="14" max="14" width="11.5" customWidth="1"/>
    <col min="15" max="15" width="27.1640625" customWidth="1"/>
    <col min="16" max="16" width="13.83203125" customWidth="1"/>
    <col min="17" max="17" width="10" customWidth="1"/>
    <col min="18" max="18" width="9.5" style="26" customWidth="1"/>
    <col min="19" max="19" width="9.1640625" customWidth="1"/>
    <col min="20" max="20" width="8.33203125" customWidth="1"/>
    <col min="21" max="21" width="5.33203125" customWidth="1"/>
    <col min="22" max="22" width="6" customWidth="1"/>
    <col min="23" max="24" width="11" customWidth="1"/>
    <col min="25" max="25" width="8.1640625" customWidth="1"/>
    <col min="26" max="26" width="10.5" customWidth="1"/>
    <col min="27" max="27" width="12" customWidth="1"/>
    <col min="28" max="28" width="12.6640625" customWidth="1"/>
    <col min="29" max="29" width="17.1640625" customWidth="1"/>
    <col min="30" max="30" width="10.5" customWidth="1"/>
    <col min="31" max="31" width="10.33203125" customWidth="1"/>
    <col min="32" max="33" width="10.83203125" customWidth="1"/>
    <col min="34" max="35" width="8.33203125" customWidth="1"/>
    <col min="36" max="36" width="15.1640625" customWidth="1"/>
    <col min="37" max="37" width="10.5" customWidth="1"/>
    <col min="38" max="40" width="10.33203125" customWidth="1"/>
    <col min="41" max="41" width="18.33203125" customWidth="1"/>
    <col min="42" max="44" width="15.1640625" customWidth="1"/>
    <col min="45" max="45" width="12" customWidth="1"/>
    <col min="46" max="47" width="17.1640625" customWidth="1"/>
    <col min="48" max="51" width="13.33203125" customWidth="1"/>
    <col min="52" max="52" width="7" style="6" customWidth="1"/>
    <col min="53" max="53" width="7.6640625" customWidth="1"/>
    <col min="54" max="54" width="8.1640625" customWidth="1"/>
    <col min="55" max="55" width="10.1640625" customWidth="1"/>
    <col min="56" max="56" width="13.5" customWidth="1"/>
    <col min="57" max="57" width="15.5" customWidth="1"/>
    <col min="58" max="58" width="15.1640625" customWidth="1"/>
    <col min="59" max="59" width="13.33203125" customWidth="1"/>
    <col min="60" max="60" width="10.83203125" customWidth="1"/>
    <col min="61" max="61" width="11.83203125" customWidth="1"/>
    <col min="62" max="63" width="10.83203125" customWidth="1"/>
    <col min="64" max="64" width="12.5" customWidth="1"/>
    <col min="65" max="66" width="12.83203125" customWidth="1"/>
    <col min="67" max="68" width="10.83203125" customWidth="1"/>
    <col min="69" max="69" width="22" customWidth="1"/>
    <col min="70" max="70" width="12.5" customWidth="1"/>
  </cols>
  <sheetData>
    <row r="1" spans="1:72" s="1" customFormat="1" ht="85" x14ac:dyDescent="0.2">
      <c r="A1" s="44" t="s">
        <v>893</v>
      </c>
      <c r="B1" s="50" t="s">
        <v>895</v>
      </c>
      <c r="C1" s="50" t="s">
        <v>896</v>
      </c>
      <c r="D1" s="49" t="s">
        <v>894</v>
      </c>
      <c r="E1" s="21" t="s">
        <v>409</v>
      </c>
      <c r="F1" s="45" t="s">
        <v>410</v>
      </c>
      <c r="G1" s="21" t="s">
        <v>411</v>
      </c>
      <c r="H1" s="47" t="s">
        <v>412</v>
      </c>
      <c r="I1" s="49" t="s">
        <v>902</v>
      </c>
      <c r="J1" s="49" t="s">
        <v>791</v>
      </c>
      <c r="K1" s="20" t="s">
        <v>792</v>
      </c>
      <c r="L1" s="20" t="s">
        <v>407</v>
      </c>
      <c r="M1" s="20" t="s">
        <v>408</v>
      </c>
      <c r="N1" s="20" t="s">
        <v>800</v>
      </c>
      <c r="O1" s="20" t="s">
        <v>889</v>
      </c>
      <c r="P1" s="20" t="s">
        <v>890</v>
      </c>
      <c r="Q1" s="20" t="s">
        <v>891</v>
      </c>
      <c r="R1" s="49" t="s">
        <v>892</v>
      </c>
      <c r="S1" s="1" t="s">
        <v>802</v>
      </c>
      <c r="T1" s="1" t="s">
        <v>725</v>
      </c>
      <c r="U1" s="36" t="s">
        <v>898</v>
      </c>
      <c r="V1" s="36" t="s">
        <v>899</v>
      </c>
      <c r="W1" s="36" t="s">
        <v>788</v>
      </c>
      <c r="X1" s="1" t="s">
        <v>789</v>
      </c>
      <c r="Y1" s="36" t="s">
        <v>790</v>
      </c>
      <c r="Z1" s="34" t="s">
        <v>801</v>
      </c>
      <c r="AA1" s="1" t="s">
        <v>242</v>
      </c>
      <c r="AB1" s="1" t="s">
        <v>518</v>
      </c>
      <c r="AC1" s="1" t="s">
        <v>724</v>
      </c>
      <c r="AD1" s="36" t="s">
        <v>252</v>
      </c>
      <c r="AE1" s="36" t="s">
        <v>253</v>
      </c>
      <c r="AF1" s="36" t="s">
        <v>254</v>
      </c>
      <c r="AG1" s="36" t="s">
        <v>255</v>
      </c>
      <c r="AH1" s="36" t="s">
        <v>369</v>
      </c>
      <c r="AI1" s="36" t="s">
        <v>930</v>
      </c>
      <c r="AJ1" s="36" t="s">
        <v>454</v>
      </c>
      <c r="AK1" s="36" t="s">
        <v>795</v>
      </c>
      <c r="AL1" s="36" t="s">
        <v>796</v>
      </c>
      <c r="AM1" s="36" t="s">
        <v>797</v>
      </c>
      <c r="AN1" s="36" t="s">
        <v>798</v>
      </c>
      <c r="AO1" s="36" t="s">
        <v>455</v>
      </c>
      <c r="AP1" s="36" t="s">
        <v>456</v>
      </c>
      <c r="AQ1" s="36" t="s">
        <v>793</v>
      </c>
      <c r="AR1" s="36" t="s">
        <v>794</v>
      </c>
      <c r="AS1" s="36" t="s">
        <v>515</v>
      </c>
      <c r="AT1" s="36" t="s">
        <v>243</v>
      </c>
      <c r="AU1" s="36" t="s">
        <v>244</v>
      </c>
      <c r="AV1" s="36" t="s">
        <v>451</v>
      </c>
      <c r="AW1" s="36" t="s">
        <v>888</v>
      </c>
      <c r="AX1" s="36" t="s">
        <v>453</v>
      </c>
      <c r="AY1" s="36" t="s">
        <v>535</v>
      </c>
      <c r="AZ1" s="43" t="s">
        <v>621</v>
      </c>
      <c r="BA1" s="36" t="s">
        <v>248</v>
      </c>
      <c r="BB1" s="36" t="s">
        <v>249</v>
      </c>
      <c r="BC1" s="36" t="s">
        <v>250</v>
      </c>
      <c r="BD1" s="36" t="s">
        <v>239</v>
      </c>
      <c r="BE1" s="36" t="s">
        <v>246</v>
      </c>
      <c r="BF1" s="36" t="s">
        <v>247</v>
      </c>
      <c r="BG1" s="36" t="s">
        <v>799</v>
      </c>
      <c r="BH1" s="36" t="s">
        <v>256</v>
      </c>
      <c r="BI1" s="35" t="s">
        <v>356</v>
      </c>
      <c r="BJ1" s="36" t="s">
        <v>357</v>
      </c>
      <c r="BK1" s="36" t="s">
        <v>358</v>
      </c>
      <c r="BL1" s="35" t="s">
        <v>397</v>
      </c>
      <c r="BM1" s="36" t="s">
        <v>396</v>
      </c>
      <c r="BN1" s="36" t="s">
        <v>403</v>
      </c>
      <c r="BO1" s="36" t="s">
        <v>394</v>
      </c>
      <c r="BP1" s="36" t="s">
        <v>395</v>
      </c>
      <c r="BQ1" s="36" t="s">
        <v>245</v>
      </c>
      <c r="BR1" s="36" t="s">
        <v>370</v>
      </c>
      <c r="BS1" s="36" t="s">
        <v>810</v>
      </c>
      <c r="BT1" s="36" t="s">
        <v>811</v>
      </c>
    </row>
    <row r="2" spans="1:72" ht="16" customHeight="1" x14ac:dyDescent="0.2">
      <c r="E2" s="4"/>
      <c r="F2" s="46"/>
      <c r="G2" s="4"/>
      <c r="H2" s="48"/>
      <c r="K2" t="s">
        <v>287</v>
      </c>
      <c r="S2">
        <v>0</v>
      </c>
      <c r="Y2" t="s">
        <v>729</v>
      </c>
      <c r="Z2" s="6">
        <v>1</v>
      </c>
      <c r="AA2">
        <f t="shared" ref="AA2:AA4" si="0">S2+1000</f>
        <v>1000</v>
      </c>
      <c r="AB2" t="str">
        <f t="shared" ref="AB2:AB4" si="1">IF(T2&lt;&gt;"",9000+T2,"")</f>
        <v/>
      </c>
      <c r="AC2">
        <f t="shared" ref="AC2:AC4" si="2">IF(AB2&lt;&gt;"",AB2,S2+1000)</f>
        <v>1000</v>
      </c>
      <c r="AF2" t="str">
        <f>IF(G2&lt;&gt;"",G2,IF($S2=$S1,AF1,""))</f>
        <v/>
      </c>
      <c r="AG2" t="str">
        <f>IF(H2&lt;&gt;"",H2,IF($S2=$S1,AG1,""))</f>
        <v/>
      </c>
      <c r="AH2" t="str">
        <f>IF(Y2="x","",IF(Y2=1,"e","o"))</f>
        <v/>
      </c>
      <c r="AI2" t="str">
        <f>IF($J2&lt;&gt;"",$J2,IF($AC2=$AC1,AI1,""))</f>
        <v/>
      </c>
      <c r="AJ2" t="str">
        <f>IF($J2&lt;&gt;"",$J2,IF($AC2=$AC1,AJ1,""))</f>
        <v/>
      </c>
      <c r="AK2" t="str">
        <f>IF($W2="","",IF($AI2="","",IF($W2="h",$AI2,IF($AI2="n","n",IF(AND($W2="a",$AI2="d"),"o",IF(AND($W2="a",$AI2="o"),"d"))))))</f>
        <v/>
      </c>
      <c r="AL2" t="str">
        <f>IF($W2="","",IF(J2="","",IF(AK2="n","n",IF(AK2="d","o",IF(AK2="o","d","")))))</f>
        <v/>
      </c>
      <c r="AM2" t="str">
        <f>IF(AN2="H","Home",IF(AN2="A","Away",""))</f>
        <v/>
      </c>
      <c r="AN2" t="str">
        <f>IF($W2&lt;&gt;"",$W2,IF($AC2=$AC1,AN1,""))</f>
        <v/>
      </c>
      <c r="AO2" t="str">
        <f t="shared" ref="AO2:AR3" si="3">IF(AK2&lt;&gt;"",AK2,IF($AC2=$AC1,AO1,""))</f>
        <v/>
      </c>
      <c r="AP2" t="str">
        <f t="shared" si="3"/>
        <v/>
      </c>
      <c r="AQ2" t="str">
        <f t="shared" si="3"/>
        <v/>
      </c>
      <c r="AR2" t="str">
        <f t="shared" si="3"/>
        <v/>
      </c>
      <c r="AS2" t="str">
        <f>IF(AND(AH2="e",OR(BD2="Save",BE2="Turnover_Takeaway",BE2="Play_Defensive")),"Defensive",IF(AND(AH2="o",OR(BD2="Save",BE2="Turnover_Takeaway",BE2="Play_Defensive")),"Offensive",IF(OR(BD2="Deadice",BD2="Stoppage",BD2="Intermission"),"",IF(AH2="e","Offensive",IF(AH2="o","Defensive","")))))</f>
        <v/>
      </c>
      <c r="AT2" t="str">
        <f>IF(U2&lt;&gt;"",U2+5000,"")</f>
        <v/>
      </c>
      <c r="AU2" t="str">
        <f>IF(V2&lt;&gt;"",V2+6000,"")</f>
        <v/>
      </c>
      <c r="AV2" t="str" cm="1">
        <f t="array" ref="AV2">IFERROR(IF(O2&lt;&gt;"",O2,IF(OR($S2="",$T2=""),"",IF(O2&lt;&gt;"",O2,IF($T2&lt;&gt;"",_xlfn._xlws.FILTER(O:O,($BT:$BT=$BT2)*($I:$I=$I2)*($T:$T=$T2)*($S:$S=_xlfn.MINIFS($S:$S,$T:$T,"="&amp;$T2)),"")))))&amp;"",IF(O2="","",""))&amp;""</f>
        <v/>
      </c>
      <c r="AW2" t="str" cm="1">
        <f t="array" ref="AW2">IFERROR(IF(P2&lt;&gt;"",P2,IF(OR($S2="",$T2=""),"",IF($T2&lt;&gt;"",_xlfn._xlws.FILTER(P:P,($BT:$BT=$BT2)*($I:$I=$I2)*($T:$T=$T2)*($S:$S=_xlfn.MINIFS($S:$S,$T:$T,"="&amp;$T2)),""))))&amp;"",IF(P2="","",""))&amp;""</f>
        <v/>
      </c>
      <c r="AX2" t="str" cm="1">
        <f t="array" ref="AX2">IFERROR(IF(Q2&lt;&gt;"",Q2,IF(OR($S2="",$T2=""),"",IF($T2&lt;&gt;"",_xlfn._xlws.FILTER(Q:Q,($BT:$BT=$BT2)*($I:$I=$I2)*($T:$T=$T2)*($S:$S=_xlfn.MINIFS($S:$S,$T:$T,"="&amp;$T2)),""))))&amp;"",IF(Q2="","",""))&amp;""</f>
        <v/>
      </c>
      <c r="AY2" t="str" cm="1">
        <f t="array" ref="AY2">IFERROR(IF(R2&lt;&gt;"",R2,IF(OR($S2="",$T2=""),"",IF($T2&lt;&gt;"",_xlfn._xlws.FILTER(R:R,($BT:$BT=$BT2)*($I:$I=$I2)*($T:$T=$T2)*($S:$S=_xlfn.MINIFS($S:$S,$T:$T,"="&amp;$T2)),""))))&amp;"",IF(R2="","",""))&amp;""</f>
        <v/>
      </c>
      <c r="AZ2" s="6">
        <v>1</v>
      </c>
      <c r="BA2" s="41">
        <v>18991</v>
      </c>
      <c r="BB2" s="41" t="s">
        <v>931</v>
      </c>
      <c r="BC2" s="41" t="s">
        <v>521</v>
      </c>
      <c r="BD2" t="str">
        <f>IF(K2&lt;&gt;"",K2,IF(S2=S1,K2,""))</f>
        <v>GameStart</v>
      </c>
      <c r="BI2" s="15"/>
      <c r="BL2" s="15"/>
      <c r="BM2">
        <v>0</v>
      </c>
      <c r="BN2">
        <v>0</v>
      </c>
      <c r="BO2">
        <f>IF(BN2&lt;5,0,BN2-5)</f>
        <v>0</v>
      </c>
      <c r="BP2" s="17">
        <f>BO2+BI2+5</f>
        <v>5</v>
      </c>
      <c r="BS2" t="str">
        <f>IFERROR(VLOOKUP(BA2&amp;BT2&amp;I2,game_rosters!U:W,3,FALSE),"")</f>
        <v/>
      </c>
      <c r="BT2" t="str">
        <f>IF(AQ2="","",IF(AND(AQ2="Away",AH2="e"),BC2,IF(AND(AQ2="Home",AH2="e"),BB2,IF(AND(AQ2="Away",AH2="o"),BB2,IF(AND(AQ2="Home",AH2="o"),BC2)))))</f>
        <v/>
      </c>
    </row>
    <row r="3" spans="1:72" ht="16" customHeight="1" x14ac:dyDescent="0.2">
      <c r="A3">
        <v>1</v>
      </c>
      <c r="E3" s="4" t="s">
        <v>743</v>
      </c>
      <c r="F3" s="46" t="s">
        <v>413</v>
      </c>
      <c r="G3" s="4"/>
      <c r="H3" s="48"/>
      <c r="I3" s="26">
        <v>70</v>
      </c>
      <c r="J3" s="26" t="s">
        <v>734</v>
      </c>
      <c r="K3" t="s">
        <v>5</v>
      </c>
      <c r="L3" t="s">
        <v>401</v>
      </c>
      <c r="N3" t="str">
        <f t="shared" ref="N3:N4" si="4">IF(K3="","",IF(K3="Goal","s",IF(AND(K3="Zone_Entry_Exit",OR(ISNUMBER(SEARCH("fail",L3)),ISNUMBER(SEARCH("FromExitClear",M3)),ISNUMBER(SEARCH("miss",M3)))),"u",IF(AND(K3="Zone_Entry_Exit",OR(NOT(ISNUMBER(SEARCH("fail",L3))),NOT(ISNUMBER(SEARCH("FromExitClear",M3))),NOT(ISNUMBER(SEARCH("miss",M3))))),"s",IF(AND(OR(K3="Shot",K3="Pass"),OR(ISNUMBER(SEARCH("complete",L3)),ISNUMBER(SEARCH("goal",L3)),ISNUMBER(SEARCH("OnNet",L3)))),"s",IF(L3="Turnover_Giveaway","u",IF(AND(OR(K3="Shot",K3="Pass"),OR(ISNUMBER(SEARCH("fail",L3)),NOT(ISNUMBER(SEARCH("complete",L3))),NOT(ISNUMBER(SEARCH("OnNet",L3))))),"u","")))))))</f>
        <v/>
      </c>
      <c r="Q3" t="str">
        <f t="shared" ref="Q3:Q4" si="5">IF(O3="","",IF(AND(N3&lt;&gt;"",OR(O3&lt;&gt;"",P3&lt;&gt;"")),N3,IF(OR(ISNUMBER(SEARCH("attemp",O3)),ISNUMBER(SEARCH("mis",O3)),ISNUMBER(SEARCH("fail",O3)),ISNUMBER(SEARCH("loss",O3)),ISNUMBER(SEARCH("lost",O3)),ISNUMBER(SEARCH("attemp",P3)),ISNUMBER(SEARCH("mis",P3)),ISNUMBER(SEARCH("fail",P3)),ISNUMBER(SEARCH("loss",P3)),ISNUMBER(SEARCH("lost",P3))),"u","")))</f>
        <v/>
      </c>
      <c r="R3" s="26" t="s">
        <v>1061</v>
      </c>
      <c r="S3">
        <f>IF(A3=1,MAX($S$2:$S2)+1,IF(OR($I3&lt;&gt;"",A3="x"),$S2,""))</f>
        <v>1</v>
      </c>
      <c r="T3" t="str">
        <f>IF(D3=1,MAX($T$2:$T2)+1,IF(S3=S2,$T2,IF(D3="x",T2,IF(D2="x","",""))))</f>
        <v/>
      </c>
      <c r="U3" t="str">
        <f>IF(B3=1,MAX($U$2:$U2)+1,IF(AND($T3&lt;&gt;"",$T3=$T2),$U2,IF(B3="x",U2,"")))</f>
        <v/>
      </c>
      <c r="V3" t="str">
        <f>IF(C3=1,MAX($V$2:$V2)+1,IF(AND($T3&lt;&gt;"",$T3=$T2),$U2,IF(C3="x",V2,"")))</f>
        <v/>
      </c>
      <c r="W3" t="str" cm="1">
        <f t="array" ref="W3">_xlfn._xlws.FILTER(game_rosters!AC:AC,(game_rosters!J:J=events!X3)*(K3&lt;&gt;""))</f>
        <v>a</v>
      </c>
      <c r="X3" cm="1">
        <f t="array" ref="X3">IF($I3&lt;&gt;"",$I3,INDEX($I$1:$I3,ROW()-COUNTIFS($T$1:$T3,"="&amp;$T3,$S$1:$S3,"&lt;"&amp;$S3)))</f>
        <v>70</v>
      </c>
      <c r="Y3" cm="1">
        <f t="array" ref="Y3">IFERROR(IF(_xlfn._xlws.FILTER(game_rosters!$J:$J,(game_rosters!$G:$G=events!$AM3)*(game_rosters!$J:$J=events!$X3))&gt;0,1,""),"")</f>
        <v>1</v>
      </c>
      <c r="Z3" s="6">
        <f t="shared" ref="Z3:Z4" si="6">IF(K3="Intermission",Z2+1,Z2)</f>
        <v>1</v>
      </c>
      <c r="AA3">
        <f t="shared" si="0"/>
        <v>1001</v>
      </c>
      <c r="AB3" t="str">
        <f t="shared" si="1"/>
        <v/>
      </c>
      <c r="AC3">
        <f t="shared" si="2"/>
        <v>1001</v>
      </c>
      <c r="AD3" t="str">
        <f>IF(E3&lt;&gt;"",E3,IF($AC3=$AC2,AD2,IF(AF2&lt;&gt;"",AF2,IF(AD2&lt;&gt;"",AD2,""))))</f>
        <v>18</v>
      </c>
      <c r="AE3" t="str">
        <f>IF(F3&lt;&gt;"",F3,IF($AC3=$AC2,AE2,IF(AG2&lt;&gt;"",AG2,IF(AE2&lt;&gt;"",AE2,""))))</f>
        <v>00</v>
      </c>
      <c r="AF3" t="str">
        <f>IF(G3&lt;&gt;"",G3,IF($AC3=$AC2,AF2,IF(H3="","",AD3)))</f>
        <v/>
      </c>
      <c r="AG3" t="str">
        <f t="shared" ref="AG3:AG9" si="7">IF(H3&lt;&gt;"",H3,IF($S3=$S2,AG2,""))</f>
        <v/>
      </c>
      <c r="AH3" t="str">
        <f>IF(Y3="x","",IF(Y3=1,"e","o"))</f>
        <v>e</v>
      </c>
      <c r="AI3" t="str">
        <f>IF($J3&lt;&gt;"",$J3,IF($AC3=$AC2,AI2,""))</f>
        <v>n</v>
      </c>
      <c r="AJ3" t="str">
        <f>IF($J3&lt;&gt;"",$J3,IF($AC3=$AC2,AJ2,""))</f>
        <v>n</v>
      </c>
      <c r="AK3" t="str">
        <f>IF($W3="","",IF($AI3="","",IF($W3="h",$AI3,IF($AI3="n","n",IF(AND($W3="a",$AI3="d"),"o",IF(AND($W3="a",$AI3="o"),"d"))))))</f>
        <v>n</v>
      </c>
      <c r="AL3" t="str">
        <f>IF($W3="","",IF(J3="","",IF(AK3="n","n",IF(AK3="d","o",IF(AK3="o","d","")))))</f>
        <v>n</v>
      </c>
      <c r="AM3" t="str">
        <f>IF(AN3="H","Home",IF(AN3="A","Away",""))</f>
        <v>Away</v>
      </c>
      <c r="AN3" t="str">
        <f>IF($W3&lt;&gt;"",$W3,IF($AC3=$AC2,AN2,""))</f>
        <v>a</v>
      </c>
      <c r="AO3" t="str">
        <f t="shared" si="3"/>
        <v>n</v>
      </c>
      <c r="AP3" t="str">
        <f t="shared" si="3"/>
        <v>n</v>
      </c>
      <c r="AQ3" t="str">
        <f t="shared" si="3"/>
        <v>Away</v>
      </c>
      <c r="AR3" t="str">
        <f t="shared" si="3"/>
        <v>a</v>
      </c>
      <c r="AS3" t="str">
        <f>IF(AND(AH3="e",OR(BD3="Save",BE3="Turnover_Takeaway",BE3="Play_Defensive")),"Defensive",IF(AND(AH3="o",OR(BD3="Save",BE3="Turnover_Takeaway",BE3="Play_Defensive")),"Offensive",IF(OR(BD3="Deadice",BD3="Stoppage",BD3="Intermission"),"",IF(AH3="e","Offensive",IF(AH3="o","Defensive","")))))</f>
        <v>Offensive</v>
      </c>
      <c r="AT3" t="str">
        <f>IF(U3&lt;&gt;"",U3+5000,"")</f>
        <v/>
      </c>
      <c r="AU3" t="str">
        <f>IF(V3&lt;&gt;"",V3+6000,"")</f>
        <v/>
      </c>
      <c r="AV3" t="str" cm="1">
        <f t="array" ref="AV3">IFERROR(IF(O3&lt;&gt;"",O3,IF(OR($S3="",$T3=""),"",IF(O3&lt;&gt;"",O3,IF($T3&lt;&gt;"",_xlfn._xlws.FILTER(O:O,($BT:$BT=$BT3)*($I:$I=$I3)*($T:$T=$T3)*($S:$S=_xlfn.MINIFS($S:$S,$T:$T,"="&amp;$T3)),"")))))&amp;"",IF(O3="","",""))&amp;""</f>
        <v/>
      </c>
      <c r="AW3" t="str" cm="1">
        <f t="array" ref="AW3">IFERROR(IF(P3&lt;&gt;"",P3,IF(OR($S3="",$T3=""),"",IF($T3&lt;&gt;"",_xlfn._xlws.FILTER(P:P,($BT:$BT=$BT3)*($I:$I=$I3)*($T:$T=$T3)*($S:$S=_xlfn.MINIFS($S:$S,$T:$T,"="&amp;$T3)),""))))&amp;"",IF(P3="","",""))&amp;""</f>
        <v/>
      </c>
      <c r="AX3" t="str" cm="1">
        <f t="array" ref="AX3">IFERROR(IF(Q3&lt;&gt;"",Q3,IF(OR($S3="",$T3=""),"",IF($T3&lt;&gt;"",_xlfn._xlws.FILTER(Q:Q,($BT:$BT=$BT3)*($I:$I=$I3)*($T:$T=$T3)*($S:$S=_xlfn.MINIFS($S:$S,$T:$T,"="&amp;$T3)),""))))&amp;"",IF(Q3="","",""))&amp;""</f>
        <v/>
      </c>
      <c r="AY3" t="str" cm="1">
        <f t="array" ref="AY3">IFERROR(IF(R3&lt;&gt;"",R3,IF(OR($S3="",$T3=""),"",IF($T3&lt;&gt;"",_xlfn._xlws.FILTER(R:R,($BT:$BT=$BT3)*($I:$I=$I3)*($T:$T=$T3)*($S:$S=_xlfn.MINIFS($S:$S,$T:$T,"="&amp;$T3)),""))))&amp;"",IF(R3="","",""))&amp;""</f>
        <v>,</v>
      </c>
      <c r="AZ3" s="6">
        <f>IF(OR(L3="Zone_Entry",L3="Zone_Exit"),AZ2+1,AZ2)</f>
        <v>1</v>
      </c>
      <c r="BA3">
        <f>BA2</f>
        <v>18991</v>
      </c>
      <c r="BB3" t="str">
        <f t="shared" ref="BB3:BC3" si="8">BB2</f>
        <v>Triple J</v>
      </c>
      <c r="BC3" t="str">
        <f t="shared" si="8"/>
        <v>Velodrome</v>
      </c>
      <c r="BD3" t="str">
        <f>IF($K3&lt;&gt;"",$K3,IF($S3=$S2,BD2,""))</f>
        <v>Faceoff</v>
      </c>
      <c r="BE3" t="str">
        <f>IF(L3&lt;&gt;"",L3,IF($S3=$S2,BE2,""))</f>
        <v>Faceoff_GameStart</v>
      </c>
      <c r="BF3" t="str">
        <f>IF(M3&lt;&gt;"",M3,IF($S3=$S2,BF2,""))</f>
        <v/>
      </c>
      <c r="BG3" t="str">
        <f>IF($N3&lt;&gt;"",$N3,IF($S3=$S2,BG2,""))</f>
        <v/>
      </c>
      <c r="BH3" cm="1">
        <f t="array" ref="BH3">IFERROR(_xlfn._xlws.FILTER(shifts!A:A,(shifts!B:B=events!Z3)*(shifts!AG:AG&gt;=events!BJ3)*(shifts!AH:AH&lt;=events!BK3)),BH2)</f>
        <v>1</v>
      </c>
      <c r="BI3" s="15">
        <f>IF(AND(AF3="",AG3=""),0,((AD3*60)+AE3)-((AF3*60)+AG3))</f>
        <v>0</v>
      </c>
      <c r="BJ3">
        <f>(AD3*60)+AE3</f>
        <v>1080</v>
      </c>
      <c r="BK3">
        <f>IF(AND(AF3="",AG3=""),BJ3,((AF3*60)+AG3))</f>
        <v>1080</v>
      </c>
      <c r="BL3" s="15">
        <f>SUMIFS(BI$2:BI3,K$2:K3,"=Intermission")+SUMIFS(BI$2:BI3,K$2:K3,"=Timeout")</f>
        <v>0</v>
      </c>
      <c r="BM3">
        <f>IF(Z3=1,0,IF(Z3=2,1080+BL3,IF(Z3=3,(1080*2)+BL3,0)))</f>
        <v>0</v>
      </c>
      <c r="BN3" s="19">
        <f>IF(K3="Intermission",BN2,((1080)-((AD3*60)+AE3))+BM3)</f>
        <v>0</v>
      </c>
      <c r="BO3">
        <f>IF(BN3&lt;5,0,BN3-5)</f>
        <v>0</v>
      </c>
      <c r="BP3" s="17">
        <f>BO3+BI3+5</f>
        <v>5</v>
      </c>
      <c r="BQ3" t="str">
        <f>IF(AH3="e","event_team_player_"&amp;BR3,IF(AH3="o","opp_team_player_"&amp;BR3,""))</f>
        <v>event_team_player_1</v>
      </c>
      <c r="BR3">
        <f>COUNTIFS(S$3:S3,"="&amp;S3,AH$3:AH3,"="&amp;AH3)</f>
        <v>1</v>
      </c>
      <c r="BS3" t="str">
        <f>IFERROR(VLOOKUP(BA3&amp;BT3&amp;X3,game_rosters!U:W,3,FALSE),"")</f>
        <v>P100001</v>
      </c>
      <c r="BT3" t="str">
        <f>IF(AQ3="","",IF(AND(AQ3="Away",AH3="e"),BC3,IF(AND(AQ3="Home",AH3="e"),BB3,IF(AND(AQ3="Away",AH3="o"),BB3,IF(AND(AQ3="Home",AH3="o"),BC3)))))</f>
        <v>Velodrome</v>
      </c>
    </row>
    <row r="4" spans="1:72" x14ac:dyDescent="0.2">
      <c r="A4" t="str">
        <f t="shared" ref="A4:A68" si="9">IF(K4&lt;&gt;"",1,IF(D4="x","x",""))</f>
        <v/>
      </c>
      <c r="E4" s="4"/>
      <c r="F4" s="46"/>
      <c r="G4" s="4"/>
      <c r="H4" s="48"/>
      <c r="I4" s="26">
        <v>73</v>
      </c>
      <c r="N4" t="str">
        <f t="shared" si="4"/>
        <v/>
      </c>
      <c r="Q4" t="str">
        <f t="shared" si="5"/>
        <v/>
      </c>
      <c r="S4">
        <f>IF(A4=1,MAX($S$2:$S3)+1,IF(OR($I4&lt;&gt;"",A4="x"),$S3,""))</f>
        <v>1</v>
      </c>
      <c r="T4" t="str">
        <f>IF(D4=1,MAX($T$2:$T3)+1,IF(S4=S3,$T3,IF(D4="x",T3,IF(D3="x","",""))))</f>
        <v/>
      </c>
      <c r="U4" t="str">
        <f>IF(B4=1,MAX($U$2:$U3)+1,IF(AND($T4&lt;&gt;"",$T4=$T3),$U3,IF(B4="x",U3,"")))</f>
        <v/>
      </c>
      <c r="V4" t="str">
        <f>IF(C4=1,MAX($V$2:$V3)+1,IF(AND($T4&lt;&gt;"",$T4=$T3),$U3,IF(C4="x",V3,"")))</f>
        <v/>
      </c>
      <c r="W4" t="str" cm="1">
        <f t="array" ref="W4">IFERROR(_xlfn._xlws.FILTER(game_rosters!AC:AC,(game_rosters!J:J=events!X4)*(K4&lt;&gt;"")),"")</f>
        <v/>
      </c>
      <c r="X4" cm="1">
        <f t="array" ref="X4">IF($I4&lt;&gt;"",$I4,INDEX($I$1:$I4,ROW()-COUNTIFS($T$1:$T4,"="&amp;$T4,$S$1:$S4,"&lt;"&amp;$S4)))</f>
        <v>73</v>
      </c>
      <c r="Y4" t="str" cm="1">
        <f t="array" ref="Y4">IFERROR(IF(_xlfn._xlws.FILTER(game_rosters!$J:$J,(game_rosters!$G:$G=events!$AM4)*(game_rosters!$J:$J=events!$X4))&gt;0,1,""),"")</f>
        <v/>
      </c>
      <c r="Z4" s="6">
        <f t="shared" si="6"/>
        <v>1</v>
      </c>
      <c r="AA4">
        <f t="shared" si="0"/>
        <v>1001</v>
      </c>
      <c r="AB4" t="str">
        <f t="shared" si="1"/>
        <v/>
      </c>
      <c r="AC4">
        <f t="shared" si="2"/>
        <v>1001</v>
      </c>
      <c r="AD4" t="str">
        <f>IF(E4&lt;&gt;"",E4,IF($AC4=$AC3,AD3,IF(AF3&lt;&gt;"",AF3,IF(AD3&lt;&gt;"",AD3,""))))</f>
        <v>18</v>
      </c>
      <c r="AE4" t="str">
        <f>IF(F4&lt;&gt;"",F4,IF($AC4=$AC3,AE3,IF(AG3&lt;&gt;"",AG3,IF(AE3&lt;&gt;"",AE3,""))))</f>
        <v>00</v>
      </c>
      <c r="AF4" t="str">
        <f>IF(G4&lt;&gt;"",G4,IF($AC4=$AC3,AF3,IF(H4="","",AD4)))</f>
        <v/>
      </c>
      <c r="AG4" t="str">
        <f t="shared" si="7"/>
        <v/>
      </c>
      <c r="AH4" t="str">
        <f t="shared" ref="AH4" si="10">IF(Y4="x","",IF(Y4=1,"e","o"))</f>
        <v>o</v>
      </c>
      <c r="AI4" t="str">
        <f t="shared" ref="AI4" si="11">IF($J4&lt;&gt;"",$J4,IF($AC4=$AC3,AI3,""))</f>
        <v>n</v>
      </c>
      <c r="AJ4" t="str">
        <f t="shared" ref="AJ4" si="12">IF($J4&lt;&gt;"",$J4,IF($AC4=$AC3,AJ3,""))</f>
        <v>n</v>
      </c>
      <c r="AK4" t="str">
        <f t="shared" ref="AK4" si="13">IF($W4="","",IF($AI4="","",IF($W4="h",$AI4,IF($AI4="n","n",IF(AND($W4="a",$AI4="d"),"o",IF(AND($W4="a",$AI4="o"),"d"))))))</f>
        <v/>
      </c>
      <c r="AL4" t="str">
        <f t="shared" ref="AL4" si="14">IF($W4="","",IF(J4="","",IF(AK4="n","n",IF(AK4="d","o",IF(AK4="o","d","")))))</f>
        <v/>
      </c>
      <c r="AM4" t="str">
        <f>IF(AN4="H","Home",IF(AN4="A","Away",""))</f>
        <v>Away</v>
      </c>
      <c r="AN4" t="str">
        <f>IF($W4&lt;&gt;"",$W4,IF($AC4=AC3,AN3,""))</f>
        <v>a</v>
      </c>
      <c r="AO4" t="str">
        <f>IF(AK4&lt;&gt;"",AK4,IF($AC4=AC3,AO3,""))</f>
        <v>n</v>
      </c>
      <c r="AP4" t="str">
        <f>IF(AL4&lt;&gt;"",AL4,IF($AC4=AC3,AP3,""))</f>
        <v>n</v>
      </c>
      <c r="AQ4" t="str">
        <f>IF(AM4&lt;&gt;"",AM4,IF($AC4=#REF!,#REF!,""))</f>
        <v>Away</v>
      </c>
      <c r="AR4" t="str">
        <f>IF(AN4&lt;&gt;"",AN4,IF($AC4=AC3,AQ3,""))</f>
        <v>a</v>
      </c>
      <c r="AS4" t="str">
        <f t="shared" ref="AS4" si="15">IF(AND(AH4="e",OR(BD4="Save",BE4="Turnover_Takeaway",BE4="Play_Defensive")),"Defensive",IF(AND(AH4="o",OR(BD4="Save",BE4="Turnover_Takeaway",BE4="Play_Defensive")),"Offensive",IF(OR(BD4="Deadice",BD4="Stoppage",BD4="Intermission"),"",IF(AH4="e","Offensive",IF(AH4="o","Defensive","")))))</f>
        <v>Defensive</v>
      </c>
      <c r="AT4" t="str">
        <f t="shared" ref="AT4" si="16">IF(U4&lt;&gt;"",U4+5000,"")</f>
        <v/>
      </c>
      <c r="AU4" t="str">
        <f t="shared" ref="AU4" si="17">IF(V4&lt;&gt;"",V4+6000,"")</f>
        <v/>
      </c>
      <c r="AV4" t="str" cm="1">
        <f t="array" ref="AV4">IFERROR(IF(O4&lt;&gt;"",O4,IF(OR($S4="",$T4=""),"",IF(O4&lt;&gt;"",O4,IF($T4&lt;&gt;"",_xlfn._xlws.FILTER(O:O,($BT:$BT=$BT4)*($I:$I=$I4)*($T:$T=$T4)*($S:$S=_xlfn.MINIFS($S:$S,$T:$T,"="&amp;$T4)),"")))))&amp;"",IF(O4="","",""))&amp;""</f>
        <v/>
      </c>
      <c r="AW4" t="str" cm="1">
        <f t="array" ref="AW4">IFERROR(IF(P4&lt;&gt;"",P4,IF(OR($S4="",$T4=""),"",IF($T4&lt;&gt;"",_xlfn._xlws.FILTER(P:P,($BT:$BT=$BT4)*($I:$I=$I4)*($T:$T=$T4)*($S:$S=_xlfn.MINIFS($S:$S,$T:$T,"="&amp;$T4)),""))))&amp;"",IF(P4="","",""))&amp;""</f>
        <v/>
      </c>
      <c r="AX4" t="str" cm="1">
        <f t="array" ref="AX4">IFERROR(IF(Q4&lt;&gt;"",Q4,IF(OR($S4="",$T4=""),"",IF($T4&lt;&gt;"",_xlfn._xlws.FILTER(Q:Q,($BT:$BT=$BT4)*($I:$I=$I4)*($T:$T=$T4)*($S:$S=_xlfn.MINIFS($S:$S,$T:$T,"="&amp;$T4)),""))))&amp;"",IF(Q4="","",""))&amp;""</f>
        <v/>
      </c>
      <c r="AY4" t="str" cm="1">
        <f t="array" ref="AY4">IFERROR(IF(R4&lt;&gt;"",R4,IF(OR($S4="",$T4=""),"",IF($T4&lt;&gt;"",_xlfn._xlws.FILTER(R:R,($BT:$BT=$BT4)*($I:$I=$I4)*($T:$T=$T4)*($S:$S=_xlfn.MINIFS($S:$S,$T:$T,"="&amp;$T4)),""))))&amp;"",IF(R4="","",""))&amp;""</f>
        <v/>
      </c>
      <c r="AZ4" s="6">
        <f t="shared" ref="AZ4" si="18">IF(OR(L4="Zone_Entry",L4="Zone_Exit"),AZ3+1,AZ3)</f>
        <v>1</v>
      </c>
      <c r="BA4">
        <f t="shared" ref="BA4:BC4" si="19">BA3</f>
        <v>18991</v>
      </c>
      <c r="BB4" t="str">
        <f t="shared" si="19"/>
        <v>Triple J</v>
      </c>
      <c r="BC4" t="str">
        <f t="shared" si="19"/>
        <v>Velodrome</v>
      </c>
      <c r="BD4" t="str">
        <f>IF($K4&lt;&gt;"",$K4,IF($S4=$S3,BD3,""))</f>
        <v>Faceoff</v>
      </c>
      <c r="BE4" t="str">
        <f t="shared" ref="BE4" si="20">IF(L4&lt;&gt;"",L4,IF($S4=$S3,BE3,""))</f>
        <v>Faceoff_GameStart</v>
      </c>
      <c r="BF4" t="str">
        <f t="shared" ref="BF4" si="21">IF(M4&lt;&gt;"",M4,IF($S4=$S3,BF3,""))</f>
        <v/>
      </c>
      <c r="BG4" t="str">
        <f t="shared" ref="BG4" si="22">IF($N4&lt;&gt;"",$N4,IF($S4=$S3,BG3,""))</f>
        <v/>
      </c>
      <c r="BH4" cm="1">
        <f t="array" ref="BH4">IFERROR(_xlfn._xlws.FILTER(shifts!A:A,(shifts!B:B=events!Z4)*(shifts!AG:AG&gt;=events!BJ4)*(shifts!AH:AH&lt;=events!BK4)),BH3)</f>
        <v>1</v>
      </c>
      <c r="BI4" s="15">
        <f t="shared" ref="BI4" si="23">IF(AND(AF4="",AG4=""),0,((AD4*60)+AE4)-((AF4*60)+AG4))</f>
        <v>0</v>
      </c>
      <c r="BJ4">
        <f t="shared" ref="BJ4" si="24">(AD4*60)+AE4</f>
        <v>1080</v>
      </c>
      <c r="BK4">
        <f t="shared" ref="BK4" si="25">IF(AND(AF4="",AG4=""),BJ4,((AF4*60)+AG4))</f>
        <v>1080</v>
      </c>
      <c r="BL4" s="15">
        <f>SUMIFS(BI$2:BI4,K$2:K4,"=Intermission")+SUMIFS(BI$2:BI4,K$2:K4,"=Timeout")</f>
        <v>0</v>
      </c>
      <c r="BM4">
        <f t="shared" ref="BM4" si="26">IF(Z4=1,0,IF(Z4=2,1080+BL4,IF(Z4=3,(1080*2)+BL4,0)))</f>
        <v>0</v>
      </c>
      <c r="BN4" s="19">
        <f t="shared" ref="BN4" si="27">IF(K4="Intermission",BN3,((1080)-((AD4*60)+AE4))+BM4)</f>
        <v>0</v>
      </c>
      <c r="BO4">
        <f t="shared" ref="BO4" si="28">IF(BN4&lt;5,0,BN4-5)</f>
        <v>0</v>
      </c>
      <c r="BP4" s="17">
        <f t="shared" ref="BP4" si="29">BO4+BI4+5</f>
        <v>5</v>
      </c>
      <c r="BQ4" t="str">
        <f t="shared" ref="BQ4" si="30">IF(AH4="e","event_team_player_"&amp;BR4,IF(AH4="o","opp_team_player_"&amp;BR4,""))</f>
        <v>opp_team_player_1</v>
      </c>
      <c r="BR4">
        <f>COUNTIFS(S$3:S4,"="&amp;S4,AH$3:AH4,"="&amp;AH4)</f>
        <v>1</v>
      </c>
      <c r="BS4" t="str">
        <f>IFERROR(VLOOKUP(BA4&amp;BT4&amp;X4,game_rosters!U:W,3,FALSE),"")</f>
        <v>P100021</v>
      </c>
      <c r="BT4" t="str">
        <f t="shared" ref="BT4" si="31">IF(AQ4="","",IF(AND(AQ4="Away",AH4="e"),BC4,IF(AND(AQ4="Home",AH4="e"),BB4,IF(AND(AQ4="Away",AH4="o"),BB4,IF(AND(AQ4="Home",AH4="o"),BC4)))))</f>
        <v>Triple J</v>
      </c>
    </row>
    <row r="5" spans="1:72" x14ac:dyDescent="0.2">
      <c r="A5">
        <f t="shared" si="9"/>
        <v>1</v>
      </c>
      <c r="E5" s="4" t="s">
        <v>732</v>
      </c>
      <c r="F5" s="46" t="s">
        <v>1058</v>
      </c>
      <c r="G5" s="4" t="s">
        <v>732</v>
      </c>
      <c r="H5" s="48" t="s">
        <v>1028</v>
      </c>
      <c r="I5" s="26">
        <v>70</v>
      </c>
      <c r="J5" s="26" t="s">
        <v>734</v>
      </c>
      <c r="K5" t="s">
        <v>13</v>
      </c>
      <c r="N5" t="str">
        <f t="shared" ref="N5:N20" si="32">IF(K5="","",IF(K5="Goal","s",IF(AND(K5="Zone_Entry_Exit",OR(ISNUMBER(SEARCH("fail",L5)),ISNUMBER(SEARCH("FromExitClear",M5)),ISNUMBER(SEARCH("miss",M5)))),"u",IF(AND(K5="Zone_Entry_Exit",OR(NOT(ISNUMBER(SEARCH("fail",L5))),NOT(ISNUMBER(SEARCH("FromExitClear",M5))),NOT(ISNUMBER(SEARCH("miss",M5))))),"s",IF(AND(OR(K5="Shot",K5="Pass"),OR(ISNUMBER(SEARCH("complete",L5)),ISNUMBER(SEARCH("goal",L5)),ISNUMBER(SEARCH("OnNet",L5)))),"s",IF(L5="Turnover_Giveaway","u",IF(AND(OR(K5="Shot",K5="Pass"),OR(ISNUMBER(SEARCH("fail",L5)),NOT(ISNUMBER(SEARCH("complete",L5))),NOT(ISNUMBER(SEARCH("OnNet",L5))))),"u","")))))))</f>
        <v/>
      </c>
      <c r="Q5" t="str">
        <f t="shared" ref="Q5:Q15" si="33">IF(O5="","",IF(AND(N5&lt;&gt;"",OR(O5&lt;&gt;"",P5&lt;&gt;"")),N5,IF(OR(ISNUMBER(SEARCH("attemp",O5)),ISNUMBER(SEARCH("beat",O5)),ISNUMBER(SEARCH("mis",O5)),ISNUMBER(SEARCH("fail",O5)),ISNUMBER(SEARCH("loss",O5)),ISNUMBER(SEARCH("lost",O5)),ISNUMBER(SEARCH("attemp",P5)),ISNUMBER(SEARCH("mis",P5)),ISNUMBER(SEARCH("fail",P5)),ISNUMBER(SEARCH("loss",P5)),ISNUMBER(SEARCH("beat",P5)),ISNUMBER(SEARCH("lost",P5))),"u","")))</f>
        <v/>
      </c>
      <c r="S5">
        <f>IF(A5=1,MAX($S$2:$S4)+1,IF(OR($I5&lt;&gt;"",A5="x"),$S4,""))</f>
        <v>2</v>
      </c>
      <c r="T5" t="str">
        <f>IF(D5=1,MAX($T$2:$T4)+1,IF(S5=S4,$T4,IF(D5="x",T4,IF(D4="x","",""))))</f>
        <v/>
      </c>
      <c r="U5" t="str">
        <f>IF(B5=1,MAX($U$2:$U4)+1,IF(AND($T5&lt;&gt;"",$T5=$T4),$U4,IF(B5="x",U4,"")))</f>
        <v/>
      </c>
      <c r="V5" t="str">
        <f>IF(C5=1,MAX($V$2:$V4)+1,IF(AND($T5&lt;&gt;"",$T5=$T4),$U4,IF(C5="x",V4,"")))</f>
        <v/>
      </c>
      <c r="W5" t="str" cm="1">
        <f t="array" ref="W5">IFERROR(_xlfn._xlws.FILTER(game_rosters!AC:AC,(game_rosters!J:J=events!X5)*(K5&lt;&gt;"")),"")</f>
        <v>a</v>
      </c>
      <c r="X5" cm="1">
        <f t="array" ref="X5">IF($I5&lt;&gt;"",$I5,INDEX($I$1:$I5,ROW()-COUNTIFS($T$1:$T5,"="&amp;$T5,$S$1:$S5,"&lt;"&amp;$S5)))</f>
        <v>70</v>
      </c>
      <c r="Y5" t="str" cm="1">
        <f t="array" ref="Y5">IFERROR(IF(_xlfn._xlws.FILTER(game_rosters!$J:$J,(game_rosters!$G:$G=events!$AM5)*(game_rosters!$J:$J=events!$X5))&gt;0,1,""),"")</f>
        <v/>
      </c>
      <c r="Z5" s="6">
        <f t="shared" ref="Z5:Z68" si="34">IF(K5="Intermission",Z4+1,Z4)</f>
        <v>1</v>
      </c>
      <c r="AA5">
        <f t="shared" ref="AA5:AA68" si="35">S5+1000</f>
        <v>1002</v>
      </c>
      <c r="AB5" t="str">
        <f t="shared" ref="AB5:AB68" si="36">IF(T5&lt;&gt;"",9000+T5,"")</f>
        <v/>
      </c>
      <c r="AC5">
        <f t="shared" ref="AC5:AC68" si="37">IF(AB5&lt;&gt;"",AB5,S5+1000)</f>
        <v>1002</v>
      </c>
      <c r="AD5" t="str">
        <f t="shared" ref="AD5:AD9" si="38">IF(E5&lt;&gt;"",E5,IF($AC5=$AC4,AD4,IF(AF4&lt;&gt;"",AF4,IF(AD4&lt;&gt;"",AD4,""))))</f>
        <v>17</v>
      </c>
      <c r="AE5" t="str">
        <f t="shared" ref="AE5:AE9" si="39">IF(F5&lt;&gt;"",F5,IF($AC5=$AC4,AE4,IF(AG4&lt;&gt;"",AG4,IF(AE4&lt;&gt;"",AE4,""))))</f>
        <v>59</v>
      </c>
      <c r="AF5" t="str">
        <f t="shared" ref="AF5:AF9" si="40">IF(G5&lt;&gt;"",G5,IF($AC5=$AC4,AF4,IF(H5="","",AD5)))</f>
        <v>17</v>
      </c>
      <c r="AG5" t="str">
        <f t="shared" si="7"/>
        <v>58</v>
      </c>
      <c r="BI5" s="40"/>
      <c r="BL5" s="40"/>
      <c r="BN5" s="19"/>
      <c r="BP5" s="17"/>
    </row>
    <row r="6" spans="1:72" x14ac:dyDescent="0.2">
      <c r="A6">
        <f>IF(K6&lt;&gt;"",1,IF(D6="x","x",""))</f>
        <v>1</v>
      </c>
      <c r="E6" s="4"/>
      <c r="F6" s="46"/>
      <c r="G6" s="4"/>
      <c r="H6" s="48" t="s">
        <v>1059</v>
      </c>
      <c r="I6" s="26">
        <v>70</v>
      </c>
      <c r="J6" s="26" t="str">
        <f>IF(OR(K6="Goal",K6="Shot",L6="Zone_Entry",M6="Stoppage-Goal",M5="Stoppage-Goal"),"o",IF(OR(K6="Save",K6="Rebound",L6="Zone_Exit",M6="Stoppage-GoalieStoppage",M5="Stoppage-GoalieStoppage"),"d",IF(OR(L6="Faceoff_AfterGoal",L6="Faceoff_PeriodStart",698="Faceoff_GameStart",M5="Stoppage-Goal"),"n","")))</f>
        <v>o</v>
      </c>
      <c r="K6" t="s">
        <v>238</v>
      </c>
      <c r="L6" t="s">
        <v>174</v>
      </c>
      <c r="M6" t="s">
        <v>85</v>
      </c>
      <c r="N6" t="s">
        <v>594</v>
      </c>
      <c r="O6" t="s">
        <v>143</v>
      </c>
      <c r="Q6" t="str">
        <f t="shared" si="33"/>
        <v>u</v>
      </c>
      <c r="S6">
        <f>IF(A6=1,MAX($S$2:$S5)+1,IF(OR($I6&lt;&gt;"",A6="x"),$S5,""))</f>
        <v>3</v>
      </c>
      <c r="T6" t="str">
        <f>IF(D6=1,MAX($T$2:$T5)+1,IF(S6=S5,$T5,IF(D6="x",T5,IF(D5="x","",""))))</f>
        <v/>
      </c>
      <c r="U6" t="str">
        <f>IF(B6=1,MAX($U$2:$U5)+1,IF(AND($T6&lt;&gt;"",$T6=$T5),$U5,IF(B6="x",U5,"")))</f>
        <v/>
      </c>
      <c r="V6" t="str">
        <f>IF(C6=1,MAX($V$2:$V5)+1,IF(AND($T6&lt;&gt;"",$T6=$T5),$U5,IF(C6="x",V5,"")))</f>
        <v/>
      </c>
      <c r="W6" t="str" cm="1">
        <f t="array" ref="W6">IFERROR(_xlfn._xlws.FILTER(game_rosters!AC:AC,(game_rosters!J:J=events!X6)*(K6&lt;&gt;"")),"")</f>
        <v>a</v>
      </c>
      <c r="X6" cm="1">
        <f t="array" ref="X6">IF($I6&lt;&gt;"",$I6,INDEX($I$1:$I6,ROW()-COUNTIFS($T$1:$T6,"="&amp;$T6,$S$1:$S6,"&lt;"&amp;$S6)))</f>
        <v>70</v>
      </c>
      <c r="Y6" t="str" cm="1">
        <f t="array" ref="Y6">IFERROR(IF(_xlfn._xlws.FILTER(game_rosters!$J:$J,(game_rosters!$G:$G=events!$AM6)*(game_rosters!$J:$J=events!$X6))&gt;0,1,""),"")</f>
        <v/>
      </c>
      <c r="Z6" s="6">
        <f>IF(K6="Intermission",Z5+1,Z5)</f>
        <v>1</v>
      </c>
      <c r="AA6">
        <f t="shared" si="35"/>
        <v>1003</v>
      </c>
      <c r="AB6" t="str">
        <f t="shared" si="36"/>
        <v/>
      </c>
      <c r="AC6">
        <f t="shared" si="37"/>
        <v>1003</v>
      </c>
      <c r="AD6" t="str">
        <f t="shared" si="38"/>
        <v>17</v>
      </c>
      <c r="AE6" t="str">
        <f t="shared" si="39"/>
        <v>58</v>
      </c>
      <c r="AF6" t="str">
        <f t="shared" si="40"/>
        <v>17</v>
      </c>
      <c r="AG6" t="str">
        <f t="shared" si="7"/>
        <v>54</v>
      </c>
      <c r="BI6" s="40"/>
      <c r="BL6" s="40"/>
      <c r="BN6" s="19"/>
      <c r="BP6" s="17"/>
    </row>
    <row r="7" spans="1:72" x14ac:dyDescent="0.2">
      <c r="A7" t="str">
        <f>IF(K7&lt;&gt;"",1,IF(D7="x","x",""))</f>
        <v/>
      </c>
      <c r="E7" s="4"/>
      <c r="F7" s="46"/>
      <c r="G7" s="4"/>
      <c r="H7" s="48"/>
      <c r="I7" s="26">
        <v>10</v>
      </c>
      <c r="J7" s="26" t="str">
        <f>IF(OR(K7="Goal",K7="Shot",L7="Zone_Entry",M7="Stoppage-Goal",M6="Stoppage-Goal"),"o",IF(OR(K7="Save",K7="Rebound",L7="Zone_Exit",M7="Stoppage-GoalieStoppage",M6="Stoppage-GoalieStoppage"),"d",IF(OR(L7="Faceoff_AfterGoal",L7="Faceoff_PeriodStart",698="Faceoff_GameStart",M6="Stoppage-Goal"),"n","")))</f>
        <v/>
      </c>
      <c r="N7" t="str">
        <f>IF(K7="","",IF(K7="Goal","s",IF(AND(K7="Zone_Entry_Exit",OR(ISNUMBER(SEARCH("fail",L7)),ISNUMBER(SEARCH("FromExitClear",M7)),ISNUMBER(SEARCH("miss",M7)))),"u",IF(AND(K7="Zone_Entry_Exit",OR(NOT(ISNUMBER(SEARCH("fail",L7))),NOT(ISNUMBER(SEARCH("FromExitClear",M7))),NOT(ISNUMBER(SEARCH("miss",M7))))),"s",IF(AND(OR(K7="Shot",K7="Pass"),OR(ISNUMBER(SEARCH("complete",L7)),ISNUMBER(SEARCH("goal",L7)),ISNUMBER(SEARCH("OnNet",L7)))),"s",IF(L7="Turnover_Giveaway","u",IF(AND(OR(K7="Shot",K7="Pass"),OR(ISNUMBER(SEARCH("fail",L7)),NOT(ISNUMBER(SEARCH("complete",L7))),NOT(ISNUMBER(SEARCH("OnNet",L7))))),"u","")))))))</f>
        <v/>
      </c>
      <c r="Q7" t="str">
        <f t="shared" si="33"/>
        <v/>
      </c>
      <c r="S7">
        <f>IF(A7=1,MAX($S$2:$S6)+1,IF(OR($I7&lt;&gt;"",A7="x"),$S6,""))</f>
        <v>3</v>
      </c>
      <c r="T7" t="str">
        <f>IF(D7=1,MAX($T$2:$T6)+1,IF(S7=S6,$T6,IF(D7="x",T6,IF(D6="x","",""))))</f>
        <v/>
      </c>
      <c r="U7" t="str">
        <f>IF(B7=1,MAX($U$2:$U6)+1,IF(AND($T7&lt;&gt;"",$T7=$T6),$U6,IF(B7="x",U6,"")))</f>
        <v/>
      </c>
      <c r="V7" t="str">
        <f>IF(C7=1,MAX($V$2:$V6)+1,IF(AND($T7&lt;&gt;"",$T7=$T6),$U6,IF(C7="x",V6,"")))</f>
        <v/>
      </c>
      <c r="W7" t="str" cm="1">
        <f t="array" ref="W7">IFERROR(_xlfn._xlws.FILTER(game_rosters!AC:AC,(game_rosters!J:J=events!X7)*(K7&lt;&gt;"")),"")</f>
        <v/>
      </c>
      <c r="X7" cm="1">
        <f t="array" ref="X7">IF($I7&lt;&gt;"",$I7,INDEX($I$1:$I7,ROW()-COUNTIFS($T$1:$T7,"="&amp;$T7,$S$1:$S7,"&lt;"&amp;$S7)))</f>
        <v>10</v>
      </c>
      <c r="Y7" t="str" cm="1">
        <f t="array" ref="Y7">IFERROR(IF(_xlfn._xlws.FILTER(game_rosters!$J:$J,(game_rosters!$G:$G=events!$AM7)*(game_rosters!$J:$J=events!$X7))&gt;0,1,""),"")</f>
        <v/>
      </c>
      <c r="Z7" s="6">
        <f>IF(K7="Intermission",Z6+1,Z6)</f>
        <v>1</v>
      </c>
      <c r="AA7">
        <f t="shared" si="35"/>
        <v>1003</v>
      </c>
      <c r="AB7" t="str">
        <f t="shared" si="36"/>
        <v/>
      </c>
      <c r="AC7">
        <f t="shared" si="37"/>
        <v>1003</v>
      </c>
      <c r="AD7" t="str">
        <f t="shared" si="38"/>
        <v>17</v>
      </c>
      <c r="AE7" t="str">
        <f t="shared" si="39"/>
        <v>58</v>
      </c>
      <c r="AF7" t="str">
        <f t="shared" si="40"/>
        <v>17</v>
      </c>
      <c r="AG7" t="str">
        <f t="shared" si="7"/>
        <v>54</v>
      </c>
      <c r="BI7" s="40"/>
      <c r="BL7" s="40"/>
      <c r="BN7" s="19"/>
      <c r="BP7" s="17"/>
    </row>
    <row r="8" spans="1:72" x14ac:dyDescent="0.2">
      <c r="A8" t="str">
        <f t="shared" si="9"/>
        <v/>
      </c>
      <c r="E8" s="4"/>
      <c r="F8" s="46"/>
      <c r="G8" s="4"/>
      <c r="H8" s="48"/>
      <c r="I8" s="26">
        <v>41</v>
      </c>
      <c r="J8" s="26" t="str">
        <f t="shared" ref="J8:J69" si="41">IF(OR(K8="Goal",K8="Shot",L8="Zone_Entry",M8="Stoppage-Goal",M7="Stoppage-Goal"),"o",IF(OR(K8="Save",K8="Rebound",L8="Zone_Exit",M8="Stoppage-GoalieStoppage",M7="Stoppage-GoalieStoppage"),"d",IF(OR(L8="Faceoff_AfterGoal",L8="Faceoff_PeriodStart",698="Faceoff_GameStart",M7="Stoppage-Goal"),"n","")))</f>
        <v/>
      </c>
      <c r="N8" t="str">
        <f t="shared" si="32"/>
        <v/>
      </c>
      <c r="Q8" t="str">
        <f t="shared" si="33"/>
        <v/>
      </c>
      <c r="S8">
        <f>IF(A8=1,MAX($S$2:$S7)+1,IF(OR($I8&lt;&gt;"",A8="x"),$S7,""))</f>
        <v>3</v>
      </c>
      <c r="T8" t="str">
        <f>IF(D8=1,MAX($T$2:$T7)+1,IF(S8=S7,$T7,IF(D8="x",T7,IF(D7="x","",""))))</f>
        <v/>
      </c>
      <c r="U8" t="str">
        <f>IF(B8=1,MAX($U$2:$U7)+1,IF(AND($T8&lt;&gt;"",$T8=$T7),$U7,IF(B8="x",U7,"")))</f>
        <v/>
      </c>
      <c r="V8" t="str">
        <f>IF(C8=1,MAX($V$2:$V7)+1,IF(AND($T8&lt;&gt;"",$T8=$T7),$U7,IF(C8="x",V7,"")))</f>
        <v/>
      </c>
      <c r="W8" t="str" cm="1">
        <f t="array" ref="W8">IFERROR(_xlfn._xlws.FILTER(game_rosters!AC:AC,(game_rosters!J:J=events!X8)*(K8&lt;&gt;"")),"")</f>
        <v/>
      </c>
      <c r="X8" cm="1">
        <f t="array" ref="X8">IF($I8&lt;&gt;"",$I8,INDEX($I$1:$I8,ROW()-COUNTIFS($T$1:$T8,"="&amp;$T8,$S$1:$S8,"&lt;"&amp;$S8)))</f>
        <v>41</v>
      </c>
      <c r="Y8" t="str" cm="1">
        <f t="array" ref="Y8">IFERROR(IF(_xlfn._xlws.FILTER(game_rosters!$J:$J,(game_rosters!$G:$G=events!$AM8)*(game_rosters!$J:$J=events!$X8))&gt;0,1,""),"")</f>
        <v/>
      </c>
      <c r="Z8" s="6">
        <f t="shared" si="34"/>
        <v>1</v>
      </c>
      <c r="AA8">
        <f t="shared" si="35"/>
        <v>1003</v>
      </c>
      <c r="AB8" t="str">
        <f t="shared" si="36"/>
        <v/>
      </c>
      <c r="AC8">
        <f t="shared" si="37"/>
        <v>1003</v>
      </c>
      <c r="AD8" t="str">
        <f t="shared" si="38"/>
        <v>17</v>
      </c>
      <c r="AE8" t="str">
        <f t="shared" si="39"/>
        <v>58</v>
      </c>
      <c r="AF8" t="str">
        <f t="shared" si="40"/>
        <v>17</v>
      </c>
      <c r="AG8" t="str">
        <f t="shared" si="7"/>
        <v>54</v>
      </c>
      <c r="BI8" s="40"/>
      <c r="BL8" s="40"/>
      <c r="BN8" s="19"/>
      <c r="BP8" s="17"/>
    </row>
    <row r="9" spans="1:72" x14ac:dyDescent="0.2">
      <c r="A9">
        <f t="shared" si="9"/>
        <v>1</v>
      </c>
      <c r="E9" s="4"/>
      <c r="F9" s="46"/>
      <c r="G9" s="4"/>
      <c r="H9" s="48"/>
      <c r="I9" s="26">
        <v>70</v>
      </c>
      <c r="J9" s="26" t="str">
        <f t="shared" si="41"/>
        <v>o</v>
      </c>
      <c r="K9" t="s">
        <v>6</v>
      </c>
      <c r="L9" t="s">
        <v>181</v>
      </c>
      <c r="M9" t="s">
        <v>53</v>
      </c>
      <c r="N9" t="str">
        <f t="shared" si="32"/>
        <v>u</v>
      </c>
      <c r="Q9" t="str">
        <f t="shared" si="33"/>
        <v/>
      </c>
      <c r="S9">
        <f>IF(A9=1,MAX($S$2:$S8)+1,IF(OR($I9&lt;&gt;"",A9="x"),$S8,""))</f>
        <v>4</v>
      </c>
      <c r="T9" t="str">
        <f>IF(D9=1,MAX($T$2:$T8)+1,IF(S9=S8,$T8,IF(D9="x",T8,IF(D8="x","",""))))</f>
        <v/>
      </c>
      <c r="U9" t="str">
        <f>IF(B9=1,MAX($U$2:$U8)+1,IF(AND($T9&lt;&gt;"",$T9=$T8),$U8,IF(B9="x",U8,"")))</f>
        <v/>
      </c>
      <c r="V9" t="str">
        <f>IF(C9=1,MAX($V$2:$V8)+1,IF(AND($T9&lt;&gt;"",$T9=$T8),$U8,IF(C9="x",V8,"")))</f>
        <v/>
      </c>
      <c r="W9" t="str" cm="1">
        <f t="array" ref="W9">IFERROR(_xlfn._xlws.FILTER(game_rosters!AC:AC,(game_rosters!J:J=events!X9)*(K9&lt;&gt;"")),"")</f>
        <v>a</v>
      </c>
      <c r="X9" cm="1">
        <f t="array" ref="X9">IF($I9&lt;&gt;"",$I9,INDEX($I$1:$I9,ROW()-COUNTIFS($T$1:$T9,"="&amp;$T9,$S$1:$S9,"&lt;"&amp;$S9)))</f>
        <v>70</v>
      </c>
      <c r="Y9" t="str" cm="1">
        <f t="array" ref="Y9">IFERROR(IF(_xlfn._xlws.FILTER(game_rosters!$J:$J,(game_rosters!$G:$G=events!$AM9)*(game_rosters!$J:$J=events!$X9))&gt;0,1,""),"")</f>
        <v/>
      </c>
      <c r="Z9" s="6">
        <f t="shared" si="34"/>
        <v>1</v>
      </c>
      <c r="AA9">
        <f t="shared" si="35"/>
        <v>1004</v>
      </c>
      <c r="AB9" t="str">
        <f t="shared" si="36"/>
        <v/>
      </c>
      <c r="AC9">
        <f t="shared" si="37"/>
        <v>1004</v>
      </c>
      <c r="AD9" t="str">
        <f t="shared" si="38"/>
        <v>17</v>
      </c>
      <c r="AE9" t="str">
        <f t="shared" si="39"/>
        <v>54</v>
      </c>
      <c r="AF9" t="str">
        <f t="shared" si="40"/>
        <v/>
      </c>
      <c r="AG9" t="str">
        <f t="shared" si="7"/>
        <v/>
      </c>
      <c r="BI9" s="40"/>
      <c r="BL9" s="40"/>
      <c r="BN9" s="19"/>
      <c r="BP9" s="17"/>
    </row>
    <row r="10" spans="1:72" x14ac:dyDescent="0.2">
      <c r="A10">
        <f t="shared" si="9"/>
        <v>1</v>
      </c>
      <c r="E10" s="4"/>
      <c r="F10" s="46" t="s">
        <v>1053</v>
      </c>
      <c r="G10" s="4"/>
      <c r="H10" s="48"/>
      <c r="I10" s="26">
        <v>75</v>
      </c>
      <c r="J10" s="26" t="s">
        <v>368</v>
      </c>
      <c r="K10" t="s">
        <v>13</v>
      </c>
      <c r="L10" t="s">
        <v>587</v>
      </c>
      <c r="N10" t="s">
        <v>594</v>
      </c>
      <c r="O10" t="s">
        <v>909</v>
      </c>
      <c r="Q10" t="str">
        <f t="shared" si="33"/>
        <v>u</v>
      </c>
      <c r="R10" s="26">
        <v>1</v>
      </c>
      <c r="S10">
        <f>IF(A10=1,MAX($S$2:$S9)+1,IF(OR($I10&lt;&gt;"",A10="x"),$S9,""))</f>
        <v>5</v>
      </c>
      <c r="T10" t="str">
        <f>IF(D10=1,MAX($T$2:$T9)+1,IF(S10=S9,$T9,IF(D10="x",T9,IF(D9="x","",""))))</f>
        <v/>
      </c>
      <c r="U10" t="str">
        <f>IF(B10=1,MAX($U$2:$U9)+1,IF(AND($T10&lt;&gt;"",$T10=$T9),$U9,IF(B10="x",U9,"")))</f>
        <v/>
      </c>
      <c r="V10" t="str">
        <f>IF(C10=1,MAX($V$2:$V9)+1,IF(AND($T10&lt;&gt;"",$T10=$T9),$U9,IF(C10="x",V9,"")))</f>
        <v/>
      </c>
      <c r="W10" t="str" cm="1">
        <f t="array" ref="W10">IFERROR(_xlfn._xlws.FILTER(game_rosters!AC:AC,(game_rosters!J:J=events!X10)*(K10&lt;&gt;"")),"")</f>
        <v>a</v>
      </c>
      <c r="X10" cm="1">
        <f t="array" ref="X10">IF($I10&lt;&gt;"",$I10,INDEX($I$1:$I10,ROW()-COUNTIFS($T$1:$T10,"="&amp;$T10,$S$1:$S10,"&lt;"&amp;$S10)))</f>
        <v>75</v>
      </c>
      <c r="Y10" t="str" cm="1">
        <f t="array" ref="Y10">IFERROR(IF(_xlfn._xlws.FILTER(game_rosters!$J:$J,(game_rosters!$G:$G=events!$AM10)*(game_rosters!$J:$J=events!$X10))&gt;0,1,""),"")</f>
        <v/>
      </c>
      <c r="Z10" s="6">
        <f t="shared" si="34"/>
        <v>1</v>
      </c>
      <c r="AA10">
        <f t="shared" si="35"/>
        <v>1005</v>
      </c>
      <c r="AB10" t="str">
        <f t="shared" si="36"/>
        <v/>
      </c>
      <c r="AC10">
        <f t="shared" si="37"/>
        <v>1005</v>
      </c>
      <c r="BI10" s="40"/>
      <c r="BL10" s="40"/>
      <c r="BN10" s="19"/>
      <c r="BP10" s="17"/>
    </row>
    <row r="11" spans="1:72" x14ac:dyDescent="0.2">
      <c r="A11" t="str">
        <f t="shared" si="9"/>
        <v/>
      </c>
      <c r="E11" s="4"/>
      <c r="F11" s="46"/>
      <c r="G11" s="4"/>
      <c r="H11" s="48"/>
      <c r="I11" s="26">
        <v>16</v>
      </c>
      <c r="N11" t="str">
        <f t="shared" si="32"/>
        <v/>
      </c>
      <c r="Q11" t="str">
        <f t="shared" si="33"/>
        <v/>
      </c>
      <c r="R11" s="26">
        <v>1</v>
      </c>
      <c r="S11">
        <f>IF(A11=1,MAX($S$2:$S10)+1,IF(OR($I11&lt;&gt;"",A11="x"),$S10,""))</f>
        <v>5</v>
      </c>
      <c r="T11" t="str">
        <f>IF(D11=1,MAX($T$2:$T10)+1,IF(S11=S10,$T10,IF(D11="x",T10,IF(D10="x","",""))))</f>
        <v/>
      </c>
      <c r="U11" t="str">
        <f>IF(B11=1,MAX($U$2:$U10)+1,IF(AND($T11&lt;&gt;"",$T11=$T10),$U10,IF(B11="x",U10,"")))</f>
        <v/>
      </c>
      <c r="V11" t="str">
        <f>IF(C11=1,MAX($V$2:$V10)+1,IF(AND($T11&lt;&gt;"",$T11=$T10),$U10,IF(C11="x",V10,"")))</f>
        <v/>
      </c>
      <c r="W11" t="str" cm="1">
        <f t="array" ref="W11">IFERROR(_xlfn._xlws.FILTER(game_rosters!AC:AC,(game_rosters!J:J=events!X11)*(K11&lt;&gt;"")),"")</f>
        <v/>
      </c>
      <c r="X11" cm="1">
        <f t="array" ref="X11">IF($I11&lt;&gt;"",$I11,INDEX($I$1:$I11,ROW()-COUNTIFS($T$1:$T11,"="&amp;$T11,$S$1:$S11,"&lt;"&amp;$S11)))</f>
        <v>16</v>
      </c>
      <c r="Y11" t="str" cm="1">
        <f t="array" ref="Y11">IFERROR(IF(_xlfn._xlws.FILTER(game_rosters!$J:$J,(game_rosters!$G:$G=events!$AM11)*(game_rosters!$J:$J=events!$X11))&gt;0,1,""),"")</f>
        <v/>
      </c>
      <c r="Z11" s="6">
        <f t="shared" si="34"/>
        <v>1</v>
      </c>
      <c r="AA11">
        <f t="shared" si="35"/>
        <v>1005</v>
      </c>
      <c r="AB11" t="str">
        <f t="shared" si="36"/>
        <v/>
      </c>
      <c r="AC11">
        <f t="shared" si="37"/>
        <v>1005</v>
      </c>
      <c r="BI11" s="40"/>
      <c r="BL11" s="40"/>
      <c r="BN11" s="19"/>
      <c r="BP11" s="17"/>
    </row>
    <row r="12" spans="1:72" x14ac:dyDescent="0.2">
      <c r="A12">
        <f t="shared" si="9"/>
        <v>1</v>
      </c>
      <c r="E12" s="4"/>
      <c r="F12" s="46"/>
      <c r="G12" s="4"/>
      <c r="H12" s="48"/>
      <c r="I12" s="26">
        <v>75</v>
      </c>
      <c r="J12" s="26" t="s">
        <v>368</v>
      </c>
      <c r="K12" t="s">
        <v>9</v>
      </c>
      <c r="L12" t="s">
        <v>173</v>
      </c>
      <c r="M12" t="s">
        <v>391</v>
      </c>
      <c r="N12" t="str">
        <f t="shared" si="32"/>
        <v>u</v>
      </c>
      <c r="O12" t="s">
        <v>576</v>
      </c>
      <c r="Q12" t="str">
        <f t="shared" si="33"/>
        <v>u</v>
      </c>
      <c r="R12" s="26">
        <v>1</v>
      </c>
      <c r="S12">
        <f>IF(A12=1,MAX($S$2:$S11)+1,IF(OR($I12&lt;&gt;"",A12="x"),$S11,""))</f>
        <v>6</v>
      </c>
      <c r="T12" t="str">
        <f>IF(D12=1,MAX($T$2:$T11)+1,IF(S12=S11,$T11,IF(D12="x",T11,IF(D11="x","",""))))</f>
        <v/>
      </c>
      <c r="U12" t="str">
        <f>IF(B12=1,MAX($U$2:$U11)+1,IF(AND($T12&lt;&gt;"",$T12=$T11),$U11,IF(B12="x",U11,"")))</f>
        <v/>
      </c>
      <c r="V12" t="str">
        <f>IF(C12=1,MAX($V$2:$V11)+1,IF(AND($T12&lt;&gt;"",$T12=$T11),$U11,IF(C12="x",V11,"")))</f>
        <v/>
      </c>
      <c r="W12" t="str" cm="1">
        <f t="array" ref="W12">IFERROR(_xlfn._xlws.FILTER(game_rosters!AC:AC,(game_rosters!J:J=events!X12)*(K12&lt;&gt;"")),"")</f>
        <v>a</v>
      </c>
      <c r="X12" cm="1">
        <f t="array" ref="X12">IF($I12&lt;&gt;"",$I12,INDEX($I$1:$I12,ROW()-COUNTIFS($T$1:$T12,"="&amp;$T12,$S$1:$S12,"&lt;"&amp;$S12)))</f>
        <v>75</v>
      </c>
      <c r="Y12" t="str" cm="1">
        <f t="array" ref="Y12">IFERROR(IF(_xlfn._xlws.FILTER(game_rosters!$J:$J,(game_rosters!$G:$G=events!$AM12)*(game_rosters!$J:$J=events!$X12))&gt;0,1,""),"")</f>
        <v/>
      </c>
      <c r="Z12" s="6">
        <f t="shared" si="34"/>
        <v>1</v>
      </c>
      <c r="AA12">
        <f t="shared" si="35"/>
        <v>1006</v>
      </c>
      <c r="AB12" t="str">
        <f t="shared" si="36"/>
        <v/>
      </c>
      <c r="AC12">
        <f t="shared" si="37"/>
        <v>1006</v>
      </c>
      <c r="BI12" s="40"/>
      <c r="BL12" s="40"/>
      <c r="BN12" s="19"/>
      <c r="BP12" s="17"/>
    </row>
    <row r="13" spans="1:72" x14ac:dyDescent="0.2">
      <c r="A13" t="str">
        <f t="shared" si="9"/>
        <v/>
      </c>
      <c r="E13" s="4"/>
      <c r="F13" s="46"/>
      <c r="G13" s="4"/>
      <c r="H13" s="48"/>
      <c r="I13" s="26">
        <v>16</v>
      </c>
      <c r="J13" s="26" t="str">
        <f t="shared" si="41"/>
        <v/>
      </c>
      <c r="N13" t="str">
        <f t="shared" si="32"/>
        <v/>
      </c>
      <c r="Q13" t="str">
        <f t="shared" si="33"/>
        <v/>
      </c>
      <c r="R13" s="26">
        <v>1</v>
      </c>
      <c r="S13">
        <f>IF(A13=1,MAX($S$2:$S12)+1,IF(OR($I13&lt;&gt;"",A13="x"),$S12,""))</f>
        <v>6</v>
      </c>
      <c r="T13" t="str">
        <f>IF(D13=1,MAX($T$2:$T12)+1,IF(S13=S12,$T12,IF(D13="x",T12,IF(D12="x","",""))))</f>
        <v/>
      </c>
      <c r="U13" t="str">
        <f>IF(B13=1,MAX($U$2:$U12)+1,IF(AND($T13&lt;&gt;"",$T13=$T12),$U12,IF(B13="x",U12,"")))</f>
        <v/>
      </c>
      <c r="V13" t="str">
        <f>IF(C13=1,MAX($V$2:$V12)+1,IF(AND($T13&lt;&gt;"",$T13=$T12),$U12,IF(C13="x",V12,"")))</f>
        <v/>
      </c>
      <c r="W13" t="str" cm="1">
        <f t="array" ref="W13">IFERROR(_xlfn._xlws.FILTER(game_rosters!AC:AC,(game_rosters!J:J=events!X13)*(K13&lt;&gt;"")),"")</f>
        <v/>
      </c>
      <c r="X13" cm="1">
        <f t="array" ref="X13">IF($I13&lt;&gt;"",$I13,INDEX($I$1:$I13,ROW()-COUNTIFS($T$1:$T13,"="&amp;$T13,$S$1:$S13,"&lt;"&amp;$S13)))</f>
        <v>16</v>
      </c>
      <c r="Y13" t="str" cm="1">
        <f t="array" ref="Y13">IFERROR(IF(_xlfn._xlws.FILTER(game_rosters!$J:$J,(game_rosters!$G:$G=events!$AM13)*(game_rosters!$J:$J=events!$X13))&gt;0,1,""),"")</f>
        <v/>
      </c>
      <c r="Z13" s="6">
        <f t="shared" si="34"/>
        <v>1</v>
      </c>
      <c r="AA13">
        <f t="shared" si="35"/>
        <v>1006</v>
      </c>
      <c r="AB13" t="str">
        <f t="shared" si="36"/>
        <v/>
      </c>
      <c r="AC13">
        <f t="shared" si="37"/>
        <v>1006</v>
      </c>
      <c r="BI13" s="40"/>
      <c r="BL13" s="40"/>
      <c r="BN13" s="19"/>
      <c r="BP13" s="17"/>
    </row>
    <row r="14" spans="1:72" x14ac:dyDescent="0.2">
      <c r="A14">
        <f t="shared" si="9"/>
        <v>1</v>
      </c>
      <c r="E14" s="4"/>
      <c r="F14" s="46" t="s">
        <v>1060</v>
      </c>
      <c r="G14" s="4"/>
      <c r="H14" s="48" t="s">
        <v>1045</v>
      </c>
      <c r="I14" s="26">
        <v>41</v>
      </c>
      <c r="J14" s="26" t="s">
        <v>736</v>
      </c>
      <c r="K14" t="s">
        <v>13</v>
      </c>
      <c r="L14" t="s">
        <v>586</v>
      </c>
      <c r="N14" t="s">
        <v>594</v>
      </c>
      <c r="O14" t="s">
        <v>904</v>
      </c>
      <c r="Q14" t="str">
        <f t="shared" si="33"/>
        <v>u</v>
      </c>
      <c r="S14">
        <f>IF(A14=1,MAX($S$2:$S13)+1,IF(OR($I14&lt;&gt;"",A14="x"),$S13,""))</f>
        <v>7</v>
      </c>
      <c r="T14" t="str">
        <f>IF(D14=1,MAX($T$2:$T13)+1,IF(S14=S13,$T13,IF(D14="x",T13,IF(D13="x","",""))))</f>
        <v/>
      </c>
      <c r="U14" t="str">
        <f>IF(B14=1,MAX($U$2:$U13)+1,IF(AND($T14&lt;&gt;"",$T14=$T13),$U13,IF(B14="x",U13,"")))</f>
        <v/>
      </c>
      <c r="V14" t="str">
        <f>IF(C14=1,MAX($V$2:$V13)+1,IF(AND($T14&lt;&gt;"",$T14=$T13),$U13,IF(C14="x",V13,"")))</f>
        <v/>
      </c>
      <c r="W14" t="str" cm="1">
        <f t="array" ref="W14">IFERROR(_xlfn._xlws.FILTER(game_rosters!AC:AC,(game_rosters!J:J=events!X14)*(K14&lt;&gt;"")),"")</f>
        <v>h</v>
      </c>
      <c r="X14" cm="1">
        <f t="array" ref="X14">IF($I14&lt;&gt;"",$I14,INDEX($I$1:$I14,ROW()-COUNTIFS($T$1:$T14,"="&amp;$T14,$S$1:$S14,"&lt;"&amp;$S14)))</f>
        <v>41</v>
      </c>
      <c r="Y14" t="str" cm="1">
        <f t="array" ref="Y14">IFERROR(IF(_xlfn._xlws.FILTER(game_rosters!$J:$J,(game_rosters!$G:$G=events!$AM14)*(game_rosters!$J:$J=events!$X14))&gt;0,1,""),"")</f>
        <v/>
      </c>
      <c r="Z14" s="6">
        <f t="shared" si="34"/>
        <v>1</v>
      </c>
      <c r="AA14">
        <f t="shared" si="35"/>
        <v>1007</v>
      </c>
      <c r="AB14" t="str">
        <f t="shared" si="36"/>
        <v/>
      </c>
      <c r="AC14">
        <f t="shared" si="37"/>
        <v>1007</v>
      </c>
      <c r="BI14" s="40"/>
      <c r="BL14" s="40"/>
      <c r="BN14" s="19"/>
      <c r="BP14" s="17"/>
    </row>
    <row r="15" spans="1:72" x14ac:dyDescent="0.2">
      <c r="A15">
        <f t="shared" si="9"/>
        <v>1</v>
      </c>
      <c r="D15" s="26">
        <v>1</v>
      </c>
      <c r="E15" s="4"/>
      <c r="F15" s="46"/>
      <c r="G15" s="4"/>
      <c r="H15" s="48"/>
      <c r="I15" s="26">
        <v>41</v>
      </c>
      <c r="J15" s="26" t="s">
        <v>736</v>
      </c>
      <c r="K15" t="s">
        <v>7</v>
      </c>
      <c r="L15" t="s">
        <v>182</v>
      </c>
      <c r="M15" t="s">
        <v>68</v>
      </c>
      <c r="N15" t="str">
        <f t="shared" si="32"/>
        <v>u</v>
      </c>
      <c r="O15" t="s">
        <v>767</v>
      </c>
      <c r="Q15" t="str">
        <f t="shared" si="33"/>
        <v>u</v>
      </c>
      <c r="S15">
        <f>IF(A15=1,MAX($S$2:$S14)+1,IF(OR($I15&lt;&gt;"",A15="x"),$S14,""))</f>
        <v>8</v>
      </c>
      <c r="T15">
        <f>IF(D15=1,MAX($T$2:$T14)+1,IF(S15=S14,$T14,IF(D15="x",T14,IF(D14="x","",""))))</f>
        <v>1</v>
      </c>
      <c r="U15" t="str">
        <f>IF(B15=1,MAX($U$2:$U14)+1,IF(AND($T15&lt;&gt;"",$T15=$T14),$U14,IF(B15="x",U14,"")))</f>
        <v/>
      </c>
      <c r="V15" t="str">
        <f>IF(C15=1,MAX($V$2:$V14)+1,IF(AND($T15&lt;&gt;"",$T15=$T14),$U14,IF(C15="x",V14,"")))</f>
        <v/>
      </c>
      <c r="W15" t="str" cm="1">
        <f t="array" ref="W15">IFERROR(_xlfn._xlws.FILTER(game_rosters!AC:AC,(game_rosters!J:J=events!X15)*(K15&lt;&gt;"")),"")</f>
        <v>h</v>
      </c>
      <c r="X15" cm="1">
        <f t="array" ref="X15">IF($I15&lt;&gt;"",$I15,INDEX($I$1:$I15,ROW()-COUNTIFS($T$1:$T15,"="&amp;$T15,$S$1:$S15,"&lt;"&amp;$S15)))</f>
        <v>41</v>
      </c>
      <c r="Y15" t="str" cm="1">
        <f t="array" ref="Y15">IFERROR(IF(_xlfn._xlws.FILTER(game_rosters!$J:$J,(game_rosters!$G:$G=events!$AM15)*(game_rosters!$J:$J=events!$X15))&gt;0,1,""),"")</f>
        <v/>
      </c>
      <c r="Z15" s="6">
        <f t="shared" si="34"/>
        <v>1</v>
      </c>
      <c r="AA15">
        <f t="shared" si="35"/>
        <v>1008</v>
      </c>
      <c r="AB15">
        <f t="shared" si="36"/>
        <v>9001</v>
      </c>
      <c r="AC15">
        <f t="shared" si="37"/>
        <v>9001</v>
      </c>
      <c r="BI15" s="40"/>
      <c r="BL15" s="40"/>
      <c r="BN15" s="19"/>
      <c r="BP15" s="17"/>
    </row>
    <row r="16" spans="1:72" x14ac:dyDescent="0.2">
      <c r="A16" t="str">
        <f t="shared" si="9"/>
        <v>x</v>
      </c>
      <c r="D16" s="26" t="s">
        <v>729</v>
      </c>
      <c r="E16" s="4"/>
      <c r="F16" s="46"/>
      <c r="G16" s="4"/>
      <c r="H16" s="48"/>
      <c r="I16" s="26">
        <v>16</v>
      </c>
      <c r="J16" s="26" t="str">
        <f t="shared" si="41"/>
        <v/>
      </c>
      <c r="N16" t="str">
        <f t="shared" si="32"/>
        <v/>
      </c>
      <c r="Q16" t="str">
        <f t="shared" ref="Q16:Q79" si="42">IF(O16="","",IF(AND(N16&lt;&gt;"",OR(O16&lt;&gt;"",P16&lt;&gt;"")),N16,IF(OR(ISNUMBER(SEARCH("attemp",O16)),ISNUMBER(SEARCH("beat",O16)),ISNUMBER(SEARCH("mis",O16)),ISNUMBER(SEARCH("fail",O16)),ISNUMBER(SEARCH("loss",O16)),ISNUMBER(SEARCH("lost",O16)),ISNUMBER(SEARCH("attemp",P16)),ISNUMBER(SEARCH("mis",P16)),ISNUMBER(SEARCH("fail",P16)),ISNUMBER(SEARCH("loss",P16)),ISNUMBER(SEARCH("beat",P16)),ISNUMBER(SEARCH("lost",P16))),"u","")))</f>
        <v/>
      </c>
      <c r="S16">
        <f>IF(A16=1,MAX($S$2:$S15)+1,IF(OR($I16&lt;&gt;"",A16="x"),$S15,""))</f>
        <v>8</v>
      </c>
      <c r="T16">
        <f>IF(D16=1,MAX($T$2:$T15)+1,IF(S16=S15,$T15,IF(D16="x",T15,IF(D15="x","",""))))</f>
        <v>1</v>
      </c>
      <c r="U16" t="str">
        <f>IF(B16=1,MAX($U$2:$U15)+1,IF(AND($T16&lt;&gt;"",$T16=$T15),$U15,IF(B16="x",U15,"")))</f>
        <v/>
      </c>
      <c r="V16" t="str">
        <f>IF(C16=1,MAX($V$2:$V15)+1,IF(AND($T16&lt;&gt;"",$T16=$T15),$U15,IF(C16="x",V15,"")))</f>
        <v/>
      </c>
      <c r="W16" t="str" cm="1">
        <f t="array" ref="W16">IFERROR(_xlfn._xlws.FILTER(game_rosters!AC:AC,(game_rosters!J:J=events!X16)*(K16&lt;&gt;"")),"")</f>
        <v/>
      </c>
      <c r="X16" cm="1">
        <f t="array" ref="X16">IF($I16&lt;&gt;"",$I16,INDEX($I$1:$I16,ROW()-COUNTIFS($T$1:$T16,"="&amp;$T16,$S$1:$S16,"&lt;"&amp;$S16)))</f>
        <v>16</v>
      </c>
      <c r="Z16" s="6">
        <f t="shared" si="34"/>
        <v>1</v>
      </c>
      <c r="AA16">
        <f t="shared" si="35"/>
        <v>1008</v>
      </c>
      <c r="AB16">
        <f t="shared" si="36"/>
        <v>9001</v>
      </c>
      <c r="AC16">
        <f t="shared" si="37"/>
        <v>9001</v>
      </c>
      <c r="BI16" s="40"/>
      <c r="BL16" s="40"/>
      <c r="BN16" s="19"/>
      <c r="BP16" s="17"/>
    </row>
    <row r="17" spans="1:68" x14ac:dyDescent="0.2">
      <c r="A17">
        <f t="shared" si="9"/>
        <v>1</v>
      </c>
      <c r="D17" s="26" t="s">
        <v>729</v>
      </c>
      <c r="E17" s="4"/>
      <c r="F17" s="46"/>
      <c r="G17" s="4"/>
      <c r="H17" s="48"/>
      <c r="J17" s="26" t="str">
        <f t="shared" si="41"/>
        <v>d</v>
      </c>
      <c r="K17" t="s">
        <v>238</v>
      </c>
      <c r="L17" t="s">
        <v>184</v>
      </c>
      <c r="M17" t="s">
        <v>376</v>
      </c>
      <c r="N17" t="str">
        <f t="shared" si="32"/>
        <v>u</v>
      </c>
      <c r="Q17" t="str">
        <f t="shared" si="42"/>
        <v/>
      </c>
      <c r="S17">
        <f>IF(A17=1,MAX($S$2:$S16)+1,IF(OR($I17&lt;&gt;"",A17="x"),$S16,""))</f>
        <v>9</v>
      </c>
      <c r="T17">
        <f>IF(D17=1,MAX($T$2:$T16)+1,IF(S17=S16,$T16,IF(D17="x",T16,IF(D16="x","",""))))</f>
        <v>1</v>
      </c>
      <c r="U17" t="str">
        <f>IF(B17=1,MAX($U$2:$U16)+1,IF(AND($T17&lt;&gt;"",$T17=$T16),$U16,IF(B17="x",U16,"")))</f>
        <v/>
      </c>
      <c r="W17" t="str" cm="1">
        <f t="array" ref="W17">IFERROR(_xlfn._xlws.FILTER(game_rosters!AC:AC,(game_rosters!J:J=events!X17)*(K17&lt;&gt;"")),"")</f>
        <v>h</v>
      </c>
      <c r="X17" cm="1">
        <f t="array" ref="X17">IF($I17&lt;&gt;"",$I17,INDEX($I$1:$I17,ROW()-COUNTIFS($T$1:$T17,"="&amp;$T17,$S$1:$S17,"&lt;"&amp;$S17)))</f>
        <v>41</v>
      </c>
      <c r="Z17" s="6">
        <f t="shared" si="34"/>
        <v>1</v>
      </c>
      <c r="AA17">
        <f t="shared" si="35"/>
        <v>1009</v>
      </c>
      <c r="AB17">
        <f t="shared" si="36"/>
        <v>9001</v>
      </c>
      <c r="AC17">
        <f t="shared" si="37"/>
        <v>9001</v>
      </c>
      <c r="BI17" s="40"/>
      <c r="BL17" s="40"/>
      <c r="BN17" s="19"/>
      <c r="BP17" s="17"/>
    </row>
    <row r="18" spans="1:68" x14ac:dyDescent="0.2">
      <c r="A18" t="str">
        <f t="shared" si="9"/>
        <v>x</v>
      </c>
      <c r="D18" s="26" t="s">
        <v>729</v>
      </c>
      <c r="E18" s="4"/>
      <c r="F18" s="46"/>
      <c r="G18" s="4"/>
      <c r="H18" s="48"/>
      <c r="J18" s="26" t="str">
        <f t="shared" si="41"/>
        <v/>
      </c>
      <c r="N18" t="str">
        <f t="shared" si="32"/>
        <v/>
      </c>
      <c r="Q18" t="str">
        <f t="shared" si="42"/>
        <v/>
      </c>
      <c r="S18">
        <f>IF(A18=1,MAX($S$2:$S17)+1,IF(OR($I18&lt;&gt;"",A18="x"),$S17,""))</f>
        <v>9</v>
      </c>
      <c r="T18">
        <f>IF(D18=1,MAX($T$2:$T17)+1,IF(S18=S17,$T17,IF(D18="x",T17,IF(D17="x","",""))))</f>
        <v>1</v>
      </c>
      <c r="U18" t="str">
        <f>IF(B18=1,MAX($U$2:$U17)+1,IF(AND($T18&lt;&gt;"",$T18=$T17),$U17,IF(B18="x",U17,"")))</f>
        <v/>
      </c>
      <c r="V18" t="str">
        <f>IF(C18=1,MAX($V$2:$V17)+1,IF(AND($T18&lt;&gt;"",$T18=$T17),$U17,IF(C18="x",V17,"")))</f>
        <v/>
      </c>
      <c r="W18" t="str" cm="1">
        <f t="array" ref="W18">IFERROR(_xlfn._xlws.FILTER(game_rosters!AC:AC,(game_rosters!J:J=events!X18)*(K18&lt;&gt;"")),"")</f>
        <v/>
      </c>
      <c r="X18" cm="1">
        <f t="array" ref="X18">IF($I18&lt;&gt;"",$I18,INDEX($I$1:$I18,ROW()-COUNTIFS($T$1:$T18,"="&amp;$T18,$S$1:$S18,"&lt;"&amp;$S18)))</f>
        <v>16</v>
      </c>
      <c r="Z18" s="6">
        <f t="shared" si="34"/>
        <v>1</v>
      </c>
      <c r="AA18">
        <f>S18+1000</f>
        <v>1009</v>
      </c>
      <c r="AB18">
        <f t="shared" si="36"/>
        <v>9001</v>
      </c>
      <c r="AC18">
        <f t="shared" si="37"/>
        <v>9001</v>
      </c>
      <c r="BI18" s="40"/>
      <c r="BL18" s="40"/>
      <c r="BN18" s="19"/>
      <c r="BP18" s="17"/>
    </row>
    <row r="19" spans="1:68" x14ac:dyDescent="0.2">
      <c r="A19">
        <f t="shared" si="9"/>
        <v>1</v>
      </c>
      <c r="D19" s="26" t="s">
        <v>729</v>
      </c>
      <c r="E19" s="4"/>
      <c r="F19" s="46"/>
      <c r="G19" s="4"/>
      <c r="H19" s="48"/>
      <c r="J19" s="26" t="s">
        <v>736</v>
      </c>
      <c r="K19" t="s">
        <v>9</v>
      </c>
      <c r="L19" t="s">
        <v>173</v>
      </c>
      <c r="M19" t="s">
        <v>74</v>
      </c>
      <c r="N19" t="str">
        <f t="shared" si="32"/>
        <v>u</v>
      </c>
      <c r="Q19" t="str">
        <f t="shared" si="42"/>
        <v/>
      </c>
      <c r="S19">
        <f>IF(A19=1,MAX($S$2:$S18)+1,IF(OR($I19&lt;&gt;"",A19="x"),$S18,""))</f>
        <v>10</v>
      </c>
      <c r="T19">
        <f>IF(D19=1,MAX($T$2:$T18)+1,IF(S19=S18,$T18,IF(D19="x",T18,IF(D18="x","",""))))</f>
        <v>1</v>
      </c>
      <c r="U19" t="str">
        <f>IF(B19=1,MAX($U$2:$U18)+1,IF(AND($T19&lt;&gt;"",$T19=$T18),$U18,IF(B19="x",U18,"")))</f>
        <v/>
      </c>
      <c r="V19" t="str">
        <f>IF(C19=1,MAX($V$2:$V18)+1,IF(AND($T19&lt;&gt;"",$T19=$T18),$U18,IF(C19="x",V18,"")))</f>
        <v/>
      </c>
      <c r="W19" t="str" cm="1">
        <f t="array" ref="W19">IFERROR(_xlfn._xlws.FILTER(game_rosters!AC:AC,(game_rosters!J:J=events!X19)*(K19&lt;&gt;"")),"")</f>
        <v>h</v>
      </c>
      <c r="X19" cm="1">
        <f t="array" ref="X19">IF($I19&lt;&gt;"",$I19,INDEX($I$1:$I19,ROW()-COUNTIFS($T$1:$T19,"="&amp;$T19,$S$1:$S19,"&lt;"&amp;$S19)))</f>
        <v>41</v>
      </c>
      <c r="Z19" s="6">
        <f t="shared" si="34"/>
        <v>1</v>
      </c>
      <c r="AA19">
        <f t="shared" si="35"/>
        <v>1010</v>
      </c>
      <c r="AB19">
        <f t="shared" si="36"/>
        <v>9001</v>
      </c>
      <c r="AC19">
        <f t="shared" si="37"/>
        <v>9001</v>
      </c>
      <c r="BI19" s="40"/>
      <c r="BL19" s="40"/>
      <c r="BN19" s="19"/>
      <c r="BP19" s="17"/>
    </row>
    <row r="20" spans="1:68" x14ac:dyDescent="0.2">
      <c r="A20" t="str">
        <f t="shared" si="9"/>
        <v>x</v>
      </c>
      <c r="D20" s="26" t="s">
        <v>729</v>
      </c>
      <c r="E20" s="4"/>
      <c r="F20" s="46"/>
      <c r="G20" s="4"/>
      <c r="H20" s="48"/>
      <c r="J20" s="26" t="str">
        <f t="shared" si="41"/>
        <v/>
      </c>
      <c r="N20" t="str">
        <f t="shared" si="32"/>
        <v/>
      </c>
      <c r="Q20" t="str">
        <f t="shared" si="42"/>
        <v/>
      </c>
      <c r="S20">
        <f>IF(A20=1,MAX($S$2:$S19)+1,IF(OR($I20&lt;&gt;"",A20="x"),$S19,""))</f>
        <v>10</v>
      </c>
      <c r="T20">
        <f>IF(D20=1,MAX($T$2:$T19)+1,IF(S20=S19,$T19,IF(D20="x",T19,IF(D19="x","",""))))</f>
        <v>1</v>
      </c>
      <c r="U20" t="str">
        <f>IF(B20=1,MAX($U$2:$U19)+1,IF(AND($T20&lt;&gt;"",$T20=$T19),$U19,IF(B20="x",U19,"")))</f>
        <v/>
      </c>
      <c r="V20" t="str">
        <f>IF(C20=1,MAX($V$2:$V19)+1,IF(AND($T20&lt;&gt;"",$T20=$T19),$U19,IF(C20="x",V19,"")))</f>
        <v/>
      </c>
      <c r="W20" t="str" cm="1">
        <f t="array" ref="W20">IFERROR(_xlfn._xlws.FILTER(game_rosters!AC:AC,(game_rosters!J:J=events!X20)*(K20&lt;&gt;"")),"")</f>
        <v/>
      </c>
      <c r="X20" cm="1">
        <f t="array" ref="X20">IF($I20&lt;&gt;"",$I20,INDEX($I$1:$I20,ROW()-COUNTIFS($T$1:$T20,"="&amp;$T20,$S$1:$S20,"&lt;"&amp;$S20)))</f>
        <v>16</v>
      </c>
      <c r="Z20" s="6">
        <f t="shared" si="34"/>
        <v>1</v>
      </c>
      <c r="AA20">
        <f t="shared" si="35"/>
        <v>1010</v>
      </c>
      <c r="AB20">
        <f t="shared" si="36"/>
        <v>9001</v>
      </c>
      <c r="AC20">
        <f t="shared" si="37"/>
        <v>9001</v>
      </c>
      <c r="BI20" s="40"/>
      <c r="BL20" s="40"/>
      <c r="BN20" s="19"/>
      <c r="BP20" s="17"/>
    </row>
    <row r="21" spans="1:68" x14ac:dyDescent="0.2">
      <c r="A21">
        <f t="shared" si="9"/>
        <v>1</v>
      </c>
      <c r="D21" s="26" t="s">
        <v>729</v>
      </c>
      <c r="E21" s="4"/>
      <c r="F21" s="46"/>
      <c r="G21" s="4"/>
      <c r="H21" s="48"/>
      <c r="J21" s="26" t="str">
        <f t="shared" si="41"/>
        <v>o</v>
      </c>
      <c r="K21" t="s">
        <v>238</v>
      </c>
      <c r="L21" t="s">
        <v>174</v>
      </c>
      <c r="M21" t="s">
        <v>390</v>
      </c>
      <c r="N21" t="str">
        <f t="shared" ref="N21:N84" si="43">IF(K21="","",IF(K21="Goal","s",IF(AND(K21="Zone_Entry_Exit",OR(ISNUMBER(SEARCH("fail",L21)),ISNUMBER(SEARCH("FromExitClear",M21)),ISNUMBER(SEARCH("miss",M21)))),"u",IF(AND(K21="Zone_Entry_Exit",OR(NOT(ISNUMBER(SEARCH("fail",L21))),NOT(ISNUMBER(SEARCH("FromExitClear",M21))),NOT(ISNUMBER(SEARCH("miss",M21))))),"s",IF(AND(OR(K21="Shot",K21="Pass"),OR(ISNUMBER(SEARCH("complete",L21)),ISNUMBER(SEARCH("goal",L21)),ISNUMBER(SEARCH("OnNet",L21)))),"s",IF(L21="Turnover_Giveaway","u",IF(AND(OR(K21="Shot",K21="Pass"),OR(ISNUMBER(SEARCH("fail",L21)),NOT(ISNUMBER(SEARCH("complete",L21))),NOT(ISNUMBER(SEARCH("OnNet",L21))))),"u","")))))))</f>
        <v>u</v>
      </c>
      <c r="Q21" t="str">
        <f t="shared" si="42"/>
        <v/>
      </c>
      <c r="S21">
        <f>IF(A21=1,MAX($S$2:$S20)+1,IF(OR($I21&lt;&gt;"",A21="x"),$S20,""))</f>
        <v>11</v>
      </c>
      <c r="T21">
        <f>IF(D21=1,MAX($T$2:$T20)+1,IF(S21=S20,$T20,IF(D21="x",T20,IF(D20="x","",""))))</f>
        <v>1</v>
      </c>
      <c r="U21" t="str">
        <f>IF(B21=1,MAX($U$2:$U20)+1,IF(AND($T21&lt;&gt;"",$T21=$T20),$U20,IF(B21="x",U20,"")))</f>
        <v/>
      </c>
      <c r="V21" t="str">
        <f>IF(C21=1,MAX($V$2:$V20)+1,IF(AND($T21&lt;&gt;"",$T21=$T20),$U20,IF(C21="x",V20,"")))</f>
        <v/>
      </c>
      <c r="W21" t="str" cm="1">
        <f t="array" ref="W21">IFERROR(_xlfn._xlws.FILTER(game_rosters!AC:AC,(game_rosters!J:J=events!X21)*(K21&lt;&gt;"")),"")</f>
        <v>h</v>
      </c>
      <c r="X21" cm="1">
        <f t="array" ref="X21">IF($I21&lt;&gt;"",$I21,INDEX($I$1:$I21,ROW()-COUNTIFS($T$1:$T21,"="&amp;$T21,$S$1:$S21,"&lt;"&amp;$S21)))</f>
        <v>41</v>
      </c>
      <c r="Z21" s="6">
        <f t="shared" si="34"/>
        <v>1</v>
      </c>
      <c r="AA21">
        <f t="shared" si="35"/>
        <v>1011</v>
      </c>
      <c r="AB21">
        <f t="shared" si="36"/>
        <v>9001</v>
      </c>
      <c r="AC21">
        <f t="shared" si="37"/>
        <v>9001</v>
      </c>
      <c r="BI21" s="40"/>
      <c r="BL21" s="40"/>
      <c r="BN21" s="19"/>
      <c r="BP21" s="17"/>
    </row>
    <row r="22" spans="1:68" x14ac:dyDescent="0.2">
      <c r="A22" t="str">
        <f t="shared" si="9"/>
        <v>x</v>
      </c>
      <c r="D22" s="26" t="s">
        <v>729</v>
      </c>
      <c r="E22" s="4"/>
      <c r="F22" s="46"/>
      <c r="G22" s="4"/>
      <c r="H22" s="48"/>
      <c r="J22" s="26" t="str">
        <f t="shared" si="41"/>
        <v/>
      </c>
      <c r="N22" t="str">
        <f t="shared" si="43"/>
        <v/>
      </c>
      <c r="Q22" t="str">
        <f t="shared" si="42"/>
        <v/>
      </c>
      <c r="S22">
        <f>IF(A22=1,MAX($S$2:$S21)+1,IF(OR($I22&lt;&gt;"",A22="x"),$S21,""))</f>
        <v>11</v>
      </c>
      <c r="T22">
        <f>IF(D22=1,MAX($T$2:$T21)+1,IF(S22=S21,$T21,IF(D22="x",T21,IF(D21="x","",""))))</f>
        <v>1</v>
      </c>
      <c r="U22" t="str">
        <f>IF(B22=1,MAX($U$2:$U21)+1,IF(AND($T22&lt;&gt;"",$T22=$T21),$U21,IF(B22="x",U21,"")))</f>
        <v/>
      </c>
      <c r="V22" t="str">
        <f>IF(C22=1,MAX($V$2:$V21)+1,IF(AND($T22&lt;&gt;"",$T22=$T21),$U21,IF(C22="x",V21,"")))</f>
        <v/>
      </c>
      <c r="W22" t="str" cm="1">
        <f t="array" ref="W22">IFERROR(_xlfn._xlws.FILTER(game_rosters!AC:AC,(game_rosters!J:J=events!X22)*(K22&lt;&gt;"")),"")</f>
        <v/>
      </c>
      <c r="X22" cm="1">
        <f t="array" ref="X22">IF($I22&lt;&gt;"",$I22,INDEX($I$1:$I22,ROW()-COUNTIFS($T$1:$T22,"="&amp;$T22,$S$1:$S22,"&lt;"&amp;$S22)))</f>
        <v>16</v>
      </c>
      <c r="Z22" s="6">
        <f t="shared" si="34"/>
        <v>1</v>
      </c>
      <c r="AA22">
        <f t="shared" si="35"/>
        <v>1011</v>
      </c>
      <c r="AB22">
        <f t="shared" si="36"/>
        <v>9001</v>
      </c>
      <c r="AC22">
        <f t="shared" si="37"/>
        <v>9001</v>
      </c>
      <c r="BI22" s="40"/>
      <c r="BL22" s="40"/>
      <c r="BN22" s="19"/>
      <c r="BP22" s="17"/>
    </row>
    <row r="23" spans="1:68" x14ac:dyDescent="0.2">
      <c r="A23">
        <f t="shared" si="9"/>
        <v>1</v>
      </c>
      <c r="E23" s="4"/>
      <c r="F23" s="46" t="s">
        <v>737</v>
      </c>
      <c r="G23" s="4"/>
      <c r="H23" s="48"/>
      <c r="I23" s="26">
        <v>84</v>
      </c>
      <c r="J23" s="26" t="s">
        <v>736</v>
      </c>
      <c r="K23" t="s">
        <v>13</v>
      </c>
      <c r="L23" t="s">
        <v>586</v>
      </c>
      <c r="N23" t="s">
        <v>594</v>
      </c>
      <c r="O23" t="s">
        <v>910</v>
      </c>
      <c r="Q23" t="str">
        <f t="shared" si="42"/>
        <v>u</v>
      </c>
      <c r="S23">
        <f>IF(A23=1,MAX($S$2:$S22)+1,IF(OR($I23&lt;&gt;"",A23="x"),$S22,""))</f>
        <v>12</v>
      </c>
      <c r="T23" t="str">
        <f>IF(D23=1,MAX($T$2:$T22)+1,IF(S23=S22,$T22,IF(D23="x",T22,IF(D22="x","",""))))</f>
        <v/>
      </c>
      <c r="U23" t="str">
        <f>IF(B23=1,MAX($U$2:$U22)+1,IF(AND($T23&lt;&gt;"",$T23=$T22),$U22,IF(B23="x",U22,"")))</f>
        <v/>
      </c>
      <c r="V23" t="str">
        <f>IF(C23=1,MAX($V$2:$V22)+1,IF(AND($T23&lt;&gt;"",$T23=$T22),$U22,IF(C23="x",V22,"")))</f>
        <v/>
      </c>
      <c r="W23" t="str" cm="1">
        <f t="array" ref="W23">IFERROR(_xlfn._xlws.FILTER(game_rosters!AC:AC,(game_rosters!J:J=events!X23)*(K23&lt;&gt;"")),"")</f>
        <v>a</v>
      </c>
      <c r="X23" cm="1">
        <f t="array" ref="X23">IF($I23&lt;&gt;"",$I23,INDEX($I$1:$I23,ROW()-COUNTIFS($T$1:$T23,"="&amp;$T23,$S$1:$S23,"&lt;"&amp;$S23)))</f>
        <v>84</v>
      </c>
      <c r="Z23" s="6">
        <f t="shared" si="34"/>
        <v>1</v>
      </c>
      <c r="AA23">
        <f t="shared" si="35"/>
        <v>1012</v>
      </c>
      <c r="AB23" t="str">
        <f t="shared" si="36"/>
        <v/>
      </c>
      <c r="AC23">
        <f t="shared" si="37"/>
        <v>1012</v>
      </c>
      <c r="BI23" s="40"/>
      <c r="BL23" s="40"/>
      <c r="BN23" s="19"/>
      <c r="BP23" s="17"/>
    </row>
    <row r="24" spans="1:68" x14ac:dyDescent="0.2">
      <c r="A24">
        <f t="shared" si="9"/>
        <v>1</v>
      </c>
      <c r="D24" s="26">
        <v>1</v>
      </c>
      <c r="E24" s="4"/>
      <c r="F24" s="46"/>
      <c r="G24" s="4"/>
      <c r="H24" s="48"/>
      <c r="I24" s="26">
        <v>84</v>
      </c>
      <c r="J24" s="26" t="s">
        <v>736</v>
      </c>
      <c r="K24" t="s">
        <v>9</v>
      </c>
      <c r="L24" t="s">
        <v>173</v>
      </c>
      <c r="M24" t="s">
        <v>365</v>
      </c>
      <c r="N24" t="str">
        <f t="shared" si="43"/>
        <v>u</v>
      </c>
      <c r="O24" t="s">
        <v>769</v>
      </c>
      <c r="P24" t="s">
        <v>576</v>
      </c>
      <c r="Q24" t="str">
        <f t="shared" si="42"/>
        <v>u</v>
      </c>
      <c r="R24" s="26">
        <v>1</v>
      </c>
      <c r="S24">
        <f>IF(A24=1,MAX($S$2:$S23)+1,IF(OR($I24&lt;&gt;"",A24="x"),$S23,""))</f>
        <v>13</v>
      </c>
      <c r="T24">
        <f>IF(D24=1,MAX($T$2:$T23)+1,IF(S24=S23,$T23,IF(D24="x",T23,IF(D23="x","",""))))</f>
        <v>2</v>
      </c>
      <c r="U24" t="str">
        <f>IF(B24=1,MAX($U$2:$U23)+1,IF(AND($T24&lt;&gt;"",$T24=$T23),$U23,IF(B24="x",U23,"")))</f>
        <v/>
      </c>
      <c r="V24" t="str">
        <f>IF(C24=1,MAX($V$2:$V23)+1,IF(AND($T24&lt;&gt;"",$T24=$T23),$U23,IF(C24="x",V23,"")))</f>
        <v/>
      </c>
      <c r="W24" t="str" cm="1">
        <f t="array" ref="W24">IFERROR(_xlfn._xlws.FILTER(game_rosters!AC:AC,(game_rosters!J:J=events!X24)*(K24&lt;&gt;"")),"")</f>
        <v>a</v>
      </c>
      <c r="X24" cm="1">
        <f t="array" ref="X24">IF($I24&lt;&gt;"",$I24,INDEX($I$1:$I24,ROW()-COUNTIFS($T$1:$T24,"="&amp;$T24,$S$1:$S24,"&lt;"&amp;$S24)))</f>
        <v>84</v>
      </c>
      <c r="Z24" s="6">
        <f t="shared" si="34"/>
        <v>1</v>
      </c>
      <c r="AA24">
        <f t="shared" si="35"/>
        <v>1013</v>
      </c>
      <c r="AB24">
        <f t="shared" si="36"/>
        <v>9002</v>
      </c>
      <c r="AC24">
        <f t="shared" si="37"/>
        <v>9002</v>
      </c>
      <c r="BI24" s="40"/>
      <c r="BL24" s="40"/>
      <c r="BN24" s="19"/>
      <c r="BP24" s="17"/>
    </row>
    <row r="25" spans="1:68" x14ac:dyDescent="0.2">
      <c r="A25" t="str">
        <f t="shared" si="9"/>
        <v>x</v>
      </c>
      <c r="D25" s="26" t="s">
        <v>729</v>
      </c>
      <c r="E25" s="4"/>
      <c r="F25" s="46"/>
      <c r="G25" s="4"/>
      <c r="H25" s="48"/>
      <c r="I25" s="26">
        <v>16</v>
      </c>
      <c r="J25" s="26" t="str">
        <f t="shared" si="41"/>
        <v/>
      </c>
      <c r="N25" t="str">
        <f t="shared" si="43"/>
        <v/>
      </c>
      <c r="O25" t="s">
        <v>781</v>
      </c>
      <c r="Q25" t="str">
        <f t="shared" si="42"/>
        <v/>
      </c>
      <c r="R25" s="26">
        <v>1</v>
      </c>
      <c r="S25">
        <f>IF(A25=1,MAX($S$2:$S24)+1,IF(OR($I25&lt;&gt;"",A25="x"),$S24,""))</f>
        <v>13</v>
      </c>
      <c r="T25">
        <f>IF(D25=1,MAX($T$2:$T24)+1,IF(S25=S24,$T24,IF(D25="x",T24,IF(D24="x","",""))))</f>
        <v>2</v>
      </c>
      <c r="U25" t="str">
        <f>IF(B25=1,MAX($U$2:$U24)+1,IF(AND($T25&lt;&gt;"",$T25=$T24),$U24,IF(B25="x",U24,"")))</f>
        <v/>
      </c>
      <c r="V25" t="str">
        <f>IF(C25=1,MAX($V$2:$V24)+1,IF(AND($T25&lt;&gt;"",$T25=$T24),$U24,IF(C25="x",V24,"")))</f>
        <v/>
      </c>
      <c r="W25" t="str" cm="1">
        <f t="array" ref="W25">IFERROR(_xlfn._xlws.FILTER(game_rosters!AC:AC,(game_rosters!J:J=events!X25)*(K25&lt;&gt;"")),"")</f>
        <v/>
      </c>
      <c r="X25" cm="1">
        <f t="array" ref="X25">IF($I25&lt;&gt;"",$I25,INDEX($I$1:$I25,ROW()-COUNTIFS($T$1:$T25,"="&amp;$T25,$S$1:$S25,"&lt;"&amp;$S25)))</f>
        <v>16</v>
      </c>
      <c r="Z25" s="6">
        <f t="shared" si="34"/>
        <v>1</v>
      </c>
      <c r="AA25">
        <f t="shared" si="35"/>
        <v>1013</v>
      </c>
      <c r="AB25">
        <f t="shared" si="36"/>
        <v>9002</v>
      </c>
      <c r="AC25">
        <f t="shared" si="37"/>
        <v>9002</v>
      </c>
      <c r="BI25" s="40"/>
      <c r="BL25" s="40"/>
      <c r="BN25" s="19"/>
      <c r="BP25" s="17"/>
    </row>
    <row r="26" spans="1:68" x14ac:dyDescent="0.2">
      <c r="A26">
        <f t="shared" si="9"/>
        <v>1</v>
      </c>
      <c r="D26" s="26" t="s">
        <v>729</v>
      </c>
      <c r="E26" s="4"/>
      <c r="F26" s="46"/>
      <c r="G26" s="4"/>
      <c r="H26" s="48"/>
      <c r="I26" s="26">
        <v>16</v>
      </c>
      <c r="J26" s="26" t="s">
        <v>368</v>
      </c>
      <c r="K26" t="s">
        <v>238</v>
      </c>
      <c r="L26" t="s">
        <v>193</v>
      </c>
      <c r="M26" t="s">
        <v>91</v>
      </c>
      <c r="N26" t="str">
        <f t="shared" si="43"/>
        <v>s</v>
      </c>
      <c r="Q26" t="str">
        <f t="shared" si="42"/>
        <v/>
      </c>
      <c r="R26" s="26">
        <v>1</v>
      </c>
      <c r="S26">
        <f>IF(A26=1,MAX($S$2:$S25)+1,IF(OR($I26&lt;&gt;"",A26="x"),$S25,""))</f>
        <v>14</v>
      </c>
      <c r="T26">
        <f>IF(D26=1,MAX($T$2:$T25)+1,IF(S26=S25,$T25,IF(D26="x",T25,IF(D25="x","",""))))</f>
        <v>2</v>
      </c>
      <c r="U26" t="str">
        <f>IF(B26=1,MAX($U$2:$U25)+1,IF(AND($T26&lt;&gt;"",$T26=$T25),$U25,IF(B26="x",U25,"")))</f>
        <v/>
      </c>
      <c r="V26" t="str">
        <f>IF(C26=1,MAX($V$2:$V25)+1,IF(AND($T26&lt;&gt;"",$T26=$T25),$U25,IF(C26="x",V25,"")))</f>
        <v/>
      </c>
      <c r="W26" t="str" cm="1">
        <f t="array" ref="W26">IFERROR(_xlfn._xlws.FILTER(game_rosters!AC:AC,(game_rosters!J:J=events!X26)*(K26&lt;&gt;"")),"")</f>
        <v>h</v>
      </c>
      <c r="X26" cm="1">
        <f t="array" ref="X26">IF($I26&lt;&gt;"",$I26,INDEX($I$1:$I26,ROW()-COUNTIFS($T$1:$T26,"="&amp;$T26,$S$1:$S26,"&lt;"&amp;$S26)))</f>
        <v>16</v>
      </c>
      <c r="Z26" s="6">
        <f t="shared" si="34"/>
        <v>1</v>
      </c>
      <c r="AA26">
        <f t="shared" si="35"/>
        <v>1014</v>
      </c>
      <c r="AB26">
        <f t="shared" si="36"/>
        <v>9002</v>
      </c>
      <c r="AC26">
        <f t="shared" si="37"/>
        <v>9002</v>
      </c>
      <c r="BI26" s="40"/>
      <c r="BL26" s="40"/>
      <c r="BN26" s="19"/>
      <c r="BP26" s="17"/>
    </row>
    <row r="27" spans="1:68" x14ac:dyDescent="0.2">
      <c r="A27" t="str">
        <f t="shared" si="9"/>
        <v>x</v>
      </c>
      <c r="D27" s="26" t="s">
        <v>729</v>
      </c>
      <c r="E27" s="4"/>
      <c r="F27" s="46"/>
      <c r="G27" s="4"/>
      <c r="H27" s="48"/>
      <c r="I27" s="26">
        <v>84</v>
      </c>
      <c r="J27" s="26" t="str">
        <f t="shared" si="41"/>
        <v/>
      </c>
      <c r="N27" t="str">
        <f t="shared" si="43"/>
        <v/>
      </c>
      <c r="Q27" t="str">
        <f t="shared" si="42"/>
        <v/>
      </c>
      <c r="R27" s="26">
        <v>1</v>
      </c>
      <c r="S27">
        <f>IF(A27=1,MAX($S$2:$S26)+1,IF(OR($I27&lt;&gt;"",A27="x"),$S26,""))</f>
        <v>14</v>
      </c>
      <c r="T27">
        <f>IF(D27=1,MAX($T$2:$T26)+1,IF(S27=S26,$T26,IF(D27="x",T26,IF(D26="x","",""))))</f>
        <v>2</v>
      </c>
      <c r="U27" t="str">
        <f>IF(B27=1,MAX($U$2:$U26)+1,IF(AND($T27&lt;&gt;"",$T27=$T26),$U26,IF(B27="x",U26,"")))</f>
        <v/>
      </c>
      <c r="V27" t="str">
        <f>IF(C27=1,MAX($V$2:$V26)+1,IF(AND($T27&lt;&gt;"",$T27=$T26),$U26,IF(C27="x",V26,"")))</f>
        <v/>
      </c>
      <c r="W27" t="str" cm="1">
        <f t="array" ref="W27">IFERROR(_xlfn._xlws.FILTER(game_rosters!AC:AC,(game_rosters!J:J=events!X27)*(K27&lt;&gt;"")),"")</f>
        <v/>
      </c>
      <c r="X27" cm="1">
        <f t="array" ref="X27">IF($I27&lt;&gt;"",$I27,INDEX($I$1:$I27,ROW()-COUNTIFS($T$1:$T27,"="&amp;$T27,$S$1:$S27,"&lt;"&amp;$S27)))</f>
        <v>84</v>
      </c>
      <c r="Z27" s="6">
        <f t="shared" si="34"/>
        <v>1</v>
      </c>
      <c r="AA27">
        <f t="shared" si="35"/>
        <v>1014</v>
      </c>
      <c r="AB27">
        <f t="shared" si="36"/>
        <v>9002</v>
      </c>
      <c r="AC27">
        <f t="shared" si="37"/>
        <v>9002</v>
      </c>
      <c r="BI27" s="40"/>
      <c r="BL27" s="40"/>
      <c r="BN27" s="19"/>
      <c r="BP27" s="17"/>
    </row>
    <row r="28" spans="1:68" x14ac:dyDescent="0.2">
      <c r="A28">
        <f t="shared" si="9"/>
        <v>1</v>
      </c>
      <c r="E28" s="4"/>
      <c r="F28" s="46" t="s">
        <v>1049</v>
      </c>
      <c r="G28" s="4"/>
      <c r="H28" s="48" t="s">
        <v>1041</v>
      </c>
      <c r="I28" s="26">
        <v>73</v>
      </c>
      <c r="J28" s="26" t="s">
        <v>368</v>
      </c>
      <c r="K28" t="s">
        <v>13</v>
      </c>
      <c r="L28" t="s">
        <v>586</v>
      </c>
      <c r="N28" t="s">
        <v>594</v>
      </c>
      <c r="O28" t="s">
        <v>910</v>
      </c>
      <c r="Q28" t="str">
        <f t="shared" si="42"/>
        <v>u</v>
      </c>
      <c r="R28" s="26">
        <v>1</v>
      </c>
      <c r="S28">
        <f>IF(A28=1,MAX($S$2:$S27)+1,IF(OR($I28&lt;&gt;"",A28="x"),$S27,""))</f>
        <v>15</v>
      </c>
      <c r="T28" t="str">
        <f>IF(D28=1,MAX($T$2:$T27)+1,IF(S28=S27,$T27,IF(D28="x",T27,IF(D27="x","",""))))</f>
        <v/>
      </c>
      <c r="U28" t="str">
        <f>IF(B28=1,MAX($U$2:$U27)+1,IF(AND($T28&lt;&gt;"",$T28=$T27),$U27,IF(B28="x",U27,"")))</f>
        <v/>
      </c>
      <c r="V28" t="str">
        <f>IF(C28=1,MAX($V$2:$V27)+1,IF(AND($T28&lt;&gt;"",$T28=$T27),$U27,IF(C28="x",V27,"")))</f>
        <v/>
      </c>
      <c r="X28" cm="1">
        <f t="array" ref="X28">IF($I28&lt;&gt;"",$I28,INDEX($I$1:$I28,ROW()-COUNTIFS($T$1:$T28,"="&amp;$T28,$S$1:$S28,"&lt;"&amp;$S28)))</f>
        <v>73</v>
      </c>
      <c r="Z28" s="6">
        <f t="shared" si="34"/>
        <v>1</v>
      </c>
      <c r="AA28">
        <f t="shared" si="35"/>
        <v>1015</v>
      </c>
      <c r="AB28" t="str">
        <f t="shared" si="36"/>
        <v/>
      </c>
      <c r="AC28">
        <f t="shared" si="37"/>
        <v>1015</v>
      </c>
      <c r="BI28" s="40"/>
      <c r="BL28" s="40"/>
      <c r="BN28" s="19"/>
      <c r="BP28" s="17"/>
    </row>
    <row r="29" spans="1:68" x14ac:dyDescent="0.2">
      <c r="A29" t="str">
        <f t="shared" si="9"/>
        <v/>
      </c>
      <c r="E29" s="4"/>
      <c r="F29" s="46"/>
      <c r="G29" s="4"/>
      <c r="H29" s="48"/>
      <c r="I29" s="26">
        <v>70</v>
      </c>
      <c r="J29" s="26" t="str">
        <f t="shared" si="41"/>
        <v/>
      </c>
      <c r="N29" t="str">
        <f t="shared" si="43"/>
        <v/>
      </c>
      <c r="O29" t="s">
        <v>567</v>
      </c>
      <c r="Q29" t="str">
        <f t="shared" si="42"/>
        <v/>
      </c>
      <c r="R29" s="26">
        <v>1</v>
      </c>
      <c r="S29">
        <f>IF(A29=1,MAX($S$2:$S28)+1,IF(OR($I29&lt;&gt;"",A29="x"),$S28,""))</f>
        <v>15</v>
      </c>
      <c r="T29" t="str">
        <f>IF(D29=1,MAX($T$2:$T28)+1,IF(S29=S28,$T28,IF(D29="x",T28,IF(D28="x","",""))))</f>
        <v/>
      </c>
      <c r="U29" t="str">
        <f>IF(B29=1,MAX($U$2:$U28)+1,IF(AND($T29&lt;&gt;"",$T29=$T28),$U28,IF(B29="x",U28,"")))</f>
        <v/>
      </c>
      <c r="V29" t="str">
        <f>IF(C29=1,MAX($V$2:$V28)+1,IF(AND($T29&lt;&gt;"",$T29=$T28),$U28,IF(C29="x",V28,"")))</f>
        <v/>
      </c>
      <c r="X29" cm="1">
        <f t="array" ref="X29">IF($I29&lt;&gt;"",$I29,INDEX($I$1:$I29,ROW()-COUNTIFS($T$1:$T29,"="&amp;$T29,$S$1:$S29,"&lt;"&amp;$S29)))</f>
        <v>70</v>
      </c>
      <c r="Z29" s="6">
        <f t="shared" si="34"/>
        <v>1</v>
      </c>
      <c r="AA29">
        <f t="shared" si="35"/>
        <v>1015</v>
      </c>
      <c r="AB29" t="str">
        <f t="shared" si="36"/>
        <v/>
      </c>
      <c r="AC29">
        <f t="shared" si="37"/>
        <v>1015</v>
      </c>
      <c r="BI29" s="40"/>
      <c r="BL29" s="40"/>
      <c r="BN29" s="19"/>
      <c r="BP29" s="17"/>
    </row>
    <row r="30" spans="1:68" x14ac:dyDescent="0.2">
      <c r="A30" t="str">
        <f t="shared" si="9"/>
        <v/>
      </c>
      <c r="E30" s="4"/>
      <c r="F30" s="46"/>
      <c r="G30" s="4"/>
      <c r="H30" s="48"/>
      <c r="I30" s="26">
        <v>84</v>
      </c>
      <c r="J30" s="26" t="str">
        <f t="shared" si="41"/>
        <v/>
      </c>
      <c r="N30" t="str">
        <f t="shared" si="43"/>
        <v/>
      </c>
      <c r="Q30" t="str">
        <f t="shared" si="42"/>
        <v/>
      </c>
      <c r="R30" s="26">
        <v>1</v>
      </c>
      <c r="S30">
        <f>IF(A30=1,MAX($S$2:$S29)+1,IF(OR($I30&lt;&gt;"",A30="x"),$S29,""))</f>
        <v>15</v>
      </c>
      <c r="T30" t="str">
        <f>IF(D30=1,MAX($T$2:$T29)+1,IF(S30=S29,$T29,IF(D30="x",T29,IF(D29="x","",""))))</f>
        <v/>
      </c>
      <c r="U30" t="str">
        <f>IF(B30=1,MAX($U$2:$U29)+1,IF(AND($T30&lt;&gt;"",$T30=$T29),$U29,IF(B30="x",U29,"")))</f>
        <v/>
      </c>
      <c r="V30" t="str">
        <f>IF(C30=1,MAX($V$2:$V29)+1,IF(AND($T30&lt;&gt;"",$T30=$T29),$U29,IF(C30="x",V29,"")))</f>
        <v/>
      </c>
      <c r="X30" cm="1">
        <f t="array" ref="X30">IF($I30&lt;&gt;"",$I30,INDEX($I$1:$I30,ROW()-COUNTIFS($T$1:$T30,"="&amp;$T30,$S$1:$S30,"&lt;"&amp;$S30)))</f>
        <v>84</v>
      </c>
      <c r="Z30" s="6">
        <f t="shared" si="34"/>
        <v>1</v>
      </c>
      <c r="AA30">
        <f t="shared" si="35"/>
        <v>1015</v>
      </c>
      <c r="AB30" t="str">
        <f t="shared" si="36"/>
        <v/>
      </c>
      <c r="AC30">
        <f t="shared" si="37"/>
        <v>1015</v>
      </c>
      <c r="BI30" s="40"/>
      <c r="BL30" s="40"/>
      <c r="BN30" s="19"/>
      <c r="BP30" s="17"/>
    </row>
    <row r="31" spans="1:68" x14ac:dyDescent="0.2">
      <c r="A31">
        <f t="shared" si="9"/>
        <v>1</v>
      </c>
      <c r="E31" s="4"/>
      <c r="F31" s="46"/>
      <c r="G31" s="4"/>
      <c r="H31" s="48"/>
      <c r="I31" s="26">
        <v>70</v>
      </c>
      <c r="J31" s="26" t="s">
        <v>736</v>
      </c>
      <c r="K31" t="s">
        <v>9</v>
      </c>
      <c r="L31" t="s">
        <v>183</v>
      </c>
      <c r="M31" t="s">
        <v>80</v>
      </c>
      <c r="N31" t="s">
        <v>595</v>
      </c>
      <c r="O31" t="s">
        <v>156</v>
      </c>
      <c r="Q31" t="str">
        <f t="shared" si="42"/>
        <v>s</v>
      </c>
      <c r="R31" s="26">
        <v>1</v>
      </c>
      <c r="S31">
        <f>IF(A31=1,MAX($S$2:$S30)+1,IF(OR($I31&lt;&gt;"",A31="x"),$S30,""))</f>
        <v>16</v>
      </c>
      <c r="T31" t="str">
        <f>IF(D31=1,MAX($T$2:$T30)+1,IF(S31=S30,$T30,IF(D31="x",T30,IF(D30="x","",""))))</f>
        <v/>
      </c>
      <c r="U31" t="str">
        <f>IF(B31=1,MAX($U$2:$U30)+1,IF(AND($T31&lt;&gt;"",$T31=$T30),$U30,IF(B31="x",U30,"")))</f>
        <v/>
      </c>
      <c r="V31" t="str">
        <f>IF(C31=1,MAX($V$2:$V30)+1,IF(AND($T31&lt;&gt;"",$T31=$T30),$U30,IF(C31="x",V30,"")))</f>
        <v/>
      </c>
      <c r="X31" cm="1">
        <f t="array" ref="X31">IF($I31&lt;&gt;"",$I31,INDEX($I$1:$I31,ROW()-COUNTIFS($T$1:$T31,"="&amp;$T31,$S$1:$S31,"&lt;"&amp;$S31)))</f>
        <v>70</v>
      </c>
      <c r="Z31" s="6">
        <f t="shared" si="34"/>
        <v>1</v>
      </c>
      <c r="AA31">
        <f t="shared" si="35"/>
        <v>1016</v>
      </c>
      <c r="AB31" t="str">
        <f t="shared" si="36"/>
        <v/>
      </c>
      <c r="AC31">
        <f t="shared" si="37"/>
        <v>1016</v>
      </c>
      <c r="BI31" s="40"/>
      <c r="BL31" s="40"/>
      <c r="BN31" s="19"/>
      <c r="BP31" s="17"/>
    </row>
    <row r="32" spans="1:68" x14ac:dyDescent="0.2">
      <c r="A32" t="str">
        <f t="shared" si="9"/>
        <v/>
      </c>
      <c r="E32" s="4"/>
      <c r="F32" s="46"/>
      <c r="G32" s="4"/>
      <c r="H32" s="48"/>
      <c r="I32" s="26">
        <v>84</v>
      </c>
      <c r="J32" s="26" t="str">
        <f t="shared" si="41"/>
        <v/>
      </c>
      <c r="N32" t="str">
        <f t="shared" si="43"/>
        <v/>
      </c>
      <c r="Q32" t="str">
        <f t="shared" si="42"/>
        <v/>
      </c>
      <c r="R32" s="26">
        <v>1</v>
      </c>
      <c r="S32">
        <f>IF(A32=1,MAX($S$2:$S31)+1,IF(OR($I32&lt;&gt;"",A32="x"),$S31,""))</f>
        <v>16</v>
      </c>
      <c r="T32" t="str">
        <f>IF(D32=1,MAX($T$2:$T31)+1,IF(S32=S31,$T31,IF(D32="x",T31,IF(D31="x","",""))))</f>
        <v/>
      </c>
      <c r="U32" t="str">
        <f>IF(B32=1,MAX($U$2:$U31)+1,IF(AND($T32&lt;&gt;"",$T32=$T31),$U31,IF(B32="x",U31,"")))</f>
        <v/>
      </c>
      <c r="V32" t="str">
        <f>IF(C32=1,MAX($V$2:$V31)+1,IF(AND($T32&lt;&gt;"",$T32=$T31),$U31,IF(C32="x",V31,"")))</f>
        <v/>
      </c>
      <c r="X32" cm="1">
        <f t="array" ref="X32">IF($I32&lt;&gt;"",$I32,INDEX($I$1:$I32,ROW()-COUNTIFS($T$1:$T32,"="&amp;$T32,$S$1:$S32,"&lt;"&amp;$S32)))</f>
        <v>84</v>
      </c>
      <c r="Z32" s="6">
        <f t="shared" si="34"/>
        <v>1</v>
      </c>
      <c r="AA32">
        <f t="shared" si="35"/>
        <v>1016</v>
      </c>
      <c r="AB32" t="str">
        <f t="shared" si="36"/>
        <v/>
      </c>
      <c r="AC32">
        <f t="shared" si="37"/>
        <v>1016</v>
      </c>
      <c r="BI32" s="40"/>
      <c r="BL32" s="40"/>
      <c r="BN32" s="19"/>
      <c r="BP32" s="17"/>
    </row>
    <row r="33" spans="1:68" x14ac:dyDescent="0.2">
      <c r="A33" t="str">
        <f t="shared" si="9"/>
        <v/>
      </c>
      <c r="E33" s="4"/>
      <c r="F33" s="46"/>
      <c r="G33" s="4"/>
      <c r="H33" s="48"/>
      <c r="I33" s="26">
        <v>73</v>
      </c>
      <c r="J33" s="26" t="str">
        <f t="shared" si="41"/>
        <v/>
      </c>
      <c r="N33" t="str">
        <f t="shared" si="43"/>
        <v/>
      </c>
      <c r="O33" t="s">
        <v>785</v>
      </c>
      <c r="Q33" t="str">
        <f t="shared" si="42"/>
        <v>u</v>
      </c>
      <c r="R33" s="26">
        <v>1</v>
      </c>
      <c r="S33">
        <f>IF(A33=1,MAX($S$2:$S32)+1,IF(OR($I33&lt;&gt;"",A33="x"),$S32,""))</f>
        <v>16</v>
      </c>
      <c r="T33" t="str">
        <f>IF(D33=1,MAX($T$2:$T32)+1,IF(S33=S32,$T32,IF(D33="x",T32,IF(D32="x","",""))))</f>
        <v/>
      </c>
      <c r="U33" t="str">
        <f>IF(B33=1,MAX($U$2:$U32)+1,IF(AND($T33&lt;&gt;"",$T33=$T32),$U32,IF(B33="x",U32,"")))</f>
        <v/>
      </c>
      <c r="V33" t="str">
        <f>IF(C33=1,MAX($V$2:$V32)+1,IF(AND($T33&lt;&gt;"",$T33=$T32),$U32,IF(C33="x",V32,"")))</f>
        <v/>
      </c>
      <c r="X33" cm="1">
        <f t="array" ref="X33">IF($I33&lt;&gt;"",$I33,INDEX($I$1:$I33,ROW()-COUNTIFS($T$1:$T33,"="&amp;$T33,$S$1:$S33,"&lt;"&amp;$S33)))</f>
        <v>73</v>
      </c>
      <c r="Z33" s="6">
        <f t="shared" si="34"/>
        <v>1</v>
      </c>
      <c r="AA33">
        <f t="shared" si="35"/>
        <v>1016</v>
      </c>
      <c r="AB33" t="str">
        <f t="shared" si="36"/>
        <v/>
      </c>
      <c r="AC33">
        <f t="shared" si="37"/>
        <v>1016</v>
      </c>
      <c r="BI33" s="40"/>
      <c r="BL33" s="40"/>
      <c r="BN33" s="19"/>
      <c r="BP33" s="17"/>
    </row>
    <row r="34" spans="1:68" x14ac:dyDescent="0.2">
      <c r="A34">
        <f t="shared" si="9"/>
        <v>1</v>
      </c>
      <c r="E34" s="4"/>
      <c r="F34" s="46" t="s">
        <v>1037</v>
      </c>
      <c r="G34" s="4"/>
      <c r="H34" s="48"/>
      <c r="I34" s="26">
        <v>14</v>
      </c>
      <c r="J34" s="26" t="s">
        <v>736</v>
      </c>
      <c r="K34" t="s">
        <v>13</v>
      </c>
      <c r="L34" t="s">
        <v>586</v>
      </c>
      <c r="N34" t="str">
        <f t="shared" si="43"/>
        <v/>
      </c>
      <c r="O34" t="s">
        <v>576</v>
      </c>
      <c r="Q34" t="str">
        <f t="shared" si="42"/>
        <v/>
      </c>
      <c r="S34">
        <f>IF(A34=1,MAX($S$2:$S33)+1,IF(OR($I34&lt;&gt;"",A34="x"),$S33,""))</f>
        <v>17</v>
      </c>
      <c r="T34" t="str">
        <f>IF(D34=1,MAX($T$2:$T33)+1,IF(S34=S33,$T33,IF(D34="x",T33,IF(D33="x","",""))))</f>
        <v/>
      </c>
      <c r="U34" t="str">
        <f>IF(B34=1,MAX($U$2:$U33)+1,IF(AND($T34&lt;&gt;"",$T34=$T33),$U33,IF(B34="x",U33,"")))</f>
        <v/>
      </c>
      <c r="V34" t="str">
        <f>IF(C34=1,MAX($V$2:$V33)+1,IF(AND($T34&lt;&gt;"",$T34=$T33),$U33,IF(C34="x",V33,"")))</f>
        <v/>
      </c>
      <c r="X34" cm="1">
        <f t="array" ref="X34">IF($I34&lt;&gt;"",$I34,INDEX($I$1:$I34,ROW()-COUNTIFS($T$1:$T34,"="&amp;$T34,$S$1:$S34,"&lt;"&amp;$S34)))</f>
        <v>14</v>
      </c>
      <c r="Z34" s="6">
        <f t="shared" si="34"/>
        <v>1</v>
      </c>
      <c r="AA34">
        <f t="shared" si="35"/>
        <v>1017</v>
      </c>
      <c r="AB34" t="str">
        <f t="shared" si="36"/>
        <v/>
      </c>
      <c r="AC34">
        <f t="shared" si="37"/>
        <v>1017</v>
      </c>
      <c r="BI34" s="40"/>
      <c r="BL34" s="40"/>
      <c r="BN34" s="19"/>
      <c r="BP34" s="17"/>
    </row>
    <row r="35" spans="1:68" x14ac:dyDescent="0.2">
      <c r="A35">
        <f t="shared" si="9"/>
        <v>1</v>
      </c>
      <c r="E35" s="4"/>
      <c r="F35" s="46"/>
      <c r="G35" s="4"/>
      <c r="H35" s="48"/>
      <c r="I35" s="26">
        <v>14</v>
      </c>
      <c r="J35" s="26" t="s">
        <v>736</v>
      </c>
      <c r="K35" t="s">
        <v>230</v>
      </c>
      <c r="L35" t="s">
        <v>388</v>
      </c>
      <c r="M35" t="s">
        <v>431</v>
      </c>
      <c r="N35" t="str">
        <f t="shared" si="43"/>
        <v/>
      </c>
      <c r="Q35" t="str">
        <f t="shared" si="42"/>
        <v/>
      </c>
      <c r="S35">
        <f>IF(A35=1,MAX($S$2:$S34)+1,IF(OR($I35&lt;&gt;"",A35="x"),$S34,""))</f>
        <v>18</v>
      </c>
      <c r="T35" t="str">
        <f>IF(D35=1,MAX($T$2:$T34)+1,IF(S35=S34,$T34,IF(D35="x",T34,IF(D34="x","",""))))</f>
        <v/>
      </c>
      <c r="U35" t="str">
        <f>IF(B35=1,MAX($U$2:$U34)+1,IF(AND($T35&lt;&gt;"",$T35=$T34),$U34,IF(B35="x",U34,"")))</f>
        <v/>
      </c>
      <c r="V35" t="str">
        <f>IF(C35=1,MAX($V$2:$V34)+1,IF(AND($T35&lt;&gt;"",$T35=$T34),$U34,IF(C35="x",V34,"")))</f>
        <v/>
      </c>
      <c r="X35" cm="1">
        <f t="array" ref="X35">IF($I35&lt;&gt;"",$I35,INDEX($I$1:$I35,ROW()-COUNTIFS($T$1:$T35,"="&amp;$T35,$S$1:$S35,"&lt;"&amp;$S35)))</f>
        <v>14</v>
      </c>
      <c r="Z35" s="6">
        <f t="shared" si="34"/>
        <v>1</v>
      </c>
      <c r="AA35">
        <f t="shared" si="35"/>
        <v>1018</v>
      </c>
      <c r="AB35" t="str">
        <f t="shared" si="36"/>
        <v/>
      </c>
      <c r="AC35">
        <f t="shared" si="37"/>
        <v>1018</v>
      </c>
      <c r="BI35" s="40"/>
      <c r="BL35" s="40"/>
      <c r="BN35" s="19"/>
      <c r="BP35" s="17"/>
    </row>
    <row r="36" spans="1:68" x14ac:dyDescent="0.2">
      <c r="A36">
        <f t="shared" si="9"/>
        <v>1</v>
      </c>
      <c r="E36" s="4"/>
      <c r="F36" s="46" t="s">
        <v>1062</v>
      </c>
      <c r="G36" s="4"/>
      <c r="H36" s="48"/>
      <c r="I36" s="26">
        <v>22</v>
      </c>
      <c r="J36" s="26" t="s">
        <v>736</v>
      </c>
      <c r="K36" t="s">
        <v>13</v>
      </c>
      <c r="L36" t="s">
        <v>587</v>
      </c>
      <c r="N36" t="s">
        <v>595</v>
      </c>
      <c r="O36" t="s">
        <v>904</v>
      </c>
      <c r="Q36" t="str">
        <f t="shared" si="42"/>
        <v>s</v>
      </c>
      <c r="R36" s="26">
        <v>1</v>
      </c>
      <c r="S36">
        <f>IF(A36=1,MAX($S$2:$S35)+1,IF(OR($I36&lt;&gt;"",A36="x"),$S35,""))</f>
        <v>19</v>
      </c>
      <c r="T36" t="str">
        <f>IF(D36=1,MAX($T$2:$T35)+1,IF(S36=S35,$T35,IF(D36="x",T35,IF(D35="x","",""))))</f>
        <v/>
      </c>
      <c r="U36" t="str">
        <f>IF(B36=1,MAX($U$2:$U35)+1,IF(AND($T36&lt;&gt;"",$T36=$T35),$U35,IF(B36="x",U35,"")))</f>
        <v/>
      </c>
      <c r="V36" t="str">
        <f>IF(C36=1,MAX($V$2:$V35)+1,IF(AND($T36&lt;&gt;"",$T36=$T35),$U35,IF(C36="x",V35,"")))</f>
        <v/>
      </c>
      <c r="X36" cm="1">
        <f t="array" ref="X36">IF($I36&lt;&gt;"",$I36,INDEX($I$1:$I36,ROW()-COUNTIFS($T$1:$T36,"="&amp;$T36,$S$1:$S36,"&lt;"&amp;$S36)))</f>
        <v>22</v>
      </c>
      <c r="Z36" s="6">
        <f t="shared" si="34"/>
        <v>1</v>
      </c>
      <c r="AA36">
        <f t="shared" si="35"/>
        <v>1019</v>
      </c>
      <c r="AB36" t="str">
        <f t="shared" si="36"/>
        <v/>
      </c>
      <c r="AC36">
        <f t="shared" si="37"/>
        <v>1019</v>
      </c>
      <c r="BI36" s="40"/>
      <c r="BL36" s="40"/>
      <c r="BN36" s="19"/>
      <c r="BP36" s="17"/>
    </row>
    <row r="37" spans="1:68" x14ac:dyDescent="0.2">
      <c r="A37" t="str">
        <f t="shared" si="9"/>
        <v/>
      </c>
      <c r="E37" s="4"/>
      <c r="F37" s="46"/>
      <c r="G37" s="4"/>
      <c r="H37" s="48"/>
      <c r="I37" s="26">
        <v>16</v>
      </c>
      <c r="J37" s="26" t="str">
        <f t="shared" si="41"/>
        <v/>
      </c>
      <c r="N37" t="str">
        <f t="shared" si="43"/>
        <v/>
      </c>
      <c r="Q37" t="str">
        <f t="shared" si="42"/>
        <v/>
      </c>
      <c r="R37" s="26">
        <v>1</v>
      </c>
      <c r="S37">
        <f>IF(A37=1,MAX($S$2:$S36)+1,IF(OR($I37&lt;&gt;"",A37="x"),$S36,""))</f>
        <v>19</v>
      </c>
      <c r="T37" t="str">
        <f>IF(D37=1,MAX($T$2:$T36)+1,IF(S37=S36,$T36,IF(D37="x",T36,IF(D36="x","",""))))</f>
        <v/>
      </c>
      <c r="U37" t="str">
        <f>IF(B37=1,MAX($U$2:$U36)+1,IF(AND($T37&lt;&gt;"",$T37=$T36),$U36,IF(B37="x",U36,"")))</f>
        <v/>
      </c>
      <c r="V37" t="str">
        <f>IF(C37=1,MAX($V$2:$V36)+1,IF(AND($T37&lt;&gt;"",$T37=$T36),$U36,IF(C37="x",V36,"")))</f>
        <v/>
      </c>
      <c r="X37" cm="1">
        <f t="array" ref="X37">IF($I37&lt;&gt;"",$I37,INDEX($I$1:$I37,ROW()-COUNTIFS($T$1:$T37,"="&amp;$T37,$S$1:$S37,"&lt;"&amp;$S37)))</f>
        <v>16</v>
      </c>
      <c r="Z37" s="6">
        <f t="shared" si="34"/>
        <v>1</v>
      </c>
      <c r="AA37">
        <f t="shared" si="35"/>
        <v>1019</v>
      </c>
      <c r="AB37" t="str">
        <f t="shared" si="36"/>
        <v/>
      </c>
      <c r="AC37">
        <f t="shared" si="37"/>
        <v>1019</v>
      </c>
      <c r="BI37" s="40"/>
      <c r="BL37" s="40"/>
      <c r="BN37" s="19"/>
      <c r="BP37" s="17"/>
    </row>
    <row r="38" spans="1:68" x14ac:dyDescent="0.2">
      <c r="A38">
        <f t="shared" si="9"/>
        <v>1</v>
      </c>
      <c r="E38" s="4"/>
      <c r="F38" s="46" t="s">
        <v>750</v>
      </c>
      <c r="G38" s="4"/>
      <c r="H38" s="48"/>
      <c r="I38" s="26">
        <v>22</v>
      </c>
      <c r="J38" s="26" t="s">
        <v>736</v>
      </c>
      <c r="K38" t="s">
        <v>7</v>
      </c>
      <c r="L38" t="s">
        <v>172</v>
      </c>
      <c r="M38" t="s">
        <v>66</v>
      </c>
      <c r="N38" t="str">
        <f t="shared" si="43"/>
        <v>s</v>
      </c>
      <c r="O38" t="s">
        <v>551</v>
      </c>
      <c r="Q38" t="str">
        <f t="shared" si="42"/>
        <v>s</v>
      </c>
      <c r="R38" s="26">
        <v>1</v>
      </c>
      <c r="S38">
        <f>IF(A38=1,MAX($S$2:$S37)+1,IF(OR($I38&lt;&gt;"",A38="x"),$S37,""))</f>
        <v>20</v>
      </c>
      <c r="T38" t="str">
        <f>IF(D38=1,MAX($T$2:$T37)+1,IF(S38=S37,$T37,IF(D38="x",T37,IF(D37="x","",""))))</f>
        <v/>
      </c>
      <c r="U38" t="str">
        <f>IF(B38=1,MAX($U$2:$U37)+1,IF(AND($T38&lt;&gt;"",$T38=$T37),$U37,IF(B38="x",U37,"")))</f>
        <v/>
      </c>
      <c r="V38" t="str">
        <f>IF(C38=1,MAX($V$2:$V37)+1,IF(AND($T38&lt;&gt;"",$T38=$T37),$U37,IF(C38="x",V37,"")))</f>
        <v/>
      </c>
      <c r="X38" cm="1">
        <f t="array" ref="X38">IF($I38&lt;&gt;"",$I38,INDEX($I$1:$I38,ROW()-COUNTIFS($T$1:$T38,"="&amp;$T38,$S$1:$S38,"&lt;"&amp;$S38)))</f>
        <v>22</v>
      </c>
      <c r="Z38" s="6">
        <f t="shared" si="34"/>
        <v>1</v>
      </c>
      <c r="AA38">
        <f t="shared" si="35"/>
        <v>1020</v>
      </c>
      <c r="AB38" t="str">
        <f t="shared" si="36"/>
        <v/>
      </c>
      <c r="AC38">
        <f t="shared" si="37"/>
        <v>1020</v>
      </c>
      <c r="BI38" s="40"/>
      <c r="BL38" s="40"/>
      <c r="BN38" s="19"/>
      <c r="BP38" s="17"/>
    </row>
    <row r="39" spans="1:68" x14ac:dyDescent="0.2">
      <c r="A39" t="str">
        <f t="shared" si="9"/>
        <v/>
      </c>
      <c r="E39" s="4"/>
      <c r="F39" s="46"/>
      <c r="G39" s="4"/>
      <c r="H39" s="48"/>
      <c r="I39" s="26">
        <v>84</v>
      </c>
      <c r="J39" s="26" t="str">
        <f t="shared" si="41"/>
        <v/>
      </c>
      <c r="N39" t="str">
        <f t="shared" si="43"/>
        <v/>
      </c>
      <c r="Q39" t="str">
        <f t="shared" si="42"/>
        <v/>
      </c>
      <c r="S39">
        <f>IF(A39=1,MAX($S$2:$S38)+1,IF(OR($I39&lt;&gt;"",A39="x"),$S38,""))</f>
        <v>20</v>
      </c>
      <c r="T39" t="str">
        <f>IF(D39=1,MAX($T$2:$T38)+1,IF(S39=S38,$T38,IF(D39="x",T38,IF(D38="x","",""))))</f>
        <v/>
      </c>
      <c r="U39" t="str">
        <f>IF(B39=1,MAX($U$2:$U38)+1,IF(AND($T39&lt;&gt;"",$T39=$T38),$U38,IF(B39="x",U38,"")))</f>
        <v/>
      </c>
      <c r="V39" t="str">
        <f>IF(C39=1,MAX($V$2:$V38)+1,IF(AND($T39&lt;&gt;"",$T39=$T38),$U38,IF(C39="x",V38,"")))</f>
        <v/>
      </c>
      <c r="X39" cm="1">
        <f t="array" ref="X39">IF($I39&lt;&gt;"",$I39,INDEX($I$1:$I39,ROW()-COUNTIFS($T$1:$T39,"="&amp;$T39,$S$1:$S39,"&lt;"&amp;$S39)))</f>
        <v>84</v>
      </c>
      <c r="Z39" s="6">
        <f t="shared" si="34"/>
        <v>1</v>
      </c>
      <c r="AA39">
        <f t="shared" si="35"/>
        <v>1020</v>
      </c>
      <c r="AB39" t="str">
        <f t="shared" si="36"/>
        <v/>
      </c>
      <c r="AC39">
        <f t="shared" si="37"/>
        <v>1020</v>
      </c>
      <c r="BI39" s="40"/>
      <c r="BL39" s="40"/>
      <c r="BN39" s="19"/>
      <c r="BP39" s="17"/>
    </row>
    <row r="40" spans="1:68" x14ac:dyDescent="0.2">
      <c r="A40" t="str">
        <f t="shared" si="9"/>
        <v/>
      </c>
      <c r="E40" s="4"/>
      <c r="F40" s="46"/>
      <c r="G40" s="4"/>
      <c r="H40" s="48"/>
      <c r="I40" s="26">
        <v>16</v>
      </c>
      <c r="J40" s="26" t="str">
        <f t="shared" si="41"/>
        <v/>
      </c>
      <c r="N40" t="str">
        <f t="shared" si="43"/>
        <v/>
      </c>
      <c r="Q40" t="str">
        <f t="shared" si="42"/>
        <v/>
      </c>
      <c r="R40" s="26">
        <v>1</v>
      </c>
      <c r="S40">
        <f>IF(A40=1,MAX($S$2:$S39)+1,IF(OR($I40&lt;&gt;"",A40="x"),$S39,""))</f>
        <v>20</v>
      </c>
      <c r="T40" t="str">
        <f>IF(D40=1,MAX($T$2:$T39)+1,IF(S40=S39,$T39,IF(D40="x",T39,IF(D39="x","",""))))</f>
        <v/>
      </c>
      <c r="U40" t="str">
        <f>IF(B40=1,MAX($U$2:$U39)+1,IF(AND($T40&lt;&gt;"",$T40=$T39),$U39,IF(B40="x",U39,"")))</f>
        <v/>
      </c>
      <c r="V40" t="str">
        <f>IF(C40=1,MAX($V$2:$V39)+1,IF(AND($T40&lt;&gt;"",$T40=$T39),$U39,IF(C40="x",V39,"")))</f>
        <v/>
      </c>
      <c r="X40" cm="1">
        <f t="array" ref="X40">IF($I40&lt;&gt;"",$I40,INDEX($I$1:$I40,ROW()-COUNTIFS($T$1:$T40,"="&amp;$T40,$S$1:$S40,"&lt;"&amp;$S40)))</f>
        <v>16</v>
      </c>
      <c r="Z40" s="6">
        <f t="shared" si="34"/>
        <v>1</v>
      </c>
      <c r="AA40">
        <f t="shared" si="35"/>
        <v>1020</v>
      </c>
      <c r="AB40" t="str">
        <f t="shared" si="36"/>
        <v/>
      </c>
      <c r="AC40">
        <f t="shared" si="37"/>
        <v>1020</v>
      </c>
      <c r="BI40" s="40"/>
      <c r="BL40" s="40"/>
      <c r="BN40" s="19"/>
      <c r="BP40" s="17"/>
    </row>
    <row r="41" spans="1:68" x14ac:dyDescent="0.2">
      <c r="A41">
        <f t="shared" si="9"/>
        <v>1</v>
      </c>
      <c r="E41" s="4"/>
      <c r="F41" s="46" t="s">
        <v>1048</v>
      </c>
      <c r="G41" s="4"/>
      <c r="H41" s="48" t="s">
        <v>1063</v>
      </c>
      <c r="I41" s="26">
        <v>84</v>
      </c>
      <c r="J41" s="26" t="s">
        <v>736</v>
      </c>
      <c r="K41" t="s">
        <v>13</v>
      </c>
      <c r="N41" t="str">
        <f t="shared" si="43"/>
        <v/>
      </c>
      <c r="Q41" t="str">
        <f t="shared" si="42"/>
        <v/>
      </c>
      <c r="S41">
        <f>IF(A41=1,MAX($S$2:$S40)+1,IF(OR($I41&lt;&gt;"",A41="x"),$S40,""))</f>
        <v>21</v>
      </c>
      <c r="T41" t="str">
        <f>IF(D41=1,MAX($T$2:$T40)+1,IF(S41=S40,$T40,IF(D41="x",T40,IF(D40="x","",""))))</f>
        <v/>
      </c>
      <c r="U41" t="str">
        <f>IF(B41=1,MAX($U$2:$U40)+1,IF(AND($T41&lt;&gt;"",$T41=$T40),$U40,IF(B41="x",U40,"")))</f>
        <v/>
      </c>
      <c r="V41" t="str">
        <f>IF(C41=1,MAX($V$2:$V40)+1,IF(AND($T41&lt;&gt;"",$T41=$T40),$U40,IF(C41="x",V40,"")))</f>
        <v/>
      </c>
      <c r="X41" cm="1">
        <f t="array" ref="X41">IF($I41&lt;&gt;"",$I41,INDEX($I$1:$I41,ROW()-COUNTIFS($T$1:$T41,"="&amp;$T41,$S$1:$S41,"&lt;"&amp;$S41)))</f>
        <v>84</v>
      </c>
      <c r="Z41" s="6">
        <f t="shared" si="34"/>
        <v>1</v>
      </c>
      <c r="AA41">
        <f t="shared" si="35"/>
        <v>1021</v>
      </c>
      <c r="AB41" t="str">
        <f t="shared" si="36"/>
        <v/>
      </c>
      <c r="AC41">
        <f t="shared" si="37"/>
        <v>1021</v>
      </c>
      <c r="BI41" s="40"/>
      <c r="BL41" s="40"/>
      <c r="BN41" s="19"/>
      <c r="BP41" s="17"/>
    </row>
    <row r="42" spans="1:68" x14ac:dyDescent="0.2">
      <c r="A42" t="str">
        <f t="shared" si="9"/>
        <v/>
      </c>
      <c r="E42" s="4"/>
      <c r="F42" s="46"/>
      <c r="G42" s="4"/>
      <c r="H42" s="48"/>
      <c r="I42" s="26">
        <v>12</v>
      </c>
      <c r="J42" s="26" t="str">
        <f t="shared" si="41"/>
        <v/>
      </c>
      <c r="N42" t="str">
        <f t="shared" si="43"/>
        <v/>
      </c>
      <c r="Q42" t="str">
        <f t="shared" si="42"/>
        <v/>
      </c>
      <c r="S42">
        <f>IF(A42=1,MAX($S$2:$S41)+1,IF(OR($I42&lt;&gt;"",A42="x"),$S41,""))</f>
        <v>21</v>
      </c>
      <c r="T42" t="str">
        <f>IF(D42=1,MAX($T$2:$T41)+1,IF(S42=S41,$T41,IF(D42="x",T41,IF(D41="x","",""))))</f>
        <v/>
      </c>
      <c r="U42" t="str">
        <f>IF(B42=1,MAX($U$2:$U41)+1,IF(AND($T42&lt;&gt;"",$T42=$T41),$U41,IF(B42="x",U41,"")))</f>
        <v/>
      </c>
      <c r="V42" t="str">
        <f>IF(C42=1,MAX($V$2:$V41)+1,IF(AND($T42&lt;&gt;"",$T42=$T41),$U41,IF(C42="x",V41,"")))</f>
        <v/>
      </c>
      <c r="X42" cm="1">
        <f t="array" ref="X42">IF($I42&lt;&gt;"",$I42,INDEX($I$1:$I42,ROW()-COUNTIFS($T$1:$T42,"="&amp;$T42,$S$1:$S42,"&lt;"&amp;$S42)))</f>
        <v>12</v>
      </c>
      <c r="Z42" s="6">
        <f t="shared" si="34"/>
        <v>1</v>
      </c>
      <c r="AA42">
        <f t="shared" si="35"/>
        <v>1021</v>
      </c>
      <c r="AB42" t="str">
        <f t="shared" si="36"/>
        <v/>
      </c>
      <c r="AC42">
        <f t="shared" si="37"/>
        <v>1021</v>
      </c>
      <c r="BI42" s="40"/>
      <c r="BL42" s="40"/>
      <c r="BN42" s="19"/>
      <c r="BP42" s="17"/>
    </row>
    <row r="43" spans="1:68" x14ac:dyDescent="0.2">
      <c r="A43">
        <f t="shared" si="9"/>
        <v>1</v>
      </c>
      <c r="E43" s="4"/>
      <c r="F43" s="46"/>
      <c r="G43" s="4"/>
      <c r="H43" s="48" t="s">
        <v>1052</v>
      </c>
      <c r="I43" s="26">
        <v>84</v>
      </c>
      <c r="J43" s="26" t="str">
        <f t="shared" si="41"/>
        <v>d</v>
      </c>
      <c r="K43" t="s">
        <v>238</v>
      </c>
      <c r="L43" t="s">
        <v>184</v>
      </c>
      <c r="M43" t="s">
        <v>88</v>
      </c>
      <c r="N43" t="str">
        <f t="shared" si="43"/>
        <v>s</v>
      </c>
      <c r="Q43" t="str">
        <f t="shared" si="42"/>
        <v/>
      </c>
      <c r="S43">
        <f>IF(A43=1,MAX($S$2:$S42)+1,IF(OR($I43&lt;&gt;"",A43="x"),$S42,""))</f>
        <v>22</v>
      </c>
      <c r="T43" t="str">
        <f>IF(D43=1,MAX($T$2:$T42)+1,IF(S43=S42,$T42,IF(D43="x",T42,IF(D42="x","",""))))</f>
        <v/>
      </c>
      <c r="U43" t="str">
        <f>IF(B43=1,MAX($U$2:$U42)+1,IF(AND($T43&lt;&gt;"",$T43=$T42),$U42,IF(B43="x",U42,"")))</f>
        <v/>
      </c>
      <c r="V43" t="str">
        <f>IF(C43=1,MAX($V$2:$V42)+1,IF(AND($T43&lt;&gt;"",$T43=$T42),$U42,IF(C43="x",V42,"")))</f>
        <v/>
      </c>
      <c r="X43" cm="1">
        <f t="array" ref="X43">IF($I43&lt;&gt;"",$I43,INDEX($I$1:$I43,ROW()-COUNTIFS($T$1:$T43,"="&amp;$T43,$S$1:$S43,"&lt;"&amp;$S43)))</f>
        <v>84</v>
      </c>
      <c r="Z43" s="6">
        <f t="shared" si="34"/>
        <v>1</v>
      </c>
      <c r="AA43">
        <f t="shared" si="35"/>
        <v>1022</v>
      </c>
      <c r="AB43" t="str">
        <f t="shared" si="36"/>
        <v/>
      </c>
      <c r="AC43">
        <f t="shared" si="37"/>
        <v>1022</v>
      </c>
      <c r="BI43" s="40"/>
      <c r="BL43" s="40"/>
      <c r="BN43" s="19"/>
      <c r="BP43" s="17"/>
    </row>
    <row r="44" spans="1:68" x14ac:dyDescent="0.2">
      <c r="A44">
        <f t="shared" si="9"/>
        <v>1</v>
      </c>
      <c r="E44" s="4"/>
      <c r="F44" s="46"/>
      <c r="G44" s="4"/>
      <c r="H44" s="48" t="s">
        <v>739</v>
      </c>
      <c r="I44" s="26">
        <v>84</v>
      </c>
      <c r="J44" s="26" t="s">
        <v>734</v>
      </c>
      <c r="K44" t="s">
        <v>13</v>
      </c>
      <c r="N44" t="str">
        <f t="shared" si="43"/>
        <v/>
      </c>
      <c r="Q44" t="str">
        <f t="shared" si="42"/>
        <v/>
      </c>
      <c r="S44">
        <f>IF(A44=1,MAX($S$2:$S43)+1,IF(OR($I44&lt;&gt;"",A44="x"),$S43,""))</f>
        <v>23</v>
      </c>
      <c r="T44" t="str">
        <f>IF(D44=1,MAX($T$2:$T43)+1,IF(S44=S43,$T43,IF(D44="x",T43,IF(D43="x","",""))))</f>
        <v/>
      </c>
      <c r="U44" t="str">
        <f>IF(B44=1,MAX($U$2:$U43)+1,IF(AND($T44&lt;&gt;"",$T44=$T43),$U43,IF(B44="x",U43,"")))</f>
        <v/>
      </c>
      <c r="V44" t="str">
        <f>IF(C44=1,MAX($V$2:$V43)+1,IF(AND($T44&lt;&gt;"",$T44=$T43),$U43,IF(C44="x",V43,"")))</f>
        <v/>
      </c>
      <c r="X44" cm="1">
        <f t="array" ref="X44">IF($I44&lt;&gt;"",$I44,INDEX($I$1:$I44,ROW()-COUNTIFS($T$1:$T44,"="&amp;$T44,$S$1:$S44,"&lt;"&amp;$S44)))</f>
        <v>84</v>
      </c>
      <c r="Z44" s="6">
        <f t="shared" si="34"/>
        <v>1</v>
      </c>
      <c r="AA44">
        <f t="shared" si="35"/>
        <v>1023</v>
      </c>
      <c r="AB44" t="str">
        <f t="shared" si="36"/>
        <v/>
      </c>
      <c r="AC44">
        <f t="shared" si="37"/>
        <v>1023</v>
      </c>
      <c r="BI44" s="40"/>
      <c r="BL44" s="40"/>
      <c r="BN44" s="19"/>
      <c r="BP44" s="17"/>
    </row>
    <row r="45" spans="1:68" x14ac:dyDescent="0.2">
      <c r="A45">
        <f t="shared" si="9"/>
        <v>1</v>
      </c>
      <c r="E45" s="4"/>
      <c r="F45" s="46"/>
      <c r="G45" s="4"/>
      <c r="H45" s="48" t="s">
        <v>1034</v>
      </c>
      <c r="I45" s="26">
        <v>84</v>
      </c>
      <c r="J45" s="26" t="str">
        <f t="shared" si="41"/>
        <v>o</v>
      </c>
      <c r="K45" t="s">
        <v>238</v>
      </c>
      <c r="L45" t="s">
        <v>174</v>
      </c>
      <c r="M45" t="s">
        <v>85</v>
      </c>
      <c r="N45" t="str">
        <f t="shared" si="43"/>
        <v>s</v>
      </c>
      <c r="O45" t="s">
        <v>144</v>
      </c>
      <c r="Q45" t="str">
        <f t="shared" si="42"/>
        <v>s</v>
      </c>
      <c r="S45">
        <f>IF(A45=1,MAX($S$2:$S44)+1,IF(OR($I45&lt;&gt;"",A45="x"),$S44,""))</f>
        <v>24</v>
      </c>
      <c r="T45" t="str">
        <f>IF(D45=1,MAX($T$2:$T44)+1,IF(S45=S44,$T44,IF(D45="x",T44,IF(D44="x","",""))))</f>
        <v/>
      </c>
      <c r="U45" t="str">
        <f>IF(B45=1,MAX($U$2:$U44)+1,IF(AND($T45&lt;&gt;"",$T45=$T44),$U44,IF(B45="x",U44,"")))</f>
        <v/>
      </c>
      <c r="V45" t="str">
        <f>IF(C45=1,MAX($V$2:$V44)+1,IF(AND($T45&lt;&gt;"",$T45=$T44),$U44,IF(C45="x",V44,"")))</f>
        <v/>
      </c>
      <c r="X45" cm="1">
        <f t="array" ref="X45">IF($I45&lt;&gt;"",$I45,INDEX($I$1:$I45,ROW()-COUNTIFS($T$1:$T45,"="&amp;$T45,$S$1:$S45,"&lt;"&amp;$S45)))</f>
        <v>84</v>
      </c>
      <c r="Z45" s="6">
        <f t="shared" si="34"/>
        <v>1</v>
      </c>
      <c r="AA45">
        <f t="shared" si="35"/>
        <v>1024</v>
      </c>
      <c r="AB45" t="str">
        <f t="shared" si="36"/>
        <v/>
      </c>
      <c r="AC45">
        <f t="shared" si="37"/>
        <v>1024</v>
      </c>
      <c r="BI45" s="40"/>
      <c r="BL45" s="40"/>
      <c r="BN45" s="19"/>
      <c r="BP45" s="17"/>
    </row>
    <row r="46" spans="1:68" x14ac:dyDescent="0.2">
      <c r="A46" t="str">
        <f t="shared" si="9"/>
        <v/>
      </c>
      <c r="E46" s="4"/>
      <c r="F46" s="46"/>
      <c r="G46" s="4"/>
      <c r="H46" s="48"/>
      <c r="I46" s="26">
        <v>70</v>
      </c>
      <c r="J46" s="26" t="str">
        <f t="shared" si="41"/>
        <v/>
      </c>
      <c r="N46" t="str">
        <f t="shared" si="43"/>
        <v/>
      </c>
      <c r="Q46" t="str">
        <f t="shared" si="42"/>
        <v/>
      </c>
      <c r="S46">
        <f>IF(A46=1,MAX($S$2:$S45)+1,IF(OR($I46&lt;&gt;"",A46="x"),$S45,""))</f>
        <v>24</v>
      </c>
      <c r="T46" t="str">
        <f>IF(D46=1,MAX($T$2:$T45)+1,IF(S46=S45,$T45,IF(D46="x",T45,IF(D45="x","",""))))</f>
        <v/>
      </c>
      <c r="U46" t="str">
        <f>IF(B46=1,MAX($U$2:$U45)+1,IF(AND($T46&lt;&gt;"",$T46=$T45),$U45,IF(B46="x",U45,"")))</f>
        <v/>
      </c>
      <c r="V46" t="str">
        <f>IF(C46=1,MAX($V$2:$V45)+1,IF(AND($T46&lt;&gt;"",$T46=$T45),$U45,IF(C46="x",V45,"")))</f>
        <v/>
      </c>
      <c r="X46" cm="1">
        <f t="array" ref="X46">IF($I46&lt;&gt;"",$I46,INDEX($I$1:$I46,ROW()-COUNTIFS($T$1:$T46,"="&amp;$T46,$S$1:$S46,"&lt;"&amp;$S46)))</f>
        <v>70</v>
      </c>
      <c r="Z46" s="6">
        <f t="shared" si="34"/>
        <v>1</v>
      </c>
      <c r="AA46">
        <f t="shared" si="35"/>
        <v>1024</v>
      </c>
      <c r="AB46" t="str">
        <f t="shared" si="36"/>
        <v/>
      </c>
      <c r="AC46">
        <f t="shared" si="37"/>
        <v>1024</v>
      </c>
      <c r="BI46" s="40"/>
      <c r="BL46" s="40"/>
      <c r="BN46" s="19"/>
      <c r="BP46" s="17"/>
    </row>
    <row r="47" spans="1:68" x14ac:dyDescent="0.2">
      <c r="A47" t="str">
        <f t="shared" si="9"/>
        <v/>
      </c>
      <c r="E47" s="4"/>
      <c r="F47" s="46"/>
      <c r="G47" s="4"/>
      <c r="H47" s="48"/>
      <c r="I47" s="26">
        <v>19</v>
      </c>
      <c r="J47" s="26" t="str">
        <f t="shared" si="41"/>
        <v/>
      </c>
      <c r="N47" t="str">
        <f t="shared" si="43"/>
        <v/>
      </c>
      <c r="O47" t="s">
        <v>163</v>
      </c>
      <c r="Q47" t="str">
        <f t="shared" si="42"/>
        <v>u</v>
      </c>
      <c r="S47">
        <f>IF(A47=1,MAX($S$2:$S46)+1,IF(OR($I47&lt;&gt;"",A47="x"),$S46,""))</f>
        <v>24</v>
      </c>
      <c r="T47" t="str">
        <f>IF(D47=1,MAX($T$2:$T46)+1,IF(S47=S46,$T46,IF(D47="x",T46,IF(D46="x","",""))))</f>
        <v/>
      </c>
      <c r="U47" t="str">
        <f>IF(B47=1,MAX($U$2:$U46)+1,IF(AND($T47&lt;&gt;"",$T47=$T46),$U46,IF(B47="x",U46,"")))</f>
        <v/>
      </c>
      <c r="V47" t="str">
        <f>IF(C47=1,MAX($V$2:$V46)+1,IF(AND($T47&lt;&gt;"",$T47=$T46),$U46,IF(C47="x",V46,"")))</f>
        <v/>
      </c>
      <c r="X47" cm="1">
        <f t="array" ref="X47">IF($I47&lt;&gt;"",$I47,INDEX($I$1:$I47,ROW()-COUNTIFS($T$1:$T47,"="&amp;$T47,$S$1:$S47,"&lt;"&amp;$S47)))</f>
        <v>19</v>
      </c>
      <c r="Z47" s="6">
        <f t="shared" si="34"/>
        <v>1</v>
      </c>
      <c r="AA47">
        <f t="shared" si="35"/>
        <v>1024</v>
      </c>
      <c r="AB47" t="str">
        <f t="shared" si="36"/>
        <v/>
      </c>
      <c r="AC47">
        <f t="shared" si="37"/>
        <v>1024</v>
      </c>
      <c r="BI47" s="40"/>
      <c r="BL47" s="40"/>
      <c r="BN47" s="19"/>
      <c r="BP47" s="17"/>
    </row>
    <row r="48" spans="1:68" x14ac:dyDescent="0.2">
      <c r="A48" t="str">
        <f t="shared" si="9"/>
        <v/>
      </c>
      <c r="E48" s="4"/>
      <c r="F48" s="46"/>
      <c r="G48" s="4"/>
      <c r="H48" s="48"/>
      <c r="I48" s="26">
        <v>41</v>
      </c>
      <c r="J48" s="26" t="str">
        <f t="shared" si="41"/>
        <v/>
      </c>
      <c r="N48" t="str">
        <f t="shared" si="43"/>
        <v/>
      </c>
      <c r="Q48" t="str">
        <f t="shared" si="42"/>
        <v/>
      </c>
      <c r="S48">
        <f>IF(A48=1,MAX($S$2:$S47)+1,IF(OR($I48&lt;&gt;"",A48="x"),$S47,""))</f>
        <v>24</v>
      </c>
      <c r="T48" t="str">
        <f>IF(D48=1,MAX($T$2:$T47)+1,IF(S48=S47,$T47,IF(D48="x",T47,IF(D47="x","",""))))</f>
        <v/>
      </c>
      <c r="U48" t="str">
        <f>IF(B48=1,MAX($U$2:$U47)+1,IF(AND($T48&lt;&gt;"",$T48=$T47),$U47,IF(B48="x",U47,"")))</f>
        <v/>
      </c>
      <c r="V48" t="str">
        <f>IF(C48=1,MAX($V$2:$V47)+1,IF(AND($T48&lt;&gt;"",$T48=$T47),$U47,IF(C48="x",V47,"")))</f>
        <v/>
      </c>
      <c r="X48" cm="1">
        <f t="array" ref="X48">IF($I48&lt;&gt;"",$I48,INDEX($I$1:$I48,ROW()-COUNTIFS($T$1:$T48,"="&amp;$T48,$S$1:$S48,"&lt;"&amp;$S48)))</f>
        <v>41</v>
      </c>
      <c r="Z48" s="6">
        <f t="shared" si="34"/>
        <v>1</v>
      </c>
      <c r="AA48">
        <f t="shared" si="35"/>
        <v>1024</v>
      </c>
      <c r="AB48" t="str">
        <f t="shared" si="36"/>
        <v/>
      </c>
      <c r="AC48">
        <f t="shared" si="37"/>
        <v>1024</v>
      </c>
      <c r="BI48" s="40"/>
      <c r="BL48" s="40"/>
      <c r="BN48" s="19"/>
      <c r="BP48" s="17"/>
    </row>
    <row r="49" spans="1:68" x14ac:dyDescent="0.2">
      <c r="A49">
        <f t="shared" si="9"/>
        <v>1</v>
      </c>
      <c r="D49" s="26">
        <v>1</v>
      </c>
      <c r="E49" s="4"/>
      <c r="F49" s="46"/>
      <c r="G49" s="4"/>
      <c r="H49" s="48"/>
      <c r="I49" s="26">
        <v>84</v>
      </c>
      <c r="J49" s="26" t="s">
        <v>368</v>
      </c>
      <c r="K49" t="s">
        <v>7</v>
      </c>
      <c r="L49" t="s">
        <v>192</v>
      </c>
      <c r="M49" t="s">
        <v>68</v>
      </c>
      <c r="N49" t="str">
        <f t="shared" si="43"/>
        <v>u</v>
      </c>
      <c r="Q49" t="str">
        <f t="shared" si="42"/>
        <v/>
      </c>
      <c r="S49">
        <f>IF(A49=1,MAX($S$2:$S48)+1,IF(OR($I49&lt;&gt;"",A49="x"),$S48,""))</f>
        <v>25</v>
      </c>
      <c r="T49">
        <f>IF(D49=1,MAX($T$2:$T48)+1,IF(S49=S48,$T48,IF(D49="x",T48,IF(D48="x","",""))))</f>
        <v>3</v>
      </c>
      <c r="U49" t="str">
        <f>IF(B49=1,MAX($U$2:$U48)+1,IF(AND($T49&lt;&gt;"",$T49=$T48),$U48,IF(B49="x",U48,"")))</f>
        <v/>
      </c>
      <c r="V49" t="str">
        <f>IF(C49=1,MAX($V$2:$V48)+1,IF(AND($T49&lt;&gt;"",$T49=$T48),$U48,IF(C49="x",V48,"")))</f>
        <v/>
      </c>
      <c r="X49" cm="1">
        <f t="array" ref="X49">IF($I49&lt;&gt;"",$I49,INDEX($I$1:$I49,ROW()-COUNTIFS($T$1:$T49,"="&amp;$T49,$S$1:$S49,"&lt;"&amp;$S49)))</f>
        <v>84</v>
      </c>
      <c r="Z49" s="6">
        <f t="shared" si="34"/>
        <v>1</v>
      </c>
      <c r="AA49">
        <f t="shared" si="35"/>
        <v>1025</v>
      </c>
      <c r="AB49">
        <f t="shared" si="36"/>
        <v>9003</v>
      </c>
      <c r="AC49">
        <f t="shared" si="37"/>
        <v>9003</v>
      </c>
      <c r="BI49" s="40"/>
      <c r="BL49" s="40"/>
      <c r="BN49" s="19"/>
      <c r="BP49" s="17"/>
    </row>
    <row r="50" spans="1:68" x14ac:dyDescent="0.2">
      <c r="A50" t="str">
        <f t="shared" si="9"/>
        <v>x</v>
      </c>
      <c r="D50" s="26" t="s">
        <v>729</v>
      </c>
      <c r="E50" s="4"/>
      <c r="F50" s="46"/>
      <c r="G50" s="4"/>
      <c r="H50" s="48"/>
      <c r="I50" s="26">
        <v>70</v>
      </c>
      <c r="J50" s="26" t="str">
        <f t="shared" si="41"/>
        <v/>
      </c>
      <c r="N50" t="str">
        <f t="shared" si="43"/>
        <v/>
      </c>
      <c r="Q50" t="str">
        <f t="shared" si="42"/>
        <v/>
      </c>
      <c r="S50">
        <f>IF(A50=1,MAX($S$2:$S49)+1,IF(OR($I50&lt;&gt;"",A50="x"),$S49,""))</f>
        <v>25</v>
      </c>
      <c r="T50">
        <f>IF(D50=1,MAX($T$2:$T49)+1,IF(S50=S49,$T49,IF(D50="x",T49,IF(D49="x","",""))))</f>
        <v>3</v>
      </c>
      <c r="U50" t="str">
        <f>IF(B50=1,MAX($U$2:$U49)+1,IF(AND($T50&lt;&gt;"",$T50=$T49),$U49,IF(B50="x",U49,"")))</f>
        <v/>
      </c>
      <c r="V50" t="str">
        <f>IF(C50=1,MAX($V$2:$V49)+1,IF(AND($T50&lt;&gt;"",$T50=$T49),$U49,IF(C50="x",V49,"")))</f>
        <v/>
      </c>
      <c r="X50" cm="1">
        <f t="array" ref="X50">IF($I50&lt;&gt;"",$I50,INDEX($I$1:$I50,ROW()-COUNTIFS($T$1:$T50,"="&amp;$T50,$S$1:$S50,"&lt;"&amp;$S50)))</f>
        <v>70</v>
      </c>
      <c r="Z50" s="6">
        <f t="shared" si="34"/>
        <v>1</v>
      </c>
      <c r="AA50">
        <f t="shared" si="35"/>
        <v>1025</v>
      </c>
      <c r="AB50">
        <f t="shared" si="36"/>
        <v>9003</v>
      </c>
      <c r="AC50">
        <f t="shared" si="37"/>
        <v>9003</v>
      </c>
      <c r="BI50" s="40"/>
      <c r="BL50" s="40"/>
      <c r="BN50" s="19"/>
      <c r="BP50" s="17"/>
    </row>
    <row r="51" spans="1:68" x14ac:dyDescent="0.2">
      <c r="A51" t="str">
        <f t="shared" si="9"/>
        <v>x</v>
      </c>
      <c r="D51" s="26" t="s">
        <v>729</v>
      </c>
      <c r="E51" s="4"/>
      <c r="F51" s="46"/>
      <c r="G51" s="4"/>
      <c r="H51" s="48"/>
      <c r="I51" s="26">
        <v>19</v>
      </c>
      <c r="J51" s="26" t="str">
        <f t="shared" si="41"/>
        <v/>
      </c>
      <c r="N51" t="str">
        <f t="shared" si="43"/>
        <v/>
      </c>
      <c r="O51" t="s">
        <v>782</v>
      </c>
      <c r="P51" t="s">
        <v>566</v>
      </c>
      <c r="Q51" t="str">
        <f t="shared" si="42"/>
        <v/>
      </c>
      <c r="S51">
        <f>IF(A51=1,MAX($S$2:$S50)+1,IF(OR($I51&lt;&gt;"",A51="x"),$S50,""))</f>
        <v>25</v>
      </c>
      <c r="T51">
        <f>IF(D51=1,MAX($T$2:$T50)+1,IF(S51=S50,$T50,IF(D51="x",T50,IF(D50="x","",""))))</f>
        <v>3</v>
      </c>
      <c r="U51" t="str">
        <f>IF(B51=1,MAX($U$2:$U50)+1,IF(AND($T51&lt;&gt;"",$T51=$T50),$U50,IF(B51="x",U50,"")))</f>
        <v/>
      </c>
      <c r="V51" t="str">
        <f>IF(C51=1,MAX($V$2:$V50)+1,IF(AND($T51&lt;&gt;"",$T51=$T50),$U50,IF(C51="x",V50,"")))</f>
        <v/>
      </c>
      <c r="X51" cm="1">
        <f t="array" ref="X51">IF($I51&lt;&gt;"",$I51,INDEX($I$1:$I51,ROW()-COUNTIFS($T$1:$T51,"="&amp;$T51,$S$1:$S51,"&lt;"&amp;$S51)))</f>
        <v>19</v>
      </c>
      <c r="Z51" s="6">
        <f t="shared" si="34"/>
        <v>1</v>
      </c>
      <c r="AA51">
        <f t="shared" si="35"/>
        <v>1025</v>
      </c>
      <c r="AB51">
        <f t="shared" si="36"/>
        <v>9003</v>
      </c>
      <c r="AC51">
        <f t="shared" si="37"/>
        <v>9003</v>
      </c>
      <c r="BI51" s="40"/>
      <c r="BL51" s="40"/>
      <c r="BN51" s="19"/>
      <c r="BP51" s="17"/>
    </row>
    <row r="52" spans="1:68" x14ac:dyDescent="0.2">
      <c r="A52">
        <f t="shared" si="9"/>
        <v>1</v>
      </c>
      <c r="D52" s="26" t="s">
        <v>729</v>
      </c>
      <c r="E52" s="4"/>
      <c r="F52" s="46"/>
      <c r="G52" s="4"/>
      <c r="H52" s="48"/>
      <c r="J52" s="26" t="s">
        <v>368</v>
      </c>
      <c r="K52" t="s">
        <v>9</v>
      </c>
      <c r="L52" t="s">
        <v>173</v>
      </c>
      <c r="M52" t="s">
        <v>75</v>
      </c>
      <c r="N52" t="str">
        <f t="shared" si="43"/>
        <v>u</v>
      </c>
      <c r="Q52" t="str">
        <f t="shared" si="42"/>
        <v/>
      </c>
      <c r="S52">
        <f>IF(A52=1,MAX($S$2:$S51)+1,IF(OR($I52&lt;&gt;"",A52="x"),$S51,""))</f>
        <v>26</v>
      </c>
      <c r="T52">
        <f>IF(D52=1,MAX($T$2:$T51)+1,IF(S52=S51,$T51,IF(D52="x",T51,IF(D51="x","",""))))</f>
        <v>3</v>
      </c>
      <c r="U52" t="str">
        <f>IF(B52=1,MAX($U$2:$U51)+1,IF(AND($T52&lt;&gt;"",$T52=$T51),$U51,IF(B52="x",U51,"")))</f>
        <v/>
      </c>
      <c r="V52" t="str">
        <f>IF(C52=1,MAX($V$2:$V51)+1,IF(AND($T52&lt;&gt;"",$T52=$T51),$U51,IF(C52="x",V51,"")))</f>
        <v/>
      </c>
      <c r="X52" cm="1">
        <f t="array" ref="X52">IF($I52&lt;&gt;"",$I52,INDEX($I$1:$I52,ROW()-COUNTIFS($T$1:$T52,"="&amp;$T52,$S$1:$S52,"&lt;"&amp;$S52)))</f>
        <v>84</v>
      </c>
      <c r="Z52" s="6">
        <f t="shared" si="34"/>
        <v>1</v>
      </c>
      <c r="AA52">
        <f t="shared" si="35"/>
        <v>1026</v>
      </c>
      <c r="AB52">
        <f t="shared" si="36"/>
        <v>9003</v>
      </c>
      <c r="AC52">
        <f t="shared" si="37"/>
        <v>9003</v>
      </c>
      <c r="BI52" s="40"/>
      <c r="BL52" s="40"/>
      <c r="BN52" s="19"/>
      <c r="BP52" s="17"/>
    </row>
    <row r="53" spans="1:68" x14ac:dyDescent="0.2">
      <c r="A53" t="str">
        <f t="shared" si="9"/>
        <v>x</v>
      </c>
      <c r="D53" s="26" t="s">
        <v>729</v>
      </c>
      <c r="E53" s="4"/>
      <c r="F53" s="46"/>
      <c r="G53" s="4"/>
      <c r="H53" s="48"/>
      <c r="N53" t="str">
        <f t="shared" si="43"/>
        <v/>
      </c>
      <c r="Q53" t="str">
        <f t="shared" si="42"/>
        <v/>
      </c>
      <c r="S53">
        <f>IF(A53=1,MAX($S$2:$S52)+1,IF(OR($I53&lt;&gt;"",A53="x"),$S52,""))</f>
        <v>26</v>
      </c>
      <c r="T53">
        <f>IF(D53=1,MAX($T$2:$T52)+1,IF(S53=S52,$T52,IF(D53="x",T52,IF(D52="x","",""))))</f>
        <v>3</v>
      </c>
      <c r="U53" t="str">
        <f>IF(B53=1,MAX($U$2:$U52)+1,IF(AND($T53&lt;&gt;"",$T53=$T52),$U52,IF(B53="x",U52,"")))</f>
        <v/>
      </c>
      <c r="V53" t="str">
        <f>IF(C53=1,MAX($V$2:$V52)+1,IF(AND($T53&lt;&gt;"",$T53=$T52),$U52,IF(C53="x",V52,"")))</f>
        <v/>
      </c>
      <c r="X53" cm="1">
        <f t="array" ref="X53">IF($I53&lt;&gt;"",$I53,INDEX($I$1:$I53,ROW()-COUNTIFS($T$1:$T53,"="&amp;$T53,$S$1:$S53,"&lt;"&amp;$S53)))</f>
        <v>70</v>
      </c>
      <c r="Z53" s="6">
        <f t="shared" si="34"/>
        <v>1</v>
      </c>
      <c r="AA53">
        <f t="shared" si="35"/>
        <v>1026</v>
      </c>
      <c r="AB53">
        <f t="shared" si="36"/>
        <v>9003</v>
      </c>
      <c r="AC53">
        <f t="shared" si="37"/>
        <v>9003</v>
      </c>
      <c r="BI53" s="40"/>
      <c r="BL53" s="40"/>
      <c r="BN53" s="19"/>
      <c r="BP53" s="17"/>
    </row>
    <row r="54" spans="1:68" x14ac:dyDescent="0.2">
      <c r="A54" t="str">
        <f t="shared" si="9"/>
        <v>x</v>
      </c>
      <c r="D54" s="26" t="s">
        <v>729</v>
      </c>
      <c r="E54" s="4"/>
      <c r="F54" s="46"/>
      <c r="G54" s="4"/>
      <c r="H54" s="48"/>
      <c r="J54" s="26" t="str">
        <f t="shared" si="41"/>
        <v/>
      </c>
      <c r="N54" t="str">
        <f t="shared" si="43"/>
        <v/>
      </c>
      <c r="Q54" t="str">
        <f t="shared" si="42"/>
        <v/>
      </c>
      <c r="S54">
        <f>IF(A54=1,MAX($S$2:$S53)+1,IF(OR($I54&lt;&gt;"",A54="x"),$S53,""))</f>
        <v>26</v>
      </c>
      <c r="T54">
        <f>IF(D54=1,MAX($T$2:$T53)+1,IF(S54=S53,$T53,IF(D54="x",T53,IF(D53="x","",""))))</f>
        <v>3</v>
      </c>
      <c r="U54" t="str">
        <f>IF(B54=1,MAX($U$2:$U53)+1,IF(AND($T54&lt;&gt;"",$T54=$T53),$U53,IF(B54="x",U53,"")))</f>
        <v/>
      </c>
      <c r="V54" t="str">
        <f>IF(C54=1,MAX($V$2:$V53)+1,IF(AND($T54&lt;&gt;"",$T54=$T53),$U53,IF(C54="x",V53,"")))</f>
        <v/>
      </c>
      <c r="X54" cm="1">
        <f t="array" ref="X54">IF($I54&lt;&gt;"",$I54,INDEX($I$1:$I54,ROW()-COUNTIFS($T$1:$T54,"="&amp;$T54,$S$1:$S54,"&lt;"&amp;$S54)))</f>
        <v>19</v>
      </c>
      <c r="Z54" s="6">
        <f t="shared" si="34"/>
        <v>1</v>
      </c>
      <c r="AA54">
        <f t="shared" si="35"/>
        <v>1026</v>
      </c>
      <c r="AB54">
        <f t="shared" si="36"/>
        <v>9003</v>
      </c>
      <c r="AC54">
        <f t="shared" si="37"/>
        <v>9003</v>
      </c>
      <c r="BI54" s="40"/>
      <c r="BL54" s="40"/>
      <c r="BN54" s="19"/>
      <c r="BP54" s="17"/>
    </row>
    <row r="55" spans="1:68" x14ac:dyDescent="0.2">
      <c r="A55">
        <f t="shared" si="9"/>
        <v>1</v>
      </c>
      <c r="E55" s="4"/>
      <c r="F55" s="46" t="s">
        <v>741</v>
      </c>
      <c r="G55" s="4"/>
      <c r="H55" s="48"/>
      <c r="I55" s="26">
        <v>16</v>
      </c>
      <c r="J55" s="26" t="s">
        <v>736</v>
      </c>
      <c r="K55" t="s">
        <v>13</v>
      </c>
      <c r="L55" t="s">
        <v>586</v>
      </c>
      <c r="N55" t="s">
        <v>594</v>
      </c>
      <c r="O55" t="s">
        <v>907</v>
      </c>
      <c r="Q55" t="str">
        <f t="shared" si="42"/>
        <v>u</v>
      </c>
      <c r="R55" s="26">
        <v>1</v>
      </c>
      <c r="S55">
        <f>IF(A55=1,MAX($S$2:$S54)+1,IF(OR($I55&lt;&gt;"",A55="x"),$S54,""))</f>
        <v>27</v>
      </c>
      <c r="T55" t="str">
        <f>IF(D55=1,MAX($T$2:$T54)+1,IF(S55=S54,$T54,IF(D55="x",T54,IF(D54="x","",""))))</f>
        <v/>
      </c>
      <c r="U55" t="str">
        <f>IF(B55=1,MAX($U$2:$U54)+1,IF(AND($T55&lt;&gt;"",$T55=$T54),$U54,IF(B55="x",U54,"")))</f>
        <v/>
      </c>
      <c r="V55" t="str">
        <f>IF(C55=1,MAX($V$2:$V54)+1,IF(AND($T55&lt;&gt;"",$T55=$T54),$U54,IF(C55="x",V54,"")))</f>
        <v/>
      </c>
      <c r="X55" cm="1">
        <f t="array" ref="X55">IF($I55&lt;&gt;"",$I55,INDEX($I$1:$I55,ROW()-COUNTIFS($T$1:$T55,"="&amp;$T55,$S$1:$S55,"&lt;"&amp;$S55)))</f>
        <v>16</v>
      </c>
      <c r="Z55" s="6">
        <f t="shared" si="34"/>
        <v>1</v>
      </c>
      <c r="AA55">
        <f t="shared" si="35"/>
        <v>1027</v>
      </c>
      <c r="AB55" t="str">
        <f t="shared" si="36"/>
        <v/>
      </c>
      <c r="AC55">
        <f t="shared" si="37"/>
        <v>1027</v>
      </c>
      <c r="BI55" s="40"/>
      <c r="BL55" s="40"/>
      <c r="BN55" s="19"/>
      <c r="BP55" s="17"/>
    </row>
    <row r="56" spans="1:68" x14ac:dyDescent="0.2">
      <c r="A56" t="str">
        <f t="shared" si="9"/>
        <v/>
      </c>
      <c r="E56" s="4"/>
      <c r="F56" s="46"/>
      <c r="G56" s="4"/>
      <c r="H56" s="48"/>
      <c r="I56" s="26">
        <v>70</v>
      </c>
      <c r="J56" s="26" t="str">
        <f t="shared" si="41"/>
        <v/>
      </c>
      <c r="N56" t="str">
        <f t="shared" si="43"/>
        <v/>
      </c>
      <c r="Q56" t="str">
        <f t="shared" si="42"/>
        <v/>
      </c>
      <c r="R56" s="26">
        <v>1</v>
      </c>
      <c r="S56">
        <f>IF(A56=1,MAX($S$2:$S55)+1,IF(OR($I56&lt;&gt;"",A56="x"),$S55,""))</f>
        <v>27</v>
      </c>
      <c r="T56" t="str">
        <f>IF(D56=1,MAX($T$2:$T55)+1,IF(S56=S55,$T55,IF(D56="x",T55,IF(D55="x","",""))))</f>
        <v/>
      </c>
      <c r="U56" t="str">
        <f>IF(B56=1,MAX($U$2:$U55)+1,IF(AND($T56&lt;&gt;"",$T56=$T55),$U55,IF(B56="x",U55,"")))</f>
        <v/>
      </c>
      <c r="V56" t="str">
        <f>IF(C56=1,MAX($V$2:$V55)+1,IF(AND($T56&lt;&gt;"",$T56=$T55),$U55,IF(C56="x",V55,"")))</f>
        <v/>
      </c>
      <c r="X56" cm="1">
        <f t="array" ref="X56">IF($I56&lt;&gt;"",$I56,INDEX($I$1:$I56,ROW()-COUNTIFS($T$1:$T56,"="&amp;$T56,$S$1:$S56,"&lt;"&amp;$S56)))</f>
        <v>70</v>
      </c>
      <c r="Z56" s="6">
        <f t="shared" si="34"/>
        <v>1</v>
      </c>
      <c r="AA56">
        <f t="shared" si="35"/>
        <v>1027</v>
      </c>
      <c r="AB56" t="str">
        <f t="shared" si="36"/>
        <v/>
      </c>
      <c r="AC56">
        <f t="shared" si="37"/>
        <v>1027</v>
      </c>
      <c r="BI56" s="40"/>
      <c r="BL56" s="40"/>
      <c r="BN56" s="19"/>
      <c r="BP56" s="17"/>
    </row>
    <row r="57" spans="1:68" x14ac:dyDescent="0.2">
      <c r="A57">
        <f t="shared" si="9"/>
        <v>1</v>
      </c>
      <c r="E57" s="4"/>
      <c r="F57" s="46"/>
      <c r="G57" s="4"/>
      <c r="H57" s="48"/>
      <c r="I57" s="26">
        <v>16</v>
      </c>
      <c r="J57" s="26" t="s">
        <v>736</v>
      </c>
      <c r="K57" t="s">
        <v>238</v>
      </c>
      <c r="L57" t="s">
        <v>184</v>
      </c>
      <c r="M57" t="s">
        <v>376</v>
      </c>
      <c r="N57" t="str">
        <f t="shared" si="43"/>
        <v>u</v>
      </c>
      <c r="O57" t="s">
        <v>576</v>
      </c>
      <c r="Q57" t="str">
        <f t="shared" si="42"/>
        <v>u</v>
      </c>
      <c r="R57" s="26">
        <v>1</v>
      </c>
      <c r="S57">
        <f>IF(A57=1,MAX($S$2:$S56)+1,IF(OR($I57&lt;&gt;"",A57="x"),$S56,""))</f>
        <v>28</v>
      </c>
      <c r="T57" t="str">
        <f>IF(D57=1,MAX($T$2:$T56)+1,IF(S57=S56,$T56,IF(D57="x",T56,IF(D56="x","",""))))</f>
        <v/>
      </c>
      <c r="U57" t="str">
        <f>IF(B57=1,MAX($U$2:$U56)+1,IF(AND($T57&lt;&gt;"",$T57=$T56),$U56,IF(B57="x",U56,"")))</f>
        <v/>
      </c>
      <c r="V57" t="str">
        <f>IF(C57=1,MAX($V$2:$V56)+1,IF(AND($T57&lt;&gt;"",$T57=$T56),$U56,IF(C57="x",V56,"")))</f>
        <v/>
      </c>
      <c r="X57" cm="1">
        <f t="array" ref="X57">IF($I57&lt;&gt;"",$I57,INDEX($I$1:$I57,ROW()-COUNTIFS($T$1:$T57,"="&amp;$T57,$S$1:$S57,"&lt;"&amp;$S57)))</f>
        <v>16</v>
      </c>
      <c r="Z57" s="6">
        <f t="shared" si="34"/>
        <v>1</v>
      </c>
      <c r="AA57">
        <f t="shared" si="35"/>
        <v>1028</v>
      </c>
      <c r="AB57" t="str">
        <f t="shared" si="36"/>
        <v/>
      </c>
      <c r="AC57">
        <f t="shared" si="37"/>
        <v>1028</v>
      </c>
      <c r="BI57" s="40"/>
      <c r="BL57" s="40"/>
      <c r="BN57" s="19"/>
      <c r="BP57" s="17"/>
    </row>
    <row r="58" spans="1:68" x14ac:dyDescent="0.2">
      <c r="A58" t="str">
        <f t="shared" si="9"/>
        <v/>
      </c>
      <c r="E58" s="4"/>
      <c r="F58" s="46"/>
      <c r="G58" s="4"/>
      <c r="H58" s="48"/>
      <c r="I58" s="26">
        <v>70</v>
      </c>
      <c r="J58" s="26" t="str">
        <f t="shared" si="41"/>
        <v/>
      </c>
      <c r="N58" t="str">
        <f t="shared" si="43"/>
        <v/>
      </c>
      <c r="Q58" t="str">
        <f t="shared" si="42"/>
        <v/>
      </c>
      <c r="R58" s="26">
        <v>1</v>
      </c>
      <c r="S58">
        <f>IF(A58=1,MAX($S$2:$S57)+1,IF(OR($I58&lt;&gt;"",A58="x"),$S57,""))</f>
        <v>28</v>
      </c>
      <c r="T58" t="str">
        <f>IF(D58=1,MAX($T$2:$T57)+1,IF(S58=S57,$T57,IF(D58="x",T57,IF(D57="x","",""))))</f>
        <v/>
      </c>
      <c r="U58" t="str">
        <f>IF(B58=1,MAX($U$2:$U57)+1,IF(AND($T58&lt;&gt;"",$T58=$T57),$U57,IF(B58="x",U57,"")))</f>
        <v/>
      </c>
      <c r="V58" t="str">
        <f>IF(C58=1,MAX($V$2:$V57)+1,IF(AND($T58&lt;&gt;"",$T58=$T57),$U57,IF(C58="x",V57,"")))</f>
        <v/>
      </c>
      <c r="X58" cm="1">
        <f t="array" ref="X58">IF($I58&lt;&gt;"",$I58,INDEX($I$1:$I58,ROW()-COUNTIFS($T$1:$T58,"="&amp;$T58,$S$1:$S58,"&lt;"&amp;$S58)))</f>
        <v>70</v>
      </c>
      <c r="Z58" s="6">
        <f t="shared" si="34"/>
        <v>1</v>
      </c>
      <c r="AA58">
        <f t="shared" si="35"/>
        <v>1028</v>
      </c>
      <c r="AB58" t="str">
        <f t="shared" si="36"/>
        <v/>
      </c>
      <c r="AC58">
        <f t="shared" si="37"/>
        <v>1028</v>
      </c>
      <c r="BI58" s="40"/>
      <c r="BL58" s="40"/>
      <c r="BN58" s="19"/>
      <c r="BP58" s="17"/>
    </row>
    <row r="59" spans="1:68" x14ac:dyDescent="0.2">
      <c r="A59">
        <f t="shared" si="9"/>
        <v>1</v>
      </c>
      <c r="E59" s="4"/>
      <c r="F59" s="46" t="s">
        <v>732</v>
      </c>
      <c r="G59" s="4"/>
      <c r="H59" s="48" t="s">
        <v>744</v>
      </c>
      <c r="I59" s="26">
        <v>41</v>
      </c>
      <c r="J59" s="26" t="s">
        <v>734</v>
      </c>
      <c r="K59" t="s">
        <v>13</v>
      </c>
      <c r="L59" t="s">
        <v>587</v>
      </c>
      <c r="N59" t="s">
        <v>595</v>
      </c>
      <c r="O59" t="s">
        <v>912</v>
      </c>
      <c r="Q59" t="str">
        <f t="shared" si="42"/>
        <v>s</v>
      </c>
      <c r="S59">
        <f>IF(A59=1,MAX($S$2:$S58)+1,IF(OR($I59&lt;&gt;"",A59="x"),$S58,""))</f>
        <v>29</v>
      </c>
      <c r="T59" t="str">
        <f>IF(D59=1,MAX($T$2:$T58)+1,IF(S59=S58,$T58,IF(D59="x",T58,IF(D58="x","",""))))</f>
        <v/>
      </c>
      <c r="U59" t="str">
        <f>IF(B59=1,MAX($U$2:$U58)+1,IF(AND($T59&lt;&gt;"",$T59=$T58),$U58,IF(B59="x",U58,"")))</f>
        <v/>
      </c>
      <c r="V59" t="str">
        <f>IF(C59=1,MAX($V$2:$V58)+1,IF(AND($T59&lt;&gt;"",$T59=$T58),$U58,IF(C59="x",V58,"")))</f>
        <v/>
      </c>
      <c r="X59" cm="1">
        <f t="array" ref="X59">IF($I59&lt;&gt;"",$I59,INDEX($I$1:$I59,ROW()-COUNTIFS($T$1:$T59,"="&amp;$T59,$S$1:$S59,"&lt;"&amp;$S59)))</f>
        <v>41</v>
      </c>
      <c r="Z59" s="6">
        <f t="shared" si="34"/>
        <v>1</v>
      </c>
      <c r="AA59">
        <f t="shared" si="35"/>
        <v>1029</v>
      </c>
      <c r="AB59" t="str">
        <f t="shared" si="36"/>
        <v/>
      </c>
      <c r="AC59">
        <f t="shared" si="37"/>
        <v>1029</v>
      </c>
      <c r="BI59" s="40"/>
      <c r="BL59" s="40"/>
      <c r="BN59" s="19"/>
      <c r="BP59" s="17"/>
    </row>
    <row r="60" spans="1:68" x14ac:dyDescent="0.2">
      <c r="A60">
        <f t="shared" si="9"/>
        <v>1</v>
      </c>
      <c r="E60" s="4"/>
      <c r="F60" s="46"/>
      <c r="G60" s="4"/>
      <c r="H60" s="48" t="s">
        <v>1064</v>
      </c>
      <c r="I60" s="26">
        <v>41</v>
      </c>
      <c r="J60" s="26" t="str">
        <f t="shared" si="41"/>
        <v>o</v>
      </c>
      <c r="K60" t="s">
        <v>238</v>
      </c>
      <c r="L60" t="s">
        <v>174</v>
      </c>
      <c r="M60" t="s">
        <v>85</v>
      </c>
      <c r="N60" t="str">
        <f t="shared" si="43"/>
        <v>s</v>
      </c>
      <c r="O60" t="s">
        <v>143</v>
      </c>
      <c r="Q60" t="str">
        <f t="shared" si="42"/>
        <v>s</v>
      </c>
      <c r="S60">
        <f>IF(A60=1,MAX($S$2:$S59)+1,IF(OR($I60&lt;&gt;"",A60="x"),$S59,""))</f>
        <v>30</v>
      </c>
      <c r="T60" t="str">
        <f>IF(D60=1,MAX($T$2:$T59)+1,IF(S60=S59,$T59,IF(D60="x",T59,IF(D59="x","",""))))</f>
        <v/>
      </c>
      <c r="U60" t="str">
        <f>IF(B60=1,MAX($U$2:$U59)+1,IF(AND($T60&lt;&gt;"",$T60=$T59),$U59,IF(B60="x",U59,"")))</f>
        <v/>
      </c>
      <c r="V60" t="str">
        <f>IF(C60=1,MAX($V$2:$V59)+1,IF(AND($T60&lt;&gt;"",$T60=$T59),$U59,IF(C60="x",V59,"")))</f>
        <v/>
      </c>
      <c r="X60" cm="1">
        <f t="array" ref="X60">IF($I60&lt;&gt;"",$I60,INDEX($I$1:$I60,ROW()-COUNTIFS($T$1:$T60,"="&amp;$T60,$S$1:$S60,"&lt;"&amp;$S60)))</f>
        <v>41</v>
      </c>
      <c r="Z60" s="6">
        <f t="shared" si="34"/>
        <v>1</v>
      </c>
      <c r="AA60">
        <f t="shared" si="35"/>
        <v>1030</v>
      </c>
      <c r="AB60" t="str">
        <f t="shared" si="36"/>
        <v/>
      </c>
      <c r="AC60">
        <f t="shared" si="37"/>
        <v>1030</v>
      </c>
      <c r="BI60" s="40"/>
      <c r="BL60" s="40"/>
      <c r="BN60" s="19"/>
      <c r="BP60" s="17"/>
    </row>
    <row r="61" spans="1:68" x14ac:dyDescent="0.2">
      <c r="A61" t="str">
        <f t="shared" si="9"/>
        <v/>
      </c>
      <c r="E61" s="4"/>
      <c r="F61" s="46"/>
      <c r="G61" s="4"/>
      <c r="H61" s="48"/>
      <c r="I61" s="26">
        <v>84</v>
      </c>
      <c r="J61" s="26" t="str">
        <f t="shared" si="41"/>
        <v/>
      </c>
      <c r="N61" t="str">
        <f t="shared" si="43"/>
        <v/>
      </c>
      <c r="Q61" t="str">
        <f t="shared" si="42"/>
        <v/>
      </c>
      <c r="S61">
        <f>IF(A61=1,MAX($S$2:$S60)+1,IF(OR($I61&lt;&gt;"",A61="x"),$S60,""))</f>
        <v>30</v>
      </c>
      <c r="T61" t="str">
        <f>IF(D61=1,MAX($T$2:$T60)+1,IF(S61=S60,$T60,IF(D61="x",T60,IF(D60="x","",""))))</f>
        <v/>
      </c>
      <c r="U61" t="str">
        <f>IF(B61=1,MAX($U$2:$U60)+1,IF(AND($T61&lt;&gt;"",$T61=$T60),$U60,IF(B61="x",U60,"")))</f>
        <v/>
      </c>
      <c r="V61" t="str">
        <f>IF(C61=1,MAX($V$2:$V60)+1,IF(AND($T61&lt;&gt;"",$T61=$T60),$U60,IF(C61="x",V60,"")))</f>
        <v/>
      </c>
      <c r="X61" cm="1">
        <f t="array" ref="X61">IF($I61&lt;&gt;"",$I61,INDEX($I$1:$I61,ROW()-COUNTIFS($T$1:$T61,"="&amp;$T61,$S$1:$S61,"&lt;"&amp;$S61)))</f>
        <v>84</v>
      </c>
      <c r="Z61" s="6">
        <f t="shared" si="34"/>
        <v>1</v>
      </c>
      <c r="AA61">
        <f t="shared" si="35"/>
        <v>1030</v>
      </c>
      <c r="AB61" t="str">
        <f t="shared" si="36"/>
        <v/>
      </c>
      <c r="AC61">
        <f t="shared" si="37"/>
        <v>1030</v>
      </c>
      <c r="BI61" s="40"/>
      <c r="BL61" s="40"/>
      <c r="BN61" s="19"/>
      <c r="BP61" s="17"/>
    </row>
    <row r="62" spans="1:68" x14ac:dyDescent="0.2">
      <c r="A62">
        <f t="shared" si="9"/>
        <v>1</v>
      </c>
      <c r="E62" s="4"/>
      <c r="F62" s="46"/>
      <c r="G62" s="4"/>
      <c r="H62" s="48"/>
      <c r="I62" s="26">
        <v>41</v>
      </c>
      <c r="J62" s="26" t="str">
        <f t="shared" si="41"/>
        <v>o</v>
      </c>
      <c r="K62" t="s">
        <v>6</v>
      </c>
      <c r="L62" t="s">
        <v>191</v>
      </c>
      <c r="M62" t="s">
        <v>51</v>
      </c>
      <c r="N62" t="str">
        <f t="shared" si="43"/>
        <v>u</v>
      </c>
      <c r="Q62" t="str">
        <f t="shared" si="42"/>
        <v/>
      </c>
      <c r="S62">
        <f>IF(A62=1,MAX($S$2:$S61)+1,IF(OR($I62&lt;&gt;"",A62="x"),$S61,""))</f>
        <v>31</v>
      </c>
      <c r="T62" t="str">
        <f>IF(D62=1,MAX($T$2:$T61)+1,IF(S62=S61,$T61,IF(D62="x",T61,IF(D61="x","",""))))</f>
        <v/>
      </c>
      <c r="U62" t="str">
        <f>IF(B62=1,MAX($U$2:$U61)+1,IF(AND($T62&lt;&gt;"",$T62=$T61),$U61,IF(B62="x",U61,"")))</f>
        <v/>
      </c>
      <c r="V62" t="str">
        <f>IF(C62=1,MAX($V$2:$V61)+1,IF(AND($T62&lt;&gt;"",$T62=$T61),$U61,IF(C62="x",V61,"")))</f>
        <v/>
      </c>
      <c r="X62" cm="1">
        <f t="array" ref="X62">IF($I62&lt;&gt;"",$I62,INDEX($I$1:$I62,ROW()-COUNTIFS($T$1:$T62,"="&amp;$T62,$S$1:$S62,"&lt;"&amp;$S62)))</f>
        <v>41</v>
      </c>
      <c r="Z62" s="6">
        <f t="shared" si="34"/>
        <v>1</v>
      </c>
      <c r="AA62">
        <f t="shared" si="35"/>
        <v>1031</v>
      </c>
      <c r="AB62" t="str">
        <f t="shared" si="36"/>
        <v/>
      </c>
      <c r="AC62">
        <f t="shared" si="37"/>
        <v>1031</v>
      </c>
      <c r="BI62" s="40"/>
      <c r="BL62" s="40"/>
      <c r="BN62" s="19"/>
      <c r="BP62" s="17"/>
    </row>
    <row r="63" spans="1:68" x14ac:dyDescent="0.2">
      <c r="A63" t="str">
        <f t="shared" si="9"/>
        <v/>
      </c>
      <c r="E63" s="4"/>
      <c r="F63" s="46"/>
      <c r="G63" s="4"/>
      <c r="H63" s="48"/>
      <c r="I63" s="26">
        <v>84</v>
      </c>
      <c r="J63" s="26" t="str">
        <f t="shared" si="41"/>
        <v/>
      </c>
      <c r="N63" t="str">
        <f t="shared" si="43"/>
        <v/>
      </c>
      <c r="O63" t="s">
        <v>556</v>
      </c>
      <c r="Q63" t="str">
        <f t="shared" si="42"/>
        <v/>
      </c>
      <c r="S63">
        <f>IF(A63=1,MAX($S$2:$S62)+1,IF(OR($I63&lt;&gt;"",A63="x"),$S62,""))</f>
        <v>31</v>
      </c>
      <c r="T63" t="str">
        <f>IF(D63=1,MAX($T$2:$T62)+1,IF(S63=S62,$T62,IF(D63="x",T62,IF(D62="x","",""))))</f>
        <v/>
      </c>
      <c r="U63" t="str">
        <f>IF(B63=1,MAX($U$2:$U62)+1,IF(AND($T63&lt;&gt;"",$T63=$T62),$U62,IF(B63="x",U62,"")))</f>
        <v/>
      </c>
      <c r="V63" t="str">
        <f>IF(C63=1,MAX($V$2:$V62)+1,IF(AND($T63&lt;&gt;"",$T63=$T62),$U62,IF(C63="x",V62,"")))</f>
        <v/>
      </c>
      <c r="X63" cm="1">
        <f t="array" ref="X63">IF($I63&lt;&gt;"",$I63,INDEX($I$1:$I63,ROW()-COUNTIFS($T$1:$T63,"="&amp;$T63,$S$1:$S63,"&lt;"&amp;$S63)))</f>
        <v>84</v>
      </c>
      <c r="Z63" s="6">
        <f t="shared" si="34"/>
        <v>1</v>
      </c>
      <c r="AA63">
        <f t="shared" si="35"/>
        <v>1031</v>
      </c>
      <c r="AB63" t="str">
        <f t="shared" si="36"/>
        <v/>
      </c>
      <c r="AC63">
        <f t="shared" si="37"/>
        <v>1031</v>
      </c>
      <c r="BI63" s="40"/>
      <c r="BL63" s="40"/>
      <c r="BN63" s="19"/>
      <c r="BP63" s="17"/>
    </row>
    <row r="64" spans="1:68" x14ac:dyDescent="0.2">
      <c r="A64">
        <f t="shared" si="9"/>
        <v>1</v>
      </c>
      <c r="E64" s="4"/>
      <c r="F64" s="46" t="s">
        <v>1047</v>
      </c>
      <c r="G64" s="4"/>
      <c r="H64" s="48" t="s">
        <v>1065</v>
      </c>
      <c r="I64" s="26">
        <v>16</v>
      </c>
      <c r="J64" s="26" t="s">
        <v>368</v>
      </c>
      <c r="K64" t="s">
        <v>13</v>
      </c>
      <c r="L64" t="s">
        <v>587</v>
      </c>
      <c r="N64" t="s">
        <v>594</v>
      </c>
      <c r="O64" t="s">
        <v>909</v>
      </c>
      <c r="Q64" t="str">
        <f t="shared" si="42"/>
        <v>u</v>
      </c>
      <c r="S64">
        <f>IF(A64=1,MAX($S$2:$S63)+1,IF(OR($I64&lt;&gt;"",A64="x"),$S63,""))</f>
        <v>32</v>
      </c>
      <c r="T64" t="str">
        <f>IF(D64=1,MAX($T$2:$T63)+1,IF(S64=S63,$T63,IF(D64="x",T63,IF(D63="x","",""))))</f>
        <v/>
      </c>
      <c r="U64" t="str">
        <f>IF(B64=1,MAX($U$2:$U63)+1,IF(AND($T64&lt;&gt;"",$T64=$T63),$U63,IF(B64="x",U63,"")))</f>
        <v/>
      </c>
      <c r="V64" t="str">
        <f>IF(C64=1,MAX($V$2:$V63)+1,IF(AND($T64&lt;&gt;"",$T64=$T63),$U63,IF(C64="x",V63,"")))</f>
        <v/>
      </c>
      <c r="X64" cm="1">
        <f t="array" ref="X64">IF($I64&lt;&gt;"",$I64,INDEX($I$1:$I64,ROW()-COUNTIFS($T$1:$T64,"="&amp;$T64,$S$1:$S64,"&lt;"&amp;$S64)))</f>
        <v>16</v>
      </c>
      <c r="Z64" s="6">
        <f t="shared" si="34"/>
        <v>1</v>
      </c>
      <c r="AA64">
        <f t="shared" si="35"/>
        <v>1032</v>
      </c>
      <c r="AB64" t="str">
        <f t="shared" si="36"/>
        <v/>
      </c>
      <c r="AC64">
        <f t="shared" si="37"/>
        <v>1032</v>
      </c>
      <c r="BI64" s="40"/>
      <c r="BL64" s="40"/>
      <c r="BN64" s="19"/>
      <c r="BP64" s="17"/>
    </row>
    <row r="65" spans="1:68" x14ac:dyDescent="0.2">
      <c r="A65" t="str">
        <f t="shared" si="9"/>
        <v/>
      </c>
      <c r="E65" s="4"/>
      <c r="F65" s="46"/>
      <c r="G65" s="4"/>
      <c r="H65" s="48"/>
      <c r="I65" s="26">
        <v>22</v>
      </c>
      <c r="J65" s="26" t="str">
        <f t="shared" si="41"/>
        <v/>
      </c>
      <c r="N65" t="str">
        <f t="shared" si="43"/>
        <v/>
      </c>
      <c r="Q65" t="str">
        <f t="shared" si="42"/>
        <v/>
      </c>
      <c r="S65">
        <f>IF(A65=1,MAX($S$2:$S64)+1,IF(OR($I65&lt;&gt;"",A65="x"),$S64,""))</f>
        <v>32</v>
      </c>
      <c r="T65" t="str">
        <f>IF(D65=1,MAX($T$2:$T64)+1,IF(S65=S64,$T64,IF(D65="x",T64,IF(D64="x","",""))))</f>
        <v/>
      </c>
      <c r="U65" t="str">
        <f>IF(B65=1,MAX($U$2:$U64)+1,IF(AND($T65&lt;&gt;"",$T65=$T64),$U64,IF(B65="x",U64,"")))</f>
        <v/>
      </c>
      <c r="V65" t="str">
        <f>IF(C65=1,MAX($V$2:$V64)+1,IF(AND($T65&lt;&gt;"",$T65=$T64),$U64,IF(C65="x",V64,"")))</f>
        <v/>
      </c>
      <c r="X65" cm="1">
        <f t="array" ref="X65">IF($I65&lt;&gt;"",$I65,INDEX($I$1:$I65,ROW()-COUNTIFS($T$1:$T65,"="&amp;$T65,$S$1:$S65,"&lt;"&amp;$S65)))</f>
        <v>22</v>
      </c>
      <c r="Z65" s="6">
        <f t="shared" si="34"/>
        <v>1</v>
      </c>
      <c r="AA65">
        <f t="shared" si="35"/>
        <v>1032</v>
      </c>
      <c r="AB65" t="str">
        <f t="shared" si="36"/>
        <v/>
      </c>
      <c r="AC65">
        <f t="shared" si="37"/>
        <v>1032</v>
      </c>
      <c r="BI65" s="40"/>
      <c r="BL65" s="40"/>
      <c r="BN65" s="19"/>
      <c r="BP65" s="17"/>
    </row>
    <row r="66" spans="1:68" x14ac:dyDescent="0.2">
      <c r="A66">
        <f t="shared" si="9"/>
        <v>1</v>
      </c>
      <c r="D66" s="26">
        <v>1</v>
      </c>
      <c r="E66" s="4"/>
      <c r="F66" s="46"/>
      <c r="G66" s="4"/>
      <c r="H66" s="48"/>
      <c r="I66" s="26">
        <v>16</v>
      </c>
      <c r="J66" s="26" t="s">
        <v>368</v>
      </c>
      <c r="K66" t="s">
        <v>7</v>
      </c>
      <c r="L66" t="s">
        <v>192</v>
      </c>
      <c r="M66" t="s">
        <v>67</v>
      </c>
      <c r="N66" t="str">
        <f t="shared" si="43"/>
        <v>u</v>
      </c>
      <c r="O66" t="s">
        <v>576</v>
      </c>
      <c r="Q66" t="str">
        <f t="shared" si="42"/>
        <v>u</v>
      </c>
      <c r="R66" s="26">
        <v>1</v>
      </c>
      <c r="S66">
        <f>IF(A66=1,MAX($S$2:$S65)+1,IF(OR($I66&lt;&gt;"",A66="x"),$S65,""))</f>
        <v>33</v>
      </c>
      <c r="T66">
        <f>IF(D66=1,MAX($T$2:$T65)+1,IF(S66=S65,$T65,IF(D66="x",T65,IF(D65="x","",""))))</f>
        <v>4</v>
      </c>
      <c r="U66" t="str">
        <f>IF(B66=1,MAX($U$2:$U65)+1,IF(AND($T66&lt;&gt;"",$T66=$T65),$U65,IF(B66="x",U65,"")))</f>
        <v/>
      </c>
      <c r="V66" t="str">
        <f>IF(C66=1,MAX($V$2:$V65)+1,IF(AND($T66&lt;&gt;"",$T66=$T65),$U65,IF(C66="x",V65,"")))</f>
        <v/>
      </c>
      <c r="X66" cm="1">
        <f t="array" ref="X66">IF($I66&lt;&gt;"",$I66,INDEX($I$1:$I66,ROW()-COUNTIFS($T$1:$T66,"="&amp;$T66,$S$1:$S66,"&lt;"&amp;$S66)))</f>
        <v>16</v>
      </c>
      <c r="Z66" s="6">
        <f t="shared" si="34"/>
        <v>1</v>
      </c>
      <c r="AA66">
        <f t="shared" si="35"/>
        <v>1033</v>
      </c>
      <c r="AB66">
        <f t="shared" si="36"/>
        <v>9004</v>
      </c>
      <c r="AC66">
        <f t="shared" si="37"/>
        <v>9004</v>
      </c>
      <c r="BI66" s="40"/>
      <c r="BL66" s="40"/>
      <c r="BN66" s="19"/>
      <c r="BP66" s="17"/>
    </row>
    <row r="67" spans="1:68" x14ac:dyDescent="0.2">
      <c r="A67" t="str">
        <f t="shared" si="9"/>
        <v>x</v>
      </c>
      <c r="D67" s="26" t="s">
        <v>729</v>
      </c>
      <c r="E67" s="4"/>
      <c r="F67" s="46"/>
      <c r="G67" s="4"/>
      <c r="H67" s="48"/>
      <c r="I67" s="26">
        <v>12</v>
      </c>
      <c r="J67" s="26" t="str">
        <f t="shared" si="41"/>
        <v/>
      </c>
      <c r="N67" t="str">
        <f t="shared" si="43"/>
        <v/>
      </c>
      <c r="Q67" t="str">
        <f t="shared" si="42"/>
        <v/>
      </c>
      <c r="S67">
        <f>IF(A67=1,MAX($S$2:$S66)+1,IF(OR($I67&lt;&gt;"",A67="x"),$S66,""))</f>
        <v>33</v>
      </c>
      <c r="T67">
        <f>IF(D67=1,MAX($T$2:$T66)+1,IF(S67=S66,$T66,IF(D67="x",T66,IF(D66="x","",""))))</f>
        <v>4</v>
      </c>
      <c r="U67" t="str">
        <f>IF(B67=1,MAX($U$2:$U66)+1,IF(AND($T67&lt;&gt;"",$T67=$T66),$U66,IF(B67="x",U66,"")))</f>
        <v/>
      </c>
      <c r="V67" t="str">
        <f>IF(C67=1,MAX($V$2:$V66)+1,IF(AND($T67&lt;&gt;"",$T67=$T66),$U66,IF(C67="x",V66,"")))</f>
        <v/>
      </c>
      <c r="X67" cm="1">
        <f t="array" ref="X67">IF($I67&lt;&gt;"",$I67,INDEX($I$1:$I67,ROW()-COUNTIFS($T$1:$T67,"="&amp;$T67,$S$1:$S67,"&lt;"&amp;$S67)))</f>
        <v>12</v>
      </c>
      <c r="Z67" s="6">
        <f t="shared" si="34"/>
        <v>1</v>
      </c>
      <c r="AA67">
        <f t="shared" si="35"/>
        <v>1033</v>
      </c>
      <c r="AB67">
        <f t="shared" si="36"/>
        <v>9004</v>
      </c>
      <c r="AC67">
        <f t="shared" si="37"/>
        <v>9004</v>
      </c>
      <c r="BI67" s="40"/>
      <c r="BL67" s="40"/>
      <c r="BN67" s="19"/>
      <c r="BP67" s="17"/>
    </row>
    <row r="68" spans="1:68" x14ac:dyDescent="0.2">
      <c r="A68" t="str">
        <f t="shared" si="9"/>
        <v>x</v>
      </c>
      <c r="D68" s="26" t="s">
        <v>729</v>
      </c>
      <c r="E68" s="4"/>
      <c r="F68" s="46"/>
      <c r="G68" s="4"/>
      <c r="H68" s="48"/>
      <c r="I68" s="26">
        <v>70</v>
      </c>
      <c r="J68" s="26" t="str">
        <f t="shared" si="41"/>
        <v/>
      </c>
      <c r="N68" t="str">
        <f t="shared" si="43"/>
        <v/>
      </c>
      <c r="O68" t="s">
        <v>782</v>
      </c>
      <c r="Q68" t="str">
        <f t="shared" si="42"/>
        <v/>
      </c>
      <c r="S68">
        <f>IF(A68=1,MAX($S$2:$S67)+1,IF(OR($I68&lt;&gt;"",A68="x"),$S67,""))</f>
        <v>33</v>
      </c>
      <c r="T68">
        <f>IF(D68=1,MAX($T$2:$T67)+1,IF(S68=S67,$T67,IF(D68="x",T67,IF(D67="x","",""))))</f>
        <v>4</v>
      </c>
      <c r="U68" t="str">
        <f>IF(B68=1,MAX($U$2:$U67)+1,IF(AND($T68&lt;&gt;"",$T68=$T67),$U67,IF(B68="x",U67,"")))</f>
        <v/>
      </c>
      <c r="V68" t="str">
        <f>IF(C68=1,MAX($V$2:$V67)+1,IF(AND($T68&lt;&gt;"",$T68=$T67),$U67,IF(C68="x",V67,"")))</f>
        <v/>
      </c>
      <c r="X68" cm="1">
        <f t="array" ref="X68">IF($I68&lt;&gt;"",$I68,INDEX($I$1:$I68,ROW()-COUNTIFS($T$1:$T68,"="&amp;$T68,$S$1:$S68,"&lt;"&amp;$S68)))</f>
        <v>70</v>
      </c>
      <c r="Z68" s="6">
        <f t="shared" si="34"/>
        <v>1</v>
      </c>
      <c r="AA68">
        <f t="shared" si="35"/>
        <v>1033</v>
      </c>
      <c r="AB68">
        <f t="shared" si="36"/>
        <v>9004</v>
      </c>
      <c r="AC68">
        <f t="shared" si="37"/>
        <v>9004</v>
      </c>
      <c r="BI68" s="40"/>
      <c r="BL68" s="40"/>
      <c r="BN68" s="19"/>
      <c r="BP68" s="17"/>
    </row>
    <row r="69" spans="1:68" x14ac:dyDescent="0.2">
      <c r="A69" t="str">
        <f t="shared" ref="A69:A132" si="44">IF(K69&lt;&gt;"",1,IF(D69="x","x",""))</f>
        <v>x</v>
      </c>
      <c r="D69" s="26" t="s">
        <v>729</v>
      </c>
      <c r="E69" s="4"/>
      <c r="F69" s="46"/>
      <c r="G69" s="4"/>
      <c r="H69" s="48"/>
      <c r="I69" s="26">
        <v>22</v>
      </c>
      <c r="J69" s="26" t="str">
        <f t="shared" si="41"/>
        <v/>
      </c>
      <c r="N69" t="str">
        <f t="shared" si="43"/>
        <v/>
      </c>
      <c r="Q69" t="str">
        <f t="shared" si="42"/>
        <v/>
      </c>
      <c r="R69" s="26">
        <v>1</v>
      </c>
      <c r="S69">
        <f>IF(A69=1,MAX($S$2:$S68)+1,IF(OR($I69&lt;&gt;"",A69="x"),$S68,""))</f>
        <v>33</v>
      </c>
      <c r="T69">
        <f>IF(D69=1,MAX($T$2:$T68)+1,IF(S69=S68,$T68,IF(D69="x",T68,IF(D68="x","",""))))</f>
        <v>4</v>
      </c>
      <c r="U69" t="str">
        <f>IF(B69=1,MAX($U$2:$U68)+1,IF(AND($T69&lt;&gt;"",$T69=$T68),$U68,IF(B69="x",U68,"")))</f>
        <v/>
      </c>
      <c r="V69" t="str">
        <f>IF(C69=1,MAX($V$2:$V68)+1,IF(AND($T69&lt;&gt;"",$T69=$T68),$U68,IF(C69="x",V68,"")))</f>
        <v/>
      </c>
      <c r="X69" cm="1">
        <f t="array" ref="X69">IF($I69&lt;&gt;"",$I69,INDEX($I$1:$I69,ROW()-COUNTIFS($T$1:$T69,"="&amp;$T69,$S$1:$S69,"&lt;"&amp;$S69)))</f>
        <v>22</v>
      </c>
      <c r="Z69" s="6">
        <f t="shared" ref="Z69:Z132" si="45">IF(K69="Intermission",Z68+1,Z68)</f>
        <v>1</v>
      </c>
      <c r="AA69">
        <f t="shared" ref="AA69:AA132" si="46">S69+1000</f>
        <v>1033</v>
      </c>
      <c r="AB69">
        <f t="shared" ref="AB69:AB132" si="47">IF(T69&lt;&gt;"",9000+T69,"")</f>
        <v>9004</v>
      </c>
      <c r="AC69">
        <f t="shared" ref="AC69:AC132" si="48">IF(AB69&lt;&gt;"",AB69,S69+1000)</f>
        <v>9004</v>
      </c>
      <c r="BI69" s="40"/>
      <c r="BL69" s="40"/>
      <c r="BN69" s="19"/>
      <c r="BP69" s="17"/>
    </row>
    <row r="70" spans="1:68" x14ac:dyDescent="0.2">
      <c r="A70">
        <f t="shared" si="44"/>
        <v>1</v>
      </c>
      <c r="D70" s="26" t="s">
        <v>729</v>
      </c>
      <c r="E70" s="4"/>
      <c r="F70" s="46"/>
      <c r="G70" s="4"/>
      <c r="H70" s="48"/>
      <c r="J70" s="26" t="s">
        <v>368</v>
      </c>
      <c r="K70" t="s">
        <v>9</v>
      </c>
      <c r="L70" t="s">
        <v>173</v>
      </c>
      <c r="M70" t="s">
        <v>75</v>
      </c>
      <c r="N70" t="str">
        <f t="shared" si="43"/>
        <v>u</v>
      </c>
      <c r="Q70" t="str">
        <f t="shared" si="42"/>
        <v/>
      </c>
      <c r="S70">
        <f>IF(A70=1,MAX($S$2:$S69)+1,IF(OR($I70&lt;&gt;"",A70="x"),$S69,""))</f>
        <v>34</v>
      </c>
      <c r="T70">
        <f>IF(D70=1,MAX($T$2:$T69)+1,IF(S70=S69,$T69,IF(D70="x",T69,IF(D69="x","",""))))</f>
        <v>4</v>
      </c>
      <c r="U70" t="str">
        <f>IF(B70=1,MAX($U$2:$U69)+1,IF(AND($T70&lt;&gt;"",$T70=$T69),$U69,IF(B70="x",U69,"")))</f>
        <v/>
      </c>
      <c r="V70" t="str">
        <f>IF(C70=1,MAX($V$2:$V69)+1,IF(AND($T70&lt;&gt;"",$T70=$T69),$U69,IF(C70="x",V69,"")))</f>
        <v/>
      </c>
      <c r="X70" cm="1">
        <f t="array" ref="X70">IF($I70&lt;&gt;"",$I70,INDEX($I$1:$I70,ROW()-COUNTIFS($T$1:$T70,"="&amp;$T70,$S$1:$S70,"&lt;"&amp;$S70)))</f>
        <v>16</v>
      </c>
      <c r="Z70" s="6">
        <f t="shared" si="45"/>
        <v>1</v>
      </c>
      <c r="AA70">
        <f t="shared" si="46"/>
        <v>1034</v>
      </c>
      <c r="AB70">
        <f t="shared" si="47"/>
        <v>9004</v>
      </c>
      <c r="AC70">
        <f t="shared" si="48"/>
        <v>9004</v>
      </c>
      <c r="BI70" s="40"/>
      <c r="BL70" s="40"/>
      <c r="BN70" s="19"/>
      <c r="BP70" s="17"/>
    </row>
    <row r="71" spans="1:68" x14ac:dyDescent="0.2">
      <c r="A71" t="str">
        <f t="shared" si="44"/>
        <v>x</v>
      </c>
      <c r="D71" s="26" t="s">
        <v>729</v>
      </c>
      <c r="E71" s="4"/>
      <c r="F71" s="46"/>
      <c r="G71" s="4"/>
      <c r="H71" s="48"/>
      <c r="J71" s="26" t="str">
        <f t="shared" ref="J71:J133" si="49">IF(OR(K71="Goal",K71="Shot",L71="Zone_Entry",M71="Stoppage-Goal",M70="Stoppage-Goal"),"o",IF(OR(K71="Save",K71="Rebound",L71="Zone_Exit",M71="Stoppage-GoalieStoppage",M70="Stoppage-GoalieStoppage"),"d",IF(OR(L71="Faceoff_AfterGoal",L71="Faceoff_PeriodStart",698="Faceoff_GameStart",M70="Stoppage-Goal"),"n","")))</f>
        <v/>
      </c>
      <c r="N71" t="str">
        <f t="shared" si="43"/>
        <v/>
      </c>
      <c r="Q71" t="str">
        <f t="shared" si="42"/>
        <v/>
      </c>
      <c r="S71">
        <f>IF(A71=1,MAX($S$2:$S70)+1,IF(OR($I71&lt;&gt;"",A71="x"),$S70,""))</f>
        <v>34</v>
      </c>
      <c r="T71">
        <f>IF(D71=1,MAX($T$2:$T70)+1,IF(S71=S70,$T70,IF(D71="x",T70,IF(D70="x","",""))))</f>
        <v>4</v>
      </c>
      <c r="U71" t="str">
        <f>IF(B71=1,MAX($U$2:$U70)+1,IF(AND($T71&lt;&gt;"",$T71=$T70),$U70,IF(B71="x",U70,"")))</f>
        <v/>
      </c>
      <c r="V71" t="str">
        <f>IF(C71=1,MAX($V$2:$V70)+1,IF(AND($T71&lt;&gt;"",$T71=$T70),$U70,IF(C71="x",V70,"")))</f>
        <v/>
      </c>
      <c r="X71" cm="1">
        <f t="array" ref="X71">IF($I71&lt;&gt;"",$I71,INDEX($I$1:$I71,ROW()-COUNTIFS($T$1:$T71,"="&amp;$T71,$S$1:$S71,"&lt;"&amp;$S71)))</f>
        <v>12</v>
      </c>
      <c r="Z71" s="6">
        <f t="shared" si="45"/>
        <v>1</v>
      </c>
      <c r="AA71">
        <f t="shared" si="46"/>
        <v>1034</v>
      </c>
      <c r="AB71">
        <f t="shared" si="47"/>
        <v>9004</v>
      </c>
      <c r="AC71">
        <f t="shared" si="48"/>
        <v>9004</v>
      </c>
      <c r="BI71" s="40"/>
      <c r="BL71" s="40"/>
      <c r="BN71" s="19"/>
      <c r="BP71" s="17"/>
    </row>
    <row r="72" spans="1:68" x14ac:dyDescent="0.2">
      <c r="A72" t="str">
        <f t="shared" si="44"/>
        <v>x</v>
      </c>
      <c r="D72" s="26" t="s">
        <v>729</v>
      </c>
      <c r="E72" s="4"/>
      <c r="F72" s="46"/>
      <c r="G72" s="4"/>
      <c r="H72" s="48"/>
      <c r="J72" s="26" t="str">
        <f t="shared" si="49"/>
        <v/>
      </c>
      <c r="N72" t="str">
        <f t="shared" si="43"/>
        <v/>
      </c>
      <c r="Q72" t="str">
        <f t="shared" si="42"/>
        <v/>
      </c>
      <c r="S72">
        <f>IF(A72=1,MAX($S$2:$S71)+1,IF(OR($I72&lt;&gt;"",A72="x"),$S71,""))</f>
        <v>34</v>
      </c>
      <c r="T72">
        <f>IF(D72=1,MAX($T$2:$T71)+1,IF(S72=S71,$T71,IF(D72="x",T71,IF(D71="x","",""))))</f>
        <v>4</v>
      </c>
      <c r="U72" t="str">
        <f>IF(B72=1,MAX($U$2:$U71)+1,IF(AND($T72&lt;&gt;"",$T72=$T71),$U71,IF(B72="x",U71,"")))</f>
        <v/>
      </c>
      <c r="V72" t="str">
        <f>IF(C72=1,MAX($V$2:$V71)+1,IF(AND($T72&lt;&gt;"",$T72=$T71),$U71,IF(C72="x",V71,"")))</f>
        <v/>
      </c>
      <c r="X72" cm="1">
        <f t="array" ref="X72">IF($I72&lt;&gt;"",$I72,INDEX($I$1:$I72,ROW()-COUNTIFS($T$1:$T72,"="&amp;$T72,$S$1:$S72,"&lt;"&amp;$S72)))</f>
        <v>70</v>
      </c>
      <c r="Z72" s="6">
        <f t="shared" si="45"/>
        <v>1</v>
      </c>
      <c r="AA72">
        <f t="shared" si="46"/>
        <v>1034</v>
      </c>
      <c r="AB72">
        <f t="shared" si="47"/>
        <v>9004</v>
      </c>
      <c r="AC72">
        <f t="shared" si="48"/>
        <v>9004</v>
      </c>
      <c r="BI72" s="40"/>
      <c r="BL72" s="40"/>
      <c r="BN72" s="19"/>
      <c r="BP72" s="17"/>
    </row>
    <row r="73" spans="1:68" x14ac:dyDescent="0.2">
      <c r="A73" t="str">
        <f t="shared" si="44"/>
        <v>x</v>
      </c>
      <c r="D73" s="26" t="s">
        <v>729</v>
      </c>
      <c r="E73" s="4"/>
      <c r="F73" s="46"/>
      <c r="G73" s="4"/>
      <c r="H73" s="48"/>
      <c r="J73" s="26" t="str">
        <f t="shared" si="49"/>
        <v/>
      </c>
      <c r="N73" t="str">
        <f t="shared" si="43"/>
        <v/>
      </c>
      <c r="Q73" t="str">
        <f t="shared" si="42"/>
        <v/>
      </c>
      <c r="S73">
        <f>IF(A73=1,MAX($S$2:$S72)+1,IF(OR($I73&lt;&gt;"",A73="x"),$S72,""))</f>
        <v>34</v>
      </c>
      <c r="T73">
        <f>IF(D73=1,MAX($T$2:$T72)+1,IF(S73=S72,$T72,IF(D73="x",T72,IF(D72="x","",""))))</f>
        <v>4</v>
      </c>
      <c r="U73" t="str">
        <f>IF(B73=1,MAX($U$2:$U72)+1,IF(AND($T73&lt;&gt;"",$T73=$T72),$U72,IF(B73="x",U72,"")))</f>
        <v/>
      </c>
      <c r="V73" t="str">
        <f>IF(C73=1,MAX($V$2:$V72)+1,IF(AND($T73&lt;&gt;"",$T73=$T72),$U72,IF(C73="x",V72,"")))</f>
        <v/>
      </c>
      <c r="X73" cm="1">
        <f t="array" ref="X73">IF($I73&lt;&gt;"",$I73,INDEX($I$1:$I73,ROW()-COUNTIFS($T$1:$T73,"="&amp;$T73,$S$1:$S73,"&lt;"&amp;$S73)))</f>
        <v>22</v>
      </c>
      <c r="Z73" s="6">
        <f t="shared" si="45"/>
        <v>1</v>
      </c>
      <c r="AA73">
        <f t="shared" si="46"/>
        <v>1034</v>
      </c>
      <c r="AB73">
        <f t="shared" si="47"/>
        <v>9004</v>
      </c>
      <c r="AC73">
        <f t="shared" si="48"/>
        <v>9004</v>
      </c>
      <c r="BI73" s="40"/>
      <c r="BL73" s="40"/>
      <c r="BN73" s="19"/>
      <c r="BP73" s="17"/>
    </row>
    <row r="74" spans="1:68" x14ac:dyDescent="0.2">
      <c r="A74">
        <f t="shared" si="44"/>
        <v>1</v>
      </c>
      <c r="E74" s="4"/>
      <c r="F74" s="46" t="s">
        <v>1042</v>
      </c>
      <c r="G74" s="4"/>
      <c r="H74" s="48" t="s">
        <v>1040</v>
      </c>
      <c r="I74" s="26">
        <v>70</v>
      </c>
      <c r="J74" s="26" t="s">
        <v>736</v>
      </c>
      <c r="K74" t="s">
        <v>13</v>
      </c>
      <c r="L74" t="s">
        <v>586</v>
      </c>
      <c r="N74" t="s">
        <v>595</v>
      </c>
      <c r="O74" t="s">
        <v>907</v>
      </c>
      <c r="Q74" t="str">
        <f t="shared" si="42"/>
        <v>s</v>
      </c>
      <c r="R74" s="26">
        <v>1</v>
      </c>
      <c r="S74">
        <f>IF(A74=1,MAX($S$2:$S73)+1,IF(OR($I74&lt;&gt;"",A74="x"),$S73,""))</f>
        <v>35</v>
      </c>
      <c r="T74" t="str">
        <f>IF(D74=1,MAX($T$2:$T73)+1,IF(S74=S73,$T73,IF(D74="x",T73,IF(D73="x","",""))))</f>
        <v/>
      </c>
      <c r="U74" t="str">
        <f>IF(B74=1,MAX($U$2:$U73)+1,IF(AND($T74&lt;&gt;"",$T74=$T73),$U73,IF(B74="x",U73,"")))</f>
        <v/>
      </c>
      <c r="V74" t="str">
        <f>IF(C74=1,MAX($V$2:$V73)+1,IF(AND($T74&lt;&gt;"",$T74=$T73),$U73,IF(C74="x",V73,"")))</f>
        <v/>
      </c>
      <c r="X74" cm="1">
        <f t="array" ref="X74">IF($I74&lt;&gt;"",$I74,INDEX($I$1:$I74,ROW()-COUNTIFS($T$1:$T74,"="&amp;$T74,$S$1:$S74,"&lt;"&amp;$S74)))</f>
        <v>70</v>
      </c>
      <c r="Z74" s="6">
        <f t="shared" si="45"/>
        <v>1</v>
      </c>
      <c r="AA74">
        <f t="shared" si="46"/>
        <v>1035</v>
      </c>
      <c r="AB74" t="str">
        <f t="shared" si="47"/>
        <v/>
      </c>
      <c r="AC74">
        <f t="shared" si="48"/>
        <v>1035</v>
      </c>
      <c r="BI74" s="40"/>
      <c r="BL74" s="40"/>
      <c r="BN74" s="19"/>
      <c r="BP74" s="17"/>
    </row>
    <row r="75" spans="1:68" x14ac:dyDescent="0.2">
      <c r="A75" t="str">
        <f t="shared" si="44"/>
        <v/>
      </c>
      <c r="E75" s="4"/>
      <c r="F75" s="46"/>
      <c r="G75" s="4"/>
      <c r="H75" s="48"/>
      <c r="I75" s="26">
        <v>73</v>
      </c>
      <c r="N75" t="str">
        <f t="shared" si="43"/>
        <v/>
      </c>
      <c r="Q75" t="str">
        <f t="shared" si="42"/>
        <v/>
      </c>
      <c r="R75" s="26">
        <v>1</v>
      </c>
      <c r="S75">
        <f>IF(A75=1,MAX($S$2:$S74)+1,IF(OR($I75&lt;&gt;"",A75="x"),$S74,""))</f>
        <v>35</v>
      </c>
      <c r="T75" t="str">
        <f>IF(D75=1,MAX($T$2:$T74)+1,IF(S75=S74,$T74,IF(D75="x",T74,IF(D74="x","",""))))</f>
        <v/>
      </c>
      <c r="U75" t="str">
        <f>IF(B75=1,MAX($U$2:$U74)+1,IF(AND($T75&lt;&gt;"",$T75=$T74),$U74,IF(B75="x",U74,"")))</f>
        <v/>
      </c>
      <c r="V75" t="str">
        <f>IF(C75=1,MAX($V$2:$V74)+1,IF(AND($T75&lt;&gt;"",$T75=$T74),$U74,IF(C75="x",V74,"")))</f>
        <v/>
      </c>
      <c r="X75" cm="1">
        <f t="array" ref="X75">IF($I75&lt;&gt;"",$I75,INDEX($I$1:$I75,ROW()-COUNTIFS($T$1:$T75,"="&amp;$T75,$S$1:$S75,"&lt;"&amp;$S75)))</f>
        <v>73</v>
      </c>
      <c r="Z75" s="6">
        <f t="shared" si="45"/>
        <v>1</v>
      </c>
      <c r="AA75">
        <f t="shared" si="46"/>
        <v>1035</v>
      </c>
      <c r="AB75" t="str">
        <f t="shared" si="47"/>
        <v/>
      </c>
      <c r="AC75">
        <f t="shared" si="48"/>
        <v>1035</v>
      </c>
      <c r="BI75" s="40"/>
      <c r="BL75" s="40"/>
      <c r="BN75" s="19"/>
      <c r="BP75" s="17"/>
    </row>
    <row r="76" spans="1:68" x14ac:dyDescent="0.2">
      <c r="A76">
        <f t="shared" si="44"/>
        <v>1</v>
      </c>
      <c r="D76" s="26">
        <v>1</v>
      </c>
      <c r="E76" s="4"/>
      <c r="F76" s="46"/>
      <c r="G76" s="4"/>
      <c r="H76" s="48"/>
      <c r="I76" s="26">
        <v>70</v>
      </c>
      <c r="J76" s="26" t="s">
        <v>736</v>
      </c>
      <c r="K76" t="s">
        <v>6</v>
      </c>
      <c r="L76" t="s">
        <v>205</v>
      </c>
      <c r="M76" t="s">
        <v>61</v>
      </c>
      <c r="N76" t="str">
        <f t="shared" si="43"/>
        <v>s</v>
      </c>
      <c r="O76" t="s">
        <v>450</v>
      </c>
      <c r="Q76" t="str">
        <f t="shared" si="42"/>
        <v>s</v>
      </c>
      <c r="S76">
        <f>IF(A76=1,MAX($S$2:$S75)+1,IF(OR($I76&lt;&gt;"",A76="x"),$S75,""))</f>
        <v>36</v>
      </c>
      <c r="T76">
        <f>IF(D76=1,MAX($T$2:$T75)+1,IF(S76=S75,$T75,IF(D76="x",T75,IF(D75="x","",""))))</f>
        <v>5</v>
      </c>
      <c r="U76" t="str">
        <f>IF(B76=1,MAX($U$2:$U75)+1,IF(AND($T76&lt;&gt;"",$T76=$T75),$U75,IF(B76="x",U75,"")))</f>
        <v/>
      </c>
      <c r="V76" t="str">
        <f>IF(C76=1,MAX($V$2:$V75)+1,IF(AND($T76&lt;&gt;"",$T76=$T75),$U75,IF(C76="x",V75,"")))</f>
        <v/>
      </c>
      <c r="X76" cm="1">
        <f t="array" ref="X76">IF($I76&lt;&gt;"",$I76,INDEX($I$1:$I76,ROW()-COUNTIFS($T$1:$T76,"="&amp;$T76,$S$1:$S76,"&lt;"&amp;$S76)))</f>
        <v>70</v>
      </c>
      <c r="Z76" s="6">
        <f t="shared" si="45"/>
        <v>1</v>
      </c>
      <c r="AA76">
        <f t="shared" si="46"/>
        <v>1036</v>
      </c>
      <c r="AB76">
        <f t="shared" si="47"/>
        <v>9005</v>
      </c>
      <c r="AC76">
        <f t="shared" si="48"/>
        <v>9005</v>
      </c>
      <c r="BI76" s="40"/>
      <c r="BL76" s="40"/>
      <c r="BN76" s="19"/>
      <c r="BP76" s="17"/>
    </row>
    <row r="77" spans="1:68" x14ac:dyDescent="0.2">
      <c r="A77">
        <f t="shared" si="44"/>
        <v>1</v>
      </c>
      <c r="D77" s="26" t="s">
        <v>729</v>
      </c>
      <c r="E77" s="4"/>
      <c r="F77" s="46"/>
      <c r="G77" s="4"/>
      <c r="H77" s="48"/>
      <c r="J77" s="26" t="s">
        <v>736</v>
      </c>
      <c r="K77" t="s">
        <v>238</v>
      </c>
      <c r="L77" t="s">
        <v>184</v>
      </c>
      <c r="M77" t="s">
        <v>727</v>
      </c>
      <c r="N77" t="str">
        <f t="shared" si="43"/>
        <v>s</v>
      </c>
      <c r="Q77" t="str">
        <f t="shared" si="42"/>
        <v/>
      </c>
      <c r="S77">
        <f>IF(A77=1,MAX($S$2:$S76)+1,IF(OR($I77&lt;&gt;"",A77="x"),$S76,""))</f>
        <v>37</v>
      </c>
      <c r="T77">
        <f>IF(D77=1,MAX($T$2:$T76)+1,IF(S77=S76,$T76,IF(D77="x",T76,IF(D76="x","",""))))</f>
        <v>5</v>
      </c>
      <c r="U77" t="str">
        <f>IF(B77=1,MAX($U$2:$U76)+1,IF(AND($T77&lt;&gt;"",$T77=$T76),$U76,IF(B77="x",U76,"")))</f>
        <v/>
      </c>
      <c r="V77" t="str">
        <f>IF(C77=1,MAX($V$2:$V76)+1,IF(AND($T77&lt;&gt;"",$T77=$T76),$U76,IF(C77="x",V76,"")))</f>
        <v/>
      </c>
      <c r="X77" cm="1">
        <f t="array" ref="X77">IF($I77&lt;&gt;"",$I77,INDEX($I$1:$I77,ROW()-COUNTIFS($T$1:$T77,"="&amp;$T77,$S$1:$S77,"&lt;"&amp;$S77)))</f>
        <v>70</v>
      </c>
      <c r="Z77" s="6">
        <f t="shared" si="45"/>
        <v>1</v>
      </c>
      <c r="AA77">
        <f t="shared" si="46"/>
        <v>1037</v>
      </c>
      <c r="AB77">
        <f t="shared" si="47"/>
        <v>9005</v>
      </c>
      <c r="AC77">
        <f t="shared" si="48"/>
        <v>9005</v>
      </c>
      <c r="BI77" s="40"/>
      <c r="BL77" s="40"/>
      <c r="BN77" s="19"/>
      <c r="BP77" s="17"/>
    </row>
    <row r="78" spans="1:68" x14ac:dyDescent="0.2">
      <c r="A78">
        <f t="shared" si="44"/>
        <v>1</v>
      </c>
      <c r="D78" s="26" t="s">
        <v>729</v>
      </c>
      <c r="E78" s="4"/>
      <c r="F78" s="46"/>
      <c r="G78" s="4"/>
      <c r="H78" s="48"/>
      <c r="J78" s="26" t="s">
        <v>736</v>
      </c>
      <c r="K78" t="s">
        <v>238</v>
      </c>
      <c r="L78" t="s">
        <v>174</v>
      </c>
      <c r="M78" t="s">
        <v>375</v>
      </c>
      <c r="N78" t="str">
        <f t="shared" si="43"/>
        <v>u</v>
      </c>
      <c r="Q78" t="str">
        <f t="shared" si="42"/>
        <v/>
      </c>
      <c r="S78">
        <f>IF(A78=1,MAX($S$2:$S77)+1,IF(OR($I78&lt;&gt;"",A78="x"),$S77,""))</f>
        <v>38</v>
      </c>
      <c r="T78">
        <f>IF(D78=1,MAX($T$2:$T77)+1,IF(S78=S77,$T77,IF(D78="x",T77,IF(D77="x","",""))))</f>
        <v>5</v>
      </c>
      <c r="U78" t="str">
        <f>IF(B78=1,MAX($U$2:$U77)+1,IF(AND($T78&lt;&gt;"",$T78=$T77),$U77,IF(B78="x",U77,"")))</f>
        <v/>
      </c>
      <c r="V78" t="str">
        <f>IF(C78=1,MAX($V$2:$V77)+1,IF(AND($T78&lt;&gt;"",$T78=$T77),$U77,IF(C78="x",V77,"")))</f>
        <v/>
      </c>
      <c r="X78" cm="1">
        <f t="array" ref="X78">IF($I78&lt;&gt;"",$I78,INDEX($I$1:$I78,ROW()-COUNTIFS($T$1:$T78,"="&amp;$T78,$S$1:$S78,"&lt;"&amp;$S78)))</f>
        <v>70</v>
      </c>
      <c r="Z78" s="6">
        <f t="shared" si="45"/>
        <v>1</v>
      </c>
      <c r="AA78">
        <f t="shared" si="46"/>
        <v>1038</v>
      </c>
      <c r="AB78">
        <f t="shared" si="47"/>
        <v>9005</v>
      </c>
      <c r="AC78">
        <f t="shared" si="48"/>
        <v>9005</v>
      </c>
      <c r="BI78" s="40"/>
      <c r="BL78" s="40"/>
      <c r="BN78" s="19"/>
      <c r="BP78" s="17"/>
    </row>
    <row r="79" spans="1:68" x14ac:dyDescent="0.2">
      <c r="A79">
        <f t="shared" si="44"/>
        <v>1</v>
      </c>
      <c r="D79" s="26" t="s">
        <v>729</v>
      </c>
      <c r="E79" s="4"/>
      <c r="F79" s="46"/>
      <c r="G79" s="4"/>
      <c r="H79" s="48"/>
      <c r="J79" s="26" t="s">
        <v>736</v>
      </c>
      <c r="K79" t="s">
        <v>9</v>
      </c>
      <c r="L79" t="s">
        <v>173</v>
      </c>
      <c r="M79" t="s">
        <v>354</v>
      </c>
      <c r="N79" t="str">
        <f t="shared" si="43"/>
        <v>u</v>
      </c>
      <c r="Q79" t="str">
        <f t="shared" si="42"/>
        <v/>
      </c>
      <c r="S79">
        <f>IF(A79=1,MAX($S$2:$S78)+1,IF(OR($I79&lt;&gt;"",A79="x"),$S78,""))</f>
        <v>39</v>
      </c>
      <c r="T79">
        <f>IF(D79=1,MAX($T$2:$T78)+1,IF(S79=S78,$T78,IF(D79="x",T78,IF(D78="x","",""))))</f>
        <v>5</v>
      </c>
      <c r="U79" t="str">
        <f>IF(B79=1,MAX($U$2:$U78)+1,IF(AND($T79&lt;&gt;"",$T79=$T78),$U78,IF(B79="x",U78,"")))</f>
        <v/>
      </c>
      <c r="V79" t="str">
        <f>IF(C79=1,MAX($V$2:$V78)+1,IF(AND($T79&lt;&gt;"",$T79=$T78),$U78,IF(C79="x",V78,"")))</f>
        <v/>
      </c>
      <c r="X79" cm="1">
        <f t="array" ref="X79">IF($I79&lt;&gt;"",$I79,INDEX($I$1:$I79,ROW()-COUNTIFS($T$1:$T79,"="&amp;$T79,$S$1:$S79,"&lt;"&amp;$S79)))</f>
        <v>70</v>
      </c>
      <c r="Z79" s="6">
        <f t="shared" si="45"/>
        <v>1</v>
      </c>
      <c r="AA79">
        <f t="shared" si="46"/>
        <v>1039</v>
      </c>
      <c r="AB79">
        <f t="shared" si="47"/>
        <v>9005</v>
      </c>
      <c r="AC79">
        <f t="shared" si="48"/>
        <v>9005</v>
      </c>
      <c r="BI79" s="40"/>
      <c r="BL79" s="40"/>
      <c r="BN79" s="19"/>
      <c r="BP79" s="17"/>
    </row>
    <row r="80" spans="1:68" x14ac:dyDescent="0.2">
      <c r="A80">
        <f t="shared" si="44"/>
        <v>1</v>
      </c>
      <c r="D80" s="26" t="s">
        <v>729</v>
      </c>
      <c r="E80" s="4"/>
      <c r="F80" s="46"/>
      <c r="G80" s="4"/>
      <c r="H80" s="48"/>
      <c r="I80" s="26">
        <v>1</v>
      </c>
      <c r="J80" s="26" t="str">
        <f t="shared" si="49"/>
        <v>d</v>
      </c>
      <c r="K80" t="s">
        <v>15</v>
      </c>
      <c r="L80" t="s">
        <v>384</v>
      </c>
      <c r="M80" t="s">
        <v>98</v>
      </c>
      <c r="N80" t="str">
        <f t="shared" si="43"/>
        <v/>
      </c>
      <c r="Q80" t="str">
        <f t="shared" ref="Q80:Q143" si="50">IF(O80="","",IF(AND(N80&lt;&gt;"",OR(O80&lt;&gt;"",P80&lt;&gt;"")),N80,IF(OR(ISNUMBER(SEARCH("attemp",O80)),ISNUMBER(SEARCH("beat",O80)),ISNUMBER(SEARCH("mis",O80)),ISNUMBER(SEARCH("fail",O80)),ISNUMBER(SEARCH("loss",O80)),ISNUMBER(SEARCH("lost",O80)),ISNUMBER(SEARCH("attemp",P80)),ISNUMBER(SEARCH("mis",P80)),ISNUMBER(SEARCH("fail",P80)),ISNUMBER(SEARCH("loss",P80)),ISNUMBER(SEARCH("beat",P80)),ISNUMBER(SEARCH("lost",P80))),"u","")))</f>
        <v/>
      </c>
      <c r="S80">
        <f>IF(A80=1,MAX($S$2:$S79)+1,IF(OR($I80&lt;&gt;"",A80="x"),$S79,""))</f>
        <v>40</v>
      </c>
      <c r="T80">
        <f>IF(D80=1,MAX($T$2:$T79)+1,IF(S80=S79,$T79,IF(D80="x",T79,IF(D79="x","",""))))</f>
        <v>5</v>
      </c>
      <c r="U80" t="str">
        <f>IF(B80=1,MAX($U$2:$U79)+1,IF(AND($T80&lt;&gt;"",$T80=$T79),$U79,IF(B80="x",U79,"")))</f>
        <v/>
      </c>
      <c r="V80" t="str">
        <f>IF(C80=1,MAX($V$2:$V79)+1,IF(AND($T80&lt;&gt;"",$T80=$T79),$U79,IF(C80="x",V79,"")))</f>
        <v/>
      </c>
      <c r="X80" cm="1">
        <f t="array" ref="X80">IF($I80&lt;&gt;"",$I80,INDEX($I$1:$I80,ROW()-COUNTIFS($T$1:$T80,"="&amp;$T80,$S$1:$S80,"&lt;"&amp;$S80)))</f>
        <v>1</v>
      </c>
      <c r="Z80" s="6">
        <f t="shared" si="45"/>
        <v>1</v>
      </c>
      <c r="AA80">
        <f t="shared" si="46"/>
        <v>1040</v>
      </c>
      <c r="AB80">
        <f t="shared" si="47"/>
        <v>9005</v>
      </c>
      <c r="AC80">
        <f t="shared" si="48"/>
        <v>9005</v>
      </c>
      <c r="BI80" s="40"/>
      <c r="BL80" s="40"/>
      <c r="BN80" s="19"/>
      <c r="BP80" s="17"/>
    </row>
    <row r="81" spans="1:68" x14ac:dyDescent="0.2">
      <c r="A81">
        <f t="shared" si="44"/>
        <v>1</v>
      </c>
      <c r="E81" s="4" t="s">
        <v>1054</v>
      </c>
      <c r="F81" s="46" t="s">
        <v>1033</v>
      </c>
      <c r="G81" s="4"/>
      <c r="H81" s="48"/>
      <c r="I81" s="26">
        <v>1</v>
      </c>
      <c r="J81" s="26" t="s">
        <v>736</v>
      </c>
      <c r="K81" t="s">
        <v>7</v>
      </c>
      <c r="L81" t="s">
        <v>172</v>
      </c>
      <c r="M81" t="s">
        <v>372</v>
      </c>
      <c r="N81" t="str">
        <f t="shared" si="43"/>
        <v>s</v>
      </c>
      <c r="Q81" t="str">
        <f t="shared" si="50"/>
        <v/>
      </c>
      <c r="S81">
        <f>IF(A81=1,MAX($S$2:$S80)+1,IF(OR($I81&lt;&gt;"",A81="x"),$S80,""))</f>
        <v>41</v>
      </c>
      <c r="T81" t="str">
        <f>IF(D81=1,MAX($T$2:$T80)+1,IF(S81=S80,$T80,IF(D81="x",T80,IF(D80="x","",""))))</f>
        <v/>
      </c>
      <c r="U81" t="str">
        <f>IF(B81=1,MAX($U$2:$U80)+1,IF(AND($T81&lt;&gt;"",$T81=$T80),$U80,IF(B81="x",U80,"")))</f>
        <v/>
      </c>
      <c r="V81" t="str">
        <f>IF(C81=1,MAX($V$2:$V80)+1,IF(AND($T81&lt;&gt;"",$T81=$T80),$U80,IF(C81="x",V80,"")))</f>
        <v/>
      </c>
      <c r="X81" cm="1">
        <f t="array" ref="X81">IF($I81&lt;&gt;"",$I81,INDEX($I$1:$I81,ROW()-COUNTIFS($T$1:$T81,"="&amp;$T81,$S$1:$S81,"&lt;"&amp;$S81)))</f>
        <v>1</v>
      </c>
      <c r="Z81" s="6">
        <f t="shared" si="45"/>
        <v>1</v>
      </c>
      <c r="AA81">
        <f t="shared" si="46"/>
        <v>1041</v>
      </c>
      <c r="AB81" t="str">
        <f t="shared" si="47"/>
        <v/>
      </c>
      <c r="AC81">
        <f t="shared" si="48"/>
        <v>1041</v>
      </c>
      <c r="BI81" s="40"/>
      <c r="BL81" s="40"/>
      <c r="BN81" s="19"/>
      <c r="BP81" s="17"/>
    </row>
    <row r="82" spans="1:68" x14ac:dyDescent="0.2">
      <c r="A82" t="str">
        <f t="shared" si="44"/>
        <v/>
      </c>
      <c r="E82" s="4"/>
      <c r="F82" s="46"/>
      <c r="G82" s="4"/>
      <c r="H82" s="48"/>
      <c r="I82" s="26">
        <v>19</v>
      </c>
      <c r="J82" s="26" t="str">
        <f t="shared" si="49"/>
        <v/>
      </c>
      <c r="N82" t="str">
        <f t="shared" si="43"/>
        <v/>
      </c>
      <c r="Q82" t="str">
        <f t="shared" si="50"/>
        <v/>
      </c>
      <c r="S82">
        <f>IF(A82=1,MAX($S$2:$S81)+1,IF(OR($I82&lt;&gt;"",A82="x"),$S81,""))</f>
        <v>41</v>
      </c>
      <c r="T82" t="str">
        <f>IF(D82=1,MAX($T$2:$T81)+1,IF(S82=S81,$T81,IF(D82="x",T81,IF(D81="x","",""))))</f>
        <v/>
      </c>
      <c r="U82" t="str">
        <f>IF(B82=1,MAX($U$2:$U81)+1,IF(AND($T82&lt;&gt;"",$T82=$T81),$U81,IF(B82="x",U81,"")))</f>
        <v/>
      </c>
      <c r="V82" t="str">
        <f>IF(C82=1,MAX($V$2:$V81)+1,IF(AND($T82&lt;&gt;"",$T82=$T81),$U81,IF(C82="x",V81,"")))</f>
        <v/>
      </c>
      <c r="X82" cm="1">
        <f t="array" ref="X82">IF($I82&lt;&gt;"",$I82,INDEX($I$1:$I82,ROW()-COUNTIFS($T$1:$T82,"="&amp;$T82,$S$1:$S82,"&lt;"&amp;$S82)))</f>
        <v>19</v>
      </c>
      <c r="Z82" s="6">
        <f t="shared" si="45"/>
        <v>1</v>
      </c>
      <c r="AA82">
        <f t="shared" si="46"/>
        <v>1041</v>
      </c>
      <c r="AB82" t="str">
        <f t="shared" si="47"/>
        <v/>
      </c>
      <c r="AC82">
        <f t="shared" si="48"/>
        <v>1041</v>
      </c>
      <c r="BI82" s="40"/>
      <c r="BL82" s="40"/>
      <c r="BN82" s="19"/>
      <c r="BP82" s="17"/>
    </row>
    <row r="83" spans="1:68" x14ac:dyDescent="0.2">
      <c r="A83">
        <f t="shared" si="44"/>
        <v>1</v>
      </c>
      <c r="E83" s="4"/>
      <c r="F83" s="46"/>
      <c r="G83" s="4" t="s">
        <v>1054</v>
      </c>
      <c r="H83" s="48" t="s">
        <v>1059</v>
      </c>
      <c r="I83" s="26">
        <v>19</v>
      </c>
      <c r="J83" s="26" t="s">
        <v>736</v>
      </c>
      <c r="K83" t="s">
        <v>13</v>
      </c>
      <c r="L83" t="s">
        <v>574</v>
      </c>
      <c r="N83" t="str">
        <f t="shared" si="43"/>
        <v/>
      </c>
      <c r="Q83" t="str">
        <f t="shared" si="50"/>
        <v/>
      </c>
      <c r="S83">
        <f>IF(A83=1,MAX($S$2:$S82)+1,IF(OR($I83&lt;&gt;"",A83="x"),$S82,""))</f>
        <v>42</v>
      </c>
      <c r="T83" t="str">
        <f>IF(D83=1,MAX($T$2:$T82)+1,IF(S83=S82,$T82,IF(D83="x",T82,IF(D82="x","",""))))</f>
        <v/>
      </c>
      <c r="U83" t="str">
        <f>IF(B83=1,MAX($U$2:$U82)+1,IF(AND($T83&lt;&gt;"",$T83=$T82),$U82,IF(B83="x",U82,"")))</f>
        <v/>
      </c>
      <c r="V83" t="str">
        <f>IF(C83=1,MAX($V$2:$V82)+1,IF(AND($T83&lt;&gt;"",$T83=$T82),$U82,IF(C83="x",V82,"")))</f>
        <v/>
      </c>
      <c r="X83" cm="1">
        <f t="array" ref="X83">IF($I83&lt;&gt;"",$I83,INDEX($I$1:$I83,ROW()-COUNTIFS($T$1:$T83,"="&amp;$T83,$S$1:$S83,"&lt;"&amp;$S83)))</f>
        <v>19</v>
      </c>
      <c r="Z83" s="6">
        <f t="shared" si="45"/>
        <v>1</v>
      </c>
      <c r="AA83">
        <f t="shared" si="46"/>
        <v>1042</v>
      </c>
      <c r="AB83" t="str">
        <f t="shared" si="47"/>
        <v/>
      </c>
      <c r="AC83">
        <f t="shared" si="48"/>
        <v>1042</v>
      </c>
      <c r="BI83" s="40"/>
      <c r="BL83" s="40"/>
      <c r="BN83" s="19"/>
      <c r="BP83" s="17"/>
    </row>
    <row r="84" spans="1:68" x14ac:dyDescent="0.2">
      <c r="A84">
        <f t="shared" si="44"/>
        <v>1</v>
      </c>
      <c r="E84" s="4"/>
      <c r="F84" s="46"/>
      <c r="G84" s="4"/>
      <c r="H84" s="48"/>
      <c r="I84" s="26">
        <v>19</v>
      </c>
      <c r="J84" s="26" t="str">
        <f t="shared" si="49"/>
        <v/>
      </c>
      <c r="K84" t="s">
        <v>7</v>
      </c>
      <c r="L84" t="s">
        <v>182</v>
      </c>
      <c r="M84" t="s">
        <v>66</v>
      </c>
      <c r="N84" t="str">
        <f t="shared" si="43"/>
        <v>u</v>
      </c>
      <c r="O84" t="s">
        <v>767</v>
      </c>
      <c r="Q84" t="str">
        <f t="shared" si="50"/>
        <v>u</v>
      </c>
      <c r="S84">
        <f>IF(A84=1,MAX($S$2:$S83)+1,IF(OR($I84&lt;&gt;"",A84="x"),$S83,""))</f>
        <v>43</v>
      </c>
      <c r="T84" t="str">
        <f>IF(D84=1,MAX($T$2:$T83)+1,IF(S84=S83,$T83,IF(D84="x",T83,IF(D83="x","",""))))</f>
        <v/>
      </c>
      <c r="U84" t="str">
        <f>IF(B84=1,MAX($U$2:$U83)+1,IF(AND($T84&lt;&gt;"",$T84=$T83),$U83,IF(B84="x",U83,"")))</f>
        <v/>
      </c>
      <c r="V84" t="str">
        <f>IF(C84=1,MAX($V$2:$V83)+1,IF(AND($T84&lt;&gt;"",$T84=$T83),$U83,IF(C84="x",V83,"")))</f>
        <v/>
      </c>
      <c r="X84" cm="1">
        <f t="array" ref="X84">IF($I84&lt;&gt;"",$I84,INDEX($I$1:$I84,ROW()-COUNTIFS($T$1:$T84,"="&amp;$T84,$S$1:$S84,"&lt;"&amp;$S84)))</f>
        <v>19</v>
      </c>
      <c r="Z84" s="6">
        <f t="shared" si="45"/>
        <v>1</v>
      </c>
      <c r="AA84">
        <f t="shared" si="46"/>
        <v>1043</v>
      </c>
      <c r="AB84" t="str">
        <f t="shared" si="47"/>
        <v/>
      </c>
      <c r="AC84">
        <f t="shared" si="48"/>
        <v>1043</v>
      </c>
      <c r="BI84" s="40"/>
      <c r="BL84" s="40"/>
      <c r="BN84" s="19"/>
      <c r="BP84" s="17"/>
    </row>
    <row r="85" spans="1:68" x14ac:dyDescent="0.2">
      <c r="A85" t="str">
        <f t="shared" si="44"/>
        <v/>
      </c>
      <c r="E85" s="4"/>
      <c r="F85" s="46"/>
      <c r="G85" s="4"/>
      <c r="H85" s="48"/>
      <c r="I85" s="26">
        <v>12</v>
      </c>
      <c r="J85" s="26" t="str">
        <f t="shared" si="49"/>
        <v/>
      </c>
      <c r="N85" t="str">
        <f t="shared" ref="N85:N148" si="51">IF(K85="","",IF(K85="Goal","s",IF(AND(K85="Zone_Entry_Exit",OR(ISNUMBER(SEARCH("fail",L85)),ISNUMBER(SEARCH("FromExitClear",M85)),ISNUMBER(SEARCH("miss",M85)))),"u",IF(AND(K85="Zone_Entry_Exit",OR(NOT(ISNUMBER(SEARCH("fail",L85))),NOT(ISNUMBER(SEARCH("FromExitClear",M85))),NOT(ISNUMBER(SEARCH("miss",M85))))),"s",IF(AND(OR(K85="Shot",K85="Pass"),OR(ISNUMBER(SEARCH("complete",L85)),ISNUMBER(SEARCH("goal",L85)),ISNUMBER(SEARCH("OnNet",L85)))),"s",IF(L85="Turnover_Giveaway","u",IF(AND(OR(K85="Shot",K85="Pass"),OR(ISNUMBER(SEARCH("fail",L85)),NOT(ISNUMBER(SEARCH("complete",L85))),NOT(ISNUMBER(SEARCH("OnNet",L85))))),"u","")))))))</f>
        <v/>
      </c>
      <c r="Q85" t="str">
        <f t="shared" si="50"/>
        <v/>
      </c>
      <c r="S85">
        <f>IF(A85=1,MAX($S$2:$S84)+1,IF(OR($I85&lt;&gt;"",A85="x"),$S84,""))</f>
        <v>43</v>
      </c>
      <c r="T85" t="str">
        <f>IF(D85=1,MAX($T$2:$T84)+1,IF(S85=S84,$T84,IF(D85="x",T84,IF(D84="x","",""))))</f>
        <v/>
      </c>
      <c r="U85" t="str">
        <f>IF(B85=1,MAX($U$2:$U84)+1,IF(AND($T85&lt;&gt;"",$T85=$T84),$U84,IF(B85="x",U84,"")))</f>
        <v/>
      </c>
      <c r="V85" t="str">
        <f>IF(C85=1,MAX($V$2:$V84)+1,IF(AND($T85&lt;&gt;"",$T85=$T84),$U84,IF(C85="x",V84,"")))</f>
        <v/>
      </c>
      <c r="X85" cm="1">
        <f t="array" ref="X85">IF($I85&lt;&gt;"",$I85,INDEX($I$1:$I85,ROW()-COUNTIFS($T$1:$T85,"="&amp;$T85,$S$1:$S85,"&lt;"&amp;$S85)))</f>
        <v>12</v>
      </c>
      <c r="Z85" s="6">
        <f t="shared" si="45"/>
        <v>1</v>
      </c>
      <c r="AA85">
        <f t="shared" si="46"/>
        <v>1043</v>
      </c>
      <c r="AB85" t="str">
        <f t="shared" si="47"/>
        <v/>
      </c>
      <c r="AC85">
        <f t="shared" si="48"/>
        <v>1043</v>
      </c>
      <c r="BI85" s="40"/>
      <c r="BL85" s="40"/>
      <c r="BN85" s="19"/>
      <c r="BP85" s="17"/>
    </row>
    <row r="86" spans="1:68" x14ac:dyDescent="0.2">
      <c r="A86">
        <f t="shared" si="44"/>
        <v>1</v>
      </c>
      <c r="D86" s="26">
        <v>1</v>
      </c>
      <c r="E86" s="4"/>
      <c r="F86" s="46"/>
      <c r="G86" s="4"/>
      <c r="H86" s="48"/>
      <c r="I86" s="26">
        <v>19</v>
      </c>
      <c r="J86" s="26" t="str">
        <f t="shared" si="49"/>
        <v>d</v>
      </c>
      <c r="K86" t="s">
        <v>238</v>
      </c>
      <c r="L86" t="s">
        <v>184</v>
      </c>
      <c r="M86" t="s">
        <v>376</v>
      </c>
      <c r="N86" t="str">
        <f t="shared" si="51"/>
        <v>u</v>
      </c>
      <c r="Q86" t="str">
        <f t="shared" si="50"/>
        <v/>
      </c>
      <c r="S86">
        <f>IF(A86=1,MAX($S$2:$S85)+1,IF(OR($I86&lt;&gt;"",A86="x"),$S85,""))</f>
        <v>44</v>
      </c>
      <c r="T86">
        <f>IF(D86=1,MAX($T$2:$T85)+1,IF(S86=S85,$T85,IF(D86="x",T85,IF(D85="x","",""))))</f>
        <v>6</v>
      </c>
      <c r="U86" t="str">
        <f>IF(B86=1,MAX($U$2:$U85)+1,IF(AND($T86&lt;&gt;"",$T86=$T85),$U85,IF(B86="x",U85,"")))</f>
        <v/>
      </c>
      <c r="V86" t="str">
        <f>IF(C86=1,MAX($V$2:$V85)+1,IF(AND($T86&lt;&gt;"",$T86=$T85),$U85,IF(C86="x",V85,"")))</f>
        <v/>
      </c>
      <c r="X86" cm="1">
        <f t="array" ref="X86">IF($I86&lt;&gt;"",$I86,INDEX($I$1:$I86,ROW()-COUNTIFS($T$1:$T86,"="&amp;$T86,$S$1:$S86,"&lt;"&amp;$S86)))</f>
        <v>19</v>
      </c>
      <c r="Z86" s="6">
        <f t="shared" si="45"/>
        <v>1</v>
      </c>
      <c r="AA86">
        <f t="shared" si="46"/>
        <v>1044</v>
      </c>
      <c r="AB86">
        <f t="shared" si="47"/>
        <v>9006</v>
      </c>
      <c r="AC86">
        <f t="shared" si="48"/>
        <v>9006</v>
      </c>
      <c r="BI86" s="40"/>
      <c r="BL86" s="40"/>
      <c r="BN86" s="19"/>
      <c r="BP86" s="17"/>
    </row>
    <row r="87" spans="1:68" x14ac:dyDescent="0.2">
      <c r="A87" t="str">
        <f t="shared" si="44"/>
        <v>x</v>
      </c>
      <c r="D87" s="26" t="s">
        <v>729</v>
      </c>
      <c r="E87" s="4"/>
      <c r="F87" s="46"/>
      <c r="G87" s="4"/>
      <c r="H87" s="48"/>
      <c r="J87" s="26" t="str">
        <f t="shared" si="49"/>
        <v/>
      </c>
      <c r="N87" t="str">
        <f t="shared" si="51"/>
        <v/>
      </c>
      <c r="Q87" t="str">
        <f t="shared" si="50"/>
        <v/>
      </c>
      <c r="S87">
        <f>IF(A87=1,MAX($S$2:$S86)+1,IF(OR($I87&lt;&gt;"",A87="x"),$S86,""))</f>
        <v>44</v>
      </c>
      <c r="T87">
        <f>IF(D87=1,MAX($T$2:$T86)+1,IF(S87=S86,$T86,IF(D87="x",T86,IF(D86="x","",""))))</f>
        <v>6</v>
      </c>
      <c r="U87" t="str">
        <f>IF(B87=1,MAX($U$2:$U86)+1,IF(AND($T87&lt;&gt;"",$T87=$T86),$U86,IF(B87="x",U86,"")))</f>
        <v/>
      </c>
      <c r="V87" t="str">
        <f>IF(C87=1,MAX($V$2:$V86)+1,IF(AND($T87&lt;&gt;"",$T87=$T86),$U86,IF(C87="x",V86,"")))</f>
        <v/>
      </c>
      <c r="X87" cm="1">
        <f t="array" ref="X87">IF($I87&lt;&gt;"",$I87,INDEX($I$1:$I87,ROW()-COUNTIFS($T$1:$T87,"="&amp;$T87,$S$1:$S87,"&lt;"&amp;$S87)))</f>
        <v>0</v>
      </c>
      <c r="Z87" s="6">
        <f t="shared" si="45"/>
        <v>1</v>
      </c>
      <c r="AA87">
        <f t="shared" si="46"/>
        <v>1044</v>
      </c>
      <c r="AB87">
        <f t="shared" si="47"/>
        <v>9006</v>
      </c>
      <c r="AC87">
        <f t="shared" si="48"/>
        <v>9006</v>
      </c>
      <c r="BI87" s="40"/>
      <c r="BL87" s="40"/>
      <c r="BN87" s="19"/>
      <c r="BP87" s="17"/>
    </row>
    <row r="88" spans="1:68" x14ac:dyDescent="0.2">
      <c r="A88">
        <f t="shared" si="44"/>
        <v>1</v>
      </c>
      <c r="D88" s="26" t="s">
        <v>729</v>
      </c>
      <c r="E88" s="4"/>
      <c r="F88" s="46"/>
      <c r="G88" s="4"/>
      <c r="H88" s="48"/>
      <c r="J88" s="26" t="str">
        <f t="shared" si="49"/>
        <v/>
      </c>
      <c r="K88" t="s">
        <v>9</v>
      </c>
      <c r="L88" t="s">
        <v>173</v>
      </c>
      <c r="M88" t="s">
        <v>74</v>
      </c>
      <c r="N88" t="str">
        <f t="shared" si="51"/>
        <v>u</v>
      </c>
      <c r="Q88" t="str">
        <f t="shared" si="50"/>
        <v/>
      </c>
      <c r="S88">
        <f>IF(A88=1,MAX($S$2:$S87)+1,IF(OR($I88&lt;&gt;"",A88="x"),$S87,""))</f>
        <v>45</v>
      </c>
      <c r="T88">
        <f>IF(D88=1,MAX($T$2:$T87)+1,IF(S88=S87,$T87,IF(D88="x",T87,IF(D87="x","",""))))</f>
        <v>6</v>
      </c>
      <c r="U88" t="str">
        <f>IF(B88=1,MAX($U$2:$U87)+1,IF(AND($T88&lt;&gt;"",$T88=$T87),$U87,IF(B88="x",U87,"")))</f>
        <v/>
      </c>
      <c r="V88" t="str">
        <f>IF(C88=1,MAX($V$2:$V87)+1,IF(AND($T88&lt;&gt;"",$T88=$T87),$U87,IF(C88="x",V87,"")))</f>
        <v/>
      </c>
      <c r="X88" cm="1">
        <f t="array" ref="X88">IF($I88&lt;&gt;"",$I88,INDEX($I$1:$I88,ROW()-COUNTIFS($T$1:$T88,"="&amp;$T88,$S$1:$S88,"&lt;"&amp;$S88)))</f>
        <v>19</v>
      </c>
      <c r="Z88" s="6">
        <f t="shared" si="45"/>
        <v>1</v>
      </c>
      <c r="AA88">
        <f t="shared" si="46"/>
        <v>1045</v>
      </c>
      <c r="AB88">
        <f t="shared" si="47"/>
        <v>9006</v>
      </c>
      <c r="AC88">
        <f t="shared" si="48"/>
        <v>9006</v>
      </c>
      <c r="BI88" s="40"/>
      <c r="BL88" s="40"/>
      <c r="BN88" s="19"/>
      <c r="BP88" s="17"/>
    </row>
    <row r="89" spans="1:68" x14ac:dyDescent="0.2">
      <c r="A89" t="str">
        <f t="shared" si="44"/>
        <v>x</v>
      </c>
      <c r="D89" s="26" t="s">
        <v>729</v>
      </c>
      <c r="E89" s="4"/>
      <c r="F89" s="46"/>
      <c r="G89" s="4"/>
      <c r="H89" s="48"/>
      <c r="J89" s="26" t="str">
        <f t="shared" si="49"/>
        <v/>
      </c>
      <c r="N89" t="str">
        <f t="shared" si="51"/>
        <v/>
      </c>
      <c r="Q89" t="str">
        <f t="shared" si="50"/>
        <v/>
      </c>
      <c r="S89">
        <f>IF(A89=1,MAX($S$2:$S88)+1,IF(OR($I89&lt;&gt;"",A89="x"),$S88,""))</f>
        <v>45</v>
      </c>
      <c r="T89">
        <f>IF(D89=1,MAX($T$2:$T88)+1,IF(S89=S88,$T88,IF(D89="x",T88,IF(D88="x","",""))))</f>
        <v>6</v>
      </c>
      <c r="U89" t="str">
        <f>IF(B89=1,MAX($U$2:$U88)+1,IF(AND($T89&lt;&gt;"",$T89=$T88),$U88,IF(B89="x",U88,"")))</f>
        <v/>
      </c>
      <c r="V89" t="str">
        <f>IF(C89=1,MAX($V$2:$V88)+1,IF(AND($T89&lt;&gt;"",$T89=$T88),$U88,IF(C89="x",V88,"")))</f>
        <v/>
      </c>
      <c r="X89" cm="1">
        <f t="array" ref="X89">IF($I89&lt;&gt;"",$I89,INDEX($I$1:$I89,ROW()-COUNTIFS($T$1:$T89,"="&amp;$T89,$S$1:$S89,"&lt;"&amp;$S89)))</f>
        <v>0</v>
      </c>
      <c r="Z89" s="6">
        <f t="shared" si="45"/>
        <v>1</v>
      </c>
      <c r="AA89">
        <f t="shared" si="46"/>
        <v>1045</v>
      </c>
      <c r="AB89">
        <f t="shared" si="47"/>
        <v>9006</v>
      </c>
      <c r="AC89">
        <f t="shared" si="48"/>
        <v>9006</v>
      </c>
      <c r="BI89" s="40"/>
      <c r="BL89" s="40"/>
      <c r="BN89" s="19"/>
      <c r="BP89" s="17"/>
    </row>
    <row r="90" spans="1:68" x14ac:dyDescent="0.2">
      <c r="A90">
        <f t="shared" si="44"/>
        <v>1</v>
      </c>
      <c r="E90" s="4"/>
      <c r="F90" s="46" t="s">
        <v>1066</v>
      </c>
      <c r="G90" s="4"/>
      <c r="H90" s="48" t="s">
        <v>1031</v>
      </c>
      <c r="I90" s="26">
        <v>93</v>
      </c>
      <c r="J90" s="26" t="s">
        <v>734</v>
      </c>
      <c r="K90" t="s">
        <v>13</v>
      </c>
      <c r="L90" t="s">
        <v>586</v>
      </c>
      <c r="N90" t="s">
        <v>595</v>
      </c>
      <c r="O90" t="s">
        <v>907</v>
      </c>
      <c r="Q90" t="str">
        <f t="shared" si="50"/>
        <v>s</v>
      </c>
      <c r="S90">
        <f>IF(A90=1,MAX($S$2:$S89)+1,IF(OR($I90&lt;&gt;"",A90="x"),$S89,""))</f>
        <v>46</v>
      </c>
      <c r="T90" t="str">
        <f>IF(D90=1,MAX($T$2:$T89)+1,IF(S90=S89,$T89,IF(D90="x",T89,IF(D89="x","",""))))</f>
        <v/>
      </c>
      <c r="U90" t="str">
        <f>IF(B90=1,MAX($U$2:$U89)+1,IF(AND($T90&lt;&gt;"",$T90=$T89),$U89,IF(B90="x",U89,"")))</f>
        <v/>
      </c>
      <c r="V90" t="str">
        <f>IF(C90=1,MAX($V$2:$V89)+1,IF(AND($T90&lt;&gt;"",$T90=$T89),$U89,IF(C90="x",V89,"")))</f>
        <v/>
      </c>
      <c r="X90" cm="1">
        <f t="array" ref="X90">IF($I90&lt;&gt;"",$I90,INDEX($I$1:$I90,ROW()-COUNTIFS($T$1:$T90,"="&amp;$T90,$S$1:$S90,"&lt;"&amp;$S90)))</f>
        <v>93</v>
      </c>
      <c r="Z90" s="6">
        <f t="shared" si="45"/>
        <v>1</v>
      </c>
      <c r="AA90">
        <f t="shared" si="46"/>
        <v>1046</v>
      </c>
      <c r="AB90" t="str">
        <f t="shared" si="47"/>
        <v/>
      </c>
      <c r="AC90">
        <f t="shared" si="48"/>
        <v>1046</v>
      </c>
      <c r="BI90" s="40"/>
      <c r="BL90" s="40"/>
      <c r="BN90" s="19"/>
      <c r="BP90" s="17"/>
    </row>
    <row r="91" spans="1:68" x14ac:dyDescent="0.2">
      <c r="A91">
        <f t="shared" si="44"/>
        <v>1</v>
      </c>
      <c r="D91" s="26">
        <v>1</v>
      </c>
      <c r="E91" s="4"/>
      <c r="F91" s="46"/>
      <c r="G91" s="4"/>
      <c r="H91" s="48"/>
      <c r="I91" s="26">
        <v>93</v>
      </c>
      <c r="J91" s="26" t="s">
        <v>734</v>
      </c>
      <c r="K91" t="s">
        <v>7</v>
      </c>
      <c r="L91" t="s">
        <v>182</v>
      </c>
      <c r="M91" t="s">
        <v>68</v>
      </c>
      <c r="N91" t="str">
        <f t="shared" si="51"/>
        <v>u</v>
      </c>
      <c r="Q91" t="str">
        <f t="shared" si="50"/>
        <v/>
      </c>
      <c r="S91">
        <f>IF(A91=1,MAX($S$2:$S90)+1,IF(OR($I91&lt;&gt;"",A91="x"),$S90,""))</f>
        <v>47</v>
      </c>
      <c r="T91">
        <f>IF(D91=1,MAX($T$2:$T90)+1,IF(S91=S90,$T90,IF(D91="x",T90,IF(D90="x","",""))))</f>
        <v>7</v>
      </c>
      <c r="U91" t="str">
        <f>IF(B91=1,MAX($U$2:$U90)+1,IF(AND($T91&lt;&gt;"",$T91=$T90),$U90,IF(B91="x",U90,"")))</f>
        <v/>
      </c>
      <c r="V91" t="str">
        <f>IF(C91=1,MAX($V$2:$V90)+1,IF(AND($T91&lt;&gt;"",$T91=$T90),$U90,IF(C91="x",V90,"")))</f>
        <v/>
      </c>
      <c r="X91" cm="1">
        <f t="array" ref="X91">IF($I91&lt;&gt;"",$I91,INDEX($I$1:$I91,ROW()-COUNTIFS($T$1:$T91,"="&amp;$T91,$S$1:$S91,"&lt;"&amp;$S91)))</f>
        <v>93</v>
      </c>
      <c r="Z91" s="6">
        <f t="shared" si="45"/>
        <v>1</v>
      </c>
      <c r="AA91">
        <f t="shared" si="46"/>
        <v>1047</v>
      </c>
      <c r="AB91">
        <f t="shared" si="47"/>
        <v>9007</v>
      </c>
      <c r="AC91">
        <f t="shared" si="48"/>
        <v>9007</v>
      </c>
      <c r="BI91" s="40"/>
      <c r="BL91" s="40"/>
      <c r="BN91" s="19"/>
      <c r="BP91" s="17"/>
    </row>
    <row r="92" spans="1:68" x14ac:dyDescent="0.2">
      <c r="A92" t="str">
        <f t="shared" si="44"/>
        <v>x</v>
      </c>
      <c r="D92" s="26" t="s">
        <v>729</v>
      </c>
      <c r="E92" s="4"/>
      <c r="F92" s="46"/>
      <c r="G92" s="4"/>
      <c r="H92" s="48"/>
      <c r="I92" s="26">
        <v>87</v>
      </c>
      <c r="J92" s="26" t="str">
        <f t="shared" si="49"/>
        <v/>
      </c>
      <c r="N92" t="str">
        <f t="shared" si="51"/>
        <v/>
      </c>
      <c r="Q92" t="str">
        <f t="shared" si="50"/>
        <v/>
      </c>
      <c r="S92">
        <f>IF(A92=1,MAX($S$2:$S91)+1,IF(OR($I92&lt;&gt;"",A92="x"),$S91,""))</f>
        <v>47</v>
      </c>
      <c r="T92">
        <f>IF(D92=1,MAX($T$2:$T91)+1,IF(S92=S91,$T91,IF(D92="x",T91,IF(D91="x","",""))))</f>
        <v>7</v>
      </c>
      <c r="U92" t="str">
        <f>IF(B92=1,MAX($U$2:$U91)+1,IF(AND($T92&lt;&gt;"",$T92=$T91),$U91,IF(B92="x",U91,"")))</f>
        <v/>
      </c>
      <c r="V92" t="str">
        <f>IF(C92=1,MAX($V$2:$V91)+1,IF(AND($T92&lt;&gt;"",$T92=$T91),$U91,IF(C92="x",V91,"")))</f>
        <v/>
      </c>
      <c r="X92" cm="1">
        <f t="array" ref="X92">IF($I92&lt;&gt;"",$I92,INDEX($I$1:$I92,ROW()-COUNTIFS($T$1:$T92,"="&amp;$T92,$S$1:$S92,"&lt;"&amp;$S92)))</f>
        <v>87</v>
      </c>
      <c r="Z92" s="6">
        <f t="shared" si="45"/>
        <v>1</v>
      </c>
      <c r="AA92">
        <f t="shared" si="46"/>
        <v>1047</v>
      </c>
      <c r="AB92">
        <f t="shared" si="47"/>
        <v>9007</v>
      </c>
      <c r="AC92">
        <f t="shared" si="48"/>
        <v>9007</v>
      </c>
      <c r="BI92" s="40"/>
      <c r="BL92" s="40"/>
      <c r="BN92" s="19"/>
      <c r="BP92" s="17"/>
    </row>
    <row r="93" spans="1:68" x14ac:dyDescent="0.2">
      <c r="A93">
        <f t="shared" si="44"/>
        <v>1</v>
      </c>
      <c r="D93" s="26" t="s">
        <v>729</v>
      </c>
      <c r="E93" s="4"/>
      <c r="F93" s="46"/>
      <c r="G93" s="4"/>
      <c r="H93" s="48"/>
      <c r="J93" s="26" t="s">
        <v>734</v>
      </c>
      <c r="K93" t="s">
        <v>238</v>
      </c>
      <c r="L93" t="s">
        <v>174</v>
      </c>
      <c r="M93" t="s">
        <v>390</v>
      </c>
      <c r="N93" t="str">
        <f t="shared" si="51"/>
        <v>u</v>
      </c>
      <c r="Q93" t="str">
        <f t="shared" si="50"/>
        <v/>
      </c>
      <c r="S93">
        <f>IF(A93=1,MAX($S$2:$S92)+1,IF(OR($I93&lt;&gt;"",A93="x"),$S92,""))</f>
        <v>48</v>
      </c>
      <c r="T93">
        <f>IF(D93=1,MAX($T$2:$T92)+1,IF(S93=S92,$T92,IF(D93="x",T92,IF(D92="x","",""))))</f>
        <v>7</v>
      </c>
      <c r="U93" t="str">
        <f>IF(B93=1,MAX($U$2:$U92)+1,IF(AND($T93&lt;&gt;"",$T93=$T92),$U92,IF(B93="x",U92,"")))</f>
        <v/>
      </c>
      <c r="V93" t="str">
        <f>IF(C93=1,MAX($V$2:$V92)+1,IF(AND($T93&lt;&gt;"",$T93=$T92),$U92,IF(C93="x",V92,"")))</f>
        <v/>
      </c>
      <c r="X93" cm="1">
        <f t="array" ref="X93">IF($I93&lt;&gt;"",$I93,INDEX($I$1:$I93,ROW()-COUNTIFS($T$1:$T93,"="&amp;$T93,$S$1:$S93,"&lt;"&amp;$S93)))</f>
        <v>93</v>
      </c>
      <c r="Z93" s="6">
        <f t="shared" si="45"/>
        <v>1</v>
      </c>
      <c r="AA93">
        <f t="shared" si="46"/>
        <v>1048</v>
      </c>
      <c r="AB93">
        <f t="shared" si="47"/>
        <v>9007</v>
      </c>
      <c r="AC93">
        <f t="shared" si="48"/>
        <v>9007</v>
      </c>
      <c r="BI93" s="40"/>
      <c r="BL93" s="40"/>
      <c r="BN93" s="19"/>
      <c r="BP93" s="17"/>
    </row>
    <row r="94" spans="1:68" x14ac:dyDescent="0.2">
      <c r="A94" t="str">
        <f t="shared" si="44"/>
        <v>x</v>
      </c>
      <c r="D94" s="26" t="s">
        <v>729</v>
      </c>
      <c r="E94" s="4"/>
      <c r="F94" s="46"/>
      <c r="G94" s="4"/>
      <c r="H94" s="48"/>
      <c r="J94" s="26" t="str">
        <f t="shared" si="49"/>
        <v/>
      </c>
      <c r="N94" t="str">
        <f t="shared" si="51"/>
        <v/>
      </c>
      <c r="Q94" t="str">
        <f t="shared" si="50"/>
        <v/>
      </c>
      <c r="S94">
        <f>IF(A94=1,MAX($S$2:$S93)+1,IF(OR($I94&lt;&gt;"",A94="x"),$S93,""))</f>
        <v>48</v>
      </c>
      <c r="T94">
        <f>IF(D94=1,MAX($T$2:$T93)+1,IF(S94=S93,$T93,IF(D94="x",T93,IF(D93="x","",""))))</f>
        <v>7</v>
      </c>
      <c r="U94" t="str">
        <f>IF(B94=1,MAX($U$2:$U93)+1,IF(AND($T94&lt;&gt;"",$T94=$T93),$U93,IF(B94="x",U93,"")))</f>
        <v/>
      </c>
      <c r="V94" t="str">
        <f>IF(C94=1,MAX($V$2:$V93)+1,IF(AND($T94&lt;&gt;"",$T94=$T93),$U93,IF(C94="x",V93,"")))</f>
        <v/>
      </c>
      <c r="X94" cm="1">
        <f t="array" ref="X94">IF($I94&lt;&gt;"",$I94,INDEX($I$1:$I94,ROW()-COUNTIFS($T$1:$T94,"="&amp;$T94,$S$1:$S94,"&lt;"&amp;$S94)))</f>
        <v>87</v>
      </c>
      <c r="Z94" s="6">
        <f t="shared" si="45"/>
        <v>1</v>
      </c>
      <c r="AA94">
        <f t="shared" si="46"/>
        <v>1048</v>
      </c>
      <c r="AB94">
        <f t="shared" si="47"/>
        <v>9007</v>
      </c>
      <c r="AC94">
        <f t="shared" si="48"/>
        <v>9007</v>
      </c>
      <c r="BI94" s="40"/>
      <c r="BL94" s="40"/>
      <c r="BN94" s="19"/>
      <c r="BP94" s="17"/>
    </row>
    <row r="95" spans="1:68" x14ac:dyDescent="0.2">
      <c r="A95">
        <f t="shared" si="44"/>
        <v>1</v>
      </c>
      <c r="D95" s="26" t="s">
        <v>729</v>
      </c>
      <c r="E95" s="4"/>
      <c r="F95" s="46"/>
      <c r="G95" s="4"/>
      <c r="H95" s="48"/>
      <c r="J95" s="26" t="s">
        <v>734</v>
      </c>
      <c r="K95" t="s">
        <v>9</v>
      </c>
      <c r="L95" t="s">
        <v>173</v>
      </c>
      <c r="M95" t="s">
        <v>74</v>
      </c>
      <c r="N95" t="str">
        <f t="shared" si="51"/>
        <v>u</v>
      </c>
      <c r="Q95" t="str">
        <f t="shared" si="50"/>
        <v/>
      </c>
      <c r="S95">
        <f>IF(A95=1,MAX($S$2:$S94)+1,IF(OR($I95&lt;&gt;"",A95="x"),$S94,""))</f>
        <v>49</v>
      </c>
      <c r="T95">
        <f>IF(D95=1,MAX($T$2:$T94)+1,IF(S95=S94,$T94,IF(D95="x",T94,IF(D94="x","",""))))</f>
        <v>7</v>
      </c>
      <c r="U95" t="str">
        <f>IF(B95=1,MAX($U$2:$U94)+1,IF(AND($T95&lt;&gt;"",$T95=$T94),$U94,IF(B95="x",U94,"")))</f>
        <v/>
      </c>
      <c r="V95" t="str">
        <f>IF(C95=1,MAX($V$2:$V94)+1,IF(AND($T95&lt;&gt;"",$T95=$T94),$U94,IF(C95="x",V94,"")))</f>
        <v/>
      </c>
      <c r="X95" cm="1">
        <f t="array" ref="X95">IF($I95&lt;&gt;"",$I95,INDEX($I$1:$I95,ROW()-COUNTIFS($T$1:$T95,"="&amp;$T95,$S$1:$S95,"&lt;"&amp;$S95)))</f>
        <v>93</v>
      </c>
      <c r="Z95" s="6">
        <f t="shared" si="45"/>
        <v>1</v>
      </c>
      <c r="AA95">
        <f t="shared" si="46"/>
        <v>1049</v>
      </c>
      <c r="AB95">
        <f t="shared" si="47"/>
        <v>9007</v>
      </c>
      <c r="AC95">
        <f t="shared" si="48"/>
        <v>9007</v>
      </c>
      <c r="BI95" s="40"/>
      <c r="BL95" s="40"/>
      <c r="BN95" s="19"/>
      <c r="BP95" s="17"/>
    </row>
    <row r="96" spans="1:68" x14ac:dyDescent="0.2">
      <c r="A96" t="str">
        <f t="shared" si="44"/>
        <v>x</v>
      </c>
      <c r="D96" s="26" t="s">
        <v>729</v>
      </c>
      <c r="E96" s="4"/>
      <c r="F96" s="46"/>
      <c r="G96" s="4"/>
      <c r="H96" s="48"/>
      <c r="J96" s="26" t="str">
        <f t="shared" si="49"/>
        <v/>
      </c>
      <c r="N96" t="str">
        <f t="shared" si="51"/>
        <v/>
      </c>
      <c r="Q96" t="str">
        <f t="shared" si="50"/>
        <v/>
      </c>
      <c r="S96">
        <f>IF(A96=1,MAX($S$2:$S95)+1,IF(OR($I96&lt;&gt;"",A96="x"),$S95,""))</f>
        <v>49</v>
      </c>
      <c r="T96">
        <f>IF(D96=1,MAX($T$2:$T95)+1,IF(S96=S95,$T95,IF(D96="x",T95,IF(D95="x","",""))))</f>
        <v>7</v>
      </c>
      <c r="U96" t="str">
        <f>IF(B96=1,MAX($U$2:$U95)+1,IF(AND($T96&lt;&gt;"",$T96=$T95),$U95,IF(B96="x",U95,"")))</f>
        <v/>
      </c>
      <c r="V96" t="str">
        <f>IF(C96=1,MAX($V$2:$V95)+1,IF(AND($T96&lt;&gt;"",$T96=$T95),$U95,IF(C96="x",V95,"")))</f>
        <v/>
      </c>
      <c r="X96" cm="1">
        <f t="array" ref="X96">IF($I96&lt;&gt;"",$I96,INDEX($I$1:$I96,ROW()-COUNTIFS($T$1:$T96,"="&amp;$T96,$S$1:$S96,"&lt;"&amp;$S96)))</f>
        <v>87</v>
      </c>
      <c r="Z96" s="6">
        <f t="shared" si="45"/>
        <v>1</v>
      </c>
      <c r="AA96">
        <f t="shared" si="46"/>
        <v>1049</v>
      </c>
      <c r="AB96">
        <f t="shared" si="47"/>
        <v>9007</v>
      </c>
      <c r="AC96">
        <f t="shared" si="48"/>
        <v>9007</v>
      </c>
      <c r="BI96" s="40"/>
      <c r="BL96" s="40"/>
      <c r="BN96" s="19"/>
      <c r="BP96" s="17"/>
    </row>
    <row r="97" spans="1:68" x14ac:dyDescent="0.2">
      <c r="A97">
        <f t="shared" si="44"/>
        <v>1</v>
      </c>
      <c r="E97" s="4"/>
      <c r="F97" s="46" t="s">
        <v>1041</v>
      </c>
      <c r="G97" s="4"/>
      <c r="H97" s="48"/>
      <c r="I97" s="26">
        <v>1</v>
      </c>
      <c r="J97" s="26" t="s">
        <v>736</v>
      </c>
      <c r="K97" t="s">
        <v>13</v>
      </c>
      <c r="L97" t="s">
        <v>586</v>
      </c>
      <c r="N97" t="s">
        <v>594</v>
      </c>
      <c r="O97" t="s">
        <v>907</v>
      </c>
      <c r="Q97" t="str">
        <f t="shared" si="50"/>
        <v>u</v>
      </c>
      <c r="S97">
        <f>IF(A97=1,MAX($S$2:$S96)+1,IF(OR($I97&lt;&gt;"",A97="x"),$S96,""))</f>
        <v>50</v>
      </c>
      <c r="T97" t="str">
        <f>IF(D97=1,MAX($T$2:$T96)+1,IF(S97=S96,$T96,IF(D97="x",T96,IF(D96="x","",""))))</f>
        <v/>
      </c>
      <c r="U97" t="str">
        <f>IF(B97=1,MAX($U$2:$U96)+1,IF(AND($T97&lt;&gt;"",$T97=$T96),$U96,IF(B97="x",U96,"")))</f>
        <v/>
      </c>
      <c r="V97" t="str">
        <f>IF(C97=1,MAX($V$2:$V96)+1,IF(AND($T97&lt;&gt;"",$T97=$T96),$U96,IF(C97="x",V96,"")))</f>
        <v/>
      </c>
      <c r="X97" cm="1">
        <f t="array" ref="X97">IF($I97&lt;&gt;"",$I97,INDEX($I$1:$I97,ROW()-COUNTIFS($T$1:$T97,"="&amp;$T97,$S$1:$S97,"&lt;"&amp;$S97)))</f>
        <v>1</v>
      </c>
      <c r="Z97" s="6">
        <f t="shared" si="45"/>
        <v>1</v>
      </c>
      <c r="AA97">
        <f t="shared" si="46"/>
        <v>1050</v>
      </c>
      <c r="AB97" t="str">
        <f t="shared" si="47"/>
        <v/>
      </c>
      <c r="AC97">
        <f t="shared" si="48"/>
        <v>1050</v>
      </c>
      <c r="BI97" s="40"/>
      <c r="BL97" s="40"/>
      <c r="BN97" s="19"/>
      <c r="BP97" s="17"/>
    </row>
    <row r="98" spans="1:68" x14ac:dyDescent="0.2">
      <c r="A98">
        <f t="shared" si="44"/>
        <v>1</v>
      </c>
      <c r="E98" s="4"/>
      <c r="F98" s="46"/>
      <c r="G98" s="4"/>
      <c r="H98" s="48"/>
      <c r="I98" s="26">
        <v>1</v>
      </c>
      <c r="J98" s="26" t="s">
        <v>736</v>
      </c>
      <c r="K98" t="s">
        <v>9</v>
      </c>
      <c r="L98" t="s">
        <v>173</v>
      </c>
      <c r="M98" t="s">
        <v>365</v>
      </c>
      <c r="N98" t="str">
        <f t="shared" si="51"/>
        <v>u</v>
      </c>
      <c r="O98" t="s">
        <v>769</v>
      </c>
      <c r="P98" t="s">
        <v>576</v>
      </c>
      <c r="Q98" t="str">
        <f t="shared" si="50"/>
        <v>u</v>
      </c>
      <c r="S98">
        <f>IF(A98=1,MAX($S$2:$S97)+1,IF(OR($I98&lt;&gt;"",A98="x"),$S97,""))</f>
        <v>51</v>
      </c>
      <c r="T98" t="str">
        <f>IF(D98=1,MAX($T$2:$T97)+1,IF(S98=S97,$T97,IF(D98="x",T97,IF(D97="x","",""))))</f>
        <v/>
      </c>
      <c r="U98" t="str">
        <f>IF(B98=1,MAX($U$2:$U97)+1,IF(AND($T98&lt;&gt;"",$T98=$T97),$U97,IF(B98="x",U97,"")))</f>
        <v/>
      </c>
      <c r="V98" t="str">
        <f>IF(C98=1,MAX($V$2:$V97)+1,IF(AND($T98&lt;&gt;"",$T98=$T97),$U97,IF(C98="x",V97,"")))</f>
        <v/>
      </c>
      <c r="X98" cm="1">
        <f t="array" ref="X98">IF($I98&lt;&gt;"",$I98,INDEX($I$1:$I98,ROW()-COUNTIFS($T$1:$T98,"="&amp;$T98,$S$1:$S98,"&lt;"&amp;$S98)))</f>
        <v>1</v>
      </c>
      <c r="Z98" s="6">
        <f t="shared" si="45"/>
        <v>1</v>
      </c>
      <c r="AA98">
        <f t="shared" si="46"/>
        <v>1051</v>
      </c>
      <c r="AB98" t="str">
        <f t="shared" si="47"/>
        <v/>
      </c>
      <c r="AC98">
        <f t="shared" si="48"/>
        <v>1051</v>
      </c>
      <c r="BI98" s="40"/>
      <c r="BL98" s="40"/>
      <c r="BN98" s="19"/>
      <c r="BP98" s="17"/>
    </row>
    <row r="99" spans="1:68" x14ac:dyDescent="0.2">
      <c r="A99">
        <f t="shared" si="44"/>
        <v>1</v>
      </c>
      <c r="E99" s="4"/>
      <c r="F99" s="46" t="s">
        <v>749</v>
      </c>
      <c r="G99" s="4"/>
      <c r="H99" s="48" t="s">
        <v>1035</v>
      </c>
      <c r="I99" s="26">
        <v>91</v>
      </c>
      <c r="J99" s="26" t="s">
        <v>368</v>
      </c>
      <c r="K99" t="s">
        <v>13</v>
      </c>
      <c r="L99" t="s">
        <v>586</v>
      </c>
      <c r="N99" t="s">
        <v>594</v>
      </c>
      <c r="O99" t="s">
        <v>911</v>
      </c>
      <c r="P99" t="s">
        <v>150</v>
      </c>
      <c r="Q99" t="s">
        <v>595</v>
      </c>
      <c r="R99" s="26">
        <v>1</v>
      </c>
      <c r="S99">
        <f>IF(A99=1,MAX($S$2:$S98)+1,IF(OR($I99&lt;&gt;"",A99="x"),$S98,""))</f>
        <v>52</v>
      </c>
      <c r="T99" t="str">
        <f>IF(D99=1,MAX($T$2:$T98)+1,IF(S99=S98,$T98,IF(D99="x",T98,IF(D98="x","",""))))</f>
        <v/>
      </c>
      <c r="U99" t="str">
        <f>IF(B99=1,MAX($U$2:$U98)+1,IF(AND($T99&lt;&gt;"",$T99=$T98),$U98,IF(B99="x",U98,"")))</f>
        <v/>
      </c>
      <c r="V99" t="str">
        <f>IF(C99=1,MAX($V$2:$V98)+1,IF(AND($T99&lt;&gt;"",$T99=$T98),$U98,IF(C99="x",V98,"")))</f>
        <v/>
      </c>
      <c r="X99" cm="1">
        <f t="array" ref="X99">IF($I99&lt;&gt;"",$I99,INDEX($I$1:$I99,ROW()-COUNTIFS($T$1:$T99,"="&amp;$T99,$S$1:$S99,"&lt;"&amp;$S99)))</f>
        <v>91</v>
      </c>
      <c r="Z99" s="6">
        <f t="shared" si="45"/>
        <v>1</v>
      </c>
      <c r="AA99">
        <f t="shared" si="46"/>
        <v>1052</v>
      </c>
      <c r="AB99" t="str">
        <f t="shared" si="47"/>
        <v/>
      </c>
      <c r="AC99">
        <f t="shared" si="48"/>
        <v>1052</v>
      </c>
      <c r="BI99" s="40"/>
      <c r="BL99" s="40"/>
      <c r="BN99" s="19"/>
      <c r="BP99" s="17"/>
    </row>
    <row r="100" spans="1:68" x14ac:dyDescent="0.2">
      <c r="A100" t="str">
        <f t="shared" si="44"/>
        <v/>
      </c>
      <c r="E100" s="4"/>
      <c r="F100" s="46"/>
      <c r="G100" s="4"/>
      <c r="H100" s="48"/>
      <c r="I100" s="26">
        <v>90</v>
      </c>
      <c r="J100" s="26" t="str">
        <f t="shared" si="49"/>
        <v/>
      </c>
      <c r="N100" t="str">
        <f t="shared" si="51"/>
        <v/>
      </c>
      <c r="O100" t="s">
        <v>164</v>
      </c>
      <c r="Q100" t="str">
        <f t="shared" si="50"/>
        <v>u</v>
      </c>
      <c r="R100" s="26">
        <v>1</v>
      </c>
      <c r="S100">
        <f>IF(A100=1,MAX($S$2:$S99)+1,IF(OR($I100&lt;&gt;"",A100="x"),$S99,""))</f>
        <v>52</v>
      </c>
      <c r="T100" t="str">
        <f>IF(D100=1,MAX($T$2:$T99)+1,IF(S100=S99,$T99,IF(D100="x",T99,IF(D99="x","",""))))</f>
        <v/>
      </c>
      <c r="U100" t="str">
        <f>IF(B100=1,MAX($U$2:$U99)+1,IF(AND($T100&lt;&gt;"",$T100=$T99),$U99,IF(B100="x",U99,"")))</f>
        <v/>
      </c>
      <c r="V100" t="str">
        <f>IF(C100=1,MAX($V$2:$V99)+1,IF(AND($T100&lt;&gt;"",$T100=$T99),$U99,IF(C100="x",V99,"")))</f>
        <v/>
      </c>
      <c r="X100" cm="1">
        <f t="array" ref="X100">IF($I100&lt;&gt;"",$I100,INDEX($I$1:$I100,ROW()-COUNTIFS($T$1:$T100,"="&amp;$T100,$S$1:$S100,"&lt;"&amp;$S100)))</f>
        <v>90</v>
      </c>
      <c r="Z100" s="6">
        <f t="shared" si="45"/>
        <v>1</v>
      </c>
      <c r="AA100">
        <f t="shared" si="46"/>
        <v>1052</v>
      </c>
      <c r="AB100" t="str">
        <f t="shared" si="47"/>
        <v/>
      </c>
      <c r="AC100">
        <f t="shared" si="48"/>
        <v>1052</v>
      </c>
      <c r="BI100" s="40"/>
      <c r="BL100" s="40"/>
      <c r="BN100" s="19"/>
      <c r="BP100" s="17"/>
    </row>
    <row r="101" spans="1:68" x14ac:dyDescent="0.2">
      <c r="A101">
        <f t="shared" si="44"/>
        <v>1</v>
      </c>
      <c r="E101" s="4"/>
      <c r="F101" s="46"/>
      <c r="G101" s="4"/>
      <c r="H101" s="48"/>
      <c r="I101" s="26">
        <v>91</v>
      </c>
      <c r="J101" s="26" t="s">
        <v>368</v>
      </c>
      <c r="K101" t="s">
        <v>13</v>
      </c>
      <c r="N101" t="str">
        <f t="shared" si="51"/>
        <v/>
      </c>
      <c r="Q101" t="str">
        <f t="shared" si="50"/>
        <v/>
      </c>
      <c r="R101" s="26">
        <v>1</v>
      </c>
      <c r="S101">
        <f>IF(A101=1,MAX($S$2:$S100)+1,IF(OR($I101&lt;&gt;"",A101="x"),$S100,""))</f>
        <v>53</v>
      </c>
      <c r="T101" t="str">
        <f>IF(D101=1,MAX($T$2:$T100)+1,IF(S101=S100,$T100,IF(D101="x",T100,IF(D100="x","",""))))</f>
        <v/>
      </c>
      <c r="U101" t="str">
        <f>IF(B101=1,MAX($U$2:$U100)+1,IF(AND($T101&lt;&gt;"",$T101=$T100),$U100,IF(B101="x",U100,"")))</f>
        <v/>
      </c>
      <c r="V101" t="str">
        <f>IF(C101=1,MAX($V$2:$V100)+1,IF(AND($T101&lt;&gt;"",$T101=$T100),$U100,IF(C101="x",V100,"")))</f>
        <v/>
      </c>
      <c r="X101" cm="1">
        <f t="array" ref="X101">IF($I101&lt;&gt;"",$I101,INDEX($I$1:$I101,ROW()-COUNTIFS($T$1:$T101,"="&amp;$T101,$S$1:$S101,"&lt;"&amp;$S101)))</f>
        <v>91</v>
      </c>
      <c r="Z101" s="6">
        <f t="shared" si="45"/>
        <v>1</v>
      </c>
      <c r="AA101">
        <f t="shared" si="46"/>
        <v>1053</v>
      </c>
      <c r="AB101" t="str">
        <f t="shared" si="47"/>
        <v/>
      </c>
      <c r="AC101">
        <f t="shared" si="48"/>
        <v>1053</v>
      </c>
      <c r="BI101" s="40"/>
      <c r="BL101" s="40"/>
      <c r="BN101" s="19"/>
      <c r="BP101" s="17"/>
    </row>
    <row r="102" spans="1:68" x14ac:dyDescent="0.2">
      <c r="A102" t="str">
        <f t="shared" si="44"/>
        <v/>
      </c>
      <c r="E102" s="4"/>
      <c r="F102" s="46"/>
      <c r="G102" s="4"/>
      <c r="H102" s="48"/>
      <c r="I102" s="26">
        <v>73</v>
      </c>
      <c r="J102" s="26" t="str">
        <f t="shared" si="49"/>
        <v/>
      </c>
      <c r="N102" t="str">
        <f t="shared" si="51"/>
        <v/>
      </c>
      <c r="O102" t="s">
        <v>567</v>
      </c>
      <c r="Q102" t="str">
        <f t="shared" si="50"/>
        <v/>
      </c>
      <c r="R102" s="26">
        <v>1</v>
      </c>
      <c r="S102">
        <f>IF(A102=1,MAX($S$2:$S101)+1,IF(OR($I102&lt;&gt;"",A102="x"),$S101,""))</f>
        <v>53</v>
      </c>
      <c r="T102" t="str">
        <f>IF(D102=1,MAX($T$2:$T101)+1,IF(S102=S101,$T101,IF(D102="x",T101,IF(D101="x","",""))))</f>
        <v/>
      </c>
      <c r="U102" t="str">
        <f>IF(B102=1,MAX($U$2:$U101)+1,IF(AND($T102&lt;&gt;"",$T102=$T101),$U101,IF(B102="x",U101,"")))</f>
        <v/>
      </c>
      <c r="V102" t="str">
        <f>IF(C102=1,MAX($V$2:$V101)+1,IF(AND($T102&lt;&gt;"",$T102=$T101),$U101,IF(C102="x",V101,"")))</f>
        <v/>
      </c>
      <c r="X102" cm="1">
        <f t="array" ref="X102">IF($I102&lt;&gt;"",$I102,INDEX($I$1:$I102,ROW()-COUNTIFS($T$1:$T102,"="&amp;$T102,$S$1:$S102,"&lt;"&amp;$S102)))</f>
        <v>73</v>
      </c>
      <c r="Z102" s="6">
        <f t="shared" si="45"/>
        <v>1</v>
      </c>
      <c r="AA102">
        <f t="shared" si="46"/>
        <v>1053</v>
      </c>
      <c r="AB102" t="str">
        <f t="shared" si="47"/>
        <v/>
      </c>
      <c r="AC102">
        <f t="shared" si="48"/>
        <v>1053</v>
      </c>
      <c r="BI102" s="40"/>
      <c r="BL102" s="40"/>
      <c r="BN102" s="19"/>
      <c r="BP102" s="17"/>
    </row>
    <row r="103" spans="1:68" x14ac:dyDescent="0.2">
      <c r="A103">
        <f t="shared" si="44"/>
        <v>1</v>
      </c>
      <c r="D103" s="26">
        <v>1</v>
      </c>
      <c r="E103" s="4"/>
      <c r="F103" s="46"/>
      <c r="G103" s="4"/>
      <c r="H103" s="48"/>
      <c r="I103" s="26">
        <v>73</v>
      </c>
      <c r="J103" s="26" t="s">
        <v>736</v>
      </c>
      <c r="K103" t="s">
        <v>230</v>
      </c>
      <c r="L103" t="s">
        <v>389</v>
      </c>
      <c r="M103" t="s">
        <v>432</v>
      </c>
      <c r="N103" t="s">
        <v>595</v>
      </c>
      <c r="O103" t="s">
        <v>156</v>
      </c>
      <c r="Q103" t="str">
        <f t="shared" si="50"/>
        <v>s</v>
      </c>
      <c r="R103" s="26">
        <v>1</v>
      </c>
      <c r="S103">
        <f>IF(A103=1,MAX($S$2:$S102)+1,IF(OR($I103&lt;&gt;"",A103="x"),$S102,""))</f>
        <v>54</v>
      </c>
      <c r="T103">
        <f>IF(D103=1,MAX($T$2:$T102)+1,IF(S103=S102,$T102,IF(D103="x",T102,IF(D102="x","",""))))</f>
        <v>8</v>
      </c>
      <c r="U103" t="str">
        <f>IF(B103=1,MAX($U$2:$U102)+1,IF(AND($T103&lt;&gt;"",$T103=$T102),$U102,IF(B103="x",U102,"")))</f>
        <v/>
      </c>
      <c r="V103" t="str">
        <f>IF(C103=1,MAX($V$2:$V102)+1,IF(AND($T103&lt;&gt;"",$T103=$T102),$U102,IF(C103="x",V102,"")))</f>
        <v/>
      </c>
      <c r="X103" cm="1">
        <f t="array" ref="X103">IF($I103&lt;&gt;"",$I103,INDEX($I$1:$I103,ROW()-COUNTIFS($T$1:$T103,"="&amp;$T103,$S$1:$S103,"&lt;"&amp;$S103)))</f>
        <v>73</v>
      </c>
      <c r="Z103" s="6">
        <f t="shared" si="45"/>
        <v>1</v>
      </c>
      <c r="AA103">
        <f t="shared" si="46"/>
        <v>1054</v>
      </c>
      <c r="AB103">
        <f t="shared" si="47"/>
        <v>9008</v>
      </c>
      <c r="AC103">
        <f t="shared" si="48"/>
        <v>9008</v>
      </c>
      <c r="BI103" s="40"/>
      <c r="BL103" s="40"/>
      <c r="BN103" s="19"/>
      <c r="BP103" s="17"/>
    </row>
    <row r="104" spans="1:68" x14ac:dyDescent="0.2">
      <c r="A104" t="str">
        <f t="shared" si="44"/>
        <v>x</v>
      </c>
      <c r="D104" s="26" t="s">
        <v>729</v>
      </c>
      <c r="E104" s="4"/>
      <c r="F104" s="46"/>
      <c r="G104" s="4"/>
      <c r="H104" s="48"/>
      <c r="I104" s="26">
        <v>91</v>
      </c>
      <c r="J104" s="26" t="str">
        <f t="shared" si="49"/>
        <v/>
      </c>
      <c r="N104" t="str">
        <f t="shared" si="51"/>
        <v/>
      </c>
      <c r="O104" t="s">
        <v>785</v>
      </c>
      <c r="Q104" t="str">
        <f t="shared" si="50"/>
        <v>u</v>
      </c>
      <c r="R104" s="26">
        <v>1</v>
      </c>
      <c r="S104">
        <f>IF(A104=1,MAX($S$2:$S103)+1,IF(OR($I104&lt;&gt;"",A104="x"),$S103,""))</f>
        <v>54</v>
      </c>
      <c r="T104">
        <f>IF(D104=1,MAX($T$2:$T103)+1,IF(S104=S103,$T103,IF(D104="x",T103,IF(D103="x","",""))))</f>
        <v>8</v>
      </c>
      <c r="U104" t="str">
        <f>IF(B104=1,MAX($U$2:$U103)+1,IF(AND($T104&lt;&gt;"",$T104=$T103),$U103,IF(B104="x",U103,"")))</f>
        <v/>
      </c>
      <c r="V104" t="str">
        <f>IF(C104=1,MAX($V$2:$V103)+1,IF(AND($T104&lt;&gt;"",$T104=$T103),$U103,IF(C104="x",V103,"")))</f>
        <v/>
      </c>
      <c r="X104" cm="1">
        <f t="array" ref="X104">IF($I104&lt;&gt;"",$I104,INDEX($I$1:$I104,ROW()-COUNTIFS($T$1:$T104,"="&amp;$T104,$S$1:$S104,"&lt;"&amp;$S104)))</f>
        <v>91</v>
      </c>
      <c r="Z104" s="6">
        <f t="shared" si="45"/>
        <v>1</v>
      </c>
      <c r="AA104">
        <f t="shared" si="46"/>
        <v>1054</v>
      </c>
      <c r="AB104">
        <f t="shared" si="47"/>
        <v>9008</v>
      </c>
      <c r="AC104">
        <f t="shared" si="48"/>
        <v>9008</v>
      </c>
      <c r="BI104" s="40"/>
      <c r="BL104" s="40"/>
      <c r="BN104" s="19"/>
      <c r="BP104" s="17"/>
    </row>
    <row r="105" spans="1:68" x14ac:dyDescent="0.2">
      <c r="A105">
        <f t="shared" si="44"/>
        <v>1</v>
      </c>
      <c r="D105" s="26" t="s">
        <v>729</v>
      </c>
      <c r="E105" s="4"/>
      <c r="F105" s="46"/>
      <c r="G105" s="4"/>
      <c r="H105" s="48"/>
      <c r="I105" s="26">
        <v>73</v>
      </c>
      <c r="J105" s="26" t="str">
        <f t="shared" si="49"/>
        <v>d</v>
      </c>
      <c r="K105" t="s">
        <v>238</v>
      </c>
      <c r="L105" t="s">
        <v>184</v>
      </c>
      <c r="M105" t="s">
        <v>415</v>
      </c>
      <c r="N105" t="str">
        <f t="shared" si="51"/>
        <v>s</v>
      </c>
      <c r="Q105" t="str">
        <f t="shared" si="50"/>
        <v/>
      </c>
      <c r="R105" s="26">
        <v>1</v>
      </c>
      <c r="S105">
        <f>IF(A105=1,MAX($S$2:$S104)+1,IF(OR($I105&lt;&gt;"",A105="x"),$S104,""))</f>
        <v>55</v>
      </c>
      <c r="T105">
        <f>IF(D105=1,MAX($T$2:$T104)+1,IF(S105=S104,$T104,IF(D105="x",T104,IF(D104="x","",""))))</f>
        <v>8</v>
      </c>
      <c r="U105" t="str">
        <f>IF(B105=1,MAX($U$2:$U104)+1,IF(AND($T105&lt;&gt;"",$T105=$T104),$U104,IF(B105="x",U104,"")))</f>
        <v/>
      </c>
      <c r="V105" t="str">
        <f>IF(C105=1,MAX($V$2:$V104)+1,IF(AND($T105&lt;&gt;"",$T105=$T104),$U104,IF(C105="x",V104,"")))</f>
        <v/>
      </c>
      <c r="X105" cm="1">
        <f t="array" ref="X105">IF($I105&lt;&gt;"",$I105,INDEX($I$1:$I105,ROW()-COUNTIFS($T$1:$T105,"="&amp;$T105,$S$1:$S105,"&lt;"&amp;$S105)))</f>
        <v>73</v>
      </c>
      <c r="Z105" s="6">
        <f t="shared" si="45"/>
        <v>1</v>
      </c>
      <c r="AA105">
        <f t="shared" si="46"/>
        <v>1055</v>
      </c>
      <c r="AB105">
        <f t="shared" si="47"/>
        <v>9008</v>
      </c>
      <c r="AC105">
        <f t="shared" si="48"/>
        <v>9008</v>
      </c>
      <c r="BI105" s="40"/>
      <c r="BL105" s="40"/>
      <c r="BN105" s="19"/>
      <c r="BP105" s="17"/>
    </row>
    <row r="106" spans="1:68" x14ac:dyDescent="0.2">
      <c r="A106" t="str">
        <f t="shared" si="44"/>
        <v>x</v>
      </c>
      <c r="D106" s="26" t="s">
        <v>729</v>
      </c>
      <c r="E106" s="4"/>
      <c r="F106" s="46"/>
      <c r="G106" s="4"/>
      <c r="H106" s="48"/>
      <c r="I106" s="26">
        <v>91</v>
      </c>
      <c r="J106" s="26" t="str">
        <f t="shared" si="49"/>
        <v/>
      </c>
      <c r="N106" t="str">
        <f t="shared" si="51"/>
        <v/>
      </c>
      <c r="Q106" t="str">
        <f t="shared" si="50"/>
        <v/>
      </c>
      <c r="R106" s="26">
        <v>1</v>
      </c>
      <c r="S106">
        <f>IF(A106=1,MAX($S$2:$S105)+1,IF(OR($I106&lt;&gt;"",A106="x"),$S105,""))</f>
        <v>55</v>
      </c>
      <c r="T106">
        <f>IF(D106=1,MAX($T$2:$T105)+1,IF(S106=S105,$T105,IF(D106="x",T105,IF(D105="x","",""))))</f>
        <v>8</v>
      </c>
      <c r="U106" t="str">
        <f>IF(B106=1,MAX($U$2:$U105)+1,IF(AND($T106&lt;&gt;"",$T106=$T105),$U105,IF(B106="x",U105,"")))</f>
        <v/>
      </c>
      <c r="V106" t="str">
        <f>IF(C106=1,MAX($V$2:$V105)+1,IF(AND($T106&lt;&gt;"",$T106=$T105),$U105,IF(C106="x",V105,"")))</f>
        <v/>
      </c>
      <c r="X106" cm="1">
        <f t="array" ref="X106">IF($I106&lt;&gt;"",$I106,INDEX($I$1:$I106,ROW()-COUNTIFS($T$1:$T106,"="&amp;$T106,$S$1:$S106,"&lt;"&amp;$S106)))</f>
        <v>91</v>
      </c>
      <c r="Z106" s="6">
        <f t="shared" si="45"/>
        <v>1</v>
      </c>
      <c r="AA106">
        <f t="shared" si="46"/>
        <v>1055</v>
      </c>
      <c r="AB106">
        <f t="shared" si="47"/>
        <v>9008</v>
      </c>
      <c r="AC106">
        <f t="shared" si="48"/>
        <v>9008</v>
      </c>
      <c r="BI106" s="40"/>
      <c r="BL106" s="40"/>
      <c r="BN106" s="19"/>
      <c r="BP106" s="17"/>
    </row>
    <row r="107" spans="1:68" x14ac:dyDescent="0.2">
      <c r="A107">
        <f t="shared" si="44"/>
        <v>1</v>
      </c>
      <c r="E107" s="4"/>
      <c r="F107" s="46" t="s">
        <v>750</v>
      </c>
      <c r="G107" s="4"/>
      <c r="H107" s="48" t="s">
        <v>1043</v>
      </c>
      <c r="I107" s="26">
        <v>91</v>
      </c>
      <c r="J107" s="26" t="s">
        <v>734</v>
      </c>
      <c r="K107" t="s">
        <v>13</v>
      </c>
      <c r="L107" t="s">
        <v>587</v>
      </c>
      <c r="N107" t="s">
        <v>595</v>
      </c>
      <c r="O107" t="s">
        <v>910</v>
      </c>
      <c r="P107" t="s">
        <v>149</v>
      </c>
      <c r="Q107" t="str">
        <f t="shared" si="50"/>
        <v>s</v>
      </c>
      <c r="S107">
        <f>IF(A107=1,MAX($S$2:$S106)+1,IF(OR($I107&lt;&gt;"",A107="x"),$S106,""))</f>
        <v>56</v>
      </c>
      <c r="T107" t="str">
        <f>IF(D107=1,MAX($T$2:$T106)+1,IF(S107=S106,$T106,IF(D107="x",T106,IF(D106="x","",""))))</f>
        <v/>
      </c>
      <c r="U107" t="str">
        <f>IF(B107=1,MAX($U$2:$U106)+1,IF(AND($T107&lt;&gt;"",$T107=$T106),$U106,IF(B107="x",U106,"")))</f>
        <v/>
      </c>
      <c r="V107" t="str">
        <f>IF(C107=1,MAX($V$2:$V106)+1,IF(AND($T107&lt;&gt;"",$T107=$T106),$U106,IF(C107="x",V106,"")))</f>
        <v/>
      </c>
      <c r="X107" cm="1">
        <f t="array" ref="X107">IF($I107&lt;&gt;"",$I107,INDEX($I$1:$I107,ROW()-COUNTIFS($T$1:$T107,"="&amp;$T107,$S$1:$S107,"&lt;"&amp;$S107)))</f>
        <v>91</v>
      </c>
      <c r="Z107" s="6">
        <f t="shared" si="45"/>
        <v>1</v>
      </c>
      <c r="AA107">
        <f t="shared" si="46"/>
        <v>1056</v>
      </c>
      <c r="AB107" t="str">
        <f t="shared" si="47"/>
        <v/>
      </c>
      <c r="AC107">
        <f t="shared" si="48"/>
        <v>1056</v>
      </c>
      <c r="BI107" s="40"/>
      <c r="BL107" s="40"/>
      <c r="BN107" s="19"/>
      <c r="BP107" s="17"/>
    </row>
    <row r="108" spans="1:68" x14ac:dyDescent="0.2">
      <c r="A108">
        <f t="shared" si="44"/>
        <v>1</v>
      </c>
      <c r="E108" s="4"/>
      <c r="F108" s="46"/>
      <c r="G108" s="4"/>
      <c r="H108" s="48"/>
      <c r="I108" s="26">
        <v>91</v>
      </c>
      <c r="J108" s="26" t="s">
        <v>734</v>
      </c>
      <c r="K108" t="s">
        <v>7</v>
      </c>
      <c r="L108" t="s">
        <v>172</v>
      </c>
      <c r="M108" t="s">
        <v>68</v>
      </c>
      <c r="N108" t="str">
        <f t="shared" si="51"/>
        <v>s</v>
      </c>
      <c r="Q108" t="str">
        <f t="shared" si="50"/>
        <v/>
      </c>
      <c r="S108">
        <f>IF(A108=1,MAX($S$2:$S107)+1,IF(OR($I108&lt;&gt;"",A108="x"),$S107,""))</f>
        <v>57</v>
      </c>
      <c r="T108" t="str">
        <f>IF(D108=1,MAX($T$2:$T107)+1,IF(S108=S107,$T107,IF(D108="x",T107,IF(D107="x","",""))))</f>
        <v/>
      </c>
      <c r="U108" t="str">
        <f>IF(B108=1,MAX($U$2:$U107)+1,IF(AND($T108&lt;&gt;"",$T108=$T107),$U107,IF(B108="x",U107,"")))</f>
        <v/>
      </c>
      <c r="V108" t="str">
        <f>IF(C108=1,MAX($V$2:$V107)+1,IF(AND($T108&lt;&gt;"",$T108=$T107),$U107,IF(C108="x",V107,"")))</f>
        <v/>
      </c>
      <c r="X108" cm="1">
        <f t="array" ref="X108">IF($I108&lt;&gt;"",$I108,INDEX($I$1:$I108,ROW()-COUNTIFS($T$1:$T108,"="&amp;$T108,$S$1:$S108,"&lt;"&amp;$S108)))</f>
        <v>91</v>
      </c>
      <c r="Z108" s="6">
        <f t="shared" si="45"/>
        <v>1</v>
      </c>
      <c r="AA108">
        <f t="shared" si="46"/>
        <v>1057</v>
      </c>
      <c r="AB108" t="str">
        <f t="shared" si="47"/>
        <v/>
      </c>
      <c r="AC108">
        <f t="shared" si="48"/>
        <v>1057</v>
      </c>
      <c r="BI108" s="40"/>
      <c r="BL108" s="40"/>
      <c r="BN108" s="19"/>
      <c r="BP108" s="17"/>
    </row>
    <row r="109" spans="1:68" x14ac:dyDescent="0.2">
      <c r="A109" t="str">
        <f t="shared" si="44"/>
        <v/>
      </c>
      <c r="E109" s="4"/>
      <c r="F109" s="46"/>
      <c r="G109" s="4"/>
      <c r="H109" s="48"/>
      <c r="I109" s="26">
        <v>93</v>
      </c>
      <c r="J109" s="26" t="str">
        <f t="shared" si="49"/>
        <v/>
      </c>
      <c r="N109" t="str">
        <f t="shared" si="51"/>
        <v/>
      </c>
      <c r="Q109" t="str">
        <f t="shared" si="50"/>
        <v/>
      </c>
      <c r="S109">
        <f>IF(A109=1,MAX($S$2:$S108)+1,IF(OR($I109&lt;&gt;"",A109="x"),$S108,""))</f>
        <v>57</v>
      </c>
      <c r="T109" t="str">
        <f>IF(D109=1,MAX($T$2:$T108)+1,IF(S109=S108,$T108,IF(D109="x",T108,IF(D108="x","",""))))</f>
        <v/>
      </c>
      <c r="U109" t="str">
        <f>IF(B109=1,MAX($U$2:$U108)+1,IF(AND($T109&lt;&gt;"",$T109=$T108),$U108,IF(B109="x",U108,"")))</f>
        <v/>
      </c>
      <c r="V109" t="str">
        <f>IF(C109=1,MAX($V$2:$V108)+1,IF(AND($T109&lt;&gt;"",$T109=$T108),$U108,IF(C109="x",V108,"")))</f>
        <v/>
      </c>
      <c r="X109" cm="1">
        <f t="array" ref="X109">IF($I109&lt;&gt;"",$I109,INDEX($I$1:$I109,ROW()-COUNTIFS($T$1:$T109,"="&amp;$T109,$S$1:$S109,"&lt;"&amp;$S109)))</f>
        <v>93</v>
      </c>
      <c r="Z109" s="6">
        <f t="shared" si="45"/>
        <v>1</v>
      </c>
      <c r="AA109">
        <f t="shared" si="46"/>
        <v>1057</v>
      </c>
      <c r="AB109" t="str">
        <f t="shared" si="47"/>
        <v/>
      </c>
      <c r="AC109">
        <f t="shared" si="48"/>
        <v>1057</v>
      </c>
      <c r="BI109" s="40"/>
      <c r="BL109" s="40"/>
      <c r="BN109" s="19"/>
      <c r="BP109" s="17"/>
    </row>
    <row r="110" spans="1:68" x14ac:dyDescent="0.2">
      <c r="A110">
        <f t="shared" si="44"/>
        <v>1</v>
      </c>
      <c r="D110" s="26">
        <v>1</v>
      </c>
      <c r="E110" s="4"/>
      <c r="F110" s="46"/>
      <c r="G110" s="4"/>
      <c r="H110" s="48"/>
      <c r="I110" s="26">
        <v>93</v>
      </c>
      <c r="J110" s="26" t="s">
        <v>734</v>
      </c>
      <c r="K110" t="s">
        <v>7</v>
      </c>
      <c r="L110" t="s">
        <v>182</v>
      </c>
      <c r="M110" t="s">
        <v>68</v>
      </c>
      <c r="N110" t="str">
        <f t="shared" si="51"/>
        <v>u</v>
      </c>
      <c r="O110" t="s">
        <v>576</v>
      </c>
      <c r="Q110" t="str">
        <f t="shared" si="50"/>
        <v>u</v>
      </c>
      <c r="S110">
        <f>IF(A110=1,MAX($S$2:$S109)+1,IF(OR($I110&lt;&gt;"",A110="x"),$S109,""))</f>
        <v>58</v>
      </c>
      <c r="T110">
        <f>IF(D110=1,MAX($T$2:$T109)+1,IF(S110=S109,$T109,IF(D110="x",T109,IF(D109="x","",""))))</f>
        <v>9</v>
      </c>
      <c r="U110" t="str">
        <f>IF(B110=1,MAX($U$2:$U109)+1,IF(AND($T110&lt;&gt;"",$T110=$T109),$U109,IF(B110="x",U109,"")))</f>
        <v/>
      </c>
      <c r="V110" t="str">
        <f>IF(C110=1,MAX($V$2:$V109)+1,IF(AND($T110&lt;&gt;"",$T110=$T109),$U109,IF(C110="x",V109,"")))</f>
        <v/>
      </c>
      <c r="X110" cm="1">
        <f t="array" ref="X110">IF($I110&lt;&gt;"",$I110,INDEX($I$1:$I110,ROW()-COUNTIFS($T$1:$T110,"="&amp;$T110,$S$1:$S110,"&lt;"&amp;$S110)))</f>
        <v>93</v>
      </c>
      <c r="Z110" s="6">
        <f t="shared" si="45"/>
        <v>1</v>
      </c>
      <c r="AA110">
        <f t="shared" si="46"/>
        <v>1058</v>
      </c>
      <c r="AB110">
        <f t="shared" si="47"/>
        <v>9009</v>
      </c>
      <c r="AC110">
        <f t="shared" si="48"/>
        <v>9009</v>
      </c>
      <c r="BI110" s="40"/>
      <c r="BL110" s="40"/>
      <c r="BN110" s="19"/>
      <c r="BP110" s="17"/>
    </row>
    <row r="111" spans="1:68" x14ac:dyDescent="0.2">
      <c r="A111" t="str">
        <f t="shared" si="44"/>
        <v>x</v>
      </c>
      <c r="D111" s="26" t="s">
        <v>729</v>
      </c>
      <c r="E111" s="4"/>
      <c r="F111" s="46"/>
      <c r="G111" s="4"/>
      <c r="H111" s="48"/>
      <c r="I111" s="26">
        <v>24</v>
      </c>
      <c r="J111" s="26" t="str">
        <f t="shared" si="49"/>
        <v/>
      </c>
      <c r="N111" t="str">
        <f t="shared" si="51"/>
        <v/>
      </c>
      <c r="Q111" t="str">
        <f t="shared" si="50"/>
        <v/>
      </c>
      <c r="S111">
        <f>IF(A111=1,MAX($S$2:$S110)+1,IF(OR($I111&lt;&gt;"",A111="x"),$S110,""))</f>
        <v>58</v>
      </c>
      <c r="T111">
        <f>IF(D111=1,MAX($T$2:$T110)+1,IF(S111=S110,$T110,IF(D111="x",T110,IF(D110="x","",""))))</f>
        <v>9</v>
      </c>
      <c r="U111" t="str">
        <f>IF(B111=1,MAX($U$2:$U110)+1,IF(AND($T111&lt;&gt;"",$T111=$T110),$U110,IF(B111="x",U110,"")))</f>
        <v/>
      </c>
      <c r="V111" t="str">
        <f>IF(C111=1,MAX($V$2:$V110)+1,IF(AND($T111&lt;&gt;"",$T111=$T110),$U110,IF(C111="x",V110,"")))</f>
        <v/>
      </c>
      <c r="X111" cm="1">
        <f t="array" ref="X111">IF($I111&lt;&gt;"",$I111,INDEX($I$1:$I111,ROW()-COUNTIFS($T$1:$T111,"="&amp;$T111,$S$1:$S111,"&lt;"&amp;$S111)))</f>
        <v>24</v>
      </c>
      <c r="Z111" s="6">
        <f t="shared" si="45"/>
        <v>1</v>
      </c>
      <c r="AA111">
        <f t="shared" si="46"/>
        <v>1058</v>
      </c>
      <c r="AB111">
        <f t="shared" si="47"/>
        <v>9009</v>
      </c>
      <c r="AC111">
        <f t="shared" si="48"/>
        <v>9009</v>
      </c>
      <c r="BI111" s="40"/>
      <c r="BL111" s="40"/>
      <c r="BN111" s="19"/>
      <c r="BP111" s="17"/>
    </row>
    <row r="112" spans="1:68" x14ac:dyDescent="0.2">
      <c r="A112">
        <f t="shared" si="44"/>
        <v>1</v>
      </c>
      <c r="D112" s="26" t="s">
        <v>729</v>
      </c>
      <c r="E112" s="4"/>
      <c r="F112" s="46"/>
      <c r="G112" s="4"/>
      <c r="H112" s="48"/>
      <c r="I112" s="26">
        <v>93</v>
      </c>
      <c r="J112" s="26" t="s">
        <v>734</v>
      </c>
      <c r="K112" t="s">
        <v>9</v>
      </c>
      <c r="L112" t="s">
        <v>173</v>
      </c>
      <c r="M112" t="s">
        <v>74</v>
      </c>
      <c r="N112" t="str">
        <f t="shared" si="51"/>
        <v>u</v>
      </c>
      <c r="Q112" t="str">
        <f t="shared" si="50"/>
        <v/>
      </c>
      <c r="S112">
        <f>IF(A112=1,MAX($S$2:$S111)+1,IF(OR($I112&lt;&gt;"",A112="x"),$S111,""))</f>
        <v>59</v>
      </c>
      <c r="T112">
        <f>IF(D112=1,MAX($T$2:$T111)+1,IF(S112=S111,$T111,IF(D112="x",T111,IF(D111="x","",""))))</f>
        <v>9</v>
      </c>
      <c r="U112" t="str">
        <f>IF(B112=1,MAX($U$2:$U111)+1,IF(AND($T112&lt;&gt;"",$T112=$T111),$U111,IF(B112="x",U111,"")))</f>
        <v/>
      </c>
      <c r="V112" t="str">
        <f>IF(C112=1,MAX($V$2:$V111)+1,IF(AND($T112&lt;&gt;"",$T112=$T111),$U111,IF(C112="x",V111,"")))</f>
        <v/>
      </c>
      <c r="X112" cm="1">
        <f t="array" ref="X112">IF($I112&lt;&gt;"",$I112,INDEX($I$1:$I112,ROW()-COUNTIFS($T$1:$T112,"="&amp;$T112,$S$1:$S112,"&lt;"&amp;$S112)))</f>
        <v>93</v>
      </c>
      <c r="Z112" s="6">
        <f t="shared" si="45"/>
        <v>1</v>
      </c>
      <c r="AA112">
        <f t="shared" si="46"/>
        <v>1059</v>
      </c>
      <c r="AB112">
        <f t="shared" si="47"/>
        <v>9009</v>
      </c>
      <c r="AC112">
        <f t="shared" si="48"/>
        <v>9009</v>
      </c>
      <c r="BI112" s="40"/>
      <c r="BL112" s="40"/>
      <c r="BN112" s="19"/>
      <c r="BP112" s="17"/>
    </row>
    <row r="113" spans="1:68" x14ac:dyDescent="0.2">
      <c r="A113" t="str">
        <f t="shared" si="44"/>
        <v>x</v>
      </c>
      <c r="D113" s="26" t="s">
        <v>729</v>
      </c>
      <c r="E113" s="4"/>
      <c r="F113" s="46"/>
      <c r="G113" s="4"/>
      <c r="H113" s="48"/>
      <c r="I113" s="26">
        <v>24</v>
      </c>
      <c r="J113" s="26" t="str">
        <f t="shared" si="49"/>
        <v/>
      </c>
      <c r="N113" t="str">
        <f t="shared" si="51"/>
        <v/>
      </c>
      <c r="Q113" t="str">
        <f t="shared" si="50"/>
        <v/>
      </c>
      <c r="S113">
        <f>IF(A113=1,MAX($S$2:$S112)+1,IF(OR($I113&lt;&gt;"",A113="x"),$S112,""))</f>
        <v>59</v>
      </c>
      <c r="T113">
        <f>IF(D113=1,MAX($T$2:$T112)+1,IF(S113=S112,$T112,IF(D113="x",T112,IF(D112="x","",""))))</f>
        <v>9</v>
      </c>
      <c r="U113" t="str">
        <f>IF(B113=1,MAX($U$2:$U112)+1,IF(AND($T113&lt;&gt;"",$T113=$T112),$U112,IF(B113="x",U112,"")))</f>
        <v/>
      </c>
      <c r="V113" t="str">
        <f>IF(C113=1,MAX($V$2:$V112)+1,IF(AND($T113&lt;&gt;"",$T113=$T112),$U112,IF(C113="x",V112,"")))</f>
        <v/>
      </c>
      <c r="X113" cm="1">
        <f t="array" ref="X113">IF($I113&lt;&gt;"",$I113,INDEX($I$1:$I113,ROW()-COUNTIFS($T$1:$T113,"="&amp;$T113,$S$1:$S113,"&lt;"&amp;$S113)))</f>
        <v>24</v>
      </c>
      <c r="Z113" s="6">
        <f t="shared" si="45"/>
        <v>1</v>
      </c>
      <c r="AA113">
        <f t="shared" si="46"/>
        <v>1059</v>
      </c>
      <c r="AB113">
        <f t="shared" si="47"/>
        <v>9009</v>
      </c>
      <c r="AC113">
        <f t="shared" si="48"/>
        <v>9009</v>
      </c>
      <c r="BI113" s="40"/>
      <c r="BL113" s="40"/>
      <c r="BN113" s="19"/>
      <c r="BP113" s="17"/>
    </row>
    <row r="114" spans="1:68" x14ac:dyDescent="0.2">
      <c r="A114">
        <f t="shared" si="44"/>
        <v>1</v>
      </c>
      <c r="E114" s="4"/>
      <c r="F114" s="46" t="s">
        <v>1063</v>
      </c>
      <c r="G114" s="4"/>
      <c r="H114" s="48"/>
      <c r="I114" s="26">
        <v>57</v>
      </c>
      <c r="J114" s="26" t="s">
        <v>734</v>
      </c>
      <c r="K114" t="s">
        <v>13</v>
      </c>
      <c r="L114" t="s">
        <v>586</v>
      </c>
      <c r="N114" t="s">
        <v>594</v>
      </c>
      <c r="O114" t="s">
        <v>907</v>
      </c>
      <c r="Q114" t="str">
        <f t="shared" si="50"/>
        <v>u</v>
      </c>
      <c r="S114">
        <f>IF(A114=1,MAX($S$2:$S113)+1,IF(OR($I114&lt;&gt;"",A114="x"),$S113,""))</f>
        <v>60</v>
      </c>
      <c r="T114" t="str">
        <f>IF(D114=1,MAX($T$2:$T113)+1,IF(S114=S113,$T113,IF(D114="x",T113,IF(D113="x","",""))))</f>
        <v/>
      </c>
      <c r="U114" t="str">
        <f>IF(B114=1,MAX($U$2:$U113)+1,IF(AND($T114&lt;&gt;"",$T114=$T113),$U113,IF(B114="x",U113,"")))</f>
        <v/>
      </c>
      <c r="V114" t="str">
        <f>IF(C114=1,MAX($V$2:$V113)+1,IF(AND($T114&lt;&gt;"",$T114=$T113),$U113,IF(C114="x",V113,"")))</f>
        <v/>
      </c>
      <c r="X114" cm="1">
        <f t="array" ref="X114">IF($I114&lt;&gt;"",$I114,INDEX($I$1:$I114,ROW()-COUNTIFS($T$1:$T114,"="&amp;$T114,$S$1:$S114,"&lt;"&amp;$S114)))</f>
        <v>57</v>
      </c>
      <c r="Z114" s="6">
        <f t="shared" si="45"/>
        <v>1</v>
      </c>
      <c r="AA114">
        <f t="shared" si="46"/>
        <v>1060</v>
      </c>
      <c r="AB114" t="str">
        <f t="shared" si="47"/>
        <v/>
      </c>
      <c r="AC114">
        <f t="shared" si="48"/>
        <v>1060</v>
      </c>
      <c r="BI114" s="40"/>
      <c r="BL114" s="40"/>
      <c r="BN114" s="19"/>
      <c r="BP114" s="17"/>
    </row>
    <row r="115" spans="1:68" x14ac:dyDescent="0.2">
      <c r="A115">
        <f t="shared" si="44"/>
        <v>1</v>
      </c>
      <c r="E115" s="4"/>
      <c r="F115" s="46"/>
      <c r="G115" s="4"/>
      <c r="H115" s="48"/>
      <c r="I115" s="26">
        <v>57</v>
      </c>
      <c r="J115" s="26" t="s">
        <v>734</v>
      </c>
      <c r="K115" t="s">
        <v>7</v>
      </c>
      <c r="L115" t="s">
        <v>182</v>
      </c>
      <c r="M115" t="s">
        <v>67</v>
      </c>
      <c r="N115" t="str">
        <f t="shared" si="51"/>
        <v>u</v>
      </c>
      <c r="O115" t="s">
        <v>576</v>
      </c>
      <c r="Q115" t="str">
        <f t="shared" si="50"/>
        <v>u</v>
      </c>
      <c r="S115">
        <f>IF(A115=1,MAX($S$2:$S114)+1,IF(OR($I115&lt;&gt;"",A115="x"),$S114,""))</f>
        <v>61</v>
      </c>
      <c r="T115" t="str">
        <f>IF(D115=1,MAX($T$2:$T114)+1,IF(S115=S114,$T114,IF(D115="x",T114,IF(D114="x","",""))))</f>
        <v/>
      </c>
      <c r="U115" t="str">
        <f>IF(B115=1,MAX($U$2:$U114)+1,IF(AND($T115&lt;&gt;"",$T115=$T114),$U114,IF(B115="x",U114,"")))</f>
        <v/>
      </c>
      <c r="V115" t="str">
        <f>IF(C115=1,MAX($V$2:$V114)+1,IF(AND($T115&lt;&gt;"",$T115=$T114),$U114,IF(C115="x",V114,"")))</f>
        <v/>
      </c>
      <c r="X115" cm="1">
        <f t="array" ref="X115">IF($I115&lt;&gt;"",$I115,INDEX($I$1:$I115,ROW()-COUNTIFS($T$1:$T115,"="&amp;$T115,$S$1:$S115,"&lt;"&amp;$S115)))</f>
        <v>57</v>
      </c>
      <c r="Z115" s="6">
        <f t="shared" si="45"/>
        <v>1</v>
      </c>
      <c r="AA115">
        <f t="shared" si="46"/>
        <v>1061</v>
      </c>
      <c r="AB115" t="str">
        <f t="shared" si="47"/>
        <v/>
      </c>
      <c r="AC115">
        <f t="shared" si="48"/>
        <v>1061</v>
      </c>
      <c r="BI115" s="40"/>
      <c r="BL115" s="40"/>
      <c r="BN115" s="19"/>
      <c r="BP115" s="17"/>
    </row>
    <row r="116" spans="1:68" x14ac:dyDescent="0.2">
      <c r="A116">
        <f t="shared" si="44"/>
        <v>1</v>
      </c>
      <c r="E116" s="4"/>
      <c r="F116" s="46" t="s">
        <v>1034</v>
      </c>
      <c r="G116" s="4"/>
      <c r="H116" s="48" t="s">
        <v>1055</v>
      </c>
      <c r="I116" s="26">
        <v>69</v>
      </c>
      <c r="J116" s="26" t="s">
        <v>734</v>
      </c>
      <c r="K116" t="s">
        <v>13</v>
      </c>
      <c r="L116" t="s">
        <v>587</v>
      </c>
      <c r="N116" t="s">
        <v>595</v>
      </c>
      <c r="O116" t="s">
        <v>907</v>
      </c>
      <c r="Q116" t="str">
        <f t="shared" si="50"/>
        <v>s</v>
      </c>
      <c r="S116">
        <f>IF(A116=1,MAX($S$2:$S115)+1,IF(OR($I116&lt;&gt;"",A116="x"),$S115,""))</f>
        <v>62</v>
      </c>
      <c r="T116" t="str">
        <f>IF(D116=1,MAX($T$2:$T115)+1,IF(S116=S115,$T115,IF(D116="x",T115,IF(D115="x","",""))))</f>
        <v/>
      </c>
      <c r="U116" t="str">
        <f>IF(B116=1,MAX($U$2:$U115)+1,IF(AND($T116&lt;&gt;"",$T116=$T115),$U115,IF(B116="x",U115,"")))</f>
        <v/>
      </c>
      <c r="V116" t="str">
        <f>IF(C116=1,MAX($V$2:$V115)+1,IF(AND($T116&lt;&gt;"",$T116=$T115),$U115,IF(C116="x",V115,"")))</f>
        <v/>
      </c>
      <c r="X116" cm="1">
        <f t="array" ref="X116">IF($I116&lt;&gt;"",$I116,INDEX($I$1:$I116,ROW()-COUNTIFS($T$1:$T116,"="&amp;$T116,$S$1:$S116,"&lt;"&amp;$S116)))</f>
        <v>69</v>
      </c>
      <c r="Z116" s="6">
        <f t="shared" si="45"/>
        <v>1</v>
      </c>
      <c r="AA116">
        <f t="shared" si="46"/>
        <v>1062</v>
      </c>
      <c r="AB116" t="str">
        <f t="shared" si="47"/>
        <v/>
      </c>
      <c r="AC116">
        <f t="shared" si="48"/>
        <v>1062</v>
      </c>
      <c r="BI116" s="40"/>
      <c r="BL116" s="40"/>
      <c r="BN116" s="19"/>
      <c r="BP116" s="17"/>
    </row>
    <row r="117" spans="1:68" x14ac:dyDescent="0.2">
      <c r="A117">
        <f t="shared" si="44"/>
        <v>1</v>
      </c>
      <c r="E117" s="4"/>
      <c r="F117" s="46"/>
      <c r="G117" s="4"/>
      <c r="H117" s="48"/>
      <c r="I117" s="26">
        <v>69</v>
      </c>
      <c r="J117" s="26" t="s">
        <v>734</v>
      </c>
      <c r="K117" t="s">
        <v>7</v>
      </c>
      <c r="L117" t="s">
        <v>172</v>
      </c>
      <c r="M117" t="s">
        <v>68</v>
      </c>
      <c r="N117" t="str">
        <f t="shared" si="51"/>
        <v>s</v>
      </c>
      <c r="O117" t="s">
        <v>576</v>
      </c>
      <c r="Q117" t="str">
        <f t="shared" si="50"/>
        <v>s</v>
      </c>
      <c r="S117">
        <f>IF(A117=1,MAX($S$2:$S116)+1,IF(OR($I117&lt;&gt;"",A117="x"),$S116,""))</f>
        <v>63</v>
      </c>
      <c r="T117" t="str">
        <f>IF(D117=1,MAX($T$2:$T116)+1,IF(S117=S116,$T116,IF(D117="x",T116,IF(D116="x","",""))))</f>
        <v/>
      </c>
      <c r="U117" t="str">
        <f>IF(B117=1,MAX($U$2:$U116)+1,IF(AND($T117&lt;&gt;"",$T117=$T116),$U116,IF(B117="x",U116,"")))</f>
        <v/>
      </c>
      <c r="V117" t="str">
        <f>IF(C117=1,MAX($V$2:$V116)+1,IF(AND($T117&lt;&gt;"",$T117=$T116),$U116,IF(C117="x",V116,"")))</f>
        <v/>
      </c>
      <c r="X117" cm="1">
        <f t="array" ref="X117">IF($I117&lt;&gt;"",$I117,INDEX($I$1:$I117,ROW()-COUNTIFS($T$1:$T117,"="&amp;$T117,$S$1:$S117,"&lt;"&amp;$S117)))</f>
        <v>69</v>
      </c>
      <c r="Z117" s="6">
        <f t="shared" si="45"/>
        <v>1</v>
      </c>
      <c r="AA117">
        <f t="shared" si="46"/>
        <v>1063</v>
      </c>
      <c r="AB117" t="str">
        <f t="shared" si="47"/>
        <v/>
      </c>
      <c r="AC117">
        <f t="shared" si="48"/>
        <v>1063</v>
      </c>
      <c r="BI117" s="40"/>
      <c r="BL117" s="40"/>
      <c r="BN117" s="19"/>
      <c r="BP117" s="17"/>
    </row>
    <row r="118" spans="1:68" x14ac:dyDescent="0.2">
      <c r="A118" t="str">
        <f t="shared" si="44"/>
        <v/>
      </c>
      <c r="E118" s="4"/>
      <c r="F118" s="46"/>
      <c r="G118" s="4"/>
      <c r="H118" s="48"/>
      <c r="I118" s="26">
        <v>21</v>
      </c>
      <c r="J118" s="26" t="str">
        <f t="shared" si="49"/>
        <v/>
      </c>
      <c r="N118" t="str">
        <f t="shared" si="51"/>
        <v/>
      </c>
      <c r="Q118" t="str">
        <f t="shared" si="50"/>
        <v/>
      </c>
      <c r="S118">
        <f>IF(A118=1,MAX($S$2:$S117)+1,IF(OR($I118&lt;&gt;"",A118="x"),$S117,""))</f>
        <v>63</v>
      </c>
      <c r="T118" t="str">
        <f>IF(D118=1,MAX($T$2:$T117)+1,IF(S118=S117,$T117,IF(D118="x",T117,IF(D117="x","",""))))</f>
        <v/>
      </c>
      <c r="U118" t="str">
        <f>IF(B118=1,MAX($U$2:$U117)+1,IF(AND($T118&lt;&gt;"",$T118=$T117),$U117,IF(B118="x",U117,"")))</f>
        <v/>
      </c>
      <c r="V118" t="str">
        <f>IF(C118=1,MAX($V$2:$V117)+1,IF(AND($T118&lt;&gt;"",$T118=$T117),$U117,IF(C118="x",V117,"")))</f>
        <v/>
      </c>
      <c r="X118" cm="1">
        <f t="array" ref="X118">IF($I118&lt;&gt;"",$I118,INDEX($I$1:$I118,ROW()-COUNTIFS($T$1:$T118,"="&amp;$T118,$S$1:$S118,"&lt;"&amp;$S118)))</f>
        <v>21</v>
      </c>
      <c r="Z118" s="6">
        <f t="shared" si="45"/>
        <v>1</v>
      </c>
      <c r="AA118">
        <f t="shared" si="46"/>
        <v>1063</v>
      </c>
      <c r="AB118" t="str">
        <f t="shared" si="47"/>
        <v/>
      </c>
      <c r="AC118">
        <f t="shared" si="48"/>
        <v>1063</v>
      </c>
      <c r="BI118" s="40"/>
      <c r="BL118" s="40"/>
      <c r="BN118" s="19"/>
      <c r="BP118" s="17"/>
    </row>
    <row r="119" spans="1:68" x14ac:dyDescent="0.2">
      <c r="A119">
        <f t="shared" si="44"/>
        <v>1</v>
      </c>
      <c r="E119" s="4"/>
      <c r="F119" s="46"/>
      <c r="G119" s="4"/>
      <c r="H119" s="48" t="s">
        <v>1067</v>
      </c>
      <c r="I119" s="26">
        <v>21</v>
      </c>
      <c r="J119" s="26" t="s">
        <v>734</v>
      </c>
      <c r="K119" t="s">
        <v>13</v>
      </c>
      <c r="N119" t="str">
        <f t="shared" si="51"/>
        <v/>
      </c>
      <c r="Q119" t="str">
        <f t="shared" si="50"/>
        <v/>
      </c>
      <c r="S119">
        <f>IF(A119=1,MAX($S$2:$S118)+1,IF(OR($I119&lt;&gt;"",A119="x"),$S118,""))</f>
        <v>64</v>
      </c>
      <c r="T119" t="str">
        <f>IF(D119=1,MAX($T$2:$T118)+1,IF(S119=S118,$T118,IF(D119="x",T118,IF(D118="x","",""))))</f>
        <v/>
      </c>
      <c r="U119" t="str">
        <f>IF(B119=1,MAX($U$2:$U118)+1,IF(AND($T119&lt;&gt;"",$T119=$T118),$U118,IF(B119="x",U118,"")))</f>
        <v/>
      </c>
      <c r="V119" t="str">
        <f>IF(C119=1,MAX($V$2:$V118)+1,IF(AND($T119&lt;&gt;"",$T119=$T118),$U118,IF(C119="x",V118,"")))</f>
        <v/>
      </c>
      <c r="X119" cm="1">
        <f t="array" ref="X119">IF($I119&lt;&gt;"",$I119,INDEX($I$1:$I119,ROW()-COUNTIFS($T$1:$T119,"="&amp;$T119,$S$1:$S119,"&lt;"&amp;$S119)))</f>
        <v>21</v>
      </c>
      <c r="Z119" s="6">
        <f t="shared" si="45"/>
        <v>1</v>
      </c>
      <c r="AA119">
        <f t="shared" si="46"/>
        <v>1064</v>
      </c>
      <c r="AB119" t="str">
        <f t="shared" si="47"/>
        <v/>
      </c>
      <c r="AC119">
        <f t="shared" si="48"/>
        <v>1064</v>
      </c>
      <c r="BI119" s="40"/>
      <c r="BL119" s="40"/>
      <c r="BN119" s="19"/>
      <c r="BP119" s="17"/>
    </row>
    <row r="120" spans="1:68" x14ac:dyDescent="0.2">
      <c r="A120">
        <f t="shared" si="44"/>
        <v>1</v>
      </c>
      <c r="E120" s="4"/>
      <c r="F120" s="46"/>
      <c r="G120" s="4"/>
      <c r="H120" s="48" t="s">
        <v>743</v>
      </c>
      <c r="I120" s="26">
        <v>21</v>
      </c>
      <c r="J120" s="26" t="str">
        <f t="shared" si="49"/>
        <v>o</v>
      </c>
      <c r="K120" t="s">
        <v>238</v>
      </c>
      <c r="L120" t="s">
        <v>174</v>
      </c>
      <c r="M120" t="s">
        <v>85</v>
      </c>
      <c r="N120" t="str">
        <f t="shared" si="51"/>
        <v>s</v>
      </c>
      <c r="O120" t="s">
        <v>144</v>
      </c>
      <c r="Q120" t="str">
        <f t="shared" si="50"/>
        <v>s</v>
      </c>
      <c r="R120" s="26">
        <v>1</v>
      </c>
      <c r="S120">
        <f>IF(A120=1,MAX($S$2:$S119)+1,IF(OR($I120&lt;&gt;"",A120="x"),$S119,""))</f>
        <v>65</v>
      </c>
      <c r="T120" t="str">
        <f>IF(D120=1,MAX($T$2:$T119)+1,IF(S120=S119,$T119,IF(D120="x",T119,IF(D119="x","",""))))</f>
        <v/>
      </c>
      <c r="U120" t="str">
        <f>IF(B120=1,MAX($U$2:$U119)+1,IF(AND($T120&lt;&gt;"",$T120=$T119),$U119,IF(B120="x",U119,"")))</f>
        <v/>
      </c>
      <c r="V120" t="str">
        <f>IF(C120=1,MAX($V$2:$V119)+1,IF(AND($T120&lt;&gt;"",$T120=$T119),$U119,IF(C120="x",V119,"")))</f>
        <v/>
      </c>
      <c r="X120" cm="1">
        <f t="array" ref="X120">IF($I120&lt;&gt;"",$I120,INDEX($I$1:$I120,ROW()-COUNTIFS($T$1:$T120,"="&amp;$T120,$S$1:$S120,"&lt;"&amp;$S120)))</f>
        <v>21</v>
      </c>
      <c r="Z120" s="6">
        <f t="shared" si="45"/>
        <v>1</v>
      </c>
      <c r="AA120">
        <f t="shared" si="46"/>
        <v>1065</v>
      </c>
      <c r="AB120" t="str">
        <f t="shared" si="47"/>
        <v/>
      </c>
      <c r="AC120">
        <f t="shared" si="48"/>
        <v>1065</v>
      </c>
      <c r="BI120" s="40"/>
      <c r="BL120" s="40"/>
      <c r="BN120" s="19"/>
      <c r="BP120" s="17"/>
    </row>
    <row r="121" spans="1:68" x14ac:dyDescent="0.2">
      <c r="A121" t="str">
        <f t="shared" si="44"/>
        <v/>
      </c>
      <c r="E121" s="4"/>
      <c r="F121" s="46"/>
      <c r="G121" s="4"/>
      <c r="H121" s="48"/>
      <c r="I121" s="26">
        <v>93</v>
      </c>
      <c r="J121" s="26" t="str">
        <f t="shared" si="49"/>
        <v/>
      </c>
      <c r="N121" t="str">
        <f t="shared" si="51"/>
        <v/>
      </c>
      <c r="Q121" t="str">
        <f t="shared" si="50"/>
        <v/>
      </c>
      <c r="R121" s="26">
        <v>1</v>
      </c>
      <c r="S121">
        <f>IF(A121=1,MAX($S$2:$S120)+1,IF(OR($I121&lt;&gt;"",A121="x"),$S120,""))</f>
        <v>65</v>
      </c>
      <c r="T121" t="str">
        <f>IF(D121=1,MAX($T$2:$T120)+1,IF(S121=S120,$T120,IF(D121="x",T120,IF(D120="x","",""))))</f>
        <v/>
      </c>
      <c r="U121" t="str">
        <f>IF(B121=1,MAX($U$2:$U120)+1,IF(AND($T121&lt;&gt;"",$T121=$T120),$U120,IF(B121="x",U120,"")))</f>
        <v/>
      </c>
      <c r="V121" t="str">
        <f>IF(C121=1,MAX($V$2:$V120)+1,IF(AND($T121&lt;&gt;"",$T121=$T120),$U120,IF(C121="x",V120,"")))</f>
        <v/>
      </c>
      <c r="X121" cm="1">
        <f t="array" ref="X121">IF($I121&lt;&gt;"",$I121,INDEX($I$1:$I121,ROW()-COUNTIFS($T$1:$T121,"="&amp;$T121,$S$1:$S121,"&lt;"&amp;$S121)))</f>
        <v>93</v>
      </c>
      <c r="Z121" s="6">
        <f t="shared" si="45"/>
        <v>1</v>
      </c>
      <c r="AA121">
        <f t="shared" si="46"/>
        <v>1065</v>
      </c>
      <c r="AB121" t="str">
        <f t="shared" si="47"/>
        <v/>
      </c>
      <c r="AC121">
        <f t="shared" si="48"/>
        <v>1065</v>
      </c>
      <c r="BI121" s="40"/>
      <c r="BL121" s="40"/>
      <c r="BN121" s="19"/>
      <c r="BP121" s="17"/>
    </row>
    <row r="122" spans="1:68" x14ac:dyDescent="0.2">
      <c r="A122">
        <f t="shared" si="44"/>
        <v>1</v>
      </c>
      <c r="E122" s="4"/>
      <c r="F122" s="46"/>
      <c r="G122" s="4"/>
      <c r="H122" s="48" t="s">
        <v>744</v>
      </c>
      <c r="I122" s="26">
        <v>21</v>
      </c>
      <c r="J122" s="26" t="s">
        <v>368</v>
      </c>
      <c r="K122" t="s">
        <v>13</v>
      </c>
      <c r="N122" t="str">
        <f t="shared" si="51"/>
        <v/>
      </c>
      <c r="Q122" t="str">
        <f t="shared" si="50"/>
        <v/>
      </c>
      <c r="R122" s="26">
        <v>1</v>
      </c>
      <c r="S122">
        <f>IF(A122=1,MAX($S$2:$S121)+1,IF(OR($I122&lt;&gt;"",A122="x"),$S121,""))</f>
        <v>66</v>
      </c>
      <c r="T122" t="str">
        <f>IF(D122=1,MAX($T$2:$T121)+1,IF(S122=S121,$T121,IF(D122="x",T121,IF(D121="x","",""))))</f>
        <v/>
      </c>
      <c r="U122" t="str">
        <f>IF(B122=1,MAX($U$2:$U121)+1,IF(AND($T122&lt;&gt;"",$T122=$T121),$U121,IF(B122="x",U121,"")))</f>
        <v/>
      </c>
      <c r="V122" t="str">
        <f>IF(C122=1,MAX($V$2:$V121)+1,IF(AND($T122&lt;&gt;"",$T122=$T121),$U121,IF(C122="x",V121,"")))</f>
        <v/>
      </c>
      <c r="X122" cm="1">
        <f t="array" ref="X122">IF($I122&lt;&gt;"",$I122,INDEX($I$1:$I122,ROW()-COUNTIFS($T$1:$T122,"="&amp;$T122,$S$1:$S122,"&lt;"&amp;$S122)))</f>
        <v>21</v>
      </c>
      <c r="Z122" s="6">
        <f t="shared" si="45"/>
        <v>1</v>
      </c>
      <c r="AA122">
        <f t="shared" si="46"/>
        <v>1066</v>
      </c>
      <c r="AB122" t="str">
        <f t="shared" si="47"/>
        <v/>
      </c>
      <c r="AC122">
        <f t="shared" si="48"/>
        <v>1066</v>
      </c>
      <c r="BI122" s="40"/>
      <c r="BL122" s="40"/>
      <c r="BN122" s="19"/>
      <c r="BP122" s="17"/>
    </row>
    <row r="123" spans="1:68" x14ac:dyDescent="0.2">
      <c r="A123" t="str">
        <f t="shared" si="44"/>
        <v/>
      </c>
      <c r="E123" s="4"/>
      <c r="F123" s="46"/>
      <c r="G123" s="4"/>
      <c r="H123" s="48"/>
      <c r="I123" s="26">
        <v>9</v>
      </c>
      <c r="J123" s="26" t="str">
        <f t="shared" si="49"/>
        <v/>
      </c>
      <c r="N123" t="str">
        <f t="shared" si="51"/>
        <v/>
      </c>
      <c r="Q123" t="str">
        <f t="shared" si="50"/>
        <v/>
      </c>
      <c r="R123" s="26">
        <v>1</v>
      </c>
      <c r="S123">
        <f>IF(A123=1,MAX($S$2:$S122)+1,IF(OR($I123&lt;&gt;"",A123="x"),$S122,""))</f>
        <v>66</v>
      </c>
      <c r="T123" t="str">
        <f>IF(D123=1,MAX($T$2:$T122)+1,IF(S123=S122,$T122,IF(D123="x",T122,IF(D122="x","",""))))</f>
        <v/>
      </c>
      <c r="U123" t="str">
        <f>IF(B123=1,MAX($U$2:$U122)+1,IF(AND($T123&lt;&gt;"",$T123=$T122),$U122,IF(B123="x",U122,"")))</f>
        <v/>
      </c>
      <c r="V123" t="str">
        <f>IF(C123=1,MAX($V$2:$V122)+1,IF(AND($T123&lt;&gt;"",$T123=$T122),$U122,IF(C123="x",V122,"")))</f>
        <v/>
      </c>
      <c r="X123" cm="1">
        <f t="array" ref="X123">IF($I123&lt;&gt;"",$I123,INDEX($I$1:$I123,ROW()-COUNTIFS($T$1:$T123,"="&amp;$T123,$S$1:$S123,"&lt;"&amp;$S123)))</f>
        <v>9</v>
      </c>
      <c r="Z123" s="6">
        <f t="shared" si="45"/>
        <v>1</v>
      </c>
      <c r="AA123">
        <f t="shared" si="46"/>
        <v>1066</v>
      </c>
      <c r="AB123" t="str">
        <f t="shared" si="47"/>
        <v/>
      </c>
      <c r="AC123">
        <f t="shared" si="48"/>
        <v>1066</v>
      </c>
      <c r="BI123" s="40"/>
      <c r="BL123" s="40"/>
      <c r="BN123" s="19"/>
      <c r="BP123" s="17"/>
    </row>
    <row r="124" spans="1:68" x14ac:dyDescent="0.2">
      <c r="A124">
        <f t="shared" si="44"/>
        <v>1</v>
      </c>
      <c r="E124" s="4"/>
      <c r="F124" s="46"/>
      <c r="G124" s="4"/>
      <c r="H124" s="48"/>
      <c r="I124" s="26">
        <v>21</v>
      </c>
      <c r="J124" s="26" t="s">
        <v>368</v>
      </c>
      <c r="K124" t="s">
        <v>7</v>
      </c>
      <c r="L124" t="s">
        <v>192</v>
      </c>
      <c r="M124" t="s">
        <v>68</v>
      </c>
      <c r="N124" t="str">
        <f t="shared" si="51"/>
        <v>u</v>
      </c>
      <c r="Q124" t="str">
        <f t="shared" si="50"/>
        <v/>
      </c>
      <c r="R124" s="26">
        <v>1</v>
      </c>
      <c r="S124">
        <f>IF(A124=1,MAX($S$2:$S123)+1,IF(OR($I124&lt;&gt;"",A124="x"),$S123,""))</f>
        <v>67</v>
      </c>
      <c r="T124" t="str">
        <f>IF(D124=1,MAX($T$2:$T123)+1,IF(S124=S123,$T123,IF(D124="x",T123,IF(D123="x","",""))))</f>
        <v/>
      </c>
      <c r="U124" t="str">
        <f>IF(B124=1,MAX($U$2:$U123)+1,IF(AND($T124&lt;&gt;"",$T124=$T123),$U123,IF(B124="x",U123,"")))</f>
        <v/>
      </c>
      <c r="V124" t="str">
        <f>IF(C124=1,MAX($V$2:$V123)+1,IF(AND($T124&lt;&gt;"",$T124=$T123),$U123,IF(C124="x",V123,"")))</f>
        <v/>
      </c>
      <c r="X124" cm="1">
        <f t="array" ref="X124">IF($I124&lt;&gt;"",$I124,INDEX($I$1:$I124,ROW()-COUNTIFS($T$1:$T124,"="&amp;$T124,$S$1:$S124,"&lt;"&amp;$S124)))</f>
        <v>21</v>
      </c>
      <c r="Z124" s="6">
        <f t="shared" si="45"/>
        <v>1</v>
      </c>
      <c r="AA124">
        <f t="shared" si="46"/>
        <v>1067</v>
      </c>
      <c r="AB124" t="str">
        <f t="shared" si="47"/>
        <v/>
      </c>
      <c r="AC124">
        <f t="shared" si="48"/>
        <v>1067</v>
      </c>
      <c r="BI124" s="40"/>
      <c r="BL124" s="40"/>
      <c r="BN124" s="19"/>
      <c r="BP124" s="17"/>
    </row>
    <row r="125" spans="1:68" x14ac:dyDescent="0.2">
      <c r="A125" t="str">
        <f t="shared" si="44"/>
        <v/>
      </c>
      <c r="E125" s="4"/>
      <c r="F125" s="46"/>
      <c r="G125" s="4"/>
      <c r="H125" s="48"/>
      <c r="I125" s="26">
        <v>90</v>
      </c>
      <c r="J125" s="26" t="str">
        <f t="shared" si="49"/>
        <v/>
      </c>
      <c r="N125" t="str">
        <f t="shared" si="51"/>
        <v/>
      </c>
      <c r="Q125" t="str">
        <f t="shared" si="50"/>
        <v/>
      </c>
      <c r="S125">
        <f>IF(A125=1,MAX($S$2:$S124)+1,IF(OR($I125&lt;&gt;"",A125="x"),$S124,""))</f>
        <v>67</v>
      </c>
      <c r="T125" t="str">
        <f>IF(D125=1,MAX($T$2:$T124)+1,IF(S125=S124,$T124,IF(D125="x",T124,IF(D124="x","",""))))</f>
        <v/>
      </c>
      <c r="U125" t="str">
        <f>IF(B125=1,MAX($U$2:$U124)+1,IF(AND($T125&lt;&gt;"",$T125=$T124),$U124,IF(B125="x",U124,"")))</f>
        <v/>
      </c>
      <c r="V125" t="str">
        <f>IF(C125=1,MAX($V$2:$V124)+1,IF(AND($T125&lt;&gt;"",$T125=$T124),$U124,IF(C125="x",V124,"")))</f>
        <v/>
      </c>
      <c r="X125" cm="1">
        <f t="array" ref="X125">IF($I125&lt;&gt;"",$I125,INDEX($I$1:$I125,ROW()-COUNTIFS($T$1:$T125,"="&amp;$T125,$S$1:$S125,"&lt;"&amp;$S125)))</f>
        <v>90</v>
      </c>
      <c r="Z125" s="6">
        <f t="shared" si="45"/>
        <v>1</v>
      </c>
      <c r="AA125">
        <f t="shared" si="46"/>
        <v>1067</v>
      </c>
      <c r="AB125" t="str">
        <f t="shared" si="47"/>
        <v/>
      </c>
      <c r="AC125">
        <f t="shared" si="48"/>
        <v>1067</v>
      </c>
      <c r="BI125" s="40"/>
      <c r="BL125" s="40"/>
      <c r="BN125" s="19"/>
      <c r="BP125" s="17"/>
    </row>
    <row r="126" spans="1:68" x14ac:dyDescent="0.2">
      <c r="A126" t="str">
        <f t="shared" si="44"/>
        <v/>
      </c>
      <c r="E126" s="4"/>
      <c r="F126" s="46"/>
      <c r="G126" s="4"/>
      <c r="H126" s="48"/>
      <c r="I126" s="26">
        <v>9</v>
      </c>
      <c r="J126" s="26" t="str">
        <f t="shared" si="49"/>
        <v/>
      </c>
      <c r="N126" t="str">
        <f t="shared" si="51"/>
        <v/>
      </c>
      <c r="O126" t="s">
        <v>782</v>
      </c>
      <c r="Q126" t="str">
        <f t="shared" si="50"/>
        <v/>
      </c>
      <c r="R126" s="26">
        <v>1</v>
      </c>
      <c r="S126">
        <f>IF(A126=1,MAX($S$2:$S125)+1,IF(OR($I126&lt;&gt;"",A126="x"),$S125,""))</f>
        <v>67</v>
      </c>
      <c r="T126" t="str">
        <f>IF(D126=1,MAX($T$2:$T125)+1,IF(S126=S125,$T125,IF(D126="x",T125,IF(D125="x","",""))))</f>
        <v/>
      </c>
      <c r="U126" t="str">
        <f>IF(B126=1,MAX($U$2:$U125)+1,IF(AND($T126&lt;&gt;"",$T126=$T125),$U125,IF(B126="x",U125,"")))</f>
        <v/>
      </c>
      <c r="V126" t="str">
        <f>IF(C126=1,MAX($V$2:$V125)+1,IF(AND($T126&lt;&gt;"",$T126=$T125),$U125,IF(C126="x",V125,"")))</f>
        <v/>
      </c>
      <c r="X126" cm="1">
        <f t="array" ref="X126">IF($I126&lt;&gt;"",$I126,INDEX($I$1:$I126,ROW()-COUNTIFS($T$1:$T126,"="&amp;$T126,$S$1:$S126,"&lt;"&amp;$S126)))</f>
        <v>9</v>
      </c>
      <c r="Z126" s="6">
        <f t="shared" si="45"/>
        <v>1</v>
      </c>
      <c r="AA126">
        <f t="shared" si="46"/>
        <v>1067</v>
      </c>
      <c r="AB126" t="str">
        <f t="shared" si="47"/>
        <v/>
      </c>
      <c r="AC126">
        <f t="shared" si="48"/>
        <v>1067</v>
      </c>
      <c r="BI126" s="40"/>
      <c r="BL126" s="40"/>
      <c r="BN126" s="19"/>
      <c r="BP126" s="17"/>
    </row>
    <row r="127" spans="1:68" x14ac:dyDescent="0.2">
      <c r="A127">
        <f t="shared" si="44"/>
        <v>1</v>
      </c>
      <c r="E127" s="4"/>
      <c r="F127" s="46" t="s">
        <v>1064</v>
      </c>
      <c r="G127" s="4"/>
      <c r="H127" s="48"/>
      <c r="I127" s="26">
        <v>57</v>
      </c>
      <c r="J127" s="26" t="s">
        <v>368</v>
      </c>
      <c r="K127" t="s">
        <v>238</v>
      </c>
      <c r="L127" t="s">
        <v>193</v>
      </c>
      <c r="M127" t="s">
        <v>91</v>
      </c>
      <c r="N127" t="str">
        <f t="shared" si="51"/>
        <v>s</v>
      </c>
      <c r="Q127" t="str">
        <f t="shared" si="50"/>
        <v/>
      </c>
      <c r="S127">
        <f>IF(A127=1,MAX($S$2:$S126)+1,IF(OR($I127&lt;&gt;"",A127="x"),$S126,""))</f>
        <v>68</v>
      </c>
      <c r="T127" t="str">
        <f>IF(D127=1,MAX($T$2:$T126)+1,IF(S127=S126,$T126,IF(D127="x",T126,IF(D126="x","",""))))</f>
        <v/>
      </c>
      <c r="U127" t="str">
        <f>IF(B127=1,MAX($U$2:$U126)+1,IF(AND($T127&lt;&gt;"",$T127=$T126),$U126,IF(B127="x",U126,"")))</f>
        <v/>
      </c>
      <c r="V127" t="str">
        <f>IF(C127=1,MAX($V$2:$V126)+1,IF(AND($T127&lt;&gt;"",$T127=$T126),$U126,IF(C127="x",V126,"")))</f>
        <v/>
      </c>
      <c r="X127" cm="1">
        <f t="array" ref="X127">IF($I127&lt;&gt;"",$I127,INDEX($I$1:$I127,ROW()-COUNTIFS($T$1:$T127,"="&amp;$T127,$S$1:$S127,"&lt;"&amp;$S127)))</f>
        <v>57</v>
      </c>
      <c r="Z127" s="6">
        <f t="shared" si="45"/>
        <v>1</v>
      </c>
      <c r="AA127">
        <f t="shared" si="46"/>
        <v>1068</v>
      </c>
      <c r="AB127" t="str">
        <f t="shared" si="47"/>
        <v/>
      </c>
      <c r="AC127">
        <f t="shared" si="48"/>
        <v>1068</v>
      </c>
      <c r="BI127" s="40"/>
      <c r="BL127" s="40"/>
      <c r="BN127" s="19"/>
      <c r="BP127" s="17"/>
    </row>
    <row r="128" spans="1:68" x14ac:dyDescent="0.2">
      <c r="A128">
        <f t="shared" si="44"/>
        <v>1</v>
      </c>
      <c r="E128" s="4"/>
      <c r="F128" s="46"/>
      <c r="G128" s="4"/>
      <c r="H128" s="48" t="s">
        <v>746</v>
      </c>
      <c r="I128" s="26">
        <v>57</v>
      </c>
      <c r="J128" s="26" t="s">
        <v>368</v>
      </c>
      <c r="K128" t="s">
        <v>13</v>
      </c>
      <c r="L128" t="s">
        <v>587</v>
      </c>
      <c r="N128" t="str">
        <f t="shared" si="51"/>
        <v/>
      </c>
      <c r="O128" t="s">
        <v>907</v>
      </c>
      <c r="Q128" t="str">
        <f t="shared" si="50"/>
        <v/>
      </c>
      <c r="S128">
        <f>IF(A128=1,MAX($S$2:$S127)+1,IF(OR($I128&lt;&gt;"",A128="x"),$S127,""))</f>
        <v>69</v>
      </c>
      <c r="T128" t="str">
        <f>IF(D128=1,MAX($T$2:$T127)+1,IF(S128=S127,$T127,IF(D128="x",T127,IF(D127="x","",""))))</f>
        <v/>
      </c>
      <c r="U128" t="str">
        <f>IF(B128=1,MAX($U$2:$U127)+1,IF(AND($T128&lt;&gt;"",$T128=$T127),$U127,IF(B128="x",U127,"")))</f>
        <v/>
      </c>
      <c r="V128" t="str">
        <f>IF(C128=1,MAX($V$2:$V127)+1,IF(AND($T128&lt;&gt;"",$T128=$T127),$U127,IF(C128="x",V127,"")))</f>
        <v/>
      </c>
      <c r="X128" cm="1">
        <f t="array" ref="X128">IF($I128&lt;&gt;"",$I128,INDEX($I$1:$I128,ROW()-COUNTIFS($T$1:$T128,"="&amp;$T128,$S$1:$S128,"&lt;"&amp;$S128)))</f>
        <v>57</v>
      </c>
      <c r="Z128" s="6">
        <f t="shared" si="45"/>
        <v>1</v>
      </c>
      <c r="AA128">
        <f t="shared" si="46"/>
        <v>1069</v>
      </c>
      <c r="AB128" t="str">
        <f t="shared" si="47"/>
        <v/>
      </c>
      <c r="AC128">
        <f t="shared" si="48"/>
        <v>1069</v>
      </c>
      <c r="BI128" s="40"/>
      <c r="BL128" s="40"/>
      <c r="BN128" s="19"/>
      <c r="BP128" s="17"/>
    </row>
    <row r="129" spans="1:68" x14ac:dyDescent="0.2">
      <c r="A129">
        <f t="shared" si="44"/>
        <v>1</v>
      </c>
      <c r="E129" s="4"/>
      <c r="F129" s="46"/>
      <c r="G129" s="4"/>
      <c r="H129" s="48"/>
      <c r="I129" s="26">
        <v>57</v>
      </c>
      <c r="J129" s="26" t="s">
        <v>368</v>
      </c>
      <c r="K129" t="s">
        <v>7</v>
      </c>
      <c r="L129" t="s">
        <v>172</v>
      </c>
      <c r="M129" t="s">
        <v>66</v>
      </c>
      <c r="N129" t="str">
        <f t="shared" si="51"/>
        <v>s</v>
      </c>
      <c r="Q129" t="str">
        <f t="shared" si="50"/>
        <v/>
      </c>
      <c r="R129" s="26">
        <v>1</v>
      </c>
      <c r="S129">
        <f>IF(A129=1,MAX($S$2:$S128)+1,IF(OR($I129&lt;&gt;"",A129="x"),$S128,""))</f>
        <v>70</v>
      </c>
      <c r="T129" t="str">
        <f>IF(D129=1,MAX($T$2:$T128)+1,IF(S129=S128,$T128,IF(D129="x",T128,IF(D128="x","",""))))</f>
        <v/>
      </c>
      <c r="U129" t="str">
        <f>IF(B129=1,MAX($U$2:$U128)+1,IF(AND($T129&lt;&gt;"",$T129=$T128),$U128,IF(B129="x",U128,"")))</f>
        <v/>
      </c>
      <c r="V129" t="str">
        <f>IF(C129=1,MAX($V$2:$V128)+1,IF(AND($T129&lt;&gt;"",$T129=$T128),$U128,IF(C129="x",V128,"")))</f>
        <v/>
      </c>
      <c r="X129" cm="1">
        <f t="array" ref="X129">IF($I129&lt;&gt;"",$I129,INDEX($I$1:$I129,ROW()-COUNTIFS($T$1:$T129,"="&amp;$T129,$S$1:$S129,"&lt;"&amp;$S129)))</f>
        <v>57</v>
      </c>
      <c r="Z129" s="6">
        <f t="shared" si="45"/>
        <v>1</v>
      </c>
      <c r="AA129">
        <f t="shared" si="46"/>
        <v>1070</v>
      </c>
      <c r="AB129" t="str">
        <f t="shared" si="47"/>
        <v/>
      </c>
      <c r="AC129">
        <f t="shared" si="48"/>
        <v>1070</v>
      </c>
      <c r="BI129" s="40"/>
      <c r="BL129" s="40"/>
      <c r="BN129" s="19"/>
      <c r="BP129" s="17"/>
    </row>
    <row r="130" spans="1:68" x14ac:dyDescent="0.2">
      <c r="A130" t="str">
        <f t="shared" si="44"/>
        <v/>
      </c>
      <c r="E130" s="4"/>
      <c r="F130" s="46"/>
      <c r="G130" s="4"/>
      <c r="H130" s="48"/>
      <c r="I130" s="26">
        <v>69</v>
      </c>
      <c r="J130" s="26" t="str">
        <f t="shared" si="49"/>
        <v/>
      </c>
      <c r="N130" t="str">
        <f t="shared" si="51"/>
        <v/>
      </c>
      <c r="Q130" t="str">
        <f t="shared" si="50"/>
        <v/>
      </c>
      <c r="S130">
        <f>IF(A130=1,MAX($S$2:$S129)+1,IF(OR($I130&lt;&gt;"",A130="x"),$S129,""))</f>
        <v>70</v>
      </c>
      <c r="T130" t="str">
        <f>IF(D130=1,MAX($T$2:$T129)+1,IF(S130=S129,$T129,IF(D130="x",T129,IF(D129="x","",""))))</f>
        <v/>
      </c>
      <c r="U130" t="str">
        <f>IF(B130=1,MAX($U$2:$U129)+1,IF(AND($T130&lt;&gt;"",$T130=$T129),$U129,IF(B130="x",U129,"")))</f>
        <v/>
      </c>
      <c r="V130" t="str">
        <f>IF(C130=1,MAX($V$2:$V129)+1,IF(AND($T130&lt;&gt;"",$T130=$T129),$U129,IF(C130="x",V129,"")))</f>
        <v/>
      </c>
      <c r="X130" cm="1">
        <f t="array" ref="X130">IF($I130&lt;&gt;"",$I130,INDEX($I$1:$I130,ROW()-COUNTIFS($T$1:$T130,"="&amp;$T130,$S$1:$S130,"&lt;"&amp;$S130)))</f>
        <v>69</v>
      </c>
      <c r="Z130" s="6">
        <f t="shared" si="45"/>
        <v>1</v>
      </c>
      <c r="AA130">
        <f t="shared" si="46"/>
        <v>1070</v>
      </c>
      <c r="AB130" t="str">
        <f t="shared" si="47"/>
        <v/>
      </c>
      <c r="AC130">
        <f t="shared" si="48"/>
        <v>1070</v>
      </c>
      <c r="BI130" s="40"/>
      <c r="BL130" s="40"/>
      <c r="BN130" s="19"/>
      <c r="BP130" s="17"/>
    </row>
    <row r="131" spans="1:68" x14ac:dyDescent="0.2">
      <c r="A131" t="str">
        <f t="shared" si="44"/>
        <v/>
      </c>
      <c r="E131" s="4"/>
      <c r="F131" s="46"/>
      <c r="G131" s="4"/>
      <c r="H131" s="48"/>
      <c r="I131" s="26">
        <v>87</v>
      </c>
      <c r="J131" s="26" t="str">
        <f t="shared" si="49"/>
        <v/>
      </c>
      <c r="N131" t="str">
        <f t="shared" si="51"/>
        <v/>
      </c>
      <c r="O131" t="s">
        <v>566</v>
      </c>
      <c r="Q131" t="str">
        <f t="shared" si="50"/>
        <v/>
      </c>
      <c r="R131" s="26">
        <v>1</v>
      </c>
      <c r="S131">
        <f>IF(A131=1,MAX($S$2:$S130)+1,IF(OR($I131&lt;&gt;"",A131="x"),$S130,""))</f>
        <v>70</v>
      </c>
      <c r="T131" t="str">
        <f>IF(D131=1,MAX($T$2:$T130)+1,IF(S131=S130,$T130,IF(D131="x",T130,IF(D130="x","",""))))</f>
        <v/>
      </c>
      <c r="U131" t="str">
        <f>IF(B131=1,MAX($U$2:$U130)+1,IF(AND($T131&lt;&gt;"",$T131=$T130),$U130,IF(B131="x",U130,"")))</f>
        <v/>
      </c>
      <c r="V131" t="str">
        <f>IF(C131=1,MAX($V$2:$V130)+1,IF(AND($T131&lt;&gt;"",$T131=$T130),$U130,IF(C131="x",V130,"")))</f>
        <v/>
      </c>
      <c r="X131" cm="1">
        <f t="array" ref="X131">IF($I131&lt;&gt;"",$I131,INDEX($I$1:$I131,ROW()-COUNTIFS($T$1:$T131,"="&amp;$T131,$S$1:$S131,"&lt;"&amp;$S131)))</f>
        <v>87</v>
      </c>
      <c r="Z131" s="6">
        <f t="shared" si="45"/>
        <v>1</v>
      </c>
      <c r="AA131">
        <f t="shared" si="46"/>
        <v>1070</v>
      </c>
      <c r="AB131" t="str">
        <f t="shared" si="47"/>
        <v/>
      </c>
      <c r="AC131">
        <f t="shared" si="48"/>
        <v>1070</v>
      </c>
      <c r="BI131" s="40"/>
      <c r="BL131" s="40"/>
      <c r="BN131" s="19"/>
      <c r="BP131" s="17"/>
    </row>
    <row r="132" spans="1:68" x14ac:dyDescent="0.2">
      <c r="A132">
        <f t="shared" si="44"/>
        <v>1</v>
      </c>
      <c r="E132" s="4"/>
      <c r="F132" s="46" t="s">
        <v>1047</v>
      </c>
      <c r="G132" s="4"/>
      <c r="H132" s="48" t="s">
        <v>1065</v>
      </c>
      <c r="I132" s="26">
        <v>69</v>
      </c>
      <c r="J132" s="26" t="s">
        <v>368</v>
      </c>
      <c r="K132" t="s">
        <v>13</v>
      </c>
      <c r="N132" t="str">
        <f t="shared" si="51"/>
        <v/>
      </c>
      <c r="Q132" t="str">
        <f t="shared" si="50"/>
        <v/>
      </c>
      <c r="R132" s="26">
        <v>1</v>
      </c>
      <c r="S132">
        <f>IF(A132=1,MAX($S$2:$S131)+1,IF(OR($I132&lt;&gt;"",A132="x"),$S131,""))</f>
        <v>71</v>
      </c>
      <c r="T132" t="str">
        <f>IF(D132=1,MAX($T$2:$T131)+1,IF(S132=S131,$T131,IF(D132="x",T131,IF(D131="x","",""))))</f>
        <v/>
      </c>
      <c r="U132" t="str">
        <f>IF(B132=1,MAX($U$2:$U131)+1,IF(AND($T132&lt;&gt;"",$T132=$T131),$U131,IF(B132="x",U131,"")))</f>
        <v/>
      </c>
      <c r="V132" t="str">
        <f>IF(C132=1,MAX($V$2:$V131)+1,IF(AND($T132&lt;&gt;"",$T132=$T131),$U131,IF(C132="x",V131,"")))</f>
        <v/>
      </c>
      <c r="X132" cm="1">
        <f t="array" ref="X132">IF($I132&lt;&gt;"",$I132,INDEX($I$1:$I132,ROW()-COUNTIFS($T$1:$T132,"="&amp;$T132,$S$1:$S132,"&lt;"&amp;$S132)))</f>
        <v>69</v>
      </c>
      <c r="Z132" s="6">
        <f t="shared" si="45"/>
        <v>1</v>
      </c>
      <c r="AA132">
        <f t="shared" si="46"/>
        <v>1071</v>
      </c>
      <c r="AB132" t="str">
        <f t="shared" si="47"/>
        <v/>
      </c>
      <c r="AC132">
        <f t="shared" si="48"/>
        <v>1071</v>
      </c>
      <c r="BI132" s="40"/>
      <c r="BL132" s="40"/>
      <c r="BN132" s="19"/>
      <c r="BP132" s="17"/>
    </row>
    <row r="133" spans="1:68" x14ac:dyDescent="0.2">
      <c r="A133" t="str">
        <f t="shared" ref="A133:A196" si="52">IF(K133&lt;&gt;"",1,IF(D133="x","x",""))</f>
        <v/>
      </c>
      <c r="E133" s="4"/>
      <c r="F133" s="46"/>
      <c r="G133" s="4"/>
      <c r="H133" s="48"/>
      <c r="I133" s="26">
        <v>93</v>
      </c>
      <c r="J133" s="26" t="str">
        <f t="shared" si="49"/>
        <v/>
      </c>
      <c r="N133" t="str">
        <f t="shared" si="51"/>
        <v/>
      </c>
      <c r="Q133" t="str">
        <f t="shared" si="50"/>
        <v/>
      </c>
      <c r="R133" s="26">
        <v>1</v>
      </c>
      <c r="S133">
        <f>IF(A133=1,MAX($S$2:$S132)+1,IF(OR($I133&lt;&gt;"",A133="x"),$S132,""))</f>
        <v>71</v>
      </c>
      <c r="T133" t="str">
        <f>IF(D133=1,MAX($T$2:$T132)+1,IF(S133=S132,$T132,IF(D133="x",T132,IF(D132="x","",""))))</f>
        <v/>
      </c>
      <c r="U133" t="str">
        <f>IF(B133=1,MAX($U$2:$U132)+1,IF(AND($T133&lt;&gt;"",$T133=$T132),$U132,IF(B133="x",U132,"")))</f>
        <v/>
      </c>
      <c r="V133" t="str">
        <f>IF(C133=1,MAX($V$2:$V132)+1,IF(AND($T133&lt;&gt;"",$T133=$T132),$U132,IF(C133="x",V132,"")))</f>
        <v/>
      </c>
      <c r="X133" cm="1">
        <f t="array" ref="X133">IF($I133&lt;&gt;"",$I133,INDEX($I$1:$I133,ROW()-COUNTIFS($T$1:$T133,"="&amp;$T133,$S$1:$S133,"&lt;"&amp;$S133)))</f>
        <v>93</v>
      </c>
      <c r="Z133" s="6">
        <f t="shared" ref="Z133:Z196" si="53">IF(K133="Intermission",Z132+1,Z132)</f>
        <v>1</v>
      </c>
      <c r="AA133">
        <f t="shared" ref="AA133:AA196" si="54">S133+1000</f>
        <v>1071</v>
      </c>
      <c r="AB133" t="str">
        <f t="shared" ref="AB133:AB196" si="55">IF(T133&lt;&gt;"",9000+T133,"")</f>
        <v/>
      </c>
      <c r="AC133">
        <f t="shared" ref="AC133:AC196" si="56">IF(AB133&lt;&gt;"",AB133,S133+1000)</f>
        <v>1071</v>
      </c>
      <c r="BI133" s="40"/>
      <c r="BL133" s="40"/>
      <c r="BN133" s="19"/>
      <c r="BP133" s="17"/>
    </row>
    <row r="134" spans="1:68" x14ac:dyDescent="0.2">
      <c r="A134">
        <f t="shared" si="52"/>
        <v>1</v>
      </c>
      <c r="E134" s="4"/>
      <c r="F134" s="46"/>
      <c r="G134" s="4"/>
      <c r="H134" s="48"/>
      <c r="I134" s="26">
        <v>69</v>
      </c>
      <c r="J134" s="26" t="s">
        <v>368</v>
      </c>
      <c r="K134" t="s">
        <v>7</v>
      </c>
      <c r="L134" t="s">
        <v>192</v>
      </c>
      <c r="M134" t="s">
        <v>67</v>
      </c>
      <c r="N134" t="str">
        <f t="shared" si="51"/>
        <v>u</v>
      </c>
      <c r="Q134" t="str">
        <f t="shared" si="50"/>
        <v/>
      </c>
      <c r="R134" s="26">
        <v>1</v>
      </c>
      <c r="S134">
        <f>IF(A134=1,MAX($S$2:$S133)+1,IF(OR($I134&lt;&gt;"",A134="x"),$S133,""))</f>
        <v>72</v>
      </c>
      <c r="T134" t="str">
        <f>IF(D134=1,MAX($T$2:$T133)+1,IF(S134=S133,$T133,IF(D134="x",T133,IF(D133="x","",""))))</f>
        <v/>
      </c>
      <c r="U134" t="str">
        <f>IF(B134=1,MAX($U$2:$U133)+1,IF(AND($T134&lt;&gt;"",$T134=$T133),$U133,IF(B134="x",U133,"")))</f>
        <v/>
      </c>
      <c r="V134" t="str">
        <f>IF(C134=1,MAX($V$2:$V133)+1,IF(AND($T134&lt;&gt;"",$T134=$T133),$U133,IF(C134="x",V133,"")))</f>
        <v/>
      </c>
      <c r="X134" cm="1">
        <f t="array" ref="X134">IF($I134&lt;&gt;"",$I134,INDEX($I$1:$I134,ROW()-COUNTIFS($T$1:$T134,"="&amp;$T134,$S$1:$S134,"&lt;"&amp;$S134)))</f>
        <v>69</v>
      </c>
      <c r="Z134" s="6">
        <f t="shared" si="53"/>
        <v>1</v>
      </c>
      <c r="AA134">
        <f t="shared" si="54"/>
        <v>1072</v>
      </c>
      <c r="AB134" t="str">
        <f t="shared" si="55"/>
        <v/>
      </c>
      <c r="AC134">
        <f t="shared" si="56"/>
        <v>1072</v>
      </c>
      <c r="BI134" s="40"/>
      <c r="BL134" s="40"/>
      <c r="BN134" s="19"/>
      <c r="BP134" s="17"/>
    </row>
    <row r="135" spans="1:68" x14ac:dyDescent="0.2">
      <c r="A135" t="str">
        <f t="shared" si="52"/>
        <v/>
      </c>
      <c r="E135" s="4"/>
      <c r="F135" s="46"/>
      <c r="G135" s="4"/>
      <c r="H135" s="48"/>
      <c r="I135" s="26">
        <v>90</v>
      </c>
      <c r="J135" s="26" t="str">
        <f t="shared" ref="J135:J197" si="57">IF(OR(K135="Goal",K135="Shot",L135="Zone_Entry",M135="Stoppage-Goal",M134="Stoppage-Goal"),"o",IF(OR(K135="Save",K135="Rebound",L135="Zone_Exit",M135="Stoppage-GoalieStoppage",M134="Stoppage-GoalieStoppage"),"d",IF(OR(L135="Faceoff_AfterGoal",L135="Faceoff_PeriodStart",698="Faceoff_GameStart",M134="Stoppage-Goal"),"n","")))</f>
        <v/>
      </c>
      <c r="N135" t="str">
        <f t="shared" si="51"/>
        <v/>
      </c>
      <c r="Q135" t="str">
        <f t="shared" si="50"/>
        <v/>
      </c>
      <c r="R135" s="26">
        <v>2</v>
      </c>
      <c r="S135">
        <f>IF(A135=1,MAX($S$2:$S134)+1,IF(OR($I135&lt;&gt;"",A135="x"),$S134,""))</f>
        <v>72</v>
      </c>
      <c r="T135" t="str">
        <f>IF(D135=1,MAX($T$2:$T134)+1,IF(S135=S134,$T134,IF(D135="x",T134,IF(D134="x","",""))))</f>
        <v/>
      </c>
      <c r="U135" t="str">
        <f>IF(B135=1,MAX($U$2:$U134)+1,IF(AND($T135&lt;&gt;"",$T135=$T134),$U134,IF(B135="x",U134,"")))</f>
        <v/>
      </c>
      <c r="V135" t="str">
        <f>IF(C135=1,MAX($V$2:$V134)+1,IF(AND($T135&lt;&gt;"",$T135=$T134),$U134,IF(C135="x",V134,"")))</f>
        <v/>
      </c>
      <c r="X135" cm="1">
        <f t="array" ref="X135">IF($I135&lt;&gt;"",$I135,INDEX($I$1:$I135,ROW()-COUNTIFS($T$1:$T135,"="&amp;$T135,$S$1:$S135,"&lt;"&amp;$S135)))</f>
        <v>90</v>
      </c>
      <c r="Z135" s="6">
        <f t="shared" si="53"/>
        <v>1</v>
      </c>
      <c r="AA135">
        <f t="shared" si="54"/>
        <v>1072</v>
      </c>
      <c r="AB135" t="str">
        <f t="shared" si="55"/>
        <v/>
      </c>
      <c r="AC135">
        <f t="shared" si="56"/>
        <v>1072</v>
      </c>
      <c r="BI135" s="40"/>
      <c r="BL135" s="40"/>
      <c r="BN135" s="19"/>
      <c r="BP135" s="17"/>
    </row>
    <row r="136" spans="1:68" x14ac:dyDescent="0.2">
      <c r="A136" t="str">
        <f t="shared" si="52"/>
        <v/>
      </c>
      <c r="E136" s="4"/>
      <c r="F136" s="46"/>
      <c r="G136" s="4"/>
      <c r="H136" s="48"/>
      <c r="I136" s="26">
        <v>93</v>
      </c>
      <c r="J136" s="26" t="str">
        <f t="shared" si="57"/>
        <v/>
      </c>
      <c r="N136" t="str">
        <f t="shared" si="51"/>
        <v/>
      </c>
      <c r="Q136" t="str">
        <f t="shared" si="50"/>
        <v/>
      </c>
      <c r="R136" s="26">
        <v>1</v>
      </c>
      <c r="S136">
        <f>IF(A136=1,MAX($S$2:$S135)+1,IF(OR($I136&lt;&gt;"",A136="x"),$S135,""))</f>
        <v>72</v>
      </c>
      <c r="T136" t="str">
        <f>IF(D136=1,MAX($T$2:$T135)+1,IF(S136=S135,$T135,IF(D136="x",T135,IF(D135="x","",""))))</f>
        <v/>
      </c>
      <c r="U136" t="str">
        <f>IF(B136=1,MAX($U$2:$U135)+1,IF(AND($T136&lt;&gt;"",$T136=$T135),$U135,IF(B136="x",U135,"")))</f>
        <v/>
      </c>
      <c r="V136" t="str">
        <f>IF(C136=1,MAX($V$2:$V135)+1,IF(AND($T136&lt;&gt;"",$T136=$T135),$U135,IF(C136="x",V135,"")))</f>
        <v/>
      </c>
      <c r="X136" cm="1">
        <f t="array" ref="X136">IF($I136&lt;&gt;"",$I136,INDEX($I$1:$I136,ROW()-COUNTIFS($T$1:$T136,"="&amp;$T136,$S$1:$S136,"&lt;"&amp;$S136)))</f>
        <v>93</v>
      </c>
      <c r="Z136" s="6">
        <f t="shared" si="53"/>
        <v>1</v>
      </c>
      <c r="AA136">
        <f t="shared" si="54"/>
        <v>1072</v>
      </c>
      <c r="AB136" t="str">
        <f t="shared" si="55"/>
        <v/>
      </c>
      <c r="AC136">
        <f t="shared" si="56"/>
        <v>1072</v>
      </c>
      <c r="BI136" s="40"/>
      <c r="BL136" s="40"/>
      <c r="BN136" s="19"/>
      <c r="BP136" s="17"/>
    </row>
    <row r="137" spans="1:68" x14ac:dyDescent="0.2">
      <c r="A137" t="str">
        <f t="shared" si="52"/>
        <v/>
      </c>
      <c r="E137" s="4"/>
      <c r="F137" s="46"/>
      <c r="G137" s="4"/>
      <c r="H137" s="48"/>
      <c r="I137" s="26">
        <v>9</v>
      </c>
      <c r="J137" s="26" t="str">
        <f t="shared" si="57"/>
        <v/>
      </c>
      <c r="N137" t="str">
        <f t="shared" si="51"/>
        <v/>
      </c>
      <c r="O137" t="s">
        <v>782</v>
      </c>
      <c r="Q137" t="str">
        <f t="shared" si="50"/>
        <v/>
      </c>
      <c r="R137" s="26">
        <v>2</v>
      </c>
      <c r="S137">
        <f>IF(A137=1,MAX($S$2:$S136)+1,IF(OR($I137&lt;&gt;"",A137="x"),$S136,""))</f>
        <v>72</v>
      </c>
      <c r="T137" t="str">
        <f>IF(D137=1,MAX($T$2:$T136)+1,IF(S137=S136,$T136,IF(D137="x",T136,IF(D136="x","",""))))</f>
        <v/>
      </c>
      <c r="U137" t="str">
        <f>IF(B137=1,MAX($U$2:$U136)+1,IF(AND($T137&lt;&gt;"",$T137=$T136),$U136,IF(B137="x",U136,"")))</f>
        <v/>
      </c>
      <c r="V137" t="str">
        <f>IF(C137=1,MAX($V$2:$V136)+1,IF(AND($T137&lt;&gt;"",$T137=$T136),$U136,IF(C137="x",V136,"")))</f>
        <v/>
      </c>
      <c r="X137" cm="1">
        <f t="array" ref="X137">IF($I137&lt;&gt;"",$I137,INDEX($I$1:$I137,ROW()-COUNTIFS($T$1:$T137,"="&amp;$T137,$S$1:$S137,"&lt;"&amp;$S137)))</f>
        <v>9</v>
      </c>
      <c r="Z137" s="6">
        <f t="shared" si="53"/>
        <v>1</v>
      </c>
      <c r="AA137">
        <f t="shared" si="54"/>
        <v>1072</v>
      </c>
      <c r="AB137" t="str">
        <f t="shared" si="55"/>
        <v/>
      </c>
      <c r="AC137">
        <f t="shared" si="56"/>
        <v>1072</v>
      </c>
      <c r="BI137" s="40"/>
      <c r="BL137" s="40"/>
      <c r="BN137" s="19"/>
      <c r="BP137" s="17"/>
    </row>
    <row r="138" spans="1:68" x14ac:dyDescent="0.2">
      <c r="A138">
        <f t="shared" si="52"/>
        <v>1</v>
      </c>
      <c r="E138" s="4"/>
      <c r="F138" s="46" t="s">
        <v>1057</v>
      </c>
      <c r="G138" s="4"/>
      <c r="H138" s="48" t="s">
        <v>1040</v>
      </c>
      <c r="I138" s="26">
        <v>21</v>
      </c>
      <c r="J138" s="26" t="s">
        <v>368</v>
      </c>
      <c r="K138" t="s">
        <v>13</v>
      </c>
      <c r="L138" t="s">
        <v>587</v>
      </c>
      <c r="N138" t="s">
        <v>595</v>
      </c>
      <c r="O138" t="s">
        <v>907</v>
      </c>
      <c r="Q138" t="str">
        <f t="shared" si="50"/>
        <v>s</v>
      </c>
      <c r="R138" s="26">
        <v>1</v>
      </c>
      <c r="S138">
        <f>IF(A138=1,MAX($S$2:$S137)+1,IF(OR($I138&lt;&gt;"",A138="x"),$S137,""))</f>
        <v>73</v>
      </c>
      <c r="T138" t="str">
        <f>IF(D138=1,MAX($T$2:$T137)+1,IF(S138=S137,$T137,IF(D138="x",T137,IF(D137="x","",""))))</f>
        <v/>
      </c>
      <c r="U138" t="str">
        <f>IF(B138=1,MAX($U$2:$U137)+1,IF(AND($T138&lt;&gt;"",$T138=$T137),$U137,IF(B138="x",U137,"")))</f>
        <v/>
      </c>
      <c r="V138" t="str">
        <f>IF(C138=1,MAX($V$2:$V137)+1,IF(AND($T138&lt;&gt;"",$T138=$T137),$U137,IF(C138="x",V137,"")))</f>
        <v/>
      </c>
      <c r="X138" cm="1">
        <f t="array" ref="X138">IF($I138&lt;&gt;"",$I138,INDEX($I$1:$I138,ROW()-COUNTIFS($T$1:$T138,"="&amp;$T138,$S$1:$S138,"&lt;"&amp;$S138)))</f>
        <v>21</v>
      </c>
      <c r="Z138" s="6">
        <f t="shared" si="53"/>
        <v>1</v>
      </c>
      <c r="AA138">
        <f t="shared" si="54"/>
        <v>1073</v>
      </c>
      <c r="AB138" t="str">
        <f t="shared" si="55"/>
        <v/>
      </c>
      <c r="AC138">
        <f t="shared" si="56"/>
        <v>1073</v>
      </c>
      <c r="BI138" s="40"/>
      <c r="BL138" s="40"/>
      <c r="BN138" s="19"/>
      <c r="BP138" s="17"/>
    </row>
    <row r="139" spans="1:68" x14ac:dyDescent="0.2">
      <c r="A139" t="str">
        <f t="shared" si="52"/>
        <v/>
      </c>
      <c r="E139" s="4"/>
      <c r="F139" s="46"/>
      <c r="G139" s="4"/>
      <c r="H139" s="48"/>
      <c r="I139" s="26">
        <v>9</v>
      </c>
      <c r="J139" s="26" t="str">
        <f t="shared" si="57"/>
        <v/>
      </c>
      <c r="N139" t="str">
        <f t="shared" si="51"/>
        <v/>
      </c>
      <c r="O139" t="s">
        <v>907</v>
      </c>
      <c r="Q139" t="s">
        <v>594</v>
      </c>
      <c r="R139" s="26">
        <v>1</v>
      </c>
      <c r="S139">
        <f>IF(A139=1,MAX($S$2:$S138)+1,IF(OR($I139&lt;&gt;"",A139="x"),$S138,""))</f>
        <v>73</v>
      </c>
      <c r="T139" t="str">
        <f>IF(D139=1,MAX($T$2:$T138)+1,IF(S139=S138,$T138,IF(D139="x",T138,IF(D138="x","",""))))</f>
        <v/>
      </c>
      <c r="U139" t="str">
        <f>IF(B139=1,MAX($U$2:$U138)+1,IF(AND($T139&lt;&gt;"",$T139=$T138),$U138,IF(B139="x",U138,"")))</f>
        <v/>
      </c>
      <c r="V139" t="str">
        <f>IF(C139=1,MAX($V$2:$V138)+1,IF(AND($T139&lt;&gt;"",$T139=$T138),$U138,IF(C139="x",V138,"")))</f>
        <v/>
      </c>
      <c r="X139" cm="1">
        <f t="array" ref="X139">IF($I139&lt;&gt;"",$I139,INDEX($I$1:$I139,ROW()-COUNTIFS($T$1:$T139,"="&amp;$T139,$S$1:$S139,"&lt;"&amp;$S139)))</f>
        <v>9</v>
      </c>
      <c r="Z139" s="6">
        <f t="shared" si="53"/>
        <v>1</v>
      </c>
      <c r="AA139">
        <f t="shared" si="54"/>
        <v>1073</v>
      </c>
      <c r="AB139" t="str">
        <f t="shared" si="55"/>
        <v/>
      </c>
      <c r="AC139">
        <f t="shared" si="56"/>
        <v>1073</v>
      </c>
      <c r="BI139" s="40"/>
      <c r="BL139" s="40"/>
      <c r="BN139" s="19"/>
      <c r="BP139" s="17"/>
    </row>
    <row r="140" spans="1:68" x14ac:dyDescent="0.2">
      <c r="A140">
        <f t="shared" si="52"/>
        <v>1</v>
      </c>
      <c r="E140" s="4"/>
      <c r="F140" s="46"/>
      <c r="G140" s="4"/>
      <c r="H140" s="48"/>
      <c r="I140" s="26">
        <v>21</v>
      </c>
      <c r="J140" s="26" t="s">
        <v>368</v>
      </c>
      <c r="K140" t="s">
        <v>7</v>
      </c>
      <c r="L140" t="s">
        <v>172</v>
      </c>
      <c r="M140" t="s">
        <v>68</v>
      </c>
      <c r="N140" t="str">
        <f t="shared" si="51"/>
        <v>s</v>
      </c>
      <c r="Q140" t="str">
        <f t="shared" si="50"/>
        <v/>
      </c>
      <c r="S140">
        <f>IF(A140=1,MAX($S$2:$S139)+1,IF(OR($I140&lt;&gt;"",A140="x"),$S139,""))</f>
        <v>74</v>
      </c>
      <c r="T140" t="str">
        <f>IF(D140=1,MAX($T$2:$T139)+1,IF(S140=S139,$T139,IF(D140="x",T139,IF(D139="x","",""))))</f>
        <v/>
      </c>
      <c r="U140" t="str">
        <f>IF(B140=1,MAX($U$2:$U139)+1,IF(AND($T140&lt;&gt;"",$T140=$T139),$U139,IF(B140="x",U139,"")))</f>
        <v/>
      </c>
      <c r="V140" t="str">
        <f>IF(C140=1,MAX($V$2:$V139)+1,IF(AND($T140&lt;&gt;"",$T140=$T139),$U139,IF(C140="x",V139,"")))</f>
        <v/>
      </c>
      <c r="X140" cm="1">
        <f t="array" ref="X140">IF($I140&lt;&gt;"",$I140,INDEX($I$1:$I140,ROW()-COUNTIFS($T$1:$T140,"="&amp;$T140,$S$1:$S140,"&lt;"&amp;$S140)))</f>
        <v>21</v>
      </c>
      <c r="Z140" s="6">
        <f t="shared" si="53"/>
        <v>1</v>
      </c>
      <c r="AA140">
        <f t="shared" si="54"/>
        <v>1074</v>
      </c>
      <c r="AB140" t="str">
        <f t="shared" si="55"/>
        <v/>
      </c>
      <c r="AC140">
        <f t="shared" si="56"/>
        <v>1074</v>
      </c>
      <c r="BI140" s="40"/>
      <c r="BL140" s="40"/>
      <c r="BN140" s="19"/>
      <c r="BP140" s="17"/>
    </row>
    <row r="141" spans="1:68" x14ac:dyDescent="0.2">
      <c r="A141" t="str">
        <f t="shared" si="52"/>
        <v/>
      </c>
      <c r="E141" s="4"/>
      <c r="F141" s="46"/>
      <c r="G141" s="4"/>
      <c r="H141" s="48"/>
      <c r="I141" s="26">
        <v>69</v>
      </c>
      <c r="J141" s="26" t="str">
        <f t="shared" si="57"/>
        <v/>
      </c>
      <c r="N141" t="str">
        <f t="shared" si="51"/>
        <v/>
      </c>
      <c r="Q141" t="str">
        <f t="shared" si="50"/>
        <v/>
      </c>
      <c r="S141">
        <f>IF(A141=1,MAX($S$2:$S140)+1,IF(OR($I141&lt;&gt;"",A141="x"),$S140,""))</f>
        <v>74</v>
      </c>
      <c r="T141" t="str">
        <f>IF(D141=1,MAX($T$2:$T140)+1,IF(S141=S140,$T140,IF(D141="x",T140,IF(D140="x","",""))))</f>
        <v/>
      </c>
      <c r="U141" t="str">
        <f>IF(B141=1,MAX($U$2:$U140)+1,IF(AND($T141&lt;&gt;"",$T141=$T140),$U140,IF(B141="x",U140,"")))</f>
        <v/>
      </c>
      <c r="V141" t="str">
        <f>IF(C141=1,MAX($V$2:$V140)+1,IF(AND($T141&lt;&gt;"",$T141=$T140),$U140,IF(C141="x",V140,"")))</f>
        <v/>
      </c>
      <c r="X141" cm="1">
        <f t="array" ref="X141">IF($I141&lt;&gt;"",$I141,INDEX($I$1:$I141,ROW()-COUNTIFS($T$1:$T141,"="&amp;$T141,$S$1:$S141,"&lt;"&amp;$S141)))</f>
        <v>69</v>
      </c>
      <c r="Z141" s="6">
        <f t="shared" si="53"/>
        <v>1</v>
      </c>
      <c r="AA141">
        <f t="shared" si="54"/>
        <v>1074</v>
      </c>
      <c r="AB141" t="str">
        <f t="shared" si="55"/>
        <v/>
      </c>
      <c r="AC141">
        <f t="shared" si="56"/>
        <v>1074</v>
      </c>
      <c r="BI141" s="40"/>
      <c r="BL141" s="40"/>
      <c r="BN141" s="19"/>
      <c r="BP141" s="17"/>
    </row>
    <row r="142" spans="1:68" x14ac:dyDescent="0.2">
      <c r="A142">
        <f t="shared" si="52"/>
        <v>1</v>
      </c>
      <c r="E142" s="4"/>
      <c r="F142" s="46"/>
      <c r="G142" s="4"/>
      <c r="H142" s="48"/>
      <c r="I142" s="26">
        <v>39</v>
      </c>
      <c r="J142" s="26" t="s">
        <v>736</v>
      </c>
      <c r="K142" t="s">
        <v>9</v>
      </c>
      <c r="L142" t="s">
        <v>183</v>
      </c>
      <c r="M142" t="s">
        <v>80</v>
      </c>
      <c r="N142" t="s">
        <v>595</v>
      </c>
      <c r="O142" t="s">
        <v>156</v>
      </c>
      <c r="Q142" t="str">
        <f t="shared" si="50"/>
        <v>s</v>
      </c>
      <c r="R142" s="26">
        <v>1</v>
      </c>
      <c r="S142">
        <f>IF(A142=1,MAX($S$2:$S141)+1,IF(OR($I142&lt;&gt;"",A142="x"),$S141,""))</f>
        <v>75</v>
      </c>
      <c r="T142" t="str">
        <f>IF(D142=1,MAX($T$2:$T141)+1,IF(S142=S141,$T141,IF(D142="x",T141,IF(D141="x","",""))))</f>
        <v/>
      </c>
      <c r="U142" t="str">
        <f>IF(B142=1,MAX($U$2:$U141)+1,IF(AND($T142&lt;&gt;"",$T142=$T141),$U141,IF(B142="x",U141,"")))</f>
        <v/>
      </c>
      <c r="V142" t="str">
        <f>IF(C142=1,MAX($V$2:$V141)+1,IF(AND($T142&lt;&gt;"",$T142=$T141),$U141,IF(C142="x",V141,"")))</f>
        <v/>
      </c>
      <c r="X142" cm="1">
        <f t="array" ref="X142">IF($I142&lt;&gt;"",$I142,INDEX($I$1:$I142,ROW()-COUNTIFS($T$1:$T142,"="&amp;$T142,$S$1:$S142,"&lt;"&amp;$S142)))</f>
        <v>39</v>
      </c>
      <c r="Z142" s="6">
        <f t="shared" si="53"/>
        <v>1</v>
      </c>
      <c r="AA142">
        <f t="shared" si="54"/>
        <v>1075</v>
      </c>
      <c r="AB142" t="str">
        <f t="shared" si="55"/>
        <v/>
      </c>
      <c r="AC142">
        <f t="shared" si="56"/>
        <v>1075</v>
      </c>
      <c r="BI142" s="40"/>
      <c r="BL142" s="40"/>
      <c r="BN142" s="19"/>
      <c r="BP142" s="17"/>
    </row>
    <row r="143" spans="1:68" x14ac:dyDescent="0.2">
      <c r="A143" t="str">
        <f t="shared" si="52"/>
        <v/>
      </c>
      <c r="E143" s="4"/>
      <c r="F143" s="46"/>
      <c r="G143" s="4"/>
      <c r="H143" s="48"/>
      <c r="I143" s="26">
        <v>69</v>
      </c>
      <c r="J143" s="26" t="str">
        <f t="shared" si="57"/>
        <v/>
      </c>
      <c r="N143" t="str">
        <f t="shared" si="51"/>
        <v/>
      </c>
      <c r="O143" t="s">
        <v>785</v>
      </c>
      <c r="Q143" t="str">
        <f t="shared" si="50"/>
        <v>u</v>
      </c>
      <c r="R143" s="26">
        <v>1</v>
      </c>
      <c r="S143">
        <f>IF(A143=1,MAX($S$2:$S142)+1,IF(OR($I143&lt;&gt;"",A143="x"),$S142,""))</f>
        <v>75</v>
      </c>
      <c r="T143" t="str">
        <f>IF(D143=1,MAX($T$2:$T142)+1,IF(S143=S142,$T142,IF(D143="x",T142,IF(D142="x","",""))))</f>
        <v/>
      </c>
      <c r="U143" t="str">
        <f>IF(B143=1,MAX($U$2:$U142)+1,IF(AND($T143&lt;&gt;"",$T143=$T142),$U142,IF(B143="x",U142,"")))</f>
        <v/>
      </c>
      <c r="V143" t="str">
        <f>IF(C143=1,MAX($V$2:$V142)+1,IF(AND($T143&lt;&gt;"",$T143=$T142),$U142,IF(C143="x",V142,"")))</f>
        <v/>
      </c>
      <c r="X143" cm="1">
        <f t="array" ref="X143">IF($I143&lt;&gt;"",$I143,INDEX($I$1:$I143,ROW()-COUNTIFS($T$1:$T143,"="&amp;$T143,$S$1:$S143,"&lt;"&amp;$S143)))</f>
        <v>69</v>
      </c>
      <c r="Z143" s="6">
        <f t="shared" si="53"/>
        <v>1</v>
      </c>
      <c r="AA143">
        <f t="shared" si="54"/>
        <v>1075</v>
      </c>
      <c r="AB143" t="str">
        <f t="shared" si="55"/>
        <v/>
      </c>
      <c r="AC143">
        <f t="shared" si="56"/>
        <v>1075</v>
      </c>
      <c r="BI143" s="40"/>
      <c r="BL143" s="40"/>
      <c r="BN143" s="19"/>
      <c r="BP143" s="17"/>
    </row>
    <row r="144" spans="1:68" x14ac:dyDescent="0.2">
      <c r="A144">
        <f t="shared" si="52"/>
        <v>1</v>
      </c>
      <c r="E144" s="4" t="s">
        <v>744</v>
      </c>
      <c r="F144" s="46" t="s">
        <v>1028</v>
      </c>
      <c r="G144" s="4" t="s">
        <v>744</v>
      </c>
      <c r="H144" s="48" t="s">
        <v>1033</v>
      </c>
      <c r="I144" s="26">
        <v>91</v>
      </c>
      <c r="J144" s="26" t="s">
        <v>736</v>
      </c>
      <c r="K144" t="s">
        <v>13</v>
      </c>
      <c r="L144" t="s">
        <v>586</v>
      </c>
      <c r="N144" t="str">
        <f t="shared" si="51"/>
        <v/>
      </c>
      <c r="O144" t="s">
        <v>910</v>
      </c>
      <c r="Q144" t="str">
        <f t="shared" ref="Q144:Q207" si="58">IF(O144="","",IF(AND(N144&lt;&gt;"",OR(O144&lt;&gt;"",P144&lt;&gt;"")),N144,IF(OR(ISNUMBER(SEARCH("attemp",O144)),ISNUMBER(SEARCH("beat",O144)),ISNUMBER(SEARCH("mis",O144)),ISNUMBER(SEARCH("fail",O144)),ISNUMBER(SEARCH("loss",O144)),ISNUMBER(SEARCH("lost",O144)),ISNUMBER(SEARCH("attemp",P144)),ISNUMBER(SEARCH("mis",P144)),ISNUMBER(SEARCH("fail",P144)),ISNUMBER(SEARCH("loss",P144)),ISNUMBER(SEARCH("beat",P144)),ISNUMBER(SEARCH("lost",P144))),"u","")))</f>
        <v/>
      </c>
      <c r="S144">
        <f>IF(A144=1,MAX($S$2:$S143)+1,IF(OR($I144&lt;&gt;"",A144="x"),$S143,""))</f>
        <v>76</v>
      </c>
      <c r="T144" t="str">
        <f>IF(D144=1,MAX($T$2:$T143)+1,IF(S144=S143,$T143,IF(D144="x",T143,IF(D143="x","",""))))</f>
        <v/>
      </c>
      <c r="U144" t="str">
        <f>IF(B144=1,MAX($U$2:$U143)+1,IF(AND($T144&lt;&gt;"",$T144=$T143),$U143,IF(B144="x",U143,"")))</f>
        <v/>
      </c>
      <c r="V144" t="str">
        <f>IF(C144=1,MAX($V$2:$V143)+1,IF(AND($T144&lt;&gt;"",$T144=$T143),$U143,IF(C144="x",V143,"")))</f>
        <v/>
      </c>
      <c r="X144" cm="1">
        <f t="array" ref="X144">IF($I144&lt;&gt;"",$I144,INDEX($I$1:$I144,ROW()-COUNTIFS($T$1:$T144,"="&amp;$T144,$S$1:$S144,"&lt;"&amp;$S144)))</f>
        <v>91</v>
      </c>
      <c r="Z144" s="6">
        <f t="shared" si="53"/>
        <v>1</v>
      </c>
      <c r="AA144">
        <f t="shared" si="54"/>
        <v>1076</v>
      </c>
      <c r="AB144" t="str">
        <f t="shared" si="55"/>
        <v/>
      </c>
      <c r="AC144">
        <f t="shared" si="56"/>
        <v>1076</v>
      </c>
      <c r="BI144" s="40"/>
      <c r="BL144" s="40"/>
      <c r="BN144" s="19"/>
      <c r="BP144" s="17"/>
    </row>
    <row r="145" spans="1:68" x14ac:dyDescent="0.2">
      <c r="A145">
        <f t="shared" si="52"/>
        <v>1</v>
      </c>
      <c r="D145" s="26">
        <v>1</v>
      </c>
      <c r="E145" s="4"/>
      <c r="F145" s="46"/>
      <c r="G145" s="4"/>
      <c r="H145" s="48"/>
      <c r="I145" s="26">
        <v>91</v>
      </c>
      <c r="J145" s="26" t="s">
        <v>736</v>
      </c>
      <c r="K145" t="s">
        <v>7</v>
      </c>
      <c r="L145" t="s">
        <v>172</v>
      </c>
      <c r="M145" t="s">
        <v>65</v>
      </c>
      <c r="N145" t="str">
        <f t="shared" si="51"/>
        <v>s</v>
      </c>
      <c r="O145" t="s">
        <v>450</v>
      </c>
      <c r="Q145" t="str">
        <f t="shared" si="58"/>
        <v>s</v>
      </c>
      <c r="R145" s="26">
        <v>1</v>
      </c>
      <c r="S145">
        <f>IF(A145=1,MAX($S$2:$S144)+1,IF(OR($I145&lt;&gt;"",A145="x"),$S144,""))</f>
        <v>77</v>
      </c>
      <c r="T145">
        <f>IF(D145=1,MAX($T$2:$T144)+1,IF(S145=S144,$T144,IF(D145="x",T144,IF(D144="x","",""))))</f>
        <v>10</v>
      </c>
      <c r="U145" t="str">
        <f>IF(B145=1,MAX($U$2:$U144)+1,IF(AND($T145&lt;&gt;"",$T145=$T144),$U144,IF(B145="x",U144,"")))</f>
        <v/>
      </c>
      <c r="V145" t="str">
        <f>IF(C145=1,MAX($V$2:$V144)+1,IF(AND($T145&lt;&gt;"",$T145=$T144),$U144,IF(C145="x",V144,"")))</f>
        <v/>
      </c>
      <c r="X145" cm="1">
        <f t="array" ref="X145">IF($I145&lt;&gt;"",$I145,INDEX($I$1:$I145,ROW()-COUNTIFS($T$1:$T145,"="&amp;$T145,$S$1:$S145,"&lt;"&amp;$S145)))</f>
        <v>91</v>
      </c>
      <c r="Z145" s="6">
        <f t="shared" si="53"/>
        <v>1</v>
      </c>
      <c r="AA145">
        <f t="shared" si="54"/>
        <v>1077</v>
      </c>
      <c r="AB145">
        <f t="shared" si="55"/>
        <v>9010</v>
      </c>
      <c r="AC145">
        <f t="shared" si="56"/>
        <v>9010</v>
      </c>
      <c r="BI145" s="40"/>
      <c r="BL145" s="40"/>
      <c r="BN145" s="19"/>
      <c r="BP145" s="17"/>
    </row>
    <row r="146" spans="1:68" x14ac:dyDescent="0.2">
      <c r="A146" t="str">
        <f t="shared" si="52"/>
        <v>x</v>
      </c>
      <c r="D146" s="26" t="s">
        <v>729</v>
      </c>
      <c r="E146" s="4"/>
      <c r="F146" s="46"/>
      <c r="G146" s="4"/>
      <c r="H146" s="48"/>
      <c r="I146" s="26">
        <v>24</v>
      </c>
      <c r="J146" s="26" t="str">
        <f t="shared" si="57"/>
        <v/>
      </c>
      <c r="N146" t="str">
        <f t="shared" si="51"/>
        <v/>
      </c>
      <c r="Q146" t="str">
        <f t="shared" si="58"/>
        <v/>
      </c>
      <c r="S146">
        <f>IF(A146=1,MAX($S$2:$S145)+1,IF(OR($I146&lt;&gt;"",A146="x"),$S145,""))</f>
        <v>77</v>
      </c>
      <c r="T146">
        <f>IF(D146=1,MAX($T$2:$T145)+1,IF(S146=S145,$T145,IF(D146="x",T145,IF(D145="x","",""))))</f>
        <v>10</v>
      </c>
      <c r="U146" t="str">
        <f>IF(B146=1,MAX($U$2:$U145)+1,IF(AND($T146&lt;&gt;"",$T146=$T145),$U145,IF(B146="x",U145,"")))</f>
        <v/>
      </c>
      <c r="V146" t="str">
        <f>IF(C146=1,MAX($V$2:$V145)+1,IF(AND($T146&lt;&gt;"",$T146=$T145),$U145,IF(C146="x",V145,"")))</f>
        <v/>
      </c>
      <c r="X146" cm="1">
        <f t="array" ref="X146">IF($I146&lt;&gt;"",$I146,INDEX($I$1:$I146,ROW()-COUNTIFS($T$1:$T146,"="&amp;$T146,$S$1:$S146,"&lt;"&amp;$S146)))</f>
        <v>24</v>
      </c>
      <c r="Z146" s="6">
        <f t="shared" si="53"/>
        <v>1</v>
      </c>
      <c r="AA146">
        <f t="shared" si="54"/>
        <v>1077</v>
      </c>
      <c r="AB146">
        <f t="shared" si="55"/>
        <v>9010</v>
      </c>
      <c r="AC146">
        <f t="shared" si="56"/>
        <v>9010</v>
      </c>
      <c r="BI146" s="40"/>
      <c r="BL146" s="40"/>
      <c r="BN146" s="19"/>
      <c r="BP146" s="17"/>
    </row>
    <row r="147" spans="1:68" x14ac:dyDescent="0.2">
      <c r="A147" t="str">
        <f t="shared" si="52"/>
        <v>x</v>
      </c>
      <c r="D147" s="26" t="s">
        <v>729</v>
      </c>
      <c r="E147" s="4"/>
      <c r="F147" s="46"/>
      <c r="G147" s="4"/>
      <c r="H147" s="48"/>
      <c r="I147" s="26">
        <v>21</v>
      </c>
      <c r="J147" s="26" t="str">
        <f t="shared" si="57"/>
        <v/>
      </c>
      <c r="N147" t="str">
        <f t="shared" si="51"/>
        <v/>
      </c>
      <c r="O147" t="s">
        <v>566</v>
      </c>
      <c r="Q147" t="str">
        <f t="shared" si="58"/>
        <v/>
      </c>
      <c r="R147" s="26">
        <v>1</v>
      </c>
      <c r="S147">
        <f>IF(A147=1,MAX($S$2:$S146)+1,IF(OR($I147&lt;&gt;"",A147="x"),$S146,""))</f>
        <v>77</v>
      </c>
      <c r="T147">
        <f>IF(D147=1,MAX($T$2:$T146)+1,IF(S147=S146,$T146,IF(D147="x",T146,IF(D146="x","",""))))</f>
        <v>10</v>
      </c>
      <c r="U147" t="str">
        <f>IF(B147=1,MAX($U$2:$U146)+1,IF(AND($T147&lt;&gt;"",$T147=$T146),$U146,IF(B147="x",U146,"")))</f>
        <v/>
      </c>
      <c r="V147" t="str">
        <f>IF(C147=1,MAX($V$2:$V146)+1,IF(AND($T147&lt;&gt;"",$T147=$T146),$U146,IF(C147="x",V146,"")))</f>
        <v/>
      </c>
      <c r="X147" cm="1">
        <f t="array" ref="X147">IF($I147&lt;&gt;"",$I147,INDEX($I$1:$I147,ROW()-COUNTIFS($T$1:$T147,"="&amp;$T147,$S$1:$S147,"&lt;"&amp;$S147)))</f>
        <v>21</v>
      </c>
      <c r="Z147" s="6">
        <f t="shared" si="53"/>
        <v>1</v>
      </c>
      <c r="AA147">
        <f t="shared" si="54"/>
        <v>1077</v>
      </c>
      <c r="AB147">
        <f t="shared" si="55"/>
        <v>9010</v>
      </c>
      <c r="AC147">
        <f t="shared" si="56"/>
        <v>9010</v>
      </c>
      <c r="BI147" s="40"/>
      <c r="BL147" s="40"/>
      <c r="BN147" s="19"/>
      <c r="BP147" s="17"/>
    </row>
    <row r="148" spans="1:68" x14ac:dyDescent="0.2">
      <c r="A148">
        <f t="shared" si="52"/>
        <v>1</v>
      </c>
      <c r="D148" s="26" t="s">
        <v>729</v>
      </c>
      <c r="E148" s="4"/>
      <c r="F148" s="46"/>
      <c r="G148" s="4"/>
      <c r="H148" s="48"/>
      <c r="J148" s="26" t="str">
        <f t="shared" si="57"/>
        <v>d</v>
      </c>
      <c r="K148" t="s">
        <v>238</v>
      </c>
      <c r="L148" t="s">
        <v>184</v>
      </c>
      <c r="M148" t="s">
        <v>89</v>
      </c>
      <c r="N148" t="str">
        <f t="shared" si="51"/>
        <v>s</v>
      </c>
      <c r="Q148" t="str">
        <f t="shared" si="58"/>
        <v/>
      </c>
      <c r="S148">
        <f>IF(A148=1,MAX($S$2:$S147)+1,IF(OR($I148&lt;&gt;"",A148="x"),$S147,""))</f>
        <v>78</v>
      </c>
      <c r="T148">
        <f>IF(D148=1,MAX($T$2:$T147)+1,IF(S148=S147,$T147,IF(D148="x",T147,IF(D147="x","",""))))</f>
        <v>10</v>
      </c>
      <c r="U148" t="str">
        <f>IF(B148=1,MAX($U$2:$U147)+1,IF(AND($T148&lt;&gt;"",$T148=$T147),$U147,IF(B148="x",U147,"")))</f>
        <v/>
      </c>
      <c r="V148" t="str">
        <f>IF(C148=1,MAX($V$2:$V147)+1,IF(AND($T148&lt;&gt;"",$T148=$T147),$U147,IF(C148="x",V147,"")))</f>
        <v/>
      </c>
      <c r="X148" cm="1">
        <f t="array" ref="X148">IF($I148&lt;&gt;"",$I148,INDEX($I$1:$I148,ROW()-COUNTIFS($T$1:$T148,"="&amp;$T148,$S$1:$S148,"&lt;"&amp;$S148)))</f>
        <v>91</v>
      </c>
      <c r="Z148" s="6">
        <f t="shared" si="53"/>
        <v>1</v>
      </c>
      <c r="AA148">
        <f t="shared" si="54"/>
        <v>1078</v>
      </c>
      <c r="AB148">
        <f t="shared" si="55"/>
        <v>9010</v>
      </c>
      <c r="AC148">
        <f t="shared" si="56"/>
        <v>9010</v>
      </c>
      <c r="BI148" s="40"/>
      <c r="BL148" s="40"/>
      <c r="BN148" s="19"/>
      <c r="BP148" s="17"/>
    </row>
    <row r="149" spans="1:68" x14ac:dyDescent="0.2">
      <c r="A149" t="str">
        <f t="shared" si="52"/>
        <v>x</v>
      </c>
      <c r="D149" s="26" t="s">
        <v>729</v>
      </c>
      <c r="E149" s="4"/>
      <c r="F149" s="46"/>
      <c r="G149" s="4"/>
      <c r="H149" s="48"/>
      <c r="J149" s="26" t="str">
        <f t="shared" si="57"/>
        <v/>
      </c>
      <c r="N149" t="str">
        <f t="shared" ref="N149:N212" si="59">IF(K149="","",IF(K149="Goal","s",IF(AND(K149="Zone_Entry_Exit",OR(ISNUMBER(SEARCH("fail",L149)),ISNUMBER(SEARCH("FromExitClear",M149)),ISNUMBER(SEARCH("miss",M149)))),"u",IF(AND(K149="Zone_Entry_Exit",OR(NOT(ISNUMBER(SEARCH("fail",L149))),NOT(ISNUMBER(SEARCH("FromExitClear",M149))),NOT(ISNUMBER(SEARCH("miss",M149))))),"s",IF(AND(OR(K149="Shot",K149="Pass"),OR(ISNUMBER(SEARCH("complete",L149)),ISNUMBER(SEARCH("goal",L149)),ISNUMBER(SEARCH("OnNet",L149)))),"s",IF(L149="Turnover_Giveaway","u",IF(AND(OR(K149="Shot",K149="Pass"),OR(ISNUMBER(SEARCH("fail",L149)),NOT(ISNUMBER(SEARCH("complete",L149))),NOT(ISNUMBER(SEARCH("OnNet",L149))))),"u","")))))))</f>
        <v/>
      </c>
      <c r="Q149" t="str">
        <f t="shared" si="58"/>
        <v/>
      </c>
      <c r="S149">
        <f>IF(A149=1,MAX($S$2:$S148)+1,IF(OR($I149&lt;&gt;"",A149="x"),$S148,""))</f>
        <v>78</v>
      </c>
      <c r="T149">
        <f>IF(D149=1,MAX($T$2:$T148)+1,IF(S149=S148,$T148,IF(D149="x",T148,IF(D148="x","",""))))</f>
        <v>10</v>
      </c>
      <c r="U149" t="str">
        <f>IF(B149=1,MAX($U$2:$U148)+1,IF(AND($T149&lt;&gt;"",$T149=$T148),$U148,IF(B149="x",U148,"")))</f>
        <v/>
      </c>
      <c r="V149" t="str">
        <f>IF(C149=1,MAX($V$2:$V148)+1,IF(AND($T149&lt;&gt;"",$T149=$T148),$U148,IF(C149="x",V148,"")))</f>
        <v/>
      </c>
      <c r="X149" cm="1">
        <f t="array" ref="X149">IF($I149&lt;&gt;"",$I149,INDEX($I$1:$I149,ROW()-COUNTIFS($T$1:$T149,"="&amp;$T149,$S$1:$S149,"&lt;"&amp;$S149)))</f>
        <v>24</v>
      </c>
      <c r="Z149" s="6">
        <f t="shared" si="53"/>
        <v>1</v>
      </c>
      <c r="AA149">
        <f t="shared" si="54"/>
        <v>1078</v>
      </c>
      <c r="AB149">
        <f t="shared" si="55"/>
        <v>9010</v>
      </c>
      <c r="AC149">
        <f t="shared" si="56"/>
        <v>9010</v>
      </c>
      <c r="BI149" s="40"/>
      <c r="BL149" s="40"/>
      <c r="BN149" s="19"/>
      <c r="BP149" s="17"/>
    </row>
    <row r="150" spans="1:68" x14ac:dyDescent="0.2">
      <c r="A150" t="str">
        <f t="shared" si="52"/>
        <v>x</v>
      </c>
      <c r="D150" s="26" t="s">
        <v>729</v>
      </c>
      <c r="E150" s="4"/>
      <c r="F150" s="46"/>
      <c r="G150" s="4"/>
      <c r="H150" s="48"/>
      <c r="J150" s="26" t="str">
        <f t="shared" si="57"/>
        <v/>
      </c>
      <c r="N150" t="str">
        <f t="shared" si="59"/>
        <v/>
      </c>
      <c r="Q150" t="str">
        <f t="shared" si="58"/>
        <v/>
      </c>
      <c r="S150">
        <f>IF(A150=1,MAX($S$2:$S149)+1,IF(OR($I150&lt;&gt;"",A150="x"),$S149,""))</f>
        <v>78</v>
      </c>
      <c r="T150">
        <f>IF(D150=1,MAX($T$2:$T149)+1,IF(S150=S149,$T149,IF(D150="x",T149,IF(D149="x","",""))))</f>
        <v>10</v>
      </c>
      <c r="U150" t="str">
        <f>IF(B150=1,MAX($U$2:$U149)+1,IF(AND($T150&lt;&gt;"",$T150=$T149),$U149,IF(B150="x",U149,"")))</f>
        <v/>
      </c>
      <c r="V150" t="str">
        <f>IF(C150=1,MAX($V$2:$V149)+1,IF(AND($T150&lt;&gt;"",$T150=$T149),$U149,IF(C150="x",V149,"")))</f>
        <v/>
      </c>
      <c r="X150" cm="1">
        <f t="array" ref="X150">IF($I150&lt;&gt;"",$I150,INDEX($I$1:$I150,ROW()-COUNTIFS($T$1:$T150,"="&amp;$T150,$S$1:$S150,"&lt;"&amp;$S150)))</f>
        <v>21</v>
      </c>
      <c r="Z150" s="6">
        <f t="shared" si="53"/>
        <v>1</v>
      </c>
      <c r="AA150">
        <f t="shared" si="54"/>
        <v>1078</v>
      </c>
      <c r="AB150">
        <f t="shared" si="55"/>
        <v>9010</v>
      </c>
      <c r="AC150">
        <f t="shared" si="56"/>
        <v>9010</v>
      </c>
      <c r="BI150" s="40"/>
      <c r="BL150" s="40"/>
      <c r="BN150" s="19"/>
      <c r="BP150" s="17"/>
    </row>
    <row r="151" spans="1:68" x14ac:dyDescent="0.2">
      <c r="A151">
        <f t="shared" si="52"/>
        <v>1</v>
      </c>
      <c r="D151" s="26">
        <v>1</v>
      </c>
      <c r="E151" s="4"/>
      <c r="F151" s="46" t="s">
        <v>733</v>
      </c>
      <c r="G151" s="4"/>
      <c r="H151" s="48"/>
      <c r="I151" s="26">
        <v>57</v>
      </c>
      <c r="J151" s="26" t="s">
        <v>734</v>
      </c>
      <c r="K151" t="s">
        <v>9</v>
      </c>
      <c r="L151" t="s">
        <v>183</v>
      </c>
      <c r="M151" t="s">
        <v>80</v>
      </c>
      <c r="N151" t="s">
        <v>595</v>
      </c>
      <c r="O151" t="s">
        <v>156</v>
      </c>
      <c r="Q151" t="str">
        <f t="shared" si="58"/>
        <v>s</v>
      </c>
      <c r="S151">
        <f>IF(A151=1,MAX($S$2:$S150)+1,IF(OR($I151&lt;&gt;"",A151="x"),$S150,""))</f>
        <v>79</v>
      </c>
      <c r="T151">
        <f>IF(D151=1,MAX($T$2:$T150)+1,IF(S151=S150,$T150,IF(D151="x",T150,IF(D150="x","",""))))</f>
        <v>11</v>
      </c>
      <c r="U151" t="str">
        <f>IF(B151=1,MAX($U$2:$U150)+1,IF(AND($T151&lt;&gt;"",$T151=$T150),$U150,IF(B151="x",U150,"")))</f>
        <v/>
      </c>
      <c r="V151" t="str">
        <f>IF(C151=1,MAX($V$2:$V150)+1,IF(AND($T151&lt;&gt;"",$T151=$T150),$U150,IF(C151="x",V150,"")))</f>
        <v/>
      </c>
      <c r="X151" cm="1">
        <f t="array" ref="X151">IF($I151&lt;&gt;"",$I151,INDEX($I$1:$I151,ROW()-COUNTIFS($T$1:$T151,"="&amp;$T151,$S$1:$S151,"&lt;"&amp;$S151)))</f>
        <v>57</v>
      </c>
      <c r="Z151" s="6">
        <f t="shared" si="53"/>
        <v>1</v>
      </c>
      <c r="AA151">
        <f t="shared" si="54"/>
        <v>1079</v>
      </c>
      <c r="AB151">
        <f t="shared" si="55"/>
        <v>9011</v>
      </c>
      <c r="AC151">
        <f t="shared" si="56"/>
        <v>9011</v>
      </c>
      <c r="BI151" s="40"/>
      <c r="BL151" s="40"/>
      <c r="BN151" s="19"/>
      <c r="BP151" s="17"/>
    </row>
    <row r="152" spans="1:68" x14ac:dyDescent="0.2">
      <c r="A152" t="str">
        <f t="shared" si="52"/>
        <v>x</v>
      </c>
      <c r="D152" s="26" t="s">
        <v>729</v>
      </c>
      <c r="E152" s="4"/>
      <c r="F152" s="46"/>
      <c r="G152" s="4"/>
      <c r="H152" s="48"/>
      <c r="I152" s="26">
        <v>24</v>
      </c>
      <c r="J152" s="26" t="str">
        <f t="shared" si="57"/>
        <v/>
      </c>
      <c r="N152" t="str">
        <f t="shared" si="59"/>
        <v/>
      </c>
      <c r="O152" t="s">
        <v>785</v>
      </c>
      <c r="Q152" t="str">
        <f t="shared" si="58"/>
        <v>u</v>
      </c>
      <c r="S152">
        <f>IF(A152=1,MAX($S$2:$S151)+1,IF(OR($I152&lt;&gt;"",A152="x"),$S151,""))</f>
        <v>79</v>
      </c>
      <c r="T152">
        <f>IF(D152=1,MAX($T$2:$T151)+1,IF(S152=S151,$T151,IF(D152="x",T151,IF(D151="x","",""))))</f>
        <v>11</v>
      </c>
      <c r="U152" t="str">
        <f>IF(B152=1,MAX($U$2:$U151)+1,IF(AND($T152&lt;&gt;"",$T152=$T151),$U151,IF(B152="x",U151,"")))</f>
        <v/>
      </c>
      <c r="V152" t="str">
        <f>IF(C152=1,MAX($V$2:$V151)+1,IF(AND($T152&lt;&gt;"",$T152=$T151),$U151,IF(C152="x",V151,"")))</f>
        <v/>
      </c>
      <c r="X152" cm="1">
        <f t="array" ref="X152">IF($I152&lt;&gt;"",$I152,INDEX($I$1:$I152,ROW()-COUNTIFS($T$1:$T152,"="&amp;$T152,$S$1:$S152,"&lt;"&amp;$S152)))</f>
        <v>24</v>
      </c>
      <c r="Z152" s="6">
        <f t="shared" si="53"/>
        <v>1</v>
      </c>
      <c r="AA152">
        <f t="shared" si="54"/>
        <v>1079</v>
      </c>
      <c r="AB152">
        <f t="shared" si="55"/>
        <v>9011</v>
      </c>
      <c r="AC152">
        <f t="shared" si="56"/>
        <v>9011</v>
      </c>
      <c r="BI152" s="40"/>
      <c r="BL152" s="40"/>
      <c r="BN152" s="19"/>
      <c r="BP152" s="17"/>
    </row>
    <row r="153" spans="1:68" x14ac:dyDescent="0.2">
      <c r="A153">
        <f t="shared" si="52"/>
        <v>1</v>
      </c>
      <c r="D153" s="26" t="s">
        <v>729</v>
      </c>
      <c r="E153" s="4"/>
      <c r="F153" s="46"/>
      <c r="G153" s="4"/>
      <c r="H153" s="48"/>
      <c r="I153" s="26">
        <v>24</v>
      </c>
      <c r="J153" s="26" t="s">
        <v>734</v>
      </c>
      <c r="K153" t="s">
        <v>238</v>
      </c>
      <c r="L153" t="s">
        <v>174</v>
      </c>
      <c r="M153" t="s">
        <v>390</v>
      </c>
      <c r="N153" t="str">
        <f t="shared" si="59"/>
        <v>u</v>
      </c>
      <c r="Q153" t="str">
        <f t="shared" si="58"/>
        <v/>
      </c>
      <c r="S153">
        <f>IF(A153=1,MAX($S$2:$S152)+1,IF(OR($I153&lt;&gt;"",A153="x"),$S152,""))</f>
        <v>80</v>
      </c>
      <c r="T153">
        <f>IF(D153=1,MAX($T$2:$T152)+1,IF(S153=S152,$T152,IF(D153="x",T152,IF(D152="x","",""))))</f>
        <v>11</v>
      </c>
      <c r="U153" t="str">
        <f>IF(B153=1,MAX($U$2:$U152)+1,IF(AND($T153&lt;&gt;"",$T153=$T152),$U152,IF(B153="x",U152,"")))</f>
        <v/>
      </c>
      <c r="V153" t="str">
        <f>IF(C153=1,MAX($V$2:$V152)+1,IF(AND($T153&lt;&gt;"",$T153=$T152),$U152,IF(C153="x",V152,"")))</f>
        <v/>
      </c>
      <c r="X153" cm="1">
        <f t="array" ref="X153">IF($I153&lt;&gt;"",$I153,INDEX($I$1:$I153,ROW()-COUNTIFS($T$1:$T153,"="&amp;$T153,$S$1:$S153,"&lt;"&amp;$S153)))</f>
        <v>24</v>
      </c>
      <c r="Z153" s="6">
        <f t="shared" si="53"/>
        <v>1</v>
      </c>
      <c r="AA153">
        <f t="shared" si="54"/>
        <v>1080</v>
      </c>
      <c r="AB153">
        <f t="shared" si="55"/>
        <v>9011</v>
      </c>
      <c r="AC153">
        <f t="shared" si="56"/>
        <v>9011</v>
      </c>
      <c r="BI153" s="40"/>
      <c r="BL153" s="40"/>
      <c r="BN153" s="19"/>
      <c r="BP153" s="17"/>
    </row>
    <row r="154" spans="1:68" x14ac:dyDescent="0.2">
      <c r="A154" t="str">
        <f t="shared" si="52"/>
        <v>x</v>
      </c>
      <c r="D154" s="26" t="s">
        <v>729</v>
      </c>
      <c r="E154" s="4"/>
      <c r="F154" s="46"/>
      <c r="G154" s="4"/>
      <c r="H154" s="48"/>
      <c r="I154" s="26">
        <v>57</v>
      </c>
      <c r="J154" s="26" t="str">
        <f t="shared" si="57"/>
        <v/>
      </c>
      <c r="N154" t="str">
        <f t="shared" si="59"/>
        <v/>
      </c>
      <c r="Q154" t="str">
        <f t="shared" si="58"/>
        <v/>
      </c>
      <c r="S154">
        <f>IF(A154=1,MAX($S$2:$S153)+1,IF(OR($I154&lt;&gt;"",A154="x"),$S153,""))</f>
        <v>80</v>
      </c>
      <c r="T154">
        <f>IF(D154=1,MAX($T$2:$T153)+1,IF(S154=S153,$T153,IF(D154="x",T153,IF(D153="x","",""))))</f>
        <v>11</v>
      </c>
      <c r="U154" t="str">
        <f>IF(B154=1,MAX($U$2:$U153)+1,IF(AND($T154&lt;&gt;"",$T154=$T153),$U153,IF(B154="x",U153,"")))</f>
        <v/>
      </c>
      <c r="V154" t="str">
        <f>IF(C154=1,MAX($V$2:$V153)+1,IF(AND($T154&lt;&gt;"",$T154=$T153),$U153,IF(C154="x",V153,"")))</f>
        <v/>
      </c>
      <c r="X154" cm="1">
        <f t="array" ref="X154">IF($I154&lt;&gt;"",$I154,INDEX($I$1:$I154,ROW()-COUNTIFS($T$1:$T154,"="&amp;$T154,$S$1:$S154,"&lt;"&amp;$S154)))</f>
        <v>57</v>
      </c>
      <c r="Z154" s="6">
        <f t="shared" si="53"/>
        <v>1</v>
      </c>
      <c r="AA154">
        <f t="shared" si="54"/>
        <v>1080</v>
      </c>
      <c r="AB154">
        <f t="shared" si="55"/>
        <v>9011</v>
      </c>
      <c r="AC154">
        <f t="shared" si="56"/>
        <v>9011</v>
      </c>
      <c r="BI154" s="40"/>
      <c r="BL154" s="40"/>
      <c r="BN154" s="19"/>
      <c r="BP154" s="17"/>
    </row>
    <row r="155" spans="1:68" x14ac:dyDescent="0.2">
      <c r="A155">
        <f t="shared" si="52"/>
        <v>1</v>
      </c>
      <c r="E155" s="4"/>
      <c r="F155" s="46" t="s">
        <v>1060</v>
      </c>
      <c r="G155" s="4"/>
      <c r="H155" s="48" t="s">
        <v>1066</v>
      </c>
      <c r="I155" s="26">
        <v>10</v>
      </c>
      <c r="J155" s="26" t="s">
        <v>736</v>
      </c>
      <c r="K155" t="s">
        <v>13</v>
      </c>
      <c r="L155" t="s">
        <v>586</v>
      </c>
      <c r="N155" t="s">
        <v>595</v>
      </c>
      <c r="O155" t="s">
        <v>910</v>
      </c>
      <c r="P155" t="s">
        <v>574</v>
      </c>
      <c r="Q155" t="str">
        <f t="shared" si="58"/>
        <v>s</v>
      </c>
      <c r="R155" s="26">
        <v>1</v>
      </c>
      <c r="S155">
        <f>IF(A155=1,MAX($S$2:$S154)+1,IF(OR($I155&lt;&gt;"",A155="x"),$S154,""))</f>
        <v>81</v>
      </c>
      <c r="T155" t="str">
        <f>IF(D155=1,MAX($T$2:$T154)+1,IF(S155=S154,$T154,IF(D155="x",T154,IF(D154="x","",""))))</f>
        <v/>
      </c>
      <c r="U155" t="str">
        <f>IF(B155=1,MAX($U$2:$U154)+1,IF(AND($T155&lt;&gt;"",$T155=$T154),$U154,IF(B155="x",U154,"")))</f>
        <v/>
      </c>
      <c r="V155" t="str">
        <f>IF(C155=1,MAX($V$2:$V154)+1,IF(AND($T155&lt;&gt;"",$T155=$T154),$U154,IF(C155="x",V154,"")))</f>
        <v/>
      </c>
      <c r="X155" cm="1">
        <f t="array" ref="X155">IF($I155&lt;&gt;"",$I155,INDEX($I$1:$I155,ROW()-COUNTIFS($T$1:$T155,"="&amp;$T155,$S$1:$S155,"&lt;"&amp;$S155)))</f>
        <v>10</v>
      </c>
      <c r="Z155" s="6">
        <f t="shared" si="53"/>
        <v>1</v>
      </c>
      <c r="AA155">
        <f t="shared" si="54"/>
        <v>1081</v>
      </c>
      <c r="AB155" t="str">
        <f t="shared" si="55"/>
        <v/>
      </c>
      <c r="AC155">
        <f t="shared" si="56"/>
        <v>1081</v>
      </c>
      <c r="BI155" s="40"/>
      <c r="BL155" s="40"/>
      <c r="BN155" s="19"/>
      <c r="BP155" s="17"/>
    </row>
    <row r="156" spans="1:68" x14ac:dyDescent="0.2">
      <c r="A156" t="str">
        <f t="shared" si="52"/>
        <v/>
      </c>
      <c r="E156" s="4"/>
      <c r="F156" s="46"/>
      <c r="G156" s="4"/>
      <c r="H156" s="48"/>
      <c r="I156" s="26">
        <v>87</v>
      </c>
      <c r="J156" s="26" t="str">
        <f t="shared" si="57"/>
        <v/>
      </c>
      <c r="N156" t="str">
        <f t="shared" si="59"/>
        <v/>
      </c>
      <c r="Q156" t="str">
        <f t="shared" si="58"/>
        <v/>
      </c>
      <c r="R156" s="26">
        <v>1</v>
      </c>
      <c r="S156">
        <f>IF(A156=1,MAX($S$2:$S155)+1,IF(OR($I156&lt;&gt;"",A156="x"),$S155,""))</f>
        <v>81</v>
      </c>
      <c r="T156" t="str">
        <f>IF(D156=1,MAX($T$2:$T155)+1,IF(S156=S155,$T155,IF(D156="x",T155,IF(D155="x","",""))))</f>
        <v/>
      </c>
      <c r="U156" t="str">
        <f>IF(B156=1,MAX($U$2:$U155)+1,IF(AND($T156&lt;&gt;"",$T156=$T155),$U155,IF(B156="x",U155,"")))</f>
        <v/>
      </c>
      <c r="V156" t="str">
        <f>IF(C156=1,MAX($V$2:$V155)+1,IF(AND($T156&lt;&gt;"",$T156=$T155),$U155,IF(C156="x",V155,"")))</f>
        <v/>
      </c>
      <c r="X156" cm="1">
        <f t="array" ref="X156">IF($I156&lt;&gt;"",$I156,INDEX($I$1:$I156,ROW()-COUNTIFS($T$1:$T156,"="&amp;$T156,$S$1:$S156,"&lt;"&amp;$S156)))</f>
        <v>87</v>
      </c>
      <c r="Z156" s="6">
        <f t="shared" si="53"/>
        <v>1</v>
      </c>
      <c r="AA156">
        <f t="shared" si="54"/>
        <v>1081</v>
      </c>
      <c r="AB156" t="str">
        <f t="shared" si="55"/>
        <v/>
      </c>
      <c r="AC156">
        <f t="shared" si="56"/>
        <v>1081</v>
      </c>
      <c r="BI156" s="40"/>
      <c r="BL156" s="40"/>
      <c r="BN156" s="19"/>
      <c r="BP156" s="17"/>
    </row>
    <row r="157" spans="1:68" x14ac:dyDescent="0.2">
      <c r="A157">
        <f t="shared" si="52"/>
        <v>1</v>
      </c>
      <c r="E157" s="4"/>
      <c r="F157" s="46"/>
      <c r="G157" s="4"/>
      <c r="H157" s="48"/>
      <c r="I157" s="26">
        <v>10</v>
      </c>
      <c r="J157" s="26" t="s">
        <v>736</v>
      </c>
      <c r="K157" t="s">
        <v>7</v>
      </c>
      <c r="L157" t="s">
        <v>172</v>
      </c>
      <c r="M157" t="s">
        <v>68</v>
      </c>
      <c r="N157" t="str">
        <f t="shared" si="59"/>
        <v>s</v>
      </c>
      <c r="Q157" t="str">
        <f t="shared" si="58"/>
        <v/>
      </c>
      <c r="S157">
        <f>IF(A157=1,MAX($S$2:$S156)+1,IF(OR($I157&lt;&gt;"",A157="x"),$S156,""))</f>
        <v>82</v>
      </c>
      <c r="T157" t="str">
        <f>IF(D157=1,MAX($T$2:$T156)+1,IF(S157=S156,$T156,IF(D157="x",T156,IF(D156="x","",""))))</f>
        <v/>
      </c>
      <c r="U157" t="str">
        <f>IF(B157=1,MAX($U$2:$U156)+1,IF(AND($T157&lt;&gt;"",$T157=$T156),$U156,IF(B157="x",U156,"")))</f>
        <v/>
      </c>
      <c r="V157" t="str">
        <f>IF(C157=1,MAX($V$2:$V156)+1,IF(AND($T157&lt;&gt;"",$T157=$T156),$U156,IF(C157="x",V156,"")))</f>
        <v/>
      </c>
      <c r="X157" cm="1">
        <f t="array" ref="X157">IF($I157&lt;&gt;"",$I157,INDEX($I$1:$I157,ROW()-COUNTIFS($T$1:$T157,"="&amp;$T157,$S$1:$S157,"&lt;"&amp;$S157)))</f>
        <v>10</v>
      </c>
      <c r="Z157" s="6">
        <f t="shared" si="53"/>
        <v>1</v>
      </c>
      <c r="AA157">
        <f t="shared" si="54"/>
        <v>1082</v>
      </c>
      <c r="AB157" t="str">
        <f t="shared" si="55"/>
        <v/>
      </c>
      <c r="AC157">
        <f t="shared" si="56"/>
        <v>1082</v>
      </c>
      <c r="BI157" s="40"/>
      <c r="BL157" s="40"/>
      <c r="BN157" s="19"/>
      <c r="BP157" s="17"/>
    </row>
    <row r="158" spans="1:68" x14ac:dyDescent="0.2">
      <c r="A158" t="str">
        <f t="shared" si="52"/>
        <v/>
      </c>
      <c r="E158" s="4"/>
      <c r="F158" s="46"/>
      <c r="G158" s="4"/>
      <c r="H158" s="48"/>
      <c r="I158" s="26">
        <v>57</v>
      </c>
      <c r="J158" s="26" t="str">
        <f t="shared" si="57"/>
        <v/>
      </c>
      <c r="N158" t="str">
        <f t="shared" si="59"/>
        <v/>
      </c>
      <c r="Q158" t="str">
        <f t="shared" si="58"/>
        <v/>
      </c>
      <c r="S158">
        <f>IF(A158=1,MAX($S$2:$S157)+1,IF(OR($I158&lt;&gt;"",A158="x"),$S157,""))</f>
        <v>82</v>
      </c>
      <c r="T158" t="str">
        <f>IF(D158=1,MAX($T$2:$T157)+1,IF(S158=S157,$T157,IF(D158="x",T157,IF(D157="x","",""))))</f>
        <v/>
      </c>
      <c r="U158" t="str">
        <f>IF(B158=1,MAX($U$2:$U157)+1,IF(AND($T158&lt;&gt;"",$T158=$T157),$U157,IF(B158="x",U157,"")))</f>
        <v/>
      </c>
      <c r="V158" t="str">
        <f>IF(C158=1,MAX($V$2:$V157)+1,IF(AND($T158&lt;&gt;"",$T158=$T157),$U157,IF(C158="x",V157,"")))</f>
        <v/>
      </c>
      <c r="X158" cm="1">
        <f t="array" ref="X158">IF($I158&lt;&gt;"",$I158,INDEX($I$1:$I158,ROW()-COUNTIFS($T$1:$T158,"="&amp;$T158,$S$1:$S158,"&lt;"&amp;$S158)))</f>
        <v>57</v>
      </c>
      <c r="Z158" s="6">
        <f t="shared" si="53"/>
        <v>1</v>
      </c>
      <c r="AA158">
        <f t="shared" si="54"/>
        <v>1082</v>
      </c>
      <c r="AB158" t="str">
        <f t="shared" si="55"/>
        <v/>
      </c>
      <c r="AC158">
        <f t="shared" si="56"/>
        <v>1082</v>
      </c>
      <c r="BI158" s="40"/>
      <c r="BL158" s="40"/>
      <c r="BN158" s="19"/>
      <c r="BP158" s="17"/>
    </row>
    <row r="159" spans="1:68" x14ac:dyDescent="0.2">
      <c r="A159">
        <f t="shared" si="52"/>
        <v>1</v>
      </c>
      <c r="D159" s="26">
        <v>1</v>
      </c>
      <c r="E159" s="4"/>
      <c r="F159" s="46" t="s">
        <v>737</v>
      </c>
      <c r="G159" s="4"/>
      <c r="H159" s="48"/>
      <c r="I159" s="26">
        <v>57</v>
      </c>
      <c r="J159" s="26" t="s">
        <v>736</v>
      </c>
      <c r="K159" t="s">
        <v>7</v>
      </c>
      <c r="L159" t="s">
        <v>172</v>
      </c>
      <c r="M159" t="s">
        <v>65</v>
      </c>
      <c r="N159" t="str">
        <f t="shared" si="59"/>
        <v>s</v>
      </c>
      <c r="O159" t="s">
        <v>450</v>
      </c>
      <c r="Q159" t="str">
        <f t="shared" si="58"/>
        <v>s</v>
      </c>
      <c r="S159">
        <f>IF(A159=1,MAX($S$2:$S158)+1,IF(OR($I159&lt;&gt;"",A159="x"),$S158,""))</f>
        <v>83</v>
      </c>
      <c r="T159">
        <f>IF(D159=1,MAX($T$2:$T158)+1,IF(S159=S158,$T158,IF(D159="x",T158,IF(D158="x","",""))))</f>
        <v>12</v>
      </c>
      <c r="U159" t="str">
        <f>IF(B159=1,MAX($U$2:$U158)+1,IF(AND($T159&lt;&gt;"",$T159=$T158),$U158,IF(B159="x",U158,"")))</f>
        <v/>
      </c>
      <c r="V159" t="str">
        <f>IF(C159=1,MAX($V$2:$V158)+1,IF(AND($T159&lt;&gt;"",$T159=$T158),$U158,IF(C159="x",V158,"")))</f>
        <v/>
      </c>
      <c r="X159" cm="1">
        <f t="array" ref="X159">IF($I159&lt;&gt;"",$I159,INDEX($I$1:$I159,ROW()-COUNTIFS($T$1:$T159,"="&amp;$T159,$S$1:$S159,"&lt;"&amp;$S159)))</f>
        <v>57</v>
      </c>
      <c r="Z159" s="6">
        <f t="shared" si="53"/>
        <v>1</v>
      </c>
      <c r="AA159">
        <f t="shared" si="54"/>
        <v>1083</v>
      </c>
      <c r="AB159">
        <f t="shared" si="55"/>
        <v>9012</v>
      </c>
      <c r="AC159">
        <f t="shared" si="56"/>
        <v>9012</v>
      </c>
      <c r="BI159" s="40"/>
      <c r="BL159" s="40"/>
      <c r="BN159" s="19"/>
      <c r="BP159" s="17"/>
    </row>
    <row r="160" spans="1:68" x14ac:dyDescent="0.2">
      <c r="A160" t="str">
        <f t="shared" si="52"/>
        <v>x</v>
      </c>
      <c r="D160" s="26" t="s">
        <v>729</v>
      </c>
      <c r="E160" s="4"/>
      <c r="F160" s="46"/>
      <c r="G160" s="4"/>
      <c r="H160" s="48"/>
      <c r="I160" s="26">
        <v>21</v>
      </c>
      <c r="J160" s="26" t="str">
        <f t="shared" si="57"/>
        <v/>
      </c>
      <c r="N160" t="str">
        <f t="shared" si="59"/>
        <v/>
      </c>
      <c r="Q160" t="str">
        <f t="shared" si="58"/>
        <v/>
      </c>
      <c r="S160">
        <f>IF(A160=1,MAX($S$2:$S159)+1,IF(OR($I160&lt;&gt;"",A160="x"),$S159,""))</f>
        <v>83</v>
      </c>
      <c r="T160">
        <f>IF(D160=1,MAX($T$2:$T159)+1,IF(S160=S159,$T159,IF(D160="x",T159,IF(D159="x","",""))))</f>
        <v>12</v>
      </c>
      <c r="U160" t="str">
        <f>IF(B160=1,MAX($U$2:$U159)+1,IF(AND($T160&lt;&gt;"",$T160=$T159),$U159,IF(B160="x",U159,"")))</f>
        <v/>
      </c>
      <c r="V160" t="str">
        <f>IF(C160=1,MAX($V$2:$V159)+1,IF(AND($T160&lt;&gt;"",$T160=$T159),$U159,IF(C160="x",V159,"")))</f>
        <v/>
      </c>
      <c r="X160" cm="1">
        <f t="array" ref="X160">IF($I160&lt;&gt;"",$I160,INDEX($I$1:$I160,ROW()-COUNTIFS($T$1:$T160,"="&amp;$T160,$S$1:$S160,"&lt;"&amp;$S160)))</f>
        <v>21</v>
      </c>
      <c r="Z160" s="6">
        <f t="shared" si="53"/>
        <v>1</v>
      </c>
      <c r="AA160">
        <f t="shared" si="54"/>
        <v>1083</v>
      </c>
      <c r="AB160">
        <f t="shared" si="55"/>
        <v>9012</v>
      </c>
      <c r="AC160">
        <f t="shared" si="56"/>
        <v>9012</v>
      </c>
      <c r="BI160" s="40"/>
      <c r="BL160" s="40"/>
      <c r="BN160" s="19"/>
      <c r="BP160" s="17"/>
    </row>
    <row r="161" spans="1:68" x14ac:dyDescent="0.2">
      <c r="A161">
        <f t="shared" si="52"/>
        <v>1</v>
      </c>
      <c r="D161" s="26" t="s">
        <v>729</v>
      </c>
      <c r="E161" s="4"/>
      <c r="F161" s="46"/>
      <c r="G161" s="4"/>
      <c r="H161" s="48"/>
      <c r="J161" s="26" t="str">
        <f t="shared" si="57"/>
        <v>d</v>
      </c>
      <c r="K161" t="s">
        <v>238</v>
      </c>
      <c r="L161" t="s">
        <v>184</v>
      </c>
      <c r="M161" t="s">
        <v>89</v>
      </c>
      <c r="N161" t="str">
        <f t="shared" si="59"/>
        <v>s</v>
      </c>
      <c r="Q161" t="str">
        <f t="shared" si="58"/>
        <v/>
      </c>
      <c r="S161">
        <f>IF(A161=1,MAX($S$2:$S160)+1,IF(OR($I161&lt;&gt;"",A161="x"),$S160,""))</f>
        <v>84</v>
      </c>
      <c r="T161">
        <f>IF(D161=1,MAX($T$2:$T160)+1,IF(S161=S160,$T160,IF(D161="x",T160,IF(D160="x","",""))))</f>
        <v>12</v>
      </c>
      <c r="U161" t="str">
        <f>IF(B161=1,MAX($U$2:$U160)+1,IF(AND($T161&lt;&gt;"",$T161=$T160),$U160,IF(B161="x",U160,"")))</f>
        <v/>
      </c>
      <c r="V161" t="str">
        <f>IF(C161=1,MAX($V$2:$V160)+1,IF(AND($T161&lt;&gt;"",$T161=$T160),$U160,IF(C161="x",V160,"")))</f>
        <v/>
      </c>
      <c r="X161" cm="1">
        <f t="array" ref="X161">IF($I161&lt;&gt;"",$I161,INDEX($I$1:$I161,ROW()-COUNTIFS($T$1:$T161,"="&amp;$T161,$S$1:$S161,"&lt;"&amp;$S161)))</f>
        <v>57</v>
      </c>
      <c r="Z161" s="6">
        <f t="shared" si="53"/>
        <v>1</v>
      </c>
      <c r="AA161">
        <f t="shared" si="54"/>
        <v>1084</v>
      </c>
      <c r="AB161">
        <f t="shared" si="55"/>
        <v>9012</v>
      </c>
      <c r="AC161">
        <f t="shared" si="56"/>
        <v>9012</v>
      </c>
      <c r="BI161" s="40"/>
      <c r="BL161" s="40"/>
      <c r="BN161" s="19"/>
      <c r="BP161" s="17"/>
    </row>
    <row r="162" spans="1:68" x14ac:dyDescent="0.2">
      <c r="A162" t="str">
        <f t="shared" si="52"/>
        <v>x</v>
      </c>
      <c r="D162" s="26" t="s">
        <v>729</v>
      </c>
      <c r="E162" s="4"/>
      <c r="F162" s="46"/>
      <c r="G162" s="4"/>
      <c r="H162" s="48"/>
      <c r="J162" s="26" t="str">
        <f t="shared" si="57"/>
        <v/>
      </c>
      <c r="N162" t="str">
        <f t="shared" si="59"/>
        <v/>
      </c>
      <c r="Q162" t="str">
        <f t="shared" si="58"/>
        <v/>
      </c>
      <c r="S162">
        <f>IF(A162=1,MAX($S$2:$S161)+1,IF(OR($I162&lt;&gt;"",A162="x"),$S161,""))</f>
        <v>84</v>
      </c>
      <c r="T162">
        <f>IF(D162=1,MAX($T$2:$T161)+1,IF(S162=S161,$T161,IF(D162="x",T161,IF(D161="x","",""))))</f>
        <v>12</v>
      </c>
      <c r="U162" t="str">
        <f>IF(B162=1,MAX($U$2:$U161)+1,IF(AND($T162&lt;&gt;"",$T162=$T161),$U161,IF(B162="x",U161,"")))</f>
        <v/>
      </c>
      <c r="V162" t="str">
        <f>IF(C162=1,MAX($V$2:$V161)+1,IF(AND($T162&lt;&gt;"",$T162=$T161),$U161,IF(C162="x",V161,"")))</f>
        <v/>
      </c>
      <c r="X162" cm="1">
        <f t="array" ref="X162">IF($I162&lt;&gt;"",$I162,INDEX($I$1:$I162,ROW()-COUNTIFS($T$1:$T162,"="&amp;$T162,$S$1:$S162,"&lt;"&amp;$S162)))</f>
        <v>21</v>
      </c>
      <c r="Z162" s="6">
        <f t="shared" si="53"/>
        <v>1</v>
      </c>
      <c r="AA162">
        <f t="shared" si="54"/>
        <v>1084</v>
      </c>
      <c r="AB162">
        <f t="shared" si="55"/>
        <v>9012</v>
      </c>
      <c r="AC162">
        <f t="shared" si="56"/>
        <v>9012</v>
      </c>
      <c r="BI162" s="40"/>
      <c r="BL162" s="40"/>
      <c r="BN162" s="19"/>
      <c r="BP162" s="17"/>
    </row>
    <row r="163" spans="1:68" x14ac:dyDescent="0.2">
      <c r="A163">
        <f t="shared" si="52"/>
        <v>1</v>
      </c>
      <c r="E163" s="4"/>
      <c r="F163" s="46" t="s">
        <v>1029</v>
      </c>
      <c r="G163" s="4"/>
      <c r="H163" s="48" t="s">
        <v>1041</v>
      </c>
      <c r="I163" s="26">
        <v>21</v>
      </c>
      <c r="J163" s="26" t="s">
        <v>734</v>
      </c>
      <c r="K163" t="s">
        <v>13</v>
      </c>
      <c r="N163" t="str">
        <f t="shared" si="59"/>
        <v/>
      </c>
      <c r="Q163" t="str">
        <f t="shared" si="58"/>
        <v/>
      </c>
      <c r="S163">
        <f>IF(A163=1,MAX($S$2:$S162)+1,IF(OR($I163&lt;&gt;"",A163="x"),$S162,""))</f>
        <v>85</v>
      </c>
      <c r="T163" t="str">
        <f>IF(D163=1,MAX($T$2:$T162)+1,IF(S163=S162,$T162,IF(D163="x",T162,IF(D162="x","",""))))</f>
        <v/>
      </c>
      <c r="U163" t="str">
        <f>IF(B163=1,MAX($U$2:$U162)+1,IF(AND($T163&lt;&gt;"",$T163=$T162),$U162,IF(B163="x",U162,"")))</f>
        <v/>
      </c>
      <c r="V163" t="str">
        <f>IF(C163=1,MAX($V$2:$V162)+1,IF(AND($T163&lt;&gt;"",$T163=$T162),$U162,IF(C163="x",V162,"")))</f>
        <v/>
      </c>
      <c r="X163" cm="1">
        <f t="array" ref="X163">IF($I163&lt;&gt;"",$I163,INDEX($I$1:$I163,ROW()-COUNTIFS($T$1:$T163,"="&amp;$T163,$S$1:$S163,"&lt;"&amp;$S163)))</f>
        <v>21</v>
      </c>
      <c r="Z163" s="6">
        <f t="shared" si="53"/>
        <v>1</v>
      </c>
      <c r="AA163">
        <f t="shared" si="54"/>
        <v>1085</v>
      </c>
      <c r="AB163" t="str">
        <f t="shared" si="55"/>
        <v/>
      </c>
      <c r="AC163">
        <f t="shared" si="56"/>
        <v>1085</v>
      </c>
      <c r="BI163" s="40"/>
      <c r="BL163" s="40"/>
      <c r="BN163" s="19"/>
      <c r="BP163" s="17"/>
    </row>
    <row r="164" spans="1:68" x14ac:dyDescent="0.2">
      <c r="A164">
        <f t="shared" si="52"/>
        <v>1</v>
      </c>
      <c r="E164" s="4"/>
      <c r="F164" s="46"/>
      <c r="G164" s="4"/>
      <c r="H164" s="48" t="s">
        <v>1068</v>
      </c>
      <c r="I164" s="26">
        <v>21</v>
      </c>
      <c r="J164" s="26" t="str">
        <f t="shared" si="57"/>
        <v>o</v>
      </c>
      <c r="K164" t="s">
        <v>238</v>
      </c>
      <c r="L164" t="s">
        <v>174</v>
      </c>
      <c r="M164" t="s">
        <v>85</v>
      </c>
      <c r="N164" t="str">
        <f t="shared" si="59"/>
        <v>s</v>
      </c>
      <c r="O164" t="s">
        <v>143</v>
      </c>
      <c r="P164" t="s">
        <v>150</v>
      </c>
      <c r="Q164" t="str">
        <f t="shared" si="58"/>
        <v>s</v>
      </c>
      <c r="R164" s="26">
        <v>1</v>
      </c>
      <c r="S164">
        <f>IF(A164=1,MAX($S$2:$S163)+1,IF(OR($I164&lt;&gt;"",A164="x"),$S163,""))</f>
        <v>86</v>
      </c>
      <c r="T164" t="str">
        <f>IF(D164=1,MAX($T$2:$T163)+1,IF(S164=S163,$T163,IF(D164="x",T163,IF(D163="x","",""))))</f>
        <v/>
      </c>
      <c r="U164" t="str">
        <f>IF(B164=1,MAX($U$2:$U163)+1,IF(AND($T164&lt;&gt;"",$T164=$T163),$U163,IF(B164="x",U163,"")))</f>
        <v/>
      </c>
      <c r="V164" t="str">
        <f>IF(C164=1,MAX($V$2:$V163)+1,IF(AND($T164&lt;&gt;"",$T164=$T163),$U163,IF(C164="x",V163,"")))</f>
        <v/>
      </c>
      <c r="X164" cm="1">
        <f t="array" ref="X164">IF($I164&lt;&gt;"",$I164,INDEX($I$1:$I164,ROW()-COUNTIFS($T$1:$T164,"="&amp;$T164,$S$1:$S164,"&lt;"&amp;$S164)))</f>
        <v>21</v>
      </c>
      <c r="Z164" s="6">
        <f t="shared" si="53"/>
        <v>1</v>
      </c>
      <c r="AA164">
        <f t="shared" si="54"/>
        <v>1086</v>
      </c>
      <c r="AB164" t="str">
        <f t="shared" si="55"/>
        <v/>
      </c>
      <c r="AC164">
        <f t="shared" si="56"/>
        <v>1086</v>
      </c>
      <c r="BI164" s="40"/>
      <c r="BL164" s="40"/>
      <c r="BN164" s="19"/>
      <c r="BP164" s="17"/>
    </row>
    <row r="165" spans="1:68" x14ac:dyDescent="0.2">
      <c r="A165" t="str">
        <f t="shared" si="52"/>
        <v/>
      </c>
      <c r="E165" s="4"/>
      <c r="F165" s="46"/>
      <c r="G165" s="4"/>
      <c r="H165" s="48"/>
      <c r="I165" s="26">
        <v>9</v>
      </c>
      <c r="J165" s="26" t="str">
        <f t="shared" si="57"/>
        <v/>
      </c>
      <c r="N165" t="str">
        <f t="shared" si="59"/>
        <v/>
      </c>
      <c r="O165" t="s">
        <v>164</v>
      </c>
      <c r="P165" t="s">
        <v>567</v>
      </c>
      <c r="Q165" t="str">
        <f t="shared" si="58"/>
        <v>u</v>
      </c>
      <c r="R165" s="26">
        <v>1</v>
      </c>
      <c r="S165">
        <f>IF(A165=1,MAX($S$2:$S164)+1,IF(OR($I165&lt;&gt;"",A165="x"),$S164,""))</f>
        <v>86</v>
      </c>
      <c r="T165" t="str">
        <f>IF(D165=1,MAX($T$2:$T164)+1,IF(S165=S164,$T164,IF(D165="x",T164,IF(D164="x","",""))))</f>
        <v/>
      </c>
      <c r="U165" t="str">
        <f>IF(B165=1,MAX($U$2:$U164)+1,IF(AND($T165&lt;&gt;"",$T165=$T164),$U164,IF(B165="x",U164,"")))</f>
        <v/>
      </c>
      <c r="V165" t="str">
        <f>IF(C165=1,MAX($V$2:$V164)+1,IF(AND($T165&lt;&gt;"",$T165=$T164),$U164,IF(C165="x",V164,"")))</f>
        <v/>
      </c>
      <c r="X165" cm="1">
        <f t="array" ref="X165">IF($I165&lt;&gt;"",$I165,INDEX($I$1:$I165,ROW()-COUNTIFS($T$1:$T165,"="&amp;$T165,$S$1:$S165,"&lt;"&amp;$S165)))</f>
        <v>9</v>
      </c>
      <c r="Z165" s="6">
        <f t="shared" si="53"/>
        <v>1</v>
      </c>
      <c r="AA165">
        <f t="shared" si="54"/>
        <v>1086</v>
      </c>
      <c r="AB165" t="str">
        <f t="shared" si="55"/>
        <v/>
      </c>
      <c r="AC165">
        <f t="shared" si="56"/>
        <v>1086</v>
      </c>
      <c r="BI165" s="40"/>
      <c r="BL165" s="40"/>
      <c r="BN165" s="19"/>
      <c r="BP165" s="17"/>
    </row>
    <row r="166" spans="1:68" x14ac:dyDescent="0.2">
      <c r="A166">
        <f t="shared" si="52"/>
        <v>1</v>
      </c>
      <c r="E166" s="4"/>
      <c r="F166" s="46"/>
      <c r="G166" s="4"/>
      <c r="H166" s="48"/>
      <c r="I166" s="26">
        <v>21</v>
      </c>
      <c r="J166" s="26" t="s">
        <v>368</v>
      </c>
      <c r="K166" t="s">
        <v>7</v>
      </c>
      <c r="L166" t="s">
        <v>172</v>
      </c>
      <c r="M166" t="s">
        <v>385</v>
      </c>
      <c r="N166" t="str">
        <f t="shared" si="59"/>
        <v>s</v>
      </c>
      <c r="Q166" t="str">
        <f t="shared" si="58"/>
        <v/>
      </c>
      <c r="S166">
        <f>IF(A166=1,MAX($S$2:$S165)+1,IF(OR($I166&lt;&gt;"",A166="x"),$S165,""))</f>
        <v>87</v>
      </c>
      <c r="T166" t="str">
        <f>IF(D166=1,MAX($T$2:$T165)+1,IF(S166=S165,$T165,IF(D166="x",T165,IF(D165="x","",""))))</f>
        <v/>
      </c>
      <c r="U166" t="str">
        <f>IF(B166=1,MAX($U$2:$U165)+1,IF(AND($T166&lt;&gt;"",$T166=$T165),$U165,IF(B166="x",U165,"")))</f>
        <v/>
      </c>
      <c r="V166" t="str">
        <f>IF(C166=1,MAX($V$2:$V165)+1,IF(AND($T166&lt;&gt;"",$T166=$T165),$U165,IF(C166="x",V165,"")))</f>
        <v/>
      </c>
      <c r="X166" cm="1">
        <f t="array" ref="X166">IF($I166&lt;&gt;"",$I166,INDEX($I$1:$I166,ROW()-COUNTIFS($T$1:$T166,"="&amp;$T166,$S$1:$S166,"&lt;"&amp;$S166)))</f>
        <v>21</v>
      </c>
      <c r="Z166" s="6">
        <f t="shared" si="53"/>
        <v>1</v>
      </c>
      <c r="AA166">
        <f t="shared" si="54"/>
        <v>1087</v>
      </c>
      <c r="AB166" t="str">
        <f t="shared" si="55"/>
        <v/>
      </c>
      <c r="AC166">
        <f t="shared" si="56"/>
        <v>1087</v>
      </c>
      <c r="BI166" s="40"/>
      <c r="BL166" s="40"/>
      <c r="BN166" s="19"/>
      <c r="BP166" s="17"/>
    </row>
    <row r="167" spans="1:68" x14ac:dyDescent="0.2">
      <c r="A167" t="str">
        <f t="shared" si="52"/>
        <v/>
      </c>
      <c r="E167" s="4"/>
      <c r="F167" s="46"/>
      <c r="G167" s="4"/>
      <c r="H167" s="48"/>
      <c r="I167" s="26">
        <v>69</v>
      </c>
      <c r="J167" s="26" t="str">
        <f t="shared" si="57"/>
        <v/>
      </c>
      <c r="N167" t="str">
        <f t="shared" si="59"/>
        <v/>
      </c>
      <c r="Q167" t="str">
        <f t="shared" si="58"/>
        <v/>
      </c>
      <c r="S167">
        <f>IF(A167=1,MAX($S$2:$S166)+1,IF(OR($I167&lt;&gt;"",A167="x"),$S166,""))</f>
        <v>87</v>
      </c>
      <c r="T167" t="str">
        <f>IF(D167=1,MAX($T$2:$T166)+1,IF(S167=S166,$T166,IF(D167="x",T166,IF(D166="x","",""))))</f>
        <v/>
      </c>
      <c r="U167" t="str">
        <f>IF(B167=1,MAX($U$2:$U166)+1,IF(AND($T167&lt;&gt;"",$T167=$T166),$U166,IF(B167="x",U166,"")))</f>
        <v/>
      </c>
      <c r="V167" t="str">
        <f>IF(C167=1,MAX($V$2:$V166)+1,IF(AND($T167&lt;&gt;"",$T167=$T166),$U166,IF(C167="x",V166,"")))</f>
        <v/>
      </c>
      <c r="X167" cm="1">
        <f t="array" ref="X167">IF($I167&lt;&gt;"",$I167,INDEX($I$1:$I167,ROW()-COUNTIFS($T$1:$T167,"="&amp;$T167,$S$1:$S167,"&lt;"&amp;$S167)))</f>
        <v>69</v>
      </c>
      <c r="Z167" s="6">
        <f t="shared" si="53"/>
        <v>1</v>
      </c>
      <c r="AA167">
        <f t="shared" si="54"/>
        <v>1087</v>
      </c>
      <c r="AB167" t="str">
        <f t="shared" si="55"/>
        <v/>
      </c>
      <c r="AC167">
        <f t="shared" si="56"/>
        <v>1087</v>
      </c>
      <c r="BI167" s="40"/>
      <c r="BL167" s="40"/>
      <c r="BN167" s="19"/>
      <c r="BP167" s="17"/>
    </row>
    <row r="168" spans="1:68" x14ac:dyDescent="0.2">
      <c r="A168">
        <f t="shared" si="52"/>
        <v>1</v>
      </c>
      <c r="E168" s="4"/>
      <c r="F168" s="46" t="s">
        <v>749</v>
      </c>
      <c r="G168" s="4"/>
      <c r="H168" s="48"/>
      <c r="I168" s="26">
        <v>69</v>
      </c>
      <c r="J168" s="26" t="s">
        <v>368</v>
      </c>
      <c r="K168" t="s">
        <v>11</v>
      </c>
      <c r="L168" t="s">
        <v>187</v>
      </c>
      <c r="M168" t="s">
        <v>110</v>
      </c>
      <c r="N168" t="str">
        <f t="shared" si="59"/>
        <v/>
      </c>
      <c r="Q168" t="str">
        <f t="shared" si="58"/>
        <v/>
      </c>
      <c r="S168">
        <f>IF(A168=1,MAX($S$2:$S167)+1,IF(OR($I168&lt;&gt;"",A168="x"),$S167,""))</f>
        <v>88</v>
      </c>
      <c r="T168" t="str">
        <f>IF(D168=1,MAX($T$2:$T167)+1,IF(S168=S167,$T167,IF(D168="x",T167,IF(D167="x","",""))))</f>
        <v/>
      </c>
      <c r="U168" t="str">
        <f>IF(B168=1,MAX($U$2:$U167)+1,IF(AND($T168&lt;&gt;"",$T168=$T167),$U167,IF(B168="x",U167,"")))</f>
        <v/>
      </c>
      <c r="V168" t="str">
        <f>IF(C168=1,MAX($V$2:$V167)+1,IF(AND($T168&lt;&gt;"",$T168=$T167),$U167,IF(C168="x",V167,"")))</f>
        <v/>
      </c>
      <c r="X168" cm="1">
        <f t="array" ref="X168">IF($I168&lt;&gt;"",$I168,INDEX($I$1:$I168,ROW()-COUNTIFS($T$1:$T168,"="&amp;$T168,$S$1:$S168,"&lt;"&amp;$S168)))</f>
        <v>69</v>
      </c>
      <c r="Z168" s="6">
        <f t="shared" si="53"/>
        <v>1</v>
      </c>
      <c r="AA168">
        <f t="shared" si="54"/>
        <v>1088</v>
      </c>
      <c r="AB168" t="str">
        <f t="shared" si="55"/>
        <v/>
      </c>
      <c r="AC168">
        <f t="shared" si="56"/>
        <v>1088</v>
      </c>
      <c r="BI168" s="40"/>
      <c r="BL168" s="40"/>
      <c r="BN168" s="19"/>
      <c r="BP168" s="17"/>
    </row>
    <row r="169" spans="1:68" x14ac:dyDescent="0.2">
      <c r="A169">
        <f t="shared" si="52"/>
        <v>1</v>
      </c>
      <c r="E169" s="4"/>
      <c r="F169" s="46"/>
      <c r="G169" s="4"/>
      <c r="H169" s="48" t="s">
        <v>747</v>
      </c>
      <c r="I169" s="26">
        <v>69</v>
      </c>
      <c r="J169" s="26" t="s">
        <v>368</v>
      </c>
      <c r="K169" t="s">
        <v>241</v>
      </c>
      <c r="N169" t="str">
        <f t="shared" si="59"/>
        <v/>
      </c>
      <c r="Q169" t="str">
        <f t="shared" si="58"/>
        <v/>
      </c>
      <c r="S169">
        <f>IF(A169=1,MAX($S$2:$S168)+1,IF(OR($I169&lt;&gt;"",A169="x"),$S168,""))</f>
        <v>89</v>
      </c>
      <c r="T169" t="str">
        <f>IF(D169=1,MAX($T$2:$T168)+1,IF(S169=S168,$T168,IF(D169="x",T168,IF(D168="x","",""))))</f>
        <v/>
      </c>
      <c r="U169" t="str">
        <f>IF(B169=1,MAX($U$2:$U168)+1,IF(AND($T169&lt;&gt;"",$T169=$T168),$U168,IF(B169="x",U168,"")))</f>
        <v/>
      </c>
      <c r="V169" t="str">
        <f>IF(C169=1,MAX($V$2:$V168)+1,IF(AND($T169&lt;&gt;"",$T169=$T168),$U168,IF(C169="x",V168,"")))</f>
        <v/>
      </c>
      <c r="X169" cm="1">
        <f t="array" ref="X169">IF($I169&lt;&gt;"",$I169,INDEX($I$1:$I169,ROW()-COUNTIFS($T$1:$T169,"="&amp;$T169,$S$1:$S169,"&lt;"&amp;$S169)))</f>
        <v>69</v>
      </c>
      <c r="Z169" s="6">
        <f t="shared" si="53"/>
        <v>1</v>
      </c>
      <c r="AA169">
        <f t="shared" si="54"/>
        <v>1089</v>
      </c>
      <c r="AB169" t="str">
        <f t="shared" si="55"/>
        <v/>
      </c>
      <c r="AC169">
        <f t="shared" si="56"/>
        <v>1089</v>
      </c>
      <c r="BI169" s="40"/>
      <c r="BL169" s="40"/>
      <c r="BN169" s="19"/>
      <c r="BP169" s="17"/>
    </row>
    <row r="170" spans="1:68" x14ac:dyDescent="0.2">
      <c r="A170">
        <f t="shared" si="52"/>
        <v>1</v>
      </c>
      <c r="E170" s="4"/>
      <c r="F170" s="46"/>
      <c r="G170" s="4"/>
      <c r="H170" s="48"/>
      <c r="I170" s="26">
        <v>21</v>
      </c>
      <c r="J170" s="26" t="s">
        <v>736</v>
      </c>
      <c r="K170" t="s">
        <v>5</v>
      </c>
      <c r="L170" t="s">
        <v>236</v>
      </c>
      <c r="N170" t="str">
        <f t="shared" si="59"/>
        <v/>
      </c>
      <c r="Q170" t="str">
        <f t="shared" si="58"/>
        <v/>
      </c>
      <c r="S170">
        <f>IF(A170=1,MAX($S$2:$S169)+1,IF(OR($I170&lt;&gt;"",A170="x"),$S169,""))</f>
        <v>90</v>
      </c>
      <c r="T170" t="str">
        <f>IF(D170=1,MAX($T$2:$T169)+1,IF(S170=S169,$T169,IF(D170="x",T169,IF(D169="x","",""))))</f>
        <v/>
      </c>
      <c r="U170" t="str">
        <f>IF(B170=1,MAX($U$2:$U169)+1,IF(AND($T170&lt;&gt;"",$T170=$T169),$U169,IF(B170="x",U169,"")))</f>
        <v/>
      </c>
      <c r="V170" t="str">
        <f>IF(C170=1,MAX($V$2:$V169)+1,IF(AND($T170&lt;&gt;"",$T170=$T169),$U169,IF(C170="x",V169,"")))</f>
        <v/>
      </c>
      <c r="X170" cm="1">
        <f t="array" ref="X170">IF($I170&lt;&gt;"",$I170,INDEX($I$1:$I170,ROW()-COUNTIFS($T$1:$T170,"="&amp;$T170,$S$1:$S170,"&lt;"&amp;$S170)))</f>
        <v>21</v>
      </c>
      <c r="Z170" s="6">
        <f t="shared" si="53"/>
        <v>1</v>
      </c>
      <c r="AA170">
        <f t="shared" si="54"/>
        <v>1090</v>
      </c>
      <c r="AB170" t="str">
        <f t="shared" si="55"/>
        <v/>
      </c>
      <c r="AC170">
        <f t="shared" si="56"/>
        <v>1090</v>
      </c>
      <c r="BI170" s="40"/>
      <c r="BL170" s="40"/>
      <c r="BN170" s="19"/>
      <c r="BP170" s="17"/>
    </row>
    <row r="171" spans="1:68" x14ac:dyDescent="0.2">
      <c r="A171" t="str">
        <f t="shared" si="52"/>
        <v/>
      </c>
      <c r="E171" s="4"/>
      <c r="F171" s="46"/>
      <c r="G171" s="4"/>
      <c r="H171" s="48"/>
      <c r="I171" s="26">
        <v>19</v>
      </c>
      <c r="J171" s="26" t="str">
        <f t="shared" si="57"/>
        <v/>
      </c>
      <c r="N171" t="str">
        <f t="shared" si="59"/>
        <v/>
      </c>
      <c r="Q171" t="str">
        <f t="shared" si="58"/>
        <v/>
      </c>
      <c r="S171">
        <f>IF(A171=1,MAX($S$2:$S170)+1,IF(OR($I171&lt;&gt;"",A171="x"),$S170,""))</f>
        <v>90</v>
      </c>
      <c r="T171" t="str">
        <f>IF(D171=1,MAX($T$2:$T170)+1,IF(S171=S170,$T170,IF(D171="x",T170,IF(D170="x","",""))))</f>
        <v/>
      </c>
      <c r="U171" t="str">
        <f>IF(B171=1,MAX($U$2:$U170)+1,IF(AND($T171&lt;&gt;"",$T171=$T170),$U170,IF(B171="x",U170,"")))</f>
        <v/>
      </c>
      <c r="V171" t="str">
        <f>IF(C171=1,MAX($V$2:$V170)+1,IF(AND($T171&lt;&gt;"",$T171=$T170),$U170,IF(C171="x",V170,"")))</f>
        <v/>
      </c>
      <c r="X171" cm="1">
        <f t="array" ref="X171">IF($I171&lt;&gt;"",$I171,INDEX($I$1:$I171,ROW()-COUNTIFS($T$1:$T171,"="&amp;$T171,$S$1:$S171,"&lt;"&amp;$S171)))</f>
        <v>19</v>
      </c>
      <c r="Z171" s="6">
        <f t="shared" si="53"/>
        <v>1</v>
      </c>
      <c r="AA171">
        <f t="shared" si="54"/>
        <v>1090</v>
      </c>
      <c r="AB171" t="str">
        <f t="shared" si="55"/>
        <v/>
      </c>
      <c r="AC171">
        <f t="shared" si="56"/>
        <v>1090</v>
      </c>
      <c r="BI171" s="40"/>
      <c r="BL171" s="40"/>
      <c r="BN171" s="19"/>
      <c r="BP171" s="17"/>
    </row>
    <row r="172" spans="1:68" x14ac:dyDescent="0.2">
      <c r="A172" t="str">
        <f t="shared" si="52"/>
        <v/>
      </c>
      <c r="E172" s="4"/>
      <c r="F172" s="46"/>
      <c r="G172" s="4"/>
      <c r="H172" s="48"/>
      <c r="I172" s="26">
        <v>70</v>
      </c>
      <c r="J172" s="26" t="str">
        <f t="shared" si="57"/>
        <v/>
      </c>
      <c r="N172" t="str">
        <f t="shared" si="59"/>
        <v/>
      </c>
      <c r="Q172" t="str">
        <f t="shared" si="58"/>
        <v/>
      </c>
      <c r="S172">
        <f>IF(A172=1,MAX($S$2:$S171)+1,IF(OR($I172&lt;&gt;"",A172="x"),$S171,""))</f>
        <v>90</v>
      </c>
      <c r="T172" t="str">
        <f>IF(D172=1,MAX($T$2:$T171)+1,IF(S172=S171,$T171,IF(D172="x",T171,IF(D171="x","",""))))</f>
        <v/>
      </c>
      <c r="U172" t="str">
        <f>IF(B172=1,MAX($U$2:$U171)+1,IF(AND($T172&lt;&gt;"",$T172=$T171),$U171,IF(B172="x",U171,"")))</f>
        <v/>
      </c>
      <c r="V172" t="str">
        <f>IF(C172=1,MAX($V$2:$V171)+1,IF(AND($T172&lt;&gt;"",$T172=$T171),$U171,IF(C172="x",V171,"")))</f>
        <v/>
      </c>
      <c r="X172" cm="1">
        <f t="array" ref="X172">IF($I172&lt;&gt;"",$I172,INDEX($I$1:$I172,ROW()-COUNTIFS($T$1:$T172,"="&amp;$T172,$S$1:$S172,"&lt;"&amp;$S172)))</f>
        <v>70</v>
      </c>
      <c r="Z172" s="6">
        <f t="shared" si="53"/>
        <v>1</v>
      </c>
      <c r="AA172">
        <f t="shared" si="54"/>
        <v>1090</v>
      </c>
      <c r="AB172" t="str">
        <f t="shared" si="55"/>
        <v/>
      </c>
      <c r="AC172">
        <f t="shared" si="56"/>
        <v>1090</v>
      </c>
      <c r="BI172" s="40"/>
      <c r="BL172" s="40"/>
      <c r="BN172" s="19"/>
      <c r="BP172" s="17"/>
    </row>
    <row r="173" spans="1:68" x14ac:dyDescent="0.2">
      <c r="A173">
        <f t="shared" si="52"/>
        <v>1</v>
      </c>
      <c r="E173" s="4"/>
      <c r="F173" s="46" t="s">
        <v>1042</v>
      </c>
      <c r="G173" s="4"/>
      <c r="H173" s="48"/>
      <c r="I173" s="26">
        <v>19</v>
      </c>
      <c r="J173" s="26" t="s">
        <v>736</v>
      </c>
      <c r="K173" t="s">
        <v>7</v>
      </c>
      <c r="L173" t="s">
        <v>172</v>
      </c>
      <c r="M173" t="s">
        <v>68</v>
      </c>
      <c r="N173" t="str">
        <f t="shared" si="59"/>
        <v>s</v>
      </c>
      <c r="O173" t="s">
        <v>576</v>
      </c>
      <c r="Q173" t="str">
        <f t="shared" si="58"/>
        <v>s</v>
      </c>
      <c r="S173">
        <f>IF(A173=1,MAX($S$2:$S172)+1,IF(OR($I173&lt;&gt;"",A173="x"),$S172,""))</f>
        <v>91</v>
      </c>
      <c r="T173" t="str">
        <f>IF(D173=1,MAX($T$2:$T172)+1,IF(S173=S172,$T172,IF(D173="x",T172,IF(D172="x","",""))))</f>
        <v/>
      </c>
      <c r="U173" t="str">
        <f>IF(B173=1,MAX($U$2:$U172)+1,IF(AND($T173&lt;&gt;"",$T173=$T172),$U172,IF(B173="x",U172,"")))</f>
        <v/>
      </c>
      <c r="V173" t="str">
        <f>IF(C173=1,MAX($V$2:$V172)+1,IF(AND($T173&lt;&gt;"",$T173=$T172),$U172,IF(C173="x",V172,"")))</f>
        <v/>
      </c>
      <c r="X173" cm="1">
        <f t="array" ref="X173">IF($I173&lt;&gt;"",$I173,INDEX($I$1:$I173,ROW()-COUNTIFS($T$1:$T173,"="&amp;$T173,$S$1:$S173,"&lt;"&amp;$S173)))</f>
        <v>19</v>
      </c>
      <c r="Z173" s="6">
        <f t="shared" si="53"/>
        <v>1</v>
      </c>
      <c r="AA173">
        <f t="shared" si="54"/>
        <v>1091</v>
      </c>
      <c r="AB173" t="str">
        <f t="shared" si="55"/>
        <v/>
      </c>
      <c r="AC173">
        <f t="shared" si="56"/>
        <v>1091</v>
      </c>
      <c r="BI173" s="40"/>
      <c r="BL173" s="40"/>
      <c r="BN173" s="19"/>
      <c r="BP173" s="17"/>
    </row>
    <row r="174" spans="1:68" x14ac:dyDescent="0.2">
      <c r="A174" t="str">
        <f t="shared" si="52"/>
        <v/>
      </c>
      <c r="E174" s="4"/>
      <c r="F174" s="46"/>
      <c r="G174" s="4"/>
      <c r="H174" s="48"/>
      <c r="I174" s="26">
        <v>41</v>
      </c>
      <c r="J174" s="26" t="str">
        <f t="shared" si="57"/>
        <v/>
      </c>
      <c r="N174" t="str">
        <f t="shared" si="59"/>
        <v/>
      </c>
      <c r="Q174" t="str">
        <f t="shared" si="58"/>
        <v/>
      </c>
      <c r="S174">
        <f>IF(A174=1,MAX($S$2:$S173)+1,IF(OR($I174&lt;&gt;"",A174="x"),$S173,""))</f>
        <v>91</v>
      </c>
      <c r="T174" t="str">
        <f>IF(D174=1,MAX($T$2:$T173)+1,IF(S174=S173,$T173,IF(D174="x",T173,IF(D173="x","",""))))</f>
        <v/>
      </c>
      <c r="U174" t="str">
        <f>IF(B174=1,MAX($U$2:$U173)+1,IF(AND($T174&lt;&gt;"",$T174=$T173),$U173,IF(B174="x",U173,"")))</f>
        <v/>
      </c>
      <c r="V174" t="str">
        <f>IF(C174=1,MAX($V$2:$V173)+1,IF(AND($T174&lt;&gt;"",$T174=$T173),$U173,IF(C174="x",V173,"")))</f>
        <v/>
      </c>
      <c r="X174" cm="1">
        <f t="array" ref="X174">IF($I174&lt;&gt;"",$I174,INDEX($I$1:$I174,ROW()-COUNTIFS($T$1:$T174,"="&amp;$T174,$S$1:$S174,"&lt;"&amp;$S174)))</f>
        <v>41</v>
      </c>
      <c r="Z174" s="6">
        <f t="shared" si="53"/>
        <v>1</v>
      </c>
      <c r="AA174">
        <f t="shared" si="54"/>
        <v>1091</v>
      </c>
      <c r="AB174" t="str">
        <f t="shared" si="55"/>
        <v/>
      </c>
      <c r="AC174">
        <f t="shared" si="56"/>
        <v>1091</v>
      </c>
      <c r="BI174" s="40"/>
      <c r="BL174" s="40"/>
      <c r="BN174" s="19"/>
      <c r="BP174" s="17"/>
    </row>
    <row r="175" spans="1:68" x14ac:dyDescent="0.2">
      <c r="A175">
        <f t="shared" si="52"/>
        <v>1</v>
      </c>
      <c r="D175" s="26">
        <v>1</v>
      </c>
      <c r="E175" s="4"/>
      <c r="F175" s="46" t="s">
        <v>1069</v>
      </c>
      <c r="G175" s="4"/>
      <c r="H175" s="48"/>
      <c r="I175" s="26">
        <v>41</v>
      </c>
      <c r="J175" s="26" t="s">
        <v>736</v>
      </c>
      <c r="K175" t="s">
        <v>7</v>
      </c>
      <c r="L175" t="s">
        <v>192</v>
      </c>
      <c r="M175" t="s">
        <v>68</v>
      </c>
      <c r="N175" t="str">
        <f t="shared" si="59"/>
        <v>u</v>
      </c>
      <c r="Q175" t="str">
        <f t="shared" si="58"/>
        <v/>
      </c>
      <c r="R175" s="26">
        <v>1</v>
      </c>
      <c r="S175">
        <f>IF(A175=1,MAX($S$2:$S174)+1,IF(OR($I175&lt;&gt;"",A175="x"),$S174,""))</f>
        <v>92</v>
      </c>
      <c r="T175">
        <f>IF(D175=1,MAX($T$2:$T174)+1,IF(S175=S174,$T174,IF(D175="x",T174,IF(D174="x","",""))))</f>
        <v>13</v>
      </c>
      <c r="U175" t="str">
        <f>IF(B175=1,MAX($U$2:$U174)+1,IF(AND($T175&lt;&gt;"",$T175=$T174),$U174,IF(B175="x",U174,"")))</f>
        <v/>
      </c>
      <c r="V175" t="str">
        <f>IF(C175=1,MAX($V$2:$V174)+1,IF(AND($T175&lt;&gt;"",$T175=$T174),$U174,IF(C175="x",V174,"")))</f>
        <v/>
      </c>
      <c r="X175" cm="1">
        <f t="array" ref="X175">IF($I175&lt;&gt;"",$I175,INDEX($I$1:$I175,ROW()-COUNTIFS($T$1:$T175,"="&amp;$T175,$S$1:$S175,"&lt;"&amp;$S175)))</f>
        <v>41</v>
      </c>
      <c r="Z175" s="6">
        <f t="shared" si="53"/>
        <v>1</v>
      </c>
      <c r="AA175">
        <f t="shared" si="54"/>
        <v>1092</v>
      </c>
      <c r="AB175">
        <f t="shared" si="55"/>
        <v>9013</v>
      </c>
      <c r="AC175">
        <f t="shared" si="56"/>
        <v>9013</v>
      </c>
      <c r="BI175" s="40"/>
      <c r="BL175" s="40"/>
      <c r="BN175" s="19"/>
      <c r="BP175" s="17"/>
    </row>
    <row r="176" spans="1:68" x14ac:dyDescent="0.2">
      <c r="A176" t="str">
        <f t="shared" si="52"/>
        <v>x</v>
      </c>
      <c r="D176" s="26" t="s">
        <v>729</v>
      </c>
      <c r="E176" s="4"/>
      <c r="F176" s="46"/>
      <c r="G176" s="4"/>
      <c r="H176" s="48"/>
      <c r="I176" s="26">
        <v>71</v>
      </c>
      <c r="J176" s="26" t="str">
        <f t="shared" si="57"/>
        <v/>
      </c>
      <c r="N176" t="str">
        <f t="shared" si="59"/>
        <v/>
      </c>
      <c r="Q176" t="str">
        <f t="shared" si="58"/>
        <v/>
      </c>
      <c r="S176">
        <f>IF(A176=1,MAX($S$2:$S175)+1,IF(OR($I176&lt;&gt;"",A176="x"),$S175,""))</f>
        <v>92</v>
      </c>
      <c r="T176">
        <f>IF(D176=1,MAX($T$2:$T175)+1,IF(S176=S175,$T175,IF(D176="x",T175,IF(D175="x","",""))))</f>
        <v>13</v>
      </c>
      <c r="U176" t="str">
        <f>IF(B176=1,MAX($U$2:$U175)+1,IF(AND($T176&lt;&gt;"",$T176=$T175),$U175,IF(B176="x",U175,"")))</f>
        <v/>
      </c>
      <c r="V176" t="str">
        <f>IF(C176=1,MAX($V$2:$V175)+1,IF(AND($T176&lt;&gt;"",$T176=$T175),$U175,IF(C176="x",V175,"")))</f>
        <v/>
      </c>
      <c r="X176" cm="1">
        <f t="array" ref="X176">IF($I176&lt;&gt;"",$I176,INDEX($I$1:$I176,ROW()-COUNTIFS($T$1:$T176,"="&amp;$T176,$S$1:$S176,"&lt;"&amp;$S176)))</f>
        <v>71</v>
      </c>
      <c r="Z176" s="6">
        <f t="shared" si="53"/>
        <v>1</v>
      </c>
      <c r="AA176">
        <f t="shared" si="54"/>
        <v>1092</v>
      </c>
      <c r="AB176">
        <f t="shared" si="55"/>
        <v>9013</v>
      </c>
      <c r="AC176">
        <f t="shared" si="56"/>
        <v>9013</v>
      </c>
      <c r="BI176" s="40"/>
      <c r="BL176" s="40"/>
      <c r="BN176" s="19"/>
      <c r="BP176" s="17"/>
    </row>
    <row r="177" spans="1:68" x14ac:dyDescent="0.2">
      <c r="A177" t="str">
        <f t="shared" si="52"/>
        <v>x</v>
      </c>
      <c r="D177" s="26" t="s">
        <v>729</v>
      </c>
      <c r="E177" s="4"/>
      <c r="F177" s="46"/>
      <c r="G177" s="4"/>
      <c r="H177" s="48"/>
      <c r="I177" s="26">
        <v>24</v>
      </c>
      <c r="J177" s="26" t="str">
        <f t="shared" si="57"/>
        <v/>
      </c>
      <c r="N177" t="str">
        <f t="shared" si="59"/>
        <v/>
      </c>
      <c r="O177" t="s">
        <v>782</v>
      </c>
      <c r="Q177" t="str">
        <f t="shared" si="58"/>
        <v/>
      </c>
      <c r="S177">
        <f>IF(A177=1,MAX($S$2:$S176)+1,IF(OR($I177&lt;&gt;"",A177="x"),$S176,""))</f>
        <v>92</v>
      </c>
      <c r="T177">
        <f>IF(D177=1,MAX($T$2:$T176)+1,IF(S177=S176,$T176,IF(D177="x",T176,IF(D176="x","",""))))</f>
        <v>13</v>
      </c>
      <c r="U177" t="str">
        <f>IF(B177=1,MAX($U$2:$U176)+1,IF(AND($T177&lt;&gt;"",$T177=$T176),$U176,IF(B177="x",U176,"")))</f>
        <v/>
      </c>
      <c r="V177" t="str">
        <f>IF(C177=1,MAX($V$2:$V176)+1,IF(AND($T177&lt;&gt;"",$T177=$T176),$U176,IF(C177="x",V176,"")))</f>
        <v/>
      </c>
      <c r="X177" cm="1">
        <f t="array" ref="X177">IF($I177&lt;&gt;"",$I177,INDEX($I$1:$I177,ROW()-COUNTIFS($T$1:$T177,"="&amp;$T177,$S$1:$S177,"&lt;"&amp;$S177)))</f>
        <v>24</v>
      </c>
      <c r="Z177" s="6">
        <f t="shared" si="53"/>
        <v>1</v>
      </c>
      <c r="AA177">
        <f t="shared" si="54"/>
        <v>1092</v>
      </c>
      <c r="AB177">
        <f t="shared" si="55"/>
        <v>9013</v>
      </c>
      <c r="AC177">
        <f t="shared" si="56"/>
        <v>9013</v>
      </c>
      <c r="BI177" s="40"/>
      <c r="BL177" s="40"/>
      <c r="BN177" s="19"/>
      <c r="BP177" s="17"/>
    </row>
    <row r="178" spans="1:68" x14ac:dyDescent="0.2">
      <c r="A178" t="str">
        <f t="shared" si="52"/>
        <v>x</v>
      </c>
      <c r="D178" s="26" t="s">
        <v>729</v>
      </c>
      <c r="E178" s="4"/>
      <c r="F178" s="46"/>
      <c r="G178" s="4"/>
      <c r="H178" s="48"/>
      <c r="I178" s="26">
        <v>70</v>
      </c>
      <c r="J178" s="26" t="str">
        <f t="shared" si="57"/>
        <v/>
      </c>
      <c r="N178" t="str">
        <f t="shared" si="59"/>
        <v/>
      </c>
      <c r="Q178" t="str">
        <f t="shared" si="58"/>
        <v/>
      </c>
      <c r="R178" s="26">
        <v>1</v>
      </c>
      <c r="S178">
        <f>IF(A178=1,MAX($S$2:$S177)+1,IF(OR($I178&lt;&gt;"",A178="x"),$S177,""))</f>
        <v>92</v>
      </c>
      <c r="T178">
        <f>IF(D178=1,MAX($T$2:$T177)+1,IF(S178=S177,$T177,IF(D178="x",T177,IF(D177="x","",""))))</f>
        <v>13</v>
      </c>
      <c r="U178" t="str">
        <f>IF(B178=1,MAX($U$2:$U177)+1,IF(AND($T178&lt;&gt;"",$T178=$T177),$U177,IF(B178="x",U177,"")))</f>
        <v/>
      </c>
      <c r="V178" t="str">
        <f>IF(C178=1,MAX($V$2:$V177)+1,IF(AND($T178&lt;&gt;"",$T178=$T177),$U177,IF(C178="x",V177,"")))</f>
        <v/>
      </c>
      <c r="X178" cm="1">
        <f t="array" ref="X178">IF($I178&lt;&gt;"",$I178,INDEX($I$1:$I178,ROW()-COUNTIFS($T$1:$T178,"="&amp;$T178,$S$1:$S178,"&lt;"&amp;$S178)))</f>
        <v>70</v>
      </c>
      <c r="Z178" s="6">
        <f t="shared" si="53"/>
        <v>1</v>
      </c>
      <c r="AA178">
        <f t="shared" si="54"/>
        <v>1092</v>
      </c>
      <c r="AB178">
        <f t="shared" si="55"/>
        <v>9013</v>
      </c>
      <c r="AC178">
        <f t="shared" si="56"/>
        <v>9013</v>
      </c>
      <c r="BI178" s="40"/>
      <c r="BL178" s="40"/>
      <c r="BN178" s="19"/>
      <c r="BP178" s="17"/>
    </row>
    <row r="179" spans="1:68" x14ac:dyDescent="0.2">
      <c r="A179">
        <f t="shared" si="52"/>
        <v>1</v>
      </c>
      <c r="D179" s="26" t="s">
        <v>729</v>
      </c>
      <c r="E179" s="4"/>
      <c r="F179" s="46"/>
      <c r="G179" s="4"/>
      <c r="H179" s="48"/>
      <c r="J179" s="26" t="s">
        <v>736</v>
      </c>
      <c r="K179" t="s">
        <v>9</v>
      </c>
      <c r="L179" t="s">
        <v>173</v>
      </c>
      <c r="M179" t="s">
        <v>75</v>
      </c>
      <c r="N179" t="str">
        <f t="shared" si="59"/>
        <v>u</v>
      </c>
      <c r="Q179" t="str">
        <f t="shared" si="58"/>
        <v/>
      </c>
      <c r="S179">
        <f>IF(A179=1,MAX($S$2:$S178)+1,IF(OR($I179&lt;&gt;"",A179="x"),$S178,""))</f>
        <v>93</v>
      </c>
      <c r="T179">
        <f>IF(D179=1,MAX($T$2:$T178)+1,IF(S179=S178,$T178,IF(D179="x",T178,IF(D178="x","",""))))</f>
        <v>13</v>
      </c>
      <c r="U179" t="str">
        <f>IF(B179=1,MAX($U$2:$U178)+1,IF(AND($T179&lt;&gt;"",$T179=$T178),$U178,IF(B179="x",U178,"")))</f>
        <v/>
      </c>
      <c r="V179" t="str">
        <f>IF(C179=1,MAX($V$2:$V178)+1,IF(AND($T179&lt;&gt;"",$T179=$T178),$U178,IF(C179="x",V178,"")))</f>
        <v/>
      </c>
      <c r="X179" cm="1">
        <f t="array" ref="X179">IF($I179&lt;&gt;"",$I179,INDEX($I$1:$I179,ROW()-COUNTIFS($T$1:$T179,"="&amp;$T179,$S$1:$S179,"&lt;"&amp;$S179)))</f>
        <v>41</v>
      </c>
      <c r="Z179" s="6">
        <f t="shared" si="53"/>
        <v>1</v>
      </c>
      <c r="AA179">
        <f t="shared" si="54"/>
        <v>1093</v>
      </c>
      <c r="AB179">
        <f t="shared" si="55"/>
        <v>9013</v>
      </c>
      <c r="AC179">
        <f t="shared" si="56"/>
        <v>9013</v>
      </c>
      <c r="BI179" s="40"/>
      <c r="BL179" s="40"/>
      <c r="BN179" s="19"/>
      <c r="BP179" s="17"/>
    </row>
    <row r="180" spans="1:68" x14ac:dyDescent="0.2">
      <c r="A180" t="str">
        <f t="shared" si="52"/>
        <v>x</v>
      </c>
      <c r="D180" s="26" t="s">
        <v>729</v>
      </c>
      <c r="E180" s="4"/>
      <c r="F180" s="46"/>
      <c r="G180" s="4"/>
      <c r="H180" s="48"/>
      <c r="J180" s="26" t="str">
        <f t="shared" si="57"/>
        <v/>
      </c>
      <c r="N180" t="str">
        <f t="shared" si="59"/>
        <v/>
      </c>
      <c r="Q180" t="str">
        <f t="shared" si="58"/>
        <v/>
      </c>
      <c r="S180">
        <f>IF(A180=1,MAX($S$2:$S179)+1,IF(OR($I180&lt;&gt;"",A180="x"),$S179,""))</f>
        <v>93</v>
      </c>
      <c r="T180">
        <f>IF(D180=1,MAX($T$2:$T179)+1,IF(S180=S179,$T179,IF(D180="x",T179,IF(D179="x","",""))))</f>
        <v>13</v>
      </c>
      <c r="U180" t="str">
        <f>IF(B180=1,MAX($U$2:$U179)+1,IF(AND($T180&lt;&gt;"",$T180=$T179),$U179,IF(B180="x",U179,"")))</f>
        <v/>
      </c>
      <c r="V180" t="str">
        <f>IF(C180=1,MAX($V$2:$V179)+1,IF(AND($T180&lt;&gt;"",$T180=$T179),$U179,IF(C180="x",V179,"")))</f>
        <v/>
      </c>
      <c r="X180" cm="1">
        <f t="array" ref="X180">IF($I180&lt;&gt;"",$I180,INDEX($I$1:$I180,ROW()-COUNTIFS($T$1:$T180,"="&amp;$T180,$S$1:$S180,"&lt;"&amp;$S180)))</f>
        <v>71</v>
      </c>
      <c r="Z180" s="6">
        <f t="shared" si="53"/>
        <v>1</v>
      </c>
      <c r="AA180">
        <f t="shared" si="54"/>
        <v>1093</v>
      </c>
      <c r="AB180">
        <f t="shared" si="55"/>
        <v>9013</v>
      </c>
      <c r="AC180">
        <f t="shared" si="56"/>
        <v>9013</v>
      </c>
      <c r="BI180" s="40"/>
      <c r="BL180" s="40"/>
      <c r="BN180" s="19"/>
      <c r="BP180" s="17"/>
    </row>
    <row r="181" spans="1:68" x14ac:dyDescent="0.2">
      <c r="A181" t="str">
        <f t="shared" si="52"/>
        <v>x</v>
      </c>
      <c r="D181" s="26" t="s">
        <v>729</v>
      </c>
      <c r="E181" s="4"/>
      <c r="F181" s="46"/>
      <c r="G181" s="4"/>
      <c r="H181" s="48"/>
      <c r="J181" s="26" t="str">
        <f t="shared" si="57"/>
        <v/>
      </c>
      <c r="N181" t="str">
        <f t="shared" si="59"/>
        <v/>
      </c>
      <c r="Q181" t="str">
        <f t="shared" si="58"/>
        <v/>
      </c>
      <c r="S181">
        <f>IF(A181=1,MAX($S$2:$S180)+1,IF(OR($I181&lt;&gt;"",A181="x"),$S180,""))</f>
        <v>93</v>
      </c>
      <c r="T181">
        <f>IF(D181=1,MAX($T$2:$T180)+1,IF(S181=S180,$T180,IF(D181="x",T180,IF(D180="x","",""))))</f>
        <v>13</v>
      </c>
      <c r="U181" t="str">
        <f>IF(B181=1,MAX($U$2:$U180)+1,IF(AND($T181&lt;&gt;"",$T181=$T180),$U180,IF(B181="x",U180,"")))</f>
        <v/>
      </c>
      <c r="V181" t="str">
        <f>IF(C181=1,MAX($V$2:$V180)+1,IF(AND($T181&lt;&gt;"",$T181=$T180),$U180,IF(C181="x",V180,"")))</f>
        <v/>
      </c>
      <c r="X181" cm="1">
        <f t="array" ref="X181">IF($I181&lt;&gt;"",$I181,INDEX($I$1:$I181,ROW()-COUNTIFS($T$1:$T181,"="&amp;$T181,$S$1:$S181,"&lt;"&amp;$S181)))</f>
        <v>24</v>
      </c>
      <c r="Z181" s="6">
        <f t="shared" si="53"/>
        <v>1</v>
      </c>
      <c r="AA181">
        <f t="shared" si="54"/>
        <v>1093</v>
      </c>
      <c r="AB181">
        <f t="shared" si="55"/>
        <v>9013</v>
      </c>
      <c r="AC181">
        <f t="shared" si="56"/>
        <v>9013</v>
      </c>
      <c r="BI181" s="40"/>
      <c r="BL181" s="40"/>
      <c r="BN181" s="19"/>
      <c r="BP181" s="17"/>
    </row>
    <row r="182" spans="1:68" x14ac:dyDescent="0.2">
      <c r="A182" t="str">
        <f t="shared" si="52"/>
        <v>x</v>
      </c>
      <c r="D182" s="26" t="s">
        <v>729</v>
      </c>
      <c r="E182" s="4"/>
      <c r="F182" s="46"/>
      <c r="G182" s="4"/>
      <c r="H182" s="48"/>
      <c r="J182" s="26" t="str">
        <f t="shared" si="57"/>
        <v/>
      </c>
      <c r="N182" t="str">
        <f t="shared" si="59"/>
        <v/>
      </c>
      <c r="Q182" t="str">
        <f t="shared" si="58"/>
        <v/>
      </c>
      <c r="S182">
        <f>IF(A182=1,MAX($S$2:$S181)+1,IF(OR($I182&lt;&gt;"",A182="x"),$S181,""))</f>
        <v>93</v>
      </c>
      <c r="T182">
        <f>IF(D182=1,MAX($T$2:$T181)+1,IF(S182=S181,$T181,IF(D182="x",T181,IF(D181="x","",""))))</f>
        <v>13</v>
      </c>
      <c r="U182" t="str">
        <f>IF(B182=1,MAX($U$2:$U181)+1,IF(AND($T182&lt;&gt;"",$T182=$T181),$U181,IF(B182="x",U181,"")))</f>
        <v/>
      </c>
      <c r="V182" t="str">
        <f>IF(C182=1,MAX($V$2:$V181)+1,IF(AND($T182&lt;&gt;"",$T182=$T181),$U181,IF(C182="x",V181,"")))</f>
        <v/>
      </c>
      <c r="X182" cm="1">
        <f t="array" ref="X182">IF($I182&lt;&gt;"",$I182,INDEX($I$1:$I182,ROW()-COUNTIFS($T$1:$T182,"="&amp;$T182,$S$1:$S182,"&lt;"&amp;$S182)))</f>
        <v>70</v>
      </c>
      <c r="Z182" s="6">
        <f t="shared" si="53"/>
        <v>1</v>
      </c>
      <c r="AA182">
        <f t="shared" si="54"/>
        <v>1093</v>
      </c>
      <c r="AB182">
        <f t="shared" si="55"/>
        <v>9013</v>
      </c>
      <c r="AC182">
        <f t="shared" si="56"/>
        <v>9013</v>
      </c>
      <c r="BI182" s="40"/>
      <c r="BL182" s="40"/>
      <c r="BN182" s="19"/>
      <c r="BP182" s="17"/>
    </row>
    <row r="183" spans="1:68" x14ac:dyDescent="0.2">
      <c r="A183">
        <f t="shared" si="52"/>
        <v>1</v>
      </c>
      <c r="E183" s="4"/>
      <c r="F183" s="46" t="s">
        <v>1057</v>
      </c>
      <c r="G183" s="4"/>
      <c r="H183" s="48" t="s">
        <v>1040</v>
      </c>
      <c r="I183" s="26">
        <v>70</v>
      </c>
      <c r="J183" s="26" t="s">
        <v>368</v>
      </c>
      <c r="K183" t="s">
        <v>13</v>
      </c>
      <c r="L183" t="s">
        <v>586</v>
      </c>
      <c r="N183" t="s">
        <v>594</v>
      </c>
      <c r="O183" t="s">
        <v>907</v>
      </c>
      <c r="Q183" t="str">
        <f t="shared" si="58"/>
        <v>u</v>
      </c>
      <c r="S183">
        <f>IF(A183=1,MAX($S$2:$S182)+1,IF(OR($I183&lt;&gt;"",A183="x"),$S182,""))</f>
        <v>94</v>
      </c>
      <c r="T183" t="str">
        <f>IF(D183=1,MAX($T$2:$T182)+1,IF(S183=S182,$T182,IF(D183="x",T182,IF(D182="x","",""))))</f>
        <v/>
      </c>
      <c r="U183" t="str">
        <f>IF(B183=1,MAX($U$2:$U182)+1,IF(AND($T183&lt;&gt;"",$T183=$T182),$U182,IF(B183="x",U182,"")))</f>
        <v/>
      </c>
      <c r="V183" t="str">
        <f>IF(C183=1,MAX($V$2:$V182)+1,IF(AND($T183&lt;&gt;"",$T183=$T182),$U182,IF(C183="x",V182,"")))</f>
        <v/>
      </c>
      <c r="X183" cm="1">
        <f t="array" ref="X183">IF($I183&lt;&gt;"",$I183,INDEX($I$1:$I183,ROW()-COUNTIFS($T$1:$T183,"="&amp;$T183,$S$1:$S183,"&lt;"&amp;$S183)))</f>
        <v>70</v>
      </c>
      <c r="Z183" s="6">
        <f t="shared" si="53"/>
        <v>1</v>
      </c>
      <c r="AA183">
        <f t="shared" si="54"/>
        <v>1094</v>
      </c>
      <c r="AB183" t="str">
        <f t="shared" si="55"/>
        <v/>
      </c>
      <c r="AC183">
        <f t="shared" si="56"/>
        <v>1094</v>
      </c>
      <c r="BI183" s="40"/>
      <c r="BL183" s="40"/>
      <c r="BN183" s="19"/>
      <c r="BP183" s="17"/>
    </row>
    <row r="184" spans="1:68" x14ac:dyDescent="0.2">
      <c r="A184">
        <f t="shared" si="52"/>
        <v>1</v>
      </c>
      <c r="D184" s="26">
        <v>1</v>
      </c>
      <c r="E184" s="4"/>
      <c r="F184" s="46"/>
      <c r="G184" s="4"/>
      <c r="H184" s="48"/>
      <c r="I184" s="26">
        <v>70</v>
      </c>
      <c r="J184" s="26" t="s">
        <v>368</v>
      </c>
      <c r="K184" t="s">
        <v>7</v>
      </c>
      <c r="L184" t="s">
        <v>182</v>
      </c>
      <c r="M184" t="s">
        <v>385</v>
      </c>
      <c r="N184" t="str">
        <f t="shared" si="59"/>
        <v>u</v>
      </c>
      <c r="Q184" t="str">
        <f t="shared" si="58"/>
        <v/>
      </c>
      <c r="S184">
        <f>IF(A184=1,MAX($S$2:$S183)+1,IF(OR($I184&lt;&gt;"",A184="x"),$S183,""))</f>
        <v>95</v>
      </c>
      <c r="T184">
        <f>IF(D184=1,MAX($T$2:$T183)+1,IF(S184=S183,$T183,IF(D184="x",T183,IF(D183="x","",""))))</f>
        <v>14</v>
      </c>
      <c r="U184" t="str">
        <f>IF(B184=1,MAX($U$2:$U183)+1,IF(AND($T184&lt;&gt;"",$T184=$T183),$U183,IF(B184="x",U183,"")))</f>
        <v/>
      </c>
      <c r="V184" t="str">
        <f>IF(C184=1,MAX($V$2:$V183)+1,IF(AND($T184&lt;&gt;"",$T184=$T183),$U183,IF(C184="x",V183,"")))</f>
        <v/>
      </c>
      <c r="X184" cm="1">
        <f t="array" ref="X184">IF($I184&lt;&gt;"",$I184,INDEX($I$1:$I184,ROW()-COUNTIFS($T$1:$T184,"="&amp;$T184,$S$1:$S184,"&lt;"&amp;$S184)))</f>
        <v>70</v>
      </c>
      <c r="Z184" s="6">
        <f t="shared" si="53"/>
        <v>1</v>
      </c>
      <c r="AA184">
        <f t="shared" si="54"/>
        <v>1095</v>
      </c>
      <c r="AB184">
        <f t="shared" si="55"/>
        <v>9014</v>
      </c>
      <c r="AC184">
        <f t="shared" si="56"/>
        <v>9014</v>
      </c>
      <c r="BI184" s="40"/>
      <c r="BL184" s="40"/>
      <c r="BN184" s="19"/>
      <c r="BP184" s="17"/>
    </row>
    <row r="185" spans="1:68" x14ac:dyDescent="0.2">
      <c r="A185" t="str">
        <f t="shared" si="52"/>
        <v>x</v>
      </c>
      <c r="D185" s="26" t="s">
        <v>729</v>
      </c>
      <c r="E185" s="4"/>
      <c r="F185" s="46"/>
      <c r="G185" s="4"/>
      <c r="H185" s="48"/>
      <c r="I185" s="26">
        <v>24</v>
      </c>
      <c r="J185" s="26" t="str">
        <f t="shared" si="57"/>
        <v/>
      </c>
      <c r="N185" t="str">
        <f t="shared" si="59"/>
        <v/>
      </c>
      <c r="Q185" t="str">
        <f t="shared" si="58"/>
        <v/>
      </c>
      <c r="S185">
        <f>IF(A185=1,MAX($S$2:$S184)+1,IF(OR($I185&lt;&gt;"",A185="x"),$S184,""))</f>
        <v>95</v>
      </c>
      <c r="T185">
        <f>IF(D185=1,MAX($T$2:$T184)+1,IF(S185=S184,$T184,IF(D185="x",T184,IF(D184="x","",""))))</f>
        <v>14</v>
      </c>
      <c r="U185" t="str">
        <f>IF(B185=1,MAX($U$2:$U184)+1,IF(AND($T185&lt;&gt;"",$T185=$T184),$U184,IF(B185="x",U184,"")))</f>
        <v/>
      </c>
      <c r="V185" t="str">
        <f>IF(C185=1,MAX($V$2:$V184)+1,IF(AND($T185&lt;&gt;"",$T185=$T184),$U184,IF(C185="x",V184,"")))</f>
        <v/>
      </c>
      <c r="X185" cm="1">
        <f t="array" ref="X185">IF($I185&lt;&gt;"",$I185,INDEX($I$1:$I185,ROW()-COUNTIFS($T$1:$T185,"="&amp;$T185,$S$1:$S185,"&lt;"&amp;$S185)))</f>
        <v>24</v>
      </c>
      <c r="Z185" s="6">
        <f t="shared" si="53"/>
        <v>1</v>
      </c>
      <c r="AA185">
        <f t="shared" si="54"/>
        <v>1095</v>
      </c>
      <c r="AB185">
        <f t="shared" si="55"/>
        <v>9014</v>
      </c>
      <c r="AC185">
        <f t="shared" si="56"/>
        <v>9014</v>
      </c>
      <c r="BI185" s="40"/>
      <c r="BL185" s="40"/>
      <c r="BN185" s="19"/>
      <c r="BP185" s="17"/>
    </row>
    <row r="186" spans="1:68" x14ac:dyDescent="0.2">
      <c r="A186">
        <f t="shared" si="52"/>
        <v>1</v>
      </c>
      <c r="D186" s="26" t="s">
        <v>729</v>
      </c>
      <c r="E186" s="4"/>
      <c r="F186" s="46"/>
      <c r="G186" s="4"/>
      <c r="H186" s="48"/>
      <c r="J186" s="26" t="s">
        <v>368</v>
      </c>
      <c r="K186" t="s">
        <v>9</v>
      </c>
      <c r="L186" t="s">
        <v>173</v>
      </c>
      <c r="M186" t="s">
        <v>74</v>
      </c>
      <c r="N186" t="str">
        <f t="shared" si="59"/>
        <v>u</v>
      </c>
      <c r="Q186" t="str">
        <f t="shared" si="58"/>
        <v/>
      </c>
      <c r="S186">
        <f>IF(A186=1,MAX($S$2:$S185)+1,IF(OR($I186&lt;&gt;"",A186="x"),$S185,""))</f>
        <v>96</v>
      </c>
      <c r="T186">
        <f>IF(D186=1,MAX($T$2:$T185)+1,IF(S186=S185,$T185,IF(D186="x",T185,IF(D185="x","",""))))</f>
        <v>14</v>
      </c>
      <c r="U186" t="str">
        <f>IF(B186=1,MAX($U$2:$U185)+1,IF(AND($T186&lt;&gt;"",$T186=$T185),$U185,IF(B186="x",U185,"")))</f>
        <v/>
      </c>
      <c r="V186" t="str">
        <f>IF(C186=1,MAX($V$2:$V185)+1,IF(AND($T186&lt;&gt;"",$T186=$T185),$U185,IF(C186="x",V185,"")))</f>
        <v/>
      </c>
      <c r="X186" cm="1">
        <f t="array" ref="X186">IF($I186&lt;&gt;"",$I186,INDEX($I$1:$I186,ROW()-COUNTIFS($T$1:$T186,"="&amp;$T186,$S$1:$S186,"&lt;"&amp;$S186)))</f>
        <v>70</v>
      </c>
      <c r="Z186" s="6">
        <f t="shared" si="53"/>
        <v>1</v>
      </c>
      <c r="AA186">
        <f t="shared" si="54"/>
        <v>1096</v>
      </c>
      <c r="AB186">
        <f t="shared" si="55"/>
        <v>9014</v>
      </c>
      <c r="AC186">
        <f t="shared" si="56"/>
        <v>9014</v>
      </c>
      <c r="BI186" s="40"/>
      <c r="BL186" s="40"/>
      <c r="BN186" s="19"/>
      <c r="BP186" s="17"/>
    </row>
    <row r="187" spans="1:68" x14ac:dyDescent="0.2">
      <c r="A187" t="str">
        <f t="shared" si="52"/>
        <v>x</v>
      </c>
      <c r="D187" s="26" t="s">
        <v>729</v>
      </c>
      <c r="E187" s="4"/>
      <c r="F187" s="46"/>
      <c r="G187" s="4"/>
      <c r="H187" s="48"/>
      <c r="J187" s="26" t="str">
        <f t="shared" si="57"/>
        <v/>
      </c>
      <c r="N187" t="str">
        <f t="shared" si="59"/>
        <v/>
      </c>
      <c r="Q187" t="str">
        <f t="shared" si="58"/>
        <v/>
      </c>
      <c r="S187">
        <f>IF(A187=1,MAX($S$2:$S186)+1,IF(OR($I187&lt;&gt;"",A187="x"),$S186,""))</f>
        <v>96</v>
      </c>
      <c r="T187">
        <f>IF(D187=1,MAX($T$2:$T186)+1,IF(S187=S186,$T186,IF(D187="x",T186,IF(D186="x","",""))))</f>
        <v>14</v>
      </c>
      <c r="U187" t="str">
        <f>IF(B187=1,MAX($U$2:$U186)+1,IF(AND($T187&lt;&gt;"",$T187=$T186),$U186,IF(B187="x",U186,"")))</f>
        <v/>
      </c>
      <c r="V187" t="str">
        <f>IF(C187=1,MAX($V$2:$V186)+1,IF(AND($T187&lt;&gt;"",$T187=$T186),$U186,IF(C187="x",V186,"")))</f>
        <v/>
      </c>
      <c r="X187" cm="1">
        <f t="array" ref="X187">IF($I187&lt;&gt;"",$I187,INDEX($I$1:$I187,ROW()-COUNTIFS($T$1:$T187,"="&amp;$T187,$S$1:$S187,"&lt;"&amp;$S187)))</f>
        <v>24</v>
      </c>
      <c r="Z187" s="6">
        <f t="shared" si="53"/>
        <v>1</v>
      </c>
      <c r="AA187">
        <f t="shared" si="54"/>
        <v>1096</v>
      </c>
      <c r="AB187">
        <f t="shared" si="55"/>
        <v>9014</v>
      </c>
      <c r="AC187">
        <f t="shared" si="56"/>
        <v>9014</v>
      </c>
      <c r="BI187" s="40"/>
      <c r="BL187" s="40"/>
      <c r="BN187" s="19"/>
      <c r="BP187" s="17"/>
    </row>
    <row r="188" spans="1:68" x14ac:dyDescent="0.2">
      <c r="A188">
        <f t="shared" si="52"/>
        <v>1</v>
      </c>
      <c r="E188" s="4"/>
      <c r="F188" s="46"/>
      <c r="G188" s="4"/>
      <c r="H188" s="48" t="s">
        <v>748</v>
      </c>
      <c r="I188" s="26">
        <v>69</v>
      </c>
      <c r="J188" s="26" t="s">
        <v>736</v>
      </c>
      <c r="K188" t="s">
        <v>13</v>
      </c>
      <c r="L188" t="s">
        <v>586</v>
      </c>
      <c r="N188" t="s">
        <v>594</v>
      </c>
      <c r="O188" t="s">
        <v>907</v>
      </c>
      <c r="Q188" t="str">
        <f t="shared" si="58"/>
        <v>u</v>
      </c>
      <c r="S188">
        <f>IF(A188=1,MAX($S$2:$S187)+1,IF(OR($I188&lt;&gt;"",A188="x"),$S187,""))</f>
        <v>97</v>
      </c>
      <c r="T188" t="str">
        <f>IF(D188=1,MAX($T$2:$T187)+1,IF(S188=S187,$T187,IF(D188="x",T187,IF(D187="x","",""))))</f>
        <v/>
      </c>
      <c r="U188" t="str">
        <f>IF(B188=1,MAX($U$2:$U187)+1,IF(AND($T188&lt;&gt;"",$T188=$T187),$U187,IF(B188="x",U187,"")))</f>
        <v/>
      </c>
      <c r="V188" t="str">
        <f>IF(C188=1,MAX($V$2:$V187)+1,IF(AND($T188&lt;&gt;"",$T188=$T187),$U187,IF(C188="x",V187,"")))</f>
        <v/>
      </c>
      <c r="X188" cm="1">
        <f t="array" ref="X188">IF($I188&lt;&gt;"",$I188,INDEX($I$1:$I188,ROW()-COUNTIFS($T$1:$T188,"="&amp;$T188,$S$1:$S188,"&lt;"&amp;$S188)))</f>
        <v>69</v>
      </c>
      <c r="Z188" s="6">
        <f t="shared" si="53"/>
        <v>1</v>
      </c>
      <c r="AA188">
        <f t="shared" si="54"/>
        <v>1097</v>
      </c>
      <c r="AB188" t="str">
        <f t="shared" si="55"/>
        <v/>
      </c>
      <c r="AC188">
        <f t="shared" si="56"/>
        <v>1097</v>
      </c>
      <c r="BI188" s="40"/>
      <c r="BL188" s="40"/>
      <c r="BN188" s="19"/>
      <c r="BP188" s="17"/>
    </row>
    <row r="189" spans="1:68" x14ac:dyDescent="0.2">
      <c r="A189">
        <f t="shared" si="52"/>
        <v>1</v>
      </c>
      <c r="D189" s="26">
        <v>1</v>
      </c>
      <c r="E189" s="4"/>
      <c r="F189" s="46"/>
      <c r="G189" s="4"/>
      <c r="H189" s="48"/>
      <c r="I189" s="26">
        <v>69</v>
      </c>
      <c r="J189" s="26" t="str">
        <f t="shared" si="57"/>
        <v>d</v>
      </c>
      <c r="K189" t="s">
        <v>238</v>
      </c>
      <c r="L189" t="s">
        <v>184</v>
      </c>
      <c r="M189" t="s">
        <v>376</v>
      </c>
      <c r="N189" t="str">
        <f t="shared" si="59"/>
        <v>u</v>
      </c>
      <c r="O189" t="s">
        <v>576</v>
      </c>
      <c r="Q189" t="str">
        <f t="shared" si="58"/>
        <v>u</v>
      </c>
      <c r="S189">
        <f>IF(A189=1,MAX($S$2:$S188)+1,IF(OR($I189&lt;&gt;"",A189="x"),$S188,""))</f>
        <v>98</v>
      </c>
      <c r="T189">
        <f>IF(D189=1,MAX($T$2:$T188)+1,IF(S189=S188,$T188,IF(D189="x",T188,IF(D188="x","",""))))</f>
        <v>15</v>
      </c>
      <c r="U189" t="str">
        <f>IF(B189=1,MAX($U$2:$U188)+1,IF(AND($T189&lt;&gt;"",$T189=$T188),$U188,IF(B189="x",U188,"")))</f>
        <v/>
      </c>
      <c r="V189" t="str">
        <f>IF(C189=1,MAX($V$2:$V188)+1,IF(AND($T189&lt;&gt;"",$T189=$T188),$U188,IF(C189="x",V188,"")))</f>
        <v/>
      </c>
      <c r="X189" cm="1">
        <f t="array" ref="X189">IF($I189&lt;&gt;"",$I189,INDEX($I$1:$I189,ROW()-COUNTIFS($T$1:$T189,"="&amp;$T189,$S$1:$S189,"&lt;"&amp;$S189)))</f>
        <v>69</v>
      </c>
      <c r="Z189" s="6">
        <f t="shared" si="53"/>
        <v>1</v>
      </c>
      <c r="AA189">
        <f t="shared" si="54"/>
        <v>1098</v>
      </c>
      <c r="AB189">
        <f t="shared" si="55"/>
        <v>9015</v>
      </c>
      <c r="AC189">
        <f t="shared" si="56"/>
        <v>9015</v>
      </c>
      <c r="BI189" s="40"/>
      <c r="BL189" s="40"/>
      <c r="BN189" s="19"/>
      <c r="BP189" s="17"/>
    </row>
    <row r="190" spans="1:68" x14ac:dyDescent="0.2">
      <c r="A190">
        <f t="shared" si="52"/>
        <v>1</v>
      </c>
      <c r="D190" s="26" t="s">
        <v>729</v>
      </c>
      <c r="E190" s="4"/>
      <c r="F190" s="46"/>
      <c r="G190" s="4"/>
      <c r="H190" s="48"/>
      <c r="I190" s="26">
        <v>69</v>
      </c>
      <c r="J190" s="26" t="s">
        <v>736</v>
      </c>
      <c r="K190" t="s">
        <v>9</v>
      </c>
      <c r="L190" t="s">
        <v>173</v>
      </c>
      <c r="M190" t="s">
        <v>74</v>
      </c>
      <c r="N190" t="str">
        <f t="shared" si="59"/>
        <v>u</v>
      </c>
      <c r="Q190" t="str">
        <f t="shared" si="58"/>
        <v/>
      </c>
      <c r="S190">
        <f>IF(A190=1,MAX($S$2:$S189)+1,IF(OR($I190&lt;&gt;"",A190="x"),$S189,""))</f>
        <v>99</v>
      </c>
      <c r="T190">
        <f>IF(D190=1,MAX($T$2:$T189)+1,IF(S190=S189,$T189,IF(D190="x",T189,IF(D189="x","",""))))</f>
        <v>15</v>
      </c>
      <c r="U190" t="str">
        <f>IF(B190=1,MAX($U$2:$U189)+1,IF(AND($T190&lt;&gt;"",$T190=$T189),$U189,IF(B190="x",U189,"")))</f>
        <v/>
      </c>
      <c r="V190" t="str">
        <f>IF(C190=1,MAX($V$2:$V189)+1,IF(AND($T190&lt;&gt;"",$T190=$T189),$U189,IF(C190="x",V189,"")))</f>
        <v/>
      </c>
      <c r="X190" cm="1">
        <f t="array" ref="X190">IF($I190&lt;&gt;"",$I190,INDEX($I$1:$I190,ROW()-COUNTIFS($T$1:$T190,"="&amp;$T190,$S$1:$S190,"&lt;"&amp;$S190)))</f>
        <v>69</v>
      </c>
      <c r="Z190" s="6">
        <f t="shared" si="53"/>
        <v>1</v>
      </c>
      <c r="AA190">
        <f t="shared" si="54"/>
        <v>1099</v>
      </c>
      <c r="AB190">
        <f t="shared" si="55"/>
        <v>9015</v>
      </c>
      <c r="AC190">
        <f t="shared" si="56"/>
        <v>9015</v>
      </c>
      <c r="BI190" s="40"/>
      <c r="BL190" s="40"/>
      <c r="BN190" s="19"/>
      <c r="BP190" s="17"/>
    </row>
    <row r="191" spans="1:68" x14ac:dyDescent="0.2">
      <c r="A191">
        <f t="shared" si="52"/>
        <v>1</v>
      </c>
      <c r="E191" s="4" t="s">
        <v>745</v>
      </c>
      <c r="F191" s="46" t="s">
        <v>1028</v>
      </c>
      <c r="G191" s="4"/>
      <c r="H191" s="48"/>
      <c r="I191" s="26">
        <v>84</v>
      </c>
      <c r="J191" s="26" t="s">
        <v>734</v>
      </c>
      <c r="K191" t="s">
        <v>13</v>
      </c>
      <c r="L191" t="s">
        <v>586</v>
      </c>
      <c r="N191" t="s">
        <v>594</v>
      </c>
      <c r="O191" t="s">
        <v>912</v>
      </c>
      <c r="Q191" t="str">
        <f t="shared" si="58"/>
        <v>u</v>
      </c>
      <c r="S191">
        <f>IF(A191=1,MAX($S$2:$S190)+1,IF(OR($I191&lt;&gt;"",A191="x"),$S190,""))</f>
        <v>100</v>
      </c>
      <c r="T191" t="str">
        <f>IF(D191=1,MAX($T$2:$T190)+1,IF(S191=S190,$T190,IF(D191="x",T190,IF(D190="x","",""))))</f>
        <v/>
      </c>
      <c r="U191" t="str">
        <f>IF(B191=1,MAX($U$2:$U190)+1,IF(AND($T191&lt;&gt;"",$T191=$T190),$U190,IF(B191="x",U190,"")))</f>
        <v/>
      </c>
      <c r="V191" t="str">
        <f>IF(C191=1,MAX($V$2:$V190)+1,IF(AND($T191&lt;&gt;"",$T191=$T190),$U190,IF(C191="x",V190,"")))</f>
        <v/>
      </c>
      <c r="X191" cm="1">
        <f t="array" ref="X191">IF($I191&lt;&gt;"",$I191,INDEX($I$1:$I191,ROW()-COUNTIFS($T$1:$T191,"="&amp;$T191,$S$1:$S191,"&lt;"&amp;$S191)))</f>
        <v>84</v>
      </c>
      <c r="Z191" s="6">
        <f t="shared" si="53"/>
        <v>1</v>
      </c>
      <c r="AA191">
        <f t="shared" si="54"/>
        <v>1100</v>
      </c>
      <c r="AB191" t="str">
        <f t="shared" si="55"/>
        <v/>
      </c>
      <c r="AC191">
        <f t="shared" si="56"/>
        <v>1100</v>
      </c>
      <c r="BI191" s="40"/>
      <c r="BL191" s="40"/>
      <c r="BN191" s="19"/>
      <c r="BP191" s="17"/>
    </row>
    <row r="192" spans="1:68" x14ac:dyDescent="0.2">
      <c r="A192">
        <f t="shared" si="52"/>
        <v>1</v>
      </c>
      <c r="D192" s="26">
        <v>1</v>
      </c>
      <c r="E192" s="4"/>
      <c r="F192" s="46"/>
      <c r="G192" s="4"/>
      <c r="H192" s="48"/>
      <c r="I192" s="26">
        <v>84</v>
      </c>
      <c r="J192" s="26" t="s">
        <v>734</v>
      </c>
      <c r="K192" t="s">
        <v>238</v>
      </c>
      <c r="L192" t="s">
        <v>174</v>
      </c>
      <c r="M192" t="s">
        <v>87</v>
      </c>
      <c r="N192" t="s">
        <v>594</v>
      </c>
      <c r="O192" t="s">
        <v>576</v>
      </c>
      <c r="Q192" t="str">
        <f t="shared" si="58"/>
        <v>u</v>
      </c>
      <c r="S192">
        <f>IF(A192=1,MAX($S$2:$S191)+1,IF(OR($I192&lt;&gt;"",A192="x"),$S191,""))</f>
        <v>101</v>
      </c>
      <c r="T192">
        <f>IF(D192=1,MAX($T$2:$T191)+1,IF(S192=S191,$T191,IF(D192="x",T191,IF(D191="x","",""))))</f>
        <v>16</v>
      </c>
      <c r="U192" t="str">
        <f>IF(B192=1,MAX($U$2:$U191)+1,IF(AND($T192&lt;&gt;"",$T192=$T191),$U191,IF(B192="x",U191,"")))</f>
        <v/>
      </c>
      <c r="V192" t="str">
        <f>IF(C192=1,MAX($V$2:$V191)+1,IF(AND($T192&lt;&gt;"",$T192=$T191),$U191,IF(C192="x",V191,"")))</f>
        <v/>
      </c>
      <c r="X192" cm="1">
        <f t="array" ref="X192">IF($I192&lt;&gt;"",$I192,INDEX($I$1:$I192,ROW()-COUNTIFS($T$1:$T192,"="&amp;$T192,$S$1:$S192,"&lt;"&amp;$S192)))</f>
        <v>84</v>
      </c>
      <c r="Z192" s="6">
        <f t="shared" si="53"/>
        <v>1</v>
      </c>
      <c r="AA192">
        <f t="shared" si="54"/>
        <v>1101</v>
      </c>
      <c r="AB192">
        <f t="shared" si="55"/>
        <v>9016</v>
      </c>
      <c r="AC192">
        <f t="shared" si="56"/>
        <v>9016</v>
      </c>
      <c r="BI192" s="40"/>
      <c r="BL192" s="40"/>
      <c r="BN192" s="19"/>
      <c r="BP192" s="17"/>
    </row>
    <row r="193" spans="1:68" x14ac:dyDescent="0.2">
      <c r="A193">
        <f t="shared" si="52"/>
        <v>1</v>
      </c>
      <c r="D193" s="26" t="s">
        <v>729</v>
      </c>
      <c r="E193" s="4"/>
      <c r="F193" s="46"/>
      <c r="G193" s="4"/>
      <c r="H193" s="48"/>
      <c r="I193" s="26">
        <v>84</v>
      </c>
      <c r="J193" s="26" t="s">
        <v>734</v>
      </c>
      <c r="K193" t="s">
        <v>9</v>
      </c>
      <c r="L193" t="s">
        <v>173</v>
      </c>
      <c r="M193" t="s">
        <v>354</v>
      </c>
      <c r="N193" t="str">
        <f t="shared" si="59"/>
        <v>u</v>
      </c>
      <c r="Q193" t="str">
        <f t="shared" si="58"/>
        <v/>
      </c>
      <c r="S193">
        <f>IF(A193=1,MAX($S$2:$S192)+1,IF(OR($I193&lt;&gt;"",A193="x"),$S192,""))</f>
        <v>102</v>
      </c>
      <c r="T193">
        <f>IF(D193=1,MAX($T$2:$T192)+1,IF(S193=S192,$T192,IF(D193="x",T192,IF(D192="x","",""))))</f>
        <v>16</v>
      </c>
      <c r="U193" t="str">
        <f>IF(B193=1,MAX($U$2:$U192)+1,IF(AND($T193&lt;&gt;"",$T193=$T192),$U192,IF(B193="x",U192,"")))</f>
        <v/>
      </c>
      <c r="V193" t="str">
        <f>IF(C193=1,MAX($V$2:$V192)+1,IF(AND($T193&lt;&gt;"",$T193=$T192),$U192,IF(C193="x",V192,"")))</f>
        <v/>
      </c>
      <c r="X193" cm="1">
        <f t="array" ref="X193">IF($I193&lt;&gt;"",$I193,INDEX($I$1:$I193,ROW()-COUNTIFS($T$1:$T193,"="&amp;$T193,$S$1:$S193,"&lt;"&amp;$S193)))</f>
        <v>84</v>
      </c>
      <c r="Z193" s="6">
        <f t="shared" si="53"/>
        <v>1</v>
      </c>
      <c r="AA193">
        <f t="shared" si="54"/>
        <v>1102</v>
      </c>
      <c r="AB193">
        <f t="shared" si="55"/>
        <v>9016</v>
      </c>
      <c r="AC193">
        <f t="shared" si="56"/>
        <v>9016</v>
      </c>
      <c r="BI193" s="40"/>
      <c r="BL193" s="40"/>
      <c r="BN193" s="19"/>
      <c r="BP193" s="17"/>
    </row>
    <row r="194" spans="1:68" x14ac:dyDescent="0.2">
      <c r="A194">
        <f t="shared" si="52"/>
        <v>1</v>
      </c>
      <c r="E194" s="4" t="s">
        <v>745</v>
      </c>
      <c r="F194" s="46" t="s">
        <v>733</v>
      </c>
      <c r="G194" s="4" t="s">
        <v>745</v>
      </c>
      <c r="H194" s="48" t="s">
        <v>753</v>
      </c>
      <c r="I194" s="26">
        <v>41</v>
      </c>
      <c r="J194" s="26" t="s">
        <v>736</v>
      </c>
      <c r="K194" t="s">
        <v>13</v>
      </c>
      <c r="L194" t="s">
        <v>586</v>
      </c>
      <c r="N194" t="s">
        <v>594</v>
      </c>
      <c r="O194" t="s">
        <v>904</v>
      </c>
      <c r="Q194" t="str">
        <f t="shared" si="58"/>
        <v>u</v>
      </c>
      <c r="S194">
        <f>IF(A194=1,MAX($S$2:$S193)+1,IF(OR($I194&lt;&gt;"",A194="x"),$S193,""))</f>
        <v>103</v>
      </c>
      <c r="T194" t="str">
        <f>IF(D194=1,MAX($T$2:$T193)+1,IF(S194=S193,$T193,IF(D194="x",T193,IF(D193="x","",""))))</f>
        <v/>
      </c>
      <c r="U194" t="str">
        <f>IF(B194=1,MAX($U$2:$U193)+1,IF(AND($T194&lt;&gt;"",$T194=$T193),$U193,IF(B194="x",U193,"")))</f>
        <v/>
      </c>
      <c r="V194" t="str">
        <f>IF(C194=1,MAX($V$2:$V193)+1,IF(AND($T194&lt;&gt;"",$T194=$T193),$U193,IF(C194="x",V193,"")))</f>
        <v/>
      </c>
      <c r="X194" cm="1">
        <f t="array" ref="X194">IF($I194&lt;&gt;"",$I194,INDEX($I$1:$I194,ROW()-COUNTIFS($T$1:$T194,"="&amp;$T194,$S$1:$S194,"&lt;"&amp;$S194)))</f>
        <v>41</v>
      </c>
      <c r="Z194" s="6">
        <f t="shared" si="53"/>
        <v>1</v>
      </c>
      <c r="AA194">
        <f t="shared" si="54"/>
        <v>1103</v>
      </c>
      <c r="AB194" t="str">
        <f t="shared" si="55"/>
        <v/>
      </c>
      <c r="AC194">
        <f t="shared" si="56"/>
        <v>1103</v>
      </c>
      <c r="BI194" s="40"/>
      <c r="BL194" s="40"/>
      <c r="BN194" s="19"/>
      <c r="BP194" s="17"/>
    </row>
    <row r="195" spans="1:68" x14ac:dyDescent="0.2">
      <c r="A195">
        <f t="shared" si="52"/>
        <v>1</v>
      </c>
      <c r="D195" s="26">
        <v>1</v>
      </c>
      <c r="E195" s="4"/>
      <c r="F195" s="46"/>
      <c r="G195" s="4"/>
      <c r="H195" s="48"/>
      <c r="I195" s="26">
        <v>41</v>
      </c>
      <c r="J195" s="26" t="str">
        <f t="shared" si="57"/>
        <v/>
      </c>
      <c r="K195" t="s">
        <v>7</v>
      </c>
      <c r="L195" t="s">
        <v>199</v>
      </c>
      <c r="M195" t="s">
        <v>68</v>
      </c>
      <c r="N195" t="str">
        <f t="shared" si="59"/>
        <v>u</v>
      </c>
      <c r="O195" t="s">
        <v>767</v>
      </c>
      <c r="Q195" t="str">
        <f t="shared" si="58"/>
        <v>u</v>
      </c>
      <c r="S195">
        <f>IF(A195=1,MAX($S$2:$S194)+1,IF(OR($I195&lt;&gt;"",A195="x"),$S194,""))</f>
        <v>104</v>
      </c>
      <c r="T195">
        <f>IF(D195=1,MAX($T$2:$T194)+1,IF(S195=S194,$T194,IF(D195="x",T194,IF(D194="x","",""))))</f>
        <v>17</v>
      </c>
      <c r="U195" t="str">
        <f>IF(B195=1,MAX($U$2:$U194)+1,IF(AND($T195&lt;&gt;"",$T195=$T194),$U194,IF(B195="x",U194,"")))</f>
        <v/>
      </c>
      <c r="V195" t="str">
        <f>IF(C195=1,MAX($V$2:$V194)+1,IF(AND($T195&lt;&gt;"",$T195=$T194),$U194,IF(C195="x",V194,"")))</f>
        <v/>
      </c>
      <c r="X195" cm="1">
        <f t="array" ref="X195">IF($I195&lt;&gt;"",$I195,INDEX($I$1:$I195,ROW()-COUNTIFS($T$1:$T195,"="&amp;$T195,$S$1:$S195,"&lt;"&amp;$S195)))</f>
        <v>41</v>
      </c>
      <c r="Z195" s="6">
        <f t="shared" si="53"/>
        <v>1</v>
      </c>
      <c r="AA195">
        <f t="shared" si="54"/>
        <v>1104</v>
      </c>
      <c r="AB195">
        <f t="shared" si="55"/>
        <v>9017</v>
      </c>
      <c r="AC195">
        <f t="shared" si="56"/>
        <v>9017</v>
      </c>
      <c r="BI195" s="40"/>
      <c r="BL195" s="40"/>
      <c r="BN195" s="19"/>
      <c r="BP195" s="17"/>
    </row>
    <row r="196" spans="1:68" x14ac:dyDescent="0.2">
      <c r="A196" t="str">
        <f t="shared" si="52"/>
        <v>x</v>
      </c>
      <c r="D196" s="26" t="s">
        <v>729</v>
      </c>
      <c r="E196" s="4"/>
      <c r="F196" s="46"/>
      <c r="G196" s="4"/>
      <c r="H196" s="48"/>
      <c r="I196" s="26">
        <v>73</v>
      </c>
      <c r="J196" s="26" t="str">
        <f t="shared" si="57"/>
        <v/>
      </c>
      <c r="N196" t="str">
        <f t="shared" si="59"/>
        <v/>
      </c>
      <c r="Q196" t="str">
        <f t="shared" si="58"/>
        <v/>
      </c>
      <c r="S196">
        <f>IF(A196=1,MAX($S$2:$S195)+1,IF(OR($I196&lt;&gt;"",A196="x"),$S195,""))</f>
        <v>104</v>
      </c>
      <c r="T196">
        <f>IF(D196=1,MAX($T$2:$T195)+1,IF(S196=S195,$T195,IF(D196="x",T195,IF(D195="x","",""))))</f>
        <v>17</v>
      </c>
      <c r="U196" t="str">
        <f>IF(B196=1,MAX($U$2:$U195)+1,IF(AND($T196&lt;&gt;"",$T196=$T195),$U195,IF(B196="x",U195,"")))</f>
        <v/>
      </c>
      <c r="V196" t="str">
        <f>IF(C196=1,MAX($V$2:$V195)+1,IF(AND($T196&lt;&gt;"",$T196=$T195),$U195,IF(C196="x",V195,"")))</f>
        <v/>
      </c>
      <c r="X196" cm="1">
        <f t="array" ref="X196">IF($I196&lt;&gt;"",$I196,INDEX($I$1:$I196,ROW()-COUNTIFS($T$1:$T196,"="&amp;$T196,$S$1:$S196,"&lt;"&amp;$S196)))</f>
        <v>73</v>
      </c>
      <c r="Z196" s="6">
        <f t="shared" si="53"/>
        <v>1</v>
      </c>
      <c r="AA196">
        <f t="shared" si="54"/>
        <v>1104</v>
      </c>
      <c r="AB196">
        <f t="shared" si="55"/>
        <v>9017</v>
      </c>
      <c r="AC196">
        <f t="shared" si="56"/>
        <v>9017</v>
      </c>
      <c r="BI196" s="40"/>
      <c r="BL196" s="40"/>
      <c r="BN196" s="19"/>
      <c r="BP196" s="17"/>
    </row>
    <row r="197" spans="1:68" x14ac:dyDescent="0.2">
      <c r="A197" t="str">
        <f t="shared" ref="A197:A260" si="60">IF(K197&lt;&gt;"",1,IF(D197="x","x",""))</f>
        <v>x</v>
      </c>
      <c r="D197" s="26" t="s">
        <v>729</v>
      </c>
      <c r="E197" s="4"/>
      <c r="F197" s="46"/>
      <c r="G197" s="4"/>
      <c r="H197" s="48"/>
      <c r="I197" s="26">
        <v>70</v>
      </c>
      <c r="J197" s="26" t="str">
        <f t="shared" si="57"/>
        <v/>
      </c>
      <c r="N197" t="str">
        <f t="shared" si="59"/>
        <v/>
      </c>
      <c r="O197" t="s">
        <v>557</v>
      </c>
      <c r="Q197" t="s">
        <v>595</v>
      </c>
      <c r="S197">
        <f>IF(A197=1,MAX($S$2:$S196)+1,IF(OR($I197&lt;&gt;"",A197="x"),$S196,""))</f>
        <v>104</v>
      </c>
      <c r="T197">
        <f>IF(D197=1,MAX($T$2:$T196)+1,IF(S197=S196,$T196,IF(D197="x",T196,IF(D196="x","",""))))</f>
        <v>17</v>
      </c>
      <c r="U197" t="str">
        <f>IF(B197=1,MAX($U$2:$U196)+1,IF(AND($T197&lt;&gt;"",$T197=$T196),$U196,IF(B197="x",U196,"")))</f>
        <v/>
      </c>
      <c r="V197" t="str">
        <f>IF(C197=1,MAX($V$2:$V196)+1,IF(AND($T197&lt;&gt;"",$T197=$T196),$U196,IF(C197="x",V196,"")))</f>
        <v/>
      </c>
      <c r="X197" cm="1">
        <f t="array" ref="X197">IF($I197&lt;&gt;"",$I197,INDEX($I$1:$I197,ROW()-COUNTIFS($T$1:$T197,"="&amp;$T197,$S$1:$S197,"&lt;"&amp;$S197)))</f>
        <v>70</v>
      </c>
      <c r="Z197" s="6">
        <f t="shared" ref="Z197:Z260" si="61">IF(K197="Intermission",Z196+1,Z196)</f>
        <v>1</v>
      </c>
      <c r="AA197">
        <f t="shared" ref="AA197:AA260" si="62">S197+1000</f>
        <v>1104</v>
      </c>
      <c r="AB197">
        <f t="shared" ref="AB197:AB260" si="63">IF(T197&lt;&gt;"",9000+T197,"")</f>
        <v>9017</v>
      </c>
      <c r="AC197">
        <f t="shared" ref="AC197:AC260" si="64">IF(AB197&lt;&gt;"",AB197,S197+1000)</f>
        <v>9017</v>
      </c>
      <c r="BI197" s="40"/>
      <c r="BL197" s="40"/>
      <c r="BN197" s="19"/>
      <c r="BP197" s="17"/>
    </row>
    <row r="198" spans="1:68" x14ac:dyDescent="0.2">
      <c r="A198">
        <f t="shared" si="60"/>
        <v>1</v>
      </c>
      <c r="D198" s="26" t="s">
        <v>729</v>
      </c>
      <c r="E198" s="4"/>
      <c r="F198" s="46"/>
      <c r="G198" s="4"/>
      <c r="H198" s="48"/>
      <c r="J198" s="26" t="str">
        <f t="shared" ref="J198:J260" si="65">IF(OR(K198="Goal",K198="Shot",L198="Zone_Entry",M198="Stoppage-Goal",M197="Stoppage-Goal"),"o",IF(OR(K198="Save",K198="Rebound",L198="Zone_Exit",M198="Stoppage-GoalieStoppage",M197="Stoppage-GoalieStoppage"),"d",IF(OR(L198="Faceoff_AfterGoal",L198="Faceoff_PeriodStart",698="Faceoff_GameStart",M197="Stoppage-Goal"),"n","")))</f>
        <v>d</v>
      </c>
      <c r="K198" t="s">
        <v>238</v>
      </c>
      <c r="L198" t="s">
        <v>184</v>
      </c>
      <c r="M198" t="s">
        <v>376</v>
      </c>
      <c r="N198" t="str">
        <f t="shared" si="59"/>
        <v>u</v>
      </c>
      <c r="Q198" t="str">
        <f t="shared" si="58"/>
        <v/>
      </c>
      <c r="S198">
        <f>IF(A198=1,MAX($S$2:$S197)+1,IF(OR($I198&lt;&gt;"",A198="x"),$S197,""))</f>
        <v>105</v>
      </c>
      <c r="T198">
        <f>IF(D198=1,MAX($T$2:$T197)+1,IF(S198=S197,$T197,IF(D198="x",T197,IF(D197="x","",""))))</f>
        <v>17</v>
      </c>
      <c r="U198" t="str">
        <f>IF(B198=1,MAX($U$2:$U197)+1,IF(AND($T198&lt;&gt;"",$T198=$T197),$U197,IF(B198="x",U197,"")))</f>
        <v/>
      </c>
      <c r="V198" t="str">
        <f>IF(C198=1,MAX($V$2:$V197)+1,IF(AND($T198&lt;&gt;"",$T198=$T197),$U197,IF(C198="x",V197,"")))</f>
        <v/>
      </c>
      <c r="X198" cm="1">
        <f t="array" ref="X198">IF($I198&lt;&gt;"",$I198,INDEX($I$1:$I198,ROW()-COUNTIFS($T$1:$T198,"="&amp;$T198,$S$1:$S198,"&lt;"&amp;$S198)))</f>
        <v>41</v>
      </c>
      <c r="Z198" s="6">
        <f t="shared" si="61"/>
        <v>1</v>
      </c>
      <c r="AA198">
        <f t="shared" si="62"/>
        <v>1105</v>
      </c>
      <c r="AB198">
        <f t="shared" si="63"/>
        <v>9017</v>
      </c>
      <c r="AC198">
        <f t="shared" si="64"/>
        <v>9017</v>
      </c>
      <c r="BI198" s="40"/>
      <c r="BL198" s="40"/>
      <c r="BN198" s="19"/>
      <c r="BP198" s="17"/>
    </row>
    <row r="199" spans="1:68" x14ac:dyDescent="0.2">
      <c r="A199" t="str">
        <f t="shared" si="60"/>
        <v>x</v>
      </c>
      <c r="D199" s="26" t="s">
        <v>729</v>
      </c>
      <c r="E199" s="4"/>
      <c r="F199" s="46"/>
      <c r="G199" s="4"/>
      <c r="H199" s="48"/>
      <c r="J199" s="26" t="str">
        <f t="shared" si="65"/>
        <v/>
      </c>
      <c r="N199" t="str">
        <f t="shared" si="59"/>
        <v/>
      </c>
      <c r="Q199" t="str">
        <f t="shared" si="58"/>
        <v/>
      </c>
      <c r="S199">
        <f>IF(A199=1,MAX($S$2:$S198)+1,IF(OR($I199&lt;&gt;"",A199="x"),$S198,""))</f>
        <v>105</v>
      </c>
      <c r="T199">
        <f>IF(D199=1,MAX($T$2:$T198)+1,IF(S199=S198,$T198,IF(D199="x",T198,IF(D198="x","",""))))</f>
        <v>17</v>
      </c>
      <c r="U199" t="str">
        <f>IF(B199=1,MAX($U$2:$U198)+1,IF(AND($T199&lt;&gt;"",$T199=$T198),$U198,IF(B199="x",U198,"")))</f>
        <v/>
      </c>
      <c r="V199" t="str">
        <f>IF(C199=1,MAX($V$2:$V198)+1,IF(AND($T199&lt;&gt;"",$T199=$T198),$U198,IF(C199="x",V198,"")))</f>
        <v/>
      </c>
      <c r="X199" cm="1">
        <f t="array" ref="X199">IF($I199&lt;&gt;"",$I199,INDEX($I$1:$I199,ROW()-COUNTIFS($T$1:$T199,"="&amp;$T199,$S$1:$S199,"&lt;"&amp;$S199)))</f>
        <v>73</v>
      </c>
      <c r="Z199" s="6">
        <f t="shared" si="61"/>
        <v>1</v>
      </c>
      <c r="AA199">
        <f t="shared" si="62"/>
        <v>1105</v>
      </c>
      <c r="AB199">
        <f t="shared" si="63"/>
        <v>9017</v>
      </c>
      <c r="AC199">
        <f t="shared" si="64"/>
        <v>9017</v>
      </c>
      <c r="BI199" s="40"/>
      <c r="BL199" s="40"/>
      <c r="BN199" s="19"/>
      <c r="BP199" s="17"/>
    </row>
    <row r="200" spans="1:68" x14ac:dyDescent="0.2">
      <c r="A200" t="str">
        <f t="shared" si="60"/>
        <v>x</v>
      </c>
      <c r="D200" s="26" t="s">
        <v>729</v>
      </c>
      <c r="E200" s="4"/>
      <c r="F200" s="46"/>
      <c r="G200" s="4"/>
      <c r="H200" s="48"/>
      <c r="J200" s="26" t="str">
        <f t="shared" si="65"/>
        <v/>
      </c>
      <c r="N200" t="str">
        <f t="shared" si="59"/>
        <v/>
      </c>
      <c r="Q200" t="str">
        <f t="shared" si="58"/>
        <v/>
      </c>
      <c r="S200">
        <f>IF(A200=1,MAX($S$2:$S199)+1,IF(OR($I200&lt;&gt;"",A200="x"),$S199,""))</f>
        <v>105</v>
      </c>
      <c r="T200">
        <f>IF(D200=1,MAX($T$2:$T199)+1,IF(S200=S199,$T199,IF(D200="x",T199,IF(D199="x","",""))))</f>
        <v>17</v>
      </c>
      <c r="U200" t="str">
        <f>IF(B200=1,MAX($U$2:$U199)+1,IF(AND($T200&lt;&gt;"",$T200=$T199),$U199,IF(B200="x",U199,"")))</f>
        <v/>
      </c>
      <c r="V200" t="str">
        <f>IF(C200=1,MAX($V$2:$V199)+1,IF(AND($T200&lt;&gt;"",$T200=$T199),$U199,IF(C200="x",V199,"")))</f>
        <v/>
      </c>
      <c r="X200" cm="1">
        <f t="array" ref="X200">IF($I200&lt;&gt;"",$I200,INDEX($I$1:$I200,ROW()-COUNTIFS($T$1:$T200,"="&amp;$T200,$S$1:$S200,"&lt;"&amp;$S200)))</f>
        <v>70</v>
      </c>
      <c r="Z200" s="6">
        <f t="shared" si="61"/>
        <v>1</v>
      </c>
      <c r="AA200">
        <f t="shared" si="62"/>
        <v>1105</v>
      </c>
      <c r="AB200">
        <f t="shared" si="63"/>
        <v>9017</v>
      </c>
      <c r="AC200">
        <f t="shared" si="64"/>
        <v>9017</v>
      </c>
      <c r="BI200" s="40"/>
      <c r="BL200" s="40"/>
      <c r="BN200" s="19"/>
      <c r="BP200" s="17"/>
    </row>
    <row r="201" spans="1:68" x14ac:dyDescent="0.2">
      <c r="A201">
        <f t="shared" si="60"/>
        <v>1</v>
      </c>
      <c r="D201" s="26" t="s">
        <v>729</v>
      </c>
      <c r="E201" s="4"/>
      <c r="F201" s="46"/>
      <c r="G201" s="4"/>
      <c r="H201" s="48"/>
      <c r="J201" s="26" t="str">
        <f t="shared" si="65"/>
        <v/>
      </c>
      <c r="K201" t="s">
        <v>9</v>
      </c>
      <c r="L201" t="s">
        <v>173</v>
      </c>
      <c r="M201" t="s">
        <v>73</v>
      </c>
      <c r="N201" t="str">
        <f t="shared" si="59"/>
        <v>u</v>
      </c>
      <c r="Q201" t="str">
        <f t="shared" si="58"/>
        <v/>
      </c>
      <c r="S201">
        <f>IF(A201=1,MAX($S$2:$S200)+1,IF(OR($I201&lt;&gt;"",A201="x"),$S200,""))</f>
        <v>106</v>
      </c>
      <c r="T201">
        <f>IF(D201=1,MAX($T$2:$T200)+1,IF(S201=S200,$T200,IF(D201="x",T200,IF(D200="x","",""))))</f>
        <v>17</v>
      </c>
      <c r="U201" t="str">
        <f>IF(B201=1,MAX($U$2:$U200)+1,IF(AND($T201&lt;&gt;"",$T201=$T200),$U200,IF(B201="x",U200,"")))</f>
        <v/>
      </c>
      <c r="V201" t="str">
        <f>IF(C201=1,MAX($V$2:$V200)+1,IF(AND($T201&lt;&gt;"",$T201=$T200),$U200,IF(C201="x",V200,"")))</f>
        <v/>
      </c>
      <c r="X201" cm="1">
        <f t="array" ref="X201">IF($I201&lt;&gt;"",$I201,INDEX($I$1:$I201,ROW()-COUNTIFS($T$1:$T201,"="&amp;$T201,$S$1:$S201,"&lt;"&amp;$S201)))</f>
        <v>41</v>
      </c>
      <c r="Z201" s="6">
        <f t="shared" si="61"/>
        <v>1</v>
      </c>
      <c r="AA201">
        <f t="shared" si="62"/>
        <v>1106</v>
      </c>
      <c r="AB201">
        <f t="shared" si="63"/>
        <v>9017</v>
      </c>
      <c r="AC201">
        <f t="shared" si="64"/>
        <v>9017</v>
      </c>
      <c r="BI201" s="40"/>
      <c r="BL201" s="40"/>
      <c r="BN201" s="19"/>
      <c r="BP201" s="17"/>
    </row>
    <row r="202" spans="1:68" x14ac:dyDescent="0.2">
      <c r="A202" t="str">
        <f t="shared" si="60"/>
        <v>x</v>
      </c>
      <c r="D202" s="26" t="s">
        <v>729</v>
      </c>
      <c r="E202" s="4"/>
      <c r="F202" s="46"/>
      <c r="G202" s="4"/>
      <c r="H202" s="48"/>
      <c r="J202" s="26" t="str">
        <f t="shared" si="65"/>
        <v/>
      </c>
      <c r="N202" t="str">
        <f t="shared" si="59"/>
        <v/>
      </c>
      <c r="Q202" t="str">
        <f t="shared" si="58"/>
        <v/>
      </c>
      <c r="S202">
        <f>IF(A202=1,MAX($S$2:$S201)+1,IF(OR($I202&lt;&gt;"",A202="x"),$S201,""))</f>
        <v>106</v>
      </c>
      <c r="T202">
        <f>IF(D202=1,MAX($T$2:$T201)+1,IF(S202=S201,$T201,IF(D202="x",T201,IF(D201="x","",""))))</f>
        <v>17</v>
      </c>
      <c r="U202" t="str">
        <f>IF(B202=1,MAX($U$2:$U201)+1,IF(AND($T202&lt;&gt;"",$T202=$T201),$U201,IF(B202="x",U201,"")))</f>
        <v/>
      </c>
      <c r="V202" t="str">
        <f>IF(C202=1,MAX($V$2:$V201)+1,IF(AND($T202&lt;&gt;"",$T202=$T201),$U201,IF(C202="x",V201,"")))</f>
        <v/>
      </c>
      <c r="X202" cm="1">
        <f t="array" ref="X202">IF($I202&lt;&gt;"",$I202,INDEX($I$1:$I202,ROW()-COUNTIFS($T$1:$T202,"="&amp;$T202,$S$1:$S202,"&lt;"&amp;$S202)))</f>
        <v>73</v>
      </c>
      <c r="Z202" s="6">
        <f t="shared" si="61"/>
        <v>1</v>
      </c>
      <c r="AA202">
        <f t="shared" si="62"/>
        <v>1106</v>
      </c>
      <c r="AB202">
        <f t="shared" si="63"/>
        <v>9017</v>
      </c>
      <c r="AC202">
        <f t="shared" si="64"/>
        <v>9017</v>
      </c>
      <c r="BI202" s="40"/>
      <c r="BL202" s="40"/>
      <c r="BN202" s="19"/>
      <c r="BP202" s="17"/>
    </row>
    <row r="203" spans="1:68" x14ac:dyDescent="0.2">
      <c r="A203" t="str">
        <f t="shared" si="60"/>
        <v>x</v>
      </c>
      <c r="D203" s="26" t="s">
        <v>729</v>
      </c>
      <c r="E203" s="4"/>
      <c r="F203" s="46"/>
      <c r="G203" s="4"/>
      <c r="H203" s="48"/>
      <c r="J203" s="26" t="str">
        <f t="shared" si="65"/>
        <v/>
      </c>
      <c r="N203" t="str">
        <f t="shared" si="59"/>
        <v/>
      </c>
      <c r="Q203" t="str">
        <f t="shared" si="58"/>
        <v/>
      </c>
      <c r="S203">
        <f>IF(A203=1,MAX($S$2:$S202)+1,IF(OR($I203&lt;&gt;"",A203="x"),$S202,""))</f>
        <v>106</v>
      </c>
      <c r="T203">
        <f>IF(D203=1,MAX($T$2:$T202)+1,IF(S203=S202,$T202,IF(D203="x",T202,IF(D202="x","",""))))</f>
        <v>17</v>
      </c>
      <c r="U203" t="str">
        <f>IF(B203=1,MAX($U$2:$U202)+1,IF(AND($T203&lt;&gt;"",$T203=$T202),$U202,IF(B203="x",U202,"")))</f>
        <v/>
      </c>
      <c r="V203" t="str">
        <f>IF(C203=1,MAX($V$2:$V202)+1,IF(AND($T203&lt;&gt;"",$T203=$T202),$U202,IF(C203="x",V202,"")))</f>
        <v/>
      </c>
      <c r="X203" cm="1">
        <f t="array" ref="X203">IF($I203&lt;&gt;"",$I203,INDEX($I$1:$I203,ROW()-COUNTIFS($T$1:$T203,"="&amp;$T203,$S$1:$S203,"&lt;"&amp;$S203)))</f>
        <v>70</v>
      </c>
      <c r="Z203" s="6">
        <f t="shared" si="61"/>
        <v>1</v>
      </c>
      <c r="AA203">
        <f t="shared" si="62"/>
        <v>1106</v>
      </c>
      <c r="AB203">
        <f t="shared" si="63"/>
        <v>9017</v>
      </c>
      <c r="AC203">
        <f t="shared" si="64"/>
        <v>9017</v>
      </c>
      <c r="BI203" s="40"/>
      <c r="BL203" s="40"/>
      <c r="BN203" s="19"/>
      <c r="BP203" s="17"/>
    </row>
    <row r="204" spans="1:68" x14ac:dyDescent="0.2">
      <c r="A204">
        <f t="shared" si="60"/>
        <v>1</v>
      </c>
      <c r="E204" s="4"/>
      <c r="F204" s="46" t="s">
        <v>1059</v>
      </c>
      <c r="G204" s="4"/>
      <c r="H204" s="48" t="s">
        <v>1053</v>
      </c>
      <c r="I204" s="26">
        <v>70</v>
      </c>
      <c r="J204" s="26" t="s">
        <v>734</v>
      </c>
      <c r="K204" t="s">
        <v>13</v>
      </c>
      <c r="N204" t="str">
        <f t="shared" si="59"/>
        <v/>
      </c>
      <c r="Q204" t="str">
        <f t="shared" si="58"/>
        <v/>
      </c>
      <c r="S204">
        <f>IF(A204=1,MAX($S$2:$S203)+1,IF(OR($I204&lt;&gt;"",A204="x"),$S203,""))</f>
        <v>107</v>
      </c>
      <c r="T204" t="str">
        <f>IF(D204=1,MAX($T$2:$T203)+1,IF(S204=S203,$T203,IF(D204="x",T203,IF(D203="x","",""))))</f>
        <v/>
      </c>
      <c r="U204" t="str">
        <f>IF(B204=1,MAX($U$2:$U203)+1,IF(AND($T204&lt;&gt;"",$T204=$T203),$U203,IF(B204="x",U203,"")))</f>
        <v/>
      </c>
      <c r="V204" t="str">
        <f>IF(C204=1,MAX($V$2:$V203)+1,IF(AND($T204&lt;&gt;"",$T204=$T203),$U203,IF(C204="x",V203,"")))</f>
        <v/>
      </c>
      <c r="X204" cm="1">
        <f t="array" ref="X204">IF($I204&lt;&gt;"",$I204,INDEX($I$1:$I204,ROW()-COUNTIFS($T$1:$T204,"="&amp;$T204,$S$1:$S204,"&lt;"&amp;$S204)))</f>
        <v>70</v>
      </c>
      <c r="Z204" s="6">
        <f t="shared" si="61"/>
        <v>1</v>
      </c>
      <c r="AA204">
        <f t="shared" si="62"/>
        <v>1107</v>
      </c>
      <c r="AB204" t="str">
        <f t="shared" si="63"/>
        <v/>
      </c>
      <c r="AC204">
        <f t="shared" si="64"/>
        <v>1107</v>
      </c>
      <c r="BI204" s="40"/>
      <c r="BL204" s="40"/>
      <c r="BN204" s="19"/>
      <c r="BP204" s="17"/>
    </row>
    <row r="205" spans="1:68" x14ac:dyDescent="0.2">
      <c r="A205" t="str">
        <f t="shared" si="60"/>
        <v/>
      </c>
      <c r="E205" s="4"/>
      <c r="F205" s="46"/>
      <c r="G205" s="4"/>
      <c r="H205" s="48"/>
      <c r="I205" s="26">
        <v>71</v>
      </c>
      <c r="J205" s="26" t="str">
        <f t="shared" si="65"/>
        <v/>
      </c>
      <c r="N205" t="str">
        <f t="shared" si="59"/>
        <v/>
      </c>
      <c r="Q205" t="str">
        <f t="shared" si="58"/>
        <v/>
      </c>
      <c r="S205">
        <f>IF(A205=1,MAX($S$2:$S204)+1,IF(OR($I205&lt;&gt;"",A205="x"),$S204,""))</f>
        <v>107</v>
      </c>
      <c r="T205" t="str">
        <f>IF(D205=1,MAX($T$2:$T204)+1,IF(S205=S204,$T204,IF(D205="x",T204,IF(D204="x","",""))))</f>
        <v/>
      </c>
      <c r="U205" t="str">
        <f>IF(B205=1,MAX($U$2:$U204)+1,IF(AND($T205&lt;&gt;"",$T205=$T204),$U204,IF(B205="x",U204,"")))</f>
        <v/>
      </c>
      <c r="V205" t="str">
        <f>IF(C205=1,MAX($V$2:$V204)+1,IF(AND($T205&lt;&gt;"",$T205=$T204),$U204,IF(C205="x",V204,"")))</f>
        <v/>
      </c>
      <c r="X205" cm="1">
        <f t="array" ref="X205">IF($I205&lt;&gt;"",$I205,INDEX($I$1:$I205,ROW()-COUNTIFS($T$1:$T205,"="&amp;$T205,$S$1:$S205,"&lt;"&amp;$S205)))</f>
        <v>71</v>
      </c>
      <c r="Z205" s="6">
        <f t="shared" si="61"/>
        <v>1</v>
      </c>
      <c r="AA205">
        <f t="shared" si="62"/>
        <v>1107</v>
      </c>
      <c r="AB205" t="str">
        <f t="shared" si="63"/>
        <v/>
      </c>
      <c r="AC205">
        <f t="shared" si="64"/>
        <v>1107</v>
      </c>
      <c r="BI205" s="40"/>
      <c r="BL205" s="40"/>
      <c r="BN205" s="19"/>
      <c r="BP205" s="17"/>
    </row>
    <row r="206" spans="1:68" x14ac:dyDescent="0.2">
      <c r="A206">
        <f t="shared" si="60"/>
        <v>1</v>
      </c>
      <c r="E206" s="4"/>
      <c r="F206" s="46"/>
      <c r="G206" s="4"/>
      <c r="H206" s="48" t="s">
        <v>1060</v>
      </c>
      <c r="I206" s="26">
        <v>70</v>
      </c>
      <c r="J206" s="26" t="str">
        <f t="shared" si="65"/>
        <v>o</v>
      </c>
      <c r="K206" t="s">
        <v>238</v>
      </c>
      <c r="L206" t="s">
        <v>174</v>
      </c>
      <c r="M206" t="s">
        <v>85</v>
      </c>
      <c r="N206" t="str">
        <f t="shared" si="59"/>
        <v>s</v>
      </c>
      <c r="O206" t="s">
        <v>548</v>
      </c>
      <c r="P206" t="s">
        <v>150</v>
      </c>
      <c r="Q206" t="str">
        <f t="shared" si="58"/>
        <v>s</v>
      </c>
      <c r="R206" s="26">
        <v>1</v>
      </c>
      <c r="S206">
        <f>IF(A206=1,MAX($S$2:$S205)+1,IF(OR($I206&lt;&gt;"",A206="x"),$S205,""))</f>
        <v>108</v>
      </c>
      <c r="T206" t="str">
        <f>IF(D206=1,MAX($T$2:$T205)+1,IF(S206=S205,$T205,IF(D206="x",T205,IF(D205="x","",""))))</f>
        <v/>
      </c>
      <c r="U206" t="str">
        <f>IF(B206=1,MAX($U$2:$U205)+1,IF(AND($T206&lt;&gt;"",$T206=$T205),$U205,IF(B206="x",U205,"")))</f>
        <v/>
      </c>
      <c r="V206" t="str">
        <f>IF(C206=1,MAX($V$2:$V205)+1,IF(AND($T206&lt;&gt;"",$T206=$T205),$U205,IF(C206="x",V205,"")))</f>
        <v/>
      </c>
      <c r="X206" cm="1">
        <f t="array" ref="X206">IF($I206&lt;&gt;"",$I206,INDEX($I$1:$I206,ROW()-COUNTIFS($T$1:$T206,"="&amp;$T206,$S$1:$S206,"&lt;"&amp;$S206)))</f>
        <v>70</v>
      </c>
      <c r="Z206" s="6">
        <f t="shared" si="61"/>
        <v>1</v>
      </c>
      <c r="AA206">
        <f t="shared" si="62"/>
        <v>1108</v>
      </c>
      <c r="AB206" t="str">
        <f t="shared" si="63"/>
        <v/>
      </c>
      <c r="AC206">
        <f t="shared" si="64"/>
        <v>1108</v>
      </c>
      <c r="BI206" s="40"/>
      <c r="BL206" s="40"/>
      <c r="BN206" s="19"/>
      <c r="BP206" s="17"/>
    </row>
    <row r="207" spans="1:68" x14ac:dyDescent="0.2">
      <c r="A207" t="str">
        <f t="shared" si="60"/>
        <v/>
      </c>
      <c r="E207" s="4"/>
      <c r="F207" s="46"/>
      <c r="G207" s="4"/>
      <c r="H207" s="48"/>
      <c r="I207" s="26">
        <v>41</v>
      </c>
      <c r="J207" s="26" t="str">
        <f t="shared" si="65"/>
        <v/>
      </c>
      <c r="N207" t="str">
        <f t="shared" si="59"/>
        <v/>
      </c>
      <c r="O207" t="s">
        <v>164</v>
      </c>
      <c r="Q207" t="str">
        <f t="shared" si="58"/>
        <v>u</v>
      </c>
      <c r="R207" s="26">
        <v>1</v>
      </c>
      <c r="S207">
        <f>IF(A207=1,MAX($S$2:$S206)+1,IF(OR($I207&lt;&gt;"",A207="x"),$S206,""))</f>
        <v>108</v>
      </c>
      <c r="T207" t="str">
        <f>IF(D207=1,MAX($T$2:$T206)+1,IF(S207=S206,$T206,IF(D207="x",T206,IF(D206="x","",""))))</f>
        <v/>
      </c>
      <c r="U207" t="str">
        <f>IF(B207=1,MAX($U$2:$U206)+1,IF(AND($T207&lt;&gt;"",$T207=$T206),$U206,IF(B207="x",U206,"")))</f>
        <v/>
      </c>
      <c r="V207" t="str">
        <f>IF(C207=1,MAX($V$2:$V206)+1,IF(AND($T207&lt;&gt;"",$T207=$T206),$U206,IF(C207="x",V206,"")))</f>
        <v/>
      </c>
      <c r="X207" cm="1">
        <f t="array" ref="X207">IF($I207&lt;&gt;"",$I207,INDEX($I$1:$I207,ROW()-COUNTIFS($T$1:$T207,"="&amp;$T207,$S$1:$S207,"&lt;"&amp;$S207)))</f>
        <v>41</v>
      </c>
      <c r="Z207" s="6">
        <f t="shared" si="61"/>
        <v>1</v>
      </c>
      <c r="AA207">
        <f t="shared" si="62"/>
        <v>1108</v>
      </c>
      <c r="AB207" t="str">
        <f t="shared" si="63"/>
        <v/>
      </c>
      <c r="AC207">
        <f t="shared" si="64"/>
        <v>1108</v>
      </c>
      <c r="BI207" s="40"/>
      <c r="BL207" s="40"/>
      <c r="BN207" s="19"/>
      <c r="BP207" s="17"/>
    </row>
    <row r="208" spans="1:68" x14ac:dyDescent="0.2">
      <c r="A208">
        <f t="shared" si="60"/>
        <v>1</v>
      </c>
      <c r="E208" s="4"/>
      <c r="F208" s="46"/>
      <c r="G208" s="4"/>
      <c r="H208" s="48" t="s">
        <v>1045</v>
      </c>
      <c r="I208" s="26">
        <v>70</v>
      </c>
      <c r="J208" s="26" t="s">
        <v>368</v>
      </c>
      <c r="K208" t="s">
        <v>13</v>
      </c>
      <c r="N208" t="str">
        <f t="shared" si="59"/>
        <v/>
      </c>
      <c r="O208" t="s">
        <v>149</v>
      </c>
      <c r="Q208" t="str">
        <f t="shared" ref="Q208:Q271" si="66">IF(O208="","",IF(AND(N208&lt;&gt;"",OR(O208&lt;&gt;"",P208&lt;&gt;"")),N208,IF(OR(ISNUMBER(SEARCH("attemp",O208)),ISNUMBER(SEARCH("beat",O208)),ISNUMBER(SEARCH("mis",O208)),ISNUMBER(SEARCH("fail",O208)),ISNUMBER(SEARCH("loss",O208)),ISNUMBER(SEARCH("lost",O208)),ISNUMBER(SEARCH("attemp",P208)),ISNUMBER(SEARCH("mis",P208)),ISNUMBER(SEARCH("fail",P208)),ISNUMBER(SEARCH("loss",P208)),ISNUMBER(SEARCH("beat",P208)),ISNUMBER(SEARCH("lost",P208))),"u","")))</f>
        <v/>
      </c>
      <c r="R208" s="26">
        <v>1</v>
      </c>
      <c r="S208">
        <f>IF(A208=1,MAX($S$2:$S207)+1,IF(OR($I208&lt;&gt;"",A208="x"),$S207,""))</f>
        <v>109</v>
      </c>
      <c r="T208" t="str">
        <f>IF(D208=1,MAX($T$2:$T207)+1,IF(S208=S207,$T207,IF(D208="x",T207,IF(D207="x","",""))))</f>
        <v/>
      </c>
      <c r="U208" t="str">
        <f>IF(B208=1,MAX($U$2:$U207)+1,IF(AND($T208&lt;&gt;"",$T208=$T207),$U207,IF(B208="x",U207,"")))</f>
        <v/>
      </c>
      <c r="V208" t="str">
        <f>IF(C208=1,MAX($V$2:$V207)+1,IF(AND($T208&lt;&gt;"",$T208=$T207),$U207,IF(C208="x",V207,"")))</f>
        <v/>
      </c>
      <c r="X208" cm="1">
        <f t="array" ref="X208">IF($I208&lt;&gt;"",$I208,INDEX($I$1:$I208,ROW()-COUNTIFS($T$1:$T208,"="&amp;$T208,$S$1:$S208,"&lt;"&amp;$S208)))</f>
        <v>70</v>
      </c>
      <c r="Z208" s="6">
        <f t="shared" si="61"/>
        <v>1</v>
      </c>
      <c r="AA208">
        <f t="shared" si="62"/>
        <v>1109</v>
      </c>
      <c r="AB208" t="str">
        <f t="shared" si="63"/>
        <v/>
      </c>
      <c r="AC208">
        <f t="shared" si="64"/>
        <v>1109</v>
      </c>
      <c r="BI208" s="40"/>
      <c r="BL208" s="40"/>
      <c r="BN208" s="19"/>
      <c r="BP208" s="17"/>
    </row>
    <row r="209" spans="1:68" x14ac:dyDescent="0.2">
      <c r="A209" t="str">
        <f t="shared" si="60"/>
        <v/>
      </c>
      <c r="E209" s="4"/>
      <c r="F209" s="46"/>
      <c r="G209" s="4"/>
      <c r="H209" s="48"/>
      <c r="I209" s="26">
        <v>71</v>
      </c>
      <c r="J209" s="26" t="str">
        <f t="shared" si="65"/>
        <v/>
      </c>
      <c r="N209" t="str">
        <f t="shared" si="59"/>
        <v/>
      </c>
      <c r="Q209" t="str">
        <f t="shared" si="66"/>
        <v/>
      </c>
      <c r="R209" s="26">
        <v>1</v>
      </c>
      <c r="S209">
        <f>IF(A209=1,MAX($S$2:$S208)+1,IF(OR($I209&lt;&gt;"",A209="x"),$S208,""))</f>
        <v>109</v>
      </c>
      <c r="T209" t="str">
        <f>IF(D209=1,MAX($T$2:$T208)+1,IF(S209=S208,$T208,IF(D209="x",T208,IF(D208="x","",""))))</f>
        <v/>
      </c>
      <c r="U209" t="str">
        <f>IF(B209=1,MAX($U$2:$U208)+1,IF(AND($T209&lt;&gt;"",$T209=$T208),$U208,IF(B209="x",U208,"")))</f>
        <v/>
      </c>
      <c r="V209" t="str">
        <f>IF(C209=1,MAX($V$2:$V208)+1,IF(AND($T209&lt;&gt;"",$T209=$T208),$U208,IF(C209="x",V208,"")))</f>
        <v/>
      </c>
      <c r="X209" cm="1">
        <f t="array" ref="X209">IF($I209&lt;&gt;"",$I209,INDEX($I$1:$I209,ROW()-COUNTIFS($T$1:$T209,"="&amp;$T209,$S$1:$S209,"&lt;"&amp;$S209)))</f>
        <v>71</v>
      </c>
      <c r="Z209" s="6">
        <f t="shared" si="61"/>
        <v>1</v>
      </c>
      <c r="AA209">
        <f t="shared" si="62"/>
        <v>1109</v>
      </c>
      <c r="AB209" t="str">
        <f t="shared" si="63"/>
        <v/>
      </c>
      <c r="AC209">
        <f t="shared" si="64"/>
        <v>1109</v>
      </c>
      <c r="BI209" s="40"/>
      <c r="BL209" s="40"/>
      <c r="BN209" s="19"/>
      <c r="BP209" s="17"/>
    </row>
    <row r="210" spans="1:68" x14ac:dyDescent="0.2">
      <c r="A210">
        <f t="shared" si="60"/>
        <v>1</v>
      </c>
      <c r="E210" s="4"/>
      <c r="F210" s="46"/>
      <c r="G210" s="4"/>
      <c r="H210" s="48"/>
      <c r="I210" s="26">
        <v>70</v>
      </c>
      <c r="J210" s="26" t="s">
        <v>368</v>
      </c>
      <c r="K210" t="s">
        <v>7</v>
      </c>
      <c r="L210" t="s">
        <v>172</v>
      </c>
      <c r="M210" t="s">
        <v>67</v>
      </c>
      <c r="N210" t="str">
        <f t="shared" si="59"/>
        <v>s</v>
      </c>
      <c r="Q210" t="str">
        <f t="shared" si="66"/>
        <v/>
      </c>
      <c r="S210">
        <f>IF(A210=1,MAX($S$2:$S209)+1,IF(OR($I210&lt;&gt;"",A210="x"),$S209,""))</f>
        <v>110</v>
      </c>
      <c r="T210" t="str">
        <f>IF(D210=1,MAX($T$2:$T209)+1,IF(S210=S209,$T209,IF(D210="x",T209,IF(D209="x","",""))))</f>
        <v/>
      </c>
      <c r="U210" t="str">
        <f>IF(B210=1,MAX($U$2:$U209)+1,IF(AND($T210&lt;&gt;"",$T210=$T209),$U209,IF(B210="x",U209,"")))</f>
        <v/>
      </c>
      <c r="V210" t="str">
        <f>IF(C210=1,MAX($V$2:$V209)+1,IF(AND($T210&lt;&gt;"",$T210=$T209),$U209,IF(C210="x",V209,"")))</f>
        <v/>
      </c>
      <c r="X210" cm="1">
        <f t="array" ref="X210">IF($I210&lt;&gt;"",$I210,INDEX($I$1:$I210,ROW()-COUNTIFS($T$1:$T210,"="&amp;$T210,$S$1:$S210,"&lt;"&amp;$S210)))</f>
        <v>70</v>
      </c>
      <c r="Z210" s="6">
        <f t="shared" si="61"/>
        <v>1</v>
      </c>
      <c r="AA210">
        <f t="shared" si="62"/>
        <v>1110</v>
      </c>
      <c r="AB210" t="str">
        <f t="shared" si="63"/>
        <v/>
      </c>
      <c r="AC210">
        <f t="shared" si="64"/>
        <v>1110</v>
      </c>
      <c r="BI210" s="40"/>
      <c r="BL210" s="40"/>
      <c r="BN210" s="19"/>
      <c r="BP210" s="17"/>
    </row>
    <row r="211" spans="1:68" x14ac:dyDescent="0.2">
      <c r="A211" t="str">
        <f t="shared" si="60"/>
        <v/>
      </c>
      <c r="E211" s="4"/>
      <c r="F211" s="46"/>
      <c r="G211" s="4"/>
      <c r="H211" s="48"/>
      <c r="I211" s="26">
        <v>91</v>
      </c>
      <c r="J211" s="26" t="str">
        <f t="shared" si="65"/>
        <v/>
      </c>
      <c r="N211" t="str">
        <f t="shared" si="59"/>
        <v/>
      </c>
      <c r="Q211" t="str">
        <f t="shared" si="66"/>
        <v/>
      </c>
      <c r="S211">
        <f>IF(A211=1,MAX($S$2:$S210)+1,IF(OR($I211&lt;&gt;"",A211="x"),$S210,""))</f>
        <v>110</v>
      </c>
      <c r="T211" t="str">
        <f>IF(D211=1,MAX($T$2:$T210)+1,IF(S211=S210,$T210,IF(D211="x",T210,IF(D210="x","",""))))</f>
        <v/>
      </c>
      <c r="U211" t="str">
        <f>IF(B211=1,MAX($U$2:$U210)+1,IF(AND($T211&lt;&gt;"",$T211=$T210),$U210,IF(B211="x",U210,"")))</f>
        <v/>
      </c>
      <c r="V211" t="str">
        <f>IF(C211=1,MAX($V$2:$V210)+1,IF(AND($T211&lt;&gt;"",$T211=$T210),$U210,IF(C211="x",V210,"")))</f>
        <v/>
      </c>
      <c r="X211" cm="1">
        <f t="array" ref="X211">IF($I211&lt;&gt;"",$I211,INDEX($I$1:$I211,ROW()-COUNTIFS($T$1:$T211,"="&amp;$T211,$S$1:$S211,"&lt;"&amp;$S211)))</f>
        <v>91</v>
      </c>
      <c r="Z211" s="6">
        <f t="shared" si="61"/>
        <v>1</v>
      </c>
      <c r="AA211">
        <f t="shared" si="62"/>
        <v>1110</v>
      </c>
      <c r="AB211" t="str">
        <f t="shared" si="63"/>
        <v/>
      </c>
      <c r="AC211">
        <f t="shared" si="64"/>
        <v>1110</v>
      </c>
      <c r="BI211" s="40"/>
      <c r="BL211" s="40"/>
      <c r="BN211" s="19"/>
      <c r="BP211" s="17"/>
    </row>
    <row r="212" spans="1:68" x14ac:dyDescent="0.2">
      <c r="A212">
        <f t="shared" si="60"/>
        <v>1</v>
      </c>
      <c r="E212" s="4"/>
      <c r="F212" s="46" t="s">
        <v>751</v>
      </c>
      <c r="G212" s="4"/>
      <c r="H212" s="48" t="s">
        <v>1066</v>
      </c>
      <c r="I212" s="26">
        <v>91</v>
      </c>
      <c r="J212" s="26" t="s">
        <v>368</v>
      </c>
      <c r="K212" t="s">
        <v>13</v>
      </c>
      <c r="N212" t="str">
        <f t="shared" si="59"/>
        <v/>
      </c>
      <c r="Q212" t="str">
        <f t="shared" si="66"/>
        <v/>
      </c>
      <c r="S212">
        <f>IF(A212=1,MAX($S$2:$S211)+1,IF(OR($I212&lt;&gt;"",A212="x"),$S211,""))</f>
        <v>111</v>
      </c>
      <c r="T212" t="str">
        <f>IF(D212=1,MAX($T$2:$T211)+1,IF(S212=S211,$T211,IF(D212="x",T211,IF(D211="x","",""))))</f>
        <v/>
      </c>
      <c r="U212" t="str">
        <f>IF(B212=1,MAX($U$2:$U211)+1,IF(AND($T212&lt;&gt;"",$T212=$T211),$U211,IF(B212="x",U211,"")))</f>
        <v/>
      </c>
      <c r="V212" t="str">
        <f>IF(C212=1,MAX($V$2:$V211)+1,IF(AND($T212&lt;&gt;"",$T212=$T211),$U211,IF(C212="x",V211,"")))</f>
        <v/>
      </c>
      <c r="X212" cm="1">
        <f t="array" ref="X212">IF($I212&lt;&gt;"",$I212,INDEX($I$1:$I212,ROW()-COUNTIFS($T$1:$T212,"="&amp;$T212,$S$1:$S212,"&lt;"&amp;$S212)))</f>
        <v>91</v>
      </c>
      <c r="Z212" s="6">
        <f t="shared" si="61"/>
        <v>1</v>
      </c>
      <c r="AA212">
        <f t="shared" si="62"/>
        <v>1111</v>
      </c>
      <c r="AB212" t="str">
        <f t="shared" si="63"/>
        <v/>
      </c>
      <c r="AC212">
        <f t="shared" si="64"/>
        <v>1111</v>
      </c>
      <c r="BI212" s="40"/>
      <c r="BL212" s="40"/>
      <c r="BN212" s="19"/>
      <c r="BP212" s="17"/>
    </row>
    <row r="213" spans="1:68" x14ac:dyDescent="0.2">
      <c r="A213">
        <f t="shared" si="60"/>
        <v>1</v>
      </c>
      <c r="E213" s="4"/>
      <c r="F213" s="46"/>
      <c r="G213" s="4"/>
      <c r="H213" s="48"/>
      <c r="I213" s="26">
        <v>91</v>
      </c>
      <c r="J213" s="26" t="s">
        <v>368</v>
      </c>
      <c r="K213" t="s">
        <v>6</v>
      </c>
      <c r="L213" t="s">
        <v>181</v>
      </c>
      <c r="M213" t="s">
        <v>53</v>
      </c>
      <c r="N213" t="str">
        <f t="shared" ref="N213:N275" si="67">IF(K213="","",IF(K213="Goal","s",IF(AND(K213="Zone_Entry_Exit",OR(ISNUMBER(SEARCH("fail",L213)),ISNUMBER(SEARCH("FromExitClear",M213)),ISNUMBER(SEARCH("miss",M213)))),"u",IF(AND(K213="Zone_Entry_Exit",OR(NOT(ISNUMBER(SEARCH("fail",L213))),NOT(ISNUMBER(SEARCH("FromExitClear",M213))),NOT(ISNUMBER(SEARCH("miss",M213))))),"s",IF(AND(OR(K213="Shot",K213="Pass"),OR(ISNUMBER(SEARCH("complete",L213)),ISNUMBER(SEARCH("goal",L213)),ISNUMBER(SEARCH("OnNet",L213)))),"s",IF(L213="Turnover_Giveaway","u",IF(AND(OR(K213="Shot",K213="Pass"),OR(ISNUMBER(SEARCH("fail",L213)),NOT(ISNUMBER(SEARCH("complete",L213))),NOT(ISNUMBER(SEARCH("OnNet",L213))))),"u","")))))))</f>
        <v>u</v>
      </c>
      <c r="Q213" t="str">
        <f t="shared" si="66"/>
        <v/>
      </c>
      <c r="S213">
        <f>IF(A213=1,MAX($S$2:$S212)+1,IF(OR($I213&lt;&gt;"",A213="x"),$S212,""))</f>
        <v>112</v>
      </c>
      <c r="T213" t="str">
        <f>IF(D213=1,MAX($T$2:$T212)+1,IF(S213=S212,$T212,IF(D213="x",T212,IF(D212="x","",""))))</f>
        <v/>
      </c>
      <c r="U213" t="str">
        <f>IF(B213=1,MAX($U$2:$U212)+1,IF(AND($T213&lt;&gt;"",$T213=$T212),$U212,IF(B213="x",U212,"")))</f>
        <v/>
      </c>
      <c r="V213" t="str">
        <f>IF(C213=1,MAX($V$2:$V212)+1,IF(AND($T213&lt;&gt;"",$T213=$T212),$U212,IF(C213="x",V212,"")))</f>
        <v/>
      </c>
      <c r="X213" cm="1">
        <f t="array" ref="X213">IF($I213&lt;&gt;"",$I213,INDEX($I$1:$I213,ROW()-COUNTIFS($T$1:$T213,"="&amp;$T213,$S$1:$S213,"&lt;"&amp;$S213)))</f>
        <v>91</v>
      </c>
      <c r="Z213" s="6">
        <f t="shared" si="61"/>
        <v>1</v>
      </c>
      <c r="AA213">
        <f t="shared" si="62"/>
        <v>1112</v>
      </c>
      <c r="AB213" t="str">
        <f t="shared" si="63"/>
        <v/>
      </c>
      <c r="AC213">
        <f t="shared" si="64"/>
        <v>1112</v>
      </c>
      <c r="BI213" s="40"/>
      <c r="BL213" s="40"/>
      <c r="BN213" s="19"/>
      <c r="BP213" s="17"/>
    </row>
    <row r="214" spans="1:68" x14ac:dyDescent="0.2">
      <c r="A214">
        <f t="shared" si="60"/>
        <v>1</v>
      </c>
      <c r="E214" s="4"/>
      <c r="F214" s="46" t="s">
        <v>737</v>
      </c>
      <c r="G214" s="4"/>
      <c r="H214" s="48"/>
      <c r="I214" s="26">
        <v>70</v>
      </c>
      <c r="J214" s="26" t="s">
        <v>368</v>
      </c>
      <c r="K214" t="s">
        <v>13</v>
      </c>
      <c r="L214" t="s">
        <v>587</v>
      </c>
      <c r="N214" t="str">
        <f t="shared" si="67"/>
        <v/>
      </c>
      <c r="O214" t="s">
        <v>909</v>
      </c>
      <c r="Q214" t="str">
        <f t="shared" si="66"/>
        <v/>
      </c>
      <c r="R214" s="26">
        <v>1</v>
      </c>
      <c r="S214">
        <f>IF(A214=1,MAX($S$2:$S213)+1,IF(OR($I214&lt;&gt;"",A214="x"),$S213,""))</f>
        <v>113</v>
      </c>
      <c r="T214" t="str">
        <f>IF(D214=1,MAX($T$2:$T213)+1,IF(S214=S213,$T213,IF(D214="x",T213,IF(D213="x","",""))))</f>
        <v/>
      </c>
      <c r="U214" t="str">
        <f>IF(B214=1,MAX($U$2:$U213)+1,IF(AND($T214&lt;&gt;"",$T214=$T213),$U213,IF(B214="x",U213,"")))</f>
        <v/>
      </c>
      <c r="V214" t="str">
        <f>IF(C214=1,MAX($V$2:$V213)+1,IF(AND($T214&lt;&gt;"",$T214=$T213),$U213,IF(C214="x",V213,"")))</f>
        <v/>
      </c>
      <c r="X214" cm="1">
        <f t="array" ref="X214">IF($I214&lt;&gt;"",$I214,INDEX($I$1:$I214,ROW()-COUNTIFS($T$1:$T214,"="&amp;$T214,$S$1:$S214,"&lt;"&amp;$S214)))</f>
        <v>70</v>
      </c>
      <c r="Z214" s="6">
        <f t="shared" si="61"/>
        <v>1</v>
      </c>
      <c r="AA214">
        <f t="shared" si="62"/>
        <v>1113</v>
      </c>
      <c r="AB214" t="str">
        <f t="shared" si="63"/>
        <v/>
      </c>
      <c r="AC214">
        <f t="shared" si="64"/>
        <v>1113</v>
      </c>
      <c r="BI214" s="40"/>
      <c r="BL214" s="40"/>
      <c r="BN214" s="19"/>
      <c r="BP214" s="17"/>
    </row>
    <row r="215" spans="1:68" x14ac:dyDescent="0.2">
      <c r="A215" t="str">
        <f t="shared" si="60"/>
        <v/>
      </c>
      <c r="E215" s="4"/>
      <c r="F215" s="46"/>
      <c r="G215" s="4"/>
      <c r="H215" s="48"/>
      <c r="I215" s="26">
        <v>41</v>
      </c>
      <c r="J215" s="26" t="str">
        <f t="shared" si="65"/>
        <v/>
      </c>
      <c r="N215" t="str">
        <f t="shared" si="67"/>
        <v/>
      </c>
      <c r="Q215" t="str">
        <f t="shared" si="66"/>
        <v/>
      </c>
      <c r="R215" s="26">
        <v>1</v>
      </c>
      <c r="S215">
        <f>IF(A215=1,MAX($S$2:$S214)+1,IF(OR($I215&lt;&gt;"",A215="x"),$S214,""))</f>
        <v>113</v>
      </c>
      <c r="T215" t="str">
        <f>IF(D215=1,MAX($T$2:$T214)+1,IF(S215=S214,$T214,IF(D215="x",T214,IF(D214="x","",""))))</f>
        <v/>
      </c>
      <c r="U215" t="str">
        <f>IF(B215=1,MAX($U$2:$U214)+1,IF(AND($T215&lt;&gt;"",$T215=$T214),$U214,IF(B215="x",U214,"")))</f>
        <v/>
      </c>
      <c r="V215" t="str">
        <f>IF(C215=1,MAX($V$2:$V214)+1,IF(AND($T215&lt;&gt;"",$T215=$T214),$U214,IF(C215="x",V214,"")))</f>
        <v/>
      </c>
      <c r="X215" cm="1">
        <f t="array" ref="X215">IF($I215&lt;&gt;"",$I215,INDEX($I$1:$I215,ROW()-COUNTIFS($T$1:$T215,"="&amp;$T215,$S$1:$S215,"&lt;"&amp;$S215)))</f>
        <v>41</v>
      </c>
      <c r="Z215" s="6">
        <f t="shared" si="61"/>
        <v>1</v>
      </c>
      <c r="AA215">
        <f t="shared" si="62"/>
        <v>1113</v>
      </c>
      <c r="AB215" t="str">
        <f t="shared" si="63"/>
        <v/>
      </c>
      <c r="AC215">
        <f t="shared" si="64"/>
        <v>1113</v>
      </c>
      <c r="BI215" s="40"/>
      <c r="BL215" s="40"/>
      <c r="BN215" s="19"/>
      <c r="BP215" s="17"/>
    </row>
    <row r="216" spans="1:68" x14ac:dyDescent="0.2">
      <c r="A216">
        <f t="shared" si="60"/>
        <v>1</v>
      </c>
      <c r="E216" s="4"/>
      <c r="F216" s="46"/>
      <c r="G216" s="4"/>
      <c r="H216" s="48"/>
      <c r="I216" s="26">
        <v>70</v>
      </c>
      <c r="J216" s="26" t="s">
        <v>368</v>
      </c>
      <c r="K216" t="s">
        <v>7</v>
      </c>
      <c r="L216" t="s">
        <v>172</v>
      </c>
      <c r="M216" t="s">
        <v>70</v>
      </c>
      <c r="N216" t="str">
        <f t="shared" si="67"/>
        <v>s</v>
      </c>
      <c r="O216" t="s">
        <v>576</v>
      </c>
      <c r="Q216" t="str">
        <f t="shared" si="66"/>
        <v>s</v>
      </c>
      <c r="R216" s="26">
        <v>1</v>
      </c>
      <c r="S216">
        <f>IF(A216=1,MAX($S$2:$S215)+1,IF(OR($I216&lt;&gt;"",A216="x"),$S215,""))</f>
        <v>114</v>
      </c>
      <c r="T216" t="str">
        <f>IF(D216=1,MAX($T$2:$T215)+1,IF(S216=S215,$T215,IF(D216="x",T215,IF(D215="x","",""))))</f>
        <v/>
      </c>
      <c r="U216" t="str">
        <f>IF(B216=1,MAX($U$2:$U215)+1,IF(AND($T216&lt;&gt;"",$T216=$T215),$U215,IF(B216="x",U215,"")))</f>
        <v/>
      </c>
      <c r="V216" t="str">
        <f>IF(C216=1,MAX($V$2:$V215)+1,IF(AND($T216&lt;&gt;"",$T216=$T215),$U215,IF(C216="x",V215,"")))</f>
        <v/>
      </c>
      <c r="X216" cm="1">
        <f t="array" ref="X216">IF($I216&lt;&gt;"",$I216,INDEX($I$1:$I216,ROW()-COUNTIFS($T$1:$T216,"="&amp;$T216,$S$1:$S216,"&lt;"&amp;$S216)))</f>
        <v>70</v>
      </c>
      <c r="Z216" s="6">
        <f t="shared" si="61"/>
        <v>1</v>
      </c>
      <c r="AA216">
        <f t="shared" si="62"/>
        <v>1114</v>
      </c>
      <c r="AB216" t="str">
        <f t="shared" si="63"/>
        <v/>
      </c>
      <c r="AC216">
        <f t="shared" si="64"/>
        <v>1114</v>
      </c>
      <c r="BI216" s="40"/>
      <c r="BL216" s="40"/>
      <c r="BN216" s="19"/>
      <c r="BP216" s="17"/>
    </row>
    <row r="217" spans="1:68" x14ac:dyDescent="0.2">
      <c r="A217" t="str">
        <f t="shared" si="60"/>
        <v/>
      </c>
      <c r="E217" s="4"/>
      <c r="F217" s="46"/>
      <c r="G217" s="4"/>
      <c r="H217" s="48"/>
      <c r="I217" s="26">
        <v>91</v>
      </c>
      <c r="J217" s="26" t="str">
        <f t="shared" si="65"/>
        <v/>
      </c>
      <c r="N217" t="str">
        <f t="shared" si="67"/>
        <v/>
      </c>
      <c r="Q217" t="str">
        <f t="shared" si="66"/>
        <v/>
      </c>
      <c r="S217">
        <f>IF(A217=1,MAX($S$2:$S216)+1,IF(OR($I217&lt;&gt;"",A217="x"),$S216,""))</f>
        <v>114</v>
      </c>
      <c r="T217" t="str">
        <f>IF(D217=1,MAX($T$2:$T216)+1,IF(S217=S216,$T216,IF(D217="x",T216,IF(D216="x","",""))))</f>
        <v/>
      </c>
      <c r="U217" t="str">
        <f>IF(B217=1,MAX($U$2:$U216)+1,IF(AND($T217&lt;&gt;"",$T217=$T216),$U216,IF(B217="x",U216,"")))</f>
        <v/>
      </c>
      <c r="V217" t="str">
        <f>IF(C217=1,MAX($V$2:$V216)+1,IF(AND($T217&lt;&gt;"",$T217=$T216),$U216,IF(C217="x",V216,"")))</f>
        <v/>
      </c>
      <c r="X217" cm="1">
        <f t="array" ref="X217">IF($I217&lt;&gt;"",$I217,INDEX($I$1:$I217,ROW()-COUNTIFS($T$1:$T217,"="&amp;$T217,$S$1:$S217,"&lt;"&amp;$S217)))</f>
        <v>91</v>
      </c>
      <c r="Z217" s="6">
        <f t="shared" si="61"/>
        <v>1</v>
      </c>
      <c r="AA217">
        <f t="shared" si="62"/>
        <v>1114</v>
      </c>
      <c r="AB217" t="str">
        <f t="shared" si="63"/>
        <v/>
      </c>
      <c r="AC217">
        <f t="shared" si="64"/>
        <v>1114</v>
      </c>
      <c r="BI217" s="40"/>
      <c r="BL217" s="40"/>
      <c r="BN217" s="19"/>
      <c r="BP217" s="17"/>
    </row>
    <row r="218" spans="1:68" x14ac:dyDescent="0.2">
      <c r="A218" t="str">
        <f t="shared" si="60"/>
        <v/>
      </c>
      <c r="E218" s="4"/>
      <c r="F218" s="46"/>
      <c r="G218" s="4"/>
      <c r="H218" s="48"/>
      <c r="I218" s="26">
        <v>41</v>
      </c>
      <c r="J218" s="26" t="str">
        <f t="shared" si="65"/>
        <v/>
      </c>
      <c r="N218" t="str">
        <f t="shared" si="67"/>
        <v/>
      </c>
      <c r="Q218" t="str">
        <f t="shared" si="66"/>
        <v/>
      </c>
      <c r="R218" s="26">
        <v>1</v>
      </c>
      <c r="S218">
        <f>IF(A218=1,MAX($S$2:$S217)+1,IF(OR($I218&lt;&gt;"",A218="x"),$S217,""))</f>
        <v>114</v>
      </c>
      <c r="T218" t="str">
        <f>IF(D218=1,MAX($T$2:$T217)+1,IF(S218=S217,$T217,IF(D218="x",T217,IF(D217="x","",""))))</f>
        <v/>
      </c>
      <c r="U218" t="str">
        <f>IF(B218=1,MAX($U$2:$U217)+1,IF(AND($T218&lt;&gt;"",$T218=$T217),$U217,IF(B218="x",U217,"")))</f>
        <v/>
      </c>
      <c r="V218" t="str">
        <f>IF(C218=1,MAX($V$2:$V217)+1,IF(AND($T218&lt;&gt;"",$T218=$T217),$U217,IF(C218="x",V217,"")))</f>
        <v/>
      </c>
      <c r="X218" cm="1">
        <f t="array" ref="X218">IF($I218&lt;&gt;"",$I218,INDEX($I$1:$I218,ROW()-COUNTIFS($T$1:$T218,"="&amp;$T218,$S$1:$S218,"&lt;"&amp;$S218)))</f>
        <v>41</v>
      </c>
      <c r="Z218" s="6">
        <f t="shared" si="61"/>
        <v>1</v>
      </c>
      <c r="AA218">
        <f t="shared" si="62"/>
        <v>1114</v>
      </c>
      <c r="AB218" t="str">
        <f t="shared" si="63"/>
        <v/>
      </c>
      <c r="AC218">
        <f t="shared" si="64"/>
        <v>1114</v>
      </c>
      <c r="BI218" s="40"/>
      <c r="BL218" s="40"/>
      <c r="BN218" s="19"/>
      <c r="BP218" s="17"/>
    </row>
    <row r="219" spans="1:68" x14ac:dyDescent="0.2">
      <c r="A219">
        <f t="shared" si="60"/>
        <v>1</v>
      </c>
      <c r="E219" s="4"/>
      <c r="F219" s="46" t="s">
        <v>1029</v>
      </c>
      <c r="G219" s="4"/>
      <c r="H219" s="48"/>
      <c r="I219" s="26">
        <v>91</v>
      </c>
      <c r="J219" s="26" t="s">
        <v>368</v>
      </c>
      <c r="K219" t="s">
        <v>7</v>
      </c>
      <c r="L219" t="s">
        <v>172</v>
      </c>
      <c r="M219" t="s">
        <v>66</v>
      </c>
      <c r="N219" t="str">
        <f t="shared" si="67"/>
        <v>s</v>
      </c>
      <c r="O219" t="s">
        <v>576</v>
      </c>
      <c r="Q219" t="str">
        <f t="shared" si="66"/>
        <v>s</v>
      </c>
      <c r="R219" s="26">
        <v>1</v>
      </c>
      <c r="S219">
        <f>IF(A219=1,MAX($S$2:$S218)+1,IF(OR($I219&lt;&gt;"",A219="x"),$S218,""))</f>
        <v>115</v>
      </c>
      <c r="T219" t="str">
        <f>IF(D219=1,MAX($T$2:$T218)+1,IF(S219=S218,$T218,IF(D219="x",T218,IF(D218="x","",""))))</f>
        <v/>
      </c>
      <c r="U219" t="str">
        <f>IF(B219=1,MAX($U$2:$U218)+1,IF(AND($T219&lt;&gt;"",$T219=$T218),$U218,IF(B219="x",U218,"")))</f>
        <v/>
      </c>
      <c r="V219" t="str">
        <f>IF(C219=1,MAX($V$2:$V218)+1,IF(AND($T219&lt;&gt;"",$T219=$T218),$U218,IF(C219="x",V218,"")))</f>
        <v/>
      </c>
      <c r="X219" cm="1">
        <f t="array" ref="X219">IF($I219&lt;&gt;"",$I219,INDEX($I$1:$I219,ROW()-COUNTIFS($T$1:$T219,"="&amp;$T219,$S$1:$S219,"&lt;"&amp;$S219)))</f>
        <v>91</v>
      </c>
      <c r="Z219" s="6">
        <f t="shared" si="61"/>
        <v>1</v>
      </c>
      <c r="AA219">
        <f t="shared" si="62"/>
        <v>1115</v>
      </c>
      <c r="AB219" t="str">
        <f t="shared" si="63"/>
        <v/>
      </c>
      <c r="AC219">
        <f t="shared" si="64"/>
        <v>1115</v>
      </c>
      <c r="BI219" s="40"/>
      <c r="BL219" s="40"/>
      <c r="BN219" s="19"/>
      <c r="BP219" s="17"/>
    </row>
    <row r="220" spans="1:68" x14ac:dyDescent="0.2">
      <c r="A220" t="str">
        <f t="shared" si="60"/>
        <v/>
      </c>
      <c r="E220" s="4"/>
      <c r="F220" s="46"/>
      <c r="G220" s="4"/>
      <c r="H220" s="48"/>
      <c r="I220" s="26">
        <v>70</v>
      </c>
      <c r="J220" s="26" t="str">
        <f t="shared" si="65"/>
        <v/>
      </c>
      <c r="N220" t="str">
        <f t="shared" si="67"/>
        <v/>
      </c>
      <c r="Q220" t="str">
        <f t="shared" si="66"/>
        <v/>
      </c>
      <c r="S220">
        <f>IF(A220=1,MAX($S$2:$S219)+1,IF(OR($I220&lt;&gt;"",A220="x"),$S219,""))</f>
        <v>115</v>
      </c>
      <c r="T220" t="str">
        <f>IF(D220=1,MAX($T$2:$T219)+1,IF(S220=S219,$T219,IF(D220="x",T219,IF(D219="x","",""))))</f>
        <v/>
      </c>
      <c r="U220" t="str">
        <f>IF(B220=1,MAX($U$2:$U219)+1,IF(AND($T220&lt;&gt;"",$T220=$T219),$U219,IF(B220="x",U219,"")))</f>
        <v/>
      </c>
      <c r="V220" t="str">
        <f>IF(C220=1,MAX($V$2:$V219)+1,IF(AND($T220&lt;&gt;"",$T220=$T219),$U219,IF(C220="x",V219,"")))</f>
        <v/>
      </c>
      <c r="X220" cm="1">
        <f t="array" ref="X220">IF($I220&lt;&gt;"",$I220,INDEX($I$1:$I220,ROW()-COUNTIFS($T$1:$T220,"="&amp;$T220,$S$1:$S220,"&lt;"&amp;$S220)))</f>
        <v>70</v>
      </c>
      <c r="Z220" s="6">
        <f t="shared" si="61"/>
        <v>1</v>
      </c>
      <c r="AA220">
        <f t="shared" si="62"/>
        <v>1115</v>
      </c>
      <c r="AB220" t="str">
        <f t="shared" si="63"/>
        <v/>
      </c>
      <c r="AC220">
        <f t="shared" si="64"/>
        <v>1115</v>
      </c>
      <c r="BI220" s="40"/>
      <c r="BL220" s="40"/>
      <c r="BN220" s="19"/>
      <c r="BP220" s="17"/>
    </row>
    <row r="221" spans="1:68" x14ac:dyDescent="0.2">
      <c r="A221" t="str">
        <f t="shared" si="60"/>
        <v/>
      </c>
      <c r="E221" s="4"/>
      <c r="F221" s="46"/>
      <c r="G221" s="4"/>
      <c r="H221" s="48"/>
      <c r="I221" s="26">
        <v>19</v>
      </c>
      <c r="J221" s="26" t="str">
        <f t="shared" si="65"/>
        <v/>
      </c>
      <c r="N221" t="str">
        <f t="shared" si="67"/>
        <v/>
      </c>
      <c r="Q221" t="str">
        <f t="shared" si="66"/>
        <v/>
      </c>
      <c r="R221" s="26">
        <v>1</v>
      </c>
      <c r="S221">
        <f>IF(A221=1,MAX($S$2:$S220)+1,IF(OR($I221&lt;&gt;"",A221="x"),$S220,""))</f>
        <v>115</v>
      </c>
      <c r="T221" t="str">
        <f>IF(D221=1,MAX($T$2:$T220)+1,IF(S221=S220,$T220,IF(D221="x",T220,IF(D220="x","",""))))</f>
        <v/>
      </c>
      <c r="U221" t="str">
        <f>IF(B221=1,MAX($U$2:$U220)+1,IF(AND($T221&lt;&gt;"",$T221=$T220),$U220,IF(B221="x",U220,"")))</f>
        <v/>
      </c>
      <c r="V221" t="str">
        <f>IF(C221=1,MAX($V$2:$V220)+1,IF(AND($T221&lt;&gt;"",$T221=$T220),$U220,IF(C221="x",V220,"")))</f>
        <v/>
      </c>
      <c r="X221" cm="1">
        <f t="array" ref="X221">IF($I221&lt;&gt;"",$I221,INDEX($I$1:$I221,ROW()-COUNTIFS($T$1:$T221,"="&amp;$T221,$S$1:$S221,"&lt;"&amp;$S221)))</f>
        <v>19</v>
      </c>
      <c r="Z221" s="6">
        <f t="shared" si="61"/>
        <v>1</v>
      </c>
      <c r="AA221">
        <f t="shared" si="62"/>
        <v>1115</v>
      </c>
      <c r="AB221" t="str">
        <f t="shared" si="63"/>
        <v/>
      </c>
      <c r="AC221">
        <f t="shared" si="64"/>
        <v>1115</v>
      </c>
      <c r="BI221" s="40"/>
      <c r="BL221" s="40"/>
      <c r="BN221" s="19"/>
      <c r="BP221" s="17"/>
    </row>
    <row r="222" spans="1:68" x14ac:dyDescent="0.2">
      <c r="A222">
        <f t="shared" si="60"/>
        <v>1</v>
      </c>
      <c r="E222" s="4"/>
      <c r="F222" s="46" t="s">
        <v>1032</v>
      </c>
      <c r="G222" s="4"/>
      <c r="H222" s="48" t="s">
        <v>1037</v>
      </c>
      <c r="I222" s="26">
        <v>70</v>
      </c>
      <c r="J222" s="26" t="s">
        <v>368</v>
      </c>
      <c r="K222" t="s">
        <v>13</v>
      </c>
      <c r="N222" t="str">
        <f t="shared" si="67"/>
        <v/>
      </c>
      <c r="Q222" t="str">
        <f t="shared" si="66"/>
        <v/>
      </c>
      <c r="R222" s="26">
        <v>1</v>
      </c>
      <c r="S222">
        <f>IF(A222=1,MAX($S$2:$S221)+1,IF(OR($I222&lt;&gt;"",A222="x"),$S221,""))</f>
        <v>116</v>
      </c>
      <c r="T222" t="str">
        <f>IF(D222=1,MAX($T$2:$T221)+1,IF(S222=S221,$T221,IF(D222="x",T221,IF(D221="x","",""))))</f>
        <v/>
      </c>
      <c r="U222" t="str">
        <f>IF(B222=1,MAX($U$2:$U221)+1,IF(AND($T222&lt;&gt;"",$T222=$T221),$U221,IF(B222="x",U221,"")))</f>
        <v/>
      </c>
      <c r="V222" t="str">
        <f>IF(C222=1,MAX($V$2:$V221)+1,IF(AND($T222&lt;&gt;"",$T222=$T221),$U221,IF(C222="x",V221,"")))</f>
        <v/>
      </c>
      <c r="X222" cm="1">
        <f t="array" ref="X222">IF($I222&lt;&gt;"",$I222,INDEX($I$1:$I222,ROW()-COUNTIFS($T$1:$T222,"="&amp;$T222,$S$1:$S222,"&lt;"&amp;$S222)))</f>
        <v>70</v>
      </c>
      <c r="Z222" s="6">
        <f t="shared" si="61"/>
        <v>1</v>
      </c>
      <c r="AA222">
        <f t="shared" si="62"/>
        <v>1116</v>
      </c>
      <c r="AB222" t="str">
        <f t="shared" si="63"/>
        <v/>
      </c>
      <c r="AC222">
        <f t="shared" si="64"/>
        <v>1116</v>
      </c>
      <c r="BI222" s="40"/>
      <c r="BL222" s="40"/>
      <c r="BN222" s="19"/>
      <c r="BP222" s="17"/>
    </row>
    <row r="223" spans="1:68" x14ac:dyDescent="0.2">
      <c r="A223" t="str">
        <f t="shared" si="60"/>
        <v/>
      </c>
      <c r="E223" s="4"/>
      <c r="F223" s="46"/>
      <c r="G223" s="4"/>
      <c r="H223" s="48"/>
      <c r="I223" s="26">
        <v>71</v>
      </c>
      <c r="J223" s="26" t="str">
        <f t="shared" si="65"/>
        <v/>
      </c>
      <c r="N223" t="str">
        <f t="shared" si="67"/>
        <v/>
      </c>
      <c r="Q223" t="str">
        <f t="shared" si="66"/>
        <v/>
      </c>
      <c r="R223" s="26">
        <v>1</v>
      </c>
      <c r="S223">
        <f>IF(A223=1,MAX($S$2:$S222)+1,IF(OR($I223&lt;&gt;"",A223="x"),$S222,""))</f>
        <v>116</v>
      </c>
      <c r="T223" t="str">
        <f>IF(D223=1,MAX($T$2:$T222)+1,IF(S223=S222,$T222,IF(D223="x",T222,IF(D222="x","",""))))</f>
        <v/>
      </c>
      <c r="U223" t="str">
        <f>IF(B223=1,MAX($U$2:$U222)+1,IF(AND($T223&lt;&gt;"",$T223=$T222),$U222,IF(B223="x",U222,"")))</f>
        <v/>
      </c>
      <c r="V223" t="str">
        <f>IF(C223=1,MAX($V$2:$V222)+1,IF(AND($T223&lt;&gt;"",$T223=$T222),$U222,IF(C223="x",V222,"")))</f>
        <v/>
      </c>
      <c r="X223" cm="1">
        <f t="array" ref="X223">IF($I223&lt;&gt;"",$I223,INDEX($I$1:$I223,ROW()-COUNTIFS($T$1:$T223,"="&amp;$T223,$S$1:$S223,"&lt;"&amp;$S223)))</f>
        <v>71</v>
      </c>
      <c r="Z223" s="6">
        <f t="shared" si="61"/>
        <v>1</v>
      </c>
      <c r="AA223">
        <f t="shared" si="62"/>
        <v>1116</v>
      </c>
      <c r="AB223" t="str">
        <f t="shared" si="63"/>
        <v/>
      </c>
      <c r="AC223">
        <f t="shared" si="64"/>
        <v>1116</v>
      </c>
      <c r="BI223" s="40"/>
      <c r="BL223" s="40"/>
      <c r="BN223" s="19"/>
      <c r="BP223" s="17"/>
    </row>
    <row r="224" spans="1:68" x14ac:dyDescent="0.2">
      <c r="A224" t="str">
        <f t="shared" si="60"/>
        <v/>
      </c>
      <c r="E224" s="4"/>
      <c r="F224" s="46"/>
      <c r="G224" s="4"/>
      <c r="H224" s="48"/>
      <c r="I224" s="26">
        <v>41</v>
      </c>
      <c r="J224" s="26" t="str">
        <f t="shared" si="65"/>
        <v/>
      </c>
      <c r="N224" t="str">
        <f t="shared" si="67"/>
        <v/>
      </c>
      <c r="Q224" t="str">
        <f t="shared" si="66"/>
        <v/>
      </c>
      <c r="R224" s="26">
        <v>1</v>
      </c>
      <c r="S224">
        <f>IF(A224=1,MAX($S$2:$S223)+1,IF(OR($I224&lt;&gt;"",A224="x"),$S223,""))</f>
        <v>116</v>
      </c>
      <c r="T224" t="str">
        <f>IF(D224=1,MAX($T$2:$T223)+1,IF(S224=S223,$T223,IF(D224="x",T223,IF(D223="x","",""))))</f>
        <v/>
      </c>
      <c r="U224" t="str">
        <f>IF(B224=1,MAX($U$2:$U223)+1,IF(AND($T224&lt;&gt;"",$T224=$T223),$U223,IF(B224="x",U223,"")))</f>
        <v/>
      </c>
      <c r="V224" t="str">
        <f>IF(C224=1,MAX($V$2:$V223)+1,IF(AND($T224&lt;&gt;"",$T224=$T223),$U223,IF(C224="x",V223,"")))</f>
        <v/>
      </c>
      <c r="X224" cm="1">
        <f t="array" ref="X224">IF($I224&lt;&gt;"",$I224,INDEX($I$1:$I224,ROW()-COUNTIFS($T$1:$T224,"="&amp;$T224,$S$1:$S224,"&lt;"&amp;$S224)))</f>
        <v>41</v>
      </c>
      <c r="Z224" s="6">
        <f t="shared" si="61"/>
        <v>1</v>
      </c>
      <c r="AA224">
        <f t="shared" si="62"/>
        <v>1116</v>
      </c>
      <c r="AB224" t="str">
        <f t="shared" si="63"/>
        <v/>
      </c>
      <c r="AC224">
        <f t="shared" si="64"/>
        <v>1116</v>
      </c>
      <c r="BI224" s="40"/>
      <c r="BL224" s="40"/>
      <c r="BN224" s="19"/>
      <c r="BP224" s="17"/>
    </row>
    <row r="225" spans="1:68" x14ac:dyDescent="0.2">
      <c r="A225">
        <f t="shared" si="60"/>
        <v>1</v>
      </c>
      <c r="E225" s="4"/>
      <c r="F225" s="46"/>
      <c r="G225" s="4"/>
      <c r="H225" s="48"/>
      <c r="I225" s="26">
        <v>71</v>
      </c>
      <c r="J225" s="26" t="s">
        <v>736</v>
      </c>
      <c r="K225" t="s">
        <v>230</v>
      </c>
      <c r="L225" t="s">
        <v>389</v>
      </c>
      <c r="M225" t="s">
        <v>432</v>
      </c>
      <c r="N225" t="s">
        <v>595</v>
      </c>
      <c r="O225" t="s">
        <v>156</v>
      </c>
      <c r="Q225" t="str">
        <f t="shared" si="66"/>
        <v>s</v>
      </c>
      <c r="R225" s="26">
        <v>1</v>
      </c>
      <c r="S225">
        <f>IF(A225=1,MAX($S$2:$S224)+1,IF(OR($I225&lt;&gt;"",A225="x"),$S224,""))</f>
        <v>117</v>
      </c>
      <c r="T225" t="str">
        <f>IF(D225=1,MAX($T$2:$T224)+1,IF(S225=S224,$T224,IF(D225="x",T224,IF(D224="x","",""))))</f>
        <v/>
      </c>
      <c r="U225" t="str">
        <f>IF(B225=1,MAX($U$2:$U224)+1,IF(AND($T225&lt;&gt;"",$T225=$T224),$U224,IF(B225="x",U224,"")))</f>
        <v/>
      </c>
      <c r="V225" t="str">
        <f>IF(C225=1,MAX($V$2:$V224)+1,IF(AND($T225&lt;&gt;"",$T225=$T224),$U224,IF(C225="x",V224,"")))</f>
        <v/>
      </c>
      <c r="X225" cm="1">
        <f t="array" ref="X225">IF($I225&lt;&gt;"",$I225,INDEX($I$1:$I225,ROW()-COUNTIFS($T$1:$T225,"="&amp;$T225,$S$1:$S225,"&lt;"&amp;$S225)))</f>
        <v>71</v>
      </c>
      <c r="Z225" s="6">
        <f t="shared" si="61"/>
        <v>1</v>
      </c>
      <c r="AA225">
        <f t="shared" si="62"/>
        <v>1117</v>
      </c>
      <c r="AB225" t="str">
        <f t="shared" si="63"/>
        <v/>
      </c>
      <c r="AC225">
        <f t="shared" si="64"/>
        <v>1117</v>
      </c>
      <c r="BI225" s="40"/>
      <c r="BL225" s="40"/>
      <c r="BN225" s="19"/>
      <c r="BP225" s="17"/>
    </row>
    <row r="226" spans="1:68" x14ac:dyDescent="0.2">
      <c r="A226" t="str">
        <f t="shared" si="60"/>
        <v/>
      </c>
      <c r="E226" s="4"/>
      <c r="F226" s="46"/>
      <c r="G226" s="4"/>
      <c r="H226" s="48"/>
      <c r="I226" s="26">
        <v>70</v>
      </c>
      <c r="J226" s="26" t="str">
        <f t="shared" si="65"/>
        <v/>
      </c>
      <c r="N226" t="str">
        <f t="shared" si="67"/>
        <v/>
      </c>
      <c r="O226" t="s">
        <v>785</v>
      </c>
      <c r="Q226" t="str">
        <f t="shared" si="66"/>
        <v>u</v>
      </c>
      <c r="R226" s="26">
        <v>1</v>
      </c>
      <c r="S226">
        <f>IF(A226=1,MAX($S$2:$S225)+1,IF(OR($I226&lt;&gt;"",A226="x"),$S225,""))</f>
        <v>117</v>
      </c>
      <c r="T226" t="str">
        <f>IF(D226=1,MAX($T$2:$T225)+1,IF(S226=S225,$T225,IF(D226="x",T225,IF(D225="x","",""))))</f>
        <v/>
      </c>
      <c r="U226" t="str">
        <f>IF(B226=1,MAX($U$2:$U225)+1,IF(AND($T226&lt;&gt;"",$T226=$T225),$U225,IF(B226="x",U225,"")))</f>
        <v/>
      </c>
      <c r="V226" t="str">
        <f>IF(C226=1,MAX($V$2:$V225)+1,IF(AND($T226&lt;&gt;"",$T226=$T225),$U225,IF(C226="x",V225,"")))</f>
        <v/>
      </c>
      <c r="X226" cm="1">
        <f t="array" ref="X226">IF($I226&lt;&gt;"",$I226,INDEX($I$1:$I226,ROW()-COUNTIFS($T$1:$T226,"="&amp;$T226,$S$1:$S226,"&lt;"&amp;$S226)))</f>
        <v>70</v>
      </c>
      <c r="Z226" s="6">
        <f t="shared" si="61"/>
        <v>1</v>
      </c>
      <c r="AA226">
        <f t="shared" si="62"/>
        <v>1117</v>
      </c>
      <c r="AB226" t="str">
        <f t="shared" si="63"/>
        <v/>
      </c>
      <c r="AC226">
        <f t="shared" si="64"/>
        <v>1117</v>
      </c>
      <c r="BI226" s="40"/>
      <c r="BL226" s="40"/>
      <c r="BN226" s="19"/>
      <c r="BP226" s="17"/>
    </row>
    <row r="227" spans="1:68" x14ac:dyDescent="0.2">
      <c r="A227">
        <f t="shared" si="60"/>
        <v>1</v>
      </c>
      <c r="E227" s="4"/>
      <c r="F227" s="46" t="s">
        <v>749</v>
      </c>
      <c r="G227" s="4"/>
      <c r="H227" s="48" t="s">
        <v>1038</v>
      </c>
      <c r="I227" s="26">
        <v>70</v>
      </c>
      <c r="J227" s="26" t="str">
        <f t="shared" si="65"/>
        <v/>
      </c>
      <c r="K227" t="s">
        <v>13</v>
      </c>
      <c r="L227" t="s">
        <v>587</v>
      </c>
      <c r="N227" t="s">
        <v>595</v>
      </c>
      <c r="O227" t="s">
        <v>910</v>
      </c>
      <c r="Q227" t="str">
        <f t="shared" si="66"/>
        <v>s</v>
      </c>
      <c r="R227" s="26">
        <v>1</v>
      </c>
      <c r="S227">
        <f>IF(A227=1,MAX($S$2:$S226)+1,IF(OR($I227&lt;&gt;"",A227="x"),$S226,""))</f>
        <v>118</v>
      </c>
      <c r="T227" t="str">
        <f>IF(D227=1,MAX($T$2:$T226)+1,IF(S227=S226,$T226,IF(D227="x",T226,IF(D226="x","",""))))</f>
        <v/>
      </c>
      <c r="U227" t="str">
        <f>IF(B227=1,MAX($U$2:$U226)+1,IF(AND($T227&lt;&gt;"",$T227=$T226),$U226,IF(B227="x",U226,"")))</f>
        <v/>
      </c>
      <c r="V227" t="str">
        <f>IF(C227=1,MAX($V$2:$V226)+1,IF(AND($T227&lt;&gt;"",$T227=$T226),$U226,IF(C227="x",V226,"")))</f>
        <v/>
      </c>
      <c r="X227" cm="1">
        <f t="array" ref="X227">IF($I227&lt;&gt;"",$I227,INDEX($I$1:$I227,ROW()-COUNTIFS($T$1:$T227,"="&amp;$T227,$S$1:$S227,"&lt;"&amp;$S227)))</f>
        <v>70</v>
      </c>
      <c r="Z227" s="6">
        <f t="shared" si="61"/>
        <v>1</v>
      </c>
      <c r="AA227">
        <f t="shared" si="62"/>
        <v>1118</v>
      </c>
      <c r="AB227" t="str">
        <f t="shared" si="63"/>
        <v/>
      </c>
      <c r="AC227">
        <f t="shared" si="64"/>
        <v>1118</v>
      </c>
      <c r="BI227" s="40"/>
      <c r="BL227" s="40"/>
      <c r="BN227" s="19"/>
      <c r="BP227" s="17"/>
    </row>
    <row r="228" spans="1:68" x14ac:dyDescent="0.2">
      <c r="A228" t="str">
        <f t="shared" si="60"/>
        <v/>
      </c>
      <c r="E228" s="4"/>
      <c r="F228" s="46"/>
      <c r="G228" s="4"/>
      <c r="H228" s="48"/>
      <c r="I228" s="26">
        <v>41</v>
      </c>
      <c r="J228" s="26" t="str">
        <f t="shared" si="65"/>
        <v/>
      </c>
      <c r="N228" t="str">
        <f t="shared" si="67"/>
        <v/>
      </c>
      <c r="Q228" t="str">
        <f t="shared" si="66"/>
        <v/>
      </c>
      <c r="R228" s="26">
        <v>1</v>
      </c>
      <c r="S228">
        <f>IF(A228=1,MAX($S$2:$S227)+1,IF(OR($I228&lt;&gt;"",A228="x"),$S227,""))</f>
        <v>118</v>
      </c>
      <c r="T228" t="str">
        <f>IF(D228=1,MAX($T$2:$T227)+1,IF(S228=S227,$T227,IF(D228="x",T227,IF(D227="x","",""))))</f>
        <v/>
      </c>
      <c r="U228" t="str">
        <f>IF(B228=1,MAX($U$2:$U227)+1,IF(AND($T228&lt;&gt;"",$T228=$T227),$U227,IF(B228="x",U227,"")))</f>
        <v/>
      </c>
      <c r="V228" t="str">
        <f>IF(C228=1,MAX($V$2:$V227)+1,IF(AND($T228&lt;&gt;"",$T228=$T227),$U227,IF(C228="x",V227,"")))</f>
        <v/>
      </c>
      <c r="X228" cm="1">
        <f t="array" ref="X228">IF($I228&lt;&gt;"",$I228,INDEX($I$1:$I228,ROW()-COUNTIFS($T$1:$T228,"="&amp;$T228,$S$1:$S228,"&lt;"&amp;$S228)))</f>
        <v>41</v>
      </c>
      <c r="Z228" s="6">
        <f t="shared" si="61"/>
        <v>1</v>
      </c>
      <c r="AA228">
        <f t="shared" si="62"/>
        <v>1118</v>
      </c>
      <c r="AB228" t="str">
        <f t="shared" si="63"/>
        <v/>
      </c>
      <c r="AC228">
        <f t="shared" si="64"/>
        <v>1118</v>
      </c>
      <c r="BI228" s="40"/>
      <c r="BL228" s="40"/>
      <c r="BN228" s="19"/>
      <c r="BP228" s="17"/>
    </row>
    <row r="229" spans="1:68" x14ac:dyDescent="0.2">
      <c r="A229">
        <f t="shared" si="60"/>
        <v>1</v>
      </c>
      <c r="E229" s="4"/>
      <c r="F229" s="46"/>
      <c r="G229" s="4"/>
      <c r="H229" s="48"/>
      <c r="I229" s="26">
        <v>70</v>
      </c>
      <c r="J229" s="26" t="str">
        <f t="shared" si="65"/>
        <v/>
      </c>
      <c r="K229" t="s">
        <v>7</v>
      </c>
      <c r="L229" t="s">
        <v>172</v>
      </c>
      <c r="M229" t="s">
        <v>68</v>
      </c>
      <c r="N229" t="str">
        <f t="shared" si="67"/>
        <v>s</v>
      </c>
      <c r="Q229" t="str">
        <f t="shared" si="66"/>
        <v/>
      </c>
      <c r="R229" s="26">
        <v>1</v>
      </c>
      <c r="S229">
        <f>IF(A229=1,MAX($S$2:$S228)+1,IF(OR($I229&lt;&gt;"",A229="x"),$S228,""))</f>
        <v>119</v>
      </c>
      <c r="T229" t="str">
        <f>IF(D229=1,MAX($T$2:$T228)+1,IF(S229=S228,$T228,IF(D229="x",T228,IF(D228="x","",""))))</f>
        <v/>
      </c>
      <c r="U229" t="str">
        <f>IF(B229=1,MAX($U$2:$U228)+1,IF(AND($T229&lt;&gt;"",$T229=$T228),$U228,IF(B229="x",U228,"")))</f>
        <v/>
      </c>
      <c r="V229" t="str">
        <f>IF(C229=1,MAX($V$2:$V228)+1,IF(AND($T229&lt;&gt;"",$T229=$T228),$U228,IF(C229="x",V228,"")))</f>
        <v/>
      </c>
      <c r="X229" cm="1">
        <f t="array" ref="X229">IF($I229&lt;&gt;"",$I229,INDEX($I$1:$I229,ROW()-COUNTIFS($T$1:$T229,"="&amp;$T229,$S$1:$S229,"&lt;"&amp;$S229)))</f>
        <v>70</v>
      </c>
      <c r="Z229" s="6">
        <f t="shared" si="61"/>
        <v>1</v>
      </c>
      <c r="AA229">
        <f t="shared" si="62"/>
        <v>1119</v>
      </c>
      <c r="AB229" t="str">
        <f t="shared" si="63"/>
        <v/>
      </c>
      <c r="AC229">
        <f t="shared" si="64"/>
        <v>1119</v>
      </c>
      <c r="BI229" s="40"/>
      <c r="BL229" s="40"/>
      <c r="BN229" s="19"/>
      <c r="BP229" s="17"/>
    </row>
    <row r="230" spans="1:68" x14ac:dyDescent="0.2">
      <c r="A230" t="str">
        <f t="shared" si="60"/>
        <v/>
      </c>
      <c r="E230" s="4"/>
      <c r="F230" s="46"/>
      <c r="G230" s="4"/>
      <c r="H230" s="48"/>
      <c r="I230" s="26">
        <v>84</v>
      </c>
      <c r="J230" s="26" t="str">
        <f t="shared" si="65"/>
        <v/>
      </c>
      <c r="N230" t="str">
        <f t="shared" si="67"/>
        <v/>
      </c>
      <c r="Q230" t="str">
        <f t="shared" si="66"/>
        <v/>
      </c>
      <c r="S230">
        <f>IF(A230=1,MAX($S$2:$S229)+1,IF(OR($I230&lt;&gt;"",A230="x"),$S229,""))</f>
        <v>119</v>
      </c>
      <c r="T230" t="str">
        <f>IF(D230=1,MAX($T$2:$T229)+1,IF(S230=S229,$T229,IF(D230="x",T229,IF(D229="x","",""))))</f>
        <v/>
      </c>
      <c r="U230" t="str">
        <f>IF(B230=1,MAX($U$2:$U229)+1,IF(AND($T230&lt;&gt;"",$T230=$T229),$U229,IF(B230="x",U229,"")))</f>
        <v/>
      </c>
      <c r="V230" t="str">
        <f>IF(C230=1,MAX($V$2:$V229)+1,IF(AND($T230&lt;&gt;"",$T230=$T229),$U229,IF(C230="x",V229,"")))</f>
        <v/>
      </c>
      <c r="X230" cm="1">
        <f t="array" ref="X230">IF($I230&lt;&gt;"",$I230,INDEX($I$1:$I230,ROW()-COUNTIFS($T$1:$T230,"="&amp;$T230,$S$1:$S230,"&lt;"&amp;$S230)))</f>
        <v>84</v>
      </c>
      <c r="Z230" s="6">
        <f t="shared" si="61"/>
        <v>1</v>
      </c>
      <c r="AA230">
        <f t="shared" si="62"/>
        <v>1119</v>
      </c>
      <c r="AB230" t="str">
        <f t="shared" si="63"/>
        <v/>
      </c>
      <c r="AC230">
        <f t="shared" si="64"/>
        <v>1119</v>
      </c>
      <c r="BI230" s="40"/>
      <c r="BL230" s="40"/>
      <c r="BN230" s="19"/>
      <c r="BP230" s="17"/>
    </row>
    <row r="231" spans="1:68" x14ac:dyDescent="0.2">
      <c r="A231" t="str">
        <f t="shared" si="60"/>
        <v/>
      </c>
      <c r="E231" s="4"/>
      <c r="F231" s="46"/>
      <c r="G231" s="4"/>
      <c r="H231" s="48"/>
      <c r="I231" s="26">
        <v>41</v>
      </c>
      <c r="J231" s="26" t="str">
        <f t="shared" si="65"/>
        <v/>
      </c>
      <c r="N231" t="str">
        <f t="shared" si="67"/>
        <v/>
      </c>
      <c r="O231" t="s">
        <v>567</v>
      </c>
      <c r="Q231" t="str">
        <f t="shared" si="66"/>
        <v/>
      </c>
      <c r="R231" s="26">
        <v>1</v>
      </c>
      <c r="S231">
        <f>IF(A231=1,MAX($S$2:$S230)+1,IF(OR($I231&lt;&gt;"",A231="x"),$S230,""))</f>
        <v>119</v>
      </c>
      <c r="T231" t="str">
        <f>IF(D231=1,MAX($T$2:$T230)+1,IF(S231=S230,$T230,IF(D231="x",T230,IF(D230="x","",""))))</f>
        <v/>
      </c>
      <c r="U231" t="str">
        <f>IF(B231=1,MAX($U$2:$U230)+1,IF(AND($T231&lt;&gt;"",$T231=$T230),$U230,IF(B231="x",U230,"")))</f>
        <v/>
      </c>
      <c r="V231" t="str">
        <f>IF(C231=1,MAX($V$2:$V230)+1,IF(AND($T231&lt;&gt;"",$T231=$T230),$U230,IF(C231="x",V230,"")))</f>
        <v/>
      </c>
      <c r="X231" cm="1">
        <f t="array" ref="X231">IF($I231&lt;&gt;"",$I231,INDEX($I$1:$I231,ROW()-COUNTIFS($T$1:$T231,"="&amp;$T231,$S$1:$S231,"&lt;"&amp;$S231)))</f>
        <v>41</v>
      </c>
      <c r="Z231" s="6">
        <f t="shared" si="61"/>
        <v>1</v>
      </c>
      <c r="AA231">
        <f t="shared" si="62"/>
        <v>1119</v>
      </c>
      <c r="AB231" t="str">
        <f t="shared" si="63"/>
        <v/>
      </c>
      <c r="AC231">
        <f t="shared" si="64"/>
        <v>1119</v>
      </c>
      <c r="BI231" s="40"/>
      <c r="BL231" s="40"/>
      <c r="BN231" s="19"/>
      <c r="BP231" s="17"/>
    </row>
    <row r="232" spans="1:68" x14ac:dyDescent="0.2">
      <c r="A232">
        <f t="shared" si="60"/>
        <v>1</v>
      </c>
      <c r="E232" s="4"/>
      <c r="F232" s="46"/>
      <c r="G232" s="4"/>
      <c r="H232" s="48" t="s">
        <v>750</v>
      </c>
      <c r="I232" s="26">
        <v>84</v>
      </c>
      <c r="J232" s="26" t="str">
        <f t="shared" si="65"/>
        <v/>
      </c>
      <c r="K232" t="s">
        <v>13</v>
      </c>
      <c r="N232" t="str">
        <f t="shared" si="67"/>
        <v/>
      </c>
      <c r="Q232" t="str">
        <f t="shared" si="66"/>
        <v/>
      </c>
      <c r="S232">
        <f>IF(A232=1,MAX($S$2:$S231)+1,IF(OR($I232&lt;&gt;"",A232="x"),$S231,""))</f>
        <v>120</v>
      </c>
      <c r="T232" t="str">
        <f>IF(D232=1,MAX($T$2:$T231)+1,IF(S232=S231,$T231,IF(D232="x",T231,IF(D231="x","",""))))</f>
        <v/>
      </c>
      <c r="U232" t="str">
        <f>IF(B232=1,MAX($U$2:$U231)+1,IF(AND($T232&lt;&gt;"",$T232=$T231),$U231,IF(B232="x",U231,"")))</f>
        <v/>
      </c>
      <c r="V232" t="str">
        <f>IF(C232=1,MAX($V$2:$V231)+1,IF(AND($T232&lt;&gt;"",$T232=$T231),$U231,IF(C232="x",V231,"")))</f>
        <v/>
      </c>
      <c r="X232" cm="1">
        <f t="array" ref="X232">IF($I232&lt;&gt;"",$I232,INDEX($I$1:$I232,ROW()-COUNTIFS($T$1:$T232,"="&amp;$T232,$S$1:$S232,"&lt;"&amp;$S232)))</f>
        <v>84</v>
      </c>
      <c r="Z232" s="6">
        <f t="shared" si="61"/>
        <v>1</v>
      </c>
      <c r="AA232">
        <f t="shared" si="62"/>
        <v>1120</v>
      </c>
      <c r="AB232" t="str">
        <f t="shared" si="63"/>
        <v/>
      </c>
      <c r="AC232">
        <f t="shared" si="64"/>
        <v>1120</v>
      </c>
      <c r="BI232" s="40"/>
      <c r="BL232" s="40"/>
      <c r="BN232" s="19"/>
      <c r="BP232" s="17"/>
    </row>
    <row r="233" spans="1:68" x14ac:dyDescent="0.2">
      <c r="A233" t="str">
        <f t="shared" si="60"/>
        <v/>
      </c>
      <c r="E233" s="4"/>
      <c r="F233" s="46"/>
      <c r="G233" s="4"/>
      <c r="H233" s="48"/>
      <c r="I233" s="26">
        <v>69</v>
      </c>
      <c r="J233" s="26" t="str">
        <f t="shared" si="65"/>
        <v/>
      </c>
      <c r="N233" t="str">
        <f t="shared" si="67"/>
        <v/>
      </c>
      <c r="Q233" t="str">
        <f t="shared" si="66"/>
        <v/>
      </c>
      <c r="S233">
        <f>IF(A233=1,MAX($S$2:$S232)+1,IF(OR($I233&lt;&gt;"",A233="x"),$S232,""))</f>
        <v>120</v>
      </c>
      <c r="T233" t="str">
        <f>IF(D233=1,MAX($T$2:$T232)+1,IF(S233=S232,$T232,IF(D233="x",T232,IF(D232="x","",""))))</f>
        <v/>
      </c>
      <c r="U233" t="str">
        <f>IF(B233=1,MAX($U$2:$U232)+1,IF(AND($T233&lt;&gt;"",$T233=$T232),$U232,IF(B233="x",U232,"")))</f>
        <v/>
      </c>
      <c r="V233" t="str">
        <f>IF(C233=1,MAX($V$2:$V232)+1,IF(AND($T233&lt;&gt;"",$T233=$T232),$U232,IF(C233="x",V232,"")))</f>
        <v/>
      </c>
      <c r="X233" cm="1">
        <f t="array" ref="X233">IF($I233&lt;&gt;"",$I233,INDEX($I$1:$I233,ROW()-COUNTIFS($T$1:$T233,"="&amp;$T233,$S$1:$S233,"&lt;"&amp;$S233)))</f>
        <v>69</v>
      </c>
      <c r="Z233" s="6">
        <f t="shared" si="61"/>
        <v>1</v>
      </c>
      <c r="AA233">
        <f t="shared" si="62"/>
        <v>1120</v>
      </c>
      <c r="AB233" t="str">
        <f t="shared" si="63"/>
        <v/>
      </c>
      <c r="AC233">
        <f t="shared" si="64"/>
        <v>1120</v>
      </c>
      <c r="BI233" s="40"/>
      <c r="BL233" s="40"/>
      <c r="BN233" s="19"/>
      <c r="BP233" s="17"/>
    </row>
    <row r="234" spans="1:68" x14ac:dyDescent="0.2">
      <c r="A234">
        <f t="shared" si="60"/>
        <v>1</v>
      </c>
      <c r="E234" s="4"/>
      <c r="F234" s="46"/>
      <c r="G234" s="4"/>
      <c r="H234" s="48"/>
      <c r="I234" s="26">
        <v>84</v>
      </c>
      <c r="J234" s="26" t="str">
        <f t="shared" si="65"/>
        <v/>
      </c>
      <c r="K234" t="s">
        <v>7</v>
      </c>
      <c r="L234" t="s">
        <v>172</v>
      </c>
      <c r="M234" t="s">
        <v>68</v>
      </c>
      <c r="N234" t="str">
        <f t="shared" si="67"/>
        <v>s</v>
      </c>
      <c r="O234" t="s">
        <v>539</v>
      </c>
      <c r="Q234" t="str">
        <f t="shared" si="66"/>
        <v>s</v>
      </c>
      <c r="R234" s="26">
        <v>1</v>
      </c>
      <c r="S234">
        <f>IF(A234=1,MAX($S$2:$S233)+1,IF(OR($I234&lt;&gt;"",A234="x"),$S233,""))</f>
        <v>121</v>
      </c>
      <c r="T234" t="str">
        <f>IF(D234=1,MAX($T$2:$T233)+1,IF(S234=S233,$T233,IF(D234="x",T233,IF(D233="x","",""))))</f>
        <v/>
      </c>
      <c r="U234" t="str">
        <f>IF(B234=1,MAX($U$2:$U233)+1,IF(AND($T234&lt;&gt;"",$T234=$T233),$U233,IF(B234="x",U233,"")))</f>
        <v/>
      </c>
      <c r="V234" t="str">
        <f>IF(C234=1,MAX($V$2:$V233)+1,IF(AND($T234&lt;&gt;"",$T234=$T233),$U233,IF(C234="x",V233,"")))</f>
        <v/>
      </c>
      <c r="X234" cm="1">
        <f t="array" ref="X234">IF($I234&lt;&gt;"",$I234,INDEX($I$1:$I234,ROW()-COUNTIFS($T$1:$T234,"="&amp;$T234,$S$1:$S234,"&lt;"&amp;$S234)))</f>
        <v>84</v>
      </c>
      <c r="Z234" s="6">
        <f t="shared" si="61"/>
        <v>1</v>
      </c>
      <c r="AA234">
        <f t="shared" si="62"/>
        <v>1121</v>
      </c>
      <c r="AB234" t="str">
        <f t="shared" si="63"/>
        <v/>
      </c>
      <c r="AC234">
        <f t="shared" si="64"/>
        <v>1121</v>
      </c>
      <c r="BI234" s="40"/>
      <c r="BL234" s="40"/>
      <c r="BN234" s="19"/>
      <c r="BP234" s="17"/>
    </row>
    <row r="235" spans="1:68" x14ac:dyDescent="0.2">
      <c r="A235" t="str">
        <f t="shared" si="60"/>
        <v/>
      </c>
      <c r="E235" s="4"/>
      <c r="F235" s="46"/>
      <c r="G235" s="4"/>
      <c r="H235" s="48"/>
      <c r="I235" s="26">
        <v>91</v>
      </c>
      <c r="J235" s="26" t="str">
        <f t="shared" si="65"/>
        <v/>
      </c>
      <c r="N235" t="str">
        <f t="shared" si="67"/>
        <v/>
      </c>
      <c r="Q235" t="str">
        <f t="shared" si="66"/>
        <v/>
      </c>
      <c r="S235">
        <f>IF(A235=1,MAX($S$2:$S234)+1,IF(OR($I235&lt;&gt;"",A235="x"),$S234,""))</f>
        <v>121</v>
      </c>
      <c r="T235" t="str">
        <f>IF(D235=1,MAX($T$2:$T234)+1,IF(S235=S234,$T234,IF(D235="x",T234,IF(D234="x","",""))))</f>
        <v/>
      </c>
      <c r="U235" t="str">
        <f>IF(B235=1,MAX($U$2:$U234)+1,IF(AND($T235&lt;&gt;"",$T235=$T234),$U234,IF(B235="x",U234,"")))</f>
        <v/>
      </c>
      <c r="V235" t="str">
        <f>IF(C235=1,MAX($V$2:$V234)+1,IF(AND($T235&lt;&gt;"",$T235=$T234),$U234,IF(C235="x",V234,"")))</f>
        <v/>
      </c>
      <c r="X235" cm="1">
        <f t="array" ref="X235">IF($I235&lt;&gt;"",$I235,INDEX($I$1:$I235,ROW()-COUNTIFS($T$1:$T235,"="&amp;$T235,$S$1:$S235,"&lt;"&amp;$S235)))</f>
        <v>91</v>
      </c>
      <c r="Z235" s="6">
        <f t="shared" si="61"/>
        <v>1</v>
      </c>
      <c r="AA235">
        <f t="shared" si="62"/>
        <v>1121</v>
      </c>
      <c r="AB235" t="str">
        <f t="shared" si="63"/>
        <v/>
      </c>
      <c r="AC235">
        <f t="shared" si="64"/>
        <v>1121</v>
      </c>
      <c r="BI235" s="40"/>
      <c r="BL235" s="40"/>
      <c r="BN235" s="19"/>
      <c r="BP235" s="17"/>
    </row>
    <row r="236" spans="1:68" x14ac:dyDescent="0.2">
      <c r="A236" t="str">
        <f t="shared" si="60"/>
        <v/>
      </c>
      <c r="E236" s="4"/>
      <c r="F236" s="46"/>
      <c r="G236" s="4"/>
      <c r="H236" s="48"/>
      <c r="I236" s="26">
        <v>69</v>
      </c>
      <c r="J236" s="26" t="str">
        <f t="shared" si="65"/>
        <v/>
      </c>
      <c r="N236" t="str">
        <f t="shared" si="67"/>
        <v/>
      </c>
      <c r="Q236" t="str">
        <f t="shared" si="66"/>
        <v/>
      </c>
      <c r="R236" s="26">
        <v>1</v>
      </c>
      <c r="S236">
        <f>IF(A236=1,MAX($S$2:$S235)+1,IF(OR($I236&lt;&gt;"",A236="x"),$S235,""))</f>
        <v>121</v>
      </c>
      <c r="T236" t="str">
        <f>IF(D236=1,MAX($T$2:$T235)+1,IF(S236=S235,$T235,IF(D236="x",T235,IF(D235="x","",""))))</f>
        <v/>
      </c>
      <c r="U236" t="str">
        <f>IF(B236=1,MAX($U$2:$U235)+1,IF(AND($T236&lt;&gt;"",$T236=$T235),$U235,IF(B236="x",U235,"")))</f>
        <v/>
      </c>
      <c r="V236" t="str">
        <f>IF(C236=1,MAX($V$2:$V235)+1,IF(AND($T236&lt;&gt;"",$T236=$T235),$U235,IF(C236="x",V235,"")))</f>
        <v/>
      </c>
      <c r="X236" cm="1">
        <f t="array" ref="X236">IF($I236&lt;&gt;"",$I236,INDEX($I$1:$I236,ROW()-COUNTIFS($T$1:$T236,"="&amp;$T236,$S$1:$S236,"&lt;"&amp;$S236)))</f>
        <v>69</v>
      </c>
      <c r="Z236" s="6">
        <f t="shared" si="61"/>
        <v>1</v>
      </c>
      <c r="AA236">
        <f t="shared" si="62"/>
        <v>1121</v>
      </c>
      <c r="AB236" t="str">
        <f t="shared" si="63"/>
        <v/>
      </c>
      <c r="AC236">
        <f t="shared" si="64"/>
        <v>1121</v>
      </c>
      <c r="BI236" s="40"/>
      <c r="BL236" s="40"/>
      <c r="BN236" s="19"/>
      <c r="BP236" s="17"/>
    </row>
    <row r="237" spans="1:68" x14ac:dyDescent="0.2">
      <c r="A237">
        <f t="shared" si="60"/>
        <v>1</v>
      </c>
      <c r="E237" s="4"/>
      <c r="F237" s="46" t="s">
        <v>1030</v>
      </c>
      <c r="G237" s="4"/>
      <c r="H237" s="48" t="s">
        <v>1043</v>
      </c>
      <c r="I237" s="26">
        <v>91</v>
      </c>
      <c r="J237" s="26" t="str">
        <f t="shared" si="65"/>
        <v/>
      </c>
      <c r="K237" t="s">
        <v>13</v>
      </c>
      <c r="N237" t="str">
        <f t="shared" si="67"/>
        <v/>
      </c>
      <c r="Q237" t="str">
        <f t="shared" si="66"/>
        <v/>
      </c>
      <c r="R237" s="26">
        <v>1</v>
      </c>
      <c r="S237">
        <f>IF(A237=1,MAX($S$2:$S236)+1,IF(OR($I237&lt;&gt;"",A237="x"),$S236,""))</f>
        <v>122</v>
      </c>
      <c r="T237" t="str">
        <f>IF(D237=1,MAX($T$2:$T236)+1,IF(S237=S236,$T236,IF(D237="x",T236,IF(D236="x","",""))))</f>
        <v/>
      </c>
      <c r="U237" t="str">
        <f>IF(B237=1,MAX($U$2:$U236)+1,IF(AND($T237&lt;&gt;"",$T237=$T236),$U236,IF(B237="x",U236,"")))</f>
        <v/>
      </c>
      <c r="V237" t="str">
        <f>IF(C237=1,MAX($V$2:$V236)+1,IF(AND($T237&lt;&gt;"",$T237=$T236),$U236,IF(C237="x",V236,"")))</f>
        <v/>
      </c>
      <c r="X237" cm="1">
        <f t="array" ref="X237">IF($I237&lt;&gt;"",$I237,INDEX($I$1:$I237,ROW()-COUNTIFS($T$1:$T237,"="&amp;$T237,$S$1:$S237,"&lt;"&amp;$S237)))</f>
        <v>91</v>
      </c>
      <c r="Z237" s="6">
        <f t="shared" si="61"/>
        <v>1</v>
      </c>
      <c r="AA237">
        <f t="shared" si="62"/>
        <v>1122</v>
      </c>
      <c r="AB237" t="str">
        <f t="shared" si="63"/>
        <v/>
      </c>
      <c r="AC237">
        <f t="shared" si="64"/>
        <v>1122</v>
      </c>
      <c r="BI237" s="40"/>
      <c r="BL237" s="40"/>
      <c r="BN237" s="19"/>
      <c r="BP237" s="17"/>
    </row>
    <row r="238" spans="1:68" x14ac:dyDescent="0.2">
      <c r="A238" t="str">
        <f t="shared" si="60"/>
        <v/>
      </c>
      <c r="E238" s="4"/>
      <c r="F238" s="46"/>
      <c r="G238" s="4"/>
      <c r="H238" s="48"/>
      <c r="I238" s="26">
        <v>73</v>
      </c>
      <c r="J238" s="26" t="str">
        <f t="shared" si="65"/>
        <v/>
      </c>
      <c r="N238" t="str">
        <f t="shared" si="67"/>
        <v/>
      </c>
      <c r="O238" t="s">
        <v>563</v>
      </c>
      <c r="Q238" t="str">
        <f t="shared" si="66"/>
        <v/>
      </c>
      <c r="R238" s="26">
        <v>1</v>
      </c>
      <c r="S238">
        <f>IF(A238=1,MAX($S$2:$S237)+1,IF(OR($I238&lt;&gt;"",A238="x"),$S237,""))</f>
        <v>122</v>
      </c>
      <c r="T238" t="str">
        <f>IF(D238=1,MAX($T$2:$T237)+1,IF(S238=S237,$T237,IF(D238="x",T237,IF(D237="x","",""))))</f>
        <v/>
      </c>
      <c r="U238" t="str">
        <f>IF(B238=1,MAX($U$2:$U237)+1,IF(AND($T238&lt;&gt;"",$T238=$T237),$U237,IF(B238="x",U237,"")))</f>
        <v/>
      </c>
      <c r="V238" t="str">
        <f>IF(C238=1,MAX($V$2:$V237)+1,IF(AND($T238&lt;&gt;"",$T238=$T237),$U237,IF(C238="x",V237,"")))</f>
        <v/>
      </c>
      <c r="X238" cm="1">
        <f t="array" ref="X238">IF($I238&lt;&gt;"",$I238,INDEX($I$1:$I238,ROW()-COUNTIFS($T$1:$T238,"="&amp;$T238,$S$1:$S238,"&lt;"&amp;$S238)))</f>
        <v>73</v>
      </c>
      <c r="Z238" s="6">
        <f t="shared" si="61"/>
        <v>1</v>
      </c>
      <c r="AA238">
        <f t="shared" si="62"/>
        <v>1122</v>
      </c>
      <c r="AB238" t="str">
        <f t="shared" si="63"/>
        <v/>
      </c>
      <c r="AC238">
        <f t="shared" si="64"/>
        <v>1122</v>
      </c>
      <c r="BI238" s="40"/>
      <c r="BL238" s="40"/>
      <c r="BN238" s="19"/>
      <c r="BP238" s="17"/>
    </row>
    <row r="239" spans="1:68" x14ac:dyDescent="0.2">
      <c r="A239">
        <f t="shared" si="60"/>
        <v>1</v>
      </c>
      <c r="E239" s="4"/>
      <c r="F239" s="46" t="s">
        <v>1048</v>
      </c>
      <c r="G239" s="4"/>
      <c r="H239" s="48"/>
      <c r="I239" s="26">
        <v>91</v>
      </c>
      <c r="J239" s="26" t="str">
        <f t="shared" si="65"/>
        <v/>
      </c>
      <c r="K239" t="s">
        <v>7</v>
      </c>
      <c r="L239" t="s">
        <v>172</v>
      </c>
      <c r="M239" t="s">
        <v>385</v>
      </c>
      <c r="N239" t="str">
        <f t="shared" si="67"/>
        <v>s</v>
      </c>
      <c r="O239" t="s">
        <v>538</v>
      </c>
      <c r="Q239" t="str">
        <f t="shared" si="66"/>
        <v>s</v>
      </c>
      <c r="R239" s="26">
        <v>1</v>
      </c>
      <c r="S239">
        <f>IF(A239=1,MAX($S$2:$S238)+1,IF(OR($I239&lt;&gt;"",A239="x"),$S238,""))</f>
        <v>123</v>
      </c>
      <c r="T239" t="str">
        <f>IF(D239=1,MAX($T$2:$T238)+1,IF(S239=S238,$T238,IF(D239="x",T238,IF(D238="x","",""))))</f>
        <v/>
      </c>
      <c r="U239" t="str">
        <f>IF(B239=1,MAX($U$2:$U238)+1,IF(AND($T239&lt;&gt;"",$T239=$T238),$U238,IF(B239="x",U238,"")))</f>
        <v/>
      </c>
      <c r="V239" t="str">
        <f>IF(C239=1,MAX($V$2:$V238)+1,IF(AND($T239&lt;&gt;"",$T239=$T238),$U238,IF(C239="x",V238,"")))</f>
        <v/>
      </c>
      <c r="X239" cm="1">
        <f t="array" ref="X239">IF($I239&lt;&gt;"",$I239,INDEX($I$1:$I239,ROW()-COUNTIFS($T$1:$T239,"="&amp;$T239,$S$1:$S239,"&lt;"&amp;$S239)))</f>
        <v>91</v>
      </c>
      <c r="Z239" s="6">
        <f t="shared" si="61"/>
        <v>1</v>
      </c>
      <c r="AA239">
        <f t="shared" si="62"/>
        <v>1123</v>
      </c>
      <c r="AB239" t="str">
        <f t="shared" si="63"/>
        <v/>
      </c>
      <c r="AC239">
        <f t="shared" si="64"/>
        <v>1123</v>
      </c>
      <c r="BI239" s="40"/>
      <c r="BL239" s="40"/>
      <c r="BN239" s="19"/>
      <c r="BP239" s="17"/>
    </row>
    <row r="240" spans="1:68" x14ac:dyDescent="0.2">
      <c r="A240" t="str">
        <f t="shared" si="60"/>
        <v/>
      </c>
      <c r="E240" s="4"/>
      <c r="F240" s="46"/>
      <c r="G240" s="4"/>
      <c r="H240" s="48"/>
      <c r="I240" s="26">
        <v>70</v>
      </c>
      <c r="J240" s="26" t="str">
        <f t="shared" si="65"/>
        <v/>
      </c>
      <c r="N240" t="str">
        <f t="shared" si="67"/>
        <v/>
      </c>
      <c r="Q240" t="str">
        <f t="shared" si="66"/>
        <v/>
      </c>
      <c r="S240">
        <f>IF(A240=1,MAX($S$2:$S239)+1,IF(OR($I240&lt;&gt;"",A240="x"),$S239,""))</f>
        <v>123</v>
      </c>
      <c r="T240" t="str">
        <f>IF(D240=1,MAX($T$2:$T239)+1,IF(S240=S239,$T239,IF(D240="x",T239,IF(D239="x","",""))))</f>
        <v/>
      </c>
      <c r="U240" t="str">
        <f>IF(B240=1,MAX($U$2:$U239)+1,IF(AND($T240&lt;&gt;"",$T240=$T239),$U239,IF(B240="x",U239,"")))</f>
        <v/>
      </c>
      <c r="V240" t="str">
        <f>IF(C240=1,MAX($V$2:$V239)+1,IF(AND($T240&lt;&gt;"",$T240=$T239),$U239,IF(C240="x",V239,"")))</f>
        <v/>
      </c>
      <c r="X240" cm="1">
        <f t="array" ref="X240">IF($I240&lt;&gt;"",$I240,INDEX($I$1:$I240,ROW()-COUNTIFS($T$1:$T240,"="&amp;$T240,$S$1:$S240,"&lt;"&amp;$S240)))</f>
        <v>70</v>
      </c>
      <c r="Z240" s="6">
        <f t="shared" si="61"/>
        <v>1</v>
      </c>
      <c r="AA240">
        <f t="shared" si="62"/>
        <v>1123</v>
      </c>
      <c r="AB240" t="str">
        <f t="shared" si="63"/>
        <v/>
      </c>
      <c r="AC240">
        <f t="shared" si="64"/>
        <v>1123</v>
      </c>
      <c r="BI240" s="40"/>
      <c r="BL240" s="40"/>
      <c r="BN240" s="19"/>
      <c r="BP240" s="17"/>
    </row>
    <row r="241" spans="1:68" x14ac:dyDescent="0.2">
      <c r="A241" t="str">
        <f t="shared" si="60"/>
        <v/>
      </c>
      <c r="E241" s="4"/>
      <c r="F241" s="46"/>
      <c r="G241" s="4"/>
      <c r="H241" s="48"/>
      <c r="I241" s="26">
        <v>73</v>
      </c>
      <c r="J241" s="26" t="str">
        <f t="shared" si="65"/>
        <v/>
      </c>
      <c r="N241" t="str">
        <f t="shared" si="67"/>
        <v/>
      </c>
      <c r="O241" t="s">
        <v>563</v>
      </c>
      <c r="Q241" t="str">
        <f t="shared" si="66"/>
        <v/>
      </c>
      <c r="R241" s="26">
        <v>1</v>
      </c>
      <c r="S241">
        <f>IF(A241=1,MAX($S$2:$S240)+1,IF(OR($I241&lt;&gt;"",A241="x"),$S240,""))</f>
        <v>123</v>
      </c>
      <c r="T241" t="str">
        <f>IF(D241=1,MAX($T$2:$T240)+1,IF(S241=S240,$T240,IF(D241="x",T240,IF(D240="x","",""))))</f>
        <v/>
      </c>
      <c r="U241" t="str">
        <f>IF(B241=1,MAX($U$2:$U240)+1,IF(AND($T241&lt;&gt;"",$T241=$T240),$U240,IF(B241="x",U240,"")))</f>
        <v/>
      </c>
      <c r="V241" t="str">
        <f>IF(C241=1,MAX($V$2:$V240)+1,IF(AND($T241&lt;&gt;"",$T241=$T240),$U240,IF(C241="x",V240,"")))</f>
        <v/>
      </c>
      <c r="X241" cm="1">
        <f t="array" ref="X241">IF($I241&lt;&gt;"",$I241,INDEX($I$1:$I241,ROW()-COUNTIFS($T$1:$T241,"="&amp;$T241,$S$1:$S241,"&lt;"&amp;$S241)))</f>
        <v>73</v>
      </c>
      <c r="Z241" s="6">
        <f t="shared" si="61"/>
        <v>1</v>
      </c>
      <c r="AA241">
        <f t="shared" si="62"/>
        <v>1123</v>
      </c>
      <c r="AB241" t="str">
        <f t="shared" si="63"/>
        <v/>
      </c>
      <c r="AC241">
        <f t="shared" si="64"/>
        <v>1123</v>
      </c>
      <c r="BI241" s="40"/>
      <c r="BL241" s="40"/>
      <c r="BN241" s="19"/>
      <c r="BP241" s="17"/>
    </row>
    <row r="242" spans="1:68" x14ac:dyDescent="0.2">
      <c r="A242">
        <f t="shared" si="60"/>
        <v>1</v>
      </c>
      <c r="E242" s="4"/>
      <c r="F242" s="46" t="s">
        <v>738</v>
      </c>
      <c r="G242" s="4"/>
      <c r="H242" s="48" t="s">
        <v>1063</v>
      </c>
      <c r="I242" s="26">
        <v>70</v>
      </c>
      <c r="J242" s="26" t="str">
        <f t="shared" si="65"/>
        <v/>
      </c>
      <c r="K242" t="s">
        <v>13</v>
      </c>
      <c r="N242" t="str">
        <f t="shared" si="67"/>
        <v/>
      </c>
      <c r="Q242" t="str">
        <f t="shared" si="66"/>
        <v/>
      </c>
      <c r="R242" s="26">
        <v>1</v>
      </c>
      <c r="S242">
        <f>IF(A242=1,MAX($S$2:$S241)+1,IF(OR($I242&lt;&gt;"",A242="x"),$S241,""))</f>
        <v>124</v>
      </c>
      <c r="T242" t="str">
        <f>IF(D242=1,MAX($T$2:$T241)+1,IF(S242=S241,$T241,IF(D242="x",T241,IF(D241="x","",""))))</f>
        <v/>
      </c>
      <c r="U242" t="str">
        <f>IF(B242=1,MAX($U$2:$U241)+1,IF(AND($T242&lt;&gt;"",$T242=$T241),$U241,IF(B242="x",U241,"")))</f>
        <v/>
      </c>
      <c r="V242" t="str">
        <f>IF(C242=1,MAX($V$2:$V241)+1,IF(AND($T242&lt;&gt;"",$T242=$T241),$U241,IF(C242="x",V241,"")))</f>
        <v/>
      </c>
      <c r="X242" cm="1">
        <f t="array" ref="X242">IF($I242&lt;&gt;"",$I242,INDEX($I$1:$I242,ROW()-COUNTIFS($T$1:$T242,"="&amp;$T242,$S$1:$S242,"&lt;"&amp;$S242)))</f>
        <v>70</v>
      </c>
      <c r="Z242" s="6">
        <f t="shared" si="61"/>
        <v>1</v>
      </c>
      <c r="AA242">
        <f t="shared" si="62"/>
        <v>1124</v>
      </c>
      <c r="AB242" t="str">
        <f t="shared" si="63"/>
        <v/>
      </c>
      <c r="AC242">
        <f t="shared" si="64"/>
        <v>1124</v>
      </c>
      <c r="BI242" s="40"/>
      <c r="BL242" s="40"/>
      <c r="BN242" s="19"/>
      <c r="BP242" s="17"/>
    </row>
    <row r="243" spans="1:68" x14ac:dyDescent="0.2">
      <c r="A243" t="str">
        <f t="shared" si="60"/>
        <v/>
      </c>
      <c r="E243" s="4"/>
      <c r="F243" s="46"/>
      <c r="G243" s="4"/>
      <c r="H243" s="48"/>
      <c r="I243" s="26">
        <v>73</v>
      </c>
      <c r="J243" s="26" t="str">
        <f t="shared" si="65"/>
        <v/>
      </c>
      <c r="N243" t="str">
        <f t="shared" si="67"/>
        <v/>
      </c>
      <c r="O243" t="s">
        <v>567</v>
      </c>
      <c r="Q243" t="str">
        <f t="shared" si="66"/>
        <v/>
      </c>
      <c r="R243" s="26">
        <v>1</v>
      </c>
      <c r="S243">
        <f>IF(A243=1,MAX($S$2:$S242)+1,IF(OR($I243&lt;&gt;"",A243="x"),$S242,""))</f>
        <v>124</v>
      </c>
      <c r="T243" t="str">
        <f>IF(D243=1,MAX($T$2:$T242)+1,IF(S243=S242,$T242,IF(D243="x",T242,IF(D242="x","",""))))</f>
        <v/>
      </c>
      <c r="U243" t="str">
        <f>IF(B243=1,MAX($U$2:$U242)+1,IF(AND($T243&lt;&gt;"",$T243=$T242),$U242,IF(B243="x",U242,"")))</f>
        <v/>
      </c>
      <c r="V243" t="str">
        <f>IF(C243=1,MAX($V$2:$V242)+1,IF(AND($T243&lt;&gt;"",$T243=$T242),$U242,IF(C243="x",V242,"")))</f>
        <v/>
      </c>
      <c r="X243" cm="1">
        <f t="array" ref="X243">IF($I243&lt;&gt;"",$I243,INDEX($I$1:$I243,ROW()-COUNTIFS($T$1:$T243,"="&amp;$T243,$S$1:$S243,"&lt;"&amp;$S243)))</f>
        <v>73</v>
      </c>
      <c r="Z243" s="6">
        <f t="shared" si="61"/>
        <v>1</v>
      </c>
      <c r="AA243">
        <f t="shared" si="62"/>
        <v>1124</v>
      </c>
      <c r="AB243" t="str">
        <f t="shared" si="63"/>
        <v/>
      </c>
      <c r="AC243">
        <f t="shared" si="64"/>
        <v>1124</v>
      </c>
      <c r="BI243" s="40"/>
      <c r="BL243" s="40"/>
      <c r="BN243" s="19"/>
      <c r="BP243" s="17"/>
    </row>
    <row r="244" spans="1:68" x14ac:dyDescent="0.2">
      <c r="A244" t="str">
        <f t="shared" si="60"/>
        <v/>
      </c>
      <c r="E244" s="4"/>
      <c r="F244" s="46"/>
      <c r="G244" s="4"/>
      <c r="H244" s="48"/>
      <c r="I244" s="26">
        <v>19</v>
      </c>
      <c r="J244" s="26" t="str">
        <f t="shared" si="65"/>
        <v/>
      </c>
      <c r="N244" t="str">
        <f t="shared" si="67"/>
        <v/>
      </c>
      <c r="O244" t="s">
        <v>567</v>
      </c>
      <c r="Q244" t="str">
        <f t="shared" si="66"/>
        <v/>
      </c>
      <c r="R244" s="26">
        <v>1</v>
      </c>
      <c r="S244">
        <f>IF(A244=1,MAX($S$2:$S243)+1,IF(OR($I244&lt;&gt;"",A244="x"),$S243,""))</f>
        <v>124</v>
      </c>
      <c r="T244" t="str">
        <f>IF(D244=1,MAX($T$2:$T243)+1,IF(S244=S243,$T243,IF(D244="x",T243,IF(D243="x","",""))))</f>
        <v/>
      </c>
      <c r="U244" t="str">
        <f>IF(B244=1,MAX($U$2:$U243)+1,IF(AND($T244&lt;&gt;"",$T244=$T243),$U243,IF(B244="x",U243,"")))</f>
        <v/>
      </c>
      <c r="V244" t="str">
        <f>IF(C244=1,MAX($V$2:$V243)+1,IF(AND($T244&lt;&gt;"",$T244=$T243),$U243,IF(C244="x",V243,"")))</f>
        <v/>
      </c>
      <c r="X244" cm="1">
        <f t="array" ref="X244">IF($I244&lt;&gt;"",$I244,INDEX($I$1:$I244,ROW()-COUNTIFS($T$1:$T244,"="&amp;$T244,$S$1:$S244,"&lt;"&amp;$S244)))</f>
        <v>19</v>
      </c>
      <c r="Z244" s="6">
        <f t="shared" si="61"/>
        <v>1</v>
      </c>
      <c r="AA244">
        <f t="shared" si="62"/>
        <v>1124</v>
      </c>
      <c r="AB244" t="str">
        <f t="shared" si="63"/>
        <v/>
      </c>
      <c r="AC244">
        <f t="shared" si="64"/>
        <v>1124</v>
      </c>
      <c r="BI244" s="40"/>
      <c r="BL244" s="40"/>
      <c r="BN244" s="19"/>
      <c r="BP244" s="17"/>
    </row>
    <row r="245" spans="1:68" x14ac:dyDescent="0.2">
      <c r="A245">
        <f t="shared" si="60"/>
        <v>1</v>
      </c>
      <c r="D245" s="26">
        <v>1</v>
      </c>
      <c r="E245" s="4"/>
      <c r="F245" s="46"/>
      <c r="G245" s="4"/>
      <c r="H245" s="48"/>
      <c r="I245" s="26">
        <v>70</v>
      </c>
      <c r="J245" s="26" t="str">
        <f t="shared" si="65"/>
        <v>o</v>
      </c>
      <c r="K245" t="s">
        <v>6</v>
      </c>
      <c r="L245" t="s">
        <v>240</v>
      </c>
      <c r="N245" t="str">
        <f t="shared" si="67"/>
        <v>s</v>
      </c>
      <c r="Q245" t="str">
        <f t="shared" si="66"/>
        <v/>
      </c>
      <c r="R245" s="26">
        <v>1</v>
      </c>
      <c r="S245">
        <f>IF(A245=1,MAX($S$2:$S244)+1,IF(OR($I245&lt;&gt;"",A245="x"),$S244,""))</f>
        <v>125</v>
      </c>
      <c r="T245">
        <f>IF(D245=1,MAX($T$2:$T244)+1,IF(S245=S244,$T244,IF(D245="x",T244,IF(D244="x","",""))))</f>
        <v>18</v>
      </c>
      <c r="U245" t="str">
        <f>IF(B245=1,MAX($U$2:$U244)+1,IF(AND($T245&lt;&gt;"",$T245=$T244),$U244,IF(B245="x",U244,"")))</f>
        <v/>
      </c>
      <c r="V245" t="str">
        <f>IF(C245=1,MAX($V$2:$V244)+1,IF(AND($T245&lt;&gt;"",$T245=$T244),$U244,IF(C245="x",V244,"")))</f>
        <v/>
      </c>
      <c r="X245" cm="1">
        <f t="array" ref="X245">IF($I245&lt;&gt;"",$I245,INDEX($I$1:$I245,ROW()-COUNTIFS($T$1:$T245,"="&amp;$T245,$S$1:$S245,"&lt;"&amp;$S245)))</f>
        <v>70</v>
      </c>
      <c r="Z245" s="6">
        <f t="shared" si="61"/>
        <v>1</v>
      </c>
      <c r="AA245">
        <f t="shared" si="62"/>
        <v>1125</v>
      </c>
      <c r="AB245">
        <f t="shared" si="63"/>
        <v>9018</v>
      </c>
      <c r="AC245">
        <f t="shared" si="64"/>
        <v>9018</v>
      </c>
      <c r="BI245" s="40"/>
      <c r="BL245" s="40"/>
      <c r="BN245" s="19"/>
      <c r="BP245" s="17"/>
    </row>
    <row r="246" spans="1:68" x14ac:dyDescent="0.2">
      <c r="A246" t="str">
        <f t="shared" si="60"/>
        <v>x</v>
      </c>
      <c r="D246" s="26" t="s">
        <v>729</v>
      </c>
      <c r="E246" s="4"/>
      <c r="F246" s="46"/>
      <c r="G246" s="4"/>
      <c r="H246" s="48"/>
      <c r="I246" s="26">
        <v>1</v>
      </c>
      <c r="J246" s="26" t="str">
        <f t="shared" si="65"/>
        <v/>
      </c>
      <c r="N246" t="str">
        <f t="shared" si="67"/>
        <v/>
      </c>
      <c r="Q246" t="str">
        <f t="shared" si="66"/>
        <v/>
      </c>
      <c r="S246">
        <f>IF(A246=1,MAX($S$2:$S245)+1,IF(OR($I246&lt;&gt;"",A246="x"),$S245,""))</f>
        <v>125</v>
      </c>
      <c r="T246">
        <f>IF(D246=1,MAX($T$2:$T245)+1,IF(S246=S245,$T245,IF(D246="x",T245,IF(D245="x","",""))))</f>
        <v>18</v>
      </c>
      <c r="U246" t="str">
        <f>IF(B246=1,MAX($U$2:$U245)+1,IF(AND($T246&lt;&gt;"",$T246=$T245),$U245,IF(B246="x",U245,"")))</f>
        <v/>
      </c>
      <c r="V246" t="str">
        <f>IF(C246=1,MAX($V$2:$V245)+1,IF(AND($T246&lt;&gt;"",$T246=$T245),$U245,IF(C246="x",V245,"")))</f>
        <v/>
      </c>
      <c r="X246" cm="1">
        <f t="array" ref="X246">IF($I246&lt;&gt;"",$I246,INDEX($I$1:$I246,ROW()-COUNTIFS($T$1:$T246,"="&amp;$T246,$S$1:$S246,"&lt;"&amp;$S246)))</f>
        <v>1</v>
      </c>
      <c r="Z246" s="6">
        <f t="shared" si="61"/>
        <v>1</v>
      </c>
      <c r="AA246">
        <f t="shared" si="62"/>
        <v>1125</v>
      </c>
      <c r="AB246">
        <f t="shared" si="63"/>
        <v>9018</v>
      </c>
      <c r="AC246">
        <f t="shared" si="64"/>
        <v>9018</v>
      </c>
      <c r="BI246" s="40"/>
      <c r="BL246" s="40"/>
      <c r="BN246" s="19"/>
      <c r="BP246" s="17"/>
    </row>
    <row r="247" spans="1:68" x14ac:dyDescent="0.2">
      <c r="A247" t="str">
        <f t="shared" si="60"/>
        <v>x</v>
      </c>
      <c r="D247" s="26" t="s">
        <v>729</v>
      </c>
      <c r="E247" s="4"/>
      <c r="F247" s="46"/>
      <c r="G247" s="4"/>
      <c r="H247" s="48"/>
      <c r="I247" s="26">
        <v>73</v>
      </c>
      <c r="J247" s="26" t="str">
        <f t="shared" si="65"/>
        <v/>
      </c>
      <c r="N247" t="str">
        <f t="shared" si="67"/>
        <v/>
      </c>
      <c r="O247" t="s">
        <v>567</v>
      </c>
      <c r="Q247" t="str">
        <f t="shared" si="66"/>
        <v/>
      </c>
      <c r="R247" s="26">
        <v>1</v>
      </c>
      <c r="S247">
        <f>IF(A247=1,MAX($S$2:$S246)+1,IF(OR($I247&lt;&gt;"",A247="x"),$S246,""))</f>
        <v>125</v>
      </c>
      <c r="T247">
        <f>IF(D247=1,MAX($T$2:$T246)+1,IF(S247=S246,$T246,IF(D247="x",T246,IF(D246="x","",""))))</f>
        <v>18</v>
      </c>
      <c r="U247" t="str">
        <f>IF(B247=1,MAX($U$2:$U246)+1,IF(AND($T247&lt;&gt;"",$T247=$T246),$U246,IF(B247="x",U246,"")))</f>
        <v/>
      </c>
      <c r="V247" t="str">
        <f>IF(C247=1,MAX($V$2:$V246)+1,IF(AND($T247&lt;&gt;"",$T247=$T246),$U246,IF(C247="x",V246,"")))</f>
        <v/>
      </c>
      <c r="X247" cm="1">
        <f t="array" ref="X247">IF($I247&lt;&gt;"",$I247,INDEX($I$1:$I247,ROW()-COUNTIFS($T$1:$T247,"="&amp;$T247,$S$1:$S247,"&lt;"&amp;$S247)))</f>
        <v>73</v>
      </c>
      <c r="Z247" s="6">
        <f t="shared" si="61"/>
        <v>1</v>
      </c>
      <c r="AA247">
        <f t="shared" si="62"/>
        <v>1125</v>
      </c>
      <c r="AB247">
        <f t="shared" si="63"/>
        <v>9018</v>
      </c>
      <c r="AC247">
        <f t="shared" si="64"/>
        <v>9018</v>
      </c>
      <c r="BI247" s="40"/>
      <c r="BL247" s="40"/>
      <c r="BN247" s="19"/>
      <c r="BP247" s="17"/>
    </row>
    <row r="248" spans="1:68" x14ac:dyDescent="0.2">
      <c r="A248" t="str">
        <f t="shared" si="60"/>
        <v>x</v>
      </c>
      <c r="D248" s="26" t="s">
        <v>729</v>
      </c>
      <c r="E248" s="4"/>
      <c r="F248" s="46"/>
      <c r="G248" s="4"/>
      <c r="H248" s="48"/>
      <c r="I248" s="26">
        <v>19</v>
      </c>
      <c r="J248" s="26" t="str">
        <f t="shared" si="65"/>
        <v/>
      </c>
      <c r="N248" t="str">
        <f t="shared" si="67"/>
        <v/>
      </c>
      <c r="O248" t="s">
        <v>567</v>
      </c>
      <c r="Q248" t="str">
        <f t="shared" si="66"/>
        <v/>
      </c>
      <c r="R248" s="26">
        <v>1</v>
      </c>
      <c r="S248">
        <f>IF(A248=1,MAX($S$2:$S247)+1,IF(OR($I248&lt;&gt;"",A248="x"),$S247,""))</f>
        <v>125</v>
      </c>
      <c r="T248">
        <f>IF(D248=1,MAX($T$2:$T247)+1,IF(S248=S247,$T247,IF(D248="x",T247,IF(D247="x","",""))))</f>
        <v>18</v>
      </c>
      <c r="U248" t="str">
        <f>IF(B248=1,MAX($U$2:$U247)+1,IF(AND($T248&lt;&gt;"",$T248=$T247),$U247,IF(B248="x",U247,"")))</f>
        <v/>
      </c>
      <c r="V248" t="str">
        <f>IF(C248=1,MAX($V$2:$V247)+1,IF(AND($T248&lt;&gt;"",$T248=$T247),$U247,IF(C248="x",V247,"")))</f>
        <v/>
      </c>
      <c r="X248" cm="1">
        <f t="array" ref="X248">IF($I248&lt;&gt;"",$I248,INDEX($I$1:$I248,ROW()-COUNTIFS($T$1:$T248,"="&amp;$T248,$S$1:$S248,"&lt;"&amp;$S248)))</f>
        <v>19</v>
      </c>
      <c r="Z248" s="6">
        <f t="shared" si="61"/>
        <v>1</v>
      </c>
      <c r="AA248">
        <f t="shared" si="62"/>
        <v>1125</v>
      </c>
      <c r="AB248">
        <f t="shared" si="63"/>
        <v>9018</v>
      </c>
      <c r="AC248">
        <f t="shared" si="64"/>
        <v>9018</v>
      </c>
      <c r="BI248" s="40"/>
      <c r="BL248" s="40"/>
      <c r="BN248" s="19"/>
      <c r="BP248" s="17"/>
    </row>
    <row r="249" spans="1:68" x14ac:dyDescent="0.2">
      <c r="A249">
        <f t="shared" si="60"/>
        <v>1</v>
      </c>
      <c r="D249" s="26" t="s">
        <v>729</v>
      </c>
      <c r="E249" s="4"/>
      <c r="F249" s="46"/>
      <c r="G249" s="4"/>
      <c r="H249" s="48"/>
      <c r="J249" s="26" t="str">
        <f t="shared" si="65"/>
        <v>o</v>
      </c>
      <c r="K249" t="s">
        <v>8</v>
      </c>
      <c r="L249" t="s">
        <v>213</v>
      </c>
      <c r="M249" t="s">
        <v>216</v>
      </c>
      <c r="N249" t="str">
        <f t="shared" si="67"/>
        <v>s</v>
      </c>
      <c r="Q249" t="str">
        <f t="shared" si="66"/>
        <v/>
      </c>
      <c r="S249">
        <f>IF(A249=1,MAX($S$2:$S248)+1,IF(OR($I249&lt;&gt;"",A249="x"),$S248,""))</f>
        <v>126</v>
      </c>
      <c r="T249">
        <f>IF(D249=1,MAX($T$2:$T248)+1,IF(S249=S248,$T248,IF(D249="x",T248,IF(D248="x","",""))))</f>
        <v>18</v>
      </c>
      <c r="U249" t="str">
        <f>IF(B249=1,MAX($U$2:$U248)+1,IF(AND($T249&lt;&gt;"",$T249=$T248),$U248,IF(B249="x",U248,"")))</f>
        <v/>
      </c>
      <c r="V249" t="str">
        <f>IF(C249=1,MAX($V$2:$V248)+1,IF(AND($T249&lt;&gt;"",$T249=$T248),$U248,IF(C249="x",V248,"")))</f>
        <v/>
      </c>
      <c r="X249" cm="1">
        <f t="array" ref="X249">IF($I249&lt;&gt;"",$I249,INDEX($I$1:$I249,ROW()-COUNTIFS($T$1:$T249,"="&amp;$T249,$S$1:$S249,"&lt;"&amp;$S249)))</f>
        <v>70</v>
      </c>
      <c r="Z249" s="6">
        <f t="shared" si="61"/>
        <v>1</v>
      </c>
      <c r="AA249">
        <f t="shared" si="62"/>
        <v>1126</v>
      </c>
      <c r="AB249">
        <f t="shared" si="63"/>
        <v>9018</v>
      </c>
      <c r="AC249">
        <f t="shared" si="64"/>
        <v>9018</v>
      </c>
      <c r="BI249" s="40"/>
      <c r="BL249" s="40"/>
      <c r="BN249" s="19"/>
      <c r="BP249" s="17"/>
    </row>
    <row r="250" spans="1:68" x14ac:dyDescent="0.2">
      <c r="A250" t="str">
        <f t="shared" si="60"/>
        <v>x</v>
      </c>
      <c r="D250" s="26" t="s">
        <v>729</v>
      </c>
      <c r="E250" s="4"/>
      <c r="F250" s="46"/>
      <c r="G250" s="4"/>
      <c r="H250" s="48"/>
      <c r="J250" s="26" t="str">
        <f t="shared" si="65"/>
        <v/>
      </c>
      <c r="N250" t="str">
        <f t="shared" si="67"/>
        <v/>
      </c>
      <c r="Q250" t="str">
        <f t="shared" si="66"/>
        <v/>
      </c>
      <c r="S250">
        <f>IF(A250=1,MAX($S$2:$S249)+1,IF(OR($I250&lt;&gt;"",A250="x"),$S249,""))</f>
        <v>126</v>
      </c>
      <c r="T250">
        <f>IF(D250=1,MAX($T$2:$T249)+1,IF(S250=S249,$T249,IF(D250="x",T249,IF(D249="x","",""))))</f>
        <v>18</v>
      </c>
      <c r="U250" t="str">
        <f>IF(B250=1,MAX($U$2:$U249)+1,IF(AND($T250&lt;&gt;"",$T250=$T249),$U249,IF(B250="x",U249,"")))</f>
        <v/>
      </c>
      <c r="V250" t="str">
        <f>IF(C250=1,MAX($V$2:$V249)+1,IF(AND($T250&lt;&gt;"",$T250=$T249),$U249,IF(C250="x",V249,"")))</f>
        <v/>
      </c>
      <c r="X250" cm="1">
        <f t="array" ref="X250">IF($I250&lt;&gt;"",$I250,INDEX($I$1:$I250,ROW()-COUNTIFS($T$1:$T250,"="&amp;$T250,$S$1:$S250,"&lt;"&amp;$S250)))</f>
        <v>1</v>
      </c>
      <c r="Z250" s="6">
        <f t="shared" si="61"/>
        <v>1</v>
      </c>
      <c r="AA250">
        <f t="shared" si="62"/>
        <v>1126</v>
      </c>
      <c r="AB250">
        <f t="shared" si="63"/>
        <v>9018</v>
      </c>
      <c r="AC250">
        <f t="shared" si="64"/>
        <v>9018</v>
      </c>
      <c r="BI250" s="40"/>
      <c r="BL250" s="40"/>
      <c r="BN250" s="19"/>
      <c r="BP250" s="17"/>
    </row>
    <row r="251" spans="1:68" x14ac:dyDescent="0.2">
      <c r="A251" t="str">
        <f t="shared" si="60"/>
        <v>x</v>
      </c>
      <c r="D251" s="26" t="s">
        <v>729</v>
      </c>
      <c r="E251" s="4"/>
      <c r="F251" s="46"/>
      <c r="G251" s="4"/>
      <c r="H251" s="48"/>
      <c r="J251" s="26" t="str">
        <f t="shared" si="65"/>
        <v/>
      </c>
      <c r="N251" t="str">
        <f t="shared" si="67"/>
        <v/>
      </c>
      <c r="Q251" t="str">
        <f t="shared" si="66"/>
        <v/>
      </c>
      <c r="S251">
        <f>IF(A251=1,MAX($S$2:$S250)+1,IF(OR($I251&lt;&gt;"",A251="x"),$S250,""))</f>
        <v>126</v>
      </c>
      <c r="T251">
        <f>IF(D251=1,MAX($T$2:$T250)+1,IF(S251=S250,$T250,IF(D251="x",T250,IF(D250="x","",""))))</f>
        <v>18</v>
      </c>
      <c r="U251" t="str">
        <f>IF(B251=1,MAX($U$2:$U250)+1,IF(AND($T251&lt;&gt;"",$T251=$T250),$U250,IF(B251="x",U250,"")))</f>
        <v/>
      </c>
      <c r="V251" t="str">
        <f>IF(C251=1,MAX($V$2:$V250)+1,IF(AND($T251&lt;&gt;"",$T251=$T250),$U250,IF(C251="x",V250,"")))</f>
        <v/>
      </c>
      <c r="X251" cm="1">
        <f t="array" ref="X251">IF($I251&lt;&gt;"",$I251,INDEX($I$1:$I251,ROW()-COUNTIFS($T$1:$T251,"="&amp;$T251,$S$1:$S251,"&lt;"&amp;$S251)))</f>
        <v>73</v>
      </c>
      <c r="Z251" s="6">
        <f t="shared" si="61"/>
        <v>1</v>
      </c>
      <c r="AA251">
        <f t="shared" si="62"/>
        <v>1126</v>
      </c>
      <c r="AB251">
        <f t="shared" si="63"/>
        <v>9018</v>
      </c>
      <c r="AC251">
        <f t="shared" si="64"/>
        <v>9018</v>
      </c>
      <c r="BI251" s="40"/>
      <c r="BL251" s="40"/>
      <c r="BN251" s="19"/>
      <c r="BP251" s="17"/>
    </row>
    <row r="252" spans="1:68" x14ac:dyDescent="0.2">
      <c r="A252" t="str">
        <f t="shared" si="60"/>
        <v>x</v>
      </c>
      <c r="D252" s="26" t="s">
        <v>729</v>
      </c>
      <c r="E252" s="4"/>
      <c r="F252" s="46"/>
      <c r="G252" s="4"/>
      <c r="H252" s="48"/>
      <c r="J252" s="26" t="str">
        <f t="shared" si="65"/>
        <v/>
      </c>
      <c r="N252" t="str">
        <f t="shared" si="67"/>
        <v/>
      </c>
      <c r="Q252" t="str">
        <f t="shared" si="66"/>
        <v/>
      </c>
      <c r="S252">
        <f>IF(A252=1,MAX($S$2:$S251)+1,IF(OR($I252&lt;&gt;"",A252="x"),$S251,""))</f>
        <v>126</v>
      </c>
      <c r="T252">
        <f>IF(D252=1,MAX($T$2:$T251)+1,IF(S252=S251,$T251,IF(D252="x",T251,IF(D251="x","",""))))</f>
        <v>18</v>
      </c>
      <c r="U252" t="str">
        <f>IF(B252=1,MAX($U$2:$U251)+1,IF(AND($T252&lt;&gt;"",$T252=$T251),$U251,IF(B252="x",U251,"")))</f>
        <v/>
      </c>
      <c r="V252" t="str">
        <f>IF(C252=1,MAX($V$2:$V251)+1,IF(AND($T252&lt;&gt;"",$T252=$T251),$U251,IF(C252="x",V251,"")))</f>
        <v/>
      </c>
      <c r="X252" cm="1">
        <f t="array" ref="X252">IF($I252&lt;&gt;"",$I252,INDEX($I$1:$I252,ROW()-COUNTIFS($T$1:$T252,"="&amp;$T252,$S$1:$S252,"&lt;"&amp;$S252)))</f>
        <v>19</v>
      </c>
      <c r="Z252" s="6">
        <f t="shared" si="61"/>
        <v>1</v>
      </c>
      <c r="AA252">
        <f t="shared" si="62"/>
        <v>1126</v>
      </c>
      <c r="AB252">
        <f t="shared" si="63"/>
        <v>9018</v>
      </c>
      <c r="AC252">
        <f t="shared" si="64"/>
        <v>9018</v>
      </c>
      <c r="BI252" s="40"/>
      <c r="BL252" s="40"/>
      <c r="BN252" s="19"/>
      <c r="BP252" s="17"/>
    </row>
    <row r="253" spans="1:68" x14ac:dyDescent="0.2">
      <c r="A253">
        <f t="shared" si="60"/>
        <v>1</v>
      </c>
      <c r="D253" s="26" t="s">
        <v>729</v>
      </c>
      <c r="E253" s="4"/>
      <c r="F253" s="46"/>
      <c r="G253" s="4"/>
      <c r="H253" s="48"/>
      <c r="I253" s="26">
        <v>70</v>
      </c>
      <c r="J253" s="26" t="str">
        <f t="shared" si="65"/>
        <v>o</v>
      </c>
      <c r="K253" t="s">
        <v>11</v>
      </c>
      <c r="L253" t="s">
        <v>187</v>
      </c>
      <c r="M253" t="s">
        <v>40</v>
      </c>
      <c r="N253" t="str">
        <f t="shared" si="67"/>
        <v/>
      </c>
      <c r="Q253" t="str">
        <f t="shared" si="66"/>
        <v/>
      </c>
      <c r="S253">
        <f>IF(A253=1,MAX($S$2:$S252)+1,IF(OR($I253&lt;&gt;"",A253="x"),$S252,""))</f>
        <v>127</v>
      </c>
      <c r="T253">
        <f>IF(D253=1,MAX($T$2:$T252)+1,IF(S253=S252,$T252,IF(D253="x",T252,IF(D252="x","",""))))</f>
        <v>18</v>
      </c>
      <c r="U253" t="str">
        <f>IF(B253=1,MAX($U$2:$U252)+1,IF(AND($T253&lt;&gt;"",$T253=$T252),$U252,IF(B253="x",U252,"")))</f>
        <v/>
      </c>
      <c r="V253" t="str">
        <f>IF(C253=1,MAX($V$2:$V252)+1,IF(AND($T253&lt;&gt;"",$T253=$T252),$U252,IF(C253="x",V252,"")))</f>
        <v/>
      </c>
      <c r="X253" cm="1">
        <f t="array" ref="X253">IF($I253&lt;&gt;"",$I253,INDEX($I$1:$I253,ROW()-COUNTIFS($T$1:$T253,"="&amp;$T253,$S$1:$S253,"&lt;"&amp;$S253)))</f>
        <v>70</v>
      </c>
      <c r="Z253" s="6">
        <f t="shared" si="61"/>
        <v>1</v>
      </c>
      <c r="AA253">
        <f t="shared" si="62"/>
        <v>1127</v>
      </c>
      <c r="AB253">
        <f t="shared" si="63"/>
        <v>9018</v>
      </c>
      <c r="AC253">
        <f t="shared" si="64"/>
        <v>9018</v>
      </c>
      <c r="BI253" s="40"/>
      <c r="BL253" s="40"/>
      <c r="BN253" s="19"/>
      <c r="BP253" s="17"/>
    </row>
    <row r="254" spans="1:68" x14ac:dyDescent="0.2">
      <c r="A254">
        <f t="shared" si="60"/>
        <v>1</v>
      </c>
      <c r="D254" s="26" t="s">
        <v>729</v>
      </c>
      <c r="E254" s="4"/>
      <c r="F254" s="46"/>
      <c r="G254" s="4"/>
      <c r="H254" s="48" t="s">
        <v>1042</v>
      </c>
      <c r="I254" s="26">
        <v>70</v>
      </c>
      <c r="J254" s="26" t="str">
        <f t="shared" si="65"/>
        <v>o</v>
      </c>
      <c r="K254" t="s">
        <v>241</v>
      </c>
      <c r="N254" t="str">
        <f t="shared" si="67"/>
        <v/>
      </c>
      <c r="Q254" t="str">
        <f t="shared" si="66"/>
        <v/>
      </c>
      <c r="S254">
        <f>IF(A254=1,MAX($S$2:$S253)+1,IF(OR($I254&lt;&gt;"",A254="x"),$S253,""))</f>
        <v>128</v>
      </c>
      <c r="T254">
        <f>IF(D254=1,MAX($T$2:$T253)+1,IF(S254=S253,$T253,IF(D254="x",T253,IF(D253="x","",""))))</f>
        <v>18</v>
      </c>
      <c r="U254" t="str">
        <f>IF(B254=1,MAX($U$2:$U253)+1,IF(AND($T254&lt;&gt;"",$T254=$T253),$U253,IF(B254="x",U253,"")))</f>
        <v/>
      </c>
      <c r="V254" t="str">
        <f>IF(C254=1,MAX($V$2:$V253)+1,IF(AND($T254&lt;&gt;"",$T254=$T253),$U253,IF(C254="x",V253,"")))</f>
        <v/>
      </c>
      <c r="X254" cm="1">
        <f t="array" ref="X254">IF($I254&lt;&gt;"",$I254,INDEX($I$1:$I254,ROW()-COUNTIFS($T$1:$T254,"="&amp;$T254,$S$1:$S254,"&lt;"&amp;$S254)))</f>
        <v>70</v>
      </c>
      <c r="Z254" s="6">
        <f t="shared" si="61"/>
        <v>1</v>
      </c>
      <c r="AA254">
        <f t="shared" si="62"/>
        <v>1128</v>
      </c>
      <c r="AB254">
        <f t="shared" si="63"/>
        <v>9018</v>
      </c>
      <c r="AC254">
        <f t="shared" si="64"/>
        <v>9018</v>
      </c>
      <c r="BI254" s="40"/>
      <c r="BL254" s="40"/>
      <c r="BN254" s="19"/>
      <c r="BP254" s="17"/>
    </row>
    <row r="255" spans="1:68" x14ac:dyDescent="0.2">
      <c r="A255">
        <f t="shared" si="60"/>
        <v>1</v>
      </c>
      <c r="E255" s="4"/>
      <c r="F255" s="46"/>
      <c r="G255" s="4"/>
      <c r="H255" s="48"/>
      <c r="I255" s="26">
        <v>70</v>
      </c>
      <c r="J255" s="26" t="s">
        <v>734</v>
      </c>
      <c r="K255" t="s">
        <v>5</v>
      </c>
      <c r="L255" t="s">
        <v>190</v>
      </c>
      <c r="N255" t="str">
        <f t="shared" si="67"/>
        <v/>
      </c>
      <c r="Q255" t="str">
        <f t="shared" si="66"/>
        <v/>
      </c>
      <c r="S255">
        <f>IF(A255=1,MAX($S$2:$S254)+1,IF(OR($I255&lt;&gt;"",A255="x"),$S254,""))</f>
        <v>129</v>
      </c>
      <c r="T255" t="str">
        <f>IF(D255=1,MAX($T$2:$T254)+1,IF(S255=S254,$T254,IF(D255="x",T254,IF(D254="x","",""))))</f>
        <v/>
      </c>
      <c r="U255" t="str">
        <f>IF(B255=1,MAX($U$2:$U254)+1,IF(AND($T255&lt;&gt;"",$T255=$T254),$U254,IF(B255="x",U254,"")))</f>
        <v/>
      </c>
      <c r="V255" t="str">
        <f>IF(C255=1,MAX($V$2:$V254)+1,IF(AND($T255&lt;&gt;"",$T255=$T254),$U254,IF(C255="x",V254,"")))</f>
        <v/>
      </c>
      <c r="X255" cm="1">
        <f t="array" ref="X255">IF($I255&lt;&gt;"",$I255,INDEX($I$1:$I255,ROW()-COUNTIFS($T$1:$T255,"="&amp;$T255,$S$1:$S255,"&lt;"&amp;$S255)))</f>
        <v>70</v>
      </c>
      <c r="Z255" s="6">
        <f t="shared" si="61"/>
        <v>1</v>
      </c>
      <c r="AA255">
        <f t="shared" si="62"/>
        <v>1129</v>
      </c>
      <c r="AB255" t="str">
        <f t="shared" si="63"/>
        <v/>
      </c>
      <c r="AC255">
        <f t="shared" si="64"/>
        <v>1129</v>
      </c>
      <c r="BI255" s="40"/>
      <c r="BL255" s="40"/>
      <c r="BN255" s="19"/>
      <c r="BP255" s="17"/>
    </row>
    <row r="256" spans="1:68" x14ac:dyDescent="0.2">
      <c r="A256" t="str">
        <f t="shared" si="60"/>
        <v/>
      </c>
      <c r="E256" s="4"/>
      <c r="F256" s="46"/>
      <c r="G256" s="4"/>
      <c r="H256" s="48"/>
      <c r="I256" s="26">
        <v>73</v>
      </c>
      <c r="J256" s="26" t="str">
        <f t="shared" si="65"/>
        <v/>
      </c>
      <c r="N256" t="str">
        <f t="shared" si="67"/>
        <v/>
      </c>
      <c r="Q256" t="str">
        <f t="shared" si="66"/>
        <v/>
      </c>
      <c r="S256">
        <f>IF(A256=1,MAX($S$2:$S255)+1,IF(OR($I256&lt;&gt;"",A256="x"),$S255,""))</f>
        <v>129</v>
      </c>
      <c r="T256" t="str">
        <f>IF(D256=1,MAX($T$2:$T255)+1,IF(S256=S255,$T255,IF(D256="x",T255,IF(D255="x","",""))))</f>
        <v/>
      </c>
      <c r="U256" t="str">
        <f>IF(B256=1,MAX($U$2:$U255)+1,IF(AND($T256&lt;&gt;"",$T256=$T255),$U255,IF(B256="x",U255,"")))</f>
        <v/>
      </c>
      <c r="V256" t="str">
        <f>IF(C256=1,MAX($V$2:$V255)+1,IF(AND($T256&lt;&gt;"",$T256=$T255),$U255,IF(C256="x",V255,"")))</f>
        <v/>
      </c>
      <c r="X256" cm="1">
        <f t="array" ref="X256">IF($I256&lt;&gt;"",$I256,INDEX($I$1:$I256,ROW()-COUNTIFS($T$1:$T256,"="&amp;$T256,$S$1:$S256,"&lt;"&amp;$S256)))</f>
        <v>73</v>
      </c>
      <c r="Z256" s="6">
        <f t="shared" si="61"/>
        <v>1</v>
      </c>
      <c r="AA256">
        <f t="shared" si="62"/>
        <v>1129</v>
      </c>
      <c r="AB256" t="str">
        <f t="shared" si="63"/>
        <v/>
      </c>
      <c r="AC256">
        <f t="shared" si="64"/>
        <v>1129</v>
      </c>
      <c r="BI256" s="40"/>
      <c r="BL256" s="40"/>
      <c r="BN256" s="19"/>
      <c r="BP256" s="17"/>
    </row>
    <row r="257" spans="1:68" x14ac:dyDescent="0.2">
      <c r="A257">
        <f t="shared" si="60"/>
        <v>1</v>
      </c>
      <c r="E257" s="4"/>
      <c r="F257" s="46"/>
      <c r="G257" s="4"/>
      <c r="H257" s="48" t="s">
        <v>1051</v>
      </c>
      <c r="I257" s="26">
        <v>70</v>
      </c>
      <c r="J257" s="26" t="s">
        <v>734</v>
      </c>
      <c r="K257" t="s">
        <v>13</v>
      </c>
      <c r="N257" t="str">
        <f t="shared" si="67"/>
        <v/>
      </c>
      <c r="Q257" t="str">
        <f t="shared" si="66"/>
        <v/>
      </c>
      <c r="S257">
        <f>IF(A257=1,MAX($S$2:$S256)+1,IF(OR($I257&lt;&gt;"",A257="x"),$S256,""))</f>
        <v>130</v>
      </c>
      <c r="T257" t="str">
        <f>IF(D257=1,MAX($T$2:$T256)+1,IF(S257=S256,$T256,IF(D257="x",T256,IF(D256="x","",""))))</f>
        <v/>
      </c>
      <c r="U257" t="str">
        <f>IF(B257=1,MAX($U$2:$U256)+1,IF(AND($T257&lt;&gt;"",$T257=$T256),$U256,IF(B257="x",U256,"")))</f>
        <v/>
      </c>
      <c r="V257" t="str">
        <f>IF(C257=1,MAX($V$2:$V256)+1,IF(AND($T257&lt;&gt;"",$T257=$T256),$U256,IF(C257="x",V256,"")))</f>
        <v/>
      </c>
      <c r="X257" cm="1">
        <f t="array" ref="X257">IF($I257&lt;&gt;"",$I257,INDEX($I$1:$I257,ROW()-COUNTIFS($T$1:$T257,"="&amp;$T257,$S$1:$S257,"&lt;"&amp;$S257)))</f>
        <v>70</v>
      </c>
      <c r="Z257" s="6">
        <f t="shared" si="61"/>
        <v>1</v>
      </c>
      <c r="AA257">
        <f t="shared" si="62"/>
        <v>1130</v>
      </c>
      <c r="AB257" t="str">
        <f t="shared" si="63"/>
        <v/>
      </c>
      <c r="AC257">
        <f t="shared" si="64"/>
        <v>1130</v>
      </c>
      <c r="BI257" s="40"/>
      <c r="BL257" s="40"/>
      <c r="BN257" s="19"/>
      <c r="BP257" s="17"/>
    </row>
    <row r="258" spans="1:68" x14ac:dyDescent="0.2">
      <c r="A258">
        <f t="shared" si="60"/>
        <v>1</v>
      </c>
      <c r="E258" s="4"/>
      <c r="F258" s="46"/>
      <c r="G258" s="4"/>
      <c r="H258" s="48"/>
      <c r="I258" s="26">
        <v>70</v>
      </c>
      <c r="J258" s="26" t="s">
        <v>734</v>
      </c>
      <c r="K258" t="s">
        <v>7</v>
      </c>
      <c r="L258" t="s">
        <v>172</v>
      </c>
      <c r="M258" t="s">
        <v>68</v>
      </c>
      <c r="N258" t="str">
        <f t="shared" si="67"/>
        <v>s</v>
      </c>
      <c r="Q258" t="str">
        <f t="shared" si="66"/>
        <v/>
      </c>
      <c r="R258" s="26">
        <v>1</v>
      </c>
      <c r="S258">
        <f>IF(A258=1,MAX($S$2:$S257)+1,IF(OR($I258&lt;&gt;"",A258="x"),$S257,""))</f>
        <v>131</v>
      </c>
      <c r="T258" t="str">
        <f>IF(D258=1,MAX($T$2:$T257)+1,IF(S258=S257,$T257,IF(D258="x",T257,IF(D257="x","",""))))</f>
        <v/>
      </c>
      <c r="U258" t="str">
        <f>IF(B258=1,MAX($U$2:$U257)+1,IF(AND($T258&lt;&gt;"",$T258=$T257),$U257,IF(B258="x",U257,"")))</f>
        <v/>
      </c>
      <c r="V258" t="str">
        <f>IF(C258=1,MAX($V$2:$V257)+1,IF(AND($T258&lt;&gt;"",$T258=$T257),$U257,IF(C258="x",V257,"")))</f>
        <v/>
      </c>
      <c r="X258" cm="1">
        <f t="array" ref="X258">IF($I258&lt;&gt;"",$I258,INDEX($I$1:$I258,ROW()-COUNTIFS($T$1:$T258,"="&amp;$T258,$S$1:$S258,"&lt;"&amp;$S258)))</f>
        <v>70</v>
      </c>
      <c r="Z258" s="6">
        <f t="shared" si="61"/>
        <v>1</v>
      </c>
      <c r="AA258">
        <f t="shared" si="62"/>
        <v>1131</v>
      </c>
      <c r="AB258" t="str">
        <f t="shared" si="63"/>
        <v/>
      </c>
      <c r="AC258">
        <f t="shared" si="64"/>
        <v>1131</v>
      </c>
      <c r="BI258" s="40"/>
      <c r="BL258" s="40"/>
      <c r="BN258" s="19"/>
      <c r="BP258" s="17"/>
    </row>
    <row r="259" spans="1:68" x14ac:dyDescent="0.2">
      <c r="A259" t="str">
        <f t="shared" si="60"/>
        <v/>
      </c>
      <c r="E259" s="4"/>
      <c r="F259" s="46"/>
      <c r="G259" s="4"/>
      <c r="H259" s="48"/>
      <c r="I259" s="26">
        <v>61</v>
      </c>
      <c r="J259" s="26" t="str">
        <f t="shared" si="65"/>
        <v/>
      </c>
      <c r="N259" t="str">
        <f t="shared" si="67"/>
        <v/>
      </c>
      <c r="Q259" t="str">
        <f t="shared" si="66"/>
        <v/>
      </c>
      <c r="S259">
        <f>IF(A259=1,MAX($S$2:$S258)+1,IF(OR($I259&lt;&gt;"",A259="x"),$S258,""))</f>
        <v>131</v>
      </c>
      <c r="T259" t="str">
        <f>IF(D259=1,MAX($T$2:$T258)+1,IF(S259=S258,$T258,IF(D259="x",T258,IF(D258="x","",""))))</f>
        <v/>
      </c>
      <c r="U259" t="str">
        <f>IF(B259=1,MAX($U$2:$U258)+1,IF(AND($T259&lt;&gt;"",$T259=$T258),$U258,IF(B259="x",U258,"")))</f>
        <v/>
      </c>
      <c r="V259" t="str">
        <f>IF(C259=1,MAX($V$2:$V258)+1,IF(AND($T259&lt;&gt;"",$T259=$T258),$U258,IF(C259="x",V258,"")))</f>
        <v/>
      </c>
      <c r="X259" cm="1">
        <f t="array" ref="X259">IF($I259&lt;&gt;"",$I259,INDEX($I$1:$I259,ROW()-COUNTIFS($T$1:$T259,"="&amp;$T259,$S$1:$S259,"&lt;"&amp;$S259)))</f>
        <v>61</v>
      </c>
      <c r="Z259" s="6">
        <f t="shared" si="61"/>
        <v>1</v>
      </c>
      <c r="AA259">
        <f t="shared" si="62"/>
        <v>1131</v>
      </c>
      <c r="AB259" t="str">
        <f t="shared" si="63"/>
        <v/>
      </c>
      <c r="AC259">
        <f t="shared" si="64"/>
        <v>1131</v>
      </c>
      <c r="BI259" s="40"/>
      <c r="BL259" s="40"/>
      <c r="BN259" s="19"/>
      <c r="BP259" s="17"/>
    </row>
    <row r="260" spans="1:68" x14ac:dyDescent="0.2">
      <c r="A260" t="str">
        <f t="shared" si="60"/>
        <v/>
      </c>
      <c r="E260" s="4"/>
      <c r="F260" s="46"/>
      <c r="G260" s="4"/>
      <c r="H260" s="48"/>
      <c r="I260" s="26">
        <v>71</v>
      </c>
      <c r="J260" s="26" t="str">
        <f t="shared" si="65"/>
        <v/>
      </c>
      <c r="N260" t="str">
        <f t="shared" si="67"/>
        <v/>
      </c>
      <c r="Q260" t="str">
        <f t="shared" si="66"/>
        <v/>
      </c>
      <c r="R260" s="26">
        <v>1</v>
      </c>
      <c r="S260">
        <f>IF(A260=1,MAX($S$2:$S259)+1,IF(OR($I260&lt;&gt;"",A260="x"),$S259,""))</f>
        <v>131</v>
      </c>
      <c r="T260" t="str">
        <f>IF(D260=1,MAX($T$2:$T259)+1,IF(S260=S259,$T259,IF(D260="x",T259,IF(D259="x","",""))))</f>
        <v/>
      </c>
      <c r="U260" t="str">
        <f>IF(B260=1,MAX($U$2:$U259)+1,IF(AND($T260&lt;&gt;"",$T260=$T259),$U259,IF(B260="x",U259,"")))</f>
        <v/>
      </c>
      <c r="V260" t="str">
        <f>IF(C260=1,MAX($V$2:$V259)+1,IF(AND($T260&lt;&gt;"",$T260=$T259),$U259,IF(C260="x",V259,"")))</f>
        <v/>
      </c>
      <c r="X260" cm="1">
        <f t="array" ref="X260">IF($I260&lt;&gt;"",$I260,INDEX($I$1:$I260,ROW()-COUNTIFS($T$1:$T260,"="&amp;$T260,$S$1:$S260,"&lt;"&amp;$S260)))</f>
        <v>71</v>
      </c>
      <c r="Z260" s="6">
        <f t="shared" si="61"/>
        <v>1</v>
      </c>
      <c r="AA260">
        <f t="shared" si="62"/>
        <v>1131</v>
      </c>
      <c r="AB260" t="str">
        <f t="shared" si="63"/>
        <v/>
      </c>
      <c r="AC260">
        <f t="shared" si="64"/>
        <v>1131</v>
      </c>
      <c r="BI260" s="40"/>
      <c r="BL260" s="40"/>
      <c r="BN260" s="19"/>
      <c r="BP260" s="17"/>
    </row>
    <row r="261" spans="1:68" x14ac:dyDescent="0.2">
      <c r="A261">
        <f t="shared" ref="A261:A324" si="68">IF(K261&lt;&gt;"",1,IF(D261="x","x",""))</f>
        <v>1</v>
      </c>
      <c r="E261" s="4"/>
      <c r="F261" s="46"/>
      <c r="G261" s="4"/>
      <c r="H261" s="48" t="s">
        <v>1040</v>
      </c>
      <c r="I261" s="26">
        <v>61</v>
      </c>
      <c r="J261" s="26" t="s">
        <v>734</v>
      </c>
      <c r="K261" t="s">
        <v>13</v>
      </c>
      <c r="N261" t="str">
        <f t="shared" si="67"/>
        <v/>
      </c>
      <c r="Q261" t="str">
        <f t="shared" si="66"/>
        <v/>
      </c>
      <c r="S261">
        <f>IF(A261=1,MAX($S$2:$S260)+1,IF(OR($I261&lt;&gt;"",A261="x"),$S260,""))</f>
        <v>132</v>
      </c>
      <c r="T261" t="str">
        <f>IF(D261=1,MAX($T$2:$T260)+1,IF(S261=S260,$T260,IF(D261="x",T260,IF(D260="x","",""))))</f>
        <v/>
      </c>
      <c r="U261" t="str">
        <f>IF(B261=1,MAX($U$2:$U260)+1,IF(AND($T261&lt;&gt;"",$T261=$T260),$U260,IF(B261="x",U260,"")))</f>
        <v/>
      </c>
      <c r="V261" t="str">
        <f>IF(C261=1,MAX($V$2:$V260)+1,IF(AND($T261&lt;&gt;"",$T261=$T260),$U260,IF(C261="x",V260,"")))</f>
        <v/>
      </c>
      <c r="X261" cm="1">
        <f t="array" ref="X261">IF($I261&lt;&gt;"",$I261,INDEX($I$1:$I261,ROW()-COUNTIFS($T$1:$T261,"="&amp;$T261,$S$1:$S261,"&lt;"&amp;$S261)))</f>
        <v>61</v>
      </c>
      <c r="Z261" s="6">
        <f t="shared" ref="Z261:Z324" si="69">IF(K261="Intermission",Z260+1,Z260)</f>
        <v>1</v>
      </c>
      <c r="AA261">
        <f t="shared" ref="AA261:AA324" si="70">S261+1000</f>
        <v>1132</v>
      </c>
      <c r="AB261" t="str">
        <f t="shared" ref="AB261:AB324" si="71">IF(T261&lt;&gt;"",9000+T261,"")</f>
        <v/>
      </c>
      <c r="AC261">
        <f t="shared" ref="AC261:AC324" si="72">IF(AB261&lt;&gt;"",AB261,S261+1000)</f>
        <v>1132</v>
      </c>
      <c r="BI261" s="40"/>
      <c r="BL261" s="40"/>
      <c r="BN261" s="19"/>
      <c r="BP261" s="17"/>
    </row>
    <row r="262" spans="1:68" x14ac:dyDescent="0.2">
      <c r="A262">
        <f t="shared" si="68"/>
        <v>1</v>
      </c>
      <c r="E262" s="4"/>
      <c r="F262" s="46"/>
      <c r="G262" s="4" t="s">
        <v>1064</v>
      </c>
      <c r="H262" s="48" t="s">
        <v>1028</v>
      </c>
      <c r="I262" s="26">
        <v>61</v>
      </c>
      <c r="J262" s="26" t="str">
        <f t="shared" ref="J262:J325" si="73">IF(OR(K262="Goal",K262="Shot",L262="Zone_Entry",M262="Stoppage-Goal",M261="Stoppage-Goal"),"o",IF(OR(K262="Save",K262="Rebound",L262="Zone_Exit",M262="Stoppage-GoalieStoppage",M261="Stoppage-GoalieStoppage"),"d",IF(OR(L262="Faceoff_AfterGoal",L262="Faceoff_PeriodStart",698="Faceoff_GameStart",M261="Stoppage-Goal"),"n","")))</f>
        <v>o</v>
      </c>
      <c r="K262" t="s">
        <v>238</v>
      </c>
      <c r="L262" t="s">
        <v>174</v>
      </c>
      <c r="M262" t="s">
        <v>85</v>
      </c>
      <c r="N262" t="str">
        <f t="shared" si="67"/>
        <v>s</v>
      </c>
      <c r="O262" t="s">
        <v>144</v>
      </c>
      <c r="Q262" t="str">
        <f t="shared" si="66"/>
        <v>s</v>
      </c>
      <c r="R262" s="26">
        <v>1</v>
      </c>
      <c r="S262">
        <f>IF(A262=1,MAX($S$2:$S261)+1,IF(OR($I262&lt;&gt;"",A262="x"),$S261,""))</f>
        <v>133</v>
      </c>
      <c r="T262" t="str">
        <f>IF(D262=1,MAX($T$2:$T261)+1,IF(S262=S261,$T261,IF(D262="x",T261,IF(D261="x","",""))))</f>
        <v/>
      </c>
      <c r="U262" t="str">
        <f>IF(B262=1,MAX($U$2:$U261)+1,IF(AND($T262&lt;&gt;"",$T262=$T261),$U261,IF(B262="x",U261,"")))</f>
        <v/>
      </c>
      <c r="V262" t="str">
        <f>IF(C262=1,MAX($V$2:$V261)+1,IF(AND($T262&lt;&gt;"",$T262=$T261),$U261,IF(C262="x",V261,"")))</f>
        <v/>
      </c>
      <c r="X262" cm="1">
        <f t="array" ref="X262">IF($I262&lt;&gt;"",$I262,INDEX($I$1:$I262,ROW()-COUNTIFS($T$1:$T262,"="&amp;$T262,$S$1:$S262,"&lt;"&amp;$S262)))</f>
        <v>61</v>
      </c>
      <c r="Z262" s="6">
        <f t="shared" si="69"/>
        <v>1</v>
      </c>
      <c r="AA262">
        <f t="shared" si="70"/>
        <v>1133</v>
      </c>
      <c r="AB262" t="str">
        <f t="shared" si="71"/>
        <v/>
      </c>
      <c r="AC262">
        <f t="shared" si="72"/>
        <v>1133</v>
      </c>
      <c r="BI262" s="40"/>
      <c r="BL262" s="40"/>
      <c r="BN262" s="19"/>
      <c r="BP262" s="17"/>
    </row>
    <row r="263" spans="1:68" x14ac:dyDescent="0.2">
      <c r="A263" t="str">
        <f t="shared" si="68"/>
        <v/>
      </c>
      <c r="E263" s="4"/>
      <c r="F263" s="46"/>
      <c r="G263" s="4"/>
      <c r="H263" s="48"/>
      <c r="I263" s="26">
        <v>10</v>
      </c>
      <c r="J263" s="26" t="str">
        <f t="shared" si="73"/>
        <v/>
      </c>
      <c r="N263" t="str">
        <f t="shared" si="67"/>
        <v/>
      </c>
      <c r="Q263" t="str">
        <f t="shared" si="66"/>
        <v/>
      </c>
      <c r="R263" s="26">
        <v>1</v>
      </c>
      <c r="S263">
        <f>IF(A263=1,MAX($S$2:$S262)+1,IF(OR($I263&lt;&gt;"",A263="x"),$S262,""))</f>
        <v>133</v>
      </c>
      <c r="T263" t="str">
        <f>IF(D263=1,MAX($T$2:$T262)+1,IF(S263=S262,$T262,IF(D263="x",T262,IF(D262="x","",""))))</f>
        <v/>
      </c>
      <c r="U263" t="str">
        <f>IF(B263=1,MAX($U$2:$U262)+1,IF(AND($T263&lt;&gt;"",$T263=$T262),$U262,IF(B263="x",U262,"")))</f>
        <v/>
      </c>
      <c r="V263" t="str">
        <f>IF(C263=1,MAX($V$2:$V262)+1,IF(AND($T263&lt;&gt;"",$T263=$T262),$U262,IF(C263="x",V262,"")))</f>
        <v/>
      </c>
      <c r="X263" cm="1">
        <f t="array" ref="X263">IF($I263&lt;&gt;"",$I263,INDEX($I$1:$I263,ROW()-COUNTIFS($T$1:$T263,"="&amp;$T263,$S$1:$S263,"&lt;"&amp;$S263)))</f>
        <v>10</v>
      </c>
      <c r="Z263" s="6">
        <f t="shared" si="69"/>
        <v>1</v>
      </c>
      <c r="AA263">
        <f t="shared" si="70"/>
        <v>1133</v>
      </c>
      <c r="AB263" t="str">
        <f t="shared" si="71"/>
        <v/>
      </c>
      <c r="AC263">
        <f t="shared" si="72"/>
        <v>1133</v>
      </c>
      <c r="BI263" s="40"/>
      <c r="BL263" s="40"/>
      <c r="BN263" s="19"/>
      <c r="BP263" s="17"/>
    </row>
    <row r="264" spans="1:68" x14ac:dyDescent="0.2">
      <c r="A264">
        <f t="shared" si="68"/>
        <v>1</v>
      </c>
      <c r="E264" s="4"/>
      <c r="F264" s="46"/>
      <c r="G264" s="4"/>
      <c r="H264" s="48"/>
      <c r="I264" s="26">
        <v>61</v>
      </c>
      <c r="J264" s="26" t="str">
        <f t="shared" si="73"/>
        <v/>
      </c>
      <c r="K264" t="s">
        <v>7</v>
      </c>
      <c r="L264" t="s">
        <v>172</v>
      </c>
      <c r="M264" t="s">
        <v>68</v>
      </c>
      <c r="N264" t="str">
        <f t="shared" si="67"/>
        <v>s</v>
      </c>
      <c r="Q264" t="str">
        <f t="shared" si="66"/>
        <v/>
      </c>
      <c r="R264" s="26">
        <v>1</v>
      </c>
      <c r="S264">
        <f>IF(A264=1,MAX($S$2:$S263)+1,IF(OR($I264&lt;&gt;"",A264="x"),$S263,""))</f>
        <v>134</v>
      </c>
      <c r="T264" t="str">
        <f>IF(D264=1,MAX($T$2:$T263)+1,IF(S264=S263,$T263,IF(D264="x",T263,IF(D263="x","",""))))</f>
        <v/>
      </c>
      <c r="U264" t="str">
        <f>IF(B264=1,MAX($U$2:$U263)+1,IF(AND($T264&lt;&gt;"",$T264=$T263),$U263,IF(B264="x",U263,"")))</f>
        <v/>
      </c>
      <c r="V264" t="str">
        <f>IF(C264=1,MAX($V$2:$V263)+1,IF(AND($T264&lt;&gt;"",$T264=$T263),$U263,IF(C264="x",V263,"")))</f>
        <v/>
      </c>
      <c r="X264" cm="1">
        <f t="array" ref="X264">IF($I264&lt;&gt;"",$I264,INDEX($I$1:$I264,ROW()-COUNTIFS($T$1:$T264,"="&amp;$T264,$S$1:$S264,"&lt;"&amp;$S264)))</f>
        <v>61</v>
      </c>
      <c r="Z264" s="6">
        <f t="shared" si="69"/>
        <v>1</v>
      </c>
      <c r="AA264">
        <f t="shared" si="70"/>
        <v>1134</v>
      </c>
      <c r="AB264" t="str">
        <f t="shared" si="71"/>
        <v/>
      </c>
      <c r="AC264">
        <f t="shared" si="72"/>
        <v>1134</v>
      </c>
      <c r="BI264" s="40"/>
      <c r="BL264" s="40"/>
      <c r="BN264" s="19"/>
      <c r="BP264" s="17"/>
    </row>
    <row r="265" spans="1:68" x14ac:dyDescent="0.2">
      <c r="A265" t="str">
        <f t="shared" si="68"/>
        <v/>
      </c>
      <c r="E265" s="4"/>
      <c r="F265" s="46"/>
      <c r="G265" s="4"/>
      <c r="H265" s="48"/>
      <c r="I265" s="26">
        <v>22</v>
      </c>
      <c r="J265" s="26" t="str">
        <f t="shared" si="73"/>
        <v/>
      </c>
      <c r="N265" t="str">
        <f t="shared" si="67"/>
        <v/>
      </c>
      <c r="Q265" t="str">
        <f t="shared" si="66"/>
        <v/>
      </c>
      <c r="S265">
        <f>IF(A265=1,MAX($S$2:$S264)+1,IF(OR($I265&lt;&gt;"",A265="x"),$S264,""))</f>
        <v>134</v>
      </c>
      <c r="T265" t="str">
        <f>IF(D265=1,MAX($T$2:$T264)+1,IF(S265=S264,$T264,IF(D265="x",T264,IF(D264="x","",""))))</f>
        <v/>
      </c>
      <c r="U265" t="str">
        <f>IF(B265=1,MAX($U$2:$U264)+1,IF(AND($T265&lt;&gt;"",$T265=$T264),$U264,IF(B265="x",U264,"")))</f>
        <v/>
      </c>
      <c r="V265" t="str">
        <f>IF(C265=1,MAX($V$2:$V264)+1,IF(AND($T265&lt;&gt;"",$T265=$T264),$U264,IF(C265="x",V264,"")))</f>
        <v/>
      </c>
      <c r="X265" cm="1">
        <f t="array" ref="X265">IF($I265&lt;&gt;"",$I265,INDEX($I$1:$I265,ROW()-COUNTIFS($T$1:$T265,"="&amp;$T265,$S$1:$S265,"&lt;"&amp;$S265)))</f>
        <v>22</v>
      </c>
      <c r="Z265" s="6">
        <f t="shared" si="69"/>
        <v>1</v>
      </c>
      <c r="AA265">
        <f t="shared" si="70"/>
        <v>1134</v>
      </c>
      <c r="AB265" t="str">
        <f t="shared" si="71"/>
        <v/>
      </c>
      <c r="AC265">
        <f t="shared" si="72"/>
        <v>1134</v>
      </c>
      <c r="BI265" s="40"/>
      <c r="BL265" s="40"/>
      <c r="BN265" s="19"/>
      <c r="BP265" s="17"/>
    </row>
    <row r="266" spans="1:68" x14ac:dyDescent="0.2">
      <c r="A266" t="str">
        <f t="shared" si="68"/>
        <v/>
      </c>
      <c r="E266" s="4"/>
      <c r="F266" s="46"/>
      <c r="G266" s="4"/>
      <c r="H266" s="48"/>
      <c r="I266" s="26">
        <v>10</v>
      </c>
      <c r="J266" s="26" t="str">
        <f t="shared" si="73"/>
        <v/>
      </c>
      <c r="N266" t="str">
        <f t="shared" si="67"/>
        <v/>
      </c>
      <c r="O266" t="s">
        <v>566</v>
      </c>
      <c r="Q266" t="str">
        <f t="shared" si="66"/>
        <v/>
      </c>
      <c r="R266" s="26">
        <v>1</v>
      </c>
      <c r="S266">
        <f>IF(A266=1,MAX($S$2:$S265)+1,IF(OR($I266&lt;&gt;"",A266="x"),$S265,""))</f>
        <v>134</v>
      </c>
      <c r="T266" t="str">
        <f>IF(D266=1,MAX($T$2:$T265)+1,IF(S266=S265,$T265,IF(D266="x",T265,IF(D265="x","",""))))</f>
        <v/>
      </c>
      <c r="U266" t="str">
        <f>IF(B266=1,MAX($U$2:$U265)+1,IF(AND($T266&lt;&gt;"",$T266=$T265),$U265,IF(B266="x",U265,"")))</f>
        <v/>
      </c>
      <c r="V266" t="str">
        <f>IF(C266=1,MAX($V$2:$V265)+1,IF(AND($T266&lt;&gt;"",$T266=$T265),$U265,IF(C266="x",V265,"")))</f>
        <v/>
      </c>
      <c r="X266" cm="1">
        <f t="array" ref="X266">IF($I266&lt;&gt;"",$I266,INDEX($I$1:$I266,ROW()-COUNTIFS($T$1:$T266,"="&amp;$T266,$S$1:$S266,"&lt;"&amp;$S266)))</f>
        <v>10</v>
      </c>
      <c r="Z266" s="6">
        <f t="shared" si="69"/>
        <v>1</v>
      </c>
      <c r="AA266">
        <f t="shared" si="70"/>
        <v>1134</v>
      </c>
      <c r="AB266" t="str">
        <f t="shared" si="71"/>
        <v/>
      </c>
      <c r="AC266">
        <f t="shared" si="72"/>
        <v>1134</v>
      </c>
      <c r="BI266" s="40"/>
      <c r="BL266" s="40"/>
      <c r="BN266" s="19"/>
      <c r="BP266" s="17"/>
    </row>
    <row r="267" spans="1:68" x14ac:dyDescent="0.2">
      <c r="A267">
        <f t="shared" si="68"/>
        <v>1</v>
      </c>
      <c r="E267" s="4"/>
      <c r="F267" s="46"/>
      <c r="G267" s="4"/>
      <c r="H267" s="48"/>
      <c r="I267" s="26">
        <v>22</v>
      </c>
      <c r="J267" s="26" t="str">
        <f t="shared" si="73"/>
        <v/>
      </c>
      <c r="K267" t="s">
        <v>9</v>
      </c>
      <c r="L267" t="s">
        <v>173</v>
      </c>
      <c r="M267" t="s">
        <v>71</v>
      </c>
      <c r="N267" t="str">
        <f t="shared" si="67"/>
        <v>u</v>
      </c>
      <c r="Q267" t="str">
        <f t="shared" si="66"/>
        <v/>
      </c>
      <c r="S267">
        <f>IF(A267=1,MAX($S$2:$S266)+1,IF(OR($I267&lt;&gt;"",A267="x"),$S266,""))</f>
        <v>135</v>
      </c>
      <c r="T267" t="str">
        <f>IF(D267=1,MAX($T$2:$T266)+1,IF(S267=S266,$T266,IF(D267="x",T266,IF(D266="x","",""))))</f>
        <v/>
      </c>
      <c r="U267" t="str">
        <f>IF(B267=1,MAX($U$2:$U266)+1,IF(AND($T267&lt;&gt;"",$T267=$T266),$U266,IF(B267="x",U266,"")))</f>
        <v/>
      </c>
      <c r="V267" t="str">
        <f>IF(C267=1,MAX($V$2:$V266)+1,IF(AND($T267&lt;&gt;"",$T267=$T266),$U266,IF(C267="x",V266,"")))</f>
        <v/>
      </c>
      <c r="X267" cm="1">
        <f t="array" ref="X267">IF($I267&lt;&gt;"",$I267,INDEX($I$1:$I267,ROW()-COUNTIFS($T$1:$T267,"="&amp;$T267,$S$1:$S267,"&lt;"&amp;$S267)))</f>
        <v>22</v>
      </c>
      <c r="Z267" s="6">
        <f t="shared" si="69"/>
        <v>1</v>
      </c>
      <c r="AA267">
        <f t="shared" si="70"/>
        <v>1135</v>
      </c>
      <c r="AB267" t="str">
        <f t="shared" si="71"/>
        <v/>
      </c>
      <c r="AC267">
        <f t="shared" si="72"/>
        <v>1135</v>
      </c>
      <c r="BI267" s="40"/>
      <c r="BL267" s="40"/>
      <c r="BN267" s="19"/>
      <c r="BP267" s="17"/>
    </row>
    <row r="268" spans="1:68" x14ac:dyDescent="0.2">
      <c r="A268">
        <f t="shared" si="68"/>
        <v>1</v>
      </c>
      <c r="E268" s="4" t="s">
        <v>1064</v>
      </c>
      <c r="F268" s="46" t="s">
        <v>1059</v>
      </c>
      <c r="G268" s="4"/>
      <c r="H268" s="48" t="s">
        <v>1060</v>
      </c>
      <c r="I268" s="26">
        <v>57</v>
      </c>
      <c r="J268" s="26" t="str">
        <f t="shared" si="73"/>
        <v/>
      </c>
      <c r="K268" t="s">
        <v>13</v>
      </c>
      <c r="L268" t="s">
        <v>586</v>
      </c>
      <c r="N268" t="s">
        <v>595</v>
      </c>
      <c r="O268" t="s">
        <v>910</v>
      </c>
      <c r="Q268" t="str">
        <f t="shared" si="66"/>
        <v>s</v>
      </c>
      <c r="S268">
        <f>IF(A268=1,MAX($S$2:$S267)+1,IF(OR($I268&lt;&gt;"",A268="x"),$S267,""))</f>
        <v>136</v>
      </c>
      <c r="T268" t="str">
        <f>IF(D268=1,MAX($T$2:$T267)+1,IF(S268=S267,$T267,IF(D268="x",T267,IF(D267="x","",""))))</f>
        <v/>
      </c>
      <c r="U268" t="str">
        <f>IF(B268=1,MAX($U$2:$U267)+1,IF(AND($T268&lt;&gt;"",$T268=$T267),$U267,IF(B268="x",U267,"")))</f>
        <v/>
      </c>
      <c r="V268" t="str">
        <f>IF(C268=1,MAX($V$2:$V267)+1,IF(AND($T268&lt;&gt;"",$T268=$T267),$U267,IF(C268="x",V267,"")))</f>
        <v/>
      </c>
      <c r="X268" cm="1">
        <f t="array" ref="X268">IF($I268&lt;&gt;"",$I268,INDEX($I$1:$I268,ROW()-COUNTIFS($T$1:$T268,"="&amp;$T268,$S$1:$S268,"&lt;"&amp;$S268)))</f>
        <v>57</v>
      </c>
      <c r="Z268" s="6">
        <f t="shared" si="69"/>
        <v>1</v>
      </c>
      <c r="AA268">
        <f t="shared" si="70"/>
        <v>1136</v>
      </c>
      <c r="AB268" t="str">
        <f t="shared" si="71"/>
        <v/>
      </c>
      <c r="AC268">
        <f t="shared" si="72"/>
        <v>1136</v>
      </c>
      <c r="BI268" s="40"/>
      <c r="BL268" s="40"/>
      <c r="BN268" s="19"/>
      <c r="BP268" s="17"/>
    </row>
    <row r="269" spans="1:68" x14ac:dyDescent="0.2">
      <c r="A269">
        <f t="shared" si="68"/>
        <v>1</v>
      </c>
      <c r="E269" s="4"/>
      <c r="F269" s="46"/>
      <c r="G269" s="4"/>
      <c r="H269" s="48" t="s">
        <v>1045</v>
      </c>
      <c r="I269" s="26">
        <v>57</v>
      </c>
      <c r="J269" s="26" t="str">
        <f t="shared" si="73"/>
        <v>d</v>
      </c>
      <c r="K269" t="s">
        <v>238</v>
      </c>
      <c r="L269" t="s">
        <v>184</v>
      </c>
      <c r="M269" t="s">
        <v>88</v>
      </c>
      <c r="N269" t="str">
        <f t="shared" si="67"/>
        <v>s</v>
      </c>
      <c r="Q269" t="str">
        <f t="shared" si="66"/>
        <v/>
      </c>
      <c r="S269">
        <f>IF(A269=1,MAX($S$2:$S268)+1,IF(OR($I269&lt;&gt;"",A269="x"),$S268,""))</f>
        <v>137</v>
      </c>
      <c r="T269" t="str">
        <f>IF(D269=1,MAX($T$2:$T268)+1,IF(S269=S268,$T268,IF(D269="x",T268,IF(D268="x","",""))))</f>
        <v/>
      </c>
      <c r="U269" t="str">
        <f>IF(B269=1,MAX($U$2:$U268)+1,IF(AND($T269&lt;&gt;"",$T269=$T268),$U268,IF(B269="x",U268,"")))</f>
        <v/>
      </c>
      <c r="V269" t="str">
        <f>IF(C269=1,MAX($V$2:$V268)+1,IF(AND($T269&lt;&gt;"",$T269=$T268),$U268,IF(C269="x",V268,"")))</f>
        <v/>
      </c>
      <c r="X269" cm="1">
        <f t="array" ref="X269">IF($I269&lt;&gt;"",$I269,INDEX($I$1:$I269,ROW()-COUNTIFS($T$1:$T269,"="&amp;$T269,$S$1:$S269,"&lt;"&amp;$S269)))</f>
        <v>57</v>
      </c>
      <c r="Z269" s="6">
        <f t="shared" si="69"/>
        <v>1</v>
      </c>
      <c r="AA269">
        <f t="shared" si="70"/>
        <v>1137</v>
      </c>
      <c r="AB269" t="str">
        <f t="shared" si="71"/>
        <v/>
      </c>
      <c r="AC269">
        <f t="shared" si="72"/>
        <v>1137</v>
      </c>
      <c r="BI269" s="40"/>
      <c r="BL269" s="40"/>
      <c r="BN269" s="19"/>
      <c r="BP269" s="17"/>
    </row>
    <row r="270" spans="1:68" x14ac:dyDescent="0.2">
      <c r="A270">
        <f t="shared" si="68"/>
        <v>1</v>
      </c>
      <c r="E270" s="4"/>
      <c r="F270" s="46"/>
      <c r="G270" s="4"/>
      <c r="H270" s="48" t="s">
        <v>751</v>
      </c>
      <c r="I270" s="26">
        <v>57</v>
      </c>
      <c r="J270" s="26" t="s">
        <v>734</v>
      </c>
      <c r="K270" t="s">
        <v>13</v>
      </c>
      <c r="N270" t="str">
        <f t="shared" si="67"/>
        <v/>
      </c>
      <c r="Q270" t="str">
        <f t="shared" si="66"/>
        <v/>
      </c>
      <c r="S270">
        <f>IF(A270=1,MAX($S$2:$S269)+1,IF(OR($I270&lt;&gt;"",A270="x"),$S269,""))</f>
        <v>138</v>
      </c>
      <c r="T270" t="str">
        <f>IF(D270=1,MAX($T$2:$T269)+1,IF(S270=S269,$T269,IF(D270="x",T269,IF(D269="x","",""))))</f>
        <v/>
      </c>
      <c r="U270" t="str">
        <f>IF(B270=1,MAX($U$2:$U269)+1,IF(AND($T270&lt;&gt;"",$T270=$T269),$U269,IF(B270="x",U269,"")))</f>
        <v/>
      </c>
      <c r="V270" t="str">
        <f>IF(C270=1,MAX($V$2:$V269)+1,IF(AND($T270&lt;&gt;"",$T270=$T269),$U269,IF(C270="x",V269,"")))</f>
        <v/>
      </c>
      <c r="X270" cm="1">
        <f t="array" ref="X270">IF($I270&lt;&gt;"",$I270,INDEX($I$1:$I270,ROW()-COUNTIFS($T$1:$T270,"="&amp;$T270,$S$1:$S270,"&lt;"&amp;$S270)))</f>
        <v>57</v>
      </c>
      <c r="Z270" s="6">
        <f t="shared" si="69"/>
        <v>1</v>
      </c>
      <c r="AA270">
        <f t="shared" si="70"/>
        <v>1138</v>
      </c>
      <c r="AB270" t="str">
        <f t="shared" si="71"/>
        <v/>
      </c>
      <c r="AC270">
        <f t="shared" si="72"/>
        <v>1138</v>
      </c>
      <c r="BI270" s="40"/>
      <c r="BL270" s="40"/>
      <c r="BN270" s="19"/>
      <c r="BP270" s="17"/>
    </row>
    <row r="271" spans="1:68" x14ac:dyDescent="0.2">
      <c r="A271">
        <f t="shared" si="68"/>
        <v>1</v>
      </c>
      <c r="E271" s="4"/>
      <c r="F271" s="46"/>
      <c r="G271" s="4"/>
      <c r="H271" s="48" t="s">
        <v>1066</v>
      </c>
      <c r="I271" s="26">
        <v>57</v>
      </c>
      <c r="J271" s="26" t="str">
        <f t="shared" si="73"/>
        <v>o</v>
      </c>
      <c r="K271" t="s">
        <v>238</v>
      </c>
      <c r="L271" t="s">
        <v>174</v>
      </c>
      <c r="M271" t="s">
        <v>85</v>
      </c>
      <c r="N271" t="s">
        <v>594</v>
      </c>
      <c r="Q271" t="str">
        <f t="shared" si="66"/>
        <v/>
      </c>
      <c r="S271">
        <f>IF(A271=1,MAX($S$2:$S270)+1,IF(OR($I271&lt;&gt;"",A271="x"),$S270,""))</f>
        <v>139</v>
      </c>
      <c r="T271" t="str">
        <f>IF(D271=1,MAX($T$2:$T270)+1,IF(S271=S270,$T270,IF(D271="x",T270,IF(D270="x","",""))))</f>
        <v/>
      </c>
      <c r="U271" t="str">
        <f>IF(B271=1,MAX($U$2:$U270)+1,IF(AND($T271&lt;&gt;"",$T271=$T270),$U270,IF(B271="x",U270,"")))</f>
        <v/>
      </c>
      <c r="V271" t="str">
        <f>IF(C271=1,MAX($V$2:$V270)+1,IF(AND($T271&lt;&gt;"",$T271=$T270),$U270,IF(C271="x",V270,"")))</f>
        <v/>
      </c>
      <c r="X271" cm="1">
        <f t="array" ref="X271">IF($I271&lt;&gt;"",$I271,INDEX($I$1:$I271,ROW()-COUNTIFS($T$1:$T271,"="&amp;$T271,$S$1:$S271,"&lt;"&amp;$S271)))</f>
        <v>57</v>
      </c>
      <c r="Z271" s="6">
        <f t="shared" si="69"/>
        <v>1</v>
      </c>
      <c r="AA271">
        <f t="shared" si="70"/>
        <v>1139</v>
      </c>
      <c r="AB271" t="str">
        <f t="shared" si="71"/>
        <v/>
      </c>
      <c r="AC271">
        <f t="shared" si="72"/>
        <v>1139</v>
      </c>
      <c r="BI271" s="40"/>
      <c r="BL271" s="40"/>
      <c r="BN271" s="19"/>
      <c r="BP271" s="17"/>
    </row>
    <row r="272" spans="1:68" x14ac:dyDescent="0.2">
      <c r="A272" t="str">
        <f t="shared" si="68"/>
        <v/>
      </c>
      <c r="E272" s="4"/>
      <c r="F272" s="46"/>
      <c r="G272" s="4"/>
      <c r="H272" s="48"/>
      <c r="I272" s="26">
        <v>70</v>
      </c>
      <c r="J272" s="26" t="str">
        <f t="shared" si="73"/>
        <v/>
      </c>
      <c r="N272" t="str">
        <f t="shared" si="67"/>
        <v/>
      </c>
      <c r="Q272" t="str">
        <f t="shared" ref="Q272:Q335" si="74">IF(O272="","",IF(AND(N272&lt;&gt;"",OR(O272&lt;&gt;"",P272&lt;&gt;"")),N272,IF(OR(ISNUMBER(SEARCH("attemp",O272)),ISNUMBER(SEARCH("beat",O272)),ISNUMBER(SEARCH("mis",O272)),ISNUMBER(SEARCH("fail",O272)),ISNUMBER(SEARCH("loss",O272)),ISNUMBER(SEARCH("lost",O272)),ISNUMBER(SEARCH("attemp",P272)),ISNUMBER(SEARCH("mis",P272)),ISNUMBER(SEARCH("fail",P272)),ISNUMBER(SEARCH("loss",P272)),ISNUMBER(SEARCH("beat",P272)),ISNUMBER(SEARCH("lost",P272))),"u","")))</f>
        <v/>
      </c>
      <c r="S272">
        <f>IF(A272=1,MAX($S$2:$S271)+1,IF(OR($I272&lt;&gt;"",A272="x"),$S271,""))</f>
        <v>139</v>
      </c>
      <c r="T272" t="str">
        <f>IF(D272=1,MAX($T$2:$T271)+1,IF(S272=S271,$T271,IF(D272="x",T271,IF(D271="x","",""))))</f>
        <v/>
      </c>
      <c r="U272" t="str">
        <f>IF(B272=1,MAX($U$2:$U271)+1,IF(AND($T272&lt;&gt;"",$T272=$T271),$U271,IF(B272="x",U271,"")))</f>
        <v/>
      </c>
      <c r="V272" t="str">
        <f>IF(C272=1,MAX($V$2:$V271)+1,IF(AND($T272&lt;&gt;"",$T272=$T271),$U271,IF(C272="x",V271,"")))</f>
        <v/>
      </c>
      <c r="X272" cm="1">
        <f t="array" ref="X272">IF($I272&lt;&gt;"",$I272,INDEX($I$1:$I272,ROW()-COUNTIFS($T$1:$T272,"="&amp;$T272,$S$1:$S272,"&lt;"&amp;$S272)))</f>
        <v>70</v>
      </c>
      <c r="Z272" s="6">
        <f t="shared" si="69"/>
        <v>1</v>
      </c>
      <c r="AA272">
        <f t="shared" si="70"/>
        <v>1139</v>
      </c>
      <c r="AB272" t="str">
        <f t="shared" si="71"/>
        <v/>
      </c>
      <c r="AC272">
        <f t="shared" si="72"/>
        <v>1139</v>
      </c>
      <c r="BI272" s="40"/>
      <c r="BL272" s="40"/>
      <c r="BN272" s="19"/>
      <c r="BP272" s="17"/>
    </row>
    <row r="273" spans="1:68" x14ac:dyDescent="0.2">
      <c r="A273">
        <f t="shared" si="68"/>
        <v>1</v>
      </c>
      <c r="E273" s="4"/>
      <c r="F273" s="46"/>
      <c r="G273" s="4"/>
      <c r="H273" s="48"/>
      <c r="I273" s="26">
        <v>57</v>
      </c>
      <c r="J273" s="26" t="str">
        <f t="shared" si="73"/>
        <v/>
      </c>
      <c r="K273" t="s">
        <v>7</v>
      </c>
      <c r="L273" t="s">
        <v>182</v>
      </c>
      <c r="M273" t="s">
        <v>68</v>
      </c>
      <c r="N273" t="str">
        <f t="shared" si="67"/>
        <v>u</v>
      </c>
      <c r="Q273" t="str">
        <f t="shared" si="74"/>
        <v/>
      </c>
      <c r="S273">
        <f>IF(A273=1,MAX($S$2:$S272)+1,IF(OR($I273&lt;&gt;"",A273="x"),$S272,""))</f>
        <v>140</v>
      </c>
      <c r="T273" t="str">
        <f>IF(D273=1,MAX($T$2:$T272)+1,IF(S273=S272,$T272,IF(D273="x",T272,IF(D272="x","",""))))</f>
        <v/>
      </c>
      <c r="U273" t="str">
        <f>IF(B273=1,MAX($U$2:$U272)+1,IF(AND($T273&lt;&gt;"",$T273=$T272),$U272,IF(B273="x",U272,"")))</f>
        <v/>
      </c>
      <c r="V273" t="str">
        <f>IF(C273=1,MAX($V$2:$V272)+1,IF(AND($T273&lt;&gt;"",$T273=$T272),$U272,IF(C273="x",V272,"")))</f>
        <v/>
      </c>
      <c r="X273" cm="1">
        <f t="array" ref="X273">IF($I273&lt;&gt;"",$I273,INDEX($I$1:$I273,ROW()-COUNTIFS($T$1:$T273,"="&amp;$T273,$S$1:$S273,"&lt;"&amp;$S273)))</f>
        <v>57</v>
      </c>
      <c r="Z273" s="6">
        <f t="shared" si="69"/>
        <v>1</v>
      </c>
      <c r="AA273">
        <f t="shared" si="70"/>
        <v>1140</v>
      </c>
      <c r="AB273" t="str">
        <f t="shared" si="71"/>
        <v/>
      </c>
      <c r="AC273">
        <f t="shared" si="72"/>
        <v>1140</v>
      </c>
      <c r="BI273" s="40"/>
      <c r="BL273" s="40"/>
      <c r="BN273" s="19"/>
      <c r="BP273" s="17"/>
    </row>
    <row r="274" spans="1:68" x14ac:dyDescent="0.2">
      <c r="A274" t="str">
        <f t="shared" si="68"/>
        <v/>
      </c>
      <c r="E274" s="4"/>
      <c r="F274" s="46"/>
      <c r="G274" s="4"/>
      <c r="H274" s="48"/>
      <c r="I274" s="26">
        <v>73</v>
      </c>
      <c r="J274" s="26" t="str">
        <f t="shared" si="73"/>
        <v/>
      </c>
      <c r="N274" t="str">
        <f t="shared" si="67"/>
        <v/>
      </c>
      <c r="Q274" t="str">
        <f t="shared" si="74"/>
        <v/>
      </c>
      <c r="S274">
        <f>IF(A274=1,MAX($S$2:$S273)+1,IF(OR($I274&lt;&gt;"",A274="x"),$S273,""))</f>
        <v>140</v>
      </c>
      <c r="T274" t="str">
        <f>IF(D274=1,MAX($T$2:$T273)+1,IF(S274=S273,$T273,IF(D274="x",T273,IF(D273="x","",""))))</f>
        <v/>
      </c>
      <c r="U274" t="str">
        <f>IF(B274=1,MAX($U$2:$U273)+1,IF(AND($T274&lt;&gt;"",$T274=$T273),$U273,IF(B274="x",U273,"")))</f>
        <v/>
      </c>
      <c r="V274" t="str">
        <f>IF(C274=1,MAX($V$2:$V273)+1,IF(AND($T274&lt;&gt;"",$T274=$T273),$U273,IF(C274="x",V273,"")))</f>
        <v/>
      </c>
      <c r="X274" cm="1">
        <f t="array" ref="X274">IF($I274&lt;&gt;"",$I274,INDEX($I$1:$I274,ROW()-COUNTIFS($T$1:$T274,"="&amp;$T274,$S$1:$S274,"&lt;"&amp;$S274)))</f>
        <v>73</v>
      </c>
      <c r="Z274" s="6">
        <f t="shared" si="69"/>
        <v>1</v>
      </c>
      <c r="AA274">
        <f t="shared" si="70"/>
        <v>1140</v>
      </c>
      <c r="AB274" t="str">
        <f t="shared" si="71"/>
        <v/>
      </c>
      <c r="AC274">
        <f t="shared" si="72"/>
        <v>1140</v>
      </c>
      <c r="BI274" s="40"/>
      <c r="BL274" s="40"/>
      <c r="BN274" s="19"/>
      <c r="BP274" s="17"/>
    </row>
    <row r="275" spans="1:68" x14ac:dyDescent="0.2">
      <c r="A275" t="str">
        <f t="shared" si="68"/>
        <v/>
      </c>
      <c r="E275" s="4"/>
      <c r="F275" s="46"/>
      <c r="G275" s="4"/>
      <c r="H275" s="48"/>
      <c r="I275" s="26">
        <v>70</v>
      </c>
      <c r="J275" s="26" t="str">
        <f t="shared" si="73"/>
        <v/>
      </c>
      <c r="N275" t="str">
        <f t="shared" si="67"/>
        <v/>
      </c>
      <c r="O275" t="s">
        <v>566</v>
      </c>
      <c r="Q275" t="str">
        <f t="shared" si="74"/>
        <v/>
      </c>
      <c r="S275">
        <f>IF(A275=1,MAX($S$2:$S274)+1,IF(OR($I275&lt;&gt;"",A275="x"),$S274,""))</f>
        <v>140</v>
      </c>
      <c r="T275" t="str">
        <f>IF(D275=1,MAX($T$2:$T274)+1,IF(S275=S274,$T274,IF(D275="x",T274,IF(D274="x","",""))))</f>
        <v/>
      </c>
      <c r="U275" t="str">
        <f>IF(B275=1,MAX($U$2:$U274)+1,IF(AND($T275&lt;&gt;"",$T275=$T274),$U274,IF(B275="x",U274,"")))</f>
        <v/>
      </c>
      <c r="V275" t="str">
        <f>IF(C275=1,MAX($V$2:$V274)+1,IF(AND($T275&lt;&gt;"",$T275=$T274),$U274,IF(C275="x",V274,"")))</f>
        <v/>
      </c>
      <c r="X275" cm="1">
        <f t="array" ref="X275">IF($I275&lt;&gt;"",$I275,INDEX($I$1:$I275,ROW()-COUNTIFS($T$1:$T275,"="&amp;$T275,$S$1:$S275,"&lt;"&amp;$S275)))</f>
        <v>70</v>
      </c>
      <c r="Z275" s="6">
        <f t="shared" si="69"/>
        <v>1</v>
      </c>
      <c r="AA275">
        <f t="shared" si="70"/>
        <v>1140</v>
      </c>
      <c r="AB275" t="str">
        <f t="shared" si="71"/>
        <v/>
      </c>
      <c r="AC275">
        <f t="shared" si="72"/>
        <v>1140</v>
      </c>
      <c r="BI275" s="40"/>
      <c r="BL275" s="40"/>
      <c r="BN275" s="19"/>
      <c r="BP275" s="17"/>
    </row>
    <row r="276" spans="1:68" x14ac:dyDescent="0.2">
      <c r="A276">
        <f t="shared" si="68"/>
        <v>1</v>
      </c>
      <c r="E276" s="4"/>
      <c r="F276" s="46" t="s">
        <v>1031</v>
      </c>
      <c r="G276" s="4"/>
      <c r="H276" s="48" t="s">
        <v>737</v>
      </c>
      <c r="I276" s="26">
        <v>73</v>
      </c>
      <c r="J276" s="26" t="s">
        <v>368</v>
      </c>
      <c r="K276" t="s">
        <v>13</v>
      </c>
      <c r="L276" t="s">
        <v>587</v>
      </c>
      <c r="N276" t="s">
        <v>594</v>
      </c>
      <c r="O276" t="s">
        <v>907</v>
      </c>
      <c r="Q276" t="str">
        <f t="shared" si="74"/>
        <v>u</v>
      </c>
      <c r="S276">
        <f>IF(A276=1,MAX($S$2:$S275)+1,IF(OR($I276&lt;&gt;"",A276="x"),$S275,""))</f>
        <v>141</v>
      </c>
      <c r="T276" t="str">
        <f>IF(D276=1,MAX($T$2:$T275)+1,IF(S276=S275,$T275,IF(D276="x",T275,IF(D275="x","",""))))</f>
        <v/>
      </c>
      <c r="U276" t="str">
        <f>IF(B276=1,MAX($U$2:$U275)+1,IF(AND($T276&lt;&gt;"",$T276=$T275),$U275,IF(B276="x",U275,"")))</f>
        <v/>
      </c>
      <c r="V276" t="str">
        <f>IF(C276=1,MAX($V$2:$V275)+1,IF(AND($T276&lt;&gt;"",$T276=$T275),$U275,IF(C276="x",V275,"")))</f>
        <v/>
      </c>
      <c r="X276" cm="1">
        <f t="array" ref="X276">IF($I276&lt;&gt;"",$I276,INDEX($I$1:$I276,ROW()-COUNTIFS($T$1:$T276,"="&amp;$T276,$S$1:$S276,"&lt;"&amp;$S276)))</f>
        <v>73</v>
      </c>
      <c r="Z276" s="6">
        <f t="shared" si="69"/>
        <v>1</v>
      </c>
      <c r="AA276">
        <f t="shared" si="70"/>
        <v>1141</v>
      </c>
      <c r="AB276" t="str">
        <f t="shared" si="71"/>
        <v/>
      </c>
      <c r="AC276">
        <f t="shared" si="72"/>
        <v>1141</v>
      </c>
      <c r="BI276" s="40"/>
      <c r="BL276" s="40"/>
      <c r="BN276" s="19"/>
      <c r="BP276" s="17"/>
    </row>
    <row r="277" spans="1:68" x14ac:dyDescent="0.2">
      <c r="A277">
        <f t="shared" si="68"/>
        <v>1</v>
      </c>
      <c r="E277" s="4"/>
      <c r="F277" s="46"/>
      <c r="G277" s="4"/>
      <c r="H277" s="48"/>
      <c r="I277" s="26">
        <v>84</v>
      </c>
      <c r="J277" s="26" t="s">
        <v>736</v>
      </c>
      <c r="K277" t="s">
        <v>9</v>
      </c>
      <c r="L277" t="s">
        <v>183</v>
      </c>
      <c r="M277" t="s">
        <v>80</v>
      </c>
      <c r="N277" t="s">
        <v>595</v>
      </c>
      <c r="O277" t="s">
        <v>156</v>
      </c>
      <c r="Q277" t="str">
        <f t="shared" si="74"/>
        <v>s</v>
      </c>
      <c r="R277" s="26">
        <v>1</v>
      </c>
      <c r="S277">
        <f>IF(A277=1,MAX($S$2:$S276)+1,IF(OR($I277&lt;&gt;"",A277="x"),$S276,""))</f>
        <v>142</v>
      </c>
      <c r="T277" t="str">
        <f>IF(D277=1,MAX($T$2:$T276)+1,IF(S277=S276,$T276,IF(D277="x",T276,IF(D276="x","",""))))</f>
        <v/>
      </c>
      <c r="U277" t="str">
        <f>IF(B277=1,MAX($U$2:$U276)+1,IF(AND($T277&lt;&gt;"",$T277=$T276),$U276,IF(B277="x",U276,"")))</f>
        <v/>
      </c>
      <c r="V277" t="str">
        <f>IF(C277=1,MAX($V$2:$V276)+1,IF(AND($T277&lt;&gt;"",$T277=$T276),$U276,IF(C277="x",V276,"")))</f>
        <v/>
      </c>
      <c r="X277" cm="1">
        <f t="array" ref="X277">IF($I277&lt;&gt;"",$I277,INDEX($I$1:$I277,ROW()-COUNTIFS($T$1:$T277,"="&amp;$T277,$S$1:$S277,"&lt;"&amp;$S277)))</f>
        <v>84</v>
      </c>
      <c r="Z277" s="6">
        <f t="shared" si="69"/>
        <v>1</v>
      </c>
      <c r="AA277">
        <f t="shared" si="70"/>
        <v>1142</v>
      </c>
      <c r="AB277" t="str">
        <f t="shared" si="71"/>
        <v/>
      </c>
      <c r="AC277">
        <f t="shared" si="72"/>
        <v>1142</v>
      </c>
      <c r="BI277" s="40"/>
      <c r="BL277" s="40"/>
      <c r="BN277" s="19"/>
      <c r="BP277" s="17"/>
    </row>
    <row r="278" spans="1:68" x14ac:dyDescent="0.2">
      <c r="A278" t="str">
        <f t="shared" si="68"/>
        <v/>
      </c>
      <c r="E278" s="4"/>
      <c r="F278" s="46"/>
      <c r="G278" s="4"/>
      <c r="H278" s="48"/>
      <c r="I278" s="26">
        <v>73</v>
      </c>
      <c r="J278" s="26" t="str">
        <f t="shared" si="73"/>
        <v/>
      </c>
      <c r="N278" t="str">
        <f t="shared" ref="N278:N340" si="75">IF(K278="","",IF(K278="Goal","s",IF(AND(K278="Zone_Entry_Exit",OR(ISNUMBER(SEARCH("fail",L278)),ISNUMBER(SEARCH("FromExitClear",M278)),ISNUMBER(SEARCH("miss",M278)))),"u",IF(AND(K278="Zone_Entry_Exit",OR(NOT(ISNUMBER(SEARCH("fail",L278))),NOT(ISNUMBER(SEARCH("FromExitClear",M278))),NOT(ISNUMBER(SEARCH("miss",M278))))),"s",IF(AND(OR(K278="Shot",K278="Pass"),OR(ISNUMBER(SEARCH("complete",L278)),ISNUMBER(SEARCH("goal",L278)),ISNUMBER(SEARCH("OnNet",L278)))),"s",IF(L278="Turnover_Giveaway","u",IF(AND(OR(K278="Shot",K278="Pass"),OR(ISNUMBER(SEARCH("fail",L278)),NOT(ISNUMBER(SEARCH("complete",L278))),NOT(ISNUMBER(SEARCH("OnNet",L278))))),"u","")))))))</f>
        <v/>
      </c>
      <c r="O278" t="s">
        <v>785</v>
      </c>
      <c r="Q278" t="str">
        <f t="shared" si="74"/>
        <v>u</v>
      </c>
      <c r="R278" s="26">
        <v>1</v>
      </c>
      <c r="S278">
        <f>IF(A278=1,MAX($S$2:$S277)+1,IF(OR($I278&lt;&gt;"",A278="x"),$S277,""))</f>
        <v>142</v>
      </c>
      <c r="T278" t="str">
        <f>IF(D278=1,MAX($T$2:$T277)+1,IF(S278=S277,$T277,IF(D278="x",T277,IF(D277="x","",""))))</f>
        <v/>
      </c>
      <c r="U278" t="str">
        <f>IF(B278=1,MAX($U$2:$U277)+1,IF(AND($T278&lt;&gt;"",$T278=$T277),$U277,IF(B278="x",U277,"")))</f>
        <v/>
      </c>
      <c r="V278" t="str">
        <f>IF(C278=1,MAX($V$2:$V277)+1,IF(AND($T278&lt;&gt;"",$T278=$T277),$U277,IF(C278="x",V277,"")))</f>
        <v/>
      </c>
      <c r="X278" cm="1">
        <f t="array" ref="X278">IF($I278&lt;&gt;"",$I278,INDEX($I$1:$I278,ROW()-COUNTIFS($T$1:$T278,"="&amp;$T278,$S$1:$S278,"&lt;"&amp;$S278)))</f>
        <v>73</v>
      </c>
      <c r="Z278" s="6">
        <f t="shared" si="69"/>
        <v>1</v>
      </c>
      <c r="AA278">
        <f t="shared" si="70"/>
        <v>1142</v>
      </c>
      <c r="AB278" t="str">
        <f t="shared" si="71"/>
        <v/>
      </c>
      <c r="AC278">
        <f t="shared" si="72"/>
        <v>1142</v>
      </c>
      <c r="BI278" s="40"/>
      <c r="BL278" s="40"/>
      <c r="BN278" s="19"/>
      <c r="BP278" s="17"/>
    </row>
    <row r="279" spans="1:68" x14ac:dyDescent="0.2">
      <c r="A279">
        <f t="shared" si="68"/>
        <v>1</v>
      </c>
      <c r="E279" s="4"/>
      <c r="F279" s="46" t="s">
        <v>1049</v>
      </c>
      <c r="G279" s="4"/>
      <c r="H279" s="48" t="s">
        <v>1029</v>
      </c>
      <c r="I279" s="26">
        <v>84</v>
      </c>
      <c r="J279" s="26" t="s">
        <v>736</v>
      </c>
      <c r="K279" t="s">
        <v>13</v>
      </c>
      <c r="N279" t="str">
        <f t="shared" si="75"/>
        <v/>
      </c>
      <c r="Q279" t="str">
        <f t="shared" si="74"/>
        <v/>
      </c>
      <c r="S279">
        <f>IF(A279=1,MAX($S$2:$S278)+1,IF(OR($I279&lt;&gt;"",A279="x"),$S278,""))</f>
        <v>143</v>
      </c>
      <c r="T279" t="str">
        <f>IF(D279=1,MAX($T$2:$T278)+1,IF(S279=S278,$T278,IF(D279="x",T278,IF(D278="x","",""))))</f>
        <v/>
      </c>
      <c r="U279" t="str">
        <f>IF(B279=1,MAX($U$2:$U278)+1,IF(AND($T279&lt;&gt;"",$T279=$T278),$U278,IF(B279="x",U278,"")))</f>
        <v/>
      </c>
      <c r="V279" t="str">
        <f>IF(C279=1,MAX($V$2:$V278)+1,IF(AND($T279&lt;&gt;"",$T279=$T278),$U278,IF(C279="x",V278,"")))</f>
        <v/>
      </c>
      <c r="X279" cm="1">
        <f t="array" ref="X279">IF($I279&lt;&gt;"",$I279,INDEX($I$1:$I279,ROW()-COUNTIFS($T$1:$T279,"="&amp;$T279,$S$1:$S279,"&lt;"&amp;$S279)))</f>
        <v>84</v>
      </c>
      <c r="Z279" s="6">
        <f t="shared" si="69"/>
        <v>1</v>
      </c>
      <c r="AA279">
        <f t="shared" si="70"/>
        <v>1143</v>
      </c>
      <c r="AB279" t="str">
        <f t="shared" si="71"/>
        <v/>
      </c>
      <c r="AC279">
        <f t="shared" si="72"/>
        <v>1143</v>
      </c>
      <c r="BI279" s="40"/>
      <c r="BL279" s="40"/>
      <c r="BN279" s="19"/>
      <c r="BP279" s="17"/>
    </row>
    <row r="280" spans="1:68" x14ac:dyDescent="0.2">
      <c r="A280">
        <f t="shared" si="68"/>
        <v>1</v>
      </c>
      <c r="E280" s="4"/>
      <c r="F280" s="46"/>
      <c r="G280" s="4"/>
      <c r="H280" s="48"/>
      <c r="I280" s="26">
        <v>84</v>
      </c>
      <c r="J280" s="26" t="s">
        <v>736</v>
      </c>
      <c r="K280" t="s">
        <v>7</v>
      </c>
      <c r="L280" t="s">
        <v>172</v>
      </c>
      <c r="M280" t="s">
        <v>68</v>
      </c>
      <c r="N280" t="str">
        <f t="shared" si="75"/>
        <v>s</v>
      </c>
      <c r="Q280" t="str">
        <f t="shared" si="74"/>
        <v/>
      </c>
      <c r="S280">
        <f>IF(A280=1,MAX($S$2:$S279)+1,IF(OR($I280&lt;&gt;"",A280="x"),$S279,""))</f>
        <v>144</v>
      </c>
      <c r="T280" t="str">
        <f>IF(D280=1,MAX($T$2:$T279)+1,IF(S280=S279,$T279,IF(D280="x",T279,IF(D279="x","",""))))</f>
        <v/>
      </c>
      <c r="U280" t="str">
        <f>IF(B280=1,MAX($U$2:$U279)+1,IF(AND($T280&lt;&gt;"",$T280=$T279),$U279,IF(B280="x",U279,"")))</f>
        <v/>
      </c>
      <c r="V280" t="str">
        <f>IF(C280=1,MAX($V$2:$V279)+1,IF(AND($T280&lt;&gt;"",$T280=$T279),$U279,IF(C280="x",V279,"")))</f>
        <v/>
      </c>
      <c r="X280" cm="1">
        <f t="array" ref="X280">IF($I280&lt;&gt;"",$I280,INDEX($I$1:$I280,ROW()-COUNTIFS($T$1:$T280,"="&amp;$T280,$S$1:$S280,"&lt;"&amp;$S280)))</f>
        <v>84</v>
      </c>
      <c r="Z280" s="6">
        <f t="shared" si="69"/>
        <v>1</v>
      </c>
      <c r="AA280">
        <f t="shared" si="70"/>
        <v>1144</v>
      </c>
      <c r="AB280" t="str">
        <f t="shared" si="71"/>
        <v/>
      </c>
      <c r="AC280">
        <f t="shared" si="72"/>
        <v>1144</v>
      </c>
      <c r="BI280" s="40"/>
      <c r="BL280" s="40"/>
      <c r="BN280" s="19"/>
      <c r="BP280" s="17"/>
    </row>
    <row r="281" spans="1:68" x14ac:dyDescent="0.2">
      <c r="A281" t="str">
        <f t="shared" si="68"/>
        <v/>
      </c>
      <c r="E281" s="4"/>
      <c r="F281" s="46"/>
      <c r="G281" s="4"/>
      <c r="H281" s="48"/>
      <c r="I281" s="26">
        <v>55</v>
      </c>
      <c r="J281" s="26" t="str">
        <f t="shared" si="73"/>
        <v/>
      </c>
      <c r="N281" t="str">
        <f t="shared" si="75"/>
        <v/>
      </c>
      <c r="Q281" t="str">
        <f t="shared" si="74"/>
        <v/>
      </c>
      <c r="S281">
        <f>IF(A281=1,MAX($S$2:$S280)+1,IF(OR($I281&lt;&gt;"",A281="x"),$S280,""))</f>
        <v>144</v>
      </c>
      <c r="T281" t="str">
        <f>IF(D281=1,MAX($T$2:$T280)+1,IF(S281=S280,$T280,IF(D281="x",T280,IF(D280="x","",""))))</f>
        <v/>
      </c>
      <c r="U281" t="str">
        <f>IF(B281=1,MAX($U$2:$U280)+1,IF(AND($T281&lt;&gt;"",$T281=$T280),$U280,IF(B281="x",U280,"")))</f>
        <v/>
      </c>
      <c r="V281" t="str">
        <f>IF(C281=1,MAX($V$2:$V280)+1,IF(AND($T281&lt;&gt;"",$T281=$T280),$U280,IF(C281="x",V280,"")))</f>
        <v/>
      </c>
      <c r="X281" cm="1">
        <f t="array" ref="X281">IF($I281&lt;&gt;"",$I281,INDEX($I$1:$I281,ROW()-COUNTIFS($T$1:$T281,"="&amp;$T281,$S$1:$S281,"&lt;"&amp;$S281)))</f>
        <v>55</v>
      </c>
      <c r="Z281" s="6">
        <f t="shared" si="69"/>
        <v>1</v>
      </c>
      <c r="AA281">
        <f t="shared" si="70"/>
        <v>1144</v>
      </c>
      <c r="AB281" t="str">
        <f t="shared" si="71"/>
        <v/>
      </c>
      <c r="AC281">
        <f t="shared" si="72"/>
        <v>1144</v>
      </c>
      <c r="BI281" s="40"/>
      <c r="BL281" s="40"/>
      <c r="BN281" s="19"/>
      <c r="BP281" s="17"/>
    </row>
    <row r="282" spans="1:68" x14ac:dyDescent="0.2">
      <c r="A282">
        <f t="shared" si="68"/>
        <v>1</v>
      </c>
      <c r="E282" s="4"/>
      <c r="F282" s="46" t="s">
        <v>1041</v>
      </c>
      <c r="G282" s="4"/>
      <c r="H282" s="48"/>
      <c r="I282" s="26">
        <v>55</v>
      </c>
      <c r="J282" s="26" t="s">
        <v>736</v>
      </c>
      <c r="K282" t="s">
        <v>7</v>
      </c>
      <c r="L282" t="s">
        <v>172</v>
      </c>
      <c r="M282" t="s">
        <v>68</v>
      </c>
      <c r="N282" t="str">
        <f t="shared" si="75"/>
        <v>s</v>
      </c>
      <c r="Q282" t="str">
        <f t="shared" si="74"/>
        <v/>
      </c>
      <c r="R282" s="26">
        <v>1</v>
      </c>
      <c r="S282">
        <f>IF(A282=1,MAX($S$2:$S281)+1,IF(OR($I282&lt;&gt;"",A282="x"),$S281,""))</f>
        <v>145</v>
      </c>
      <c r="T282" t="str">
        <f>IF(D282=1,MAX($T$2:$T281)+1,IF(S282=S281,$T281,IF(D282="x",T281,IF(D281="x","",""))))</f>
        <v/>
      </c>
      <c r="U282" t="str">
        <f>IF(B282=1,MAX($U$2:$U281)+1,IF(AND($T282&lt;&gt;"",$T282=$T281),$U281,IF(B282="x",U281,"")))</f>
        <v/>
      </c>
      <c r="V282" t="str">
        <f>IF(C282=1,MAX($V$2:$V281)+1,IF(AND($T282&lt;&gt;"",$T282=$T281),$U281,IF(C282="x",V281,"")))</f>
        <v/>
      </c>
      <c r="X282" cm="1">
        <f t="array" ref="X282">IF($I282&lt;&gt;"",$I282,INDEX($I$1:$I282,ROW()-COUNTIFS($T$1:$T282,"="&amp;$T282,$S$1:$S282,"&lt;"&amp;$S282)))</f>
        <v>55</v>
      </c>
      <c r="Z282" s="6">
        <f t="shared" si="69"/>
        <v>1</v>
      </c>
      <c r="AA282">
        <f t="shared" si="70"/>
        <v>1145</v>
      </c>
      <c r="AB282" t="str">
        <f t="shared" si="71"/>
        <v/>
      </c>
      <c r="AC282">
        <f t="shared" si="72"/>
        <v>1145</v>
      </c>
      <c r="BI282" s="40"/>
      <c r="BL282" s="40"/>
      <c r="BN282" s="19"/>
      <c r="BP282" s="17"/>
    </row>
    <row r="283" spans="1:68" x14ac:dyDescent="0.2">
      <c r="A283" t="str">
        <f t="shared" si="68"/>
        <v/>
      </c>
      <c r="E283" s="4"/>
      <c r="F283" s="46"/>
      <c r="G283" s="4"/>
      <c r="H283" s="48"/>
      <c r="I283" s="26">
        <v>70</v>
      </c>
      <c r="J283" s="26" t="str">
        <f t="shared" si="73"/>
        <v/>
      </c>
      <c r="N283" t="str">
        <f t="shared" si="75"/>
        <v/>
      </c>
      <c r="Q283" t="str">
        <f t="shared" si="74"/>
        <v/>
      </c>
      <c r="S283">
        <f>IF(A283=1,MAX($S$2:$S282)+1,IF(OR($I283&lt;&gt;"",A283="x"),$S282,""))</f>
        <v>145</v>
      </c>
      <c r="T283" t="str">
        <f>IF(D283=1,MAX($T$2:$T282)+1,IF(S283=S282,$T282,IF(D283="x",T282,IF(D282="x","",""))))</f>
        <v/>
      </c>
      <c r="U283" t="str">
        <f>IF(B283=1,MAX($U$2:$U282)+1,IF(AND($T283&lt;&gt;"",$T283=$T282),$U282,IF(B283="x",U282,"")))</f>
        <v/>
      </c>
      <c r="V283" t="str">
        <f>IF(C283=1,MAX($V$2:$V282)+1,IF(AND($T283&lt;&gt;"",$T283=$T282),$U282,IF(C283="x",V282,"")))</f>
        <v/>
      </c>
      <c r="X283" cm="1">
        <f t="array" ref="X283">IF($I283&lt;&gt;"",$I283,INDEX($I$1:$I283,ROW()-COUNTIFS($T$1:$T283,"="&amp;$T283,$S$1:$S283,"&lt;"&amp;$S283)))</f>
        <v>70</v>
      </c>
      <c r="Z283" s="6">
        <f t="shared" si="69"/>
        <v>1</v>
      </c>
      <c r="AA283">
        <f t="shared" si="70"/>
        <v>1145</v>
      </c>
      <c r="AB283" t="str">
        <f t="shared" si="71"/>
        <v/>
      </c>
      <c r="AC283">
        <f t="shared" si="72"/>
        <v>1145</v>
      </c>
      <c r="BI283" s="40"/>
      <c r="BL283" s="40"/>
      <c r="BN283" s="19"/>
      <c r="BP283" s="17"/>
    </row>
    <row r="284" spans="1:68" x14ac:dyDescent="0.2">
      <c r="A284" t="str">
        <f t="shared" si="68"/>
        <v/>
      </c>
      <c r="E284" s="4"/>
      <c r="F284" s="46"/>
      <c r="G284" s="4"/>
      <c r="H284" s="48"/>
      <c r="I284" s="26">
        <v>71</v>
      </c>
      <c r="J284" s="26" t="str">
        <f t="shared" si="73"/>
        <v/>
      </c>
      <c r="N284" t="str">
        <f t="shared" si="75"/>
        <v/>
      </c>
      <c r="Q284" t="str">
        <f t="shared" si="74"/>
        <v/>
      </c>
      <c r="R284" s="26">
        <v>1</v>
      </c>
      <c r="S284">
        <f>IF(A284=1,MAX($S$2:$S283)+1,IF(OR($I284&lt;&gt;"",A284="x"),$S283,""))</f>
        <v>145</v>
      </c>
      <c r="T284" t="str">
        <f>IF(D284=1,MAX($T$2:$T283)+1,IF(S284=S283,$T283,IF(D284="x",T283,IF(D283="x","",""))))</f>
        <v/>
      </c>
      <c r="U284" t="str">
        <f>IF(B284=1,MAX($U$2:$U283)+1,IF(AND($T284&lt;&gt;"",$T284=$T283),$U283,IF(B284="x",U283,"")))</f>
        <v/>
      </c>
      <c r="V284" t="str">
        <f>IF(C284=1,MAX($V$2:$V283)+1,IF(AND($T284&lt;&gt;"",$T284=$T283),$U283,IF(C284="x",V283,"")))</f>
        <v/>
      </c>
      <c r="X284" cm="1">
        <f t="array" ref="X284">IF($I284&lt;&gt;"",$I284,INDEX($I$1:$I284,ROW()-COUNTIFS($T$1:$T284,"="&amp;$T284,$S$1:$S284,"&lt;"&amp;$S284)))</f>
        <v>71</v>
      </c>
      <c r="Z284" s="6">
        <f t="shared" si="69"/>
        <v>1</v>
      </c>
      <c r="AA284">
        <f t="shared" si="70"/>
        <v>1145</v>
      </c>
      <c r="AB284" t="str">
        <f t="shared" si="71"/>
        <v/>
      </c>
      <c r="AC284">
        <f t="shared" si="72"/>
        <v>1145</v>
      </c>
      <c r="BI284" s="40"/>
      <c r="BL284" s="40"/>
      <c r="BN284" s="19"/>
      <c r="BP284" s="17"/>
    </row>
    <row r="285" spans="1:68" x14ac:dyDescent="0.2">
      <c r="A285">
        <f t="shared" si="68"/>
        <v>1</v>
      </c>
      <c r="E285" s="4"/>
      <c r="F285" s="46" t="s">
        <v>1032</v>
      </c>
      <c r="G285" s="4"/>
      <c r="H285" s="48" t="s">
        <v>1037</v>
      </c>
      <c r="I285" s="26">
        <v>70</v>
      </c>
      <c r="J285" s="26" t="str">
        <f t="shared" si="73"/>
        <v>d</v>
      </c>
      <c r="K285" t="s">
        <v>238</v>
      </c>
      <c r="L285" t="s">
        <v>184</v>
      </c>
      <c r="M285" t="s">
        <v>88</v>
      </c>
      <c r="N285" t="str">
        <f t="shared" si="75"/>
        <v>s</v>
      </c>
      <c r="Q285" t="str">
        <f t="shared" si="74"/>
        <v/>
      </c>
      <c r="S285">
        <f>IF(A285=1,MAX($S$2:$S284)+1,IF(OR($I285&lt;&gt;"",A285="x"),$S284,""))</f>
        <v>146</v>
      </c>
      <c r="T285" t="str">
        <f>IF(D285=1,MAX($T$2:$T284)+1,IF(S285=S284,$T284,IF(D285="x",T284,IF(D284="x","",""))))</f>
        <v/>
      </c>
      <c r="U285" t="str">
        <f>IF(B285=1,MAX($U$2:$U284)+1,IF(AND($T285&lt;&gt;"",$T285=$T284),$U284,IF(B285="x",U284,"")))</f>
        <v/>
      </c>
      <c r="V285" t="str">
        <f>IF(C285=1,MAX($V$2:$V284)+1,IF(AND($T285&lt;&gt;"",$T285=$T284),$U284,IF(C285="x",V284,"")))</f>
        <v/>
      </c>
      <c r="X285" cm="1">
        <f t="array" ref="X285">IF($I285&lt;&gt;"",$I285,INDEX($I$1:$I285,ROW()-COUNTIFS($T$1:$T285,"="&amp;$T285,$S$1:$S285,"&lt;"&amp;$S285)))</f>
        <v>70</v>
      </c>
      <c r="Z285" s="6">
        <f t="shared" si="69"/>
        <v>1</v>
      </c>
      <c r="AA285">
        <f t="shared" si="70"/>
        <v>1146</v>
      </c>
      <c r="AB285" t="str">
        <f t="shared" si="71"/>
        <v/>
      </c>
      <c r="AC285">
        <f t="shared" si="72"/>
        <v>1146</v>
      </c>
      <c r="BI285" s="40"/>
      <c r="BL285" s="40"/>
      <c r="BN285" s="19"/>
      <c r="BP285" s="17"/>
    </row>
    <row r="286" spans="1:68" x14ac:dyDescent="0.2">
      <c r="A286">
        <f t="shared" si="68"/>
        <v>1</v>
      </c>
      <c r="E286" s="4"/>
      <c r="F286" s="46"/>
      <c r="G286" s="4"/>
      <c r="H286" s="48" t="s">
        <v>749</v>
      </c>
      <c r="I286" s="26">
        <v>70</v>
      </c>
      <c r="J286" s="26" t="s">
        <v>734</v>
      </c>
      <c r="K286" t="s">
        <v>13</v>
      </c>
      <c r="N286" t="str">
        <f t="shared" si="75"/>
        <v/>
      </c>
      <c r="Q286" t="str">
        <f t="shared" si="74"/>
        <v/>
      </c>
      <c r="S286">
        <f>IF(A286=1,MAX($S$2:$S285)+1,IF(OR($I286&lt;&gt;"",A286="x"),$S285,""))</f>
        <v>147</v>
      </c>
      <c r="T286" t="str">
        <f>IF(D286=1,MAX($T$2:$T285)+1,IF(S286=S285,$T285,IF(D286="x",T285,IF(D285="x","",""))))</f>
        <v/>
      </c>
      <c r="U286" t="str">
        <f>IF(B286=1,MAX($U$2:$U285)+1,IF(AND($T286&lt;&gt;"",$T286=$T285),$U285,IF(B286="x",U285,"")))</f>
        <v/>
      </c>
      <c r="V286" t="str">
        <f>IF(C286=1,MAX($V$2:$V285)+1,IF(AND($T286&lt;&gt;"",$T286=$T285),$U285,IF(C286="x",V285,"")))</f>
        <v/>
      </c>
      <c r="X286" cm="1">
        <f t="array" ref="X286">IF($I286&lt;&gt;"",$I286,INDEX($I$1:$I286,ROW()-COUNTIFS($T$1:$T286,"="&amp;$T286,$S$1:$S286,"&lt;"&amp;$S286)))</f>
        <v>70</v>
      </c>
      <c r="Z286" s="6">
        <f t="shared" si="69"/>
        <v>1</v>
      </c>
      <c r="AA286">
        <f t="shared" si="70"/>
        <v>1147</v>
      </c>
      <c r="AB286" t="str">
        <f t="shared" si="71"/>
        <v/>
      </c>
      <c r="AC286">
        <f t="shared" si="72"/>
        <v>1147</v>
      </c>
      <c r="BI286" s="40"/>
      <c r="BL286" s="40"/>
      <c r="BN286" s="19"/>
      <c r="BP286" s="17"/>
    </row>
    <row r="287" spans="1:68" x14ac:dyDescent="0.2">
      <c r="A287">
        <f t="shared" si="68"/>
        <v>1</v>
      </c>
      <c r="E287" s="4"/>
      <c r="F287" s="46"/>
      <c r="G287" s="4"/>
      <c r="H287" s="48" t="s">
        <v>1035</v>
      </c>
      <c r="I287" s="26">
        <v>70</v>
      </c>
      <c r="J287" s="26" t="str">
        <f t="shared" si="73"/>
        <v>o</v>
      </c>
      <c r="K287" t="s">
        <v>238</v>
      </c>
      <c r="L287" t="s">
        <v>174</v>
      </c>
      <c r="M287" t="s">
        <v>85</v>
      </c>
      <c r="N287" t="str">
        <f t="shared" si="75"/>
        <v>s</v>
      </c>
      <c r="Q287" t="str">
        <f t="shared" si="74"/>
        <v/>
      </c>
      <c r="S287">
        <f>IF(A287=1,MAX($S$2:$S286)+1,IF(OR($I287&lt;&gt;"",A287="x"),$S286,""))</f>
        <v>148</v>
      </c>
      <c r="T287" t="str">
        <f>IF(D287=1,MAX($T$2:$T286)+1,IF(S287=S286,$T286,IF(D287="x",T286,IF(D286="x","",""))))</f>
        <v/>
      </c>
      <c r="U287" t="str">
        <f>IF(B287=1,MAX($U$2:$U286)+1,IF(AND($T287&lt;&gt;"",$T287=$T286),$U286,IF(B287="x",U286,"")))</f>
        <v/>
      </c>
      <c r="V287" t="str">
        <f>IF(C287=1,MAX($V$2:$V286)+1,IF(AND($T287&lt;&gt;"",$T287=$T286),$U286,IF(C287="x",V286,"")))</f>
        <v/>
      </c>
      <c r="X287" cm="1">
        <f t="array" ref="X287">IF($I287&lt;&gt;"",$I287,INDEX($I$1:$I287,ROW()-COUNTIFS($T$1:$T287,"="&amp;$T287,$S$1:$S287,"&lt;"&amp;$S287)))</f>
        <v>70</v>
      </c>
      <c r="Z287" s="6">
        <f t="shared" si="69"/>
        <v>1</v>
      </c>
      <c r="AA287">
        <f t="shared" si="70"/>
        <v>1148</v>
      </c>
      <c r="AB287" t="str">
        <f t="shared" si="71"/>
        <v/>
      </c>
      <c r="AC287">
        <f t="shared" si="72"/>
        <v>1148</v>
      </c>
      <c r="BI287" s="40"/>
      <c r="BL287" s="40"/>
      <c r="BN287" s="19"/>
      <c r="BP287" s="17"/>
    </row>
    <row r="288" spans="1:68" x14ac:dyDescent="0.2">
      <c r="A288" t="str">
        <f t="shared" si="68"/>
        <v/>
      </c>
      <c r="E288" s="4"/>
      <c r="F288" s="46"/>
      <c r="G288" s="4"/>
      <c r="H288" s="48"/>
      <c r="I288" s="26">
        <v>61</v>
      </c>
      <c r="J288" s="26" t="str">
        <f t="shared" si="73"/>
        <v/>
      </c>
      <c r="N288" t="str">
        <f t="shared" si="75"/>
        <v/>
      </c>
      <c r="Q288" t="str">
        <f t="shared" si="74"/>
        <v/>
      </c>
      <c r="S288">
        <f>IF(A288=1,MAX($S$2:$S287)+1,IF(OR($I288&lt;&gt;"",A288="x"),$S287,""))</f>
        <v>148</v>
      </c>
      <c r="T288" t="str">
        <f>IF(D288=1,MAX($T$2:$T287)+1,IF(S288=S287,$T287,IF(D288="x",T287,IF(D287="x","",""))))</f>
        <v/>
      </c>
      <c r="U288" t="str">
        <f>IF(B288=1,MAX($U$2:$U287)+1,IF(AND($T288&lt;&gt;"",$T288=$T287),$U287,IF(B288="x",U287,"")))</f>
        <v/>
      </c>
      <c r="V288" t="str">
        <f>IF(C288=1,MAX($V$2:$V287)+1,IF(AND($T288&lt;&gt;"",$T288=$T287),$U287,IF(C288="x",V287,"")))</f>
        <v/>
      </c>
      <c r="X288" cm="1">
        <f t="array" ref="X288">IF($I288&lt;&gt;"",$I288,INDEX($I$1:$I288,ROW()-COUNTIFS($T$1:$T288,"="&amp;$T288,$S$1:$S288,"&lt;"&amp;$S288)))</f>
        <v>61</v>
      </c>
      <c r="Z288" s="6">
        <f t="shared" si="69"/>
        <v>1</v>
      </c>
      <c r="AA288">
        <f t="shared" si="70"/>
        <v>1148</v>
      </c>
      <c r="AB288" t="str">
        <f t="shared" si="71"/>
        <v/>
      </c>
      <c r="AC288">
        <f t="shared" si="72"/>
        <v>1148</v>
      </c>
      <c r="BI288" s="40"/>
      <c r="BL288" s="40"/>
      <c r="BN288" s="19"/>
      <c r="BP288" s="17"/>
    </row>
    <row r="289" spans="1:68" x14ac:dyDescent="0.2">
      <c r="A289" t="str">
        <f t="shared" si="68"/>
        <v/>
      </c>
      <c r="E289" s="4"/>
      <c r="F289" s="46"/>
      <c r="G289" s="4"/>
      <c r="H289" s="48"/>
      <c r="I289" s="26">
        <v>10</v>
      </c>
      <c r="J289" s="26" t="str">
        <f t="shared" si="73"/>
        <v/>
      </c>
      <c r="N289" t="str">
        <f t="shared" si="75"/>
        <v/>
      </c>
      <c r="Q289" t="str">
        <f t="shared" si="74"/>
        <v/>
      </c>
      <c r="S289">
        <f>IF(A289=1,MAX($S$2:$S288)+1,IF(OR($I289&lt;&gt;"",A289="x"),$S288,""))</f>
        <v>148</v>
      </c>
      <c r="T289" t="str">
        <f>IF(D289=1,MAX($T$2:$T288)+1,IF(S289=S288,$T288,IF(D289="x",T288,IF(D288="x","",""))))</f>
        <v/>
      </c>
      <c r="U289" t="str">
        <f>IF(B289=1,MAX($U$2:$U288)+1,IF(AND($T289&lt;&gt;"",$T289=$T288),$U288,IF(B289="x",U288,"")))</f>
        <v/>
      </c>
      <c r="V289" t="str">
        <f>IF(C289=1,MAX($V$2:$V288)+1,IF(AND($T289&lt;&gt;"",$T289=$T288),$U288,IF(C289="x",V288,"")))</f>
        <v/>
      </c>
      <c r="X289" cm="1">
        <f t="array" ref="X289">IF($I289&lt;&gt;"",$I289,INDEX($I$1:$I289,ROW()-COUNTIFS($T$1:$T289,"="&amp;$T289,$S$1:$S289,"&lt;"&amp;$S289)))</f>
        <v>10</v>
      </c>
      <c r="Z289" s="6">
        <f t="shared" si="69"/>
        <v>1</v>
      </c>
      <c r="AA289">
        <f t="shared" si="70"/>
        <v>1148</v>
      </c>
      <c r="AB289" t="str">
        <f t="shared" si="71"/>
        <v/>
      </c>
      <c r="AC289">
        <f t="shared" si="72"/>
        <v>1148</v>
      </c>
      <c r="BI289" s="40"/>
      <c r="BL289" s="40"/>
      <c r="BN289" s="19"/>
      <c r="BP289" s="17"/>
    </row>
    <row r="290" spans="1:68" x14ac:dyDescent="0.2">
      <c r="A290">
        <f t="shared" si="68"/>
        <v>1</v>
      </c>
      <c r="E290" s="4"/>
      <c r="F290" s="46"/>
      <c r="G290" s="4"/>
      <c r="H290" s="48"/>
      <c r="I290" s="26">
        <v>70</v>
      </c>
      <c r="J290" s="26" t="s">
        <v>368</v>
      </c>
      <c r="K290" t="s">
        <v>7</v>
      </c>
      <c r="L290" t="s">
        <v>172</v>
      </c>
      <c r="M290" t="s">
        <v>68</v>
      </c>
      <c r="N290" t="str">
        <f t="shared" si="75"/>
        <v>s</v>
      </c>
      <c r="Q290" t="str">
        <f t="shared" si="74"/>
        <v/>
      </c>
      <c r="S290">
        <f>IF(A290=1,MAX($S$2:$S289)+1,IF(OR($I290&lt;&gt;"",A290="x"),$S289,""))</f>
        <v>149</v>
      </c>
      <c r="T290" t="str">
        <f>IF(D290=1,MAX($T$2:$T289)+1,IF(S290=S289,$T289,IF(D290="x",T289,IF(D289="x","",""))))</f>
        <v/>
      </c>
      <c r="U290" t="str">
        <f>IF(B290=1,MAX($U$2:$U289)+1,IF(AND($T290&lt;&gt;"",$T290=$T289),$U289,IF(B290="x",U289,"")))</f>
        <v/>
      </c>
      <c r="V290" t="str">
        <f>IF(C290=1,MAX($V$2:$V289)+1,IF(AND($T290&lt;&gt;"",$T290=$T289),$U289,IF(C290="x",V289,"")))</f>
        <v/>
      </c>
      <c r="X290" cm="1">
        <f t="array" ref="X290">IF($I290&lt;&gt;"",$I290,INDEX($I$1:$I290,ROW()-COUNTIFS($T$1:$T290,"="&amp;$T290,$S$1:$S290,"&lt;"&amp;$S290)))</f>
        <v>70</v>
      </c>
      <c r="Z290" s="6">
        <f t="shared" si="69"/>
        <v>1</v>
      </c>
      <c r="AA290">
        <f t="shared" si="70"/>
        <v>1149</v>
      </c>
      <c r="AB290" t="str">
        <f t="shared" si="71"/>
        <v/>
      </c>
      <c r="AC290">
        <f t="shared" si="72"/>
        <v>1149</v>
      </c>
      <c r="BI290" s="40"/>
      <c r="BL290" s="40"/>
      <c r="BN290" s="19"/>
      <c r="BP290" s="17"/>
    </row>
    <row r="291" spans="1:68" x14ac:dyDescent="0.2">
      <c r="A291" t="str">
        <f t="shared" si="68"/>
        <v/>
      </c>
      <c r="E291" s="4"/>
      <c r="F291" s="46"/>
      <c r="G291" s="4"/>
      <c r="H291" s="48"/>
      <c r="I291" s="26">
        <v>61</v>
      </c>
      <c r="J291" s="26" t="str">
        <f t="shared" si="73"/>
        <v/>
      </c>
      <c r="N291" t="str">
        <f t="shared" si="75"/>
        <v/>
      </c>
      <c r="Q291" t="str">
        <f t="shared" si="74"/>
        <v/>
      </c>
      <c r="S291">
        <f>IF(A291=1,MAX($S$2:$S290)+1,IF(OR($I291&lt;&gt;"",A291="x"),$S290,""))</f>
        <v>149</v>
      </c>
      <c r="T291" t="str">
        <f>IF(D291=1,MAX($T$2:$T290)+1,IF(S291=S290,$T290,IF(D291="x",T290,IF(D290="x","",""))))</f>
        <v/>
      </c>
      <c r="U291" t="str">
        <f>IF(B291=1,MAX($U$2:$U290)+1,IF(AND($T291&lt;&gt;"",$T291=$T290),$U290,IF(B291="x",U290,"")))</f>
        <v/>
      </c>
      <c r="V291" t="str">
        <f>IF(C291=1,MAX($V$2:$V290)+1,IF(AND($T291&lt;&gt;"",$T291=$T290),$U290,IF(C291="x",V290,"")))</f>
        <v/>
      </c>
      <c r="X291" cm="1">
        <f t="array" ref="X291">IF($I291&lt;&gt;"",$I291,INDEX($I$1:$I291,ROW()-COUNTIFS($T$1:$T291,"="&amp;$T291,$S$1:$S291,"&lt;"&amp;$S291)))</f>
        <v>61</v>
      </c>
      <c r="Z291" s="6">
        <f t="shared" si="69"/>
        <v>1</v>
      </c>
      <c r="AA291">
        <f t="shared" si="70"/>
        <v>1149</v>
      </c>
      <c r="AB291" t="str">
        <f t="shared" si="71"/>
        <v/>
      </c>
      <c r="AC291">
        <f t="shared" si="72"/>
        <v>1149</v>
      </c>
      <c r="BI291" s="40"/>
      <c r="BL291" s="40"/>
      <c r="BN291" s="19"/>
      <c r="BP291" s="17"/>
    </row>
    <row r="292" spans="1:68" x14ac:dyDescent="0.2">
      <c r="A292">
        <f t="shared" si="68"/>
        <v>1</v>
      </c>
      <c r="E292" s="4"/>
      <c r="F292" s="46"/>
      <c r="G292" s="4"/>
      <c r="H292" s="48" t="s">
        <v>1062</v>
      </c>
      <c r="I292" s="26">
        <v>61</v>
      </c>
      <c r="J292" s="26" t="s">
        <v>368</v>
      </c>
      <c r="K292" t="s">
        <v>13</v>
      </c>
      <c r="N292" t="str">
        <f t="shared" si="75"/>
        <v/>
      </c>
      <c r="Q292" t="str">
        <f t="shared" si="74"/>
        <v/>
      </c>
      <c r="S292">
        <f>IF(A292=1,MAX($S$2:$S291)+1,IF(OR($I292&lt;&gt;"",A292="x"),$S291,""))</f>
        <v>150</v>
      </c>
      <c r="T292" t="str">
        <f>IF(D292=1,MAX($T$2:$T291)+1,IF(S292=S291,$T291,IF(D292="x",T291,IF(D291="x","",""))))</f>
        <v/>
      </c>
      <c r="U292" t="str">
        <f>IF(B292=1,MAX($U$2:$U291)+1,IF(AND($T292&lt;&gt;"",$T292=$T291),$U291,IF(B292="x",U291,"")))</f>
        <v/>
      </c>
      <c r="V292" t="str">
        <f>IF(C292=1,MAX($V$2:$V291)+1,IF(AND($T292&lt;&gt;"",$T292=$T291),$U291,IF(C292="x",V291,"")))</f>
        <v/>
      </c>
      <c r="X292" cm="1">
        <f t="array" ref="X292">IF($I292&lt;&gt;"",$I292,INDEX($I$1:$I292,ROW()-COUNTIFS($T$1:$T292,"="&amp;$T292,$S$1:$S292,"&lt;"&amp;$S292)))</f>
        <v>61</v>
      </c>
      <c r="Z292" s="6">
        <f t="shared" si="69"/>
        <v>1</v>
      </c>
      <c r="AA292">
        <f t="shared" si="70"/>
        <v>1150</v>
      </c>
      <c r="AB292" t="str">
        <f t="shared" si="71"/>
        <v/>
      </c>
      <c r="AC292">
        <f t="shared" si="72"/>
        <v>1150</v>
      </c>
      <c r="BI292" s="40"/>
      <c r="BL292" s="40"/>
      <c r="BN292" s="19"/>
      <c r="BP292" s="17"/>
    </row>
    <row r="293" spans="1:68" x14ac:dyDescent="0.2">
      <c r="A293">
        <f t="shared" si="68"/>
        <v>1</v>
      </c>
      <c r="D293" s="26">
        <v>1</v>
      </c>
      <c r="E293" s="4"/>
      <c r="F293" s="46"/>
      <c r="G293" s="4"/>
      <c r="H293" s="48"/>
      <c r="I293" s="26">
        <v>61</v>
      </c>
      <c r="J293" s="26" t="str">
        <f t="shared" si="73"/>
        <v>o</v>
      </c>
      <c r="K293" t="s">
        <v>6</v>
      </c>
      <c r="L293" t="s">
        <v>205</v>
      </c>
      <c r="M293" t="s">
        <v>51</v>
      </c>
      <c r="N293" t="str">
        <f t="shared" si="75"/>
        <v>s</v>
      </c>
      <c r="Q293" t="str">
        <f t="shared" si="74"/>
        <v/>
      </c>
      <c r="S293">
        <f>IF(A293=1,MAX($S$2:$S292)+1,IF(OR($I293&lt;&gt;"",A293="x"),$S292,""))</f>
        <v>151</v>
      </c>
      <c r="T293">
        <f>IF(D293=1,MAX($T$2:$T292)+1,IF(S293=S292,$T292,IF(D293="x",T292,IF(D292="x","",""))))</f>
        <v>19</v>
      </c>
      <c r="U293" t="str">
        <f>IF(B293=1,MAX($U$2:$U292)+1,IF(AND($T293&lt;&gt;"",$T293=$T292),$U292,IF(B293="x",U292,"")))</f>
        <v/>
      </c>
      <c r="V293" t="str">
        <f>IF(C293=1,MAX($V$2:$V292)+1,IF(AND($T293&lt;&gt;"",$T293=$T292),$U292,IF(C293="x",V292,"")))</f>
        <v/>
      </c>
      <c r="X293" cm="1">
        <f t="array" ref="X293">IF($I293&lt;&gt;"",$I293,INDEX($I$1:$I293,ROW()-COUNTIFS($T$1:$T293,"="&amp;$T293,$S$1:$S293,"&lt;"&amp;$S293)))</f>
        <v>61</v>
      </c>
      <c r="Z293" s="6">
        <f t="shared" si="69"/>
        <v>1</v>
      </c>
      <c r="AA293">
        <f t="shared" si="70"/>
        <v>1151</v>
      </c>
      <c r="AB293">
        <f t="shared" si="71"/>
        <v>9019</v>
      </c>
      <c r="AC293">
        <f t="shared" si="72"/>
        <v>9019</v>
      </c>
      <c r="BI293" s="40"/>
      <c r="BL293" s="40"/>
      <c r="BN293" s="19"/>
      <c r="BP293" s="17"/>
    </row>
    <row r="294" spans="1:68" x14ac:dyDescent="0.2">
      <c r="A294" t="str">
        <f t="shared" si="68"/>
        <v>x</v>
      </c>
      <c r="D294" s="26" t="s">
        <v>729</v>
      </c>
      <c r="E294" s="4"/>
      <c r="F294" s="46"/>
      <c r="G294" s="4"/>
      <c r="H294" s="48"/>
      <c r="I294" s="26">
        <v>1</v>
      </c>
      <c r="J294" s="26" t="str">
        <f t="shared" si="73"/>
        <v/>
      </c>
      <c r="N294" t="str">
        <f t="shared" si="75"/>
        <v/>
      </c>
      <c r="Q294" t="str">
        <f t="shared" si="74"/>
        <v/>
      </c>
      <c r="S294">
        <f>IF(A294=1,MAX($S$2:$S293)+1,IF(OR($I294&lt;&gt;"",A294="x"),$S293,""))</f>
        <v>151</v>
      </c>
      <c r="T294">
        <f>IF(D294=1,MAX($T$2:$T293)+1,IF(S294=S293,$T293,IF(D294="x",T293,IF(D293="x","",""))))</f>
        <v>19</v>
      </c>
      <c r="U294" t="str">
        <f>IF(B294=1,MAX($U$2:$U293)+1,IF(AND($T294&lt;&gt;"",$T294=$T293),$U293,IF(B294="x",U293,"")))</f>
        <v/>
      </c>
      <c r="V294" t="str">
        <f>IF(C294=1,MAX($V$2:$V293)+1,IF(AND($T294&lt;&gt;"",$T294=$T293),$U293,IF(C294="x",V293,"")))</f>
        <v/>
      </c>
      <c r="X294" cm="1">
        <f t="array" ref="X294">IF($I294&lt;&gt;"",$I294,INDEX($I$1:$I294,ROW()-COUNTIFS($T$1:$T294,"="&amp;$T294,$S$1:$S294,"&lt;"&amp;$S294)))</f>
        <v>1</v>
      </c>
      <c r="Z294" s="6">
        <f t="shared" si="69"/>
        <v>1</v>
      </c>
      <c r="AA294">
        <f t="shared" si="70"/>
        <v>1151</v>
      </c>
      <c r="AB294">
        <f t="shared" si="71"/>
        <v>9019</v>
      </c>
      <c r="AC294">
        <f t="shared" si="72"/>
        <v>9019</v>
      </c>
      <c r="BI294" s="40"/>
      <c r="BL294" s="40"/>
      <c r="BN294" s="19"/>
      <c r="BP294" s="17"/>
    </row>
    <row r="295" spans="1:68" x14ac:dyDescent="0.2">
      <c r="A295">
        <f t="shared" si="68"/>
        <v>1</v>
      </c>
      <c r="D295" s="26" t="s">
        <v>729</v>
      </c>
      <c r="E295" s="4"/>
      <c r="F295" s="46"/>
      <c r="G295" s="4"/>
      <c r="H295" s="48"/>
      <c r="I295" s="26">
        <v>1</v>
      </c>
      <c r="J295" s="26" t="str">
        <f t="shared" si="73"/>
        <v>d</v>
      </c>
      <c r="K295" t="s">
        <v>15</v>
      </c>
      <c r="L295" t="s">
        <v>179</v>
      </c>
      <c r="M295" t="s">
        <v>96</v>
      </c>
      <c r="N295" t="str">
        <f t="shared" si="75"/>
        <v/>
      </c>
      <c r="Q295" t="str">
        <f t="shared" si="74"/>
        <v/>
      </c>
      <c r="S295">
        <f>IF(A295=1,MAX($S$2:$S294)+1,IF(OR($I295&lt;&gt;"",A295="x"),$S294,""))</f>
        <v>152</v>
      </c>
      <c r="T295">
        <f>IF(D295=1,MAX($T$2:$T294)+1,IF(S295=S294,$T294,IF(D295="x",T294,IF(D294="x","",""))))</f>
        <v>19</v>
      </c>
      <c r="U295" t="str">
        <f>IF(B295=1,MAX($U$2:$U294)+1,IF(AND($T295&lt;&gt;"",$T295=$T294),$U294,IF(B295="x",U294,"")))</f>
        <v/>
      </c>
      <c r="V295" t="str">
        <f>IF(C295=1,MAX($V$2:$V294)+1,IF(AND($T295&lt;&gt;"",$T295=$T294),$U294,IF(C295="x",V294,"")))</f>
        <v/>
      </c>
      <c r="X295" cm="1">
        <f t="array" ref="X295">IF($I295&lt;&gt;"",$I295,INDEX($I$1:$I295,ROW()-COUNTIFS($T$1:$T295,"="&amp;$T295,$S$1:$S295,"&lt;"&amp;$S295)))</f>
        <v>1</v>
      </c>
      <c r="Z295" s="6">
        <f t="shared" si="69"/>
        <v>1</v>
      </c>
      <c r="AA295">
        <f t="shared" si="70"/>
        <v>1152</v>
      </c>
      <c r="AB295">
        <f t="shared" si="71"/>
        <v>9019</v>
      </c>
      <c r="AC295">
        <f t="shared" si="72"/>
        <v>9019</v>
      </c>
      <c r="BI295" s="40"/>
      <c r="BL295" s="40"/>
      <c r="BN295" s="19"/>
      <c r="BP295" s="17"/>
    </row>
    <row r="296" spans="1:68" x14ac:dyDescent="0.2">
      <c r="A296" t="str">
        <f t="shared" si="68"/>
        <v>x</v>
      </c>
      <c r="D296" s="26" t="s">
        <v>729</v>
      </c>
      <c r="E296" s="4"/>
      <c r="F296" s="46"/>
      <c r="G296" s="4"/>
      <c r="H296" s="48"/>
      <c r="I296" s="26">
        <v>61</v>
      </c>
      <c r="J296" s="26" t="str">
        <f t="shared" si="73"/>
        <v/>
      </c>
      <c r="N296" t="str">
        <f t="shared" si="75"/>
        <v/>
      </c>
      <c r="Q296" t="str">
        <f t="shared" si="74"/>
        <v/>
      </c>
      <c r="S296">
        <f>IF(A296=1,MAX($S$2:$S295)+1,IF(OR($I296&lt;&gt;"",A296="x"),$S295,""))</f>
        <v>152</v>
      </c>
      <c r="T296">
        <f>IF(D296=1,MAX($T$2:$T295)+1,IF(S296=S295,$T295,IF(D296="x",T295,IF(D295="x","",""))))</f>
        <v>19</v>
      </c>
      <c r="U296" t="str">
        <f>IF(B296=1,MAX($U$2:$U295)+1,IF(AND($T296&lt;&gt;"",$T296=$T295),$U295,IF(B296="x",U295,"")))</f>
        <v/>
      </c>
      <c r="V296" t="str">
        <f>IF(C296=1,MAX($V$2:$V295)+1,IF(AND($T296&lt;&gt;"",$T296=$T295),$U295,IF(C296="x",V295,"")))</f>
        <v/>
      </c>
      <c r="X296" cm="1">
        <f t="array" ref="X296">IF($I296&lt;&gt;"",$I296,INDEX($I$1:$I296,ROW()-COUNTIFS($T$1:$T296,"="&amp;$T296,$S$1:$S296,"&lt;"&amp;$S296)))</f>
        <v>61</v>
      </c>
      <c r="Z296" s="6">
        <f t="shared" si="69"/>
        <v>1</v>
      </c>
      <c r="AA296">
        <f t="shared" si="70"/>
        <v>1152</v>
      </c>
      <c r="AB296">
        <f t="shared" si="71"/>
        <v>9019</v>
      </c>
      <c r="AC296">
        <f t="shared" si="72"/>
        <v>9019</v>
      </c>
      <c r="BI296" s="40"/>
      <c r="BL296" s="40"/>
      <c r="BN296" s="19"/>
      <c r="BP296" s="17"/>
    </row>
    <row r="297" spans="1:68" x14ac:dyDescent="0.2">
      <c r="A297">
        <f t="shared" si="68"/>
        <v>1</v>
      </c>
      <c r="D297" s="26" t="s">
        <v>729</v>
      </c>
      <c r="E297" s="4"/>
      <c r="F297" s="46"/>
      <c r="G297" s="4"/>
      <c r="H297" s="48"/>
      <c r="I297" s="26">
        <v>1</v>
      </c>
      <c r="J297" s="26" t="str">
        <f t="shared" si="73"/>
        <v>d</v>
      </c>
      <c r="K297" t="s">
        <v>231</v>
      </c>
      <c r="L297" t="s">
        <v>232</v>
      </c>
      <c r="N297" t="str">
        <f t="shared" si="75"/>
        <v/>
      </c>
      <c r="Q297" t="str">
        <f t="shared" si="74"/>
        <v/>
      </c>
      <c r="S297">
        <f>IF(A297=1,MAX($S$2:$S296)+1,IF(OR($I297&lt;&gt;"",A297="x"),$S296,""))</f>
        <v>153</v>
      </c>
      <c r="T297">
        <f>IF(D297=1,MAX($T$2:$T296)+1,IF(S297=S296,$T296,IF(D297="x",T296,IF(D296="x","",""))))</f>
        <v>19</v>
      </c>
      <c r="U297" t="str">
        <f>IF(B297=1,MAX($U$2:$U296)+1,IF(AND($T297&lt;&gt;"",$T297=$T296),$U296,IF(B297="x",U296,"")))</f>
        <v/>
      </c>
      <c r="V297" t="str">
        <f>IF(C297=1,MAX($V$2:$V296)+1,IF(AND($T297&lt;&gt;"",$T297=$T296),$U296,IF(C297="x",V296,"")))</f>
        <v/>
      </c>
      <c r="X297" cm="1">
        <f t="array" ref="X297">IF($I297&lt;&gt;"",$I297,INDEX($I$1:$I297,ROW()-COUNTIFS($T$1:$T297,"="&amp;$T297,$S$1:$S297,"&lt;"&amp;$S297)))</f>
        <v>1</v>
      </c>
      <c r="Z297" s="6">
        <f t="shared" si="69"/>
        <v>1</v>
      </c>
      <c r="AA297">
        <f t="shared" si="70"/>
        <v>1153</v>
      </c>
      <c r="AB297">
        <f t="shared" si="71"/>
        <v>9019</v>
      </c>
      <c r="AC297">
        <f t="shared" si="72"/>
        <v>9019</v>
      </c>
      <c r="BI297" s="40"/>
      <c r="BL297" s="40"/>
      <c r="BN297" s="19"/>
      <c r="BP297" s="17"/>
    </row>
    <row r="298" spans="1:68" x14ac:dyDescent="0.2">
      <c r="A298">
        <f t="shared" si="68"/>
        <v>1</v>
      </c>
      <c r="E298" s="4"/>
      <c r="F298" s="46" t="s">
        <v>1043</v>
      </c>
      <c r="G298" s="4"/>
      <c r="H298" s="48"/>
      <c r="I298" s="26">
        <v>57</v>
      </c>
      <c r="J298" s="26" t="s">
        <v>736</v>
      </c>
      <c r="K298" t="s">
        <v>13</v>
      </c>
      <c r="L298" t="s">
        <v>586</v>
      </c>
      <c r="N298" t="s">
        <v>595</v>
      </c>
      <c r="O298" t="s">
        <v>908</v>
      </c>
      <c r="Q298" t="str">
        <f t="shared" si="74"/>
        <v>s</v>
      </c>
      <c r="R298" s="26">
        <v>1</v>
      </c>
      <c r="S298">
        <f>IF(A298=1,MAX($S$2:$S297)+1,IF(OR($I298&lt;&gt;"",A298="x"),$S297,""))</f>
        <v>154</v>
      </c>
      <c r="T298" t="str">
        <f>IF(D298=1,MAX($T$2:$T297)+1,IF(S298=S297,$T297,IF(D298="x",T297,IF(D297="x","",""))))</f>
        <v/>
      </c>
      <c r="U298" t="str">
        <f>IF(B298=1,MAX($U$2:$U297)+1,IF(AND($T298&lt;&gt;"",$T298=$T297),$U297,IF(B298="x",U297,"")))</f>
        <v/>
      </c>
      <c r="V298" t="str">
        <f>IF(C298=1,MAX($V$2:$V297)+1,IF(AND($T298&lt;&gt;"",$T298=$T297),$U297,IF(C298="x",V297,"")))</f>
        <v/>
      </c>
      <c r="X298" cm="1">
        <f t="array" ref="X298">IF($I298&lt;&gt;"",$I298,INDEX($I$1:$I298,ROW()-COUNTIFS($T$1:$T298,"="&amp;$T298,$S$1:$S298,"&lt;"&amp;$S298)))</f>
        <v>57</v>
      </c>
      <c r="Z298" s="6">
        <f t="shared" si="69"/>
        <v>1</v>
      </c>
      <c r="AA298">
        <f t="shared" si="70"/>
        <v>1154</v>
      </c>
      <c r="AB298" t="str">
        <f t="shared" si="71"/>
        <v/>
      </c>
      <c r="AC298">
        <f t="shared" si="72"/>
        <v>1154</v>
      </c>
      <c r="BI298" s="40"/>
      <c r="BL298" s="40"/>
      <c r="BN298" s="19"/>
      <c r="BP298" s="17"/>
    </row>
    <row r="299" spans="1:68" x14ac:dyDescent="0.2">
      <c r="A299" t="str">
        <f t="shared" si="68"/>
        <v/>
      </c>
      <c r="E299" s="4"/>
      <c r="F299" s="46"/>
      <c r="G299" s="4"/>
      <c r="H299" s="48"/>
      <c r="I299" s="26">
        <v>84</v>
      </c>
      <c r="J299" s="26" t="str">
        <f t="shared" si="73"/>
        <v/>
      </c>
      <c r="N299" t="str">
        <f t="shared" si="75"/>
        <v/>
      </c>
      <c r="Q299" t="str">
        <f t="shared" si="74"/>
        <v/>
      </c>
      <c r="R299" s="26">
        <v>1</v>
      </c>
      <c r="S299">
        <f>IF(A299=1,MAX($S$2:$S298)+1,IF(OR($I299&lt;&gt;"",A299="x"),$S298,""))</f>
        <v>154</v>
      </c>
      <c r="T299" t="str">
        <f>IF(D299=1,MAX($T$2:$T298)+1,IF(S299=S298,$T298,IF(D299="x",T298,IF(D298="x","",""))))</f>
        <v/>
      </c>
      <c r="U299" t="str">
        <f>IF(B299=1,MAX($U$2:$U298)+1,IF(AND($T299&lt;&gt;"",$T299=$T298),$U298,IF(B299="x",U298,"")))</f>
        <v/>
      </c>
      <c r="V299" t="str">
        <f>IF(C299=1,MAX($V$2:$V298)+1,IF(AND($T299&lt;&gt;"",$T299=$T298),$U298,IF(C299="x",V298,"")))</f>
        <v/>
      </c>
      <c r="X299" cm="1">
        <f t="array" ref="X299">IF($I299&lt;&gt;"",$I299,INDEX($I$1:$I299,ROW()-COUNTIFS($T$1:$T299,"="&amp;$T299,$S$1:$S299,"&lt;"&amp;$S299)))</f>
        <v>84</v>
      </c>
      <c r="Z299" s="6">
        <f t="shared" si="69"/>
        <v>1</v>
      </c>
      <c r="AA299">
        <f t="shared" si="70"/>
        <v>1154</v>
      </c>
      <c r="AB299" t="str">
        <f t="shared" si="71"/>
        <v/>
      </c>
      <c r="AC299">
        <f t="shared" si="72"/>
        <v>1154</v>
      </c>
      <c r="BI299" s="40"/>
      <c r="BL299" s="40"/>
      <c r="BN299" s="19"/>
      <c r="BP299" s="17"/>
    </row>
    <row r="300" spans="1:68" x14ac:dyDescent="0.2">
      <c r="A300">
        <f t="shared" si="68"/>
        <v>1</v>
      </c>
      <c r="E300" s="4"/>
      <c r="F300" s="46"/>
      <c r="G300" s="4"/>
      <c r="H300" s="48"/>
      <c r="I300" s="26">
        <v>57</v>
      </c>
      <c r="J300" s="26" t="s">
        <v>736</v>
      </c>
      <c r="K300" t="s">
        <v>7</v>
      </c>
      <c r="L300" t="s">
        <v>172</v>
      </c>
      <c r="M300" t="s">
        <v>68</v>
      </c>
      <c r="N300" t="str">
        <f t="shared" si="75"/>
        <v>s</v>
      </c>
      <c r="O300" t="s">
        <v>576</v>
      </c>
      <c r="Q300" t="str">
        <f t="shared" si="74"/>
        <v>s</v>
      </c>
      <c r="S300">
        <f>IF(A300=1,MAX($S$2:$S299)+1,IF(OR($I300&lt;&gt;"",A300="x"),$S299,""))</f>
        <v>155</v>
      </c>
      <c r="T300" t="str">
        <f>IF(D300=1,MAX($T$2:$T299)+1,IF(S300=S299,$T299,IF(D300="x",T299,IF(D299="x","",""))))</f>
        <v/>
      </c>
      <c r="U300" t="str">
        <f>IF(B300=1,MAX($U$2:$U299)+1,IF(AND($T300&lt;&gt;"",$T300=$T299),$U299,IF(B300="x",U299,"")))</f>
        <v/>
      </c>
      <c r="V300" t="str">
        <f>IF(C300=1,MAX($V$2:$V299)+1,IF(AND($T300&lt;&gt;"",$T300=$T299),$U299,IF(C300="x",V299,"")))</f>
        <v/>
      </c>
      <c r="X300" cm="1">
        <f t="array" ref="X300">IF($I300&lt;&gt;"",$I300,INDEX($I$1:$I300,ROW()-COUNTIFS($T$1:$T300,"="&amp;$T300,$S$1:$S300,"&lt;"&amp;$S300)))</f>
        <v>57</v>
      </c>
      <c r="Z300" s="6">
        <f t="shared" si="69"/>
        <v>1</v>
      </c>
      <c r="AA300">
        <f t="shared" si="70"/>
        <v>1155</v>
      </c>
      <c r="AB300" t="str">
        <f t="shared" si="71"/>
        <v/>
      </c>
      <c r="AC300">
        <f t="shared" si="72"/>
        <v>1155</v>
      </c>
      <c r="BI300" s="40"/>
      <c r="BL300" s="40"/>
      <c r="BN300" s="19"/>
      <c r="BP300" s="17"/>
    </row>
    <row r="301" spans="1:68" x14ac:dyDescent="0.2">
      <c r="A301" t="str">
        <f t="shared" si="68"/>
        <v/>
      </c>
      <c r="E301" s="4"/>
      <c r="F301" s="46"/>
      <c r="G301" s="4"/>
      <c r="H301" s="48"/>
      <c r="I301" s="26">
        <v>71</v>
      </c>
      <c r="J301" s="26" t="str">
        <f t="shared" si="73"/>
        <v/>
      </c>
      <c r="N301" t="str">
        <f t="shared" si="75"/>
        <v/>
      </c>
      <c r="Q301" t="str">
        <f t="shared" si="74"/>
        <v/>
      </c>
      <c r="S301">
        <f>IF(A301=1,MAX($S$2:$S300)+1,IF(OR($I301&lt;&gt;"",A301="x"),$S300,""))</f>
        <v>155</v>
      </c>
      <c r="T301" t="str">
        <f>IF(D301=1,MAX($T$2:$T300)+1,IF(S301=S300,$T300,IF(D301="x",T300,IF(D300="x","",""))))</f>
        <v/>
      </c>
      <c r="U301" t="str">
        <f>IF(B301=1,MAX($U$2:$U300)+1,IF(AND($T301&lt;&gt;"",$T301=$T300),$U300,IF(B301="x",U300,"")))</f>
        <v/>
      </c>
      <c r="V301" t="str">
        <f>IF(C301=1,MAX($V$2:$V300)+1,IF(AND($T301&lt;&gt;"",$T301=$T300),$U300,IF(C301="x",V300,"")))</f>
        <v/>
      </c>
      <c r="X301" cm="1">
        <f t="array" ref="X301">IF($I301&lt;&gt;"",$I301,INDEX($I$1:$I301,ROW()-COUNTIFS($T$1:$T301,"="&amp;$T301,$S$1:$S301,"&lt;"&amp;$S301)))</f>
        <v>71</v>
      </c>
      <c r="Z301" s="6">
        <f t="shared" si="69"/>
        <v>1</v>
      </c>
      <c r="AA301">
        <f t="shared" si="70"/>
        <v>1155</v>
      </c>
      <c r="AB301" t="str">
        <f t="shared" si="71"/>
        <v/>
      </c>
      <c r="AC301">
        <f t="shared" si="72"/>
        <v>1155</v>
      </c>
      <c r="BI301" s="40"/>
      <c r="BL301" s="40"/>
      <c r="BN301" s="19"/>
      <c r="BP301" s="17"/>
    </row>
    <row r="302" spans="1:68" x14ac:dyDescent="0.2">
      <c r="A302">
        <f t="shared" si="68"/>
        <v>1</v>
      </c>
      <c r="E302" s="4"/>
      <c r="F302" s="46"/>
      <c r="G302" s="4"/>
      <c r="H302" s="48" t="s">
        <v>1046</v>
      </c>
      <c r="I302" s="26">
        <v>71</v>
      </c>
      <c r="J302" s="26" t="s">
        <v>736</v>
      </c>
      <c r="K302" t="s">
        <v>13</v>
      </c>
      <c r="N302" t="str">
        <f t="shared" si="75"/>
        <v/>
      </c>
      <c r="Q302" t="str">
        <f t="shared" si="74"/>
        <v/>
      </c>
      <c r="S302">
        <f>IF(A302=1,MAX($S$2:$S301)+1,IF(OR($I302&lt;&gt;"",A302="x"),$S301,""))</f>
        <v>156</v>
      </c>
      <c r="T302" t="str">
        <f>IF(D302=1,MAX($T$2:$T301)+1,IF(S302=S301,$T301,IF(D302="x",T301,IF(D301="x","",""))))</f>
        <v/>
      </c>
      <c r="U302" t="str">
        <f>IF(B302=1,MAX($U$2:$U301)+1,IF(AND($T302&lt;&gt;"",$T302=$T301),$U301,IF(B302="x",U301,"")))</f>
        <v/>
      </c>
      <c r="V302" t="str">
        <f>IF(C302=1,MAX($V$2:$V301)+1,IF(AND($T302&lt;&gt;"",$T302=$T301),$U301,IF(C302="x",V301,"")))</f>
        <v/>
      </c>
      <c r="X302" cm="1">
        <f t="array" ref="X302">IF($I302&lt;&gt;"",$I302,INDEX($I$1:$I302,ROW()-COUNTIFS($T$1:$T302,"="&amp;$T302,$S$1:$S302,"&lt;"&amp;$S302)))</f>
        <v>71</v>
      </c>
      <c r="Z302" s="6">
        <f t="shared" si="69"/>
        <v>1</v>
      </c>
      <c r="AA302">
        <f t="shared" si="70"/>
        <v>1156</v>
      </c>
      <c r="AB302" t="str">
        <f t="shared" si="71"/>
        <v/>
      </c>
      <c r="AC302">
        <f t="shared" si="72"/>
        <v>1156</v>
      </c>
      <c r="BI302" s="40"/>
      <c r="BL302" s="40"/>
      <c r="BN302" s="19"/>
      <c r="BP302" s="17"/>
    </row>
    <row r="303" spans="1:68" x14ac:dyDescent="0.2">
      <c r="A303">
        <f t="shared" si="68"/>
        <v>1</v>
      </c>
      <c r="E303" s="4"/>
      <c r="F303" s="46"/>
      <c r="G303" s="4"/>
      <c r="H303" s="48" t="s">
        <v>1063</v>
      </c>
      <c r="I303" s="26">
        <v>71</v>
      </c>
      <c r="J303" s="26" t="str">
        <f t="shared" si="73"/>
        <v>d</v>
      </c>
      <c r="K303" t="s">
        <v>238</v>
      </c>
      <c r="L303" t="s">
        <v>184</v>
      </c>
      <c r="M303" t="s">
        <v>88</v>
      </c>
      <c r="N303" t="str">
        <f t="shared" si="75"/>
        <v>s</v>
      </c>
      <c r="Q303" t="str">
        <f t="shared" si="74"/>
        <v/>
      </c>
      <c r="S303">
        <f>IF(A303=1,MAX($S$2:$S302)+1,IF(OR($I303&lt;&gt;"",A303="x"),$S302,""))</f>
        <v>157</v>
      </c>
      <c r="T303" t="str">
        <f>IF(D303=1,MAX($T$2:$T302)+1,IF(S303=S302,$T302,IF(D303="x",T302,IF(D302="x","",""))))</f>
        <v/>
      </c>
      <c r="U303" t="str">
        <f>IF(B303=1,MAX($U$2:$U302)+1,IF(AND($T303&lt;&gt;"",$T303=$T302),$U302,IF(B303="x",U302,"")))</f>
        <v/>
      </c>
      <c r="V303" t="str">
        <f>IF(C303=1,MAX($V$2:$V302)+1,IF(AND($T303&lt;&gt;"",$T303=$T302),$U302,IF(C303="x",V302,"")))</f>
        <v/>
      </c>
      <c r="X303" cm="1">
        <f t="array" ref="X303">IF($I303&lt;&gt;"",$I303,INDEX($I$1:$I303,ROW()-COUNTIFS($T$1:$T303,"="&amp;$T303,$S$1:$S303,"&lt;"&amp;$S303)))</f>
        <v>71</v>
      </c>
      <c r="Z303" s="6">
        <f t="shared" si="69"/>
        <v>1</v>
      </c>
      <c r="AA303">
        <f t="shared" si="70"/>
        <v>1157</v>
      </c>
      <c r="AB303" t="str">
        <f t="shared" si="71"/>
        <v/>
      </c>
      <c r="AC303">
        <f t="shared" si="72"/>
        <v>1157</v>
      </c>
      <c r="BI303" s="40"/>
      <c r="BL303" s="40"/>
      <c r="BN303" s="19"/>
      <c r="BP303" s="17"/>
    </row>
    <row r="304" spans="1:68" x14ac:dyDescent="0.2">
      <c r="A304">
        <f t="shared" si="68"/>
        <v>1</v>
      </c>
      <c r="E304" s="4"/>
      <c r="F304" s="46"/>
      <c r="G304" s="4"/>
      <c r="H304" s="48" t="s">
        <v>1039</v>
      </c>
      <c r="I304" s="26">
        <v>71</v>
      </c>
      <c r="J304" s="26" t="s">
        <v>734</v>
      </c>
      <c r="K304" t="s">
        <v>13</v>
      </c>
      <c r="N304" t="str">
        <f t="shared" si="75"/>
        <v/>
      </c>
      <c r="Q304" t="str">
        <f t="shared" si="74"/>
        <v/>
      </c>
      <c r="S304">
        <f>IF(A304=1,MAX($S$2:$S303)+1,IF(OR($I304&lt;&gt;"",A304="x"),$S303,""))</f>
        <v>158</v>
      </c>
      <c r="T304" t="str">
        <f>IF(D304=1,MAX($T$2:$T303)+1,IF(S304=S303,$T303,IF(D304="x",T303,IF(D303="x","",""))))</f>
        <v/>
      </c>
      <c r="U304" t="str">
        <f>IF(B304=1,MAX($U$2:$U303)+1,IF(AND($T304&lt;&gt;"",$T304=$T303),$U303,IF(B304="x",U303,"")))</f>
        <v/>
      </c>
      <c r="V304" t="str">
        <f>IF(C304=1,MAX($V$2:$V303)+1,IF(AND($T304&lt;&gt;"",$T304=$T303),$U303,IF(C304="x",V303,"")))</f>
        <v/>
      </c>
      <c r="X304" cm="1">
        <f t="array" ref="X304">IF($I304&lt;&gt;"",$I304,INDEX($I$1:$I304,ROW()-COUNTIFS($T$1:$T304,"="&amp;$T304,$S$1:$S304,"&lt;"&amp;$S304)))</f>
        <v>71</v>
      </c>
      <c r="Z304" s="6">
        <f t="shared" si="69"/>
        <v>1</v>
      </c>
      <c r="AA304">
        <f t="shared" si="70"/>
        <v>1158</v>
      </c>
      <c r="AB304" t="str">
        <f t="shared" si="71"/>
        <v/>
      </c>
      <c r="AC304">
        <f t="shared" si="72"/>
        <v>1158</v>
      </c>
      <c r="BI304" s="40"/>
      <c r="BL304" s="40"/>
      <c r="BN304" s="19"/>
      <c r="BP304" s="17"/>
    </row>
    <row r="305" spans="1:68" x14ac:dyDescent="0.2">
      <c r="A305">
        <f t="shared" si="68"/>
        <v>1</v>
      </c>
      <c r="E305" s="4"/>
      <c r="F305" s="46"/>
      <c r="G305" s="4"/>
      <c r="H305" s="48" t="s">
        <v>739</v>
      </c>
      <c r="I305" s="26">
        <v>71</v>
      </c>
      <c r="J305" s="26" t="str">
        <f t="shared" si="73"/>
        <v>o</v>
      </c>
      <c r="K305" t="s">
        <v>238</v>
      </c>
      <c r="L305" t="s">
        <v>174</v>
      </c>
      <c r="M305" t="s">
        <v>85</v>
      </c>
      <c r="N305" t="s">
        <v>594</v>
      </c>
      <c r="Q305" t="str">
        <f t="shared" si="74"/>
        <v/>
      </c>
      <c r="R305" s="26">
        <v>1</v>
      </c>
      <c r="S305">
        <f>IF(A305=1,MAX($S$2:$S304)+1,IF(OR($I305&lt;&gt;"",A305="x"),$S304,""))</f>
        <v>159</v>
      </c>
      <c r="T305" t="str">
        <f>IF(D305=1,MAX($T$2:$T304)+1,IF(S305=S304,$T304,IF(D305="x",T304,IF(D304="x","",""))))</f>
        <v/>
      </c>
      <c r="U305" t="str">
        <f>IF(B305=1,MAX($U$2:$U304)+1,IF(AND($T305&lt;&gt;"",$T305=$T304),$U304,IF(B305="x",U304,"")))</f>
        <v/>
      </c>
      <c r="V305" t="str">
        <f>IF(C305=1,MAX($V$2:$V304)+1,IF(AND($T305&lt;&gt;"",$T305=$T304),$U304,IF(C305="x",V304,"")))</f>
        <v/>
      </c>
      <c r="X305" cm="1">
        <f t="array" ref="X305">IF($I305&lt;&gt;"",$I305,INDEX($I$1:$I305,ROW()-COUNTIFS($T$1:$T305,"="&amp;$T305,$S$1:$S305,"&lt;"&amp;$S305)))</f>
        <v>71</v>
      </c>
      <c r="Z305" s="6">
        <f t="shared" si="69"/>
        <v>1</v>
      </c>
      <c r="AA305">
        <f t="shared" si="70"/>
        <v>1159</v>
      </c>
      <c r="AB305" t="str">
        <f t="shared" si="71"/>
        <v/>
      </c>
      <c r="AC305">
        <f t="shared" si="72"/>
        <v>1159</v>
      </c>
      <c r="BI305" s="40"/>
      <c r="BL305" s="40"/>
      <c r="BN305" s="19"/>
      <c r="BP305" s="17"/>
    </row>
    <row r="306" spans="1:68" x14ac:dyDescent="0.2">
      <c r="A306" t="str">
        <f t="shared" si="68"/>
        <v/>
      </c>
      <c r="E306" s="4"/>
      <c r="F306" s="46"/>
      <c r="G306" s="4"/>
      <c r="H306" s="48"/>
      <c r="I306" s="26">
        <v>9</v>
      </c>
      <c r="J306" s="26" t="str">
        <f t="shared" si="73"/>
        <v/>
      </c>
      <c r="N306" t="str">
        <f t="shared" si="75"/>
        <v/>
      </c>
      <c r="Q306" t="str">
        <f t="shared" si="74"/>
        <v/>
      </c>
      <c r="R306" s="26">
        <v>1</v>
      </c>
      <c r="S306">
        <f>IF(A306=1,MAX($S$2:$S305)+1,IF(OR($I306&lt;&gt;"",A306="x"),$S305,""))</f>
        <v>159</v>
      </c>
      <c r="T306" t="str">
        <f>IF(D306=1,MAX($T$2:$T305)+1,IF(S306=S305,$T305,IF(D306="x",T305,IF(D305="x","",""))))</f>
        <v/>
      </c>
      <c r="U306" t="str">
        <f>IF(B306=1,MAX($U$2:$U305)+1,IF(AND($T306&lt;&gt;"",$T306=$T305),$U305,IF(B306="x",U305,"")))</f>
        <v/>
      </c>
      <c r="V306" t="str">
        <f>IF(C306=1,MAX($V$2:$V305)+1,IF(AND($T306&lt;&gt;"",$T306=$T305),$U305,IF(C306="x",V305,"")))</f>
        <v/>
      </c>
      <c r="X306" cm="1">
        <f t="array" ref="X306">IF($I306&lt;&gt;"",$I306,INDEX($I$1:$I306,ROW()-COUNTIFS($T$1:$T306,"="&amp;$T306,$S$1:$S306,"&lt;"&amp;$S306)))</f>
        <v>9</v>
      </c>
      <c r="Z306" s="6">
        <f t="shared" si="69"/>
        <v>1</v>
      </c>
      <c r="AA306">
        <f t="shared" si="70"/>
        <v>1159</v>
      </c>
      <c r="AB306" t="str">
        <f t="shared" si="71"/>
        <v/>
      </c>
      <c r="AC306">
        <f t="shared" si="72"/>
        <v>1159</v>
      </c>
      <c r="BI306" s="40"/>
      <c r="BL306" s="40"/>
      <c r="BN306" s="19"/>
      <c r="BP306" s="17"/>
    </row>
    <row r="307" spans="1:68" x14ac:dyDescent="0.2">
      <c r="A307">
        <f t="shared" si="68"/>
        <v>1</v>
      </c>
      <c r="D307" s="26">
        <v>1</v>
      </c>
      <c r="E307" s="4"/>
      <c r="F307" s="46"/>
      <c r="G307" s="4"/>
      <c r="H307" s="48"/>
      <c r="I307" s="26">
        <v>9</v>
      </c>
      <c r="J307" s="26" t="s">
        <v>736</v>
      </c>
      <c r="K307" t="s">
        <v>9</v>
      </c>
      <c r="L307" t="s">
        <v>183</v>
      </c>
      <c r="M307" t="s">
        <v>79</v>
      </c>
      <c r="N307" t="s">
        <v>595</v>
      </c>
      <c r="O307" t="s">
        <v>158</v>
      </c>
      <c r="Q307" t="str">
        <f t="shared" si="74"/>
        <v>s</v>
      </c>
      <c r="R307" s="26">
        <v>1</v>
      </c>
      <c r="S307">
        <f>IF(A307=1,MAX($S$2:$S306)+1,IF(OR($I307&lt;&gt;"",A307="x"),$S306,""))</f>
        <v>160</v>
      </c>
      <c r="T307">
        <f>IF(D307=1,MAX($T$2:$T306)+1,IF(S307=S306,$T306,IF(D307="x",T306,IF(D306="x","",""))))</f>
        <v>20</v>
      </c>
      <c r="U307" t="str">
        <f>IF(B307=1,MAX($U$2:$U306)+1,IF(AND($T307&lt;&gt;"",$T307=$T306),$U306,IF(B307="x",U306,"")))</f>
        <v/>
      </c>
      <c r="V307" t="str">
        <f>IF(C307=1,MAX($V$2:$V306)+1,IF(AND($T307&lt;&gt;"",$T307=$T306),$U306,IF(C307="x",V306,"")))</f>
        <v/>
      </c>
      <c r="X307" cm="1">
        <f t="array" ref="X307">IF($I307&lt;&gt;"",$I307,INDEX($I$1:$I307,ROW()-COUNTIFS($T$1:$T307,"="&amp;$T307,$S$1:$S307,"&lt;"&amp;$S307)))</f>
        <v>9</v>
      </c>
      <c r="Z307" s="6">
        <f t="shared" si="69"/>
        <v>1</v>
      </c>
      <c r="AA307">
        <f t="shared" si="70"/>
        <v>1160</v>
      </c>
      <c r="AB307">
        <f t="shared" si="71"/>
        <v>9020</v>
      </c>
      <c r="AC307">
        <f t="shared" si="72"/>
        <v>9020</v>
      </c>
      <c r="BI307" s="40"/>
      <c r="BL307" s="40"/>
      <c r="BN307" s="19"/>
      <c r="BP307" s="17"/>
    </row>
    <row r="308" spans="1:68" x14ac:dyDescent="0.2">
      <c r="A308" t="str">
        <f t="shared" si="68"/>
        <v>x</v>
      </c>
      <c r="D308" s="26" t="s">
        <v>729</v>
      </c>
      <c r="E308" s="4"/>
      <c r="F308" s="46"/>
      <c r="G308" s="4"/>
      <c r="H308" s="48"/>
      <c r="I308" s="26">
        <v>71</v>
      </c>
      <c r="J308" s="26" t="str">
        <f t="shared" si="73"/>
        <v/>
      </c>
      <c r="N308" t="str">
        <f t="shared" si="75"/>
        <v/>
      </c>
      <c r="O308" t="s">
        <v>785</v>
      </c>
      <c r="Q308" t="str">
        <f t="shared" si="74"/>
        <v>u</v>
      </c>
      <c r="R308" s="26">
        <v>1</v>
      </c>
      <c r="S308">
        <f>IF(A308=1,MAX($S$2:$S307)+1,IF(OR($I308&lt;&gt;"",A308="x"),$S307,""))</f>
        <v>160</v>
      </c>
      <c r="T308">
        <f>IF(D308=1,MAX($T$2:$T307)+1,IF(S308=S307,$T307,IF(D308="x",T307,IF(D307="x","",""))))</f>
        <v>20</v>
      </c>
      <c r="U308" t="str">
        <f>IF(B308=1,MAX($U$2:$U307)+1,IF(AND($T308&lt;&gt;"",$T308=$T307),$U307,IF(B308="x",U307,"")))</f>
        <v/>
      </c>
      <c r="V308" t="str">
        <f>IF(C308=1,MAX($V$2:$V307)+1,IF(AND($T308&lt;&gt;"",$T308=$T307),$U307,IF(C308="x",V307,"")))</f>
        <v/>
      </c>
      <c r="X308" cm="1">
        <f t="array" ref="X308">IF($I308&lt;&gt;"",$I308,INDEX($I$1:$I308,ROW()-COUNTIFS($T$1:$T308,"="&amp;$T308,$S$1:$S308,"&lt;"&amp;$S308)))</f>
        <v>71</v>
      </c>
      <c r="Z308" s="6">
        <f t="shared" si="69"/>
        <v>1</v>
      </c>
      <c r="AA308">
        <f t="shared" si="70"/>
        <v>1160</v>
      </c>
      <c r="AB308">
        <f t="shared" si="71"/>
        <v>9020</v>
      </c>
      <c r="AC308">
        <f t="shared" si="72"/>
        <v>9020</v>
      </c>
      <c r="BI308" s="40"/>
      <c r="BL308" s="40"/>
      <c r="BN308" s="19"/>
      <c r="BP308" s="17"/>
    </row>
    <row r="309" spans="1:68" x14ac:dyDescent="0.2">
      <c r="A309">
        <f t="shared" si="68"/>
        <v>1</v>
      </c>
      <c r="D309" s="26" t="s">
        <v>729</v>
      </c>
      <c r="E309" s="4"/>
      <c r="F309" s="46"/>
      <c r="G309" s="4"/>
      <c r="H309" s="48"/>
      <c r="I309" s="26">
        <v>9</v>
      </c>
      <c r="J309" s="26" t="str">
        <f t="shared" si="73"/>
        <v>d</v>
      </c>
      <c r="K309" t="s">
        <v>238</v>
      </c>
      <c r="L309" t="s">
        <v>184</v>
      </c>
      <c r="M309" t="s">
        <v>415</v>
      </c>
      <c r="N309" t="str">
        <f t="shared" si="75"/>
        <v>s</v>
      </c>
      <c r="Q309" t="str">
        <f t="shared" si="74"/>
        <v/>
      </c>
      <c r="R309" s="26">
        <v>1</v>
      </c>
      <c r="S309">
        <f>IF(A309=1,MAX($S$2:$S308)+1,IF(OR($I309&lt;&gt;"",A309="x"),$S308,""))</f>
        <v>161</v>
      </c>
      <c r="T309">
        <f>IF(D309=1,MAX($T$2:$T308)+1,IF(S309=S308,$T308,IF(D309="x",T308,IF(D308="x","",""))))</f>
        <v>20</v>
      </c>
      <c r="U309" t="str">
        <f>IF(B309=1,MAX($U$2:$U308)+1,IF(AND($T309&lt;&gt;"",$T309=$T308),$U308,IF(B309="x",U308,"")))</f>
        <v/>
      </c>
      <c r="V309" t="str">
        <f>IF(C309=1,MAX($V$2:$V308)+1,IF(AND($T309&lt;&gt;"",$T309=$T308),$U308,IF(C309="x",V308,"")))</f>
        <v/>
      </c>
      <c r="X309" cm="1">
        <f t="array" ref="X309">IF($I309&lt;&gt;"",$I309,INDEX($I$1:$I309,ROW()-COUNTIFS($T$1:$T309,"="&amp;$T309,$S$1:$S309,"&lt;"&amp;$S309)))</f>
        <v>9</v>
      </c>
      <c r="Z309" s="6">
        <f t="shared" si="69"/>
        <v>1</v>
      </c>
      <c r="AA309">
        <f t="shared" si="70"/>
        <v>1161</v>
      </c>
      <c r="AB309">
        <f t="shared" si="71"/>
        <v>9020</v>
      </c>
      <c r="AC309">
        <f t="shared" si="72"/>
        <v>9020</v>
      </c>
      <c r="BI309" s="40"/>
      <c r="BL309" s="40"/>
      <c r="BN309" s="19"/>
      <c r="BP309" s="17"/>
    </row>
    <row r="310" spans="1:68" x14ac:dyDescent="0.2">
      <c r="A310" t="str">
        <f t="shared" si="68"/>
        <v>x</v>
      </c>
      <c r="D310" s="26" t="s">
        <v>729</v>
      </c>
      <c r="E310" s="4"/>
      <c r="F310" s="46"/>
      <c r="G310" s="4"/>
      <c r="H310" s="48"/>
      <c r="I310" s="26">
        <v>71</v>
      </c>
      <c r="J310" s="26" t="str">
        <f t="shared" si="73"/>
        <v/>
      </c>
      <c r="N310" t="str">
        <f t="shared" si="75"/>
        <v/>
      </c>
      <c r="Q310" t="str">
        <f t="shared" si="74"/>
        <v/>
      </c>
      <c r="R310" s="26">
        <v>1</v>
      </c>
      <c r="S310">
        <f>IF(A310=1,MAX($S$2:$S309)+1,IF(OR($I310&lt;&gt;"",A310="x"),$S309,""))</f>
        <v>161</v>
      </c>
      <c r="T310">
        <f>IF(D310=1,MAX($T$2:$T309)+1,IF(S310=S309,$T309,IF(D310="x",T309,IF(D309="x","",""))))</f>
        <v>20</v>
      </c>
      <c r="U310" t="str">
        <f>IF(B310=1,MAX($U$2:$U309)+1,IF(AND($T310&lt;&gt;"",$T310=$T309),$U309,IF(B310="x",U309,"")))</f>
        <v/>
      </c>
      <c r="V310" t="str">
        <f>IF(C310=1,MAX($V$2:$V309)+1,IF(AND($T310&lt;&gt;"",$T310=$T309),$U309,IF(C310="x",V309,"")))</f>
        <v/>
      </c>
      <c r="X310" cm="1">
        <f t="array" ref="X310">IF($I310&lt;&gt;"",$I310,INDEX($I$1:$I310,ROW()-COUNTIFS($T$1:$T310,"="&amp;$T310,$S$1:$S310,"&lt;"&amp;$S310)))</f>
        <v>71</v>
      </c>
      <c r="Z310" s="6">
        <f t="shared" si="69"/>
        <v>1</v>
      </c>
      <c r="AA310">
        <f t="shared" si="70"/>
        <v>1161</v>
      </c>
      <c r="AB310">
        <f t="shared" si="71"/>
        <v>9020</v>
      </c>
      <c r="AC310">
        <f t="shared" si="72"/>
        <v>9020</v>
      </c>
      <c r="BI310" s="40"/>
      <c r="BL310" s="40"/>
      <c r="BN310" s="19"/>
      <c r="BP310" s="17"/>
    </row>
    <row r="311" spans="1:68" x14ac:dyDescent="0.2">
      <c r="A311">
        <f t="shared" si="68"/>
        <v>1</v>
      </c>
      <c r="E311" s="4"/>
      <c r="F311" s="46" t="s">
        <v>741</v>
      </c>
      <c r="G311" s="4"/>
      <c r="H311" s="48" t="s">
        <v>1036</v>
      </c>
      <c r="I311" s="26">
        <v>61</v>
      </c>
      <c r="J311" s="26" t="s">
        <v>734</v>
      </c>
      <c r="K311" t="s">
        <v>13</v>
      </c>
      <c r="N311" t="str">
        <f t="shared" si="75"/>
        <v/>
      </c>
      <c r="Q311" t="str">
        <f t="shared" si="74"/>
        <v/>
      </c>
      <c r="S311">
        <f>IF(A311=1,MAX($S$2:$S310)+1,IF(OR($I311&lt;&gt;"",A311="x"),$S310,""))</f>
        <v>162</v>
      </c>
      <c r="T311" t="str">
        <f>IF(D311=1,MAX($T$2:$T310)+1,IF(S311=S310,$T310,IF(D311="x",T310,IF(D310="x","",""))))</f>
        <v/>
      </c>
      <c r="U311" t="str">
        <f>IF(B311=1,MAX($U$2:$U310)+1,IF(AND($T311&lt;&gt;"",$T311=$T310),$U310,IF(B311="x",U310,"")))</f>
        <v/>
      </c>
      <c r="V311" t="str">
        <f>IF(C311=1,MAX($V$2:$V310)+1,IF(AND($T311&lt;&gt;"",$T311=$T310),$U310,IF(C311="x",V310,"")))</f>
        <v/>
      </c>
      <c r="X311" cm="1">
        <f t="array" ref="X311">IF($I311&lt;&gt;"",$I311,INDEX($I$1:$I311,ROW()-COUNTIFS($T$1:$T311,"="&amp;$T311,$S$1:$S311,"&lt;"&amp;$S311)))</f>
        <v>61</v>
      </c>
      <c r="Z311" s="6">
        <f t="shared" si="69"/>
        <v>1</v>
      </c>
      <c r="AA311">
        <f t="shared" si="70"/>
        <v>1162</v>
      </c>
      <c r="AB311" t="str">
        <f t="shared" si="71"/>
        <v/>
      </c>
      <c r="AC311">
        <f t="shared" si="72"/>
        <v>1162</v>
      </c>
      <c r="BI311" s="40"/>
      <c r="BL311" s="40"/>
      <c r="BN311" s="19"/>
      <c r="BP311" s="17"/>
    </row>
    <row r="312" spans="1:68" x14ac:dyDescent="0.2">
      <c r="A312">
        <f t="shared" si="68"/>
        <v>1</v>
      </c>
      <c r="E312" s="4"/>
      <c r="F312" s="46"/>
      <c r="G312" s="4"/>
      <c r="H312" s="48" t="s">
        <v>743</v>
      </c>
      <c r="I312" s="26">
        <v>61</v>
      </c>
      <c r="J312" s="26" t="str">
        <f t="shared" si="73"/>
        <v>o</v>
      </c>
      <c r="K312" t="s">
        <v>238</v>
      </c>
      <c r="L312" t="s">
        <v>174</v>
      </c>
      <c r="M312" t="s">
        <v>85</v>
      </c>
      <c r="N312" t="str">
        <f t="shared" si="75"/>
        <v>s</v>
      </c>
      <c r="Q312" t="str">
        <f t="shared" si="74"/>
        <v/>
      </c>
      <c r="R312" s="26">
        <v>1</v>
      </c>
      <c r="S312">
        <f>IF(A312=1,MAX($S$2:$S311)+1,IF(OR($I312&lt;&gt;"",A312="x"),$S311,""))</f>
        <v>163</v>
      </c>
      <c r="T312" t="str">
        <f>IF(D312=1,MAX($T$2:$T311)+1,IF(S312=S311,$T311,IF(D312="x",T311,IF(D311="x","",""))))</f>
        <v/>
      </c>
      <c r="U312" t="str">
        <f>IF(B312=1,MAX($U$2:$U311)+1,IF(AND($T312&lt;&gt;"",$T312=$T311),$U311,IF(B312="x",U311,"")))</f>
        <v/>
      </c>
      <c r="V312" t="str">
        <f>IF(C312=1,MAX($V$2:$V311)+1,IF(AND($T312&lt;&gt;"",$T312=$T311),$U311,IF(C312="x",V311,"")))</f>
        <v/>
      </c>
      <c r="X312" cm="1">
        <f t="array" ref="X312">IF($I312&lt;&gt;"",$I312,INDEX($I$1:$I312,ROW()-COUNTIFS($T$1:$T312,"="&amp;$T312,$S$1:$S312,"&lt;"&amp;$S312)))</f>
        <v>61</v>
      </c>
      <c r="Z312" s="6">
        <f t="shared" si="69"/>
        <v>1</v>
      </c>
      <c r="AA312">
        <f t="shared" si="70"/>
        <v>1163</v>
      </c>
      <c r="AB312" t="str">
        <f t="shared" si="71"/>
        <v/>
      </c>
      <c r="AC312">
        <f t="shared" si="72"/>
        <v>1163</v>
      </c>
      <c r="BI312" s="40"/>
      <c r="BL312" s="40"/>
      <c r="BN312" s="19"/>
      <c r="BP312" s="17"/>
    </row>
    <row r="313" spans="1:68" x14ac:dyDescent="0.2">
      <c r="A313" t="str">
        <f t="shared" si="68"/>
        <v/>
      </c>
      <c r="E313" s="4"/>
      <c r="F313" s="46"/>
      <c r="G313" s="4"/>
      <c r="H313" s="48"/>
      <c r="I313" s="26">
        <v>73</v>
      </c>
      <c r="J313" s="26" t="str">
        <f t="shared" si="73"/>
        <v/>
      </c>
      <c r="N313" t="str">
        <f t="shared" si="75"/>
        <v/>
      </c>
      <c r="Q313" t="str">
        <f t="shared" si="74"/>
        <v/>
      </c>
      <c r="R313" s="26">
        <v>1</v>
      </c>
      <c r="S313">
        <f>IF(A313=1,MAX($S$2:$S312)+1,IF(OR($I313&lt;&gt;"",A313="x"),$S312,""))</f>
        <v>163</v>
      </c>
      <c r="T313" t="str">
        <f>IF(D313=1,MAX($T$2:$T312)+1,IF(S313=S312,$T312,IF(D313="x",T312,IF(D312="x","",""))))</f>
        <v/>
      </c>
      <c r="U313" t="str">
        <f>IF(B313=1,MAX($U$2:$U312)+1,IF(AND($T313&lt;&gt;"",$T313=$T312),$U312,IF(B313="x",U312,"")))</f>
        <v/>
      </c>
      <c r="V313" t="str">
        <f>IF(C313=1,MAX($V$2:$V312)+1,IF(AND($T313&lt;&gt;"",$T313=$T312),$U312,IF(C313="x",V312,"")))</f>
        <v/>
      </c>
      <c r="X313" cm="1">
        <f t="array" ref="X313">IF($I313&lt;&gt;"",$I313,INDEX($I$1:$I313,ROW()-COUNTIFS($T$1:$T313,"="&amp;$T313,$S$1:$S313,"&lt;"&amp;$S313)))</f>
        <v>73</v>
      </c>
      <c r="Z313" s="6">
        <f t="shared" si="69"/>
        <v>1</v>
      </c>
      <c r="AA313">
        <f t="shared" si="70"/>
        <v>1163</v>
      </c>
      <c r="AB313" t="str">
        <f t="shared" si="71"/>
        <v/>
      </c>
      <c r="AC313">
        <f t="shared" si="72"/>
        <v>1163</v>
      </c>
      <c r="BI313" s="40"/>
      <c r="BL313" s="40"/>
      <c r="BN313" s="19"/>
      <c r="BP313" s="17"/>
    </row>
    <row r="314" spans="1:68" x14ac:dyDescent="0.2">
      <c r="A314" t="str">
        <f t="shared" si="68"/>
        <v/>
      </c>
      <c r="E314" s="4"/>
      <c r="F314" s="46"/>
      <c r="G314" s="4"/>
      <c r="H314" s="48"/>
      <c r="I314" s="26">
        <v>10</v>
      </c>
      <c r="J314" s="26" t="str">
        <f t="shared" si="73"/>
        <v/>
      </c>
      <c r="N314" t="str">
        <f t="shared" si="75"/>
        <v/>
      </c>
      <c r="Q314" t="str">
        <f t="shared" si="74"/>
        <v/>
      </c>
      <c r="S314">
        <f>IF(A314=1,MAX($S$2:$S313)+1,IF(OR($I314&lt;&gt;"",A314="x"),$S313,""))</f>
        <v>163</v>
      </c>
      <c r="T314" t="str">
        <f>IF(D314=1,MAX($T$2:$T313)+1,IF(S314=S313,$T313,IF(D314="x",T313,IF(D313="x","",""))))</f>
        <v/>
      </c>
      <c r="U314" t="str">
        <f>IF(B314=1,MAX($U$2:$U313)+1,IF(AND($T314&lt;&gt;"",$T314=$T313),$U313,IF(B314="x",U313,"")))</f>
        <v/>
      </c>
      <c r="V314" t="str">
        <f>IF(C314=1,MAX($V$2:$V313)+1,IF(AND($T314&lt;&gt;"",$T314=$T313),$U313,IF(C314="x",V313,"")))</f>
        <v/>
      </c>
      <c r="X314" cm="1">
        <f t="array" ref="X314">IF($I314&lt;&gt;"",$I314,INDEX($I$1:$I314,ROW()-COUNTIFS($T$1:$T314,"="&amp;$T314,$S$1:$S314,"&lt;"&amp;$S314)))</f>
        <v>10</v>
      </c>
      <c r="Z314" s="6">
        <f t="shared" si="69"/>
        <v>1</v>
      </c>
      <c r="AA314">
        <f t="shared" si="70"/>
        <v>1163</v>
      </c>
      <c r="AB314" t="str">
        <f t="shared" si="71"/>
        <v/>
      </c>
      <c r="AC314">
        <f t="shared" si="72"/>
        <v>1163</v>
      </c>
      <c r="BI314" s="40"/>
      <c r="BL314" s="40"/>
      <c r="BN314" s="19"/>
      <c r="BP314" s="17"/>
    </row>
    <row r="315" spans="1:68" x14ac:dyDescent="0.2">
      <c r="A315">
        <f t="shared" si="68"/>
        <v>1</v>
      </c>
      <c r="D315" s="26">
        <v>1</v>
      </c>
      <c r="E315" s="4"/>
      <c r="F315" s="46"/>
      <c r="G315" s="4"/>
      <c r="H315" s="48"/>
      <c r="I315" s="26">
        <v>61</v>
      </c>
      <c r="J315" s="26" t="str">
        <f t="shared" si="73"/>
        <v>o</v>
      </c>
      <c r="K315" t="s">
        <v>6</v>
      </c>
      <c r="L315" t="s">
        <v>205</v>
      </c>
      <c r="M315" t="s">
        <v>51</v>
      </c>
      <c r="N315" t="str">
        <f t="shared" si="75"/>
        <v>s</v>
      </c>
      <c r="Q315" t="str">
        <f t="shared" si="74"/>
        <v/>
      </c>
      <c r="R315" s="26">
        <v>1</v>
      </c>
      <c r="S315">
        <f>IF(A315=1,MAX($S$2:$S314)+1,IF(OR($I315&lt;&gt;"",A315="x"),$S314,""))</f>
        <v>164</v>
      </c>
      <c r="T315">
        <f>IF(D315=1,MAX($T$2:$T314)+1,IF(S315=S314,$T314,IF(D315="x",T314,IF(D314="x","",""))))</f>
        <v>21</v>
      </c>
      <c r="U315" t="str">
        <f>IF(B315=1,MAX($U$2:$U314)+1,IF(AND($T315&lt;&gt;"",$T315=$T314),$U314,IF(B315="x",U314,"")))</f>
        <v/>
      </c>
      <c r="V315" t="str">
        <f>IF(C315=1,MAX($V$2:$V314)+1,IF(AND($T315&lt;&gt;"",$T315=$T314),$U314,IF(C315="x",V314,"")))</f>
        <v/>
      </c>
      <c r="X315" cm="1">
        <f t="array" ref="X315">IF($I315&lt;&gt;"",$I315,INDEX($I$1:$I315,ROW()-COUNTIFS($T$1:$T315,"="&amp;$T315,$S$1:$S315,"&lt;"&amp;$S315)))</f>
        <v>61</v>
      </c>
      <c r="Z315" s="6">
        <f t="shared" si="69"/>
        <v>1</v>
      </c>
      <c r="AA315">
        <f t="shared" si="70"/>
        <v>1164</v>
      </c>
      <c r="AB315">
        <f t="shared" si="71"/>
        <v>9021</v>
      </c>
      <c r="AC315">
        <f t="shared" si="72"/>
        <v>9021</v>
      </c>
      <c r="BI315" s="40"/>
      <c r="BL315" s="40"/>
      <c r="BN315" s="19"/>
      <c r="BP315" s="17"/>
    </row>
    <row r="316" spans="1:68" x14ac:dyDescent="0.2">
      <c r="A316" t="str">
        <f t="shared" si="68"/>
        <v>x</v>
      </c>
      <c r="D316" s="26" t="s">
        <v>729</v>
      </c>
      <c r="E316" s="4"/>
      <c r="F316" s="46"/>
      <c r="G316" s="4"/>
      <c r="H316" s="48"/>
      <c r="I316" s="26">
        <v>1</v>
      </c>
      <c r="J316" s="26" t="str">
        <f t="shared" si="73"/>
        <v/>
      </c>
      <c r="N316" t="str">
        <f t="shared" si="75"/>
        <v/>
      </c>
      <c r="Q316" t="str">
        <f t="shared" si="74"/>
        <v/>
      </c>
      <c r="S316">
        <f>IF(A316=1,MAX($S$2:$S315)+1,IF(OR($I316&lt;&gt;"",A316="x"),$S315,""))</f>
        <v>164</v>
      </c>
      <c r="T316">
        <f>IF(D316=1,MAX($T$2:$T315)+1,IF(S316=S315,$T315,IF(D316="x",T315,IF(D315="x","",""))))</f>
        <v>21</v>
      </c>
      <c r="U316" t="str">
        <f>IF(B316=1,MAX($U$2:$U315)+1,IF(AND($T316&lt;&gt;"",$T316=$T315),$U315,IF(B316="x",U315,"")))</f>
        <v/>
      </c>
      <c r="V316" t="str">
        <f>IF(C316=1,MAX($V$2:$V315)+1,IF(AND($T316&lt;&gt;"",$T316=$T315),$U315,IF(C316="x",V315,"")))</f>
        <v/>
      </c>
      <c r="X316" cm="1">
        <f t="array" ref="X316">IF($I316&lt;&gt;"",$I316,INDEX($I$1:$I316,ROW()-COUNTIFS($T$1:$T316,"="&amp;$T316,$S$1:$S316,"&lt;"&amp;$S316)))</f>
        <v>1</v>
      </c>
      <c r="Z316" s="6">
        <f t="shared" si="69"/>
        <v>1</v>
      </c>
      <c r="AA316">
        <f t="shared" si="70"/>
        <v>1164</v>
      </c>
      <c r="AB316">
        <f t="shared" si="71"/>
        <v>9021</v>
      </c>
      <c r="AC316">
        <f t="shared" si="72"/>
        <v>9021</v>
      </c>
      <c r="BI316" s="40"/>
      <c r="BL316" s="40"/>
      <c r="BN316" s="19"/>
      <c r="BP316" s="17"/>
    </row>
    <row r="317" spans="1:68" x14ac:dyDescent="0.2">
      <c r="A317" t="str">
        <f t="shared" si="68"/>
        <v>x</v>
      </c>
      <c r="D317" s="26" t="s">
        <v>729</v>
      </c>
      <c r="E317" s="4"/>
      <c r="F317" s="46"/>
      <c r="G317" s="4"/>
      <c r="H317" s="48"/>
      <c r="I317" s="26">
        <v>73</v>
      </c>
      <c r="J317" s="26" t="str">
        <f t="shared" si="73"/>
        <v/>
      </c>
      <c r="N317" t="str">
        <f t="shared" si="75"/>
        <v/>
      </c>
      <c r="Q317" t="str">
        <f t="shared" si="74"/>
        <v/>
      </c>
      <c r="R317" s="26">
        <v>1</v>
      </c>
      <c r="S317">
        <f>IF(A317=1,MAX($S$2:$S316)+1,IF(OR($I317&lt;&gt;"",A317="x"),$S316,""))</f>
        <v>164</v>
      </c>
      <c r="T317">
        <f>IF(D317=1,MAX($T$2:$T316)+1,IF(S317=S316,$T316,IF(D317="x",T316,IF(D316="x","",""))))</f>
        <v>21</v>
      </c>
      <c r="U317" t="str">
        <f>IF(B317=1,MAX($U$2:$U316)+1,IF(AND($T317&lt;&gt;"",$T317=$T316),$U316,IF(B317="x",U316,"")))</f>
        <v/>
      </c>
      <c r="V317" t="str">
        <f>IF(C317=1,MAX($V$2:$V316)+1,IF(AND($T317&lt;&gt;"",$T317=$T316),$U316,IF(C317="x",V316,"")))</f>
        <v/>
      </c>
      <c r="X317" cm="1">
        <f t="array" ref="X317">IF($I317&lt;&gt;"",$I317,INDEX($I$1:$I317,ROW()-COUNTIFS($T$1:$T317,"="&amp;$T317,$S$1:$S317,"&lt;"&amp;$S317)))</f>
        <v>73</v>
      </c>
      <c r="Z317" s="6">
        <f t="shared" si="69"/>
        <v>1</v>
      </c>
      <c r="AA317">
        <f t="shared" si="70"/>
        <v>1164</v>
      </c>
      <c r="AB317">
        <f t="shared" si="71"/>
        <v>9021</v>
      </c>
      <c r="AC317">
        <f t="shared" si="72"/>
        <v>9021</v>
      </c>
      <c r="BI317" s="40"/>
      <c r="BL317" s="40"/>
      <c r="BN317" s="19"/>
      <c r="BP317" s="17"/>
    </row>
    <row r="318" spans="1:68" x14ac:dyDescent="0.2">
      <c r="A318">
        <f t="shared" si="68"/>
        <v>1</v>
      </c>
      <c r="D318" s="26" t="s">
        <v>729</v>
      </c>
      <c r="E318" s="4"/>
      <c r="F318" s="46"/>
      <c r="G318" s="4"/>
      <c r="H318" s="48"/>
      <c r="I318" s="26">
        <v>1</v>
      </c>
      <c r="J318" s="26" t="str">
        <f t="shared" si="73"/>
        <v>d</v>
      </c>
      <c r="K318" t="s">
        <v>15</v>
      </c>
      <c r="L318" t="s">
        <v>179</v>
      </c>
      <c r="M318" t="s">
        <v>97</v>
      </c>
      <c r="N318" t="str">
        <f t="shared" si="75"/>
        <v/>
      </c>
      <c r="Q318" t="str">
        <f t="shared" si="74"/>
        <v/>
      </c>
      <c r="S318">
        <f>IF(A318=1,MAX($S$2:$S317)+1,IF(OR($I318&lt;&gt;"",A318="x"),$S317,""))</f>
        <v>165</v>
      </c>
      <c r="T318">
        <f>IF(D318=1,MAX($T$2:$T317)+1,IF(S318=S317,$T317,IF(D318="x",T317,IF(D317="x","",""))))</f>
        <v>21</v>
      </c>
      <c r="U318" t="str">
        <f>IF(B318=1,MAX($U$2:$U317)+1,IF(AND($T318&lt;&gt;"",$T318=$T317),$U317,IF(B318="x",U317,"")))</f>
        <v/>
      </c>
      <c r="V318" t="str">
        <f>IF(C318=1,MAX($V$2:$V317)+1,IF(AND($T318&lt;&gt;"",$T318=$T317),$U317,IF(C318="x",V317,"")))</f>
        <v/>
      </c>
      <c r="X318" cm="1">
        <f t="array" ref="X318">IF($I318&lt;&gt;"",$I318,INDEX($I$1:$I318,ROW()-COUNTIFS($T$1:$T318,"="&amp;$T318,$S$1:$S318,"&lt;"&amp;$S318)))</f>
        <v>1</v>
      </c>
      <c r="Z318" s="6">
        <f t="shared" si="69"/>
        <v>1</v>
      </c>
      <c r="AA318">
        <f t="shared" si="70"/>
        <v>1165</v>
      </c>
      <c r="AB318">
        <f t="shared" si="71"/>
        <v>9021</v>
      </c>
      <c r="AC318">
        <f t="shared" si="72"/>
        <v>9021</v>
      </c>
      <c r="BI318" s="40"/>
      <c r="BL318" s="40"/>
      <c r="BN318" s="19"/>
      <c r="BP318" s="17"/>
    </row>
    <row r="319" spans="1:68" x14ac:dyDescent="0.2">
      <c r="A319" t="str">
        <f t="shared" si="68"/>
        <v>x</v>
      </c>
      <c r="D319" s="26" t="s">
        <v>729</v>
      </c>
      <c r="E319" s="4"/>
      <c r="F319" s="46"/>
      <c r="G319" s="4"/>
      <c r="H319" s="48"/>
      <c r="I319" s="26">
        <v>73</v>
      </c>
      <c r="J319" s="26" t="str">
        <f t="shared" si="73"/>
        <v/>
      </c>
      <c r="N319" t="str">
        <f t="shared" si="75"/>
        <v/>
      </c>
      <c r="Q319" t="str">
        <f t="shared" si="74"/>
        <v/>
      </c>
      <c r="S319">
        <f>IF(A319=1,MAX($S$2:$S318)+1,IF(OR($I319&lt;&gt;"",A319="x"),$S318,""))</f>
        <v>165</v>
      </c>
      <c r="T319">
        <f>IF(D319=1,MAX($T$2:$T318)+1,IF(S319=S318,$T318,IF(D319="x",T318,IF(D318="x","",""))))</f>
        <v>21</v>
      </c>
      <c r="U319" t="str">
        <f>IF(B319=1,MAX($U$2:$U318)+1,IF(AND($T319&lt;&gt;"",$T319=$T318),$U318,IF(B319="x",U318,"")))</f>
        <v/>
      </c>
      <c r="V319" t="str">
        <f>IF(C319=1,MAX($V$2:$V318)+1,IF(AND($T319&lt;&gt;"",$T319=$T318),$U318,IF(C319="x",V318,"")))</f>
        <v/>
      </c>
      <c r="X319" cm="1">
        <f t="array" ref="X319">IF($I319&lt;&gt;"",$I319,INDEX($I$1:$I319,ROW()-COUNTIFS($T$1:$T319,"="&amp;$T319,$S$1:$S319,"&lt;"&amp;$S319)))</f>
        <v>73</v>
      </c>
      <c r="Z319" s="6">
        <f t="shared" si="69"/>
        <v>1</v>
      </c>
      <c r="AA319">
        <f t="shared" si="70"/>
        <v>1165</v>
      </c>
      <c r="AB319">
        <f t="shared" si="71"/>
        <v>9021</v>
      </c>
      <c r="AC319">
        <f t="shared" si="72"/>
        <v>9021</v>
      </c>
      <c r="BI319" s="40"/>
      <c r="BL319" s="40"/>
      <c r="BN319" s="19"/>
      <c r="BP319" s="17"/>
    </row>
    <row r="320" spans="1:68" x14ac:dyDescent="0.2">
      <c r="A320" t="str">
        <f t="shared" si="68"/>
        <v>x</v>
      </c>
      <c r="D320" s="26" t="s">
        <v>729</v>
      </c>
      <c r="E320" s="4"/>
      <c r="F320" s="46"/>
      <c r="G320" s="4"/>
      <c r="H320" s="48"/>
      <c r="I320" s="26">
        <v>61</v>
      </c>
      <c r="J320" s="26" t="str">
        <f t="shared" si="73"/>
        <v/>
      </c>
      <c r="N320" t="str">
        <f t="shared" si="75"/>
        <v/>
      </c>
      <c r="Q320" t="str">
        <f t="shared" si="74"/>
        <v/>
      </c>
      <c r="S320">
        <f>IF(A320=1,MAX($S$2:$S319)+1,IF(OR($I320&lt;&gt;"",A320="x"),$S319,""))</f>
        <v>165</v>
      </c>
      <c r="T320">
        <f>IF(D320=1,MAX($T$2:$T319)+1,IF(S320=S319,$T319,IF(D320="x",T319,IF(D319="x","",""))))</f>
        <v>21</v>
      </c>
      <c r="U320" t="str">
        <f>IF(B320=1,MAX($U$2:$U319)+1,IF(AND($T320&lt;&gt;"",$T320=$T319),$U319,IF(B320="x",U319,"")))</f>
        <v/>
      </c>
      <c r="V320" t="str">
        <f>IF(C320=1,MAX($V$2:$V319)+1,IF(AND($T320&lt;&gt;"",$T320=$T319),$U319,IF(C320="x",V319,"")))</f>
        <v/>
      </c>
      <c r="X320" cm="1">
        <f t="array" ref="X320">IF($I320&lt;&gt;"",$I320,INDEX($I$1:$I320,ROW()-COUNTIFS($T$1:$T320,"="&amp;$T320,$S$1:$S320,"&lt;"&amp;$S320)))</f>
        <v>61</v>
      </c>
      <c r="Z320" s="6">
        <f t="shared" si="69"/>
        <v>1</v>
      </c>
      <c r="AA320">
        <f t="shared" si="70"/>
        <v>1165</v>
      </c>
      <c r="AB320">
        <f t="shared" si="71"/>
        <v>9021</v>
      </c>
      <c r="AC320">
        <f t="shared" si="72"/>
        <v>9021</v>
      </c>
      <c r="BI320" s="40"/>
      <c r="BL320" s="40"/>
      <c r="BN320" s="19"/>
      <c r="BP320" s="17"/>
    </row>
    <row r="321" spans="1:68" x14ac:dyDescent="0.2">
      <c r="A321">
        <f t="shared" si="68"/>
        <v>1</v>
      </c>
      <c r="D321" s="26" t="s">
        <v>729</v>
      </c>
      <c r="E321" s="4"/>
      <c r="F321" s="46"/>
      <c r="G321" s="4"/>
      <c r="H321" s="48"/>
      <c r="I321" s="26">
        <v>1</v>
      </c>
      <c r="J321" s="26" t="str">
        <f t="shared" si="73"/>
        <v>d</v>
      </c>
      <c r="K321" t="s">
        <v>231</v>
      </c>
      <c r="L321" t="s">
        <v>233</v>
      </c>
      <c r="N321" t="str">
        <f t="shared" si="75"/>
        <v/>
      </c>
      <c r="Q321" t="str">
        <f t="shared" si="74"/>
        <v/>
      </c>
      <c r="S321">
        <f>IF(A321=1,MAX($S$2:$S320)+1,IF(OR($I321&lt;&gt;"",A321="x"),$S320,""))</f>
        <v>166</v>
      </c>
      <c r="T321">
        <f>IF(D321=1,MAX($T$2:$T320)+1,IF(S321=S320,$T320,IF(D321="x",T320,IF(D320="x","",""))))</f>
        <v>21</v>
      </c>
      <c r="U321" t="str">
        <f>IF(B321=1,MAX($U$2:$U320)+1,IF(AND($T321&lt;&gt;"",$T321=$T320),$U320,IF(B321="x",U320,"")))</f>
        <v/>
      </c>
      <c r="V321" t="str">
        <f>IF(C321=1,MAX($V$2:$V320)+1,IF(AND($T321&lt;&gt;"",$T321=$T320),$U320,IF(C321="x",V320,"")))</f>
        <v/>
      </c>
      <c r="X321" cm="1">
        <f t="array" ref="X321">IF($I321&lt;&gt;"",$I321,INDEX($I$1:$I321,ROW()-COUNTIFS($T$1:$T321,"="&amp;$T321,$S$1:$S321,"&lt;"&amp;$S321)))</f>
        <v>1</v>
      </c>
      <c r="Z321" s="6">
        <f t="shared" si="69"/>
        <v>1</v>
      </c>
      <c r="AA321">
        <f t="shared" si="70"/>
        <v>1166</v>
      </c>
      <c r="AB321">
        <f t="shared" si="71"/>
        <v>9021</v>
      </c>
      <c r="AC321">
        <f t="shared" si="72"/>
        <v>9021</v>
      </c>
      <c r="BI321" s="40"/>
      <c r="BL321" s="40"/>
      <c r="BN321" s="19"/>
      <c r="BP321" s="17"/>
    </row>
    <row r="322" spans="1:68" x14ac:dyDescent="0.2">
      <c r="A322">
        <f t="shared" si="68"/>
        <v>1</v>
      </c>
      <c r="E322" s="4"/>
      <c r="F322" s="46" t="s">
        <v>744</v>
      </c>
      <c r="G322" s="4"/>
      <c r="H322" s="48" t="s">
        <v>1064</v>
      </c>
      <c r="I322" s="26">
        <v>55</v>
      </c>
      <c r="J322" s="26" t="s">
        <v>368</v>
      </c>
      <c r="K322" t="s">
        <v>13</v>
      </c>
      <c r="L322" t="s">
        <v>587</v>
      </c>
      <c r="N322" t="str">
        <f t="shared" si="75"/>
        <v/>
      </c>
      <c r="O322" t="s">
        <v>908</v>
      </c>
      <c r="Q322" t="str">
        <f t="shared" si="74"/>
        <v/>
      </c>
      <c r="S322">
        <f>IF(A322=1,MAX($S$2:$S321)+1,IF(OR($I322&lt;&gt;"",A322="x"),$S321,""))</f>
        <v>167</v>
      </c>
      <c r="T322" t="str">
        <f>IF(D322=1,MAX($T$2:$T321)+1,IF(S322=S321,$T321,IF(D322="x",T321,IF(D321="x","",""))))</f>
        <v/>
      </c>
      <c r="U322" t="str">
        <f>IF(B322=1,MAX($U$2:$U321)+1,IF(AND($T322&lt;&gt;"",$T322=$T321),$U321,IF(B322="x",U321,"")))</f>
        <v/>
      </c>
      <c r="V322" t="str">
        <f>IF(C322=1,MAX($V$2:$V321)+1,IF(AND($T322&lt;&gt;"",$T322=$T321),$U321,IF(C322="x",V321,"")))</f>
        <v/>
      </c>
      <c r="X322" cm="1">
        <f t="array" ref="X322">IF($I322&lt;&gt;"",$I322,INDEX($I$1:$I322,ROW()-COUNTIFS($T$1:$T322,"="&amp;$T322,$S$1:$S322,"&lt;"&amp;$S322)))</f>
        <v>55</v>
      </c>
      <c r="Z322" s="6">
        <f t="shared" si="69"/>
        <v>1</v>
      </c>
      <c r="AA322">
        <f t="shared" si="70"/>
        <v>1167</v>
      </c>
      <c r="AB322" t="str">
        <f t="shared" si="71"/>
        <v/>
      </c>
      <c r="AC322">
        <f t="shared" si="72"/>
        <v>1167</v>
      </c>
      <c r="BI322" s="40"/>
      <c r="BL322" s="40"/>
      <c r="BN322" s="19"/>
      <c r="BP322" s="17"/>
    </row>
    <row r="323" spans="1:68" x14ac:dyDescent="0.2">
      <c r="A323">
        <f t="shared" si="68"/>
        <v>1</v>
      </c>
      <c r="E323" s="4"/>
      <c r="F323" s="46"/>
      <c r="G323" s="4"/>
      <c r="H323" s="48"/>
      <c r="I323" s="26">
        <v>55</v>
      </c>
      <c r="J323" s="26" t="s">
        <v>368</v>
      </c>
      <c r="K323" t="s">
        <v>7</v>
      </c>
      <c r="L323" t="s">
        <v>192</v>
      </c>
      <c r="M323" t="s">
        <v>68</v>
      </c>
      <c r="N323" t="str">
        <f t="shared" si="75"/>
        <v>u</v>
      </c>
      <c r="Q323" t="str">
        <f t="shared" si="74"/>
        <v/>
      </c>
      <c r="R323" s="26">
        <v>1</v>
      </c>
      <c r="S323">
        <f>IF(A323=1,MAX($S$2:$S322)+1,IF(OR($I323&lt;&gt;"",A323="x"),$S322,""))</f>
        <v>168</v>
      </c>
      <c r="T323" t="str">
        <f>IF(D323=1,MAX($T$2:$T322)+1,IF(S323=S322,$T322,IF(D323="x",T322,IF(D322="x","",""))))</f>
        <v/>
      </c>
      <c r="U323" t="str">
        <f>IF(B323=1,MAX($U$2:$U322)+1,IF(AND($T323&lt;&gt;"",$T323=$T322),$U322,IF(B323="x",U322,"")))</f>
        <v/>
      </c>
      <c r="V323" t="str">
        <f>IF(C323=1,MAX($V$2:$V322)+1,IF(AND($T323&lt;&gt;"",$T323=$T322),$U322,IF(C323="x",V322,"")))</f>
        <v/>
      </c>
      <c r="X323" cm="1">
        <f t="array" ref="X323">IF($I323&lt;&gt;"",$I323,INDEX($I$1:$I323,ROW()-COUNTIFS($T$1:$T323,"="&amp;$T323,$S$1:$S323,"&lt;"&amp;$S323)))</f>
        <v>55</v>
      </c>
      <c r="Z323" s="6">
        <f t="shared" si="69"/>
        <v>1</v>
      </c>
      <c r="AA323">
        <f t="shared" si="70"/>
        <v>1168</v>
      </c>
      <c r="AB323" t="str">
        <f t="shared" si="71"/>
        <v/>
      </c>
      <c r="AC323">
        <f t="shared" si="72"/>
        <v>1168</v>
      </c>
      <c r="BI323" s="40"/>
      <c r="BL323" s="40"/>
      <c r="BN323" s="19"/>
      <c r="BP323" s="17"/>
    </row>
    <row r="324" spans="1:68" x14ac:dyDescent="0.2">
      <c r="A324" t="str">
        <f t="shared" si="68"/>
        <v/>
      </c>
      <c r="E324" s="4"/>
      <c r="F324" s="46"/>
      <c r="G324" s="4"/>
      <c r="H324" s="48"/>
      <c r="I324" s="26">
        <v>61</v>
      </c>
      <c r="J324" s="26" t="str">
        <f t="shared" si="73"/>
        <v/>
      </c>
      <c r="N324" t="str">
        <f t="shared" si="75"/>
        <v/>
      </c>
      <c r="Q324" t="str">
        <f t="shared" si="74"/>
        <v/>
      </c>
      <c r="S324">
        <f>IF(A324=1,MAX($S$2:$S323)+1,IF(OR($I324&lt;&gt;"",A324="x"),$S323,""))</f>
        <v>168</v>
      </c>
      <c r="T324" t="str">
        <f>IF(D324=1,MAX($T$2:$T323)+1,IF(S324=S323,$T323,IF(D324="x",T323,IF(D323="x","",""))))</f>
        <v/>
      </c>
      <c r="U324" t="str">
        <f>IF(B324=1,MAX($U$2:$U323)+1,IF(AND($T324&lt;&gt;"",$T324=$T323),$U323,IF(B324="x",U323,"")))</f>
        <v/>
      </c>
      <c r="V324" t="str">
        <f>IF(C324=1,MAX($V$2:$V323)+1,IF(AND($T324&lt;&gt;"",$T324=$T323),$U323,IF(C324="x",V323,"")))</f>
        <v/>
      </c>
      <c r="X324" cm="1">
        <f t="array" ref="X324">IF($I324&lt;&gt;"",$I324,INDEX($I$1:$I324,ROW()-COUNTIFS($T$1:$T324,"="&amp;$T324,$S$1:$S324,"&lt;"&amp;$S324)))</f>
        <v>61</v>
      </c>
      <c r="Z324" s="6">
        <f t="shared" si="69"/>
        <v>1</v>
      </c>
      <c r="AA324">
        <f t="shared" si="70"/>
        <v>1168</v>
      </c>
      <c r="AB324" t="str">
        <f t="shared" si="71"/>
        <v/>
      </c>
      <c r="AC324">
        <f t="shared" si="72"/>
        <v>1168</v>
      </c>
      <c r="BI324" s="40"/>
      <c r="BL324" s="40"/>
      <c r="BN324" s="19"/>
      <c r="BP324" s="17"/>
    </row>
    <row r="325" spans="1:68" x14ac:dyDescent="0.2">
      <c r="A325" t="str">
        <f t="shared" ref="A325:A388" si="76">IF(K325&lt;&gt;"",1,IF(D325="x","x",""))</f>
        <v/>
      </c>
      <c r="E325" s="4"/>
      <c r="F325" s="46"/>
      <c r="G325" s="4"/>
      <c r="H325" s="48"/>
      <c r="I325" s="26">
        <v>57</v>
      </c>
      <c r="J325" s="26" t="str">
        <f t="shared" si="73"/>
        <v/>
      </c>
      <c r="N325" t="str">
        <f t="shared" si="75"/>
        <v/>
      </c>
      <c r="O325" t="s">
        <v>782</v>
      </c>
      <c r="Q325" t="str">
        <f t="shared" si="74"/>
        <v/>
      </c>
      <c r="S325">
        <f>IF(A325=1,MAX($S$2:$S324)+1,IF(OR($I325&lt;&gt;"",A325="x"),$S324,""))</f>
        <v>168</v>
      </c>
      <c r="T325" t="str">
        <f>IF(D325=1,MAX($T$2:$T324)+1,IF(S325=S324,$T324,IF(D325="x",T324,IF(D324="x","",""))))</f>
        <v/>
      </c>
      <c r="U325" t="str">
        <f>IF(B325=1,MAX($U$2:$U324)+1,IF(AND($T325&lt;&gt;"",$T325=$T324),$U324,IF(B325="x",U324,"")))</f>
        <v/>
      </c>
      <c r="V325" t="str">
        <f>IF(C325=1,MAX($V$2:$V324)+1,IF(AND($T325&lt;&gt;"",$T325=$T324),$U324,IF(C325="x",V324,"")))</f>
        <v/>
      </c>
      <c r="X325" cm="1">
        <f t="array" ref="X325">IF($I325&lt;&gt;"",$I325,INDEX($I$1:$I325,ROW()-COUNTIFS($T$1:$T325,"="&amp;$T325,$S$1:$S325,"&lt;"&amp;$S325)))</f>
        <v>57</v>
      </c>
      <c r="Z325" s="6">
        <f t="shared" ref="Z325:Z388" si="77">IF(K325="Intermission",Z324+1,Z324)</f>
        <v>1</v>
      </c>
      <c r="AA325">
        <f t="shared" ref="AA325:AA388" si="78">S325+1000</f>
        <v>1168</v>
      </c>
      <c r="AB325" t="str">
        <f t="shared" ref="AB325:AB388" si="79">IF(T325&lt;&gt;"",9000+T325,"")</f>
        <v/>
      </c>
      <c r="AC325">
        <f t="shared" ref="AC325:AC388" si="80">IF(AB325&lt;&gt;"",AB325,S325+1000)</f>
        <v>1168</v>
      </c>
      <c r="BI325" s="40"/>
      <c r="BL325" s="40"/>
      <c r="BN325" s="19"/>
      <c r="BP325" s="17"/>
    </row>
    <row r="326" spans="1:68" x14ac:dyDescent="0.2">
      <c r="A326" t="str">
        <f t="shared" si="76"/>
        <v/>
      </c>
      <c r="E326" s="4"/>
      <c r="F326" s="46"/>
      <c r="G326" s="4"/>
      <c r="H326" s="48"/>
      <c r="I326" s="26">
        <v>10</v>
      </c>
      <c r="J326" s="26" t="str">
        <f t="shared" ref="J326:J387" si="81">IF(OR(K326="Goal",K326="Shot",L326="Zone_Entry",M326="Stoppage-Goal",M325="Stoppage-Goal"),"o",IF(OR(K326="Save",K326="Rebound",L326="Zone_Exit",M326="Stoppage-GoalieStoppage",M325="Stoppage-GoalieStoppage"),"d",IF(OR(L326="Faceoff_AfterGoal",L326="Faceoff_PeriodStart",698="Faceoff_GameStart",M325="Stoppage-Goal"),"n","")))</f>
        <v/>
      </c>
      <c r="N326" t="str">
        <f t="shared" si="75"/>
        <v/>
      </c>
      <c r="Q326" t="str">
        <f t="shared" si="74"/>
        <v/>
      </c>
      <c r="R326" s="26">
        <v>1</v>
      </c>
      <c r="S326">
        <f>IF(A326=1,MAX($S$2:$S325)+1,IF(OR($I326&lt;&gt;"",A326="x"),$S325,""))</f>
        <v>168</v>
      </c>
      <c r="T326" t="str">
        <f>IF(D326=1,MAX($T$2:$T325)+1,IF(S326=S325,$T325,IF(D326="x",T325,IF(D325="x","",""))))</f>
        <v/>
      </c>
      <c r="U326" t="str">
        <f>IF(B326=1,MAX($U$2:$U325)+1,IF(AND($T326&lt;&gt;"",$T326=$T325),$U325,IF(B326="x",U325,"")))</f>
        <v/>
      </c>
      <c r="V326" t="str">
        <f>IF(C326=1,MAX($V$2:$V325)+1,IF(AND($T326&lt;&gt;"",$T326=$T325),$U325,IF(C326="x",V325,"")))</f>
        <v/>
      </c>
      <c r="X326" cm="1">
        <f t="array" ref="X326">IF($I326&lt;&gt;"",$I326,INDEX($I$1:$I326,ROW()-COUNTIFS($T$1:$T326,"="&amp;$T326,$S$1:$S326,"&lt;"&amp;$S326)))</f>
        <v>10</v>
      </c>
      <c r="Z326" s="6">
        <f t="shared" si="77"/>
        <v>1</v>
      </c>
      <c r="AA326">
        <f t="shared" si="78"/>
        <v>1168</v>
      </c>
      <c r="AB326" t="str">
        <f t="shared" si="79"/>
        <v/>
      </c>
      <c r="AC326">
        <f t="shared" si="80"/>
        <v>1168</v>
      </c>
      <c r="BI326" s="40"/>
      <c r="BL326" s="40"/>
      <c r="BN326" s="19"/>
      <c r="BP326" s="17"/>
    </row>
    <row r="327" spans="1:68" x14ac:dyDescent="0.2">
      <c r="A327">
        <f t="shared" si="76"/>
        <v>1</v>
      </c>
      <c r="E327" s="4"/>
      <c r="F327" s="46" t="s">
        <v>1065</v>
      </c>
      <c r="G327" s="4"/>
      <c r="H327" s="48" t="s">
        <v>1069</v>
      </c>
      <c r="I327" s="26">
        <v>87</v>
      </c>
      <c r="J327" s="26" t="s">
        <v>368</v>
      </c>
      <c r="K327" t="s">
        <v>13</v>
      </c>
      <c r="L327" t="s">
        <v>587</v>
      </c>
      <c r="N327" t="s">
        <v>595</v>
      </c>
      <c r="O327" t="s">
        <v>907</v>
      </c>
      <c r="P327" t="s">
        <v>149</v>
      </c>
      <c r="Q327" t="str">
        <f t="shared" si="74"/>
        <v>s</v>
      </c>
      <c r="R327" s="26">
        <v>1</v>
      </c>
      <c r="S327">
        <f>IF(A327=1,MAX($S$2:$S326)+1,IF(OR($I327&lt;&gt;"",A327="x"),$S326,""))</f>
        <v>169</v>
      </c>
      <c r="T327" t="str">
        <f>IF(D327=1,MAX($T$2:$T326)+1,IF(S327=S326,$T326,IF(D327="x",T326,IF(D326="x","",""))))</f>
        <v/>
      </c>
      <c r="U327" t="str">
        <f>IF(B327=1,MAX($U$2:$U326)+1,IF(AND($T327&lt;&gt;"",$T327=$T326),$U326,IF(B327="x",U326,"")))</f>
        <v/>
      </c>
      <c r="V327" t="str">
        <f>IF(C327=1,MAX($V$2:$V326)+1,IF(AND($T327&lt;&gt;"",$T327=$T326),$U326,IF(C327="x",V326,"")))</f>
        <v/>
      </c>
      <c r="X327" cm="1">
        <f t="array" ref="X327">IF($I327&lt;&gt;"",$I327,INDEX($I$1:$I327,ROW()-COUNTIFS($T$1:$T327,"="&amp;$T327,$S$1:$S327,"&lt;"&amp;$S327)))</f>
        <v>87</v>
      </c>
      <c r="Z327" s="6">
        <f t="shared" si="77"/>
        <v>1</v>
      </c>
      <c r="AA327">
        <f t="shared" si="78"/>
        <v>1169</v>
      </c>
      <c r="AB327" t="str">
        <f t="shared" si="79"/>
        <v/>
      </c>
      <c r="AC327">
        <f t="shared" si="80"/>
        <v>1169</v>
      </c>
      <c r="BI327" s="40"/>
      <c r="BL327" s="40"/>
      <c r="BN327" s="19"/>
      <c r="BP327" s="17"/>
    </row>
    <row r="328" spans="1:68" x14ac:dyDescent="0.2">
      <c r="A328" t="str">
        <f t="shared" si="76"/>
        <v/>
      </c>
      <c r="E328" s="4"/>
      <c r="F328" s="46"/>
      <c r="G328" s="4"/>
      <c r="H328" s="48"/>
      <c r="I328" s="26">
        <v>73</v>
      </c>
      <c r="J328" s="26" t="str">
        <f t="shared" si="81"/>
        <v/>
      </c>
      <c r="N328" t="str">
        <f t="shared" si="75"/>
        <v/>
      </c>
      <c r="Q328" t="str">
        <f t="shared" si="74"/>
        <v/>
      </c>
      <c r="R328" s="26">
        <v>1</v>
      </c>
      <c r="S328">
        <f>IF(A328=1,MAX($S$2:$S327)+1,IF(OR($I328&lt;&gt;"",A328="x"),$S327,""))</f>
        <v>169</v>
      </c>
      <c r="T328" t="str">
        <f>IF(D328=1,MAX($T$2:$T327)+1,IF(S328=S327,$T327,IF(D328="x",T327,IF(D327="x","",""))))</f>
        <v/>
      </c>
      <c r="U328" t="str">
        <f>IF(B328=1,MAX($U$2:$U327)+1,IF(AND($T328&lt;&gt;"",$T328=$T327),$U327,IF(B328="x",U327,"")))</f>
        <v/>
      </c>
      <c r="V328" t="str">
        <f>IF(C328=1,MAX($V$2:$V327)+1,IF(AND($T328&lt;&gt;"",$T328=$T327),$U327,IF(C328="x",V327,"")))</f>
        <v/>
      </c>
      <c r="X328" cm="1">
        <f t="array" ref="X328">IF($I328&lt;&gt;"",$I328,INDEX($I$1:$I328,ROW()-COUNTIFS($T$1:$T328,"="&amp;$T328,$S$1:$S328,"&lt;"&amp;$S328)))</f>
        <v>73</v>
      </c>
      <c r="Z328" s="6">
        <f t="shared" si="77"/>
        <v>1</v>
      </c>
      <c r="AA328">
        <f t="shared" si="78"/>
        <v>1169</v>
      </c>
      <c r="AB328" t="str">
        <f t="shared" si="79"/>
        <v/>
      </c>
      <c r="AC328">
        <f t="shared" si="80"/>
        <v>1169</v>
      </c>
      <c r="BI328" s="40"/>
      <c r="BL328" s="40"/>
      <c r="BN328" s="19"/>
      <c r="BP328" s="17"/>
    </row>
    <row r="329" spans="1:68" x14ac:dyDescent="0.2">
      <c r="A329">
        <f t="shared" si="76"/>
        <v>1</v>
      </c>
      <c r="E329" s="4"/>
      <c r="F329" s="46"/>
      <c r="G329" s="4"/>
      <c r="H329" s="48" t="s">
        <v>1057</v>
      </c>
      <c r="I329" s="26">
        <v>87</v>
      </c>
      <c r="J329" s="26" t="s">
        <v>368</v>
      </c>
      <c r="K329" t="s">
        <v>13</v>
      </c>
      <c r="N329" t="str">
        <f t="shared" si="75"/>
        <v/>
      </c>
      <c r="Q329" t="str">
        <f t="shared" si="74"/>
        <v/>
      </c>
      <c r="S329">
        <f>IF(A329=1,MAX($S$2:$S328)+1,IF(OR($I329&lt;&gt;"",A329="x"),$S328,""))</f>
        <v>170</v>
      </c>
      <c r="T329" t="str">
        <f>IF(D329=1,MAX($T$2:$T328)+1,IF(S329=S328,$T328,IF(D329="x",T328,IF(D328="x","",""))))</f>
        <v/>
      </c>
      <c r="U329" t="str">
        <f>IF(B329=1,MAX($U$2:$U328)+1,IF(AND($T329&lt;&gt;"",$T329=$T328),$U328,IF(B329="x",U328,"")))</f>
        <v/>
      </c>
      <c r="V329" t="str">
        <f>IF(C329=1,MAX($V$2:$V328)+1,IF(AND($T329&lt;&gt;"",$T329=$T328),$U328,IF(C329="x",V328,"")))</f>
        <v/>
      </c>
      <c r="X329" cm="1">
        <f t="array" ref="X329">IF($I329&lt;&gt;"",$I329,INDEX($I$1:$I329,ROW()-COUNTIFS($T$1:$T329,"="&amp;$T329,$S$1:$S329,"&lt;"&amp;$S329)))</f>
        <v>87</v>
      </c>
      <c r="Z329" s="6">
        <f t="shared" si="77"/>
        <v>1</v>
      </c>
      <c r="AA329">
        <f t="shared" si="78"/>
        <v>1170</v>
      </c>
      <c r="AB329" t="str">
        <f t="shared" si="79"/>
        <v/>
      </c>
      <c r="AC329">
        <f t="shared" si="80"/>
        <v>1170</v>
      </c>
      <c r="BI329" s="40"/>
      <c r="BL329" s="40"/>
      <c r="BN329" s="19"/>
      <c r="BP329" s="17"/>
    </row>
    <row r="330" spans="1:68" x14ac:dyDescent="0.2">
      <c r="A330">
        <f t="shared" si="76"/>
        <v>1</v>
      </c>
      <c r="E330" s="4"/>
      <c r="F330" s="46"/>
      <c r="G330" s="4"/>
      <c r="H330" s="48"/>
      <c r="I330" s="26">
        <v>87</v>
      </c>
      <c r="J330" s="26" t="s">
        <v>368</v>
      </c>
      <c r="K330" t="s">
        <v>7</v>
      </c>
      <c r="L330" t="s">
        <v>182</v>
      </c>
      <c r="M330" t="s">
        <v>68</v>
      </c>
      <c r="N330" t="str">
        <f t="shared" si="75"/>
        <v>u</v>
      </c>
      <c r="Q330" t="str">
        <f t="shared" si="74"/>
        <v/>
      </c>
      <c r="S330">
        <f>IF(A330=1,MAX($S$2:$S329)+1,IF(OR($I330&lt;&gt;"",A330="x"),$S329,""))</f>
        <v>171</v>
      </c>
      <c r="T330" t="str">
        <f>IF(D330=1,MAX($T$2:$T329)+1,IF(S330=S329,$T329,IF(D330="x",T329,IF(D329="x","",""))))</f>
        <v/>
      </c>
      <c r="U330" t="str">
        <f>IF(B330=1,MAX($U$2:$U329)+1,IF(AND($T330&lt;&gt;"",$T330=$T329),$U329,IF(B330="x",U329,"")))</f>
        <v/>
      </c>
      <c r="V330" t="str">
        <f>IF(C330=1,MAX($V$2:$V329)+1,IF(AND($T330&lt;&gt;"",$T330=$T329),$U329,IF(C330="x",V329,"")))</f>
        <v/>
      </c>
      <c r="X330" cm="1">
        <f t="array" ref="X330">IF($I330&lt;&gt;"",$I330,INDEX($I$1:$I330,ROW()-COUNTIFS($T$1:$T330,"="&amp;$T330,$S$1:$S330,"&lt;"&amp;$S330)))</f>
        <v>87</v>
      </c>
      <c r="Z330" s="6">
        <f t="shared" si="77"/>
        <v>1</v>
      </c>
      <c r="AA330">
        <f t="shared" si="78"/>
        <v>1171</v>
      </c>
      <c r="AB330" t="str">
        <f t="shared" si="79"/>
        <v/>
      </c>
      <c r="AC330">
        <f t="shared" si="80"/>
        <v>1171</v>
      </c>
      <c r="BI330" s="40"/>
      <c r="BL330" s="40"/>
      <c r="BN330" s="19"/>
      <c r="BP330" s="17"/>
    </row>
    <row r="331" spans="1:68" x14ac:dyDescent="0.2">
      <c r="A331" t="str">
        <f t="shared" si="76"/>
        <v/>
      </c>
      <c r="E331" s="4"/>
      <c r="F331" s="46"/>
      <c r="G331" s="4"/>
      <c r="H331" s="48"/>
      <c r="I331" s="26">
        <v>55</v>
      </c>
      <c r="J331" s="26" t="str">
        <f t="shared" si="81"/>
        <v/>
      </c>
      <c r="N331" t="str">
        <f t="shared" si="75"/>
        <v/>
      </c>
      <c r="Q331" t="str">
        <f t="shared" si="74"/>
        <v/>
      </c>
      <c r="S331">
        <f>IF(A331=1,MAX($S$2:$S330)+1,IF(OR($I331&lt;&gt;"",A331="x"),$S330,""))</f>
        <v>171</v>
      </c>
      <c r="T331" t="str">
        <f>IF(D331=1,MAX($T$2:$T330)+1,IF(S331=S330,$T330,IF(D331="x",T330,IF(D330="x","",""))))</f>
        <v/>
      </c>
      <c r="U331" t="str">
        <f>IF(B331=1,MAX($U$2:$U330)+1,IF(AND($T331&lt;&gt;"",$T331=$T330),$U330,IF(B331="x",U330,"")))</f>
        <v/>
      </c>
      <c r="V331" t="str">
        <f>IF(C331=1,MAX($V$2:$V330)+1,IF(AND($T331&lt;&gt;"",$T331=$T330),$U330,IF(C331="x",V330,"")))</f>
        <v/>
      </c>
      <c r="X331" cm="1">
        <f t="array" ref="X331">IF($I331&lt;&gt;"",$I331,INDEX($I$1:$I331,ROW()-COUNTIFS($T$1:$T331,"="&amp;$T331,$S$1:$S331,"&lt;"&amp;$S331)))</f>
        <v>55</v>
      </c>
      <c r="Z331" s="6">
        <f t="shared" si="77"/>
        <v>1</v>
      </c>
      <c r="AA331">
        <f t="shared" si="78"/>
        <v>1171</v>
      </c>
      <c r="AB331" t="str">
        <f t="shared" si="79"/>
        <v/>
      </c>
      <c r="AC331">
        <f t="shared" si="80"/>
        <v>1171</v>
      </c>
      <c r="BI331" s="40"/>
      <c r="BL331" s="40"/>
      <c r="BN331" s="19"/>
      <c r="BP331" s="17"/>
    </row>
    <row r="332" spans="1:68" x14ac:dyDescent="0.2">
      <c r="A332" t="str">
        <f t="shared" si="76"/>
        <v/>
      </c>
      <c r="E332" s="4"/>
      <c r="F332" s="46"/>
      <c r="G332" s="4"/>
      <c r="H332" s="48"/>
      <c r="I332" s="26">
        <v>71</v>
      </c>
      <c r="J332" s="26" t="str">
        <f t="shared" si="81"/>
        <v/>
      </c>
      <c r="N332" t="str">
        <f t="shared" si="75"/>
        <v/>
      </c>
      <c r="O332" t="s">
        <v>566</v>
      </c>
      <c r="Q332" t="str">
        <f t="shared" si="74"/>
        <v/>
      </c>
      <c r="S332">
        <f>IF(A332=1,MAX($S$2:$S331)+1,IF(OR($I332&lt;&gt;"",A332="x"),$S331,""))</f>
        <v>171</v>
      </c>
      <c r="T332" t="str">
        <f>IF(D332=1,MAX($T$2:$T331)+1,IF(S332=S331,$T331,IF(D332="x",T331,IF(D331="x","",""))))</f>
        <v/>
      </c>
      <c r="U332" t="str">
        <f>IF(B332=1,MAX($U$2:$U331)+1,IF(AND($T332&lt;&gt;"",$T332=$T331),$U331,IF(B332="x",U331,"")))</f>
        <v/>
      </c>
      <c r="V332" t="str">
        <f>IF(C332=1,MAX($V$2:$V331)+1,IF(AND($T332&lt;&gt;"",$T332=$T331),$U331,IF(C332="x",V331,"")))</f>
        <v/>
      </c>
      <c r="X332" cm="1">
        <f t="array" ref="X332">IF($I332&lt;&gt;"",$I332,INDEX($I$1:$I332,ROW()-COUNTIFS($T$1:$T332,"="&amp;$T332,$S$1:$S332,"&lt;"&amp;$S332)))</f>
        <v>71</v>
      </c>
      <c r="Z332" s="6">
        <f t="shared" si="77"/>
        <v>1</v>
      </c>
      <c r="AA332">
        <f t="shared" si="78"/>
        <v>1171</v>
      </c>
      <c r="AB332" t="str">
        <f t="shared" si="79"/>
        <v/>
      </c>
      <c r="AC332">
        <f t="shared" si="80"/>
        <v>1171</v>
      </c>
      <c r="BI332" s="40"/>
      <c r="BL332" s="40"/>
      <c r="BN332" s="19"/>
      <c r="BP332" s="17"/>
    </row>
    <row r="333" spans="1:68" x14ac:dyDescent="0.2">
      <c r="A333">
        <f t="shared" si="76"/>
        <v>1</v>
      </c>
      <c r="E333" s="4"/>
      <c r="F333" s="46" t="s">
        <v>413</v>
      </c>
      <c r="G333" s="4" t="s">
        <v>746</v>
      </c>
      <c r="H333" s="48" t="s">
        <v>1058</v>
      </c>
      <c r="I333" s="26">
        <v>55</v>
      </c>
      <c r="J333" s="26" t="s">
        <v>368</v>
      </c>
      <c r="K333" t="s">
        <v>13</v>
      </c>
      <c r="L333" t="s">
        <v>587</v>
      </c>
      <c r="N333" t="str">
        <f t="shared" si="75"/>
        <v/>
      </c>
      <c r="Q333" t="str">
        <f t="shared" si="74"/>
        <v/>
      </c>
      <c r="S333">
        <f>IF(A333=1,MAX($S$2:$S332)+1,IF(OR($I333&lt;&gt;"",A333="x"),$S332,""))</f>
        <v>172</v>
      </c>
      <c r="T333" t="str">
        <f>IF(D333=1,MAX($T$2:$T332)+1,IF(S333=S332,$T332,IF(D333="x",T332,IF(D332="x","",""))))</f>
        <v/>
      </c>
      <c r="U333" t="str">
        <f>IF(B333=1,MAX($U$2:$U332)+1,IF(AND($T333&lt;&gt;"",$T333=$T332),$U332,IF(B333="x",U332,"")))</f>
        <v/>
      </c>
      <c r="V333" t="str">
        <f>IF(C333=1,MAX($V$2:$V332)+1,IF(AND($T333&lt;&gt;"",$T333=$T332),$U332,IF(C333="x",V332,"")))</f>
        <v/>
      </c>
      <c r="X333" cm="1">
        <f t="array" ref="X333">IF($I333&lt;&gt;"",$I333,INDEX($I$1:$I333,ROW()-COUNTIFS($T$1:$T333,"="&amp;$T333,$S$1:$S333,"&lt;"&amp;$S333)))</f>
        <v>55</v>
      </c>
      <c r="Z333" s="6">
        <f t="shared" si="77"/>
        <v>1</v>
      </c>
      <c r="AA333">
        <f t="shared" si="78"/>
        <v>1172</v>
      </c>
      <c r="AB333" t="str">
        <f t="shared" si="79"/>
        <v/>
      </c>
      <c r="AC333">
        <f t="shared" si="80"/>
        <v>1172</v>
      </c>
      <c r="BI333" s="40"/>
      <c r="BL333" s="40"/>
      <c r="BN333" s="19"/>
      <c r="BP333" s="17"/>
    </row>
    <row r="334" spans="1:68" x14ac:dyDescent="0.2">
      <c r="A334">
        <f t="shared" si="76"/>
        <v>1</v>
      </c>
      <c r="E334" s="4"/>
      <c r="F334" s="46"/>
      <c r="G334" s="4"/>
      <c r="H334" s="48"/>
      <c r="I334" s="26">
        <v>55</v>
      </c>
      <c r="J334" s="26" t="s">
        <v>368</v>
      </c>
      <c r="K334" t="s">
        <v>7</v>
      </c>
      <c r="L334" t="s">
        <v>182</v>
      </c>
      <c r="M334" t="s">
        <v>68</v>
      </c>
      <c r="N334" t="str">
        <f t="shared" si="75"/>
        <v>u</v>
      </c>
      <c r="Q334" t="str">
        <f t="shared" si="74"/>
        <v/>
      </c>
      <c r="S334">
        <f>IF(A334=1,MAX($S$2:$S333)+1,IF(OR($I334&lt;&gt;"",A334="x"),$S333,""))</f>
        <v>173</v>
      </c>
      <c r="T334" t="str">
        <f>IF(D334=1,MAX($T$2:$T333)+1,IF(S334=S333,$T333,IF(D334="x",T333,IF(D333="x","",""))))</f>
        <v/>
      </c>
      <c r="U334" t="str">
        <f>IF(B334=1,MAX($U$2:$U333)+1,IF(AND($T334&lt;&gt;"",$T334=$T333),$U333,IF(B334="x",U333,"")))</f>
        <v/>
      </c>
      <c r="V334" t="str">
        <f>IF(C334=1,MAX($V$2:$V333)+1,IF(AND($T334&lt;&gt;"",$T334=$T333),$U333,IF(C334="x",V333,"")))</f>
        <v/>
      </c>
      <c r="X334" cm="1">
        <f t="array" ref="X334">IF($I334&lt;&gt;"",$I334,INDEX($I$1:$I334,ROW()-COUNTIFS($T$1:$T334,"="&amp;$T334,$S$1:$S334,"&lt;"&amp;$S334)))</f>
        <v>55</v>
      </c>
      <c r="Z334" s="6">
        <f t="shared" si="77"/>
        <v>1</v>
      </c>
      <c r="AA334">
        <f t="shared" si="78"/>
        <v>1173</v>
      </c>
      <c r="AB334" t="str">
        <f t="shared" si="79"/>
        <v/>
      </c>
      <c r="AC334">
        <f t="shared" si="80"/>
        <v>1173</v>
      </c>
      <c r="BI334" s="40"/>
      <c r="BL334" s="40"/>
      <c r="BN334" s="19"/>
      <c r="BP334" s="17"/>
    </row>
    <row r="335" spans="1:68" x14ac:dyDescent="0.2">
      <c r="A335" t="str">
        <f t="shared" si="76"/>
        <v/>
      </c>
      <c r="E335" s="4"/>
      <c r="F335" s="46"/>
      <c r="G335" s="4"/>
      <c r="H335" s="48"/>
      <c r="I335" s="26">
        <v>61</v>
      </c>
      <c r="J335" s="26" t="str">
        <f t="shared" si="81"/>
        <v/>
      </c>
      <c r="N335" t="str">
        <f t="shared" si="75"/>
        <v/>
      </c>
      <c r="Q335" t="str">
        <f t="shared" si="74"/>
        <v/>
      </c>
      <c r="R335" s="26">
        <v>1</v>
      </c>
      <c r="S335">
        <f>IF(A335=1,MAX($S$2:$S334)+1,IF(OR($I335&lt;&gt;"",A335="x"),$S334,""))</f>
        <v>173</v>
      </c>
      <c r="T335" t="str">
        <f>IF(D335=1,MAX($T$2:$T334)+1,IF(S335=S334,$T334,IF(D335="x",T334,IF(D334="x","",""))))</f>
        <v/>
      </c>
      <c r="U335" t="str">
        <f>IF(B335=1,MAX($U$2:$U334)+1,IF(AND($T335&lt;&gt;"",$T335=$T334),$U334,IF(B335="x",U334,"")))</f>
        <v/>
      </c>
      <c r="V335" t="str">
        <f>IF(C335=1,MAX($V$2:$V334)+1,IF(AND($T335&lt;&gt;"",$T335=$T334),$U334,IF(C335="x",V334,"")))</f>
        <v/>
      </c>
      <c r="X335" cm="1">
        <f t="array" ref="X335">IF($I335&lt;&gt;"",$I335,INDEX($I$1:$I335,ROW()-COUNTIFS($T$1:$T335,"="&amp;$T335,$S$1:$S335,"&lt;"&amp;$S335)))</f>
        <v>61</v>
      </c>
      <c r="Z335" s="6">
        <f t="shared" si="77"/>
        <v>1</v>
      </c>
      <c r="AA335">
        <f t="shared" si="78"/>
        <v>1173</v>
      </c>
      <c r="AB335" t="str">
        <f t="shared" si="79"/>
        <v/>
      </c>
      <c r="AC335">
        <f t="shared" si="80"/>
        <v>1173</v>
      </c>
      <c r="BI335" s="40"/>
      <c r="BL335" s="40"/>
      <c r="BN335" s="19"/>
      <c r="BP335" s="17"/>
    </row>
    <row r="336" spans="1:68" x14ac:dyDescent="0.2">
      <c r="A336" t="str">
        <f t="shared" si="76"/>
        <v/>
      </c>
      <c r="E336" s="4"/>
      <c r="F336" s="46"/>
      <c r="G336" s="4"/>
      <c r="H336" s="48"/>
      <c r="I336" s="26">
        <v>57</v>
      </c>
      <c r="J336" s="26" t="str">
        <f t="shared" si="81"/>
        <v/>
      </c>
      <c r="N336" t="str">
        <f t="shared" si="75"/>
        <v/>
      </c>
      <c r="O336" t="s">
        <v>566</v>
      </c>
      <c r="Q336" t="str">
        <f t="shared" ref="Q336:Q399" si="82">IF(O336="","",IF(AND(N336&lt;&gt;"",OR(O336&lt;&gt;"",P336&lt;&gt;"")),N336,IF(OR(ISNUMBER(SEARCH("attemp",O336)),ISNUMBER(SEARCH("beat",O336)),ISNUMBER(SEARCH("mis",O336)),ISNUMBER(SEARCH("fail",O336)),ISNUMBER(SEARCH("loss",O336)),ISNUMBER(SEARCH("lost",O336)),ISNUMBER(SEARCH("attemp",P336)),ISNUMBER(SEARCH("mis",P336)),ISNUMBER(SEARCH("fail",P336)),ISNUMBER(SEARCH("loss",P336)),ISNUMBER(SEARCH("beat",P336)),ISNUMBER(SEARCH("lost",P336))),"u","")))</f>
        <v/>
      </c>
      <c r="S336">
        <f>IF(A336=1,MAX($S$2:$S335)+1,IF(OR($I336&lt;&gt;"",A336="x"),$S335,""))</f>
        <v>173</v>
      </c>
      <c r="T336" t="str">
        <f>IF(D336=1,MAX($T$2:$T335)+1,IF(S336=S335,$T335,IF(D336="x",T335,IF(D335="x","",""))))</f>
        <v/>
      </c>
      <c r="U336" t="str">
        <f>IF(B336=1,MAX($U$2:$U335)+1,IF(AND($T336&lt;&gt;"",$T336=$T335),$U335,IF(B336="x",U335,"")))</f>
        <v/>
      </c>
      <c r="V336" t="str">
        <f>IF(C336=1,MAX($V$2:$V335)+1,IF(AND($T336&lt;&gt;"",$T336=$T335),$U335,IF(C336="x",V335,"")))</f>
        <v/>
      </c>
      <c r="X336" cm="1">
        <f t="array" ref="X336">IF($I336&lt;&gt;"",$I336,INDEX($I$1:$I336,ROW()-COUNTIFS($T$1:$T336,"="&amp;$T336,$S$1:$S336,"&lt;"&amp;$S336)))</f>
        <v>57</v>
      </c>
      <c r="Z336" s="6">
        <f t="shared" si="77"/>
        <v>1</v>
      </c>
      <c r="AA336">
        <f t="shared" si="78"/>
        <v>1173</v>
      </c>
      <c r="AB336" t="str">
        <f t="shared" si="79"/>
        <v/>
      </c>
      <c r="AC336">
        <f t="shared" si="80"/>
        <v>1173</v>
      </c>
      <c r="BI336" s="40"/>
      <c r="BL336" s="40"/>
      <c r="BN336" s="19"/>
      <c r="BP336" s="17"/>
    </row>
    <row r="337" spans="1:68" x14ac:dyDescent="0.2">
      <c r="A337" t="str">
        <f t="shared" si="76"/>
        <v/>
      </c>
      <c r="E337" s="4"/>
      <c r="F337" s="46"/>
      <c r="G337" s="4"/>
      <c r="H337" s="48"/>
      <c r="I337" s="26">
        <v>10</v>
      </c>
      <c r="J337" s="26" t="str">
        <f t="shared" si="81"/>
        <v/>
      </c>
      <c r="N337" t="str">
        <f t="shared" si="75"/>
        <v/>
      </c>
      <c r="O337" t="s">
        <v>567</v>
      </c>
      <c r="Q337" t="str">
        <f t="shared" si="82"/>
        <v/>
      </c>
      <c r="R337" s="26">
        <v>1</v>
      </c>
      <c r="S337">
        <f>IF(A337=1,MAX($S$2:$S336)+1,IF(OR($I337&lt;&gt;"",A337="x"),$S336,""))</f>
        <v>173</v>
      </c>
      <c r="T337" t="str">
        <f>IF(D337=1,MAX($T$2:$T336)+1,IF(S337=S336,$T336,IF(D337="x",T336,IF(D336="x","",""))))</f>
        <v/>
      </c>
      <c r="U337" t="str">
        <f>IF(B337=1,MAX($U$2:$U336)+1,IF(AND($T337&lt;&gt;"",$T337=$T336),$U336,IF(B337="x",U336,"")))</f>
        <v/>
      </c>
      <c r="V337" t="str">
        <f>IF(C337=1,MAX($V$2:$V336)+1,IF(AND($T337&lt;&gt;"",$T337=$T336),$U336,IF(C337="x",V336,"")))</f>
        <v/>
      </c>
      <c r="X337" cm="1">
        <f t="array" ref="X337">IF($I337&lt;&gt;"",$I337,INDEX($I$1:$I337,ROW()-COUNTIFS($T$1:$T337,"="&amp;$T337,$S$1:$S337,"&lt;"&amp;$S337)))</f>
        <v>10</v>
      </c>
      <c r="Z337" s="6">
        <f t="shared" si="77"/>
        <v>1</v>
      </c>
      <c r="AA337">
        <f t="shared" si="78"/>
        <v>1173</v>
      </c>
      <c r="AB337" t="str">
        <f t="shared" si="79"/>
        <v/>
      </c>
      <c r="AC337">
        <f t="shared" si="80"/>
        <v>1173</v>
      </c>
      <c r="BI337" s="40"/>
      <c r="BL337" s="40"/>
      <c r="BN337" s="19"/>
      <c r="BP337" s="17"/>
    </row>
    <row r="338" spans="1:68" x14ac:dyDescent="0.2">
      <c r="A338">
        <f t="shared" si="76"/>
        <v>1</v>
      </c>
      <c r="E338" s="4" t="s">
        <v>746</v>
      </c>
      <c r="F338" s="46" t="s">
        <v>753</v>
      </c>
      <c r="G338" s="4"/>
      <c r="H338" s="48" t="s">
        <v>1059</v>
      </c>
      <c r="I338" s="26">
        <v>9</v>
      </c>
      <c r="J338" s="26" t="s">
        <v>368</v>
      </c>
      <c r="K338" t="s">
        <v>13</v>
      </c>
      <c r="L338" t="s">
        <v>587</v>
      </c>
      <c r="N338" t="str">
        <f t="shared" si="75"/>
        <v/>
      </c>
      <c r="Q338" t="str">
        <f t="shared" si="82"/>
        <v/>
      </c>
      <c r="S338">
        <f>IF(A338=1,MAX($S$2:$S337)+1,IF(OR($I338&lt;&gt;"",A338="x"),$S337,""))</f>
        <v>174</v>
      </c>
      <c r="T338" t="str">
        <f>IF(D338=1,MAX($T$2:$T337)+1,IF(S338=S337,$T337,IF(D338="x",T337,IF(D337="x","",""))))</f>
        <v/>
      </c>
      <c r="U338" t="str">
        <f>IF(B338=1,MAX($U$2:$U337)+1,IF(AND($T338&lt;&gt;"",$T338=$T337),$U337,IF(B338="x",U337,"")))</f>
        <v/>
      </c>
      <c r="V338" t="str">
        <f>IF(C338=1,MAX($V$2:$V337)+1,IF(AND($T338&lt;&gt;"",$T338=$T337),$U337,IF(C338="x",V337,"")))</f>
        <v/>
      </c>
      <c r="X338" cm="1">
        <f t="array" ref="X338">IF($I338&lt;&gt;"",$I338,INDEX($I$1:$I338,ROW()-COUNTIFS($T$1:$T338,"="&amp;$T338,$S$1:$S338,"&lt;"&amp;$S338)))</f>
        <v>9</v>
      </c>
      <c r="Z338" s="6">
        <f t="shared" si="77"/>
        <v>1</v>
      </c>
      <c r="AA338">
        <f t="shared" si="78"/>
        <v>1174</v>
      </c>
      <c r="AB338" t="str">
        <f t="shared" si="79"/>
        <v/>
      </c>
      <c r="AC338">
        <f t="shared" si="80"/>
        <v>1174</v>
      </c>
      <c r="BI338" s="40"/>
      <c r="BL338" s="40"/>
      <c r="BN338" s="19"/>
      <c r="BP338" s="17"/>
    </row>
    <row r="339" spans="1:68" x14ac:dyDescent="0.2">
      <c r="A339">
        <f t="shared" si="76"/>
        <v>1</v>
      </c>
      <c r="E339" s="4"/>
      <c r="F339" s="46"/>
      <c r="G339" s="4"/>
      <c r="H339" s="48"/>
      <c r="I339" s="26">
        <v>9</v>
      </c>
      <c r="J339" s="26" t="s">
        <v>368</v>
      </c>
      <c r="K339" t="s">
        <v>7</v>
      </c>
      <c r="L339" t="s">
        <v>172</v>
      </c>
      <c r="M339" t="s">
        <v>69</v>
      </c>
      <c r="N339" t="str">
        <f t="shared" si="75"/>
        <v>s</v>
      </c>
      <c r="Q339" t="str">
        <f t="shared" si="82"/>
        <v/>
      </c>
      <c r="R339" s="26">
        <v>1</v>
      </c>
      <c r="S339">
        <f>IF(A339=1,MAX($S$2:$S338)+1,IF(OR($I339&lt;&gt;"",A339="x"),$S338,""))</f>
        <v>175</v>
      </c>
      <c r="T339" t="str">
        <f>IF(D339=1,MAX($T$2:$T338)+1,IF(S339=S338,$T338,IF(D339="x",T338,IF(D338="x","",""))))</f>
        <v/>
      </c>
      <c r="U339" t="str">
        <f>IF(B339=1,MAX($U$2:$U338)+1,IF(AND($T339&lt;&gt;"",$T339=$T338),$U338,IF(B339="x",U338,"")))</f>
        <v/>
      </c>
      <c r="V339" t="str">
        <f>IF(C339=1,MAX($V$2:$V338)+1,IF(AND($T339&lt;&gt;"",$T339=$T338),$U338,IF(C339="x",V338,"")))</f>
        <v/>
      </c>
      <c r="X339" cm="1">
        <f t="array" ref="X339">IF($I339&lt;&gt;"",$I339,INDEX($I$1:$I339,ROW()-COUNTIFS($T$1:$T339,"="&amp;$T339,$S$1:$S339,"&lt;"&amp;$S339)))</f>
        <v>9</v>
      </c>
      <c r="Z339" s="6">
        <f t="shared" si="77"/>
        <v>1</v>
      </c>
      <c r="AA339">
        <f t="shared" si="78"/>
        <v>1175</v>
      </c>
      <c r="AB339" t="str">
        <f t="shared" si="79"/>
        <v/>
      </c>
      <c r="AC339">
        <f t="shared" si="80"/>
        <v>1175</v>
      </c>
      <c r="BI339" s="40"/>
      <c r="BL339" s="40"/>
      <c r="BN339" s="19"/>
      <c r="BP339" s="17"/>
    </row>
    <row r="340" spans="1:68" x14ac:dyDescent="0.2">
      <c r="A340" t="str">
        <f t="shared" si="76"/>
        <v/>
      </c>
      <c r="E340" s="4"/>
      <c r="F340" s="46"/>
      <c r="G340" s="4"/>
      <c r="H340" s="48"/>
      <c r="I340" s="26">
        <v>55</v>
      </c>
      <c r="J340" s="26" t="str">
        <f t="shared" si="81"/>
        <v/>
      </c>
      <c r="N340" t="str">
        <f t="shared" si="75"/>
        <v/>
      </c>
      <c r="Q340" t="str">
        <f t="shared" si="82"/>
        <v/>
      </c>
      <c r="S340">
        <f>IF(A340=1,MAX($S$2:$S339)+1,IF(OR($I340&lt;&gt;"",A340="x"),$S339,""))</f>
        <v>175</v>
      </c>
      <c r="T340" t="str">
        <f>IF(D340=1,MAX($T$2:$T339)+1,IF(S340=S339,$T339,IF(D340="x",T339,IF(D339="x","",""))))</f>
        <v/>
      </c>
      <c r="U340" t="str">
        <f>IF(B340=1,MAX($U$2:$U339)+1,IF(AND($T340&lt;&gt;"",$T340=$T339),$U339,IF(B340="x",U339,"")))</f>
        <v/>
      </c>
      <c r="V340" t="str">
        <f>IF(C340=1,MAX($V$2:$V339)+1,IF(AND($T340&lt;&gt;"",$T340=$T339),$U339,IF(C340="x",V339,"")))</f>
        <v/>
      </c>
      <c r="X340" cm="1">
        <f t="array" ref="X340">IF($I340&lt;&gt;"",$I340,INDEX($I$1:$I340,ROW()-COUNTIFS($T$1:$T340,"="&amp;$T340,$S$1:$S340,"&lt;"&amp;$S340)))</f>
        <v>55</v>
      </c>
      <c r="Z340" s="6">
        <f t="shared" si="77"/>
        <v>1</v>
      </c>
      <c r="AA340">
        <f t="shared" si="78"/>
        <v>1175</v>
      </c>
      <c r="AB340" t="str">
        <f t="shared" si="79"/>
        <v/>
      </c>
      <c r="AC340">
        <f t="shared" si="80"/>
        <v>1175</v>
      </c>
      <c r="BI340" s="40"/>
      <c r="BL340" s="40"/>
      <c r="BN340" s="19"/>
      <c r="BP340" s="17"/>
    </row>
    <row r="341" spans="1:68" x14ac:dyDescent="0.2">
      <c r="A341" t="str">
        <f t="shared" si="76"/>
        <v/>
      </c>
      <c r="E341" s="4"/>
      <c r="F341" s="46"/>
      <c r="G341" s="4"/>
      <c r="H341" s="48"/>
      <c r="I341" s="26">
        <v>10</v>
      </c>
      <c r="J341" s="26" t="str">
        <f t="shared" si="81"/>
        <v/>
      </c>
      <c r="N341" t="str">
        <f t="shared" ref="N341:N403" si="83">IF(K341="","",IF(K341="Goal","s",IF(AND(K341="Zone_Entry_Exit",OR(ISNUMBER(SEARCH("fail",L341)),ISNUMBER(SEARCH("FromExitClear",M341)),ISNUMBER(SEARCH("miss",M341)))),"u",IF(AND(K341="Zone_Entry_Exit",OR(NOT(ISNUMBER(SEARCH("fail",L341))),NOT(ISNUMBER(SEARCH("FromExitClear",M341))),NOT(ISNUMBER(SEARCH("miss",M341))))),"s",IF(AND(OR(K341="Shot",K341="Pass"),OR(ISNUMBER(SEARCH("complete",L341)),ISNUMBER(SEARCH("goal",L341)),ISNUMBER(SEARCH("OnNet",L341)))),"s",IF(L341="Turnover_Giveaway","u",IF(AND(OR(K341="Shot",K341="Pass"),OR(ISNUMBER(SEARCH("fail",L341)),NOT(ISNUMBER(SEARCH("complete",L341))),NOT(ISNUMBER(SEARCH("OnNet",L341))))),"u","")))))))</f>
        <v/>
      </c>
      <c r="Q341" t="str">
        <f t="shared" si="82"/>
        <v/>
      </c>
      <c r="R341" s="26">
        <v>1</v>
      </c>
      <c r="S341">
        <f>IF(A341=1,MAX($S$2:$S340)+1,IF(OR($I341&lt;&gt;"",A341="x"),$S340,""))</f>
        <v>175</v>
      </c>
      <c r="T341" t="str">
        <f>IF(D341=1,MAX($T$2:$T340)+1,IF(S341=S340,$T340,IF(D341="x",T340,IF(D340="x","",""))))</f>
        <v/>
      </c>
      <c r="U341" t="str">
        <f>IF(B341=1,MAX($U$2:$U340)+1,IF(AND($T341&lt;&gt;"",$T341=$T340),$U340,IF(B341="x",U340,"")))</f>
        <v/>
      </c>
      <c r="V341" t="str">
        <f>IF(C341=1,MAX($V$2:$V340)+1,IF(AND($T341&lt;&gt;"",$T341=$T340),$U340,IF(C341="x",V340,"")))</f>
        <v/>
      </c>
      <c r="X341" cm="1">
        <f t="array" ref="X341">IF($I341&lt;&gt;"",$I341,INDEX($I$1:$I341,ROW()-COUNTIFS($T$1:$T341,"="&amp;$T341,$S$1:$S341,"&lt;"&amp;$S341)))</f>
        <v>10</v>
      </c>
      <c r="Z341" s="6">
        <f t="shared" si="77"/>
        <v>1</v>
      </c>
      <c r="AA341">
        <f t="shared" si="78"/>
        <v>1175</v>
      </c>
      <c r="AB341" t="str">
        <f t="shared" si="79"/>
        <v/>
      </c>
      <c r="AC341">
        <f t="shared" si="80"/>
        <v>1175</v>
      </c>
      <c r="BI341" s="40"/>
      <c r="BL341" s="40"/>
      <c r="BN341" s="19"/>
      <c r="BP341" s="17"/>
    </row>
    <row r="342" spans="1:68" x14ac:dyDescent="0.2">
      <c r="A342">
        <f t="shared" si="76"/>
        <v>1</v>
      </c>
      <c r="D342" s="26">
        <v>1</v>
      </c>
      <c r="E342" s="4"/>
      <c r="F342" s="46" t="s">
        <v>1044</v>
      </c>
      <c r="G342" s="4"/>
      <c r="H342" s="48"/>
      <c r="I342" s="26">
        <v>55</v>
      </c>
      <c r="J342" s="26" t="s">
        <v>368</v>
      </c>
      <c r="K342" t="s">
        <v>7</v>
      </c>
      <c r="L342" t="s">
        <v>199</v>
      </c>
      <c r="M342" t="s">
        <v>67</v>
      </c>
      <c r="N342" t="str">
        <f t="shared" si="83"/>
        <v>u</v>
      </c>
      <c r="Q342" t="str">
        <f t="shared" si="82"/>
        <v/>
      </c>
      <c r="R342" s="26">
        <v>1</v>
      </c>
      <c r="S342">
        <f>IF(A342=1,MAX($S$2:$S341)+1,IF(OR($I342&lt;&gt;"",A342="x"),$S341,""))</f>
        <v>176</v>
      </c>
      <c r="T342">
        <f>IF(D342=1,MAX($T$2:$T341)+1,IF(S342=S341,$T341,IF(D342="x",T341,IF(D341="x","",""))))</f>
        <v>22</v>
      </c>
      <c r="U342" t="str">
        <f>IF(B342=1,MAX($U$2:$U341)+1,IF(AND($T342&lt;&gt;"",$T342=$T341),$U341,IF(B342="x",U341,"")))</f>
        <v/>
      </c>
      <c r="V342" t="str">
        <f>IF(C342=1,MAX($V$2:$V341)+1,IF(AND($T342&lt;&gt;"",$T342=$T341),$U341,IF(C342="x",V341,"")))</f>
        <v/>
      </c>
      <c r="X342" cm="1">
        <f t="array" ref="X342">IF($I342&lt;&gt;"",$I342,INDEX($I$1:$I342,ROW()-COUNTIFS($T$1:$T342,"="&amp;$T342,$S$1:$S342,"&lt;"&amp;$S342)))</f>
        <v>55</v>
      </c>
      <c r="Z342" s="6">
        <f t="shared" si="77"/>
        <v>1</v>
      </c>
      <c r="AA342">
        <f t="shared" si="78"/>
        <v>1176</v>
      </c>
      <c r="AB342">
        <f t="shared" si="79"/>
        <v>9022</v>
      </c>
      <c r="AC342">
        <f t="shared" si="80"/>
        <v>9022</v>
      </c>
      <c r="BI342" s="40"/>
      <c r="BL342" s="40"/>
      <c r="BN342" s="19"/>
      <c r="BP342" s="17"/>
    </row>
    <row r="343" spans="1:68" x14ac:dyDescent="0.2">
      <c r="A343" t="str">
        <f t="shared" si="76"/>
        <v>x</v>
      </c>
      <c r="D343" s="26" t="s">
        <v>729</v>
      </c>
      <c r="E343" s="4"/>
      <c r="F343" s="46"/>
      <c r="G343" s="4"/>
      <c r="H343" s="48"/>
      <c r="I343" s="26">
        <v>61</v>
      </c>
      <c r="J343" s="26" t="str">
        <f t="shared" si="81"/>
        <v/>
      </c>
      <c r="N343" t="str">
        <f t="shared" si="83"/>
        <v/>
      </c>
      <c r="Q343" t="str">
        <f t="shared" si="82"/>
        <v/>
      </c>
      <c r="S343">
        <f>IF(A343=1,MAX($S$2:$S342)+1,IF(OR($I343&lt;&gt;"",A343="x"),$S342,""))</f>
        <v>176</v>
      </c>
      <c r="T343">
        <f>IF(D343=1,MAX($T$2:$T342)+1,IF(S343=S342,$T342,IF(D343="x",T342,IF(D342="x","",""))))</f>
        <v>22</v>
      </c>
      <c r="U343" t="str">
        <f>IF(B343=1,MAX($U$2:$U342)+1,IF(AND($T343&lt;&gt;"",$T343=$T342),$U342,IF(B343="x",U342,"")))</f>
        <v/>
      </c>
      <c r="V343" t="str">
        <f>IF(C343=1,MAX($V$2:$V342)+1,IF(AND($T343&lt;&gt;"",$T343=$T342),$U342,IF(C343="x",V342,"")))</f>
        <v/>
      </c>
      <c r="X343" cm="1">
        <f t="array" ref="X343">IF($I343&lt;&gt;"",$I343,INDEX($I$1:$I343,ROW()-COUNTIFS($T$1:$T343,"="&amp;$T343,$S$1:$S343,"&lt;"&amp;$S343)))</f>
        <v>61</v>
      </c>
      <c r="Z343" s="6">
        <f t="shared" si="77"/>
        <v>1</v>
      </c>
      <c r="AA343">
        <f t="shared" si="78"/>
        <v>1176</v>
      </c>
      <c r="AB343">
        <f t="shared" si="79"/>
        <v>9022</v>
      </c>
      <c r="AC343">
        <f t="shared" si="80"/>
        <v>9022</v>
      </c>
      <c r="BI343" s="40"/>
      <c r="BL343" s="40"/>
      <c r="BN343" s="19"/>
      <c r="BP343" s="17"/>
    </row>
    <row r="344" spans="1:68" x14ac:dyDescent="0.2">
      <c r="A344" t="str">
        <f t="shared" si="76"/>
        <v>x</v>
      </c>
      <c r="D344" s="26" t="s">
        <v>729</v>
      </c>
      <c r="E344" s="4"/>
      <c r="F344" s="46"/>
      <c r="G344" s="4"/>
      <c r="H344" s="48"/>
      <c r="I344" s="26">
        <v>73</v>
      </c>
      <c r="J344" s="26" t="str">
        <f t="shared" si="81"/>
        <v/>
      </c>
      <c r="N344" t="str">
        <f t="shared" si="83"/>
        <v/>
      </c>
      <c r="O344" t="s">
        <v>557</v>
      </c>
      <c r="Q344" t="str">
        <f t="shared" si="82"/>
        <v/>
      </c>
      <c r="S344">
        <f>IF(A344=1,MAX($S$2:$S343)+1,IF(OR($I344&lt;&gt;"",A344="x"),$S343,""))</f>
        <v>176</v>
      </c>
      <c r="T344">
        <f>IF(D344=1,MAX($T$2:$T343)+1,IF(S344=S343,$T343,IF(D344="x",T343,IF(D343="x","",""))))</f>
        <v>22</v>
      </c>
      <c r="U344" t="str">
        <f>IF(B344=1,MAX($U$2:$U343)+1,IF(AND($T344&lt;&gt;"",$T344=$T343),$U343,IF(B344="x",U343,"")))</f>
        <v/>
      </c>
      <c r="V344" t="str">
        <f>IF(C344=1,MAX($V$2:$V343)+1,IF(AND($T344&lt;&gt;"",$T344=$T343),$U343,IF(C344="x",V343,"")))</f>
        <v/>
      </c>
      <c r="X344" cm="1">
        <f t="array" ref="X344">IF($I344&lt;&gt;"",$I344,INDEX($I$1:$I344,ROW()-COUNTIFS($T$1:$T344,"="&amp;$T344,$S$1:$S344,"&lt;"&amp;$S344)))</f>
        <v>73</v>
      </c>
      <c r="Z344" s="6">
        <f t="shared" si="77"/>
        <v>1</v>
      </c>
      <c r="AA344">
        <f t="shared" si="78"/>
        <v>1176</v>
      </c>
      <c r="AB344">
        <f t="shared" si="79"/>
        <v>9022</v>
      </c>
      <c r="AC344">
        <f t="shared" si="80"/>
        <v>9022</v>
      </c>
      <c r="BI344" s="40"/>
      <c r="BL344" s="40"/>
      <c r="BN344" s="19"/>
      <c r="BP344" s="17"/>
    </row>
    <row r="345" spans="1:68" x14ac:dyDescent="0.2">
      <c r="A345" t="str">
        <f t="shared" si="76"/>
        <v>x</v>
      </c>
      <c r="D345" s="26" t="s">
        <v>729</v>
      </c>
      <c r="E345" s="4"/>
      <c r="F345" s="46"/>
      <c r="G345" s="4"/>
      <c r="H345" s="48"/>
      <c r="I345" s="26">
        <v>57</v>
      </c>
      <c r="J345" s="26" t="str">
        <f t="shared" si="81"/>
        <v/>
      </c>
      <c r="N345" t="str">
        <f t="shared" si="83"/>
        <v/>
      </c>
      <c r="O345" t="s">
        <v>566</v>
      </c>
      <c r="Q345" t="str">
        <f t="shared" si="82"/>
        <v/>
      </c>
      <c r="R345" s="26">
        <v>1</v>
      </c>
      <c r="S345">
        <f>IF(A345=1,MAX($S$2:$S344)+1,IF(OR($I345&lt;&gt;"",A345="x"),$S344,""))</f>
        <v>176</v>
      </c>
      <c r="T345">
        <f>IF(D345=1,MAX($T$2:$T344)+1,IF(S345=S344,$T344,IF(D345="x",T344,IF(D344="x","",""))))</f>
        <v>22</v>
      </c>
      <c r="U345" t="str">
        <f>IF(B345=1,MAX($U$2:$U344)+1,IF(AND($T345&lt;&gt;"",$T345=$T344),$U344,IF(B345="x",U344,"")))</f>
        <v/>
      </c>
      <c r="V345" t="str">
        <f>IF(C345=1,MAX($V$2:$V344)+1,IF(AND($T345&lt;&gt;"",$T345=$T344),$U344,IF(C345="x",V344,"")))</f>
        <v/>
      </c>
      <c r="X345" cm="1">
        <f t="array" ref="X345">IF($I345&lt;&gt;"",$I345,INDEX($I$1:$I345,ROW()-COUNTIFS($T$1:$T345,"="&amp;$T345,$S$1:$S345,"&lt;"&amp;$S345)))</f>
        <v>57</v>
      </c>
      <c r="Z345" s="6">
        <f t="shared" si="77"/>
        <v>1</v>
      </c>
      <c r="AA345">
        <f t="shared" si="78"/>
        <v>1176</v>
      </c>
      <c r="AB345">
        <f t="shared" si="79"/>
        <v>9022</v>
      </c>
      <c r="AC345">
        <f t="shared" si="80"/>
        <v>9022</v>
      </c>
      <c r="BI345" s="40"/>
      <c r="BL345" s="40"/>
      <c r="BN345" s="19"/>
      <c r="BP345" s="17"/>
    </row>
    <row r="346" spans="1:68" x14ac:dyDescent="0.2">
      <c r="A346">
        <f t="shared" si="76"/>
        <v>1</v>
      </c>
      <c r="D346" s="26" t="s">
        <v>729</v>
      </c>
      <c r="E346" s="4"/>
      <c r="F346" s="46"/>
      <c r="G346" s="4"/>
      <c r="H346" s="48"/>
      <c r="J346" s="26" t="s">
        <v>368</v>
      </c>
      <c r="K346" t="s">
        <v>9</v>
      </c>
      <c r="L346" t="s">
        <v>173</v>
      </c>
      <c r="M346" t="s">
        <v>73</v>
      </c>
      <c r="N346" t="str">
        <f t="shared" si="83"/>
        <v>u</v>
      </c>
      <c r="Q346" t="str">
        <f t="shared" si="82"/>
        <v/>
      </c>
      <c r="S346">
        <f>IF(A346=1,MAX($S$2:$S345)+1,IF(OR($I346&lt;&gt;"",A346="x"),$S345,""))</f>
        <v>177</v>
      </c>
      <c r="T346">
        <f>IF(D346=1,MAX($T$2:$T345)+1,IF(S346=S345,$T345,IF(D346="x",T345,IF(D345="x","",""))))</f>
        <v>22</v>
      </c>
      <c r="U346" t="str">
        <f>IF(B346=1,MAX($U$2:$U345)+1,IF(AND($T346&lt;&gt;"",$T346=$T345),$U345,IF(B346="x",U345,"")))</f>
        <v/>
      </c>
      <c r="V346" t="str">
        <f>IF(C346=1,MAX($V$2:$V345)+1,IF(AND($T346&lt;&gt;"",$T346=$T345),$U345,IF(C346="x",V345,"")))</f>
        <v/>
      </c>
      <c r="X346" cm="1">
        <f t="array" ref="X346">IF($I346&lt;&gt;"",$I346,INDEX($I$1:$I346,ROW()-COUNTIFS($T$1:$T346,"="&amp;$T346,$S$1:$S346,"&lt;"&amp;$S346)))</f>
        <v>55</v>
      </c>
      <c r="Z346" s="6">
        <f t="shared" si="77"/>
        <v>1</v>
      </c>
      <c r="AA346">
        <f t="shared" si="78"/>
        <v>1177</v>
      </c>
      <c r="AB346">
        <f t="shared" si="79"/>
        <v>9022</v>
      </c>
      <c r="AC346">
        <f t="shared" si="80"/>
        <v>9022</v>
      </c>
      <c r="BI346" s="40"/>
      <c r="BL346" s="40"/>
      <c r="BN346" s="19"/>
      <c r="BP346" s="17"/>
    </row>
    <row r="347" spans="1:68" x14ac:dyDescent="0.2">
      <c r="A347" t="str">
        <f t="shared" si="76"/>
        <v>x</v>
      </c>
      <c r="D347" s="26" t="s">
        <v>729</v>
      </c>
      <c r="E347" s="4"/>
      <c r="F347" s="46"/>
      <c r="G347" s="4"/>
      <c r="H347" s="48"/>
      <c r="J347" s="26" t="str">
        <f t="shared" si="81"/>
        <v/>
      </c>
      <c r="N347" t="str">
        <f t="shared" si="83"/>
        <v/>
      </c>
      <c r="Q347" t="str">
        <f t="shared" si="82"/>
        <v/>
      </c>
      <c r="S347">
        <f>IF(A347=1,MAX($S$2:$S346)+1,IF(OR($I347&lt;&gt;"",A347="x"),$S346,""))</f>
        <v>177</v>
      </c>
      <c r="T347">
        <f>IF(D347=1,MAX($T$2:$T346)+1,IF(S347=S346,$T346,IF(D347="x",T346,IF(D346="x","",""))))</f>
        <v>22</v>
      </c>
      <c r="U347" t="str">
        <f>IF(B347=1,MAX($U$2:$U346)+1,IF(AND($T347&lt;&gt;"",$T347=$T346),$U346,IF(B347="x",U346,"")))</f>
        <v/>
      </c>
      <c r="V347" t="str">
        <f>IF(C347=1,MAX($V$2:$V346)+1,IF(AND($T347&lt;&gt;"",$T347=$T346),$U346,IF(C347="x",V346,"")))</f>
        <v/>
      </c>
      <c r="X347" cm="1">
        <f t="array" ref="X347">IF($I347&lt;&gt;"",$I347,INDEX($I$1:$I347,ROW()-COUNTIFS($T$1:$T347,"="&amp;$T347,$S$1:$S347,"&lt;"&amp;$S347)))</f>
        <v>61</v>
      </c>
      <c r="Z347" s="6">
        <f t="shared" si="77"/>
        <v>1</v>
      </c>
      <c r="AA347">
        <f t="shared" si="78"/>
        <v>1177</v>
      </c>
      <c r="AB347">
        <f t="shared" si="79"/>
        <v>9022</v>
      </c>
      <c r="AC347">
        <f t="shared" si="80"/>
        <v>9022</v>
      </c>
      <c r="BI347" s="40"/>
      <c r="BL347" s="40"/>
      <c r="BN347" s="19"/>
      <c r="BP347" s="17"/>
    </row>
    <row r="348" spans="1:68" x14ac:dyDescent="0.2">
      <c r="A348" t="str">
        <f t="shared" si="76"/>
        <v>x</v>
      </c>
      <c r="D348" s="26" t="s">
        <v>729</v>
      </c>
      <c r="E348" s="4"/>
      <c r="F348" s="46"/>
      <c r="G348" s="4"/>
      <c r="H348" s="48"/>
      <c r="J348" s="26" t="str">
        <f t="shared" si="81"/>
        <v/>
      </c>
      <c r="N348" t="str">
        <f t="shared" si="83"/>
        <v/>
      </c>
      <c r="Q348" t="str">
        <f t="shared" si="82"/>
        <v/>
      </c>
      <c r="S348">
        <f>IF(A348=1,MAX($S$2:$S347)+1,IF(OR($I348&lt;&gt;"",A348="x"),$S347,""))</f>
        <v>177</v>
      </c>
      <c r="T348">
        <f>IF(D348=1,MAX($T$2:$T347)+1,IF(S348=S347,$T347,IF(D348="x",T347,IF(D347="x","",""))))</f>
        <v>22</v>
      </c>
      <c r="U348" t="str">
        <f>IF(B348=1,MAX($U$2:$U347)+1,IF(AND($T348&lt;&gt;"",$T348=$T347),$U347,IF(B348="x",U347,"")))</f>
        <v/>
      </c>
      <c r="V348" t="str">
        <f>IF(C348=1,MAX($V$2:$V347)+1,IF(AND($T348&lt;&gt;"",$T348=$T347),$U347,IF(C348="x",V347,"")))</f>
        <v/>
      </c>
      <c r="X348" cm="1">
        <f t="array" ref="X348">IF($I348&lt;&gt;"",$I348,INDEX($I$1:$I348,ROW()-COUNTIFS($T$1:$T348,"="&amp;$T348,$S$1:$S348,"&lt;"&amp;$S348)))</f>
        <v>73</v>
      </c>
      <c r="Z348" s="6">
        <f t="shared" si="77"/>
        <v>1</v>
      </c>
      <c r="AA348">
        <f t="shared" si="78"/>
        <v>1177</v>
      </c>
      <c r="AB348">
        <f t="shared" si="79"/>
        <v>9022</v>
      </c>
      <c r="AC348">
        <f t="shared" si="80"/>
        <v>9022</v>
      </c>
      <c r="BI348" s="40"/>
      <c r="BL348" s="40"/>
      <c r="BN348" s="19"/>
      <c r="BP348" s="17"/>
    </row>
    <row r="349" spans="1:68" x14ac:dyDescent="0.2">
      <c r="A349" t="str">
        <f t="shared" si="76"/>
        <v>x</v>
      </c>
      <c r="D349" s="26" t="s">
        <v>729</v>
      </c>
      <c r="E349" s="4"/>
      <c r="F349" s="46"/>
      <c r="G349" s="4"/>
      <c r="H349" s="48"/>
      <c r="J349" s="26" t="str">
        <f t="shared" si="81"/>
        <v/>
      </c>
      <c r="N349" t="str">
        <f t="shared" si="83"/>
        <v/>
      </c>
      <c r="Q349" t="str">
        <f t="shared" si="82"/>
        <v/>
      </c>
      <c r="S349">
        <f>IF(A349=1,MAX($S$2:$S348)+1,IF(OR($I349&lt;&gt;"",A349="x"),$S348,""))</f>
        <v>177</v>
      </c>
      <c r="T349">
        <f>IF(D349=1,MAX($T$2:$T348)+1,IF(S349=S348,$T348,IF(D349="x",T348,IF(D348="x","",""))))</f>
        <v>22</v>
      </c>
      <c r="U349" t="str">
        <f>IF(B349=1,MAX($U$2:$U348)+1,IF(AND($T349&lt;&gt;"",$T349=$T348),$U348,IF(B349="x",U348,"")))</f>
        <v/>
      </c>
      <c r="V349" t="str">
        <f>IF(C349=1,MAX($V$2:$V348)+1,IF(AND($T349&lt;&gt;"",$T349=$T348),$U348,IF(C349="x",V348,"")))</f>
        <v/>
      </c>
      <c r="X349" cm="1">
        <f t="array" ref="X349">IF($I349&lt;&gt;"",$I349,INDEX($I$1:$I349,ROW()-COUNTIFS($T$1:$T349,"="&amp;$T349,$S$1:$S349,"&lt;"&amp;$S349)))</f>
        <v>57</v>
      </c>
      <c r="Z349" s="6">
        <f t="shared" si="77"/>
        <v>1</v>
      </c>
      <c r="AA349">
        <f t="shared" si="78"/>
        <v>1177</v>
      </c>
      <c r="AB349">
        <f t="shared" si="79"/>
        <v>9022</v>
      </c>
      <c r="AC349">
        <f t="shared" si="80"/>
        <v>9022</v>
      </c>
      <c r="BI349" s="40"/>
      <c r="BL349" s="40"/>
      <c r="BN349" s="19"/>
      <c r="BP349" s="17"/>
    </row>
    <row r="350" spans="1:68" x14ac:dyDescent="0.2">
      <c r="A350">
        <f t="shared" si="76"/>
        <v>1</v>
      </c>
      <c r="E350" s="4"/>
      <c r="F350" s="46" t="s">
        <v>1045</v>
      </c>
      <c r="G350" s="4"/>
      <c r="H350" s="48"/>
      <c r="I350" s="26">
        <v>73</v>
      </c>
      <c r="J350" s="26" t="s">
        <v>736</v>
      </c>
      <c r="K350" t="s">
        <v>7</v>
      </c>
      <c r="L350" t="s">
        <v>182</v>
      </c>
      <c r="M350" t="s">
        <v>67</v>
      </c>
      <c r="N350" t="str">
        <f t="shared" si="83"/>
        <v>u</v>
      </c>
      <c r="Q350" t="str">
        <f t="shared" si="82"/>
        <v/>
      </c>
      <c r="R350" s="26">
        <v>1</v>
      </c>
      <c r="S350">
        <f>IF(A350=1,MAX($S$2:$S349)+1,IF(OR($I350&lt;&gt;"",A350="x"),$S349,""))</f>
        <v>178</v>
      </c>
      <c r="T350" t="str">
        <f>IF(D350=1,MAX($T$2:$T349)+1,IF(S350=S349,$T349,IF(D350="x",T349,IF(D349="x","",""))))</f>
        <v/>
      </c>
      <c r="U350" t="str">
        <f>IF(B350=1,MAX($U$2:$U349)+1,IF(AND($T350&lt;&gt;"",$T350=$T349),$U349,IF(B350="x",U349,"")))</f>
        <v/>
      </c>
      <c r="V350" t="str">
        <f>IF(C350=1,MAX($V$2:$V349)+1,IF(AND($T350&lt;&gt;"",$T350=$T349),$U349,IF(C350="x",V349,"")))</f>
        <v/>
      </c>
      <c r="X350" cm="1">
        <f t="array" ref="X350">IF($I350&lt;&gt;"",$I350,INDEX($I$1:$I350,ROW()-COUNTIFS($T$1:$T350,"="&amp;$T350,$S$1:$S350,"&lt;"&amp;$S350)))</f>
        <v>73</v>
      </c>
      <c r="Z350" s="6">
        <f t="shared" si="77"/>
        <v>1</v>
      </c>
      <c r="AA350">
        <f t="shared" si="78"/>
        <v>1178</v>
      </c>
      <c r="AB350" t="str">
        <f t="shared" si="79"/>
        <v/>
      </c>
      <c r="AC350">
        <f t="shared" si="80"/>
        <v>1178</v>
      </c>
      <c r="BI350" s="40"/>
      <c r="BL350" s="40"/>
      <c r="BN350" s="19"/>
      <c r="BP350" s="17"/>
    </row>
    <row r="351" spans="1:68" x14ac:dyDescent="0.2">
      <c r="A351" t="str">
        <f t="shared" si="76"/>
        <v/>
      </c>
      <c r="E351" s="4"/>
      <c r="F351" s="46"/>
      <c r="G351" s="4"/>
      <c r="H351" s="48"/>
      <c r="I351" s="26">
        <v>71</v>
      </c>
      <c r="J351" s="26" t="str">
        <f t="shared" si="81"/>
        <v/>
      </c>
      <c r="N351" t="str">
        <f t="shared" si="83"/>
        <v/>
      </c>
      <c r="Q351" t="str">
        <f t="shared" si="82"/>
        <v/>
      </c>
      <c r="S351">
        <f>IF(A351=1,MAX($S$2:$S350)+1,IF(OR($I351&lt;&gt;"",A351="x"),$S350,""))</f>
        <v>178</v>
      </c>
      <c r="T351" t="str">
        <f>IF(D351=1,MAX($T$2:$T350)+1,IF(S351=S350,$T350,IF(D351="x",T350,IF(D350="x","",""))))</f>
        <v/>
      </c>
      <c r="U351" t="str">
        <f>IF(B351=1,MAX($U$2:$U350)+1,IF(AND($T351&lt;&gt;"",$T351=$T350),$U350,IF(B351="x",U350,"")))</f>
        <v/>
      </c>
      <c r="V351" t="str">
        <f>IF(C351=1,MAX($V$2:$V350)+1,IF(AND($T351&lt;&gt;"",$T351=$T350),$U350,IF(C351="x",V350,"")))</f>
        <v/>
      </c>
      <c r="X351" cm="1">
        <f t="array" ref="X351">IF($I351&lt;&gt;"",$I351,INDEX($I$1:$I351,ROW()-COUNTIFS($T$1:$T351,"="&amp;$T351,$S$1:$S351,"&lt;"&amp;$S351)))</f>
        <v>71</v>
      </c>
      <c r="Z351" s="6">
        <f t="shared" si="77"/>
        <v>1</v>
      </c>
      <c r="AA351">
        <f t="shared" si="78"/>
        <v>1178</v>
      </c>
      <c r="AB351" t="str">
        <f t="shared" si="79"/>
        <v/>
      </c>
      <c r="AC351">
        <f t="shared" si="80"/>
        <v>1178</v>
      </c>
      <c r="BI351" s="40"/>
      <c r="BL351" s="40"/>
      <c r="BN351" s="19"/>
      <c r="BP351" s="17"/>
    </row>
    <row r="352" spans="1:68" x14ac:dyDescent="0.2">
      <c r="A352" t="str">
        <f t="shared" si="76"/>
        <v/>
      </c>
      <c r="E352" s="4"/>
      <c r="F352" s="46"/>
      <c r="G352" s="4"/>
      <c r="H352" s="48"/>
      <c r="I352" s="26">
        <v>87</v>
      </c>
      <c r="J352" s="26" t="str">
        <f t="shared" si="81"/>
        <v/>
      </c>
      <c r="N352" t="str">
        <f t="shared" si="83"/>
        <v/>
      </c>
      <c r="O352" t="s">
        <v>566</v>
      </c>
      <c r="Q352" t="str">
        <f t="shared" si="82"/>
        <v/>
      </c>
      <c r="R352" s="26">
        <v>1</v>
      </c>
      <c r="S352">
        <f>IF(A352=1,MAX($S$2:$S351)+1,IF(OR($I352&lt;&gt;"",A352="x"),$S351,""))</f>
        <v>178</v>
      </c>
      <c r="T352" t="str">
        <f>IF(D352=1,MAX($T$2:$T351)+1,IF(S352=S351,$T351,IF(D352="x",T351,IF(D351="x","",""))))</f>
        <v/>
      </c>
      <c r="U352" t="str">
        <f>IF(B352=1,MAX($U$2:$U351)+1,IF(AND($T352&lt;&gt;"",$T352=$T351),$U351,IF(B352="x",U351,"")))</f>
        <v/>
      </c>
      <c r="V352" t="str">
        <f>IF(C352=1,MAX($V$2:$V351)+1,IF(AND($T352&lt;&gt;"",$T352=$T351),$U351,IF(C352="x",V351,"")))</f>
        <v/>
      </c>
      <c r="X352" cm="1">
        <f t="array" ref="X352">IF($I352&lt;&gt;"",$I352,INDEX($I$1:$I352,ROW()-COUNTIFS($T$1:$T352,"="&amp;$T352,$S$1:$S352,"&lt;"&amp;$S352)))</f>
        <v>87</v>
      </c>
      <c r="Z352" s="6">
        <f t="shared" si="77"/>
        <v>1</v>
      </c>
      <c r="AA352">
        <f t="shared" si="78"/>
        <v>1178</v>
      </c>
      <c r="AB352" t="str">
        <f t="shared" si="79"/>
        <v/>
      </c>
      <c r="AC352">
        <f t="shared" si="80"/>
        <v>1178</v>
      </c>
      <c r="BI352" s="40"/>
      <c r="BL352" s="40"/>
      <c r="BN352" s="19"/>
      <c r="BP352" s="17"/>
    </row>
    <row r="353" spans="1:68" x14ac:dyDescent="0.2">
      <c r="A353">
        <f t="shared" si="76"/>
        <v>1</v>
      </c>
      <c r="E353" s="4"/>
      <c r="F353" s="46" t="s">
        <v>1066</v>
      </c>
      <c r="G353" s="4"/>
      <c r="H353" s="48"/>
      <c r="I353" s="26">
        <v>71</v>
      </c>
      <c r="J353" s="26" t="s">
        <v>736</v>
      </c>
      <c r="K353" t="s">
        <v>13</v>
      </c>
      <c r="L353" t="s">
        <v>587</v>
      </c>
      <c r="N353" t="s">
        <v>594</v>
      </c>
      <c r="Q353" t="str">
        <f t="shared" si="82"/>
        <v/>
      </c>
      <c r="S353">
        <f>IF(A353=1,MAX($S$2:$S352)+1,IF(OR($I353&lt;&gt;"",A353="x"),$S352,""))</f>
        <v>179</v>
      </c>
      <c r="T353" t="str">
        <f>IF(D353=1,MAX($T$2:$T352)+1,IF(S353=S352,$T352,IF(D353="x",T352,IF(D352="x","",""))))</f>
        <v/>
      </c>
      <c r="U353" t="str">
        <f>IF(B353=1,MAX($U$2:$U352)+1,IF(AND($T353&lt;&gt;"",$T353=$T352),$U352,IF(B353="x",U352,"")))</f>
        <v/>
      </c>
      <c r="V353" t="str">
        <f>IF(C353=1,MAX($V$2:$V352)+1,IF(AND($T353&lt;&gt;"",$T353=$T352),$U352,IF(C353="x",V352,"")))</f>
        <v/>
      </c>
      <c r="X353" cm="1">
        <f t="array" ref="X353">IF($I353&lt;&gt;"",$I353,INDEX($I$1:$I353,ROW()-COUNTIFS($T$1:$T353,"="&amp;$T353,$S$1:$S353,"&lt;"&amp;$S353)))</f>
        <v>71</v>
      </c>
      <c r="Z353" s="6">
        <f t="shared" si="77"/>
        <v>1</v>
      </c>
      <c r="AA353">
        <f t="shared" si="78"/>
        <v>1179</v>
      </c>
      <c r="AB353" t="str">
        <f t="shared" si="79"/>
        <v/>
      </c>
      <c r="AC353">
        <f t="shared" si="80"/>
        <v>1179</v>
      </c>
      <c r="BI353" s="40"/>
      <c r="BL353" s="40"/>
      <c r="BN353" s="19"/>
      <c r="BP353" s="17"/>
    </row>
    <row r="354" spans="1:68" x14ac:dyDescent="0.2">
      <c r="A354">
        <f t="shared" si="76"/>
        <v>1</v>
      </c>
      <c r="E354" s="4"/>
      <c r="F354" s="46"/>
      <c r="G354" s="4"/>
      <c r="H354" s="48" t="s">
        <v>1031</v>
      </c>
      <c r="I354" s="26">
        <v>71</v>
      </c>
      <c r="J354" s="26" t="str">
        <f t="shared" si="81"/>
        <v>d</v>
      </c>
      <c r="K354" t="s">
        <v>238</v>
      </c>
      <c r="L354" t="s">
        <v>184</v>
      </c>
      <c r="M354" t="s">
        <v>88</v>
      </c>
      <c r="N354" t="s">
        <v>594</v>
      </c>
      <c r="Q354" t="str">
        <f t="shared" si="82"/>
        <v/>
      </c>
      <c r="R354" s="26">
        <v>1</v>
      </c>
      <c r="S354">
        <f>IF(A354=1,MAX($S$2:$S353)+1,IF(OR($I354&lt;&gt;"",A354="x"),$S353,""))</f>
        <v>180</v>
      </c>
      <c r="T354" t="str">
        <f>IF(D354=1,MAX($T$2:$T353)+1,IF(S354=S353,$T353,IF(D354="x",T353,IF(D353="x","",""))))</f>
        <v/>
      </c>
      <c r="U354" t="str">
        <f>IF(B354=1,MAX($U$2:$U353)+1,IF(AND($T354&lt;&gt;"",$T354=$T353),$U353,IF(B354="x",U353,"")))</f>
        <v/>
      </c>
      <c r="V354" t="str">
        <f>IF(C354=1,MAX($V$2:$V353)+1,IF(AND($T354&lt;&gt;"",$T354=$T353),$U353,IF(C354="x",V353,"")))</f>
        <v/>
      </c>
      <c r="X354" cm="1">
        <f t="array" ref="X354">IF($I354&lt;&gt;"",$I354,INDEX($I$1:$I354,ROW()-COUNTIFS($T$1:$T354,"="&amp;$T354,$S$1:$S354,"&lt;"&amp;$S354)))</f>
        <v>71</v>
      </c>
      <c r="Z354" s="6">
        <f t="shared" si="77"/>
        <v>1</v>
      </c>
      <c r="AA354">
        <f t="shared" si="78"/>
        <v>1180</v>
      </c>
      <c r="AB354" t="str">
        <f t="shared" si="79"/>
        <v/>
      </c>
      <c r="AC354">
        <f t="shared" si="80"/>
        <v>1180</v>
      </c>
      <c r="BI354" s="40"/>
      <c r="BL354" s="40"/>
      <c r="BN354" s="19"/>
      <c r="BP354" s="17"/>
    </row>
    <row r="355" spans="1:68" x14ac:dyDescent="0.2">
      <c r="A355" t="str">
        <f t="shared" si="76"/>
        <v/>
      </c>
      <c r="E355" s="4"/>
      <c r="F355" s="46"/>
      <c r="G355" s="4"/>
      <c r="H355" s="48"/>
      <c r="I355" s="26">
        <v>87</v>
      </c>
      <c r="J355" s="26" t="str">
        <f t="shared" si="81"/>
        <v/>
      </c>
      <c r="N355" t="str">
        <f t="shared" si="83"/>
        <v/>
      </c>
      <c r="Q355" t="str">
        <f t="shared" si="82"/>
        <v/>
      </c>
      <c r="R355" s="26">
        <v>1</v>
      </c>
      <c r="S355">
        <f>IF(A355=1,MAX($S$2:$S354)+1,IF(OR($I355&lt;&gt;"",A355="x"),$S354,""))</f>
        <v>180</v>
      </c>
      <c r="T355" t="str">
        <f>IF(D355=1,MAX($T$2:$T354)+1,IF(S355=S354,$T354,IF(D355="x",T354,IF(D354="x","",""))))</f>
        <v/>
      </c>
      <c r="U355" t="str">
        <f>IF(B355=1,MAX($U$2:$U354)+1,IF(AND($T355&lt;&gt;"",$T355=$T354),$U354,IF(B355="x",U354,"")))</f>
        <v/>
      </c>
      <c r="V355" t="str">
        <f>IF(C355=1,MAX($V$2:$V354)+1,IF(AND($T355&lt;&gt;"",$T355=$T354),$U354,IF(C355="x",V354,"")))</f>
        <v/>
      </c>
      <c r="X355" cm="1">
        <f t="array" ref="X355">IF($I355&lt;&gt;"",$I355,INDEX($I$1:$I355,ROW()-COUNTIFS($T$1:$T355,"="&amp;$T355,$S$1:$S355,"&lt;"&amp;$S355)))</f>
        <v>87</v>
      </c>
      <c r="Z355" s="6">
        <f t="shared" si="77"/>
        <v>1</v>
      </c>
      <c r="AA355">
        <f t="shared" si="78"/>
        <v>1180</v>
      </c>
      <c r="AB355" t="str">
        <f t="shared" si="79"/>
        <v/>
      </c>
      <c r="AC355">
        <f t="shared" si="80"/>
        <v>1180</v>
      </c>
      <c r="BI355" s="40"/>
      <c r="BL355" s="40"/>
      <c r="BN355" s="19"/>
      <c r="BP355" s="17"/>
    </row>
    <row r="356" spans="1:68" x14ac:dyDescent="0.2">
      <c r="A356">
        <f t="shared" si="76"/>
        <v>1</v>
      </c>
      <c r="E356" s="4"/>
      <c r="F356" s="46"/>
      <c r="G356" s="4"/>
      <c r="H356" s="48"/>
      <c r="I356" s="26">
        <v>71</v>
      </c>
      <c r="J356" s="26" t="s">
        <v>734</v>
      </c>
      <c r="K356" t="s">
        <v>7</v>
      </c>
      <c r="L356" t="s">
        <v>192</v>
      </c>
      <c r="M356" t="s">
        <v>68</v>
      </c>
      <c r="N356" t="str">
        <f t="shared" si="83"/>
        <v>u</v>
      </c>
      <c r="Q356" t="str">
        <f t="shared" si="82"/>
        <v/>
      </c>
      <c r="R356" s="26">
        <v>1</v>
      </c>
      <c r="S356">
        <f>IF(A356=1,MAX($S$2:$S355)+1,IF(OR($I356&lt;&gt;"",A356="x"),$S355,""))</f>
        <v>181</v>
      </c>
      <c r="T356" t="str">
        <f>IF(D356=1,MAX($T$2:$T355)+1,IF(S356=S355,$T355,IF(D356="x",T355,IF(D355="x","",""))))</f>
        <v/>
      </c>
      <c r="U356" t="str">
        <f>IF(B356=1,MAX($U$2:$U355)+1,IF(AND($T356&lt;&gt;"",$T356=$T355),$U355,IF(B356="x",U355,"")))</f>
        <v/>
      </c>
      <c r="V356" t="str">
        <f>IF(C356=1,MAX($V$2:$V355)+1,IF(AND($T356&lt;&gt;"",$T356=$T355),$U355,IF(C356="x",V355,"")))</f>
        <v/>
      </c>
      <c r="X356" cm="1">
        <f t="array" ref="X356">IF($I356&lt;&gt;"",$I356,INDEX($I$1:$I356,ROW()-COUNTIFS($T$1:$T356,"="&amp;$T356,$S$1:$S356,"&lt;"&amp;$S356)))</f>
        <v>71</v>
      </c>
      <c r="Z356" s="6">
        <f t="shared" si="77"/>
        <v>1</v>
      </c>
      <c r="AA356">
        <f t="shared" si="78"/>
        <v>1181</v>
      </c>
      <c r="AB356" t="str">
        <f t="shared" si="79"/>
        <v/>
      </c>
      <c r="AC356">
        <f t="shared" si="80"/>
        <v>1181</v>
      </c>
      <c r="BI356" s="40"/>
      <c r="BL356" s="40"/>
      <c r="BN356" s="19"/>
      <c r="BP356" s="17"/>
    </row>
    <row r="357" spans="1:68" x14ac:dyDescent="0.2">
      <c r="A357" t="str">
        <f t="shared" si="76"/>
        <v/>
      </c>
      <c r="E357" s="4"/>
      <c r="F357" s="46"/>
      <c r="G357" s="4"/>
      <c r="H357" s="48"/>
      <c r="I357" s="26">
        <v>37</v>
      </c>
      <c r="J357" s="26" t="str">
        <f t="shared" si="81"/>
        <v/>
      </c>
      <c r="N357" t="str">
        <f t="shared" si="83"/>
        <v/>
      </c>
      <c r="Q357" t="str">
        <f t="shared" si="82"/>
        <v/>
      </c>
      <c r="S357">
        <f>IF(A357=1,MAX($S$2:$S356)+1,IF(OR($I357&lt;&gt;"",A357="x"),$S356,""))</f>
        <v>181</v>
      </c>
      <c r="T357" t="str">
        <f>IF(D357=1,MAX($T$2:$T356)+1,IF(S357=S356,$T356,IF(D357="x",T356,IF(D356="x","",""))))</f>
        <v/>
      </c>
      <c r="U357" t="str">
        <f>IF(B357=1,MAX($U$2:$U356)+1,IF(AND($T357&lt;&gt;"",$T357=$T356),$U356,IF(B357="x",U356,"")))</f>
        <v/>
      </c>
      <c r="V357" t="str">
        <f>IF(C357=1,MAX($V$2:$V356)+1,IF(AND($T357&lt;&gt;"",$T357=$T356),$U356,IF(C357="x",V356,"")))</f>
        <v/>
      </c>
      <c r="X357" cm="1">
        <f t="array" ref="X357">IF($I357&lt;&gt;"",$I357,INDEX($I$1:$I357,ROW()-COUNTIFS($T$1:$T357,"="&amp;$T357,$S$1:$S357,"&lt;"&amp;$S357)))</f>
        <v>37</v>
      </c>
      <c r="Z357" s="6">
        <f t="shared" si="77"/>
        <v>1</v>
      </c>
      <c r="AA357">
        <f t="shared" si="78"/>
        <v>1181</v>
      </c>
      <c r="AB357" t="str">
        <f t="shared" si="79"/>
        <v/>
      </c>
      <c r="AC357">
        <f t="shared" si="80"/>
        <v>1181</v>
      </c>
      <c r="BI357" s="40"/>
      <c r="BL357" s="40"/>
      <c r="BN357" s="19"/>
      <c r="BP357" s="17"/>
    </row>
    <row r="358" spans="1:68" x14ac:dyDescent="0.2">
      <c r="A358" t="str">
        <f t="shared" si="76"/>
        <v/>
      </c>
      <c r="E358" s="4"/>
      <c r="F358" s="46"/>
      <c r="G358" s="4"/>
      <c r="H358" s="48"/>
      <c r="I358" s="26">
        <v>93</v>
      </c>
      <c r="J358" s="26" t="str">
        <f t="shared" si="81"/>
        <v/>
      </c>
      <c r="N358" t="str">
        <f t="shared" si="83"/>
        <v/>
      </c>
      <c r="O358" t="s">
        <v>782</v>
      </c>
      <c r="Q358" t="str">
        <f t="shared" si="82"/>
        <v/>
      </c>
      <c r="S358">
        <f>IF(A358=1,MAX($S$2:$S357)+1,IF(OR($I358&lt;&gt;"",A358="x"),$S357,""))</f>
        <v>181</v>
      </c>
      <c r="T358" t="str">
        <f>IF(D358=1,MAX($T$2:$T357)+1,IF(S358=S357,$T357,IF(D358="x",T357,IF(D357="x","",""))))</f>
        <v/>
      </c>
      <c r="U358" t="str">
        <f>IF(B358=1,MAX($U$2:$U357)+1,IF(AND($T358&lt;&gt;"",$T358=$T357),$U357,IF(B358="x",U357,"")))</f>
        <v/>
      </c>
      <c r="V358" t="str">
        <f>IF(C358=1,MAX($V$2:$V357)+1,IF(AND($T358&lt;&gt;"",$T358=$T357),$U357,IF(C358="x",V357,"")))</f>
        <v/>
      </c>
      <c r="X358" cm="1">
        <f t="array" ref="X358">IF($I358&lt;&gt;"",$I358,INDEX($I$1:$I358,ROW()-COUNTIFS($T$1:$T358,"="&amp;$T358,$S$1:$S358,"&lt;"&amp;$S358)))</f>
        <v>93</v>
      </c>
      <c r="Z358" s="6">
        <f t="shared" si="77"/>
        <v>1</v>
      </c>
      <c r="AA358">
        <f t="shared" si="78"/>
        <v>1181</v>
      </c>
      <c r="AB358" t="str">
        <f t="shared" si="79"/>
        <v/>
      </c>
      <c r="AC358">
        <f t="shared" si="80"/>
        <v>1181</v>
      </c>
      <c r="BI358" s="40"/>
      <c r="BL358" s="40"/>
      <c r="BN358" s="19"/>
      <c r="BP358" s="17"/>
    </row>
    <row r="359" spans="1:68" x14ac:dyDescent="0.2">
      <c r="A359" t="str">
        <f t="shared" si="76"/>
        <v/>
      </c>
      <c r="E359" s="4"/>
      <c r="F359" s="46"/>
      <c r="G359" s="4"/>
      <c r="H359" s="48"/>
      <c r="I359" s="26">
        <v>87</v>
      </c>
      <c r="J359" s="26" t="str">
        <f t="shared" si="81"/>
        <v/>
      </c>
      <c r="N359" t="str">
        <f t="shared" si="83"/>
        <v/>
      </c>
      <c r="Q359" t="str">
        <f t="shared" si="82"/>
        <v/>
      </c>
      <c r="R359" s="26">
        <v>1</v>
      </c>
      <c r="S359">
        <f>IF(A359=1,MAX($S$2:$S358)+1,IF(OR($I359&lt;&gt;"",A359="x"),$S358,""))</f>
        <v>181</v>
      </c>
      <c r="T359" t="str">
        <f>IF(D359=1,MAX($T$2:$T358)+1,IF(S359=S358,$T358,IF(D359="x",T358,IF(D358="x","",""))))</f>
        <v/>
      </c>
      <c r="U359" t="str">
        <f>IF(B359=1,MAX($U$2:$U358)+1,IF(AND($T359&lt;&gt;"",$T359=$T358),$U358,IF(B359="x",U358,"")))</f>
        <v/>
      </c>
      <c r="V359" t="str">
        <f>IF(C359=1,MAX($V$2:$V358)+1,IF(AND($T359&lt;&gt;"",$T359=$T358),$U358,IF(C359="x",V358,"")))</f>
        <v/>
      </c>
      <c r="X359" cm="1">
        <f t="array" ref="X359">IF($I359&lt;&gt;"",$I359,INDEX($I$1:$I359,ROW()-COUNTIFS($T$1:$T359,"="&amp;$T359,$S$1:$S359,"&lt;"&amp;$S359)))</f>
        <v>87</v>
      </c>
      <c r="Z359" s="6">
        <f t="shared" si="77"/>
        <v>1</v>
      </c>
      <c r="AA359">
        <f t="shared" si="78"/>
        <v>1181</v>
      </c>
      <c r="AB359" t="str">
        <f t="shared" si="79"/>
        <v/>
      </c>
      <c r="AC359">
        <f t="shared" si="80"/>
        <v>1181</v>
      </c>
      <c r="BI359" s="40"/>
      <c r="BL359" s="40"/>
      <c r="BN359" s="19"/>
      <c r="BP359" s="17"/>
    </row>
    <row r="360" spans="1:68" x14ac:dyDescent="0.2">
      <c r="A360">
        <f t="shared" si="76"/>
        <v>1</v>
      </c>
      <c r="E360" s="4"/>
      <c r="F360" s="46" t="s">
        <v>1029</v>
      </c>
      <c r="G360" s="4"/>
      <c r="H360" s="48" t="s">
        <v>1032</v>
      </c>
      <c r="I360" s="26">
        <v>73</v>
      </c>
      <c r="J360" s="26" t="s">
        <v>734</v>
      </c>
      <c r="K360" t="s">
        <v>13</v>
      </c>
      <c r="L360" t="s">
        <v>587</v>
      </c>
      <c r="N360" t="str">
        <f t="shared" si="83"/>
        <v/>
      </c>
      <c r="O360" t="s">
        <v>907</v>
      </c>
      <c r="Q360" t="str">
        <f t="shared" si="82"/>
        <v/>
      </c>
      <c r="S360">
        <f>IF(A360=1,MAX($S$2:$S359)+1,IF(OR($I360&lt;&gt;"",A360="x"),$S359,""))</f>
        <v>182</v>
      </c>
      <c r="T360" t="str">
        <f>IF(D360=1,MAX($T$2:$T359)+1,IF(S360=S359,$T359,IF(D360="x",T359,IF(D359="x","",""))))</f>
        <v/>
      </c>
      <c r="U360" t="str">
        <f>IF(B360=1,MAX($U$2:$U359)+1,IF(AND($T360&lt;&gt;"",$T360=$T359),$U359,IF(B360="x",U359,"")))</f>
        <v/>
      </c>
      <c r="V360" t="str">
        <f>IF(C360=1,MAX($V$2:$V359)+1,IF(AND($T360&lt;&gt;"",$T360=$T359),$U359,IF(C360="x",V359,"")))</f>
        <v/>
      </c>
      <c r="X360" cm="1">
        <f t="array" ref="X360">IF($I360&lt;&gt;"",$I360,INDEX($I$1:$I360,ROW()-COUNTIFS($T$1:$T360,"="&amp;$T360,$S$1:$S360,"&lt;"&amp;$S360)))</f>
        <v>73</v>
      </c>
      <c r="Z360" s="6">
        <f t="shared" si="77"/>
        <v>1</v>
      </c>
      <c r="AA360">
        <f t="shared" si="78"/>
        <v>1182</v>
      </c>
      <c r="AB360" t="str">
        <f t="shared" si="79"/>
        <v/>
      </c>
      <c r="AC360">
        <f t="shared" si="80"/>
        <v>1182</v>
      </c>
      <c r="BI360" s="40"/>
      <c r="BL360" s="40"/>
      <c r="BN360" s="19"/>
      <c r="BP360" s="17"/>
    </row>
    <row r="361" spans="1:68" x14ac:dyDescent="0.2">
      <c r="A361">
        <f t="shared" si="76"/>
        <v>1</v>
      </c>
      <c r="E361" s="4"/>
      <c r="F361" s="46"/>
      <c r="G361" s="4"/>
      <c r="H361" s="48" t="s">
        <v>1037</v>
      </c>
      <c r="I361" s="26">
        <v>73</v>
      </c>
      <c r="J361" s="26" t="str">
        <f t="shared" si="81"/>
        <v>o</v>
      </c>
      <c r="K361" t="s">
        <v>238</v>
      </c>
      <c r="L361" t="s">
        <v>174</v>
      </c>
      <c r="M361" t="s">
        <v>85</v>
      </c>
      <c r="N361" t="str">
        <f t="shared" si="83"/>
        <v>s</v>
      </c>
      <c r="O361" t="s">
        <v>150</v>
      </c>
      <c r="P361" t="s">
        <v>548</v>
      </c>
      <c r="Q361" t="str">
        <f t="shared" si="82"/>
        <v>s</v>
      </c>
      <c r="R361" s="26">
        <v>1</v>
      </c>
      <c r="S361">
        <f>IF(A361=1,MAX($S$2:$S360)+1,IF(OR($I361&lt;&gt;"",A361="x"),$S360,""))</f>
        <v>183</v>
      </c>
      <c r="T361" t="str">
        <f>IF(D361=1,MAX($T$2:$T360)+1,IF(S361=S360,$T360,IF(D361="x",T360,IF(D360="x","",""))))</f>
        <v/>
      </c>
      <c r="U361" t="str">
        <f>IF(B361=1,MAX($U$2:$U360)+1,IF(AND($T361&lt;&gt;"",$T361=$T360),$U360,IF(B361="x",U360,"")))</f>
        <v/>
      </c>
      <c r="V361" t="str">
        <f>IF(C361=1,MAX($V$2:$V360)+1,IF(AND($T361&lt;&gt;"",$T361=$T360),$U360,IF(C361="x",V360,"")))</f>
        <v/>
      </c>
      <c r="X361" cm="1">
        <f t="array" ref="X361">IF($I361&lt;&gt;"",$I361,INDEX($I$1:$I361,ROW()-COUNTIFS($T$1:$T361,"="&amp;$T361,$S$1:$S361,"&lt;"&amp;$S361)))</f>
        <v>73</v>
      </c>
      <c r="Z361" s="6">
        <f t="shared" si="77"/>
        <v>1</v>
      </c>
      <c r="AA361">
        <f t="shared" si="78"/>
        <v>1183</v>
      </c>
      <c r="AB361" t="str">
        <f t="shared" si="79"/>
        <v/>
      </c>
      <c r="AC361">
        <f t="shared" si="80"/>
        <v>1183</v>
      </c>
      <c r="BI361" s="40"/>
      <c r="BL361" s="40"/>
      <c r="BN361" s="19"/>
      <c r="BP361" s="17"/>
    </row>
    <row r="362" spans="1:68" x14ac:dyDescent="0.2">
      <c r="A362" t="str">
        <f t="shared" si="76"/>
        <v/>
      </c>
      <c r="E362" s="4"/>
      <c r="F362" s="46"/>
      <c r="G362" s="4"/>
      <c r="H362" s="48"/>
      <c r="I362" s="26">
        <v>87</v>
      </c>
      <c r="J362" s="26" t="str">
        <f t="shared" si="81"/>
        <v/>
      </c>
      <c r="N362" t="str">
        <f t="shared" si="83"/>
        <v/>
      </c>
      <c r="O362" t="s">
        <v>164</v>
      </c>
      <c r="Q362" t="str">
        <f t="shared" si="82"/>
        <v>u</v>
      </c>
      <c r="R362" s="26">
        <v>1</v>
      </c>
      <c r="S362">
        <f>IF(A362=1,MAX($S$2:$S361)+1,IF(OR($I362&lt;&gt;"",A362="x"),$S361,""))</f>
        <v>183</v>
      </c>
      <c r="T362" t="str">
        <f>IF(D362=1,MAX($T$2:$T361)+1,IF(S362=S361,$T361,IF(D362="x",T361,IF(D361="x","",""))))</f>
        <v/>
      </c>
      <c r="U362" t="str">
        <f>IF(B362=1,MAX($U$2:$U361)+1,IF(AND($T362&lt;&gt;"",$T362=$T361),$U361,IF(B362="x",U361,"")))</f>
        <v/>
      </c>
      <c r="V362" t="str">
        <f>IF(C362=1,MAX($V$2:$V361)+1,IF(AND($T362&lt;&gt;"",$T362=$T361),$U361,IF(C362="x",V361,"")))</f>
        <v/>
      </c>
      <c r="X362" cm="1">
        <f t="array" ref="X362">IF($I362&lt;&gt;"",$I362,INDEX($I$1:$I362,ROW()-COUNTIFS($T$1:$T362,"="&amp;$T362,$S$1:$S362,"&lt;"&amp;$S362)))</f>
        <v>87</v>
      </c>
      <c r="Z362" s="6">
        <f t="shared" si="77"/>
        <v>1</v>
      </c>
      <c r="AA362">
        <f t="shared" si="78"/>
        <v>1183</v>
      </c>
      <c r="AB362" t="str">
        <f t="shared" si="79"/>
        <v/>
      </c>
      <c r="AC362">
        <f t="shared" si="80"/>
        <v>1183</v>
      </c>
      <c r="BI362" s="40"/>
      <c r="BL362" s="40"/>
      <c r="BN362" s="19"/>
      <c r="BP362" s="17"/>
    </row>
    <row r="363" spans="1:68" x14ac:dyDescent="0.2">
      <c r="A363">
        <f t="shared" si="76"/>
        <v>1</v>
      </c>
      <c r="E363" s="4"/>
      <c r="F363" s="46"/>
      <c r="G363" s="4"/>
      <c r="H363" s="48" t="s">
        <v>749</v>
      </c>
      <c r="I363" s="26">
        <v>73</v>
      </c>
      <c r="J363" s="26" t="s">
        <v>368</v>
      </c>
      <c r="K363" t="s">
        <v>13</v>
      </c>
      <c r="N363" t="str">
        <f t="shared" si="83"/>
        <v/>
      </c>
      <c r="Q363" t="str">
        <f t="shared" si="82"/>
        <v/>
      </c>
      <c r="R363" s="26">
        <v>1</v>
      </c>
      <c r="S363">
        <f>IF(A363=1,MAX($S$2:$S362)+1,IF(OR($I363&lt;&gt;"",A363="x"),$S362,""))</f>
        <v>184</v>
      </c>
      <c r="T363" t="str">
        <f>IF(D363=1,MAX($T$2:$T362)+1,IF(S363=S362,$T362,IF(D363="x",T362,IF(D362="x","",""))))</f>
        <v/>
      </c>
      <c r="U363" t="str">
        <f>IF(B363=1,MAX($U$2:$U362)+1,IF(AND($T363&lt;&gt;"",$T363=$T362),$U362,IF(B363="x",U362,"")))</f>
        <v/>
      </c>
      <c r="V363" t="str">
        <f>IF(C363=1,MAX($V$2:$V362)+1,IF(AND($T363&lt;&gt;"",$T363=$T362),$U362,IF(C363="x",V362,"")))</f>
        <v/>
      </c>
      <c r="X363" cm="1">
        <f t="array" ref="X363">IF($I363&lt;&gt;"",$I363,INDEX($I$1:$I363,ROW()-COUNTIFS($T$1:$T363,"="&amp;$T363,$S$1:$S363,"&lt;"&amp;$S363)))</f>
        <v>73</v>
      </c>
      <c r="Z363" s="6">
        <f t="shared" si="77"/>
        <v>1</v>
      </c>
      <c r="AA363">
        <f t="shared" si="78"/>
        <v>1184</v>
      </c>
      <c r="AB363" t="str">
        <f t="shared" si="79"/>
        <v/>
      </c>
      <c r="AC363">
        <f t="shared" si="80"/>
        <v>1184</v>
      </c>
      <c r="BI363" s="40"/>
      <c r="BL363" s="40"/>
      <c r="BN363" s="19"/>
      <c r="BP363" s="17"/>
    </row>
    <row r="364" spans="1:68" x14ac:dyDescent="0.2">
      <c r="A364" t="str">
        <f t="shared" si="76"/>
        <v/>
      </c>
      <c r="E364" s="4"/>
      <c r="F364" s="46"/>
      <c r="G364" s="4"/>
      <c r="H364" s="48"/>
      <c r="I364" s="26">
        <v>93</v>
      </c>
      <c r="J364" s="26" t="str">
        <f t="shared" si="81"/>
        <v/>
      </c>
      <c r="N364" t="str">
        <f t="shared" si="83"/>
        <v/>
      </c>
      <c r="Q364" t="str">
        <f t="shared" si="82"/>
        <v/>
      </c>
      <c r="R364" s="26">
        <v>1</v>
      </c>
      <c r="S364">
        <f>IF(A364=1,MAX($S$2:$S363)+1,IF(OR($I364&lt;&gt;"",A364="x"),$S363,""))</f>
        <v>184</v>
      </c>
      <c r="T364" t="str">
        <f>IF(D364=1,MAX($T$2:$T363)+1,IF(S364=S363,$T363,IF(D364="x",T363,IF(D363="x","",""))))</f>
        <v/>
      </c>
      <c r="U364" t="str">
        <f>IF(B364=1,MAX($U$2:$U363)+1,IF(AND($T364&lt;&gt;"",$T364=$T363),$U363,IF(B364="x",U363,"")))</f>
        <v/>
      </c>
      <c r="V364" t="str">
        <f>IF(C364=1,MAX($V$2:$V363)+1,IF(AND($T364&lt;&gt;"",$T364=$T363),$U363,IF(C364="x",V363,"")))</f>
        <v/>
      </c>
      <c r="X364" cm="1">
        <f t="array" ref="X364">IF($I364&lt;&gt;"",$I364,INDEX($I$1:$I364,ROW()-COUNTIFS($T$1:$T364,"="&amp;$T364,$S$1:$S364,"&lt;"&amp;$S364)))</f>
        <v>93</v>
      </c>
      <c r="Z364" s="6">
        <f t="shared" si="77"/>
        <v>1</v>
      </c>
      <c r="AA364">
        <f t="shared" si="78"/>
        <v>1184</v>
      </c>
      <c r="AB364" t="str">
        <f t="shared" si="79"/>
        <v/>
      </c>
      <c r="AC364">
        <f t="shared" si="80"/>
        <v>1184</v>
      </c>
      <c r="BI364" s="40"/>
      <c r="BL364" s="40"/>
      <c r="BN364" s="19"/>
      <c r="BP364" s="17"/>
    </row>
    <row r="365" spans="1:68" x14ac:dyDescent="0.2">
      <c r="A365">
        <f t="shared" si="76"/>
        <v>1</v>
      </c>
      <c r="D365" s="26">
        <v>1</v>
      </c>
      <c r="E365" s="4"/>
      <c r="F365" s="46"/>
      <c r="G365" s="4"/>
      <c r="H365" s="48"/>
      <c r="I365" s="26">
        <v>73</v>
      </c>
      <c r="J365" s="26" t="str">
        <f t="shared" si="81"/>
        <v>o</v>
      </c>
      <c r="K365" t="s">
        <v>6</v>
      </c>
      <c r="L365" t="s">
        <v>205</v>
      </c>
      <c r="M365" t="s">
        <v>51</v>
      </c>
      <c r="N365" t="str">
        <f t="shared" si="83"/>
        <v>s</v>
      </c>
      <c r="Q365" t="str">
        <f t="shared" si="82"/>
        <v/>
      </c>
      <c r="R365" s="26">
        <v>1</v>
      </c>
      <c r="S365">
        <f>IF(A365=1,MAX($S$2:$S364)+1,IF(OR($I365&lt;&gt;"",A365="x"),$S364,""))</f>
        <v>185</v>
      </c>
      <c r="T365">
        <f>IF(D365=1,MAX($T$2:$T364)+1,IF(S365=S364,$T364,IF(D365="x",T364,IF(D364="x","",""))))</f>
        <v>23</v>
      </c>
      <c r="U365" t="str">
        <f>IF(B365=1,MAX($U$2:$U364)+1,IF(AND($T365&lt;&gt;"",$T365=$T364),$U364,IF(B365="x",U364,"")))</f>
        <v/>
      </c>
      <c r="V365" t="str">
        <f>IF(C365=1,MAX($V$2:$V364)+1,IF(AND($T365&lt;&gt;"",$T365=$T364),$U364,IF(C365="x",V364,"")))</f>
        <v/>
      </c>
      <c r="X365" cm="1">
        <f t="array" ref="X365">IF($I365&lt;&gt;"",$I365,INDEX($I$1:$I365,ROW()-COUNTIFS($T$1:$T365,"="&amp;$T365,$S$1:$S365,"&lt;"&amp;$S365)))</f>
        <v>73</v>
      </c>
      <c r="Z365" s="6">
        <f t="shared" si="77"/>
        <v>1</v>
      </c>
      <c r="AA365">
        <f t="shared" si="78"/>
        <v>1185</v>
      </c>
      <c r="AB365">
        <f t="shared" si="79"/>
        <v>9023</v>
      </c>
      <c r="AC365">
        <f t="shared" si="80"/>
        <v>9023</v>
      </c>
      <c r="BI365" s="40"/>
      <c r="BL365" s="40"/>
      <c r="BN365" s="19"/>
      <c r="BP365" s="17"/>
    </row>
    <row r="366" spans="1:68" x14ac:dyDescent="0.2">
      <c r="A366" t="str">
        <f t="shared" si="76"/>
        <v>x</v>
      </c>
      <c r="D366" s="26" t="s">
        <v>729</v>
      </c>
      <c r="E366" s="4"/>
      <c r="F366" s="46"/>
      <c r="G366" s="4"/>
      <c r="H366" s="48"/>
      <c r="I366" s="26">
        <v>39</v>
      </c>
      <c r="J366" s="26" t="str">
        <f t="shared" si="81"/>
        <v/>
      </c>
      <c r="N366" t="str">
        <f t="shared" si="83"/>
        <v/>
      </c>
      <c r="Q366" t="str">
        <f t="shared" si="82"/>
        <v/>
      </c>
      <c r="S366">
        <f>IF(A366=1,MAX($S$2:$S365)+1,IF(OR($I366&lt;&gt;"",A366="x"),$S365,""))</f>
        <v>185</v>
      </c>
      <c r="T366">
        <f>IF(D366=1,MAX($T$2:$T365)+1,IF(S366=S365,$T365,IF(D366="x",T365,IF(D365="x","",""))))</f>
        <v>23</v>
      </c>
      <c r="U366" t="str">
        <f>IF(B366=1,MAX($U$2:$U365)+1,IF(AND($T366&lt;&gt;"",$T366=$T365),$U365,IF(B366="x",U365,"")))</f>
        <v/>
      </c>
      <c r="V366" t="str">
        <f>IF(C366=1,MAX($V$2:$V365)+1,IF(AND($T366&lt;&gt;"",$T366=$T365),$U365,IF(C366="x",V365,"")))</f>
        <v/>
      </c>
      <c r="X366" cm="1">
        <f t="array" ref="X366">IF($I366&lt;&gt;"",$I366,INDEX($I$1:$I366,ROW()-COUNTIFS($T$1:$T366,"="&amp;$T366,$S$1:$S366,"&lt;"&amp;$S366)))</f>
        <v>39</v>
      </c>
      <c r="Z366" s="6">
        <f t="shared" si="77"/>
        <v>1</v>
      </c>
      <c r="AA366">
        <f t="shared" si="78"/>
        <v>1185</v>
      </c>
      <c r="AB366">
        <f t="shared" si="79"/>
        <v>9023</v>
      </c>
      <c r="AC366">
        <f t="shared" si="80"/>
        <v>9023</v>
      </c>
      <c r="BI366" s="40"/>
      <c r="BL366" s="40"/>
      <c r="BN366" s="19"/>
      <c r="BP366" s="17"/>
    </row>
    <row r="367" spans="1:68" x14ac:dyDescent="0.2">
      <c r="A367" t="str">
        <f t="shared" si="76"/>
        <v>x</v>
      </c>
      <c r="D367" s="26" t="s">
        <v>729</v>
      </c>
      <c r="E367" s="4"/>
      <c r="F367" s="46"/>
      <c r="G367" s="4"/>
      <c r="H367" s="48"/>
      <c r="I367" s="26">
        <v>93</v>
      </c>
      <c r="J367" s="26" t="str">
        <f t="shared" si="81"/>
        <v/>
      </c>
      <c r="N367" t="str">
        <f t="shared" si="83"/>
        <v/>
      </c>
      <c r="O367" t="s">
        <v>567</v>
      </c>
      <c r="Q367" t="str">
        <f t="shared" si="82"/>
        <v/>
      </c>
      <c r="R367" s="26">
        <v>1</v>
      </c>
      <c r="S367">
        <f>IF(A367=1,MAX($S$2:$S366)+1,IF(OR($I367&lt;&gt;"",A367="x"),$S366,""))</f>
        <v>185</v>
      </c>
      <c r="T367">
        <f>IF(D367=1,MAX($T$2:$T366)+1,IF(S367=S366,$T366,IF(D367="x",T366,IF(D366="x","",""))))</f>
        <v>23</v>
      </c>
      <c r="U367" t="str">
        <f>IF(B367=1,MAX($U$2:$U366)+1,IF(AND($T367&lt;&gt;"",$T367=$T366),$U366,IF(B367="x",U366,"")))</f>
        <v/>
      </c>
      <c r="V367" t="str">
        <f>IF(C367=1,MAX($V$2:$V366)+1,IF(AND($T367&lt;&gt;"",$T367=$T366),$U366,IF(C367="x",V366,"")))</f>
        <v/>
      </c>
      <c r="X367" cm="1">
        <f t="array" ref="X367">IF($I367&lt;&gt;"",$I367,INDEX($I$1:$I367,ROW()-COUNTIFS($T$1:$T367,"="&amp;$T367,$S$1:$S367,"&lt;"&amp;$S367)))</f>
        <v>93</v>
      </c>
      <c r="Z367" s="6">
        <f t="shared" si="77"/>
        <v>1</v>
      </c>
      <c r="AA367">
        <f t="shared" si="78"/>
        <v>1185</v>
      </c>
      <c r="AB367">
        <f t="shared" si="79"/>
        <v>9023</v>
      </c>
      <c r="AC367">
        <f t="shared" si="80"/>
        <v>9023</v>
      </c>
      <c r="BI367" s="40"/>
      <c r="BL367" s="40"/>
      <c r="BN367" s="19"/>
      <c r="BP367" s="17"/>
    </row>
    <row r="368" spans="1:68" x14ac:dyDescent="0.2">
      <c r="A368">
        <f t="shared" si="76"/>
        <v>1</v>
      </c>
      <c r="D368" s="26" t="s">
        <v>729</v>
      </c>
      <c r="E368" s="4"/>
      <c r="F368" s="46"/>
      <c r="G368" s="4"/>
      <c r="H368" s="48"/>
      <c r="I368" s="26">
        <v>39</v>
      </c>
      <c r="J368" s="26" t="str">
        <f t="shared" si="81"/>
        <v>d</v>
      </c>
      <c r="K368" t="s">
        <v>15</v>
      </c>
      <c r="L368" t="s">
        <v>189</v>
      </c>
      <c r="M368" t="s">
        <v>101</v>
      </c>
      <c r="N368" t="str">
        <f t="shared" si="83"/>
        <v/>
      </c>
      <c r="Q368" t="str">
        <f t="shared" si="82"/>
        <v/>
      </c>
      <c r="S368">
        <f>IF(A368=1,MAX($S$2:$S367)+1,IF(OR($I368&lt;&gt;"",A368="x"),$S367,""))</f>
        <v>186</v>
      </c>
      <c r="T368">
        <f>IF(D368=1,MAX($T$2:$T367)+1,IF(S368=S367,$T367,IF(D368="x",T367,IF(D367="x","",""))))</f>
        <v>23</v>
      </c>
      <c r="U368" t="str">
        <f>IF(B368=1,MAX($U$2:$U367)+1,IF(AND($T368&lt;&gt;"",$T368=$T367),$U367,IF(B368="x",U367,"")))</f>
        <v/>
      </c>
      <c r="V368" t="str">
        <f>IF(C368=1,MAX($V$2:$V367)+1,IF(AND($T368&lt;&gt;"",$T368=$T367),$U367,IF(C368="x",V367,"")))</f>
        <v/>
      </c>
      <c r="X368" cm="1">
        <f t="array" ref="X368">IF($I368&lt;&gt;"",$I368,INDEX($I$1:$I368,ROW()-COUNTIFS($T$1:$T368,"="&amp;$T368,$S$1:$S368,"&lt;"&amp;$S368)))</f>
        <v>39</v>
      </c>
      <c r="Z368" s="6">
        <f t="shared" si="77"/>
        <v>1</v>
      </c>
      <c r="AA368">
        <f t="shared" si="78"/>
        <v>1186</v>
      </c>
      <c r="AB368">
        <f t="shared" si="79"/>
        <v>9023</v>
      </c>
      <c r="AC368">
        <f t="shared" si="80"/>
        <v>9023</v>
      </c>
      <c r="BI368" s="40"/>
      <c r="BL368" s="40"/>
      <c r="BN368" s="19"/>
      <c r="BP368" s="17"/>
    </row>
    <row r="369" spans="1:68" x14ac:dyDescent="0.2">
      <c r="A369" t="str">
        <f t="shared" si="76"/>
        <v>x</v>
      </c>
      <c r="D369" s="26" t="s">
        <v>729</v>
      </c>
      <c r="E369" s="4"/>
      <c r="F369" s="46"/>
      <c r="G369" s="4"/>
      <c r="H369" s="48"/>
      <c r="I369" s="26">
        <v>93</v>
      </c>
      <c r="J369" s="26" t="str">
        <f t="shared" si="81"/>
        <v/>
      </c>
      <c r="N369" t="str">
        <f t="shared" si="83"/>
        <v/>
      </c>
      <c r="Q369" t="str">
        <f t="shared" si="82"/>
        <v/>
      </c>
      <c r="S369">
        <f>IF(A369=1,MAX($S$2:$S368)+1,IF(OR($I369&lt;&gt;"",A369="x"),$S368,""))</f>
        <v>186</v>
      </c>
      <c r="T369">
        <f>IF(D369=1,MAX($T$2:$T368)+1,IF(S369=S368,$T368,IF(D369="x",T368,IF(D368="x","",""))))</f>
        <v>23</v>
      </c>
      <c r="U369" t="str">
        <f>IF(B369=1,MAX($U$2:$U368)+1,IF(AND($T369&lt;&gt;"",$T369=$T368),$U368,IF(B369="x",U368,"")))</f>
        <v/>
      </c>
      <c r="V369" t="str">
        <f>IF(C369=1,MAX($V$2:$V368)+1,IF(AND($T369&lt;&gt;"",$T369=$T368),$U368,IF(C369="x",V368,"")))</f>
        <v/>
      </c>
      <c r="X369" cm="1">
        <f t="array" ref="X369">IF($I369&lt;&gt;"",$I369,INDEX($I$1:$I369,ROW()-COUNTIFS($T$1:$T369,"="&amp;$T369,$S$1:$S369,"&lt;"&amp;$S369)))</f>
        <v>93</v>
      </c>
      <c r="Z369" s="6">
        <f t="shared" si="77"/>
        <v>1</v>
      </c>
      <c r="AA369">
        <f t="shared" si="78"/>
        <v>1186</v>
      </c>
      <c r="AB369">
        <f t="shared" si="79"/>
        <v>9023</v>
      </c>
      <c r="AC369">
        <f t="shared" si="80"/>
        <v>9023</v>
      </c>
      <c r="BI369" s="40"/>
      <c r="BL369" s="40"/>
      <c r="BN369" s="19"/>
      <c r="BP369" s="17"/>
    </row>
    <row r="370" spans="1:68" x14ac:dyDescent="0.2">
      <c r="A370" t="str">
        <f t="shared" si="76"/>
        <v>x</v>
      </c>
      <c r="D370" s="26" t="s">
        <v>729</v>
      </c>
      <c r="E370" s="4"/>
      <c r="F370" s="46"/>
      <c r="G370" s="4"/>
      <c r="H370" s="48"/>
      <c r="I370" s="26">
        <v>73</v>
      </c>
      <c r="J370" s="26" t="str">
        <f t="shared" si="81"/>
        <v/>
      </c>
      <c r="N370" t="str">
        <f t="shared" si="83"/>
        <v/>
      </c>
      <c r="Q370" t="str">
        <f t="shared" si="82"/>
        <v/>
      </c>
      <c r="S370">
        <f>IF(A370=1,MAX($S$2:$S369)+1,IF(OR($I370&lt;&gt;"",A370="x"),$S369,""))</f>
        <v>186</v>
      </c>
      <c r="T370">
        <f>IF(D370=1,MAX($T$2:$T369)+1,IF(S370=S369,$T369,IF(D370="x",T369,IF(D369="x","",""))))</f>
        <v>23</v>
      </c>
      <c r="U370" t="str">
        <f>IF(B370=1,MAX($U$2:$U369)+1,IF(AND($T370&lt;&gt;"",$T370=$T369),$U369,IF(B370="x",U369,"")))</f>
        <v/>
      </c>
      <c r="V370" t="str">
        <f>IF(C370=1,MAX($V$2:$V369)+1,IF(AND($T370&lt;&gt;"",$T370=$T369),$U369,IF(C370="x",V369,"")))</f>
        <v/>
      </c>
      <c r="X370" cm="1">
        <f t="array" ref="X370">IF($I370&lt;&gt;"",$I370,INDEX($I$1:$I370,ROW()-COUNTIFS($T$1:$T370,"="&amp;$T370,$S$1:$S370,"&lt;"&amp;$S370)))</f>
        <v>73</v>
      </c>
      <c r="Z370" s="6">
        <f t="shared" si="77"/>
        <v>1</v>
      </c>
      <c r="AA370">
        <f t="shared" si="78"/>
        <v>1186</v>
      </c>
      <c r="AB370">
        <f t="shared" si="79"/>
        <v>9023</v>
      </c>
      <c r="AC370">
        <f t="shared" si="80"/>
        <v>9023</v>
      </c>
      <c r="BI370" s="40"/>
      <c r="BL370" s="40"/>
      <c r="BN370" s="19"/>
      <c r="BP370" s="17"/>
    </row>
    <row r="371" spans="1:68" x14ac:dyDescent="0.2">
      <c r="A371">
        <f t="shared" si="76"/>
        <v>1</v>
      </c>
      <c r="D371" s="26" t="s">
        <v>729</v>
      </c>
      <c r="E371" s="4"/>
      <c r="F371" s="46"/>
      <c r="G371" s="4"/>
      <c r="H371" s="48"/>
      <c r="I371" s="26">
        <v>39</v>
      </c>
      <c r="J371" s="26" t="str">
        <f t="shared" si="81"/>
        <v>d</v>
      </c>
      <c r="K371" t="s">
        <v>11</v>
      </c>
      <c r="L371" t="s">
        <v>187</v>
      </c>
      <c r="M371" t="s">
        <v>108</v>
      </c>
      <c r="N371" t="str">
        <f t="shared" si="83"/>
        <v/>
      </c>
      <c r="Q371" t="str">
        <f t="shared" si="82"/>
        <v/>
      </c>
      <c r="S371">
        <f>IF(A371=1,MAX($S$2:$S370)+1,IF(OR($I371&lt;&gt;"",A371="x"),$S370,""))</f>
        <v>187</v>
      </c>
      <c r="T371">
        <f>IF(D371=1,MAX($T$2:$T370)+1,IF(S371=S370,$T370,IF(D371="x",T370,IF(D370="x","",""))))</f>
        <v>23</v>
      </c>
      <c r="U371" t="str">
        <f>IF(B371=1,MAX($U$2:$U370)+1,IF(AND($T371&lt;&gt;"",$T371=$T370),$U370,IF(B371="x",U370,"")))</f>
        <v/>
      </c>
      <c r="V371" t="str">
        <f>IF(C371=1,MAX($V$2:$V370)+1,IF(AND($T371&lt;&gt;"",$T371=$T370),$U370,IF(C371="x",V370,"")))</f>
        <v/>
      </c>
      <c r="X371" cm="1">
        <f t="array" ref="X371">IF($I371&lt;&gt;"",$I371,INDEX($I$1:$I371,ROW()-COUNTIFS($T$1:$T371,"="&amp;$T371,$S$1:$S371,"&lt;"&amp;$S371)))</f>
        <v>39</v>
      </c>
      <c r="Z371" s="6">
        <f t="shared" si="77"/>
        <v>1</v>
      </c>
      <c r="AA371">
        <f t="shared" si="78"/>
        <v>1187</v>
      </c>
      <c r="AB371">
        <f t="shared" si="79"/>
        <v>9023</v>
      </c>
      <c r="AC371">
        <f t="shared" si="80"/>
        <v>9023</v>
      </c>
      <c r="BI371" s="40"/>
      <c r="BL371" s="40"/>
      <c r="BN371" s="19"/>
      <c r="BP371" s="17"/>
    </row>
    <row r="372" spans="1:68" x14ac:dyDescent="0.2">
      <c r="A372">
        <f t="shared" si="76"/>
        <v>1</v>
      </c>
      <c r="D372" s="26" t="s">
        <v>729</v>
      </c>
      <c r="E372" s="4"/>
      <c r="F372" s="46"/>
      <c r="G372" s="4"/>
      <c r="H372" s="48" t="s">
        <v>1036</v>
      </c>
      <c r="I372" s="26">
        <v>39</v>
      </c>
      <c r="J372" s="26" t="str">
        <f t="shared" si="81"/>
        <v>d</v>
      </c>
      <c r="K372" t="s">
        <v>241</v>
      </c>
      <c r="N372" t="str">
        <f t="shared" si="83"/>
        <v/>
      </c>
      <c r="Q372" t="str">
        <f t="shared" si="82"/>
        <v/>
      </c>
      <c r="S372">
        <f>IF(A372=1,MAX($S$2:$S371)+1,IF(OR($I372&lt;&gt;"",A372="x"),$S371,""))</f>
        <v>188</v>
      </c>
      <c r="T372">
        <f>IF(D372=1,MAX($T$2:$T371)+1,IF(S372=S371,$T371,IF(D372="x",T371,IF(D371="x","",""))))</f>
        <v>23</v>
      </c>
      <c r="U372" t="str">
        <f>IF(B372=1,MAX($U$2:$U371)+1,IF(AND($T372&lt;&gt;"",$T372=$T371),$U371,IF(B372="x",U371,"")))</f>
        <v/>
      </c>
      <c r="V372" t="str">
        <f>IF(C372=1,MAX($V$2:$V371)+1,IF(AND($T372&lt;&gt;"",$T372=$T371),$U371,IF(C372="x",V371,"")))</f>
        <v/>
      </c>
      <c r="X372" cm="1">
        <f t="array" ref="X372">IF($I372&lt;&gt;"",$I372,INDEX($I$1:$I372,ROW()-COUNTIFS($T$1:$T372,"="&amp;$T372,$S$1:$S372,"&lt;"&amp;$S372)))</f>
        <v>39</v>
      </c>
      <c r="Z372" s="6">
        <f t="shared" si="77"/>
        <v>1</v>
      </c>
      <c r="AA372">
        <f t="shared" si="78"/>
        <v>1188</v>
      </c>
      <c r="AB372">
        <f t="shared" si="79"/>
        <v>9023</v>
      </c>
      <c r="AC372">
        <f t="shared" si="80"/>
        <v>9023</v>
      </c>
      <c r="BI372" s="40"/>
      <c r="BL372" s="40"/>
      <c r="BN372" s="19"/>
      <c r="BP372" s="17"/>
    </row>
    <row r="373" spans="1:68" x14ac:dyDescent="0.2">
      <c r="A373">
        <f t="shared" si="76"/>
        <v>1</v>
      </c>
      <c r="E373" s="4"/>
      <c r="F373" s="46"/>
      <c r="G373" s="4"/>
      <c r="H373" s="48"/>
      <c r="I373" s="26">
        <v>87</v>
      </c>
      <c r="J373" s="26" t="s">
        <v>736</v>
      </c>
      <c r="K373" t="s">
        <v>5</v>
      </c>
      <c r="L373" t="s">
        <v>236</v>
      </c>
      <c r="N373" t="str">
        <f t="shared" si="83"/>
        <v/>
      </c>
      <c r="Q373" t="str">
        <f t="shared" si="82"/>
        <v/>
      </c>
      <c r="S373">
        <f>IF(A373=1,MAX($S$2:$S372)+1,IF(OR($I373&lt;&gt;"",A373="x"),$S372,""))</f>
        <v>189</v>
      </c>
      <c r="T373" t="str">
        <f>IF(D373=1,MAX($T$2:$T372)+1,IF(S373=S372,$T372,IF(D373="x",T372,IF(D372="x","",""))))</f>
        <v/>
      </c>
      <c r="U373" t="str">
        <f>IF(B373=1,MAX($U$2:$U372)+1,IF(AND($T373&lt;&gt;"",$T373=$T372),$U372,IF(B373="x",U372,"")))</f>
        <v/>
      </c>
      <c r="V373" t="str">
        <f>IF(C373=1,MAX($V$2:$V372)+1,IF(AND($T373&lt;&gt;"",$T373=$T372),$U372,IF(C373="x",V372,"")))</f>
        <v/>
      </c>
      <c r="X373" cm="1">
        <f t="array" ref="X373">IF($I373&lt;&gt;"",$I373,INDEX($I$1:$I373,ROW()-COUNTIFS($T$1:$T373,"="&amp;$T373,$S$1:$S373,"&lt;"&amp;$S373)))</f>
        <v>87</v>
      </c>
      <c r="Z373" s="6">
        <f t="shared" si="77"/>
        <v>1</v>
      </c>
      <c r="AA373">
        <f t="shared" si="78"/>
        <v>1189</v>
      </c>
      <c r="AB373" t="str">
        <f t="shared" si="79"/>
        <v/>
      </c>
      <c r="AC373">
        <f t="shared" si="80"/>
        <v>1189</v>
      </c>
      <c r="BI373" s="40"/>
      <c r="BL373" s="40"/>
      <c r="BN373" s="19"/>
      <c r="BP373" s="17"/>
    </row>
    <row r="374" spans="1:68" x14ac:dyDescent="0.2">
      <c r="A374" t="str">
        <f t="shared" si="76"/>
        <v/>
      </c>
      <c r="E374" s="4"/>
      <c r="F374" s="46"/>
      <c r="G374" s="4"/>
      <c r="H374" s="48"/>
      <c r="I374" s="26">
        <v>9</v>
      </c>
      <c r="J374" s="26" t="str">
        <f t="shared" si="81"/>
        <v/>
      </c>
      <c r="N374" t="str">
        <f t="shared" si="83"/>
        <v/>
      </c>
      <c r="Q374" t="str">
        <f t="shared" si="82"/>
        <v/>
      </c>
      <c r="S374">
        <f>IF(A374=1,MAX($S$2:$S373)+1,IF(OR($I374&lt;&gt;"",A374="x"),$S373,""))</f>
        <v>189</v>
      </c>
      <c r="T374" t="str">
        <f>IF(D374=1,MAX($T$2:$T373)+1,IF(S374=S373,$T373,IF(D374="x",T373,IF(D373="x","",""))))</f>
        <v/>
      </c>
      <c r="U374" t="str">
        <f>IF(B374=1,MAX($U$2:$U373)+1,IF(AND($T374&lt;&gt;"",$T374=$T373),$U373,IF(B374="x",U373,"")))</f>
        <v/>
      </c>
      <c r="V374" t="str">
        <f>IF(C374=1,MAX($V$2:$V373)+1,IF(AND($T374&lt;&gt;"",$T374=$T373),$U373,IF(C374="x",V373,"")))</f>
        <v/>
      </c>
      <c r="X374" cm="1">
        <f t="array" ref="X374">IF($I374&lt;&gt;"",$I374,INDEX($I$1:$I374,ROW()-COUNTIFS($T$1:$T374,"="&amp;$T374,$S$1:$S374,"&lt;"&amp;$S374)))</f>
        <v>9</v>
      </c>
      <c r="Z374" s="6">
        <f t="shared" si="77"/>
        <v>1</v>
      </c>
      <c r="AA374">
        <f t="shared" si="78"/>
        <v>1189</v>
      </c>
      <c r="AB374" t="str">
        <f t="shared" si="79"/>
        <v/>
      </c>
      <c r="AC374">
        <f t="shared" si="80"/>
        <v>1189</v>
      </c>
      <c r="BI374" s="40"/>
      <c r="BL374" s="40"/>
      <c r="BN374" s="19"/>
      <c r="BP374" s="17"/>
    </row>
    <row r="375" spans="1:68" x14ac:dyDescent="0.2">
      <c r="A375" t="str">
        <f t="shared" si="76"/>
        <v/>
      </c>
      <c r="E375" s="4"/>
      <c r="F375" s="46"/>
      <c r="G375" s="4"/>
      <c r="H375" s="48"/>
      <c r="I375" s="26">
        <v>73</v>
      </c>
      <c r="J375" s="26" t="str">
        <f t="shared" si="81"/>
        <v/>
      </c>
      <c r="N375" t="str">
        <f t="shared" si="83"/>
        <v/>
      </c>
      <c r="Q375" t="str">
        <f t="shared" si="82"/>
        <v/>
      </c>
      <c r="S375">
        <f>IF(A375=1,MAX($S$2:$S374)+1,IF(OR($I375&lt;&gt;"",A375="x"),$S374,""))</f>
        <v>189</v>
      </c>
      <c r="T375" t="str">
        <f>IF(D375=1,MAX($T$2:$T374)+1,IF(S375=S374,$T374,IF(D375="x",T374,IF(D374="x","",""))))</f>
        <v/>
      </c>
      <c r="U375" t="str">
        <f>IF(B375=1,MAX($U$2:$U374)+1,IF(AND($T375&lt;&gt;"",$T375=$T374),$U374,IF(B375="x",U374,"")))</f>
        <v/>
      </c>
      <c r="V375" t="str">
        <f>IF(C375=1,MAX($V$2:$V374)+1,IF(AND($T375&lt;&gt;"",$T375=$T374),$U374,IF(C375="x",V374,"")))</f>
        <v/>
      </c>
      <c r="X375" cm="1">
        <f t="array" ref="X375">IF($I375&lt;&gt;"",$I375,INDEX($I$1:$I375,ROW()-COUNTIFS($T$1:$T375,"="&amp;$T375,$S$1:$S375,"&lt;"&amp;$S375)))</f>
        <v>73</v>
      </c>
      <c r="Z375" s="6">
        <f t="shared" si="77"/>
        <v>1</v>
      </c>
      <c r="AA375">
        <f t="shared" si="78"/>
        <v>1189</v>
      </c>
      <c r="AB375" t="str">
        <f t="shared" si="79"/>
        <v/>
      </c>
      <c r="AC375">
        <f t="shared" si="80"/>
        <v>1189</v>
      </c>
      <c r="BI375" s="40"/>
      <c r="BL375" s="40"/>
      <c r="BN375" s="19"/>
      <c r="BP375" s="17"/>
    </row>
    <row r="376" spans="1:68" x14ac:dyDescent="0.2">
      <c r="A376" t="str">
        <f t="shared" si="76"/>
        <v/>
      </c>
      <c r="E376" s="4"/>
      <c r="F376" s="46"/>
      <c r="G376" s="4"/>
      <c r="H376" s="48"/>
      <c r="I376" s="26">
        <v>9</v>
      </c>
      <c r="J376" s="26" t="str">
        <f t="shared" si="81"/>
        <v/>
      </c>
      <c r="N376" t="str">
        <f t="shared" si="83"/>
        <v/>
      </c>
      <c r="Q376" t="str">
        <f t="shared" si="82"/>
        <v/>
      </c>
      <c r="S376">
        <f>IF(A376=1,MAX($S$2:$S375)+1,IF(OR($I376&lt;&gt;"",A376="x"),$S375,""))</f>
        <v>189</v>
      </c>
      <c r="T376" t="str">
        <f>IF(D376=1,MAX($T$2:$T375)+1,IF(S376=S375,$T375,IF(D376="x",T375,IF(D375="x","",""))))</f>
        <v/>
      </c>
      <c r="U376" t="str">
        <f>IF(B376=1,MAX($U$2:$U375)+1,IF(AND($T376&lt;&gt;"",$T376=$T375),$U375,IF(B376="x",U375,"")))</f>
        <v/>
      </c>
      <c r="V376" t="str">
        <f>IF(C376=1,MAX($V$2:$V375)+1,IF(AND($T376&lt;&gt;"",$T376=$T375),$U375,IF(C376="x",V375,"")))</f>
        <v/>
      </c>
      <c r="X376" cm="1">
        <f t="array" ref="X376">IF($I376&lt;&gt;"",$I376,INDEX($I$1:$I376,ROW()-COUNTIFS($T$1:$T376,"="&amp;$T376,$S$1:$S376,"&lt;"&amp;$S376)))</f>
        <v>9</v>
      </c>
      <c r="Z376" s="6">
        <f t="shared" si="77"/>
        <v>1</v>
      </c>
      <c r="AA376">
        <f t="shared" si="78"/>
        <v>1189</v>
      </c>
      <c r="AB376" t="str">
        <f t="shared" si="79"/>
        <v/>
      </c>
      <c r="AC376">
        <f t="shared" si="80"/>
        <v>1189</v>
      </c>
      <c r="BI376" s="40"/>
      <c r="BL376" s="40"/>
      <c r="BN376" s="19"/>
      <c r="BP376" s="17"/>
    </row>
    <row r="377" spans="1:68" x14ac:dyDescent="0.2">
      <c r="A377">
        <f t="shared" si="76"/>
        <v>1</v>
      </c>
      <c r="E377" s="4"/>
      <c r="F377" s="46"/>
      <c r="G377" s="4"/>
      <c r="H377" s="48"/>
      <c r="I377" s="26">
        <v>9</v>
      </c>
      <c r="J377" s="26" t="s">
        <v>736</v>
      </c>
      <c r="K377" t="s">
        <v>7</v>
      </c>
      <c r="L377" t="s">
        <v>172</v>
      </c>
      <c r="M377" t="s">
        <v>66</v>
      </c>
      <c r="N377" t="str">
        <f t="shared" si="83"/>
        <v>s</v>
      </c>
      <c r="O377" t="s">
        <v>576</v>
      </c>
      <c r="Q377" t="str">
        <f t="shared" si="82"/>
        <v>s</v>
      </c>
      <c r="S377">
        <f>IF(A377=1,MAX($S$2:$S376)+1,IF(OR($I377&lt;&gt;"",A377="x"),$S376,""))</f>
        <v>190</v>
      </c>
      <c r="T377" t="str">
        <f>IF(D377=1,MAX($T$2:$T376)+1,IF(S377=S376,$T376,IF(D377="x",T376,IF(D376="x","",""))))</f>
        <v/>
      </c>
      <c r="U377" t="str">
        <f>IF(B377=1,MAX($U$2:$U376)+1,IF(AND($T377&lt;&gt;"",$T377=$T376),$U376,IF(B377="x",U376,"")))</f>
        <v/>
      </c>
      <c r="V377" t="str">
        <f>IF(C377=1,MAX($V$2:$V376)+1,IF(AND($T377&lt;&gt;"",$T377=$T376),$U376,IF(C377="x",V376,"")))</f>
        <v/>
      </c>
      <c r="X377" cm="1">
        <f t="array" ref="X377">IF($I377&lt;&gt;"",$I377,INDEX($I$1:$I377,ROW()-COUNTIFS($T$1:$T377,"="&amp;$T377,$S$1:$S377,"&lt;"&amp;$S377)))</f>
        <v>9</v>
      </c>
      <c r="Z377" s="6">
        <f t="shared" si="77"/>
        <v>1</v>
      </c>
      <c r="AA377">
        <f t="shared" si="78"/>
        <v>1190</v>
      </c>
      <c r="AB377" t="str">
        <f t="shared" si="79"/>
        <v/>
      </c>
      <c r="AC377">
        <f t="shared" si="80"/>
        <v>1190</v>
      </c>
      <c r="BI377" s="40"/>
      <c r="BL377" s="40"/>
      <c r="BN377" s="19"/>
      <c r="BP377" s="17"/>
    </row>
    <row r="378" spans="1:68" x14ac:dyDescent="0.2">
      <c r="A378" t="str">
        <f t="shared" si="76"/>
        <v/>
      </c>
      <c r="E378" s="4"/>
      <c r="F378" s="46"/>
      <c r="G378" s="4"/>
      <c r="H378" s="48"/>
      <c r="I378" s="26">
        <v>14</v>
      </c>
      <c r="J378" s="26" t="str">
        <f t="shared" si="81"/>
        <v/>
      </c>
      <c r="N378" t="str">
        <f t="shared" si="83"/>
        <v/>
      </c>
      <c r="Q378" t="str">
        <f t="shared" si="82"/>
        <v/>
      </c>
      <c r="R378" s="26">
        <v>1</v>
      </c>
      <c r="S378">
        <f>IF(A378=1,MAX($S$2:$S377)+1,IF(OR($I378&lt;&gt;"",A378="x"),$S377,""))</f>
        <v>190</v>
      </c>
      <c r="T378" t="str">
        <f>IF(D378=1,MAX($T$2:$T377)+1,IF(S378=S377,$T377,IF(D378="x",T377,IF(D377="x","",""))))</f>
        <v/>
      </c>
      <c r="U378" t="str">
        <f>IF(B378=1,MAX($U$2:$U377)+1,IF(AND($T378&lt;&gt;"",$T378=$T377),$U377,IF(B378="x",U377,"")))</f>
        <v/>
      </c>
      <c r="V378" t="str">
        <f>IF(C378=1,MAX($V$2:$V377)+1,IF(AND($T378&lt;&gt;"",$T378=$T377),$U377,IF(C378="x",V377,"")))</f>
        <v/>
      </c>
      <c r="X378" cm="1">
        <f t="array" ref="X378">IF($I378&lt;&gt;"",$I378,INDEX($I$1:$I378,ROW()-COUNTIFS($T$1:$T378,"="&amp;$T378,$S$1:$S378,"&lt;"&amp;$S378)))</f>
        <v>14</v>
      </c>
      <c r="Z378" s="6">
        <f t="shared" si="77"/>
        <v>1</v>
      </c>
      <c r="AA378">
        <f t="shared" si="78"/>
        <v>1190</v>
      </c>
      <c r="AB378" t="str">
        <f t="shared" si="79"/>
        <v/>
      </c>
      <c r="AC378">
        <f t="shared" si="80"/>
        <v>1190</v>
      </c>
      <c r="BI378" s="40"/>
      <c r="BL378" s="40"/>
      <c r="BN378" s="19"/>
      <c r="BP378" s="17"/>
    </row>
    <row r="379" spans="1:68" x14ac:dyDescent="0.2">
      <c r="A379" t="str">
        <f t="shared" si="76"/>
        <v/>
      </c>
      <c r="E379" s="4"/>
      <c r="F379" s="46"/>
      <c r="G379" s="4"/>
      <c r="H379" s="48"/>
      <c r="I379" s="26">
        <v>19</v>
      </c>
      <c r="J379" s="26" t="str">
        <f t="shared" si="81"/>
        <v/>
      </c>
      <c r="N379" t="str">
        <f t="shared" si="83"/>
        <v/>
      </c>
      <c r="Q379" t="str">
        <f t="shared" si="82"/>
        <v/>
      </c>
      <c r="R379" s="26">
        <v>1</v>
      </c>
      <c r="S379">
        <f>IF(A379=1,MAX($S$2:$S378)+1,IF(OR($I379&lt;&gt;"",A379="x"),$S378,""))</f>
        <v>190</v>
      </c>
      <c r="T379" t="str">
        <f>IF(D379=1,MAX($T$2:$T378)+1,IF(S379=S378,$T378,IF(D379="x",T378,IF(D378="x","",""))))</f>
        <v/>
      </c>
      <c r="U379" t="str">
        <f>IF(B379=1,MAX($U$2:$U378)+1,IF(AND($T379&lt;&gt;"",$T379=$T378),$U378,IF(B379="x",U378,"")))</f>
        <v/>
      </c>
      <c r="V379" t="str">
        <f>IF(C379=1,MAX($V$2:$V378)+1,IF(AND($T379&lt;&gt;"",$T379=$T378),$U378,IF(C379="x",V378,"")))</f>
        <v/>
      </c>
      <c r="X379" cm="1">
        <f t="array" ref="X379">IF($I379&lt;&gt;"",$I379,INDEX($I$1:$I379,ROW()-COUNTIFS($T$1:$T379,"="&amp;$T379,$S$1:$S379,"&lt;"&amp;$S379)))</f>
        <v>19</v>
      </c>
      <c r="Z379" s="6">
        <f t="shared" si="77"/>
        <v>1</v>
      </c>
      <c r="AA379">
        <f t="shared" si="78"/>
        <v>1190</v>
      </c>
      <c r="AB379" t="str">
        <f t="shared" si="79"/>
        <v/>
      </c>
      <c r="AC379">
        <f t="shared" si="80"/>
        <v>1190</v>
      </c>
      <c r="BI379" s="40"/>
      <c r="BL379" s="40"/>
      <c r="BN379" s="19"/>
      <c r="BP379" s="17"/>
    </row>
    <row r="380" spans="1:68" x14ac:dyDescent="0.2">
      <c r="A380">
        <f t="shared" si="76"/>
        <v>1</v>
      </c>
      <c r="E380" s="4"/>
      <c r="F380" s="46" t="s">
        <v>744</v>
      </c>
      <c r="G380" s="4"/>
      <c r="H380" s="48" t="s">
        <v>1064</v>
      </c>
      <c r="I380" s="26">
        <v>14</v>
      </c>
      <c r="J380" s="26" t="s">
        <v>736</v>
      </c>
      <c r="K380" t="s">
        <v>13</v>
      </c>
      <c r="N380" t="str">
        <f t="shared" si="83"/>
        <v/>
      </c>
      <c r="Q380" t="str">
        <f t="shared" si="82"/>
        <v/>
      </c>
      <c r="S380">
        <f>IF(A380=1,MAX($S$2:$S379)+1,IF(OR($I380&lt;&gt;"",A380="x"),$S379,""))</f>
        <v>191</v>
      </c>
      <c r="T380" t="str">
        <f>IF(D380=1,MAX($T$2:$T379)+1,IF(S380=S379,$T379,IF(D380="x",T379,IF(D379="x","",""))))</f>
        <v/>
      </c>
      <c r="U380" t="str">
        <f>IF(B380=1,MAX($U$2:$U379)+1,IF(AND($T380&lt;&gt;"",$T380=$T379),$U379,IF(B380="x",U379,"")))</f>
        <v/>
      </c>
      <c r="V380" t="str">
        <f>IF(C380=1,MAX($V$2:$V379)+1,IF(AND($T380&lt;&gt;"",$T380=$T379),$U379,IF(C380="x",V379,"")))</f>
        <v/>
      </c>
      <c r="X380" cm="1">
        <f t="array" ref="X380">IF($I380&lt;&gt;"",$I380,INDEX($I$1:$I380,ROW()-COUNTIFS($T$1:$T380,"="&amp;$T380,$S$1:$S380,"&lt;"&amp;$S380)))</f>
        <v>14</v>
      </c>
      <c r="Z380" s="6">
        <f t="shared" si="77"/>
        <v>1</v>
      </c>
      <c r="AA380">
        <f t="shared" si="78"/>
        <v>1191</v>
      </c>
      <c r="AB380" t="str">
        <f t="shared" si="79"/>
        <v/>
      </c>
      <c r="AC380">
        <f t="shared" si="80"/>
        <v>1191</v>
      </c>
      <c r="BI380" s="40"/>
      <c r="BL380" s="40"/>
      <c r="BN380" s="19"/>
      <c r="BP380" s="17"/>
    </row>
    <row r="381" spans="1:68" x14ac:dyDescent="0.2">
      <c r="A381" t="str">
        <f t="shared" si="76"/>
        <v/>
      </c>
      <c r="E381" s="4"/>
      <c r="F381" s="46"/>
      <c r="G381" s="4"/>
      <c r="H381" s="48"/>
      <c r="I381" s="26">
        <v>12</v>
      </c>
      <c r="J381" s="26" t="str">
        <f t="shared" si="81"/>
        <v/>
      </c>
      <c r="N381" t="str">
        <f t="shared" si="83"/>
        <v/>
      </c>
      <c r="Q381" t="str">
        <f t="shared" si="82"/>
        <v/>
      </c>
      <c r="S381">
        <f>IF(A381=1,MAX($S$2:$S380)+1,IF(OR($I381&lt;&gt;"",A381="x"),$S380,""))</f>
        <v>191</v>
      </c>
      <c r="T381" t="str">
        <f>IF(D381=1,MAX($T$2:$T380)+1,IF(S381=S380,$T380,IF(D381="x",T380,IF(D380="x","",""))))</f>
        <v/>
      </c>
      <c r="U381" t="str">
        <f>IF(B381=1,MAX($U$2:$U380)+1,IF(AND($T381&lt;&gt;"",$T381=$T380),$U380,IF(B381="x",U380,"")))</f>
        <v/>
      </c>
      <c r="V381" t="str">
        <f>IF(C381=1,MAX($V$2:$V380)+1,IF(AND($T381&lt;&gt;"",$T381=$T380),$U380,IF(C381="x",V380,"")))</f>
        <v/>
      </c>
      <c r="X381" cm="1">
        <f t="array" ref="X381">IF($I381&lt;&gt;"",$I381,INDEX($I$1:$I381,ROW()-COUNTIFS($T$1:$T381,"="&amp;$T381,$S$1:$S381,"&lt;"&amp;$S381)))</f>
        <v>12</v>
      </c>
      <c r="Z381" s="6">
        <f t="shared" si="77"/>
        <v>1</v>
      </c>
      <c r="AA381">
        <f t="shared" si="78"/>
        <v>1191</v>
      </c>
      <c r="AB381" t="str">
        <f t="shared" si="79"/>
        <v/>
      </c>
      <c r="AC381">
        <f t="shared" si="80"/>
        <v>1191</v>
      </c>
      <c r="BI381" s="40"/>
      <c r="BL381" s="40"/>
      <c r="BN381" s="19"/>
      <c r="BP381" s="17"/>
    </row>
    <row r="382" spans="1:68" x14ac:dyDescent="0.2">
      <c r="A382">
        <f t="shared" si="76"/>
        <v>1</v>
      </c>
      <c r="D382" s="26">
        <v>1</v>
      </c>
      <c r="E382" s="4"/>
      <c r="F382" s="46"/>
      <c r="G382" s="4"/>
      <c r="H382" s="48"/>
      <c r="I382" s="26">
        <v>14</v>
      </c>
      <c r="J382" s="26" t="s">
        <v>736</v>
      </c>
      <c r="K382" t="s">
        <v>238</v>
      </c>
      <c r="L382" t="s">
        <v>184</v>
      </c>
      <c r="M382" t="s">
        <v>90</v>
      </c>
      <c r="N382" t="s">
        <v>594</v>
      </c>
      <c r="Q382" t="str">
        <f t="shared" si="82"/>
        <v/>
      </c>
      <c r="R382" s="26">
        <v>1</v>
      </c>
      <c r="S382">
        <f>IF(A382=1,MAX($S$2:$S381)+1,IF(OR($I382&lt;&gt;"",A382="x"),$S381,""))</f>
        <v>192</v>
      </c>
      <c r="T382">
        <f>IF(D382=1,MAX($T$2:$T381)+1,IF(S382=S381,$T381,IF(D382="x",T381,IF(D381="x","",""))))</f>
        <v>24</v>
      </c>
      <c r="U382" t="str">
        <f>IF(B382=1,MAX($U$2:$U381)+1,IF(AND($T382&lt;&gt;"",$T382=$T381),$U381,IF(B382="x",U381,"")))</f>
        <v/>
      </c>
      <c r="V382" t="str">
        <f>IF(C382=1,MAX($V$2:$V381)+1,IF(AND($T382&lt;&gt;"",$T382=$T381),$U381,IF(C382="x",V381,"")))</f>
        <v/>
      </c>
      <c r="X382" cm="1">
        <f t="array" ref="X382">IF($I382&lt;&gt;"",$I382,INDEX($I$1:$I382,ROW()-COUNTIFS($T$1:$T382,"="&amp;$T382,$S$1:$S382,"&lt;"&amp;$S382)))</f>
        <v>14</v>
      </c>
      <c r="Z382" s="6">
        <f t="shared" si="77"/>
        <v>1</v>
      </c>
      <c r="AA382">
        <f t="shared" si="78"/>
        <v>1192</v>
      </c>
      <c r="AB382">
        <f t="shared" si="79"/>
        <v>9024</v>
      </c>
      <c r="AC382">
        <f t="shared" si="80"/>
        <v>9024</v>
      </c>
      <c r="BI382" s="40"/>
      <c r="BL382" s="40"/>
      <c r="BN382" s="19"/>
      <c r="BP382" s="17"/>
    </row>
    <row r="383" spans="1:68" x14ac:dyDescent="0.2">
      <c r="A383" t="str">
        <f t="shared" si="76"/>
        <v>x</v>
      </c>
      <c r="D383" s="26" t="s">
        <v>729</v>
      </c>
      <c r="E383" s="4"/>
      <c r="F383" s="46"/>
      <c r="G383" s="4"/>
      <c r="H383" s="48"/>
      <c r="I383" s="26">
        <v>12</v>
      </c>
      <c r="J383" s="26" t="str">
        <f t="shared" si="81"/>
        <v/>
      </c>
      <c r="N383" t="str">
        <f t="shared" si="83"/>
        <v/>
      </c>
      <c r="Q383" t="str">
        <f t="shared" si="82"/>
        <v/>
      </c>
      <c r="R383" s="26">
        <v>1</v>
      </c>
      <c r="S383">
        <f>IF(A383=1,MAX($S$2:$S382)+1,IF(OR($I383&lt;&gt;"",A383="x"),$S382,""))</f>
        <v>192</v>
      </c>
      <c r="T383">
        <f>IF(D383=1,MAX($T$2:$T382)+1,IF(S383=S382,$T382,IF(D383="x",T382,IF(D382="x","",""))))</f>
        <v>24</v>
      </c>
      <c r="U383" t="str">
        <f>IF(B383=1,MAX($U$2:$U382)+1,IF(AND($T383&lt;&gt;"",$T383=$T382),$U382,IF(B383="x",U382,"")))</f>
        <v/>
      </c>
      <c r="V383" t="str">
        <f>IF(C383=1,MAX($V$2:$V382)+1,IF(AND($T383&lt;&gt;"",$T383=$T382),$U382,IF(C383="x",V382,"")))</f>
        <v/>
      </c>
      <c r="X383" cm="1">
        <f t="array" ref="X383">IF($I383&lt;&gt;"",$I383,INDEX($I$1:$I383,ROW()-COUNTIFS($T$1:$T383,"="&amp;$T383,$S$1:$S383,"&lt;"&amp;$S383)))</f>
        <v>12</v>
      </c>
      <c r="Z383" s="6">
        <f t="shared" si="77"/>
        <v>1</v>
      </c>
      <c r="AA383">
        <f t="shared" si="78"/>
        <v>1192</v>
      </c>
      <c r="AB383">
        <f t="shared" si="79"/>
        <v>9024</v>
      </c>
      <c r="AC383">
        <f t="shared" si="80"/>
        <v>9024</v>
      </c>
      <c r="BI383" s="40"/>
      <c r="BL383" s="40"/>
      <c r="BN383" s="19"/>
      <c r="BP383" s="17"/>
    </row>
    <row r="384" spans="1:68" x14ac:dyDescent="0.2">
      <c r="A384" t="str">
        <f t="shared" si="76"/>
        <v>x</v>
      </c>
      <c r="D384" s="26" t="s">
        <v>729</v>
      </c>
      <c r="E384" s="4"/>
      <c r="F384" s="46"/>
      <c r="G384" s="4"/>
      <c r="H384" s="48"/>
      <c r="I384" s="26">
        <v>19</v>
      </c>
      <c r="J384" s="26" t="str">
        <f t="shared" si="81"/>
        <v/>
      </c>
      <c r="N384" t="str">
        <f t="shared" si="83"/>
        <v/>
      </c>
      <c r="O384" t="s">
        <v>766</v>
      </c>
      <c r="Q384" t="str">
        <f t="shared" si="82"/>
        <v>u</v>
      </c>
      <c r="S384">
        <f>IF(A384=1,MAX($S$2:$S383)+1,IF(OR($I384&lt;&gt;"",A384="x"),$S383,""))</f>
        <v>192</v>
      </c>
      <c r="T384">
        <f>IF(D384=1,MAX($T$2:$T383)+1,IF(S384=S383,$T383,IF(D384="x",T383,IF(D383="x","",""))))</f>
        <v>24</v>
      </c>
      <c r="U384" t="str">
        <f>IF(B384=1,MAX($U$2:$U383)+1,IF(AND($T384&lt;&gt;"",$T384=$T383),$U383,IF(B384="x",U383,"")))</f>
        <v/>
      </c>
      <c r="V384" t="str">
        <f>IF(C384=1,MAX($V$2:$V383)+1,IF(AND($T384&lt;&gt;"",$T384=$T383),$U383,IF(C384="x",V383,"")))</f>
        <v/>
      </c>
      <c r="X384" cm="1">
        <f t="array" ref="X384">IF($I384&lt;&gt;"",$I384,INDEX($I$1:$I384,ROW()-COUNTIFS($T$1:$T384,"="&amp;$T384,$S$1:$S384,"&lt;"&amp;$S384)))</f>
        <v>19</v>
      </c>
      <c r="Z384" s="6">
        <f t="shared" si="77"/>
        <v>1</v>
      </c>
      <c r="AA384">
        <f t="shared" si="78"/>
        <v>1192</v>
      </c>
      <c r="AB384">
        <f t="shared" si="79"/>
        <v>9024</v>
      </c>
      <c r="AC384">
        <f t="shared" si="80"/>
        <v>9024</v>
      </c>
      <c r="BI384" s="40"/>
      <c r="BL384" s="40"/>
      <c r="BN384" s="19"/>
      <c r="BP384" s="17"/>
    </row>
    <row r="385" spans="1:68" x14ac:dyDescent="0.2">
      <c r="A385">
        <f t="shared" si="76"/>
        <v>1</v>
      </c>
      <c r="D385" s="26" t="s">
        <v>729</v>
      </c>
      <c r="E385" s="4"/>
      <c r="F385" s="46"/>
      <c r="G385" s="4"/>
      <c r="H385" s="48"/>
      <c r="J385" s="26" t="str">
        <f t="shared" si="81"/>
        <v/>
      </c>
      <c r="K385" t="s">
        <v>9</v>
      </c>
      <c r="L385" t="s">
        <v>173</v>
      </c>
      <c r="M385" t="s">
        <v>354</v>
      </c>
      <c r="N385" t="str">
        <f t="shared" si="83"/>
        <v>u</v>
      </c>
      <c r="Q385" t="str">
        <f t="shared" si="82"/>
        <v/>
      </c>
      <c r="S385">
        <f>IF(A385=1,MAX($S$2:$S384)+1,IF(OR($I385&lt;&gt;"",A385="x"),$S384,""))</f>
        <v>193</v>
      </c>
      <c r="T385">
        <f>IF(D385=1,MAX($T$2:$T384)+1,IF(S385=S384,$T384,IF(D385="x",T384,IF(D384="x","",""))))</f>
        <v>24</v>
      </c>
      <c r="U385" t="str">
        <f>IF(B385=1,MAX($U$2:$U384)+1,IF(AND($T385&lt;&gt;"",$T385=$T384),$U384,IF(B385="x",U384,"")))</f>
        <v/>
      </c>
      <c r="V385" t="str">
        <f>IF(C385=1,MAX($V$2:$V384)+1,IF(AND($T385&lt;&gt;"",$T385=$T384),$U384,IF(C385="x",V384,"")))</f>
        <v/>
      </c>
      <c r="X385" cm="1">
        <f t="array" ref="X385">IF($I385&lt;&gt;"",$I385,INDEX($I$1:$I385,ROW()-COUNTIFS($T$1:$T385,"="&amp;$T385,$S$1:$S385,"&lt;"&amp;$S385)))</f>
        <v>14</v>
      </c>
      <c r="Z385" s="6">
        <f t="shared" si="77"/>
        <v>1</v>
      </c>
      <c r="AA385">
        <f t="shared" si="78"/>
        <v>1193</v>
      </c>
      <c r="AB385">
        <f t="shared" si="79"/>
        <v>9024</v>
      </c>
      <c r="AC385">
        <f t="shared" si="80"/>
        <v>9024</v>
      </c>
      <c r="BI385" s="40"/>
      <c r="BL385" s="40"/>
      <c r="BN385" s="19"/>
      <c r="BP385" s="17"/>
    </row>
    <row r="386" spans="1:68" x14ac:dyDescent="0.2">
      <c r="A386" t="str">
        <f t="shared" si="76"/>
        <v>x</v>
      </c>
      <c r="D386" s="26" t="s">
        <v>729</v>
      </c>
      <c r="E386" s="4"/>
      <c r="F386" s="46"/>
      <c r="G386" s="4"/>
      <c r="H386" s="48"/>
      <c r="J386" s="26" t="str">
        <f t="shared" si="81"/>
        <v/>
      </c>
      <c r="N386" t="str">
        <f t="shared" si="83"/>
        <v/>
      </c>
      <c r="Q386" t="str">
        <f t="shared" si="82"/>
        <v/>
      </c>
      <c r="S386">
        <f>IF(A386=1,MAX($S$2:$S385)+1,IF(OR($I386&lt;&gt;"",A386="x"),$S385,""))</f>
        <v>193</v>
      </c>
      <c r="T386">
        <f>IF(D386=1,MAX($T$2:$T385)+1,IF(S386=S385,$T385,IF(D386="x",T385,IF(D385="x","",""))))</f>
        <v>24</v>
      </c>
      <c r="U386" t="str">
        <f>IF(B386=1,MAX($U$2:$U385)+1,IF(AND($T386&lt;&gt;"",$T386=$T385),$U385,IF(B386="x",U385,"")))</f>
        <v/>
      </c>
      <c r="V386" t="str">
        <f>IF(C386=1,MAX($V$2:$V385)+1,IF(AND($T386&lt;&gt;"",$T386=$T385),$U385,IF(C386="x",V385,"")))</f>
        <v/>
      </c>
      <c r="X386" cm="1">
        <f t="array" ref="X386">IF($I386&lt;&gt;"",$I386,INDEX($I$1:$I386,ROW()-COUNTIFS($T$1:$T386,"="&amp;$T386,$S$1:$S386,"&lt;"&amp;$S386)))</f>
        <v>12</v>
      </c>
      <c r="Z386" s="6">
        <f t="shared" si="77"/>
        <v>1</v>
      </c>
      <c r="AA386">
        <f t="shared" si="78"/>
        <v>1193</v>
      </c>
      <c r="AB386">
        <f t="shared" si="79"/>
        <v>9024</v>
      </c>
      <c r="AC386">
        <f t="shared" si="80"/>
        <v>9024</v>
      </c>
      <c r="BI386" s="40"/>
      <c r="BL386" s="40"/>
      <c r="BN386" s="19"/>
      <c r="BP386" s="17"/>
    </row>
    <row r="387" spans="1:68" x14ac:dyDescent="0.2">
      <c r="A387" t="str">
        <f t="shared" si="76"/>
        <v>x</v>
      </c>
      <c r="D387" s="26" t="s">
        <v>729</v>
      </c>
      <c r="E387" s="4"/>
      <c r="F387" s="46"/>
      <c r="G387" s="4"/>
      <c r="H387" s="48"/>
      <c r="J387" s="26" t="str">
        <f t="shared" si="81"/>
        <v/>
      </c>
      <c r="N387" t="str">
        <f t="shared" si="83"/>
        <v/>
      </c>
      <c r="Q387" t="str">
        <f t="shared" si="82"/>
        <v/>
      </c>
      <c r="S387">
        <f>IF(A387=1,MAX($S$2:$S386)+1,IF(OR($I387&lt;&gt;"",A387="x"),$S386,""))</f>
        <v>193</v>
      </c>
      <c r="T387">
        <f>IF(D387=1,MAX($T$2:$T386)+1,IF(S387=S386,$T386,IF(D387="x",T386,IF(D386="x","",""))))</f>
        <v>24</v>
      </c>
      <c r="U387" t="str">
        <f>IF(B387=1,MAX($U$2:$U386)+1,IF(AND($T387&lt;&gt;"",$T387=$T386),$U386,IF(B387="x",U386,"")))</f>
        <v/>
      </c>
      <c r="V387" t="str">
        <f>IF(C387=1,MAX($V$2:$V386)+1,IF(AND($T387&lt;&gt;"",$T387=$T386),$U386,IF(C387="x",V386,"")))</f>
        <v/>
      </c>
      <c r="X387" cm="1">
        <f t="array" ref="X387">IF($I387&lt;&gt;"",$I387,INDEX($I$1:$I387,ROW()-COUNTIFS($T$1:$T387,"="&amp;$T387,$S$1:$S387,"&lt;"&amp;$S387)))</f>
        <v>19</v>
      </c>
      <c r="Z387" s="6">
        <f t="shared" si="77"/>
        <v>1</v>
      </c>
      <c r="AA387">
        <f t="shared" si="78"/>
        <v>1193</v>
      </c>
      <c r="AB387">
        <f t="shared" si="79"/>
        <v>9024</v>
      </c>
      <c r="AC387">
        <f t="shared" si="80"/>
        <v>9024</v>
      </c>
      <c r="BI387" s="40"/>
      <c r="BL387" s="40"/>
      <c r="BN387" s="19"/>
      <c r="BP387" s="17"/>
    </row>
    <row r="388" spans="1:68" x14ac:dyDescent="0.2">
      <c r="A388">
        <f t="shared" si="76"/>
        <v>1</v>
      </c>
      <c r="E388" s="4"/>
      <c r="F388" s="46" t="s">
        <v>746</v>
      </c>
      <c r="G388" s="4"/>
      <c r="H388" s="48" t="s">
        <v>1050</v>
      </c>
      <c r="I388" s="26">
        <v>41</v>
      </c>
      <c r="J388" s="26" t="s">
        <v>734</v>
      </c>
      <c r="K388" t="s">
        <v>13</v>
      </c>
      <c r="L388" t="s">
        <v>586</v>
      </c>
      <c r="N388" t="str">
        <f t="shared" si="83"/>
        <v/>
      </c>
      <c r="O388" t="s">
        <v>912</v>
      </c>
      <c r="Q388" t="str">
        <f t="shared" si="82"/>
        <v/>
      </c>
      <c r="S388">
        <f>IF(A388=1,MAX($S$2:$S387)+1,IF(OR($I388&lt;&gt;"",A388="x"),$S387,""))</f>
        <v>194</v>
      </c>
      <c r="T388" t="str">
        <f>IF(D388=1,MAX($T$2:$T387)+1,IF(S388=S387,$T387,IF(D388="x",T387,IF(D387="x","",""))))</f>
        <v/>
      </c>
      <c r="U388" t="str">
        <f>IF(B388=1,MAX($U$2:$U387)+1,IF(AND($T388&lt;&gt;"",$T388=$T387),$U387,IF(B388="x",U387,"")))</f>
        <v/>
      </c>
      <c r="V388" t="str">
        <f>IF(C388=1,MAX($V$2:$V387)+1,IF(AND($T388&lt;&gt;"",$T388=$T387),$U387,IF(C388="x",V387,"")))</f>
        <v/>
      </c>
      <c r="X388" cm="1">
        <f t="array" ref="X388">IF($I388&lt;&gt;"",$I388,INDEX($I$1:$I388,ROW()-COUNTIFS($T$1:$T388,"="&amp;$T388,$S$1:$S388,"&lt;"&amp;$S388)))</f>
        <v>41</v>
      </c>
      <c r="Z388" s="6">
        <f t="shared" si="77"/>
        <v>1</v>
      </c>
      <c r="AA388">
        <f t="shared" si="78"/>
        <v>1194</v>
      </c>
      <c r="AB388" t="str">
        <f t="shared" si="79"/>
        <v/>
      </c>
      <c r="AC388">
        <f t="shared" si="80"/>
        <v>1194</v>
      </c>
      <c r="BI388" s="40"/>
      <c r="BL388" s="40"/>
      <c r="BN388" s="19"/>
      <c r="BP388" s="17"/>
    </row>
    <row r="389" spans="1:68" x14ac:dyDescent="0.2">
      <c r="A389">
        <f t="shared" ref="A389:A452" si="84">IF(K389&lt;&gt;"",1,IF(D389="x","x",""))</f>
        <v>1</v>
      </c>
      <c r="E389" s="4"/>
      <c r="F389" s="46"/>
      <c r="G389" s="4"/>
      <c r="H389" s="48"/>
      <c r="I389" s="26">
        <v>41</v>
      </c>
      <c r="J389" s="26" t="s">
        <v>734</v>
      </c>
      <c r="K389" t="s">
        <v>7</v>
      </c>
      <c r="N389" t="str">
        <f t="shared" si="83"/>
        <v>u</v>
      </c>
      <c r="Q389" t="str">
        <f t="shared" si="82"/>
        <v/>
      </c>
      <c r="S389">
        <f>IF(A389=1,MAX($S$2:$S388)+1,IF(OR($I389&lt;&gt;"",A389="x"),$S388,""))</f>
        <v>195</v>
      </c>
      <c r="T389" t="str">
        <f>IF(D389=1,MAX($T$2:$T388)+1,IF(S389=S388,$T388,IF(D389="x",T388,IF(D388="x","",""))))</f>
        <v/>
      </c>
      <c r="U389" t="str">
        <f>IF(B389=1,MAX($U$2:$U388)+1,IF(AND($T389&lt;&gt;"",$T389=$T388),$U388,IF(B389="x",U388,"")))</f>
        <v/>
      </c>
      <c r="V389" t="str">
        <f>IF(C389=1,MAX($V$2:$V388)+1,IF(AND($T389&lt;&gt;"",$T389=$T388),$U388,IF(C389="x",V388,"")))</f>
        <v/>
      </c>
      <c r="X389" cm="1">
        <f t="array" ref="X389">IF($I389&lt;&gt;"",$I389,INDEX($I$1:$I389,ROW()-COUNTIFS($T$1:$T389,"="&amp;$T389,$S$1:$S389,"&lt;"&amp;$S389)))</f>
        <v>41</v>
      </c>
      <c r="Z389" s="6">
        <f t="shared" ref="Z389:Z452" si="85">IF(K389="Intermission",Z388+1,Z388)</f>
        <v>1</v>
      </c>
      <c r="AA389">
        <f t="shared" ref="AA389:AA452" si="86">S389+1000</f>
        <v>1195</v>
      </c>
      <c r="AB389" t="str">
        <f t="shared" ref="AB389:AB452" si="87">IF(T389&lt;&gt;"",9000+T389,"")</f>
        <v/>
      </c>
      <c r="AC389">
        <f t="shared" ref="AC389:AC452" si="88">IF(AB389&lt;&gt;"",AB389,S389+1000)</f>
        <v>1195</v>
      </c>
      <c r="BI389" s="40"/>
      <c r="BL389" s="40"/>
      <c r="BN389" s="19"/>
      <c r="BP389" s="17"/>
    </row>
    <row r="390" spans="1:68" x14ac:dyDescent="0.2">
      <c r="A390" t="str">
        <f t="shared" si="84"/>
        <v/>
      </c>
      <c r="E390" s="4"/>
      <c r="F390" s="46"/>
      <c r="G390" s="4"/>
      <c r="H390" s="48"/>
      <c r="I390" s="26">
        <v>73</v>
      </c>
      <c r="J390" s="26" t="str">
        <f t="shared" ref="J390:J452" si="89">IF(OR(K390="Goal",K390="Shot",L390="Zone_Entry",M390="Stoppage-Goal",M389="Stoppage-Goal"),"o",IF(OR(K390="Save",K390="Rebound",L390="Zone_Exit",M390="Stoppage-GoalieStoppage",M389="Stoppage-GoalieStoppage"),"d",IF(OR(L390="Faceoff_AfterGoal",L390="Faceoff_PeriodStart",698="Faceoff_GameStart",M389="Stoppage-Goal"),"n","")))</f>
        <v/>
      </c>
      <c r="N390" t="str">
        <f t="shared" si="83"/>
        <v/>
      </c>
      <c r="Q390" t="str">
        <f t="shared" si="82"/>
        <v/>
      </c>
      <c r="S390">
        <f>IF(A390=1,MAX($S$2:$S389)+1,IF(OR($I390&lt;&gt;"",A390="x"),$S389,""))</f>
        <v>195</v>
      </c>
      <c r="T390" t="str">
        <f>IF(D390=1,MAX($T$2:$T389)+1,IF(S390=S389,$T389,IF(D390="x",T389,IF(D389="x","",""))))</f>
        <v/>
      </c>
      <c r="U390" t="str">
        <f>IF(B390=1,MAX($U$2:$U389)+1,IF(AND($T390&lt;&gt;"",$T390=$T389),$U389,IF(B390="x",U389,"")))</f>
        <v/>
      </c>
      <c r="V390" t="str">
        <f>IF(C390=1,MAX($V$2:$V389)+1,IF(AND($T390&lt;&gt;"",$T390=$T389),$U389,IF(C390="x",V389,"")))</f>
        <v/>
      </c>
      <c r="X390" cm="1">
        <f t="array" ref="X390">IF($I390&lt;&gt;"",$I390,INDEX($I$1:$I390,ROW()-COUNTIFS($T$1:$T390,"="&amp;$T390,$S$1:$S390,"&lt;"&amp;$S390)))</f>
        <v>73</v>
      </c>
      <c r="Z390" s="6">
        <f t="shared" si="85"/>
        <v>1</v>
      </c>
      <c r="AA390">
        <f t="shared" si="86"/>
        <v>1195</v>
      </c>
      <c r="AB390" t="str">
        <f t="shared" si="87"/>
        <v/>
      </c>
      <c r="AC390">
        <f t="shared" si="88"/>
        <v>1195</v>
      </c>
      <c r="BI390" s="40"/>
      <c r="BL390" s="40"/>
      <c r="BN390" s="19"/>
      <c r="BP390" s="17"/>
    </row>
    <row r="391" spans="1:68" x14ac:dyDescent="0.2">
      <c r="A391">
        <f t="shared" si="84"/>
        <v>1</v>
      </c>
      <c r="E391" s="4"/>
      <c r="F391" s="46"/>
      <c r="G391" s="4"/>
      <c r="H391" s="48"/>
      <c r="I391" s="26">
        <v>73</v>
      </c>
      <c r="J391" s="26" t="s">
        <v>734</v>
      </c>
      <c r="K391" t="s">
        <v>7</v>
      </c>
      <c r="L391" t="s">
        <v>182</v>
      </c>
      <c r="M391" t="s">
        <v>68</v>
      </c>
      <c r="N391" t="str">
        <f t="shared" si="83"/>
        <v>u</v>
      </c>
      <c r="O391" t="s">
        <v>576</v>
      </c>
      <c r="Q391" t="str">
        <f t="shared" si="82"/>
        <v>u</v>
      </c>
      <c r="R391" s="26">
        <v>1</v>
      </c>
      <c r="S391">
        <f>IF(A391=1,MAX($S$2:$S390)+1,IF(OR($I391&lt;&gt;"",A391="x"),$S390,""))</f>
        <v>196</v>
      </c>
      <c r="T391" t="str">
        <f>IF(D391=1,MAX($T$2:$T390)+1,IF(S391=S390,$T390,IF(D391="x",T390,IF(D390="x","",""))))</f>
        <v/>
      </c>
      <c r="U391" t="str">
        <f>IF(B391=1,MAX($U$2:$U390)+1,IF(AND($T391&lt;&gt;"",$T391=$T390),$U390,IF(B391="x",U390,"")))</f>
        <v/>
      </c>
      <c r="V391" t="str">
        <f>IF(C391=1,MAX($V$2:$V390)+1,IF(AND($T391&lt;&gt;"",$T391=$T390),$U390,IF(C391="x",V390,"")))</f>
        <v/>
      </c>
      <c r="X391" cm="1">
        <f t="array" ref="X391">IF($I391&lt;&gt;"",$I391,INDEX($I$1:$I391,ROW()-COUNTIFS($T$1:$T391,"="&amp;$T391,$S$1:$S391,"&lt;"&amp;$S391)))</f>
        <v>73</v>
      </c>
      <c r="Z391" s="6">
        <f t="shared" si="85"/>
        <v>1</v>
      </c>
      <c r="AA391">
        <f t="shared" si="86"/>
        <v>1196</v>
      </c>
      <c r="AB391" t="str">
        <f t="shared" si="87"/>
        <v/>
      </c>
      <c r="AC391">
        <f t="shared" si="88"/>
        <v>1196</v>
      </c>
      <c r="BI391" s="40"/>
      <c r="BL391" s="40"/>
      <c r="BN391" s="19"/>
      <c r="BP391" s="17"/>
    </row>
    <row r="392" spans="1:68" x14ac:dyDescent="0.2">
      <c r="A392" t="str">
        <f t="shared" si="84"/>
        <v/>
      </c>
      <c r="E392" s="4"/>
      <c r="F392" s="46"/>
      <c r="G392" s="4"/>
      <c r="H392" s="48"/>
      <c r="I392" s="26">
        <v>16</v>
      </c>
      <c r="J392" s="26" t="str">
        <f t="shared" si="89"/>
        <v/>
      </c>
      <c r="N392" t="str">
        <f t="shared" si="83"/>
        <v/>
      </c>
      <c r="Q392" t="str">
        <f t="shared" si="82"/>
        <v/>
      </c>
      <c r="S392">
        <f>IF(A392=1,MAX($S$2:$S391)+1,IF(OR($I392&lt;&gt;"",A392="x"),$S391,""))</f>
        <v>196</v>
      </c>
      <c r="T392" t="str">
        <f>IF(D392=1,MAX($T$2:$T391)+1,IF(S392=S391,$T391,IF(D392="x",T391,IF(D391="x","",""))))</f>
        <v/>
      </c>
      <c r="U392" t="str">
        <f>IF(B392=1,MAX($U$2:$U391)+1,IF(AND($T392&lt;&gt;"",$T392=$T391),$U391,IF(B392="x",U391,"")))</f>
        <v/>
      </c>
      <c r="V392" t="str">
        <f>IF(C392=1,MAX($V$2:$V391)+1,IF(AND($T392&lt;&gt;"",$T392=$T391),$U391,IF(C392="x",V391,"")))</f>
        <v/>
      </c>
      <c r="X392" cm="1">
        <f t="array" ref="X392">IF($I392&lt;&gt;"",$I392,INDEX($I$1:$I392,ROW()-COUNTIFS($T$1:$T392,"="&amp;$T392,$S$1:$S392,"&lt;"&amp;$S392)))</f>
        <v>16</v>
      </c>
      <c r="Z392" s="6">
        <f t="shared" si="85"/>
        <v>1</v>
      </c>
      <c r="AA392">
        <f t="shared" si="86"/>
        <v>1196</v>
      </c>
      <c r="AB392" t="str">
        <f t="shared" si="87"/>
        <v/>
      </c>
      <c r="AC392">
        <f t="shared" si="88"/>
        <v>1196</v>
      </c>
      <c r="BI392" s="40"/>
      <c r="BL392" s="40"/>
      <c r="BN392" s="19"/>
      <c r="BP392" s="17"/>
    </row>
    <row r="393" spans="1:68" x14ac:dyDescent="0.2">
      <c r="A393" t="str">
        <f t="shared" si="84"/>
        <v/>
      </c>
      <c r="E393" s="4"/>
      <c r="F393" s="46"/>
      <c r="G393" s="4"/>
      <c r="H393" s="48"/>
      <c r="I393" s="26">
        <v>87</v>
      </c>
      <c r="J393" s="26" t="str">
        <f t="shared" si="89"/>
        <v/>
      </c>
      <c r="N393" t="str">
        <f t="shared" si="83"/>
        <v/>
      </c>
      <c r="O393" t="s">
        <v>566</v>
      </c>
      <c r="Q393" t="str">
        <f t="shared" si="82"/>
        <v/>
      </c>
      <c r="R393" s="26">
        <v>1</v>
      </c>
      <c r="S393">
        <f>IF(A393=1,MAX($S$2:$S392)+1,IF(OR($I393&lt;&gt;"",A393="x"),$S392,""))</f>
        <v>196</v>
      </c>
      <c r="T393" t="str">
        <f>IF(D393=1,MAX($T$2:$T392)+1,IF(S393=S392,$T392,IF(D393="x",T392,IF(D392="x","",""))))</f>
        <v/>
      </c>
      <c r="U393" t="str">
        <f>IF(B393=1,MAX($U$2:$U392)+1,IF(AND($T393&lt;&gt;"",$T393=$T392),$U392,IF(B393="x",U392,"")))</f>
        <v/>
      </c>
      <c r="V393" t="str">
        <f>IF(C393=1,MAX($V$2:$V392)+1,IF(AND($T393&lt;&gt;"",$T393=$T392),$U392,IF(C393="x",V392,"")))</f>
        <v/>
      </c>
      <c r="X393" cm="1">
        <f t="array" ref="X393">IF($I393&lt;&gt;"",$I393,INDEX($I$1:$I393,ROW()-COUNTIFS($T$1:$T393,"="&amp;$T393,$S$1:$S393,"&lt;"&amp;$S393)))</f>
        <v>87</v>
      </c>
      <c r="Z393" s="6">
        <f t="shared" si="85"/>
        <v>1</v>
      </c>
      <c r="AA393">
        <f t="shared" si="86"/>
        <v>1196</v>
      </c>
      <c r="AB393" t="str">
        <f t="shared" si="87"/>
        <v/>
      </c>
      <c r="AC393">
        <f t="shared" si="88"/>
        <v>1196</v>
      </c>
      <c r="BI393" s="40"/>
      <c r="BL393" s="40"/>
      <c r="BN393" s="19"/>
      <c r="BP393" s="17"/>
    </row>
    <row r="394" spans="1:68" x14ac:dyDescent="0.2">
      <c r="A394">
        <f t="shared" si="84"/>
        <v>1</v>
      </c>
      <c r="E394" s="4"/>
      <c r="F394" s="46" t="s">
        <v>1069</v>
      </c>
      <c r="G394" s="4"/>
      <c r="H394" s="48"/>
      <c r="I394" s="26">
        <v>41</v>
      </c>
      <c r="J394" s="26" t="s">
        <v>734</v>
      </c>
      <c r="K394" t="s">
        <v>13</v>
      </c>
      <c r="L394" t="s">
        <v>587</v>
      </c>
      <c r="N394" t="s">
        <v>594</v>
      </c>
      <c r="Q394" t="str">
        <f t="shared" si="82"/>
        <v/>
      </c>
      <c r="R394" s="26">
        <v>1</v>
      </c>
      <c r="S394">
        <f>IF(A394=1,MAX($S$2:$S393)+1,IF(OR($I394&lt;&gt;"",A394="x"),$S393,""))</f>
        <v>197</v>
      </c>
      <c r="T394" t="str">
        <f>IF(D394=1,MAX($T$2:$T393)+1,IF(S394=S393,$T393,IF(D394="x",T393,IF(D393="x","",""))))</f>
        <v/>
      </c>
      <c r="U394" t="str">
        <f>IF(B394=1,MAX($U$2:$U393)+1,IF(AND($T394&lt;&gt;"",$T394=$T393),$U393,IF(B394="x",U393,"")))</f>
        <v/>
      </c>
      <c r="V394" t="str">
        <f>IF(C394=1,MAX($V$2:$V393)+1,IF(AND($T394&lt;&gt;"",$T394=$T393),$U393,IF(C394="x",V393,"")))</f>
        <v/>
      </c>
      <c r="X394" cm="1">
        <f t="array" ref="X394">IF($I394&lt;&gt;"",$I394,INDEX($I$1:$I394,ROW()-COUNTIFS($T$1:$T394,"="&amp;$T394,$S$1:$S394,"&lt;"&amp;$S394)))</f>
        <v>41</v>
      </c>
      <c r="Z394" s="6">
        <f t="shared" si="85"/>
        <v>1</v>
      </c>
      <c r="AA394">
        <f t="shared" si="86"/>
        <v>1197</v>
      </c>
      <c r="AB394" t="str">
        <f t="shared" si="87"/>
        <v/>
      </c>
      <c r="AC394">
        <f t="shared" si="88"/>
        <v>1197</v>
      </c>
      <c r="BI394" s="40"/>
      <c r="BL394" s="40"/>
      <c r="BN394" s="19"/>
      <c r="BP394" s="17"/>
    </row>
    <row r="395" spans="1:68" x14ac:dyDescent="0.2">
      <c r="A395" t="str">
        <f t="shared" si="84"/>
        <v/>
      </c>
      <c r="E395" s="4"/>
      <c r="F395" s="46"/>
      <c r="G395" s="4"/>
      <c r="H395" s="48"/>
      <c r="I395" s="26">
        <v>75</v>
      </c>
      <c r="J395" s="26" t="str">
        <f t="shared" si="89"/>
        <v/>
      </c>
      <c r="N395" t="str">
        <f t="shared" si="83"/>
        <v/>
      </c>
      <c r="Q395" t="str">
        <f t="shared" si="82"/>
        <v/>
      </c>
      <c r="R395" s="26">
        <v>1</v>
      </c>
      <c r="S395">
        <f>IF(A395=1,MAX($S$2:$S394)+1,IF(OR($I395&lt;&gt;"",A395="x"),$S394,""))</f>
        <v>197</v>
      </c>
      <c r="T395" t="str">
        <f>IF(D395=1,MAX($T$2:$T394)+1,IF(S395=S394,$T394,IF(D395="x",T394,IF(D394="x","",""))))</f>
        <v/>
      </c>
      <c r="U395" t="str">
        <f>IF(B395=1,MAX($U$2:$U394)+1,IF(AND($T395&lt;&gt;"",$T395=$T394),$U394,IF(B395="x",U394,"")))</f>
        <v/>
      </c>
      <c r="V395" t="str">
        <f>IF(C395=1,MAX($V$2:$V394)+1,IF(AND($T395&lt;&gt;"",$T395=$T394),$U394,IF(C395="x",V394,"")))</f>
        <v/>
      </c>
      <c r="X395" cm="1">
        <f t="array" ref="X395">IF($I395&lt;&gt;"",$I395,INDEX($I$1:$I395,ROW()-COUNTIFS($T$1:$T395,"="&amp;$T395,$S$1:$S395,"&lt;"&amp;$S395)))</f>
        <v>75</v>
      </c>
      <c r="Z395" s="6">
        <f t="shared" si="85"/>
        <v>1</v>
      </c>
      <c r="AA395">
        <f t="shared" si="86"/>
        <v>1197</v>
      </c>
      <c r="AB395" t="str">
        <f t="shared" si="87"/>
        <v/>
      </c>
      <c r="AC395">
        <f t="shared" si="88"/>
        <v>1197</v>
      </c>
      <c r="BI395" s="40"/>
      <c r="BL395" s="40"/>
      <c r="BN395" s="19"/>
      <c r="BP395" s="17"/>
    </row>
    <row r="396" spans="1:68" x14ac:dyDescent="0.2">
      <c r="A396">
        <f t="shared" si="84"/>
        <v>1</v>
      </c>
      <c r="D396" s="26">
        <v>1</v>
      </c>
      <c r="E396" s="4"/>
      <c r="F396" s="46"/>
      <c r="G396" s="4"/>
      <c r="H396" s="48"/>
      <c r="I396" s="26">
        <v>41</v>
      </c>
      <c r="J396" s="26" t="s">
        <v>734</v>
      </c>
      <c r="K396" t="s">
        <v>238</v>
      </c>
      <c r="L396" t="s">
        <v>656</v>
      </c>
      <c r="M396" t="s">
        <v>87</v>
      </c>
      <c r="N396" t="str">
        <f t="shared" si="83"/>
        <v>u</v>
      </c>
      <c r="Q396" t="str">
        <f t="shared" si="82"/>
        <v/>
      </c>
      <c r="R396" s="26">
        <v>1</v>
      </c>
      <c r="S396">
        <f>IF(A396=1,MAX($S$2:$S395)+1,IF(OR($I396&lt;&gt;"",A396="x"),$S395,""))</f>
        <v>198</v>
      </c>
      <c r="T396">
        <f>IF(D396=1,MAX($T$2:$T395)+1,IF(S396=S395,$T395,IF(D396="x",T395,IF(D395="x","",""))))</f>
        <v>25</v>
      </c>
      <c r="U396" t="str">
        <f>IF(B396=1,MAX($U$2:$U395)+1,IF(AND($T396&lt;&gt;"",$T396=$T395),$U395,IF(B396="x",U395,"")))</f>
        <v/>
      </c>
      <c r="V396" t="str">
        <f>IF(C396=1,MAX($V$2:$V395)+1,IF(AND($T396&lt;&gt;"",$T396=$T395),$U395,IF(C396="x",V395,"")))</f>
        <v/>
      </c>
      <c r="X396" cm="1">
        <f t="array" ref="X396">IF($I396&lt;&gt;"",$I396,INDEX($I$1:$I396,ROW()-COUNTIFS($T$1:$T396,"="&amp;$T396,$S$1:$S396,"&lt;"&amp;$S396)))</f>
        <v>41</v>
      </c>
      <c r="Z396" s="6">
        <f t="shared" si="85"/>
        <v>1</v>
      </c>
      <c r="AA396">
        <f t="shared" si="86"/>
        <v>1198</v>
      </c>
      <c r="AB396">
        <f t="shared" si="87"/>
        <v>9025</v>
      </c>
      <c r="AC396">
        <f t="shared" si="88"/>
        <v>9025</v>
      </c>
      <c r="BI396" s="40"/>
      <c r="BL396" s="40"/>
      <c r="BN396" s="19"/>
      <c r="BP396" s="17"/>
    </row>
    <row r="397" spans="1:68" x14ac:dyDescent="0.2">
      <c r="A397" t="str">
        <f t="shared" si="84"/>
        <v>x</v>
      </c>
      <c r="D397" s="26" t="s">
        <v>729</v>
      </c>
      <c r="E397" s="4"/>
      <c r="F397" s="46"/>
      <c r="G397" s="4"/>
      <c r="H397" s="48"/>
      <c r="I397" s="26">
        <v>75</v>
      </c>
      <c r="J397" s="26" t="str">
        <f t="shared" si="89"/>
        <v/>
      </c>
      <c r="N397" t="str">
        <f t="shared" si="83"/>
        <v/>
      </c>
      <c r="Q397" t="str">
        <f t="shared" si="82"/>
        <v/>
      </c>
      <c r="R397" s="26">
        <v>1</v>
      </c>
      <c r="S397">
        <f>IF(A397=1,MAX($S$2:$S396)+1,IF(OR($I397&lt;&gt;"",A397="x"),$S396,""))</f>
        <v>198</v>
      </c>
      <c r="T397">
        <f>IF(D397=1,MAX($T$2:$T396)+1,IF(S397=S396,$T396,IF(D397="x",T396,IF(D396="x","",""))))</f>
        <v>25</v>
      </c>
      <c r="U397" t="str">
        <f>IF(B397=1,MAX($U$2:$U396)+1,IF(AND($T397&lt;&gt;"",$T397=$T396),$U396,IF(B397="x",U396,"")))</f>
        <v/>
      </c>
      <c r="V397" t="str">
        <f>IF(C397=1,MAX($V$2:$V396)+1,IF(AND($T397&lt;&gt;"",$T397=$T396),$U396,IF(C397="x",V396,"")))</f>
        <v/>
      </c>
      <c r="X397" cm="1">
        <f t="array" ref="X397">IF($I397&lt;&gt;"",$I397,INDEX($I$1:$I397,ROW()-COUNTIFS($T$1:$T397,"="&amp;$T397,$S$1:$S397,"&lt;"&amp;$S397)))</f>
        <v>75</v>
      </c>
      <c r="Z397" s="6">
        <f t="shared" si="85"/>
        <v>1</v>
      </c>
      <c r="AA397">
        <f t="shared" si="86"/>
        <v>1198</v>
      </c>
      <c r="AB397">
        <f t="shared" si="87"/>
        <v>9025</v>
      </c>
      <c r="AC397">
        <f t="shared" si="88"/>
        <v>9025</v>
      </c>
      <c r="BI397" s="40"/>
      <c r="BL397" s="40"/>
      <c r="BN397" s="19"/>
      <c r="BP397" s="17"/>
    </row>
    <row r="398" spans="1:68" x14ac:dyDescent="0.2">
      <c r="A398" t="str">
        <f t="shared" si="84"/>
        <v>x</v>
      </c>
      <c r="D398" s="26" t="s">
        <v>729</v>
      </c>
      <c r="E398" s="4"/>
      <c r="F398" s="46"/>
      <c r="G398" s="4"/>
      <c r="H398" s="48"/>
      <c r="I398" s="26">
        <v>9</v>
      </c>
      <c r="J398" s="26" t="str">
        <f t="shared" si="89"/>
        <v/>
      </c>
      <c r="N398" t="str">
        <f t="shared" si="83"/>
        <v/>
      </c>
      <c r="O398" t="s">
        <v>560</v>
      </c>
      <c r="Q398" t="s">
        <v>595</v>
      </c>
      <c r="S398">
        <f>IF(A398=1,MAX($S$2:$S397)+1,IF(OR($I398&lt;&gt;"",A398="x"),$S397,""))</f>
        <v>198</v>
      </c>
      <c r="T398">
        <f>IF(D398=1,MAX($T$2:$T397)+1,IF(S398=S397,$T397,IF(D398="x",T397,IF(D397="x","",""))))</f>
        <v>25</v>
      </c>
      <c r="U398" t="str">
        <f>IF(B398=1,MAX($U$2:$U397)+1,IF(AND($T398&lt;&gt;"",$T398=$T397),$U397,IF(B398="x",U397,"")))</f>
        <v/>
      </c>
      <c r="V398" t="str">
        <f>IF(C398=1,MAX($V$2:$V397)+1,IF(AND($T398&lt;&gt;"",$T398=$T397),$U397,IF(C398="x",V397,"")))</f>
        <v/>
      </c>
      <c r="X398" cm="1">
        <f t="array" ref="X398">IF($I398&lt;&gt;"",$I398,INDEX($I$1:$I398,ROW()-COUNTIFS($T$1:$T398,"="&amp;$T398,$S$1:$S398,"&lt;"&amp;$S398)))</f>
        <v>9</v>
      </c>
      <c r="Z398" s="6">
        <f t="shared" si="85"/>
        <v>1</v>
      </c>
      <c r="AA398">
        <f t="shared" si="86"/>
        <v>1198</v>
      </c>
      <c r="AB398">
        <f t="shared" si="87"/>
        <v>9025</v>
      </c>
      <c r="AC398">
        <f t="shared" si="88"/>
        <v>9025</v>
      </c>
      <c r="BI398" s="40"/>
      <c r="BL398" s="40"/>
      <c r="BN398" s="19"/>
      <c r="BP398" s="17"/>
    </row>
    <row r="399" spans="1:68" x14ac:dyDescent="0.2">
      <c r="A399">
        <f t="shared" si="84"/>
        <v>1</v>
      </c>
      <c r="D399" s="26" t="s">
        <v>729</v>
      </c>
      <c r="E399" s="4"/>
      <c r="F399" s="46"/>
      <c r="G399" s="4"/>
      <c r="H399" s="48"/>
      <c r="J399" s="26" t="str">
        <f t="shared" si="89"/>
        <v/>
      </c>
      <c r="K399" t="s">
        <v>9</v>
      </c>
      <c r="L399" t="s">
        <v>173</v>
      </c>
      <c r="M399" t="s">
        <v>365</v>
      </c>
      <c r="N399" t="str">
        <f t="shared" si="83"/>
        <v>u</v>
      </c>
      <c r="Q399" t="str">
        <f t="shared" si="82"/>
        <v/>
      </c>
      <c r="S399">
        <f>IF(A399=1,MAX($S$2:$S398)+1,IF(OR($I399&lt;&gt;"",A399="x"),$S398,""))</f>
        <v>199</v>
      </c>
      <c r="T399">
        <f>IF(D399=1,MAX($T$2:$T398)+1,IF(S399=S398,$T398,IF(D399="x",T398,IF(D398="x","",""))))</f>
        <v>25</v>
      </c>
      <c r="U399" t="str">
        <f>IF(B399=1,MAX($U$2:$U398)+1,IF(AND($T399&lt;&gt;"",$T399=$T398),$U398,IF(B399="x",U398,"")))</f>
        <v/>
      </c>
      <c r="V399" t="str">
        <f>IF(C399=1,MAX($V$2:$V398)+1,IF(AND($T399&lt;&gt;"",$T399=$T398),$U398,IF(C399="x",V398,"")))</f>
        <v/>
      </c>
      <c r="X399" cm="1">
        <f t="array" ref="X399">IF($I399&lt;&gt;"",$I399,INDEX($I$1:$I399,ROW()-COUNTIFS($T$1:$T399,"="&amp;$T399,$S$1:$S399,"&lt;"&amp;$S399)))</f>
        <v>41</v>
      </c>
      <c r="Z399" s="6">
        <f t="shared" si="85"/>
        <v>1</v>
      </c>
      <c r="AA399">
        <f t="shared" si="86"/>
        <v>1199</v>
      </c>
      <c r="AB399">
        <f t="shared" si="87"/>
        <v>9025</v>
      </c>
      <c r="AC399">
        <f t="shared" si="88"/>
        <v>9025</v>
      </c>
      <c r="BI399" s="40"/>
      <c r="BL399" s="40"/>
      <c r="BN399" s="19"/>
      <c r="BP399" s="17"/>
    </row>
    <row r="400" spans="1:68" x14ac:dyDescent="0.2">
      <c r="A400" t="str">
        <f t="shared" si="84"/>
        <v>x</v>
      </c>
      <c r="D400" s="26" t="s">
        <v>729</v>
      </c>
      <c r="E400" s="4"/>
      <c r="F400" s="46"/>
      <c r="G400" s="4"/>
      <c r="H400" s="48"/>
      <c r="J400" s="26" t="str">
        <f t="shared" si="89"/>
        <v/>
      </c>
      <c r="N400" t="str">
        <f t="shared" si="83"/>
        <v/>
      </c>
      <c r="Q400" t="str">
        <f t="shared" ref="Q400:Q463" si="90">IF(O400="","",IF(AND(N400&lt;&gt;"",OR(O400&lt;&gt;"",P400&lt;&gt;"")),N400,IF(OR(ISNUMBER(SEARCH("attemp",O400)),ISNUMBER(SEARCH("beat",O400)),ISNUMBER(SEARCH("mis",O400)),ISNUMBER(SEARCH("fail",O400)),ISNUMBER(SEARCH("loss",O400)),ISNUMBER(SEARCH("lost",O400)),ISNUMBER(SEARCH("attemp",P400)),ISNUMBER(SEARCH("mis",P400)),ISNUMBER(SEARCH("fail",P400)),ISNUMBER(SEARCH("loss",P400)),ISNUMBER(SEARCH("beat",P400)),ISNUMBER(SEARCH("lost",P400))),"u","")))</f>
        <v/>
      </c>
      <c r="S400">
        <f>IF(A400=1,MAX($S$2:$S399)+1,IF(OR($I400&lt;&gt;"",A400="x"),$S399,""))</f>
        <v>199</v>
      </c>
      <c r="T400">
        <f>IF(D400=1,MAX($T$2:$T399)+1,IF(S400=S399,$T399,IF(D400="x",T399,IF(D399="x","",""))))</f>
        <v>25</v>
      </c>
      <c r="U400" t="str">
        <f>IF(B400=1,MAX($U$2:$U399)+1,IF(AND($T400&lt;&gt;"",$T400=$T399),$U399,IF(B400="x",U399,"")))</f>
        <v/>
      </c>
      <c r="V400" t="str">
        <f>IF(C400=1,MAX($V$2:$V399)+1,IF(AND($T400&lt;&gt;"",$T400=$T399),$U399,IF(C400="x",V399,"")))</f>
        <v/>
      </c>
      <c r="X400" cm="1">
        <f t="array" ref="X400">IF($I400&lt;&gt;"",$I400,INDEX($I$1:$I400,ROW()-COUNTIFS($T$1:$T400,"="&amp;$T400,$S$1:$S400,"&lt;"&amp;$S400)))</f>
        <v>75</v>
      </c>
      <c r="Z400" s="6">
        <f t="shared" si="85"/>
        <v>1</v>
      </c>
      <c r="AA400">
        <f t="shared" si="86"/>
        <v>1199</v>
      </c>
      <c r="AB400">
        <f t="shared" si="87"/>
        <v>9025</v>
      </c>
      <c r="AC400">
        <f t="shared" si="88"/>
        <v>9025</v>
      </c>
      <c r="BI400" s="40"/>
      <c r="BL400" s="40"/>
      <c r="BN400" s="19"/>
      <c r="BP400" s="17"/>
    </row>
    <row r="401" spans="1:68" x14ac:dyDescent="0.2">
      <c r="A401" t="str">
        <f t="shared" si="84"/>
        <v>x</v>
      </c>
      <c r="D401" s="26" t="s">
        <v>729</v>
      </c>
      <c r="E401" s="4"/>
      <c r="F401" s="46"/>
      <c r="G401" s="4"/>
      <c r="H401" s="48"/>
      <c r="J401" s="26" t="str">
        <f t="shared" si="89"/>
        <v/>
      </c>
      <c r="N401" t="str">
        <f t="shared" si="83"/>
        <v/>
      </c>
      <c r="Q401" t="str">
        <f t="shared" si="90"/>
        <v/>
      </c>
      <c r="S401">
        <f>IF(A401=1,MAX($S$2:$S400)+1,IF(OR($I401&lt;&gt;"",A401="x"),$S400,""))</f>
        <v>199</v>
      </c>
      <c r="T401">
        <f>IF(D401=1,MAX($T$2:$T400)+1,IF(S401=S400,$T400,IF(D401="x",T400,IF(D400="x","",""))))</f>
        <v>25</v>
      </c>
      <c r="U401" t="str">
        <f>IF(B401=1,MAX($U$2:$U400)+1,IF(AND($T401&lt;&gt;"",$T401=$T400),$U400,IF(B401="x",U400,"")))</f>
        <v/>
      </c>
      <c r="V401" t="str">
        <f>IF(C401=1,MAX($V$2:$V400)+1,IF(AND($T401&lt;&gt;"",$T401=$T400),$U400,IF(C401="x",V400,"")))</f>
        <v/>
      </c>
      <c r="X401" cm="1">
        <f t="array" ref="X401">IF($I401&lt;&gt;"",$I401,INDEX($I$1:$I401,ROW()-COUNTIFS($T$1:$T401,"="&amp;$T401,$S$1:$S401,"&lt;"&amp;$S401)))</f>
        <v>9</v>
      </c>
      <c r="Z401" s="6">
        <f t="shared" si="85"/>
        <v>1</v>
      </c>
      <c r="AA401">
        <f t="shared" si="86"/>
        <v>1199</v>
      </c>
      <c r="AB401">
        <f t="shared" si="87"/>
        <v>9025</v>
      </c>
      <c r="AC401">
        <f t="shared" si="88"/>
        <v>9025</v>
      </c>
      <c r="BI401" s="40"/>
      <c r="BL401" s="40"/>
      <c r="BN401" s="19"/>
      <c r="BP401" s="17"/>
    </row>
    <row r="402" spans="1:68" x14ac:dyDescent="0.2">
      <c r="A402">
        <f t="shared" si="84"/>
        <v>1</v>
      </c>
      <c r="E402" s="4"/>
      <c r="F402" s="46" t="s">
        <v>1057</v>
      </c>
      <c r="G402" s="4"/>
      <c r="H402" s="48"/>
      <c r="I402" s="26">
        <v>9</v>
      </c>
      <c r="J402" s="26" t="s">
        <v>734</v>
      </c>
      <c r="K402" t="s">
        <v>13</v>
      </c>
      <c r="L402" t="s">
        <v>586</v>
      </c>
      <c r="N402" t="s">
        <v>594</v>
      </c>
      <c r="O402" t="s">
        <v>904</v>
      </c>
      <c r="Q402" t="str">
        <f t="shared" si="90"/>
        <v>u</v>
      </c>
      <c r="S402">
        <f>IF(A402=1,MAX($S$2:$S401)+1,IF(OR($I402&lt;&gt;"",A402="x"),$S401,""))</f>
        <v>200</v>
      </c>
      <c r="T402" t="str">
        <f>IF(D402=1,MAX($T$2:$T401)+1,IF(S402=S401,$T401,IF(D402="x",T401,IF(D401="x","",""))))</f>
        <v/>
      </c>
      <c r="U402" t="str">
        <f>IF(B402=1,MAX($U$2:$U401)+1,IF(AND($T402&lt;&gt;"",$T402=$T401),$U401,IF(B402="x",U401,"")))</f>
        <v/>
      </c>
      <c r="V402" t="str">
        <f>IF(C402=1,MAX($V$2:$V401)+1,IF(AND($T402&lt;&gt;"",$T402=$T401),$U401,IF(C402="x",V401,"")))</f>
        <v/>
      </c>
      <c r="X402" cm="1">
        <f t="array" ref="X402">IF($I402&lt;&gt;"",$I402,INDEX($I$1:$I402,ROW()-COUNTIFS($T$1:$T402,"="&amp;$T402,$S$1:$S402,"&lt;"&amp;$S402)))</f>
        <v>9</v>
      </c>
      <c r="Z402" s="6">
        <f t="shared" si="85"/>
        <v>1</v>
      </c>
      <c r="AA402">
        <f t="shared" si="86"/>
        <v>1200</v>
      </c>
      <c r="AB402" t="str">
        <f t="shared" si="87"/>
        <v/>
      </c>
      <c r="AC402">
        <f t="shared" si="88"/>
        <v>1200</v>
      </c>
      <c r="BI402" s="40"/>
      <c r="BL402" s="40"/>
      <c r="BN402" s="19"/>
      <c r="BP402" s="17"/>
    </row>
    <row r="403" spans="1:68" x14ac:dyDescent="0.2">
      <c r="A403">
        <f t="shared" si="84"/>
        <v>1</v>
      </c>
      <c r="E403" s="4"/>
      <c r="F403" s="46"/>
      <c r="G403" s="4"/>
      <c r="H403" s="48"/>
      <c r="I403" s="26">
        <v>9</v>
      </c>
      <c r="J403" s="26" t="s">
        <v>734</v>
      </c>
      <c r="K403" t="s">
        <v>9</v>
      </c>
      <c r="L403" t="s">
        <v>173</v>
      </c>
      <c r="M403" t="s">
        <v>365</v>
      </c>
      <c r="N403" t="str">
        <f t="shared" si="83"/>
        <v>u</v>
      </c>
      <c r="O403" t="s">
        <v>576</v>
      </c>
      <c r="Q403" t="str">
        <f t="shared" si="90"/>
        <v>u</v>
      </c>
      <c r="S403">
        <f>IF(A403=1,MAX($S$2:$S402)+1,IF(OR($I403&lt;&gt;"",A403="x"),$S402,""))</f>
        <v>201</v>
      </c>
      <c r="T403" t="str">
        <f>IF(D403=1,MAX($T$2:$T402)+1,IF(S403=S402,$T402,IF(D403="x",T402,IF(D402="x","",""))))</f>
        <v/>
      </c>
      <c r="U403" t="str">
        <f>IF(B403=1,MAX($U$2:$U402)+1,IF(AND($T403&lt;&gt;"",$T403=$T402),$U402,IF(B403="x",U402,"")))</f>
        <v/>
      </c>
      <c r="V403" t="str">
        <f>IF(C403=1,MAX($V$2:$V402)+1,IF(AND($T403&lt;&gt;"",$T403=$T402),$U402,IF(C403="x",V402,"")))</f>
        <v/>
      </c>
      <c r="X403" cm="1">
        <f t="array" ref="X403">IF($I403&lt;&gt;"",$I403,INDEX($I$1:$I403,ROW()-COUNTIFS($T$1:$T403,"="&amp;$T403,$S$1:$S403,"&lt;"&amp;$S403)))</f>
        <v>9</v>
      </c>
      <c r="Z403" s="6">
        <f t="shared" si="85"/>
        <v>1</v>
      </c>
      <c r="AA403">
        <f t="shared" si="86"/>
        <v>1201</v>
      </c>
      <c r="AB403" t="str">
        <f t="shared" si="87"/>
        <v/>
      </c>
      <c r="AC403">
        <f t="shared" si="88"/>
        <v>1201</v>
      </c>
      <c r="BI403" s="40"/>
      <c r="BL403" s="40"/>
      <c r="BN403" s="19"/>
      <c r="BP403" s="17"/>
    </row>
    <row r="404" spans="1:68" x14ac:dyDescent="0.2">
      <c r="A404">
        <f t="shared" si="84"/>
        <v>1</v>
      </c>
      <c r="E404" s="4"/>
      <c r="F404" s="46" t="s">
        <v>1040</v>
      </c>
      <c r="G404" s="4"/>
      <c r="H404" s="48"/>
      <c r="I404" s="26">
        <v>19</v>
      </c>
      <c r="J404" s="26" t="s">
        <v>734</v>
      </c>
      <c r="K404" t="s">
        <v>13</v>
      </c>
      <c r="L404" t="s">
        <v>586</v>
      </c>
      <c r="N404" t="s">
        <v>594</v>
      </c>
      <c r="O404" t="s">
        <v>904</v>
      </c>
      <c r="Q404" t="str">
        <f t="shared" si="90"/>
        <v>u</v>
      </c>
      <c r="S404">
        <f>IF(A404=1,MAX($S$2:$S403)+1,IF(OR($I404&lt;&gt;"",A404="x"),$S403,""))</f>
        <v>202</v>
      </c>
      <c r="T404" t="str">
        <f>IF(D404=1,MAX($T$2:$T403)+1,IF(S404=S403,$T403,IF(D404="x",T403,IF(D403="x","",""))))</f>
        <v/>
      </c>
      <c r="U404" t="str">
        <f>IF(B404=1,MAX($U$2:$U403)+1,IF(AND($T404&lt;&gt;"",$T404=$T403),$U403,IF(B404="x",U403,"")))</f>
        <v/>
      </c>
      <c r="V404" t="str">
        <f>IF(C404=1,MAX($V$2:$V403)+1,IF(AND($T404&lt;&gt;"",$T404=$T403),$U403,IF(C404="x",V403,"")))</f>
        <v/>
      </c>
      <c r="X404" cm="1">
        <f t="array" ref="X404">IF($I404&lt;&gt;"",$I404,INDEX($I$1:$I404,ROW()-COUNTIFS($T$1:$T404,"="&amp;$T404,$S$1:$S404,"&lt;"&amp;$S404)))</f>
        <v>19</v>
      </c>
      <c r="Z404" s="6">
        <f t="shared" si="85"/>
        <v>1</v>
      </c>
      <c r="AA404">
        <f t="shared" si="86"/>
        <v>1202</v>
      </c>
      <c r="AB404" t="str">
        <f t="shared" si="87"/>
        <v/>
      </c>
      <c r="AC404">
        <f t="shared" si="88"/>
        <v>1202</v>
      </c>
      <c r="BI404" s="40"/>
      <c r="BL404" s="40"/>
      <c r="BN404" s="19"/>
      <c r="BP404" s="17"/>
    </row>
    <row r="405" spans="1:68" x14ac:dyDescent="0.2">
      <c r="A405">
        <f t="shared" si="84"/>
        <v>1</v>
      </c>
      <c r="E405" s="4"/>
      <c r="F405" s="46"/>
      <c r="G405" s="4"/>
      <c r="H405" s="48"/>
      <c r="I405" s="26">
        <v>19</v>
      </c>
      <c r="J405" s="26" t="s">
        <v>734</v>
      </c>
      <c r="K405" t="s">
        <v>9</v>
      </c>
      <c r="L405" t="s">
        <v>173</v>
      </c>
      <c r="M405" t="s">
        <v>365</v>
      </c>
      <c r="N405" t="str">
        <f t="shared" ref="N405:N468" si="91">IF(K405="","",IF(K405="Goal","s",IF(AND(K405="Zone_Entry_Exit",OR(ISNUMBER(SEARCH("fail",L405)),ISNUMBER(SEARCH("FromExitClear",M405)),ISNUMBER(SEARCH("miss",M405)))),"u",IF(AND(K405="Zone_Entry_Exit",OR(NOT(ISNUMBER(SEARCH("fail",L405))),NOT(ISNUMBER(SEARCH("FromExitClear",M405))),NOT(ISNUMBER(SEARCH("miss",M405))))),"s",IF(AND(OR(K405="Shot",K405="Pass"),OR(ISNUMBER(SEARCH("complete",L405)),ISNUMBER(SEARCH("goal",L405)),ISNUMBER(SEARCH("OnNet",L405)))),"s",IF(L405="Turnover_Giveaway","u",IF(AND(OR(K405="Shot",K405="Pass"),OR(ISNUMBER(SEARCH("fail",L405)),NOT(ISNUMBER(SEARCH("complete",L405))),NOT(ISNUMBER(SEARCH("OnNet",L405))))),"u","")))))))</f>
        <v>u</v>
      </c>
      <c r="O405" t="s">
        <v>576</v>
      </c>
      <c r="Q405" t="str">
        <f t="shared" si="90"/>
        <v>u</v>
      </c>
      <c r="S405">
        <f>IF(A405=1,MAX($S$2:$S404)+1,IF(OR($I405&lt;&gt;"",A405="x"),$S404,""))</f>
        <v>203</v>
      </c>
      <c r="T405" t="str">
        <f>IF(D405=1,MAX($T$2:$T404)+1,IF(S405=S404,$T404,IF(D405="x",T404,IF(D404="x","",""))))</f>
        <v/>
      </c>
      <c r="U405" t="str">
        <f>IF(B405=1,MAX($U$2:$U404)+1,IF(AND($T405&lt;&gt;"",$T405=$T404),$U404,IF(B405="x",U404,"")))</f>
        <v/>
      </c>
      <c r="V405" t="str">
        <f>IF(C405=1,MAX($V$2:$V404)+1,IF(AND($T405&lt;&gt;"",$T405=$T404),$U404,IF(C405="x",V404,"")))</f>
        <v/>
      </c>
      <c r="X405" cm="1">
        <f t="array" ref="X405">IF($I405&lt;&gt;"",$I405,INDEX($I$1:$I405,ROW()-COUNTIFS($T$1:$T405,"="&amp;$T405,$S$1:$S405,"&lt;"&amp;$S405)))</f>
        <v>19</v>
      </c>
      <c r="Z405" s="6">
        <f t="shared" si="85"/>
        <v>1</v>
      </c>
      <c r="AA405">
        <f t="shared" si="86"/>
        <v>1203</v>
      </c>
      <c r="AB405" t="str">
        <f t="shared" si="87"/>
        <v/>
      </c>
      <c r="AC405">
        <f t="shared" si="88"/>
        <v>1203</v>
      </c>
      <c r="BI405" s="40"/>
      <c r="BL405" s="40"/>
      <c r="BN405" s="19"/>
      <c r="BP405" s="17"/>
    </row>
    <row r="406" spans="1:68" x14ac:dyDescent="0.2">
      <c r="A406">
        <f t="shared" si="84"/>
        <v>1</v>
      </c>
      <c r="D406" s="26">
        <v>1</v>
      </c>
      <c r="E406" s="4"/>
      <c r="F406" s="46"/>
      <c r="G406" s="4"/>
      <c r="H406" s="48"/>
      <c r="I406" s="26">
        <v>75</v>
      </c>
      <c r="J406" s="26" t="s">
        <v>734</v>
      </c>
      <c r="K406" t="s">
        <v>7</v>
      </c>
      <c r="L406" t="s">
        <v>182</v>
      </c>
      <c r="M406" t="s">
        <v>68</v>
      </c>
      <c r="N406" t="str">
        <f t="shared" si="91"/>
        <v>u</v>
      </c>
      <c r="O406" t="s">
        <v>576</v>
      </c>
      <c r="Q406" t="str">
        <f t="shared" si="90"/>
        <v>u</v>
      </c>
      <c r="S406">
        <f>IF(A406=1,MAX($S$2:$S405)+1,IF(OR($I406&lt;&gt;"",A406="x"),$S405,""))</f>
        <v>204</v>
      </c>
      <c r="T406">
        <f>IF(D406=1,MAX($T$2:$T405)+1,IF(S406=S405,$T405,IF(D406="x",T405,IF(D405="x","",""))))</f>
        <v>26</v>
      </c>
      <c r="U406" t="str">
        <f>IF(B406=1,MAX($U$2:$U405)+1,IF(AND($T406&lt;&gt;"",$T406=$T405),$U405,IF(B406="x",U405,"")))</f>
        <v/>
      </c>
      <c r="V406" t="str">
        <f>IF(C406=1,MAX($V$2:$V405)+1,IF(AND($T406&lt;&gt;"",$T406=$T405),$U405,IF(C406="x",V405,"")))</f>
        <v/>
      </c>
      <c r="X406" cm="1">
        <f t="array" ref="X406">IF($I406&lt;&gt;"",$I406,INDEX($I$1:$I406,ROW()-COUNTIFS($T$1:$T406,"="&amp;$T406,$S$1:$S406,"&lt;"&amp;$S406)))</f>
        <v>75</v>
      </c>
      <c r="Z406" s="6">
        <f t="shared" si="85"/>
        <v>1</v>
      </c>
      <c r="AA406">
        <f t="shared" si="86"/>
        <v>1204</v>
      </c>
      <c r="AB406">
        <f t="shared" si="87"/>
        <v>9026</v>
      </c>
      <c r="AC406">
        <f t="shared" si="88"/>
        <v>9026</v>
      </c>
      <c r="BI406" s="40"/>
      <c r="BL406" s="40"/>
      <c r="BN406" s="19"/>
      <c r="BP406" s="17"/>
    </row>
    <row r="407" spans="1:68" x14ac:dyDescent="0.2">
      <c r="A407" t="str">
        <f t="shared" si="84"/>
        <v>x</v>
      </c>
      <c r="D407" s="26" t="s">
        <v>729</v>
      </c>
      <c r="E407" s="4"/>
      <c r="F407" s="46"/>
      <c r="G407" s="4"/>
      <c r="H407" s="48"/>
      <c r="I407" s="26">
        <v>9</v>
      </c>
      <c r="J407" s="26" t="str">
        <f t="shared" si="89"/>
        <v/>
      </c>
      <c r="N407" t="str">
        <f t="shared" si="91"/>
        <v/>
      </c>
      <c r="Q407" t="str">
        <f t="shared" si="90"/>
        <v/>
      </c>
      <c r="S407">
        <f>IF(A407=1,MAX($S$2:$S406)+1,IF(OR($I407&lt;&gt;"",A407="x"),$S406,""))</f>
        <v>204</v>
      </c>
      <c r="T407">
        <f>IF(D407=1,MAX($T$2:$T406)+1,IF(S407=S406,$T406,IF(D407="x",T406,IF(D406="x","",""))))</f>
        <v>26</v>
      </c>
      <c r="U407" t="str">
        <f>IF(B407=1,MAX($U$2:$U406)+1,IF(AND($T407&lt;&gt;"",$T407=$T406),$U406,IF(B407="x",U406,"")))</f>
        <v/>
      </c>
      <c r="V407" t="str">
        <f>IF(C407=1,MAX($V$2:$V406)+1,IF(AND($T407&lt;&gt;"",$T407=$T406),$U406,IF(C407="x",V406,"")))</f>
        <v/>
      </c>
      <c r="X407" cm="1">
        <f t="array" ref="X407">IF($I407&lt;&gt;"",$I407,INDEX($I$1:$I407,ROW()-COUNTIFS($T$1:$T407,"="&amp;$T407,$S$1:$S407,"&lt;"&amp;$S407)))</f>
        <v>9</v>
      </c>
      <c r="Z407" s="6">
        <f t="shared" si="85"/>
        <v>1</v>
      </c>
      <c r="AA407">
        <f t="shared" si="86"/>
        <v>1204</v>
      </c>
      <c r="AB407">
        <f t="shared" si="87"/>
        <v>9026</v>
      </c>
      <c r="AC407">
        <f t="shared" si="88"/>
        <v>9026</v>
      </c>
      <c r="BI407" s="40"/>
      <c r="BL407" s="40"/>
      <c r="BN407" s="19"/>
      <c r="BP407" s="17"/>
    </row>
    <row r="408" spans="1:68" x14ac:dyDescent="0.2">
      <c r="A408">
        <f t="shared" si="84"/>
        <v>1</v>
      </c>
      <c r="D408" s="26" t="s">
        <v>729</v>
      </c>
      <c r="E408" s="4"/>
      <c r="F408" s="46"/>
      <c r="G408" s="4"/>
      <c r="H408" s="48"/>
      <c r="J408" s="26" t="str">
        <f t="shared" si="89"/>
        <v>o</v>
      </c>
      <c r="K408" t="s">
        <v>238</v>
      </c>
      <c r="L408" t="s">
        <v>174</v>
      </c>
      <c r="M408" t="s">
        <v>390</v>
      </c>
      <c r="N408" t="str">
        <f t="shared" si="91"/>
        <v>u</v>
      </c>
      <c r="Q408" t="str">
        <f t="shared" si="90"/>
        <v/>
      </c>
      <c r="S408">
        <f>IF(A408=1,MAX($S$2:$S407)+1,IF(OR($I408&lt;&gt;"",A408="x"),$S407,""))</f>
        <v>205</v>
      </c>
      <c r="T408">
        <f>IF(D408=1,MAX($T$2:$T407)+1,IF(S408=S407,$T407,IF(D408="x",T407,IF(D407="x","",""))))</f>
        <v>26</v>
      </c>
      <c r="U408" t="str">
        <f>IF(B408=1,MAX($U$2:$U407)+1,IF(AND($T408&lt;&gt;"",$T408=$T407),$U407,IF(B408="x",U407,"")))</f>
        <v/>
      </c>
      <c r="V408" t="str">
        <f>IF(C408=1,MAX($V$2:$V407)+1,IF(AND($T408&lt;&gt;"",$T408=$T407),$U407,IF(C408="x",V407,"")))</f>
        <v/>
      </c>
      <c r="X408" cm="1">
        <f t="array" ref="X408">IF($I408&lt;&gt;"",$I408,INDEX($I$1:$I408,ROW()-COUNTIFS($T$1:$T408,"="&amp;$T408,$S$1:$S408,"&lt;"&amp;$S408)))</f>
        <v>75</v>
      </c>
      <c r="Z408" s="6">
        <f t="shared" si="85"/>
        <v>1</v>
      </c>
      <c r="AA408">
        <f t="shared" si="86"/>
        <v>1205</v>
      </c>
      <c r="AB408">
        <f t="shared" si="87"/>
        <v>9026</v>
      </c>
      <c r="AC408">
        <f t="shared" si="88"/>
        <v>9026</v>
      </c>
      <c r="BI408" s="40"/>
      <c r="BL408" s="40"/>
      <c r="BN408" s="19"/>
      <c r="BP408" s="17"/>
    </row>
    <row r="409" spans="1:68" x14ac:dyDescent="0.2">
      <c r="A409" t="str">
        <f t="shared" si="84"/>
        <v>x</v>
      </c>
      <c r="D409" s="26" t="s">
        <v>729</v>
      </c>
      <c r="E409" s="4"/>
      <c r="F409" s="46"/>
      <c r="G409" s="4"/>
      <c r="H409" s="48"/>
      <c r="J409" s="26" t="str">
        <f t="shared" si="89"/>
        <v/>
      </c>
      <c r="N409" t="str">
        <f t="shared" si="91"/>
        <v/>
      </c>
      <c r="Q409" t="str">
        <f t="shared" si="90"/>
        <v/>
      </c>
      <c r="S409">
        <f>IF(A409=1,MAX($S$2:$S408)+1,IF(OR($I409&lt;&gt;"",A409="x"),$S408,""))</f>
        <v>205</v>
      </c>
      <c r="T409">
        <f>IF(D409=1,MAX($T$2:$T408)+1,IF(S409=S408,$T408,IF(D409="x",T408,IF(D408="x","",""))))</f>
        <v>26</v>
      </c>
      <c r="U409" t="str">
        <f>IF(B409=1,MAX($U$2:$U408)+1,IF(AND($T409&lt;&gt;"",$T409=$T408),$U408,IF(B409="x",U408,"")))</f>
        <v/>
      </c>
      <c r="V409" t="str">
        <f>IF(C409=1,MAX($V$2:$V408)+1,IF(AND($T409&lt;&gt;"",$T409=$T408),$U408,IF(C409="x",V408,"")))</f>
        <v/>
      </c>
      <c r="X409" cm="1">
        <f t="array" ref="X409">IF($I409&lt;&gt;"",$I409,INDEX($I$1:$I409,ROW()-COUNTIFS($T$1:$T409,"="&amp;$T409,$S$1:$S409,"&lt;"&amp;$S409)))</f>
        <v>9</v>
      </c>
      <c r="Z409" s="6">
        <f t="shared" si="85"/>
        <v>1</v>
      </c>
      <c r="AA409">
        <f t="shared" si="86"/>
        <v>1205</v>
      </c>
      <c r="AB409">
        <f t="shared" si="87"/>
        <v>9026</v>
      </c>
      <c r="AC409">
        <f t="shared" si="88"/>
        <v>9026</v>
      </c>
      <c r="BI409" s="40"/>
      <c r="BL409" s="40"/>
      <c r="BN409" s="19"/>
      <c r="BP409" s="17"/>
    </row>
    <row r="410" spans="1:68" x14ac:dyDescent="0.2">
      <c r="A410">
        <f t="shared" si="84"/>
        <v>1</v>
      </c>
      <c r="D410" s="26" t="s">
        <v>729</v>
      </c>
      <c r="E410" s="4"/>
      <c r="F410" s="46"/>
      <c r="G410" s="4"/>
      <c r="H410" s="48"/>
      <c r="J410" s="26" t="str">
        <f t="shared" si="89"/>
        <v/>
      </c>
      <c r="K410" t="s">
        <v>9</v>
      </c>
      <c r="L410" t="s">
        <v>173</v>
      </c>
      <c r="M410" t="s">
        <v>74</v>
      </c>
      <c r="N410" t="str">
        <f t="shared" si="91"/>
        <v>u</v>
      </c>
      <c r="Q410" t="str">
        <f t="shared" si="90"/>
        <v/>
      </c>
      <c r="S410">
        <f>IF(A410=1,MAX($S$2:$S409)+1,IF(OR($I410&lt;&gt;"",A410="x"),$S409,""))</f>
        <v>206</v>
      </c>
      <c r="T410">
        <f>IF(D410=1,MAX($T$2:$T409)+1,IF(S410=S409,$T409,IF(D410="x",T409,IF(D409="x","",""))))</f>
        <v>26</v>
      </c>
      <c r="U410" t="str">
        <f>IF(B410=1,MAX($U$2:$U409)+1,IF(AND($T410&lt;&gt;"",$T410=$T409),$U409,IF(B410="x",U409,"")))</f>
        <v/>
      </c>
      <c r="V410" t="str">
        <f>IF(C410=1,MAX($V$2:$V409)+1,IF(AND($T410&lt;&gt;"",$T410=$T409),$U409,IF(C410="x",V409,"")))</f>
        <v/>
      </c>
      <c r="X410" cm="1">
        <f t="array" ref="X410">IF($I410&lt;&gt;"",$I410,INDEX($I$1:$I410,ROW()-COUNTIFS($T$1:$T410,"="&amp;$T410,$S$1:$S410,"&lt;"&amp;$S410)))</f>
        <v>75</v>
      </c>
      <c r="Z410" s="6">
        <f t="shared" si="85"/>
        <v>1</v>
      </c>
      <c r="AA410">
        <f t="shared" si="86"/>
        <v>1206</v>
      </c>
      <c r="AB410">
        <f t="shared" si="87"/>
        <v>9026</v>
      </c>
      <c r="AC410">
        <f t="shared" si="88"/>
        <v>9026</v>
      </c>
      <c r="BI410" s="40"/>
      <c r="BL410" s="40"/>
      <c r="BN410" s="19"/>
      <c r="BP410" s="17"/>
    </row>
    <row r="411" spans="1:68" x14ac:dyDescent="0.2">
      <c r="A411" t="str">
        <f t="shared" si="84"/>
        <v>x</v>
      </c>
      <c r="D411" s="26" t="s">
        <v>729</v>
      </c>
      <c r="E411" s="4"/>
      <c r="F411" s="46"/>
      <c r="G411" s="4"/>
      <c r="H411" s="48"/>
      <c r="J411" s="26" t="str">
        <f t="shared" si="89"/>
        <v/>
      </c>
      <c r="N411" t="str">
        <f t="shared" si="91"/>
        <v/>
      </c>
      <c r="Q411" t="str">
        <f t="shared" si="90"/>
        <v/>
      </c>
      <c r="S411">
        <f>IF(A411=1,MAX($S$2:$S410)+1,IF(OR($I411&lt;&gt;"",A411="x"),$S410,""))</f>
        <v>206</v>
      </c>
      <c r="T411">
        <f>IF(D411=1,MAX($T$2:$T410)+1,IF(S411=S410,$T410,IF(D411="x",T410,IF(D410="x","",""))))</f>
        <v>26</v>
      </c>
      <c r="U411" t="str">
        <f>IF(B411=1,MAX($U$2:$U410)+1,IF(AND($T411&lt;&gt;"",$T411=$T410),$U410,IF(B411="x",U410,"")))</f>
        <v/>
      </c>
      <c r="V411" t="str">
        <f>IF(C411=1,MAX($V$2:$V410)+1,IF(AND($T411&lt;&gt;"",$T411=$T410),$U410,IF(C411="x",V410,"")))</f>
        <v/>
      </c>
      <c r="X411" cm="1">
        <f t="array" ref="X411">IF($I411&lt;&gt;"",$I411,INDEX($I$1:$I411,ROW()-COUNTIFS($T$1:$T411,"="&amp;$T411,$S$1:$S411,"&lt;"&amp;$S411)))</f>
        <v>9</v>
      </c>
      <c r="Z411" s="6">
        <f t="shared" si="85"/>
        <v>1</v>
      </c>
      <c r="AA411">
        <f t="shared" si="86"/>
        <v>1206</v>
      </c>
      <c r="AB411">
        <f t="shared" si="87"/>
        <v>9026</v>
      </c>
      <c r="AC411">
        <f t="shared" si="88"/>
        <v>9026</v>
      </c>
      <c r="BI411" s="40"/>
      <c r="BL411" s="40"/>
      <c r="BN411" s="19"/>
      <c r="BP411" s="17"/>
    </row>
    <row r="412" spans="1:68" x14ac:dyDescent="0.2">
      <c r="A412">
        <f t="shared" si="84"/>
        <v>1</v>
      </c>
      <c r="E412" s="4" t="s">
        <v>754</v>
      </c>
      <c r="F412" s="46" t="s">
        <v>1033</v>
      </c>
      <c r="G412" s="4"/>
      <c r="H412" s="48"/>
      <c r="I412" s="26">
        <v>19</v>
      </c>
      <c r="J412" s="26" t="s">
        <v>736</v>
      </c>
      <c r="K412" t="s">
        <v>13</v>
      </c>
      <c r="L412" t="s">
        <v>586</v>
      </c>
      <c r="N412" t="s">
        <v>595</v>
      </c>
      <c r="O412" t="s">
        <v>907</v>
      </c>
      <c r="Q412" t="str">
        <f t="shared" si="90"/>
        <v>s</v>
      </c>
      <c r="S412">
        <f>IF(A412=1,MAX($S$2:$S411)+1,IF(OR($I412&lt;&gt;"",A412="x"),$S411,""))</f>
        <v>207</v>
      </c>
      <c r="T412" t="str">
        <f>IF(D412=1,MAX($T$2:$T411)+1,IF(S412=S411,$T411,IF(D412="x",T411,IF(D411="x","",""))))</f>
        <v/>
      </c>
      <c r="U412" t="str">
        <f>IF(B412=1,MAX($U$2:$U411)+1,IF(AND($T412&lt;&gt;"",$T412=$T411),$U411,IF(B412="x",U411,"")))</f>
        <v/>
      </c>
      <c r="V412" t="str">
        <f>IF(C412=1,MAX($V$2:$V411)+1,IF(AND($T412&lt;&gt;"",$T412=$T411),$U411,IF(C412="x",V411,"")))</f>
        <v/>
      </c>
      <c r="X412" cm="1">
        <f t="array" ref="X412">IF($I412&lt;&gt;"",$I412,INDEX($I$1:$I412,ROW()-COUNTIFS($T$1:$T412,"="&amp;$T412,$S$1:$S412,"&lt;"&amp;$S412)))</f>
        <v>19</v>
      </c>
      <c r="Z412" s="6">
        <f t="shared" si="85"/>
        <v>1</v>
      </c>
      <c r="AA412">
        <f t="shared" si="86"/>
        <v>1207</v>
      </c>
      <c r="AB412" t="str">
        <f t="shared" si="87"/>
        <v/>
      </c>
      <c r="AC412">
        <f t="shared" si="88"/>
        <v>1207</v>
      </c>
      <c r="BI412" s="40"/>
      <c r="BL412" s="40"/>
      <c r="BN412" s="19"/>
      <c r="BP412" s="17"/>
    </row>
    <row r="413" spans="1:68" x14ac:dyDescent="0.2">
      <c r="A413">
        <f t="shared" si="84"/>
        <v>1</v>
      </c>
      <c r="E413" s="4"/>
      <c r="F413" s="46"/>
      <c r="G413" s="4" t="s">
        <v>754</v>
      </c>
      <c r="H413" s="48" t="s">
        <v>733</v>
      </c>
      <c r="I413" s="26">
        <v>19</v>
      </c>
      <c r="J413" s="26" t="s">
        <v>736</v>
      </c>
      <c r="K413" t="s">
        <v>238</v>
      </c>
      <c r="L413" t="s">
        <v>184</v>
      </c>
      <c r="M413" t="s">
        <v>88</v>
      </c>
      <c r="N413" t="str">
        <f t="shared" si="91"/>
        <v>s</v>
      </c>
      <c r="Q413" t="str">
        <f t="shared" si="90"/>
        <v/>
      </c>
      <c r="S413">
        <f>IF(A413=1,MAX($S$2:$S412)+1,IF(OR($I413&lt;&gt;"",A413="x"),$S412,""))</f>
        <v>208</v>
      </c>
      <c r="T413" t="str">
        <f>IF(D413=1,MAX($T$2:$T412)+1,IF(S413=S412,$T412,IF(D413="x",T412,IF(D412="x","",""))))</f>
        <v/>
      </c>
      <c r="U413" t="str">
        <f>IF(B413=1,MAX($U$2:$U412)+1,IF(AND($T413&lt;&gt;"",$T413=$T412),$U412,IF(B413="x",U412,"")))</f>
        <v/>
      </c>
      <c r="V413" t="str">
        <f>IF(C413=1,MAX($V$2:$V412)+1,IF(AND($T413&lt;&gt;"",$T413=$T412),$U412,IF(C413="x",V412,"")))</f>
        <v/>
      </c>
      <c r="X413" cm="1">
        <f t="array" ref="X413">IF($I413&lt;&gt;"",$I413,INDEX($I$1:$I413,ROW()-COUNTIFS($T$1:$T413,"="&amp;$T413,$S$1:$S413,"&lt;"&amp;$S413)))</f>
        <v>19</v>
      </c>
      <c r="Z413" s="6">
        <f t="shared" si="85"/>
        <v>1</v>
      </c>
      <c r="AA413">
        <f t="shared" si="86"/>
        <v>1208</v>
      </c>
      <c r="AB413" t="str">
        <f t="shared" si="87"/>
        <v/>
      </c>
      <c r="AC413">
        <f t="shared" si="88"/>
        <v>1208</v>
      </c>
      <c r="BI413" s="40"/>
      <c r="BL413" s="40"/>
      <c r="BN413" s="19"/>
      <c r="BP413" s="17"/>
    </row>
    <row r="414" spans="1:68" x14ac:dyDescent="0.2">
      <c r="A414">
        <f t="shared" si="84"/>
        <v>1</v>
      </c>
      <c r="E414" s="4"/>
      <c r="F414" s="46"/>
      <c r="G414" s="4"/>
      <c r="H414" s="48" t="s">
        <v>1044</v>
      </c>
      <c r="I414" s="26">
        <v>19</v>
      </c>
      <c r="J414" s="26" t="s">
        <v>734</v>
      </c>
      <c r="K414" t="s">
        <v>13</v>
      </c>
      <c r="N414" t="str">
        <f t="shared" si="91"/>
        <v/>
      </c>
      <c r="Q414" t="str">
        <f t="shared" si="90"/>
        <v/>
      </c>
      <c r="R414" s="26">
        <v>1</v>
      </c>
      <c r="S414">
        <f>IF(A414=1,MAX($S$2:$S413)+1,IF(OR($I414&lt;&gt;"",A414="x"),$S413,""))</f>
        <v>209</v>
      </c>
      <c r="T414" t="str">
        <f>IF(D414=1,MAX($T$2:$T413)+1,IF(S414=S413,$T413,IF(D414="x",T413,IF(D413="x","",""))))</f>
        <v/>
      </c>
      <c r="U414" t="str">
        <f>IF(B414=1,MAX($U$2:$U413)+1,IF(AND($T414&lt;&gt;"",$T414=$T413),$U413,IF(B414="x",U413,"")))</f>
        <v/>
      </c>
      <c r="V414" t="str">
        <f>IF(C414=1,MAX($V$2:$V413)+1,IF(AND($T414&lt;&gt;"",$T414=$T413),$U413,IF(C414="x",V413,"")))</f>
        <v/>
      </c>
      <c r="X414" cm="1">
        <f t="array" ref="X414">IF($I414&lt;&gt;"",$I414,INDEX($I$1:$I414,ROW()-COUNTIFS($T$1:$T414,"="&amp;$T414,$S$1:$S414,"&lt;"&amp;$S414)))</f>
        <v>19</v>
      </c>
      <c r="Z414" s="6">
        <f t="shared" si="85"/>
        <v>1</v>
      </c>
      <c r="AA414">
        <f t="shared" si="86"/>
        <v>1209</v>
      </c>
      <c r="AB414" t="str">
        <f t="shared" si="87"/>
        <v/>
      </c>
      <c r="AC414">
        <f t="shared" si="88"/>
        <v>1209</v>
      </c>
      <c r="BI414" s="40"/>
      <c r="BL414" s="40"/>
      <c r="BN414" s="19"/>
      <c r="BP414" s="17"/>
    </row>
    <row r="415" spans="1:68" x14ac:dyDescent="0.2">
      <c r="A415" t="str">
        <f t="shared" si="84"/>
        <v/>
      </c>
      <c r="E415" s="4"/>
      <c r="F415" s="46"/>
      <c r="G415" s="4"/>
      <c r="H415" s="48"/>
      <c r="I415" s="26">
        <v>14</v>
      </c>
      <c r="J415" s="26" t="str">
        <f t="shared" si="89"/>
        <v/>
      </c>
      <c r="N415" t="str">
        <f t="shared" si="91"/>
        <v/>
      </c>
      <c r="Q415" t="str">
        <f t="shared" si="90"/>
        <v/>
      </c>
      <c r="R415" s="26">
        <v>1</v>
      </c>
      <c r="S415">
        <f>IF(A415=1,MAX($S$2:$S414)+1,IF(OR($I415&lt;&gt;"",A415="x"),$S414,""))</f>
        <v>209</v>
      </c>
      <c r="T415" t="str">
        <f>IF(D415=1,MAX($T$2:$T414)+1,IF(S415=S414,$T414,IF(D415="x",T414,IF(D414="x","",""))))</f>
        <v/>
      </c>
      <c r="U415" t="str">
        <f>IF(B415=1,MAX($U$2:$U414)+1,IF(AND($T415&lt;&gt;"",$T415=$T414),$U414,IF(B415="x",U414,"")))</f>
        <v/>
      </c>
      <c r="V415" t="str">
        <f>IF(C415=1,MAX($V$2:$V414)+1,IF(AND($T415&lt;&gt;"",$T415=$T414),$U414,IF(C415="x",V414,"")))</f>
        <v/>
      </c>
      <c r="X415" cm="1">
        <f t="array" ref="X415">IF($I415&lt;&gt;"",$I415,INDEX($I$1:$I415,ROW()-COUNTIFS($T$1:$T415,"="&amp;$T415,$S$1:$S415,"&lt;"&amp;$S415)))</f>
        <v>14</v>
      </c>
      <c r="Z415" s="6">
        <f t="shared" si="85"/>
        <v>1</v>
      </c>
      <c r="AA415">
        <f t="shared" si="86"/>
        <v>1209</v>
      </c>
      <c r="AB415" t="str">
        <f t="shared" si="87"/>
        <v/>
      </c>
      <c r="AC415">
        <f t="shared" si="88"/>
        <v>1209</v>
      </c>
      <c r="BI415" s="40"/>
      <c r="BL415" s="40"/>
      <c r="BN415" s="19"/>
      <c r="BP415" s="17"/>
    </row>
    <row r="416" spans="1:68" x14ac:dyDescent="0.2">
      <c r="A416">
        <f t="shared" si="84"/>
        <v>1</v>
      </c>
      <c r="E416" s="4"/>
      <c r="F416" s="46"/>
      <c r="G416" s="4"/>
      <c r="H416" s="48" t="s">
        <v>1060</v>
      </c>
      <c r="I416" s="26">
        <v>19</v>
      </c>
      <c r="J416" s="26" t="str">
        <f t="shared" si="89"/>
        <v>o</v>
      </c>
      <c r="K416" t="s">
        <v>238</v>
      </c>
      <c r="L416" t="s">
        <v>174</v>
      </c>
      <c r="M416" t="s">
        <v>85</v>
      </c>
      <c r="N416" t="str">
        <f t="shared" si="91"/>
        <v>s</v>
      </c>
      <c r="Q416" t="str">
        <f t="shared" si="90"/>
        <v/>
      </c>
      <c r="S416">
        <f>IF(A416=1,MAX($S$2:$S415)+1,IF(OR($I416&lt;&gt;"",A416="x"),$S415,""))</f>
        <v>210</v>
      </c>
      <c r="T416" t="str">
        <f>IF(D416=1,MAX($T$2:$T415)+1,IF(S416=S415,$T415,IF(D416="x",T415,IF(D415="x","",""))))</f>
        <v/>
      </c>
      <c r="U416" t="str">
        <f>IF(B416=1,MAX($U$2:$U415)+1,IF(AND($T416&lt;&gt;"",$T416=$T415),$U415,IF(B416="x",U415,"")))</f>
        <v/>
      </c>
      <c r="V416" t="str">
        <f>IF(C416=1,MAX($V$2:$V415)+1,IF(AND($T416&lt;&gt;"",$T416=$T415),$U415,IF(C416="x",V415,"")))</f>
        <v/>
      </c>
      <c r="X416" cm="1">
        <f t="array" ref="X416">IF($I416&lt;&gt;"",$I416,INDEX($I$1:$I416,ROW()-COUNTIFS($T$1:$T416,"="&amp;$T416,$S$1:$S416,"&lt;"&amp;$S416)))</f>
        <v>19</v>
      </c>
      <c r="Z416" s="6">
        <f t="shared" si="85"/>
        <v>1</v>
      </c>
      <c r="AA416">
        <f t="shared" si="86"/>
        <v>1210</v>
      </c>
      <c r="AB416" t="str">
        <f t="shared" si="87"/>
        <v/>
      </c>
      <c r="AC416">
        <f t="shared" si="88"/>
        <v>1210</v>
      </c>
      <c r="BI416" s="40"/>
      <c r="BL416" s="40"/>
      <c r="BN416" s="19"/>
      <c r="BP416" s="17"/>
    </row>
    <row r="417" spans="1:68" x14ac:dyDescent="0.2">
      <c r="A417" t="str">
        <f t="shared" si="84"/>
        <v/>
      </c>
      <c r="E417" s="4"/>
      <c r="F417" s="46"/>
      <c r="G417" s="4"/>
      <c r="H417" s="48"/>
      <c r="I417" s="26">
        <v>73</v>
      </c>
      <c r="J417" s="26" t="str">
        <f t="shared" si="89"/>
        <v/>
      </c>
      <c r="N417" t="str">
        <f t="shared" si="91"/>
        <v/>
      </c>
      <c r="Q417" t="str">
        <f t="shared" si="90"/>
        <v/>
      </c>
      <c r="S417">
        <f>IF(A417=1,MAX($S$2:$S416)+1,IF(OR($I417&lt;&gt;"",A417="x"),$S416,""))</f>
        <v>210</v>
      </c>
      <c r="T417" t="str">
        <f>IF(D417=1,MAX($T$2:$T416)+1,IF(S417=S416,$T416,IF(D417="x",T416,IF(D416="x","",""))))</f>
        <v/>
      </c>
      <c r="U417" t="str">
        <f>IF(B417=1,MAX($U$2:$U416)+1,IF(AND($T417&lt;&gt;"",$T417=$T416),$U416,IF(B417="x",U416,"")))</f>
        <v/>
      </c>
      <c r="V417" t="str">
        <f>IF(C417=1,MAX($V$2:$V416)+1,IF(AND($T417&lt;&gt;"",$T417=$T416),$U416,IF(C417="x",V416,"")))</f>
        <v/>
      </c>
      <c r="X417" cm="1">
        <f t="array" ref="X417">IF($I417&lt;&gt;"",$I417,INDEX($I$1:$I417,ROW()-COUNTIFS($T$1:$T417,"="&amp;$T417,$S$1:$S417,"&lt;"&amp;$S417)))</f>
        <v>73</v>
      </c>
      <c r="Z417" s="6">
        <f t="shared" si="85"/>
        <v>1</v>
      </c>
      <c r="AA417">
        <f t="shared" si="86"/>
        <v>1210</v>
      </c>
      <c r="AB417" t="str">
        <f t="shared" si="87"/>
        <v/>
      </c>
      <c r="AC417">
        <f t="shared" si="88"/>
        <v>1210</v>
      </c>
      <c r="BI417" s="40"/>
      <c r="BL417" s="40"/>
      <c r="BN417" s="19"/>
      <c r="BP417" s="17"/>
    </row>
    <row r="418" spans="1:68" x14ac:dyDescent="0.2">
      <c r="A418" t="str">
        <f t="shared" si="84"/>
        <v/>
      </c>
      <c r="E418" s="4"/>
      <c r="F418" s="46"/>
      <c r="G418" s="4"/>
      <c r="H418" s="48"/>
      <c r="I418" s="26">
        <v>93</v>
      </c>
      <c r="J418" s="26" t="str">
        <f t="shared" si="89"/>
        <v/>
      </c>
      <c r="N418" t="str">
        <f t="shared" si="91"/>
        <v/>
      </c>
      <c r="Q418" t="str">
        <f t="shared" si="90"/>
        <v/>
      </c>
      <c r="S418">
        <f>IF(A418=1,MAX($S$2:$S417)+1,IF(OR($I418&lt;&gt;"",A418="x"),$S417,""))</f>
        <v>210</v>
      </c>
      <c r="T418" t="str">
        <f>IF(D418=1,MAX($T$2:$T417)+1,IF(S418=S417,$T417,IF(D418="x",T417,IF(D417="x","",""))))</f>
        <v/>
      </c>
      <c r="U418" t="str">
        <f>IF(B418=1,MAX($U$2:$U417)+1,IF(AND($T418&lt;&gt;"",$T418=$T417),$U417,IF(B418="x",U417,"")))</f>
        <v/>
      </c>
      <c r="V418" t="str">
        <f>IF(C418=1,MAX($V$2:$V417)+1,IF(AND($T418&lt;&gt;"",$T418=$T417),$U417,IF(C418="x",V417,"")))</f>
        <v/>
      </c>
      <c r="X418" cm="1">
        <f t="array" ref="X418">IF($I418&lt;&gt;"",$I418,INDEX($I$1:$I418,ROW()-COUNTIFS($T$1:$T418,"="&amp;$T418,$S$1:$S418,"&lt;"&amp;$S418)))</f>
        <v>93</v>
      </c>
      <c r="Z418" s="6">
        <f t="shared" si="85"/>
        <v>1</v>
      </c>
      <c r="AA418">
        <f t="shared" si="86"/>
        <v>1210</v>
      </c>
      <c r="AB418" t="str">
        <f t="shared" si="87"/>
        <v/>
      </c>
      <c r="AC418">
        <f t="shared" si="88"/>
        <v>1210</v>
      </c>
      <c r="BI418" s="40"/>
      <c r="BL418" s="40"/>
      <c r="BN418" s="19"/>
      <c r="BP418" s="17"/>
    </row>
    <row r="419" spans="1:68" x14ac:dyDescent="0.2">
      <c r="A419" t="str">
        <f t="shared" si="84"/>
        <v/>
      </c>
      <c r="E419" s="4"/>
      <c r="F419" s="46"/>
      <c r="G419" s="4"/>
      <c r="H419" s="48"/>
      <c r="I419" s="26">
        <v>9</v>
      </c>
      <c r="J419" s="26" t="str">
        <f t="shared" si="89"/>
        <v/>
      </c>
      <c r="N419" t="str">
        <f t="shared" si="91"/>
        <v/>
      </c>
      <c r="Q419" t="str">
        <f t="shared" si="90"/>
        <v/>
      </c>
      <c r="S419">
        <f>IF(A419=1,MAX($S$2:$S418)+1,IF(OR($I419&lt;&gt;"",A419="x"),$S418,""))</f>
        <v>210</v>
      </c>
      <c r="T419" t="str">
        <f>IF(D419=1,MAX($T$2:$T418)+1,IF(S419=S418,$T418,IF(D419="x",T418,IF(D418="x","",""))))</f>
        <v/>
      </c>
      <c r="U419" t="str">
        <f>IF(B419=1,MAX($U$2:$U418)+1,IF(AND($T419&lt;&gt;"",$T419=$T418),$U418,IF(B419="x",U418,"")))</f>
        <v/>
      </c>
      <c r="V419" t="str">
        <f>IF(C419=1,MAX($V$2:$V418)+1,IF(AND($T419&lt;&gt;"",$T419=$T418),$U418,IF(C419="x",V418,"")))</f>
        <v/>
      </c>
      <c r="X419" cm="1">
        <f t="array" ref="X419">IF($I419&lt;&gt;"",$I419,INDEX($I$1:$I419,ROW()-COUNTIFS($T$1:$T419,"="&amp;$T419,$S$1:$S419,"&lt;"&amp;$S419)))</f>
        <v>9</v>
      </c>
      <c r="Z419" s="6">
        <f t="shared" si="85"/>
        <v>1</v>
      </c>
      <c r="AA419">
        <f t="shared" si="86"/>
        <v>1210</v>
      </c>
      <c r="AB419" t="str">
        <f t="shared" si="87"/>
        <v/>
      </c>
      <c r="AC419">
        <f t="shared" si="88"/>
        <v>1210</v>
      </c>
      <c r="BI419" s="40"/>
      <c r="BL419" s="40"/>
      <c r="BN419" s="19"/>
      <c r="BP419" s="17"/>
    </row>
    <row r="420" spans="1:68" x14ac:dyDescent="0.2">
      <c r="A420">
        <f t="shared" si="84"/>
        <v>1</v>
      </c>
      <c r="E420" s="4"/>
      <c r="F420" s="46" t="s">
        <v>1045</v>
      </c>
      <c r="G420" s="4"/>
      <c r="H420" s="48"/>
      <c r="I420" s="26">
        <v>19</v>
      </c>
      <c r="J420" s="26" t="s">
        <v>368</v>
      </c>
      <c r="K420" t="s">
        <v>7</v>
      </c>
      <c r="L420" t="s">
        <v>172</v>
      </c>
      <c r="N420" t="str">
        <f t="shared" si="91"/>
        <v>s</v>
      </c>
      <c r="Q420" t="str">
        <f t="shared" si="90"/>
        <v/>
      </c>
      <c r="S420">
        <f>IF(A420=1,MAX($S$2:$S419)+1,IF(OR($I420&lt;&gt;"",A420="x"),$S419,""))</f>
        <v>211</v>
      </c>
      <c r="T420" t="str">
        <f>IF(D420=1,MAX($T$2:$T419)+1,IF(S420=S419,$T419,IF(D420="x",T419,IF(D419="x","",""))))</f>
        <v/>
      </c>
      <c r="U420" t="str">
        <f>IF(B420=1,MAX($U$2:$U419)+1,IF(AND($T420&lt;&gt;"",$T420=$T419),$U419,IF(B420="x",U419,"")))</f>
        <v/>
      </c>
      <c r="V420" t="str">
        <f>IF(C420=1,MAX($V$2:$V419)+1,IF(AND($T420&lt;&gt;"",$T420=$T419),$U419,IF(C420="x",V419,"")))</f>
        <v/>
      </c>
      <c r="X420" cm="1">
        <f t="array" ref="X420">IF($I420&lt;&gt;"",$I420,INDEX($I$1:$I420,ROW()-COUNTIFS($T$1:$T420,"="&amp;$T420,$S$1:$S420,"&lt;"&amp;$S420)))</f>
        <v>19</v>
      </c>
      <c r="Z420" s="6">
        <f t="shared" si="85"/>
        <v>1</v>
      </c>
      <c r="AA420">
        <f t="shared" si="86"/>
        <v>1211</v>
      </c>
      <c r="AB420" t="str">
        <f t="shared" si="87"/>
        <v/>
      </c>
      <c r="AC420">
        <f t="shared" si="88"/>
        <v>1211</v>
      </c>
      <c r="BI420" s="40"/>
      <c r="BL420" s="40"/>
      <c r="BN420" s="19"/>
      <c r="BP420" s="17"/>
    </row>
    <row r="421" spans="1:68" x14ac:dyDescent="0.2">
      <c r="A421" t="str">
        <f t="shared" si="84"/>
        <v/>
      </c>
      <c r="E421" s="4"/>
      <c r="F421" s="46"/>
      <c r="G421" s="4"/>
      <c r="H421" s="48"/>
      <c r="I421" s="26">
        <v>73</v>
      </c>
      <c r="J421" s="26" t="str">
        <f t="shared" si="89"/>
        <v/>
      </c>
      <c r="N421" t="str">
        <f t="shared" si="91"/>
        <v/>
      </c>
      <c r="Q421" t="str">
        <f t="shared" si="90"/>
        <v/>
      </c>
      <c r="S421">
        <f>IF(A421=1,MAX($S$2:$S420)+1,IF(OR($I421&lt;&gt;"",A421="x"),$S420,""))</f>
        <v>211</v>
      </c>
      <c r="T421" t="str">
        <f>IF(D421=1,MAX($T$2:$T420)+1,IF(S421=S420,$T420,IF(D421="x",T420,IF(D420="x","",""))))</f>
        <v/>
      </c>
      <c r="U421" t="str">
        <f>IF(B421=1,MAX($U$2:$U420)+1,IF(AND($T421&lt;&gt;"",$T421=$T420),$U420,IF(B421="x",U420,"")))</f>
        <v/>
      </c>
      <c r="V421" t="str">
        <f>IF(C421=1,MAX($V$2:$V420)+1,IF(AND($T421&lt;&gt;"",$T421=$T420),$U420,IF(C421="x",V420,"")))</f>
        <v/>
      </c>
      <c r="X421" cm="1">
        <f t="array" ref="X421">IF($I421&lt;&gt;"",$I421,INDEX($I$1:$I421,ROW()-COUNTIFS($T$1:$T421,"="&amp;$T421,$S$1:$S421,"&lt;"&amp;$S421)))</f>
        <v>73</v>
      </c>
      <c r="Z421" s="6">
        <f t="shared" si="85"/>
        <v>1</v>
      </c>
      <c r="AA421">
        <f t="shared" si="86"/>
        <v>1211</v>
      </c>
      <c r="AB421" t="str">
        <f t="shared" si="87"/>
        <v/>
      </c>
      <c r="AC421">
        <f t="shared" si="88"/>
        <v>1211</v>
      </c>
      <c r="BI421" s="40"/>
      <c r="BL421" s="40"/>
      <c r="BN421" s="19"/>
      <c r="BP421" s="17"/>
    </row>
    <row r="422" spans="1:68" x14ac:dyDescent="0.2">
      <c r="A422">
        <f t="shared" si="84"/>
        <v>1</v>
      </c>
      <c r="E422" s="4"/>
      <c r="F422" s="46"/>
      <c r="G422" s="4"/>
      <c r="H422" s="48" t="s">
        <v>751</v>
      </c>
      <c r="I422" s="26">
        <v>73</v>
      </c>
      <c r="J422" s="26" t="s">
        <v>368</v>
      </c>
      <c r="K422" t="s">
        <v>13</v>
      </c>
      <c r="N422" t="str">
        <f t="shared" si="91"/>
        <v/>
      </c>
      <c r="Q422" t="str">
        <f t="shared" si="90"/>
        <v/>
      </c>
      <c r="R422" s="26">
        <v>1</v>
      </c>
      <c r="S422">
        <f>IF(A422=1,MAX($S$2:$S421)+1,IF(OR($I422&lt;&gt;"",A422="x"),$S421,""))</f>
        <v>212</v>
      </c>
      <c r="T422" t="str">
        <f>IF(D422=1,MAX($T$2:$T421)+1,IF(S422=S421,$T421,IF(D422="x",T421,IF(D421="x","",""))))</f>
        <v/>
      </c>
      <c r="U422" t="str">
        <f>IF(B422=1,MAX($U$2:$U421)+1,IF(AND($T422&lt;&gt;"",$T422=$T421),$U421,IF(B422="x",U421,"")))</f>
        <v/>
      </c>
      <c r="V422" t="str">
        <f>IF(C422=1,MAX($V$2:$V421)+1,IF(AND($T422&lt;&gt;"",$T422=$T421),$U421,IF(C422="x",V421,"")))</f>
        <v/>
      </c>
      <c r="X422" cm="1">
        <f t="array" ref="X422">IF($I422&lt;&gt;"",$I422,INDEX($I$1:$I422,ROW()-COUNTIFS($T$1:$T422,"="&amp;$T422,$S$1:$S422,"&lt;"&amp;$S422)))</f>
        <v>73</v>
      </c>
      <c r="Z422" s="6">
        <f t="shared" si="85"/>
        <v>1</v>
      </c>
      <c r="AA422">
        <f t="shared" si="86"/>
        <v>1212</v>
      </c>
      <c r="AB422" t="str">
        <f t="shared" si="87"/>
        <v/>
      </c>
      <c r="AC422">
        <f t="shared" si="88"/>
        <v>1212</v>
      </c>
      <c r="BI422" s="40"/>
      <c r="BL422" s="40"/>
      <c r="BN422" s="19"/>
      <c r="BP422" s="17"/>
    </row>
    <row r="423" spans="1:68" x14ac:dyDescent="0.2">
      <c r="A423" t="str">
        <f t="shared" si="84"/>
        <v/>
      </c>
      <c r="E423" s="4"/>
      <c r="F423" s="46"/>
      <c r="G423" s="4"/>
      <c r="H423" s="48"/>
      <c r="I423" s="26">
        <v>93</v>
      </c>
      <c r="J423" s="26" t="str">
        <f t="shared" si="89"/>
        <v/>
      </c>
      <c r="N423" t="str">
        <f t="shared" si="91"/>
        <v/>
      </c>
      <c r="Q423" t="str">
        <f t="shared" si="90"/>
        <v/>
      </c>
      <c r="R423" s="26">
        <v>1</v>
      </c>
      <c r="S423">
        <f>IF(A423=1,MAX($S$2:$S422)+1,IF(OR($I423&lt;&gt;"",A423="x"),$S422,""))</f>
        <v>212</v>
      </c>
      <c r="T423" t="str">
        <f>IF(D423=1,MAX($T$2:$T422)+1,IF(S423=S422,$T422,IF(D423="x",T422,IF(D422="x","",""))))</f>
        <v/>
      </c>
      <c r="U423" t="str">
        <f>IF(B423=1,MAX($U$2:$U422)+1,IF(AND($T423&lt;&gt;"",$T423=$T422),$U422,IF(B423="x",U422,"")))</f>
        <v/>
      </c>
      <c r="V423" t="str">
        <f>IF(C423=1,MAX($V$2:$V422)+1,IF(AND($T423&lt;&gt;"",$T423=$T422),$U422,IF(C423="x",V422,"")))</f>
        <v/>
      </c>
      <c r="X423" cm="1">
        <f t="array" ref="X423">IF($I423&lt;&gt;"",$I423,INDEX($I$1:$I423,ROW()-COUNTIFS($T$1:$T423,"="&amp;$T423,$S$1:$S423,"&lt;"&amp;$S423)))</f>
        <v>93</v>
      </c>
      <c r="Z423" s="6">
        <f t="shared" si="85"/>
        <v>1</v>
      </c>
      <c r="AA423">
        <f t="shared" si="86"/>
        <v>1212</v>
      </c>
      <c r="AB423" t="str">
        <f t="shared" si="87"/>
        <v/>
      </c>
      <c r="AC423">
        <f t="shared" si="88"/>
        <v>1212</v>
      </c>
      <c r="BI423" s="40"/>
      <c r="BL423" s="40"/>
      <c r="BN423" s="19"/>
      <c r="BP423" s="17"/>
    </row>
    <row r="424" spans="1:68" x14ac:dyDescent="0.2">
      <c r="A424">
        <f t="shared" si="84"/>
        <v>1</v>
      </c>
      <c r="D424" s="26">
        <v>1</v>
      </c>
      <c r="E424" s="4"/>
      <c r="F424" s="46"/>
      <c r="G424" s="4"/>
      <c r="H424" s="48"/>
      <c r="I424" s="26">
        <v>73</v>
      </c>
      <c r="J424" s="26" t="str">
        <f t="shared" si="89"/>
        <v>o</v>
      </c>
      <c r="K424" t="s">
        <v>6</v>
      </c>
      <c r="L424" t="s">
        <v>205</v>
      </c>
      <c r="M424" t="s">
        <v>51</v>
      </c>
      <c r="N424" t="str">
        <f t="shared" si="91"/>
        <v>s</v>
      </c>
      <c r="Q424" t="str">
        <f t="shared" si="90"/>
        <v/>
      </c>
      <c r="R424" s="26">
        <v>1</v>
      </c>
      <c r="S424">
        <f>IF(A424=1,MAX($S$2:$S423)+1,IF(OR($I424&lt;&gt;"",A424="x"),$S423,""))</f>
        <v>213</v>
      </c>
      <c r="T424">
        <f>IF(D424=1,MAX($T$2:$T423)+1,IF(S424=S423,$T423,IF(D424="x",T423,IF(D423="x","",""))))</f>
        <v>27</v>
      </c>
      <c r="U424" t="str">
        <f>IF(B424=1,MAX($U$2:$U423)+1,IF(AND($T424&lt;&gt;"",$T424=$T423),$U423,IF(B424="x",U423,"")))</f>
        <v/>
      </c>
      <c r="V424" t="str">
        <f>IF(C424=1,MAX($V$2:$V423)+1,IF(AND($T424&lt;&gt;"",$T424=$T423),$U423,IF(C424="x",V423,"")))</f>
        <v/>
      </c>
      <c r="X424" cm="1">
        <f t="array" ref="X424">IF($I424&lt;&gt;"",$I424,INDEX($I$1:$I424,ROW()-COUNTIFS($T$1:$T424,"="&amp;$T424,$S$1:$S424,"&lt;"&amp;$S424)))</f>
        <v>73</v>
      </c>
      <c r="Z424" s="6">
        <f t="shared" si="85"/>
        <v>1</v>
      </c>
      <c r="AA424">
        <f t="shared" si="86"/>
        <v>1213</v>
      </c>
      <c r="AB424">
        <f t="shared" si="87"/>
        <v>9027</v>
      </c>
      <c r="AC424">
        <f t="shared" si="88"/>
        <v>9027</v>
      </c>
      <c r="BI424" s="40"/>
      <c r="BL424" s="40"/>
      <c r="BN424" s="19"/>
      <c r="BP424" s="17"/>
    </row>
    <row r="425" spans="1:68" x14ac:dyDescent="0.2">
      <c r="A425" t="str">
        <f t="shared" si="84"/>
        <v>x</v>
      </c>
      <c r="D425" s="26" t="s">
        <v>729</v>
      </c>
      <c r="E425" s="4"/>
      <c r="F425" s="46"/>
      <c r="G425" s="4"/>
      <c r="H425" s="48"/>
      <c r="I425" s="26">
        <v>39</v>
      </c>
      <c r="J425" s="26" t="str">
        <f t="shared" si="89"/>
        <v/>
      </c>
      <c r="N425" t="str">
        <f t="shared" si="91"/>
        <v/>
      </c>
      <c r="Q425" t="str">
        <f t="shared" si="90"/>
        <v/>
      </c>
      <c r="S425">
        <f>IF(A425=1,MAX($S$2:$S424)+1,IF(OR($I425&lt;&gt;"",A425="x"),$S424,""))</f>
        <v>213</v>
      </c>
      <c r="T425">
        <f>IF(D425=1,MAX($T$2:$T424)+1,IF(S425=S424,$T424,IF(D425="x",T424,IF(D424="x","",""))))</f>
        <v>27</v>
      </c>
      <c r="U425" t="str">
        <f>IF(B425=1,MAX($U$2:$U424)+1,IF(AND($T425&lt;&gt;"",$T425=$T424),$U424,IF(B425="x",U424,"")))</f>
        <v/>
      </c>
      <c r="V425" t="str">
        <f>IF(C425=1,MAX($V$2:$V424)+1,IF(AND($T425&lt;&gt;"",$T425=$T424),$U424,IF(C425="x",V424,"")))</f>
        <v/>
      </c>
      <c r="X425" cm="1">
        <f t="array" ref="X425">IF($I425&lt;&gt;"",$I425,INDEX($I$1:$I425,ROW()-COUNTIFS($T$1:$T425,"="&amp;$T425,$S$1:$S425,"&lt;"&amp;$S425)))</f>
        <v>39</v>
      </c>
      <c r="Z425" s="6">
        <f t="shared" si="85"/>
        <v>1</v>
      </c>
      <c r="AA425">
        <f t="shared" si="86"/>
        <v>1213</v>
      </c>
      <c r="AB425">
        <f t="shared" si="87"/>
        <v>9027</v>
      </c>
      <c r="AC425">
        <f t="shared" si="88"/>
        <v>9027</v>
      </c>
      <c r="BI425" s="40"/>
      <c r="BL425" s="40"/>
      <c r="BN425" s="19"/>
      <c r="BP425" s="17"/>
    </row>
    <row r="426" spans="1:68" x14ac:dyDescent="0.2">
      <c r="A426" t="str">
        <f t="shared" si="84"/>
        <v>x</v>
      </c>
      <c r="D426" s="26" t="s">
        <v>729</v>
      </c>
      <c r="E426" s="4"/>
      <c r="F426" s="46"/>
      <c r="G426" s="4"/>
      <c r="H426" s="48"/>
      <c r="I426" s="26">
        <v>93</v>
      </c>
      <c r="J426" s="26" t="str">
        <f t="shared" si="89"/>
        <v/>
      </c>
      <c r="N426" t="str">
        <f t="shared" si="91"/>
        <v/>
      </c>
      <c r="Q426" t="str">
        <f t="shared" si="90"/>
        <v/>
      </c>
      <c r="R426" s="26">
        <v>1</v>
      </c>
      <c r="S426">
        <f>IF(A426=1,MAX($S$2:$S425)+1,IF(OR($I426&lt;&gt;"",A426="x"),$S425,""))</f>
        <v>213</v>
      </c>
      <c r="T426">
        <f>IF(D426=1,MAX($T$2:$T425)+1,IF(S426=S425,$T425,IF(D426="x",T425,IF(D425="x","",""))))</f>
        <v>27</v>
      </c>
      <c r="U426" t="str">
        <f>IF(B426=1,MAX($U$2:$U425)+1,IF(AND($T426&lt;&gt;"",$T426=$T425),$U425,IF(B426="x",U425,"")))</f>
        <v/>
      </c>
      <c r="V426" t="str">
        <f>IF(C426=1,MAX($V$2:$V425)+1,IF(AND($T426&lt;&gt;"",$T426=$T425),$U425,IF(C426="x",V425,"")))</f>
        <v/>
      </c>
      <c r="X426" cm="1">
        <f t="array" ref="X426">IF($I426&lt;&gt;"",$I426,INDEX($I$1:$I426,ROW()-COUNTIFS($T$1:$T426,"="&amp;$T426,$S$1:$S426,"&lt;"&amp;$S426)))</f>
        <v>93</v>
      </c>
      <c r="Z426" s="6">
        <f t="shared" si="85"/>
        <v>1</v>
      </c>
      <c r="AA426">
        <f t="shared" si="86"/>
        <v>1213</v>
      </c>
      <c r="AB426">
        <f t="shared" si="87"/>
        <v>9027</v>
      </c>
      <c r="AC426">
        <f t="shared" si="88"/>
        <v>9027</v>
      </c>
      <c r="BI426" s="40"/>
      <c r="BL426" s="40"/>
      <c r="BN426" s="19"/>
      <c r="BP426" s="17"/>
    </row>
    <row r="427" spans="1:68" x14ac:dyDescent="0.2">
      <c r="A427">
        <f t="shared" si="84"/>
        <v>1</v>
      </c>
      <c r="D427" s="26" t="s">
        <v>729</v>
      </c>
      <c r="E427" s="4"/>
      <c r="F427" s="46"/>
      <c r="G427" s="4"/>
      <c r="H427" s="48"/>
      <c r="I427" s="26">
        <v>39</v>
      </c>
      <c r="J427" s="26" t="str">
        <f t="shared" si="89"/>
        <v>d</v>
      </c>
      <c r="K427" t="s">
        <v>15</v>
      </c>
      <c r="L427" t="s">
        <v>179</v>
      </c>
      <c r="M427" t="s">
        <v>100</v>
      </c>
      <c r="N427" t="str">
        <f t="shared" si="91"/>
        <v/>
      </c>
      <c r="Q427" t="str">
        <f t="shared" si="90"/>
        <v/>
      </c>
      <c r="S427">
        <f>IF(A427=1,MAX($S$2:$S426)+1,IF(OR($I427&lt;&gt;"",A427="x"),$S426,""))</f>
        <v>214</v>
      </c>
      <c r="T427">
        <f>IF(D427=1,MAX($T$2:$T426)+1,IF(S427=S426,$T426,IF(D427="x",T426,IF(D426="x","",""))))</f>
        <v>27</v>
      </c>
      <c r="U427" t="str">
        <f>IF(B427=1,MAX($U$2:$U426)+1,IF(AND($T427&lt;&gt;"",$T427=$T426),$U426,IF(B427="x",U426,"")))</f>
        <v/>
      </c>
      <c r="V427" t="str">
        <f>IF(C427=1,MAX($V$2:$V426)+1,IF(AND($T427&lt;&gt;"",$T427=$T426),$U426,IF(C427="x",V426,"")))</f>
        <v/>
      </c>
      <c r="X427" cm="1">
        <f t="array" ref="X427">IF($I427&lt;&gt;"",$I427,INDEX($I$1:$I427,ROW()-COUNTIFS($T$1:$T427,"="&amp;$T427,$S$1:$S427,"&lt;"&amp;$S427)))</f>
        <v>39</v>
      </c>
      <c r="Z427" s="6">
        <f t="shared" si="85"/>
        <v>1</v>
      </c>
      <c r="AA427">
        <f t="shared" si="86"/>
        <v>1214</v>
      </c>
      <c r="AB427">
        <f t="shared" si="87"/>
        <v>9027</v>
      </c>
      <c r="AC427">
        <f t="shared" si="88"/>
        <v>9027</v>
      </c>
      <c r="BI427" s="40"/>
      <c r="BL427" s="40"/>
      <c r="BN427" s="19"/>
      <c r="BP427" s="17"/>
    </row>
    <row r="428" spans="1:68" x14ac:dyDescent="0.2">
      <c r="A428" t="str">
        <f t="shared" si="84"/>
        <v>x</v>
      </c>
      <c r="D428" s="26" t="s">
        <v>729</v>
      </c>
      <c r="E428" s="4"/>
      <c r="F428" s="46"/>
      <c r="G428" s="4"/>
      <c r="H428" s="48"/>
      <c r="I428" s="26">
        <v>93</v>
      </c>
      <c r="J428" s="26" t="str">
        <f t="shared" si="89"/>
        <v/>
      </c>
      <c r="N428" t="str">
        <f t="shared" si="91"/>
        <v/>
      </c>
      <c r="Q428" t="str">
        <f t="shared" si="90"/>
        <v/>
      </c>
      <c r="S428">
        <f>IF(A428=1,MAX($S$2:$S427)+1,IF(OR($I428&lt;&gt;"",A428="x"),$S427,""))</f>
        <v>214</v>
      </c>
      <c r="T428">
        <f>IF(D428=1,MAX($T$2:$T427)+1,IF(S428=S427,$T427,IF(D428="x",T427,IF(D427="x","",""))))</f>
        <v>27</v>
      </c>
      <c r="U428" t="str">
        <f>IF(B428=1,MAX($U$2:$U427)+1,IF(AND($T428&lt;&gt;"",$T428=$T427),$U427,IF(B428="x",U427,"")))</f>
        <v/>
      </c>
      <c r="V428" t="str">
        <f>IF(C428=1,MAX($V$2:$V427)+1,IF(AND($T428&lt;&gt;"",$T428=$T427),$U427,IF(C428="x",V427,"")))</f>
        <v/>
      </c>
      <c r="X428" cm="1">
        <f t="array" ref="X428">IF($I428&lt;&gt;"",$I428,INDEX($I$1:$I428,ROW()-COUNTIFS($T$1:$T428,"="&amp;$T428,$S$1:$S428,"&lt;"&amp;$S428)))</f>
        <v>93</v>
      </c>
      <c r="Z428" s="6">
        <f t="shared" si="85"/>
        <v>1</v>
      </c>
      <c r="AA428">
        <f t="shared" si="86"/>
        <v>1214</v>
      </c>
      <c r="AB428">
        <f t="shared" si="87"/>
        <v>9027</v>
      </c>
      <c r="AC428">
        <f t="shared" si="88"/>
        <v>9027</v>
      </c>
      <c r="BI428" s="40"/>
      <c r="BL428" s="40"/>
      <c r="BN428" s="19"/>
      <c r="BP428" s="17"/>
    </row>
    <row r="429" spans="1:68" x14ac:dyDescent="0.2">
      <c r="A429" t="str">
        <f t="shared" si="84"/>
        <v>x</v>
      </c>
      <c r="D429" s="26" t="s">
        <v>729</v>
      </c>
      <c r="E429" s="4"/>
      <c r="F429" s="46"/>
      <c r="G429" s="4"/>
      <c r="H429" s="48"/>
      <c r="I429" s="26">
        <v>73</v>
      </c>
      <c r="J429" s="26" t="str">
        <f t="shared" si="89"/>
        <v/>
      </c>
      <c r="N429" t="str">
        <f t="shared" si="91"/>
        <v/>
      </c>
      <c r="Q429" t="str">
        <f t="shared" si="90"/>
        <v/>
      </c>
      <c r="S429">
        <f>IF(A429=1,MAX($S$2:$S428)+1,IF(OR($I429&lt;&gt;"",A429="x"),$S428,""))</f>
        <v>214</v>
      </c>
      <c r="T429">
        <f>IF(D429=1,MAX($T$2:$T428)+1,IF(S429=S428,$T428,IF(D429="x",T428,IF(D428="x","",""))))</f>
        <v>27</v>
      </c>
      <c r="U429" t="str">
        <f>IF(B429=1,MAX($U$2:$U428)+1,IF(AND($T429&lt;&gt;"",$T429=$T428),$U428,IF(B429="x",U428,"")))</f>
        <v/>
      </c>
      <c r="V429" t="str">
        <f>IF(C429=1,MAX($V$2:$V428)+1,IF(AND($T429&lt;&gt;"",$T429=$T428),$U428,IF(C429="x",V428,"")))</f>
        <v/>
      </c>
      <c r="X429" cm="1">
        <f t="array" ref="X429">IF($I429&lt;&gt;"",$I429,INDEX($I$1:$I429,ROW()-COUNTIFS($T$1:$T429,"="&amp;$T429,$S$1:$S429,"&lt;"&amp;$S429)))</f>
        <v>73</v>
      </c>
      <c r="Z429" s="6">
        <f t="shared" si="85"/>
        <v>1</v>
      </c>
      <c r="AA429">
        <f t="shared" si="86"/>
        <v>1214</v>
      </c>
      <c r="AB429">
        <f t="shared" si="87"/>
        <v>9027</v>
      </c>
      <c r="AC429">
        <f t="shared" si="88"/>
        <v>9027</v>
      </c>
      <c r="BI429" s="40"/>
      <c r="BL429" s="40"/>
      <c r="BN429" s="19"/>
      <c r="BP429" s="17"/>
    </row>
    <row r="430" spans="1:68" x14ac:dyDescent="0.2">
      <c r="A430">
        <f t="shared" si="84"/>
        <v>1</v>
      </c>
      <c r="D430" s="26" t="s">
        <v>729</v>
      </c>
      <c r="E430" s="4"/>
      <c r="F430" s="46"/>
      <c r="G430" s="4"/>
      <c r="H430" s="48"/>
      <c r="I430" s="26">
        <v>39</v>
      </c>
      <c r="J430" s="26" t="str">
        <f t="shared" si="89"/>
        <v>d</v>
      </c>
      <c r="K430" t="s">
        <v>231</v>
      </c>
      <c r="L430" t="s">
        <v>232</v>
      </c>
      <c r="N430" t="str">
        <f t="shared" si="91"/>
        <v/>
      </c>
      <c r="Q430" t="str">
        <f t="shared" si="90"/>
        <v/>
      </c>
      <c r="S430">
        <f>IF(A430=1,MAX($S$2:$S429)+1,IF(OR($I430&lt;&gt;"",A430="x"),$S429,""))</f>
        <v>215</v>
      </c>
      <c r="T430">
        <f>IF(D430=1,MAX($T$2:$T429)+1,IF(S430=S429,$T429,IF(D430="x",T429,IF(D429="x","",""))))</f>
        <v>27</v>
      </c>
      <c r="U430" t="str">
        <f>IF(B430=1,MAX($U$2:$U429)+1,IF(AND($T430&lt;&gt;"",$T430=$T429),$U429,IF(B430="x",U429,"")))</f>
        <v/>
      </c>
      <c r="V430" t="str">
        <f>IF(C430=1,MAX($V$2:$V429)+1,IF(AND($T430&lt;&gt;"",$T430=$T429),$U429,IF(C430="x",V429,"")))</f>
        <v/>
      </c>
      <c r="X430" cm="1">
        <f t="array" ref="X430">IF($I430&lt;&gt;"",$I430,INDEX($I$1:$I430,ROW()-COUNTIFS($T$1:$T430,"="&amp;$T430,$S$1:$S430,"&lt;"&amp;$S430)))</f>
        <v>39</v>
      </c>
      <c r="Z430" s="6">
        <f t="shared" si="85"/>
        <v>1</v>
      </c>
      <c r="AA430">
        <f t="shared" si="86"/>
        <v>1215</v>
      </c>
      <c r="AB430">
        <f t="shared" si="87"/>
        <v>9027</v>
      </c>
      <c r="AC430">
        <f t="shared" si="88"/>
        <v>9027</v>
      </c>
      <c r="BI430" s="40"/>
      <c r="BL430" s="40"/>
      <c r="BN430" s="19"/>
      <c r="BP430" s="17"/>
    </row>
    <row r="431" spans="1:68" x14ac:dyDescent="0.2">
      <c r="A431">
        <f t="shared" si="84"/>
        <v>1</v>
      </c>
      <c r="E431" s="4"/>
      <c r="F431" s="46" t="s">
        <v>1049</v>
      </c>
      <c r="G431" s="4"/>
      <c r="H431" s="48" t="s">
        <v>1029</v>
      </c>
      <c r="I431" s="26">
        <v>93</v>
      </c>
      <c r="J431" s="26" t="s">
        <v>736</v>
      </c>
      <c r="K431" t="s">
        <v>13</v>
      </c>
      <c r="L431" t="s">
        <v>586</v>
      </c>
      <c r="N431" t="s">
        <v>595</v>
      </c>
      <c r="O431" t="s">
        <v>908</v>
      </c>
      <c r="Q431" t="s">
        <v>595</v>
      </c>
      <c r="R431" s="26">
        <v>1</v>
      </c>
      <c r="S431">
        <f>IF(A431=1,MAX($S$2:$S430)+1,IF(OR($I431&lt;&gt;"",A431="x"),$S430,""))</f>
        <v>216</v>
      </c>
      <c r="T431" t="str">
        <f>IF(D431=1,MAX($T$2:$T430)+1,IF(S431=S430,$T430,IF(D431="x",T430,IF(D430="x","",""))))</f>
        <v/>
      </c>
      <c r="U431" t="str">
        <f>IF(B431=1,MAX($U$2:$U430)+1,IF(AND($T431&lt;&gt;"",$T431=$T430),$U430,IF(B431="x",U430,"")))</f>
        <v/>
      </c>
      <c r="V431" t="str">
        <f>IF(C431=1,MAX($V$2:$V430)+1,IF(AND($T431&lt;&gt;"",$T431=$T430),$U430,IF(C431="x",V430,"")))</f>
        <v/>
      </c>
      <c r="X431" cm="1">
        <f t="array" ref="X431">IF($I431&lt;&gt;"",$I431,INDEX($I$1:$I431,ROW()-COUNTIFS($T$1:$T431,"="&amp;$T431,$S$1:$S431,"&lt;"&amp;$S431)))</f>
        <v>93</v>
      </c>
      <c r="Z431" s="6">
        <f t="shared" si="85"/>
        <v>1</v>
      </c>
      <c r="AA431">
        <f t="shared" si="86"/>
        <v>1216</v>
      </c>
      <c r="AB431" t="str">
        <f t="shared" si="87"/>
        <v/>
      </c>
      <c r="AC431">
        <f t="shared" si="88"/>
        <v>1216</v>
      </c>
      <c r="BI431" s="40"/>
      <c r="BL431" s="40"/>
      <c r="BN431" s="19"/>
      <c r="BP431" s="17"/>
    </row>
    <row r="432" spans="1:68" x14ac:dyDescent="0.2">
      <c r="A432" t="str">
        <f t="shared" si="84"/>
        <v/>
      </c>
      <c r="E432" s="4"/>
      <c r="F432" s="46"/>
      <c r="G432" s="4"/>
      <c r="H432" s="48"/>
      <c r="I432" s="26">
        <v>19</v>
      </c>
      <c r="J432" s="26" t="str">
        <f t="shared" si="89"/>
        <v/>
      </c>
      <c r="N432" t="str">
        <f t="shared" si="91"/>
        <v/>
      </c>
      <c r="O432" t="s">
        <v>908</v>
      </c>
      <c r="Q432" t="s">
        <v>594</v>
      </c>
      <c r="R432" s="26">
        <v>1</v>
      </c>
      <c r="S432">
        <f>IF(A432=1,MAX($S$2:$S431)+1,IF(OR($I432&lt;&gt;"",A432="x"),$S431,""))</f>
        <v>216</v>
      </c>
      <c r="T432" t="str">
        <f>IF(D432=1,MAX($T$2:$T431)+1,IF(S432=S431,$T431,IF(D432="x",T431,IF(D431="x","",""))))</f>
        <v/>
      </c>
      <c r="U432" t="str">
        <f>IF(B432=1,MAX($U$2:$U431)+1,IF(AND($T432&lt;&gt;"",$T432=$T431),$U431,IF(B432="x",U431,"")))</f>
        <v/>
      </c>
      <c r="V432" t="str">
        <f>IF(C432=1,MAX($V$2:$V431)+1,IF(AND($T432&lt;&gt;"",$T432=$T431),$U431,IF(C432="x",V431,"")))</f>
        <v/>
      </c>
      <c r="X432" cm="1">
        <f t="array" ref="X432">IF($I432&lt;&gt;"",$I432,INDEX($I$1:$I432,ROW()-COUNTIFS($T$1:$T432,"="&amp;$T432,$S$1:$S432,"&lt;"&amp;$S432)))</f>
        <v>19</v>
      </c>
      <c r="Z432" s="6">
        <f t="shared" si="85"/>
        <v>1</v>
      </c>
      <c r="AA432">
        <f t="shared" si="86"/>
        <v>1216</v>
      </c>
      <c r="AB432" t="str">
        <f t="shared" si="87"/>
        <v/>
      </c>
      <c r="AC432">
        <f t="shared" si="88"/>
        <v>1216</v>
      </c>
      <c r="BI432" s="40"/>
      <c r="BL432" s="40"/>
      <c r="BN432" s="19"/>
      <c r="BP432" s="17"/>
    </row>
    <row r="433" spans="1:68" x14ac:dyDescent="0.2">
      <c r="A433">
        <f t="shared" si="84"/>
        <v>1</v>
      </c>
      <c r="E433" s="4"/>
      <c r="F433" s="46"/>
      <c r="G433" s="4"/>
      <c r="H433" s="48"/>
      <c r="I433" s="26">
        <v>93</v>
      </c>
      <c r="J433" s="26" t="s">
        <v>736</v>
      </c>
      <c r="K433" t="s">
        <v>7</v>
      </c>
      <c r="L433" t="s">
        <v>172</v>
      </c>
      <c r="M433" t="s">
        <v>68</v>
      </c>
      <c r="N433" t="str">
        <f t="shared" si="91"/>
        <v>s</v>
      </c>
      <c r="Q433" t="str">
        <f t="shared" si="90"/>
        <v/>
      </c>
      <c r="R433" s="26">
        <v>1</v>
      </c>
      <c r="S433">
        <f>IF(A433=1,MAX($S$2:$S432)+1,IF(OR($I433&lt;&gt;"",A433="x"),$S432,""))</f>
        <v>217</v>
      </c>
      <c r="T433" t="str">
        <f>IF(D433=1,MAX($T$2:$T432)+1,IF(S433=S432,$T432,IF(D433="x",T432,IF(D432="x","",""))))</f>
        <v/>
      </c>
      <c r="U433" t="str">
        <f>IF(B433=1,MAX($U$2:$U432)+1,IF(AND($T433&lt;&gt;"",$T433=$T432),$U432,IF(B433="x",U432,"")))</f>
        <v/>
      </c>
      <c r="V433" t="str">
        <f>IF(C433=1,MAX($V$2:$V432)+1,IF(AND($T433&lt;&gt;"",$T433=$T432),$U432,IF(C433="x",V432,"")))</f>
        <v/>
      </c>
      <c r="X433" cm="1">
        <f t="array" ref="X433">IF($I433&lt;&gt;"",$I433,INDEX($I$1:$I433,ROW()-COUNTIFS($T$1:$T433,"="&amp;$T433,$S$1:$S433,"&lt;"&amp;$S433)))</f>
        <v>93</v>
      </c>
      <c r="Z433" s="6">
        <f t="shared" si="85"/>
        <v>1</v>
      </c>
      <c r="AA433">
        <f t="shared" si="86"/>
        <v>1217</v>
      </c>
      <c r="AB433" t="str">
        <f t="shared" si="87"/>
        <v/>
      </c>
      <c r="AC433">
        <f t="shared" si="88"/>
        <v>1217</v>
      </c>
      <c r="BI433" s="40"/>
      <c r="BL433" s="40"/>
      <c r="BN433" s="19"/>
      <c r="BP433" s="17"/>
    </row>
    <row r="434" spans="1:68" x14ac:dyDescent="0.2">
      <c r="A434" t="str">
        <f t="shared" si="84"/>
        <v/>
      </c>
      <c r="E434" s="4"/>
      <c r="F434" s="46"/>
      <c r="G434" s="4"/>
      <c r="H434" s="48"/>
      <c r="I434" s="26">
        <v>87</v>
      </c>
      <c r="J434" s="26" t="str">
        <f t="shared" si="89"/>
        <v/>
      </c>
      <c r="N434" t="str">
        <f t="shared" si="91"/>
        <v/>
      </c>
      <c r="Q434" t="str">
        <f t="shared" si="90"/>
        <v/>
      </c>
      <c r="S434">
        <f>IF(A434=1,MAX($S$2:$S433)+1,IF(OR($I434&lt;&gt;"",A434="x"),$S433,""))</f>
        <v>217</v>
      </c>
      <c r="T434" t="str">
        <f>IF(D434=1,MAX($T$2:$T433)+1,IF(S434=S433,$T433,IF(D434="x",T433,IF(D433="x","",""))))</f>
        <v/>
      </c>
      <c r="U434" t="str">
        <f>IF(B434=1,MAX($U$2:$U433)+1,IF(AND($T434&lt;&gt;"",$T434=$T433),$U433,IF(B434="x",U433,"")))</f>
        <v/>
      </c>
      <c r="V434" t="str">
        <f>IF(C434=1,MAX($V$2:$V433)+1,IF(AND($T434&lt;&gt;"",$T434=$T433),$U433,IF(C434="x",V433,"")))</f>
        <v/>
      </c>
      <c r="X434" cm="1">
        <f t="array" ref="X434">IF($I434&lt;&gt;"",$I434,INDEX($I$1:$I434,ROW()-COUNTIFS($T$1:$T434,"="&amp;$T434,$S$1:$S434,"&lt;"&amp;$S434)))</f>
        <v>87</v>
      </c>
      <c r="Z434" s="6">
        <f t="shared" si="85"/>
        <v>1</v>
      </c>
      <c r="AA434">
        <f t="shared" si="86"/>
        <v>1217</v>
      </c>
      <c r="AB434" t="str">
        <f t="shared" si="87"/>
        <v/>
      </c>
      <c r="AC434">
        <f t="shared" si="88"/>
        <v>1217</v>
      </c>
      <c r="BI434" s="40"/>
      <c r="BL434" s="40"/>
      <c r="BN434" s="19"/>
      <c r="BP434" s="17"/>
    </row>
    <row r="435" spans="1:68" x14ac:dyDescent="0.2">
      <c r="A435" t="str">
        <f t="shared" si="84"/>
        <v/>
      </c>
      <c r="E435" s="4"/>
      <c r="F435" s="46"/>
      <c r="G435" s="4"/>
      <c r="H435" s="48"/>
      <c r="I435" s="26">
        <v>19</v>
      </c>
      <c r="J435" s="26" t="str">
        <f t="shared" si="89"/>
        <v/>
      </c>
      <c r="N435" t="str">
        <f t="shared" si="91"/>
        <v/>
      </c>
      <c r="O435" t="s">
        <v>567</v>
      </c>
      <c r="Q435" t="str">
        <f t="shared" si="90"/>
        <v/>
      </c>
      <c r="R435" s="26">
        <v>1</v>
      </c>
      <c r="S435">
        <f>IF(A435=1,MAX($S$2:$S434)+1,IF(OR($I435&lt;&gt;"",A435="x"),$S434,""))</f>
        <v>217</v>
      </c>
      <c r="T435" t="str">
        <f>IF(D435=1,MAX($T$2:$T434)+1,IF(S435=S434,$T434,IF(D435="x",T434,IF(D434="x","",""))))</f>
        <v/>
      </c>
      <c r="U435" t="str">
        <f>IF(B435=1,MAX($U$2:$U434)+1,IF(AND($T435&lt;&gt;"",$T435=$T434),$U434,IF(B435="x",U434,"")))</f>
        <v/>
      </c>
      <c r="V435" t="str">
        <f>IF(C435=1,MAX($V$2:$V434)+1,IF(AND($T435&lt;&gt;"",$T435=$T434),$U434,IF(C435="x",V434,"")))</f>
        <v/>
      </c>
      <c r="X435" cm="1">
        <f t="array" ref="X435">IF($I435&lt;&gt;"",$I435,INDEX($I$1:$I435,ROW()-COUNTIFS($T$1:$T435,"="&amp;$T435,$S$1:$S435,"&lt;"&amp;$S435)))</f>
        <v>19</v>
      </c>
      <c r="Z435" s="6">
        <f t="shared" si="85"/>
        <v>1</v>
      </c>
      <c r="AA435">
        <f t="shared" si="86"/>
        <v>1217</v>
      </c>
      <c r="AB435" t="str">
        <f t="shared" si="87"/>
        <v/>
      </c>
      <c r="AC435">
        <f t="shared" si="88"/>
        <v>1217</v>
      </c>
      <c r="BI435" s="40"/>
      <c r="BL435" s="40"/>
      <c r="BN435" s="19"/>
      <c r="BP435" s="17"/>
    </row>
    <row r="436" spans="1:68" x14ac:dyDescent="0.2">
      <c r="A436">
        <f t="shared" si="84"/>
        <v>1</v>
      </c>
      <c r="E436" s="4"/>
      <c r="F436" s="46"/>
      <c r="G436" s="4"/>
      <c r="H436" s="48" t="s">
        <v>1032</v>
      </c>
      <c r="I436" s="26">
        <v>87</v>
      </c>
      <c r="J436" s="26" t="s">
        <v>736</v>
      </c>
      <c r="K436" t="s">
        <v>13</v>
      </c>
      <c r="N436" t="str">
        <f t="shared" si="91"/>
        <v/>
      </c>
      <c r="Q436" t="str">
        <f t="shared" si="90"/>
        <v/>
      </c>
      <c r="S436">
        <f>IF(A436=1,MAX($S$2:$S435)+1,IF(OR($I436&lt;&gt;"",A436="x"),$S435,""))</f>
        <v>218</v>
      </c>
      <c r="T436" t="str">
        <f>IF(D436=1,MAX($T$2:$T435)+1,IF(S436=S435,$T435,IF(D436="x",T435,IF(D435="x","",""))))</f>
        <v/>
      </c>
      <c r="U436" t="str">
        <f>IF(B436=1,MAX($U$2:$U435)+1,IF(AND($T436&lt;&gt;"",$T436=$T435),$U435,IF(B436="x",U435,"")))</f>
        <v/>
      </c>
      <c r="V436" t="str">
        <f>IF(C436=1,MAX($V$2:$V435)+1,IF(AND($T436&lt;&gt;"",$T436=$T435),$U435,IF(C436="x",V435,"")))</f>
        <v/>
      </c>
      <c r="X436" cm="1">
        <f t="array" ref="X436">IF($I436&lt;&gt;"",$I436,INDEX($I$1:$I436,ROW()-COUNTIFS($T$1:$T436,"="&amp;$T436,$S$1:$S436,"&lt;"&amp;$S436)))</f>
        <v>87</v>
      </c>
      <c r="Z436" s="6">
        <f t="shared" si="85"/>
        <v>1</v>
      </c>
      <c r="AA436">
        <f t="shared" si="86"/>
        <v>1218</v>
      </c>
      <c r="AB436" t="str">
        <f t="shared" si="87"/>
        <v/>
      </c>
      <c r="AC436">
        <f t="shared" si="88"/>
        <v>1218</v>
      </c>
      <c r="BI436" s="40"/>
      <c r="BL436" s="40"/>
      <c r="BN436" s="19"/>
      <c r="BP436" s="17"/>
    </row>
    <row r="437" spans="1:68" x14ac:dyDescent="0.2">
      <c r="A437">
        <f t="shared" si="84"/>
        <v>1</v>
      </c>
      <c r="E437" s="4"/>
      <c r="F437" s="46"/>
      <c r="G437" s="4"/>
      <c r="H437" s="48" t="s">
        <v>1037</v>
      </c>
      <c r="I437" s="26">
        <v>87</v>
      </c>
      <c r="J437" s="26" t="str">
        <f t="shared" si="89"/>
        <v>d</v>
      </c>
      <c r="K437" t="s">
        <v>238</v>
      </c>
      <c r="L437" t="s">
        <v>184</v>
      </c>
      <c r="M437" t="s">
        <v>88</v>
      </c>
      <c r="N437" t="str">
        <f t="shared" si="91"/>
        <v>s</v>
      </c>
      <c r="O437" t="s">
        <v>150</v>
      </c>
      <c r="Q437" t="str">
        <f t="shared" si="90"/>
        <v>s</v>
      </c>
      <c r="R437" s="26">
        <v>1</v>
      </c>
      <c r="S437">
        <f>IF(A437=1,MAX($S$2:$S436)+1,IF(OR($I437&lt;&gt;"",A437="x"),$S436,""))</f>
        <v>219</v>
      </c>
      <c r="T437" t="str">
        <f>IF(D437=1,MAX($T$2:$T436)+1,IF(S437=S436,$T436,IF(D437="x",T436,IF(D436="x","",""))))</f>
        <v/>
      </c>
      <c r="U437" t="str">
        <f>IF(B437=1,MAX($U$2:$U436)+1,IF(AND($T437&lt;&gt;"",$T437=$T436),$U436,IF(B437="x",U436,"")))</f>
        <v/>
      </c>
      <c r="V437" t="str">
        <f>IF(C437=1,MAX($V$2:$V436)+1,IF(AND($T437&lt;&gt;"",$T437=$T436),$U436,IF(C437="x",V436,"")))</f>
        <v/>
      </c>
      <c r="X437" cm="1">
        <f t="array" ref="X437">IF($I437&lt;&gt;"",$I437,INDEX($I$1:$I437,ROW()-COUNTIFS($T$1:$T437,"="&amp;$T437,$S$1:$S437,"&lt;"&amp;$S437)))</f>
        <v>87</v>
      </c>
      <c r="Z437" s="6">
        <f t="shared" si="85"/>
        <v>1</v>
      </c>
      <c r="AA437">
        <f t="shared" si="86"/>
        <v>1219</v>
      </c>
      <c r="AB437" t="str">
        <f t="shared" si="87"/>
        <v/>
      </c>
      <c r="AC437">
        <f t="shared" si="88"/>
        <v>1219</v>
      </c>
      <c r="BI437" s="40"/>
      <c r="BL437" s="40"/>
      <c r="BN437" s="19"/>
      <c r="BP437" s="17"/>
    </row>
    <row r="438" spans="1:68" x14ac:dyDescent="0.2">
      <c r="A438" t="str">
        <f t="shared" si="84"/>
        <v/>
      </c>
      <c r="E438" s="4"/>
      <c r="F438" s="46"/>
      <c r="G438" s="4"/>
      <c r="H438" s="48"/>
      <c r="I438" s="26">
        <v>12</v>
      </c>
      <c r="J438" s="26" t="str">
        <f t="shared" si="89"/>
        <v/>
      </c>
      <c r="N438" t="str">
        <f t="shared" si="91"/>
        <v/>
      </c>
      <c r="O438" t="s">
        <v>164</v>
      </c>
      <c r="Q438" t="str">
        <f t="shared" si="90"/>
        <v>u</v>
      </c>
      <c r="R438" s="26">
        <v>1</v>
      </c>
      <c r="S438">
        <f>IF(A438=1,MAX($S$2:$S437)+1,IF(OR($I438&lt;&gt;"",A438="x"),$S437,""))</f>
        <v>219</v>
      </c>
      <c r="T438" t="str">
        <f>IF(D438=1,MAX($T$2:$T437)+1,IF(S438=S437,$T437,IF(D438="x",T437,IF(D437="x","",""))))</f>
        <v/>
      </c>
      <c r="U438" t="str">
        <f>IF(B438=1,MAX($U$2:$U437)+1,IF(AND($T438&lt;&gt;"",$T438=$T437),$U437,IF(B438="x",U437,"")))</f>
        <v/>
      </c>
      <c r="V438" t="str">
        <f>IF(C438=1,MAX($V$2:$V437)+1,IF(AND($T438&lt;&gt;"",$T438=$T437),$U437,IF(C438="x",V437,"")))</f>
        <v/>
      </c>
      <c r="X438" cm="1">
        <f t="array" ref="X438">IF($I438&lt;&gt;"",$I438,INDEX($I$1:$I438,ROW()-COUNTIFS($T$1:$T438,"="&amp;$T438,$S$1:$S438,"&lt;"&amp;$S438)))</f>
        <v>12</v>
      </c>
      <c r="Z438" s="6">
        <f t="shared" si="85"/>
        <v>1</v>
      </c>
      <c r="AA438">
        <f t="shared" si="86"/>
        <v>1219</v>
      </c>
      <c r="AB438" t="str">
        <f t="shared" si="87"/>
        <v/>
      </c>
      <c r="AC438">
        <f t="shared" si="88"/>
        <v>1219</v>
      </c>
      <c r="BI438" s="40"/>
      <c r="BL438" s="40"/>
      <c r="BN438" s="19"/>
      <c r="BP438" s="17"/>
    </row>
    <row r="439" spans="1:68" x14ac:dyDescent="0.2">
      <c r="A439">
        <f t="shared" si="84"/>
        <v>1</v>
      </c>
      <c r="E439" s="4"/>
      <c r="F439" s="46"/>
      <c r="G439" s="4"/>
      <c r="H439" s="48" t="s">
        <v>749</v>
      </c>
      <c r="I439" s="26">
        <v>87</v>
      </c>
      <c r="J439" s="26" t="s">
        <v>734</v>
      </c>
      <c r="K439" t="s">
        <v>13</v>
      </c>
      <c r="N439" t="str">
        <f t="shared" si="91"/>
        <v/>
      </c>
      <c r="Q439" t="str">
        <f t="shared" si="90"/>
        <v/>
      </c>
      <c r="S439">
        <f>IF(A439=1,MAX($S$2:$S438)+1,IF(OR($I439&lt;&gt;"",A439="x"),$S438,""))</f>
        <v>220</v>
      </c>
      <c r="T439" t="str">
        <f>IF(D439=1,MAX($T$2:$T438)+1,IF(S439=S438,$T438,IF(D439="x",T438,IF(D438="x","",""))))</f>
        <v/>
      </c>
      <c r="U439" t="str">
        <f>IF(B439=1,MAX($U$2:$U438)+1,IF(AND($T439&lt;&gt;"",$T439=$T438),$U438,IF(B439="x",U438,"")))</f>
        <v/>
      </c>
      <c r="V439" t="str">
        <f>IF(C439=1,MAX($V$2:$V438)+1,IF(AND($T439&lt;&gt;"",$T439=$T438),$U438,IF(C439="x",V438,"")))</f>
        <v/>
      </c>
      <c r="X439" cm="1">
        <f t="array" ref="X439">IF($I439&lt;&gt;"",$I439,INDEX($I$1:$I439,ROW()-COUNTIFS($T$1:$T439,"="&amp;$T439,$S$1:$S439,"&lt;"&amp;$S439)))</f>
        <v>87</v>
      </c>
      <c r="Z439" s="6">
        <f t="shared" si="85"/>
        <v>1</v>
      </c>
      <c r="AA439">
        <f t="shared" si="86"/>
        <v>1220</v>
      </c>
      <c r="AB439" t="str">
        <f t="shared" si="87"/>
        <v/>
      </c>
      <c r="AC439">
        <f t="shared" si="88"/>
        <v>1220</v>
      </c>
      <c r="BI439" s="40"/>
      <c r="BL439" s="40"/>
      <c r="BN439" s="19"/>
      <c r="BP439" s="17"/>
    </row>
    <row r="440" spans="1:68" x14ac:dyDescent="0.2">
      <c r="A440">
        <f t="shared" si="84"/>
        <v>1</v>
      </c>
      <c r="E440" s="4"/>
      <c r="F440" s="46"/>
      <c r="G440" s="4"/>
      <c r="H440" s="48" t="s">
        <v>1062</v>
      </c>
      <c r="I440" s="26">
        <v>87</v>
      </c>
      <c r="J440" s="26" t="str">
        <f t="shared" si="89"/>
        <v>o</v>
      </c>
      <c r="K440" t="s">
        <v>238</v>
      </c>
      <c r="L440" t="s">
        <v>174</v>
      </c>
      <c r="M440" t="s">
        <v>85</v>
      </c>
      <c r="N440" t="str">
        <f t="shared" si="91"/>
        <v>s</v>
      </c>
      <c r="O440" t="s">
        <v>144</v>
      </c>
      <c r="Q440" t="str">
        <f t="shared" si="90"/>
        <v>s</v>
      </c>
      <c r="R440" s="26">
        <v>1</v>
      </c>
      <c r="S440">
        <f>IF(A440=1,MAX($S$2:$S439)+1,IF(OR($I440&lt;&gt;"",A440="x"),$S439,""))</f>
        <v>221</v>
      </c>
      <c r="T440" t="str">
        <f>IF(D440=1,MAX($T$2:$T439)+1,IF(S440=S439,$T439,IF(D440="x",T439,IF(D439="x","",""))))</f>
        <v/>
      </c>
      <c r="U440" t="str">
        <f>IF(B440=1,MAX($U$2:$U439)+1,IF(AND($T440&lt;&gt;"",$T440=$T439),$U439,IF(B440="x",U439,"")))</f>
        <v/>
      </c>
      <c r="V440" t="str">
        <f>IF(C440=1,MAX($V$2:$V439)+1,IF(AND($T440&lt;&gt;"",$T440=$T439),$U439,IF(C440="x",V439,"")))</f>
        <v/>
      </c>
      <c r="X440" cm="1">
        <f t="array" ref="X440">IF($I440&lt;&gt;"",$I440,INDEX($I$1:$I440,ROW()-COUNTIFS($T$1:$T440,"="&amp;$T440,$S$1:$S440,"&lt;"&amp;$S440)))</f>
        <v>87</v>
      </c>
      <c r="Z440" s="6">
        <f t="shared" si="85"/>
        <v>1</v>
      </c>
      <c r="AA440">
        <f t="shared" si="86"/>
        <v>1221</v>
      </c>
      <c r="AB440" t="str">
        <f t="shared" si="87"/>
        <v/>
      </c>
      <c r="AC440">
        <f t="shared" si="88"/>
        <v>1221</v>
      </c>
      <c r="BI440" s="40"/>
      <c r="BL440" s="40"/>
      <c r="BN440" s="19"/>
      <c r="BP440" s="17"/>
    </row>
    <row r="441" spans="1:68" x14ac:dyDescent="0.2">
      <c r="A441" t="str">
        <f t="shared" si="84"/>
        <v/>
      </c>
      <c r="E441" s="4"/>
      <c r="F441" s="46"/>
      <c r="G441" s="4"/>
      <c r="H441" s="48"/>
      <c r="I441" s="26">
        <v>41</v>
      </c>
      <c r="J441" s="26" t="str">
        <f t="shared" si="89"/>
        <v/>
      </c>
      <c r="N441" t="str">
        <f t="shared" si="91"/>
        <v/>
      </c>
      <c r="Q441" t="str">
        <f t="shared" si="90"/>
        <v/>
      </c>
      <c r="R441" s="26">
        <v>1</v>
      </c>
      <c r="S441">
        <f>IF(A441=1,MAX($S$2:$S440)+1,IF(OR($I441&lt;&gt;"",A441="x"),$S440,""))</f>
        <v>221</v>
      </c>
      <c r="T441" t="str">
        <f>IF(D441=1,MAX($T$2:$T440)+1,IF(S441=S440,$T440,IF(D441="x",T440,IF(D440="x","",""))))</f>
        <v/>
      </c>
      <c r="U441" t="str">
        <f>IF(B441=1,MAX($U$2:$U440)+1,IF(AND($T441&lt;&gt;"",$T441=$T440),$U440,IF(B441="x",U440,"")))</f>
        <v/>
      </c>
      <c r="V441" t="str">
        <f>IF(C441=1,MAX($V$2:$V440)+1,IF(AND($T441&lt;&gt;"",$T441=$T440),$U440,IF(C441="x",V440,"")))</f>
        <v/>
      </c>
      <c r="X441" cm="1">
        <f t="array" ref="X441">IF($I441&lt;&gt;"",$I441,INDEX($I$1:$I441,ROW()-COUNTIFS($T$1:$T441,"="&amp;$T441,$S$1:$S441,"&lt;"&amp;$S441)))</f>
        <v>41</v>
      </c>
      <c r="Z441" s="6">
        <f t="shared" si="85"/>
        <v>1</v>
      </c>
      <c r="AA441">
        <f t="shared" si="86"/>
        <v>1221</v>
      </c>
      <c r="AB441" t="str">
        <f t="shared" si="87"/>
        <v/>
      </c>
      <c r="AC441">
        <f t="shared" si="88"/>
        <v>1221</v>
      </c>
      <c r="BI441" s="40"/>
      <c r="BL441" s="40"/>
      <c r="BN441" s="19"/>
      <c r="BP441" s="17"/>
    </row>
    <row r="442" spans="1:68" x14ac:dyDescent="0.2">
      <c r="A442">
        <f t="shared" si="84"/>
        <v>1</v>
      </c>
      <c r="E442" s="4"/>
      <c r="F442" s="46"/>
      <c r="G442" s="4"/>
      <c r="H442" s="48" t="s">
        <v>750</v>
      </c>
      <c r="I442" s="26">
        <v>87</v>
      </c>
      <c r="J442" s="26" t="s">
        <v>368</v>
      </c>
      <c r="K442" t="s">
        <v>13</v>
      </c>
      <c r="N442" t="str">
        <f t="shared" si="91"/>
        <v/>
      </c>
      <c r="O442" t="s">
        <v>149</v>
      </c>
      <c r="Q442" t="str">
        <f t="shared" si="90"/>
        <v/>
      </c>
      <c r="S442">
        <f>IF(A442=1,MAX($S$2:$S441)+1,IF(OR($I442&lt;&gt;"",A442="x"),$S441,""))</f>
        <v>222</v>
      </c>
      <c r="T442" t="str">
        <f>IF(D442=1,MAX($T$2:$T441)+1,IF(S442=S441,$T441,IF(D442="x",T441,IF(D441="x","",""))))</f>
        <v/>
      </c>
      <c r="U442" t="str">
        <f>IF(B442=1,MAX($U$2:$U441)+1,IF(AND($T442&lt;&gt;"",$T442=$T441),$U441,IF(B442="x",U441,"")))</f>
        <v/>
      </c>
      <c r="V442" t="str">
        <f>IF(C442=1,MAX($V$2:$V441)+1,IF(AND($T442&lt;&gt;"",$T442=$T441),$U441,IF(C442="x",V441,"")))</f>
        <v/>
      </c>
      <c r="X442" cm="1">
        <f t="array" ref="X442">IF($I442&lt;&gt;"",$I442,INDEX($I$1:$I442,ROW()-COUNTIFS($T$1:$T442,"="&amp;$T442,$S$1:$S442,"&lt;"&amp;$S442)))</f>
        <v>87</v>
      </c>
      <c r="Z442" s="6">
        <f t="shared" si="85"/>
        <v>1</v>
      </c>
      <c r="AA442">
        <f t="shared" si="86"/>
        <v>1222</v>
      </c>
      <c r="AB442" t="str">
        <f t="shared" si="87"/>
        <v/>
      </c>
      <c r="AC442">
        <f t="shared" si="88"/>
        <v>1222</v>
      </c>
      <c r="BI442" s="40"/>
      <c r="BL442" s="40"/>
      <c r="BN442" s="19"/>
      <c r="BP442" s="17"/>
    </row>
    <row r="443" spans="1:68" x14ac:dyDescent="0.2">
      <c r="A443" t="str">
        <f t="shared" si="84"/>
        <v/>
      </c>
      <c r="E443" s="4"/>
      <c r="F443" s="46"/>
      <c r="G443" s="4"/>
      <c r="H443" s="48"/>
      <c r="I443" s="26">
        <v>41</v>
      </c>
      <c r="J443" s="26" t="str">
        <f t="shared" si="89"/>
        <v/>
      </c>
      <c r="N443" t="str">
        <f t="shared" si="91"/>
        <v/>
      </c>
      <c r="Q443" t="str">
        <f t="shared" si="90"/>
        <v/>
      </c>
      <c r="S443">
        <f>IF(A443=1,MAX($S$2:$S442)+1,IF(OR($I443&lt;&gt;"",A443="x"),$S442,""))</f>
        <v>222</v>
      </c>
      <c r="T443" t="str">
        <f>IF(D443=1,MAX($T$2:$T442)+1,IF(S443=S442,$T442,IF(D443="x",T442,IF(D442="x","",""))))</f>
        <v/>
      </c>
      <c r="U443" t="str">
        <f>IF(B443=1,MAX($U$2:$U442)+1,IF(AND($T443&lt;&gt;"",$T443=$T442),$U442,IF(B443="x",U442,"")))</f>
        <v/>
      </c>
      <c r="V443" t="str">
        <f>IF(C443=1,MAX($V$2:$V442)+1,IF(AND($T443&lt;&gt;"",$T443=$T442),$U442,IF(C443="x",V442,"")))</f>
        <v/>
      </c>
      <c r="X443" cm="1">
        <f t="array" ref="X443">IF($I443&lt;&gt;"",$I443,INDEX($I$1:$I443,ROW()-COUNTIFS($T$1:$T443,"="&amp;$T443,$S$1:$S443,"&lt;"&amp;$S443)))</f>
        <v>41</v>
      </c>
      <c r="Z443" s="6">
        <f t="shared" si="85"/>
        <v>1</v>
      </c>
      <c r="AA443">
        <f t="shared" si="86"/>
        <v>1222</v>
      </c>
      <c r="AB443" t="str">
        <f t="shared" si="87"/>
        <v/>
      </c>
      <c r="AC443">
        <f t="shared" si="88"/>
        <v>1222</v>
      </c>
      <c r="BI443" s="40"/>
      <c r="BL443" s="40"/>
      <c r="BN443" s="19"/>
      <c r="BP443" s="17"/>
    </row>
    <row r="444" spans="1:68" x14ac:dyDescent="0.2">
      <c r="A444">
        <f t="shared" si="84"/>
        <v>1</v>
      </c>
      <c r="D444" s="26">
        <v>1</v>
      </c>
      <c r="E444" s="4"/>
      <c r="F444" s="46"/>
      <c r="G444" s="4"/>
      <c r="H444" s="48"/>
      <c r="I444" s="26">
        <v>87</v>
      </c>
      <c r="J444" s="26" t="s">
        <v>368</v>
      </c>
      <c r="K444" t="s">
        <v>7</v>
      </c>
      <c r="L444" t="s">
        <v>192</v>
      </c>
      <c r="M444" t="s">
        <v>68</v>
      </c>
      <c r="N444" t="str">
        <f t="shared" si="91"/>
        <v>u</v>
      </c>
      <c r="Q444" t="str">
        <f t="shared" si="90"/>
        <v/>
      </c>
      <c r="R444" s="26">
        <v>1</v>
      </c>
      <c r="S444">
        <f>IF(A444=1,MAX($S$2:$S443)+1,IF(OR($I444&lt;&gt;"",A444="x"),$S443,""))</f>
        <v>223</v>
      </c>
      <c r="T444">
        <f>IF(D444=1,MAX($T$2:$T443)+1,IF(S444=S443,$T443,IF(D444="x",T443,IF(D443="x","",""))))</f>
        <v>28</v>
      </c>
      <c r="U444" t="str">
        <f>IF(B444=1,MAX($U$2:$U443)+1,IF(AND($T444&lt;&gt;"",$T444=$T443),$U443,IF(B444="x",U443,"")))</f>
        <v/>
      </c>
      <c r="V444" t="str">
        <f>IF(C444=1,MAX($V$2:$V443)+1,IF(AND($T444&lt;&gt;"",$T444=$T443),$U443,IF(C444="x",V443,"")))</f>
        <v/>
      </c>
      <c r="X444" cm="1">
        <f t="array" ref="X444">IF($I444&lt;&gt;"",$I444,INDEX($I$1:$I444,ROW()-COUNTIFS($T$1:$T444,"="&amp;$T444,$S$1:$S444,"&lt;"&amp;$S444)))</f>
        <v>87</v>
      </c>
      <c r="Z444" s="6">
        <f t="shared" si="85"/>
        <v>1</v>
      </c>
      <c r="AA444">
        <f t="shared" si="86"/>
        <v>1223</v>
      </c>
      <c r="AB444">
        <f t="shared" si="87"/>
        <v>9028</v>
      </c>
      <c r="AC444">
        <f t="shared" si="88"/>
        <v>9028</v>
      </c>
      <c r="BI444" s="40"/>
      <c r="BL444" s="40"/>
      <c r="BN444" s="19"/>
      <c r="BP444" s="17"/>
    </row>
    <row r="445" spans="1:68" x14ac:dyDescent="0.2">
      <c r="A445" t="str">
        <f t="shared" si="84"/>
        <v>x</v>
      </c>
      <c r="D445" s="26" t="s">
        <v>729</v>
      </c>
      <c r="E445" s="4"/>
      <c r="F445" s="46"/>
      <c r="G445" s="4"/>
      <c r="H445" s="48"/>
      <c r="I445" s="26">
        <v>93</v>
      </c>
      <c r="J445" s="26" t="str">
        <f t="shared" si="89"/>
        <v/>
      </c>
      <c r="N445" t="str">
        <f t="shared" si="91"/>
        <v/>
      </c>
      <c r="Q445" t="str">
        <f t="shared" si="90"/>
        <v/>
      </c>
      <c r="S445">
        <f>IF(A445=1,MAX($S$2:$S444)+1,IF(OR($I445&lt;&gt;"",A445="x"),$S444,""))</f>
        <v>223</v>
      </c>
      <c r="T445">
        <f>IF(D445=1,MAX($T$2:$T444)+1,IF(S445=S444,$T444,IF(D445="x",T444,IF(D444="x","",""))))</f>
        <v>28</v>
      </c>
      <c r="U445" t="str">
        <f>IF(B445=1,MAX($U$2:$U444)+1,IF(AND($T445&lt;&gt;"",$T445=$T444),$U444,IF(B445="x",U444,"")))</f>
        <v/>
      </c>
      <c r="V445" t="str">
        <f>IF(C445=1,MAX($V$2:$V444)+1,IF(AND($T445&lt;&gt;"",$T445=$T444),$U444,IF(C445="x",V444,"")))</f>
        <v/>
      </c>
      <c r="X445" cm="1">
        <f t="array" ref="X445">IF($I445&lt;&gt;"",$I445,INDEX($I$1:$I445,ROW()-COUNTIFS($T$1:$T445,"="&amp;$T445,$S$1:$S445,"&lt;"&amp;$S445)))</f>
        <v>93</v>
      </c>
      <c r="Z445" s="6">
        <f t="shared" si="85"/>
        <v>1</v>
      </c>
      <c r="AA445">
        <f t="shared" si="86"/>
        <v>1223</v>
      </c>
      <c r="AB445">
        <f t="shared" si="87"/>
        <v>9028</v>
      </c>
      <c r="AC445">
        <f t="shared" si="88"/>
        <v>9028</v>
      </c>
      <c r="BI445" s="40"/>
      <c r="BL445" s="40"/>
      <c r="BN445" s="19"/>
      <c r="BP445" s="17"/>
    </row>
    <row r="446" spans="1:68" x14ac:dyDescent="0.2">
      <c r="A446" t="str">
        <f t="shared" si="84"/>
        <v>x</v>
      </c>
      <c r="D446" s="26" t="s">
        <v>729</v>
      </c>
      <c r="E446" s="4"/>
      <c r="F446" s="46"/>
      <c r="G446" s="4"/>
      <c r="H446" s="48"/>
      <c r="I446" s="26">
        <v>41</v>
      </c>
      <c r="J446" s="26" t="str">
        <f t="shared" si="89"/>
        <v/>
      </c>
      <c r="N446" t="str">
        <f t="shared" si="91"/>
        <v/>
      </c>
      <c r="Q446" t="str">
        <f t="shared" si="90"/>
        <v/>
      </c>
      <c r="R446" s="26">
        <v>1</v>
      </c>
      <c r="S446">
        <f>IF(A446=1,MAX($S$2:$S445)+1,IF(OR($I446&lt;&gt;"",A446="x"),$S445,""))</f>
        <v>223</v>
      </c>
      <c r="T446">
        <f>IF(D446=1,MAX($T$2:$T445)+1,IF(S446=S445,$T445,IF(D446="x",T445,IF(D445="x","",""))))</f>
        <v>28</v>
      </c>
      <c r="U446" t="str">
        <f>IF(B446=1,MAX($U$2:$U445)+1,IF(AND($T446&lt;&gt;"",$T446=$T445),$U445,IF(B446="x",U445,"")))</f>
        <v/>
      </c>
      <c r="V446" t="str">
        <f>IF(C446=1,MAX($V$2:$V445)+1,IF(AND($T446&lt;&gt;"",$T446=$T445),$U445,IF(C446="x",V445,"")))</f>
        <v/>
      </c>
      <c r="X446" cm="1">
        <f t="array" ref="X446">IF($I446&lt;&gt;"",$I446,INDEX($I$1:$I446,ROW()-COUNTIFS($T$1:$T446,"="&amp;$T446,$S$1:$S446,"&lt;"&amp;$S446)))</f>
        <v>41</v>
      </c>
      <c r="Z446" s="6">
        <f t="shared" si="85"/>
        <v>1</v>
      </c>
      <c r="AA446">
        <f t="shared" si="86"/>
        <v>1223</v>
      </c>
      <c r="AB446">
        <f t="shared" si="87"/>
        <v>9028</v>
      </c>
      <c r="AC446">
        <f t="shared" si="88"/>
        <v>9028</v>
      </c>
      <c r="BI446" s="40"/>
      <c r="BL446" s="40"/>
      <c r="BN446" s="19"/>
      <c r="BP446" s="17"/>
    </row>
    <row r="447" spans="1:68" x14ac:dyDescent="0.2">
      <c r="A447">
        <f t="shared" si="84"/>
        <v>1</v>
      </c>
      <c r="D447" s="26" t="s">
        <v>729</v>
      </c>
      <c r="E447" s="4"/>
      <c r="F447" s="46"/>
      <c r="G447" s="4"/>
      <c r="H447" s="48"/>
      <c r="J447" s="26" t="s">
        <v>368</v>
      </c>
      <c r="K447" t="s">
        <v>9</v>
      </c>
      <c r="L447" t="s">
        <v>173</v>
      </c>
      <c r="M447" t="s">
        <v>75</v>
      </c>
      <c r="N447" t="str">
        <f t="shared" si="91"/>
        <v>u</v>
      </c>
      <c r="Q447" t="str">
        <f t="shared" si="90"/>
        <v/>
      </c>
      <c r="S447">
        <f>IF(A447=1,MAX($S$2:$S446)+1,IF(OR($I447&lt;&gt;"",A447="x"),$S446,""))</f>
        <v>224</v>
      </c>
      <c r="T447">
        <f>IF(D447=1,MAX($T$2:$T446)+1,IF(S447=S446,$T446,IF(D447="x",T446,IF(D446="x","",""))))</f>
        <v>28</v>
      </c>
      <c r="U447" t="str">
        <f>IF(B447=1,MAX($U$2:$U446)+1,IF(AND($T447&lt;&gt;"",$T447=$T446),$U446,IF(B447="x",U446,"")))</f>
        <v/>
      </c>
      <c r="V447" t="str">
        <f>IF(C447=1,MAX($V$2:$V446)+1,IF(AND($T447&lt;&gt;"",$T447=$T446),$U446,IF(C447="x",V446,"")))</f>
        <v/>
      </c>
      <c r="X447" cm="1">
        <f t="array" ref="X447">IF($I447&lt;&gt;"",$I447,INDEX($I$1:$I447,ROW()-COUNTIFS($T$1:$T447,"="&amp;$T447,$S$1:$S447,"&lt;"&amp;$S447)))</f>
        <v>87</v>
      </c>
      <c r="Z447" s="6">
        <f t="shared" si="85"/>
        <v>1</v>
      </c>
      <c r="AA447">
        <f t="shared" si="86"/>
        <v>1224</v>
      </c>
      <c r="AB447">
        <f t="shared" si="87"/>
        <v>9028</v>
      </c>
      <c r="AC447">
        <f t="shared" si="88"/>
        <v>9028</v>
      </c>
      <c r="BI447" s="40"/>
      <c r="BL447" s="40"/>
      <c r="BN447" s="19"/>
      <c r="BP447" s="17"/>
    </row>
    <row r="448" spans="1:68" x14ac:dyDescent="0.2">
      <c r="A448" t="str">
        <f t="shared" si="84"/>
        <v>x</v>
      </c>
      <c r="D448" s="26" t="s">
        <v>729</v>
      </c>
      <c r="E448" s="4"/>
      <c r="F448" s="46"/>
      <c r="G448" s="4"/>
      <c r="H448" s="48"/>
      <c r="J448" s="26" t="str">
        <f t="shared" si="89"/>
        <v/>
      </c>
      <c r="N448" t="str">
        <f t="shared" si="91"/>
        <v/>
      </c>
      <c r="Q448" t="str">
        <f t="shared" si="90"/>
        <v/>
      </c>
      <c r="S448">
        <f>IF(A448=1,MAX($S$2:$S447)+1,IF(OR($I448&lt;&gt;"",A448="x"),$S447,""))</f>
        <v>224</v>
      </c>
      <c r="T448">
        <f>IF(D448=1,MAX($T$2:$T447)+1,IF(S448=S447,$T447,IF(D448="x",T447,IF(D447="x","",""))))</f>
        <v>28</v>
      </c>
      <c r="U448" t="str">
        <f>IF(B448=1,MAX($U$2:$U447)+1,IF(AND($T448&lt;&gt;"",$T448=$T447),$U447,IF(B448="x",U447,"")))</f>
        <v/>
      </c>
      <c r="V448" t="str">
        <f>IF(C448=1,MAX($V$2:$V447)+1,IF(AND($T448&lt;&gt;"",$T448=$T447),$U447,IF(C448="x",V447,"")))</f>
        <v/>
      </c>
      <c r="X448" cm="1">
        <f t="array" ref="X448">IF($I448&lt;&gt;"",$I448,INDEX($I$1:$I448,ROW()-COUNTIFS($T$1:$T448,"="&amp;$T448,$S$1:$S448,"&lt;"&amp;$S448)))</f>
        <v>93</v>
      </c>
      <c r="Z448" s="6">
        <f t="shared" si="85"/>
        <v>1</v>
      </c>
      <c r="AA448">
        <f t="shared" si="86"/>
        <v>1224</v>
      </c>
      <c r="AB448">
        <f t="shared" si="87"/>
        <v>9028</v>
      </c>
      <c r="AC448">
        <f t="shared" si="88"/>
        <v>9028</v>
      </c>
      <c r="BI448" s="40"/>
      <c r="BL448" s="40"/>
      <c r="BN448" s="19"/>
      <c r="BP448" s="17"/>
    </row>
    <row r="449" spans="1:68" x14ac:dyDescent="0.2">
      <c r="A449" t="str">
        <f t="shared" si="84"/>
        <v>x</v>
      </c>
      <c r="D449" s="26" t="s">
        <v>729</v>
      </c>
      <c r="E449" s="4"/>
      <c r="F449" s="46"/>
      <c r="G449" s="4"/>
      <c r="H449" s="48"/>
      <c r="J449" s="26" t="str">
        <f t="shared" si="89"/>
        <v/>
      </c>
      <c r="N449" t="str">
        <f t="shared" si="91"/>
        <v/>
      </c>
      <c r="Q449" t="str">
        <f t="shared" si="90"/>
        <v/>
      </c>
      <c r="S449">
        <f>IF(A449=1,MAX($S$2:$S448)+1,IF(OR($I449&lt;&gt;"",A449="x"),$S448,""))</f>
        <v>224</v>
      </c>
      <c r="T449">
        <f>IF(D449=1,MAX($T$2:$T448)+1,IF(S449=S448,$T448,IF(D449="x",T448,IF(D448="x","",""))))</f>
        <v>28</v>
      </c>
      <c r="U449" t="str">
        <f>IF(B449=1,MAX($U$2:$U448)+1,IF(AND($T449&lt;&gt;"",$T449=$T448),$U448,IF(B449="x",U448,"")))</f>
        <v/>
      </c>
      <c r="V449" t="str">
        <f>IF(C449=1,MAX($V$2:$V448)+1,IF(AND($T449&lt;&gt;"",$T449=$T448),$U448,IF(C449="x",V448,"")))</f>
        <v/>
      </c>
      <c r="X449" cm="1">
        <f t="array" ref="X449">IF($I449&lt;&gt;"",$I449,INDEX($I$1:$I449,ROW()-COUNTIFS($T$1:$T449,"="&amp;$T449,$S$1:$S449,"&lt;"&amp;$S449)))</f>
        <v>41</v>
      </c>
      <c r="Z449" s="6">
        <f t="shared" si="85"/>
        <v>1</v>
      </c>
      <c r="AA449">
        <f t="shared" si="86"/>
        <v>1224</v>
      </c>
      <c r="AB449">
        <f t="shared" si="87"/>
        <v>9028</v>
      </c>
      <c r="AC449">
        <f t="shared" si="88"/>
        <v>9028</v>
      </c>
      <c r="BI449" s="40"/>
      <c r="BL449" s="40"/>
      <c r="BN449" s="19"/>
      <c r="BP449" s="17"/>
    </row>
    <row r="450" spans="1:68" x14ac:dyDescent="0.2">
      <c r="A450">
        <f t="shared" si="84"/>
        <v>1</v>
      </c>
      <c r="E450" s="4"/>
      <c r="F450" s="46" t="s">
        <v>1043</v>
      </c>
      <c r="G450" s="4"/>
      <c r="H450" s="48" t="s">
        <v>1048</v>
      </c>
      <c r="I450" s="26">
        <v>12</v>
      </c>
      <c r="J450" s="26" t="s">
        <v>736</v>
      </c>
      <c r="K450" t="s">
        <v>13</v>
      </c>
      <c r="L450" t="s">
        <v>586</v>
      </c>
      <c r="N450" t="str">
        <f t="shared" si="91"/>
        <v/>
      </c>
      <c r="O450" t="s">
        <v>907</v>
      </c>
      <c r="Q450" t="str">
        <f t="shared" si="90"/>
        <v/>
      </c>
      <c r="S450">
        <f>IF(A450=1,MAX($S$2:$S449)+1,IF(OR($I450&lt;&gt;"",A450="x"),$S449,""))</f>
        <v>225</v>
      </c>
      <c r="T450" t="str">
        <f>IF(D450=1,MAX($T$2:$T449)+1,IF(S450=S449,$T449,IF(D450="x",T449,IF(D449="x","",""))))</f>
        <v/>
      </c>
      <c r="U450" t="str">
        <f>IF(B450=1,MAX($U$2:$U449)+1,IF(AND($T450&lt;&gt;"",$T450=$T449),$U449,IF(B450="x",U449,"")))</f>
        <v/>
      </c>
      <c r="V450" t="str">
        <f>IF(C450=1,MAX($V$2:$V449)+1,IF(AND($T450&lt;&gt;"",$T450=$T449),$U449,IF(C450="x",V449,"")))</f>
        <v/>
      </c>
      <c r="X450" cm="1">
        <f t="array" ref="X450">IF($I450&lt;&gt;"",$I450,INDEX($I$1:$I450,ROW()-COUNTIFS($T$1:$T450,"="&amp;$T450,$S$1:$S450,"&lt;"&amp;$S450)))</f>
        <v>12</v>
      </c>
      <c r="Z450" s="6">
        <f t="shared" si="85"/>
        <v>1</v>
      </c>
      <c r="AA450">
        <f t="shared" si="86"/>
        <v>1225</v>
      </c>
      <c r="AB450" t="str">
        <f t="shared" si="87"/>
        <v/>
      </c>
      <c r="AC450">
        <f t="shared" si="88"/>
        <v>1225</v>
      </c>
      <c r="BI450" s="40"/>
      <c r="BL450" s="40"/>
      <c r="BN450" s="19"/>
      <c r="BP450" s="17"/>
    </row>
    <row r="451" spans="1:68" x14ac:dyDescent="0.2">
      <c r="A451">
        <f t="shared" si="84"/>
        <v>1</v>
      </c>
      <c r="D451" s="26">
        <v>1</v>
      </c>
      <c r="E451" s="4"/>
      <c r="F451" s="46"/>
      <c r="G451" s="4"/>
      <c r="H451" s="48"/>
      <c r="I451" s="26">
        <v>12</v>
      </c>
      <c r="J451" s="26" t="s">
        <v>736</v>
      </c>
      <c r="K451" t="s">
        <v>238</v>
      </c>
      <c r="L451" t="s">
        <v>184</v>
      </c>
      <c r="M451" t="s">
        <v>374</v>
      </c>
      <c r="N451" t="str">
        <f t="shared" si="91"/>
        <v>s</v>
      </c>
      <c r="Q451" t="str">
        <f t="shared" si="90"/>
        <v/>
      </c>
      <c r="R451" s="26">
        <v>1</v>
      </c>
      <c r="S451">
        <f>IF(A451=1,MAX($S$2:$S450)+1,IF(OR($I451&lt;&gt;"",A451="x"),$S450,""))</f>
        <v>226</v>
      </c>
      <c r="T451">
        <f>IF(D451=1,MAX($T$2:$T450)+1,IF(S451=S450,$T450,IF(D451="x",T450,IF(D450="x","",""))))</f>
        <v>29</v>
      </c>
      <c r="U451" t="str">
        <f>IF(B451=1,MAX($U$2:$U450)+1,IF(AND($T451&lt;&gt;"",$T451=$T450),$U450,IF(B451="x",U450,"")))</f>
        <v/>
      </c>
      <c r="V451" t="str">
        <f>IF(C451=1,MAX($V$2:$V450)+1,IF(AND($T451&lt;&gt;"",$T451=$T450),$U450,IF(C451="x",V450,"")))</f>
        <v/>
      </c>
      <c r="X451" cm="1">
        <f t="array" ref="X451">IF($I451&lt;&gt;"",$I451,INDEX($I$1:$I451,ROW()-COUNTIFS($T$1:$T451,"="&amp;$T451,$S$1:$S451,"&lt;"&amp;$S451)))</f>
        <v>12</v>
      </c>
      <c r="Z451" s="6">
        <f t="shared" si="85"/>
        <v>1</v>
      </c>
      <c r="AA451">
        <f t="shared" si="86"/>
        <v>1226</v>
      </c>
      <c r="AB451">
        <f t="shared" si="87"/>
        <v>9029</v>
      </c>
      <c r="AC451">
        <f t="shared" si="88"/>
        <v>9029</v>
      </c>
      <c r="BI451" s="40"/>
      <c r="BL451" s="40"/>
      <c r="BN451" s="19"/>
      <c r="BP451" s="17"/>
    </row>
    <row r="452" spans="1:68" x14ac:dyDescent="0.2">
      <c r="A452" t="str">
        <f t="shared" si="84"/>
        <v>x</v>
      </c>
      <c r="D452" s="26" t="s">
        <v>729</v>
      </c>
      <c r="E452" s="4"/>
      <c r="F452" s="46"/>
      <c r="G452" s="4"/>
      <c r="H452" s="48"/>
      <c r="I452" s="26">
        <v>93</v>
      </c>
      <c r="J452" s="26" t="str">
        <f t="shared" si="89"/>
        <v/>
      </c>
      <c r="N452" t="str">
        <f t="shared" si="91"/>
        <v/>
      </c>
      <c r="O452" t="s">
        <v>766</v>
      </c>
      <c r="Q452" t="str">
        <f t="shared" si="90"/>
        <v>u</v>
      </c>
      <c r="R452" s="26">
        <v>1</v>
      </c>
      <c r="S452">
        <f>IF(A452=1,MAX($S$2:$S451)+1,IF(OR($I452&lt;&gt;"",A452="x"),$S451,""))</f>
        <v>226</v>
      </c>
      <c r="T452">
        <f>IF(D452=1,MAX($T$2:$T451)+1,IF(S452=S451,$T451,IF(D452="x",T451,IF(D451="x","",""))))</f>
        <v>29</v>
      </c>
      <c r="U452" t="str">
        <f>IF(B452=1,MAX($U$2:$U451)+1,IF(AND($T452&lt;&gt;"",$T452=$T451),$U451,IF(B452="x",U451,"")))</f>
        <v/>
      </c>
      <c r="V452" t="str">
        <f>IF(C452=1,MAX($V$2:$V451)+1,IF(AND($T452&lt;&gt;"",$T452=$T451),$U451,IF(C452="x",V451,"")))</f>
        <v/>
      </c>
      <c r="X452" cm="1">
        <f t="array" ref="X452">IF($I452&lt;&gt;"",$I452,INDEX($I$1:$I452,ROW()-COUNTIFS($T$1:$T452,"="&amp;$T452,$S$1:$S452,"&lt;"&amp;$S452)))</f>
        <v>93</v>
      </c>
      <c r="Z452" s="6">
        <f t="shared" si="85"/>
        <v>1</v>
      </c>
      <c r="AA452">
        <f t="shared" si="86"/>
        <v>1226</v>
      </c>
      <c r="AB452">
        <f t="shared" si="87"/>
        <v>9029</v>
      </c>
      <c r="AC452">
        <f t="shared" si="88"/>
        <v>9029</v>
      </c>
      <c r="BI452" s="40"/>
      <c r="BL452" s="40"/>
      <c r="BN452" s="19"/>
      <c r="BP452" s="17"/>
    </row>
    <row r="453" spans="1:68" x14ac:dyDescent="0.2">
      <c r="A453">
        <f t="shared" ref="A453:A516" si="92">IF(K453&lt;&gt;"",1,IF(D453="x","x",""))</f>
        <v>1</v>
      </c>
      <c r="D453" s="26" t="s">
        <v>729</v>
      </c>
      <c r="E453" s="4"/>
      <c r="F453" s="46"/>
      <c r="G453" s="4"/>
      <c r="H453" s="48"/>
      <c r="I453" s="26">
        <v>93</v>
      </c>
      <c r="J453" s="26" t="s">
        <v>368</v>
      </c>
      <c r="K453" t="s">
        <v>238</v>
      </c>
      <c r="L453" t="s">
        <v>658</v>
      </c>
      <c r="M453" t="s">
        <v>91</v>
      </c>
      <c r="N453" t="str">
        <f t="shared" si="91"/>
        <v>u</v>
      </c>
      <c r="Q453" t="str">
        <f t="shared" si="90"/>
        <v/>
      </c>
      <c r="R453" s="26">
        <v>1</v>
      </c>
      <c r="S453">
        <f>IF(A453=1,MAX($S$2:$S452)+1,IF(OR($I453&lt;&gt;"",A453="x"),$S452,""))</f>
        <v>227</v>
      </c>
      <c r="T453">
        <f>IF(D453=1,MAX($T$2:$T452)+1,IF(S453=S452,$T452,IF(D453="x",T452,IF(D452="x","",""))))</f>
        <v>29</v>
      </c>
      <c r="U453" t="str">
        <f>IF(B453=1,MAX($U$2:$U452)+1,IF(AND($T453&lt;&gt;"",$T453=$T452),$U452,IF(B453="x",U452,"")))</f>
        <v/>
      </c>
      <c r="V453" t="str">
        <f>IF(C453=1,MAX($V$2:$V452)+1,IF(AND($T453&lt;&gt;"",$T453=$T452),$U452,IF(C453="x",V452,"")))</f>
        <v/>
      </c>
      <c r="X453" cm="1">
        <f t="array" ref="X453">IF($I453&lt;&gt;"",$I453,INDEX($I$1:$I453,ROW()-COUNTIFS($T$1:$T453,"="&amp;$T453,$S$1:$S453,"&lt;"&amp;$S453)))</f>
        <v>93</v>
      </c>
      <c r="Z453" s="6">
        <f t="shared" ref="Z453:Z516" si="93">IF(K453="Intermission",Z452+1,Z452)</f>
        <v>1</v>
      </c>
      <c r="AA453">
        <f t="shared" ref="AA453:AA516" si="94">S453+1000</f>
        <v>1227</v>
      </c>
      <c r="AB453">
        <f t="shared" ref="AB453:AB516" si="95">IF(T453&lt;&gt;"",9000+T453,"")</f>
        <v>9029</v>
      </c>
      <c r="AC453">
        <f t="shared" ref="AC453:AC516" si="96">IF(AB453&lt;&gt;"",AB453,S453+1000)</f>
        <v>9029</v>
      </c>
      <c r="BI453" s="40"/>
      <c r="BL453" s="40"/>
      <c r="BN453" s="19"/>
      <c r="BP453" s="17"/>
    </row>
    <row r="454" spans="1:68" x14ac:dyDescent="0.2">
      <c r="A454" t="str">
        <f t="shared" si="92"/>
        <v>x</v>
      </c>
      <c r="D454" s="26" t="s">
        <v>729</v>
      </c>
      <c r="E454" s="4"/>
      <c r="F454" s="46"/>
      <c r="G454" s="4"/>
      <c r="H454" s="48"/>
      <c r="I454" s="26">
        <v>12</v>
      </c>
      <c r="J454" s="26" t="str">
        <f t="shared" ref="J454:J517" si="97">IF(OR(K454="Goal",K454="Shot",L454="Zone_Entry",M454="Stoppage-Goal",M453="Stoppage-Goal"),"o",IF(OR(K454="Save",K454="Rebound",L454="Zone_Exit",M454="Stoppage-GoalieStoppage",M453="Stoppage-GoalieStoppage"),"d",IF(OR(L454="Faceoff_AfterGoal",L454="Faceoff_PeriodStart",698="Faceoff_GameStart",M453="Stoppage-Goal"),"n","")))</f>
        <v/>
      </c>
      <c r="N454" t="str">
        <f t="shared" si="91"/>
        <v/>
      </c>
      <c r="Q454" t="str">
        <f t="shared" si="90"/>
        <v/>
      </c>
      <c r="R454" s="26">
        <v>1</v>
      </c>
      <c r="S454">
        <f>IF(A454=1,MAX($S$2:$S453)+1,IF(OR($I454&lt;&gt;"",A454="x"),$S453,""))</f>
        <v>227</v>
      </c>
      <c r="T454">
        <f>IF(D454=1,MAX($T$2:$T453)+1,IF(S454=S453,$T453,IF(D454="x",T453,IF(D453="x","",""))))</f>
        <v>29</v>
      </c>
      <c r="U454" t="str">
        <f>IF(B454=1,MAX($U$2:$U453)+1,IF(AND($T454&lt;&gt;"",$T454=$T453),$U453,IF(B454="x",U453,"")))</f>
        <v/>
      </c>
      <c r="V454" t="str">
        <f>IF(C454=1,MAX($V$2:$V453)+1,IF(AND($T454&lt;&gt;"",$T454=$T453),$U453,IF(C454="x",V453,"")))</f>
        <v/>
      </c>
      <c r="X454" cm="1">
        <f t="array" ref="X454">IF($I454&lt;&gt;"",$I454,INDEX($I$1:$I454,ROW()-COUNTIFS($T$1:$T454,"="&amp;$T454,$S$1:$S454,"&lt;"&amp;$S454)))</f>
        <v>12</v>
      </c>
      <c r="Z454" s="6">
        <f t="shared" si="93"/>
        <v>1</v>
      </c>
      <c r="AA454">
        <f t="shared" si="94"/>
        <v>1227</v>
      </c>
      <c r="AB454">
        <f t="shared" si="95"/>
        <v>9029</v>
      </c>
      <c r="AC454">
        <f t="shared" si="96"/>
        <v>9029</v>
      </c>
      <c r="BI454" s="40"/>
      <c r="BL454" s="40"/>
      <c r="BN454" s="19"/>
      <c r="BP454" s="17"/>
    </row>
    <row r="455" spans="1:68" x14ac:dyDescent="0.2">
      <c r="A455">
        <f t="shared" si="92"/>
        <v>1</v>
      </c>
      <c r="D455" s="26" t="s">
        <v>729</v>
      </c>
      <c r="E455" s="4"/>
      <c r="F455" s="46"/>
      <c r="G455" s="4"/>
      <c r="H455" s="48"/>
      <c r="I455" s="26">
        <v>12</v>
      </c>
      <c r="J455" s="26" t="s">
        <v>736</v>
      </c>
      <c r="K455" t="s">
        <v>238</v>
      </c>
      <c r="L455" t="s">
        <v>174</v>
      </c>
      <c r="M455" t="s">
        <v>375</v>
      </c>
      <c r="N455" t="str">
        <f t="shared" si="91"/>
        <v>u</v>
      </c>
      <c r="Q455" t="str">
        <f t="shared" si="90"/>
        <v/>
      </c>
      <c r="R455" s="26">
        <v>1</v>
      </c>
      <c r="S455">
        <f>IF(A455=1,MAX($S$2:$S454)+1,IF(OR($I455&lt;&gt;"",A455="x"),$S454,""))</f>
        <v>228</v>
      </c>
      <c r="T455">
        <f>IF(D455=1,MAX($T$2:$T454)+1,IF(S455=S454,$T454,IF(D455="x",T454,IF(D454="x","",""))))</f>
        <v>29</v>
      </c>
      <c r="U455" t="str">
        <f>IF(B455=1,MAX($U$2:$U454)+1,IF(AND($T455&lt;&gt;"",$T455=$T454),$U454,IF(B455="x",U454,"")))</f>
        <v/>
      </c>
      <c r="V455" t="str">
        <f>IF(C455=1,MAX($V$2:$V454)+1,IF(AND($T455&lt;&gt;"",$T455=$T454),$U454,IF(C455="x",V454,"")))</f>
        <v/>
      </c>
      <c r="X455" cm="1">
        <f t="array" ref="X455">IF($I455&lt;&gt;"",$I455,INDEX($I$1:$I455,ROW()-COUNTIFS($T$1:$T455,"="&amp;$T455,$S$1:$S455,"&lt;"&amp;$S455)))</f>
        <v>12</v>
      </c>
      <c r="Z455" s="6">
        <f t="shared" si="93"/>
        <v>1</v>
      </c>
      <c r="AA455">
        <f t="shared" si="94"/>
        <v>1228</v>
      </c>
      <c r="AB455">
        <f t="shared" si="95"/>
        <v>9029</v>
      </c>
      <c r="AC455">
        <f t="shared" si="96"/>
        <v>9029</v>
      </c>
      <c r="BI455" s="40"/>
      <c r="BL455" s="40"/>
      <c r="BN455" s="19"/>
      <c r="BP455" s="17"/>
    </row>
    <row r="456" spans="1:68" x14ac:dyDescent="0.2">
      <c r="A456" t="str">
        <f t="shared" si="92"/>
        <v>x</v>
      </c>
      <c r="D456" s="26" t="s">
        <v>729</v>
      </c>
      <c r="E456" s="4"/>
      <c r="F456" s="46"/>
      <c r="G456" s="4"/>
      <c r="H456" s="48"/>
      <c r="I456" s="26">
        <v>93</v>
      </c>
      <c r="J456" s="26" t="str">
        <f t="shared" si="97"/>
        <v/>
      </c>
      <c r="N456" t="str">
        <f t="shared" si="91"/>
        <v/>
      </c>
      <c r="Q456" t="str">
        <f t="shared" si="90"/>
        <v/>
      </c>
      <c r="R456" s="26">
        <v>1</v>
      </c>
      <c r="S456">
        <f>IF(A456=1,MAX($S$2:$S455)+1,IF(OR($I456&lt;&gt;"",A456="x"),$S455,""))</f>
        <v>228</v>
      </c>
      <c r="T456">
        <f>IF(D456=1,MAX($T$2:$T455)+1,IF(S456=S455,$T455,IF(D456="x",T455,IF(D455="x","",""))))</f>
        <v>29</v>
      </c>
      <c r="U456" t="str">
        <f>IF(B456=1,MAX($U$2:$U455)+1,IF(AND($T456&lt;&gt;"",$T456=$T455),$U455,IF(B456="x",U455,"")))</f>
        <v/>
      </c>
      <c r="V456" t="str">
        <f>IF(C456=1,MAX($V$2:$V455)+1,IF(AND($T456&lt;&gt;"",$T456=$T455),$U455,IF(C456="x",V455,"")))</f>
        <v/>
      </c>
      <c r="X456" cm="1">
        <f t="array" ref="X456">IF($I456&lt;&gt;"",$I456,INDEX($I$1:$I456,ROW()-COUNTIFS($T$1:$T456,"="&amp;$T456,$S$1:$S456,"&lt;"&amp;$S456)))</f>
        <v>93</v>
      </c>
      <c r="Z456" s="6">
        <f t="shared" si="93"/>
        <v>1</v>
      </c>
      <c r="AA456">
        <f t="shared" si="94"/>
        <v>1228</v>
      </c>
      <c r="AB456">
        <f t="shared" si="95"/>
        <v>9029</v>
      </c>
      <c r="AC456">
        <f t="shared" si="96"/>
        <v>9029</v>
      </c>
      <c r="BI456" s="40"/>
      <c r="BL456" s="40"/>
      <c r="BN456" s="19"/>
      <c r="BP456" s="17"/>
    </row>
    <row r="457" spans="1:68" x14ac:dyDescent="0.2">
      <c r="A457">
        <f t="shared" si="92"/>
        <v>1</v>
      </c>
      <c r="D457" s="26" t="s">
        <v>729</v>
      </c>
      <c r="E457" s="4"/>
      <c r="F457" s="46"/>
      <c r="G457" s="4"/>
      <c r="H457" s="48"/>
      <c r="I457" s="26">
        <v>12</v>
      </c>
      <c r="J457" s="26" t="s">
        <v>736</v>
      </c>
      <c r="K457" t="s">
        <v>9</v>
      </c>
      <c r="L457" t="s">
        <v>173</v>
      </c>
      <c r="M457" t="s">
        <v>383</v>
      </c>
      <c r="N457" t="str">
        <f t="shared" si="91"/>
        <v>u</v>
      </c>
      <c r="Q457" t="str">
        <f t="shared" si="90"/>
        <v/>
      </c>
      <c r="R457" s="26">
        <v>1</v>
      </c>
      <c r="S457">
        <f>IF(A457=1,MAX($S$2:$S456)+1,IF(OR($I457&lt;&gt;"",A457="x"),$S456,""))</f>
        <v>229</v>
      </c>
      <c r="T457">
        <f>IF(D457=1,MAX($T$2:$T456)+1,IF(S457=S456,$T456,IF(D457="x",T456,IF(D456="x","",""))))</f>
        <v>29</v>
      </c>
      <c r="U457" t="str">
        <f>IF(B457=1,MAX($U$2:$U456)+1,IF(AND($T457&lt;&gt;"",$T457=$T456),$U456,IF(B457="x",U456,"")))</f>
        <v/>
      </c>
      <c r="V457" t="str">
        <f>IF(C457=1,MAX($V$2:$V456)+1,IF(AND($T457&lt;&gt;"",$T457=$T456),$U456,IF(C457="x",V456,"")))</f>
        <v/>
      </c>
      <c r="X457" cm="1">
        <f t="array" ref="X457">IF($I457&lt;&gt;"",$I457,INDEX($I$1:$I457,ROW()-COUNTIFS($T$1:$T457,"="&amp;$T457,$S$1:$S457,"&lt;"&amp;$S457)))</f>
        <v>12</v>
      </c>
      <c r="Z457" s="6">
        <f t="shared" si="93"/>
        <v>1</v>
      </c>
      <c r="AA457">
        <f t="shared" si="94"/>
        <v>1229</v>
      </c>
      <c r="AB457">
        <f t="shared" si="95"/>
        <v>9029</v>
      </c>
      <c r="AC457">
        <f t="shared" si="96"/>
        <v>9029</v>
      </c>
      <c r="BI457" s="40"/>
      <c r="BL457" s="40"/>
      <c r="BN457" s="19"/>
      <c r="BP457" s="17"/>
    </row>
    <row r="458" spans="1:68" x14ac:dyDescent="0.2">
      <c r="A458" t="str">
        <f t="shared" si="92"/>
        <v>x</v>
      </c>
      <c r="D458" s="26" t="s">
        <v>729</v>
      </c>
      <c r="E458" s="4"/>
      <c r="F458" s="46"/>
      <c r="G458" s="4"/>
      <c r="H458" s="48"/>
      <c r="J458" s="26" t="str">
        <f t="shared" si="97"/>
        <v/>
      </c>
      <c r="N458" t="str">
        <f t="shared" si="91"/>
        <v/>
      </c>
      <c r="Q458" t="str">
        <f t="shared" si="90"/>
        <v/>
      </c>
      <c r="R458" s="26">
        <v>1</v>
      </c>
      <c r="S458">
        <f>IF(A458=1,MAX($S$2:$S457)+1,IF(OR($I458&lt;&gt;"",A458="x"),$S457,""))</f>
        <v>229</v>
      </c>
      <c r="T458">
        <f>IF(D458=1,MAX($T$2:$T457)+1,IF(S458=S457,$T457,IF(D458="x",T457,IF(D457="x","",""))))</f>
        <v>29</v>
      </c>
      <c r="U458" t="str">
        <f>IF(B458=1,MAX($U$2:$U457)+1,IF(AND($T458&lt;&gt;"",$T458=$T457),$U457,IF(B458="x",U457,"")))</f>
        <v/>
      </c>
      <c r="V458" t="str">
        <f>IF(C458=1,MAX($V$2:$V457)+1,IF(AND($T458&lt;&gt;"",$T458=$T457),$U457,IF(C458="x",V457,"")))</f>
        <v/>
      </c>
      <c r="X458" cm="1">
        <f t="array" ref="X458">IF($I458&lt;&gt;"",$I458,INDEX($I$1:$I458,ROW()-COUNTIFS($T$1:$T458,"="&amp;$T458,$S$1:$S458,"&lt;"&amp;$S458)))</f>
        <v>93</v>
      </c>
      <c r="Z458" s="6">
        <f t="shared" si="93"/>
        <v>1</v>
      </c>
      <c r="AA458">
        <f t="shared" si="94"/>
        <v>1229</v>
      </c>
      <c r="AB458">
        <f t="shared" si="95"/>
        <v>9029</v>
      </c>
      <c r="AC458">
        <f t="shared" si="96"/>
        <v>9029</v>
      </c>
      <c r="AI458">
        <f t="shared" ref="AI458:AI517" si="98">IF($J458&lt;&gt;"",$J458,IF($AC458=$AC457,AI457,""))</f>
        <v>0</v>
      </c>
      <c r="BI458" s="40"/>
      <c r="BL458" s="40"/>
      <c r="BN458" s="19"/>
      <c r="BP458" s="17"/>
    </row>
    <row r="459" spans="1:68" x14ac:dyDescent="0.2">
      <c r="A459">
        <f t="shared" si="92"/>
        <v>1</v>
      </c>
      <c r="E459" s="4"/>
      <c r="F459" s="46" t="s">
        <v>1039</v>
      </c>
      <c r="G459" s="4"/>
      <c r="H459" s="48" t="s">
        <v>739</v>
      </c>
      <c r="I459" s="26">
        <v>84</v>
      </c>
      <c r="J459" s="26" t="s">
        <v>736</v>
      </c>
      <c r="K459" t="s">
        <v>13</v>
      </c>
      <c r="L459" t="s">
        <v>586</v>
      </c>
      <c r="N459" t="str">
        <f t="shared" si="91"/>
        <v/>
      </c>
      <c r="O459" t="s">
        <v>904</v>
      </c>
      <c r="Q459" t="str">
        <f t="shared" si="90"/>
        <v/>
      </c>
      <c r="S459">
        <f>IF(A459=1,MAX($S$2:$S458)+1,IF(OR($I459&lt;&gt;"",A459="x"),$S458,""))</f>
        <v>230</v>
      </c>
      <c r="T459" t="str">
        <f>IF(D459=1,MAX($T$2:$T458)+1,IF(S459=S458,$T458,IF(D459="x",T458,IF(D458="x","",""))))</f>
        <v/>
      </c>
      <c r="U459" t="str">
        <f>IF(B459=1,MAX($U$2:$U458)+1,IF(AND($T459&lt;&gt;"",$T459=$T458),$U458,IF(B459="x",U458,"")))</f>
        <v/>
      </c>
      <c r="V459" t="str">
        <f>IF(C459=1,MAX($V$2:$V458)+1,IF(AND($T459&lt;&gt;"",$T459=$T458),$U458,IF(C459="x",V458,"")))</f>
        <v/>
      </c>
      <c r="X459" cm="1">
        <f t="array" ref="X459">IF($I459&lt;&gt;"",$I459,INDEX($I$1:$I459,ROW()-COUNTIFS($T$1:$T459,"="&amp;$T459,$S$1:$S459,"&lt;"&amp;$S459)))</f>
        <v>84</v>
      </c>
      <c r="Z459" s="6">
        <f t="shared" si="93"/>
        <v>1</v>
      </c>
      <c r="AA459">
        <f t="shared" si="94"/>
        <v>1230</v>
      </c>
      <c r="AB459" t="str">
        <f t="shared" si="95"/>
        <v/>
      </c>
      <c r="AC459">
        <f t="shared" si="96"/>
        <v>1230</v>
      </c>
      <c r="AI459" t="str">
        <f t="shared" si="98"/>
        <v>d</v>
      </c>
      <c r="BI459" s="40"/>
      <c r="BL459" s="40"/>
      <c r="BN459" s="19"/>
      <c r="BP459" s="17"/>
    </row>
    <row r="460" spans="1:68" x14ac:dyDescent="0.2">
      <c r="A460">
        <f t="shared" si="92"/>
        <v>1</v>
      </c>
      <c r="E460" s="4"/>
      <c r="F460" s="46"/>
      <c r="G460" s="4"/>
      <c r="H460" s="48" t="s">
        <v>1034</v>
      </c>
      <c r="I460" s="26">
        <v>84</v>
      </c>
      <c r="J460" s="26" t="s">
        <v>736</v>
      </c>
      <c r="K460" t="s">
        <v>13</v>
      </c>
      <c r="L460" t="s">
        <v>574</v>
      </c>
      <c r="N460" t="str">
        <f t="shared" si="91"/>
        <v/>
      </c>
      <c r="O460" t="s">
        <v>548</v>
      </c>
      <c r="P460" t="s">
        <v>551</v>
      </c>
      <c r="Q460" t="str">
        <f t="shared" si="90"/>
        <v/>
      </c>
      <c r="S460">
        <f>IF(A460=1,MAX($S$2:$S459)+1,IF(OR($I460&lt;&gt;"",A460="x"),$S459,""))</f>
        <v>231</v>
      </c>
      <c r="T460" t="str">
        <f>IF(D460=1,MAX($T$2:$T459)+1,IF(S460=S459,$T459,IF(D460="x",T459,IF(D459="x","",""))))</f>
        <v/>
      </c>
      <c r="U460" t="str">
        <f>IF(B460=1,MAX($U$2:$U459)+1,IF(AND($T460&lt;&gt;"",$T460=$T459),$U459,IF(B460="x",U459,"")))</f>
        <v/>
      </c>
      <c r="V460" t="str">
        <f>IF(C460=1,MAX($V$2:$V459)+1,IF(AND($T460&lt;&gt;"",$T460=$T459),$U459,IF(C460="x",V459,"")))</f>
        <v/>
      </c>
      <c r="X460" cm="1">
        <f t="array" ref="X460">IF($I460&lt;&gt;"",$I460,INDEX($I$1:$I460,ROW()-COUNTIFS($T$1:$T460,"="&amp;$T460,$S$1:$S460,"&lt;"&amp;$S460)))</f>
        <v>84</v>
      </c>
      <c r="Z460" s="6">
        <f t="shared" si="93"/>
        <v>1</v>
      </c>
      <c r="AA460">
        <f t="shared" si="94"/>
        <v>1231</v>
      </c>
      <c r="AB460" t="str">
        <f t="shared" si="95"/>
        <v/>
      </c>
      <c r="AC460">
        <f t="shared" si="96"/>
        <v>1231</v>
      </c>
      <c r="AI460" t="str">
        <f t="shared" si="98"/>
        <v>d</v>
      </c>
      <c r="BI460" s="40"/>
      <c r="BL460" s="40"/>
      <c r="BN460" s="19"/>
      <c r="BP460" s="17"/>
    </row>
    <row r="461" spans="1:68" x14ac:dyDescent="0.2">
      <c r="A461" t="str">
        <f t="shared" si="92"/>
        <v/>
      </c>
      <c r="E461" s="4"/>
      <c r="F461" s="46"/>
      <c r="G461" s="4"/>
      <c r="H461" s="48"/>
      <c r="I461" s="26">
        <v>41</v>
      </c>
      <c r="J461" s="26" t="str">
        <f t="shared" si="97"/>
        <v/>
      </c>
      <c r="N461" t="str">
        <f t="shared" si="91"/>
        <v/>
      </c>
      <c r="Q461" t="str">
        <f t="shared" si="90"/>
        <v/>
      </c>
      <c r="S461">
        <f>IF(A461=1,MAX($S$2:$S460)+1,IF(OR($I461&lt;&gt;"",A461="x"),$S460,""))</f>
        <v>231</v>
      </c>
      <c r="T461" t="str">
        <f>IF(D461=1,MAX($T$2:$T460)+1,IF(S461=S460,$T460,IF(D461="x",T460,IF(D460="x","",""))))</f>
        <v/>
      </c>
      <c r="U461" t="str">
        <f>IF(B461=1,MAX($U$2:$U460)+1,IF(AND($T461&lt;&gt;"",$T461=$T460),$U460,IF(B461="x",U460,"")))</f>
        <v/>
      </c>
      <c r="V461" t="str">
        <f>IF(C461=1,MAX($V$2:$V460)+1,IF(AND($T461&lt;&gt;"",$T461=$T460),$U460,IF(C461="x",V460,"")))</f>
        <v/>
      </c>
      <c r="X461" cm="1">
        <f t="array" ref="X461">IF($I461&lt;&gt;"",$I461,INDEX($I$1:$I461,ROW()-COUNTIFS($T$1:$T461,"="&amp;$T461,$S$1:$S461,"&lt;"&amp;$S461)))</f>
        <v>41</v>
      </c>
      <c r="Z461" s="6">
        <f t="shared" si="93"/>
        <v>1</v>
      </c>
      <c r="AA461">
        <f t="shared" si="94"/>
        <v>1231</v>
      </c>
      <c r="AB461" t="str">
        <f t="shared" si="95"/>
        <v/>
      </c>
      <c r="AC461">
        <f t="shared" si="96"/>
        <v>1231</v>
      </c>
      <c r="AI461" t="str">
        <f t="shared" si="98"/>
        <v>d</v>
      </c>
      <c r="BI461" s="40"/>
      <c r="BL461" s="40"/>
      <c r="BN461" s="19"/>
      <c r="BP461" s="17"/>
    </row>
    <row r="462" spans="1:68" x14ac:dyDescent="0.2">
      <c r="A462">
        <f t="shared" si="92"/>
        <v>1</v>
      </c>
      <c r="E462" s="4"/>
      <c r="F462" s="46"/>
      <c r="G462" s="4"/>
      <c r="H462" s="48"/>
      <c r="I462" s="26">
        <v>84</v>
      </c>
      <c r="J462" s="26" t="s">
        <v>736</v>
      </c>
      <c r="K462" t="s">
        <v>7</v>
      </c>
      <c r="L462" t="s">
        <v>172</v>
      </c>
      <c r="M462" t="s">
        <v>68</v>
      </c>
      <c r="N462" t="str">
        <f t="shared" si="91"/>
        <v>s</v>
      </c>
      <c r="Q462" t="str">
        <f t="shared" si="90"/>
        <v/>
      </c>
      <c r="S462">
        <f>IF(A462=1,MAX($S$2:$S461)+1,IF(OR($I462&lt;&gt;"",A462="x"),$S461,""))</f>
        <v>232</v>
      </c>
      <c r="T462" t="str">
        <f>IF(D462=1,MAX($T$2:$T461)+1,IF(S462=S461,$T461,IF(D462="x",T461,IF(D461="x","",""))))</f>
        <v/>
      </c>
      <c r="U462" t="str">
        <f>IF(B462=1,MAX($U$2:$U461)+1,IF(AND($T462&lt;&gt;"",$T462=$T461),$U461,IF(B462="x",U461,"")))</f>
        <v/>
      </c>
      <c r="V462" t="str">
        <f>IF(C462=1,MAX($V$2:$V461)+1,IF(AND($T462&lt;&gt;"",$T462=$T461),$U461,IF(C462="x",V461,"")))</f>
        <v/>
      </c>
      <c r="X462" cm="1">
        <f t="array" ref="X462">IF($I462&lt;&gt;"",$I462,INDEX($I$1:$I462,ROW()-COUNTIFS($T$1:$T462,"="&amp;$T462,$S$1:$S462,"&lt;"&amp;$S462)))</f>
        <v>84</v>
      </c>
      <c r="Z462" s="6">
        <f t="shared" si="93"/>
        <v>1</v>
      </c>
      <c r="AA462">
        <f t="shared" si="94"/>
        <v>1232</v>
      </c>
      <c r="AB462" t="str">
        <f t="shared" si="95"/>
        <v/>
      </c>
      <c r="AC462">
        <f t="shared" si="96"/>
        <v>1232</v>
      </c>
      <c r="AI462" t="str">
        <f t="shared" si="98"/>
        <v>d</v>
      </c>
      <c r="BI462" s="40"/>
      <c r="BL462" s="40"/>
      <c r="BN462" s="19"/>
      <c r="BP462" s="17"/>
    </row>
    <row r="463" spans="1:68" x14ac:dyDescent="0.2">
      <c r="A463" t="str">
        <f t="shared" si="92"/>
        <v/>
      </c>
      <c r="E463" s="4"/>
      <c r="F463" s="46"/>
      <c r="G463" s="4"/>
      <c r="H463" s="48"/>
      <c r="I463" s="26">
        <v>93</v>
      </c>
      <c r="J463" s="26" t="str">
        <f t="shared" si="97"/>
        <v/>
      </c>
      <c r="N463" t="str">
        <f t="shared" si="91"/>
        <v/>
      </c>
      <c r="Q463" t="str">
        <f t="shared" si="90"/>
        <v/>
      </c>
      <c r="S463">
        <f>IF(A463=1,MAX($S$2:$S462)+1,IF(OR($I463&lt;&gt;"",A463="x"),$S462,""))</f>
        <v>232</v>
      </c>
      <c r="T463" t="str">
        <f>IF(D463=1,MAX($T$2:$T462)+1,IF(S463=S462,$T462,IF(D463="x",T462,IF(D462="x","",""))))</f>
        <v/>
      </c>
      <c r="U463" t="str">
        <f>IF(B463=1,MAX($U$2:$U462)+1,IF(AND($T463&lt;&gt;"",$T463=$T462),$U462,IF(B463="x",U462,"")))</f>
        <v/>
      </c>
      <c r="V463" t="str">
        <f>IF(C463=1,MAX($V$2:$V462)+1,IF(AND($T463&lt;&gt;"",$T463=$T462),$U462,IF(C463="x",V462,"")))</f>
        <v/>
      </c>
      <c r="X463" cm="1">
        <f t="array" ref="X463">IF($I463&lt;&gt;"",$I463,INDEX($I$1:$I463,ROW()-COUNTIFS($T$1:$T463,"="&amp;$T463,$S$1:$S463,"&lt;"&amp;$S463)))</f>
        <v>93</v>
      </c>
      <c r="Z463" s="6">
        <f t="shared" si="93"/>
        <v>1</v>
      </c>
      <c r="AA463">
        <f t="shared" si="94"/>
        <v>1232</v>
      </c>
      <c r="AB463" t="str">
        <f t="shared" si="95"/>
        <v/>
      </c>
      <c r="AC463">
        <f t="shared" si="96"/>
        <v>1232</v>
      </c>
      <c r="AI463" t="str">
        <f t="shared" si="98"/>
        <v>d</v>
      </c>
      <c r="BI463" s="40"/>
      <c r="BL463" s="40"/>
      <c r="BN463" s="19"/>
      <c r="BP463" s="17"/>
    </row>
    <row r="464" spans="1:68" x14ac:dyDescent="0.2">
      <c r="A464">
        <f t="shared" si="92"/>
        <v>1</v>
      </c>
      <c r="D464" s="26">
        <v>1</v>
      </c>
      <c r="E464" s="4"/>
      <c r="F464" s="46"/>
      <c r="G464" s="4"/>
      <c r="H464" s="48"/>
      <c r="I464" s="26">
        <v>93</v>
      </c>
      <c r="J464" s="26" t="s">
        <v>736</v>
      </c>
      <c r="K464" t="s">
        <v>7</v>
      </c>
      <c r="L464" t="s">
        <v>182</v>
      </c>
      <c r="M464" t="s">
        <v>68</v>
      </c>
      <c r="N464" t="str">
        <f t="shared" si="91"/>
        <v>u</v>
      </c>
      <c r="O464" t="s">
        <v>576</v>
      </c>
      <c r="Q464" t="str">
        <f t="shared" ref="Q464:Q527" si="99">IF(O464="","",IF(AND(N464&lt;&gt;"",OR(O464&lt;&gt;"",P464&lt;&gt;"")),N464,IF(OR(ISNUMBER(SEARCH("attemp",O464)),ISNUMBER(SEARCH("beat",O464)),ISNUMBER(SEARCH("mis",O464)),ISNUMBER(SEARCH("fail",O464)),ISNUMBER(SEARCH("loss",O464)),ISNUMBER(SEARCH("lost",O464)),ISNUMBER(SEARCH("attemp",P464)),ISNUMBER(SEARCH("mis",P464)),ISNUMBER(SEARCH("fail",P464)),ISNUMBER(SEARCH("loss",P464)),ISNUMBER(SEARCH("beat",P464)),ISNUMBER(SEARCH("lost",P464))),"u","")))</f>
        <v>u</v>
      </c>
      <c r="R464" s="26">
        <v>1</v>
      </c>
      <c r="S464">
        <f>IF(A464=1,MAX($S$2:$S463)+1,IF(OR($I464&lt;&gt;"",A464="x"),$S463,""))</f>
        <v>233</v>
      </c>
      <c r="T464">
        <f>IF(D464=1,MAX($T$2:$T463)+1,IF(S464=S463,$T463,IF(D464="x",T463,IF(D463="x","",""))))</f>
        <v>30</v>
      </c>
      <c r="U464" t="str">
        <f>IF(B464=1,MAX($U$2:$U463)+1,IF(AND($T464&lt;&gt;"",$T464=$T463),$U463,IF(B464="x",U463,"")))</f>
        <v/>
      </c>
      <c r="V464" t="str">
        <f>IF(C464=1,MAX($V$2:$V463)+1,IF(AND($T464&lt;&gt;"",$T464=$T463),$U463,IF(C464="x",V463,"")))</f>
        <v/>
      </c>
      <c r="X464" cm="1">
        <f t="array" ref="X464">IF($I464&lt;&gt;"",$I464,INDEX($I$1:$I464,ROW()-COUNTIFS($T$1:$T464,"="&amp;$T464,$S$1:$S464,"&lt;"&amp;$S464)))</f>
        <v>93</v>
      </c>
      <c r="Z464" s="6">
        <f t="shared" si="93"/>
        <v>1</v>
      </c>
      <c r="AA464">
        <f t="shared" si="94"/>
        <v>1233</v>
      </c>
      <c r="AB464">
        <f t="shared" si="95"/>
        <v>9030</v>
      </c>
      <c r="AC464">
        <f t="shared" si="96"/>
        <v>9030</v>
      </c>
      <c r="AI464" t="str">
        <f t="shared" si="98"/>
        <v>d</v>
      </c>
      <c r="BI464" s="40"/>
      <c r="BL464" s="40"/>
      <c r="BN464" s="19"/>
      <c r="BP464" s="17"/>
    </row>
    <row r="465" spans="1:68" x14ac:dyDescent="0.2">
      <c r="A465" t="str">
        <f t="shared" si="92"/>
        <v>x</v>
      </c>
      <c r="D465" s="26" t="s">
        <v>729</v>
      </c>
      <c r="E465" s="4"/>
      <c r="F465" s="46"/>
      <c r="G465" s="4"/>
      <c r="H465" s="48"/>
      <c r="I465" s="26">
        <v>14</v>
      </c>
      <c r="J465" s="26" t="str">
        <f t="shared" si="97"/>
        <v/>
      </c>
      <c r="N465" t="str">
        <f t="shared" si="91"/>
        <v/>
      </c>
      <c r="Q465" t="str">
        <f t="shared" si="99"/>
        <v/>
      </c>
      <c r="S465">
        <f>IF(A465=1,MAX($S$2:$S464)+1,IF(OR($I465&lt;&gt;"",A465="x"),$S464,""))</f>
        <v>233</v>
      </c>
      <c r="T465">
        <f>IF(D465=1,MAX($T$2:$T464)+1,IF(S465=S464,$T464,IF(D465="x",T464,IF(D464="x","",""))))</f>
        <v>30</v>
      </c>
      <c r="U465" t="str">
        <f>IF(B465=1,MAX($U$2:$U464)+1,IF(AND($T465&lt;&gt;"",$T465=$T464),$U464,IF(B465="x",U464,"")))</f>
        <v/>
      </c>
      <c r="V465" t="str">
        <f>IF(C465=1,MAX($V$2:$V464)+1,IF(AND($T465&lt;&gt;"",$T465=$T464),$U464,IF(C465="x",V464,"")))</f>
        <v/>
      </c>
      <c r="X465" cm="1">
        <f t="array" ref="X465">IF($I465&lt;&gt;"",$I465,INDEX($I$1:$I465,ROW()-COUNTIFS($T$1:$T465,"="&amp;$T465,$S$1:$S465,"&lt;"&amp;$S465)))</f>
        <v>14</v>
      </c>
      <c r="Z465" s="6">
        <f t="shared" si="93"/>
        <v>1</v>
      </c>
      <c r="AA465">
        <f t="shared" si="94"/>
        <v>1233</v>
      </c>
      <c r="AB465">
        <f t="shared" si="95"/>
        <v>9030</v>
      </c>
      <c r="AC465">
        <f t="shared" si="96"/>
        <v>9030</v>
      </c>
      <c r="AI465" t="str">
        <f t="shared" si="98"/>
        <v>d</v>
      </c>
      <c r="BI465" s="40"/>
      <c r="BL465" s="40"/>
      <c r="BN465" s="19"/>
      <c r="BP465" s="17"/>
    </row>
    <row r="466" spans="1:68" x14ac:dyDescent="0.2">
      <c r="A466" t="str">
        <f t="shared" si="92"/>
        <v>x</v>
      </c>
      <c r="D466" s="26" t="s">
        <v>729</v>
      </c>
      <c r="E466" s="4"/>
      <c r="F466" s="46"/>
      <c r="G466" s="4"/>
      <c r="H466" s="48"/>
      <c r="I466" s="26">
        <v>12</v>
      </c>
      <c r="J466" s="26" t="str">
        <f t="shared" si="97"/>
        <v/>
      </c>
      <c r="N466" t="str">
        <f t="shared" si="91"/>
        <v/>
      </c>
      <c r="O466" t="s">
        <v>566</v>
      </c>
      <c r="Q466" t="str">
        <f t="shared" si="99"/>
        <v/>
      </c>
      <c r="R466" s="26">
        <v>1</v>
      </c>
      <c r="S466">
        <f>IF(A466=1,MAX($S$2:$S465)+1,IF(OR($I466&lt;&gt;"",A466="x"),$S465,""))</f>
        <v>233</v>
      </c>
      <c r="T466">
        <f>IF(D466=1,MAX($T$2:$T465)+1,IF(S466=S465,$T465,IF(D466="x",T465,IF(D465="x","",""))))</f>
        <v>30</v>
      </c>
      <c r="U466" t="str">
        <f>IF(B466=1,MAX($U$2:$U465)+1,IF(AND($T466&lt;&gt;"",$T466=$T465),$U465,IF(B466="x",U465,"")))</f>
        <v/>
      </c>
      <c r="V466" t="str">
        <f>IF(C466=1,MAX($V$2:$V465)+1,IF(AND($T466&lt;&gt;"",$T466=$T465),$U465,IF(C466="x",V465,"")))</f>
        <v/>
      </c>
      <c r="X466" cm="1">
        <f t="array" ref="X466">IF($I466&lt;&gt;"",$I466,INDEX($I$1:$I466,ROW()-COUNTIFS($T$1:$T466,"="&amp;$T466,$S$1:$S466,"&lt;"&amp;$S466)))</f>
        <v>12</v>
      </c>
      <c r="Z466" s="6">
        <f t="shared" si="93"/>
        <v>1</v>
      </c>
      <c r="AA466">
        <f t="shared" si="94"/>
        <v>1233</v>
      </c>
      <c r="AB466">
        <f t="shared" si="95"/>
        <v>9030</v>
      </c>
      <c r="AC466">
        <f t="shared" si="96"/>
        <v>9030</v>
      </c>
      <c r="AI466" t="str">
        <f t="shared" si="98"/>
        <v>d</v>
      </c>
      <c r="BI466" s="40"/>
      <c r="BL466" s="40"/>
      <c r="BN466" s="19"/>
      <c r="BP466" s="17"/>
    </row>
    <row r="467" spans="1:68" x14ac:dyDescent="0.2">
      <c r="A467">
        <f t="shared" si="92"/>
        <v>1</v>
      </c>
      <c r="D467" s="26" t="s">
        <v>729</v>
      </c>
      <c r="E467" s="4"/>
      <c r="F467" s="46"/>
      <c r="G467" s="4"/>
      <c r="H467" s="48"/>
      <c r="J467" s="26" t="str">
        <f t="shared" si="97"/>
        <v>d</v>
      </c>
      <c r="K467" t="s">
        <v>238</v>
      </c>
      <c r="L467" t="s">
        <v>184</v>
      </c>
      <c r="M467" t="s">
        <v>376</v>
      </c>
      <c r="N467" t="str">
        <f t="shared" si="91"/>
        <v>u</v>
      </c>
      <c r="Q467" t="str">
        <f t="shared" si="99"/>
        <v/>
      </c>
      <c r="S467">
        <f>IF(A467=1,MAX($S$2:$S466)+1,IF(OR($I467&lt;&gt;"",A467="x"),$S466,""))</f>
        <v>234</v>
      </c>
      <c r="T467">
        <f>IF(D467=1,MAX($T$2:$T466)+1,IF(S467=S466,$T466,IF(D467="x",T466,IF(D466="x","",""))))</f>
        <v>30</v>
      </c>
      <c r="U467" t="str">
        <f>IF(B467=1,MAX($U$2:$U466)+1,IF(AND($T467&lt;&gt;"",$T467=$T466),$U466,IF(B467="x",U466,"")))</f>
        <v/>
      </c>
      <c r="V467" t="str">
        <f>IF(C467=1,MAX($V$2:$V466)+1,IF(AND($T467&lt;&gt;"",$T467=$T466),$U466,IF(C467="x",V466,"")))</f>
        <v/>
      </c>
      <c r="X467" cm="1">
        <f t="array" ref="X467">IF($I467&lt;&gt;"",$I467,INDEX($I$1:$I467,ROW()-COUNTIFS($T$1:$T467,"="&amp;$T467,$S$1:$S467,"&lt;"&amp;$S467)))</f>
        <v>93</v>
      </c>
      <c r="Z467" s="6">
        <f t="shared" si="93"/>
        <v>1</v>
      </c>
      <c r="AA467">
        <f t="shared" si="94"/>
        <v>1234</v>
      </c>
      <c r="AB467">
        <f t="shared" si="95"/>
        <v>9030</v>
      </c>
      <c r="AC467">
        <f t="shared" si="96"/>
        <v>9030</v>
      </c>
      <c r="AI467" t="str">
        <f t="shared" si="98"/>
        <v>d</v>
      </c>
      <c r="BI467" s="40"/>
      <c r="BL467" s="40"/>
      <c r="BN467" s="19"/>
      <c r="BP467" s="17"/>
    </row>
    <row r="468" spans="1:68" x14ac:dyDescent="0.2">
      <c r="A468" t="str">
        <f t="shared" si="92"/>
        <v>x</v>
      </c>
      <c r="D468" s="26" t="s">
        <v>729</v>
      </c>
      <c r="E468" s="4"/>
      <c r="F468" s="46"/>
      <c r="G468" s="4"/>
      <c r="H468" s="48"/>
      <c r="J468" s="26" t="str">
        <f t="shared" si="97"/>
        <v/>
      </c>
      <c r="N468" t="str">
        <f t="shared" si="91"/>
        <v/>
      </c>
      <c r="Q468" t="str">
        <f t="shared" si="99"/>
        <v/>
      </c>
      <c r="S468">
        <f>IF(A468=1,MAX($S$2:$S467)+1,IF(OR($I468&lt;&gt;"",A468="x"),$S467,""))</f>
        <v>234</v>
      </c>
      <c r="T468">
        <f>IF(D468=1,MAX($T$2:$T467)+1,IF(S468=S467,$T467,IF(D468="x",T467,IF(D467="x","",""))))</f>
        <v>30</v>
      </c>
      <c r="U468" t="str">
        <f>IF(B468=1,MAX($U$2:$U467)+1,IF(AND($T468&lt;&gt;"",$T468=$T467),$U467,IF(B468="x",U467,"")))</f>
        <v/>
      </c>
      <c r="V468" t="str">
        <f>IF(C468=1,MAX($V$2:$V467)+1,IF(AND($T468&lt;&gt;"",$T468=$T467),$U467,IF(C468="x",V467,"")))</f>
        <v/>
      </c>
      <c r="X468" cm="1">
        <f t="array" ref="X468">IF($I468&lt;&gt;"",$I468,INDEX($I$1:$I468,ROW()-COUNTIFS($T$1:$T468,"="&amp;$T468,$S$1:$S468,"&lt;"&amp;$S468)))</f>
        <v>14</v>
      </c>
      <c r="Z468" s="6">
        <f t="shared" si="93"/>
        <v>1</v>
      </c>
      <c r="AA468">
        <f t="shared" si="94"/>
        <v>1234</v>
      </c>
      <c r="AB468">
        <f t="shared" si="95"/>
        <v>9030</v>
      </c>
      <c r="AC468">
        <f t="shared" si="96"/>
        <v>9030</v>
      </c>
      <c r="AI468" t="str">
        <f t="shared" si="98"/>
        <v>d</v>
      </c>
      <c r="BI468" s="40"/>
      <c r="BL468" s="40"/>
      <c r="BN468" s="19"/>
      <c r="BP468" s="17"/>
    </row>
    <row r="469" spans="1:68" x14ac:dyDescent="0.2">
      <c r="A469" t="str">
        <f t="shared" si="92"/>
        <v>x</v>
      </c>
      <c r="D469" s="26" t="s">
        <v>729</v>
      </c>
      <c r="E469" s="4"/>
      <c r="F469" s="46"/>
      <c r="G469" s="4"/>
      <c r="H469" s="48"/>
      <c r="J469" s="26" t="str">
        <f t="shared" si="97"/>
        <v/>
      </c>
      <c r="N469" t="str">
        <f t="shared" ref="N469:N532" si="100">IF(K469="","",IF(K469="Goal","s",IF(AND(K469="Zone_Entry_Exit",OR(ISNUMBER(SEARCH("fail",L469)),ISNUMBER(SEARCH("FromExitClear",M469)),ISNUMBER(SEARCH("miss",M469)))),"u",IF(AND(K469="Zone_Entry_Exit",OR(NOT(ISNUMBER(SEARCH("fail",L469))),NOT(ISNUMBER(SEARCH("FromExitClear",M469))),NOT(ISNUMBER(SEARCH("miss",M469))))),"s",IF(AND(OR(K469="Shot",K469="Pass"),OR(ISNUMBER(SEARCH("complete",L469)),ISNUMBER(SEARCH("goal",L469)),ISNUMBER(SEARCH("OnNet",L469)))),"s",IF(L469="Turnover_Giveaway","u",IF(AND(OR(K469="Shot",K469="Pass"),OR(ISNUMBER(SEARCH("fail",L469)),NOT(ISNUMBER(SEARCH("complete",L469))),NOT(ISNUMBER(SEARCH("OnNet",L469))))),"u","")))))))</f>
        <v/>
      </c>
      <c r="Q469" t="str">
        <f t="shared" si="99"/>
        <v/>
      </c>
      <c r="S469">
        <f>IF(A469=1,MAX($S$2:$S468)+1,IF(OR($I469&lt;&gt;"",A469="x"),$S468,""))</f>
        <v>234</v>
      </c>
      <c r="T469">
        <f>IF(D469=1,MAX($T$2:$T468)+1,IF(S469=S468,$T468,IF(D469="x",T468,IF(D468="x","",""))))</f>
        <v>30</v>
      </c>
      <c r="U469" t="str">
        <f>IF(B469=1,MAX($U$2:$U468)+1,IF(AND($T469&lt;&gt;"",$T469=$T468),$U468,IF(B469="x",U468,"")))</f>
        <v/>
      </c>
      <c r="V469" t="str">
        <f>IF(C469=1,MAX($V$2:$V468)+1,IF(AND($T469&lt;&gt;"",$T469=$T468),$U468,IF(C469="x",V468,"")))</f>
        <v/>
      </c>
      <c r="X469" cm="1">
        <f t="array" ref="X469">IF($I469&lt;&gt;"",$I469,INDEX($I$1:$I469,ROW()-COUNTIFS($T$1:$T469,"="&amp;$T469,$S$1:$S469,"&lt;"&amp;$S469)))</f>
        <v>12</v>
      </c>
      <c r="Z469" s="6">
        <f t="shared" si="93"/>
        <v>1</v>
      </c>
      <c r="AA469">
        <f t="shared" si="94"/>
        <v>1234</v>
      </c>
      <c r="AB469">
        <f t="shared" si="95"/>
        <v>9030</v>
      </c>
      <c r="AC469">
        <f t="shared" si="96"/>
        <v>9030</v>
      </c>
      <c r="AI469" t="str">
        <f t="shared" si="98"/>
        <v>d</v>
      </c>
      <c r="BI469" s="40"/>
      <c r="BL469" s="40"/>
      <c r="BN469" s="19"/>
      <c r="BP469" s="17"/>
    </row>
    <row r="470" spans="1:68" x14ac:dyDescent="0.2">
      <c r="A470">
        <f t="shared" si="92"/>
        <v>1</v>
      </c>
      <c r="D470" s="26" t="s">
        <v>729</v>
      </c>
      <c r="E470" s="4"/>
      <c r="F470" s="46"/>
      <c r="G470" s="4"/>
      <c r="H470" s="48"/>
      <c r="J470" s="26" t="s">
        <v>736</v>
      </c>
      <c r="K470" t="s">
        <v>238</v>
      </c>
      <c r="L470" t="s">
        <v>174</v>
      </c>
      <c r="M470" t="s">
        <v>390</v>
      </c>
      <c r="N470" t="str">
        <f t="shared" si="100"/>
        <v>u</v>
      </c>
      <c r="Q470" t="str">
        <f t="shared" si="99"/>
        <v/>
      </c>
      <c r="S470">
        <f>IF(A470=1,MAX($S$2:$S469)+1,IF(OR($I470&lt;&gt;"",A470="x"),$S469,""))</f>
        <v>235</v>
      </c>
      <c r="T470">
        <f>IF(D470=1,MAX($T$2:$T469)+1,IF(S470=S469,$T469,IF(D470="x",T469,IF(D469="x","",""))))</f>
        <v>30</v>
      </c>
      <c r="U470" t="str">
        <f>IF(B470=1,MAX($U$2:$U469)+1,IF(AND($T470&lt;&gt;"",$T470=$T469),$U469,IF(B470="x",U469,"")))</f>
        <v/>
      </c>
      <c r="V470" t="str">
        <f>IF(C470=1,MAX($V$2:$V469)+1,IF(AND($T470&lt;&gt;"",$T470=$T469),$U469,IF(C470="x",V469,"")))</f>
        <v/>
      </c>
      <c r="X470" cm="1">
        <f t="array" ref="X470">IF($I470&lt;&gt;"",$I470,INDEX($I$1:$I470,ROW()-COUNTIFS($T$1:$T470,"="&amp;$T470,$S$1:$S470,"&lt;"&amp;$S470)))</f>
        <v>93</v>
      </c>
      <c r="Z470" s="6">
        <f t="shared" si="93"/>
        <v>1</v>
      </c>
      <c r="AA470">
        <f t="shared" si="94"/>
        <v>1235</v>
      </c>
      <c r="AB470">
        <f t="shared" si="95"/>
        <v>9030</v>
      </c>
      <c r="AC470">
        <f t="shared" si="96"/>
        <v>9030</v>
      </c>
      <c r="AI470" t="str">
        <f t="shared" si="98"/>
        <v>d</v>
      </c>
      <c r="BI470" s="40"/>
      <c r="BL470" s="40"/>
      <c r="BN470" s="19"/>
      <c r="BP470" s="17"/>
    </row>
    <row r="471" spans="1:68" x14ac:dyDescent="0.2">
      <c r="A471" t="str">
        <f t="shared" si="92"/>
        <v>x</v>
      </c>
      <c r="D471" s="26" t="s">
        <v>729</v>
      </c>
      <c r="E471" s="4"/>
      <c r="F471" s="46"/>
      <c r="G471" s="4"/>
      <c r="H471" s="48"/>
      <c r="J471" s="26" t="str">
        <f t="shared" si="97"/>
        <v/>
      </c>
      <c r="N471" t="str">
        <f t="shared" si="100"/>
        <v/>
      </c>
      <c r="Q471" t="str">
        <f t="shared" si="99"/>
        <v/>
      </c>
      <c r="S471">
        <f>IF(A471=1,MAX($S$2:$S470)+1,IF(OR($I471&lt;&gt;"",A471="x"),$S470,""))</f>
        <v>235</v>
      </c>
      <c r="T471">
        <f>IF(D471=1,MAX($T$2:$T470)+1,IF(S471=S470,$T470,IF(D471="x",T470,IF(D470="x","",""))))</f>
        <v>30</v>
      </c>
      <c r="U471" t="str">
        <f>IF(B471=1,MAX($U$2:$U470)+1,IF(AND($T471&lt;&gt;"",$T471=$T470),$U470,IF(B471="x",U470,"")))</f>
        <v/>
      </c>
      <c r="V471" t="str">
        <f>IF(C471=1,MAX($V$2:$V470)+1,IF(AND($T471&lt;&gt;"",$T471=$T470),$U470,IF(C471="x",V470,"")))</f>
        <v/>
      </c>
      <c r="X471" cm="1">
        <f t="array" ref="X471">IF($I471&lt;&gt;"",$I471,INDEX($I$1:$I471,ROW()-COUNTIFS($T$1:$T471,"="&amp;$T471,$S$1:$S471,"&lt;"&amp;$S471)))</f>
        <v>14</v>
      </c>
      <c r="Z471" s="6">
        <f t="shared" si="93"/>
        <v>1</v>
      </c>
      <c r="AA471">
        <f t="shared" si="94"/>
        <v>1235</v>
      </c>
      <c r="AB471">
        <f t="shared" si="95"/>
        <v>9030</v>
      </c>
      <c r="AC471">
        <f t="shared" si="96"/>
        <v>9030</v>
      </c>
      <c r="AI471" t="str">
        <f t="shared" si="98"/>
        <v>d</v>
      </c>
      <c r="BI471" s="40"/>
      <c r="BL471" s="40"/>
      <c r="BN471" s="19"/>
      <c r="BP471" s="17"/>
    </row>
    <row r="472" spans="1:68" x14ac:dyDescent="0.2">
      <c r="A472" t="str">
        <f t="shared" si="92"/>
        <v>x</v>
      </c>
      <c r="D472" s="26" t="s">
        <v>729</v>
      </c>
      <c r="E472" s="4"/>
      <c r="F472" s="46"/>
      <c r="G472" s="4"/>
      <c r="H472" s="48"/>
      <c r="J472" s="26" t="str">
        <f t="shared" si="97"/>
        <v/>
      </c>
      <c r="N472" t="str">
        <f t="shared" si="100"/>
        <v/>
      </c>
      <c r="Q472" t="str">
        <f t="shared" si="99"/>
        <v/>
      </c>
      <c r="S472">
        <f>IF(A472=1,MAX($S$2:$S471)+1,IF(OR($I472&lt;&gt;"",A472="x"),$S471,""))</f>
        <v>235</v>
      </c>
      <c r="T472">
        <f>IF(D472=1,MAX($T$2:$T471)+1,IF(S472=S471,$T471,IF(D472="x",T471,IF(D471="x","",""))))</f>
        <v>30</v>
      </c>
      <c r="U472" t="str">
        <f>IF(B472=1,MAX($U$2:$U471)+1,IF(AND($T472&lt;&gt;"",$T472=$T471),$U471,IF(B472="x",U471,"")))</f>
        <v/>
      </c>
      <c r="V472" t="str">
        <f>IF(C472=1,MAX($V$2:$V471)+1,IF(AND($T472&lt;&gt;"",$T472=$T471),$U471,IF(C472="x",V471,"")))</f>
        <v/>
      </c>
      <c r="X472" cm="1">
        <f t="array" ref="X472">IF($I472&lt;&gt;"",$I472,INDEX($I$1:$I472,ROW()-COUNTIFS($T$1:$T472,"="&amp;$T472,$S$1:$S472,"&lt;"&amp;$S472)))</f>
        <v>12</v>
      </c>
      <c r="Z472" s="6">
        <f t="shared" si="93"/>
        <v>1</v>
      </c>
      <c r="AA472">
        <f t="shared" si="94"/>
        <v>1235</v>
      </c>
      <c r="AB472">
        <f t="shared" si="95"/>
        <v>9030</v>
      </c>
      <c r="AC472">
        <f t="shared" si="96"/>
        <v>9030</v>
      </c>
      <c r="AI472" t="str">
        <f t="shared" si="98"/>
        <v>d</v>
      </c>
      <c r="BI472" s="40"/>
      <c r="BL472" s="40"/>
      <c r="BN472" s="19"/>
      <c r="BP472" s="17"/>
    </row>
    <row r="473" spans="1:68" x14ac:dyDescent="0.2">
      <c r="A473">
        <f t="shared" si="92"/>
        <v>1</v>
      </c>
      <c r="E473" s="4"/>
      <c r="F473" s="46" t="s">
        <v>744</v>
      </c>
      <c r="G473" s="4"/>
      <c r="H473" s="48" t="s">
        <v>745</v>
      </c>
      <c r="I473" s="26">
        <v>14</v>
      </c>
      <c r="J473" s="26" t="s">
        <v>368</v>
      </c>
      <c r="K473" t="s">
        <v>13</v>
      </c>
      <c r="L473" t="s">
        <v>587</v>
      </c>
      <c r="N473" t="s">
        <v>594</v>
      </c>
      <c r="O473" t="s">
        <v>907</v>
      </c>
      <c r="Q473" t="str">
        <f t="shared" si="99"/>
        <v>u</v>
      </c>
      <c r="R473" s="26">
        <v>1</v>
      </c>
      <c r="S473">
        <f>IF(A473=1,MAX($S$2:$S472)+1,IF(OR($I473&lt;&gt;"",A473="x"),$S472,""))</f>
        <v>236</v>
      </c>
      <c r="T473" t="str">
        <f>IF(D473=1,MAX($T$2:$T472)+1,IF(S473=S472,$T472,IF(D473="x",T472,IF(D472="x","",""))))</f>
        <v/>
      </c>
      <c r="U473" t="str">
        <f>IF(B473=1,MAX($U$2:$U472)+1,IF(AND($T473&lt;&gt;"",$T473=$T472),$U472,IF(B473="x",U472,"")))</f>
        <v/>
      </c>
      <c r="V473" t="str">
        <f>IF(C473=1,MAX($V$2:$V472)+1,IF(AND($T473&lt;&gt;"",$T473=$T472),$U472,IF(C473="x",V472,"")))</f>
        <v/>
      </c>
      <c r="X473" cm="1">
        <f t="array" ref="X473">IF($I473&lt;&gt;"",$I473,INDEX($I$1:$I473,ROW()-COUNTIFS($T$1:$T473,"="&amp;$T473,$S$1:$S473,"&lt;"&amp;$S473)))</f>
        <v>14</v>
      </c>
      <c r="Z473" s="6">
        <f t="shared" si="93"/>
        <v>1</v>
      </c>
      <c r="AA473">
        <f t="shared" si="94"/>
        <v>1236</v>
      </c>
      <c r="AB473" t="str">
        <f t="shared" si="95"/>
        <v/>
      </c>
      <c r="AC473">
        <f t="shared" si="96"/>
        <v>1236</v>
      </c>
      <c r="AI473" t="str">
        <f t="shared" si="98"/>
        <v>o</v>
      </c>
      <c r="BI473" s="40"/>
      <c r="BL473" s="40"/>
      <c r="BN473" s="19"/>
      <c r="BP473" s="17"/>
    </row>
    <row r="474" spans="1:68" x14ac:dyDescent="0.2">
      <c r="A474" t="str">
        <f t="shared" si="92"/>
        <v/>
      </c>
      <c r="E474" s="4"/>
      <c r="F474" s="46"/>
      <c r="G474" s="4"/>
      <c r="H474" s="48"/>
      <c r="I474" s="26">
        <v>19</v>
      </c>
      <c r="J474" s="26" t="str">
        <f t="shared" si="97"/>
        <v/>
      </c>
      <c r="N474" t="str">
        <f t="shared" si="100"/>
        <v/>
      </c>
      <c r="Q474" t="str">
        <f t="shared" si="99"/>
        <v/>
      </c>
      <c r="R474" s="26">
        <v>1</v>
      </c>
      <c r="S474">
        <f>IF(A474=1,MAX($S$2:$S473)+1,IF(OR($I474&lt;&gt;"",A474="x"),$S473,""))</f>
        <v>236</v>
      </c>
      <c r="T474" t="str">
        <f>IF(D474=1,MAX($T$2:$T473)+1,IF(S474=S473,$T473,IF(D474="x",T473,IF(D473="x","",""))))</f>
        <v/>
      </c>
      <c r="U474" t="str">
        <f>IF(B474=1,MAX($U$2:$U473)+1,IF(AND($T474&lt;&gt;"",$T474=$T473),$U473,IF(B474="x",U473,"")))</f>
        <v/>
      </c>
      <c r="V474" t="str">
        <f>IF(C474=1,MAX($V$2:$V473)+1,IF(AND($T474&lt;&gt;"",$T474=$T473),$U473,IF(C474="x",V473,"")))</f>
        <v/>
      </c>
      <c r="X474" cm="1">
        <f t="array" ref="X474">IF($I474&lt;&gt;"",$I474,INDEX($I$1:$I474,ROW()-COUNTIFS($T$1:$T474,"="&amp;$T474,$S$1:$S474,"&lt;"&amp;$S474)))</f>
        <v>19</v>
      </c>
      <c r="Z474" s="6">
        <f t="shared" si="93"/>
        <v>1</v>
      </c>
      <c r="AA474">
        <f t="shared" si="94"/>
        <v>1236</v>
      </c>
      <c r="AB474" t="str">
        <f t="shared" si="95"/>
        <v/>
      </c>
      <c r="AC474">
        <f t="shared" si="96"/>
        <v>1236</v>
      </c>
      <c r="AI474" t="str">
        <f t="shared" si="98"/>
        <v>o</v>
      </c>
      <c r="BI474" s="40"/>
      <c r="BL474" s="40"/>
      <c r="BN474" s="19"/>
      <c r="BP474" s="17"/>
    </row>
    <row r="475" spans="1:68" x14ac:dyDescent="0.2">
      <c r="A475">
        <f t="shared" si="92"/>
        <v>1</v>
      </c>
      <c r="D475" s="26">
        <v>1</v>
      </c>
      <c r="E475" s="4"/>
      <c r="F475" s="46"/>
      <c r="G475" s="4"/>
      <c r="H475" s="48"/>
      <c r="I475" s="26">
        <v>14</v>
      </c>
      <c r="J475" s="26" t="str">
        <f t="shared" si="97"/>
        <v>o</v>
      </c>
      <c r="K475" t="s">
        <v>6</v>
      </c>
      <c r="L475" t="s">
        <v>181</v>
      </c>
      <c r="M475" t="s">
        <v>51</v>
      </c>
      <c r="N475" t="str">
        <f t="shared" si="100"/>
        <v>u</v>
      </c>
      <c r="Q475" t="str">
        <f t="shared" si="99"/>
        <v/>
      </c>
      <c r="R475" s="26">
        <v>1</v>
      </c>
      <c r="S475">
        <f>IF(A475=1,MAX($S$2:$S474)+1,IF(OR($I475&lt;&gt;"",A475="x"),$S474,""))</f>
        <v>237</v>
      </c>
      <c r="T475">
        <f>IF(D475=1,MAX($T$2:$T474)+1,IF(S475=S474,$T474,IF(D475="x",T474,IF(D474="x","",""))))</f>
        <v>31</v>
      </c>
      <c r="U475" t="str">
        <f>IF(B475=1,MAX($U$2:$U474)+1,IF(AND($T475&lt;&gt;"",$T475=$T474),$U474,IF(B475="x",U474,"")))</f>
        <v/>
      </c>
      <c r="V475" t="str">
        <f>IF(C475=1,MAX($V$2:$V474)+1,IF(AND($T475&lt;&gt;"",$T475=$T474),$U474,IF(C475="x",V474,"")))</f>
        <v/>
      </c>
      <c r="X475" cm="1">
        <f t="array" ref="X475">IF($I475&lt;&gt;"",$I475,INDEX($I$1:$I475,ROW()-COUNTIFS($T$1:$T475,"="&amp;$T475,$S$1:$S475,"&lt;"&amp;$S475)))</f>
        <v>14</v>
      </c>
      <c r="Z475" s="6">
        <f t="shared" si="93"/>
        <v>1</v>
      </c>
      <c r="AA475">
        <f t="shared" si="94"/>
        <v>1237</v>
      </c>
      <c r="AB475">
        <f t="shared" si="95"/>
        <v>9031</v>
      </c>
      <c r="AC475">
        <f t="shared" si="96"/>
        <v>9031</v>
      </c>
      <c r="AI475" t="str">
        <f t="shared" si="98"/>
        <v>o</v>
      </c>
      <c r="BI475" s="40"/>
      <c r="BL475" s="40"/>
      <c r="BN475" s="19"/>
      <c r="BP475" s="17"/>
    </row>
    <row r="476" spans="1:68" x14ac:dyDescent="0.2">
      <c r="A476" t="str">
        <f t="shared" si="92"/>
        <v>x</v>
      </c>
      <c r="D476" s="26" t="s">
        <v>729</v>
      </c>
      <c r="E476" s="4"/>
      <c r="F476" s="46"/>
      <c r="G476" s="4"/>
      <c r="H476" s="48"/>
      <c r="I476" s="26">
        <v>19</v>
      </c>
      <c r="J476" s="26" t="str">
        <f t="shared" si="97"/>
        <v/>
      </c>
      <c r="N476" t="str">
        <f t="shared" si="100"/>
        <v/>
      </c>
      <c r="Q476" t="str">
        <f t="shared" si="99"/>
        <v/>
      </c>
      <c r="R476" s="26">
        <v>1</v>
      </c>
      <c r="S476">
        <f>IF(A476=1,MAX($S$2:$S475)+1,IF(OR($I476&lt;&gt;"",A476="x"),$S475,""))</f>
        <v>237</v>
      </c>
      <c r="T476">
        <f>IF(D476=1,MAX($T$2:$T475)+1,IF(S476=S475,$T475,IF(D476="x",T475,IF(D475="x","",""))))</f>
        <v>31</v>
      </c>
      <c r="U476" t="str">
        <f>IF(B476=1,MAX($U$2:$U475)+1,IF(AND($T476&lt;&gt;"",$T476=$T475),$U475,IF(B476="x",U475,"")))</f>
        <v/>
      </c>
      <c r="V476" t="str">
        <f>IF(C476=1,MAX($V$2:$V475)+1,IF(AND($T476&lt;&gt;"",$T476=$T475),$U475,IF(C476="x",V475,"")))</f>
        <v/>
      </c>
      <c r="X476" cm="1">
        <f t="array" ref="X476">IF($I476&lt;&gt;"",$I476,INDEX($I$1:$I476,ROW()-COUNTIFS($T$1:$T476,"="&amp;$T476,$S$1:$S476,"&lt;"&amp;$S476)))</f>
        <v>19</v>
      </c>
      <c r="Z476" s="6">
        <f t="shared" si="93"/>
        <v>1</v>
      </c>
      <c r="AA476">
        <f t="shared" si="94"/>
        <v>1237</v>
      </c>
      <c r="AB476">
        <f t="shared" si="95"/>
        <v>9031</v>
      </c>
      <c r="AC476">
        <f t="shared" si="96"/>
        <v>9031</v>
      </c>
      <c r="AI476" t="str">
        <f t="shared" si="98"/>
        <v>o</v>
      </c>
      <c r="BI476" s="40"/>
      <c r="BL476" s="40"/>
      <c r="BN476" s="19"/>
      <c r="BP476" s="17"/>
    </row>
    <row r="477" spans="1:68" x14ac:dyDescent="0.2">
      <c r="A477">
        <f t="shared" si="92"/>
        <v>1</v>
      </c>
      <c r="D477" s="26" t="s">
        <v>729</v>
      </c>
      <c r="E477" s="4"/>
      <c r="F477" s="46"/>
      <c r="G477" s="4"/>
      <c r="H477" s="48"/>
      <c r="J477" s="26" t="s">
        <v>368</v>
      </c>
      <c r="K477" t="s">
        <v>9</v>
      </c>
      <c r="L477" t="s">
        <v>173</v>
      </c>
      <c r="M477" t="s">
        <v>77</v>
      </c>
      <c r="N477" t="str">
        <f t="shared" si="100"/>
        <v>u</v>
      </c>
      <c r="Q477" t="str">
        <f t="shared" si="99"/>
        <v/>
      </c>
      <c r="S477">
        <f>IF(A477=1,MAX($S$2:$S476)+1,IF(OR($I477&lt;&gt;"",A477="x"),$S476,""))</f>
        <v>238</v>
      </c>
      <c r="T477">
        <f>IF(D477=1,MAX($T$2:$T476)+1,IF(S477=S476,$T476,IF(D477="x",T476,IF(D476="x","",""))))</f>
        <v>31</v>
      </c>
      <c r="U477" t="str">
        <f>IF(B477=1,MAX($U$2:$U476)+1,IF(AND($T477&lt;&gt;"",$T477=$T476),$U476,IF(B477="x",U476,"")))</f>
        <v/>
      </c>
      <c r="V477" t="str">
        <f>IF(C477=1,MAX($V$2:$V476)+1,IF(AND($T477&lt;&gt;"",$T477=$T476),$U476,IF(C477="x",V476,"")))</f>
        <v/>
      </c>
      <c r="X477" cm="1">
        <f t="array" ref="X477">IF($I477&lt;&gt;"",$I477,INDEX($I$1:$I477,ROW()-COUNTIFS($T$1:$T477,"="&amp;$T477,$S$1:$S477,"&lt;"&amp;$S477)))</f>
        <v>14</v>
      </c>
      <c r="Z477" s="6">
        <f t="shared" si="93"/>
        <v>1</v>
      </c>
      <c r="AA477">
        <f t="shared" si="94"/>
        <v>1238</v>
      </c>
      <c r="AB477">
        <f t="shared" si="95"/>
        <v>9031</v>
      </c>
      <c r="AC477">
        <f t="shared" si="96"/>
        <v>9031</v>
      </c>
      <c r="AI477" t="str">
        <f t="shared" si="98"/>
        <v>o</v>
      </c>
      <c r="BI477" s="40"/>
      <c r="BL477" s="40"/>
      <c r="BN477" s="19"/>
      <c r="BP477" s="17"/>
    </row>
    <row r="478" spans="1:68" x14ac:dyDescent="0.2">
      <c r="A478" t="str">
        <f t="shared" si="92"/>
        <v>x</v>
      </c>
      <c r="D478" s="26" t="s">
        <v>729</v>
      </c>
      <c r="E478" s="4"/>
      <c r="F478" s="46"/>
      <c r="G478" s="4"/>
      <c r="H478" s="48"/>
      <c r="J478" s="26" t="str">
        <f t="shared" si="97"/>
        <v/>
      </c>
      <c r="N478" t="str">
        <f t="shared" si="100"/>
        <v/>
      </c>
      <c r="Q478" t="str">
        <f t="shared" si="99"/>
        <v/>
      </c>
      <c r="S478">
        <f>IF(A478=1,MAX($S$2:$S477)+1,IF(OR($I478&lt;&gt;"",A478="x"),$S477,""))</f>
        <v>238</v>
      </c>
      <c r="T478">
        <f>IF(D478=1,MAX($T$2:$T477)+1,IF(S478=S477,$T477,IF(D478="x",T477,IF(D477="x","",""))))</f>
        <v>31</v>
      </c>
      <c r="U478" t="str">
        <f>IF(B478=1,MAX($U$2:$U477)+1,IF(AND($T478&lt;&gt;"",$T478=$T477),$U477,IF(B478="x",U477,"")))</f>
        <v/>
      </c>
      <c r="V478" t="str">
        <f>IF(C478=1,MAX($V$2:$V477)+1,IF(AND($T478&lt;&gt;"",$T478=$T477),$U477,IF(C478="x",V477,"")))</f>
        <v/>
      </c>
      <c r="X478" cm="1">
        <f t="array" ref="X478">IF($I478&lt;&gt;"",$I478,INDEX($I$1:$I478,ROW()-COUNTIFS($T$1:$T478,"="&amp;$T478,$S$1:$S478,"&lt;"&amp;$S478)))</f>
        <v>19</v>
      </c>
      <c r="Z478" s="6">
        <f t="shared" si="93"/>
        <v>1</v>
      </c>
      <c r="AA478">
        <f t="shared" si="94"/>
        <v>1238</v>
      </c>
      <c r="AB478">
        <f t="shared" si="95"/>
        <v>9031</v>
      </c>
      <c r="AC478">
        <f t="shared" si="96"/>
        <v>9031</v>
      </c>
      <c r="AI478" t="str">
        <f t="shared" si="98"/>
        <v>o</v>
      </c>
      <c r="BI478" s="40"/>
      <c r="BL478" s="40"/>
      <c r="BN478" s="19"/>
      <c r="BP478" s="17"/>
    </row>
    <row r="479" spans="1:68" x14ac:dyDescent="0.2">
      <c r="A479">
        <f t="shared" si="92"/>
        <v>1</v>
      </c>
      <c r="E479" s="4"/>
      <c r="F479" s="46" t="s">
        <v>746</v>
      </c>
      <c r="G479" s="4"/>
      <c r="H479" s="48" t="s">
        <v>1047</v>
      </c>
      <c r="I479" s="26">
        <v>21</v>
      </c>
      <c r="J479" s="26" t="s">
        <v>736</v>
      </c>
      <c r="K479" t="s">
        <v>13</v>
      </c>
      <c r="L479" t="s">
        <v>586</v>
      </c>
      <c r="N479" t="s">
        <v>595</v>
      </c>
      <c r="O479" t="s">
        <v>909</v>
      </c>
      <c r="Q479" t="str">
        <f t="shared" si="99"/>
        <v>s</v>
      </c>
      <c r="S479">
        <f>IF(A479=1,MAX($S$2:$S478)+1,IF(OR($I479&lt;&gt;"",A479="x"),$S478,""))</f>
        <v>239</v>
      </c>
      <c r="T479" t="str">
        <f>IF(D479=1,MAX($T$2:$T478)+1,IF(S479=S478,$T478,IF(D479="x",T478,IF(D478="x","",""))))</f>
        <v/>
      </c>
      <c r="U479" t="str">
        <f>IF(B479=1,MAX($U$2:$U478)+1,IF(AND($T479&lt;&gt;"",$T479=$T478),$U478,IF(B479="x",U478,"")))</f>
        <v/>
      </c>
      <c r="V479" t="str">
        <f>IF(C479=1,MAX($V$2:$V478)+1,IF(AND($T479&lt;&gt;"",$T479=$T478),$U478,IF(C479="x",V478,"")))</f>
        <v/>
      </c>
      <c r="X479" cm="1">
        <f t="array" ref="X479">IF($I479&lt;&gt;"",$I479,INDEX($I$1:$I479,ROW()-COUNTIFS($T$1:$T479,"="&amp;$T479,$S$1:$S479,"&lt;"&amp;$S479)))</f>
        <v>21</v>
      </c>
      <c r="Z479" s="6">
        <f t="shared" si="93"/>
        <v>1</v>
      </c>
      <c r="AA479">
        <f t="shared" si="94"/>
        <v>1239</v>
      </c>
      <c r="AB479" t="str">
        <f t="shared" si="95"/>
        <v/>
      </c>
      <c r="AC479">
        <f t="shared" si="96"/>
        <v>1239</v>
      </c>
      <c r="AI479" t="str">
        <f t="shared" si="98"/>
        <v>d</v>
      </c>
      <c r="BI479" s="40"/>
      <c r="BL479" s="40"/>
      <c r="BN479" s="19"/>
      <c r="BP479" s="17"/>
    </row>
    <row r="480" spans="1:68" x14ac:dyDescent="0.2">
      <c r="A480">
        <f t="shared" si="92"/>
        <v>1</v>
      </c>
      <c r="E480" s="4"/>
      <c r="F480" s="46"/>
      <c r="G480" s="4"/>
      <c r="H480" s="48" t="s">
        <v>1042</v>
      </c>
      <c r="I480" s="26">
        <v>21</v>
      </c>
      <c r="J480" s="26" t="s">
        <v>736</v>
      </c>
      <c r="K480" t="s">
        <v>13</v>
      </c>
      <c r="N480" t="str">
        <f t="shared" si="100"/>
        <v/>
      </c>
      <c r="Q480" t="str">
        <f t="shared" si="99"/>
        <v/>
      </c>
      <c r="S480">
        <f>IF(A480=1,MAX($S$2:$S479)+1,IF(OR($I480&lt;&gt;"",A480="x"),$S479,""))</f>
        <v>240</v>
      </c>
      <c r="T480" t="str">
        <f>IF(D480=1,MAX($T$2:$T479)+1,IF(S480=S479,$T479,IF(D480="x",T479,IF(D479="x","",""))))</f>
        <v/>
      </c>
      <c r="U480" t="str">
        <f>IF(B480=1,MAX($U$2:$U479)+1,IF(AND($T480&lt;&gt;"",$T480=$T479),$U479,IF(B480="x",U479,"")))</f>
        <v/>
      </c>
      <c r="V480" t="str">
        <f>IF(C480=1,MAX($V$2:$V479)+1,IF(AND($T480&lt;&gt;"",$T480=$T479),$U479,IF(C480="x",V479,"")))</f>
        <v/>
      </c>
      <c r="X480" cm="1">
        <f t="array" ref="X480">IF($I480&lt;&gt;"",$I480,INDEX($I$1:$I480,ROW()-COUNTIFS($T$1:$T480,"="&amp;$T480,$S$1:$S480,"&lt;"&amp;$S480)))</f>
        <v>21</v>
      </c>
      <c r="Z480" s="6">
        <f t="shared" si="93"/>
        <v>1</v>
      </c>
      <c r="AA480">
        <f t="shared" si="94"/>
        <v>1240</v>
      </c>
      <c r="AB480" t="str">
        <f t="shared" si="95"/>
        <v/>
      </c>
      <c r="AC480">
        <f t="shared" si="96"/>
        <v>1240</v>
      </c>
      <c r="AI480" t="str">
        <f t="shared" si="98"/>
        <v>d</v>
      </c>
      <c r="BI480" s="40"/>
      <c r="BL480" s="40"/>
      <c r="BN480" s="19"/>
      <c r="BP480" s="17"/>
    </row>
    <row r="481" spans="1:68" x14ac:dyDescent="0.2">
      <c r="A481">
        <f t="shared" si="92"/>
        <v>1</v>
      </c>
      <c r="E481" s="4"/>
      <c r="F481" s="46"/>
      <c r="G481" s="4"/>
      <c r="H481" s="48" t="s">
        <v>1069</v>
      </c>
      <c r="I481" s="26">
        <v>21</v>
      </c>
      <c r="J481" s="26" t="s">
        <v>736</v>
      </c>
      <c r="K481" t="s">
        <v>238</v>
      </c>
      <c r="L481" t="s">
        <v>184</v>
      </c>
      <c r="N481" t="str">
        <f t="shared" si="100"/>
        <v>s</v>
      </c>
      <c r="Q481" t="str">
        <f t="shared" si="99"/>
        <v/>
      </c>
      <c r="R481" s="26">
        <v>1</v>
      </c>
      <c r="S481">
        <f>IF(A481=1,MAX($S$2:$S480)+1,IF(OR($I481&lt;&gt;"",A481="x"),$S480,""))</f>
        <v>241</v>
      </c>
      <c r="T481" t="str">
        <f>IF(D481=1,MAX($T$2:$T480)+1,IF(S481=S480,$T480,IF(D481="x",T480,IF(D480="x","",""))))</f>
        <v/>
      </c>
      <c r="U481" t="str">
        <f>IF(B481=1,MAX($U$2:$U480)+1,IF(AND($T481&lt;&gt;"",$T481=$T480),$U480,IF(B481="x",U480,"")))</f>
        <v/>
      </c>
      <c r="V481" t="str">
        <f>IF(C481=1,MAX($V$2:$V480)+1,IF(AND($T481&lt;&gt;"",$T481=$T480),$U480,IF(C481="x",V480,"")))</f>
        <v/>
      </c>
      <c r="X481" cm="1">
        <f t="array" ref="X481">IF($I481&lt;&gt;"",$I481,INDEX($I$1:$I481,ROW()-COUNTIFS($T$1:$T481,"="&amp;$T481,$S$1:$S481,"&lt;"&amp;$S481)))</f>
        <v>21</v>
      </c>
      <c r="Z481" s="6">
        <f t="shared" si="93"/>
        <v>1</v>
      </c>
      <c r="AA481">
        <f t="shared" si="94"/>
        <v>1241</v>
      </c>
      <c r="AB481" t="str">
        <f t="shared" si="95"/>
        <v/>
      </c>
      <c r="AC481">
        <f t="shared" si="96"/>
        <v>1241</v>
      </c>
      <c r="AI481" t="str">
        <f t="shared" si="98"/>
        <v>d</v>
      </c>
      <c r="BI481" s="40"/>
      <c r="BL481" s="40"/>
      <c r="BN481" s="19"/>
      <c r="BP481" s="17"/>
    </row>
    <row r="482" spans="1:68" x14ac:dyDescent="0.2">
      <c r="A482" t="str">
        <f t="shared" si="92"/>
        <v/>
      </c>
      <c r="E482" s="4"/>
      <c r="F482" s="46"/>
      <c r="G482" s="4"/>
      <c r="H482" s="48"/>
      <c r="I482" s="26">
        <v>14</v>
      </c>
      <c r="J482" s="26" t="str">
        <f t="shared" si="97"/>
        <v/>
      </c>
      <c r="N482" t="str">
        <f t="shared" si="100"/>
        <v/>
      </c>
      <c r="Q482" t="str">
        <f t="shared" si="99"/>
        <v/>
      </c>
      <c r="R482" s="26">
        <v>1</v>
      </c>
      <c r="S482">
        <f>IF(A482=1,MAX($S$2:$S481)+1,IF(OR($I482&lt;&gt;"",A482="x"),$S481,""))</f>
        <v>241</v>
      </c>
      <c r="T482" t="str">
        <f>IF(D482=1,MAX($T$2:$T481)+1,IF(S482=S481,$T481,IF(D482="x",T481,IF(D481="x","",""))))</f>
        <v/>
      </c>
      <c r="U482" t="str">
        <f>IF(B482=1,MAX($U$2:$U481)+1,IF(AND($T482&lt;&gt;"",$T482=$T481),$U481,IF(B482="x",U481,"")))</f>
        <v/>
      </c>
      <c r="V482" t="str">
        <f>IF(C482=1,MAX($V$2:$V481)+1,IF(AND($T482&lt;&gt;"",$T482=$T481),$U481,IF(C482="x",V481,"")))</f>
        <v/>
      </c>
      <c r="X482" cm="1">
        <f t="array" ref="X482">IF($I482&lt;&gt;"",$I482,INDEX($I$1:$I482,ROW()-COUNTIFS($T$1:$T482,"="&amp;$T482,$S$1:$S482,"&lt;"&amp;$S482)))</f>
        <v>14</v>
      </c>
      <c r="Z482" s="6">
        <f t="shared" si="93"/>
        <v>1</v>
      </c>
      <c r="AA482">
        <f t="shared" si="94"/>
        <v>1241</v>
      </c>
      <c r="AB482" t="str">
        <f t="shared" si="95"/>
        <v/>
      </c>
      <c r="AC482">
        <f t="shared" si="96"/>
        <v>1241</v>
      </c>
      <c r="AI482" t="str">
        <f t="shared" si="98"/>
        <v>d</v>
      </c>
      <c r="BI482" s="40"/>
      <c r="BL482" s="40"/>
      <c r="BN482" s="19"/>
      <c r="BP482" s="17"/>
    </row>
    <row r="483" spans="1:68" x14ac:dyDescent="0.2">
      <c r="A483">
        <f t="shared" si="92"/>
        <v>1</v>
      </c>
      <c r="E483" s="4"/>
      <c r="F483" s="46"/>
      <c r="G483" s="4"/>
      <c r="H483" s="48" t="s">
        <v>1057</v>
      </c>
      <c r="I483" s="26">
        <v>21</v>
      </c>
      <c r="J483" s="26" t="s">
        <v>734</v>
      </c>
      <c r="K483" t="s">
        <v>13</v>
      </c>
      <c r="N483" t="str">
        <f t="shared" si="100"/>
        <v/>
      </c>
      <c r="Q483" t="str">
        <f t="shared" si="99"/>
        <v/>
      </c>
      <c r="S483">
        <f>IF(A483=1,MAX($S$2:$S482)+1,IF(OR($I483&lt;&gt;"",A483="x"),$S482,""))</f>
        <v>242</v>
      </c>
      <c r="T483" t="str">
        <f>IF(D483=1,MAX($T$2:$T482)+1,IF(S483=S482,$T482,IF(D483="x",T482,IF(D482="x","",""))))</f>
        <v/>
      </c>
      <c r="U483" t="str">
        <f>IF(B483=1,MAX($U$2:$U482)+1,IF(AND($T483&lt;&gt;"",$T483=$T482),$U482,IF(B483="x",U482,"")))</f>
        <v/>
      </c>
      <c r="V483" t="str">
        <f>IF(C483=1,MAX($V$2:$V482)+1,IF(AND($T483&lt;&gt;"",$T483=$T482),$U482,IF(C483="x",V482,"")))</f>
        <v/>
      </c>
      <c r="X483" cm="1">
        <f t="array" ref="X483">IF($I483&lt;&gt;"",$I483,INDEX($I$1:$I483,ROW()-COUNTIFS($T$1:$T483,"="&amp;$T483,$S$1:$S483,"&lt;"&amp;$S483)))</f>
        <v>21</v>
      </c>
      <c r="Z483" s="6">
        <f t="shared" si="93"/>
        <v>1</v>
      </c>
      <c r="AA483">
        <f t="shared" si="94"/>
        <v>1242</v>
      </c>
      <c r="AB483" t="str">
        <f t="shared" si="95"/>
        <v/>
      </c>
      <c r="AC483">
        <f t="shared" si="96"/>
        <v>1242</v>
      </c>
      <c r="AI483" t="str">
        <f t="shared" si="98"/>
        <v>n</v>
      </c>
      <c r="BI483" s="40"/>
      <c r="BL483" s="40"/>
      <c r="BN483" s="19"/>
      <c r="BP483" s="17"/>
    </row>
    <row r="484" spans="1:68" x14ac:dyDescent="0.2">
      <c r="A484">
        <f t="shared" si="92"/>
        <v>1</v>
      </c>
      <c r="E484" s="4"/>
      <c r="F484" s="46"/>
      <c r="G484" s="4"/>
      <c r="H484" s="48" t="s">
        <v>748</v>
      </c>
      <c r="I484" s="26">
        <v>21</v>
      </c>
      <c r="J484" s="26" t="str">
        <f t="shared" si="97"/>
        <v>o</v>
      </c>
      <c r="K484" t="s">
        <v>238</v>
      </c>
      <c r="L484" t="s">
        <v>174</v>
      </c>
      <c r="M484" t="s">
        <v>85</v>
      </c>
      <c r="N484" t="str">
        <f t="shared" si="100"/>
        <v>s</v>
      </c>
      <c r="O484" t="s">
        <v>144</v>
      </c>
      <c r="Q484" t="str">
        <f t="shared" si="99"/>
        <v>s</v>
      </c>
      <c r="R484" s="26">
        <v>1</v>
      </c>
      <c r="S484">
        <f>IF(A484=1,MAX($S$2:$S483)+1,IF(OR($I484&lt;&gt;"",A484="x"),$S483,""))</f>
        <v>243</v>
      </c>
      <c r="T484" t="str">
        <f>IF(D484=1,MAX($T$2:$T483)+1,IF(S484=S483,$T483,IF(D484="x",T483,IF(D483="x","",""))))</f>
        <v/>
      </c>
      <c r="U484" t="str">
        <f>IF(B484=1,MAX($U$2:$U483)+1,IF(AND($T484&lt;&gt;"",$T484=$T483),$U483,IF(B484="x",U483,"")))</f>
        <v/>
      </c>
      <c r="V484" t="str">
        <f>IF(C484=1,MAX($V$2:$V483)+1,IF(AND($T484&lt;&gt;"",$T484=$T483),$U483,IF(C484="x",V483,"")))</f>
        <v/>
      </c>
      <c r="X484" cm="1">
        <f t="array" ref="X484">IF($I484&lt;&gt;"",$I484,INDEX($I$1:$I484,ROW()-COUNTIFS($T$1:$T484,"="&amp;$T484,$S$1:$S484,"&lt;"&amp;$S484)))</f>
        <v>21</v>
      </c>
      <c r="Z484" s="6">
        <f t="shared" si="93"/>
        <v>1</v>
      </c>
      <c r="AA484">
        <f t="shared" si="94"/>
        <v>1243</v>
      </c>
      <c r="AB484" t="str">
        <f t="shared" si="95"/>
        <v/>
      </c>
      <c r="AC484">
        <f t="shared" si="96"/>
        <v>1243</v>
      </c>
      <c r="AI484" t="str">
        <f t="shared" si="98"/>
        <v>o</v>
      </c>
      <c r="BI484" s="40"/>
      <c r="BL484" s="40"/>
      <c r="BN484" s="19"/>
      <c r="BP484" s="17"/>
    </row>
    <row r="485" spans="1:68" x14ac:dyDescent="0.2">
      <c r="A485" t="str">
        <f t="shared" si="92"/>
        <v/>
      </c>
      <c r="E485" s="4"/>
      <c r="F485" s="46"/>
      <c r="G485" s="4"/>
      <c r="H485" s="48"/>
      <c r="I485" s="26">
        <v>84</v>
      </c>
      <c r="J485" s="26" t="str">
        <f t="shared" si="97"/>
        <v/>
      </c>
      <c r="N485" t="str">
        <f t="shared" si="100"/>
        <v/>
      </c>
      <c r="Q485" t="str">
        <f t="shared" si="99"/>
        <v/>
      </c>
      <c r="R485" s="26">
        <v>1</v>
      </c>
      <c r="S485">
        <f>IF(A485=1,MAX($S$2:$S484)+1,IF(OR($I485&lt;&gt;"",A485="x"),$S484,""))</f>
        <v>243</v>
      </c>
      <c r="T485" t="str">
        <f>IF(D485=1,MAX($T$2:$T484)+1,IF(S485=S484,$T484,IF(D485="x",T484,IF(D484="x","",""))))</f>
        <v/>
      </c>
      <c r="U485" t="str">
        <f>IF(B485=1,MAX($U$2:$U484)+1,IF(AND($T485&lt;&gt;"",$T485=$T484),$U484,IF(B485="x",U484,"")))</f>
        <v/>
      </c>
      <c r="V485" t="str">
        <f>IF(C485=1,MAX($V$2:$V484)+1,IF(AND($T485&lt;&gt;"",$T485=$T484),$U484,IF(C485="x",V484,"")))</f>
        <v/>
      </c>
      <c r="X485" cm="1">
        <f t="array" ref="X485">IF($I485&lt;&gt;"",$I485,INDEX($I$1:$I485,ROW()-COUNTIFS($T$1:$T485,"="&amp;$T485,$S$1:$S485,"&lt;"&amp;$S485)))</f>
        <v>84</v>
      </c>
      <c r="Z485" s="6">
        <f t="shared" si="93"/>
        <v>1</v>
      </c>
      <c r="AA485">
        <f t="shared" si="94"/>
        <v>1243</v>
      </c>
      <c r="AB485" t="str">
        <f t="shared" si="95"/>
        <v/>
      </c>
      <c r="AC485">
        <f t="shared" si="96"/>
        <v>1243</v>
      </c>
      <c r="AI485" t="str">
        <f t="shared" si="98"/>
        <v>o</v>
      </c>
      <c r="BI485" s="40"/>
      <c r="BL485" s="40"/>
      <c r="BN485" s="19"/>
      <c r="BP485" s="17"/>
    </row>
    <row r="486" spans="1:68" x14ac:dyDescent="0.2">
      <c r="A486">
        <f t="shared" si="92"/>
        <v>1</v>
      </c>
      <c r="E486" s="4"/>
      <c r="F486" s="46"/>
      <c r="G486" s="4"/>
      <c r="H486" s="48"/>
      <c r="I486" s="26">
        <v>21</v>
      </c>
      <c r="J486" s="26" t="s">
        <v>368</v>
      </c>
      <c r="K486" t="s">
        <v>6</v>
      </c>
      <c r="L486" t="s">
        <v>201</v>
      </c>
      <c r="M486" t="s">
        <v>51</v>
      </c>
      <c r="N486" t="str">
        <f t="shared" si="100"/>
        <v>u</v>
      </c>
      <c r="Q486" t="str">
        <f t="shared" si="99"/>
        <v/>
      </c>
      <c r="R486" s="26">
        <v>1</v>
      </c>
      <c r="S486">
        <f>IF(A486=1,MAX($S$2:$S485)+1,IF(OR($I486&lt;&gt;"",A486="x"),$S485,""))</f>
        <v>244</v>
      </c>
      <c r="T486" t="str">
        <f>IF(D486=1,MAX($T$2:$T485)+1,IF(S486=S485,$T485,IF(D486="x",T485,IF(D485="x","",""))))</f>
        <v/>
      </c>
      <c r="U486" t="str">
        <f>IF(B486=1,MAX($U$2:$U485)+1,IF(AND($T486&lt;&gt;"",$T486=$T485),$U485,IF(B486="x",U485,"")))</f>
        <v/>
      </c>
      <c r="V486" t="str">
        <f>IF(C486=1,MAX($V$2:$V485)+1,IF(AND($T486&lt;&gt;"",$T486=$T485),$U485,IF(C486="x",V485,"")))</f>
        <v/>
      </c>
      <c r="X486" cm="1">
        <f t="array" ref="X486">IF($I486&lt;&gt;"",$I486,INDEX($I$1:$I486,ROW()-COUNTIFS($T$1:$T486,"="&amp;$T486,$S$1:$S486,"&lt;"&amp;$S486)))</f>
        <v>21</v>
      </c>
      <c r="Z486" s="6">
        <f t="shared" si="93"/>
        <v>1</v>
      </c>
      <c r="AA486">
        <f t="shared" si="94"/>
        <v>1244</v>
      </c>
      <c r="AB486" t="str">
        <f t="shared" si="95"/>
        <v/>
      </c>
      <c r="AC486">
        <f t="shared" si="96"/>
        <v>1244</v>
      </c>
      <c r="AI486" t="str">
        <f t="shared" si="98"/>
        <v>o</v>
      </c>
      <c r="BI486" s="40"/>
      <c r="BL486" s="40"/>
      <c r="BN486" s="19"/>
      <c r="BP486" s="17"/>
    </row>
    <row r="487" spans="1:68" x14ac:dyDescent="0.2">
      <c r="A487" t="str">
        <f t="shared" si="92"/>
        <v/>
      </c>
      <c r="E487" s="4"/>
      <c r="F487" s="46"/>
      <c r="G487" s="4"/>
      <c r="H487" s="48"/>
      <c r="I487" s="26">
        <v>84</v>
      </c>
      <c r="J487" s="26" t="str">
        <f t="shared" si="97"/>
        <v/>
      </c>
      <c r="N487" t="str">
        <f t="shared" si="100"/>
        <v/>
      </c>
      <c r="O487" t="s">
        <v>567</v>
      </c>
      <c r="Q487" t="str">
        <f t="shared" si="99"/>
        <v/>
      </c>
      <c r="R487" s="26">
        <v>1</v>
      </c>
      <c r="S487">
        <f>IF(A487=1,MAX($S$2:$S486)+1,IF(OR($I487&lt;&gt;"",A487="x"),$S486,""))</f>
        <v>244</v>
      </c>
      <c r="T487" t="str">
        <f>IF(D487=1,MAX($T$2:$T486)+1,IF(S487=S486,$T486,IF(D487="x",T486,IF(D486="x","",""))))</f>
        <v/>
      </c>
      <c r="U487" t="str">
        <f>IF(B487=1,MAX($U$2:$U486)+1,IF(AND($T487&lt;&gt;"",$T487=$T486),$U486,IF(B487="x",U486,"")))</f>
        <v/>
      </c>
      <c r="V487" t="str">
        <f>IF(C487=1,MAX($V$2:$V486)+1,IF(AND($T487&lt;&gt;"",$T487=$T486),$U486,IF(C487="x",V486,"")))</f>
        <v/>
      </c>
      <c r="X487" cm="1">
        <f t="array" ref="X487">IF($I487&lt;&gt;"",$I487,INDEX($I$1:$I487,ROW()-COUNTIFS($T$1:$T487,"="&amp;$T487,$S$1:$S487,"&lt;"&amp;$S487)))</f>
        <v>84</v>
      </c>
      <c r="Z487" s="6">
        <f t="shared" si="93"/>
        <v>1</v>
      </c>
      <c r="AA487">
        <f t="shared" si="94"/>
        <v>1244</v>
      </c>
      <c r="AB487" t="str">
        <f t="shared" si="95"/>
        <v/>
      </c>
      <c r="AC487">
        <f t="shared" si="96"/>
        <v>1244</v>
      </c>
      <c r="AI487" t="str">
        <f t="shared" si="98"/>
        <v>o</v>
      </c>
      <c r="BI487" s="40"/>
      <c r="BL487" s="40"/>
      <c r="BN487" s="19"/>
      <c r="BP487" s="17"/>
    </row>
    <row r="488" spans="1:68" x14ac:dyDescent="0.2">
      <c r="A488" t="str">
        <f t="shared" si="92"/>
        <v/>
      </c>
      <c r="E488" s="4"/>
      <c r="F488" s="46"/>
      <c r="G488" s="4"/>
      <c r="H488" s="48"/>
      <c r="I488" s="26">
        <v>39</v>
      </c>
      <c r="J488" s="26" t="str">
        <f t="shared" si="97"/>
        <v/>
      </c>
      <c r="N488" t="str">
        <f t="shared" si="100"/>
        <v/>
      </c>
      <c r="O488" t="s">
        <v>809</v>
      </c>
      <c r="Q488" t="str">
        <f t="shared" si="99"/>
        <v/>
      </c>
      <c r="S488">
        <f>IF(A488=1,MAX($S$2:$S487)+1,IF(OR($I488&lt;&gt;"",A488="x"),$S487,""))</f>
        <v>244</v>
      </c>
      <c r="T488" t="str">
        <f>IF(D488=1,MAX($T$2:$T487)+1,IF(S488=S487,$T487,IF(D488="x",T487,IF(D487="x","",""))))</f>
        <v/>
      </c>
      <c r="U488" t="str">
        <f>IF(B488=1,MAX($U$2:$U487)+1,IF(AND($T488&lt;&gt;"",$T488=$T487),$U487,IF(B488="x",U487,"")))</f>
        <v/>
      </c>
      <c r="V488" t="str">
        <f>IF(C488=1,MAX($V$2:$V487)+1,IF(AND($T488&lt;&gt;"",$T488=$T487),$U487,IF(C488="x",V487,"")))</f>
        <v/>
      </c>
      <c r="X488" cm="1">
        <f t="array" ref="X488">IF($I488&lt;&gt;"",$I488,INDEX($I$1:$I488,ROW()-COUNTIFS($T$1:$T488,"="&amp;$T488,$S$1:$S488,"&lt;"&amp;$S488)))</f>
        <v>39</v>
      </c>
      <c r="Z488" s="6">
        <f t="shared" si="93"/>
        <v>1</v>
      </c>
      <c r="AA488">
        <f t="shared" si="94"/>
        <v>1244</v>
      </c>
      <c r="AB488" t="str">
        <f t="shared" si="95"/>
        <v/>
      </c>
      <c r="AC488">
        <f t="shared" si="96"/>
        <v>1244</v>
      </c>
      <c r="AI488" t="str">
        <f t="shared" si="98"/>
        <v>o</v>
      </c>
      <c r="BI488" s="40"/>
      <c r="BL488" s="40"/>
      <c r="BN488" s="19"/>
      <c r="BP488" s="17"/>
    </row>
    <row r="489" spans="1:68" x14ac:dyDescent="0.2">
      <c r="A489">
        <f t="shared" si="92"/>
        <v>1</v>
      </c>
      <c r="E489" s="4" t="s">
        <v>1050</v>
      </c>
      <c r="F489" s="46" t="s">
        <v>1028</v>
      </c>
      <c r="G489" s="4" t="s">
        <v>1050</v>
      </c>
      <c r="H489" s="48" t="s">
        <v>1033</v>
      </c>
      <c r="I489" s="26">
        <v>21</v>
      </c>
      <c r="J489" s="26" t="s">
        <v>368</v>
      </c>
      <c r="K489" t="s">
        <v>13</v>
      </c>
      <c r="L489" t="s">
        <v>587</v>
      </c>
      <c r="N489" t="s">
        <v>594</v>
      </c>
      <c r="O489" t="s">
        <v>909</v>
      </c>
      <c r="Q489" t="str">
        <f t="shared" si="99"/>
        <v>u</v>
      </c>
      <c r="S489">
        <f>IF(A489=1,MAX($S$2:$S488)+1,IF(OR($I489&lt;&gt;"",A489="x"),$S488,""))</f>
        <v>245</v>
      </c>
      <c r="T489" t="str">
        <f>IF(D489=1,MAX($T$2:$T488)+1,IF(S489=S488,$T488,IF(D489="x",T488,IF(D488="x","",""))))</f>
        <v/>
      </c>
      <c r="U489" t="str">
        <f>IF(B489=1,MAX($U$2:$U488)+1,IF(AND($T489&lt;&gt;"",$T489=$T488),$U488,IF(B489="x",U488,"")))</f>
        <v/>
      </c>
      <c r="V489" t="str">
        <f>IF(C489=1,MAX($V$2:$V488)+1,IF(AND($T489&lt;&gt;"",$T489=$T488),$U488,IF(C489="x",V488,"")))</f>
        <v/>
      </c>
      <c r="X489" cm="1">
        <f t="array" ref="X489">IF($I489&lt;&gt;"",$I489,INDEX($I$1:$I489,ROW()-COUNTIFS($T$1:$T489,"="&amp;$T489,$S$1:$S489,"&lt;"&amp;$S489)))</f>
        <v>21</v>
      </c>
      <c r="Z489" s="6">
        <f t="shared" si="93"/>
        <v>1</v>
      </c>
      <c r="AA489">
        <f t="shared" si="94"/>
        <v>1245</v>
      </c>
      <c r="AB489" t="str">
        <f t="shared" si="95"/>
        <v/>
      </c>
      <c r="AC489">
        <f t="shared" si="96"/>
        <v>1245</v>
      </c>
      <c r="AI489" t="str">
        <f t="shared" si="98"/>
        <v>o</v>
      </c>
      <c r="BI489" s="40"/>
      <c r="BL489" s="40"/>
      <c r="BN489" s="19"/>
      <c r="BP489" s="17"/>
    </row>
    <row r="490" spans="1:68" x14ac:dyDescent="0.2">
      <c r="A490" t="str">
        <f t="shared" si="92"/>
        <v/>
      </c>
      <c r="E490" s="4"/>
      <c r="F490" s="46"/>
      <c r="G490" s="4"/>
      <c r="H490" s="48"/>
      <c r="I490" s="26">
        <v>75</v>
      </c>
      <c r="J490" s="26" t="str">
        <f t="shared" si="97"/>
        <v/>
      </c>
      <c r="N490" t="str">
        <f t="shared" si="100"/>
        <v/>
      </c>
      <c r="Q490" t="str">
        <f t="shared" si="99"/>
        <v/>
      </c>
      <c r="S490">
        <f>IF(A490=1,MAX($S$2:$S489)+1,IF(OR($I490&lt;&gt;"",A490="x"),$S489,""))</f>
        <v>245</v>
      </c>
      <c r="T490" t="str">
        <f>IF(D490=1,MAX($T$2:$T489)+1,IF(S490=S489,$T489,IF(D490="x",T489,IF(D489="x","",""))))</f>
        <v/>
      </c>
      <c r="U490" t="str">
        <f>IF(B490=1,MAX($U$2:$U489)+1,IF(AND($T490&lt;&gt;"",$T490=$T489),$U489,IF(B490="x",U489,"")))</f>
        <v/>
      </c>
      <c r="V490" t="str">
        <f>IF(C490=1,MAX($V$2:$V489)+1,IF(AND($T490&lt;&gt;"",$T490=$T489),$U489,IF(C490="x",V489,"")))</f>
        <v/>
      </c>
      <c r="X490" cm="1">
        <f t="array" ref="X490">IF($I490&lt;&gt;"",$I490,INDEX($I$1:$I490,ROW()-COUNTIFS($T$1:$T490,"="&amp;$T490,$S$1:$S490,"&lt;"&amp;$S490)))</f>
        <v>75</v>
      </c>
      <c r="Z490" s="6">
        <f t="shared" si="93"/>
        <v>1</v>
      </c>
      <c r="AA490">
        <f t="shared" si="94"/>
        <v>1245</v>
      </c>
      <c r="AB490" t="str">
        <f t="shared" si="95"/>
        <v/>
      </c>
      <c r="AC490">
        <f t="shared" si="96"/>
        <v>1245</v>
      </c>
      <c r="AI490" t="str">
        <f t="shared" si="98"/>
        <v>o</v>
      </c>
      <c r="BI490" s="40"/>
      <c r="BL490" s="40"/>
      <c r="BN490" s="19"/>
      <c r="BP490" s="17"/>
    </row>
    <row r="491" spans="1:68" x14ac:dyDescent="0.2">
      <c r="A491">
        <f t="shared" si="92"/>
        <v>1</v>
      </c>
      <c r="E491" s="4"/>
      <c r="F491" s="46"/>
      <c r="G491" s="4"/>
      <c r="H491" s="48"/>
      <c r="I491" s="26">
        <v>21</v>
      </c>
      <c r="J491" s="26" t="s">
        <v>368</v>
      </c>
      <c r="K491" t="s">
        <v>7</v>
      </c>
      <c r="L491" t="s">
        <v>172</v>
      </c>
      <c r="M491" t="s">
        <v>67</v>
      </c>
      <c r="N491" t="s">
        <v>595</v>
      </c>
      <c r="O491" t="s">
        <v>576</v>
      </c>
      <c r="Q491" t="str">
        <f t="shared" si="99"/>
        <v>s</v>
      </c>
      <c r="R491" s="26">
        <v>1</v>
      </c>
      <c r="S491">
        <f>IF(A491=1,MAX($S$2:$S490)+1,IF(OR($I491&lt;&gt;"",A491="x"),$S490,""))</f>
        <v>246</v>
      </c>
      <c r="T491" t="str">
        <f>IF(D491=1,MAX($T$2:$T490)+1,IF(S491=S490,$T490,IF(D491="x",T490,IF(D490="x","",""))))</f>
        <v/>
      </c>
      <c r="U491" t="str">
        <f>IF(B491=1,MAX($U$2:$U490)+1,IF(AND($T491&lt;&gt;"",$T491=$T490),$U490,IF(B491="x",U490,"")))</f>
        <v/>
      </c>
      <c r="V491" t="str">
        <f>IF(C491=1,MAX($V$2:$V490)+1,IF(AND($T491&lt;&gt;"",$T491=$T490),$U490,IF(C491="x",V490,"")))</f>
        <v/>
      </c>
      <c r="X491" cm="1">
        <f t="array" ref="X491">IF($I491&lt;&gt;"",$I491,INDEX($I$1:$I491,ROW()-COUNTIFS($T$1:$T491,"="&amp;$T491,$S$1:$S491,"&lt;"&amp;$S491)))</f>
        <v>21</v>
      </c>
      <c r="Z491" s="6">
        <f t="shared" si="93"/>
        <v>1</v>
      </c>
      <c r="AA491">
        <f t="shared" si="94"/>
        <v>1246</v>
      </c>
      <c r="AB491" t="str">
        <f t="shared" si="95"/>
        <v/>
      </c>
      <c r="AC491">
        <f t="shared" si="96"/>
        <v>1246</v>
      </c>
      <c r="AI491" t="str">
        <f t="shared" si="98"/>
        <v>o</v>
      </c>
      <c r="BI491" s="40"/>
      <c r="BL491" s="40"/>
      <c r="BN491" s="19"/>
      <c r="BP491" s="17"/>
    </row>
    <row r="492" spans="1:68" x14ac:dyDescent="0.2">
      <c r="A492" t="str">
        <f t="shared" si="92"/>
        <v/>
      </c>
      <c r="E492" s="4"/>
      <c r="F492" s="46"/>
      <c r="G492" s="4"/>
      <c r="H492" s="48"/>
      <c r="I492" s="26">
        <v>16</v>
      </c>
      <c r="J492" s="26" t="str">
        <f t="shared" si="97"/>
        <v/>
      </c>
      <c r="N492" t="str">
        <f t="shared" si="100"/>
        <v/>
      </c>
      <c r="Q492" t="str">
        <f t="shared" si="99"/>
        <v/>
      </c>
      <c r="S492">
        <f>IF(A492=1,MAX($S$2:$S491)+1,IF(OR($I492&lt;&gt;"",A492="x"),$S491,""))</f>
        <v>246</v>
      </c>
      <c r="T492" t="str">
        <f>IF(D492=1,MAX($T$2:$T491)+1,IF(S492=S491,$T491,IF(D492="x",T491,IF(D491="x","",""))))</f>
        <v/>
      </c>
      <c r="U492" t="str">
        <f>IF(B492=1,MAX($U$2:$U491)+1,IF(AND($T492&lt;&gt;"",$T492=$T491),$U491,IF(B492="x",U491,"")))</f>
        <v/>
      </c>
      <c r="V492" t="str">
        <f>IF(C492=1,MAX($V$2:$V491)+1,IF(AND($T492&lt;&gt;"",$T492=$T491),$U491,IF(C492="x",V491,"")))</f>
        <v/>
      </c>
      <c r="X492" cm="1">
        <f t="array" ref="X492">IF($I492&lt;&gt;"",$I492,INDEX($I$1:$I492,ROW()-COUNTIFS($T$1:$T492,"="&amp;$T492,$S$1:$S492,"&lt;"&amp;$S492)))</f>
        <v>16</v>
      </c>
      <c r="Z492" s="6">
        <f t="shared" si="93"/>
        <v>1</v>
      </c>
      <c r="AA492">
        <f t="shared" si="94"/>
        <v>1246</v>
      </c>
      <c r="AB492" t="str">
        <f t="shared" si="95"/>
        <v/>
      </c>
      <c r="AC492">
        <f t="shared" si="96"/>
        <v>1246</v>
      </c>
      <c r="AI492" t="str">
        <f t="shared" si="98"/>
        <v>o</v>
      </c>
      <c r="BI492" s="40"/>
      <c r="BL492" s="40"/>
      <c r="BN492" s="19"/>
      <c r="BP492" s="17"/>
    </row>
    <row r="493" spans="1:68" x14ac:dyDescent="0.2">
      <c r="A493" t="str">
        <f t="shared" si="92"/>
        <v/>
      </c>
      <c r="E493" s="4"/>
      <c r="F493" s="46"/>
      <c r="G493" s="4"/>
      <c r="H493" s="48"/>
      <c r="I493" s="26">
        <v>22</v>
      </c>
      <c r="J493" s="26" t="str">
        <f t="shared" si="97"/>
        <v/>
      </c>
      <c r="N493" t="str">
        <f t="shared" si="100"/>
        <v/>
      </c>
      <c r="Q493" t="str">
        <f t="shared" si="99"/>
        <v/>
      </c>
      <c r="R493" s="26">
        <v>1</v>
      </c>
      <c r="S493">
        <f>IF(A493=1,MAX($S$2:$S492)+1,IF(OR($I493&lt;&gt;"",A493="x"),$S492,""))</f>
        <v>246</v>
      </c>
      <c r="T493" t="str">
        <f>IF(D493=1,MAX($T$2:$T492)+1,IF(S493=S492,$T492,IF(D493="x",T492,IF(D492="x","",""))))</f>
        <v/>
      </c>
      <c r="U493" t="str">
        <f>IF(B493=1,MAX($U$2:$U492)+1,IF(AND($T493&lt;&gt;"",$T493=$T492),$U492,IF(B493="x",U492,"")))</f>
        <v/>
      </c>
      <c r="V493" t="str">
        <f>IF(C493=1,MAX($V$2:$V492)+1,IF(AND($T493&lt;&gt;"",$T493=$T492),$U492,IF(C493="x",V492,"")))</f>
        <v/>
      </c>
      <c r="X493" cm="1">
        <f t="array" ref="X493">IF($I493&lt;&gt;"",$I493,INDEX($I$1:$I493,ROW()-COUNTIFS($T$1:$T493,"="&amp;$T493,$S$1:$S493,"&lt;"&amp;$S493)))</f>
        <v>22</v>
      </c>
      <c r="Z493" s="6">
        <f t="shared" si="93"/>
        <v>1</v>
      </c>
      <c r="AA493">
        <f t="shared" si="94"/>
        <v>1246</v>
      </c>
      <c r="AB493" t="str">
        <f t="shared" si="95"/>
        <v/>
      </c>
      <c r="AC493">
        <f t="shared" si="96"/>
        <v>1246</v>
      </c>
      <c r="AI493" t="str">
        <f t="shared" si="98"/>
        <v>o</v>
      </c>
      <c r="BI493" s="40"/>
      <c r="BL493" s="40"/>
      <c r="BN493" s="19"/>
      <c r="BP493" s="17"/>
    </row>
    <row r="494" spans="1:68" x14ac:dyDescent="0.2">
      <c r="A494">
        <f t="shared" si="92"/>
        <v>1</v>
      </c>
      <c r="E494" s="4"/>
      <c r="F494" s="46" t="s">
        <v>1059</v>
      </c>
      <c r="G494" s="4"/>
      <c r="H494" s="48" t="s">
        <v>1053</v>
      </c>
      <c r="I494" s="26">
        <v>16</v>
      </c>
      <c r="J494" s="26" t="s">
        <v>368</v>
      </c>
      <c r="K494" t="s">
        <v>13</v>
      </c>
      <c r="N494" t="str">
        <f t="shared" si="100"/>
        <v/>
      </c>
      <c r="Q494" t="str">
        <f t="shared" si="99"/>
        <v/>
      </c>
      <c r="R494" s="26">
        <v>1</v>
      </c>
      <c r="S494">
        <f>IF(A494=1,MAX($S$2:$S493)+1,IF(OR($I494&lt;&gt;"",A494="x"),$S493,""))</f>
        <v>247</v>
      </c>
      <c r="T494" t="str">
        <f>IF(D494=1,MAX($T$2:$T493)+1,IF(S494=S493,$T493,IF(D494="x",T493,IF(D493="x","",""))))</f>
        <v/>
      </c>
      <c r="U494" t="str">
        <f>IF(B494=1,MAX($U$2:$U493)+1,IF(AND($T494&lt;&gt;"",$T494=$T493),$U493,IF(B494="x",U493,"")))</f>
        <v/>
      </c>
      <c r="V494" t="str">
        <f>IF(C494=1,MAX($V$2:$V493)+1,IF(AND($T494&lt;&gt;"",$T494=$T493),$U493,IF(C494="x",V493,"")))</f>
        <v/>
      </c>
      <c r="X494" cm="1">
        <f t="array" ref="X494">IF($I494&lt;&gt;"",$I494,INDEX($I$1:$I494,ROW()-COUNTIFS($T$1:$T494,"="&amp;$T494,$S$1:$S494,"&lt;"&amp;$S494)))</f>
        <v>16</v>
      </c>
      <c r="Z494" s="6">
        <f t="shared" si="93"/>
        <v>1</v>
      </c>
      <c r="AA494">
        <f t="shared" si="94"/>
        <v>1247</v>
      </c>
      <c r="AB494" t="str">
        <f t="shared" si="95"/>
        <v/>
      </c>
      <c r="AC494">
        <f t="shared" si="96"/>
        <v>1247</v>
      </c>
      <c r="AI494" t="str">
        <f t="shared" si="98"/>
        <v>o</v>
      </c>
      <c r="BI494" s="40"/>
      <c r="BL494" s="40"/>
      <c r="BN494" s="19"/>
      <c r="BP494" s="17"/>
    </row>
    <row r="495" spans="1:68" x14ac:dyDescent="0.2">
      <c r="A495" t="str">
        <f t="shared" si="92"/>
        <v/>
      </c>
      <c r="E495" s="4"/>
      <c r="F495" s="46"/>
      <c r="G495" s="4"/>
      <c r="H495" s="48"/>
      <c r="I495" s="26">
        <v>22</v>
      </c>
      <c r="N495" t="str">
        <f t="shared" si="100"/>
        <v/>
      </c>
      <c r="Q495" t="str">
        <f t="shared" si="99"/>
        <v/>
      </c>
      <c r="R495" s="26">
        <v>1</v>
      </c>
      <c r="S495">
        <f>IF(A495=1,MAX($S$2:$S494)+1,IF(OR($I495&lt;&gt;"",A495="x"),$S494,""))</f>
        <v>247</v>
      </c>
      <c r="T495" t="str">
        <f>IF(D495=1,MAX($T$2:$T494)+1,IF(S495=S494,$T494,IF(D495="x",T494,IF(D494="x","",""))))</f>
        <v/>
      </c>
      <c r="U495" t="str">
        <f>IF(B495=1,MAX($U$2:$U494)+1,IF(AND($T495&lt;&gt;"",$T495=$T494),$U494,IF(B495="x",U494,"")))</f>
        <v/>
      </c>
      <c r="V495" t="str">
        <f>IF(C495=1,MAX($V$2:$V494)+1,IF(AND($T495&lt;&gt;"",$T495=$T494),$U494,IF(C495="x",V494,"")))</f>
        <v/>
      </c>
      <c r="X495" cm="1">
        <f t="array" ref="X495">IF($I495&lt;&gt;"",$I495,INDEX($I$1:$I495,ROW()-COUNTIFS($T$1:$T495,"="&amp;$T495,$S$1:$S495,"&lt;"&amp;$S495)))</f>
        <v>22</v>
      </c>
      <c r="Z495" s="6">
        <f t="shared" si="93"/>
        <v>1</v>
      </c>
      <c r="AA495">
        <f t="shared" si="94"/>
        <v>1247</v>
      </c>
      <c r="AB495" t="str">
        <f t="shared" si="95"/>
        <v/>
      </c>
      <c r="AC495">
        <f t="shared" si="96"/>
        <v>1247</v>
      </c>
      <c r="AI495" t="str">
        <f t="shared" si="98"/>
        <v>o</v>
      </c>
      <c r="BI495" s="40"/>
      <c r="BL495" s="40"/>
      <c r="BN495" s="19"/>
      <c r="BP495" s="17"/>
    </row>
    <row r="496" spans="1:68" x14ac:dyDescent="0.2">
      <c r="A496">
        <f t="shared" si="92"/>
        <v>1</v>
      </c>
      <c r="E496" s="4"/>
      <c r="F496" s="46"/>
      <c r="G496" s="4"/>
      <c r="H496" s="48"/>
      <c r="I496" s="26">
        <v>22</v>
      </c>
      <c r="J496" s="26" t="s">
        <v>736</v>
      </c>
      <c r="K496" t="s">
        <v>9</v>
      </c>
      <c r="L496" t="s">
        <v>183</v>
      </c>
      <c r="M496" t="s">
        <v>80</v>
      </c>
      <c r="N496" t="str">
        <f t="shared" si="100"/>
        <v/>
      </c>
      <c r="O496" t="s">
        <v>156</v>
      </c>
      <c r="Q496" t="s">
        <v>595</v>
      </c>
      <c r="R496" s="26">
        <v>1</v>
      </c>
      <c r="S496">
        <f>IF(A496=1,MAX($S$2:$S495)+1,IF(OR($I496&lt;&gt;"",A496="x"),$S495,""))</f>
        <v>248</v>
      </c>
      <c r="T496" t="str">
        <f>IF(D496=1,MAX($T$2:$T495)+1,IF(S496=S495,$T495,IF(D496="x",T495,IF(D495="x","",""))))</f>
        <v/>
      </c>
      <c r="U496" t="str">
        <f>IF(B496=1,MAX($U$2:$U495)+1,IF(AND($T496&lt;&gt;"",$T496=$T495),$U495,IF(B496="x",U495,"")))</f>
        <v/>
      </c>
      <c r="V496" t="str">
        <f>IF(C496=1,MAX($V$2:$V495)+1,IF(AND($T496&lt;&gt;"",$T496=$T495),$U495,IF(C496="x",V495,"")))</f>
        <v/>
      </c>
      <c r="X496" cm="1">
        <f t="array" ref="X496">IF($I496&lt;&gt;"",$I496,INDEX($I$1:$I496,ROW()-COUNTIFS($T$1:$T496,"="&amp;$T496,$S$1:$S496,"&lt;"&amp;$S496)))</f>
        <v>22</v>
      </c>
      <c r="Z496" s="6">
        <f t="shared" si="93"/>
        <v>1</v>
      </c>
      <c r="AA496">
        <f t="shared" si="94"/>
        <v>1248</v>
      </c>
      <c r="AB496" t="str">
        <f t="shared" si="95"/>
        <v/>
      </c>
      <c r="AC496">
        <f t="shared" si="96"/>
        <v>1248</v>
      </c>
      <c r="AI496" t="str">
        <f t="shared" si="98"/>
        <v>d</v>
      </c>
      <c r="BI496" s="40"/>
      <c r="BL496" s="40"/>
      <c r="BN496" s="19"/>
      <c r="BP496" s="17"/>
    </row>
    <row r="497" spans="1:68" x14ac:dyDescent="0.2">
      <c r="A497" t="str">
        <f t="shared" si="92"/>
        <v/>
      </c>
      <c r="E497" s="4"/>
      <c r="F497" s="46"/>
      <c r="G497" s="4"/>
      <c r="H497" s="48"/>
      <c r="I497" s="26">
        <v>16</v>
      </c>
      <c r="J497" s="26" t="str">
        <f t="shared" si="97"/>
        <v/>
      </c>
      <c r="N497" t="str">
        <f t="shared" si="100"/>
        <v/>
      </c>
      <c r="O497" t="s">
        <v>785</v>
      </c>
      <c r="Q497" t="str">
        <f t="shared" si="99"/>
        <v>u</v>
      </c>
      <c r="R497" s="26">
        <v>1</v>
      </c>
      <c r="S497">
        <f>IF(A497=1,MAX($S$2:$S496)+1,IF(OR($I497&lt;&gt;"",A497="x"),$S496,""))</f>
        <v>248</v>
      </c>
      <c r="T497" t="str">
        <f>IF(D497=1,MAX($T$2:$T496)+1,IF(S497=S496,$T496,IF(D497="x",T496,IF(D496="x","",""))))</f>
        <v/>
      </c>
      <c r="U497" t="str">
        <f>IF(B497=1,MAX($U$2:$U496)+1,IF(AND($T497&lt;&gt;"",$T497=$T496),$U496,IF(B497="x",U496,"")))</f>
        <v/>
      </c>
      <c r="V497" t="str">
        <f>IF(C497=1,MAX($V$2:$V496)+1,IF(AND($T497&lt;&gt;"",$T497=$T496),$U496,IF(C497="x",V496,"")))</f>
        <v/>
      </c>
      <c r="X497" cm="1">
        <f t="array" ref="X497">IF($I497&lt;&gt;"",$I497,INDEX($I$1:$I497,ROW()-COUNTIFS($T$1:$T497,"="&amp;$T497,$S$1:$S497,"&lt;"&amp;$S497)))</f>
        <v>16</v>
      </c>
      <c r="Z497" s="6">
        <f t="shared" si="93"/>
        <v>1</v>
      </c>
      <c r="AA497">
        <f t="shared" si="94"/>
        <v>1248</v>
      </c>
      <c r="AB497" t="str">
        <f t="shared" si="95"/>
        <v/>
      </c>
      <c r="AC497">
        <f t="shared" si="96"/>
        <v>1248</v>
      </c>
      <c r="AI497" t="str">
        <f t="shared" si="98"/>
        <v>d</v>
      </c>
      <c r="BI497" s="40"/>
      <c r="BL497" s="40"/>
      <c r="BN497" s="19"/>
      <c r="BP497" s="17"/>
    </row>
    <row r="498" spans="1:68" x14ac:dyDescent="0.2">
      <c r="A498">
        <f t="shared" si="92"/>
        <v>1</v>
      </c>
      <c r="E498" s="4"/>
      <c r="F498" s="46"/>
      <c r="G498" s="4"/>
      <c r="H498" s="48" t="s">
        <v>751</v>
      </c>
      <c r="I498" s="26">
        <v>22</v>
      </c>
      <c r="J498" s="26" t="s">
        <v>736</v>
      </c>
      <c r="K498" t="s">
        <v>13</v>
      </c>
      <c r="N498" t="str">
        <f t="shared" si="100"/>
        <v/>
      </c>
      <c r="Q498" t="str">
        <f t="shared" si="99"/>
        <v/>
      </c>
      <c r="R498" s="26">
        <v>1</v>
      </c>
      <c r="S498">
        <f>IF(A498=1,MAX($S$2:$S497)+1,IF(OR($I498&lt;&gt;"",A498="x"),$S497,""))</f>
        <v>249</v>
      </c>
      <c r="T498" t="str">
        <f>IF(D498=1,MAX($T$2:$T497)+1,IF(S498=S497,$T497,IF(D498="x",T497,IF(D497="x","",""))))</f>
        <v/>
      </c>
      <c r="U498" t="str">
        <f>IF(B498=1,MAX($U$2:$U497)+1,IF(AND($T498&lt;&gt;"",$T498=$T497),$U497,IF(B498="x",U497,"")))</f>
        <v/>
      </c>
      <c r="V498" t="str">
        <f>IF(C498=1,MAX($V$2:$V497)+1,IF(AND($T498&lt;&gt;"",$T498=$T497),$U497,IF(C498="x",V497,"")))</f>
        <v/>
      </c>
      <c r="X498" cm="1">
        <f t="array" ref="X498">IF($I498&lt;&gt;"",$I498,INDEX($I$1:$I498,ROW()-COUNTIFS($T$1:$T498,"="&amp;$T498,$S$1:$S498,"&lt;"&amp;$S498)))</f>
        <v>22</v>
      </c>
      <c r="Z498" s="6">
        <f t="shared" si="93"/>
        <v>1</v>
      </c>
      <c r="AA498">
        <f t="shared" si="94"/>
        <v>1249</v>
      </c>
      <c r="AB498" t="str">
        <f t="shared" si="95"/>
        <v/>
      </c>
      <c r="AC498">
        <f t="shared" si="96"/>
        <v>1249</v>
      </c>
      <c r="AI498" t="str">
        <f t="shared" si="98"/>
        <v>d</v>
      </c>
      <c r="BI498" s="40"/>
      <c r="BL498" s="40"/>
      <c r="BN498" s="19"/>
      <c r="BP498" s="17"/>
    </row>
    <row r="499" spans="1:68" x14ac:dyDescent="0.2">
      <c r="A499" t="str">
        <f t="shared" si="92"/>
        <v/>
      </c>
      <c r="E499" s="4"/>
      <c r="F499" s="46"/>
      <c r="G499" s="4"/>
      <c r="H499" s="48"/>
      <c r="I499" s="26">
        <v>12</v>
      </c>
      <c r="J499" s="26" t="str">
        <f t="shared" si="97"/>
        <v/>
      </c>
      <c r="N499" t="str">
        <f t="shared" si="100"/>
        <v/>
      </c>
      <c r="Q499" t="str">
        <f t="shared" si="99"/>
        <v/>
      </c>
      <c r="R499" s="26">
        <v>1</v>
      </c>
      <c r="S499">
        <f>IF(A499=1,MAX($S$2:$S498)+1,IF(OR($I499&lt;&gt;"",A499="x"),$S498,""))</f>
        <v>249</v>
      </c>
      <c r="T499" t="str">
        <f>IF(D499=1,MAX($T$2:$T498)+1,IF(S499=S498,$T498,IF(D499="x",T498,IF(D498="x","",""))))</f>
        <v/>
      </c>
      <c r="U499" t="str">
        <f>IF(B499=1,MAX($U$2:$U498)+1,IF(AND($T499&lt;&gt;"",$T499=$T498),$U498,IF(B499="x",U498,"")))</f>
        <v/>
      </c>
      <c r="V499" t="str">
        <f>IF(C499=1,MAX($V$2:$V498)+1,IF(AND($T499&lt;&gt;"",$T499=$T498),$U498,IF(C499="x",V498,"")))</f>
        <v/>
      </c>
      <c r="X499" cm="1">
        <f t="array" ref="X499">IF($I499&lt;&gt;"",$I499,INDEX($I$1:$I499,ROW()-COUNTIFS($T$1:$T499,"="&amp;$T499,$S$1:$S499,"&lt;"&amp;$S499)))</f>
        <v>12</v>
      </c>
      <c r="Z499" s="6">
        <f t="shared" si="93"/>
        <v>1</v>
      </c>
      <c r="AA499">
        <f t="shared" si="94"/>
        <v>1249</v>
      </c>
      <c r="AB499" t="str">
        <f t="shared" si="95"/>
        <v/>
      </c>
      <c r="AC499">
        <f t="shared" si="96"/>
        <v>1249</v>
      </c>
      <c r="AI499" t="str">
        <f t="shared" si="98"/>
        <v>d</v>
      </c>
      <c r="BI499" s="40"/>
      <c r="BL499" s="40"/>
      <c r="BN499" s="19"/>
      <c r="BP499" s="17"/>
    </row>
    <row r="500" spans="1:68" x14ac:dyDescent="0.2">
      <c r="A500">
        <f t="shared" si="92"/>
        <v>1</v>
      </c>
      <c r="E500" s="4"/>
      <c r="F500" s="46"/>
      <c r="G500" s="4"/>
      <c r="H500" s="48"/>
      <c r="I500" s="26">
        <v>22</v>
      </c>
      <c r="J500" s="26" t="s">
        <v>736</v>
      </c>
      <c r="K500" t="s">
        <v>7</v>
      </c>
      <c r="L500" t="s">
        <v>172</v>
      </c>
      <c r="M500" t="s">
        <v>68</v>
      </c>
      <c r="N500" t="str">
        <f t="shared" si="100"/>
        <v>s</v>
      </c>
      <c r="Q500" t="str">
        <f t="shared" si="99"/>
        <v/>
      </c>
      <c r="R500" s="26">
        <v>1</v>
      </c>
      <c r="S500">
        <f>IF(A500=1,MAX($S$2:$S499)+1,IF(OR($I500&lt;&gt;"",A500="x"),$S499,""))</f>
        <v>250</v>
      </c>
      <c r="T500" t="str">
        <f>IF(D500=1,MAX($T$2:$T499)+1,IF(S500=S499,$T499,IF(D500="x",T499,IF(D499="x","",""))))</f>
        <v/>
      </c>
      <c r="U500" t="str">
        <f>IF(B500=1,MAX($U$2:$U499)+1,IF(AND($T500&lt;&gt;"",$T500=$T499),$U499,IF(B500="x",U499,"")))</f>
        <v/>
      </c>
      <c r="V500" t="str">
        <f>IF(C500=1,MAX($V$2:$V499)+1,IF(AND($T500&lt;&gt;"",$T500=$T499),$U499,IF(C500="x",V499,"")))</f>
        <v/>
      </c>
      <c r="X500" cm="1">
        <f t="array" ref="X500">IF($I500&lt;&gt;"",$I500,INDEX($I$1:$I500,ROW()-COUNTIFS($T$1:$T500,"="&amp;$T500,$S$1:$S500,"&lt;"&amp;$S500)))</f>
        <v>22</v>
      </c>
      <c r="Z500" s="6">
        <f t="shared" si="93"/>
        <v>1</v>
      </c>
      <c r="AA500">
        <f t="shared" si="94"/>
        <v>1250</v>
      </c>
      <c r="AB500" t="str">
        <f t="shared" si="95"/>
        <v/>
      </c>
      <c r="AC500">
        <f t="shared" si="96"/>
        <v>1250</v>
      </c>
      <c r="AI500" t="str">
        <f t="shared" si="98"/>
        <v>d</v>
      </c>
      <c r="BI500" s="40"/>
      <c r="BL500" s="40"/>
      <c r="BN500" s="19"/>
      <c r="BP500" s="17"/>
    </row>
    <row r="501" spans="1:68" x14ac:dyDescent="0.2">
      <c r="A501" t="str">
        <f t="shared" si="92"/>
        <v/>
      </c>
      <c r="E501" s="4"/>
      <c r="F501" s="46"/>
      <c r="G501" s="4"/>
      <c r="H501" s="48"/>
      <c r="I501" s="26">
        <v>14</v>
      </c>
      <c r="J501" s="26" t="str">
        <f t="shared" si="97"/>
        <v/>
      </c>
      <c r="N501" t="str">
        <f t="shared" si="100"/>
        <v/>
      </c>
      <c r="Q501" t="str">
        <f t="shared" si="99"/>
        <v/>
      </c>
      <c r="S501">
        <f>IF(A501=1,MAX($S$2:$S500)+1,IF(OR($I501&lt;&gt;"",A501="x"),$S500,""))</f>
        <v>250</v>
      </c>
      <c r="T501" t="str">
        <f>IF(D501=1,MAX($T$2:$T500)+1,IF(S501=S500,$T500,IF(D501="x",T500,IF(D500="x","",""))))</f>
        <v/>
      </c>
      <c r="U501" t="str">
        <f>IF(B501=1,MAX($U$2:$U500)+1,IF(AND($T501&lt;&gt;"",$T501=$T500),$U500,IF(B501="x",U500,"")))</f>
        <v/>
      </c>
      <c r="V501" t="str">
        <f>IF(C501=1,MAX($V$2:$V500)+1,IF(AND($T501&lt;&gt;"",$T501=$T500),$U500,IF(C501="x",V500,"")))</f>
        <v/>
      </c>
      <c r="X501" cm="1">
        <f t="array" ref="X501">IF($I501&lt;&gt;"",$I501,INDEX($I$1:$I501,ROW()-COUNTIFS($T$1:$T501,"="&amp;$T501,$S$1:$S501,"&lt;"&amp;$S501)))</f>
        <v>14</v>
      </c>
      <c r="Z501" s="6">
        <f t="shared" si="93"/>
        <v>1</v>
      </c>
      <c r="AA501">
        <f t="shared" si="94"/>
        <v>1250</v>
      </c>
      <c r="AB501" t="str">
        <f t="shared" si="95"/>
        <v/>
      </c>
      <c r="AC501">
        <f t="shared" si="96"/>
        <v>1250</v>
      </c>
      <c r="AI501" t="str">
        <f t="shared" si="98"/>
        <v>d</v>
      </c>
      <c r="BI501" s="40"/>
      <c r="BL501" s="40"/>
      <c r="BN501" s="19"/>
      <c r="BP501" s="17"/>
    </row>
    <row r="502" spans="1:68" x14ac:dyDescent="0.2">
      <c r="A502" t="str">
        <f t="shared" si="92"/>
        <v/>
      </c>
      <c r="E502" s="4"/>
      <c r="F502" s="46"/>
      <c r="G502" s="4"/>
      <c r="H502" s="48"/>
      <c r="I502" s="26">
        <v>12</v>
      </c>
      <c r="J502" s="26" t="str">
        <f t="shared" si="97"/>
        <v/>
      </c>
      <c r="N502" t="str">
        <f t="shared" si="100"/>
        <v/>
      </c>
      <c r="Q502" t="str">
        <f t="shared" si="99"/>
        <v/>
      </c>
      <c r="R502" s="26">
        <v>1</v>
      </c>
      <c r="S502">
        <f>IF(A502=1,MAX($S$2:$S501)+1,IF(OR($I502&lt;&gt;"",A502="x"),$S501,""))</f>
        <v>250</v>
      </c>
      <c r="T502" t="str">
        <f>IF(D502=1,MAX($T$2:$T501)+1,IF(S502=S501,$T501,IF(D502="x",T501,IF(D501="x","",""))))</f>
        <v/>
      </c>
      <c r="U502" t="str">
        <f>IF(B502=1,MAX($U$2:$U501)+1,IF(AND($T502&lt;&gt;"",$T502=$T501),$U501,IF(B502="x",U501,"")))</f>
        <v/>
      </c>
      <c r="V502" t="str">
        <f>IF(C502=1,MAX($V$2:$V501)+1,IF(AND($T502&lt;&gt;"",$T502=$T501),$U501,IF(C502="x",V501,"")))</f>
        <v/>
      </c>
      <c r="X502" cm="1">
        <f t="array" ref="X502">IF($I502&lt;&gt;"",$I502,INDEX($I$1:$I502,ROW()-COUNTIFS($T$1:$T502,"="&amp;$T502,$S$1:$S502,"&lt;"&amp;$S502)))</f>
        <v>12</v>
      </c>
      <c r="Z502" s="6">
        <f t="shared" si="93"/>
        <v>1</v>
      </c>
      <c r="AA502">
        <f t="shared" si="94"/>
        <v>1250</v>
      </c>
      <c r="AB502" t="str">
        <f t="shared" si="95"/>
        <v/>
      </c>
      <c r="AC502">
        <f t="shared" si="96"/>
        <v>1250</v>
      </c>
      <c r="AI502" t="str">
        <f t="shared" si="98"/>
        <v>d</v>
      </c>
      <c r="BI502" s="40"/>
      <c r="BL502" s="40"/>
      <c r="BN502" s="19"/>
      <c r="BP502" s="17"/>
    </row>
    <row r="503" spans="1:68" x14ac:dyDescent="0.2">
      <c r="A503">
        <f t="shared" si="92"/>
        <v>1</v>
      </c>
      <c r="E503" s="4"/>
      <c r="F503" s="46" t="s">
        <v>1032</v>
      </c>
      <c r="G503" s="4"/>
      <c r="H503" s="48"/>
      <c r="I503" s="26">
        <v>14</v>
      </c>
      <c r="J503" s="26" t="s">
        <v>736</v>
      </c>
      <c r="K503" t="s">
        <v>11</v>
      </c>
      <c r="L503" t="s">
        <v>187</v>
      </c>
      <c r="M503" t="s">
        <v>106</v>
      </c>
      <c r="Q503" t="str">
        <f t="shared" si="99"/>
        <v/>
      </c>
      <c r="S503">
        <f>IF(A503=1,MAX($S$2:$S502)+1,IF(OR($I503&lt;&gt;"",A503="x"),$S502,""))</f>
        <v>251</v>
      </c>
      <c r="T503" t="str">
        <f>IF(D503=1,MAX($T$2:$T502)+1,IF(S503=S502,$T502,IF(D503="x",T502,IF(D502="x","",""))))</f>
        <v/>
      </c>
      <c r="U503" t="str">
        <f>IF(B503=1,MAX($U$2:$U502)+1,IF(AND($T503&lt;&gt;"",$T503=$T502),$U502,IF(B503="x",U502,"")))</f>
        <v/>
      </c>
      <c r="V503" t="str">
        <f>IF(C503=1,MAX($V$2:$V502)+1,IF(AND($T503&lt;&gt;"",$T503=$T502),$U502,IF(C503="x",V502,"")))</f>
        <v/>
      </c>
      <c r="X503" cm="1">
        <f t="array" ref="X503">IF($I503&lt;&gt;"",$I503,INDEX($I$1:$I503,ROW()-COUNTIFS($T$1:$T503,"="&amp;$T503,$S$1:$S503,"&lt;"&amp;$S503)))</f>
        <v>14</v>
      </c>
      <c r="Z503" s="6">
        <f t="shared" si="93"/>
        <v>1</v>
      </c>
      <c r="AA503">
        <f t="shared" si="94"/>
        <v>1251</v>
      </c>
      <c r="AB503" t="str">
        <f t="shared" si="95"/>
        <v/>
      </c>
      <c r="AC503">
        <f t="shared" si="96"/>
        <v>1251</v>
      </c>
      <c r="AI503" t="str">
        <f t="shared" si="98"/>
        <v>d</v>
      </c>
      <c r="BI503" s="40"/>
      <c r="BL503" s="40"/>
      <c r="BN503" s="19"/>
      <c r="BP503" s="17"/>
    </row>
    <row r="504" spans="1:68" x14ac:dyDescent="0.2">
      <c r="A504">
        <f t="shared" si="92"/>
        <v>1</v>
      </c>
      <c r="E504" s="4"/>
      <c r="F504" s="46"/>
      <c r="G504" s="4"/>
      <c r="H504" s="48" t="s">
        <v>1055</v>
      </c>
      <c r="I504" s="26">
        <v>14</v>
      </c>
      <c r="J504" s="26" t="s">
        <v>736</v>
      </c>
      <c r="K504" t="s">
        <v>241</v>
      </c>
      <c r="N504" t="str">
        <f t="shared" si="100"/>
        <v/>
      </c>
      <c r="Q504" t="str">
        <f t="shared" si="99"/>
        <v/>
      </c>
      <c r="S504">
        <f>IF(A504=1,MAX($S$2:$S503)+1,IF(OR($I504&lt;&gt;"",A504="x"),$S503,""))</f>
        <v>252</v>
      </c>
      <c r="T504" t="str">
        <f>IF(D504=1,MAX($T$2:$T503)+1,IF(S504=S503,$T503,IF(D504="x",T503,IF(D503="x","",""))))</f>
        <v/>
      </c>
      <c r="U504" t="str">
        <f>IF(B504=1,MAX($U$2:$U503)+1,IF(AND($T504&lt;&gt;"",$T504=$T503),$U503,IF(B504="x",U503,"")))</f>
        <v/>
      </c>
      <c r="V504" t="str">
        <f>IF(C504=1,MAX($V$2:$V503)+1,IF(AND($T504&lt;&gt;"",$T504=$T503),$U503,IF(C504="x",V503,"")))</f>
        <v/>
      </c>
      <c r="X504" cm="1">
        <f t="array" ref="X504">IF($I504&lt;&gt;"",$I504,INDEX($I$1:$I504,ROW()-COUNTIFS($T$1:$T504,"="&amp;$T504,$S$1:$S504,"&lt;"&amp;$S504)))</f>
        <v>14</v>
      </c>
      <c r="Z504" s="6">
        <f t="shared" si="93"/>
        <v>1</v>
      </c>
      <c r="AA504">
        <f t="shared" si="94"/>
        <v>1252</v>
      </c>
      <c r="AB504" t="str">
        <f t="shared" si="95"/>
        <v/>
      </c>
      <c r="AC504">
        <f t="shared" si="96"/>
        <v>1252</v>
      </c>
      <c r="AI504" t="str">
        <f t="shared" si="98"/>
        <v>d</v>
      </c>
      <c r="BI504" s="40"/>
      <c r="BL504" s="40"/>
      <c r="BN504" s="19"/>
      <c r="BP504" s="17"/>
    </row>
    <row r="505" spans="1:68" x14ac:dyDescent="0.2">
      <c r="A505">
        <f t="shared" si="92"/>
        <v>1</v>
      </c>
      <c r="E505" s="4"/>
      <c r="F505" s="46"/>
      <c r="G505" s="4"/>
      <c r="H505" s="48"/>
      <c r="I505" s="26">
        <v>70</v>
      </c>
      <c r="J505" s="26" t="s">
        <v>736</v>
      </c>
      <c r="K505" t="s">
        <v>5</v>
      </c>
      <c r="L505" t="s">
        <v>236</v>
      </c>
      <c r="N505" t="str">
        <f t="shared" si="100"/>
        <v/>
      </c>
      <c r="Q505" t="str">
        <f t="shared" si="99"/>
        <v/>
      </c>
      <c r="S505">
        <f>IF(A505=1,MAX($S$2:$S504)+1,IF(OR($I505&lt;&gt;"",A505="x"),$S504,""))</f>
        <v>253</v>
      </c>
      <c r="T505" t="str">
        <f>IF(D505=1,MAX($T$2:$T504)+1,IF(S505=S504,$T504,IF(D505="x",T504,IF(D504="x","",""))))</f>
        <v/>
      </c>
      <c r="U505" t="str">
        <f>IF(B505=1,MAX($U$2:$U504)+1,IF(AND($T505&lt;&gt;"",$T505=$T504),$U504,IF(B505="x",U504,"")))</f>
        <v/>
      </c>
      <c r="V505" t="str">
        <f>IF(C505=1,MAX($V$2:$V504)+1,IF(AND($T505&lt;&gt;"",$T505=$T504),$U504,IF(C505="x",V504,"")))</f>
        <v/>
      </c>
      <c r="X505" cm="1">
        <f t="array" ref="X505">IF($I505&lt;&gt;"",$I505,INDEX($I$1:$I505,ROW()-COUNTIFS($T$1:$T505,"="&amp;$T505,$S$1:$S505,"&lt;"&amp;$S505)))</f>
        <v>70</v>
      </c>
      <c r="Z505" s="6">
        <f t="shared" si="93"/>
        <v>1</v>
      </c>
      <c r="AA505">
        <f t="shared" si="94"/>
        <v>1253</v>
      </c>
      <c r="AB505" t="str">
        <f t="shared" si="95"/>
        <v/>
      </c>
      <c r="AC505">
        <f t="shared" si="96"/>
        <v>1253</v>
      </c>
      <c r="AI505" t="str">
        <f t="shared" si="98"/>
        <v>d</v>
      </c>
      <c r="BI505" s="40"/>
      <c r="BL505" s="40"/>
      <c r="BN505" s="19"/>
      <c r="BP505" s="17"/>
    </row>
    <row r="506" spans="1:68" x14ac:dyDescent="0.2">
      <c r="A506" t="str">
        <f t="shared" si="92"/>
        <v/>
      </c>
      <c r="E506" s="4"/>
      <c r="F506" s="46"/>
      <c r="G506" s="4"/>
      <c r="H506" s="48"/>
      <c r="I506" s="26">
        <v>21</v>
      </c>
      <c r="J506" s="26" t="str">
        <f t="shared" si="97"/>
        <v/>
      </c>
      <c r="N506" t="str">
        <f t="shared" si="100"/>
        <v/>
      </c>
      <c r="Q506" t="str">
        <f t="shared" si="99"/>
        <v/>
      </c>
      <c r="S506">
        <f>IF(A506=1,MAX($S$2:$S505)+1,IF(OR($I506&lt;&gt;"",A506="x"),$S505,""))</f>
        <v>253</v>
      </c>
      <c r="T506" t="str">
        <f>IF(D506=1,MAX($T$2:$T505)+1,IF(S506=S505,$T505,IF(D506="x",T505,IF(D505="x","",""))))</f>
        <v/>
      </c>
      <c r="U506" t="str">
        <f>IF(B506=1,MAX($U$2:$U505)+1,IF(AND($T506&lt;&gt;"",$T506=$T505),$U505,IF(B506="x",U505,"")))</f>
        <v/>
      </c>
      <c r="V506" t="str">
        <f>IF(C506=1,MAX($V$2:$V505)+1,IF(AND($T506&lt;&gt;"",$T506=$T505),$U505,IF(C506="x",V505,"")))</f>
        <v/>
      </c>
      <c r="X506" cm="1">
        <f t="array" ref="X506">IF($I506&lt;&gt;"",$I506,INDEX($I$1:$I506,ROW()-COUNTIFS($T$1:$T506,"="&amp;$T506,$S$1:$S506,"&lt;"&amp;$S506)))</f>
        <v>21</v>
      </c>
      <c r="Z506" s="6">
        <f t="shared" si="93"/>
        <v>1</v>
      </c>
      <c r="AA506">
        <f t="shared" si="94"/>
        <v>1253</v>
      </c>
      <c r="AB506" t="str">
        <f t="shared" si="95"/>
        <v/>
      </c>
      <c r="AC506">
        <f t="shared" si="96"/>
        <v>1253</v>
      </c>
      <c r="AI506" t="str">
        <f t="shared" si="98"/>
        <v>d</v>
      </c>
      <c r="BI506" s="40"/>
      <c r="BL506" s="40"/>
      <c r="BN506" s="19"/>
      <c r="BP506" s="17"/>
    </row>
    <row r="507" spans="1:68" x14ac:dyDescent="0.2">
      <c r="A507">
        <f t="shared" si="92"/>
        <v>1</v>
      </c>
      <c r="E507" s="4"/>
      <c r="F507" s="46" t="s">
        <v>741</v>
      </c>
      <c r="G507" s="4"/>
      <c r="H507" s="48" t="s">
        <v>743</v>
      </c>
      <c r="I507" s="26">
        <v>69</v>
      </c>
      <c r="J507" s="26" t="s">
        <v>368</v>
      </c>
      <c r="K507" t="s">
        <v>13</v>
      </c>
      <c r="L507" t="s">
        <v>586</v>
      </c>
      <c r="N507" t="s">
        <v>594</v>
      </c>
      <c r="O507" t="s">
        <v>905</v>
      </c>
      <c r="Q507" t="str">
        <f t="shared" si="99"/>
        <v>u</v>
      </c>
      <c r="R507" s="26">
        <v>1</v>
      </c>
      <c r="S507">
        <f>IF(A507=1,MAX($S$2:$S506)+1,IF(OR($I507&lt;&gt;"",A507="x"),$S506,""))</f>
        <v>254</v>
      </c>
      <c r="T507" t="str">
        <f>IF(D507=1,MAX($T$2:$T506)+1,IF(S507=S506,$T506,IF(D507="x",T506,IF(D506="x","",""))))</f>
        <v/>
      </c>
      <c r="U507" t="str">
        <f>IF(B507=1,MAX($U$2:$U506)+1,IF(AND($T507&lt;&gt;"",$T507=$T506),$U506,IF(B507="x",U506,"")))</f>
        <v/>
      </c>
      <c r="V507" t="str">
        <f>IF(C507=1,MAX($V$2:$V506)+1,IF(AND($T507&lt;&gt;"",$T507=$T506),$U506,IF(C507="x",V506,"")))</f>
        <v/>
      </c>
      <c r="X507" cm="1">
        <f t="array" ref="X507">IF($I507&lt;&gt;"",$I507,INDEX($I$1:$I507,ROW()-COUNTIFS($T$1:$T507,"="&amp;$T507,$S$1:$S507,"&lt;"&amp;$S507)))</f>
        <v>69</v>
      </c>
      <c r="Z507" s="6">
        <f t="shared" si="93"/>
        <v>1</v>
      </c>
      <c r="AA507">
        <f t="shared" si="94"/>
        <v>1254</v>
      </c>
      <c r="AB507" t="str">
        <f t="shared" si="95"/>
        <v/>
      </c>
      <c r="AC507">
        <f t="shared" si="96"/>
        <v>1254</v>
      </c>
      <c r="AI507" t="str">
        <f t="shared" si="98"/>
        <v>o</v>
      </c>
      <c r="BI507" s="40"/>
      <c r="BL507" s="40"/>
      <c r="BN507" s="19"/>
      <c r="BP507" s="17"/>
    </row>
    <row r="508" spans="1:68" x14ac:dyDescent="0.2">
      <c r="A508" t="str">
        <f t="shared" si="92"/>
        <v/>
      </c>
      <c r="E508" s="4"/>
      <c r="F508" s="46"/>
      <c r="G508" s="4"/>
      <c r="H508" s="48"/>
      <c r="I508" s="26">
        <v>70</v>
      </c>
      <c r="J508" s="26" t="str">
        <f t="shared" si="97"/>
        <v/>
      </c>
      <c r="N508" s="39" t="s">
        <v>756</v>
      </c>
      <c r="Q508" t="str">
        <f t="shared" si="99"/>
        <v/>
      </c>
      <c r="R508" s="26">
        <v>1</v>
      </c>
      <c r="S508">
        <f>IF(A508=1,MAX($S$2:$S507)+1,IF(OR($I508&lt;&gt;"",A508="x"),$S507,""))</f>
        <v>254</v>
      </c>
      <c r="T508" t="str">
        <f>IF(D508=1,MAX($T$2:$T507)+1,IF(S508=S507,$T507,IF(D508="x",T507,IF(D507="x","",""))))</f>
        <v/>
      </c>
      <c r="U508" t="str">
        <f>IF(B508=1,MAX($U$2:$U507)+1,IF(AND($T508&lt;&gt;"",$T508=$T507),$U507,IF(B508="x",U507,"")))</f>
        <v/>
      </c>
      <c r="V508" t="str">
        <f>IF(C508=1,MAX($V$2:$V507)+1,IF(AND($T508&lt;&gt;"",$T508=$T507),$U507,IF(C508="x",V507,"")))</f>
        <v/>
      </c>
      <c r="X508" cm="1">
        <f t="array" ref="X508">IF($I508&lt;&gt;"",$I508,INDEX($I$1:$I508,ROW()-COUNTIFS($T$1:$T508,"="&amp;$T508,$S$1:$S508,"&lt;"&amp;$S508)))</f>
        <v>70</v>
      </c>
      <c r="Z508" s="6">
        <f t="shared" si="93"/>
        <v>1</v>
      </c>
      <c r="AA508">
        <f t="shared" si="94"/>
        <v>1254</v>
      </c>
      <c r="AB508" t="str">
        <f t="shared" si="95"/>
        <v/>
      </c>
      <c r="AC508">
        <f t="shared" si="96"/>
        <v>1254</v>
      </c>
      <c r="AI508" t="str">
        <f t="shared" si="98"/>
        <v>o</v>
      </c>
      <c r="BI508" s="40"/>
      <c r="BL508" s="40"/>
      <c r="BN508" s="19"/>
      <c r="BP508" s="17"/>
    </row>
    <row r="509" spans="1:68" x14ac:dyDescent="0.2">
      <c r="A509" t="str">
        <f t="shared" si="92"/>
        <v/>
      </c>
      <c r="E509" s="4"/>
      <c r="F509" s="46"/>
      <c r="G509" s="4"/>
      <c r="H509" s="48"/>
      <c r="I509" s="26">
        <v>91</v>
      </c>
      <c r="J509" s="26" t="str">
        <f t="shared" si="97"/>
        <v/>
      </c>
      <c r="N509" t="str">
        <f t="shared" si="100"/>
        <v/>
      </c>
      <c r="Q509" t="str">
        <f t="shared" si="99"/>
        <v/>
      </c>
      <c r="R509" s="26">
        <v>1</v>
      </c>
      <c r="S509">
        <f>IF(A509=1,MAX($S$2:$S508)+1,IF(OR($I509&lt;&gt;"",A509="x"),$S508,""))</f>
        <v>254</v>
      </c>
      <c r="T509" t="str">
        <f>IF(D509=1,MAX($T$2:$T508)+1,IF(S509=S508,$T508,IF(D509="x",T508,IF(D508="x","",""))))</f>
        <v/>
      </c>
      <c r="U509" t="str">
        <f>IF(B509=1,MAX($U$2:$U508)+1,IF(AND($T509&lt;&gt;"",$T509=$T508),$U508,IF(B509="x",U508,"")))</f>
        <v/>
      </c>
      <c r="V509" t="str">
        <f>IF(C509=1,MAX($V$2:$V508)+1,IF(AND($T509&lt;&gt;"",$T509=$T508),$U508,IF(C509="x",V508,"")))</f>
        <v/>
      </c>
      <c r="X509" cm="1">
        <f t="array" ref="X509">IF($I509&lt;&gt;"",$I509,INDEX($I$1:$I509,ROW()-COUNTIFS($T$1:$T509,"="&amp;$T509,$S$1:$S509,"&lt;"&amp;$S509)))</f>
        <v>91</v>
      </c>
      <c r="Z509" s="6">
        <f t="shared" si="93"/>
        <v>1</v>
      </c>
      <c r="AA509">
        <f t="shared" si="94"/>
        <v>1254</v>
      </c>
      <c r="AB509" t="str">
        <f t="shared" si="95"/>
        <v/>
      </c>
      <c r="AC509">
        <f t="shared" si="96"/>
        <v>1254</v>
      </c>
      <c r="AI509" t="str">
        <f t="shared" si="98"/>
        <v>o</v>
      </c>
      <c r="BI509" s="40"/>
      <c r="BL509" s="40"/>
      <c r="BN509" s="19"/>
      <c r="BP509" s="17"/>
    </row>
    <row r="510" spans="1:68" x14ac:dyDescent="0.2">
      <c r="A510">
        <f t="shared" si="92"/>
        <v>1</v>
      </c>
      <c r="D510" s="26">
        <v>1</v>
      </c>
      <c r="E510" s="4"/>
      <c r="F510" s="46"/>
      <c r="G510" s="4"/>
      <c r="H510" s="48"/>
      <c r="I510" s="26">
        <v>69</v>
      </c>
      <c r="J510" s="26" t="s">
        <v>368</v>
      </c>
      <c r="K510" t="s">
        <v>7</v>
      </c>
      <c r="L510" t="s">
        <v>192</v>
      </c>
      <c r="M510" t="s">
        <v>68</v>
      </c>
      <c r="N510" t="str">
        <f t="shared" si="100"/>
        <v>u</v>
      </c>
      <c r="Q510" t="str">
        <f t="shared" si="99"/>
        <v/>
      </c>
      <c r="R510" s="26">
        <v>1</v>
      </c>
      <c r="S510">
        <f>IF(A510=1,MAX($S$2:$S509)+1,IF(OR($I510&lt;&gt;"",A510="x"),$S509,""))</f>
        <v>255</v>
      </c>
      <c r="T510">
        <f>IF(D510=1,MAX($T$2:$T509)+1,IF(S510=S509,$T509,IF(D510="x",T509,IF(D509="x","",""))))</f>
        <v>32</v>
      </c>
      <c r="U510" t="str">
        <f>IF(B510=1,MAX($U$2:$U509)+1,IF(AND($T510&lt;&gt;"",$T510=$T509),$U509,IF(B510="x",U509,"")))</f>
        <v/>
      </c>
      <c r="V510" t="str">
        <f>IF(C510=1,MAX($V$2:$V509)+1,IF(AND($T510&lt;&gt;"",$T510=$T509),$U509,IF(C510="x",V509,"")))</f>
        <v/>
      </c>
      <c r="X510" cm="1">
        <f t="array" ref="X510">IF($I510&lt;&gt;"",$I510,INDEX($I$1:$I510,ROW()-COUNTIFS($T$1:$T510,"="&amp;$T510,$S$1:$S510,"&lt;"&amp;$S510)))</f>
        <v>69</v>
      </c>
      <c r="Z510" s="6">
        <f t="shared" si="93"/>
        <v>1</v>
      </c>
      <c r="AA510">
        <f t="shared" si="94"/>
        <v>1255</v>
      </c>
      <c r="AB510">
        <f t="shared" si="95"/>
        <v>9032</v>
      </c>
      <c r="AC510">
        <f t="shared" si="96"/>
        <v>9032</v>
      </c>
      <c r="AI510" t="str">
        <f t="shared" si="98"/>
        <v>o</v>
      </c>
      <c r="BI510" s="40"/>
      <c r="BL510" s="40"/>
      <c r="BN510" s="19"/>
      <c r="BP510" s="17"/>
    </row>
    <row r="511" spans="1:68" x14ac:dyDescent="0.2">
      <c r="A511" t="str">
        <f t="shared" si="92"/>
        <v>x</v>
      </c>
      <c r="D511" s="26" t="s">
        <v>729</v>
      </c>
      <c r="E511" s="4"/>
      <c r="F511" s="46"/>
      <c r="G511" s="4"/>
      <c r="H511" s="48"/>
      <c r="I511" s="26">
        <v>90</v>
      </c>
      <c r="J511" s="26" t="str">
        <f t="shared" si="97"/>
        <v/>
      </c>
      <c r="N511" t="str">
        <f t="shared" si="100"/>
        <v/>
      </c>
      <c r="Q511" t="str">
        <f t="shared" si="99"/>
        <v/>
      </c>
      <c r="S511">
        <f>IF(A511=1,MAX($S$2:$S510)+1,IF(OR($I511&lt;&gt;"",A511="x"),$S510,""))</f>
        <v>255</v>
      </c>
      <c r="T511">
        <f>IF(D511=1,MAX($T$2:$T510)+1,IF(S511=S510,$T510,IF(D511="x",T510,IF(D510="x","",""))))</f>
        <v>32</v>
      </c>
      <c r="U511" t="str">
        <f>IF(B511=1,MAX($U$2:$U510)+1,IF(AND($T511&lt;&gt;"",$T511=$T510),$U510,IF(B511="x",U510,"")))</f>
        <v/>
      </c>
      <c r="V511" t="str">
        <f>IF(C511=1,MAX($V$2:$V510)+1,IF(AND($T511&lt;&gt;"",$T511=$T510),$U510,IF(C511="x",V510,"")))</f>
        <v/>
      </c>
      <c r="X511" cm="1">
        <f t="array" ref="X511">IF($I511&lt;&gt;"",$I511,INDEX($I$1:$I511,ROW()-COUNTIFS($T$1:$T511,"="&amp;$T511,$S$1:$S511,"&lt;"&amp;$S511)))</f>
        <v>90</v>
      </c>
      <c r="Z511" s="6">
        <f t="shared" si="93"/>
        <v>1</v>
      </c>
      <c r="AA511">
        <f t="shared" si="94"/>
        <v>1255</v>
      </c>
      <c r="AB511">
        <f t="shared" si="95"/>
        <v>9032</v>
      </c>
      <c r="AC511">
        <f t="shared" si="96"/>
        <v>9032</v>
      </c>
      <c r="AI511" t="str">
        <f t="shared" si="98"/>
        <v>o</v>
      </c>
      <c r="BI511" s="40"/>
      <c r="BL511" s="40"/>
      <c r="BN511" s="19"/>
      <c r="BP511" s="17"/>
    </row>
    <row r="512" spans="1:68" x14ac:dyDescent="0.2">
      <c r="A512" t="str">
        <f t="shared" si="92"/>
        <v>x</v>
      </c>
      <c r="D512" s="26" t="s">
        <v>729</v>
      </c>
      <c r="E512" s="4"/>
      <c r="F512" s="46"/>
      <c r="G512" s="4"/>
      <c r="H512" s="48"/>
      <c r="I512" s="26">
        <v>22</v>
      </c>
      <c r="J512" s="26" t="str">
        <f t="shared" si="97"/>
        <v/>
      </c>
      <c r="N512" t="str">
        <f t="shared" si="100"/>
        <v/>
      </c>
      <c r="O512" t="s">
        <v>782</v>
      </c>
      <c r="Q512" t="s">
        <v>595</v>
      </c>
      <c r="S512">
        <f>IF(A512=1,MAX($S$2:$S511)+1,IF(OR($I512&lt;&gt;"",A512="x"),$S511,""))</f>
        <v>255</v>
      </c>
      <c r="T512">
        <f>IF(D512=1,MAX($T$2:$T511)+1,IF(S512=S511,$T511,IF(D512="x",T511,IF(D511="x","",""))))</f>
        <v>32</v>
      </c>
      <c r="U512" t="str">
        <f>IF(B512=1,MAX($U$2:$U511)+1,IF(AND($T512&lt;&gt;"",$T512=$T511),$U511,IF(B512="x",U511,"")))</f>
        <v/>
      </c>
      <c r="V512" t="str">
        <f>IF(C512=1,MAX($V$2:$V511)+1,IF(AND($T512&lt;&gt;"",$T512=$T511),$U511,IF(C512="x",V511,"")))</f>
        <v/>
      </c>
      <c r="X512" cm="1">
        <f t="array" ref="X512">IF($I512&lt;&gt;"",$I512,INDEX($I$1:$I512,ROW()-COUNTIFS($T$1:$T512,"="&amp;$T512,$S$1:$S512,"&lt;"&amp;$S512)))</f>
        <v>22</v>
      </c>
      <c r="Z512" s="6">
        <f t="shared" si="93"/>
        <v>1</v>
      </c>
      <c r="AA512">
        <f t="shared" si="94"/>
        <v>1255</v>
      </c>
      <c r="AB512">
        <f t="shared" si="95"/>
        <v>9032</v>
      </c>
      <c r="AC512">
        <f t="shared" si="96"/>
        <v>9032</v>
      </c>
      <c r="AI512" t="str">
        <f t="shared" si="98"/>
        <v>o</v>
      </c>
      <c r="BI512" s="40"/>
      <c r="BL512" s="40"/>
      <c r="BN512" s="19"/>
      <c r="BP512" s="17"/>
    </row>
    <row r="513" spans="1:68" x14ac:dyDescent="0.2">
      <c r="A513" t="str">
        <f t="shared" si="92"/>
        <v>x</v>
      </c>
      <c r="D513" s="26" t="s">
        <v>729</v>
      </c>
      <c r="E513" s="4"/>
      <c r="F513" s="46"/>
      <c r="G513" s="4"/>
      <c r="H513" s="48"/>
      <c r="I513" s="26">
        <v>84</v>
      </c>
      <c r="J513" s="26" t="str">
        <f t="shared" si="97"/>
        <v/>
      </c>
      <c r="N513" t="str">
        <f t="shared" si="100"/>
        <v/>
      </c>
      <c r="O513" t="s">
        <v>566</v>
      </c>
      <c r="Q513" t="s">
        <v>595</v>
      </c>
      <c r="R513" s="26">
        <v>1</v>
      </c>
      <c r="S513">
        <f>IF(A513=1,MAX($S$2:$S512)+1,IF(OR($I513&lt;&gt;"",A513="x"),$S512,""))</f>
        <v>255</v>
      </c>
      <c r="T513">
        <f>IF(D513=1,MAX($T$2:$T512)+1,IF(S513=S512,$T512,IF(D513="x",T512,IF(D512="x","",""))))</f>
        <v>32</v>
      </c>
      <c r="U513" t="str">
        <f>IF(B513=1,MAX($U$2:$U512)+1,IF(AND($T513&lt;&gt;"",$T513=$T512),$U512,IF(B513="x",U512,"")))</f>
        <v/>
      </c>
      <c r="V513" t="str">
        <f>IF(C513=1,MAX($V$2:$V512)+1,IF(AND($T513&lt;&gt;"",$T513=$T512),$U512,IF(C513="x",V512,"")))</f>
        <v/>
      </c>
      <c r="X513" cm="1">
        <f t="array" ref="X513">IF($I513&lt;&gt;"",$I513,INDEX($I$1:$I513,ROW()-COUNTIFS($T$1:$T513,"="&amp;$T513,$S$1:$S513,"&lt;"&amp;$S513)))</f>
        <v>84</v>
      </c>
      <c r="Z513" s="6">
        <f t="shared" si="93"/>
        <v>1</v>
      </c>
      <c r="AA513">
        <f t="shared" si="94"/>
        <v>1255</v>
      </c>
      <c r="AB513">
        <f t="shared" si="95"/>
        <v>9032</v>
      </c>
      <c r="AC513">
        <f t="shared" si="96"/>
        <v>9032</v>
      </c>
      <c r="AI513" t="str">
        <f t="shared" si="98"/>
        <v>o</v>
      </c>
      <c r="BI513" s="40"/>
      <c r="BL513" s="40"/>
      <c r="BN513" s="19"/>
      <c r="BP513" s="17"/>
    </row>
    <row r="514" spans="1:68" x14ac:dyDescent="0.2">
      <c r="A514">
        <f t="shared" si="92"/>
        <v>1</v>
      </c>
      <c r="D514" s="26" t="s">
        <v>729</v>
      </c>
      <c r="E514" s="4"/>
      <c r="F514" s="46"/>
      <c r="G514" s="4"/>
      <c r="H514" s="48"/>
      <c r="J514" s="26" t="s">
        <v>368</v>
      </c>
      <c r="K514" t="s">
        <v>9</v>
      </c>
      <c r="L514" t="s">
        <v>173</v>
      </c>
      <c r="M514" t="s">
        <v>75</v>
      </c>
      <c r="N514" t="str">
        <f t="shared" si="100"/>
        <v>u</v>
      </c>
      <c r="Q514" t="str">
        <f t="shared" si="99"/>
        <v/>
      </c>
      <c r="S514">
        <f>IF(A514=1,MAX($S$2:$S513)+1,IF(OR($I514&lt;&gt;"",A514="x"),$S513,""))</f>
        <v>256</v>
      </c>
      <c r="T514">
        <f>IF(D514=1,MAX($T$2:$T513)+1,IF(S514=S513,$T513,IF(D514="x",T513,IF(D513="x","",""))))</f>
        <v>32</v>
      </c>
      <c r="U514" t="str">
        <f>IF(B514=1,MAX($U$2:$U513)+1,IF(AND($T514&lt;&gt;"",$T514=$T513),$U513,IF(B514="x",U513,"")))</f>
        <v/>
      </c>
      <c r="V514" t="str">
        <f>IF(C514=1,MAX($V$2:$V513)+1,IF(AND($T514&lt;&gt;"",$T514=$T513),$U513,IF(C514="x",V513,"")))</f>
        <v/>
      </c>
      <c r="X514" cm="1">
        <f t="array" ref="X514">IF($I514&lt;&gt;"",$I514,INDEX($I$1:$I514,ROW()-COUNTIFS($T$1:$T514,"="&amp;$T514,$S$1:$S514,"&lt;"&amp;$S514)))</f>
        <v>69</v>
      </c>
      <c r="Z514" s="6">
        <f t="shared" si="93"/>
        <v>1</v>
      </c>
      <c r="AA514">
        <f t="shared" si="94"/>
        <v>1256</v>
      </c>
      <c r="AB514">
        <f t="shared" si="95"/>
        <v>9032</v>
      </c>
      <c r="AC514">
        <f t="shared" si="96"/>
        <v>9032</v>
      </c>
      <c r="AI514" t="str">
        <f t="shared" si="98"/>
        <v>o</v>
      </c>
      <c r="BI514" s="40"/>
      <c r="BL514" s="40"/>
      <c r="BN514" s="19"/>
      <c r="BP514" s="17"/>
    </row>
    <row r="515" spans="1:68" x14ac:dyDescent="0.2">
      <c r="A515" t="str">
        <f t="shared" si="92"/>
        <v>x</v>
      </c>
      <c r="D515" s="26" t="s">
        <v>729</v>
      </c>
      <c r="E515" s="4"/>
      <c r="F515" s="46"/>
      <c r="G515" s="4"/>
      <c r="H515" s="48"/>
      <c r="J515" s="26" t="str">
        <f t="shared" si="97"/>
        <v/>
      </c>
      <c r="N515" t="str">
        <f t="shared" si="100"/>
        <v/>
      </c>
      <c r="Q515" t="str">
        <f t="shared" si="99"/>
        <v/>
      </c>
      <c r="S515">
        <f>IF(A515=1,MAX($S$2:$S514)+1,IF(OR($I515&lt;&gt;"",A515="x"),$S514,""))</f>
        <v>256</v>
      </c>
      <c r="T515">
        <f>IF(D515=1,MAX($T$2:$T514)+1,IF(S515=S514,$T514,IF(D515="x",T514,IF(D514="x","",""))))</f>
        <v>32</v>
      </c>
      <c r="U515" t="str">
        <f>IF(B515=1,MAX($U$2:$U514)+1,IF(AND($T515&lt;&gt;"",$T515=$T514),$U514,IF(B515="x",U514,"")))</f>
        <v/>
      </c>
      <c r="V515" t="str">
        <f>IF(C515=1,MAX($V$2:$V514)+1,IF(AND($T515&lt;&gt;"",$T515=$T514),$U514,IF(C515="x",V514,"")))</f>
        <v/>
      </c>
      <c r="X515" cm="1">
        <f t="array" ref="X515">IF($I515&lt;&gt;"",$I515,INDEX($I$1:$I515,ROW()-COUNTIFS($T$1:$T515,"="&amp;$T515,$S$1:$S515,"&lt;"&amp;$S515)))</f>
        <v>90</v>
      </c>
      <c r="Z515" s="6">
        <f t="shared" si="93"/>
        <v>1</v>
      </c>
      <c r="AA515">
        <f t="shared" si="94"/>
        <v>1256</v>
      </c>
      <c r="AB515">
        <f t="shared" si="95"/>
        <v>9032</v>
      </c>
      <c r="AC515">
        <f t="shared" si="96"/>
        <v>9032</v>
      </c>
      <c r="AI515" t="str">
        <f t="shared" si="98"/>
        <v>o</v>
      </c>
      <c r="BI515" s="40"/>
      <c r="BL515" s="40"/>
      <c r="BN515" s="19"/>
      <c r="BP515" s="17"/>
    </row>
    <row r="516" spans="1:68" x14ac:dyDescent="0.2">
      <c r="A516" t="str">
        <f t="shared" si="92"/>
        <v>x</v>
      </c>
      <c r="D516" s="26" t="s">
        <v>729</v>
      </c>
      <c r="E516" s="4"/>
      <c r="F516" s="46"/>
      <c r="G516" s="4"/>
      <c r="H516" s="48"/>
      <c r="J516" s="26" t="str">
        <f t="shared" si="97"/>
        <v/>
      </c>
      <c r="N516" t="str">
        <f t="shared" si="100"/>
        <v/>
      </c>
      <c r="Q516" t="str">
        <f t="shared" si="99"/>
        <v/>
      </c>
      <c r="S516">
        <f>IF(A516=1,MAX($S$2:$S515)+1,IF(OR($I516&lt;&gt;"",A516="x"),$S515,""))</f>
        <v>256</v>
      </c>
      <c r="T516">
        <f>IF(D516=1,MAX($T$2:$T515)+1,IF(S516=S515,$T515,IF(D516="x",T515,IF(D515="x","",""))))</f>
        <v>32</v>
      </c>
      <c r="U516" t="str">
        <f>IF(B516=1,MAX($U$2:$U515)+1,IF(AND($T516&lt;&gt;"",$T516=$T515),$U515,IF(B516="x",U515,"")))</f>
        <v/>
      </c>
      <c r="V516" t="str">
        <f>IF(C516=1,MAX($V$2:$V515)+1,IF(AND($T516&lt;&gt;"",$T516=$T515),$U515,IF(C516="x",V515,"")))</f>
        <v/>
      </c>
      <c r="X516" cm="1">
        <f t="array" ref="X516">IF($I516&lt;&gt;"",$I516,INDEX($I$1:$I516,ROW()-COUNTIFS($T$1:$T516,"="&amp;$T516,$S$1:$S516,"&lt;"&amp;$S516)))</f>
        <v>22</v>
      </c>
      <c r="Z516" s="6">
        <f t="shared" si="93"/>
        <v>1</v>
      </c>
      <c r="AA516">
        <f t="shared" si="94"/>
        <v>1256</v>
      </c>
      <c r="AB516">
        <f t="shared" si="95"/>
        <v>9032</v>
      </c>
      <c r="AC516">
        <f t="shared" si="96"/>
        <v>9032</v>
      </c>
      <c r="AI516" t="str">
        <f t="shared" si="98"/>
        <v>o</v>
      </c>
      <c r="BI516" s="40"/>
      <c r="BL516" s="40"/>
      <c r="BN516" s="19"/>
      <c r="BP516" s="17"/>
    </row>
    <row r="517" spans="1:68" x14ac:dyDescent="0.2">
      <c r="A517" t="str">
        <f t="shared" ref="A517:A580" si="101">IF(K517&lt;&gt;"",1,IF(D517="x","x",""))</f>
        <v>x</v>
      </c>
      <c r="D517" s="26" t="s">
        <v>729</v>
      </c>
      <c r="E517" s="4"/>
      <c r="F517" s="46"/>
      <c r="G517" s="4"/>
      <c r="H517" s="48"/>
      <c r="J517" s="26" t="str">
        <f t="shared" si="97"/>
        <v/>
      </c>
      <c r="N517" t="str">
        <f t="shared" si="100"/>
        <v/>
      </c>
      <c r="Q517" t="str">
        <f t="shared" si="99"/>
        <v/>
      </c>
      <c r="S517">
        <f>IF(A517=1,MAX($S$2:$S516)+1,IF(OR($I517&lt;&gt;"",A517="x"),$S516,""))</f>
        <v>256</v>
      </c>
      <c r="T517">
        <f>IF(D517=1,MAX($T$2:$T516)+1,IF(S517=S516,$T516,IF(D517="x",T516,IF(D516="x","",""))))</f>
        <v>32</v>
      </c>
      <c r="U517" t="str">
        <f>IF(B517=1,MAX($U$2:$U516)+1,IF(AND($T517&lt;&gt;"",$T517=$T516),$U516,IF(B517="x",U516,"")))</f>
        <v/>
      </c>
      <c r="V517" t="str">
        <f>IF(C517=1,MAX($V$2:$V516)+1,IF(AND($T517&lt;&gt;"",$T517=$T516),$U516,IF(C517="x",V516,"")))</f>
        <v/>
      </c>
      <c r="X517" cm="1">
        <f t="array" ref="X517">IF($I517&lt;&gt;"",$I517,INDEX($I$1:$I517,ROW()-COUNTIFS($T$1:$T517,"="&amp;$T517,$S$1:$S517,"&lt;"&amp;$S517)))</f>
        <v>84</v>
      </c>
      <c r="Z517" s="6">
        <f t="shared" ref="Z517:Z580" si="102">IF(K517="Intermission",Z516+1,Z516)</f>
        <v>1</v>
      </c>
      <c r="AA517">
        <f t="shared" ref="AA517:AA580" si="103">S517+1000</f>
        <v>1256</v>
      </c>
      <c r="AB517">
        <f t="shared" ref="AB517:AB580" si="104">IF(T517&lt;&gt;"",9000+T517,"")</f>
        <v>9032</v>
      </c>
      <c r="AC517">
        <f t="shared" ref="AC517:AC580" si="105">IF(AB517&lt;&gt;"",AB517,S517+1000)</f>
        <v>9032</v>
      </c>
      <c r="AI517" t="str">
        <f t="shared" si="98"/>
        <v>o</v>
      </c>
      <c r="BI517" s="40"/>
      <c r="BL517" s="40"/>
      <c r="BN517" s="19"/>
      <c r="BP517" s="17"/>
    </row>
    <row r="518" spans="1:68" x14ac:dyDescent="0.2">
      <c r="A518">
        <f t="shared" si="101"/>
        <v>1</v>
      </c>
      <c r="E518" s="4"/>
      <c r="F518" s="46" t="s">
        <v>732</v>
      </c>
      <c r="G518" s="4"/>
      <c r="H518" s="48" t="s">
        <v>744</v>
      </c>
      <c r="I518" s="26">
        <v>70</v>
      </c>
      <c r="J518" s="26" t="s">
        <v>736</v>
      </c>
      <c r="K518" t="s">
        <v>13</v>
      </c>
      <c r="L518" t="s">
        <v>586</v>
      </c>
      <c r="N518" t="s">
        <v>595</v>
      </c>
      <c r="O518" t="s">
        <v>907</v>
      </c>
      <c r="Q518" t="str">
        <f t="shared" si="99"/>
        <v>s</v>
      </c>
      <c r="S518">
        <f>IF(A518=1,MAX($S$2:$S517)+1,IF(OR($I518&lt;&gt;"",A518="x"),$S517,""))</f>
        <v>257</v>
      </c>
      <c r="T518" t="str">
        <f>IF(D518=1,MAX($T$2:$T517)+1,IF(S518=S517,$T517,IF(D518="x",T517,IF(D517="x","",""))))</f>
        <v/>
      </c>
      <c r="U518" t="str">
        <f>IF(B518=1,MAX($U$2:$U517)+1,IF(AND($T518&lt;&gt;"",$T518=$T517),$U517,IF(B518="x",U517,"")))</f>
        <v/>
      </c>
      <c r="V518" t="str">
        <f>IF(C518=1,MAX($V$2:$V517)+1,IF(AND($T518&lt;&gt;"",$T518=$T517),$U517,IF(C518="x",V517,"")))</f>
        <v/>
      </c>
      <c r="X518" cm="1">
        <f t="array" ref="X518">IF($I518&lt;&gt;"",$I518,INDEX($I$1:$I518,ROW()-COUNTIFS($T$1:$T518,"="&amp;$T518,$S$1:$S518,"&lt;"&amp;$S518)))</f>
        <v>70</v>
      </c>
      <c r="Z518" s="6">
        <f t="shared" si="102"/>
        <v>1</v>
      </c>
      <c r="AA518">
        <f t="shared" si="103"/>
        <v>1257</v>
      </c>
      <c r="AB518" t="str">
        <f t="shared" si="104"/>
        <v/>
      </c>
      <c r="AC518">
        <f t="shared" si="105"/>
        <v>1257</v>
      </c>
      <c r="AI518" t="str">
        <f t="shared" ref="AI518:AI581" si="106">IF($J518&lt;&gt;"",$J518,IF($AC518=$AC517,AI517,""))</f>
        <v>d</v>
      </c>
      <c r="BI518" s="40"/>
      <c r="BL518" s="40"/>
      <c r="BN518" s="19"/>
      <c r="BP518" s="17"/>
    </row>
    <row r="519" spans="1:68" x14ac:dyDescent="0.2">
      <c r="A519">
        <f t="shared" si="101"/>
        <v>1</v>
      </c>
      <c r="E519" s="4"/>
      <c r="F519" s="46"/>
      <c r="G519" s="4"/>
      <c r="H519" s="48" t="s">
        <v>745</v>
      </c>
      <c r="I519" s="26">
        <v>70</v>
      </c>
      <c r="J519" s="26" t="s">
        <v>736</v>
      </c>
      <c r="K519" t="s">
        <v>238</v>
      </c>
      <c r="L519" t="s">
        <v>184</v>
      </c>
      <c r="M519" t="s">
        <v>88</v>
      </c>
      <c r="N519" t="str">
        <f t="shared" si="100"/>
        <v>s</v>
      </c>
      <c r="Q519" t="str">
        <f t="shared" si="99"/>
        <v/>
      </c>
      <c r="S519">
        <f>IF(A519=1,MAX($S$2:$S518)+1,IF(OR($I519&lt;&gt;"",A519="x"),$S518,""))</f>
        <v>258</v>
      </c>
      <c r="T519" t="str">
        <f>IF(D519=1,MAX($T$2:$T518)+1,IF(S519=S518,$T518,IF(D519="x",T518,IF(D518="x","",""))))</f>
        <v/>
      </c>
      <c r="U519" t="str">
        <f>IF(B519=1,MAX($U$2:$U518)+1,IF(AND($T519&lt;&gt;"",$T519=$T518),$U518,IF(B519="x",U518,"")))</f>
        <v/>
      </c>
      <c r="V519" t="str">
        <f>IF(C519=1,MAX($V$2:$V518)+1,IF(AND($T519&lt;&gt;"",$T519=$T518),$U518,IF(C519="x",V518,"")))</f>
        <v/>
      </c>
      <c r="X519" cm="1">
        <f t="array" ref="X519">IF($I519&lt;&gt;"",$I519,INDEX($I$1:$I519,ROW()-COUNTIFS($T$1:$T519,"="&amp;$T519,$S$1:$S519,"&lt;"&amp;$S519)))</f>
        <v>70</v>
      </c>
      <c r="Z519" s="6">
        <f t="shared" si="102"/>
        <v>1</v>
      </c>
      <c r="AA519">
        <f t="shared" si="103"/>
        <v>1258</v>
      </c>
      <c r="AB519" t="str">
        <f t="shared" si="104"/>
        <v/>
      </c>
      <c r="AC519">
        <f t="shared" si="105"/>
        <v>1258</v>
      </c>
      <c r="AI519" t="str">
        <f t="shared" si="106"/>
        <v>d</v>
      </c>
      <c r="BI519" s="40"/>
      <c r="BL519" s="40"/>
      <c r="BN519" s="19"/>
      <c r="BP519" s="17"/>
    </row>
    <row r="520" spans="1:68" x14ac:dyDescent="0.2">
      <c r="A520">
        <f t="shared" si="101"/>
        <v>1</v>
      </c>
      <c r="E520" s="4"/>
      <c r="F520" s="46"/>
      <c r="G520" s="4"/>
      <c r="H520" s="48"/>
      <c r="I520" s="26">
        <v>70</v>
      </c>
      <c r="J520" s="26" t="s">
        <v>734</v>
      </c>
      <c r="K520" t="s">
        <v>7</v>
      </c>
      <c r="L520" t="s">
        <v>172</v>
      </c>
      <c r="M520" t="s">
        <v>68</v>
      </c>
      <c r="N520" t="str">
        <f t="shared" si="100"/>
        <v>s</v>
      </c>
      <c r="Q520" t="str">
        <f t="shared" si="99"/>
        <v/>
      </c>
      <c r="S520">
        <f>IF(A520=1,MAX($S$2:$S519)+1,IF(OR($I520&lt;&gt;"",A520="x"),$S519,""))</f>
        <v>259</v>
      </c>
      <c r="T520" t="str">
        <f>IF(D520=1,MAX($T$2:$T519)+1,IF(S520=S519,$T519,IF(D520="x",T519,IF(D519="x","",""))))</f>
        <v/>
      </c>
      <c r="U520" t="str">
        <f>IF(B520=1,MAX($U$2:$U519)+1,IF(AND($T520&lt;&gt;"",$T520=$T519),$U519,IF(B520="x",U519,"")))</f>
        <v/>
      </c>
      <c r="V520" t="str">
        <f>IF(C520=1,MAX($V$2:$V519)+1,IF(AND($T520&lt;&gt;"",$T520=$T519),$U519,IF(C520="x",V519,"")))</f>
        <v/>
      </c>
      <c r="X520" cm="1">
        <f t="array" ref="X520">IF($I520&lt;&gt;"",$I520,INDEX($I$1:$I520,ROW()-COUNTIFS($T$1:$T520,"="&amp;$T520,$S$1:$S520,"&lt;"&amp;$S520)))</f>
        <v>70</v>
      </c>
      <c r="Z520" s="6">
        <f t="shared" si="102"/>
        <v>1</v>
      </c>
      <c r="AA520">
        <f t="shared" si="103"/>
        <v>1259</v>
      </c>
      <c r="AB520" t="str">
        <f t="shared" si="104"/>
        <v/>
      </c>
      <c r="AC520">
        <f t="shared" si="105"/>
        <v>1259</v>
      </c>
      <c r="AI520" t="str">
        <f t="shared" si="106"/>
        <v>n</v>
      </c>
      <c r="BI520" s="40"/>
      <c r="BL520" s="40"/>
      <c r="BN520" s="19"/>
      <c r="BP520" s="17"/>
    </row>
    <row r="521" spans="1:68" x14ac:dyDescent="0.2">
      <c r="A521" t="str">
        <f t="shared" si="101"/>
        <v/>
      </c>
      <c r="E521" s="4"/>
      <c r="F521" s="46"/>
      <c r="G521" s="4"/>
      <c r="H521" s="48"/>
      <c r="I521" s="26">
        <v>91</v>
      </c>
      <c r="J521" s="26" t="str">
        <f t="shared" ref="J521:J581" si="107">IF(OR(K521="Goal",K521="Shot",L521="Zone_Entry",M521="Stoppage-Goal",M520="Stoppage-Goal"),"o",IF(OR(K521="Save",K521="Rebound",L521="Zone_Exit",M521="Stoppage-GoalieStoppage",M520="Stoppage-GoalieStoppage"),"d",IF(OR(L521="Faceoff_AfterGoal",L521="Faceoff_PeriodStart",698="Faceoff_GameStart",M520="Stoppage-Goal"),"n","")))</f>
        <v/>
      </c>
      <c r="N521" t="str">
        <f t="shared" si="100"/>
        <v/>
      </c>
      <c r="Q521" t="str">
        <f t="shared" si="99"/>
        <v/>
      </c>
      <c r="S521">
        <f>IF(A521=1,MAX($S$2:$S520)+1,IF(OR($I521&lt;&gt;"",A521="x"),$S520,""))</f>
        <v>259</v>
      </c>
      <c r="T521" t="str">
        <f>IF(D521=1,MAX($T$2:$T520)+1,IF(S521=S520,$T520,IF(D521="x",T520,IF(D520="x","",""))))</f>
        <v/>
      </c>
      <c r="U521" t="str">
        <f>IF(B521=1,MAX($U$2:$U520)+1,IF(AND($T521&lt;&gt;"",$T521=$T520),$U520,IF(B521="x",U520,"")))</f>
        <v/>
      </c>
      <c r="V521" t="str">
        <f>IF(C521=1,MAX($V$2:$V520)+1,IF(AND($T521&lt;&gt;"",$T521=$T520),$U520,IF(C521="x",V520,"")))</f>
        <v/>
      </c>
      <c r="X521" cm="1">
        <f t="array" ref="X521">IF($I521&lt;&gt;"",$I521,INDEX($I$1:$I521,ROW()-COUNTIFS($T$1:$T521,"="&amp;$T521,$S$1:$S521,"&lt;"&amp;$S521)))</f>
        <v>91</v>
      </c>
      <c r="Z521" s="6">
        <f t="shared" si="102"/>
        <v>1</v>
      </c>
      <c r="AA521">
        <f t="shared" si="103"/>
        <v>1259</v>
      </c>
      <c r="AB521" t="str">
        <f t="shared" si="104"/>
        <v/>
      </c>
      <c r="AC521">
        <f t="shared" si="105"/>
        <v>1259</v>
      </c>
      <c r="AI521" t="str">
        <f t="shared" si="106"/>
        <v>n</v>
      </c>
      <c r="BI521" s="40"/>
      <c r="BL521" s="40"/>
      <c r="BN521" s="19"/>
      <c r="BP521" s="17"/>
    </row>
    <row r="522" spans="1:68" x14ac:dyDescent="0.2">
      <c r="A522">
        <f t="shared" si="101"/>
        <v>1</v>
      </c>
      <c r="E522" s="4"/>
      <c r="F522" s="46"/>
      <c r="G522" s="4"/>
      <c r="H522" s="48" t="s">
        <v>754</v>
      </c>
      <c r="I522" s="26">
        <v>91</v>
      </c>
      <c r="J522" s="26" t="s">
        <v>368</v>
      </c>
      <c r="K522" t="s">
        <v>238</v>
      </c>
      <c r="L522" t="s">
        <v>174</v>
      </c>
      <c r="M522" t="s">
        <v>85</v>
      </c>
      <c r="N522" t="str">
        <f t="shared" si="100"/>
        <v>s</v>
      </c>
      <c r="Q522" t="str">
        <f t="shared" si="99"/>
        <v/>
      </c>
      <c r="S522">
        <f>IF(A522=1,MAX($S$2:$S521)+1,IF(OR($I522&lt;&gt;"",A522="x"),$S521,""))</f>
        <v>260</v>
      </c>
      <c r="T522" t="str">
        <f>IF(D522=1,MAX($T$2:$T521)+1,IF(S522=S521,$T521,IF(D522="x",T521,IF(D521="x","",""))))</f>
        <v/>
      </c>
      <c r="U522" t="str">
        <f>IF(B522=1,MAX($U$2:$U521)+1,IF(AND($T522&lt;&gt;"",$T522=$T521),$U521,IF(B522="x",U521,"")))</f>
        <v/>
      </c>
      <c r="V522" t="str">
        <f>IF(C522=1,MAX($V$2:$V521)+1,IF(AND($T522&lt;&gt;"",$T522=$T521),$U521,IF(C522="x",V521,"")))</f>
        <v/>
      </c>
      <c r="X522" cm="1">
        <f t="array" ref="X522">IF($I522&lt;&gt;"",$I522,INDEX($I$1:$I522,ROW()-COUNTIFS($T$1:$T522,"="&amp;$T522,$S$1:$S522,"&lt;"&amp;$S522)))</f>
        <v>91</v>
      </c>
      <c r="Z522" s="6">
        <f t="shared" si="102"/>
        <v>1</v>
      </c>
      <c r="AA522">
        <f t="shared" si="103"/>
        <v>1260</v>
      </c>
      <c r="AB522" t="str">
        <f t="shared" si="104"/>
        <v/>
      </c>
      <c r="AC522">
        <f t="shared" si="105"/>
        <v>1260</v>
      </c>
      <c r="AI522" t="str">
        <f t="shared" si="106"/>
        <v>o</v>
      </c>
      <c r="BI522" s="40"/>
      <c r="BL522" s="40"/>
      <c r="BN522" s="19"/>
      <c r="BP522" s="17"/>
    </row>
    <row r="523" spans="1:68" x14ac:dyDescent="0.2">
      <c r="A523" t="str">
        <f t="shared" si="101"/>
        <v/>
      </c>
      <c r="E523" s="4"/>
      <c r="F523" s="46"/>
      <c r="G523" s="4"/>
      <c r="H523" s="48"/>
      <c r="I523" s="26">
        <v>57</v>
      </c>
      <c r="J523" s="26" t="str">
        <f t="shared" si="107"/>
        <v/>
      </c>
      <c r="N523" t="str">
        <f t="shared" si="100"/>
        <v/>
      </c>
      <c r="Q523" t="str">
        <f t="shared" si="99"/>
        <v/>
      </c>
      <c r="S523">
        <f>IF(A523=1,MAX($S$2:$S522)+1,IF(OR($I523&lt;&gt;"",A523="x"),$S522,""))</f>
        <v>260</v>
      </c>
      <c r="T523" t="str">
        <f>IF(D523=1,MAX($T$2:$T522)+1,IF(S523=S522,$T522,IF(D523="x",T522,IF(D522="x","",""))))</f>
        <v/>
      </c>
      <c r="U523" t="str">
        <f>IF(B523=1,MAX($U$2:$U522)+1,IF(AND($T523&lt;&gt;"",$T523=$T522),$U522,IF(B523="x",U522,"")))</f>
        <v/>
      </c>
      <c r="V523" t="str">
        <f>IF(C523=1,MAX($V$2:$V522)+1,IF(AND($T523&lt;&gt;"",$T523=$T522),$U522,IF(C523="x",V522,"")))</f>
        <v/>
      </c>
      <c r="X523" cm="1">
        <f t="array" ref="X523">IF($I523&lt;&gt;"",$I523,INDEX($I$1:$I523,ROW()-COUNTIFS($T$1:$T523,"="&amp;$T523,$S$1:$S523,"&lt;"&amp;$S523)))</f>
        <v>57</v>
      </c>
      <c r="Z523" s="6">
        <f t="shared" si="102"/>
        <v>1</v>
      </c>
      <c r="AA523">
        <f t="shared" si="103"/>
        <v>1260</v>
      </c>
      <c r="AB523" t="str">
        <f t="shared" si="104"/>
        <v/>
      </c>
      <c r="AC523">
        <f t="shared" si="105"/>
        <v>1260</v>
      </c>
      <c r="AI523" t="str">
        <f t="shared" si="106"/>
        <v>o</v>
      </c>
      <c r="BI523" s="40"/>
      <c r="BL523" s="40"/>
      <c r="BN523" s="19"/>
      <c r="BP523" s="17"/>
    </row>
    <row r="524" spans="1:68" x14ac:dyDescent="0.2">
      <c r="A524" t="str">
        <f t="shared" si="101"/>
        <v/>
      </c>
      <c r="E524" s="4"/>
      <c r="F524" s="46"/>
      <c r="G524" s="4"/>
      <c r="H524" s="48"/>
      <c r="I524" s="26">
        <v>10</v>
      </c>
      <c r="J524" s="26" t="str">
        <f t="shared" si="107"/>
        <v/>
      </c>
      <c r="N524" t="str">
        <f t="shared" si="100"/>
        <v/>
      </c>
      <c r="Q524" t="str">
        <f t="shared" si="99"/>
        <v/>
      </c>
      <c r="S524">
        <f>IF(A524=1,MAX($S$2:$S523)+1,IF(OR($I524&lt;&gt;"",A524="x"),$S523,""))</f>
        <v>260</v>
      </c>
      <c r="T524" t="str">
        <f>IF(D524=1,MAX($T$2:$T523)+1,IF(S524=S523,$T523,IF(D524="x",T523,IF(D523="x","",""))))</f>
        <v/>
      </c>
      <c r="U524" t="str">
        <f>IF(B524=1,MAX($U$2:$U523)+1,IF(AND($T524&lt;&gt;"",$T524=$T523),$U523,IF(B524="x",U523,"")))</f>
        <v/>
      </c>
      <c r="V524" t="str">
        <f>IF(C524=1,MAX($V$2:$V523)+1,IF(AND($T524&lt;&gt;"",$T524=$T523),$U523,IF(C524="x",V523,"")))</f>
        <v/>
      </c>
      <c r="X524" cm="1">
        <f t="array" ref="X524">IF($I524&lt;&gt;"",$I524,INDEX($I$1:$I524,ROW()-COUNTIFS($T$1:$T524,"="&amp;$T524,$S$1:$S524,"&lt;"&amp;$S524)))</f>
        <v>10</v>
      </c>
      <c r="Z524" s="6">
        <f t="shared" si="102"/>
        <v>1</v>
      </c>
      <c r="AA524">
        <f t="shared" si="103"/>
        <v>1260</v>
      </c>
      <c r="AB524" t="str">
        <f t="shared" si="104"/>
        <v/>
      </c>
      <c r="AC524">
        <f t="shared" si="105"/>
        <v>1260</v>
      </c>
      <c r="AI524" t="str">
        <f t="shared" si="106"/>
        <v>o</v>
      </c>
      <c r="BI524" s="40"/>
      <c r="BL524" s="40"/>
      <c r="BN524" s="19"/>
      <c r="BP524" s="17"/>
    </row>
    <row r="525" spans="1:68" x14ac:dyDescent="0.2">
      <c r="A525">
        <f t="shared" si="101"/>
        <v>1</v>
      </c>
      <c r="D525" s="26">
        <v>1</v>
      </c>
      <c r="E525" s="4"/>
      <c r="F525" s="46"/>
      <c r="G525" s="4"/>
      <c r="H525" s="48"/>
      <c r="I525" s="26">
        <v>91</v>
      </c>
      <c r="J525" s="26" t="str">
        <f t="shared" si="107"/>
        <v>o</v>
      </c>
      <c r="K525" t="s">
        <v>6</v>
      </c>
      <c r="L525" t="s">
        <v>205</v>
      </c>
      <c r="M525" t="s">
        <v>51</v>
      </c>
      <c r="N525" t="str">
        <f t="shared" si="100"/>
        <v>s</v>
      </c>
      <c r="Q525" t="str">
        <f t="shared" si="99"/>
        <v/>
      </c>
      <c r="S525">
        <f>IF(A525=1,MAX($S$2:$S524)+1,IF(OR($I525&lt;&gt;"",A525="x"),$S524,""))</f>
        <v>261</v>
      </c>
      <c r="T525">
        <f>IF(D525=1,MAX($T$2:$T524)+1,IF(S525=S524,$T524,IF(D525="x",T524,IF(D524="x","",""))))</f>
        <v>33</v>
      </c>
      <c r="U525" t="str">
        <f>IF(B525=1,MAX($U$2:$U524)+1,IF(AND($T525&lt;&gt;"",$T525=$T524),$U524,IF(B525="x",U524,"")))</f>
        <v/>
      </c>
      <c r="V525" t="str">
        <f>IF(C525=1,MAX($V$2:$V524)+1,IF(AND($T525&lt;&gt;"",$T525=$T524),$U524,IF(C525="x",V524,"")))</f>
        <v/>
      </c>
      <c r="X525" cm="1">
        <f t="array" ref="X525">IF($I525&lt;&gt;"",$I525,INDEX($I$1:$I525,ROW()-COUNTIFS($T$1:$T525,"="&amp;$T525,$S$1:$S525,"&lt;"&amp;$S525)))</f>
        <v>91</v>
      </c>
      <c r="Z525" s="6">
        <f t="shared" si="102"/>
        <v>1</v>
      </c>
      <c r="AA525">
        <f t="shared" si="103"/>
        <v>1261</v>
      </c>
      <c r="AB525">
        <f t="shared" si="104"/>
        <v>9033</v>
      </c>
      <c r="AC525">
        <f t="shared" si="105"/>
        <v>9033</v>
      </c>
      <c r="AI525" t="str">
        <f t="shared" si="106"/>
        <v>o</v>
      </c>
      <c r="BI525" s="40"/>
      <c r="BL525" s="40"/>
      <c r="BN525" s="19"/>
      <c r="BP525" s="17"/>
    </row>
    <row r="526" spans="1:68" x14ac:dyDescent="0.2">
      <c r="A526" t="str">
        <f t="shared" si="101"/>
        <v>x</v>
      </c>
      <c r="D526" s="26" t="s">
        <v>729</v>
      </c>
      <c r="E526" s="4"/>
      <c r="F526" s="46"/>
      <c r="G526" s="4"/>
      <c r="H526" s="48"/>
      <c r="I526" s="26">
        <v>1</v>
      </c>
      <c r="J526" s="26" t="str">
        <f t="shared" si="107"/>
        <v/>
      </c>
      <c r="N526" t="str">
        <f t="shared" si="100"/>
        <v/>
      </c>
      <c r="Q526" t="str">
        <f t="shared" si="99"/>
        <v/>
      </c>
      <c r="S526">
        <f>IF(A526=1,MAX($S$2:$S525)+1,IF(OR($I526&lt;&gt;"",A526="x"),$S525,""))</f>
        <v>261</v>
      </c>
      <c r="T526">
        <f>IF(D526=1,MAX($T$2:$T525)+1,IF(S526=S525,$T525,IF(D526="x",T525,IF(D525="x","",""))))</f>
        <v>33</v>
      </c>
      <c r="U526" t="str">
        <f>IF(B526=1,MAX($U$2:$U525)+1,IF(AND($T526&lt;&gt;"",$T526=$T525),$U525,IF(B526="x",U525,"")))</f>
        <v/>
      </c>
      <c r="V526" t="str">
        <f>IF(C526=1,MAX($V$2:$V525)+1,IF(AND($T526&lt;&gt;"",$T526=$T525),$U525,IF(C526="x",V525,"")))</f>
        <v/>
      </c>
      <c r="X526" cm="1">
        <f t="array" ref="X526">IF($I526&lt;&gt;"",$I526,INDEX($I$1:$I526,ROW()-COUNTIFS($T$1:$T526,"="&amp;$T526,$S$1:$S526,"&lt;"&amp;$S526)))</f>
        <v>1</v>
      </c>
      <c r="Z526" s="6">
        <f t="shared" si="102"/>
        <v>1</v>
      </c>
      <c r="AA526">
        <f t="shared" si="103"/>
        <v>1261</v>
      </c>
      <c r="AB526">
        <f t="shared" si="104"/>
        <v>9033</v>
      </c>
      <c r="AC526">
        <f t="shared" si="105"/>
        <v>9033</v>
      </c>
      <c r="AI526" t="str">
        <f t="shared" si="106"/>
        <v>o</v>
      </c>
      <c r="BI526" s="40"/>
      <c r="BL526" s="40"/>
      <c r="BN526" s="19"/>
      <c r="BP526" s="17"/>
    </row>
    <row r="527" spans="1:68" x14ac:dyDescent="0.2">
      <c r="A527">
        <f t="shared" si="101"/>
        <v>1</v>
      </c>
      <c r="D527" s="26" t="s">
        <v>729</v>
      </c>
      <c r="E527" s="4"/>
      <c r="F527" s="46"/>
      <c r="G527" s="4"/>
      <c r="H527" s="48"/>
      <c r="I527" s="26">
        <v>1</v>
      </c>
      <c r="J527" s="26" t="str">
        <f t="shared" si="107"/>
        <v>d</v>
      </c>
      <c r="K527" t="s">
        <v>15</v>
      </c>
      <c r="L527" t="s">
        <v>179</v>
      </c>
      <c r="M527" t="s">
        <v>100</v>
      </c>
      <c r="N527" t="str">
        <f t="shared" si="100"/>
        <v/>
      </c>
      <c r="Q527" t="str">
        <f t="shared" si="99"/>
        <v/>
      </c>
      <c r="S527">
        <f>IF(A527=1,MAX($S$2:$S526)+1,IF(OR($I527&lt;&gt;"",A527="x"),$S526,""))</f>
        <v>262</v>
      </c>
      <c r="T527">
        <f>IF(D527=1,MAX($T$2:$T526)+1,IF(S527=S526,$T526,IF(D527="x",T526,IF(D526="x","",""))))</f>
        <v>33</v>
      </c>
      <c r="U527" t="str">
        <f>IF(B527=1,MAX($U$2:$U526)+1,IF(AND($T527&lt;&gt;"",$T527=$T526),$U526,IF(B527="x",U526,"")))</f>
        <v/>
      </c>
      <c r="V527" t="str">
        <f>IF(C527=1,MAX($V$2:$V526)+1,IF(AND($T527&lt;&gt;"",$T527=$T526),$U526,IF(C527="x",V526,"")))</f>
        <v/>
      </c>
      <c r="X527" cm="1">
        <f t="array" ref="X527">IF($I527&lt;&gt;"",$I527,INDEX($I$1:$I527,ROW()-COUNTIFS($T$1:$T527,"="&amp;$T527,$S$1:$S527,"&lt;"&amp;$S527)))</f>
        <v>1</v>
      </c>
      <c r="Z527" s="6">
        <f t="shared" si="102"/>
        <v>1</v>
      </c>
      <c r="AA527">
        <f t="shared" si="103"/>
        <v>1262</v>
      </c>
      <c r="AB527">
        <f t="shared" si="104"/>
        <v>9033</v>
      </c>
      <c r="AC527">
        <f t="shared" si="105"/>
        <v>9033</v>
      </c>
      <c r="AI527" t="str">
        <f t="shared" si="106"/>
        <v>d</v>
      </c>
      <c r="BI527" s="40"/>
      <c r="BL527" s="40"/>
      <c r="BN527" s="19"/>
      <c r="BP527" s="17"/>
    </row>
    <row r="528" spans="1:68" x14ac:dyDescent="0.2">
      <c r="A528" t="str">
        <f t="shared" si="101"/>
        <v>x</v>
      </c>
      <c r="D528" s="26" t="s">
        <v>729</v>
      </c>
      <c r="E528" s="4"/>
      <c r="F528" s="46"/>
      <c r="G528" s="4"/>
      <c r="H528" s="48"/>
      <c r="I528" s="26">
        <v>91</v>
      </c>
      <c r="J528" s="26" t="str">
        <f t="shared" si="107"/>
        <v/>
      </c>
      <c r="N528" t="str">
        <f t="shared" si="100"/>
        <v/>
      </c>
      <c r="Q528" t="str">
        <f t="shared" ref="Q528:Q591" si="108">IF(O528="","",IF(AND(N528&lt;&gt;"",OR(O528&lt;&gt;"",P528&lt;&gt;"")),N528,IF(OR(ISNUMBER(SEARCH("attemp",O528)),ISNUMBER(SEARCH("beat",O528)),ISNUMBER(SEARCH("mis",O528)),ISNUMBER(SEARCH("fail",O528)),ISNUMBER(SEARCH("loss",O528)),ISNUMBER(SEARCH("lost",O528)),ISNUMBER(SEARCH("attemp",P528)),ISNUMBER(SEARCH("mis",P528)),ISNUMBER(SEARCH("fail",P528)),ISNUMBER(SEARCH("loss",P528)),ISNUMBER(SEARCH("beat",P528)),ISNUMBER(SEARCH("lost",P528))),"u","")))</f>
        <v/>
      </c>
      <c r="S528">
        <f>IF(A528=1,MAX($S$2:$S527)+1,IF(OR($I528&lt;&gt;"",A528="x"),$S527,""))</f>
        <v>262</v>
      </c>
      <c r="T528">
        <f>IF(D528=1,MAX($T$2:$T527)+1,IF(S528=S527,$T527,IF(D528="x",T527,IF(D527="x","",""))))</f>
        <v>33</v>
      </c>
      <c r="U528" t="str">
        <f>IF(B528=1,MAX($U$2:$U527)+1,IF(AND($T528&lt;&gt;"",$T528=$T527),$U527,IF(B528="x",U527,"")))</f>
        <v/>
      </c>
      <c r="V528" t="str">
        <f>IF(C528=1,MAX($V$2:$V527)+1,IF(AND($T528&lt;&gt;"",$T528=$T527),$U527,IF(C528="x",V527,"")))</f>
        <v/>
      </c>
      <c r="X528" cm="1">
        <f t="array" ref="X528">IF($I528&lt;&gt;"",$I528,INDEX($I$1:$I528,ROW()-COUNTIFS($T$1:$T528,"="&amp;$T528,$S$1:$S528,"&lt;"&amp;$S528)))</f>
        <v>91</v>
      </c>
      <c r="Z528" s="6">
        <f t="shared" si="102"/>
        <v>1</v>
      </c>
      <c r="AA528">
        <f t="shared" si="103"/>
        <v>1262</v>
      </c>
      <c r="AB528">
        <f t="shared" si="104"/>
        <v>9033</v>
      </c>
      <c r="AC528">
        <f t="shared" si="105"/>
        <v>9033</v>
      </c>
      <c r="AI528" t="str">
        <f t="shared" si="106"/>
        <v>d</v>
      </c>
      <c r="BI528" s="40"/>
      <c r="BL528" s="40"/>
      <c r="BN528" s="19"/>
      <c r="BP528" s="17"/>
    </row>
    <row r="529" spans="1:68" x14ac:dyDescent="0.2">
      <c r="A529">
        <f t="shared" si="101"/>
        <v>1</v>
      </c>
      <c r="D529" s="26" t="s">
        <v>729</v>
      </c>
      <c r="E529" s="4"/>
      <c r="F529" s="46"/>
      <c r="G529" s="4"/>
      <c r="H529" s="48"/>
      <c r="I529" s="26">
        <v>1</v>
      </c>
      <c r="J529" s="26" t="str">
        <f t="shared" si="107"/>
        <v>d</v>
      </c>
      <c r="K529" t="s">
        <v>231</v>
      </c>
      <c r="L529" t="s">
        <v>233</v>
      </c>
      <c r="N529" t="str">
        <f t="shared" si="100"/>
        <v/>
      </c>
      <c r="Q529" t="str">
        <f t="shared" si="108"/>
        <v/>
      </c>
      <c r="S529">
        <f>IF(A529=1,MAX($S$2:$S528)+1,IF(OR($I529&lt;&gt;"",A529="x"),$S528,""))</f>
        <v>263</v>
      </c>
      <c r="T529">
        <f>IF(D529=1,MAX($T$2:$T528)+1,IF(S529=S528,$T528,IF(D529="x",T528,IF(D528="x","",""))))</f>
        <v>33</v>
      </c>
      <c r="U529" t="str">
        <f>IF(B529=1,MAX($U$2:$U528)+1,IF(AND($T529&lt;&gt;"",$T529=$T528),$U528,IF(B529="x",U528,"")))</f>
        <v/>
      </c>
      <c r="V529" t="str">
        <f>IF(C529=1,MAX($V$2:$V528)+1,IF(AND($T529&lt;&gt;"",$T529=$T528),$U528,IF(C529="x",V528,"")))</f>
        <v/>
      </c>
      <c r="X529" cm="1">
        <f t="array" ref="X529">IF($I529&lt;&gt;"",$I529,INDEX($I$1:$I529,ROW()-COUNTIFS($T$1:$T529,"="&amp;$T529,$S$1:$S529,"&lt;"&amp;$S529)))</f>
        <v>1</v>
      </c>
      <c r="Z529" s="6">
        <f t="shared" si="102"/>
        <v>1</v>
      </c>
      <c r="AA529">
        <f t="shared" si="103"/>
        <v>1263</v>
      </c>
      <c r="AB529">
        <f t="shared" si="104"/>
        <v>9033</v>
      </c>
      <c r="AC529">
        <f t="shared" si="105"/>
        <v>9033</v>
      </c>
      <c r="AI529" t="str">
        <f t="shared" si="106"/>
        <v>d</v>
      </c>
      <c r="BI529" s="40"/>
      <c r="BL529" s="40"/>
      <c r="BN529" s="19"/>
      <c r="BP529" s="17"/>
    </row>
    <row r="530" spans="1:68" x14ac:dyDescent="0.2">
      <c r="A530">
        <f t="shared" si="101"/>
        <v>1</v>
      </c>
      <c r="E530" s="4"/>
      <c r="F530" s="46" t="s">
        <v>747</v>
      </c>
      <c r="G530" s="4"/>
      <c r="H530" s="48" t="s">
        <v>1042</v>
      </c>
      <c r="I530" s="26">
        <v>91</v>
      </c>
      <c r="J530" s="26" t="str">
        <f t="shared" si="107"/>
        <v/>
      </c>
      <c r="K530" t="s">
        <v>13</v>
      </c>
      <c r="L530" t="s">
        <v>587</v>
      </c>
      <c r="N530" t="s">
        <v>595</v>
      </c>
      <c r="O530" t="s">
        <v>908</v>
      </c>
      <c r="Q530" t="str">
        <f t="shared" si="108"/>
        <v>s</v>
      </c>
      <c r="S530">
        <f>IF(A530=1,MAX($S$2:$S529)+1,IF(OR($I530&lt;&gt;"",A530="x"),$S529,""))</f>
        <v>264</v>
      </c>
      <c r="T530" t="str">
        <f>IF(D530=1,MAX($T$2:$T529)+1,IF(S530=S529,$T529,IF(D530="x",T529,IF(D529="x","",""))))</f>
        <v/>
      </c>
      <c r="U530" t="str">
        <f>IF(B530=1,MAX($U$2:$U529)+1,IF(AND($T530&lt;&gt;"",$T530=$T529),$U529,IF(B530="x",U529,"")))</f>
        <v/>
      </c>
      <c r="V530" t="str">
        <f>IF(C530=1,MAX($V$2:$V529)+1,IF(AND($T530&lt;&gt;"",$T530=$T529),$U529,IF(C530="x",V529,"")))</f>
        <v/>
      </c>
      <c r="X530" cm="1">
        <f t="array" ref="X530">IF($I530&lt;&gt;"",$I530,INDEX($I$1:$I530,ROW()-COUNTIFS($T$1:$T530,"="&amp;$T530,$S$1:$S530,"&lt;"&amp;$S530)))</f>
        <v>91</v>
      </c>
      <c r="Z530" s="6">
        <f t="shared" si="102"/>
        <v>1</v>
      </c>
      <c r="AA530">
        <f t="shared" si="103"/>
        <v>1264</v>
      </c>
      <c r="AB530" t="str">
        <f t="shared" si="104"/>
        <v/>
      </c>
      <c r="AC530">
        <f t="shared" si="105"/>
        <v>1264</v>
      </c>
      <c r="AI530" t="str">
        <f t="shared" si="106"/>
        <v/>
      </c>
      <c r="BI530" s="40"/>
      <c r="BL530" s="40"/>
      <c r="BN530" s="19"/>
      <c r="BP530" s="17"/>
    </row>
    <row r="531" spans="1:68" x14ac:dyDescent="0.2">
      <c r="A531">
        <f t="shared" si="101"/>
        <v>1</v>
      </c>
      <c r="E531" s="4"/>
      <c r="F531" s="46"/>
      <c r="G531" s="4"/>
      <c r="H531" s="48"/>
      <c r="I531" s="26">
        <v>91</v>
      </c>
      <c r="J531" s="26" t="s">
        <v>368</v>
      </c>
      <c r="K531" t="s">
        <v>7</v>
      </c>
      <c r="L531" t="s">
        <v>172</v>
      </c>
      <c r="M531" t="s">
        <v>385</v>
      </c>
      <c r="N531" t="str">
        <f t="shared" si="100"/>
        <v>s</v>
      </c>
      <c r="Q531" t="str">
        <f t="shared" si="108"/>
        <v/>
      </c>
      <c r="R531" s="26">
        <v>1</v>
      </c>
      <c r="S531">
        <f>IF(A531=1,MAX($S$2:$S530)+1,IF(OR($I531&lt;&gt;"",A531="x"),$S530,""))</f>
        <v>265</v>
      </c>
      <c r="T531" t="str">
        <f>IF(D531=1,MAX($T$2:$T530)+1,IF(S531=S530,$T530,IF(D531="x",T530,IF(D530="x","",""))))</f>
        <v/>
      </c>
      <c r="U531" t="str">
        <f>IF(B531=1,MAX($U$2:$U530)+1,IF(AND($T531&lt;&gt;"",$T531=$T530),$U530,IF(B531="x",U530,"")))</f>
        <v/>
      </c>
      <c r="V531" t="str">
        <f>IF(C531=1,MAX($V$2:$V530)+1,IF(AND($T531&lt;&gt;"",$T531=$T530),$U530,IF(C531="x",V530,"")))</f>
        <v/>
      </c>
      <c r="X531" cm="1">
        <f t="array" ref="X531">IF($I531&lt;&gt;"",$I531,INDEX($I$1:$I531,ROW()-COUNTIFS($T$1:$T531,"="&amp;$T531,$S$1:$S531,"&lt;"&amp;$S531)))</f>
        <v>91</v>
      </c>
      <c r="Z531" s="6">
        <f t="shared" si="102"/>
        <v>1</v>
      </c>
      <c r="AA531">
        <f t="shared" si="103"/>
        <v>1265</v>
      </c>
      <c r="AB531" t="str">
        <f t="shared" si="104"/>
        <v/>
      </c>
      <c r="AC531">
        <f t="shared" si="105"/>
        <v>1265</v>
      </c>
      <c r="AI531" t="str">
        <f t="shared" si="106"/>
        <v>o</v>
      </c>
      <c r="BI531" s="40"/>
      <c r="BL531" s="40"/>
      <c r="BN531" s="19"/>
      <c r="BP531" s="17"/>
    </row>
    <row r="532" spans="1:68" x14ac:dyDescent="0.2">
      <c r="A532" t="str">
        <f t="shared" si="101"/>
        <v/>
      </c>
      <c r="E532" s="4"/>
      <c r="F532" s="46"/>
      <c r="G532" s="4"/>
      <c r="H532" s="48"/>
      <c r="I532" s="26">
        <v>84</v>
      </c>
      <c r="J532" s="26" t="str">
        <f t="shared" si="107"/>
        <v/>
      </c>
      <c r="N532" t="str">
        <f t="shared" si="100"/>
        <v/>
      </c>
      <c r="Q532" t="str">
        <f t="shared" si="108"/>
        <v/>
      </c>
      <c r="S532">
        <f>IF(A532=1,MAX($S$2:$S531)+1,IF(OR($I532&lt;&gt;"",A532="x"),$S531,""))</f>
        <v>265</v>
      </c>
      <c r="T532" t="str">
        <f>IF(D532=1,MAX($T$2:$T531)+1,IF(S532=S531,$T531,IF(D532="x",T531,IF(D531="x","",""))))</f>
        <v/>
      </c>
      <c r="U532" t="str">
        <f>IF(B532=1,MAX($U$2:$U531)+1,IF(AND($T532&lt;&gt;"",$T532=$T531),$U531,IF(B532="x",U531,"")))</f>
        <v/>
      </c>
      <c r="V532" t="str">
        <f>IF(C532=1,MAX($V$2:$V531)+1,IF(AND($T532&lt;&gt;"",$T532=$T531),$U531,IF(C532="x",V531,"")))</f>
        <v/>
      </c>
      <c r="X532" cm="1">
        <f t="array" ref="X532">IF($I532&lt;&gt;"",$I532,INDEX($I$1:$I532,ROW()-COUNTIFS($T$1:$T532,"="&amp;$T532,$S$1:$S532,"&lt;"&amp;$S532)))</f>
        <v>84</v>
      </c>
      <c r="Z532" s="6">
        <f t="shared" si="102"/>
        <v>1</v>
      </c>
      <c r="AA532">
        <f t="shared" si="103"/>
        <v>1265</v>
      </c>
      <c r="AB532" t="str">
        <f t="shared" si="104"/>
        <v/>
      </c>
      <c r="AC532">
        <f t="shared" si="105"/>
        <v>1265</v>
      </c>
      <c r="AI532" t="str">
        <f t="shared" si="106"/>
        <v>o</v>
      </c>
      <c r="BI532" s="40"/>
      <c r="BL532" s="40"/>
      <c r="BN532" s="19"/>
      <c r="BP532" s="17"/>
    </row>
    <row r="533" spans="1:68" x14ac:dyDescent="0.2">
      <c r="A533" t="str">
        <f t="shared" si="101"/>
        <v/>
      </c>
      <c r="E533" s="4"/>
      <c r="F533" s="46"/>
      <c r="G533" s="4"/>
      <c r="H533" s="48"/>
      <c r="I533" s="26">
        <v>69</v>
      </c>
      <c r="J533" s="26" t="str">
        <f t="shared" si="107"/>
        <v/>
      </c>
      <c r="N533" t="str">
        <f t="shared" ref="N533:N595" si="109">IF(K533="","",IF(K533="Goal","s",IF(AND(K533="Zone_Entry_Exit",OR(ISNUMBER(SEARCH("fail",L533)),ISNUMBER(SEARCH("FromExitClear",M533)),ISNUMBER(SEARCH("miss",M533)))),"u",IF(AND(K533="Zone_Entry_Exit",OR(NOT(ISNUMBER(SEARCH("fail",L533))),NOT(ISNUMBER(SEARCH("FromExitClear",M533))),NOT(ISNUMBER(SEARCH("miss",M533))))),"s",IF(AND(OR(K533="Shot",K533="Pass"),OR(ISNUMBER(SEARCH("complete",L533)),ISNUMBER(SEARCH("goal",L533)),ISNUMBER(SEARCH("OnNet",L533)))),"s",IF(L533="Turnover_Giveaway","u",IF(AND(OR(K533="Shot",K533="Pass"),OR(ISNUMBER(SEARCH("fail",L533)),NOT(ISNUMBER(SEARCH("complete",L533))),NOT(ISNUMBER(SEARCH("OnNet",L533))))),"u","")))))))</f>
        <v/>
      </c>
      <c r="O533" t="s">
        <v>567</v>
      </c>
      <c r="Q533" t="str">
        <f t="shared" si="108"/>
        <v/>
      </c>
      <c r="R533" s="26">
        <v>1</v>
      </c>
      <c r="S533">
        <f>IF(A533=1,MAX($S$2:$S532)+1,IF(OR($I533&lt;&gt;"",A533="x"),$S532,""))</f>
        <v>265</v>
      </c>
      <c r="T533" t="str">
        <f>IF(D533=1,MAX($T$2:$T532)+1,IF(S533=S532,$T532,IF(D533="x",T532,IF(D532="x","",""))))</f>
        <v/>
      </c>
      <c r="U533" t="str">
        <f>IF(B533=1,MAX($U$2:$U532)+1,IF(AND($T533&lt;&gt;"",$T533=$T532),$U532,IF(B533="x",U532,"")))</f>
        <v/>
      </c>
      <c r="V533" t="str">
        <f>IF(C533=1,MAX($V$2:$V532)+1,IF(AND($T533&lt;&gt;"",$T533=$T532),$U532,IF(C533="x",V532,"")))</f>
        <v/>
      </c>
      <c r="X533" cm="1">
        <f t="array" ref="X533">IF($I533&lt;&gt;"",$I533,INDEX($I$1:$I533,ROW()-COUNTIFS($T$1:$T533,"="&amp;$T533,$S$1:$S533,"&lt;"&amp;$S533)))</f>
        <v>69</v>
      </c>
      <c r="Z533" s="6">
        <f t="shared" si="102"/>
        <v>1</v>
      </c>
      <c r="AA533">
        <f t="shared" si="103"/>
        <v>1265</v>
      </c>
      <c r="AB533" t="str">
        <f t="shared" si="104"/>
        <v/>
      </c>
      <c r="AC533">
        <f t="shared" si="105"/>
        <v>1265</v>
      </c>
      <c r="AI533" t="str">
        <f t="shared" si="106"/>
        <v>o</v>
      </c>
      <c r="BI533" s="40"/>
      <c r="BL533" s="40"/>
      <c r="BN533" s="19"/>
      <c r="BP533" s="17"/>
    </row>
    <row r="534" spans="1:68" x14ac:dyDescent="0.2">
      <c r="A534">
        <f t="shared" si="101"/>
        <v>1</v>
      </c>
      <c r="E534" s="4"/>
      <c r="F534" s="46"/>
      <c r="G534" s="4"/>
      <c r="H534" s="48" t="s">
        <v>1069</v>
      </c>
      <c r="I534" s="26">
        <v>84</v>
      </c>
      <c r="J534" s="26" t="s">
        <v>368</v>
      </c>
      <c r="K534" t="s">
        <v>7</v>
      </c>
      <c r="L534" t="s">
        <v>172</v>
      </c>
      <c r="M534" t="s">
        <v>68</v>
      </c>
      <c r="N534" t="str">
        <f t="shared" si="109"/>
        <v>s</v>
      </c>
      <c r="Q534" t="str">
        <f t="shared" si="108"/>
        <v/>
      </c>
      <c r="R534" s="26">
        <v>1</v>
      </c>
      <c r="S534">
        <f>IF(A534=1,MAX($S$2:$S533)+1,IF(OR($I534&lt;&gt;"",A534="x"),$S533,""))</f>
        <v>266</v>
      </c>
      <c r="T534" t="str">
        <f>IF(D534=1,MAX($T$2:$T533)+1,IF(S534=S533,$T533,IF(D534="x",T533,IF(D533="x","",""))))</f>
        <v/>
      </c>
      <c r="U534" t="str">
        <f>IF(B534=1,MAX($U$2:$U533)+1,IF(AND($T534&lt;&gt;"",$T534=$T533),$U533,IF(B534="x",U533,"")))</f>
        <v/>
      </c>
      <c r="V534" t="str">
        <f>IF(C534=1,MAX($V$2:$V533)+1,IF(AND($T534&lt;&gt;"",$T534=$T533),$U533,IF(C534="x",V533,"")))</f>
        <v/>
      </c>
      <c r="X534" cm="1">
        <f t="array" ref="X534">IF($I534&lt;&gt;"",$I534,INDEX($I$1:$I534,ROW()-COUNTIFS($T$1:$T534,"="&amp;$T534,$S$1:$S534,"&lt;"&amp;$S534)))</f>
        <v>84</v>
      </c>
      <c r="Z534" s="6">
        <f t="shared" si="102"/>
        <v>1</v>
      </c>
      <c r="AA534">
        <f t="shared" si="103"/>
        <v>1266</v>
      </c>
      <c r="AB534" t="str">
        <f t="shared" si="104"/>
        <v/>
      </c>
      <c r="AC534">
        <f t="shared" si="105"/>
        <v>1266</v>
      </c>
      <c r="AI534" t="str">
        <f t="shared" si="106"/>
        <v>o</v>
      </c>
      <c r="BI534" s="40"/>
      <c r="BL534" s="40"/>
      <c r="BN534" s="19"/>
      <c r="BP534" s="17"/>
    </row>
    <row r="535" spans="1:68" x14ac:dyDescent="0.2">
      <c r="A535" t="str">
        <f t="shared" si="101"/>
        <v/>
      </c>
      <c r="E535" s="4"/>
      <c r="F535" s="46"/>
      <c r="G535" s="4"/>
      <c r="H535" s="48"/>
      <c r="I535" s="26">
        <v>70</v>
      </c>
      <c r="J535" s="26" t="str">
        <f t="shared" si="107"/>
        <v/>
      </c>
      <c r="N535" t="str">
        <f t="shared" si="109"/>
        <v/>
      </c>
      <c r="Q535" t="str">
        <f t="shared" si="108"/>
        <v/>
      </c>
      <c r="S535">
        <f>IF(A535=1,MAX($S$2:$S534)+1,IF(OR($I535&lt;&gt;"",A535="x"),$S534,""))</f>
        <v>266</v>
      </c>
      <c r="T535" t="str">
        <f>IF(D535=1,MAX($T$2:$T534)+1,IF(S535=S534,$T534,IF(D535="x",T534,IF(D534="x","",""))))</f>
        <v/>
      </c>
      <c r="U535" t="str">
        <f>IF(B535=1,MAX($U$2:$U534)+1,IF(AND($T535&lt;&gt;"",$T535=$T534),$U534,IF(B535="x",U534,"")))</f>
        <v/>
      </c>
      <c r="V535" t="str">
        <f>IF(C535=1,MAX($V$2:$V534)+1,IF(AND($T535&lt;&gt;"",$T535=$T534),$U534,IF(C535="x",V534,"")))</f>
        <v/>
      </c>
      <c r="X535" cm="1">
        <f t="array" ref="X535">IF($I535&lt;&gt;"",$I535,INDEX($I$1:$I535,ROW()-COUNTIFS($T$1:$T535,"="&amp;$T535,$S$1:$S535,"&lt;"&amp;$S535)))</f>
        <v>70</v>
      </c>
      <c r="Z535" s="6">
        <f t="shared" si="102"/>
        <v>1</v>
      </c>
      <c r="AA535">
        <f t="shared" si="103"/>
        <v>1266</v>
      </c>
      <c r="AB535" t="str">
        <f t="shared" si="104"/>
        <v/>
      </c>
      <c r="AC535">
        <f t="shared" si="105"/>
        <v>1266</v>
      </c>
      <c r="AI535" t="str">
        <f t="shared" si="106"/>
        <v>o</v>
      </c>
      <c r="BI535" s="40"/>
      <c r="BL535" s="40"/>
      <c r="BN535" s="19"/>
      <c r="BP535" s="17"/>
    </row>
    <row r="536" spans="1:68" x14ac:dyDescent="0.2">
      <c r="A536" t="str">
        <f t="shared" si="101"/>
        <v/>
      </c>
      <c r="E536" s="4"/>
      <c r="F536" s="46"/>
      <c r="G536" s="4"/>
      <c r="H536" s="48"/>
      <c r="I536" s="26">
        <v>69</v>
      </c>
      <c r="J536" s="26" t="str">
        <f t="shared" si="107"/>
        <v/>
      </c>
      <c r="N536" t="str">
        <f t="shared" si="109"/>
        <v/>
      </c>
      <c r="Q536" t="str">
        <f t="shared" si="108"/>
        <v/>
      </c>
      <c r="R536" s="26">
        <v>1</v>
      </c>
      <c r="S536">
        <f>IF(A536=1,MAX($S$2:$S535)+1,IF(OR($I536&lt;&gt;"",A536="x"),$S535,""))</f>
        <v>266</v>
      </c>
      <c r="T536" t="str">
        <f>IF(D536=1,MAX($T$2:$T535)+1,IF(S536=S535,$T535,IF(D536="x",T535,IF(D535="x","",""))))</f>
        <v/>
      </c>
      <c r="U536" t="str">
        <f>IF(B536=1,MAX($U$2:$U535)+1,IF(AND($T536&lt;&gt;"",$T536=$T535),$U535,IF(B536="x",U535,"")))</f>
        <v/>
      </c>
      <c r="V536" t="str">
        <f>IF(C536=1,MAX($V$2:$V535)+1,IF(AND($T536&lt;&gt;"",$T536=$T535),$U535,IF(C536="x",V535,"")))</f>
        <v/>
      </c>
      <c r="X536" cm="1">
        <f t="array" ref="X536">IF($I536&lt;&gt;"",$I536,INDEX($I$1:$I536,ROW()-COUNTIFS($T$1:$T536,"="&amp;$T536,$S$1:$S536,"&lt;"&amp;$S536)))</f>
        <v>69</v>
      </c>
      <c r="Z536" s="6">
        <f t="shared" si="102"/>
        <v>1</v>
      </c>
      <c r="AA536">
        <f t="shared" si="103"/>
        <v>1266</v>
      </c>
      <c r="AB536" t="str">
        <f t="shared" si="104"/>
        <v/>
      </c>
      <c r="AC536">
        <f t="shared" si="105"/>
        <v>1266</v>
      </c>
      <c r="AI536" t="str">
        <f t="shared" si="106"/>
        <v>o</v>
      </c>
      <c r="BI536" s="40"/>
      <c r="BL536" s="40"/>
      <c r="BN536" s="19"/>
      <c r="BP536" s="17"/>
    </row>
    <row r="537" spans="1:68" x14ac:dyDescent="0.2">
      <c r="A537">
        <f t="shared" si="101"/>
        <v>1</v>
      </c>
      <c r="E537" s="4"/>
      <c r="F537" s="46"/>
      <c r="G537" s="4"/>
      <c r="H537" s="48" t="s">
        <v>1057</v>
      </c>
      <c r="I537" s="26">
        <v>70</v>
      </c>
      <c r="J537" s="26" t="s">
        <v>368</v>
      </c>
      <c r="K537" t="s">
        <v>13</v>
      </c>
      <c r="N537" t="str">
        <f t="shared" si="109"/>
        <v/>
      </c>
      <c r="Q537" t="str">
        <f t="shared" si="108"/>
        <v/>
      </c>
      <c r="S537">
        <f>IF(A537=1,MAX($S$2:$S536)+1,IF(OR($I537&lt;&gt;"",A537="x"),$S536,""))</f>
        <v>267</v>
      </c>
      <c r="T537" t="str">
        <f>IF(D537=1,MAX($T$2:$T536)+1,IF(S537=S536,$T536,IF(D537="x",T536,IF(D536="x","",""))))</f>
        <v/>
      </c>
      <c r="U537" t="str">
        <f>IF(B537=1,MAX($U$2:$U536)+1,IF(AND($T537&lt;&gt;"",$T537=$T536),$U536,IF(B537="x",U536,"")))</f>
        <v/>
      </c>
      <c r="V537" t="str">
        <f>IF(C537=1,MAX($V$2:$V536)+1,IF(AND($T537&lt;&gt;"",$T537=$T536),$U536,IF(C537="x",V536,"")))</f>
        <v/>
      </c>
      <c r="X537" cm="1">
        <f t="array" ref="X537">IF($I537&lt;&gt;"",$I537,INDEX($I$1:$I537,ROW()-COUNTIFS($T$1:$T537,"="&amp;$T537,$S$1:$S537,"&lt;"&amp;$S537)))</f>
        <v>70</v>
      </c>
      <c r="Z537" s="6">
        <f t="shared" si="102"/>
        <v>1</v>
      </c>
      <c r="AA537">
        <f t="shared" si="103"/>
        <v>1267</v>
      </c>
      <c r="AB537" t="str">
        <f t="shared" si="104"/>
        <v/>
      </c>
      <c r="AC537">
        <f t="shared" si="105"/>
        <v>1267</v>
      </c>
      <c r="AI537" t="str">
        <f t="shared" si="106"/>
        <v>o</v>
      </c>
      <c r="BI537" s="40"/>
      <c r="BL537" s="40"/>
      <c r="BN537" s="19"/>
      <c r="BP537" s="17"/>
    </row>
    <row r="538" spans="1:68" x14ac:dyDescent="0.2">
      <c r="A538">
        <f t="shared" si="101"/>
        <v>1</v>
      </c>
      <c r="D538" s="26">
        <v>1</v>
      </c>
      <c r="E538" s="4"/>
      <c r="F538" s="46"/>
      <c r="G538" s="4"/>
      <c r="H538" s="48"/>
      <c r="I538" s="26">
        <v>70</v>
      </c>
      <c r="J538" s="26" t="str">
        <f t="shared" si="107"/>
        <v>o</v>
      </c>
      <c r="K538" t="s">
        <v>6</v>
      </c>
      <c r="L538" t="s">
        <v>205</v>
      </c>
      <c r="M538" t="s">
        <v>51</v>
      </c>
      <c r="N538" t="str">
        <f t="shared" si="109"/>
        <v>s</v>
      </c>
      <c r="Q538" t="str">
        <f t="shared" si="108"/>
        <v/>
      </c>
      <c r="S538">
        <f>IF(A538=1,MAX($S$2:$S537)+1,IF(OR($I538&lt;&gt;"",A538="x"),$S537,""))</f>
        <v>268</v>
      </c>
      <c r="T538">
        <f>IF(D538=1,MAX($T$2:$T537)+1,IF(S538=S537,$T537,IF(D538="x",T537,IF(D537="x","",""))))</f>
        <v>34</v>
      </c>
      <c r="U538" t="str">
        <f>IF(B538=1,MAX($U$2:$U537)+1,IF(AND($T538&lt;&gt;"",$T538=$T537),$U537,IF(B538="x",U537,"")))</f>
        <v/>
      </c>
      <c r="V538" t="str">
        <f>IF(C538=1,MAX($V$2:$V537)+1,IF(AND($T538&lt;&gt;"",$T538=$T537),$U537,IF(C538="x",V537,"")))</f>
        <v/>
      </c>
      <c r="X538" cm="1">
        <f t="array" ref="X538">IF($I538&lt;&gt;"",$I538,INDEX($I$1:$I538,ROW()-COUNTIFS($T$1:$T538,"="&amp;$T538,$S$1:$S538,"&lt;"&amp;$S538)))</f>
        <v>70</v>
      </c>
      <c r="Z538" s="6">
        <f t="shared" si="102"/>
        <v>1</v>
      </c>
      <c r="AA538">
        <f t="shared" si="103"/>
        <v>1268</v>
      </c>
      <c r="AB538">
        <f t="shared" si="104"/>
        <v>9034</v>
      </c>
      <c r="AC538">
        <f t="shared" si="105"/>
        <v>9034</v>
      </c>
      <c r="AI538" t="str">
        <f t="shared" si="106"/>
        <v>o</v>
      </c>
      <c r="BI538" s="40"/>
      <c r="BL538" s="40"/>
      <c r="BN538" s="19"/>
      <c r="BP538" s="17"/>
    </row>
    <row r="539" spans="1:68" x14ac:dyDescent="0.2">
      <c r="A539" t="str">
        <f t="shared" si="101"/>
        <v>x</v>
      </c>
      <c r="D539" s="26" t="s">
        <v>729</v>
      </c>
      <c r="E539" s="4"/>
      <c r="F539" s="46"/>
      <c r="G539" s="4"/>
      <c r="H539" s="48"/>
      <c r="I539" s="26">
        <v>1</v>
      </c>
      <c r="J539" s="26" t="str">
        <f t="shared" si="107"/>
        <v/>
      </c>
      <c r="N539" t="str">
        <f t="shared" si="109"/>
        <v/>
      </c>
      <c r="Q539" t="str">
        <f t="shared" si="108"/>
        <v/>
      </c>
      <c r="S539">
        <f>IF(A539=1,MAX($S$2:$S538)+1,IF(OR($I539&lt;&gt;"",A539="x"),$S538,""))</f>
        <v>268</v>
      </c>
      <c r="T539">
        <f>IF(D539=1,MAX($T$2:$T538)+1,IF(S539=S538,$T538,IF(D539="x",T538,IF(D538="x","",""))))</f>
        <v>34</v>
      </c>
      <c r="U539" t="str">
        <f>IF(B539=1,MAX($U$2:$U538)+1,IF(AND($T539&lt;&gt;"",$T539=$T538),$U538,IF(B539="x",U538,"")))</f>
        <v/>
      </c>
      <c r="V539" t="str">
        <f>IF(C539=1,MAX($V$2:$V538)+1,IF(AND($T539&lt;&gt;"",$T539=$T538),$U538,IF(C539="x",V538,"")))</f>
        <v/>
      </c>
      <c r="X539" cm="1">
        <f t="array" ref="X539">IF($I539&lt;&gt;"",$I539,INDEX($I$1:$I539,ROW()-COUNTIFS($T$1:$T539,"="&amp;$T539,$S$1:$S539,"&lt;"&amp;$S539)))</f>
        <v>1</v>
      </c>
      <c r="Z539" s="6">
        <f t="shared" si="102"/>
        <v>1</v>
      </c>
      <c r="AA539">
        <f t="shared" si="103"/>
        <v>1268</v>
      </c>
      <c r="AB539">
        <f t="shared" si="104"/>
        <v>9034</v>
      </c>
      <c r="AC539">
        <f t="shared" si="105"/>
        <v>9034</v>
      </c>
      <c r="AI539" t="str">
        <f t="shared" si="106"/>
        <v>o</v>
      </c>
      <c r="BI539" s="40"/>
      <c r="BL539" s="40"/>
      <c r="BN539" s="19"/>
      <c r="BP539" s="17"/>
    </row>
    <row r="540" spans="1:68" x14ac:dyDescent="0.2">
      <c r="A540" t="str">
        <f t="shared" si="101"/>
        <v>x</v>
      </c>
      <c r="D540" s="26" t="s">
        <v>729</v>
      </c>
      <c r="E540" s="4"/>
      <c r="F540" s="46"/>
      <c r="G540" s="4"/>
      <c r="H540" s="48"/>
      <c r="I540" s="26">
        <v>57</v>
      </c>
      <c r="J540" s="26" t="str">
        <f t="shared" si="107"/>
        <v/>
      </c>
      <c r="N540" t="str">
        <f t="shared" si="109"/>
        <v/>
      </c>
      <c r="Q540" t="str">
        <f t="shared" si="108"/>
        <v/>
      </c>
      <c r="S540">
        <f>IF(A540=1,MAX($S$2:$S539)+1,IF(OR($I540&lt;&gt;"",A540="x"),$S539,""))</f>
        <v>268</v>
      </c>
      <c r="T540">
        <f>IF(D540=1,MAX($T$2:$T539)+1,IF(S540=S539,$T539,IF(D540="x",T539,IF(D539="x","",""))))</f>
        <v>34</v>
      </c>
      <c r="U540" t="str">
        <f>IF(B540=1,MAX($U$2:$U539)+1,IF(AND($T540&lt;&gt;"",$T540=$T539),$U539,IF(B540="x",U539,"")))</f>
        <v/>
      </c>
      <c r="V540" t="str">
        <f>IF(C540=1,MAX($V$2:$V539)+1,IF(AND($T540&lt;&gt;"",$T540=$T539),$U539,IF(C540="x",V539,"")))</f>
        <v/>
      </c>
      <c r="X540" cm="1">
        <f t="array" ref="X540">IF($I540&lt;&gt;"",$I540,INDEX($I$1:$I540,ROW()-COUNTIFS($T$1:$T540,"="&amp;$T540,$S$1:$S540,"&lt;"&amp;$S540)))</f>
        <v>57</v>
      </c>
      <c r="Z540" s="6">
        <f t="shared" si="102"/>
        <v>1</v>
      </c>
      <c r="AA540">
        <f t="shared" si="103"/>
        <v>1268</v>
      </c>
      <c r="AB540">
        <f t="shared" si="104"/>
        <v>9034</v>
      </c>
      <c r="AC540">
        <f t="shared" si="105"/>
        <v>9034</v>
      </c>
      <c r="AI540" t="str">
        <f t="shared" si="106"/>
        <v>o</v>
      </c>
      <c r="BI540" s="40"/>
      <c r="BL540" s="40"/>
      <c r="BN540" s="19"/>
      <c r="BP540" s="17"/>
    </row>
    <row r="541" spans="1:68" x14ac:dyDescent="0.2">
      <c r="A541">
        <f t="shared" si="101"/>
        <v>1</v>
      </c>
      <c r="D541" s="26" t="s">
        <v>729</v>
      </c>
      <c r="E541" s="4"/>
      <c r="F541" s="46"/>
      <c r="G541" s="4"/>
      <c r="H541" s="48"/>
      <c r="I541" s="26">
        <v>1</v>
      </c>
      <c r="J541" s="26" t="str">
        <f t="shared" si="107"/>
        <v>d</v>
      </c>
      <c r="K541" t="s">
        <v>15</v>
      </c>
      <c r="L541" t="s">
        <v>179</v>
      </c>
      <c r="M541" t="s">
        <v>94</v>
      </c>
      <c r="N541" t="str">
        <f t="shared" si="109"/>
        <v/>
      </c>
      <c r="Q541" t="str">
        <f t="shared" si="108"/>
        <v/>
      </c>
      <c r="S541">
        <f>IF(A541=1,MAX($S$2:$S540)+1,IF(OR($I541&lt;&gt;"",A541="x"),$S540,""))</f>
        <v>269</v>
      </c>
      <c r="T541">
        <f>IF(D541=1,MAX($T$2:$T540)+1,IF(S541=S540,$T540,IF(D541="x",T540,IF(D540="x","",""))))</f>
        <v>34</v>
      </c>
      <c r="U541" t="str">
        <f>IF(B541=1,MAX($U$2:$U540)+1,IF(AND($T541&lt;&gt;"",$T541=$T540),$U540,IF(B541="x",U540,"")))</f>
        <v/>
      </c>
      <c r="V541" t="str">
        <f>IF(C541=1,MAX($V$2:$V540)+1,IF(AND($T541&lt;&gt;"",$T541=$T540),$U540,IF(C541="x",V540,"")))</f>
        <v/>
      </c>
      <c r="X541" cm="1">
        <f t="array" ref="X541">IF($I541&lt;&gt;"",$I541,INDEX($I$1:$I541,ROW()-COUNTIFS($T$1:$T541,"="&amp;$T541,$S$1:$S541,"&lt;"&amp;$S541)))</f>
        <v>1</v>
      </c>
      <c r="Z541" s="6">
        <f t="shared" si="102"/>
        <v>1</v>
      </c>
      <c r="AA541">
        <f t="shared" si="103"/>
        <v>1269</v>
      </c>
      <c r="AB541">
        <f t="shared" si="104"/>
        <v>9034</v>
      </c>
      <c r="AC541">
        <f t="shared" si="105"/>
        <v>9034</v>
      </c>
      <c r="AI541" t="str">
        <f t="shared" si="106"/>
        <v>d</v>
      </c>
      <c r="BI541" s="40"/>
      <c r="BL541" s="40"/>
      <c r="BN541" s="19"/>
      <c r="BP541" s="17"/>
    </row>
    <row r="542" spans="1:68" x14ac:dyDescent="0.2">
      <c r="A542" t="str">
        <f t="shared" si="101"/>
        <v>x</v>
      </c>
      <c r="D542" s="26" t="s">
        <v>729</v>
      </c>
      <c r="E542" s="4"/>
      <c r="F542" s="46"/>
      <c r="G542" s="4"/>
      <c r="H542" s="48"/>
      <c r="I542" s="26">
        <v>57</v>
      </c>
      <c r="J542" s="26" t="str">
        <f t="shared" si="107"/>
        <v/>
      </c>
      <c r="N542" t="str">
        <f t="shared" si="109"/>
        <v/>
      </c>
      <c r="Q542" t="str">
        <f t="shared" si="108"/>
        <v/>
      </c>
      <c r="S542">
        <f>IF(A542=1,MAX($S$2:$S541)+1,IF(OR($I542&lt;&gt;"",A542="x"),$S541,""))</f>
        <v>269</v>
      </c>
      <c r="T542">
        <f>IF(D542=1,MAX($T$2:$T541)+1,IF(S542=S541,$T541,IF(D542="x",T541,IF(D541="x","",""))))</f>
        <v>34</v>
      </c>
      <c r="U542" t="str">
        <f>IF(B542=1,MAX($U$2:$U541)+1,IF(AND($T542&lt;&gt;"",$T542=$T541),$U541,IF(B542="x",U541,"")))</f>
        <v/>
      </c>
      <c r="V542" t="str">
        <f>IF(C542=1,MAX($V$2:$V541)+1,IF(AND($T542&lt;&gt;"",$T542=$T541),$U541,IF(C542="x",V541,"")))</f>
        <v/>
      </c>
      <c r="X542" cm="1">
        <f t="array" ref="X542">IF($I542&lt;&gt;"",$I542,INDEX($I$1:$I542,ROW()-COUNTIFS($T$1:$T542,"="&amp;$T542,$S$1:$S542,"&lt;"&amp;$S542)))</f>
        <v>57</v>
      </c>
      <c r="Z542" s="6">
        <f t="shared" si="102"/>
        <v>1</v>
      </c>
      <c r="AA542">
        <f t="shared" si="103"/>
        <v>1269</v>
      </c>
      <c r="AB542">
        <f t="shared" si="104"/>
        <v>9034</v>
      </c>
      <c r="AC542">
        <f t="shared" si="105"/>
        <v>9034</v>
      </c>
      <c r="AI542" t="str">
        <f t="shared" si="106"/>
        <v>d</v>
      </c>
      <c r="BI542" s="40"/>
      <c r="BL542" s="40"/>
      <c r="BN542" s="19"/>
      <c r="BP542" s="17"/>
    </row>
    <row r="543" spans="1:68" x14ac:dyDescent="0.2">
      <c r="A543" t="str">
        <f t="shared" si="101"/>
        <v>x</v>
      </c>
      <c r="D543" s="26" t="s">
        <v>729</v>
      </c>
      <c r="E543" s="4"/>
      <c r="F543" s="46"/>
      <c r="G543" s="4"/>
      <c r="H543" s="48"/>
      <c r="I543" s="26">
        <v>70</v>
      </c>
      <c r="J543" s="26" t="str">
        <f t="shared" si="107"/>
        <v/>
      </c>
      <c r="N543" t="str">
        <f t="shared" si="109"/>
        <v/>
      </c>
      <c r="Q543" t="str">
        <f t="shared" si="108"/>
        <v/>
      </c>
      <c r="S543">
        <f>IF(A543=1,MAX($S$2:$S542)+1,IF(OR($I543&lt;&gt;"",A543="x"),$S542,""))</f>
        <v>269</v>
      </c>
      <c r="T543">
        <f>IF(D543=1,MAX($T$2:$T542)+1,IF(S543=S542,$T542,IF(D543="x",T542,IF(D542="x","",""))))</f>
        <v>34</v>
      </c>
      <c r="U543" t="str">
        <f>IF(B543=1,MAX($U$2:$U542)+1,IF(AND($T543&lt;&gt;"",$T543=$T542),$U542,IF(B543="x",U542,"")))</f>
        <v/>
      </c>
      <c r="V543" t="str">
        <f>IF(C543=1,MAX($V$2:$V542)+1,IF(AND($T543&lt;&gt;"",$T543=$T542),$U542,IF(C543="x",V542,"")))</f>
        <v/>
      </c>
      <c r="X543" cm="1">
        <f t="array" ref="X543">IF($I543&lt;&gt;"",$I543,INDEX($I$1:$I543,ROW()-COUNTIFS($T$1:$T543,"="&amp;$T543,$S$1:$S543,"&lt;"&amp;$S543)))</f>
        <v>70</v>
      </c>
      <c r="Z543" s="6">
        <f t="shared" si="102"/>
        <v>1</v>
      </c>
      <c r="AA543">
        <f t="shared" si="103"/>
        <v>1269</v>
      </c>
      <c r="AB543">
        <f t="shared" si="104"/>
        <v>9034</v>
      </c>
      <c r="AC543">
        <f t="shared" si="105"/>
        <v>9034</v>
      </c>
      <c r="AI543" t="str">
        <f t="shared" si="106"/>
        <v>d</v>
      </c>
      <c r="BI543" s="40"/>
      <c r="BL543" s="40"/>
      <c r="BN543" s="19"/>
      <c r="BP543" s="17"/>
    </row>
    <row r="544" spans="1:68" x14ac:dyDescent="0.2">
      <c r="A544">
        <f t="shared" si="101"/>
        <v>1</v>
      </c>
      <c r="D544" s="26" t="s">
        <v>729</v>
      </c>
      <c r="E544" s="4"/>
      <c r="F544" s="46"/>
      <c r="G544" s="4"/>
      <c r="H544" s="48"/>
      <c r="I544" s="26">
        <v>1</v>
      </c>
      <c r="J544" s="26" t="str">
        <f t="shared" si="107"/>
        <v>d</v>
      </c>
      <c r="K544" t="s">
        <v>231</v>
      </c>
      <c r="L544" t="s">
        <v>232</v>
      </c>
      <c r="N544" t="str">
        <f t="shared" si="109"/>
        <v/>
      </c>
      <c r="Q544" t="str">
        <f t="shared" si="108"/>
        <v/>
      </c>
      <c r="S544">
        <f>IF(A544=1,MAX($S$2:$S543)+1,IF(OR($I544&lt;&gt;"",A544="x"),$S543,""))</f>
        <v>270</v>
      </c>
      <c r="T544">
        <f>IF(D544=1,MAX($T$2:$T543)+1,IF(S544=S543,$T543,IF(D544="x",T543,IF(D543="x","",""))))</f>
        <v>34</v>
      </c>
      <c r="U544" t="str">
        <f>IF(B544=1,MAX($U$2:$U543)+1,IF(AND($T544&lt;&gt;"",$T544=$T543),$U543,IF(B544="x",U543,"")))</f>
        <v/>
      </c>
      <c r="V544" t="str">
        <f>IF(C544=1,MAX($V$2:$V543)+1,IF(AND($T544&lt;&gt;"",$T544=$T543),$U543,IF(C544="x",V543,"")))</f>
        <v/>
      </c>
      <c r="X544" cm="1">
        <f t="array" ref="X544">IF($I544&lt;&gt;"",$I544,INDEX($I$1:$I544,ROW()-COUNTIFS($T$1:$T544,"="&amp;$T544,$S$1:$S544,"&lt;"&amp;$S544)))</f>
        <v>1</v>
      </c>
      <c r="Z544" s="6">
        <f t="shared" si="102"/>
        <v>1</v>
      </c>
      <c r="AA544">
        <f t="shared" si="103"/>
        <v>1270</v>
      </c>
      <c r="AB544">
        <f t="shared" si="104"/>
        <v>9034</v>
      </c>
      <c r="AC544">
        <f t="shared" si="105"/>
        <v>9034</v>
      </c>
      <c r="AI544" t="str">
        <f t="shared" si="106"/>
        <v>d</v>
      </c>
      <c r="BI544" s="40"/>
      <c r="BL544" s="40"/>
      <c r="BN544" s="19"/>
      <c r="BP544" s="17"/>
    </row>
    <row r="545" spans="1:68" x14ac:dyDescent="0.2">
      <c r="A545">
        <f t="shared" si="101"/>
        <v>1</v>
      </c>
      <c r="E545" s="4"/>
      <c r="F545" s="46" t="s">
        <v>413</v>
      </c>
      <c r="G545" s="4" t="s">
        <v>1070</v>
      </c>
      <c r="H545" s="48" t="s">
        <v>1058</v>
      </c>
      <c r="I545" s="26">
        <v>69</v>
      </c>
      <c r="J545" s="26" t="s">
        <v>736</v>
      </c>
      <c r="K545" t="s">
        <v>13</v>
      </c>
      <c r="L545" t="s">
        <v>586</v>
      </c>
      <c r="N545" t="s">
        <v>594</v>
      </c>
      <c r="O545" t="s">
        <v>908</v>
      </c>
      <c r="Q545" t="str">
        <f t="shared" si="108"/>
        <v>u</v>
      </c>
      <c r="S545">
        <f>IF(A545=1,MAX($S$2:$S544)+1,IF(OR($I545&lt;&gt;"",A545="x"),$S544,""))</f>
        <v>271</v>
      </c>
      <c r="T545" t="str">
        <f>IF(D545=1,MAX($T$2:$T544)+1,IF(S545=S544,$T544,IF(D545="x",T544,IF(D544="x","",""))))</f>
        <v/>
      </c>
      <c r="U545" t="str">
        <f>IF(B545=1,MAX($U$2:$U544)+1,IF(AND($T545&lt;&gt;"",$T545=$T544),$U544,IF(B545="x",U544,"")))</f>
        <v/>
      </c>
      <c r="V545" t="str">
        <f>IF(C545=1,MAX($V$2:$V544)+1,IF(AND($T545&lt;&gt;"",$T545=$T544),$U544,IF(C545="x",V544,"")))</f>
        <v/>
      </c>
      <c r="X545" cm="1">
        <f t="array" ref="X545">IF($I545&lt;&gt;"",$I545,INDEX($I$1:$I545,ROW()-COUNTIFS($T$1:$T545,"="&amp;$T545,$S$1:$S545,"&lt;"&amp;$S545)))</f>
        <v>69</v>
      </c>
      <c r="Z545" s="6">
        <f t="shared" si="102"/>
        <v>1</v>
      </c>
      <c r="AA545">
        <f t="shared" si="103"/>
        <v>1271</v>
      </c>
      <c r="AB545" t="str">
        <f t="shared" si="104"/>
        <v/>
      </c>
      <c r="AC545">
        <f t="shared" si="105"/>
        <v>1271</v>
      </c>
      <c r="AI545" t="str">
        <f t="shared" si="106"/>
        <v>d</v>
      </c>
      <c r="BI545" s="40"/>
      <c r="BL545" s="40"/>
      <c r="BN545" s="19"/>
      <c r="BP545" s="17"/>
    </row>
    <row r="546" spans="1:68" x14ac:dyDescent="0.2">
      <c r="A546" t="str">
        <f t="shared" si="101"/>
        <v/>
      </c>
      <c r="E546" s="4"/>
      <c r="F546" s="46"/>
      <c r="G546" s="4"/>
      <c r="H546" s="48"/>
      <c r="I546" s="26">
        <v>91</v>
      </c>
      <c r="J546" s="26" t="str">
        <f t="shared" si="107"/>
        <v/>
      </c>
      <c r="N546" t="str">
        <f t="shared" si="109"/>
        <v/>
      </c>
      <c r="Q546" t="str">
        <f t="shared" si="108"/>
        <v/>
      </c>
      <c r="S546">
        <f>IF(A546=1,MAX($S$2:$S545)+1,IF(OR($I546&lt;&gt;"",A546="x"),$S545,""))</f>
        <v>271</v>
      </c>
      <c r="T546" t="str">
        <f>IF(D546=1,MAX($T$2:$T545)+1,IF(S546=S545,$T545,IF(D546="x",T545,IF(D545="x","",""))))</f>
        <v/>
      </c>
      <c r="U546" t="str">
        <f>IF(B546=1,MAX($U$2:$U545)+1,IF(AND($T546&lt;&gt;"",$T546=$T545),$U545,IF(B546="x",U545,"")))</f>
        <v/>
      </c>
      <c r="V546" t="str">
        <f>IF(C546=1,MAX($V$2:$V545)+1,IF(AND($T546&lt;&gt;"",$T546=$T545),$U545,IF(C546="x",V545,"")))</f>
        <v/>
      </c>
      <c r="X546" cm="1">
        <f t="array" ref="X546">IF($I546&lt;&gt;"",$I546,INDEX($I$1:$I546,ROW()-COUNTIFS($T$1:$T546,"="&amp;$T546,$S$1:$S546,"&lt;"&amp;$S546)))</f>
        <v>91</v>
      </c>
      <c r="Z546" s="6">
        <f t="shared" si="102"/>
        <v>1</v>
      </c>
      <c r="AA546">
        <f t="shared" si="103"/>
        <v>1271</v>
      </c>
      <c r="AB546" t="str">
        <f t="shared" si="104"/>
        <v/>
      </c>
      <c r="AC546">
        <f t="shared" si="105"/>
        <v>1271</v>
      </c>
      <c r="AI546" t="str">
        <f t="shared" si="106"/>
        <v>d</v>
      </c>
      <c r="BI546" s="40"/>
      <c r="BL546" s="40"/>
      <c r="BN546" s="19"/>
      <c r="BP546" s="17"/>
    </row>
    <row r="547" spans="1:68" x14ac:dyDescent="0.2">
      <c r="A547">
        <f t="shared" si="101"/>
        <v>1</v>
      </c>
      <c r="D547" s="26">
        <v>1</v>
      </c>
      <c r="E547" s="4"/>
      <c r="F547" s="46"/>
      <c r="G547" s="4"/>
      <c r="H547" s="48"/>
      <c r="I547" s="26">
        <v>69</v>
      </c>
      <c r="J547" s="26" t="s">
        <v>736</v>
      </c>
      <c r="K547" t="s">
        <v>7</v>
      </c>
      <c r="L547" t="s">
        <v>199</v>
      </c>
      <c r="M547" t="s">
        <v>67</v>
      </c>
      <c r="N547" t="str">
        <f t="shared" si="109"/>
        <v>u</v>
      </c>
      <c r="Q547" t="str">
        <f t="shared" si="108"/>
        <v/>
      </c>
      <c r="S547">
        <f>IF(A547=1,MAX($S$2:$S546)+1,IF(OR($I547&lt;&gt;"",A547="x"),$S546,""))</f>
        <v>272</v>
      </c>
      <c r="T547">
        <f>IF(D547=1,MAX($T$2:$T546)+1,IF(S547=S546,$T546,IF(D547="x",T546,IF(D546="x","",""))))</f>
        <v>35</v>
      </c>
      <c r="U547" t="str">
        <f>IF(B547=1,MAX($U$2:$U546)+1,IF(AND($T547&lt;&gt;"",$T547=$T546),$U546,IF(B547="x",U546,"")))</f>
        <v/>
      </c>
      <c r="V547" t="str">
        <f>IF(C547=1,MAX($V$2:$V546)+1,IF(AND($T547&lt;&gt;"",$T547=$T546),$U546,IF(C547="x",V546,"")))</f>
        <v/>
      </c>
      <c r="X547" cm="1">
        <f t="array" ref="X547">IF($I547&lt;&gt;"",$I547,INDEX($I$1:$I547,ROW()-COUNTIFS($T$1:$T547,"="&amp;$T547,$S$1:$S547,"&lt;"&amp;$S547)))</f>
        <v>69</v>
      </c>
      <c r="Z547" s="6">
        <f t="shared" si="102"/>
        <v>1</v>
      </c>
      <c r="AA547">
        <f t="shared" si="103"/>
        <v>1272</v>
      </c>
      <c r="AB547">
        <f t="shared" si="104"/>
        <v>9035</v>
      </c>
      <c r="AC547">
        <f t="shared" si="105"/>
        <v>9035</v>
      </c>
      <c r="AI547" t="str">
        <f t="shared" si="106"/>
        <v>d</v>
      </c>
      <c r="BI547" s="40"/>
      <c r="BL547" s="40"/>
      <c r="BN547" s="19"/>
      <c r="BP547" s="17"/>
    </row>
    <row r="548" spans="1:68" x14ac:dyDescent="0.2">
      <c r="A548" t="str">
        <f t="shared" si="101"/>
        <v>x</v>
      </c>
      <c r="D548" s="26" t="s">
        <v>729</v>
      </c>
      <c r="E548" s="4"/>
      <c r="F548" s="46"/>
      <c r="G548" s="4"/>
      <c r="H548" s="48"/>
      <c r="I548" s="26">
        <v>90</v>
      </c>
      <c r="J548" s="26" t="str">
        <f t="shared" si="107"/>
        <v/>
      </c>
      <c r="N548" t="str">
        <f t="shared" si="109"/>
        <v/>
      </c>
      <c r="Q548" t="str">
        <f t="shared" si="108"/>
        <v/>
      </c>
      <c r="S548">
        <f>IF(A548=1,MAX($S$2:$S547)+1,IF(OR($I548&lt;&gt;"",A548="x"),$S547,""))</f>
        <v>272</v>
      </c>
      <c r="T548">
        <f>IF(D548=1,MAX($T$2:$T547)+1,IF(S548=S547,$T547,IF(D548="x",T547,IF(D547="x","",""))))</f>
        <v>35</v>
      </c>
      <c r="U548" t="str">
        <f>IF(B548=1,MAX($U$2:$U547)+1,IF(AND($T548&lt;&gt;"",$T548=$T547),$U547,IF(B548="x",U547,"")))</f>
        <v/>
      </c>
      <c r="V548" t="str">
        <f>IF(C548=1,MAX($V$2:$V547)+1,IF(AND($T548&lt;&gt;"",$T548=$T547),$U547,IF(C548="x",V547,"")))</f>
        <v/>
      </c>
      <c r="X548" cm="1">
        <f t="array" ref="X548">IF($I548&lt;&gt;"",$I548,INDEX($I$1:$I548,ROW()-COUNTIFS($T$1:$T548,"="&amp;$T548,$S$1:$S548,"&lt;"&amp;$S548)))</f>
        <v>90</v>
      </c>
      <c r="Z548" s="6">
        <f t="shared" si="102"/>
        <v>1</v>
      </c>
      <c r="AA548">
        <f t="shared" si="103"/>
        <v>1272</v>
      </c>
      <c r="AB548">
        <f t="shared" si="104"/>
        <v>9035</v>
      </c>
      <c r="AC548">
        <f t="shared" si="105"/>
        <v>9035</v>
      </c>
      <c r="AI548" t="str">
        <f t="shared" si="106"/>
        <v>d</v>
      </c>
      <c r="BI548" s="40"/>
      <c r="BL548" s="40"/>
      <c r="BN548" s="19"/>
      <c r="BP548" s="17"/>
    </row>
    <row r="549" spans="1:68" x14ac:dyDescent="0.2">
      <c r="A549" t="str">
        <f t="shared" si="101"/>
        <v>x</v>
      </c>
      <c r="D549" s="26" t="s">
        <v>729</v>
      </c>
      <c r="E549" s="4"/>
      <c r="F549" s="46"/>
      <c r="G549" s="4"/>
      <c r="H549" s="48"/>
      <c r="I549" s="26">
        <v>91</v>
      </c>
      <c r="J549" s="26" t="str">
        <f t="shared" si="107"/>
        <v/>
      </c>
      <c r="N549" t="str">
        <f t="shared" si="109"/>
        <v/>
      </c>
      <c r="O549" t="s">
        <v>557</v>
      </c>
      <c r="Q549" t="str">
        <f t="shared" si="108"/>
        <v/>
      </c>
      <c r="S549">
        <f>IF(A549=1,MAX($S$2:$S548)+1,IF(OR($I549&lt;&gt;"",A549="x"),$S548,""))</f>
        <v>272</v>
      </c>
      <c r="T549">
        <f>IF(D549=1,MAX($T$2:$T548)+1,IF(S549=S548,$T548,IF(D549="x",T548,IF(D548="x","",""))))</f>
        <v>35</v>
      </c>
      <c r="U549" t="str">
        <f>IF(B549=1,MAX($U$2:$U548)+1,IF(AND($T549&lt;&gt;"",$T549=$T548),$U548,IF(B549="x",U548,"")))</f>
        <v/>
      </c>
      <c r="V549" t="str">
        <f>IF(C549=1,MAX($V$2:$V548)+1,IF(AND($T549&lt;&gt;"",$T549=$T548),$U548,IF(C549="x",V548,"")))</f>
        <v/>
      </c>
      <c r="X549" cm="1">
        <f t="array" ref="X549">IF($I549&lt;&gt;"",$I549,INDEX($I$1:$I549,ROW()-COUNTIFS($T$1:$T549,"="&amp;$T549,$S$1:$S549,"&lt;"&amp;$S549)))</f>
        <v>91</v>
      </c>
      <c r="Z549" s="6">
        <f t="shared" si="102"/>
        <v>1</v>
      </c>
      <c r="AA549">
        <f t="shared" si="103"/>
        <v>1272</v>
      </c>
      <c r="AB549">
        <f t="shared" si="104"/>
        <v>9035</v>
      </c>
      <c r="AC549">
        <f t="shared" si="105"/>
        <v>9035</v>
      </c>
      <c r="AI549" t="str">
        <f t="shared" si="106"/>
        <v>d</v>
      </c>
      <c r="BI549" s="40"/>
      <c r="BL549" s="40"/>
      <c r="BN549" s="19"/>
      <c r="BP549" s="17"/>
    </row>
    <row r="550" spans="1:68" x14ac:dyDescent="0.2">
      <c r="A550">
        <f t="shared" si="101"/>
        <v>1</v>
      </c>
      <c r="D550" s="26" t="s">
        <v>729</v>
      </c>
      <c r="E550" s="4"/>
      <c r="F550" s="46"/>
      <c r="G550" s="4"/>
      <c r="H550" s="48"/>
      <c r="J550" s="26" t="s">
        <v>736</v>
      </c>
      <c r="K550" t="s">
        <v>9</v>
      </c>
      <c r="N550" t="str">
        <f t="shared" si="109"/>
        <v/>
      </c>
      <c r="Q550" t="str">
        <f t="shared" si="108"/>
        <v/>
      </c>
      <c r="S550">
        <f>IF(A550=1,MAX($S$2:$S549)+1,IF(OR($I550&lt;&gt;"",A550="x"),$S549,""))</f>
        <v>273</v>
      </c>
      <c r="T550">
        <f>IF(D550=1,MAX($T$2:$T549)+1,IF(S550=S549,$T549,IF(D550="x",T549,IF(D549="x","",""))))</f>
        <v>35</v>
      </c>
      <c r="U550" t="str">
        <f>IF(B550=1,MAX($U$2:$U549)+1,IF(AND($T550&lt;&gt;"",$T550=$T549),$U549,IF(B550="x",U549,"")))</f>
        <v/>
      </c>
      <c r="V550" t="str">
        <f>IF(C550=1,MAX($V$2:$V549)+1,IF(AND($T550&lt;&gt;"",$T550=$T549),$U549,IF(C550="x",V549,"")))</f>
        <v/>
      </c>
      <c r="X550" cm="1">
        <f t="array" ref="X550">IF($I550&lt;&gt;"",$I550,INDEX($I$1:$I550,ROW()-COUNTIFS($T$1:$T550,"="&amp;$T550,$S$1:$S550,"&lt;"&amp;$S550)))</f>
        <v>69</v>
      </c>
      <c r="Z550" s="6">
        <f t="shared" si="102"/>
        <v>1</v>
      </c>
      <c r="AA550">
        <f t="shared" si="103"/>
        <v>1273</v>
      </c>
      <c r="AB550">
        <f t="shared" si="104"/>
        <v>9035</v>
      </c>
      <c r="AC550">
        <f t="shared" si="105"/>
        <v>9035</v>
      </c>
      <c r="AI550" t="str">
        <f t="shared" si="106"/>
        <v>d</v>
      </c>
      <c r="BI550" s="40"/>
      <c r="BL550" s="40"/>
      <c r="BN550" s="19"/>
      <c r="BP550" s="17"/>
    </row>
    <row r="551" spans="1:68" x14ac:dyDescent="0.2">
      <c r="A551" t="str">
        <f t="shared" si="101"/>
        <v>x</v>
      </c>
      <c r="D551" s="26" t="s">
        <v>729</v>
      </c>
      <c r="E551" s="4"/>
      <c r="F551" s="46"/>
      <c r="G551" s="4"/>
      <c r="H551" s="48"/>
      <c r="J551" s="26" t="str">
        <f t="shared" si="107"/>
        <v/>
      </c>
      <c r="N551" t="str">
        <f t="shared" si="109"/>
        <v/>
      </c>
      <c r="Q551" t="str">
        <f t="shared" si="108"/>
        <v/>
      </c>
      <c r="S551">
        <f>IF(A551=1,MAX($S$2:$S550)+1,IF(OR($I551&lt;&gt;"",A551="x"),$S550,""))</f>
        <v>273</v>
      </c>
      <c r="T551">
        <f>IF(D551=1,MAX($T$2:$T550)+1,IF(S551=S550,$T550,IF(D551="x",T550,IF(D550="x","",""))))</f>
        <v>35</v>
      </c>
      <c r="U551" t="str">
        <f>IF(B551=1,MAX($U$2:$U550)+1,IF(AND($T551&lt;&gt;"",$T551=$T550),$U550,IF(B551="x",U550,"")))</f>
        <v/>
      </c>
      <c r="V551" t="str">
        <f>IF(C551=1,MAX($V$2:$V550)+1,IF(AND($T551&lt;&gt;"",$T551=$T550),$U550,IF(C551="x",V550,"")))</f>
        <v/>
      </c>
      <c r="X551" cm="1">
        <f t="array" ref="X551">IF($I551&lt;&gt;"",$I551,INDEX($I$1:$I551,ROW()-COUNTIFS($T$1:$T551,"="&amp;$T551,$S$1:$S551,"&lt;"&amp;$S551)))</f>
        <v>90</v>
      </c>
      <c r="Z551" s="6">
        <f t="shared" si="102"/>
        <v>1</v>
      </c>
      <c r="AA551">
        <f t="shared" si="103"/>
        <v>1273</v>
      </c>
      <c r="AB551">
        <f t="shared" si="104"/>
        <v>9035</v>
      </c>
      <c r="AC551">
        <f t="shared" si="105"/>
        <v>9035</v>
      </c>
      <c r="AI551" t="str">
        <f t="shared" si="106"/>
        <v>d</v>
      </c>
      <c r="BI551" s="40"/>
      <c r="BL551" s="40"/>
      <c r="BN551" s="19"/>
      <c r="BP551" s="17"/>
    </row>
    <row r="552" spans="1:68" x14ac:dyDescent="0.2">
      <c r="A552" t="str">
        <f t="shared" si="101"/>
        <v>x</v>
      </c>
      <c r="D552" s="26" t="s">
        <v>729</v>
      </c>
      <c r="E552" s="4"/>
      <c r="F552" s="46"/>
      <c r="G552" s="4"/>
      <c r="H552" s="48"/>
      <c r="J552" s="26" t="str">
        <f t="shared" si="107"/>
        <v/>
      </c>
      <c r="N552" t="str">
        <f t="shared" si="109"/>
        <v/>
      </c>
      <c r="Q552" t="str">
        <f t="shared" si="108"/>
        <v/>
      </c>
      <c r="S552">
        <f>IF(A552=1,MAX($S$2:$S551)+1,IF(OR($I552&lt;&gt;"",A552="x"),$S551,""))</f>
        <v>273</v>
      </c>
      <c r="T552">
        <f>IF(D552=1,MAX($T$2:$T551)+1,IF(S552=S551,$T551,IF(D552="x",T551,IF(D551="x","",""))))</f>
        <v>35</v>
      </c>
      <c r="U552" t="str">
        <f>IF(B552=1,MAX($U$2:$U551)+1,IF(AND($T552&lt;&gt;"",$T552=$T551),$U551,IF(B552="x",U551,"")))</f>
        <v/>
      </c>
      <c r="V552" t="str">
        <f>IF(C552=1,MAX($V$2:$V551)+1,IF(AND($T552&lt;&gt;"",$T552=$T551),$U551,IF(C552="x",V551,"")))</f>
        <v/>
      </c>
      <c r="X552" cm="1">
        <f t="array" ref="X552">IF($I552&lt;&gt;"",$I552,INDEX($I$1:$I552,ROW()-COUNTIFS($T$1:$T552,"="&amp;$T552,$S$1:$S552,"&lt;"&amp;$S552)))</f>
        <v>91</v>
      </c>
      <c r="Z552" s="6">
        <f t="shared" si="102"/>
        <v>1</v>
      </c>
      <c r="AA552">
        <f t="shared" si="103"/>
        <v>1273</v>
      </c>
      <c r="AB552">
        <f t="shared" si="104"/>
        <v>9035</v>
      </c>
      <c r="AC552">
        <f t="shared" si="105"/>
        <v>9035</v>
      </c>
      <c r="AI552" t="str">
        <f t="shared" si="106"/>
        <v>d</v>
      </c>
      <c r="BI552" s="40"/>
      <c r="BL552" s="40"/>
      <c r="BN552" s="19"/>
      <c r="BP552" s="17"/>
    </row>
    <row r="553" spans="1:68" x14ac:dyDescent="0.2">
      <c r="A553">
        <f t="shared" si="101"/>
        <v>1</v>
      </c>
      <c r="E553" s="4" t="s">
        <v>1070</v>
      </c>
      <c r="F553" s="46" t="s">
        <v>1033</v>
      </c>
      <c r="G553" s="4"/>
      <c r="H553" s="48" t="s">
        <v>753</v>
      </c>
      <c r="I553" s="26">
        <v>91</v>
      </c>
      <c r="J553" s="26" t="s">
        <v>368</v>
      </c>
      <c r="K553" t="s">
        <v>13</v>
      </c>
      <c r="N553" t="str">
        <f t="shared" si="109"/>
        <v/>
      </c>
      <c r="Q553" t="str">
        <f t="shared" si="108"/>
        <v/>
      </c>
      <c r="R553" s="26">
        <v>1</v>
      </c>
      <c r="S553">
        <f>IF(A553=1,MAX($S$2:$S552)+1,IF(OR($I553&lt;&gt;"",A553="x"),$S552,""))</f>
        <v>274</v>
      </c>
      <c r="T553" t="str">
        <f>IF(D553=1,MAX($T$2:$T552)+1,IF(S553=S552,$T552,IF(D553="x",T552,IF(D552="x","",""))))</f>
        <v/>
      </c>
      <c r="U553" t="str">
        <f>IF(B553=1,MAX($U$2:$U552)+1,IF(AND($T553&lt;&gt;"",$T553=$T552),$U552,IF(B553="x",U552,"")))</f>
        <v/>
      </c>
      <c r="V553" t="str">
        <f>IF(C553=1,MAX($V$2:$V552)+1,IF(AND($T553&lt;&gt;"",$T553=$T552),$U552,IF(C553="x",V552,"")))</f>
        <v/>
      </c>
      <c r="X553" cm="1">
        <f t="array" ref="X553">IF($I553&lt;&gt;"",$I553,INDEX($I$1:$I553,ROW()-COUNTIFS($T$1:$T553,"="&amp;$T553,$S$1:$S553,"&lt;"&amp;$S553)))</f>
        <v>91</v>
      </c>
      <c r="Z553" s="6">
        <f t="shared" si="102"/>
        <v>1</v>
      </c>
      <c r="AA553">
        <f t="shared" si="103"/>
        <v>1274</v>
      </c>
      <c r="AB553" t="str">
        <f t="shared" si="104"/>
        <v/>
      </c>
      <c r="AC553">
        <f t="shared" si="105"/>
        <v>1274</v>
      </c>
      <c r="AI553" t="str">
        <f t="shared" si="106"/>
        <v>o</v>
      </c>
      <c r="BI553" s="40"/>
      <c r="BL553" s="40"/>
      <c r="BN553" s="19"/>
      <c r="BP553" s="17"/>
    </row>
    <row r="554" spans="1:68" x14ac:dyDescent="0.2">
      <c r="A554" t="str">
        <f t="shared" si="101"/>
        <v/>
      </c>
      <c r="E554" s="4"/>
      <c r="F554" s="46"/>
      <c r="G554" s="4"/>
      <c r="H554" s="48"/>
      <c r="I554" s="26">
        <v>69</v>
      </c>
      <c r="J554" s="26" t="str">
        <f t="shared" si="107"/>
        <v/>
      </c>
      <c r="N554" t="str">
        <f t="shared" si="109"/>
        <v/>
      </c>
      <c r="Q554" t="str">
        <f t="shared" si="108"/>
        <v/>
      </c>
      <c r="R554" s="26">
        <v>1</v>
      </c>
      <c r="S554">
        <f>IF(A554=1,MAX($S$2:$S553)+1,IF(OR($I554&lt;&gt;"",A554="x"),$S553,""))</f>
        <v>274</v>
      </c>
      <c r="T554" t="str">
        <f>IF(D554=1,MAX($T$2:$T553)+1,IF(S554=S553,$T553,IF(D554="x",T553,IF(D553="x","",""))))</f>
        <v/>
      </c>
      <c r="U554" t="str">
        <f>IF(B554=1,MAX($U$2:$U553)+1,IF(AND($T554&lt;&gt;"",$T554=$T553),$U553,IF(B554="x",U553,"")))</f>
        <v/>
      </c>
      <c r="V554" t="str">
        <f>IF(C554=1,MAX($V$2:$V553)+1,IF(AND($T554&lt;&gt;"",$T554=$T553),$U553,IF(C554="x",V553,"")))</f>
        <v/>
      </c>
      <c r="X554" cm="1">
        <f t="array" ref="X554">IF($I554&lt;&gt;"",$I554,INDEX($I$1:$I554,ROW()-COUNTIFS($T$1:$T554,"="&amp;$T554,$S$1:$S554,"&lt;"&amp;$S554)))</f>
        <v>69</v>
      </c>
      <c r="Z554" s="6">
        <f t="shared" si="102"/>
        <v>1</v>
      </c>
      <c r="AA554">
        <f t="shared" si="103"/>
        <v>1274</v>
      </c>
      <c r="AB554" t="str">
        <f t="shared" si="104"/>
        <v/>
      </c>
      <c r="AC554">
        <f t="shared" si="105"/>
        <v>1274</v>
      </c>
      <c r="AI554" t="str">
        <f t="shared" si="106"/>
        <v>o</v>
      </c>
      <c r="BI554" s="40"/>
      <c r="BL554" s="40"/>
      <c r="BN554" s="19"/>
      <c r="BP554" s="17"/>
    </row>
    <row r="555" spans="1:68" x14ac:dyDescent="0.2">
      <c r="A555">
        <f t="shared" si="101"/>
        <v>1</v>
      </c>
      <c r="E555" s="4"/>
      <c r="F555" s="46"/>
      <c r="G555" s="4"/>
      <c r="H555" s="48"/>
      <c r="I555" s="26">
        <v>91</v>
      </c>
      <c r="J555" s="26" t="s">
        <v>368</v>
      </c>
      <c r="K555" t="s">
        <v>7</v>
      </c>
      <c r="L555" t="s">
        <v>192</v>
      </c>
      <c r="M555" t="s">
        <v>68</v>
      </c>
      <c r="N555" t="str">
        <f t="shared" si="109"/>
        <v>u</v>
      </c>
      <c r="Q555" t="str">
        <f t="shared" si="108"/>
        <v/>
      </c>
      <c r="R555" s="26">
        <v>1</v>
      </c>
      <c r="S555">
        <f>IF(A555=1,MAX($S$2:$S554)+1,IF(OR($I555&lt;&gt;"",A555="x"),$S554,""))</f>
        <v>275</v>
      </c>
      <c r="T555" t="str">
        <f>IF(D555=1,MAX($T$2:$T554)+1,IF(S555=S554,$T554,IF(D555="x",T554,IF(D554="x","",""))))</f>
        <v/>
      </c>
      <c r="U555" t="str">
        <f>IF(B555=1,MAX($U$2:$U554)+1,IF(AND($T555&lt;&gt;"",$T555=$T554),$U554,IF(B555="x",U554,"")))</f>
        <v/>
      </c>
      <c r="V555" t="str">
        <f>IF(C555=1,MAX($V$2:$V554)+1,IF(AND($T555&lt;&gt;"",$T555=$T554),$U554,IF(C555="x",V554,"")))</f>
        <v/>
      </c>
      <c r="X555" cm="1">
        <f t="array" ref="X555">IF($I555&lt;&gt;"",$I555,INDEX($I$1:$I555,ROW()-COUNTIFS($T$1:$T555,"="&amp;$T555,$S$1:$S555,"&lt;"&amp;$S555)))</f>
        <v>91</v>
      </c>
      <c r="Z555" s="6">
        <f t="shared" si="102"/>
        <v>1</v>
      </c>
      <c r="AA555">
        <f t="shared" si="103"/>
        <v>1275</v>
      </c>
      <c r="AB555" t="str">
        <f t="shared" si="104"/>
        <v/>
      </c>
      <c r="AC555">
        <f t="shared" si="105"/>
        <v>1275</v>
      </c>
      <c r="AI555" t="str">
        <f t="shared" si="106"/>
        <v>o</v>
      </c>
      <c r="BI555" s="40"/>
      <c r="BL555" s="40"/>
      <c r="BN555" s="19"/>
      <c r="BP555" s="17"/>
    </row>
    <row r="556" spans="1:68" x14ac:dyDescent="0.2">
      <c r="A556" t="str">
        <f t="shared" si="101"/>
        <v/>
      </c>
      <c r="E556" s="4"/>
      <c r="F556" s="46"/>
      <c r="G556" s="4"/>
      <c r="H556" s="48"/>
      <c r="I556" s="26">
        <v>24</v>
      </c>
      <c r="J556" s="26" t="str">
        <f t="shared" si="107"/>
        <v/>
      </c>
      <c r="N556" t="str">
        <f t="shared" si="109"/>
        <v/>
      </c>
      <c r="Q556" t="str">
        <f t="shared" si="108"/>
        <v/>
      </c>
      <c r="S556">
        <f>IF(A556=1,MAX($S$2:$S555)+1,IF(OR($I556&lt;&gt;"",A556="x"),$S555,""))</f>
        <v>275</v>
      </c>
      <c r="T556" t="str">
        <f>IF(D556=1,MAX($T$2:$T555)+1,IF(S556=S555,$T555,IF(D556="x",T555,IF(D555="x","",""))))</f>
        <v/>
      </c>
      <c r="U556" t="str">
        <f>IF(B556=1,MAX($U$2:$U555)+1,IF(AND($T556&lt;&gt;"",$T556=$T555),$U555,IF(B556="x",U555,"")))</f>
        <v/>
      </c>
      <c r="V556" t="str">
        <f>IF(C556=1,MAX($V$2:$V555)+1,IF(AND($T556&lt;&gt;"",$T556=$T555),$U555,IF(C556="x",V555,"")))</f>
        <v/>
      </c>
      <c r="X556" cm="1">
        <f t="array" ref="X556">IF($I556&lt;&gt;"",$I556,INDEX($I$1:$I556,ROW()-COUNTIFS($T$1:$T556,"="&amp;$T556,$S$1:$S556,"&lt;"&amp;$S556)))</f>
        <v>24</v>
      </c>
      <c r="Z556" s="6">
        <f t="shared" si="102"/>
        <v>1</v>
      </c>
      <c r="AA556">
        <f t="shared" si="103"/>
        <v>1275</v>
      </c>
      <c r="AB556" t="str">
        <f t="shared" si="104"/>
        <v/>
      </c>
      <c r="AC556">
        <f t="shared" si="105"/>
        <v>1275</v>
      </c>
      <c r="AI556" t="str">
        <f t="shared" si="106"/>
        <v>o</v>
      </c>
      <c r="BI556" s="40"/>
      <c r="BL556" s="40"/>
      <c r="BN556" s="19"/>
      <c r="BP556" s="17"/>
    </row>
    <row r="557" spans="1:68" x14ac:dyDescent="0.2">
      <c r="A557" t="str">
        <f t="shared" si="101"/>
        <v/>
      </c>
      <c r="E557" s="4"/>
      <c r="F557" s="46"/>
      <c r="G557" s="4"/>
      <c r="H557" s="48"/>
      <c r="I557" s="26">
        <v>69</v>
      </c>
      <c r="J557" s="26" t="str">
        <f t="shared" si="107"/>
        <v/>
      </c>
      <c r="N557" t="str">
        <f t="shared" si="109"/>
        <v/>
      </c>
      <c r="O557" t="s">
        <v>566</v>
      </c>
      <c r="Q557" t="str">
        <f t="shared" si="108"/>
        <v/>
      </c>
      <c r="R557" s="26">
        <v>1</v>
      </c>
      <c r="S557">
        <f>IF(A557=1,MAX($S$2:$S556)+1,IF(OR($I557&lt;&gt;"",A557="x"),$S556,""))</f>
        <v>275</v>
      </c>
      <c r="T557" t="str">
        <f>IF(D557=1,MAX($T$2:$T556)+1,IF(S557=S556,$T556,IF(D557="x",T556,IF(D556="x","",""))))</f>
        <v/>
      </c>
      <c r="U557" t="str">
        <f>IF(B557=1,MAX($U$2:$U556)+1,IF(AND($T557&lt;&gt;"",$T557=$T556),$U556,IF(B557="x",U556,"")))</f>
        <v/>
      </c>
      <c r="V557" t="str">
        <f>IF(C557=1,MAX($V$2:$V556)+1,IF(AND($T557&lt;&gt;"",$T557=$T556),$U556,IF(C557="x",V556,"")))</f>
        <v/>
      </c>
      <c r="X557" cm="1">
        <f t="array" ref="X557">IF($I557&lt;&gt;"",$I557,INDEX($I$1:$I557,ROW()-COUNTIFS($T$1:$T557,"="&amp;$T557,$S$1:$S557,"&lt;"&amp;$S557)))</f>
        <v>69</v>
      </c>
      <c r="Z557" s="6">
        <f t="shared" si="102"/>
        <v>1</v>
      </c>
      <c r="AA557">
        <f t="shared" si="103"/>
        <v>1275</v>
      </c>
      <c r="AB557" t="str">
        <f t="shared" si="104"/>
        <v/>
      </c>
      <c r="AC557">
        <f t="shared" si="105"/>
        <v>1275</v>
      </c>
      <c r="AI557" t="str">
        <f t="shared" si="106"/>
        <v>o</v>
      </c>
      <c r="BI557" s="40"/>
      <c r="BL557" s="40"/>
      <c r="BN557" s="19"/>
      <c r="BP557" s="17"/>
    </row>
    <row r="558" spans="1:68" x14ac:dyDescent="0.2">
      <c r="A558" t="str">
        <f t="shared" si="101"/>
        <v/>
      </c>
      <c r="E558" s="4"/>
      <c r="F558" s="46"/>
      <c r="G558" s="4"/>
      <c r="H558" s="48"/>
      <c r="I558" s="26">
        <v>10</v>
      </c>
      <c r="J558" s="26" t="str">
        <f t="shared" si="107"/>
        <v/>
      </c>
      <c r="N558" t="str">
        <f t="shared" si="109"/>
        <v/>
      </c>
      <c r="O558" t="s">
        <v>782</v>
      </c>
      <c r="Q558" t="str">
        <f t="shared" si="108"/>
        <v/>
      </c>
      <c r="S558">
        <f>IF(A558=1,MAX($S$2:$S557)+1,IF(OR($I558&lt;&gt;"",A558="x"),$S557,""))</f>
        <v>275</v>
      </c>
      <c r="T558" t="str">
        <f>IF(D558=1,MAX($T$2:$T557)+1,IF(S558=S557,$T557,IF(D558="x",T557,IF(D557="x","",""))))</f>
        <v/>
      </c>
      <c r="U558" t="str">
        <f>IF(B558=1,MAX($U$2:$U557)+1,IF(AND($T558&lt;&gt;"",$T558=$T557),$U557,IF(B558="x",U557,"")))</f>
        <v/>
      </c>
      <c r="V558" t="str">
        <f>IF(C558=1,MAX($V$2:$V557)+1,IF(AND($T558&lt;&gt;"",$T558=$T557),$U557,IF(C558="x",V557,"")))</f>
        <v/>
      </c>
      <c r="X558" cm="1">
        <f t="array" ref="X558">IF($I558&lt;&gt;"",$I558,INDEX($I$1:$I558,ROW()-COUNTIFS($T$1:$T558,"="&amp;$T558,$S$1:$S558,"&lt;"&amp;$S558)))</f>
        <v>10</v>
      </c>
      <c r="Z558" s="6">
        <f t="shared" si="102"/>
        <v>1</v>
      </c>
      <c r="AA558">
        <f t="shared" si="103"/>
        <v>1275</v>
      </c>
      <c r="AB558" t="str">
        <f t="shared" si="104"/>
        <v/>
      </c>
      <c r="AC558">
        <f t="shared" si="105"/>
        <v>1275</v>
      </c>
      <c r="AI558" t="str">
        <f t="shared" si="106"/>
        <v>o</v>
      </c>
      <c r="BI558" s="40"/>
      <c r="BL558" s="40"/>
      <c r="BN558" s="19"/>
      <c r="BP558" s="17"/>
    </row>
    <row r="559" spans="1:68" x14ac:dyDescent="0.2">
      <c r="A559">
        <f t="shared" si="101"/>
        <v>1</v>
      </c>
      <c r="E559" s="4"/>
      <c r="F559" s="46" t="s">
        <v>1053</v>
      </c>
      <c r="G559" s="4"/>
      <c r="H559" s="48" t="s">
        <v>1044</v>
      </c>
      <c r="I559" s="26">
        <v>70</v>
      </c>
      <c r="J559" s="26" t="s">
        <v>368</v>
      </c>
      <c r="K559" t="s">
        <v>13</v>
      </c>
      <c r="L559" t="s">
        <v>587</v>
      </c>
      <c r="N559" t="s">
        <v>594</v>
      </c>
      <c r="O559" t="s">
        <v>907</v>
      </c>
      <c r="Q559" t="str">
        <f t="shared" si="108"/>
        <v>u</v>
      </c>
      <c r="S559">
        <f>IF(A559=1,MAX($S$2:$S558)+1,IF(OR($I559&lt;&gt;"",A559="x"),$S558,""))</f>
        <v>276</v>
      </c>
      <c r="T559" t="str">
        <f>IF(D559=1,MAX($T$2:$T558)+1,IF(S559=S558,$T558,IF(D559="x",T558,IF(D558="x","",""))))</f>
        <v/>
      </c>
      <c r="U559" t="str">
        <f>IF(B559=1,MAX($U$2:$U558)+1,IF(AND($T559&lt;&gt;"",$T559=$T558),$U558,IF(B559="x",U558,"")))</f>
        <v/>
      </c>
      <c r="V559" t="str">
        <f>IF(C559=1,MAX($V$2:$V558)+1,IF(AND($T559&lt;&gt;"",$T559=$T558),$U558,IF(C559="x",V558,"")))</f>
        <v/>
      </c>
      <c r="X559" cm="1">
        <f t="array" ref="X559">IF($I559&lt;&gt;"",$I559,INDEX($I$1:$I559,ROW()-COUNTIFS($T$1:$T559,"="&amp;$T559,$S$1:$S559,"&lt;"&amp;$S559)))</f>
        <v>70</v>
      </c>
      <c r="Z559" s="6">
        <f t="shared" si="102"/>
        <v>1</v>
      </c>
      <c r="AA559">
        <f t="shared" si="103"/>
        <v>1276</v>
      </c>
      <c r="AB559" t="str">
        <f t="shared" si="104"/>
        <v/>
      </c>
      <c r="AC559">
        <f t="shared" si="105"/>
        <v>1276</v>
      </c>
      <c r="AI559" t="str">
        <f t="shared" si="106"/>
        <v>o</v>
      </c>
      <c r="BI559" s="40"/>
      <c r="BL559" s="40"/>
      <c r="BN559" s="19"/>
      <c r="BP559" s="17"/>
    </row>
    <row r="560" spans="1:68" x14ac:dyDescent="0.2">
      <c r="A560">
        <f t="shared" si="101"/>
        <v>1</v>
      </c>
      <c r="E560" s="4"/>
      <c r="F560" s="46"/>
      <c r="G560" s="4"/>
      <c r="H560" s="48"/>
      <c r="I560" s="26">
        <v>70</v>
      </c>
      <c r="J560" s="26" t="s">
        <v>368</v>
      </c>
      <c r="K560" t="s">
        <v>9</v>
      </c>
      <c r="L560" t="s">
        <v>173</v>
      </c>
      <c r="M560" t="s">
        <v>71</v>
      </c>
      <c r="N560" t="str">
        <f t="shared" si="109"/>
        <v>u</v>
      </c>
      <c r="Q560" t="str">
        <f t="shared" si="108"/>
        <v/>
      </c>
      <c r="S560">
        <f>IF(A560=1,MAX($S$2:$S559)+1,IF(OR($I560&lt;&gt;"",A560="x"),$S559,""))</f>
        <v>277</v>
      </c>
      <c r="T560" t="str">
        <f>IF(D560=1,MAX($T$2:$T559)+1,IF(S560=S559,$T559,IF(D560="x",T559,IF(D559="x","",""))))</f>
        <v/>
      </c>
      <c r="U560" t="str">
        <f>IF(B560=1,MAX($U$2:$U559)+1,IF(AND($T560&lt;&gt;"",$T560=$T559),$U559,IF(B560="x",U559,"")))</f>
        <v/>
      </c>
      <c r="V560" t="str">
        <f>IF(C560=1,MAX($V$2:$V559)+1,IF(AND($T560&lt;&gt;"",$T560=$T559),$U559,IF(C560="x",V559,"")))</f>
        <v/>
      </c>
      <c r="X560" cm="1">
        <f t="array" ref="X560">IF($I560&lt;&gt;"",$I560,INDEX($I$1:$I560,ROW()-COUNTIFS($T$1:$T560,"="&amp;$T560,$S$1:$S560,"&lt;"&amp;$S560)))</f>
        <v>70</v>
      </c>
      <c r="Z560" s="6">
        <f t="shared" si="102"/>
        <v>1</v>
      </c>
      <c r="AA560">
        <f t="shared" si="103"/>
        <v>1277</v>
      </c>
      <c r="AB560" t="str">
        <f t="shared" si="104"/>
        <v/>
      </c>
      <c r="AC560">
        <f t="shared" si="105"/>
        <v>1277</v>
      </c>
      <c r="AI560" t="str">
        <f t="shared" si="106"/>
        <v>o</v>
      </c>
      <c r="BI560" s="40"/>
      <c r="BL560" s="40"/>
      <c r="BN560" s="19"/>
      <c r="BP560" s="17"/>
    </row>
    <row r="561" spans="1:68" x14ac:dyDescent="0.2">
      <c r="A561">
        <f t="shared" si="101"/>
        <v>1</v>
      </c>
      <c r="E561" s="4"/>
      <c r="F561" s="46"/>
      <c r="G561" s="4"/>
      <c r="H561" s="48"/>
      <c r="I561" s="26">
        <v>90</v>
      </c>
      <c r="J561" s="26" t="s">
        <v>736</v>
      </c>
      <c r="K561" t="s">
        <v>13</v>
      </c>
      <c r="L561" t="s">
        <v>586</v>
      </c>
      <c r="N561" t="s">
        <v>594</v>
      </c>
      <c r="O561" t="s">
        <v>910</v>
      </c>
      <c r="Q561" t="str">
        <f t="shared" si="108"/>
        <v>u</v>
      </c>
      <c r="S561">
        <f>IF(A561=1,MAX($S$2:$S560)+1,IF(OR($I561&lt;&gt;"",A561="x"),$S560,""))</f>
        <v>278</v>
      </c>
      <c r="T561" t="str">
        <f>IF(D561=1,MAX($T$2:$T560)+1,IF(S561=S560,$T560,IF(D561="x",T560,IF(D560="x","",""))))</f>
        <v/>
      </c>
      <c r="U561" t="str">
        <f>IF(B561=1,MAX($U$2:$U560)+1,IF(AND($T561&lt;&gt;"",$T561=$T560),$U560,IF(B561="x",U560,"")))</f>
        <v/>
      </c>
      <c r="V561" t="str">
        <f>IF(C561=1,MAX($V$2:$V560)+1,IF(AND($T561&lt;&gt;"",$T561=$T560),$U560,IF(C561="x",V560,"")))</f>
        <v/>
      </c>
      <c r="X561" cm="1">
        <f t="array" ref="X561">IF($I561&lt;&gt;"",$I561,INDEX($I$1:$I561,ROW()-COUNTIFS($T$1:$T561,"="&amp;$T561,$S$1:$S561,"&lt;"&amp;$S561)))</f>
        <v>90</v>
      </c>
      <c r="Z561" s="6">
        <f t="shared" si="102"/>
        <v>1</v>
      </c>
      <c r="AA561">
        <f t="shared" si="103"/>
        <v>1278</v>
      </c>
      <c r="AB561" t="str">
        <f t="shared" si="104"/>
        <v/>
      </c>
      <c r="AC561">
        <f t="shared" si="105"/>
        <v>1278</v>
      </c>
      <c r="AI561" t="str">
        <f t="shared" si="106"/>
        <v>d</v>
      </c>
      <c r="BI561" s="40"/>
      <c r="BL561" s="40"/>
      <c r="BN561" s="19"/>
      <c r="BP561" s="17"/>
    </row>
    <row r="562" spans="1:68" x14ac:dyDescent="0.2">
      <c r="A562">
        <f t="shared" si="101"/>
        <v>1</v>
      </c>
      <c r="D562" s="26">
        <v>1</v>
      </c>
      <c r="E562" s="4"/>
      <c r="F562" s="46" t="s">
        <v>1066</v>
      </c>
      <c r="G562" s="4"/>
      <c r="H562" s="48"/>
      <c r="I562" s="26">
        <v>90</v>
      </c>
      <c r="J562" s="26" t="s">
        <v>736</v>
      </c>
      <c r="K562" t="s">
        <v>238</v>
      </c>
      <c r="L562" t="s">
        <v>184</v>
      </c>
      <c r="M562" t="s">
        <v>90</v>
      </c>
      <c r="N562" t="str">
        <f t="shared" si="109"/>
        <v>s</v>
      </c>
      <c r="Q562" t="str">
        <f t="shared" si="108"/>
        <v/>
      </c>
      <c r="S562">
        <f>IF(A562=1,MAX($S$2:$S561)+1,IF(OR($I562&lt;&gt;"",A562="x"),$S561,""))</f>
        <v>279</v>
      </c>
      <c r="T562">
        <f>IF(D562=1,MAX($T$2:$T561)+1,IF(S562=S561,$T561,IF(D562="x",T561,IF(D561="x","",""))))</f>
        <v>36</v>
      </c>
      <c r="U562" t="str">
        <f>IF(B562=1,MAX($U$2:$U561)+1,IF(AND($T562&lt;&gt;"",$T562=$T561),$U561,IF(B562="x",U561,"")))</f>
        <v/>
      </c>
      <c r="V562" t="str">
        <f>IF(C562=1,MAX($V$2:$V561)+1,IF(AND($T562&lt;&gt;"",$T562=$T561),$U561,IF(C562="x",V561,"")))</f>
        <v/>
      </c>
      <c r="X562" cm="1">
        <f t="array" ref="X562">IF($I562&lt;&gt;"",$I562,INDEX($I$1:$I562,ROW()-COUNTIFS($T$1:$T562,"="&amp;$T562,$S$1:$S562,"&lt;"&amp;$S562)))</f>
        <v>90</v>
      </c>
      <c r="Z562" s="6">
        <f t="shared" si="102"/>
        <v>1</v>
      </c>
      <c r="AA562">
        <f t="shared" si="103"/>
        <v>1279</v>
      </c>
      <c r="AB562">
        <f t="shared" si="104"/>
        <v>9036</v>
      </c>
      <c r="AC562">
        <f t="shared" si="105"/>
        <v>9036</v>
      </c>
      <c r="AI562" t="str">
        <f t="shared" si="106"/>
        <v>d</v>
      </c>
      <c r="BI562" s="40"/>
      <c r="BL562" s="40"/>
      <c r="BN562" s="19"/>
      <c r="BP562" s="17"/>
    </row>
    <row r="563" spans="1:68" x14ac:dyDescent="0.2">
      <c r="A563">
        <f t="shared" si="101"/>
        <v>1</v>
      </c>
      <c r="D563" s="26" t="s">
        <v>729</v>
      </c>
      <c r="E563" s="4"/>
      <c r="F563" s="46"/>
      <c r="G563" s="4"/>
      <c r="H563" s="48"/>
      <c r="J563" s="26" t="s">
        <v>736</v>
      </c>
      <c r="K563" t="s">
        <v>9</v>
      </c>
      <c r="L563" t="s">
        <v>173</v>
      </c>
      <c r="M563" t="s">
        <v>354</v>
      </c>
      <c r="N563" t="str">
        <f t="shared" si="109"/>
        <v>u</v>
      </c>
      <c r="Q563" t="str">
        <f t="shared" si="108"/>
        <v/>
      </c>
      <c r="S563">
        <f>IF(A563=1,MAX($S$2:$S562)+1,IF(OR($I563&lt;&gt;"",A563="x"),$S562,""))</f>
        <v>280</v>
      </c>
      <c r="T563">
        <f>IF(D563=1,MAX($T$2:$T562)+1,IF(S563=S562,$T562,IF(D563="x",T562,IF(D562="x","",""))))</f>
        <v>36</v>
      </c>
      <c r="U563" t="str">
        <f>IF(B563=1,MAX($U$2:$U562)+1,IF(AND($T563&lt;&gt;"",$T563=$T562),$U562,IF(B563="x",U562,"")))</f>
        <v/>
      </c>
      <c r="V563" t="str">
        <f>IF(C563=1,MAX($V$2:$V562)+1,IF(AND($T563&lt;&gt;"",$T563=$T562),$U562,IF(C563="x",V562,"")))</f>
        <v/>
      </c>
      <c r="X563" cm="1">
        <f t="array" ref="X563">IF($I563&lt;&gt;"",$I563,INDEX($I$1:$I563,ROW()-COUNTIFS($T$1:$T563,"="&amp;$T563,$S$1:$S563,"&lt;"&amp;$S563)))</f>
        <v>90</v>
      </c>
      <c r="Z563" s="6">
        <f t="shared" si="102"/>
        <v>1</v>
      </c>
      <c r="AA563">
        <f t="shared" si="103"/>
        <v>1280</v>
      </c>
      <c r="AB563">
        <f t="shared" si="104"/>
        <v>9036</v>
      </c>
      <c r="AC563">
        <f t="shared" si="105"/>
        <v>9036</v>
      </c>
      <c r="AI563" t="str">
        <f t="shared" si="106"/>
        <v>d</v>
      </c>
      <c r="BI563" s="40"/>
      <c r="BL563" s="40"/>
      <c r="BN563" s="19"/>
      <c r="BP563" s="17"/>
    </row>
    <row r="564" spans="1:68" x14ac:dyDescent="0.2">
      <c r="A564">
        <f t="shared" si="101"/>
        <v>1</v>
      </c>
      <c r="E564" s="4"/>
      <c r="F564" s="46" t="s">
        <v>1049</v>
      </c>
      <c r="G564" s="4"/>
      <c r="H564" s="48" t="s">
        <v>1041</v>
      </c>
      <c r="I564" s="26">
        <v>84</v>
      </c>
      <c r="J564" s="26" t="s">
        <v>734</v>
      </c>
      <c r="K564" t="s">
        <v>13</v>
      </c>
      <c r="L564" t="s">
        <v>586</v>
      </c>
      <c r="N564" t="s">
        <v>595</v>
      </c>
      <c r="O564" t="s">
        <v>912</v>
      </c>
      <c r="Q564" t="str">
        <f t="shared" si="108"/>
        <v>s</v>
      </c>
      <c r="S564">
        <f>IF(A564=1,MAX($S$2:$S563)+1,IF(OR($I564&lt;&gt;"",A564="x"),$S563,""))</f>
        <v>281</v>
      </c>
      <c r="T564" t="str">
        <f>IF(D564=1,MAX($T$2:$T563)+1,IF(S564=S563,$T563,IF(D564="x",T563,IF(D563="x","",""))))</f>
        <v/>
      </c>
      <c r="U564" t="str">
        <f>IF(B564=1,MAX($U$2:$U563)+1,IF(AND($T564&lt;&gt;"",$T564=$T563),$U563,IF(B564="x",U563,"")))</f>
        <v/>
      </c>
      <c r="V564" t="str">
        <f>IF(C564=1,MAX($V$2:$V563)+1,IF(AND($T564&lt;&gt;"",$T564=$T563),$U563,IF(C564="x",V563,"")))</f>
        <v/>
      </c>
      <c r="X564" cm="1">
        <f t="array" ref="X564">IF($I564&lt;&gt;"",$I564,INDEX($I$1:$I564,ROW()-COUNTIFS($T$1:$T564,"="&amp;$T564,$S$1:$S564,"&lt;"&amp;$S564)))</f>
        <v>84</v>
      </c>
      <c r="Z564" s="6">
        <f t="shared" si="102"/>
        <v>1</v>
      </c>
      <c r="AA564">
        <f t="shared" si="103"/>
        <v>1281</v>
      </c>
      <c r="AB564" t="str">
        <f t="shared" si="104"/>
        <v/>
      </c>
      <c r="AC564">
        <f t="shared" si="105"/>
        <v>1281</v>
      </c>
      <c r="AI564" t="str">
        <f t="shared" si="106"/>
        <v>n</v>
      </c>
      <c r="BI564" s="40"/>
      <c r="BL564" s="40"/>
      <c r="BN564" s="19"/>
      <c r="BP564" s="17"/>
    </row>
    <row r="565" spans="1:68" x14ac:dyDescent="0.2">
      <c r="A565">
        <f t="shared" si="101"/>
        <v>1</v>
      </c>
      <c r="E565" s="4"/>
      <c r="F565" s="46"/>
      <c r="G565" s="4"/>
      <c r="H565" s="48"/>
      <c r="I565" s="26">
        <v>84</v>
      </c>
      <c r="J565" s="26" t="s">
        <v>734</v>
      </c>
      <c r="K565" t="s">
        <v>7</v>
      </c>
      <c r="L565" t="s">
        <v>182</v>
      </c>
      <c r="M565" t="s">
        <v>65</v>
      </c>
      <c r="N565" t="str">
        <f t="shared" si="109"/>
        <v>u</v>
      </c>
      <c r="Q565" t="str">
        <f t="shared" si="108"/>
        <v/>
      </c>
      <c r="S565">
        <f>IF(A565=1,MAX($S$2:$S564)+1,IF(OR($I565&lt;&gt;"",A565="x"),$S564,""))</f>
        <v>282</v>
      </c>
      <c r="T565" t="str">
        <f>IF(D565=1,MAX($T$2:$T564)+1,IF(S565=S564,$T564,IF(D565="x",T564,IF(D564="x","",""))))</f>
        <v/>
      </c>
      <c r="U565" t="str">
        <f>IF(B565=1,MAX($U$2:$U564)+1,IF(AND($T565&lt;&gt;"",$T565=$T564),$U564,IF(B565="x",U564,"")))</f>
        <v/>
      </c>
      <c r="V565" t="str">
        <f>IF(C565=1,MAX($V$2:$V564)+1,IF(AND($T565&lt;&gt;"",$T565=$T564),$U564,IF(C565="x",V564,"")))</f>
        <v/>
      </c>
      <c r="X565" cm="1">
        <f t="array" ref="X565">IF($I565&lt;&gt;"",$I565,INDEX($I$1:$I565,ROW()-COUNTIFS($T$1:$T565,"="&amp;$T565,$S$1:$S565,"&lt;"&amp;$S565)))</f>
        <v>84</v>
      </c>
      <c r="Z565" s="6">
        <f t="shared" si="102"/>
        <v>1</v>
      </c>
      <c r="AA565">
        <f t="shared" si="103"/>
        <v>1282</v>
      </c>
      <c r="AB565" t="str">
        <f t="shared" si="104"/>
        <v/>
      </c>
      <c r="AC565">
        <f t="shared" si="105"/>
        <v>1282</v>
      </c>
      <c r="AI565" t="str">
        <f t="shared" si="106"/>
        <v>n</v>
      </c>
      <c r="BI565" s="40"/>
      <c r="BL565" s="40"/>
      <c r="BN565" s="19"/>
      <c r="BP565" s="17"/>
    </row>
    <row r="566" spans="1:68" x14ac:dyDescent="0.2">
      <c r="A566" t="str">
        <f t="shared" si="101"/>
        <v/>
      </c>
      <c r="E566" s="4"/>
      <c r="F566" s="46"/>
      <c r="G566" s="4"/>
      <c r="H566" s="48"/>
      <c r="I566" s="26">
        <v>91</v>
      </c>
      <c r="J566" s="26" t="str">
        <f t="shared" si="107"/>
        <v/>
      </c>
      <c r="N566" t="str">
        <f t="shared" si="109"/>
        <v/>
      </c>
      <c r="Q566" t="str">
        <f t="shared" si="108"/>
        <v/>
      </c>
      <c r="S566">
        <f>IF(A566=1,MAX($S$2:$S565)+1,IF(OR($I566&lt;&gt;"",A566="x"),$S565,""))</f>
        <v>282</v>
      </c>
      <c r="T566" t="str">
        <f>IF(D566=1,MAX($T$2:$T565)+1,IF(S566=S565,$T565,IF(D566="x",T565,IF(D565="x","",""))))</f>
        <v/>
      </c>
      <c r="U566" t="str">
        <f>IF(B566=1,MAX($U$2:$U565)+1,IF(AND($T566&lt;&gt;"",$T566=$T565),$U565,IF(B566="x",U565,"")))</f>
        <v/>
      </c>
      <c r="V566" t="str">
        <f>IF(C566=1,MAX($V$2:$V565)+1,IF(AND($T566&lt;&gt;"",$T566=$T565),$U565,IF(C566="x",V565,"")))</f>
        <v/>
      </c>
      <c r="X566" cm="1">
        <f t="array" ref="X566">IF($I566&lt;&gt;"",$I566,INDEX($I$1:$I566,ROW()-COUNTIFS($T$1:$T566,"="&amp;$T566,$S$1:$S566,"&lt;"&amp;$S566)))</f>
        <v>91</v>
      </c>
      <c r="Z566" s="6">
        <f t="shared" si="102"/>
        <v>1</v>
      </c>
      <c r="AA566">
        <f t="shared" si="103"/>
        <v>1282</v>
      </c>
      <c r="AB566" t="str">
        <f t="shared" si="104"/>
        <v/>
      </c>
      <c r="AC566">
        <f t="shared" si="105"/>
        <v>1282</v>
      </c>
      <c r="AI566" t="str">
        <f t="shared" si="106"/>
        <v>n</v>
      </c>
      <c r="BI566" s="40"/>
      <c r="BL566" s="40"/>
      <c r="BN566" s="19"/>
      <c r="BP566" s="17"/>
    </row>
    <row r="567" spans="1:68" x14ac:dyDescent="0.2">
      <c r="A567">
        <f t="shared" si="101"/>
        <v>1</v>
      </c>
      <c r="E567" s="4"/>
      <c r="F567" s="46" t="s">
        <v>1037</v>
      </c>
      <c r="G567" s="4"/>
      <c r="H567" s="48" t="s">
        <v>1068</v>
      </c>
      <c r="I567" s="26">
        <v>70</v>
      </c>
      <c r="J567" s="26" t="s">
        <v>734</v>
      </c>
      <c r="K567" t="s">
        <v>13</v>
      </c>
      <c r="N567" t="str">
        <f t="shared" si="109"/>
        <v/>
      </c>
      <c r="Q567" t="str">
        <f t="shared" si="108"/>
        <v/>
      </c>
      <c r="R567" s="26">
        <v>1</v>
      </c>
      <c r="S567">
        <f>IF(A567=1,MAX($S$2:$S566)+1,IF(OR($I567&lt;&gt;"",A567="x"),$S566,""))</f>
        <v>283</v>
      </c>
      <c r="T567" t="str">
        <f>IF(D567=1,MAX($T$2:$T566)+1,IF(S567=S566,$T566,IF(D567="x",T566,IF(D566="x","",""))))</f>
        <v/>
      </c>
      <c r="U567" t="str">
        <f>IF(B567=1,MAX($U$2:$U566)+1,IF(AND($T567&lt;&gt;"",$T567=$T566),$U566,IF(B567="x",U566,"")))</f>
        <v/>
      </c>
      <c r="V567" t="str">
        <f>IF(C567=1,MAX($V$2:$V566)+1,IF(AND($T567&lt;&gt;"",$T567=$T566),$U566,IF(C567="x",V566,"")))</f>
        <v/>
      </c>
      <c r="X567" cm="1">
        <f t="array" ref="X567">IF($I567&lt;&gt;"",$I567,INDEX($I$1:$I567,ROW()-COUNTIFS($T$1:$T567,"="&amp;$T567,$S$1:$S567,"&lt;"&amp;$S567)))</f>
        <v>70</v>
      </c>
      <c r="Z567" s="6">
        <f t="shared" si="102"/>
        <v>1</v>
      </c>
      <c r="AA567">
        <f t="shared" si="103"/>
        <v>1283</v>
      </c>
      <c r="AB567" t="str">
        <f t="shared" si="104"/>
        <v/>
      </c>
      <c r="AC567">
        <f t="shared" si="105"/>
        <v>1283</v>
      </c>
      <c r="AI567" t="str">
        <f t="shared" si="106"/>
        <v>n</v>
      </c>
      <c r="BI567" s="40"/>
      <c r="BL567" s="40"/>
      <c r="BN567" s="19"/>
      <c r="BP567" s="17"/>
    </row>
    <row r="568" spans="1:68" x14ac:dyDescent="0.2">
      <c r="A568" t="str">
        <f t="shared" si="101"/>
        <v/>
      </c>
      <c r="E568" s="4"/>
      <c r="F568" s="46"/>
      <c r="G568" s="4"/>
      <c r="H568" s="48"/>
      <c r="I568" s="26">
        <v>21</v>
      </c>
      <c r="J568" s="26" t="str">
        <f t="shared" si="107"/>
        <v/>
      </c>
      <c r="N568" t="str">
        <f t="shared" si="109"/>
        <v/>
      </c>
      <c r="Q568" t="str">
        <f t="shared" si="108"/>
        <v/>
      </c>
      <c r="R568" s="26">
        <v>1</v>
      </c>
      <c r="S568">
        <f>IF(A568=1,MAX($S$2:$S567)+1,IF(OR($I568&lt;&gt;"",A568="x"),$S567,""))</f>
        <v>283</v>
      </c>
      <c r="T568" t="str">
        <f>IF(D568=1,MAX($T$2:$T567)+1,IF(S568=S567,$T567,IF(D568="x",T567,IF(D567="x","",""))))</f>
        <v/>
      </c>
      <c r="U568" t="str">
        <f>IF(B568=1,MAX($U$2:$U567)+1,IF(AND($T568&lt;&gt;"",$T568=$T567),$U567,IF(B568="x",U567,"")))</f>
        <v/>
      </c>
      <c r="V568" t="str">
        <f>IF(C568=1,MAX($V$2:$V567)+1,IF(AND($T568&lt;&gt;"",$T568=$T567),$U567,IF(C568="x",V567,"")))</f>
        <v/>
      </c>
      <c r="X568" cm="1">
        <f t="array" ref="X568">IF($I568&lt;&gt;"",$I568,INDEX($I$1:$I568,ROW()-COUNTIFS($T$1:$T568,"="&amp;$T568,$S$1:$S568,"&lt;"&amp;$S568)))</f>
        <v>21</v>
      </c>
      <c r="Z568" s="6">
        <f t="shared" si="102"/>
        <v>1</v>
      </c>
      <c r="AA568">
        <f t="shared" si="103"/>
        <v>1283</v>
      </c>
      <c r="AB568" t="str">
        <f t="shared" si="104"/>
        <v/>
      </c>
      <c r="AC568">
        <f t="shared" si="105"/>
        <v>1283</v>
      </c>
      <c r="AI568" t="str">
        <f t="shared" si="106"/>
        <v>n</v>
      </c>
      <c r="BI568" s="40"/>
      <c r="BL568" s="40"/>
      <c r="BN568" s="19"/>
      <c r="BP568" s="17"/>
    </row>
    <row r="569" spans="1:68" x14ac:dyDescent="0.2">
      <c r="A569">
        <f t="shared" si="101"/>
        <v>1</v>
      </c>
      <c r="D569" s="26">
        <v>1</v>
      </c>
      <c r="E569" s="4"/>
      <c r="F569" s="46" t="s">
        <v>749</v>
      </c>
      <c r="G569" s="4"/>
      <c r="H569" s="48"/>
      <c r="I569" s="26">
        <v>70</v>
      </c>
      <c r="J569" s="26" t="s">
        <v>734</v>
      </c>
      <c r="K569" t="s">
        <v>7</v>
      </c>
      <c r="L569" t="s">
        <v>172</v>
      </c>
      <c r="M569" t="s">
        <v>67</v>
      </c>
      <c r="N569" t="str">
        <f t="shared" si="109"/>
        <v>s</v>
      </c>
      <c r="Q569" t="str">
        <f t="shared" si="108"/>
        <v/>
      </c>
      <c r="S569">
        <f>IF(A569=1,MAX($S$2:$S568)+1,IF(OR($I569&lt;&gt;"",A569="x"),$S568,""))</f>
        <v>284</v>
      </c>
      <c r="T569">
        <f>IF(D569=1,MAX($T$2:$T568)+1,IF(S569=S568,$T568,IF(D569="x",T568,IF(D568="x","",""))))</f>
        <v>37</v>
      </c>
      <c r="U569" t="str">
        <f>IF(B569=1,MAX($U$2:$U568)+1,IF(AND($T569&lt;&gt;"",$T569=$T568),$U568,IF(B569="x",U568,"")))</f>
        <v/>
      </c>
      <c r="V569" t="str">
        <f>IF(C569=1,MAX($V$2:$V568)+1,IF(AND($T569&lt;&gt;"",$T569=$T568),$U568,IF(C569="x",V568,"")))</f>
        <v/>
      </c>
      <c r="X569" cm="1">
        <f t="array" ref="X569">IF($I569&lt;&gt;"",$I569,INDEX($I$1:$I569,ROW()-COUNTIFS($T$1:$T569,"="&amp;$T569,$S$1:$S569,"&lt;"&amp;$S569)))</f>
        <v>70</v>
      </c>
      <c r="Z569" s="6">
        <f t="shared" si="102"/>
        <v>1</v>
      </c>
      <c r="AA569">
        <f t="shared" si="103"/>
        <v>1284</v>
      </c>
      <c r="AB569">
        <f t="shared" si="104"/>
        <v>9037</v>
      </c>
      <c r="AC569">
        <f t="shared" si="105"/>
        <v>9037</v>
      </c>
      <c r="AI569" t="str">
        <f t="shared" si="106"/>
        <v>n</v>
      </c>
      <c r="BI569" s="40"/>
      <c r="BL569" s="40"/>
      <c r="BN569" s="19"/>
      <c r="BP569" s="17"/>
    </row>
    <row r="570" spans="1:68" x14ac:dyDescent="0.2">
      <c r="A570" t="str">
        <f t="shared" si="101"/>
        <v>x</v>
      </c>
      <c r="D570" s="26" t="s">
        <v>729</v>
      </c>
      <c r="E570" s="4"/>
      <c r="F570" s="46"/>
      <c r="G570" s="4"/>
      <c r="H570" s="48"/>
      <c r="I570" s="26">
        <v>91</v>
      </c>
      <c r="J570" s="26" t="str">
        <f t="shared" si="107"/>
        <v/>
      </c>
      <c r="N570" t="str">
        <f t="shared" si="109"/>
        <v/>
      </c>
      <c r="Q570" t="str">
        <f t="shared" si="108"/>
        <v/>
      </c>
      <c r="S570">
        <f>IF(A570=1,MAX($S$2:$S569)+1,IF(OR($I570&lt;&gt;"",A570="x"),$S569,""))</f>
        <v>284</v>
      </c>
      <c r="T570">
        <f>IF(D570=1,MAX($T$2:$T569)+1,IF(S570=S569,$T569,IF(D570="x",T569,IF(D569="x","",""))))</f>
        <v>37</v>
      </c>
      <c r="U570" t="str">
        <f>IF(B570=1,MAX($U$2:$U569)+1,IF(AND($T570&lt;&gt;"",$T570=$T569),$U569,IF(B570="x",U569,"")))</f>
        <v/>
      </c>
      <c r="V570" t="str">
        <f>IF(C570=1,MAX($V$2:$V569)+1,IF(AND($T570&lt;&gt;"",$T570=$T569),$U569,IF(C570="x",V569,"")))</f>
        <v/>
      </c>
      <c r="X570" cm="1">
        <f t="array" ref="X570">IF($I570&lt;&gt;"",$I570,INDEX($I$1:$I570,ROW()-COUNTIFS($T$1:$T570,"="&amp;$T570,$S$1:$S570,"&lt;"&amp;$S570)))</f>
        <v>91</v>
      </c>
      <c r="Z570" s="6">
        <f t="shared" si="102"/>
        <v>1</v>
      </c>
      <c r="AA570">
        <f t="shared" si="103"/>
        <v>1284</v>
      </c>
      <c r="AB570">
        <f t="shared" si="104"/>
        <v>9037</v>
      </c>
      <c r="AC570">
        <f t="shared" si="105"/>
        <v>9037</v>
      </c>
      <c r="AI570" t="str">
        <f t="shared" si="106"/>
        <v>n</v>
      </c>
      <c r="BI570" s="40"/>
      <c r="BL570" s="40"/>
      <c r="BN570" s="19"/>
      <c r="BP570" s="17"/>
    </row>
    <row r="571" spans="1:68" x14ac:dyDescent="0.2">
      <c r="A571">
        <f t="shared" si="101"/>
        <v>1</v>
      </c>
      <c r="D571" s="26" t="s">
        <v>729</v>
      </c>
      <c r="E571" s="4"/>
      <c r="F571" s="46"/>
      <c r="G571" s="4"/>
      <c r="H571" s="48"/>
      <c r="J571" s="26" t="s">
        <v>734</v>
      </c>
      <c r="K571" t="s">
        <v>238</v>
      </c>
      <c r="L571" t="s">
        <v>174</v>
      </c>
      <c r="M571" t="s">
        <v>86</v>
      </c>
      <c r="N571" t="str">
        <f t="shared" si="109"/>
        <v>s</v>
      </c>
      <c r="Q571" t="str">
        <f t="shared" si="108"/>
        <v/>
      </c>
      <c r="S571">
        <f>IF(A571=1,MAX($S$2:$S570)+1,IF(OR($I571&lt;&gt;"",A571="x"),$S570,""))</f>
        <v>285</v>
      </c>
      <c r="T571">
        <f>IF(D571=1,MAX($T$2:$T570)+1,IF(S571=S570,$T570,IF(D571="x",T570,IF(D570="x","",""))))</f>
        <v>37</v>
      </c>
      <c r="U571" t="str">
        <f>IF(B571=1,MAX($U$2:$U570)+1,IF(AND($T571&lt;&gt;"",$T571=$T570),$U570,IF(B571="x",U570,"")))</f>
        <v/>
      </c>
      <c r="V571" t="str">
        <f>IF(C571=1,MAX($V$2:$V570)+1,IF(AND($T571&lt;&gt;"",$T571=$T570),$U570,IF(C571="x",V570,"")))</f>
        <v/>
      </c>
      <c r="X571" cm="1">
        <f t="array" ref="X571">IF($I571&lt;&gt;"",$I571,INDEX($I$1:$I571,ROW()-COUNTIFS($T$1:$T571,"="&amp;$T571,$S$1:$S571,"&lt;"&amp;$S571)))</f>
        <v>70</v>
      </c>
      <c r="Z571" s="6">
        <f t="shared" si="102"/>
        <v>1</v>
      </c>
      <c r="AA571">
        <f t="shared" si="103"/>
        <v>1285</v>
      </c>
      <c r="AB571">
        <f t="shared" si="104"/>
        <v>9037</v>
      </c>
      <c r="AC571">
        <f t="shared" si="105"/>
        <v>9037</v>
      </c>
      <c r="AI571" t="str">
        <f t="shared" si="106"/>
        <v>n</v>
      </c>
      <c r="BI571" s="40"/>
      <c r="BL571" s="40"/>
      <c r="BN571" s="19"/>
      <c r="BP571" s="17"/>
    </row>
    <row r="572" spans="1:68" x14ac:dyDescent="0.2">
      <c r="A572" t="str">
        <f t="shared" si="101"/>
        <v>x</v>
      </c>
      <c r="D572" s="26" t="s">
        <v>729</v>
      </c>
      <c r="E572" s="4"/>
      <c r="F572" s="46"/>
      <c r="G572" s="4"/>
      <c r="H572" s="48"/>
      <c r="J572" s="26" t="str">
        <f t="shared" si="107"/>
        <v/>
      </c>
      <c r="N572" t="str">
        <f t="shared" si="109"/>
        <v/>
      </c>
      <c r="Q572" t="str">
        <f t="shared" si="108"/>
        <v/>
      </c>
      <c r="S572">
        <f>IF(A572=1,MAX($S$2:$S571)+1,IF(OR($I572&lt;&gt;"",A572="x"),$S571,""))</f>
        <v>285</v>
      </c>
      <c r="T572">
        <f>IF(D572=1,MAX($T$2:$T571)+1,IF(S572=S571,$T571,IF(D572="x",T571,IF(D571="x","",""))))</f>
        <v>37</v>
      </c>
      <c r="U572" t="str">
        <f>IF(B572=1,MAX($U$2:$U571)+1,IF(AND($T572&lt;&gt;"",$T572=$T571),$U571,IF(B572="x",U571,"")))</f>
        <v/>
      </c>
      <c r="V572" t="str">
        <f>IF(C572=1,MAX($V$2:$V571)+1,IF(AND($T572&lt;&gt;"",$T572=$T571),$U571,IF(C572="x",V571,"")))</f>
        <v/>
      </c>
      <c r="X572" cm="1">
        <f t="array" ref="X572">IF($I572&lt;&gt;"",$I572,INDEX($I$1:$I572,ROW()-COUNTIFS($T$1:$T572,"="&amp;$T572,$S$1:$S572,"&lt;"&amp;$S572)))</f>
        <v>91</v>
      </c>
      <c r="Z572" s="6">
        <f t="shared" si="102"/>
        <v>1</v>
      </c>
      <c r="AA572">
        <f t="shared" si="103"/>
        <v>1285</v>
      </c>
      <c r="AB572">
        <f t="shared" si="104"/>
        <v>9037</v>
      </c>
      <c r="AC572">
        <f t="shared" si="105"/>
        <v>9037</v>
      </c>
      <c r="AI572" t="str">
        <f t="shared" si="106"/>
        <v>n</v>
      </c>
      <c r="BI572" s="40"/>
      <c r="BL572" s="40"/>
      <c r="BN572" s="19"/>
      <c r="BP572" s="17"/>
    </row>
    <row r="573" spans="1:68" x14ac:dyDescent="0.2">
      <c r="A573">
        <f t="shared" si="101"/>
        <v>1</v>
      </c>
      <c r="E573" s="4"/>
      <c r="F573" s="46"/>
      <c r="G573" s="4"/>
      <c r="H573" s="48" t="s">
        <v>750</v>
      </c>
      <c r="I573" s="26">
        <v>91</v>
      </c>
      <c r="J573" s="26" t="s">
        <v>368</v>
      </c>
      <c r="K573" t="s">
        <v>13</v>
      </c>
      <c r="N573" t="str">
        <f t="shared" si="109"/>
        <v/>
      </c>
      <c r="O573" t="s">
        <v>149</v>
      </c>
      <c r="Q573" t="str">
        <f t="shared" si="108"/>
        <v/>
      </c>
      <c r="S573">
        <f>IF(A573=1,MAX($S$2:$S572)+1,IF(OR($I573&lt;&gt;"",A573="x"),$S572,""))</f>
        <v>286</v>
      </c>
      <c r="T573" t="str">
        <f>IF(D573=1,MAX($T$2:$T572)+1,IF(S573=S572,$T572,IF(D573="x",T572,IF(D572="x","",""))))</f>
        <v/>
      </c>
      <c r="U573" t="str">
        <f>IF(B573=1,MAX($U$2:$U572)+1,IF(AND($T573&lt;&gt;"",$T573=$T572),$U572,IF(B573="x",U572,"")))</f>
        <v/>
      </c>
      <c r="V573" t="str">
        <f>IF(C573=1,MAX($V$2:$V572)+1,IF(AND($T573&lt;&gt;"",$T573=$T572),$U572,IF(C573="x",V572,"")))</f>
        <v/>
      </c>
      <c r="X573" cm="1">
        <f t="array" ref="X573">IF($I573&lt;&gt;"",$I573,INDEX($I$1:$I573,ROW()-COUNTIFS($T$1:$T573,"="&amp;$T573,$S$1:$S573,"&lt;"&amp;$S573)))</f>
        <v>91</v>
      </c>
      <c r="Z573" s="6">
        <f t="shared" si="102"/>
        <v>1</v>
      </c>
      <c r="AA573">
        <f t="shared" si="103"/>
        <v>1286</v>
      </c>
      <c r="AB573" t="str">
        <f t="shared" si="104"/>
        <v/>
      </c>
      <c r="AC573">
        <f t="shared" si="105"/>
        <v>1286</v>
      </c>
      <c r="AI573" t="str">
        <f t="shared" si="106"/>
        <v>o</v>
      </c>
      <c r="BI573" s="40"/>
      <c r="BL573" s="40"/>
      <c r="BN573" s="19"/>
      <c r="BP573" s="17"/>
    </row>
    <row r="574" spans="1:68" x14ac:dyDescent="0.2">
      <c r="A574" t="str">
        <f t="shared" si="101"/>
        <v/>
      </c>
      <c r="E574" s="4"/>
      <c r="F574" s="46"/>
      <c r="G574" s="4"/>
      <c r="H574" s="48"/>
      <c r="I574" s="26">
        <v>57</v>
      </c>
      <c r="J574" s="26" t="str">
        <f t="shared" si="107"/>
        <v/>
      </c>
      <c r="N574" t="str">
        <f t="shared" si="109"/>
        <v/>
      </c>
      <c r="Q574" t="str">
        <f t="shared" si="108"/>
        <v/>
      </c>
      <c r="S574">
        <f>IF(A574=1,MAX($S$2:$S573)+1,IF(OR($I574&lt;&gt;"",A574="x"),$S573,""))</f>
        <v>286</v>
      </c>
      <c r="T574" t="str">
        <f>IF(D574=1,MAX($T$2:$T573)+1,IF(S574=S573,$T573,IF(D574="x",T573,IF(D573="x","",""))))</f>
        <v/>
      </c>
      <c r="U574" t="str">
        <f>IF(B574=1,MAX($U$2:$U573)+1,IF(AND($T574&lt;&gt;"",$T574=$T573),$U573,IF(B574="x",U573,"")))</f>
        <v/>
      </c>
      <c r="V574" t="str">
        <f>IF(C574=1,MAX($V$2:$V573)+1,IF(AND($T574&lt;&gt;"",$T574=$T573),$U573,IF(C574="x",V573,"")))</f>
        <v/>
      </c>
      <c r="X574" cm="1">
        <f t="array" ref="X574">IF($I574&lt;&gt;"",$I574,INDEX($I$1:$I574,ROW()-COUNTIFS($T$1:$T574,"="&amp;$T574,$S$1:$S574,"&lt;"&amp;$S574)))</f>
        <v>57</v>
      </c>
      <c r="Z574" s="6">
        <f t="shared" si="102"/>
        <v>1</v>
      </c>
      <c r="AA574">
        <f t="shared" si="103"/>
        <v>1286</v>
      </c>
      <c r="AB574" t="str">
        <f t="shared" si="104"/>
        <v/>
      </c>
      <c r="AC574">
        <f t="shared" si="105"/>
        <v>1286</v>
      </c>
      <c r="AI574" t="str">
        <f t="shared" si="106"/>
        <v>o</v>
      </c>
      <c r="BI574" s="40"/>
      <c r="BL574" s="40"/>
      <c r="BN574" s="19"/>
      <c r="BP574" s="17"/>
    </row>
    <row r="575" spans="1:68" x14ac:dyDescent="0.2">
      <c r="A575">
        <f t="shared" si="101"/>
        <v>1</v>
      </c>
      <c r="E575" s="4"/>
      <c r="F575" s="46"/>
      <c r="G575" s="4"/>
      <c r="H575" s="48"/>
      <c r="I575" s="26">
        <v>91</v>
      </c>
      <c r="J575" s="26" t="s">
        <v>368</v>
      </c>
      <c r="K575" t="s">
        <v>7</v>
      </c>
      <c r="L575" t="s">
        <v>192</v>
      </c>
      <c r="M575" t="s">
        <v>68</v>
      </c>
      <c r="N575" t="str">
        <f t="shared" si="109"/>
        <v>u</v>
      </c>
      <c r="Q575" t="str">
        <f t="shared" si="108"/>
        <v/>
      </c>
      <c r="R575" s="26">
        <v>1</v>
      </c>
      <c r="S575">
        <f>IF(A575=1,MAX($S$2:$S574)+1,IF(OR($I575&lt;&gt;"",A575="x"),$S574,""))</f>
        <v>287</v>
      </c>
      <c r="T575" t="str">
        <f>IF(D575=1,MAX($T$2:$T574)+1,IF(S575=S574,$T574,IF(D575="x",T574,IF(D574="x","",""))))</f>
        <v/>
      </c>
      <c r="U575" t="str">
        <f>IF(B575=1,MAX($U$2:$U574)+1,IF(AND($T575&lt;&gt;"",$T575=$T574),$U574,IF(B575="x",U574,"")))</f>
        <v/>
      </c>
      <c r="V575" t="str">
        <f>IF(C575=1,MAX($V$2:$V574)+1,IF(AND($T575&lt;&gt;"",$T575=$T574),$U574,IF(C575="x",V574,"")))</f>
        <v/>
      </c>
      <c r="X575" cm="1">
        <f t="array" ref="X575">IF($I575&lt;&gt;"",$I575,INDEX($I$1:$I575,ROW()-COUNTIFS($T$1:$T575,"="&amp;$T575,$S$1:$S575,"&lt;"&amp;$S575)))</f>
        <v>91</v>
      </c>
      <c r="Z575" s="6">
        <f t="shared" si="102"/>
        <v>1</v>
      </c>
      <c r="AA575">
        <f t="shared" si="103"/>
        <v>1287</v>
      </c>
      <c r="AB575" t="str">
        <f t="shared" si="104"/>
        <v/>
      </c>
      <c r="AC575">
        <f t="shared" si="105"/>
        <v>1287</v>
      </c>
      <c r="AI575" t="str">
        <f t="shared" si="106"/>
        <v>o</v>
      </c>
      <c r="BI575" s="40"/>
      <c r="BL575" s="40"/>
      <c r="BN575" s="19"/>
      <c r="BP575" s="17"/>
    </row>
    <row r="576" spans="1:68" x14ac:dyDescent="0.2">
      <c r="A576" t="str">
        <f t="shared" si="101"/>
        <v/>
      </c>
      <c r="E576" s="4"/>
      <c r="F576" s="46"/>
      <c r="G576" s="4"/>
      <c r="H576" s="48"/>
      <c r="I576" s="26">
        <v>24</v>
      </c>
      <c r="J576" s="26" t="str">
        <f t="shared" si="107"/>
        <v/>
      </c>
      <c r="N576" t="str">
        <f t="shared" si="109"/>
        <v/>
      </c>
      <c r="Q576" t="str">
        <f t="shared" si="108"/>
        <v/>
      </c>
      <c r="S576">
        <f>IF(A576=1,MAX($S$2:$S575)+1,IF(OR($I576&lt;&gt;"",A576="x"),$S575,""))</f>
        <v>287</v>
      </c>
      <c r="T576" t="str">
        <f>IF(D576=1,MAX($T$2:$T575)+1,IF(S576=S575,$T575,IF(D576="x",T575,IF(D575="x","",""))))</f>
        <v/>
      </c>
      <c r="U576" t="str">
        <f>IF(B576=1,MAX($U$2:$U575)+1,IF(AND($T576&lt;&gt;"",$T576=$T575),$U575,IF(B576="x",U575,"")))</f>
        <v/>
      </c>
      <c r="V576" t="str">
        <f>IF(C576=1,MAX($V$2:$V575)+1,IF(AND($T576&lt;&gt;"",$T576=$T575),$U575,IF(C576="x",V575,"")))</f>
        <v/>
      </c>
      <c r="X576" cm="1">
        <f t="array" ref="X576">IF($I576&lt;&gt;"",$I576,INDEX($I$1:$I576,ROW()-COUNTIFS($T$1:$T576,"="&amp;$T576,$S$1:$S576,"&lt;"&amp;$S576)))</f>
        <v>24</v>
      </c>
      <c r="Z576" s="6">
        <f t="shared" si="102"/>
        <v>1</v>
      </c>
      <c r="AA576">
        <f t="shared" si="103"/>
        <v>1287</v>
      </c>
      <c r="AB576" t="str">
        <f t="shared" si="104"/>
        <v/>
      </c>
      <c r="AC576">
        <f t="shared" si="105"/>
        <v>1287</v>
      </c>
      <c r="AI576" t="str">
        <f t="shared" si="106"/>
        <v>o</v>
      </c>
      <c r="BI576" s="40"/>
      <c r="BL576" s="40"/>
      <c r="BN576" s="19"/>
      <c r="BP576" s="17"/>
    </row>
    <row r="577" spans="1:68" x14ac:dyDescent="0.2">
      <c r="A577" t="str">
        <f t="shared" si="101"/>
        <v/>
      </c>
      <c r="E577" s="4"/>
      <c r="F577" s="46"/>
      <c r="G577" s="4"/>
      <c r="H577" s="48"/>
      <c r="I577" s="26">
        <v>57</v>
      </c>
      <c r="J577" s="26" t="str">
        <f t="shared" si="107"/>
        <v/>
      </c>
      <c r="N577" t="str">
        <f t="shared" si="109"/>
        <v/>
      </c>
      <c r="Q577" t="str">
        <f t="shared" si="108"/>
        <v/>
      </c>
      <c r="R577" s="26">
        <v>1</v>
      </c>
      <c r="S577">
        <f>IF(A577=1,MAX($S$2:$S576)+1,IF(OR($I577&lt;&gt;"",A577="x"),$S576,""))</f>
        <v>287</v>
      </c>
      <c r="T577" t="str">
        <f>IF(D577=1,MAX($T$2:$T576)+1,IF(S577=S576,$T576,IF(D577="x",T576,IF(D576="x","",""))))</f>
        <v/>
      </c>
      <c r="U577" t="str">
        <f>IF(B577=1,MAX($U$2:$U576)+1,IF(AND($T577&lt;&gt;"",$T577=$T576),$U576,IF(B577="x",U576,"")))</f>
        <v/>
      </c>
      <c r="V577" t="str">
        <f>IF(C577=1,MAX($V$2:$V576)+1,IF(AND($T577&lt;&gt;"",$T577=$T576),$U576,IF(C577="x",V576,"")))</f>
        <v/>
      </c>
      <c r="X577" cm="1">
        <f t="array" ref="X577">IF($I577&lt;&gt;"",$I577,INDEX($I$1:$I577,ROW()-COUNTIFS($T$1:$T577,"="&amp;$T577,$S$1:$S577,"&lt;"&amp;$S577)))</f>
        <v>57</v>
      </c>
      <c r="Z577" s="6">
        <f t="shared" si="102"/>
        <v>1</v>
      </c>
      <c r="AA577">
        <f t="shared" si="103"/>
        <v>1287</v>
      </c>
      <c r="AB577" t="str">
        <f t="shared" si="104"/>
        <v/>
      </c>
      <c r="AC577">
        <f t="shared" si="105"/>
        <v>1287</v>
      </c>
      <c r="AI577" t="str">
        <f t="shared" si="106"/>
        <v>o</v>
      </c>
      <c r="BI577" s="40"/>
      <c r="BL577" s="40"/>
      <c r="BN577" s="19"/>
      <c r="BP577" s="17"/>
    </row>
    <row r="578" spans="1:68" x14ac:dyDescent="0.2">
      <c r="A578" t="str">
        <f t="shared" si="101"/>
        <v/>
      </c>
      <c r="E578" s="4"/>
      <c r="F578" s="46"/>
      <c r="G578" s="4"/>
      <c r="H578" s="48"/>
      <c r="I578" s="26">
        <v>10</v>
      </c>
      <c r="J578" s="26" t="str">
        <f t="shared" si="107"/>
        <v/>
      </c>
      <c r="N578" t="str">
        <f t="shared" si="109"/>
        <v/>
      </c>
      <c r="O578" t="s">
        <v>782</v>
      </c>
      <c r="Q578" t="str">
        <f t="shared" si="108"/>
        <v/>
      </c>
      <c r="S578">
        <f>IF(A578=1,MAX($S$2:$S577)+1,IF(OR($I578&lt;&gt;"",A578="x"),$S577,""))</f>
        <v>287</v>
      </c>
      <c r="T578" t="str">
        <f>IF(D578=1,MAX($T$2:$T577)+1,IF(S578=S577,$T577,IF(D578="x",T577,IF(D577="x","",""))))</f>
        <v/>
      </c>
      <c r="U578" t="str">
        <f>IF(B578=1,MAX($U$2:$U577)+1,IF(AND($T578&lt;&gt;"",$T578=$T577),$U577,IF(B578="x",U577,"")))</f>
        <v/>
      </c>
      <c r="V578" t="str">
        <f>IF(C578=1,MAX($V$2:$V577)+1,IF(AND($T578&lt;&gt;"",$T578=$T577),$U577,IF(C578="x",V577,"")))</f>
        <v/>
      </c>
      <c r="X578" cm="1">
        <f t="array" ref="X578">IF($I578&lt;&gt;"",$I578,INDEX($I$1:$I578,ROW()-COUNTIFS($T$1:$T578,"="&amp;$T578,$S$1:$S578,"&lt;"&amp;$S578)))</f>
        <v>10</v>
      </c>
      <c r="Z578" s="6">
        <f t="shared" si="102"/>
        <v>1</v>
      </c>
      <c r="AA578">
        <f t="shared" si="103"/>
        <v>1287</v>
      </c>
      <c r="AB578" t="str">
        <f t="shared" si="104"/>
        <v/>
      </c>
      <c r="AC578">
        <f t="shared" si="105"/>
        <v>1287</v>
      </c>
      <c r="AI578" t="str">
        <f t="shared" si="106"/>
        <v>o</v>
      </c>
      <c r="BI578" s="40"/>
      <c r="BL578" s="40"/>
      <c r="BN578" s="19"/>
      <c r="BP578" s="17"/>
    </row>
    <row r="579" spans="1:68" x14ac:dyDescent="0.2">
      <c r="A579">
        <f t="shared" si="101"/>
        <v>1</v>
      </c>
      <c r="E579" s="4"/>
      <c r="F579" s="46" t="s">
        <v>1048</v>
      </c>
      <c r="G579" s="4"/>
      <c r="H579" s="48"/>
      <c r="I579" s="26">
        <v>22</v>
      </c>
      <c r="J579" s="26" t="s">
        <v>368</v>
      </c>
      <c r="K579" t="s">
        <v>13</v>
      </c>
      <c r="L579" t="s">
        <v>587</v>
      </c>
      <c r="N579" t="s">
        <v>594</v>
      </c>
      <c r="O579" t="s">
        <v>907</v>
      </c>
      <c r="Q579" t="str">
        <f t="shared" si="108"/>
        <v>u</v>
      </c>
      <c r="S579">
        <f>IF(A579=1,MAX($S$2:$S578)+1,IF(OR($I579&lt;&gt;"",A579="x"),$S578,""))</f>
        <v>288</v>
      </c>
      <c r="T579" t="str">
        <f>IF(D579=1,MAX($T$2:$T578)+1,IF(S579=S578,$T578,IF(D579="x",T578,IF(D578="x","",""))))</f>
        <v/>
      </c>
      <c r="U579" t="str">
        <f>IF(B579=1,MAX($U$2:$U578)+1,IF(AND($T579&lt;&gt;"",$T579=$T578),$U578,IF(B579="x",U578,"")))</f>
        <v/>
      </c>
      <c r="V579" t="str">
        <f>IF(C579=1,MAX($V$2:$V578)+1,IF(AND($T579&lt;&gt;"",$T579=$T578),$U578,IF(C579="x",V578,"")))</f>
        <v/>
      </c>
      <c r="X579" cm="1">
        <f t="array" ref="X579">IF($I579&lt;&gt;"",$I579,INDEX($I$1:$I579,ROW()-COUNTIFS($T$1:$T579,"="&amp;$T579,$S$1:$S579,"&lt;"&amp;$S579)))</f>
        <v>22</v>
      </c>
      <c r="Z579" s="6">
        <f t="shared" si="102"/>
        <v>1</v>
      </c>
      <c r="AA579">
        <f t="shared" si="103"/>
        <v>1288</v>
      </c>
      <c r="AB579" t="str">
        <f t="shared" si="104"/>
        <v/>
      </c>
      <c r="AC579">
        <f t="shared" si="105"/>
        <v>1288</v>
      </c>
      <c r="AI579" t="str">
        <f t="shared" si="106"/>
        <v>o</v>
      </c>
      <c r="BI579" s="40"/>
      <c r="BL579" s="40"/>
      <c r="BN579" s="19"/>
      <c r="BP579" s="17"/>
    </row>
    <row r="580" spans="1:68" x14ac:dyDescent="0.2">
      <c r="A580">
        <f t="shared" si="101"/>
        <v>1</v>
      </c>
      <c r="E580" s="4"/>
      <c r="F580" s="46"/>
      <c r="G580" s="4"/>
      <c r="H580" s="48"/>
      <c r="I580" s="26">
        <v>22</v>
      </c>
      <c r="J580" s="26" t="s">
        <v>368</v>
      </c>
      <c r="K580" t="s">
        <v>9</v>
      </c>
      <c r="L580" t="s">
        <v>173</v>
      </c>
      <c r="M580" t="s">
        <v>391</v>
      </c>
      <c r="N580" t="str">
        <f t="shared" si="109"/>
        <v>u</v>
      </c>
      <c r="O580" t="s">
        <v>576</v>
      </c>
      <c r="Q580" t="str">
        <f t="shared" si="108"/>
        <v>u</v>
      </c>
      <c r="S580">
        <f>IF(A580=1,MAX($S$2:$S579)+1,IF(OR($I580&lt;&gt;"",A580="x"),$S579,""))</f>
        <v>289</v>
      </c>
      <c r="T580" t="str">
        <f>IF(D580=1,MAX($T$2:$T579)+1,IF(S580=S579,$T579,IF(D580="x",T579,IF(D579="x","",""))))</f>
        <v/>
      </c>
      <c r="U580" t="str">
        <f>IF(B580=1,MAX($U$2:$U579)+1,IF(AND($T580&lt;&gt;"",$T580=$T579),$U579,IF(B580="x",U579,"")))</f>
        <v/>
      </c>
      <c r="V580" t="str">
        <f>IF(C580=1,MAX($V$2:$V579)+1,IF(AND($T580&lt;&gt;"",$T580=$T579),$U579,IF(C580="x",V579,"")))</f>
        <v/>
      </c>
      <c r="X580" cm="1">
        <f t="array" ref="X580">IF($I580&lt;&gt;"",$I580,INDEX($I$1:$I580,ROW()-COUNTIFS($T$1:$T580,"="&amp;$T580,$S$1:$S580,"&lt;"&amp;$S580)))</f>
        <v>22</v>
      </c>
      <c r="Z580" s="6">
        <f t="shared" si="102"/>
        <v>1</v>
      </c>
      <c r="AA580">
        <f t="shared" si="103"/>
        <v>1289</v>
      </c>
      <c r="AB580" t="str">
        <f t="shared" si="104"/>
        <v/>
      </c>
      <c r="AC580">
        <f t="shared" si="105"/>
        <v>1289</v>
      </c>
      <c r="AI580" t="str">
        <f t="shared" si="106"/>
        <v>o</v>
      </c>
      <c r="BI580" s="40"/>
      <c r="BL580" s="40"/>
      <c r="BN580" s="19"/>
      <c r="BP580" s="17"/>
    </row>
    <row r="581" spans="1:68" x14ac:dyDescent="0.2">
      <c r="A581" t="str">
        <f t="shared" ref="A581:A643" si="110">IF(K581&lt;&gt;"",1,IF(D581="x","x",""))</f>
        <v/>
      </c>
      <c r="E581" s="4"/>
      <c r="F581" s="46"/>
      <c r="G581" s="4"/>
      <c r="H581" s="48"/>
      <c r="I581" s="26">
        <v>90</v>
      </c>
      <c r="J581" s="26" t="str">
        <f t="shared" si="107"/>
        <v/>
      </c>
      <c r="N581" t="str">
        <f t="shared" si="109"/>
        <v/>
      </c>
      <c r="Q581" t="str">
        <f t="shared" si="108"/>
        <v/>
      </c>
      <c r="S581">
        <f>IF(A581=1,MAX($S$2:$S580)+1,IF(OR($I581&lt;&gt;"",A581="x"),$S580,""))</f>
        <v>289</v>
      </c>
      <c r="T581" t="str">
        <f>IF(D581=1,MAX($T$2:$T580)+1,IF(S581=S580,$T580,IF(D581="x",T580,IF(D580="x","",""))))</f>
        <v/>
      </c>
      <c r="U581" t="str">
        <f>IF(B581=1,MAX($U$2:$U580)+1,IF(AND($T581&lt;&gt;"",$T581=$T580),$U580,IF(B581="x",U580,"")))</f>
        <v/>
      </c>
      <c r="V581" t="str">
        <f>IF(C581=1,MAX($V$2:$V580)+1,IF(AND($T581&lt;&gt;"",$T581=$T580),$U580,IF(C581="x",V580,"")))</f>
        <v/>
      </c>
      <c r="X581" cm="1">
        <f t="array" ref="X581">IF($I581&lt;&gt;"",$I581,INDEX($I$1:$I581,ROW()-COUNTIFS($T$1:$T581,"="&amp;$T581,$S$1:$S581,"&lt;"&amp;$S581)))</f>
        <v>90</v>
      </c>
      <c r="Z581" s="6">
        <f t="shared" ref="Z581:Z644" si="111">IF(K581="Intermission",Z580+1,Z580)</f>
        <v>1</v>
      </c>
      <c r="AA581">
        <f t="shared" ref="AA581:AA644" si="112">S581+1000</f>
        <v>1289</v>
      </c>
      <c r="AB581" t="str">
        <f t="shared" ref="AB581:AB644" si="113">IF(T581&lt;&gt;"",9000+T581,"")</f>
        <v/>
      </c>
      <c r="AC581">
        <f t="shared" ref="AC581:AC644" si="114">IF(AB581&lt;&gt;"",AB581,S581+1000)</f>
        <v>1289</v>
      </c>
      <c r="AI581" t="str">
        <f t="shared" si="106"/>
        <v>o</v>
      </c>
      <c r="BI581" s="40"/>
      <c r="BL581" s="40"/>
      <c r="BN581" s="19"/>
      <c r="BP581" s="17"/>
    </row>
    <row r="582" spans="1:68" x14ac:dyDescent="0.2">
      <c r="A582">
        <f t="shared" si="110"/>
        <v>1</v>
      </c>
      <c r="E582" s="4"/>
      <c r="F582" s="46" t="s">
        <v>1046</v>
      </c>
      <c r="G582" s="4"/>
      <c r="H582" s="48" t="s">
        <v>1052</v>
      </c>
      <c r="I582" s="26">
        <v>10</v>
      </c>
      <c r="J582" s="26" t="s">
        <v>736</v>
      </c>
      <c r="K582" t="s">
        <v>13</v>
      </c>
      <c r="N582" t="str">
        <f t="shared" si="109"/>
        <v/>
      </c>
      <c r="Q582" t="str">
        <f t="shared" si="108"/>
        <v/>
      </c>
      <c r="S582">
        <f>IF(A582=1,MAX($S$2:$S581)+1,IF(OR($I582&lt;&gt;"",A582="x"),$S581,""))</f>
        <v>290</v>
      </c>
      <c r="T582" t="str">
        <f>IF(D582=1,MAX($T$2:$T581)+1,IF(S582=S581,$T581,IF(D582="x",T581,IF(D581="x","",""))))</f>
        <v/>
      </c>
      <c r="U582" t="str">
        <f>IF(B582=1,MAX($U$2:$U581)+1,IF(AND($T582&lt;&gt;"",$T582=$T581),$U581,IF(B582="x",U581,"")))</f>
        <v/>
      </c>
      <c r="V582" t="str">
        <f>IF(C582=1,MAX($V$2:$V581)+1,IF(AND($T582&lt;&gt;"",$T582=$T581),$U581,IF(C582="x",V581,"")))</f>
        <v/>
      </c>
      <c r="X582" cm="1">
        <f t="array" ref="X582">IF($I582&lt;&gt;"",$I582,INDEX($I$1:$I582,ROW()-COUNTIFS($T$1:$T582,"="&amp;$T582,$S$1:$S582,"&lt;"&amp;$S582)))</f>
        <v>10</v>
      </c>
      <c r="Z582" s="6">
        <f t="shared" si="111"/>
        <v>1</v>
      </c>
      <c r="AA582">
        <f t="shared" si="112"/>
        <v>1290</v>
      </c>
      <c r="AB582" t="str">
        <f t="shared" si="113"/>
        <v/>
      </c>
      <c r="AC582">
        <f t="shared" si="114"/>
        <v>1290</v>
      </c>
      <c r="AI582" t="str">
        <f t="shared" ref="AI582:AI645" si="115">IF($J582&lt;&gt;"",$J582,IF($AC582=$AC581,AI581,""))</f>
        <v>d</v>
      </c>
      <c r="BI582" s="40"/>
      <c r="BL582" s="40"/>
      <c r="BN582" s="19"/>
      <c r="BP582" s="17"/>
    </row>
    <row r="583" spans="1:68" x14ac:dyDescent="0.2">
      <c r="A583">
        <f t="shared" si="110"/>
        <v>1</v>
      </c>
      <c r="D583" s="26">
        <v>1</v>
      </c>
      <c r="E583" s="4"/>
      <c r="F583" s="46"/>
      <c r="G583" s="4"/>
      <c r="H583" s="48"/>
      <c r="I583" s="26">
        <v>10</v>
      </c>
      <c r="J583" s="26" t="s">
        <v>736</v>
      </c>
      <c r="K583" t="s">
        <v>7</v>
      </c>
      <c r="L583" t="s">
        <v>192</v>
      </c>
      <c r="M583" t="s">
        <v>68</v>
      </c>
      <c r="N583" t="str">
        <f t="shared" si="109"/>
        <v>u</v>
      </c>
      <c r="Q583" t="str">
        <f t="shared" si="108"/>
        <v/>
      </c>
      <c r="R583" s="26">
        <v>1</v>
      </c>
      <c r="S583">
        <f>IF(A583=1,MAX($S$2:$S582)+1,IF(OR($I583&lt;&gt;"",A583="x"),$S582,""))</f>
        <v>291</v>
      </c>
      <c r="T583">
        <f>IF(D583=1,MAX($T$2:$T582)+1,IF(S583=S582,$T582,IF(D583="x",T582,IF(D582="x","",""))))</f>
        <v>38</v>
      </c>
      <c r="U583" t="str">
        <f>IF(B583=1,MAX($U$2:$U582)+1,IF(AND($T583&lt;&gt;"",$T583=$T582),$U582,IF(B583="x",U582,"")))</f>
        <v/>
      </c>
      <c r="V583" t="str">
        <f>IF(C583=1,MAX($V$2:$V582)+1,IF(AND($T583&lt;&gt;"",$T583=$T582),$U582,IF(C583="x",V582,"")))</f>
        <v/>
      </c>
      <c r="X583" cm="1">
        <f t="array" ref="X583">IF($I583&lt;&gt;"",$I583,INDEX($I$1:$I583,ROW()-COUNTIFS($T$1:$T583,"="&amp;$T583,$S$1:$S583,"&lt;"&amp;$S583)))</f>
        <v>10</v>
      </c>
      <c r="Z583" s="6">
        <f t="shared" si="111"/>
        <v>1</v>
      </c>
      <c r="AA583">
        <f t="shared" si="112"/>
        <v>1291</v>
      </c>
      <c r="AB583">
        <f t="shared" si="113"/>
        <v>9038</v>
      </c>
      <c r="AC583">
        <f t="shared" si="114"/>
        <v>9038</v>
      </c>
      <c r="AI583" t="str">
        <f t="shared" si="115"/>
        <v>d</v>
      </c>
      <c r="BI583" s="40"/>
      <c r="BL583" s="40"/>
      <c r="BN583" s="19"/>
      <c r="BP583" s="17"/>
    </row>
    <row r="584" spans="1:68" x14ac:dyDescent="0.2">
      <c r="A584" t="str">
        <f t="shared" si="110"/>
        <v>x</v>
      </c>
      <c r="D584" s="26" t="s">
        <v>729</v>
      </c>
      <c r="E584" s="4"/>
      <c r="F584" s="46"/>
      <c r="G584" s="4"/>
      <c r="H584" s="48"/>
      <c r="I584" s="26">
        <v>21</v>
      </c>
      <c r="J584" s="26" t="str">
        <f t="shared" ref="J584:J645" si="116">IF(OR(K584="Goal",K584="Shot",L584="Zone_Entry",M584="Stoppage-Goal",M583="Stoppage-Goal"),"o",IF(OR(K584="Save",K584="Rebound",L584="Zone_Exit",M584="Stoppage-GoalieStoppage",M583="Stoppage-GoalieStoppage"),"d",IF(OR(L584="Faceoff_AfterGoal",L584="Faceoff_PeriodStart",698="Faceoff_GameStart",M583="Stoppage-Goal"),"n","")))</f>
        <v/>
      </c>
      <c r="N584" t="str">
        <f t="shared" si="109"/>
        <v/>
      </c>
      <c r="Q584" t="str">
        <f t="shared" si="108"/>
        <v/>
      </c>
      <c r="S584">
        <f>IF(A584=1,MAX($S$2:$S583)+1,IF(OR($I584&lt;&gt;"",A584="x"),$S583,""))</f>
        <v>291</v>
      </c>
      <c r="T584">
        <f>IF(D584=1,MAX($T$2:$T583)+1,IF(S584=S583,$T583,IF(D584="x",T583,IF(D583="x","",""))))</f>
        <v>38</v>
      </c>
      <c r="U584" t="str">
        <f>IF(B584=1,MAX($U$2:$U583)+1,IF(AND($T584&lt;&gt;"",$T584=$T583),$U583,IF(B584="x",U583,"")))</f>
        <v/>
      </c>
      <c r="V584" t="str">
        <f>IF(C584=1,MAX($V$2:$V583)+1,IF(AND($T584&lt;&gt;"",$T584=$T583),$U583,IF(C584="x",V583,"")))</f>
        <v/>
      </c>
      <c r="X584" cm="1">
        <f t="array" ref="X584">IF($I584&lt;&gt;"",$I584,INDEX($I$1:$I584,ROW()-COUNTIFS($T$1:$T584,"="&amp;$T584,$S$1:$S584,"&lt;"&amp;$S584)))</f>
        <v>21</v>
      </c>
      <c r="Z584" s="6">
        <f t="shared" si="111"/>
        <v>1</v>
      </c>
      <c r="AA584">
        <f t="shared" si="112"/>
        <v>1291</v>
      </c>
      <c r="AB584">
        <f t="shared" si="113"/>
        <v>9038</v>
      </c>
      <c r="AC584">
        <f t="shared" si="114"/>
        <v>9038</v>
      </c>
      <c r="AI584" t="str">
        <f t="shared" si="115"/>
        <v>d</v>
      </c>
      <c r="BI584" s="40"/>
      <c r="BL584" s="40"/>
      <c r="BN584" s="19"/>
      <c r="BP584" s="17"/>
    </row>
    <row r="585" spans="1:68" x14ac:dyDescent="0.2">
      <c r="A585" t="str">
        <f t="shared" si="110"/>
        <v>x</v>
      </c>
      <c r="D585" s="26" t="s">
        <v>729</v>
      </c>
      <c r="E585" s="4"/>
      <c r="F585" s="46"/>
      <c r="G585" s="4"/>
      <c r="H585" s="48"/>
      <c r="I585" s="26">
        <v>24</v>
      </c>
      <c r="J585" s="26" t="str">
        <f t="shared" si="116"/>
        <v/>
      </c>
      <c r="N585" t="str">
        <f t="shared" si="109"/>
        <v/>
      </c>
      <c r="O585" t="s">
        <v>566</v>
      </c>
      <c r="Q585" t="str">
        <f t="shared" si="108"/>
        <v/>
      </c>
      <c r="R585" s="26">
        <v>1</v>
      </c>
      <c r="S585">
        <f>IF(A585=1,MAX($S$2:$S584)+1,IF(OR($I585&lt;&gt;"",A585="x"),$S584,""))</f>
        <v>291</v>
      </c>
      <c r="T585">
        <f>IF(D585=1,MAX($T$2:$T584)+1,IF(S585=S584,$T584,IF(D585="x",T584,IF(D584="x","",""))))</f>
        <v>38</v>
      </c>
      <c r="U585" t="str">
        <f>IF(B585=1,MAX($U$2:$U584)+1,IF(AND($T585&lt;&gt;"",$T585=$T584),$U584,IF(B585="x",U584,"")))</f>
        <v/>
      </c>
      <c r="V585" t="str">
        <f>IF(C585=1,MAX($V$2:$V584)+1,IF(AND($T585&lt;&gt;"",$T585=$T584),$U584,IF(C585="x",V584,"")))</f>
        <v/>
      </c>
      <c r="X585" cm="1">
        <f t="array" ref="X585">IF($I585&lt;&gt;"",$I585,INDEX($I$1:$I585,ROW()-COUNTIFS($T$1:$T585,"="&amp;$T585,$S$1:$S585,"&lt;"&amp;$S585)))</f>
        <v>24</v>
      </c>
      <c r="Z585" s="6">
        <f t="shared" si="111"/>
        <v>1</v>
      </c>
      <c r="AA585">
        <f t="shared" si="112"/>
        <v>1291</v>
      </c>
      <c r="AB585">
        <f t="shared" si="113"/>
        <v>9038</v>
      </c>
      <c r="AC585">
        <f t="shared" si="114"/>
        <v>9038</v>
      </c>
      <c r="AI585" t="str">
        <f t="shared" si="115"/>
        <v>d</v>
      </c>
      <c r="BI585" s="40"/>
      <c r="BL585" s="40"/>
      <c r="BN585" s="19"/>
      <c r="BP585" s="17"/>
    </row>
    <row r="586" spans="1:68" x14ac:dyDescent="0.2">
      <c r="A586" t="str">
        <f t="shared" si="110"/>
        <v>x</v>
      </c>
      <c r="D586" s="26" t="s">
        <v>729</v>
      </c>
      <c r="E586" s="4"/>
      <c r="F586" s="46"/>
      <c r="G586" s="4"/>
      <c r="H586" s="48"/>
      <c r="I586" s="26">
        <v>91</v>
      </c>
      <c r="J586" s="26" t="str">
        <f t="shared" si="116"/>
        <v/>
      </c>
      <c r="N586" t="str">
        <f t="shared" si="109"/>
        <v/>
      </c>
      <c r="O586" t="s">
        <v>782</v>
      </c>
      <c r="Q586" t="str">
        <f t="shared" si="108"/>
        <v/>
      </c>
      <c r="S586">
        <f>IF(A586=1,MAX($S$2:$S585)+1,IF(OR($I586&lt;&gt;"",A586="x"),$S585,""))</f>
        <v>291</v>
      </c>
      <c r="T586">
        <f>IF(D586=1,MAX($T$2:$T585)+1,IF(S586=S585,$T585,IF(D586="x",T585,IF(D585="x","",""))))</f>
        <v>38</v>
      </c>
      <c r="U586" t="str">
        <f>IF(B586=1,MAX($U$2:$U585)+1,IF(AND($T586&lt;&gt;"",$T586=$T585),$U585,IF(B586="x",U585,"")))</f>
        <v/>
      </c>
      <c r="V586" t="str">
        <f>IF(C586=1,MAX($V$2:$V585)+1,IF(AND($T586&lt;&gt;"",$T586=$T585),$U585,IF(C586="x",V585,"")))</f>
        <v/>
      </c>
      <c r="X586" cm="1">
        <f t="array" ref="X586">IF($I586&lt;&gt;"",$I586,INDEX($I$1:$I586,ROW()-COUNTIFS($T$1:$T586,"="&amp;$T586,$S$1:$S586,"&lt;"&amp;$S586)))</f>
        <v>91</v>
      </c>
      <c r="Z586" s="6">
        <f t="shared" si="111"/>
        <v>1</v>
      </c>
      <c r="AA586">
        <f t="shared" si="112"/>
        <v>1291</v>
      </c>
      <c r="AB586">
        <f t="shared" si="113"/>
        <v>9038</v>
      </c>
      <c r="AC586">
        <f t="shared" si="114"/>
        <v>9038</v>
      </c>
      <c r="AI586" t="str">
        <f t="shared" si="115"/>
        <v>d</v>
      </c>
      <c r="BI586" s="40"/>
      <c r="BL586" s="40"/>
      <c r="BN586" s="19"/>
      <c r="BP586" s="17"/>
    </row>
    <row r="587" spans="1:68" x14ac:dyDescent="0.2">
      <c r="A587">
        <f t="shared" si="110"/>
        <v>1</v>
      </c>
      <c r="D587" s="26" t="s">
        <v>729</v>
      </c>
      <c r="E587" s="4"/>
      <c r="F587" s="46"/>
      <c r="G587" s="4"/>
      <c r="H587" s="48"/>
      <c r="J587" s="26" t="s">
        <v>736</v>
      </c>
      <c r="K587" t="s">
        <v>9</v>
      </c>
      <c r="L587" t="s">
        <v>173</v>
      </c>
      <c r="M587" t="s">
        <v>75</v>
      </c>
      <c r="N587" t="str">
        <f t="shared" si="109"/>
        <v>u</v>
      </c>
      <c r="Q587" t="str">
        <f t="shared" si="108"/>
        <v/>
      </c>
      <c r="S587">
        <f>IF(A587=1,MAX($S$2:$S586)+1,IF(OR($I587&lt;&gt;"",A587="x"),$S586,""))</f>
        <v>292</v>
      </c>
      <c r="T587">
        <f>IF(D587=1,MAX($T$2:$T586)+1,IF(S587=S586,$T586,IF(D587="x",T586,IF(D586="x","",""))))</f>
        <v>38</v>
      </c>
      <c r="U587" t="str">
        <f>IF(B587=1,MAX($U$2:$U586)+1,IF(AND($T587&lt;&gt;"",$T587=$T586),$U586,IF(B587="x",U586,"")))</f>
        <v/>
      </c>
      <c r="V587" t="str">
        <f>IF(C587=1,MAX($V$2:$V586)+1,IF(AND($T587&lt;&gt;"",$T587=$T586),$U586,IF(C587="x",V586,"")))</f>
        <v/>
      </c>
      <c r="X587" cm="1">
        <f t="array" ref="X587">IF($I587&lt;&gt;"",$I587,INDEX($I$1:$I587,ROW()-COUNTIFS($T$1:$T587,"="&amp;$T587,$S$1:$S587,"&lt;"&amp;$S587)))</f>
        <v>10</v>
      </c>
      <c r="Z587" s="6">
        <f t="shared" si="111"/>
        <v>1</v>
      </c>
      <c r="AA587">
        <f t="shared" si="112"/>
        <v>1292</v>
      </c>
      <c r="AB587">
        <f t="shared" si="113"/>
        <v>9038</v>
      </c>
      <c r="AC587">
        <f t="shared" si="114"/>
        <v>9038</v>
      </c>
      <c r="AI587" t="str">
        <f t="shared" si="115"/>
        <v>d</v>
      </c>
      <c r="BI587" s="40"/>
      <c r="BL587" s="40"/>
      <c r="BN587" s="19"/>
      <c r="BP587" s="17"/>
    </row>
    <row r="588" spans="1:68" x14ac:dyDescent="0.2">
      <c r="A588" t="str">
        <f t="shared" si="110"/>
        <v>x</v>
      </c>
      <c r="D588" s="26" t="s">
        <v>729</v>
      </c>
      <c r="E588" s="4"/>
      <c r="F588" s="46"/>
      <c r="G588" s="4"/>
      <c r="H588" s="48"/>
      <c r="J588" s="26" t="str">
        <f t="shared" si="116"/>
        <v/>
      </c>
      <c r="N588" t="str">
        <f t="shared" si="109"/>
        <v/>
      </c>
      <c r="Q588" t="str">
        <f t="shared" si="108"/>
        <v/>
      </c>
      <c r="S588">
        <f>IF(A588=1,MAX($S$2:$S587)+1,IF(OR($I588&lt;&gt;"",A588="x"),$S587,""))</f>
        <v>292</v>
      </c>
      <c r="T588">
        <f>IF(D588=1,MAX($T$2:$T587)+1,IF(S588=S587,$T587,IF(D588="x",T587,IF(D587="x","",""))))</f>
        <v>38</v>
      </c>
      <c r="U588" t="str">
        <f>IF(B588=1,MAX($U$2:$U587)+1,IF(AND($T588&lt;&gt;"",$T588=$T587),$U587,IF(B588="x",U587,"")))</f>
        <v/>
      </c>
      <c r="V588" t="str">
        <f>IF(C588=1,MAX($V$2:$V587)+1,IF(AND($T588&lt;&gt;"",$T588=$T587),$U587,IF(C588="x",V587,"")))</f>
        <v/>
      </c>
      <c r="X588" cm="1">
        <f t="array" ref="X588">IF($I588&lt;&gt;"",$I588,INDEX($I$1:$I588,ROW()-COUNTIFS($T$1:$T588,"="&amp;$T588,$S$1:$S588,"&lt;"&amp;$S588)))</f>
        <v>21</v>
      </c>
      <c r="Z588" s="6">
        <f t="shared" si="111"/>
        <v>1</v>
      </c>
      <c r="AA588">
        <f t="shared" si="112"/>
        <v>1292</v>
      </c>
      <c r="AB588">
        <f t="shared" si="113"/>
        <v>9038</v>
      </c>
      <c r="AC588">
        <f t="shared" si="114"/>
        <v>9038</v>
      </c>
      <c r="AI588" t="str">
        <f t="shared" si="115"/>
        <v>d</v>
      </c>
      <c r="BI588" s="40"/>
      <c r="BL588" s="40"/>
      <c r="BN588" s="19"/>
      <c r="BP588" s="17"/>
    </row>
    <row r="589" spans="1:68" x14ac:dyDescent="0.2">
      <c r="A589" t="str">
        <f t="shared" si="110"/>
        <v>x</v>
      </c>
      <c r="D589" s="26" t="s">
        <v>729</v>
      </c>
      <c r="E589" s="4"/>
      <c r="F589" s="46"/>
      <c r="G589" s="4"/>
      <c r="H589" s="48"/>
      <c r="J589" s="26" t="str">
        <f t="shared" si="116"/>
        <v/>
      </c>
      <c r="N589" t="str">
        <f t="shared" si="109"/>
        <v/>
      </c>
      <c r="Q589" t="str">
        <f t="shared" si="108"/>
        <v/>
      </c>
      <c r="S589">
        <f>IF(A589=1,MAX($S$2:$S588)+1,IF(OR($I589&lt;&gt;"",A589="x"),$S588,""))</f>
        <v>292</v>
      </c>
      <c r="T589">
        <f>IF(D589=1,MAX($T$2:$T588)+1,IF(S589=S588,$T588,IF(D589="x",T588,IF(D588="x","",""))))</f>
        <v>38</v>
      </c>
      <c r="U589" t="str">
        <f>IF(B589=1,MAX($U$2:$U588)+1,IF(AND($T589&lt;&gt;"",$T589=$T588),$U588,IF(B589="x",U588,"")))</f>
        <v/>
      </c>
      <c r="V589" t="str">
        <f>IF(C589=1,MAX($V$2:$V588)+1,IF(AND($T589&lt;&gt;"",$T589=$T588),$U588,IF(C589="x",V588,"")))</f>
        <v/>
      </c>
      <c r="X589" cm="1">
        <f t="array" ref="X589">IF($I589&lt;&gt;"",$I589,INDEX($I$1:$I589,ROW()-COUNTIFS($T$1:$T589,"="&amp;$T589,$S$1:$S589,"&lt;"&amp;$S589)))</f>
        <v>24</v>
      </c>
      <c r="Z589" s="6">
        <f t="shared" si="111"/>
        <v>1</v>
      </c>
      <c r="AA589">
        <f t="shared" si="112"/>
        <v>1292</v>
      </c>
      <c r="AB589">
        <f t="shared" si="113"/>
        <v>9038</v>
      </c>
      <c r="AC589">
        <f t="shared" si="114"/>
        <v>9038</v>
      </c>
      <c r="AI589" t="str">
        <f t="shared" si="115"/>
        <v>d</v>
      </c>
      <c r="BI589" s="40"/>
      <c r="BL589" s="40"/>
      <c r="BN589" s="19"/>
      <c r="BP589" s="17"/>
    </row>
    <row r="590" spans="1:68" x14ac:dyDescent="0.2">
      <c r="A590" t="str">
        <f t="shared" si="110"/>
        <v>x</v>
      </c>
      <c r="D590" s="26" t="s">
        <v>729</v>
      </c>
      <c r="E590" s="4"/>
      <c r="F590" s="46"/>
      <c r="G590" s="4"/>
      <c r="H590" s="48"/>
      <c r="J590" s="26" t="str">
        <f t="shared" si="116"/>
        <v/>
      </c>
      <c r="N590" t="str">
        <f t="shared" si="109"/>
        <v/>
      </c>
      <c r="Q590" t="str">
        <f t="shared" si="108"/>
        <v/>
      </c>
      <c r="S590">
        <f>IF(A590=1,MAX($S$2:$S589)+1,IF(OR($I590&lt;&gt;"",A590="x"),$S589,""))</f>
        <v>292</v>
      </c>
      <c r="T590">
        <f>IF(D590=1,MAX($T$2:$T589)+1,IF(S590=S589,$T589,IF(D590="x",T589,IF(D589="x","",""))))</f>
        <v>38</v>
      </c>
      <c r="U590" t="str">
        <f>IF(B590=1,MAX($U$2:$U589)+1,IF(AND($T590&lt;&gt;"",$T590=$T589),$U589,IF(B590="x",U589,"")))</f>
        <v/>
      </c>
      <c r="V590" t="str">
        <f>IF(C590=1,MAX($V$2:$V589)+1,IF(AND($T590&lt;&gt;"",$T590=$T589),$U589,IF(C590="x",V589,"")))</f>
        <v/>
      </c>
      <c r="X590" cm="1">
        <f t="array" ref="X590">IF($I590&lt;&gt;"",$I590,INDEX($I$1:$I590,ROW()-COUNTIFS($T$1:$T590,"="&amp;$T590,$S$1:$S590,"&lt;"&amp;$S590)))</f>
        <v>91</v>
      </c>
      <c r="Z590" s="6">
        <f t="shared" si="111"/>
        <v>1</v>
      </c>
      <c r="AA590">
        <f t="shared" si="112"/>
        <v>1292</v>
      </c>
      <c r="AB590">
        <f t="shared" si="113"/>
        <v>9038</v>
      </c>
      <c r="AC590">
        <f t="shared" si="114"/>
        <v>9038</v>
      </c>
      <c r="AI590" t="str">
        <f t="shared" si="115"/>
        <v>d</v>
      </c>
      <c r="BI590" s="40"/>
      <c r="BL590" s="40"/>
      <c r="BN590" s="19"/>
      <c r="BP590" s="17"/>
    </row>
    <row r="591" spans="1:68" x14ac:dyDescent="0.2">
      <c r="A591">
        <f t="shared" si="110"/>
        <v>1</v>
      </c>
      <c r="E591" s="4"/>
      <c r="F591" s="46" t="s">
        <v>739</v>
      </c>
      <c r="G591" s="4"/>
      <c r="H591" s="48" t="s">
        <v>740</v>
      </c>
      <c r="I591" s="26">
        <v>22</v>
      </c>
      <c r="J591" s="26" t="s">
        <v>368</v>
      </c>
      <c r="K591" t="s">
        <v>13</v>
      </c>
      <c r="L591" t="s">
        <v>586</v>
      </c>
      <c r="N591" t="s">
        <v>594</v>
      </c>
      <c r="O591" t="s">
        <v>907</v>
      </c>
      <c r="Q591" t="str">
        <f t="shared" si="108"/>
        <v>u</v>
      </c>
      <c r="S591">
        <f>IF(A591=1,MAX($S$2:$S590)+1,IF(OR($I591&lt;&gt;"",A591="x"),$S590,""))</f>
        <v>293</v>
      </c>
      <c r="T591" t="str">
        <f>IF(D591=1,MAX($T$2:$T590)+1,IF(S591=S590,$T590,IF(D591="x",T590,IF(D590="x","",""))))</f>
        <v/>
      </c>
      <c r="U591" t="str">
        <f>IF(B591=1,MAX($U$2:$U590)+1,IF(AND($T591&lt;&gt;"",$T591=$T590),$U590,IF(B591="x",U590,"")))</f>
        <v/>
      </c>
      <c r="V591" t="str">
        <f>IF(C591=1,MAX($V$2:$V590)+1,IF(AND($T591&lt;&gt;"",$T591=$T590),$U590,IF(C591="x",V590,"")))</f>
        <v/>
      </c>
      <c r="X591" cm="1">
        <f t="array" ref="X591">IF($I591&lt;&gt;"",$I591,INDEX($I$1:$I591,ROW()-COUNTIFS($T$1:$T591,"="&amp;$T591,$S$1:$S591,"&lt;"&amp;$S591)))</f>
        <v>22</v>
      </c>
      <c r="Z591" s="6">
        <f t="shared" si="111"/>
        <v>1</v>
      </c>
      <c r="AA591">
        <f t="shared" si="112"/>
        <v>1293</v>
      </c>
      <c r="AB591" t="str">
        <f t="shared" si="113"/>
        <v/>
      </c>
      <c r="AC591">
        <f t="shared" si="114"/>
        <v>1293</v>
      </c>
      <c r="AI591" t="str">
        <f t="shared" si="115"/>
        <v>o</v>
      </c>
      <c r="BI591" s="40"/>
      <c r="BL591" s="40"/>
      <c r="BN591" s="19"/>
      <c r="BP591" s="17"/>
    </row>
    <row r="592" spans="1:68" x14ac:dyDescent="0.2">
      <c r="A592">
        <f t="shared" si="110"/>
        <v>1</v>
      </c>
      <c r="D592" s="26">
        <v>1</v>
      </c>
      <c r="E592" s="4"/>
      <c r="F592" s="46"/>
      <c r="G592" s="4"/>
      <c r="H592" s="48"/>
      <c r="I592" s="26">
        <v>22</v>
      </c>
      <c r="J592" s="26" t="str">
        <f t="shared" si="116"/>
        <v>o</v>
      </c>
      <c r="K592" t="s">
        <v>6</v>
      </c>
      <c r="L592" t="s">
        <v>191</v>
      </c>
      <c r="M592" t="s">
        <v>51</v>
      </c>
      <c r="N592" t="str">
        <f t="shared" si="109"/>
        <v>u</v>
      </c>
      <c r="Q592" t="str">
        <f t="shared" ref="Q592:Q655" si="117">IF(O592="","",IF(AND(N592&lt;&gt;"",OR(O592&lt;&gt;"",P592&lt;&gt;"")),N592,IF(OR(ISNUMBER(SEARCH("attemp",O592)),ISNUMBER(SEARCH("beat",O592)),ISNUMBER(SEARCH("mis",O592)),ISNUMBER(SEARCH("fail",O592)),ISNUMBER(SEARCH("loss",O592)),ISNUMBER(SEARCH("lost",O592)),ISNUMBER(SEARCH("attemp",P592)),ISNUMBER(SEARCH("mis",P592)),ISNUMBER(SEARCH("fail",P592)),ISNUMBER(SEARCH("loss",P592)),ISNUMBER(SEARCH("beat",P592)),ISNUMBER(SEARCH("lost",P592))),"u","")))</f>
        <v/>
      </c>
      <c r="S592">
        <f>IF(A592=1,MAX($S$2:$S591)+1,IF(OR($I592&lt;&gt;"",A592="x"),$S591,""))</f>
        <v>294</v>
      </c>
      <c r="T592">
        <f>IF(D592=1,MAX($T$2:$T591)+1,IF(S592=S591,$T591,IF(D592="x",T591,IF(D591="x","",""))))</f>
        <v>39</v>
      </c>
      <c r="U592" t="str">
        <f>IF(B592=1,MAX($U$2:$U591)+1,IF(AND($T592&lt;&gt;"",$T592=$T591),$U591,IF(B592="x",U591,"")))</f>
        <v/>
      </c>
      <c r="V592" t="str">
        <f>IF(C592=1,MAX($V$2:$V591)+1,IF(AND($T592&lt;&gt;"",$T592=$T591),$U591,IF(C592="x",V591,"")))</f>
        <v/>
      </c>
      <c r="X592" cm="1">
        <f t="array" ref="X592">IF($I592&lt;&gt;"",$I592,INDEX($I$1:$I592,ROW()-COUNTIFS($T$1:$T592,"="&amp;$T592,$S$1:$S592,"&lt;"&amp;$S592)))</f>
        <v>22</v>
      </c>
      <c r="Z592" s="6">
        <f t="shared" si="111"/>
        <v>1</v>
      </c>
      <c r="AA592">
        <f t="shared" si="112"/>
        <v>1294</v>
      </c>
      <c r="AB592">
        <f t="shared" si="113"/>
        <v>9039</v>
      </c>
      <c r="AC592">
        <f t="shared" si="114"/>
        <v>9039</v>
      </c>
      <c r="AI592" t="str">
        <f t="shared" si="115"/>
        <v>o</v>
      </c>
      <c r="BI592" s="40"/>
      <c r="BL592" s="40"/>
      <c r="BN592" s="19"/>
      <c r="BP592" s="17"/>
    </row>
    <row r="593" spans="1:68" x14ac:dyDescent="0.2">
      <c r="A593" t="str">
        <f t="shared" si="110"/>
        <v>x</v>
      </c>
      <c r="D593" s="26" t="s">
        <v>729</v>
      </c>
      <c r="E593" s="4"/>
      <c r="F593" s="46"/>
      <c r="G593" s="4"/>
      <c r="H593" s="48"/>
      <c r="I593" s="26">
        <v>10</v>
      </c>
      <c r="J593" s="26" t="str">
        <f t="shared" si="116"/>
        <v/>
      </c>
      <c r="N593" t="str">
        <f t="shared" si="109"/>
        <v/>
      </c>
      <c r="O593" t="s">
        <v>556</v>
      </c>
      <c r="Q593" t="str">
        <f t="shared" si="117"/>
        <v/>
      </c>
      <c r="S593">
        <f>IF(A593=1,MAX($S$2:$S592)+1,IF(OR($I593&lt;&gt;"",A593="x"),$S592,""))</f>
        <v>294</v>
      </c>
      <c r="T593">
        <f>IF(D593=1,MAX($T$2:$T592)+1,IF(S593=S592,$T592,IF(D593="x",T592,IF(D592="x","",""))))</f>
        <v>39</v>
      </c>
      <c r="U593" t="str">
        <f>IF(B593=1,MAX($U$2:$U592)+1,IF(AND($T593&lt;&gt;"",$T593=$T592),$U592,IF(B593="x",U592,"")))</f>
        <v/>
      </c>
      <c r="V593" t="str">
        <f>IF(C593=1,MAX($V$2:$V592)+1,IF(AND($T593&lt;&gt;"",$T593=$T592),$U592,IF(C593="x",V592,"")))</f>
        <v/>
      </c>
      <c r="X593" cm="1">
        <f t="array" ref="X593">IF($I593&lt;&gt;"",$I593,INDEX($I$1:$I593,ROW()-COUNTIFS($T$1:$T593,"="&amp;$T593,$S$1:$S593,"&lt;"&amp;$S593)))</f>
        <v>10</v>
      </c>
      <c r="Z593" s="6">
        <f t="shared" si="111"/>
        <v>1</v>
      </c>
      <c r="AA593">
        <f t="shared" si="112"/>
        <v>1294</v>
      </c>
      <c r="AB593">
        <f t="shared" si="113"/>
        <v>9039</v>
      </c>
      <c r="AC593">
        <f t="shared" si="114"/>
        <v>9039</v>
      </c>
      <c r="AI593" t="str">
        <f t="shared" si="115"/>
        <v>o</v>
      </c>
      <c r="BI593" s="40"/>
      <c r="BL593" s="40"/>
      <c r="BN593" s="19"/>
      <c r="BP593" s="17"/>
    </row>
    <row r="594" spans="1:68" x14ac:dyDescent="0.2">
      <c r="A594">
        <f t="shared" si="110"/>
        <v>1</v>
      </c>
      <c r="D594" s="26" t="s">
        <v>729</v>
      </c>
      <c r="E594" s="4"/>
      <c r="F594" s="46"/>
      <c r="G594" s="4"/>
      <c r="H594" s="48"/>
      <c r="J594" s="26" t="str">
        <f t="shared" si="116"/>
        <v/>
      </c>
      <c r="K594" t="s">
        <v>9</v>
      </c>
      <c r="L594" t="s">
        <v>173</v>
      </c>
      <c r="M594" t="s">
        <v>76</v>
      </c>
      <c r="N594" t="str">
        <f t="shared" si="109"/>
        <v>u</v>
      </c>
      <c r="Q594" t="str">
        <f t="shared" si="117"/>
        <v/>
      </c>
      <c r="S594">
        <f>IF(A594=1,MAX($S$2:$S593)+1,IF(OR($I594&lt;&gt;"",A594="x"),$S593,""))</f>
        <v>295</v>
      </c>
      <c r="T594">
        <f>IF(D594=1,MAX($T$2:$T593)+1,IF(S594=S593,$T593,IF(D594="x",T593,IF(D593="x","",""))))</f>
        <v>39</v>
      </c>
      <c r="U594" t="str">
        <f>IF(B594=1,MAX($U$2:$U593)+1,IF(AND($T594&lt;&gt;"",$T594=$T593),$U593,IF(B594="x",U593,"")))</f>
        <v/>
      </c>
      <c r="V594" t="str">
        <f>IF(C594=1,MAX($V$2:$V593)+1,IF(AND($T594&lt;&gt;"",$T594=$T593),$U593,IF(C594="x",V593,"")))</f>
        <v/>
      </c>
      <c r="X594" cm="1">
        <f t="array" ref="X594">IF($I594&lt;&gt;"",$I594,INDEX($I$1:$I594,ROW()-COUNTIFS($T$1:$T594,"="&amp;$T594,$S$1:$S594,"&lt;"&amp;$S594)))</f>
        <v>22</v>
      </c>
      <c r="Z594" s="6">
        <f t="shared" si="111"/>
        <v>1</v>
      </c>
      <c r="AA594">
        <f t="shared" si="112"/>
        <v>1295</v>
      </c>
      <c r="AB594">
        <f t="shared" si="113"/>
        <v>9039</v>
      </c>
      <c r="AC594">
        <f t="shared" si="114"/>
        <v>9039</v>
      </c>
      <c r="AI594" t="str">
        <f t="shared" si="115"/>
        <v>o</v>
      </c>
      <c r="BI594" s="40"/>
      <c r="BL594" s="40"/>
      <c r="BN594" s="19"/>
      <c r="BP594" s="17"/>
    </row>
    <row r="595" spans="1:68" x14ac:dyDescent="0.2">
      <c r="A595" t="str">
        <f t="shared" si="110"/>
        <v>x</v>
      </c>
      <c r="D595" s="26" t="s">
        <v>729</v>
      </c>
      <c r="E595" s="4"/>
      <c r="F595" s="46"/>
      <c r="G595" s="4"/>
      <c r="H595" s="48"/>
      <c r="J595" s="26" t="str">
        <f t="shared" si="116"/>
        <v/>
      </c>
      <c r="N595" t="str">
        <f t="shared" si="109"/>
        <v/>
      </c>
      <c r="Q595" t="str">
        <f t="shared" si="117"/>
        <v/>
      </c>
      <c r="S595">
        <f>IF(A595=1,MAX($S$2:$S594)+1,IF(OR($I595&lt;&gt;"",A595="x"),$S594,""))</f>
        <v>295</v>
      </c>
      <c r="T595">
        <f>IF(D595=1,MAX($T$2:$T594)+1,IF(S595=S594,$T594,IF(D595="x",T594,IF(D594="x","",""))))</f>
        <v>39</v>
      </c>
      <c r="U595" t="str">
        <f>IF(B595=1,MAX($U$2:$U594)+1,IF(AND($T595&lt;&gt;"",$T595=$T594),$U594,IF(B595="x",U594,"")))</f>
        <v/>
      </c>
      <c r="V595" t="str">
        <f>IF(C595=1,MAX($V$2:$V594)+1,IF(AND($T595&lt;&gt;"",$T595=$T594),$U594,IF(C595="x",V594,"")))</f>
        <v/>
      </c>
      <c r="X595" cm="1">
        <f t="array" ref="X595">IF($I595&lt;&gt;"",$I595,INDEX($I$1:$I595,ROW()-COUNTIFS($T$1:$T595,"="&amp;$T595,$S$1:$S595,"&lt;"&amp;$S595)))</f>
        <v>10</v>
      </c>
      <c r="Z595" s="6">
        <f t="shared" si="111"/>
        <v>1</v>
      </c>
      <c r="AA595">
        <f t="shared" si="112"/>
        <v>1295</v>
      </c>
      <c r="AB595">
        <f t="shared" si="113"/>
        <v>9039</v>
      </c>
      <c r="AC595">
        <f t="shared" si="114"/>
        <v>9039</v>
      </c>
      <c r="AI595" t="str">
        <f t="shared" si="115"/>
        <v>o</v>
      </c>
      <c r="BI595" s="40"/>
      <c r="BL595" s="40"/>
      <c r="BN595" s="19"/>
      <c r="BP595" s="17"/>
    </row>
    <row r="596" spans="1:68" x14ac:dyDescent="0.2">
      <c r="A596">
        <f t="shared" si="110"/>
        <v>1</v>
      </c>
      <c r="E596" s="4"/>
      <c r="F596" s="46" t="s">
        <v>1067</v>
      </c>
      <c r="G596" s="4"/>
      <c r="H596" s="48"/>
      <c r="I596" s="26">
        <v>10</v>
      </c>
      <c r="J596" s="26" t="s">
        <v>736</v>
      </c>
      <c r="K596" t="s">
        <v>13</v>
      </c>
      <c r="L596" t="s">
        <v>586</v>
      </c>
      <c r="N596" t="s">
        <v>594</v>
      </c>
      <c r="O596" t="s">
        <v>909</v>
      </c>
      <c r="Q596" t="str">
        <f t="shared" si="117"/>
        <v>u</v>
      </c>
      <c r="R596" s="26">
        <v>1</v>
      </c>
      <c r="S596">
        <f>IF(A596=1,MAX($S$2:$S595)+1,IF(OR($I596&lt;&gt;"",A596="x"),$S595,""))</f>
        <v>296</v>
      </c>
      <c r="T596" t="str">
        <f>IF(D596=1,MAX($T$2:$T595)+1,IF(S596=S595,$T595,IF(D596="x",T595,IF(D595="x","",""))))</f>
        <v/>
      </c>
      <c r="U596" t="str">
        <f>IF(B596=1,MAX($U$2:$U595)+1,IF(AND($T596&lt;&gt;"",$T596=$T595),$U595,IF(B596="x",U595,"")))</f>
        <v/>
      </c>
      <c r="V596" t="str">
        <f>IF(C596=1,MAX($V$2:$V595)+1,IF(AND($T596&lt;&gt;"",$T596=$T595),$U595,IF(C596="x",V595,"")))</f>
        <v/>
      </c>
      <c r="X596" cm="1">
        <f t="array" ref="X596">IF($I596&lt;&gt;"",$I596,INDEX($I$1:$I596,ROW()-COUNTIFS($T$1:$T596,"="&amp;$T596,$S$1:$S596,"&lt;"&amp;$S596)))</f>
        <v>10</v>
      </c>
      <c r="Z596" s="6">
        <f t="shared" si="111"/>
        <v>1</v>
      </c>
      <c r="AA596">
        <f t="shared" si="112"/>
        <v>1296</v>
      </c>
      <c r="AB596" t="str">
        <f t="shared" si="113"/>
        <v/>
      </c>
      <c r="AC596">
        <f t="shared" si="114"/>
        <v>1296</v>
      </c>
      <c r="AI596" t="str">
        <f t="shared" si="115"/>
        <v>d</v>
      </c>
      <c r="BI596" s="40"/>
      <c r="BL596" s="40"/>
      <c r="BN596" s="19"/>
      <c r="BP596" s="17"/>
    </row>
    <row r="597" spans="1:68" x14ac:dyDescent="0.2">
      <c r="A597" t="str">
        <f t="shared" si="110"/>
        <v/>
      </c>
      <c r="E597" s="4"/>
      <c r="F597" s="46"/>
      <c r="G597" s="4"/>
      <c r="H597" s="48"/>
      <c r="I597" s="26">
        <v>22</v>
      </c>
      <c r="J597" s="26" t="str">
        <f t="shared" si="116"/>
        <v/>
      </c>
      <c r="N597" t="str">
        <f t="shared" ref="N597:N660" si="118">IF(K597="","",IF(K597="Goal","s",IF(AND(K597="Zone_Entry_Exit",OR(ISNUMBER(SEARCH("fail",L597)),ISNUMBER(SEARCH("FromExitClear",M597)),ISNUMBER(SEARCH("miss",M597)))),"u",IF(AND(K597="Zone_Entry_Exit",OR(NOT(ISNUMBER(SEARCH("fail",L597))),NOT(ISNUMBER(SEARCH("FromExitClear",M597))),NOT(ISNUMBER(SEARCH("miss",M597))))),"s",IF(AND(OR(K597="Shot",K597="Pass"),OR(ISNUMBER(SEARCH("complete",L597)),ISNUMBER(SEARCH("goal",L597)),ISNUMBER(SEARCH("OnNet",L597)))),"s",IF(L597="Turnover_Giveaway","u",IF(AND(OR(K597="Shot",K597="Pass"),OR(ISNUMBER(SEARCH("fail",L597)),NOT(ISNUMBER(SEARCH("complete",L597))),NOT(ISNUMBER(SEARCH("OnNet",L597))))),"u","")))))))</f>
        <v/>
      </c>
      <c r="O597" t="s">
        <v>909</v>
      </c>
      <c r="Q597" t="s">
        <v>594</v>
      </c>
      <c r="R597" s="26">
        <v>1</v>
      </c>
      <c r="S597">
        <f>IF(A597=1,MAX($S$2:$S596)+1,IF(OR($I597&lt;&gt;"",A597="x"),$S596,""))</f>
        <v>296</v>
      </c>
      <c r="T597" t="str">
        <f>IF(D597=1,MAX($T$2:$T596)+1,IF(S597=S596,$T596,IF(D597="x",T596,IF(D596="x","",""))))</f>
        <v/>
      </c>
      <c r="U597" t="str">
        <f>IF(B597=1,MAX($U$2:$U596)+1,IF(AND($T597&lt;&gt;"",$T597=$T596),$U596,IF(B597="x",U596,"")))</f>
        <v/>
      </c>
      <c r="V597" t="str">
        <f>IF(C597=1,MAX($V$2:$V596)+1,IF(AND($T597&lt;&gt;"",$T597=$T596),$U596,IF(C597="x",V596,"")))</f>
        <v/>
      </c>
      <c r="X597" cm="1">
        <f t="array" ref="X597">IF($I597&lt;&gt;"",$I597,INDEX($I$1:$I597,ROW()-COUNTIFS($T$1:$T597,"="&amp;$T597,$S$1:$S597,"&lt;"&amp;$S597)))</f>
        <v>22</v>
      </c>
      <c r="Z597" s="6">
        <f t="shared" si="111"/>
        <v>1</v>
      </c>
      <c r="AA597">
        <f t="shared" si="112"/>
        <v>1296</v>
      </c>
      <c r="AB597" t="str">
        <f t="shared" si="113"/>
        <v/>
      </c>
      <c r="AC597">
        <f t="shared" si="114"/>
        <v>1296</v>
      </c>
      <c r="AI597" t="str">
        <f t="shared" si="115"/>
        <v>d</v>
      </c>
      <c r="BI597" s="40"/>
      <c r="BL597" s="40"/>
      <c r="BN597" s="19"/>
      <c r="BP597" s="17"/>
    </row>
    <row r="598" spans="1:68" x14ac:dyDescent="0.2">
      <c r="A598">
        <f t="shared" si="110"/>
        <v>1</v>
      </c>
      <c r="E598" s="4"/>
      <c r="F598" s="46"/>
      <c r="G598" s="4"/>
      <c r="H598" s="48"/>
      <c r="I598" s="26">
        <v>10</v>
      </c>
      <c r="J598" s="26" t="s">
        <v>736</v>
      </c>
      <c r="K598" t="s">
        <v>9</v>
      </c>
      <c r="L598" t="s">
        <v>173</v>
      </c>
      <c r="M598" t="s">
        <v>365</v>
      </c>
      <c r="N598" t="str">
        <f t="shared" si="118"/>
        <v>u</v>
      </c>
      <c r="O598" t="s">
        <v>769</v>
      </c>
      <c r="Q598" t="str">
        <f t="shared" si="117"/>
        <v>u</v>
      </c>
      <c r="S598">
        <f>IF(A598=1,MAX($S$2:$S597)+1,IF(OR($I598&lt;&gt;"",A598="x"),$S597,""))</f>
        <v>297</v>
      </c>
      <c r="T598" t="str">
        <f>IF(D598=1,MAX($T$2:$T597)+1,IF(S598=S597,$T597,IF(D598="x",T597,IF(D597="x","",""))))</f>
        <v/>
      </c>
      <c r="U598" t="str">
        <f>IF(B598=1,MAX($U$2:$U597)+1,IF(AND($T598&lt;&gt;"",$T598=$T597),$U597,IF(B598="x",U597,"")))</f>
        <v/>
      </c>
      <c r="V598" t="str">
        <f>IF(C598=1,MAX($V$2:$V597)+1,IF(AND($T598&lt;&gt;"",$T598=$T597),$U597,IF(C598="x",V597,"")))</f>
        <v/>
      </c>
      <c r="X598" cm="1">
        <f t="array" ref="X598">IF($I598&lt;&gt;"",$I598,INDEX($I$1:$I598,ROW()-COUNTIFS($T$1:$T598,"="&amp;$T598,$S$1:$S598,"&lt;"&amp;$S598)))</f>
        <v>10</v>
      </c>
      <c r="Z598" s="6">
        <f t="shared" si="111"/>
        <v>1</v>
      </c>
      <c r="AA598">
        <f t="shared" si="112"/>
        <v>1297</v>
      </c>
      <c r="AB598" t="str">
        <f t="shared" si="113"/>
        <v/>
      </c>
      <c r="AC598">
        <f t="shared" si="114"/>
        <v>1297</v>
      </c>
      <c r="AI598" t="str">
        <f t="shared" si="115"/>
        <v>d</v>
      </c>
      <c r="BI598" s="40"/>
      <c r="BL598" s="40"/>
      <c r="BN598" s="19"/>
      <c r="BP598" s="17"/>
    </row>
    <row r="599" spans="1:68" x14ac:dyDescent="0.2">
      <c r="A599">
        <f t="shared" si="110"/>
        <v>1</v>
      </c>
      <c r="E599" s="4"/>
      <c r="F599" s="46" t="s">
        <v>1036</v>
      </c>
      <c r="G599" s="4"/>
      <c r="H599" s="48"/>
      <c r="I599" s="26">
        <v>70</v>
      </c>
      <c r="J599" s="26" t="s">
        <v>368</v>
      </c>
      <c r="K599" t="s">
        <v>238</v>
      </c>
      <c r="L599" t="s">
        <v>193</v>
      </c>
      <c r="M599" t="s">
        <v>91</v>
      </c>
      <c r="N599" t="str">
        <f t="shared" si="118"/>
        <v>s</v>
      </c>
      <c r="Q599" t="str">
        <f t="shared" si="117"/>
        <v/>
      </c>
      <c r="S599">
        <f>IF(A599=1,MAX($S$2:$S598)+1,IF(OR($I599&lt;&gt;"",A599="x"),$S598,""))</f>
        <v>298</v>
      </c>
      <c r="T599" t="str">
        <f>IF(D599=1,MAX($T$2:$T598)+1,IF(S599=S598,$T598,IF(D599="x",T598,IF(D598="x","",""))))</f>
        <v/>
      </c>
      <c r="U599" t="str">
        <f>IF(B599=1,MAX($U$2:$U598)+1,IF(AND($T599&lt;&gt;"",$T599=$T598),$U598,IF(B599="x",U598,"")))</f>
        <v/>
      </c>
      <c r="V599" t="str">
        <f>IF(C599=1,MAX($V$2:$V598)+1,IF(AND($T599&lt;&gt;"",$T599=$T598),$U598,IF(C599="x",V598,"")))</f>
        <v/>
      </c>
      <c r="X599" cm="1">
        <f t="array" ref="X599">IF($I599&lt;&gt;"",$I599,INDEX($I$1:$I599,ROW()-COUNTIFS($T$1:$T599,"="&amp;$T599,$S$1:$S599,"&lt;"&amp;$S599)))</f>
        <v>70</v>
      </c>
      <c r="Z599" s="6">
        <f t="shared" si="111"/>
        <v>1</v>
      </c>
      <c r="AA599">
        <f t="shared" si="112"/>
        <v>1298</v>
      </c>
      <c r="AB599" t="str">
        <f t="shared" si="113"/>
        <v/>
      </c>
      <c r="AC599">
        <f t="shared" si="114"/>
        <v>1298</v>
      </c>
      <c r="AI599" t="str">
        <f t="shared" si="115"/>
        <v>o</v>
      </c>
      <c r="BI599" s="40"/>
      <c r="BL599" s="40"/>
      <c r="BN599" s="19"/>
      <c r="BP599" s="17"/>
    </row>
    <row r="600" spans="1:68" x14ac:dyDescent="0.2">
      <c r="A600">
        <f t="shared" si="110"/>
        <v>1</v>
      </c>
      <c r="E600" s="4"/>
      <c r="F600" s="46"/>
      <c r="G600" s="4"/>
      <c r="H600" s="48"/>
      <c r="I600" s="26">
        <v>70</v>
      </c>
      <c r="J600" s="26" t="str">
        <f t="shared" si="116"/>
        <v/>
      </c>
      <c r="K600" t="s">
        <v>13</v>
      </c>
      <c r="L600" t="s">
        <v>586</v>
      </c>
      <c r="N600" t="s">
        <v>594</v>
      </c>
      <c r="O600" t="s">
        <v>911</v>
      </c>
      <c r="P600" t="s">
        <v>150</v>
      </c>
      <c r="Q600" t="str">
        <f t="shared" si="117"/>
        <v>u</v>
      </c>
      <c r="R600" s="26">
        <v>1</v>
      </c>
      <c r="S600">
        <f>IF(A600=1,MAX($S$2:$S599)+1,IF(OR($I600&lt;&gt;"",A600="x"),$S599,""))</f>
        <v>299</v>
      </c>
      <c r="T600" t="str">
        <f>IF(D600=1,MAX($T$2:$T599)+1,IF(S600=S599,$T599,IF(D600="x",T599,IF(D599="x","",""))))</f>
        <v/>
      </c>
      <c r="U600" t="str">
        <f>IF(B600=1,MAX($U$2:$U599)+1,IF(AND($T600&lt;&gt;"",$T600=$T599),$U599,IF(B600="x",U599,"")))</f>
        <v/>
      </c>
      <c r="V600" t="str">
        <f>IF(C600=1,MAX($V$2:$V599)+1,IF(AND($T600&lt;&gt;"",$T600=$T599),$U599,IF(C600="x",V599,"")))</f>
        <v/>
      </c>
      <c r="X600" cm="1">
        <f t="array" ref="X600">IF($I600&lt;&gt;"",$I600,INDEX($I$1:$I600,ROW()-COUNTIFS($T$1:$T600,"="&amp;$T600,$S$1:$S600,"&lt;"&amp;$S600)))</f>
        <v>70</v>
      </c>
      <c r="Z600" s="6">
        <f t="shared" si="111"/>
        <v>1</v>
      </c>
      <c r="AA600">
        <f t="shared" si="112"/>
        <v>1299</v>
      </c>
      <c r="AB600" t="str">
        <f t="shared" si="113"/>
        <v/>
      </c>
      <c r="AC600">
        <f t="shared" si="114"/>
        <v>1299</v>
      </c>
      <c r="AI600" t="str">
        <f t="shared" si="115"/>
        <v/>
      </c>
      <c r="BI600" s="40"/>
      <c r="BL600" s="40"/>
      <c r="BN600" s="19"/>
      <c r="BP600" s="17"/>
    </row>
    <row r="601" spans="1:68" x14ac:dyDescent="0.2">
      <c r="A601" t="str">
        <f t="shared" si="110"/>
        <v/>
      </c>
      <c r="E601" s="4"/>
      <c r="F601" s="46"/>
      <c r="G601" s="4"/>
      <c r="H601" s="48"/>
      <c r="I601" s="26">
        <v>10</v>
      </c>
      <c r="J601" s="26" t="str">
        <f t="shared" si="116"/>
        <v/>
      </c>
      <c r="N601" t="str">
        <f t="shared" si="118"/>
        <v/>
      </c>
      <c r="O601" t="s">
        <v>783</v>
      </c>
      <c r="Q601" t="str">
        <f t="shared" si="117"/>
        <v/>
      </c>
      <c r="R601" s="26">
        <v>1</v>
      </c>
      <c r="S601">
        <f>IF(A601=1,MAX($S$2:$S600)+1,IF(OR($I601&lt;&gt;"",A601="x"),$S600,""))</f>
        <v>299</v>
      </c>
      <c r="T601" t="str">
        <f>IF(D601=1,MAX($T$2:$T600)+1,IF(S601=S600,$T600,IF(D601="x",T600,IF(D600="x","",""))))</f>
        <v/>
      </c>
      <c r="U601" t="str">
        <f>IF(B601=1,MAX($U$2:$U600)+1,IF(AND($T601&lt;&gt;"",$T601=$T600),$U600,IF(B601="x",U600,"")))</f>
        <v/>
      </c>
      <c r="V601" t="str">
        <f>IF(C601=1,MAX($V$2:$V600)+1,IF(AND($T601&lt;&gt;"",$T601=$T600),$U600,IF(C601="x",V600,"")))</f>
        <v/>
      </c>
      <c r="X601" cm="1">
        <f t="array" ref="X601">IF($I601&lt;&gt;"",$I601,INDEX($I$1:$I601,ROW()-COUNTIFS($T$1:$T601,"="&amp;$T601,$S$1:$S601,"&lt;"&amp;$S601)))</f>
        <v>10</v>
      </c>
      <c r="Z601" s="6">
        <f t="shared" si="111"/>
        <v>1</v>
      </c>
      <c r="AA601">
        <f t="shared" si="112"/>
        <v>1299</v>
      </c>
      <c r="AB601" t="str">
        <f t="shared" si="113"/>
        <v/>
      </c>
      <c r="AC601">
        <f t="shared" si="114"/>
        <v>1299</v>
      </c>
      <c r="AI601" t="str">
        <f t="shared" si="115"/>
        <v/>
      </c>
      <c r="BI601" s="40"/>
      <c r="BL601" s="40"/>
      <c r="BN601" s="19"/>
      <c r="BP601" s="17"/>
    </row>
    <row r="602" spans="1:68" x14ac:dyDescent="0.2">
      <c r="A602">
        <f t="shared" si="110"/>
        <v>1</v>
      </c>
      <c r="E602" s="4"/>
      <c r="F602" s="46"/>
      <c r="G602" s="4"/>
      <c r="H602" s="48"/>
      <c r="I602" s="26">
        <v>10</v>
      </c>
      <c r="J602" s="26" t="str">
        <f t="shared" si="116"/>
        <v/>
      </c>
      <c r="K602" t="s">
        <v>9</v>
      </c>
      <c r="L602" t="s">
        <v>183</v>
      </c>
      <c r="M602" t="s">
        <v>80</v>
      </c>
      <c r="N602" t="s">
        <v>595</v>
      </c>
      <c r="O602" t="s">
        <v>156</v>
      </c>
      <c r="Q602" t="str">
        <f t="shared" si="117"/>
        <v>s</v>
      </c>
      <c r="R602" s="26">
        <v>1</v>
      </c>
      <c r="S602">
        <f>IF(A602=1,MAX($S$2:$S601)+1,IF(OR($I602&lt;&gt;"",A602="x"),$S601,""))</f>
        <v>300</v>
      </c>
      <c r="T602" t="str">
        <f>IF(D602=1,MAX($T$2:$T601)+1,IF(S602=S601,$T601,IF(D602="x",T601,IF(D601="x","",""))))</f>
        <v/>
      </c>
      <c r="U602" t="str">
        <f>IF(B602=1,MAX($U$2:$U601)+1,IF(AND($T602&lt;&gt;"",$T602=$T601),$U601,IF(B602="x",U601,"")))</f>
        <v/>
      </c>
      <c r="V602" t="str">
        <f>IF(C602=1,MAX($V$2:$V601)+1,IF(AND($T602&lt;&gt;"",$T602=$T601),$U601,IF(C602="x",V601,"")))</f>
        <v/>
      </c>
      <c r="X602" cm="1">
        <f t="array" ref="X602">IF($I602&lt;&gt;"",$I602,INDEX($I$1:$I602,ROW()-COUNTIFS($T$1:$T602,"="&amp;$T602,$S$1:$S602,"&lt;"&amp;$S602)))</f>
        <v>10</v>
      </c>
      <c r="Z602" s="6">
        <f t="shared" si="111"/>
        <v>1</v>
      </c>
      <c r="AA602">
        <f t="shared" si="112"/>
        <v>1300</v>
      </c>
      <c r="AB602" t="str">
        <f t="shared" si="113"/>
        <v/>
      </c>
      <c r="AC602">
        <f t="shared" si="114"/>
        <v>1300</v>
      </c>
      <c r="AI602" t="str">
        <f t="shared" si="115"/>
        <v/>
      </c>
      <c r="BI602" s="40"/>
      <c r="BL602" s="40"/>
      <c r="BN602" s="19"/>
      <c r="BP602" s="17"/>
    </row>
    <row r="603" spans="1:68" x14ac:dyDescent="0.2">
      <c r="A603" t="str">
        <f t="shared" si="110"/>
        <v/>
      </c>
      <c r="E603" s="4"/>
      <c r="F603" s="46"/>
      <c r="G603" s="4"/>
      <c r="H603" s="48"/>
      <c r="I603" s="26">
        <v>70</v>
      </c>
      <c r="J603" s="26" t="str">
        <f t="shared" si="116"/>
        <v/>
      </c>
      <c r="N603" t="str">
        <f t="shared" si="118"/>
        <v/>
      </c>
      <c r="O603" t="s">
        <v>785</v>
      </c>
      <c r="Q603" t="str">
        <f t="shared" si="117"/>
        <v>u</v>
      </c>
      <c r="R603" s="26">
        <v>1</v>
      </c>
      <c r="S603">
        <f>IF(A603=1,MAX($S$2:$S602)+1,IF(OR($I603&lt;&gt;"",A603="x"),$S602,""))</f>
        <v>300</v>
      </c>
      <c r="T603" t="str">
        <f>IF(D603=1,MAX($T$2:$T602)+1,IF(S603=S602,$T602,IF(D603="x",T602,IF(D602="x","",""))))</f>
        <v/>
      </c>
      <c r="U603" t="str">
        <f>IF(B603=1,MAX($U$2:$U602)+1,IF(AND($T603&lt;&gt;"",$T603=$T602),$U602,IF(B603="x",U602,"")))</f>
        <v/>
      </c>
      <c r="V603" t="str">
        <f>IF(C603=1,MAX($V$2:$V602)+1,IF(AND($T603&lt;&gt;"",$T603=$T602),$U602,IF(C603="x",V602,"")))</f>
        <v/>
      </c>
      <c r="X603" cm="1">
        <f t="array" ref="X603">IF($I603&lt;&gt;"",$I603,INDEX($I$1:$I603,ROW()-COUNTIFS($T$1:$T603,"="&amp;$T603,$S$1:$S603,"&lt;"&amp;$S603)))</f>
        <v>70</v>
      </c>
      <c r="Z603" s="6">
        <f t="shared" si="111"/>
        <v>1</v>
      </c>
      <c r="AA603">
        <f t="shared" si="112"/>
        <v>1300</v>
      </c>
      <c r="AB603" t="str">
        <f t="shared" si="113"/>
        <v/>
      </c>
      <c r="AC603">
        <f t="shared" si="114"/>
        <v>1300</v>
      </c>
      <c r="AI603" t="str">
        <f t="shared" si="115"/>
        <v/>
      </c>
      <c r="BI603" s="40"/>
      <c r="BL603" s="40"/>
      <c r="BN603" s="19"/>
      <c r="BP603" s="17"/>
    </row>
    <row r="604" spans="1:68" x14ac:dyDescent="0.2">
      <c r="A604">
        <f t="shared" si="110"/>
        <v>1</v>
      </c>
      <c r="E604" s="4"/>
      <c r="F604" s="46" t="s">
        <v>732</v>
      </c>
      <c r="G604" s="4"/>
      <c r="H604" s="48" t="s">
        <v>744</v>
      </c>
      <c r="I604" s="26">
        <v>10</v>
      </c>
      <c r="J604" s="26" t="s">
        <v>736</v>
      </c>
      <c r="K604" t="s">
        <v>13</v>
      </c>
      <c r="L604" t="s">
        <v>586</v>
      </c>
      <c r="N604" t="s">
        <v>594</v>
      </c>
      <c r="O604" t="s">
        <v>910</v>
      </c>
      <c r="Q604" t="str">
        <f t="shared" si="117"/>
        <v>u</v>
      </c>
      <c r="S604">
        <f>IF(A604=1,MAX($S$2:$S603)+1,IF(OR($I604&lt;&gt;"",A604="x"),$S603,""))</f>
        <v>301</v>
      </c>
      <c r="T604" t="str">
        <f>IF(D604=1,MAX($T$2:$T603)+1,IF(S604=S603,$T603,IF(D604="x",T603,IF(D603="x","",""))))</f>
        <v/>
      </c>
      <c r="U604" t="str">
        <f>IF(B604=1,MAX($U$2:$U603)+1,IF(AND($T604&lt;&gt;"",$T604=$T603),$U603,IF(B604="x",U603,"")))</f>
        <v/>
      </c>
      <c r="V604" t="str">
        <f>IF(C604=1,MAX($V$2:$V603)+1,IF(AND($T604&lt;&gt;"",$T604=$T603),$U603,IF(C604="x",V603,"")))</f>
        <v/>
      </c>
      <c r="X604" cm="1">
        <f t="array" ref="X604">IF($I604&lt;&gt;"",$I604,INDEX($I$1:$I604,ROW()-COUNTIFS($T$1:$T604,"="&amp;$T604,$S$1:$S604,"&lt;"&amp;$S604)))</f>
        <v>10</v>
      </c>
      <c r="Z604" s="6">
        <f t="shared" si="111"/>
        <v>1</v>
      </c>
      <c r="AA604">
        <f t="shared" si="112"/>
        <v>1301</v>
      </c>
      <c r="AB604" t="str">
        <f t="shared" si="113"/>
        <v/>
      </c>
      <c r="AC604">
        <f t="shared" si="114"/>
        <v>1301</v>
      </c>
      <c r="AI604" t="str">
        <f t="shared" si="115"/>
        <v>d</v>
      </c>
      <c r="BI604" s="40"/>
      <c r="BL604" s="40"/>
      <c r="BN604" s="19"/>
      <c r="BP604" s="17"/>
    </row>
    <row r="605" spans="1:68" x14ac:dyDescent="0.2">
      <c r="A605">
        <f t="shared" si="110"/>
        <v>1</v>
      </c>
      <c r="D605" s="26">
        <v>1</v>
      </c>
      <c r="E605" s="4"/>
      <c r="F605" s="46"/>
      <c r="G605" s="4"/>
      <c r="H605" s="48"/>
      <c r="I605" s="26">
        <v>10</v>
      </c>
      <c r="J605" s="26" t="s">
        <v>736</v>
      </c>
      <c r="K605" t="s">
        <v>238</v>
      </c>
      <c r="L605" t="s">
        <v>184</v>
      </c>
      <c r="M605" t="s">
        <v>90</v>
      </c>
      <c r="N605" t="str">
        <f t="shared" si="118"/>
        <v>s</v>
      </c>
      <c r="Q605" t="str">
        <f t="shared" si="117"/>
        <v/>
      </c>
      <c r="S605">
        <f>IF(A605=1,MAX($S$2:$S604)+1,IF(OR($I605&lt;&gt;"",A605="x"),$S604,""))</f>
        <v>302</v>
      </c>
      <c r="T605">
        <f>IF(D605=1,MAX($T$2:$T604)+1,IF(S605=S604,$T604,IF(D605="x",T604,IF(D604="x","",""))))</f>
        <v>40</v>
      </c>
      <c r="U605" t="str">
        <f>IF(B605=1,MAX($U$2:$U604)+1,IF(AND($T605&lt;&gt;"",$T605=$T604),$U604,IF(B605="x",U604,"")))</f>
        <v/>
      </c>
      <c r="V605" t="str">
        <f>IF(C605=1,MAX($V$2:$V604)+1,IF(AND($T605&lt;&gt;"",$T605=$T604),$U604,IF(C605="x",V604,"")))</f>
        <v/>
      </c>
      <c r="X605" cm="1">
        <f t="array" ref="X605">IF($I605&lt;&gt;"",$I605,INDEX($I$1:$I605,ROW()-COUNTIFS($T$1:$T605,"="&amp;$T605,$S$1:$S605,"&lt;"&amp;$S605)))</f>
        <v>10</v>
      </c>
      <c r="Z605" s="6">
        <f t="shared" si="111"/>
        <v>1</v>
      </c>
      <c r="AA605">
        <f t="shared" si="112"/>
        <v>1302</v>
      </c>
      <c r="AB605">
        <f t="shared" si="113"/>
        <v>9040</v>
      </c>
      <c r="AC605">
        <f t="shared" si="114"/>
        <v>9040</v>
      </c>
      <c r="AI605" t="str">
        <f t="shared" si="115"/>
        <v>d</v>
      </c>
      <c r="BI605" s="40"/>
      <c r="BL605" s="40"/>
      <c r="BN605" s="19"/>
      <c r="BP605" s="17"/>
    </row>
    <row r="606" spans="1:68" x14ac:dyDescent="0.2">
      <c r="A606">
        <f t="shared" si="110"/>
        <v>1</v>
      </c>
      <c r="D606" s="26" t="s">
        <v>729</v>
      </c>
      <c r="E606" s="4"/>
      <c r="F606" s="46"/>
      <c r="G606" s="4"/>
      <c r="H606" s="48"/>
      <c r="I606" s="26">
        <v>10</v>
      </c>
      <c r="J606" s="26" t="s">
        <v>736</v>
      </c>
      <c r="K606" t="s">
        <v>9</v>
      </c>
      <c r="L606" t="s">
        <v>173</v>
      </c>
      <c r="M606" t="s">
        <v>354</v>
      </c>
      <c r="N606" t="str">
        <f t="shared" si="118"/>
        <v>u</v>
      </c>
      <c r="Q606" t="str">
        <f t="shared" si="117"/>
        <v/>
      </c>
      <c r="S606">
        <f>IF(A606=1,MAX($S$2:$S605)+1,IF(OR($I606&lt;&gt;"",A606="x"),$S605,""))</f>
        <v>303</v>
      </c>
      <c r="T606">
        <f>IF(D606=1,MAX($T$2:$T605)+1,IF(S606=S605,$T605,IF(D606="x",T605,IF(D605="x","",""))))</f>
        <v>40</v>
      </c>
      <c r="U606" t="str">
        <f>IF(B606=1,MAX($U$2:$U605)+1,IF(AND($T606&lt;&gt;"",$T606=$T605),$U605,IF(B606="x",U605,"")))</f>
        <v/>
      </c>
      <c r="V606" t="str">
        <f>IF(C606=1,MAX($V$2:$V605)+1,IF(AND($T606&lt;&gt;"",$T606=$T605),$U605,IF(C606="x",V605,"")))</f>
        <v/>
      </c>
      <c r="X606" cm="1">
        <f t="array" ref="X606">IF($I606&lt;&gt;"",$I606,INDEX($I$1:$I606,ROW()-COUNTIFS($T$1:$T606,"="&amp;$T606,$S$1:$S606,"&lt;"&amp;$S606)))</f>
        <v>10</v>
      </c>
      <c r="Z606" s="6">
        <f t="shared" si="111"/>
        <v>1</v>
      </c>
      <c r="AA606">
        <f t="shared" si="112"/>
        <v>1303</v>
      </c>
      <c r="AB606">
        <f t="shared" si="113"/>
        <v>9040</v>
      </c>
      <c r="AC606">
        <f t="shared" si="114"/>
        <v>9040</v>
      </c>
      <c r="AI606" t="str">
        <f t="shared" si="115"/>
        <v>d</v>
      </c>
      <c r="BI606" s="40"/>
      <c r="BL606" s="40"/>
      <c r="BN606" s="19"/>
      <c r="BP606" s="17"/>
    </row>
    <row r="607" spans="1:68" x14ac:dyDescent="0.2">
      <c r="A607">
        <f t="shared" si="110"/>
        <v>1</v>
      </c>
      <c r="E607" s="4"/>
      <c r="F607" s="46" t="s">
        <v>754</v>
      </c>
      <c r="G607" s="4"/>
      <c r="H607" s="48"/>
      <c r="I607" s="26">
        <v>84</v>
      </c>
      <c r="J607" s="26" t="s">
        <v>734</v>
      </c>
      <c r="K607" t="s">
        <v>13</v>
      </c>
      <c r="L607" t="s">
        <v>586</v>
      </c>
      <c r="N607" t="s">
        <v>595</v>
      </c>
      <c r="O607" t="s">
        <v>912</v>
      </c>
      <c r="Q607" t="str">
        <f t="shared" si="117"/>
        <v>s</v>
      </c>
      <c r="S607">
        <f>IF(A607=1,MAX($S$2:$S606)+1,IF(OR($I607&lt;&gt;"",A607="x"),$S606,""))</f>
        <v>304</v>
      </c>
      <c r="T607" t="str">
        <f>IF(D607=1,MAX($T$2:$T606)+1,IF(S607=S606,$T606,IF(D607="x",T606,IF(D606="x","",""))))</f>
        <v/>
      </c>
      <c r="U607" t="str">
        <f>IF(B607=1,MAX($U$2:$U606)+1,IF(AND($T607&lt;&gt;"",$T607=$T606),$U606,IF(B607="x",U606,"")))</f>
        <v/>
      </c>
      <c r="V607" t="str">
        <f>IF(C607=1,MAX($V$2:$V606)+1,IF(AND($T607&lt;&gt;"",$T607=$T606),$U606,IF(C607="x",V606,"")))</f>
        <v/>
      </c>
      <c r="X607" cm="1">
        <f t="array" ref="X607">IF($I607&lt;&gt;"",$I607,INDEX($I$1:$I607,ROW()-COUNTIFS($T$1:$T607,"="&amp;$T607,$S$1:$S607,"&lt;"&amp;$S607)))</f>
        <v>84</v>
      </c>
      <c r="Z607" s="6">
        <f t="shared" si="111"/>
        <v>1</v>
      </c>
      <c r="AA607">
        <f t="shared" si="112"/>
        <v>1304</v>
      </c>
      <c r="AB607" t="str">
        <f t="shared" si="113"/>
        <v/>
      </c>
      <c r="AC607">
        <f t="shared" si="114"/>
        <v>1304</v>
      </c>
      <c r="AI607" t="str">
        <f t="shared" si="115"/>
        <v>n</v>
      </c>
      <c r="BI607" s="40"/>
      <c r="BL607" s="40"/>
      <c r="BN607" s="19"/>
      <c r="BP607" s="17"/>
    </row>
    <row r="608" spans="1:68" x14ac:dyDescent="0.2">
      <c r="A608" t="str">
        <f t="shared" si="110"/>
        <v/>
      </c>
      <c r="E608" s="4"/>
      <c r="F608" s="46"/>
      <c r="G608" s="4"/>
      <c r="H608" s="48"/>
      <c r="I608" s="26">
        <v>21</v>
      </c>
      <c r="J608" s="26" t="str">
        <f t="shared" si="116"/>
        <v/>
      </c>
      <c r="N608" t="str">
        <f t="shared" si="118"/>
        <v/>
      </c>
      <c r="Q608" t="str">
        <f t="shared" si="117"/>
        <v/>
      </c>
      <c r="S608">
        <f>IF(A608=1,MAX($S$2:$S607)+1,IF(OR($I608&lt;&gt;"",A608="x"),$S607,""))</f>
        <v>304</v>
      </c>
      <c r="T608" t="str">
        <f>IF(D608=1,MAX($T$2:$T607)+1,IF(S608=S607,$T607,IF(D608="x",T607,IF(D607="x","",""))))</f>
        <v/>
      </c>
      <c r="U608" t="str">
        <f>IF(B608=1,MAX($U$2:$U607)+1,IF(AND($T608&lt;&gt;"",$T608=$T607),$U607,IF(B608="x",U607,"")))</f>
        <v/>
      </c>
      <c r="V608" t="str">
        <f>IF(C608=1,MAX($V$2:$V607)+1,IF(AND($T608&lt;&gt;"",$T608=$T607),$U607,IF(C608="x",V607,"")))</f>
        <v/>
      </c>
      <c r="X608" cm="1">
        <f t="array" ref="X608">IF($I608&lt;&gt;"",$I608,INDEX($I$1:$I608,ROW()-COUNTIFS($T$1:$T608,"="&amp;$T608,$S$1:$S608,"&lt;"&amp;$S608)))</f>
        <v>21</v>
      </c>
      <c r="Z608" s="6">
        <f t="shared" si="111"/>
        <v>1</v>
      </c>
      <c r="AA608">
        <f t="shared" si="112"/>
        <v>1304</v>
      </c>
      <c r="AB608" t="str">
        <f t="shared" si="113"/>
        <v/>
      </c>
      <c r="AC608">
        <f t="shared" si="114"/>
        <v>1304</v>
      </c>
      <c r="AI608" t="str">
        <f t="shared" si="115"/>
        <v>n</v>
      </c>
      <c r="BI608" s="40"/>
      <c r="BL608" s="40"/>
      <c r="BN608" s="19"/>
      <c r="BP608" s="17"/>
    </row>
    <row r="609" spans="1:68" x14ac:dyDescent="0.2">
      <c r="A609">
        <f t="shared" si="110"/>
        <v>1</v>
      </c>
      <c r="E609" s="4"/>
      <c r="F609" s="46"/>
      <c r="G609" s="4"/>
      <c r="H609" s="48"/>
      <c r="I609" s="26">
        <v>84</v>
      </c>
      <c r="J609" s="26" t="s">
        <v>734</v>
      </c>
      <c r="K609" t="s">
        <v>7</v>
      </c>
      <c r="L609" t="s">
        <v>172</v>
      </c>
      <c r="M609" t="s">
        <v>68</v>
      </c>
      <c r="N609" t="str">
        <f t="shared" si="118"/>
        <v>s</v>
      </c>
      <c r="O609" t="s">
        <v>576</v>
      </c>
      <c r="Q609" t="str">
        <f t="shared" si="117"/>
        <v>s</v>
      </c>
      <c r="R609" s="26">
        <v>1</v>
      </c>
      <c r="S609">
        <f>IF(A609=1,MAX($S$2:$S608)+1,IF(OR($I609&lt;&gt;"",A609="x"),$S608,""))</f>
        <v>305</v>
      </c>
      <c r="T609" t="str">
        <f>IF(D609=1,MAX($T$2:$T608)+1,IF(S609=S608,$T608,IF(D609="x",T608,IF(D608="x","",""))))</f>
        <v/>
      </c>
      <c r="U609" t="str">
        <f>IF(B609=1,MAX($U$2:$U608)+1,IF(AND($T609&lt;&gt;"",$T609=$T608),$U608,IF(B609="x",U608,"")))</f>
        <v/>
      </c>
      <c r="V609" t="str">
        <f>IF(C609=1,MAX($V$2:$V608)+1,IF(AND($T609&lt;&gt;"",$T609=$T608),$U608,IF(C609="x",V608,"")))</f>
        <v/>
      </c>
      <c r="X609" cm="1">
        <f t="array" ref="X609">IF($I609&lt;&gt;"",$I609,INDEX($I$1:$I609,ROW()-COUNTIFS($T$1:$T609,"="&amp;$T609,$S$1:$S609,"&lt;"&amp;$S609)))</f>
        <v>84</v>
      </c>
      <c r="Z609" s="6">
        <f t="shared" si="111"/>
        <v>1</v>
      </c>
      <c r="AA609">
        <f t="shared" si="112"/>
        <v>1305</v>
      </c>
      <c r="AB609" t="str">
        <f t="shared" si="113"/>
        <v/>
      </c>
      <c r="AC609">
        <f t="shared" si="114"/>
        <v>1305</v>
      </c>
      <c r="AI609" t="str">
        <f t="shared" si="115"/>
        <v>n</v>
      </c>
      <c r="BI609" s="40"/>
      <c r="BL609" s="40"/>
      <c r="BN609" s="19"/>
      <c r="BP609" s="17"/>
    </row>
    <row r="610" spans="1:68" x14ac:dyDescent="0.2">
      <c r="A610" t="str">
        <f t="shared" si="110"/>
        <v/>
      </c>
      <c r="E610" s="4"/>
      <c r="F610" s="46"/>
      <c r="G610" s="4"/>
      <c r="H610" s="48"/>
      <c r="I610" s="26">
        <v>91</v>
      </c>
      <c r="J610" s="26" t="str">
        <f t="shared" si="116"/>
        <v/>
      </c>
      <c r="N610" t="str">
        <f t="shared" si="118"/>
        <v/>
      </c>
      <c r="Q610" t="str">
        <f t="shared" si="117"/>
        <v/>
      </c>
      <c r="S610">
        <f>IF(A610=1,MAX($S$2:$S609)+1,IF(OR($I610&lt;&gt;"",A610="x"),$S609,""))</f>
        <v>305</v>
      </c>
      <c r="T610" t="str">
        <f>IF(D610=1,MAX($T$2:$T609)+1,IF(S610=S609,$T609,IF(D610="x",T609,IF(D609="x","",""))))</f>
        <v/>
      </c>
      <c r="U610" t="str">
        <f>IF(B610=1,MAX($U$2:$U609)+1,IF(AND($T610&lt;&gt;"",$T610=$T609),$U609,IF(B610="x",U609,"")))</f>
        <v/>
      </c>
      <c r="V610" t="str">
        <f>IF(C610=1,MAX($V$2:$V609)+1,IF(AND($T610&lt;&gt;"",$T610=$T609),$U609,IF(C610="x",V609,"")))</f>
        <v/>
      </c>
      <c r="X610" cm="1">
        <f t="array" ref="X610">IF($I610&lt;&gt;"",$I610,INDEX($I$1:$I610,ROW()-COUNTIFS($T$1:$T610,"="&amp;$T610,$S$1:$S610,"&lt;"&amp;$S610)))</f>
        <v>91</v>
      </c>
      <c r="Z610" s="6">
        <f t="shared" si="111"/>
        <v>1</v>
      </c>
      <c r="AA610">
        <f t="shared" si="112"/>
        <v>1305</v>
      </c>
      <c r="AB610" t="str">
        <f t="shared" si="113"/>
        <v/>
      </c>
      <c r="AC610">
        <f t="shared" si="114"/>
        <v>1305</v>
      </c>
      <c r="AI610" t="str">
        <f t="shared" si="115"/>
        <v>n</v>
      </c>
      <c r="BI610" s="40"/>
      <c r="BL610" s="40"/>
      <c r="BN610" s="19"/>
      <c r="BP610" s="17"/>
    </row>
    <row r="611" spans="1:68" x14ac:dyDescent="0.2">
      <c r="A611" t="str">
        <f t="shared" si="110"/>
        <v/>
      </c>
      <c r="E611" s="4"/>
      <c r="F611" s="46"/>
      <c r="G611" s="4"/>
      <c r="H611" s="48"/>
      <c r="I611" s="26">
        <v>21</v>
      </c>
      <c r="J611" s="26" t="str">
        <f t="shared" si="116"/>
        <v/>
      </c>
      <c r="N611" t="str">
        <f t="shared" si="118"/>
        <v/>
      </c>
      <c r="O611" t="s">
        <v>567</v>
      </c>
      <c r="Q611" t="str">
        <f t="shared" si="117"/>
        <v/>
      </c>
      <c r="R611" s="26">
        <v>1</v>
      </c>
      <c r="S611">
        <f>IF(A611=1,MAX($S$2:$S610)+1,IF(OR($I611&lt;&gt;"",A611="x"),$S610,""))</f>
        <v>305</v>
      </c>
      <c r="T611" t="str">
        <f>IF(D611=1,MAX($T$2:$T610)+1,IF(S611=S610,$T610,IF(D611="x",T610,IF(D610="x","",""))))</f>
        <v/>
      </c>
      <c r="U611" t="str">
        <f>IF(B611=1,MAX($U$2:$U610)+1,IF(AND($T611&lt;&gt;"",$T611=$T610),$U610,IF(B611="x",U610,"")))</f>
        <v/>
      </c>
      <c r="V611" t="str">
        <f>IF(C611=1,MAX($V$2:$V610)+1,IF(AND($T611&lt;&gt;"",$T611=$T610),$U610,IF(C611="x",V610,"")))</f>
        <v/>
      </c>
      <c r="X611" cm="1">
        <f t="array" ref="X611">IF($I611&lt;&gt;"",$I611,INDEX($I$1:$I611,ROW()-COUNTIFS($T$1:$T611,"="&amp;$T611,$S$1:$S611,"&lt;"&amp;$S611)))</f>
        <v>21</v>
      </c>
      <c r="Z611" s="6">
        <f t="shared" si="111"/>
        <v>1</v>
      </c>
      <c r="AA611">
        <f t="shared" si="112"/>
        <v>1305</v>
      </c>
      <c r="AB611" t="str">
        <f t="shared" si="113"/>
        <v/>
      </c>
      <c r="AC611">
        <f t="shared" si="114"/>
        <v>1305</v>
      </c>
      <c r="AI611" t="str">
        <f t="shared" si="115"/>
        <v>n</v>
      </c>
      <c r="BI611" s="40"/>
      <c r="BL611" s="40"/>
      <c r="BN611" s="19"/>
      <c r="BP611" s="17"/>
    </row>
    <row r="612" spans="1:68" x14ac:dyDescent="0.2">
      <c r="A612">
        <f t="shared" si="110"/>
        <v>1</v>
      </c>
      <c r="E612" s="4"/>
      <c r="F612" s="46" t="s">
        <v>1050</v>
      </c>
      <c r="G612" s="4"/>
      <c r="H612" s="48" t="s">
        <v>1047</v>
      </c>
      <c r="I612" s="26">
        <v>91</v>
      </c>
      <c r="J612" s="26" t="s">
        <v>734</v>
      </c>
      <c r="K612" t="s">
        <v>13</v>
      </c>
      <c r="N612" t="str">
        <f t="shared" si="118"/>
        <v/>
      </c>
      <c r="O612" t="s">
        <v>149</v>
      </c>
      <c r="Q612" t="str">
        <f t="shared" si="117"/>
        <v/>
      </c>
      <c r="R612" s="26">
        <v>1</v>
      </c>
      <c r="S612">
        <f>IF(A612=1,MAX($S$2:$S611)+1,IF(OR($I612&lt;&gt;"",A612="x"),$S611,""))</f>
        <v>306</v>
      </c>
      <c r="T612" t="str">
        <f>IF(D612=1,MAX($T$2:$T611)+1,IF(S612=S611,$T611,IF(D612="x",T611,IF(D611="x","",""))))</f>
        <v/>
      </c>
      <c r="U612" t="str">
        <f>IF(B612=1,MAX($U$2:$U611)+1,IF(AND($T612&lt;&gt;"",$T612=$T611),$U611,IF(B612="x",U611,"")))</f>
        <v/>
      </c>
      <c r="V612" t="str">
        <f>IF(C612=1,MAX($V$2:$V611)+1,IF(AND($T612&lt;&gt;"",$T612=$T611),$U611,IF(C612="x",V611,"")))</f>
        <v/>
      </c>
      <c r="X612" cm="1">
        <f t="array" ref="X612">IF($I612&lt;&gt;"",$I612,INDEX($I$1:$I612,ROW()-COUNTIFS($T$1:$T612,"="&amp;$T612,$S$1:$S612,"&lt;"&amp;$S612)))</f>
        <v>91</v>
      </c>
      <c r="Z612" s="6">
        <f t="shared" si="111"/>
        <v>1</v>
      </c>
      <c r="AA612">
        <f t="shared" si="112"/>
        <v>1306</v>
      </c>
      <c r="AB612" t="str">
        <f t="shared" si="113"/>
        <v/>
      </c>
      <c r="AC612">
        <f t="shared" si="114"/>
        <v>1306</v>
      </c>
      <c r="AI612" t="str">
        <f t="shared" si="115"/>
        <v>n</v>
      </c>
      <c r="BI612" s="40"/>
      <c r="BL612" s="40"/>
      <c r="BN612" s="19"/>
      <c r="BP612" s="17"/>
    </row>
    <row r="613" spans="1:68" x14ac:dyDescent="0.2">
      <c r="A613" t="str">
        <f t="shared" si="110"/>
        <v/>
      </c>
      <c r="E613" s="4"/>
      <c r="F613" s="46"/>
      <c r="G613" s="4"/>
      <c r="H613" s="48"/>
      <c r="I613" s="26">
        <v>69</v>
      </c>
      <c r="J613" s="26" t="str">
        <f t="shared" si="116"/>
        <v/>
      </c>
      <c r="N613" t="str">
        <f t="shared" si="118"/>
        <v/>
      </c>
      <c r="Q613" t="str">
        <f t="shared" si="117"/>
        <v/>
      </c>
      <c r="R613" s="26">
        <v>1</v>
      </c>
      <c r="S613">
        <f>IF(A613=1,MAX($S$2:$S612)+1,IF(OR($I613&lt;&gt;"",A613="x"),$S612,""))</f>
        <v>306</v>
      </c>
      <c r="T613" t="str">
        <f>IF(D613=1,MAX($T$2:$T612)+1,IF(S613=S612,$T612,IF(D613="x",T612,IF(D612="x","",""))))</f>
        <v/>
      </c>
      <c r="U613" t="str">
        <f>IF(B613=1,MAX($U$2:$U612)+1,IF(AND($T613&lt;&gt;"",$T613=$T612),$U612,IF(B613="x",U612,"")))</f>
        <v/>
      </c>
      <c r="V613" t="str">
        <f>IF(C613=1,MAX($V$2:$V612)+1,IF(AND($T613&lt;&gt;"",$T613=$T612),$U612,IF(C613="x",V612,"")))</f>
        <v/>
      </c>
      <c r="X613" cm="1">
        <f t="array" ref="X613">IF($I613&lt;&gt;"",$I613,INDEX($I$1:$I613,ROW()-COUNTIFS($T$1:$T613,"="&amp;$T613,$S$1:$S613,"&lt;"&amp;$S613)))</f>
        <v>69</v>
      </c>
      <c r="Z613" s="6">
        <f t="shared" si="111"/>
        <v>1</v>
      </c>
      <c r="AA613">
        <f t="shared" si="112"/>
        <v>1306</v>
      </c>
      <c r="AB613" t="str">
        <f t="shared" si="113"/>
        <v/>
      </c>
      <c r="AC613">
        <f t="shared" si="114"/>
        <v>1306</v>
      </c>
      <c r="AI613" t="str">
        <f t="shared" si="115"/>
        <v>n</v>
      </c>
      <c r="BI613" s="40"/>
      <c r="BL613" s="40"/>
      <c r="BN613" s="19"/>
      <c r="BP613" s="17"/>
    </row>
    <row r="614" spans="1:68" x14ac:dyDescent="0.2">
      <c r="A614">
        <f t="shared" si="110"/>
        <v>1</v>
      </c>
      <c r="E614" s="4"/>
      <c r="F614" s="46"/>
      <c r="G614" s="4"/>
      <c r="H614" s="48"/>
      <c r="I614" s="26">
        <v>91</v>
      </c>
      <c r="J614" s="26" t="s">
        <v>734</v>
      </c>
      <c r="K614" t="s">
        <v>7</v>
      </c>
      <c r="L614" t="s">
        <v>172</v>
      </c>
      <c r="M614" t="s">
        <v>67</v>
      </c>
      <c r="N614" t="str">
        <f t="shared" si="118"/>
        <v>s</v>
      </c>
      <c r="Q614" t="str">
        <f t="shared" si="117"/>
        <v/>
      </c>
      <c r="R614" s="26">
        <v>1</v>
      </c>
      <c r="S614">
        <f>IF(A614=1,MAX($S$2:$S613)+1,IF(OR($I614&lt;&gt;"",A614="x"),$S613,""))</f>
        <v>307</v>
      </c>
      <c r="T614" t="str">
        <f>IF(D614=1,MAX($T$2:$T613)+1,IF(S614=S613,$T613,IF(D614="x",T613,IF(D613="x","",""))))</f>
        <v/>
      </c>
      <c r="U614" t="str">
        <f>IF(B614=1,MAX($U$2:$U613)+1,IF(AND($T614&lt;&gt;"",$T614=$T613),$U613,IF(B614="x",U613,"")))</f>
        <v/>
      </c>
      <c r="V614" t="str">
        <f>IF(C614=1,MAX($V$2:$V613)+1,IF(AND($T614&lt;&gt;"",$T614=$T613),$U613,IF(C614="x",V613,"")))</f>
        <v/>
      </c>
      <c r="X614" cm="1">
        <f t="array" ref="X614">IF($I614&lt;&gt;"",$I614,INDEX($I$1:$I614,ROW()-COUNTIFS($T$1:$T614,"="&amp;$T614,$S$1:$S614,"&lt;"&amp;$S614)))</f>
        <v>91</v>
      </c>
      <c r="Z614" s="6">
        <f t="shared" si="111"/>
        <v>1</v>
      </c>
      <c r="AA614">
        <f t="shared" si="112"/>
        <v>1307</v>
      </c>
      <c r="AB614" t="str">
        <f t="shared" si="113"/>
        <v/>
      </c>
      <c r="AC614">
        <f t="shared" si="114"/>
        <v>1307</v>
      </c>
      <c r="AI614" t="str">
        <f t="shared" si="115"/>
        <v>n</v>
      </c>
      <c r="BI614" s="40"/>
      <c r="BL614" s="40"/>
      <c r="BN614" s="19"/>
      <c r="BP614" s="17"/>
    </row>
    <row r="615" spans="1:68" x14ac:dyDescent="0.2">
      <c r="A615" t="str">
        <f t="shared" si="110"/>
        <v/>
      </c>
      <c r="E615" s="4"/>
      <c r="F615" s="46"/>
      <c r="G615" s="4"/>
      <c r="H615" s="48"/>
      <c r="I615" s="26">
        <v>70</v>
      </c>
      <c r="J615" s="26" t="str">
        <f t="shared" si="116"/>
        <v/>
      </c>
      <c r="N615" t="str">
        <f t="shared" si="118"/>
        <v/>
      </c>
      <c r="Q615" t="str">
        <f t="shared" si="117"/>
        <v/>
      </c>
      <c r="S615">
        <f>IF(A615=1,MAX($S$2:$S614)+1,IF(OR($I615&lt;&gt;"",A615="x"),$S614,""))</f>
        <v>307</v>
      </c>
      <c r="T615" t="str">
        <f>IF(D615=1,MAX($T$2:$T614)+1,IF(S615=S614,$T614,IF(D615="x",T614,IF(D614="x","",""))))</f>
        <v/>
      </c>
      <c r="U615" t="str">
        <f>IF(B615=1,MAX($U$2:$U614)+1,IF(AND($T615&lt;&gt;"",$T615=$T614),$U614,IF(B615="x",U614,"")))</f>
        <v/>
      </c>
      <c r="V615" t="str">
        <f>IF(C615=1,MAX($V$2:$V614)+1,IF(AND($T615&lt;&gt;"",$T615=$T614),$U614,IF(C615="x",V614,"")))</f>
        <v/>
      </c>
      <c r="X615" cm="1">
        <f t="array" ref="X615">IF($I615&lt;&gt;"",$I615,INDEX($I$1:$I615,ROW()-COUNTIFS($T$1:$T615,"="&amp;$T615,$S$1:$S615,"&lt;"&amp;$S615)))</f>
        <v>70</v>
      </c>
      <c r="Z615" s="6">
        <f t="shared" si="111"/>
        <v>1</v>
      </c>
      <c r="AA615">
        <f t="shared" si="112"/>
        <v>1307</v>
      </c>
      <c r="AB615" t="str">
        <f t="shared" si="113"/>
        <v/>
      </c>
      <c r="AC615">
        <f t="shared" si="114"/>
        <v>1307</v>
      </c>
      <c r="AI615" t="str">
        <f t="shared" si="115"/>
        <v>n</v>
      </c>
      <c r="BI615" s="40"/>
      <c r="BL615" s="40"/>
      <c r="BN615" s="19"/>
      <c r="BP615" s="17"/>
    </row>
    <row r="616" spans="1:68" x14ac:dyDescent="0.2">
      <c r="A616" t="str">
        <f t="shared" si="110"/>
        <v/>
      </c>
      <c r="E616" s="4"/>
      <c r="F616" s="46"/>
      <c r="G616" s="4"/>
      <c r="H616" s="48"/>
      <c r="I616" s="26">
        <v>69</v>
      </c>
      <c r="J616" s="26" t="str">
        <f t="shared" si="116"/>
        <v/>
      </c>
      <c r="N616" t="str">
        <f t="shared" si="118"/>
        <v/>
      </c>
      <c r="Q616" t="str">
        <f t="shared" si="117"/>
        <v/>
      </c>
      <c r="R616" s="26">
        <v>1</v>
      </c>
      <c r="S616">
        <f>IF(A616=1,MAX($S$2:$S615)+1,IF(OR($I616&lt;&gt;"",A616="x"),$S615,""))</f>
        <v>307</v>
      </c>
      <c r="T616" t="str">
        <f>IF(D616=1,MAX($T$2:$T615)+1,IF(S616=S615,$T615,IF(D616="x",T615,IF(D615="x","",""))))</f>
        <v/>
      </c>
      <c r="U616" t="str">
        <f>IF(B616=1,MAX($U$2:$U615)+1,IF(AND($T616&lt;&gt;"",$T616=$T615),$U615,IF(B616="x",U615,"")))</f>
        <v/>
      </c>
      <c r="V616" t="str">
        <f>IF(C616=1,MAX($V$2:$V615)+1,IF(AND($T616&lt;&gt;"",$T616=$T615),$U615,IF(C616="x",V615,"")))</f>
        <v/>
      </c>
      <c r="X616" cm="1">
        <f t="array" ref="X616">IF($I616&lt;&gt;"",$I616,INDEX($I$1:$I616,ROW()-COUNTIFS($T$1:$T616,"="&amp;$T616,$S$1:$S616,"&lt;"&amp;$S616)))</f>
        <v>69</v>
      </c>
      <c r="Z616" s="6">
        <f t="shared" si="111"/>
        <v>1</v>
      </c>
      <c r="AA616">
        <f t="shared" si="112"/>
        <v>1307</v>
      </c>
      <c r="AB616" t="str">
        <f t="shared" si="113"/>
        <v/>
      </c>
      <c r="AC616">
        <f t="shared" si="114"/>
        <v>1307</v>
      </c>
      <c r="AI616" t="str">
        <f t="shared" si="115"/>
        <v>n</v>
      </c>
      <c r="BI616" s="40"/>
      <c r="BL616" s="40"/>
      <c r="BN616" s="19"/>
      <c r="BP616" s="17"/>
    </row>
    <row r="617" spans="1:68" x14ac:dyDescent="0.2">
      <c r="A617">
        <f t="shared" si="110"/>
        <v>1</v>
      </c>
      <c r="E617" s="4"/>
      <c r="F617" s="46" t="s">
        <v>747</v>
      </c>
      <c r="G617" s="4"/>
      <c r="H617" s="48" t="s">
        <v>1051</v>
      </c>
      <c r="I617" s="26">
        <v>70</v>
      </c>
      <c r="J617" s="26" t="str">
        <f t="shared" si="116"/>
        <v>o</v>
      </c>
      <c r="K617" t="s">
        <v>238</v>
      </c>
      <c r="L617" t="s">
        <v>174</v>
      </c>
      <c r="M617" t="s">
        <v>85</v>
      </c>
      <c r="N617" t="str">
        <f t="shared" si="118"/>
        <v>s</v>
      </c>
      <c r="O617" t="s">
        <v>149</v>
      </c>
      <c r="Q617" t="str">
        <f t="shared" si="117"/>
        <v>s</v>
      </c>
      <c r="S617">
        <f>IF(A617=1,MAX($S$2:$S616)+1,IF(OR($I617&lt;&gt;"",A617="x"),$S616,""))</f>
        <v>308</v>
      </c>
      <c r="T617" t="str">
        <f>IF(D617=1,MAX($T$2:$T616)+1,IF(S617=S616,$T616,IF(D617="x",T616,IF(D616="x","",""))))</f>
        <v/>
      </c>
      <c r="U617" t="str">
        <f>IF(B617=1,MAX($U$2:$U616)+1,IF(AND($T617&lt;&gt;"",$T617=$T616),$U616,IF(B617="x",U616,"")))</f>
        <v/>
      </c>
      <c r="V617" t="str">
        <f>IF(C617=1,MAX($V$2:$V616)+1,IF(AND($T617&lt;&gt;"",$T617=$T616),$U616,IF(C617="x",V616,"")))</f>
        <v/>
      </c>
      <c r="X617" cm="1">
        <f t="array" ref="X617">IF($I617&lt;&gt;"",$I617,INDEX($I$1:$I617,ROW()-COUNTIFS($T$1:$T617,"="&amp;$T617,$S$1:$S617,"&lt;"&amp;$S617)))</f>
        <v>70</v>
      </c>
      <c r="Z617" s="6">
        <f t="shared" si="111"/>
        <v>1</v>
      </c>
      <c r="AA617">
        <f t="shared" si="112"/>
        <v>1308</v>
      </c>
      <c r="AB617" t="str">
        <f t="shared" si="113"/>
        <v/>
      </c>
      <c r="AC617">
        <f t="shared" si="114"/>
        <v>1308</v>
      </c>
      <c r="AI617" t="str">
        <f t="shared" si="115"/>
        <v>o</v>
      </c>
      <c r="BI617" s="40"/>
      <c r="BL617" s="40"/>
      <c r="BN617" s="19"/>
      <c r="BP617" s="17"/>
    </row>
    <row r="618" spans="1:68" x14ac:dyDescent="0.2">
      <c r="A618" t="str">
        <f t="shared" si="110"/>
        <v/>
      </c>
      <c r="E618" s="4"/>
      <c r="F618" s="46"/>
      <c r="G618" s="4"/>
      <c r="H618" s="48"/>
      <c r="I618" s="26">
        <v>41</v>
      </c>
      <c r="J618" s="26" t="str">
        <f t="shared" si="116"/>
        <v/>
      </c>
      <c r="N618" t="str">
        <f t="shared" si="118"/>
        <v/>
      </c>
      <c r="Q618" t="str">
        <f t="shared" si="117"/>
        <v/>
      </c>
      <c r="S618">
        <f>IF(A618=1,MAX($S$2:$S617)+1,IF(OR($I618&lt;&gt;"",A618="x"),$S617,""))</f>
        <v>308</v>
      </c>
      <c r="T618" t="str">
        <f>IF(D618=1,MAX($T$2:$T617)+1,IF(S618=S617,$T617,IF(D618="x",T617,IF(D617="x","",""))))</f>
        <v/>
      </c>
      <c r="U618" t="str">
        <f>IF(B618=1,MAX($U$2:$U617)+1,IF(AND($T618&lt;&gt;"",$T618=$T617),$U617,IF(B618="x",U617,"")))</f>
        <v/>
      </c>
      <c r="V618" t="str">
        <f>IF(C618=1,MAX($V$2:$V617)+1,IF(AND($T618&lt;&gt;"",$T618=$T617),$U617,IF(C618="x",V617,"")))</f>
        <v/>
      </c>
      <c r="X618" cm="1">
        <f t="array" ref="X618">IF($I618&lt;&gt;"",$I618,INDEX($I$1:$I618,ROW()-COUNTIFS($T$1:$T618,"="&amp;$T618,$S$1:$S618,"&lt;"&amp;$S618)))</f>
        <v>41</v>
      </c>
      <c r="Z618" s="6">
        <f t="shared" si="111"/>
        <v>1</v>
      </c>
      <c r="AA618">
        <f t="shared" si="112"/>
        <v>1308</v>
      </c>
      <c r="AB618" t="str">
        <f t="shared" si="113"/>
        <v/>
      </c>
      <c r="AC618">
        <f t="shared" si="114"/>
        <v>1308</v>
      </c>
      <c r="AI618" t="str">
        <f t="shared" si="115"/>
        <v>o</v>
      </c>
      <c r="BI618" s="40"/>
      <c r="BL618" s="40"/>
      <c r="BN618" s="19"/>
      <c r="BP618" s="17"/>
    </row>
    <row r="619" spans="1:68" x14ac:dyDescent="0.2">
      <c r="A619">
        <f t="shared" si="110"/>
        <v>1</v>
      </c>
      <c r="E619" s="4"/>
      <c r="F619" s="46"/>
      <c r="G619" s="4"/>
      <c r="H619" s="48"/>
      <c r="I619" s="26">
        <v>70</v>
      </c>
      <c r="J619" s="26" t="str">
        <f t="shared" si="116"/>
        <v>o</v>
      </c>
      <c r="K619" t="s">
        <v>6</v>
      </c>
      <c r="L619" t="s">
        <v>181</v>
      </c>
      <c r="M619" t="s">
        <v>51</v>
      </c>
      <c r="N619" t="str">
        <f t="shared" si="118"/>
        <v>u</v>
      </c>
      <c r="Q619" t="str">
        <f t="shared" si="117"/>
        <v/>
      </c>
      <c r="R619" s="26">
        <v>1</v>
      </c>
      <c r="S619">
        <f>IF(A619=1,MAX($S$2:$S618)+1,IF(OR($I619&lt;&gt;"",A619="x"),$S618,""))</f>
        <v>309</v>
      </c>
      <c r="T619" t="str">
        <f>IF(D619=1,MAX($T$2:$T618)+1,IF(S619=S618,$T618,IF(D619="x",T618,IF(D618="x","",""))))</f>
        <v/>
      </c>
      <c r="U619" t="str">
        <f>IF(B619=1,MAX($U$2:$U618)+1,IF(AND($T619&lt;&gt;"",$T619=$T618),$U618,IF(B619="x",U618,"")))</f>
        <v/>
      </c>
      <c r="V619" t="str">
        <f>IF(C619=1,MAX($V$2:$V618)+1,IF(AND($T619&lt;&gt;"",$T619=$T618),$U618,IF(C619="x",V618,"")))</f>
        <v/>
      </c>
      <c r="X619" cm="1">
        <f t="array" ref="X619">IF($I619&lt;&gt;"",$I619,INDEX($I$1:$I619,ROW()-COUNTIFS($T$1:$T619,"="&amp;$T619,$S$1:$S619,"&lt;"&amp;$S619)))</f>
        <v>70</v>
      </c>
      <c r="Z619" s="6">
        <f t="shared" si="111"/>
        <v>1</v>
      </c>
      <c r="AA619">
        <f t="shared" si="112"/>
        <v>1309</v>
      </c>
      <c r="AB619" t="str">
        <f t="shared" si="113"/>
        <v/>
      </c>
      <c r="AC619">
        <f t="shared" si="114"/>
        <v>1309</v>
      </c>
      <c r="AI619" t="str">
        <f t="shared" si="115"/>
        <v>o</v>
      </c>
      <c r="BI619" s="40"/>
      <c r="BL619" s="40"/>
      <c r="BN619" s="19"/>
      <c r="BP619" s="17"/>
    </row>
    <row r="620" spans="1:68" x14ac:dyDescent="0.2">
      <c r="A620" t="str">
        <f t="shared" si="110"/>
        <v/>
      </c>
      <c r="E620" s="4"/>
      <c r="F620" s="46"/>
      <c r="G620" s="4"/>
      <c r="H620" s="48"/>
      <c r="I620" s="26">
        <v>41</v>
      </c>
      <c r="J620" s="26" t="str">
        <f t="shared" si="116"/>
        <v/>
      </c>
      <c r="N620" t="str">
        <f t="shared" si="118"/>
        <v/>
      </c>
      <c r="O620" t="s">
        <v>566</v>
      </c>
      <c r="P620" t="s">
        <v>567</v>
      </c>
      <c r="Q620" t="str">
        <f t="shared" si="117"/>
        <v/>
      </c>
      <c r="R620" s="26">
        <v>1</v>
      </c>
      <c r="S620">
        <f>IF(A620=1,MAX($S$2:$S619)+1,IF(OR($I620&lt;&gt;"",A620="x"),$S619,""))</f>
        <v>309</v>
      </c>
      <c r="T620" t="str">
        <f>IF(D620=1,MAX($T$2:$T619)+1,IF(S620=S619,$T619,IF(D620="x",T619,IF(D619="x","",""))))</f>
        <v/>
      </c>
      <c r="U620" t="str">
        <f>IF(B620=1,MAX($U$2:$U619)+1,IF(AND($T620&lt;&gt;"",$T620=$T619),$U619,IF(B620="x",U619,"")))</f>
        <v/>
      </c>
      <c r="V620" t="str">
        <f>IF(C620=1,MAX($V$2:$V619)+1,IF(AND($T620&lt;&gt;"",$T620=$T619),$U619,IF(C620="x",V619,"")))</f>
        <v/>
      </c>
      <c r="X620" cm="1">
        <f t="array" ref="X620">IF($I620&lt;&gt;"",$I620,INDEX($I$1:$I620,ROW()-COUNTIFS($T$1:$T620,"="&amp;$T620,$S$1:$S620,"&lt;"&amp;$S620)))</f>
        <v>41</v>
      </c>
      <c r="Z620" s="6">
        <f t="shared" si="111"/>
        <v>1</v>
      </c>
      <c r="AA620">
        <f t="shared" si="112"/>
        <v>1309</v>
      </c>
      <c r="AB620" t="str">
        <f t="shared" si="113"/>
        <v/>
      </c>
      <c r="AC620">
        <f t="shared" si="114"/>
        <v>1309</v>
      </c>
      <c r="AI620" t="str">
        <f t="shared" si="115"/>
        <v>o</v>
      </c>
      <c r="BI620" s="40"/>
      <c r="BL620" s="40"/>
      <c r="BN620" s="19"/>
      <c r="BP620" s="17"/>
    </row>
    <row r="621" spans="1:68" x14ac:dyDescent="0.2">
      <c r="A621">
        <f t="shared" si="110"/>
        <v>1</v>
      </c>
      <c r="E621" s="4"/>
      <c r="F621" s="46" t="s">
        <v>748</v>
      </c>
      <c r="G621" s="4"/>
      <c r="H621" s="48"/>
      <c r="I621" s="26">
        <v>24</v>
      </c>
      <c r="J621" s="26" t="s">
        <v>368</v>
      </c>
      <c r="K621" t="s">
        <v>13</v>
      </c>
      <c r="L621" t="s">
        <v>587</v>
      </c>
      <c r="N621" t="s">
        <v>595</v>
      </c>
      <c r="O621" t="s">
        <v>909</v>
      </c>
      <c r="Q621" t="str">
        <f t="shared" si="117"/>
        <v>s</v>
      </c>
      <c r="R621" s="26">
        <v>1</v>
      </c>
      <c r="S621">
        <f>IF(A621=1,MAX($S$2:$S620)+1,IF(OR($I621&lt;&gt;"",A621="x"),$S620,""))</f>
        <v>310</v>
      </c>
      <c r="T621" t="str">
        <f>IF(D621=1,MAX($T$2:$T620)+1,IF(S621=S620,$T620,IF(D621="x",T620,IF(D620="x","",""))))</f>
        <v/>
      </c>
      <c r="U621" t="str">
        <f>IF(B621=1,MAX($U$2:$U620)+1,IF(AND($T621&lt;&gt;"",$T621=$T620),$U620,IF(B621="x",U620,"")))</f>
        <v/>
      </c>
      <c r="V621" t="str">
        <f>IF(C621=1,MAX($V$2:$V620)+1,IF(AND($T621&lt;&gt;"",$T621=$T620),$U620,IF(C621="x",V620,"")))</f>
        <v/>
      </c>
      <c r="X621" cm="1">
        <f t="array" ref="X621">IF($I621&lt;&gt;"",$I621,INDEX($I$1:$I621,ROW()-COUNTIFS($T$1:$T621,"="&amp;$T621,$S$1:$S621,"&lt;"&amp;$S621)))</f>
        <v>24</v>
      </c>
      <c r="Z621" s="6">
        <f t="shared" si="111"/>
        <v>1</v>
      </c>
      <c r="AA621">
        <f t="shared" si="112"/>
        <v>1310</v>
      </c>
      <c r="AB621" t="str">
        <f t="shared" si="113"/>
        <v/>
      </c>
      <c r="AC621">
        <f t="shared" si="114"/>
        <v>1310</v>
      </c>
      <c r="AI621" t="str">
        <f t="shared" si="115"/>
        <v>o</v>
      </c>
      <c r="BI621" s="40"/>
      <c r="BL621" s="40"/>
      <c r="BN621" s="19"/>
      <c r="BP621" s="17"/>
    </row>
    <row r="622" spans="1:68" x14ac:dyDescent="0.2">
      <c r="A622" t="str">
        <f t="shared" si="110"/>
        <v/>
      </c>
      <c r="E622" s="4"/>
      <c r="F622" s="46"/>
      <c r="G622" s="4"/>
      <c r="H622" s="48"/>
      <c r="I622" s="26">
        <v>19</v>
      </c>
      <c r="J622" s="26" t="str">
        <f t="shared" si="116"/>
        <v/>
      </c>
      <c r="N622" t="str">
        <f t="shared" si="118"/>
        <v/>
      </c>
      <c r="Q622" t="str">
        <f t="shared" si="117"/>
        <v/>
      </c>
      <c r="R622" s="26">
        <v>1</v>
      </c>
      <c r="S622">
        <f>IF(A622=1,MAX($S$2:$S621)+1,IF(OR($I622&lt;&gt;"",A622="x"),$S621,""))</f>
        <v>310</v>
      </c>
      <c r="T622" t="str">
        <f>IF(D622=1,MAX($T$2:$T621)+1,IF(S622=S621,$T621,IF(D622="x",T621,IF(D621="x","",""))))</f>
        <v/>
      </c>
      <c r="U622" t="str">
        <f>IF(B622=1,MAX($U$2:$U621)+1,IF(AND($T622&lt;&gt;"",$T622=$T621),$U621,IF(B622="x",U621,"")))</f>
        <v/>
      </c>
      <c r="V622" t="str">
        <f>IF(C622=1,MAX($V$2:$V621)+1,IF(AND($T622&lt;&gt;"",$T622=$T621),$U621,IF(C622="x",V621,"")))</f>
        <v/>
      </c>
      <c r="X622" cm="1">
        <f t="array" ref="X622">IF($I622&lt;&gt;"",$I622,INDEX($I$1:$I622,ROW()-COUNTIFS($T$1:$T622,"="&amp;$T622,$S$1:$S622,"&lt;"&amp;$S622)))</f>
        <v>19</v>
      </c>
      <c r="Z622" s="6">
        <f t="shared" si="111"/>
        <v>1</v>
      </c>
      <c r="AA622">
        <f t="shared" si="112"/>
        <v>1310</v>
      </c>
      <c r="AB622" t="str">
        <f t="shared" si="113"/>
        <v/>
      </c>
      <c r="AC622">
        <f t="shared" si="114"/>
        <v>1310</v>
      </c>
      <c r="AI622" t="str">
        <f t="shared" si="115"/>
        <v>o</v>
      </c>
      <c r="BI622" s="40"/>
      <c r="BL622" s="40"/>
      <c r="BN622" s="19"/>
      <c r="BP622" s="17"/>
    </row>
    <row r="623" spans="1:68" x14ac:dyDescent="0.2">
      <c r="A623">
        <f t="shared" si="110"/>
        <v>1</v>
      </c>
      <c r="E623" s="4"/>
      <c r="F623" s="46"/>
      <c r="G623" s="4"/>
      <c r="H623" s="48"/>
      <c r="I623" s="26">
        <v>24</v>
      </c>
      <c r="J623" s="26" t="s">
        <v>368</v>
      </c>
      <c r="K623" t="s">
        <v>7</v>
      </c>
      <c r="L623" t="s">
        <v>172</v>
      </c>
      <c r="M623" t="s">
        <v>69</v>
      </c>
      <c r="N623" t="str">
        <f t="shared" si="118"/>
        <v>s</v>
      </c>
      <c r="O623" t="s">
        <v>576</v>
      </c>
      <c r="Q623" t="str">
        <f t="shared" si="117"/>
        <v>s</v>
      </c>
      <c r="R623" s="26">
        <v>1</v>
      </c>
      <c r="S623">
        <f>IF(A623=1,MAX($S$2:$S622)+1,IF(OR($I623&lt;&gt;"",A623="x"),$S622,""))</f>
        <v>311</v>
      </c>
      <c r="T623" t="str">
        <f>IF(D623=1,MAX($T$2:$T622)+1,IF(S623=S622,$T622,IF(D623="x",T622,IF(D622="x","",""))))</f>
        <v/>
      </c>
      <c r="U623" t="str">
        <f>IF(B623=1,MAX($U$2:$U622)+1,IF(AND($T623&lt;&gt;"",$T623=$T622),$U622,IF(B623="x",U622,"")))</f>
        <v/>
      </c>
      <c r="V623" t="str">
        <f>IF(C623=1,MAX($V$2:$V622)+1,IF(AND($T623&lt;&gt;"",$T623=$T622),$U622,IF(C623="x",V622,"")))</f>
        <v/>
      </c>
      <c r="X623" cm="1">
        <f t="array" ref="X623">IF($I623&lt;&gt;"",$I623,INDEX($I$1:$I623,ROW()-COUNTIFS($T$1:$T623,"="&amp;$T623,$S$1:$S623,"&lt;"&amp;$S623)))</f>
        <v>24</v>
      </c>
      <c r="Z623" s="6">
        <f t="shared" si="111"/>
        <v>1</v>
      </c>
      <c r="AA623">
        <f t="shared" si="112"/>
        <v>1311</v>
      </c>
      <c r="AB623" t="str">
        <f t="shared" si="113"/>
        <v/>
      </c>
      <c r="AC623">
        <f t="shared" si="114"/>
        <v>1311</v>
      </c>
      <c r="AI623" t="str">
        <f t="shared" si="115"/>
        <v>o</v>
      </c>
      <c r="BI623" s="40"/>
      <c r="BL623" s="40"/>
      <c r="BN623" s="19"/>
      <c r="BP623" s="17"/>
    </row>
    <row r="624" spans="1:68" x14ac:dyDescent="0.2">
      <c r="A624" t="str">
        <f t="shared" si="110"/>
        <v/>
      </c>
      <c r="E624" s="4"/>
      <c r="F624" s="46"/>
      <c r="G624" s="4"/>
      <c r="H624" s="48"/>
      <c r="I624" s="26">
        <v>91</v>
      </c>
      <c r="J624" s="26" t="str">
        <f t="shared" si="116"/>
        <v/>
      </c>
      <c r="N624" t="str">
        <f t="shared" si="118"/>
        <v/>
      </c>
      <c r="Q624" t="str">
        <f t="shared" si="117"/>
        <v/>
      </c>
      <c r="S624">
        <f>IF(A624=1,MAX($S$2:$S623)+1,IF(OR($I624&lt;&gt;"",A624="x"),$S623,""))</f>
        <v>311</v>
      </c>
      <c r="T624" t="str">
        <f>IF(D624=1,MAX($T$2:$T623)+1,IF(S624=S623,$T623,IF(D624="x",T623,IF(D623="x","",""))))</f>
        <v/>
      </c>
      <c r="U624" t="str">
        <f>IF(B624=1,MAX($U$2:$U623)+1,IF(AND($T624&lt;&gt;"",$T624=$T623),$U623,IF(B624="x",U623,"")))</f>
        <v/>
      </c>
      <c r="V624" t="str">
        <f>IF(C624=1,MAX($V$2:$V623)+1,IF(AND($T624&lt;&gt;"",$T624=$T623),$U623,IF(C624="x",V623,"")))</f>
        <v/>
      </c>
      <c r="X624" cm="1">
        <f t="array" ref="X624">IF($I624&lt;&gt;"",$I624,INDEX($I$1:$I624,ROW()-COUNTIFS($T$1:$T624,"="&amp;$T624,$S$1:$S624,"&lt;"&amp;$S624)))</f>
        <v>91</v>
      </c>
      <c r="Z624" s="6">
        <f t="shared" si="111"/>
        <v>1</v>
      </c>
      <c r="AA624">
        <f t="shared" si="112"/>
        <v>1311</v>
      </c>
      <c r="AB624" t="str">
        <f t="shared" si="113"/>
        <v/>
      </c>
      <c r="AC624">
        <f t="shared" si="114"/>
        <v>1311</v>
      </c>
      <c r="AI624" t="str">
        <f t="shared" si="115"/>
        <v>o</v>
      </c>
      <c r="BI624" s="40"/>
      <c r="BL624" s="40"/>
      <c r="BN624" s="19"/>
      <c r="BP624" s="17"/>
    </row>
    <row r="625" spans="1:68" x14ac:dyDescent="0.2">
      <c r="A625" t="str">
        <f t="shared" si="110"/>
        <v/>
      </c>
      <c r="E625" s="4"/>
      <c r="F625" s="46"/>
      <c r="G625" s="4"/>
      <c r="H625" s="48"/>
      <c r="I625" s="26">
        <v>19</v>
      </c>
      <c r="J625" s="26" t="str">
        <f t="shared" si="116"/>
        <v/>
      </c>
      <c r="N625" t="str">
        <f t="shared" si="118"/>
        <v/>
      </c>
      <c r="Q625" t="str">
        <f t="shared" si="117"/>
        <v/>
      </c>
      <c r="R625" s="26">
        <v>1</v>
      </c>
      <c r="S625">
        <f>IF(A625=1,MAX($S$2:$S624)+1,IF(OR($I625&lt;&gt;"",A625="x"),$S624,""))</f>
        <v>311</v>
      </c>
      <c r="T625" t="str">
        <f>IF(D625=1,MAX($T$2:$T624)+1,IF(S625=S624,$T624,IF(D625="x",T624,IF(D624="x","",""))))</f>
        <v/>
      </c>
      <c r="U625" t="str">
        <f>IF(B625=1,MAX($U$2:$U624)+1,IF(AND($T625&lt;&gt;"",$T625=$T624),$U624,IF(B625="x",U624,"")))</f>
        <v/>
      </c>
      <c r="V625" t="str">
        <f>IF(C625=1,MAX($V$2:$V624)+1,IF(AND($T625&lt;&gt;"",$T625=$T624),$U624,IF(C625="x",V624,"")))</f>
        <v/>
      </c>
      <c r="X625" cm="1">
        <f t="array" ref="X625">IF($I625&lt;&gt;"",$I625,INDEX($I$1:$I625,ROW()-COUNTIFS($T$1:$T625,"="&amp;$T625,$S$1:$S625,"&lt;"&amp;$S625)))</f>
        <v>19</v>
      </c>
      <c r="Z625" s="6">
        <f t="shared" si="111"/>
        <v>1</v>
      </c>
      <c r="AA625">
        <f t="shared" si="112"/>
        <v>1311</v>
      </c>
      <c r="AB625" t="str">
        <f t="shared" si="113"/>
        <v/>
      </c>
      <c r="AC625">
        <f t="shared" si="114"/>
        <v>1311</v>
      </c>
      <c r="AI625" t="str">
        <f t="shared" si="115"/>
        <v>o</v>
      </c>
      <c r="BI625" s="40"/>
      <c r="BL625" s="40"/>
      <c r="BN625" s="19"/>
      <c r="BP625" s="17"/>
    </row>
    <row r="626" spans="1:68" x14ac:dyDescent="0.2">
      <c r="A626">
        <f t="shared" si="110"/>
        <v>1</v>
      </c>
      <c r="E626" s="4" t="s">
        <v>1071</v>
      </c>
      <c r="F626" s="46" t="s">
        <v>1028</v>
      </c>
      <c r="G626" s="4" t="s">
        <v>1071</v>
      </c>
      <c r="H626" s="48" t="s">
        <v>1059</v>
      </c>
      <c r="I626" s="26">
        <v>91</v>
      </c>
      <c r="J626" s="26" t="s">
        <v>368</v>
      </c>
      <c r="K626" t="s">
        <v>13</v>
      </c>
      <c r="N626" t="str">
        <f t="shared" si="118"/>
        <v/>
      </c>
      <c r="Q626" t="str">
        <f t="shared" si="117"/>
        <v/>
      </c>
      <c r="R626" s="26">
        <v>1</v>
      </c>
      <c r="S626">
        <f>IF(A626=1,MAX($S$2:$S625)+1,IF(OR($I626&lt;&gt;"",A626="x"),$S625,""))</f>
        <v>312</v>
      </c>
      <c r="T626" t="str">
        <f>IF(D626=1,MAX($T$2:$T625)+1,IF(S626=S625,$T625,IF(D626="x",T625,IF(D625="x","",""))))</f>
        <v/>
      </c>
      <c r="U626" t="str">
        <f>IF(B626=1,MAX($U$2:$U625)+1,IF(AND($T626&lt;&gt;"",$T626=$T625),$U625,IF(B626="x",U625,"")))</f>
        <v/>
      </c>
      <c r="V626" t="str">
        <f>IF(C626=1,MAX($V$2:$V625)+1,IF(AND($T626&lt;&gt;"",$T626=$T625),$U625,IF(C626="x",V625,"")))</f>
        <v/>
      </c>
      <c r="X626" cm="1">
        <f t="array" ref="X626">IF($I626&lt;&gt;"",$I626,INDEX($I$1:$I626,ROW()-COUNTIFS($T$1:$T626,"="&amp;$T626,$S$1:$S626,"&lt;"&amp;$S626)))</f>
        <v>91</v>
      </c>
      <c r="Z626" s="6">
        <f t="shared" si="111"/>
        <v>1</v>
      </c>
      <c r="AA626">
        <f t="shared" si="112"/>
        <v>1312</v>
      </c>
      <c r="AB626" t="str">
        <f t="shared" si="113"/>
        <v/>
      </c>
      <c r="AC626">
        <f t="shared" si="114"/>
        <v>1312</v>
      </c>
      <c r="AI626" t="str">
        <f t="shared" si="115"/>
        <v>o</v>
      </c>
      <c r="BI626" s="40"/>
      <c r="BL626" s="40"/>
      <c r="BN626" s="19"/>
      <c r="BP626" s="17"/>
    </row>
    <row r="627" spans="1:68" x14ac:dyDescent="0.2">
      <c r="A627" t="str">
        <f t="shared" si="110"/>
        <v/>
      </c>
      <c r="E627" s="4"/>
      <c r="F627" s="46"/>
      <c r="G627" s="4"/>
      <c r="H627" s="48"/>
      <c r="I627" s="26">
        <v>21</v>
      </c>
      <c r="J627" s="26" t="str">
        <f t="shared" si="116"/>
        <v/>
      </c>
      <c r="N627" t="str">
        <f t="shared" si="118"/>
        <v/>
      </c>
      <c r="O627" t="s">
        <v>563</v>
      </c>
      <c r="Q627" t="str">
        <f t="shared" si="117"/>
        <v/>
      </c>
      <c r="R627" s="26">
        <v>1</v>
      </c>
      <c r="S627">
        <f>IF(A627=1,MAX($S$2:$S626)+1,IF(OR($I627&lt;&gt;"",A627="x"),$S626,""))</f>
        <v>312</v>
      </c>
      <c r="T627" t="str">
        <f>IF(D627=1,MAX($T$2:$T626)+1,IF(S627=S626,$T626,IF(D627="x",T626,IF(D626="x","",""))))</f>
        <v/>
      </c>
      <c r="U627" t="str">
        <f>IF(B627=1,MAX($U$2:$U626)+1,IF(AND($T627&lt;&gt;"",$T627=$T626),$U626,IF(B627="x",U626,"")))</f>
        <v/>
      </c>
      <c r="V627" t="str">
        <f>IF(C627=1,MAX($V$2:$V626)+1,IF(AND($T627&lt;&gt;"",$T627=$T626),$U626,IF(C627="x",V626,"")))</f>
        <v/>
      </c>
      <c r="X627" cm="1">
        <f t="array" ref="X627">IF($I627&lt;&gt;"",$I627,INDEX($I$1:$I627,ROW()-COUNTIFS($T$1:$T627,"="&amp;$T627,$S$1:$S627,"&lt;"&amp;$S627)))</f>
        <v>21</v>
      </c>
      <c r="Z627" s="6">
        <f t="shared" si="111"/>
        <v>1</v>
      </c>
      <c r="AA627">
        <f t="shared" si="112"/>
        <v>1312</v>
      </c>
      <c r="AB627" t="str">
        <f t="shared" si="113"/>
        <v/>
      </c>
      <c r="AC627">
        <f t="shared" si="114"/>
        <v>1312</v>
      </c>
      <c r="AI627" t="str">
        <f t="shared" si="115"/>
        <v>o</v>
      </c>
      <c r="BI627" s="40"/>
      <c r="BL627" s="40"/>
      <c r="BN627" s="19"/>
      <c r="BP627" s="17"/>
    </row>
    <row r="628" spans="1:68" x14ac:dyDescent="0.2">
      <c r="A628">
        <f t="shared" si="110"/>
        <v>1</v>
      </c>
      <c r="E628" s="4"/>
      <c r="F628" s="46"/>
      <c r="G628" s="4"/>
      <c r="H628" s="48"/>
      <c r="I628" s="26">
        <v>91</v>
      </c>
      <c r="J628" s="26" t="s">
        <v>368</v>
      </c>
      <c r="K628" t="s">
        <v>7</v>
      </c>
      <c r="L628" t="s">
        <v>172</v>
      </c>
      <c r="M628" t="s">
        <v>68</v>
      </c>
      <c r="N628" t="str">
        <f t="shared" si="118"/>
        <v>s</v>
      </c>
      <c r="Q628" t="str">
        <f t="shared" si="117"/>
        <v/>
      </c>
      <c r="R628" s="26">
        <v>1</v>
      </c>
      <c r="S628">
        <f>IF(A628=1,MAX($S$2:$S627)+1,IF(OR($I628&lt;&gt;"",A628="x"),$S627,""))</f>
        <v>313</v>
      </c>
      <c r="T628" t="str">
        <f>IF(D628=1,MAX($T$2:$T627)+1,IF(S628=S627,$T627,IF(D628="x",T627,IF(D627="x","",""))))</f>
        <v/>
      </c>
      <c r="U628" t="str">
        <f>IF(B628=1,MAX($U$2:$U627)+1,IF(AND($T628&lt;&gt;"",$T628=$T627),$U627,IF(B628="x",U627,"")))</f>
        <v/>
      </c>
      <c r="V628" t="str">
        <f>IF(C628=1,MAX($V$2:$V627)+1,IF(AND($T628&lt;&gt;"",$T628=$T627),$U627,IF(C628="x",V627,"")))</f>
        <v/>
      </c>
      <c r="X628" cm="1">
        <f t="array" ref="X628">IF($I628&lt;&gt;"",$I628,INDEX($I$1:$I628,ROW()-COUNTIFS($T$1:$T628,"="&amp;$T628,$S$1:$S628,"&lt;"&amp;$S628)))</f>
        <v>91</v>
      </c>
      <c r="Z628" s="6">
        <f t="shared" si="111"/>
        <v>1</v>
      </c>
      <c r="AA628">
        <f t="shared" si="112"/>
        <v>1313</v>
      </c>
      <c r="AB628" t="str">
        <f t="shared" si="113"/>
        <v/>
      </c>
      <c r="AC628">
        <f t="shared" si="114"/>
        <v>1313</v>
      </c>
      <c r="AI628" t="str">
        <f t="shared" si="115"/>
        <v>o</v>
      </c>
      <c r="BI628" s="40"/>
      <c r="BL628" s="40"/>
      <c r="BN628" s="19"/>
      <c r="BP628" s="17"/>
    </row>
    <row r="629" spans="1:68" x14ac:dyDescent="0.2">
      <c r="A629" t="str">
        <f t="shared" si="110"/>
        <v/>
      </c>
      <c r="E629" s="4"/>
      <c r="F629" s="46"/>
      <c r="G629" s="4"/>
      <c r="H629" s="48"/>
      <c r="I629" s="26">
        <v>9</v>
      </c>
      <c r="J629" s="26" t="str">
        <f t="shared" si="116"/>
        <v/>
      </c>
      <c r="N629" t="str">
        <f t="shared" si="118"/>
        <v/>
      </c>
      <c r="Q629" t="str">
        <f t="shared" si="117"/>
        <v/>
      </c>
      <c r="S629">
        <f>IF(A629=1,MAX($S$2:$S628)+1,IF(OR($I629&lt;&gt;"",A629="x"),$S628,""))</f>
        <v>313</v>
      </c>
      <c r="T629" t="str">
        <f>IF(D629=1,MAX($T$2:$T628)+1,IF(S629=S628,$T628,IF(D629="x",T628,IF(D628="x","",""))))</f>
        <v/>
      </c>
      <c r="U629" t="str">
        <f>IF(B629=1,MAX($U$2:$U628)+1,IF(AND($T629&lt;&gt;"",$T629=$T628),$U628,IF(B629="x",U628,"")))</f>
        <v/>
      </c>
      <c r="V629" t="str">
        <f>IF(C629=1,MAX($V$2:$V628)+1,IF(AND($T629&lt;&gt;"",$T629=$T628),$U628,IF(C629="x",V628,"")))</f>
        <v/>
      </c>
      <c r="X629" cm="1">
        <f t="array" ref="X629">IF($I629&lt;&gt;"",$I629,INDEX($I$1:$I629,ROW()-COUNTIFS($T$1:$T629,"="&amp;$T629,$S$1:$S629,"&lt;"&amp;$S629)))</f>
        <v>9</v>
      </c>
      <c r="Z629" s="6">
        <f t="shared" si="111"/>
        <v>1</v>
      </c>
      <c r="AA629">
        <f t="shared" si="112"/>
        <v>1313</v>
      </c>
      <c r="AB629" t="str">
        <f t="shared" si="113"/>
        <v/>
      </c>
      <c r="AC629">
        <f t="shared" si="114"/>
        <v>1313</v>
      </c>
      <c r="AI629" t="str">
        <f t="shared" si="115"/>
        <v>o</v>
      </c>
      <c r="BI629" s="40"/>
      <c r="BL629" s="40"/>
      <c r="BN629" s="19"/>
      <c r="BP629" s="17"/>
    </row>
    <row r="630" spans="1:68" x14ac:dyDescent="0.2">
      <c r="A630" t="str">
        <f t="shared" si="110"/>
        <v/>
      </c>
      <c r="E630" s="4"/>
      <c r="F630" s="46"/>
      <c r="G630" s="4"/>
      <c r="H630" s="48"/>
      <c r="I630" s="26">
        <v>21</v>
      </c>
      <c r="J630" s="26" t="str">
        <f t="shared" si="116"/>
        <v/>
      </c>
      <c r="N630" t="str">
        <f t="shared" si="118"/>
        <v/>
      </c>
      <c r="O630" t="s">
        <v>567</v>
      </c>
      <c r="Q630" t="str">
        <f t="shared" si="117"/>
        <v/>
      </c>
      <c r="R630" s="26">
        <v>1</v>
      </c>
      <c r="S630">
        <f>IF(A630=1,MAX($S$2:$S629)+1,IF(OR($I630&lt;&gt;"",A630="x"),$S629,""))</f>
        <v>313</v>
      </c>
      <c r="T630" t="str">
        <f>IF(D630=1,MAX($T$2:$T629)+1,IF(S630=S629,$T629,IF(D630="x",T629,IF(D629="x","",""))))</f>
        <v/>
      </c>
      <c r="U630" t="str">
        <f>IF(B630=1,MAX($U$2:$U629)+1,IF(AND($T630&lt;&gt;"",$T630=$T629),$U629,IF(B630="x",U629,"")))</f>
        <v/>
      </c>
      <c r="V630" t="str">
        <f>IF(C630=1,MAX($V$2:$V629)+1,IF(AND($T630&lt;&gt;"",$T630=$T629),$U629,IF(C630="x",V629,"")))</f>
        <v/>
      </c>
      <c r="X630" cm="1">
        <f t="array" ref="X630">IF($I630&lt;&gt;"",$I630,INDEX($I$1:$I630,ROW()-COUNTIFS($T$1:$T630,"="&amp;$T630,$S$1:$S630,"&lt;"&amp;$S630)))</f>
        <v>21</v>
      </c>
      <c r="Z630" s="6">
        <f t="shared" si="111"/>
        <v>1</v>
      </c>
      <c r="AA630">
        <f t="shared" si="112"/>
        <v>1313</v>
      </c>
      <c r="AB630" t="str">
        <f t="shared" si="113"/>
        <v/>
      </c>
      <c r="AC630">
        <f t="shared" si="114"/>
        <v>1313</v>
      </c>
      <c r="AI630" t="str">
        <f t="shared" si="115"/>
        <v>o</v>
      </c>
      <c r="BI630" s="40"/>
      <c r="BL630" s="40"/>
      <c r="BN630" s="19"/>
      <c r="BP630" s="17"/>
    </row>
    <row r="631" spans="1:68" x14ac:dyDescent="0.2">
      <c r="A631">
        <f t="shared" si="110"/>
        <v>1</v>
      </c>
      <c r="E631" s="4"/>
      <c r="F631" s="46" t="s">
        <v>1053</v>
      </c>
      <c r="G631" s="4"/>
      <c r="H631" s="48" t="s">
        <v>1060</v>
      </c>
      <c r="I631" s="26">
        <v>9</v>
      </c>
      <c r="J631" s="26" t="s">
        <v>368</v>
      </c>
      <c r="K631" t="s">
        <v>13</v>
      </c>
      <c r="N631" t="str">
        <f>IF(K631="","",IF(K631="Goal","s",IF(AND(K631="Zone_Entry_Exit",OR(ISNUMBER(SEARCH("fail",L631)),ISNUMBER(SEARCH("FromExitClear",M631)),ISNUMBER(SEARCH("miss",M631)))),"u",IF(AND(K631="Zone_Entry_Exit",OR(NOT(ISNUMBER(SEARCH("fail",L631))),NOT(ISNUMBER(SEARCH("FromExitClear",M631))),NOT(ISNUMBER(SEARCH("miss",M631))))),"s",IF(AND(OR(K631="Shot",K631="Pass"),OR(ISNUMBER(SEARCH("complete",L631)),ISNUMBER(SEARCH("goal",L631)),ISNUMBER(SEARCH("OnNet",L631)))),"s",IF(L631="Turnover_Giveaway","u",IF(AND(OR(K631="Shot",K631="Pass"),OR(ISNUMBER(SEARCH("fail",L631)),NOT(ISNUMBER(SEARCH("complete",L631))),NOT(ISNUMBER(SEARCH("OnNet",L631))))),"u","")))))))</f>
        <v/>
      </c>
      <c r="Q631" t="str">
        <f t="shared" si="117"/>
        <v/>
      </c>
      <c r="S631">
        <f>IF(A631=1,MAX($S$2:$S630)+1,IF(OR($I631&lt;&gt;"",A631="x"),$S630,""))</f>
        <v>314</v>
      </c>
      <c r="T631" t="str">
        <f>IF(D631=1,MAX($T$2:$T630)+1,IF(S631=S630,$T630,IF(D631="x",T630,IF(D630="x","",""))))</f>
        <v/>
      </c>
      <c r="U631" t="str">
        <f>IF(B631=1,MAX($U$2:$U630)+1,IF(AND($T631&lt;&gt;"",$T631=$T630),$U630,IF(B631="x",U630,"")))</f>
        <v/>
      </c>
      <c r="V631" t="str">
        <f>IF(C631=1,MAX($V$2:$V630)+1,IF(AND($T631&lt;&gt;"",$T631=$T630),$U630,IF(C631="x",V630,"")))</f>
        <v/>
      </c>
      <c r="X631" cm="1">
        <f t="array" ref="X631">IF($I631&lt;&gt;"",$I631,INDEX($I$1:$I631,ROW()-COUNTIFS($T$1:$T631,"="&amp;$T631,$S$1:$S631,"&lt;"&amp;$S631)))</f>
        <v>9</v>
      </c>
      <c r="Z631" s="6">
        <f t="shared" si="111"/>
        <v>1</v>
      </c>
      <c r="AA631">
        <f t="shared" si="112"/>
        <v>1314</v>
      </c>
      <c r="AB631" t="str">
        <f t="shared" si="113"/>
        <v/>
      </c>
      <c r="AC631">
        <f t="shared" si="114"/>
        <v>1314</v>
      </c>
      <c r="AI631" t="str">
        <f t="shared" si="115"/>
        <v>o</v>
      </c>
      <c r="BI631" s="40"/>
      <c r="BL631" s="40"/>
      <c r="BN631" s="19"/>
      <c r="BP631" s="17"/>
    </row>
    <row r="632" spans="1:68" x14ac:dyDescent="0.2">
      <c r="A632">
        <f t="shared" si="110"/>
        <v>1</v>
      </c>
      <c r="D632" s="26">
        <v>1</v>
      </c>
      <c r="E632" s="4"/>
      <c r="F632" s="46"/>
      <c r="G632" s="4"/>
      <c r="H632" s="48"/>
      <c r="I632" s="26">
        <v>9</v>
      </c>
      <c r="J632" s="26" t="s">
        <v>368</v>
      </c>
      <c r="K632" t="s">
        <v>7</v>
      </c>
      <c r="L632" t="s">
        <v>182</v>
      </c>
      <c r="M632" t="s">
        <v>445</v>
      </c>
      <c r="N632" t="str">
        <f>IF(K632="","",IF(K632="Goal","s",IF(AND(K632="Zone_Entry_Exit",OR(ISNUMBER(SEARCH("fail",L632)),ISNUMBER(SEARCH("FromExitClear",M632)),ISNUMBER(SEARCH("miss",M632)))),"u",IF(AND(K632="Zone_Entry_Exit",OR(NOT(ISNUMBER(SEARCH("fail",L632))),NOT(ISNUMBER(SEARCH("FromExitClear",M632))),NOT(ISNUMBER(SEARCH("miss",M632))))),"s",IF(AND(OR(K632="Shot",K632="Pass"),OR(ISNUMBER(SEARCH("complete",L632)),ISNUMBER(SEARCH("goal",L632)),ISNUMBER(SEARCH("OnNet",L632)))),"s",IF(L632="Turnover_Giveaway","u",IF(AND(OR(K632="Shot",K632="Pass"),OR(ISNUMBER(SEARCH("fail",L632)),NOT(ISNUMBER(SEARCH("complete",L632))),NOT(ISNUMBER(SEARCH("OnNet",L632))))),"u","")))))))</f>
        <v>u</v>
      </c>
      <c r="Q632" t="str">
        <f t="shared" si="117"/>
        <v/>
      </c>
      <c r="S632">
        <f>IF(A632=1,MAX($S$2:$S631)+1,IF(OR($I632&lt;&gt;"",A632="x"),$S631,""))</f>
        <v>315</v>
      </c>
      <c r="T632">
        <f>IF(D632=1,MAX($T$2:$T631)+1,IF(S632=S631,$T631,IF(D632="x",T631,IF(D631="x","",""))))</f>
        <v>41</v>
      </c>
      <c r="U632" t="str">
        <f>IF(B632=1,MAX($U$2:$U631)+1,IF(AND($T632&lt;&gt;"",$T632=$T631),$U631,IF(B632="x",U631,"")))</f>
        <v/>
      </c>
      <c r="V632" t="str">
        <f>IF(C632=1,MAX($V$2:$V631)+1,IF(AND($T632&lt;&gt;"",$T632=$T631),$U631,IF(C632="x",V631,"")))</f>
        <v/>
      </c>
      <c r="X632" cm="1">
        <f t="array" ref="X632">IF($I632&lt;&gt;"",$I632,INDEX($I$1:$I632,ROW()-COUNTIFS($T$1:$T632,"="&amp;$T632,$S$1:$S632,"&lt;"&amp;$S632)))</f>
        <v>9</v>
      </c>
      <c r="Z632" s="6">
        <f t="shared" si="111"/>
        <v>1</v>
      </c>
      <c r="AA632">
        <f t="shared" si="112"/>
        <v>1315</v>
      </c>
      <c r="AB632">
        <f t="shared" si="113"/>
        <v>9041</v>
      </c>
      <c r="AC632">
        <f t="shared" si="114"/>
        <v>9041</v>
      </c>
      <c r="AI632" t="str">
        <f t="shared" si="115"/>
        <v>o</v>
      </c>
      <c r="BI632" s="40"/>
      <c r="BL632" s="40"/>
      <c r="BN632" s="19"/>
      <c r="BP632" s="17"/>
    </row>
    <row r="633" spans="1:68" x14ac:dyDescent="0.2">
      <c r="A633" t="str">
        <f t="shared" si="110"/>
        <v>x</v>
      </c>
      <c r="D633" s="26" t="s">
        <v>729</v>
      </c>
      <c r="E633" s="4"/>
      <c r="F633" s="46"/>
      <c r="G633" s="4"/>
      <c r="H633" s="48"/>
      <c r="I633" s="26">
        <v>24</v>
      </c>
      <c r="J633" s="26" t="str">
        <f>IF(OR(K633="Goal",K633="Shot",L633="Zone_Entry",M633="Stoppage-Goal",M632="Stoppage-Goal"),"o",IF(OR(K633="Save",K633="Rebound",L633="Zone_Exit",M633="Stoppage-GoalieStoppage",M632="Stoppage-GoalieStoppage"),"d",IF(OR(L633="Faceoff_AfterGoal",L633="Faceoff_PeriodStart",698="Faceoff_GameStart",M632="Stoppage-Goal"),"n","")))</f>
        <v/>
      </c>
      <c r="N633" t="str">
        <f t="shared" si="118"/>
        <v/>
      </c>
      <c r="O633" t="s">
        <v>593</v>
      </c>
      <c r="Q633" t="str">
        <f t="shared" si="117"/>
        <v>u</v>
      </c>
      <c r="S633">
        <f>IF(A633=1,MAX($S$2:$S632)+1,IF(OR($I633&lt;&gt;"",A633="x"),$S632,""))</f>
        <v>315</v>
      </c>
      <c r="T633">
        <f>IF(D633=1,MAX($T$2:$T632)+1,IF(S633=S632,$T632,IF(D633="x",T632,IF(D632="x","",""))))</f>
        <v>41</v>
      </c>
      <c r="U633" t="str">
        <f>IF(B633=1,MAX($U$2:$U632)+1,IF(AND($T633&lt;&gt;"",$T633=$T632),$U632,IF(B633="x",U632,"")))</f>
        <v/>
      </c>
      <c r="V633" t="str">
        <f>IF(C633=1,MAX($V$2:$V632)+1,IF(AND($T633&lt;&gt;"",$T633=$T632),$U632,IF(C633="x",V632,"")))</f>
        <v/>
      </c>
      <c r="X633" cm="1">
        <f t="array" ref="X633">IF($I633&lt;&gt;"",$I633,INDEX($I$1:$I633,ROW()-COUNTIFS($T$1:$T633,"="&amp;$T633,$S$1:$S633,"&lt;"&amp;$S633)))</f>
        <v>24</v>
      </c>
      <c r="Z633" s="6">
        <f t="shared" si="111"/>
        <v>1</v>
      </c>
      <c r="AA633">
        <f t="shared" si="112"/>
        <v>1315</v>
      </c>
      <c r="AB633">
        <f t="shared" si="113"/>
        <v>9041</v>
      </c>
      <c r="AC633">
        <f t="shared" si="114"/>
        <v>9041</v>
      </c>
      <c r="AI633" t="str">
        <f t="shared" si="115"/>
        <v>o</v>
      </c>
      <c r="BI633" s="40"/>
      <c r="BL633" s="40"/>
      <c r="BN633" s="19"/>
      <c r="BP633" s="17"/>
    </row>
    <row r="634" spans="1:68" x14ac:dyDescent="0.2">
      <c r="A634" t="str">
        <f t="shared" si="110"/>
        <v>x</v>
      </c>
      <c r="D634" s="26" t="s">
        <v>729</v>
      </c>
      <c r="E634" s="4"/>
      <c r="F634" s="46"/>
      <c r="G634" s="4"/>
      <c r="H634" s="48"/>
      <c r="I634" s="26">
        <v>71</v>
      </c>
      <c r="J634" s="26" t="str">
        <f t="shared" si="116"/>
        <v/>
      </c>
      <c r="N634" t="str">
        <f t="shared" si="118"/>
        <v/>
      </c>
      <c r="O634" t="s">
        <v>566</v>
      </c>
      <c r="Q634" t="str">
        <f t="shared" si="117"/>
        <v/>
      </c>
      <c r="S634">
        <f>IF(A634=1,MAX($S$2:$S633)+1,IF(OR($I634&lt;&gt;"",A634="x"),$S633,""))</f>
        <v>315</v>
      </c>
      <c r="T634">
        <f>IF(D634=1,MAX($T$2:$T633)+1,IF(S634=S633,$T633,IF(D634="x",T633,IF(D633="x","",""))))</f>
        <v>41</v>
      </c>
      <c r="U634" t="str">
        <f>IF(B634=1,MAX($U$2:$U633)+1,IF(AND($T634&lt;&gt;"",$T634=$T633),$U633,IF(B634="x",U633,"")))</f>
        <v/>
      </c>
      <c r="V634" t="str">
        <f>IF(C634=1,MAX($V$2:$V633)+1,IF(AND($T634&lt;&gt;"",$T634=$T633),$U633,IF(C634="x",V633,"")))</f>
        <v/>
      </c>
      <c r="X634" cm="1">
        <f t="array" ref="X634">IF($I634&lt;&gt;"",$I634,INDEX($I$1:$I634,ROW()-COUNTIFS($T$1:$T634,"="&amp;$T634,$S$1:$S634,"&lt;"&amp;$S634)))</f>
        <v>71</v>
      </c>
      <c r="Z634" s="6">
        <f t="shared" si="111"/>
        <v>1</v>
      </c>
      <c r="AA634">
        <f t="shared" si="112"/>
        <v>1315</v>
      </c>
      <c r="AB634">
        <f t="shared" si="113"/>
        <v>9041</v>
      </c>
      <c r="AC634">
        <f t="shared" si="114"/>
        <v>9041</v>
      </c>
      <c r="AI634" t="str">
        <f t="shared" si="115"/>
        <v>o</v>
      </c>
      <c r="BI634" s="40"/>
      <c r="BL634" s="40"/>
      <c r="BN634" s="19"/>
      <c r="BP634" s="17"/>
    </row>
    <row r="635" spans="1:68" x14ac:dyDescent="0.2">
      <c r="A635">
        <f t="shared" si="110"/>
        <v>1</v>
      </c>
      <c r="D635" s="26" t="s">
        <v>729</v>
      </c>
      <c r="E635" s="4"/>
      <c r="F635" s="46"/>
      <c r="G635" s="4"/>
      <c r="H635" s="48"/>
      <c r="J635" s="26" t="s">
        <v>368</v>
      </c>
      <c r="K635" t="s">
        <v>9</v>
      </c>
      <c r="L635" t="s">
        <v>173</v>
      </c>
      <c r="M635" t="s">
        <v>74</v>
      </c>
      <c r="N635" t="str">
        <f t="shared" si="118"/>
        <v>u</v>
      </c>
      <c r="Q635" t="str">
        <f t="shared" si="117"/>
        <v/>
      </c>
      <c r="S635">
        <f>IF(A635=1,MAX($S$2:$S634)+1,IF(OR($I635&lt;&gt;"",A635="x"),$S634,""))</f>
        <v>316</v>
      </c>
      <c r="T635">
        <f>IF(D635=1,MAX($T$2:$T634)+1,IF(S635=S634,$T634,IF(D635="x",T634,IF(D634="x","",""))))</f>
        <v>41</v>
      </c>
      <c r="U635" t="str">
        <f>IF(B635=1,MAX($U$2:$U634)+1,IF(AND($T635&lt;&gt;"",$T635=$T634),$U634,IF(B635="x",U634,"")))</f>
        <v/>
      </c>
      <c r="V635" t="str">
        <f>IF(C635=1,MAX($V$2:$V634)+1,IF(AND($T635&lt;&gt;"",$T635=$T634),$U634,IF(C635="x",V634,"")))</f>
        <v/>
      </c>
      <c r="X635" cm="1">
        <f t="array" ref="X635">IF($I635&lt;&gt;"",$I635,INDEX($I$1:$I635,ROW()-COUNTIFS($T$1:$T635,"="&amp;$T635,$S$1:$S635,"&lt;"&amp;$S635)))</f>
        <v>9</v>
      </c>
      <c r="Z635" s="6">
        <f t="shared" si="111"/>
        <v>1</v>
      </c>
      <c r="AA635">
        <f t="shared" si="112"/>
        <v>1316</v>
      </c>
      <c r="AB635">
        <f t="shared" si="113"/>
        <v>9041</v>
      </c>
      <c r="AC635">
        <f t="shared" si="114"/>
        <v>9041</v>
      </c>
      <c r="AI635" t="str">
        <f t="shared" si="115"/>
        <v>o</v>
      </c>
      <c r="BI635" s="40"/>
      <c r="BL635" s="40"/>
      <c r="BN635" s="19"/>
      <c r="BP635" s="17"/>
    </row>
    <row r="636" spans="1:68" x14ac:dyDescent="0.2">
      <c r="A636" t="str">
        <f t="shared" si="110"/>
        <v>x</v>
      </c>
      <c r="D636" s="26" t="s">
        <v>729</v>
      </c>
      <c r="E636" s="4"/>
      <c r="F636" s="46"/>
      <c r="G636" s="4"/>
      <c r="H636" s="48"/>
      <c r="J636" s="26" t="str">
        <f t="shared" si="116"/>
        <v/>
      </c>
      <c r="N636" t="str">
        <f t="shared" si="118"/>
        <v/>
      </c>
      <c r="Q636" t="str">
        <f t="shared" si="117"/>
        <v/>
      </c>
      <c r="S636">
        <f>IF(A636=1,MAX($S$2:$S635)+1,IF(OR($I636&lt;&gt;"",A636="x"),$S635,""))</f>
        <v>316</v>
      </c>
      <c r="T636">
        <f>IF(D636=1,MAX($T$2:$T635)+1,IF(S636=S635,$T635,IF(D636="x",T635,IF(D635="x","",""))))</f>
        <v>41</v>
      </c>
      <c r="U636" t="str">
        <f>IF(B636=1,MAX($U$2:$U635)+1,IF(AND($T636&lt;&gt;"",$T636=$T635),$U635,IF(B636="x",U635,"")))</f>
        <v/>
      </c>
      <c r="V636" t="str">
        <f>IF(C636=1,MAX($V$2:$V635)+1,IF(AND($T636&lt;&gt;"",$T636=$T635),$U635,IF(C636="x",V635,"")))</f>
        <v/>
      </c>
      <c r="X636" cm="1">
        <f t="array" ref="X636">IF($I636&lt;&gt;"",$I636,INDEX($I$1:$I636,ROW()-COUNTIFS($T$1:$T636,"="&amp;$T636,$S$1:$S636,"&lt;"&amp;$S636)))</f>
        <v>24</v>
      </c>
      <c r="Z636" s="6">
        <f t="shared" si="111"/>
        <v>1</v>
      </c>
      <c r="AA636">
        <f t="shared" si="112"/>
        <v>1316</v>
      </c>
      <c r="AB636">
        <f t="shared" si="113"/>
        <v>9041</v>
      </c>
      <c r="AC636">
        <f t="shared" si="114"/>
        <v>9041</v>
      </c>
      <c r="AI636" t="str">
        <f t="shared" si="115"/>
        <v>o</v>
      </c>
      <c r="BI636" s="40"/>
      <c r="BL636" s="40"/>
      <c r="BN636" s="19"/>
      <c r="BP636" s="17"/>
    </row>
    <row r="637" spans="1:68" x14ac:dyDescent="0.2">
      <c r="A637" t="str">
        <f t="shared" si="110"/>
        <v>x</v>
      </c>
      <c r="D637" s="26" t="s">
        <v>729</v>
      </c>
      <c r="E637" s="4"/>
      <c r="F637" s="46"/>
      <c r="G637" s="4"/>
      <c r="H637" s="48"/>
      <c r="J637" s="26" t="str">
        <f t="shared" si="116"/>
        <v/>
      </c>
      <c r="N637" t="str">
        <f t="shared" si="118"/>
        <v/>
      </c>
      <c r="Q637" t="str">
        <f t="shared" si="117"/>
        <v/>
      </c>
      <c r="S637">
        <f>IF(A637=1,MAX($S$2:$S636)+1,IF(OR($I637&lt;&gt;"",A637="x"),$S636,""))</f>
        <v>316</v>
      </c>
      <c r="T637">
        <f>IF(D637=1,MAX($T$2:$T636)+1,IF(S637=S636,$T636,IF(D637="x",T636,IF(D636="x","",""))))</f>
        <v>41</v>
      </c>
      <c r="U637" t="str">
        <f>IF(B637=1,MAX($U$2:$U636)+1,IF(AND($T637&lt;&gt;"",$T637=$T636),$U636,IF(B637="x",U636,"")))</f>
        <v/>
      </c>
      <c r="V637" t="str">
        <f>IF(C637=1,MAX($V$2:$V636)+1,IF(AND($T637&lt;&gt;"",$T637=$T636),$U636,IF(C637="x",V636,"")))</f>
        <v/>
      </c>
      <c r="X637" cm="1">
        <f t="array" ref="X637">IF($I637&lt;&gt;"",$I637,INDEX($I$1:$I637,ROW()-COUNTIFS($T$1:$T637,"="&amp;$T637,$S$1:$S637,"&lt;"&amp;$S637)))</f>
        <v>71</v>
      </c>
      <c r="Z637" s="6">
        <f t="shared" si="111"/>
        <v>1</v>
      </c>
      <c r="AA637">
        <f t="shared" si="112"/>
        <v>1316</v>
      </c>
      <c r="AB637">
        <f t="shared" si="113"/>
        <v>9041</v>
      </c>
      <c r="AC637">
        <f t="shared" si="114"/>
        <v>9041</v>
      </c>
      <c r="AI637" t="str">
        <f t="shared" si="115"/>
        <v>o</v>
      </c>
      <c r="BI637" s="40"/>
      <c r="BL637" s="40"/>
      <c r="BN637" s="19"/>
      <c r="BP637" s="17"/>
    </row>
    <row r="638" spans="1:68" x14ac:dyDescent="0.2">
      <c r="A638">
        <f t="shared" si="110"/>
        <v>1</v>
      </c>
      <c r="E638" s="4"/>
      <c r="F638" s="46" t="s">
        <v>751</v>
      </c>
      <c r="G638" s="4"/>
      <c r="H638" s="48" t="s">
        <v>1031</v>
      </c>
      <c r="I638" s="26">
        <v>19</v>
      </c>
      <c r="J638" s="26" t="s">
        <v>736</v>
      </c>
      <c r="K638" t="s">
        <v>13</v>
      </c>
      <c r="L638" t="s">
        <v>586</v>
      </c>
      <c r="N638" t="s">
        <v>594</v>
      </c>
      <c r="Q638" t="str">
        <f t="shared" si="117"/>
        <v/>
      </c>
      <c r="S638">
        <f>IF(A638=1,MAX($S$2:$S637)+1,IF(OR($I638&lt;&gt;"",A638="x"),$S637,""))</f>
        <v>317</v>
      </c>
      <c r="T638" t="str">
        <f>IF(D638=1,MAX($T$2:$T637)+1,IF(S638=S637,$T637,IF(D638="x",T637,IF(D637="x","",""))))</f>
        <v/>
      </c>
      <c r="U638" t="str">
        <f>IF(B638=1,MAX($U$2:$U637)+1,IF(AND($T638&lt;&gt;"",$T638=$T637),$U637,IF(B638="x",U637,"")))</f>
        <v/>
      </c>
      <c r="V638" t="str">
        <f>IF(C638=1,MAX($V$2:$V637)+1,IF(AND($T638&lt;&gt;"",$T638=$T637),$U637,IF(C638="x",V637,"")))</f>
        <v/>
      </c>
      <c r="X638" cm="1">
        <f t="array" ref="X638">IF($I638&lt;&gt;"",$I638,INDEX($I$1:$I638,ROW()-COUNTIFS($T$1:$T638,"="&amp;$T638,$S$1:$S638,"&lt;"&amp;$S638)))</f>
        <v>19</v>
      </c>
      <c r="Z638" s="6">
        <f t="shared" si="111"/>
        <v>1</v>
      </c>
      <c r="AA638">
        <f t="shared" si="112"/>
        <v>1317</v>
      </c>
      <c r="AB638" t="str">
        <f t="shared" si="113"/>
        <v/>
      </c>
      <c r="AC638">
        <f t="shared" si="114"/>
        <v>1317</v>
      </c>
      <c r="AI638" t="str">
        <f t="shared" si="115"/>
        <v>d</v>
      </c>
      <c r="BI638" s="40"/>
      <c r="BL638" s="40"/>
      <c r="BN638" s="19"/>
      <c r="BP638" s="17"/>
    </row>
    <row r="639" spans="1:68" x14ac:dyDescent="0.2">
      <c r="A639">
        <f t="shared" si="110"/>
        <v>1</v>
      </c>
      <c r="E639" s="4"/>
      <c r="F639" s="46"/>
      <c r="G639" s="4"/>
      <c r="H639" s="48"/>
      <c r="I639" s="26">
        <v>19</v>
      </c>
      <c r="J639" s="26" t="s">
        <v>736</v>
      </c>
      <c r="K639" t="s">
        <v>7</v>
      </c>
      <c r="L639" t="s">
        <v>172</v>
      </c>
      <c r="M639" t="s">
        <v>66</v>
      </c>
      <c r="N639" t="str">
        <f t="shared" si="118"/>
        <v>s</v>
      </c>
      <c r="Q639" t="str">
        <f t="shared" si="117"/>
        <v/>
      </c>
      <c r="R639" s="26">
        <v>1</v>
      </c>
      <c r="S639">
        <f>IF(A639=1,MAX($S$2:$S638)+1,IF(OR($I639&lt;&gt;"",A639="x"),$S638,""))</f>
        <v>318</v>
      </c>
      <c r="T639" t="str">
        <f>IF(D639=1,MAX($T$2:$T638)+1,IF(S639=S638,$T638,IF(D639="x",T638,IF(D638="x","",""))))</f>
        <v/>
      </c>
      <c r="U639" t="str">
        <f>IF(B639=1,MAX($U$2:$U638)+1,IF(AND($T639&lt;&gt;"",$T639=$T638),$U638,IF(B639="x",U638,"")))</f>
        <v/>
      </c>
      <c r="V639" t="str">
        <f>IF(C639=1,MAX($V$2:$V638)+1,IF(AND($T639&lt;&gt;"",$T639=$T638),$U638,IF(C639="x",V638,"")))</f>
        <v/>
      </c>
      <c r="X639" cm="1">
        <f t="array" ref="X639">IF($I639&lt;&gt;"",$I639,INDEX($I$1:$I639,ROW()-COUNTIFS($T$1:$T639,"="&amp;$T639,$S$1:$S639,"&lt;"&amp;$S639)))</f>
        <v>19</v>
      </c>
      <c r="Z639" s="6">
        <f t="shared" si="111"/>
        <v>1</v>
      </c>
      <c r="AA639">
        <f t="shared" si="112"/>
        <v>1318</v>
      </c>
      <c r="AB639" t="str">
        <f t="shared" si="113"/>
        <v/>
      </c>
      <c r="AC639">
        <f t="shared" si="114"/>
        <v>1318</v>
      </c>
      <c r="AI639" t="str">
        <f t="shared" si="115"/>
        <v>d</v>
      </c>
      <c r="BI639" s="40"/>
      <c r="BL639" s="40"/>
      <c r="BN639" s="19"/>
      <c r="BP639" s="17"/>
    </row>
    <row r="640" spans="1:68" x14ac:dyDescent="0.2">
      <c r="A640" t="str">
        <f t="shared" si="110"/>
        <v/>
      </c>
      <c r="E640" s="4"/>
      <c r="F640" s="46"/>
      <c r="G640" s="4"/>
      <c r="H640" s="48"/>
      <c r="I640" s="26">
        <v>69</v>
      </c>
      <c r="J640" s="26" t="str">
        <f t="shared" si="116"/>
        <v/>
      </c>
      <c r="N640" t="str">
        <f t="shared" si="118"/>
        <v/>
      </c>
      <c r="Q640" t="str">
        <f t="shared" si="117"/>
        <v/>
      </c>
      <c r="S640">
        <f>IF(A640=1,MAX($S$2:$S639)+1,IF(OR($I640&lt;&gt;"",A640="x"),$S639,""))</f>
        <v>318</v>
      </c>
      <c r="T640" t="str">
        <f>IF(D640=1,MAX($T$2:$T639)+1,IF(S640=S639,$T639,IF(D640="x",T639,IF(D639="x","",""))))</f>
        <v/>
      </c>
      <c r="U640" t="str">
        <f>IF(B640=1,MAX($U$2:$U639)+1,IF(AND($T640&lt;&gt;"",$T640=$T639),$U639,IF(B640="x",U639,"")))</f>
        <v/>
      </c>
      <c r="V640" t="str">
        <f>IF(C640=1,MAX($V$2:$V639)+1,IF(AND($T640&lt;&gt;"",$T640=$T639),$U639,IF(C640="x",V639,"")))</f>
        <v/>
      </c>
      <c r="X640" cm="1">
        <f t="array" ref="X640">IF($I640&lt;&gt;"",$I640,INDEX($I$1:$I640,ROW()-COUNTIFS($T$1:$T640,"="&amp;$T640,$S$1:$S640,"&lt;"&amp;$S640)))</f>
        <v>69</v>
      </c>
      <c r="Z640" s="6">
        <f t="shared" si="111"/>
        <v>1</v>
      </c>
      <c r="AA640">
        <f t="shared" si="112"/>
        <v>1318</v>
      </c>
      <c r="AB640" t="str">
        <f t="shared" si="113"/>
        <v/>
      </c>
      <c r="AC640">
        <f t="shared" si="114"/>
        <v>1318</v>
      </c>
      <c r="AI640" t="str">
        <f t="shared" si="115"/>
        <v>d</v>
      </c>
      <c r="BI640" s="40"/>
      <c r="BL640" s="40"/>
      <c r="BN640" s="19"/>
      <c r="BP640" s="17"/>
    </row>
    <row r="641" spans="1:68" x14ac:dyDescent="0.2">
      <c r="A641" t="str">
        <f t="shared" si="110"/>
        <v/>
      </c>
      <c r="E641" s="4"/>
      <c r="F641" s="46"/>
      <c r="G641" s="4"/>
      <c r="H641" s="48"/>
      <c r="I641" s="26">
        <v>91</v>
      </c>
      <c r="J641" s="26" t="str">
        <f t="shared" si="116"/>
        <v/>
      </c>
      <c r="N641" t="str">
        <f t="shared" si="118"/>
        <v/>
      </c>
      <c r="Q641" t="str">
        <f t="shared" si="117"/>
        <v/>
      </c>
      <c r="R641" s="26">
        <v>1</v>
      </c>
      <c r="S641">
        <f>IF(A641=1,MAX($S$2:$S640)+1,IF(OR($I641&lt;&gt;"",A641="x"),$S640,""))</f>
        <v>318</v>
      </c>
      <c r="T641" t="str">
        <f>IF(D641=1,MAX($T$2:$T640)+1,IF(S641=S640,$T640,IF(D641="x",T640,IF(D640="x","",""))))</f>
        <v/>
      </c>
      <c r="U641" t="str">
        <f>IF(B641=1,MAX($U$2:$U640)+1,IF(AND($T641&lt;&gt;"",$T641=$T640),$U640,IF(B641="x",U640,"")))</f>
        <v/>
      </c>
      <c r="V641" t="str">
        <f>IF(C641=1,MAX($V$2:$V640)+1,IF(AND($T641&lt;&gt;"",$T641=$T640),$U640,IF(C641="x",V640,"")))</f>
        <v/>
      </c>
      <c r="X641" cm="1">
        <f t="array" ref="X641">IF($I641&lt;&gt;"",$I641,INDEX($I$1:$I641,ROW()-COUNTIFS($T$1:$T641,"="&amp;$T641,$S$1:$S641,"&lt;"&amp;$S641)))</f>
        <v>91</v>
      </c>
      <c r="Z641" s="6">
        <f t="shared" si="111"/>
        <v>1</v>
      </c>
      <c r="AA641">
        <f t="shared" si="112"/>
        <v>1318</v>
      </c>
      <c r="AB641" t="str">
        <f t="shared" si="113"/>
        <v/>
      </c>
      <c r="AC641">
        <f t="shared" si="114"/>
        <v>1318</v>
      </c>
      <c r="AI641" t="str">
        <f t="shared" si="115"/>
        <v>d</v>
      </c>
      <c r="BI641" s="40"/>
      <c r="BL641" s="40"/>
      <c r="BN641" s="19"/>
      <c r="BP641" s="17"/>
    </row>
    <row r="642" spans="1:68" x14ac:dyDescent="0.2">
      <c r="A642">
        <f t="shared" si="110"/>
        <v>1</v>
      </c>
      <c r="E642" s="4"/>
      <c r="F642" s="46" t="s">
        <v>1049</v>
      </c>
      <c r="G642" s="4"/>
      <c r="H642" s="48" t="s">
        <v>1029</v>
      </c>
      <c r="I642" s="26">
        <v>69</v>
      </c>
      <c r="J642" s="26" t="s">
        <v>736</v>
      </c>
      <c r="K642" t="s">
        <v>13</v>
      </c>
      <c r="N642" t="str">
        <f t="shared" si="118"/>
        <v/>
      </c>
      <c r="Q642" t="str">
        <f t="shared" si="117"/>
        <v/>
      </c>
      <c r="S642">
        <f>IF(A642=1,MAX($S$2:$S641)+1,IF(OR($I642&lt;&gt;"",A642="x"),$S641,""))</f>
        <v>319</v>
      </c>
      <c r="T642" t="str">
        <f>IF(D642=1,MAX($T$2:$T641)+1,IF(S642=S641,$T641,IF(D642="x",T641,IF(D641="x","",""))))</f>
        <v/>
      </c>
      <c r="U642" t="str">
        <f>IF(B642=1,MAX($U$2:$U641)+1,IF(AND($T642&lt;&gt;"",$T642=$T641),$U641,IF(B642="x",U641,"")))</f>
        <v/>
      </c>
      <c r="V642" t="str">
        <f>IF(C642=1,MAX($V$2:$V641)+1,IF(AND($T642&lt;&gt;"",$T642=$T641),$U641,IF(C642="x",V641,"")))</f>
        <v/>
      </c>
      <c r="X642" cm="1">
        <f t="array" ref="X642">IF($I642&lt;&gt;"",$I642,INDEX($I$1:$I642,ROW()-COUNTIFS($T$1:$T642,"="&amp;$T642,$S$1:$S642,"&lt;"&amp;$S642)))</f>
        <v>69</v>
      </c>
      <c r="Z642" s="6">
        <f t="shared" si="111"/>
        <v>1</v>
      </c>
      <c r="AA642">
        <f t="shared" si="112"/>
        <v>1319</v>
      </c>
      <c r="AB642" t="str">
        <f t="shared" si="113"/>
        <v/>
      </c>
      <c r="AC642">
        <f t="shared" si="114"/>
        <v>1319</v>
      </c>
      <c r="AI642" t="str">
        <f t="shared" si="115"/>
        <v>d</v>
      </c>
      <c r="BI642" s="40"/>
      <c r="BL642" s="40"/>
      <c r="BN642" s="19"/>
      <c r="BP642" s="17"/>
    </row>
    <row r="643" spans="1:68" x14ac:dyDescent="0.2">
      <c r="A643">
        <f t="shared" si="110"/>
        <v>1</v>
      </c>
      <c r="D643" s="26">
        <v>1</v>
      </c>
      <c r="E643" s="4"/>
      <c r="F643" s="46"/>
      <c r="G643" s="4"/>
      <c r="H643" s="48"/>
      <c r="I643" s="26">
        <v>69</v>
      </c>
      <c r="J643" s="26" t="s">
        <v>736</v>
      </c>
      <c r="K643" t="s">
        <v>7</v>
      </c>
      <c r="L643" t="s">
        <v>199</v>
      </c>
      <c r="M643" t="s">
        <v>65</v>
      </c>
      <c r="N643" t="str">
        <f t="shared" si="118"/>
        <v>u</v>
      </c>
      <c r="O643" t="s">
        <v>767</v>
      </c>
      <c r="Q643" t="str">
        <f t="shared" si="117"/>
        <v>u</v>
      </c>
      <c r="S643">
        <f>IF(A643=1,MAX($S$2:$S642)+1,IF(OR($I643&lt;&gt;"",A643="x"),$S642,""))</f>
        <v>320</v>
      </c>
      <c r="T643">
        <f>IF(D643=1,MAX($T$2:$T642)+1,IF(S643=S642,$T642,IF(D643="x",T642,IF(D642="x","",""))))</f>
        <v>42</v>
      </c>
      <c r="U643" t="str">
        <f>IF(B643=1,MAX($U$2:$U642)+1,IF(AND($T643&lt;&gt;"",$T643=$T642),$U642,IF(B643="x",U642,"")))</f>
        <v/>
      </c>
      <c r="V643" t="str">
        <f>IF(C643=1,MAX($V$2:$V642)+1,IF(AND($T643&lt;&gt;"",$T643=$T642),$U642,IF(C643="x",V642,"")))</f>
        <v/>
      </c>
      <c r="X643" cm="1">
        <f t="array" ref="X643">IF($I643&lt;&gt;"",$I643,INDEX($I$1:$I643,ROW()-COUNTIFS($T$1:$T643,"="&amp;$T643,$S$1:$S643,"&lt;"&amp;$S643)))</f>
        <v>69</v>
      </c>
      <c r="Z643" s="6">
        <f t="shared" si="111"/>
        <v>1</v>
      </c>
      <c r="AA643">
        <f t="shared" si="112"/>
        <v>1320</v>
      </c>
      <c r="AB643">
        <f t="shared" si="113"/>
        <v>9042</v>
      </c>
      <c r="AC643">
        <f t="shared" si="114"/>
        <v>9042</v>
      </c>
      <c r="AI643" t="str">
        <f t="shared" si="115"/>
        <v>d</v>
      </c>
      <c r="BI643" s="40"/>
      <c r="BL643" s="40"/>
      <c r="BN643" s="19"/>
      <c r="BP643" s="17"/>
    </row>
    <row r="644" spans="1:68" x14ac:dyDescent="0.2">
      <c r="A644" t="s">
        <v>729</v>
      </c>
      <c r="D644" s="26" t="s">
        <v>729</v>
      </c>
      <c r="E644" s="4"/>
      <c r="F644" s="46"/>
      <c r="G644" s="4"/>
      <c r="H644" s="48"/>
      <c r="I644" s="26">
        <v>71</v>
      </c>
      <c r="J644" s="26" t="str">
        <f t="shared" si="116"/>
        <v/>
      </c>
      <c r="N644" t="str">
        <f t="shared" si="118"/>
        <v/>
      </c>
      <c r="Q644" t="str">
        <f t="shared" si="117"/>
        <v/>
      </c>
      <c r="S644">
        <f>IF(A644=1,MAX($S$2:$S643)+1,IF(OR($I644&lt;&gt;"",A644="x"),$S643,""))</f>
        <v>320</v>
      </c>
      <c r="T644">
        <f>IF(D644=1,MAX($T$2:$T643)+1,IF(S644=S643,$T643,IF(D644="x",T643,IF(D643="x","",""))))</f>
        <v>42</v>
      </c>
      <c r="U644" t="str">
        <f>IF(B644=1,MAX($U$2:$U643)+1,IF(AND($T644&lt;&gt;"",$T644=$T643),$U643,IF(B644="x",U643,"")))</f>
        <v/>
      </c>
      <c r="V644" t="str">
        <f>IF(C644=1,MAX($V$2:$V643)+1,IF(AND($T644&lt;&gt;"",$T644=$T643),$U643,IF(C644="x",V643,"")))</f>
        <v/>
      </c>
      <c r="X644" cm="1">
        <f t="array" ref="X644">IF($I644&lt;&gt;"",$I644,INDEX($I$1:$I644,ROW()-COUNTIFS($T$1:$T644,"="&amp;$T644,$S$1:$S644,"&lt;"&amp;$S644)))</f>
        <v>71</v>
      </c>
      <c r="Z644" s="6">
        <f t="shared" si="111"/>
        <v>1</v>
      </c>
      <c r="AA644">
        <f t="shared" si="112"/>
        <v>1320</v>
      </c>
      <c r="AB644">
        <f t="shared" si="113"/>
        <v>9042</v>
      </c>
      <c r="AC644">
        <f t="shared" si="114"/>
        <v>9042</v>
      </c>
      <c r="AI644" t="str">
        <f t="shared" si="115"/>
        <v>d</v>
      </c>
      <c r="BI644" s="40"/>
      <c r="BL644" s="40"/>
      <c r="BN644" s="19"/>
      <c r="BP644" s="17"/>
    </row>
    <row r="645" spans="1:68" x14ac:dyDescent="0.2">
      <c r="A645" t="s">
        <v>729</v>
      </c>
      <c r="D645" s="26" t="s">
        <v>729</v>
      </c>
      <c r="E645" s="4"/>
      <c r="F645" s="46"/>
      <c r="G645" s="4"/>
      <c r="H645" s="48"/>
      <c r="I645" s="26">
        <v>70</v>
      </c>
      <c r="J645" s="26" t="str">
        <f t="shared" si="116"/>
        <v/>
      </c>
      <c r="N645" t="str">
        <f t="shared" si="118"/>
        <v/>
      </c>
      <c r="O645" t="s">
        <v>557</v>
      </c>
      <c r="Q645" t="str">
        <f t="shared" si="117"/>
        <v/>
      </c>
      <c r="S645">
        <f>IF(A645=1,MAX($S$2:$S644)+1,IF(OR($I645&lt;&gt;"",A645="x"),$S644,""))</f>
        <v>320</v>
      </c>
      <c r="T645">
        <f>IF(D645=1,MAX($T$2:$T644)+1,IF(S645=S644,$T644,IF(D645="x",T644,IF(D644="x","",""))))</f>
        <v>42</v>
      </c>
      <c r="U645" t="str">
        <f>IF(B645=1,MAX($U$2:$U644)+1,IF(AND($T645&lt;&gt;"",$T645=$T644),$U644,IF(B645="x",U644,"")))</f>
        <v/>
      </c>
      <c r="V645" t="str">
        <f>IF(C645=1,MAX($V$2:$V644)+1,IF(AND($T645&lt;&gt;"",$T645=$T644),$U644,IF(C645="x",V644,"")))</f>
        <v/>
      </c>
      <c r="X645" cm="1">
        <f t="array" ref="X645">IF($I645&lt;&gt;"",$I645,INDEX($I$1:$I645,ROW()-COUNTIFS($T$1:$T645,"="&amp;$T645,$S$1:$S645,"&lt;"&amp;$S645)))</f>
        <v>70</v>
      </c>
      <c r="Z645" s="6">
        <f t="shared" ref="Z645:Z708" si="119">IF(K645="Intermission",Z644+1,Z644)</f>
        <v>1</v>
      </c>
      <c r="AA645">
        <f t="shared" ref="AA645:AA708" si="120">S645+1000</f>
        <v>1320</v>
      </c>
      <c r="AB645">
        <f t="shared" ref="AB645:AB708" si="121">IF(T645&lt;&gt;"",9000+T645,"")</f>
        <v>9042</v>
      </c>
      <c r="AC645">
        <f t="shared" ref="AC645:AC708" si="122">IF(AB645&lt;&gt;"",AB645,S645+1000)</f>
        <v>9042</v>
      </c>
      <c r="AI645" t="str">
        <f t="shared" si="115"/>
        <v>d</v>
      </c>
      <c r="BI645" s="40"/>
      <c r="BL645" s="40"/>
      <c r="BN645" s="19"/>
      <c r="BP645" s="17"/>
    </row>
    <row r="646" spans="1:68" x14ac:dyDescent="0.2">
      <c r="A646">
        <f t="shared" ref="A646:A708" si="123">IF(K646&lt;&gt;"",1,IF(D646="x","x",""))</f>
        <v>1</v>
      </c>
      <c r="D646" s="26" t="s">
        <v>729</v>
      </c>
      <c r="E646" s="4"/>
      <c r="F646" s="46"/>
      <c r="G646" s="4"/>
      <c r="H646" s="48"/>
      <c r="I646" s="26">
        <v>69</v>
      </c>
      <c r="J646" s="26" t="str">
        <f t="shared" ref="J646:J709" si="124">IF(OR(K646="Goal",K646="Shot",L646="Zone_Entry",M646="Stoppage-Goal",M645="Stoppage-Goal"),"o",IF(OR(K646="Save",K646="Rebound",L646="Zone_Exit",M646="Stoppage-GoalieStoppage",M645="Stoppage-GoalieStoppage"),"d",IF(OR(L646="Faceoff_AfterGoal",L646="Faceoff_PeriodStart",698="Faceoff_GameStart",M645="Stoppage-Goal"),"n","")))</f>
        <v>d</v>
      </c>
      <c r="K646" t="s">
        <v>238</v>
      </c>
      <c r="L646" t="s">
        <v>184</v>
      </c>
      <c r="M646" t="s">
        <v>376</v>
      </c>
      <c r="N646" t="str">
        <f t="shared" si="118"/>
        <v>u</v>
      </c>
      <c r="Q646" t="str">
        <f t="shared" si="117"/>
        <v/>
      </c>
      <c r="S646">
        <f>IF(A646=1,MAX($S$2:$S645)+1,IF(OR($I646&lt;&gt;"",A646="x"),$S645,""))</f>
        <v>321</v>
      </c>
      <c r="T646">
        <f>IF(D646=1,MAX($T$2:$T645)+1,IF(S646=S645,$T645,IF(D646="x",T645,IF(D645="x","",""))))</f>
        <v>42</v>
      </c>
      <c r="U646" t="str">
        <f>IF(B646=1,MAX($U$2:$U645)+1,IF(AND($T646&lt;&gt;"",$T646=$T645),$U645,IF(B646="x",U645,"")))</f>
        <v/>
      </c>
      <c r="V646" t="str">
        <f>IF(C646=1,MAX($V$2:$V645)+1,IF(AND($T646&lt;&gt;"",$T646=$T645),$U645,IF(C646="x",V645,"")))</f>
        <v/>
      </c>
      <c r="X646" cm="1">
        <f t="array" ref="X646">IF($I646&lt;&gt;"",$I646,INDEX($I$1:$I646,ROW()-COUNTIFS($T$1:$T646,"="&amp;$T646,$S$1:$S646,"&lt;"&amp;$S646)))</f>
        <v>69</v>
      </c>
      <c r="Z646" s="6">
        <f t="shared" si="119"/>
        <v>1</v>
      </c>
      <c r="AA646">
        <f t="shared" si="120"/>
        <v>1321</v>
      </c>
      <c r="AB646">
        <f t="shared" si="121"/>
        <v>9042</v>
      </c>
      <c r="AC646">
        <f t="shared" si="122"/>
        <v>9042</v>
      </c>
      <c r="AI646" t="str">
        <f t="shared" ref="AI646:AI709" si="125">IF($J646&lt;&gt;"",$J646,IF($AC646=$AC645,AI645,""))</f>
        <v>d</v>
      </c>
      <c r="BI646" s="40"/>
      <c r="BL646" s="40"/>
      <c r="BN646" s="19"/>
      <c r="BP646" s="17"/>
    </row>
    <row r="647" spans="1:68" x14ac:dyDescent="0.2">
      <c r="A647" t="str">
        <f t="shared" si="123"/>
        <v>x</v>
      </c>
      <c r="D647" s="26" t="s">
        <v>729</v>
      </c>
      <c r="E647" s="4"/>
      <c r="F647" s="46"/>
      <c r="G647" s="4"/>
      <c r="H647" s="48"/>
      <c r="I647" s="26">
        <v>71</v>
      </c>
      <c r="J647" s="26" t="str">
        <f t="shared" si="124"/>
        <v/>
      </c>
      <c r="N647" t="str">
        <f t="shared" si="118"/>
        <v/>
      </c>
      <c r="Q647" t="str">
        <f t="shared" si="117"/>
        <v/>
      </c>
      <c r="S647">
        <f>IF(A647=1,MAX($S$2:$S646)+1,IF(OR($I647&lt;&gt;"",A647="x"),$S646,""))</f>
        <v>321</v>
      </c>
      <c r="T647">
        <f>IF(D647=1,MAX($T$2:$T646)+1,IF(S647=S646,$T646,IF(D647="x",T646,IF(D646="x","",""))))</f>
        <v>42</v>
      </c>
      <c r="U647" t="str">
        <f>IF(B647=1,MAX($U$2:$U646)+1,IF(AND($T647&lt;&gt;"",$T647=$T646),$U646,IF(B647="x",U646,"")))</f>
        <v/>
      </c>
      <c r="V647" t="str">
        <f>IF(C647=1,MAX($V$2:$V646)+1,IF(AND($T647&lt;&gt;"",$T647=$T646),$U646,IF(C647="x",V646,"")))</f>
        <v/>
      </c>
      <c r="X647" cm="1">
        <f t="array" ref="X647">IF($I647&lt;&gt;"",$I647,INDEX($I$1:$I647,ROW()-COUNTIFS($T$1:$T647,"="&amp;$T647,$S$1:$S647,"&lt;"&amp;$S647)))</f>
        <v>71</v>
      </c>
      <c r="Z647" s="6">
        <f t="shared" si="119"/>
        <v>1</v>
      </c>
      <c r="AA647">
        <f t="shared" si="120"/>
        <v>1321</v>
      </c>
      <c r="AB647">
        <f t="shared" si="121"/>
        <v>9042</v>
      </c>
      <c r="AC647">
        <f t="shared" si="122"/>
        <v>9042</v>
      </c>
      <c r="AI647" t="str">
        <f t="shared" si="125"/>
        <v>d</v>
      </c>
      <c r="BI647" s="40"/>
      <c r="BL647" s="40"/>
      <c r="BN647" s="19"/>
      <c r="BP647" s="17"/>
    </row>
    <row r="648" spans="1:68" x14ac:dyDescent="0.2">
      <c r="A648" t="str">
        <f t="shared" si="123"/>
        <v>x</v>
      </c>
      <c r="D648" s="26" t="s">
        <v>729</v>
      </c>
      <c r="E648" s="4"/>
      <c r="F648" s="46"/>
      <c r="G648" s="4"/>
      <c r="H648" s="48"/>
      <c r="I648" s="26">
        <v>70</v>
      </c>
      <c r="J648" s="26" t="str">
        <f t="shared" si="124"/>
        <v/>
      </c>
      <c r="N648" t="str">
        <f t="shared" si="118"/>
        <v/>
      </c>
      <c r="Q648" t="str">
        <f t="shared" si="117"/>
        <v/>
      </c>
      <c r="S648">
        <f>IF(A648=1,MAX($S$2:$S647)+1,IF(OR($I648&lt;&gt;"",A648="x"),$S647,""))</f>
        <v>321</v>
      </c>
      <c r="T648">
        <f>IF(D648=1,MAX($T$2:$T647)+1,IF(S648=S647,$T647,IF(D648="x",T647,IF(D647="x","",""))))</f>
        <v>42</v>
      </c>
      <c r="U648" t="str">
        <f>IF(B648=1,MAX($U$2:$U647)+1,IF(AND($T648&lt;&gt;"",$T648=$T647),$U647,IF(B648="x",U647,"")))</f>
        <v/>
      </c>
      <c r="V648" t="str">
        <f>IF(C648=1,MAX($V$2:$V647)+1,IF(AND($T648&lt;&gt;"",$T648=$T647),$U647,IF(C648="x",V647,"")))</f>
        <v/>
      </c>
      <c r="X648" cm="1">
        <f t="array" ref="X648">IF($I648&lt;&gt;"",$I648,INDEX($I$1:$I648,ROW()-COUNTIFS($T$1:$T648,"="&amp;$T648,$S$1:$S648,"&lt;"&amp;$S648)))</f>
        <v>70</v>
      </c>
      <c r="Z648" s="6">
        <f t="shared" si="119"/>
        <v>1</v>
      </c>
      <c r="AA648">
        <f t="shared" si="120"/>
        <v>1321</v>
      </c>
      <c r="AB648">
        <f t="shared" si="121"/>
        <v>9042</v>
      </c>
      <c r="AC648">
        <f t="shared" si="122"/>
        <v>9042</v>
      </c>
      <c r="AI648" t="str">
        <f t="shared" si="125"/>
        <v>d</v>
      </c>
      <c r="BI648" s="40"/>
      <c r="BL648" s="40"/>
      <c r="BN648" s="19"/>
      <c r="BP648" s="17"/>
    </row>
    <row r="649" spans="1:68" x14ac:dyDescent="0.2">
      <c r="A649">
        <f t="shared" si="123"/>
        <v>1</v>
      </c>
      <c r="D649" s="26" t="s">
        <v>729</v>
      </c>
      <c r="E649" s="4"/>
      <c r="F649" s="46"/>
      <c r="G649" s="4"/>
      <c r="H649" s="48"/>
      <c r="I649" s="26">
        <v>69</v>
      </c>
      <c r="J649" s="26" t="s">
        <v>736</v>
      </c>
      <c r="K649" t="s">
        <v>9</v>
      </c>
      <c r="L649" t="s">
        <v>173</v>
      </c>
      <c r="M649" t="s">
        <v>73</v>
      </c>
      <c r="N649" t="str">
        <f t="shared" si="118"/>
        <v>u</v>
      </c>
      <c r="Q649" t="str">
        <f t="shared" si="117"/>
        <v/>
      </c>
      <c r="S649">
        <f>IF(A649=1,MAX($S$2:$S648)+1,IF(OR($I649&lt;&gt;"",A649="x"),$S648,""))</f>
        <v>322</v>
      </c>
      <c r="T649">
        <f>IF(D649=1,MAX($T$2:$T648)+1,IF(S649=S648,$T648,IF(D649="x",T648,IF(D648="x","",""))))</f>
        <v>42</v>
      </c>
      <c r="U649" t="str">
        <f>IF(B649=1,MAX($U$2:$U648)+1,IF(AND($T649&lt;&gt;"",$T649=$T648),$U648,IF(B649="x",U648,"")))</f>
        <v/>
      </c>
      <c r="V649" t="str">
        <f>IF(C649=1,MAX($V$2:$V648)+1,IF(AND($T649&lt;&gt;"",$T649=$T648),$U648,IF(C649="x",V648,"")))</f>
        <v/>
      </c>
      <c r="X649" cm="1">
        <f t="array" ref="X649">IF($I649&lt;&gt;"",$I649,INDEX($I$1:$I649,ROW()-COUNTIFS($T$1:$T649,"="&amp;$T649,$S$1:$S649,"&lt;"&amp;$S649)))</f>
        <v>69</v>
      </c>
      <c r="Z649" s="6">
        <f t="shared" si="119"/>
        <v>1</v>
      </c>
      <c r="AA649">
        <f t="shared" si="120"/>
        <v>1322</v>
      </c>
      <c r="AB649">
        <f t="shared" si="121"/>
        <v>9042</v>
      </c>
      <c r="AC649">
        <f t="shared" si="122"/>
        <v>9042</v>
      </c>
      <c r="AI649" t="str">
        <f t="shared" si="125"/>
        <v>d</v>
      </c>
      <c r="BI649" s="40"/>
      <c r="BL649" s="40"/>
      <c r="BN649" s="19"/>
      <c r="BP649" s="17"/>
    </row>
    <row r="650" spans="1:68" x14ac:dyDescent="0.2">
      <c r="A650" t="str">
        <f t="shared" si="123"/>
        <v>x</v>
      </c>
      <c r="D650" s="26" t="s">
        <v>729</v>
      </c>
      <c r="E650" s="4"/>
      <c r="F650" s="46"/>
      <c r="G650" s="4"/>
      <c r="H650" s="48"/>
      <c r="I650" s="26">
        <v>71</v>
      </c>
      <c r="J650" s="26" t="str">
        <f t="shared" si="124"/>
        <v/>
      </c>
      <c r="N650" t="str">
        <f t="shared" si="118"/>
        <v/>
      </c>
      <c r="Q650" t="str">
        <f t="shared" si="117"/>
        <v/>
      </c>
      <c r="S650">
        <f>IF(A650=1,MAX($S$2:$S649)+1,IF(OR($I650&lt;&gt;"",A650="x"),$S649,""))</f>
        <v>322</v>
      </c>
      <c r="T650">
        <f>IF(D650=1,MAX($T$2:$T649)+1,IF(S650=S649,$T649,IF(D650="x",T649,IF(D649="x","",""))))</f>
        <v>42</v>
      </c>
      <c r="U650" t="str">
        <f>IF(B650=1,MAX($U$2:$U649)+1,IF(AND($T650&lt;&gt;"",$T650=$T649),$U649,IF(B650="x",U649,"")))</f>
        <v/>
      </c>
      <c r="V650" t="str">
        <f>IF(C650=1,MAX($V$2:$V649)+1,IF(AND($T650&lt;&gt;"",$T650=$T649),$U649,IF(C650="x",V649,"")))</f>
        <v/>
      </c>
      <c r="X650" cm="1">
        <f t="array" ref="X650">IF($I650&lt;&gt;"",$I650,INDEX($I$1:$I650,ROW()-COUNTIFS($T$1:$T650,"="&amp;$T650,$S$1:$S650,"&lt;"&amp;$S650)))</f>
        <v>71</v>
      </c>
      <c r="Z650" s="6">
        <f t="shared" si="119"/>
        <v>1</v>
      </c>
      <c r="AA650">
        <f t="shared" si="120"/>
        <v>1322</v>
      </c>
      <c r="AB650">
        <f t="shared" si="121"/>
        <v>9042</v>
      </c>
      <c r="AC650">
        <f t="shared" si="122"/>
        <v>9042</v>
      </c>
      <c r="AI650" t="str">
        <f t="shared" si="125"/>
        <v>d</v>
      </c>
      <c r="BI650" s="40"/>
      <c r="BL650" s="40"/>
      <c r="BN650" s="19"/>
      <c r="BP650" s="17"/>
    </row>
    <row r="651" spans="1:68" x14ac:dyDescent="0.2">
      <c r="A651" t="str">
        <f t="shared" si="123"/>
        <v>x</v>
      </c>
      <c r="D651" s="26" t="s">
        <v>729</v>
      </c>
      <c r="E651" s="4"/>
      <c r="F651" s="46"/>
      <c r="G651" s="4"/>
      <c r="H651" s="48"/>
      <c r="I651" s="26">
        <v>70</v>
      </c>
      <c r="J651" s="26" t="str">
        <f t="shared" si="124"/>
        <v/>
      </c>
      <c r="N651" t="str">
        <f t="shared" si="118"/>
        <v/>
      </c>
      <c r="Q651" t="str">
        <f t="shared" si="117"/>
        <v/>
      </c>
      <c r="S651">
        <f>IF(A651=1,MAX($S$2:$S650)+1,IF(OR($I651&lt;&gt;"",A651="x"),$S650,""))</f>
        <v>322</v>
      </c>
      <c r="T651">
        <f>IF(D651=1,MAX($T$2:$T650)+1,IF(S651=S650,$T650,IF(D651="x",T650,IF(D650="x","",""))))</f>
        <v>42</v>
      </c>
      <c r="U651" t="str">
        <f>IF(B651=1,MAX($U$2:$U650)+1,IF(AND($T651&lt;&gt;"",$T651=$T650),$U650,IF(B651="x",U650,"")))</f>
        <v/>
      </c>
      <c r="V651" t="str">
        <f>IF(C651=1,MAX($V$2:$V650)+1,IF(AND($T651&lt;&gt;"",$T651=$T650),$U650,IF(C651="x",V650,"")))</f>
        <v/>
      </c>
      <c r="X651" cm="1">
        <f t="array" ref="X651">IF($I651&lt;&gt;"",$I651,INDEX($I$1:$I651,ROW()-COUNTIFS($T$1:$T651,"="&amp;$T651,$S$1:$S651,"&lt;"&amp;$S651)))</f>
        <v>70</v>
      </c>
      <c r="Z651" s="6">
        <f t="shared" si="119"/>
        <v>1</v>
      </c>
      <c r="AA651">
        <f t="shared" si="120"/>
        <v>1322</v>
      </c>
      <c r="AB651">
        <f t="shared" si="121"/>
        <v>9042</v>
      </c>
      <c r="AC651">
        <f t="shared" si="122"/>
        <v>9042</v>
      </c>
      <c r="AI651" t="str">
        <f t="shared" si="125"/>
        <v>d</v>
      </c>
      <c r="BI651" s="40"/>
      <c r="BL651" s="40"/>
      <c r="BN651" s="19"/>
      <c r="BP651" s="17"/>
    </row>
    <row r="652" spans="1:68" x14ac:dyDescent="0.2">
      <c r="A652" t="str">
        <f t="shared" si="123"/>
        <v>x</v>
      </c>
      <c r="D652" s="26" t="s">
        <v>729</v>
      </c>
      <c r="E652" s="4"/>
      <c r="F652" s="46"/>
      <c r="G652" s="4"/>
      <c r="H652" s="48"/>
      <c r="J652" s="26" t="str">
        <f t="shared" si="124"/>
        <v/>
      </c>
      <c r="N652" t="str">
        <f t="shared" si="118"/>
        <v/>
      </c>
      <c r="Q652" t="str">
        <f t="shared" si="117"/>
        <v/>
      </c>
      <c r="S652">
        <f>IF(A652=1,MAX($S$2:$S651)+1,IF(OR($I652&lt;&gt;"",A652="x"),$S651,""))</f>
        <v>322</v>
      </c>
      <c r="T652">
        <f>IF(D652=1,MAX($T$2:$T651)+1,IF(S652=S651,$T651,IF(D652="x",T651,IF(D651="x","",""))))</f>
        <v>42</v>
      </c>
      <c r="U652" t="str">
        <f>IF(B652=1,MAX($U$2:$U651)+1,IF(AND($T652&lt;&gt;"",$T652=$T651),$U651,IF(B652="x",U651,"")))</f>
        <v/>
      </c>
      <c r="V652" t="str">
        <f>IF(C652=1,MAX($V$2:$V651)+1,IF(AND($T652&lt;&gt;"",$T652=$T651),$U651,IF(C652="x",V651,"")))</f>
        <v/>
      </c>
      <c r="X652" cm="1">
        <f t="array" ref="X652">IF($I652&lt;&gt;"",$I652,INDEX($I$1:$I652,ROW()-COUNTIFS($T$1:$T652,"="&amp;$T652,$S$1:$S652,"&lt;"&amp;$S652)))</f>
        <v>69</v>
      </c>
      <c r="Z652" s="6">
        <f t="shared" si="119"/>
        <v>1</v>
      </c>
      <c r="AA652">
        <f t="shared" si="120"/>
        <v>1322</v>
      </c>
      <c r="AB652">
        <f t="shared" si="121"/>
        <v>9042</v>
      </c>
      <c r="AC652">
        <f t="shared" si="122"/>
        <v>9042</v>
      </c>
      <c r="AI652" t="str">
        <f t="shared" si="125"/>
        <v>d</v>
      </c>
      <c r="BI652" s="40"/>
      <c r="BL652" s="40"/>
      <c r="BN652" s="19"/>
      <c r="BP652" s="17"/>
    </row>
    <row r="653" spans="1:68" x14ac:dyDescent="0.2">
      <c r="A653">
        <f t="shared" si="123"/>
        <v>1</v>
      </c>
      <c r="E653" s="4"/>
      <c r="F653" s="46" t="s">
        <v>1041</v>
      </c>
      <c r="G653" s="4"/>
      <c r="H653" s="48" t="s">
        <v>1037</v>
      </c>
      <c r="I653" s="26">
        <v>70</v>
      </c>
      <c r="J653" s="26" t="s">
        <v>734</v>
      </c>
      <c r="K653" t="s">
        <v>13</v>
      </c>
      <c r="L653" t="s">
        <v>574</v>
      </c>
      <c r="N653" t="str">
        <f t="shared" si="118"/>
        <v/>
      </c>
      <c r="Q653" t="str">
        <f t="shared" si="117"/>
        <v/>
      </c>
      <c r="R653" s="26">
        <v>1</v>
      </c>
      <c r="S653">
        <f>IF(A653=1,MAX($S$2:$S652)+1,IF(OR($I653&lt;&gt;"",A653="x"),$S652,""))</f>
        <v>323</v>
      </c>
      <c r="T653" t="str">
        <f>IF(D653=1,MAX($T$2:$T652)+1,IF(S653=S652,$T652,IF(D653="x",T652,IF(D652="x","",""))))</f>
        <v/>
      </c>
      <c r="U653" t="str">
        <f>IF(B653=1,MAX($U$2:$U652)+1,IF(AND($T653&lt;&gt;"",$T653=$T652),$U652,IF(B653="x",U652,"")))</f>
        <v/>
      </c>
      <c r="V653" t="str">
        <f>IF(C653=1,MAX($V$2:$V652)+1,IF(AND($T653&lt;&gt;"",$T653=$T652),$U652,IF(C653="x",V652,"")))</f>
        <v/>
      </c>
      <c r="X653" cm="1">
        <f t="array" ref="X653">IF($I653&lt;&gt;"",$I653,INDEX($I$1:$I653,ROW()-COUNTIFS($T$1:$T653,"="&amp;$T653,$S$1:$S653,"&lt;"&amp;$S653)))</f>
        <v>70</v>
      </c>
      <c r="Z653" s="6">
        <f t="shared" si="119"/>
        <v>1</v>
      </c>
      <c r="AA653">
        <f t="shared" si="120"/>
        <v>1323</v>
      </c>
      <c r="AB653" t="str">
        <f t="shared" si="121"/>
        <v/>
      </c>
      <c r="AC653">
        <f t="shared" si="122"/>
        <v>1323</v>
      </c>
      <c r="AI653" t="str">
        <f t="shared" si="125"/>
        <v>n</v>
      </c>
      <c r="BI653" s="40"/>
      <c r="BL653" s="40"/>
      <c r="BN653" s="19"/>
      <c r="BP653" s="17"/>
    </row>
    <row r="654" spans="1:68" x14ac:dyDescent="0.2">
      <c r="A654" t="str">
        <f t="shared" si="123"/>
        <v/>
      </c>
      <c r="E654" s="4"/>
      <c r="F654" s="46"/>
      <c r="G654" s="4"/>
      <c r="H654" s="48"/>
      <c r="I654" s="26">
        <v>41</v>
      </c>
      <c r="J654" s="26" t="str">
        <f t="shared" si="124"/>
        <v/>
      </c>
      <c r="N654" t="str">
        <f t="shared" si="118"/>
        <v/>
      </c>
      <c r="Q654" t="str">
        <f t="shared" si="117"/>
        <v/>
      </c>
      <c r="R654" s="26">
        <v>1</v>
      </c>
      <c r="S654">
        <f>IF(A654=1,MAX($S$2:$S653)+1,IF(OR($I654&lt;&gt;"",A654="x"),$S653,""))</f>
        <v>323</v>
      </c>
      <c r="T654" t="str">
        <f>IF(D654=1,MAX($T$2:$T653)+1,IF(S654=S653,$T653,IF(D654="x",T653,IF(D653="x","",""))))</f>
        <v/>
      </c>
      <c r="U654" t="str">
        <f>IF(B654=1,MAX($U$2:$U653)+1,IF(AND($T654&lt;&gt;"",$T654=$T653),$U653,IF(B654="x",U653,"")))</f>
        <v/>
      </c>
      <c r="V654" t="str">
        <f>IF(C654=1,MAX($V$2:$V653)+1,IF(AND($T654&lt;&gt;"",$T654=$T653),$U653,IF(C654="x",V653,"")))</f>
        <v/>
      </c>
      <c r="X654" cm="1">
        <f t="array" ref="X654">IF($I654&lt;&gt;"",$I654,INDEX($I$1:$I654,ROW()-COUNTIFS($T$1:$T654,"="&amp;$T654,$S$1:$S654,"&lt;"&amp;$S654)))</f>
        <v>41</v>
      </c>
      <c r="Z654" s="6">
        <f t="shared" si="119"/>
        <v>1</v>
      </c>
      <c r="AA654">
        <f t="shared" si="120"/>
        <v>1323</v>
      </c>
      <c r="AB654" t="str">
        <f t="shared" si="121"/>
        <v/>
      </c>
      <c r="AC654">
        <f t="shared" si="122"/>
        <v>1323</v>
      </c>
      <c r="AI654" t="str">
        <f t="shared" si="125"/>
        <v>n</v>
      </c>
      <c r="BI654" s="40"/>
      <c r="BL654" s="40"/>
      <c r="BN654" s="19"/>
      <c r="BP654" s="17"/>
    </row>
    <row r="655" spans="1:68" x14ac:dyDescent="0.2">
      <c r="A655">
        <f t="shared" si="123"/>
        <v>1</v>
      </c>
      <c r="E655" s="4"/>
      <c r="F655" s="46"/>
      <c r="G655" s="4"/>
      <c r="H655" s="48"/>
      <c r="I655" s="26">
        <v>70</v>
      </c>
      <c r="J655" s="26" t="s">
        <v>734</v>
      </c>
      <c r="K655" t="s">
        <v>7</v>
      </c>
      <c r="L655" t="s">
        <v>172</v>
      </c>
      <c r="M655" t="s">
        <v>68</v>
      </c>
      <c r="N655" t="str">
        <f t="shared" si="118"/>
        <v>s</v>
      </c>
      <c r="Q655" t="str">
        <f t="shared" si="117"/>
        <v/>
      </c>
      <c r="R655" s="26">
        <v>1</v>
      </c>
      <c r="S655">
        <f>IF(A655=1,MAX($S$2:$S654)+1,IF(OR($I655&lt;&gt;"",A655="x"),$S654,""))</f>
        <v>324</v>
      </c>
      <c r="T655" t="str">
        <f>IF(D655=1,MAX($T$2:$T654)+1,IF(S655=S654,$T654,IF(D655="x",T654,IF(D654="x","",""))))</f>
        <v/>
      </c>
      <c r="U655" t="str">
        <f>IF(B655=1,MAX($U$2:$U654)+1,IF(AND($T655&lt;&gt;"",$T655=$T654),$U654,IF(B655="x",U654,"")))</f>
        <v/>
      </c>
      <c r="V655" t="str">
        <f>IF(C655=1,MAX($V$2:$V654)+1,IF(AND($T655&lt;&gt;"",$T655=$T654),$U654,IF(C655="x",V654,"")))</f>
        <v/>
      </c>
      <c r="X655" cm="1">
        <f t="array" ref="X655">IF($I655&lt;&gt;"",$I655,INDEX($I$1:$I655,ROW()-COUNTIFS($T$1:$T655,"="&amp;$T655,$S$1:$S655,"&lt;"&amp;$S655)))</f>
        <v>70</v>
      </c>
      <c r="Z655" s="6">
        <f t="shared" si="119"/>
        <v>1</v>
      </c>
      <c r="AA655">
        <f t="shared" si="120"/>
        <v>1324</v>
      </c>
      <c r="AB655" t="str">
        <f t="shared" si="121"/>
        <v/>
      </c>
      <c r="AC655">
        <f t="shared" si="122"/>
        <v>1324</v>
      </c>
      <c r="AI655" t="str">
        <f t="shared" si="125"/>
        <v>n</v>
      </c>
      <c r="BI655" s="40"/>
      <c r="BL655" s="40"/>
      <c r="BN655" s="19"/>
      <c r="BP655" s="17"/>
    </row>
    <row r="656" spans="1:68" x14ac:dyDescent="0.2">
      <c r="A656" t="str">
        <f t="shared" si="123"/>
        <v/>
      </c>
      <c r="E656" s="4"/>
      <c r="F656" s="46"/>
      <c r="G656" s="4"/>
      <c r="H656" s="48"/>
      <c r="I656" s="26">
        <v>24</v>
      </c>
      <c r="N656" t="str">
        <f t="shared" si="118"/>
        <v/>
      </c>
      <c r="Q656" t="str">
        <f t="shared" ref="Q656:Q719" si="126">IF(O656="","",IF(AND(N656&lt;&gt;"",OR(O656&lt;&gt;"",P656&lt;&gt;"")),N656,IF(OR(ISNUMBER(SEARCH("attemp",O656)),ISNUMBER(SEARCH("beat",O656)),ISNUMBER(SEARCH("mis",O656)),ISNUMBER(SEARCH("fail",O656)),ISNUMBER(SEARCH("loss",O656)),ISNUMBER(SEARCH("lost",O656)),ISNUMBER(SEARCH("attemp",P656)),ISNUMBER(SEARCH("mis",P656)),ISNUMBER(SEARCH("fail",P656)),ISNUMBER(SEARCH("loss",P656)),ISNUMBER(SEARCH("beat",P656)),ISNUMBER(SEARCH("lost",P656))),"u","")))</f>
        <v/>
      </c>
      <c r="S656">
        <f>IF(A656=1,MAX($S$2:$S655)+1,IF(OR($I656&lt;&gt;"",A656="x"),$S655,""))</f>
        <v>324</v>
      </c>
      <c r="T656" t="str">
        <f>IF(D656=1,MAX($T$2:$T655)+1,IF(S656=S655,$T655,IF(D656="x",T655,IF(D655="x","",""))))</f>
        <v/>
      </c>
      <c r="U656" t="str">
        <f>IF(B656=1,MAX($U$2:$U655)+1,IF(AND($T656&lt;&gt;"",$T656=$T655),$U655,IF(B656="x",U655,"")))</f>
        <v/>
      </c>
      <c r="V656" t="str">
        <f>IF(C656=1,MAX($V$2:$V655)+1,IF(AND($T656&lt;&gt;"",$T656=$T655),$U655,IF(C656="x",V655,"")))</f>
        <v/>
      </c>
      <c r="X656" cm="1">
        <f t="array" ref="X656">IF($I656&lt;&gt;"",$I656,INDEX($I$1:$I656,ROW()-COUNTIFS($T$1:$T656,"="&amp;$T656,$S$1:$S656,"&lt;"&amp;$S656)))</f>
        <v>24</v>
      </c>
      <c r="Z656" s="6">
        <f t="shared" si="119"/>
        <v>1</v>
      </c>
      <c r="AA656">
        <f t="shared" si="120"/>
        <v>1324</v>
      </c>
      <c r="AB656" t="str">
        <f t="shared" si="121"/>
        <v/>
      </c>
      <c r="AC656">
        <f t="shared" si="122"/>
        <v>1324</v>
      </c>
      <c r="AI656" t="str">
        <f t="shared" si="125"/>
        <v>n</v>
      </c>
      <c r="BI656" s="40"/>
      <c r="BL656" s="40"/>
      <c r="BN656" s="19"/>
      <c r="BP656" s="17"/>
    </row>
    <row r="657" spans="1:68" x14ac:dyDescent="0.2">
      <c r="A657" t="str">
        <f t="shared" si="123"/>
        <v/>
      </c>
      <c r="E657" s="4"/>
      <c r="F657" s="46"/>
      <c r="G657" s="4"/>
      <c r="H657" s="48"/>
      <c r="I657" s="26">
        <v>41</v>
      </c>
      <c r="J657" s="26" t="str">
        <f t="shared" si="124"/>
        <v/>
      </c>
      <c r="N657" t="str">
        <f t="shared" si="118"/>
        <v/>
      </c>
      <c r="O657" t="s">
        <v>567</v>
      </c>
      <c r="Q657" t="str">
        <f t="shared" si="126"/>
        <v/>
      </c>
      <c r="R657" s="26">
        <v>1</v>
      </c>
      <c r="S657">
        <f>IF(A657=1,MAX($S$2:$S656)+1,IF(OR($I657&lt;&gt;"",A657="x"),$S656,""))</f>
        <v>324</v>
      </c>
      <c r="T657" t="str">
        <f>IF(D657=1,MAX($T$2:$T656)+1,IF(S657=S656,$T656,IF(D657="x",T656,IF(D656="x","",""))))</f>
        <v/>
      </c>
      <c r="U657" t="str">
        <f>IF(B657=1,MAX($U$2:$U656)+1,IF(AND($T657&lt;&gt;"",$T657=$T656),$U656,IF(B657="x",U656,"")))</f>
        <v/>
      </c>
      <c r="V657" t="str">
        <f>IF(C657=1,MAX($V$2:$V656)+1,IF(AND($T657&lt;&gt;"",$T657=$T656),$U656,IF(C657="x",V656,"")))</f>
        <v/>
      </c>
      <c r="X657" cm="1">
        <f t="array" ref="X657">IF($I657&lt;&gt;"",$I657,INDEX($I$1:$I657,ROW()-COUNTIFS($T$1:$T657,"="&amp;$T657,$S$1:$S657,"&lt;"&amp;$S657)))</f>
        <v>41</v>
      </c>
      <c r="Z657" s="6">
        <f t="shared" si="119"/>
        <v>1</v>
      </c>
      <c r="AA657">
        <f t="shared" si="120"/>
        <v>1324</v>
      </c>
      <c r="AB657" t="str">
        <f t="shared" si="121"/>
        <v/>
      </c>
      <c r="AC657">
        <f t="shared" si="122"/>
        <v>1324</v>
      </c>
      <c r="AI657" t="str">
        <f t="shared" si="125"/>
        <v>n</v>
      </c>
      <c r="BI657" s="40"/>
      <c r="BL657" s="40"/>
      <c r="BN657" s="19"/>
      <c r="BP657" s="17"/>
    </row>
    <row r="658" spans="1:68" x14ac:dyDescent="0.2">
      <c r="A658">
        <f t="shared" si="123"/>
        <v>1</v>
      </c>
      <c r="E658" s="4"/>
      <c r="F658" s="46" t="s">
        <v>1068</v>
      </c>
      <c r="G658" s="4"/>
      <c r="H658" s="48" t="s">
        <v>1035</v>
      </c>
      <c r="I658" s="26">
        <v>24</v>
      </c>
      <c r="J658" s="26" t="str">
        <f t="shared" si="124"/>
        <v>o</v>
      </c>
      <c r="K658" t="s">
        <v>238</v>
      </c>
      <c r="L658" t="s">
        <v>174</v>
      </c>
      <c r="M658" t="s">
        <v>85</v>
      </c>
      <c r="N658" t="s">
        <v>594</v>
      </c>
      <c r="Q658" t="str">
        <f t="shared" si="126"/>
        <v/>
      </c>
      <c r="S658">
        <f>IF(A658=1,MAX($S$2:$S657)+1,IF(OR($I658&lt;&gt;"",A658="x"),$S657,""))</f>
        <v>325</v>
      </c>
      <c r="T658" t="str">
        <f>IF(D658=1,MAX($T$2:$T657)+1,IF(S658=S657,$T657,IF(D658="x",T657,IF(D657="x","",""))))</f>
        <v/>
      </c>
      <c r="U658" t="str">
        <f>IF(B658=1,MAX($U$2:$U657)+1,IF(AND($T658&lt;&gt;"",$T658=$T657),$U657,IF(B658="x",U657,"")))</f>
        <v/>
      </c>
      <c r="V658" t="str">
        <f>IF(C658=1,MAX($V$2:$V657)+1,IF(AND($T658&lt;&gt;"",$T658=$T657),$U657,IF(C658="x",V657,"")))</f>
        <v/>
      </c>
      <c r="X658" cm="1">
        <f t="array" ref="X658">IF($I658&lt;&gt;"",$I658,INDEX($I$1:$I658,ROW()-COUNTIFS($T$1:$T658,"="&amp;$T658,$S$1:$S658,"&lt;"&amp;$S658)))</f>
        <v>24</v>
      </c>
      <c r="Z658" s="6">
        <f t="shared" si="119"/>
        <v>1</v>
      </c>
      <c r="AA658">
        <f t="shared" si="120"/>
        <v>1325</v>
      </c>
      <c r="AB658" t="str">
        <f t="shared" si="121"/>
        <v/>
      </c>
      <c r="AC658">
        <f t="shared" si="122"/>
        <v>1325</v>
      </c>
      <c r="AI658" t="str">
        <f t="shared" si="125"/>
        <v>o</v>
      </c>
      <c r="BI658" s="40"/>
      <c r="BL658" s="40"/>
      <c r="BN658" s="19"/>
      <c r="BP658" s="17"/>
    </row>
    <row r="659" spans="1:68" x14ac:dyDescent="0.2">
      <c r="A659" t="str">
        <f t="shared" si="123"/>
        <v/>
      </c>
      <c r="E659" s="4"/>
      <c r="F659" s="46"/>
      <c r="G659" s="4"/>
      <c r="H659" s="48"/>
      <c r="I659" s="26">
        <v>21</v>
      </c>
      <c r="J659" s="26" t="str">
        <f t="shared" si="124"/>
        <v/>
      </c>
      <c r="N659" t="str">
        <f t="shared" si="118"/>
        <v/>
      </c>
      <c r="Q659" t="str">
        <f t="shared" si="126"/>
        <v/>
      </c>
      <c r="S659">
        <f>IF(A659=1,MAX($S$2:$S658)+1,IF(OR($I659&lt;&gt;"",A659="x"),$S658,""))</f>
        <v>325</v>
      </c>
      <c r="T659" t="str">
        <f>IF(D659=1,MAX($T$2:$T658)+1,IF(S659=S658,$T658,IF(D659="x",T658,IF(D658="x","",""))))</f>
        <v/>
      </c>
      <c r="U659" t="str">
        <f>IF(B659=1,MAX($U$2:$U658)+1,IF(AND($T659&lt;&gt;"",$T659=$T658),$U658,IF(B659="x",U658,"")))</f>
        <v/>
      </c>
      <c r="V659" t="str">
        <f>IF(C659=1,MAX($V$2:$V658)+1,IF(AND($T659&lt;&gt;"",$T659=$T658),$U658,IF(C659="x",V658,"")))</f>
        <v/>
      </c>
      <c r="X659" cm="1">
        <f t="array" ref="X659">IF($I659&lt;&gt;"",$I659,INDEX($I$1:$I659,ROW()-COUNTIFS($T$1:$T659,"="&amp;$T659,$S$1:$S659,"&lt;"&amp;$S659)))</f>
        <v>21</v>
      </c>
      <c r="Z659" s="6">
        <f t="shared" si="119"/>
        <v>1</v>
      </c>
      <c r="AA659">
        <f t="shared" si="120"/>
        <v>1325</v>
      </c>
      <c r="AB659" t="str">
        <f t="shared" si="121"/>
        <v/>
      </c>
      <c r="AC659">
        <f t="shared" si="122"/>
        <v>1325</v>
      </c>
      <c r="AI659" t="str">
        <f t="shared" si="125"/>
        <v>o</v>
      </c>
      <c r="BI659" s="40"/>
      <c r="BL659" s="40"/>
      <c r="BN659" s="19"/>
      <c r="BP659" s="17"/>
    </row>
    <row r="660" spans="1:68" x14ac:dyDescent="0.2">
      <c r="A660">
        <f t="shared" si="123"/>
        <v>1</v>
      </c>
      <c r="D660" s="26">
        <v>1</v>
      </c>
      <c r="E660" s="4"/>
      <c r="F660" s="46"/>
      <c r="G660" s="4"/>
      <c r="H660" s="48"/>
      <c r="I660" s="26">
        <v>24</v>
      </c>
      <c r="J660" s="26" t="str">
        <f t="shared" si="124"/>
        <v>o</v>
      </c>
      <c r="K660" t="s">
        <v>6</v>
      </c>
      <c r="L660" t="s">
        <v>181</v>
      </c>
      <c r="M660" t="s">
        <v>51</v>
      </c>
      <c r="N660" t="str">
        <f t="shared" si="118"/>
        <v>u</v>
      </c>
      <c r="Q660" t="str">
        <f t="shared" si="126"/>
        <v/>
      </c>
      <c r="R660" s="26">
        <v>1</v>
      </c>
      <c r="S660">
        <f>IF(A660=1,MAX($S$2:$S659)+1,IF(OR($I660&lt;&gt;"",A660="x"),$S659,""))</f>
        <v>326</v>
      </c>
      <c r="T660">
        <f>IF(D660=1,MAX($T$2:$T659)+1,IF(S660=S659,$T659,IF(D660="x",T659,IF(D659="x","",""))))</f>
        <v>43</v>
      </c>
      <c r="U660" t="str">
        <f>IF(B660=1,MAX($U$2:$U659)+1,IF(AND($T660&lt;&gt;"",$T660=$T659),$U659,IF(B660="x",U659,"")))</f>
        <v/>
      </c>
      <c r="V660" t="str">
        <f>IF(C660=1,MAX($V$2:$V659)+1,IF(AND($T660&lt;&gt;"",$T660=$T659),$U659,IF(C660="x",V659,"")))</f>
        <v/>
      </c>
      <c r="X660" cm="1">
        <f t="array" ref="X660">IF($I660&lt;&gt;"",$I660,INDEX($I$1:$I660,ROW()-COUNTIFS($T$1:$T660,"="&amp;$T660,$S$1:$S660,"&lt;"&amp;$S660)))</f>
        <v>24</v>
      </c>
      <c r="Z660" s="6">
        <f t="shared" si="119"/>
        <v>1</v>
      </c>
      <c r="AA660">
        <f t="shared" si="120"/>
        <v>1326</v>
      </c>
      <c r="AB660">
        <f t="shared" si="121"/>
        <v>9043</v>
      </c>
      <c r="AC660">
        <f t="shared" si="122"/>
        <v>9043</v>
      </c>
      <c r="AI660" t="str">
        <f t="shared" si="125"/>
        <v>o</v>
      </c>
      <c r="BI660" s="40"/>
      <c r="BL660" s="40"/>
      <c r="BN660" s="19"/>
      <c r="BP660" s="17"/>
    </row>
    <row r="661" spans="1:68" x14ac:dyDescent="0.2">
      <c r="A661" t="str">
        <f t="shared" si="123"/>
        <v>x</v>
      </c>
      <c r="D661" s="26" t="s">
        <v>729</v>
      </c>
      <c r="E661" s="4"/>
      <c r="F661" s="46"/>
      <c r="G661" s="4"/>
      <c r="H661" s="48"/>
      <c r="I661" s="26">
        <v>21</v>
      </c>
      <c r="J661" s="26" t="str">
        <f t="shared" si="124"/>
        <v/>
      </c>
      <c r="N661" t="str">
        <f t="shared" ref="N661:N724" si="127">IF(K661="","",IF(K661="Goal","s",IF(AND(K661="Zone_Entry_Exit",OR(ISNUMBER(SEARCH("fail",L661)),ISNUMBER(SEARCH("FromExitClear",M661)),ISNUMBER(SEARCH("miss",M661)))),"u",IF(AND(K661="Zone_Entry_Exit",OR(NOT(ISNUMBER(SEARCH("fail",L661))),NOT(ISNUMBER(SEARCH("FromExitClear",M661))),NOT(ISNUMBER(SEARCH("miss",M661))))),"s",IF(AND(OR(K661="Shot",K661="Pass"),OR(ISNUMBER(SEARCH("complete",L661)),ISNUMBER(SEARCH("goal",L661)),ISNUMBER(SEARCH("OnNet",L661)))),"s",IF(L661="Turnover_Giveaway","u",IF(AND(OR(K661="Shot",K661="Pass"),OR(ISNUMBER(SEARCH("fail",L661)),NOT(ISNUMBER(SEARCH("complete",L661))),NOT(ISNUMBER(SEARCH("OnNet",L661))))),"u","")))))))</f>
        <v/>
      </c>
      <c r="O661" t="s">
        <v>566</v>
      </c>
      <c r="Q661" t="str">
        <f t="shared" si="126"/>
        <v/>
      </c>
      <c r="R661" s="26">
        <v>1</v>
      </c>
      <c r="S661">
        <f>IF(A661=1,MAX($S$2:$S660)+1,IF(OR($I661&lt;&gt;"",A661="x"),$S660,""))</f>
        <v>326</v>
      </c>
      <c r="T661">
        <f>IF(D661=1,MAX($T$2:$T660)+1,IF(S661=S660,$T660,IF(D661="x",T660,IF(D660="x","",""))))</f>
        <v>43</v>
      </c>
      <c r="U661" t="str">
        <f>IF(B661=1,MAX($U$2:$U660)+1,IF(AND($T661&lt;&gt;"",$T661=$T660),$U660,IF(B661="x",U660,"")))</f>
        <v/>
      </c>
      <c r="V661" t="str">
        <f>IF(C661=1,MAX($V$2:$V660)+1,IF(AND($T661&lt;&gt;"",$T661=$T660),$U660,IF(C661="x",V660,"")))</f>
        <v/>
      </c>
      <c r="X661" cm="1">
        <f t="array" ref="X661">IF($I661&lt;&gt;"",$I661,INDEX($I$1:$I661,ROW()-COUNTIFS($T$1:$T661,"="&amp;$T661,$S$1:$S661,"&lt;"&amp;$S661)))</f>
        <v>21</v>
      </c>
      <c r="Z661" s="6">
        <f t="shared" si="119"/>
        <v>1</v>
      </c>
      <c r="AA661">
        <f t="shared" si="120"/>
        <v>1326</v>
      </c>
      <c r="AB661">
        <f t="shared" si="121"/>
        <v>9043</v>
      </c>
      <c r="AC661">
        <f t="shared" si="122"/>
        <v>9043</v>
      </c>
      <c r="AI661" t="str">
        <f t="shared" si="125"/>
        <v>o</v>
      </c>
      <c r="BI661" s="40"/>
      <c r="BL661" s="40"/>
      <c r="BN661" s="19"/>
      <c r="BP661" s="17"/>
    </row>
    <row r="662" spans="1:68" x14ac:dyDescent="0.2">
      <c r="A662">
        <f t="shared" si="123"/>
        <v>1</v>
      </c>
      <c r="D662" s="26" t="s">
        <v>729</v>
      </c>
      <c r="E662" s="4"/>
      <c r="F662" s="46"/>
      <c r="G662" s="4"/>
      <c r="H662" s="48"/>
      <c r="J662" s="26" t="s">
        <v>368</v>
      </c>
      <c r="K662" t="s">
        <v>9</v>
      </c>
      <c r="L662" t="s">
        <v>173</v>
      </c>
      <c r="M662" t="s">
        <v>77</v>
      </c>
      <c r="N662" t="str">
        <f t="shared" si="127"/>
        <v>u</v>
      </c>
      <c r="Q662" t="str">
        <f t="shared" si="126"/>
        <v/>
      </c>
      <c r="S662">
        <f>IF(A662=1,MAX($S$2:$S661)+1,IF(OR($I662&lt;&gt;"",A662="x"),$S661,""))</f>
        <v>327</v>
      </c>
      <c r="T662">
        <f>IF(D662=1,MAX($T$2:$T661)+1,IF(S662=S661,$T661,IF(D662="x",T661,IF(D661="x","",""))))</f>
        <v>43</v>
      </c>
      <c r="U662" t="str">
        <f>IF(B662=1,MAX($U$2:$U661)+1,IF(AND($T662&lt;&gt;"",$T662=$T661),$U661,IF(B662="x",U661,"")))</f>
        <v/>
      </c>
      <c r="V662" t="str">
        <f>IF(C662=1,MAX($V$2:$V661)+1,IF(AND($T662&lt;&gt;"",$T662=$T661),$U661,IF(C662="x",V661,"")))</f>
        <v/>
      </c>
      <c r="X662" cm="1">
        <f t="array" ref="X662">IF($I662&lt;&gt;"",$I662,INDEX($I$1:$I662,ROW()-COUNTIFS($T$1:$T662,"="&amp;$T662,$S$1:$S662,"&lt;"&amp;$S662)))</f>
        <v>24</v>
      </c>
      <c r="Z662" s="6">
        <f t="shared" si="119"/>
        <v>1</v>
      </c>
      <c r="AA662">
        <f t="shared" si="120"/>
        <v>1327</v>
      </c>
      <c r="AB662">
        <f t="shared" si="121"/>
        <v>9043</v>
      </c>
      <c r="AC662">
        <f t="shared" si="122"/>
        <v>9043</v>
      </c>
      <c r="AI662" t="str">
        <f t="shared" si="125"/>
        <v>o</v>
      </c>
      <c r="BI662" s="40"/>
      <c r="BL662" s="40"/>
      <c r="BN662" s="19"/>
      <c r="BP662" s="17"/>
    </row>
    <row r="663" spans="1:68" x14ac:dyDescent="0.2">
      <c r="A663" t="str">
        <f t="shared" si="123"/>
        <v>x</v>
      </c>
      <c r="D663" s="26" t="s">
        <v>729</v>
      </c>
      <c r="E663" s="4"/>
      <c r="F663" s="46"/>
      <c r="G663" s="4"/>
      <c r="H663" s="48"/>
      <c r="J663" s="26" t="str">
        <f t="shared" si="124"/>
        <v/>
      </c>
      <c r="N663" t="str">
        <f t="shared" si="127"/>
        <v/>
      </c>
      <c r="Q663" t="str">
        <f t="shared" si="126"/>
        <v/>
      </c>
      <c r="S663">
        <f>IF(A663=1,MAX($S$2:$S662)+1,IF(OR($I663&lt;&gt;"",A663="x"),$S662,""))</f>
        <v>327</v>
      </c>
      <c r="T663">
        <f>IF(D663=1,MAX($T$2:$T662)+1,IF(S663=S662,$T662,IF(D663="x",T662,IF(D662="x","",""))))</f>
        <v>43</v>
      </c>
      <c r="U663" t="str">
        <f>IF(B663=1,MAX($U$2:$U662)+1,IF(AND($T663&lt;&gt;"",$T663=$T662),$U662,IF(B663="x",U662,"")))</f>
        <v/>
      </c>
      <c r="V663" t="str">
        <f>IF(C663=1,MAX($V$2:$V662)+1,IF(AND($T663&lt;&gt;"",$T663=$T662),$U662,IF(C663="x",V662,"")))</f>
        <v/>
      </c>
      <c r="X663" cm="1">
        <f t="array" ref="X663">IF($I663&lt;&gt;"",$I663,INDEX($I$1:$I663,ROW()-COUNTIFS($T$1:$T663,"="&amp;$T663,$S$1:$S663,"&lt;"&amp;$S663)))</f>
        <v>21</v>
      </c>
      <c r="Z663" s="6">
        <f t="shared" si="119"/>
        <v>1</v>
      </c>
      <c r="AA663">
        <f t="shared" si="120"/>
        <v>1327</v>
      </c>
      <c r="AB663">
        <f t="shared" si="121"/>
        <v>9043</v>
      </c>
      <c r="AC663">
        <f t="shared" si="122"/>
        <v>9043</v>
      </c>
      <c r="AI663" t="str">
        <f t="shared" si="125"/>
        <v>o</v>
      </c>
      <c r="BI663" s="40"/>
      <c r="BL663" s="40"/>
      <c r="BN663" s="19"/>
      <c r="BP663" s="17"/>
    </row>
    <row r="664" spans="1:68" x14ac:dyDescent="0.2">
      <c r="A664">
        <f t="shared" si="123"/>
        <v>1</v>
      </c>
      <c r="E664" s="4"/>
      <c r="F664" s="46" t="s">
        <v>1048</v>
      </c>
      <c r="G664" s="4"/>
      <c r="H664" s="48"/>
      <c r="I664" s="26">
        <v>69</v>
      </c>
      <c r="J664" s="26" t="s">
        <v>736</v>
      </c>
      <c r="K664" t="s">
        <v>13</v>
      </c>
      <c r="L664" t="s">
        <v>586</v>
      </c>
      <c r="N664" t="str">
        <f t="shared" si="127"/>
        <v/>
      </c>
      <c r="Q664" t="str">
        <f t="shared" si="126"/>
        <v/>
      </c>
      <c r="S664">
        <f>IF(A664=1,MAX($S$2:$S663)+1,IF(OR($I664&lt;&gt;"",A664="x"),$S663,""))</f>
        <v>328</v>
      </c>
      <c r="T664" t="str">
        <f>IF(D664=1,MAX($T$2:$T663)+1,IF(S664=S663,$T663,IF(D664="x",T663,IF(D663="x","",""))))</f>
        <v/>
      </c>
      <c r="U664" t="str">
        <f>IF(B664=1,MAX($U$2:$U663)+1,IF(AND($T664&lt;&gt;"",$T664=$T663),$U663,IF(B664="x",U663,"")))</f>
        <v/>
      </c>
      <c r="V664" t="str">
        <f>IF(C664=1,MAX($V$2:$V663)+1,IF(AND($T664&lt;&gt;"",$T664=$T663),$U663,IF(C664="x",V663,"")))</f>
        <v/>
      </c>
      <c r="X664" cm="1">
        <f t="array" ref="X664">IF($I664&lt;&gt;"",$I664,INDEX($I$1:$I664,ROW()-COUNTIFS($T$1:$T664,"="&amp;$T664,$S$1:$S664,"&lt;"&amp;$S664)))</f>
        <v>69</v>
      </c>
      <c r="Z664" s="6">
        <f t="shared" si="119"/>
        <v>1</v>
      </c>
      <c r="AA664">
        <f t="shared" si="120"/>
        <v>1328</v>
      </c>
      <c r="AB664" t="str">
        <f t="shared" si="121"/>
        <v/>
      </c>
      <c r="AC664">
        <f t="shared" si="122"/>
        <v>1328</v>
      </c>
      <c r="AI664" t="str">
        <f t="shared" si="125"/>
        <v>d</v>
      </c>
      <c r="BI664" s="40"/>
      <c r="BL664" s="40"/>
      <c r="BN664" s="19"/>
      <c r="BP664" s="17"/>
    </row>
    <row r="665" spans="1:68" x14ac:dyDescent="0.2">
      <c r="A665">
        <f t="shared" si="123"/>
        <v>1</v>
      </c>
      <c r="D665" s="26">
        <v>1</v>
      </c>
      <c r="E665" s="4"/>
      <c r="F665" s="46"/>
      <c r="G665" s="4"/>
      <c r="H665" s="48"/>
      <c r="I665" s="26">
        <v>69</v>
      </c>
      <c r="J665" s="26" t="s">
        <v>736</v>
      </c>
      <c r="K665" t="s">
        <v>7</v>
      </c>
      <c r="L665" t="s">
        <v>182</v>
      </c>
      <c r="M665" t="s">
        <v>445</v>
      </c>
      <c r="N665" t="str">
        <f t="shared" si="127"/>
        <v>u</v>
      </c>
      <c r="Q665" t="str">
        <f t="shared" si="126"/>
        <v/>
      </c>
      <c r="S665">
        <f>IF(A665=1,MAX($S$2:$S664)+1,IF(OR($I665&lt;&gt;"",A665="x"),$S664,""))</f>
        <v>329</v>
      </c>
      <c r="T665">
        <f>IF(D665=1,MAX($T$2:$T664)+1,IF(S665=S664,$T664,IF(D665="x",T664,IF(D664="x","",""))))</f>
        <v>44</v>
      </c>
      <c r="U665" t="str">
        <f>IF(B665=1,MAX($U$2:$U664)+1,IF(AND($T665&lt;&gt;"",$T665=$T664),$U664,IF(B665="x",U664,"")))</f>
        <v/>
      </c>
      <c r="V665" t="str">
        <f>IF(C665=1,MAX($V$2:$V664)+1,IF(AND($T665&lt;&gt;"",$T665=$T664),$U664,IF(C665="x",V664,"")))</f>
        <v/>
      </c>
      <c r="X665" cm="1">
        <f t="array" ref="X665">IF($I665&lt;&gt;"",$I665,INDEX($I$1:$I665,ROW()-COUNTIFS($T$1:$T665,"="&amp;$T665,$S$1:$S665,"&lt;"&amp;$S665)))</f>
        <v>69</v>
      </c>
      <c r="Z665" s="6">
        <f t="shared" si="119"/>
        <v>1</v>
      </c>
      <c r="AA665">
        <f t="shared" si="120"/>
        <v>1329</v>
      </c>
      <c r="AB665">
        <f t="shared" si="121"/>
        <v>9044</v>
      </c>
      <c r="AC665">
        <f t="shared" si="122"/>
        <v>9044</v>
      </c>
      <c r="AI665" t="str">
        <f t="shared" si="125"/>
        <v>d</v>
      </c>
      <c r="BI665" s="40"/>
      <c r="BL665" s="40"/>
      <c r="BN665" s="19"/>
      <c r="BP665" s="17"/>
    </row>
    <row r="666" spans="1:68" x14ac:dyDescent="0.2">
      <c r="A666" t="str">
        <f t="shared" si="123"/>
        <v>x</v>
      </c>
      <c r="D666" s="26" t="s">
        <v>729</v>
      </c>
      <c r="E666" s="4"/>
      <c r="F666" s="46"/>
      <c r="G666" s="4"/>
      <c r="H666" s="48"/>
      <c r="I666" s="26">
        <v>71</v>
      </c>
      <c r="J666" s="26" t="str">
        <f t="shared" si="124"/>
        <v/>
      </c>
      <c r="N666" t="str">
        <f t="shared" si="127"/>
        <v/>
      </c>
      <c r="Q666" t="str">
        <f t="shared" si="126"/>
        <v/>
      </c>
      <c r="S666">
        <f>IF(A666=1,MAX($S$2:$S665)+1,IF(OR($I666&lt;&gt;"",A666="x"),$S665,""))</f>
        <v>329</v>
      </c>
      <c r="T666">
        <f>IF(D666=1,MAX($T$2:$T665)+1,IF(S666=S665,$T665,IF(D666="x",T665,IF(D665="x","",""))))</f>
        <v>44</v>
      </c>
      <c r="U666" t="str">
        <f>IF(B666=1,MAX($U$2:$U665)+1,IF(AND($T666&lt;&gt;"",$T666=$T665),$U665,IF(B666="x",U665,"")))</f>
        <v/>
      </c>
      <c r="V666" t="str">
        <f>IF(C666=1,MAX($V$2:$V665)+1,IF(AND($T666&lt;&gt;"",$T666=$T665),$U665,IF(C666="x",V665,"")))</f>
        <v/>
      </c>
      <c r="X666" cm="1">
        <f t="array" ref="X666">IF($I666&lt;&gt;"",$I666,INDEX($I$1:$I666,ROW()-COUNTIFS($T$1:$T666,"="&amp;$T666,$S$1:$S666,"&lt;"&amp;$S666)))</f>
        <v>71</v>
      </c>
      <c r="Z666" s="6">
        <f t="shared" si="119"/>
        <v>1</v>
      </c>
      <c r="AA666">
        <f t="shared" si="120"/>
        <v>1329</v>
      </c>
      <c r="AB666">
        <f t="shared" si="121"/>
        <v>9044</v>
      </c>
      <c r="AC666">
        <f t="shared" si="122"/>
        <v>9044</v>
      </c>
      <c r="AI666" t="str">
        <f t="shared" si="125"/>
        <v>d</v>
      </c>
      <c r="BI666" s="40"/>
      <c r="BL666" s="40"/>
      <c r="BN666" s="19"/>
      <c r="BP666" s="17"/>
    </row>
    <row r="667" spans="1:68" x14ac:dyDescent="0.2">
      <c r="A667">
        <f t="shared" si="123"/>
        <v>1</v>
      </c>
      <c r="D667" s="26" t="s">
        <v>729</v>
      </c>
      <c r="E667" s="4"/>
      <c r="F667" s="46"/>
      <c r="G667" s="4"/>
      <c r="H667" s="48"/>
      <c r="J667" s="26" t="str">
        <f t="shared" si="124"/>
        <v>d</v>
      </c>
      <c r="K667" t="s">
        <v>238</v>
      </c>
      <c r="L667" t="s">
        <v>184</v>
      </c>
      <c r="M667" t="s">
        <v>376</v>
      </c>
      <c r="N667" t="str">
        <f t="shared" si="127"/>
        <v>u</v>
      </c>
      <c r="Q667" t="str">
        <f t="shared" si="126"/>
        <v/>
      </c>
      <c r="S667">
        <f>IF(A667=1,MAX($S$2:$S666)+1,IF(OR($I667&lt;&gt;"",A667="x"),$S666,""))</f>
        <v>330</v>
      </c>
      <c r="T667">
        <f>IF(D667=1,MAX($T$2:$T666)+1,IF(S667=S666,$T666,IF(D667="x",T666,IF(D666="x","",""))))</f>
        <v>44</v>
      </c>
      <c r="U667" t="str">
        <f>IF(B667=1,MAX($U$2:$U666)+1,IF(AND($T667&lt;&gt;"",$T667=$T666),$U666,IF(B667="x",U666,"")))</f>
        <v/>
      </c>
      <c r="V667" t="str">
        <f>IF(C667=1,MAX($V$2:$V666)+1,IF(AND($T667&lt;&gt;"",$T667=$T666),$U666,IF(C667="x",V666,"")))</f>
        <v/>
      </c>
      <c r="X667" cm="1">
        <f t="array" ref="X667">IF($I667&lt;&gt;"",$I667,INDEX($I$1:$I667,ROW()-COUNTIFS($T$1:$T667,"="&amp;$T667,$S$1:$S667,"&lt;"&amp;$S667)))</f>
        <v>69</v>
      </c>
      <c r="Z667" s="6">
        <f t="shared" si="119"/>
        <v>1</v>
      </c>
      <c r="AA667">
        <f t="shared" si="120"/>
        <v>1330</v>
      </c>
      <c r="AB667">
        <f t="shared" si="121"/>
        <v>9044</v>
      </c>
      <c r="AC667">
        <f t="shared" si="122"/>
        <v>9044</v>
      </c>
      <c r="AI667" t="str">
        <f t="shared" si="125"/>
        <v>d</v>
      </c>
      <c r="BI667" s="40"/>
      <c r="BL667" s="40"/>
      <c r="BN667" s="19"/>
      <c r="BP667" s="17"/>
    </row>
    <row r="668" spans="1:68" x14ac:dyDescent="0.2">
      <c r="A668" t="str">
        <f t="shared" si="123"/>
        <v>x</v>
      </c>
      <c r="D668" s="26" t="s">
        <v>729</v>
      </c>
      <c r="E668" s="4"/>
      <c r="F668" s="46"/>
      <c r="G668" s="4"/>
      <c r="H668" s="48"/>
      <c r="J668" s="26" t="str">
        <f t="shared" si="124"/>
        <v/>
      </c>
      <c r="N668" t="str">
        <f t="shared" si="127"/>
        <v/>
      </c>
      <c r="Q668" t="str">
        <f t="shared" si="126"/>
        <v/>
      </c>
      <c r="S668">
        <f>IF(A668=1,MAX($S$2:$S667)+1,IF(OR($I668&lt;&gt;"",A668="x"),$S667,""))</f>
        <v>330</v>
      </c>
      <c r="T668">
        <f>IF(D668=1,MAX($T$2:$T667)+1,IF(S668=S667,$T667,IF(D668="x",T667,IF(D667="x","",""))))</f>
        <v>44</v>
      </c>
      <c r="U668" t="str">
        <f>IF(B668=1,MAX($U$2:$U667)+1,IF(AND($T668&lt;&gt;"",$T668=$T667),$U667,IF(B668="x",U667,"")))</f>
        <v/>
      </c>
      <c r="V668" t="str">
        <f>IF(C668=1,MAX($V$2:$V667)+1,IF(AND($T668&lt;&gt;"",$T668=$T667),$U667,IF(C668="x",V667,"")))</f>
        <v/>
      </c>
      <c r="X668" cm="1">
        <f t="array" ref="X668">IF($I668&lt;&gt;"",$I668,INDEX($I$1:$I668,ROW()-COUNTIFS($T$1:$T668,"="&amp;$T668,$S$1:$S668,"&lt;"&amp;$S668)))</f>
        <v>71</v>
      </c>
      <c r="Z668" s="6">
        <f t="shared" si="119"/>
        <v>1</v>
      </c>
      <c r="AA668">
        <f t="shared" si="120"/>
        <v>1330</v>
      </c>
      <c r="AB668">
        <f t="shared" si="121"/>
        <v>9044</v>
      </c>
      <c r="AC668">
        <f t="shared" si="122"/>
        <v>9044</v>
      </c>
      <c r="AI668" t="str">
        <f t="shared" si="125"/>
        <v>d</v>
      </c>
      <c r="BI668" s="40"/>
      <c r="BL668" s="40"/>
      <c r="BN668" s="19"/>
      <c r="BP668" s="17"/>
    </row>
    <row r="669" spans="1:68" x14ac:dyDescent="0.2">
      <c r="A669">
        <f t="shared" si="123"/>
        <v>1</v>
      </c>
      <c r="E669" s="4"/>
      <c r="F669" s="46" t="s">
        <v>1039</v>
      </c>
      <c r="G669" s="4"/>
      <c r="H669" s="48"/>
      <c r="I669" s="26">
        <v>21</v>
      </c>
      <c r="J669" s="26" t="s">
        <v>734</v>
      </c>
      <c r="K669" t="s">
        <v>13</v>
      </c>
      <c r="L669" t="s">
        <v>587</v>
      </c>
      <c r="N669" t="s">
        <v>594</v>
      </c>
      <c r="O669" t="s">
        <v>907</v>
      </c>
      <c r="Q669" t="str">
        <f t="shared" si="126"/>
        <v>u</v>
      </c>
      <c r="S669">
        <f>IF(A669=1,MAX($S$2:$S668)+1,IF(OR($I669&lt;&gt;"",A669="x"),$S668,""))</f>
        <v>331</v>
      </c>
      <c r="T669" t="str">
        <f>IF(D669=1,MAX($T$2:$T668)+1,IF(S669=S668,$T668,IF(D669="x",T668,IF(D668="x","",""))))</f>
        <v/>
      </c>
      <c r="U669" t="str">
        <f>IF(B669=1,MAX($U$2:$U668)+1,IF(AND($T669&lt;&gt;"",$T669=$T668),$U668,IF(B669="x",U668,"")))</f>
        <v/>
      </c>
      <c r="V669" t="str">
        <f>IF(C669=1,MAX($V$2:$V668)+1,IF(AND($T669&lt;&gt;"",$T669=$T668),$U668,IF(C669="x",V668,"")))</f>
        <v/>
      </c>
      <c r="X669" cm="1">
        <f t="array" ref="X669">IF($I669&lt;&gt;"",$I669,INDEX($I$1:$I669,ROW()-COUNTIFS($T$1:$T669,"="&amp;$T669,$S$1:$S669,"&lt;"&amp;$S669)))</f>
        <v>21</v>
      </c>
      <c r="Z669" s="6">
        <f t="shared" si="119"/>
        <v>1</v>
      </c>
      <c r="AA669">
        <f t="shared" si="120"/>
        <v>1331</v>
      </c>
      <c r="AB669" t="str">
        <f t="shared" si="121"/>
        <v/>
      </c>
      <c r="AC669">
        <f t="shared" si="122"/>
        <v>1331</v>
      </c>
      <c r="AI669" t="str">
        <f t="shared" si="125"/>
        <v>n</v>
      </c>
      <c r="BI669" s="40"/>
      <c r="BL669" s="40"/>
      <c r="BN669" s="19"/>
      <c r="BP669" s="17"/>
    </row>
    <row r="670" spans="1:68" x14ac:dyDescent="0.2">
      <c r="A670">
        <f t="shared" si="123"/>
        <v>1</v>
      </c>
      <c r="E670" s="4"/>
      <c r="F670" s="46"/>
      <c r="G670" s="4"/>
      <c r="H670" s="48" t="s">
        <v>740</v>
      </c>
      <c r="I670" s="26">
        <v>21</v>
      </c>
      <c r="J670" s="26" t="str">
        <f t="shared" si="124"/>
        <v>o</v>
      </c>
      <c r="K670" t="s">
        <v>238</v>
      </c>
      <c r="L670" t="s">
        <v>174</v>
      </c>
      <c r="M670" t="s">
        <v>85</v>
      </c>
      <c r="N670" t="s">
        <v>594</v>
      </c>
      <c r="Q670" t="str">
        <f t="shared" si="126"/>
        <v/>
      </c>
      <c r="R670" s="26">
        <v>1</v>
      </c>
      <c r="S670">
        <f>IF(A670=1,MAX($S$2:$S669)+1,IF(OR($I670&lt;&gt;"",A670="x"),$S669,""))</f>
        <v>332</v>
      </c>
      <c r="T670" t="str">
        <f>IF(D670=1,MAX($T$2:$T669)+1,IF(S670=S669,$T669,IF(D670="x",T669,IF(D669="x","",""))))</f>
        <v/>
      </c>
      <c r="U670" t="str">
        <f>IF(B670=1,MAX($U$2:$U669)+1,IF(AND($T670&lt;&gt;"",$T670=$T669),$U669,IF(B670="x",U669,"")))</f>
        <v/>
      </c>
      <c r="V670" t="str">
        <f>IF(C670=1,MAX($V$2:$V669)+1,IF(AND($T670&lt;&gt;"",$T670=$T669),$U669,IF(C670="x",V669,"")))</f>
        <v/>
      </c>
      <c r="X670" cm="1">
        <f t="array" ref="X670">IF($I670&lt;&gt;"",$I670,INDEX($I$1:$I670,ROW()-COUNTIFS($T$1:$T670,"="&amp;$T670,$S$1:$S670,"&lt;"&amp;$S670)))</f>
        <v>21</v>
      </c>
      <c r="Z670" s="6">
        <f t="shared" si="119"/>
        <v>1</v>
      </c>
      <c r="AA670">
        <f t="shared" si="120"/>
        <v>1332</v>
      </c>
      <c r="AB670" t="str">
        <f t="shared" si="121"/>
        <v/>
      </c>
      <c r="AC670">
        <f t="shared" si="122"/>
        <v>1332</v>
      </c>
      <c r="AI670" t="str">
        <f t="shared" si="125"/>
        <v>o</v>
      </c>
      <c r="BI670" s="40"/>
      <c r="BL670" s="40"/>
      <c r="BN670" s="19"/>
      <c r="BP670" s="17"/>
    </row>
    <row r="671" spans="1:68" x14ac:dyDescent="0.2">
      <c r="A671" t="str">
        <f t="shared" si="123"/>
        <v/>
      </c>
      <c r="E671" s="4"/>
      <c r="F671" s="46"/>
      <c r="G671" s="4"/>
      <c r="H671" s="48"/>
      <c r="I671" s="26">
        <v>9</v>
      </c>
      <c r="J671" s="26" t="str">
        <f t="shared" si="124"/>
        <v/>
      </c>
      <c r="N671" t="str">
        <f t="shared" si="127"/>
        <v/>
      </c>
      <c r="Q671" t="str">
        <f t="shared" si="126"/>
        <v/>
      </c>
      <c r="R671" s="26">
        <v>1</v>
      </c>
      <c r="S671">
        <f>IF(A671=1,MAX($S$2:$S670)+1,IF(OR($I671&lt;&gt;"",A671="x"),$S670,""))</f>
        <v>332</v>
      </c>
      <c r="T671" t="str">
        <f>IF(D671=1,MAX($T$2:$T670)+1,IF(S671=S670,$T670,IF(D671="x",T670,IF(D670="x","",""))))</f>
        <v/>
      </c>
      <c r="U671" t="str">
        <f>IF(B671=1,MAX($U$2:$U670)+1,IF(AND($T671&lt;&gt;"",$T671=$T670),$U670,IF(B671="x",U670,"")))</f>
        <v/>
      </c>
      <c r="V671" t="str">
        <f>IF(C671=1,MAX($V$2:$V670)+1,IF(AND($T671&lt;&gt;"",$T671=$T670),$U670,IF(C671="x",V670,"")))</f>
        <v/>
      </c>
      <c r="X671" cm="1">
        <f t="array" ref="X671">IF($I671&lt;&gt;"",$I671,INDEX($I$1:$I671,ROW()-COUNTIFS($T$1:$T671,"="&amp;$T671,$S$1:$S671,"&lt;"&amp;$S671)))</f>
        <v>9</v>
      </c>
      <c r="Z671" s="6">
        <f t="shared" si="119"/>
        <v>1</v>
      </c>
      <c r="AA671">
        <f t="shared" si="120"/>
        <v>1332</v>
      </c>
      <c r="AB671" t="str">
        <f t="shared" si="121"/>
        <v/>
      </c>
      <c r="AC671">
        <f t="shared" si="122"/>
        <v>1332</v>
      </c>
      <c r="AI671" t="str">
        <f t="shared" si="125"/>
        <v>o</v>
      </c>
      <c r="BI671" s="40"/>
      <c r="BL671" s="40"/>
      <c r="BN671" s="19"/>
      <c r="BP671" s="17"/>
    </row>
    <row r="672" spans="1:68" x14ac:dyDescent="0.2">
      <c r="A672">
        <f t="shared" si="123"/>
        <v>1</v>
      </c>
      <c r="D672" s="26">
        <v>1</v>
      </c>
      <c r="E672" s="4"/>
      <c r="F672" s="46"/>
      <c r="G672" s="4"/>
      <c r="H672" s="48"/>
      <c r="I672" s="26">
        <v>21</v>
      </c>
      <c r="J672" s="26" t="str">
        <f t="shared" si="124"/>
        <v>o</v>
      </c>
      <c r="K672" t="s">
        <v>6</v>
      </c>
      <c r="L672" t="s">
        <v>191</v>
      </c>
      <c r="M672" t="s">
        <v>51</v>
      </c>
      <c r="N672" t="str">
        <f t="shared" si="127"/>
        <v>u</v>
      </c>
      <c r="Q672" t="str">
        <f t="shared" si="126"/>
        <v/>
      </c>
      <c r="S672">
        <f>IF(A672=1,MAX($S$2:$S671)+1,IF(OR($I672&lt;&gt;"",A672="x"),$S671,""))</f>
        <v>333</v>
      </c>
      <c r="T672">
        <f>IF(D672=1,MAX($T$2:$T671)+1,IF(S672=S671,$T671,IF(D672="x",T671,IF(D671="x","",""))))</f>
        <v>45</v>
      </c>
      <c r="U672" t="str">
        <f>IF(B672=1,MAX($U$2:$U671)+1,IF(AND($T672&lt;&gt;"",$T672=$T671),$U671,IF(B672="x",U671,"")))</f>
        <v/>
      </c>
      <c r="V672" t="str">
        <f>IF(C672=1,MAX($V$2:$V671)+1,IF(AND($T672&lt;&gt;"",$T672=$T671),$U671,IF(C672="x",V671,"")))</f>
        <v/>
      </c>
      <c r="X672" cm="1">
        <f t="array" ref="X672">IF($I672&lt;&gt;"",$I672,INDEX($I$1:$I672,ROW()-COUNTIFS($T$1:$T672,"="&amp;$T672,$S$1:$S672,"&lt;"&amp;$S672)))</f>
        <v>21</v>
      </c>
      <c r="Z672" s="6">
        <f t="shared" si="119"/>
        <v>1</v>
      </c>
      <c r="AA672">
        <f t="shared" si="120"/>
        <v>1333</v>
      </c>
      <c r="AB672">
        <f t="shared" si="121"/>
        <v>9045</v>
      </c>
      <c r="AC672">
        <f t="shared" si="122"/>
        <v>9045</v>
      </c>
      <c r="AI672" t="str">
        <f t="shared" si="125"/>
        <v>o</v>
      </c>
      <c r="BI672" s="40"/>
      <c r="BL672" s="40"/>
      <c r="BN672" s="19"/>
      <c r="BP672" s="17"/>
    </row>
    <row r="673" spans="1:68" x14ac:dyDescent="0.2">
      <c r="A673" t="str">
        <f t="shared" si="123"/>
        <v>x</v>
      </c>
      <c r="D673" s="26" t="s">
        <v>729</v>
      </c>
      <c r="E673" s="4"/>
      <c r="F673" s="46"/>
      <c r="G673" s="4"/>
      <c r="H673" s="48"/>
      <c r="I673" s="26">
        <v>9</v>
      </c>
      <c r="J673" s="26" t="str">
        <f t="shared" si="124"/>
        <v/>
      </c>
      <c r="N673" t="str">
        <f t="shared" si="127"/>
        <v/>
      </c>
      <c r="O673" t="s">
        <v>556</v>
      </c>
      <c r="Q673" t="str">
        <f t="shared" si="126"/>
        <v/>
      </c>
      <c r="S673">
        <f>IF(A673=1,MAX($S$2:$S672)+1,IF(OR($I673&lt;&gt;"",A673="x"),$S672,""))</f>
        <v>333</v>
      </c>
      <c r="T673">
        <f>IF(D673=1,MAX($T$2:$T672)+1,IF(S673=S672,$T672,IF(D673="x",T672,IF(D672="x","",""))))</f>
        <v>45</v>
      </c>
      <c r="U673" t="str">
        <f>IF(B673=1,MAX($U$2:$U672)+1,IF(AND($T673&lt;&gt;"",$T673=$T672),$U672,IF(B673="x",U672,"")))</f>
        <v/>
      </c>
      <c r="V673" t="str">
        <f>IF(C673=1,MAX($V$2:$V672)+1,IF(AND($T673&lt;&gt;"",$T673=$T672),$U672,IF(C673="x",V672,"")))</f>
        <v/>
      </c>
      <c r="X673" cm="1">
        <f t="array" ref="X673">IF($I673&lt;&gt;"",$I673,INDEX($I$1:$I673,ROW()-COUNTIFS($T$1:$T673,"="&amp;$T673,$S$1:$S673,"&lt;"&amp;$S673)))</f>
        <v>9</v>
      </c>
      <c r="Z673" s="6">
        <f t="shared" si="119"/>
        <v>1</v>
      </c>
      <c r="AA673">
        <f t="shared" si="120"/>
        <v>1333</v>
      </c>
      <c r="AB673">
        <f t="shared" si="121"/>
        <v>9045</v>
      </c>
      <c r="AC673">
        <f t="shared" si="122"/>
        <v>9045</v>
      </c>
      <c r="AI673" t="str">
        <f t="shared" si="125"/>
        <v>o</v>
      </c>
      <c r="BI673" s="40"/>
      <c r="BL673" s="40"/>
      <c r="BN673" s="19"/>
      <c r="BP673" s="17"/>
    </row>
    <row r="674" spans="1:68" x14ac:dyDescent="0.2">
      <c r="A674">
        <f t="shared" si="123"/>
        <v>1</v>
      </c>
      <c r="D674" s="26" t="s">
        <v>729</v>
      </c>
      <c r="E674" s="4"/>
      <c r="F674" s="46"/>
      <c r="G674" s="4"/>
      <c r="H674" s="48"/>
      <c r="J674" s="26" t="s">
        <v>368</v>
      </c>
      <c r="K674" t="s">
        <v>9</v>
      </c>
      <c r="L674" t="s">
        <v>173</v>
      </c>
      <c r="M674" t="s">
        <v>76</v>
      </c>
      <c r="N674" t="str">
        <f t="shared" si="127"/>
        <v>u</v>
      </c>
      <c r="Q674" t="str">
        <f t="shared" si="126"/>
        <v/>
      </c>
      <c r="S674">
        <f>IF(A674=1,MAX($S$2:$S673)+1,IF(OR($I674&lt;&gt;"",A674="x"),$S673,""))</f>
        <v>334</v>
      </c>
      <c r="T674">
        <f>IF(D674=1,MAX($T$2:$T673)+1,IF(S674=S673,$T673,IF(D674="x",T673,IF(D673="x","",""))))</f>
        <v>45</v>
      </c>
      <c r="U674" t="str">
        <f>IF(B674=1,MAX($U$2:$U673)+1,IF(AND($T674&lt;&gt;"",$T674=$T673),$U673,IF(B674="x",U673,"")))</f>
        <v/>
      </c>
      <c r="V674" t="str">
        <f>IF(C674=1,MAX($V$2:$V673)+1,IF(AND($T674&lt;&gt;"",$T674=$T673),$U673,IF(C674="x",V673,"")))</f>
        <v/>
      </c>
      <c r="X674" cm="1">
        <f t="array" ref="X674">IF($I674&lt;&gt;"",$I674,INDEX($I$1:$I674,ROW()-COUNTIFS($T$1:$T674,"="&amp;$T674,$S$1:$S674,"&lt;"&amp;$S674)))</f>
        <v>21</v>
      </c>
      <c r="Z674" s="6">
        <f t="shared" si="119"/>
        <v>1</v>
      </c>
      <c r="AA674">
        <f t="shared" si="120"/>
        <v>1334</v>
      </c>
      <c r="AB674">
        <f t="shared" si="121"/>
        <v>9045</v>
      </c>
      <c r="AC674">
        <f t="shared" si="122"/>
        <v>9045</v>
      </c>
      <c r="AI674" t="str">
        <f t="shared" si="125"/>
        <v>o</v>
      </c>
      <c r="BI674" s="40"/>
      <c r="BL674" s="40"/>
      <c r="BN674" s="19"/>
      <c r="BP674" s="17"/>
    </row>
    <row r="675" spans="1:68" x14ac:dyDescent="0.2">
      <c r="A675" t="str">
        <f t="shared" si="123"/>
        <v>x</v>
      </c>
      <c r="D675" s="26" t="s">
        <v>729</v>
      </c>
      <c r="E675" s="4"/>
      <c r="F675" s="46"/>
      <c r="G675" s="4"/>
      <c r="H675" s="48"/>
      <c r="J675" s="26" t="str">
        <f t="shared" si="124"/>
        <v/>
      </c>
      <c r="N675" t="str">
        <f t="shared" si="127"/>
        <v/>
      </c>
      <c r="Q675" t="str">
        <f t="shared" si="126"/>
        <v/>
      </c>
      <c r="S675">
        <f>IF(A675=1,MAX($S$2:$S674)+1,IF(OR($I675&lt;&gt;"",A675="x"),$S674,""))</f>
        <v>334</v>
      </c>
      <c r="T675">
        <f>IF(D675=1,MAX($T$2:$T674)+1,IF(S675=S674,$T674,IF(D675="x",T674,IF(D674="x","",""))))</f>
        <v>45</v>
      </c>
      <c r="U675" t="str">
        <f>IF(B675=1,MAX($U$2:$U674)+1,IF(AND($T675&lt;&gt;"",$T675=$T674),$U674,IF(B675="x",U674,"")))</f>
        <v/>
      </c>
      <c r="V675" t="str">
        <f>IF(C675=1,MAX($V$2:$V674)+1,IF(AND($T675&lt;&gt;"",$T675=$T674),$U674,IF(C675="x",V674,"")))</f>
        <v/>
      </c>
      <c r="X675" cm="1">
        <f t="array" ref="X675">IF($I675&lt;&gt;"",$I675,INDEX($I$1:$I675,ROW()-COUNTIFS($T$1:$T675,"="&amp;$T675,$S$1:$S675,"&lt;"&amp;$S675)))</f>
        <v>9</v>
      </c>
      <c r="Z675" s="6">
        <f t="shared" si="119"/>
        <v>1</v>
      </c>
      <c r="AA675">
        <f t="shared" si="120"/>
        <v>1334</v>
      </c>
      <c r="AB675">
        <f t="shared" si="121"/>
        <v>9045</v>
      </c>
      <c r="AC675">
        <f t="shared" si="122"/>
        <v>9045</v>
      </c>
      <c r="AI675" t="str">
        <f t="shared" si="125"/>
        <v>o</v>
      </c>
      <c r="BI675" s="40"/>
      <c r="BL675" s="40"/>
      <c r="BN675" s="19"/>
      <c r="BP675" s="17"/>
    </row>
    <row r="676" spans="1:68" x14ac:dyDescent="0.2">
      <c r="A676">
        <f t="shared" si="123"/>
        <v>1</v>
      </c>
      <c r="E676" s="4"/>
      <c r="F676" s="46"/>
      <c r="G676" s="4"/>
      <c r="H676" s="48"/>
      <c r="I676" s="26">
        <v>24</v>
      </c>
      <c r="J676" s="26" t="s">
        <v>736</v>
      </c>
      <c r="K676" t="s">
        <v>13</v>
      </c>
      <c r="L676" t="s">
        <v>586</v>
      </c>
      <c r="N676" t="s">
        <v>594</v>
      </c>
      <c r="O676" t="s">
        <v>909</v>
      </c>
      <c r="Q676" t="str">
        <f t="shared" si="126"/>
        <v>u</v>
      </c>
      <c r="S676">
        <f>IF(A676=1,MAX($S$2:$S675)+1,IF(OR($I676&lt;&gt;"",A676="x"),$S675,""))</f>
        <v>335</v>
      </c>
      <c r="T676" t="str">
        <f>IF(D676=1,MAX($T$2:$T675)+1,IF(S676=S675,$T675,IF(D676="x",T675,IF(D675="x","",""))))</f>
        <v/>
      </c>
      <c r="U676" t="str">
        <f>IF(B676=1,MAX($U$2:$U675)+1,IF(AND($T676&lt;&gt;"",$T676=$T675),$U675,IF(B676="x",U675,"")))</f>
        <v/>
      </c>
      <c r="V676" t="str">
        <f>IF(C676=1,MAX($V$2:$V675)+1,IF(AND($T676&lt;&gt;"",$T676=$T675),$U675,IF(C676="x",V675,"")))</f>
        <v/>
      </c>
      <c r="X676" cm="1">
        <f t="array" ref="X676">IF($I676&lt;&gt;"",$I676,INDEX($I$1:$I676,ROW()-COUNTIFS($T$1:$T676,"="&amp;$T676,$S$1:$S676,"&lt;"&amp;$S676)))</f>
        <v>24</v>
      </c>
      <c r="Z676" s="6">
        <f t="shared" si="119"/>
        <v>1</v>
      </c>
      <c r="AA676">
        <f t="shared" si="120"/>
        <v>1335</v>
      </c>
      <c r="AB676" t="str">
        <f t="shared" si="121"/>
        <v/>
      </c>
      <c r="AC676">
        <f t="shared" si="122"/>
        <v>1335</v>
      </c>
      <c r="AI676" t="str">
        <f t="shared" si="125"/>
        <v>d</v>
      </c>
      <c r="BI676" s="40"/>
      <c r="BL676" s="40"/>
      <c r="BN676" s="19"/>
      <c r="BP676" s="17"/>
    </row>
    <row r="677" spans="1:68" x14ac:dyDescent="0.2">
      <c r="A677">
        <f t="shared" si="123"/>
        <v>1</v>
      </c>
      <c r="E677" s="4"/>
      <c r="F677" s="46"/>
      <c r="G677" s="4"/>
      <c r="H677" s="48"/>
      <c r="I677" s="26">
        <v>24</v>
      </c>
      <c r="J677" s="26" t="s">
        <v>736</v>
      </c>
      <c r="K677" t="s">
        <v>9</v>
      </c>
      <c r="L677" t="s">
        <v>173</v>
      </c>
      <c r="M677" t="s">
        <v>365</v>
      </c>
      <c r="N677" t="str">
        <f t="shared" si="127"/>
        <v>u</v>
      </c>
      <c r="O677" t="s">
        <v>769</v>
      </c>
      <c r="P677" t="s">
        <v>576</v>
      </c>
      <c r="Q677" t="str">
        <f t="shared" si="126"/>
        <v>u</v>
      </c>
      <c r="S677">
        <f>IF(A677=1,MAX($S$2:$S676)+1,IF(OR($I677&lt;&gt;"",A677="x"),$S676,""))</f>
        <v>336</v>
      </c>
      <c r="T677" t="str">
        <f>IF(D677=1,MAX($T$2:$T676)+1,IF(S677=S676,$T676,IF(D677="x",T676,IF(D676="x","",""))))</f>
        <v/>
      </c>
      <c r="U677" t="str">
        <f>IF(B677=1,MAX($U$2:$U676)+1,IF(AND($T677&lt;&gt;"",$T677=$T676),$U676,IF(B677="x",U676,"")))</f>
        <v/>
      </c>
      <c r="V677" t="str">
        <f>IF(C677=1,MAX($V$2:$V676)+1,IF(AND($T677&lt;&gt;"",$T677=$T676),$U676,IF(C677="x",V676,"")))</f>
        <v/>
      </c>
      <c r="X677" cm="1">
        <f t="array" ref="X677">IF($I677&lt;&gt;"",$I677,INDEX($I$1:$I677,ROW()-COUNTIFS($T$1:$T677,"="&amp;$T677,$S$1:$S677,"&lt;"&amp;$S677)))</f>
        <v>24</v>
      </c>
      <c r="Z677" s="6">
        <f t="shared" si="119"/>
        <v>1</v>
      </c>
      <c r="AA677">
        <f t="shared" si="120"/>
        <v>1336</v>
      </c>
      <c r="AB677" t="str">
        <f t="shared" si="121"/>
        <v/>
      </c>
      <c r="AC677">
        <f t="shared" si="122"/>
        <v>1336</v>
      </c>
      <c r="AI677" t="str">
        <f t="shared" si="125"/>
        <v>d</v>
      </c>
      <c r="BI677" s="40"/>
      <c r="BL677" s="40"/>
      <c r="BN677" s="19"/>
      <c r="BP677" s="17"/>
    </row>
    <row r="678" spans="1:68" x14ac:dyDescent="0.2">
      <c r="A678">
        <f t="shared" si="123"/>
        <v>1</v>
      </c>
      <c r="E678" s="4"/>
      <c r="F678" s="46" t="s">
        <v>741</v>
      </c>
      <c r="G678" s="4"/>
      <c r="H678" s="48"/>
      <c r="I678" s="26">
        <v>41</v>
      </c>
      <c r="J678" s="26" t="s">
        <v>368</v>
      </c>
      <c r="K678" t="s">
        <v>238</v>
      </c>
      <c r="L678" t="s">
        <v>193</v>
      </c>
      <c r="M678" t="s">
        <v>91</v>
      </c>
      <c r="N678" t="s">
        <v>594</v>
      </c>
      <c r="Q678" t="str">
        <f t="shared" si="126"/>
        <v/>
      </c>
      <c r="S678">
        <f>IF(A678=1,MAX($S$2:$S677)+1,IF(OR($I678&lt;&gt;"",A678="x"),$S677,""))</f>
        <v>337</v>
      </c>
      <c r="T678" t="str">
        <f>IF(D678=1,MAX($T$2:$T677)+1,IF(S678=S677,$T677,IF(D678="x",T677,IF(D677="x","",""))))</f>
        <v/>
      </c>
      <c r="U678" t="str">
        <f>IF(B678=1,MAX($U$2:$U677)+1,IF(AND($T678&lt;&gt;"",$T678=$T677),$U677,IF(B678="x",U677,"")))</f>
        <v/>
      </c>
      <c r="V678" t="str">
        <f>IF(C678=1,MAX($V$2:$V677)+1,IF(AND($T678&lt;&gt;"",$T678=$T677),$U677,IF(C678="x",V677,"")))</f>
        <v/>
      </c>
      <c r="X678" cm="1">
        <f t="array" ref="X678">IF($I678&lt;&gt;"",$I678,INDEX($I$1:$I678,ROW()-COUNTIFS($T$1:$T678,"="&amp;$T678,$S$1:$S678,"&lt;"&amp;$S678)))</f>
        <v>41</v>
      </c>
      <c r="Z678" s="6">
        <f t="shared" si="119"/>
        <v>1</v>
      </c>
      <c r="AA678">
        <f t="shared" si="120"/>
        <v>1337</v>
      </c>
      <c r="AB678" t="str">
        <f t="shared" si="121"/>
        <v/>
      </c>
      <c r="AC678">
        <f t="shared" si="122"/>
        <v>1337</v>
      </c>
      <c r="AI678" t="str">
        <f t="shared" si="125"/>
        <v>o</v>
      </c>
      <c r="BI678" s="40"/>
      <c r="BL678" s="40"/>
      <c r="BN678" s="19"/>
      <c r="BP678" s="17"/>
    </row>
    <row r="679" spans="1:68" x14ac:dyDescent="0.2">
      <c r="A679">
        <f t="shared" si="123"/>
        <v>1</v>
      </c>
      <c r="E679" s="4"/>
      <c r="F679" s="46"/>
      <c r="G679" s="4"/>
      <c r="H679" s="48" t="s">
        <v>1056</v>
      </c>
      <c r="I679" s="26">
        <v>41</v>
      </c>
      <c r="J679" s="26" t="s">
        <v>368</v>
      </c>
      <c r="K679" t="s">
        <v>13</v>
      </c>
      <c r="N679" t="str">
        <f t="shared" si="127"/>
        <v/>
      </c>
      <c r="Q679" t="str">
        <f t="shared" si="126"/>
        <v/>
      </c>
      <c r="S679">
        <f>IF(A679=1,MAX($S$2:$S678)+1,IF(OR($I679&lt;&gt;"",A679="x"),$S678,""))</f>
        <v>338</v>
      </c>
      <c r="T679" t="str">
        <f>IF(D679=1,MAX($T$2:$T678)+1,IF(S679=S678,$T678,IF(D679="x",T678,IF(D678="x","",""))))</f>
        <v/>
      </c>
      <c r="U679" t="str">
        <f>IF(B679=1,MAX($U$2:$U678)+1,IF(AND($T679&lt;&gt;"",$T679=$T678),$U678,IF(B679="x",U678,"")))</f>
        <v/>
      </c>
      <c r="V679" t="str">
        <f>IF(C679=1,MAX($V$2:$V678)+1,IF(AND($T679&lt;&gt;"",$T679=$T678),$U678,IF(C679="x",V678,"")))</f>
        <v/>
      </c>
      <c r="X679" cm="1">
        <f t="array" ref="X679">IF($I679&lt;&gt;"",$I679,INDEX($I$1:$I679,ROW()-COUNTIFS($T$1:$T679,"="&amp;$T679,$S$1:$S679,"&lt;"&amp;$S679)))</f>
        <v>41</v>
      </c>
      <c r="Z679" s="6">
        <f t="shared" si="119"/>
        <v>1</v>
      </c>
      <c r="AA679">
        <f t="shared" si="120"/>
        <v>1338</v>
      </c>
      <c r="AB679" t="str">
        <f t="shared" si="121"/>
        <v/>
      </c>
      <c r="AC679">
        <f t="shared" si="122"/>
        <v>1338</v>
      </c>
      <c r="AI679" t="str">
        <f t="shared" si="125"/>
        <v>o</v>
      </c>
      <c r="BI679" s="40"/>
      <c r="BL679" s="40"/>
      <c r="BN679" s="19"/>
      <c r="BP679" s="17"/>
    </row>
    <row r="680" spans="1:68" x14ac:dyDescent="0.2">
      <c r="A680">
        <f t="shared" si="123"/>
        <v>1</v>
      </c>
      <c r="D680" s="26">
        <v>1</v>
      </c>
      <c r="E680" s="4"/>
      <c r="F680" s="46"/>
      <c r="G680" s="4"/>
      <c r="H680" s="48"/>
      <c r="I680" s="26">
        <v>41</v>
      </c>
      <c r="J680" s="26" t="s">
        <v>368</v>
      </c>
      <c r="K680" t="s">
        <v>7</v>
      </c>
      <c r="L680" t="s">
        <v>199</v>
      </c>
      <c r="M680" t="s">
        <v>67</v>
      </c>
      <c r="N680" t="str">
        <f t="shared" si="127"/>
        <v>u</v>
      </c>
      <c r="Q680" t="str">
        <f t="shared" si="126"/>
        <v/>
      </c>
      <c r="R680" s="26">
        <v>1</v>
      </c>
      <c r="S680">
        <f>IF(A680=1,MAX($S$2:$S679)+1,IF(OR($I680&lt;&gt;"",A680="x"),$S679,""))</f>
        <v>339</v>
      </c>
      <c r="T680">
        <f>IF(D680=1,MAX($T$2:$T679)+1,IF(S680=S679,$T679,IF(D680="x",T679,IF(D679="x","",""))))</f>
        <v>46</v>
      </c>
      <c r="U680" t="str">
        <f>IF(B680=1,MAX($U$2:$U679)+1,IF(AND($T680&lt;&gt;"",$T680=$T679),$U679,IF(B680="x",U679,"")))</f>
        <v/>
      </c>
      <c r="V680" t="str">
        <f>IF(C680=1,MAX($V$2:$V679)+1,IF(AND($T680&lt;&gt;"",$T680=$T679),$U679,IF(C680="x",V679,"")))</f>
        <v/>
      </c>
      <c r="X680" cm="1">
        <f t="array" ref="X680">IF($I680&lt;&gt;"",$I680,INDEX($I$1:$I680,ROW()-COUNTIFS($T$1:$T680,"="&amp;$T680,$S$1:$S680,"&lt;"&amp;$S680)))</f>
        <v>41</v>
      </c>
      <c r="Z680" s="6">
        <f t="shared" si="119"/>
        <v>1</v>
      </c>
      <c r="AA680">
        <f t="shared" si="120"/>
        <v>1339</v>
      </c>
      <c r="AB680">
        <f t="shared" si="121"/>
        <v>9046</v>
      </c>
      <c r="AC680">
        <f t="shared" si="122"/>
        <v>9046</v>
      </c>
      <c r="AI680" t="str">
        <f t="shared" si="125"/>
        <v>o</v>
      </c>
      <c r="BI680" s="40"/>
      <c r="BL680" s="40"/>
      <c r="BN680" s="19"/>
      <c r="BP680" s="17"/>
    </row>
    <row r="681" spans="1:68" x14ac:dyDescent="0.2">
      <c r="A681" t="str">
        <f t="shared" si="123"/>
        <v>x</v>
      </c>
      <c r="D681" s="26" t="s">
        <v>729</v>
      </c>
      <c r="E681" s="4"/>
      <c r="F681" s="46"/>
      <c r="G681" s="4"/>
      <c r="H681" s="48"/>
      <c r="I681" s="26">
        <v>9</v>
      </c>
      <c r="J681" s="26" t="str">
        <f t="shared" si="124"/>
        <v/>
      </c>
      <c r="N681" t="str">
        <f t="shared" si="127"/>
        <v/>
      </c>
      <c r="O681" t="s">
        <v>557</v>
      </c>
      <c r="Q681" t="str">
        <f t="shared" si="126"/>
        <v/>
      </c>
      <c r="S681">
        <f>IF(A681=1,MAX($S$2:$S680)+1,IF(OR($I681&lt;&gt;"",A681="x"),$S680,""))</f>
        <v>339</v>
      </c>
      <c r="T681">
        <f>IF(D681=1,MAX($T$2:$T680)+1,IF(S681=S680,$T680,IF(D681="x",T680,IF(D680="x","",""))))</f>
        <v>46</v>
      </c>
      <c r="U681" t="str">
        <f>IF(B681=1,MAX($U$2:$U680)+1,IF(AND($T681&lt;&gt;"",$T681=$T680),$U680,IF(B681="x",U680,"")))</f>
        <v/>
      </c>
      <c r="V681" t="str">
        <f>IF(C681=1,MAX($V$2:$V680)+1,IF(AND($T681&lt;&gt;"",$T681=$T680),$U680,IF(C681="x",V680,"")))</f>
        <v/>
      </c>
      <c r="X681" cm="1">
        <f t="array" ref="X681">IF($I681&lt;&gt;"",$I681,INDEX($I$1:$I681,ROW()-COUNTIFS($T$1:$T681,"="&amp;$T681,$S$1:$S681,"&lt;"&amp;$S681)))</f>
        <v>9</v>
      </c>
      <c r="Z681" s="6">
        <f t="shared" si="119"/>
        <v>1</v>
      </c>
      <c r="AA681">
        <f t="shared" si="120"/>
        <v>1339</v>
      </c>
      <c r="AB681">
        <f t="shared" si="121"/>
        <v>9046</v>
      </c>
      <c r="AC681">
        <f t="shared" si="122"/>
        <v>9046</v>
      </c>
      <c r="AI681" t="str">
        <f t="shared" si="125"/>
        <v>o</v>
      </c>
      <c r="BI681" s="40"/>
      <c r="BL681" s="40"/>
      <c r="BN681" s="19"/>
      <c r="BP681" s="17"/>
    </row>
    <row r="682" spans="1:68" x14ac:dyDescent="0.2">
      <c r="A682" t="str">
        <f t="shared" si="123"/>
        <v>x</v>
      </c>
      <c r="D682" s="26" t="s">
        <v>729</v>
      </c>
      <c r="E682" s="4"/>
      <c r="F682" s="46"/>
      <c r="G682" s="4"/>
      <c r="H682" s="48"/>
      <c r="I682" s="26">
        <v>70</v>
      </c>
      <c r="J682" s="26" t="str">
        <f t="shared" si="124"/>
        <v/>
      </c>
      <c r="N682" t="str">
        <f t="shared" si="127"/>
        <v/>
      </c>
      <c r="O682" t="s">
        <v>566</v>
      </c>
      <c r="Q682" t="str">
        <f t="shared" si="126"/>
        <v/>
      </c>
      <c r="R682" s="26">
        <v>1</v>
      </c>
      <c r="S682">
        <f>IF(A682=1,MAX($S$2:$S681)+1,IF(OR($I682&lt;&gt;"",A682="x"),$S681,""))</f>
        <v>339</v>
      </c>
      <c r="T682">
        <f>IF(D682=1,MAX($T$2:$T681)+1,IF(S682=S681,$T681,IF(D682="x",T681,IF(D681="x","",""))))</f>
        <v>46</v>
      </c>
      <c r="U682" t="str">
        <f>IF(B682=1,MAX($U$2:$U681)+1,IF(AND($T682&lt;&gt;"",$T682=$T681),$U681,IF(B682="x",U681,"")))</f>
        <v/>
      </c>
      <c r="V682" t="str">
        <f>IF(C682=1,MAX($V$2:$V681)+1,IF(AND($T682&lt;&gt;"",$T682=$T681),$U681,IF(C682="x",V681,"")))</f>
        <v/>
      </c>
      <c r="X682" cm="1">
        <f t="array" ref="X682">IF($I682&lt;&gt;"",$I682,INDEX($I$1:$I682,ROW()-COUNTIFS($T$1:$T682,"="&amp;$T682,$S$1:$S682,"&lt;"&amp;$S682)))</f>
        <v>70</v>
      </c>
      <c r="Z682" s="6">
        <f t="shared" si="119"/>
        <v>1</v>
      </c>
      <c r="AA682">
        <f t="shared" si="120"/>
        <v>1339</v>
      </c>
      <c r="AB682">
        <f t="shared" si="121"/>
        <v>9046</v>
      </c>
      <c r="AC682">
        <f t="shared" si="122"/>
        <v>9046</v>
      </c>
      <c r="AI682" t="str">
        <f t="shared" si="125"/>
        <v>o</v>
      </c>
      <c r="BI682" s="40"/>
      <c r="BL682" s="40"/>
      <c r="BN682" s="19"/>
      <c r="BP682" s="17"/>
    </row>
    <row r="683" spans="1:68" x14ac:dyDescent="0.2">
      <c r="A683">
        <f t="shared" si="123"/>
        <v>1</v>
      </c>
      <c r="D683" s="26" t="s">
        <v>729</v>
      </c>
      <c r="E683" s="4"/>
      <c r="F683" s="46"/>
      <c r="G683" s="4"/>
      <c r="H683" s="48"/>
      <c r="J683" s="26" t="s">
        <v>368</v>
      </c>
      <c r="K683" t="s">
        <v>9</v>
      </c>
      <c r="L683" t="s">
        <v>173</v>
      </c>
      <c r="M683" t="s">
        <v>73</v>
      </c>
      <c r="N683" t="str">
        <f t="shared" si="127"/>
        <v>u</v>
      </c>
      <c r="Q683" t="str">
        <f t="shared" si="126"/>
        <v/>
      </c>
      <c r="S683">
        <f>IF(A683=1,MAX($S$2:$S682)+1,IF(OR($I683&lt;&gt;"",A683="x"),$S682,""))</f>
        <v>340</v>
      </c>
      <c r="T683">
        <f>IF(D683=1,MAX($T$2:$T682)+1,IF(S683=S682,$T682,IF(D683="x",T682,IF(D682="x","",""))))</f>
        <v>46</v>
      </c>
      <c r="U683" t="str">
        <f>IF(B683=1,MAX($U$2:$U682)+1,IF(AND($T683&lt;&gt;"",$T683=$T682),$U682,IF(B683="x",U682,"")))</f>
        <v/>
      </c>
      <c r="V683" t="str">
        <f>IF(C683=1,MAX($V$2:$V682)+1,IF(AND($T683&lt;&gt;"",$T683=$T682),$U682,IF(C683="x",V682,"")))</f>
        <v/>
      </c>
      <c r="X683" cm="1">
        <f t="array" ref="X683">IF($I683&lt;&gt;"",$I683,INDEX($I$1:$I683,ROW()-COUNTIFS($T$1:$T683,"="&amp;$T683,$S$1:$S683,"&lt;"&amp;$S683)))</f>
        <v>41</v>
      </c>
      <c r="Z683" s="6">
        <f t="shared" si="119"/>
        <v>1</v>
      </c>
      <c r="AA683">
        <f t="shared" si="120"/>
        <v>1340</v>
      </c>
      <c r="AB683">
        <f t="shared" si="121"/>
        <v>9046</v>
      </c>
      <c r="AC683">
        <f t="shared" si="122"/>
        <v>9046</v>
      </c>
      <c r="AI683" t="str">
        <f t="shared" si="125"/>
        <v>o</v>
      </c>
      <c r="BI683" s="40"/>
      <c r="BL683" s="40"/>
      <c r="BN683" s="19"/>
      <c r="BP683" s="17"/>
    </row>
    <row r="684" spans="1:68" x14ac:dyDescent="0.2">
      <c r="A684" t="str">
        <f t="shared" si="123"/>
        <v>x</v>
      </c>
      <c r="D684" s="26" t="s">
        <v>729</v>
      </c>
      <c r="E684" s="4"/>
      <c r="F684" s="46"/>
      <c r="G684" s="4"/>
      <c r="H684" s="48"/>
      <c r="J684" s="26" t="str">
        <f t="shared" si="124"/>
        <v/>
      </c>
      <c r="N684" t="str">
        <f t="shared" si="127"/>
        <v/>
      </c>
      <c r="Q684" t="str">
        <f t="shared" si="126"/>
        <v/>
      </c>
      <c r="S684">
        <f>IF(A684=1,MAX($S$2:$S683)+1,IF(OR($I684&lt;&gt;"",A684="x"),$S683,""))</f>
        <v>340</v>
      </c>
      <c r="T684">
        <f>IF(D684=1,MAX($T$2:$T683)+1,IF(S684=S683,$T683,IF(D684="x",T683,IF(D683="x","",""))))</f>
        <v>46</v>
      </c>
      <c r="U684" t="str">
        <f>IF(B684=1,MAX($U$2:$U683)+1,IF(AND($T684&lt;&gt;"",$T684=$T683),$U683,IF(B684="x",U683,"")))</f>
        <v/>
      </c>
      <c r="V684" t="str">
        <f>IF(C684=1,MAX($V$2:$V683)+1,IF(AND($T684&lt;&gt;"",$T684=$T683),$U683,IF(C684="x",V683,"")))</f>
        <v/>
      </c>
      <c r="X684" cm="1">
        <f t="array" ref="X684">IF($I684&lt;&gt;"",$I684,INDEX($I$1:$I684,ROW()-COUNTIFS($T$1:$T684,"="&amp;$T684,$S$1:$S684,"&lt;"&amp;$S684)))</f>
        <v>9</v>
      </c>
      <c r="Z684" s="6">
        <f t="shared" si="119"/>
        <v>1</v>
      </c>
      <c r="AA684">
        <f t="shared" si="120"/>
        <v>1340</v>
      </c>
      <c r="AB684">
        <f t="shared" si="121"/>
        <v>9046</v>
      </c>
      <c r="AC684">
        <f t="shared" si="122"/>
        <v>9046</v>
      </c>
      <c r="AI684" t="str">
        <f t="shared" si="125"/>
        <v>o</v>
      </c>
      <c r="BI684" s="40"/>
      <c r="BL684" s="40"/>
      <c r="BN684" s="19"/>
      <c r="BP684" s="17"/>
    </row>
    <row r="685" spans="1:68" x14ac:dyDescent="0.2">
      <c r="A685" t="str">
        <f t="shared" si="123"/>
        <v>x</v>
      </c>
      <c r="D685" s="26" t="s">
        <v>729</v>
      </c>
      <c r="E685" s="4"/>
      <c r="F685" s="46"/>
      <c r="G685" s="4"/>
      <c r="H685" s="48"/>
      <c r="J685" s="26" t="str">
        <f t="shared" si="124"/>
        <v/>
      </c>
      <c r="N685" t="str">
        <f t="shared" si="127"/>
        <v/>
      </c>
      <c r="Q685" t="str">
        <f t="shared" si="126"/>
        <v/>
      </c>
      <c r="S685">
        <f>IF(A685=1,MAX($S$2:$S684)+1,IF(OR($I685&lt;&gt;"",A685="x"),$S684,""))</f>
        <v>340</v>
      </c>
      <c r="T685">
        <f>IF(D685=1,MAX($T$2:$T684)+1,IF(S685=S684,$T684,IF(D685="x",T684,IF(D684="x","",""))))</f>
        <v>46</v>
      </c>
      <c r="U685" t="str">
        <f>IF(B685=1,MAX($U$2:$U684)+1,IF(AND($T685&lt;&gt;"",$T685=$T684),$U684,IF(B685="x",U684,"")))</f>
        <v/>
      </c>
      <c r="V685" t="str">
        <f>IF(C685=1,MAX($V$2:$V684)+1,IF(AND($T685&lt;&gt;"",$T685=$T684),$U684,IF(C685="x",V684,"")))</f>
        <v/>
      </c>
      <c r="X685" cm="1">
        <f t="array" ref="X685">IF($I685&lt;&gt;"",$I685,INDEX($I$1:$I685,ROW()-COUNTIFS($T$1:$T685,"="&amp;$T685,$S$1:$S685,"&lt;"&amp;$S685)))</f>
        <v>70</v>
      </c>
      <c r="Z685" s="6">
        <f t="shared" si="119"/>
        <v>1</v>
      </c>
      <c r="AA685">
        <f t="shared" si="120"/>
        <v>1340</v>
      </c>
      <c r="AB685">
        <f t="shared" si="121"/>
        <v>9046</v>
      </c>
      <c r="AC685">
        <f t="shared" si="122"/>
        <v>9046</v>
      </c>
      <c r="AI685" t="str">
        <f t="shared" si="125"/>
        <v>o</v>
      </c>
      <c r="BI685" s="40"/>
      <c r="BL685" s="40"/>
      <c r="BN685" s="19"/>
      <c r="BP685" s="17"/>
    </row>
    <row r="686" spans="1:68" x14ac:dyDescent="0.2">
      <c r="A686">
        <f t="shared" si="123"/>
        <v>1</v>
      </c>
      <c r="E686" s="4"/>
      <c r="F686" s="46"/>
      <c r="G686" s="4"/>
      <c r="H686" s="48" t="s">
        <v>1054</v>
      </c>
      <c r="I686" s="26">
        <v>9</v>
      </c>
      <c r="J686" s="26" t="s">
        <v>736</v>
      </c>
      <c r="K686" t="s">
        <v>13</v>
      </c>
      <c r="N686" t="str">
        <f t="shared" si="127"/>
        <v/>
      </c>
      <c r="Q686" t="str">
        <f t="shared" si="126"/>
        <v/>
      </c>
      <c r="S686">
        <f>IF(A686=1,MAX($S$2:$S685)+1,IF(OR($I686&lt;&gt;"",A686="x"),$S685,""))</f>
        <v>341</v>
      </c>
      <c r="T686" t="str">
        <f>IF(D686=1,MAX($T$2:$T685)+1,IF(S686=S685,$T685,IF(D686="x",T685,IF(D685="x","",""))))</f>
        <v/>
      </c>
      <c r="U686" t="str">
        <f>IF(B686=1,MAX($U$2:$U685)+1,IF(AND($T686&lt;&gt;"",$T686=$T685),$U685,IF(B686="x",U685,"")))</f>
        <v/>
      </c>
      <c r="V686" t="str">
        <f>IF(C686=1,MAX($V$2:$V685)+1,IF(AND($T686&lt;&gt;"",$T686=$T685),$U685,IF(C686="x",V685,"")))</f>
        <v/>
      </c>
      <c r="X686" cm="1">
        <f t="array" ref="X686">IF($I686&lt;&gt;"",$I686,INDEX($I$1:$I686,ROW()-COUNTIFS($T$1:$T686,"="&amp;$T686,$S$1:$S686,"&lt;"&amp;$S686)))</f>
        <v>9</v>
      </c>
      <c r="Z686" s="6">
        <f t="shared" si="119"/>
        <v>1</v>
      </c>
      <c r="AA686">
        <f t="shared" si="120"/>
        <v>1341</v>
      </c>
      <c r="AB686" t="str">
        <f t="shared" si="121"/>
        <v/>
      </c>
      <c r="AC686">
        <f t="shared" si="122"/>
        <v>1341</v>
      </c>
      <c r="AI686" t="str">
        <f t="shared" si="125"/>
        <v>d</v>
      </c>
      <c r="BI686" s="40"/>
      <c r="BL686" s="40"/>
      <c r="BN686" s="19"/>
      <c r="BP686" s="17"/>
    </row>
    <row r="687" spans="1:68" x14ac:dyDescent="0.2">
      <c r="A687">
        <f t="shared" si="123"/>
        <v>1</v>
      </c>
      <c r="E687" s="4"/>
      <c r="F687" s="46"/>
      <c r="G687" s="4"/>
      <c r="H687" s="48" t="s">
        <v>744</v>
      </c>
      <c r="I687" s="26">
        <v>9</v>
      </c>
      <c r="J687" s="26" t="str">
        <f t="shared" si="124"/>
        <v>d</v>
      </c>
      <c r="K687" t="s">
        <v>238</v>
      </c>
      <c r="L687" t="s">
        <v>184</v>
      </c>
      <c r="M687" t="s">
        <v>88</v>
      </c>
      <c r="N687" t="str">
        <f t="shared" si="127"/>
        <v>s</v>
      </c>
      <c r="Q687" t="str">
        <f t="shared" si="126"/>
        <v/>
      </c>
      <c r="S687">
        <f>IF(A687=1,MAX($S$2:$S686)+1,IF(OR($I687&lt;&gt;"",A687="x"),$S686,""))</f>
        <v>342</v>
      </c>
      <c r="T687" t="str">
        <f>IF(D687=1,MAX($T$2:$T686)+1,IF(S687=S686,$T686,IF(D687="x",T686,IF(D686="x","",""))))</f>
        <v/>
      </c>
      <c r="U687" t="str">
        <f>IF(B687=1,MAX($U$2:$U686)+1,IF(AND($T687&lt;&gt;"",$T687=$T686),$U686,IF(B687="x",U686,"")))</f>
        <v/>
      </c>
      <c r="V687" t="str">
        <f>IF(C687=1,MAX($V$2:$V686)+1,IF(AND($T687&lt;&gt;"",$T687=$T686),$U686,IF(C687="x",V686,"")))</f>
        <v/>
      </c>
      <c r="X687" cm="1">
        <f t="array" ref="X687">IF($I687&lt;&gt;"",$I687,INDEX($I$1:$I687,ROW()-COUNTIFS($T$1:$T687,"="&amp;$T687,$S$1:$S687,"&lt;"&amp;$S687)))</f>
        <v>9</v>
      </c>
      <c r="Z687" s="6">
        <f t="shared" si="119"/>
        <v>1</v>
      </c>
      <c r="AA687">
        <f t="shared" si="120"/>
        <v>1342</v>
      </c>
      <c r="AB687" t="str">
        <f t="shared" si="121"/>
        <v/>
      </c>
      <c r="AC687">
        <f t="shared" si="122"/>
        <v>1342</v>
      </c>
      <c r="AI687" t="str">
        <f t="shared" si="125"/>
        <v>d</v>
      </c>
      <c r="BI687" s="40"/>
      <c r="BL687" s="40"/>
      <c r="BN687" s="19"/>
      <c r="BP687" s="17"/>
    </row>
    <row r="688" spans="1:68" x14ac:dyDescent="0.2">
      <c r="A688">
        <f t="shared" si="123"/>
        <v>1</v>
      </c>
      <c r="E688" s="4"/>
      <c r="F688" s="46"/>
      <c r="G688" s="4"/>
      <c r="H688" s="48" t="s">
        <v>1064</v>
      </c>
      <c r="I688" s="26">
        <v>9</v>
      </c>
      <c r="J688" s="26" t="s">
        <v>734</v>
      </c>
      <c r="K688" t="s">
        <v>13</v>
      </c>
      <c r="N688" t="str">
        <f t="shared" si="127"/>
        <v/>
      </c>
      <c r="Q688" t="str">
        <f t="shared" si="126"/>
        <v/>
      </c>
      <c r="S688">
        <f>IF(A688=1,MAX($S$2:$S687)+1,IF(OR($I688&lt;&gt;"",A688="x"),$S687,""))</f>
        <v>343</v>
      </c>
      <c r="T688" t="str">
        <f>IF(D688=1,MAX($T$2:$T687)+1,IF(S688=S687,$T687,IF(D688="x",T687,IF(D687="x","",""))))</f>
        <v/>
      </c>
      <c r="U688" t="str">
        <f>IF(B688=1,MAX($U$2:$U687)+1,IF(AND($T688&lt;&gt;"",$T688=$T687),$U687,IF(B688="x",U687,"")))</f>
        <v/>
      </c>
      <c r="V688" t="str">
        <f>IF(C688=1,MAX($V$2:$V687)+1,IF(AND($T688&lt;&gt;"",$T688=$T687),$U687,IF(C688="x",V687,"")))</f>
        <v/>
      </c>
      <c r="X688" cm="1">
        <f t="array" ref="X688">IF($I688&lt;&gt;"",$I688,INDEX($I$1:$I688,ROW()-COUNTIFS($T$1:$T688,"="&amp;$T688,$S$1:$S688,"&lt;"&amp;$S688)))</f>
        <v>9</v>
      </c>
      <c r="Z688" s="6">
        <f t="shared" si="119"/>
        <v>1</v>
      </c>
      <c r="AA688">
        <f t="shared" si="120"/>
        <v>1343</v>
      </c>
      <c r="AB688" t="str">
        <f t="shared" si="121"/>
        <v/>
      </c>
      <c r="AC688">
        <f t="shared" si="122"/>
        <v>1343</v>
      </c>
      <c r="AI688" t="str">
        <f t="shared" si="125"/>
        <v>n</v>
      </c>
      <c r="BI688" s="40"/>
      <c r="BL688" s="40"/>
      <c r="BN688" s="19"/>
      <c r="BP688" s="17"/>
    </row>
    <row r="689" spans="1:68" x14ac:dyDescent="0.2">
      <c r="A689">
        <f t="shared" si="123"/>
        <v>1</v>
      </c>
      <c r="E689" s="4"/>
      <c r="F689" s="46"/>
      <c r="G689" s="4"/>
      <c r="H689" s="48" t="s">
        <v>1047</v>
      </c>
      <c r="I689" s="26">
        <v>9</v>
      </c>
      <c r="J689" s="26" t="str">
        <f t="shared" si="124"/>
        <v>o</v>
      </c>
      <c r="K689" t="s">
        <v>238</v>
      </c>
      <c r="L689" t="s">
        <v>174</v>
      </c>
      <c r="M689" t="s">
        <v>85</v>
      </c>
      <c r="N689" t="str">
        <f t="shared" si="127"/>
        <v>s</v>
      </c>
      <c r="O689" t="s">
        <v>144</v>
      </c>
      <c r="Q689" t="str">
        <f t="shared" si="126"/>
        <v>s</v>
      </c>
      <c r="R689" s="26">
        <v>1</v>
      </c>
      <c r="S689">
        <f>IF(A689=1,MAX($S$2:$S688)+1,IF(OR($I689&lt;&gt;"",A689="x"),$S688,""))</f>
        <v>344</v>
      </c>
      <c r="T689" t="str">
        <f>IF(D689=1,MAX($T$2:$T688)+1,IF(S689=S688,$T688,IF(D689="x",T688,IF(D688="x","",""))))</f>
        <v/>
      </c>
      <c r="U689" t="str">
        <f>IF(B689=1,MAX($U$2:$U688)+1,IF(AND($T689&lt;&gt;"",$T689=$T688),$U688,IF(B689="x",U688,"")))</f>
        <v/>
      </c>
      <c r="V689" t="str">
        <f>IF(C689=1,MAX($V$2:$V688)+1,IF(AND($T689&lt;&gt;"",$T689=$T688),$U688,IF(C689="x",V688,"")))</f>
        <v/>
      </c>
      <c r="X689" cm="1">
        <f t="array" ref="X689">IF($I689&lt;&gt;"",$I689,INDEX($I$1:$I689,ROW()-COUNTIFS($T$1:$T689,"="&amp;$T689,$S$1:$S689,"&lt;"&amp;$S689)))</f>
        <v>9</v>
      </c>
      <c r="Z689" s="6">
        <f t="shared" si="119"/>
        <v>1</v>
      </c>
      <c r="AA689">
        <f t="shared" si="120"/>
        <v>1344</v>
      </c>
      <c r="AB689" t="str">
        <f t="shared" si="121"/>
        <v/>
      </c>
      <c r="AC689">
        <f t="shared" si="122"/>
        <v>1344</v>
      </c>
      <c r="AI689" t="str">
        <f t="shared" si="125"/>
        <v>o</v>
      </c>
      <c r="BI689" s="40"/>
      <c r="BL689" s="40"/>
      <c r="BN689" s="19"/>
      <c r="BP689" s="17"/>
    </row>
    <row r="690" spans="1:68" x14ac:dyDescent="0.2">
      <c r="A690" t="str">
        <f t="shared" si="123"/>
        <v/>
      </c>
      <c r="E690" s="4"/>
      <c r="F690" s="46"/>
      <c r="G690" s="4"/>
      <c r="H690" s="48"/>
      <c r="I690" s="26">
        <v>19</v>
      </c>
      <c r="J690" s="26" t="str">
        <f t="shared" si="124"/>
        <v/>
      </c>
      <c r="N690" t="str">
        <f t="shared" si="127"/>
        <v/>
      </c>
      <c r="Q690" t="str">
        <f t="shared" si="126"/>
        <v/>
      </c>
      <c r="R690" s="26">
        <v>1</v>
      </c>
      <c r="S690">
        <f>IF(A690=1,MAX($S$2:$S689)+1,IF(OR($I690&lt;&gt;"",A690="x"),$S689,""))</f>
        <v>344</v>
      </c>
      <c r="T690" t="str">
        <f>IF(D690=1,MAX($T$2:$T689)+1,IF(S690=S689,$T689,IF(D690="x",T689,IF(D689="x","",""))))</f>
        <v/>
      </c>
      <c r="U690" t="str">
        <f>IF(B690=1,MAX($U$2:$U689)+1,IF(AND($T690&lt;&gt;"",$T690=$T689),$U689,IF(B690="x",U689,"")))</f>
        <v/>
      </c>
      <c r="V690" t="str">
        <f>IF(C690=1,MAX($V$2:$V689)+1,IF(AND($T690&lt;&gt;"",$T690=$T689),$U689,IF(C690="x",V689,"")))</f>
        <v/>
      </c>
      <c r="X690" cm="1">
        <f t="array" ref="X690">IF($I690&lt;&gt;"",$I690,INDEX($I$1:$I690,ROW()-COUNTIFS($T$1:$T690,"="&amp;$T690,$S$1:$S690,"&lt;"&amp;$S690)))</f>
        <v>19</v>
      </c>
      <c r="Z690" s="6">
        <f t="shared" si="119"/>
        <v>1</v>
      </c>
      <c r="AA690">
        <f t="shared" si="120"/>
        <v>1344</v>
      </c>
      <c r="AB690" t="str">
        <f t="shared" si="121"/>
        <v/>
      </c>
      <c r="AC690">
        <f t="shared" si="122"/>
        <v>1344</v>
      </c>
      <c r="AI690" t="str">
        <f t="shared" si="125"/>
        <v>o</v>
      </c>
      <c r="BI690" s="40"/>
      <c r="BL690" s="40"/>
      <c r="BN690" s="19"/>
      <c r="BP690" s="17"/>
    </row>
    <row r="691" spans="1:68" x14ac:dyDescent="0.2">
      <c r="A691">
        <f t="shared" si="123"/>
        <v>1</v>
      </c>
      <c r="E691" s="4"/>
      <c r="F691" s="46"/>
      <c r="G691" s="4"/>
      <c r="H691" s="48" t="s">
        <v>747</v>
      </c>
      <c r="I691" s="26">
        <v>9</v>
      </c>
      <c r="J691" s="26" t="str">
        <f t="shared" si="124"/>
        <v/>
      </c>
      <c r="K691" t="s">
        <v>13</v>
      </c>
      <c r="N691" t="str">
        <f t="shared" si="127"/>
        <v/>
      </c>
      <c r="Q691" t="str">
        <f t="shared" si="126"/>
        <v/>
      </c>
      <c r="R691" s="26">
        <v>1</v>
      </c>
      <c r="S691">
        <f>IF(A691=1,MAX($S$2:$S690)+1,IF(OR($I691&lt;&gt;"",A691="x"),$S690,""))</f>
        <v>345</v>
      </c>
      <c r="T691" t="str">
        <f>IF(D691=1,MAX($T$2:$T690)+1,IF(S691=S690,$T690,IF(D691="x",T690,IF(D690="x","",""))))</f>
        <v/>
      </c>
      <c r="U691" t="str">
        <f>IF(B691=1,MAX($U$2:$U690)+1,IF(AND($T691&lt;&gt;"",$T691=$T690),$U690,IF(B691="x",U690,"")))</f>
        <v/>
      </c>
      <c r="V691" t="str">
        <f>IF(C691=1,MAX($V$2:$V690)+1,IF(AND($T691&lt;&gt;"",$T691=$T690),$U690,IF(C691="x",V690,"")))</f>
        <v/>
      </c>
      <c r="X691" cm="1">
        <f t="array" ref="X691">IF($I691&lt;&gt;"",$I691,INDEX($I$1:$I691,ROW()-COUNTIFS($T$1:$T691,"="&amp;$T691,$S$1:$S691,"&lt;"&amp;$S691)))</f>
        <v>9</v>
      </c>
      <c r="Z691" s="6">
        <f t="shared" si="119"/>
        <v>1</v>
      </c>
      <c r="AA691">
        <f t="shared" si="120"/>
        <v>1345</v>
      </c>
      <c r="AB691" t="str">
        <f t="shared" si="121"/>
        <v/>
      </c>
      <c r="AC691">
        <f t="shared" si="122"/>
        <v>1345</v>
      </c>
      <c r="AI691" t="str">
        <f t="shared" si="125"/>
        <v/>
      </c>
      <c r="BI691" s="40"/>
      <c r="BL691" s="40"/>
      <c r="BN691" s="19"/>
      <c r="BP691" s="17"/>
    </row>
    <row r="692" spans="1:68" x14ac:dyDescent="0.2">
      <c r="A692" t="str">
        <f t="shared" si="123"/>
        <v/>
      </c>
      <c r="E692" s="4"/>
      <c r="F692" s="46"/>
      <c r="G692" s="4"/>
      <c r="H692" s="48"/>
      <c r="I692" s="26">
        <v>19</v>
      </c>
      <c r="J692" s="26" t="str">
        <f t="shared" si="124"/>
        <v/>
      </c>
      <c r="N692" t="str">
        <f t="shared" si="127"/>
        <v/>
      </c>
      <c r="O692" t="s">
        <v>567</v>
      </c>
      <c r="Q692" t="str">
        <f t="shared" si="126"/>
        <v/>
      </c>
      <c r="R692" s="26">
        <v>1</v>
      </c>
      <c r="S692">
        <f>IF(A692=1,MAX($S$2:$S691)+1,IF(OR($I692&lt;&gt;"",A692="x"),$S691,""))</f>
        <v>345</v>
      </c>
      <c r="T692" t="str">
        <f>IF(D692=1,MAX($T$2:$T691)+1,IF(S692=S691,$T691,IF(D692="x",T691,IF(D691="x","",""))))</f>
        <v/>
      </c>
      <c r="U692" t="str">
        <f>IF(B692=1,MAX($U$2:$U691)+1,IF(AND($T692&lt;&gt;"",$T692=$T691),$U691,IF(B692="x",U691,"")))</f>
        <v/>
      </c>
      <c r="V692" t="str">
        <f>IF(C692=1,MAX($V$2:$V691)+1,IF(AND($T692&lt;&gt;"",$T692=$T691),$U691,IF(C692="x",V691,"")))</f>
        <v/>
      </c>
      <c r="X692" cm="1">
        <f t="array" ref="X692">IF($I692&lt;&gt;"",$I692,INDEX($I$1:$I692,ROW()-COUNTIFS($T$1:$T692,"="&amp;$T692,$S$1:$S692,"&lt;"&amp;$S692)))</f>
        <v>19</v>
      </c>
      <c r="Z692" s="6">
        <f t="shared" si="119"/>
        <v>1</v>
      </c>
      <c r="AA692">
        <f t="shared" si="120"/>
        <v>1345</v>
      </c>
      <c r="AB692" t="str">
        <f t="shared" si="121"/>
        <v/>
      </c>
      <c r="AC692">
        <f t="shared" si="122"/>
        <v>1345</v>
      </c>
      <c r="AI692" t="str">
        <f t="shared" si="125"/>
        <v/>
      </c>
      <c r="BI692" s="40"/>
      <c r="BL692" s="40"/>
      <c r="BN692" s="19"/>
      <c r="BP692" s="17"/>
    </row>
    <row r="693" spans="1:68" x14ac:dyDescent="0.2">
      <c r="A693" t="str">
        <f t="shared" si="123"/>
        <v/>
      </c>
      <c r="E693" s="4"/>
      <c r="F693" s="46"/>
      <c r="G693" s="4"/>
      <c r="H693" s="48"/>
      <c r="I693" s="26">
        <v>41</v>
      </c>
      <c r="J693" s="26" t="str">
        <f t="shared" si="124"/>
        <v/>
      </c>
      <c r="N693" t="str">
        <f t="shared" si="127"/>
        <v/>
      </c>
      <c r="Q693" t="str">
        <f t="shared" si="126"/>
        <v/>
      </c>
      <c r="R693" s="26">
        <v>1</v>
      </c>
      <c r="S693">
        <f>IF(A693=1,MAX($S$2:$S692)+1,IF(OR($I693&lt;&gt;"",A693="x"),$S692,""))</f>
        <v>345</v>
      </c>
      <c r="T693" t="str">
        <f>IF(D693=1,MAX($T$2:$T692)+1,IF(S693=S692,$T692,IF(D693="x",T692,IF(D692="x","",""))))</f>
        <v/>
      </c>
      <c r="U693" t="str">
        <f>IF(B693=1,MAX($U$2:$U692)+1,IF(AND($T693&lt;&gt;"",$T693=$T692),$U692,IF(B693="x",U692,"")))</f>
        <v/>
      </c>
      <c r="V693" t="str">
        <f>IF(C693=1,MAX($V$2:$V692)+1,IF(AND($T693&lt;&gt;"",$T693=$T692),$U692,IF(C693="x",V692,"")))</f>
        <v/>
      </c>
      <c r="X693" cm="1">
        <f t="array" ref="X693">IF($I693&lt;&gt;"",$I693,INDEX($I$1:$I693,ROW()-COUNTIFS($T$1:$T693,"="&amp;$T693,$S$1:$S693,"&lt;"&amp;$S693)))</f>
        <v>41</v>
      </c>
      <c r="Z693" s="6">
        <f t="shared" si="119"/>
        <v>1</v>
      </c>
      <c r="AA693">
        <f t="shared" si="120"/>
        <v>1345</v>
      </c>
      <c r="AB693" t="str">
        <f t="shared" si="121"/>
        <v/>
      </c>
      <c r="AC693">
        <f t="shared" si="122"/>
        <v>1345</v>
      </c>
      <c r="AI693" t="str">
        <f t="shared" si="125"/>
        <v/>
      </c>
      <c r="BI693" s="40"/>
      <c r="BL693" s="40"/>
      <c r="BN693" s="19"/>
      <c r="BP693" s="17"/>
    </row>
    <row r="694" spans="1:68" x14ac:dyDescent="0.2">
      <c r="A694">
        <f t="shared" si="123"/>
        <v>1</v>
      </c>
      <c r="E694" s="4"/>
      <c r="F694" s="46"/>
      <c r="G694" s="4"/>
      <c r="H694" s="48"/>
      <c r="I694" s="26">
        <v>9</v>
      </c>
      <c r="J694" s="26" t="str">
        <f t="shared" si="124"/>
        <v/>
      </c>
      <c r="K694" t="s">
        <v>7</v>
      </c>
      <c r="L694" t="s">
        <v>172</v>
      </c>
      <c r="M694" t="s">
        <v>66</v>
      </c>
      <c r="N694" t="str">
        <f t="shared" si="127"/>
        <v>s</v>
      </c>
      <c r="O694" t="s">
        <v>551</v>
      </c>
      <c r="Q694" t="str">
        <f t="shared" si="126"/>
        <v>s</v>
      </c>
      <c r="R694" s="26">
        <v>1</v>
      </c>
      <c r="S694">
        <f>IF(A694=1,MAX($S$2:$S693)+1,IF(OR($I694&lt;&gt;"",A694="x"),$S693,""))</f>
        <v>346</v>
      </c>
      <c r="T694" t="str">
        <f>IF(D694=1,MAX($T$2:$T693)+1,IF(S694=S693,$T693,IF(D694="x",T693,IF(D693="x","",""))))</f>
        <v/>
      </c>
      <c r="U694" t="str">
        <f>IF(B694=1,MAX($U$2:$U693)+1,IF(AND($T694&lt;&gt;"",$T694=$T693),$U693,IF(B694="x",U693,"")))</f>
        <v/>
      </c>
      <c r="V694" t="str">
        <f>IF(C694=1,MAX($V$2:$V693)+1,IF(AND($T694&lt;&gt;"",$T694=$T693),$U693,IF(C694="x",V693,"")))</f>
        <v/>
      </c>
      <c r="X694" cm="1">
        <f t="array" ref="X694">IF($I694&lt;&gt;"",$I694,INDEX($I$1:$I694,ROW()-COUNTIFS($T$1:$T694,"="&amp;$T694,$S$1:$S694,"&lt;"&amp;$S694)))</f>
        <v>9</v>
      </c>
      <c r="Z694" s="6">
        <f t="shared" si="119"/>
        <v>1</v>
      </c>
      <c r="AA694">
        <f t="shared" si="120"/>
        <v>1346</v>
      </c>
      <c r="AB694" t="str">
        <f t="shared" si="121"/>
        <v/>
      </c>
      <c r="AC694">
        <f t="shared" si="122"/>
        <v>1346</v>
      </c>
      <c r="AI694" t="str">
        <f t="shared" si="125"/>
        <v/>
      </c>
      <c r="BI694" s="40"/>
      <c r="BL694" s="40"/>
      <c r="BN694" s="19"/>
      <c r="BP694" s="17"/>
    </row>
    <row r="695" spans="1:68" x14ac:dyDescent="0.2">
      <c r="A695" t="str">
        <f t="shared" si="123"/>
        <v/>
      </c>
      <c r="E695" s="4"/>
      <c r="F695" s="46"/>
      <c r="G695" s="4"/>
      <c r="H695" s="48"/>
      <c r="I695" s="26">
        <v>70</v>
      </c>
      <c r="J695" s="26" t="str">
        <f t="shared" si="124"/>
        <v/>
      </c>
      <c r="N695" t="str">
        <f t="shared" si="127"/>
        <v/>
      </c>
      <c r="Q695" t="str">
        <f t="shared" si="126"/>
        <v/>
      </c>
      <c r="S695">
        <f>IF(A695=1,MAX($S$2:$S694)+1,IF(OR($I695&lt;&gt;"",A695="x"),$S694,""))</f>
        <v>346</v>
      </c>
      <c r="T695" t="str">
        <f>IF(D695=1,MAX($T$2:$T694)+1,IF(S695=S694,$T694,IF(D695="x",T694,IF(D694="x","",""))))</f>
        <v/>
      </c>
      <c r="U695" t="str">
        <f>IF(B695=1,MAX($U$2:$U694)+1,IF(AND($T695&lt;&gt;"",$T695=$T694),$U694,IF(B695="x",U694,"")))</f>
        <v/>
      </c>
      <c r="V695" t="str">
        <f>IF(C695=1,MAX($V$2:$V694)+1,IF(AND($T695&lt;&gt;"",$T695=$T694),$U694,IF(C695="x",V694,"")))</f>
        <v/>
      </c>
      <c r="X695" cm="1">
        <f t="array" ref="X695">IF($I695&lt;&gt;"",$I695,INDEX($I$1:$I695,ROW()-COUNTIFS($T$1:$T695,"="&amp;$T695,$S$1:$S695,"&lt;"&amp;$S695)))</f>
        <v>70</v>
      </c>
      <c r="Z695" s="6">
        <f t="shared" si="119"/>
        <v>1</v>
      </c>
      <c r="AA695">
        <f t="shared" si="120"/>
        <v>1346</v>
      </c>
      <c r="AB695" t="str">
        <f t="shared" si="121"/>
        <v/>
      </c>
      <c r="AC695">
        <f t="shared" si="122"/>
        <v>1346</v>
      </c>
      <c r="AI695" t="str">
        <f t="shared" si="125"/>
        <v/>
      </c>
      <c r="BI695" s="40"/>
      <c r="BL695" s="40"/>
      <c r="BN695" s="19"/>
      <c r="BP695" s="17"/>
    </row>
    <row r="696" spans="1:68" x14ac:dyDescent="0.2">
      <c r="A696" t="str">
        <f t="shared" si="123"/>
        <v/>
      </c>
      <c r="E696" s="4"/>
      <c r="F696" s="46"/>
      <c r="G696" s="4"/>
      <c r="H696" s="48"/>
      <c r="I696" s="26">
        <v>41</v>
      </c>
      <c r="J696" s="26" t="str">
        <f t="shared" si="124"/>
        <v/>
      </c>
      <c r="N696" t="str">
        <f t="shared" si="127"/>
        <v/>
      </c>
      <c r="Q696" t="str">
        <f t="shared" si="126"/>
        <v/>
      </c>
      <c r="R696" s="26">
        <v>1</v>
      </c>
      <c r="S696">
        <f>IF(A696=1,MAX($S$2:$S695)+1,IF(OR($I696&lt;&gt;"",A696="x"),$S695,""))</f>
        <v>346</v>
      </c>
      <c r="T696" t="str">
        <f>IF(D696=1,MAX($T$2:$T695)+1,IF(S696=S695,$T695,IF(D696="x",T695,IF(D695="x","",""))))</f>
        <v/>
      </c>
      <c r="U696" t="str">
        <f>IF(B696=1,MAX($U$2:$U695)+1,IF(AND($T696&lt;&gt;"",$T696=$T695),$U695,IF(B696="x",U695,"")))</f>
        <v/>
      </c>
      <c r="V696" t="str">
        <f>IF(C696=1,MAX($V$2:$V695)+1,IF(AND($T696&lt;&gt;"",$T696=$T695),$U695,IF(C696="x",V695,"")))</f>
        <v/>
      </c>
      <c r="X696" cm="1">
        <f t="array" ref="X696">IF($I696&lt;&gt;"",$I696,INDEX($I$1:$I696,ROW()-COUNTIFS($T$1:$T696,"="&amp;$T696,$S$1:$S696,"&lt;"&amp;$S696)))</f>
        <v>41</v>
      </c>
      <c r="Z696" s="6">
        <f t="shared" si="119"/>
        <v>1</v>
      </c>
      <c r="AA696">
        <f t="shared" si="120"/>
        <v>1346</v>
      </c>
      <c r="AB696" t="str">
        <f t="shared" si="121"/>
        <v/>
      </c>
      <c r="AC696">
        <f t="shared" si="122"/>
        <v>1346</v>
      </c>
      <c r="AI696" t="str">
        <f t="shared" si="125"/>
        <v/>
      </c>
      <c r="BI696" s="40"/>
      <c r="BL696" s="40"/>
      <c r="BN696" s="19"/>
      <c r="BP696" s="17"/>
    </row>
    <row r="697" spans="1:68" x14ac:dyDescent="0.2">
      <c r="A697">
        <f t="shared" si="123"/>
        <v>1</v>
      </c>
      <c r="E697" s="4"/>
      <c r="F697" s="46" t="s">
        <v>748</v>
      </c>
      <c r="G697" s="4"/>
      <c r="H697" s="48" t="s">
        <v>413</v>
      </c>
      <c r="I697" s="26">
        <v>70</v>
      </c>
      <c r="J697" s="26" t="str">
        <f t="shared" si="124"/>
        <v/>
      </c>
      <c r="K697" t="s">
        <v>13</v>
      </c>
      <c r="N697" t="str">
        <f t="shared" si="127"/>
        <v/>
      </c>
      <c r="Q697" t="str">
        <f t="shared" si="126"/>
        <v/>
      </c>
      <c r="S697">
        <f>IF(A697=1,MAX($S$2:$S696)+1,IF(OR($I697&lt;&gt;"",A697="x"),$S696,""))</f>
        <v>347</v>
      </c>
      <c r="T697" t="str">
        <f>IF(D697=1,MAX($T$2:$T696)+1,IF(S697=S696,$T696,IF(D697="x",T696,IF(D696="x","",""))))</f>
        <v/>
      </c>
      <c r="U697" t="str">
        <f>IF(B697=1,MAX($U$2:$U696)+1,IF(AND($T697&lt;&gt;"",$T697=$T696),$U696,IF(B697="x",U696,"")))</f>
        <v/>
      </c>
      <c r="V697" t="str">
        <f>IF(C697=1,MAX($V$2:$V696)+1,IF(AND($T697&lt;&gt;"",$T697=$T696),$U696,IF(C697="x",V696,"")))</f>
        <v/>
      </c>
      <c r="X697" cm="1">
        <f t="array" ref="X697">IF($I697&lt;&gt;"",$I697,INDEX($I$1:$I697,ROW()-COUNTIFS($T$1:$T697,"="&amp;$T697,$S$1:$S697,"&lt;"&amp;$S697)))</f>
        <v>70</v>
      </c>
      <c r="Z697" s="6">
        <f t="shared" si="119"/>
        <v>1</v>
      </c>
      <c r="AA697">
        <f t="shared" si="120"/>
        <v>1347</v>
      </c>
      <c r="AB697" t="str">
        <f t="shared" si="121"/>
        <v/>
      </c>
      <c r="AC697">
        <f t="shared" si="122"/>
        <v>1347</v>
      </c>
      <c r="AI697" t="str">
        <f t="shared" si="125"/>
        <v/>
      </c>
      <c r="BI697" s="40"/>
      <c r="BL697" s="40"/>
      <c r="BN697" s="19"/>
      <c r="BP697" s="17"/>
    </row>
    <row r="698" spans="1:68" x14ac:dyDescent="0.2">
      <c r="A698">
        <f t="shared" si="123"/>
        <v>1</v>
      </c>
      <c r="E698" s="4"/>
      <c r="F698" s="46"/>
      <c r="G698" s="4"/>
      <c r="H698" s="48"/>
      <c r="I698" s="26">
        <v>70</v>
      </c>
      <c r="J698" s="26" t="str">
        <f t="shared" si="124"/>
        <v/>
      </c>
      <c r="K698" t="s">
        <v>230</v>
      </c>
      <c r="L698" t="s">
        <v>388</v>
      </c>
      <c r="M698" t="s">
        <v>431</v>
      </c>
      <c r="N698" t="str">
        <f t="shared" si="127"/>
        <v/>
      </c>
      <c r="Q698" t="str">
        <f t="shared" si="126"/>
        <v/>
      </c>
      <c r="S698">
        <f>IF(A698=1,MAX($S$2:$S697)+1,IF(OR($I698&lt;&gt;"",A698="x"),$S697,""))</f>
        <v>348</v>
      </c>
      <c r="T698" t="str">
        <f>IF(D698=1,MAX($T$2:$T697)+1,IF(S698=S697,$T697,IF(D698="x",T697,IF(D697="x","",""))))</f>
        <v/>
      </c>
      <c r="U698" t="str">
        <f>IF(B698=1,MAX($U$2:$U697)+1,IF(AND($T698&lt;&gt;"",$T698=$T697),$U697,IF(B698="x",U697,"")))</f>
        <v/>
      </c>
      <c r="V698" t="str">
        <f>IF(C698=1,MAX($V$2:$V697)+1,IF(AND($T698&lt;&gt;"",$T698=$T697),$U697,IF(C698="x",V697,"")))</f>
        <v/>
      </c>
      <c r="X698" cm="1">
        <f t="array" ref="X698">IF($I698&lt;&gt;"",$I698,INDEX($I$1:$I698,ROW()-COUNTIFS($T$1:$T698,"="&amp;$T698,$S$1:$S698,"&lt;"&amp;$S698)))</f>
        <v>70</v>
      </c>
      <c r="Z698" s="6">
        <f t="shared" si="119"/>
        <v>1</v>
      </c>
      <c r="AA698">
        <f t="shared" si="120"/>
        <v>1348</v>
      </c>
      <c r="AB698" t="str">
        <f t="shared" si="121"/>
        <v/>
      </c>
      <c r="AC698">
        <f t="shared" si="122"/>
        <v>1348</v>
      </c>
      <c r="AI698" t="str">
        <f t="shared" si="125"/>
        <v/>
      </c>
      <c r="BI698" s="40"/>
      <c r="BL698" s="40"/>
      <c r="BN698" s="19"/>
      <c r="BP698" s="17"/>
    </row>
    <row r="699" spans="1:68" x14ac:dyDescent="0.2">
      <c r="A699">
        <f t="shared" si="123"/>
        <v>1</v>
      </c>
      <c r="E699" s="4" t="s">
        <v>1072</v>
      </c>
      <c r="F699" s="46" t="s">
        <v>1059</v>
      </c>
      <c r="G699" s="4"/>
      <c r="H699" s="48"/>
      <c r="I699" s="26">
        <v>9</v>
      </c>
      <c r="J699" s="26" t="str">
        <f t="shared" si="124"/>
        <v/>
      </c>
      <c r="K699" t="s">
        <v>13</v>
      </c>
      <c r="L699" t="s">
        <v>587</v>
      </c>
      <c r="N699" t="s">
        <v>594</v>
      </c>
      <c r="O699" t="s">
        <v>904</v>
      </c>
      <c r="Q699" t="str">
        <f t="shared" si="126"/>
        <v>u</v>
      </c>
      <c r="R699" s="26">
        <v>1</v>
      </c>
      <c r="S699">
        <f>IF(A699=1,MAX($S$2:$S698)+1,IF(OR($I699&lt;&gt;"",A699="x"),$S698,""))</f>
        <v>349</v>
      </c>
      <c r="T699" t="str">
        <f>IF(D699=1,MAX($T$2:$T698)+1,IF(S699=S698,$T698,IF(D699="x",T698,IF(D698="x","",""))))</f>
        <v/>
      </c>
      <c r="U699" t="str">
        <f>IF(B699=1,MAX($U$2:$U698)+1,IF(AND($T699&lt;&gt;"",$T699=$T698),$U698,IF(B699="x",U698,"")))</f>
        <v/>
      </c>
      <c r="V699" t="str">
        <f>IF(C699=1,MAX($V$2:$V698)+1,IF(AND($T699&lt;&gt;"",$T699=$T698),$U698,IF(C699="x",V698,"")))</f>
        <v/>
      </c>
      <c r="X699" cm="1">
        <f t="array" ref="X699">IF($I699&lt;&gt;"",$I699,INDEX($I$1:$I699,ROW()-COUNTIFS($T$1:$T699,"="&amp;$T699,$S$1:$S699,"&lt;"&amp;$S699)))</f>
        <v>9</v>
      </c>
      <c r="Z699" s="6">
        <f t="shared" si="119"/>
        <v>1</v>
      </c>
      <c r="AA699">
        <f t="shared" si="120"/>
        <v>1349</v>
      </c>
      <c r="AB699" t="str">
        <f t="shared" si="121"/>
        <v/>
      </c>
      <c r="AC699">
        <f t="shared" si="122"/>
        <v>1349</v>
      </c>
      <c r="AI699" t="str">
        <f t="shared" si="125"/>
        <v/>
      </c>
      <c r="BI699" s="40"/>
      <c r="BL699" s="40"/>
      <c r="BN699" s="19"/>
      <c r="BP699" s="17"/>
    </row>
    <row r="700" spans="1:68" x14ac:dyDescent="0.2">
      <c r="A700" t="str">
        <f t="shared" si="123"/>
        <v/>
      </c>
      <c r="E700" s="4"/>
      <c r="F700" s="46"/>
      <c r="G700" s="4"/>
      <c r="H700" s="48"/>
      <c r="I700" s="26">
        <v>41</v>
      </c>
      <c r="J700" s="26" t="str">
        <f t="shared" si="124"/>
        <v/>
      </c>
      <c r="N700" t="str">
        <f t="shared" si="127"/>
        <v/>
      </c>
      <c r="Q700" t="str">
        <f t="shared" si="126"/>
        <v/>
      </c>
      <c r="R700" s="26">
        <v>1</v>
      </c>
      <c r="S700">
        <f>IF(A700=1,MAX($S$2:$S699)+1,IF(OR($I700&lt;&gt;"",A700="x"),$S699,""))</f>
        <v>349</v>
      </c>
      <c r="T700" t="str">
        <f>IF(D700=1,MAX($T$2:$T699)+1,IF(S700=S699,$T699,IF(D700="x",T699,IF(D699="x","",""))))</f>
        <v/>
      </c>
      <c r="U700" t="str">
        <f>IF(B700=1,MAX($U$2:$U699)+1,IF(AND($T700&lt;&gt;"",$T700=$T699),$U699,IF(B700="x",U699,"")))</f>
        <v/>
      </c>
      <c r="V700" t="str">
        <f>IF(C700=1,MAX($V$2:$V699)+1,IF(AND($T700&lt;&gt;"",$T700=$T699),$U699,IF(C700="x",V699,"")))</f>
        <v/>
      </c>
      <c r="X700" cm="1">
        <f t="array" ref="X700">IF($I700&lt;&gt;"",$I700,INDEX($I$1:$I700,ROW()-COUNTIFS($T$1:$T700,"="&amp;$T700,$S$1:$S700,"&lt;"&amp;$S700)))</f>
        <v>41</v>
      </c>
      <c r="Z700" s="6">
        <f t="shared" si="119"/>
        <v>1</v>
      </c>
      <c r="AA700">
        <f t="shared" si="120"/>
        <v>1349</v>
      </c>
      <c r="AB700" t="str">
        <f t="shared" si="121"/>
        <v/>
      </c>
      <c r="AC700">
        <f t="shared" si="122"/>
        <v>1349</v>
      </c>
      <c r="AI700" t="str">
        <f t="shared" si="125"/>
        <v/>
      </c>
      <c r="BI700" s="40"/>
      <c r="BL700" s="40"/>
      <c r="BN700" s="19"/>
      <c r="BP700" s="17"/>
    </row>
    <row r="701" spans="1:68" x14ac:dyDescent="0.2">
      <c r="A701">
        <f t="shared" si="123"/>
        <v>1</v>
      </c>
      <c r="E701" s="4"/>
      <c r="F701" s="46"/>
      <c r="G701" s="4"/>
      <c r="H701" s="48"/>
      <c r="I701" s="26">
        <v>9</v>
      </c>
      <c r="J701" s="26" t="str">
        <f t="shared" si="124"/>
        <v/>
      </c>
      <c r="K701" t="s">
        <v>230</v>
      </c>
      <c r="L701" t="s">
        <v>388</v>
      </c>
      <c r="M701" t="s">
        <v>431</v>
      </c>
      <c r="N701" t="str">
        <f t="shared" si="127"/>
        <v/>
      </c>
      <c r="O701" t="s">
        <v>576</v>
      </c>
      <c r="Q701" t="str">
        <f t="shared" si="126"/>
        <v/>
      </c>
      <c r="R701" s="26">
        <v>1</v>
      </c>
      <c r="S701">
        <f>IF(A701=1,MAX($S$2:$S700)+1,IF(OR($I701&lt;&gt;"",A701="x"),$S700,""))</f>
        <v>350</v>
      </c>
      <c r="T701" t="str">
        <f>IF(D701=1,MAX($T$2:$T700)+1,IF(S701=S700,$T700,IF(D701="x",T700,IF(D700="x","",""))))</f>
        <v/>
      </c>
      <c r="U701" t="str">
        <f>IF(B701=1,MAX($U$2:$U700)+1,IF(AND($T701&lt;&gt;"",$T701=$T700),$U700,IF(B701="x",U700,"")))</f>
        <v/>
      </c>
      <c r="V701" t="str">
        <f>IF(C701=1,MAX($V$2:$V700)+1,IF(AND($T701&lt;&gt;"",$T701=$T700),$U700,IF(C701="x",V700,"")))</f>
        <v/>
      </c>
      <c r="X701" cm="1">
        <f t="array" ref="X701">IF($I701&lt;&gt;"",$I701,INDEX($I$1:$I701,ROW()-COUNTIFS($T$1:$T701,"="&amp;$T701,$S$1:$S701,"&lt;"&amp;$S701)))</f>
        <v>9</v>
      </c>
      <c r="Z701" s="6">
        <f t="shared" si="119"/>
        <v>1</v>
      </c>
      <c r="AA701">
        <f t="shared" si="120"/>
        <v>1350</v>
      </c>
      <c r="AB701" t="str">
        <f t="shared" si="121"/>
        <v/>
      </c>
      <c r="AC701">
        <f t="shared" si="122"/>
        <v>1350</v>
      </c>
      <c r="AI701" t="str">
        <f t="shared" si="125"/>
        <v/>
      </c>
      <c r="BI701" s="40"/>
      <c r="BL701" s="40"/>
      <c r="BN701" s="19"/>
      <c r="BP701" s="17"/>
    </row>
    <row r="702" spans="1:68" x14ac:dyDescent="0.2">
      <c r="A702" t="str">
        <f t="shared" si="123"/>
        <v/>
      </c>
      <c r="E702" s="4"/>
      <c r="F702" s="46"/>
      <c r="G702" s="4"/>
      <c r="H702" s="48"/>
      <c r="I702" s="26">
        <v>41</v>
      </c>
      <c r="J702" s="26" t="str">
        <f t="shared" si="124"/>
        <v/>
      </c>
      <c r="N702" t="str">
        <f t="shared" si="127"/>
        <v/>
      </c>
      <c r="Q702" t="str">
        <f t="shared" si="126"/>
        <v/>
      </c>
      <c r="R702" s="26">
        <v>1</v>
      </c>
      <c r="S702">
        <f>IF(A702=1,MAX($S$2:$S701)+1,IF(OR($I702&lt;&gt;"",A702="x"),$S701,""))</f>
        <v>350</v>
      </c>
      <c r="T702" t="str">
        <f>IF(D702=1,MAX($T$2:$T701)+1,IF(S702=S701,$T701,IF(D702="x",T701,IF(D701="x","",""))))</f>
        <v/>
      </c>
      <c r="U702" t="str">
        <f>IF(B702=1,MAX($U$2:$U701)+1,IF(AND($T702&lt;&gt;"",$T702=$T701),$U701,IF(B702="x",U701,"")))</f>
        <v/>
      </c>
      <c r="V702" t="str">
        <f>IF(C702=1,MAX($V$2:$V701)+1,IF(AND($T702&lt;&gt;"",$T702=$T701),$U701,IF(C702="x",V701,"")))</f>
        <v/>
      </c>
      <c r="X702" cm="1">
        <f t="array" ref="X702">IF($I702&lt;&gt;"",$I702,INDEX($I$1:$I702,ROW()-COUNTIFS($T$1:$T702,"="&amp;$T702,$S$1:$S702,"&lt;"&amp;$S702)))</f>
        <v>41</v>
      </c>
      <c r="Z702" s="6">
        <f t="shared" si="119"/>
        <v>1</v>
      </c>
      <c r="AA702">
        <f t="shared" si="120"/>
        <v>1350</v>
      </c>
      <c r="AB702" t="str">
        <f t="shared" si="121"/>
        <v/>
      </c>
      <c r="AC702">
        <f t="shared" si="122"/>
        <v>1350</v>
      </c>
      <c r="AI702" t="str">
        <f t="shared" si="125"/>
        <v/>
      </c>
      <c r="BI702" s="40"/>
      <c r="BL702" s="40"/>
      <c r="BN702" s="19"/>
      <c r="BP702" s="17"/>
    </row>
    <row r="703" spans="1:68" x14ac:dyDescent="0.2">
      <c r="A703">
        <f t="shared" si="123"/>
        <v>1</v>
      </c>
      <c r="E703" s="4"/>
      <c r="F703" s="46" t="s">
        <v>751</v>
      </c>
      <c r="G703" s="4"/>
      <c r="H703" s="48" t="s">
        <v>737</v>
      </c>
      <c r="I703" s="26">
        <v>70</v>
      </c>
      <c r="J703" s="26" t="str">
        <f t="shared" si="124"/>
        <v/>
      </c>
      <c r="K703" t="s">
        <v>13</v>
      </c>
      <c r="L703" t="s">
        <v>587</v>
      </c>
      <c r="N703" t="s">
        <v>595</v>
      </c>
      <c r="O703" t="s">
        <v>904</v>
      </c>
      <c r="Q703" t="str">
        <f t="shared" si="126"/>
        <v>s</v>
      </c>
      <c r="S703">
        <f>IF(A703=1,MAX($S$2:$S702)+1,IF(OR($I703&lt;&gt;"",A703="x"),$S702,""))</f>
        <v>351</v>
      </c>
      <c r="T703" t="str">
        <f>IF(D703=1,MAX($T$2:$T702)+1,IF(S703=S702,$T702,IF(D703="x",T702,IF(D702="x","",""))))</f>
        <v/>
      </c>
      <c r="U703" t="str">
        <f>IF(B703=1,MAX($U$2:$U702)+1,IF(AND($T703&lt;&gt;"",$T703=$T702),$U702,IF(B703="x",U702,"")))</f>
        <v/>
      </c>
      <c r="V703" t="str">
        <f>IF(C703=1,MAX($V$2:$V702)+1,IF(AND($T703&lt;&gt;"",$T703=$T702),$U702,IF(C703="x",V702,"")))</f>
        <v/>
      </c>
      <c r="X703" cm="1">
        <f t="array" ref="X703">IF($I703&lt;&gt;"",$I703,INDEX($I$1:$I703,ROW()-COUNTIFS($T$1:$T703,"="&amp;$T703,$S$1:$S703,"&lt;"&amp;$S703)))</f>
        <v>70</v>
      </c>
      <c r="Z703" s="6">
        <f t="shared" si="119"/>
        <v>1</v>
      </c>
      <c r="AA703">
        <f t="shared" si="120"/>
        <v>1351</v>
      </c>
      <c r="AB703" t="str">
        <f t="shared" si="121"/>
        <v/>
      </c>
      <c r="AC703">
        <f t="shared" si="122"/>
        <v>1351</v>
      </c>
      <c r="AI703" t="str">
        <f t="shared" si="125"/>
        <v/>
      </c>
      <c r="BI703" s="40"/>
      <c r="BL703" s="40"/>
      <c r="BN703" s="19"/>
      <c r="BP703" s="17"/>
    </row>
    <row r="704" spans="1:68" x14ac:dyDescent="0.2">
      <c r="A704" t="str">
        <f t="shared" si="123"/>
        <v/>
      </c>
      <c r="E704" s="4"/>
      <c r="F704" s="46"/>
      <c r="G704" s="4"/>
      <c r="H704" s="48"/>
      <c r="I704" s="26">
        <v>19</v>
      </c>
      <c r="J704" s="26" t="str">
        <f t="shared" si="124"/>
        <v/>
      </c>
      <c r="N704" t="str">
        <f t="shared" si="127"/>
        <v/>
      </c>
      <c r="Q704" t="str">
        <f t="shared" si="126"/>
        <v/>
      </c>
      <c r="S704">
        <f>IF(A704=1,MAX($S$2:$S703)+1,IF(OR($I704&lt;&gt;"",A704="x"),$S703,""))</f>
        <v>351</v>
      </c>
      <c r="T704" t="str">
        <f>IF(D704=1,MAX($T$2:$T703)+1,IF(S704=S703,$T703,IF(D704="x",T703,IF(D703="x","",""))))</f>
        <v/>
      </c>
      <c r="U704" t="str">
        <f>IF(B704=1,MAX($U$2:$U703)+1,IF(AND($T704&lt;&gt;"",$T704=$T703),$U703,IF(B704="x",U703,"")))</f>
        <v/>
      </c>
      <c r="V704" t="str">
        <f>IF(C704=1,MAX($V$2:$V703)+1,IF(AND($T704&lt;&gt;"",$T704=$T703),$U703,IF(C704="x",V703,"")))</f>
        <v/>
      </c>
      <c r="X704" cm="1">
        <f t="array" ref="X704">IF($I704&lt;&gt;"",$I704,INDEX($I$1:$I704,ROW()-COUNTIFS($T$1:$T704,"="&amp;$T704,$S$1:$S704,"&lt;"&amp;$S704)))</f>
        <v>19</v>
      </c>
      <c r="Z704" s="6">
        <f t="shared" si="119"/>
        <v>1</v>
      </c>
      <c r="AA704">
        <f t="shared" si="120"/>
        <v>1351</v>
      </c>
      <c r="AB704" t="str">
        <f t="shared" si="121"/>
        <v/>
      </c>
      <c r="AC704">
        <f t="shared" si="122"/>
        <v>1351</v>
      </c>
      <c r="AI704" t="str">
        <f t="shared" si="125"/>
        <v/>
      </c>
      <c r="BI704" s="40"/>
      <c r="BL704" s="40"/>
      <c r="BN704" s="19"/>
      <c r="BP704" s="17"/>
    </row>
    <row r="705" spans="1:68" x14ac:dyDescent="0.2">
      <c r="A705" t="str">
        <f t="shared" si="123"/>
        <v/>
      </c>
      <c r="E705" s="4"/>
      <c r="F705" s="46"/>
      <c r="G705" s="4"/>
      <c r="H705" s="48"/>
      <c r="I705" s="26">
        <v>73</v>
      </c>
      <c r="J705" s="26" t="str">
        <f t="shared" si="124"/>
        <v/>
      </c>
      <c r="N705" t="str">
        <f t="shared" si="127"/>
        <v/>
      </c>
      <c r="O705" t="s">
        <v>567</v>
      </c>
      <c r="Q705" t="str">
        <f t="shared" si="126"/>
        <v/>
      </c>
      <c r="S705">
        <f>IF(A705=1,MAX($S$2:$S704)+1,IF(OR($I705&lt;&gt;"",A705="x"),$S704,""))</f>
        <v>351</v>
      </c>
      <c r="T705" t="str">
        <f>IF(D705=1,MAX($T$2:$T704)+1,IF(S705=S704,$T704,IF(D705="x",T704,IF(D704="x","",""))))</f>
        <v/>
      </c>
      <c r="U705" t="str">
        <f>IF(B705=1,MAX($U$2:$U704)+1,IF(AND($T705&lt;&gt;"",$T705=$T704),$U704,IF(B705="x",U704,"")))</f>
        <v/>
      </c>
      <c r="V705" t="str">
        <f>IF(C705=1,MAX($V$2:$V704)+1,IF(AND($T705&lt;&gt;"",$T705=$T704),$U704,IF(C705="x",V704,"")))</f>
        <v/>
      </c>
      <c r="X705" cm="1">
        <f t="array" ref="X705">IF($I705&lt;&gt;"",$I705,INDEX($I$1:$I705,ROW()-COUNTIFS($T$1:$T705,"="&amp;$T705,$S$1:$S705,"&lt;"&amp;$S705)))</f>
        <v>73</v>
      </c>
      <c r="Z705" s="6">
        <f t="shared" si="119"/>
        <v>1</v>
      </c>
      <c r="AA705">
        <f t="shared" si="120"/>
        <v>1351</v>
      </c>
      <c r="AB705" t="str">
        <f t="shared" si="121"/>
        <v/>
      </c>
      <c r="AC705">
        <f t="shared" si="122"/>
        <v>1351</v>
      </c>
      <c r="AI705" t="str">
        <f t="shared" si="125"/>
        <v/>
      </c>
      <c r="BI705" s="40"/>
      <c r="BL705" s="40"/>
      <c r="BN705" s="19"/>
      <c r="BP705" s="17"/>
    </row>
    <row r="706" spans="1:68" x14ac:dyDescent="0.2">
      <c r="A706">
        <f t="shared" si="123"/>
        <v>1</v>
      </c>
      <c r="E706" s="4"/>
      <c r="F706" s="46"/>
      <c r="G706" s="4"/>
      <c r="H706" s="48"/>
      <c r="I706" s="26">
        <v>70</v>
      </c>
      <c r="J706" s="26" t="str">
        <f t="shared" si="124"/>
        <v/>
      </c>
      <c r="K706" t="s">
        <v>7</v>
      </c>
      <c r="L706" t="s">
        <v>172</v>
      </c>
      <c r="M706" t="s">
        <v>68</v>
      </c>
      <c r="N706" t="str">
        <f t="shared" si="127"/>
        <v>s</v>
      </c>
      <c r="Q706" t="str">
        <f t="shared" si="126"/>
        <v/>
      </c>
      <c r="S706">
        <f>IF(A706=1,MAX($S$2:$S705)+1,IF(OR($I706&lt;&gt;"",A706="x"),$S705,""))</f>
        <v>352</v>
      </c>
      <c r="T706" t="str">
        <f>IF(D706=1,MAX($T$2:$T705)+1,IF(S706=S705,$T705,IF(D706="x",T705,IF(D705="x","",""))))</f>
        <v/>
      </c>
      <c r="U706" t="str">
        <f>IF(B706=1,MAX($U$2:$U705)+1,IF(AND($T706&lt;&gt;"",$T706=$T705),$U705,IF(B706="x",U705,"")))</f>
        <v/>
      </c>
      <c r="V706" t="str">
        <f>IF(C706=1,MAX($V$2:$V705)+1,IF(AND($T706&lt;&gt;"",$T706=$T705),$U705,IF(C706="x",V705,"")))</f>
        <v/>
      </c>
      <c r="X706" cm="1">
        <f t="array" ref="X706">IF($I706&lt;&gt;"",$I706,INDEX($I$1:$I706,ROW()-COUNTIFS($T$1:$T706,"="&amp;$T706,$S$1:$S706,"&lt;"&amp;$S706)))</f>
        <v>70</v>
      </c>
      <c r="Z706" s="6">
        <f t="shared" si="119"/>
        <v>1</v>
      </c>
      <c r="AA706">
        <f t="shared" si="120"/>
        <v>1352</v>
      </c>
      <c r="AB706" t="str">
        <f t="shared" si="121"/>
        <v/>
      </c>
      <c r="AC706">
        <f t="shared" si="122"/>
        <v>1352</v>
      </c>
      <c r="AI706" t="str">
        <f t="shared" si="125"/>
        <v/>
      </c>
      <c r="BI706" s="40"/>
      <c r="BL706" s="40"/>
      <c r="BN706" s="19"/>
      <c r="BP706" s="17"/>
    </row>
    <row r="707" spans="1:68" x14ac:dyDescent="0.2">
      <c r="A707" t="str">
        <f t="shared" si="123"/>
        <v/>
      </c>
      <c r="E707" s="4"/>
      <c r="F707" s="46"/>
      <c r="G707" s="4"/>
      <c r="H707" s="48"/>
      <c r="I707" s="26">
        <v>9</v>
      </c>
      <c r="J707" s="26" t="str">
        <f t="shared" si="124"/>
        <v/>
      </c>
      <c r="N707" t="str">
        <f t="shared" si="127"/>
        <v/>
      </c>
      <c r="Q707" t="str">
        <f t="shared" si="126"/>
        <v/>
      </c>
      <c r="S707">
        <f>IF(A707=1,MAX($S$2:$S706)+1,IF(OR($I707&lt;&gt;"",A707="x"),$S706,""))</f>
        <v>352</v>
      </c>
      <c r="T707" t="str">
        <f>IF(D707=1,MAX($T$2:$T706)+1,IF(S707=S706,$T706,IF(D707="x",T706,IF(D706="x","",""))))</f>
        <v/>
      </c>
      <c r="U707" t="str">
        <f>IF(B707=1,MAX($U$2:$U706)+1,IF(AND($T707&lt;&gt;"",$T707=$T706),$U706,IF(B707="x",U706,"")))</f>
        <v/>
      </c>
      <c r="V707" t="str">
        <f>IF(C707=1,MAX($V$2:$V706)+1,IF(AND($T707&lt;&gt;"",$T707=$T706),$U706,IF(C707="x",V706,"")))</f>
        <v/>
      </c>
      <c r="X707" cm="1">
        <f t="array" ref="X707">IF($I707&lt;&gt;"",$I707,INDEX($I$1:$I707,ROW()-COUNTIFS($T$1:$T707,"="&amp;$T707,$S$1:$S707,"&lt;"&amp;$S707)))</f>
        <v>9</v>
      </c>
      <c r="Z707" s="6">
        <f t="shared" si="119"/>
        <v>1</v>
      </c>
      <c r="AA707">
        <f t="shared" si="120"/>
        <v>1352</v>
      </c>
      <c r="AB707" t="str">
        <f t="shared" si="121"/>
        <v/>
      </c>
      <c r="AC707">
        <f t="shared" si="122"/>
        <v>1352</v>
      </c>
      <c r="AI707" t="str">
        <f t="shared" si="125"/>
        <v/>
      </c>
      <c r="BI707" s="40"/>
      <c r="BL707" s="40"/>
      <c r="BN707" s="19"/>
      <c r="BP707" s="17"/>
    </row>
    <row r="708" spans="1:68" x14ac:dyDescent="0.2">
      <c r="A708" t="str">
        <f t="shared" si="123"/>
        <v/>
      </c>
      <c r="E708" s="4"/>
      <c r="F708" s="46"/>
      <c r="G708" s="4"/>
      <c r="H708" s="48"/>
      <c r="I708" s="26">
        <v>73</v>
      </c>
      <c r="J708" s="26" t="str">
        <f t="shared" si="124"/>
        <v/>
      </c>
      <c r="N708" t="str">
        <f t="shared" si="127"/>
        <v/>
      </c>
      <c r="Q708" t="str">
        <f t="shared" si="126"/>
        <v/>
      </c>
      <c r="S708">
        <f>IF(A708=1,MAX($S$2:$S707)+1,IF(OR($I708&lt;&gt;"",A708="x"),$S707,""))</f>
        <v>352</v>
      </c>
      <c r="T708" t="str">
        <f>IF(D708=1,MAX($T$2:$T707)+1,IF(S708=S707,$T707,IF(D708="x",T707,IF(D707="x","",""))))</f>
        <v/>
      </c>
      <c r="U708" t="str">
        <f>IF(B708=1,MAX($U$2:$U707)+1,IF(AND($T708&lt;&gt;"",$T708=$T707),$U707,IF(B708="x",U707,"")))</f>
        <v/>
      </c>
      <c r="V708" t="str">
        <f>IF(C708=1,MAX($V$2:$V707)+1,IF(AND($T708&lt;&gt;"",$T708=$T707),$U707,IF(C708="x",V707,"")))</f>
        <v/>
      </c>
      <c r="X708" cm="1">
        <f t="array" ref="X708">IF($I708&lt;&gt;"",$I708,INDEX($I$1:$I708,ROW()-COUNTIFS($T$1:$T708,"="&amp;$T708,$S$1:$S708,"&lt;"&amp;$S708)))</f>
        <v>73</v>
      </c>
      <c r="Z708" s="6">
        <f t="shared" si="119"/>
        <v>1</v>
      </c>
      <c r="AA708">
        <f t="shared" si="120"/>
        <v>1352</v>
      </c>
      <c r="AB708" t="str">
        <f t="shared" si="121"/>
        <v/>
      </c>
      <c r="AC708">
        <f t="shared" si="122"/>
        <v>1352</v>
      </c>
      <c r="AI708" t="str">
        <f t="shared" si="125"/>
        <v/>
      </c>
      <c r="BI708" s="40"/>
      <c r="BL708" s="40"/>
      <c r="BN708" s="19"/>
      <c r="BP708" s="17"/>
    </row>
    <row r="709" spans="1:68" x14ac:dyDescent="0.2">
      <c r="A709">
        <f t="shared" ref="A709:A772" si="128">IF(K709&lt;&gt;"",1,IF(D709="x","x",""))</f>
        <v>1</v>
      </c>
      <c r="E709" s="4"/>
      <c r="F709" s="46" t="s">
        <v>1029</v>
      </c>
      <c r="G709" s="4"/>
      <c r="H709" s="48"/>
      <c r="I709" s="26">
        <v>9</v>
      </c>
      <c r="J709" s="26" t="str">
        <f t="shared" si="124"/>
        <v/>
      </c>
      <c r="K709" t="s">
        <v>7</v>
      </c>
      <c r="L709" t="s">
        <v>172</v>
      </c>
      <c r="M709" t="s">
        <v>66</v>
      </c>
      <c r="N709" t="str">
        <f t="shared" si="127"/>
        <v>s</v>
      </c>
      <c r="O709" t="s">
        <v>576</v>
      </c>
      <c r="Q709" t="str">
        <f t="shared" si="126"/>
        <v>s</v>
      </c>
      <c r="S709">
        <f>IF(A709=1,MAX($S$2:$S708)+1,IF(OR($I709&lt;&gt;"",A709="x"),$S708,""))</f>
        <v>353</v>
      </c>
      <c r="T709" t="str">
        <f>IF(D709=1,MAX($T$2:$T708)+1,IF(S709=S708,$T708,IF(D709="x",T708,IF(D708="x","",""))))</f>
        <v/>
      </c>
      <c r="U709" t="str">
        <f>IF(B709=1,MAX($U$2:$U708)+1,IF(AND($T709&lt;&gt;"",$T709=$T708),$U708,IF(B709="x",U708,"")))</f>
        <v/>
      </c>
      <c r="V709" t="str">
        <f>IF(C709=1,MAX($V$2:$V708)+1,IF(AND($T709&lt;&gt;"",$T709=$T708),$U708,IF(C709="x",V708,"")))</f>
        <v/>
      </c>
      <c r="X709" cm="1">
        <f t="array" ref="X709">IF($I709&lt;&gt;"",$I709,INDEX($I$1:$I709,ROW()-COUNTIFS($T$1:$T709,"="&amp;$T709,$S$1:$S709,"&lt;"&amp;$S709)))</f>
        <v>9</v>
      </c>
      <c r="Z709" s="6">
        <f t="shared" ref="Z709:Z772" si="129">IF(K709="Intermission",Z708+1,Z708)</f>
        <v>1</v>
      </c>
      <c r="AA709">
        <f t="shared" ref="AA709:AA772" si="130">S709+1000</f>
        <v>1353</v>
      </c>
      <c r="AB709" t="str">
        <f t="shared" ref="AB709:AB772" si="131">IF(T709&lt;&gt;"",9000+T709,"")</f>
        <v/>
      </c>
      <c r="AC709">
        <f t="shared" ref="AC709:AC772" si="132">IF(AB709&lt;&gt;"",AB709,S709+1000)</f>
        <v>1353</v>
      </c>
      <c r="AI709" t="str">
        <f t="shared" si="125"/>
        <v/>
      </c>
      <c r="BI709" s="40"/>
      <c r="BL709" s="40"/>
      <c r="BN709" s="19"/>
      <c r="BP709" s="17"/>
    </row>
    <row r="710" spans="1:68" x14ac:dyDescent="0.2">
      <c r="A710" t="str">
        <f t="shared" si="128"/>
        <v/>
      </c>
      <c r="E710" s="4"/>
      <c r="F710" s="46"/>
      <c r="G710" s="4"/>
      <c r="H710" s="48"/>
      <c r="I710" s="26">
        <v>55</v>
      </c>
      <c r="J710" s="26" t="str">
        <f t="shared" ref="J710:J773" si="133">IF(OR(K710="Goal",K710="Shot",L710="Zone_Entry",M710="Stoppage-Goal",M709="Stoppage-Goal"),"o",IF(OR(K710="Save",K710="Rebound",L710="Zone_Exit",M710="Stoppage-GoalieStoppage",M709="Stoppage-GoalieStoppage"),"d",IF(OR(L710="Faceoff_AfterGoal",L710="Faceoff_PeriodStart",698="Faceoff_GameStart",M709="Stoppage-Goal"),"n","")))</f>
        <v/>
      </c>
      <c r="N710" t="str">
        <f t="shared" si="127"/>
        <v/>
      </c>
      <c r="Q710" t="str">
        <f t="shared" si="126"/>
        <v/>
      </c>
      <c r="R710" s="26">
        <v>1</v>
      </c>
      <c r="S710">
        <f>IF(A710=1,MAX($S$2:$S709)+1,IF(OR($I710&lt;&gt;"",A710="x"),$S709,""))</f>
        <v>353</v>
      </c>
      <c r="T710" t="str">
        <f>IF(D710=1,MAX($T$2:$T709)+1,IF(S710=S709,$T709,IF(D710="x",T709,IF(D709="x","",""))))</f>
        <v/>
      </c>
      <c r="U710" t="str">
        <f>IF(B710=1,MAX($U$2:$U709)+1,IF(AND($T710&lt;&gt;"",$T710=$T709),$U709,IF(B710="x",U709,"")))</f>
        <v/>
      </c>
      <c r="V710" t="str">
        <f>IF(C710=1,MAX($V$2:$V709)+1,IF(AND($T710&lt;&gt;"",$T710=$T709),$U709,IF(C710="x",V709,"")))</f>
        <v/>
      </c>
      <c r="X710" cm="1">
        <f t="array" ref="X710">IF($I710&lt;&gt;"",$I710,INDEX($I$1:$I710,ROW()-COUNTIFS($T$1:$T710,"="&amp;$T710,$S$1:$S710,"&lt;"&amp;$S710)))</f>
        <v>55</v>
      </c>
      <c r="Z710" s="6">
        <f t="shared" si="129"/>
        <v>1</v>
      </c>
      <c r="AA710">
        <f t="shared" si="130"/>
        <v>1353</v>
      </c>
      <c r="AB710" t="str">
        <f t="shared" si="131"/>
        <v/>
      </c>
      <c r="AC710">
        <f t="shared" si="132"/>
        <v>1353</v>
      </c>
      <c r="AI710" t="str">
        <f t="shared" ref="AI710:AI773" si="134">IF($J710&lt;&gt;"",$J710,IF($AC710=$AC709,AI709,""))</f>
        <v/>
      </c>
      <c r="BI710" s="40"/>
      <c r="BL710" s="40"/>
      <c r="BN710" s="19"/>
      <c r="BP710" s="17"/>
    </row>
    <row r="711" spans="1:68" x14ac:dyDescent="0.2">
      <c r="A711">
        <f t="shared" si="128"/>
        <v>1</v>
      </c>
      <c r="E711" s="4"/>
      <c r="F711" s="46" t="s">
        <v>1032</v>
      </c>
      <c r="G711" s="4"/>
      <c r="H711" s="48" t="s">
        <v>1037</v>
      </c>
      <c r="I711" s="26">
        <v>55</v>
      </c>
      <c r="J711" s="26" t="str">
        <f t="shared" si="133"/>
        <v/>
      </c>
      <c r="K711" t="s">
        <v>13</v>
      </c>
      <c r="N711" t="str">
        <f t="shared" si="127"/>
        <v/>
      </c>
      <c r="Q711" t="str">
        <f t="shared" si="126"/>
        <v/>
      </c>
      <c r="R711" s="26">
        <v>1</v>
      </c>
      <c r="S711">
        <f>IF(A711=1,MAX($S$2:$S710)+1,IF(OR($I711&lt;&gt;"",A711="x"),$S710,""))</f>
        <v>354</v>
      </c>
      <c r="T711" t="str">
        <f>IF(D711=1,MAX($T$2:$T710)+1,IF(S711=S710,$T710,IF(D711="x",T710,IF(D710="x","",""))))</f>
        <v/>
      </c>
      <c r="U711" t="str">
        <f>IF(B711=1,MAX($U$2:$U710)+1,IF(AND($T711&lt;&gt;"",$T711=$T710),$U710,IF(B711="x",U710,"")))</f>
        <v/>
      </c>
      <c r="V711" t="str">
        <f>IF(C711=1,MAX($V$2:$V710)+1,IF(AND($T711&lt;&gt;"",$T711=$T710),$U710,IF(C711="x",V710,"")))</f>
        <v/>
      </c>
      <c r="X711" cm="1">
        <f t="array" ref="X711">IF($I711&lt;&gt;"",$I711,INDEX($I$1:$I711,ROW()-COUNTIFS($T$1:$T711,"="&amp;$T711,$S$1:$S711,"&lt;"&amp;$S711)))</f>
        <v>55</v>
      </c>
      <c r="Z711" s="6">
        <f t="shared" si="129"/>
        <v>1</v>
      </c>
      <c r="AA711">
        <f t="shared" si="130"/>
        <v>1354</v>
      </c>
      <c r="AB711" t="str">
        <f t="shared" si="131"/>
        <v/>
      </c>
      <c r="AC711">
        <f t="shared" si="132"/>
        <v>1354</v>
      </c>
      <c r="AI711" t="str">
        <f t="shared" si="134"/>
        <v/>
      </c>
      <c r="BI711" s="40"/>
      <c r="BL711" s="40"/>
      <c r="BN711" s="19"/>
      <c r="BP711" s="17"/>
    </row>
    <row r="712" spans="1:68" x14ac:dyDescent="0.2">
      <c r="A712" t="str">
        <f t="shared" si="128"/>
        <v/>
      </c>
      <c r="E712" s="4"/>
      <c r="F712" s="46"/>
      <c r="G712" s="4"/>
      <c r="H712" s="48"/>
      <c r="I712" s="26">
        <v>19</v>
      </c>
      <c r="J712" s="26" t="str">
        <f t="shared" si="133"/>
        <v/>
      </c>
      <c r="N712" t="str">
        <f t="shared" si="127"/>
        <v/>
      </c>
      <c r="O712" t="s">
        <v>567</v>
      </c>
      <c r="Q712" t="str">
        <f t="shared" si="126"/>
        <v/>
      </c>
      <c r="S712">
        <f>IF(A712=1,MAX($S$2:$S711)+1,IF(OR($I712&lt;&gt;"",A712="x"),$S711,""))</f>
        <v>354</v>
      </c>
      <c r="T712" t="str">
        <f>IF(D712=1,MAX($T$2:$T711)+1,IF(S712=S711,$T711,IF(D712="x",T711,IF(D711="x","",""))))</f>
        <v/>
      </c>
      <c r="U712" t="str">
        <f>IF(B712=1,MAX($U$2:$U711)+1,IF(AND($T712&lt;&gt;"",$T712=$T711),$U711,IF(B712="x",U711,"")))</f>
        <v/>
      </c>
      <c r="V712" t="str">
        <f>IF(C712=1,MAX($V$2:$V711)+1,IF(AND($T712&lt;&gt;"",$T712=$T711),$U711,IF(C712="x",V711,"")))</f>
        <v/>
      </c>
      <c r="X712" cm="1">
        <f t="array" ref="X712">IF($I712&lt;&gt;"",$I712,INDEX($I$1:$I712,ROW()-COUNTIFS($T$1:$T712,"="&amp;$T712,$S$1:$S712,"&lt;"&amp;$S712)))</f>
        <v>19</v>
      </c>
      <c r="Z712" s="6">
        <f t="shared" si="129"/>
        <v>1</v>
      </c>
      <c r="AA712">
        <f t="shared" si="130"/>
        <v>1354</v>
      </c>
      <c r="AB712" t="str">
        <f t="shared" si="131"/>
        <v/>
      </c>
      <c r="AC712">
        <f t="shared" si="132"/>
        <v>1354</v>
      </c>
      <c r="AI712" t="str">
        <f t="shared" si="134"/>
        <v/>
      </c>
      <c r="BI712" s="40"/>
      <c r="BL712" s="40"/>
      <c r="BN712" s="19"/>
      <c r="BP712" s="17"/>
    </row>
    <row r="713" spans="1:68" x14ac:dyDescent="0.2">
      <c r="A713">
        <f t="shared" si="128"/>
        <v>1</v>
      </c>
      <c r="D713" s="26">
        <v>1</v>
      </c>
      <c r="E713" s="4"/>
      <c r="F713" s="46"/>
      <c r="G713" s="4"/>
      <c r="H713" s="48"/>
      <c r="I713" s="26">
        <v>55</v>
      </c>
      <c r="J713" s="26" t="str">
        <f t="shared" si="133"/>
        <v/>
      </c>
      <c r="K713" t="s">
        <v>7</v>
      </c>
      <c r="L713" t="s">
        <v>199</v>
      </c>
      <c r="M713" t="s">
        <v>67</v>
      </c>
      <c r="N713" t="str">
        <f t="shared" si="127"/>
        <v>u</v>
      </c>
      <c r="O713" t="s">
        <v>576</v>
      </c>
      <c r="Q713" t="str">
        <f t="shared" si="126"/>
        <v>u</v>
      </c>
      <c r="R713" s="26">
        <v>1</v>
      </c>
      <c r="S713">
        <f>IF(A713=1,MAX($S$2:$S712)+1,IF(OR($I713&lt;&gt;"",A713="x"),$S712,""))</f>
        <v>355</v>
      </c>
      <c r="T713">
        <f>IF(D713=1,MAX($T$2:$T712)+1,IF(S713=S712,$T712,IF(D713="x",T712,IF(D712="x","",""))))</f>
        <v>47</v>
      </c>
      <c r="U713" t="str">
        <f>IF(B713=1,MAX($U$2:$U712)+1,IF(AND($T713&lt;&gt;"",$T713=$T712),$U712,IF(B713="x",U712,"")))</f>
        <v/>
      </c>
      <c r="V713" t="str">
        <f>IF(C713=1,MAX($V$2:$V712)+1,IF(AND($T713&lt;&gt;"",$T713=$T712),$U712,IF(C713="x",V712,"")))</f>
        <v/>
      </c>
      <c r="X713" cm="1">
        <f t="array" ref="X713">IF($I713&lt;&gt;"",$I713,INDEX($I$1:$I713,ROW()-COUNTIFS($T$1:$T713,"="&amp;$T713,$S$1:$S713,"&lt;"&amp;$S713)))</f>
        <v>55</v>
      </c>
      <c r="Z713" s="6">
        <f t="shared" si="129"/>
        <v>1</v>
      </c>
      <c r="AA713">
        <f t="shared" si="130"/>
        <v>1355</v>
      </c>
      <c r="AB713">
        <f t="shared" si="131"/>
        <v>9047</v>
      </c>
      <c r="AC713">
        <f t="shared" si="132"/>
        <v>9047</v>
      </c>
      <c r="AI713" t="str">
        <f t="shared" si="134"/>
        <v/>
      </c>
      <c r="BI713" s="40"/>
      <c r="BL713" s="40"/>
      <c r="BN713" s="19"/>
      <c r="BP713" s="17"/>
    </row>
    <row r="714" spans="1:68" x14ac:dyDescent="0.2">
      <c r="A714" t="str">
        <f t="shared" si="128"/>
        <v>x</v>
      </c>
      <c r="D714" s="26" t="s">
        <v>729</v>
      </c>
      <c r="E714" s="4"/>
      <c r="F714" s="46"/>
      <c r="G714" s="4"/>
      <c r="H714" s="48"/>
      <c r="I714" s="26">
        <v>70</v>
      </c>
      <c r="J714" s="26" t="str">
        <f t="shared" si="133"/>
        <v/>
      </c>
      <c r="N714" t="str">
        <f t="shared" si="127"/>
        <v/>
      </c>
      <c r="Q714" t="str">
        <f t="shared" si="126"/>
        <v/>
      </c>
      <c r="S714">
        <f>IF(A714=1,MAX($S$2:$S713)+1,IF(OR($I714&lt;&gt;"",A714="x"),$S713,""))</f>
        <v>355</v>
      </c>
      <c r="T714">
        <f>IF(D714=1,MAX($T$2:$T713)+1,IF(S714=S713,$T713,IF(D714="x",T713,IF(D713="x","",""))))</f>
        <v>47</v>
      </c>
      <c r="U714" t="str">
        <f>IF(B714=1,MAX($U$2:$U713)+1,IF(AND($T714&lt;&gt;"",$T714=$T713),$U713,IF(B714="x",U713,"")))</f>
        <v/>
      </c>
      <c r="V714" t="str">
        <f>IF(C714=1,MAX($V$2:$V713)+1,IF(AND($T714&lt;&gt;"",$T714=$T713),$U713,IF(C714="x",V713,"")))</f>
        <v/>
      </c>
      <c r="X714" cm="1">
        <f t="array" ref="X714">IF($I714&lt;&gt;"",$I714,INDEX($I$1:$I714,ROW()-COUNTIFS($T$1:$T714,"="&amp;$T714,$S$1:$S714,"&lt;"&amp;$S714)))</f>
        <v>70</v>
      </c>
      <c r="Z714" s="6">
        <f t="shared" si="129"/>
        <v>1</v>
      </c>
      <c r="AA714">
        <f t="shared" si="130"/>
        <v>1355</v>
      </c>
      <c r="AB714">
        <f t="shared" si="131"/>
        <v>9047</v>
      </c>
      <c r="AC714">
        <f t="shared" si="132"/>
        <v>9047</v>
      </c>
      <c r="AI714" t="str">
        <f t="shared" si="134"/>
        <v/>
      </c>
      <c r="BI714" s="40"/>
      <c r="BL714" s="40"/>
      <c r="BN714" s="19"/>
      <c r="BP714" s="17"/>
    </row>
    <row r="715" spans="1:68" x14ac:dyDescent="0.2">
      <c r="A715" t="str">
        <f t="shared" si="128"/>
        <v>x</v>
      </c>
      <c r="D715" s="26" t="s">
        <v>729</v>
      </c>
      <c r="E715" s="4"/>
      <c r="F715" s="46"/>
      <c r="G715" s="4"/>
      <c r="H715" s="48"/>
      <c r="I715" s="26">
        <v>19</v>
      </c>
      <c r="J715" s="26" t="str">
        <f t="shared" si="133"/>
        <v/>
      </c>
      <c r="N715" t="str">
        <f>IF(K715="","",IF(K715="Goal","s",IF(AND(K715="Zone_Entry_Exit",OR(ISNUMBER(SEARCH("fail",L715)),ISNUMBER(SEARCH("FromExitClear",M715)),ISNUMBER(SEARCH("miss",M715)))),"u",IF(AND(K715="Zone_Entry_Exit",OR(NOT(ISNUMBER(SEARCH("fail",L715))),NOT(ISNUMBER(SEARCH("FromExitClear",M715))),NOT(ISNUMBER(SEARCH("miss",M715))))),"s",IF(AND(OR(K715="Shot",K715="Pass"),OR(ISNUMBER(SEARCH("complete",L715)),ISNUMBER(SEARCH("goal",L715)),ISNUMBER(SEARCH("OnNet",L715)))),"s",IF(L715="Turnover_Giveaway","u",IF(AND(OR(K715="Shot",K715="Pass"),OR(ISNUMBER(SEARCH("fail",L715)),NOT(ISNUMBER(SEARCH("complete",L715))),NOT(ISNUMBER(SEARCH("OnNet",L715))))),"u","")))))))</f>
        <v/>
      </c>
      <c r="O715" t="s">
        <v>567</v>
      </c>
      <c r="Q715" t="str">
        <f t="shared" si="126"/>
        <v/>
      </c>
      <c r="R715" s="26">
        <v>1</v>
      </c>
      <c r="S715">
        <f>IF(A715=1,MAX($S$2:$S714)+1,IF(OR($I715&lt;&gt;"",A715="x"),$S714,""))</f>
        <v>355</v>
      </c>
      <c r="T715">
        <f>IF(D715=1,MAX($T$2:$T714)+1,IF(S715=S714,$T714,IF(D715="x",T714,IF(D714="x","",""))))</f>
        <v>47</v>
      </c>
      <c r="U715" t="str">
        <f>IF(B715=1,MAX($U$2:$U714)+1,IF(AND($T715&lt;&gt;"",$T715=$T714),$U714,IF(B715="x",U714,"")))</f>
        <v/>
      </c>
      <c r="V715" t="str">
        <f>IF(C715=1,MAX($V$2:$V714)+1,IF(AND($T715&lt;&gt;"",$T715=$T714),$U714,IF(C715="x",V714,"")))</f>
        <v/>
      </c>
      <c r="X715" cm="1">
        <f t="array" ref="X715">IF($I715&lt;&gt;"",$I715,INDEX($I$1:$I715,ROW()-COUNTIFS($T$1:$T715,"="&amp;$T715,$S$1:$S715,"&lt;"&amp;$S715)))</f>
        <v>19</v>
      </c>
      <c r="Z715" s="6">
        <f t="shared" si="129"/>
        <v>1</v>
      </c>
      <c r="AA715">
        <f t="shared" si="130"/>
        <v>1355</v>
      </c>
      <c r="AB715">
        <f t="shared" si="131"/>
        <v>9047</v>
      </c>
      <c r="AC715">
        <f t="shared" si="132"/>
        <v>9047</v>
      </c>
      <c r="AI715" t="str">
        <f t="shared" si="134"/>
        <v/>
      </c>
      <c r="BI715" s="40"/>
      <c r="BL715" s="40"/>
      <c r="BN715" s="19"/>
      <c r="BP715" s="17"/>
    </row>
    <row r="716" spans="1:68" x14ac:dyDescent="0.2">
      <c r="A716" t="str">
        <f t="shared" si="128"/>
        <v>x</v>
      </c>
      <c r="D716" s="26" t="s">
        <v>729</v>
      </c>
      <c r="E716" s="4"/>
      <c r="F716" s="46"/>
      <c r="G716" s="4"/>
      <c r="H716" s="48"/>
      <c r="I716" s="26">
        <v>73</v>
      </c>
      <c r="J716" s="26" t="str">
        <f t="shared" si="133"/>
        <v/>
      </c>
      <c r="N716" t="str">
        <f t="shared" si="127"/>
        <v/>
      </c>
      <c r="O716" t="s">
        <v>557</v>
      </c>
      <c r="Q716" t="str">
        <f t="shared" si="126"/>
        <v/>
      </c>
      <c r="S716">
        <f>IF(A716=1,MAX($S$2:$S715)+1,IF(OR($I716&lt;&gt;"",A716="x"),$S715,""))</f>
        <v>355</v>
      </c>
      <c r="T716">
        <f>IF(D716=1,MAX($T$2:$T715)+1,IF(S716=S715,$T715,IF(D716="x",T715,IF(D715="x","",""))))</f>
        <v>47</v>
      </c>
      <c r="U716" t="str">
        <f>IF(B716=1,MAX($U$2:$U715)+1,IF(AND($T716&lt;&gt;"",$T716=$T715),$U715,IF(B716="x",U715,"")))</f>
        <v/>
      </c>
      <c r="V716" t="str">
        <f>IF(C716=1,MAX($V$2:$V715)+1,IF(AND($T716&lt;&gt;"",$T716=$T715),$U715,IF(C716="x",V715,"")))</f>
        <v/>
      </c>
      <c r="X716" cm="1">
        <f t="array" ref="X716">IF($I716&lt;&gt;"",$I716,INDEX($I$1:$I716,ROW()-COUNTIFS($T$1:$T716,"="&amp;$T716,$S$1:$S716,"&lt;"&amp;$S716)))</f>
        <v>73</v>
      </c>
      <c r="Z716" s="6">
        <f t="shared" si="129"/>
        <v>1</v>
      </c>
      <c r="AA716">
        <f t="shared" si="130"/>
        <v>1355</v>
      </c>
      <c r="AB716">
        <f t="shared" si="131"/>
        <v>9047</v>
      </c>
      <c r="AC716">
        <f t="shared" si="132"/>
        <v>9047</v>
      </c>
      <c r="AI716" t="str">
        <f t="shared" si="134"/>
        <v/>
      </c>
      <c r="BI716" s="40"/>
      <c r="BL716" s="40"/>
      <c r="BN716" s="19"/>
      <c r="BP716" s="17"/>
    </row>
    <row r="717" spans="1:68" x14ac:dyDescent="0.2">
      <c r="A717">
        <f t="shared" si="128"/>
        <v>1</v>
      </c>
      <c r="D717" s="26" t="s">
        <v>729</v>
      </c>
      <c r="E717" s="4"/>
      <c r="F717" s="46"/>
      <c r="G717" s="4"/>
      <c r="H717" s="48"/>
      <c r="J717" s="26" t="str">
        <f t="shared" si="133"/>
        <v/>
      </c>
      <c r="K717" t="s">
        <v>9</v>
      </c>
      <c r="L717" t="s">
        <v>173</v>
      </c>
      <c r="M717" t="s">
        <v>73</v>
      </c>
      <c r="N717" t="str">
        <f t="shared" si="127"/>
        <v>u</v>
      </c>
      <c r="Q717" t="str">
        <f t="shared" si="126"/>
        <v/>
      </c>
      <c r="S717">
        <f>IF(A717=1,MAX($S$2:$S716)+1,IF(OR($I717&lt;&gt;"",A717="x"),$S716,""))</f>
        <v>356</v>
      </c>
      <c r="T717">
        <f>IF(D717=1,MAX($T$2:$T716)+1,IF(S717=S716,$T716,IF(D717="x",T716,IF(D716="x","",""))))</f>
        <v>47</v>
      </c>
      <c r="U717" t="str">
        <f>IF(B717=1,MAX($U$2:$U716)+1,IF(AND($T717&lt;&gt;"",$T717=$T716),$U716,IF(B717="x",U716,"")))</f>
        <v/>
      </c>
      <c r="V717" t="str">
        <f>IF(C717=1,MAX($V$2:$V716)+1,IF(AND($T717&lt;&gt;"",$T717=$T716),$U716,IF(C717="x",V716,"")))</f>
        <v/>
      </c>
      <c r="X717" cm="1">
        <f t="array" ref="X717">IF($I717&lt;&gt;"",$I717,INDEX($I$1:$I717,ROW()-COUNTIFS($T$1:$T717,"="&amp;$T717,$S$1:$S717,"&lt;"&amp;$S717)))</f>
        <v>55</v>
      </c>
      <c r="Z717" s="6">
        <f t="shared" si="129"/>
        <v>1</v>
      </c>
      <c r="AA717">
        <f t="shared" si="130"/>
        <v>1356</v>
      </c>
      <c r="AB717">
        <f t="shared" si="131"/>
        <v>9047</v>
      </c>
      <c r="AC717">
        <f t="shared" si="132"/>
        <v>9047</v>
      </c>
      <c r="AI717" t="str">
        <f t="shared" si="134"/>
        <v/>
      </c>
      <c r="BI717" s="40"/>
      <c r="BL717" s="40"/>
      <c r="BN717" s="19"/>
      <c r="BP717" s="17"/>
    </row>
    <row r="718" spans="1:68" x14ac:dyDescent="0.2">
      <c r="A718" t="str">
        <f t="shared" si="128"/>
        <v>x</v>
      </c>
      <c r="D718" s="26" t="s">
        <v>729</v>
      </c>
      <c r="E718" s="4"/>
      <c r="F718" s="46"/>
      <c r="G718" s="4"/>
      <c r="H718" s="48"/>
      <c r="J718" s="26" t="str">
        <f t="shared" si="133"/>
        <v/>
      </c>
      <c r="N718" t="str">
        <f t="shared" si="127"/>
        <v/>
      </c>
      <c r="Q718" t="str">
        <f t="shared" si="126"/>
        <v/>
      </c>
      <c r="S718">
        <f>IF(A718=1,MAX($S$2:$S717)+1,IF(OR($I718&lt;&gt;"",A718="x"),$S717,""))</f>
        <v>356</v>
      </c>
      <c r="T718">
        <f>IF(D718=1,MAX($T$2:$T717)+1,IF(S718=S717,$T717,IF(D718="x",T717,IF(D717="x","",""))))</f>
        <v>47</v>
      </c>
      <c r="U718" t="str">
        <f>IF(B718=1,MAX($U$2:$U717)+1,IF(AND($T718&lt;&gt;"",$T718=$T717),$U717,IF(B718="x",U717,"")))</f>
        <v/>
      </c>
      <c r="V718" t="str">
        <f>IF(C718=1,MAX($V$2:$V717)+1,IF(AND($T718&lt;&gt;"",$T718=$T717),$U717,IF(C718="x",V717,"")))</f>
        <v/>
      </c>
      <c r="X718" cm="1">
        <f t="array" ref="X718">IF($I718&lt;&gt;"",$I718,INDEX($I$1:$I718,ROW()-COUNTIFS($T$1:$T718,"="&amp;$T718,$S$1:$S718,"&lt;"&amp;$S718)))</f>
        <v>70</v>
      </c>
      <c r="Z718" s="6">
        <f t="shared" si="129"/>
        <v>1</v>
      </c>
      <c r="AA718">
        <f t="shared" si="130"/>
        <v>1356</v>
      </c>
      <c r="AB718">
        <f t="shared" si="131"/>
        <v>9047</v>
      </c>
      <c r="AC718">
        <f t="shared" si="132"/>
        <v>9047</v>
      </c>
      <c r="AI718" t="str">
        <f t="shared" si="134"/>
        <v/>
      </c>
      <c r="BI718" s="40"/>
      <c r="BL718" s="40"/>
      <c r="BN718" s="19"/>
      <c r="BP718" s="17"/>
    </row>
    <row r="719" spans="1:68" x14ac:dyDescent="0.2">
      <c r="A719" t="str">
        <f t="shared" si="128"/>
        <v>x</v>
      </c>
      <c r="D719" s="26" t="s">
        <v>729</v>
      </c>
      <c r="E719" s="4"/>
      <c r="F719" s="46"/>
      <c r="G719" s="4"/>
      <c r="H719" s="48"/>
      <c r="J719" s="26" t="str">
        <f t="shared" si="133"/>
        <v/>
      </c>
      <c r="N719" t="str">
        <f t="shared" si="127"/>
        <v/>
      </c>
      <c r="Q719" t="str">
        <f t="shared" si="126"/>
        <v/>
      </c>
      <c r="S719">
        <f>IF(A719=1,MAX($S$2:$S718)+1,IF(OR($I719&lt;&gt;"",A719="x"),$S718,""))</f>
        <v>356</v>
      </c>
      <c r="T719">
        <f>IF(D719=1,MAX($T$2:$T718)+1,IF(S719=S718,$T718,IF(D719="x",T718,IF(D718="x","",""))))</f>
        <v>47</v>
      </c>
      <c r="U719" t="str">
        <f>IF(B719=1,MAX($U$2:$U718)+1,IF(AND($T719&lt;&gt;"",$T719=$T718),$U718,IF(B719="x",U718,"")))</f>
        <v/>
      </c>
      <c r="V719" t="str">
        <f>IF(C719=1,MAX($V$2:$V718)+1,IF(AND($T719&lt;&gt;"",$T719=$T718),$U718,IF(C719="x",V718,"")))</f>
        <v/>
      </c>
      <c r="X719" cm="1">
        <f t="array" ref="X719">IF($I719&lt;&gt;"",$I719,INDEX($I$1:$I719,ROW()-COUNTIFS($T$1:$T719,"="&amp;$T719,$S$1:$S719,"&lt;"&amp;$S719)))</f>
        <v>19</v>
      </c>
      <c r="Z719" s="6">
        <f t="shared" si="129"/>
        <v>1</v>
      </c>
      <c r="AA719">
        <f t="shared" si="130"/>
        <v>1356</v>
      </c>
      <c r="AB719">
        <f t="shared" si="131"/>
        <v>9047</v>
      </c>
      <c r="AC719">
        <f t="shared" si="132"/>
        <v>9047</v>
      </c>
      <c r="AI719" t="str">
        <f t="shared" si="134"/>
        <v/>
      </c>
      <c r="BI719" s="40"/>
      <c r="BL719" s="40"/>
      <c r="BN719" s="19"/>
      <c r="BP719" s="17"/>
    </row>
    <row r="720" spans="1:68" x14ac:dyDescent="0.2">
      <c r="A720" t="str">
        <f t="shared" si="128"/>
        <v>x</v>
      </c>
      <c r="D720" s="26" t="s">
        <v>729</v>
      </c>
      <c r="E720" s="4"/>
      <c r="F720" s="46"/>
      <c r="G720" s="4"/>
      <c r="H720" s="48"/>
      <c r="J720" s="26" t="str">
        <f t="shared" si="133"/>
        <v/>
      </c>
      <c r="N720" t="str">
        <f t="shared" si="127"/>
        <v/>
      </c>
      <c r="Q720" t="str">
        <f t="shared" ref="Q720:Q783" si="135">IF(O720="","",IF(AND(N720&lt;&gt;"",OR(O720&lt;&gt;"",P720&lt;&gt;"")),N720,IF(OR(ISNUMBER(SEARCH("attemp",O720)),ISNUMBER(SEARCH("beat",O720)),ISNUMBER(SEARCH("mis",O720)),ISNUMBER(SEARCH("fail",O720)),ISNUMBER(SEARCH("loss",O720)),ISNUMBER(SEARCH("lost",O720)),ISNUMBER(SEARCH("attemp",P720)),ISNUMBER(SEARCH("mis",P720)),ISNUMBER(SEARCH("fail",P720)),ISNUMBER(SEARCH("loss",P720)),ISNUMBER(SEARCH("beat",P720)),ISNUMBER(SEARCH("lost",P720))),"u","")))</f>
        <v/>
      </c>
      <c r="S720">
        <f>IF(A720=1,MAX($S$2:$S719)+1,IF(OR($I720&lt;&gt;"",A720="x"),$S719,""))</f>
        <v>356</v>
      </c>
      <c r="T720">
        <f>IF(D720=1,MAX($T$2:$T719)+1,IF(S720=S719,$T719,IF(D720="x",T719,IF(D719="x","",""))))</f>
        <v>47</v>
      </c>
      <c r="U720" t="str">
        <f>IF(B720=1,MAX($U$2:$U719)+1,IF(AND($T720&lt;&gt;"",$T720=$T719),$U719,IF(B720="x",U719,"")))</f>
        <v/>
      </c>
      <c r="V720" t="str">
        <f>IF(C720=1,MAX($V$2:$V719)+1,IF(AND($T720&lt;&gt;"",$T720=$T719),$U719,IF(C720="x",V719,"")))</f>
        <v/>
      </c>
      <c r="X720" cm="1">
        <f t="array" ref="X720">IF($I720&lt;&gt;"",$I720,INDEX($I$1:$I720,ROW()-COUNTIFS($T$1:$T720,"="&amp;$T720,$S$1:$S720,"&lt;"&amp;$S720)))</f>
        <v>73</v>
      </c>
      <c r="Z720" s="6">
        <f t="shared" si="129"/>
        <v>1</v>
      </c>
      <c r="AA720">
        <f t="shared" si="130"/>
        <v>1356</v>
      </c>
      <c r="AB720">
        <f t="shared" si="131"/>
        <v>9047</v>
      </c>
      <c r="AC720">
        <f t="shared" si="132"/>
        <v>9047</v>
      </c>
      <c r="AI720" t="str">
        <f t="shared" si="134"/>
        <v/>
      </c>
      <c r="BI720" s="40"/>
      <c r="BL720" s="40"/>
      <c r="BN720" s="19"/>
      <c r="BP720" s="17"/>
    </row>
    <row r="721" spans="1:68" x14ac:dyDescent="0.2">
      <c r="A721">
        <f t="shared" si="128"/>
        <v>1</v>
      </c>
      <c r="E721" s="4"/>
      <c r="F721" s="46" t="s">
        <v>749</v>
      </c>
      <c r="G721" s="4"/>
      <c r="H721" s="48"/>
      <c r="I721" s="26">
        <v>73</v>
      </c>
      <c r="J721" s="26" t="str">
        <f t="shared" si="133"/>
        <v/>
      </c>
      <c r="K721" t="s">
        <v>7</v>
      </c>
      <c r="L721" t="s">
        <v>192</v>
      </c>
      <c r="M721" t="s">
        <v>68</v>
      </c>
      <c r="N721" t="str">
        <f t="shared" si="127"/>
        <v>u</v>
      </c>
      <c r="Q721" t="str">
        <f t="shared" si="135"/>
        <v/>
      </c>
      <c r="R721" s="26">
        <v>1</v>
      </c>
      <c r="S721">
        <f>IF(A721=1,MAX($S$2:$S720)+1,IF(OR($I721&lt;&gt;"",A721="x"),$S720,""))</f>
        <v>357</v>
      </c>
      <c r="T721" t="str">
        <f>IF(D721=1,MAX($T$2:$T720)+1,IF(S721=S720,$T720,IF(D721="x",T720,IF(D720="x","",""))))</f>
        <v/>
      </c>
      <c r="U721" t="str">
        <f>IF(B721=1,MAX($U$2:$U720)+1,IF(AND($T721&lt;&gt;"",$T721=$T720),$U720,IF(B721="x",U720,"")))</f>
        <v/>
      </c>
      <c r="V721" t="str">
        <f>IF(C721=1,MAX($V$2:$V720)+1,IF(AND($T721&lt;&gt;"",$T721=$T720),$U720,IF(C721="x",V720,"")))</f>
        <v/>
      </c>
      <c r="X721" cm="1">
        <f t="array" ref="X721">IF($I721&lt;&gt;"",$I721,INDEX($I$1:$I721,ROW()-COUNTIFS($T$1:$T721,"="&amp;$T721,$S$1:$S721,"&lt;"&amp;$S721)))</f>
        <v>73</v>
      </c>
      <c r="Z721" s="6">
        <f t="shared" si="129"/>
        <v>1</v>
      </c>
      <c r="AA721">
        <f t="shared" si="130"/>
        <v>1357</v>
      </c>
      <c r="AB721" t="str">
        <f t="shared" si="131"/>
        <v/>
      </c>
      <c r="AC721">
        <f t="shared" si="132"/>
        <v>1357</v>
      </c>
      <c r="AI721" t="str">
        <f t="shared" si="134"/>
        <v/>
      </c>
      <c r="BI721" s="40"/>
      <c r="BL721" s="40"/>
      <c r="BN721" s="19"/>
      <c r="BP721" s="17"/>
    </row>
    <row r="722" spans="1:68" x14ac:dyDescent="0.2">
      <c r="A722" t="str">
        <f t="shared" si="128"/>
        <v/>
      </c>
      <c r="E722" s="4"/>
      <c r="F722" s="46"/>
      <c r="G722" s="4"/>
      <c r="H722" s="48"/>
      <c r="I722" s="26">
        <v>37</v>
      </c>
      <c r="J722" s="26" t="str">
        <f t="shared" si="133"/>
        <v/>
      </c>
      <c r="N722" t="str">
        <f t="shared" si="127"/>
        <v/>
      </c>
      <c r="Q722" t="str">
        <f t="shared" si="135"/>
        <v/>
      </c>
      <c r="S722">
        <f>IF(A722=1,MAX($S$2:$S721)+1,IF(OR($I722&lt;&gt;"",A722="x"),$S721,""))</f>
        <v>357</v>
      </c>
      <c r="T722" t="str">
        <f>IF(D722=1,MAX($T$2:$T721)+1,IF(S722=S721,$T721,IF(D722="x",T721,IF(D721="x","",""))))</f>
        <v/>
      </c>
      <c r="U722" t="str">
        <f>IF(B722=1,MAX($U$2:$U721)+1,IF(AND($T722&lt;&gt;"",$T722=$T721),$U721,IF(B722="x",U721,"")))</f>
        <v/>
      </c>
      <c r="V722" t="str">
        <f>IF(C722=1,MAX($V$2:$V721)+1,IF(AND($T722&lt;&gt;"",$T722=$T721),$U721,IF(C722="x",V721,"")))</f>
        <v/>
      </c>
      <c r="X722" cm="1">
        <f t="array" ref="X722">IF($I722&lt;&gt;"",$I722,INDEX($I$1:$I722,ROW()-COUNTIFS($T$1:$T722,"="&amp;$T722,$S$1:$S722,"&lt;"&amp;$S722)))</f>
        <v>37</v>
      </c>
      <c r="Z722" s="6">
        <f t="shared" si="129"/>
        <v>1</v>
      </c>
      <c r="AA722">
        <f t="shared" si="130"/>
        <v>1357</v>
      </c>
      <c r="AB722" t="str">
        <f t="shared" si="131"/>
        <v/>
      </c>
      <c r="AC722">
        <f t="shared" si="132"/>
        <v>1357</v>
      </c>
      <c r="AI722" t="str">
        <f t="shared" si="134"/>
        <v/>
      </c>
      <c r="BI722" s="40"/>
      <c r="BL722" s="40"/>
      <c r="BN722" s="19"/>
      <c r="BP722" s="17"/>
    </row>
    <row r="723" spans="1:68" x14ac:dyDescent="0.2">
      <c r="A723" t="str">
        <f t="shared" si="128"/>
        <v/>
      </c>
      <c r="E723" s="4"/>
      <c r="F723" s="46"/>
      <c r="G723" s="4"/>
      <c r="H723" s="48"/>
      <c r="I723" s="26">
        <v>70</v>
      </c>
      <c r="J723" s="26" t="str">
        <f t="shared" si="133"/>
        <v/>
      </c>
      <c r="N723" t="str">
        <f t="shared" si="127"/>
        <v/>
      </c>
      <c r="O723" t="s">
        <v>782</v>
      </c>
      <c r="Q723" t="str">
        <f t="shared" si="135"/>
        <v/>
      </c>
      <c r="R723" s="26">
        <v>1</v>
      </c>
      <c r="S723">
        <f>IF(A723=1,MAX($S$2:$S722)+1,IF(OR($I723&lt;&gt;"",A723="x"),$S722,""))</f>
        <v>357</v>
      </c>
      <c r="T723" t="str">
        <f>IF(D723=1,MAX($T$2:$T722)+1,IF(S723=S722,$T722,IF(D723="x",T722,IF(D722="x","",""))))</f>
        <v/>
      </c>
      <c r="U723" t="str">
        <f>IF(B723=1,MAX($U$2:$U722)+1,IF(AND($T723&lt;&gt;"",$T723=$T722),$U722,IF(B723="x",U722,"")))</f>
        <v/>
      </c>
      <c r="V723" t="str">
        <f>IF(C723=1,MAX($V$2:$V722)+1,IF(AND($T723&lt;&gt;"",$T723=$T722),$U722,IF(C723="x",V722,"")))</f>
        <v/>
      </c>
      <c r="X723" cm="1">
        <f t="array" ref="X723">IF($I723&lt;&gt;"",$I723,INDEX($I$1:$I723,ROW()-COUNTIFS($T$1:$T723,"="&amp;$T723,$S$1:$S723,"&lt;"&amp;$S723)))</f>
        <v>70</v>
      </c>
      <c r="Z723" s="6">
        <f t="shared" si="129"/>
        <v>1</v>
      </c>
      <c r="AA723">
        <f t="shared" si="130"/>
        <v>1357</v>
      </c>
      <c r="AB723" t="str">
        <f t="shared" si="131"/>
        <v/>
      </c>
      <c r="AC723">
        <f t="shared" si="132"/>
        <v>1357</v>
      </c>
      <c r="AI723" t="str">
        <f t="shared" si="134"/>
        <v/>
      </c>
      <c r="BI723" s="40"/>
      <c r="BL723" s="40"/>
      <c r="BN723" s="19"/>
      <c r="BP723" s="17"/>
    </row>
    <row r="724" spans="1:68" x14ac:dyDescent="0.2">
      <c r="A724">
        <f t="shared" si="128"/>
        <v>1</v>
      </c>
      <c r="E724" s="4"/>
      <c r="F724" s="46" t="s">
        <v>1062</v>
      </c>
      <c r="G724" s="4"/>
      <c r="H724" s="48"/>
      <c r="I724" s="26">
        <v>37</v>
      </c>
      <c r="J724" s="26" t="str">
        <f t="shared" si="133"/>
        <v/>
      </c>
      <c r="K724" t="s">
        <v>13</v>
      </c>
      <c r="L724" t="s">
        <v>587</v>
      </c>
      <c r="N724" t="s">
        <v>595</v>
      </c>
      <c r="O724" t="s">
        <v>907</v>
      </c>
      <c r="Q724" t="str">
        <f t="shared" si="135"/>
        <v>s</v>
      </c>
      <c r="R724" s="26">
        <v>1</v>
      </c>
      <c r="S724">
        <f>IF(A724=1,MAX($S$2:$S723)+1,IF(OR($I724&lt;&gt;"",A724="x"),$S723,""))</f>
        <v>358</v>
      </c>
      <c r="T724" t="str">
        <f>IF(D724=1,MAX($T$2:$T723)+1,IF(S724=S723,$T723,IF(D724="x",T723,IF(D723="x","",""))))</f>
        <v/>
      </c>
      <c r="U724" t="str">
        <f>IF(B724=1,MAX($U$2:$U723)+1,IF(AND($T724&lt;&gt;"",$T724=$T723),$U723,IF(B724="x",U723,"")))</f>
        <v/>
      </c>
      <c r="V724" t="str">
        <f>IF(C724=1,MAX($V$2:$V723)+1,IF(AND($T724&lt;&gt;"",$T724=$T723),$U723,IF(C724="x",V723,"")))</f>
        <v/>
      </c>
      <c r="X724" cm="1">
        <f t="array" ref="X724">IF($I724&lt;&gt;"",$I724,INDEX($I$1:$I724,ROW()-COUNTIFS($T$1:$T724,"="&amp;$T724,$S$1:$S724,"&lt;"&amp;$S724)))</f>
        <v>37</v>
      </c>
      <c r="Z724" s="6">
        <f t="shared" si="129"/>
        <v>1</v>
      </c>
      <c r="AA724">
        <f t="shared" si="130"/>
        <v>1358</v>
      </c>
      <c r="AB724" t="str">
        <f t="shared" si="131"/>
        <v/>
      </c>
      <c r="AC724">
        <f t="shared" si="132"/>
        <v>1358</v>
      </c>
      <c r="AI724" t="str">
        <f t="shared" si="134"/>
        <v/>
      </c>
      <c r="BI724" s="40"/>
      <c r="BL724" s="40"/>
      <c r="BN724" s="19"/>
      <c r="BP724" s="17"/>
    </row>
    <row r="725" spans="1:68" x14ac:dyDescent="0.2">
      <c r="A725" t="str">
        <f t="shared" si="128"/>
        <v/>
      </c>
      <c r="E725" s="4"/>
      <c r="F725" s="46"/>
      <c r="G725" s="4"/>
      <c r="H725" s="48"/>
      <c r="I725" s="26">
        <v>55</v>
      </c>
      <c r="J725" s="26" t="str">
        <f t="shared" si="133"/>
        <v/>
      </c>
      <c r="N725" t="str">
        <f t="shared" ref="N725:N788" si="136">IF(K725="","",IF(K725="Goal","s",IF(AND(K725="Zone_Entry_Exit",OR(ISNUMBER(SEARCH("fail",L725)),ISNUMBER(SEARCH("FromExitClear",M725)),ISNUMBER(SEARCH("miss",M725)))),"u",IF(AND(K725="Zone_Entry_Exit",OR(NOT(ISNUMBER(SEARCH("fail",L725))),NOT(ISNUMBER(SEARCH("FromExitClear",M725))),NOT(ISNUMBER(SEARCH("miss",M725))))),"s",IF(AND(OR(K725="Shot",K725="Pass"),OR(ISNUMBER(SEARCH("complete",L725)),ISNUMBER(SEARCH("goal",L725)),ISNUMBER(SEARCH("OnNet",L725)))),"s",IF(L725="Turnover_Giveaway","u",IF(AND(OR(K725="Shot",K725="Pass"),OR(ISNUMBER(SEARCH("fail",L725)),NOT(ISNUMBER(SEARCH("complete",L725))),NOT(ISNUMBER(SEARCH("OnNet",L725))))),"u","")))))))</f>
        <v/>
      </c>
      <c r="O725" t="s">
        <v>567</v>
      </c>
      <c r="Q725" t="str">
        <f t="shared" si="135"/>
        <v/>
      </c>
      <c r="R725" s="26">
        <v>1</v>
      </c>
      <c r="S725">
        <f>IF(A725=1,MAX($S$2:$S724)+1,IF(OR($I725&lt;&gt;"",A725="x"),$S724,""))</f>
        <v>358</v>
      </c>
      <c r="T725" t="str">
        <f>IF(D725=1,MAX($T$2:$T724)+1,IF(S725=S724,$T724,IF(D725="x",T724,IF(D724="x","",""))))</f>
        <v/>
      </c>
      <c r="U725" t="str">
        <f>IF(B725=1,MAX($U$2:$U724)+1,IF(AND($T725&lt;&gt;"",$T725=$T724),$U724,IF(B725="x",U724,"")))</f>
        <v/>
      </c>
      <c r="V725" t="str">
        <f>IF(C725=1,MAX($V$2:$V724)+1,IF(AND($T725&lt;&gt;"",$T725=$T724),$U724,IF(C725="x",V724,"")))</f>
        <v/>
      </c>
      <c r="X725" cm="1">
        <f t="array" ref="X725">IF($I725&lt;&gt;"",$I725,INDEX($I$1:$I725,ROW()-COUNTIFS($T$1:$T725,"="&amp;$T725,$S$1:$S725,"&lt;"&amp;$S725)))</f>
        <v>55</v>
      </c>
      <c r="Z725" s="6">
        <f t="shared" si="129"/>
        <v>1</v>
      </c>
      <c r="AA725">
        <f t="shared" si="130"/>
        <v>1358</v>
      </c>
      <c r="AB725" t="str">
        <f t="shared" si="131"/>
        <v/>
      </c>
      <c r="AC725">
        <f t="shared" si="132"/>
        <v>1358</v>
      </c>
      <c r="AI725" t="str">
        <f t="shared" si="134"/>
        <v/>
      </c>
      <c r="BI725" s="40"/>
      <c r="BL725" s="40"/>
      <c r="BN725" s="19"/>
      <c r="BP725" s="17"/>
    </row>
    <row r="726" spans="1:68" x14ac:dyDescent="0.2">
      <c r="A726">
        <f t="shared" si="128"/>
        <v>1</v>
      </c>
      <c r="E726" s="4"/>
      <c r="F726" s="46"/>
      <c r="G726" s="4"/>
      <c r="H726" s="48"/>
      <c r="I726" s="26">
        <v>37</v>
      </c>
      <c r="J726" s="26" t="str">
        <f t="shared" si="133"/>
        <v/>
      </c>
      <c r="K726" t="s">
        <v>7</v>
      </c>
      <c r="L726" t="s">
        <v>172</v>
      </c>
      <c r="M726" t="s">
        <v>67</v>
      </c>
      <c r="N726" t="str">
        <f t="shared" si="136"/>
        <v>s</v>
      </c>
      <c r="O726" t="s">
        <v>576</v>
      </c>
      <c r="Q726" t="str">
        <f t="shared" si="135"/>
        <v>s</v>
      </c>
      <c r="R726" s="26">
        <v>1</v>
      </c>
      <c r="S726">
        <f>IF(A726=1,MAX($S$2:$S725)+1,IF(OR($I726&lt;&gt;"",A726="x"),$S725,""))</f>
        <v>359</v>
      </c>
      <c r="T726" t="str">
        <f>IF(D726=1,MAX($T$2:$T725)+1,IF(S726=S725,$T725,IF(D726="x",T725,IF(D725="x","",""))))</f>
        <v/>
      </c>
      <c r="U726" t="str">
        <f>IF(B726=1,MAX($U$2:$U725)+1,IF(AND($T726&lt;&gt;"",$T726=$T725),$U725,IF(B726="x",U725,"")))</f>
        <v/>
      </c>
      <c r="V726" t="str">
        <f>IF(C726=1,MAX($V$2:$V725)+1,IF(AND($T726&lt;&gt;"",$T726=$T725),$U725,IF(C726="x",V725,"")))</f>
        <v/>
      </c>
      <c r="X726" cm="1">
        <f t="array" ref="X726">IF($I726&lt;&gt;"",$I726,INDEX($I$1:$I726,ROW()-COUNTIFS($T$1:$T726,"="&amp;$T726,$S$1:$S726,"&lt;"&amp;$S726)))</f>
        <v>37</v>
      </c>
      <c r="Z726" s="6">
        <f t="shared" si="129"/>
        <v>1</v>
      </c>
      <c r="AA726">
        <f t="shared" si="130"/>
        <v>1359</v>
      </c>
      <c r="AB726" t="str">
        <f t="shared" si="131"/>
        <v/>
      </c>
      <c r="AC726">
        <f t="shared" si="132"/>
        <v>1359</v>
      </c>
      <c r="AI726" t="str">
        <f t="shared" si="134"/>
        <v/>
      </c>
      <c r="BI726" s="40"/>
      <c r="BL726" s="40"/>
      <c r="BN726" s="19"/>
      <c r="BP726" s="17"/>
    </row>
    <row r="727" spans="1:68" x14ac:dyDescent="0.2">
      <c r="A727" t="str">
        <f t="shared" si="128"/>
        <v/>
      </c>
      <c r="E727" s="4"/>
      <c r="F727" s="46"/>
      <c r="G727" s="4"/>
      <c r="H727" s="48"/>
      <c r="I727" s="26">
        <v>73</v>
      </c>
      <c r="J727" s="26" t="str">
        <f t="shared" si="133"/>
        <v/>
      </c>
      <c r="N727" t="str">
        <f t="shared" si="136"/>
        <v/>
      </c>
      <c r="Q727" t="str">
        <f t="shared" si="135"/>
        <v/>
      </c>
      <c r="S727">
        <f>IF(A727=1,MAX($S$2:$S726)+1,IF(OR($I727&lt;&gt;"",A727="x"),$S726,""))</f>
        <v>359</v>
      </c>
      <c r="T727" t="str">
        <f>IF(D727=1,MAX($T$2:$T726)+1,IF(S727=S726,$T726,IF(D727="x",T726,IF(D726="x","",""))))</f>
        <v/>
      </c>
      <c r="U727" t="str">
        <f>IF(B727=1,MAX($U$2:$U726)+1,IF(AND($T727&lt;&gt;"",$T727=$T726),$U726,IF(B727="x",U726,"")))</f>
        <v/>
      </c>
      <c r="V727" t="str">
        <f>IF(C727=1,MAX($V$2:$V726)+1,IF(AND($T727&lt;&gt;"",$T727=$T726),$U726,IF(C727="x",V726,"")))</f>
        <v/>
      </c>
      <c r="X727" cm="1">
        <f t="array" ref="X727">IF($I727&lt;&gt;"",$I727,INDEX($I$1:$I727,ROW()-COUNTIFS($T$1:$T727,"="&amp;$T727,$S$1:$S727,"&lt;"&amp;$S727)))</f>
        <v>73</v>
      </c>
      <c r="Z727" s="6">
        <f t="shared" si="129"/>
        <v>1</v>
      </c>
      <c r="AA727">
        <f t="shared" si="130"/>
        <v>1359</v>
      </c>
      <c r="AB727" t="str">
        <f t="shared" si="131"/>
        <v/>
      </c>
      <c r="AC727">
        <f t="shared" si="132"/>
        <v>1359</v>
      </c>
      <c r="AI727" t="str">
        <f t="shared" si="134"/>
        <v/>
      </c>
      <c r="BI727" s="40"/>
      <c r="BL727" s="40"/>
      <c r="BN727" s="19"/>
      <c r="BP727" s="17"/>
    </row>
    <row r="728" spans="1:68" x14ac:dyDescent="0.2">
      <c r="A728" t="str">
        <f t="shared" si="128"/>
        <v/>
      </c>
      <c r="E728" s="4"/>
      <c r="F728" s="46"/>
      <c r="G728" s="4"/>
      <c r="H728" s="48"/>
      <c r="I728" s="26">
        <v>55</v>
      </c>
      <c r="J728" s="26" t="str">
        <f t="shared" si="133"/>
        <v/>
      </c>
      <c r="N728" t="str">
        <f t="shared" si="136"/>
        <v/>
      </c>
      <c r="O728" t="s">
        <v>567</v>
      </c>
      <c r="Q728" t="str">
        <f t="shared" si="135"/>
        <v/>
      </c>
      <c r="R728" s="26">
        <v>1</v>
      </c>
      <c r="S728">
        <f>IF(A728=1,MAX($S$2:$S727)+1,IF(OR($I728&lt;&gt;"",A728="x"),$S727,""))</f>
        <v>359</v>
      </c>
      <c r="T728" t="str">
        <f>IF(D728=1,MAX($T$2:$T727)+1,IF(S728=S727,$T727,IF(D728="x",T727,IF(D727="x","",""))))</f>
        <v/>
      </c>
      <c r="U728" t="str">
        <f>IF(B728=1,MAX($U$2:$U727)+1,IF(AND($T728&lt;&gt;"",$T728=$T727),$U727,IF(B728="x",U727,"")))</f>
        <v/>
      </c>
      <c r="V728" t="str">
        <f>IF(C728=1,MAX($V$2:$V727)+1,IF(AND($T728&lt;&gt;"",$T728=$T727),$U727,IF(C728="x",V727,"")))</f>
        <v/>
      </c>
      <c r="X728" cm="1">
        <f t="array" ref="X728">IF($I728&lt;&gt;"",$I728,INDEX($I$1:$I728,ROW()-COUNTIFS($T$1:$T728,"="&amp;$T728,$S$1:$S728,"&lt;"&amp;$S728)))</f>
        <v>55</v>
      </c>
      <c r="Z728" s="6">
        <f t="shared" si="129"/>
        <v>1</v>
      </c>
      <c r="AA728">
        <f t="shared" si="130"/>
        <v>1359</v>
      </c>
      <c r="AB728" t="str">
        <f t="shared" si="131"/>
        <v/>
      </c>
      <c r="AC728">
        <f t="shared" si="132"/>
        <v>1359</v>
      </c>
      <c r="AI728" t="str">
        <f t="shared" si="134"/>
        <v/>
      </c>
      <c r="BI728" s="40"/>
      <c r="BL728" s="40"/>
      <c r="BN728" s="19"/>
      <c r="BP728" s="17"/>
    </row>
    <row r="729" spans="1:68" x14ac:dyDescent="0.2">
      <c r="A729">
        <f t="shared" si="128"/>
        <v>1</v>
      </c>
      <c r="E729" s="4"/>
      <c r="F729" s="46" t="s">
        <v>1030</v>
      </c>
      <c r="G729" s="4"/>
      <c r="H729" s="48" t="s">
        <v>1043</v>
      </c>
      <c r="I729" s="26">
        <v>73</v>
      </c>
      <c r="J729" s="26" t="str">
        <f t="shared" si="133"/>
        <v/>
      </c>
      <c r="K729" t="s">
        <v>13</v>
      </c>
      <c r="L729" t="s">
        <v>574</v>
      </c>
      <c r="N729" t="str">
        <f t="shared" si="136"/>
        <v/>
      </c>
      <c r="Q729" t="str">
        <f t="shared" si="135"/>
        <v/>
      </c>
      <c r="R729" s="26">
        <v>1</v>
      </c>
      <c r="S729">
        <f>IF(A729=1,MAX($S$2:$S728)+1,IF(OR($I729&lt;&gt;"",A729="x"),$S728,""))</f>
        <v>360</v>
      </c>
      <c r="T729" t="str">
        <f>IF(D729=1,MAX($T$2:$T728)+1,IF(S729=S728,$T728,IF(D729="x",T728,IF(D728="x","",""))))</f>
        <v/>
      </c>
      <c r="U729" t="str">
        <f>IF(B729=1,MAX($U$2:$U728)+1,IF(AND($T729&lt;&gt;"",$T729=$T728),$U728,IF(B729="x",U728,"")))</f>
        <v/>
      </c>
      <c r="V729" t="str">
        <f>IF(C729=1,MAX($V$2:$V728)+1,IF(AND($T729&lt;&gt;"",$T729=$T728),$U728,IF(C729="x",V728,"")))</f>
        <v/>
      </c>
      <c r="X729" cm="1">
        <f t="array" ref="X729">IF($I729&lt;&gt;"",$I729,INDEX($I$1:$I729,ROW()-COUNTIFS($T$1:$T729,"="&amp;$T729,$S$1:$S729,"&lt;"&amp;$S729)))</f>
        <v>73</v>
      </c>
      <c r="Z729" s="6">
        <f t="shared" si="129"/>
        <v>1</v>
      </c>
      <c r="AA729">
        <f t="shared" si="130"/>
        <v>1360</v>
      </c>
      <c r="AB729" t="str">
        <f t="shared" si="131"/>
        <v/>
      </c>
      <c r="AC729">
        <f t="shared" si="132"/>
        <v>1360</v>
      </c>
      <c r="AI729" t="str">
        <f t="shared" si="134"/>
        <v/>
      </c>
      <c r="BI729" s="40"/>
      <c r="BL729" s="40"/>
      <c r="BN729" s="19"/>
      <c r="BP729" s="17"/>
    </row>
    <row r="730" spans="1:68" x14ac:dyDescent="0.2">
      <c r="A730" t="str">
        <f t="shared" si="128"/>
        <v/>
      </c>
      <c r="E730" s="4"/>
      <c r="F730" s="46"/>
      <c r="G730" s="4"/>
      <c r="H730" s="48"/>
      <c r="I730" s="26">
        <v>55</v>
      </c>
      <c r="J730" s="26" t="str">
        <f t="shared" si="133"/>
        <v/>
      </c>
      <c r="N730" t="str">
        <f t="shared" si="136"/>
        <v/>
      </c>
      <c r="Q730" t="str">
        <f t="shared" si="135"/>
        <v/>
      </c>
      <c r="R730" s="26">
        <v>1</v>
      </c>
      <c r="S730">
        <f>IF(A730=1,MAX($S$2:$S729)+1,IF(OR($I730&lt;&gt;"",A730="x"),$S729,""))</f>
        <v>360</v>
      </c>
      <c r="T730" t="str">
        <f>IF(D730=1,MAX($T$2:$T729)+1,IF(S730=S729,$T729,IF(D730="x",T729,IF(D729="x","",""))))</f>
        <v/>
      </c>
      <c r="U730" t="str">
        <f>IF(B730=1,MAX($U$2:$U729)+1,IF(AND($T730&lt;&gt;"",$T730=$T729),$U729,IF(B730="x",U729,"")))</f>
        <v/>
      </c>
      <c r="V730" t="str">
        <f>IF(C730=1,MAX($V$2:$V729)+1,IF(AND($T730&lt;&gt;"",$T730=$T729),$U729,IF(C730="x",V729,"")))</f>
        <v/>
      </c>
      <c r="X730" cm="1">
        <f t="array" ref="X730">IF($I730&lt;&gt;"",$I730,INDEX($I$1:$I730,ROW()-COUNTIFS($T$1:$T730,"="&amp;$T730,$S$1:$S730,"&lt;"&amp;$S730)))</f>
        <v>55</v>
      </c>
      <c r="Z730" s="6">
        <f t="shared" si="129"/>
        <v>1</v>
      </c>
      <c r="AA730">
        <f t="shared" si="130"/>
        <v>1360</v>
      </c>
      <c r="AB730" t="str">
        <f t="shared" si="131"/>
        <v/>
      </c>
      <c r="AC730">
        <f t="shared" si="132"/>
        <v>1360</v>
      </c>
      <c r="AI730" t="str">
        <f t="shared" si="134"/>
        <v/>
      </c>
      <c r="BI730" s="40"/>
      <c r="BL730" s="40"/>
      <c r="BN730" s="19"/>
      <c r="BP730" s="17"/>
    </row>
    <row r="731" spans="1:68" x14ac:dyDescent="0.2">
      <c r="A731">
        <f t="shared" si="128"/>
        <v>1</v>
      </c>
      <c r="D731" s="26">
        <v>1</v>
      </c>
      <c r="E731" s="4"/>
      <c r="F731" s="46"/>
      <c r="G731" s="4"/>
      <c r="H731" s="48"/>
      <c r="I731" s="26">
        <v>73</v>
      </c>
      <c r="J731" s="26" t="s">
        <v>736</v>
      </c>
      <c r="K731" t="s">
        <v>7</v>
      </c>
      <c r="L731" t="s">
        <v>182</v>
      </c>
      <c r="M731" t="s">
        <v>65</v>
      </c>
      <c r="N731" t="str">
        <f t="shared" si="136"/>
        <v>u</v>
      </c>
      <c r="O731" t="s">
        <v>767</v>
      </c>
      <c r="Q731" t="str">
        <f t="shared" si="135"/>
        <v>u</v>
      </c>
      <c r="S731">
        <f>IF(A731=1,MAX($S$2:$S730)+1,IF(OR($I731&lt;&gt;"",A731="x"),$S730,""))</f>
        <v>361</v>
      </c>
      <c r="T731">
        <f>IF(D731=1,MAX($T$2:$T730)+1,IF(S731=S730,$T730,IF(D731="x",T730,IF(D730="x","",""))))</f>
        <v>48</v>
      </c>
      <c r="U731" t="str">
        <f>IF(B731=1,MAX($U$2:$U730)+1,IF(AND($T731&lt;&gt;"",$T731=$T730),$U730,IF(B731="x",U730,"")))</f>
        <v/>
      </c>
      <c r="V731" t="str">
        <f>IF(C731=1,MAX($V$2:$V730)+1,IF(AND($T731&lt;&gt;"",$T731=$T730),$U730,IF(C731="x",V730,"")))</f>
        <v/>
      </c>
      <c r="X731" cm="1">
        <f t="array" ref="X731">IF($I731&lt;&gt;"",$I731,INDEX($I$1:$I731,ROW()-COUNTIFS($T$1:$T731,"="&amp;$T731,$S$1:$S731,"&lt;"&amp;$S731)))</f>
        <v>73</v>
      </c>
      <c r="Z731" s="6">
        <f t="shared" si="129"/>
        <v>1</v>
      </c>
      <c r="AA731">
        <f t="shared" si="130"/>
        <v>1361</v>
      </c>
      <c r="AB731">
        <f t="shared" si="131"/>
        <v>9048</v>
      </c>
      <c r="AC731">
        <f t="shared" si="132"/>
        <v>9048</v>
      </c>
      <c r="AI731" t="str">
        <f t="shared" si="134"/>
        <v>d</v>
      </c>
      <c r="BI731" s="40"/>
      <c r="BL731" s="40"/>
      <c r="BN731" s="19"/>
      <c r="BP731" s="17"/>
    </row>
    <row r="732" spans="1:68" x14ac:dyDescent="0.2">
      <c r="A732" t="str">
        <f t="shared" si="128"/>
        <v>x</v>
      </c>
      <c r="D732" s="26" t="s">
        <v>729</v>
      </c>
      <c r="E732" s="4"/>
      <c r="F732" s="46"/>
      <c r="G732" s="4"/>
      <c r="H732" s="48"/>
      <c r="I732" s="26">
        <v>71</v>
      </c>
      <c r="J732" s="26" t="str">
        <f t="shared" si="133"/>
        <v/>
      </c>
      <c r="N732" t="str">
        <f t="shared" si="136"/>
        <v/>
      </c>
      <c r="Q732" t="str">
        <f t="shared" si="135"/>
        <v/>
      </c>
      <c r="S732">
        <f>IF(A732=1,MAX($S$2:$S731)+1,IF(OR($I732&lt;&gt;"",A732="x"),$S731,""))</f>
        <v>361</v>
      </c>
      <c r="T732">
        <f>IF(D732=1,MAX($T$2:$T731)+1,IF(S732=S731,$T731,IF(D732="x",T731,IF(D731="x","",""))))</f>
        <v>48</v>
      </c>
      <c r="U732" t="str">
        <f>IF(B732=1,MAX($U$2:$U731)+1,IF(AND($T732&lt;&gt;"",$T732=$T731),$U731,IF(B732="x",U731,"")))</f>
        <v/>
      </c>
      <c r="V732" t="str">
        <f>IF(C732=1,MAX($V$2:$V731)+1,IF(AND($T732&lt;&gt;"",$T732=$T731),$U731,IF(C732="x",V731,"")))</f>
        <v/>
      </c>
      <c r="X732" cm="1">
        <f t="array" ref="X732">IF($I732&lt;&gt;"",$I732,INDEX($I$1:$I732,ROW()-COUNTIFS($T$1:$T732,"="&amp;$T732,$S$1:$S732,"&lt;"&amp;$S732)))</f>
        <v>71</v>
      </c>
      <c r="Z732" s="6">
        <f t="shared" si="129"/>
        <v>1</v>
      </c>
      <c r="AA732">
        <f t="shared" si="130"/>
        <v>1361</v>
      </c>
      <c r="AB732">
        <f t="shared" si="131"/>
        <v>9048</v>
      </c>
      <c r="AC732">
        <f t="shared" si="132"/>
        <v>9048</v>
      </c>
      <c r="AI732" t="str">
        <f t="shared" si="134"/>
        <v>d</v>
      </c>
      <c r="BI732" s="40"/>
      <c r="BL732" s="40"/>
      <c r="BN732" s="19"/>
      <c r="BP732" s="17"/>
    </row>
    <row r="733" spans="1:68" x14ac:dyDescent="0.2">
      <c r="A733">
        <f t="shared" si="128"/>
        <v>1</v>
      </c>
      <c r="D733" s="26" t="s">
        <v>729</v>
      </c>
      <c r="E733" s="4"/>
      <c r="F733" s="46"/>
      <c r="G733" s="4"/>
      <c r="H733" s="48"/>
      <c r="J733" s="26" t="str">
        <f t="shared" si="133"/>
        <v>d</v>
      </c>
      <c r="K733" t="s">
        <v>238</v>
      </c>
      <c r="L733" t="s">
        <v>184</v>
      </c>
      <c r="M733" t="s">
        <v>376</v>
      </c>
      <c r="N733" t="str">
        <f t="shared" si="136"/>
        <v>u</v>
      </c>
      <c r="Q733" t="str">
        <f t="shared" si="135"/>
        <v/>
      </c>
      <c r="S733">
        <f>IF(A733=1,MAX($S$2:$S732)+1,IF(OR($I733&lt;&gt;"",A733="x"),$S732,""))</f>
        <v>362</v>
      </c>
      <c r="T733">
        <f>IF(D733=1,MAX($T$2:$T732)+1,IF(S733=S732,$T732,IF(D733="x",T732,IF(D732="x","",""))))</f>
        <v>48</v>
      </c>
      <c r="U733" t="str">
        <f>IF(B733=1,MAX($U$2:$U732)+1,IF(AND($T733&lt;&gt;"",$T733=$T732),$U732,IF(B733="x",U732,"")))</f>
        <v/>
      </c>
      <c r="V733" t="str">
        <f>IF(C733=1,MAX($V$2:$V732)+1,IF(AND($T733&lt;&gt;"",$T733=$T732),$U732,IF(C733="x",V732,"")))</f>
        <v/>
      </c>
      <c r="X733" cm="1">
        <f t="array" ref="X733">IF($I733&lt;&gt;"",$I733,INDEX($I$1:$I733,ROW()-COUNTIFS($T$1:$T733,"="&amp;$T733,$S$1:$S733,"&lt;"&amp;$S733)))</f>
        <v>73</v>
      </c>
      <c r="Z733" s="6">
        <f t="shared" si="129"/>
        <v>1</v>
      </c>
      <c r="AA733">
        <f t="shared" si="130"/>
        <v>1362</v>
      </c>
      <c r="AB733">
        <f t="shared" si="131"/>
        <v>9048</v>
      </c>
      <c r="AC733">
        <f t="shared" si="132"/>
        <v>9048</v>
      </c>
      <c r="AI733" t="str">
        <f t="shared" si="134"/>
        <v>d</v>
      </c>
      <c r="BI733" s="40"/>
      <c r="BL733" s="40"/>
      <c r="BN733" s="19"/>
      <c r="BP733" s="17"/>
    </row>
    <row r="734" spans="1:68" x14ac:dyDescent="0.2">
      <c r="A734" t="str">
        <f t="shared" si="128"/>
        <v>x</v>
      </c>
      <c r="D734" s="26" t="s">
        <v>729</v>
      </c>
      <c r="E734" s="4"/>
      <c r="F734" s="46"/>
      <c r="G734" s="4"/>
      <c r="H734" s="48"/>
      <c r="J734" s="26" t="str">
        <f t="shared" si="133"/>
        <v/>
      </c>
      <c r="N734" t="str">
        <f t="shared" si="136"/>
        <v/>
      </c>
      <c r="Q734" t="str">
        <f t="shared" si="135"/>
        <v/>
      </c>
      <c r="S734">
        <f>IF(A734=1,MAX($S$2:$S733)+1,IF(OR($I734&lt;&gt;"",A734="x"),$S733,""))</f>
        <v>362</v>
      </c>
      <c r="T734">
        <f>IF(D734=1,MAX($T$2:$T733)+1,IF(S734=S733,$T733,IF(D734="x",T733,IF(D733="x","",""))))</f>
        <v>48</v>
      </c>
      <c r="U734" t="str">
        <f>IF(B734=1,MAX($U$2:$U733)+1,IF(AND($T734&lt;&gt;"",$T734=$T733),$U733,IF(B734="x",U733,"")))</f>
        <v/>
      </c>
      <c r="V734" t="str">
        <f>IF(C734=1,MAX($V$2:$V733)+1,IF(AND($T734&lt;&gt;"",$T734=$T733),$U733,IF(C734="x",V733,"")))</f>
        <v/>
      </c>
      <c r="X734" cm="1">
        <f t="array" ref="X734">IF($I734&lt;&gt;"",$I734,INDEX($I$1:$I734,ROW()-COUNTIFS($T$1:$T734,"="&amp;$T734,$S$1:$S734,"&lt;"&amp;$S734)))</f>
        <v>71</v>
      </c>
      <c r="Z734" s="6">
        <f t="shared" si="129"/>
        <v>1</v>
      </c>
      <c r="AA734">
        <f t="shared" si="130"/>
        <v>1362</v>
      </c>
      <c r="AB734">
        <f t="shared" si="131"/>
        <v>9048</v>
      </c>
      <c r="AC734">
        <f t="shared" si="132"/>
        <v>9048</v>
      </c>
      <c r="AI734" t="str">
        <f t="shared" si="134"/>
        <v>d</v>
      </c>
      <c r="BI734" s="40"/>
      <c r="BL734" s="40"/>
      <c r="BN734" s="19"/>
      <c r="BP734" s="17"/>
    </row>
    <row r="735" spans="1:68" x14ac:dyDescent="0.2">
      <c r="A735">
        <f t="shared" si="128"/>
        <v>1</v>
      </c>
      <c r="D735" s="26" t="s">
        <v>729</v>
      </c>
      <c r="E735" s="4"/>
      <c r="F735" s="46"/>
      <c r="G735" s="4"/>
      <c r="H735" s="48"/>
      <c r="J735" s="26" t="s">
        <v>736</v>
      </c>
      <c r="K735" t="s">
        <v>238</v>
      </c>
      <c r="L735" t="s">
        <v>174</v>
      </c>
      <c r="M735" t="s">
        <v>375</v>
      </c>
      <c r="N735" t="str">
        <f t="shared" si="136"/>
        <v>u</v>
      </c>
      <c r="Q735" t="str">
        <f t="shared" si="135"/>
        <v/>
      </c>
      <c r="S735">
        <f>IF(A735=1,MAX($S$2:$S734)+1,IF(OR($I735&lt;&gt;"",A735="x"),$S734,""))</f>
        <v>363</v>
      </c>
      <c r="T735">
        <f>IF(D735=1,MAX($T$2:$T734)+1,IF(S735=S734,$T734,IF(D735="x",T734,IF(D734="x","",""))))</f>
        <v>48</v>
      </c>
      <c r="U735" t="str">
        <f>IF(B735=1,MAX($U$2:$U734)+1,IF(AND($T735&lt;&gt;"",$T735=$T734),$U734,IF(B735="x",U734,"")))</f>
        <v/>
      </c>
      <c r="V735" t="str">
        <f>IF(C735=1,MAX($V$2:$V734)+1,IF(AND($T735&lt;&gt;"",$T735=$T734),$U734,IF(C735="x",V734,"")))</f>
        <v/>
      </c>
      <c r="X735" cm="1">
        <f t="array" ref="X735">IF($I735&lt;&gt;"",$I735,INDEX($I$1:$I735,ROW()-COUNTIFS($T$1:$T735,"="&amp;$T735,$S$1:$S735,"&lt;"&amp;$S735)))</f>
        <v>73</v>
      </c>
      <c r="Z735" s="6">
        <f t="shared" si="129"/>
        <v>1</v>
      </c>
      <c r="AA735">
        <f t="shared" si="130"/>
        <v>1363</v>
      </c>
      <c r="AB735">
        <f t="shared" si="131"/>
        <v>9048</v>
      </c>
      <c r="AC735">
        <f t="shared" si="132"/>
        <v>9048</v>
      </c>
      <c r="AI735" t="str">
        <f t="shared" si="134"/>
        <v>d</v>
      </c>
      <c r="BI735" s="40"/>
      <c r="BL735" s="40"/>
      <c r="BN735" s="19"/>
      <c r="BP735" s="17"/>
    </row>
    <row r="736" spans="1:68" x14ac:dyDescent="0.2">
      <c r="A736" t="str">
        <f t="shared" si="128"/>
        <v>x</v>
      </c>
      <c r="D736" s="26" t="s">
        <v>729</v>
      </c>
      <c r="E736" s="4"/>
      <c r="F736" s="46"/>
      <c r="G736" s="4"/>
      <c r="H736" s="48"/>
      <c r="J736" s="26" t="str">
        <f t="shared" si="133"/>
        <v/>
      </c>
      <c r="N736" t="str">
        <f t="shared" si="136"/>
        <v/>
      </c>
      <c r="Q736" t="str">
        <f t="shared" si="135"/>
        <v/>
      </c>
      <c r="S736">
        <f>IF(A736=1,MAX($S$2:$S735)+1,IF(OR($I736&lt;&gt;"",A736="x"),$S735,""))</f>
        <v>363</v>
      </c>
      <c r="T736">
        <f>IF(D736=1,MAX($T$2:$T735)+1,IF(S736=S735,$T735,IF(D736="x",T735,IF(D735="x","",""))))</f>
        <v>48</v>
      </c>
      <c r="U736" t="str">
        <f>IF(B736=1,MAX($U$2:$U735)+1,IF(AND($T736&lt;&gt;"",$T736=$T735),$U735,IF(B736="x",U735,"")))</f>
        <v/>
      </c>
      <c r="V736" t="str">
        <f>IF(C736=1,MAX($V$2:$V735)+1,IF(AND($T736&lt;&gt;"",$T736=$T735),$U735,IF(C736="x",V735,"")))</f>
        <v/>
      </c>
      <c r="X736" cm="1">
        <f t="array" ref="X736">IF($I736&lt;&gt;"",$I736,INDEX($I$1:$I736,ROW()-COUNTIFS($T$1:$T736,"="&amp;$T736,$S$1:$S736,"&lt;"&amp;$S736)))</f>
        <v>71</v>
      </c>
      <c r="Z736" s="6">
        <f t="shared" si="129"/>
        <v>1</v>
      </c>
      <c r="AA736">
        <f t="shared" si="130"/>
        <v>1363</v>
      </c>
      <c r="AB736">
        <f t="shared" si="131"/>
        <v>9048</v>
      </c>
      <c r="AC736">
        <f t="shared" si="132"/>
        <v>9048</v>
      </c>
      <c r="AI736" t="str">
        <f t="shared" si="134"/>
        <v>d</v>
      </c>
      <c r="BI736" s="40"/>
      <c r="BL736" s="40"/>
      <c r="BN736" s="19"/>
      <c r="BP736" s="17"/>
    </row>
    <row r="737" spans="1:68" x14ac:dyDescent="0.2">
      <c r="A737">
        <f t="shared" si="128"/>
        <v>1</v>
      </c>
      <c r="D737" s="26" t="s">
        <v>729</v>
      </c>
      <c r="E737" s="4"/>
      <c r="F737" s="46"/>
      <c r="G737" s="4"/>
      <c r="H737" s="48"/>
      <c r="J737" s="26" t="s">
        <v>736</v>
      </c>
      <c r="K737" t="s">
        <v>9</v>
      </c>
      <c r="L737" t="s">
        <v>173</v>
      </c>
      <c r="M737" t="s">
        <v>74</v>
      </c>
      <c r="N737" t="str">
        <f t="shared" si="136"/>
        <v>u</v>
      </c>
      <c r="Q737" t="str">
        <f t="shared" si="135"/>
        <v/>
      </c>
      <c r="S737">
        <f>IF(A737=1,MAX($S$2:$S736)+1,IF(OR($I737&lt;&gt;"",A737="x"),$S736,""))</f>
        <v>364</v>
      </c>
      <c r="T737">
        <f>IF(D737=1,MAX($T$2:$T736)+1,IF(S737=S736,$T736,IF(D737="x",T736,IF(D736="x","",""))))</f>
        <v>48</v>
      </c>
      <c r="U737" t="str">
        <f>IF(B737=1,MAX($U$2:$U736)+1,IF(AND($T737&lt;&gt;"",$T737=$T736),$U736,IF(B737="x",U736,"")))</f>
        <v/>
      </c>
      <c r="V737" t="str">
        <f>IF(C737=1,MAX($V$2:$V736)+1,IF(AND($T737&lt;&gt;"",$T737=$T736),$U736,IF(C737="x",V736,"")))</f>
        <v/>
      </c>
      <c r="X737" cm="1">
        <f t="array" ref="X737">IF($I737&lt;&gt;"",$I737,INDEX($I$1:$I737,ROW()-COUNTIFS($T$1:$T737,"="&amp;$T737,$S$1:$S737,"&lt;"&amp;$S737)))</f>
        <v>73</v>
      </c>
      <c r="Z737" s="6">
        <f t="shared" si="129"/>
        <v>1</v>
      </c>
      <c r="AA737">
        <f t="shared" si="130"/>
        <v>1364</v>
      </c>
      <c r="AB737">
        <f t="shared" si="131"/>
        <v>9048</v>
      </c>
      <c r="AC737">
        <f t="shared" si="132"/>
        <v>9048</v>
      </c>
      <c r="AI737" t="str">
        <f t="shared" si="134"/>
        <v>d</v>
      </c>
      <c r="BI737" s="40"/>
      <c r="BL737" s="40"/>
      <c r="BN737" s="19"/>
      <c r="BP737" s="17"/>
    </row>
    <row r="738" spans="1:68" x14ac:dyDescent="0.2">
      <c r="A738" t="str">
        <f t="shared" si="128"/>
        <v>x</v>
      </c>
      <c r="D738" s="26" t="s">
        <v>729</v>
      </c>
      <c r="E738" s="4"/>
      <c r="F738" s="46"/>
      <c r="G738" s="4"/>
      <c r="H738" s="48"/>
      <c r="J738" s="26" t="str">
        <f t="shared" si="133"/>
        <v/>
      </c>
      <c r="N738" t="str">
        <f t="shared" si="136"/>
        <v/>
      </c>
      <c r="Q738" t="str">
        <f t="shared" si="135"/>
        <v/>
      </c>
      <c r="S738">
        <f>IF(A738=1,MAX($S$2:$S737)+1,IF(OR($I738&lt;&gt;"",A738="x"),$S737,""))</f>
        <v>364</v>
      </c>
      <c r="T738">
        <f>IF(D738=1,MAX($T$2:$T737)+1,IF(S738=S737,$T737,IF(D738="x",T737,IF(D737="x","",""))))</f>
        <v>48</v>
      </c>
      <c r="U738" t="str">
        <f>IF(B738=1,MAX($U$2:$U737)+1,IF(AND($T738&lt;&gt;"",$T738=$T737),$U737,IF(B738="x",U737,"")))</f>
        <v/>
      </c>
      <c r="V738" t="str">
        <f>IF(C738=1,MAX($V$2:$V737)+1,IF(AND($T738&lt;&gt;"",$T738=$T737),$U737,IF(C738="x",V737,"")))</f>
        <v/>
      </c>
      <c r="X738" cm="1">
        <f t="array" ref="X738">IF($I738&lt;&gt;"",$I738,INDEX($I$1:$I738,ROW()-COUNTIFS($T$1:$T738,"="&amp;$T738,$S$1:$S738,"&lt;"&amp;$S738)))</f>
        <v>71</v>
      </c>
      <c r="Z738" s="6">
        <f t="shared" si="129"/>
        <v>1</v>
      </c>
      <c r="AA738">
        <f t="shared" si="130"/>
        <v>1364</v>
      </c>
      <c r="AB738">
        <f t="shared" si="131"/>
        <v>9048</v>
      </c>
      <c r="AC738">
        <f t="shared" si="132"/>
        <v>9048</v>
      </c>
      <c r="AI738" t="str">
        <f t="shared" si="134"/>
        <v>d</v>
      </c>
      <c r="BI738" s="40"/>
      <c r="BL738" s="40"/>
      <c r="BN738" s="19"/>
      <c r="BP738" s="17"/>
    </row>
    <row r="739" spans="1:68" x14ac:dyDescent="0.2">
      <c r="A739" t="str">
        <f t="shared" si="128"/>
        <v/>
      </c>
      <c r="E739" s="4"/>
      <c r="F739" s="46"/>
      <c r="G739" s="4"/>
      <c r="H739" s="48"/>
      <c r="J739" s="26" t="str">
        <f t="shared" si="133"/>
        <v/>
      </c>
      <c r="N739" t="str">
        <f t="shared" si="136"/>
        <v/>
      </c>
      <c r="Q739" t="str">
        <f t="shared" si="135"/>
        <v/>
      </c>
      <c r="S739" t="str">
        <f>IF(A739=1,MAX($S$2:$S738)+1,IF(OR($I739&lt;&gt;"",A739="x"),$S738,""))</f>
        <v/>
      </c>
      <c r="T739" t="str">
        <f>IF(D739=1,MAX($T$2:$T738)+1,IF(S739=S738,$T738,IF(D739="x",T738,IF(D738="x","",""))))</f>
        <v/>
      </c>
      <c r="U739" t="str">
        <f>IF(B739=1,MAX($U$2:$U738)+1,IF(AND($T739&lt;&gt;"",$T739=$T738),$U738,IF(B739="x",U738,"")))</f>
        <v/>
      </c>
      <c r="V739" t="str">
        <f>IF(C739=1,MAX($V$2:$V738)+1,IF(AND($T739&lt;&gt;"",$T739=$T738),$U738,IF(C739="x",V738,"")))</f>
        <v/>
      </c>
      <c r="X739" cm="1">
        <f t="array" ref="X739">IF($I739&lt;&gt;"",$I739,INDEX($I$1:$I739,ROW()-COUNTIFS($T$1:$T739,"="&amp;$T739,$S$1:$S739,"&lt;"&amp;$S739)))</f>
        <v>0</v>
      </c>
      <c r="Z739" s="6">
        <f t="shared" si="129"/>
        <v>1</v>
      </c>
      <c r="AA739" t="e">
        <f t="shared" si="130"/>
        <v>#VALUE!</v>
      </c>
      <c r="AB739" t="str">
        <f t="shared" si="131"/>
        <v/>
      </c>
      <c r="AC739" t="e">
        <f t="shared" si="132"/>
        <v>#VALUE!</v>
      </c>
      <c r="AI739" t="e">
        <f t="shared" si="134"/>
        <v>#VALUE!</v>
      </c>
      <c r="BI739" s="40"/>
      <c r="BL739" s="40"/>
      <c r="BN739" s="19"/>
      <c r="BP739" s="17"/>
    </row>
    <row r="740" spans="1:68" x14ac:dyDescent="0.2">
      <c r="A740" t="str">
        <f t="shared" si="128"/>
        <v/>
      </c>
      <c r="E740" s="4"/>
      <c r="F740" s="46"/>
      <c r="G740" s="4"/>
      <c r="H740" s="48"/>
      <c r="J740" s="26" t="str">
        <f t="shared" si="133"/>
        <v/>
      </c>
      <c r="N740" t="str">
        <f t="shared" si="136"/>
        <v/>
      </c>
      <c r="Q740" t="str">
        <f t="shared" si="135"/>
        <v/>
      </c>
      <c r="S740" t="str">
        <f>IF(A740=1,MAX($S$2:$S739)+1,IF(OR($I740&lt;&gt;"",A740="x"),$S739,""))</f>
        <v/>
      </c>
      <c r="T740" t="str">
        <f>IF(D740=1,MAX($T$2:$T739)+1,IF(S740=S739,$T739,IF(D740="x",T739,IF(D739="x","",""))))</f>
        <v/>
      </c>
      <c r="U740" t="str">
        <f>IF(B740=1,MAX($U$2:$U739)+1,IF(AND($T740&lt;&gt;"",$T740=$T739),$U739,IF(B740="x",U739,"")))</f>
        <v/>
      </c>
      <c r="V740" t="str">
        <f>IF(C740=1,MAX($V$2:$V739)+1,IF(AND($T740&lt;&gt;"",$T740=$T739),$U739,IF(C740="x",V739,"")))</f>
        <v/>
      </c>
      <c r="X740" cm="1">
        <f t="array" ref="X740">IF($I740&lt;&gt;"",$I740,INDEX($I$1:$I740,ROW()-COUNTIFS($T$1:$T740,"="&amp;$T740,$S$1:$S740,"&lt;"&amp;$S740)))</f>
        <v>0</v>
      </c>
      <c r="Z740" s="6">
        <f t="shared" si="129"/>
        <v>1</v>
      </c>
      <c r="AA740" t="e">
        <f t="shared" si="130"/>
        <v>#VALUE!</v>
      </c>
      <c r="AB740" t="str">
        <f t="shared" si="131"/>
        <v/>
      </c>
      <c r="AC740" t="e">
        <f t="shared" si="132"/>
        <v>#VALUE!</v>
      </c>
      <c r="AI740" t="e">
        <f t="shared" si="134"/>
        <v>#VALUE!</v>
      </c>
      <c r="BI740" s="40"/>
      <c r="BL740" s="40"/>
      <c r="BN740" s="19"/>
      <c r="BP740" s="17"/>
    </row>
    <row r="741" spans="1:68" x14ac:dyDescent="0.2">
      <c r="A741" t="str">
        <f t="shared" si="128"/>
        <v/>
      </c>
      <c r="E741" s="4"/>
      <c r="F741" s="46"/>
      <c r="G741" s="4"/>
      <c r="H741" s="48"/>
      <c r="J741" s="26" t="str">
        <f t="shared" si="133"/>
        <v/>
      </c>
      <c r="N741" t="str">
        <f t="shared" si="136"/>
        <v/>
      </c>
      <c r="Q741" t="str">
        <f t="shared" si="135"/>
        <v/>
      </c>
      <c r="S741" t="str">
        <f>IF(A741=1,MAX($S$2:$S740)+1,IF(OR($I741&lt;&gt;"",A741="x"),$S740,""))</f>
        <v/>
      </c>
      <c r="T741" t="str">
        <f>IF(D741=1,MAX($T$2:$T740)+1,IF(S741=S740,$T740,IF(D741="x",T740,IF(D740="x","",""))))</f>
        <v/>
      </c>
      <c r="U741" t="str">
        <f>IF(B741=1,MAX($U$2:$U740)+1,IF(AND($T741&lt;&gt;"",$T741=$T740),$U740,IF(B741="x",U740,"")))</f>
        <v/>
      </c>
      <c r="V741" t="str">
        <f>IF(C741=1,MAX($V$2:$V740)+1,IF(AND($T741&lt;&gt;"",$T741=$T740),$U740,IF(C741="x",V740,"")))</f>
        <v/>
      </c>
      <c r="X741" cm="1">
        <f t="array" ref="X741">IF($I741&lt;&gt;"",$I741,INDEX($I$1:$I741,ROW()-COUNTIFS($T$1:$T741,"="&amp;$T741,$S$1:$S741,"&lt;"&amp;$S741)))</f>
        <v>0</v>
      </c>
      <c r="Z741" s="6">
        <f t="shared" si="129"/>
        <v>1</v>
      </c>
      <c r="AA741" t="e">
        <f t="shared" si="130"/>
        <v>#VALUE!</v>
      </c>
      <c r="AB741" t="str">
        <f t="shared" si="131"/>
        <v/>
      </c>
      <c r="AC741" t="e">
        <f t="shared" si="132"/>
        <v>#VALUE!</v>
      </c>
      <c r="AI741" t="e">
        <f t="shared" si="134"/>
        <v>#VALUE!</v>
      </c>
      <c r="BI741" s="40"/>
      <c r="BL741" s="40"/>
      <c r="BN741" s="19"/>
      <c r="BP741" s="17"/>
    </row>
    <row r="742" spans="1:68" x14ac:dyDescent="0.2">
      <c r="A742" t="str">
        <f t="shared" si="128"/>
        <v/>
      </c>
      <c r="E742" s="4"/>
      <c r="F742" s="46"/>
      <c r="G742" s="4"/>
      <c r="H742" s="48"/>
      <c r="J742" s="26" t="str">
        <f t="shared" si="133"/>
        <v/>
      </c>
      <c r="N742" t="str">
        <f t="shared" si="136"/>
        <v/>
      </c>
      <c r="Q742" t="str">
        <f t="shared" si="135"/>
        <v/>
      </c>
      <c r="S742" t="str">
        <f>IF(A742=1,MAX($S$2:$S741)+1,IF(OR($I742&lt;&gt;"",A742="x"),$S741,""))</f>
        <v/>
      </c>
      <c r="T742" t="str">
        <f>IF(D742=1,MAX($T$2:$T741)+1,IF(S742=S741,$T741,IF(D742="x",T741,IF(D741="x","",""))))</f>
        <v/>
      </c>
      <c r="U742" t="str">
        <f>IF(B742=1,MAX($U$2:$U741)+1,IF(AND($T742&lt;&gt;"",$T742=$T741),$U741,IF(B742="x",U741,"")))</f>
        <v/>
      </c>
      <c r="V742" t="str">
        <f>IF(C742=1,MAX($V$2:$V741)+1,IF(AND($T742&lt;&gt;"",$T742=$T741),$U741,IF(C742="x",V741,"")))</f>
        <v/>
      </c>
      <c r="X742" cm="1">
        <f t="array" ref="X742">IF($I742&lt;&gt;"",$I742,INDEX($I$1:$I742,ROW()-COUNTIFS($T$1:$T742,"="&amp;$T742,$S$1:$S742,"&lt;"&amp;$S742)))</f>
        <v>0</v>
      </c>
      <c r="Z742" s="6">
        <f t="shared" si="129"/>
        <v>1</v>
      </c>
      <c r="AA742" t="e">
        <f t="shared" si="130"/>
        <v>#VALUE!</v>
      </c>
      <c r="AB742" t="str">
        <f t="shared" si="131"/>
        <v/>
      </c>
      <c r="AC742" t="e">
        <f t="shared" si="132"/>
        <v>#VALUE!</v>
      </c>
      <c r="AI742" t="e">
        <f t="shared" si="134"/>
        <v>#VALUE!</v>
      </c>
      <c r="BI742" s="40"/>
      <c r="BL742" s="40"/>
      <c r="BN742" s="19"/>
      <c r="BP742" s="17"/>
    </row>
    <row r="743" spans="1:68" x14ac:dyDescent="0.2">
      <c r="A743" t="str">
        <f t="shared" si="128"/>
        <v/>
      </c>
      <c r="E743" s="4"/>
      <c r="F743" s="46"/>
      <c r="G743" s="4"/>
      <c r="H743" s="48"/>
      <c r="J743" s="26" t="str">
        <f t="shared" si="133"/>
        <v/>
      </c>
      <c r="N743" t="str">
        <f t="shared" si="136"/>
        <v/>
      </c>
      <c r="Q743" t="str">
        <f t="shared" si="135"/>
        <v/>
      </c>
      <c r="S743" t="str">
        <f>IF(A743=1,MAX($S$2:$S742)+1,IF(OR($I743&lt;&gt;"",A743="x"),$S742,""))</f>
        <v/>
      </c>
      <c r="T743" t="str">
        <f>IF(D743=1,MAX($T$2:$T742)+1,IF(S743=S742,$T742,IF(D743="x",T742,IF(D742="x","",""))))</f>
        <v/>
      </c>
      <c r="U743" t="str">
        <f>IF(B743=1,MAX($U$2:$U742)+1,IF(AND($T743&lt;&gt;"",$T743=$T742),$U742,IF(B743="x",U742,"")))</f>
        <v/>
      </c>
      <c r="V743" t="str">
        <f>IF(C743=1,MAX($V$2:$V742)+1,IF(AND($T743&lt;&gt;"",$T743=$T742),$U742,IF(C743="x",V742,"")))</f>
        <v/>
      </c>
      <c r="X743" cm="1">
        <f t="array" ref="X743">IF($I743&lt;&gt;"",$I743,INDEX($I$1:$I743,ROW()-COUNTIFS($T$1:$T743,"="&amp;$T743,$S$1:$S743,"&lt;"&amp;$S743)))</f>
        <v>0</v>
      </c>
      <c r="Z743" s="6">
        <f t="shared" si="129"/>
        <v>1</v>
      </c>
      <c r="AA743" t="e">
        <f t="shared" si="130"/>
        <v>#VALUE!</v>
      </c>
      <c r="AB743" t="str">
        <f t="shared" si="131"/>
        <v/>
      </c>
      <c r="AC743" t="e">
        <f t="shared" si="132"/>
        <v>#VALUE!</v>
      </c>
      <c r="AI743" t="e">
        <f t="shared" si="134"/>
        <v>#VALUE!</v>
      </c>
      <c r="BI743" s="40"/>
      <c r="BL743" s="40"/>
      <c r="BN743" s="19"/>
      <c r="BP743" s="17"/>
    </row>
    <row r="744" spans="1:68" x14ac:dyDescent="0.2">
      <c r="A744" t="str">
        <f t="shared" si="128"/>
        <v/>
      </c>
      <c r="E744" s="4"/>
      <c r="F744" s="46"/>
      <c r="G744" s="4"/>
      <c r="H744" s="48"/>
      <c r="J744" s="26" t="str">
        <f t="shared" si="133"/>
        <v/>
      </c>
      <c r="N744" t="str">
        <f t="shared" si="136"/>
        <v/>
      </c>
      <c r="Q744" t="str">
        <f t="shared" si="135"/>
        <v/>
      </c>
      <c r="S744" t="str">
        <f>IF(A744=1,MAX($S$2:$S743)+1,IF(OR($I744&lt;&gt;"",A744="x"),$S743,""))</f>
        <v/>
      </c>
      <c r="T744" t="str">
        <f>IF(D744=1,MAX($T$2:$T743)+1,IF(S744=S743,$T743,IF(D744="x",T743,IF(D743="x","",""))))</f>
        <v/>
      </c>
      <c r="U744" t="str">
        <f>IF(B744=1,MAX($U$2:$U743)+1,IF(AND($T744&lt;&gt;"",$T744=$T743),$U743,IF(B744="x",U743,"")))</f>
        <v/>
      </c>
      <c r="V744" t="str">
        <f>IF(C744=1,MAX($V$2:$V743)+1,IF(AND($T744&lt;&gt;"",$T744=$T743),$U743,IF(C744="x",V743,"")))</f>
        <v/>
      </c>
      <c r="X744" cm="1">
        <f t="array" ref="X744">IF($I744&lt;&gt;"",$I744,INDEX($I$1:$I744,ROW()-COUNTIFS($T$1:$T744,"="&amp;$T744,$S$1:$S744,"&lt;"&amp;$S744)))</f>
        <v>0</v>
      </c>
      <c r="Z744" s="6">
        <f t="shared" si="129"/>
        <v>1</v>
      </c>
      <c r="AA744" t="e">
        <f t="shared" si="130"/>
        <v>#VALUE!</v>
      </c>
      <c r="AB744" t="str">
        <f t="shared" si="131"/>
        <v/>
      </c>
      <c r="AC744" t="e">
        <f t="shared" si="132"/>
        <v>#VALUE!</v>
      </c>
      <c r="AI744" t="e">
        <f t="shared" si="134"/>
        <v>#VALUE!</v>
      </c>
      <c r="BI744" s="40"/>
      <c r="BL744" s="40"/>
      <c r="BN744" s="19"/>
      <c r="BP744" s="17"/>
    </row>
    <row r="745" spans="1:68" x14ac:dyDescent="0.2">
      <c r="A745" t="str">
        <f t="shared" si="128"/>
        <v/>
      </c>
      <c r="E745" s="4"/>
      <c r="F745" s="46"/>
      <c r="G745" s="4"/>
      <c r="H745" s="48"/>
      <c r="J745" s="26" t="str">
        <f t="shared" si="133"/>
        <v/>
      </c>
      <c r="N745" t="str">
        <f t="shared" si="136"/>
        <v/>
      </c>
      <c r="Q745" t="str">
        <f t="shared" si="135"/>
        <v/>
      </c>
      <c r="S745" t="str">
        <f>IF(A745=1,MAX($S$2:$S744)+1,IF(OR($I745&lt;&gt;"",A745="x"),$S744,""))</f>
        <v/>
      </c>
      <c r="T745" t="str">
        <f>IF(D745=1,MAX($T$2:$T744)+1,IF(S745=S744,$T744,IF(D745="x",T744,IF(D744="x","",""))))</f>
        <v/>
      </c>
      <c r="U745" t="str">
        <f>IF(B745=1,MAX($U$2:$U744)+1,IF(AND($T745&lt;&gt;"",$T745=$T744),$U744,IF(B745="x",U744,"")))</f>
        <v/>
      </c>
      <c r="V745" t="str">
        <f>IF(C745=1,MAX($V$2:$V744)+1,IF(AND($T745&lt;&gt;"",$T745=$T744),$U744,IF(C745="x",V744,"")))</f>
        <v/>
      </c>
      <c r="X745" cm="1">
        <f t="array" ref="X745">IF($I745&lt;&gt;"",$I745,INDEX($I$1:$I745,ROW()-COUNTIFS($T$1:$T745,"="&amp;$T745,$S$1:$S745,"&lt;"&amp;$S745)))</f>
        <v>0</v>
      </c>
      <c r="Z745" s="6">
        <f t="shared" si="129"/>
        <v>1</v>
      </c>
      <c r="AA745" t="e">
        <f t="shared" si="130"/>
        <v>#VALUE!</v>
      </c>
      <c r="AB745" t="str">
        <f t="shared" si="131"/>
        <v/>
      </c>
      <c r="AC745" t="e">
        <f t="shared" si="132"/>
        <v>#VALUE!</v>
      </c>
      <c r="AI745" t="e">
        <f t="shared" si="134"/>
        <v>#VALUE!</v>
      </c>
      <c r="BI745" s="40"/>
      <c r="BL745" s="40"/>
      <c r="BN745" s="19"/>
      <c r="BP745" s="17"/>
    </row>
    <row r="746" spans="1:68" x14ac:dyDescent="0.2">
      <c r="A746" t="str">
        <f t="shared" si="128"/>
        <v/>
      </c>
      <c r="E746" s="4"/>
      <c r="F746" s="46"/>
      <c r="G746" s="4"/>
      <c r="H746" s="48"/>
      <c r="J746" s="26" t="str">
        <f t="shared" si="133"/>
        <v/>
      </c>
      <c r="N746" t="str">
        <f t="shared" si="136"/>
        <v/>
      </c>
      <c r="Q746" t="str">
        <f t="shared" si="135"/>
        <v/>
      </c>
      <c r="S746" t="str">
        <f>IF(A746=1,MAX($S$2:$S745)+1,IF(OR($I746&lt;&gt;"",A746="x"),$S745,""))</f>
        <v/>
      </c>
      <c r="T746" t="str">
        <f>IF(D746=1,MAX($T$2:$T745)+1,IF(S746=S745,$T745,IF(D746="x",T745,IF(D745="x","",""))))</f>
        <v/>
      </c>
      <c r="U746" t="str">
        <f>IF(B746=1,MAX($U$2:$U745)+1,IF(AND($T746&lt;&gt;"",$T746=$T745),$U745,IF(B746="x",U745,"")))</f>
        <v/>
      </c>
      <c r="V746" t="str">
        <f>IF(C746=1,MAX($V$2:$V745)+1,IF(AND($T746&lt;&gt;"",$T746=$T745),$U745,IF(C746="x",V745,"")))</f>
        <v/>
      </c>
      <c r="X746" cm="1">
        <f t="array" ref="X746">IF($I746&lt;&gt;"",$I746,INDEX($I$1:$I746,ROW()-COUNTIFS($T$1:$T746,"="&amp;$T746,$S$1:$S746,"&lt;"&amp;$S746)))</f>
        <v>0</v>
      </c>
      <c r="Z746" s="6">
        <f t="shared" si="129"/>
        <v>1</v>
      </c>
      <c r="AA746" t="e">
        <f t="shared" si="130"/>
        <v>#VALUE!</v>
      </c>
      <c r="AB746" t="str">
        <f t="shared" si="131"/>
        <v/>
      </c>
      <c r="AC746" t="e">
        <f t="shared" si="132"/>
        <v>#VALUE!</v>
      </c>
      <c r="AI746" t="e">
        <f t="shared" si="134"/>
        <v>#VALUE!</v>
      </c>
      <c r="BI746" s="40"/>
      <c r="BL746" s="40"/>
      <c r="BN746" s="19"/>
      <c r="BP746" s="17"/>
    </row>
    <row r="747" spans="1:68" x14ac:dyDescent="0.2">
      <c r="A747" t="str">
        <f t="shared" si="128"/>
        <v/>
      </c>
      <c r="E747" s="4"/>
      <c r="F747" s="46"/>
      <c r="G747" s="4"/>
      <c r="H747" s="48"/>
      <c r="J747" s="26" t="str">
        <f t="shared" si="133"/>
        <v/>
      </c>
      <c r="N747" t="str">
        <f t="shared" si="136"/>
        <v/>
      </c>
      <c r="Q747" t="str">
        <f t="shared" si="135"/>
        <v/>
      </c>
      <c r="S747" t="str">
        <f>IF(A747=1,MAX($S$2:$S746)+1,IF(OR($I747&lt;&gt;"",A747="x"),$S746,""))</f>
        <v/>
      </c>
      <c r="T747" t="str">
        <f>IF(D747=1,MAX($T$2:$T746)+1,IF(S747=S746,$T746,IF(D747="x",T746,IF(D746="x","",""))))</f>
        <v/>
      </c>
      <c r="U747" t="str">
        <f>IF(B747=1,MAX($U$2:$U746)+1,IF(AND($T747&lt;&gt;"",$T747=$T746),$U746,IF(B747="x",U746,"")))</f>
        <v/>
      </c>
      <c r="V747" t="str">
        <f>IF(C747=1,MAX($V$2:$V746)+1,IF(AND($T747&lt;&gt;"",$T747=$T746),$U746,IF(C747="x",V746,"")))</f>
        <v/>
      </c>
      <c r="X747" cm="1">
        <f t="array" ref="X747">IF($I747&lt;&gt;"",$I747,INDEX($I$1:$I747,ROW()-COUNTIFS($T$1:$T747,"="&amp;$T747,$S$1:$S747,"&lt;"&amp;$S747)))</f>
        <v>0</v>
      </c>
      <c r="Z747" s="6">
        <f t="shared" si="129"/>
        <v>1</v>
      </c>
      <c r="AA747" t="e">
        <f t="shared" si="130"/>
        <v>#VALUE!</v>
      </c>
      <c r="AB747" t="str">
        <f t="shared" si="131"/>
        <v/>
      </c>
      <c r="AC747" t="e">
        <f t="shared" si="132"/>
        <v>#VALUE!</v>
      </c>
      <c r="AI747" t="e">
        <f t="shared" si="134"/>
        <v>#VALUE!</v>
      </c>
      <c r="BI747" s="40"/>
      <c r="BL747" s="40"/>
      <c r="BN747" s="19"/>
      <c r="BP747" s="17"/>
    </row>
    <row r="748" spans="1:68" x14ac:dyDescent="0.2">
      <c r="A748" t="str">
        <f t="shared" si="128"/>
        <v/>
      </c>
      <c r="E748" s="4"/>
      <c r="F748" s="46"/>
      <c r="G748" s="4"/>
      <c r="H748" s="48"/>
      <c r="J748" s="26" t="str">
        <f t="shared" si="133"/>
        <v/>
      </c>
      <c r="N748" t="str">
        <f t="shared" si="136"/>
        <v/>
      </c>
      <c r="Q748" t="str">
        <f t="shared" si="135"/>
        <v/>
      </c>
      <c r="S748" t="str">
        <f>IF(A748=1,MAX($S$2:$S747)+1,IF(OR($I748&lt;&gt;"",A748="x"),$S747,""))</f>
        <v/>
      </c>
      <c r="T748" t="str">
        <f>IF(D748=1,MAX($T$2:$T747)+1,IF(S748=S747,$T747,IF(D748="x",T747,IF(D747="x","",""))))</f>
        <v/>
      </c>
      <c r="U748" t="str">
        <f>IF(B748=1,MAX($U$2:$U747)+1,IF(AND($T748&lt;&gt;"",$T748=$T747),$U747,IF(B748="x",U747,"")))</f>
        <v/>
      </c>
      <c r="V748" t="str">
        <f>IF(C748=1,MAX($V$2:$V747)+1,IF(AND($T748&lt;&gt;"",$T748=$T747),$U747,IF(C748="x",V747,"")))</f>
        <v/>
      </c>
      <c r="X748" cm="1">
        <f t="array" ref="X748">IF($I748&lt;&gt;"",$I748,INDEX($I$1:$I748,ROW()-COUNTIFS($T$1:$T748,"="&amp;$T748,$S$1:$S748,"&lt;"&amp;$S748)))</f>
        <v>0</v>
      </c>
      <c r="Z748" s="6">
        <f t="shared" si="129"/>
        <v>1</v>
      </c>
      <c r="AA748" t="e">
        <f t="shared" si="130"/>
        <v>#VALUE!</v>
      </c>
      <c r="AB748" t="str">
        <f t="shared" si="131"/>
        <v/>
      </c>
      <c r="AC748" t="e">
        <f t="shared" si="132"/>
        <v>#VALUE!</v>
      </c>
      <c r="AI748" t="e">
        <f t="shared" si="134"/>
        <v>#VALUE!</v>
      </c>
      <c r="BI748" s="40"/>
      <c r="BL748" s="40"/>
      <c r="BN748" s="19"/>
      <c r="BP748" s="17"/>
    </row>
    <row r="749" spans="1:68" x14ac:dyDescent="0.2">
      <c r="A749" t="str">
        <f t="shared" si="128"/>
        <v/>
      </c>
      <c r="E749" s="4"/>
      <c r="F749" s="46"/>
      <c r="G749" s="4"/>
      <c r="H749" s="48"/>
      <c r="J749" s="26" t="str">
        <f t="shared" si="133"/>
        <v/>
      </c>
      <c r="N749" t="str">
        <f t="shared" si="136"/>
        <v/>
      </c>
      <c r="Q749" t="str">
        <f t="shared" si="135"/>
        <v/>
      </c>
      <c r="S749" t="str">
        <f>IF(A749=1,MAX($S$2:$S748)+1,IF(OR($I749&lt;&gt;"",A749="x"),$S748,""))</f>
        <v/>
      </c>
      <c r="T749" t="str">
        <f>IF(D749=1,MAX($T$2:$T748)+1,IF(S749=S748,$T748,IF(D749="x",T748,IF(D748="x","",""))))</f>
        <v/>
      </c>
      <c r="U749" t="str">
        <f>IF(B749=1,MAX($U$2:$U748)+1,IF(AND($T749&lt;&gt;"",$T749=$T748),$U748,IF(B749="x",U748,"")))</f>
        <v/>
      </c>
      <c r="V749" t="str">
        <f>IF(C749=1,MAX($V$2:$V748)+1,IF(AND($T749&lt;&gt;"",$T749=$T748),$U748,IF(C749="x",V748,"")))</f>
        <v/>
      </c>
      <c r="X749" cm="1">
        <f t="array" ref="X749">IF($I749&lt;&gt;"",$I749,INDEX($I$1:$I749,ROW()-COUNTIFS($T$1:$T749,"="&amp;$T749,$S$1:$S749,"&lt;"&amp;$S749)))</f>
        <v>0</v>
      </c>
      <c r="Z749" s="6">
        <f t="shared" si="129"/>
        <v>1</v>
      </c>
      <c r="AA749" t="e">
        <f t="shared" si="130"/>
        <v>#VALUE!</v>
      </c>
      <c r="AB749" t="str">
        <f t="shared" si="131"/>
        <v/>
      </c>
      <c r="AC749" t="e">
        <f t="shared" si="132"/>
        <v>#VALUE!</v>
      </c>
      <c r="AI749" t="e">
        <f t="shared" si="134"/>
        <v>#VALUE!</v>
      </c>
      <c r="BI749" s="40"/>
      <c r="BL749" s="40"/>
      <c r="BN749" s="19"/>
      <c r="BP749" s="17"/>
    </row>
    <row r="750" spans="1:68" x14ac:dyDescent="0.2">
      <c r="A750" t="str">
        <f t="shared" si="128"/>
        <v/>
      </c>
      <c r="E750" s="4"/>
      <c r="F750" s="46"/>
      <c r="G750" s="4"/>
      <c r="H750" s="48"/>
      <c r="J750" s="26" t="str">
        <f t="shared" si="133"/>
        <v/>
      </c>
      <c r="N750" t="str">
        <f t="shared" si="136"/>
        <v/>
      </c>
      <c r="Q750" t="str">
        <f t="shared" si="135"/>
        <v/>
      </c>
      <c r="S750" t="str">
        <f>IF(A750=1,MAX($S$2:$S749)+1,IF(OR($I750&lt;&gt;"",A750="x"),$S749,""))</f>
        <v/>
      </c>
      <c r="T750" t="str">
        <f>IF(D750=1,MAX($T$2:$T749)+1,IF(S750=S749,$T749,IF(D750="x",T749,IF(D749="x","",""))))</f>
        <v/>
      </c>
      <c r="U750" t="str">
        <f>IF(B750=1,MAX($U$2:$U749)+1,IF(AND($T750&lt;&gt;"",$T750=$T749),$U749,IF(B750="x",U749,"")))</f>
        <v/>
      </c>
      <c r="V750" t="str">
        <f>IF(C750=1,MAX($V$2:$V749)+1,IF(AND($T750&lt;&gt;"",$T750=$T749),$U749,IF(C750="x",V749,"")))</f>
        <v/>
      </c>
      <c r="X750" cm="1">
        <f t="array" ref="X750">IF($I750&lt;&gt;"",$I750,INDEX($I$1:$I750,ROW()-COUNTIFS($T$1:$T750,"="&amp;$T750,$S$1:$S750,"&lt;"&amp;$S750)))</f>
        <v>0</v>
      </c>
      <c r="Z750" s="6">
        <f t="shared" si="129"/>
        <v>1</v>
      </c>
      <c r="AA750" t="e">
        <f t="shared" si="130"/>
        <v>#VALUE!</v>
      </c>
      <c r="AB750" t="str">
        <f t="shared" si="131"/>
        <v/>
      </c>
      <c r="AC750" t="e">
        <f t="shared" si="132"/>
        <v>#VALUE!</v>
      </c>
      <c r="AI750" t="e">
        <f t="shared" si="134"/>
        <v>#VALUE!</v>
      </c>
      <c r="BI750" s="40"/>
      <c r="BL750" s="40"/>
      <c r="BN750" s="19"/>
      <c r="BP750" s="17"/>
    </row>
    <row r="751" spans="1:68" x14ac:dyDescent="0.2">
      <c r="A751" t="str">
        <f t="shared" si="128"/>
        <v/>
      </c>
      <c r="E751" s="4"/>
      <c r="F751" s="46"/>
      <c r="G751" s="4"/>
      <c r="H751" s="48"/>
      <c r="J751" s="26" t="str">
        <f t="shared" si="133"/>
        <v/>
      </c>
      <c r="N751" t="str">
        <f t="shared" si="136"/>
        <v/>
      </c>
      <c r="Q751" t="str">
        <f t="shared" si="135"/>
        <v/>
      </c>
      <c r="S751" t="str">
        <f>IF(A751=1,MAX($S$2:$S750)+1,IF(OR($I751&lt;&gt;"",A751="x"),$S750,""))</f>
        <v/>
      </c>
      <c r="T751" t="str">
        <f>IF(D751=1,MAX($T$2:$T750)+1,IF(S751=S750,$T750,IF(D751="x",T750,IF(D750="x","",""))))</f>
        <v/>
      </c>
      <c r="U751" t="str">
        <f>IF(B751=1,MAX($U$2:$U750)+1,IF(AND($T751&lt;&gt;"",$T751=$T750),$U750,IF(B751="x",U750,"")))</f>
        <v/>
      </c>
      <c r="V751" t="str">
        <f>IF(C751=1,MAX($V$2:$V750)+1,IF(AND($T751&lt;&gt;"",$T751=$T750),$U750,IF(C751="x",V750,"")))</f>
        <v/>
      </c>
      <c r="X751" cm="1">
        <f t="array" ref="X751">IF($I751&lt;&gt;"",$I751,INDEX($I$1:$I751,ROW()-COUNTIFS($T$1:$T751,"="&amp;$T751,$S$1:$S751,"&lt;"&amp;$S751)))</f>
        <v>0</v>
      </c>
      <c r="Z751" s="6">
        <f t="shared" si="129"/>
        <v>1</v>
      </c>
      <c r="AA751" t="e">
        <f t="shared" si="130"/>
        <v>#VALUE!</v>
      </c>
      <c r="AB751" t="str">
        <f t="shared" si="131"/>
        <v/>
      </c>
      <c r="AC751" t="e">
        <f t="shared" si="132"/>
        <v>#VALUE!</v>
      </c>
      <c r="AI751" t="e">
        <f t="shared" si="134"/>
        <v>#VALUE!</v>
      </c>
      <c r="BI751" s="40"/>
      <c r="BL751" s="40"/>
      <c r="BN751" s="19"/>
      <c r="BP751" s="17"/>
    </row>
    <row r="752" spans="1:68" x14ac:dyDescent="0.2">
      <c r="A752" t="str">
        <f t="shared" si="128"/>
        <v/>
      </c>
      <c r="E752" s="4"/>
      <c r="F752" s="46"/>
      <c r="G752" s="4"/>
      <c r="H752" s="48"/>
      <c r="J752" s="26" t="str">
        <f t="shared" si="133"/>
        <v/>
      </c>
      <c r="N752" t="str">
        <f t="shared" si="136"/>
        <v/>
      </c>
      <c r="Q752" t="str">
        <f t="shared" si="135"/>
        <v/>
      </c>
      <c r="S752" t="str">
        <f>IF(A752=1,MAX($S$2:$S751)+1,IF(OR($I752&lt;&gt;"",A752="x"),$S751,""))</f>
        <v/>
      </c>
      <c r="T752" t="str">
        <f>IF(D752=1,MAX($T$2:$T751)+1,IF(S752=S751,$T751,IF(D752="x",T751,IF(D751="x","",""))))</f>
        <v/>
      </c>
      <c r="U752" t="str">
        <f>IF(B752=1,MAX($U$2:$U751)+1,IF(AND($T752&lt;&gt;"",$T752=$T751),$U751,IF(B752="x",U751,"")))</f>
        <v/>
      </c>
      <c r="V752" t="str">
        <f>IF(C752=1,MAX($V$2:$V751)+1,IF(AND($T752&lt;&gt;"",$T752=$T751),$U751,IF(C752="x",V751,"")))</f>
        <v/>
      </c>
      <c r="X752" cm="1">
        <f t="array" ref="X752">IF($I752&lt;&gt;"",$I752,INDEX($I$1:$I752,ROW()-COUNTIFS($T$1:$T752,"="&amp;$T752,$S$1:$S752,"&lt;"&amp;$S752)))</f>
        <v>0</v>
      </c>
      <c r="Z752" s="6">
        <f t="shared" si="129"/>
        <v>1</v>
      </c>
      <c r="AA752" t="e">
        <f t="shared" si="130"/>
        <v>#VALUE!</v>
      </c>
      <c r="AB752" t="str">
        <f t="shared" si="131"/>
        <v/>
      </c>
      <c r="AC752" t="e">
        <f t="shared" si="132"/>
        <v>#VALUE!</v>
      </c>
      <c r="AI752" t="e">
        <f t="shared" si="134"/>
        <v>#VALUE!</v>
      </c>
      <c r="BI752" s="40"/>
      <c r="BL752" s="40"/>
      <c r="BN752" s="19"/>
      <c r="BP752" s="17"/>
    </row>
    <row r="753" spans="1:68" x14ac:dyDescent="0.2">
      <c r="A753" t="str">
        <f t="shared" si="128"/>
        <v/>
      </c>
      <c r="E753" s="4"/>
      <c r="F753" s="46"/>
      <c r="G753" s="4"/>
      <c r="H753" s="48"/>
      <c r="J753" s="26" t="str">
        <f t="shared" si="133"/>
        <v/>
      </c>
      <c r="N753" t="str">
        <f t="shared" si="136"/>
        <v/>
      </c>
      <c r="Q753" t="str">
        <f t="shared" si="135"/>
        <v/>
      </c>
      <c r="S753" t="str">
        <f>IF(A753=1,MAX($S$2:$S752)+1,IF(OR($I753&lt;&gt;"",A753="x"),$S752,""))</f>
        <v/>
      </c>
      <c r="T753" t="str">
        <f>IF(D753=1,MAX($T$2:$T752)+1,IF(S753=S752,$T752,IF(D753="x",T752,IF(D752="x","",""))))</f>
        <v/>
      </c>
      <c r="U753" t="str">
        <f>IF(B753=1,MAX($U$2:$U752)+1,IF(AND($T753&lt;&gt;"",$T753=$T752),$U752,IF(B753="x",U752,"")))</f>
        <v/>
      </c>
      <c r="V753" t="str">
        <f>IF(C753=1,MAX($V$2:$V752)+1,IF(AND($T753&lt;&gt;"",$T753=$T752),$U752,IF(C753="x",V752,"")))</f>
        <v/>
      </c>
      <c r="X753" cm="1">
        <f t="array" ref="X753">IF($I753&lt;&gt;"",$I753,INDEX($I$1:$I753,ROW()-COUNTIFS($T$1:$T753,"="&amp;$T753,$S$1:$S753,"&lt;"&amp;$S753)))</f>
        <v>0</v>
      </c>
      <c r="Z753" s="6">
        <f t="shared" si="129"/>
        <v>1</v>
      </c>
      <c r="AA753" t="e">
        <f t="shared" si="130"/>
        <v>#VALUE!</v>
      </c>
      <c r="AB753" t="str">
        <f t="shared" si="131"/>
        <v/>
      </c>
      <c r="AC753" t="e">
        <f t="shared" si="132"/>
        <v>#VALUE!</v>
      </c>
      <c r="AI753" t="e">
        <f t="shared" si="134"/>
        <v>#VALUE!</v>
      </c>
      <c r="BI753" s="40"/>
      <c r="BL753" s="40"/>
      <c r="BN753" s="19"/>
      <c r="BP753" s="17"/>
    </row>
    <row r="754" spans="1:68" x14ac:dyDescent="0.2">
      <c r="A754" t="str">
        <f t="shared" si="128"/>
        <v/>
      </c>
      <c r="E754" s="4"/>
      <c r="F754" s="46"/>
      <c r="G754" s="4"/>
      <c r="H754" s="48"/>
      <c r="J754" s="26" t="str">
        <f t="shared" si="133"/>
        <v/>
      </c>
      <c r="N754" t="str">
        <f t="shared" si="136"/>
        <v/>
      </c>
      <c r="Q754" t="str">
        <f t="shared" si="135"/>
        <v/>
      </c>
      <c r="S754" t="str">
        <f>IF(A754=1,MAX($S$2:$S753)+1,IF(OR($I754&lt;&gt;"",A754="x"),$S753,""))</f>
        <v/>
      </c>
      <c r="T754" t="str">
        <f>IF(D754=1,MAX($T$2:$T753)+1,IF(S754=S753,$T753,IF(D754="x",T753,IF(D753="x","",""))))</f>
        <v/>
      </c>
      <c r="U754" t="str">
        <f>IF(B754=1,MAX($U$2:$U753)+1,IF(AND($T754&lt;&gt;"",$T754=$T753),$U753,IF(B754="x",U753,"")))</f>
        <v/>
      </c>
      <c r="V754" t="str">
        <f>IF(C754=1,MAX($V$2:$V753)+1,IF(AND($T754&lt;&gt;"",$T754=$T753),$U753,IF(C754="x",V753,"")))</f>
        <v/>
      </c>
      <c r="X754" cm="1">
        <f t="array" ref="X754">IF($I754&lt;&gt;"",$I754,INDEX($I$1:$I754,ROW()-COUNTIFS($T$1:$T754,"="&amp;$T754,$S$1:$S754,"&lt;"&amp;$S754)))</f>
        <v>0</v>
      </c>
      <c r="Z754" s="6">
        <f t="shared" si="129"/>
        <v>1</v>
      </c>
      <c r="AA754" t="e">
        <f t="shared" si="130"/>
        <v>#VALUE!</v>
      </c>
      <c r="AB754" t="str">
        <f t="shared" si="131"/>
        <v/>
      </c>
      <c r="AC754" t="e">
        <f t="shared" si="132"/>
        <v>#VALUE!</v>
      </c>
      <c r="AI754" t="e">
        <f t="shared" si="134"/>
        <v>#VALUE!</v>
      </c>
      <c r="BI754" s="40"/>
      <c r="BL754" s="40"/>
      <c r="BN754" s="19"/>
      <c r="BP754" s="17"/>
    </row>
    <row r="755" spans="1:68" x14ac:dyDescent="0.2">
      <c r="A755" t="str">
        <f t="shared" si="128"/>
        <v/>
      </c>
      <c r="E755" s="4"/>
      <c r="F755" s="46"/>
      <c r="G755" s="4"/>
      <c r="H755" s="48"/>
      <c r="J755" s="26" t="str">
        <f t="shared" si="133"/>
        <v/>
      </c>
      <c r="N755" t="str">
        <f t="shared" si="136"/>
        <v/>
      </c>
      <c r="Q755" t="str">
        <f t="shared" si="135"/>
        <v/>
      </c>
      <c r="S755" t="str">
        <f>IF(A755=1,MAX($S$2:$S754)+1,IF(OR($I755&lt;&gt;"",A755="x"),$S754,""))</f>
        <v/>
      </c>
      <c r="T755" t="str">
        <f>IF(D755=1,MAX($T$2:$T754)+1,IF(S755=S754,$T754,IF(D755="x",T754,IF(D754="x","",""))))</f>
        <v/>
      </c>
      <c r="U755" t="str">
        <f>IF(B755=1,MAX($U$2:$U754)+1,IF(AND($T755&lt;&gt;"",$T755=$T754),$U754,IF(B755="x",U754,"")))</f>
        <v/>
      </c>
      <c r="V755" t="str">
        <f>IF(C755=1,MAX($V$2:$V754)+1,IF(AND($T755&lt;&gt;"",$T755=$T754),$U754,IF(C755="x",V754,"")))</f>
        <v/>
      </c>
      <c r="X755" cm="1">
        <f t="array" ref="X755">IF($I755&lt;&gt;"",$I755,INDEX($I$1:$I755,ROW()-COUNTIFS($T$1:$T755,"="&amp;$T755,$S$1:$S755,"&lt;"&amp;$S755)))</f>
        <v>0</v>
      </c>
      <c r="Z755" s="6">
        <f t="shared" si="129"/>
        <v>1</v>
      </c>
      <c r="AA755" t="e">
        <f t="shared" si="130"/>
        <v>#VALUE!</v>
      </c>
      <c r="AB755" t="str">
        <f t="shared" si="131"/>
        <v/>
      </c>
      <c r="AC755" t="e">
        <f t="shared" si="132"/>
        <v>#VALUE!</v>
      </c>
      <c r="AI755" t="e">
        <f t="shared" si="134"/>
        <v>#VALUE!</v>
      </c>
      <c r="BI755" s="40"/>
      <c r="BL755" s="40"/>
      <c r="BN755" s="19"/>
      <c r="BP755" s="17"/>
    </row>
    <row r="756" spans="1:68" x14ac:dyDescent="0.2">
      <c r="A756" t="str">
        <f t="shared" si="128"/>
        <v/>
      </c>
      <c r="E756" s="4"/>
      <c r="F756" s="46"/>
      <c r="G756" s="4"/>
      <c r="H756" s="48"/>
      <c r="J756" s="26" t="str">
        <f t="shared" si="133"/>
        <v/>
      </c>
      <c r="N756" t="str">
        <f t="shared" si="136"/>
        <v/>
      </c>
      <c r="Q756" t="str">
        <f t="shared" si="135"/>
        <v/>
      </c>
      <c r="S756" t="str">
        <f>IF(A756=1,MAX($S$2:$S755)+1,IF(OR($I756&lt;&gt;"",A756="x"),$S755,""))</f>
        <v/>
      </c>
      <c r="T756" t="str">
        <f>IF(D756=1,MAX($T$2:$T755)+1,IF(S756=S755,$T755,IF(D756="x",T755,IF(D755="x","",""))))</f>
        <v/>
      </c>
      <c r="U756" t="str">
        <f>IF(B756=1,MAX($U$2:$U755)+1,IF(AND($T756&lt;&gt;"",$T756=$T755),$U755,IF(B756="x",U755,"")))</f>
        <v/>
      </c>
      <c r="V756" t="str">
        <f>IF(C756=1,MAX($V$2:$V755)+1,IF(AND($T756&lt;&gt;"",$T756=$T755),$U755,IF(C756="x",V755,"")))</f>
        <v/>
      </c>
      <c r="X756" cm="1">
        <f t="array" ref="X756">IF($I756&lt;&gt;"",$I756,INDEX($I$1:$I756,ROW()-COUNTIFS($T$1:$T756,"="&amp;$T756,$S$1:$S756,"&lt;"&amp;$S756)))</f>
        <v>0</v>
      </c>
      <c r="Z756" s="6">
        <f t="shared" si="129"/>
        <v>1</v>
      </c>
      <c r="AA756" t="e">
        <f t="shared" si="130"/>
        <v>#VALUE!</v>
      </c>
      <c r="AB756" t="str">
        <f t="shared" si="131"/>
        <v/>
      </c>
      <c r="AC756" t="e">
        <f t="shared" si="132"/>
        <v>#VALUE!</v>
      </c>
      <c r="AI756" t="e">
        <f t="shared" si="134"/>
        <v>#VALUE!</v>
      </c>
      <c r="BI756" s="40"/>
      <c r="BL756" s="40"/>
      <c r="BN756" s="19"/>
      <c r="BP756" s="17"/>
    </row>
    <row r="757" spans="1:68" x14ac:dyDescent="0.2">
      <c r="A757" t="str">
        <f t="shared" si="128"/>
        <v/>
      </c>
      <c r="E757" s="4"/>
      <c r="F757" s="46"/>
      <c r="G757" s="4"/>
      <c r="H757" s="48"/>
      <c r="J757" s="26" t="str">
        <f t="shared" si="133"/>
        <v/>
      </c>
      <c r="N757" t="str">
        <f t="shared" si="136"/>
        <v/>
      </c>
      <c r="Q757" t="str">
        <f t="shared" si="135"/>
        <v/>
      </c>
      <c r="S757" t="str">
        <f>IF(A757=1,MAX($S$2:$S756)+1,IF(OR($I757&lt;&gt;"",A757="x"),$S756,""))</f>
        <v/>
      </c>
      <c r="T757" t="str">
        <f>IF(D757=1,MAX($T$2:$T756)+1,IF(S757=S756,$T756,IF(D757="x",T756,IF(D756="x","",""))))</f>
        <v/>
      </c>
      <c r="U757" t="str">
        <f>IF(B757=1,MAX($U$2:$U756)+1,IF(AND($T757&lt;&gt;"",$T757=$T756),$U756,IF(B757="x",U756,"")))</f>
        <v/>
      </c>
      <c r="V757" t="str">
        <f>IF(C757=1,MAX($V$2:$V756)+1,IF(AND($T757&lt;&gt;"",$T757=$T756),$U756,IF(C757="x",V756,"")))</f>
        <v/>
      </c>
      <c r="X757" cm="1">
        <f t="array" ref="X757">IF($I757&lt;&gt;"",$I757,INDEX($I$1:$I757,ROW()-COUNTIFS($T$1:$T757,"="&amp;$T757,$S$1:$S757,"&lt;"&amp;$S757)))</f>
        <v>0</v>
      </c>
      <c r="Z757" s="6">
        <f t="shared" si="129"/>
        <v>1</v>
      </c>
      <c r="AA757" t="e">
        <f t="shared" si="130"/>
        <v>#VALUE!</v>
      </c>
      <c r="AB757" t="str">
        <f t="shared" si="131"/>
        <v/>
      </c>
      <c r="AC757" t="e">
        <f t="shared" si="132"/>
        <v>#VALUE!</v>
      </c>
      <c r="AI757" t="e">
        <f t="shared" si="134"/>
        <v>#VALUE!</v>
      </c>
      <c r="BI757" s="40"/>
      <c r="BL757" s="40"/>
      <c r="BN757" s="19"/>
      <c r="BP757" s="17"/>
    </row>
    <row r="758" spans="1:68" x14ac:dyDescent="0.2">
      <c r="A758" t="str">
        <f t="shared" si="128"/>
        <v/>
      </c>
      <c r="E758" s="4"/>
      <c r="F758" s="46"/>
      <c r="G758" s="4"/>
      <c r="H758" s="48"/>
      <c r="J758" s="26" t="str">
        <f t="shared" si="133"/>
        <v/>
      </c>
      <c r="N758" t="str">
        <f t="shared" si="136"/>
        <v/>
      </c>
      <c r="Q758" t="str">
        <f t="shared" si="135"/>
        <v/>
      </c>
      <c r="S758" t="str">
        <f>IF(A758=1,MAX($S$2:$S757)+1,IF(OR($I758&lt;&gt;"",A758="x"),$S757,""))</f>
        <v/>
      </c>
      <c r="T758" t="str">
        <f>IF(D758=1,MAX($T$2:$T757)+1,IF(S758=S757,$T757,IF(D758="x",T757,IF(D757="x","",""))))</f>
        <v/>
      </c>
      <c r="U758" t="str">
        <f>IF(B758=1,MAX($U$2:$U757)+1,IF(AND($T758&lt;&gt;"",$T758=$T757),$U757,IF(B758="x",U757,"")))</f>
        <v/>
      </c>
      <c r="V758" t="str">
        <f>IF(C758=1,MAX($V$2:$V757)+1,IF(AND($T758&lt;&gt;"",$T758=$T757),$U757,IF(C758="x",V757,"")))</f>
        <v/>
      </c>
      <c r="X758" cm="1">
        <f t="array" ref="X758">IF($I758&lt;&gt;"",$I758,INDEX($I$1:$I758,ROW()-COUNTIFS($T$1:$T758,"="&amp;$T758,$S$1:$S758,"&lt;"&amp;$S758)))</f>
        <v>0</v>
      </c>
      <c r="Z758" s="6">
        <f t="shared" si="129"/>
        <v>1</v>
      </c>
      <c r="AA758" t="e">
        <f t="shared" si="130"/>
        <v>#VALUE!</v>
      </c>
      <c r="AB758" t="str">
        <f t="shared" si="131"/>
        <v/>
      </c>
      <c r="AC758" t="e">
        <f t="shared" si="132"/>
        <v>#VALUE!</v>
      </c>
      <c r="AI758" t="e">
        <f t="shared" si="134"/>
        <v>#VALUE!</v>
      </c>
      <c r="BI758" s="40"/>
      <c r="BL758" s="40"/>
      <c r="BN758" s="19"/>
      <c r="BP758" s="17"/>
    </row>
    <row r="759" spans="1:68" x14ac:dyDescent="0.2">
      <c r="A759" t="str">
        <f t="shared" si="128"/>
        <v/>
      </c>
      <c r="E759" s="4"/>
      <c r="F759" s="46"/>
      <c r="G759" s="4"/>
      <c r="H759" s="48"/>
      <c r="J759" s="26" t="str">
        <f t="shared" si="133"/>
        <v/>
      </c>
      <c r="N759" t="str">
        <f t="shared" si="136"/>
        <v/>
      </c>
      <c r="Q759" t="str">
        <f t="shared" si="135"/>
        <v/>
      </c>
      <c r="S759" t="str">
        <f>IF(A759=1,MAX($S$2:$S758)+1,IF(OR($I759&lt;&gt;"",A759="x"),$S758,""))</f>
        <v/>
      </c>
      <c r="T759" t="str">
        <f>IF(D759=1,MAX($T$2:$T758)+1,IF(S759=S758,$T758,IF(D759="x",T758,IF(D758="x","",""))))</f>
        <v/>
      </c>
      <c r="U759" t="str">
        <f>IF(B759=1,MAX($U$2:$U758)+1,IF(AND($T759&lt;&gt;"",$T759=$T758),$U758,IF(B759="x",U758,"")))</f>
        <v/>
      </c>
      <c r="V759" t="str">
        <f>IF(C759=1,MAX($V$2:$V758)+1,IF(AND($T759&lt;&gt;"",$T759=$T758),$U758,IF(C759="x",V758,"")))</f>
        <v/>
      </c>
      <c r="X759" cm="1">
        <f t="array" ref="X759">IF($I759&lt;&gt;"",$I759,INDEX($I$1:$I759,ROW()-COUNTIFS($T$1:$T759,"="&amp;$T759,$S$1:$S759,"&lt;"&amp;$S759)))</f>
        <v>0</v>
      </c>
      <c r="Z759" s="6">
        <f t="shared" si="129"/>
        <v>1</v>
      </c>
      <c r="AA759" t="e">
        <f t="shared" si="130"/>
        <v>#VALUE!</v>
      </c>
      <c r="AB759" t="str">
        <f t="shared" si="131"/>
        <v/>
      </c>
      <c r="AC759" t="e">
        <f t="shared" si="132"/>
        <v>#VALUE!</v>
      </c>
      <c r="AI759" t="e">
        <f t="shared" si="134"/>
        <v>#VALUE!</v>
      </c>
      <c r="BI759" s="40"/>
      <c r="BL759" s="40"/>
      <c r="BN759" s="19"/>
      <c r="BP759" s="17"/>
    </row>
    <row r="760" spans="1:68" x14ac:dyDescent="0.2">
      <c r="A760" t="str">
        <f t="shared" si="128"/>
        <v/>
      </c>
      <c r="E760" s="4"/>
      <c r="F760" s="46"/>
      <c r="G760" s="4"/>
      <c r="H760" s="48"/>
      <c r="J760" s="26" t="str">
        <f t="shared" si="133"/>
        <v/>
      </c>
      <c r="N760" t="str">
        <f t="shared" si="136"/>
        <v/>
      </c>
      <c r="Q760" t="str">
        <f t="shared" si="135"/>
        <v/>
      </c>
      <c r="S760" t="str">
        <f>IF(A760=1,MAX($S$2:$S759)+1,IF(OR($I760&lt;&gt;"",A760="x"),$S759,""))</f>
        <v/>
      </c>
      <c r="T760" t="str">
        <f>IF(D760=1,MAX($T$2:$T759)+1,IF(S760=S759,$T759,IF(D760="x",T759,IF(D759="x","",""))))</f>
        <v/>
      </c>
      <c r="U760" t="str">
        <f>IF(B760=1,MAX($U$2:$U759)+1,IF(AND($T760&lt;&gt;"",$T760=$T759),$U759,IF(B760="x",U759,"")))</f>
        <v/>
      </c>
      <c r="V760" t="str">
        <f>IF(C760=1,MAX($V$2:$V759)+1,IF(AND($T760&lt;&gt;"",$T760=$T759),$U759,IF(C760="x",V759,"")))</f>
        <v/>
      </c>
      <c r="X760" cm="1">
        <f t="array" ref="X760">IF($I760&lt;&gt;"",$I760,INDEX($I$1:$I760,ROW()-COUNTIFS($T$1:$T760,"="&amp;$T760,$S$1:$S760,"&lt;"&amp;$S760)))</f>
        <v>0</v>
      </c>
      <c r="Z760" s="6">
        <f t="shared" si="129"/>
        <v>1</v>
      </c>
      <c r="AA760" t="e">
        <f t="shared" si="130"/>
        <v>#VALUE!</v>
      </c>
      <c r="AB760" t="str">
        <f t="shared" si="131"/>
        <v/>
      </c>
      <c r="AC760" t="e">
        <f t="shared" si="132"/>
        <v>#VALUE!</v>
      </c>
      <c r="AI760" t="e">
        <f t="shared" si="134"/>
        <v>#VALUE!</v>
      </c>
      <c r="BI760" s="40"/>
      <c r="BL760" s="40"/>
      <c r="BN760" s="19"/>
      <c r="BP760" s="17"/>
    </row>
    <row r="761" spans="1:68" x14ac:dyDescent="0.2">
      <c r="A761" t="str">
        <f t="shared" si="128"/>
        <v/>
      </c>
      <c r="E761" s="4"/>
      <c r="F761" s="46"/>
      <c r="G761" s="4"/>
      <c r="H761" s="48"/>
      <c r="J761" s="26" t="str">
        <f t="shared" si="133"/>
        <v/>
      </c>
      <c r="N761" t="str">
        <f t="shared" si="136"/>
        <v/>
      </c>
      <c r="Q761" t="str">
        <f t="shared" si="135"/>
        <v/>
      </c>
      <c r="S761" t="str">
        <f>IF(A761=1,MAX($S$2:$S760)+1,IF(OR($I761&lt;&gt;"",A761="x"),$S760,""))</f>
        <v/>
      </c>
      <c r="T761" t="str">
        <f>IF(D761=1,MAX($T$2:$T760)+1,IF(S761=S760,$T760,IF(D761="x",T760,IF(D760="x","",""))))</f>
        <v/>
      </c>
      <c r="U761" t="str">
        <f>IF(B761=1,MAX($U$2:$U760)+1,IF(AND($T761&lt;&gt;"",$T761=$T760),$U760,IF(B761="x",U760,"")))</f>
        <v/>
      </c>
      <c r="V761" t="str">
        <f>IF(C761=1,MAX($V$2:$V760)+1,IF(AND($T761&lt;&gt;"",$T761=$T760),$U760,IF(C761="x",V760,"")))</f>
        <v/>
      </c>
      <c r="X761" cm="1">
        <f t="array" ref="X761">IF($I761&lt;&gt;"",$I761,INDEX($I$1:$I761,ROW()-COUNTIFS($T$1:$T761,"="&amp;$T761,$S$1:$S761,"&lt;"&amp;$S761)))</f>
        <v>0</v>
      </c>
      <c r="Z761" s="6">
        <f t="shared" si="129"/>
        <v>1</v>
      </c>
      <c r="AA761" t="e">
        <f t="shared" si="130"/>
        <v>#VALUE!</v>
      </c>
      <c r="AB761" t="str">
        <f t="shared" si="131"/>
        <v/>
      </c>
      <c r="AC761" t="e">
        <f t="shared" si="132"/>
        <v>#VALUE!</v>
      </c>
      <c r="AI761" t="e">
        <f t="shared" si="134"/>
        <v>#VALUE!</v>
      </c>
      <c r="BI761" s="40"/>
      <c r="BL761" s="40"/>
      <c r="BN761" s="19"/>
      <c r="BP761" s="17"/>
    </row>
    <row r="762" spans="1:68" x14ac:dyDescent="0.2">
      <c r="A762" t="str">
        <f t="shared" si="128"/>
        <v/>
      </c>
      <c r="E762" s="4"/>
      <c r="F762" s="46"/>
      <c r="G762" s="4"/>
      <c r="H762" s="48"/>
      <c r="J762" s="26" t="str">
        <f t="shared" si="133"/>
        <v/>
      </c>
      <c r="N762" t="str">
        <f t="shared" si="136"/>
        <v/>
      </c>
      <c r="Q762" t="str">
        <f t="shared" si="135"/>
        <v/>
      </c>
      <c r="S762" t="str">
        <f>IF(A762=1,MAX($S$2:$S761)+1,IF(OR($I762&lt;&gt;"",A762="x"),$S761,""))</f>
        <v/>
      </c>
      <c r="T762" t="str">
        <f>IF(D762=1,MAX($T$2:$T761)+1,IF(S762=S761,$T761,IF(D762="x",T761,IF(D761="x","",""))))</f>
        <v/>
      </c>
      <c r="U762" t="str">
        <f>IF(B762=1,MAX($U$2:$U761)+1,IF(AND($T762&lt;&gt;"",$T762=$T761),$U761,IF(B762="x",U761,"")))</f>
        <v/>
      </c>
      <c r="V762" t="str">
        <f>IF(C762=1,MAX($V$2:$V761)+1,IF(AND($T762&lt;&gt;"",$T762=$T761),$U761,IF(C762="x",V761,"")))</f>
        <v/>
      </c>
      <c r="X762" cm="1">
        <f t="array" ref="X762">IF($I762&lt;&gt;"",$I762,INDEX($I$1:$I762,ROW()-COUNTIFS($T$1:$T762,"="&amp;$T762,$S$1:$S762,"&lt;"&amp;$S762)))</f>
        <v>0</v>
      </c>
      <c r="Z762" s="6">
        <f t="shared" si="129"/>
        <v>1</v>
      </c>
      <c r="AA762" t="e">
        <f t="shared" si="130"/>
        <v>#VALUE!</v>
      </c>
      <c r="AB762" t="str">
        <f t="shared" si="131"/>
        <v/>
      </c>
      <c r="AC762" t="e">
        <f t="shared" si="132"/>
        <v>#VALUE!</v>
      </c>
      <c r="AI762" t="e">
        <f t="shared" si="134"/>
        <v>#VALUE!</v>
      </c>
      <c r="BI762" s="40"/>
      <c r="BL762" s="40"/>
      <c r="BN762" s="19"/>
      <c r="BP762" s="17"/>
    </row>
    <row r="763" spans="1:68" x14ac:dyDescent="0.2">
      <c r="A763" t="str">
        <f t="shared" si="128"/>
        <v/>
      </c>
      <c r="E763" s="4"/>
      <c r="F763" s="46"/>
      <c r="G763" s="4"/>
      <c r="H763" s="48"/>
      <c r="J763" s="26" t="str">
        <f t="shared" si="133"/>
        <v/>
      </c>
      <c r="N763" t="str">
        <f t="shared" si="136"/>
        <v/>
      </c>
      <c r="Q763" t="str">
        <f t="shared" si="135"/>
        <v/>
      </c>
      <c r="S763" t="str">
        <f>IF(A763=1,MAX($S$2:$S762)+1,IF(OR($I763&lt;&gt;"",A763="x"),$S762,""))</f>
        <v/>
      </c>
      <c r="T763" t="str">
        <f>IF(D763=1,MAX($T$2:$T762)+1,IF(S763=S762,$T762,IF(D763="x",T762,IF(D762="x","",""))))</f>
        <v/>
      </c>
      <c r="U763" t="str">
        <f>IF(B763=1,MAX($U$2:$U762)+1,IF(AND($T763&lt;&gt;"",$T763=$T762),$U762,IF(B763="x",U762,"")))</f>
        <v/>
      </c>
      <c r="V763" t="str">
        <f>IF(C763=1,MAX($V$2:$V762)+1,IF(AND($T763&lt;&gt;"",$T763=$T762),$U762,IF(C763="x",V762,"")))</f>
        <v/>
      </c>
      <c r="X763" cm="1">
        <f t="array" ref="X763">IF($I763&lt;&gt;"",$I763,INDEX($I$1:$I763,ROW()-COUNTIFS($T$1:$T763,"="&amp;$T763,$S$1:$S763,"&lt;"&amp;$S763)))</f>
        <v>0</v>
      </c>
      <c r="Z763" s="6">
        <f t="shared" si="129"/>
        <v>1</v>
      </c>
      <c r="AA763" t="e">
        <f t="shared" si="130"/>
        <v>#VALUE!</v>
      </c>
      <c r="AB763" t="str">
        <f t="shared" si="131"/>
        <v/>
      </c>
      <c r="AC763" t="e">
        <f t="shared" si="132"/>
        <v>#VALUE!</v>
      </c>
      <c r="AI763" t="e">
        <f t="shared" si="134"/>
        <v>#VALUE!</v>
      </c>
      <c r="BI763" s="40"/>
      <c r="BL763" s="40"/>
      <c r="BN763" s="19"/>
      <c r="BP763" s="17"/>
    </row>
    <row r="764" spans="1:68" x14ac:dyDescent="0.2">
      <c r="A764" t="str">
        <f t="shared" si="128"/>
        <v/>
      </c>
      <c r="E764" s="4"/>
      <c r="F764" s="46"/>
      <c r="G764" s="4"/>
      <c r="H764" s="48"/>
      <c r="J764" s="26" t="str">
        <f t="shared" si="133"/>
        <v/>
      </c>
      <c r="N764" t="str">
        <f t="shared" si="136"/>
        <v/>
      </c>
      <c r="Q764" t="str">
        <f t="shared" si="135"/>
        <v/>
      </c>
      <c r="S764" t="str">
        <f>IF(A764=1,MAX($S$2:$S763)+1,IF(OR($I764&lt;&gt;"",A764="x"),$S763,""))</f>
        <v/>
      </c>
      <c r="T764" t="str">
        <f>IF(D764=1,MAX($T$2:$T763)+1,IF(S764=S763,$T763,IF(D764="x",T763,IF(D763="x","",""))))</f>
        <v/>
      </c>
      <c r="U764" t="str">
        <f>IF(B764=1,MAX($U$2:$U763)+1,IF(AND($T764&lt;&gt;"",$T764=$T763),$U763,IF(B764="x",U763,"")))</f>
        <v/>
      </c>
      <c r="V764" t="str">
        <f>IF(C764=1,MAX($V$2:$V763)+1,IF(AND($T764&lt;&gt;"",$T764=$T763),$U763,IF(C764="x",V763,"")))</f>
        <v/>
      </c>
      <c r="X764" cm="1">
        <f t="array" ref="X764">IF($I764&lt;&gt;"",$I764,INDEX($I$1:$I764,ROW()-COUNTIFS($T$1:$T764,"="&amp;$T764,$S$1:$S764,"&lt;"&amp;$S764)))</f>
        <v>0</v>
      </c>
      <c r="Z764" s="6">
        <f t="shared" si="129"/>
        <v>1</v>
      </c>
      <c r="AA764" t="e">
        <f t="shared" si="130"/>
        <v>#VALUE!</v>
      </c>
      <c r="AB764" t="str">
        <f t="shared" si="131"/>
        <v/>
      </c>
      <c r="AC764" t="e">
        <f t="shared" si="132"/>
        <v>#VALUE!</v>
      </c>
      <c r="AI764" t="e">
        <f t="shared" si="134"/>
        <v>#VALUE!</v>
      </c>
      <c r="BI764" s="40"/>
      <c r="BL764" s="40"/>
      <c r="BN764" s="19"/>
      <c r="BP764" s="17"/>
    </row>
    <row r="765" spans="1:68" x14ac:dyDescent="0.2">
      <c r="A765" t="str">
        <f t="shared" si="128"/>
        <v/>
      </c>
      <c r="E765" s="4"/>
      <c r="F765" s="46"/>
      <c r="G765" s="4"/>
      <c r="H765" s="48"/>
      <c r="J765" s="26" t="str">
        <f t="shared" si="133"/>
        <v/>
      </c>
      <c r="N765" t="str">
        <f t="shared" si="136"/>
        <v/>
      </c>
      <c r="Q765" t="str">
        <f t="shared" si="135"/>
        <v/>
      </c>
      <c r="S765" t="str">
        <f>IF(A765=1,MAX($S$2:$S764)+1,IF(OR($I765&lt;&gt;"",A765="x"),$S764,""))</f>
        <v/>
      </c>
      <c r="T765" t="str">
        <f>IF(D765=1,MAX($T$2:$T764)+1,IF(S765=S764,$T764,IF(D765="x",T764,IF(D764="x","",""))))</f>
        <v/>
      </c>
      <c r="U765" t="str">
        <f>IF(B765=1,MAX($U$2:$U764)+1,IF(AND($T765&lt;&gt;"",$T765=$T764),$U764,IF(B765="x",U764,"")))</f>
        <v/>
      </c>
      <c r="V765" t="str">
        <f>IF(C765=1,MAX($V$2:$V764)+1,IF(AND($T765&lt;&gt;"",$T765=$T764),$U764,IF(C765="x",V764,"")))</f>
        <v/>
      </c>
      <c r="X765" cm="1">
        <f t="array" ref="X765">IF($I765&lt;&gt;"",$I765,INDEX($I$1:$I765,ROW()-COUNTIFS($T$1:$T765,"="&amp;$T765,$S$1:$S765,"&lt;"&amp;$S765)))</f>
        <v>0</v>
      </c>
      <c r="Z765" s="6">
        <f t="shared" si="129"/>
        <v>1</v>
      </c>
      <c r="AA765" t="e">
        <f t="shared" si="130"/>
        <v>#VALUE!</v>
      </c>
      <c r="AB765" t="str">
        <f t="shared" si="131"/>
        <v/>
      </c>
      <c r="AC765" t="e">
        <f t="shared" si="132"/>
        <v>#VALUE!</v>
      </c>
      <c r="AI765" t="e">
        <f t="shared" si="134"/>
        <v>#VALUE!</v>
      </c>
      <c r="BI765" s="40"/>
      <c r="BL765" s="40"/>
      <c r="BN765" s="19"/>
      <c r="BP765" s="17"/>
    </row>
    <row r="766" spans="1:68" x14ac:dyDescent="0.2">
      <c r="A766" t="str">
        <f t="shared" si="128"/>
        <v/>
      </c>
      <c r="E766" s="4"/>
      <c r="F766" s="46"/>
      <c r="G766" s="4"/>
      <c r="H766" s="48"/>
      <c r="J766" s="26" t="str">
        <f t="shared" si="133"/>
        <v/>
      </c>
      <c r="N766" t="str">
        <f t="shared" si="136"/>
        <v/>
      </c>
      <c r="Q766" t="str">
        <f t="shared" si="135"/>
        <v/>
      </c>
      <c r="S766" t="str">
        <f>IF(A766=1,MAX($S$2:$S765)+1,IF(OR($I766&lt;&gt;"",A766="x"),$S765,""))</f>
        <v/>
      </c>
      <c r="T766" t="str">
        <f>IF(D766=1,MAX($T$2:$T765)+1,IF(S766=S765,$T765,IF(D766="x",T765,IF(D765="x","",""))))</f>
        <v/>
      </c>
      <c r="U766" t="str">
        <f>IF(B766=1,MAX($U$2:$U765)+1,IF(AND($T766&lt;&gt;"",$T766=$T765),$U765,IF(B766="x",U765,"")))</f>
        <v/>
      </c>
      <c r="V766" t="str">
        <f>IF(C766=1,MAX($V$2:$V765)+1,IF(AND($T766&lt;&gt;"",$T766=$T765),$U765,IF(C766="x",V765,"")))</f>
        <v/>
      </c>
      <c r="X766" cm="1">
        <f t="array" ref="X766">IF($I766&lt;&gt;"",$I766,INDEX($I$1:$I766,ROW()-COUNTIFS($T$1:$T766,"="&amp;$T766,$S$1:$S766,"&lt;"&amp;$S766)))</f>
        <v>0</v>
      </c>
      <c r="Z766" s="6">
        <f t="shared" si="129"/>
        <v>1</v>
      </c>
      <c r="AA766" t="e">
        <f t="shared" si="130"/>
        <v>#VALUE!</v>
      </c>
      <c r="AB766" t="str">
        <f t="shared" si="131"/>
        <v/>
      </c>
      <c r="AC766" t="e">
        <f t="shared" si="132"/>
        <v>#VALUE!</v>
      </c>
      <c r="AI766" t="e">
        <f t="shared" si="134"/>
        <v>#VALUE!</v>
      </c>
      <c r="BI766" s="40"/>
      <c r="BL766" s="40"/>
      <c r="BN766" s="19"/>
      <c r="BP766" s="17"/>
    </row>
    <row r="767" spans="1:68" x14ac:dyDescent="0.2">
      <c r="A767" t="str">
        <f t="shared" si="128"/>
        <v/>
      </c>
      <c r="E767" s="4"/>
      <c r="F767" s="46"/>
      <c r="G767" s="4"/>
      <c r="H767" s="48"/>
      <c r="J767" s="26" t="str">
        <f t="shared" si="133"/>
        <v/>
      </c>
      <c r="N767" t="str">
        <f t="shared" si="136"/>
        <v/>
      </c>
      <c r="Q767" t="str">
        <f t="shared" si="135"/>
        <v/>
      </c>
      <c r="S767" t="str">
        <f>IF(A767=1,MAX($S$2:$S766)+1,IF(OR($I767&lt;&gt;"",A767="x"),$S766,""))</f>
        <v/>
      </c>
      <c r="T767" t="str">
        <f>IF(D767=1,MAX($T$2:$T766)+1,IF(S767=S766,$T766,IF(D767="x",T766,IF(D766="x","",""))))</f>
        <v/>
      </c>
      <c r="U767" t="str">
        <f>IF(B767=1,MAX($U$2:$U766)+1,IF(AND($T767&lt;&gt;"",$T767=$T766),$U766,IF(B767="x",U766,"")))</f>
        <v/>
      </c>
      <c r="V767" t="str">
        <f>IF(C767=1,MAX($V$2:$V766)+1,IF(AND($T767&lt;&gt;"",$T767=$T766),$U766,IF(C767="x",V766,"")))</f>
        <v/>
      </c>
      <c r="X767" cm="1">
        <f t="array" ref="X767">IF($I767&lt;&gt;"",$I767,INDEX($I$1:$I767,ROW()-COUNTIFS($T$1:$T767,"="&amp;$T767,$S$1:$S767,"&lt;"&amp;$S767)))</f>
        <v>0</v>
      </c>
      <c r="Z767" s="6">
        <f t="shared" si="129"/>
        <v>1</v>
      </c>
      <c r="AA767" t="e">
        <f t="shared" si="130"/>
        <v>#VALUE!</v>
      </c>
      <c r="AB767" t="str">
        <f t="shared" si="131"/>
        <v/>
      </c>
      <c r="AC767" t="e">
        <f t="shared" si="132"/>
        <v>#VALUE!</v>
      </c>
      <c r="AI767" t="e">
        <f t="shared" si="134"/>
        <v>#VALUE!</v>
      </c>
      <c r="BI767" s="40"/>
      <c r="BL767" s="40"/>
      <c r="BN767" s="19"/>
      <c r="BP767" s="17"/>
    </row>
    <row r="768" spans="1:68" x14ac:dyDescent="0.2">
      <c r="A768" t="str">
        <f t="shared" si="128"/>
        <v/>
      </c>
      <c r="E768" s="4"/>
      <c r="F768" s="46"/>
      <c r="G768" s="4"/>
      <c r="H768" s="48"/>
      <c r="J768" s="26" t="str">
        <f t="shared" si="133"/>
        <v/>
      </c>
      <c r="N768" t="str">
        <f t="shared" si="136"/>
        <v/>
      </c>
      <c r="Q768" t="str">
        <f t="shared" si="135"/>
        <v/>
      </c>
      <c r="S768" t="str">
        <f>IF(A768=1,MAX($S$2:$S767)+1,IF(OR($I768&lt;&gt;"",A768="x"),$S767,""))</f>
        <v/>
      </c>
      <c r="T768" t="str">
        <f>IF(D768=1,MAX($T$2:$T767)+1,IF(S768=S767,$T767,IF(D768="x",T767,IF(D767="x","",""))))</f>
        <v/>
      </c>
      <c r="U768" t="str">
        <f>IF(B768=1,MAX($U$2:$U767)+1,IF(AND($T768&lt;&gt;"",$T768=$T767),$U767,IF(B768="x",U767,"")))</f>
        <v/>
      </c>
      <c r="V768" t="str">
        <f>IF(C768=1,MAX($V$2:$V767)+1,IF(AND($T768&lt;&gt;"",$T768=$T767),$U767,IF(C768="x",V767,"")))</f>
        <v/>
      </c>
      <c r="X768" cm="1">
        <f t="array" ref="X768">IF($I768&lt;&gt;"",$I768,INDEX($I$1:$I768,ROW()-COUNTIFS($T$1:$T768,"="&amp;$T768,$S$1:$S768,"&lt;"&amp;$S768)))</f>
        <v>0</v>
      </c>
      <c r="Z768" s="6">
        <f t="shared" si="129"/>
        <v>1</v>
      </c>
      <c r="AA768" t="e">
        <f t="shared" si="130"/>
        <v>#VALUE!</v>
      </c>
      <c r="AB768" t="str">
        <f t="shared" si="131"/>
        <v/>
      </c>
      <c r="AC768" t="e">
        <f t="shared" si="132"/>
        <v>#VALUE!</v>
      </c>
      <c r="AI768" t="e">
        <f t="shared" si="134"/>
        <v>#VALUE!</v>
      </c>
      <c r="BI768" s="40"/>
      <c r="BL768" s="40"/>
      <c r="BN768" s="19"/>
      <c r="BP768" s="17"/>
    </row>
    <row r="769" spans="1:68" x14ac:dyDescent="0.2">
      <c r="A769" t="str">
        <f t="shared" si="128"/>
        <v/>
      </c>
      <c r="E769" s="4"/>
      <c r="F769" s="46"/>
      <c r="G769" s="4"/>
      <c r="H769" s="48"/>
      <c r="J769" s="26" t="str">
        <f t="shared" si="133"/>
        <v/>
      </c>
      <c r="N769" t="str">
        <f t="shared" si="136"/>
        <v/>
      </c>
      <c r="Q769" t="str">
        <f t="shared" si="135"/>
        <v/>
      </c>
      <c r="S769" t="str">
        <f>IF(A769=1,MAX($S$2:$S768)+1,IF(OR($I769&lt;&gt;"",A769="x"),$S768,""))</f>
        <v/>
      </c>
      <c r="T769" t="str">
        <f>IF(D769=1,MAX($T$2:$T768)+1,IF(S769=S768,$T768,IF(D769="x",T768,IF(D768="x","",""))))</f>
        <v/>
      </c>
      <c r="U769" t="str">
        <f>IF(B769=1,MAX($U$2:$U768)+1,IF(AND($T769&lt;&gt;"",$T769=$T768),$U768,IF(B769="x",U768,"")))</f>
        <v/>
      </c>
      <c r="V769" t="str">
        <f>IF(C769=1,MAX($V$2:$V768)+1,IF(AND($T769&lt;&gt;"",$T769=$T768),$U768,IF(C769="x",V768,"")))</f>
        <v/>
      </c>
      <c r="X769" cm="1">
        <f t="array" ref="X769">IF($I769&lt;&gt;"",$I769,INDEX($I$1:$I769,ROW()-COUNTIFS($T$1:$T769,"="&amp;$T769,$S$1:$S769,"&lt;"&amp;$S769)))</f>
        <v>0</v>
      </c>
      <c r="Z769" s="6">
        <f t="shared" si="129"/>
        <v>1</v>
      </c>
      <c r="AA769" t="e">
        <f t="shared" si="130"/>
        <v>#VALUE!</v>
      </c>
      <c r="AB769" t="str">
        <f t="shared" si="131"/>
        <v/>
      </c>
      <c r="AC769" t="e">
        <f t="shared" si="132"/>
        <v>#VALUE!</v>
      </c>
      <c r="AI769" t="e">
        <f t="shared" si="134"/>
        <v>#VALUE!</v>
      </c>
      <c r="BI769" s="40"/>
      <c r="BL769" s="40"/>
      <c r="BN769" s="19"/>
      <c r="BP769" s="17"/>
    </row>
    <row r="770" spans="1:68" x14ac:dyDescent="0.2">
      <c r="A770" t="str">
        <f t="shared" si="128"/>
        <v/>
      </c>
      <c r="E770" s="4"/>
      <c r="F770" s="46"/>
      <c r="G770" s="4"/>
      <c r="H770" s="48"/>
      <c r="J770" s="26" t="str">
        <f t="shared" si="133"/>
        <v/>
      </c>
      <c r="N770" t="str">
        <f t="shared" si="136"/>
        <v/>
      </c>
      <c r="Q770" t="str">
        <f t="shared" si="135"/>
        <v/>
      </c>
      <c r="S770" t="str">
        <f>IF(A770=1,MAX($S$2:$S769)+1,IF(OR($I770&lt;&gt;"",A770="x"),$S769,""))</f>
        <v/>
      </c>
      <c r="T770" t="str">
        <f>IF(D770=1,MAX($T$2:$T769)+1,IF(S770=S769,$T769,IF(D770="x",T769,IF(D769="x","",""))))</f>
        <v/>
      </c>
      <c r="U770" t="str">
        <f>IF(B770=1,MAX($U$2:$U769)+1,IF(AND($T770&lt;&gt;"",$T770=$T769),$U769,IF(B770="x",U769,"")))</f>
        <v/>
      </c>
      <c r="V770" t="str">
        <f>IF(C770=1,MAX($V$2:$V769)+1,IF(AND($T770&lt;&gt;"",$T770=$T769),$U769,IF(C770="x",V769,"")))</f>
        <v/>
      </c>
      <c r="X770" cm="1">
        <f t="array" ref="X770">IF($I770&lt;&gt;"",$I770,INDEX($I$1:$I770,ROW()-COUNTIFS($T$1:$T770,"="&amp;$T770,$S$1:$S770,"&lt;"&amp;$S770)))</f>
        <v>0</v>
      </c>
      <c r="Z770" s="6">
        <f t="shared" si="129"/>
        <v>1</v>
      </c>
      <c r="AA770" t="e">
        <f t="shared" si="130"/>
        <v>#VALUE!</v>
      </c>
      <c r="AB770" t="str">
        <f t="shared" si="131"/>
        <v/>
      </c>
      <c r="AC770" t="e">
        <f t="shared" si="132"/>
        <v>#VALUE!</v>
      </c>
      <c r="AI770" t="e">
        <f t="shared" si="134"/>
        <v>#VALUE!</v>
      </c>
      <c r="BI770" s="40"/>
      <c r="BL770" s="40"/>
      <c r="BN770" s="19"/>
      <c r="BP770" s="17"/>
    </row>
    <row r="771" spans="1:68" x14ac:dyDescent="0.2">
      <c r="A771" t="str">
        <f t="shared" si="128"/>
        <v/>
      </c>
      <c r="E771" s="4"/>
      <c r="F771" s="46"/>
      <c r="G771" s="4"/>
      <c r="H771" s="48"/>
      <c r="J771" s="26" t="str">
        <f t="shared" si="133"/>
        <v/>
      </c>
      <c r="N771" t="str">
        <f t="shared" si="136"/>
        <v/>
      </c>
      <c r="Q771" t="str">
        <f t="shared" si="135"/>
        <v/>
      </c>
      <c r="S771" t="str">
        <f>IF(A771=1,MAX($S$2:$S770)+1,IF(OR($I771&lt;&gt;"",A771="x"),$S770,""))</f>
        <v/>
      </c>
      <c r="T771" t="str">
        <f>IF(D771=1,MAX($T$2:$T770)+1,IF(S771=S770,$T770,IF(D771="x",T770,IF(D770="x","",""))))</f>
        <v/>
      </c>
      <c r="U771" t="str">
        <f>IF(B771=1,MAX($U$2:$U770)+1,IF(AND($T771&lt;&gt;"",$T771=$T770),$U770,IF(B771="x",U770,"")))</f>
        <v/>
      </c>
      <c r="V771" t="str">
        <f>IF(C771=1,MAX($V$2:$V770)+1,IF(AND($T771&lt;&gt;"",$T771=$T770),$U770,IF(C771="x",V770,"")))</f>
        <v/>
      </c>
      <c r="X771" cm="1">
        <f t="array" ref="X771">IF($I771&lt;&gt;"",$I771,INDEX($I$1:$I771,ROW()-COUNTIFS($T$1:$T771,"="&amp;$T771,$S$1:$S771,"&lt;"&amp;$S771)))</f>
        <v>0</v>
      </c>
      <c r="Z771" s="6">
        <f t="shared" si="129"/>
        <v>1</v>
      </c>
      <c r="AA771" t="e">
        <f t="shared" si="130"/>
        <v>#VALUE!</v>
      </c>
      <c r="AB771" t="str">
        <f t="shared" si="131"/>
        <v/>
      </c>
      <c r="AC771" t="e">
        <f t="shared" si="132"/>
        <v>#VALUE!</v>
      </c>
      <c r="AI771" t="e">
        <f t="shared" si="134"/>
        <v>#VALUE!</v>
      </c>
      <c r="BI771" s="40"/>
      <c r="BL771" s="40"/>
      <c r="BN771" s="19"/>
      <c r="BP771" s="17"/>
    </row>
    <row r="772" spans="1:68" x14ac:dyDescent="0.2">
      <c r="A772" t="str">
        <f t="shared" si="128"/>
        <v/>
      </c>
      <c r="E772" s="4"/>
      <c r="F772" s="46"/>
      <c r="G772" s="4"/>
      <c r="H772" s="48"/>
      <c r="J772" s="26" t="str">
        <f t="shared" si="133"/>
        <v/>
      </c>
      <c r="N772" t="str">
        <f t="shared" si="136"/>
        <v/>
      </c>
      <c r="Q772" t="str">
        <f t="shared" si="135"/>
        <v/>
      </c>
      <c r="S772" t="str">
        <f>IF(A772=1,MAX($S$2:$S771)+1,IF(OR($I772&lt;&gt;"",A772="x"),$S771,""))</f>
        <v/>
      </c>
      <c r="T772" t="str">
        <f>IF(D772=1,MAX($T$2:$T771)+1,IF(S772=S771,$T771,IF(D772="x",T771,IF(D771="x","",""))))</f>
        <v/>
      </c>
      <c r="U772" t="str">
        <f>IF(B772=1,MAX($U$2:$U771)+1,IF(AND($T772&lt;&gt;"",$T772=$T771),$U771,IF(B772="x",U771,"")))</f>
        <v/>
      </c>
      <c r="V772" t="str">
        <f>IF(C772=1,MAX($V$2:$V771)+1,IF(AND($T772&lt;&gt;"",$T772=$T771),$U771,IF(C772="x",V771,"")))</f>
        <v/>
      </c>
      <c r="X772" cm="1">
        <f t="array" ref="X772">IF($I772&lt;&gt;"",$I772,INDEX($I$1:$I772,ROW()-COUNTIFS($T$1:$T772,"="&amp;$T772,$S$1:$S772,"&lt;"&amp;$S772)))</f>
        <v>0</v>
      </c>
      <c r="Z772" s="6">
        <f t="shared" si="129"/>
        <v>1</v>
      </c>
      <c r="AA772" t="e">
        <f t="shared" si="130"/>
        <v>#VALUE!</v>
      </c>
      <c r="AB772" t="str">
        <f t="shared" si="131"/>
        <v/>
      </c>
      <c r="AC772" t="e">
        <f t="shared" si="132"/>
        <v>#VALUE!</v>
      </c>
      <c r="AI772" t="e">
        <f t="shared" si="134"/>
        <v>#VALUE!</v>
      </c>
      <c r="BI772" s="40"/>
      <c r="BL772" s="40"/>
      <c r="BN772" s="19"/>
      <c r="BP772" s="17"/>
    </row>
    <row r="773" spans="1:68" x14ac:dyDescent="0.2">
      <c r="A773" t="str">
        <f t="shared" ref="A773:A836" si="137">IF(K773&lt;&gt;"",1,IF(D773="x","x",""))</f>
        <v/>
      </c>
      <c r="E773" s="4"/>
      <c r="F773" s="46"/>
      <c r="G773" s="4"/>
      <c r="H773" s="48"/>
      <c r="J773" s="26" t="str">
        <f t="shared" si="133"/>
        <v/>
      </c>
      <c r="N773" t="str">
        <f t="shared" si="136"/>
        <v/>
      </c>
      <c r="Q773" t="str">
        <f t="shared" si="135"/>
        <v/>
      </c>
      <c r="S773" t="str">
        <f>IF(A773=1,MAX($S$2:$S772)+1,IF(OR($I773&lt;&gt;"",A773="x"),$S772,""))</f>
        <v/>
      </c>
      <c r="T773" t="str">
        <f>IF(D773=1,MAX($T$2:$T772)+1,IF(S773=S772,$T772,IF(D773="x",T772,IF(D772="x","",""))))</f>
        <v/>
      </c>
      <c r="U773" t="str">
        <f>IF(B773=1,MAX($U$2:$U772)+1,IF(AND($T773&lt;&gt;"",$T773=$T772),$U772,IF(B773="x",U772,"")))</f>
        <v/>
      </c>
      <c r="V773" t="str">
        <f>IF(C773=1,MAX($V$2:$V772)+1,IF(AND($T773&lt;&gt;"",$T773=$T772),$U772,IF(C773="x",V772,"")))</f>
        <v/>
      </c>
      <c r="X773" cm="1">
        <f t="array" ref="X773">IF($I773&lt;&gt;"",$I773,INDEX($I$1:$I773,ROW()-COUNTIFS($T$1:$T773,"="&amp;$T773,$S$1:$S773,"&lt;"&amp;$S773)))</f>
        <v>0</v>
      </c>
      <c r="Z773" s="6">
        <f t="shared" ref="Z773:Z836" si="138">IF(K773="Intermission",Z772+1,Z772)</f>
        <v>1</v>
      </c>
      <c r="AA773" t="e">
        <f t="shared" ref="AA773:AA836" si="139">S773+1000</f>
        <v>#VALUE!</v>
      </c>
      <c r="AB773" t="str">
        <f t="shared" ref="AB773:AB836" si="140">IF(T773&lt;&gt;"",9000+T773,"")</f>
        <v/>
      </c>
      <c r="AC773" t="e">
        <f t="shared" ref="AC773:AC836" si="141">IF(AB773&lt;&gt;"",AB773,S773+1000)</f>
        <v>#VALUE!</v>
      </c>
      <c r="AI773" t="e">
        <f t="shared" si="134"/>
        <v>#VALUE!</v>
      </c>
      <c r="BI773" s="40"/>
      <c r="BL773" s="40"/>
      <c r="BN773" s="19"/>
      <c r="BP773" s="17"/>
    </row>
    <row r="774" spans="1:68" x14ac:dyDescent="0.2">
      <c r="A774" t="str">
        <f t="shared" si="137"/>
        <v/>
      </c>
      <c r="E774" s="4"/>
      <c r="F774" s="46"/>
      <c r="G774" s="4"/>
      <c r="H774" s="48"/>
      <c r="J774" s="26" t="str">
        <f t="shared" ref="J774:J837" si="142">IF(OR(K774="Goal",K774="Shot",L774="Zone_Entry",M774="Stoppage-Goal",M773="Stoppage-Goal"),"o",IF(OR(K774="Save",K774="Rebound",L774="Zone_Exit",M774="Stoppage-GoalieStoppage",M773="Stoppage-GoalieStoppage"),"d",IF(OR(L774="Faceoff_AfterGoal",L774="Faceoff_PeriodStart",698="Faceoff_GameStart",M773="Stoppage-Goal"),"n","")))</f>
        <v/>
      </c>
      <c r="N774" t="str">
        <f t="shared" si="136"/>
        <v/>
      </c>
      <c r="Q774" t="str">
        <f t="shared" si="135"/>
        <v/>
      </c>
      <c r="S774" t="str">
        <f>IF(A774=1,MAX($S$2:$S773)+1,IF(OR($I774&lt;&gt;"",A774="x"),$S773,""))</f>
        <v/>
      </c>
      <c r="T774" t="str">
        <f>IF(D774=1,MAX($T$2:$T773)+1,IF(S774=S773,$T773,IF(D774="x",T773,IF(D773="x","",""))))</f>
        <v/>
      </c>
      <c r="U774" t="str">
        <f>IF(B774=1,MAX($U$2:$U773)+1,IF(AND($T774&lt;&gt;"",$T774=$T773),$U773,IF(B774="x",U773,"")))</f>
        <v/>
      </c>
      <c r="V774" t="str">
        <f>IF(C774=1,MAX($V$2:$V773)+1,IF(AND($T774&lt;&gt;"",$T774=$T773),$U773,IF(C774="x",V773,"")))</f>
        <v/>
      </c>
      <c r="X774" cm="1">
        <f t="array" ref="X774">IF($I774&lt;&gt;"",$I774,INDEX($I$1:$I774,ROW()-COUNTIFS($T$1:$T774,"="&amp;$T774,$S$1:$S774,"&lt;"&amp;$S774)))</f>
        <v>0</v>
      </c>
      <c r="Z774" s="6">
        <f t="shared" si="138"/>
        <v>1</v>
      </c>
      <c r="AA774" t="e">
        <f t="shared" si="139"/>
        <v>#VALUE!</v>
      </c>
      <c r="AB774" t="str">
        <f t="shared" si="140"/>
        <v/>
      </c>
      <c r="AC774" t="e">
        <f t="shared" si="141"/>
        <v>#VALUE!</v>
      </c>
      <c r="AI774" t="e">
        <f t="shared" ref="AI774:AI837" si="143">IF($J774&lt;&gt;"",$J774,IF($AC774=$AC773,AI773,""))</f>
        <v>#VALUE!</v>
      </c>
      <c r="BI774" s="40"/>
      <c r="BL774" s="40"/>
      <c r="BN774" s="19"/>
      <c r="BP774" s="17"/>
    </row>
    <row r="775" spans="1:68" x14ac:dyDescent="0.2">
      <c r="A775" t="str">
        <f t="shared" si="137"/>
        <v/>
      </c>
      <c r="E775" s="4"/>
      <c r="F775" s="46"/>
      <c r="G775" s="4"/>
      <c r="H775" s="48"/>
      <c r="J775" s="26" t="str">
        <f t="shared" si="142"/>
        <v/>
      </c>
      <c r="N775" t="str">
        <f t="shared" si="136"/>
        <v/>
      </c>
      <c r="Q775" t="str">
        <f t="shared" si="135"/>
        <v/>
      </c>
      <c r="S775" t="str">
        <f>IF(A775=1,MAX($S$2:$S774)+1,IF(OR($I775&lt;&gt;"",A775="x"),$S774,""))</f>
        <v/>
      </c>
      <c r="T775" t="str">
        <f>IF(D775=1,MAX($T$2:$T774)+1,IF(S775=S774,$T774,IF(D775="x",T774,IF(D774="x","",""))))</f>
        <v/>
      </c>
      <c r="U775" t="str">
        <f>IF(B775=1,MAX($U$2:$U774)+1,IF(AND($T775&lt;&gt;"",$T775=$T774),$U774,IF(B775="x",U774,"")))</f>
        <v/>
      </c>
      <c r="V775" t="str">
        <f>IF(C775=1,MAX($V$2:$V774)+1,IF(AND($T775&lt;&gt;"",$T775=$T774),$U774,IF(C775="x",V774,"")))</f>
        <v/>
      </c>
      <c r="X775" cm="1">
        <f t="array" ref="X775">IF($I775&lt;&gt;"",$I775,INDEX($I$1:$I775,ROW()-COUNTIFS($T$1:$T775,"="&amp;$T775,$S$1:$S775,"&lt;"&amp;$S775)))</f>
        <v>0</v>
      </c>
      <c r="Z775" s="6">
        <f t="shared" si="138"/>
        <v>1</v>
      </c>
      <c r="AA775" t="e">
        <f t="shared" si="139"/>
        <v>#VALUE!</v>
      </c>
      <c r="AB775" t="str">
        <f t="shared" si="140"/>
        <v/>
      </c>
      <c r="AC775" t="e">
        <f t="shared" si="141"/>
        <v>#VALUE!</v>
      </c>
      <c r="AI775" t="e">
        <f t="shared" si="143"/>
        <v>#VALUE!</v>
      </c>
      <c r="BI775" s="40"/>
      <c r="BL775" s="40"/>
      <c r="BN775" s="19"/>
      <c r="BP775" s="17"/>
    </row>
    <row r="776" spans="1:68" x14ac:dyDescent="0.2">
      <c r="A776" t="str">
        <f t="shared" si="137"/>
        <v/>
      </c>
      <c r="E776" s="4"/>
      <c r="F776" s="46"/>
      <c r="G776" s="4"/>
      <c r="H776" s="48"/>
      <c r="J776" s="26" t="str">
        <f t="shared" si="142"/>
        <v/>
      </c>
      <c r="N776" t="str">
        <f t="shared" si="136"/>
        <v/>
      </c>
      <c r="Q776" t="str">
        <f t="shared" si="135"/>
        <v/>
      </c>
      <c r="S776" t="str">
        <f>IF(A776=1,MAX($S$2:$S775)+1,IF(OR($I776&lt;&gt;"",A776="x"),$S775,""))</f>
        <v/>
      </c>
      <c r="T776" t="str">
        <f>IF(D776=1,MAX($T$2:$T775)+1,IF(S776=S775,$T775,IF(D776="x",T775,IF(D775="x","",""))))</f>
        <v/>
      </c>
      <c r="U776" t="str">
        <f>IF(B776=1,MAX($U$2:$U775)+1,IF(AND($T776&lt;&gt;"",$T776=$T775),$U775,IF(B776="x",U775,"")))</f>
        <v/>
      </c>
      <c r="V776" t="str">
        <f>IF(C776=1,MAX($V$2:$V775)+1,IF(AND($T776&lt;&gt;"",$T776=$T775),$U775,IF(C776="x",V775,"")))</f>
        <v/>
      </c>
      <c r="X776" cm="1">
        <f t="array" ref="X776">IF($I776&lt;&gt;"",$I776,INDEX($I$1:$I776,ROW()-COUNTIFS($T$1:$T776,"="&amp;$T776,$S$1:$S776,"&lt;"&amp;$S776)))</f>
        <v>0</v>
      </c>
      <c r="Z776" s="6">
        <f t="shared" si="138"/>
        <v>1</v>
      </c>
      <c r="AA776" t="e">
        <f t="shared" si="139"/>
        <v>#VALUE!</v>
      </c>
      <c r="AB776" t="str">
        <f t="shared" si="140"/>
        <v/>
      </c>
      <c r="AC776" t="e">
        <f t="shared" si="141"/>
        <v>#VALUE!</v>
      </c>
      <c r="AI776" t="e">
        <f t="shared" si="143"/>
        <v>#VALUE!</v>
      </c>
      <c r="BI776" s="40"/>
      <c r="BL776" s="40"/>
      <c r="BN776" s="19"/>
      <c r="BP776" s="17"/>
    </row>
    <row r="777" spans="1:68" x14ac:dyDescent="0.2">
      <c r="A777" t="str">
        <f t="shared" si="137"/>
        <v/>
      </c>
      <c r="E777" s="4"/>
      <c r="F777" s="46"/>
      <c r="G777" s="4"/>
      <c r="H777" s="48"/>
      <c r="J777" s="26" t="str">
        <f t="shared" si="142"/>
        <v/>
      </c>
      <c r="N777" t="str">
        <f t="shared" si="136"/>
        <v/>
      </c>
      <c r="Q777" t="str">
        <f t="shared" si="135"/>
        <v/>
      </c>
      <c r="S777" t="str">
        <f>IF(A777=1,MAX($S$2:$S776)+1,IF(OR($I777&lt;&gt;"",A777="x"),$S776,""))</f>
        <v/>
      </c>
      <c r="T777" t="str">
        <f>IF(D777=1,MAX($T$2:$T776)+1,IF(S777=S776,$T776,IF(D777="x",T776,IF(D776="x","",""))))</f>
        <v/>
      </c>
      <c r="U777" t="str">
        <f>IF(B777=1,MAX($U$2:$U776)+1,IF(AND($T777&lt;&gt;"",$T777=$T776),$U776,IF(B777="x",U776,"")))</f>
        <v/>
      </c>
      <c r="V777" t="str">
        <f>IF(C777=1,MAX($V$2:$V776)+1,IF(AND($T777&lt;&gt;"",$T777=$T776),$U776,IF(C777="x",V776,"")))</f>
        <v/>
      </c>
      <c r="X777" cm="1">
        <f t="array" ref="X777">IF($I777&lt;&gt;"",$I777,INDEX($I$1:$I777,ROW()-COUNTIFS($T$1:$T777,"="&amp;$T777,$S$1:$S777,"&lt;"&amp;$S777)))</f>
        <v>0</v>
      </c>
      <c r="Z777" s="6">
        <f t="shared" si="138"/>
        <v>1</v>
      </c>
      <c r="AA777" t="e">
        <f t="shared" si="139"/>
        <v>#VALUE!</v>
      </c>
      <c r="AB777" t="str">
        <f t="shared" si="140"/>
        <v/>
      </c>
      <c r="AC777" t="e">
        <f t="shared" si="141"/>
        <v>#VALUE!</v>
      </c>
      <c r="AI777" t="e">
        <f t="shared" si="143"/>
        <v>#VALUE!</v>
      </c>
      <c r="BI777" s="40"/>
      <c r="BL777" s="40"/>
      <c r="BN777" s="19"/>
      <c r="BP777" s="17"/>
    </row>
    <row r="778" spans="1:68" x14ac:dyDescent="0.2">
      <c r="A778" t="str">
        <f t="shared" si="137"/>
        <v/>
      </c>
      <c r="E778" s="4"/>
      <c r="F778" s="46"/>
      <c r="G778" s="4"/>
      <c r="H778" s="48"/>
      <c r="J778" s="26" t="str">
        <f t="shared" si="142"/>
        <v/>
      </c>
      <c r="N778" t="str">
        <f t="shared" si="136"/>
        <v/>
      </c>
      <c r="Q778" t="str">
        <f t="shared" si="135"/>
        <v/>
      </c>
      <c r="S778" t="str">
        <f>IF(A778=1,MAX($S$2:$S777)+1,IF(OR($I778&lt;&gt;"",A778="x"),$S777,""))</f>
        <v/>
      </c>
      <c r="T778" t="str">
        <f>IF(D778=1,MAX($T$2:$T777)+1,IF(S778=S777,$T777,IF(D778="x",T777,IF(D777="x","",""))))</f>
        <v/>
      </c>
      <c r="U778" t="str">
        <f>IF(B778=1,MAX($U$2:$U777)+1,IF(AND($T778&lt;&gt;"",$T778=$T777),$U777,IF(B778="x",U777,"")))</f>
        <v/>
      </c>
      <c r="V778" t="str">
        <f>IF(C778=1,MAX($V$2:$V777)+1,IF(AND($T778&lt;&gt;"",$T778=$T777),$U777,IF(C778="x",V777,"")))</f>
        <v/>
      </c>
      <c r="X778" cm="1">
        <f t="array" ref="X778">IF($I778&lt;&gt;"",$I778,INDEX($I$1:$I778,ROW()-COUNTIFS($T$1:$T778,"="&amp;$T778,$S$1:$S778,"&lt;"&amp;$S778)))</f>
        <v>0</v>
      </c>
      <c r="Z778" s="6">
        <f t="shared" si="138"/>
        <v>1</v>
      </c>
      <c r="AA778" t="e">
        <f t="shared" si="139"/>
        <v>#VALUE!</v>
      </c>
      <c r="AB778" t="str">
        <f t="shared" si="140"/>
        <v/>
      </c>
      <c r="AC778" t="e">
        <f t="shared" si="141"/>
        <v>#VALUE!</v>
      </c>
      <c r="AI778" t="e">
        <f t="shared" si="143"/>
        <v>#VALUE!</v>
      </c>
      <c r="BI778" s="40"/>
      <c r="BL778" s="40"/>
      <c r="BN778" s="19"/>
      <c r="BP778" s="17"/>
    </row>
    <row r="779" spans="1:68" x14ac:dyDescent="0.2">
      <c r="A779" t="str">
        <f t="shared" si="137"/>
        <v/>
      </c>
      <c r="E779" s="4"/>
      <c r="F779" s="46"/>
      <c r="G779" s="4"/>
      <c r="H779" s="48"/>
      <c r="J779" s="26" t="str">
        <f t="shared" si="142"/>
        <v/>
      </c>
      <c r="N779" t="str">
        <f t="shared" si="136"/>
        <v/>
      </c>
      <c r="Q779" t="str">
        <f t="shared" si="135"/>
        <v/>
      </c>
      <c r="S779" t="str">
        <f>IF(A779=1,MAX($S$2:$S778)+1,IF(OR($I779&lt;&gt;"",A779="x"),$S778,""))</f>
        <v/>
      </c>
      <c r="T779" t="str">
        <f>IF(D779=1,MAX($T$2:$T778)+1,IF(S779=S778,$T778,IF(D779="x",T778,IF(D778="x","",""))))</f>
        <v/>
      </c>
      <c r="U779" t="str">
        <f>IF(B779=1,MAX($U$2:$U778)+1,IF(AND($T779&lt;&gt;"",$T779=$T778),$U778,IF(B779="x",U778,"")))</f>
        <v/>
      </c>
      <c r="V779" t="str">
        <f>IF(C779=1,MAX($V$2:$V778)+1,IF(AND($T779&lt;&gt;"",$T779=$T778),$U778,IF(C779="x",V778,"")))</f>
        <v/>
      </c>
      <c r="X779" cm="1">
        <f t="array" ref="X779">IF($I779&lt;&gt;"",$I779,INDEX($I$1:$I779,ROW()-COUNTIFS($T$1:$T779,"="&amp;$T779,$S$1:$S779,"&lt;"&amp;$S779)))</f>
        <v>0</v>
      </c>
      <c r="Z779" s="6">
        <f t="shared" si="138"/>
        <v>1</v>
      </c>
      <c r="AA779" t="e">
        <f t="shared" si="139"/>
        <v>#VALUE!</v>
      </c>
      <c r="AB779" t="str">
        <f t="shared" si="140"/>
        <v/>
      </c>
      <c r="AC779" t="e">
        <f t="shared" si="141"/>
        <v>#VALUE!</v>
      </c>
      <c r="AI779" t="e">
        <f t="shared" si="143"/>
        <v>#VALUE!</v>
      </c>
      <c r="BI779" s="40"/>
      <c r="BL779" s="40"/>
      <c r="BN779" s="19"/>
      <c r="BP779" s="17"/>
    </row>
    <row r="780" spans="1:68" x14ac:dyDescent="0.2">
      <c r="A780" t="str">
        <f t="shared" si="137"/>
        <v/>
      </c>
      <c r="E780" s="4"/>
      <c r="F780" s="46"/>
      <c r="G780" s="4"/>
      <c r="H780" s="48"/>
      <c r="J780" s="26" t="str">
        <f t="shared" si="142"/>
        <v/>
      </c>
      <c r="N780" t="str">
        <f t="shared" si="136"/>
        <v/>
      </c>
      <c r="Q780" t="str">
        <f t="shared" si="135"/>
        <v/>
      </c>
      <c r="S780" t="str">
        <f>IF(A780=1,MAX($S$2:$S779)+1,IF(OR($I780&lt;&gt;"",A780="x"),$S779,""))</f>
        <v/>
      </c>
      <c r="T780" t="str">
        <f>IF(D780=1,MAX($T$2:$T779)+1,IF(S780=S779,$T779,IF(D780="x",T779,IF(D779="x","",""))))</f>
        <v/>
      </c>
      <c r="U780" t="str">
        <f>IF(B780=1,MAX($U$2:$U779)+1,IF(AND($T780&lt;&gt;"",$T780=$T779),$U779,IF(B780="x",U779,"")))</f>
        <v/>
      </c>
      <c r="V780" t="str">
        <f>IF(C780=1,MAX($V$2:$V779)+1,IF(AND($T780&lt;&gt;"",$T780=$T779),$U779,IF(C780="x",V779,"")))</f>
        <v/>
      </c>
      <c r="X780" cm="1">
        <f t="array" ref="X780">IF($I780&lt;&gt;"",$I780,INDEX($I$1:$I780,ROW()-COUNTIFS($T$1:$T780,"="&amp;$T780,$S$1:$S780,"&lt;"&amp;$S780)))</f>
        <v>0</v>
      </c>
      <c r="Z780" s="6">
        <f t="shared" si="138"/>
        <v>1</v>
      </c>
      <c r="AA780" t="e">
        <f t="shared" si="139"/>
        <v>#VALUE!</v>
      </c>
      <c r="AB780" t="str">
        <f t="shared" si="140"/>
        <v/>
      </c>
      <c r="AC780" t="e">
        <f t="shared" si="141"/>
        <v>#VALUE!</v>
      </c>
      <c r="AI780" t="e">
        <f t="shared" si="143"/>
        <v>#VALUE!</v>
      </c>
      <c r="BI780" s="40"/>
      <c r="BL780" s="40"/>
      <c r="BN780" s="19"/>
      <c r="BP780" s="17"/>
    </row>
    <row r="781" spans="1:68" x14ac:dyDescent="0.2">
      <c r="A781" t="str">
        <f t="shared" si="137"/>
        <v/>
      </c>
      <c r="E781" s="4"/>
      <c r="F781" s="46"/>
      <c r="G781" s="4"/>
      <c r="H781" s="48"/>
      <c r="J781" s="26" t="str">
        <f t="shared" si="142"/>
        <v/>
      </c>
      <c r="N781" t="str">
        <f t="shared" si="136"/>
        <v/>
      </c>
      <c r="Q781" t="str">
        <f t="shared" si="135"/>
        <v/>
      </c>
      <c r="S781" t="str">
        <f>IF(A781=1,MAX($S$2:$S780)+1,IF(OR($I781&lt;&gt;"",A781="x"),$S780,""))</f>
        <v/>
      </c>
      <c r="T781" t="str">
        <f>IF(D781=1,MAX($T$2:$T780)+1,IF(S781=S780,$T780,IF(D781="x",T780,IF(D780="x","",""))))</f>
        <v/>
      </c>
      <c r="U781" t="str">
        <f>IF(B781=1,MAX($U$2:$U780)+1,IF(AND($T781&lt;&gt;"",$T781=$T780),$U780,IF(B781="x",U780,"")))</f>
        <v/>
      </c>
      <c r="V781" t="str">
        <f>IF(C781=1,MAX($V$2:$V780)+1,IF(AND($T781&lt;&gt;"",$T781=$T780),$U780,IF(C781="x",V780,"")))</f>
        <v/>
      </c>
      <c r="X781" cm="1">
        <f t="array" ref="X781">IF($I781&lt;&gt;"",$I781,INDEX($I$1:$I781,ROW()-COUNTIFS($T$1:$T781,"="&amp;$T781,$S$1:$S781,"&lt;"&amp;$S781)))</f>
        <v>0</v>
      </c>
      <c r="Z781" s="6">
        <f t="shared" si="138"/>
        <v>1</v>
      </c>
      <c r="AA781" t="e">
        <f t="shared" si="139"/>
        <v>#VALUE!</v>
      </c>
      <c r="AB781" t="str">
        <f t="shared" si="140"/>
        <v/>
      </c>
      <c r="AC781" t="e">
        <f t="shared" si="141"/>
        <v>#VALUE!</v>
      </c>
      <c r="AI781" t="e">
        <f t="shared" si="143"/>
        <v>#VALUE!</v>
      </c>
      <c r="BI781" s="40"/>
      <c r="BL781" s="40"/>
      <c r="BN781" s="19"/>
      <c r="BP781" s="17"/>
    </row>
    <row r="782" spans="1:68" x14ac:dyDescent="0.2">
      <c r="A782" t="str">
        <f t="shared" si="137"/>
        <v/>
      </c>
      <c r="E782" s="4"/>
      <c r="F782" s="46"/>
      <c r="G782" s="4"/>
      <c r="H782" s="48"/>
      <c r="J782" s="26" t="str">
        <f t="shared" si="142"/>
        <v/>
      </c>
      <c r="N782" t="str">
        <f t="shared" si="136"/>
        <v/>
      </c>
      <c r="Q782" t="str">
        <f t="shared" si="135"/>
        <v/>
      </c>
      <c r="S782" t="str">
        <f>IF(A782=1,MAX($S$2:$S781)+1,IF(OR($I782&lt;&gt;"",A782="x"),$S781,""))</f>
        <v/>
      </c>
      <c r="T782" t="str">
        <f>IF(D782=1,MAX($T$2:$T781)+1,IF(S782=S781,$T781,IF(D782="x",T781,IF(D781="x","",""))))</f>
        <v/>
      </c>
      <c r="U782" t="str">
        <f>IF(B782=1,MAX($U$2:$U781)+1,IF(AND($T782&lt;&gt;"",$T782=$T781),$U781,IF(B782="x",U781,"")))</f>
        <v/>
      </c>
      <c r="V782" t="str">
        <f>IF(C782=1,MAX($V$2:$V781)+1,IF(AND($T782&lt;&gt;"",$T782=$T781),$U781,IF(C782="x",V781,"")))</f>
        <v/>
      </c>
      <c r="X782" cm="1">
        <f t="array" ref="X782">IF($I782&lt;&gt;"",$I782,INDEX($I$1:$I782,ROW()-COUNTIFS($T$1:$T782,"="&amp;$T782,$S$1:$S782,"&lt;"&amp;$S782)))</f>
        <v>0</v>
      </c>
      <c r="Z782" s="6">
        <f t="shared" si="138"/>
        <v>1</v>
      </c>
      <c r="AA782" t="e">
        <f t="shared" si="139"/>
        <v>#VALUE!</v>
      </c>
      <c r="AB782" t="str">
        <f t="shared" si="140"/>
        <v/>
      </c>
      <c r="AC782" t="e">
        <f t="shared" si="141"/>
        <v>#VALUE!</v>
      </c>
      <c r="AI782" t="e">
        <f t="shared" si="143"/>
        <v>#VALUE!</v>
      </c>
      <c r="BI782" s="40"/>
      <c r="BL782" s="40"/>
      <c r="BN782" s="19"/>
      <c r="BP782" s="17"/>
    </row>
    <row r="783" spans="1:68" x14ac:dyDescent="0.2">
      <c r="A783" t="str">
        <f t="shared" si="137"/>
        <v/>
      </c>
      <c r="E783" s="4"/>
      <c r="F783" s="46"/>
      <c r="G783" s="4"/>
      <c r="H783" s="48"/>
      <c r="J783" s="26" t="str">
        <f t="shared" si="142"/>
        <v/>
      </c>
      <c r="N783" t="str">
        <f t="shared" si="136"/>
        <v/>
      </c>
      <c r="Q783" t="str">
        <f t="shared" si="135"/>
        <v/>
      </c>
      <c r="S783" t="str">
        <f>IF(A783=1,MAX($S$2:$S782)+1,IF(OR($I783&lt;&gt;"",A783="x"),$S782,""))</f>
        <v/>
      </c>
      <c r="T783" t="str">
        <f>IF(D783=1,MAX($T$2:$T782)+1,IF(S783=S782,$T782,IF(D783="x",T782,IF(D782="x","",""))))</f>
        <v/>
      </c>
      <c r="U783" t="str">
        <f>IF(B783=1,MAX($U$2:$U782)+1,IF(AND($T783&lt;&gt;"",$T783=$T782),$U782,IF(B783="x",U782,"")))</f>
        <v/>
      </c>
      <c r="V783" t="str">
        <f>IF(C783=1,MAX($V$2:$V782)+1,IF(AND($T783&lt;&gt;"",$T783=$T782),$U782,IF(C783="x",V782,"")))</f>
        <v/>
      </c>
      <c r="X783" cm="1">
        <f t="array" ref="X783">IF($I783&lt;&gt;"",$I783,INDEX($I$1:$I783,ROW()-COUNTIFS($T$1:$T783,"="&amp;$T783,$S$1:$S783,"&lt;"&amp;$S783)))</f>
        <v>0</v>
      </c>
      <c r="Z783" s="6">
        <f t="shared" si="138"/>
        <v>1</v>
      </c>
      <c r="AA783" t="e">
        <f t="shared" si="139"/>
        <v>#VALUE!</v>
      </c>
      <c r="AB783" t="str">
        <f t="shared" si="140"/>
        <v/>
      </c>
      <c r="AC783" t="e">
        <f t="shared" si="141"/>
        <v>#VALUE!</v>
      </c>
      <c r="AI783" t="e">
        <f t="shared" si="143"/>
        <v>#VALUE!</v>
      </c>
      <c r="BI783" s="40"/>
      <c r="BL783" s="40"/>
      <c r="BN783" s="19"/>
      <c r="BP783" s="17"/>
    </row>
    <row r="784" spans="1:68" x14ac:dyDescent="0.2">
      <c r="A784" t="str">
        <f t="shared" si="137"/>
        <v/>
      </c>
      <c r="E784" s="4"/>
      <c r="F784" s="46"/>
      <c r="G784" s="4"/>
      <c r="H784" s="48"/>
      <c r="J784" s="26" t="str">
        <f t="shared" si="142"/>
        <v/>
      </c>
      <c r="N784" t="str">
        <f t="shared" si="136"/>
        <v/>
      </c>
      <c r="Q784" t="str">
        <f t="shared" ref="Q784:Q847" si="144">IF(O784="","",IF(AND(N784&lt;&gt;"",OR(O784&lt;&gt;"",P784&lt;&gt;"")),N784,IF(OR(ISNUMBER(SEARCH("attemp",O784)),ISNUMBER(SEARCH("beat",O784)),ISNUMBER(SEARCH("mis",O784)),ISNUMBER(SEARCH("fail",O784)),ISNUMBER(SEARCH("loss",O784)),ISNUMBER(SEARCH("lost",O784)),ISNUMBER(SEARCH("attemp",P784)),ISNUMBER(SEARCH("mis",P784)),ISNUMBER(SEARCH("fail",P784)),ISNUMBER(SEARCH("loss",P784)),ISNUMBER(SEARCH("beat",P784)),ISNUMBER(SEARCH("lost",P784))),"u","")))</f>
        <v/>
      </c>
      <c r="S784" t="str">
        <f>IF(A784=1,MAX($S$2:$S783)+1,IF(OR($I784&lt;&gt;"",A784="x"),$S783,""))</f>
        <v/>
      </c>
      <c r="T784" t="str">
        <f>IF(D784=1,MAX($T$2:$T783)+1,IF(S784=S783,$T783,IF(D784="x",T783,IF(D783="x","",""))))</f>
        <v/>
      </c>
      <c r="U784" t="str">
        <f>IF(B784=1,MAX($U$2:$U783)+1,IF(AND($T784&lt;&gt;"",$T784=$T783),$U783,IF(B784="x",U783,"")))</f>
        <v/>
      </c>
      <c r="V784" t="str">
        <f>IF(C784=1,MAX($V$2:$V783)+1,IF(AND($T784&lt;&gt;"",$T784=$T783),$U783,IF(C784="x",V783,"")))</f>
        <v/>
      </c>
      <c r="X784" cm="1">
        <f t="array" ref="X784">IF($I784&lt;&gt;"",$I784,INDEX($I$1:$I784,ROW()-COUNTIFS($T$1:$T784,"="&amp;$T784,$S$1:$S784,"&lt;"&amp;$S784)))</f>
        <v>0</v>
      </c>
      <c r="Z784" s="6">
        <f t="shared" si="138"/>
        <v>1</v>
      </c>
      <c r="AA784" t="e">
        <f t="shared" si="139"/>
        <v>#VALUE!</v>
      </c>
      <c r="AB784" t="str">
        <f t="shared" si="140"/>
        <v/>
      </c>
      <c r="AC784" t="e">
        <f t="shared" si="141"/>
        <v>#VALUE!</v>
      </c>
      <c r="AI784" t="e">
        <f t="shared" si="143"/>
        <v>#VALUE!</v>
      </c>
      <c r="BI784" s="40"/>
      <c r="BL784" s="40"/>
      <c r="BN784" s="19"/>
      <c r="BP784" s="17"/>
    </row>
    <row r="785" spans="1:68" x14ac:dyDescent="0.2">
      <c r="A785" t="str">
        <f t="shared" si="137"/>
        <v/>
      </c>
      <c r="E785" s="4"/>
      <c r="F785" s="46"/>
      <c r="G785" s="4"/>
      <c r="H785" s="48"/>
      <c r="J785" s="26" t="str">
        <f t="shared" si="142"/>
        <v/>
      </c>
      <c r="N785" t="str">
        <f t="shared" si="136"/>
        <v/>
      </c>
      <c r="Q785" t="str">
        <f t="shared" si="144"/>
        <v/>
      </c>
      <c r="S785" t="str">
        <f>IF(A785=1,MAX($S$2:$S784)+1,IF(OR($I785&lt;&gt;"",A785="x"),$S784,""))</f>
        <v/>
      </c>
      <c r="T785" t="str">
        <f>IF(D785=1,MAX($T$2:$T784)+1,IF(S785=S784,$T784,IF(D785="x",T784,IF(D784="x","",""))))</f>
        <v/>
      </c>
      <c r="U785" t="str">
        <f>IF(B785=1,MAX($U$2:$U784)+1,IF(AND($T785&lt;&gt;"",$T785=$T784),$U784,IF(B785="x",U784,"")))</f>
        <v/>
      </c>
      <c r="V785" t="str">
        <f>IF(C785=1,MAX($V$2:$V784)+1,IF(AND($T785&lt;&gt;"",$T785=$T784),$U784,IF(C785="x",V784,"")))</f>
        <v/>
      </c>
      <c r="X785" cm="1">
        <f t="array" ref="X785">IF($I785&lt;&gt;"",$I785,INDEX($I$1:$I785,ROW()-COUNTIFS($T$1:$T785,"="&amp;$T785,$S$1:$S785,"&lt;"&amp;$S785)))</f>
        <v>0</v>
      </c>
      <c r="Z785" s="6">
        <f t="shared" si="138"/>
        <v>1</v>
      </c>
      <c r="AA785" t="e">
        <f t="shared" si="139"/>
        <v>#VALUE!</v>
      </c>
      <c r="AB785" t="str">
        <f t="shared" si="140"/>
        <v/>
      </c>
      <c r="AC785" t="e">
        <f t="shared" si="141"/>
        <v>#VALUE!</v>
      </c>
      <c r="AI785" t="e">
        <f t="shared" si="143"/>
        <v>#VALUE!</v>
      </c>
      <c r="BI785" s="40"/>
      <c r="BL785" s="40"/>
      <c r="BN785" s="19"/>
      <c r="BP785" s="17"/>
    </row>
    <row r="786" spans="1:68" x14ac:dyDescent="0.2">
      <c r="A786" t="str">
        <f t="shared" si="137"/>
        <v/>
      </c>
      <c r="E786" s="4"/>
      <c r="F786" s="46"/>
      <c r="G786" s="4"/>
      <c r="H786" s="48"/>
      <c r="J786" s="26" t="str">
        <f t="shared" si="142"/>
        <v/>
      </c>
      <c r="N786" t="str">
        <f t="shared" si="136"/>
        <v/>
      </c>
      <c r="Q786" t="str">
        <f t="shared" si="144"/>
        <v/>
      </c>
      <c r="S786" t="str">
        <f>IF(A786=1,MAX($S$2:$S785)+1,IF(OR($I786&lt;&gt;"",A786="x"),$S785,""))</f>
        <v/>
      </c>
      <c r="T786" t="str">
        <f>IF(D786=1,MAX($T$2:$T785)+1,IF(S786=S785,$T785,IF(D786="x",T785,IF(D785="x","",""))))</f>
        <v/>
      </c>
      <c r="U786" t="str">
        <f>IF(B786=1,MAX($U$2:$U785)+1,IF(AND($T786&lt;&gt;"",$T786=$T785),$U785,IF(B786="x",U785,"")))</f>
        <v/>
      </c>
      <c r="V786" t="str">
        <f>IF(C786=1,MAX($V$2:$V785)+1,IF(AND($T786&lt;&gt;"",$T786=$T785),$U785,IF(C786="x",V785,"")))</f>
        <v/>
      </c>
      <c r="X786" cm="1">
        <f t="array" ref="X786">IF($I786&lt;&gt;"",$I786,INDEX($I$1:$I786,ROW()-COUNTIFS($T$1:$T786,"="&amp;$T786,$S$1:$S786,"&lt;"&amp;$S786)))</f>
        <v>0</v>
      </c>
      <c r="Z786" s="6">
        <f t="shared" si="138"/>
        <v>1</v>
      </c>
      <c r="AA786" t="e">
        <f t="shared" si="139"/>
        <v>#VALUE!</v>
      </c>
      <c r="AB786" t="str">
        <f t="shared" si="140"/>
        <v/>
      </c>
      <c r="AC786" t="e">
        <f t="shared" si="141"/>
        <v>#VALUE!</v>
      </c>
      <c r="AI786" t="e">
        <f t="shared" si="143"/>
        <v>#VALUE!</v>
      </c>
      <c r="BI786" s="40"/>
      <c r="BL786" s="40"/>
      <c r="BN786" s="19"/>
      <c r="BP786" s="17"/>
    </row>
    <row r="787" spans="1:68" x14ac:dyDescent="0.2">
      <c r="A787" t="str">
        <f t="shared" si="137"/>
        <v/>
      </c>
      <c r="E787" s="4"/>
      <c r="F787" s="46"/>
      <c r="G787" s="4"/>
      <c r="H787" s="48"/>
      <c r="J787" s="26" t="str">
        <f t="shared" si="142"/>
        <v/>
      </c>
      <c r="N787" t="str">
        <f t="shared" si="136"/>
        <v/>
      </c>
      <c r="Q787" t="str">
        <f t="shared" si="144"/>
        <v/>
      </c>
      <c r="S787" t="str">
        <f>IF(A787=1,MAX($S$2:$S786)+1,IF(OR($I787&lt;&gt;"",A787="x"),$S786,""))</f>
        <v/>
      </c>
      <c r="T787" t="str">
        <f>IF(D787=1,MAX($T$2:$T786)+1,IF(S787=S786,$T786,IF(D787="x",T786,IF(D786="x","",""))))</f>
        <v/>
      </c>
      <c r="U787" t="str">
        <f>IF(B787=1,MAX($U$2:$U786)+1,IF(AND($T787&lt;&gt;"",$T787=$T786),$U786,IF(B787="x",U786,"")))</f>
        <v/>
      </c>
      <c r="V787" t="str">
        <f>IF(C787=1,MAX($V$2:$V786)+1,IF(AND($T787&lt;&gt;"",$T787=$T786),$U786,IF(C787="x",V786,"")))</f>
        <v/>
      </c>
      <c r="X787" cm="1">
        <f t="array" ref="X787">IF($I787&lt;&gt;"",$I787,INDEX($I$1:$I787,ROW()-COUNTIFS($T$1:$T787,"="&amp;$T787,$S$1:$S787,"&lt;"&amp;$S787)))</f>
        <v>0</v>
      </c>
      <c r="Z787" s="6">
        <f t="shared" si="138"/>
        <v>1</v>
      </c>
      <c r="AA787" t="e">
        <f t="shared" si="139"/>
        <v>#VALUE!</v>
      </c>
      <c r="AB787" t="str">
        <f t="shared" si="140"/>
        <v/>
      </c>
      <c r="AC787" t="e">
        <f t="shared" si="141"/>
        <v>#VALUE!</v>
      </c>
      <c r="AI787" t="e">
        <f t="shared" si="143"/>
        <v>#VALUE!</v>
      </c>
      <c r="BI787" s="40"/>
      <c r="BL787" s="40"/>
      <c r="BN787" s="19"/>
      <c r="BP787" s="17"/>
    </row>
    <row r="788" spans="1:68" x14ac:dyDescent="0.2">
      <c r="A788" t="str">
        <f t="shared" si="137"/>
        <v/>
      </c>
      <c r="E788" s="4"/>
      <c r="F788" s="46"/>
      <c r="G788" s="4"/>
      <c r="H788" s="48"/>
      <c r="J788" s="26" t="str">
        <f t="shared" si="142"/>
        <v/>
      </c>
      <c r="N788" t="str">
        <f t="shared" si="136"/>
        <v/>
      </c>
      <c r="Q788" t="str">
        <f t="shared" si="144"/>
        <v/>
      </c>
      <c r="S788" t="str">
        <f>IF(A788=1,MAX($S$2:$S787)+1,IF(OR($I788&lt;&gt;"",A788="x"),$S787,""))</f>
        <v/>
      </c>
      <c r="T788" t="str">
        <f>IF(D788=1,MAX($T$2:$T787)+1,IF(S788=S787,$T787,IF(D788="x",T787,IF(D787="x","",""))))</f>
        <v/>
      </c>
      <c r="U788" t="str">
        <f>IF(B788=1,MAX($U$2:$U787)+1,IF(AND($T788&lt;&gt;"",$T788=$T787),$U787,IF(B788="x",U787,"")))</f>
        <v/>
      </c>
      <c r="V788" t="str">
        <f>IF(C788=1,MAX($V$2:$V787)+1,IF(AND($T788&lt;&gt;"",$T788=$T787),$U787,IF(C788="x",V787,"")))</f>
        <v/>
      </c>
      <c r="X788" cm="1">
        <f t="array" ref="X788">IF($I788&lt;&gt;"",$I788,INDEX($I$1:$I788,ROW()-COUNTIFS($T$1:$T788,"="&amp;$T788,$S$1:$S788,"&lt;"&amp;$S788)))</f>
        <v>0</v>
      </c>
      <c r="Z788" s="6">
        <f t="shared" si="138"/>
        <v>1</v>
      </c>
      <c r="AA788" t="e">
        <f t="shared" si="139"/>
        <v>#VALUE!</v>
      </c>
      <c r="AB788" t="str">
        <f t="shared" si="140"/>
        <v/>
      </c>
      <c r="AC788" t="e">
        <f t="shared" si="141"/>
        <v>#VALUE!</v>
      </c>
      <c r="AI788" t="e">
        <f t="shared" si="143"/>
        <v>#VALUE!</v>
      </c>
      <c r="BI788" s="40"/>
      <c r="BL788" s="40"/>
      <c r="BN788" s="19"/>
      <c r="BP788" s="17"/>
    </row>
    <row r="789" spans="1:68" x14ac:dyDescent="0.2">
      <c r="A789" t="str">
        <f t="shared" si="137"/>
        <v/>
      </c>
      <c r="E789" s="4"/>
      <c r="F789" s="46"/>
      <c r="G789" s="4"/>
      <c r="H789" s="48"/>
      <c r="J789" s="26" t="str">
        <f t="shared" si="142"/>
        <v/>
      </c>
      <c r="N789" t="str">
        <f t="shared" ref="N789:N850" si="145">IF(K789="","",IF(K789="Goal","s",IF(AND(K789="Zone_Entry_Exit",OR(ISNUMBER(SEARCH("fail",L789)),ISNUMBER(SEARCH("FromExitClear",M789)),ISNUMBER(SEARCH("miss",M789)))),"u",IF(AND(K789="Zone_Entry_Exit",OR(NOT(ISNUMBER(SEARCH("fail",L789))),NOT(ISNUMBER(SEARCH("FromExitClear",M789))),NOT(ISNUMBER(SEARCH("miss",M789))))),"s",IF(AND(OR(K789="Shot",K789="Pass"),OR(ISNUMBER(SEARCH("complete",L789)),ISNUMBER(SEARCH("goal",L789)),ISNUMBER(SEARCH("OnNet",L789)))),"s",IF(L789="Turnover_Giveaway","u",IF(AND(OR(K789="Shot",K789="Pass"),OR(ISNUMBER(SEARCH("fail",L789)),NOT(ISNUMBER(SEARCH("complete",L789))),NOT(ISNUMBER(SEARCH("OnNet",L789))))),"u","")))))))</f>
        <v/>
      </c>
      <c r="Q789" t="str">
        <f t="shared" si="144"/>
        <v/>
      </c>
      <c r="S789" t="str">
        <f>IF(A789=1,MAX($S$2:$S788)+1,IF(OR($I789&lt;&gt;"",A789="x"),$S788,""))</f>
        <v/>
      </c>
      <c r="T789" t="str">
        <f>IF(D789=1,MAX($T$2:$T788)+1,IF(S789=S788,$T788,IF(D789="x",T788,IF(D788="x","",""))))</f>
        <v/>
      </c>
      <c r="U789" t="str">
        <f>IF(B789=1,MAX($U$2:$U788)+1,IF(AND($T789&lt;&gt;"",$T789=$T788),$U788,IF(B789="x",U788,"")))</f>
        <v/>
      </c>
      <c r="V789" t="str">
        <f>IF(C789=1,MAX($V$2:$V788)+1,IF(AND($T789&lt;&gt;"",$T789=$T788),$U788,IF(C789="x",V788,"")))</f>
        <v/>
      </c>
      <c r="X789" cm="1">
        <f t="array" ref="X789">IF($I789&lt;&gt;"",$I789,INDEX($I$1:$I789,ROW()-COUNTIFS($T$1:$T789,"="&amp;$T789,$S$1:$S789,"&lt;"&amp;$S789)))</f>
        <v>0</v>
      </c>
      <c r="Z789" s="6">
        <f t="shared" si="138"/>
        <v>1</v>
      </c>
      <c r="AA789" t="e">
        <f t="shared" si="139"/>
        <v>#VALUE!</v>
      </c>
      <c r="AB789" t="str">
        <f t="shared" si="140"/>
        <v/>
      </c>
      <c r="AC789" t="e">
        <f t="shared" si="141"/>
        <v>#VALUE!</v>
      </c>
      <c r="AI789" t="e">
        <f t="shared" si="143"/>
        <v>#VALUE!</v>
      </c>
      <c r="BI789" s="40"/>
      <c r="BL789" s="40"/>
      <c r="BN789" s="19"/>
      <c r="BP789" s="17"/>
    </row>
    <row r="790" spans="1:68" x14ac:dyDescent="0.2">
      <c r="A790" t="str">
        <f t="shared" si="137"/>
        <v/>
      </c>
      <c r="E790" s="4"/>
      <c r="F790" s="46"/>
      <c r="G790" s="4"/>
      <c r="H790" s="48"/>
      <c r="J790" s="26" t="str">
        <f t="shared" si="142"/>
        <v/>
      </c>
      <c r="N790" t="str">
        <f t="shared" si="145"/>
        <v/>
      </c>
      <c r="Q790" t="str">
        <f t="shared" si="144"/>
        <v/>
      </c>
      <c r="S790" t="str">
        <f>IF(A790=1,MAX($S$2:$S789)+1,IF(OR($I790&lt;&gt;"",A790="x"),$S789,""))</f>
        <v/>
      </c>
      <c r="T790" t="str">
        <f>IF(D790=1,MAX($T$2:$T789)+1,IF(S790=S789,$T789,IF(D790="x",T789,IF(D789="x","",""))))</f>
        <v/>
      </c>
      <c r="U790" t="str">
        <f>IF(B790=1,MAX($U$2:$U789)+1,IF(AND($T790&lt;&gt;"",$T790=$T789),$U789,IF(B790="x",U789,"")))</f>
        <v/>
      </c>
      <c r="V790" t="str">
        <f>IF(C790=1,MAX($V$2:$V789)+1,IF(AND($T790&lt;&gt;"",$T790=$T789),$U789,IF(C790="x",V789,"")))</f>
        <v/>
      </c>
      <c r="X790" cm="1">
        <f t="array" ref="X790">IF($I790&lt;&gt;"",$I790,INDEX($I$1:$I790,ROW()-COUNTIFS($T$1:$T790,"="&amp;$T790,$S$1:$S790,"&lt;"&amp;$S790)))</f>
        <v>0</v>
      </c>
      <c r="Z790" s="6">
        <f t="shared" si="138"/>
        <v>1</v>
      </c>
      <c r="AA790" t="e">
        <f t="shared" si="139"/>
        <v>#VALUE!</v>
      </c>
      <c r="AB790" t="str">
        <f t="shared" si="140"/>
        <v/>
      </c>
      <c r="AC790" t="e">
        <f t="shared" si="141"/>
        <v>#VALUE!</v>
      </c>
      <c r="AI790" t="e">
        <f t="shared" si="143"/>
        <v>#VALUE!</v>
      </c>
      <c r="BI790" s="40"/>
      <c r="BL790" s="40"/>
      <c r="BN790" s="19"/>
      <c r="BP790" s="17"/>
    </row>
    <row r="791" spans="1:68" x14ac:dyDescent="0.2">
      <c r="A791" t="str">
        <f t="shared" si="137"/>
        <v/>
      </c>
      <c r="E791" s="4"/>
      <c r="F791" s="46"/>
      <c r="G791" s="4"/>
      <c r="H791" s="48"/>
      <c r="J791" s="26" t="str">
        <f t="shared" si="142"/>
        <v/>
      </c>
      <c r="N791" t="str">
        <f t="shared" si="145"/>
        <v/>
      </c>
      <c r="Q791" t="str">
        <f t="shared" si="144"/>
        <v/>
      </c>
      <c r="S791" t="str">
        <f>IF(A791=1,MAX($S$2:$S790)+1,IF(OR($I791&lt;&gt;"",A791="x"),$S790,""))</f>
        <v/>
      </c>
      <c r="T791" t="str">
        <f>IF(D791=1,MAX($T$2:$T790)+1,IF(S791=S790,$T790,IF(D791="x",T790,IF(D790="x","",""))))</f>
        <v/>
      </c>
      <c r="U791" t="str">
        <f>IF(B791=1,MAX($U$2:$U790)+1,IF(AND($T791&lt;&gt;"",$T791=$T790),$U790,IF(B791="x",U790,"")))</f>
        <v/>
      </c>
      <c r="V791" t="str">
        <f>IF(C791=1,MAX($V$2:$V790)+1,IF(AND($T791&lt;&gt;"",$T791=$T790),$U790,IF(C791="x",V790,"")))</f>
        <v/>
      </c>
      <c r="X791" cm="1">
        <f t="array" ref="X791">IF($I791&lt;&gt;"",$I791,INDEX($I$1:$I791,ROW()-COUNTIFS($T$1:$T791,"="&amp;$T791,$S$1:$S791,"&lt;"&amp;$S791)))</f>
        <v>0</v>
      </c>
      <c r="Z791" s="6">
        <f t="shared" si="138"/>
        <v>1</v>
      </c>
      <c r="AA791" t="e">
        <f t="shared" si="139"/>
        <v>#VALUE!</v>
      </c>
      <c r="AB791" t="str">
        <f t="shared" si="140"/>
        <v/>
      </c>
      <c r="AC791" t="e">
        <f t="shared" si="141"/>
        <v>#VALUE!</v>
      </c>
      <c r="AI791" t="e">
        <f t="shared" si="143"/>
        <v>#VALUE!</v>
      </c>
      <c r="BI791" s="40"/>
      <c r="BL791" s="40"/>
      <c r="BN791" s="19"/>
      <c r="BP791" s="17"/>
    </row>
    <row r="792" spans="1:68" x14ac:dyDescent="0.2">
      <c r="A792" t="str">
        <f t="shared" si="137"/>
        <v/>
      </c>
      <c r="E792" s="4"/>
      <c r="F792" s="46"/>
      <c r="G792" s="4"/>
      <c r="H792" s="48"/>
      <c r="J792" s="26" t="str">
        <f t="shared" si="142"/>
        <v/>
      </c>
      <c r="N792" t="str">
        <f t="shared" si="145"/>
        <v/>
      </c>
      <c r="Q792" t="str">
        <f t="shared" si="144"/>
        <v/>
      </c>
      <c r="S792" t="str">
        <f>IF(A792=1,MAX($S$2:$S791)+1,IF(OR($I792&lt;&gt;"",A792="x"),$S791,""))</f>
        <v/>
      </c>
      <c r="T792" t="str">
        <f>IF(D792=1,MAX($T$2:$T791)+1,IF(S792=S791,$T791,IF(D792="x",T791,IF(D791="x","",""))))</f>
        <v/>
      </c>
      <c r="U792" t="str">
        <f>IF(B792=1,MAX($U$2:$U791)+1,IF(AND($T792&lt;&gt;"",$T792=$T791),$U791,IF(B792="x",U791,"")))</f>
        <v/>
      </c>
      <c r="V792" t="str">
        <f>IF(C792=1,MAX($V$2:$V791)+1,IF(AND($T792&lt;&gt;"",$T792=$T791),$U791,IF(C792="x",V791,"")))</f>
        <v/>
      </c>
      <c r="X792" cm="1">
        <f t="array" ref="X792">IF($I792&lt;&gt;"",$I792,INDEX($I$1:$I792,ROW()-COUNTIFS($T$1:$T792,"="&amp;$T792,$S$1:$S792,"&lt;"&amp;$S792)))</f>
        <v>0</v>
      </c>
      <c r="Z792" s="6">
        <f t="shared" si="138"/>
        <v>1</v>
      </c>
      <c r="AA792" t="e">
        <f t="shared" si="139"/>
        <v>#VALUE!</v>
      </c>
      <c r="AB792" t="str">
        <f t="shared" si="140"/>
        <v/>
      </c>
      <c r="AC792" t="e">
        <f t="shared" si="141"/>
        <v>#VALUE!</v>
      </c>
      <c r="AI792" t="e">
        <f t="shared" si="143"/>
        <v>#VALUE!</v>
      </c>
      <c r="BI792" s="40"/>
      <c r="BL792" s="40"/>
      <c r="BN792" s="19"/>
      <c r="BP792" s="17"/>
    </row>
    <row r="793" spans="1:68" x14ac:dyDescent="0.2">
      <c r="A793" t="str">
        <f t="shared" si="137"/>
        <v/>
      </c>
      <c r="E793" s="4"/>
      <c r="F793" s="46"/>
      <c r="G793" s="4"/>
      <c r="H793" s="48"/>
      <c r="J793" s="26" t="str">
        <f t="shared" si="142"/>
        <v/>
      </c>
      <c r="N793" t="str">
        <f t="shared" si="145"/>
        <v/>
      </c>
      <c r="Q793" t="str">
        <f t="shared" si="144"/>
        <v/>
      </c>
      <c r="S793" t="str">
        <f>IF(A793=1,MAX($S$2:$S792)+1,IF(OR($I793&lt;&gt;"",A793="x"),$S792,""))</f>
        <v/>
      </c>
      <c r="T793" t="str">
        <f>IF(D793=1,MAX($T$2:$T792)+1,IF(S793=S792,$T792,IF(D793="x",T792,IF(D792="x","",""))))</f>
        <v/>
      </c>
      <c r="U793" t="str">
        <f>IF(B793=1,MAX($U$2:$U792)+1,IF(AND($T793&lt;&gt;"",$T793=$T792),$U792,IF(B793="x",U792,"")))</f>
        <v/>
      </c>
      <c r="V793" t="str">
        <f>IF(C793=1,MAX($V$2:$V792)+1,IF(AND($T793&lt;&gt;"",$T793=$T792),$U792,IF(C793="x",V792,"")))</f>
        <v/>
      </c>
      <c r="X793" cm="1">
        <f t="array" ref="X793">IF($I793&lt;&gt;"",$I793,INDEX($I$1:$I793,ROW()-COUNTIFS($T$1:$T793,"="&amp;$T793,$S$1:$S793,"&lt;"&amp;$S793)))</f>
        <v>0</v>
      </c>
      <c r="Z793" s="6">
        <f t="shared" si="138"/>
        <v>1</v>
      </c>
      <c r="AA793" t="e">
        <f t="shared" si="139"/>
        <v>#VALUE!</v>
      </c>
      <c r="AB793" t="str">
        <f t="shared" si="140"/>
        <v/>
      </c>
      <c r="AC793" t="e">
        <f t="shared" si="141"/>
        <v>#VALUE!</v>
      </c>
      <c r="AI793" t="e">
        <f t="shared" si="143"/>
        <v>#VALUE!</v>
      </c>
      <c r="BI793" s="40"/>
      <c r="BL793" s="40"/>
      <c r="BN793" s="19"/>
      <c r="BP793" s="17"/>
    </row>
    <row r="794" spans="1:68" x14ac:dyDescent="0.2">
      <c r="A794" t="str">
        <f t="shared" si="137"/>
        <v/>
      </c>
      <c r="E794" s="4"/>
      <c r="F794" s="46"/>
      <c r="G794" s="4"/>
      <c r="H794" s="48"/>
      <c r="J794" s="26" t="str">
        <f t="shared" si="142"/>
        <v/>
      </c>
      <c r="N794" t="str">
        <f t="shared" si="145"/>
        <v/>
      </c>
      <c r="Q794" t="str">
        <f t="shared" si="144"/>
        <v/>
      </c>
      <c r="S794" t="str">
        <f>IF(A794=1,MAX($S$2:$S793)+1,IF(OR($I794&lt;&gt;"",A794="x"),$S793,""))</f>
        <v/>
      </c>
      <c r="T794" t="str">
        <f>IF(D794=1,MAX($T$2:$T793)+1,IF(S794=S793,$T793,IF(D794="x",T793,IF(D793="x","",""))))</f>
        <v/>
      </c>
      <c r="U794" t="str">
        <f>IF(B794=1,MAX($U$2:$U793)+1,IF(AND($T794&lt;&gt;"",$T794=$T793),$U793,IF(B794="x",U793,"")))</f>
        <v/>
      </c>
      <c r="V794" t="str">
        <f>IF(C794=1,MAX($V$2:$V793)+1,IF(AND($T794&lt;&gt;"",$T794=$T793),$U793,IF(C794="x",V793,"")))</f>
        <v/>
      </c>
      <c r="X794" cm="1">
        <f t="array" ref="X794">IF($I794&lt;&gt;"",$I794,INDEX($I$1:$I794,ROW()-COUNTIFS($T$1:$T794,"="&amp;$T794,$S$1:$S794,"&lt;"&amp;$S794)))</f>
        <v>0</v>
      </c>
      <c r="Z794" s="6">
        <f t="shared" si="138"/>
        <v>1</v>
      </c>
      <c r="AA794" t="e">
        <f t="shared" si="139"/>
        <v>#VALUE!</v>
      </c>
      <c r="AB794" t="str">
        <f t="shared" si="140"/>
        <v/>
      </c>
      <c r="AC794" t="e">
        <f t="shared" si="141"/>
        <v>#VALUE!</v>
      </c>
      <c r="AI794" t="e">
        <f t="shared" si="143"/>
        <v>#VALUE!</v>
      </c>
      <c r="BI794" s="40"/>
      <c r="BL794" s="40"/>
      <c r="BN794" s="19"/>
      <c r="BP794" s="17"/>
    </row>
    <row r="795" spans="1:68" x14ac:dyDescent="0.2">
      <c r="A795" t="str">
        <f t="shared" si="137"/>
        <v/>
      </c>
      <c r="E795" s="4"/>
      <c r="F795" s="46"/>
      <c r="G795" s="4"/>
      <c r="H795" s="48"/>
      <c r="J795" s="26" t="str">
        <f t="shared" si="142"/>
        <v/>
      </c>
      <c r="N795" t="str">
        <f t="shared" si="145"/>
        <v/>
      </c>
      <c r="Q795" t="str">
        <f t="shared" si="144"/>
        <v/>
      </c>
      <c r="S795" t="str">
        <f>IF(A795=1,MAX($S$2:$S794)+1,IF(OR($I795&lt;&gt;"",A795="x"),$S794,""))</f>
        <v/>
      </c>
      <c r="T795" t="str">
        <f>IF(D795=1,MAX($T$2:$T794)+1,IF(S795=S794,$T794,IF(D795="x",T794,IF(D794="x","",""))))</f>
        <v/>
      </c>
      <c r="U795" t="str">
        <f>IF(B795=1,MAX($U$2:$U794)+1,IF(AND($T795&lt;&gt;"",$T795=$T794),$U794,IF(B795="x",U794,"")))</f>
        <v/>
      </c>
      <c r="V795" t="str">
        <f>IF(C795=1,MAX($V$2:$V794)+1,IF(AND($T795&lt;&gt;"",$T795=$T794),$U794,IF(C795="x",V794,"")))</f>
        <v/>
      </c>
      <c r="X795" cm="1">
        <f t="array" ref="X795">IF($I795&lt;&gt;"",$I795,INDEX($I$1:$I795,ROW()-COUNTIFS($T$1:$T795,"="&amp;$T795,$S$1:$S795,"&lt;"&amp;$S795)))</f>
        <v>0</v>
      </c>
      <c r="Z795" s="6">
        <f t="shared" si="138"/>
        <v>1</v>
      </c>
      <c r="AA795" t="e">
        <f t="shared" si="139"/>
        <v>#VALUE!</v>
      </c>
      <c r="AB795" t="str">
        <f t="shared" si="140"/>
        <v/>
      </c>
      <c r="AC795" t="e">
        <f t="shared" si="141"/>
        <v>#VALUE!</v>
      </c>
      <c r="AI795" t="e">
        <f t="shared" si="143"/>
        <v>#VALUE!</v>
      </c>
      <c r="BI795" s="40"/>
      <c r="BL795" s="40"/>
      <c r="BN795" s="19"/>
      <c r="BP795" s="17"/>
    </row>
    <row r="796" spans="1:68" x14ac:dyDescent="0.2">
      <c r="A796" t="str">
        <f t="shared" si="137"/>
        <v/>
      </c>
      <c r="E796" s="4"/>
      <c r="F796" s="46"/>
      <c r="G796" s="4"/>
      <c r="H796" s="48"/>
      <c r="J796" s="26" t="str">
        <f t="shared" si="142"/>
        <v/>
      </c>
      <c r="N796" t="str">
        <f t="shared" si="145"/>
        <v/>
      </c>
      <c r="Q796" t="str">
        <f t="shared" si="144"/>
        <v/>
      </c>
      <c r="S796" t="str">
        <f>IF(A796=1,MAX($S$2:$S795)+1,IF(OR($I796&lt;&gt;"",A796="x"),$S795,""))</f>
        <v/>
      </c>
      <c r="T796" t="str">
        <f>IF(D796=1,MAX($T$2:$T795)+1,IF(S796=S795,$T795,IF(D796="x",T795,IF(D795="x","",""))))</f>
        <v/>
      </c>
      <c r="U796" t="str">
        <f>IF(B796=1,MAX($U$2:$U795)+1,IF(AND($T796&lt;&gt;"",$T796=$T795),$U795,IF(B796="x",U795,"")))</f>
        <v/>
      </c>
      <c r="V796" t="str">
        <f>IF(C796=1,MAX($V$2:$V795)+1,IF(AND($T796&lt;&gt;"",$T796=$T795),$U795,IF(C796="x",V795,"")))</f>
        <v/>
      </c>
      <c r="X796" cm="1">
        <f t="array" ref="X796">IF($I796&lt;&gt;"",$I796,INDEX($I$1:$I796,ROW()-COUNTIFS($T$1:$T796,"="&amp;$T796,$S$1:$S796,"&lt;"&amp;$S796)))</f>
        <v>0</v>
      </c>
      <c r="Z796" s="6">
        <f t="shared" si="138"/>
        <v>1</v>
      </c>
      <c r="AA796" t="e">
        <f t="shared" si="139"/>
        <v>#VALUE!</v>
      </c>
      <c r="AB796" t="str">
        <f t="shared" si="140"/>
        <v/>
      </c>
      <c r="AC796" t="e">
        <f t="shared" si="141"/>
        <v>#VALUE!</v>
      </c>
      <c r="AI796" t="e">
        <f t="shared" si="143"/>
        <v>#VALUE!</v>
      </c>
      <c r="BI796" s="40"/>
      <c r="BL796" s="40"/>
      <c r="BN796" s="19"/>
      <c r="BP796" s="17"/>
    </row>
    <row r="797" spans="1:68" x14ac:dyDescent="0.2">
      <c r="A797" t="str">
        <f t="shared" si="137"/>
        <v/>
      </c>
      <c r="E797" s="4"/>
      <c r="F797" s="46"/>
      <c r="G797" s="4"/>
      <c r="H797" s="48"/>
      <c r="J797" s="26" t="str">
        <f t="shared" si="142"/>
        <v/>
      </c>
      <c r="N797" t="str">
        <f t="shared" si="145"/>
        <v/>
      </c>
      <c r="Q797" t="str">
        <f t="shared" si="144"/>
        <v/>
      </c>
      <c r="S797" t="str">
        <f>IF(A797=1,MAX($S$2:$S796)+1,IF(OR($I797&lt;&gt;"",A797="x"),$S796,""))</f>
        <v/>
      </c>
      <c r="T797" t="str">
        <f>IF(D797=1,MAX($T$2:$T796)+1,IF(S797=S796,$T796,IF(D797="x",T796,IF(D796="x","",""))))</f>
        <v/>
      </c>
      <c r="U797" t="str">
        <f>IF(B797=1,MAX($U$2:$U796)+1,IF(AND($T797&lt;&gt;"",$T797=$T796),$U796,IF(B797="x",U796,"")))</f>
        <v/>
      </c>
      <c r="V797" t="str">
        <f>IF(C797=1,MAX($V$2:$V796)+1,IF(AND($T797&lt;&gt;"",$T797=$T796),$U796,IF(C797="x",V796,"")))</f>
        <v/>
      </c>
      <c r="X797" cm="1">
        <f t="array" ref="X797">IF($I797&lt;&gt;"",$I797,INDEX($I$1:$I797,ROW()-COUNTIFS($T$1:$T797,"="&amp;$T797,$S$1:$S797,"&lt;"&amp;$S797)))</f>
        <v>0</v>
      </c>
      <c r="Z797" s="6">
        <f t="shared" si="138"/>
        <v>1</v>
      </c>
      <c r="AA797" t="e">
        <f t="shared" si="139"/>
        <v>#VALUE!</v>
      </c>
      <c r="AB797" t="str">
        <f t="shared" si="140"/>
        <v/>
      </c>
      <c r="AC797" t="e">
        <f t="shared" si="141"/>
        <v>#VALUE!</v>
      </c>
      <c r="AI797" t="e">
        <f t="shared" si="143"/>
        <v>#VALUE!</v>
      </c>
      <c r="BI797" s="40"/>
      <c r="BL797" s="40"/>
      <c r="BN797" s="19"/>
      <c r="BP797" s="17"/>
    </row>
    <row r="798" spans="1:68" x14ac:dyDescent="0.2">
      <c r="A798" t="str">
        <f t="shared" si="137"/>
        <v/>
      </c>
      <c r="E798" s="4"/>
      <c r="F798" s="46"/>
      <c r="G798" s="4"/>
      <c r="H798" s="48"/>
      <c r="J798" s="26" t="str">
        <f t="shared" si="142"/>
        <v/>
      </c>
      <c r="N798" t="str">
        <f t="shared" si="145"/>
        <v/>
      </c>
      <c r="Q798" t="str">
        <f t="shared" si="144"/>
        <v/>
      </c>
      <c r="S798" t="str">
        <f>IF(A798=1,MAX($S$2:$S797)+1,IF(OR($I798&lt;&gt;"",A798="x"),$S797,""))</f>
        <v/>
      </c>
      <c r="T798" t="str">
        <f>IF(D798=1,MAX($T$2:$T797)+1,IF(S798=S797,$T797,IF(D798="x",T797,IF(D797="x","",""))))</f>
        <v/>
      </c>
      <c r="U798" t="str">
        <f>IF(B798=1,MAX($U$2:$U797)+1,IF(AND($T798&lt;&gt;"",$T798=$T797),$U797,IF(B798="x",U797,"")))</f>
        <v/>
      </c>
      <c r="V798" t="str">
        <f>IF(C798=1,MAX($V$2:$V797)+1,IF(AND($T798&lt;&gt;"",$T798=$T797),$U797,IF(C798="x",V797,"")))</f>
        <v/>
      </c>
      <c r="X798" cm="1">
        <f t="array" ref="X798">IF($I798&lt;&gt;"",$I798,INDEX($I$1:$I798,ROW()-COUNTIFS($T$1:$T798,"="&amp;$T798,$S$1:$S798,"&lt;"&amp;$S798)))</f>
        <v>0</v>
      </c>
      <c r="Z798" s="6">
        <f t="shared" si="138"/>
        <v>1</v>
      </c>
      <c r="AA798" t="e">
        <f t="shared" si="139"/>
        <v>#VALUE!</v>
      </c>
      <c r="AB798" t="str">
        <f t="shared" si="140"/>
        <v/>
      </c>
      <c r="AC798" t="e">
        <f t="shared" si="141"/>
        <v>#VALUE!</v>
      </c>
      <c r="AI798" t="e">
        <f t="shared" si="143"/>
        <v>#VALUE!</v>
      </c>
      <c r="BI798" s="40"/>
      <c r="BL798" s="40"/>
      <c r="BN798" s="19"/>
      <c r="BP798" s="17"/>
    </row>
    <row r="799" spans="1:68" x14ac:dyDescent="0.2">
      <c r="A799" t="str">
        <f t="shared" si="137"/>
        <v/>
      </c>
      <c r="E799" s="4"/>
      <c r="F799" s="46"/>
      <c r="G799" s="4"/>
      <c r="H799" s="48"/>
      <c r="J799" s="26" t="str">
        <f t="shared" si="142"/>
        <v/>
      </c>
      <c r="N799" t="str">
        <f t="shared" si="145"/>
        <v/>
      </c>
      <c r="Q799" t="str">
        <f t="shared" si="144"/>
        <v/>
      </c>
      <c r="S799" t="str">
        <f>IF(A799=1,MAX($S$2:$S798)+1,IF(OR($I799&lt;&gt;"",A799="x"),$S798,""))</f>
        <v/>
      </c>
      <c r="T799" t="str">
        <f>IF(D799=1,MAX($T$2:$T798)+1,IF(S799=S798,$T798,IF(D799="x",T798,IF(D798="x","",""))))</f>
        <v/>
      </c>
      <c r="U799" t="str">
        <f>IF(B799=1,MAX($U$2:$U798)+1,IF(AND($T799&lt;&gt;"",$T799=$T798),$U798,IF(B799="x",U798,"")))</f>
        <v/>
      </c>
      <c r="V799" t="str">
        <f>IF(C799=1,MAX($V$2:$V798)+1,IF(AND($T799&lt;&gt;"",$T799=$T798),$U798,IF(C799="x",V798,"")))</f>
        <v/>
      </c>
      <c r="X799" cm="1">
        <f t="array" ref="X799">IF($I799&lt;&gt;"",$I799,INDEX($I$1:$I799,ROW()-COUNTIFS($T$1:$T799,"="&amp;$T799,$S$1:$S799,"&lt;"&amp;$S799)))</f>
        <v>0</v>
      </c>
      <c r="Z799" s="6">
        <f t="shared" si="138"/>
        <v>1</v>
      </c>
      <c r="AA799" t="e">
        <f t="shared" si="139"/>
        <v>#VALUE!</v>
      </c>
      <c r="AB799" t="str">
        <f t="shared" si="140"/>
        <v/>
      </c>
      <c r="AC799" t="e">
        <f t="shared" si="141"/>
        <v>#VALUE!</v>
      </c>
      <c r="AI799" t="e">
        <f t="shared" si="143"/>
        <v>#VALUE!</v>
      </c>
      <c r="BI799" s="40"/>
      <c r="BL799" s="40"/>
      <c r="BN799" s="19"/>
      <c r="BP799" s="17"/>
    </row>
    <row r="800" spans="1:68" x14ac:dyDescent="0.2">
      <c r="A800" t="str">
        <f t="shared" si="137"/>
        <v/>
      </c>
      <c r="E800" s="4"/>
      <c r="F800" s="46"/>
      <c r="G800" s="4"/>
      <c r="H800" s="48"/>
      <c r="J800" s="26" t="str">
        <f t="shared" si="142"/>
        <v/>
      </c>
      <c r="N800" t="str">
        <f t="shared" si="145"/>
        <v/>
      </c>
      <c r="Q800" t="str">
        <f t="shared" si="144"/>
        <v/>
      </c>
      <c r="S800" t="str">
        <f>IF(A800=1,MAX($S$2:$S799)+1,IF(OR($I800&lt;&gt;"",A800="x"),$S799,""))</f>
        <v/>
      </c>
      <c r="T800" t="str">
        <f>IF(D800=1,MAX($T$2:$T799)+1,IF(S800=S799,$T799,IF(D800="x",T799,IF(D799="x","",""))))</f>
        <v/>
      </c>
      <c r="U800" t="str">
        <f>IF(B800=1,MAX($U$2:$U799)+1,IF(AND($T800&lt;&gt;"",$T800=$T799),$U799,IF(B800="x",U799,"")))</f>
        <v/>
      </c>
      <c r="V800" t="str">
        <f>IF(C800=1,MAX($V$2:$V799)+1,IF(AND($T800&lt;&gt;"",$T800=$T799),$U799,IF(C800="x",V799,"")))</f>
        <v/>
      </c>
      <c r="X800" cm="1">
        <f t="array" ref="X800">IF($I800&lt;&gt;"",$I800,INDEX($I$1:$I800,ROW()-COUNTIFS($T$1:$T800,"="&amp;$T800,$S$1:$S800,"&lt;"&amp;$S800)))</f>
        <v>0</v>
      </c>
      <c r="Z800" s="6">
        <f t="shared" si="138"/>
        <v>1</v>
      </c>
      <c r="AA800" t="e">
        <f t="shared" si="139"/>
        <v>#VALUE!</v>
      </c>
      <c r="AB800" t="str">
        <f t="shared" si="140"/>
        <v/>
      </c>
      <c r="AC800" t="e">
        <f t="shared" si="141"/>
        <v>#VALUE!</v>
      </c>
      <c r="AI800" t="e">
        <f t="shared" si="143"/>
        <v>#VALUE!</v>
      </c>
      <c r="BI800" s="40"/>
      <c r="BL800" s="40"/>
      <c r="BN800" s="19"/>
      <c r="BP800" s="17"/>
    </row>
    <row r="801" spans="1:68" x14ac:dyDescent="0.2">
      <c r="A801" t="str">
        <f t="shared" si="137"/>
        <v/>
      </c>
      <c r="E801" s="4"/>
      <c r="F801" s="46"/>
      <c r="G801" s="4"/>
      <c r="H801" s="48"/>
      <c r="J801" s="26" t="str">
        <f t="shared" si="142"/>
        <v/>
      </c>
      <c r="N801" t="str">
        <f t="shared" si="145"/>
        <v/>
      </c>
      <c r="Q801" t="str">
        <f t="shared" si="144"/>
        <v/>
      </c>
      <c r="S801" t="str">
        <f>IF(A801=1,MAX($S$2:$S800)+1,IF(OR($I801&lt;&gt;"",A801="x"),$S800,""))</f>
        <v/>
      </c>
      <c r="T801" t="str">
        <f>IF(D801=1,MAX($T$2:$T800)+1,IF(S801=S800,$T800,IF(D801="x",T800,IF(D800="x","",""))))</f>
        <v/>
      </c>
      <c r="U801" t="str">
        <f>IF(B801=1,MAX($U$2:$U800)+1,IF(AND($T801&lt;&gt;"",$T801=$T800),$U800,IF(B801="x",U800,"")))</f>
        <v/>
      </c>
      <c r="V801" t="str">
        <f>IF(C801=1,MAX($V$2:$V800)+1,IF(AND($T801&lt;&gt;"",$T801=$T800),$U800,IF(C801="x",V800,"")))</f>
        <v/>
      </c>
      <c r="X801" cm="1">
        <f t="array" ref="X801">IF($I801&lt;&gt;"",$I801,INDEX($I$1:$I801,ROW()-COUNTIFS($T$1:$T801,"="&amp;$T801,$S$1:$S801,"&lt;"&amp;$S801)))</f>
        <v>0</v>
      </c>
      <c r="Z801" s="6">
        <f t="shared" si="138"/>
        <v>1</v>
      </c>
      <c r="AA801" t="e">
        <f t="shared" si="139"/>
        <v>#VALUE!</v>
      </c>
      <c r="AB801" t="str">
        <f t="shared" si="140"/>
        <v/>
      </c>
      <c r="AC801" t="e">
        <f t="shared" si="141"/>
        <v>#VALUE!</v>
      </c>
      <c r="AI801" t="e">
        <f t="shared" si="143"/>
        <v>#VALUE!</v>
      </c>
      <c r="BI801" s="40"/>
      <c r="BL801" s="40"/>
      <c r="BN801" s="19"/>
      <c r="BP801" s="17"/>
    </row>
    <row r="802" spans="1:68" x14ac:dyDescent="0.2">
      <c r="A802" t="str">
        <f t="shared" si="137"/>
        <v/>
      </c>
      <c r="E802" s="4"/>
      <c r="F802" s="46"/>
      <c r="G802" s="4"/>
      <c r="H802" s="48"/>
      <c r="J802" s="26" t="str">
        <f t="shared" si="142"/>
        <v/>
      </c>
      <c r="N802" t="str">
        <f t="shared" si="145"/>
        <v/>
      </c>
      <c r="Q802" t="str">
        <f t="shared" si="144"/>
        <v/>
      </c>
      <c r="S802" t="str">
        <f>IF(A802=1,MAX($S$2:$S801)+1,IF(OR($I802&lt;&gt;"",A802="x"),$S801,""))</f>
        <v/>
      </c>
      <c r="T802" t="str">
        <f>IF(D802=1,MAX($T$2:$T801)+1,IF(S802=S801,$T801,IF(D802="x",T801,IF(D801="x","",""))))</f>
        <v/>
      </c>
      <c r="U802" t="str">
        <f>IF(B802=1,MAX($U$2:$U801)+1,IF(AND($T802&lt;&gt;"",$T802=$T801),$U801,IF(B802="x",U801,"")))</f>
        <v/>
      </c>
      <c r="V802" t="str">
        <f>IF(C802=1,MAX($V$2:$V801)+1,IF(AND($T802&lt;&gt;"",$T802=$T801),$U801,IF(C802="x",V801,"")))</f>
        <v/>
      </c>
      <c r="X802" cm="1">
        <f t="array" ref="X802">IF($I802&lt;&gt;"",$I802,INDEX($I$1:$I802,ROW()-COUNTIFS($T$1:$T802,"="&amp;$T802,$S$1:$S802,"&lt;"&amp;$S802)))</f>
        <v>0</v>
      </c>
      <c r="Z802" s="6">
        <f t="shared" si="138"/>
        <v>1</v>
      </c>
      <c r="AA802" t="e">
        <f t="shared" si="139"/>
        <v>#VALUE!</v>
      </c>
      <c r="AB802" t="str">
        <f t="shared" si="140"/>
        <v/>
      </c>
      <c r="AC802" t="e">
        <f t="shared" si="141"/>
        <v>#VALUE!</v>
      </c>
      <c r="AI802" t="e">
        <f t="shared" si="143"/>
        <v>#VALUE!</v>
      </c>
      <c r="BI802" s="40"/>
      <c r="BL802" s="40"/>
      <c r="BN802" s="19"/>
      <c r="BP802" s="17"/>
    </row>
    <row r="803" spans="1:68" x14ac:dyDescent="0.2">
      <c r="A803" t="str">
        <f t="shared" si="137"/>
        <v/>
      </c>
      <c r="E803" s="4"/>
      <c r="F803" s="46"/>
      <c r="G803" s="4"/>
      <c r="H803" s="48"/>
      <c r="J803" s="26" t="str">
        <f t="shared" si="142"/>
        <v/>
      </c>
      <c r="N803" t="str">
        <f t="shared" si="145"/>
        <v/>
      </c>
      <c r="Q803" t="str">
        <f t="shared" si="144"/>
        <v/>
      </c>
      <c r="S803" t="str">
        <f>IF(A803=1,MAX($S$2:$S802)+1,IF(OR($I803&lt;&gt;"",A803="x"),$S802,""))</f>
        <v/>
      </c>
      <c r="T803" t="str">
        <f>IF(D803=1,MAX($T$2:$T802)+1,IF(S803=S802,$T802,IF(D803="x",T802,IF(D802="x","",""))))</f>
        <v/>
      </c>
      <c r="U803" t="str">
        <f>IF(B803=1,MAX($U$2:$U802)+1,IF(AND($T803&lt;&gt;"",$T803=$T802),$U802,IF(B803="x",U802,"")))</f>
        <v/>
      </c>
      <c r="V803" t="str">
        <f>IF(C803=1,MAX($V$2:$V802)+1,IF(AND($T803&lt;&gt;"",$T803=$T802),$U802,IF(C803="x",V802,"")))</f>
        <v/>
      </c>
      <c r="X803" cm="1">
        <f t="array" ref="X803">IF($I803&lt;&gt;"",$I803,INDEX($I$1:$I803,ROW()-COUNTIFS($T$1:$T803,"="&amp;$T803,$S$1:$S803,"&lt;"&amp;$S803)))</f>
        <v>0</v>
      </c>
      <c r="Z803" s="6">
        <f t="shared" si="138"/>
        <v>1</v>
      </c>
      <c r="AA803" t="e">
        <f t="shared" si="139"/>
        <v>#VALUE!</v>
      </c>
      <c r="AB803" t="str">
        <f t="shared" si="140"/>
        <v/>
      </c>
      <c r="AC803" t="e">
        <f t="shared" si="141"/>
        <v>#VALUE!</v>
      </c>
      <c r="AI803" t="e">
        <f t="shared" si="143"/>
        <v>#VALUE!</v>
      </c>
      <c r="BI803" s="40"/>
      <c r="BL803" s="40"/>
      <c r="BN803" s="19"/>
      <c r="BP803" s="17"/>
    </row>
    <row r="804" spans="1:68" x14ac:dyDescent="0.2">
      <c r="A804" t="str">
        <f t="shared" si="137"/>
        <v/>
      </c>
      <c r="E804" s="4"/>
      <c r="F804" s="46"/>
      <c r="G804" s="4"/>
      <c r="H804" s="48"/>
      <c r="J804" s="26" t="str">
        <f t="shared" si="142"/>
        <v/>
      </c>
      <c r="N804" t="str">
        <f t="shared" si="145"/>
        <v/>
      </c>
      <c r="Q804" t="str">
        <f t="shared" si="144"/>
        <v/>
      </c>
      <c r="S804" t="str">
        <f>IF(A804=1,MAX($S$2:$S803)+1,IF(OR($I804&lt;&gt;"",A804="x"),$S803,""))</f>
        <v/>
      </c>
      <c r="T804" t="str">
        <f>IF(D804=1,MAX($T$2:$T803)+1,IF(S804=S803,$T803,IF(D804="x",T803,IF(D803="x","",""))))</f>
        <v/>
      </c>
      <c r="U804" t="str">
        <f>IF(B804=1,MAX($U$2:$U803)+1,IF(AND($T804&lt;&gt;"",$T804=$T803),$U803,IF(B804="x",U803,"")))</f>
        <v/>
      </c>
      <c r="V804" t="str">
        <f>IF(C804=1,MAX($V$2:$V803)+1,IF(AND($T804&lt;&gt;"",$T804=$T803),$U803,IF(C804="x",V803,"")))</f>
        <v/>
      </c>
      <c r="X804" cm="1">
        <f t="array" ref="X804">IF($I804&lt;&gt;"",$I804,INDEX($I$1:$I804,ROW()-COUNTIFS($T$1:$T804,"="&amp;$T804,$S$1:$S804,"&lt;"&amp;$S804)))</f>
        <v>0</v>
      </c>
      <c r="Z804" s="6">
        <f t="shared" si="138"/>
        <v>1</v>
      </c>
      <c r="AA804" t="e">
        <f t="shared" si="139"/>
        <v>#VALUE!</v>
      </c>
      <c r="AB804" t="str">
        <f t="shared" si="140"/>
        <v/>
      </c>
      <c r="AC804" t="e">
        <f t="shared" si="141"/>
        <v>#VALUE!</v>
      </c>
      <c r="AI804" t="e">
        <f t="shared" si="143"/>
        <v>#VALUE!</v>
      </c>
      <c r="BI804" s="40"/>
      <c r="BL804" s="40"/>
      <c r="BN804" s="19"/>
      <c r="BP804" s="17"/>
    </row>
    <row r="805" spans="1:68" x14ac:dyDescent="0.2">
      <c r="A805" t="str">
        <f t="shared" si="137"/>
        <v/>
      </c>
      <c r="E805" s="4"/>
      <c r="F805" s="46"/>
      <c r="G805" s="4"/>
      <c r="H805" s="48"/>
      <c r="J805" s="26" t="str">
        <f t="shared" si="142"/>
        <v/>
      </c>
      <c r="N805" t="str">
        <f t="shared" si="145"/>
        <v/>
      </c>
      <c r="Q805" t="str">
        <f t="shared" si="144"/>
        <v/>
      </c>
      <c r="S805" t="str">
        <f>IF(A805=1,MAX($S$2:$S804)+1,IF(OR($I805&lt;&gt;"",A805="x"),$S804,""))</f>
        <v/>
      </c>
      <c r="T805" t="str">
        <f>IF(D805=1,MAX($T$2:$T804)+1,IF(S805=S804,$T804,IF(D805="x",T804,IF(D804="x","",""))))</f>
        <v/>
      </c>
      <c r="U805" t="str">
        <f>IF(B805=1,MAX($U$2:$U804)+1,IF(AND($T805&lt;&gt;"",$T805=$T804),$U804,IF(B805="x",U804,"")))</f>
        <v/>
      </c>
      <c r="V805" t="str">
        <f>IF(C805=1,MAX($V$2:$V804)+1,IF(AND($T805&lt;&gt;"",$T805=$T804),$U804,IF(C805="x",V804,"")))</f>
        <v/>
      </c>
      <c r="X805" cm="1">
        <f t="array" ref="X805">IF($I805&lt;&gt;"",$I805,INDEX($I$1:$I805,ROW()-COUNTIFS($T$1:$T805,"="&amp;$T805,$S$1:$S805,"&lt;"&amp;$S805)))</f>
        <v>0</v>
      </c>
      <c r="Z805" s="6">
        <f t="shared" si="138"/>
        <v>1</v>
      </c>
      <c r="AA805" t="e">
        <f t="shared" si="139"/>
        <v>#VALUE!</v>
      </c>
      <c r="AB805" t="str">
        <f t="shared" si="140"/>
        <v/>
      </c>
      <c r="AC805" t="e">
        <f t="shared" si="141"/>
        <v>#VALUE!</v>
      </c>
      <c r="AI805" t="e">
        <f t="shared" si="143"/>
        <v>#VALUE!</v>
      </c>
      <c r="BI805" s="40"/>
      <c r="BL805" s="40"/>
      <c r="BN805" s="19"/>
      <c r="BP805" s="17"/>
    </row>
    <row r="806" spans="1:68" x14ac:dyDescent="0.2">
      <c r="A806" t="str">
        <f t="shared" si="137"/>
        <v/>
      </c>
      <c r="E806" s="4"/>
      <c r="F806" s="46"/>
      <c r="G806" s="4"/>
      <c r="H806" s="48"/>
      <c r="J806" s="26" t="str">
        <f t="shared" si="142"/>
        <v/>
      </c>
      <c r="N806" t="str">
        <f t="shared" si="145"/>
        <v/>
      </c>
      <c r="Q806" t="str">
        <f t="shared" si="144"/>
        <v/>
      </c>
      <c r="S806" t="str">
        <f>IF(A806=1,MAX($S$2:$S805)+1,IF(OR($I806&lt;&gt;"",A806="x"),$S805,""))</f>
        <v/>
      </c>
      <c r="T806" t="str">
        <f>IF(D806=1,MAX($T$2:$T805)+1,IF(S806=S805,$T805,IF(D806="x",T805,IF(D805="x","",""))))</f>
        <v/>
      </c>
      <c r="U806" t="str">
        <f>IF(B806=1,MAX($U$2:$U805)+1,IF(AND($T806&lt;&gt;"",$T806=$T805),$U805,IF(B806="x",U805,"")))</f>
        <v/>
      </c>
      <c r="V806" t="str">
        <f>IF(C806=1,MAX($V$2:$V805)+1,IF(AND($T806&lt;&gt;"",$T806=$T805),$U805,IF(C806="x",V805,"")))</f>
        <v/>
      </c>
      <c r="X806" cm="1">
        <f t="array" ref="X806">IF($I806&lt;&gt;"",$I806,INDEX($I$1:$I806,ROW()-COUNTIFS($T$1:$T806,"="&amp;$T806,$S$1:$S806,"&lt;"&amp;$S806)))</f>
        <v>0</v>
      </c>
      <c r="Z806" s="6">
        <f t="shared" si="138"/>
        <v>1</v>
      </c>
      <c r="AA806" t="e">
        <f t="shared" si="139"/>
        <v>#VALUE!</v>
      </c>
      <c r="AB806" t="str">
        <f t="shared" si="140"/>
        <v/>
      </c>
      <c r="AC806" t="e">
        <f t="shared" si="141"/>
        <v>#VALUE!</v>
      </c>
      <c r="AI806" t="e">
        <f t="shared" si="143"/>
        <v>#VALUE!</v>
      </c>
      <c r="BI806" s="40"/>
      <c r="BL806" s="40"/>
      <c r="BN806" s="19"/>
      <c r="BP806" s="17"/>
    </row>
    <row r="807" spans="1:68" x14ac:dyDescent="0.2">
      <c r="A807" t="str">
        <f t="shared" si="137"/>
        <v/>
      </c>
      <c r="E807" s="4"/>
      <c r="F807" s="46"/>
      <c r="G807" s="4"/>
      <c r="H807" s="48"/>
      <c r="J807" s="26" t="str">
        <f t="shared" si="142"/>
        <v/>
      </c>
      <c r="N807" t="str">
        <f t="shared" si="145"/>
        <v/>
      </c>
      <c r="Q807" t="str">
        <f t="shared" si="144"/>
        <v/>
      </c>
      <c r="S807" t="str">
        <f>IF(A807=1,MAX($S$2:$S806)+1,IF(OR($I807&lt;&gt;"",A807="x"),$S806,""))</f>
        <v/>
      </c>
      <c r="T807" t="str">
        <f>IF(D807=1,MAX($T$2:$T806)+1,IF(S807=S806,$T806,IF(D807="x",T806,IF(D806="x","",""))))</f>
        <v/>
      </c>
      <c r="U807" t="str">
        <f>IF(B807=1,MAX($U$2:$U806)+1,IF(AND($T807&lt;&gt;"",$T807=$T806),$U806,IF(B807="x",U806,"")))</f>
        <v/>
      </c>
      <c r="V807" t="str">
        <f>IF(C807=1,MAX($V$2:$V806)+1,IF(AND($T807&lt;&gt;"",$T807=$T806),$U806,IF(C807="x",V806,"")))</f>
        <v/>
      </c>
      <c r="X807" cm="1">
        <f t="array" ref="X807">IF($I807&lt;&gt;"",$I807,INDEX($I$1:$I807,ROW()-COUNTIFS($T$1:$T807,"="&amp;$T807,$S$1:$S807,"&lt;"&amp;$S807)))</f>
        <v>0</v>
      </c>
      <c r="Z807" s="6">
        <f t="shared" si="138"/>
        <v>1</v>
      </c>
      <c r="AA807" t="e">
        <f t="shared" si="139"/>
        <v>#VALUE!</v>
      </c>
      <c r="AB807" t="str">
        <f t="shared" si="140"/>
        <v/>
      </c>
      <c r="AC807" t="e">
        <f t="shared" si="141"/>
        <v>#VALUE!</v>
      </c>
      <c r="AI807" t="e">
        <f t="shared" si="143"/>
        <v>#VALUE!</v>
      </c>
      <c r="BI807" s="40"/>
      <c r="BL807" s="40"/>
      <c r="BN807" s="19"/>
      <c r="BP807" s="17"/>
    </row>
    <row r="808" spans="1:68" x14ac:dyDescent="0.2">
      <c r="A808" t="str">
        <f t="shared" si="137"/>
        <v/>
      </c>
      <c r="E808" s="4"/>
      <c r="F808" s="46"/>
      <c r="G808" s="4"/>
      <c r="H808" s="48"/>
      <c r="J808" s="26" t="str">
        <f t="shared" si="142"/>
        <v/>
      </c>
      <c r="N808" t="str">
        <f t="shared" si="145"/>
        <v/>
      </c>
      <c r="Q808" t="str">
        <f t="shared" si="144"/>
        <v/>
      </c>
      <c r="S808" t="str">
        <f>IF(A808=1,MAX($S$2:$S807)+1,IF(OR($I808&lt;&gt;"",A808="x"),$S807,""))</f>
        <v/>
      </c>
      <c r="T808" t="str">
        <f>IF(D808=1,MAX($T$2:$T807)+1,IF(S808=S807,$T807,IF(D808="x",T807,IF(D807="x","",""))))</f>
        <v/>
      </c>
      <c r="U808" t="str">
        <f>IF(B808=1,MAX($U$2:$U807)+1,IF(AND($T808&lt;&gt;"",$T808=$T807),$U807,IF(B808="x",U807,"")))</f>
        <v/>
      </c>
      <c r="V808" t="str">
        <f>IF(C808=1,MAX($V$2:$V807)+1,IF(AND($T808&lt;&gt;"",$T808=$T807),$U807,IF(C808="x",V807,"")))</f>
        <v/>
      </c>
      <c r="X808" cm="1">
        <f t="array" ref="X808">IF($I808&lt;&gt;"",$I808,INDEX($I$1:$I808,ROW()-COUNTIFS($T$1:$T808,"="&amp;$T808,$S$1:$S808,"&lt;"&amp;$S808)))</f>
        <v>0</v>
      </c>
      <c r="Z808" s="6">
        <f t="shared" si="138"/>
        <v>1</v>
      </c>
      <c r="AA808" t="e">
        <f t="shared" si="139"/>
        <v>#VALUE!</v>
      </c>
      <c r="AB808" t="str">
        <f t="shared" si="140"/>
        <v/>
      </c>
      <c r="AC808" t="e">
        <f t="shared" si="141"/>
        <v>#VALUE!</v>
      </c>
      <c r="AI808" t="e">
        <f t="shared" si="143"/>
        <v>#VALUE!</v>
      </c>
      <c r="BI808" s="40"/>
      <c r="BL808" s="40"/>
      <c r="BN808" s="19"/>
      <c r="BP808" s="17"/>
    </row>
    <row r="809" spans="1:68" x14ac:dyDescent="0.2">
      <c r="A809" t="str">
        <f t="shared" si="137"/>
        <v/>
      </c>
      <c r="E809" s="4"/>
      <c r="F809" s="46"/>
      <c r="G809" s="4"/>
      <c r="H809" s="48"/>
      <c r="J809" s="26" t="str">
        <f t="shared" si="142"/>
        <v/>
      </c>
      <c r="N809" t="str">
        <f t="shared" si="145"/>
        <v/>
      </c>
      <c r="Q809" t="str">
        <f t="shared" si="144"/>
        <v/>
      </c>
      <c r="S809" t="str">
        <f>IF(A809=1,MAX($S$2:$S808)+1,IF(OR($I809&lt;&gt;"",A809="x"),$S808,""))</f>
        <v/>
      </c>
      <c r="T809" t="str">
        <f>IF(D809=1,MAX($T$2:$T808)+1,IF(S809=S808,$T808,IF(D809="x",T808,IF(D808="x","",""))))</f>
        <v/>
      </c>
      <c r="U809" t="str">
        <f>IF(B809=1,MAX($U$2:$U808)+1,IF(AND($T809&lt;&gt;"",$T809=$T808),$U808,IF(B809="x",U808,"")))</f>
        <v/>
      </c>
      <c r="V809" t="str">
        <f>IF(C809=1,MAX($V$2:$V808)+1,IF(AND($T809&lt;&gt;"",$T809=$T808),$U808,IF(C809="x",V808,"")))</f>
        <v/>
      </c>
      <c r="X809" cm="1">
        <f t="array" ref="X809">IF($I809&lt;&gt;"",$I809,INDEX($I$1:$I809,ROW()-COUNTIFS($T$1:$T809,"="&amp;$T809,$S$1:$S809,"&lt;"&amp;$S809)))</f>
        <v>0</v>
      </c>
      <c r="Z809" s="6">
        <f t="shared" si="138"/>
        <v>1</v>
      </c>
      <c r="AA809" t="e">
        <f t="shared" si="139"/>
        <v>#VALUE!</v>
      </c>
      <c r="AB809" t="str">
        <f t="shared" si="140"/>
        <v/>
      </c>
      <c r="AC809" t="e">
        <f t="shared" si="141"/>
        <v>#VALUE!</v>
      </c>
      <c r="AI809" t="e">
        <f t="shared" si="143"/>
        <v>#VALUE!</v>
      </c>
      <c r="BI809" s="40"/>
      <c r="BL809" s="40"/>
      <c r="BN809" s="19"/>
      <c r="BP809" s="17"/>
    </row>
    <row r="810" spans="1:68" x14ac:dyDescent="0.2">
      <c r="A810" t="str">
        <f t="shared" si="137"/>
        <v/>
      </c>
      <c r="E810" s="4"/>
      <c r="F810" s="46"/>
      <c r="G810" s="4"/>
      <c r="H810" s="48"/>
      <c r="J810" s="26" t="str">
        <f t="shared" si="142"/>
        <v/>
      </c>
      <c r="N810" t="str">
        <f t="shared" si="145"/>
        <v/>
      </c>
      <c r="Q810" t="str">
        <f t="shared" si="144"/>
        <v/>
      </c>
      <c r="S810" t="str">
        <f>IF(A810=1,MAX($S$2:$S809)+1,IF(OR($I810&lt;&gt;"",A810="x"),$S809,""))</f>
        <v/>
      </c>
      <c r="T810" t="str">
        <f>IF(D810=1,MAX($T$2:$T809)+1,IF(S810=S809,$T809,IF(D810="x",T809,IF(D809="x","",""))))</f>
        <v/>
      </c>
      <c r="U810" t="str">
        <f>IF(B810=1,MAX($U$2:$U809)+1,IF(AND($T810&lt;&gt;"",$T810=$T809),$U809,IF(B810="x",U809,"")))</f>
        <v/>
      </c>
      <c r="V810" t="str">
        <f>IF(C810=1,MAX($V$2:$V809)+1,IF(AND($T810&lt;&gt;"",$T810=$T809),$U809,IF(C810="x",V809,"")))</f>
        <v/>
      </c>
      <c r="X810" cm="1">
        <f t="array" ref="X810">IF($I810&lt;&gt;"",$I810,INDEX($I$1:$I810,ROW()-COUNTIFS($T$1:$T810,"="&amp;$T810,$S$1:$S810,"&lt;"&amp;$S810)))</f>
        <v>0</v>
      </c>
      <c r="Z810" s="6">
        <f t="shared" si="138"/>
        <v>1</v>
      </c>
      <c r="AA810" t="e">
        <f t="shared" si="139"/>
        <v>#VALUE!</v>
      </c>
      <c r="AB810" t="str">
        <f t="shared" si="140"/>
        <v/>
      </c>
      <c r="AC810" t="e">
        <f t="shared" si="141"/>
        <v>#VALUE!</v>
      </c>
      <c r="AI810" t="e">
        <f t="shared" si="143"/>
        <v>#VALUE!</v>
      </c>
      <c r="BI810" s="40"/>
      <c r="BL810" s="40"/>
      <c r="BN810" s="19"/>
      <c r="BP810" s="17"/>
    </row>
    <row r="811" spans="1:68" x14ac:dyDescent="0.2">
      <c r="A811" t="str">
        <f t="shared" si="137"/>
        <v/>
      </c>
      <c r="E811" s="4"/>
      <c r="F811" s="46"/>
      <c r="G811" s="4"/>
      <c r="H811" s="48"/>
      <c r="J811" s="26" t="str">
        <f t="shared" si="142"/>
        <v/>
      </c>
      <c r="N811" t="str">
        <f t="shared" si="145"/>
        <v/>
      </c>
      <c r="Q811" t="str">
        <f t="shared" si="144"/>
        <v/>
      </c>
      <c r="S811" t="str">
        <f>IF(A811=1,MAX($S$2:$S810)+1,IF(OR($I811&lt;&gt;"",A811="x"),$S810,""))</f>
        <v/>
      </c>
      <c r="T811" t="str">
        <f>IF(D811=1,MAX($T$2:$T810)+1,IF(S811=S810,$T810,IF(D811="x",T810,IF(D810="x","",""))))</f>
        <v/>
      </c>
      <c r="U811" t="str">
        <f>IF(B811=1,MAX($U$2:$U810)+1,IF(AND($T811&lt;&gt;"",$T811=$T810),$U810,IF(B811="x",U810,"")))</f>
        <v/>
      </c>
      <c r="V811" t="str">
        <f>IF(C811=1,MAX($V$2:$V810)+1,IF(AND($T811&lt;&gt;"",$T811=$T810),$U810,IF(C811="x",V810,"")))</f>
        <v/>
      </c>
      <c r="X811" cm="1">
        <f t="array" ref="X811">IF($I811&lt;&gt;"",$I811,INDEX($I$1:$I811,ROW()-COUNTIFS($T$1:$T811,"="&amp;$T811,$S$1:$S811,"&lt;"&amp;$S811)))</f>
        <v>0</v>
      </c>
      <c r="Z811" s="6">
        <f t="shared" si="138"/>
        <v>1</v>
      </c>
      <c r="AA811" t="e">
        <f t="shared" si="139"/>
        <v>#VALUE!</v>
      </c>
      <c r="AB811" t="str">
        <f t="shared" si="140"/>
        <v/>
      </c>
      <c r="AC811" t="e">
        <f t="shared" si="141"/>
        <v>#VALUE!</v>
      </c>
      <c r="AI811" t="e">
        <f t="shared" si="143"/>
        <v>#VALUE!</v>
      </c>
      <c r="BI811" s="40"/>
      <c r="BL811" s="40"/>
      <c r="BN811" s="19"/>
      <c r="BP811" s="17"/>
    </row>
    <row r="812" spans="1:68" x14ac:dyDescent="0.2">
      <c r="A812" t="str">
        <f t="shared" si="137"/>
        <v/>
      </c>
      <c r="E812" s="4"/>
      <c r="F812" s="46"/>
      <c r="G812" s="4"/>
      <c r="H812" s="48"/>
      <c r="J812" s="26" t="str">
        <f t="shared" si="142"/>
        <v/>
      </c>
      <c r="N812" t="str">
        <f t="shared" si="145"/>
        <v/>
      </c>
      <c r="Q812" t="str">
        <f t="shared" si="144"/>
        <v/>
      </c>
      <c r="S812" t="str">
        <f>IF(A812=1,MAX($S$2:$S811)+1,IF(OR($I812&lt;&gt;"",A812="x"),$S811,""))</f>
        <v/>
      </c>
      <c r="T812" t="str">
        <f>IF(D812=1,MAX($T$2:$T811)+1,IF(S812=S811,$T811,IF(D812="x",T811,IF(D811="x","",""))))</f>
        <v/>
      </c>
      <c r="U812" t="str">
        <f>IF(B812=1,MAX($U$2:$U811)+1,IF(AND($T812&lt;&gt;"",$T812=$T811),$U811,IF(B812="x",U811,"")))</f>
        <v/>
      </c>
      <c r="V812" t="str">
        <f>IF(C812=1,MAX($V$2:$V811)+1,IF(AND($T812&lt;&gt;"",$T812=$T811),$U811,IF(C812="x",V811,"")))</f>
        <v/>
      </c>
      <c r="X812" cm="1">
        <f t="array" ref="X812">IF($I812&lt;&gt;"",$I812,INDEX($I$1:$I812,ROW()-COUNTIFS($T$1:$T812,"="&amp;$T812,$S$1:$S812,"&lt;"&amp;$S812)))</f>
        <v>0</v>
      </c>
      <c r="Z812" s="6">
        <f t="shared" si="138"/>
        <v>1</v>
      </c>
      <c r="AA812" t="e">
        <f t="shared" si="139"/>
        <v>#VALUE!</v>
      </c>
      <c r="AB812" t="str">
        <f t="shared" si="140"/>
        <v/>
      </c>
      <c r="AC812" t="e">
        <f t="shared" si="141"/>
        <v>#VALUE!</v>
      </c>
      <c r="AI812" t="e">
        <f t="shared" si="143"/>
        <v>#VALUE!</v>
      </c>
      <c r="BI812" s="40"/>
      <c r="BL812" s="40"/>
      <c r="BN812" s="19"/>
      <c r="BP812" s="17"/>
    </row>
    <row r="813" spans="1:68" x14ac:dyDescent="0.2">
      <c r="A813" t="str">
        <f t="shared" si="137"/>
        <v/>
      </c>
      <c r="E813" s="4"/>
      <c r="F813" s="46"/>
      <c r="G813" s="4"/>
      <c r="H813" s="48"/>
      <c r="J813" s="26" t="str">
        <f t="shared" si="142"/>
        <v/>
      </c>
      <c r="N813" t="str">
        <f t="shared" si="145"/>
        <v/>
      </c>
      <c r="Q813" t="str">
        <f t="shared" si="144"/>
        <v/>
      </c>
      <c r="S813" t="str">
        <f>IF(A813=1,MAX($S$2:$S812)+1,IF(OR($I813&lt;&gt;"",A813="x"),$S812,""))</f>
        <v/>
      </c>
      <c r="T813" t="str">
        <f>IF(D813=1,MAX($T$2:$T812)+1,IF(S813=S812,$T812,IF(D813="x",T812,IF(D812="x","",""))))</f>
        <v/>
      </c>
      <c r="U813" t="str">
        <f>IF(B813=1,MAX($U$2:$U812)+1,IF(AND($T813&lt;&gt;"",$T813=$T812),$U812,IF(B813="x",U812,"")))</f>
        <v/>
      </c>
      <c r="V813" t="str">
        <f>IF(C813=1,MAX($V$2:$V812)+1,IF(AND($T813&lt;&gt;"",$T813=$T812),$U812,IF(C813="x",V812,"")))</f>
        <v/>
      </c>
      <c r="X813" cm="1">
        <f t="array" ref="X813">IF($I813&lt;&gt;"",$I813,INDEX($I$1:$I813,ROW()-COUNTIFS($T$1:$T813,"="&amp;$T813,$S$1:$S813,"&lt;"&amp;$S813)))</f>
        <v>0</v>
      </c>
      <c r="Z813" s="6">
        <f t="shared" si="138"/>
        <v>1</v>
      </c>
      <c r="AA813" t="e">
        <f t="shared" si="139"/>
        <v>#VALUE!</v>
      </c>
      <c r="AB813" t="str">
        <f t="shared" si="140"/>
        <v/>
      </c>
      <c r="AC813" t="e">
        <f t="shared" si="141"/>
        <v>#VALUE!</v>
      </c>
      <c r="AI813" t="e">
        <f t="shared" si="143"/>
        <v>#VALUE!</v>
      </c>
      <c r="BI813" s="40"/>
      <c r="BL813" s="40"/>
      <c r="BN813" s="19"/>
      <c r="BP813" s="17"/>
    </row>
    <row r="814" spans="1:68" x14ac:dyDescent="0.2">
      <c r="A814" t="str">
        <f t="shared" si="137"/>
        <v/>
      </c>
      <c r="E814" s="4"/>
      <c r="F814" s="46"/>
      <c r="G814" s="4"/>
      <c r="H814" s="48"/>
      <c r="J814" s="26" t="str">
        <f t="shared" si="142"/>
        <v/>
      </c>
      <c r="N814" t="str">
        <f t="shared" si="145"/>
        <v/>
      </c>
      <c r="Q814" t="str">
        <f t="shared" si="144"/>
        <v/>
      </c>
      <c r="S814" t="str">
        <f>IF(A814=1,MAX($S$2:$S813)+1,IF(OR($I814&lt;&gt;"",A814="x"),$S813,""))</f>
        <v/>
      </c>
      <c r="T814" t="str">
        <f>IF(D814=1,MAX($T$2:$T813)+1,IF(S814=S813,$T813,IF(D814="x",T813,IF(D813="x","",""))))</f>
        <v/>
      </c>
      <c r="U814" t="str">
        <f>IF(B814=1,MAX($U$2:$U813)+1,IF(AND($T814&lt;&gt;"",$T814=$T813),$U813,IF(B814="x",U813,"")))</f>
        <v/>
      </c>
      <c r="V814" t="str">
        <f>IF(C814=1,MAX($V$2:$V813)+1,IF(AND($T814&lt;&gt;"",$T814=$T813),$U813,IF(C814="x",V813,"")))</f>
        <v/>
      </c>
      <c r="X814" cm="1">
        <f t="array" ref="X814">IF($I814&lt;&gt;"",$I814,INDEX($I$1:$I814,ROW()-COUNTIFS($T$1:$T814,"="&amp;$T814,$S$1:$S814,"&lt;"&amp;$S814)))</f>
        <v>0</v>
      </c>
      <c r="Z814" s="6">
        <f t="shared" si="138"/>
        <v>1</v>
      </c>
      <c r="AA814" t="e">
        <f t="shared" si="139"/>
        <v>#VALUE!</v>
      </c>
      <c r="AB814" t="str">
        <f t="shared" si="140"/>
        <v/>
      </c>
      <c r="AC814" t="e">
        <f t="shared" si="141"/>
        <v>#VALUE!</v>
      </c>
      <c r="AI814" t="e">
        <f t="shared" si="143"/>
        <v>#VALUE!</v>
      </c>
      <c r="BI814" s="40"/>
      <c r="BL814" s="40"/>
      <c r="BN814" s="19"/>
      <c r="BP814" s="17"/>
    </row>
    <row r="815" spans="1:68" x14ac:dyDescent="0.2">
      <c r="A815" t="str">
        <f t="shared" si="137"/>
        <v/>
      </c>
      <c r="E815" s="4"/>
      <c r="F815" s="46"/>
      <c r="G815" s="4"/>
      <c r="H815" s="48"/>
      <c r="J815" s="26" t="str">
        <f t="shared" si="142"/>
        <v/>
      </c>
      <c r="N815" t="str">
        <f t="shared" si="145"/>
        <v/>
      </c>
      <c r="Q815" t="str">
        <f t="shared" si="144"/>
        <v/>
      </c>
      <c r="S815" t="str">
        <f>IF(A815=1,MAX($S$2:$S814)+1,IF(OR($I815&lt;&gt;"",A815="x"),$S814,""))</f>
        <v/>
      </c>
      <c r="T815" t="str">
        <f>IF(D815=1,MAX($T$2:$T814)+1,IF(S815=S814,$T814,IF(D815="x",T814,IF(D814="x","",""))))</f>
        <v/>
      </c>
      <c r="U815" t="str">
        <f>IF(B815=1,MAX($U$2:$U814)+1,IF(AND($T815&lt;&gt;"",$T815=$T814),$U814,IF(B815="x",U814,"")))</f>
        <v/>
      </c>
      <c r="V815" t="str">
        <f>IF(C815=1,MAX($V$2:$V814)+1,IF(AND($T815&lt;&gt;"",$T815=$T814),$U814,IF(C815="x",V814,"")))</f>
        <v/>
      </c>
      <c r="X815" cm="1">
        <f t="array" ref="X815">IF($I815&lt;&gt;"",$I815,INDEX($I$1:$I815,ROW()-COUNTIFS($T$1:$T815,"="&amp;$T815,$S$1:$S815,"&lt;"&amp;$S815)))</f>
        <v>0</v>
      </c>
      <c r="Z815" s="6">
        <f t="shared" si="138"/>
        <v>1</v>
      </c>
      <c r="AA815" t="e">
        <f t="shared" si="139"/>
        <v>#VALUE!</v>
      </c>
      <c r="AB815" t="str">
        <f t="shared" si="140"/>
        <v/>
      </c>
      <c r="AC815" t="e">
        <f t="shared" si="141"/>
        <v>#VALUE!</v>
      </c>
      <c r="AI815" t="e">
        <f t="shared" si="143"/>
        <v>#VALUE!</v>
      </c>
      <c r="BI815" s="40"/>
      <c r="BL815" s="40"/>
      <c r="BN815" s="19"/>
      <c r="BP815" s="17"/>
    </row>
    <row r="816" spans="1:68" x14ac:dyDescent="0.2">
      <c r="A816" t="str">
        <f t="shared" si="137"/>
        <v/>
      </c>
      <c r="E816" s="4"/>
      <c r="F816" s="46"/>
      <c r="G816" s="4"/>
      <c r="H816" s="48"/>
      <c r="J816" s="26" t="str">
        <f t="shared" si="142"/>
        <v/>
      </c>
      <c r="N816" t="str">
        <f t="shared" si="145"/>
        <v/>
      </c>
      <c r="Q816" t="str">
        <f t="shared" si="144"/>
        <v/>
      </c>
      <c r="S816" t="str">
        <f>IF(A816=1,MAX($S$2:$S815)+1,IF(OR($I816&lt;&gt;"",A816="x"),$S815,""))</f>
        <v/>
      </c>
      <c r="T816" t="str">
        <f>IF(D816=1,MAX($T$2:$T815)+1,IF(S816=S815,$T815,IF(D816="x",T815,IF(D815="x","",""))))</f>
        <v/>
      </c>
      <c r="U816" t="str">
        <f>IF(B816=1,MAX($U$2:$U815)+1,IF(AND($T816&lt;&gt;"",$T816=$T815),$U815,IF(B816="x",U815,"")))</f>
        <v/>
      </c>
      <c r="V816" t="str">
        <f>IF(C816=1,MAX($V$2:$V815)+1,IF(AND($T816&lt;&gt;"",$T816=$T815),$U815,IF(C816="x",V815,"")))</f>
        <v/>
      </c>
      <c r="X816" cm="1">
        <f t="array" ref="X816">IF($I816&lt;&gt;"",$I816,INDEX($I$1:$I816,ROW()-COUNTIFS($T$1:$T816,"="&amp;$T816,$S$1:$S816,"&lt;"&amp;$S816)))</f>
        <v>0</v>
      </c>
      <c r="Z816" s="6">
        <f t="shared" si="138"/>
        <v>1</v>
      </c>
      <c r="AA816" t="e">
        <f t="shared" si="139"/>
        <v>#VALUE!</v>
      </c>
      <c r="AB816" t="str">
        <f t="shared" si="140"/>
        <v/>
      </c>
      <c r="AC816" t="e">
        <f t="shared" si="141"/>
        <v>#VALUE!</v>
      </c>
      <c r="AI816" t="e">
        <f t="shared" si="143"/>
        <v>#VALUE!</v>
      </c>
      <c r="BI816" s="40"/>
      <c r="BL816" s="40"/>
      <c r="BN816" s="19"/>
      <c r="BP816" s="17"/>
    </row>
    <row r="817" spans="1:68" x14ac:dyDescent="0.2">
      <c r="A817" t="str">
        <f t="shared" si="137"/>
        <v/>
      </c>
      <c r="E817" s="4"/>
      <c r="F817" s="46"/>
      <c r="G817" s="4"/>
      <c r="H817" s="48"/>
      <c r="J817" s="26" t="str">
        <f t="shared" si="142"/>
        <v/>
      </c>
      <c r="N817" t="str">
        <f t="shared" si="145"/>
        <v/>
      </c>
      <c r="Q817" t="str">
        <f t="shared" si="144"/>
        <v/>
      </c>
      <c r="S817" t="str">
        <f>IF(A817=1,MAX($S$2:$S816)+1,IF(OR($I817&lt;&gt;"",A817="x"),$S816,""))</f>
        <v/>
      </c>
      <c r="T817" t="str">
        <f>IF(D817=1,MAX($T$2:$T816)+1,IF(S817=S816,$T816,IF(D817="x",T816,IF(D816="x","",""))))</f>
        <v/>
      </c>
      <c r="U817" t="str">
        <f>IF(B817=1,MAX($U$2:$U816)+1,IF(AND($T817&lt;&gt;"",$T817=$T816),$U816,IF(B817="x",U816,"")))</f>
        <v/>
      </c>
      <c r="V817" t="str">
        <f>IF(C817=1,MAX($V$2:$V816)+1,IF(AND($T817&lt;&gt;"",$T817=$T816),$U816,IF(C817="x",V816,"")))</f>
        <v/>
      </c>
      <c r="X817" cm="1">
        <f t="array" ref="X817">IF($I817&lt;&gt;"",$I817,INDEX($I$1:$I817,ROW()-COUNTIFS($T$1:$T817,"="&amp;$T817,$S$1:$S817,"&lt;"&amp;$S817)))</f>
        <v>0</v>
      </c>
      <c r="Z817" s="6">
        <f t="shared" si="138"/>
        <v>1</v>
      </c>
      <c r="AA817" t="e">
        <f t="shared" si="139"/>
        <v>#VALUE!</v>
      </c>
      <c r="AB817" t="str">
        <f t="shared" si="140"/>
        <v/>
      </c>
      <c r="AC817" t="e">
        <f t="shared" si="141"/>
        <v>#VALUE!</v>
      </c>
      <c r="AI817" t="e">
        <f t="shared" si="143"/>
        <v>#VALUE!</v>
      </c>
      <c r="BI817" s="40"/>
      <c r="BL817" s="40"/>
      <c r="BN817" s="19"/>
      <c r="BP817" s="17"/>
    </row>
    <row r="818" spans="1:68" x14ac:dyDescent="0.2">
      <c r="A818" t="str">
        <f t="shared" si="137"/>
        <v/>
      </c>
      <c r="E818" s="4"/>
      <c r="F818" s="46"/>
      <c r="G818" s="4"/>
      <c r="H818" s="48"/>
      <c r="J818" s="26" t="str">
        <f t="shared" si="142"/>
        <v/>
      </c>
      <c r="N818" t="str">
        <f t="shared" si="145"/>
        <v/>
      </c>
      <c r="Q818" t="str">
        <f t="shared" si="144"/>
        <v/>
      </c>
      <c r="S818" t="str">
        <f>IF(A818=1,MAX($S$2:$S817)+1,IF(OR($I818&lt;&gt;"",A818="x"),$S817,""))</f>
        <v/>
      </c>
      <c r="T818" t="str">
        <f>IF(D818=1,MAX($T$2:$T817)+1,IF(S818=S817,$T817,IF(D818="x",T817,IF(D817="x","",""))))</f>
        <v/>
      </c>
      <c r="U818" t="str">
        <f>IF(B818=1,MAX($U$2:$U817)+1,IF(AND($T818&lt;&gt;"",$T818=$T817),$U817,IF(B818="x",U817,"")))</f>
        <v/>
      </c>
      <c r="V818" t="str">
        <f>IF(C818=1,MAX($V$2:$V817)+1,IF(AND($T818&lt;&gt;"",$T818=$T817),$U817,IF(C818="x",V817,"")))</f>
        <v/>
      </c>
      <c r="X818" cm="1">
        <f t="array" ref="X818">IF($I818&lt;&gt;"",$I818,INDEX($I$1:$I818,ROW()-COUNTIFS($T$1:$T818,"="&amp;$T818,$S$1:$S818,"&lt;"&amp;$S818)))</f>
        <v>0</v>
      </c>
      <c r="Z818" s="6">
        <f t="shared" si="138"/>
        <v>1</v>
      </c>
      <c r="AA818" t="e">
        <f t="shared" si="139"/>
        <v>#VALUE!</v>
      </c>
      <c r="AB818" t="str">
        <f t="shared" si="140"/>
        <v/>
      </c>
      <c r="AC818" t="e">
        <f t="shared" si="141"/>
        <v>#VALUE!</v>
      </c>
      <c r="AI818" t="e">
        <f t="shared" si="143"/>
        <v>#VALUE!</v>
      </c>
      <c r="BI818" s="40"/>
      <c r="BL818" s="40"/>
      <c r="BN818" s="19"/>
      <c r="BP818" s="17"/>
    </row>
    <row r="819" spans="1:68" x14ac:dyDescent="0.2">
      <c r="A819" t="str">
        <f t="shared" si="137"/>
        <v/>
      </c>
      <c r="E819" s="4"/>
      <c r="F819" s="46"/>
      <c r="G819" s="4"/>
      <c r="H819" s="48"/>
      <c r="J819" s="26" t="str">
        <f t="shared" si="142"/>
        <v/>
      </c>
      <c r="N819" t="str">
        <f t="shared" si="145"/>
        <v/>
      </c>
      <c r="Q819" t="str">
        <f t="shared" si="144"/>
        <v/>
      </c>
      <c r="S819" t="str">
        <f>IF(A819=1,MAX($S$2:$S818)+1,IF(OR($I819&lt;&gt;"",A819="x"),$S818,""))</f>
        <v/>
      </c>
      <c r="T819" t="str">
        <f>IF(D819=1,MAX($T$2:$T818)+1,IF(S819=S818,$T818,IF(D819="x",T818,IF(D818="x","",""))))</f>
        <v/>
      </c>
      <c r="U819" t="str">
        <f>IF(B819=1,MAX($U$2:$U818)+1,IF(AND($T819&lt;&gt;"",$T819=$T818),$U818,IF(B819="x",U818,"")))</f>
        <v/>
      </c>
      <c r="V819" t="str">
        <f>IF(C819=1,MAX($V$2:$V818)+1,IF(AND($T819&lt;&gt;"",$T819=$T818),$U818,IF(C819="x",V818,"")))</f>
        <v/>
      </c>
      <c r="X819" cm="1">
        <f t="array" ref="X819">IF($I819&lt;&gt;"",$I819,INDEX($I$1:$I819,ROW()-COUNTIFS($T$1:$T819,"="&amp;$T819,$S$1:$S819,"&lt;"&amp;$S819)))</f>
        <v>0</v>
      </c>
      <c r="Z819" s="6">
        <f t="shared" si="138"/>
        <v>1</v>
      </c>
      <c r="AA819" t="e">
        <f t="shared" si="139"/>
        <v>#VALUE!</v>
      </c>
      <c r="AB819" t="str">
        <f t="shared" si="140"/>
        <v/>
      </c>
      <c r="AC819" t="e">
        <f t="shared" si="141"/>
        <v>#VALUE!</v>
      </c>
      <c r="AI819" t="e">
        <f t="shared" si="143"/>
        <v>#VALUE!</v>
      </c>
      <c r="BI819" s="40"/>
      <c r="BL819" s="40"/>
      <c r="BN819" s="19"/>
      <c r="BP819" s="17"/>
    </row>
    <row r="820" spans="1:68" x14ac:dyDescent="0.2">
      <c r="A820" t="str">
        <f t="shared" si="137"/>
        <v/>
      </c>
      <c r="E820" s="4"/>
      <c r="F820" s="46"/>
      <c r="G820" s="4"/>
      <c r="H820" s="48"/>
      <c r="J820" s="26" t="str">
        <f t="shared" si="142"/>
        <v/>
      </c>
      <c r="N820" t="str">
        <f t="shared" si="145"/>
        <v/>
      </c>
      <c r="Q820" t="str">
        <f t="shared" si="144"/>
        <v/>
      </c>
      <c r="S820" t="str">
        <f>IF(A820=1,MAX($S$2:$S819)+1,IF(OR($I820&lt;&gt;"",A820="x"),$S819,""))</f>
        <v/>
      </c>
      <c r="T820" t="str">
        <f>IF(D820=1,MAX($T$2:$T819)+1,IF(S820=S819,$T819,IF(D820="x",T819,IF(D819="x","",""))))</f>
        <v/>
      </c>
      <c r="U820" t="str">
        <f>IF(B820=1,MAX($U$2:$U819)+1,IF(AND($T820&lt;&gt;"",$T820=$T819),$U819,IF(B820="x",U819,"")))</f>
        <v/>
      </c>
      <c r="V820" t="str">
        <f>IF(C820=1,MAX($V$2:$V819)+1,IF(AND($T820&lt;&gt;"",$T820=$T819),$U819,IF(C820="x",V819,"")))</f>
        <v/>
      </c>
      <c r="X820" cm="1">
        <f t="array" ref="X820">IF($I820&lt;&gt;"",$I820,INDEX($I$1:$I820,ROW()-COUNTIFS($T$1:$T820,"="&amp;$T820,$S$1:$S820,"&lt;"&amp;$S820)))</f>
        <v>0</v>
      </c>
      <c r="Z820" s="6">
        <f t="shared" si="138"/>
        <v>1</v>
      </c>
      <c r="AA820" t="e">
        <f t="shared" si="139"/>
        <v>#VALUE!</v>
      </c>
      <c r="AB820" t="str">
        <f t="shared" si="140"/>
        <v/>
      </c>
      <c r="AC820" t="e">
        <f t="shared" si="141"/>
        <v>#VALUE!</v>
      </c>
      <c r="AI820" t="e">
        <f t="shared" si="143"/>
        <v>#VALUE!</v>
      </c>
      <c r="BI820" s="40"/>
      <c r="BL820" s="40"/>
      <c r="BN820" s="19"/>
      <c r="BP820" s="17"/>
    </row>
    <row r="821" spans="1:68" x14ac:dyDescent="0.2">
      <c r="A821" t="str">
        <f t="shared" si="137"/>
        <v/>
      </c>
      <c r="E821" s="4"/>
      <c r="F821" s="46"/>
      <c r="G821" s="4"/>
      <c r="H821" s="48"/>
      <c r="J821" s="26" t="str">
        <f t="shared" si="142"/>
        <v/>
      </c>
      <c r="N821" t="str">
        <f t="shared" si="145"/>
        <v/>
      </c>
      <c r="Q821" t="str">
        <f t="shared" si="144"/>
        <v/>
      </c>
      <c r="S821" t="str">
        <f>IF(A821=1,MAX($S$2:$S820)+1,IF(OR($I821&lt;&gt;"",A821="x"),$S820,""))</f>
        <v/>
      </c>
      <c r="T821" t="str">
        <f>IF(D821=1,MAX($T$2:$T820)+1,IF(S821=S820,$T820,IF(D821="x",T820,IF(D820="x","",""))))</f>
        <v/>
      </c>
      <c r="U821" t="str">
        <f>IF(B821=1,MAX($U$2:$U820)+1,IF(AND($T821&lt;&gt;"",$T821=$T820),$U820,IF(B821="x",U820,"")))</f>
        <v/>
      </c>
      <c r="V821" t="str">
        <f>IF(C821=1,MAX($V$2:$V820)+1,IF(AND($T821&lt;&gt;"",$T821=$T820),$U820,IF(C821="x",V820,"")))</f>
        <v/>
      </c>
      <c r="X821" cm="1">
        <f t="array" ref="X821">IF($I821&lt;&gt;"",$I821,INDEX($I$1:$I821,ROW()-COUNTIFS($T$1:$T821,"="&amp;$T821,$S$1:$S821,"&lt;"&amp;$S821)))</f>
        <v>0</v>
      </c>
      <c r="Z821" s="6">
        <f t="shared" si="138"/>
        <v>1</v>
      </c>
      <c r="AA821" t="e">
        <f t="shared" si="139"/>
        <v>#VALUE!</v>
      </c>
      <c r="AB821" t="str">
        <f t="shared" si="140"/>
        <v/>
      </c>
      <c r="AC821" t="e">
        <f t="shared" si="141"/>
        <v>#VALUE!</v>
      </c>
      <c r="AI821" t="e">
        <f t="shared" si="143"/>
        <v>#VALUE!</v>
      </c>
      <c r="BI821" s="40"/>
      <c r="BL821" s="40"/>
      <c r="BN821" s="19"/>
      <c r="BP821" s="17"/>
    </row>
    <row r="822" spans="1:68" x14ac:dyDescent="0.2">
      <c r="A822" t="str">
        <f t="shared" si="137"/>
        <v/>
      </c>
      <c r="E822" s="4"/>
      <c r="F822" s="46"/>
      <c r="G822" s="4"/>
      <c r="H822" s="48"/>
      <c r="J822" s="26" t="str">
        <f t="shared" si="142"/>
        <v/>
      </c>
      <c r="N822" t="str">
        <f t="shared" si="145"/>
        <v/>
      </c>
      <c r="Q822" t="str">
        <f t="shared" si="144"/>
        <v/>
      </c>
      <c r="S822" t="str">
        <f>IF(A822=1,MAX($S$2:$S821)+1,IF(OR($I822&lt;&gt;"",A822="x"),$S821,""))</f>
        <v/>
      </c>
      <c r="T822" t="str">
        <f>IF(D822=1,MAX($T$2:$T821)+1,IF(S822=S821,$T821,IF(D822="x",T821,IF(D821="x","",""))))</f>
        <v/>
      </c>
      <c r="U822" t="str">
        <f>IF(B822=1,MAX($U$2:$U821)+1,IF(AND($T822&lt;&gt;"",$T822=$T821),$U821,IF(B822="x",U821,"")))</f>
        <v/>
      </c>
      <c r="V822" t="str">
        <f>IF(C822=1,MAX($V$2:$V821)+1,IF(AND($T822&lt;&gt;"",$T822=$T821),$U821,IF(C822="x",V821,"")))</f>
        <v/>
      </c>
      <c r="X822" cm="1">
        <f t="array" ref="X822">IF($I822&lt;&gt;"",$I822,INDEX($I$1:$I822,ROW()-COUNTIFS($T$1:$T822,"="&amp;$T822,$S$1:$S822,"&lt;"&amp;$S822)))</f>
        <v>0</v>
      </c>
      <c r="Z822" s="6">
        <f t="shared" si="138"/>
        <v>1</v>
      </c>
      <c r="AA822" t="e">
        <f t="shared" si="139"/>
        <v>#VALUE!</v>
      </c>
      <c r="AB822" t="str">
        <f t="shared" si="140"/>
        <v/>
      </c>
      <c r="AC822" t="e">
        <f t="shared" si="141"/>
        <v>#VALUE!</v>
      </c>
      <c r="AI822" t="e">
        <f t="shared" si="143"/>
        <v>#VALUE!</v>
      </c>
      <c r="BI822" s="40"/>
      <c r="BL822" s="40"/>
      <c r="BN822" s="19"/>
      <c r="BP822" s="17"/>
    </row>
    <row r="823" spans="1:68" x14ac:dyDescent="0.2">
      <c r="A823" t="str">
        <f t="shared" si="137"/>
        <v/>
      </c>
      <c r="E823" s="4"/>
      <c r="F823" s="46"/>
      <c r="G823" s="4"/>
      <c r="H823" s="48"/>
      <c r="J823" s="26" t="str">
        <f t="shared" si="142"/>
        <v/>
      </c>
      <c r="N823" t="str">
        <f t="shared" si="145"/>
        <v/>
      </c>
      <c r="Q823" t="str">
        <f t="shared" si="144"/>
        <v/>
      </c>
      <c r="S823" t="str">
        <f>IF(A823=1,MAX($S$2:$S822)+1,IF(OR($I823&lt;&gt;"",A823="x"),$S822,""))</f>
        <v/>
      </c>
      <c r="T823" t="str">
        <f>IF(D823=1,MAX($T$2:$T822)+1,IF(S823=S822,$T822,IF(D823="x",T822,IF(D822="x","",""))))</f>
        <v/>
      </c>
      <c r="U823" t="str">
        <f>IF(B823=1,MAX($U$2:$U822)+1,IF(AND($T823&lt;&gt;"",$T823=$T822),$U822,IF(B823="x",U822,"")))</f>
        <v/>
      </c>
      <c r="V823" t="str">
        <f>IF(C823=1,MAX($V$2:$V822)+1,IF(AND($T823&lt;&gt;"",$T823=$T822),$U822,IF(C823="x",V822,"")))</f>
        <v/>
      </c>
      <c r="X823" cm="1">
        <f t="array" ref="X823">IF($I823&lt;&gt;"",$I823,INDEX($I$1:$I823,ROW()-COUNTIFS($T$1:$T823,"="&amp;$T823,$S$1:$S823,"&lt;"&amp;$S823)))</f>
        <v>0</v>
      </c>
      <c r="Z823" s="6">
        <f t="shared" si="138"/>
        <v>1</v>
      </c>
      <c r="AA823" t="e">
        <f t="shared" si="139"/>
        <v>#VALUE!</v>
      </c>
      <c r="AB823" t="str">
        <f t="shared" si="140"/>
        <v/>
      </c>
      <c r="AC823" t="e">
        <f t="shared" si="141"/>
        <v>#VALUE!</v>
      </c>
      <c r="AI823" t="e">
        <f t="shared" si="143"/>
        <v>#VALUE!</v>
      </c>
      <c r="BI823" s="40"/>
      <c r="BL823" s="40"/>
      <c r="BN823" s="19"/>
      <c r="BP823" s="17"/>
    </row>
    <row r="824" spans="1:68" x14ac:dyDescent="0.2">
      <c r="A824" t="str">
        <f t="shared" si="137"/>
        <v/>
      </c>
      <c r="E824" s="4"/>
      <c r="F824" s="46"/>
      <c r="G824" s="4"/>
      <c r="H824" s="48"/>
      <c r="J824" s="26" t="str">
        <f t="shared" si="142"/>
        <v/>
      </c>
      <c r="N824" t="str">
        <f t="shared" si="145"/>
        <v/>
      </c>
      <c r="Q824" t="str">
        <f t="shared" si="144"/>
        <v/>
      </c>
      <c r="S824" t="str">
        <f>IF(A824=1,MAX($S$2:$S823)+1,IF(OR($I824&lt;&gt;"",A824="x"),$S823,""))</f>
        <v/>
      </c>
      <c r="T824" t="str">
        <f>IF(D824=1,MAX($T$2:$T823)+1,IF(S824=S823,$T823,IF(D824="x",T823,IF(D823="x","",""))))</f>
        <v/>
      </c>
      <c r="U824" t="str">
        <f>IF(B824=1,MAX($U$2:$U823)+1,IF(AND($T824&lt;&gt;"",$T824=$T823),$U823,IF(B824="x",U823,"")))</f>
        <v/>
      </c>
      <c r="V824" t="str">
        <f>IF(C824=1,MAX($V$2:$V823)+1,IF(AND($T824&lt;&gt;"",$T824=$T823),$U823,IF(C824="x",V823,"")))</f>
        <v/>
      </c>
      <c r="X824" cm="1">
        <f t="array" ref="X824">IF($I824&lt;&gt;"",$I824,INDEX($I$1:$I824,ROW()-COUNTIFS($T$1:$T824,"="&amp;$T824,$S$1:$S824,"&lt;"&amp;$S824)))</f>
        <v>0</v>
      </c>
      <c r="Z824" s="6">
        <f t="shared" si="138"/>
        <v>1</v>
      </c>
      <c r="AA824" t="e">
        <f t="shared" si="139"/>
        <v>#VALUE!</v>
      </c>
      <c r="AB824" t="str">
        <f t="shared" si="140"/>
        <v/>
      </c>
      <c r="AC824" t="e">
        <f t="shared" si="141"/>
        <v>#VALUE!</v>
      </c>
      <c r="AI824" t="e">
        <f t="shared" si="143"/>
        <v>#VALUE!</v>
      </c>
      <c r="BI824" s="40"/>
      <c r="BL824" s="40"/>
      <c r="BN824" s="19"/>
      <c r="BP824" s="17"/>
    </row>
    <row r="825" spans="1:68" x14ac:dyDescent="0.2">
      <c r="A825" t="str">
        <f t="shared" si="137"/>
        <v/>
      </c>
      <c r="E825" s="4"/>
      <c r="F825" s="46"/>
      <c r="G825" s="4"/>
      <c r="H825" s="48"/>
      <c r="J825" s="26" t="str">
        <f t="shared" si="142"/>
        <v/>
      </c>
      <c r="N825" t="str">
        <f t="shared" si="145"/>
        <v/>
      </c>
      <c r="Q825" t="str">
        <f t="shared" si="144"/>
        <v/>
      </c>
      <c r="S825" t="str">
        <f>IF(A825=1,MAX($S$2:$S824)+1,IF(OR($I825&lt;&gt;"",A825="x"),$S824,""))</f>
        <v/>
      </c>
      <c r="T825" t="str">
        <f>IF(D825=1,MAX($T$2:$T824)+1,IF(S825=S824,$T824,IF(D825="x",T824,IF(D824="x","",""))))</f>
        <v/>
      </c>
      <c r="U825" t="str">
        <f>IF(B825=1,MAX($U$2:$U824)+1,IF(AND($T825&lt;&gt;"",$T825=$T824),$U824,IF(B825="x",U824,"")))</f>
        <v/>
      </c>
      <c r="V825" t="str">
        <f>IF(C825=1,MAX($V$2:$V824)+1,IF(AND($T825&lt;&gt;"",$T825=$T824),$U824,IF(C825="x",V824,"")))</f>
        <v/>
      </c>
      <c r="X825" cm="1">
        <f t="array" ref="X825">IF($I825&lt;&gt;"",$I825,INDEX($I$1:$I825,ROW()-COUNTIFS($T$1:$T825,"="&amp;$T825,$S$1:$S825,"&lt;"&amp;$S825)))</f>
        <v>0</v>
      </c>
      <c r="Z825" s="6">
        <f t="shared" si="138"/>
        <v>1</v>
      </c>
      <c r="AA825" t="e">
        <f t="shared" si="139"/>
        <v>#VALUE!</v>
      </c>
      <c r="AB825" t="str">
        <f t="shared" si="140"/>
        <v/>
      </c>
      <c r="AC825" t="e">
        <f t="shared" si="141"/>
        <v>#VALUE!</v>
      </c>
      <c r="AI825" t="e">
        <f t="shared" si="143"/>
        <v>#VALUE!</v>
      </c>
      <c r="BI825" s="40"/>
      <c r="BL825" s="40"/>
      <c r="BN825" s="19"/>
      <c r="BP825" s="17"/>
    </row>
    <row r="826" spans="1:68" x14ac:dyDescent="0.2">
      <c r="A826" t="str">
        <f t="shared" si="137"/>
        <v/>
      </c>
      <c r="E826" s="4"/>
      <c r="F826" s="46"/>
      <c r="G826" s="4"/>
      <c r="H826" s="48"/>
      <c r="J826" s="26" t="str">
        <f t="shared" si="142"/>
        <v/>
      </c>
      <c r="N826" t="str">
        <f t="shared" si="145"/>
        <v/>
      </c>
      <c r="Q826" t="str">
        <f t="shared" si="144"/>
        <v/>
      </c>
      <c r="S826" t="str">
        <f>IF(A826=1,MAX($S$2:$S825)+1,IF(OR($I826&lt;&gt;"",A826="x"),$S825,""))</f>
        <v/>
      </c>
      <c r="T826" t="str">
        <f>IF(D826=1,MAX($T$2:$T825)+1,IF(S826=S825,$T825,IF(D826="x",T825,IF(D825="x","",""))))</f>
        <v/>
      </c>
      <c r="U826" t="str">
        <f>IF(B826=1,MAX($U$2:$U825)+1,IF(AND($T826&lt;&gt;"",$T826=$T825),$U825,IF(B826="x",U825,"")))</f>
        <v/>
      </c>
      <c r="V826" t="str">
        <f>IF(C826=1,MAX($V$2:$V825)+1,IF(AND($T826&lt;&gt;"",$T826=$T825),$U825,IF(C826="x",V825,"")))</f>
        <v/>
      </c>
      <c r="X826" cm="1">
        <f t="array" ref="X826">IF($I826&lt;&gt;"",$I826,INDEX($I$1:$I826,ROW()-COUNTIFS($T$1:$T826,"="&amp;$T826,$S$1:$S826,"&lt;"&amp;$S826)))</f>
        <v>0</v>
      </c>
      <c r="Z826" s="6">
        <f t="shared" si="138"/>
        <v>1</v>
      </c>
      <c r="AA826" t="e">
        <f t="shared" si="139"/>
        <v>#VALUE!</v>
      </c>
      <c r="AB826" t="str">
        <f t="shared" si="140"/>
        <v/>
      </c>
      <c r="AC826" t="e">
        <f t="shared" si="141"/>
        <v>#VALUE!</v>
      </c>
      <c r="AI826" t="e">
        <f t="shared" si="143"/>
        <v>#VALUE!</v>
      </c>
      <c r="BI826" s="40"/>
      <c r="BL826" s="40"/>
      <c r="BN826" s="19"/>
      <c r="BP826" s="17"/>
    </row>
    <row r="827" spans="1:68" x14ac:dyDescent="0.2">
      <c r="A827" t="str">
        <f t="shared" si="137"/>
        <v/>
      </c>
      <c r="E827" s="4"/>
      <c r="F827" s="46"/>
      <c r="G827" s="4"/>
      <c r="H827" s="48"/>
      <c r="J827" s="26" t="str">
        <f t="shared" si="142"/>
        <v/>
      </c>
      <c r="N827" t="str">
        <f t="shared" si="145"/>
        <v/>
      </c>
      <c r="Q827" t="str">
        <f t="shared" si="144"/>
        <v/>
      </c>
      <c r="S827" t="str">
        <f>IF(A827=1,MAX($S$2:$S826)+1,IF(OR($I827&lt;&gt;"",A827="x"),$S826,""))</f>
        <v/>
      </c>
      <c r="T827" t="str">
        <f>IF(D827=1,MAX($T$2:$T826)+1,IF(S827=S826,$T826,IF(D827="x",T826,IF(D826="x","",""))))</f>
        <v/>
      </c>
      <c r="U827" t="str">
        <f>IF(B827=1,MAX($U$2:$U826)+1,IF(AND($T827&lt;&gt;"",$T827=$T826),$U826,IF(B827="x",U826,"")))</f>
        <v/>
      </c>
      <c r="V827" t="str">
        <f>IF(C827=1,MAX($V$2:$V826)+1,IF(AND($T827&lt;&gt;"",$T827=$T826),$U826,IF(C827="x",V826,"")))</f>
        <v/>
      </c>
      <c r="X827" cm="1">
        <f t="array" ref="X827">IF($I827&lt;&gt;"",$I827,INDEX($I$1:$I827,ROW()-COUNTIFS($T$1:$T827,"="&amp;$T827,$S$1:$S827,"&lt;"&amp;$S827)))</f>
        <v>0</v>
      </c>
      <c r="Z827" s="6">
        <f t="shared" si="138"/>
        <v>1</v>
      </c>
      <c r="AA827" t="e">
        <f t="shared" si="139"/>
        <v>#VALUE!</v>
      </c>
      <c r="AB827" t="str">
        <f t="shared" si="140"/>
        <v/>
      </c>
      <c r="AC827" t="e">
        <f t="shared" si="141"/>
        <v>#VALUE!</v>
      </c>
      <c r="AI827" t="e">
        <f t="shared" si="143"/>
        <v>#VALUE!</v>
      </c>
      <c r="BI827" s="40"/>
      <c r="BL827" s="40"/>
      <c r="BN827" s="19"/>
      <c r="BP827" s="17"/>
    </row>
    <row r="828" spans="1:68" x14ac:dyDescent="0.2">
      <c r="A828" t="str">
        <f t="shared" si="137"/>
        <v/>
      </c>
      <c r="E828" s="4"/>
      <c r="F828" s="46"/>
      <c r="G828" s="4"/>
      <c r="H828" s="48"/>
      <c r="J828" s="26" t="str">
        <f t="shared" si="142"/>
        <v/>
      </c>
      <c r="N828" t="str">
        <f t="shared" si="145"/>
        <v/>
      </c>
      <c r="Q828" t="str">
        <f t="shared" si="144"/>
        <v/>
      </c>
      <c r="S828" t="str">
        <f>IF(A828=1,MAX($S$2:$S827)+1,IF(OR($I828&lt;&gt;"",A828="x"),$S827,""))</f>
        <v/>
      </c>
      <c r="T828" t="str">
        <f>IF(D828=1,MAX($T$2:$T827)+1,IF(S828=S827,$T827,IF(D828="x",T827,IF(D827="x","",""))))</f>
        <v/>
      </c>
      <c r="U828" t="str">
        <f>IF(B828=1,MAX($U$2:$U827)+1,IF(AND($T828&lt;&gt;"",$T828=$T827),$U827,IF(B828="x",U827,"")))</f>
        <v/>
      </c>
      <c r="V828" t="str">
        <f>IF(C828=1,MAX($V$2:$V827)+1,IF(AND($T828&lt;&gt;"",$T828=$T827),$U827,IF(C828="x",V827,"")))</f>
        <v/>
      </c>
      <c r="X828" cm="1">
        <f t="array" ref="X828">IF($I828&lt;&gt;"",$I828,INDEX($I$1:$I828,ROW()-COUNTIFS($T$1:$T828,"="&amp;$T828,$S$1:$S828,"&lt;"&amp;$S828)))</f>
        <v>0</v>
      </c>
      <c r="Z828" s="6">
        <f t="shared" si="138"/>
        <v>1</v>
      </c>
      <c r="AA828" t="e">
        <f t="shared" si="139"/>
        <v>#VALUE!</v>
      </c>
      <c r="AB828" t="str">
        <f t="shared" si="140"/>
        <v/>
      </c>
      <c r="AC828" t="e">
        <f t="shared" si="141"/>
        <v>#VALUE!</v>
      </c>
      <c r="AI828" t="e">
        <f t="shared" si="143"/>
        <v>#VALUE!</v>
      </c>
      <c r="BI828" s="40"/>
      <c r="BL828" s="40"/>
      <c r="BN828" s="19"/>
      <c r="BP828" s="17"/>
    </row>
    <row r="829" spans="1:68" x14ac:dyDescent="0.2">
      <c r="A829" t="str">
        <f t="shared" si="137"/>
        <v/>
      </c>
      <c r="E829" s="4"/>
      <c r="F829" s="46"/>
      <c r="G829" s="4"/>
      <c r="H829" s="48"/>
      <c r="J829" s="26" t="str">
        <f t="shared" si="142"/>
        <v/>
      </c>
      <c r="N829" t="str">
        <f t="shared" si="145"/>
        <v/>
      </c>
      <c r="Q829" t="str">
        <f t="shared" si="144"/>
        <v/>
      </c>
      <c r="S829" t="str">
        <f>IF(A829=1,MAX($S$2:$S828)+1,IF(OR($I829&lt;&gt;"",A829="x"),$S828,""))</f>
        <v/>
      </c>
      <c r="T829" t="str">
        <f>IF(D829=1,MAX($T$2:$T828)+1,IF(S829=S828,$T828,IF(D829="x",T828,IF(D828="x","",""))))</f>
        <v/>
      </c>
      <c r="U829" t="str">
        <f>IF(B829=1,MAX($U$2:$U828)+1,IF(AND($T829&lt;&gt;"",$T829=$T828),$U828,IF(B829="x",U828,"")))</f>
        <v/>
      </c>
      <c r="V829" t="str">
        <f>IF(C829=1,MAX($V$2:$V828)+1,IF(AND($T829&lt;&gt;"",$T829=$T828),$U828,IF(C829="x",V828,"")))</f>
        <v/>
      </c>
      <c r="X829" cm="1">
        <f t="array" ref="X829">IF($I829&lt;&gt;"",$I829,INDEX($I$1:$I829,ROW()-COUNTIFS($T$1:$T829,"="&amp;$T829,$S$1:$S829,"&lt;"&amp;$S829)))</f>
        <v>0</v>
      </c>
      <c r="Z829" s="6">
        <f t="shared" si="138"/>
        <v>1</v>
      </c>
      <c r="AA829" t="e">
        <f t="shared" si="139"/>
        <v>#VALUE!</v>
      </c>
      <c r="AB829" t="str">
        <f t="shared" si="140"/>
        <v/>
      </c>
      <c r="AC829" t="e">
        <f t="shared" si="141"/>
        <v>#VALUE!</v>
      </c>
      <c r="AI829" t="e">
        <f t="shared" si="143"/>
        <v>#VALUE!</v>
      </c>
      <c r="BI829" s="40"/>
      <c r="BL829" s="40"/>
      <c r="BN829" s="19"/>
      <c r="BP829" s="17"/>
    </row>
    <row r="830" spans="1:68" x14ac:dyDescent="0.2">
      <c r="A830" t="str">
        <f t="shared" si="137"/>
        <v/>
      </c>
      <c r="E830" s="4"/>
      <c r="F830" s="46"/>
      <c r="G830" s="4"/>
      <c r="H830" s="48"/>
      <c r="J830" s="26" t="str">
        <f t="shared" si="142"/>
        <v/>
      </c>
      <c r="N830" t="str">
        <f t="shared" si="145"/>
        <v/>
      </c>
      <c r="Q830" t="str">
        <f t="shared" si="144"/>
        <v/>
      </c>
      <c r="S830" t="str">
        <f>IF(A830=1,MAX($S$2:$S829)+1,IF(OR($I830&lt;&gt;"",A830="x"),$S829,""))</f>
        <v/>
      </c>
      <c r="T830" t="str">
        <f>IF(D830=1,MAX($T$2:$T829)+1,IF(S830=S829,$T829,IF(D830="x",T829,IF(D829="x","",""))))</f>
        <v/>
      </c>
      <c r="U830" t="str">
        <f>IF(B830=1,MAX($U$2:$U829)+1,IF(AND($T830&lt;&gt;"",$T830=$T829),$U829,IF(B830="x",U829,"")))</f>
        <v/>
      </c>
      <c r="V830" t="str">
        <f>IF(C830=1,MAX($V$2:$V829)+1,IF(AND($T830&lt;&gt;"",$T830=$T829),$U829,IF(C830="x",V829,"")))</f>
        <v/>
      </c>
      <c r="X830" cm="1">
        <f t="array" ref="X830">IF($I830&lt;&gt;"",$I830,INDEX($I$1:$I830,ROW()-COUNTIFS($T$1:$T830,"="&amp;$T830,$S$1:$S830,"&lt;"&amp;$S830)))</f>
        <v>0</v>
      </c>
      <c r="Z830" s="6">
        <f t="shared" si="138"/>
        <v>1</v>
      </c>
      <c r="AA830" t="e">
        <f t="shared" si="139"/>
        <v>#VALUE!</v>
      </c>
      <c r="AB830" t="str">
        <f t="shared" si="140"/>
        <v/>
      </c>
      <c r="AC830" t="e">
        <f t="shared" si="141"/>
        <v>#VALUE!</v>
      </c>
      <c r="AI830" t="e">
        <f t="shared" si="143"/>
        <v>#VALUE!</v>
      </c>
      <c r="BI830" s="40"/>
      <c r="BL830" s="40"/>
      <c r="BN830" s="19"/>
      <c r="BP830" s="17"/>
    </row>
    <row r="831" spans="1:68" x14ac:dyDescent="0.2">
      <c r="A831" t="str">
        <f t="shared" si="137"/>
        <v/>
      </c>
      <c r="E831" s="4"/>
      <c r="F831" s="46"/>
      <c r="G831" s="4"/>
      <c r="H831" s="48"/>
      <c r="J831" s="26" t="str">
        <f t="shared" si="142"/>
        <v/>
      </c>
      <c r="N831" t="str">
        <f t="shared" si="145"/>
        <v/>
      </c>
      <c r="Q831" t="str">
        <f t="shared" si="144"/>
        <v/>
      </c>
      <c r="S831" t="str">
        <f>IF(A831=1,MAX($S$2:$S830)+1,IF(OR($I831&lt;&gt;"",A831="x"),$S830,""))</f>
        <v/>
      </c>
      <c r="T831" t="str">
        <f>IF(D831=1,MAX($T$2:$T830)+1,IF(S831=S830,$T830,IF(D831="x",T830,IF(D830="x","",""))))</f>
        <v/>
      </c>
      <c r="U831" t="str">
        <f>IF(B831=1,MAX($U$2:$U830)+1,IF(AND($T831&lt;&gt;"",$T831=$T830),$U830,IF(B831="x",U830,"")))</f>
        <v/>
      </c>
      <c r="V831" t="str">
        <f>IF(C831=1,MAX($V$2:$V830)+1,IF(AND($T831&lt;&gt;"",$T831=$T830),$U830,IF(C831="x",V830,"")))</f>
        <v/>
      </c>
      <c r="X831" cm="1">
        <f t="array" ref="X831">IF($I831&lt;&gt;"",$I831,INDEX($I$1:$I831,ROW()-COUNTIFS($T$1:$T831,"="&amp;$T831,$S$1:$S831,"&lt;"&amp;$S831)))</f>
        <v>0</v>
      </c>
      <c r="Z831" s="6">
        <f t="shared" si="138"/>
        <v>1</v>
      </c>
      <c r="AA831" t="e">
        <f t="shared" si="139"/>
        <v>#VALUE!</v>
      </c>
      <c r="AB831" t="str">
        <f t="shared" si="140"/>
        <v/>
      </c>
      <c r="AC831" t="e">
        <f t="shared" si="141"/>
        <v>#VALUE!</v>
      </c>
      <c r="AI831" t="e">
        <f t="shared" si="143"/>
        <v>#VALUE!</v>
      </c>
      <c r="BI831" s="40"/>
      <c r="BL831" s="40"/>
      <c r="BN831" s="19"/>
      <c r="BP831" s="17"/>
    </row>
    <row r="832" spans="1:68" x14ac:dyDescent="0.2">
      <c r="A832" t="str">
        <f t="shared" si="137"/>
        <v/>
      </c>
      <c r="E832" s="4"/>
      <c r="F832" s="46"/>
      <c r="G832" s="4"/>
      <c r="H832" s="48"/>
      <c r="J832" s="26" t="str">
        <f t="shared" si="142"/>
        <v/>
      </c>
      <c r="N832" t="str">
        <f t="shared" si="145"/>
        <v/>
      </c>
      <c r="Q832" t="str">
        <f t="shared" si="144"/>
        <v/>
      </c>
      <c r="S832" t="str">
        <f>IF(A832=1,MAX($S$2:$S831)+1,IF(OR($I832&lt;&gt;"",A832="x"),$S831,""))</f>
        <v/>
      </c>
      <c r="T832" t="str">
        <f>IF(D832=1,MAX($T$2:$T831)+1,IF(S832=S831,$T831,IF(D832="x",T831,IF(D831="x","",""))))</f>
        <v/>
      </c>
      <c r="U832" t="str">
        <f>IF(B832=1,MAX($U$2:$U831)+1,IF(AND($T832&lt;&gt;"",$T832=$T831),$U831,IF(B832="x",U831,"")))</f>
        <v/>
      </c>
      <c r="V832" t="str">
        <f>IF(C832=1,MAX($V$2:$V831)+1,IF(AND($T832&lt;&gt;"",$T832=$T831),$U831,IF(C832="x",V831,"")))</f>
        <v/>
      </c>
      <c r="X832" cm="1">
        <f t="array" ref="X832">IF($I832&lt;&gt;"",$I832,INDEX($I$1:$I832,ROW()-COUNTIFS($T$1:$T832,"="&amp;$T832,$S$1:$S832,"&lt;"&amp;$S832)))</f>
        <v>0</v>
      </c>
      <c r="Z832" s="6">
        <f t="shared" si="138"/>
        <v>1</v>
      </c>
      <c r="AA832" t="e">
        <f t="shared" si="139"/>
        <v>#VALUE!</v>
      </c>
      <c r="AB832" t="str">
        <f t="shared" si="140"/>
        <v/>
      </c>
      <c r="AC832" t="e">
        <f t="shared" si="141"/>
        <v>#VALUE!</v>
      </c>
      <c r="AI832" t="e">
        <f t="shared" si="143"/>
        <v>#VALUE!</v>
      </c>
      <c r="BI832" s="40"/>
      <c r="BL832" s="40"/>
      <c r="BN832" s="19"/>
      <c r="BP832" s="17"/>
    </row>
    <row r="833" spans="1:68" x14ac:dyDescent="0.2">
      <c r="A833" t="str">
        <f t="shared" si="137"/>
        <v/>
      </c>
      <c r="E833" s="4"/>
      <c r="F833" s="46"/>
      <c r="G833" s="4"/>
      <c r="H833" s="48"/>
      <c r="J833" s="26" t="str">
        <f t="shared" si="142"/>
        <v/>
      </c>
      <c r="N833" t="str">
        <f t="shared" si="145"/>
        <v/>
      </c>
      <c r="Q833" t="str">
        <f t="shared" si="144"/>
        <v/>
      </c>
      <c r="S833" t="str">
        <f>IF(A833=1,MAX($S$2:$S832)+1,IF(OR($I833&lt;&gt;"",A833="x"),$S832,""))</f>
        <v/>
      </c>
      <c r="T833" t="str">
        <f>IF(D833=1,MAX($T$2:$T832)+1,IF(S833=S832,$T832,IF(D833="x",T832,IF(D832="x","",""))))</f>
        <v/>
      </c>
      <c r="U833" t="str">
        <f>IF(B833=1,MAX($U$2:$U832)+1,IF(AND($T833&lt;&gt;"",$T833=$T832),$U832,IF(B833="x",U832,"")))</f>
        <v/>
      </c>
      <c r="V833" t="str">
        <f>IF(C833=1,MAX($V$2:$V832)+1,IF(AND($T833&lt;&gt;"",$T833=$T832),$U832,IF(C833="x",V832,"")))</f>
        <v/>
      </c>
      <c r="X833" cm="1">
        <f t="array" ref="X833">IF($I833&lt;&gt;"",$I833,INDEX($I$1:$I833,ROW()-COUNTIFS($T$1:$T833,"="&amp;$T833,$S$1:$S833,"&lt;"&amp;$S833)))</f>
        <v>0</v>
      </c>
      <c r="Z833" s="6">
        <f t="shared" si="138"/>
        <v>1</v>
      </c>
      <c r="AA833" t="e">
        <f t="shared" si="139"/>
        <v>#VALUE!</v>
      </c>
      <c r="AB833" t="str">
        <f t="shared" si="140"/>
        <v/>
      </c>
      <c r="AC833" t="e">
        <f t="shared" si="141"/>
        <v>#VALUE!</v>
      </c>
      <c r="AI833" t="e">
        <f t="shared" si="143"/>
        <v>#VALUE!</v>
      </c>
      <c r="BI833" s="40"/>
      <c r="BL833" s="40"/>
      <c r="BN833" s="19"/>
      <c r="BP833" s="17"/>
    </row>
    <row r="834" spans="1:68" x14ac:dyDescent="0.2">
      <c r="A834" t="str">
        <f t="shared" si="137"/>
        <v/>
      </c>
      <c r="E834" s="4"/>
      <c r="F834" s="46"/>
      <c r="G834" s="4"/>
      <c r="H834" s="48"/>
      <c r="J834" s="26" t="str">
        <f t="shared" si="142"/>
        <v/>
      </c>
      <c r="N834" t="str">
        <f t="shared" si="145"/>
        <v/>
      </c>
      <c r="Q834" t="str">
        <f t="shared" si="144"/>
        <v/>
      </c>
      <c r="S834" t="str">
        <f>IF(A834=1,MAX($S$2:$S833)+1,IF(OR($I834&lt;&gt;"",A834="x"),$S833,""))</f>
        <v/>
      </c>
      <c r="T834" t="str">
        <f>IF(D834=1,MAX($T$2:$T833)+1,IF(S834=S833,$T833,IF(D834="x",T833,IF(D833="x","",""))))</f>
        <v/>
      </c>
      <c r="U834" t="str">
        <f>IF(B834=1,MAX($U$2:$U833)+1,IF(AND($T834&lt;&gt;"",$T834=$T833),$U833,IF(B834="x",U833,"")))</f>
        <v/>
      </c>
      <c r="V834" t="str">
        <f>IF(C834=1,MAX($V$2:$V833)+1,IF(AND($T834&lt;&gt;"",$T834=$T833),$U833,IF(C834="x",V833,"")))</f>
        <v/>
      </c>
      <c r="X834" cm="1">
        <f t="array" ref="X834">IF($I834&lt;&gt;"",$I834,INDEX($I$1:$I834,ROW()-COUNTIFS($T$1:$T834,"="&amp;$T834,$S$1:$S834,"&lt;"&amp;$S834)))</f>
        <v>0</v>
      </c>
      <c r="Z834" s="6">
        <f t="shared" si="138"/>
        <v>1</v>
      </c>
      <c r="AA834" t="e">
        <f t="shared" si="139"/>
        <v>#VALUE!</v>
      </c>
      <c r="AB834" t="str">
        <f t="shared" si="140"/>
        <v/>
      </c>
      <c r="AC834" t="e">
        <f t="shared" si="141"/>
        <v>#VALUE!</v>
      </c>
      <c r="AI834" t="e">
        <f t="shared" si="143"/>
        <v>#VALUE!</v>
      </c>
      <c r="BI834" s="40"/>
      <c r="BL834" s="40"/>
      <c r="BN834" s="19"/>
      <c r="BP834" s="17"/>
    </row>
    <row r="835" spans="1:68" x14ac:dyDescent="0.2">
      <c r="A835" t="str">
        <f t="shared" si="137"/>
        <v/>
      </c>
      <c r="E835" s="4"/>
      <c r="F835" s="46"/>
      <c r="G835" s="4"/>
      <c r="H835" s="48"/>
      <c r="J835" s="26" t="str">
        <f t="shared" si="142"/>
        <v/>
      </c>
      <c r="N835" t="str">
        <f t="shared" si="145"/>
        <v/>
      </c>
      <c r="Q835" t="str">
        <f t="shared" si="144"/>
        <v/>
      </c>
      <c r="S835" t="str">
        <f>IF(A835=1,MAX($S$2:$S834)+1,IF(OR($I835&lt;&gt;"",A835="x"),$S834,""))</f>
        <v/>
      </c>
      <c r="T835" t="str">
        <f>IF(D835=1,MAX($T$2:$T834)+1,IF(S835=S834,$T834,IF(D835="x",T834,IF(D834="x","",""))))</f>
        <v/>
      </c>
      <c r="U835" t="str">
        <f>IF(B835=1,MAX($U$2:$U834)+1,IF(AND($T835&lt;&gt;"",$T835=$T834),$U834,IF(B835="x",U834,"")))</f>
        <v/>
      </c>
      <c r="V835" t="str">
        <f>IF(C835=1,MAX($V$2:$V834)+1,IF(AND($T835&lt;&gt;"",$T835=$T834),$U834,IF(C835="x",V834,"")))</f>
        <v/>
      </c>
      <c r="X835" cm="1">
        <f t="array" ref="X835">IF($I835&lt;&gt;"",$I835,INDEX($I$1:$I835,ROW()-COUNTIFS($T$1:$T835,"="&amp;$T835,$S$1:$S835,"&lt;"&amp;$S835)))</f>
        <v>0</v>
      </c>
      <c r="Z835" s="6">
        <f t="shared" si="138"/>
        <v>1</v>
      </c>
      <c r="AA835" t="e">
        <f t="shared" si="139"/>
        <v>#VALUE!</v>
      </c>
      <c r="AB835" t="str">
        <f t="shared" si="140"/>
        <v/>
      </c>
      <c r="AC835" t="e">
        <f t="shared" si="141"/>
        <v>#VALUE!</v>
      </c>
      <c r="AI835" t="e">
        <f t="shared" si="143"/>
        <v>#VALUE!</v>
      </c>
      <c r="BI835" s="40"/>
      <c r="BL835" s="40"/>
      <c r="BN835" s="19"/>
      <c r="BP835" s="17"/>
    </row>
    <row r="836" spans="1:68" x14ac:dyDescent="0.2">
      <c r="A836" t="str">
        <f t="shared" si="137"/>
        <v/>
      </c>
      <c r="E836" s="4"/>
      <c r="F836" s="46"/>
      <c r="G836" s="4"/>
      <c r="H836" s="48"/>
      <c r="J836" s="26" t="str">
        <f t="shared" si="142"/>
        <v/>
      </c>
      <c r="N836" t="str">
        <f t="shared" si="145"/>
        <v/>
      </c>
      <c r="Q836" t="str">
        <f t="shared" si="144"/>
        <v/>
      </c>
      <c r="S836" t="str">
        <f>IF(A836=1,MAX($S$2:$S835)+1,IF(OR($I836&lt;&gt;"",A836="x"),$S835,""))</f>
        <v/>
      </c>
      <c r="T836" t="str">
        <f>IF(D836=1,MAX($T$2:$T835)+1,IF(S836=S835,$T835,IF(D836="x",T835,IF(D835="x","",""))))</f>
        <v/>
      </c>
      <c r="U836" t="str">
        <f>IF(B836=1,MAX($U$2:$U835)+1,IF(AND($T836&lt;&gt;"",$T836=$T835),$U835,IF(B836="x",U835,"")))</f>
        <v/>
      </c>
      <c r="V836" t="str">
        <f>IF(C836=1,MAX($V$2:$V835)+1,IF(AND($T836&lt;&gt;"",$T836=$T835),$U835,IF(C836="x",V835,"")))</f>
        <v/>
      </c>
      <c r="X836" cm="1">
        <f t="array" ref="X836">IF($I836&lt;&gt;"",$I836,INDEX($I$1:$I836,ROW()-COUNTIFS($T$1:$T836,"="&amp;$T836,$S$1:$S836,"&lt;"&amp;$S836)))</f>
        <v>0</v>
      </c>
      <c r="Z836" s="6">
        <f t="shared" si="138"/>
        <v>1</v>
      </c>
      <c r="AA836" t="e">
        <f t="shared" si="139"/>
        <v>#VALUE!</v>
      </c>
      <c r="AB836" t="str">
        <f t="shared" si="140"/>
        <v/>
      </c>
      <c r="AC836" t="e">
        <f t="shared" si="141"/>
        <v>#VALUE!</v>
      </c>
      <c r="AI836" t="e">
        <f t="shared" si="143"/>
        <v>#VALUE!</v>
      </c>
      <c r="BI836" s="40"/>
      <c r="BL836" s="40"/>
      <c r="BN836" s="19"/>
      <c r="BP836" s="17"/>
    </row>
    <row r="837" spans="1:68" x14ac:dyDescent="0.2">
      <c r="A837" t="str">
        <f t="shared" ref="A837:A850" si="146">IF(K837&lt;&gt;"",1,IF(D837="x","x",""))</f>
        <v/>
      </c>
      <c r="E837" s="4"/>
      <c r="F837" s="46"/>
      <c r="G837" s="4"/>
      <c r="H837" s="48"/>
      <c r="J837" s="26" t="str">
        <f t="shared" si="142"/>
        <v/>
      </c>
      <c r="N837" t="str">
        <f t="shared" si="145"/>
        <v/>
      </c>
      <c r="Q837" t="str">
        <f t="shared" si="144"/>
        <v/>
      </c>
      <c r="S837" t="str">
        <f>IF(A837=1,MAX($S$2:$S836)+1,IF(OR($I837&lt;&gt;"",A837="x"),$S836,""))</f>
        <v/>
      </c>
      <c r="T837" t="str">
        <f>IF(D837=1,MAX($T$2:$T836)+1,IF(S837=S836,$T836,IF(D837="x",T836,IF(D836="x","",""))))</f>
        <v/>
      </c>
      <c r="U837" t="str">
        <f>IF(B837=1,MAX($U$2:$U836)+1,IF(AND($T837&lt;&gt;"",$T837=$T836),$U836,IF(B837="x",U836,"")))</f>
        <v/>
      </c>
      <c r="V837" t="str">
        <f>IF(C837=1,MAX($V$2:$V836)+1,IF(AND($T837&lt;&gt;"",$T837=$T836),$U836,IF(C837="x",V836,"")))</f>
        <v/>
      </c>
      <c r="X837" cm="1">
        <f t="array" ref="X837">IF($I837&lt;&gt;"",$I837,INDEX($I$1:$I837,ROW()-COUNTIFS($T$1:$T837,"="&amp;$T837,$S$1:$S837,"&lt;"&amp;$S837)))</f>
        <v>0</v>
      </c>
      <c r="Z837" s="6">
        <f t="shared" ref="Z837:Z900" si="147">IF(K837="Intermission",Z836+1,Z836)</f>
        <v>1</v>
      </c>
      <c r="AA837" t="e">
        <f t="shared" ref="AA837:AA900" si="148">S837+1000</f>
        <v>#VALUE!</v>
      </c>
      <c r="AB837" t="str">
        <f t="shared" ref="AB837:AB900" si="149">IF(T837&lt;&gt;"",9000+T837,"")</f>
        <v/>
      </c>
      <c r="AC837" t="e">
        <f t="shared" ref="AC837:AC900" si="150">IF(AB837&lt;&gt;"",AB837,S837+1000)</f>
        <v>#VALUE!</v>
      </c>
      <c r="AI837" t="e">
        <f t="shared" si="143"/>
        <v>#VALUE!</v>
      </c>
      <c r="BI837" s="40"/>
      <c r="BL837" s="40"/>
      <c r="BN837" s="19"/>
      <c r="BP837" s="17"/>
    </row>
    <row r="838" spans="1:68" x14ac:dyDescent="0.2">
      <c r="A838" t="str">
        <f t="shared" si="146"/>
        <v/>
      </c>
      <c r="E838" s="4"/>
      <c r="F838" s="46"/>
      <c r="G838" s="4"/>
      <c r="H838" s="48"/>
      <c r="J838" s="26" t="str">
        <f t="shared" ref="J838:J850" si="151">IF(OR(K838="Goal",K838="Shot",L838="Zone_Entry",M838="Stoppage-Goal",M837="Stoppage-Goal"),"o",IF(OR(K838="Save",K838="Rebound",L838="Zone_Exit",M838="Stoppage-GoalieStoppage",M837="Stoppage-GoalieStoppage"),"d",IF(OR(L838="Faceoff_AfterGoal",L838="Faceoff_PeriodStart",698="Faceoff_GameStart",M837="Stoppage-Goal"),"n","")))</f>
        <v/>
      </c>
      <c r="N838" t="str">
        <f t="shared" si="145"/>
        <v/>
      </c>
      <c r="Q838" t="str">
        <f t="shared" si="144"/>
        <v/>
      </c>
      <c r="S838" t="str">
        <f>IF(A838=1,MAX($S$2:$S837)+1,IF(OR($I838&lt;&gt;"",A838="x"),$S837,""))</f>
        <v/>
      </c>
      <c r="T838" t="str">
        <f>IF(D838=1,MAX($T$2:$T837)+1,IF(S838=S837,$T837,IF(D838="x",T837,IF(D837="x","",""))))</f>
        <v/>
      </c>
      <c r="U838" t="str">
        <f>IF(B838=1,MAX($U$2:$U837)+1,IF(AND($T838&lt;&gt;"",$T838=$T837),$U837,IF(B838="x",U837,"")))</f>
        <v/>
      </c>
      <c r="V838" t="str">
        <f>IF(C838=1,MAX($V$2:$V837)+1,IF(AND($T838&lt;&gt;"",$T838=$T837),$U837,IF(C838="x",V837,"")))</f>
        <v/>
      </c>
      <c r="X838" cm="1">
        <f t="array" ref="X838">IF($I838&lt;&gt;"",$I838,INDEX($I$1:$I838,ROW()-COUNTIFS($T$1:$T838,"="&amp;$T838,$S$1:$S838,"&lt;"&amp;$S838)))</f>
        <v>0</v>
      </c>
      <c r="Z838" s="6">
        <f t="shared" si="147"/>
        <v>1</v>
      </c>
      <c r="AA838" t="e">
        <f t="shared" si="148"/>
        <v>#VALUE!</v>
      </c>
      <c r="AB838" t="str">
        <f t="shared" si="149"/>
        <v/>
      </c>
      <c r="AC838" t="e">
        <f t="shared" si="150"/>
        <v>#VALUE!</v>
      </c>
      <c r="AI838" t="e">
        <f t="shared" ref="AI838:AI860" si="152">IF($J838&lt;&gt;"",$J838,IF($AC838=$AC837,AI837,""))</f>
        <v>#VALUE!</v>
      </c>
      <c r="BI838" s="40"/>
      <c r="BL838" s="40"/>
      <c r="BN838" s="19"/>
      <c r="BP838" s="17"/>
    </row>
    <row r="839" spans="1:68" x14ac:dyDescent="0.2">
      <c r="A839" t="str">
        <f t="shared" si="146"/>
        <v/>
      </c>
      <c r="E839" s="4"/>
      <c r="F839" s="46"/>
      <c r="G839" s="4"/>
      <c r="H839" s="48"/>
      <c r="J839" s="26" t="str">
        <f t="shared" si="151"/>
        <v/>
      </c>
      <c r="N839" t="str">
        <f t="shared" si="145"/>
        <v/>
      </c>
      <c r="Q839" t="str">
        <f t="shared" si="144"/>
        <v/>
      </c>
      <c r="S839" t="str">
        <f>IF(A839=1,MAX($S$2:$S838)+1,IF(OR($I839&lt;&gt;"",A839="x"),$S838,""))</f>
        <v/>
      </c>
      <c r="T839" t="str">
        <f>IF(D839=1,MAX($T$2:$T838)+1,IF(S839=S838,$T838,IF(D839="x",T838,IF(D838="x","",""))))</f>
        <v/>
      </c>
      <c r="U839" t="str">
        <f>IF(B839=1,MAX($U$2:$U838)+1,IF(AND($T839&lt;&gt;"",$T839=$T838),$U838,IF(B839="x",U838,"")))</f>
        <v/>
      </c>
      <c r="V839" t="str">
        <f>IF(C839=1,MAX($V$2:$V838)+1,IF(AND($T839&lt;&gt;"",$T839=$T838),$U838,IF(C839="x",V838,"")))</f>
        <v/>
      </c>
      <c r="X839" cm="1">
        <f t="array" ref="X839">IF($I839&lt;&gt;"",$I839,INDEX($I$1:$I839,ROW()-COUNTIFS($T$1:$T839,"="&amp;$T839,$S$1:$S839,"&lt;"&amp;$S839)))</f>
        <v>0</v>
      </c>
      <c r="Z839" s="6">
        <f t="shared" si="147"/>
        <v>1</v>
      </c>
      <c r="AA839" t="e">
        <f t="shared" si="148"/>
        <v>#VALUE!</v>
      </c>
      <c r="AB839" t="str">
        <f t="shared" si="149"/>
        <v/>
      </c>
      <c r="AC839" t="e">
        <f t="shared" si="150"/>
        <v>#VALUE!</v>
      </c>
      <c r="AI839" t="e">
        <f t="shared" si="152"/>
        <v>#VALUE!</v>
      </c>
      <c r="BI839" s="40"/>
      <c r="BL839" s="40"/>
      <c r="BN839" s="19"/>
      <c r="BP839" s="17"/>
    </row>
    <row r="840" spans="1:68" x14ac:dyDescent="0.2">
      <c r="A840" t="str">
        <f t="shared" si="146"/>
        <v/>
      </c>
      <c r="E840" s="4"/>
      <c r="F840" s="46"/>
      <c r="G840" s="4"/>
      <c r="H840" s="48"/>
      <c r="J840" s="26" t="str">
        <f t="shared" si="151"/>
        <v/>
      </c>
      <c r="N840" t="str">
        <f t="shared" si="145"/>
        <v/>
      </c>
      <c r="Q840" t="str">
        <f t="shared" si="144"/>
        <v/>
      </c>
      <c r="S840" t="str">
        <f>IF(A840=1,MAX($S$2:$S839)+1,IF(OR($I840&lt;&gt;"",A840="x"),$S839,""))</f>
        <v/>
      </c>
      <c r="T840" t="str">
        <f>IF(D840=1,MAX($T$2:$T839)+1,IF(S840=S839,$T839,IF(D840="x",T839,IF(D839="x","",""))))</f>
        <v/>
      </c>
      <c r="U840" t="str">
        <f>IF(B840=1,MAX($U$2:$U839)+1,IF(AND($T840&lt;&gt;"",$T840=$T839),$U839,IF(B840="x",U839,"")))</f>
        <v/>
      </c>
      <c r="V840" t="str">
        <f>IF(C840=1,MAX($V$2:$V839)+1,IF(AND($T840&lt;&gt;"",$T840=$T839),$U839,IF(C840="x",V839,"")))</f>
        <v/>
      </c>
      <c r="X840" cm="1">
        <f t="array" ref="X840">IF($I840&lt;&gt;"",$I840,INDEX($I$1:$I840,ROW()-COUNTIFS($T$1:$T840,"="&amp;$T840,$S$1:$S840,"&lt;"&amp;$S840)))</f>
        <v>0</v>
      </c>
      <c r="Z840" s="6">
        <f t="shared" si="147"/>
        <v>1</v>
      </c>
      <c r="AA840" t="e">
        <f t="shared" si="148"/>
        <v>#VALUE!</v>
      </c>
      <c r="AB840" t="str">
        <f t="shared" si="149"/>
        <v/>
      </c>
      <c r="AC840" t="e">
        <f t="shared" si="150"/>
        <v>#VALUE!</v>
      </c>
      <c r="AI840" t="e">
        <f t="shared" si="152"/>
        <v>#VALUE!</v>
      </c>
      <c r="BI840" s="40"/>
      <c r="BL840" s="40"/>
      <c r="BN840" s="19"/>
      <c r="BP840" s="17"/>
    </row>
    <row r="841" spans="1:68" x14ac:dyDescent="0.2">
      <c r="A841" t="str">
        <f t="shared" si="146"/>
        <v/>
      </c>
      <c r="E841" s="4"/>
      <c r="F841" s="46"/>
      <c r="G841" s="4"/>
      <c r="H841" s="48"/>
      <c r="J841" s="26" t="str">
        <f t="shared" si="151"/>
        <v/>
      </c>
      <c r="N841" t="str">
        <f t="shared" si="145"/>
        <v/>
      </c>
      <c r="Q841" t="str">
        <f t="shared" si="144"/>
        <v/>
      </c>
      <c r="S841" t="str">
        <f>IF(A841=1,MAX($S$2:$S840)+1,IF(OR($I841&lt;&gt;"",A841="x"),$S840,""))</f>
        <v/>
      </c>
      <c r="T841" t="str">
        <f>IF(D841=1,MAX($T$2:$T840)+1,IF(S841=S840,$T840,IF(D841="x",T840,IF(D840="x","",""))))</f>
        <v/>
      </c>
      <c r="U841" t="str">
        <f>IF(B841=1,MAX($U$2:$U840)+1,IF(AND($T841&lt;&gt;"",$T841=$T840),$U840,IF(B841="x",U840,"")))</f>
        <v/>
      </c>
      <c r="V841" t="str">
        <f>IF(C841=1,MAX($V$2:$V840)+1,IF(AND($T841&lt;&gt;"",$T841=$T840),$U840,IF(C841="x",V840,"")))</f>
        <v/>
      </c>
      <c r="X841" cm="1">
        <f t="array" ref="X841">IF($I841&lt;&gt;"",$I841,INDEX($I$1:$I841,ROW()-COUNTIFS($T$1:$T841,"="&amp;$T841,$S$1:$S841,"&lt;"&amp;$S841)))</f>
        <v>0</v>
      </c>
      <c r="Z841" s="6">
        <f t="shared" si="147"/>
        <v>1</v>
      </c>
      <c r="AA841" t="e">
        <f t="shared" si="148"/>
        <v>#VALUE!</v>
      </c>
      <c r="AB841" t="str">
        <f t="shared" si="149"/>
        <v/>
      </c>
      <c r="AC841" t="e">
        <f t="shared" si="150"/>
        <v>#VALUE!</v>
      </c>
      <c r="AI841" t="e">
        <f t="shared" si="152"/>
        <v>#VALUE!</v>
      </c>
      <c r="BI841" s="40"/>
      <c r="BL841" s="40"/>
      <c r="BN841" s="19"/>
      <c r="BP841" s="17"/>
    </row>
    <row r="842" spans="1:68" x14ac:dyDescent="0.2">
      <c r="A842" t="str">
        <f t="shared" si="146"/>
        <v/>
      </c>
      <c r="E842" s="4"/>
      <c r="F842" s="46"/>
      <c r="G842" s="4"/>
      <c r="H842" s="48"/>
      <c r="J842" s="26" t="str">
        <f t="shared" si="151"/>
        <v/>
      </c>
      <c r="N842" t="str">
        <f t="shared" si="145"/>
        <v/>
      </c>
      <c r="Q842" t="str">
        <f t="shared" si="144"/>
        <v/>
      </c>
      <c r="S842" t="str">
        <f>IF(A842=1,MAX($S$2:$S841)+1,IF(OR($I842&lt;&gt;"",A842="x"),$S841,""))</f>
        <v/>
      </c>
      <c r="T842" t="str">
        <f>IF(D842=1,MAX($T$2:$T841)+1,IF(S842=S841,$T841,IF(D842="x",T841,IF(D841="x","",""))))</f>
        <v/>
      </c>
      <c r="U842" t="str">
        <f>IF(B842=1,MAX($U$2:$U841)+1,IF(AND($T842&lt;&gt;"",$T842=$T841),$U841,IF(B842="x",U841,"")))</f>
        <v/>
      </c>
      <c r="V842" t="str">
        <f>IF(C842=1,MAX($V$2:$V841)+1,IF(AND($T842&lt;&gt;"",$T842=$T841),$U841,IF(C842="x",V841,"")))</f>
        <v/>
      </c>
      <c r="X842" cm="1">
        <f t="array" ref="X842">IF($I842&lt;&gt;"",$I842,INDEX($I$1:$I842,ROW()-COUNTIFS($T$1:$T842,"="&amp;$T842,$S$1:$S842,"&lt;"&amp;$S842)))</f>
        <v>0</v>
      </c>
      <c r="Z842" s="6">
        <f t="shared" si="147"/>
        <v>1</v>
      </c>
      <c r="AA842" t="e">
        <f t="shared" si="148"/>
        <v>#VALUE!</v>
      </c>
      <c r="AB842" t="str">
        <f t="shared" si="149"/>
        <v/>
      </c>
      <c r="AC842" t="e">
        <f t="shared" si="150"/>
        <v>#VALUE!</v>
      </c>
      <c r="AI842" t="e">
        <f t="shared" si="152"/>
        <v>#VALUE!</v>
      </c>
      <c r="BI842" s="40"/>
      <c r="BL842" s="40"/>
      <c r="BN842" s="19"/>
      <c r="BP842" s="17"/>
    </row>
    <row r="843" spans="1:68" x14ac:dyDescent="0.2">
      <c r="A843" t="str">
        <f t="shared" si="146"/>
        <v/>
      </c>
      <c r="E843" s="4"/>
      <c r="F843" s="46"/>
      <c r="G843" s="4"/>
      <c r="H843" s="48"/>
      <c r="J843" s="26" t="str">
        <f t="shared" si="151"/>
        <v/>
      </c>
      <c r="N843" t="str">
        <f t="shared" si="145"/>
        <v/>
      </c>
      <c r="Q843" t="str">
        <f t="shared" si="144"/>
        <v/>
      </c>
      <c r="S843" t="str">
        <f>IF(A843=1,MAX($S$2:$S842)+1,IF(OR($I843&lt;&gt;"",A843="x"),$S842,""))</f>
        <v/>
      </c>
      <c r="T843" t="str">
        <f>IF(D843=1,MAX($T$2:$T842)+1,IF(S843=S842,$T842,IF(D843="x",T842,IF(D842="x","",""))))</f>
        <v/>
      </c>
      <c r="U843" t="str">
        <f>IF(B843=1,MAX($U$2:$U842)+1,IF(AND($T843&lt;&gt;"",$T843=$T842),$U842,IF(B843="x",U842,"")))</f>
        <v/>
      </c>
      <c r="V843" t="str">
        <f>IF(C843=1,MAX($V$2:$V842)+1,IF(AND($T843&lt;&gt;"",$T843=$T842),$U842,IF(C843="x",V842,"")))</f>
        <v/>
      </c>
      <c r="X843" cm="1">
        <f t="array" ref="X843">IF($I843&lt;&gt;"",$I843,INDEX($I$1:$I843,ROW()-COUNTIFS($T$1:$T843,"="&amp;$T843,$S$1:$S843,"&lt;"&amp;$S843)))</f>
        <v>0</v>
      </c>
      <c r="Z843" s="6">
        <f t="shared" si="147"/>
        <v>1</v>
      </c>
      <c r="AA843" t="e">
        <f t="shared" si="148"/>
        <v>#VALUE!</v>
      </c>
      <c r="AB843" t="str">
        <f t="shared" si="149"/>
        <v/>
      </c>
      <c r="AC843" t="e">
        <f t="shared" si="150"/>
        <v>#VALUE!</v>
      </c>
      <c r="AI843" t="e">
        <f t="shared" si="152"/>
        <v>#VALUE!</v>
      </c>
      <c r="BI843" s="40"/>
      <c r="BL843" s="40"/>
      <c r="BN843" s="19"/>
      <c r="BP843" s="17"/>
    </row>
    <row r="844" spans="1:68" x14ac:dyDescent="0.2">
      <c r="A844" t="str">
        <f t="shared" si="146"/>
        <v/>
      </c>
      <c r="E844" s="4"/>
      <c r="F844" s="46"/>
      <c r="G844" s="4"/>
      <c r="H844" s="48"/>
      <c r="J844" s="26" t="str">
        <f t="shared" si="151"/>
        <v/>
      </c>
      <c r="N844" t="str">
        <f t="shared" si="145"/>
        <v/>
      </c>
      <c r="Q844" t="str">
        <f t="shared" si="144"/>
        <v/>
      </c>
      <c r="S844" t="str">
        <f>IF(A844=1,MAX($S$2:$S843)+1,IF(OR($I844&lt;&gt;"",A844="x"),$S843,""))</f>
        <v/>
      </c>
      <c r="T844" t="str">
        <f>IF(D844=1,MAX($T$2:$T843)+1,IF(S844=S843,$T843,IF(D844="x",T843,IF(D843="x","",""))))</f>
        <v/>
      </c>
      <c r="U844" t="str">
        <f>IF(B844=1,MAX($U$2:$U843)+1,IF(AND($T844&lt;&gt;"",$T844=$T843),$U843,IF(B844="x",U843,"")))</f>
        <v/>
      </c>
      <c r="V844" t="str">
        <f>IF(C844=1,MAX($V$2:$V843)+1,IF(AND($T844&lt;&gt;"",$T844=$T843),$U843,IF(C844="x",V843,"")))</f>
        <v/>
      </c>
      <c r="X844" cm="1">
        <f t="array" ref="X844">IF($I844&lt;&gt;"",$I844,INDEX($I$1:$I844,ROW()-COUNTIFS($T$1:$T844,"="&amp;$T844,$S$1:$S844,"&lt;"&amp;$S844)))</f>
        <v>0</v>
      </c>
      <c r="Z844" s="6">
        <f t="shared" si="147"/>
        <v>1</v>
      </c>
      <c r="AA844" t="e">
        <f t="shared" si="148"/>
        <v>#VALUE!</v>
      </c>
      <c r="AB844" t="str">
        <f t="shared" si="149"/>
        <v/>
      </c>
      <c r="AC844" t="e">
        <f t="shared" si="150"/>
        <v>#VALUE!</v>
      </c>
      <c r="AI844" t="e">
        <f t="shared" si="152"/>
        <v>#VALUE!</v>
      </c>
      <c r="BI844" s="40"/>
      <c r="BL844" s="40"/>
      <c r="BN844" s="19"/>
      <c r="BP844" s="17"/>
    </row>
    <row r="845" spans="1:68" x14ac:dyDescent="0.2">
      <c r="A845" t="str">
        <f t="shared" si="146"/>
        <v/>
      </c>
      <c r="E845" s="4"/>
      <c r="F845" s="46"/>
      <c r="G845" s="4"/>
      <c r="H845" s="48"/>
      <c r="J845" s="26" t="str">
        <f t="shared" si="151"/>
        <v/>
      </c>
      <c r="N845" t="str">
        <f t="shared" si="145"/>
        <v/>
      </c>
      <c r="Q845" t="str">
        <f t="shared" si="144"/>
        <v/>
      </c>
      <c r="S845" t="str">
        <f>IF(A845=1,MAX($S$2:$S844)+1,IF(OR($I845&lt;&gt;"",A845="x"),$S844,""))</f>
        <v/>
      </c>
      <c r="T845" t="str">
        <f>IF(D845=1,MAX($T$2:$T844)+1,IF(S845=S844,$T844,IF(D845="x",T844,IF(D844="x","",""))))</f>
        <v/>
      </c>
      <c r="U845" t="str">
        <f>IF(B845=1,MAX($U$2:$U844)+1,IF(AND($T845&lt;&gt;"",$T845=$T844),$U844,IF(B845="x",U844,"")))</f>
        <v/>
      </c>
      <c r="V845" t="str">
        <f>IF(C845=1,MAX($V$2:$V844)+1,IF(AND($T845&lt;&gt;"",$T845=$T844),$U844,IF(C845="x",V844,"")))</f>
        <v/>
      </c>
      <c r="X845" cm="1">
        <f t="array" ref="X845">IF($I845&lt;&gt;"",$I845,INDEX($I$1:$I845,ROW()-COUNTIFS($T$1:$T845,"="&amp;$T845,$S$1:$S845,"&lt;"&amp;$S845)))</f>
        <v>0</v>
      </c>
      <c r="Z845" s="6">
        <f t="shared" si="147"/>
        <v>1</v>
      </c>
      <c r="AA845" t="e">
        <f t="shared" si="148"/>
        <v>#VALUE!</v>
      </c>
      <c r="AB845" t="str">
        <f t="shared" si="149"/>
        <v/>
      </c>
      <c r="AC845" t="e">
        <f t="shared" si="150"/>
        <v>#VALUE!</v>
      </c>
      <c r="AI845" t="e">
        <f t="shared" si="152"/>
        <v>#VALUE!</v>
      </c>
      <c r="BI845" s="40"/>
      <c r="BL845" s="40"/>
      <c r="BN845" s="19"/>
      <c r="BP845" s="17"/>
    </row>
    <row r="846" spans="1:68" x14ac:dyDescent="0.2">
      <c r="A846" t="str">
        <f t="shared" si="146"/>
        <v/>
      </c>
      <c r="E846" s="4"/>
      <c r="F846" s="46"/>
      <c r="G846" s="4"/>
      <c r="H846" s="48"/>
      <c r="J846" s="26" t="str">
        <f t="shared" si="151"/>
        <v/>
      </c>
      <c r="N846" t="str">
        <f t="shared" si="145"/>
        <v/>
      </c>
      <c r="Q846" t="str">
        <f t="shared" si="144"/>
        <v/>
      </c>
      <c r="S846" t="str">
        <f>IF(A846=1,MAX($S$2:$S845)+1,IF(OR($I846&lt;&gt;"",A846="x"),$S845,""))</f>
        <v/>
      </c>
      <c r="T846" t="str">
        <f>IF(D846=1,MAX($T$2:$T845)+1,IF(S846=S845,$T845,IF(D846="x",T845,IF(D845="x","",""))))</f>
        <v/>
      </c>
      <c r="U846" t="str">
        <f>IF(B846=1,MAX($U$2:$U845)+1,IF(AND($T846&lt;&gt;"",$T846=$T845),$U845,IF(B846="x",U845,"")))</f>
        <v/>
      </c>
      <c r="V846" t="str">
        <f>IF(C846=1,MAX($V$2:$V845)+1,IF(AND($T846&lt;&gt;"",$T846=$T845),$U845,IF(C846="x",V845,"")))</f>
        <v/>
      </c>
      <c r="X846" cm="1">
        <f t="array" ref="X846">IF($I846&lt;&gt;"",$I846,INDEX($I$1:$I846,ROW()-COUNTIFS($T$1:$T846,"="&amp;$T846,$S$1:$S846,"&lt;"&amp;$S846)))</f>
        <v>0</v>
      </c>
      <c r="Z846" s="6">
        <f t="shared" si="147"/>
        <v>1</v>
      </c>
      <c r="AA846" t="e">
        <f t="shared" si="148"/>
        <v>#VALUE!</v>
      </c>
      <c r="AB846" t="str">
        <f t="shared" si="149"/>
        <v/>
      </c>
      <c r="AC846" t="e">
        <f t="shared" si="150"/>
        <v>#VALUE!</v>
      </c>
      <c r="AI846" t="e">
        <f t="shared" si="152"/>
        <v>#VALUE!</v>
      </c>
      <c r="BI846" s="40"/>
      <c r="BL846" s="40"/>
      <c r="BN846" s="19"/>
      <c r="BP846" s="17"/>
    </row>
    <row r="847" spans="1:68" x14ac:dyDescent="0.2">
      <c r="A847" t="str">
        <f t="shared" si="146"/>
        <v/>
      </c>
      <c r="E847" s="4"/>
      <c r="F847" s="46"/>
      <c r="G847" s="4"/>
      <c r="H847" s="48"/>
      <c r="J847" s="26" t="str">
        <f t="shared" si="151"/>
        <v/>
      </c>
      <c r="N847" t="str">
        <f t="shared" si="145"/>
        <v/>
      </c>
      <c r="Q847" t="str">
        <f t="shared" si="144"/>
        <v/>
      </c>
      <c r="S847" t="str">
        <f>IF(A847=1,MAX($S$2:$S846)+1,IF(OR($I847&lt;&gt;"",A847="x"),$S846,""))</f>
        <v/>
      </c>
      <c r="T847" t="str">
        <f>IF(D847=1,MAX($T$2:$T846)+1,IF(S847=S846,$T846,IF(D847="x",T846,IF(D846="x","",""))))</f>
        <v/>
      </c>
      <c r="U847" t="str">
        <f>IF(B847=1,MAX($U$2:$U846)+1,IF(AND($T847&lt;&gt;"",$T847=$T846),$U846,IF(B847="x",U846,"")))</f>
        <v/>
      </c>
      <c r="V847" t="str">
        <f>IF(C847=1,MAX($V$2:$V846)+1,IF(AND($T847&lt;&gt;"",$T847=$T846),$U846,IF(C847="x",V846,"")))</f>
        <v/>
      </c>
      <c r="X847" cm="1">
        <f t="array" ref="X847">IF($I847&lt;&gt;"",$I847,INDEX($I$1:$I847,ROW()-COUNTIFS($T$1:$T847,"="&amp;$T847,$S$1:$S847,"&lt;"&amp;$S847)))</f>
        <v>0</v>
      </c>
      <c r="Z847" s="6">
        <f t="shared" si="147"/>
        <v>1</v>
      </c>
      <c r="AA847" t="e">
        <f t="shared" si="148"/>
        <v>#VALUE!</v>
      </c>
      <c r="AB847" t="str">
        <f t="shared" si="149"/>
        <v/>
      </c>
      <c r="AC847" t="e">
        <f t="shared" si="150"/>
        <v>#VALUE!</v>
      </c>
      <c r="AI847" t="e">
        <f t="shared" si="152"/>
        <v>#VALUE!</v>
      </c>
      <c r="BI847" s="40"/>
      <c r="BL847" s="40"/>
      <c r="BN847" s="19"/>
      <c r="BP847" s="17"/>
    </row>
    <row r="848" spans="1:68" x14ac:dyDescent="0.2">
      <c r="A848" t="str">
        <f t="shared" si="146"/>
        <v/>
      </c>
      <c r="E848" s="4"/>
      <c r="F848" s="46"/>
      <c r="G848" s="4"/>
      <c r="H848" s="48"/>
      <c r="J848" s="26" t="str">
        <f t="shared" si="151"/>
        <v/>
      </c>
      <c r="N848" t="str">
        <f t="shared" si="145"/>
        <v/>
      </c>
      <c r="Q848" t="str">
        <f t="shared" ref="Q848:Q850" si="153">IF(O848="","",IF(AND(N848&lt;&gt;"",OR(O848&lt;&gt;"",P848&lt;&gt;"")),N848,IF(OR(ISNUMBER(SEARCH("attemp",O848)),ISNUMBER(SEARCH("beat",O848)),ISNUMBER(SEARCH("mis",O848)),ISNUMBER(SEARCH("fail",O848)),ISNUMBER(SEARCH("loss",O848)),ISNUMBER(SEARCH("lost",O848)),ISNUMBER(SEARCH("attemp",P848)),ISNUMBER(SEARCH("mis",P848)),ISNUMBER(SEARCH("fail",P848)),ISNUMBER(SEARCH("loss",P848)),ISNUMBER(SEARCH("beat",P848)),ISNUMBER(SEARCH("lost",P848))),"u","")))</f>
        <v/>
      </c>
      <c r="S848" t="str">
        <f>IF(A848=1,MAX($S$2:$S847)+1,IF(OR($I848&lt;&gt;"",A848="x"),$S847,""))</f>
        <v/>
      </c>
      <c r="T848" t="str">
        <f>IF(D848=1,MAX($T$2:$T847)+1,IF(S848=S847,$T847,IF(D848="x",T847,IF(D847="x","",""))))</f>
        <v/>
      </c>
      <c r="U848" t="str">
        <f>IF(B848=1,MAX($U$2:$U847)+1,IF(AND($T848&lt;&gt;"",$T848=$T847),$U847,IF(B848="x",U847,"")))</f>
        <v/>
      </c>
      <c r="V848" t="str">
        <f>IF(C848=1,MAX($V$2:$V847)+1,IF(AND($T848&lt;&gt;"",$T848=$T847),$U847,IF(C848="x",V847,"")))</f>
        <v/>
      </c>
      <c r="X848" cm="1">
        <f t="array" ref="X848">IF($I848&lt;&gt;"",$I848,INDEX($I$1:$I848,ROW()-COUNTIFS($T$1:$T848,"="&amp;$T848,$S$1:$S848,"&lt;"&amp;$S848)))</f>
        <v>0</v>
      </c>
      <c r="Z848" s="6">
        <f t="shared" si="147"/>
        <v>1</v>
      </c>
      <c r="AA848" t="e">
        <f t="shared" si="148"/>
        <v>#VALUE!</v>
      </c>
      <c r="AB848" t="str">
        <f t="shared" si="149"/>
        <v/>
      </c>
      <c r="AC848" t="e">
        <f t="shared" si="150"/>
        <v>#VALUE!</v>
      </c>
      <c r="AI848" t="e">
        <f t="shared" si="152"/>
        <v>#VALUE!</v>
      </c>
      <c r="BI848" s="40"/>
      <c r="BL848" s="40"/>
      <c r="BN848" s="19"/>
      <c r="BP848" s="17"/>
    </row>
    <row r="849" spans="1:68" x14ac:dyDescent="0.2">
      <c r="A849" t="str">
        <f t="shared" si="146"/>
        <v/>
      </c>
      <c r="E849" s="4"/>
      <c r="F849" s="46"/>
      <c r="G849" s="4"/>
      <c r="H849" s="48"/>
      <c r="J849" s="26" t="str">
        <f t="shared" si="151"/>
        <v/>
      </c>
      <c r="N849" t="str">
        <f t="shared" si="145"/>
        <v/>
      </c>
      <c r="Q849" t="str">
        <f t="shared" si="153"/>
        <v/>
      </c>
      <c r="S849" t="str">
        <f>IF(A849=1,MAX($S$2:$S848)+1,IF(OR($I849&lt;&gt;"",A849="x"),$S848,""))</f>
        <v/>
      </c>
      <c r="T849" t="str">
        <f>IF(D849=1,MAX($T$2:$T848)+1,IF(S849=S848,$T848,IF(D849="x",T848,IF(D848="x","",""))))</f>
        <v/>
      </c>
      <c r="U849" t="str">
        <f>IF(B849=1,MAX($U$2:$U848)+1,IF(AND($T849&lt;&gt;"",$T849=$T848),$U848,IF(B849="x",U848,"")))</f>
        <v/>
      </c>
      <c r="V849" t="str">
        <f>IF(C849=1,MAX($V$2:$V848)+1,IF(AND($T849&lt;&gt;"",$T849=$T848),$U848,IF(C849="x",V848,"")))</f>
        <v/>
      </c>
      <c r="X849" cm="1">
        <f t="array" ref="X849">IF($I849&lt;&gt;"",$I849,INDEX($I$1:$I849,ROW()-COUNTIFS($T$1:$T849,"="&amp;$T849,$S$1:$S849,"&lt;"&amp;$S849)))</f>
        <v>0</v>
      </c>
      <c r="Z849" s="6">
        <f t="shared" si="147"/>
        <v>1</v>
      </c>
      <c r="AA849" t="e">
        <f t="shared" si="148"/>
        <v>#VALUE!</v>
      </c>
      <c r="AB849" t="str">
        <f t="shared" si="149"/>
        <v/>
      </c>
      <c r="AC849" t="e">
        <f t="shared" si="150"/>
        <v>#VALUE!</v>
      </c>
      <c r="AI849" t="e">
        <f t="shared" si="152"/>
        <v>#VALUE!</v>
      </c>
      <c r="BI849" s="40"/>
      <c r="BL849" s="40"/>
      <c r="BN849" s="19"/>
      <c r="BP849" s="17"/>
    </row>
    <row r="850" spans="1:68" x14ac:dyDescent="0.2">
      <c r="A850" t="str">
        <f t="shared" si="146"/>
        <v/>
      </c>
      <c r="E850" s="4"/>
      <c r="F850" s="46"/>
      <c r="G850" s="4"/>
      <c r="H850" s="48"/>
      <c r="J850" s="26" t="str">
        <f t="shared" si="151"/>
        <v/>
      </c>
      <c r="N850" t="str">
        <f t="shared" si="145"/>
        <v/>
      </c>
      <c r="Q850" t="str">
        <f t="shared" si="153"/>
        <v/>
      </c>
      <c r="S850" t="str">
        <f>IF(A850=1,MAX($S$2:$S849)+1,IF(OR($I850&lt;&gt;"",A850="x"),$S849,""))</f>
        <v/>
      </c>
      <c r="T850" t="str">
        <f>IF(D850=1,MAX($T$2:$T849)+1,IF(S850=S849,$T849,IF(D850="x",T849,IF(D849="x","",""))))</f>
        <v/>
      </c>
      <c r="U850" t="str">
        <f>IF(B850=1,MAX($U$2:$U849)+1,IF(AND($T850&lt;&gt;"",$T850=$T849),$U849,IF(B850="x",U849,"")))</f>
        <v/>
      </c>
      <c r="V850" t="str">
        <f>IF(C850=1,MAX($V$2:$V849)+1,IF(AND($T850&lt;&gt;"",$T850=$T849),$U849,IF(C850="x",V849,"")))</f>
        <v/>
      </c>
      <c r="X850" cm="1">
        <f t="array" ref="X850">IF($I850&lt;&gt;"",$I850,INDEX($I$1:$I850,ROW()-COUNTIFS($T$1:$T850,"="&amp;$T850,$S$1:$S850,"&lt;"&amp;$S850)))</f>
        <v>0</v>
      </c>
      <c r="Z850" s="6">
        <f t="shared" si="147"/>
        <v>1</v>
      </c>
      <c r="AA850" t="e">
        <f t="shared" si="148"/>
        <v>#VALUE!</v>
      </c>
      <c r="AB850" t="str">
        <f t="shared" si="149"/>
        <v/>
      </c>
      <c r="AC850" t="e">
        <f t="shared" si="150"/>
        <v>#VALUE!</v>
      </c>
      <c r="AI850" t="e">
        <f t="shared" si="152"/>
        <v>#VALUE!</v>
      </c>
      <c r="BI850" s="40"/>
      <c r="BL850" s="40"/>
      <c r="BN850" s="19"/>
      <c r="BP850" s="17"/>
    </row>
    <row r="851" spans="1:68" x14ac:dyDescent="0.2">
      <c r="A851" t="str">
        <f t="shared" ref="A851:A914" si="154">IF(K851&lt;&gt;"",1,IF(D851="x","x",""))</f>
        <v/>
      </c>
      <c r="E851" s="4"/>
      <c r="F851" s="46"/>
      <c r="G851" s="4"/>
      <c r="H851" s="48"/>
      <c r="J851" s="26" t="str">
        <f t="shared" ref="J851:J914" si="155">IF(OR(K851="Goal",K851="Shot",L851="Zone_Entry",M851="Stoppage-Goal",M850="Stoppage-Goal"),"o",IF(OR(K851="Save",K851="Rebound",L851="Zone_Exit",M851="Stoppage-GoalieStoppage",M850="Stoppage-GoalieStoppage"),"d",IF(OR(L851="Faceoff_AfterGoal",L851="Faceoff_PeriodStart",698="Faceoff_GameStart",M850="Stoppage-Goal"),"n","")))</f>
        <v/>
      </c>
      <c r="N851" t="str">
        <f t="shared" ref="N851:N914" si="156">IF(K851="","",IF(K851="Goal","s",IF(AND(K851="Zone_Entry_Exit",OR(ISNUMBER(SEARCH("fail",L851)),ISNUMBER(SEARCH("FromExitClear",M851)),ISNUMBER(SEARCH("miss",M851)))),"u",IF(AND(K851="Zone_Entry_Exit",OR(NOT(ISNUMBER(SEARCH("fail",L851))),NOT(ISNUMBER(SEARCH("FromExitClear",M851))),NOT(ISNUMBER(SEARCH("miss",M851))))),"s",IF(AND(OR(K851="Shot",K851="Pass"),OR(ISNUMBER(SEARCH("complete",L851)),ISNUMBER(SEARCH("goal",L851)),ISNUMBER(SEARCH("OnNet",L851)))),"s",IF(L851="Turnover_Giveaway","u",IF(AND(OR(K851="Shot",K851="Pass"),OR(ISNUMBER(SEARCH("fail",L851)),NOT(ISNUMBER(SEARCH("complete",L851))),NOT(ISNUMBER(SEARCH("OnNet",L851))))),"u","")))))))</f>
        <v/>
      </c>
      <c r="Q851" t="str">
        <f t="shared" ref="Q851:Q914" si="157">IF(O851="","",IF(AND(N851&lt;&gt;"",OR(O851&lt;&gt;"",P851&lt;&gt;"")),N851,IF(OR(ISNUMBER(SEARCH("attemp",O851)),ISNUMBER(SEARCH("beat",O851)),ISNUMBER(SEARCH("mis",O851)),ISNUMBER(SEARCH("fail",O851)),ISNUMBER(SEARCH("loss",O851)),ISNUMBER(SEARCH("lost",O851)),ISNUMBER(SEARCH("attemp",P851)),ISNUMBER(SEARCH("mis",P851)),ISNUMBER(SEARCH("fail",P851)),ISNUMBER(SEARCH("loss",P851)),ISNUMBER(SEARCH("beat",P851)),ISNUMBER(SEARCH("lost",P851))),"u","")))</f>
        <v/>
      </c>
      <c r="S851" t="str">
        <f>IF(A851=1,MAX($S$2:$S850)+1,IF(OR($I851&lt;&gt;"",A851="x"),$S850,""))</f>
        <v/>
      </c>
      <c r="T851" t="str">
        <f>IF(D851=1,MAX($T$2:$T850)+1,IF(S851=S850,$T850,IF(D851="x",T850,IF(D850="x","",""))))</f>
        <v/>
      </c>
      <c r="U851" t="str">
        <f>IF(B851=1,MAX($U$2:$U850)+1,IF(AND($T851&lt;&gt;"",$T851=$T850),$U850,IF(B851="x",U850,"")))</f>
        <v/>
      </c>
      <c r="V851" t="str">
        <f>IF(C851=1,MAX($V$2:$V850)+1,IF(AND($T851&lt;&gt;"",$T851=$T850),$U850,IF(C851="x",V850,"")))</f>
        <v/>
      </c>
      <c r="X851" cm="1">
        <f t="array" ref="X851">IF($I851&lt;&gt;"",$I851,INDEX($I$1:$I851,ROW()-COUNTIFS($T$1:$T851,"="&amp;$T851,$S$1:$S851,"&lt;"&amp;$S851)))</f>
        <v>0</v>
      </c>
      <c r="Z851" s="6">
        <f t="shared" si="147"/>
        <v>1</v>
      </c>
      <c r="AA851" t="e">
        <f t="shared" si="148"/>
        <v>#VALUE!</v>
      </c>
      <c r="AB851" t="str">
        <f t="shared" si="149"/>
        <v/>
      </c>
      <c r="AC851" t="e">
        <f t="shared" si="150"/>
        <v>#VALUE!</v>
      </c>
      <c r="AI851" t="e">
        <f t="shared" si="152"/>
        <v>#VALUE!</v>
      </c>
      <c r="BI851" s="40"/>
      <c r="BL851" s="40"/>
      <c r="BN851" s="19"/>
      <c r="BP851" s="17"/>
    </row>
    <row r="852" spans="1:68" x14ac:dyDescent="0.2">
      <c r="A852" t="str">
        <f t="shared" si="154"/>
        <v/>
      </c>
      <c r="E852" s="4"/>
      <c r="F852" s="46"/>
      <c r="G852" s="4"/>
      <c r="H852" s="48"/>
      <c r="J852" s="26" t="str">
        <f t="shared" si="155"/>
        <v/>
      </c>
      <c r="N852" t="str">
        <f t="shared" si="156"/>
        <v/>
      </c>
      <c r="Q852" t="str">
        <f t="shared" si="157"/>
        <v/>
      </c>
      <c r="S852" t="str">
        <f>IF(A852=1,MAX($S$2:$S851)+1,IF(OR($I852&lt;&gt;"",A852="x"),$S851,""))</f>
        <v/>
      </c>
      <c r="T852" t="str">
        <f>IF(D852=1,MAX($T$2:$T851)+1,IF(S852=S851,$T851,IF(D852="x",T851,IF(D851="x","",""))))</f>
        <v/>
      </c>
      <c r="U852" t="str">
        <f>IF(B852=1,MAX($U$2:$U851)+1,IF(AND($T852&lt;&gt;"",$T852=$T851),$U851,IF(B852="x",U851,"")))</f>
        <v/>
      </c>
      <c r="V852" t="str">
        <f>IF(C852=1,MAX($V$2:$V851)+1,IF(AND($T852&lt;&gt;"",$T852=$T851),$U851,IF(C852="x",V851,"")))</f>
        <v/>
      </c>
      <c r="X852" cm="1">
        <f t="array" ref="X852">IF($I852&lt;&gt;"",$I852,INDEX($I$1:$I852,ROW()-COUNTIFS($T$1:$T852,"="&amp;$T852,$S$1:$S852,"&lt;"&amp;$S852)))</f>
        <v>0</v>
      </c>
      <c r="Z852" s="6">
        <f t="shared" si="147"/>
        <v>1</v>
      </c>
      <c r="AA852" t="e">
        <f t="shared" si="148"/>
        <v>#VALUE!</v>
      </c>
      <c r="AB852" t="str">
        <f t="shared" si="149"/>
        <v/>
      </c>
      <c r="AC852" t="e">
        <f t="shared" si="150"/>
        <v>#VALUE!</v>
      </c>
      <c r="AI852" t="e">
        <f t="shared" si="152"/>
        <v>#VALUE!</v>
      </c>
      <c r="BI852" s="40"/>
      <c r="BL852" s="40"/>
      <c r="BN852" s="19"/>
      <c r="BP852" s="17"/>
    </row>
    <row r="853" spans="1:68" x14ac:dyDescent="0.2">
      <c r="A853" t="str">
        <f t="shared" si="154"/>
        <v/>
      </c>
      <c r="E853" s="4"/>
      <c r="F853" s="46"/>
      <c r="G853" s="4"/>
      <c r="H853" s="48"/>
      <c r="J853" s="26" t="str">
        <f t="shared" si="155"/>
        <v/>
      </c>
      <c r="N853" t="str">
        <f t="shared" si="156"/>
        <v/>
      </c>
      <c r="Q853" t="str">
        <f t="shared" si="157"/>
        <v/>
      </c>
      <c r="S853" t="str">
        <f>IF(A853=1,MAX($S$2:$S852)+1,IF(OR($I853&lt;&gt;"",A853="x"),$S852,""))</f>
        <v/>
      </c>
      <c r="T853" t="str">
        <f>IF(D853=1,MAX($T$2:$T852)+1,IF(S853=S852,$T852,IF(D853="x",T852,IF(D852="x","",""))))</f>
        <v/>
      </c>
      <c r="U853" t="str">
        <f>IF(B853=1,MAX($U$2:$U852)+1,IF(AND($T853&lt;&gt;"",$T853=$T852),$U852,IF(B853="x",U852,"")))</f>
        <v/>
      </c>
      <c r="V853" t="str">
        <f>IF(C853=1,MAX($V$2:$V852)+1,IF(AND($T853&lt;&gt;"",$T853=$T852),$U852,IF(C853="x",V852,"")))</f>
        <v/>
      </c>
      <c r="X853" cm="1">
        <f t="array" ref="X853">IF($I853&lt;&gt;"",$I853,INDEX($I$1:$I853,ROW()-COUNTIFS($T$1:$T853,"="&amp;$T853,$S$1:$S853,"&lt;"&amp;$S853)))</f>
        <v>0</v>
      </c>
      <c r="Z853" s="6">
        <f t="shared" si="147"/>
        <v>1</v>
      </c>
      <c r="AA853" t="e">
        <f t="shared" si="148"/>
        <v>#VALUE!</v>
      </c>
      <c r="AB853" t="str">
        <f t="shared" si="149"/>
        <v/>
      </c>
      <c r="AC853" t="e">
        <f t="shared" si="150"/>
        <v>#VALUE!</v>
      </c>
      <c r="AI853" t="e">
        <f t="shared" si="152"/>
        <v>#VALUE!</v>
      </c>
      <c r="BI853" s="40"/>
      <c r="BL853" s="40"/>
      <c r="BN853" s="19"/>
      <c r="BP853" s="17"/>
    </row>
    <row r="854" spans="1:68" x14ac:dyDescent="0.2">
      <c r="A854" t="str">
        <f t="shared" si="154"/>
        <v/>
      </c>
      <c r="E854" s="4"/>
      <c r="F854" s="46"/>
      <c r="G854" s="4"/>
      <c r="H854" s="48"/>
      <c r="J854" s="26" t="str">
        <f t="shared" si="155"/>
        <v/>
      </c>
      <c r="N854" t="str">
        <f t="shared" si="156"/>
        <v/>
      </c>
      <c r="Q854" t="str">
        <f t="shared" si="157"/>
        <v/>
      </c>
      <c r="S854" t="str">
        <f>IF(A854=1,MAX($S$2:$S853)+1,IF(OR($I854&lt;&gt;"",A854="x"),$S853,""))</f>
        <v/>
      </c>
      <c r="T854" t="str">
        <f>IF(D854=1,MAX($T$2:$T853)+1,IF(S854=S853,$T853,IF(D854="x",T853,IF(D853="x","",""))))</f>
        <v/>
      </c>
      <c r="U854" t="str">
        <f>IF(B854=1,MAX($U$2:$U853)+1,IF(AND($T854&lt;&gt;"",$T854=$T853),$U853,IF(B854="x",U853,"")))</f>
        <v/>
      </c>
      <c r="V854" t="str">
        <f>IF(C854=1,MAX($V$2:$V853)+1,IF(AND($T854&lt;&gt;"",$T854=$T853),$U853,IF(C854="x",V853,"")))</f>
        <v/>
      </c>
      <c r="X854" cm="1">
        <f t="array" ref="X854">IF($I854&lt;&gt;"",$I854,INDEX($I$1:$I854,ROW()-COUNTIFS($T$1:$T854,"="&amp;$T854,$S$1:$S854,"&lt;"&amp;$S854)))</f>
        <v>0</v>
      </c>
      <c r="Z854" s="6">
        <f t="shared" si="147"/>
        <v>1</v>
      </c>
      <c r="AA854" t="e">
        <f t="shared" si="148"/>
        <v>#VALUE!</v>
      </c>
      <c r="AB854" t="str">
        <f t="shared" si="149"/>
        <v/>
      </c>
      <c r="AC854" t="e">
        <f t="shared" si="150"/>
        <v>#VALUE!</v>
      </c>
      <c r="AI854" t="e">
        <f t="shared" si="152"/>
        <v>#VALUE!</v>
      </c>
      <c r="BI854" s="40"/>
      <c r="BL854" s="40"/>
      <c r="BN854" s="19"/>
      <c r="BP854" s="17"/>
    </row>
    <row r="855" spans="1:68" x14ac:dyDescent="0.2">
      <c r="A855" t="str">
        <f t="shared" si="154"/>
        <v/>
      </c>
      <c r="E855" s="4"/>
      <c r="F855" s="46"/>
      <c r="G855" s="4"/>
      <c r="H855" s="48"/>
      <c r="J855" s="26" t="str">
        <f t="shared" si="155"/>
        <v/>
      </c>
      <c r="N855" t="str">
        <f t="shared" si="156"/>
        <v/>
      </c>
      <c r="Q855" t="str">
        <f t="shared" si="157"/>
        <v/>
      </c>
      <c r="S855" t="str">
        <f>IF(A855=1,MAX($S$2:$S854)+1,IF(OR($I855&lt;&gt;"",A855="x"),$S854,""))</f>
        <v/>
      </c>
      <c r="T855" t="str">
        <f>IF(D855=1,MAX($T$2:$T854)+1,IF(S855=S854,$T854,IF(D855="x",T854,IF(D854="x","",""))))</f>
        <v/>
      </c>
      <c r="U855" t="str">
        <f>IF(B855=1,MAX($U$2:$U854)+1,IF(AND($T855&lt;&gt;"",$T855=$T854),$U854,IF(B855="x",U854,"")))</f>
        <v/>
      </c>
      <c r="V855" t="str">
        <f>IF(C855=1,MAX($V$2:$V854)+1,IF(AND($T855&lt;&gt;"",$T855=$T854),$U854,IF(C855="x",V854,"")))</f>
        <v/>
      </c>
      <c r="X855" cm="1">
        <f t="array" ref="X855">IF($I855&lt;&gt;"",$I855,INDEX($I$1:$I855,ROW()-COUNTIFS($T$1:$T855,"="&amp;$T855,$S$1:$S855,"&lt;"&amp;$S855)))</f>
        <v>0</v>
      </c>
      <c r="Z855" s="6">
        <f t="shared" si="147"/>
        <v>1</v>
      </c>
      <c r="AA855" t="e">
        <f t="shared" si="148"/>
        <v>#VALUE!</v>
      </c>
      <c r="AB855" t="str">
        <f t="shared" si="149"/>
        <v/>
      </c>
      <c r="AC855" t="e">
        <f t="shared" si="150"/>
        <v>#VALUE!</v>
      </c>
      <c r="AI855" t="e">
        <f t="shared" si="152"/>
        <v>#VALUE!</v>
      </c>
      <c r="BI855" s="40"/>
      <c r="BL855" s="40"/>
      <c r="BN855" s="19"/>
      <c r="BP855" s="17"/>
    </row>
    <row r="856" spans="1:68" x14ac:dyDescent="0.2">
      <c r="A856" t="str">
        <f t="shared" si="154"/>
        <v/>
      </c>
      <c r="E856" s="4"/>
      <c r="F856" s="46"/>
      <c r="G856" s="4"/>
      <c r="H856" s="48"/>
      <c r="J856" s="26" t="str">
        <f t="shared" si="155"/>
        <v/>
      </c>
      <c r="N856" t="str">
        <f t="shared" si="156"/>
        <v/>
      </c>
      <c r="Q856" t="str">
        <f t="shared" si="157"/>
        <v/>
      </c>
      <c r="S856" t="str">
        <f>IF(A856=1,MAX($S$2:$S855)+1,IF(OR($I856&lt;&gt;"",A856="x"),$S855,""))</f>
        <v/>
      </c>
      <c r="T856" t="str">
        <f>IF(D856=1,MAX($T$2:$T855)+1,IF(S856=S855,$T855,IF(D856="x",T855,IF(D855="x","",""))))</f>
        <v/>
      </c>
      <c r="U856" t="str">
        <f>IF(B856=1,MAX($U$2:$U855)+1,IF(AND($T856&lt;&gt;"",$T856=$T855),$U855,IF(B856="x",U855,"")))</f>
        <v/>
      </c>
      <c r="V856" t="str">
        <f>IF(C856=1,MAX($V$2:$V855)+1,IF(AND($T856&lt;&gt;"",$T856=$T855),$U855,IF(C856="x",V855,"")))</f>
        <v/>
      </c>
      <c r="X856" cm="1">
        <f t="array" ref="X856">IF($I856&lt;&gt;"",$I856,INDEX($I$1:$I856,ROW()-COUNTIFS($T$1:$T856,"="&amp;$T856,$S$1:$S856,"&lt;"&amp;$S856)))</f>
        <v>0</v>
      </c>
      <c r="Z856" s="6">
        <f t="shared" si="147"/>
        <v>1</v>
      </c>
      <c r="AA856" t="e">
        <f t="shared" si="148"/>
        <v>#VALUE!</v>
      </c>
      <c r="AB856" t="str">
        <f t="shared" si="149"/>
        <v/>
      </c>
      <c r="AC856" t="e">
        <f t="shared" si="150"/>
        <v>#VALUE!</v>
      </c>
      <c r="AI856" t="e">
        <f t="shared" si="152"/>
        <v>#VALUE!</v>
      </c>
      <c r="BI856" s="40"/>
      <c r="BL856" s="40"/>
      <c r="BN856" s="19"/>
      <c r="BP856" s="17"/>
    </row>
    <row r="857" spans="1:68" x14ac:dyDescent="0.2">
      <c r="A857" t="str">
        <f t="shared" si="154"/>
        <v/>
      </c>
      <c r="E857" s="4"/>
      <c r="F857" s="46"/>
      <c r="G857" s="4"/>
      <c r="H857" s="48"/>
      <c r="J857" s="26" t="str">
        <f t="shared" si="155"/>
        <v/>
      </c>
      <c r="N857" t="str">
        <f t="shared" si="156"/>
        <v/>
      </c>
      <c r="Q857" t="str">
        <f t="shared" si="157"/>
        <v/>
      </c>
      <c r="S857" t="str">
        <f>IF(A857=1,MAX($S$2:$S856)+1,IF(OR($I857&lt;&gt;"",A857="x"),$S856,""))</f>
        <v/>
      </c>
      <c r="T857" t="str">
        <f>IF(D857=1,MAX($T$2:$T856)+1,IF(S857=S856,$T856,IF(D857="x",T856,IF(D856="x","",""))))</f>
        <v/>
      </c>
      <c r="U857" t="str">
        <f>IF(B857=1,MAX($U$2:$U856)+1,IF(AND($T857&lt;&gt;"",$T857=$T856),$U856,IF(B857="x",U856,"")))</f>
        <v/>
      </c>
      <c r="V857" t="str">
        <f>IF(C857=1,MAX($V$2:$V856)+1,IF(AND($T857&lt;&gt;"",$T857=$T856),$U856,IF(C857="x",V856,"")))</f>
        <v/>
      </c>
      <c r="X857" cm="1">
        <f t="array" ref="X857">IF($I857&lt;&gt;"",$I857,INDEX($I$1:$I857,ROW()-COUNTIFS($T$1:$T857,"="&amp;$T857,$S$1:$S857,"&lt;"&amp;$S857)))</f>
        <v>0</v>
      </c>
      <c r="Z857" s="6">
        <f t="shared" si="147"/>
        <v>1</v>
      </c>
      <c r="AA857" t="e">
        <f t="shared" si="148"/>
        <v>#VALUE!</v>
      </c>
      <c r="AB857" t="str">
        <f t="shared" si="149"/>
        <v/>
      </c>
      <c r="AC857" t="e">
        <f t="shared" si="150"/>
        <v>#VALUE!</v>
      </c>
      <c r="AI857" t="e">
        <f t="shared" si="152"/>
        <v>#VALUE!</v>
      </c>
      <c r="BI857" s="40"/>
      <c r="BL857" s="40"/>
      <c r="BN857" s="19"/>
      <c r="BP857" s="17"/>
    </row>
    <row r="858" spans="1:68" x14ac:dyDescent="0.2">
      <c r="A858" t="str">
        <f t="shared" si="154"/>
        <v/>
      </c>
      <c r="E858" s="4"/>
      <c r="F858" s="46"/>
      <c r="G858" s="4"/>
      <c r="H858" s="48"/>
      <c r="J858" s="26" t="str">
        <f t="shared" si="155"/>
        <v/>
      </c>
      <c r="N858" t="str">
        <f t="shared" si="156"/>
        <v/>
      </c>
      <c r="Q858" t="str">
        <f t="shared" si="157"/>
        <v/>
      </c>
      <c r="S858" t="str">
        <f>IF(A858=1,MAX($S$2:$S857)+1,IF(OR($I858&lt;&gt;"",A858="x"),$S857,""))</f>
        <v/>
      </c>
      <c r="T858" t="str">
        <f>IF(D858=1,MAX($T$2:$T857)+1,IF(S858=S857,$T857,IF(D858="x",T857,IF(D857="x","",""))))</f>
        <v/>
      </c>
      <c r="U858" t="str">
        <f>IF(B858=1,MAX($U$2:$U857)+1,IF(AND($T858&lt;&gt;"",$T858=$T857),$U857,IF(B858="x",U857,"")))</f>
        <v/>
      </c>
      <c r="V858" t="str">
        <f>IF(C858=1,MAX($V$2:$V857)+1,IF(AND($T858&lt;&gt;"",$T858=$T857),$U857,IF(C858="x",V857,"")))</f>
        <v/>
      </c>
      <c r="X858" cm="1">
        <f t="array" ref="X858">IF($I858&lt;&gt;"",$I858,INDEX($I$1:$I858,ROW()-COUNTIFS($T$1:$T858,"="&amp;$T858,$S$1:$S858,"&lt;"&amp;$S858)))</f>
        <v>0</v>
      </c>
      <c r="Z858" s="6">
        <f t="shared" si="147"/>
        <v>1</v>
      </c>
      <c r="AA858" t="e">
        <f t="shared" si="148"/>
        <v>#VALUE!</v>
      </c>
      <c r="AB858" t="str">
        <f t="shared" si="149"/>
        <v/>
      </c>
      <c r="AC858" t="e">
        <f t="shared" si="150"/>
        <v>#VALUE!</v>
      </c>
      <c r="AI858" t="e">
        <f t="shared" si="152"/>
        <v>#VALUE!</v>
      </c>
      <c r="BI858" s="40"/>
      <c r="BL858" s="40"/>
      <c r="BN858" s="19"/>
      <c r="BP858" s="17"/>
    </row>
    <row r="859" spans="1:68" x14ac:dyDescent="0.2">
      <c r="A859" t="str">
        <f t="shared" si="154"/>
        <v/>
      </c>
      <c r="E859" s="4"/>
      <c r="F859" s="46"/>
      <c r="G859" s="4"/>
      <c r="H859" s="48"/>
      <c r="J859" s="26" t="str">
        <f t="shared" si="155"/>
        <v/>
      </c>
      <c r="N859" t="str">
        <f t="shared" si="156"/>
        <v/>
      </c>
      <c r="Q859" t="str">
        <f t="shared" si="157"/>
        <v/>
      </c>
      <c r="S859" t="str">
        <f>IF(A859=1,MAX($S$2:$S858)+1,IF(OR($I859&lt;&gt;"",A859="x"),$S858,""))</f>
        <v/>
      </c>
      <c r="T859" t="str">
        <f>IF(D859=1,MAX($T$2:$T858)+1,IF(S859=S858,$T858,IF(D859="x",T858,IF(D858="x","",""))))</f>
        <v/>
      </c>
      <c r="U859" t="str">
        <f>IF(B859=1,MAX($U$2:$U858)+1,IF(AND($T859&lt;&gt;"",$T859=$T858),$U858,IF(B859="x",U858,"")))</f>
        <v/>
      </c>
      <c r="V859" t="str">
        <f>IF(C859=1,MAX($V$2:$V858)+1,IF(AND($T859&lt;&gt;"",$T859=$T858),$U858,IF(C859="x",V858,"")))</f>
        <v/>
      </c>
      <c r="X859" cm="1">
        <f t="array" ref="X859">IF($I859&lt;&gt;"",$I859,INDEX($I$1:$I859,ROW()-COUNTIFS($T$1:$T859,"="&amp;$T859,$S$1:$S859,"&lt;"&amp;$S859)))</f>
        <v>0</v>
      </c>
      <c r="Z859" s="6">
        <f t="shared" si="147"/>
        <v>1</v>
      </c>
      <c r="AA859" t="e">
        <f t="shared" si="148"/>
        <v>#VALUE!</v>
      </c>
      <c r="AB859" t="str">
        <f t="shared" si="149"/>
        <v/>
      </c>
      <c r="AC859" t="e">
        <f t="shared" si="150"/>
        <v>#VALUE!</v>
      </c>
      <c r="AI859" t="e">
        <f t="shared" si="152"/>
        <v>#VALUE!</v>
      </c>
      <c r="BI859" s="40"/>
      <c r="BL859" s="40"/>
      <c r="BN859" s="19"/>
      <c r="BP859" s="17"/>
    </row>
    <row r="860" spans="1:68" x14ac:dyDescent="0.2">
      <c r="A860" t="str">
        <f t="shared" si="154"/>
        <v/>
      </c>
      <c r="E860" s="4"/>
      <c r="F860" s="46"/>
      <c r="G860" s="4"/>
      <c r="H860" s="48"/>
      <c r="J860" s="26" t="str">
        <f t="shared" si="155"/>
        <v/>
      </c>
      <c r="N860" t="str">
        <f t="shared" si="156"/>
        <v/>
      </c>
      <c r="Q860" t="str">
        <f t="shared" si="157"/>
        <v/>
      </c>
      <c r="S860" t="str">
        <f>IF(A860=1,MAX($S$2:$S859)+1,IF(OR($I860&lt;&gt;"",A860="x"),$S859,""))</f>
        <v/>
      </c>
      <c r="T860" t="str">
        <f>IF(D860=1,MAX($T$2:$T859)+1,IF(S860=S859,$T859,IF(D860="x",T859,IF(D859="x","",""))))</f>
        <v/>
      </c>
      <c r="U860" t="str">
        <f>IF(B860=1,MAX($U$2:$U859)+1,IF(AND($T860&lt;&gt;"",$T860=$T859),$U859,IF(B860="x",U859,"")))</f>
        <v/>
      </c>
      <c r="V860" t="str">
        <f>IF(C860=1,MAX($V$2:$V859)+1,IF(AND($T860&lt;&gt;"",$T860=$T859),$U859,IF(C860="x",V859,"")))</f>
        <v/>
      </c>
      <c r="X860" cm="1">
        <f t="array" ref="X860">IF($I860&lt;&gt;"",$I860,INDEX($I$1:$I860,ROW()-COUNTIFS($T$1:$T860,"="&amp;$T860,$S$1:$S860,"&lt;"&amp;$S860)))</f>
        <v>0</v>
      </c>
      <c r="Z860" s="6">
        <f t="shared" si="147"/>
        <v>1</v>
      </c>
      <c r="AA860" t="e">
        <f t="shared" si="148"/>
        <v>#VALUE!</v>
      </c>
      <c r="AB860" t="str">
        <f t="shared" si="149"/>
        <v/>
      </c>
      <c r="AC860" t="e">
        <f t="shared" si="150"/>
        <v>#VALUE!</v>
      </c>
      <c r="AI860" t="e">
        <f t="shared" si="152"/>
        <v>#VALUE!</v>
      </c>
      <c r="BI860" s="15"/>
      <c r="BL860" s="15"/>
      <c r="BN860" s="19"/>
      <c r="BP860" s="17"/>
    </row>
    <row r="861" spans="1:68" x14ac:dyDescent="0.2">
      <c r="A861" t="str">
        <f t="shared" si="154"/>
        <v/>
      </c>
      <c r="E861" s="4"/>
      <c r="F861" s="46"/>
      <c r="G861" s="4"/>
      <c r="H861" s="48"/>
      <c r="J861" s="26" t="str">
        <f t="shared" si="155"/>
        <v/>
      </c>
      <c r="N861" t="str">
        <f t="shared" si="156"/>
        <v/>
      </c>
      <c r="Q861" t="str">
        <f t="shared" si="157"/>
        <v/>
      </c>
      <c r="S861" t="str">
        <f>IF(A861=1,MAX($S$2:$S860)+1,IF(OR($I861&lt;&gt;"",A861="x"),$S860,""))</f>
        <v/>
      </c>
      <c r="T861" t="str">
        <f>IF(D861=1,MAX($T$2:$T860)+1,IF(S861=S860,$T860,IF(D861="x",T860,IF(D860="x","",""))))</f>
        <v/>
      </c>
      <c r="U861" t="str">
        <f>IF(B861=1,MAX($U$2:$U860)+1,IF(AND($T861&lt;&gt;"",$T861=$T860),$U860,IF(B861="x",U860,"")))</f>
        <v/>
      </c>
      <c r="V861" t="str">
        <f>IF(C861=1,MAX($V$2:$V860)+1,IF(AND($T861&lt;&gt;"",$T861=$T860),$U860,IF(C861="x",V860,"")))</f>
        <v/>
      </c>
      <c r="X861" cm="1">
        <f t="array" ref="X861">IF($I861&lt;&gt;"",$I861,INDEX($I$1:$I861,ROW()-COUNTIFS($T$1:$T861,"="&amp;$T861,$S$1:$S861,"&lt;"&amp;$S861)))</f>
        <v>0</v>
      </c>
      <c r="Z861" s="6">
        <f t="shared" si="147"/>
        <v>1</v>
      </c>
      <c r="AA861" t="e">
        <f t="shared" si="148"/>
        <v>#VALUE!</v>
      </c>
      <c r="AB861" t="str">
        <f t="shared" si="149"/>
        <v/>
      </c>
      <c r="AC861" t="e">
        <f t="shared" si="150"/>
        <v>#VALUE!</v>
      </c>
    </row>
    <row r="862" spans="1:68" x14ac:dyDescent="0.2">
      <c r="A862" t="str">
        <f t="shared" si="154"/>
        <v/>
      </c>
      <c r="E862" s="4"/>
      <c r="F862" s="46"/>
      <c r="G862" s="4"/>
      <c r="H862" s="48"/>
      <c r="J862" s="26" t="str">
        <f t="shared" si="155"/>
        <v/>
      </c>
      <c r="N862" t="str">
        <f t="shared" si="156"/>
        <v/>
      </c>
      <c r="Q862" t="str">
        <f t="shared" si="157"/>
        <v/>
      </c>
      <c r="S862" t="str">
        <f>IF(A862=1,MAX($S$2:$S861)+1,IF(OR($I862&lt;&gt;"",A862="x"),$S861,""))</f>
        <v/>
      </c>
      <c r="T862" t="str">
        <f>IF(D862=1,MAX($T$2:$T861)+1,IF(S862=S861,$T861,IF(D862="x",T861,IF(D861="x","",""))))</f>
        <v/>
      </c>
      <c r="U862" t="str">
        <f>IF(B862=1,MAX($U$2:$U861)+1,IF(AND($T862&lt;&gt;"",$T862=$T861),$U861,IF(B862="x",U861,"")))</f>
        <v/>
      </c>
      <c r="V862" t="str">
        <f>IF(C862=1,MAX($V$2:$V861)+1,IF(AND($T862&lt;&gt;"",$T862=$T861),$U861,IF(C862="x",V861,"")))</f>
        <v/>
      </c>
      <c r="X862" cm="1">
        <f t="array" ref="X862">IF($I862&lt;&gt;"",$I862,INDEX($I$1:$I862,ROW()-COUNTIFS($T$1:$T862,"="&amp;$T862,$S$1:$S862,"&lt;"&amp;$S862)))</f>
        <v>0</v>
      </c>
      <c r="Z862" s="6">
        <f t="shared" si="147"/>
        <v>1</v>
      </c>
      <c r="AA862" t="e">
        <f t="shared" si="148"/>
        <v>#VALUE!</v>
      </c>
      <c r="AB862" t="str">
        <f t="shared" si="149"/>
        <v/>
      </c>
      <c r="AC862" t="e">
        <f t="shared" si="150"/>
        <v>#VALUE!</v>
      </c>
    </row>
    <row r="863" spans="1:68" x14ac:dyDescent="0.2">
      <c r="A863" t="str">
        <f t="shared" si="154"/>
        <v/>
      </c>
      <c r="E863" s="4"/>
      <c r="F863" s="46"/>
      <c r="G863" s="4"/>
      <c r="H863" s="48"/>
      <c r="J863" s="26" t="str">
        <f t="shared" si="155"/>
        <v/>
      </c>
      <c r="N863" t="str">
        <f t="shared" si="156"/>
        <v/>
      </c>
      <c r="Q863" t="str">
        <f t="shared" si="157"/>
        <v/>
      </c>
      <c r="S863" t="str">
        <f>IF(A863=1,MAX($S$2:$S862)+1,IF(OR($I863&lt;&gt;"",A863="x"),$S862,""))</f>
        <v/>
      </c>
      <c r="T863" t="str">
        <f>IF(D863=1,MAX($T$2:$T862)+1,IF(S863=S862,$T862,IF(D863="x",T862,IF(D862="x","",""))))</f>
        <v/>
      </c>
      <c r="U863" t="str">
        <f>IF(B863=1,MAX($U$2:$U862)+1,IF(AND($T863&lt;&gt;"",$T863=$T862),$U862,IF(B863="x",U862,"")))</f>
        <v/>
      </c>
      <c r="V863" t="str">
        <f>IF(C863=1,MAX($V$2:$V862)+1,IF(AND($T863&lt;&gt;"",$T863=$T862),$U862,IF(C863="x",V862,"")))</f>
        <v/>
      </c>
      <c r="X863" cm="1">
        <f t="array" ref="X863">IF($I863&lt;&gt;"",$I863,INDEX($I$1:$I863,ROW()-COUNTIFS($T$1:$T863,"="&amp;$T863,$S$1:$S863,"&lt;"&amp;$S863)))</f>
        <v>0</v>
      </c>
      <c r="Z863" s="6">
        <f t="shared" si="147"/>
        <v>1</v>
      </c>
      <c r="AA863" t="e">
        <f t="shared" si="148"/>
        <v>#VALUE!</v>
      </c>
      <c r="AB863" t="str">
        <f t="shared" si="149"/>
        <v/>
      </c>
      <c r="AC863" t="e">
        <f t="shared" si="150"/>
        <v>#VALUE!</v>
      </c>
    </row>
    <row r="864" spans="1:68" x14ac:dyDescent="0.2">
      <c r="A864" t="str">
        <f t="shared" si="154"/>
        <v/>
      </c>
      <c r="E864" s="4"/>
      <c r="F864" s="46"/>
      <c r="G864" s="4"/>
      <c r="H864" s="48"/>
      <c r="J864" s="26" t="str">
        <f t="shared" si="155"/>
        <v/>
      </c>
      <c r="N864" t="str">
        <f t="shared" si="156"/>
        <v/>
      </c>
      <c r="Q864" t="str">
        <f t="shared" si="157"/>
        <v/>
      </c>
      <c r="S864" t="str">
        <f>IF(A864=1,MAX($S$2:$S863)+1,IF(OR($I864&lt;&gt;"",A864="x"),$S863,""))</f>
        <v/>
      </c>
      <c r="T864" t="str">
        <f>IF(D864=1,MAX($T$2:$T863)+1,IF(S864=S863,$T863,IF(D864="x",T863,IF(D863="x","",""))))</f>
        <v/>
      </c>
      <c r="U864" t="str">
        <f>IF(B864=1,MAX($U$2:$U863)+1,IF(AND($T864&lt;&gt;"",$T864=$T863),$U863,IF(B864="x",U863,"")))</f>
        <v/>
      </c>
      <c r="V864" t="str">
        <f>IF(C864=1,MAX($V$2:$V863)+1,IF(AND($T864&lt;&gt;"",$T864=$T863),$U863,IF(C864="x",V863,"")))</f>
        <v/>
      </c>
      <c r="X864" cm="1">
        <f t="array" ref="X864">IF($I864&lt;&gt;"",$I864,INDEX($I$1:$I864,ROW()-COUNTIFS($T$1:$T864,"="&amp;$T864,$S$1:$S864,"&lt;"&amp;$S864)))</f>
        <v>0</v>
      </c>
      <c r="Z864" s="6">
        <f t="shared" si="147"/>
        <v>1</v>
      </c>
      <c r="AA864" t="e">
        <f t="shared" si="148"/>
        <v>#VALUE!</v>
      </c>
      <c r="AB864" t="str">
        <f t="shared" si="149"/>
        <v/>
      </c>
      <c r="AC864" t="e">
        <f t="shared" si="150"/>
        <v>#VALUE!</v>
      </c>
    </row>
    <row r="865" spans="1:29" x14ac:dyDescent="0.2">
      <c r="A865" t="str">
        <f t="shared" si="154"/>
        <v/>
      </c>
      <c r="E865" s="4"/>
      <c r="F865" s="46"/>
      <c r="G865" s="4"/>
      <c r="H865" s="48"/>
      <c r="J865" s="26" t="str">
        <f t="shared" si="155"/>
        <v/>
      </c>
      <c r="N865" t="str">
        <f t="shared" si="156"/>
        <v/>
      </c>
      <c r="Q865" t="str">
        <f t="shared" si="157"/>
        <v/>
      </c>
      <c r="S865" t="str">
        <f>IF(A865=1,MAX($S$2:$S864)+1,IF(OR($I865&lt;&gt;"",A865="x"),$S864,""))</f>
        <v/>
      </c>
      <c r="T865" t="str">
        <f>IF(D865=1,MAX($T$2:$T864)+1,IF(S865=S864,$T864,IF(D865="x",T864,IF(D864="x","",""))))</f>
        <v/>
      </c>
      <c r="U865" t="str">
        <f>IF(B865=1,MAX($U$2:$U864)+1,IF(AND($T865&lt;&gt;"",$T865=$T864),$U864,IF(B865="x",U864,"")))</f>
        <v/>
      </c>
      <c r="V865" t="str">
        <f>IF(C865=1,MAX($V$2:$V864)+1,IF(AND($T865&lt;&gt;"",$T865=$T864),$U864,IF(C865="x",V864,"")))</f>
        <v/>
      </c>
      <c r="X865" cm="1">
        <f t="array" ref="X865">IF($I865&lt;&gt;"",$I865,INDEX($I$1:$I865,ROW()-COUNTIFS($T$1:$T865,"="&amp;$T865,$S$1:$S865,"&lt;"&amp;$S865)))</f>
        <v>0</v>
      </c>
      <c r="Z865" s="6">
        <f t="shared" si="147"/>
        <v>1</v>
      </c>
      <c r="AA865" t="e">
        <f t="shared" si="148"/>
        <v>#VALUE!</v>
      </c>
      <c r="AB865" t="str">
        <f t="shared" si="149"/>
        <v/>
      </c>
      <c r="AC865" t="e">
        <f t="shared" si="150"/>
        <v>#VALUE!</v>
      </c>
    </row>
    <row r="866" spans="1:29" x14ac:dyDescent="0.2">
      <c r="A866" t="str">
        <f t="shared" si="154"/>
        <v/>
      </c>
      <c r="E866" s="4"/>
      <c r="F866" s="46"/>
      <c r="G866" s="4"/>
      <c r="H866" s="48"/>
      <c r="J866" s="26" t="str">
        <f t="shared" si="155"/>
        <v/>
      </c>
      <c r="N866" t="str">
        <f t="shared" si="156"/>
        <v/>
      </c>
      <c r="Q866" t="str">
        <f t="shared" si="157"/>
        <v/>
      </c>
      <c r="S866" t="str">
        <f>IF(A866=1,MAX($S$2:$S865)+1,IF(OR($I866&lt;&gt;"",A866="x"),$S865,""))</f>
        <v/>
      </c>
      <c r="T866" t="str">
        <f>IF(D866=1,MAX($T$2:$T865)+1,IF(S866=S865,$T865,IF(D866="x",T865,IF(D865="x","",""))))</f>
        <v/>
      </c>
      <c r="U866" t="str">
        <f>IF(B866=1,MAX($U$2:$U865)+1,IF(AND($T866&lt;&gt;"",$T866=$T865),$U865,IF(B866="x",U865,"")))</f>
        <v/>
      </c>
      <c r="V866" t="str">
        <f>IF(C866=1,MAX($V$2:$V865)+1,IF(AND($T866&lt;&gt;"",$T866=$T865),$U865,IF(C866="x",V865,"")))</f>
        <v/>
      </c>
      <c r="X866" cm="1">
        <f t="array" ref="X866">IF($I866&lt;&gt;"",$I866,INDEX($I$1:$I866,ROW()-COUNTIFS($T$1:$T866,"="&amp;$T866,$S$1:$S866,"&lt;"&amp;$S866)))</f>
        <v>0</v>
      </c>
      <c r="Z866" s="6">
        <f t="shared" si="147"/>
        <v>1</v>
      </c>
      <c r="AA866" t="e">
        <f t="shared" si="148"/>
        <v>#VALUE!</v>
      </c>
      <c r="AB866" t="str">
        <f t="shared" si="149"/>
        <v/>
      </c>
      <c r="AC866" t="e">
        <f t="shared" si="150"/>
        <v>#VALUE!</v>
      </c>
    </row>
    <row r="867" spans="1:29" x14ac:dyDescent="0.2">
      <c r="A867" t="str">
        <f t="shared" si="154"/>
        <v/>
      </c>
      <c r="E867" s="4"/>
      <c r="F867" s="46"/>
      <c r="G867" s="4"/>
      <c r="H867" s="48"/>
      <c r="J867" s="26" t="str">
        <f t="shared" si="155"/>
        <v/>
      </c>
      <c r="N867" t="str">
        <f t="shared" si="156"/>
        <v/>
      </c>
      <c r="Q867" t="str">
        <f t="shared" si="157"/>
        <v/>
      </c>
      <c r="S867" t="str">
        <f>IF(A867=1,MAX($S$2:$S866)+1,IF(OR($I867&lt;&gt;"",A867="x"),$S866,""))</f>
        <v/>
      </c>
      <c r="T867" t="str">
        <f>IF(D867=1,MAX($T$2:$T866)+1,IF(S867=S866,$T866,IF(D867="x",T866,IF(D866="x","",""))))</f>
        <v/>
      </c>
      <c r="U867" t="str">
        <f>IF(B867=1,MAX($U$2:$U866)+1,IF(AND($T867&lt;&gt;"",$T867=$T866),$U866,IF(B867="x",U866,"")))</f>
        <v/>
      </c>
      <c r="V867" t="str">
        <f>IF(C867=1,MAX($V$2:$V866)+1,IF(AND($T867&lt;&gt;"",$T867=$T866),$U866,IF(C867="x",V866,"")))</f>
        <v/>
      </c>
      <c r="X867" cm="1">
        <f t="array" ref="X867">IF($I867&lt;&gt;"",$I867,INDEX($I$1:$I867,ROW()-COUNTIFS($T$1:$T867,"="&amp;$T867,$S$1:$S867,"&lt;"&amp;$S867)))</f>
        <v>0</v>
      </c>
      <c r="Z867" s="6">
        <f t="shared" si="147"/>
        <v>1</v>
      </c>
      <c r="AA867" t="e">
        <f t="shared" si="148"/>
        <v>#VALUE!</v>
      </c>
      <c r="AB867" t="str">
        <f t="shared" si="149"/>
        <v/>
      </c>
      <c r="AC867" t="e">
        <f t="shared" si="150"/>
        <v>#VALUE!</v>
      </c>
    </row>
    <row r="868" spans="1:29" x14ac:dyDescent="0.2">
      <c r="A868" t="str">
        <f t="shared" si="154"/>
        <v/>
      </c>
      <c r="E868" s="4"/>
      <c r="F868" s="46"/>
      <c r="G868" s="4"/>
      <c r="H868" s="48"/>
      <c r="J868" s="26" t="str">
        <f t="shared" si="155"/>
        <v/>
      </c>
      <c r="N868" t="str">
        <f t="shared" si="156"/>
        <v/>
      </c>
      <c r="Q868" t="str">
        <f t="shared" si="157"/>
        <v/>
      </c>
      <c r="S868" t="str">
        <f>IF(A868=1,MAX($S$2:$S867)+1,IF(OR($I868&lt;&gt;"",A868="x"),$S867,""))</f>
        <v/>
      </c>
      <c r="T868" t="str">
        <f>IF(D868=1,MAX($T$2:$T867)+1,IF(S868=S867,$T867,IF(D868="x",T867,IF(D867="x","",""))))</f>
        <v/>
      </c>
      <c r="U868" t="str">
        <f>IF(B868=1,MAX($U$2:$U867)+1,IF(AND($T868&lt;&gt;"",$T868=$T867),$U867,IF(B868="x",U867,"")))</f>
        <v/>
      </c>
      <c r="V868" t="str">
        <f>IF(C868=1,MAX($V$2:$V867)+1,IF(AND($T868&lt;&gt;"",$T868=$T867),$U867,IF(C868="x",V867,"")))</f>
        <v/>
      </c>
      <c r="X868" cm="1">
        <f t="array" ref="X868">IF($I868&lt;&gt;"",$I868,INDEX($I$1:$I868,ROW()-COUNTIFS($T$1:$T868,"="&amp;$T868,$S$1:$S868,"&lt;"&amp;$S868)))</f>
        <v>0</v>
      </c>
      <c r="Z868" s="6">
        <f t="shared" si="147"/>
        <v>1</v>
      </c>
      <c r="AA868" t="e">
        <f t="shared" si="148"/>
        <v>#VALUE!</v>
      </c>
      <c r="AB868" t="str">
        <f t="shared" si="149"/>
        <v/>
      </c>
      <c r="AC868" t="e">
        <f t="shared" si="150"/>
        <v>#VALUE!</v>
      </c>
    </row>
    <row r="869" spans="1:29" x14ac:dyDescent="0.2">
      <c r="A869" t="str">
        <f t="shared" si="154"/>
        <v/>
      </c>
      <c r="E869" s="4"/>
      <c r="F869" s="46"/>
      <c r="G869" s="4"/>
      <c r="H869" s="48"/>
      <c r="J869" s="26" t="str">
        <f t="shared" si="155"/>
        <v/>
      </c>
      <c r="N869" t="str">
        <f t="shared" si="156"/>
        <v/>
      </c>
      <c r="Q869" t="str">
        <f t="shared" si="157"/>
        <v/>
      </c>
      <c r="S869" t="str">
        <f>IF(A869=1,MAX($S$2:$S868)+1,IF(OR($I869&lt;&gt;"",A869="x"),$S868,""))</f>
        <v/>
      </c>
      <c r="T869" t="str">
        <f>IF(D869=1,MAX($T$2:$T868)+1,IF(S869=S868,$T868,IF(D869="x",T868,IF(D868="x","",""))))</f>
        <v/>
      </c>
      <c r="U869" t="str">
        <f>IF(B869=1,MAX($U$2:$U868)+1,IF(AND($T869&lt;&gt;"",$T869=$T868),$U868,IF(B869="x",U868,"")))</f>
        <v/>
      </c>
      <c r="V869" t="str">
        <f>IF(C869=1,MAX($V$2:$V868)+1,IF(AND($T869&lt;&gt;"",$T869=$T868),$U868,IF(C869="x",V868,"")))</f>
        <v/>
      </c>
      <c r="X869" cm="1">
        <f t="array" ref="X869">IF($I869&lt;&gt;"",$I869,INDEX($I$1:$I869,ROW()-COUNTIFS($T$1:$T869,"="&amp;$T869,$S$1:$S869,"&lt;"&amp;$S869)))</f>
        <v>0</v>
      </c>
      <c r="Z869" s="6">
        <f t="shared" si="147"/>
        <v>1</v>
      </c>
      <c r="AA869" t="e">
        <f t="shared" si="148"/>
        <v>#VALUE!</v>
      </c>
      <c r="AB869" t="str">
        <f t="shared" si="149"/>
        <v/>
      </c>
      <c r="AC869" t="e">
        <f t="shared" si="150"/>
        <v>#VALUE!</v>
      </c>
    </row>
    <row r="870" spans="1:29" x14ac:dyDescent="0.2">
      <c r="A870" t="str">
        <f t="shared" si="154"/>
        <v/>
      </c>
      <c r="E870" s="4"/>
      <c r="F870" s="46"/>
      <c r="G870" s="4"/>
      <c r="H870" s="48"/>
      <c r="J870" s="26" t="str">
        <f t="shared" si="155"/>
        <v/>
      </c>
      <c r="N870" t="str">
        <f t="shared" si="156"/>
        <v/>
      </c>
      <c r="Q870" t="str">
        <f t="shared" si="157"/>
        <v/>
      </c>
      <c r="S870" t="str">
        <f>IF(A870=1,MAX($S$2:$S869)+1,IF(OR($I870&lt;&gt;"",A870="x"),$S869,""))</f>
        <v/>
      </c>
      <c r="T870" t="str">
        <f>IF(D870=1,MAX($T$2:$T869)+1,IF(S870=S869,$T869,IF(D870="x",T869,IF(D869="x","",""))))</f>
        <v/>
      </c>
      <c r="U870" t="str">
        <f>IF(B870=1,MAX($U$2:$U869)+1,IF(AND($T870&lt;&gt;"",$T870=$T869),$U869,IF(B870="x",U869,"")))</f>
        <v/>
      </c>
      <c r="V870" t="str">
        <f>IF(C870=1,MAX($V$2:$V869)+1,IF(AND($T870&lt;&gt;"",$T870=$T869),$U869,IF(C870="x",V869,"")))</f>
        <v/>
      </c>
      <c r="X870" cm="1">
        <f t="array" ref="X870">IF($I870&lt;&gt;"",$I870,INDEX($I$1:$I870,ROW()-COUNTIFS($T$1:$T870,"="&amp;$T870,$S$1:$S870,"&lt;"&amp;$S870)))</f>
        <v>0</v>
      </c>
      <c r="Z870" s="6">
        <f t="shared" si="147"/>
        <v>1</v>
      </c>
      <c r="AA870" t="e">
        <f t="shared" si="148"/>
        <v>#VALUE!</v>
      </c>
      <c r="AB870" t="str">
        <f t="shared" si="149"/>
        <v/>
      </c>
      <c r="AC870" t="e">
        <f t="shared" si="150"/>
        <v>#VALUE!</v>
      </c>
    </row>
    <row r="871" spans="1:29" x14ac:dyDescent="0.2">
      <c r="A871" t="str">
        <f t="shared" si="154"/>
        <v/>
      </c>
      <c r="E871" s="4"/>
      <c r="F871" s="46"/>
      <c r="G871" s="4"/>
      <c r="H871" s="48"/>
      <c r="J871" s="26" t="str">
        <f t="shared" si="155"/>
        <v/>
      </c>
      <c r="N871" t="str">
        <f t="shared" si="156"/>
        <v/>
      </c>
      <c r="Q871" t="str">
        <f t="shared" si="157"/>
        <v/>
      </c>
      <c r="S871" t="str">
        <f>IF(A871=1,MAX($S$2:$S870)+1,IF(OR($I871&lt;&gt;"",A871="x"),$S870,""))</f>
        <v/>
      </c>
      <c r="T871" t="str">
        <f>IF(D871=1,MAX($T$2:$T870)+1,IF(S871=S870,$T870,IF(D871="x",T870,IF(D870="x","",""))))</f>
        <v/>
      </c>
      <c r="U871" t="str">
        <f>IF(B871=1,MAX($U$2:$U870)+1,IF(AND($T871&lt;&gt;"",$T871=$T870),$U870,IF(B871="x",U870,"")))</f>
        <v/>
      </c>
      <c r="V871" t="str">
        <f>IF(C871=1,MAX($V$2:$V870)+1,IF(AND($T871&lt;&gt;"",$T871=$T870),$U870,IF(C871="x",V870,"")))</f>
        <v/>
      </c>
      <c r="X871" cm="1">
        <f t="array" ref="X871">IF($I871&lt;&gt;"",$I871,INDEX($I$1:$I871,ROW()-COUNTIFS($T$1:$T871,"="&amp;$T871,$S$1:$S871,"&lt;"&amp;$S871)))</f>
        <v>0</v>
      </c>
      <c r="Z871" s="6">
        <f t="shared" si="147"/>
        <v>1</v>
      </c>
      <c r="AA871" t="e">
        <f t="shared" si="148"/>
        <v>#VALUE!</v>
      </c>
      <c r="AB871" t="str">
        <f t="shared" si="149"/>
        <v/>
      </c>
      <c r="AC871" t="e">
        <f t="shared" si="150"/>
        <v>#VALUE!</v>
      </c>
    </row>
    <row r="872" spans="1:29" x14ac:dyDescent="0.2">
      <c r="A872" t="str">
        <f t="shared" si="154"/>
        <v/>
      </c>
      <c r="E872" s="4"/>
      <c r="F872" s="46"/>
      <c r="G872" s="4"/>
      <c r="H872" s="48"/>
      <c r="J872" s="26" t="str">
        <f t="shared" si="155"/>
        <v/>
      </c>
      <c r="N872" t="str">
        <f t="shared" si="156"/>
        <v/>
      </c>
      <c r="Q872" t="str">
        <f t="shared" si="157"/>
        <v/>
      </c>
      <c r="S872" t="str">
        <f>IF(A872=1,MAX($S$2:$S871)+1,IF(OR($I872&lt;&gt;"",A872="x"),$S871,""))</f>
        <v/>
      </c>
      <c r="T872" t="str">
        <f>IF(D872=1,MAX($T$2:$T871)+1,IF(S872=S871,$T871,IF(D872="x",T871,IF(D871="x","",""))))</f>
        <v/>
      </c>
      <c r="U872" t="str">
        <f>IF(B872=1,MAX($U$2:$U871)+1,IF(AND($T872&lt;&gt;"",$T872=$T871),$U871,IF(B872="x",U871,"")))</f>
        <v/>
      </c>
      <c r="V872" t="str">
        <f>IF(C872=1,MAX($V$2:$V871)+1,IF(AND($T872&lt;&gt;"",$T872=$T871),$U871,IF(C872="x",V871,"")))</f>
        <v/>
      </c>
      <c r="X872" cm="1">
        <f t="array" ref="X872">IF($I872&lt;&gt;"",$I872,INDEX($I$1:$I872,ROW()-COUNTIFS($T$1:$T872,"="&amp;$T872,$S$1:$S872,"&lt;"&amp;$S872)))</f>
        <v>0</v>
      </c>
      <c r="Z872" s="6">
        <f t="shared" si="147"/>
        <v>1</v>
      </c>
      <c r="AA872" t="e">
        <f t="shared" si="148"/>
        <v>#VALUE!</v>
      </c>
      <c r="AB872" t="str">
        <f t="shared" si="149"/>
        <v/>
      </c>
      <c r="AC872" t="e">
        <f t="shared" si="150"/>
        <v>#VALUE!</v>
      </c>
    </row>
    <row r="873" spans="1:29" x14ac:dyDescent="0.2">
      <c r="A873" t="str">
        <f t="shared" si="154"/>
        <v/>
      </c>
      <c r="E873" s="4"/>
      <c r="F873" s="46"/>
      <c r="G873" s="4"/>
      <c r="H873" s="48"/>
      <c r="J873" s="26" t="str">
        <f t="shared" si="155"/>
        <v/>
      </c>
      <c r="N873" t="str">
        <f t="shared" si="156"/>
        <v/>
      </c>
      <c r="Q873" t="str">
        <f t="shared" si="157"/>
        <v/>
      </c>
      <c r="S873" t="str">
        <f>IF(A873=1,MAX($S$2:$S872)+1,IF(OR($I873&lt;&gt;"",A873="x"),$S872,""))</f>
        <v/>
      </c>
      <c r="T873" t="str">
        <f>IF(D873=1,MAX($T$2:$T872)+1,IF(S873=S872,$T872,IF(D873="x",T872,IF(D872="x","",""))))</f>
        <v/>
      </c>
      <c r="U873" t="str">
        <f>IF(B873=1,MAX($U$2:$U872)+1,IF(AND($T873&lt;&gt;"",$T873=$T872),$U872,IF(B873="x",U872,"")))</f>
        <v/>
      </c>
      <c r="V873" t="str">
        <f>IF(C873=1,MAX($V$2:$V872)+1,IF(AND($T873&lt;&gt;"",$T873=$T872),$U872,IF(C873="x",V872,"")))</f>
        <v/>
      </c>
      <c r="X873" cm="1">
        <f t="array" ref="X873">IF($I873&lt;&gt;"",$I873,INDEX($I$1:$I873,ROW()-COUNTIFS($T$1:$T873,"="&amp;$T873,$S$1:$S873,"&lt;"&amp;$S873)))</f>
        <v>0</v>
      </c>
      <c r="Z873" s="6">
        <f t="shared" si="147"/>
        <v>1</v>
      </c>
      <c r="AA873" t="e">
        <f t="shared" si="148"/>
        <v>#VALUE!</v>
      </c>
      <c r="AB873" t="str">
        <f t="shared" si="149"/>
        <v/>
      </c>
      <c r="AC873" t="e">
        <f t="shared" si="150"/>
        <v>#VALUE!</v>
      </c>
    </row>
    <row r="874" spans="1:29" x14ac:dyDescent="0.2">
      <c r="A874" t="str">
        <f t="shared" si="154"/>
        <v/>
      </c>
      <c r="E874" s="4"/>
      <c r="F874" s="46"/>
      <c r="G874" s="4"/>
      <c r="H874" s="48"/>
      <c r="J874" s="26" t="str">
        <f t="shared" si="155"/>
        <v/>
      </c>
      <c r="N874" t="str">
        <f t="shared" si="156"/>
        <v/>
      </c>
      <c r="Q874" t="str">
        <f t="shared" si="157"/>
        <v/>
      </c>
      <c r="S874" t="str">
        <f>IF(A874=1,MAX($S$2:$S873)+1,IF(OR($I874&lt;&gt;"",A874="x"),$S873,""))</f>
        <v/>
      </c>
      <c r="T874" t="str">
        <f>IF(D874=1,MAX($T$2:$T873)+1,IF(S874=S873,$T873,IF(D874="x",T873,IF(D873="x","",""))))</f>
        <v/>
      </c>
      <c r="U874" t="str">
        <f>IF(B874=1,MAX($U$2:$U873)+1,IF(AND($T874&lt;&gt;"",$T874=$T873),$U873,IF(B874="x",U873,"")))</f>
        <v/>
      </c>
      <c r="V874" t="str">
        <f>IF(C874=1,MAX($V$2:$V873)+1,IF(AND($T874&lt;&gt;"",$T874=$T873),$U873,IF(C874="x",V873,"")))</f>
        <v/>
      </c>
      <c r="X874" cm="1">
        <f t="array" ref="X874">IF($I874&lt;&gt;"",$I874,INDEX($I$1:$I874,ROW()-COUNTIFS($T$1:$T874,"="&amp;$T874,$S$1:$S874,"&lt;"&amp;$S874)))</f>
        <v>0</v>
      </c>
      <c r="Z874" s="6">
        <f t="shared" si="147"/>
        <v>1</v>
      </c>
      <c r="AA874" t="e">
        <f t="shared" si="148"/>
        <v>#VALUE!</v>
      </c>
      <c r="AB874" t="str">
        <f t="shared" si="149"/>
        <v/>
      </c>
      <c r="AC874" t="e">
        <f t="shared" si="150"/>
        <v>#VALUE!</v>
      </c>
    </row>
    <row r="875" spans="1:29" x14ac:dyDescent="0.2">
      <c r="A875" t="str">
        <f t="shared" si="154"/>
        <v/>
      </c>
      <c r="E875" s="4"/>
      <c r="F875" s="46"/>
      <c r="G875" s="4"/>
      <c r="H875" s="48"/>
      <c r="J875" s="26" t="str">
        <f t="shared" si="155"/>
        <v/>
      </c>
      <c r="N875" t="str">
        <f t="shared" si="156"/>
        <v/>
      </c>
      <c r="Q875" t="str">
        <f t="shared" si="157"/>
        <v/>
      </c>
      <c r="S875" t="str">
        <f>IF(A875=1,MAX($S$2:$S874)+1,IF(OR($I875&lt;&gt;"",A875="x"),$S874,""))</f>
        <v/>
      </c>
      <c r="T875" t="str">
        <f>IF(D875=1,MAX($T$2:$T874)+1,IF(S875=S874,$T874,IF(D875="x",T874,IF(D874="x","",""))))</f>
        <v/>
      </c>
      <c r="U875" t="str">
        <f>IF(B875=1,MAX($U$2:$U874)+1,IF(AND($T875&lt;&gt;"",$T875=$T874),$U874,IF(B875="x",U874,"")))</f>
        <v/>
      </c>
      <c r="V875" t="str">
        <f>IF(C875=1,MAX($V$2:$V874)+1,IF(AND($T875&lt;&gt;"",$T875=$T874),$U874,IF(C875="x",V874,"")))</f>
        <v/>
      </c>
      <c r="X875" cm="1">
        <f t="array" ref="X875">IF($I875&lt;&gt;"",$I875,INDEX($I$1:$I875,ROW()-COUNTIFS($T$1:$T875,"="&amp;$T875,$S$1:$S875,"&lt;"&amp;$S875)))</f>
        <v>0</v>
      </c>
      <c r="Z875" s="6">
        <f t="shared" si="147"/>
        <v>1</v>
      </c>
      <c r="AA875" t="e">
        <f t="shared" si="148"/>
        <v>#VALUE!</v>
      </c>
      <c r="AB875" t="str">
        <f t="shared" si="149"/>
        <v/>
      </c>
      <c r="AC875" t="e">
        <f t="shared" si="150"/>
        <v>#VALUE!</v>
      </c>
    </row>
    <row r="876" spans="1:29" x14ac:dyDescent="0.2">
      <c r="A876" t="str">
        <f t="shared" si="154"/>
        <v/>
      </c>
      <c r="E876" s="4"/>
      <c r="F876" s="46"/>
      <c r="G876" s="4"/>
      <c r="H876" s="48"/>
      <c r="J876" s="26" t="str">
        <f t="shared" si="155"/>
        <v/>
      </c>
      <c r="N876" t="str">
        <f t="shared" si="156"/>
        <v/>
      </c>
      <c r="Q876" t="str">
        <f t="shared" si="157"/>
        <v/>
      </c>
      <c r="S876" t="str">
        <f>IF(A876=1,MAX($S$2:$S875)+1,IF(OR($I876&lt;&gt;"",A876="x"),$S875,""))</f>
        <v/>
      </c>
      <c r="T876" t="str">
        <f>IF(D876=1,MAX($T$2:$T875)+1,IF(S876=S875,$T875,IF(D876="x",T875,IF(D875="x","",""))))</f>
        <v/>
      </c>
      <c r="U876" t="str">
        <f>IF(B876=1,MAX($U$2:$U875)+1,IF(AND($T876&lt;&gt;"",$T876=$T875),$U875,IF(B876="x",U875,"")))</f>
        <v/>
      </c>
      <c r="V876" t="str">
        <f>IF(C876=1,MAX($V$2:$V875)+1,IF(AND($T876&lt;&gt;"",$T876=$T875),$U875,IF(C876="x",V875,"")))</f>
        <v/>
      </c>
      <c r="X876" cm="1">
        <f t="array" ref="X876">IF($I876&lt;&gt;"",$I876,INDEX($I$1:$I876,ROW()-COUNTIFS($T$1:$T876,"="&amp;$T876,$S$1:$S876,"&lt;"&amp;$S876)))</f>
        <v>0</v>
      </c>
      <c r="Z876" s="6">
        <f t="shared" si="147"/>
        <v>1</v>
      </c>
      <c r="AA876" t="e">
        <f t="shared" si="148"/>
        <v>#VALUE!</v>
      </c>
      <c r="AB876" t="str">
        <f t="shared" si="149"/>
        <v/>
      </c>
      <c r="AC876" t="e">
        <f t="shared" si="150"/>
        <v>#VALUE!</v>
      </c>
    </row>
    <row r="877" spans="1:29" x14ac:dyDescent="0.2">
      <c r="A877" t="str">
        <f t="shared" si="154"/>
        <v/>
      </c>
      <c r="E877" s="4"/>
      <c r="F877" s="46"/>
      <c r="G877" s="4"/>
      <c r="H877" s="48"/>
      <c r="J877" s="26" t="str">
        <f t="shared" si="155"/>
        <v/>
      </c>
      <c r="N877" t="str">
        <f t="shared" si="156"/>
        <v/>
      </c>
      <c r="Q877" t="str">
        <f t="shared" si="157"/>
        <v/>
      </c>
      <c r="S877" t="str">
        <f>IF(A877=1,MAX($S$2:$S876)+1,IF(OR($I877&lt;&gt;"",A877="x"),$S876,""))</f>
        <v/>
      </c>
      <c r="T877" t="str">
        <f>IF(D877=1,MAX($T$2:$T876)+1,IF(S877=S876,$T876,IF(D877="x",T876,IF(D876="x","",""))))</f>
        <v/>
      </c>
      <c r="U877" t="str">
        <f>IF(B877=1,MAX($U$2:$U876)+1,IF(AND($T877&lt;&gt;"",$T877=$T876),$U876,IF(B877="x",U876,"")))</f>
        <v/>
      </c>
      <c r="V877" t="str">
        <f>IF(C877=1,MAX($V$2:$V876)+1,IF(AND($T877&lt;&gt;"",$T877=$T876),$U876,IF(C877="x",V876,"")))</f>
        <v/>
      </c>
      <c r="X877" cm="1">
        <f t="array" ref="X877">IF($I877&lt;&gt;"",$I877,INDEX($I$1:$I877,ROW()-COUNTIFS($T$1:$T877,"="&amp;$T877,$S$1:$S877,"&lt;"&amp;$S877)))</f>
        <v>0</v>
      </c>
      <c r="Z877" s="6">
        <f t="shared" si="147"/>
        <v>1</v>
      </c>
      <c r="AA877" t="e">
        <f t="shared" si="148"/>
        <v>#VALUE!</v>
      </c>
      <c r="AB877" t="str">
        <f t="shared" si="149"/>
        <v/>
      </c>
      <c r="AC877" t="e">
        <f t="shared" si="150"/>
        <v>#VALUE!</v>
      </c>
    </row>
    <row r="878" spans="1:29" x14ac:dyDescent="0.2">
      <c r="A878" t="str">
        <f t="shared" si="154"/>
        <v/>
      </c>
      <c r="E878" s="4"/>
      <c r="F878" s="46"/>
      <c r="G878" s="4"/>
      <c r="H878" s="48"/>
      <c r="J878" s="26" t="str">
        <f t="shared" si="155"/>
        <v/>
      </c>
      <c r="N878" t="str">
        <f t="shared" si="156"/>
        <v/>
      </c>
      <c r="Q878" t="str">
        <f t="shared" si="157"/>
        <v/>
      </c>
      <c r="S878" t="str">
        <f>IF(A878=1,MAX($S$2:$S877)+1,IF(OR($I878&lt;&gt;"",A878="x"),$S877,""))</f>
        <v/>
      </c>
      <c r="T878" t="str">
        <f>IF(D878=1,MAX($T$2:$T877)+1,IF(S878=S877,$T877,IF(D878="x",T877,IF(D877="x","",""))))</f>
        <v/>
      </c>
      <c r="U878" t="str">
        <f>IF(B878=1,MAX($U$2:$U877)+1,IF(AND($T878&lt;&gt;"",$T878=$T877),$U877,IF(B878="x",U877,"")))</f>
        <v/>
      </c>
      <c r="V878" t="str">
        <f>IF(C878=1,MAX($V$2:$V877)+1,IF(AND($T878&lt;&gt;"",$T878=$T877),$U877,IF(C878="x",V877,"")))</f>
        <v/>
      </c>
      <c r="X878" cm="1">
        <f t="array" ref="X878">IF($I878&lt;&gt;"",$I878,INDEX($I$1:$I878,ROW()-COUNTIFS($T$1:$T878,"="&amp;$T878,$S$1:$S878,"&lt;"&amp;$S878)))</f>
        <v>0</v>
      </c>
      <c r="Z878" s="6">
        <f t="shared" si="147"/>
        <v>1</v>
      </c>
      <c r="AA878" t="e">
        <f t="shared" si="148"/>
        <v>#VALUE!</v>
      </c>
      <c r="AB878" t="str">
        <f t="shared" si="149"/>
        <v/>
      </c>
      <c r="AC878" t="e">
        <f t="shared" si="150"/>
        <v>#VALUE!</v>
      </c>
    </row>
    <row r="879" spans="1:29" x14ac:dyDescent="0.2">
      <c r="A879" t="str">
        <f t="shared" si="154"/>
        <v/>
      </c>
      <c r="E879" s="4"/>
      <c r="F879" s="46"/>
      <c r="G879" s="4"/>
      <c r="H879" s="48"/>
      <c r="J879" s="26" t="str">
        <f t="shared" si="155"/>
        <v/>
      </c>
      <c r="N879" t="str">
        <f t="shared" si="156"/>
        <v/>
      </c>
      <c r="Q879" t="str">
        <f t="shared" si="157"/>
        <v/>
      </c>
      <c r="S879" t="str">
        <f>IF(A879=1,MAX($S$2:$S878)+1,IF(OR($I879&lt;&gt;"",A879="x"),$S878,""))</f>
        <v/>
      </c>
      <c r="T879" t="str">
        <f>IF(D879=1,MAX($T$2:$T878)+1,IF(S879=S878,$T878,IF(D879="x",T878,IF(D878="x","",""))))</f>
        <v/>
      </c>
      <c r="U879" t="str">
        <f>IF(B879=1,MAX($U$2:$U878)+1,IF(AND($T879&lt;&gt;"",$T879=$T878),$U878,IF(B879="x",U878,"")))</f>
        <v/>
      </c>
      <c r="V879" t="str">
        <f>IF(C879=1,MAX($V$2:$V878)+1,IF(AND($T879&lt;&gt;"",$T879=$T878),$U878,IF(C879="x",V878,"")))</f>
        <v/>
      </c>
      <c r="X879" cm="1">
        <f t="array" ref="X879">IF($I879&lt;&gt;"",$I879,INDEX($I$1:$I879,ROW()-COUNTIFS($T$1:$T879,"="&amp;$T879,$S$1:$S879,"&lt;"&amp;$S879)))</f>
        <v>0</v>
      </c>
      <c r="Z879" s="6">
        <f t="shared" si="147"/>
        <v>1</v>
      </c>
      <c r="AA879" t="e">
        <f t="shared" si="148"/>
        <v>#VALUE!</v>
      </c>
      <c r="AB879" t="str">
        <f t="shared" si="149"/>
        <v/>
      </c>
      <c r="AC879" t="e">
        <f t="shared" si="150"/>
        <v>#VALUE!</v>
      </c>
    </row>
    <row r="880" spans="1:29" x14ac:dyDescent="0.2">
      <c r="A880" t="str">
        <f t="shared" si="154"/>
        <v/>
      </c>
      <c r="E880" s="4"/>
      <c r="F880" s="46"/>
      <c r="G880" s="4"/>
      <c r="H880" s="48"/>
      <c r="J880" s="26" t="str">
        <f t="shared" si="155"/>
        <v/>
      </c>
      <c r="N880" t="str">
        <f t="shared" si="156"/>
        <v/>
      </c>
      <c r="Q880" t="str">
        <f t="shared" si="157"/>
        <v/>
      </c>
      <c r="S880" t="str">
        <f>IF(A880=1,MAX($S$2:$S879)+1,IF(OR($I880&lt;&gt;"",A880="x"),$S879,""))</f>
        <v/>
      </c>
      <c r="T880" t="str">
        <f>IF(D880=1,MAX($T$2:$T879)+1,IF(S880=S879,$T879,IF(D880="x",T879,IF(D879="x","",""))))</f>
        <v/>
      </c>
      <c r="U880" t="str">
        <f>IF(B880=1,MAX($U$2:$U879)+1,IF(AND($T880&lt;&gt;"",$T880=$T879),$U879,IF(B880="x",U879,"")))</f>
        <v/>
      </c>
      <c r="V880" t="str">
        <f>IF(C880=1,MAX($V$2:$V879)+1,IF(AND($T880&lt;&gt;"",$T880=$T879),$U879,IF(C880="x",V879,"")))</f>
        <v/>
      </c>
      <c r="X880" cm="1">
        <f t="array" ref="X880">IF($I880&lt;&gt;"",$I880,INDEX($I$1:$I880,ROW()-COUNTIFS($T$1:$T880,"="&amp;$T880,$S$1:$S880,"&lt;"&amp;$S880)))</f>
        <v>0</v>
      </c>
      <c r="Z880" s="6">
        <f t="shared" si="147"/>
        <v>1</v>
      </c>
      <c r="AA880" t="e">
        <f t="shared" si="148"/>
        <v>#VALUE!</v>
      </c>
      <c r="AB880" t="str">
        <f t="shared" si="149"/>
        <v/>
      </c>
      <c r="AC880" t="e">
        <f t="shared" si="150"/>
        <v>#VALUE!</v>
      </c>
    </row>
    <row r="881" spans="1:29" x14ac:dyDescent="0.2">
      <c r="A881" t="str">
        <f t="shared" si="154"/>
        <v/>
      </c>
      <c r="E881" s="4"/>
      <c r="F881" s="46"/>
      <c r="G881" s="4"/>
      <c r="H881" s="48"/>
      <c r="J881" s="26" t="str">
        <f t="shared" si="155"/>
        <v/>
      </c>
      <c r="N881" t="str">
        <f t="shared" si="156"/>
        <v/>
      </c>
      <c r="Q881" t="str">
        <f t="shared" si="157"/>
        <v/>
      </c>
      <c r="S881" t="str">
        <f>IF(A881=1,MAX($S$2:$S880)+1,IF(OR($I881&lt;&gt;"",A881="x"),$S880,""))</f>
        <v/>
      </c>
      <c r="T881" t="str">
        <f>IF(D881=1,MAX($T$2:$T880)+1,IF(S881=S880,$T880,IF(D881="x",T880,IF(D880="x","",""))))</f>
        <v/>
      </c>
      <c r="U881" t="str">
        <f>IF(B881=1,MAX($U$2:$U880)+1,IF(AND($T881&lt;&gt;"",$T881=$T880),$U880,IF(B881="x",U880,"")))</f>
        <v/>
      </c>
      <c r="V881" t="str">
        <f>IF(C881=1,MAX($V$2:$V880)+1,IF(AND($T881&lt;&gt;"",$T881=$T880),$U880,IF(C881="x",V880,"")))</f>
        <v/>
      </c>
      <c r="X881" cm="1">
        <f t="array" ref="X881">IF($I881&lt;&gt;"",$I881,INDEX($I$1:$I881,ROW()-COUNTIFS($T$1:$T881,"="&amp;$T881,$S$1:$S881,"&lt;"&amp;$S881)))</f>
        <v>0</v>
      </c>
      <c r="Z881" s="6">
        <f t="shared" si="147"/>
        <v>1</v>
      </c>
      <c r="AA881" t="e">
        <f t="shared" si="148"/>
        <v>#VALUE!</v>
      </c>
      <c r="AB881" t="str">
        <f t="shared" si="149"/>
        <v/>
      </c>
      <c r="AC881" t="e">
        <f t="shared" si="150"/>
        <v>#VALUE!</v>
      </c>
    </row>
    <row r="882" spans="1:29" x14ac:dyDescent="0.2">
      <c r="A882" t="str">
        <f t="shared" si="154"/>
        <v/>
      </c>
      <c r="E882" s="4"/>
      <c r="F882" s="46"/>
      <c r="G882" s="4"/>
      <c r="H882" s="48"/>
      <c r="J882" s="26" t="str">
        <f t="shared" si="155"/>
        <v/>
      </c>
      <c r="N882" t="str">
        <f t="shared" si="156"/>
        <v/>
      </c>
      <c r="Q882" t="str">
        <f t="shared" si="157"/>
        <v/>
      </c>
      <c r="S882" t="str">
        <f>IF(A882=1,MAX($S$2:$S881)+1,IF(OR($I882&lt;&gt;"",A882="x"),$S881,""))</f>
        <v/>
      </c>
      <c r="T882" t="str">
        <f>IF(D882=1,MAX($T$2:$T881)+1,IF(S882=S881,$T881,IF(D882="x",T881,IF(D881="x","",""))))</f>
        <v/>
      </c>
      <c r="U882" t="str">
        <f>IF(B882=1,MAX($U$2:$U881)+1,IF(AND($T882&lt;&gt;"",$T882=$T881),$U881,IF(B882="x",U881,"")))</f>
        <v/>
      </c>
      <c r="V882" t="str">
        <f>IF(C882=1,MAX($V$2:$V881)+1,IF(AND($T882&lt;&gt;"",$T882=$T881),$U881,IF(C882="x",V881,"")))</f>
        <v/>
      </c>
      <c r="X882" cm="1">
        <f t="array" ref="X882">IF($I882&lt;&gt;"",$I882,INDEX($I$1:$I882,ROW()-COUNTIFS($T$1:$T882,"="&amp;$T882,$S$1:$S882,"&lt;"&amp;$S882)))</f>
        <v>0</v>
      </c>
      <c r="Z882" s="6">
        <f t="shared" si="147"/>
        <v>1</v>
      </c>
      <c r="AA882" t="e">
        <f t="shared" si="148"/>
        <v>#VALUE!</v>
      </c>
      <c r="AB882" t="str">
        <f t="shared" si="149"/>
        <v/>
      </c>
      <c r="AC882" t="e">
        <f t="shared" si="150"/>
        <v>#VALUE!</v>
      </c>
    </row>
    <row r="883" spans="1:29" x14ac:dyDescent="0.2">
      <c r="A883" t="str">
        <f t="shared" si="154"/>
        <v/>
      </c>
      <c r="E883" s="4"/>
      <c r="F883" s="46"/>
      <c r="G883" s="4"/>
      <c r="H883" s="48"/>
      <c r="J883" s="26" t="str">
        <f t="shared" si="155"/>
        <v/>
      </c>
      <c r="N883" t="str">
        <f t="shared" si="156"/>
        <v/>
      </c>
      <c r="Q883" t="str">
        <f t="shared" si="157"/>
        <v/>
      </c>
      <c r="S883" t="str">
        <f>IF(A883=1,MAX($S$2:$S882)+1,IF(OR($I883&lt;&gt;"",A883="x"),$S882,""))</f>
        <v/>
      </c>
      <c r="T883" t="str">
        <f>IF(D883=1,MAX($T$2:$T882)+1,IF(S883=S882,$T882,IF(D883="x",T882,IF(D882="x","",""))))</f>
        <v/>
      </c>
      <c r="U883" t="str">
        <f>IF(B883=1,MAX($U$2:$U882)+1,IF(AND($T883&lt;&gt;"",$T883=$T882),$U882,IF(B883="x",U882,"")))</f>
        <v/>
      </c>
      <c r="V883" t="str">
        <f>IF(C883=1,MAX($V$2:$V882)+1,IF(AND($T883&lt;&gt;"",$T883=$T882),$U882,IF(C883="x",V882,"")))</f>
        <v/>
      </c>
      <c r="X883" cm="1">
        <f t="array" ref="X883">IF($I883&lt;&gt;"",$I883,INDEX($I$1:$I883,ROW()-COUNTIFS($T$1:$T883,"="&amp;$T883,$S$1:$S883,"&lt;"&amp;$S883)))</f>
        <v>0</v>
      </c>
      <c r="Z883" s="6">
        <f t="shared" si="147"/>
        <v>1</v>
      </c>
      <c r="AA883" t="e">
        <f t="shared" si="148"/>
        <v>#VALUE!</v>
      </c>
      <c r="AB883" t="str">
        <f t="shared" si="149"/>
        <v/>
      </c>
      <c r="AC883" t="e">
        <f t="shared" si="150"/>
        <v>#VALUE!</v>
      </c>
    </row>
    <row r="884" spans="1:29" x14ac:dyDescent="0.2">
      <c r="A884" t="str">
        <f t="shared" si="154"/>
        <v/>
      </c>
      <c r="E884" s="4"/>
      <c r="F884" s="46"/>
      <c r="G884" s="4"/>
      <c r="H884" s="48"/>
      <c r="J884" s="26" t="str">
        <f t="shared" si="155"/>
        <v/>
      </c>
      <c r="N884" t="str">
        <f t="shared" si="156"/>
        <v/>
      </c>
      <c r="Q884" t="str">
        <f t="shared" si="157"/>
        <v/>
      </c>
      <c r="S884" t="str">
        <f>IF(A884=1,MAX($S$2:$S883)+1,IF(OR($I884&lt;&gt;"",A884="x"),$S883,""))</f>
        <v/>
      </c>
      <c r="T884" t="str">
        <f>IF(D884=1,MAX($T$2:$T883)+1,IF(S884=S883,$T883,IF(D884="x",T883,IF(D883="x","",""))))</f>
        <v/>
      </c>
      <c r="U884" t="str">
        <f>IF(B884=1,MAX($U$2:$U883)+1,IF(AND($T884&lt;&gt;"",$T884=$T883),$U883,IF(B884="x",U883,"")))</f>
        <v/>
      </c>
      <c r="V884" t="str">
        <f>IF(C884=1,MAX($V$2:$V883)+1,IF(AND($T884&lt;&gt;"",$T884=$T883),$U883,IF(C884="x",V883,"")))</f>
        <v/>
      </c>
      <c r="X884" cm="1">
        <f t="array" ref="X884">IF($I884&lt;&gt;"",$I884,INDEX($I$1:$I884,ROW()-COUNTIFS($T$1:$T884,"="&amp;$T884,$S$1:$S884,"&lt;"&amp;$S884)))</f>
        <v>0</v>
      </c>
      <c r="Z884" s="6">
        <f t="shared" si="147"/>
        <v>1</v>
      </c>
      <c r="AA884" t="e">
        <f t="shared" si="148"/>
        <v>#VALUE!</v>
      </c>
      <c r="AB884" t="str">
        <f t="shared" si="149"/>
        <v/>
      </c>
      <c r="AC884" t="e">
        <f t="shared" si="150"/>
        <v>#VALUE!</v>
      </c>
    </row>
    <row r="885" spans="1:29" x14ac:dyDescent="0.2">
      <c r="A885" t="str">
        <f t="shared" si="154"/>
        <v/>
      </c>
      <c r="E885" s="4"/>
      <c r="F885" s="46"/>
      <c r="G885" s="4"/>
      <c r="H885" s="48"/>
      <c r="J885" s="26" t="str">
        <f t="shared" si="155"/>
        <v/>
      </c>
      <c r="N885" t="str">
        <f t="shared" si="156"/>
        <v/>
      </c>
      <c r="Q885" t="str">
        <f t="shared" si="157"/>
        <v/>
      </c>
      <c r="S885" t="str">
        <f>IF(A885=1,MAX($S$2:$S884)+1,IF(OR($I885&lt;&gt;"",A885="x"),$S884,""))</f>
        <v/>
      </c>
      <c r="T885" t="str">
        <f>IF(D885=1,MAX($T$2:$T884)+1,IF(S885=S884,$T884,IF(D885="x",T884,IF(D884="x","",""))))</f>
        <v/>
      </c>
      <c r="U885" t="str">
        <f>IF(B885=1,MAX($U$2:$U884)+1,IF(AND($T885&lt;&gt;"",$T885=$T884),$U884,IF(B885="x",U884,"")))</f>
        <v/>
      </c>
      <c r="V885" t="str">
        <f>IF(C885=1,MAX($V$2:$V884)+1,IF(AND($T885&lt;&gt;"",$T885=$T884),$U884,IF(C885="x",V884,"")))</f>
        <v/>
      </c>
      <c r="X885" cm="1">
        <f t="array" ref="X885">IF($I885&lt;&gt;"",$I885,INDEX($I$1:$I885,ROW()-COUNTIFS($T$1:$T885,"="&amp;$T885,$S$1:$S885,"&lt;"&amp;$S885)))</f>
        <v>0</v>
      </c>
      <c r="Z885" s="6">
        <f t="shared" si="147"/>
        <v>1</v>
      </c>
      <c r="AA885" t="e">
        <f t="shared" si="148"/>
        <v>#VALUE!</v>
      </c>
      <c r="AB885" t="str">
        <f t="shared" si="149"/>
        <v/>
      </c>
      <c r="AC885" t="e">
        <f t="shared" si="150"/>
        <v>#VALUE!</v>
      </c>
    </row>
    <row r="886" spans="1:29" x14ac:dyDescent="0.2">
      <c r="A886" t="str">
        <f t="shared" si="154"/>
        <v/>
      </c>
      <c r="E886" s="4"/>
      <c r="F886" s="46"/>
      <c r="G886" s="4"/>
      <c r="H886" s="48"/>
      <c r="J886" s="26" t="str">
        <f t="shared" si="155"/>
        <v/>
      </c>
      <c r="N886" t="str">
        <f t="shared" si="156"/>
        <v/>
      </c>
      <c r="Q886" t="str">
        <f t="shared" si="157"/>
        <v/>
      </c>
      <c r="S886" t="str">
        <f>IF(A886=1,MAX($S$2:$S885)+1,IF(OR($I886&lt;&gt;"",A886="x"),$S885,""))</f>
        <v/>
      </c>
      <c r="T886" t="str">
        <f>IF(D886=1,MAX($T$2:$T885)+1,IF(S886=S885,$T885,IF(D886="x",T885,IF(D885="x","",""))))</f>
        <v/>
      </c>
      <c r="U886" t="str">
        <f>IF(B886=1,MAX($U$2:$U885)+1,IF(AND($T886&lt;&gt;"",$T886=$T885),$U885,IF(B886="x",U885,"")))</f>
        <v/>
      </c>
      <c r="V886" t="str">
        <f>IF(C886=1,MAX($V$2:$V885)+1,IF(AND($T886&lt;&gt;"",$T886=$T885),$U885,IF(C886="x",V885,"")))</f>
        <v/>
      </c>
      <c r="X886" cm="1">
        <f t="array" ref="X886">IF($I886&lt;&gt;"",$I886,INDEX($I$1:$I886,ROW()-COUNTIFS($T$1:$T886,"="&amp;$T886,$S$1:$S886,"&lt;"&amp;$S886)))</f>
        <v>0</v>
      </c>
      <c r="Z886" s="6">
        <f t="shared" si="147"/>
        <v>1</v>
      </c>
      <c r="AA886" t="e">
        <f t="shared" si="148"/>
        <v>#VALUE!</v>
      </c>
      <c r="AB886" t="str">
        <f t="shared" si="149"/>
        <v/>
      </c>
      <c r="AC886" t="e">
        <f t="shared" si="150"/>
        <v>#VALUE!</v>
      </c>
    </row>
    <row r="887" spans="1:29" x14ac:dyDescent="0.2">
      <c r="A887" t="str">
        <f t="shared" si="154"/>
        <v/>
      </c>
      <c r="E887" s="4"/>
      <c r="F887" s="46"/>
      <c r="G887" s="4"/>
      <c r="H887" s="48"/>
      <c r="J887" s="26" t="str">
        <f t="shared" si="155"/>
        <v/>
      </c>
      <c r="N887" t="str">
        <f t="shared" si="156"/>
        <v/>
      </c>
      <c r="Q887" t="str">
        <f t="shared" si="157"/>
        <v/>
      </c>
      <c r="S887" t="str">
        <f>IF(A887=1,MAX($S$2:$S886)+1,IF(OR($I887&lt;&gt;"",A887="x"),$S886,""))</f>
        <v/>
      </c>
      <c r="T887" t="str">
        <f>IF(D887=1,MAX($T$2:$T886)+1,IF(S887=S886,$T886,IF(D887="x",T886,IF(D886="x","",""))))</f>
        <v/>
      </c>
      <c r="U887" t="str">
        <f>IF(B887=1,MAX($U$2:$U886)+1,IF(AND($T887&lt;&gt;"",$T887=$T886),$U886,IF(B887="x",U886,"")))</f>
        <v/>
      </c>
      <c r="V887" t="str">
        <f>IF(C887=1,MAX($V$2:$V886)+1,IF(AND($T887&lt;&gt;"",$T887=$T886),$U886,IF(C887="x",V886,"")))</f>
        <v/>
      </c>
      <c r="X887" cm="1">
        <f t="array" ref="X887">IF($I887&lt;&gt;"",$I887,INDEX($I$1:$I887,ROW()-COUNTIFS($T$1:$T887,"="&amp;$T887,$S$1:$S887,"&lt;"&amp;$S887)))</f>
        <v>0</v>
      </c>
      <c r="Z887" s="6">
        <f t="shared" si="147"/>
        <v>1</v>
      </c>
      <c r="AA887" t="e">
        <f t="shared" si="148"/>
        <v>#VALUE!</v>
      </c>
      <c r="AB887" t="str">
        <f t="shared" si="149"/>
        <v/>
      </c>
      <c r="AC887" t="e">
        <f t="shared" si="150"/>
        <v>#VALUE!</v>
      </c>
    </row>
    <row r="888" spans="1:29" x14ac:dyDescent="0.2">
      <c r="A888" t="str">
        <f t="shared" si="154"/>
        <v/>
      </c>
      <c r="E888" s="4"/>
      <c r="F888" s="46"/>
      <c r="G888" s="4"/>
      <c r="H888" s="48"/>
      <c r="J888" s="26" t="str">
        <f t="shared" si="155"/>
        <v/>
      </c>
      <c r="N888" t="str">
        <f t="shared" si="156"/>
        <v/>
      </c>
      <c r="Q888" t="str">
        <f t="shared" si="157"/>
        <v/>
      </c>
      <c r="S888" t="str">
        <f>IF(A888=1,MAX($S$2:$S887)+1,IF(OR($I888&lt;&gt;"",A888="x"),$S887,""))</f>
        <v/>
      </c>
      <c r="T888" t="str">
        <f>IF(D888=1,MAX($T$2:$T887)+1,IF(S888=S887,$T887,IF(D888="x",T887,IF(D887="x","",""))))</f>
        <v/>
      </c>
      <c r="U888" t="str">
        <f>IF(B888=1,MAX($U$2:$U887)+1,IF(AND($T888&lt;&gt;"",$T888=$T887),$U887,IF(B888="x",U887,"")))</f>
        <v/>
      </c>
      <c r="V888" t="str">
        <f>IF(C888=1,MAX($V$2:$V887)+1,IF(AND($T888&lt;&gt;"",$T888=$T887),$U887,IF(C888="x",V887,"")))</f>
        <v/>
      </c>
      <c r="X888" cm="1">
        <f t="array" ref="X888">IF($I888&lt;&gt;"",$I888,INDEX($I$1:$I888,ROW()-COUNTIFS($T$1:$T888,"="&amp;$T888,$S$1:$S888,"&lt;"&amp;$S888)))</f>
        <v>0</v>
      </c>
      <c r="Z888" s="6">
        <f t="shared" si="147"/>
        <v>1</v>
      </c>
      <c r="AA888" t="e">
        <f t="shared" si="148"/>
        <v>#VALUE!</v>
      </c>
      <c r="AB888" t="str">
        <f t="shared" si="149"/>
        <v/>
      </c>
      <c r="AC888" t="e">
        <f t="shared" si="150"/>
        <v>#VALUE!</v>
      </c>
    </row>
    <row r="889" spans="1:29" x14ac:dyDescent="0.2">
      <c r="A889" t="str">
        <f t="shared" si="154"/>
        <v/>
      </c>
      <c r="E889" s="4"/>
      <c r="F889" s="46"/>
      <c r="G889" s="4"/>
      <c r="H889" s="48"/>
      <c r="J889" s="26" t="str">
        <f t="shared" si="155"/>
        <v/>
      </c>
      <c r="N889" t="str">
        <f t="shared" si="156"/>
        <v/>
      </c>
      <c r="Q889" t="str">
        <f t="shared" si="157"/>
        <v/>
      </c>
      <c r="S889" t="str">
        <f>IF(A889=1,MAX($S$2:$S888)+1,IF(OR($I889&lt;&gt;"",A889="x"),$S888,""))</f>
        <v/>
      </c>
      <c r="T889" t="str">
        <f>IF(D889=1,MAX($T$2:$T888)+1,IF(S889=S888,$T888,IF(D889="x",T888,IF(D888="x","",""))))</f>
        <v/>
      </c>
      <c r="U889" t="str">
        <f>IF(B889=1,MAX($U$2:$U888)+1,IF(AND($T889&lt;&gt;"",$T889=$T888),$U888,IF(B889="x",U888,"")))</f>
        <v/>
      </c>
      <c r="V889" t="str">
        <f>IF(C889=1,MAX($V$2:$V888)+1,IF(AND($T889&lt;&gt;"",$T889=$T888),$U888,IF(C889="x",V888,"")))</f>
        <v/>
      </c>
      <c r="X889" cm="1">
        <f t="array" ref="X889">IF($I889&lt;&gt;"",$I889,INDEX($I$1:$I889,ROW()-COUNTIFS($T$1:$T889,"="&amp;$T889,$S$1:$S889,"&lt;"&amp;$S889)))</f>
        <v>0</v>
      </c>
      <c r="Z889" s="6">
        <f t="shared" si="147"/>
        <v>1</v>
      </c>
      <c r="AA889" t="e">
        <f t="shared" si="148"/>
        <v>#VALUE!</v>
      </c>
      <c r="AB889" t="str">
        <f t="shared" si="149"/>
        <v/>
      </c>
      <c r="AC889" t="e">
        <f t="shared" si="150"/>
        <v>#VALUE!</v>
      </c>
    </row>
    <row r="890" spans="1:29" x14ac:dyDescent="0.2">
      <c r="A890" t="str">
        <f t="shared" si="154"/>
        <v/>
      </c>
      <c r="E890" s="4"/>
      <c r="F890" s="46"/>
      <c r="G890" s="4"/>
      <c r="H890" s="48"/>
      <c r="J890" s="26" t="str">
        <f t="shared" si="155"/>
        <v/>
      </c>
      <c r="N890" t="str">
        <f t="shared" si="156"/>
        <v/>
      </c>
      <c r="Q890" t="str">
        <f t="shared" si="157"/>
        <v/>
      </c>
      <c r="S890" t="str">
        <f>IF(A890=1,MAX($S$2:$S889)+1,IF(OR($I890&lt;&gt;"",A890="x"),$S889,""))</f>
        <v/>
      </c>
      <c r="T890" t="str">
        <f>IF(D890=1,MAX($T$2:$T889)+1,IF(S890=S889,$T889,IF(D890="x",T889,IF(D889="x","",""))))</f>
        <v/>
      </c>
      <c r="U890" t="str">
        <f>IF(B890=1,MAX($U$2:$U889)+1,IF(AND($T890&lt;&gt;"",$T890=$T889),$U889,IF(B890="x",U889,"")))</f>
        <v/>
      </c>
      <c r="V890" t="str">
        <f>IF(C890=1,MAX($V$2:$V889)+1,IF(AND($T890&lt;&gt;"",$T890=$T889),$U889,IF(C890="x",V889,"")))</f>
        <v/>
      </c>
      <c r="X890" cm="1">
        <f t="array" ref="X890">IF($I890&lt;&gt;"",$I890,INDEX($I$1:$I890,ROW()-COUNTIFS($T$1:$T890,"="&amp;$T890,$S$1:$S890,"&lt;"&amp;$S890)))</f>
        <v>0</v>
      </c>
      <c r="Z890" s="6">
        <f t="shared" si="147"/>
        <v>1</v>
      </c>
      <c r="AA890" t="e">
        <f t="shared" si="148"/>
        <v>#VALUE!</v>
      </c>
      <c r="AB890" t="str">
        <f t="shared" si="149"/>
        <v/>
      </c>
      <c r="AC890" t="e">
        <f t="shared" si="150"/>
        <v>#VALUE!</v>
      </c>
    </row>
    <row r="891" spans="1:29" x14ac:dyDescent="0.2">
      <c r="A891" t="str">
        <f t="shared" si="154"/>
        <v/>
      </c>
      <c r="E891" s="4"/>
      <c r="F891" s="46"/>
      <c r="G891" s="4"/>
      <c r="H891" s="48"/>
      <c r="J891" s="26" t="str">
        <f t="shared" si="155"/>
        <v/>
      </c>
      <c r="N891" t="str">
        <f t="shared" si="156"/>
        <v/>
      </c>
      <c r="Q891" t="str">
        <f t="shared" si="157"/>
        <v/>
      </c>
      <c r="S891" t="str">
        <f>IF(A891=1,MAX($S$2:$S890)+1,IF(OR($I891&lt;&gt;"",A891="x"),$S890,""))</f>
        <v/>
      </c>
      <c r="T891" t="str">
        <f>IF(D891=1,MAX($T$2:$T890)+1,IF(S891=S890,$T890,IF(D891="x",T890,IF(D890="x","",""))))</f>
        <v/>
      </c>
      <c r="U891" t="str">
        <f>IF(B891=1,MAX($U$2:$U890)+1,IF(AND($T891&lt;&gt;"",$T891=$T890),$U890,IF(B891="x",U890,"")))</f>
        <v/>
      </c>
      <c r="V891" t="str">
        <f>IF(C891=1,MAX($V$2:$V890)+1,IF(AND($T891&lt;&gt;"",$T891=$T890),$U890,IF(C891="x",V890,"")))</f>
        <v/>
      </c>
      <c r="X891" cm="1">
        <f t="array" ref="X891">IF($I891&lt;&gt;"",$I891,INDEX($I$1:$I891,ROW()-COUNTIFS($T$1:$T891,"="&amp;$T891,$S$1:$S891,"&lt;"&amp;$S891)))</f>
        <v>0</v>
      </c>
      <c r="Z891" s="6">
        <f t="shared" si="147"/>
        <v>1</v>
      </c>
      <c r="AA891" t="e">
        <f t="shared" si="148"/>
        <v>#VALUE!</v>
      </c>
      <c r="AB891" t="str">
        <f t="shared" si="149"/>
        <v/>
      </c>
      <c r="AC891" t="e">
        <f t="shared" si="150"/>
        <v>#VALUE!</v>
      </c>
    </row>
    <row r="892" spans="1:29" x14ac:dyDescent="0.2">
      <c r="A892" t="str">
        <f t="shared" si="154"/>
        <v/>
      </c>
      <c r="E892" s="4"/>
      <c r="F892" s="46"/>
      <c r="G892" s="4"/>
      <c r="H892" s="48"/>
      <c r="J892" s="26" t="str">
        <f t="shared" si="155"/>
        <v/>
      </c>
      <c r="N892" t="str">
        <f t="shared" si="156"/>
        <v/>
      </c>
      <c r="Q892" t="str">
        <f t="shared" si="157"/>
        <v/>
      </c>
      <c r="S892" t="str">
        <f>IF(A892=1,MAX($S$2:$S891)+1,IF(OR($I892&lt;&gt;"",A892="x"),$S891,""))</f>
        <v/>
      </c>
      <c r="T892" t="str">
        <f>IF(D892=1,MAX($T$2:$T891)+1,IF(S892=S891,$T891,IF(D892="x",T891,IF(D891="x","",""))))</f>
        <v/>
      </c>
      <c r="U892" t="str">
        <f>IF(B892=1,MAX($U$2:$U891)+1,IF(AND($T892&lt;&gt;"",$T892=$T891),$U891,IF(B892="x",U891,"")))</f>
        <v/>
      </c>
      <c r="V892" t="str">
        <f>IF(C892=1,MAX($V$2:$V891)+1,IF(AND($T892&lt;&gt;"",$T892=$T891),$U891,IF(C892="x",V891,"")))</f>
        <v/>
      </c>
      <c r="X892" cm="1">
        <f t="array" ref="X892">IF($I892&lt;&gt;"",$I892,INDEX($I$1:$I892,ROW()-COUNTIFS($T$1:$T892,"="&amp;$T892,$S$1:$S892,"&lt;"&amp;$S892)))</f>
        <v>0</v>
      </c>
      <c r="Z892" s="6">
        <f t="shared" si="147"/>
        <v>1</v>
      </c>
      <c r="AA892" t="e">
        <f t="shared" si="148"/>
        <v>#VALUE!</v>
      </c>
      <c r="AB892" t="str">
        <f t="shared" si="149"/>
        <v/>
      </c>
      <c r="AC892" t="e">
        <f t="shared" si="150"/>
        <v>#VALUE!</v>
      </c>
    </row>
    <row r="893" spans="1:29" x14ac:dyDescent="0.2">
      <c r="A893" t="str">
        <f t="shared" si="154"/>
        <v/>
      </c>
      <c r="E893" s="4"/>
      <c r="F893" s="46"/>
      <c r="G893" s="4"/>
      <c r="H893" s="48"/>
      <c r="J893" s="26" t="str">
        <f t="shared" si="155"/>
        <v/>
      </c>
      <c r="N893" t="str">
        <f t="shared" si="156"/>
        <v/>
      </c>
      <c r="Q893" t="str">
        <f t="shared" si="157"/>
        <v/>
      </c>
      <c r="S893" t="str">
        <f>IF(A893=1,MAX($S$2:$S892)+1,IF(OR($I893&lt;&gt;"",A893="x"),$S892,""))</f>
        <v/>
      </c>
      <c r="T893" t="str">
        <f>IF(D893=1,MAX($T$2:$T892)+1,IF(S893=S892,$T892,IF(D893="x",T892,IF(D892="x","",""))))</f>
        <v/>
      </c>
      <c r="U893" t="str">
        <f>IF(B893=1,MAX($U$2:$U892)+1,IF(AND($T893&lt;&gt;"",$T893=$T892),$U892,IF(B893="x",U892,"")))</f>
        <v/>
      </c>
      <c r="V893" t="str">
        <f>IF(C893=1,MAX($V$2:$V892)+1,IF(AND($T893&lt;&gt;"",$T893=$T892),$U892,IF(C893="x",V892,"")))</f>
        <v/>
      </c>
      <c r="X893" cm="1">
        <f t="array" ref="X893">IF($I893&lt;&gt;"",$I893,INDEX($I$1:$I893,ROW()-COUNTIFS($T$1:$T893,"="&amp;$T893,$S$1:$S893,"&lt;"&amp;$S893)))</f>
        <v>0</v>
      </c>
      <c r="Z893" s="6">
        <f t="shared" si="147"/>
        <v>1</v>
      </c>
      <c r="AA893" t="e">
        <f t="shared" si="148"/>
        <v>#VALUE!</v>
      </c>
      <c r="AB893" t="str">
        <f t="shared" si="149"/>
        <v/>
      </c>
      <c r="AC893" t="e">
        <f t="shared" si="150"/>
        <v>#VALUE!</v>
      </c>
    </row>
    <row r="894" spans="1:29" x14ac:dyDescent="0.2">
      <c r="A894" t="str">
        <f t="shared" si="154"/>
        <v/>
      </c>
      <c r="E894" s="4"/>
      <c r="F894" s="46"/>
      <c r="G894" s="4"/>
      <c r="H894" s="48"/>
      <c r="J894" s="26" t="str">
        <f t="shared" si="155"/>
        <v/>
      </c>
      <c r="N894" t="str">
        <f t="shared" si="156"/>
        <v/>
      </c>
      <c r="Q894" t="str">
        <f t="shared" si="157"/>
        <v/>
      </c>
      <c r="S894" t="str">
        <f>IF(A894=1,MAX($S$2:$S893)+1,IF(OR($I894&lt;&gt;"",A894="x"),$S893,""))</f>
        <v/>
      </c>
      <c r="T894" t="str">
        <f>IF(D894=1,MAX($T$2:$T893)+1,IF(S894=S893,$T893,IF(D894="x",T893,IF(D893="x","",""))))</f>
        <v/>
      </c>
      <c r="U894" t="str">
        <f>IF(B894=1,MAX($U$2:$U893)+1,IF(AND($T894&lt;&gt;"",$T894=$T893),$U893,IF(B894="x",U893,"")))</f>
        <v/>
      </c>
      <c r="V894" t="str">
        <f>IF(C894=1,MAX($V$2:$V893)+1,IF(AND($T894&lt;&gt;"",$T894=$T893),$U893,IF(C894="x",V893,"")))</f>
        <v/>
      </c>
      <c r="X894" cm="1">
        <f t="array" ref="X894">IF($I894&lt;&gt;"",$I894,INDEX($I$1:$I894,ROW()-COUNTIFS($T$1:$T894,"="&amp;$T894,$S$1:$S894,"&lt;"&amp;$S894)))</f>
        <v>0</v>
      </c>
      <c r="Z894" s="6">
        <f t="shared" si="147"/>
        <v>1</v>
      </c>
      <c r="AA894" t="e">
        <f t="shared" si="148"/>
        <v>#VALUE!</v>
      </c>
      <c r="AB894" t="str">
        <f t="shared" si="149"/>
        <v/>
      </c>
      <c r="AC894" t="e">
        <f t="shared" si="150"/>
        <v>#VALUE!</v>
      </c>
    </row>
    <row r="895" spans="1:29" x14ac:dyDescent="0.2">
      <c r="A895" t="str">
        <f t="shared" si="154"/>
        <v/>
      </c>
      <c r="E895" s="4"/>
      <c r="F895" s="46"/>
      <c r="G895" s="4"/>
      <c r="H895" s="48"/>
      <c r="J895" s="26" t="str">
        <f t="shared" si="155"/>
        <v/>
      </c>
      <c r="N895" t="str">
        <f t="shared" si="156"/>
        <v/>
      </c>
      <c r="Q895" t="str">
        <f t="shared" si="157"/>
        <v/>
      </c>
      <c r="S895" t="str">
        <f>IF(A895=1,MAX($S$2:$S894)+1,IF(OR($I895&lt;&gt;"",A895="x"),$S894,""))</f>
        <v/>
      </c>
      <c r="T895" t="str">
        <f>IF(D895=1,MAX($T$2:$T894)+1,IF(S895=S894,$T894,IF(D895="x",T894,IF(D894="x","",""))))</f>
        <v/>
      </c>
      <c r="U895" t="str">
        <f>IF(B895=1,MAX($U$2:$U894)+1,IF(AND($T895&lt;&gt;"",$T895=$T894),$U894,IF(B895="x",U894,"")))</f>
        <v/>
      </c>
      <c r="V895" t="str">
        <f>IF(C895=1,MAX($V$2:$V894)+1,IF(AND($T895&lt;&gt;"",$T895=$T894),$U894,IF(C895="x",V894,"")))</f>
        <v/>
      </c>
      <c r="X895" cm="1">
        <f t="array" ref="X895">IF($I895&lt;&gt;"",$I895,INDEX($I$1:$I895,ROW()-COUNTIFS($T$1:$T895,"="&amp;$T895,$S$1:$S895,"&lt;"&amp;$S895)))</f>
        <v>0</v>
      </c>
      <c r="Z895" s="6">
        <f t="shared" si="147"/>
        <v>1</v>
      </c>
      <c r="AA895" t="e">
        <f t="shared" si="148"/>
        <v>#VALUE!</v>
      </c>
      <c r="AB895" t="str">
        <f t="shared" si="149"/>
        <v/>
      </c>
      <c r="AC895" t="e">
        <f t="shared" si="150"/>
        <v>#VALUE!</v>
      </c>
    </row>
    <row r="896" spans="1:29" x14ac:dyDescent="0.2">
      <c r="A896" t="str">
        <f t="shared" si="154"/>
        <v/>
      </c>
      <c r="E896" s="4"/>
      <c r="F896" s="46"/>
      <c r="G896" s="4"/>
      <c r="H896" s="48"/>
      <c r="J896" s="26" t="str">
        <f t="shared" si="155"/>
        <v/>
      </c>
      <c r="N896" t="str">
        <f t="shared" si="156"/>
        <v/>
      </c>
      <c r="Q896" t="str">
        <f t="shared" si="157"/>
        <v/>
      </c>
      <c r="S896" t="str">
        <f>IF(A896=1,MAX($S$2:$S895)+1,IF(OR($I896&lt;&gt;"",A896="x"),$S895,""))</f>
        <v/>
      </c>
      <c r="T896" t="str">
        <f>IF(D896=1,MAX($T$2:$T895)+1,IF(S896=S895,$T895,IF(D896="x",T895,IF(D895="x","",""))))</f>
        <v/>
      </c>
      <c r="U896" t="str">
        <f>IF(B896=1,MAX($U$2:$U895)+1,IF(AND($T896&lt;&gt;"",$T896=$T895),$U895,IF(B896="x",U895,"")))</f>
        <v/>
      </c>
      <c r="V896" t="str">
        <f>IF(C896=1,MAX($V$2:$V895)+1,IF(AND($T896&lt;&gt;"",$T896=$T895),$U895,IF(C896="x",V895,"")))</f>
        <v/>
      </c>
      <c r="X896" cm="1">
        <f t="array" ref="X896">IF($I896&lt;&gt;"",$I896,INDEX($I$1:$I896,ROW()-COUNTIFS($T$1:$T896,"="&amp;$T896,$S$1:$S896,"&lt;"&amp;$S896)))</f>
        <v>0</v>
      </c>
      <c r="Z896" s="6">
        <f t="shared" si="147"/>
        <v>1</v>
      </c>
      <c r="AA896" t="e">
        <f t="shared" si="148"/>
        <v>#VALUE!</v>
      </c>
      <c r="AB896" t="str">
        <f t="shared" si="149"/>
        <v/>
      </c>
      <c r="AC896" t="e">
        <f t="shared" si="150"/>
        <v>#VALUE!</v>
      </c>
    </row>
    <row r="897" spans="1:29" x14ac:dyDescent="0.2">
      <c r="A897" t="str">
        <f t="shared" si="154"/>
        <v/>
      </c>
      <c r="E897" s="4"/>
      <c r="F897" s="46"/>
      <c r="G897" s="4"/>
      <c r="H897" s="48"/>
      <c r="J897" s="26" t="str">
        <f t="shared" si="155"/>
        <v/>
      </c>
      <c r="N897" t="str">
        <f t="shared" si="156"/>
        <v/>
      </c>
      <c r="Q897" t="str">
        <f t="shared" si="157"/>
        <v/>
      </c>
      <c r="S897" t="str">
        <f>IF(A897=1,MAX($S$2:$S896)+1,IF(OR($I897&lt;&gt;"",A897="x"),$S896,""))</f>
        <v/>
      </c>
      <c r="T897" t="str">
        <f>IF(D897=1,MAX($T$2:$T896)+1,IF(S897=S896,$T896,IF(D897="x",T896,IF(D896="x","",""))))</f>
        <v/>
      </c>
      <c r="U897" t="str">
        <f>IF(B897=1,MAX($U$2:$U896)+1,IF(AND($T897&lt;&gt;"",$T897=$T896),$U896,IF(B897="x",U896,"")))</f>
        <v/>
      </c>
      <c r="V897" t="str">
        <f>IF(C897=1,MAX($V$2:$V896)+1,IF(AND($T897&lt;&gt;"",$T897=$T896),$U896,IF(C897="x",V896,"")))</f>
        <v/>
      </c>
      <c r="X897" cm="1">
        <f t="array" ref="X897">IF($I897&lt;&gt;"",$I897,INDEX($I$1:$I897,ROW()-COUNTIFS($T$1:$T897,"="&amp;$T897,$S$1:$S897,"&lt;"&amp;$S897)))</f>
        <v>0</v>
      </c>
      <c r="Z897" s="6">
        <f t="shared" si="147"/>
        <v>1</v>
      </c>
      <c r="AA897" t="e">
        <f t="shared" si="148"/>
        <v>#VALUE!</v>
      </c>
      <c r="AB897" t="str">
        <f t="shared" si="149"/>
        <v/>
      </c>
      <c r="AC897" t="e">
        <f t="shared" si="150"/>
        <v>#VALUE!</v>
      </c>
    </row>
    <row r="898" spans="1:29" x14ac:dyDescent="0.2">
      <c r="A898" t="str">
        <f t="shared" si="154"/>
        <v/>
      </c>
      <c r="E898" s="4"/>
      <c r="F898" s="46"/>
      <c r="G898" s="4"/>
      <c r="H898" s="48"/>
      <c r="J898" s="26" t="str">
        <f t="shared" si="155"/>
        <v/>
      </c>
      <c r="N898" t="str">
        <f t="shared" si="156"/>
        <v/>
      </c>
      <c r="Q898" t="str">
        <f t="shared" si="157"/>
        <v/>
      </c>
      <c r="S898" t="str">
        <f>IF(A898=1,MAX($S$2:$S897)+1,IF(OR($I898&lt;&gt;"",A898="x"),$S897,""))</f>
        <v/>
      </c>
      <c r="T898" t="str">
        <f>IF(D898=1,MAX($T$2:$T897)+1,IF(S898=S897,$T897,IF(D898="x",T897,IF(D897="x","",""))))</f>
        <v/>
      </c>
      <c r="U898" t="str">
        <f>IF(B898=1,MAX($U$2:$U897)+1,IF(AND($T898&lt;&gt;"",$T898=$T897),$U897,IF(B898="x",U897,"")))</f>
        <v/>
      </c>
      <c r="V898" t="str">
        <f>IF(C898=1,MAX($V$2:$V897)+1,IF(AND($T898&lt;&gt;"",$T898=$T897),$U897,IF(C898="x",V897,"")))</f>
        <v/>
      </c>
      <c r="X898" cm="1">
        <f t="array" ref="X898">IF($I898&lt;&gt;"",$I898,INDEX($I$1:$I898,ROW()-COUNTIFS($T$1:$T898,"="&amp;$T898,$S$1:$S898,"&lt;"&amp;$S898)))</f>
        <v>0</v>
      </c>
      <c r="Z898" s="6">
        <f t="shared" si="147"/>
        <v>1</v>
      </c>
      <c r="AA898" t="e">
        <f t="shared" si="148"/>
        <v>#VALUE!</v>
      </c>
      <c r="AB898" t="str">
        <f t="shared" si="149"/>
        <v/>
      </c>
      <c r="AC898" t="e">
        <f t="shared" si="150"/>
        <v>#VALUE!</v>
      </c>
    </row>
    <row r="899" spans="1:29" x14ac:dyDescent="0.2">
      <c r="A899" t="str">
        <f t="shared" si="154"/>
        <v/>
      </c>
      <c r="E899" s="4"/>
      <c r="F899" s="46"/>
      <c r="G899" s="4"/>
      <c r="H899" s="48"/>
      <c r="J899" s="26" t="str">
        <f t="shared" si="155"/>
        <v/>
      </c>
      <c r="N899" t="str">
        <f t="shared" si="156"/>
        <v/>
      </c>
      <c r="Q899" t="str">
        <f t="shared" si="157"/>
        <v/>
      </c>
      <c r="S899" t="str">
        <f>IF(A899=1,MAX($S$2:$S898)+1,IF(OR($I899&lt;&gt;"",A899="x"),$S898,""))</f>
        <v/>
      </c>
      <c r="T899" t="str">
        <f>IF(D899=1,MAX($T$2:$T898)+1,IF(S899=S898,$T898,IF(D899="x",T898,IF(D898="x","",""))))</f>
        <v/>
      </c>
      <c r="U899" t="str">
        <f>IF(B899=1,MAX($U$2:$U898)+1,IF(AND($T899&lt;&gt;"",$T899=$T898),$U898,IF(B899="x",U898,"")))</f>
        <v/>
      </c>
      <c r="V899" t="str">
        <f>IF(C899=1,MAX($V$2:$V898)+1,IF(AND($T899&lt;&gt;"",$T899=$T898),$U898,IF(C899="x",V898,"")))</f>
        <v/>
      </c>
      <c r="X899" cm="1">
        <f t="array" ref="X899">IF($I899&lt;&gt;"",$I899,INDEX($I$1:$I899,ROW()-COUNTIFS($T$1:$T899,"="&amp;$T899,$S$1:$S899,"&lt;"&amp;$S899)))</f>
        <v>0</v>
      </c>
      <c r="Z899" s="6">
        <f t="shared" si="147"/>
        <v>1</v>
      </c>
      <c r="AA899" t="e">
        <f t="shared" si="148"/>
        <v>#VALUE!</v>
      </c>
      <c r="AB899" t="str">
        <f t="shared" si="149"/>
        <v/>
      </c>
      <c r="AC899" t="e">
        <f t="shared" si="150"/>
        <v>#VALUE!</v>
      </c>
    </row>
    <row r="900" spans="1:29" x14ac:dyDescent="0.2">
      <c r="A900" t="str">
        <f t="shared" si="154"/>
        <v/>
      </c>
      <c r="E900" s="4"/>
      <c r="F900" s="46"/>
      <c r="G900" s="4"/>
      <c r="H900" s="48"/>
      <c r="J900" s="26" t="str">
        <f t="shared" si="155"/>
        <v/>
      </c>
      <c r="N900" t="str">
        <f t="shared" si="156"/>
        <v/>
      </c>
      <c r="Q900" t="str">
        <f t="shared" si="157"/>
        <v/>
      </c>
      <c r="S900" t="str">
        <f>IF(A900=1,MAX($S$2:$S899)+1,IF(OR($I900&lt;&gt;"",A900="x"),$S899,""))</f>
        <v/>
      </c>
      <c r="T900" t="str">
        <f>IF(D900=1,MAX($T$2:$T899)+1,IF(S900=S899,$T899,IF(D900="x",T899,IF(D899="x","",""))))</f>
        <v/>
      </c>
      <c r="U900" t="str">
        <f>IF(B900=1,MAX($U$2:$U899)+1,IF(AND($T900&lt;&gt;"",$T900=$T899),$U899,IF(B900="x",U899,"")))</f>
        <v/>
      </c>
      <c r="V900" t="str">
        <f>IF(C900=1,MAX($V$2:$V899)+1,IF(AND($T900&lt;&gt;"",$T900=$T899),$U899,IF(C900="x",V899,"")))</f>
        <v/>
      </c>
      <c r="X900" cm="1">
        <f t="array" ref="X900">IF($I900&lt;&gt;"",$I900,INDEX($I$1:$I900,ROW()-COUNTIFS($T$1:$T900,"="&amp;$T900,$S$1:$S900,"&lt;"&amp;$S900)))</f>
        <v>0</v>
      </c>
      <c r="Z900" s="6">
        <f t="shared" si="147"/>
        <v>1</v>
      </c>
      <c r="AA900" t="e">
        <f t="shared" si="148"/>
        <v>#VALUE!</v>
      </c>
      <c r="AB900" t="str">
        <f t="shared" si="149"/>
        <v/>
      </c>
      <c r="AC900" t="e">
        <f t="shared" si="150"/>
        <v>#VALUE!</v>
      </c>
    </row>
    <row r="901" spans="1:29" x14ac:dyDescent="0.2">
      <c r="A901" t="str">
        <f t="shared" si="154"/>
        <v/>
      </c>
      <c r="E901" s="4"/>
      <c r="F901" s="46"/>
      <c r="G901" s="4"/>
      <c r="H901" s="48"/>
      <c r="J901" s="26" t="str">
        <f t="shared" si="155"/>
        <v/>
      </c>
      <c r="N901" t="str">
        <f t="shared" si="156"/>
        <v/>
      </c>
      <c r="Q901" t="str">
        <f t="shared" si="157"/>
        <v/>
      </c>
      <c r="S901" t="str">
        <f>IF(A901=1,MAX($S$2:$S900)+1,IF(OR($I901&lt;&gt;"",A901="x"),$S900,""))</f>
        <v/>
      </c>
      <c r="T901" t="str">
        <f>IF(D901=1,MAX($T$2:$T900)+1,IF(S901=S900,$T900,IF(D901="x",T900,IF(D900="x","",""))))</f>
        <v/>
      </c>
      <c r="U901" t="str">
        <f>IF(B901=1,MAX($U$2:$U900)+1,IF(AND($T901&lt;&gt;"",$T901=$T900),$U900,IF(B901="x",U900,"")))</f>
        <v/>
      </c>
      <c r="V901" t="str">
        <f>IF(C901=1,MAX($V$2:$V900)+1,IF(AND($T901&lt;&gt;"",$T901=$T900),$U900,IF(C901="x",V900,"")))</f>
        <v/>
      </c>
      <c r="X901" cm="1">
        <f t="array" ref="X901">IF($I901&lt;&gt;"",$I901,INDEX($I$1:$I901,ROW()-COUNTIFS($T$1:$T901,"="&amp;$T901,$S$1:$S901,"&lt;"&amp;$S901)))</f>
        <v>0</v>
      </c>
      <c r="Z901" s="6">
        <f t="shared" ref="Z901:Z964" si="158">IF(K901="Intermission",Z900+1,Z900)</f>
        <v>1</v>
      </c>
      <c r="AA901" t="e">
        <f t="shared" ref="AA901:AA964" si="159">S901+1000</f>
        <v>#VALUE!</v>
      </c>
      <c r="AB901" t="str">
        <f t="shared" ref="AB901:AB964" si="160">IF(T901&lt;&gt;"",9000+T901,"")</f>
        <v/>
      </c>
      <c r="AC901" t="e">
        <f t="shared" ref="AC901:AC964" si="161">IF(AB901&lt;&gt;"",AB901,S901+1000)</f>
        <v>#VALUE!</v>
      </c>
    </row>
    <row r="902" spans="1:29" x14ac:dyDescent="0.2">
      <c r="A902" t="str">
        <f t="shared" si="154"/>
        <v/>
      </c>
      <c r="E902" s="4"/>
      <c r="F902" s="46"/>
      <c r="G902" s="4"/>
      <c r="H902" s="48"/>
      <c r="J902" s="26" t="str">
        <f t="shared" si="155"/>
        <v/>
      </c>
      <c r="N902" t="str">
        <f t="shared" si="156"/>
        <v/>
      </c>
      <c r="Q902" t="str">
        <f t="shared" si="157"/>
        <v/>
      </c>
      <c r="S902" t="str">
        <f>IF(A902=1,MAX($S$2:$S901)+1,IF(OR($I902&lt;&gt;"",A902="x"),$S901,""))</f>
        <v/>
      </c>
      <c r="T902" t="str">
        <f>IF(D902=1,MAX($T$2:$T901)+1,IF(S902=S901,$T901,IF(D902="x",T901,IF(D901="x","",""))))</f>
        <v/>
      </c>
      <c r="U902" t="str">
        <f>IF(B902=1,MAX($U$2:$U901)+1,IF(AND($T902&lt;&gt;"",$T902=$T901),$U901,IF(B902="x",U901,"")))</f>
        <v/>
      </c>
      <c r="V902" t="str">
        <f>IF(C902=1,MAX($V$2:$V901)+1,IF(AND($T902&lt;&gt;"",$T902=$T901),$U901,IF(C902="x",V901,"")))</f>
        <v/>
      </c>
      <c r="X902" cm="1">
        <f t="array" ref="X902">IF($I902&lt;&gt;"",$I902,INDEX($I$1:$I902,ROW()-COUNTIFS($T$1:$T902,"="&amp;$T902,$S$1:$S902,"&lt;"&amp;$S902)))</f>
        <v>0</v>
      </c>
      <c r="Z902" s="6">
        <f t="shared" si="158"/>
        <v>1</v>
      </c>
      <c r="AA902" t="e">
        <f t="shared" si="159"/>
        <v>#VALUE!</v>
      </c>
      <c r="AB902" t="str">
        <f t="shared" si="160"/>
        <v/>
      </c>
      <c r="AC902" t="e">
        <f t="shared" si="161"/>
        <v>#VALUE!</v>
      </c>
    </row>
    <row r="903" spans="1:29" x14ac:dyDescent="0.2">
      <c r="A903" t="str">
        <f t="shared" si="154"/>
        <v/>
      </c>
      <c r="E903" s="4"/>
      <c r="F903" s="46"/>
      <c r="G903" s="4"/>
      <c r="H903" s="48"/>
      <c r="J903" s="26" t="str">
        <f t="shared" si="155"/>
        <v/>
      </c>
      <c r="N903" t="str">
        <f t="shared" si="156"/>
        <v/>
      </c>
      <c r="Q903" t="str">
        <f t="shared" si="157"/>
        <v/>
      </c>
      <c r="S903" t="str">
        <f>IF(A903=1,MAX($S$2:$S902)+1,IF(OR($I903&lt;&gt;"",A903="x"),$S902,""))</f>
        <v/>
      </c>
      <c r="T903" t="str">
        <f>IF(D903=1,MAX($T$2:$T902)+1,IF(S903=S902,$T902,IF(D903="x",T902,IF(D902="x","",""))))</f>
        <v/>
      </c>
      <c r="U903" t="str">
        <f>IF(B903=1,MAX($U$2:$U902)+1,IF(AND($T903&lt;&gt;"",$T903=$T902),$U902,IF(B903="x",U902,"")))</f>
        <v/>
      </c>
      <c r="V903" t="str">
        <f>IF(C903=1,MAX($V$2:$V902)+1,IF(AND($T903&lt;&gt;"",$T903=$T902),$U902,IF(C903="x",V902,"")))</f>
        <v/>
      </c>
      <c r="X903" cm="1">
        <f t="array" ref="X903">IF($I903&lt;&gt;"",$I903,INDEX($I$1:$I903,ROW()-COUNTIFS($T$1:$T903,"="&amp;$T903,$S$1:$S903,"&lt;"&amp;$S903)))</f>
        <v>0</v>
      </c>
      <c r="Z903" s="6">
        <f t="shared" si="158"/>
        <v>1</v>
      </c>
      <c r="AA903" t="e">
        <f t="shared" si="159"/>
        <v>#VALUE!</v>
      </c>
      <c r="AB903" t="str">
        <f t="shared" si="160"/>
        <v/>
      </c>
      <c r="AC903" t="e">
        <f t="shared" si="161"/>
        <v>#VALUE!</v>
      </c>
    </row>
    <row r="904" spans="1:29" x14ac:dyDescent="0.2">
      <c r="A904" t="str">
        <f t="shared" si="154"/>
        <v/>
      </c>
      <c r="E904" s="4"/>
      <c r="F904" s="46"/>
      <c r="G904" s="4"/>
      <c r="H904" s="48"/>
      <c r="J904" s="26" t="str">
        <f t="shared" si="155"/>
        <v/>
      </c>
      <c r="N904" t="str">
        <f t="shared" si="156"/>
        <v/>
      </c>
      <c r="Q904" t="str">
        <f t="shared" si="157"/>
        <v/>
      </c>
      <c r="S904" t="str">
        <f>IF(A904=1,MAX($S$2:$S903)+1,IF(OR($I904&lt;&gt;"",A904="x"),$S903,""))</f>
        <v/>
      </c>
      <c r="T904" t="str">
        <f>IF(D904=1,MAX($T$2:$T903)+1,IF(S904=S903,$T903,IF(D904="x",T903,IF(D903="x","",""))))</f>
        <v/>
      </c>
      <c r="U904" t="str">
        <f>IF(B904=1,MAX($U$2:$U903)+1,IF(AND($T904&lt;&gt;"",$T904=$T903),$U903,IF(B904="x",U903,"")))</f>
        <v/>
      </c>
      <c r="V904" t="str">
        <f>IF(C904=1,MAX($V$2:$V903)+1,IF(AND($T904&lt;&gt;"",$T904=$T903),$U903,IF(C904="x",V903,"")))</f>
        <v/>
      </c>
      <c r="X904" cm="1">
        <f t="array" ref="X904">IF($I904&lt;&gt;"",$I904,INDEX($I$1:$I904,ROW()-COUNTIFS($T$1:$T904,"="&amp;$T904,$S$1:$S904,"&lt;"&amp;$S904)))</f>
        <v>0</v>
      </c>
      <c r="Z904" s="6">
        <f t="shared" si="158"/>
        <v>1</v>
      </c>
      <c r="AA904" t="e">
        <f t="shared" si="159"/>
        <v>#VALUE!</v>
      </c>
      <c r="AB904" t="str">
        <f t="shared" si="160"/>
        <v/>
      </c>
      <c r="AC904" t="e">
        <f t="shared" si="161"/>
        <v>#VALUE!</v>
      </c>
    </row>
    <row r="905" spans="1:29" x14ac:dyDescent="0.2">
      <c r="A905" t="str">
        <f t="shared" si="154"/>
        <v/>
      </c>
      <c r="E905" s="4"/>
      <c r="F905" s="46"/>
      <c r="G905" s="4"/>
      <c r="H905" s="48"/>
      <c r="J905" s="26" t="str">
        <f t="shared" si="155"/>
        <v/>
      </c>
      <c r="N905" t="str">
        <f t="shared" si="156"/>
        <v/>
      </c>
      <c r="Q905" t="str">
        <f t="shared" si="157"/>
        <v/>
      </c>
      <c r="S905" t="str">
        <f>IF(A905=1,MAX($S$2:$S904)+1,IF(OR($I905&lt;&gt;"",A905="x"),$S904,""))</f>
        <v/>
      </c>
      <c r="T905" t="str">
        <f>IF(D905=1,MAX($T$2:$T904)+1,IF(S905=S904,$T904,IF(D905="x",T904,IF(D904="x","",""))))</f>
        <v/>
      </c>
      <c r="U905" t="str">
        <f>IF(B905=1,MAX($U$2:$U904)+1,IF(AND($T905&lt;&gt;"",$T905=$T904),$U904,IF(B905="x",U904,"")))</f>
        <v/>
      </c>
      <c r="V905" t="str">
        <f>IF(C905=1,MAX($V$2:$V904)+1,IF(AND($T905&lt;&gt;"",$T905=$T904),$U904,IF(C905="x",V904,"")))</f>
        <v/>
      </c>
      <c r="X905" cm="1">
        <f t="array" ref="X905">IF($I905&lt;&gt;"",$I905,INDEX($I$1:$I905,ROW()-COUNTIFS($T$1:$T905,"="&amp;$T905,$S$1:$S905,"&lt;"&amp;$S905)))</f>
        <v>0</v>
      </c>
      <c r="Z905" s="6">
        <f t="shared" si="158"/>
        <v>1</v>
      </c>
      <c r="AA905" t="e">
        <f t="shared" si="159"/>
        <v>#VALUE!</v>
      </c>
      <c r="AB905" t="str">
        <f t="shared" si="160"/>
        <v/>
      </c>
      <c r="AC905" t="e">
        <f t="shared" si="161"/>
        <v>#VALUE!</v>
      </c>
    </row>
    <row r="906" spans="1:29" x14ac:dyDescent="0.2">
      <c r="A906" t="str">
        <f t="shared" si="154"/>
        <v/>
      </c>
      <c r="E906" s="4"/>
      <c r="F906" s="46"/>
      <c r="G906" s="4"/>
      <c r="H906" s="48"/>
      <c r="J906" s="26" t="str">
        <f t="shared" si="155"/>
        <v/>
      </c>
      <c r="N906" t="str">
        <f t="shared" si="156"/>
        <v/>
      </c>
      <c r="Q906" t="str">
        <f t="shared" si="157"/>
        <v/>
      </c>
      <c r="S906" t="str">
        <f>IF(A906=1,MAX($S$2:$S905)+1,IF(OR($I906&lt;&gt;"",A906="x"),$S905,""))</f>
        <v/>
      </c>
      <c r="T906" t="str">
        <f>IF(D906=1,MAX($T$2:$T905)+1,IF(S906=S905,$T905,IF(D906="x",T905,IF(D905="x","",""))))</f>
        <v/>
      </c>
      <c r="U906" t="str">
        <f>IF(B906=1,MAX($U$2:$U905)+1,IF(AND($T906&lt;&gt;"",$T906=$T905),$U905,IF(B906="x",U905,"")))</f>
        <v/>
      </c>
      <c r="V906" t="str">
        <f>IF(C906=1,MAX($V$2:$V905)+1,IF(AND($T906&lt;&gt;"",$T906=$T905),$U905,IF(C906="x",V905,"")))</f>
        <v/>
      </c>
      <c r="X906" cm="1">
        <f t="array" ref="X906">IF($I906&lt;&gt;"",$I906,INDEX($I$1:$I906,ROW()-COUNTIFS($T$1:$T906,"="&amp;$T906,$S$1:$S906,"&lt;"&amp;$S906)))</f>
        <v>0</v>
      </c>
      <c r="Z906" s="6">
        <f t="shared" si="158"/>
        <v>1</v>
      </c>
      <c r="AA906" t="e">
        <f t="shared" si="159"/>
        <v>#VALUE!</v>
      </c>
      <c r="AB906" t="str">
        <f t="shared" si="160"/>
        <v/>
      </c>
      <c r="AC906" t="e">
        <f t="shared" si="161"/>
        <v>#VALUE!</v>
      </c>
    </row>
    <row r="907" spans="1:29" x14ac:dyDescent="0.2">
      <c r="A907" t="str">
        <f t="shared" si="154"/>
        <v/>
      </c>
      <c r="E907" s="4"/>
      <c r="F907" s="46"/>
      <c r="G907" s="4"/>
      <c r="H907" s="48"/>
      <c r="J907" s="26" t="str">
        <f t="shared" si="155"/>
        <v/>
      </c>
      <c r="N907" t="str">
        <f t="shared" si="156"/>
        <v/>
      </c>
      <c r="Q907" t="str">
        <f t="shared" si="157"/>
        <v/>
      </c>
      <c r="S907" t="str">
        <f>IF(A907=1,MAX($S$2:$S906)+1,IF(OR($I907&lt;&gt;"",A907="x"),$S906,""))</f>
        <v/>
      </c>
      <c r="T907" t="str">
        <f>IF(D907=1,MAX($T$2:$T906)+1,IF(S907=S906,$T906,IF(D907="x",T906,IF(D906="x","",""))))</f>
        <v/>
      </c>
      <c r="U907" t="str">
        <f>IF(B907=1,MAX($U$2:$U906)+1,IF(AND($T907&lt;&gt;"",$T907=$T906),$U906,IF(B907="x",U906,"")))</f>
        <v/>
      </c>
      <c r="V907" t="str">
        <f>IF(C907=1,MAX($V$2:$V906)+1,IF(AND($T907&lt;&gt;"",$T907=$T906),$U906,IF(C907="x",V906,"")))</f>
        <v/>
      </c>
      <c r="X907" cm="1">
        <f t="array" ref="X907">IF($I907&lt;&gt;"",$I907,INDEX($I$1:$I907,ROW()-COUNTIFS($T$1:$T907,"="&amp;$T907,$S$1:$S907,"&lt;"&amp;$S907)))</f>
        <v>0</v>
      </c>
      <c r="Z907" s="6">
        <f t="shared" si="158"/>
        <v>1</v>
      </c>
      <c r="AA907" t="e">
        <f t="shared" si="159"/>
        <v>#VALUE!</v>
      </c>
      <c r="AB907" t="str">
        <f t="shared" si="160"/>
        <v/>
      </c>
      <c r="AC907" t="e">
        <f t="shared" si="161"/>
        <v>#VALUE!</v>
      </c>
    </row>
    <row r="908" spans="1:29" x14ac:dyDescent="0.2">
      <c r="A908" t="str">
        <f t="shared" si="154"/>
        <v/>
      </c>
      <c r="E908" s="4"/>
      <c r="F908" s="46"/>
      <c r="G908" s="4"/>
      <c r="H908" s="48"/>
      <c r="J908" s="26" t="str">
        <f t="shared" si="155"/>
        <v/>
      </c>
      <c r="N908" t="str">
        <f t="shared" si="156"/>
        <v/>
      </c>
      <c r="Q908" t="str">
        <f t="shared" si="157"/>
        <v/>
      </c>
      <c r="S908" t="str">
        <f>IF(A908=1,MAX($S$2:$S907)+1,IF(OR($I908&lt;&gt;"",A908="x"),$S907,""))</f>
        <v/>
      </c>
      <c r="T908" t="str">
        <f>IF(D908=1,MAX($T$2:$T907)+1,IF(S908=S907,$T907,IF(D908="x",T907,IF(D907="x","",""))))</f>
        <v/>
      </c>
      <c r="U908" t="str">
        <f>IF(B908=1,MAX($U$2:$U907)+1,IF(AND($T908&lt;&gt;"",$T908=$T907),$U907,IF(B908="x",U907,"")))</f>
        <v/>
      </c>
      <c r="V908" t="str">
        <f>IF(C908=1,MAX($V$2:$V907)+1,IF(AND($T908&lt;&gt;"",$T908=$T907),$U907,IF(C908="x",V907,"")))</f>
        <v/>
      </c>
      <c r="X908" cm="1">
        <f t="array" ref="X908">IF($I908&lt;&gt;"",$I908,INDEX($I$1:$I908,ROW()-COUNTIFS($T$1:$T908,"="&amp;$T908,$S$1:$S908,"&lt;"&amp;$S908)))</f>
        <v>0</v>
      </c>
      <c r="Z908" s="6">
        <f t="shared" si="158"/>
        <v>1</v>
      </c>
      <c r="AA908" t="e">
        <f t="shared" si="159"/>
        <v>#VALUE!</v>
      </c>
      <c r="AB908" t="str">
        <f t="shared" si="160"/>
        <v/>
      </c>
      <c r="AC908" t="e">
        <f t="shared" si="161"/>
        <v>#VALUE!</v>
      </c>
    </row>
    <row r="909" spans="1:29" x14ac:dyDescent="0.2">
      <c r="A909" t="str">
        <f t="shared" si="154"/>
        <v/>
      </c>
      <c r="E909" s="4"/>
      <c r="F909" s="46"/>
      <c r="G909" s="4"/>
      <c r="H909" s="48"/>
      <c r="J909" s="26" t="str">
        <f t="shared" si="155"/>
        <v/>
      </c>
      <c r="N909" t="str">
        <f t="shared" si="156"/>
        <v/>
      </c>
      <c r="Q909" t="str">
        <f t="shared" si="157"/>
        <v/>
      </c>
      <c r="S909" t="str">
        <f>IF(A909=1,MAX($S$2:$S908)+1,IF(OR($I909&lt;&gt;"",A909="x"),$S908,""))</f>
        <v/>
      </c>
      <c r="T909" t="str">
        <f>IF(D909=1,MAX($T$2:$T908)+1,IF(S909=S908,$T908,IF(D909="x",T908,IF(D908="x","",""))))</f>
        <v/>
      </c>
      <c r="U909" t="str">
        <f>IF(B909=1,MAX($U$2:$U908)+1,IF(AND($T909&lt;&gt;"",$T909=$T908),$U908,IF(B909="x",U908,"")))</f>
        <v/>
      </c>
      <c r="V909" t="str">
        <f>IF(C909=1,MAX($V$2:$V908)+1,IF(AND($T909&lt;&gt;"",$T909=$T908),$U908,IF(C909="x",V908,"")))</f>
        <v/>
      </c>
      <c r="X909" cm="1">
        <f t="array" ref="X909">IF($I909&lt;&gt;"",$I909,INDEX($I$1:$I909,ROW()-COUNTIFS($T$1:$T909,"="&amp;$T909,$S$1:$S909,"&lt;"&amp;$S909)))</f>
        <v>0</v>
      </c>
      <c r="Z909" s="6">
        <f t="shared" si="158"/>
        <v>1</v>
      </c>
      <c r="AA909" t="e">
        <f t="shared" si="159"/>
        <v>#VALUE!</v>
      </c>
      <c r="AB909" t="str">
        <f t="shared" si="160"/>
        <v/>
      </c>
      <c r="AC909" t="e">
        <f t="shared" si="161"/>
        <v>#VALUE!</v>
      </c>
    </row>
    <row r="910" spans="1:29" x14ac:dyDescent="0.2">
      <c r="A910" t="str">
        <f t="shared" si="154"/>
        <v/>
      </c>
      <c r="E910" s="4"/>
      <c r="F910" s="46"/>
      <c r="G910" s="4"/>
      <c r="H910" s="48"/>
      <c r="J910" s="26" t="str">
        <f t="shared" si="155"/>
        <v/>
      </c>
      <c r="N910" t="str">
        <f t="shared" si="156"/>
        <v/>
      </c>
      <c r="Q910" t="str">
        <f t="shared" si="157"/>
        <v/>
      </c>
      <c r="S910" t="str">
        <f>IF(A910=1,MAX($S$2:$S909)+1,IF(OR($I910&lt;&gt;"",A910="x"),$S909,""))</f>
        <v/>
      </c>
      <c r="T910" t="str">
        <f>IF(D910=1,MAX($T$2:$T909)+1,IF(S910=S909,$T909,IF(D910="x",T909,IF(D909="x","",""))))</f>
        <v/>
      </c>
      <c r="U910" t="str">
        <f>IF(B910=1,MAX($U$2:$U909)+1,IF(AND($T910&lt;&gt;"",$T910=$T909),$U909,IF(B910="x",U909,"")))</f>
        <v/>
      </c>
      <c r="V910" t="str">
        <f>IF(C910=1,MAX($V$2:$V909)+1,IF(AND($T910&lt;&gt;"",$T910=$T909),$U909,IF(C910="x",V909,"")))</f>
        <v/>
      </c>
      <c r="X910" cm="1">
        <f t="array" ref="X910">IF($I910&lt;&gt;"",$I910,INDEX($I$1:$I910,ROW()-COUNTIFS($T$1:$T910,"="&amp;$T910,$S$1:$S910,"&lt;"&amp;$S910)))</f>
        <v>0</v>
      </c>
      <c r="Z910" s="6">
        <f t="shared" si="158"/>
        <v>1</v>
      </c>
      <c r="AA910" t="e">
        <f t="shared" si="159"/>
        <v>#VALUE!</v>
      </c>
      <c r="AB910" t="str">
        <f t="shared" si="160"/>
        <v/>
      </c>
      <c r="AC910" t="e">
        <f t="shared" si="161"/>
        <v>#VALUE!</v>
      </c>
    </row>
    <row r="911" spans="1:29" x14ac:dyDescent="0.2">
      <c r="A911" t="str">
        <f t="shared" si="154"/>
        <v/>
      </c>
      <c r="E911" s="4"/>
      <c r="F911" s="46"/>
      <c r="G911" s="4"/>
      <c r="H911" s="48"/>
      <c r="J911" s="26" t="str">
        <f t="shared" si="155"/>
        <v/>
      </c>
      <c r="N911" t="str">
        <f t="shared" si="156"/>
        <v/>
      </c>
      <c r="Q911" t="str">
        <f t="shared" si="157"/>
        <v/>
      </c>
      <c r="S911" t="str">
        <f>IF(A911=1,MAX($S$2:$S910)+1,IF(OR($I911&lt;&gt;"",A911="x"),$S910,""))</f>
        <v/>
      </c>
      <c r="T911" t="str">
        <f>IF(D911=1,MAX($T$2:$T910)+1,IF(S911=S910,$T910,IF(D911="x",T910,IF(D910="x","",""))))</f>
        <v/>
      </c>
      <c r="U911" t="str">
        <f>IF(B911=1,MAX($U$2:$U910)+1,IF(AND($T911&lt;&gt;"",$T911=$T910),$U910,IF(B911="x",U910,"")))</f>
        <v/>
      </c>
      <c r="V911" t="str">
        <f>IF(C911=1,MAX($V$2:$V910)+1,IF(AND($T911&lt;&gt;"",$T911=$T910),$U910,IF(C911="x",V910,"")))</f>
        <v/>
      </c>
      <c r="X911" cm="1">
        <f t="array" ref="X911">IF($I911&lt;&gt;"",$I911,INDEX($I$1:$I911,ROW()-COUNTIFS($T$1:$T911,"="&amp;$T911,$S$1:$S911,"&lt;"&amp;$S911)))</f>
        <v>0</v>
      </c>
      <c r="Z911" s="6">
        <f t="shared" si="158"/>
        <v>1</v>
      </c>
      <c r="AA911" t="e">
        <f t="shared" si="159"/>
        <v>#VALUE!</v>
      </c>
      <c r="AB911" t="str">
        <f t="shared" si="160"/>
        <v/>
      </c>
      <c r="AC911" t="e">
        <f t="shared" si="161"/>
        <v>#VALUE!</v>
      </c>
    </row>
    <row r="912" spans="1:29" x14ac:dyDescent="0.2">
      <c r="A912" t="str">
        <f t="shared" si="154"/>
        <v/>
      </c>
      <c r="E912" s="4"/>
      <c r="F912" s="46"/>
      <c r="G912" s="4"/>
      <c r="H912" s="48"/>
      <c r="J912" s="26" t="str">
        <f t="shared" si="155"/>
        <v/>
      </c>
      <c r="N912" t="str">
        <f t="shared" si="156"/>
        <v/>
      </c>
      <c r="Q912" t="str">
        <f t="shared" si="157"/>
        <v/>
      </c>
      <c r="S912" t="str">
        <f>IF(A912=1,MAX($S$2:$S911)+1,IF(OR($I912&lt;&gt;"",A912="x"),$S911,""))</f>
        <v/>
      </c>
      <c r="T912" t="str">
        <f>IF(D912=1,MAX($T$2:$T911)+1,IF(S912=S911,$T911,IF(D912="x",T911,IF(D911="x","",""))))</f>
        <v/>
      </c>
      <c r="U912" t="str">
        <f>IF(B912=1,MAX($U$2:$U911)+1,IF(AND($T912&lt;&gt;"",$T912=$T911),$U911,IF(B912="x",U911,"")))</f>
        <v/>
      </c>
      <c r="V912" t="str">
        <f>IF(C912=1,MAX($V$2:$V911)+1,IF(AND($T912&lt;&gt;"",$T912=$T911),$U911,IF(C912="x",V911,"")))</f>
        <v/>
      </c>
      <c r="X912" cm="1">
        <f t="array" ref="X912">IF($I912&lt;&gt;"",$I912,INDEX($I$1:$I912,ROW()-COUNTIFS($T$1:$T912,"="&amp;$T912,$S$1:$S912,"&lt;"&amp;$S912)))</f>
        <v>0</v>
      </c>
      <c r="Z912" s="6">
        <f t="shared" si="158"/>
        <v>1</v>
      </c>
      <c r="AA912" t="e">
        <f t="shared" si="159"/>
        <v>#VALUE!</v>
      </c>
      <c r="AB912" t="str">
        <f t="shared" si="160"/>
        <v/>
      </c>
      <c r="AC912" t="e">
        <f t="shared" si="161"/>
        <v>#VALUE!</v>
      </c>
    </row>
    <row r="913" spans="1:29" x14ac:dyDescent="0.2">
      <c r="A913" t="str">
        <f t="shared" si="154"/>
        <v/>
      </c>
      <c r="E913" s="4"/>
      <c r="F913" s="46"/>
      <c r="G913" s="4"/>
      <c r="H913" s="48"/>
      <c r="J913" s="26" t="str">
        <f t="shared" si="155"/>
        <v/>
      </c>
      <c r="N913" t="str">
        <f t="shared" si="156"/>
        <v/>
      </c>
      <c r="Q913" t="str">
        <f t="shared" si="157"/>
        <v/>
      </c>
      <c r="S913" t="str">
        <f>IF(A913=1,MAX($S$2:$S912)+1,IF(OR($I913&lt;&gt;"",A913="x"),$S912,""))</f>
        <v/>
      </c>
      <c r="T913" t="str">
        <f>IF(D913=1,MAX($T$2:$T912)+1,IF(S913=S912,$T912,IF(D913="x",T912,IF(D912="x","",""))))</f>
        <v/>
      </c>
      <c r="U913" t="str">
        <f>IF(B913=1,MAX($U$2:$U912)+1,IF(AND($T913&lt;&gt;"",$T913=$T912),$U912,IF(B913="x",U912,"")))</f>
        <v/>
      </c>
      <c r="V913" t="str">
        <f>IF(C913=1,MAX($V$2:$V912)+1,IF(AND($T913&lt;&gt;"",$T913=$T912),$U912,IF(C913="x",V912,"")))</f>
        <v/>
      </c>
      <c r="X913" cm="1">
        <f t="array" ref="X913">IF($I913&lt;&gt;"",$I913,INDEX($I$1:$I913,ROW()-COUNTIFS($T$1:$T913,"="&amp;$T913,$S$1:$S913,"&lt;"&amp;$S913)))</f>
        <v>0</v>
      </c>
      <c r="Z913" s="6">
        <f t="shared" si="158"/>
        <v>1</v>
      </c>
      <c r="AA913" t="e">
        <f t="shared" si="159"/>
        <v>#VALUE!</v>
      </c>
      <c r="AB913" t="str">
        <f t="shared" si="160"/>
        <v/>
      </c>
      <c r="AC913" t="e">
        <f t="shared" si="161"/>
        <v>#VALUE!</v>
      </c>
    </row>
    <row r="914" spans="1:29" x14ac:dyDescent="0.2">
      <c r="A914" t="str">
        <f t="shared" si="154"/>
        <v/>
      </c>
      <c r="E914" s="4"/>
      <c r="F914" s="46"/>
      <c r="G914" s="4"/>
      <c r="H914" s="48"/>
      <c r="J914" s="26" t="str">
        <f t="shared" si="155"/>
        <v/>
      </c>
      <c r="N914" t="str">
        <f t="shared" si="156"/>
        <v/>
      </c>
      <c r="Q914" t="str">
        <f t="shared" si="157"/>
        <v/>
      </c>
      <c r="S914" t="str">
        <f>IF(A914=1,MAX($S$2:$S913)+1,IF(OR($I914&lt;&gt;"",A914="x"),$S913,""))</f>
        <v/>
      </c>
      <c r="T914" t="str">
        <f>IF(D914=1,MAX($T$2:$T913)+1,IF(S914=S913,$T913,IF(D914="x",T913,IF(D913="x","",""))))</f>
        <v/>
      </c>
      <c r="U914" t="str">
        <f>IF(B914=1,MAX($U$2:$U913)+1,IF(AND($T914&lt;&gt;"",$T914=$T913),$U913,IF(B914="x",U913,"")))</f>
        <v/>
      </c>
      <c r="V914" t="str">
        <f>IF(C914=1,MAX($V$2:$V913)+1,IF(AND($T914&lt;&gt;"",$T914=$T913),$U913,IF(C914="x",V913,"")))</f>
        <v/>
      </c>
      <c r="X914" cm="1">
        <f t="array" ref="X914">IF($I914&lt;&gt;"",$I914,INDEX($I$1:$I914,ROW()-COUNTIFS($T$1:$T914,"="&amp;$T914,$S$1:$S914,"&lt;"&amp;$S914)))</f>
        <v>0</v>
      </c>
      <c r="Z914" s="6">
        <f t="shared" si="158"/>
        <v>1</v>
      </c>
      <c r="AA914" t="e">
        <f t="shared" si="159"/>
        <v>#VALUE!</v>
      </c>
      <c r="AB914" t="str">
        <f t="shared" si="160"/>
        <v/>
      </c>
      <c r="AC914" t="e">
        <f t="shared" si="161"/>
        <v>#VALUE!</v>
      </c>
    </row>
    <row r="915" spans="1:29" x14ac:dyDescent="0.2">
      <c r="A915" t="str">
        <f t="shared" ref="A915:A978" si="162">IF(K915&lt;&gt;"",1,IF(D915="x","x",""))</f>
        <v/>
      </c>
      <c r="E915" s="4"/>
      <c r="F915" s="46"/>
      <c r="G915" s="4"/>
      <c r="H915" s="48"/>
      <c r="J915" s="26" t="str">
        <f t="shared" ref="J915:J978" si="163">IF(OR(K915="Goal",K915="Shot",L915="Zone_Entry",M915="Stoppage-Goal",M914="Stoppage-Goal"),"o",IF(OR(K915="Save",K915="Rebound",L915="Zone_Exit",M915="Stoppage-GoalieStoppage",M914="Stoppage-GoalieStoppage"),"d",IF(OR(L915="Faceoff_AfterGoal",L915="Faceoff_PeriodStart",698="Faceoff_GameStart",M914="Stoppage-Goal"),"n","")))</f>
        <v/>
      </c>
      <c r="N915" t="str">
        <f t="shared" ref="N915:N978" si="164">IF(K915="","",IF(K915="Goal","s",IF(AND(K915="Zone_Entry_Exit",OR(ISNUMBER(SEARCH("fail",L915)),ISNUMBER(SEARCH("FromExitClear",M915)),ISNUMBER(SEARCH("miss",M915)))),"u",IF(AND(K915="Zone_Entry_Exit",OR(NOT(ISNUMBER(SEARCH("fail",L915))),NOT(ISNUMBER(SEARCH("FromExitClear",M915))),NOT(ISNUMBER(SEARCH("miss",M915))))),"s",IF(AND(OR(K915="Shot",K915="Pass"),OR(ISNUMBER(SEARCH("complete",L915)),ISNUMBER(SEARCH("goal",L915)),ISNUMBER(SEARCH("OnNet",L915)))),"s",IF(L915="Turnover_Giveaway","u",IF(AND(OR(K915="Shot",K915="Pass"),OR(ISNUMBER(SEARCH("fail",L915)),NOT(ISNUMBER(SEARCH("complete",L915))),NOT(ISNUMBER(SEARCH("OnNet",L915))))),"u","")))))))</f>
        <v/>
      </c>
      <c r="Q915" t="str">
        <f t="shared" ref="Q915:Q978" si="165">IF(O915="","",IF(AND(N915&lt;&gt;"",OR(O915&lt;&gt;"",P915&lt;&gt;"")),N915,IF(OR(ISNUMBER(SEARCH("attemp",O915)),ISNUMBER(SEARCH("beat",O915)),ISNUMBER(SEARCH("mis",O915)),ISNUMBER(SEARCH("fail",O915)),ISNUMBER(SEARCH("loss",O915)),ISNUMBER(SEARCH("lost",O915)),ISNUMBER(SEARCH("attemp",P915)),ISNUMBER(SEARCH("mis",P915)),ISNUMBER(SEARCH("fail",P915)),ISNUMBER(SEARCH("loss",P915)),ISNUMBER(SEARCH("beat",P915)),ISNUMBER(SEARCH("lost",P915))),"u","")))</f>
        <v/>
      </c>
      <c r="S915" t="str">
        <f>IF(A915=1,MAX($S$2:$S914)+1,IF(OR($I915&lt;&gt;"",A915="x"),$S914,""))</f>
        <v/>
      </c>
      <c r="T915" t="str">
        <f>IF(D915=1,MAX($T$2:$T914)+1,IF(S915=S914,$T914,IF(D915="x",T914,IF(D914="x","",""))))</f>
        <v/>
      </c>
      <c r="U915" t="str">
        <f>IF(B915=1,MAX($U$2:$U914)+1,IF(AND($T915&lt;&gt;"",$T915=$T914),$U914,IF(B915="x",U914,"")))</f>
        <v/>
      </c>
      <c r="V915" t="str">
        <f>IF(C915=1,MAX($V$2:$V914)+1,IF(AND($T915&lt;&gt;"",$T915=$T914),$U914,IF(C915="x",V914,"")))</f>
        <v/>
      </c>
      <c r="X915" cm="1">
        <f t="array" ref="X915">IF($I915&lt;&gt;"",$I915,INDEX($I$1:$I915,ROW()-COUNTIFS($T$1:$T915,"="&amp;$T915,$S$1:$S915,"&lt;"&amp;$S915)))</f>
        <v>0</v>
      </c>
      <c r="Z915" s="6">
        <f t="shared" si="158"/>
        <v>1</v>
      </c>
      <c r="AA915" t="e">
        <f t="shared" si="159"/>
        <v>#VALUE!</v>
      </c>
      <c r="AB915" t="str">
        <f t="shared" si="160"/>
        <v/>
      </c>
      <c r="AC915" t="e">
        <f t="shared" si="161"/>
        <v>#VALUE!</v>
      </c>
    </row>
    <row r="916" spans="1:29" x14ac:dyDescent="0.2">
      <c r="A916" t="str">
        <f t="shared" si="162"/>
        <v/>
      </c>
      <c r="E916" s="4"/>
      <c r="F916" s="46"/>
      <c r="G916" s="4"/>
      <c r="H916" s="48"/>
      <c r="J916" s="26" t="str">
        <f t="shared" si="163"/>
        <v/>
      </c>
      <c r="N916" t="str">
        <f t="shared" si="164"/>
        <v/>
      </c>
      <c r="Q916" t="str">
        <f t="shared" si="165"/>
        <v/>
      </c>
      <c r="S916" t="str">
        <f>IF(A916=1,MAX($S$2:$S915)+1,IF(OR($I916&lt;&gt;"",A916="x"),$S915,""))</f>
        <v/>
      </c>
      <c r="T916" t="str">
        <f>IF(D916=1,MAX($T$2:$T915)+1,IF(S916=S915,$T915,IF(D916="x",T915,IF(D915="x","",""))))</f>
        <v/>
      </c>
      <c r="U916" t="str">
        <f>IF(B916=1,MAX($U$2:$U915)+1,IF(AND($T916&lt;&gt;"",$T916=$T915),$U915,IF(B916="x",U915,"")))</f>
        <v/>
      </c>
      <c r="V916" t="str">
        <f>IF(C916=1,MAX($V$2:$V915)+1,IF(AND($T916&lt;&gt;"",$T916=$T915),$U915,IF(C916="x",V915,"")))</f>
        <v/>
      </c>
      <c r="X916" cm="1">
        <f t="array" ref="X916">IF($I916&lt;&gt;"",$I916,INDEX($I$1:$I916,ROW()-COUNTIFS($T$1:$T916,"="&amp;$T916,$S$1:$S916,"&lt;"&amp;$S916)))</f>
        <v>0</v>
      </c>
      <c r="Z916" s="6">
        <f t="shared" si="158"/>
        <v>1</v>
      </c>
      <c r="AA916" t="e">
        <f t="shared" si="159"/>
        <v>#VALUE!</v>
      </c>
      <c r="AB916" t="str">
        <f t="shared" si="160"/>
        <v/>
      </c>
      <c r="AC916" t="e">
        <f t="shared" si="161"/>
        <v>#VALUE!</v>
      </c>
    </row>
    <row r="917" spans="1:29" x14ac:dyDescent="0.2">
      <c r="A917" t="str">
        <f t="shared" si="162"/>
        <v/>
      </c>
      <c r="E917" s="4"/>
      <c r="F917" s="46"/>
      <c r="G917" s="4"/>
      <c r="H917" s="48"/>
      <c r="J917" s="26" t="str">
        <f t="shared" si="163"/>
        <v/>
      </c>
      <c r="N917" t="str">
        <f t="shared" si="164"/>
        <v/>
      </c>
      <c r="Q917" t="str">
        <f t="shared" si="165"/>
        <v/>
      </c>
      <c r="S917" t="str">
        <f>IF(A917=1,MAX($S$2:$S916)+1,IF(OR($I917&lt;&gt;"",A917="x"),$S916,""))</f>
        <v/>
      </c>
      <c r="T917" t="str">
        <f>IF(D917=1,MAX($T$2:$T916)+1,IF(S917=S916,$T916,IF(D917="x",T916,IF(D916="x","",""))))</f>
        <v/>
      </c>
      <c r="U917" t="str">
        <f>IF(B917=1,MAX($U$2:$U916)+1,IF(AND($T917&lt;&gt;"",$T917=$T916),$U916,IF(B917="x",U916,"")))</f>
        <v/>
      </c>
      <c r="V917" t="str">
        <f>IF(C917=1,MAX($V$2:$V916)+1,IF(AND($T917&lt;&gt;"",$T917=$T916),$U916,IF(C917="x",V916,"")))</f>
        <v/>
      </c>
      <c r="X917" cm="1">
        <f t="array" ref="X917">IF($I917&lt;&gt;"",$I917,INDEX($I$1:$I917,ROW()-COUNTIFS($T$1:$T917,"="&amp;$T917,$S$1:$S917,"&lt;"&amp;$S917)))</f>
        <v>0</v>
      </c>
      <c r="Z917" s="6">
        <f t="shared" si="158"/>
        <v>1</v>
      </c>
      <c r="AA917" t="e">
        <f t="shared" si="159"/>
        <v>#VALUE!</v>
      </c>
      <c r="AB917" t="str">
        <f t="shared" si="160"/>
        <v/>
      </c>
      <c r="AC917" t="e">
        <f t="shared" si="161"/>
        <v>#VALUE!</v>
      </c>
    </row>
    <row r="918" spans="1:29" x14ac:dyDescent="0.2">
      <c r="A918" t="str">
        <f t="shared" si="162"/>
        <v/>
      </c>
      <c r="E918" s="4"/>
      <c r="F918" s="46"/>
      <c r="G918" s="4"/>
      <c r="H918" s="48"/>
      <c r="J918" s="26" t="str">
        <f t="shared" si="163"/>
        <v/>
      </c>
      <c r="N918" t="str">
        <f t="shared" si="164"/>
        <v/>
      </c>
      <c r="Q918" t="str">
        <f t="shared" si="165"/>
        <v/>
      </c>
      <c r="S918" t="str">
        <f>IF(A918=1,MAX($S$2:$S917)+1,IF(OR($I918&lt;&gt;"",A918="x"),$S917,""))</f>
        <v/>
      </c>
      <c r="T918" t="str">
        <f>IF(D918=1,MAX($T$2:$T917)+1,IF(S918=S917,$T917,IF(D918="x",T917,IF(D917="x","",""))))</f>
        <v/>
      </c>
      <c r="U918" t="str">
        <f>IF(B918=1,MAX($U$2:$U917)+1,IF(AND($T918&lt;&gt;"",$T918=$T917),$U917,IF(B918="x",U917,"")))</f>
        <v/>
      </c>
      <c r="V918" t="str">
        <f>IF(C918=1,MAX($V$2:$V917)+1,IF(AND($T918&lt;&gt;"",$T918=$T917),$U917,IF(C918="x",V917,"")))</f>
        <v/>
      </c>
      <c r="X918" cm="1">
        <f t="array" ref="X918">IF($I918&lt;&gt;"",$I918,INDEX($I$1:$I918,ROW()-COUNTIFS($T$1:$T918,"="&amp;$T918,$S$1:$S918,"&lt;"&amp;$S918)))</f>
        <v>0</v>
      </c>
      <c r="Z918" s="6">
        <f t="shared" si="158"/>
        <v>1</v>
      </c>
      <c r="AA918" t="e">
        <f t="shared" si="159"/>
        <v>#VALUE!</v>
      </c>
      <c r="AB918" t="str">
        <f t="shared" si="160"/>
        <v/>
      </c>
      <c r="AC918" t="e">
        <f t="shared" si="161"/>
        <v>#VALUE!</v>
      </c>
    </row>
    <row r="919" spans="1:29" x14ac:dyDescent="0.2">
      <c r="A919" t="str">
        <f t="shared" si="162"/>
        <v/>
      </c>
      <c r="E919" s="4"/>
      <c r="F919" s="46"/>
      <c r="G919" s="4"/>
      <c r="H919" s="48"/>
      <c r="J919" s="26" t="str">
        <f t="shared" si="163"/>
        <v/>
      </c>
      <c r="N919" t="str">
        <f t="shared" si="164"/>
        <v/>
      </c>
      <c r="Q919" t="str">
        <f t="shared" si="165"/>
        <v/>
      </c>
      <c r="S919" t="str">
        <f>IF(A919=1,MAX($S$2:$S918)+1,IF(OR($I919&lt;&gt;"",A919="x"),$S918,""))</f>
        <v/>
      </c>
      <c r="T919" t="str">
        <f>IF(D919=1,MAX($T$2:$T918)+1,IF(S919=S918,$T918,IF(D919="x",T918,IF(D918="x","",""))))</f>
        <v/>
      </c>
      <c r="U919" t="str">
        <f>IF(B919=1,MAX($U$2:$U918)+1,IF(AND($T919&lt;&gt;"",$T919=$T918),$U918,IF(B919="x",U918,"")))</f>
        <v/>
      </c>
      <c r="V919" t="str">
        <f>IF(C919=1,MAX($V$2:$V918)+1,IF(AND($T919&lt;&gt;"",$T919=$T918),$U918,IF(C919="x",V918,"")))</f>
        <v/>
      </c>
      <c r="X919" cm="1">
        <f t="array" ref="X919">IF($I919&lt;&gt;"",$I919,INDEX($I$1:$I919,ROW()-COUNTIFS($T$1:$T919,"="&amp;$T919,$S$1:$S919,"&lt;"&amp;$S919)))</f>
        <v>0</v>
      </c>
      <c r="Z919" s="6">
        <f t="shared" si="158"/>
        <v>1</v>
      </c>
      <c r="AA919" t="e">
        <f t="shared" si="159"/>
        <v>#VALUE!</v>
      </c>
      <c r="AB919" t="str">
        <f t="shared" si="160"/>
        <v/>
      </c>
      <c r="AC919" t="e">
        <f t="shared" si="161"/>
        <v>#VALUE!</v>
      </c>
    </row>
    <row r="920" spans="1:29" x14ac:dyDescent="0.2">
      <c r="A920" t="str">
        <f t="shared" si="162"/>
        <v/>
      </c>
      <c r="E920" s="4"/>
      <c r="F920" s="46"/>
      <c r="G920" s="4"/>
      <c r="H920" s="48"/>
      <c r="J920" s="26" t="str">
        <f t="shared" si="163"/>
        <v/>
      </c>
      <c r="N920" t="str">
        <f t="shared" si="164"/>
        <v/>
      </c>
      <c r="Q920" t="str">
        <f t="shared" si="165"/>
        <v/>
      </c>
      <c r="S920" t="str">
        <f>IF(A920=1,MAX($S$2:$S919)+1,IF(OR($I920&lt;&gt;"",A920="x"),$S919,""))</f>
        <v/>
      </c>
      <c r="T920" t="str">
        <f>IF(D920=1,MAX($T$2:$T919)+1,IF(S920=S919,$T919,IF(D920="x",T919,IF(D919="x","",""))))</f>
        <v/>
      </c>
      <c r="U920" t="str">
        <f>IF(B920=1,MAX($U$2:$U919)+1,IF(AND($T920&lt;&gt;"",$T920=$T919),$U919,IF(B920="x",U919,"")))</f>
        <v/>
      </c>
      <c r="V920" t="str">
        <f>IF(C920=1,MAX($V$2:$V919)+1,IF(AND($T920&lt;&gt;"",$T920=$T919),$U919,IF(C920="x",V919,"")))</f>
        <v/>
      </c>
      <c r="X920" cm="1">
        <f t="array" ref="X920">IF($I920&lt;&gt;"",$I920,INDEX($I$1:$I920,ROW()-COUNTIFS($T$1:$T920,"="&amp;$T920,$S$1:$S920,"&lt;"&amp;$S920)))</f>
        <v>0</v>
      </c>
      <c r="Z920" s="6">
        <f t="shared" si="158"/>
        <v>1</v>
      </c>
      <c r="AA920" t="e">
        <f t="shared" si="159"/>
        <v>#VALUE!</v>
      </c>
      <c r="AB920" t="str">
        <f t="shared" si="160"/>
        <v/>
      </c>
      <c r="AC920" t="e">
        <f t="shared" si="161"/>
        <v>#VALUE!</v>
      </c>
    </row>
    <row r="921" spans="1:29" x14ac:dyDescent="0.2">
      <c r="A921" t="str">
        <f t="shared" si="162"/>
        <v/>
      </c>
      <c r="E921" s="4"/>
      <c r="F921" s="46"/>
      <c r="G921" s="4"/>
      <c r="H921" s="48"/>
      <c r="J921" s="26" t="str">
        <f t="shared" si="163"/>
        <v/>
      </c>
      <c r="N921" t="str">
        <f t="shared" si="164"/>
        <v/>
      </c>
      <c r="Q921" t="str">
        <f t="shared" si="165"/>
        <v/>
      </c>
      <c r="S921" t="str">
        <f>IF(A921=1,MAX($S$2:$S920)+1,IF(OR($I921&lt;&gt;"",A921="x"),$S920,""))</f>
        <v/>
      </c>
      <c r="T921" t="str">
        <f>IF(D921=1,MAX($T$2:$T920)+1,IF(S921=S920,$T920,IF(D921="x",T920,IF(D920="x","",""))))</f>
        <v/>
      </c>
      <c r="U921" t="str">
        <f>IF(B921=1,MAX($U$2:$U920)+1,IF(AND($T921&lt;&gt;"",$T921=$T920),$U920,IF(B921="x",U920,"")))</f>
        <v/>
      </c>
      <c r="V921" t="str">
        <f>IF(C921=1,MAX($V$2:$V920)+1,IF(AND($T921&lt;&gt;"",$T921=$T920),$U920,IF(C921="x",V920,"")))</f>
        <v/>
      </c>
      <c r="X921" cm="1">
        <f t="array" ref="X921">IF($I921&lt;&gt;"",$I921,INDEX($I$1:$I921,ROW()-COUNTIFS($T$1:$T921,"="&amp;$T921,$S$1:$S921,"&lt;"&amp;$S921)))</f>
        <v>0</v>
      </c>
      <c r="Z921" s="6">
        <f t="shared" si="158"/>
        <v>1</v>
      </c>
      <c r="AA921" t="e">
        <f t="shared" si="159"/>
        <v>#VALUE!</v>
      </c>
      <c r="AB921" t="str">
        <f t="shared" si="160"/>
        <v/>
      </c>
      <c r="AC921" t="e">
        <f t="shared" si="161"/>
        <v>#VALUE!</v>
      </c>
    </row>
    <row r="922" spans="1:29" x14ac:dyDescent="0.2">
      <c r="A922" t="str">
        <f t="shared" si="162"/>
        <v/>
      </c>
      <c r="E922" s="4"/>
      <c r="F922" s="46"/>
      <c r="G922" s="4"/>
      <c r="H922" s="48"/>
      <c r="J922" s="26" t="str">
        <f t="shared" si="163"/>
        <v/>
      </c>
      <c r="N922" t="str">
        <f t="shared" si="164"/>
        <v/>
      </c>
      <c r="Q922" t="str">
        <f t="shared" si="165"/>
        <v/>
      </c>
      <c r="S922" t="str">
        <f>IF(A922=1,MAX($S$2:$S921)+1,IF(OR($I922&lt;&gt;"",A922="x"),$S921,""))</f>
        <v/>
      </c>
      <c r="T922" t="str">
        <f>IF(D922=1,MAX($T$2:$T921)+1,IF(S922=S921,$T921,IF(D922="x",T921,IF(D921="x","",""))))</f>
        <v/>
      </c>
      <c r="U922" t="str">
        <f>IF(B922=1,MAX($U$2:$U921)+1,IF(AND($T922&lt;&gt;"",$T922=$T921),$U921,IF(B922="x",U921,"")))</f>
        <v/>
      </c>
      <c r="V922" t="str">
        <f>IF(C922=1,MAX($V$2:$V921)+1,IF(AND($T922&lt;&gt;"",$T922=$T921),$U921,IF(C922="x",V921,"")))</f>
        <v/>
      </c>
      <c r="X922" cm="1">
        <f t="array" ref="X922">IF($I922&lt;&gt;"",$I922,INDEX($I$1:$I922,ROW()-COUNTIFS($T$1:$T922,"="&amp;$T922,$S$1:$S922,"&lt;"&amp;$S922)))</f>
        <v>0</v>
      </c>
      <c r="Z922" s="6">
        <f t="shared" si="158"/>
        <v>1</v>
      </c>
      <c r="AA922" t="e">
        <f t="shared" si="159"/>
        <v>#VALUE!</v>
      </c>
      <c r="AB922" t="str">
        <f t="shared" si="160"/>
        <v/>
      </c>
      <c r="AC922" t="e">
        <f t="shared" si="161"/>
        <v>#VALUE!</v>
      </c>
    </row>
    <row r="923" spans="1:29" x14ac:dyDescent="0.2">
      <c r="A923" t="str">
        <f t="shared" si="162"/>
        <v/>
      </c>
      <c r="E923" s="4"/>
      <c r="F923" s="46"/>
      <c r="G923" s="4"/>
      <c r="H923" s="48"/>
      <c r="J923" s="26" t="str">
        <f t="shared" si="163"/>
        <v/>
      </c>
      <c r="N923" t="str">
        <f t="shared" si="164"/>
        <v/>
      </c>
      <c r="Q923" t="str">
        <f t="shared" si="165"/>
        <v/>
      </c>
      <c r="S923" t="str">
        <f>IF(A923=1,MAX($S$2:$S922)+1,IF(OR($I923&lt;&gt;"",A923="x"),$S922,""))</f>
        <v/>
      </c>
      <c r="T923" t="str">
        <f>IF(D923=1,MAX($T$2:$T922)+1,IF(S923=S922,$T922,IF(D923="x",T922,IF(D922="x","",""))))</f>
        <v/>
      </c>
      <c r="U923" t="str">
        <f>IF(B923=1,MAX($U$2:$U922)+1,IF(AND($T923&lt;&gt;"",$T923=$T922),$U922,IF(B923="x",U922,"")))</f>
        <v/>
      </c>
      <c r="V923" t="str">
        <f>IF(C923=1,MAX($V$2:$V922)+1,IF(AND($T923&lt;&gt;"",$T923=$T922),$U922,IF(C923="x",V922,"")))</f>
        <v/>
      </c>
      <c r="X923" cm="1">
        <f t="array" ref="X923">IF($I923&lt;&gt;"",$I923,INDEX($I$1:$I923,ROW()-COUNTIFS($T$1:$T923,"="&amp;$T923,$S$1:$S923,"&lt;"&amp;$S923)))</f>
        <v>0</v>
      </c>
      <c r="Z923" s="6">
        <f t="shared" si="158"/>
        <v>1</v>
      </c>
      <c r="AA923" t="e">
        <f t="shared" si="159"/>
        <v>#VALUE!</v>
      </c>
      <c r="AB923" t="str">
        <f t="shared" si="160"/>
        <v/>
      </c>
      <c r="AC923" t="e">
        <f t="shared" si="161"/>
        <v>#VALUE!</v>
      </c>
    </row>
    <row r="924" spans="1:29" x14ac:dyDescent="0.2">
      <c r="A924" t="str">
        <f t="shared" si="162"/>
        <v/>
      </c>
      <c r="E924" s="4"/>
      <c r="F924" s="46"/>
      <c r="G924" s="4"/>
      <c r="H924" s="48"/>
      <c r="J924" s="26" t="str">
        <f t="shared" si="163"/>
        <v/>
      </c>
      <c r="N924" t="str">
        <f t="shared" si="164"/>
        <v/>
      </c>
      <c r="Q924" t="str">
        <f t="shared" si="165"/>
        <v/>
      </c>
      <c r="S924" t="str">
        <f>IF(A924=1,MAX($S$2:$S923)+1,IF(OR($I924&lt;&gt;"",A924="x"),$S923,""))</f>
        <v/>
      </c>
      <c r="T924" t="str">
        <f>IF(D924=1,MAX($T$2:$T923)+1,IF(S924=S923,$T923,IF(D924="x",T923,IF(D923="x","",""))))</f>
        <v/>
      </c>
      <c r="U924" t="str">
        <f>IF(B924=1,MAX($U$2:$U923)+1,IF(AND($T924&lt;&gt;"",$T924=$T923),$U923,IF(B924="x",U923,"")))</f>
        <v/>
      </c>
      <c r="V924" t="str">
        <f>IF(C924=1,MAX($V$2:$V923)+1,IF(AND($T924&lt;&gt;"",$T924=$T923),$U923,IF(C924="x",V923,"")))</f>
        <v/>
      </c>
      <c r="X924" cm="1">
        <f t="array" ref="X924">IF($I924&lt;&gt;"",$I924,INDEX($I$1:$I924,ROW()-COUNTIFS($T$1:$T924,"="&amp;$T924,$S$1:$S924,"&lt;"&amp;$S924)))</f>
        <v>0</v>
      </c>
      <c r="Z924" s="6">
        <f t="shared" si="158"/>
        <v>1</v>
      </c>
      <c r="AA924" t="e">
        <f t="shared" si="159"/>
        <v>#VALUE!</v>
      </c>
      <c r="AB924" t="str">
        <f t="shared" si="160"/>
        <v/>
      </c>
      <c r="AC924" t="e">
        <f t="shared" si="161"/>
        <v>#VALUE!</v>
      </c>
    </row>
    <row r="925" spans="1:29" x14ac:dyDescent="0.2">
      <c r="A925" t="str">
        <f t="shared" si="162"/>
        <v/>
      </c>
      <c r="E925" s="4"/>
      <c r="F925" s="46"/>
      <c r="G925" s="4"/>
      <c r="H925" s="48"/>
      <c r="J925" s="26" t="str">
        <f t="shared" si="163"/>
        <v/>
      </c>
      <c r="N925" t="str">
        <f t="shared" si="164"/>
        <v/>
      </c>
      <c r="Q925" t="str">
        <f t="shared" si="165"/>
        <v/>
      </c>
      <c r="S925" t="str">
        <f>IF(A925=1,MAX($S$2:$S924)+1,IF(OR($I925&lt;&gt;"",A925="x"),$S924,""))</f>
        <v/>
      </c>
      <c r="T925" t="str">
        <f>IF(D925=1,MAX($T$2:$T924)+1,IF(S925=S924,$T924,IF(D925="x",T924,IF(D924="x","",""))))</f>
        <v/>
      </c>
      <c r="U925" t="str">
        <f>IF(B925=1,MAX($U$2:$U924)+1,IF(AND($T925&lt;&gt;"",$T925=$T924),$U924,IF(B925="x",U924,"")))</f>
        <v/>
      </c>
      <c r="V925" t="str">
        <f>IF(C925=1,MAX($V$2:$V924)+1,IF(AND($T925&lt;&gt;"",$T925=$T924),$U924,IF(C925="x",V924,"")))</f>
        <v/>
      </c>
      <c r="X925" cm="1">
        <f t="array" ref="X925">IF($I925&lt;&gt;"",$I925,INDEX($I$1:$I925,ROW()-COUNTIFS($T$1:$T925,"="&amp;$T925,$S$1:$S925,"&lt;"&amp;$S925)))</f>
        <v>0</v>
      </c>
      <c r="Z925" s="6">
        <f t="shared" si="158"/>
        <v>1</v>
      </c>
      <c r="AA925" t="e">
        <f t="shared" si="159"/>
        <v>#VALUE!</v>
      </c>
      <c r="AB925" t="str">
        <f t="shared" si="160"/>
        <v/>
      </c>
      <c r="AC925" t="e">
        <f t="shared" si="161"/>
        <v>#VALUE!</v>
      </c>
    </row>
    <row r="926" spans="1:29" x14ac:dyDescent="0.2">
      <c r="A926" t="str">
        <f t="shared" si="162"/>
        <v/>
      </c>
      <c r="E926" s="4"/>
      <c r="F926" s="46"/>
      <c r="G926" s="4"/>
      <c r="H926" s="48"/>
      <c r="J926" s="26" t="str">
        <f t="shared" si="163"/>
        <v/>
      </c>
      <c r="N926" t="str">
        <f t="shared" si="164"/>
        <v/>
      </c>
      <c r="Q926" t="str">
        <f t="shared" si="165"/>
        <v/>
      </c>
      <c r="S926" t="str">
        <f>IF(A926=1,MAX($S$2:$S925)+1,IF(OR($I926&lt;&gt;"",A926="x"),$S925,""))</f>
        <v/>
      </c>
      <c r="T926" t="str">
        <f>IF(D926=1,MAX($T$2:$T925)+1,IF(S926=S925,$T925,IF(D926="x",T925,IF(D925="x","",""))))</f>
        <v/>
      </c>
      <c r="U926" t="str">
        <f>IF(B926=1,MAX($U$2:$U925)+1,IF(AND($T926&lt;&gt;"",$T926=$T925),$U925,IF(B926="x",U925,"")))</f>
        <v/>
      </c>
      <c r="V926" t="str">
        <f>IF(C926=1,MAX($V$2:$V925)+1,IF(AND($T926&lt;&gt;"",$T926=$T925),$U925,IF(C926="x",V925,"")))</f>
        <v/>
      </c>
      <c r="X926" cm="1">
        <f t="array" ref="X926">IF($I926&lt;&gt;"",$I926,INDEX($I$1:$I926,ROW()-COUNTIFS($T$1:$T926,"="&amp;$T926,$S$1:$S926,"&lt;"&amp;$S926)))</f>
        <v>0</v>
      </c>
      <c r="Z926" s="6">
        <f t="shared" si="158"/>
        <v>1</v>
      </c>
      <c r="AA926" t="e">
        <f t="shared" si="159"/>
        <v>#VALUE!</v>
      </c>
      <c r="AB926" t="str">
        <f t="shared" si="160"/>
        <v/>
      </c>
      <c r="AC926" t="e">
        <f t="shared" si="161"/>
        <v>#VALUE!</v>
      </c>
    </row>
    <row r="927" spans="1:29" x14ac:dyDescent="0.2">
      <c r="A927" t="str">
        <f t="shared" si="162"/>
        <v/>
      </c>
      <c r="E927" s="4"/>
      <c r="F927" s="46"/>
      <c r="G927" s="4"/>
      <c r="H927" s="48"/>
      <c r="J927" s="26" t="str">
        <f t="shared" si="163"/>
        <v/>
      </c>
      <c r="N927" t="str">
        <f t="shared" si="164"/>
        <v/>
      </c>
      <c r="Q927" t="str">
        <f t="shared" si="165"/>
        <v/>
      </c>
      <c r="S927" t="str">
        <f>IF(A927=1,MAX($S$2:$S926)+1,IF(OR($I927&lt;&gt;"",A927="x"),$S926,""))</f>
        <v/>
      </c>
      <c r="T927" t="str">
        <f>IF(D927=1,MAX($T$2:$T926)+1,IF(S927=S926,$T926,IF(D927="x",T926,IF(D926="x","",""))))</f>
        <v/>
      </c>
      <c r="U927" t="str">
        <f>IF(B927=1,MAX($U$2:$U926)+1,IF(AND($T927&lt;&gt;"",$T927=$T926),$U926,IF(B927="x",U926,"")))</f>
        <v/>
      </c>
      <c r="V927" t="str">
        <f>IF(C927=1,MAX($V$2:$V926)+1,IF(AND($T927&lt;&gt;"",$T927=$T926),$U926,IF(C927="x",V926,"")))</f>
        <v/>
      </c>
      <c r="X927" cm="1">
        <f t="array" ref="X927">IF($I927&lt;&gt;"",$I927,INDEX($I$1:$I927,ROW()-COUNTIFS($T$1:$T927,"="&amp;$T927,$S$1:$S927,"&lt;"&amp;$S927)))</f>
        <v>0</v>
      </c>
      <c r="Z927" s="6">
        <f t="shared" si="158"/>
        <v>1</v>
      </c>
      <c r="AA927" t="e">
        <f t="shared" si="159"/>
        <v>#VALUE!</v>
      </c>
      <c r="AB927" t="str">
        <f t="shared" si="160"/>
        <v/>
      </c>
      <c r="AC927" t="e">
        <f t="shared" si="161"/>
        <v>#VALUE!</v>
      </c>
    </row>
    <row r="928" spans="1:29" x14ac:dyDescent="0.2">
      <c r="A928" t="str">
        <f t="shared" si="162"/>
        <v/>
      </c>
      <c r="E928" s="4"/>
      <c r="F928" s="46"/>
      <c r="G928" s="4"/>
      <c r="H928" s="48"/>
      <c r="J928" s="26" t="str">
        <f t="shared" si="163"/>
        <v/>
      </c>
      <c r="N928" t="str">
        <f t="shared" si="164"/>
        <v/>
      </c>
      <c r="Q928" t="str">
        <f t="shared" si="165"/>
        <v/>
      </c>
      <c r="S928" t="str">
        <f>IF(A928=1,MAX($S$2:$S927)+1,IF(OR($I928&lt;&gt;"",A928="x"),$S927,""))</f>
        <v/>
      </c>
      <c r="T928" t="str">
        <f>IF(D928=1,MAX($T$2:$T927)+1,IF(S928=S927,$T927,IF(D928="x",T927,IF(D927="x","",""))))</f>
        <v/>
      </c>
      <c r="U928" t="str">
        <f>IF(B928=1,MAX($U$2:$U927)+1,IF(AND($T928&lt;&gt;"",$T928=$T927),$U927,IF(B928="x",U927,"")))</f>
        <v/>
      </c>
      <c r="V928" t="str">
        <f>IF(C928=1,MAX($V$2:$V927)+1,IF(AND($T928&lt;&gt;"",$T928=$T927),$U927,IF(C928="x",V927,"")))</f>
        <v/>
      </c>
      <c r="X928" cm="1">
        <f t="array" ref="X928">IF($I928&lt;&gt;"",$I928,INDEX($I$1:$I928,ROW()-COUNTIFS($T$1:$T928,"="&amp;$T928,$S$1:$S928,"&lt;"&amp;$S928)))</f>
        <v>0</v>
      </c>
      <c r="Z928" s="6">
        <f t="shared" si="158"/>
        <v>1</v>
      </c>
      <c r="AA928" t="e">
        <f t="shared" si="159"/>
        <v>#VALUE!</v>
      </c>
      <c r="AB928" t="str">
        <f t="shared" si="160"/>
        <v/>
      </c>
      <c r="AC928" t="e">
        <f t="shared" si="161"/>
        <v>#VALUE!</v>
      </c>
    </row>
    <row r="929" spans="1:29" x14ac:dyDescent="0.2">
      <c r="A929" t="str">
        <f t="shared" si="162"/>
        <v/>
      </c>
      <c r="E929" s="4"/>
      <c r="F929" s="46"/>
      <c r="G929" s="4"/>
      <c r="H929" s="48"/>
      <c r="J929" s="26" t="str">
        <f t="shared" si="163"/>
        <v/>
      </c>
      <c r="N929" t="str">
        <f t="shared" si="164"/>
        <v/>
      </c>
      <c r="Q929" t="str">
        <f t="shared" si="165"/>
        <v/>
      </c>
      <c r="S929" t="str">
        <f>IF(A929=1,MAX($S$2:$S928)+1,IF(OR($I929&lt;&gt;"",A929="x"),$S928,""))</f>
        <v/>
      </c>
      <c r="T929" t="str">
        <f>IF(D929=1,MAX($T$2:$T928)+1,IF(S929=S928,$T928,IF(D929="x",T928,IF(D928="x","",""))))</f>
        <v/>
      </c>
      <c r="U929" t="str">
        <f>IF(B929=1,MAX($U$2:$U928)+1,IF(AND($T929&lt;&gt;"",$T929=$T928),$U928,IF(B929="x",U928,"")))</f>
        <v/>
      </c>
      <c r="V929" t="str">
        <f>IF(C929=1,MAX($V$2:$V928)+1,IF(AND($T929&lt;&gt;"",$T929=$T928),$U928,IF(C929="x",V928,"")))</f>
        <v/>
      </c>
      <c r="X929" cm="1">
        <f t="array" ref="X929">IF($I929&lt;&gt;"",$I929,INDEX($I$1:$I929,ROW()-COUNTIFS($T$1:$T929,"="&amp;$T929,$S$1:$S929,"&lt;"&amp;$S929)))</f>
        <v>0</v>
      </c>
      <c r="Z929" s="6">
        <f t="shared" si="158"/>
        <v>1</v>
      </c>
      <c r="AA929" t="e">
        <f t="shared" si="159"/>
        <v>#VALUE!</v>
      </c>
      <c r="AB929" t="str">
        <f t="shared" si="160"/>
        <v/>
      </c>
      <c r="AC929" t="e">
        <f t="shared" si="161"/>
        <v>#VALUE!</v>
      </c>
    </row>
    <row r="930" spans="1:29" x14ac:dyDescent="0.2">
      <c r="A930" t="str">
        <f t="shared" si="162"/>
        <v/>
      </c>
      <c r="E930" s="4"/>
      <c r="F930" s="46"/>
      <c r="G930" s="4"/>
      <c r="H930" s="48"/>
      <c r="J930" s="26" t="str">
        <f t="shared" si="163"/>
        <v/>
      </c>
      <c r="N930" t="str">
        <f t="shared" si="164"/>
        <v/>
      </c>
      <c r="Q930" t="str">
        <f t="shared" si="165"/>
        <v/>
      </c>
      <c r="S930" t="str">
        <f>IF(A930=1,MAX($S$2:$S929)+1,IF(OR($I930&lt;&gt;"",A930="x"),$S929,""))</f>
        <v/>
      </c>
      <c r="T930" t="str">
        <f>IF(D930=1,MAX($T$2:$T929)+1,IF(S930=S929,$T929,IF(D930="x",T929,IF(D929="x","",""))))</f>
        <v/>
      </c>
      <c r="U930" t="str">
        <f>IF(B930=1,MAX($U$2:$U929)+1,IF(AND($T930&lt;&gt;"",$T930=$T929),$U929,IF(B930="x",U929,"")))</f>
        <v/>
      </c>
      <c r="V930" t="str">
        <f>IF(C930=1,MAX($V$2:$V929)+1,IF(AND($T930&lt;&gt;"",$T930=$T929),$U929,IF(C930="x",V929,"")))</f>
        <v/>
      </c>
      <c r="X930" cm="1">
        <f t="array" ref="X930">IF($I930&lt;&gt;"",$I930,INDEX($I$1:$I930,ROW()-COUNTIFS($T$1:$T930,"="&amp;$T930,$S$1:$S930,"&lt;"&amp;$S930)))</f>
        <v>0</v>
      </c>
      <c r="Z930" s="6">
        <f t="shared" si="158"/>
        <v>1</v>
      </c>
      <c r="AA930" t="e">
        <f t="shared" si="159"/>
        <v>#VALUE!</v>
      </c>
      <c r="AB930" t="str">
        <f t="shared" si="160"/>
        <v/>
      </c>
      <c r="AC930" t="e">
        <f t="shared" si="161"/>
        <v>#VALUE!</v>
      </c>
    </row>
    <row r="931" spans="1:29" x14ac:dyDescent="0.2">
      <c r="A931" t="str">
        <f t="shared" si="162"/>
        <v/>
      </c>
      <c r="E931" s="4"/>
      <c r="F931" s="46"/>
      <c r="G931" s="4"/>
      <c r="H931" s="48"/>
      <c r="J931" s="26" t="str">
        <f t="shared" si="163"/>
        <v/>
      </c>
      <c r="N931" t="str">
        <f t="shared" si="164"/>
        <v/>
      </c>
      <c r="Q931" t="str">
        <f t="shared" si="165"/>
        <v/>
      </c>
      <c r="S931" t="str">
        <f>IF(A931=1,MAX($S$2:$S930)+1,IF(OR($I931&lt;&gt;"",A931="x"),$S930,""))</f>
        <v/>
      </c>
      <c r="T931" t="str">
        <f>IF(D931=1,MAX($T$2:$T930)+1,IF(S931=S930,$T930,IF(D931="x",T930,IF(D930="x","",""))))</f>
        <v/>
      </c>
      <c r="U931" t="str">
        <f>IF(B931=1,MAX($U$2:$U930)+1,IF(AND($T931&lt;&gt;"",$T931=$T930),$U930,IF(B931="x",U930,"")))</f>
        <v/>
      </c>
      <c r="V931" t="str">
        <f>IF(C931=1,MAX($V$2:$V930)+1,IF(AND($T931&lt;&gt;"",$T931=$T930),$U930,IF(C931="x",V930,"")))</f>
        <v/>
      </c>
      <c r="X931" cm="1">
        <f t="array" ref="X931">IF($I931&lt;&gt;"",$I931,INDEX($I$1:$I931,ROW()-COUNTIFS($T$1:$T931,"="&amp;$T931,$S$1:$S931,"&lt;"&amp;$S931)))</f>
        <v>0</v>
      </c>
      <c r="Z931" s="6">
        <f t="shared" si="158"/>
        <v>1</v>
      </c>
      <c r="AA931" t="e">
        <f t="shared" si="159"/>
        <v>#VALUE!</v>
      </c>
      <c r="AB931" t="str">
        <f t="shared" si="160"/>
        <v/>
      </c>
      <c r="AC931" t="e">
        <f t="shared" si="161"/>
        <v>#VALUE!</v>
      </c>
    </row>
    <row r="932" spans="1:29" x14ac:dyDescent="0.2">
      <c r="A932" t="str">
        <f t="shared" si="162"/>
        <v/>
      </c>
      <c r="E932" s="4"/>
      <c r="F932" s="46"/>
      <c r="G932" s="4"/>
      <c r="H932" s="48"/>
      <c r="J932" s="26" t="str">
        <f t="shared" si="163"/>
        <v/>
      </c>
      <c r="N932" t="str">
        <f t="shared" si="164"/>
        <v/>
      </c>
      <c r="Q932" t="str">
        <f t="shared" si="165"/>
        <v/>
      </c>
      <c r="S932" t="str">
        <f>IF(A932=1,MAX($S$2:$S931)+1,IF(OR($I932&lt;&gt;"",A932="x"),$S931,""))</f>
        <v/>
      </c>
      <c r="T932" t="str">
        <f>IF(D932=1,MAX($T$2:$T931)+1,IF(S932=S931,$T931,IF(D932="x",T931,IF(D931="x","",""))))</f>
        <v/>
      </c>
      <c r="U932" t="str">
        <f>IF(B932=1,MAX($U$2:$U931)+1,IF(AND($T932&lt;&gt;"",$T932=$T931),$U931,IF(B932="x",U931,"")))</f>
        <v/>
      </c>
      <c r="V932" t="str">
        <f>IF(C932=1,MAX($V$2:$V931)+1,IF(AND($T932&lt;&gt;"",$T932=$T931),$U931,IF(C932="x",V931,"")))</f>
        <v/>
      </c>
      <c r="X932" cm="1">
        <f t="array" ref="X932">IF($I932&lt;&gt;"",$I932,INDEX($I$1:$I932,ROW()-COUNTIFS($T$1:$T932,"="&amp;$T932,$S$1:$S932,"&lt;"&amp;$S932)))</f>
        <v>0</v>
      </c>
      <c r="Z932" s="6">
        <f t="shared" si="158"/>
        <v>1</v>
      </c>
      <c r="AA932" t="e">
        <f t="shared" si="159"/>
        <v>#VALUE!</v>
      </c>
      <c r="AB932" t="str">
        <f t="shared" si="160"/>
        <v/>
      </c>
      <c r="AC932" t="e">
        <f t="shared" si="161"/>
        <v>#VALUE!</v>
      </c>
    </row>
    <row r="933" spans="1:29" x14ac:dyDescent="0.2">
      <c r="A933" t="str">
        <f t="shared" si="162"/>
        <v/>
      </c>
      <c r="E933" s="4"/>
      <c r="F933" s="46"/>
      <c r="G933" s="4"/>
      <c r="H933" s="48"/>
      <c r="J933" s="26" t="str">
        <f t="shared" si="163"/>
        <v/>
      </c>
      <c r="N933" t="str">
        <f t="shared" si="164"/>
        <v/>
      </c>
      <c r="Q933" t="str">
        <f t="shared" si="165"/>
        <v/>
      </c>
      <c r="S933" t="str">
        <f>IF(A933=1,MAX($S$2:$S932)+1,IF(OR($I933&lt;&gt;"",A933="x"),$S932,""))</f>
        <v/>
      </c>
      <c r="T933" t="str">
        <f>IF(D933=1,MAX($T$2:$T932)+1,IF(S933=S932,$T932,IF(D933="x",T932,IF(D932="x","",""))))</f>
        <v/>
      </c>
      <c r="U933" t="str">
        <f>IF(B933=1,MAX($U$2:$U932)+1,IF(AND($T933&lt;&gt;"",$T933=$T932),$U932,IF(B933="x",U932,"")))</f>
        <v/>
      </c>
      <c r="V933" t="str">
        <f>IF(C933=1,MAX($V$2:$V932)+1,IF(AND($T933&lt;&gt;"",$T933=$T932),$U932,IF(C933="x",V932,"")))</f>
        <v/>
      </c>
      <c r="X933" cm="1">
        <f t="array" ref="X933">IF($I933&lt;&gt;"",$I933,INDEX($I$1:$I933,ROW()-COUNTIFS($T$1:$T933,"="&amp;$T933,$S$1:$S933,"&lt;"&amp;$S933)))</f>
        <v>0</v>
      </c>
      <c r="Z933" s="6">
        <f t="shared" si="158"/>
        <v>1</v>
      </c>
      <c r="AA933" t="e">
        <f t="shared" si="159"/>
        <v>#VALUE!</v>
      </c>
      <c r="AB933" t="str">
        <f t="shared" si="160"/>
        <v/>
      </c>
      <c r="AC933" t="e">
        <f t="shared" si="161"/>
        <v>#VALUE!</v>
      </c>
    </row>
    <row r="934" spans="1:29" x14ac:dyDescent="0.2">
      <c r="A934" t="str">
        <f t="shared" si="162"/>
        <v/>
      </c>
      <c r="E934" s="4"/>
      <c r="F934" s="46"/>
      <c r="G934" s="4"/>
      <c r="H934" s="48"/>
      <c r="J934" s="26" t="str">
        <f t="shared" si="163"/>
        <v/>
      </c>
      <c r="N934" t="str">
        <f t="shared" si="164"/>
        <v/>
      </c>
      <c r="Q934" t="str">
        <f t="shared" si="165"/>
        <v/>
      </c>
      <c r="S934" t="str">
        <f>IF(A934=1,MAX($S$2:$S933)+1,IF(OR($I934&lt;&gt;"",A934="x"),$S933,""))</f>
        <v/>
      </c>
      <c r="T934" t="str">
        <f>IF(D934=1,MAX($T$2:$T933)+1,IF(S934=S933,$T933,IF(D934="x",T933,IF(D933="x","",""))))</f>
        <v/>
      </c>
      <c r="U934" t="str">
        <f>IF(B934=1,MAX($U$2:$U933)+1,IF(AND($T934&lt;&gt;"",$T934=$T933),$U933,IF(B934="x",U933,"")))</f>
        <v/>
      </c>
      <c r="V934" t="str">
        <f>IF(C934=1,MAX($V$2:$V933)+1,IF(AND($T934&lt;&gt;"",$T934=$T933),$U933,IF(C934="x",V933,"")))</f>
        <v/>
      </c>
      <c r="X934" cm="1">
        <f t="array" ref="X934">IF($I934&lt;&gt;"",$I934,INDEX($I$1:$I934,ROW()-COUNTIFS($T$1:$T934,"="&amp;$T934,$S$1:$S934,"&lt;"&amp;$S934)))</f>
        <v>0</v>
      </c>
      <c r="Z934" s="6">
        <f t="shared" si="158"/>
        <v>1</v>
      </c>
      <c r="AA934" t="e">
        <f t="shared" si="159"/>
        <v>#VALUE!</v>
      </c>
      <c r="AB934" t="str">
        <f t="shared" si="160"/>
        <v/>
      </c>
      <c r="AC934" t="e">
        <f t="shared" si="161"/>
        <v>#VALUE!</v>
      </c>
    </row>
    <row r="935" spans="1:29" x14ac:dyDescent="0.2">
      <c r="A935" t="str">
        <f t="shared" si="162"/>
        <v/>
      </c>
      <c r="E935" s="4"/>
      <c r="F935" s="46"/>
      <c r="G935" s="4"/>
      <c r="H935" s="48"/>
      <c r="J935" s="26" t="str">
        <f t="shared" si="163"/>
        <v/>
      </c>
      <c r="N935" t="str">
        <f t="shared" si="164"/>
        <v/>
      </c>
      <c r="Q935" t="str">
        <f t="shared" si="165"/>
        <v/>
      </c>
      <c r="S935" t="str">
        <f>IF(A935=1,MAX($S$2:$S934)+1,IF(OR($I935&lt;&gt;"",A935="x"),$S934,""))</f>
        <v/>
      </c>
      <c r="T935" t="str">
        <f>IF(D935=1,MAX($T$2:$T934)+1,IF(S935=S934,$T934,IF(D935="x",T934,IF(D934="x","",""))))</f>
        <v/>
      </c>
      <c r="U935" t="str">
        <f>IF(B935=1,MAX($U$2:$U934)+1,IF(AND($T935&lt;&gt;"",$T935=$T934),$U934,IF(B935="x",U934,"")))</f>
        <v/>
      </c>
      <c r="V935" t="str">
        <f>IF(C935=1,MAX($V$2:$V934)+1,IF(AND($T935&lt;&gt;"",$T935=$T934),$U934,IF(C935="x",V934,"")))</f>
        <v/>
      </c>
      <c r="X935" cm="1">
        <f t="array" ref="X935">IF($I935&lt;&gt;"",$I935,INDEX($I$1:$I935,ROW()-COUNTIFS($T$1:$T935,"="&amp;$T935,$S$1:$S935,"&lt;"&amp;$S935)))</f>
        <v>0</v>
      </c>
      <c r="Z935" s="6">
        <f t="shared" si="158"/>
        <v>1</v>
      </c>
      <c r="AA935" t="e">
        <f t="shared" si="159"/>
        <v>#VALUE!</v>
      </c>
      <c r="AB935" t="str">
        <f t="shared" si="160"/>
        <v/>
      </c>
      <c r="AC935" t="e">
        <f t="shared" si="161"/>
        <v>#VALUE!</v>
      </c>
    </row>
    <row r="936" spans="1:29" x14ac:dyDescent="0.2">
      <c r="A936" t="str">
        <f t="shared" si="162"/>
        <v/>
      </c>
      <c r="E936" s="4"/>
      <c r="F936" s="46"/>
      <c r="G936" s="4"/>
      <c r="H936" s="48"/>
      <c r="J936" s="26" t="str">
        <f t="shared" si="163"/>
        <v/>
      </c>
      <c r="N936" t="str">
        <f t="shared" si="164"/>
        <v/>
      </c>
      <c r="Q936" t="str">
        <f t="shared" si="165"/>
        <v/>
      </c>
      <c r="S936" t="str">
        <f>IF(A936=1,MAX($S$2:$S935)+1,IF(OR($I936&lt;&gt;"",A936="x"),$S935,""))</f>
        <v/>
      </c>
      <c r="T936" t="str">
        <f>IF(D936=1,MAX($T$2:$T935)+1,IF(S936=S935,$T935,IF(D936="x",T935,IF(D935="x","",""))))</f>
        <v/>
      </c>
      <c r="U936" t="str">
        <f>IF(B936=1,MAX($U$2:$U935)+1,IF(AND($T936&lt;&gt;"",$T936=$T935),$U935,IF(B936="x",U935,"")))</f>
        <v/>
      </c>
      <c r="V936" t="str">
        <f>IF(C936=1,MAX($V$2:$V935)+1,IF(AND($T936&lt;&gt;"",$T936=$T935),$U935,IF(C936="x",V935,"")))</f>
        <v/>
      </c>
      <c r="X936" cm="1">
        <f t="array" ref="X936">IF($I936&lt;&gt;"",$I936,INDEX($I$1:$I936,ROW()-COUNTIFS($T$1:$T936,"="&amp;$T936,$S$1:$S936,"&lt;"&amp;$S936)))</f>
        <v>0</v>
      </c>
      <c r="Z936" s="6">
        <f t="shared" si="158"/>
        <v>1</v>
      </c>
      <c r="AA936" t="e">
        <f t="shared" si="159"/>
        <v>#VALUE!</v>
      </c>
      <c r="AB936" t="str">
        <f t="shared" si="160"/>
        <v/>
      </c>
      <c r="AC936" t="e">
        <f t="shared" si="161"/>
        <v>#VALUE!</v>
      </c>
    </row>
    <row r="937" spans="1:29" x14ac:dyDescent="0.2">
      <c r="A937" t="str">
        <f t="shared" si="162"/>
        <v/>
      </c>
      <c r="E937" s="4"/>
      <c r="F937" s="46"/>
      <c r="G937" s="4"/>
      <c r="H937" s="48"/>
      <c r="J937" s="26" t="str">
        <f t="shared" si="163"/>
        <v/>
      </c>
      <c r="N937" t="str">
        <f t="shared" si="164"/>
        <v/>
      </c>
      <c r="Q937" t="str">
        <f t="shared" si="165"/>
        <v/>
      </c>
      <c r="S937" t="str">
        <f>IF(A937=1,MAX($S$2:$S936)+1,IF(OR($I937&lt;&gt;"",A937="x"),$S936,""))</f>
        <v/>
      </c>
      <c r="T937" t="str">
        <f>IF(D937=1,MAX($T$2:$T936)+1,IF(S937=S936,$T936,IF(D937="x",T936,IF(D936="x","",""))))</f>
        <v/>
      </c>
      <c r="U937" t="str">
        <f>IF(B937=1,MAX($U$2:$U936)+1,IF(AND($T937&lt;&gt;"",$T937=$T936),$U936,IF(B937="x",U936,"")))</f>
        <v/>
      </c>
      <c r="V937" t="str">
        <f>IF(C937=1,MAX($V$2:$V936)+1,IF(AND($T937&lt;&gt;"",$T937=$T936),$U936,IF(C937="x",V936,"")))</f>
        <v/>
      </c>
      <c r="X937" cm="1">
        <f t="array" ref="X937">IF($I937&lt;&gt;"",$I937,INDEX($I$1:$I937,ROW()-COUNTIFS($T$1:$T937,"="&amp;$T937,$S$1:$S937,"&lt;"&amp;$S937)))</f>
        <v>0</v>
      </c>
      <c r="Z937" s="6">
        <f t="shared" si="158"/>
        <v>1</v>
      </c>
      <c r="AA937" t="e">
        <f t="shared" si="159"/>
        <v>#VALUE!</v>
      </c>
      <c r="AB937" t="str">
        <f t="shared" si="160"/>
        <v/>
      </c>
      <c r="AC937" t="e">
        <f t="shared" si="161"/>
        <v>#VALUE!</v>
      </c>
    </row>
    <row r="938" spans="1:29" x14ac:dyDescent="0.2">
      <c r="A938" t="str">
        <f t="shared" si="162"/>
        <v/>
      </c>
      <c r="E938" s="4"/>
      <c r="F938" s="46"/>
      <c r="G938" s="4"/>
      <c r="H938" s="48"/>
      <c r="J938" s="26" t="str">
        <f t="shared" si="163"/>
        <v/>
      </c>
      <c r="N938" t="str">
        <f t="shared" si="164"/>
        <v/>
      </c>
      <c r="Q938" t="str">
        <f t="shared" si="165"/>
        <v/>
      </c>
      <c r="S938" t="str">
        <f>IF(A938=1,MAX($S$2:$S937)+1,IF(OR($I938&lt;&gt;"",A938="x"),$S937,""))</f>
        <v/>
      </c>
      <c r="T938" t="str">
        <f>IF(D938=1,MAX($T$2:$T937)+1,IF(S938=S937,$T937,IF(D938="x",T937,IF(D937="x","",""))))</f>
        <v/>
      </c>
      <c r="U938" t="str">
        <f>IF(B938=1,MAX($U$2:$U937)+1,IF(AND($T938&lt;&gt;"",$T938=$T937),$U937,IF(B938="x",U937,"")))</f>
        <v/>
      </c>
      <c r="V938" t="str">
        <f>IF(C938=1,MAX($V$2:$V937)+1,IF(AND($T938&lt;&gt;"",$T938=$T937),$U937,IF(C938="x",V937,"")))</f>
        <v/>
      </c>
      <c r="X938" cm="1">
        <f t="array" ref="X938">IF($I938&lt;&gt;"",$I938,INDEX($I$1:$I938,ROW()-COUNTIFS($T$1:$T938,"="&amp;$T938,$S$1:$S938,"&lt;"&amp;$S938)))</f>
        <v>0</v>
      </c>
      <c r="Z938" s="6">
        <f t="shared" si="158"/>
        <v>1</v>
      </c>
      <c r="AA938" t="e">
        <f t="shared" si="159"/>
        <v>#VALUE!</v>
      </c>
      <c r="AB938" t="str">
        <f t="shared" si="160"/>
        <v/>
      </c>
      <c r="AC938" t="e">
        <f t="shared" si="161"/>
        <v>#VALUE!</v>
      </c>
    </row>
    <row r="939" spans="1:29" x14ac:dyDescent="0.2">
      <c r="A939" t="str">
        <f t="shared" si="162"/>
        <v/>
      </c>
      <c r="E939" s="4"/>
      <c r="F939" s="46"/>
      <c r="G939" s="4"/>
      <c r="H939" s="48"/>
      <c r="J939" s="26" t="str">
        <f t="shared" si="163"/>
        <v/>
      </c>
      <c r="N939" t="str">
        <f t="shared" si="164"/>
        <v/>
      </c>
      <c r="Q939" t="str">
        <f t="shared" si="165"/>
        <v/>
      </c>
      <c r="S939" t="str">
        <f>IF(A939=1,MAX($S$2:$S938)+1,IF(OR($I939&lt;&gt;"",A939="x"),$S938,""))</f>
        <v/>
      </c>
      <c r="T939" t="str">
        <f>IF(D939=1,MAX($T$2:$T938)+1,IF(S939=S938,$T938,IF(D939="x",T938,IF(D938="x","",""))))</f>
        <v/>
      </c>
      <c r="U939" t="str">
        <f>IF(B939=1,MAX($U$2:$U938)+1,IF(AND($T939&lt;&gt;"",$T939=$T938),$U938,IF(B939="x",U938,"")))</f>
        <v/>
      </c>
      <c r="V939" t="str">
        <f>IF(C939=1,MAX($V$2:$V938)+1,IF(AND($T939&lt;&gt;"",$T939=$T938),$U938,IF(C939="x",V938,"")))</f>
        <v/>
      </c>
      <c r="X939" cm="1">
        <f t="array" ref="X939">IF($I939&lt;&gt;"",$I939,INDEX($I$1:$I939,ROW()-COUNTIFS($T$1:$T939,"="&amp;$T939,$S$1:$S939,"&lt;"&amp;$S939)))</f>
        <v>0</v>
      </c>
      <c r="Z939" s="6">
        <f t="shared" si="158"/>
        <v>1</v>
      </c>
      <c r="AA939" t="e">
        <f t="shared" si="159"/>
        <v>#VALUE!</v>
      </c>
      <c r="AB939" t="str">
        <f t="shared" si="160"/>
        <v/>
      </c>
      <c r="AC939" t="e">
        <f t="shared" si="161"/>
        <v>#VALUE!</v>
      </c>
    </row>
    <row r="940" spans="1:29" x14ac:dyDescent="0.2">
      <c r="A940" t="str">
        <f t="shared" si="162"/>
        <v/>
      </c>
      <c r="E940" s="4"/>
      <c r="F940" s="46"/>
      <c r="G940" s="4"/>
      <c r="H940" s="48"/>
      <c r="J940" s="26" t="str">
        <f t="shared" si="163"/>
        <v/>
      </c>
      <c r="N940" t="str">
        <f t="shared" si="164"/>
        <v/>
      </c>
      <c r="Q940" t="str">
        <f t="shared" si="165"/>
        <v/>
      </c>
      <c r="S940" t="str">
        <f>IF(A940=1,MAX($S$2:$S939)+1,IF(OR($I940&lt;&gt;"",A940="x"),$S939,""))</f>
        <v/>
      </c>
      <c r="T940" t="str">
        <f>IF(D940=1,MAX($T$2:$T939)+1,IF(S940=S939,$T939,IF(D940="x",T939,IF(D939="x","",""))))</f>
        <v/>
      </c>
      <c r="U940" t="str">
        <f>IF(B940=1,MAX($U$2:$U939)+1,IF(AND($T940&lt;&gt;"",$T940=$T939),$U939,IF(B940="x",U939,"")))</f>
        <v/>
      </c>
      <c r="V940" t="str">
        <f>IF(C940=1,MAX($V$2:$V939)+1,IF(AND($T940&lt;&gt;"",$T940=$T939),$U939,IF(C940="x",V939,"")))</f>
        <v/>
      </c>
      <c r="X940" cm="1">
        <f t="array" ref="X940">IF($I940&lt;&gt;"",$I940,INDEX($I$1:$I940,ROW()-COUNTIFS($T$1:$T940,"="&amp;$T940,$S$1:$S940,"&lt;"&amp;$S940)))</f>
        <v>0</v>
      </c>
      <c r="Z940" s="6">
        <f t="shared" si="158"/>
        <v>1</v>
      </c>
      <c r="AA940" t="e">
        <f t="shared" si="159"/>
        <v>#VALUE!</v>
      </c>
      <c r="AB940" t="str">
        <f t="shared" si="160"/>
        <v/>
      </c>
      <c r="AC940" t="e">
        <f t="shared" si="161"/>
        <v>#VALUE!</v>
      </c>
    </row>
    <row r="941" spans="1:29" x14ac:dyDescent="0.2">
      <c r="A941" t="str">
        <f t="shared" si="162"/>
        <v/>
      </c>
      <c r="E941" s="4"/>
      <c r="F941" s="46"/>
      <c r="G941" s="4"/>
      <c r="H941" s="48"/>
      <c r="J941" s="26" t="str">
        <f t="shared" si="163"/>
        <v/>
      </c>
      <c r="N941" t="str">
        <f t="shared" si="164"/>
        <v/>
      </c>
      <c r="Q941" t="str">
        <f t="shared" si="165"/>
        <v/>
      </c>
      <c r="S941" t="str">
        <f>IF(A941=1,MAX($S$2:$S940)+1,IF(OR($I941&lt;&gt;"",A941="x"),$S940,""))</f>
        <v/>
      </c>
      <c r="T941" t="str">
        <f>IF(D941=1,MAX($T$2:$T940)+1,IF(S941=S940,$T940,IF(D941="x",T940,IF(D940="x","",""))))</f>
        <v/>
      </c>
      <c r="U941" t="str">
        <f>IF(B941=1,MAX($U$2:$U940)+1,IF(AND($T941&lt;&gt;"",$T941=$T940),$U940,IF(B941="x",U940,"")))</f>
        <v/>
      </c>
      <c r="V941" t="str">
        <f>IF(C941=1,MAX($V$2:$V940)+1,IF(AND($T941&lt;&gt;"",$T941=$T940),$U940,IF(C941="x",V940,"")))</f>
        <v/>
      </c>
      <c r="X941" cm="1">
        <f t="array" ref="X941">IF($I941&lt;&gt;"",$I941,INDEX($I$1:$I941,ROW()-COUNTIFS($T$1:$T941,"="&amp;$T941,$S$1:$S941,"&lt;"&amp;$S941)))</f>
        <v>0</v>
      </c>
      <c r="Z941" s="6">
        <f t="shared" si="158"/>
        <v>1</v>
      </c>
      <c r="AA941" t="e">
        <f t="shared" si="159"/>
        <v>#VALUE!</v>
      </c>
      <c r="AB941" t="str">
        <f t="shared" si="160"/>
        <v/>
      </c>
      <c r="AC941" t="e">
        <f t="shared" si="161"/>
        <v>#VALUE!</v>
      </c>
    </row>
    <row r="942" spans="1:29" x14ac:dyDescent="0.2">
      <c r="A942" t="str">
        <f t="shared" si="162"/>
        <v/>
      </c>
      <c r="E942" s="4"/>
      <c r="F942" s="46"/>
      <c r="G942" s="4"/>
      <c r="H942" s="48"/>
      <c r="J942" s="26" t="str">
        <f t="shared" si="163"/>
        <v/>
      </c>
      <c r="N942" t="str">
        <f t="shared" si="164"/>
        <v/>
      </c>
      <c r="Q942" t="str">
        <f t="shared" si="165"/>
        <v/>
      </c>
      <c r="S942" t="str">
        <f>IF(A942=1,MAX($S$2:$S941)+1,IF(OR($I942&lt;&gt;"",A942="x"),$S941,""))</f>
        <v/>
      </c>
      <c r="T942" t="str">
        <f>IF(D942=1,MAX($T$2:$T941)+1,IF(S942=S941,$T941,IF(D942="x",T941,IF(D941="x","",""))))</f>
        <v/>
      </c>
      <c r="U942" t="str">
        <f>IF(B942=1,MAX($U$2:$U941)+1,IF(AND($T942&lt;&gt;"",$T942=$T941),$U941,IF(B942="x",U941,"")))</f>
        <v/>
      </c>
      <c r="V942" t="str">
        <f>IF(C942=1,MAX($V$2:$V941)+1,IF(AND($T942&lt;&gt;"",$T942=$T941),$U941,IF(C942="x",V941,"")))</f>
        <v/>
      </c>
      <c r="X942" cm="1">
        <f t="array" ref="X942">IF($I942&lt;&gt;"",$I942,INDEX($I$1:$I942,ROW()-COUNTIFS($T$1:$T942,"="&amp;$T942,$S$1:$S942,"&lt;"&amp;$S942)))</f>
        <v>0</v>
      </c>
      <c r="Z942" s="6">
        <f t="shared" si="158"/>
        <v>1</v>
      </c>
      <c r="AA942" t="e">
        <f t="shared" si="159"/>
        <v>#VALUE!</v>
      </c>
      <c r="AB942" t="str">
        <f t="shared" si="160"/>
        <v/>
      </c>
      <c r="AC942" t="e">
        <f t="shared" si="161"/>
        <v>#VALUE!</v>
      </c>
    </row>
    <row r="943" spans="1:29" x14ac:dyDescent="0.2">
      <c r="A943" t="str">
        <f t="shared" si="162"/>
        <v/>
      </c>
      <c r="E943" s="4"/>
      <c r="F943" s="46"/>
      <c r="G943" s="4"/>
      <c r="H943" s="48"/>
      <c r="J943" s="26" t="str">
        <f t="shared" si="163"/>
        <v/>
      </c>
      <c r="N943" t="str">
        <f t="shared" si="164"/>
        <v/>
      </c>
      <c r="Q943" t="str">
        <f t="shared" si="165"/>
        <v/>
      </c>
      <c r="S943" t="str">
        <f>IF(A943=1,MAX($S$2:$S942)+1,IF(OR($I943&lt;&gt;"",A943="x"),$S942,""))</f>
        <v/>
      </c>
      <c r="T943" t="str">
        <f>IF(D943=1,MAX($T$2:$T942)+1,IF(S943=S942,$T942,IF(D943="x",T942,IF(D942="x","",""))))</f>
        <v/>
      </c>
      <c r="U943" t="str">
        <f>IF(B943=1,MAX($U$2:$U942)+1,IF(AND($T943&lt;&gt;"",$T943=$T942),$U942,IF(B943="x",U942,"")))</f>
        <v/>
      </c>
      <c r="V943" t="str">
        <f>IF(C943=1,MAX($V$2:$V942)+1,IF(AND($T943&lt;&gt;"",$T943=$T942),$U942,IF(C943="x",V942,"")))</f>
        <v/>
      </c>
      <c r="X943" cm="1">
        <f t="array" ref="X943">IF($I943&lt;&gt;"",$I943,INDEX($I$1:$I943,ROW()-COUNTIFS($T$1:$T943,"="&amp;$T943,$S$1:$S943,"&lt;"&amp;$S943)))</f>
        <v>0</v>
      </c>
      <c r="Z943" s="6">
        <f t="shared" si="158"/>
        <v>1</v>
      </c>
      <c r="AA943" t="e">
        <f t="shared" si="159"/>
        <v>#VALUE!</v>
      </c>
      <c r="AB943" t="str">
        <f t="shared" si="160"/>
        <v/>
      </c>
      <c r="AC943" t="e">
        <f t="shared" si="161"/>
        <v>#VALUE!</v>
      </c>
    </row>
    <row r="944" spans="1:29" x14ac:dyDescent="0.2">
      <c r="A944" t="str">
        <f t="shared" si="162"/>
        <v/>
      </c>
      <c r="E944" s="4"/>
      <c r="F944" s="46"/>
      <c r="G944" s="4"/>
      <c r="H944" s="48"/>
      <c r="J944" s="26" t="str">
        <f t="shared" si="163"/>
        <v/>
      </c>
      <c r="N944" t="str">
        <f t="shared" si="164"/>
        <v/>
      </c>
      <c r="Q944" t="str">
        <f t="shared" si="165"/>
        <v/>
      </c>
      <c r="S944" t="str">
        <f>IF(A944=1,MAX($S$2:$S943)+1,IF(OR($I944&lt;&gt;"",A944="x"),$S943,""))</f>
        <v/>
      </c>
      <c r="T944" t="str">
        <f>IF(D944=1,MAX($T$2:$T943)+1,IF(S944=S943,$T943,IF(D944="x",T943,IF(D943="x","",""))))</f>
        <v/>
      </c>
      <c r="U944" t="str">
        <f>IF(B944=1,MAX($U$2:$U943)+1,IF(AND($T944&lt;&gt;"",$T944=$T943),$U943,IF(B944="x",U943,"")))</f>
        <v/>
      </c>
      <c r="V944" t="str">
        <f>IF(C944=1,MAX($V$2:$V943)+1,IF(AND($T944&lt;&gt;"",$T944=$T943),$U943,IF(C944="x",V943,"")))</f>
        <v/>
      </c>
      <c r="X944" cm="1">
        <f t="array" ref="X944">IF($I944&lt;&gt;"",$I944,INDEX($I$1:$I944,ROW()-COUNTIFS($T$1:$T944,"="&amp;$T944,$S$1:$S944,"&lt;"&amp;$S944)))</f>
        <v>0</v>
      </c>
      <c r="Z944" s="6">
        <f t="shared" si="158"/>
        <v>1</v>
      </c>
      <c r="AA944" t="e">
        <f t="shared" si="159"/>
        <v>#VALUE!</v>
      </c>
      <c r="AB944" t="str">
        <f t="shared" si="160"/>
        <v/>
      </c>
      <c r="AC944" t="e">
        <f t="shared" si="161"/>
        <v>#VALUE!</v>
      </c>
    </row>
    <row r="945" spans="1:29" x14ac:dyDescent="0.2">
      <c r="A945" t="str">
        <f t="shared" si="162"/>
        <v/>
      </c>
      <c r="E945" s="4"/>
      <c r="F945" s="46"/>
      <c r="G945" s="4"/>
      <c r="H945" s="48"/>
      <c r="J945" s="26" t="str">
        <f t="shared" si="163"/>
        <v/>
      </c>
      <c r="N945" t="str">
        <f t="shared" si="164"/>
        <v/>
      </c>
      <c r="Q945" t="str">
        <f t="shared" si="165"/>
        <v/>
      </c>
      <c r="S945" t="str">
        <f>IF(A945=1,MAX($S$2:$S944)+1,IF(OR($I945&lt;&gt;"",A945="x"),$S944,""))</f>
        <v/>
      </c>
      <c r="T945" t="str">
        <f>IF(D945=1,MAX($T$2:$T944)+1,IF(S945=S944,$T944,IF(D945="x",T944,IF(D944="x","",""))))</f>
        <v/>
      </c>
      <c r="U945" t="str">
        <f>IF(B945=1,MAX($U$2:$U944)+1,IF(AND($T945&lt;&gt;"",$T945=$T944),$U944,IF(B945="x",U944,"")))</f>
        <v/>
      </c>
      <c r="V945" t="str">
        <f>IF(C945=1,MAX($V$2:$V944)+1,IF(AND($T945&lt;&gt;"",$T945=$T944),$U944,IF(C945="x",V944,"")))</f>
        <v/>
      </c>
      <c r="X945" cm="1">
        <f t="array" ref="X945">IF($I945&lt;&gt;"",$I945,INDEX($I$1:$I945,ROW()-COUNTIFS($T$1:$T945,"="&amp;$T945,$S$1:$S945,"&lt;"&amp;$S945)))</f>
        <v>0</v>
      </c>
      <c r="Z945" s="6">
        <f t="shared" si="158"/>
        <v>1</v>
      </c>
      <c r="AA945" t="e">
        <f t="shared" si="159"/>
        <v>#VALUE!</v>
      </c>
      <c r="AB945" t="str">
        <f t="shared" si="160"/>
        <v/>
      </c>
      <c r="AC945" t="e">
        <f t="shared" si="161"/>
        <v>#VALUE!</v>
      </c>
    </row>
    <row r="946" spans="1:29" x14ac:dyDescent="0.2">
      <c r="A946" t="str">
        <f t="shared" si="162"/>
        <v/>
      </c>
      <c r="E946" s="4"/>
      <c r="F946" s="46"/>
      <c r="G946" s="4"/>
      <c r="H946" s="48"/>
      <c r="J946" s="26" t="str">
        <f t="shared" si="163"/>
        <v/>
      </c>
      <c r="N946" t="str">
        <f t="shared" si="164"/>
        <v/>
      </c>
      <c r="Q946" t="str">
        <f t="shared" si="165"/>
        <v/>
      </c>
      <c r="S946" t="str">
        <f>IF(A946=1,MAX($S$2:$S945)+1,IF(OR($I946&lt;&gt;"",A946="x"),$S945,""))</f>
        <v/>
      </c>
      <c r="T946" t="str">
        <f>IF(D946=1,MAX($T$2:$T945)+1,IF(S946=S945,$T945,IF(D946="x",T945,IF(D945="x","",""))))</f>
        <v/>
      </c>
      <c r="U946" t="str">
        <f>IF(B946=1,MAX($U$2:$U945)+1,IF(AND($T946&lt;&gt;"",$T946=$T945),$U945,IF(B946="x",U945,"")))</f>
        <v/>
      </c>
      <c r="V946" t="str">
        <f>IF(C946=1,MAX($V$2:$V945)+1,IF(AND($T946&lt;&gt;"",$T946=$T945),$U945,IF(C946="x",V945,"")))</f>
        <v/>
      </c>
      <c r="X946" cm="1">
        <f t="array" ref="X946">IF($I946&lt;&gt;"",$I946,INDEX($I$1:$I946,ROW()-COUNTIFS($T$1:$T946,"="&amp;$T946,$S$1:$S946,"&lt;"&amp;$S946)))</f>
        <v>0</v>
      </c>
      <c r="Z946" s="6">
        <f t="shared" si="158"/>
        <v>1</v>
      </c>
      <c r="AA946" t="e">
        <f t="shared" si="159"/>
        <v>#VALUE!</v>
      </c>
      <c r="AB946" t="str">
        <f t="shared" si="160"/>
        <v/>
      </c>
      <c r="AC946" t="e">
        <f t="shared" si="161"/>
        <v>#VALUE!</v>
      </c>
    </row>
    <row r="947" spans="1:29" x14ac:dyDescent="0.2">
      <c r="A947" t="str">
        <f t="shared" si="162"/>
        <v/>
      </c>
      <c r="E947" s="4"/>
      <c r="F947" s="46"/>
      <c r="G947" s="4"/>
      <c r="H947" s="48"/>
      <c r="J947" s="26" t="str">
        <f t="shared" si="163"/>
        <v/>
      </c>
      <c r="N947" t="str">
        <f t="shared" si="164"/>
        <v/>
      </c>
      <c r="Q947" t="str">
        <f t="shared" si="165"/>
        <v/>
      </c>
      <c r="S947" t="str">
        <f>IF(A947=1,MAX($S$2:$S946)+1,IF(OR($I947&lt;&gt;"",A947="x"),$S946,""))</f>
        <v/>
      </c>
      <c r="T947" t="str">
        <f>IF(D947=1,MAX($T$2:$T946)+1,IF(S947=S946,$T946,IF(D947="x",T946,IF(D946="x","",""))))</f>
        <v/>
      </c>
      <c r="U947" t="str">
        <f>IF(B947=1,MAX($U$2:$U946)+1,IF(AND($T947&lt;&gt;"",$T947=$T946),$U946,IF(B947="x",U946,"")))</f>
        <v/>
      </c>
      <c r="V947" t="str">
        <f>IF(C947=1,MAX($V$2:$V946)+1,IF(AND($T947&lt;&gt;"",$T947=$T946),$U946,IF(C947="x",V946,"")))</f>
        <v/>
      </c>
      <c r="X947" cm="1">
        <f t="array" ref="X947">IF($I947&lt;&gt;"",$I947,INDEX($I$1:$I947,ROW()-COUNTIFS($T$1:$T947,"="&amp;$T947,$S$1:$S947,"&lt;"&amp;$S947)))</f>
        <v>0</v>
      </c>
      <c r="Z947" s="6">
        <f t="shared" si="158"/>
        <v>1</v>
      </c>
      <c r="AA947" t="e">
        <f t="shared" si="159"/>
        <v>#VALUE!</v>
      </c>
      <c r="AB947" t="str">
        <f t="shared" si="160"/>
        <v/>
      </c>
      <c r="AC947" t="e">
        <f t="shared" si="161"/>
        <v>#VALUE!</v>
      </c>
    </row>
    <row r="948" spans="1:29" x14ac:dyDescent="0.2">
      <c r="A948" t="str">
        <f t="shared" si="162"/>
        <v/>
      </c>
      <c r="E948" s="4"/>
      <c r="F948" s="46"/>
      <c r="G948" s="4"/>
      <c r="H948" s="48"/>
      <c r="J948" s="26" t="str">
        <f t="shared" si="163"/>
        <v/>
      </c>
      <c r="N948" t="str">
        <f t="shared" si="164"/>
        <v/>
      </c>
      <c r="Q948" t="str">
        <f t="shared" si="165"/>
        <v/>
      </c>
      <c r="S948" t="str">
        <f>IF(A948=1,MAX($S$2:$S947)+1,IF(OR($I948&lt;&gt;"",A948="x"),$S947,""))</f>
        <v/>
      </c>
      <c r="T948" t="str">
        <f>IF(D948=1,MAX($T$2:$T947)+1,IF(S948=S947,$T947,IF(D948="x",T947,IF(D947="x","",""))))</f>
        <v/>
      </c>
      <c r="U948" t="str">
        <f>IF(B948=1,MAX($U$2:$U947)+1,IF(AND($T948&lt;&gt;"",$T948=$T947),$U947,IF(B948="x",U947,"")))</f>
        <v/>
      </c>
      <c r="V948" t="str">
        <f>IF(C948=1,MAX($V$2:$V947)+1,IF(AND($T948&lt;&gt;"",$T948=$T947),$U947,IF(C948="x",V947,"")))</f>
        <v/>
      </c>
      <c r="X948" cm="1">
        <f t="array" ref="X948">IF($I948&lt;&gt;"",$I948,INDEX($I$1:$I948,ROW()-COUNTIFS($T$1:$T948,"="&amp;$T948,$S$1:$S948,"&lt;"&amp;$S948)))</f>
        <v>0</v>
      </c>
      <c r="Z948" s="6">
        <f t="shared" si="158"/>
        <v>1</v>
      </c>
      <c r="AA948" t="e">
        <f t="shared" si="159"/>
        <v>#VALUE!</v>
      </c>
      <c r="AB948" t="str">
        <f t="shared" si="160"/>
        <v/>
      </c>
      <c r="AC948" t="e">
        <f t="shared" si="161"/>
        <v>#VALUE!</v>
      </c>
    </row>
    <row r="949" spans="1:29" x14ac:dyDescent="0.2">
      <c r="A949" t="str">
        <f t="shared" si="162"/>
        <v/>
      </c>
      <c r="E949" s="4"/>
      <c r="F949" s="46"/>
      <c r="G949" s="4"/>
      <c r="H949" s="48"/>
      <c r="J949" s="26" t="str">
        <f t="shared" si="163"/>
        <v/>
      </c>
      <c r="N949" t="str">
        <f t="shared" si="164"/>
        <v/>
      </c>
      <c r="Q949" t="str">
        <f t="shared" si="165"/>
        <v/>
      </c>
      <c r="S949" t="str">
        <f>IF(A949=1,MAX($S$2:$S948)+1,IF(OR($I949&lt;&gt;"",A949="x"),$S948,""))</f>
        <v/>
      </c>
      <c r="T949" t="str">
        <f>IF(D949=1,MAX($T$2:$T948)+1,IF(S949=S948,$T948,IF(D949="x",T948,IF(D948="x","",""))))</f>
        <v/>
      </c>
      <c r="U949" t="str">
        <f>IF(B949=1,MAX($U$2:$U948)+1,IF(AND($T949&lt;&gt;"",$T949=$T948),$U948,IF(B949="x",U948,"")))</f>
        <v/>
      </c>
      <c r="V949" t="str">
        <f>IF(C949=1,MAX($V$2:$V948)+1,IF(AND($T949&lt;&gt;"",$T949=$T948),$U948,IF(C949="x",V948,"")))</f>
        <v/>
      </c>
      <c r="X949" cm="1">
        <f t="array" ref="X949">IF($I949&lt;&gt;"",$I949,INDEX($I$1:$I949,ROW()-COUNTIFS($T$1:$T949,"="&amp;$T949,$S$1:$S949,"&lt;"&amp;$S949)))</f>
        <v>0</v>
      </c>
      <c r="Z949" s="6">
        <f t="shared" si="158"/>
        <v>1</v>
      </c>
      <c r="AA949" t="e">
        <f t="shared" si="159"/>
        <v>#VALUE!</v>
      </c>
      <c r="AB949" t="str">
        <f t="shared" si="160"/>
        <v/>
      </c>
      <c r="AC949" t="e">
        <f t="shared" si="161"/>
        <v>#VALUE!</v>
      </c>
    </row>
    <row r="950" spans="1:29" x14ac:dyDescent="0.2">
      <c r="A950" t="str">
        <f t="shared" si="162"/>
        <v/>
      </c>
      <c r="E950" s="4"/>
      <c r="F950" s="46"/>
      <c r="G950" s="4"/>
      <c r="H950" s="48"/>
      <c r="J950" s="26" t="str">
        <f t="shared" si="163"/>
        <v/>
      </c>
      <c r="N950" t="str">
        <f t="shared" si="164"/>
        <v/>
      </c>
      <c r="Q950" t="str">
        <f t="shared" si="165"/>
        <v/>
      </c>
      <c r="S950" t="str">
        <f>IF(A950=1,MAX($S$2:$S949)+1,IF(OR($I950&lt;&gt;"",A950="x"),$S949,""))</f>
        <v/>
      </c>
      <c r="T950" t="str">
        <f>IF(D950=1,MAX($T$2:$T949)+1,IF(S950=S949,$T949,IF(D950="x",T949,IF(D949="x","",""))))</f>
        <v/>
      </c>
      <c r="U950" t="str">
        <f>IF(B950=1,MAX($U$2:$U949)+1,IF(AND($T950&lt;&gt;"",$T950=$T949),$U949,IF(B950="x",U949,"")))</f>
        <v/>
      </c>
      <c r="V950" t="str">
        <f>IF(C950=1,MAX($V$2:$V949)+1,IF(AND($T950&lt;&gt;"",$T950=$T949),$U949,IF(C950="x",V949,"")))</f>
        <v/>
      </c>
      <c r="X950" cm="1">
        <f t="array" ref="X950">IF($I950&lt;&gt;"",$I950,INDEX($I$1:$I950,ROW()-COUNTIFS($T$1:$T950,"="&amp;$T950,$S$1:$S950,"&lt;"&amp;$S950)))</f>
        <v>0</v>
      </c>
      <c r="Z950" s="6">
        <f t="shared" si="158"/>
        <v>1</v>
      </c>
      <c r="AA950" t="e">
        <f t="shared" si="159"/>
        <v>#VALUE!</v>
      </c>
      <c r="AB950" t="str">
        <f t="shared" si="160"/>
        <v/>
      </c>
      <c r="AC950" t="e">
        <f t="shared" si="161"/>
        <v>#VALUE!</v>
      </c>
    </row>
    <row r="951" spans="1:29" x14ac:dyDescent="0.2">
      <c r="A951" t="str">
        <f t="shared" si="162"/>
        <v/>
      </c>
      <c r="E951" s="4"/>
      <c r="F951" s="46"/>
      <c r="G951" s="4"/>
      <c r="H951" s="48"/>
      <c r="J951" s="26" t="str">
        <f t="shared" si="163"/>
        <v/>
      </c>
      <c r="N951" t="str">
        <f t="shared" si="164"/>
        <v/>
      </c>
      <c r="Q951" t="str">
        <f t="shared" si="165"/>
        <v/>
      </c>
      <c r="S951" t="str">
        <f>IF(A951=1,MAX($S$2:$S950)+1,IF(OR($I951&lt;&gt;"",A951="x"),$S950,""))</f>
        <v/>
      </c>
      <c r="T951" t="str">
        <f>IF(D951=1,MAX($T$2:$T950)+1,IF(S951=S950,$T950,IF(D951="x",T950,IF(D950="x","",""))))</f>
        <v/>
      </c>
      <c r="U951" t="str">
        <f>IF(B951=1,MAX($U$2:$U950)+1,IF(AND($T951&lt;&gt;"",$T951=$T950),$U950,IF(B951="x",U950,"")))</f>
        <v/>
      </c>
      <c r="V951" t="str">
        <f>IF(C951=1,MAX($V$2:$V950)+1,IF(AND($T951&lt;&gt;"",$T951=$T950),$U950,IF(C951="x",V950,"")))</f>
        <v/>
      </c>
      <c r="X951" cm="1">
        <f t="array" ref="X951">IF($I951&lt;&gt;"",$I951,INDEX($I$1:$I951,ROW()-COUNTIFS($T$1:$T951,"="&amp;$T951,$S$1:$S951,"&lt;"&amp;$S951)))</f>
        <v>0</v>
      </c>
      <c r="Z951" s="6">
        <f t="shared" si="158"/>
        <v>1</v>
      </c>
      <c r="AA951" t="e">
        <f t="shared" si="159"/>
        <v>#VALUE!</v>
      </c>
      <c r="AB951" t="str">
        <f t="shared" si="160"/>
        <v/>
      </c>
      <c r="AC951" t="e">
        <f t="shared" si="161"/>
        <v>#VALUE!</v>
      </c>
    </row>
    <row r="952" spans="1:29" x14ac:dyDescent="0.2">
      <c r="A952" t="str">
        <f t="shared" si="162"/>
        <v/>
      </c>
      <c r="E952" s="4"/>
      <c r="F952" s="46"/>
      <c r="G952" s="4"/>
      <c r="H952" s="48"/>
      <c r="J952" s="26" t="str">
        <f t="shared" si="163"/>
        <v/>
      </c>
      <c r="N952" t="str">
        <f t="shared" si="164"/>
        <v/>
      </c>
      <c r="Q952" t="str">
        <f t="shared" si="165"/>
        <v/>
      </c>
      <c r="S952" t="str">
        <f>IF(A952=1,MAX($S$2:$S951)+1,IF(OR($I952&lt;&gt;"",A952="x"),$S951,""))</f>
        <v/>
      </c>
      <c r="T952" t="str">
        <f>IF(D952=1,MAX($T$2:$T951)+1,IF(S952=S951,$T951,IF(D952="x",T951,IF(D951="x","",""))))</f>
        <v/>
      </c>
      <c r="U952" t="str">
        <f>IF(B952=1,MAX($U$2:$U951)+1,IF(AND($T952&lt;&gt;"",$T952=$T951),$U951,IF(B952="x",U951,"")))</f>
        <v/>
      </c>
      <c r="V952" t="str">
        <f>IF(C952=1,MAX($V$2:$V951)+1,IF(AND($T952&lt;&gt;"",$T952=$T951),$U951,IF(C952="x",V951,"")))</f>
        <v/>
      </c>
      <c r="X952" cm="1">
        <f t="array" ref="X952">IF($I952&lt;&gt;"",$I952,INDEX($I$1:$I952,ROW()-COUNTIFS($T$1:$T952,"="&amp;$T952,$S$1:$S952,"&lt;"&amp;$S952)))</f>
        <v>0</v>
      </c>
      <c r="Z952" s="6">
        <f t="shared" si="158"/>
        <v>1</v>
      </c>
      <c r="AA952" t="e">
        <f t="shared" si="159"/>
        <v>#VALUE!</v>
      </c>
      <c r="AB952" t="str">
        <f t="shared" si="160"/>
        <v/>
      </c>
      <c r="AC952" t="e">
        <f t="shared" si="161"/>
        <v>#VALUE!</v>
      </c>
    </row>
    <row r="953" spans="1:29" x14ac:dyDescent="0.2">
      <c r="A953" t="str">
        <f t="shared" si="162"/>
        <v/>
      </c>
      <c r="E953" s="4"/>
      <c r="F953" s="46"/>
      <c r="G953" s="4"/>
      <c r="H953" s="48"/>
      <c r="J953" s="26" t="str">
        <f t="shared" si="163"/>
        <v/>
      </c>
      <c r="N953" t="str">
        <f t="shared" si="164"/>
        <v/>
      </c>
      <c r="Q953" t="str">
        <f t="shared" si="165"/>
        <v/>
      </c>
      <c r="S953" t="str">
        <f>IF(A953=1,MAX($S$2:$S952)+1,IF(OR($I953&lt;&gt;"",A953="x"),$S952,""))</f>
        <v/>
      </c>
      <c r="T953" t="str">
        <f>IF(D953=1,MAX($T$2:$T952)+1,IF(S953=S952,$T952,IF(D953="x",T952,IF(D952="x","",""))))</f>
        <v/>
      </c>
      <c r="U953" t="str">
        <f>IF(B953=1,MAX($U$2:$U952)+1,IF(AND($T953&lt;&gt;"",$T953=$T952),$U952,IF(B953="x",U952,"")))</f>
        <v/>
      </c>
      <c r="V953" t="str">
        <f>IF(C953=1,MAX($V$2:$V952)+1,IF(AND($T953&lt;&gt;"",$T953=$T952),$U952,IF(C953="x",V952,"")))</f>
        <v/>
      </c>
      <c r="X953" cm="1">
        <f t="array" ref="X953">IF($I953&lt;&gt;"",$I953,INDEX($I$1:$I953,ROW()-COUNTIFS($T$1:$T953,"="&amp;$T953,$S$1:$S953,"&lt;"&amp;$S953)))</f>
        <v>0</v>
      </c>
      <c r="Z953" s="6">
        <f t="shared" si="158"/>
        <v>1</v>
      </c>
      <c r="AA953" t="e">
        <f t="shared" si="159"/>
        <v>#VALUE!</v>
      </c>
      <c r="AB953" t="str">
        <f t="shared" si="160"/>
        <v/>
      </c>
      <c r="AC953" t="e">
        <f t="shared" si="161"/>
        <v>#VALUE!</v>
      </c>
    </row>
    <row r="954" spans="1:29" x14ac:dyDescent="0.2">
      <c r="A954" t="str">
        <f t="shared" si="162"/>
        <v/>
      </c>
      <c r="E954" s="4"/>
      <c r="F954" s="46"/>
      <c r="G954" s="4"/>
      <c r="H954" s="48"/>
      <c r="J954" s="26" t="str">
        <f t="shared" si="163"/>
        <v/>
      </c>
      <c r="N954" t="str">
        <f t="shared" si="164"/>
        <v/>
      </c>
      <c r="Q954" t="str">
        <f t="shared" si="165"/>
        <v/>
      </c>
      <c r="S954" t="str">
        <f>IF(A954=1,MAX($S$2:$S953)+1,IF(OR($I954&lt;&gt;"",A954="x"),$S953,""))</f>
        <v/>
      </c>
      <c r="T954" t="str">
        <f>IF(D954=1,MAX($T$2:$T953)+1,IF(S954=S953,$T953,IF(D954="x",T953,IF(D953="x","",""))))</f>
        <v/>
      </c>
      <c r="U954" t="str">
        <f>IF(B954=1,MAX($U$2:$U953)+1,IF(AND($T954&lt;&gt;"",$T954=$T953),$U953,IF(B954="x",U953,"")))</f>
        <v/>
      </c>
      <c r="V954" t="str">
        <f>IF(C954=1,MAX($V$2:$V953)+1,IF(AND($T954&lt;&gt;"",$T954=$T953),$U953,IF(C954="x",V953,"")))</f>
        <v/>
      </c>
      <c r="X954" cm="1">
        <f t="array" ref="X954">IF($I954&lt;&gt;"",$I954,INDEX($I$1:$I954,ROW()-COUNTIFS($T$1:$T954,"="&amp;$T954,$S$1:$S954,"&lt;"&amp;$S954)))</f>
        <v>0</v>
      </c>
      <c r="Z954" s="6">
        <f t="shared" si="158"/>
        <v>1</v>
      </c>
      <c r="AA954" t="e">
        <f t="shared" si="159"/>
        <v>#VALUE!</v>
      </c>
      <c r="AB954" t="str">
        <f t="shared" si="160"/>
        <v/>
      </c>
      <c r="AC954" t="e">
        <f t="shared" si="161"/>
        <v>#VALUE!</v>
      </c>
    </row>
    <row r="955" spans="1:29" x14ac:dyDescent="0.2">
      <c r="A955" t="str">
        <f t="shared" si="162"/>
        <v/>
      </c>
      <c r="E955" s="4"/>
      <c r="F955" s="46"/>
      <c r="G955" s="4"/>
      <c r="H955" s="48"/>
      <c r="J955" s="26" t="str">
        <f t="shared" si="163"/>
        <v/>
      </c>
      <c r="N955" t="str">
        <f t="shared" si="164"/>
        <v/>
      </c>
      <c r="Q955" t="str">
        <f t="shared" si="165"/>
        <v/>
      </c>
      <c r="S955" t="str">
        <f>IF(A955=1,MAX($S$2:$S954)+1,IF(OR($I955&lt;&gt;"",A955="x"),$S954,""))</f>
        <v/>
      </c>
      <c r="T955" t="str">
        <f>IF(D955=1,MAX($T$2:$T954)+1,IF(S955=S954,$T954,IF(D955="x",T954,IF(D954="x","",""))))</f>
        <v/>
      </c>
      <c r="U955" t="str">
        <f>IF(B955=1,MAX($U$2:$U954)+1,IF(AND($T955&lt;&gt;"",$T955=$T954),$U954,IF(B955="x",U954,"")))</f>
        <v/>
      </c>
      <c r="V955" t="str">
        <f>IF(C955=1,MAX($V$2:$V954)+1,IF(AND($T955&lt;&gt;"",$T955=$T954),$U954,IF(C955="x",V954,"")))</f>
        <v/>
      </c>
      <c r="X955" cm="1">
        <f t="array" ref="X955">IF($I955&lt;&gt;"",$I955,INDEX($I$1:$I955,ROW()-COUNTIFS($T$1:$T955,"="&amp;$T955,$S$1:$S955,"&lt;"&amp;$S955)))</f>
        <v>0</v>
      </c>
      <c r="Z955" s="6">
        <f t="shared" si="158"/>
        <v>1</v>
      </c>
      <c r="AA955" t="e">
        <f t="shared" si="159"/>
        <v>#VALUE!</v>
      </c>
      <c r="AB955" t="str">
        <f t="shared" si="160"/>
        <v/>
      </c>
      <c r="AC955" t="e">
        <f t="shared" si="161"/>
        <v>#VALUE!</v>
      </c>
    </row>
    <row r="956" spans="1:29" x14ac:dyDescent="0.2">
      <c r="A956" t="str">
        <f t="shared" si="162"/>
        <v/>
      </c>
      <c r="E956" s="4"/>
      <c r="F956" s="46"/>
      <c r="G956" s="4"/>
      <c r="H956" s="48"/>
      <c r="J956" s="26" t="str">
        <f t="shared" si="163"/>
        <v/>
      </c>
      <c r="N956" t="str">
        <f t="shared" si="164"/>
        <v/>
      </c>
      <c r="Q956" t="str">
        <f t="shared" si="165"/>
        <v/>
      </c>
      <c r="S956" t="str">
        <f>IF(A956=1,MAX($S$2:$S955)+1,IF(OR($I956&lt;&gt;"",A956="x"),$S955,""))</f>
        <v/>
      </c>
      <c r="T956" t="str">
        <f>IF(D956=1,MAX($T$2:$T955)+1,IF(S956=S955,$T955,IF(D956="x",T955,IF(D955="x","",""))))</f>
        <v/>
      </c>
      <c r="U956" t="str">
        <f>IF(B956=1,MAX($U$2:$U955)+1,IF(AND($T956&lt;&gt;"",$T956=$T955),$U955,IF(B956="x",U955,"")))</f>
        <v/>
      </c>
      <c r="V956" t="str">
        <f>IF(C956=1,MAX($V$2:$V955)+1,IF(AND($T956&lt;&gt;"",$T956=$T955),$U955,IF(C956="x",V955,"")))</f>
        <v/>
      </c>
      <c r="X956" cm="1">
        <f t="array" ref="X956">IF($I956&lt;&gt;"",$I956,INDEX($I$1:$I956,ROW()-COUNTIFS($T$1:$T956,"="&amp;$T956,$S$1:$S956,"&lt;"&amp;$S956)))</f>
        <v>0</v>
      </c>
      <c r="Z956" s="6">
        <f t="shared" si="158"/>
        <v>1</v>
      </c>
      <c r="AA956" t="e">
        <f t="shared" si="159"/>
        <v>#VALUE!</v>
      </c>
      <c r="AB956" t="str">
        <f t="shared" si="160"/>
        <v/>
      </c>
      <c r="AC956" t="e">
        <f t="shared" si="161"/>
        <v>#VALUE!</v>
      </c>
    </row>
    <row r="957" spans="1:29" x14ac:dyDescent="0.2">
      <c r="A957" t="str">
        <f t="shared" si="162"/>
        <v/>
      </c>
      <c r="E957" s="4"/>
      <c r="F957" s="46"/>
      <c r="G957" s="4"/>
      <c r="H957" s="48"/>
      <c r="J957" s="26" t="str">
        <f t="shared" si="163"/>
        <v/>
      </c>
      <c r="N957" t="str">
        <f t="shared" si="164"/>
        <v/>
      </c>
      <c r="Q957" t="str">
        <f t="shared" si="165"/>
        <v/>
      </c>
      <c r="S957" t="str">
        <f>IF(A957=1,MAX($S$2:$S956)+1,IF(OR($I957&lt;&gt;"",A957="x"),$S956,""))</f>
        <v/>
      </c>
      <c r="T957" t="str">
        <f>IF(D957=1,MAX($T$2:$T956)+1,IF(S957=S956,$T956,IF(D957="x",T956,IF(D956="x","",""))))</f>
        <v/>
      </c>
      <c r="U957" t="str">
        <f>IF(B957=1,MAX($U$2:$U956)+1,IF(AND($T957&lt;&gt;"",$T957=$T956),$U956,IF(B957="x",U956,"")))</f>
        <v/>
      </c>
      <c r="V957" t="str">
        <f>IF(C957=1,MAX($V$2:$V956)+1,IF(AND($T957&lt;&gt;"",$T957=$T956),$U956,IF(C957="x",V956,"")))</f>
        <v/>
      </c>
      <c r="X957" cm="1">
        <f t="array" ref="X957">IF($I957&lt;&gt;"",$I957,INDEX($I$1:$I957,ROW()-COUNTIFS($T$1:$T957,"="&amp;$T957,$S$1:$S957,"&lt;"&amp;$S957)))</f>
        <v>0</v>
      </c>
      <c r="Z957" s="6">
        <f t="shared" si="158"/>
        <v>1</v>
      </c>
      <c r="AA957" t="e">
        <f t="shared" si="159"/>
        <v>#VALUE!</v>
      </c>
      <c r="AB957" t="str">
        <f t="shared" si="160"/>
        <v/>
      </c>
      <c r="AC957" t="e">
        <f t="shared" si="161"/>
        <v>#VALUE!</v>
      </c>
    </row>
    <row r="958" spans="1:29" x14ac:dyDescent="0.2">
      <c r="A958" t="str">
        <f t="shared" si="162"/>
        <v/>
      </c>
      <c r="E958" s="4"/>
      <c r="F958" s="46"/>
      <c r="G958" s="4"/>
      <c r="H958" s="48"/>
      <c r="J958" s="26" t="str">
        <f t="shared" si="163"/>
        <v/>
      </c>
      <c r="N958" t="str">
        <f t="shared" si="164"/>
        <v/>
      </c>
      <c r="Q958" t="str">
        <f t="shared" si="165"/>
        <v/>
      </c>
      <c r="S958" t="str">
        <f>IF(A958=1,MAX($S$2:$S957)+1,IF(OR($I958&lt;&gt;"",A958="x"),$S957,""))</f>
        <v/>
      </c>
      <c r="T958" t="str">
        <f>IF(D958=1,MAX($T$2:$T957)+1,IF(S958=S957,$T957,IF(D958="x",T957,IF(D957="x","",""))))</f>
        <v/>
      </c>
      <c r="U958" t="str">
        <f>IF(B958=1,MAX($U$2:$U957)+1,IF(AND($T958&lt;&gt;"",$T958=$T957),$U957,IF(B958="x",U957,"")))</f>
        <v/>
      </c>
      <c r="V958" t="str">
        <f>IF(C958=1,MAX($V$2:$V957)+1,IF(AND($T958&lt;&gt;"",$T958=$T957),$U957,IF(C958="x",V957,"")))</f>
        <v/>
      </c>
      <c r="X958" cm="1">
        <f t="array" ref="X958">IF($I958&lt;&gt;"",$I958,INDEX($I$1:$I958,ROW()-COUNTIFS($T$1:$T958,"="&amp;$T958,$S$1:$S958,"&lt;"&amp;$S958)))</f>
        <v>0</v>
      </c>
      <c r="Z958" s="6">
        <f t="shared" si="158"/>
        <v>1</v>
      </c>
      <c r="AA958" t="e">
        <f t="shared" si="159"/>
        <v>#VALUE!</v>
      </c>
      <c r="AB958" t="str">
        <f t="shared" si="160"/>
        <v/>
      </c>
      <c r="AC958" t="e">
        <f t="shared" si="161"/>
        <v>#VALUE!</v>
      </c>
    </row>
    <row r="959" spans="1:29" x14ac:dyDescent="0.2">
      <c r="A959" t="str">
        <f t="shared" si="162"/>
        <v/>
      </c>
      <c r="E959" s="4"/>
      <c r="F959" s="46"/>
      <c r="G959" s="4"/>
      <c r="H959" s="48"/>
      <c r="J959" s="26" t="str">
        <f t="shared" si="163"/>
        <v/>
      </c>
      <c r="N959" t="str">
        <f t="shared" si="164"/>
        <v/>
      </c>
      <c r="Q959" t="str">
        <f t="shared" si="165"/>
        <v/>
      </c>
      <c r="S959" t="str">
        <f>IF(A959=1,MAX($S$2:$S958)+1,IF(OR($I959&lt;&gt;"",A959="x"),$S958,""))</f>
        <v/>
      </c>
      <c r="T959" t="str">
        <f>IF(D959=1,MAX($T$2:$T958)+1,IF(S959=S958,$T958,IF(D959="x",T958,IF(D958="x","",""))))</f>
        <v/>
      </c>
      <c r="U959" t="str">
        <f>IF(B959=1,MAX($U$2:$U958)+1,IF(AND($T959&lt;&gt;"",$T959=$T958),$U958,IF(B959="x",U958,"")))</f>
        <v/>
      </c>
      <c r="V959" t="str">
        <f>IF(C959=1,MAX($V$2:$V958)+1,IF(AND($T959&lt;&gt;"",$T959=$T958),$U958,IF(C959="x",V958,"")))</f>
        <v/>
      </c>
      <c r="X959" cm="1">
        <f t="array" ref="X959">IF($I959&lt;&gt;"",$I959,INDEX($I$1:$I959,ROW()-COUNTIFS($T$1:$T959,"="&amp;$T959,$S$1:$S959,"&lt;"&amp;$S959)))</f>
        <v>0</v>
      </c>
      <c r="Z959" s="6">
        <f t="shared" si="158"/>
        <v>1</v>
      </c>
      <c r="AA959" t="e">
        <f t="shared" si="159"/>
        <v>#VALUE!</v>
      </c>
      <c r="AB959" t="str">
        <f t="shared" si="160"/>
        <v/>
      </c>
      <c r="AC959" t="e">
        <f t="shared" si="161"/>
        <v>#VALUE!</v>
      </c>
    </row>
    <row r="960" spans="1:29" x14ac:dyDescent="0.2">
      <c r="A960" t="str">
        <f t="shared" si="162"/>
        <v/>
      </c>
      <c r="E960" s="4"/>
      <c r="F960" s="46"/>
      <c r="G960" s="4"/>
      <c r="H960" s="48"/>
      <c r="J960" s="26" t="str">
        <f t="shared" si="163"/>
        <v/>
      </c>
      <c r="N960" t="str">
        <f t="shared" si="164"/>
        <v/>
      </c>
      <c r="Q960" t="str">
        <f t="shared" si="165"/>
        <v/>
      </c>
      <c r="S960" t="str">
        <f>IF(A960=1,MAX($S$2:$S959)+1,IF(OR($I960&lt;&gt;"",A960="x"),$S959,""))</f>
        <v/>
      </c>
      <c r="T960" t="str">
        <f>IF(D960=1,MAX($T$2:$T959)+1,IF(S960=S959,$T959,IF(D960="x",T959,IF(D959="x","",""))))</f>
        <v/>
      </c>
      <c r="U960" t="str">
        <f>IF(B960=1,MAX($U$2:$U959)+1,IF(AND($T960&lt;&gt;"",$T960=$T959),$U959,IF(B960="x",U959,"")))</f>
        <v/>
      </c>
      <c r="V960" t="str">
        <f>IF(C960=1,MAX($V$2:$V959)+1,IF(AND($T960&lt;&gt;"",$T960=$T959),$U959,IF(C960="x",V959,"")))</f>
        <v/>
      </c>
      <c r="X960" cm="1">
        <f t="array" ref="X960">IF($I960&lt;&gt;"",$I960,INDEX($I$1:$I960,ROW()-COUNTIFS($T$1:$T960,"="&amp;$T960,$S$1:$S960,"&lt;"&amp;$S960)))</f>
        <v>0</v>
      </c>
      <c r="Z960" s="6">
        <f t="shared" si="158"/>
        <v>1</v>
      </c>
      <c r="AA960" t="e">
        <f t="shared" si="159"/>
        <v>#VALUE!</v>
      </c>
      <c r="AB960" t="str">
        <f t="shared" si="160"/>
        <v/>
      </c>
      <c r="AC960" t="e">
        <f t="shared" si="161"/>
        <v>#VALUE!</v>
      </c>
    </row>
    <row r="961" spans="1:29" x14ac:dyDescent="0.2">
      <c r="A961" t="str">
        <f t="shared" si="162"/>
        <v/>
      </c>
      <c r="E961" s="4"/>
      <c r="F961" s="46"/>
      <c r="G961" s="4"/>
      <c r="H961" s="48"/>
      <c r="J961" s="26" t="str">
        <f t="shared" si="163"/>
        <v/>
      </c>
      <c r="N961" t="str">
        <f t="shared" si="164"/>
        <v/>
      </c>
      <c r="Q961" t="str">
        <f t="shared" si="165"/>
        <v/>
      </c>
      <c r="S961" t="str">
        <f>IF(A961=1,MAX($S$2:$S960)+1,IF(OR($I961&lt;&gt;"",A961="x"),$S960,""))</f>
        <v/>
      </c>
      <c r="T961" t="str">
        <f>IF(D961=1,MAX($T$2:$T960)+1,IF(S961=S960,$T960,IF(D961="x",T960,IF(D960="x","",""))))</f>
        <v/>
      </c>
      <c r="U961" t="str">
        <f>IF(B961=1,MAX($U$2:$U960)+1,IF(AND($T961&lt;&gt;"",$T961=$T960),$U960,IF(B961="x",U960,"")))</f>
        <v/>
      </c>
      <c r="V961" t="str">
        <f>IF(C961=1,MAX($V$2:$V960)+1,IF(AND($T961&lt;&gt;"",$T961=$T960),$U960,IF(C961="x",V960,"")))</f>
        <v/>
      </c>
      <c r="X961" cm="1">
        <f t="array" ref="X961">IF($I961&lt;&gt;"",$I961,INDEX($I$1:$I961,ROW()-COUNTIFS($T$1:$T961,"="&amp;$T961,$S$1:$S961,"&lt;"&amp;$S961)))</f>
        <v>0</v>
      </c>
      <c r="Z961" s="6">
        <f t="shared" si="158"/>
        <v>1</v>
      </c>
      <c r="AA961" t="e">
        <f t="shared" si="159"/>
        <v>#VALUE!</v>
      </c>
      <c r="AB961" t="str">
        <f t="shared" si="160"/>
        <v/>
      </c>
      <c r="AC961" t="e">
        <f t="shared" si="161"/>
        <v>#VALUE!</v>
      </c>
    </row>
    <row r="962" spans="1:29" x14ac:dyDescent="0.2">
      <c r="A962" t="str">
        <f t="shared" si="162"/>
        <v/>
      </c>
      <c r="E962" s="4"/>
      <c r="F962" s="46"/>
      <c r="G962" s="4"/>
      <c r="H962" s="48"/>
      <c r="J962" s="26" t="str">
        <f t="shared" si="163"/>
        <v/>
      </c>
      <c r="N962" t="str">
        <f t="shared" si="164"/>
        <v/>
      </c>
      <c r="Q962" t="str">
        <f t="shared" si="165"/>
        <v/>
      </c>
      <c r="S962" t="str">
        <f>IF(A962=1,MAX($S$2:$S961)+1,IF(OR($I962&lt;&gt;"",A962="x"),$S961,""))</f>
        <v/>
      </c>
      <c r="T962" t="str">
        <f>IF(D962=1,MAX($T$2:$T961)+1,IF(S962=S961,$T961,IF(D962="x",T961,IF(D961="x","",""))))</f>
        <v/>
      </c>
      <c r="U962" t="str">
        <f>IF(B962=1,MAX($U$2:$U961)+1,IF(AND($T962&lt;&gt;"",$T962=$T961),$U961,IF(B962="x",U961,"")))</f>
        <v/>
      </c>
      <c r="V962" t="str">
        <f>IF(C962=1,MAX($V$2:$V961)+1,IF(AND($T962&lt;&gt;"",$T962=$T961),$U961,IF(C962="x",V961,"")))</f>
        <v/>
      </c>
      <c r="X962" cm="1">
        <f t="array" ref="X962">IF($I962&lt;&gt;"",$I962,INDEX($I$1:$I962,ROW()-COUNTIFS($T$1:$T962,"="&amp;$T962,$S$1:$S962,"&lt;"&amp;$S962)))</f>
        <v>0</v>
      </c>
      <c r="Z962" s="6">
        <f t="shared" si="158"/>
        <v>1</v>
      </c>
      <c r="AA962" t="e">
        <f t="shared" si="159"/>
        <v>#VALUE!</v>
      </c>
      <c r="AB962" t="str">
        <f t="shared" si="160"/>
        <v/>
      </c>
      <c r="AC962" t="e">
        <f t="shared" si="161"/>
        <v>#VALUE!</v>
      </c>
    </row>
    <row r="963" spans="1:29" x14ac:dyDescent="0.2">
      <c r="A963" t="str">
        <f t="shared" si="162"/>
        <v/>
      </c>
      <c r="E963" s="4"/>
      <c r="F963" s="46"/>
      <c r="G963" s="4"/>
      <c r="H963" s="48"/>
      <c r="J963" s="26" t="str">
        <f t="shared" si="163"/>
        <v/>
      </c>
      <c r="N963" t="str">
        <f t="shared" si="164"/>
        <v/>
      </c>
      <c r="Q963" t="str">
        <f t="shared" si="165"/>
        <v/>
      </c>
      <c r="S963" t="str">
        <f>IF(A963=1,MAX($S$2:$S962)+1,IF(OR($I963&lt;&gt;"",A963="x"),$S962,""))</f>
        <v/>
      </c>
      <c r="T963" t="str">
        <f>IF(D963=1,MAX($T$2:$T962)+1,IF(S963=S962,$T962,IF(D963="x",T962,IF(D962="x","",""))))</f>
        <v/>
      </c>
      <c r="U963" t="str">
        <f>IF(B963=1,MAX($U$2:$U962)+1,IF(AND($T963&lt;&gt;"",$T963=$T962),$U962,IF(B963="x",U962,"")))</f>
        <v/>
      </c>
      <c r="V963" t="str">
        <f>IF(C963=1,MAX($V$2:$V962)+1,IF(AND($T963&lt;&gt;"",$T963=$T962),$U962,IF(C963="x",V962,"")))</f>
        <v/>
      </c>
      <c r="X963" cm="1">
        <f t="array" ref="X963">IF($I963&lt;&gt;"",$I963,INDEX($I$1:$I963,ROW()-COUNTIFS($T$1:$T963,"="&amp;$T963,$S$1:$S963,"&lt;"&amp;$S963)))</f>
        <v>0</v>
      </c>
      <c r="Z963" s="6">
        <f t="shared" si="158"/>
        <v>1</v>
      </c>
      <c r="AA963" t="e">
        <f t="shared" si="159"/>
        <v>#VALUE!</v>
      </c>
      <c r="AB963" t="str">
        <f t="shared" si="160"/>
        <v/>
      </c>
      <c r="AC963" t="e">
        <f t="shared" si="161"/>
        <v>#VALUE!</v>
      </c>
    </row>
    <row r="964" spans="1:29" x14ac:dyDescent="0.2">
      <c r="A964" t="str">
        <f t="shared" si="162"/>
        <v/>
      </c>
      <c r="E964" s="4"/>
      <c r="F964" s="46"/>
      <c r="G964" s="4"/>
      <c r="H964" s="48"/>
      <c r="J964" s="26" t="str">
        <f t="shared" si="163"/>
        <v/>
      </c>
      <c r="N964" t="str">
        <f t="shared" si="164"/>
        <v/>
      </c>
      <c r="Q964" t="str">
        <f t="shared" si="165"/>
        <v/>
      </c>
      <c r="S964" t="str">
        <f>IF(A964=1,MAX($S$2:$S963)+1,IF(OR($I964&lt;&gt;"",A964="x"),$S963,""))</f>
        <v/>
      </c>
      <c r="T964" t="str">
        <f>IF(D964=1,MAX($T$2:$T963)+1,IF(S964=S963,$T963,IF(D964="x",T963,IF(D963="x","",""))))</f>
        <v/>
      </c>
      <c r="U964" t="str">
        <f>IF(B964=1,MAX($U$2:$U963)+1,IF(AND($T964&lt;&gt;"",$T964=$T963),$U963,IF(B964="x",U963,"")))</f>
        <v/>
      </c>
      <c r="V964" t="str">
        <f>IF(C964=1,MAX($V$2:$V963)+1,IF(AND($T964&lt;&gt;"",$T964=$T963),$U963,IF(C964="x",V963,"")))</f>
        <v/>
      </c>
      <c r="X964" cm="1">
        <f t="array" ref="X964">IF($I964&lt;&gt;"",$I964,INDEX($I$1:$I964,ROW()-COUNTIFS($T$1:$T964,"="&amp;$T964,$S$1:$S964,"&lt;"&amp;$S964)))</f>
        <v>0</v>
      </c>
      <c r="Z964" s="6">
        <f t="shared" si="158"/>
        <v>1</v>
      </c>
      <c r="AA964" t="e">
        <f t="shared" si="159"/>
        <v>#VALUE!</v>
      </c>
      <c r="AB964" t="str">
        <f t="shared" si="160"/>
        <v/>
      </c>
      <c r="AC964" t="e">
        <f t="shared" si="161"/>
        <v>#VALUE!</v>
      </c>
    </row>
    <row r="965" spans="1:29" x14ac:dyDescent="0.2">
      <c r="A965" t="str">
        <f t="shared" si="162"/>
        <v/>
      </c>
      <c r="E965" s="4"/>
      <c r="F965" s="46"/>
      <c r="G965" s="4"/>
      <c r="H965" s="48"/>
      <c r="J965" s="26" t="str">
        <f t="shared" si="163"/>
        <v/>
      </c>
      <c r="N965" t="str">
        <f t="shared" si="164"/>
        <v/>
      </c>
      <c r="Q965" t="str">
        <f t="shared" si="165"/>
        <v/>
      </c>
      <c r="S965" t="str">
        <f>IF(A965=1,MAX($S$2:$S964)+1,IF(OR($I965&lt;&gt;"",A965="x"),$S964,""))</f>
        <v/>
      </c>
      <c r="T965" t="str">
        <f>IF(D965=1,MAX($T$2:$T964)+1,IF(S965=S964,$T964,IF(D965="x",T964,IF(D964="x","",""))))</f>
        <v/>
      </c>
      <c r="U965" t="str">
        <f>IF(B965=1,MAX($U$2:$U964)+1,IF(AND($T965&lt;&gt;"",$T965=$T964),$U964,IF(B965="x",U964,"")))</f>
        <v/>
      </c>
      <c r="V965" t="str">
        <f>IF(C965=1,MAX($V$2:$V964)+1,IF(AND($T965&lt;&gt;"",$T965=$T964),$U964,IF(C965="x",V964,"")))</f>
        <v/>
      </c>
      <c r="X965" cm="1">
        <f t="array" ref="X965">IF($I965&lt;&gt;"",$I965,INDEX($I$1:$I965,ROW()-COUNTIFS($T$1:$T965,"="&amp;$T965,$S$1:$S965,"&lt;"&amp;$S965)))</f>
        <v>0</v>
      </c>
      <c r="Z965" s="6">
        <f t="shared" ref="Z965:Z1028" si="166">IF(K965="Intermission",Z964+1,Z964)</f>
        <v>1</v>
      </c>
      <c r="AA965" t="e">
        <f t="shared" ref="AA965:AA1028" si="167">S965+1000</f>
        <v>#VALUE!</v>
      </c>
      <c r="AB965" t="str">
        <f t="shared" ref="AB965:AB1028" si="168">IF(T965&lt;&gt;"",9000+T965,"")</f>
        <v/>
      </c>
      <c r="AC965" t="e">
        <f t="shared" ref="AC965:AC1028" si="169">IF(AB965&lt;&gt;"",AB965,S965+1000)</f>
        <v>#VALUE!</v>
      </c>
    </row>
    <row r="966" spans="1:29" x14ac:dyDescent="0.2">
      <c r="A966" t="str">
        <f t="shared" si="162"/>
        <v/>
      </c>
      <c r="E966" s="4"/>
      <c r="F966" s="46"/>
      <c r="G966" s="4"/>
      <c r="H966" s="48"/>
      <c r="J966" s="26" t="str">
        <f t="shared" si="163"/>
        <v/>
      </c>
      <c r="N966" t="str">
        <f t="shared" si="164"/>
        <v/>
      </c>
      <c r="Q966" t="str">
        <f t="shared" si="165"/>
        <v/>
      </c>
      <c r="S966" t="str">
        <f>IF(A966=1,MAX($S$2:$S965)+1,IF(OR($I966&lt;&gt;"",A966="x"),$S965,""))</f>
        <v/>
      </c>
      <c r="T966" t="str">
        <f>IF(D966=1,MAX($T$2:$T965)+1,IF(S966=S965,$T965,IF(D966="x",T965,IF(D965="x","",""))))</f>
        <v/>
      </c>
      <c r="U966" t="str">
        <f>IF(B966=1,MAX($U$2:$U965)+1,IF(AND($T966&lt;&gt;"",$T966=$T965),$U965,IF(B966="x",U965,"")))</f>
        <v/>
      </c>
      <c r="V966" t="str">
        <f>IF(C966=1,MAX($V$2:$V965)+1,IF(AND($T966&lt;&gt;"",$T966=$T965),$U965,IF(C966="x",V965,"")))</f>
        <v/>
      </c>
      <c r="X966" cm="1">
        <f t="array" ref="X966">IF($I966&lt;&gt;"",$I966,INDEX($I$1:$I966,ROW()-COUNTIFS($T$1:$T966,"="&amp;$T966,$S$1:$S966,"&lt;"&amp;$S966)))</f>
        <v>0</v>
      </c>
      <c r="Z966" s="6">
        <f t="shared" si="166"/>
        <v>1</v>
      </c>
      <c r="AA966" t="e">
        <f t="shared" si="167"/>
        <v>#VALUE!</v>
      </c>
      <c r="AB966" t="str">
        <f t="shared" si="168"/>
        <v/>
      </c>
      <c r="AC966" t="e">
        <f t="shared" si="169"/>
        <v>#VALUE!</v>
      </c>
    </row>
    <row r="967" spans="1:29" x14ac:dyDescent="0.2">
      <c r="A967" t="str">
        <f t="shared" si="162"/>
        <v/>
      </c>
      <c r="E967" s="4"/>
      <c r="F967" s="46"/>
      <c r="G967" s="4"/>
      <c r="H967" s="48"/>
      <c r="J967" s="26" t="str">
        <f t="shared" si="163"/>
        <v/>
      </c>
      <c r="N967" t="str">
        <f t="shared" si="164"/>
        <v/>
      </c>
      <c r="Q967" t="str">
        <f t="shared" si="165"/>
        <v/>
      </c>
      <c r="S967" t="str">
        <f>IF(A967=1,MAX($S$2:$S966)+1,IF(OR($I967&lt;&gt;"",A967="x"),$S966,""))</f>
        <v/>
      </c>
      <c r="T967" t="str">
        <f>IF(D967=1,MAX($T$2:$T966)+1,IF(S967=S966,$T966,IF(D967="x",T966,IF(D966="x","",""))))</f>
        <v/>
      </c>
      <c r="U967" t="str">
        <f>IF(B967=1,MAX($U$2:$U966)+1,IF(AND($T967&lt;&gt;"",$T967=$T966),$U966,IF(B967="x",U966,"")))</f>
        <v/>
      </c>
      <c r="V967" t="str">
        <f>IF(C967=1,MAX($V$2:$V966)+1,IF(AND($T967&lt;&gt;"",$T967=$T966),$U966,IF(C967="x",V966,"")))</f>
        <v/>
      </c>
      <c r="X967" cm="1">
        <f t="array" ref="X967">IF($I967&lt;&gt;"",$I967,INDEX($I$1:$I967,ROW()-COUNTIFS($T$1:$T967,"="&amp;$T967,$S$1:$S967,"&lt;"&amp;$S967)))</f>
        <v>0</v>
      </c>
      <c r="Z967" s="6">
        <f t="shared" si="166"/>
        <v>1</v>
      </c>
      <c r="AA967" t="e">
        <f t="shared" si="167"/>
        <v>#VALUE!</v>
      </c>
      <c r="AB967" t="str">
        <f t="shared" si="168"/>
        <v/>
      </c>
      <c r="AC967" t="e">
        <f t="shared" si="169"/>
        <v>#VALUE!</v>
      </c>
    </row>
    <row r="968" spans="1:29" x14ac:dyDescent="0.2">
      <c r="A968" t="str">
        <f t="shared" si="162"/>
        <v/>
      </c>
      <c r="E968" s="4"/>
      <c r="F968" s="46"/>
      <c r="G968" s="4"/>
      <c r="H968" s="48"/>
      <c r="J968" s="26" t="str">
        <f t="shared" si="163"/>
        <v/>
      </c>
      <c r="N968" t="str">
        <f t="shared" si="164"/>
        <v/>
      </c>
      <c r="Q968" t="str">
        <f t="shared" si="165"/>
        <v/>
      </c>
      <c r="S968" t="str">
        <f>IF(A968=1,MAX($S$2:$S967)+1,IF(OR($I968&lt;&gt;"",A968="x"),$S967,""))</f>
        <v/>
      </c>
      <c r="T968" t="str">
        <f>IF(D968=1,MAX($T$2:$T967)+1,IF(S968=S967,$T967,IF(D968="x",T967,IF(D967="x","",""))))</f>
        <v/>
      </c>
      <c r="U968" t="str">
        <f>IF(B968=1,MAX($U$2:$U967)+1,IF(AND($T968&lt;&gt;"",$T968=$T967),$U967,IF(B968="x",U967,"")))</f>
        <v/>
      </c>
      <c r="V968" t="str">
        <f>IF(C968=1,MAX($V$2:$V967)+1,IF(AND($T968&lt;&gt;"",$T968=$T967),$U967,IF(C968="x",V967,"")))</f>
        <v/>
      </c>
      <c r="X968" cm="1">
        <f t="array" ref="X968">IF($I968&lt;&gt;"",$I968,INDEX($I$1:$I968,ROW()-COUNTIFS($T$1:$T968,"="&amp;$T968,$S$1:$S968,"&lt;"&amp;$S968)))</f>
        <v>0</v>
      </c>
      <c r="Z968" s="6">
        <f t="shared" si="166"/>
        <v>1</v>
      </c>
      <c r="AA968" t="e">
        <f t="shared" si="167"/>
        <v>#VALUE!</v>
      </c>
      <c r="AB968" t="str">
        <f t="shared" si="168"/>
        <v/>
      </c>
      <c r="AC968" t="e">
        <f t="shared" si="169"/>
        <v>#VALUE!</v>
      </c>
    </row>
    <row r="969" spans="1:29" x14ac:dyDescent="0.2">
      <c r="A969" t="str">
        <f t="shared" si="162"/>
        <v/>
      </c>
      <c r="E969" s="4"/>
      <c r="F969" s="46"/>
      <c r="G969" s="4"/>
      <c r="H969" s="48"/>
      <c r="J969" s="26" t="str">
        <f t="shared" si="163"/>
        <v/>
      </c>
      <c r="N969" t="str">
        <f t="shared" si="164"/>
        <v/>
      </c>
      <c r="Q969" t="str">
        <f t="shared" si="165"/>
        <v/>
      </c>
      <c r="S969" t="str">
        <f>IF(A969=1,MAX($S$2:$S968)+1,IF(OR($I969&lt;&gt;"",A969="x"),$S968,""))</f>
        <v/>
      </c>
      <c r="T969" t="str">
        <f>IF(D969=1,MAX($T$2:$T968)+1,IF(S969=S968,$T968,IF(D969="x",T968,IF(D968="x","",""))))</f>
        <v/>
      </c>
      <c r="U969" t="str">
        <f>IF(B969=1,MAX($U$2:$U968)+1,IF(AND($T969&lt;&gt;"",$T969=$T968),$U968,IF(B969="x",U968,"")))</f>
        <v/>
      </c>
      <c r="V969" t="str">
        <f>IF(C969=1,MAX($V$2:$V968)+1,IF(AND($T969&lt;&gt;"",$T969=$T968),$U968,IF(C969="x",V968,"")))</f>
        <v/>
      </c>
      <c r="X969" cm="1">
        <f t="array" ref="X969">IF($I969&lt;&gt;"",$I969,INDEX($I$1:$I969,ROW()-COUNTIFS($T$1:$T969,"="&amp;$T969,$S$1:$S969,"&lt;"&amp;$S969)))</f>
        <v>0</v>
      </c>
      <c r="Z969" s="6">
        <f t="shared" si="166"/>
        <v>1</v>
      </c>
      <c r="AA969" t="e">
        <f t="shared" si="167"/>
        <v>#VALUE!</v>
      </c>
      <c r="AB969" t="str">
        <f t="shared" si="168"/>
        <v/>
      </c>
      <c r="AC969" t="e">
        <f t="shared" si="169"/>
        <v>#VALUE!</v>
      </c>
    </row>
    <row r="970" spans="1:29" x14ac:dyDescent="0.2">
      <c r="A970" t="str">
        <f t="shared" si="162"/>
        <v/>
      </c>
      <c r="E970" s="4"/>
      <c r="F970" s="46"/>
      <c r="G970" s="4"/>
      <c r="H970" s="48"/>
      <c r="J970" s="26" t="str">
        <f t="shared" si="163"/>
        <v/>
      </c>
      <c r="N970" t="str">
        <f t="shared" si="164"/>
        <v/>
      </c>
      <c r="Q970" t="str">
        <f t="shared" si="165"/>
        <v/>
      </c>
      <c r="S970" t="str">
        <f>IF(A970=1,MAX($S$2:$S969)+1,IF(OR($I970&lt;&gt;"",A970="x"),$S969,""))</f>
        <v/>
      </c>
      <c r="T970" t="str">
        <f>IF(D970=1,MAX($T$2:$T969)+1,IF(S970=S969,$T969,IF(D970="x",T969,IF(D969="x","",""))))</f>
        <v/>
      </c>
      <c r="U970" t="str">
        <f>IF(B970=1,MAX($U$2:$U969)+1,IF(AND($T970&lt;&gt;"",$T970=$T969),$U969,IF(B970="x",U969,"")))</f>
        <v/>
      </c>
      <c r="V970" t="str">
        <f>IF(C970=1,MAX($V$2:$V969)+1,IF(AND($T970&lt;&gt;"",$T970=$T969),$U969,IF(C970="x",V969,"")))</f>
        <v/>
      </c>
      <c r="X970" cm="1">
        <f t="array" ref="X970">IF($I970&lt;&gt;"",$I970,INDEX($I$1:$I970,ROW()-COUNTIFS($T$1:$T970,"="&amp;$T970,$S$1:$S970,"&lt;"&amp;$S970)))</f>
        <v>0</v>
      </c>
      <c r="Z970" s="6">
        <f t="shared" si="166"/>
        <v>1</v>
      </c>
      <c r="AA970" t="e">
        <f t="shared" si="167"/>
        <v>#VALUE!</v>
      </c>
      <c r="AB970" t="str">
        <f t="shared" si="168"/>
        <v/>
      </c>
      <c r="AC970" t="e">
        <f t="shared" si="169"/>
        <v>#VALUE!</v>
      </c>
    </row>
    <row r="971" spans="1:29" x14ac:dyDescent="0.2">
      <c r="A971" t="str">
        <f t="shared" si="162"/>
        <v/>
      </c>
      <c r="E971" s="4"/>
      <c r="F971" s="46"/>
      <c r="G971" s="4"/>
      <c r="H971" s="48"/>
      <c r="J971" s="26" t="str">
        <f t="shared" si="163"/>
        <v/>
      </c>
      <c r="N971" t="str">
        <f t="shared" si="164"/>
        <v/>
      </c>
      <c r="Q971" t="str">
        <f t="shared" si="165"/>
        <v/>
      </c>
      <c r="S971" t="str">
        <f>IF(A971=1,MAX($S$2:$S970)+1,IF(OR($I971&lt;&gt;"",A971="x"),$S970,""))</f>
        <v/>
      </c>
      <c r="T971" t="str">
        <f>IF(D971=1,MAX($T$2:$T970)+1,IF(S971=S970,$T970,IF(D971="x",T970,IF(D970="x","",""))))</f>
        <v/>
      </c>
      <c r="U971" t="str">
        <f>IF(B971=1,MAX($U$2:$U970)+1,IF(AND($T971&lt;&gt;"",$T971=$T970),$U970,IF(B971="x",U970,"")))</f>
        <v/>
      </c>
      <c r="V971" t="str">
        <f>IF(C971=1,MAX($V$2:$V970)+1,IF(AND($T971&lt;&gt;"",$T971=$T970),$U970,IF(C971="x",V970,"")))</f>
        <v/>
      </c>
      <c r="X971" cm="1">
        <f t="array" ref="X971">IF($I971&lt;&gt;"",$I971,INDEX($I$1:$I971,ROW()-COUNTIFS($T$1:$T971,"="&amp;$T971,$S$1:$S971,"&lt;"&amp;$S971)))</f>
        <v>0</v>
      </c>
      <c r="Z971" s="6">
        <f t="shared" si="166"/>
        <v>1</v>
      </c>
      <c r="AA971" t="e">
        <f t="shared" si="167"/>
        <v>#VALUE!</v>
      </c>
      <c r="AB971" t="str">
        <f t="shared" si="168"/>
        <v/>
      </c>
      <c r="AC971" t="e">
        <f t="shared" si="169"/>
        <v>#VALUE!</v>
      </c>
    </row>
    <row r="972" spans="1:29" x14ac:dyDescent="0.2">
      <c r="A972" t="str">
        <f t="shared" si="162"/>
        <v/>
      </c>
      <c r="E972" s="4"/>
      <c r="F972" s="46"/>
      <c r="G972" s="4"/>
      <c r="H972" s="48"/>
      <c r="J972" s="26" t="str">
        <f t="shared" si="163"/>
        <v/>
      </c>
      <c r="N972" t="str">
        <f t="shared" si="164"/>
        <v/>
      </c>
      <c r="Q972" t="str">
        <f t="shared" si="165"/>
        <v/>
      </c>
      <c r="S972" t="str">
        <f>IF(A972=1,MAX($S$2:$S971)+1,IF(OR($I972&lt;&gt;"",A972="x"),$S971,""))</f>
        <v/>
      </c>
      <c r="T972" t="str">
        <f>IF(D972=1,MAX($T$2:$T971)+1,IF(S972=S971,$T971,IF(D972="x",T971,IF(D971="x","",""))))</f>
        <v/>
      </c>
      <c r="U972" t="str">
        <f>IF(B972=1,MAX($U$2:$U971)+1,IF(AND($T972&lt;&gt;"",$T972=$T971),$U971,IF(B972="x",U971,"")))</f>
        <v/>
      </c>
      <c r="V972" t="str">
        <f>IF(C972=1,MAX($V$2:$V971)+1,IF(AND($T972&lt;&gt;"",$T972=$T971),$U971,IF(C972="x",V971,"")))</f>
        <v/>
      </c>
      <c r="X972" cm="1">
        <f t="array" ref="X972">IF($I972&lt;&gt;"",$I972,INDEX($I$1:$I972,ROW()-COUNTIFS($T$1:$T972,"="&amp;$T972,$S$1:$S972,"&lt;"&amp;$S972)))</f>
        <v>0</v>
      </c>
      <c r="Z972" s="6">
        <f t="shared" si="166"/>
        <v>1</v>
      </c>
      <c r="AA972" t="e">
        <f t="shared" si="167"/>
        <v>#VALUE!</v>
      </c>
      <c r="AB972" t="str">
        <f t="shared" si="168"/>
        <v/>
      </c>
      <c r="AC972" t="e">
        <f t="shared" si="169"/>
        <v>#VALUE!</v>
      </c>
    </row>
    <row r="973" spans="1:29" x14ac:dyDescent="0.2">
      <c r="A973" t="str">
        <f t="shared" si="162"/>
        <v/>
      </c>
      <c r="E973" s="4"/>
      <c r="F973" s="46"/>
      <c r="G973" s="4"/>
      <c r="H973" s="48"/>
      <c r="J973" s="26" t="str">
        <f t="shared" si="163"/>
        <v/>
      </c>
      <c r="N973" t="str">
        <f t="shared" si="164"/>
        <v/>
      </c>
      <c r="Q973" t="str">
        <f t="shared" si="165"/>
        <v/>
      </c>
      <c r="S973" t="str">
        <f>IF(A973=1,MAX($S$2:$S972)+1,IF(OR($I973&lt;&gt;"",A973="x"),$S972,""))</f>
        <v/>
      </c>
      <c r="T973" t="str">
        <f>IF(D973=1,MAX($T$2:$T972)+1,IF(S973=S972,$T972,IF(D973="x",T972,IF(D972="x","",""))))</f>
        <v/>
      </c>
      <c r="U973" t="str">
        <f>IF(B973=1,MAX($U$2:$U972)+1,IF(AND($T973&lt;&gt;"",$T973=$T972),$U972,IF(B973="x",U972,"")))</f>
        <v/>
      </c>
      <c r="V973" t="str">
        <f>IF(C973=1,MAX($V$2:$V972)+1,IF(AND($T973&lt;&gt;"",$T973=$T972),$U972,IF(C973="x",V972,"")))</f>
        <v/>
      </c>
      <c r="X973" cm="1">
        <f t="array" ref="X973">IF($I973&lt;&gt;"",$I973,INDEX($I$1:$I973,ROW()-COUNTIFS($T$1:$T973,"="&amp;$T973,$S$1:$S973,"&lt;"&amp;$S973)))</f>
        <v>0</v>
      </c>
      <c r="Z973" s="6">
        <f t="shared" si="166"/>
        <v>1</v>
      </c>
      <c r="AA973" t="e">
        <f t="shared" si="167"/>
        <v>#VALUE!</v>
      </c>
      <c r="AB973" t="str">
        <f t="shared" si="168"/>
        <v/>
      </c>
      <c r="AC973" t="e">
        <f t="shared" si="169"/>
        <v>#VALUE!</v>
      </c>
    </row>
    <row r="974" spans="1:29" x14ac:dyDescent="0.2">
      <c r="A974" t="str">
        <f t="shared" si="162"/>
        <v/>
      </c>
      <c r="E974" s="4"/>
      <c r="F974" s="46"/>
      <c r="G974" s="4"/>
      <c r="H974" s="48"/>
      <c r="J974" s="26" t="str">
        <f t="shared" si="163"/>
        <v/>
      </c>
      <c r="N974" t="str">
        <f t="shared" si="164"/>
        <v/>
      </c>
      <c r="Q974" t="str">
        <f t="shared" si="165"/>
        <v/>
      </c>
      <c r="S974" t="str">
        <f>IF(A974=1,MAX($S$2:$S973)+1,IF(OR($I974&lt;&gt;"",A974="x"),$S973,""))</f>
        <v/>
      </c>
      <c r="T974" t="str">
        <f>IF(D974=1,MAX($T$2:$T973)+1,IF(S974=S973,$T973,IF(D974="x",T973,IF(D973="x","",""))))</f>
        <v/>
      </c>
      <c r="U974" t="str">
        <f>IF(B974=1,MAX($U$2:$U973)+1,IF(AND($T974&lt;&gt;"",$T974=$T973),$U973,IF(B974="x",U973,"")))</f>
        <v/>
      </c>
      <c r="V974" t="str">
        <f>IF(C974=1,MAX($V$2:$V973)+1,IF(AND($T974&lt;&gt;"",$T974=$T973),$U973,IF(C974="x",V973,"")))</f>
        <v/>
      </c>
      <c r="X974" cm="1">
        <f t="array" ref="X974">IF($I974&lt;&gt;"",$I974,INDEX($I$1:$I974,ROW()-COUNTIFS($T$1:$T974,"="&amp;$T974,$S$1:$S974,"&lt;"&amp;$S974)))</f>
        <v>0</v>
      </c>
      <c r="Z974" s="6">
        <f t="shared" si="166"/>
        <v>1</v>
      </c>
      <c r="AA974" t="e">
        <f t="shared" si="167"/>
        <v>#VALUE!</v>
      </c>
      <c r="AB974" t="str">
        <f t="shared" si="168"/>
        <v/>
      </c>
      <c r="AC974" t="e">
        <f t="shared" si="169"/>
        <v>#VALUE!</v>
      </c>
    </row>
    <row r="975" spans="1:29" x14ac:dyDescent="0.2">
      <c r="A975" t="str">
        <f t="shared" si="162"/>
        <v/>
      </c>
      <c r="E975" s="4"/>
      <c r="F975" s="46"/>
      <c r="G975" s="4"/>
      <c r="H975" s="48"/>
      <c r="J975" s="26" t="str">
        <f t="shared" si="163"/>
        <v/>
      </c>
      <c r="N975" t="str">
        <f t="shared" si="164"/>
        <v/>
      </c>
      <c r="Q975" t="str">
        <f t="shared" si="165"/>
        <v/>
      </c>
      <c r="S975" t="str">
        <f>IF(A975=1,MAX($S$2:$S974)+1,IF(OR($I975&lt;&gt;"",A975="x"),$S974,""))</f>
        <v/>
      </c>
      <c r="T975" t="str">
        <f>IF(D975=1,MAX($T$2:$T974)+1,IF(S975=S974,$T974,IF(D975="x",T974,IF(D974="x","",""))))</f>
        <v/>
      </c>
      <c r="U975" t="str">
        <f>IF(B975=1,MAX($U$2:$U974)+1,IF(AND($T975&lt;&gt;"",$T975=$T974),$U974,IF(B975="x",U974,"")))</f>
        <v/>
      </c>
      <c r="V975" t="str">
        <f>IF(C975=1,MAX($V$2:$V974)+1,IF(AND($T975&lt;&gt;"",$T975=$T974),$U974,IF(C975="x",V974,"")))</f>
        <v/>
      </c>
      <c r="X975" cm="1">
        <f t="array" ref="X975">IF($I975&lt;&gt;"",$I975,INDEX($I$1:$I975,ROW()-COUNTIFS($T$1:$T975,"="&amp;$T975,$S$1:$S975,"&lt;"&amp;$S975)))</f>
        <v>0</v>
      </c>
      <c r="Z975" s="6">
        <f t="shared" si="166"/>
        <v>1</v>
      </c>
      <c r="AA975" t="e">
        <f t="shared" si="167"/>
        <v>#VALUE!</v>
      </c>
      <c r="AB975" t="str">
        <f t="shared" si="168"/>
        <v/>
      </c>
      <c r="AC975" t="e">
        <f t="shared" si="169"/>
        <v>#VALUE!</v>
      </c>
    </row>
    <row r="976" spans="1:29" x14ac:dyDescent="0.2">
      <c r="A976" t="str">
        <f t="shared" si="162"/>
        <v/>
      </c>
      <c r="E976" s="4"/>
      <c r="F976" s="46"/>
      <c r="G976" s="4"/>
      <c r="H976" s="48"/>
      <c r="J976" s="26" t="str">
        <f t="shared" si="163"/>
        <v/>
      </c>
      <c r="N976" t="str">
        <f t="shared" si="164"/>
        <v/>
      </c>
      <c r="Q976" t="str">
        <f t="shared" si="165"/>
        <v/>
      </c>
      <c r="S976" t="str">
        <f>IF(A976=1,MAX($S$2:$S975)+1,IF(OR($I976&lt;&gt;"",A976="x"),$S975,""))</f>
        <v/>
      </c>
      <c r="T976" t="str">
        <f>IF(D976=1,MAX($T$2:$T975)+1,IF(S976=S975,$T975,IF(D976="x",T975,IF(D975="x","",""))))</f>
        <v/>
      </c>
      <c r="U976" t="str">
        <f>IF(B976=1,MAX($U$2:$U975)+1,IF(AND($T976&lt;&gt;"",$T976=$T975),$U975,IF(B976="x",U975,"")))</f>
        <v/>
      </c>
      <c r="V976" t="str">
        <f>IF(C976=1,MAX($V$2:$V975)+1,IF(AND($T976&lt;&gt;"",$T976=$T975),$U975,IF(C976="x",V975,"")))</f>
        <v/>
      </c>
      <c r="X976" cm="1">
        <f t="array" ref="X976">IF($I976&lt;&gt;"",$I976,INDEX($I$1:$I976,ROW()-COUNTIFS($T$1:$T976,"="&amp;$T976,$S$1:$S976,"&lt;"&amp;$S976)))</f>
        <v>0</v>
      </c>
      <c r="Z976" s="6">
        <f t="shared" si="166"/>
        <v>1</v>
      </c>
      <c r="AA976" t="e">
        <f t="shared" si="167"/>
        <v>#VALUE!</v>
      </c>
      <c r="AB976" t="str">
        <f t="shared" si="168"/>
        <v/>
      </c>
      <c r="AC976" t="e">
        <f t="shared" si="169"/>
        <v>#VALUE!</v>
      </c>
    </row>
    <row r="977" spans="1:29" x14ac:dyDescent="0.2">
      <c r="A977" t="str">
        <f t="shared" si="162"/>
        <v/>
      </c>
      <c r="E977" s="4"/>
      <c r="F977" s="46"/>
      <c r="G977" s="4"/>
      <c r="H977" s="48"/>
      <c r="J977" s="26" t="str">
        <f t="shared" si="163"/>
        <v/>
      </c>
      <c r="N977" t="str">
        <f t="shared" si="164"/>
        <v/>
      </c>
      <c r="Q977" t="str">
        <f t="shared" si="165"/>
        <v/>
      </c>
      <c r="S977" t="str">
        <f>IF(A977=1,MAX($S$2:$S976)+1,IF(OR($I977&lt;&gt;"",A977="x"),$S976,""))</f>
        <v/>
      </c>
      <c r="T977" t="str">
        <f>IF(D977=1,MAX($T$2:$T976)+1,IF(S977=S976,$T976,IF(D977="x",T976,IF(D976="x","",""))))</f>
        <v/>
      </c>
      <c r="U977" t="str">
        <f>IF(B977=1,MAX($U$2:$U976)+1,IF(AND($T977&lt;&gt;"",$T977=$T976),$U976,IF(B977="x",U976,"")))</f>
        <v/>
      </c>
      <c r="V977" t="str">
        <f>IF(C977=1,MAX($V$2:$V976)+1,IF(AND($T977&lt;&gt;"",$T977=$T976),$U976,IF(C977="x",V976,"")))</f>
        <v/>
      </c>
      <c r="X977" cm="1">
        <f t="array" ref="X977">IF($I977&lt;&gt;"",$I977,INDEX($I$1:$I977,ROW()-COUNTIFS($T$1:$T977,"="&amp;$T977,$S$1:$S977,"&lt;"&amp;$S977)))</f>
        <v>0</v>
      </c>
      <c r="Z977" s="6">
        <f t="shared" si="166"/>
        <v>1</v>
      </c>
      <c r="AA977" t="e">
        <f t="shared" si="167"/>
        <v>#VALUE!</v>
      </c>
      <c r="AB977" t="str">
        <f t="shared" si="168"/>
        <v/>
      </c>
      <c r="AC977" t="e">
        <f t="shared" si="169"/>
        <v>#VALUE!</v>
      </c>
    </row>
    <row r="978" spans="1:29" x14ac:dyDescent="0.2">
      <c r="A978" t="str">
        <f t="shared" si="162"/>
        <v/>
      </c>
      <c r="E978" s="4"/>
      <c r="F978" s="46"/>
      <c r="G978" s="4"/>
      <c r="H978" s="48"/>
      <c r="J978" s="26" t="str">
        <f t="shared" si="163"/>
        <v/>
      </c>
      <c r="N978" t="str">
        <f t="shared" si="164"/>
        <v/>
      </c>
      <c r="Q978" t="str">
        <f t="shared" si="165"/>
        <v/>
      </c>
      <c r="S978" t="str">
        <f>IF(A978=1,MAX($S$2:$S977)+1,IF(OR($I978&lt;&gt;"",A978="x"),$S977,""))</f>
        <v/>
      </c>
      <c r="T978" t="str">
        <f>IF(D978=1,MAX($T$2:$T977)+1,IF(S978=S977,$T977,IF(D978="x",T977,IF(D977="x","",""))))</f>
        <v/>
      </c>
      <c r="U978" t="str">
        <f>IF(B978=1,MAX($U$2:$U977)+1,IF(AND($T978&lt;&gt;"",$T978=$T977),$U977,IF(B978="x",U977,"")))</f>
        <v/>
      </c>
      <c r="V978" t="str">
        <f>IF(C978=1,MAX($V$2:$V977)+1,IF(AND($T978&lt;&gt;"",$T978=$T977),$U977,IF(C978="x",V977,"")))</f>
        <v/>
      </c>
      <c r="X978" cm="1">
        <f t="array" ref="X978">IF($I978&lt;&gt;"",$I978,INDEX($I$1:$I978,ROW()-COUNTIFS($T$1:$T978,"="&amp;$T978,$S$1:$S978,"&lt;"&amp;$S978)))</f>
        <v>0</v>
      </c>
      <c r="Z978" s="6">
        <f t="shared" si="166"/>
        <v>1</v>
      </c>
      <c r="AA978" t="e">
        <f t="shared" si="167"/>
        <v>#VALUE!</v>
      </c>
      <c r="AB978" t="str">
        <f t="shared" si="168"/>
        <v/>
      </c>
      <c r="AC978" t="e">
        <f t="shared" si="169"/>
        <v>#VALUE!</v>
      </c>
    </row>
    <row r="979" spans="1:29" x14ac:dyDescent="0.2">
      <c r="A979" t="str">
        <f t="shared" ref="A979:A1042" si="170">IF(K979&lt;&gt;"",1,IF(D979="x","x",""))</f>
        <v/>
      </c>
      <c r="E979" s="4"/>
      <c r="F979" s="46"/>
      <c r="G979" s="4"/>
      <c r="H979" s="48"/>
      <c r="J979" s="26" t="str">
        <f t="shared" ref="J979:J1042" si="171">IF(OR(K979="Goal",K979="Shot",L979="Zone_Entry",M979="Stoppage-Goal",M978="Stoppage-Goal"),"o",IF(OR(K979="Save",K979="Rebound",L979="Zone_Exit",M979="Stoppage-GoalieStoppage",M978="Stoppage-GoalieStoppage"),"d",IF(OR(L979="Faceoff_AfterGoal",L979="Faceoff_PeriodStart",698="Faceoff_GameStart",M978="Stoppage-Goal"),"n","")))</f>
        <v/>
      </c>
      <c r="N979" t="str">
        <f t="shared" ref="N979:N1042" si="172">IF(K979="","",IF(K979="Goal","s",IF(AND(K979="Zone_Entry_Exit",OR(ISNUMBER(SEARCH("fail",L979)),ISNUMBER(SEARCH("FromExitClear",M979)),ISNUMBER(SEARCH("miss",M979)))),"u",IF(AND(K979="Zone_Entry_Exit",OR(NOT(ISNUMBER(SEARCH("fail",L979))),NOT(ISNUMBER(SEARCH("FromExitClear",M979))),NOT(ISNUMBER(SEARCH("miss",M979))))),"s",IF(AND(OR(K979="Shot",K979="Pass"),OR(ISNUMBER(SEARCH("complete",L979)),ISNUMBER(SEARCH("goal",L979)),ISNUMBER(SEARCH("OnNet",L979)))),"s",IF(L979="Turnover_Giveaway","u",IF(AND(OR(K979="Shot",K979="Pass"),OR(ISNUMBER(SEARCH("fail",L979)),NOT(ISNUMBER(SEARCH("complete",L979))),NOT(ISNUMBER(SEARCH("OnNet",L979))))),"u","")))))))</f>
        <v/>
      </c>
      <c r="Q979" t="str">
        <f t="shared" ref="Q979:Q1042" si="173">IF(O979="","",IF(AND(N979&lt;&gt;"",OR(O979&lt;&gt;"",P979&lt;&gt;"")),N979,IF(OR(ISNUMBER(SEARCH("attemp",O979)),ISNUMBER(SEARCH("beat",O979)),ISNUMBER(SEARCH("mis",O979)),ISNUMBER(SEARCH("fail",O979)),ISNUMBER(SEARCH("loss",O979)),ISNUMBER(SEARCH("lost",O979)),ISNUMBER(SEARCH("attemp",P979)),ISNUMBER(SEARCH("mis",P979)),ISNUMBER(SEARCH("fail",P979)),ISNUMBER(SEARCH("loss",P979)),ISNUMBER(SEARCH("beat",P979)),ISNUMBER(SEARCH("lost",P979))),"u","")))</f>
        <v/>
      </c>
      <c r="S979" t="str">
        <f>IF(A979=1,MAX($S$2:$S978)+1,IF(OR($I979&lt;&gt;"",A979="x"),$S978,""))</f>
        <v/>
      </c>
      <c r="T979" t="str">
        <f>IF(D979=1,MAX($T$2:$T978)+1,IF(S979=S978,$T978,IF(D979="x",T978,IF(D978="x","",""))))</f>
        <v/>
      </c>
      <c r="U979" t="str">
        <f>IF(B979=1,MAX($U$2:$U978)+1,IF(AND($T979&lt;&gt;"",$T979=$T978),$U978,IF(B979="x",U978,"")))</f>
        <v/>
      </c>
      <c r="V979" t="str">
        <f>IF(C979=1,MAX($V$2:$V978)+1,IF(AND($T979&lt;&gt;"",$T979=$T978),$U978,IF(C979="x",V978,"")))</f>
        <v/>
      </c>
      <c r="X979" cm="1">
        <f t="array" ref="X979">IF($I979&lt;&gt;"",$I979,INDEX($I$1:$I979,ROW()-COUNTIFS($T$1:$T979,"="&amp;$T979,$S$1:$S979,"&lt;"&amp;$S979)))</f>
        <v>0</v>
      </c>
      <c r="Z979" s="6">
        <f t="shared" si="166"/>
        <v>1</v>
      </c>
      <c r="AA979" t="e">
        <f t="shared" si="167"/>
        <v>#VALUE!</v>
      </c>
      <c r="AB979" t="str">
        <f t="shared" si="168"/>
        <v/>
      </c>
      <c r="AC979" t="e">
        <f t="shared" si="169"/>
        <v>#VALUE!</v>
      </c>
    </row>
    <row r="980" spans="1:29" x14ac:dyDescent="0.2">
      <c r="A980" t="str">
        <f t="shared" si="170"/>
        <v/>
      </c>
      <c r="E980" s="4"/>
      <c r="F980" s="46"/>
      <c r="G980" s="4"/>
      <c r="H980" s="48"/>
      <c r="J980" s="26" t="str">
        <f t="shared" si="171"/>
        <v/>
      </c>
      <c r="N980" t="str">
        <f t="shared" si="172"/>
        <v/>
      </c>
      <c r="Q980" t="str">
        <f t="shared" si="173"/>
        <v/>
      </c>
      <c r="S980" t="str">
        <f>IF(A980=1,MAX($S$2:$S979)+1,IF(OR($I980&lt;&gt;"",A980="x"),$S979,""))</f>
        <v/>
      </c>
      <c r="T980" t="str">
        <f>IF(D980=1,MAX($T$2:$T979)+1,IF(S980=S979,$T979,IF(D980="x",T979,IF(D979="x","",""))))</f>
        <v/>
      </c>
      <c r="U980" t="str">
        <f>IF(B980=1,MAX($U$2:$U979)+1,IF(AND($T980&lt;&gt;"",$T980=$T979),$U979,IF(B980="x",U979,"")))</f>
        <v/>
      </c>
      <c r="V980" t="str">
        <f>IF(C980=1,MAX($V$2:$V979)+1,IF(AND($T980&lt;&gt;"",$T980=$T979),$U979,IF(C980="x",V979,"")))</f>
        <v/>
      </c>
      <c r="X980" cm="1">
        <f t="array" ref="X980">IF($I980&lt;&gt;"",$I980,INDEX($I$1:$I980,ROW()-COUNTIFS($T$1:$T980,"="&amp;$T980,$S$1:$S980,"&lt;"&amp;$S980)))</f>
        <v>0</v>
      </c>
      <c r="Z980" s="6">
        <f t="shared" si="166"/>
        <v>1</v>
      </c>
      <c r="AA980" t="e">
        <f t="shared" si="167"/>
        <v>#VALUE!</v>
      </c>
      <c r="AB980" t="str">
        <f t="shared" si="168"/>
        <v/>
      </c>
      <c r="AC980" t="e">
        <f t="shared" si="169"/>
        <v>#VALUE!</v>
      </c>
    </row>
    <row r="981" spans="1:29" x14ac:dyDescent="0.2">
      <c r="A981" t="str">
        <f t="shared" si="170"/>
        <v/>
      </c>
      <c r="E981" s="4"/>
      <c r="F981" s="46"/>
      <c r="G981" s="4"/>
      <c r="H981" s="48"/>
      <c r="J981" s="26" t="str">
        <f t="shared" si="171"/>
        <v/>
      </c>
      <c r="N981" t="str">
        <f t="shared" si="172"/>
        <v/>
      </c>
      <c r="Q981" t="str">
        <f t="shared" si="173"/>
        <v/>
      </c>
      <c r="S981" t="str">
        <f>IF(A981=1,MAX($S$2:$S980)+1,IF(OR($I981&lt;&gt;"",A981="x"),$S980,""))</f>
        <v/>
      </c>
      <c r="T981" t="str">
        <f>IF(D981=1,MAX($T$2:$T980)+1,IF(S981=S980,$T980,IF(D981="x",T980,IF(D980="x","",""))))</f>
        <v/>
      </c>
      <c r="U981" t="str">
        <f>IF(B981=1,MAX($U$2:$U980)+1,IF(AND($T981&lt;&gt;"",$T981=$T980),$U980,IF(B981="x",U980,"")))</f>
        <v/>
      </c>
      <c r="V981" t="str">
        <f>IF(C981=1,MAX($V$2:$V980)+1,IF(AND($T981&lt;&gt;"",$T981=$T980),$U980,IF(C981="x",V980,"")))</f>
        <v/>
      </c>
      <c r="X981" cm="1">
        <f t="array" ref="X981">IF($I981&lt;&gt;"",$I981,INDEX($I$1:$I981,ROW()-COUNTIFS($T$1:$T981,"="&amp;$T981,$S$1:$S981,"&lt;"&amp;$S981)))</f>
        <v>0</v>
      </c>
      <c r="Z981" s="6">
        <f t="shared" si="166"/>
        <v>1</v>
      </c>
      <c r="AA981" t="e">
        <f t="shared" si="167"/>
        <v>#VALUE!</v>
      </c>
      <c r="AB981" t="str">
        <f t="shared" si="168"/>
        <v/>
      </c>
      <c r="AC981" t="e">
        <f t="shared" si="169"/>
        <v>#VALUE!</v>
      </c>
    </row>
    <row r="982" spans="1:29" x14ac:dyDescent="0.2">
      <c r="A982" t="str">
        <f t="shared" si="170"/>
        <v/>
      </c>
      <c r="E982" s="4"/>
      <c r="F982" s="46"/>
      <c r="G982" s="4"/>
      <c r="H982" s="48"/>
      <c r="J982" s="26" t="str">
        <f t="shared" si="171"/>
        <v/>
      </c>
      <c r="N982" t="str">
        <f t="shared" si="172"/>
        <v/>
      </c>
      <c r="Q982" t="str">
        <f t="shared" si="173"/>
        <v/>
      </c>
      <c r="S982" t="str">
        <f>IF(A982=1,MAX($S$2:$S981)+1,IF(OR($I982&lt;&gt;"",A982="x"),$S981,""))</f>
        <v/>
      </c>
      <c r="T982" t="str">
        <f>IF(D982=1,MAX($T$2:$T981)+1,IF(S982=S981,$T981,IF(D982="x",T981,IF(D981="x","",""))))</f>
        <v/>
      </c>
      <c r="U982" t="str">
        <f>IF(B982=1,MAX($U$2:$U981)+1,IF(AND($T982&lt;&gt;"",$T982=$T981),$U981,IF(B982="x",U981,"")))</f>
        <v/>
      </c>
      <c r="V982" t="str">
        <f>IF(C982=1,MAX($V$2:$V981)+1,IF(AND($T982&lt;&gt;"",$T982=$T981),$U981,IF(C982="x",V981,"")))</f>
        <v/>
      </c>
      <c r="X982" cm="1">
        <f t="array" ref="X982">IF($I982&lt;&gt;"",$I982,INDEX($I$1:$I982,ROW()-COUNTIFS($T$1:$T982,"="&amp;$T982,$S$1:$S982,"&lt;"&amp;$S982)))</f>
        <v>0</v>
      </c>
      <c r="Z982" s="6">
        <f t="shared" si="166"/>
        <v>1</v>
      </c>
      <c r="AA982" t="e">
        <f t="shared" si="167"/>
        <v>#VALUE!</v>
      </c>
      <c r="AB982" t="str">
        <f t="shared" si="168"/>
        <v/>
      </c>
      <c r="AC982" t="e">
        <f t="shared" si="169"/>
        <v>#VALUE!</v>
      </c>
    </row>
    <row r="983" spans="1:29" x14ac:dyDescent="0.2">
      <c r="A983" t="str">
        <f t="shared" si="170"/>
        <v/>
      </c>
      <c r="E983" s="4"/>
      <c r="F983" s="46"/>
      <c r="G983" s="4"/>
      <c r="H983" s="48"/>
      <c r="J983" s="26" t="str">
        <f t="shared" si="171"/>
        <v/>
      </c>
      <c r="N983" t="str">
        <f t="shared" si="172"/>
        <v/>
      </c>
      <c r="Q983" t="str">
        <f t="shared" si="173"/>
        <v/>
      </c>
      <c r="S983" t="str">
        <f>IF(A983=1,MAX($S$2:$S982)+1,IF(OR($I983&lt;&gt;"",A983="x"),$S982,""))</f>
        <v/>
      </c>
      <c r="T983" t="str">
        <f>IF(D983=1,MAX($T$2:$T982)+1,IF(S983=S982,$T982,IF(D983="x",T982,IF(D982="x","",""))))</f>
        <v/>
      </c>
      <c r="U983" t="str">
        <f>IF(B983=1,MAX($U$2:$U982)+1,IF(AND($T983&lt;&gt;"",$T983=$T982),$U982,IF(B983="x",U982,"")))</f>
        <v/>
      </c>
      <c r="V983" t="str">
        <f>IF(C983=1,MAX($V$2:$V982)+1,IF(AND($T983&lt;&gt;"",$T983=$T982),$U982,IF(C983="x",V982,"")))</f>
        <v/>
      </c>
      <c r="X983" cm="1">
        <f t="array" ref="X983">IF($I983&lt;&gt;"",$I983,INDEX($I$1:$I983,ROW()-COUNTIFS($T$1:$T983,"="&amp;$T983,$S$1:$S983,"&lt;"&amp;$S983)))</f>
        <v>0</v>
      </c>
      <c r="Z983" s="6">
        <f t="shared" si="166"/>
        <v>1</v>
      </c>
      <c r="AA983" t="e">
        <f t="shared" si="167"/>
        <v>#VALUE!</v>
      </c>
      <c r="AB983" t="str">
        <f t="shared" si="168"/>
        <v/>
      </c>
      <c r="AC983" t="e">
        <f t="shared" si="169"/>
        <v>#VALUE!</v>
      </c>
    </row>
    <row r="984" spans="1:29" x14ac:dyDescent="0.2">
      <c r="A984" t="str">
        <f t="shared" si="170"/>
        <v/>
      </c>
      <c r="E984" s="4"/>
      <c r="F984" s="46"/>
      <c r="G984" s="4"/>
      <c r="H984" s="48"/>
      <c r="J984" s="26" t="str">
        <f t="shared" si="171"/>
        <v/>
      </c>
      <c r="N984" t="str">
        <f t="shared" si="172"/>
        <v/>
      </c>
      <c r="Q984" t="str">
        <f t="shared" si="173"/>
        <v/>
      </c>
      <c r="S984" t="str">
        <f>IF(A984=1,MAX($S$2:$S983)+1,IF(OR($I984&lt;&gt;"",A984="x"),$S983,""))</f>
        <v/>
      </c>
      <c r="T984" t="str">
        <f>IF(D984=1,MAX($T$2:$T983)+1,IF(S984=S983,$T983,IF(D984="x",T983,IF(D983="x","",""))))</f>
        <v/>
      </c>
      <c r="U984" t="str">
        <f>IF(B984=1,MAX($U$2:$U983)+1,IF(AND($T984&lt;&gt;"",$T984=$T983),$U983,IF(B984="x",U983,"")))</f>
        <v/>
      </c>
      <c r="V984" t="str">
        <f>IF(C984=1,MAX($V$2:$V983)+1,IF(AND($T984&lt;&gt;"",$T984=$T983),$U983,IF(C984="x",V983,"")))</f>
        <v/>
      </c>
      <c r="X984" cm="1">
        <f t="array" ref="X984">IF($I984&lt;&gt;"",$I984,INDEX($I$1:$I984,ROW()-COUNTIFS($T$1:$T984,"="&amp;$T984,$S$1:$S984,"&lt;"&amp;$S984)))</f>
        <v>0</v>
      </c>
      <c r="Z984" s="6">
        <f t="shared" si="166"/>
        <v>1</v>
      </c>
      <c r="AA984" t="e">
        <f t="shared" si="167"/>
        <v>#VALUE!</v>
      </c>
      <c r="AB984" t="str">
        <f t="shared" si="168"/>
        <v/>
      </c>
      <c r="AC984" t="e">
        <f t="shared" si="169"/>
        <v>#VALUE!</v>
      </c>
    </row>
    <row r="985" spans="1:29" x14ac:dyDescent="0.2">
      <c r="A985" t="str">
        <f t="shared" si="170"/>
        <v/>
      </c>
      <c r="E985" s="4"/>
      <c r="F985" s="46"/>
      <c r="G985" s="4"/>
      <c r="H985" s="48"/>
      <c r="J985" s="26" t="str">
        <f t="shared" si="171"/>
        <v/>
      </c>
      <c r="N985" t="str">
        <f t="shared" si="172"/>
        <v/>
      </c>
      <c r="Q985" t="str">
        <f t="shared" si="173"/>
        <v/>
      </c>
      <c r="S985" t="str">
        <f>IF(A985=1,MAX($S$2:$S984)+1,IF(OR($I985&lt;&gt;"",A985="x"),$S984,""))</f>
        <v/>
      </c>
      <c r="T985" t="str">
        <f>IF(D985=1,MAX($T$2:$T984)+1,IF(S985=S984,$T984,IF(D985="x",T984,IF(D984="x","",""))))</f>
        <v/>
      </c>
      <c r="U985" t="str">
        <f>IF(B985=1,MAX($U$2:$U984)+1,IF(AND($T985&lt;&gt;"",$T985=$T984),$U984,IF(B985="x",U984,"")))</f>
        <v/>
      </c>
      <c r="V985" t="str">
        <f>IF(C985=1,MAX($V$2:$V984)+1,IF(AND($T985&lt;&gt;"",$T985=$T984),$U984,IF(C985="x",V984,"")))</f>
        <v/>
      </c>
      <c r="X985" cm="1">
        <f t="array" ref="X985">IF($I985&lt;&gt;"",$I985,INDEX($I$1:$I985,ROW()-COUNTIFS($T$1:$T985,"="&amp;$T985,$S$1:$S985,"&lt;"&amp;$S985)))</f>
        <v>0</v>
      </c>
      <c r="Z985" s="6">
        <f t="shared" si="166"/>
        <v>1</v>
      </c>
      <c r="AA985" t="e">
        <f t="shared" si="167"/>
        <v>#VALUE!</v>
      </c>
      <c r="AB985" t="str">
        <f t="shared" si="168"/>
        <v/>
      </c>
      <c r="AC985" t="e">
        <f t="shared" si="169"/>
        <v>#VALUE!</v>
      </c>
    </row>
    <row r="986" spans="1:29" x14ac:dyDescent="0.2">
      <c r="A986" t="str">
        <f t="shared" si="170"/>
        <v/>
      </c>
      <c r="E986" s="4"/>
      <c r="F986" s="46"/>
      <c r="G986" s="4"/>
      <c r="H986" s="48"/>
      <c r="J986" s="26" t="str">
        <f t="shared" si="171"/>
        <v/>
      </c>
      <c r="N986" t="str">
        <f t="shared" si="172"/>
        <v/>
      </c>
      <c r="Q986" t="str">
        <f t="shared" si="173"/>
        <v/>
      </c>
      <c r="S986" t="str">
        <f>IF(A986=1,MAX($S$2:$S985)+1,IF(OR($I986&lt;&gt;"",A986="x"),$S985,""))</f>
        <v/>
      </c>
      <c r="T986" t="str">
        <f>IF(D986=1,MAX($T$2:$T985)+1,IF(S986=S985,$T985,IF(D986="x",T985,IF(D985="x","",""))))</f>
        <v/>
      </c>
      <c r="U986" t="str">
        <f>IF(B986=1,MAX($U$2:$U985)+1,IF(AND($T986&lt;&gt;"",$T986=$T985),$U985,IF(B986="x",U985,"")))</f>
        <v/>
      </c>
      <c r="V986" t="str">
        <f>IF(C986=1,MAX($V$2:$V985)+1,IF(AND($T986&lt;&gt;"",$T986=$T985),$U985,IF(C986="x",V985,"")))</f>
        <v/>
      </c>
      <c r="X986" cm="1">
        <f t="array" ref="X986">IF($I986&lt;&gt;"",$I986,INDEX($I$1:$I986,ROW()-COUNTIFS($T$1:$T986,"="&amp;$T986,$S$1:$S986,"&lt;"&amp;$S986)))</f>
        <v>0</v>
      </c>
      <c r="Z986" s="6">
        <f t="shared" si="166"/>
        <v>1</v>
      </c>
      <c r="AA986" t="e">
        <f t="shared" si="167"/>
        <v>#VALUE!</v>
      </c>
      <c r="AB986" t="str">
        <f t="shared" si="168"/>
        <v/>
      </c>
      <c r="AC986" t="e">
        <f t="shared" si="169"/>
        <v>#VALUE!</v>
      </c>
    </row>
    <row r="987" spans="1:29" x14ac:dyDescent="0.2">
      <c r="A987" t="str">
        <f t="shared" si="170"/>
        <v/>
      </c>
      <c r="E987" s="4"/>
      <c r="F987" s="46"/>
      <c r="G987" s="4"/>
      <c r="H987" s="48"/>
      <c r="J987" s="26" t="str">
        <f t="shared" si="171"/>
        <v/>
      </c>
      <c r="N987" t="str">
        <f t="shared" si="172"/>
        <v/>
      </c>
      <c r="Q987" t="str">
        <f t="shared" si="173"/>
        <v/>
      </c>
      <c r="S987" t="str">
        <f>IF(A987=1,MAX($S$2:$S986)+1,IF(OR($I987&lt;&gt;"",A987="x"),$S986,""))</f>
        <v/>
      </c>
      <c r="T987" t="str">
        <f>IF(D987=1,MAX($T$2:$T986)+1,IF(S987=S986,$T986,IF(D987="x",T986,IF(D986="x","",""))))</f>
        <v/>
      </c>
      <c r="U987" t="str">
        <f>IF(B987=1,MAX($U$2:$U986)+1,IF(AND($T987&lt;&gt;"",$T987=$T986),$U986,IF(B987="x",U986,"")))</f>
        <v/>
      </c>
      <c r="V987" t="str">
        <f>IF(C987=1,MAX($V$2:$V986)+1,IF(AND($T987&lt;&gt;"",$T987=$T986),$U986,IF(C987="x",V986,"")))</f>
        <v/>
      </c>
      <c r="X987" cm="1">
        <f t="array" ref="X987">IF($I987&lt;&gt;"",$I987,INDEX($I$1:$I987,ROW()-COUNTIFS($T$1:$T987,"="&amp;$T987,$S$1:$S987,"&lt;"&amp;$S987)))</f>
        <v>0</v>
      </c>
      <c r="Z987" s="6">
        <f t="shared" si="166"/>
        <v>1</v>
      </c>
      <c r="AA987" t="e">
        <f t="shared" si="167"/>
        <v>#VALUE!</v>
      </c>
      <c r="AB987" t="str">
        <f t="shared" si="168"/>
        <v/>
      </c>
      <c r="AC987" t="e">
        <f t="shared" si="169"/>
        <v>#VALUE!</v>
      </c>
    </row>
    <row r="988" spans="1:29" x14ac:dyDescent="0.2">
      <c r="A988" t="str">
        <f t="shared" si="170"/>
        <v/>
      </c>
      <c r="E988" s="4"/>
      <c r="F988" s="46"/>
      <c r="G988" s="4"/>
      <c r="H988" s="48"/>
      <c r="J988" s="26" t="str">
        <f t="shared" si="171"/>
        <v/>
      </c>
      <c r="N988" t="str">
        <f t="shared" si="172"/>
        <v/>
      </c>
      <c r="Q988" t="str">
        <f t="shared" si="173"/>
        <v/>
      </c>
      <c r="S988" t="str">
        <f>IF(A988=1,MAX($S$2:$S987)+1,IF(OR($I988&lt;&gt;"",A988="x"),$S987,""))</f>
        <v/>
      </c>
      <c r="T988" t="str">
        <f>IF(D988=1,MAX($T$2:$T987)+1,IF(S988=S987,$T987,IF(D988="x",T987,IF(D987="x","",""))))</f>
        <v/>
      </c>
      <c r="U988" t="str">
        <f>IF(B988=1,MAX($U$2:$U987)+1,IF(AND($T988&lt;&gt;"",$T988=$T987),$U987,IF(B988="x",U987,"")))</f>
        <v/>
      </c>
      <c r="V988" t="str">
        <f>IF(C988=1,MAX($V$2:$V987)+1,IF(AND($T988&lt;&gt;"",$T988=$T987),$U987,IF(C988="x",V987,"")))</f>
        <v/>
      </c>
      <c r="X988" cm="1">
        <f t="array" ref="X988">IF($I988&lt;&gt;"",$I988,INDEX($I$1:$I988,ROW()-COUNTIFS($T$1:$T988,"="&amp;$T988,$S$1:$S988,"&lt;"&amp;$S988)))</f>
        <v>0</v>
      </c>
      <c r="Z988" s="6">
        <f t="shared" si="166"/>
        <v>1</v>
      </c>
      <c r="AA988" t="e">
        <f t="shared" si="167"/>
        <v>#VALUE!</v>
      </c>
      <c r="AB988" t="str">
        <f t="shared" si="168"/>
        <v/>
      </c>
      <c r="AC988" t="e">
        <f t="shared" si="169"/>
        <v>#VALUE!</v>
      </c>
    </row>
    <row r="989" spans="1:29" x14ac:dyDescent="0.2">
      <c r="A989" t="str">
        <f t="shared" si="170"/>
        <v/>
      </c>
      <c r="E989" s="4"/>
      <c r="F989" s="46"/>
      <c r="G989" s="4"/>
      <c r="H989" s="48"/>
      <c r="J989" s="26" t="str">
        <f t="shared" si="171"/>
        <v/>
      </c>
      <c r="N989" t="str">
        <f t="shared" si="172"/>
        <v/>
      </c>
      <c r="Q989" t="str">
        <f t="shared" si="173"/>
        <v/>
      </c>
      <c r="S989" t="str">
        <f>IF(A989=1,MAX($S$2:$S988)+1,IF(OR($I989&lt;&gt;"",A989="x"),$S988,""))</f>
        <v/>
      </c>
      <c r="T989" t="str">
        <f>IF(D989=1,MAX($T$2:$T988)+1,IF(S989=S988,$T988,IF(D989="x",T988,IF(D988="x","",""))))</f>
        <v/>
      </c>
      <c r="U989" t="str">
        <f>IF(B989=1,MAX($U$2:$U988)+1,IF(AND($T989&lt;&gt;"",$T989=$T988),$U988,IF(B989="x",U988,"")))</f>
        <v/>
      </c>
      <c r="V989" t="str">
        <f>IF(C989=1,MAX($V$2:$V988)+1,IF(AND($T989&lt;&gt;"",$T989=$T988),$U988,IF(C989="x",V988,"")))</f>
        <v/>
      </c>
      <c r="X989" cm="1">
        <f t="array" ref="X989">IF($I989&lt;&gt;"",$I989,INDEX($I$1:$I989,ROW()-COUNTIFS($T$1:$T989,"="&amp;$T989,$S$1:$S989,"&lt;"&amp;$S989)))</f>
        <v>0</v>
      </c>
      <c r="Z989" s="6">
        <f t="shared" si="166"/>
        <v>1</v>
      </c>
      <c r="AA989" t="e">
        <f t="shared" si="167"/>
        <v>#VALUE!</v>
      </c>
      <c r="AB989" t="str">
        <f t="shared" si="168"/>
        <v/>
      </c>
      <c r="AC989" t="e">
        <f t="shared" si="169"/>
        <v>#VALUE!</v>
      </c>
    </row>
    <row r="990" spans="1:29" x14ac:dyDescent="0.2">
      <c r="A990" t="str">
        <f t="shared" si="170"/>
        <v/>
      </c>
      <c r="E990" s="4"/>
      <c r="F990" s="46"/>
      <c r="G990" s="4"/>
      <c r="H990" s="48"/>
      <c r="J990" s="26" t="str">
        <f t="shared" si="171"/>
        <v/>
      </c>
      <c r="N990" t="str">
        <f t="shared" si="172"/>
        <v/>
      </c>
      <c r="Q990" t="str">
        <f t="shared" si="173"/>
        <v/>
      </c>
      <c r="S990" t="str">
        <f>IF(A990=1,MAX($S$2:$S989)+1,IF(OR($I990&lt;&gt;"",A990="x"),$S989,""))</f>
        <v/>
      </c>
      <c r="T990" t="str">
        <f>IF(D990=1,MAX($T$2:$T989)+1,IF(S990=S989,$T989,IF(D990="x",T989,IF(D989="x","",""))))</f>
        <v/>
      </c>
      <c r="U990" t="str">
        <f>IF(B990=1,MAX($U$2:$U989)+1,IF(AND($T990&lt;&gt;"",$T990=$T989),$U989,IF(B990="x",U989,"")))</f>
        <v/>
      </c>
      <c r="V990" t="str">
        <f>IF(C990=1,MAX($V$2:$V989)+1,IF(AND($T990&lt;&gt;"",$T990=$T989),$U989,IF(C990="x",V989,"")))</f>
        <v/>
      </c>
      <c r="X990" cm="1">
        <f t="array" ref="X990">IF($I990&lt;&gt;"",$I990,INDEX($I$1:$I990,ROW()-COUNTIFS($T$1:$T990,"="&amp;$T990,$S$1:$S990,"&lt;"&amp;$S990)))</f>
        <v>0</v>
      </c>
      <c r="Z990" s="6">
        <f t="shared" si="166"/>
        <v>1</v>
      </c>
      <c r="AA990" t="e">
        <f t="shared" si="167"/>
        <v>#VALUE!</v>
      </c>
      <c r="AB990" t="str">
        <f t="shared" si="168"/>
        <v/>
      </c>
      <c r="AC990" t="e">
        <f t="shared" si="169"/>
        <v>#VALUE!</v>
      </c>
    </row>
    <row r="991" spans="1:29" x14ac:dyDescent="0.2">
      <c r="A991" t="str">
        <f t="shared" si="170"/>
        <v/>
      </c>
      <c r="E991" s="4"/>
      <c r="F991" s="46"/>
      <c r="G991" s="4"/>
      <c r="H991" s="48"/>
      <c r="J991" s="26" t="str">
        <f t="shared" si="171"/>
        <v/>
      </c>
      <c r="N991" t="str">
        <f t="shared" si="172"/>
        <v/>
      </c>
      <c r="Q991" t="str">
        <f t="shared" si="173"/>
        <v/>
      </c>
      <c r="S991" t="str">
        <f>IF(A991=1,MAX($S$2:$S990)+1,IF(OR($I991&lt;&gt;"",A991="x"),$S990,""))</f>
        <v/>
      </c>
      <c r="T991" t="str">
        <f>IF(D991=1,MAX($T$2:$T990)+1,IF(S991=S990,$T990,IF(D991="x",T990,IF(D990="x","",""))))</f>
        <v/>
      </c>
      <c r="U991" t="str">
        <f>IF(B991=1,MAX($U$2:$U990)+1,IF(AND($T991&lt;&gt;"",$T991=$T990),$U990,IF(B991="x",U990,"")))</f>
        <v/>
      </c>
      <c r="V991" t="str">
        <f>IF(C991=1,MAX($V$2:$V990)+1,IF(AND($T991&lt;&gt;"",$T991=$T990),$U990,IF(C991="x",V990,"")))</f>
        <v/>
      </c>
      <c r="X991" cm="1">
        <f t="array" ref="X991">IF($I991&lt;&gt;"",$I991,INDEX($I$1:$I991,ROW()-COUNTIFS($T$1:$T991,"="&amp;$T991,$S$1:$S991,"&lt;"&amp;$S991)))</f>
        <v>0</v>
      </c>
      <c r="Z991" s="6">
        <f t="shared" si="166"/>
        <v>1</v>
      </c>
      <c r="AA991" t="e">
        <f t="shared" si="167"/>
        <v>#VALUE!</v>
      </c>
      <c r="AB991" t="str">
        <f t="shared" si="168"/>
        <v/>
      </c>
      <c r="AC991" t="e">
        <f t="shared" si="169"/>
        <v>#VALUE!</v>
      </c>
    </row>
    <row r="992" spans="1:29" x14ac:dyDescent="0.2">
      <c r="A992" t="str">
        <f t="shared" si="170"/>
        <v/>
      </c>
      <c r="E992" s="4"/>
      <c r="F992" s="46"/>
      <c r="G992" s="4"/>
      <c r="H992" s="48"/>
      <c r="J992" s="26" t="str">
        <f t="shared" si="171"/>
        <v/>
      </c>
      <c r="N992" t="str">
        <f t="shared" si="172"/>
        <v/>
      </c>
      <c r="Q992" t="str">
        <f t="shared" si="173"/>
        <v/>
      </c>
      <c r="S992" t="str">
        <f>IF(A992=1,MAX($S$2:$S991)+1,IF(OR($I992&lt;&gt;"",A992="x"),$S991,""))</f>
        <v/>
      </c>
      <c r="T992" t="str">
        <f>IF(D992=1,MAX($T$2:$T991)+1,IF(S992=S991,$T991,IF(D992="x",T991,IF(D991="x","",""))))</f>
        <v/>
      </c>
      <c r="U992" t="str">
        <f>IF(B992=1,MAX($U$2:$U991)+1,IF(AND($T992&lt;&gt;"",$T992=$T991),$U991,IF(B992="x",U991,"")))</f>
        <v/>
      </c>
      <c r="V992" t="str">
        <f>IF(C992=1,MAX($V$2:$V991)+1,IF(AND($T992&lt;&gt;"",$T992=$T991),$U991,IF(C992="x",V991,"")))</f>
        <v/>
      </c>
      <c r="X992" cm="1">
        <f t="array" ref="X992">IF($I992&lt;&gt;"",$I992,INDEX($I$1:$I992,ROW()-COUNTIFS($T$1:$T992,"="&amp;$T992,$S$1:$S992,"&lt;"&amp;$S992)))</f>
        <v>0</v>
      </c>
      <c r="Z992" s="6">
        <f t="shared" si="166"/>
        <v>1</v>
      </c>
      <c r="AA992" t="e">
        <f t="shared" si="167"/>
        <v>#VALUE!</v>
      </c>
      <c r="AB992" t="str">
        <f t="shared" si="168"/>
        <v/>
      </c>
      <c r="AC992" t="e">
        <f t="shared" si="169"/>
        <v>#VALUE!</v>
      </c>
    </row>
    <row r="993" spans="1:29" x14ac:dyDescent="0.2">
      <c r="A993" t="str">
        <f t="shared" si="170"/>
        <v/>
      </c>
      <c r="E993" s="4"/>
      <c r="F993" s="46"/>
      <c r="G993" s="4"/>
      <c r="H993" s="48"/>
      <c r="J993" s="26" t="str">
        <f t="shared" si="171"/>
        <v/>
      </c>
      <c r="N993" t="str">
        <f t="shared" si="172"/>
        <v/>
      </c>
      <c r="Q993" t="str">
        <f t="shared" si="173"/>
        <v/>
      </c>
      <c r="S993" t="str">
        <f>IF(A993=1,MAX($S$2:$S992)+1,IF(OR($I993&lt;&gt;"",A993="x"),$S992,""))</f>
        <v/>
      </c>
      <c r="T993" t="str">
        <f>IF(D993=1,MAX($T$2:$T992)+1,IF(S993=S992,$T992,IF(D993="x",T992,IF(D992="x","",""))))</f>
        <v/>
      </c>
      <c r="U993" t="str">
        <f>IF(B993=1,MAX($U$2:$U992)+1,IF(AND($T993&lt;&gt;"",$T993=$T992),$U992,IF(B993="x",U992,"")))</f>
        <v/>
      </c>
      <c r="V993" t="str">
        <f>IF(C993=1,MAX($V$2:$V992)+1,IF(AND($T993&lt;&gt;"",$T993=$T992),$U992,IF(C993="x",V992,"")))</f>
        <v/>
      </c>
      <c r="X993" cm="1">
        <f t="array" ref="X993">IF($I993&lt;&gt;"",$I993,INDEX($I$1:$I993,ROW()-COUNTIFS($T$1:$T993,"="&amp;$T993,$S$1:$S993,"&lt;"&amp;$S993)))</f>
        <v>0</v>
      </c>
      <c r="Z993" s="6">
        <f t="shared" si="166"/>
        <v>1</v>
      </c>
      <c r="AA993" t="e">
        <f t="shared" si="167"/>
        <v>#VALUE!</v>
      </c>
      <c r="AB993" t="str">
        <f t="shared" si="168"/>
        <v/>
      </c>
      <c r="AC993" t="e">
        <f t="shared" si="169"/>
        <v>#VALUE!</v>
      </c>
    </row>
    <row r="994" spans="1:29" x14ac:dyDescent="0.2">
      <c r="A994" t="str">
        <f t="shared" si="170"/>
        <v/>
      </c>
      <c r="E994" s="4"/>
      <c r="F994" s="46"/>
      <c r="G994" s="4"/>
      <c r="H994" s="48"/>
      <c r="J994" s="26" t="str">
        <f t="shared" si="171"/>
        <v/>
      </c>
      <c r="N994" t="str">
        <f t="shared" si="172"/>
        <v/>
      </c>
      <c r="Q994" t="str">
        <f t="shared" si="173"/>
        <v/>
      </c>
      <c r="S994" t="str">
        <f>IF(A994=1,MAX($S$2:$S993)+1,IF(OR($I994&lt;&gt;"",A994="x"),$S993,""))</f>
        <v/>
      </c>
      <c r="T994" t="str">
        <f>IF(D994=1,MAX($T$2:$T993)+1,IF(S994=S993,$T993,IF(D994="x",T993,IF(D993="x","",""))))</f>
        <v/>
      </c>
      <c r="U994" t="str">
        <f>IF(B994=1,MAX($U$2:$U993)+1,IF(AND($T994&lt;&gt;"",$T994=$T993),$U993,IF(B994="x",U993,"")))</f>
        <v/>
      </c>
      <c r="V994" t="str">
        <f>IF(C994=1,MAX($V$2:$V993)+1,IF(AND($T994&lt;&gt;"",$T994=$T993),$U993,IF(C994="x",V993,"")))</f>
        <v/>
      </c>
      <c r="X994" cm="1">
        <f t="array" ref="X994">IF($I994&lt;&gt;"",$I994,INDEX($I$1:$I994,ROW()-COUNTIFS($T$1:$T994,"="&amp;$T994,$S$1:$S994,"&lt;"&amp;$S994)))</f>
        <v>0</v>
      </c>
      <c r="Z994" s="6">
        <f t="shared" si="166"/>
        <v>1</v>
      </c>
      <c r="AA994" t="e">
        <f t="shared" si="167"/>
        <v>#VALUE!</v>
      </c>
      <c r="AB994" t="str">
        <f t="shared" si="168"/>
        <v/>
      </c>
      <c r="AC994" t="e">
        <f t="shared" si="169"/>
        <v>#VALUE!</v>
      </c>
    </row>
    <row r="995" spans="1:29" x14ac:dyDescent="0.2">
      <c r="A995" t="str">
        <f t="shared" si="170"/>
        <v/>
      </c>
      <c r="E995" s="4"/>
      <c r="F995" s="46"/>
      <c r="G995" s="4"/>
      <c r="H995" s="48"/>
      <c r="J995" s="26" t="str">
        <f t="shared" si="171"/>
        <v/>
      </c>
      <c r="N995" t="str">
        <f t="shared" si="172"/>
        <v/>
      </c>
      <c r="Q995" t="str">
        <f t="shared" si="173"/>
        <v/>
      </c>
      <c r="S995" t="str">
        <f>IF(A995=1,MAX($S$2:$S994)+1,IF(OR($I995&lt;&gt;"",A995="x"),$S994,""))</f>
        <v/>
      </c>
      <c r="T995" t="str">
        <f>IF(D995=1,MAX($T$2:$T994)+1,IF(S995=S994,$T994,IF(D995="x",T994,IF(D994="x","",""))))</f>
        <v/>
      </c>
      <c r="U995" t="str">
        <f>IF(B995=1,MAX($U$2:$U994)+1,IF(AND($T995&lt;&gt;"",$T995=$T994),$U994,IF(B995="x",U994,"")))</f>
        <v/>
      </c>
      <c r="V995" t="str">
        <f>IF(C995=1,MAX($V$2:$V994)+1,IF(AND($T995&lt;&gt;"",$T995=$T994),$U994,IF(C995="x",V994,"")))</f>
        <v/>
      </c>
      <c r="X995" cm="1">
        <f t="array" ref="X995">IF($I995&lt;&gt;"",$I995,INDEX($I$1:$I995,ROW()-COUNTIFS($T$1:$T995,"="&amp;$T995,$S$1:$S995,"&lt;"&amp;$S995)))</f>
        <v>0</v>
      </c>
      <c r="Z995" s="6">
        <f t="shared" si="166"/>
        <v>1</v>
      </c>
      <c r="AA995" t="e">
        <f t="shared" si="167"/>
        <v>#VALUE!</v>
      </c>
      <c r="AB995" t="str">
        <f t="shared" si="168"/>
        <v/>
      </c>
      <c r="AC995" t="e">
        <f t="shared" si="169"/>
        <v>#VALUE!</v>
      </c>
    </row>
    <row r="996" spans="1:29" x14ac:dyDescent="0.2">
      <c r="A996" t="str">
        <f t="shared" si="170"/>
        <v/>
      </c>
      <c r="E996" s="4"/>
      <c r="F996" s="46"/>
      <c r="G996" s="4"/>
      <c r="H996" s="48"/>
      <c r="J996" s="26" t="str">
        <f t="shared" si="171"/>
        <v/>
      </c>
      <c r="N996" t="str">
        <f t="shared" si="172"/>
        <v/>
      </c>
      <c r="Q996" t="str">
        <f t="shared" si="173"/>
        <v/>
      </c>
      <c r="S996" t="str">
        <f>IF(A996=1,MAX($S$2:$S995)+1,IF(OR($I996&lt;&gt;"",A996="x"),$S995,""))</f>
        <v/>
      </c>
      <c r="T996" t="str">
        <f>IF(D996=1,MAX($T$2:$T995)+1,IF(S996=S995,$T995,IF(D996="x",T995,IF(D995="x","",""))))</f>
        <v/>
      </c>
      <c r="U996" t="str">
        <f>IF(B996=1,MAX($U$2:$U995)+1,IF(AND($T996&lt;&gt;"",$T996=$T995),$U995,IF(B996="x",U995,"")))</f>
        <v/>
      </c>
      <c r="V996" t="str">
        <f>IF(C996=1,MAX($V$2:$V995)+1,IF(AND($T996&lt;&gt;"",$T996=$T995),$U995,IF(C996="x",V995,"")))</f>
        <v/>
      </c>
      <c r="X996" cm="1">
        <f t="array" ref="X996">IF($I996&lt;&gt;"",$I996,INDEX($I$1:$I996,ROW()-COUNTIFS($T$1:$T996,"="&amp;$T996,$S$1:$S996,"&lt;"&amp;$S996)))</f>
        <v>0</v>
      </c>
      <c r="Z996" s="6">
        <f t="shared" si="166"/>
        <v>1</v>
      </c>
      <c r="AA996" t="e">
        <f t="shared" si="167"/>
        <v>#VALUE!</v>
      </c>
      <c r="AB996" t="str">
        <f t="shared" si="168"/>
        <v/>
      </c>
      <c r="AC996" t="e">
        <f t="shared" si="169"/>
        <v>#VALUE!</v>
      </c>
    </row>
    <row r="997" spans="1:29" x14ac:dyDescent="0.2">
      <c r="A997" t="str">
        <f t="shared" si="170"/>
        <v/>
      </c>
      <c r="E997" s="4"/>
      <c r="F997" s="46"/>
      <c r="G997" s="4"/>
      <c r="H997" s="48"/>
      <c r="J997" s="26" t="str">
        <f t="shared" si="171"/>
        <v/>
      </c>
      <c r="N997" t="str">
        <f t="shared" si="172"/>
        <v/>
      </c>
      <c r="Q997" t="str">
        <f t="shared" si="173"/>
        <v/>
      </c>
      <c r="S997" t="str">
        <f>IF(A997=1,MAX($S$2:$S996)+1,IF(OR($I997&lt;&gt;"",A997="x"),$S996,""))</f>
        <v/>
      </c>
      <c r="T997" t="str">
        <f>IF(D997=1,MAX($T$2:$T996)+1,IF(S997=S996,$T996,IF(D997="x",T996,IF(D996="x","",""))))</f>
        <v/>
      </c>
      <c r="U997" t="str">
        <f>IF(B997=1,MAX($U$2:$U996)+1,IF(AND($T997&lt;&gt;"",$T997=$T996),$U996,IF(B997="x",U996,"")))</f>
        <v/>
      </c>
      <c r="V997" t="str">
        <f>IF(C997=1,MAX($V$2:$V996)+1,IF(AND($T997&lt;&gt;"",$T997=$T996),$U996,IF(C997="x",V996,"")))</f>
        <v/>
      </c>
      <c r="X997" cm="1">
        <f t="array" ref="X997">IF($I997&lt;&gt;"",$I997,INDEX($I$1:$I997,ROW()-COUNTIFS($T$1:$T997,"="&amp;$T997,$S$1:$S997,"&lt;"&amp;$S997)))</f>
        <v>0</v>
      </c>
      <c r="Z997" s="6">
        <f t="shared" si="166"/>
        <v>1</v>
      </c>
      <c r="AA997" t="e">
        <f t="shared" si="167"/>
        <v>#VALUE!</v>
      </c>
      <c r="AB997" t="str">
        <f t="shared" si="168"/>
        <v/>
      </c>
      <c r="AC997" t="e">
        <f t="shared" si="169"/>
        <v>#VALUE!</v>
      </c>
    </row>
    <row r="998" spans="1:29" x14ac:dyDescent="0.2">
      <c r="A998" t="str">
        <f t="shared" si="170"/>
        <v/>
      </c>
      <c r="E998" s="4"/>
      <c r="F998" s="46"/>
      <c r="G998" s="4"/>
      <c r="H998" s="48"/>
      <c r="J998" s="26" t="str">
        <f t="shared" si="171"/>
        <v/>
      </c>
      <c r="N998" t="str">
        <f t="shared" si="172"/>
        <v/>
      </c>
      <c r="Q998" t="str">
        <f t="shared" si="173"/>
        <v/>
      </c>
      <c r="S998" t="str">
        <f>IF(A998=1,MAX($S$2:$S997)+1,IF(OR($I998&lt;&gt;"",A998="x"),$S997,""))</f>
        <v/>
      </c>
      <c r="T998" t="str">
        <f>IF(D998=1,MAX($T$2:$T997)+1,IF(S998=S997,$T997,IF(D998="x",T997,IF(D997="x","",""))))</f>
        <v/>
      </c>
      <c r="U998" t="str">
        <f>IF(B998=1,MAX($U$2:$U997)+1,IF(AND($T998&lt;&gt;"",$T998=$T997),$U997,IF(B998="x",U997,"")))</f>
        <v/>
      </c>
      <c r="V998" t="str">
        <f>IF(C998=1,MAX($V$2:$V997)+1,IF(AND($T998&lt;&gt;"",$T998=$T997),$U997,IF(C998="x",V997,"")))</f>
        <v/>
      </c>
      <c r="X998" cm="1">
        <f t="array" ref="X998">IF($I998&lt;&gt;"",$I998,INDEX($I$1:$I998,ROW()-COUNTIFS($T$1:$T998,"="&amp;$T998,$S$1:$S998,"&lt;"&amp;$S998)))</f>
        <v>0</v>
      </c>
      <c r="Z998" s="6">
        <f t="shared" si="166"/>
        <v>1</v>
      </c>
      <c r="AA998" t="e">
        <f t="shared" si="167"/>
        <v>#VALUE!</v>
      </c>
      <c r="AB998" t="str">
        <f t="shared" si="168"/>
        <v/>
      </c>
      <c r="AC998" t="e">
        <f t="shared" si="169"/>
        <v>#VALUE!</v>
      </c>
    </row>
    <row r="999" spans="1:29" x14ac:dyDescent="0.2">
      <c r="A999" t="str">
        <f t="shared" si="170"/>
        <v/>
      </c>
      <c r="E999" s="4"/>
      <c r="F999" s="46"/>
      <c r="G999" s="4"/>
      <c r="H999" s="48"/>
      <c r="J999" s="26" t="str">
        <f t="shared" si="171"/>
        <v/>
      </c>
      <c r="N999" t="str">
        <f t="shared" si="172"/>
        <v/>
      </c>
      <c r="Q999" t="str">
        <f t="shared" si="173"/>
        <v/>
      </c>
      <c r="S999" t="str">
        <f>IF(A999=1,MAX($S$2:$S998)+1,IF(OR($I999&lt;&gt;"",A999="x"),$S998,""))</f>
        <v/>
      </c>
      <c r="T999" t="str">
        <f>IF(D999=1,MAX($T$2:$T998)+1,IF(S999=S998,$T998,IF(D999="x",T998,IF(D998="x","",""))))</f>
        <v/>
      </c>
      <c r="U999" t="str">
        <f>IF(B999=1,MAX($U$2:$U998)+1,IF(AND($T999&lt;&gt;"",$T999=$T998),$U998,IF(B999="x",U998,"")))</f>
        <v/>
      </c>
      <c r="V999" t="str">
        <f>IF(C999=1,MAX($V$2:$V998)+1,IF(AND($T999&lt;&gt;"",$T999=$T998),$U998,IF(C999="x",V998,"")))</f>
        <v/>
      </c>
      <c r="X999" cm="1">
        <f t="array" ref="X999">IF($I999&lt;&gt;"",$I999,INDEX($I$1:$I999,ROW()-COUNTIFS($T$1:$T999,"="&amp;$T999,$S$1:$S999,"&lt;"&amp;$S999)))</f>
        <v>0</v>
      </c>
      <c r="Z999" s="6">
        <f t="shared" si="166"/>
        <v>1</v>
      </c>
      <c r="AA999" t="e">
        <f t="shared" si="167"/>
        <v>#VALUE!</v>
      </c>
      <c r="AB999" t="str">
        <f t="shared" si="168"/>
        <v/>
      </c>
      <c r="AC999" t="e">
        <f t="shared" si="169"/>
        <v>#VALUE!</v>
      </c>
    </row>
    <row r="1000" spans="1:29" x14ac:dyDescent="0.2">
      <c r="A1000" t="str">
        <f t="shared" si="170"/>
        <v/>
      </c>
      <c r="E1000" s="4"/>
      <c r="F1000" s="46"/>
      <c r="G1000" s="4"/>
      <c r="H1000" s="48"/>
      <c r="J1000" s="26" t="str">
        <f t="shared" si="171"/>
        <v/>
      </c>
      <c r="N1000" t="str">
        <f t="shared" si="172"/>
        <v/>
      </c>
      <c r="Q1000" t="str">
        <f t="shared" si="173"/>
        <v/>
      </c>
      <c r="S1000" t="str">
        <f>IF(A1000=1,MAX($S$2:$S999)+1,IF(OR($I1000&lt;&gt;"",A1000="x"),$S999,""))</f>
        <v/>
      </c>
      <c r="T1000" t="str">
        <f>IF(D1000=1,MAX($T$2:$T999)+1,IF(S1000=S999,$T999,IF(D1000="x",T999,IF(D999="x","",""))))</f>
        <v/>
      </c>
      <c r="U1000" t="str">
        <f>IF(B1000=1,MAX($U$2:$U999)+1,IF(AND($T1000&lt;&gt;"",$T1000=$T999),$U999,IF(B1000="x",U999,"")))</f>
        <v/>
      </c>
      <c r="V1000" t="str">
        <f>IF(C1000=1,MAX($V$2:$V999)+1,IF(AND($T1000&lt;&gt;"",$T1000=$T999),$U999,IF(C1000="x",V999,"")))</f>
        <v/>
      </c>
      <c r="X1000" cm="1">
        <f t="array" ref="X1000">IF($I1000&lt;&gt;"",$I1000,INDEX($I$1:$I1000,ROW()-COUNTIFS($T$1:$T1000,"="&amp;$T1000,$S$1:$S1000,"&lt;"&amp;$S1000)))</f>
        <v>0</v>
      </c>
      <c r="Z1000" s="6">
        <f t="shared" si="166"/>
        <v>1</v>
      </c>
      <c r="AA1000" t="e">
        <f t="shared" si="167"/>
        <v>#VALUE!</v>
      </c>
      <c r="AB1000" t="str">
        <f t="shared" si="168"/>
        <v/>
      </c>
      <c r="AC1000" t="e">
        <f t="shared" si="169"/>
        <v>#VALUE!</v>
      </c>
    </row>
    <row r="1001" spans="1:29" x14ac:dyDescent="0.2">
      <c r="A1001" t="str">
        <f t="shared" si="170"/>
        <v/>
      </c>
      <c r="E1001" s="4"/>
      <c r="F1001" s="46"/>
      <c r="G1001" s="4"/>
      <c r="H1001" s="48"/>
      <c r="J1001" s="26" t="str">
        <f t="shared" si="171"/>
        <v/>
      </c>
      <c r="N1001" t="str">
        <f t="shared" si="172"/>
        <v/>
      </c>
      <c r="Q1001" t="str">
        <f t="shared" si="173"/>
        <v/>
      </c>
      <c r="S1001" t="str">
        <f>IF(A1001=1,MAX($S$2:$S1000)+1,IF(OR($I1001&lt;&gt;"",A1001="x"),$S1000,""))</f>
        <v/>
      </c>
      <c r="T1001" t="str">
        <f>IF(D1001=1,MAX($T$2:$T1000)+1,IF(S1001=S1000,$T1000,IF(D1001="x",T1000,IF(D1000="x","",""))))</f>
        <v/>
      </c>
      <c r="U1001" t="str">
        <f>IF(B1001=1,MAX($U$2:$U1000)+1,IF(AND($T1001&lt;&gt;"",$T1001=$T1000),$U1000,IF(B1001="x",U1000,"")))</f>
        <v/>
      </c>
      <c r="V1001" t="str">
        <f>IF(C1001=1,MAX($V$2:$V1000)+1,IF(AND($T1001&lt;&gt;"",$T1001=$T1000),$U1000,IF(C1001="x",V1000,"")))</f>
        <v/>
      </c>
      <c r="X1001" cm="1">
        <f t="array" ref="X1001">IF($I1001&lt;&gt;"",$I1001,INDEX($I$1:$I1001,ROW()-COUNTIFS($T$1:$T1001,"="&amp;$T1001,$S$1:$S1001,"&lt;"&amp;$S1001)))</f>
        <v>0</v>
      </c>
      <c r="Z1001" s="6">
        <f t="shared" si="166"/>
        <v>1</v>
      </c>
      <c r="AA1001" t="e">
        <f t="shared" si="167"/>
        <v>#VALUE!</v>
      </c>
      <c r="AB1001" t="str">
        <f t="shared" si="168"/>
        <v/>
      </c>
      <c r="AC1001" t="e">
        <f t="shared" si="169"/>
        <v>#VALUE!</v>
      </c>
    </row>
    <row r="1002" spans="1:29" x14ac:dyDescent="0.2">
      <c r="A1002" t="str">
        <f t="shared" si="170"/>
        <v/>
      </c>
      <c r="E1002" s="4"/>
      <c r="F1002" s="46"/>
      <c r="G1002" s="4"/>
      <c r="H1002" s="48"/>
      <c r="J1002" s="26" t="str">
        <f t="shared" si="171"/>
        <v/>
      </c>
      <c r="N1002" t="str">
        <f t="shared" si="172"/>
        <v/>
      </c>
      <c r="Q1002" t="str">
        <f t="shared" si="173"/>
        <v/>
      </c>
      <c r="S1002" t="str">
        <f>IF(A1002=1,MAX($S$2:$S1001)+1,IF(OR($I1002&lt;&gt;"",A1002="x"),$S1001,""))</f>
        <v/>
      </c>
      <c r="T1002" t="str">
        <f>IF(D1002=1,MAX($T$2:$T1001)+1,IF(S1002=S1001,$T1001,IF(D1002="x",T1001,IF(D1001="x","",""))))</f>
        <v/>
      </c>
      <c r="U1002" t="str">
        <f>IF(B1002=1,MAX($U$2:$U1001)+1,IF(AND($T1002&lt;&gt;"",$T1002=$T1001),$U1001,IF(B1002="x",U1001,"")))</f>
        <v/>
      </c>
      <c r="V1002" t="str">
        <f>IF(C1002=1,MAX($V$2:$V1001)+1,IF(AND($T1002&lt;&gt;"",$T1002=$T1001),$U1001,IF(C1002="x",V1001,"")))</f>
        <v/>
      </c>
      <c r="X1002" cm="1">
        <f t="array" ref="X1002">IF($I1002&lt;&gt;"",$I1002,INDEX($I$1:$I1002,ROW()-COUNTIFS($T$1:$T1002,"="&amp;$T1002,$S$1:$S1002,"&lt;"&amp;$S1002)))</f>
        <v>0</v>
      </c>
      <c r="Z1002" s="6">
        <f t="shared" si="166"/>
        <v>1</v>
      </c>
      <c r="AA1002" t="e">
        <f t="shared" si="167"/>
        <v>#VALUE!</v>
      </c>
      <c r="AB1002" t="str">
        <f t="shared" si="168"/>
        <v/>
      </c>
      <c r="AC1002" t="e">
        <f t="shared" si="169"/>
        <v>#VALUE!</v>
      </c>
    </row>
    <row r="1003" spans="1:29" x14ac:dyDescent="0.2">
      <c r="A1003" t="str">
        <f t="shared" si="170"/>
        <v/>
      </c>
      <c r="E1003" s="4"/>
      <c r="F1003" s="46"/>
      <c r="G1003" s="4"/>
      <c r="H1003" s="48"/>
      <c r="J1003" s="26" t="str">
        <f t="shared" si="171"/>
        <v/>
      </c>
      <c r="N1003" t="str">
        <f t="shared" si="172"/>
        <v/>
      </c>
      <c r="Q1003" t="str">
        <f t="shared" si="173"/>
        <v/>
      </c>
      <c r="S1003" t="str">
        <f>IF(A1003=1,MAX($S$2:$S1002)+1,IF(OR($I1003&lt;&gt;"",A1003="x"),$S1002,""))</f>
        <v/>
      </c>
      <c r="T1003" t="str">
        <f>IF(D1003=1,MAX($T$2:$T1002)+1,IF(S1003=S1002,$T1002,IF(D1003="x",T1002,IF(D1002="x","",""))))</f>
        <v/>
      </c>
      <c r="U1003" t="str">
        <f>IF(B1003=1,MAX($U$2:$U1002)+1,IF(AND($T1003&lt;&gt;"",$T1003=$T1002),$U1002,IF(B1003="x",U1002,"")))</f>
        <v/>
      </c>
      <c r="V1003" t="str">
        <f>IF(C1003=1,MAX($V$2:$V1002)+1,IF(AND($T1003&lt;&gt;"",$T1003=$T1002),$U1002,IF(C1003="x",V1002,"")))</f>
        <v/>
      </c>
      <c r="X1003" cm="1">
        <f t="array" ref="X1003">IF($I1003&lt;&gt;"",$I1003,INDEX($I$1:$I1003,ROW()-COUNTIFS($T$1:$T1003,"="&amp;$T1003,$S$1:$S1003,"&lt;"&amp;$S1003)))</f>
        <v>0</v>
      </c>
      <c r="Z1003" s="6">
        <f t="shared" si="166"/>
        <v>1</v>
      </c>
      <c r="AA1003" t="e">
        <f t="shared" si="167"/>
        <v>#VALUE!</v>
      </c>
      <c r="AB1003" t="str">
        <f t="shared" si="168"/>
        <v/>
      </c>
      <c r="AC1003" t="e">
        <f t="shared" si="169"/>
        <v>#VALUE!</v>
      </c>
    </row>
    <row r="1004" spans="1:29" x14ac:dyDescent="0.2">
      <c r="A1004" t="str">
        <f t="shared" si="170"/>
        <v/>
      </c>
      <c r="E1004" s="4"/>
      <c r="F1004" s="46"/>
      <c r="G1004" s="4"/>
      <c r="H1004" s="48"/>
      <c r="J1004" s="26" t="str">
        <f t="shared" si="171"/>
        <v/>
      </c>
      <c r="N1004" t="str">
        <f t="shared" si="172"/>
        <v/>
      </c>
      <c r="Q1004" t="str">
        <f t="shared" si="173"/>
        <v/>
      </c>
      <c r="S1004" t="str">
        <f>IF(A1004=1,MAX($S$2:$S1003)+1,IF(OR($I1004&lt;&gt;"",A1004="x"),$S1003,""))</f>
        <v/>
      </c>
      <c r="T1004" t="str">
        <f>IF(D1004=1,MAX($T$2:$T1003)+1,IF(S1004=S1003,$T1003,IF(D1004="x",T1003,IF(D1003="x","",""))))</f>
        <v/>
      </c>
      <c r="U1004" t="str">
        <f>IF(B1004=1,MAX($U$2:$U1003)+1,IF(AND($T1004&lt;&gt;"",$T1004=$T1003),$U1003,IF(B1004="x",U1003,"")))</f>
        <v/>
      </c>
      <c r="V1004" t="str">
        <f>IF(C1004=1,MAX($V$2:$V1003)+1,IF(AND($T1004&lt;&gt;"",$T1004=$T1003),$U1003,IF(C1004="x",V1003,"")))</f>
        <v/>
      </c>
      <c r="X1004" cm="1">
        <f t="array" ref="X1004">IF($I1004&lt;&gt;"",$I1004,INDEX($I$1:$I1004,ROW()-COUNTIFS($T$1:$T1004,"="&amp;$T1004,$S$1:$S1004,"&lt;"&amp;$S1004)))</f>
        <v>0</v>
      </c>
      <c r="Z1004" s="6">
        <f t="shared" si="166"/>
        <v>1</v>
      </c>
      <c r="AA1004" t="e">
        <f t="shared" si="167"/>
        <v>#VALUE!</v>
      </c>
      <c r="AB1004" t="str">
        <f t="shared" si="168"/>
        <v/>
      </c>
      <c r="AC1004" t="e">
        <f t="shared" si="169"/>
        <v>#VALUE!</v>
      </c>
    </row>
    <row r="1005" spans="1:29" x14ac:dyDescent="0.2">
      <c r="A1005" t="str">
        <f t="shared" si="170"/>
        <v/>
      </c>
      <c r="E1005" s="4"/>
      <c r="F1005" s="46"/>
      <c r="G1005" s="4"/>
      <c r="H1005" s="48"/>
      <c r="J1005" s="26" t="str">
        <f t="shared" si="171"/>
        <v/>
      </c>
      <c r="N1005" t="str">
        <f t="shared" si="172"/>
        <v/>
      </c>
      <c r="Q1005" t="str">
        <f t="shared" si="173"/>
        <v/>
      </c>
      <c r="S1005" t="str">
        <f>IF(A1005=1,MAX($S$2:$S1004)+1,IF(OR($I1005&lt;&gt;"",A1005="x"),$S1004,""))</f>
        <v/>
      </c>
      <c r="T1005" t="str">
        <f>IF(D1005=1,MAX($T$2:$T1004)+1,IF(S1005=S1004,$T1004,IF(D1005="x",T1004,IF(D1004="x","",""))))</f>
        <v/>
      </c>
      <c r="U1005" t="str">
        <f>IF(B1005=1,MAX($U$2:$U1004)+1,IF(AND($T1005&lt;&gt;"",$T1005=$T1004),$U1004,IF(B1005="x",U1004,"")))</f>
        <v/>
      </c>
      <c r="V1005" t="str">
        <f>IF(C1005=1,MAX($V$2:$V1004)+1,IF(AND($T1005&lt;&gt;"",$T1005=$T1004),$U1004,IF(C1005="x",V1004,"")))</f>
        <v/>
      </c>
      <c r="X1005" cm="1">
        <f t="array" ref="X1005">IF($I1005&lt;&gt;"",$I1005,INDEX($I$1:$I1005,ROW()-COUNTIFS($T$1:$T1005,"="&amp;$T1005,$S$1:$S1005,"&lt;"&amp;$S1005)))</f>
        <v>0</v>
      </c>
      <c r="Z1005" s="6">
        <f t="shared" si="166"/>
        <v>1</v>
      </c>
      <c r="AA1005" t="e">
        <f t="shared" si="167"/>
        <v>#VALUE!</v>
      </c>
      <c r="AB1005" t="str">
        <f t="shared" si="168"/>
        <v/>
      </c>
      <c r="AC1005" t="e">
        <f t="shared" si="169"/>
        <v>#VALUE!</v>
      </c>
    </row>
    <row r="1006" spans="1:29" x14ac:dyDescent="0.2">
      <c r="A1006" t="str">
        <f t="shared" si="170"/>
        <v/>
      </c>
      <c r="E1006" s="4"/>
      <c r="F1006" s="46"/>
      <c r="G1006" s="4"/>
      <c r="H1006" s="48"/>
      <c r="J1006" s="26" t="str">
        <f t="shared" si="171"/>
        <v/>
      </c>
      <c r="N1006" t="str">
        <f t="shared" si="172"/>
        <v/>
      </c>
      <c r="Q1006" t="str">
        <f t="shared" si="173"/>
        <v/>
      </c>
      <c r="S1006" t="str">
        <f>IF(A1006=1,MAX($S$2:$S1005)+1,IF(OR($I1006&lt;&gt;"",A1006="x"),$S1005,""))</f>
        <v/>
      </c>
      <c r="T1006" t="str">
        <f>IF(D1006=1,MAX($T$2:$T1005)+1,IF(S1006=S1005,$T1005,IF(D1006="x",T1005,IF(D1005="x","",""))))</f>
        <v/>
      </c>
      <c r="U1006" t="str">
        <f>IF(B1006=1,MAX($U$2:$U1005)+1,IF(AND($T1006&lt;&gt;"",$T1006=$T1005),$U1005,IF(B1006="x",U1005,"")))</f>
        <v/>
      </c>
      <c r="V1006" t="str">
        <f>IF(C1006=1,MAX($V$2:$V1005)+1,IF(AND($T1006&lt;&gt;"",$T1006=$T1005),$U1005,IF(C1006="x",V1005,"")))</f>
        <v/>
      </c>
      <c r="X1006" cm="1">
        <f t="array" ref="X1006">IF($I1006&lt;&gt;"",$I1006,INDEX($I$1:$I1006,ROW()-COUNTIFS($T$1:$T1006,"="&amp;$T1006,$S$1:$S1006,"&lt;"&amp;$S1006)))</f>
        <v>0</v>
      </c>
      <c r="Z1006" s="6">
        <f t="shared" si="166"/>
        <v>1</v>
      </c>
      <c r="AA1006" t="e">
        <f t="shared" si="167"/>
        <v>#VALUE!</v>
      </c>
      <c r="AB1006" t="str">
        <f t="shared" si="168"/>
        <v/>
      </c>
      <c r="AC1006" t="e">
        <f t="shared" si="169"/>
        <v>#VALUE!</v>
      </c>
    </row>
    <row r="1007" spans="1:29" x14ac:dyDescent="0.2">
      <c r="A1007" t="str">
        <f t="shared" si="170"/>
        <v/>
      </c>
      <c r="E1007" s="4"/>
      <c r="F1007" s="46"/>
      <c r="G1007" s="4"/>
      <c r="H1007" s="48"/>
      <c r="J1007" s="26" t="str">
        <f t="shared" si="171"/>
        <v/>
      </c>
      <c r="N1007" t="str">
        <f t="shared" si="172"/>
        <v/>
      </c>
      <c r="Q1007" t="str">
        <f t="shared" si="173"/>
        <v/>
      </c>
      <c r="S1007" t="str">
        <f>IF(A1007=1,MAX($S$2:$S1006)+1,IF(OR($I1007&lt;&gt;"",A1007="x"),$S1006,""))</f>
        <v/>
      </c>
      <c r="T1007" t="str">
        <f>IF(D1007=1,MAX($T$2:$T1006)+1,IF(S1007=S1006,$T1006,IF(D1007="x",T1006,IF(D1006="x","",""))))</f>
        <v/>
      </c>
      <c r="U1007" t="str">
        <f>IF(B1007=1,MAX($U$2:$U1006)+1,IF(AND($T1007&lt;&gt;"",$T1007=$T1006),$U1006,IF(B1007="x",U1006,"")))</f>
        <v/>
      </c>
      <c r="V1007" t="str">
        <f>IF(C1007=1,MAX($V$2:$V1006)+1,IF(AND($T1007&lt;&gt;"",$T1007=$T1006),$U1006,IF(C1007="x",V1006,"")))</f>
        <v/>
      </c>
      <c r="X1007" cm="1">
        <f t="array" ref="X1007">IF($I1007&lt;&gt;"",$I1007,INDEX($I$1:$I1007,ROW()-COUNTIFS($T$1:$T1007,"="&amp;$T1007,$S$1:$S1007,"&lt;"&amp;$S1007)))</f>
        <v>0</v>
      </c>
      <c r="Z1007" s="6">
        <f t="shared" si="166"/>
        <v>1</v>
      </c>
      <c r="AA1007" t="e">
        <f t="shared" si="167"/>
        <v>#VALUE!</v>
      </c>
      <c r="AB1007" t="str">
        <f t="shared" si="168"/>
        <v/>
      </c>
      <c r="AC1007" t="e">
        <f t="shared" si="169"/>
        <v>#VALUE!</v>
      </c>
    </row>
    <row r="1008" spans="1:29" x14ac:dyDescent="0.2">
      <c r="A1008" t="str">
        <f t="shared" si="170"/>
        <v/>
      </c>
      <c r="E1008" s="4"/>
      <c r="F1008" s="46"/>
      <c r="G1008" s="4"/>
      <c r="H1008" s="48"/>
      <c r="J1008" s="26" t="str">
        <f t="shared" si="171"/>
        <v/>
      </c>
      <c r="N1008" t="str">
        <f t="shared" si="172"/>
        <v/>
      </c>
      <c r="Q1008" t="str">
        <f t="shared" si="173"/>
        <v/>
      </c>
      <c r="S1008" t="str">
        <f>IF(A1008=1,MAX($S$2:$S1007)+1,IF(OR($I1008&lt;&gt;"",A1008="x"),$S1007,""))</f>
        <v/>
      </c>
      <c r="T1008" t="str">
        <f>IF(D1008=1,MAX($T$2:$T1007)+1,IF(S1008=S1007,$T1007,IF(D1008="x",T1007,IF(D1007="x","",""))))</f>
        <v/>
      </c>
      <c r="U1008" t="str">
        <f>IF(B1008=1,MAX($U$2:$U1007)+1,IF(AND($T1008&lt;&gt;"",$T1008=$T1007),$U1007,IF(B1008="x",U1007,"")))</f>
        <v/>
      </c>
      <c r="V1008" t="str">
        <f>IF(C1008=1,MAX($V$2:$V1007)+1,IF(AND($T1008&lt;&gt;"",$T1008=$T1007),$U1007,IF(C1008="x",V1007,"")))</f>
        <v/>
      </c>
      <c r="X1008" cm="1">
        <f t="array" ref="X1008">IF($I1008&lt;&gt;"",$I1008,INDEX($I$1:$I1008,ROW()-COUNTIFS($T$1:$T1008,"="&amp;$T1008,$S$1:$S1008,"&lt;"&amp;$S1008)))</f>
        <v>0</v>
      </c>
      <c r="Z1008" s="6">
        <f t="shared" si="166"/>
        <v>1</v>
      </c>
      <c r="AA1008" t="e">
        <f t="shared" si="167"/>
        <v>#VALUE!</v>
      </c>
      <c r="AB1008" t="str">
        <f t="shared" si="168"/>
        <v/>
      </c>
      <c r="AC1008" t="e">
        <f t="shared" si="169"/>
        <v>#VALUE!</v>
      </c>
    </row>
    <row r="1009" spans="1:29" x14ac:dyDescent="0.2">
      <c r="A1009" t="str">
        <f t="shared" si="170"/>
        <v/>
      </c>
      <c r="E1009" s="4"/>
      <c r="F1009" s="46"/>
      <c r="G1009" s="4"/>
      <c r="H1009" s="48"/>
      <c r="J1009" s="26" t="str">
        <f t="shared" si="171"/>
        <v/>
      </c>
      <c r="N1009" t="str">
        <f t="shared" si="172"/>
        <v/>
      </c>
      <c r="Q1009" t="str">
        <f t="shared" si="173"/>
        <v/>
      </c>
      <c r="S1009" t="str">
        <f>IF(A1009=1,MAX($S$2:$S1008)+1,IF(OR($I1009&lt;&gt;"",A1009="x"),$S1008,""))</f>
        <v/>
      </c>
      <c r="T1009" t="str">
        <f>IF(D1009=1,MAX($T$2:$T1008)+1,IF(S1009=S1008,$T1008,IF(D1009="x",T1008,IF(D1008="x","",""))))</f>
        <v/>
      </c>
      <c r="U1009" t="str">
        <f>IF(B1009=1,MAX($U$2:$U1008)+1,IF(AND($T1009&lt;&gt;"",$T1009=$T1008),$U1008,IF(B1009="x",U1008,"")))</f>
        <v/>
      </c>
      <c r="V1009" t="str">
        <f>IF(C1009=1,MAX($V$2:$V1008)+1,IF(AND($T1009&lt;&gt;"",$T1009=$T1008),$U1008,IF(C1009="x",V1008,"")))</f>
        <v/>
      </c>
      <c r="X1009" cm="1">
        <f t="array" ref="X1009">IF($I1009&lt;&gt;"",$I1009,INDEX($I$1:$I1009,ROW()-COUNTIFS($T$1:$T1009,"="&amp;$T1009,$S$1:$S1009,"&lt;"&amp;$S1009)))</f>
        <v>0</v>
      </c>
      <c r="Z1009" s="6">
        <f t="shared" si="166"/>
        <v>1</v>
      </c>
      <c r="AA1009" t="e">
        <f t="shared" si="167"/>
        <v>#VALUE!</v>
      </c>
      <c r="AB1009" t="str">
        <f t="shared" si="168"/>
        <v/>
      </c>
      <c r="AC1009" t="e">
        <f t="shared" si="169"/>
        <v>#VALUE!</v>
      </c>
    </row>
    <row r="1010" spans="1:29" x14ac:dyDescent="0.2">
      <c r="A1010" t="str">
        <f t="shared" si="170"/>
        <v/>
      </c>
      <c r="E1010" s="4"/>
      <c r="F1010" s="46"/>
      <c r="G1010" s="4"/>
      <c r="H1010" s="48"/>
      <c r="J1010" s="26" t="str">
        <f t="shared" si="171"/>
        <v/>
      </c>
      <c r="N1010" t="str">
        <f t="shared" si="172"/>
        <v/>
      </c>
      <c r="Q1010" t="str">
        <f t="shared" si="173"/>
        <v/>
      </c>
      <c r="S1010" t="str">
        <f>IF(A1010=1,MAX($S$2:$S1009)+1,IF(OR($I1010&lt;&gt;"",A1010="x"),$S1009,""))</f>
        <v/>
      </c>
      <c r="T1010" t="str">
        <f>IF(D1010=1,MAX($T$2:$T1009)+1,IF(S1010=S1009,$T1009,IF(D1010="x",T1009,IF(D1009="x","",""))))</f>
        <v/>
      </c>
      <c r="U1010" t="str">
        <f>IF(B1010=1,MAX($U$2:$U1009)+1,IF(AND($T1010&lt;&gt;"",$T1010=$T1009),$U1009,IF(B1010="x",U1009,"")))</f>
        <v/>
      </c>
      <c r="V1010" t="str">
        <f>IF(C1010=1,MAX($V$2:$V1009)+1,IF(AND($T1010&lt;&gt;"",$T1010=$T1009),$U1009,IF(C1010="x",V1009,"")))</f>
        <v/>
      </c>
      <c r="X1010" cm="1">
        <f t="array" ref="X1010">IF($I1010&lt;&gt;"",$I1010,INDEX($I$1:$I1010,ROW()-COUNTIFS($T$1:$T1010,"="&amp;$T1010,$S$1:$S1010,"&lt;"&amp;$S1010)))</f>
        <v>0</v>
      </c>
      <c r="Z1010" s="6">
        <f t="shared" si="166"/>
        <v>1</v>
      </c>
      <c r="AA1010" t="e">
        <f t="shared" si="167"/>
        <v>#VALUE!</v>
      </c>
      <c r="AB1010" t="str">
        <f t="shared" si="168"/>
        <v/>
      </c>
      <c r="AC1010" t="e">
        <f t="shared" si="169"/>
        <v>#VALUE!</v>
      </c>
    </row>
    <row r="1011" spans="1:29" x14ac:dyDescent="0.2">
      <c r="A1011" t="str">
        <f t="shared" si="170"/>
        <v/>
      </c>
      <c r="E1011" s="4"/>
      <c r="F1011" s="46"/>
      <c r="G1011" s="4"/>
      <c r="H1011" s="48"/>
      <c r="J1011" s="26" t="str">
        <f t="shared" si="171"/>
        <v/>
      </c>
      <c r="N1011" t="str">
        <f t="shared" si="172"/>
        <v/>
      </c>
      <c r="Q1011" t="str">
        <f t="shared" si="173"/>
        <v/>
      </c>
      <c r="S1011" t="str">
        <f>IF(A1011=1,MAX($S$2:$S1010)+1,IF(OR($I1011&lt;&gt;"",A1011="x"),$S1010,""))</f>
        <v/>
      </c>
      <c r="T1011" t="str">
        <f>IF(D1011=1,MAX($T$2:$T1010)+1,IF(S1011=S1010,$T1010,IF(D1011="x",T1010,IF(D1010="x","",""))))</f>
        <v/>
      </c>
      <c r="U1011" t="str">
        <f>IF(B1011=1,MAX($U$2:$U1010)+1,IF(AND($T1011&lt;&gt;"",$T1011=$T1010),$U1010,IF(B1011="x",U1010,"")))</f>
        <v/>
      </c>
      <c r="V1011" t="str">
        <f>IF(C1011=1,MAX($V$2:$V1010)+1,IF(AND($T1011&lt;&gt;"",$T1011=$T1010),$U1010,IF(C1011="x",V1010,"")))</f>
        <v/>
      </c>
      <c r="X1011" cm="1">
        <f t="array" ref="X1011">IF($I1011&lt;&gt;"",$I1011,INDEX($I$1:$I1011,ROW()-COUNTIFS($T$1:$T1011,"="&amp;$T1011,$S$1:$S1011,"&lt;"&amp;$S1011)))</f>
        <v>0</v>
      </c>
      <c r="Z1011" s="6">
        <f t="shared" si="166"/>
        <v>1</v>
      </c>
      <c r="AA1011" t="e">
        <f t="shared" si="167"/>
        <v>#VALUE!</v>
      </c>
      <c r="AB1011" t="str">
        <f t="shared" si="168"/>
        <v/>
      </c>
      <c r="AC1011" t="e">
        <f t="shared" si="169"/>
        <v>#VALUE!</v>
      </c>
    </row>
    <row r="1012" spans="1:29" x14ac:dyDescent="0.2">
      <c r="A1012" t="str">
        <f t="shared" si="170"/>
        <v/>
      </c>
      <c r="E1012" s="4"/>
      <c r="F1012" s="46"/>
      <c r="G1012" s="4"/>
      <c r="H1012" s="48"/>
      <c r="J1012" s="26" t="str">
        <f t="shared" si="171"/>
        <v/>
      </c>
      <c r="N1012" t="str">
        <f t="shared" si="172"/>
        <v/>
      </c>
      <c r="Q1012" t="str">
        <f t="shared" si="173"/>
        <v/>
      </c>
      <c r="S1012" t="str">
        <f>IF(A1012=1,MAX($S$2:$S1011)+1,IF(OR($I1012&lt;&gt;"",A1012="x"),$S1011,""))</f>
        <v/>
      </c>
      <c r="T1012" t="str">
        <f>IF(D1012=1,MAX($T$2:$T1011)+1,IF(S1012=S1011,$T1011,IF(D1012="x",T1011,IF(D1011="x","",""))))</f>
        <v/>
      </c>
      <c r="U1012" t="str">
        <f>IF(B1012=1,MAX($U$2:$U1011)+1,IF(AND($T1012&lt;&gt;"",$T1012=$T1011),$U1011,IF(B1012="x",U1011,"")))</f>
        <v/>
      </c>
      <c r="V1012" t="str">
        <f>IF(C1012=1,MAX($V$2:$V1011)+1,IF(AND($T1012&lt;&gt;"",$T1012=$T1011),$U1011,IF(C1012="x",V1011,"")))</f>
        <v/>
      </c>
      <c r="X1012" cm="1">
        <f t="array" ref="X1012">IF($I1012&lt;&gt;"",$I1012,INDEX($I$1:$I1012,ROW()-COUNTIFS($T$1:$T1012,"="&amp;$T1012,$S$1:$S1012,"&lt;"&amp;$S1012)))</f>
        <v>0</v>
      </c>
      <c r="Z1012" s="6">
        <f t="shared" si="166"/>
        <v>1</v>
      </c>
      <c r="AA1012" t="e">
        <f t="shared" si="167"/>
        <v>#VALUE!</v>
      </c>
      <c r="AB1012" t="str">
        <f t="shared" si="168"/>
        <v/>
      </c>
      <c r="AC1012" t="e">
        <f t="shared" si="169"/>
        <v>#VALUE!</v>
      </c>
    </row>
    <row r="1013" spans="1:29" x14ac:dyDescent="0.2">
      <c r="A1013" t="str">
        <f t="shared" si="170"/>
        <v/>
      </c>
      <c r="E1013" s="4"/>
      <c r="F1013" s="46"/>
      <c r="G1013" s="4"/>
      <c r="H1013" s="48"/>
      <c r="J1013" s="26" t="str">
        <f t="shared" si="171"/>
        <v/>
      </c>
      <c r="N1013" t="str">
        <f t="shared" si="172"/>
        <v/>
      </c>
      <c r="Q1013" t="str">
        <f t="shared" si="173"/>
        <v/>
      </c>
      <c r="S1013" t="str">
        <f>IF(A1013=1,MAX($S$2:$S1012)+1,IF(OR($I1013&lt;&gt;"",A1013="x"),$S1012,""))</f>
        <v/>
      </c>
      <c r="T1013" t="str">
        <f>IF(D1013=1,MAX($T$2:$T1012)+1,IF(S1013=S1012,$T1012,IF(D1013="x",T1012,IF(D1012="x","",""))))</f>
        <v/>
      </c>
      <c r="U1013" t="str">
        <f>IF(B1013=1,MAX($U$2:$U1012)+1,IF(AND($T1013&lt;&gt;"",$T1013=$T1012),$U1012,IF(B1013="x",U1012,"")))</f>
        <v/>
      </c>
      <c r="V1013" t="str">
        <f>IF(C1013=1,MAX($V$2:$V1012)+1,IF(AND($T1013&lt;&gt;"",$T1013=$T1012),$U1012,IF(C1013="x",V1012,"")))</f>
        <v/>
      </c>
      <c r="X1013" cm="1">
        <f t="array" ref="X1013">IF($I1013&lt;&gt;"",$I1013,INDEX($I$1:$I1013,ROW()-COUNTIFS($T$1:$T1013,"="&amp;$T1013,$S$1:$S1013,"&lt;"&amp;$S1013)))</f>
        <v>0</v>
      </c>
      <c r="Z1013" s="6">
        <f t="shared" si="166"/>
        <v>1</v>
      </c>
      <c r="AA1013" t="e">
        <f t="shared" si="167"/>
        <v>#VALUE!</v>
      </c>
      <c r="AB1013" t="str">
        <f t="shared" si="168"/>
        <v/>
      </c>
      <c r="AC1013" t="e">
        <f t="shared" si="169"/>
        <v>#VALUE!</v>
      </c>
    </row>
    <row r="1014" spans="1:29" x14ac:dyDescent="0.2">
      <c r="A1014" t="str">
        <f t="shared" si="170"/>
        <v/>
      </c>
      <c r="E1014" s="4"/>
      <c r="F1014" s="46"/>
      <c r="G1014" s="4"/>
      <c r="H1014" s="48"/>
      <c r="J1014" s="26" t="str">
        <f t="shared" si="171"/>
        <v/>
      </c>
      <c r="N1014" t="str">
        <f t="shared" si="172"/>
        <v/>
      </c>
      <c r="Q1014" t="str">
        <f t="shared" si="173"/>
        <v/>
      </c>
      <c r="S1014" t="str">
        <f>IF(A1014=1,MAX($S$2:$S1013)+1,IF(OR($I1014&lt;&gt;"",A1014="x"),$S1013,""))</f>
        <v/>
      </c>
      <c r="T1014" t="str">
        <f>IF(D1014=1,MAX($T$2:$T1013)+1,IF(S1014=S1013,$T1013,IF(D1014="x",T1013,IF(D1013="x","",""))))</f>
        <v/>
      </c>
      <c r="U1014" t="str">
        <f>IF(B1014=1,MAX($U$2:$U1013)+1,IF(AND($T1014&lt;&gt;"",$T1014=$T1013),$U1013,IF(B1014="x",U1013,"")))</f>
        <v/>
      </c>
      <c r="V1014" t="str">
        <f>IF(C1014=1,MAX($V$2:$V1013)+1,IF(AND($T1014&lt;&gt;"",$T1014=$T1013),$U1013,IF(C1014="x",V1013,"")))</f>
        <v/>
      </c>
      <c r="X1014" cm="1">
        <f t="array" ref="X1014">IF($I1014&lt;&gt;"",$I1014,INDEX($I$1:$I1014,ROW()-COUNTIFS($T$1:$T1014,"="&amp;$T1014,$S$1:$S1014,"&lt;"&amp;$S1014)))</f>
        <v>0</v>
      </c>
      <c r="Z1014" s="6">
        <f t="shared" si="166"/>
        <v>1</v>
      </c>
      <c r="AA1014" t="e">
        <f t="shared" si="167"/>
        <v>#VALUE!</v>
      </c>
      <c r="AB1014" t="str">
        <f t="shared" si="168"/>
        <v/>
      </c>
      <c r="AC1014" t="e">
        <f t="shared" si="169"/>
        <v>#VALUE!</v>
      </c>
    </row>
    <row r="1015" spans="1:29" x14ac:dyDescent="0.2">
      <c r="A1015" t="str">
        <f t="shared" si="170"/>
        <v/>
      </c>
      <c r="E1015" s="4"/>
      <c r="F1015" s="46"/>
      <c r="G1015" s="4"/>
      <c r="H1015" s="48"/>
      <c r="J1015" s="26" t="str">
        <f t="shared" si="171"/>
        <v/>
      </c>
      <c r="N1015" t="str">
        <f t="shared" si="172"/>
        <v/>
      </c>
      <c r="Q1015" t="str">
        <f t="shared" si="173"/>
        <v/>
      </c>
      <c r="S1015" t="str">
        <f>IF(A1015=1,MAX($S$2:$S1014)+1,IF(OR($I1015&lt;&gt;"",A1015="x"),$S1014,""))</f>
        <v/>
      </c>
      <c r="T1015" t="str">
        <f>IF(D1015=1,MAX($T$2:$T1014)+1,IF(S1015=S1014,$T1014,IF(D1015="x",T1014,IF(D1014="x","",""))))</f>
        <v/>
      </c>
      <c r="U1015" t="str">
        <f>IF(B1015=1,MAX($U$2:$U1014)+1,IF(AND($T1015&lt;&gt;"",$T1015=$T1014),$U1014,IF(B1015="x",U1014,"")))</f>
        <v/>
      </c>
      <c r="V1015" t="str">
        <f>IF(C1015=1,MAX($V$2:$V1014)+1,IF(AND($T1015&lt;&gt;"",$T1015=$T1014),$U1014,IF(C1015="x",V1014,"")))</f>
        <v/>
      </c>
      <c r="X1015" cm="1">
        <f t="array" ref="X1015">IF($I1015&lt;&gt;"",$I1015,INDEX($I$1:$I1015,ROW()-COUNTIFS($T$1:$T1015,"="&amp;$T1015,$S$1:$S1015,"&lt;"&amp;$S1015)))</f>
        <v>0</v>
      </c>
      <c r="Z1015" s="6">
        <f t="shared" si="166"/>
        <v>1</v>
      </c>
      <c r="AA1015" t="e">
        <f t="shared" si="167"/>
        <v>#VALUE!</v>
      </c>
      <c r="AB1015" t="str">
        <f t="shared" si="168"/>
        <v/>
      </c>
      <c r="AC1015" t="e">
        <f t="shared" si="169"/>
        <v>#VALUE!</v>
      </c>
    </row>
    <row r="1016" spans="1:29" x14ac:dyDescent="0.2">
      <c r="A1016" t="str">
        <f t="shared" si="170"/>
        <v/>
      </c>
      <c r="E1016" s="4"/>
      <c r="F1016" s="46"/>
      <c r="G1016" s="4"/>
      <c r="H1016" s="48"/>
      <c r="J1016" s="26" t="str">
        <f t="shared" si="171"/>
        <v/>
      </c>
      <c r="N1016" t="str">
        <f t="shared" si="172"/>
        <v/>
      </c>
      <c r="Q1016" t="str">
        <f t="shared" si="173"/>
        <v/>
      </c>
      <c r="S1016" t="str">
        <f>IF(A1016=1,MAX($S$2:$S1015)+1,IF(OR($I1016&lt;&gt;"",A1016="x"),$S1015,""))</f>
        <v/>
      </c>
      <c r="T1016" t="str">
        <f>IF(D1016=1,MAX($T$2:$T1015)+1,IF(S1016=S1015,$T1015,IF(D1016="x",T1015,IF(D1015="x","",""))))</f>
        <v/>
      </c>
      <c r="U1016" t="str">
        <f>IF(B1016=1,MAX($U$2:$U1015)+1,IF(AND($T1016&lt;&gt;"",$T1016=$T1015),$U1015,IF(B1016="x",U1015,"")))</f>
        <v/>
      </c>
      <c r="V1016" t="str">
        <f>IF(C1016=1,MAX($V$2:$V1015)+1,IF(AND($T1016&lt;&gt;"",$T1016=$T1015),$U1015,IF(C1016="x",V1015,"")))</f>
        <v/>
      </c>
      <c r="X1016" cm="1">
        <f t="array" ref="X1016">IF($I1016&lt;&gt;"",$I1016,INDEX($I$1:$I1016,ROW()-COUNTIFS($T$1:$T1016,"="&amp;$T1016,$S$1:$S1016,"&lt;"&amp;$S1016)))</f>
        <v>0</v>
      </c>
      <c r="Z1016" s="6">
        <f t="shared" si="166"/>
        <v>1</v>
      </c>
      <c r="AA1016" t="e">
        <f t="shared" si="167"/>
        <v>#VALUE!</v>
      </c>
      <c r="AB1016" t="str">
        <f t="shared" si="168"/>
        <v/>
      </c>
      <c r="AC1016" t="e">
        <f t="shared" si="169"/>
        <v>#VALUE!</v>
      </c>
    </row>
    <row r="1017" spans="1:29" x14ac:dyDescent="0.2">
      <c r="A1017" t="str">
        <f t="shared" si="170"/>
        <v/>
      </c>
      <c r="E1017" s="4"/>
      <c r="F1017" s="46"/>
      <c r="G1017" s="4"/>
      <c r="H1017" s="48"/>
      <c r="J1017" s="26" t="str">
        <f t="shared" si="171"/>
        <v/>
      </c>
      <c r="N1017" t="str">
        <f t="shared" si="172"/>
        <v/>
      </c>
      <c r="Q1017" t="str">
        <f t="shared" si="173"/>
        <v/>
      </c>
      <c r="S1017" t="str">
        <f>IF(A1017=1,MAX($S$2:$S1016)+1,IF(OR($I1017&lt;&gt;"",A1017="x"),$S1016,""))</f>
        <v/>
      </c>
      <c r="T1017" t="str">
        <f>IF(D1017=1,MAX($T$2:$T1016)+1,IF(S1017=S1016,$T1016,IF(D1017="x",T1016,IF(D1016="x","",""))))</f>
        <v/>
      </c>
      <c r="U1017" t="str">
        <f>IF(B1017=1,MAX($U$2:$U1016)+1,IF(AND($T1017&lt;&gt;"",$T1017=$T1016),$U1016,IF(B1017="x",U1016,"")))</f>
        <v/>
      </c>
      <c r="V1017" t="str">
        <f>IF(C1017=1,MAX($V$2:$V1016)+1,IF(AND($T1017&lt;&gt;"",$T1017=$T1016),$U1016,IF(C1017="x",V1016,"")))</f>
        <v/>
      </c>
      <c r="X1017" cm="1">
        <f t="array" ref="X1017">IF($I1017&lt;&gt;"",$I1017,INDEX($I$1:$I1017,ROW()-COUNTIFS($T$1:$T1017,"="&amp;$T1017,$S$1:$S1017,"&lt;"&amp;$S1017)))</f>
        <v>0</v>
      </c>
      <c r="Z1017" s="6">
        <f t="shared" si="166"/>
        <v>1</v>
      </c>
      <c r="AA1017" t="e">
        <f t="shared" si="167"/>
        <v>#VALUE!</v>
      </c>
      <c r="AB1017" t="str">
        <f t="shared" si="168"/>
        <v/>
      </c>
      <c r="AC1017" t="e">
        <f t="shared" si="169"/>
        <v>#VALUE!</v>
      </c>
    </row>
    <row r="1018" spans="1:29" x14ac:dyDescent="0.2">
      <c r="A1018" t="str">
        <f t="shared" si="170"/>
        <v/>
      </c>
      <c r="E1018" s="4"/>
      <c r="F1018" s="46"/>
      <c r="G1018" s="4"/>
      <c r="H1018" s="48"/>
      <c r="J1018" s="26" t="str">
        <f t="shared" si="171"/>
        <v/>
      </c>
      <c r="N1018" t="str">
        <f t="shared" si="172"/>
        <v/>
      </c>
      <c r="Q1018" t="str">
        <f t="shared" si="173"/>
        <v/>
      </c>
      <c r="S1018" t="str">
        <f>IF(A1018=1,MAX($S$2:$S1017)+1,IF(OR($I1018&lt;&gt;"",A1018="x"),$S1017,""))</f>
        <v/>
      </c>
      <c r="T1018" t="str">
        <f>IF(D1018=1,MAX($T$2:$T1017)+1,IF(S1018=S1017,$T1017,IF(D1018="x",T1017,IF(D1017="x","",""))))</f>
        <v/>
      </c>
      <c r="U1018" t="str">
        <f>IF(B1018=1,MAX($U$2:$U1017)+1,IF(AND($T1018&lt;&gt;"",$T1018=$T1017),$U1017,IF(B1018="x",U1017,"")))</f>
        <v/>
      </c>
      <c r="V1018" t="str">
        <f>IF(C1018=1,MAX($V$2:$V1017)+1,IF(AND($T1018&lt;&gt;"",$T1018=$T1017),$U1017,IF(C1018="x",V1017,"")))</f>
        <v/>
      </c>
      <c r="X1018" cm="1">
        <f t="array" ref="X1018">IF($I1018&lt;&gt;"",$I1018,INDEX($I$1:$I1018,ROW()-COUNTIFS($T$1:$T1018,"="&amp;$T1018,$S$1:$S1018,"&lt;"&amp;$S1018)))</f>
        <v>0</v>
      </c>
      <c r="Z1018" s="6">
        <f t="shared" si="166"/>
        <v>1</v>
      </c>
      <c r="AA1018" t="e">
        <f t="shared" si="167"/>
        <v>#VALUE!</v>
      </c>
      <c r="AB1018" t="str">
        <f t="shared" si="168"/>
        <v/>
      </c>
      <c r="AC1018" t="e">
        <f t="shared" si="169"/>
        <v>#VALUE!</v>
      </c>
    </row>
    <row r="1019" spans="1:29" x14ac:dyDescent="0.2">
      <c r="A1019" t="str">
        <f t="shared" si="170"/>
        <v/>
      </c>
      <c r="E1019" s="4"/>
      <c r="F1019" s="46"/>
      <c r="G1019" s="4"/>
      <c r="H1019" s="48"/>
      <c r="J1019" s="26" t="str">
        <f t="shared" si="171"/>
        <v/>
      </c>
      <c r="N1019" t="str">
        <f t="shared" si="172"/>
        <v/>
      </c>
      <c r="Q1019" t="str">
        <f t="shared" si="173"/>
        <v/>
      </c>
      <c r="S1019" t="str">
        <f>IF(A1019=1,MAX($S$2:$S1018)+1,IF(OR($I1019&lt;&gt;"",A1019="x"),$S1018,""))</f>
        <v/>
      </c>
      <c r="T1019" t="str">
        <f>IF(D1019=1,MAX($T$2:$T1018)+1,IF(S1019=S1018,$T1018,IF(D1019="x",T1018,IF(D1018="x","",""))))</f>
        <v/>
      </c>
      <c r="U1019" t="str">
        <f>IF(B1019=1,MAX($U$2:$U1018)+1,IF(AND($T1019&lt;&gt;"",$T1019=$T1018),$U1018,IF(B1019="x",U1018,"")))</f>
        <v/>
      </c>
      <c r="V1019" t="str">
        <f>IF(C1019=1,MAX($V$2:$V1018)+1,IF(AND($T1019&lt;&gt;"",$T1019=$T1018),$U1018,IF(C1019="x",V1018,"")))</f>
        <v/>
      </c>
      <c r="X1019" cm="1">
        <f t="array" ref="X1019">IF($I1019&lt;&gt;"",$I1019,INDEX($I$1:$I1019,ROW()-COUNTIFS($T$1:$T1019,"="&amp;$T1019,$S$1:$S1019,"&lt;"&amp;$S1019)))</f>
        <v>0</v>
      </c>
      <c r="Z1019" s="6">
        <f t="shared" si="166"/>
        <v>1</v>
      </c>
      <c r="AA1019" t="e">
        <f t="shared" si="167"/>
        <v>#VALUE!</v>
      </c>
      <c r="AB1019" t="str">
        <f t="shared" si="168"/>
        <v/>
      </c>
      <c r="AC1019" t="e">
        <f t="shared" si="169"/>
        <v>#VALUE!</v>
      </c>
    </row>
    <row r="1020" spans="1:29" x14ac:dyDescent="0.2">
      <c r="A1020" t="str">
        <f t="shared" si="170"/>
        <v/>
      </c>
      <c r="E1020" s="4"/>
      <c r="F1020" s="46"/>
      <c r="G1020" s="4"/>
      <c r="H1020" s="48"/>
      <c r="J1020" s="26" t="str">
        <f t="shared" si="171"/>
        <v/>
      </c>
      <c r="N1020" t="str">
        <f t="shared" si="172"/>
        <v/>
      </c>
      <c r="Q1020" t="str">
        <f t="shared" si="173"/>
        <v/>
      </c>
      <c r="S1020" t="str">
        <f>IF(A1020=1,MAX($S$2:$S1019)+1,IF(OR($I1020&lt;&gt;"",A1020="x"),$S1019,""))</f>
        <v/>
      </c>
      <c r="T1020" t="str">
        <f>IF(D1020=1,MAX($T$2:$T1019)+1,IF(S1020=S1019,$T1019,IF(D1020="x",T1019,IF(D1019="x","",""))))</f>
        <v/>
      </c>
      <c r="U1020" t="str">
        <f>IF(B1020=1,MAX($U$2:$U1019)+1,IF(AND($T1020&lt;&gt;"",$T1020=$T1019),$U1019,IF(B1020="x",U1019,"")))</f>
        <v/>
      </c>
      <c r="V1020" t="str">
        <f>IF(C1020=1,MAX($V$2:$V1019)+1,IF(AND($T1020&lt;&gt;"",$T1020=$T1019),$U1019,IF(C1020="x",V1019,"")))</f>
        <v/>
      </c>
      <c r="X1020" cm="1">
        <f t="array" ref="X1020">IF($I1020&lt;&gt;"",$I1020,INDEX($I$1:$I1020,ROW()-COUNTIFS($T$1:$T1020,"="&amp;$T1020,$S$1:$S1020,"&lt;"&amp;$S1020)))</f>
        <v>0</v>
      </c>
      <c r="Z1020" s="6">
        <f t="shared" si="166"/>
        <v>1</v>
      </c>
      <c r="AA1020" t="e">
        <f t="shared" si="167"/>
        <v>#VALUE!</v>
      </c>
      <c r="AB1020" t="str">
        <f t="shared" si="168"/>
        <v/>
      </c>
      <c r="AC1020" t="e">
        <f t="shared" si="169"/>
        <v>#VALUE!</v>
      </c>
    </row>
    <row r="1021" spans="1:29" x14ac:dyDescent="0.2">
      <c r="A1021" t="str">
        <f t="shared" si="170"/>
        <v/>
      </c>
      <c r="E1021" s="4"/>
      <c r="F1021" s="46"/>
      <c r="G1021" s="4"/>
      <c r="H1021" s="48"/>
      <c r="J1021" s="26" t="str">
        <f t="shared" si="171"/>
        <v/>
      </c>
      <c r="N1021" t="str">
        <f t="shared" si="172"/>
        <v/>
      </c>
      <c r="Q1021" t="str">
        <f t="shared" si="173"/>
        <v/>
      </c>
      <c r="S1021" t="str">
        <f>IF(A1021=1,MAX($S$2:$S1020)+1,IF(OR($I1021&lt;&gt;"",A1021="x"),$S1020,""))</f>
        <v/>
      </c>
      <c r="T1021" t="str">
        <f>IF(D1021=1,MAX($T$2:$T1020)+1,IF(S1021=S1020,$T1020,IF(D1021="x",T1020,IF(D1020="x","",""))))</f>
        <v/>
      </c>
      <c r="U1021" t="str">
        <f>IF(B1021=1,MAX($U$2:$U1020)+1,IF(AND($T1021&lt;&gt;"",$T1021=$T1020),$U1020,IF(B1021="x",U1020,"")))</f>
        <v/>
      </c>
      <c r="V1021" t="str">
        <f>IF(C1021=1,MAX($V$2:$V1020)+1,IF(AND($T1021&lt;&gt;"",$T1021=$T1020),$U1020,IF(C1021="x",V1020,"")))</f>
        <v/>
      </c>
      <c r="X1021" cm="1">
        <f t="array" ref="X1021">IF($I1021&lt;&gt;"",$I1021,INDEX($I$1:$I1021,ROW()-COUNTIFS($T$1:$T1021,"="&amp;$T1021,$S$1:$S1021,"&lt;"&amp;$S1021)))</f>
        <v>0</v>
      </c>
      <c r="Z1021" s="6">
        <f t="shared" si="166"/>
        <v>1</v>
      </c>
      <c r="AA1021" t="e">
        <f t="shared" si="167"/>
        <v>#VALUE!</v>
      </c>
      <c r="AB1021" t="str">
        <f t="shared" si="168"/>
        <v/>
      </c>
      <c r="AC1021" t="e">
        <f t="shared" si="169"/>
        <v>#VALUE!</v>
      </c>
    </row>
    <row r="1022" spans="1:29" x14ac:dyDescent="0.2">
      <c r="A1022" t="str">
        <f t="shared" si="170"/>
        <v/>
      </c>
      <c r="E1022" s="4"/>
      <c r="F1022" s="46"/>
      <c r="G1022" s="4"/>
      <c r="H1022" s="48"/>
      <c r="J1022" s="26" t="str">
        <f t="shared" si="171"/>
        <v/>
      </c>
      <c r="N1022" t="str">
        <f t="shared" si="172"/>
        <v/>
      </c>
      <c r="Q1022" t="str">
        <f t="shared" si="173"/>
        <v/>
      </c>
      <c r="S1022" t="str">
        <f>IF(A1022=1,MAX($S$2:$S1021)+1,IF(OR($I1022&lt;&gt;"",A1022="x"),$S1021,""))</f>
        <v/>
      </c>
      <c r="T1022" t="str">
        <f>IF(D1022=1,MAX($T$2:$T1021)+1,IF(S1022=S1021,$T1021,IF(D1022="x",T1021,IF(D1021="x","",""))))</f>
        <v/>
      </c>
      <c r="U1022" t="str">
        <f>IF(B1022=1,MAX($U$2:$U1021)+1,IF(AND($T1022&lt;&gt;"",$T1022=$T1021),$U1021,IF(B1022="x",U1021,"")))</f>
        <v/>
      </c>
      <c r="V1022" t="str">
        <f>IF(C1022=1,MAX($V$2:$V1021)+1,IF(AND($T1022&lt;&gt;"",$T1022=$T1021),$U1021,IF(C1022="x",V1021,"")))</f>
        <v/>
      </c>
      <c r="X1022" cm="1">
        <f t="array" ref="X1022">IF($I1022&lt;&gt;"",$I1022,INDEX($I$1:$I1022,ROW()-COUNTIFS($T$1:$T1022,"="&amp;$T1022,$S$1:$S1022,"&lt;"&amp;$S1022)))</f>
        <v>0</v>
      </c>
      <c r="Z1022" s="6">
        <f t="shared" si="166"/>
        <v>1</v>
      </c>
      <c r="AA1022" t="e">
        <f t="shared" si="167"/>
        <v>#VALUE!</v>
      </c>
      <c r="AB1022" t="str">
        <f t="shared" si="168"/>
        <v/>
      </c>
      <c r="AC1022" t="e">
        <f t="shared" si="169"/>
        <v>#VALUE!</v>
      </c>
    </row>
    <row r="1023" spans="1:29" x14ac:dyDescent="0.2">
      <c r="A1023" t="str">
        <f t="shared" si="170"/>
        <v/>
      </c>
      <c r="E1023" s="4"/>
      <c r="F1023" s="46"/>
      <c r="G1023" s="4"/>
      <c r="H1023" s="48"/>
      <c r="J1023" s="26" t="str">
        <f t="shared" si="171"/>
        <v/>
      </c>
      <c r="N1023" t="str">
        <f t="shared" si="172"/>
        <v/>
      </c>
      <c r="Q1023" t="str">
        <f t="shared" si="173"/>
        <v/>
      </c>
      <c r="S1023" t="str">
        <f>IF(A1023=1,MAX($S$2:$S1022)+1,IF(OR($I1023&lt;&gt;"",A1023="x"),$S1022,""))</f>
        <v/>
      </c>
      <c r="T1023" t="str">
        <f>IF(D1023=1,MAX($T$2:$T1022)+1,IF(S1023=S1022,$T1022,IF(D1023="x",T1022,IF(D1022="x","",""))))</f>
        <v/>
      </c>
      <c r="U1023" t="str">
        <f>IF(B1023=1,MAX($U$2:$U1022)+1,IF(AND($T1023&lt;&gt;"",$T1023=$T1022),$U1022,IF(B1023="x",U1022,"")))</f>
        <v/>
      </c>
      <c r="V1023" t="str">
        <f>IF(C1023=1,MAX($V$2:$V1022)+1,IF(AND($T1023&lt;&gt;"",$T1023=$T1022),$U1022,IF(C1023="x",V1022,"")))</f>
        <v/>
      </c>
      <c r="X1023" cm="1">
        <f t="array" ref="X1023">IF($I1023&lt;&gt;"",$I1023,INDEX($I$1:$I1023,ROW()-COUNTIFS($T$1:$T1023,"="&amp;$T1023,$S$1:$S1023,"&lt;"&amp;$S1023)))</f>
        <v>0</v>
      </c>
      <c r="Z1023" s="6">
        <f t="shared" si="166"/>
        <v>1</v>
      </c>
      <c r="AA1023" t="e">
        <f t="shared" si="167"/>
        <v>#VALUE!</v>
      </c>
      <c r="AB1023" t="str">
        <f t="shared" si="168"/>
        <v/>
      </c>
      <c r="AC1023" t="e">
        <f t="shared" si="169"/>
        <v>#VALUE!</v>
      </c>
    </row>
    <row r="1024" spans="1:29" x14ac:dyDescent="0.2">
      <c r="A1024" t="str">
        <f t="shared" si="170"/>
        <v/>
      </c>
      <c r="E1024" s="4"/>
      <c r="F1024" s="46"/>
      <c r="G1024" s="4"/>
      <c r="H1024" s="48"/>
      <c r="J1024" s="26" t="str">
        <f t="shared" si="171"/>
        <v/>
      </c>
      <c r="N1024" t="str">
        <f t="shared" si="172"/>
        <v/>
      </c>
      <c r="Q1024" t="str">
        <f t="shared" si="173"/>
        <v/>
      </c>
      <c r="S1024" t="str">
        <f>IF(A1024=1,MAX($S$2:$S1023)+1,IF(OR($I1024&lt;&gt;"",A1024="x"),$S1023,""))</f>
        <v/>
      </c>
      <c r="T1024" t="str">
        <f>IF(D1024=1,MAX($T$2:$T1023)+1,IF(S1024=S1023,$T1023,IF(D1024="x",T1023,IF(D1023="x","",""))))</f>
        <v/>
      </c>
      <c r="U1024" t="str">
        <f>IF(B1024=1,MAX($U$2:$U1023)+1,IF(AND($T1024&lt;&gt;"",$T1024=$T1023),$U1023,IF(B1024="x",U1023,"")))</f>
        <v/>
      </c>
      <c r="V1024" t="str">
        <f>IF(C1024=1,MAX($V$2:$V1023)+1,IF(AND($T1024&lt;&gt;"",$T1024=$T1023),$U1023,IF(C1024="x",V1023,"")))</f>
        <v/>
      </c>
      <c r="X1024" cm="1">
        <f t="array" ref="X1024">IF($I1024&lt;&gt;"",$I1024,INDEX($I$1:$I1024,ROW()-COUNTIFS($T$1:$T1024,"="&amp;$T1024,$S$1:$S1024,"&lt;"&amp;$S1024)))</f>
        <v>0</v>
      </c>
      <c r="Z1024" s="6">
        <f t="shared" si="166"/>
        <v>1</v>
      </c>
      <c r="AA1024" t="e">
        <f t="shared" si="167"/>
        <v>#VALUE!</v>
      </c>
      <c r="AB1024" t="str">
        <f t="shared" si="168"/>
        <v/>
      </c>
      <c r="AC1024" t="e">
        <f t="shared" si="169"/>
        <v>#VALUE!</v>
      </c>
    </row>
    <row r="1025" spans="1:29" x14ac:dyDescent="0.2">
      <c r="A1025" t="str">
        <f t="shared" si="170"/>
        <v/>
      </c>
      <c r="E1025" s="4"/>
      <c r="F1025" s="46"/>
      <c r="G1025" s="4"/>
      <c r="H1025" s="48"/>
      <c r="J1025" s="26" t="str">
        <f t="shared" si="171"/>
        <v/>
      </c>
      <c r="N1025" t="str">
        <f t="shared" si="172"/>
        <v/>
      </c>
      <c r="Q1025" t="str">
        <f t="shared" si="173"/>
        <v/>
      </c>
      <c r="S1025" t="str">
        <f>IF(A1025=1,MAX($S$2:$S1024)+1,IF(OR($I1025&lt;&gt;"",A1025="x"),$S1024,""))</f>
        <v/>
      </c>
      <c r="T1025" t="str">
        <f>IF(D1025=1,MAX($T$2:$T1024)+1,IF(S1025=S1024,$T1024,IF(D1025="x",T1024,IF(D1024="x","",""))))</f>
        <v/>
      </c>
      <c r="U1025" t="str">
        <f>IF(B1025=1,MAX($U$2:$U1024)+1,IF(AND($T1025&lt;&gt;"",$T1025=$T1024),$U1024,IF(B1025="x",U1024,"")))</f>
        <v/>
      </c>
      <c r="V1025" t="str">
        <f>IF(C1025=1,MAX($V$2:$V1024)+1,IF(AND($T1025&lt;&gt;"",$T1025=$T1024),$U1024,IF(C1025="x",V1024,"")))</f>
        <v/>
      </c>
      <c r="X1025" cm="1">
        <f t="array" ref="X1025">IF($I1025&lt;&gt;"",$I1025,INDEX($I$1:$I1025,ROW()-COUNTIFS($T$1:$T1025,"="&amp;$T1025,$S$1:$S1025,"&lt;"&amp;$S1025)))</f>
        <v>0</v>
      </c>
      <c r="Z1025" s="6">
        <f t="shared" si="166"/>
        <v>1</v>
      </c>
      <c r="AA1025" t="e">
        <f t="shared" si="167"/>
        <v>#VALUE!</v>
      </c>
      <c r="AB1025" t="str">
        <f t="shared" si="168"/>
        <v/>
      </c>
      <c r="AC1025" t="e">
        <f t="shared" si="169"/>
        <v>#VALUE!</v>
      </c>
    </row>
    <row r="1026" spans="1:29" x14ac:dyDescent="0.2">
      <c r="A1026" t="str">
        <f t="shared" si="170"/>
        <v/>
      </c>
      <c r="E1026" s="4"/>
      <c r="F1026" s="46"/>
      <c r="G1026" s="4"/>
      <c r="H1026" s="48"/>
      <c r="J1026" s="26" t="str">
        <f t="shared" si="171"/>
        <v/>
      </c>
      <c r="N1026" t="str">
        <f t="shared" si="172"/>
        <v/>
      </c>
      <c r="Q1026" t="str">
        <f t="shared" si="173"/>
        <v/>
      </c>
      <c r="S1026" t="str">
        <f>IF(A1026=1,MAX($S$2:$S1025)+1,IF(OR($I1026&lt;&gt;"",A1026="x"),$S1025,""))</f>
        <v/>
      </c>
      <c r="T1026" t="str">
        <f>IF(D1026=1,MAX($T$2:$T1025)+1,IF(S1026=S1025,$T1025,IF(D1026="x",T1025,IF(D1025="x","",""))))</f>
        <v/>
      </c>
      <c r="U1026" t="str">
        <f>IF(B1026=1,MAX($U$2:$U1025)+1,IF(AND($T1026&lt;&gt;"",$T1026=$T1025),$U1025,IF(B1026="x",U1025,"")))</f>
        <v/>
      </c>
      <c r="V1026" t="str">
        <f>IF(C1026=1,MAX($V$2:$V1025)+1,IF(AND($T1026&lt;&gt;"",$T1026=$T1025),$U1025,IF(C1026="x",V1025,"")))</f>
        <v/>
      </c>
      <c r="X1026" cm="1">
        <f t="array" ref="X1026">IF($I1026&lt;&gt;"",$I1026,INDEX($I$1:$I1026,ROW()-COUNTIFS($T$1:$T1026,"="&amp;$T1026,$S$1:$S1026,"&lt;"&amp;$S1026)))</f>
        <v>0</v>
      </c>
      <c r="Z1026" s="6">
        <f t="shared" si="166"/>
        <v>1</v>
      </c>
      <c r="AA1026" t="e">
        <f t="shared" si="167"/>
        <v>#VALUE!</v>
      </c>
      <c r="AB1026" t="str">
        <f t="shared" si="168"/>
        <v/>
      </c>
      <c r="AC1026" t="e">
        <f t="shared" si="169"/>
        <v>#VALUE!</v>
      </c>
    </row>
    <row r="1027" spans="1:29" x14ac:dyDescent="0.2">
      <c r="A1027" t="str">
        <f t="shared" si="170"/>
        <v/>
      </c>
      <c r="E1027" s="4"/>
      <c r="F1027" s="46"/>
      <c r="G1027" s="4"/>
      <c r="H1027" s="48"/>
      <c r="J1027" s="26" t="str">
        <f t="shared" si="171"/>
        <v/>
      </c>
      <c r="N1027" t="str">
        <f t="shared" si="172"/>
        <v/>
      </c>
      <c r="Q1027" t="str">
        <f t="shared" si="173"/>
        <v/>
      </c>
      <c r="S1027" t="str">
        <f>IF(A1027=1,MAX($S$2:$S1026)+1,IF(OR($I1027&lt;&gt;"",A1027="x"),$S1026,""))</f>
        <v/>
      </c>
      <c r="T1027" t="str">
        <f>IF(D1027=1,MAX($T$2:$T1026)+1,IF(S1027=S1026,$T1026,IF(D1027="x",T1026,IF(D1026="x","",""))))</f>
        <v/>
      </c>
      <c r="U1027" t="str">
        <f>IF(B1027=1,MAX($U$2:$U1026)+1,IF(AND($T1027&lt;&gt;"",$T1027=$T1026),$U1026,IF(B1027="x",U1026,"")))</f>
        <v/>
      </c>
      <c r="V1027" t="str">
        <f>IF(C1027=1,MAX($V$2:$V1026)+1,IF(AND($T1027&lt;&gt;"",$T1027=$T1026),$U1026,IF(C1027="x",V1026,"")))</f>
        <v/>
      </c>
      <c r="X1027" cm="1">
        <f t="array" ref="X1027">IF($I1027&lt;&gt;"",$I1027,INDEX($I$1:$I1027,ROW()-COUNTIFS($T$1:$T1027,"="&amp;$T1027,$S$1:$S1027,"&lt;"&amp;$S1027)))</f>
        <v>0</v>
      </c>
      <c r="Z1027" s="6">
        <f t="shared" si="166"/>
        <v>1</v>
      </c>
      <c r="AA1027" t="e">
        <f t="shared" si="167"/>
        <v>#VALUE!</v>
      </c>
      <c r="AB1027" t="str">
        <f t="shared" si="168"/>
        <v/>
      </c>
      <c r="AC1027" t="e">
        <f t="shared" si="169"/>
        <v>#VALUE!</v>
      </c>
    </row>
    <row r="1028" spans="1:29" x14ac:dyDescent="0.2">
      <c r="A1028" t="str">
        <f t="shared" si="170"/>
        <v/>
      </c>
      <c r="E1028" s="4"/>
      <c r="F1028" s="46"/>
      <c r="G1028" s="4"/>
      <c r="H1028" s="48"/>
      <c r="J1028" s="26" t="str">
        <f t="shared" si="171"/>
        <v/>
      </c>
      <c r="N1028" t="str">
        <f t="shared" si="172"/>
        <v/>
      </c>
      <c r="Q1028" t="str">
        <f t="shared" si="173"/>
        <v/>
      </c>
      <c r="S1028" t="str">
        <f>IF(A1028=1,MAX($S$2:$S1027)+1,IF(OR($I1028&lt;&gt;"",A1028="x"),$S1027,""))</f>
        <v/>
      </c>
      <c r="T1028" t="str">
        <f>IF(D1028=1,MAX($T$2:$T1027)+1,IF(S1028=S1027,$T1027,IF(D1028="x",T1027,IF(D1027="x","",""))))</f>
        <v/>
      </c>
      <c r="U1028" t="str">
        <f>IF(B1028=1,MAX($U$2:$U1027)+1,IF(AND($T1028&lt;&gt;"",$T1028=$T1027),$U1027,IF(B1028="x",U1027,"")))</f>
        <v/>
      </c>
      <c r="V1028" t="str">
        <f>IF(C1028=1,MAX($V$2:$V1027)+1,IF(AND($T1028&lt;&gt;"",$T1028=$T1027),$U1027,IF(C1028="x",V1027,"")))</f>
        <v/>
      </c>
      <c r="X1028" cm="1">
        <f t="array" ref="X1028">IF($I1028&lt;&gt;"",$I1028,INDEX($I$1:$I1028,ROW()-COUNTIFS($T$1:$T1028,"="&amp;$T1028,$S$1:$S1028,"&lt;"&amp;$S1028)))</f>
        <v>0</v>
      </c>
      <c r="Z1028" s="6">
        <f t="shared" si="166"/>
        <v>1</v>
      </c>
      <c r="AA1028" t="e">
        <f t="shared" si="167"/>
        <v>#VALUE!</v>
      </c>
      <c r="AB1028" t="str">
        <f t="shared" si="168"/>
        <v/>
      </c>
      <c r="AC1028" t="e">
        <f t="shared" si="169"/>
        <v>#VALUE!</v>
      </c>
    </row>
    <row r="1029" spans="1:29" x14ac:dyDescent="0.2">
      <c r="A1029" t="str">
        <f t="shared" si="170"/>
        <v/>
      </c>
      <c r="E1029" s="4"/>
      <c r="F1029" s="46"/>
      <c r="G1029" s="4"/>
      <c r="H1029" s="48"/>
      <c r="J1029" s="26" t="str">
        <f t="shared" si="171"/>
        <v/>
      </c>
      <c r="N1029" t="str">
        <f t="shared" si="172"/>
        <v/>
      </c>
      <c r="Q1029" t="str">
        <f t="shared" si="173"/>
        <v/>
      </c>
      <c r="S1029" t="str">
        <f>IF(A1029=1,MAX($S$2:$S1028)+1,IF(OR($I1029&lt;&gt;"",A1029="x"),$S1028,""))</f>
        <v/>
      </c>
      <c r="T1029" t="str">
        <f>IF(D1029=1,MAX($T$2:$T1028)+1,IF(S1029=S1028,$T1028,IF(D1029="x",T1028,IF(D1028="x","",""))))</f>
        <v/>
      </c>
      <c r="U1029" t="str">
        <f>IF(B1029=1,MAX($U$2:$U1028)+1,IF(AND($T1029&lt;&gt;"",$T1029=$T1028),$U1028,IF(B1029="x",U1028,"")))</f>
        <v/>
      </c>
      <c r="V1029" t="str">
        <f>IF(C1029=1,MAX($V$2:$V1028)+1,IF(AND($T1029&lt;&gt;"",$T1029=$T1028),$U1028,IF(C1029="x",V1028,"")))</f>
        <v/>
      </c>
      <c r="X1029" cm="1">
        <f t="array" ref="X1029">IF($I1029&lt;&gt;"",$I1029,INDEX($I$1:$I1029,ROW()-COUNTIFS($T$1:$T1029,"="&amp;$T1029,$S$1:$S1029,"&lt;"&amp;$S1029)))</f>
        <v>0</v>
      </c>
      <c r="Z1029" s="6">
        <f t="shared" ref="Z1029:Z1092" si="174">IF(K1029="Intermission",Z1028+1,Z1028)</f>
        <v>1</v>
      </c>
      <c r="AA1029" t="e">
        <f t="shared" ref="AA1029:AA1092" si="175">S1029+1000</f>
        <v>#VALUE!</v>
      </c>
      <c r="AB1029" t="str">
        <f t="shared" ref="AB1029:AB1092" si="176">IF(T1029&lt;&gt;"",9000+T1029,"")</f>
        <v/>
      </c>
      <c r="AC1029" t="e">
        <f t="shared" ref="AC1029:AC1092" si="177">IF(AB1029&lt;&gt;"",AB1029,S1029+1000)</f>
        <v>#VALUE!</v>
      </c>
    </row>
    <row r="1030" spans="1:29" x14ac:dyDescent="0.2">
      <c r="A1030" t="str">
        <f t="shared" si="170"/>
        <v/>
      </c>
      <c r="E1030" s="4"/>
      <c r="F1030" s="46"/>
      <c r="G1030" s="4"/>
      <c r="H1030" s="48"/>
      <c r="J1030" s="26" t="str">
        <f t="shared" si="171"/>
        <v/>
      </c>
      <c r="N1030" t="str">
        <f t="shared" si="172"/>
        <v/>
      </c>
      <c r="Q1030" t="str">
        <f t="shared" si="173"/>
        <v/>
      </c>
      <c r="S1030" t="str">
        <f>IF(A1030=1,MAX($S$2:$S1029)+1,IF(OR($I1030&lt;&gt;"",A1030="x"),$S1029,""))</f>
        <v/>
      </c>
      <c r="T1030" t="str">
        <f>IF(D1030=1,MAX($T$2:$T1029)+1,IF(S1030=S1029,$T1029,IF(D1030="x",T1029,IF(D1029="x","",""))))</f>
        <v/>
      </c>
      <c r="U1030" t="str">
        <f>IF(B1030=1,MAX($U$2:$U1029)+1,IF(AND($T1030&lt;&gt;"",$T1030=$T1029),$U1029,IF(B1030="x",U1029,"")))</f>
        <v/>
      </c>
      <c r="V1030" t="str">
        <f>IF(C1030=1,MAX($V$2:$V1029)+1,IF(AND($T1030&lt;&gt;"",$T1030=$T1029),$U1029,IF(C1030="x",V1029,"")))</f>
        <v/>
      </c>
      <c r="X1030" cm="1">
        <f t="array" ref="X1030">IF($I1030&lt;&gt;"",$I1030,INDEX($I$1:$I1030,ROW()-COUNTIFS($T$1:$T1030,"="&amp;$T1030,$S$1:$S1030,"&lt;"&amp;$S1030)))</f>
        <v>0</v>
      </c>
      <c r="Z1030" s="6">
        <f t="shared" si="174"/>
        <v>1</v>
      </c>
      <c r="AA1030" t="e">
        <f t="shared" si="175"/>
        <v>#VALUE!</v>
      </c>
      <c r="AB1030" t="str">
        <f t="shared" si="176"/>
        <v/>
      </c>
      <c r="AC1030" t="e">
        <f t="shared" si="177"/>
        <v>#VALUE!</v>
      </c>
    </row>
    <row r="1031" spans="1:29" x14ac:dyDescent="0.2">
      <c r="A1031" t="str">
        <f t="shared" si="170"/>
        <v/>
      </c>
      <c r="E1031" s="4"/>
      <c r="F1031" s="46"/>
      <c r="G1031" s="4"/>
      <c r="H1031" s="48"/>
      <c r="J1031" s="26" t="str">
        <f t="shared" si="171"/>
        <v/>
      </c>
      <c r="N1031" t="str">
        <f t="shared" si="172"/>
        <v/>
      </c>
      <c r="Q1031" t="str">
        <f t="shared" si="173"/>
        <v/>
      </c>
      <c r="S1031" t="str">
        <f>IF(A1031=1,MAX($S$2:$S1030)+1,IF(OR($I1031&lt;&gt;"",A1031="x"),$S1030,""))</f>
        <v/>
      </c>
      <c r="T1031" t="str">
        <f>IF(D1031=1,MAX($T$2:$T1030)+1,IF(S1031=S1030,$T1030,IF(D1031="x",T1030,IF(D1030="x","",""))))</f>
        <v/>
      </c>
      <c r="U1031" t="str">
        <f>IF(B1031=1,MAX($U$2:$U1030)+1,IF(AND($T1031&lt;&gt;"",$T1031=$T1030),$U1030,IF(B1031="x",U1030,"")))</f>
        <v/>
      </c>
      <c r="V1031" t="str">
        <f>IF(C1031=1,MAX($V$2:$V1030)+1,IF(AND($T1031&lt;&gt;"",$T1031=$T1030),$U1030,IF(C1031="x",V1030,"")))</f>
        <v/>
      </c>
      <c r="X1031" cm="1">
        <f t="array" ref="X1031">IF($I1031&lt;&gt;"",$I1031,INDEX($I$1:$I1031,ROW()-COUNTIFS($T$1:$T1031,"="&amp;$T1031,$S$1:$S1031,"&lt;"&amp;$S1031)))</f>
        <v>0</v>
      </c>
      <c r="Z1031" s="6">
        <f t="shared" si="174"/>
        <v>1</v>
      </c>
      <c r="AA1031" t="e">
        <f t="shared" si="175"/>
        <v>#VALUE!</v>
      </c>
      <c r="AB1031" t="str">
        <f t="shared" si="176"/>
        <v/>
      </c>
      <c r="AC1031" t="e">
        <f t="shared" si="177"/>
        <v>#VALUE!</v>
      </c>
    </row>
    <row r="1032" spans="1:29" x14ac:dyDescent="0.2">
      <c r="A1032" t="str">
        <f t="shared" si="170"/>
        <v/>
      </c>
      <c r="E1032" s="4"/>
      <c r="F1032" s="46"/>
      <c r="G1032" s="4"/>
      <c r="H1032" s="48"/>
      <c r="J1032" s="26" t="str">
        <f t="shared" si="171"/>
        <v/>
      </c>
      <c r="N1032" t="str">
        <f t="shared" si="172"/>
        <v/>
      </c>
      <c r="Q1032" t="str">
        <f t="shared" si="173"/>
        <v/>
      </c>
      <c r="S1032" t="str">
        <f>IF(A1032=1,MAX($S$2:$S1031)+1,IF(OR($I1032&lt;&gt;"",A1032="x"),$S1031,""))</f>
        <v/>
      </c>
      <c r="T1032" t="str">
        <f>IF(D1032=1,MAX($T$2:$T1031)+1,IF(S1032=S1031,$T1031,IF(D1032="x",T1031,IF(D1031="x","",""))))</f>
        <v/>
      </c>
      <c r="U1032" t="str">
        <f>IF(B1032=1,MAX($U$2:$U1031)+1,IF(AND($T1032&lt;&gt;"",$T1032=$T1031),$U1031,IF(B1032="x",U1031,"")))</f>
        <v/>
      </c>
      <c r="V1032" t="str">
        <f>IF(C1032=1,MAX($V$2:$V1031)+1,IF(AND($T1032&lt;&gt;"",$T1032=$T1031),$U1031,IF(C1032="x",V1031,"")))</f>
        <v/>
      </c>
      <c r="X1032" cm="1">
        <f t="array" ref="X1032">IF($I1032&lt;&gt;"",$I1032,INDEX($I$1:$I1032,ROW()-COUNTIFS($T$1:$T1032,"="&amp;$T1032,$S$1:$S1032,"&lt;"&amp;$S1032)))</f>
        <v>0</v>
      </c>
      <c r="Z1032" s="6">
        <f t="shared" si="174"/>
        <v>1</v>
      </c>
      <c r="AA1032" t="e">
        <f t="shared" si="175"/>
        <v>#VALUE!</v>
      </c>
      <c r="AB1032" t="str">
        <f t="shared" si="176"/>
        <v/>
      </c>
      <c r="AC1032" t="e">
        <f t="shared" si="177"/>
        <v>#VALUE!</v>
      </c>
    </row>
    <row r="1033" spans="1:29" x14ac:dyDescent="0.2">
      <c r="A1033" t="str">
        <f t="shared" si="170"/>
        <v/>
      </c>
      <c r="E1033" s="4"/>
      <c r="F1033" s="46"/>
      <c r="G1033" s="4"/>
      <c r="H1033" s="48"/>
      <c r="J1033" s="26" t="str">
        <f t="shared" si="171"/>
        <v/>
      </c>
      <c r="N1033" t="str">
        <f t="shared" si="172"/>
        <v/>
      </c>
      <c r="Q1033" t="str">
        <f t="shared" si="173"/>
        <v/>
      </c>
      <c r="S1033" t="str">
        <f>IF(A1033=1,MAX($S$2:$S1032)+1,IF(OR($I1033&lt;&gt;"",A1033="x"),$S1032,""))</f>
        <v/>
      </c>
      <c r="T1033" t="str">
        <f>IF(D1033=1,MAX($T$2:$T1032)+1,IF(S1033=S1032,$T1032,IF(D1033="x",T1032,IF(D1032="x","",""))))</f>
        <v/>
      </c>
      <c r="U1033" t="str">
        <f>IF(B1033=1,MAX($U$2:$U1032)+1,IF(AND($T1033&lt;&gt;"",$T1033=$T1032),$U1032,IF(B1033="x",U1032,"")))</f>
        <v/>
      </c>
      <c r="V1033" t="str">
        <f>IF(C1033=1,MAX($V$2:$V1032)+1,IF(AND($T1033&lt;&gt;"",$T1033=$T1032),$U1032,IF(C1033="x",V1032,"")))</f>
        <v/>
      </c>
      <c r="X1033" cm="1">
        <f t="array" ref="X1033">IF($I1033&lt;&gt;"",$I1033,INDEX($I$1:$I1033,ROW()-COUNTIFS($T$1:$T1033,"="&amp;$T1033,$S$1:$S1033,"&lt;"&amp;$S1033)))</f>
        <v>0</v>
      </c>
      <c r="Z1033" s="6">
        <f t="shared" si="174"/>
        <v>1</v>
      </c>
      <c r="AA1033" t="e">
        <f t="shared" si="175"/>
        <v>#VALUE!</v>
      </c>
      <c r="AB1033" t="str">
        <f t="shared" si="176"/>
        <v/>
      </c>
      <c r="AC1033" t="e">
        <f t="shared" si="177"/>
        <v>#VALUE!</v>
      </c>
    </row>
    <row r="1034" spans="1:29" x14ac:dyDescent="0.2">
      <c r="A1034" t="str">
        <f t="shared" si="170"/>
        <v/>
      </c>
      <c r="E1034" s="4"/>
      <c r="F1034" s="46"/>
      <c r="G1034" s="4"/>
      <c r="H1034" s="48"/>
      <c r="J1034" s="26" t="str">
        <f t="shared" si="171"/>
        <v/>
      </c>
      <c r="N1034" t="str">
        <f t="shared" si="172"/>
        <v/>
      </c>
      <c r="Q1034" t="str">
        <f t="shared" si="173"/>
        <v/>
      </c>
      <c r="S1034" t="str">
        <f>IF(A1034=1,MAX($S$2:$S1033)+1,IF(OR($I1034&lt;&gt;"",A1034="x"),$S1033,""))</f>
        <v/>
      </c>
      <c r="T1034" t="str">
        <f>IF(D1034=1,MAX($T$2:$T1033)+1,IF(S1034=S1033,$T1033,IF(D1034="x",T1033,IF(D1033="x","",""))))</f>
        <v/>
      </c>
      <c r="U1034" t="str">
        <f>IF(B1034=1,MAX($U$2:$U1033)+1,IF(AND($T1034&lt;&gt;"",$T1034=$T1033),$U1033,IF(B1034="x",U1033,"")))</f>
        <v/>
      </c>
      <c r="V1034" t="str">
        <f>IF(C1034=1,MAX($V$2:$V1033)+1,IF(AND($T1034&lt;&gt;"",$T1034=$T1033),$U1033,IF(C1034="x",V1033,"")))</f>
        <v/>
      </c>
      <c r="X1034" cm="1">
        <f t="array" ref="X1034">IF($I1034&lt;&gt;"",$I1034,INDEX($I$1:$I1034,ROW()-COUNTIFS($T$1:$T1034,"="&amp;$T1034,$S$1:$S1034,"&lt;"&amp;$S1034)))</f>
        <v>0</v>
      </c>
      <c r="Z1034" s="6">
        <f t="shared" si="174"/>
        <v>1</v>
      </c>
      <c r="AA1034" t="e">
        <f t="shared" si="175"/>
        <v>#VALUE!</v>
      </c>
      <c r="AB1034" t="str">
        <f t="shared" si="176"/>
        <v/>
      </c>
      <c r="AC1034" t="e">
        <f t="shared" si="177"/>
        <v>#VALUE!</v>
      </c>
    </row>
    <row r="1035" spans="1:29" x14ac:dyDescent="0.2">
      <c r="A1035" t="str">
        <f t="shared" si="170"/>
        <v/>
      </c>
      <c r="E1035" s="4"/>
      <c r="F1035" s="46"/>
      <c r="G1035" s="4"/>
      <c r="H1035" s="48"/>
      <c r="J1035" s="26" t="str">
        <f t="shared" si="171"/>
        <v/>
      </c>
      <c r="N1035" t="str">
        <f t="shared" si="172"/>
        <v/>
      </c>
      <c r="Q1035" t="str">
        <f t="shared" si="173"/>
        <v/>
      </c>
      <c r="S1035" t="str">
        <f>IF(A1035=1,MAX($S$2:$S1034)+1,IF(OR($I1035&lt;&gt;"",A1035="x"),$S1034,""))</f>
        <v/>
      </c>
      <c r="T1035" t="str">
        <f>IF(D1035=1,MAX($T$2:$T1034)+1,IF(S1035=S1034,$T1034,IF(D1035="x",T1034,IF(D1034="x","",""))))</f>
        <v/>
      </c>
      <c r="U1035" t="str">
        <f>IF(B1035=1,MAX($U$2:$U1034)+1,IF(AND($T1035&lt;&gt;"",$T1035=$T1034),$U1034,IF(B1035="x",U1034,"")))</f>
        <v/>
      </c>
      <c r="V1035" t="str">
        <f>IF(C1035=1,MAX($V$2:$V1034)+1,IF(AND($T1035&lt;&gt;"",$T1035=$T1034),$U1034,IF(C1035="x",V1034,"")))</f>
        <v/>
      </c>
      <c r="X1035" cm="1">
        <f t="array" ref="X1035">IF($I1035&lt;&gt;"",$I1035,INDEX($I$1:$I1035,ROW()-COUNTIFS($T$1:$T1035,"="&amp;$T1035,$S$1:$S1035,"&lt;"&amp;$S1035)))</f>
        <v>0</v>
      </c>
      <c r="Z1035" s="6">
        <f t="shared" si="174"/>
        <v>1</v>
      </c>
      <c r="AA1035" t="e">
        <f t="shared" si="175"/>
        <v>#VALUE!</v>
      </c>
      <c r="AB1035" t="str">
        <f t="shared" si="176"/>
        <v/>
      </c>
      <c r="AC1035" t="e">
        <f t="shared" si="177"/>
        <v>#VALUE!</v>
      </c>
    </row>
    <row r="1036" spans="1:29" x14ac:dyDescent="0.2">
      <c r="A1036" t="str">
        <f t="shared" si="170"/>
        <v/>
      </c>
      <c r="E1036" s="4"/>
      <c r="F1036" s="46"/>
      <c r="G1036" s="4"/>
      <c r="H1036" s="48"/>
      <c r="J1036" s="26" t="str">
        <f t="shared" si="171"/>
        <v/>
      </c>
      <c r="N1036" t="str">
        <f t="shared" si="172"/>
        <v/>
      </c>
      <c r="Q1036" t="str">
        <f t="shared" si="173"/>
        <v/>
      </c>
      <c r="S1036" t="str">
        <f>IF(A1036=1,MAX($S$2:$S1035)+1,IF(OR($I1036&lt;&gt;"",A1036="x"),$S1035,""))</f>
        <v/>
      </c>
      <c r="T1036" t="str">
        <f>IF(D1036=1,MAX($T$2:$T1035)+1,IF(S1036=S1035,$T1035,IF(D1036="x",T1035,IF(D1035="x","",""))))</f>
        <v/>
      </c>
      <c r="U1036" t="str">
        <f>IF(B1036=1,MAX($U$2:$U1035)+1,IF(AND($T1036&lt;&gt;"",$T1036=$T1035),$U1035,IF(B1036="x",U1035,"")))</f>
        <v/>
      </c>
      <c r="V1036" t="str">
        <f>IF(C1036=1,MAX($V$2:$V1035)+1,IF(AND($T1036&lt;&gt;"",$T1036=$T1035),$U1035,IF(C1036="x",V1035,"")))</f>
        <v/>
      </c>
      <c r="X1036" cm="1">
        <f t="array" ref="X1036">IF($I1036&lt;&gt;"",$I1036,INDEX($I$1:$I1036,ROW()-COUNTIFS($T$1:$T1036,"="&amp;$T1036,$S$1:$S1036,"&lt;"&amp;$S1036)))</f>
        <v>0</v>
      </c>
      <c r="Z1036" s="6">
        <f t="shared" si="174"/>
        <v>1</v>
      </c>
      <c r="AA1036" t="e">
        <f t="shared" si="175"/>
        <v>#VALUE!</v>
      </c>
      <c r="AB1036" t="str">
        <f t="shared" si="176"/>
        <v/>
      </c>
      <c r="AC1036" t="e">
        <f t="shared" si="177"/>
        <v>#VALUE!</v>
      </c>
    </row>
    <row r="1037" spans="1:29" x14ac:dyDescent="0.2">
      <c r="A1037" t="str">
        <f t="shared" si="170"/>
        <v/>
      </c>
      <c r="E1037" s="4"/>
      <c r="F1037" s="46"/>
      <c r="G1037" s="4"/>
      <c r="H1037" s="48"/>
      <c r="J1037" s="26" t="str">
        <f t="shared" si="171"/>
        <v/>
      </c>
      <c r="N1037" t="str">
        <f t="shared" si="172"/>
        <v/>
      </c>
      <c r="Q1037" t="str">
        <f t="shared" si="173"/>
        <v/>
      </c>
      <c r="S1037" t="str">
        <f>IF(A1037=1,MAX($S$2:$S1036)+1,IF(OR($I1037&lt;&gt;"",A1037="x"),$S1036,""))</f>
        <v/>
      </c>
      <c r="T1037" t="str">
        <f>IF(D1037=1,MAX($T$2:$T1036)+1,IF(S1037=S1036,$T1036,IF(D1037="x",T1036,IF(D1036="x","",""))))</f>
        <v/>
      </c>
      <c r="U1037" t="str">
        <f>IF(B1037=1,MAX($U$2:$U1036)+1,IF(AND($T1037&lt;&gt;"",$T1037=$T1036),$U1036,IF(B1037="x",U1036,"")))</f>
        <v/>
      </c>
      <c r="V1037" t="str">
        <f>IF(C1037=1,MAX($V$2:$V1036)+1,IF(AND($T1037&lt;&gt;"",$T1037=$T1036),$U1036,IF(C1037="x",V1036,"")))</f>
        <v/>
      </c>
      <c r="X1037" cm="1">
        <f t="array" ref="X1037">IF($I1037&lt;&gt;"",$I1037,INDEX($I$1:$I1037,ROW()-COUNTIFS($T$1:$T1037,"="&amp;$T1037,$S$1:$S1037,"&lt;"&amp;$S1037)))</f>
        <v>0</v>
      </c>
      <c r="Z1037" s="6">
        <f t="shared" si="174"/>
        <v>1</v>
      </c>
      <c r="AA1037" t="e">
        <f t="shared" si="175"/>
        <v>#VALUE!</v>
      </c>
      <c r="AB1037" t="str">
        <f t="shared" si="176"/>
        <v/>
      </c>
      <c r="AC1037" t="e">
        <f t="shared" si="177"/>
        <v>#VALUE!</v>
      </c>
    </row>
    <row r="1038" spans="1:29" x14ac:dyDescent="0.2">
      <c r="A1038" t="str">
        <f t="shared" si="170"/>
        <v/>
      </c>
      <c r="E1038" s="4"/>
      <c r="F1038" s="46"/>
      <c r="G1038" s="4"/>
      <c r="H1038" s="48"/>
      <c r="J1038" s="26" t="str">
        <f t="shared" si="171"/>
        <v/>
      </c>
      <c r="N1038" t="str">
        <f t="shared" si="172"/>
        <v/>
      </c>
      <c r="Q1038" t="str">
        <f t="shared" si="173"/>
        <v/>
      </c>
      <c r="S1038" t="str">
        <f>IF(A1038=1,MAX($S$2:$S1037)+1,IF(OR($I1038&lt;&gt;"",A1038="x"),$S1037,""))</f>
        <v/>
      </c>
      <c r="T1038" t="str">
        <f>IF(D1038=1,MAX($T$2:$T1037)+1,IF(S1038=S1037,$T1037,IF(D1038="x",T1037,IF(D1037="x","",""))))</f>
        <v/>
      </c>
      <c r="U1038" t="str">
        <f>IF(B1038=1,MAX($U$2:$U1037)+1,IF(AND($T1038&lt;&gt;"",$T1038=$T1037),$U1037,IF(B1038="x",U1037,"")))</f>
        <v/>
      </c>
      <c r="V1038" t="str">
        <f>IF(C1038=1,MAX($V$2:$V1037)+1,IF(AND($T1038&lt;&gt;"",$T1038=$T1037),$U1037,IF(C1038="x",V1037,"")))</f>
        <v/>
      </c>
      <c r="X1038" cm="1">
        <f t="array" ref="X1038">IF($I1038&lt;&gt;"",$I1038,INDEX($I$1:$I1038,ROW()-COUNTIFS($T$1:$T1038,"="&amp;$T1038,$S$1:$S1038,"&lt;"&amp;$S1038)))</f>
        <v>0</v>
      </c>
      <c r="Z1038" s="6">
        <f t="shared" si="174"/>
        <v>1</v>
      </c>
      <c r="AA1038" t="e">
        <f t="shared" si="175"/>
        <v>#VALUE!</v>
      </c>
      <c r="AB1038" t="str">
        <f t="shared" si="176"/>
        <v/>
      </c>
      <c r="AC1038" t="e">
        <f t="shared" si="177"/>
        <v>#VALUE!</v>
      </c>
    </row>
    <row r="1039" spans="1:29" x14ac:dyDescent="0.2">
      <c r="A1039" t="str">
        <f t="shared" si="170"/>
        <v/>
      </c>
      <c r="E1039" s="4"/>
      <c r="F1039" s="46"/>
      <c r="G1039" s="4"/>
      <c r="H1039" s="48"/>
      <c r="J1039" s="26" t="str">
        <f t="shared" si="171"/>
        <v/>
      </c>
      <c r="N1039" t="str">
        <f t="shared" si="172"/>
        <v/>
      </c>
      <c r="Q1039" t="str">
        <f t="shared" si="173"/>
        <v/>
      </c>
      <c r="S1039" t="str">
        <f>IF(A1039=1,MAX($S$2:$S1038)+1,IF(OR($I1039&lt;&gt;"",A1039="x"),$S1038,""))</f>
        <v/>
      </c>
      <c r="T1039" t="str">
        <f>IF(D1039=1,MAX($T$2:$T1038)+1,IF(S1039=S1038,$T1038,IF(D1039="x",T1038,IF(D1038="x","",""))))</f>
        <v/>
      </c>
      <c r="U1039" t="str">
        <f>IF(B1039=1,MAX($U$2:$U1038)+1,IF(AND($T1039&lt;&gt;"",$T1039=$T1038),$U1038,IF(B1039="x",U1038,"")))</f>
        <v/>
      </c>
      <c r="V1039" t="str">
        <f>IF(C1039=1,MAX($V$2:$V1038)+1,IF(AND($T1039&lt;&gt;"",$T1039=$T1038),$U1038,IF(C1039="x",V1038,"")))</f>
        <v/>
      </c>
      <c r="X1039" cm="1">
        <f t="array" ref="X1039">IF($I1039&lt;&gt;"",$I1039,INDEX($I$1:$I1039,ROW()-COUNTIFS($T$1:$T1039,"="&amp;$T1039,$S$1:$S1039,"&lt;"&amp;$S1039)))</f>
        <v>0</v>
      </c>
      <c r="Z1039" s="6">
        <f t="shared" si="174"/>
        <v>1</v>
      </c>
      <c r="AA1039" t="e">
        <f t="shared" si="175"/>
        <v>#VALUE!</v>
      </c>
      <c r="AB1039" t="str">
        <f t="shared" si="176"/>
        <v/>
      </c>
      <c r="AC1039" t="e">
        <f t="shared" si="177"/>
        <v>#VALUE!</v>
      </c>
    </row>
    <row r="1040" spans="1:29" x14ac:dyDescent="0.2">
      <c r="A1040" t="str">
        <f t="shared" si="170"/>
        <v/>
      </c>
      <c r="E1040" s="4"/>
      <c r="F1040" s="46"/>
      <c r="G1040" s="4"/>
      <c r="H1040" s="48"/>
      <c r="J1040" s="26" t="str">
        <f t="shared" si="171"/>
        <v/>
      </c>
      <c r="N1040" t="str">
        <f t="shared" si="172"/>
        <v/>
      </c>
      <c r="Q1040" t="str">
        <f t="shared" si="173"/>
        <v/>
      </c>
      <c r="S1040" t="str">
        <f>IF(A1040=1,MAX($S$2:$S1039)+1,IF(OR($I1040&lt;&gt;"",A1040="x"),$S1039,""))</f>
        <v/>
      </c>
      <c r="T1040" t="str">
        <f>IF(D1040=1,MAX($T$2:$T1039)+1,IF(S1040=S1039,$T1039,IF(D1040="x",T1039,IF(D1039="x","",""))))</f>
        <v/>
      </c>
      <c r="U1040" t="str">
        <f>IF(B1040=1,MAX($U$2:$U1039)+1,IF(AND($T1040&lt;&gt;"",$T1040=$T1039),$U1039,IF(B1040="x",U1039,"")))</f>
        <v/>
      </c>
      <c r="V1040" t="str">
        <f>IF(C1040=1,MAX($V$2:$V1039)+1,IF(AND($T1040&lt;&gt;"",$T1040=$T1039),$U1039,IF(C1040="x",V1039,"")))</f>
        <v/>
      </c>
      <c r="X1040" cm="1">
        <f t="array" ref="X1040">IF($I1040&lt;&gt;"",$I1040,INDEX($I$1:$I1040,ROW()-COUNTIFS($T$1:$T1040,"="&amp;$T1040,$S$1:$S1040,"&lt;"&amp;$S1040)))</f>
        <v>0</v>
      </c>
      <c r="Z1040" s="6">
        <f t="shared" si="174"/>
        <v>1</v>
      </c>
      <c r="AA1040" t="e">
        <f t="shared" si="175"/>
        <v>#VALUE!</v>
      </c>
      <c r="AB1040" t="str">
        <f t="shared" si="176"/>
        <v/>
      </c>
      <c r="AC1040" t="e">
        <f t="shared" si="177"/>
        <v>#VALUE!</v>
      </c>
    </row>
    <row r="1041" spans="1:29" x14ac:dyDescent="0.2">
      <c r="A1041" t="str">
        <f t="shared" si="170"/>
        <v/>
      </c>
      <c r="E1041" s="4"/>
      <c r="F1041" s="46"/>
      <c r="G1041" s="4"/>
      <c r="H1041" s="48"/>
      <c r="J1041" s="26" t="str">
        <f t="shared" si="171"/>
        <v/>
      </c>
      <c r="N1041" t="str">
        <f t="shared" si="172"/>
        <v/>
      </c>
      <c r="Q1041" t="str">
        <f t="shared" si="173"/>
        <v/>
      </c>
      <c r="S1041" t="str">
        <f>IF(A1041=1,MAX($S$2:$S1040)+1,IF(OR($I1041&lt;&gt;"",A1041="x"),$S1040,""))</f>
        <v/>
      </c>
      <c r="T1041" t="str">
        <f>IF(D1041=1,MAX($T$2:$T1040)+1,IF(S1041=S1040,$T1040,IF(D1041="x",T1040,IF(D1040="x","",""))))</f>
        <v/>
      </c>
      <c r="U1041" t="str">
        <f>IF(B1041=1,MAX($U$2:$U1040)+1,IF(AND($T1041&lt;&gt;"",$T1041=$T1040),$U1040,IF(B1041="x",U1040,"")))</f>
        <v/>
      </c>
      <c r="V1041" t="str">
        <f>IF(C1041=1,MAX($V$2:$V1040)+1,IF(AND($T1041&lt;&gt;"",$T1041=$T1040),$U1040,IF(C1041="x",V1040,"")))</f>
        <v/>
      </c>
      <c r="X1041" cm="1">
        <f t="array" ref="X1041">IF($I1041&lt;&gt;"",$I1041,INDEX($I$1:$I1041,ROW()-COUNTIFS($T$1:$T1041,"="&amp;$T1041,$S$1:$S1041,"&lt;"&amp;$S1041)))</f>
        <v>0</v>
      </c>
      <c r="Z1041" s="6">
        <f t="shared" si="174"/>
        <v>1</v>
      </c>
      <c r="AA1041" t="e">
        <f t="shared" si="175"/>
        <v>#VALUE!</v>
      </c>
      <c r="AB1041" t="str">
        <f t="shared" si="176"/>
        <v/>
      </c>
      <c r="AC1041" t="e">
        <f t="shared" si="177"/>
        <v>#VALUE!</v>
      </c>
    </row>
    <row r="1042" spans="1:29" x14ac:dyDescent="0.2">
      <c r="A1042" t="str">
        <f t="shared" si="170"/>
        <v/>
      </c>
      <c r="E1042" s="4"/>
      <c r="F1042" s="46"/>
      <c r="G1042" s="4"/>
      <c r="H1042" s="48"/>
      <c r="J1042" s="26" t="str">
        <f t="shared" si="171"/>
        <v/>
      </c>
      <c r="N1042" t="str">
        <f t="shared" si="172"/>
        <v/>
      </c>
      <c r="Q1042" t="str">
        <f t="shared" si="173"/>
        <v/>
      </c>
      <c r="S1042" t="str">
        <f>IF(A1042=1,MAX($S$2:$S1041)+1,IF(OR($I1042&lt;&gt;"",A1042="x"),$S1041,""))</f>
        <v/>
      </c>
      <c r="T1042" t="str">
        <f>IF(D1042=1,MAX($T$2:$T1041)+1,IF(S1042=S1041,$T1041,IF(D1042="x",T1041,IF(D1041="x","",""))))</f>
        <v/>
      </c>
      <c r="U1042" t="str">
        <f>IF(B1042=1,MAX($U$2:$U1041)+1,IF(AND($T1042&lt;&gt;"",$T1042=$T1041),$U1041,IF(B1042="x",U1041,"")))</f>
        <v/>
      </c>
      <c r="V1042" t="str">
        <f>IF(C1042=1,MAX($V$2:$V1041)+1,IF(AND($T1042&lt;&gt;"",$T1042=$T1041),$U1041,IF(C1042="x",V1041,"")))</f>
        <v/>
      </c>
      <c r="X1042" cm="1">
        <f t="array" ref="X1042">IF($I1042&lt;&gt;"",$I1042,INDEX($I$1:$I1042,ROW()-COUNTIFS($T$1:$T1042,"="&amp;$T1042,$S$1:$S1042,"&lt;"&amp;$S1042)))</f>
        <v>0</v>
      </c>
      <c r="Z1042" s="6">
        <f t="shared" si="174"/>
        <v>1</v>
      </c>
      <c r="AA1042" t="e">
        <f t="shared" si="175"/>
        <v>#VALUE!</v>
      </c>
      <c r="AB1042" t="str">
        <f t="shared" si="176"/>
        <v/>
      </c>
      <c r="AC1042" t="e">
        <f t="shared" si="177"/>
        <v>#VALUE!</v>
      </c>
    </row>
    <row r="1043" spans="1:29" x14ac:dyDescent="0.2">
      <c r="A1043" t="str">
        <f t="shared" ref="A1043:A1106" si="178">IF(K1043&lt;&gt;"",1,IF(D1043="x","x",""))</f>
        <v/>
      </c>
      <c r="E1043" s="4"/>
      <c r="F1043" s="46"/>
      <c r="G1043" s="4"/>
      <c r="H1043" s="48"/>
      <c r="J1043" s="26" t="str">
        <f t="shared" ref="J1043:J1106" si="179">IF(OR(K1043="Goal",K1043="Shot",L1043="Zone_Entry",M1043="Stoppage-Goal",M1042="Stoppage-Goal"),"o",IF(OR(K1043="Save",K1043="Rebound",L1043="Zone_Exit",M1043="Stoppage-GoalieStoppage",M1042="Stoppage-GoalieStoppage"),"d",IF(OR(L1043="Faceoff_AfterGoal",L1043="Faceoff_PeriodStart",698="Faceoff_GameStart",M1042="Stoppage-Goal"),"n","")))</f>
        <v/>
      </c>
      <c r="N1043" t="str">
        <f t="shared" ref="N1043:N1106" si="180">IF(K1043="","",IF(K1043="Goal","s",IF(AND(K1043="Zone_Entry_Exit",OR(ISNUMBER(SEARCH("fail",L1043)),ISNUMBER(SEARCH("FromExitClear",M1043)),ISNUMBER(SEARCH("miss",M1043)))),"u",IF(AND(K1043="Zone_Entry_Exit",OR(NOT(ISNUMBER(SEARCH("fail",L1043))),NOT(ISNUMBER(SEARCH("FromExitClear",M1043))),NOT(ISNUMBER(SEARCH("miss",M1043))))),"s",IF(AND(OR(K1043="Shot",K1043="Pass"),OR(ISNUMBER(SEARCH("complete",L1043)),ISNUMBER(SEARCH("goal",L1043)),ISNUMBER(SEARCH("OnNet",L1043)))),"s",IF(L1043="Turnover_Giveaway","u",IF(AND(OR(K1043="Shot",K1043="Pass"),OR(ISNUMBER(SEARCH("fail",L1043)),NOT(ISNUMBER(SEARCH("complete",L1043))),NOT(ISNUMBER(SEARCH("OnNet",L1043))))),"u","")))))))</f>
        <v/>
      </c>
      <c r="Q1043" t="str">
        <f t="shared" ref="Q1043:Q1106" si="181">IF(O1043="","",IF(AND(N1043&lt;&gt;"",OR(O1043&lt;&gt;"",P1043&lt;&gt;"")),N1043,IF(OR(ISNUMBER(SEARCH("attemp",O1043)),ISNUMBER(SEARCH("beat",O1043)),ISNUMBER(SEARCH("mis",O1043)),ISNUMBER(SEARCH("fail",O1043)),ISNUMBER(SEARCH("loss",O1043)),ISNUMBER(SEARCH("lost",O1043)),ISNUMBER(SEARCH("attemp",P1043)),ISNUMBER(SEARCH("mis",P1043)),ISNUMBER(SEARCH("fail",P1043)),ISNUMBER(SEARCH("loss",P1043)),ISNUMBER(SEARCH("beat",P1043)),ISNUMBER(SEARCH("lost",P1043))),"u","")))</f>
        <v/>
      </c>
      <c r="S1043" t="str">
        <f>IF(A1043=1,MAX($S$2:$S1042)+1,IF(OR($I1043&lt;&gt;"",A1043="x"),$S1042,""))</f>
        <v/>
      </c>
      <c r="T1043" t="str">
        <f>IF(D1043=1,MAX($T$2:$T1042)+1,IF(S1043=S1042,$T1042,IF(D1043="x",T1042,IF(D1042="x","",""))))</f>
        <v/>
      </c>
      <c r="U1043" t="str">
        <f>IF(B1043=1,MAX($U$2:$U1042)+1,IF(AND($T1043&lt;&gt;"",$T1043=$T1042),$U1042,IF(B1043="x",U1042,"")))</f>
        <v/>
      </c>
      <c r="V1043" t="str">
        <f>IF(C1043=1,MAX($V$2:$V1042)+1,IF(AND($T1043&lt;&gt;"",$T1043=$T1042),$U1042,IF(C1043="x",V1042,"")))</f>
        <v/>
      </c>
      <c r="X1043" cm="1">
        <f t="array" ref="X1043">IF($I1043&lt;&gt;"",$I1043,INDEX($I$1:$I1043,ROW()-COUNTIFS($T$1:$T1043,"="&amp;$T1043,$S$1:$S1043,"&lt;"&amp;$S1043)))</f>
        <v>0</v>
      </c>
      <c r="Z1043" s="6">
        <f t="shared" si="174"/>
        <v>1</v>
      </c>
      <c r="AA1043" t="e">
        <f t="shared" si="175"/>
        <v>#VALUE!</v>
      </c>
      <c r="AB1043" t="str">
        <f t="shared" si="176"/>
        <v/>
      </c>
      <c r="AC1043" t="e">
        <f t="shared" si="177"/>
        <v>#VALUE!</v>
      </c>
    </row>
    <row r="1044" spans="1:29" x14ac:dyDescent="0.2">
      <c r="A1044" t="str">
        <f t="shared" si="178"/>
        <v/>
      </c>
      <c r="E1044" s="4"/>
      <c r="F1044" s="46"/>
      <c r="G1044" s="4"/>
      <c r="H1044" s="48"/>
      <c r="J1044" s="26" t="str">
        <f t="shared" si="179"/>
        <v/>
      </c>
      <c r="N1044" t="str">
        <f t="shared" si="180"/>
        <v/>
      </c>
      <c r="Q1044" t="str">
        <f t="shared" si="181"/>
        <v/>
      </c>
      <c r="S1044" t="str">
        <f>IF(A1044=1,MAX($S$2:$S1043)+1,IF(OR($I1044&lt;&gt;"",A1044="x"),$S1043,""))</f>
        <v/>
      </c>
      <c r="T1044" t="str">
        <f>IF(D1044=1,MAX($T$2:$T1043)+1,IF(S1044=S1043,$T1043,IF(D1044="x",T1043,IF(D1043="x","",""))))</f>
        <v/>
      </c>
      <c r="U1044" t="str">
        <f>IF(B1044=1,MAX($U$2:$U1043)+1,IF(AND($T1044&lt;&gt;"",$T1044=$T1043),$U1043,IF(B1044="x",U1043,"")))</f>
        <v/>
      </c>
      <c r="V1044" t="str">
        <f>IF(C1044=1,MAX($V$2:$V1043)+1,IF(AND($T1044&lt;&gt;"",$T1044=$T1043),$U1043,IF(C1044="x",V1043,"")))</f>
        <v/>
      </c>
      <c r="X1044" cm="1">
        <f t="array" ref="X1044">IF($I1044&lt;&gt;"",$I1044,INDEX($I$1:$I1044,ROW()-COUNTIFS($T$1:$T1044,"="&amp;$T1044,$S$1:$S1044,"&lt;"&amp;$S1044)))</f>
        <v>0</v>
      </c>
      <c r="Z1044" s="6">
        <f t="shared" si="174"/>
        <v>1</v>
      </c>
      <c r="AA1044" t="e">
        <f t="shared" si="175"/>
        <v>#VALUE!</v>
      </c>
      <c r="AB1044" t="str">
        <f t="shared" si="176"/>
        <v/>
      </c>
      <c r="AC1044" t="e">
        <f t="shared" si="177"/>
        <v>#VALUE!</v>
      </c>
    </row>
    <row r="1045" spans="1:29" x14ac:dyDescent="0.2">
      <c r="A1045" t="str">
        <f t="shared" si="178"/>
        <v/>
      </c>
      <c r="E1045" s="4"/>
      <c r="F1045" s="46"/>
      <c r="G1045" s="4"/>
      <c r="H1045" s="48"/>
      <c r="J1045" s="26" t="str">
        <f t="shared" si="179"/>
        <v/>
      </c>
      <c r="N1045" t="str">
        <f t="shared" si="180"/>
        <v/>
      </c>
      <c r="Q1045" t="str">
        <f t="shared" si="181"/>
        <v/>
      </c>
      <c r="S1045" t="str">
        <f>IF(A1045=1,MAX($S$2:$S1044)+1,IF(OR($I1045&lt;&gt;"",A1045="x"),$S1044,""))</f>
        <v/>
      </c>
      <c r="T1045" t="str">
        <f>IF(D1045=1,MAX($T$2:$T1044)+1,IF(S1045=S1044,$T1044,IF(D1045="x",T1044,IF(D1044="x","",""))))</f>
        <v/>
      </c>
      <c r="U1045" t="str">
        <f>IF(B1045=1,MAX($U$2:$U1044)+1,IF(AND($T1045&lt;&gt;"",$T1045=$T1044),$U1044,IF(B1045="x",U1044,"")))</f>
        <v/>
      </c>
      <c r="V1045" t="str">
        <f>IF(C1045=1,MAX($V$2:$V1044)+1,IF(AND($T1045&lt;&gt;"",$T1045=$T1044),$U1044,IF(C1045="x",V1044,"")))</f>
        <v/>
      </c>
      <c r="X1045" cm="1">
        <f t="array" ref="X1045">IF($I1045&lt;&gt;"",$I1045,INDEX($I$1:$I1045,ROW()-COUNTIFS($T$1:$T1045,"="&amp;$T1045,$S$1:$S1045,"&lt;"&amp;$S1045)))</f>
        <v>0</v>
      </c>
      <c r="Z1045" s="6">
        <f t="shared" si="174"/>
        <v>1</v>
      </c>
      <c r="AA1045" t="e">
        <f t="shared" si="175"/>
        <v>#VALUE!</v>
      </c>
      <c r="AB1045" t="str">
        <f t="shared" si="176"/>
        <v/>
      </c>
      <c r="AC1045" t="e">
        <f t="shared" si="177"/>
        <v>#VALUE!</v>
      </c>
    </row>
    <row r="1046" spans="1:29" x14ac:dyDescent="0.2">
      <c r="A1046" t="str">
        <f t="shared" si="178"/>
        <v/>
      </c>
      <c r="E1046" s="4"/>
      <c r="F1046" s="46"/>
      <c r="G1046" s="4"/>
      <c r="H1046" s="48"/>
      <c r="J1046" s="26" t="str">
        <f t="shared" si="179"/>
        <v/>
      </c>
      <c r="N1046" t="str">
        <f t="shared" si="180"/>
        <v/>
      </c>
      <c r="Q1046" t="str">
        <f t="shared" si="181"/>
        <v/>
      </c>
      <c r="S1046" t="str">
        <f>IF(A1046=1,MAX($S$2:$S1045)+1,IF(OR($I1046&lt;&gt;"",A1046="x"),$S1045,""))</f>
        <v/>
      </c>
      <c r="T1046" t="str">
        <f>IF(D1046=1,MAX($T$2:$T1045)+1,IF(S1046=S1045,$T1045,IF(D1046="x",T1045,IF(D1045="x","",""))))</f>
        <v/>
      </c>
      <c r="U1046" t="str">
        <f>IF(B1046=1,MAX($U$2:$U1045)+1,IF(AND($T1046&lt;&gt;"",$T1046=$T1045),$U1045,IF(B1046="x",U1045,"")))</f>
        <v/>
      </c>
      <c r="V1046" t="str">
        <f>IF(C1046=1,MAX($V$2:$V1045)+1,IF(AND($T1046&lt;&gt;"",$T1046=$T1045),$U1045,IF(C1046="x",V1045,"")))</f>
        <v/>
      </c>
      <c r="X1046" cm="1">
        <f t="array" ref="X1046">IF($I1046&lt;&gt;"",$I1046,INDEX($I$1:$I1046,ROW()-COUNTIFS($T$1:$T1046,"="&amp;$T1046,$S$1:$S1046,"&lt;"&amp;$S1046)))</f>
        <v>0</v>
      </c>
      <c r="Z1046" s="6">
        <f t="shared" si="174"/>
        <v>1</v>
      </c>
      <c r="AA1046" t="e">
        <f t="shared" si="175"/>
        <v>#VALUE!</v>
      </c>
      <c r="AB1046" t="str">
        <f t="shared" si="176"/>
        <v/>
      </c>
      <c r="AC1046" t="e">
        <f t="shared" si="177"/>
        <v>#VALUE!</v>
      </c>
    </row>
    <row r="1047" spans="1:29" x14ac:dyDescent="0.2">
      <c r="A1047" t="str">
        <f t="shared" si="178"/>
        <v/>
      </c>
      <c r="E1047" s="4"/>
      <c r="F1047" s="46"/>
      <c r="G1047" s="4"/>
      <c r="H1047" s="48"/>
      <c r="J1047" s="26" t="str">
        <f t="shared" si="179"/>
        <v/>
      </c>
      <c r="N1047" t="str">
        <f t="shared" si="180"/>
        <v/>
      </c>
      <c r="Q1047" t="str">
        <f t="shared" si="181"/>
        <v/>
      </c>
      <c r="S1047" t="str">
        <f>IF(A1047=1,MAX($S$2:$S1046)+1,IF(OR($I1047&lt;&gt;"",A1047="x"),$S1046,""))</f>
        <v/>
      </c>
      <c r="T1047" t="str">
        <f>IF(D1047=1,MAX($T$2:$T1046)+1,IF(S1047=S1046,$T1046,IF(D1047="x",T1046,IF(D1046="x","",""))))</f>
        <v/>
      </c>
      <c r="U1047" t="str">
        <f>IF(B1047=1,MAX($U$2:$U1046)+1,IF(AND($T1047&lt;&gt;"",$T1047=$T1046),$U1046,IF(B1047="x",U1046,"")))</f>
        <v/>
      </c>
      <c r="V1047" t="str">
        <f>IF(C1047=1,MAX($V$2:$V1046)+1,IF(AND($T1047&lt;&gt;"",$T1047=$T1046),$U1046,IF(C1047="x",V1046,"")))</f>
        <v/>
      </c>
      <c r="X1047" cm="1">
        <f t="array" ref="X1047">IF($I1047&lt;&gt;"",$I1047,INDEX($I$1:$I1047,ROW()-COUNTIFS($T$1:$T1047,"="&amp;$T1047,$S$1:$S1047,"&lt;"&amp;$S1047)))</f>
        <v>0</v>
      </c>
      <c r="Z1047" s="6">
        <f t="shared" si="174"/>
        <v>1</v>
      </c>
      <c r="AA1047" t="e">
        <f t="shared" si="175"/>
        <v>#VALUE!</v>
      </c>
      <c r="AB1047" t="str">
        <f t="shared" si="176"/>
        <v/>
      </c>
      <c r="AC1047" t="e">
        <f t="shared" si="177"/>
        <v>#VALUE!</v>
      </c>
    </row>
    <row r="1048" spans="1:29" x14ac:dyDescent="0.2">
      <c r="A1048" t="str">
        <f t="shared" si="178"/>
        <v/>
      </c>
      <c r="E1048" s="4"/>
      <c r="F1048" s="46"/>
      <c r="G1048" s="4"/>
      <c r="H1048" s="48"/>
      <c r="J1048" s="26" t="str">
        <f t="shared" si="179"/>
        <v/>
      </c>
      <c r="N1048" t="str">
        <f t="shared" si="180"/>
        <v/>
      </c>
      <c r="Q1048" t="str">
        <f t="shared" si="181"/>
        <v/>
      </c>
      <c r="S1048" t="str">
        <f>IF(A1048=1,MAX($S$2:$S1047)+1,IF(OR($I1048&lt;&gt;"",A1048="x"),$S1047,""))</f>
        <v/>
      </c>
      <c r="T1048" t="str">
        <f>IF(D1048=1,MAX($T$2:$T1047)+1,IF(S1048=S1047,$T1047,IF(D1048="x",T1047,IF(D1047="x","",""))))</f>
        <v/>
      </c>
      <c r="U1048" t="str">
        <f>IF(B1048=1,MAX($U$2:$U1047)+1,IF(AND($T1048&lt;&gt;"",$T1048=$T1047),$U1047,IF(B1048="x",U1047,"")))</f>
        <v/>
      </c>
      <c r="V1048" t="str">
        <f>IF(C1048=1,MAX($V$2:$V1047)+1,IF(AND($T1048&lt;&gt;"",$T1048=$T1047),$U1047,IF(C1048="x",V1047,"")))</f>
        <v/>
      </c>
      <c r="X1048" cm="1">
        <f t="array" ref="X1048">IF($I1048&lt;&gt;"",$I1048,INDEX($I$1:$I1048,ROW()-COUNTIFS($T$1:$T1048,"="&amp;$T1048,$S$1:$S1048,"&lt;"&amp;$S1048)))</f>
        <v>0</v>
      </c>
      <c r="Z1048" s="6">
        <f t="shared" si="174"/>
        <v>1</v>
      </c>
      <c r="AA1048" t="e">
        <f t="shared" si="175"/>
        <v>#VALUE!</v>
      </c>
      <c r="AB1048" t="str">
        <f t="shared" si="176"/>
        <v/>
      </c>
      <c r="AC1048" t="e">
        <f t="shared" si="177"/>
        <v>#VALUE!</v>
      </c>
    </row>
    <row r="1049" spans="1:29" x14ac:dyDescent="0.2">
      <c r="A1049" t="str">
        <f t="shared" si="178"/>
        <v/>
      </c>
      <c r="E1049" s="4"/>
      <c r="F1049" s="46"/>
      <c r="G1049" s="4"/>
      <c r="H1049" s="48"/>
      <c r="J1049" s="26" t="str">
        <f t="shared" si="179"/>
        <v/>
      </c>
      <c r="N1049" t="str">
        <f t="shared" si="180"/>
        <v/>
      </c>
      <c r="Q1049" t="str">
        <f t="shared" si="181"/>
        <v/>
      </c>
      <c r="S1049" t="str">
        <f>IF(A1049=1,MAX($S$2:$S1048)+1,IF(OR($I1049&lt;&gt;"",A1049="x"),$S1048,""))</f>
        <v/>
      </c>
      <c r="T1049" t="str">
        <f>IF(D1049=1,MAX($T$2:$T1048)+1,IF(S1049=S1048,$T1048,IF(D1049="x",T1048,IF(D1048="x","",""))))</f>
        <v/>
      </c>
      <c r="U1049" t="str">
        <f>IF(B1049=1,MAX($U$2:$U1048)+1,IF(AND($T1049&lt;&gt;"",$T1049=$T1048),$U1048,IF(B1049="x",U1048,"")))</f>
        <v/>
      </c>
      <c r="V1049" t="str">
        <f>IF(C1049=1,MAX($V$2:$V1048)+1,IF(AND($T1049&lt;&gt;"",$T1049=$T1048),$U1048,IF(C1049="x",V1048,"")))</f>
        <v/>
      </c>
      <c r="X1049" cm="1">
        <f t="array" ref="X1049">IF($I1049&lt;&gt;"",$I1049,INDEX($I$1:$I1049,ROW()-COUNTIFS($T$1:$T1049,"="&amp;$T1049,$S$1:$S1049,"&lt;"&amp;$S1049)))</f>
        <v>0</v>
      </c>
      <c r="Z1049" s="6">
        <f t="shared" si="174"/>
        <v>1</v>
      </c>
      <c r="AA1049" t="e">
        <f t="shared" si="175"/>
        <v>#VALUE!</v>
      </c>
      <c r="AB1049" t="str">
        <f t="shared" si="176"/>
        <v/>
      </c>
      <c r="AC1049" t="e">
        <f t="shared" si="177"/>
        <v>#VALUE!</v>
      </c>
    </row>
    <row r="1050" spans="1:29" x14ac:dyDescent="0.2">
      <c r="A1050" t="str">
        <f t="shared" si="178"/>
        <v/>
      </c>
      <c r="E1050" s="4"/>
      <c r="F1050" s="46"/>
      <c r="G1050" s="4"/>
      <c r="H1050" s="48"/>
      <c r="J1050" s="26" t="str">
        <f t="shared" si="179"/>
        <v/>
      </c>
      <c r="N1050" t="str">
        <f t="shared" si="180"/>
        <v/>
      </c>
      <c r="Q1050" t="str">
        <f t="shared" si="181"/>
        <v/>
      </c>
      <c r="S1050" t="str">
        <f>IF(A1050=1,MAX($S$2:$S1049)+1,IF(OR($I1050&lt;&gt;"",A1050="x"),$S1049,""))</f>
        <v/>
      </c>
      <c r="T1050" t="str">
        <f>IF(D1050=1,MAX($T$2:$T1049)+1,IF(S1050=S1049,$T1049,IF(D1050="x",T1049,IF(D1049="x","",""))))</f>
        <v/>
      </c>
      <c r="U1050" t="str">
        <f>IF(B1050=1,MAX($U$2:$U1049)+1,IF(AND($T1050&lt;&gt;"",$T1050=$T1049),$U1049,IF(B1050="x",U1049,"")))</f>
        <v/>
      </c>
      <c r="V1050" t="str">
        <f>IF(C1050=1,MAX($V$2:$V1049)+1,IF(AND($T1050&lt;&gt;"",$T1050=$T1049),$U1049,IF(C1050="x",V1049,"")))</f>
        <v/>
      </c>
      <c r="X1050" cm="1">
        <f t="array" ref="X1050">IF($I1050&lt;&gt;"",$I1050,INDEX($I$1:$I1050,ROW()-COUNTIFS($T$1:$T1050,"="&amp;$T1050,$S$1:$S1050,"&lt;"&amp;$S1050)))</f>
        <v>0</v>
      </c>
      <c r="Z1050" s="6">
        <f t="shared" si="174"/>
        <v>1</v>
      </c>
      <c r="AA1050" t="e">
        <f t="shared" si="175"/>
        <v>#VALUE!</v>
      </c>
      <c r="AB1050" t="str">
        <f t="shared" si="176"/>
        <v/>
      </c>
      <c r="AC1050" t="e">
        <f t="shared" si="177"/>
        <v>#VALUE!</v>
      </c>
    </row>
    <row r="1051" spans="1:29" x14ac:dyDescent="0.2">
      <c r="A1051" t="str">
        <f t="shared" si="178"/>
        <v/>
      </c>
      <c r="E1051" s="4"/>
      <c r="F1051" s="46"/>
      <c r="G1051" s="4"/>
      <c r="H1051" s="48"/>
      <c r="J1051" s="26" t="str">
        <f t="shared" si="179"/>
        <v/>
      </c>
      <c r="N1051" t="str">
        <f t="shared" si="180"/>
        <v/>
      </c>
      <c r="Q1051" t="str">
        <f t="shared" si="181"/>
        <v/>
      </c>
      <c r="S1051" t="str">
        <f>IF(A1051=1,MAX($S$2:$S1050)+1,IF(OR($I1051&lt;&gt;"",A1051="x"),$S1050,""))</f>
        <v/>
      </c>
      <c r="T1051" t="str">
        <f>IF(D1051=1,MAX($T$2:$T1050)+1,IF(S1051=S1050,$T1050,IF(D1051="x",T1050,IF(D1050="x","",""))))</f>
        <v/>
      </c>
      <c r="U1051" t="str">
        <f>IF(B1051=1,MAX($U$2:$U1050)+1,IF(AND($T1051&lt;&gt;"",$T1051=$T1050),$U1050,IF(B1051="x",U1050,"")))</f>
        <v/>
      </c>
      <c r="V1051" t="str">
        <f>IF(C1051=1,MAX($V$2:$V1050)+1,IF(AND($T1051&lt;&gt;"",$T1051=$T1050),$U1050,IF(C1051="x",V1050,"")))</f>
        <v/>
      </c>
      <c r="X1051" cm="1">
        <f t="array" ref="X1051">IF($I1051&lt;&gt;"",$I1051,INDEX($I$1:$I1051,ROW()-COUNTIFS($T$1:$T1051,"="&amp;$T1051,$S$1:$S1051,"&lt;"&amp;$S1051)))</f>
        <v>0</v>
      </c>
      <c r="Z1051" s="6">
        <f t="shared" si="174"/>
        <v>1</v>
      </c>
      <c r="AA1051" t="e">
        <f t="shared" si="175"/>
        <v>#VALUE!</v>
      </c>
      <c r="AB1051" t="str">
        <f t="shared" si="176"/>
        <v/>
      </c>
      <c r="AC1051" t="e">
        <f t="shared" si="177"/>
        <v>#VALUE!</v>
      </c>
    </row>
    <row r="1052" spans="1:29" x14ac:dyDescent="0.2">
      <c r="A1052" t="str">
        <f t="shared" si="178"/>
        <v/>
      </c>
      <c r="E1052" s="4"/>
      <c r="F1052" s="46"/>
      <c r="G1052" s="4"/>
      <c r="H1052" s="48"/>
      <c r="J1052" s="26" t="str">
        <f t="shared" si="179"/>
        <v/>
      </c>
      <c r="N1052" t="str">
        <f t="shared" si="180"/>
        <v/>
      </c>
      <c r="Q1052" t="str">
        <f t="shared" si="181"/>
        <v/>
      </c>
      <c r="S1052" t="str">
        <f>IF(A1052=1,MAX($S$2:$S1051)+1,IF(OR($I1052&lt;&gt;"",A1052="x"),$S1051,""))</f>
        <v/>
      </c>
      <c r="T1052" t="str">
        <f>IF(D1052=1,MAX($T$2:$T1051)+1,IF(S1052=S1051,$T1051,IF(D1052="x",T1051,IF(D1051="x","",""))))</f>
        <v/>
      </c>
      <c r="U1052" t="str">
        <f>IF(B1052=1,MAX($U$2:$U1051)+1,IF(AND($T1052&lt;&gt;"",$T1052=$T1051),$U1051,IF(B1052="x",U1051,"")))</f>
        <v/>
      </c>
      <c r="V1052" t="str">
        <f>IF(C1052=1,MAX($V$2:$V1051)+1,IF(AND($T1052&lt;&gt;"",$T1052=$T1051),$U1051,IF(C1052="x",V1051,"")))</f>
        <v/>
      </c>
      <c r="X1052" cm="1">
        <f t="array" ref="X1052">IF($I1052&lt;&gt;"",$I1052,INDEX($I$1:$I1052,ROW()-COUNTIFS($T$1:$T1052,"="&amp;$T1052,$S$1:$S1052,"&lt;"&amp;$S1052)))</f>
        <v>0</v>
      </c>
      <c r="Z1052" s="6">
        <f t="shared" si="174"/>
        <v>1</v>
      </c>
      <c r="AA1052" t="e">
        <f t="shared" si="175"/>
        <v>#VALUE!</v>
      </c>
      <c r="AB1052" t="str">
        <f t="shared" si="176"/>
        <v/>
      </c>
      <c r="AC1052" t="e">
        <f t="shared" si="177"/>
        <v>#VALUE!</v>
      </c>
    </row>
    <row r="1053" spans="1:29" x14ac:dyDescent="0.2">
      <c r="A1053" t="str">
        <f t="shared" si="178"/>
        <v/>
      </c>
      <c r="E1053" s="4"/>
      <c r="F1053" s="46"/>
      <c r="G1053" s="4"/>
      <c r="H1053" s="48"/>
      <c r="J1053" s="26" t="str">
        <f t="shared" si="179"/>
        <v/>
      </c>
      <c r="N1053" t="str">
        <f t="shared" si="180"/>
        <v/>
      </c>
      <c r="Q1053" t="str">
        <f t="shared" si="181"/>
        <v/>
      </c>
      <c r="S1053" t="str">
        <f>IF(A1053=1,MAX($S$2:$S1052)+1,IF(OR($I1053&lt;&gt;"",A1053="x"),$S1052,""))</f>
        <v/>
      </c>
      <c r="T1053" t="str">
        <f>IF(D1053=1,MAX($T$2:$T1052)+1,IF(S1053=S1052,$T1052,IF(D1053="x",T1052,IF(D1052="x","",""))))</f>
        <v/>
      </c>
      <c r="U1053" t="str">
        <f>IF(B1053=1,MAX($U$2:$U1052)+1,IF(AND($T1053&lt;&gt;"",$T1053=$T1052),$U1052,IF(B1053="x",U1052,"")))</f>
        <v/>
      </c>
      <c r="V1053" t="str">
        <f>IF(C1053=1,MAX($V$2:$V1052)+1,IF(AND($T1053&lt;&gt;"",$T1053=$T1052),$U1052,IF(C1053="x",V1052,"")))</f>
        <v/>
      </c>
      <c r="X1053" cm="1">
        <f t="array" ref="X1053">IF($I1053&lt;&gt;"",$I1053,INDEX($I$1:$I1053,ROW()-COUNTIFS($T$1:$T1053,"="&amp;$T1053,$S$1:$S1053,"&lt;"&amp;$S1053)))</f>
        <v>0</v>
      </c>
      <c r="Z1053" s="6">
        <f t="shared" si="174"/>
        <v>1</v>
      </c>
      <c r="AA1053" t="e">
        <f t="shared" si="175"/>
        <v>#VALUE!</v>
      </c>
      <c r="AB1053" t="str">
        <f t="shared" si="176"/>
        <v/>
      </c>
      <c r="AC1053" t="e">
        <f t="shared" si="177"/>
        <v>#VALUE!</v>
      </c>
    </row>
    <row r="1054" spans="1:29" x14ac:dyDescent="0.2">
      <c r="A1054" t="str">
        <f t="shared" si="178"/>
        <v/>
      </c>
      <c r="E1054" s="4"/>
      <c r="F1054" s="46"/>
      <c r="G1054" s="4"/>
      <c r="H1054" s="48"/>
      <c r="J1054" s="26" t="str">
        <f t="shared" si="179"/>
        <v/>
      </c>
      <c r="N1054" t="str">
        <f t="shared" si="180"/>
        <v/>
      </c>
      <c r="Q1054" t="str">
        <f t="shared" si="181"/>
        <v/>
      </c>
      <c r="S1054" t="str">
        <f>IF(A1054=1,MAX($S$2:$S1053)+1,IF(OR($I1054&lt;&gt;"",A1054="x"),$S1053,""))</f>
        <v/>
      </c>
      <c r="T1054" t="str">
        <f>IF(D1054=1,MAX($T$2:$T1053)+1,IF(S1054=S1053,$T1053,IF(D1054="x",T1053,IF(D1053="x","",""))))</f>
        <v/>
      </c>
      <c r="U1054" t="str">
        <f>IF(B1054=1,MAX($U$2:$U1053)+1,IF(AND($T1054&lt;&gt;"",$T1054=$T1053),$U1053,IF(B1054="x",U1053,"")))</f>
        <v/>
      </c>
      <c r="V1054" t="str">
        <f>IF(C1054=1,MAX($V$2:$V1053)+1,IF(AND($T1054&lt;&gt;"",$T1054=$T1053),$U1053,IF(C1054="x",V1053,"")))</f>
        <v/>
      </c>
      <c r="X1054" cm="1">
        <f t="array" ref="X1054">IF($I1054&lt;&gt;"",$I1054,INDEX($I$1:$I1054,ROW()-COUNTIFS($T$1:$T1054,"="&amp;$T1054,$S$1:$S1054,"&lt;"&amp;$S1054)))</f>
        <v>0</v>
      </c>
      <c r="Z1054" s="6">
        <f t="shared" si="174"/>
        <v>1</v>
      </c>
      <c r="AA1054" t="e">
        <f t="shared" si="175"/>
        <v>#VALUE!</v>
      </c>
      <c r="AB1054" t="str">
        <f t="shared" si="176"/>
        <v/>
      </c>
      <c r="AC1054" t="e">
        <f t="shared" si="177"/>
        <v>#VALUE!</v>
      </c>
    </row>
    <row r="1055" spans="1:29" x14ac:dyDescent="0.2">
      <c r="A1055" t="str">
        <f t="shared" si="178"/>
        <v/>
      </c>
      <c r="E1055" s="4"/>
      <c r="F1055" s="46"/>
      <c r="G1055" s="4"/>
      <c r="H1055" s="48"/>
      <c r="J1055" s="26" t="str">
        <f t="shared" si="179"/>
        <v/>
      </c>
      <c r="N1055" t="str">
        <f t="shared" si="180"/>
        <v/>
      </c>
      <c r="Q1055" t="str">
        <f t="shared" si="181"/>
        <v/>
      </c>
      <c r="S1055" t="str">
        <f>IF(A1055=1,MAX($S$2:$S1054)+1,IF(OR($I1055&lt;&gt;"",A1055="x"),$S1054,""))</f>
        <v/>
      </c>
      <c r="T1055" t="str">
        <f>IF(D1055=1,MAX($T$2:$T1054)+1,IF(S1055=S1054,$T1054,IF(D1055="x",T1054,IF(D1054="x","",""))))</f>
        <v/>
      </c>
      <c r="U1055" t="str">
        <f>IF(B1055=1,MAX($U$2:$U1054)+1,IF(AND($T1055&lt;&gt;"",$T1055=$T1054),$U1054,IF(B1055="x",U1054,"")))</f>
        <v/>
      </c>
      <c r="V1055" t="str">
        <f>IF(C1055=1,MAX($V$2:$V1054)+1,IF(AND($T1055&lt;&gt;"",$T1055=$T1054),$U1054,IF(C1055="x",V1054,"")))</f>
        <v/>
      </c>
      <c r="X1055" cm="1">
        <f t="array" ref="X1055">IF($I1055&lt;&gt;"",$I1055,INDEX($I$1:$I1055,ROW()-COUNTIFS($T$1:$T1055,"="&amp;$T1055,$S$1:$S1055,"&lt;"&amp;$S1055)))</f>
        <v>0</v>
      </c>
      <c r="Z1055" s="6">
        <f t="shared" si="174"/>
        <v>1</v>
      </c>
      <c r="AA1055" t="e">
        <f t="shared" si="175"/>
        <v>#VALUE!</v>
      </c>
      <c r="AB1055" t="str">
        <f t="shared" si="176"/>
        <v/>
      </c>
      <c r="AC1055" t="e">
        <f t="shared" si="177"/>
        <v>#VALUE!</v>
      </c>
    </row>
    <row r="1056" spans="1:29" x14ac:dyDescent="0.2">
      <c r="A1056" t="str">
        <f t="shared" si="178"/>
        <v/>
      </c>
      <c r="E1056" s="4"/>
      <c r="F1056" s="46"/>
      <c r="G1056" s="4"/>
      <c r="H1056" s="48"/>
      <c r="J1056" s="26" t="str">
        <f t="shared" si="179"/>
        <v/>
      </c>
      <c r="N1056" t="str">
        <f t="shared" si="180"/>
        <v/>
      </c>
      <c r="Q1056" t="str">
        <f t="shared" si="181"/>
        <v/>
      </c>
      <c r="S1056" t="str">
        <f>IF(A1056=1,MAX($S$2:$S1055)+1,IF(OR($I1056&lt;&gt;"",A1056="x"),$S1055,""))</f>
        <v/>
      </c>
      <c r="T1056" t="str">
        <f>IF(D1056=1,MAX($T$2:$T1055)+1,IF(S1056=S1055,$T1055,IF(D1056="x",T1055,IF(D1055="x","",""))))</f>
        <v/>
      </c>
      <c r="U1056" t="str">
        <f>IF(B1056=1,MAX($U$2:$U1055)+1,IF(AND($T1056&lt;&gt;"",$T1056=$T1055),$U1055,IF(B1056="x",U1055,"")))</f>
        <v/>
      </c>
      <c r="V1056" t="str">
        <f>IF(C1056=1,MAX($V$2:$V1055)+1,IF(AND($T1056&lt;&gt;"",$T1056=$T1055),$U1055,IF(C1056="x",V1055,"")))</f>
        <v/>
      </c>
      <c r="X1056" cm="1">
        <f t="array" ref="X1056">IF($I1056&lt;&gt;"",$I1056,INDEX($I$1:$I1056,ROW()-COUNTIFS($T$1:$T1056,"="&amp;$T1056,$S$1:$S1056,"&lt;"&amp;$S1056)))</f>
        <v>0</v>
      </c>
      <c r="Z1056" s="6">
        <f t="shared" si="174"/>
        <v>1</v>
      </c>
      <c r="AA1056" t="e">
        <f t="shared" si="175"/>
        <v>#VALUE!</v>
      </c>
      <c r="AB1056" t="str">
        <f t="shared" si="176"/>
        <v/>
      </c>
      <c r="AC1056" t="e">
        <f t="shared" si="177"/>
        <v>#VALUE!</v>
      </c>
    </row>
    <row r="1057" spans="1:29" x14ac:dyDescent="0.2">
      <c r="A1057" t="str">
        <f t="shared" si="178"/>
        <v/>
      </c>
      <c r="E1057" s="4"/>
      <c r="F1057" s="46"/>
      <c r="G1057" s="4"/>
      <c r="H1057" s="48"/>
      <c r="J1057" s="26" t="str">
        <f t="shared" si="179"/>
        <v/>
      </c>
      <c r="N1057" t="str">
        <f t="shared" si="180"/>
        <v/>
      </c>
      <c r="Q1057" t="str">
        <f t="shared" si="181"/>
        <v/>
      </c>
      <c r="S1057" t="str">
        <f>IF(A1057=1,MAX($S$2:$S1056)+1,IF(OR($I1057&lt;&gt;"",A1057="x"),$S1056,""))</f>
        <v/>
      </c>
      <c r="T1057" t="str">
        <f>IF(D1057=1,MAX($T$2:$T1056)+1,IF(S1057=S1056,$T1056,IF(D1057="x",T1056,IF(D1056="x","",""))))</f>
        <v/>
      </c>
      <c r="U1057" t="str">
        <f>IF(B1057=1,MAX($U$2:$U1056)+1,IF(AND($T1057&lt;&gt;"",$T1057=$T1056),$U1056,IF(B1057="x",U1056,"")))</f>
        <v/>
      </c>
      <c r="V1057" t="str">
        <f>IF(C1057=1,MAX($V$2:$V1056)+1,IF(AND($T1057&lt;&gt;"",$T1057=$T1056),$U1056,IF(C1057="x",V1056,"")))</f>
        <v/>
      </c>
      <c r="X1057" cm="1">
        <f t="array" ref="X1057">IF($I1057&lt;&gt;"",$I1057,INDEX($I$1:$I1057,ROW()-COUNTIFS($T$1:$T1057,"="&amp;$T1057,$S$1:$S1057,"&lt;"&amp;$S1057)))</f>
        <v>0</v>
      </c>
      <c r="Z1057" s="6">
        <f t="shared" si="174"/>
        <v>1</v>
      </c>
      <c r="AA1057" t="e">
        <f t="shared" si="175"/>
        <v>#VALUE!</v>
      </c>
      <c r="AB1057" t="str">
        <f t="shared" si="176"/>
        <v/>
      </c>
      <c r="AC1057" t="e">
        <f t="shared" si="177"/>
        <v>#VALUE!</v>
      </c>
    </row>
    <row r="1058" spans="1:29" x14ac:dyDescent="0.2">
      <c r="A1058" t="str">
        <f t="shared" si="178"/>
        <v/>
      </c>
      <c r="E1058" s="4"/>
      <c r="F1058" s="46"/>
      <c r="G1058" s="4"/>
      <c r="H1058" s="48"/>
      <c r="J1058" s="26" t="str">
        <f t="shared" si="179"/>
        <v/>
      </c>
      <c r="N1058" t="str">
        <f t="shared" si="180"/>
        <v/>
      </c>
      <c r="Q1058" t="str">
        <f t="shared" si="181"/>
        <v/>
      </c>
      <c r="S1058" t="str">
        <f>IF(A1058=1,MAX($S$2:$S1057)+1,IF(OR($I1058&lt;&gt;"",A1058="x"),$S1057,""))</f>
        <v/>
      </c>
      <c r="T1058" t="str">
        <f>IF(D1058=1,MAX($T$2:$T1057)+1,IF(S1058=S1057,$T1057,IF(D1058="x",T1057,IF(D1057="x","",""))))</f>
        <v/>
      </c>
      <c r="U1058" t="str">
        <f>IF(B1058=1,MAX($U$2:$U1057)+1,IF(AND($T1058&lt;&gt;"",$T1058=$T1057),$U1057,IF(B1058="x",U1057,"")))</f>
        <v/>
      </c>
      <c r="V1058" t="str">
        <f>IF(C1058=1,MAX($V$2:$V1057)+1,IF(AND($T1058&lt;&gt;"",$T1058=$T1057),$U1057,IF(C1058="x",V1057,"")))</f>
        <v/>
      </c>
      <c r="X1058" cm="1">
        <f t="array" ref="X1058">IF($I1058&lt;&gt;"",$I1058,INDEX($I$1:$I1058,ROW()-COUNTIFS($T$1:$T1058,"="&amp;$T1058,$S$1:$S1058,"&lt;"&amp;$S1058)))</f>
        <v>0</v>
      </c>
      <c r="Z1058" s="6">
        <f t="shared" si="174"/>
        <v>1</v>
      </c>
      <c r="AA1058" t="e">
        <f t="shared" si="175"/>
        <v>#VALUE!</v>
      </c>
      <c r="AB1058" t="str">
        <f t="shared" si="176"/>
        <v/>
      </c>
      <c r="AC1058" t="e">
        <f t="shared" si="177"/>
        <v>#VALUE!</v>
      </c>
    </row>
    <row r="1059" spans="1:29" x14ac:dyDescent="0.2">
      <c r="A1059" t="str">
        <f t="shared" si="178"/>
        <v/>
      </c>
      <c r="E1059" s="4"/>
      <c r="F1059" s="46"/>
      <c r="G1059" s="4"/>
      <c r="H1059" s="48"/>
      <c r="J1059" s="26" t="str">
        <f t="shared" si="179"/>
        <v/>
      </c>
      <c r="N1059" t="str">
        <f t="shared" si="180"/>
        <v/>
      </c>
      <c r="Q1059" t="str">
        <f t="shared" si="181"/>
        <v/>
      </c>
      <c r="S1059" t="str">
        <f>IF(A1059=1,MAX($S$2:$S1058)+1,IF(OR($I1059&lt;&gt;"",A1059="x"),$S1058,""))</f>
        <v/>
      </c>
      <c r="T1059" t="str">
        <f>IF(D1059=1,MAX($T$2:$T1058)+1,IF(S1059=S1058,$T1058,IF(D1059="x",T1058,IF(D1058="x","",""))))</f>
        <v/>
      </c>
      <c r="U1059" t="str">
        <f>IF(B1059=1,MAX($U$2:$U1058)+1,IF(AND($T1059&lt;&gt;"",$T1059=$T1058),$U1058,IF(B1059="x",U1058,"")))</f>
        <v/>
      </c>
      <c r="V1059" t="str">
        <f>IF(C1059=1,MAX($V$2:$V1058)+1,IF(AND($T1059&lt;&gt;"",$T1059=$T1058),$U1058,IF(C1059="x",V1058,"")))</f>
        <v/>
      </c>
      <c r="X1059" cm="1">
        <f t="array" ref="X1059">IF($I1059&lt;&gt;"",$I1059,INDEX($I$1:$I1059,ROW()-COUNTIFS($T$1:$T1059,"="&amp;$T1059,$S$1:$S1059,"&lt;"&amp;$S1059)))</f>
        <v>0</v>
      </c>
      <c r="Z1059" s="6">
        <f t="shared" si="174"/>
        <v>1</v>
      </c>
      <c r="AA1059" t="e">
        <f t="shared" si="175"/>
        <v>#VALUE!</v>
      </c>
      <c r="AB1059" t="str">
        <f t="shared" si="176"/>
        <v/>
      </c>
      <c r="AC1059" t="e">
        <f t="shared" si="177"/>
        <v>#VALUE!</v>
      </c>
    </row>
    <row r="1060" spans="1:29" x14ac:dyDescent="0.2">
      <c r="A1060" t="str">
        <f t="shared" si="178"/>
        <v/>
      </c>
      <c r="E1060" s="4"/>
      <c r="F1060" s="46"/>
      <c r="G1060" s="4"/>
      <c r="H1060" s="48"/>
      <c r="J1060" s="26" t="str">
        <f t="shared" si="179"/>
        <v/>
      </c>
      <c r="N1060" t="str">
        <f t="shared" si="180"/>
        <v/>
      </c>
      <c r="Q1060" t="str">
        <f t="shared" si="181"/>
        <v/>
      </c>
      <c r="S1060" t="str">
        <f>IF(A1060=1,MAX($S$2:$S1059)+1,IF(OR($I1060&lt;&gt;"",A1060="x"),$S1059,""))</f>
        <v/>
      </c>
      <c r="T1060" t="str">
        <f>IF(D1060=1,MAX($T$2:$T1059)+1,IF(S1060=S1059,$T1059,IF(D1060="x",T1059,IF(D1059="x","",""))))</f>
        <v/>
      </c>
      <c r="U1060" t="str">
        <f>IF(B1060=1,MAX($U$2:$U1059)+1,IF(AND($T1060&lt;&gt;"",$T1060=$T1059),$U1059,IF(B1060="x",U1059,"")))</f>
        <v/>
      </c>
      <c r="V1060" t="str">
        <f>IF(C1060=1,MAX($V$2:$V1059)+1,IF(AND($T1060&lt;&gt;"",$T1060=$T1059),$U1059,IF(C1060="x",V1059,"")))</f>
        <v/>
      </c>
      <c r="X1060" cm="1">
        <f t="array" ref="X1060">IF($I1060&lt;&gt;"",$I1060,INDEX($I$1:$I1060,ROW()-COUNTIFS($T$1:$T1060,"="&amp;$T1060,$S$1:$S1060,"&lt;"&amp;$S1060)))</f>
        <v>0</v>
      </c>
      <c r="Z1060" s="6">
        <f t="shared" si="174"/>
        <v>1</v>
      </c>
      <c r="AA1060" t="e">
        <f t="shared" si="175"/>
        <v>#VALUE!</v>
      </c>
      <c r="AB1060" t="str">
        <f t="shared" si="176"/>
        <v/>
      </c>
      <c r="AC1060" t="e">
        <f t="shared" si="177"/>
        <v>#VALUE!</v>
      </c>
    </row>
    <row r="1061" spans="1:29" x14ac:dyDescent="0.2">
      <c r="A1061" t="str">
        <f t="shared" si="178"/>
        <v/>
      </c>
      <c r="E1061" s="4"/>
      <c r="F1061" s="46"/>
      <c r="G1061" s="4"/>
      <c r="H1061" s="48"/>
      <c r="J1061" s="26" t="str">
        <f t="shared" si="179"/>
        <v/>
      </c>
      <c r="N1061" t="str">
        <f t="shared" si="180"/>
        <v/>
      </c>
      <c r="Q1061" t="str">
        <f t="shared" si="181"/>
        <v/>
      </c>
      <c r="S1061" t="str">
        <f>IF(A1061=1,MAX($S$2:$S1060)+1,IF(OR($I1061&lt;&gt;"",A1061="x"),$S1060,""))</f>
        <v/>
      </c>
      <c r="T1061" t="str">
        <f>IF(D1061=1,MAX($T$2:$T1060)+1,IF(S1061=S1060,$T1060,IF(D1061="x",T1060,IF(D1060="x","",""))))</f>
        <v/>
      </c>
      <c r="U1061" t="str">
        <f>IF(B1061=1,MAX($U$2:$U1060)+1,IF(AND($T1061&lt;&gt;"",$T1061=$T1060),$U1060,IF(B1061="x",U1060,"")))</f>
        <v/>
      </c>
      <c r="V1061" t="str">
        <f>IF(C1061=1,MAX($V$2:$V1060)+1,IF(AND($T1061&lt;&gt;"",$T1061=$T1060),$U1060,IF(C1061="x",V1060,"")))</f>
        <v/>
      </c>
      <c r="X1061" cm="1">
        <f t="array" ref="X1061">IF($I1061&lt;&gt;"",$I1061,INDEX($I$1:$I1061,ROW()-COUNTIFS($T$1:$T1061,"="&amp;$T1061,$S$1:$S1061,"&lt;"&amp;$S1061)))</f>
        <v>0</v>
      </c>
      <c r="Z1061" s="6">
        <f t="shared" si="174"/>
        <v>1</v>
      </c>
      <c r="AA1061" t="e">
        <f t="shared" si="175"/>
        <v>#VALUE!</v>
      </c>
      <c r="AB1061" t="str">
        <f t="shared" si="176"/>
        <v/>
      </c>
      <c r="AC1061" t="e">
        <f t="shared" si="177"/>
        <v>#VALUE!</v>
      </c>
    </row>
    <row r="1062" spans="1:29" x14ac:dyDescent="0.2">
      <c r="A1062" t="str">
        <f t="shared" si="178"/>
        <v/>
      </c>
      <c r="E1062" s="4"/>
      <c r="F1062" s="46"/>
      <c r="G1062" s="4"/>
      <c r="H1062" s="48"/>
      <c r="J1062" s="26" t="str">
        <f t="shared" si="179"/>
        <v/>
      </c>
      <c r="N1062" t="str">
        <f t="shared" si="180"/>
        <v/>
      </c>
      <c r="Q1062" t="str">
        <f t="shared" si="181"/>
        <v/>
      </c>
      <c r="S1062" t="str">
        <f>IF(A1062=1,MAX($S$2:$S1061)+1,IF(OR($I1062&lt;&gt;"",A1062="x"),$S1061,""))</f>
        <v/>
      </c>
      <c r="T1062" t="str">
        <f>IF(D1062=1,MAX($T$2:$T1061)+1,IF(S1062=S1061,$T1061,IF(D1062="x",T1061,IF(D1061="x","",""))))</f>
        <v/>
      </c>
      <c r="U1062" t="str">
        <f>IF(B1062=1,MAX($U$2:$U1061)+1,IF(AND($T1062&lt;&gt;"",$T1062=$T1061),$U1061,IF(B1062="x",U1061,"")))</f>
        <v/>
      </c>
      <c r="V1062" t="str">
        <f>IF(C1062=1,MAX($V$2:$V1061)+1,IF(AND($T1062&lt;&gt;"",$T1062=$T1061),$U1061,IF(C1062="x",V1061,"")))</f>
        <v/>
      </c>
      <c r="X1062" cm="1">
        <f t="array" ref="X1062">IF($I1062&lt;&gt;"",$I1062,INDEX($I$1:$I1062,ROW()-COUNTIFS($T$1:$T1062,"="&amp;$T1062,$S$1:$S1062,"&lt;"&amp;$S1062)))</f>
        <v>0</v>
      </c>
      <c r="Z1062" s="6">
        <f t="shared" si="174"/>
        <v>1</v>
      </c>
      <c r="AA1062" t="e">
        <f t="shared" si="175"/>
        <v>#VALUE!</v>
      </c>
      <c r="AB1062" t="str">
        <f t="shared" si="176"/>
        <v/>
      </c>
      <c r="AC1062" t="e">
        <f t="shared" si="177"/>
        <v>#VALUE!</v>
      </c>
    </row>
    <row r="1063" spans="1:29" x14ac:dyDescent="0.2">
      <c r="A1063" t="str">
        <f t="shared" si="178"/>
        <v/>
      </c>
      <c r="E1063" s="4"/>
      <c r="F1063" s="46"/>
      <c r="G1063" s="4"/>
      <c r="H1063" s="48"/>
      <c r="J1063" s="26" t="str">
        <f t="shared" si="179"/>
        <v/>
      </c>
      <c r="N1063" t="str">
        <f t="shared" si="180"/>
        <v/>
      </c>
      <c r="Q1063" t="str">
        <f t="shared" si="181"/>
        <v/>
      </c>
      <c r="S1063" t="str">
        <f>IF(A1063=1,MAX($S$2:$S1062)+1,IF(OR($I1063&lt;&gt;"",A1063="x"),$S1062,""))</f>
        <v/>
      </c>
      <c r="T1063" t="str">
        <f>IF(D1063=1,MAX($T$2:$T1062)+1,IF(S1063=S1062,$T1062,IF(D1063="x",T1062,IF(D1062="x","",""))))</f>
        <v/>
      </c>
      <c r="U1063" t="str">
        <f>IF(B1063=1,MAX($U$2:$U1062)+1,IF(AND($T1063&lt;&gt;"",$T1063=$T1062),$U1062,IF(B1063="x",U1062,"")))</f>
        <v/>
      </c>
      <c r="V1063" t="str">
        <f>IF(C1063=1,MAX($V$2:$V1062)+1,IF(AND($T1063&lt;&gt;"",$T1063=$T1062),$U1062,IF(C1063="x",V1062,"")))</f>
        <v/>
      </c>
      <c r="X1063" cm="1">
        <f t="array" ref="X1063">IF($I1063&lt;&gt;"",$I1063,INDEX($I$1:$I1063,ROW()-COUNTIFS($T$1:$T1063,"="&amp;$T1063,$S$1:$S1063,"&lt;"&amp;$S1063)))</f>
        <v>0</v>
      </c>
      <c r="Z1063" s="6">
        <f t="shared" si="174"/>
        <v>1</v>
      </c>
      <c r="AA1063" t="e">
        <f t="shared" si="175"/>
        <v>#VALUE!</v>
      </c>
      <c r="AB1063" t="str">
        <f t="shared" si="176"/>
        <v/>
      </c>
      <c r="AC1063" t="e">
        <f t="shared" si="177"/>
        <v>#VALUE!</v>
      </c>
    </row>
    <row r="1064" spans="1:29" x14ac:dyDescent="0.2">
      <c r="A1064" t="str">
        <f t="shared" si="178"/>
        <v/>
      </c>
      <c r="E1064" s="4"/>
      <c r="F1064" s="46"/>
      <c r="G1064" s="4"/>
      <c r="H1064" s="48"/>
      <c r="J1064" s="26" t="str">
        <f t="shared" si="179"/>
        <v/>
      </c>
      <c r="N1064" t="str">
        <f t="shared" si="180"/>
        <v/>
      </c>
      <c r="Q1064" t="str">
        <f t="shared" si="181"/>
        <v/>
      </c>
      <c r="S1064" t="str">
        <f>IF(A1064=1,MAX($S$2:$S1063)+1,IF(OR($I1064&lt;&gt;"",A1064="x"),$S1063,""))</f>
        <v/>
      </c>
      <c r="T1064" t="str">
        <f>IF(D1064=1,MAX($T$2:$T1063)+1,IF(S1064=S1063,$T1063,IF(D1064="x",T1063,IF(D1063="x","",""))))</f>
        <v/>
      </c>
      <c r="U1064" t="str">
        <f>IF(B1064=1,MAX($U$2:$U1063)+1,IF(AND($T1064&lt;&gt;"",$T1064=$T1063),$U1063,IF(B1064="x",U1063,"")))</f>
        <v/>
      </c>
      <c r="V1064" t="str">
        <f>IF(C1064=1,MAX($V$2:$V1063)+1,IF(AND($T1064&lt;&gt;"",$T1064=$T1063),$U1063,IF(C1064="x",V1063,"")))</f>
        <v/>
      </c>
      <c r="X1064" cm="1">
        <f t="array" ref="X1064">IF($I1064&lt;&gt;"",$I1064,INDEX($I$1:$I1064,ROW()-COUNTIFS($T$1:$T1064,"="&amp;$T1064,$S$1:$S1064,"&lt;"&amp;$S1064)))</f>
        <v>0</v>
      </c>
      <c r="Z1064" s="6">
        <f t="shared" si="174"/>
        <v>1</v>
      </c>
      <c r="AA1064" t="e">
        <f t="shared" si="175"/>
        <v>#VALUE!</v>
      </c>
      <c r="AB1064" t="str">
        <f t="shared" si="176"/>
        <v/>
      </c>
      <c r="AC1064" t="e">
        <f t="shared" si="177"/>
        <v>#VALUE!</v>
      </c>
    </row>
    <row r="1065" spans="1:29" x14ac:dyDescent="0.2">
      <c r="A1065" t="str">
        <f t="shared" si="178"/>
        <v/>
      </c>
      <c r="E1065" s="4"/>
      <c r="F1065" s="46"/>
      <c r="G1065" s="4"/>
      <c r="H1065" s="48"/>
      <c r="J1065" s="26" t="str">
        <f t="shared" si="179"/>
        <v/>
      </c>
      <c r="N1065" t="str">
        <f t="shared" si="180"/>
        <v/>
      </c>
      <c r="Q1065" t="str">
        <f t="shared" si="181"/>
        <v/>
      </c>
      <c r="S1065" t="str">
        <f>IF(A1065=1,MAX($S$2:$S1064)+1,IF(OR($I1065&lt;&gt;"",A1065="x"),$S1064,""))</f>
        <v/>
      </c>
      <c r="T1065" t="str">
        <f>IF(D1065=1,MAX($T$2:$T1064)+1,IF(S1065=S1064,$T1064,IF(D1065="x",T1064,IF(D1064="x","",""))))</f>
        <v/>
      </c>
      <c r="U1065" t="str">
        <f>IF(B1065=1,MAX($U$2:$U1064)+1,IF(AND($T1065&lt;&gt;"",$T1065=$T1064),$U1064,IF(B1065="x",U1064,"")))</f>
        <v/>
      </c>
      <c r="V1065" t="str">
        <f>IF(C1065=1,MAX($V$2:$V1064)+1,IF(AND($T1065&lt;&gt;"",$T1065=$T1064),$U1064,IF(C1065="x",V1064,"")))</f>
        <v/>
      </c>
      <c r="X1065" cm="1">
        <f t="array" ref="X1065">IF($I1065&lt;&gt;"",$I1065,INDEX($I$1:$I1065,ROW()-COUNTIFS($T$1:$T1065,"="&amp;$T1065,$S$1:$S1065,"&lt;"&amp;$S1065)))</f>
        <v>0</v>
      </c>
      <c r="Z1065" s="6">
        <f t="shared" si="174"/>
        <v>1</v>
      </c>
      <c r="AA1065" t="e">
        <f t="shared" si="175"/>
        <v>#VALUE!</v>
      </c>
      <c r="AB1065" t="str">
        <f t="shared" si="176"/>
        <v/>
      </c>
      <c r="AC1065" t="e">
        <f t="shared" si="177"/>
        <v>#VALUE!</v>
      </c>
    </row>
    <row r="1066" spans="1:29" x14ac:dyDescent="0.2">
      <c r="A1066" t="str">
        <f t="shared" si="178"/>
        <v/>
      </c>
      <c r="E1066" s="4"/>
      <c r="F1066" s="46"/>
      <c r="G1066" s="4"/>
      <c r="H1066" s="48"/>
      <c r="J1066" s="26" t="str">
        <f t="shared" si="179"/>
        <v/>
      </c>
      <c r="N1066" t="str">
        <f t="shared" si="180"/>
        <v/>
      </c>
      <c r="Q1066" t="str">
        <f t="shared" si="181"/>
        <v/>
      </c>
      <c r="S1066" t="str">
        <f>IF(A1066=1,MAX($S$2:$S1065)+1,IF(OR($I1066&lt;&gt;"",A1066="x"),$S1065,""))</f>
        <v/>
      </c>
      <c r="T1066" t="str">
        <f>IF(D1066=1,MAX($T$2:$T1065)+1,IF(S1066=S1065,$T1065,IF(D1066="x",T1065,IF(D1065="x","",""))))</f>
        <v/>
      </c>
      <c r="U1066" t="str">
        <f>IF(B1066=1,MAX($U$2:$U1065)+1,IF(AND($T1066&lt;&gt;"",$T1066=$T1065),$U1065,IF(B1066="x",U1065,"")))</f>
        <v/>
      </c>
      <c r="V1066" t="str">
        <f>IF(C1066=1,MAX($V$2:$V1065)+1,IF(AND($T1066&lt;&gt;"",$T1066=$T1065),$U1065,IF(C1066="x",V1065,"")))</f>
        <v/>
      </c>
      <c r="X1066" cm="1">
        <f t="array" ref="X1066">IF($I1066&lt;&gt;"",$I1066,INDEX($I$1:$I1066,ROW()-COUNTIFS($T$1:$T1066,"="&amp;$T1066,$S$1:$S1066,"&lt;"&amp;$S1066)))</f>
        <v>0</v>
      </c>
      <c r="Z1066" s="6">
        <f t="shared" si="174"/>
        <v>1</v>
      </c>
      <c r="AA1066" t="e">
        <f t="shared" si="175"/>
        <v>#VALUE!</v>
      </c>
      <c r="AB1066" t="str">
        <f t="shared" si="176"/>
        <v/>
      </c>
      <c r="AC1066" t="e">
        <f t="shared" si="177"/>
        <v>#VALUE!</v>
      </c>
    </row>
    <row r="1067" spans="1:29" x14ac:dyDescent="0.2">
      <c r="A1067" t="str">
        <f t="shared" si="178"/>
        <v/>
      </c>
      <c r="E1067" s="4"/>
      <c r="F1067" s="46"/>
      <c r="G1067" s="4"/>
      <c r="H1067" s="48"/>
      <c r="J1067" s="26" t="str">
        <f t="shared" si="179"/>
        <v/>
      </c>
      <c r="N1067" t="str">
        <f t="shared" si="180"/>
        <v/>
      </c>
      <c r="Q1067" t="str">
        <f t="shared" si="181"/>
        <v/>
      </c>
      <c r="S1067" t="str">
        <f>IF(A1067=1,MAX($S$2:$S1066)+1,IF(OR($I1067&lt;&gt;"",A1067="x"),$S1066,""))</f>
        <v/>
      </c>
      <c r="T1067" t="str">
        <f>IF(D1067=1,MAX($T$2:$T1066)+1,IF(S1067=S1066,$T1066,IF(D1067="x",T1066,IF(D1066="x","",""))))</f>
        <v/>
      </c>
      <c r="U1067" t="str">
        <f>IF(B1067=1,MAX($U$2:$U1066)+1,IF(AND($T1067&lt;&gt;"",$T1067=$T1066),$U1066,IF(B1067="x",U1066,"")))</f>
        <v/>
      </c>
      <c r="V1067" t="str">
        <f>IF(C1067=1,MAX($V$2:$V1066)+1,IF(AND($T1067&lt;&gt;"",$T1067=$T1066),$U1066,IF(C1067="x",V1066,"")))</f>
        <v/>
      </c>
      <c r="X1067" cm="1">
        <f t="array" ref="X1067">IF($I1067&lt;&gt;"",$I1067,INDEX($I$1:$I1067,ROW()-COUNTIFS($T$1:$T1067,"="&amp;$T1067,$S$1:$S1067,"&lt;"&amp;$S1067)))</f>
        <v>0</v>
      </c>
      <c r="Z1067" s="6">
        <f t="shared" si="174"/>
        <v>1</v>
      </c>
      <c r="AA1067" t="e">
        <f t="shared" si="175"/>
        <v>#VALUE!</v>
      </c>
      <c r="AB1067" t="str">
        <f t="shared" si="176"/>
        <v/>
      </c>
      <c r="AC1067" t="e">
        <f t="shared" si="177"/>
        <v>#VALUE!</v>
      </c>
    </row>
    <row r="1068" spans="1:29" x14ac:dyDescent="0.2">
      <c r="A1068" t="str">
        <f t="shared" si="178"/>
        <v/>
      </c>
      <c r="E1068" s="4"/>
      <c r="F1068" s="46"/>
      <c r="G1068" s="4"/>
      <c r="H1068" s="48"/>
      <c r="J1068" s="26" t="str">
        <f t="shared" si="179"/>
        <v/>
      </c>
      <c r="N1068" t="str">
        <f t="shared" si="180"/>
        <v/>
      </c>
      <c r="Q1068" t="str">
        <f t="shared" si="181"/>
        <v/>
      </c>
      <c r="S1068" t="str">
        <f>IF(A1068=1,MAX($S$2:$S1067)+1,IF(OR($I1068&lt;&gt;"",A1068="x"),$S1067,""))</f>
        <v/>
      </c>
      <c r="T1068" t="str">
        <f>IF(D1068=1,MAX($T$2:$T1067)+1,IF(S1068=S1067,$T1067,IF(D1068="x",T1067,IF(D1067="x","",""))))</f>
        <v/>
      </c>
      <c r="U1068" t="str">
        <f>IF(B1068=1,MAX($U$2:$U1067)+1,IF(AND($T1068&lt;&gt;"",$T1068=$T1067),$U1067,IF(B1068="x",U1067,"")))</f>
        <v/>
      </c>
      <c r="V1068" t="str">
        <f>IF(C1068=1,MAX($V$2:$V1067)+1,IF(AND($T1068&lt;&gt;"",$T1068=$T1067),$U1067,IF(C1068="x",V1067,"")))</f>
        <v/>
      </c>
      <c r="X1068" cm="1">
        <f t="array" ref="X1068">IF($I1068&lt;&gt;"",$I1068,INDEX($I$1:$I1068,ROW()-COUNTIFS($T$1:$T1068,"="&amp;$T1068,$S$1:$S1068,"&lt;"&amp;$S1068)))</f>
        <v>0</v>
      </c>
      <c r="Z1068" s="6">
        <f t="shared" si="174"/>
        <v>1</v>
      </c>
      <c r="AA1068" t="e">
        <f t="shared" si="175"/>
        <v>#VALUE!</v>
      </c>
      <c r="AB1068" t="str">
        <f t="shared" si="176"/>
        <v/>
      </c>
      <c r="AC1068" t="e">
        <f t="shared" si="177"/>
        <v>#VALUE!</v>
      </c>
    </row>
    <row r="1069" spans="1:29" x14ac:dyDescent="0.2">
      <c r="A1069" t="str">
        <f t="shared" si="178"/>
        <v/>
      </c>
      <c r="E1069" s="4"/>
      <c r="F1069" s="46"/>
      <c r="G1069" s="4"/>
      <c r="H1069" s="48"/>
      <c r="J1069" s="26" t="str">
        <f t="shared" si="179"/>
        <v/>
      </c>
      <c r="N1069" t="str">
        <f t="shared" si="180"/>
        <v/>
      </c>
      <c r="Q1069" t="str">
        <f t="shared" si="181"/>
        <v/>
      </c>
      <c r="S1069" t="str">
        <f>IF(A1069=1,MAX($S$2:$S1068)+1,IF(OR($I1069&lt;&gt;"",A1069="x"),$S1068,""))</f>
        <v/>
      </c>
      <c r="T1069" t="str">
        <f>IF(D1069=1,MAX($T$2:$T1068)+1,IF(S1069=S1068,$T1068,IF(D1069="x",T1068,IF(D1068="x","",""))))</f>
        <v/>
      </c>
      <c r="U1069" t="str">
        <f>IF(B1069=1,MAX($U$2:$U1068)+1,IF(AND($T1069&lt;&gt;"",$T1069=$T1068),$U1068,IF(B1069="x",U1068,"")))</f>
        <v/>
      </c>
      <c r="V1069" t="str">
        <f>IF(C1069=1,MAX($V$2:$V1068)+1,IF(AND($T1069&lt;&gt;"",$T1069=$T1068),$U1068,IF(C1069="x",V1068,"")))</f>
        <v/>
      </c>
      <c r="X1069" cm="1">
        <f t="array" ref="X1069">IF($I1069&lt;&gt;"",$I1069,INDEX($I$1:$I1069,ROW()-COUNTIFS($T$1:$T1069,"="&amp;$T1069,$S$1:$S1069,"&lt;"&amp;$S1069)))</f>
        <v>0</v>
      </c>
      <c r="Z1069" s="6">
        <f t="shared" si="174"/>
        <v>1</v>
      </c>
      <c r="AA1069" t="e">
        <f t="shared" si="175"/>
        <v>#VALUE!</v>
      </c>
      <c r="AB1069" t="str">
        <f t="shared" si="176"/>
        <v/>
      </c>
      <c r="AC1069" t="e">
        <f t="shared" si="177"/>
        <v>#VALUE!</v>
      </c>
    </row>
    <row r="1070" spans="1:29" x14ac:dyDescent="0.2">
      <c r="A1070" t="str">
        <f t="shared" si="178"/>
        <v/>
      </c>
      <c r="E1070" s="4"/>
      <c r="F1070" s="46"/>
      <c r="G1070" s="4"/>
      <c r="H1070" s="48"/>
      <c r="J1070" s="26" t="str">
        <f t="shared" si="179"/>
        <v/>
      </c>
      <c r="N1070" t="str">
        <f t="shared" si="180"/>
        <v/>
      </c>
      <c r="Q1070" t="str">
        <f t="shared" si="181"/>
        <v/>
      </c>
      <c r="S1070" t="str">
        <f>IF(A1070=1,MAX($S$2:$S1069)+1,IF(OR($I1070&lt;&gt;"",A1070="x"),$S1069,""))</f>
        <v/>
      </c>
      <c r="T1070" t="str">
        <f>IF(D1070=1,MAX($T$2:$T1069)+1,IF(S1070=S1069,$T1069,IF(D1070="x",T1069,IF(D1069="x","",""))))</f>
        <v/>
      </c>
      <c r="U1070" t="str">
        <f>IF(B1070=1,MAX($U$2:$U1069)+1,IF(AND($T1070&lt;&gt;"",$T1070=$T1069),$U1069,IF(B1070="x",U1069,"")))</f>
        <v/>
      </c>
      <c r="V1070" t="str">
        <f>IF(C1070=1,MAX($V$2:$V1069)+1,IF(AND($T1070&lt;&gt;"",$T1070=$T1069),$U1069,IF(C1070="x",V1069,"")))</f>
        <v/>
      </c>
      <c r="X1070" cm="1">
        <f t="array" ref="X1070">IF($I1070&lt;&gt;"",$I1070,INDEX($I$1:$I1070,ROW()-COUNTIFS($T$1:$T1070,"="&amp;$T1070,$S$1:$S1070,"&lt;"&amp;$S1070)))</f>
        <v>0</v>
      </c>
      <c r="Z1070" s="6">
        <f t="shared" si="174"/>
        <v>1</v>
      </c>
      <c r="AA1070" t="e">
        <f t="shared" si="175"/>
        <v>#VALUE!</v>
      </c>
      <c r="AB1070" t="str">
        <f t="shared" si="176"/>
        <v/>
      </c>
      <c r="AC1070" t="e">
        <f t="shared" si="177"/>
        <v>#VALUE!</v>
      </c>
    </row>
    <row r="1071" spans="1:29" x14ac:dyDescent="0.2">
      <c r="A1071" t="str">
        <f t="shared" si="178"/>
        <v/>
      </c>
      <c r="E1071" s="4"/>
      <c r="F1071" s="46"/>
      <c r="G1071" s="4"/>
      <c r="H1071" s="48"/>
      <c r="J1071" s="26" t="str">
        <f t="shared" si="179"/>
        <v/>
      </c>
      <c r="N1071" t="str">
        <f t="shared" si="180"/>
        <v/>
      </c>
      <c r="Q1071" t="str">
        <f t="shared" si="181"/>
        <v/>
      </c>
      <c r="S1071" t="str">
        <f>IF(A1071=1,MAX($S$2:$S1070)+1,IF(OR($I1071&lt;&gt;"",A1071="x"),$S1070,""))</f>
        <v/>
      </c>
      <c r="T1071" t="str">
        <f>IF(D1071=1,MAX($T$2:$T1070)+1,IF(S1071=S1070,$T1070,IF(D1071="x",T1070,IF(D1070="x","",""))))</f>
        <v/>
      </c>
      <c r="U1071" t="str">
        <f>IF(B1071=1,MAX($U$2:$U1070)+1,IF(AND($T1071&lt;&gt;"",$T1071=$T1070),$U1070,IF(B1071="x",U1070,"")))</f>
        <v/>
      </c>
      <c r="V1071" t="str">
        <f>IF(C1071=1,MAX($V$2:$V1070)+1,IF(AND($T1071&lt;&gt;"",$T1071=$T1070),$U1070,IF(C1071="x",V1070,"")))</f>
        <v/>
      </c>
      <c r="X1071" cm="1">
        <f t="array" ref="X1071">IF($I1071&lt;&gt;"",$I1071,INDEX($I$1:$I1071,ROW()-COUNTIFS($T$1:$T1071,"="&amp;$T1071,$S$1:$S1071,"&lt;"&amp;$S1071)))</f>
        <v>0</v>
      </c>
      <c r="Z1071" s="6">
        <f t="shared" si="174"/>
        <v>1</v>
      </c>
      <c r="AA1071" t="e">
        <f t="shared" si="175"/>
        <v>#VALUE!</v>
      </c>
      <c r="AB1071" t="str">
        <f t="shared" si="176"/>
        <v/>
      </c>
      <c r="AC1071" t="e">
        <f t="shared" si="177"/>
        <v>#VALUE!</v>
      </c>
    </row>
    <row r="1072" spans="1:29" x14ac:dyDescent="0.2">
      <c r="A1072" t="str">
        <f t="shared" si="178"/>
        <v/>
      </c>
      <c r="E1072" s="4"/>
      <c r="F1072" s="46"/>
      <c r="G1072" s="4"/>
      <c r="H1072" s="48"/>
      <c r="J1072" s="26" t="str">
        <f t="shared" si="179"/>
        <v/>
      </c>
      <c r="N1072" t="str">
        <f t="shared" si="180"/>
        <v/>
      </c>
      <c r="Q1072" t="str">
        <f t="shared" si="181"/>
        <v/>
      </c>
      <c r="S1072" t="str">
        <f>IF(A1072=1,MAX($S$2:$S1071)+1,IF(OR($I1072&lt;&gt;"",A1072="x"),$S1071,""))</f>
        <v/>
      </c>
      <c r="T1072" t="str">
        <f>IF(D1072=1,MAX($T$2:$T1071)+1,IF(S1072=S1071,$T1071,IF(D1072="x",T1071,IF(D1071="x","",""))))</f>
        <v/>
      </c>
      <c r="U1072" t="str">
        <f>IF(B1072=1,MAX($U$2:$U1071)+1,IF(AND($T1072&lt;&gt;"",$T1072=$T1071),$U1071,IF(B1072="x",U1071,"")))</f>
        <v/>
      </c>
      <c r="V1072" t="str">
        <f>IF(C1072=1,MAX($V$2:$V1071)+1,IF(AND($T1072&lt;&gt;"",$T1072=$T1071),$U1071,IF(C1072="x",V1071,"")))</f>
        <v/>
      </c>
      <c r="X1072" cm="1">
        <f t="array" ref="X1072">IF($I1072&lt;&gt;"",$I1072,INDEX($I$1:$I1072,ROW()-COUNTIFS($T$1:$T1072,"="&amp;$T1072,$S$1:$S1072,"&lt;"&amp;$S1072)))</f>
        <v>0</v>
      </c>
      <c r="Z1072" s="6">
        <f t="shared" si="174"/>
        <v>1</v>
      </c>
      <c r="AA1072" t="e">
        <f t="shared" si="175"/>
        <v>#VALUE!</v>
      </c>
      <c r="AB1072" t="str">
        <f t="shared" si="176"/>
        <v/>
      </c>
      <c r="AC1072" t="e">
        <f t="shared" si="177"/>
        <v>#VALUE!</v>
      </c>
    </row>
    <row r="1073" spans="1:29" x14ac:dyDescent="0.2">
      <c r="A1073" t="str">
        <f t="shared" si="178"/>
        <v/>
      </c>
      <c r="E1073" s="4"/>
      <c r="F1073" s="46"/>
      <c r="G1073" s="4"/>
      <c r="H1073" s="48"/>
      <c r="J1073" s="26" t="str">
        <f t="shared" si="179"/>
        <v/>
      </c>
      <c r="N1073" t="str">
        <f t="shared" si="180"/>
        <v/>
      </c>
      <c r="Q1073" t="str">
        <f t="shared" si="181"/>
        <v/>
      </c>
      <c r="S1073" t="str">
        <f>IF(A1073=1,MAX($S$2:$S1072)+1,IF(OR($I1073&lt;&gt;"",A1073="x"),$S1072,""))</f>
        <v/>
      </c>
      <c r="T1073" t="str">
        <f>IF(D1073=1,MAX($T$2:$T1072)+1,IF(S1073=S1072,$T1072,IF(D1073="x",T1072,IF(D1072="x","",""))))</f>
        <v/>
      </c>
      <c r="U1073" t="str">
        <f>IF(B1073=1,MAX($U$2:$U1072)+1,IF(AND($T1073&lt;&gt;"",$T1073=$T1072),$U1072,IF(B1073="x",U1072,"")))</f>
        <v/>
      </c>
      <c r="V1073" t="str">
        <f>IF(C1073=1,MAX($V$2:$V1072)+1,IF(AND($T1073&lt;&gt;"",$T1073=$T1072),$U1072,IF(C1073="x",V1072,"")))</f>
        <v/>
      </c>
      <c r="X1073" cm="1">
        <f t="array" ref="X1073">IF($I1073&lt;&gt;"",$I1073,INDEX($I$1:$I1073,ROW()-COUNTIFS($T$1:$T1073,"="&amp;$T1073,$S$1:$S1073,"&lt;"&amp;$S1073)))</f>
        <v>0</v>
      </c>
      <c r="Z1073" s="6">
        <f t="shared" si="174"/>
        <v>1</v>
      </c>
      <c r="AA1073" t="e">
        <f t="shared" si="175"/>
        <v>#VALUE!</v>
      </c>
      <c r="AB1073" t="str">
        <f t="shared" si="176"/>
        <v/>
      </c>
      <c r="AC1073" t="e">
        <f t="shared" si="177"/>
        <v>#VALUE!</v>
      </c>
    </row>
    <row r="1074" spans="1:29" x14ac:dyDescent="0.2">
      <c r="A1074" t="str">
        <f t="shared" si="178"/>
        <v/>
      </c>
      <c r="E1074" s="4"/>
      <c r="F1074" s="46"/>
      <c r="G1074" s="4"/>
      <c r="H1074" s="48"/>
      <c r="J1074" s="26" t="str">
        <f t="shared" si="179"/>
        <v/>
      </c>
      <c r="N1074" t="str">
        <f t="shared" si="180"/>
        <v/>
      </c>
      <c r="Q1074" t="str">
        <f t="shared" si="181"/>
        <v/>
      </c>
      <c r="S1074" t="str">
        <f>IF(A1074=1,MAX($S$2:$S1073)+1,IF(OR($I1074&lt;&gt;"",A1074="x"),$S1073,""))</f>
        <v/>
      </c>
      <c r="T1074" t="str">
        <f>IF(D1074=1,MAX($T$2:$T1073)+1,IF(S1074=S1073,$T1073,IF(D1074="x",T1073,IF(D1073="x","",""))))</f>
        <v/>
      </c>
      <c r="U1074" t="str">
        <f>IF(B1074=1,MAX($U$2:$U1073)+1,IF(AND($T1074&lt;&gt;"",$T1074=$T1073),$U1073,IF(B1074="x",U1073,"")))</f>
        <v/>
      </c>
      <c r="V1074" t="str">
        <f>IF(C1074=1,MAX($V$2:$V1073)+1,IF(AND($T1074&lt;&gt;"",$T1074=$T1073),$U1073,IF(C1074="x",V1073,"")))</f>
        <v/>
      </c>
      <c r="X1074" cm="1">
        <f t="array" ref="X1074">IF($I1074&lt;&gt;"",$I1074,INDEX($I$1:$I1074,ROW()-COUNTIFS($T$1:$T1074,"="&amp;$T1074,$S$1:$S1074,"&lt;"&amp;$S1074)))</f>
        <v>0</v>
      </c>
      <c r="Z1074" s="6">
        <f t="shared" si="174"/>
        <v>1</v>
      </c>
      <c r="AA1074" t="e">
        <f t="shared" si="175"/>
        <v>#VALUE!</v>
      </c>
      <c r="AB1074" t="str">
        <f t="shared" si="176"/>
        <v/>
      </c>
      <c r="AC1074" t="e">
        <f t="shared" si="177"/>
        <v>#VALUE!</v>
      </c>
    </row>
    <row r="1075" spans="1:29" x14ac:dyDescent="0.2">
      <c r="A1075" t="str">
        <f t="shared" si="178"/>
        <v/>
      </c>
      <c r="E1075" s="4"/>
      <c r="F1075" s="46"/>
      <c r="G1075" s="4"/>
      <c r="H1075" s="48"/>
      <c r="J1075" s="26" t="str">
        <f t="shared" si="179"/>
        <v/>
      </c>
      <c r="N1075" t="str">
        <f t="shared" si="180"/>
        <v/>
      </c>
      <c r="Q1075" t="str">
        <f t="shared" si="181"/>
        <v/>
      </c>
      <c r="S1075" t="str">
        <f>IF(A1075=1,MAX($S$2:$S1074)+1,IF(OR($I1075&lt;&gt;"",A1075="x"),$S1074,""))</f>
        <v/>
      </c>
      <c r="T1075" t="str">
        <f>IF(D1075=1,MAX($T$2:$T1074)+1,IF(S1075=S1074,$T1074,IF(D1075="x",T1074,IF(D1074="x","",""))))</f>
        <v/>
      </c>
      <c r="U1075" t="str">
        <f>IF(B1075=1,MAX($U$2:$U1074)+1,IF(AND($T1075&lt;&gt;"",$T1075=$T1074),$U1074,IF(B1075="x",U1074,"")))</f>
        <v/>
      </c>
      <c r="V1075" t="str">
        <f>IF(C1075=1,MAX($V$2:$V1074)+1,IF(AND($T1075&lt;&gt;"",$T1075=$T1074),$U1074,IF(C1075="x",V1074,"")))</f>
        <v/>
      </c>
      <c r="X1075" cm="1">
        <f t="array" ref="X1075">IF($I1075&lt;&gt;"",$I1075,INDEX($I$1:$I1075,ROW()-COUNTIFS($T$1:$T1075,"="&amp;$T1075,$S$1:$S1075,"&lt;"&amp;$S1075)))</f>
        <v>0</v>
      </c>
      <c r="Z1075" s="6">
        <f t="shared" si="174"/>
        <v>1</v>
      </c>
      <c r="AA1075" t="e">
        <f t="shared" si="175"/>
        <v>#VALUE!</v>
      </c>
      <c r="AB1075" t="str">
        <f t="shared" si="176"/>
        <v/>
      </c>
      <c r="AC1075" t="e">
        <f t="shared" si="177"/>
        <v>#VALUE!</v>
      </c>
    </row>
    <row r="1076" spans="1:29" x14ac:dyDescent="0.2">
      <c r="A1076" t="str">
        <f t="shared" si="178"/>
        <v/>
      </c>
      <c r="E1076" s="4"/>
      <c r="F1076" s="46"/>
      <c r="G1076" s="4"/>
      <c r="H1076" s="48"/>
      <c r="J1076" s="26" t="str">
        <f t="shared" si="179"/>
        <v/>
      </c>
      <c r="N1076" t="str">
        <f t="shared" si="180"/>
        <v/>
      </c>
      <c r="Q1076" t="str">
        <f t="shared" si="181"/>
        <v/>
      </c>
      <c r="S1076" t="str">
        <f>IF(A1076=1,MAX($S$2:$S1075)+1,IF(OR($I1076&lt;&gt;"",A1076="x"),$S1075,""))</f>
        <v/>
      </c>
      <c r="T1076" t="str">
        <f>IF(D1076=1,MAX($T$2:$T1075)+1,IF(S1076=S1075,$T1075,IF(D1076="x",T1075,IF(D1075="x","",""))))</f>
        <v/>
      </c>
      <c r="U1076" t="str">
        <f>IF(B1076=1,MAX($U$2:$U1075)+1,IF(AND($T1076&lt;&gt;"",$T1076=$T1075),$U1075,IF(B1076="x",U1075,"")))</f>
        <v/>
      </c>
      <c r="V1076" t="str">
        <f>IF(C1076=1,MAX($V$2:$V1075)+1,IF(AND($T1076&lt;&gt;"",$T1076=$T1075),$U1075,IF(C1076="x",V1075,"")))</f>
        <v/>
      </c>
      <c r="X1076" cm="1">
        <f t="array" ref="X1076">IF($I1076&lt;&gt;"",$I1076,INDEX($I$1:$I1076,ROW()-COUNTIFS($T$1:$T1076,"="&amp;$T1076,$S$1:$S1076,"&lt;"&amp;$S1076)))</f>
        <v>0</v>
      </c>
      <c r="Z1076" s="6">
        <f t="shared" si="174"/>
        <v>1</v>
      </c>
      <c r="AA1076" t="e">
        <f t="shared" si="175"/>
        <v>#VALUE!</v>
      </c>
      <c r="AB1076" t="str">
        <f t="shared" si="176"/>
        <v/>
      </c>
      <c r="AC1076" t="e">
        <f t="shared" si="177"/>
        <v>#VALUE!</v>
      </c>
    </row>
    <row r="1077" spans="1:29" x14ac:dyDescent="0.2">
      <c r="A1077" t="str">
        <f t="shared" si="178"/>
        <v/>
      </c>
      <c r="E1077" s="4"/>
      <c r="F1077" s="46"/>
      <c r="G1077" s="4"/>
      <c r="H1077" s="48"/>
      <c r="J1077" s="26" t="str">
        <f t="shared" si="179"/>
        <v/>
      </c>
      <c r="N1077" t="str">
        <f t="shared" si="180"/>
        <v/>
      </c>
      <c r="Q1077" t="str">
        <f t="shared" si="181"/>
        <v/>
      </c>
      <c r="S1077" t="str">
        <f>IF(A1077=1,MAX($S$2:$S1076)+1,IF(OR($I1077&lt;&gt;"",A1077="x"),$S1076,""))</f>
        <v/>
      </c>
      <c r="T1077" t="str">
        <f>IF(D1077=1,MAX($T$2:$T1076)+1,IF(S1077=S1076,$T1076,IF(D1077="x",T1076,IF(D1076="x","",""))))</f>
        <v/>
      </c>
      <c r="U1077" t="str">
        <f>IF(B1077=1,MAX($U$2:$U1076)+1,IF(AND($T1077&lt;&gt;"",$T1077=$T1076),$U1076,IF(B1077="x",U1076,"")))</f>
        <v/>
      </c>
      <c r="V1077" t="str">
        <f>IF(C1077=1,MAX($V$2:$V1076)+1,IF(AND($T1077&lt;&gt;"",$T1077=$T1076),$U1076,IF(C1077="x",V1076,"")))</f>
        <v/>
      </c>
      <c r="X1077" cm="1">
        <f t="array" ref="X1077">IF($I1077&lt;&gt;"",$I1077,INDEX($I$1:$I1077,ROW()-COUNTIFS($T$1:$T1077,"="&amp;$T1077,$S$1:$S1077,"&lt;"&amp;$S1077)))</f>
        <v>0</v>
      </c>
      <c r="Z1077" s="6">
        <f t="shared" si="174"/>
        <v>1</v>
      </c>
      <c r="AA1077" t="e">
        <f t="shared" si="175"/>
        <v>#VALUE!</v>
      </c>
      <c r="AB1077" t="str">
        <f t="shared" si="176"/>
        <v/>
      </c>
      <c r="AC1077" t="e">
        <f t="shared" si="177"/>
        <v>#VALUE!</v>
      </c>
    </row>
    <row r="1078" spans="1:29" x14ac:dyDescent="0.2">
      <c r="A1078" t="str">
        <f t="shared" si="178"/>
        <v/>
      </c>
      <c r="E1078" s="4"/>
      <c r="F1078" s="46"/>
      <c r="G1078" s="4"/>
      <c r="H1078" s="48"/>
      <c r="J1078" s="26" t="str">
        <f t="shared" si="179"/>
        <v/>
      </c>
      <c r="N1078" t="str">
        <f t="shared" si="180"/>
        <v/>
      </c>
      <c r="Q1078" t="str">
        <f t="shared" si="181"/>
        <v/>
      </c>
      <c r="S1078" t="str">
        <f>IF(A1078=1,MAX($S$2:$S1077)+1,IF(OR($I1078&lt;&gt;"",A1078="x"),$S1077,""))</f>
        <v/>
      </c>
      <c r="T1078" t="str">
        <f>IF(D1078=1,MAX($T$2:$T1077)+1,IF(S1078=S1077,$T1077,IF(D1078="x",T1077,IF(D1077="x","",""))))</f>
        <v/>
      </c>
      <c r="U1078" t="str">
        <f>IF(B1078=1,MAX($U$2:$U1077)+1,IF(AND($T1078&lt;&gt;"",$T1078=$T1077),$U1077,IF(B1078="x",U1077,"")))</f>
        <v/>
      </c>
      <c r="V1078" t="str">
        <f>IF(C1078=1,MAX($V$2:$V1077)+1,IF(AND($T1078&lt;&gt;"",$T1078=$T1077),$U1077,IF(C1078="x",V1077,"")))</f>
        <v/>
      </c>
      <c r="X1078" cm="1">
        <f t="array" ref="X1078">IF($I1078&lt;&gt;"",$I1078,INDEX($I$1:$I1078,ROW()-COUNTIFS($T$1:$T1078,"="&amp;$T1078,$S$1:$S1078,"&lt;"&amp;$S1078)))</f>
        <v>0</v>
      </c>
      <c r="Z1078" s="6">
        <f t="shared" si="174"/>
        <v>1</v>
      </c>
      <c r="AA1078" t="e">
        <f t="shared" si="175"/>
        <v>#VALUE!</v>
      </c>
      <c r="AB1078" t="str">
        <f t="shared" si="176"/>
        <v/>
      </c>
      <c r="AC1078" t="e">
        <f t="shared" si="177"/>
        <v>#VALUE!</v>
      </c>
    </row>
    <row r="1079" spans="1:29" x14ac:dyDescent="0.2">
      <c r="A1079" t="str">
        <f t="shared" si="178"/>
        <v/>
      </c>
      <c r="E1079" s="4"/>
      <c r="F1079" s="46"/>
      <c r="G1079" s="4"/>
      <c r="H1079" s="48"/>
      <c r="J1079" s="26" t="str">
        <f t="shared" si="179"/>
        <v/>
      </c>
      <c r="N1079" t="str">
        <f t="shared" si="180"/>
        <v/>
      </c>
      <c r="Q1079" t="str">
        <f t="shared" si="181"/>
        <v/>
      </c>
      <c r="S1079" t="str">
        <f>IF(A1079=1,MAX($S$2:$S1078)+1,IF(OR($I1079&lt;&gt;"",A1079="x"),$S1078,""))</f>
        <v/>
      </c>
      <c r="T1079" t="str">
        <f>IF(D1079=1,MAX($T$2:$T1078)+1,IF(S1079=S1078,$T1078,IF(D1079="x",T1078,IF(D1078="x","",""))))</f>
        <v/>
      </c>
      <c r="U1079" t="str">
        <f>IF(B1079=1,MAX($U$2:$U1078)+1,IF(AND($T1079&lt;&gt;"",$T1079=$T1078),$U1078,IF(B1079="x",U1078,"")))</f>
        <v/>
      </c>
      <c r="V1079" t="str">
        <f>IF(C1079=1,MAX($V$2:$V1078)+1,IF(AND($T1079&lt;&gt;"",$T1079=$T1078),$U1078,IF(C1079="x",V1078,"")))</f>
        <v/>
      </c>
      <c r="X1079" cm="1">
        <f t="array" ref="X1079">IF($I1079&lt;&gt;"",$I1079,INDEX($I$1:$I1079,ROW()-COUNTIFS($T$1:$T1079,"="&amp;$T1079,$S$1:$S1079,"&lt;"&amp;$S1079)))</f>
        <v>0</v>
      </c>
      <c r="Z1079" s="6">
        <f t="shared" si="174"/>
        <v>1</v>
      </c>
      <c r="AA1079" t="e">
        <f t="shared" si="175"/>
        <v>#VALUE!</v>
      </c>
      <c r="AB1079" t="str">
        <f t="shared" si="176"/>
        <v/>
      </c>
      <c r="AC1079" t="e">
        <f t="shared" si="177"/>
        <v>#VALUE!</v>
      </c>
    </row>
    <row r="1080" spans="1:29" x14ac:dyDescent="0.2">
      <c r="A1080" t="str">
        <f t="shared" si="178"/>
        <v/>
      </c>
      <c r="E1080" s="4"/>
      <c r="F1080" s="46"/>
      <c r="G1080" s="4"/>
      <c r="H1080" s="48"/>
      <c r="J1080" s="26" t="str">
        <f t="shared" si="179"/>
        <v/>
      </c>
      <c r="N1080" t="str">
        <f t="shared" si="180"/>
        <v/>
      </c>
      <c r="Q1080" t="str">
        <f t="shared" si="181"/>
        <v/>
      </c>
      <c r="S1080" t="str">
        <f>IF(A1080=1,MAX($S$2:$S1079)+1,IF(OR($I1080&lt;&gt;"",A1080="x"),$S1079,""))</f>
        <v/>
      </c>
      <c r="T1080" t="str">
        <f>IF(D1080=1,MAX($T$2:$T1079)+1,IF(S1080=S1079,$T1079,IF(D1080="x",T1079,IF(D1079="x","",""))))</f>
        <v/>
      </c>
      <c r="U1080" t="str">
        <f>IF(B1080=1,MAX($U$2:$U1079)+1,IF(AND($T1080&lt;&gt;"",$T1080=$T1079),$U1079,IF(B1080="x",U1079,"")))</f>
        <v/>
      </c>
      <c r="V1080" t="str">
        <f>IF(C1080=1,MAX($V$2:$V1079)+1,IF(AND($T1080&lt;&gt;"",$T1080=$T1079),$U1079,IF(C1080="x",V1079,"")))</f>
        <v/>
      </c>
      <c r="X1080" cm="1">
        <f t="array" ref="X1080">IF($I1080&lt;&gt;"",$I1080,INDEX($I$1:$I1080,ROW()-COUNTIFS($T$1:$T1080,"="&amp;$T1080,$S$1:$S1080,"&lt;"&amp;$S1080)))</f>
        <v>0</v>
      </c>
      <c r="Z1080" s="6">
        <f t="shared" si="174"/>
        <v>1</v>
      </c>
      <c r="AA1080" t="e">
        <f t="shared" si="175"/>
        <v>#VALUE!</v>
      </c>
      <c r="AB1080" t="str">
        <f t="shared" si="176"/>
        <v/>
      </c>
      <c r="AC1080" t="e">
        <f t="shared" si="177"/>
        <v>#VALUE!</v>
      </c>
    </row>
    <row r="1081" spans="1:29" x14ac:dyDescent="0.2">
      <c r="A1081" t="str">
        <f t="shared" si="178"/>
        <v/>
      </c>
      <c r="E1081" s="4"/>
      <c r="F1081" s="46"/>
      <c r="G1081" s="4"/>
      <c r="H1081" s="48"/>
      <c r="J1081" s="26" t="str">
        <f t="shared" si="179"/>
        <v/>
      </c>
      <c r="N1081" t="str">
        <f t="shared" si="180"/>
        <v/>
      </c>
      <c r="Q1081" t="str">
        <f t="shared" si="181"/>
        <v/>
      </c>
      <c r="S1081" t="str">
        <f>IF(A1081=1,MAX($S$2:$S1080)+1,IF(OR($I1081&lt;&gt;"",A1081="x"),$S1080,""))</f>
        <v/>
      </c>
      <c r="T1081" t="str">
        <f>IF(D1081=1,MAX($T$2:$T1080)+1,IF(S1081=S1080,$T1080,IF(D1081="x",T1080,IF(D1080="x","",""))))</f>
        <v/>
      </c>
      <c r="U1081" t="str">
        <f>IF(B1081=1,MAX($U$2:$U1080)+1,IF(AND($T1081&lt;&gt;"",$T1081=$T1080),$U1080,IF(B1081="x",U1080,"")))</f>
        <v/>
      </c>
      <c r="V1081" t="str">
        <f>IF(C1081=1,MAX($V$2:$V1080)+1,IF(AND($T1081&lt;&gt;"",$T1081=$T1080),$U1080,IF(C1081="x",V1080,"")))</f>
        <v/>
      </c>
      <c r="X1081" cm="1">
        <f t="array" ref="X1081">IF($I1081&lt;&gt;"",$I1081,INDEX($I$1:$I1081,ROW()-COUNTIFS($T$1:$T1081,"="&amp;$T1081,$S$1:$S1081,"&lt;"&amp;$S1081)))</f>
        <v>0</v>
      </c>
      <c r="Z1081" s="6">
        <f t="shared" si="174"/>
        <v>1</v>
      </c>
      <c r="AA1081" t="e">
        <f t="shared" si="175"/>
        <v>#VALUE!</v>
      </c>
      <c r="AB1081" t="str">
        <f t="shared" si="176"/>
        <v/>
      </c>
      <c r="AC1081" t="e">
        <f t="shared" si="177"/>
        <v>#VALUE!</v>
      </c>
    </row>
    <row r="1082" spans="1:29" x14ac:dyDescent="0.2">
      <c r="A1082" t="str">
        <f t="shared" si="178"/>
        <v/>
      </c>
      <c r="E1082" s="4"/>
      <c r="F1082" s="46"/>
      <c r="G1082" s="4"/>
      <c r="H1082" s="48"/>
      <c r="J1082" s="26" t="str">
        <f t="shared" si="179"/>
        <v/>
      </c>
      <c r="N1082" t="str">
        <f t="shared" si="180"/>
        <v/>
      </c>
      <c r="Q1082" t="str">
        <f t="shared" si="181"/>
        <v/>
      </c>
      <c r="S1082" t="str">
        <f>IF(A1082=1,MAX($S$2:$S1081)+1,IF(OR($I1082&lt;&gt;"",A1082="x"),$S1081,""))</f>
        <v/>
      </c>
      <c r="T1082" t="str">
        <f>IF(D1082=1,MAX($T$2:$T1081)+1,IF(S1082=S1081,$T1081,IF(D1082="x",T1081,IF(D1081="x","",""))))</f>
        <v/>
      </c>
      <c r="U1082" t="str">
        <f>IF(B1082=1,MAX($U$2:$U1081)+1,IF(AND($T1082&lt;&gt;"",$T1082=$T1081),$U1081,IF(B1082="x",U1081,"")))</f>
        <v/>
      </c>
      <c r="V1082" t="str">
        <f>IF(C1082=1,MAX($V$2:$V1081)+1,IF(AND($T1082&lt;&gt;"",$T1082=$T1081),$U1081,IF(C1082="x",V1081,"")))</f>
        <v/>
      </c>
      <c r="X1082" cm="1">
        <f t="array" ref="X1082">IF($I1082&lt;&gt;"",$I1082,INDEX($I$1:$I1082,ROW()-COUNTIFS($T$1:$T1082,"="&amp;$T1082,$S$1:$S1082,"&lt;"&amp;$S1082)))</f>
        <v>0</v>
      </c>
      <c r="Z1082" s="6">
        <f t="shared" si="174"/>
        <v>1</v>
      </c>
      <c r="AA1082" t="e">
        <f t="shared" si="175"/>
        <v>#VALUE!</v>
      </c>
      <c r="AB1082" t="str">
        <f t="shared" si="176"/>
        <v/>
      </c>
      <c r="AC1082" t="e">
        <f t="shared" si="177"/>
        <v>#VALUE!</v>
      </c>
    </row>
    <row r="1083" spans="1:29" x14ac:dyDescent="0.2">
      <c r="A1083" t="str">
        <f t="shared" si="178"/>
        <v/>
      </c>
      <c r="E1083" s="4"/>
      <c r="F1083" s="46"/>
      <c r="G1083" s="4"/>
      <c r="H1083" s="48"/>
      <c r="J1083" s="26" t="str">
        <f t="shared" si="179"/>
        <v/>
      </c>
      <c r="N1083" t="str">
        <f t="shared" si="180"/>
        <v/>
      </c>
      <c r="Q1083" t="str">
        <f t="shared" si="181"/>
        <v/>
      </c>
      <c r="S1083" t="str">
        <f>IF(A1083=1,MAX($S$2:$S1082)+1,IF(OR($I1083&lt;&gt;"",A1083="x"),$S1082,""))</f>
        <v/>
      </c>
      <c r="T1083" t="str">
        <f>IF(D1083=1,MAX($T$2:$T1082)+1,IF(S1083=S1082,$T1082,IF(D1083="x",T1082,IF(D1082="x","",""))))</f>
        <v/>
      </c>
      <c r="U1083" t="str">
        <f>IF(B1083=1,MAX($U$2:$U1082)+1,IF(AND($T1083&lt;&gt;"",$T1083=$T1082),$U1082,IF(B1083="x",U1082,"")))</f>
        <v/>
      </c>
      <c r="V1083" t="str">
        <f>IF(C1083=1,MAX($V$2:$V1082)+1,IF(AND($T1083&lt;&gt;"",$T1083=$T1082),$U1082,IF(C1083="x",V1082,"")))</f>
        <v/>
      </c>
      <c r="X1083" cm="1">
        <f t="array" ref="X1083">IF($I1083&lt;&gt;"",$I1083,INDEX($I$1:$I1083,ROW()-COUNTIFS($T$1:$T1083,"="&amp;$T1083,$S$1:$S1083,"&lt;"&amp;$S1083)))</f>
        <v>0</v>
      </c>
      <c r="Z1083" s="6">
        <f t="shared" si="174"/>
        <v>1</v>
      </c>
      <c r="AA1083" t="e">
        <f t="shared" si="175"/>
        <v>#VALUE!</v>
      </c>
      <c r="AB1083" t="str">
        <f t="shared" si="176"/>
        <v/>
      </c>
      <c r="AC1083" t="e">
        <f t="shared" si="177"/>
        <v>#VALUE!</v>
      </c>
    </row>
    <row r="1084" spans="1:29" x14ac:dyDescent="0.2">
      <c r="A1084" t="str">
        <f t="shared" si="178"/>
        <v/>
      </c>
      <c r="E1084" s="4"/>
      <c r="F1084" s="46"/>
      <c r="G1084" s="4"/>
      <c r="H1084" s="48"/>
      <c r="J1084" s="26" t="str">
        <f t="shared" si="179"/>
        <v/>
      </c>
      <c r="N1084" t="str">
        <f t="shared" si="180"/>
        <v/>
      </c>
      <c r="Q1084" t="str">
        <f t="shared" si="181"/>
        <v/>
      </c>
      <c r="S1084" t="str">
        <f>IF(A1084=1,MAX($S$2:$S1083)+1,IF(OR($I1084&lt;&gt;"",A1084="x"),$S1083,""))</f>
        <v/>
      </c>
      <c r="T1084" t="str">
        <f>IF(D1084=1,MAX($T$2:$T1083)+1,IF(S1084=S1083,$T1083,IF(D1084="x",T1083,IF(D1083="x","",""))))</f>
        <v/>
      </c>
      <c r="U1084" t="str">
        <f>IF(B1084=1,MAX($U$2:$U1083)+1,IF(AND($T1084&lt;&gt;"",$T1084=$T1083),$U1083,IF(B1084="x",U1083,"")))</f>
        <v/>
      </c>
      <c r="V1084" t="str">
        <f>IF(C1084=1,MAX($V$2:$V1083)+1,IF(AND($T1084&lt;&gt;"",$T1084=$T1083),$U1083,IF(C1084="x",V1083,"")))</f>
        <v/>
      </c>
      <c r="X1084" cm="1">
        <f t="array" ref="X1084">IF($I1084&lt;&gt;"",$I1084,INDEX($I$1:$I1084,ROW()-COUNTIFS($T$1:$T1084,"="&amp;$T1084,$S$1:$S1084,"&lt;"&amp;$S1084)))</f>
        <v>0</v>
      </c>
      <c r="Z1084" s="6">
        <f t="shared" si="174"/>
        <v>1</v>
      </c>
      <c r="AA1084" t="e">
        <f t="shared" si="175"/>
        <v>#VALUE!</v>
      </c>
      <c r="AB1084" t="str">
        <f t="shared" si="176"/>
        <v/>
      </c>
      <c r="AC1084" t="e">
        <f t="shared" si="177"/>
        <v>#VALUE!</v>
      </c>
    </row>
    <row r="1085" spans="1:29" x14ac:dyDescent="0.2">
      <c r="A1085" t="str">
        <f t="shared" si="178"/>
        <v/>
      </c>
      <c r="E1085" s="4"/>
      <c r="F1085" s="46"/>
      <c r="G1085" s="4"/>
      <c r="H1085" s="48"/>
      <c r="J1085" s="26" t="str">
        <f t="shared" si="179"/>
        <v/>
      </c>
      <c r="N1085" t="str">
        <f t="shared" si="180"/>
        <v/>
      </c>
      <c r="Q1085" t="str">
        <f t="shared" si="181"/>
        <v/>
      </c>
      <c r="S1085" t="str">
        <f>IF(A1085=1,MAX($S$2:$S1084)+1,IF(OR($I1085&lt;&gt;"",A1085="x"),$S1084,""))</f>
        <v/>
      </c>
      <c r="T1085" t="str">
        <f>IF(D1085=1,MAX($T$2:$T1084)+1,IF(S1085=S1084,$T1084,IF(D1085="x",T1084,IF(D1084="x","",""))))</f>
        <v/>
      </c>
      <c r="U1085" t="str">
        <f>IF(B1085=1,MAX($U$2:$U1084)+1,IF(AND($T1085&lt;&gt;"",$T1085=$T1084),$U1084,IF(B1085="x",U1084,"")))</f>
        <v/>
      </c>
      <c r="V1085" t="str">
        <f>IF(C1085=1,MAX($V$2:$V1084)+1,IF(AND($T1085&lt;&gt;"",$T1085=$T1084),$U1084,IF(C1085="x",V1084,"")))</f>
        <v/>
      </c>
      <c r="X1085" cm="1">
        <f t="array" ref="X1085">IF($I1085&lt;&gt;"",$I1085,INDEX($I$1:$I1085,ROW()-COUNTIFS($T$1:$T1085,"="&amp;$T1085,$S$1:$S1085,"&lt;"&amp;$S1085)))</f>
        <v>0</v>
      </c>
      <c r="Z1085" s="6">
        <f t="shared" si="174"/>
        <v>1</v>
      </c>
      <c r="AA1085" t="e">
        <f t="shared" si="175"/>
        <v>#VALUE!</v>
      </c>
      <c r="AB1085" t="str">
        <f t="shared" si="176"/>
        <v/>
      </c>
      <c r="AC1085" t="e">
        <f t="shared" si="177"/>
        <v>#VALUE!</v>
      </c>
    </row>
    <row r="1086" spans="1:29" x14ac:dyDescent="0.2">
      <c r="A1086" t="str">
        <f t="shared" si="178"/>
        <v/>
      </c>
      <c r="E1086" s="4"/>
      <c r="F1086" s="46"/>
      <c r="G1086" s="4"/>
      <c r="H1086" s="48"/>
      <c r="J1086" s="26" t="str">
        <f t="shared" si="179"/>
        <v/>
      </c>
      <c r="N1086" t="str">
        <f t="shared" si="180"/>
        <v/>
      </c>
      <c r="Q1086" t="str">
        <f t="shared" si="181"/>
        <v/>
      </c>
      <c r="S1086" t="str">
        <f>IF(A1086=1,MAX($S$2:$S1085)+1,IF(OR($I1086&lt;&gt;"",A1086="x"),$S1085,""))</f>
        <v/>
      </c>
      <c r="T1086" t="str">
        <f>IF(D1086=1,MAX($T$2:$T1085)+1,IF(S1086=S1085,$T1085,IF(D1086="x",T1085,IF(D1085="x","",""))))</f>
        <v/>
      </c>
      <c r="U1086" t="str">
        <f>IF(B1086=1,MAX($U$2:$U1085)+1,IF(AND($T1086&lt;&gt;"",$T1086=$T1085),$U1085,IF(B1086="x",U1085,"")))</f>
        <v/>
      </c>
      <c r="V1086" t="str">
        <f>IF(C1086=1,MAX($V$2:$V1085)+1,IF(AND($T1086&lt;&gt;"",$T1086=$T1085),$U1085,IF(C1086="x",V1085,"")))</f>
        <v/>
      </c>
      <c r="X1086" cm="1">
        <f t="array" ref="X1086">IF($I1086&lt;&gt;"",$I1086,INDEX($I$1:$I1086,ROW()-COUNTIFS($T$1:$T1086,"="&amp;$T1086,$S$1:$S1086,"&lt;"&amp;$S1086)))</f>
        <v>0</v>
      </c>
      <c r="Z1086" s="6">
        <f t="shared" si="174"/>
        <v>1</v>
      </c>
      <c r="AA1086" t="e">
        <f t="shared" si="175"/>
        <v>#VALUE!</v>
      </c>
      <c r="AB1086" t="str">
        <f t="shared" si="176"/>
        <v/>
      </c>
      <c r="AC1086" t="e">
        <f t="shared" si="177"/>
        <v>#VALUE!</v>
      </c>
    </row>
    <row r="1087" spans="1:29" x14ac:dyDescent="0.2">
      <c r="A1087" t="str">
        <f t="shared" si="178"/>
        <v/>
      </c>
      <c r="E1087" s="4"/>
      <c r="F1087" s="46"/>
      <c r="G1087" s="4"/>
      <c r="H1087" s="48"/>
      <c r="J1087" s="26" t="str">
        <f t="shared" si="179"/>
        <v/>
      </c>
      <c r="N1087" t="str">
        <f t="shared" si="180"/>
        <v/>
      </c>
      <c r="Q1087" t="str">
        <f t="shared" si="181"/>
        <v/>
      </c>
      <c r="S1087" t="str">
        <f>IF(A1087=1,MAX($S$2:$S1086)+1,IF(OR($I1087&lt;&gt;"",A1087="x"),$S1086,""))</f>
        <v/>
      </c>
      <c r="T1087" t="str">
        <f>IF(D1087=1,MAX($T$2:$T1086)+1,IF(S1087=S1086,$T1086,IF(D1087="x",T1086,IF(D1086="x","",""))))</f>
        <v/>
      </c>
      <c r="U1087" t="str">
        <f>IF(B1087=1,MAX($U$2:$U1086)+1,IF(AND($T1087&lt;&gt;"",$T1087=$T1086),$U1086,IF(B1087="x",U1086,"")))</f>
        <v/>
      </c>
      <c r="V1087" t="str">
        <f>IF(C1087=1,MAX($V$2:$V1086)+1,IF(AND($T1087&lt;&gt;"",$T1087=$T1086),$U1086,IF(C1087="x",V1086,"")))</f>
        <v/>
      </c>
      <c r="X1087" cm="1">
        <f t="array" ref="X1087">IF($I1087&lt;&gt;"",$I1087,INDEX($I$1:$I1087,ROW()-COUNTIFS($T$1:$T1087,"="&amp;$T1087,$S$1:$S1087,"&lt;"&amp;$S1087)))</f>
        <v>0</v>
      </c>
      <c r="Z1087" s="6">
        <f t="shared" si="174"/>
        <v>1</v>
      </c>
      <c r="AA1087" t="e">
        <f t="shared" si="175"/>
        <v>#VALUE!</v>
      </c>
      <c r="AB1087" t="str">
        <f t="shared" si="176"/>
        <v/>
      </c>
      <c r="AC1087" t="e">
        <f t="shared" si="177"/>
        <v>#VALUE!</v>
      </c>
    </row>
    <row r="1088" spans="1:29" x14ac:dyDescent="0.2">
      <c r="A1088" t="str">
        <f t="shared" si="178"/>
        <v/>
      </c>
      <c r="E1088" s="4"/>
      <c r="F1088" s="46"/>
      <c r="G1088" s="4"/>
      <c r="H1088" s="48"/>
      <c r="J1088" s="26" t="str">
        <f t="shared" si="179"/>
        <v/>
      </c>
      <c r="N1088" t="str">
        <f t="shared" si="180"/>
        <v/>
      </c>
      <c r="Q1088" t="str">
        <f t="shared" si="181"/>
        <v/>
      </c>
      <c r="S1088" t="str">
        <f>IF(A1088=1,MAX($S$2:$S1087)+1,IF(OR($I1088&lt;&gt;"",A1088="x"),$S1087,""))</f>
        <v/>
      </c>
      <c r="T1088" t="str">
        <f>IF(D1088=1,MAX($T$2:$T1087)+1,IF(S1088=S1087,$T1087,IF(D1088="x",T1087,IF(D1087="x","",""))))</f>
        <v/>
      </c>
      <c r="U1088" t="str">
        <f>IF(B1088=1,MAX($U$2:$U1087)+1,IF(AND($T1088&lt;&gt;"",$T1088=$T1087),$U1087,IF(B1088="x",U1087,"")))</f>
        <v/>
      </c>
      <c r="V1088" t="str">
        <f>IF(C1088=1,MAX($V$2:$V1087)+1,IF(AND($T1088&lt;&gt;"",$T1088=$T1087),$U1087,IF(C1088="x",V1087,"")))</f>
        <v/>
      </c>
      <c r="X1088" cm="1">
        <f t="array" ref="X1088">IF($I1088&lt;&gt;"",$I1088,INDEX($I$1:$I1088,ROW()-COUNTIFS($T$1:$T1088,"="&amp;$T1088,$S$1:$S1088,"&lt;"&amp;$S1088)))</f>
        <v>0</v>
      </c>
      <c r="Z1088" s="6">
        <f t="shared" si="174"/>
        <v>1</v>
      </c>
      <c r="AA1088" t="e">
        <f t="shared" si="175"/>
        <v>#VALUE!</v>
      </c>
      <c r="AB1088" t="str">
        <f t="shared" si="176"/>
        <v/>
      </c>
      <c r="AC1088" t="e">
        <f t="shared" si="177"/>
        <v>#VALUE!</v>
      </c>
    </row>
    <row r="1089" spans="1:29" x14ac:dyDescent="0.2">
      <c r="A1089" t="str">
        <f t="shared" si="178"/>
        <v/>
      </c>
      <c r="E1089" s="4"/>
      <c r="F1089" s="46"/>
      <c r="G1089" s="4"/>
      <c r="H1089" s="48"/>
      <c r="J1089" s="26" t="str">
        <f t="shared" si="179"/>
        <v/>
      </c>
      <c r="N1089" t="str">
        <f t="shared" si="180"/>
        <v/>
      </c>
      <c r="Q1089" t="str">
        <f t="shared" si="181"/>
        <v/>
      </c>
      <c r="S1089" t="str">
        <f>IF(A1089=1,MAX($S$2:$S1088)+1,IF(OR($I1089&lt;&gt;"",A1089="x"),$S1088,""))</f>
        <v/>
      </c>
      <c r="T1089" t="str">
        <f>IF(D1089=1,MAX($T$2:$T1088)+1,IF(S1089=S1088,$T1088,IF(D1089="x",T1088,IF(D1088="x","",""))))</f>
        <v/>
      </c>
      <c r="U1089" t="str">
        <f>IF(B1089=1,MAX($U$2:$U1088)+1,IF(AND($T1089&lt;&gt;"",$T1089=$T1088),$U1088,IF(B1089="x",U1088,"")))</f>
        <v/>
      </c>
      <c r="V1089" t="str">
        <f>IF(C1089=1,MAX($V$2:$V1088)+1,IF(AND($T1089&lt;&gt;"",$T1089=$T1088),$U1088,IF(C1089="x",V1088,"")))</f>
        <v/>
      </c>
      <c r="X1089" cm="1">
        <f t="array" ref="X1089">IF($I1089&lt;&gt;"",$I1089,INDEX($I$1:$I1089,ROW()-COUNTIFS($T$1:$T1089,"="&amp;$T1089,$S$1:$S1089,"&lt;"&amp;$S1089)))</f>
        <v>0</v>
      </c>
      <c r="Z1089" s="6">
        <f t="shared" si="174"/>
        <v>1</v>
      </c>
      <c r="AA1089" t="e">
        <f t="shared" si="175"/>
        <v>#VALUE!</v>
      </c>
      <c r="AB1089" t="str">
        <f t="shared" si="176"/>
        <v/>
      </c>
      <c r="AC1089" t="e">
        <f t="shared" si="177"/>
        <v>#VALUE!</v>
      </c>
    </row>
    <row r="1090" spans="1:29" x14ac:dyDescent="0.2">
      <c r="A1090" t="str">
        <f t="shared" si="178"/>
        <v/>
      </c>
      <c r="E1090" s="4"/>
      <c r="F1090" s="46"/>
      <c r="G1090" s="4"/>
      <c r="H1090" s="48"/>
      <c r="J1090" s="26" t="str">
        <f t="shared" si="179"/>
        <v/>
      </c>
      <c r="N1090" t="str">
        <f t="shared" si="180"/>
        <v/>
      </c>
      <c r="Q1090" t="str">
        <f t="shared" si="181"/>
        <v/>
      </c>
      <c r="S1090" t="str">
        <f>IF(A1090=1,MAX($S$2:$S1089)+1,IF(OR($I1090&lt;&gt;"",A1090="x"),$S1089,""))</f>
        <v/>
      </c>
      <c r="T1090" t="str">
        <f>IF(D1090=1,MAX($T$2:$T1089)+1,IF(S1090=S1089,$T1089,IF(D1090="x",T1089,IF(D1089="x","",""))))</f>
        <v/>
      </c>
      <c r="U1090" t="str">
        <f>IF(B1090=1,MAX($U$2:$U1089)+1,IF(AND($T1090&lt;&gt;"",$T1090=$T1089),$U1089,IF(B1090="x",U1089,"")))</f>
        <v/>
      </c>
      <c r="V1090" t="str">
        <f>IF(C1090=1,MAX($V$2:$V1089)+1,IF(AND($T1090&lt;&gt;"",$T1090=$T1089),$U1089,IF(C1090="x",V1089,"")))</f>
        <v/>
      </c>
      <c r="X1090" cm="1">
        <f t="array" ref="X1090">IF($I1090&lt;&gt;"",$I1090,INDEX($I$1:$I1090,ROW()-COUNTIFS($T$1:$T1090,"="&amp;$T1090,$S$1:$S1090,"&lt;"&amp;$S1090)))</f>
        <v>0</v>
      </c>
      <c r="Z1090" s="6">
        <f t="shared" si="174"/>
        <v>1</v>
      </c>
      <c r="AA1090" t="e">
        <f t="shared" si="175"/>
        <v>#VALUE!</v>
      </c>
      <c r="AB1090" t="str">
        <f t="shared" si="176"/>
        <v/>
      </c>
      <c r="AC1090" t="e">
        <f t="shared" si="177"/>
        <v>#VALUE!</v>
      </c>
    </row>
    <row r="1091" spans="1:29" x14ac:dyDescent="0.2">
      <c r="A1091" t="str">
        <f t="shared" si="178"/>
        <v/>
      </c>
      <c r="E1091" s="4"/>
      <c r="F1091" s="46"/>
      <c r="G1091" s="4"/>
      <c r="H1091" s="48"/>
      <c r="J1091" s="26" t="str">
        <f t="shared" si="179"/>
        <v/>
      </c>
      <c r="N1091" t="str">
        <f t="shared" si="180"/>
        <v/>
      </c>
      <c r="Q1091" t="str">
        <f t="shared" si="181"/>
        <v/>
      </c>
      <c r="S1091" t="str">
        <f>IF(A1091=1,MAX($S$2:$S1090)+1,IF(OR($I1091&lt;&gt;"",A1091="x"),$S1090,""))</f>
        <v/>
      </c>
      <c r="T1091" t="str">
        <f>IF(D1091=1,MAX($T$2:$T1090)+1,IF(S1091=S1090,$T1090,IF(D1091="x",T1090,IF(D1090="x","",""))))</f>
        <v/>
      </c>
      <c r="U1091" t="str">
        <f>IF(B1091=1,MAX($U$2:$U1090)+1,IF(AND($T1091&lt;&gt;"",$T1091=$T1090),$U1090,IF(B1091="x",U1090,"")))</f>
        <v/>
      </c>
      <c r="V1091" t="str">
        <f>IF(C1091=1,MAX($V$2:$V1090)+1,IF(AND($T1091&lt;&gt;"",$T1091=$T1090),$U1090,IF(C1091="x",V1090,"")))</f>
        <v/>
      </c>
      <c r="X1091" cm="1">
        <f t="array" ref="X1091">IF($I1091&lt;&gt;"",$I1091,INDEX($I$1:$I1091,ROW()-COUNTIFS($T$1:$T1091,"="&amp;$T1091,$S$1:$S1091,"&lt;"&amp;$S1091)))</f>
        <v>0</v>
      </c>
      <c r="Z1091" s="6">
        <f t="shared" si="174"/>
        <v>1</v>
      </c>
      <c r="AA1091" t="e">
        <f t="shared" si="175"/>
        <v>#VALUE!</v>
      </c>
      <c r="AB1091" t="str">
        <f t="shared" si="176"/>
        <v/>
      </c>
      <c r="AC1091" t="e">
        <f t="shared" si="177"/>
        <v>#VALUE!</v>
      </c>
    </row>
    <row r="1092" spans="1:29" x14ac:dyDescent="0.2">
      <c r="A1092" t="str">
        <f t="shared" si="178"/>
        <v/>
      </c>
      <c r="E1092" s="4"/>
      <c r="F1092" s="46"/>
      <c r="G1092" s="4"/>
      <c r="H1092" s="48"/>
      <c r="J1092" s="26" t="str">
        <f t="shared" si="179"/>
        <v/>
      </c>
      <c r="N1092" t="str">
        <f t="shared" si="180"/>
        <v/>
      </c>
      <c r="Q1092" t="str">
        <f t="shared" si="181"/>
        <v/>
      </c>
      <c r="S1092" t="str">
        <f>IF(A1092=1,MAX($S$2:$S1091)+1,IF(OR($I1092&lt;&gt;"",A1092="x"),$S1091,""))</f>
        <v/>
      </c>
      <c r="T1092" t="str">
        <f>IF(D1092=1,MAX($T$2:$T1091)+1,IF(S1092=S1091,$T1091,IF(D1092="x",T1091,IF(D1091="x","",""))))</f>
        <v/>
      </c>
      <c r="U1092" t="str">
        <f>IF(B1092=1,MAX($U$2:$U1091)+1,IF(AND($T1092&lt;&gt;"",$T1092=$T1091),$U1091,IF(B1092="x",U1091,"")))</f>
        <v/>
      </c>
      <c r="V1092" t="str">
        <f>IF(C1092=1,MAX($V$2:$V1091)+1,IF(AND($T1092&lt;&gt;"",$T1092=$T1091),$U1091,IF(C1092="x",V1091,"")))</f>
        <v/>
      </c>
      <c r="X1092" cm="1">
        <f t="array" ref="X1092">IF($I1092&lt;&gt;"",$I1092,INDEX($I$1:$I1092,ROW()-COUNTIFS($T$1:$T1092,"="&amp;$T1092,$S$1:$S1092,"&lt;"&amp;$S1092)))</f>
        <v>0</v>
      </c>
      <c r="Z1092" s="6">
        <f t="shared" si="174"/>
        <v>1</v>
      </c>
      <c r="AA1092" t="e">
        <f t="shared" si="175"/>
        <v>#VALUE!</v>
      </c>
      <c r="AB1092" t="str">
        <f t="shared" si="176"/>
        <v/>
      </c>
      <c r="AC1092" t="e">
        <f t="shared" si="177"/>
        <v>#VALUE!</v>
      </c>
    </row>
    <row r="1093" spans="1:29" x14ac:dyDescent="0.2">
      <c r="A1093" t="str">
        <f t="shared" si="178"/>
        <v/>
      </c>
      <c r="E1093" s="4"/>
      <c r="F1093" s="46"/>
      <c r="G1093" s="4"/>
      <c r="H1093" s="48"/>
      <c r="J1093" s="26" t="str">
        <f t="shared" si="179"/>
        <v/>
      </c>
      <c r="N1093" t="str">
        <f t="shared" si="180"/>
        <v/>
      </c>
      <c r="Q1093" t="str">
        <f t="shared" si="181"/>
        <v/>
      </c>
      <c r="S1093" t="str">
        <f>IF(A1093=1,MAX($S$2:$S1092)+1,IF(OR($I1093&lt;&gt;"",A1093="x"),$S1092,""))</f>
        <v/>
      </c>
      <c r="T1093" t="str">
        <f>IF(D1093=1,MAX($T$2:$T1092)+1,IF(S1093=S1092,$T1092,IF(D1093="x",T1092,IF(D1092="x","",""))))</f>
        <v/>
      </c>
      <c r="U1093" t="str">
        <f>IF(B1093=1,MAX($U$2:$U1092)+1,IF(AND($T1093&lt;&gt;"",$T1093=$T1092),$U1092,IF(B1093="x",U1092,"")))</f>
        <v/>
      </c>
      <c r="V1093" t="str">
        <f>IF(C1093=1,MAX($V$2:$V1092)+1,IF(AND($T1093&lt;&gt;"",$T1093=$T1092),$U1092,IF(C1093="x",V1092,"")))</f>
        <v/>
      </c>
      <c r="X1093" cm="1">
        <f t="array" ref="X1093">IF($I1093&lt;&gt;"",$I1093,INDEX($I$1:$I1093,ROW()-COUNTIFS($T$1:$T1093,"="&amp;$T1093,$S$1:$S1093,"&lt;"&amp;$S1093)))</f>
        <v>0</v>
      </c>
      <c r="Z1093" s="6">
        <f t="shared" ref="Z1093:Z1156" si="182">IF(K1093="Intermission",Z1092+1,Z1092)</f>
        <v>1</v>
      </c>
      <c r="AA1093" t="e">
        <f t="shared" ref="AA1093:AA1156" si="183">S1093+1000</f>
        <v>#VALUE!</v>
      </c>
      <c r="AB1093" t="str">
        <f t="shared" ref="AB1093:AB1156" si="184">IF(T1093&lt;&gt;"",9000+T1093,"")</f>
        <v/>
      </c>
      <c r="AC1093" t="e">
        <f t="shared" ref="AC1093:AC1156" si="185">IF(AB1093&lt;&gt;"",AB1093,S1093+1000)</f>
        <v>#VALUE!</v>
      </c>
    </row>
    <row r="1094" spans="1:29" x14ac:dyDescent="0.2">
      <c r="A1094" t="str">
        <f t="shared" si="178"/>
        <v/>
      </c>
      <c r="E1094" s="4"/>
      <c r="F1094" s="46"/>
      <c r="G1094" s="4"/>
      <c r="H1094" s="48"/>
      <c r="J1094" s="26" t="str">
        <f t="shared" si="179"/>
        <v/>
      </c>
      <c r="N1094" t="str">
        <f t="shared" si="180"/>
        <v/>
      </c>
      <c r="Q1094" t="str">
        <f t="shared" si="181"/>
        <v/>
      </c>
      <c r="S1094" t="str">
        <f>IF(A1094=1,MAX($S$2:$S1093)+1,IF(OR($I1094&lt;&gt;"",A1094="x"),$S1093,""))</f>
        <v/>
      </c>
      <c r="T1094" t="str">
        <f>IF(D1094=1,MAX($T$2:$T1093)+1,IF(S1094=S1093,$T1093,IF(D1094="x",T1093,IF(D1093="x","",""))))</f>
        <v/>
      </c>
      <c r="U1094" t="str">
        <f>IF(B1094=1,MAX($U$2:$U1093)+1,IF(AND($T1094&lt;&gt;"",$T1094=$T1093),$U1093,IF(B1094="x",U1093,"")))</f>
        <v/>
      </c>
      <c r="V1094" t="str">
        <f>IF(C1094=1,MAX($V$2:$V1093)+1,IF(AND($T1094&lt;&gt;"",$T1094=$T1093),$U1093,IF(C1094="x",V1093,"")))</f>
        <v/>
      </c>
      <c r="X1094" cm="1">
        <f t="array" ref="X1094">IF($I1094&lt;&gt;"",$I1094,INDEX($I$1:$I1094,ROW()-COUNTIFS($T$1:$T1094,"="&amp;$T1094,$S$1:$S1094,"&lt;"&amp;$S1094)))</f>
        <v>0</v>
      </c>
      <c r="Z1094" s="6">
        <f t="shared" si="182"/>
        <v>1</v>
      </c>
      <c r="AA1094" t="e">
        <f t="shared" si="183"/>
        <v>#VALUE!</v>
      </c>
      <c r="AB1094" t="str">
        <f t="shared" si="184"/>
        <v/>
      </c>
      <c r="AC1094" t="e">
        <f t="shared" si="185"/>
        <v>#VALUE!</v>
      </c>
    </row>
    <row r="1095" spans="1:29" x14ac:dyDescent="0.2">
      <c r="A1095" t="str">
        <f t="shared" si="178"/>
        <v/>
      </c>
      <c r="E1095" s="4"/>
      <c r="F1095" s="46"/>
      <c r="G1095" s="4"/>
      <c r="H1095" s="48"/>
      <c r="J1095" s="26" t="str">
        <f t="shared" si="179"/>
        <v/>
      </c>
      <c r="N1095" t="str">
        <f t="shared" si="180"/>
        <v/>
      </c>
      <c r="Q1095" t="str">
        <f t="shared" si="181"/>
        <v/>
      </c>
      <c r="S1095" t="str">
        <f>IF(A1095=1,MAX($S$2:$S1094)+1,IF(OR($I1095&lt;&gt;"",A1095="x"),$S1094,""))</f>
        <v/>
      </c>
      <c r="T1095" t="str">
        <f>IF(D1095=1,MAX($T$2:$T1094)+1,IF(S1095=S1094,$T1094,IF(D1095="x",T1094,IF(D1094="x","",""))))</f>
        <v/>
      </c>
      <c r="U1095" t="str">
        <f>IF(B1095=1,MAX($U$2:$U1094)+1,IF(AND($T1095&lt;&gt;"",$T1095=$T1094),$U1094,IF(B1095="x",U1094,"")))</f>
        <v/>
      </c>
      <c r="V1095" t="str">
        <f>IF(C1095=1,MAX($V$2:$V1094)+1,IF(AND($T1095&lt;&gt;"",$T1095=$T1094),$U1094,IF(C1095="x",V1094,"")))</f>
        <v/>
      </c>
      <c r="X1095" cm="1">
        <f t="array" ref="X1095">IF($I1095&lt;&gt;"",$I1095,INDEX($I$1:$I1095,ROW()-COUNTIFS($T$1:$T1095,"="&amp;$T1095,$S$1:$S1095,"&lt;"&amp;$S1095)))</f>
        <v>0</v>
      </c>
      <c r="Z1095" s="6">
        <f t="shared" si="182"/>
        <v>1</v>
      </c>
      <c r="AA1095" t="e">
        <f t="shared" si="183"/>
        <v>#VALUE!</v>
      </c>
      <c r="AB1095" t="str">
        <f t="shared" si="184"/>
        <v/>
      </c>
      <c r="AC1095" t="e">
        <f t="shared" si="185"/>
        <v>#VALUE!</v>
      </c>
    </row>
    <row r="1096" spans="1:29" x14ac:dyDescent="0.2">
      <c r="A1096" t="str">
        <f t="shared" si="178"/>
        <v/>
      </c>
      <c r="E1096" s="4"/>
      <c r="F1096" s="46"/>
      <c r="G1096" s="4"/>
      <c r="H1096" s="48"/>
      <c r="J1096" s="26" t="str">
        <f t="shared" si="179"/>
        <v/>
      </c>
      <c r="N1096" t="str">
        <f t="shared" si="180"/>
        <v/>
      </c>
      <c r="Q1096" t="str">
        <f t="shared" si="181"/>
        <v/>
      </c>
      <c r="S1096" t="str">
        <f>IF(A1096=1,MAX($S$2:$S1095)+1,IF(OR($I1096&lt;&gt;"",A1096="x"),$S1095,""))</f>
        <v/>
      </c>
      <c r="T1096" t="str">
        <f>IF(D1096=1,MAX($T$2:$T1095)+1,IF(S1096=S1095,$T1095,IF(D1096="x",T1095,IF(D1095="x","",""))))</f>
        <v/>
      </c>
      <c r="U1096" t="str">
        <f>IF(B1096=1,MAX($U$2:$U1095)+1,IF(AND($T1096&lt;&gt;"",$T1096=$T1095),$U1095,IF(B1096="x",U1095,"")))</f>
        <v/>
      </c>
      <c r="V1096" t="str">
        <f>IF(C1096=1,MAX($V$2:$V1095)+1,IF(AND($T1096&lt;&gt;"",$T1096=$T1095),$U1095,IF(C1096="x",V1095,"")))</f>
        <v/>
      </c>
      <c r="X1096" cm="1">
        <f t="array" ref="X1096">IF($I1096&lt;&gt;"",$I1096,INDEX($I$1:$I1096,ROW()-COUNTIFS($T$1:$T1096,"="&amp;$T1096,$S$1:$S1096,"&lt;"&amp;$S1096)))</f>
        <v>0</v>
      </c>
      <c r="Z1096" s="6">
        <f t="shared" si="182"/>
        <v>1</v>
      </c>
      <c r="AA1096" t="e">
        <f t="shared" si="183"/>
        <v>#VALUE!</v>
      </c>
      <c r="AB1096" t="str">
        <f t="shared" si="184"/>
        <v/>
      </c>
      <c r="AC1096" t="e">
        <f t="shared" si="185"/>
        <v>#VALUE!</v>
      </c>
    </row>
    <row r="1097" spans="1:29" x14ac:dyDescent="0.2">
      <c r="A1097" t="str">
        <f t="shared" si="178"/>
        <v/>
      </c>
      <c r="E1097" s="4"/>
      <c r="F1097" s="46"/>
      <c r="G1097" s="4"/>
      <c r="H1097" s="48"/>
      <c r="J1097" s="26" t="str">
        <f t="shared" si="179"/>
        <v/>
      </c>
      <c r="N1097" t="str">
        <f t="shared" si="180"/>
        <v/>
      </c>
      <c r="Q1097" t="str">
        <f t="shared" si="181"/>
        <v/>
      </c>
      <c r="S1097" t="str">
        <f>IF(A1097=1,MAX($S$2:$S1096)+1,IF(OR($I1097&lt;&gt;"",A1097="x"),$S1096,""))</f>
        <v/>
      </c>
      <c r="T1097" t="str">
        <f>IF(D1097=1,MAX($T$2:$T1096)+1,IF(S1097=S1096,$T1096,IF(D1097="x",T1096,IF(D1096="x","",""))))</f>
        <v/>
      </c>
      <c r="U1097" t="str">
        <f>IF(B1097=1,MAX($U$2:$U1096)+1,IF(AND($T1097&lt;&gt;"",$T1097=$T1096),$U1096,IF(B1097="x",U1096,"")))</f>
        <v/>
      </c>
      <c r="V1097" t="str">
        <f>IF(C1097=1,MAX($V$2:$V1096)+1,IF(AND($T1097&lt;&gt;"",$T1097=$T1096),$U1096,IF(C1097="x",V1096,"")))</f>
        <v/>
      </c>
      <c r="X1097" cm="1">
        <f t="array" ref="X1097">IF($I1097&lt;&gt;"",$I1097,INDEX($I$1:$I1097,ROW()-COUNTIFS($T$1:$T1097,"="&amp;$T1097,$S$1:$S1097,"&lt;"&amp;$S1097)))</f>
        <v>0</v>
      </c>
      <c r="Z1097" s="6">
        <f t="shared" si="182"/>
        <v>1</v>
      </c>
      <c r="AA1097" t="e">
        <f t="shared" si="183"/>
        <v>#VALUE!</v>
      </c>
      <c r="AB1097" t="str">
        <f t="shared" si="184"/>
        <v/>
      </c>
      <c r="AC1097" t="e">
        <f t="shared" si="185"/>
        <v>#VALUE!</v>
      </c>
    </row>
    <row r="1098" spans="1:29" x14ac:dyDescent="0.2">
      <c r="A1098" t="str">
        <f t="shared" si="178"/>
        <v/>
      </c>
      <c r="E1098" s="4"/>
      <c r="F1098" s="46"/>
      <c r="G1098" s="4"/>
      <c r="H1098" s="48"/>
      <c r="J1098" s="26" t="str">
        <f t="shared" si="179"/>
        <v/>
      </c>
      <c r="N1098" t="str">
        <f t="shared" si="180"/>
        <v/>
      </c>
      <c r="Q1098" t="str">
        <f t="shared" si="181"/>
        <v/>
      </c>
      <c r="S1098" t="str">
        <f>IF(A1098=1,MAX($S$2:$S1097)+1,IF(OR($I1098&lt;&gt;"",A1098="x"),$S1097,""))</f>
        <v/>
      </c>
      <c r="T1098" t="str">
        <f>IF(D1098=1,MAX($T$2:$T1097)+1,IF(S1098=S1097,$T1097,IF(D1098="x",T1097,IF(D1097="x","",""))))</f>
        <v/>
      </c>
      <c r="U1098" t="str">
        <f>IF(B1098=1,MAX($U$2:$U1097)+1,IF(AND($T1098&lt;&gt;"",$T1098=$T1097),$U1097,IF(B1098="x",U1097,"")))</f>
        <v/>
      </c>
      <c r="V1098" t="str">
        <f>IF(C1098=1,MAX($V$2:$V1097)+1,IF(AND($T1098&lt;&gt;"",$T1098=$T1097),$U1097,IF(C1098="x",V1097,"")))</f>
        <v/>
      </c>
      <c r="X1098" cm="1">
        <f t="array" ref="X1098">IF($I1098&lt;&gt;"",$I1098,INDEX($I$1:$I1098,ROW()-COUNTIFS($T$1:$T1098,"="&amp;$T1098,$S$1:$S1098,"&lt;"&amp;$S1098)))</f>
        <v>0</v>
      </c>
      <c r="Z1098" s="6">
        <f t="shared" si="182"/>
        <v>1</v>
      </c>
      <c r="AA1098" t="e">
        <f t="shared" si="183"/>
        <v>#VALUE!</v>
      </c>
      <c r="AB1098" t="str">
        <f t="shared" si="184"/>
        <v/>
      </c>
      <c r="AC1098" t="e">
        <f t="shared" si="185"/>
        <v>#VALUE!</v>
      </c>
    </row>
    <row r="1099" spans="1:29" x14ac:dyDescent="0.2">
      <c r="A1099" t="str">
        <f t="shared" si="178"/>
        <v/>
      </c>
      <c r="E1099" s="4"/>
      <c r="F1099" s="46"/>
      <c r="G1099" s="4"/>
      <c r="H1099" s="48"/>
      <c r="J1099" s="26" t="str">
        <f t="shared" si="179"/>
        <v/>
      </c>
      <c r="N1099" t="str">
        <f t="shared" si="180"/>
        <v/>
      </c>
      <c r="Q1099" t="str">
        <f t="shared" si="181"/>
        <v/>
      </c>
      <c r="S1099" t="str">
        <f>IF(A1099=1,MAX($S$2:$S1098)+1,IF(OR($I1099&lt;&gt;"",A1099="x"),$S1098,""))</f>
        <v/>
      </c>
      <c r="T1099" t="str">
        <f>IF(D1099=1,MAX($T$2:$T1098)+1,IF(S1099=S1098,$T1098,IF(D1099="x",T1098,IF(D1098="x","",""))))</f>
        <v/>
      </c>
      <c r="U1099" t="str">
        <f>IF(B1099=1,MAX($U$2:$U1098)+1,IF(AND($T1099&lt;&gt;"",$T1099=$T1098),$U1098,IF(B1099="x",U1098,"")))</f>
        <v/>
      </c>
      <c r="V1099" t="str">
        <f>IF(C1099=1,MAX($V$2:$V1098)+1,IF(AND($T1099&lt;&gt;"",$T1099=$T1098),$U1098,IF(C1099="x",V1098,"")))</f>
        <v/>
      </c>
      <c r="X1099" cm="1">
        <f t="array" ref="X1099">IF($I1099&lt;&gt;"",$I1099,INDEX($I$1:$I1099,ROW()-COUNTIFS($T$1:$T1099,"="&amp;$T1099,$S$1:$S1099,"&lt;"&amp;$S1099)))</f>
        <v>0</v>
      </c>
      <c r="Z1099" s="6">
        <f t="shared" si="182"/>
        <v>1</v>
      </c>
      <c r="AA1099" t="e">
        <f t="shared" si="183"/>
        <v>#VALUE!</v>
      </c>
      <c r="AB1099" t="str">
        <f t="shared" si="184"/>
        <v/>
      </c>
      <c r="AC1099" t="e">
        <f t="shared" si="185"/>
        <v>#VALUE!</v>
      </c>
    </row>
    <row r="1100" spans="1:29" x14ac:dyDescent="0.2">
      <c r="A1100" t="str">
        <f t="shared" si="178"/>
        <v/>
      </c>
      <c r="E1100" s="4"/>
      <c r="F1100" s="46"/>
      <c r="G1100" s="4"/>
      <c r="H1100" s="48"/>
      <c r="J1100" s="26" t="str">
        <f t="shared" si="179"/>
        <v/>
      </c>
      <c r="N1100" t="str">
        <f t="shared" si="180"/>
        <v/>
      </c>
      <c r="Q1100" t="str">
        <f t="shared" si="181"/>
        <v/>
      </c>
      <c r="S1100" t="str">
        <f>IF(A1100=1,MAX($S$2:$S1099)+1,IF(OR($I1100&lt;&gt;"",A1100="x"),$S1099,""))</f>
        <v/>
      </c>
      <c r="T1100" t="str">
        <f>IF(D1100=1,MAX($T$2:$T1099)+1,IF(S1100=S1099,$T1099,IF(D1100="x",T1099,IF(D1099="x","",""))))</f>
        <v/>
      </c>
      <c r="U1100" t="str">
        <f>IF(B1100=1,MAX($U$2:$U1099)+1,IF(AND($T1100&lt;&gt;"",$T1100=$T1099),$U1099,IF(B1100="x",U1099,"")))</f>
        <v/>
      </c>
      <c r="V1100" t="str">
        <f>IF(C1100=1,MAX($V$2:$V1099)+1,IF(AND($T1100&lt;&gt;"",$T1100=$T1099),$U1099,IF(C1100="x",V1099,"")))</f>
        <v/>
      </c>
      <c r="X1100" cm="1">
        <f t="array" ref="X1100">IF($I1100&lt;&gt;"",$I1100,INDEX($I$1:$I1100,ROW()-COUNTIFS($T$1:$T1100,"="&amp;$T1100,$S$1:$S1100,"&lt;"&amp;$S1100)))</f>
        <v>0</v>
      </c>
      <c r="Z1100" s="6">
        <f t="shared" si="182"/>
        <v>1</v>
      </c>
      <c r="AA1100" t="e">
        <f t="shared" si="183"/>
        <v>#VALUE!</v>
      </c>
      <c r="AB1100" t="str">
        <f t="shared" si="184"/>
        <v/>
      </c>
      <c r="AC1100" t="e">
        <f t="shared" si="185"/>
        <v>#VALUE!</v>
      </c>
    </row>
    <row r="1101" spans="1:29" x14ac:dyDescent="0.2">
      <c r="A1101" t="str">
        <f t="shared" si="178"/>
        <v/>
      </c>
      <c r="E1101" s="4"/>
      <c r="F1101" s="46"/>
      <c r="G1101" s="4"/>
      <c r="H1101" s="48"/>
      <c r="J1101" s="26" t="str">
        <f t="shared" si="179"/>
        <v/>
      </c>
      <c r="N1101" t="str">
        <f t="shared" si="180"/>
        <v/>
      </c>
      <c r="Q1101" t="str">
        <f t="shared" si="181"/>
        <v/>
      </c>
      <c r="S1101" t="str">
        <f>IF(A1101=1,MAX($S$2:$S1100)+1,IF(OR($I1101&lt;&gt;"",A1101="x"),$S1100,""))</f>
        <v/>
      </c>
      <c r="T1101" t="str">
        <f>IF(D1101=1,MAX($T$2:$T1100)+1,IF(S1101=S1100,$T1100,IF(D1101="x",T1100,IF(D1100="x","",""))))</f>
        <v/>
      </c>
      <c r="U1101" t="str">
        <f>IF(B1101=1,MAX($U$2:$U1100)+1,IF(AND($T1101&lt;&gt;"",$T1101=$T1100),$U1100,IF(B1101="x",U1100,"")))</f>
        <v/>
      </c>
      <c r="V1101" t="str">
        <f>IF(C1101=1,MAX($V$2:$V1100)+1,IF(AND($T1101&lt;&gt;"",$T1101=$T1100),$U1100,IF(C1101="x",V1100,"")))</f>
        <v/>
      </c>
      <c r="X1101" cm="1">
        <f t="array" ref="X1101">IF($I1101&lt;&gt;"",$I1101,INDEX($I$1:$I1101,ROW()-COUNTIFS($T$1:$T1101,"="&amp;$T1101,$S$1:$S1101,"&lt;"&amp;$S1101)))</f>
        <v>0</v>
      </c>
      <c r="Z1101" s="6">
        <f t="shared" si="182"/>
        <v>1</v>
      </c>
      <c r="AA1101" t="e">
        <f t="shared" si="183"/>
        <v>#VALUE!</v>
      </c>
      <c r="AB1101" t="str">
        <f t="shared" si="184"/>
        <v/>
      </c>
      <c r="AC1101" t="e">
        <f t="shared" si="185"/>
        <v>#VALUE!</v>
      </c>
    </row>
    <row r="1102" spans="1:29" x14ac:dyDescent="0.2">
      <c r="A1102" t="str">
        <f t="shared" si="178"/>
        <v/>
      </c>
      <c r="E1102" s="4"/>
      <c r="F1102" s="46"/>
      <c r="G1102" s="4"/>
      <c r="H1102" s="48"/>
      <c r="J1102" s="26" t="str">
        <f t="shared" si="179"/>
        <v/>
      </c>
      <c r="N1102" t="str">
        <f t="shared" si="180"/>
        <v/>
      </c>
      <c r="Q1102" t="str">
        <f t="shared" si="181"/>
        <v/>
      </c>
      <c r="S1102" t="str">
        <f>IF(A1102=1,MAX($S$2:$S1101)+1,IF(OR($I1102&lt;&gt;"",A1102="x"),$S1101,""))</f>
        <v/>
      </c>
      <c r="T1102" t="str">
        <f>IF(D1102=1,MAX($T$2:$T1101)+1,IF(S1102=S1101,$T1101,IF(D1102="x",T1101,IF(D1101="x","",""))))</f>
        <v/>
      </c>
      <c r="U1102" t="str">
        <f>IF(B1102=1,MAX($U$2:$U1101)+1,IF(AND($T1102&lt;&gt;"",$T1102=$T1101),$U1101,IF(B1102="x",U1101,"")))</f>
        <v/>
      </c>
      <c r="V1102" t="str">
        <f>IF(C1102=1,MAX($V$2:$V1101)+1,IF(AND($T1102&lt;&gt;"",$T1102=$T1101),$U1101,IF(C1102="x",V1101,"")))</f>
        <v/>
      </c>
      <c r="X1102" cm="1">
        <f t="array" ref="X1102">IF($I1102&lt;&gt;"",$I1102,INDEX($I$1:$I1102,ROW()-COUNTIFS($T$1:$T1102,"="&amp;$T1102,$S$1:$S1102,"&lt;"&amp;$S1102)))</f>
        <v>0</v>
      </c>
      <c r="Z1102" s="6">
        <f t="shared" si="182"/>
        <v>1</v>
      </c>
      <c r="AA1102" t="e">
        <f t="shared" si="183"/>
        <v>#VALUE!</v>
      </c>
      <c r="AB1102" t="str">
        <f t="shared" si="184"/>
        <v/>
      </c>
      <c r="AC1102" t="e">
        <f t="shared" si="185"/>
        <v>#VALUE!</v>
      </c>
    </row>
    <row r="1103" spans="1:29" x14ac:dyDescent="0.2">
      <c r="A1103" t="str">
        <f t="shared" si="178"/>
        <v/>
      </c>
      <c r="E1103" s="4"/>
      <c r="F1103" s="46"/>
      <c r="G1103" s="4"/>
      <c r="H1103" s="48"/>
      <c r="J1103" s="26" t="str">
        <f t="shared" si="179"/>
        <v/>
      </c>
      <c r="N1103" t="str">
        <f t="shared" si="180"/>
        <v/>
      </c>
      <c r="Q1103" t="str">
        <f t="shared" si="181"/>
        <v/>
      </c>
      <c r="S1103" t="str">
        <f>IF(A1103=1,MAX($S$2:$S1102)+1,IF(OR($I1103&lt;&gt;"",A1103="x"),$S1102,""))</f>
        <v/>
      </c>
      <c r="T1103" t="str">
        <f>IF(D1103=1,MAX($T$2:$T1102)+1,IF(S1103=S1102,$T1102,IF(D1103="x",T1102,IF(D1102="x","",""))))</f>
        <v/>
      </c>
      <c r="U1103" t="str">
        <f>IF(B1103=1,MAX($U$2:$U1102)+1,IF(AND($T1103&lt;&gt;"",$T1103=$T1102),$U1102,IF(B1103="x",U1102,"")))</f>
        <v/>
      </c>
      <c r="V1103" t="str">
        <f>IF(C1103=1,MAX($V$2:$V1102)+1,IF(AND($T1103&lt;&gt;"",$T1103=$T1102),$U1102,IF(C1103="x",V1102,"")))</f>
        <v/>
      </c>
      <c r="X1103" cm="1">
        <f t="array" ref="X1103">IF($I1103&lt;&gt;"",$I1103,INDEX($I$1:$I1103,ROW()-COUNTIFS($T$1:$T1103,"="&amp;$T1103,$S$1:$S1103,"&lt;"&amp;$S1103)))</f>
        <v>0</v>
      </c>
      <c r="Z1103" s="6">
        <f t="shared" si="182"/>
        <v>1</v>
      </c>
      <c r="AA1103" t="e">
        <f t="shared" si="183"/>
        <v>#VALUE!</v>
      </c>
      <c r="AB1103" t="str">
        <f t="shared" si="184"/>
        <v/>
      </c>
      <c r="AC1103" t="e">
        <f t="shared" si="185"/>
        <v>#VALUE!</v>
      </c>
    </row>
    <row r="1104" spans="1:29" x14ac:dyDescent="0.2">
      <c r="A1104" t="str">
        <f t="shared" si="178"/>
        <v/>
      </c>
      <c r="E1104" s="4"/>
      <c r="F1104" s="46"/>
      <c r="G1104" s="4"/>
      <c r="H1104" s="48"/>
      <c r="J1104" s="26" t="str">
        <f t="shared" si="179"/>
        <v/>
      </c>
      <c r="N1104" t="str">
        <f t="shared" si="180"/>
        <v/>
      </c>
      <c r="Q1104" t="str">
        <f t="shared" si="181"/>
        <v/>
      </c>
      <c r="S1104" t="str">
        <f>IF(A1104=1,MAX($S$2:$S1103)+1,IF(OR($I1104&lt;&gt;"",A1104="x"),$S1103,""))</f>
        <v/>
      </c>
      <c r="T1104" t="str">
        <f>IF(D1104=1,MAX($T$2:$T1103)+1,IF(S1104=S1103,$T1103,IF(D1104="x",T1103,IF(D1103="x","",""))))</f>
        <v/>
      </c>
      <c r="U1104" t="str">
        <f>IF(B1104=1,MAX($U$2:$U1103)+1,IF(AND($T1104&lt;&gt;"",$T1104=$T1103),$U1103,IF(B1104="x",U1103,"")))</f>
        <v/>
      </c>
      <c r="V1104" t="str">
        <f>IF(C1104=1,MAX($V$2:$V1103)+1,IF(AND($T1104&lt;&gt;"",$T1104=$T1103),$U1103,IF(C1104="x",V1103,"")))</f>
        <v/>
      </c>
      <c r="X1104" cm="1">
        <f t="array" ref="X1104">IF($I1104&lt;&gt;"",$I1104,INDEX($I$1:$I1104,ROW()-COUNTIFS($T$1:$T1104,"="&amp;$T1104,$S$1:$S1104,"&lt;"&amp;$S1104)))</f>
        <v>0</v>
      </c>
      <c r="Z1104" s="6">
        <f t="shared" si="182"/>
        <v>1</v>
      </c>
      <c r="AA1104" t="e">
        <f t="shared" si="183"/>
        <v>#VALUE!</v>
      </c>
      <c r="AB1104" t="str">
        <f t="shared" si="184"/>
        <v/>
      </c>
      <c r="AC1104" t="e">
        <f t="shared" si="185"/>
        <v>#VALUE!</v>
      </c>
    </row>
    <row r="1105" spans="1:29" x14ac:dyDescent="0.2">
      <c r="A1105" t="str">
        <f t="shared" si="178"/>
        <v/>
      </c>
      <c r="E1105" s="4"/>
      <c r="F1105" s="46"/>
      <c r="G1105" s="4"/>
      <c r="H1105" s="48"/>
      <c r="J1105" s="26" t="str">
        <f t="shared" si="179"/>
        <v/>
      </c>
      <c r="N1105" t="str">
        <f t="shared" si="180"/>
        <v/>
      </c>
      <c r="Q1105" t="str">
        <f t="shared" si="181"/>
        <v/>
      </c>
      <c r="S1105" t="str">
        <f>IF(A1105=1,MAX($S$2:$S1104)+1,IF(OR($I1105&lt;&gt;"",A1105="x"),$S1104,""))</f>
        <v/>
      </c>
      <c r="T1105" t="str">
        <f>IF(D1105=1,MAX($T$2:$T1104)+1,IF(S1105=S1104,$T1104,IF(D1105="x",T1104,IF(D1104="x","",""))))</f>
        <v/>
      </c>
      <c r="U1105" t="str">
        <f>IF(B1105=1,MAX($U$2:$U1104)+1,IF(AND($T1105&lt;&gt;"",$T1105=$T1104),$U1104,IF(B1105="x",U1104,"")))</f>
        <v/>
      </c>
      <c r="V1105" t="str">
        <f>IF(C1105=1,MAX($V$2:$V1104)+1,IF(AND($T1105&lt;&gt;"",$T1105=$T1104),$U1104,IF(C1105="x",V1104,"")))</f>
        <v/>
      </c>
      <c r="X1105" cm="1">
        <f t="array" ref="X1105">IF($I1105&lt;&gt;"",$I1105,INDEX($I$1:$I1105,ROW()-COUNTIFS($T$1:$T1105,"="&amp;$T1105,$S$1:$S1105,"&lt;"&amp;$S1105)))</f>
        <v>0</v>
      </c>
      <c r="Z1105" s="6">
        <f t="shared" si="182"/>
        <v>1</v>
      </c>
      <c r="AA1105" t="e">
        <f t="shared" si="183"/>
        <v>#VALUE!</v>
      </c>
      <c r="AB1105" t="str">
        <f t="shared" si="184"/>
        <v/>
      </c>
      <c r="AC1105" t="e">
        <f t="shared" si="185"/>
        <v>#VALUE!</v>
      </c>
    </row>
    <row r="1106" spans="1:29" x14ac:dyDescent="0.2">
      <c r="A1106" t="str">
        <f t="shared" si="178"/>
        <v/>
      </c>
      <c r="E1106" s="4"/>
      <c r="F1106" s="46"/>
      <c r="G1106" s="4"/>
      <c r="H1106" s="48"/>
      <c r="J1106" s="26" t="str">
        <f t="shared" si="179"/>
        <v/>
      </c>
      <c r="N1106" t="str">
        <f t="shared" si="180"/>
        <v/>
      </c>
      <c r="Q1106" t="str">
        <f t="shared" si="181"/>
        <v/>
      </c>
      <c r="S1106" t="str">
        <f>IF(A1106=1,MAX($S$2:$S1105)+1,IF(OR($I1106&lt;&gt;"",A1106="x"),$S1105,""))</f>
        <v/>
      </c>
      <c r="T1106" t="str">
        <f>IF(D1106=1,MAX($T$2:$T1105)+1,IF(S1106=S1105,$T1105,IF(D1106="x",T1105,IF(D1105="x","",""))))</f>
        <v/>
      </c>
      <c r="U1106" t="str">
        <f>IF(B1106=1,MAX($U$2:$U1105)+1,IF(AND($T1106&lt;&gt;"",$T1106=$T1105),$U1105,IF(B1106="x",U1105,"")))</f>
        <v/>
      </c>
      <c r="V1106" t="str">
        <f>IF(C1106=1,MAX($V$2:$V1105)+1,IF(AND($T1106&lt;&gt;"",$T1106=$T1105),$U1105,IF(C1106="x",V1105,"")))</f>
        <v/>
      </c>
      <c r="X1106" cm="1">
        <f t="array" ref="X1106">IF($I1106&lt;&gt;"",$I1106,INDEX($I$1:$I1106,ROW()-COUNTIFS($T$1:$T1106,"="&amp;$T1106,$S$1:$S1106,"&lt;"&amp;$S1106)))</f>
        <v>0</v>
      </c>
      <c r="Z1106" s="6">
        <f t="shared" si="182"/>
        <v>1</v>
      </c>
      <c r="AA1106" t="e">
        <f t="shared" si="183"/>
        <v>#VALUE!</v>
      </c>
      <c r="AB1106" t="str">
        <f t="shared" si="184"/>
        <v/>
      </c>
      <c r="AC1106" t="e">
        <f t="shared" si="185"/>
        <v>#VALUE!</v>
      </c>
    </row>
    <row r="1107" spans="1:29" x14ac:dyDescent="0.2">
      <c r="A1107" t="str">
        <f t="shared" ref="A1107:A1170" si="186">IF(K1107&lt;&gt;"",1,IF(D1107="x","x",""))</f>
        <v/>
      </c>
      <c r="E1107" s="4"/>
      <c r="F1107" s="46"/>
      <c r="G1107" s="4"/>
      <c r="H1107" s="48"/>
      <c r="J1107" s="26" t="str">
        <f t="shared" ref="J1107:J1170" si="187">IF(OR(K1107="Goal",K1107="Shot",L1107="Zone_Entry",M1107="Stoppage-Goal",M1106="Stoppage-Goal"),"o",IF(OR(K1107="Save",K1107="Rebound",L1107="Zone_Exit",M1107="Stoppage-GoalieStoppage",M1106="Stoppage-GoalieStoppage"),"d",IF(OR(L1107="Faceoff_AfterGoal",L1107="Faceoff_PeriodStart",698="Faceoff_GameStart",M1106="Stoppage-Goal"),"n","")))</f>
        <v/>
      </c>
      <c r="N1107" t="str">
        <f t="shared" ref="N1107:N1170" si="188">IF(K1107="","",IF(K1107="Goal","s",IF(AND(K1107="Zone_Entry_Exit",OR(ISNUMBER(SEARCH("fail",L1107)),ISNUMBER(SEARCH("FromExitClear",M1107)),ISNUMBER(SEARCH("miss",M1107)))),"u",IF(AND(K1107="Zone_Entry_Exit",OR(NOT(ISNUMBER(SEARCH("fail",L1107))),NOT(ISNUMBER(SEARCH("FromExitClear",M1107))),NOT(ISNUMBER(SEARCH("miss",M1107))))),"s",IF(AND(OR(K1107="Shot",K1107="Pass"),OR(ISNUMBER(SEARCH("complete",L1107)),ISNUMBER(SEARCH("goal",L1107)),ISNUMBER(SEARCH("OnNet",L1107)))),"s",IF(L1107="Turnover_Giveaway","u",IF(AND(OR(K1107="Shot",K1107="Pass"),OR(ISNUMBER(SEARCH("fail",L1107)),NOT(ISNUMBER(SEARCH("complete",L1107))),NOT(ISNUMBER(SEARCH("OnNet",L1107))))),"u","")))))))</f>
        <v/>
      </c>
      <c r="Q1107" t="str">
        <f t="shared" ref="Q1107:Q1170" si="189">IF(O1107="","",IF(AND(N1107&lt;&gt;"",OR(O1107&lt;&gt;"",P1107&lt;&gt;"")),N1107,IF(OR(ISNUMBER(SEARCH("attemp",O1107)),ISNUMBER(SEARCH("beat",O1107)),ISNUMBER(SEARCH("mis",O1107)),ISNUMBER(SEARCH("fail",O1107)),ISNUMBER(SEARCH("loss",O1107)),ISNUMBER(SEARCH("lost",O1107)),ISNUMBER(SEARCH("attemp",P1107)),ISNUMBER(SEARCH("mis",P1107)),ISNUMBER(SEARCH("fail",P1107)),ISNUMBER(SEARCH("loss",P1107)),ISNUMBER(SEARCH("beat",P1107)),ISNUMBER(SEARCH("lost",P1107))),"u","")))</f>
        <v/>
      </c>
      <c r="S1107" t="str">
        <f>IF(A1107=1,MAX($S$2:$S1106)+1,IF(OR($I1107&lt;&gt;"",A1107="x"),$S1106,""))</f>
        <v/>
      </c>
      <c r="T1107" t="str">
        <f>IF(D1107=1,MAX($T$2:$T1106)+1,IF(S1107=S1106,$T1106,IF(D1107="x",T1106,IF(D1106="x","",""))))</f>
        <v/>
      </c>
      <c r="U1107" t="str">
        <f>IF(B1107=1,MAX($U$2:$U1106)+1,IF(AND($T1107&lt;&gt;"",$T1107=$T1106),$U1106,IF(B1107="x",U1106,"")))</f>
        <v/>
      </c>
      <c r="V1107" t="str">
        <f>IF(C1107=1,MAX($V$2:$V1106)+1,IF(AND($T1107&lt;&gt;"",$T1107=$T1106),$U1106,IF(C1107="x",V1106,"")))</f>
        <v/>
      </c>
      <c r="X1107" cm="1">
        <f t="array" ref="X1107">IF($I1107&lt;&gt;"",$I1107,INDEX($I$1:$I1107,ROW()-COUNTIFS($T$1:$T1107,"="&amp;$T1107,$S$1:$S1107,"&lt;"&amp;$S1107)))</f>
        <v>0</v>
      </c>
      <c r="Z1107" s="6">
        <f t="shared" si="182"/>
        <v>1</v>
      </c>
      <c r="AA1107" t="e">
        <f t="shared" si="183"/>
        <v>#VALUE!</v>
      </c>
      <c r="AB1107" t="str">
        <f t="shared" si="184"/>
        <v/>
      </c>
      <c r="AC1107" t="e">
        <f t="shared" si="185"/>
        <v>#VALUE!</v>
      </c>
    </row>
    <row r="1108" spans="1:29" x14ac:dyDescent="0.2">
      <c r="A1108" t="str">
        <f t="shared" si="186"/>
        <v/>
      </c>
      <c r="E1108" s="4"/>
      <c r="F1108" s="46"/>
      <c r="G1108" s="4"/>
      <c r="H1108" s="48"/>
      <c r="J1108" s="26" t="str">
        <f t="shared" si="187"/>
        <v/>
      </c>
      <c r="N1108" t="str">
        <f t="shared" si="188"/>
        <v/>
      </c>
      <c r="Q1108" t="str">
        <f t="shared" si="189"/>
        <v/>
      </c>
      <c r="S1108" t="str">
        <f>IF(A1108=1,MAX($S$2:$S1107)+1,IF(OR($I1108&lt;&gt;"",A1108="x"),$S1107,""))</f>
        <v/>
      </c>
      <c r="T1108" t="str">
        <f>IF(D1108=1,MAX($T$2:$T1107)+1,IF(S1108=S1107,$T1107,IF(D1108="x",T1107,IF(D1107="x","",""))))</f>
        <v/>
      </c>
      <c r="U1108" t="str">
        <f>IF(B1108=1,MAX($U$2:$U1107)+1,IF(AND($T1108&lt;&gt;"",$T1108=$T1107),$U1107,IF(B1108="x",U1107,"")))</f>
        <v/>
      </c>
      <c r="V1108" t="str">
        <f>IF(C1108=1,MAX($V$2:$V1107)+1,IF(AND($T1108&lt;&gt;"",$T1108=$T1107),$U1107,IF(C1108="x",V1107,"")))</f>
        <v/>
      </c>
      <c r="X1108" cm="1">
        <f t="array" ref="X1108">IF($I1108&lt;&gt;"",$I1108,INDEX($I$1:$I1108,ROW()-COUNTIFS($T$1:$T1108,"="&amp;$T1108,$S$1:$S1108,"&lt;"&amp;$S1108)))</f>
        <v>0</v>
      </c>
      <c r="Z1108" s="6">
        <f t="shared" si="182"/>
        <v>1</v>
      </c>
      <c r="AA1108" t="e">
        <f t="shared" si="183"/>
        <v>#VALUE!</v>
      </c>
      <c r="AB1108" t="str">
        <f t="shared" si="184"/>
        <v/>
      </c>
      <c r="AC1108" t="e">
        <f t="shared" si="185"/>
        <v>#VALUE!</v>
      </c>
    </row>
    <row r="1109" spans="1:29" x14ac:dyDescent="0.2">
      <c r="A1109" t="str">
        <f t="shared" si="186"/>
        <v/>
      </c>
      <c r="E1109" s="4"/>
      <c r="F1109" s="46"/>
      <c r="G1109" s="4"/>
      <c r="H1109" s="48"/>
      <c r="J1109" s="26" t="str">
        <f t="shared" si="187"/>
        <v/>
      </c>
      <c r="N1109" t="str">
        <f t="shared" si="188"/>
        <v/>
      </c>
      <c r="Q1109" t="str">
        <f t="shared" si="189"/>
        <v/>
      </c>
      <c r="S1109" t="str">
        <f>IF(A1109=1,MAX($S$2:$S1108)+1,IF(OR($I1109&lt;&gt;"",A1109="x"),$S1108,""))</f>
        <v/>
      </c>
      <c r="T1109" t="str">
        <f>IF(D1109=1,MAX($T$2:$T1108)+1,IF(S1109=S1108,$T1108,IF(D1109="x",T1108,IF(D1108="x","",""))))</f>
        <v/>
      </c>
      <c r="U1109" t="str">
        <f>IF(B1109=1,MAX($U$2:$U1108)+1,IF(AND($T1109&lt;&gt;"",$T1109=$T1108),$U1108,IF(B1109="x",U1108,"")))</f>
        <v/>
      </c>
      <c r="V1109" t="str">
        <f>IF(C1109=1,MAX($V$2:$V1108)+1,IF(AND($T1109&lt;&gt;"",$T1109=$T1108),$U1108,IF(C1109="x",V1108,"")))</f>
        <v/>
      </c>
      <c r="X1109" cm="1">
        <f t="array" ref="X1109">IF($I1109&lt;&gt;"",$I1109,INDEX($I$1:$I1109,ROW()-COUNTIFS($T$1:$T1109,"="&amp;$T1109,$S$1:$S1109,"&lt;"&amp;$S1109)))</f>
        <v>0</v>
      </c>
      <c r="Z1109" s="6">
        <f t="shared" si="182"/>
        <v>1</v>
      </c>
      <c r="AA1109" t="e">
        <f t="shared" si="183"/>
        <v>#VALUE!</v>
      </c>
      <c r="AB1109" t="str">
        <f t="shared" si="184"/>
        <v/>
      </c>
      <c r="AC1109" t="e">
        <f t="shared" si="185"/>
        <v>#VALUE!</v>
      </c>
    </row>
    <row r="1110" spans="1:29" x14ac:dyDescent="0.2">
      <c r="A1110" t="str">
        <f t="shared" si="186"/>
        <v/>
      </c>
      <c r="E1110" s="4"/>
      <c r="F1110" s="46"/>
      <c r="G1110" s="4"/>
      <c r="H1110" s="48"/>
      <c r="J1110" s="26" t="str">
        <f t="shared" si="187"/>
        <v/>
      </c>
      <c r="N1110" t="str">
        <f t="shared" si="188"/>
        <v/>
      </c>
      <c r="Q1110" t="str">
        <f t="shared" si="189"/>
        <v/>
      </c>
      <c r="S1110" t="str">
        <f>IF(A1110=1,MAX($S$2:$S1109)+1,IF(OR($I1110&lt;&gt;"",A1110="x"),$S1109,""))</f>
        <v/>
      </c>
      <c r="T1110" t="str">
        <f>IF(D1110=1,MAX($T$2:$T1109)+1,IF(S1110=S1109,$T1109,IF(D1110="x",T1109,IF(D1109="x","",""))))</f>
        <v/>
      </c>
      <c r="U1110" t="str">
        <f>IF(B1110=1,MAX($U$2:$U1109)+1,IF(AND($T1110&lt;&gt;"",$T1110=$T1109),$U1109,IF(B1110="x",U1109,"")))</f>
        <v/>
      </c>
      <c r="V1110" t="str">
        <f>IF(C1110=1,MAX($V$2:$V1109)+1,IF(AND($T1110&lt;&gt;"",$T1110=$T1109),$U1109,IF(C1110="x",V1109,"")))</f>
        <v/>
      </c>
      <c r="X1110" cm="1">
        <f t="array" ref="X1110">IF($I1110&lt;&gt;"",$I1110,INDEX($I$1:$I1110,ROW()-COUNTIFS($T$1:$T1110,"="&amp;$T1110,$S$1:$S1110,"&lt;"&amp;$S1110)))</f>
        <v>0</v>
      </c>
      <c r="Z1110" s="6">
        <f t="shared" si="182"/>
        <v>1</v>
      </c>
      <c r="AA1110" t="e">
        <f t="shared" si="183"/>
        <v>#VALUE!</v>
      </c>
      <c r="AB1110" t="str">
        <f t="shared" si="184"/>
        <v/>
      </c>
      <c r="AC1110" t="e">
        <f t="shared" si="185"/>
        <v>#VALUE!</v>
      </c>
    </row>
    <row r="1111" spans="1:29" x14ac:dyDescent="0.2">
      <c r="A1111" t="str">
        <f t="shared" si="186"/>
        <v/>
      </c>
      <c r="E1111" s="4"/>
      <c r="F1111" s="46"/>
      <c r="G1111" s="4"/>
      <c r="H1111" s="48"/>
      <c r="J1111" s="26" t="str">
        <f t="shared" si="187"/>
        <v/>
      </c>
      <c r="N1111" t="str">
        <f t="shared" si="188"/>
        <v/>
      </c>
      <c r="Q1111" t="str">
        <f t="shared" si="189"/>
        <v/>
      </c>
      <c r="S1111" t="str">
        <f>IF(A1111=1,MAX($S$2:$S1110)+1,IF(OR($I1111&lt;&gt;"",A1111="x"),$S1110,""))</f>
        <v/>
      </c>
      <c r="T1111" t="str">
        <f>IF(D1111=1,MAX($T$2:$T1110)+1,IF(S1111=S1110,$T1110,IF(D1111="x",T1110,IF(D1110="x","",""))))</f>
        <v/>
      </c>
      <c r="U1111" t="str">
        <f>IF(B1111=1,MAX($U$2:$U1110)+1,IF(AND($T1111&lt;&gt;"",$T1111=$T1110),$U1110,IF(B1111="x",U1110,"")))</f>
        <v/>
      </c>
      <c r="V1111" t="str">
        <f>IF(C1111=1,MAX($V$2:$V1110)+1,IF(AND($T1111&lt;&gt;"",$T1111=$T1110),$U1110,IF(C1111="x",V1110,"")))</f>
        <v/>
      </c>
      <c r="X1111" cm="1">
        <f t="array" ref="X1111">IF($I1111&lt;&gt;"",$I1111,INDEX($I$1:$I1111,ROW()-COUNTIFS($T$1:$T1111,"="&amp;$T1111,$S$1:$S1111,"&lt;"&amp;$S1111)))</f>
        <v>0</v>
      </c>
      <c r="Z1111" s="6">
        <f t="shared" si="182"/>
        <v>1</v>
      </c>
      <c r="AA1111" t="e">
        <f t="shared" si="183"/>
        <v>#VALUE!</v>
      </c>
      <c r="AB1111" t="str">
        <f t="shared" si="184"/>
        <v/>
      </c>
      <c r="AC1111" t="e">
        <f t="shared" si="185"/>
        <v>#VALUE!</v>
      </c>
    </row>
    <row r="1112" spans="1:29" x14ac:dyDescent="0.2">
      <c r="A1112" t="str">
        <f t="shared" si="186"/>
        <v/>
      </c>
      <c r="E1112" s="4"/>
      <c r="F1112" s="46"/>
      <c r="G1112" s="4"/>
      <c r="H1112" s="48"/>
      <c r="J1112" s="26" t="str">
        <f t="shared" si="187"/>
        <v/>
      </c>
      <c r="N1112" t="str">
        <f t="shared" si="188"/>
        <v/>
      </c>
      <c r="Q1112" t="str">
        <f t="shared" si="189"/>
        <v/>
      </c>
      <c r="S1112" t="str">
        <f>IF(A1112=1,MAX($S$2:$S1111)+1,IF(OR($I1112&lt;&gt;"",A1112="x"),$S1111,""))</f>
        <v/>
      </c>
      <c r="T1112" t="str">
        <f>IF(D1112=1,MAX($T$2:$T1111)+1,IF(S1112=S1111,$T1111,IF(D1112="x",T1111,IF(D1111="x","",""))))</f>
        <v/>
      </c>
      <c r="U1112" t="str">
        <f>IF(B1112=1,MAX($U$2:$U1111)+1,IF(AND($T1112&lt;&gt;"",$T1112=$T1111),$U1111,IF(B1112="x",U1111,"")))</f>
        <v/>
      </c>
      <c r="V1112" t="str">
        <f>IF(C1112=1,MAX($V$2:$V1111)+1,IF(AND($T1112&lt;&gt;"",$T1112=$T1111),$U1111,IF(C1112="x",V1111,"")))</f>
        <v/>
      </c>
      <c r="X1112" cm="1">
        <f t="array" ref="X1112">IF($I1112&lt;&gt;"",$I1112,INDEX($I$1:$I1112,ROW()-COUNTIFS($T$1:$T1112,"="&amp;$T1112,$S$1:$S1112,"&lt;"&amp;$S1112)))</f>
        <v>0</v>
      </c>
      <c r="Z1112" s="6">
        <f t="shared" si="182"/>
        <v>1</v>
      </c>
      <c r="AA1112" t="e">
        <f t="shared" si="183"/>
        <v>#VALUE!</v>
      </c>
      <c r="AB1112" t="str">
        <f t="shared" si="184"/>
        <v/>
      </c>
      <c r="AC1112" t="e">
        <f t="shared" si="185"/>
        <v>#VALUE!</v>
      </c>
    </row>
    <row r="1113" spans="1:29" x14ac:dyDescent="0.2">
      <c r="A1113" t="str">
        <f t="shared" si="186"/>
        <v/>
      </c>
      <c r="E1113" s="4"/>
      <c r="F1113" s="46"/>
      <c r="G1113" s="4"/>
      <c r="H1113" s="48"/>
      <c r="J1113" s="26" t="str">
        <f t="shared" si="187"/>
        <v/>
      </c>
      <c r="N1113" t="str">
        <f t="shared" si="188"/>
        <v/>
      </c>
      <c r="Q1113" t="str">
        <f t="shared" si="189"/>
        <v/>
      </c>
      <c r="S1113" t="str">
        <f>IF(A1113=1,MAX($S$2:$S1112)+1,IF(OR($I1113&lt;&gt;"",A1113="x"),$S1112,""))</f>
        <v/>
      </c>
      <c r="T1113" t="str">
        <f>IF(D1113=1,MAX($T$2:$T1112)+1,IF(S1113=S1112,$T1112,IF(D1113="x",T1112,IF(D1112="x","",""))))</f>
        <v/>
      </c>
      <c r="U1113" t="str">
        <f>IF(B1113=1,MAX($U$2:$U1112)+1,IF(AND($T1113&lt;&gt;"",$T1113=$T1112),$U1112,IF(B1113="x",U1112,"")))</f>
        <v/>
      </c>
      <c r="V1113" t="str">
        <f>IF(C1113=1,MAX($V$2:$V1112)+1,IF(AND($T1113&lt;&gt;"",$T1113=$T1112),$U1112,IF(C1113="x",V1112,"")))</f>
        <v/>
      </c>
      <c r="X1113" cm="1">
        <f t="array" ref="X1113">IF($I1113&lt;&gt;"",$I1113,INDEX($I$1:$I1113,ROW()-COUNTIFS($T$1:$T1113,"="&amp;$T1113,$S$1:$S1113,"&lt;"&amp;$S1113)))</f>
        <v>0</v>
      </c>
      <c r="Z1113" s="6">
        <f t="shared" si="182"/>
        <v>1</v>
      </c>
      <c r="AA1113" t="e">
        <f t="shared" si="183"/>
        <v>#VALUE!</v>
      </c>
      <c r="AB1113" t="str">
        <f t="shared" si="184"/>
        <v/>
      </c>
      <c r="AC1113" t="e">
        <f t="shared" si="185"/>
        <v>#VALUE!</v>
      </c>
    </row>
    <row r="1114" spans="1:29" x14ac:dyDescent="0.2">
      <c r="A1114" t="str">
        <f t="shared" si="186"/>
        <v/>
      </c>
      <c r="E1114" s="4"/>
      <c r="F1114" s="46"/>
      <c r="G1114" s="4"/>
      <c r="H1114" s="48"/>
      <c r="J1114" s="26" t="str">
        <f t="shared" si="187"/>
        <v/>
      </c>
      <c r="N1114" t="str">
        <f t="shared" si="188"/>
        <v/>
      </c>
      <c r="Q1114" t="str">
        <f t="shared" si="189"/>
        <v/>
      </c>
      <c r="S1114" t="str">
        <f>IF(A1114=1,MAX($S$2:$S1113)+1,IF(OR($I1114&lt;&gt;"",A1114="x"),$S1113,""))</f>
        <v/>
      </c>
      <c r="T1114" t="str">
        <f>IF(D1114=1,MAX($T$2:$T1113)+1,IF(S1114=S1113,$T1113,IF(D1114="x",T1113,IF(D1113="x","",""))))</f>
        <v/>
      </c>
      <c r="U1114" t="str">
        <f>IF(B1114=1,MAX($U$2:$U1113)+1,IF(AND($T1114&lt;&gt;"",$T1114=$T1113),$U1113,IF(B1114="x",U1113,"")))</f>
        <v/>
      </c>
      <c r="V1114" t="str">
        <f>IF(C1114=1,MAX($V$2:$V1113)+1,IF(AND($T1114&lt;&gt;"",$T1114=$T1113),$U1113,IF(C1114="x",V1113,"")))</f>
        <v/>
      </c>
      <c r="X1114" cm="1">
        <f t="array" ref="X1114">IF($I1114&lt;&gt;"",$I1114,INDEX($I$1:$I1114,ROW()-COUNTIFS($T$1:$T1114,"="&amp;$T1114,$S$1:$S1114,"&lt;"&amp;$S1114)))</f>
        <v>0</v>
      </c>
      <c r="Z1114" s="6">
        <f t="shared" si="182"/>
        <v>1</v>
      </c>
      <c r="AA1114" t="e">
        <f t="shared" si="183"/>
        <v>#VALUE!</v>
      </c>
      <c r="AB1114" t="str">
        <f t="shared" si="184"/>
        <v/>
      </c>
      <c r="AC1114" t="e">
        <f t="shared" si="185"/>
        <v>#VALUE!</v>
      </c>
    </row>
    <row r="1115" spans="1:29" x14ac:dyDescent="0.2">
      <c r="A1115" t="str">
        <f t="shared" si="186"/>
        <v/>
      </c>
      <c r="E1115" s="4"/>
      <c r="F1115" s="46"/>
      <c r="G1115" s="4"/>
      <c r="H1115" s="48"/>
      <c r="J1115" s="26" t="str">
        <f t="shared" si="187"/>
        <v/>
      </c>
      <c r="N1115" t="str">
        <f t="shared" si="188"/>
        <v/>
      </c>
      <c r="Q1115" t="str">
        <f t="shared" si="189"/>
        <v/>
      </c>
      <c r="S1115" t="str">
        <f>IF(A1115=1,MAX($S$2:$S1114)+1,IF(OR($I1115&lt;&gt;"",A1115="x"),$S1114,""))</f>
        <v/>
      </c>
      <c r="T1115" t="str">
        <f>IF(D1115=1,MAX($T$2:$T1114)+1,IF(S1115=S1114,$T1114,IF(D1115="x",T1114,IF(D1114="x","",""))))</f>
        <v/>
      </c>
      <c r="U1115" t="str">
        <f>IF(B1115=1,MAX($U$2:$U1114)+1,IF(AND($T1115&lt;&gt;"",$T1115=$T1114),$U1114,IF(B1115="x",U1114,"")))</f>
        <v/>
      </c>
      <c r="V1115" t="str">
        <f>IF(C1115=1,MAX($V$2:$V1114)+1,IF(AND($T1115&lt;&gt;"",$T1115=$T1114),$U1114,IF(C1115="x",V1114,"")))</f>
        <v/>
      </c>
      <c r="X1115" cm="1">
        <f t="array" ref="X1115">IF($I1115&lt;&gt;"",$I1115,INDEX($I$1:$I1115,ROW()-COUNTIFS($T$1:$T1115,"="&amp;$T1115,$S$1:$S1115,"&lt;"&amp;$S1115)))</f>
        <v>0</v>
      </c>
      <c r="Z1115" s="6">
        <f t="shared" si="182"/>
        <v>1</v>
      </c>
      <c r="AA1115" t="e">
        <f t="shared" si="183"/>
        <v>#VALUE!</v>
      </c>
      <c r="AB1115" t="str">
        <f t="shared" si="184"/>
        <v/>
      </c>
      <c r="AC1115" t="e">
        <f t="shared" si="185"/>
        <v>#VALUE!</v>
      </c>
    </row>
    <row r="1116" spans="1:29" x14ac:dyDescent="0.2">
      <c r="A1116" t="str">
        <f t="shared" si="186"/>
        <v/>
      </c>
      <c r="E1116" s="4"/>
      <c r="F1116" s="46"/>
      <c r="G1116" s="4"/>
      <c r="H1116" s="48"/>
      <c r="J1116" s="26" t="str">
        <f t="shared" si="187"/>
        <v/>
      </c>
      <c r="N1116" t="str">
        <f t="shared" si="188"/>
        <v/>
      </c>
      <c r="Q1116" t="str">
        <f t="shared" si="189"/>
        <v/>
      </c>
      <c r="S1116" t="str">
        <f>IF(A1116=1,MAX($S$2:$S1115)+1,IF(OR($I1116&lt;&gt;"",A1116="x"),$S1115,""))</f>
        <v/>
      </c>
      <c r="T1116" t="str">
        <f>IF(D1116=1,MAX($T$2:$T1115)+1,IF(S1116=S1115,$T1115,IF(D1116="x",T1115,IF(D1115="x","",""))))</f>
        <v/>
      </c>
      <c r="U1116" t="str">
        <f>IF(B1116=1,MAX($U$2:$U1115)+1,IF(AND($T1116&lt;&gt;"",$T1116=$T1115),$U1115,IF(B1116="x",U1115,"")))</f>
        <v/>
      </c>
      <c r="V1116" t="str">
        <f>IF(C1116=1,MAX($V$2:$V1115)+1,IF(AND($T1116&lt;&gt;"",$T1116=$T1115),$U1115,IF(C1116="x",V1115,"")))</f>
        <v/>
      </c>
      <c r="X1116" cm="1">
        <f t="array" ref="X1116">IF($I1116&lt;&gt;"",$I1116,INDEX($I$1:$I1116,ROW()-COUNTIFS($T$1:$T1116,"="&amp;$T1116,$S$1:$S1116,"&lt;"&amp;$S1116)))</f>
        <v>0</v>
      </c>
      <c r="Z1116" s="6">
        <f t="shared" si="182"/>
        <v>1</v>
      </c>
      <c r="AA1116" t="e">
        <f t="shared" si="183"/>
        <v>#VALUE!</v>
      </c>
      <c r="AB1116" t="str">
        <f t="shared" si="184"/>
        <v/>
      </c>
      <c r="AC1116" t="e">
        <f t="shared" si="185"/>
        <v>#VALUE!</v>
      </c>
    </row>
    <row r="1117" spans="1:29" x14ac:dyDescent="0.2">
      <c r="A1117" t="str">
        <f t="shared" si="186"/>
        <v/>
      </c>
      <c r="E1117" s="4"/>
      <c r="F1117" s="46"/>
      <c r="G1117" s="4"/>
      <c r="H1117" s="48"/>
      <c r="J1117" s="26" t="str">
        <f t="shared" si="187"/>
        <v/>
      </c>
      <c r="N1117" t="str">
        <f t="shared" si="188"/>
        <v/>
      </c>
      <c r="Q1117" t="str">
        <f t="shared" si="189"/>
        <v/>
      </c>
      <c r="S1117" t="str">
        <f>IF(A1117=1,MAX($S$2:$S1116)+1,IF(OR($I1117&lt;&gt;"",A1117="x"),$S1116,""))</f>
        <v/>
      </c>
      <c r="T1117" t="str">
        <f>IF(D1117=1,MAX($T$2:$T1116)+1,IF(S1117=S1116,$T1116,IF(D1117="x",T1116,IF(D1116="x","",""))))</f>
        <v/>
      </c>
      <c r="U1117" t="str">
        <f>IF(B1117=1,MAX($U$2:$U1116)+1,IF(AND($T1117&lt;&gt;"",$T1117=$T1116),$U1116,IF(B1117="x",U1116,"")))</f>
        <v/>
      </c>
      <c r="V1117" t="str">
        <f>IF(C1117=1,MAX($V$2:$V1116)+1,IF(AND($T1117&lt;&gt;"",$T1117=$T1116),$U1116,IF(C1117="x",V1116,"")))</f>
        <v/>
      </c>
      <c r="X1117" cm="1">
        <f t="array" ref="X1117">IF($I1117&lt;&gt;"",$I1117,INDEX($I$1:$I1117,ROW()-COUNTIFS($T$1:$T1117,"="&amp;$T1117,$S$1:$S1117,"&lt;"&amp;$S1117)))</f>
        <v>0</v>
      </c>
      <c r="Z1117" s="6">
        <f t="shared" si="182"/>
        <v>1</v>
      </c>
      <c r="AA1117" t="e">
        <f t="shared" si="183"/>
        <v>#VALUE!</v>
      </c>
      <c r="AB1117" t="str">
        <f t="shared" si="184"/>
        <v/>
      </c>
      <c r="AC1117" t="e">
        <f t="shared" si="185"/>
        <v>#VALUE!</v>
      </c>
    </row>
    <row r="1118" spans="1:29" x14ac:dyDescent="0.2">
      <c r="A1118" t="str">
        <f t="shared" si="186"/>
        <v/>
      </c>
      <c r="E1118" s="4"/>
      <c r="F1118" s="46"/>
      <c r="G1118" s="4"/>
      <c r="H1118" s="48"/>
      <c r="J1118" s="26" t="str">
        <f t="shared" si="187"/>
        <v/>
      </c>
      <c r="N1118" t="str">
        <f t="shared" si="188"/>
        <v/>
      </c>
      <c r="Q1118" t="str">
        <f t="shared" si="189"/>
        <v/>
      </c>
      <c r="S1118" t="str">
        <f>IF(A1118=1,MAX($S$2:$S1117)+1,IF(OR($I1118&lt;&gt;"",A1118="x"),$S1117,""))</f>
        <v/>
      </c>
      <c r="T1118" t="str">
        <f>IF(D1118=1,MAX($T$2:$T1117)+1,IF(S1118=S1117,$T1117,IF(D1118="x",T1117,IF(D1117="x","",""))))</f>
        <v/>
      </c>
      <c r="U1118" t="str">
        <f>IF(B1118=1,MAX($U$2:$U1117)+1,IF(AND($T1118&lt;&gt;"",$T1118=$T1117),$U1117,IF(B1118="x",U1117,"")))</f>
        <v/>
      </c>
      <c r="V1118" t="str">
        <f>IF(C1118=1,MAX($V$2:$V1117)+1,IF(AND($T1118&lt;&gt;"",$T1118=$T1117),$U1117,IF(C1118="x",V1117,"")))</f>
        <v/>
      </c>
      <c r="X1118" cm="1">
        <f t="array" ref="X1118">IF($I1118&lt;&gt;"",$I1118,INDEX($I$1:$I1118,ROW()-COUNTIFS($T$1:$T1118,"="&amp;$T1118,$S$1:$S1118,"&lt;"&amp;$S1118)))</f>
        <v>0</v>
      </c>
      <c r="Z1118" s="6">
        <f t="shared" si="182"/>
        <v>1</v>
      </c>
      <c r="AA1118" t="e">
        <f t="shared" si="183"/>
        <v>#VALUE!</v>
      </c>
      <c r="AB1118" t="str">
        <f t="shared" si="184"/>
        <v/>
      </c>
      <c r="AC1118" t="e">
        <f t="shared" si="185"/>
        <v>#VALUE!</v>
      </c>
    </row>
    <row r="1119" spans="1:29" x14ac:dyDescent="0.2">
      <c r="A1119" t="str">
        <f t="shared" si="186"/>
        <v/>
      </c>
      <c r="E1119" s="4"/>
      <c r="F1119" s="46"/>
      <c r="G1119" s="4"/>
      <c r="H1119" s="48"/>
      <c r="J1119" s="26" t="str">
        <f t="shared" si="187"/>
        <v/>
      </c>
      <c r="N1119" t="str">
        <f t="shared" si="188"/>
        <v/>
      </c>
      <c r="Q1119" t="str">
        <f t="shared" si="189"/>
        <v/>
      </c>
      <c r="S1119" t="str">
        <f>IF(A1119=1,MAX($S$2:$S1118)+1,IF(OR($I1119&lt;&gt;"",A1119="x"),$S1118,""))</f>
        <v/>
      </c>
      <c r="T1119" t="str">
        <f>IF(D1119=1,MAX($T$2:$T1118)+1,IF(S1119=S1118,$T1118,IF(D1119="x",T1118,IF(D1118="x","",""))))</f>
        <v/>
      </c>
      <c r="U1119" t="str">
        <f>IF(B1119=1,MAX($U$2:$U1118)+1,IF(AND($T1119&lt;&gt;"",$T1119=$T1118),$U1118,IF(B1119="x",U1118,"")))</f>
        <v/>
      </c>
      <c r="V1119" t="str">
        <f>IF(C1119=1,MAX($V$2:$V1118)+1,IF(AND($T1119&lt;&gt;"",$T1119=$T1118),$U1118,IF(C1119="x",V1118,"")))</f>
        <v/>
      </c>
      <c r="X1119" cm="1">
        <f t="array" ref="X1119">IF($I1119&lt;&gt;"",$I1119,INDEX($I$1:$I1119,ROW()-COUNTIFS($T$1:$T1119,"="&amp;$T1119,$S$1:$S1119,"&lt;"&amp;$S1119)))</f>
        <v>0</v>
      </c>
      <c r="Z1119" s="6">
        <f t="shared" si="182"/>
        <v>1</v>
      </c>
      <c r="AA1119" t="e">
        <f t="shared" si="183"/>
        <v>#VALUE!</v>
      </c>
      <c r="AB1119" t="str">
        <f t="shared" si="184"/>
        <v/>
      </c>
      <c r="AC1119" t="e">
        <f t="shared" si="185"/>
        <v>#VALUE!</v>
      </c>
    </row>
    <row r="1120" spans="1:29" x14ac:dyDescent="0.2">
      <c r="A1120" t="str">
        <f t="shared" si="186"/>
        <v/>
      </c>
      <c r="E1120" s="4"/>
      <c r="F1120" s="46"/>
      <c r="G1120" s="4"/>
      <c r="H1120" s="48"/>
      <c r="J1120" s="26" t="str">
        <f t="shared" si="187"/>
        <v/>
      </c>
      <c r="N1120" t="str">
        <f t="shared" si="188"/>
        <v/>
      </c>
      <c r="Q1120" t="str">
        <f t="shared" si="189"/>
        <v/>
      </c>
      <c r="S1120" t="str">
        <f>IF(A1120=1,MAX($S$2:$S1119)+1,IF(OR($I1120&lt;&gt;"",A1120="x"),$S1119,""))</f>
        <v/>
      </c>
      <c r="T1120" t="str">
        <f>IF(D1120=1,MAX($T$2:$T1119)+1,IF(S1120=S1119,$T1119,IF(D1120="x",T1119,IF(D1119="x","",""))))</f>
        <v/>
      </c>
      <c r="U1120" t="str">
        <f>IF(B1120=1,MAX($U$2:$U1119)+1,IF(AND($T1120&lt;&gt;"",$T1120=$T1119),$U1119,IF(B1120="x",U1119,"")))</f>
        <v/>
      </c>
      <c r="V1120" t="str">
        <f>IF(C1120=1,MAX($V$2:$V1119)+1,IF(AND($T1120&lt;&gt;"",$T1120=$T1119),$U1119,IF(C1120="x",V1119,"")))</f>
        <v/>
      </c>
      <c r="X1120" cm="1">
        <f t="array" ref="X1120">IF($I1120&lt;&gt;"",$I1120,INDEX($I$1:$I1120,ROW()-COUNTIFS($T$1:$T1120,"="&amp;$T1120,$S$1:$S1120,"&lt;"&amp;$S1120)))</f>
        <v>0</v>
      </c>
      <c r="Z1120" s="6">
        <f t="shared" si="182"/>
        <v>1</v>
      </c>
      <c r="AA1120" t="e">
        <f t="shared" si="183"/>
        <v>#VALUE!</v>
      </c>
      <c r="AB1120" t="str">
        <f t="shared" si="184"/>
        <v/>
      </c>
      <c r="AC1120" t="e">
        <f t="shared" si="185"/>
        <v>#VALUE!</v>
      </c>
    </row>
    <row r="1121" spans="1:29" x14ac:dyDescent="0.2">
      <c r="A1121" t="str">
        <f t="shared" si="186"/>
        <v/>
      </c>
      <c r="E1121" s="4"/>
      <c r="F1121" s="46"/>
      <c r="G1121" s="4"/>
      <c r="H1121" s="48"/>
      <c r="J1121" s="26" t="str">
        <f t="shared" si="187"/>
        <v/>
      </c>
      <c r="N1121" t="str">
        <f t="shared" si="188"/>
        <v/>
      </c>
      <c r="Q1121" t="str">
        <f t="shared" si="189"/>
        <v/>
      </c>
      <c r="S1121" t="str">
        <f>IF(A1121=1,MAX($S$2:$S1120)+1,IF(OR($I1121&lt;&gt;"",A1121="x"),$S1120,""))</f>
        <v/>
      </c>
      <c r="T1121" t="str">
        <f>IF(D1121=1,MAX($T$2:$T1120)+1,IF(S1121=S1120,$T1120,IF(D1121="x",T1120,IF(D1120="x","",""))))</f>
        <v/>
      </c>
      <c r="U1121" t="str">
        <f>IF(B1121=1,MAX($U$2:$U1120)+1,IF(AND($T1121&lt;&gt;"",$T1121=$T1120),$U1120,IF(B1121="x",U1120,"")))</f>
        <v/>
      </c>
      <c r="V1121" t="str">
        <f>IF(C1121=1,MAX($V$2:$V1120)+1,IF(AND($T1121&lt;&gt;"",$T1121=$T1120),$U1120,IF(C1121="x",V1120,"")))</f>
        <v/>
      </c>
      <c r="X1121" cm="1">
        <f t="array" ref="X1121">IF($I1121&lt;&gt;"",$I1121,INDEX($I$1:$I1121,ROW()-COUNTIFS($T$1:$T1121,"="&amp;$T1121,$S$1:$S1121,"&lt;"&amp;$S1121)))</f>
        <v>0</v>
      </c>
      <c r="Z1121" s="6">
        <f t="shared" si="182"/>
        <v>1</v>
      </c>
      <c r="AA1121" t="e">
        <f t="shared" si="183"/>
        <v>#VALUE!</v>
      </c>
      <c r="AB1121" t="str">
        <f t="shared" si="184"/>
        <v/>
      </c>
      <c r="AC1121" t="e">
        <f t="shared" si="185"/>
        <v>#VALUE!</v>
      </c>
    </row>
    <row r="1122" spans="1:29" x14ac:dyDescent="0.2">
      <c r="A1122" t="str">
        <f t="shared" si="186"/>
        <v/>
      </c>
      <c r="E1122" s="4"/>
      <c r="F1122" s="46"/>
      <c r="G1122" s="4"/>
      <c r="H1122" s="48"/>
      <c r="J1122" s="26" t="str">
        <f t="shared" si="187"/>
        <v/>
      </c>
      <c r="N1122" t="str">
        <f t="shared" si="188"/>
        <v/>
      </c>
      <c r="Q1122" t="str">
        <f t="shared" si="189"/>
        <v/>
      </c>
      <c r="S1122" t="str">
        <f>IF(A1122=1,MAX($S$2:$S1121)+1,IF(OR($I1122&lt;&gt;"",A1122="x"),$S1121,""))</f>
        <v/>
      </c>
      <c r="T1122" t="str">
        <f>IF(D1122=1,MAX($T$2:$T1121)+1,IF(S1122=S1121,$T1121,IF(D1122="x",T1121,IF(D1121="x","",""))))</f>
        <v/>
      </c>
      <c r="U1122" t="str">
        <f>IF(B1122=1,MAX($U$2:$U1121)+1,IF(AND($T1122&lt;&gt;"",$T1122=$T1121),$U1121,IF(B1122="x",U1121,"")))</f>
        <v/>
      </c>
      <c r="V1122" t="str">
        <f>IF(C1122=1,MAX($V$2:$V1121)+1,IF(AND($T1122&lt;&gt;"",$T1122=$T1121),$U1121,IF(C1122="x",V1121,"")))</f>
        <v/>
      </c>
      <c r="X1122" cm="1">
        <f t="array" ref="X1122">IF($I1122&lt;&gt;"",$I1122,INDEX($I$1:$I1122,ROW()-COUNTIFS($T$1:$T1122,"="&amp;$T1122,$S$1:$S1122,"&lt;"&amp;$S1122)))</f>
        <v>0</v>
      </c>
      <c r="Z1122" s="6">
        <f t="shared" si="182"/>
        <v>1</v>
      </c>
      <c r="AA1122" t="e">
        <f t="shared" si="183"/>
        <v>#VALUE!</v>
      </c>
      <c r="AB1122" t="str">
        <f t="shared" si="184"/>
        <v/>
      </c>
      <c r="AC1122" t="e">
        <f t="shared" si="185"/>
        <v>#VALUE!</v>
      </c>
    </row>
    <row r="1123" spans="1:29" x14ac:dyDescent="0.2">
      <c r="A1123" t="str">
        <f t="shared" si="186"/>
        <v/>
      </c>
      <c r="E1123" s="4"/>
      <c r="F1123" s="46"/>
      <c r="G1123" s="4"/>
      <c r="H1123" s="48"/>
      <c r="J1123" s="26" t="str">
        <f t="shared" si="187"/>
        <v/>
      </c>
      <c r="N1123" t="str">
        <f t="shared" si="188"/>
        <v/>
      </c>
      <c r="Q1123" t="str">
        <f t="shared" si="189"/>
        <v/>
      </c>
      <c r="S1123" t="str">
        <f>IF(A1123=1,MAX($S$2:$S1122)+1,IF(OR($I1123&lt;&gt;"",A1123="x"),$S1122,""))</f>
        <v/>
      </c>
      <c r="T1123" t="str">
        <f>IF(D1123=1,MAX($T$2:$T1122)+1,IF(S1123=S1122,$T1122,IF(D1123="x",T1122,IF(D1122="x","",""))))</f>
        <v/>
      </c>
      <c r="U1123" t="str">
        <f>IF(B1123=1,MAX($U$2:$U1122)+1,IF(AND($T1123&lt;&gt;"",$T1123=$T1122),$U1122,IF(B1123="x",U1122,"")))</f>
        <v/>
      </c>
      <c r="V1123" t="str">
        <f>IF(C1123=1,MAX($V$2:$V1122)+1,IF(AND($T1123&lt;&gt;"",$T1123=$T1122),$U1122,IF(C1123="x",V1122,"")))</f>
        <v/>
      </c>
      <c r="X1123" cm="1">
        <f t="array" ref="X1123">IF($I1123&lt;&gt;"",$I1123,INDEX($I$1:$I1123,ROW()-COUNTIFS($T$1:$T1123,"="&amp;$T1123,$S$1:$S1123,"&lt;"&amp;$S1123)))</f>
        <v>0</v>
      </c>
      <c r="Z1123" s="6">
        <f t="shared" si="182"/>
        <v>1</v>
      </c>
      <c r="AA1123" t="e">
        <f t="shared" si="183"/>
        <v>#VALUE!</v>
      </c>
      <c r="AB1123" t="str">
        <f t="shared" si="184"/>
        <v/>
      </c>
      <c r="AC1123" t="e">
        <f t="shared" si="185"/>
        <v>#VALUE!</v>
      </c>
    </row>
    <row r="1124" spans="1:29" x14ac:dyDescent="0.2">
      <c r="A1124" t="str">
        <f t="shared" si="186"/>
        <v/>
      </c>
      <c r="E1124" s="4"/>
      <c r="F1124" s="46"/>
      <c r="G1124" s="4"/>
      <c r="H1124" s="48"/>
      <c r="J1124" s="26" t="str">
        <f t="shared" si="187"/>
        <v/>
      </c>
      <c r="N1124" t="str">
        <f t="shared" si="188"/>
        <v/>
      </c>
      <c r="Q1124" t="str">
        <f t="shared" si="189"/>
        <v/>
      </c>
      <c r="S1124" t="str">
        <f>IF(A1124=1,MAX($S$2:$S1123)+1,IF(OR($I1124&lt;&gt;"",A1124="x"),$S1123,""))</f>
        <v/>
      </c>
      <c r="T1124" t="str">
        <f>IF(D1124=1,MAX($T$2:$T1123)+1,IF(S1124=S1123,$T1123,IF(D1124="x",T1123,IF(D1123="x","",""))))</f>
        <v/>
      </c>
      <c r="U1124" t="str">
        <f>IF(B1124=1,MAX($U$2:$U1123)+1,IF(AND($T1124&lt;&gt;"",$T1124=$T1123),$U1123,IF(B1124="x",U1123,"")))</f>
        <v/>
      </c>
      <c r="V1124" t="str">
        <f>IF(C1124=1,MAX($V$2:$V1123)+1,IF(AND($T1124&lt;&gt;"",$T1124=$T1123),$U1123,IF(C1124="x",V1123,"")))</f>
        <v/>
      </c>
      <c r="X1124" cm="1">
        <f t="array" ref="X1124">IF($I1124&lt;&gt;"",$I1124,INDEX($I$1:$I1124,ROW()-COUNTIFS($T$1:$T1124,"="&amp;$T1124,$S$1:$S1124,"&lt;"&amp;$S1124)))</f>
        <v>0</v>
      </c>
      <c r="Z1124" s="6">
        <f t="shared" si="182"/>
        <v>1</v>
      </c>
      <c r="AA1124" t="e">
        <f t="shared" si="183"/>
        <v>#VALUE!</v>
      </c>
      <c r="AB1124" t="str">
        <f t="shared" si="184"/>
        <v/>
      </c>
      <c r="AC1124" t="e">
        <f t="shared" si="185"/>
        <v>#VALUE!</v>
      </c>
    </row>
    <row r="1125" spans="1:29" x14ac:dyDescent="0.2">
      <c r="A1125" t="str">
        <f t="shared" si="186"/>
        <v/>
      </c>
      <c r="E1125" s="4"/>
      <c r="F1125" s="46"/>
      <c r="G1125" s="4"/>
      <c r="H1125" s="48"/>
      <c r="J1125" s="26" t="str">
        <f t="shared" si="187"/>
        <v/>
      </c>
      <c r="N1125" t="str">
        <f t="shared" si="188"/>
        <v/>
      </c>
      <c r="Q1125" t="str">
        <f t="shared" si="189"/>
        <v/>
      </c>
      <c r="S1125" t="str">
        <f>IF(A1125=1,MAX($S$2:$S1124)+1,IF(OR($I1125&lt;&gt;"",A1125="x"),$S1124,""))</f>
        <v/>
      </c>
      <c r="T1125" t="str">
        <f>IF(D1125=1,MAX($T$2:$T1124)+1,IF(S1125=S1124,$T1124,IF(D1125="x",T1124,IF(D1124="x","",""))))</f>
        <v/>
      </c>
      <c r="U1125" t="str">
        <f>IF(B1125=1,MAX($U$2:$U1124)+1,IF(AND($T1125&lt;&gt;"",$T1125=$T1124),$U1124,IF(B1125="x",U1124,"")))</f>
        <v/>
      </c>
      <c r="V1125" t="str">
        <f>IF(C1125=1,MAX($V$2:$V1124)+1,IF(AND($T1125&lt;&gt;"",$T1125=$T1124),$U1124,IF(C1125="x",V1124,"")))</f>
        <v/>
      </c>
      <c r="X1125" cm="1">
        <f t="array" ref="X1125">IF($I1125&lt;&gt;"",$I1125,INDEX($I$1:$I1125,ROW()-COUNTIFS($T$1:$T1125,"="&amp;$T1125,$S$1:$S1125,"&lt;"&amp;$S1125)))</f>
        <v>0</v>
      </c>
      <c r="Z1125" s="6">
        <f t="shared" si="182"/>
        <v>1</v>
      </c>
      <c r="AA1125" t="e">
        <f t="shared" si="183"/>
        <v>#VALUE!</v>
      </c>
      <c r="AB1125" t="str">
        <f t="shared" si="184"/>
        <v/>
      </c>
      <c r="AC1125" t="e">
        <f t="shared" si="185"/>
        <v>#VALUE!</v>
      </c>
    </row>
    <row r="1126" spans="1:29" x14ac:dyDescent="0.2">
      <c r="A1126" t="str">
        <f t="shared" si="186"/>
        <v/>
      </c>
      <c r="E1126" s="4"/>
      <c r="F1126" s="46"/>
      <c r="G1126" s="4"/>
      <c r="H1126" s="48"/>
      <c r="J1126" s="26" t="str">
        <f t="shared" si="187"/>
        <v/>
      </c>
      <c r="N1126" t="str">
        <f t="shared" si="188"/>
        <v/>
      </c>
      <c r="Q1126" t="str">
        <f t="shared" si="189"/>
        <v/>
      </c>
      <c r="S1126" t="str">
        <f>IF(A1126=1,MAX($S$2:$S1125)+1,IF(OR($I1126&lt;&gt;"",A1126="x"),$S1125,""))</f>
        <v/>
      </c>
      <c r="T1126" t="str">
        <f>IF(D1126=1,MAX($T$2:$T1125)+1,IF(S1126=S1125,$T1125,IF(D1126="x",T1125,IF(D1125="x","",""))))</f>
        <v/>
      </c>
      <c r="U1126" t="str">
        <f>IF(B1126=1,MAX($U$2:$U1125)+1,IF(AND($T1126&lt;&gt;"",$T1126=$T1125),$U1125,IF(B1126="x",U1125,"")))</f>
        <v/>
      </c>
      <c r="V1126" t="str">
        <f>IF(C1126=1,MAX($V$2:$V1125)+1,IF(AND($T1126&lt;&gt;"",$T1126=$T1125),$U1125,IF(C1126="x",V1125,"")))</f>
        <v/>
      </c>
      <c r="X1126" cm="1">
        <f t="array" ref="X1126">IF($I1126&lt;&gt;"",$I1126,INDEX($I$1:$I1126,ROW()-COUNTIFS($T$1:$T1126,"="&amp;$T1126,$S$1:$S1126,"&lt;"&amp;$S1126)))</f>
        <v>0</v>
      </c>
      <c r="Z1126" s="6">
        <f t="shared" si="182"/>
        <v>1</v>
      </c>
      <c r="AA1126" t="e">
        <f t="shared" si="183"/>
        <v>#VALUE!</v>
      </c>
      <c r="AB1126" t="str">
        <f t="shared" si="184"/>
        <v/>
      </c>
      <c r="AC1126" t="e">
        <f t="shared" si="185"/>
        <v>#VALUE!</v>
      </c>
    </row>
    <row r="1127" spans="1:29" x14ac:dyDescent="0.2">
      <c r="A1127" t="str">
        <f t="shared" si="186"/>
        <v/>
      </c>
      <c r="E1127" s="4"/>
      <c r="F1127" s="46"/>
      <c r="G1127" s="4"/>
      <c r="H1127" s="48"/>
      <c r="J1127" s="26" t="str">
        <f t="shared" si="187"/>
        <v/>
      </c>
      <c r="N1127" t="str">
        <f t="shared" si="188"/>
        <v/>
      </c>
      <c r="Q1127" t="str">
        <f t="shared" si="189"/>
        <v/>
      </c>
      <c r="S1127" t="str">
        <f>IF(A1127=1,MAX($S$2:$S1126)+1,IF(OR($I1127&lt;&gt;"",A1127="x"),$S1126,""))</f>
        <v/>
      </c>
      <c r="T1127" t="str">
        <f>IF(D1127=1,MAX($T$2:$T1126)+1,IF(S1127=S1126,$T1126,IF(D1127="x",T1126,IF(D1126="x","",""))))</f>
        <v/>
      </c>
      <c r="U1127" t="str">
        <f>IF(B1127=1,MAX($U$2:$U1126)+1,IF(AND($T1127&lt;&gt;"",$T1127=$T1126),$U1126,IF(B1127="x",U1126,"")))</f>
        <v/>
      </c>
      <c r="V1127" t="str">
        <f>IF(C1127=1,MAX($V$2:$V1126)+1,IF(AND($T1127&lt;&gt;"",$T1127=$T1126),$U1126,IF(C1127="x",V1126,"")))</f>
        <v/>
      </c>
      <c r="X1127" cm="1">
        <f t="array" ref="X1127">IF($I1127&lt;&gt;"",$I1127,INDEX($I$1:$I1127,ROW()-COUNTIFS($T$1:$T1127,"="&amp;$T1127,$S$1:$S1127,"&lt;"&amp;$S1127)))</f>
        <v>0</v>
      </c>
      <c r="Z1127" s="6">
        <f t="shared" si="182"/>
        <v>1</v>
      </c>
      <c r="AA1127" t="e">
        <f t="shared" si="183"/>
        <v>#VALUE!</v>
      </c>
      <c r="AB1127" t="str">
        <f t="shared" si="184"/>
        <v/>
      </c>
      <c r="AC1127" t="e">
        <f t="shared" si="185"/>
        <v>#VALUE!</v>
      </c>
    </row>
    <row r="1128" spans="1:29" x14ac:dyDescent="0.2">
      <c r="A1128" t="str">
        <f t="shared" si="186"/>
        <v/>
      </c>
      <c r="E1128" s="4"/>
      <c r="F1128" s="46"/>
      <c r="G1128" s="4"/>
      <c r="H1128" s="48"/>
      <c r="J1128" s="26" t="str">
        <f t="shared" si="187"/>
        <v/>
      </c>
      <c r="N1128" t="str">
        <f t="shared" si="188"/>
        <v/>
      </c>
      <c r="Q1128" t="str">
        <f t="shared" si="189"/>
        <v/>
      </c>
      <c r="S1128" t="str">
        <f>IF(A1128=1,MAX($S$2:$S1127)+1,IF(OR($I1128&lt;&gt;"",A1128="x"),$S1127,""))</f>
        <v/>
      </c>
      <c r="T1128" t="str">
        <f>IF(D1128=1,MAX($T$2:$T1127)+1,IF(S1128=S1127,$T1127,IF(D1128="x",T1127,IF(D1127="x","",""))))</f>
        <v/>
      </c>
      <c r="U1128" t="str">
        <f>IF(B1128=1,MAX($U$2:$U1127)+1,IF(AND($T1128&lt;&gt;"",$T1128=$T1127),$U1127,IF(B1128="x",U1127,"")))</f>
        <v/>
      </c>
      <c r="V1128" t="str">
        <f>IF(C1128=1,MAX($V$2:$V1127)+1,IF(AND($T1128&lt;&gt;"",$T1128=$T1127),$U1127,IF(C1128="x",V1127,"")))</f>
        <v/>
      </c>
      <c r="X1128" cm="1">
        <f t="array" ref="X1128">IF($I1128&lt;&gt;"",$I1128,INDEX($I$1:$I1128,ROW()-COUNTIFS($T$1:$T1128,"="&amp;$T1128,$S$1:$S1128,"&lt;"&amp;$S1128)))</f>
        <v>0</v>
      </c>
      <c r="Z1128" s="6">
        <f t="shared" si="182"/>
        <v>1</v>
      </c>
      <c r="AA1128" t="e">
        <f t="shared" si="183"/>
        <v>#VALUE!</v>
      </c>
      <c r="AB1128" t="str">
        <f t="shared" si="184"/>
        <v/>
      </c>
      <c r="AC1128" t="e">
        <f t="shared" si="185"/>
        <v>#VALUE!</v>
      </c>
    </row>
    <row r="1129" spans="1:29" x14ac:dyDescent="0.2">
      <c r="A1129" t="str">
        <f t="shared" si="186"/>
        <v/>
      </c>
      <c r="E1129" s="4"/>
      <c r="F1129" s="46"/>
      <c r="G1129" s="4"/>
      <c r="H1129" s="48"/>
      <c r="J1129" s="26" t="str">
        <f t="shared" si="187"/>
        <v/>
      </c>
      <c r="N1129" t="str">
        <f t="shared" si="188"/>
        <v/>
      </c>
      <c r="Q1129" t="str">
        <f t="shared" si="189"/>
        <v/>
      </c>
      <c r="S1129" t="str">
        <f>IF(A1129=1,MAX($S$2:$S1128)+1,IF(OR($I1129&lt;&gt;"",A1129="x"),$S1128,""))</f>
        <v/>
      </c>
      <c r="T1129" t="str">
        <f>IF(D1129=1,MAX($T$2:$T1128)+1,IF(S1129=S1128,$T1128,IF(D1129="x",T1128,IF(D1128="x","",""))))</f>
        <v/>
      </c>
      <c r="U1129" t="str">
        <f>IF(B1129=1,MAX($U$2:$U1128)+1,IF(AND($T1129&lt;&gt;"",$T1129=$T1128),$U1128,IF(B1129="x",U1128,"")))</f>
        <v/>
      </c>
      <c r="V1129" t="str">
        <f>IF(C1129=1,MAX($V$2:$V1128)+1,IF(AND($T1129&lt;&gt;"",$T1129=$T1128),$U1128,IF(C1129="x",V1128,"")))</f>
        <v/>
      </c>
      <c r="X1129" cm="1">
        <f t="array" ref="X1129">IF($I1129&lt;&gt;"",$I1129,INDEX($I$1:$I1129,ROW()-COUNTIFS($T$1:$T1129,"="&amp;$T1129,$S$1:$S1129,"&lt;"&amp;$S1129)))</f>
        <v>0</v>
      </c>
      <c r="Z1129" s="6">
        <f t="shared" si="182"/>
        <v>1</v>
      </c>
      <c r="AA1129" t="e">
        <f t="shared" si="183"/>
        <v>#VALUE!</v>
      </c>
      <c r="AB1129" t="str">
        <f t="shared" si="184"/>
        <v/>
      </c>
      <c r="AC1129" t="e">
        <f t="shared" si="185"/>
        <v>#VALUE!</v>
      </c>
    </row>
    <row r="1130" spans="1:29" x14ac:dyDescent="0.2">
      <c r="A1130" t="str">
        <f t="shared" si="186"/>
        <v/>
      </c>
      <c r="E1130" s="4"/>
      <c r="F1130" s="46"/>
      <c r="G1130" s="4"/>
      <c r="H1130" s="48"/>
      <c r="J1130" s="26" t="str">
        <f t="shared" si="187"/>
        <v/>
      </c>
      <c r="N1130" t="str">
        <f t="shared" si="188"/>
        <v/>
      </c>
      <c r="Q1130" t="str">
        <f t="shared" si="189"/>
        <v/>
      </c>
      <c r="S1130" t="str">
        <f>IF(A1130=1,MAX($S$2:$S1129)+1,IF(OR($I1130&lt;&gt;"",A1130="x"),$S1129,""))</f>
        <v/>
      </c>
      <c r="T1130" t="str">
        <f>IF(D1130=1,MAX($T$2:$T1129)+1,IF(S1130=S1129,$T1129,IF(D1130="x",T1129,IF(D1129="x","",""))))</f>
        <v/>
      </c>
      <c r="U1130" t="str">
        <f>IF(B1130=1,MAX($U$2:$U1129)+1,IF(AND($T1130&lt;&gt;"",$T1130=$T1129),$U1129,IF(B1130="x",U1129,"")))</f>
        <v/>
      </c>
      <c r="V1130" t="str">
        <f>IF(C1130=1,MAX($V$2:$V1129)+1,IF(AND($T1130&lt;&gt;"",$T1130=$T1129),$U1129,IF(C1130="x",V1129,"")))</f>
        <v/>
      </c>
      <c r="X1130" cm="1">
        <f t="array" ref="X1130">IF($I1130&lt;&gt;"",$I1130,INDEX($I$1:$I1130,ROW()-COUNTIFS($T$1:$T1130,"="&amp;$T1130,$S$1:$S1130,"&lt;"&amp;$S1130)))</f>
        <v>0</v>
      </c>
      <c r="Z1130" s="6">
        <f t="shared" si="182"/>
        <v>1</v>
      </c>
      <c r="AA1130" t="e">
        <f t="shared" si="183"/>
        <v>#VALUE!</v>
      </c>
      <c r="AB1130" t="str">
        <f t="shared" si="184"/>
        <v/>
      </c>
      <c r="AC1130" t="e">
        <f t="shared" si="185"/>
        <v>#VALUE!</v>
      </c>
    </row>
    <row r="1131" spans="1:29" x14ac:dyDescent="0.2">
      <c r="A1131" t="str">
        <f t="shared" si="186"/>
        <v/>
      </c>
      <c r="E1131" s="4"/>
      <c r="F1131" s="46"/>
      <c r="G1131" s="4"/>
      <c r="H1131" s="48"/>
      <c r="J1131" s="26" t="str">
        <f t="shared" si="187"/>
        <v/>
      </c>
      <c r="N1131" t="str">
        <f t="shared" si="188"/>
        <v/>
      </c>
      <c r="Q1131" t="str">
        <f t="shared" si="189"/>
        <v/>
      </c>
      <c r="S1131" t="str">
        <f>IF(A1131=1,MAX($S$2:$S1130)+1,IF(OR($I1131&lt;&gt;"",A1131="x"),$S1130,""))</f>
        <v/>
      </c>
      <c r="T1131" t="str">
        <f>IF(D1131=1,MAX($T$2:$T1130)+1,IF(S1131=S1130,$T1130,IF(D1131="x",T1130,IF(D1130="x","",""))))</f>
        <v/>
      </c>
      <c r="U1131" t="str">
        <f>IF(B1131=1,MAX($U$2:$U1130)+1,IF(AND($T1131&lt;&gt;"",$T1131=$T1130),$U1130,IF(B1131="x",U1130,"")))</f>
        <v/>
      </c>
      <c r="V1131" t="str">
        <f>IF(C1131=1,MAX($V$2:$V1130)+1,IF(AND($T1131&lt;&gt;"",$T1131=$T1130),$U1130,IF(C1131="x",V1130,"")))</f>
        <v/>
      </c>
      <c r="X1131" cm="1">
        <f t="array" ref="X1131">IF($I1131&lt;&gt;"",$I1131,INDEX($I$1:$I1131,ROW()-COUNTIFS($T$1:$T1131,"="&amp;$T1131,$S$1:$S1131,"&lt;"&amp;$S1131)))</f>
        <v>0</v>
      </c>
      <c r="Z1131" s="6">
        <f t="shared" si="182"/>
        <v>1</v>
      </c>
      <c r="AA1131" t="e">
        <f t="shared" si="183"/>
        <v>#VALUE!</v>
      </c>
      <c r="AB1131" t="str">
        <f t="shared" si="184"/>
        <v/>
      </c>
      <c r="AC1131" t="e">
        <f t="shared" si="185"/>
        <v>#VALUE!</v>
      </c>
    </row>
    <row r="1132" spans="1:29" x14ac:dyDescent="0.2">
      <c r="A1132" t="str">
        <f t="shared" si="186"/>
        <v/>
      </c>
      <c r="E1132" s="4"/>
      <c r="F1132" s="46"/>
      <c r="G1132" s="4"/>
      <c r="H1132" s="48"/>
      <c r="J1132" s="26" t="str">
        <f t="shared" si="187"/>
        <v/>
      </c>
      <c r="N1132" t="str">
        <f t="shared" si="188"/>
        <v/>
      </c>
      <c r="Q1132" t="str">
        <f t="shared" si="189"/>
        <v/>
      </c>
      <c r="S1132" t="str">
        <f>IF(A1132=1,MAX($S$2:$S1131)+1,IF(OR($I1132&lt;&gt;"",A1132="x"),$S1131,""))</f>
        <v/>
      </c>
      <c r="T1132" t="str">
        <f>IF(D1132=1,MAX($T$2:$T1131)+1,IF(S1132=S1131,$T1131,IF(D1132="x",T1131,IF(D1131="x","",""))))</f>
        <v/>
      </c>
      <c r="U1132" t="str">
        <f>IF(B1132=1,MAX($U$2:$U1131)+1,IF(AND($T1132&lt;&gt;"",$T1132=$T1131),$U1131,IF(B1132="x",U1131,"")))</f>
        <v/>
      </c>
      <c r="V1132" t="str">
        <f>IF(C1132=1,MAX($V$2:$V1131)+1,IF(AND($T1132&lt;&gt;"",$T1132=$T1131),$U1131,IF(C1132="x",V1131,"")))</f>
        <v/>
      </c>
      <c r="X1132" cm="1">
        <f t="array" ref="X1132">IF($I1132&lt;&gt;"",$I1132,INDEX($I$1:$I1132,ROW()-COUNTIFS($T$1:$T1132,"="&amp;$T1132,$S$1:$S1132,"&lt;"&amp;$S1132)))</f>
        <v>0</v>
      </c>
      <c r="Z1132" s="6">
        <f t="shared" si="182"/>
        <v>1</v>
      </c>
      <c r="AA1132" t="e">
        <f t="shared" si="183"/>
        <v>#VALUE!</v>
      </c>
      <c r="AB1132" t="str">
        <f t="shared" si="184"/>
        <v/>
      </c>
      <c r="AC1132" t="e">
        <f t="shared" si="185"/>
        <v>#VALUE!</v>
      </c>
    </row>
    <row r="1133" spans="1:29" x14ac:dyDescent="0.2">
      <c r="A1133" t="str">
        <f t="shared" si="186"/>
        <v/>
      </c>
      <c r="E1133" s="4"/>
      <c r="F1133" s="46"/>
      <c r="G1133" s="4"/>
      <c r="H1133" s="48"/>
      <c r="J1133" s="26" t="str">
        <f t="shared" si="187"/>
        <v/>
      </c>
      <c r="N1133" t="str">
        <f t="shared" si="188"/>
        <v/>
      </c>
      <c r="Q1133" t="str">
        <f t="shared" si="189"/>
        <v/>
      </c>
      <c r="S1133" t="str">
        <f>IF(A1133=1,MAX($S$2:$S1132)+1,IF(OR($I1133&lt;&gt;"",A1133="x"),$S1132,""))</f>
        <v/>
      </c>
      <c r="T1133" t="str">
        <f>IF(D1133=1,MAX($T$2:$T1132)+1,IF(S1133=S1132,$T1132,IF(D1133="x",T1132,IF(D1132="x","",""))))</f>
        <v/>
      </c>
      <c r="U1133" t="str">
        <f>IF(B1133=1,MAX($U$2:$U1132)+1,IF(AND($T1133&lt;&gt;"",$T1133=$T1132),$U1132,IF(B1133="x",U1132,"")))</f>
        <v/>
      </c>
      <c r="V1133" t="str">
        <f>IF(C1133=1,MAX($V$2:$V1132)+1,IF(AND($T1133&lt;&gt;"",$T1133=$T1132),$U1132,IF(C1133="x",V1132,"")))</f>
        <v/>
      </c>
      <c r="X1133" cm="1">
        <f t="array" ref="X1133">IF($I1133&lt;&gt;"",$I1133,INDEX($I$1:$I1133,ROW()-COUNTIFS($T$1:$T1133,"="&amp;$T1133,$S$1:$S1133,"&lt;"&amp;$S1133)))</f>
        <v>0</v>
      </c>
      <c r="Z1133" s="6">
        <f t="shared" si="182"/>
        <v>1</v>
      </c>
      <c r="AA1133" t="e">
        <f t="shared" si="183"/>
        <v>#VALUE!</v>
      </c>
      <c r="AB1133" t="str">
        <f t="shared" si="184"/>
        <v/>
      </c>
      <c r="AC1133" t="e">
        <f t="shared" si="185"/>
        <v>#VALUE!</v>
      </c>
    </row>
    <row r="1134" spans="1:29" x14ac:dyDescent="0.2">
      <c r="A1134" t="str">
        <f t="shared" si="186"/>
        <v/>
      </c>
      <c r="E1134" s="4"/>
      <c r="F1134" s="46"/>
      <c r="G1134" s="4"/>
      <c r="H1134" s="48"/>
      <c r="J1134" s="26" t="str">
        <f t="shared" si="187"/>
        <v/>
      </c>
      <c r="N1134" t="str">
        <f t="shared" si="188"/>
        <v/>
      </c>
      <c r="Q1134" t="str">
        <f t="shared" si="189"/>
        <v/>
      </c>
      <c r="S1134" t="str">
        <f>IF(A1134=1,MAX($S$2:$S1133)+1,IF(OR($I1134&lt;&gt;"",A1134="x"),$S1133,""))</f>
        <v/>
      </c>
      <c r="T1134" t="str">
        <f>IF(D1134=1,MAX($T$2:$T1133)+1,IF(S1134=S1133,$T1133,IF(D1134="x",T1133,IF(D1133="x","",""))))</f>
        <v/>
      </c>
      <c r="U1134" t="str">
        <f>IF(B1134=1,MAX($U$2:$U1133)+1,IF(AND($T1134&lt;&gt;"",$T1134=$T1133),$U1133,IF(B1134="x",U1133,"")))</f>
        <v/>
      </c>
      <c r="V1134" t="str">
        <f>IF(C1134=1,MAX($V$2:$V1133)+1,IF(AND($T1134&lt;&gt;"",$T1134=$T1133),$U1133,IF(C1134="x",V1133,"")))</f>
        <v/>
      </c>
      <c r="X1134" cm="1">
        <f t="array" ref="X1134">IF($I1134&lt;&gt;"",$I1134,INDEX($I$1:$I1134,ROW()-COUNTIFS($T$1:$T1134,"="&amp;$T1134,$S$1:$S1134,"&lt;"&amp;$S1134)))</f>
        <v>0</v>
      </c>
      <c r="Z1134" s="6">
        <f t="shared" si="182"/>
        <v>1</v>
      </c>
      <c r="AA1134" t="e">
        <f t="shared" si="183"/>
        <v>#VALUE!</v>
      </c>
      <c r="AB1134" t="str">
        <f t="shared" si="184"/>
        <v/>
      </c>
      <c r="AC1134" t="e">
        <f t="shared" si="185"/>
        <v>#VALUE!</v>
      </c>
    </row>
    <row r="1135" spans="1:29" x14ac:dyDescent="0.2">
      <c r="A1135" t="str">
        <f t="shared" si="186"/>
        <v/>
      </c>
      <c r="E1135" s="4"/>
      <c r="F1135" s="46"/>
      <c r="G1135" s="4"/>
      <c r="H1135" s="48"/>
      <c r="J1135" s="26" t="str">
        <f t="shared" si="187"/>
        <v/>
      </c>
      <c r="N1135" t="str">
        <f t="shared" si="188"/>
        <v/>
      </c>
      <c r="Q1135" t="str">
        <f t="shared" si="189"/>
        <v/>
      </c>
      <c r="S1135" t="str">
        <f>IF(A1135=1,MAX($S$2:$S1134)+1,IF(OR($I1135&lt;&gt;"",A1135="x"),$S1134,""))</f>
        <v/>
      </c>
      <c r="T1135" t="str">
        <f>IF(D1135=1,MAX($T$2:$T1134)+1,IF(S1135=S1134,$T1134,IF(D1135="x",T1134,IF(D1134="x","",""))))</f>
        <v/>
      </c>
      <c r="U1135" t="str">
        <f>IF(B1135=1,MAX($U$2:$U1134)+1,IF(AND($T1135&lt;&gt;"",$T1135=$T1134),$U1134,IF(B1135="x",U1134,"")))</f>
        <v/>
      </c>
      <c r="V1135" t="str">
        <f>IF(C1135=1,MAX($V$2:$V1134)+1,IF(AND($T1135&lt;&gt;"",$T1135=$T1134),$U1134,IF(C1135="x",V1134,"")))</f>
        <v/>
      </c>
      <c r="X1135" cm="1">
        <f t="array" ref="X1135">IF($I1135&lt;&gt;"",$I1135,INDEX($I$1:$I1135,ROW()-COUNTIFS($T$1:$T1135,"="&amp;$T1135,$S$1:$S1135,"&lt;"&amp;$S1135)))</f>
        <v>0</v>
      </c>
      <c r="Z1135" s="6">
        <f t="shared" si="182"/>
        <v>1</v>
      </c>
      <c r="AA1135" t="e">
        <f t="shared" si="183"/>
        <v>#VALUE!</v>
      </c>
      <c r="AB1135" t="str">
        <f t="shared" si="184"/>
        <v/>
      </c>
      <c r="AC1135" t="e">
        <f t="shared" si="185"/>
        <v>#VALUE!</v>
      </c>
    </row>
    <row r="1136" spans="1:29" x14ac:dyDescent="0.2">
      <c r="A1136" t="str">
        <f t="shared" si="186"/>
        <v/>
      </c>
      <c r="E1136" s="4"/>
      <c r="F1136" s="46"/>
      <c r="G1136" s="4"/>
      <c r="H1136" s="48"/>
      <c r="J1136" s="26" t="str">
        <f t="shared" si="187"/>
        <v/>
      </c>
      <c r="N1136" t="str">
        <f t="shared" si="188"/>
        <v/>
      </c>
      <c r="Q1136" t="str">
        <f t="shared" si="189"/>
        <v/>
      </c>
      <c r="S1136" t="str">
        <f>IF(A1136=1,MAX($S$2:$S1135)+1,IF(OR($I1136&lt;&gt;"",A1136="x"),$S1135,""))</f>
        <v/>
      </c>
      <c r="T1136" t="str">
        <f>IF(D1136=1,MAX($T$2:$T1135)+1,IF(S1136=S1135,$T1135,IF(D1136="x",T1135,IF(D1135="x","",""))))</f>
        <v/>
      </c>
      <c r="U1136" t="str">
        <f>IF(B1136=1,MAX($U$2:$U1135)+1,IF(AND($T1136&lt;&gt;"",$T1136=$T1135),$U1135,IF(B1136="x",U1135,"")))</f>
        <v/>
      </c>
      <c r="V1136" t="str">
        <f>IF(C1136=1,MAX($V$2:$V1135)+1,IF(AND($T1136&lt;&gt;"",$T1136=$T1135),$U1135,IF(C1136="x",V1135,"")))</f>
        <v/>
      </c>
      <c r="X1136" cm="1">
        <f t="array" ref="X1136">IF($I1136&lt;&gt;"",$I1136,INDEX($I$1:$I1136,ROW()-COUNTIFS($T$1:$T1136,"="&amp;$T1136,$S$1:$S1136,"&lt;"&amp;$S1136)))</f>
        <v>0</v>
      </c>
      <c r="Z1136" s="6">
        <f t="shared" si="182"/>
        <v>1</v>
      </c>
      <c r="AA1136" t="e">
        <f t="shared" si="183"/>
        <v>#VALUE!</v>
      </c>
      <c r="AB1136" t="str">
        <f t="shared" si="184"/>
        <v/>
      </c>
      <c r="AC1136" t="e">
        <f t="shared" si="185"/>
        <v>#VALUE!</v>
      </c>
    </row>
    <row r="1137" spans="1:29" x14ac:dyDescent="0.2">
      <c r="A1137" t="str">
        <f t="shared" si="186"/>
        <v/>
      </c>
      <c r="E1137" s="4"/>
      <c r="F1137" s="46"/>
      <c r="G1137" s="4"/>
      <c r="H1137" s="48"/>
      <c r="J1137" s="26" t="str">
        <f t="shared" si="187"/>
        <v/>
      </c>
      <c r="N1137" t="str">
        <f t="shared" si="188"/>
        <v/>
      </c>
      <c r="Q1137" t="str">
        <f t="shared" si="189"/>
        <v/>
      </c>
      <c r="S1137" t="str">
        <f>IF(A1137=1,MAX($S$2:$S1136)+1,IF(OR($I1137&lt;&gt;"",A1137="x"),$S1136,""))</f>
        <v/>
      </c>
      <c r="T1137" t="str">
        <f>IF(D1137=1,MAX($T$2:$T1136)+1,IF(S1137=S1136,$T1136,IF(D1137="x",T1136,IF(D1136="x","",""))))</f>
        <v/>
      </c>
      <c r="U1137" t="str">
        <f>IF(B1137=1,MAX($U$2:$U1136)+1,IF(AND($T1137&lt;&gt;"",$T1137=$T1136),$U1136,IF(B1137="x",U1136,"")))</f>
        <v/>
      </c>
      <c r="V1137" t="str">
        <f>IF(C1137=1,MAX($V$2:$V1136)+1,IF(AND($T1137&lt;&gt;"",$T1137=$T1136),$U1136,IF(C1137="x",V1136,"")))</f>
        <v/>
      </c>
      <c r="X1137" cm="1">
        <f t="array" ref="X1137">IF($I1137&lt;&gt;"",$I1137,INDEX($I$1:$I1137,ROW()-COUNTIFS($T$1:$T1137,"="&amp;$T1137,$S$1:$S1137,"&lt;"&amp;$S1137)))</f>
        <v>0</v>
      </c>
      <c r="Z1137" s="6">
        <f t="shared" si="182"/>
        <v>1</v>
      </c>
      <c r="AA1137" t="e">
        <f t="shared" si="183"/>
        <v>#VALUE!</v>
      </c>
      <c r="AB1137" t="str">
        <f t="shared" si="184"/>
        <v/>
      </c>
      <c r="AC1137" t="e">
        <f t="shared" si="185"/>
        <v>#VALUE!</v>
      </c>
    </row>
    <row r="1138" spans="1:29" x14ac:dyDescent="0.2">
      <c r="A1138" t="str">
        <f t="shared" si="186"/>
        <v/>
      </c>
      <c r="E1138" s="4"/>
      <c r="F1138" s="46"/>
      <c r="G1138" s="4"/>
      <c r="H1138" s="48"/>
      <c r="J1138" s="26" t="str">
        <f t="shared" si="187"/>
        <v/>
      </c>
      <c r="N1138" t="str">
        <f t="shared" si="188"/>
        <v/>
      </c>
      <c r="Q1138" t="str">
        <f t="shared" si="189"/>
        <v/>
      </c>
      <c r="S1138" t="str">
        <f>IF(A1138=1,MAX($S$2:$S1137)+1,IF(OR($I1138&lt;&gt;"",A1138="x"),$S1137,""))</f>
        <v/>
      </c>
      <c r="T1138" t="str">
        <f>IF(D1138=1,MAX($T$2:$T1137)+1,IF(S1138=S1137,$T1137,IF(D1138="x",T1137,IF(D1137="x","",""))))</f>
        <v/>
      </c>
      <c r="U1138" t="str">
        <f>IF(B1138=1,MAX($U$2:$U1137)+1,IF(AND($T1138&lt;&gt;"",$T1138=$T1137),$U1137,IF(B1138="x",U1137,"")))</f>
        <v/>
      </c>
      <c r="V1138" t="str">
        <f>IF(C1138=1,MAX($V$2:$V1137)+1,IF(AND($T1138&lt;&gt;"",$T1138=$T1137),$U1137,IF(C1138="x",V1137,"")))</f>
        <v/>
      </c>
      <c r="X1138" cm="1">
        <f t="array" ref="X1138">IF($I1138&lt;&gt;"",$I1138,INDEX($I$1:$I1138,ROW()-COUNTIFS($T$1:$T1138,"="&amp;$T1138,$S$1:$S1138,"&lt;"&amp;$S1138)))</f>
        <v>0</v>
      </c>
      <c r="Z1138" s="6">
        <f t="shared" si="182"/>
        <v>1</v>
      </c>
      <c r="AA1138" t="e">
        <f t="shared" si="183"/>
        <v>#VALUE!</v>
      </c>
      <c r="AB1138" t="str">
        <f t="shared" si="184"/>
        <v/>
      </c>
      <c r="AC1138" t="e">
        <f t="shared" si="185"/>
        <v>#VALUE!</v>
      </c>
    </row>
    <row r="1139" spans="1:29" x14ac:dyDescent="0.2">
      <c r="A1139" t="str">
        <f t="shared" si="186"/>
        <v/>
      </c>
      <c r="E1139" s="4"/>
      <c r="F1139" s="46"/>
      <c r="G1139" s="4"/>
      <c r="H1139" s="48"/>
      <c r="J1139" s="26" t="str">
        <f t="shared" si="187"/>
        <v/>
      </c>
      <c r="N1139" t="str">
        <f t="shared" si="188"/>
        <v/>
      </c>
      <c r="Q1139" t="str">
        <f t="shared" si="189"/>
        <v/>
      </c>
      <c r="S1139" t="str">
        <f>IF(A1139=1,MAX($S$2:$S1138)+1,IF(OR($I1139&lt;&gt;"",A1139="x"),$S1138,""))</f>
        <v/>
      </c>
      <c r="T1139" t="str">
        <f>IF(D1139=1,MAX($T$2:$T1138)+1,IF(S1139=S1138,$T1138,IF(D1139="x",T1138,IF(D1138="x","",""))))</f>
        <v/>
      </c>
      <c r="U1139" t="str">
        <f>IF(B1139=1,MAX($U$2:$U1138)+1,IF(AND($T1139&lt;&gt;"",$T1139=$T1138),$U1138,IF(B1139="x",U1138,"")))</f>
        <v/>
      </c>
      <c r="V1139" t="str">
        <f>IF(C1139=1,MAX($V$2:$V1138)+1,IF(AND($T1139&lt;&gt;"",$T1139=$T1138),$U1138,IF(C1139="x",V1138,"")))</f>
        <v/>
      </c>
      <c r="X1139" cm="1">
        <f t="array" ref="X1139">IF($I1139&lt;&gt;"",$I1139,INDEX($I$1:$I1139,ROW()-COUNTIFS($T$1:$T1139,"="&amp;$T1139,$S$1:$S1139,"&lt;"&amp;$S1139)))</f>
        <v>0</v>
      </c>
      <c r="Z1139" s="6">
        <f t="shared" si="182"/>
        <v>1</v>
      </c>
      <c r="AA1139" t="e">
        <f t="shared" si="183"/>
        <v>#VALUE!</v>
      </c>
      <c r="AB1139" t="str">
        <f t="shared" si="184"/>
        <v/>
      </c>
      <c r="AC1139" t="e">
        <f t="shared" si="185"/>
        <v>#VALUE!</v>
      </c>
    </row>
    <row r="1140" spans="1:29" x14ac:dyDescent="0.2">
      <c r="A1140" t="str">
        <f t="shared" si="186"/>
        <v/>
      </c>
      <c r="E1140" s="4"/>
      <c r="F1140" s="46"/>
      <c r="G1140" s="4"/>
      <c r="H1140" s="48"/>
      <c r="J1140" s="26" t="str">
        <f t="shared" si="187"/>
        <v/>
      </c>
      <c r="N1140" t="str">
        <f t="shared" si="188"/>
        <v/>
      </c>
      <c r="Q1140" t="str">
        <f t="shared" si="189"/>
        <v/>
      </c>
      <c r="S1140" t="str">
        <f>IF(A1140=1,MAX($S$2:$S1139)+1,IF(OR($I1140&lt;&gt;"",A1140="x"),$S1139,""))</f>
        <v/>
      </c>
      <c r="T1140" t="str">
        <f>IF(D1140=1,MAX($T$2:$T1139)+1,IF(S1140=S1139,$T1139,IF(D1140="x",T1139,IF(D1139="x","",""))))</f>
        <v/>
      </c>
      <c r="U1140" t="str">
        <f>IF(B1140=1,MAX($U$2:$U1139)+1,IF(AND($T1140&lt;&gt;"",$T1140=$T1139),$U1139,IF(B1140="x",U1139,"")))</f>
        <v/>
      </c>
      <c r="V1140" t="str">
        <f>IF(C1140=1,MAX($V$2:$V1139)+1,IF(AND($T1140&lt;&gt;"",$T1140=$T1139),$U1139,IF(C1140="x",V1139,"")))</f>
        <v/>
      </c>
      <c r="X1140" cm="1">
        <f t="array" ref="X1140">IF($I1140&lt;&gt;"",$I1140,INDEX($I$1:$I1140,ROW()-COUNTIFS($T$1:$T1140,"="&amp;$T1140,$S$1:$S1140,"&lt;"&amp;$S1140)))</f>
        <v>0</v>
      </c>
      <c r="Z1140" s="6">
        <f t="shared" si="182"/>
        <v>1</v>
      </c>
      <c r="AA1140" t="e">
        <f t="shared" si="183"/>
        <v>#VALUE!</v>
      </c>
      <c r="AB1140" t="str">
        <f t="shared" si="184"/>
        <v/>
      </c>
      <c r="AC1140" t="e">
        <f t="shared" si="185"/>
        <v>#VALUE!</v>
      </c>
    </row>
    <row r="1141" spans="1:29" x14ac:dyDescent="0.2">
      <c r="A1141" t="str">
        <f t="shared" si="186"/>
        <v/>
      </c>
      <c r="E1141" s="4"/>
      <c r="F1141" s="46"/>
      <c r="G1141" s="4"/>
      <c r="H1141" s="48"/>
      <c r="J1141" s="26" t="str">
        <f t="shared" si="187"/>
        <v/>
      </c>
      <c r="N1141" t="str">
        <f t="shared" si="188"/>
        <v/>
      </c>
      <c r="Q1141" t="str">
        <f t="shared" si="189"/>
        <v/>
      </c>
      <c r="S1141" t="str">
        <f>IF(A1141=1,MAX($S$2:$S1140)+1,IF(OR($I1141&lt;&gt;"",A1141="x"),$S1140,""))</f>
        <v/>
      </c>
      <c r="T1141" t="str">
        <f>IF(D1141=1,MAX($T$2:$T1140)+1,IF(S1141=S1140,$T1140,IF(D1141="x",T1140,IF(D1140="x","",""))))</f>
        <v/>
      </c>
      <c r="U1141" t="str">
        <f>IF(B1141=1,MAX($U$2:$U1140)+1,IF(AND($T1141&lt;&gt;"",$T1141=$T1140),$U1140,IF(B1141="x",U1140,"")))</f>
        <v/>
      </c>
      <c r="V1141" t="str">
        <f>IF(C1141=1,MAX($V$2:$V1140)+1,IF(AND($T1141&lt;&gt;"",$T1141=$T1140),$U1140,IF(C1141="x",V1140,"")))</f>
        <v/>
      </c>
      <c r="X1141" cm="1">
        <f t="array" ref="X1141">IF($I1141&lt;&gt;"",$I1141,INDEX($I$1:$I1141,ROW()-COUNTIFS($T$1:$T1141,"="&amp;$T1141,$S$1:$S1141,"&lt;"&amp;$S1141)))</f>
        <v>0</v>
      </c>
      <c r="Z1141" s="6">
        <f t="shared" si="182"/>
        <v>1</v>
      </c>
      <c r="AA1141" t="e">
        <f t="shared" si="183"/>
        <v>#VALUE!</v>
      </c>
      <c r="AB1141" t="str">
        <f t="shared" si="184"/>
        <v/>
      </c>
      <c r="AC1141" t="e">
        <f t="shared" si="185"/>
        <v>#VALUE!</v>
      </c>
    </row>
    <row r="1142" spans="1:29" x14ac:dyDescent="0.2">
      <c r="A1142" t="str">
        <f t="shared" si="186"/>
        <v/>
      </c>
      <c r="E1142" s="4"/>
      <c r="F1142" s="46"/>
      <c r="G1142" s="4"/>
      <c r="H1142" s="48"/>
      <c r="J1142" s="26" t="str">
        <f t="shared" si="187"/>
        <v/>
      </c>
      <c r="N1142" t="str">
        <f t="shared" si="188"/>
        <v/>
      </c>
      <c r="Q1142" t="str">
        <f t="shared" si="189"/>
        <v/>
      </c>
      <c r="S1142" t="str">
        <f>IF(A1142=1,MAX($S$2:$S1141)+1,IF(OR($I1142&lt;&gt;"",A1142="x"),$S1141,""))</f>
        <v/>
      </c>
      <c r="T1142" t="str">
        <f>IF(D1142=1,MAX($T$2:$T1141)+1,IF(S1142=S1141,$T1141,IF(D1142="x",T1141,IF(D1141="x","",""))))</f>
        <v/>
      </c>
      <c r="U1142" t="str">
        <f>IF(B1142=1,MAX($U$2:$U1141)+1,IF(AND($T1142&lt;&gt;"",$T1142=$T1141),$U1141,IF(B1142="x",U1141,"")))</f>
        <v/>
      </c>
      <c r="V1142" t="str">
        <f>IF(C1142=1,MAX($V$2:$V1141)+1,IF(AND($T1142&lt;&gt;"",$T1142=$T1141),$U1141,IF(C1142="x",V1141,"")))</f>
        <v/>
      </c>
      <c r="X1142" cm="1">
        <f t="array" ref="X1142">IF($I1142&lt;&gt;"",$I1142,INDEX($I$1:$I1142,ROW()-COUNTIFS($T$1:$T1142,"="&amp;$T1142,$S$1:$S1142,"&lt;"&amp;$S1142)))</f>
        <v>0</v>
      </c>
      <c r="Z1142" s="6">
        <f t="shared" si="182"/>
        <v>1</v>
      </c>
      <c r="AA1142" t="e">
        <f t="shared" si="183"/>
        <v>#VALUE!</v>
      </c>
      <c r="AB1142" t="str">
        <f t="shared" si="184"/>
        <v/>
      </c>
      <c r="AC1142" t="e">
        <f t="shared" si="185"/>
        <v>#VALUE!</v>
      </c>
    </row>
    <row r="1143" spans="1:29" x14ac:dyDescent="0.2">
      <c r="A1143" t="str">
        <f t="shared" si="186"/>
        <v/>
      </c>
      <c r="E1143" s="4"/>
      <c r="F1143" s="46"/>
      <c r="G1143" s="4"/>
      <c r="H1143" s="48"/>
      <c r="J1143" s="26" t="str">
        <f t="shared" si="187"/>
        <v/>
      </c>
      <c r="N1143" t="str">
        <f t="shared" si="188"/>
        <v/>
      </c>
      <c r="Q1143" t="str">
        <f t="shared" si="189"/>
        <v/>
      </c>
      <c r="S1143" t="str">
        <f>IF(A1143=1,MAX($S$2:$S1142)+1,IF(OR($I1143&lt;&gt;"",A1143="x"),$S1142,""))</f>
        <v/>
      </c>
      <c r="T1143" t="str">
        <f>IF(D1143=1,MAX($T$2:$T1142)+1,IF(S1143=S1142,$T1142,IF(D1143="x",T1142,IF(D1142="x","",""))))</f>
        <v/>
      </c>
      <c r="U1143" t="str">
        <f>IF(B1143=1,MAX($U$2:$U1142)+1,IF(AND($T1143&lt;&gt;"",$T1143=$T1142),$U1142,IF(B1143="x",U1142,"")))</f>
        <v/>
      </c>
      <c r="V1143" t="str">
        <f>IF(C1143=1,MAX($V$2:$V1142)+1,IF(AND($T1143&lt;&gt;"",$T1143=$T1142),$U1142,IF(C1143="x",V1142,"")))</f>
        <v/>
      </c>
      <c r="X1143" cm="1">
        <f t="array" ref="X1143">IF($I1143&lt;&gt;"",$I1143,INDEX($I$1:$I1143,ROW()-COUNTIFS($T$1:$T1143,"="&amp;$T1143,$S$1:$S1143,"&lt;"&amp;$S1143)))</f>
        <v>0</v>
      </c>
      <c r="Z1143" s="6">
        <f t="shared" si="182"/>
        <v>1</v>
      </c>
      <c r="AA1143" t="e">
        <f t="shared" si="183"/>
        <v>#VALUE!</v>
      </c>
      <c r="AB1143" t="str">
        <f t="shared" si="184"/>
        <v/>
      </c>
      <c r="AC1143" t="e">
        <f t="shared" si="185"/>
        <v>#VALUE!</v>
      </c>
    </row>
    <row r="1144" spans="1:29" x14ac:dyDescent="0.2">
      <c r="A1144" t="str">
        <f t="shared" si="186"/>
        <v/>
      </c>
      <c r="E1144" s="4"/>
      <c r="F1144" s="46"/>
      <c r="G1144" s="4"/>
      <c r="H1144" s="48"/>
      <c r="J1144" s="26" t="str">
        <f t="shared" si="187"/>
        <v/>
      </c>
      <c r="N1144" t="str">
        <f t="shared" si="188"/>
        <v/>
      </c>
      <c r="Q1144" t="str">
        <f t="shared" si="189"/>
        <v/>
      </c>
      <c r="S1144" t="str">
        <f>IF(A1144=1,MAX($S$2:$S1143)+1,IF(OR($I1144&lt;&gt;"",A1144="x"),$S1143,""))</f>
        <v/>
      </c>
      <c r="T1144" t="str">
        <f>IF(D1144=1,MAX($T$2:$T1143)+1,IF(S1144=S1143,$T1143,IF(D1144="x",T1143,IF(D1143="x","",""))))</f>
        <v/>
      </c>
      <c r="U1144" t="str">
        <f>IF(B1144=1,MAX($U$2:$U1143)+1,IF(AND($T1144&lt;&gt;"",$T1144=$T1143),$U1143,IF(B1144="x",U1143,"")))</f>
        <v/>
      </c>
      <c r="V1144" t="str">
        <f>IF(C1144=1,MAX($V$2:$V1143)+1,IF(AND($T1144&lt;&gt;"",$T1144=$T1143),$U1143,IF(C1144="x",V1143,"")))</f>
        <v/>
      </c>
      <c r="X1144" cm="1">
        <f t="array" ref="X1144">IF($I1144&lt;&gt;"",$I1144,INDEX($I$1:$I1144,ROW()-COUNTIFS($T$1:$T1144,"="&amp;$T1144,$S$1:$S1144,"&lt;"&amp;$S1144)))</f>
        <v>0</v>
      </c>
      <c r="Z1144" s="6">
        <f t="shared" si="182"/>
        <v>1</v>
      </c>
      <c r="AA1144" t="e">
        <f t="shared" si="183"/>
        <v>#VALUE!</v>
      </c>
      <c r="AB1144" t="str">
        <f t="shared" si="184"/>
        <v/>
      </c>
      <c r="AC1144" t="e">
        <f t="shared" si="185"/>
        <v>#VALUE!</v>
      </c>
    </row>
    <row r="1145" spans="1:29" x14ac:dyDescent="0.2">
      <c r="A1145" t="str">
        <f t="shared" si="186"/>
        <v/>
      </c>
      <c r="E1145" s="4"/>
      <c r="F1145" s="46"/>
      <c r="G1145" s="4"/>
      <c r="H1145" s="48"/>
      <c r="J1145" s="26" t="str">
        <f t="shared" si="187"/>
        <v/>
      </c>
      <c r="N1145" t="str">
        <f t="shared" si="188"/>
        <v/>
      </c>
      <c r="Q1145" t="str">
        <f t="shared" si="189"/>
        <v/>
      </c>
      <c r="S1145" t="str">
        <f>IF(A1145=1,MAX($S$2:$S1144)+1,IF(OR($I1145&lt;&gt;"",A1145="x"),$S1144,""))</f>
        <v/>
      </c>
      <c r="T1145" t="str">
        <f>IF(D1145=1,MAX($T$2:$T1144)+1,IF(S1145=S1144,$T1144,IF(D1145="x",T1144,IF(D1144="x","",""))))</f>
        <v/>
      </c>
      <c r="U1145" t="str">
        <f>IF(B1145=1,MAX($U$2:$U1144)+1,IF(AND($T1145&lt;&gt;"",$T1145=$T1144),$U1144,IF(B1145="x",U1144,"")))</f>
        <v/>
      </c>
      <c r="V1145" t="str">
        <f>IF(C1145=1,MAX($V$2:$V1144)+1,IF(AND($T1145&lt;&gt;"",$T1145=$T1144),$U1144,IF(C1145="x",V1144,"")))</f>
        <v/>
      </c>
      <c r="X1145" cm="1">
        <f t="array" ref="X1145">IF($I1145&lt;&gt;"",$I1145,INDEX($I$1:$I1145,ROW()-COUNTIFS($T$1:$T1145,"="&amp;$T1145,$S$1:$S1145,"&lt;"&amp;$S1145)))</f>
        <v>0</v>
      </c>
      <c r="Z1145" s="6">
        <f t="shared" si="182"/>
        <v>1</v>
      </c>
      <c r="AA1145" t="e">
        <f t="shared" si="183"/>
        <v>#VALUE!</v>
      </c>
      <c r="AB1145" t="str">
        <f t="shared" si="184"/>
        <v/>
      </c>
      <c r="AC1145" t="e">
        <f t="shared" si="185"/>
        <v>#VALUE!</v>
      </c>
    </row>
    <row r="1146" spans="1:29" x14ac:dyDescent="0.2">
      <c r="A1146" t="str">
        <f t="shared" si="186"/>
        <v/>
      </c>
      <c r="E1146" s="4"/>
      <c r="F1146" s="46"/>
      <c r="G1146" s="4"/>
      <c r="H1146" s="48"/>
      <c r="J1146" s="26" t="str">
        <f t="shared" si="187"/>
        <v/>
      </c>
      <c r="N1146" t="str">
        <f t="shared" si="188"/>
        <v/>
      </c>
      <c r="Q1146" t="str">
        <f t="shared" si="189"/>
        <v/>
      </c>
      <c r="S1146" t="str">
        <f>IF(A1146=1,MAX($S$2:$S1145)+1,IF(OR($I1146&lt;&gt;"",A1146="x"),$S1145,""))</f>
        <v/>
      </c>
      <c r="T1146" t="str">
        <f>IF(D1146=1,MAX($T$2:$T1145)+1,IF(S1146=S1145,$T1145,IF(D1146="x",T1145,IF(D1145="x","",""))))</f>
        <v/>
      </c>
      <c r="U1146" t="str">
        <f>IF(B1146=1,MAX($U$2:$U1145)+1,IF(AND($T1146&lt;&gt;"",$T1146=$T1145),$U1145,IF(B1146="x",U1145,"")))</f>
        <v/>
      </c>
      <c r="V1146" t="str">
        <f>IF(C1146=1,MAX($V$2:$V1145)+1,IF(AND($T1146&lt;&gt;"",$T1146=$T1145),$U1145,IF(C1146="x",V1145,"")))</f>
        <v/>
      </c>
      <c r="X1146" cm="1">
        <f t="array" ref="X1146">IF($I1146&lt;&gt;"",$I1146,INDEX($I$1:$I1146,ROW()-COUNTIFS($T$1:$T1146,"="&amp;$T1146,$S$1:$S1146,"&lt;"&amp;$S1146)))</f>
        <v>0</v>
      </c>
      <c r="Z1146" s="6">
        <f t="shared" si="182"/>
        <v>1</v>
      </c>
      <c r="AA1146" t="e">
        <f t="shared" si="183"/>
        <v>#VALUE!</v>
      </c>
      <c r="AB1146" t="str">
        <f t="shared" si="184"/>
        <v/>
      </c>
      <c r="AC1146" t="e">
        <f t="shared" si="185"/>
        <v>#VALUE!</v>
      </c>
    </row>
    <row r="1147" spans="1:29" x14ac:dyDescent="0.2">
      <c r="A1147" t="str">
        <f t="shared" si="186"/>
        <v/>
      </c>
      <c r="E1147" s="4"/>
      <c r="F1147" s="46"/>
      <c r="G1147" s="4"/>
      <c r="H1147" s="48"/>
      <c r="J1147" s="26" t="str">
        <f t="shared" si="187"/>
        <v/>
      </c>
      <c r="N1147" t="str">
        <f t="shared" si="188"/>
        <v/>
      </c>
      <c r="Q1147" t="str">
        <f t="shared" si="189"/>
        <v/>
      </c>
      <c r="S1147" t="str">
        <f>IF(A1147=1,MAX($S$2:$S1146)+1,IF(OR($I1147&lt;&gt;"",A1147="x"),$S1146,""))</f>
        <v/>
      </c>
      <c r="T1147" t="str">
        <f>IF(D1147=1,MAX($T$2:$T1146)+1,IF(S1147=S1146,$T1146,IF(D1147="x",T1146,IF(D1146="x","",""))))</f>
        <v/>
      </c>
      <c r="U1147" t="str">
        <f>IF(B1147=1,MAX($U$2:$U1146)+1,IF(AND($T1147&lt;&gt;"",$T1147=$T1146),$U1146,IF(B1147="x",U1146,"")))</f>
        <v/>
      </c>
      <c r="V1147" t="str">
        <f>IF(C1147=1,MAX($V$2:$V1146)+1,IF(AND($T1147&lt;&gt;"",$T1147=$T1146),$U1146,IF(C1147="x",V1146,"")))</f>
        <v/>
      </c>
      <c r="X1147" cm="1">
        <f t="array" ref="X1147">IF($I1147&lt;&gt;"",$I1147,INDEX($I$1:$I1147,ROW()-COUNTIFS($T$1:$T1147,"="&amp;$T1147,$S$1:$S1147,"&lt;"&amp;$S1147)))</f>
        <v>0</v>
      </c>
      <c r="Z1147" s="6">
        <f t="shared" si="182"/>
        <v>1</v>
      </c>
      <c r="AA1147" t="e">
        <f t="shared" si="183"/>
        <v>#VALUE!</v>
      </c>
      <c r="AB1147" t="str">
        <f t="shared" si="184"/>
        <v/>
      </c>
      <c r="AC1147" t="e">
        <f t="shared" si="185"/>
        <v>#VALUE!</v>
      </c>
    </row>
    <row r="1148" spans="1:29" x14ac:dyDescent="0.2">
      <c r="A1148" t="str">
        <f t="shared" si="186"/>
        <v/>
      </c>
      <c r="E1148" s="4"/>
      <c r="F1148" s="46"/>
      <c r="G1148" s="4"/>
      <c r="H1148" s="48"/>
      <c r="J1148" s="26" t="str">
        <f t="shared" si="187"/>
        <v/>
      </c>
      <c r="N1148" t="str">
        <f t="shared" si="188"/>
        <v/>
      </c>
      <c r="Q1148" t="str">
        <f t="shared" si="189"/>
        <v/>
      </c>
      <c r="S1148" t="str">
        <f>IF(A1148=1,MAX($S$2:$S1147)+1,IF(OR($I1148&lt;&gt;"",A1148="x"),$S1147,""))</f>
        <v/>
      </c>
      <c r="T1148" t="str">
        <f>IF(D1148=1,MAX($T$2:$T1147)+1,IF(S1148=S1147,$T1147,IF(D1148="x",T1147,IF(D1147="x","",""))))</f>
        <v/>
      </c>
      <c r="U1148" t="str">
        <f>IF(B1148=1,MAX($U$2:$U1147)+1,IF(AND($T1148&lt;&gt;"",$T1148=$T1147),$U1147,IF(B1148="x",U1147,"")))</f>
        <v/>
      </c>
      <c r="V1148" t="str">
        <f>IF(C1148=1,MAX($V$2:$V1147)+1,IF(AND($T1148&lt;&gt;"",$T1148=$T1147),$U1147,IF(C1148="x",V1147,"")))</f>
        <v/>
      </c>
      <c r="X1148" cm="1">
        <f t="array" ref="X1148">IF($I1148&lt;&gt;"",$I1148,INDEX($I$1:$I1148,ROW()-COUNTIFS($T$1:$T1148,"="&amp;$T1148,$S$1:$S1148,"&lt;"&amp;$S1148)))</f>
        <v>0</v>
      </c>
      <c r="Z1148" s="6">
        <f t="shared" si="182"/>
        <v>1</v>
      </c>
      <c r="AA1148" t="e">
        <f t="shared" si="183"/>
        <v>#VALUE!</v>
      </c>
      <c r="AB1148" t="str">
        <f t="shared" si="184"/>
        <v/>
      </c>
      <c r="AC1148" t="e">
        <f t="shared" si="185"/>
        <v>#VALUE!</v>
      </c>
    </row>
    <row r="1149" spans="1:29" x14ac:dyDescent="0.2">
      <c r="A1149" t="str">
        <f t="shared" si="186"/>
        <v/>
      </c>
      <c r="E1149" s="4"/>
      <c r="F1149" s="46"/>
      <c r="G1149" s="4"/>
      <c r="H1149" s="48"/>
      <c r="J1149" s="26" t="str">
        <f t="shared" si="187"/>
        <v/>
      </c>
      <c r="N1149" t="str">
        <f t="shared" si="188"/>
        <v/>
      </c>
      <c r="Q1149" t="str">
        <f t="shared" si="189"/>
        <v/>
      </c>
      <c r="S1149" t="str">
        <f>IF(A1149=1,MAX($S$2:$S1148)+1,IF(OR($I1149&lt;&gt;"",A1149="x"),$S1148,""))</f>
        <v/>
      </c>
      <c r="T1149" t="str">
        <f>IF(D1149=1,MAX($T$2:$T1148)+1,IF(S1149=S1148,$T1148,IF(D1149="x",T1148,IF(D1148="x","",""))))</f>
        <v/>
      </c>
      <c r="U1149" t="str">
        <f>IF(B1149=1,MAX($U$2:$U1148)+1,IF(AND($T1149&lt;&gt;"",$T1149=$T1148),$U1148,IF(B1149="x",U1148,"")))</f>
        <v/>
      </c>
      <c r="V1149" t="str">
        <f>IF(C1149=1,MAX($V$2:$V1148)+1,IF(AND($T1149&lt;&gt;"",$T1149=$T1148),$U1148,IF(C1149="x",V1148,"")))</f>
        <v/>
      </c>
      <c r="X1149" cm="1">
        <f t="array" ref="X1149">IF($I1149&lt;&gt;"",$I1149,INDEX($I$1:$I1149,ROW()-COUNTIFS($T$1:$T1149,"="&amp;$T1149,$S$1:$S1149,"&lt;"&amp;$S1149)))</f>
        <v>0</v>
      </c>
      <c r="Z1149" s="6">
        <f t="shared" si="182"/>
        <v>1</v>
      </c>
      <c r="AA1149" t="e">
        <f t="shared" si="183"/>
        <v>#VALUE!</v>
      </c>
      <c r="AB1149" t="str">
        <f t="shared" si="184"/>
        <v/>
      </c>
      <c r="AC1149" t="e">
        <f t="shared" si="185"/>
        <v>#VALUE!</v>
      </c>
    </row>
    <row r="1150" spans="1:29" x14ac:dyDescent="0.2">
      <c r="A1150" t="str">
        <f t="shared" si="186"/>
        <v/>
      </c>
      <c r="E1150" s="4"/>
      <c r="F1150" s="46"/>
      <c r="G1150" s="4"/>
      <c r="H1150" s="48"/>
      <c r="J1150" s="26" t="str">
        <f t="shared" si="187"/>
        <v/>
      </c>
      <c r="N1150" t="str">
        <f t="shared" si="188"/>
        <v/>
      </c>
      <c r="Q1150" t="str">
        <f t="shared" si="189"/>
        <v/>
      </c>
      <c r="S1150" t="str">
        <f>IF(A1150=1,MAX($S$2:$S1149)+1,IF(OR($I1150&lt;&gt;"",A1150="x"),$S1149,""))</f>
        <v/>
      </c>
      <c r="T1150" t="str">
        <f>IF(D1150=1,MAX($T$2:$T1149)+1,IF(S1150=S1149,$T1149,IF(D1150="x",T1149,IF(D1149="x","",""))))</f>
        <v/>
      </c>
      <c r="U1150" t="str">
        <f>IF(B1150=1,MAX($U$2:$U1149)+1,IF(AND($T1150&lt;&gt;"",$T1150=$T1149),$U1149,IF(B1150="x",U1149,"")))</f>
        <v/>
      </c>
      <c r="V1150" t="str">
        <f>IF(C1150=1,MAX($V$2:$V1149)+1,IF(AND($T1150&lt;&gt;"",$T1150=$T1149),$U1149,IF(C1150="x",V1149,"")))</f>
        <v/>
      </c>
      <c r="X1150" cm="1">
        <f t="array" ref="X1150">IF($I1150&lt;&gt;"",$I1150,INDEX($I$1:$I1150,ROW()-COUNTIFS($T$1:$T1150,"="&amp;$T1150,$S$1:$S1150,"&lt;"&amp;$S1150)))</f>
        <v>0</v>
      </c>
      <c r="Z1150" s="6">
        <f t="shared" si="182"/>
        <v>1</v>
      </c>
      <c r="AA1150" t="e">
        <f t="shared" si="183"/>
        <v>#VALUE!</v>
      </c>
      <c r="AB1150" t="str">
        <f t="shared" si="184"/>
        <v/>
      </c>
      <c r="AC1150" t="e">
        <f t="shared" si="185"/>
        <v>#VALUE!</v>
      </c>
    </row>
    <row r="1151" spans="1:29" x14ac:dyDescent="0.2">
      <c r="A1151" t="str">
        <f t="shared" si="186"/>
        <v/>
      </c>
      <c r="E1151" s="4"/>
      <c r="F1151" s="46"/>
      <c r="G1151" s="4"/>
      <c r="H1151" s="48"/>
      <c r="J1151" s="26" t="str">
        <f t="shared" si="187"/>
        <v/>
      </c>
      <c r="N1151" t="str">
        <f t="shared" si="188"/>
        <v/>
      </c>
      <c r="Q1151" t="str">
        <f t="shared" si="189"/>
        <v/>
      </c>
      <c r="S1151" t="str">
        <f>IF(A1151=1,MAX($S$2:$S1150)+1,IF(OR($I1151&lt;&gt;"",A1151="x"),$S1150,""))</f>
        <v/>
      </c>
      <c r="T1151" t="str">
        <f>IF(D1151=1,MAX($T$2:$T1150)+1,IF(S1151=S1150,$T1150,IF(D1151="x",T1150,IF(D1150="x","",""))))</f>
        <v/>
      </c>
      <c r="U1151" t="str">
        <f>IF(B1151=1,MAX($U$2:$U1150)+1,IF(AND($T1151&lt;&gt;"",$T1151=$T1150),$U1150,IF(B1151="x",U1150,"")))</f>
        <v/>
      </c>
      <c r="V1151" t="str">
        <f>IF(C1151=1,MAX($V$2:$V1150)+1,IF(AND($T1151&lt;&gt;"",$T1151=$T1150),$U1150,IF(C1151="x",V1150,"")))</f>
        <v/>
      </c>
      <c r="X1151" cm="1">
        <f t="array" ref="X1151">IF($I1151&lt;&gt;"",$I1151,INDEX($I$1:$I1151,ROW()-COUNTIFS($T$1:$T1151,"="&amp;$T1151,$S$1:$S1151,"&lt;"&amp;$S1151)))</f>
        <v>0</v>
      </c>
      <c r="Z1151" s="6">
        <f t="shared" si="182"/>
        <v>1</v>
      </c>
      <c r="AA1151" t="e">
        <f t="shared" si="183"/>
        <v>#VALUE!</v>
      </c>
      <c r="AB1151" t="str">
        <f t="shared" si="184"/>
        <v/>
      </c>
      <c r="AC1151" t="e">
        <f t="shared" si="185"/>
        <v>#VALUE!</v>
      </c>
    </row>
    <row r="1152" spans="1:29" x14ac:dyDescent="0.2">
      <c r="A1152" t="str">
        <f t="shared" si="186"/>
        <v/>
      </c>
      <c r="E1152" s="4"/>
      <c r="F1152" s="46"/>
      <c r="G1152" s="4"/>
      <c r="H1152" s="48"/>
      <c r="J1152" s="26" t="str">
        <f t="shared" si="187"/>
        <v/>
      </c>
      <c r="N1152" t="str">
        <f t="shared" si="188"/>
        <v/>
      </c>
      <c r="Q1152" t="str">
        <f t="shared" si="189"/>
        <v/>
      </c>
      <c r="S1152" t="str">
        <f>IF(A1152=1,MAX($S$2:$S1151)+1,IF(OR($I1152&lt;&gt;"",A1152="x"),$S1151,""))</f>
        <v/>
      </c>
      <c r="T1152" t="str">
        <f>IF(D1152=1,MAX($T$2:$T1151)+1,IF(S1152=S1151,$T1151,IF(D1152="x",T1151,IF(D1151="x","",""))))</f>
        <v/>
      </c>
      <c r="U1152" t="str">
        <f>IF(B1152=1,MAX($U$2:$U1151)+1,IF(AND($T1152&lt;&gt;"",$T1152=$T1151),$U1151,IF(B1152="x",U1151,"")))</f>
        <v/>
      </c>
      <c r="V1152" t="str">
        <f>IF(C1152=1,MAX($V$2:$V1151)+1,IF(AND($T1152&lt;&gt;"",$T1152=$T1151),$U1151,IF(C1152="x",V1151,"")))</f>
        <v/>
      </c>
      <c r="X1152" cm="1">
        <f t="array" ref="X1152">IF($I1152&lt;&gt;"",$I1152,INDEX($I$1:$I1152,ROW()-COUNTIFS($T$1:$T1152,"="&amp;$T1152,$S$1:$S1152,"&lt;"&amp;$S1152)))</f>
        <v>0</v>
      </c>
      <c r="Z1152" s="6">
        <f t="shared" si="182"/>
        <v>1</v>
      </c>
      <c r="AA1152" t="e">
        <f t="shared" si="183"/>
        <v>#VALUE!</v>
      </c>
      <c r="AB1152" t="str">
        <f t="shared" si="184"/>
        <v/>
      </c>
      <c r="AC1152" t="e">
        <f t="shared" si="185"/>
        <v>#VALUE!</v>
      </c>
    </row>
    <row r="1153" spans="1:29" x14ac:dyDescent="0.2">
      <c r="A1153" t="str">
        <f t="shared" si="186"/>
        <v/>
      </c>
      <c r="E1153" s="4"/>
      <c r="F1153" s="46"/>
      <c r="G1153" s="4"/>
      <c r="H1153" s="48"/>
      <c r="J1153" s="26" t="str">
        <f t="shared" si="187"/>
        <v/>
      </c>
      <c r="N1153" t="str">
        <f t="shared" si="188"/>
        <v/>
      </c>
      <c r="Q1153" t="str">
        <f t="shared" si="189"/>
        <v/>
      </c>
      <c r="S1153" t="str">
        <f>IF(A1153=1,MAX($S$2:$S1152)+1,IF(OR($I1153&lt;&gt;"",A1153="x"),$S1152,""))</f>
        <v/>
      </c>
      <c r="T1153" t="str">
        <f>IF(D1153=1,MAX($T$2:$T1152)+1,IF(S1153=S1152,$T1152,IF(D1153="x",T1152,IF(D1152="x","",""))))</f>
        <v/>
      </c>
      <c r="U1153" t="str">
        <f>IF(B1153=1,MAX($U$2:$U1152)+1,IF(AND($T1153&lt;&gt;"",$T1153=$T1152),$U1152,IF(B1153="x",U1152,"")))</f>
        <v/>
      </c>
      <c r="V1153" t="str">
        <f>IF(C1153=1,MAX($V$2:$V1152)+1,IF(AND($T1153&lt;&gt;"",$T1153=$T1152),$U1152,IF(C1153="x",V1152,"")))</f>
        <v/>
      </c>
      <c r="X1153" cm="1">
        <f t="array" ref="X1153">IF($I1153&lt;&gt;"",$I1153,INDEX($I$1:$I1153,ROW()-COUNTIFS($T$1:$T1153,"="&amp;$T1153,$S$1:$S1153,"&lt;"&amp;$S1153)))</f>
        <v>0</v>
      </c>
      <c r="Z1153" s="6">
        <f t="shared" si="182"/>
        <v>1</v>
      </c>
      <c r="AA1153" t="e">
        <f t="shared" si="183"/>
        <v>#VALUE!</v>
      </c>
      <c r="AB1153" t="str">
        <f t="shared" si="184"/>
        <v/>
      </c>
      <c r="AC1153" t="e">
        <f t="shared" si="185"/>
        <v>#VALUE!</v>
      </c>
    </row>
    <row r="1154" spans="1:29" x14ac:dyDescent="0.2">
      <c r="A1154" t="str">
        <f t="shared" si="186"/>
        <v/>
      </c>
      <c r="E1154" s="4"/>
      <c r="F1154" s="46"/>
      <c r="G1154" s="4"/>
      <c r="H1154" s="48"/>
      <c r="J1154" s="26" t="str">
        <f t="shared" si="187"/>
        <v/>
      </c>
      <c r="N1154" t="str">
        <f t="shared" si="188"/>
        <v/>
      </c>
      <c r="Q1154" t="str">
        <f t="shared" si="189"/>
        <v/>
      </c>
      <c r="S1154" t="str">
        <f>IF(A1154=1,MAX($S$2:$S1153)+1,IF(OR($I1154&lt;&gt;"",A1154="x"),$S1153,""))</f>
        <v/>
      </c>
      <c r="T1154" t="str">
        <f>IF(D1154=1,MAX($T$2:$T1153)+1,IF(S1154=S1153,$T1153,IF(D1154="x",T1153,IF(D1153="x","",""))))</f>
        <v/>
      </c>
      <c r="U1154" t="str">
        <f>IF(B1154=1,MAX($U$2:$U1153)+1,IF(AND($T1154&lt;&gt;"",$T1154=$T1153),$U1153,IF(B1154="x",U1153,"")))</f>
        <v/>
      </c>
      <c r="V1154" t="str">
        <f>IF(C1154=1,MAX($V$2:$V1153)+1,IF(AND($T1154&lt;&gt;"",$T1154=$T1153),$U1153,IF(C1154="x",V1153,"")))</f>
        <v/>
      </c>
      <c r="X1154" cm="1">
        <f t="array" ref="X1154">IF($I1154&lt;&gt;"",$I1154,INDEX($I$1:$I1154,ROW()-COUNTIFS($T$1:$T1154,"="&amp;$T1154,$S$1:$S1154,"&lt;"&amp;$S1154)))</f>
        <v>0</v>
      </c>
      <c r="Z1154" s="6">
        <f t="shared" si="182"/>
        <v>1</v>
      </c>
      <c r="AA1154" t="e">
        <f t="shared" si="183"/>
        <v>#VALUE!</v>
      </c>
      <c r="AB1154" t="str">
        <f t="shared" si="184"/>
        <v/>
      </c>
      <c r="AC1154" t="e">
        <f t="shared" si="185"/>
        <v>#VALUE!</v>
      </c>
    </row>
    <row r="1155" spans="1:29" x14ac:dyDescent="0.2">
      <c r="A1155" t="str">
        <f t="shared" si="186"/>
        <v/>
      </c>
      <c r="E1155" s="4"/>
      <c r="F1155" s="46"/>
      <c r="G1155" s="4"/>
      <c r="H1155" s="48"/>
      <c r="J1155" s="26" t="str">
        <f t="shared" si="187"/>
        <v/>
      </c>
      <c r="N1155" t="str">
        <f t="shared" si="188"/>
        <v/>
      </c>
      <c r="Q1155" t="str">
        <f t="shared" si="189"/>
        <v/>
      </c>
      <c r="S1155" t="str">
        <f>IF(A1155=1,MAX($S$2:$S1154)+1,IF(OR($I1155&lt;&gt;"",A1155="x"),$S1154,""))</f>
        <v/>
      </c>
      <c r="T1155" t="str">
        <f>IF(D1155=1,MAX($T$2:$T1154)+1,IF(S1155=S1154,$T1154,IF(D1155="x",T1154,IF(D1154="x","",""))))</f>
        <v/>
      </c>
      <c r="U1155" t="str">
        <f>IF(B1155=1,MAX($U$2:$U1154)+1,IF(AND($T1155&lt;&gt;"",$T1155=$T1154),$U1154,IF(B1155="x",U1154,"")))</f>
        <v/>
      </c>
      <c r="V1155" t="str">
        <f>IF(C1155=1,MAX($V$2:$V1154)+1,IF(AND($T1155&lt;&gt;"",$T1155=$T1154),$U1154,IF(C1155="x",V1154,"")))</f>
        <v/>
      </c>
      <c r="X1155" cm="1">
        <f t="array" ref="X1155">IF($I1155&lt;&gt;"",$I1155,INDEX($I$1:$I1155,ROW()-COUNTIFS($T$1:$T1155,"="&amp;$T1155,$S$1:$S1155,"&lt;"&amp;$S1155)))</f>
        <v>0</v>
      </c>
      <c r="Z1155" s="6">
        <f t="shared" si="182"/>
        <v>1</v>
      </c>
      <c r="AA1155" t="e">
        <f t="shared" si="183"/>
        <v>#VALUE!</v>
      </c>
      <c r="AB1155" t="str">
        <f t="shared" si="184"/>
        <v/>
      </c>
      <c r="AC1155" t="e">
        <f t="shared" si="185"/>
        <v>#VALUE!</v>
      </c>
    </row>
    <row r="1156" spans="1:29" x14ac:dyDescent="0.2">
      <c r="A1156" t="str">
        <f t="shared" si="186"/>
        <v/>
      </c>
      <c r="E1156" s="4"/>
      <c r="F1156" s="46"/>
      <c r="G1156" s="4"/>
      <c r="H1156" s="48"/>
      <c r="J1156" s="26" t="str">
        <f t="shared" si="187"/>
        <v/>
      </c>
      <c r="N1156" t="str">
        <f t="shared" si="188"/>
        <v/>
      </c>
      <c r="Q1156" t="str">
        <f t="shared" si="189"/>
        <v/>
      </c>
      <c r="S1156" t="str">
        <f>IF(A1156=1,MAX($S$2:$S1155)+1,IF(OR($I1156&lt;&gt;"",A1156="x"),$S1155,""))</f>
        <v/>
      </c>
      <c r="T1156" t="str">
        <f>IF(D1156=1,MAX($T$2:$T1155)+1,IF(S1156=S1155,$T1155,IF(D1156="x",T1155,IF(D1155="x","",""))))</f>
        <v/>
      </c>
      <c r="U1156" t="str">
        <f>IF(B1156=1,MAX($U$2:$U1155)+1,IF(AND($T1156&lt;&gt;"",$T1156=$T1155),$U1155,IF(B1156="x",U1155,"")))</f>
        <v/>
      </c>
      <c r="V1156" t="str">
        <f>IF(C1156=1,MAX($V$2:$V1155)+1,IF(AND($T1156&lt;&gt;"",$T1156=$T1155),$U1155,IF(C1156="x",V1155,"")))</f>
        <v/>
      </c>
      <c r="X1156" cm="1">
        <f t="array" ref="X1156">IF($I1156&lt;&gt;"",$I1156,INDEX($I$1:$I1156,ROW()-COUNTIFS($T$1:$T1156,"="&amp;$T1156,$S$1:$S1156,"&lt;"&amp;$S1156)))</f>
        <v>0</v>
      </c>
      <c r="Z1156" s="6">
        <f t="shared" si="182"/>
        <v>1</v>
      </c>
      <c r="AA1156" t="e">
        <f t="shared" si="183"/>
        <v>#VALUE!</v>
      </c>
      <c r="AB1156" t="str">
        <f t="shared" si="184"/>
        <v/>
      </c>
      <c r="AC1156" t="e">
        <f t="shared" si="185"/>
        <v>#VALUE!</v>
      </c>
    </row>
    <row r="1157" spans="1:29" x14ac:dyDescent="0.2">
      <c r="A1157" t="str">
        <f t="shared" si="186"/>
        <v/>
      </c>
      <c r="E1157" s="4"/>
      <c r="F1157" s="46"/>
      <c r="G1157" s="4"/>
      <c r="H1157" s="48"/>
      <c r="J1157" s="26" t="str">
        <f t="shared" si="187"/>
        <v/>
      </c>
      <c r="N1157" t="str">
        <f t="shared" si="188"/>
        <v/>
      </c>
      <c r="Q1157" t="str">
        <f t="shared" si="189"/>
        <v/>
      </c>
      <c r="S1157" t="str">
        <f>IF(A1157=1,MAX($S$2:$S1156)+1,IF(OR($I1157&lt;&gt;"",A1157="x"),$S1156,""))</f>
        <v/>
      </c>
      <c r="T1157" t="str">
        <f>IF(D1157=1,MAX($T$2:$T1156)+1,IF(S1157=S1156,$T1156,IF(D1157="x",T1156,IF(D1156="x","",""))))</f>
        <v/>
      </c>
      <c r="U1157" t="str">
        <f>IF(B1157=1,MAX($U$2:$U1156)+1,IF(AND($T1157&lt;&gt;"",$T1157=$T1156),$U1156,IF(B1157="x",U1156,"")))</f>
        <v/>
      </c>
      <c r="V1157" t="str">
        <f>IF(C1157=1,MAX($V$2:$V1156)+1,IF(AND($T1157&lt;&gt;"",$T1157=$T1156),$U1156,IF(C1157="x",V1156,"")))</f>
        <v/>
      </c>
      <c r="X1157" cm="1">
        <f t="array" ref="X1157">IF($I1157&lt;&gt;"",$I1157,INDEX($I$1:$I1157,ROW()-COUNTIFS($T$1:$T1157,"="&amp;$T1157,$S$1:$S1157,"&lt;"&amp;$S1157)))</f>
        <v>0</v>
      </c>
      <c r="Z1157" s="6">
        <f t="shared" ref="Z1157:Z1220" si="190">IF(K1157="Intermission",Z1156+1,Z1156)</f>
        <v>1</v>
      </c>
      <c r="AA1157" t="e">
        <f t="shared" ref="AA1157:AA1220" si="191">S1157+1000</f>
        <v>#VALUE!</v>
      </c>
      <c r="AB1157" t="str">
        <f t="shared" ref="AB1157:AB1220" si="192">IF(T1157&lt;&gt;"",9000+T1157,"")</f>
        <v/>
      </c>
      <c r="AC1157" t="e">
        <f t="shared" ref="AC1157:AC1220" si="193">IF(AB1157&lt;&gt;"",AB1157,S1157+1000)</f>
        <v>#VALUE!</v>
      </c>
    </row>
    <row r="1158" spans="1:29" x14ac:dyDescent="0.2">
      <c r="A1158" t="str">
        <f t="shared" si="186"/>
        <v/>
      </c>
      <c r="E1158" s="4"/>
      <c r="F1158" s="46"/>
      <c r="G1158" s="4"/>
      <c r="H1158" s="48"/>
      <c r="J1158" s="26" t="str">
        <f t="shared" si="187"/>
        <v/>
      </c>
      <c r="N1158" t="str">
        <f t="shared" si="188"/>
        <v/>
      </c>
      <c r="Q1158" t="str">
        <f t="shared" si="189"/>
        <v/>
      </c>
      <c r="S1158" t="str">
        <f>IF(A1158=1,MAX($S$2:$S1157)+1,IF(OR($I1158&lt;&gt;"",A1158="x"),$S1157,""))</f>
        <v/>
      </c>
      <c r="T1158" t="str">
        <f>IF(D1158=1,MAX($T$2:$T1157)+1,IF(S1158=S1157,$T1157,IF(D1158="x",T1157,IF(D1157="x","",""))))</f>
        <v/>
      </c>
      <c r="U1158" t="str">
        <f>IF(B1158=1,MAX($U$2:$U1157)+1,IF(AND($T1158&lt;&gt;"",$T1158=$T1157),$U1157,IF(B1158="x",U1157,"")))</f>
        <v/>
      </c>
      <c r="V1158" t="str">
        <f>IF(C1158=1,MAX($V$2:$V1157)+1,IF(AND($T1158&lt;&gt;"",$T1158=$T1157),$U1157,IF(C1158="x",V1157,"")))</f>
        <v/>
      </c>
      <c r="X1158" cm="1">
        <f t="array" ref="X1158">IF($I1158&lt;&gt;"",$I1158,INDEX($I$1:$I1158,ROW()-COUNTIFS($T$1:$T1158,"="&amp;$T1158,$S$1:$S1158,"&lt;"&amp;$S1158)))</f>
        <v>0</v>
      </c>
      <c r="Z1158" s="6">
        <f t="shared" si="190"/>
        <v>1</v>
      </c>
      <c r="AA1158" t="e">
        <f t="shared" si="191"/>
        <v>#VALUE!</v>
      </c>
      <c r="AB1158" t="str">
        <f t="shared" si="192"/>
        <v/>
      </c>
      <c r="AC1158" t="e">
        <f t="shared" si="193"/>
        <v>#VALUE!</v>
      </c>
    </row>
    <row r="1159" spans="1:29" x14ac:dyDescent="0.2">
      <c r="A1159" t="str">
        <f t="shared" si="186"/>
        <v/>
      </c>
      <c r="E1159" s="4"/>
      <c r="F1159" s="46"/>
      <c r="G1159" s="4"/>
      <c r="H1159" s="48"/>
      <c r="J1159" s="26" t="str">
        <f t="shared" si="187"/>
        <v/>
      </c>
      <c r="N1159" t="str">
        <f t="shared" si="188"/>
        <v/>
      </c>
      <c r="Q1159" t="str">
        <f t="shared" si="189"/>
        <v/>
      </c>
      <c r="S1159" t="str">
        <f>IF(A1159=1,MAX($S$2:$S1158)+1,IF(OR($I1159&lt;&gt;"",A1159="x"),$S1158,""))</f>
        <v/>
      </c>
      <c r="T1159" t="str">
        <f>IF(D1159=1,MAX($T$2:$T1158)+1,IF(S1159=S1158,$T1158,IF(D1159="x",T1158,IF(D1158="x","",""))))</f>
        <v/>
      </c>
      <c r="U1159" t="str">
        <f>IF(B1159=1,MAX($U$2:$U1158)+1,IF(AND($T1159&lt;&gt;"",$T1159=$T1158),$U1158,IF(B1159="x",U1158,"")))</f>
        <v/>
      </c>
      <c r="V1159" t="str">
        <f>IF(C1159=1,MAX($V$2:$V1158)+1,IF(AND($T1159&lt;&gt;"",$T1159=$T1158),$U1158,IF(C1159="x",V1158,"")))</f>
        <v/>
      </c>
      <c r="X1159" cm="1">
        <f t="array" ref="X1159">IF($I1159&lt;&gt;"",$I1159,INDEX($I$1:$I1159,ROW()-COUNTIFS($T$1:$T1159,"="&amp;$T1159,$S$1:$S1159,"&lt;"&amp;$S1159)))</f>
        <v>0</v>
      </c>
      <c r="Z1159" s="6">
        <f t="shared" si="190"/>
        <v>1</v>
      </c>
      <c r="AA1159" t="e">
        <f t="shared" si="191"/>
        <v>#VALUE!</v>
      </c>
      <c r="AB1159" t="str">
        <f t="shared" si="192"/>
        <v/>
      </c>
      <c r="AC1159" t="e">
        <f t="shared" si="193"/>
        <v>#VALUE!</v>
      </c>
    </row>
    <row r="1160" spans="1:29" x14ac:dyDescent="0.2">
      <c r="A1160" t="str">
        <f t="shared" si="186"/>
        <v/>
      </c>
      <c r="E1160" s="4"/>
      <c r="F1160" s="46"/>
      <c r="G1160" s="4"/>
      <c r="H1160" s="48"/>
      <c r="J1160" s="26" t="str">
        <f t="shared" si="187"/>
        <v/>
      </c>
      <c r="N1160" t="str">
        <f t="shared" si="188"/>
        <v/>
      </c>
      <c r="Q1160" t="str">
        <f t="shared" si="189"/>
        <v/>
      </c>
      <c r="S1160" t="str">
        <f>IF(A1160=1,MAX($S$2:$S1159)+1,IF(OR($I1160&lt;&gt;"",A1160="x"),$S1159,""))</f>
        <v/>
      </c>
      <c r="T1160" t="str">
        <f>IF(D1160=1,MAX($T$2:$T1159)+1,IF(S1160=S1159,$T1159,IF(D1160="x",T1159,IF(D1159="x","",""))))</f>
        <v/>
      </c>
      <c r="U1160" t="str">
        <f>IF(B1160=1,MAX($U$2:$U1159)+1,IF(AND($T1160&lt;&gt;"",$T1160=$T1159),$U1159,IF(B1160="x",U1159,"")))</f>
        <v/>
      </c>
      <c r="V1160" t="str">
        <f>IF(C1160=1,MAX($V$2:$V1159)+1,IF(AND($T1160&lt;&gt;"",$T1160=$T1159),$U1159,IF(C1160="x",V1159,"")))</f>
        <v/>
      </c>
      <c r="X1160" cm="1">
        <f t="array" ref="X1160">IF($I1160&lt;&gt;"",$I1160,INDEX($I$1:$I1160,ROW()-COUNTIFS($T$1:$T1160,"="&amp;$T1160,$S$1:$S1160,"&lt;"&amp;$S1160)))</f>
        <v>0</v>
      </c>
      <c r="Z1160" s="6">
        <f t="shared" si="190"/>
        <v>1</v>
      </c>
      <c r="AA1160" t="e">
        <f t="shared" si="191"/>
        <v>#VALUE!</v>
      </c>
      <c r="AB1160" t="str">
        <f t="shared" si="192"/>
        <v/>
      </c>
      <c r="AC1160" t="e">
        <f t="shared" si="193"/>
        <v>#VALUE!</v>
      </c>
    </row>
    <row r="1161" spans="1:29" x14ac:dyDescent="0.2">
      <c r="A1161" t="str">
        <f t="shared" si="186"/>
        <v/>
      </c>
      <c r="E1161" s="4"/>
      <c r="F1161" s="46"/>
      <c r="G1161" s="4"/>
      <c r="H1161" s="48"/>
      <c r="J1161" s="26" t="str">
        <f t="shared" si="187"/>
        <v/>
      </c>
      <c r="N1161" t="str">
        <f t="shared" si="188"/>
        <v/>
      </c>
      <c r="Q1161" t="str">
        <f t="shared" si="189"/>
        <v/>
      </c>
      <c r="S1161" t="str">
        <f>IF(A1161=1,MAX($S$2:$S1160)+1,IF(OR($I1161&lt;&gt;"",A1161="x"),$S1160,""))</f>
        <v/>
      </c>
      <c r="T1161" t="str">
        <f>IF(D1161=1,MAX($T$2:$T1160)+1,IF(S1161=S1160,$T1160,IF(D1161="x",T1160,IF(D1160="x","",""))))</f>
        <v/>
      </c>
      <c r="U1161" t="str">
        <f>IF(B1161=1,MAX($U$2:$U1160)+1,IF(AND($T1161&lt;&gt;"",$T1161=$T1160),$U1160,IF(B1161="x",U1160,"")))</f>
        <v/>
      </c>
      <c r="V1161" t="str">
        <f>IF(C1161=1,MAX($V$2:$V1160)+1,IF(AND($T1161&lt;&gt;"",$T1161=$T1160),$U1160,IF(C1161="x",V1160,"")))</f>
        <v/>
      </c>
      <c r="X1161" cm="1">
        <f t="array" ref="X1161">IF($I1161&lt;&gt;"",$I1161,INDEX($I$1:$I1161,ROW()-COUNTIFS($T$1:$T1161,"="&amp;$T1161,$S$1:$S1161,"&lt;"&amp;$S1161)))</f>
        <v>0</v>
      </c>
      <c r="Z1161" s="6">
        <f t="shared" si="190"/>
        <v>1</v>
      </c>
      <c r="AA1161" t="e">
        <f t="shared" si="191"/>
        <v>#VALUE!</v>
      </c>
      <c r="AB1161" t="str">
        <f t="shared" si="192"/>
        <v/>
      </c>
      <c r="AC1161" t="e">
        <f t="shared" si="193"/>
        <v>#VALUE!</v>
      </c>
    </row>
    <row r="1162" spans="1:29" x14ac:dyDescent="0.2">
      <c r="A1162" t="str">
        <f t="shared" si="186"/>
        <v/>
      </c>
      <c r="E1162" s="4"/>
      <c r="F1162" s="46"/>
      <c r="G1162" s="4"/>
      <c r="H1162" s="48"/>
      <c r="J1162" s="26" t="str">
        <f t="shared" si="187"/>
        <v/>
      </c>
      <c r="N1162" t="str">
        <f t="shared" si="188"/>
        <v/>
      </c>
      <c r="Q1162" t="str">
        <f t="shared" si="189"/>
        <v/>
      </c>
      <c r="S1162" t="str">
        <f>IF(A1162=1,MAX($S$2:$S1161)+1,IF(OR($I1162&lt;&gt;"",A1162="x"),$S1161,""))</f>
        <v/>
      </c>
      <c r="T1162" t="str">
        <f>IF(D1162=1,MAX($T$2:$T1161)+1,IF(S1162=S1161,$T1161,IF(D1162="x",T1161,IF(D1161="x","",""))))</f>
        <v/>
      </c>
      <c r="U1162" t="str">
        <f>IF(B1162=1,MAX($U$2:$U1161)+1,IF(AND($T1162&lt;&gt;"",$T1162=$T1161),$U1161,IF(B1162="x",U1161,"")))</f>
        <v/>
      </c>
      <c r="V1162" t="str">
        <f>IF(C1162=1,MAX($V$2:$V1161)+1,IF(AND($T1162&lt;&gt;"",$T1162=$T1161),$U1161,IF(C1162="x",V1161,"")))</f>
        <v/>
      </c>
      <c r="X1162" cm="1">
        <f t="array" ref="X1162">IF($I1162&lt;&gt;"",$I1162,INDEX($I$1:$I1162,ROW()-COUNTIFS($T$1:$T1162,"="&amp;$T1162,$S$1:$S1162,"&lt;"&amp;$S1162)))</f>
        <v>0</v>
      </c>
      <c r="Z1162" s="6">
        <f t="shared" si="190"/>
        <v>1</v>
      </c>
      <c r="AA1162" t="e">
        <f t="shared" si="191"/>
        <v>#VALUE!</v>
      </c>
      <c r="AB1162" t="str">
        <f t="shared" si="192"/>
        <v/>
      </c>
      <c r="AC1162" t="e">
        <f t="shared" si="193"/>
        <v>#VALUE!</v>
      </c>
    </row>
    <row r="1163" spans="1:29" x14ac:dyDescent="0.2">
      <c r="A1163" t="str">
        <f t="shared" si="186"/>
        <v/>
      </c>
      <c r="E1163" s="4"/>
      <c r="F1163" s="46"/>
      <c r="G1163" s="4"/>
      <c r="H1163" s="48"/>
      <c r="J1163" s="26" t="str">
        <f t="shared" si="187"/>
        <v/>
      </c>
      <c r="N1163" t="str">
        <f t="shared" si="188"/>
        <v/>
      </c>
      <c r="Q1163" t="str">
        <f t="shared" si="189"/>
        <v/>
      </c>
      <c r="S1163" t="str">
        <f>IF(A1163=1,MAX($S$2:$S1162)+1,IF(OR($I1163&lt;&gt;"",A1163="x"),$S1162,""))</f>
        <v/>
      </c>
      <c r="T1163" t="str">
        <f>IF(D1163=1,MAX($T$2:$T1162)+1,IF(S1163=S1162,$T1162,IF(D1163="x",T1162,IF(D1162="x","",""))))</f>
        <v/>
      </c>
      <c r="U1163" t="str">
        <f>IF(B1163=1,MAX($U$2:$U1162)+1,IF(AND($T1163&lt;&gt;"",$T1163=$T1162),$U1162,IF(B1163="x",U1162,"")))</f>
        <v/>
      </c>
      <c r="V1163" t="str">
        <f>IF(C1163=1,MAX($V$2:$V1162)+1,IF(AND($T1163&lt;&gt;"",$T1163=$T1162),$U1162,IF(C1163="x",V1162,"")))</f>
        <v/>
      </c>
      <c r="X1163" cm="1">
        <f t="array" ref="X1163">IF($I1163&lt;&gt;"",$I1163,INDEX($I$1:$I1163,ROW()-COUNTIFS($T$1:$T1163,"="&amp;$T1163,$S$1:$S1163,"&lt;"&amp;$S1163)))</f>
        <v>0</v>
      </c>
      <c r="Z1163" s="6">
        <f t="shared" si="190"/>
        <v>1</v>
      </c>
      <c r="AA1163" t="e">
        <f t="shared" si="191"/>
        <v>#VALUE!</v>
      </c>
      <c r="AB1163" t="str">
        <f t="shared" si="192"/>
        <v/>
      </c>
      <c r="AC1163" t="e">
        <f t="shared" si="193"/>
        <v>#VALUE!</v>
      </c>
    </row>
    <row r="1164" spans="1:29" x14ac:dyDescent="0.2">
      <c r="A1164" t="str">
        <f t="shared" si="186"/>
        <v/>
      </c>
      <c r="E1164" s="4"/>
      <c r="F1164" s="46"/>
      <c r="G1164" s="4"/>
      <c r="H1164" s="48"/>
      <c r="J1164" s="26" t="str">
        <f t="shared" si="187"/>
        <v/>
      </c>
      <c r="N1164" t="str">
        <f t="shared" si="188"/>
        <v/>
      </c>
      <c r="Q1164" t="str">
        <f t="shared" si="189"/>
        <v/>
      </c>
      <c r="S1164" t="str">
        <f>IF(A1164=1,MAX($S$2:$S1163)+1,IF(OR($I1164&lt;&gt;"",A1164="x"),$S1163,""))</f>
        <v/>
      </c>
      <c r="T1164" t="str">
        <f>IF(D1164=1,MAX($T$2:$T1163)+1,IF(S1164=S1163,$T1163,IF(D1164="x",T1163,IF(D1163="x","",""))))</f>
        <v/>
      </c>
      <c r="U1164" t="str">
        <f>IF(B1164=1,MAX($U$2:$U1163)+1,IF(AND($T1164&lt;&gt;"",$T1164=$T1163),$U1163,IF(B1164="x",U1163,"")))</f>
        <v/>
      </c>
      <c r="V1164" t="str">
        <f>IF(C1164=1,MAX($V$2:$V1163)+1,IF(AND($T1164&lt;&gt;"",$T1164=$T1163),$U1163,IF(C1164="x",V1163,"")))</f>
        <v/>
      </c>
      <c r="X1164" cm="1">
        <f t="array" ref="X1164">IF($I1164&lt;&gt;"",$I1164,INDEX($I$1:$I1164,ROW()-COUNTIFS($T$1:$T1164,"="&amp;$T1164,$S$1:$S1164,"&lt;"&amp;$S1164)))</f>
        <v>0</v>
      </c>
      <c r="Z1164" s="6">
        <f t="shared" si="190"/>
        <v>1</v>
      </c>
      <c r="AA1164" t="e">
        <f t="shared" si="191"/>
        <v>#VALUE!</v>
      </c>
      <c r="AB1164" t="str">
        <f t="shared" si="192"/>
        <v/>
      </c>
      <c r="AC1164" t="e">
        <f t="shared" si="193"/>
        <v>#VALUE!</v>
      </c>
    </row>
    <row r="1165" spans="1:29" x14ac:dyDescent="0.2">
      <c r="A1165" t="str">
        <f t="shared" si="186"/>
        <v/>
      </c>
      <c r="E1165" s="4"/>
      <c r="F1165" s="46"/>
      <c r="G1165" s="4"/>
      <c r="H1165" s="48"/>
      <c r="J1165" s="26" t="str">
        <f t="shared" si="187"/>
        <v/>
      </c>
      <c r="N1165" t="str">
        <f t="shared" si="188"/>
        <v/>
      </c>
      <c r="Q1165" t="str">
        <f t="shared" si="189"/>
        <v/>
      </c>
      <c r="S1165" t="str">
        <f>IF(A1165=1,MAX($S$2:$S1164)+1,IF(OR($I1165&lt;&gt;"",A1165="x"),$S1164,""))</f>
        <v/>
      </c>
      <c r="T1165" t="str">
        <f>IF(D1165=1,MAX($T$2:$T1164)+1,IF(S1165=S1164,$T1164,IF(D1165="x",T1164,IF(D1164="x","",""))))</f>
        <v/>
      </c>
      <c r="U1165" t="str">
        <f>IF(B1165=1,MAX($U$2:$U1164)+1,IF(AND($T1165&lt;&gt;"",$T1165=$T1164),$U1164,IF(B1165="x",U1164,"")))</f>
        <v/>
      </c>
      <c r="V1165" t="str">
        <f>IF(C1165=1,MAX($V$2:$V1164)+1,IF(AND($T1165&lt;&gt;"",$T1165=$T1164),$U1164,IF(C1165="x",V1164,"")))</f>
        <v/>
      </c>
      <c r="X1165" cm="1">
        <f t="array" ref="X1165">IF($I1165&lt;&gt;"",$I1165,INDEX($I$1:$I1165,ROW()-COUNTIFS($T$1:$T1165,"="&amp;$T1165,$S$1:$S1165,"&lt;"&amp;$S1165)))</f>
        <v>0</v>
      </c>
      <c r="Z1165" s="6">
        <f t="shared" si="190"/>
        <v>1</v>
      </c>
      <c r="AA1165" t="e">
        <f t="shared" si="191"/>
        <v>#VALUE!</v>
      </c>
      <c r="AB1165" t="str">
        <f t="shared" si="192"/>
        <v/>
      </c>
      <c r="AC1165" t="e">
        <f t="shared" si="193"/>
        <v>#VALUE!</v>
      </c>
    </row>
    <row r="1166" spans="1:29" x14ac:dyDescent="0.2">
      <c r="A1166" t="str">
        <f t="shared" si="186"/>
        <v/>
      </c>
      <c r="E1166" s="4"/>
      <c r="F1166" s="46"/>
      <c r="G1166" s="4"/>
      <c r="H1166" s="48"/>
      <c r="J1166" s="26" t="str">
        <f t="shared" si="187"/>
        <v/>
      </c>
      <c r="N1166" t="str">
        <f t="shared" si="188"/>
        <v/>
      </c>
      <c r="Q1166" t="str">
        <f t="shared" si="189"/>
        <v/>
      </c>
      <c r="S1166" t="str">
        <f>IF(A1166=1,MAX($S$2:$S1165)+1,IF(OR($I1166&lt;&gt;"",A1166="x"),$S1165,""))</f>
        <v/>
      </c>
      <c r="T1166" t="str">
        <f>IF(D1166=1,MAX($T$2:$T1165)+1,IF(S1166=S1165,$T1165,IF(D1166="x",T1165,IF(D1165="x","",""))))</f>
        <v/>
      </c>
      <c r="U1166" t="str">
        <f>IF(B1166=1,MAX($U$2:$U1165)+1,IF(AND($T1166&lt;&gt;"",$T1166=$T1165),$U1165,IF(B1166="x",U1165,"")))</f>
        <v/>
      </c>
      <c r="V1166" t="str">
        <f>IF(C1166=1,MAX($V$2:$V1165)+1,IF(AND($T1166&lt;&gt;"",$T1166=$T1165),$U1165,IF(C1166="x",V1165,"")))</f>
        <v/>
      </c>
      <c r="X1166" cm="1">
        <f t="array" ref="X1166">IF($I1166&lt;&gt;"",$I1166,INDEX($I$1:$I1166,ROW()-COUNTIFS($T$1:$T1166,"="&amp;$T1166,$S$1:$S1166,"&lt;"&amp;$S1166)))</f>
        <v>0</v>
      </c>
      <c r="Z1166" s="6">
        <f t="shared" si="190"/>
        <v>1</v>
      </c>
      <c r="AA1166" t="e">
        <f t="shared" si="191"/>
        <v>#VALUE!</v>
      </c>
      <c r="AB1166" t="str">
        <f t="shared" si="192"/>
        <v/>
      </c>
      <c r="AC1166" t="e">
        <f t="shared" si="193"/>
        <v>#VALUE!</v>
      </c>
    </row>
    <row r="1167" spans="1:29" x14ac:dyDescent="0.2">
      <c r="A1167" t="str">
        <f t="shared" si="186"/>
        <v/>
      </c>
      <c r="E1167" s="4"/>
      <c r="F1167" s="46"/>
      <c r="G1167" s="4"/>
      <c r="H1167" s="48"/>
      <c r="J1167" s="26" t="str">
        <f t="shared" si="187"/>
        <v/>
      </c>
      <c r="N1167" t="str">
        <f t="shared" si="188"/>
        <v/>
      </c>
      <c r="Q1167" t="str">
        <f t="shared" si="189"/>
        <v/>
      </c>
      <c r="S1167" t="str">
        <f>IF(A1167=1,MAX($S$2:$S1166)+1,IF(OR($I1167&lt;&gt;"",A1167="x"),$S1166,""))</f>
        <v/>
      </c>
      <c r="T1167" t="str">
        <f>IF(D1167=1,MAX($T$2:$T1166)+1,IF(S1167=S1166,$T1166,IF(D1167="x",T1166,IF(D1166="x","",""))))</f>
        <v/>
      </c>
      <c r="U1167" t="str">
        <f>IF(B1167=1,MAX($U$2:$U1166)+1,IF(AND($T1167&lt;&gt;"",$T1167=$T1166),$U1166,IF(B1167="x",U1166,"")))</f>
        <v/>
      </c>
      <c r="V1167" t="str">
        <f>IF(C1167=1,MAX($V$2:$V1166)+1,IF(AND($T1167&lt;&gt;"",$T1167=$T1166),$U1166,IF(C1167="x",V1166,"")))</f>
        <v/>
      </c>
      <c r="X1167" cm="1">
        <f t="array" ref="X1167">IF($I1167&lt;&gt;"",$I1167,INDEX($I$1:$I1167,ROW()-COUNTIFS($T$1:$T1167,"="&amp;$T1167,$S$1:$S1167,"&lt;"&amp;$S1167)))</f>
        <v>0</v>
      </c>
      <c r="Z1167" s="6">
        <f t="shared" si="190"/>
        <v>1</v>
      </c>
      <c r="AA1167" t="e">
        <f t="shared" si="191"/>
        <v>#VALUE!</v>
      </c>
      <c r="AB1167" t="str">
        <f t="shared" si="192"/>
        <v/>
      </c>
      <c r="AC1167" t="e">
        <f t="shared" si="193"/>
        <v>#VALUE!</v>
      </c>
    </row>
    <row r="1168" spans="1:29" x14ac:dyDescent="0.2">
      <c r="A1168" t="str">
        <f t="shared" si="186"/>
        <v/>
      </c>
      <c r="E1168" s="4"/>
      <c r="F1168" s="46"/>
      <c r="G1168" s="4"/>
      <c r="H1168" s="48"/>
      <c r="J1168" s="26" t="str">
        <f t="shared" si="187"/>
        <v/>
      </c>
      <c r="N1168" t="str">
        <f t="shared" si="188"/>
        <v/>
      </c>
      <c r="Q1168" t="str">
        <f t="shared" si="189"/>
        <v/>
      </c>
      <c r="S1168" t="str">
        <f>IF(A1168=1,MAX($S$2:$S1167)+1,IF(OR($I1168&lt;&gt;"",A1168="x"),$S1167,""))</f>
        <v/>
      </c>
      <c r="T1168" t="str">
        <f>IF(D1168=1,MAX($T$2:$T1167)+1,IF(S1168=S1167,$T1167,IF(D1168="x",T1167,IF(D1167="x","",""))))</f>
        <v/>
      </c>
      <c r="U1168" t="str">
        <f>IF(B1168=1,MAX($U$2:$U1167)+1,IF(AND($T1168&lt;&gt;"",$T1168=$T1167),$U1167,IF(B1168="x",U1167,"")))</f>
        <v/>
      </c>
      <c r="V1168" t="str">
        <f>IF(C1168=1,MAX($V$2:$V1167)+1,IF(AND($T1168&lt;&gt;"",$T1168=$T1167),$U1167,IF(C1168="x",V1167,"")))</f>
        <v/>
      </c>
      <c r="X1168" cm="1">
        <f t="array" ref="X1168">IF($I1168&lt;&gt;"",$I1168,INDEX($I$1:$I1168,ROW()-COUNTIFS($T$1:$T1168,"="&amp;$T1168,$S$1:$S1168,"&lt;"&amp;$S1168)))</f>
        <v>0</v>
      </c>
      <c r="Z1168" s="6">
        <f t="shared" si="190"/>
        <v>1</v>
      </c>
      <c r="AA1168" t="e">
        <f t="shared" si="191"/>
        <v>#VALUE!</v>
      </c>
      <c r="AB1168" t="str">
        <f t="shared" si="192"/>
        <v/>
      </c>
      <c r="AC1168" t="e">
        <f t="shared" si="193"/>
        <v>#VALUE!</v>
      </c>
    </row>
    <row r="1169" spans="1:29" x14ac:dyDescent="0.2">
      <c r="A1169" t="str">
        <f t="shared" si="186"/>
        <v/>
      </c>
      <c r="E1169" s="4"/>
      <c r="F1169" s="46"/>
      <c r="G1169" s="4"/>
      <c r="H1169" s="48"/>
      <c r="J1169" s="26" t="str">
        <f t="shared" si="187"/>
        <v/>
      </c>
      <c r="N1169" t="str">
        <f t="shared" si="188"/>
        <v/>
      </c>
      <c r="Q1169" t="str">
        <f t="shared" si="189"/>
        <v/>
      </c>
      <c r="S1169" t="str">
        <f>IF(A1169=1,MAX($S$2:$S1168)+1,IF(OR($I1169&lt;&gt;"",A1169="x"),$S1168,""))</f>
        <v/>
      </c>
      <c r="T1169" t="str">
        <f>IF(D1169=1,MAX($T$2:$T1168)+1,IF(S1169=S1168,$T1168,IF(D1169="x",T1168,IF(D1168="x","",""))))</f>
        <v/>
      </c>
      <c r="U1169" t="str">
        <f>IF(B1169=1,MAX($U$2:$U1168)+1,IF(AND($T1169&lt;&gt;"",$T1169=$T1168),$U1168,IF(B1169="x",U1168,"")))</f>
        <v/>
      </c>
      <c r="V1169" t="str">
        <f>IF(C1169=1,MAX($V$2:$V1168)+1,IF(AND($T1169&lt;&gt;"",$T1169=$T1168),$U1168,IF(C1169="x",V1168,"")))</f>
        <v/>
      </c>
      <c r="X1169" cm="1">
        <f t="array" ref="X1169">IF($I1169&lt;&gt;"",$I1169,INDEX($I$1:$I1169,ROW()-COUNTIFS($T$1:$T1169,"="&amp;$T1169,$S$1:$S1169,"&lt;"&amp;$S1169)))</f>
        <v>0</v>
      </c>
      <c r="Z1169" s="6">
        <f t="shared" si="190"/>
        <v>1</v>
      </c>
      <c r="AA1169" t="e">
        <f t="shared" si="191"/>
        <v>#VALUE!</v>
      </c>
      <c r="AB1169" t="str">
        <f t="shared" si="192"/>
        <v/>
      </c>
      <c r="AC1169" t="e">
        <f t="shared" si="193"/>
        <v>#VALUE!</v>
      </c>
    </row>
    <row r="1170" spans="1:29" x14ac:dyDescent="0.2">
      <c r="A1170" t="str">
        <f t="shared" si="186"/>
        <v/>
      </c>
      <c r="E1170" s="4"/>
      <c r="F1170" s="46"/>
      <c r="G1170" s="4"/>
      <c r="H1170" s="48"/>
      <c r="J1170" s="26" t="str">
        <f t="shared" si="187"/>
        <v/>
      </c>
      <c r="N1170" t="str">
        <f t="shared" si="188"/>
        <v/>
      </c>
      <c r="Q1170" t="str">
        <f t="shared" si="189"/>
        <v/>
      </c>
      <c r="S1170" t="str">
        <f>IF(A1170=1,MAX($S$2:$S1169)+1,IF(OR($I1170&lt;&gt;"",A1170="x"),$S1169,""))</f>
        <v/>
      </c>
      <c r="T1170" t="str">
        <f>IF(D1170=1,MAX($T$2:$T1169)+1,IF(S1170=S1169,$T1169,IF(D1170="x",T1169,IF(D1169="x","",""))))</f>
        <v/>
      </c>
      <c r="U1170" t="str">
        <f>IF(B1170=1,MAX($U$2:$U1169)+1,IF(AND($T1170&lt;&gt;"",$T1170=$T1169),$U1169,IF(B1170="x",U1169,"")))</f>
        <v/>
      </c>
      <c r="V1170" t="str">
        <f>IF(C1170=1,MAX($V$2:$V1169)+1,IF(AND($T1170&lt;&gt;"",$T1170=$T1169),$U1169,IF(C1170="x",V1169,"")))</f>
        <v/>
      </c>
      <c r="X1170" cm="1">
        <f t="array" ref="X1170">IF($I1170&lt;&gt;"",$I1170,INDEX($I$1:$I1170,ROW()-COUNTIFS($T$1:$T1170,"="&amp;$T1170,$S$1:$S1170,"&lt;"&amp;$S1170)))</f>
        <v>0</v>
      </c>
      <c r="Z1170" s="6">
        <f t="shared" si="190"/>
        <v>1</v>
      </c>
      <c r="AA1170" t="e">
        <f t="shared" si="191"/>
        <v>#VALUE!</v>
      </c>
      <c r="AB1170" t="str">
        <f t="shared" si="192"/>
        <v/>
      </c>
      <c r="AC1170" t="e">
        <f t="shared" si="193"/>
        <v>#VALUE!</v>
      </c>
    </row>
    <row r="1171" spans="1:29" x14ac:dyDescent="0.2">
      <c r="A1171" t="str">
        <f t="shared" ref="A1171:A1234" si="194">IF(K1171&lt;&gt;"",1,IF(D1171="x","x",""))</f>
        <v/>
      </c>
      <c r="E1171" s="4"/>
      <c r="F1171" s="46"/>
      <c r="G1171" s="4"/>
      <c r="H1171" s="48"/>
      <c r="J1171" s="26" t="str">
        <f t="shared" ref="J1171:J1234" si="195">IF(OR(K1171="Goal",K1171="Shot",L1171="Zone_Entry",M1171="Stoppage-Goal",M1170="Stoppage-Goal"),"o",IF(OR(K1171="Save",K1171="Rebound",L1171="Zone_Exit",M1171="Stoppage-GoalieStoppage",M1170="Stoppage-GoalieStoppage"),"d",IF(OR(L1171="Faceoff_AfterGoal",L1171="Faceoff_PeriodStart",698="Faceoff_GameStart",M1170="Stoppage-Goal"),"n","")))</f>
        <v/>
      </c>
      <c r="N1171" t="str">
        <f t="shared" ref="N1171:N1234" si="196">IF(K1171="","",IF(K1171="Goal","s",IF(AND(K1171="Zone_Entry_Exit",OR(ISNUMBER(SEARCH("fail",L1171)),ISNUMBER(SEARCH("FromExitClear",M1171)),ISNUMBER(SEARCH("miss",M1171)))),"u",IF(AND(K1171="Zone_Entry_Exit",OR(NOT(ISNUMBER(SEARCH("fail",L1171))),NOT(ISNUMBER(SEARCH("FromExitClear",M1171))),NOT(ISNUMBER(SEARCH("miss",M1171))))),"s",IF(AND(OR(K1171="Shot",K1171="Pass"),OR(ISNUMBER(SEARCH("complete",L1171)),ISNUMBER(SEARCH("goal",L1171)),ISNUMBER(SEARCH("OnNet",L1171)))),"s",IF(L1171="Turnover_Giveaway","u",IF(AND(OR(K1171="Shot",K1171="Pass"),OR(ISNUMBER(SEARCH("fail",L1171)),NOT(ISNUMBER(SEARCH("complete",L1171))),NOT(ISNUMBER(SEARCH("OnNet",L1171))))),"u","")))))))</f>
        <v/>
      </c>
      <c r="Q1171" t="str">
        <f t="shared" ref="Q1171:Q1234" si="197">IF(O1171="","",IF(AND(N1171&lt;&gt;"",OR(O1171&lt;&gt;"",P1171&lt;&gt;"")),N1171,IF(OR(ISNUMBER(SEARCH("attemp",O1171)),ISNUMBER(SEARCH("beat",O1171)),ISNUMBER(SEARCH("mis",O1171)),ISNUMBER(SEARCH("fail",O1171)),ISNUMBER(SEARCH("loss",O1171)),ISNUMBER(SEARCH("lost",O1171)),ISNUMBER(SEARCH("attemp",P1171)),ISNUMBER(SEARCH("mis",P1171)),ISNUMBER(SEARCH("fail",P1171)),ISNUMBER(SEARCH("loss",P1171)),ISNUMBER(SEARCH("beat",P1171)),ISNUMBER(SEARCH("lost",P1171))),"u","")))</f>
        <v/>
      </c>
      <c r="S1171" t="str">
        <f>IF(A1171=1,MAX($S$2:$S1170)+1,IF(OR($I1171&lt;&gt;"",A1171="x"),$S1170,""))</f>
        <v/>
      </c>
      <c r="T1171" t="str">
        <f>IF(D1171=1,MAX($T$2:$T1170)+1,IF(S1171=S1170,$T1170,IF(D1171="x",T1170,IF(D1170="x","",""))))</f>
        <v/>
      </c>
      <c r="U1171" t="str">
        <f>IF(B1171=1,MAX($U$2:$U1170)+1,IF(AND($T1171&lt;&gt;"",$T1171=$T1170),$U1170,IF(B1171="x",U1170,"")))</f>
        <v/>
      </c>
      <c r="V1171" t="str">
        <f>IF(C1171=1,MAX($V$2:$V1170)+1,IF(AND($T1171&lt;&gt;"",$T1171=$T1170),$U1170,IF(C1171="x",V1170,"")))</f>
        <v/>
      </c>
      <c r="X1171" cm="1">
        <f t="array" ref="X1171">IF($I1171&lt;&gt;"",$I1171,INDEX($I$1:$I1171,ROW()-COUNTIFS($T$1:$T1171,"="&amp;$T1171,$S$1:$S1171,"&lt;"&amp;$S1171)))</f>
        <v>0</v>
      </c>
      <c r="Z1171" s="6">
        <f t="shared" si="190"/>
        <v>1</v>
      </c>
      <c r="AA1171" t="e">
        <f t="shared" si="191"/>
        <v>#VALUE!</v>
      </c>
      <c r="AB1171" t="str">
        <f t="shared" si="192"/>
        <v/>
      </c>
      <c r="AC1171" t="e">
        <f t="shared" si="193"/>
        <v>#VALUE!</v>
      </c>
    </row>
    <row r="1172" spans="1:29" x14ac:dyDescent="0.2">
      <c r="A1172" t="str">
        <f t="shared" si="194"/>
        <v/>
      </c>
      <c r="E1172" s="4"/>
      <c r="F1172" s="46"/>
      <c r="G1172" s="4"/>
      <c r="H1172" s="48"/>
      <c r="J1172" s="26" t="str">
        <f t="shared" si="195"/>
        <v/>
      </c>
      <c r="N1172" t="str">
        <f t="shared" si="196"/>
        <v/>
      </c>
      <c r="Q1172" t="str">
        <f t="shared" si="197"/>
        <v/>
      </c>
      <c r="S1172" t="str">
        <f>IF(A1172=1,MAX($S$2:$S1171)+1,IF(OR($I1172&lt;&gt;"",A1172="x"),$S1171,""))</f>
        <v/>
      </c>
      <c r="T1172" t="str">
        <f>IF(D1172=1,MAX($T$2:$T1171)+1,IF(S1172=S1171,$T1171,IF(D1172="x",T1171,IF(D1171="x","",""))))</f>
        <v/>
      </c>
      <c r="U1172" t="str">
        <f>IF(B1172=1,MAX($U$2:$U1171)+1,IF(AND($T1172&lt;&gt;"",$T1172=$T1171),$U1171,IF(B1172="x",U1171,"")))</f>
        <v/>
      </c>
      <c r="V1172" t="str">
        <f>IF(C1172=1,MAX($V$2:$V1171)+1,IF(AND($T1172&lt;&gt;"",$T1172=$T1171),$U1171,IF(C1172="x",V1171,"")))</f>
        <v/>
      </c>
      <c r="X1172" cm="1">
        <f t="array" ref="X1172">IF($I1172&lt;&gt;"",$I1172,INDEX($I$1:$I1172,ROW()-COUNTIFS($T$1:$T1172,"="&amp;$T1172,$S$1:$S1172,"&lt;"&amp;$S1172)))</f>
        <v>0</v>
      </c>
      <c r="Z1172" s="6">
        <f t="shared" si="190"/>
        <v>1</v>
      </c>
      <c r="AA1172" t="e">
        <f t="shared" si="191"/>
        <v>#VALUE!</v>
      </c>
      <c r="AB1172" t="str">
        <f t="shared" si="192"/>
        <v/>
      </c>
      <c r="AC1172" t="e">
        <f t="shared" si="193"/>
        <v>#VALUE!</v>
      </c>
    </row>
    <row r="1173" spans="1:29" x14ac:dyDescent="0.2">
      <c r="A1173" t="str">
        <f t="shared" si="194"/>
        <v/>
      </c>
      <c r="E1173" s="4"/>
      <c r="F1173" s="46"/>
      <c r="G1173" s="4"/>
      <c r="H1173" s="48"/>
      <c r="J1173" s="26" t="str">
        <f t="shared" si="195"/>
        <v/>
      </c>
      <c r="N1173" t="str">
        <f t="shared" si="196"/>
        <v/>
      </c>
      <c r="Q1173" t="str">
        <f t="shared" si="197"/>
        <v/>
      </c>
      <c r="S1173" t="str">
        <f>IF(A1173=1,MAX($S$2:$S1172)+1,IF(OR($I1173&lt;&gt;"",A1173="x"),$S1172,""))</f>
        <v/>
      </c>
      <c r="T1173" t="str">
        <f>IF(D1173=1,MAX($T$2:$T1172)+1,IF(S1173=S1172,$T1172,IF(D1173="x",T1172,IF(D1172="x","",""))))</f>
        <v/>
      </c>
      <c r="U1173" t="str">
        <f>IF(B1173=1,MAX($U$2:$U1172)+1,IF(AND($T1173&lt;&gt;"",$T1173=$T1172),$U1172,IF(B1173="x",U1172,"")))</f>
        <v/>
      </c>
      <c r="V1173" t="str">
        <f>IF(C1173=1,MAX($V$2:$V1172)+1,IF(AND($T1173&lt;&gt;"",$T1173=$T1172),$U1172,IF(C1173="x",V1172,"")))</f>
        <v/>
      </c>
      <c r="X1173" cm="1">
        <f t="array" ref="X1173">IF($I1173&lt;&gt;"",$I1173,INDEX($I$1:$I1173,ROW()-COUNTIFS($T$1:$T1173,"="&amp;$T1173,$S$1:$S1173,"&lt;"&amp;$S1173)))</f>
        <v>0</v>
      </c>
      <c r="Z1173" s="6">
        <f t="shared" si="190"/>
        <v>1</v>
      </c>
      <c r="AA1173" t="e">
        <f t="shared" si="191"/>
        <v>#VALUE!</v>
      </c>
      <c r="AB1173" t="str">
        <f t="shared" si="192"/>
        <v/>
      </c>
      <c r="AC1173" t="e">
        <f t="shared" si="193"/>
        <v>#VALUE!</v>
      </c>
    </row>
    <row r="1174" spans="1:29" x14ac:dyDescent="0.2">
      <c r="A1174" t="str">
        <f t="shared" si="194"/>
        <v/>
      </c>
      <c r="E1174" s="4"/>
      <c r="F1174" s="46"/>
      <c r="G1174" s="4"/>
      <c r="H1174" s="48"/>
      <c r="J1174" s="26" t="str">
        <f t="shared" si="195"/>
        <v/>
      </c>
      <c r="N1174" t="str">
        <f t="shared" si="196"/>
        <v/>
      </c>
      <c r="Q1174" t="str">
        <f t="shared" si="197"/>
        <v/>
      </c>
      <c r="S1174" t="str">
        <f>IF(A1174=1,MAX($S$2:$S1173)+1,IF(OR($I1174&lt;&gt;"",A1174="x"),$S1173,""))</f>
        <v/>
      </c>
      <c r="T1174" t="str">
        <f>IF(D1174=1,MAX($T$2:$T1173)+1,IF(S1174=S1173,$T1173,IF(D1174="x",T1173,IF(D1173="x","",""))))</f>
        <v/>
      </c>
      <c r="U1174" t="str">
        <f>IF(B1174=1,MAX($U$2:$U1173)+1,IF(AND($T1174&lt;&gt;"",$T1174=$T1173),$U1173,IF(B1174="x",U1173,"")))</f>
        <v/>
      </c>
      <c r="V1174" t="str">
        <f>IF(C1174=1,MAX($V$2:$V1173)+1,IF(AND($T1174&lt;&gt;"",$T1174=$T1173),$U1173,IF(C1174="x",V1173,"")))</f>
        <v/>
      </c>
      <c r="X1174" cm="1">
        <f t="array" ref="X1174">IF($I1174&lt;&gt;"",$I1174,INDEX($I$1:$I1174,ROW()-COUNTIFS($T$1:$T1174,"="&amp;$T1174,$S$1:$S1174,"&lt;"&amp;$S1174)))</f>
        <v>0</v>
      </c>
      <c r="Z1174" s="6">
        <f t="shared" si="190"/>
        <v>1</v>
      </c>
      <c r="AA1174" t="e">
        <f t="shared" si="191"/>
        <v>#VALUE!</v>
      </c>
      <c r="AB1174" t="str">
        <f t="shared" si="192"/>
        <v/>
      </c>
      <c r="AC1174" t="e">
        <f t="shared" si="193"/>
        <v>#VALUE!</v>
      </c>
    </row>
    <row r="1175" spans="1:29" x14ac:dyDescent="0.2">
      <c r="A1175" t="str">
        <f t="shared" si="194"/>
        <v/>
      </c>
      <c r="E1175" s="4"/>
      <c r="F1175" s="46"/>
      <c r="G1175" s="4"/>
      <c r="H1175" s="48"/>
      <c r="J1175" s="26" t="str">
        <f t="shared" si="195"/>
        <v/>
      </c>
      <c r="N1175" t="str">
        <f t="shared" si="196"/>
        <v/>
      </c>
      <c r="Q1175" t="str">
        <f t="shared" si="197"/>
        <v/>
      </c>
      <c r="S1175" t="str">
        <f>IF(A1175=1,MAX($S$2:$S1174)+1,IF(OR($I1175&lt;&gt;"",A1175="x"),$S1174,""))</f>
        <v/>
      </c>
      <c r="T1175" t="str">
        <f>IF(D1175=1,MAX($T$2:$T1174)+1,IF(S1175=S1174,$T1174,IF(D1175="x",T1174,IF(D1174="x","",""))))</f>
        <v/>
      </c>
      <c r="U1175" t="str">
        <f>IF(B1175=1,MAX($U$2:$U1174)+1,IF(AND($T1175&lt;&gt;"",$T1175=$T1174),$U1174,IF(B1175="x",U1174,"")))</f>
        <v/>
      </c>
      <c r="V1175" t="str">
        <f>IF(C1175=1,MAX($V$2:$V1174)+1,IF(AND($T1175&lt;&gt;"",$T1175=$T1174),$U1174,IF(C1175="x",V1174,"")))</f>
        <v/>
      </c>
      <c r="X1175" cm="1">
        <f t="array" ref="X1175">IF($I1175&lt;&gt;"",$I1175,INDEX($I$1:$I1175,ROW()-COUNTIFS($T$1:$T1175,"="&amp;$T1175,$S$1:$S1175,"&lt;"&amp;$S1175)))</f>
        <v>0</v>
      </c>
      <c r="Z1175" s="6">
        <f t="shared" si="190"/>
        <v>1</v>
      </c>
      <c r="AA1175" t="e">
        <f t="shared" si="191"/>
        <v>#VALUE!</v>
      </c>
      <c r="AB1175" t="str">
        <f t="shared" si="192"/>
        <v/>
      </c>
      <c r="AC1175" t="e">
        <f t="shared" si="193"/>
        <v>#VALUE!</v>
      </c>
    </row>
    <row r="1176" spans="1:29" x14ac:dyDescent="0.2">
      <c r="A1176" t="str">
        <f t="shared" si="194"/>
        <v/>
      </c>
      <c r="E1176" s="4"/>
      <c r="F1176" s="46"/>
      <c r="G1176" s="4"/>
      <c r="H1176" s="48"/>
      <c r="J1176" s="26" t="str">
        <f t="shared" si="195"/>
        <v/>
      </c>
      <c r="N1176" t="str">
        <f t="shared" si="196"/>
        <v/>
      </c>
      <c r="Q1176" t="str">
        <f t="shared" si="197"/>
        <v/>
      </c>
      <c r="S1176" t="str">
        <f>IF(A1176=1,MAX($S$2:$S1175)+1,IF(OR($I1176&lt;&gt;"",A1176="x"),$S1175,""))</f>
        <v/>
      </c>
      <c r="T1176" t="str">
        <f>IF(D1176=1,MAX($T$2:$T1175)+1,IF(S1176=S1175,$T1175,IF(D1176="x",T1175,IF(D1175="x","",""))))</f>
        <v/>
      </c>
      <c r="U1176" t="str">
        <f>IF(B1176=1,MAX($U$2:$U1175)+1,IF(AND($T1176&lt;&gt;"",$T1176=$T1175),$U1175,IF(B1176="x",U1175,"")))</f>
        <v/>
      </c>
      <c r="V1176" t="str">
        <f>IF(C1176=1,MAX($V$2:$V1175)+1,IF(AND($T1176&lt;&gt;"",$T1176=$T1175),$U1175,IF(C1176="x",V1175,"")))</f>
        <v/>
      </c>
      <c r="X1176" cm="1">
        <f t="array" ref="X1176">IF($I1176&lt;&gt;"",$I1176,INDEX($I$1:$I1176,ROW()-COUNTIFS($T$1:$T1176,"="&amp;$T1176,$S$1:$S1176,"&lt;"&amp;$S1176)))</f>
        <v>0</v>
      </c>
      <c r="Z1176" s="6">
        <f t="shared" si="190"/>
        <v>1</v>
      </c>
      <c r="AA1176" t="e">
        <f t="shared" si="191"/>
        <v>#VALUE!</v>
      </c>
      <c r="AB1176" t="str">
        <f t="shared" si="192"/>
        <v/>
      </c>
      <c r="AC1176" t="e">
        <f t="shared" si="193"/>
        <v>#VALUE!</v>
      </c>
    </row>
    <row r="1177" spans="1:29" x14ac:dyDescent="0.2">
      <c r="A1177" t="str">
        <f t="shared" si="194"/>
        <v/>
      </c>
      <c r="E1177" s="4"/>
      <c r="F1177" s="46"/>
      <c r="G1177" s="4"/>
      <c r="H1177" s="48"/>
      <c r="J1177" s="26" t="str">
        <f t="shared" si="195"/>
        <v/>
      </c>
      <c r="N1177" t="str">
        <f t="shared" si="196"/>
        <v/>
      </c>
      <c r="Q1177" t="str">
        <f t="shared" si="197"/>
        <v/>
      </c>
      <c r="S1177" t="str">
        <f>IF(A1177=1,MAX($S$2:$S1176)+1,IF(OR($I1177&lt;&gt;"",A1177="x"),$S1176,""))</f>
        <v/>
      </c>
      <c r="T1177" t="str">
        <f>IF(D1177=1,MAX($T$2:$T1176)+1,IF(S1177=S1176,$T1176,IF(D1177="x",T1176,IF(D1176="x","",""))))</f>
        <v/>
      </c>
      <c r="U1177" t="str">
        <f>IF(B1177=1,MAX($U$2:$U1176)+1,IF(AND($T1177&lt;&gt;"",$T1177=$T1176),$U1176,IF(B1177="x",U1176,"")))</f>
        <v/>
      </c>
      <c r="V1177" t="str">
        <f>IF(C1177=1,MAX($V$2:$V1176)+1,IF(AND($T1177&lt;&gt;"",$T1177=$T1176),$U1176,IF(C1177="x",V1176,"")))</f>
        <v/>
      </c>
      <c r="X1177" cm="1">
        <f t="array" ref="X1177">IF($I1177&lt;&gt;"",$I1177,INDEX($I$1:$I1177,ROW()-COUNTIFS($T$1:$T1177,"="&amp;$T1177,$S$1:$S1177,"&lt;"&amp;$S1177)))</f>
        <v>0</v>
      </c>
      <c r="Z1177" s="6">
        <f t="shared" si="190"/>
        <v>1</v>
      </c>
      <c r="AA1177" t="e">
        <f t="shared" si="191"/>
        <v>#VALUE!</v>
      </c>
      <c r="AB1177" t="str">
        <f t="shared" si="192"/>
        <v/>
      </c>
      <c r="AC1177" t="e">
        <f t="shared" si="193"/>
        <v>#VALUE!</v>
      </c>
    </row>
    <row r="1178" spans="1:29" x14ac:dyDescent="0.2">
      <c r="A1178" t="str">
        <f t="shared" si="194"/>
        <v/>
      </c>
      <c r="E1178" s="4"/>
      <c r="F1178" s="46"/>
      <c r="G1178" s="4"/>
      <c r="H1178" s="48"/>
      <c r="J1178" s="26" t="str">
        <f t="shared" si="195"/>
        <v/>
      </c>
      <c r="N1178" t="str">
        <f t="shared" si="196"/>
        <v/>
      </c>
      <c r="Q1178" t="str">
        <f t="shared" si="197"/>
        <v/>
      </c>
      <c r="S1178" t="str">
        <f>IF(A1178=1,MAX($S$2:$S1177)+1,IF(OR($I1178&lt;&gt;"",A1178="x"),$S1177,""))</f>
        <v/>
      </c>
      <c r="T1178" t="str">
        <f>IF(D1178=1,MAX($T$2:$T1177)+1,IF(S1178=S1177,$T1177,IF(D1178="x",T1177,IF(D1177="x","",""))))</f>
        <v/>
      </c>
      <c r="U1178" t="str">
        <f>IF(B1178=1,MAX($U$2:$U1177)+1,IF(AND($T1178&lt;&gt;"",$T1178=$T1177),$U1177,IF(B1178="x",U1177,"")))</f>
        <v/>
      </c>
      <c r="V1178" t="str">
        <f>IF(C1178=1,MAX($V$2:$V1177)+1,IF(AND($T1178&lt;&gt;"",$T1178=$T1177),$U1177,IF(C1178="x",V1177,"")))</f>
        <v/>
      </c>
      <c r="X1178" cm="1">
        <f t="array" ref="X1178">IF($I1178&lt;&gt;"",$I1178,INDEX($I$1:$I1178,ROW()-COUNTIFS($T$1:$T1178,"="&amp;$T1178,$S$1:$S1178,"&lt;"&amp;$S1178)))</f>
        <v>0</v>
      </c>
      <c r="Z1178" s="6">
        <f t="shared" si="190"/>
        <v>1</v>
      </c>
      <c r="AA1178" t="e">
        <f t="shared" si="191"/>
        <v>#VALUE!</v>
      </c>
      <c r="AB1178" t="str">
        <f t="shared" si="192"/>
        <v/>
      </c>
      <c r="AC1178" t="e">
        <f t="shared" si="193"/>
        <v>#VALUE!</v>
      </c>
    </row>
    <row r="1179" spans="1:29" x14ac:dyDescent="0.2">
      <c r="A1179" t="str">
        <f t="shared" si="194"/>
        <v/>
      </c>
      <c r="E1179" s="4"/>
      <c r="F1179" s="46"/>
      <c r="G1179" s="4"/>
      <c r="H1179" s="48"/>
      <c r="J1179" s="26" t="str">
        <f t="shared" si="195"/>
        <v/>
      </c>
      <c r="N1179" t="str">
        <f t="shared" si="196"/>
        <v/>
      </c>
      <c r="Q1179" t="str">
        <f t="shared" si="197"/>
        <v/>
      </c>
      <c r="S1179" t="str">
        <f>IF(A1179=1,MAX($S$2:$S1178)+1,IF(OR($I1179&lt;&gt;"",A1179="x"),$S1178,""))</f>
        <v/>
      </c>
      <c r="T1179" t="str">
        <f>IF(D1179=1,MAX($T$2:$T1178)+1,IF(S1179=S1178,$T1178,IF(D1179="x",T1178,IF(D1178="x","",""))))</f>
        <v/>
      </c>
      <c r="U1179" t="str">
        <f>IF(B1179=1,MAX($U$2:$U1178)+1,IF(AND($T1179&lt;&gt;"",$T1179=$T1178),$U1178,IF(B1179="x",U1178,"")))</f>
        <v/>
      </c>
      <c r="V1179" t="str">
        <f>IF(C1179=1,MAX($V$2:$V1178)+1,IF(AND($T1179&lt;&gt;"",$T1179=$T1178),$U1178,IF(C1179="x",V1178,"")))</f>
        <v/>
      </c>
      <c r="X1179" cm="1">
        <f t="array" ref="X1179">IF($I1179&lt;&gt;"",$I1179,INDEX($I$1:$I1179,ROW()-COUNTIFS($T$1:$T1179,"="&amp;$T1179,$S$1:$S1179,"&lt;"&amp;$S1179)))</f>
        <v>0</v>
      </c>
      <c r="Z1179" s="6">
        <f t="shared" si="190"/>
        <v>1</v>
      </c>
      <c r="AA1179" t="e">
        <f t="shared" si="191"/>
        <v>#VALUE!</v>
      </c>
      <c r="AB1179" t="str">
        <f t="shared" si="192"/>
        <v/>
      </c>
      <c r="AC1179" t="e">
        <f t="shared" si="193"/>
        <v>#VALUE!</v>
      </c>
    </row>
    <row r="1180" spans="1:29" x14ac:dyDescent="0.2">
      <c r="A1180" t="str">
        <f t="shared" si="194"/>
        <v/>
      </c>
      <c r="E1180" s="4"/>
      <c r="F1180" s="46"/>
      <c r="G1180" s="4"/>
      <c r="H1180" s="48"/>
      <c r="J1180" s="26" t="str">
        <f t="shared" si="195"/>
        <v/>
      </c>
      <c r="N1180" t="str">
        <f t="shared" si="196"/>
        <v/>
      </c>
      <c r="Q1180" t="str">
        <f t="shared" si="197"/>
        <v/>
      </c>
      <c r="S1180" t="str">
        <f>IF(A1180=1,MAX($S$2:$S1179)+1,IF(OR($I1180&lt;&gt;"",A1180="x"),$S1179,""))</f>
        <v/>
      </c>
      <c r="T1180" t="str">
        <f>IF(D1180=1,MAX($T$2:$T1179)+1,IF(S1180=S1179,$T1179,IF(D1180="x",T1179,IF(D1179="x","",""))))</f>
        <v/>
      </c>
      <c r="U1180" t="str">
        <f>IF(B1180=1,MAX($U$2:$U1179)+1,IF(AND($T1180&lt;&gt;"",$T1180=$T1179),$U1179,IF(B1180="x",U1179,"")))</f>
        <v/>
      </c>
      <c r="V1180" t="str">
        <f>IF(C1180=1,MAX($V$2:$V1179)+1,IF(AND($T1180&lt;&gt;"",$T1180=$T1179),$U1179,IF(C1180="x",V1179,"")))</f>
        <v/>
      </c>
      <c r="X1180" cm="1">
        <f t="array" ref="X1180">IF($I1180&lt;&gt;"",$I1180,INDEX($I$1:$I1180,ROW()-COUNTIFS($T$1:$T1180,"="&amp;$T1180,$S$1:$S1180,"&lt;"&amp;$S1180)))</f>
        <v>0</v>
      </c>
      <c r="Z1180" s="6">
        <f t="shared" si="190"/>
        <v>1</v>
      </c>
      <c r="AA1180" t="e">
        <f t="shared" si="191"/>
        <v>#VALUE!</v>
      </c>
      <c r="AB1180" t="str">
        <f t="shared" si="192"/>
        <v/>
      </c>
      <c r="AC1180" t="e">
        <f t="shared" si="193"/>
        <v>#VALUE!</v>
      </c>
    </row>
    <row r="1181" spans="1:29" x14ac:dyDescent="0.2">
      <c r="A1181" t="str">
        <f t="shared" si="194"/>
        <v/>
      </c>
      <c r="E1181" s="4"/>
      <c r="F1181" s="46"/>
      <c r="G1181" s="4"/>
      <c r="H1181" s="48"/>
      <c r="J1181" s="26" t="str">
        <f t="shared" si="195"/>
        <v/>
      </c>
      <c r="N1181" t="str">
        <f t="shared" si="196"/>
        <v/>
      </c>
      <c r="Q1181" t="str">
        <f t="shared" si="197"/>
        <v/>
      </c>
      <c r="S1181" t="str">
        <f>IF(A1181=1,MAX($S$2:$S1180)+1,IF(OR($I1181&lt;&gt;"",A1181="x"),$S1180,""))</f>
        <v/>
      </c>
      <c r="T1181" t="str">
        <f>IF(D1181=1,MAX($T$2:$T1180)+1,IF(S1181=S1180,$T1180,IF(D1181="x",T1180,IF(D1180="x","",""))))</f>
        <v/>
      </c>
      <c r="U1181" t="str">
        <f>IF(B1181=1,MAX($U$2:$U1180)+1,IF(AND($T1181&lt;&gt;"",$T1181=$T1180),$U1180,IF(B1181="x",U1180,"")))</f>
        <v/>
      </c>
      <c r="V1181" t="str">
        <f>IF(C1181=1,MAX($V$2:$V1180)+1,IF(AND($T1181&lt;&gt;"",$T1181=$T1180),$U1180,IF(C1181="x",V1180,"")))</f>
        <v/>
      </c>
      <c r="X1181" cm="1">
        <f t="array" ref="X1181">IF($I1181&lt;&gt;"",$I1181,INDEX($I$1:$I1181,ROW()-COUNTIFS($T$1:$T1181,"="&amp;$T1181,$S$1:$S1181,"&lt;"&amp;$S1181)))</f>
        <v>0</v>
      </c>
      <c r="Z1181" s="6">
        <f t="shared" si="190"/>
        <v>1</v>
      </c>
      <c r="AA1181" t="e">
        <f t="shared" si="191"/>
        <v>#VALUE!</v>
      </c>
      <c r="AB1181" t="str">
        <f t="shared" si="192"/>
        <v/>
      </c>
      <c r="AC1181" t="e">
        <f t="shared" si="193"/>
        <v>#VALUE!</v>
      </c>
    </row>
    <row r="1182" spans="1:29" x14ac:dyDescent="0.2">
      <c r="A1182" t="str">
        <f t="shared" si="194"/>
        <v/>
      </c>
      <c r="E1182" s="4"/>
      <c r="F1182" s="46"/>
      <c r="G1182" s="4"/>
      <c r="H1182" s="48"/>
      <c r="J1182" s="26" t="str">
        <f t="shared" si="195"/>
        <v/>
      </c>
      <c r="N1182" t="str">
        <f t="shared" si="196"/>
        <v/>
      </c>
      <c r="Q1182" t="str">
        <f t="shared" si="197"/>
        <v/>
      </c>
      <c r="S1182" t="str">
        <f>IF(A1182=1,MAX($S$2:$S1181)+1,IF(OR($I1182&lt;&gt;"",A1182="x"),$S1181,""))</f>
        <v/>
      </c>
      <c r="T1182" t="str">
        <f>IF(D1182=1,MAX($T$2:$T1181)+1,IF(S1182=S1181,$T1181,IF(D1182="x",T1181,IF(D1181="x","",""))))</f>
        <v/>
      </c>
      <c r="U1182" t="str">
        <f>IF(B1182=1,MAX($U$2:$U1181)+1,IF(AND($T1182&lt;&gt;"",$T1182=$T1181),$U1181,IF(B1182="x",U1181,"")))</f>
        <v/>
      </c>
      <c r="V1182" t="str">
        <f>IF(C1182=1,MAX($V$2:$V1181)+1,IF(AND($T1182&lt;&gt;"",$T1182=$T1181),$U1181,IF(C1182="x",V1181,"")))</f>
        <v/>
      </c>
      <c r="X1182" cm="1">
        <f t="array" ref="X1182">IF($I1182&lt;&gt;"",$I1182,INDEX($I$1:$I1182,ROW()-COUNTIFS($T$1:$T1182,"="&amp;$T1182,$S$1:$S1182,"&lt;"&amp;$S1182)))</f>
        <v>0</v>
      </c>
      <c r="Z1182" s="6">
        <f t="shared" si="190"/>
        <v>1</v>
      </c>
      <c r="AA1182" t="e">
        <f t="shared" si="191"/>
        <v>#VALUE!</v>
      </c>
      <c r="AB1182" t="str">
        <f t="shared" si="192"/>
        <v/>
      </c>
      <c r="AC1182" t="e">
        <f t="shared" si="193"/>
        <v>#VALUE!</v>
      </c>
    </row>
    <row r="1183" spans="1:29" x14ac:dyDescent="0.2">
      <c r="A1183" t="str">
        <f t="shared" si="194"/>
        <v/>
      </c>
      <c r="E1183" s="4"/>
      <c r="F1183" s="46"/>
      <c r="G1183" s="4"/>
      <c r="H1183" s="48"/>
      <c r="J1183" s="26" t="str">
        <f t="shared" si="195"/>
        <v/>
      </c>
      <c r="N1183" t="str">
        <f t="shared" si="196"/>
        <v/>
      </c>
      <c r="Q1183" t="str">
        <f t="shared" si="197"/>
        <v/>
      </c>
      <c r="S1183" t="str">
        <f>IF(A1183=1,MAX($S$2:$S1182)+1,IF(OR($I1183&lt;&gt;"",A1183="x"),$S1182,""))</f>
        <v/>
      </c>
      <c r="T1183" t="str">
        <f>IF(D1183=1,MAX($T$2:$T1182)+1,IF(S1183=S1182,$T1182,IF(D1183="x",T1182,IF(D1182="x","",""))))</f>
        <v/>
      </c>
      <c r="U1183" t="str">
        <f>IF(B1183=1,MAX($U$2:$U1182)+1,IF(AND($T1183&lt;&gt;"",$T1183=$T1182),$U1182,IF(B1183="x",U1182,"")))</f>
        <v/>
      </c>
      <c r="V1183" t="str">
        <f>IF(C1183=1,MAX($V$2:$V1182)+1,IF(AND($T1183&lt;&gt;"",$T1183=$T1182),$U1182,IF(C1183="x",V1182,"")))</f>
        <v/>
      </c>
      <c r="X1183" cm="1">
        <f t="array" ref="X1183">IF($I1183&lt;&gt;"",$I1183,INDEX($I$1:$I1183,ROW()-COUNTIFS($T$1:$T1183,"="&amp;$T1183,$S$1:$S1183,"&lt;"&amp;$S1183)))</f>
        <v>0</v>
      </c>
      <c r="Z1183" s="6">
        <f t="shared" si="190"/>
        <v>1</v>
      </c>
      <c r="AA1183" t="e">
        <f t="shared" si="191"/>
        <v>#VALUE!</v>
      </c>
      <c r="AB1183" t="str">
        <f t="shared" si="192"/>
        <v/>
      </c>
      <c r="AC1183" t="e">
        <f t="shared" si="193"/>
        <v>#VALUE!</v>
      </c>
    </row>
    <row r="1184" spans="1:29" x14ac:dyDescent="0.2">
      <c r="A1184" t="str">
        <f t="shared" si="194"/>
        <v/>
      </c>
      <c r="E1184" s="4"/>
      <c r="F1184" s="46"/>
      <c r="G1184" s="4"/>
      <c r="H1184" s="48"/>
      <c r="J1184" s="26" t="str">
        <f t="shared" si="195"/>
        <v/>
      </c>
      <c r="N1184" t="str">
        <f t="shared" si="196"/>
        <v/>
      </c>
      <c r="Q1184" t="str">
        <f t="shared" si="197"/>
        <v/>
      </c>
      <c r="S1184" t="str">
        <f>IF(A1184=1,MAX($S$2:$S1183)+1,IF(OR($I1184&lt;&gt;"",A1184="x"),$S1183,""))</f>
        <v/>
      </c>
      <c r="T1184" t="str">
        <f>IF(D1184=1,MAX($T$2:$T1183)+1,IF(S1184=S1183,$T1183,IF(D1184="x",T1183,IF(D1183="x","",""))))</f>
        <v/>
      </c>
      <c r="U1184" t="str">
        <f>IF(B1184=1,MAX($U$2:$U1183)+1,IF(AND($T1184&lt;&gt;"",$T1184=$T1183),$U1183,IF(B1184="x",U1183,"")))</f>
        <v/>
      </c>
      <c r="V1184" t="str">
        <f>IF(C1184=1,MAX($V$2:$V1183)+1,IF(AND($T1184&lt;&gt;"",$T1184=$T1183),$U1183,IF(C1184="x",V1183,"")))</f>
        <v/>
      </c>
      <c r="X1184" cm="1">
        <f t="array" ref="X1184">IF($I1184&lt;&gt;"",$I1184,INDEX($I$1:$I1184,ROW()-COUNTIFS($T$1:$T1184,"="&amp;$T1184,$S$1:$S1184,"&lt;"&amp;$S1184)))</f>
        <v>0</v>
      </c>
      <c r="Z1184" s="6">
        <f t="shared" si="190"/>
        <v>1</v>
      </c>
      <c r="AA1184" t="e">
        <f t="shared" si="191"/>
        <v>#VALUE!</v>
      </c>
      <c r="AB1184" t="str">
        <f t="shared" si="192"/>
        <v/>
      </c>
      <c r="AC1184" t="e">
        <f t="shared" si="193"/>
        <v>#VALUE!</v>
      </c>
    </row>
    <row r="1185" spans="1:29" x14ac:dyDescent="0.2">
      <c r="A1185" t="str">
        <f t="shared" si="194"/>
        <v/>
      </c>
      <c r="E1185" s="4"/>
      <c r="F1185" s="46"/>
      <c r="G1185" s="4"/>
      <c r="H1185" s="48"/>
      <c r="J1185" s="26" t="str">
        <f t="shared" si="195"/>
        <v/>
      </c>
      <c r="N1185" t="str">
        <f t="shared" si="196"/>
        <v/>
      </c>
      <c r="Q1185" t="str">
        <f t="shared" si="197"/>
        <v/>
      </c>
      <c r="S1185" t="str">
        <f>IF(A1185=1,MAX($S$2:$S1184)+1,IF(OR($I1185&lt;&gt;"",A1185="x"),$S1184,""))</f>
        <v/>
      </c>
      <c r="T1185" t="str">
        <f>IF(D1185=1,MAX($T$2:$T1184)+1,IF(S1185=S1184,$T1184,IF(D1185="x",T1184,IF(D1184="x","",""))))</f>
        <v/>
      </c>
      <c r="U1185" t="str">
        <f>IF(B1185=1,MAX($U$2:$U1184)+1,IF(AND($T1185&lt;&gt;"",$T1185=$T1184),$U1184,IF(B1185="x",U1184,"")))</f>
        <v/>
      </c>
      <c r="V1185" t="str">
        <f>IF(C1185=1,MAX($V$2:$V1184)+1,IF(AND($T1185&lt;&gt;"",$T1185=$T1184),$U1184,IF(C1185="x",V1184,"")))</f>
        <v/>
      </c>
      <c r="X1185" cm="1">
        <f t="array" ref="X1185">IF($I1185&lt;&gt;"",$I1185,INDEX($I$1:$I1185,ROW()-COUNTIFS($T$1:$T1185,"="&amp;$T1185,$S$1:$S1185,"&lt;"&amp;$S1185)))</f>
        <v>0</v>
      </c>
      <c r="Z1185" s="6">
        <f t="shared" si="190"/>
        <v>1</v>
      </c>
      <c r="AA1185" t="e">
        <f t="shared" si="191"/>
        <v>#VALUE!</v>
      </c>
      <c r="AB1185" t="str">
        <f t="shared" si="192"/>
        <v/>
      </c>
      <c r="AC1185" t="e">
        <f t="shared" si="193"/>
        <v>#VALUE!</v>
      </c>
    </row>
    <row r="1186" spans="1:29" x14ac:dyDescent="0.2">
      <c r="A1186" t="str">
        <f t="shared" si="194"/>
        <v/>
      </c>
      <c r="E1186" s="4"/>
      <c r="F1186" s="46"/>
      <c r="G1186" s="4"/>
      <c r="H1186" s="48"/>
      <c r="J1186" s="26" t="str">
        <f t="shared" si="195"/>
        <v/>
      </c>
      <c r="N1186" t="str">
        <f t="shared" si="196"/>
        <v/>
      </c>
      <c r="Q1186" t="str">
        <f t="shared" si="197"/>
        <v/>
      </c>
      <c r="S1186" t="str">
        <f>IF(A1186=1,MAX($S$2:$S1185)+1,IF(OR($I1186&lt;&gt;"",A1186="x"),$S1185,""))</f>
        <v/>
      </c>
      <c r="T1186" t="str">
        <f>IF(D1186=1,MAX($T$2:$T1185)+1,IF(S1186=S1185,$T1185,IF(D1186="x",T1185,IF(D1185="x","",""))))</f>
        <v/>
      </c>
      <c r="U1186" t="str">
        <f>IF(B1186=1,MAX($U$2:$U1185)+1,IF(AND($T1186&lt;&gt;"",$T1186=$T1185),$U1185,IF(B1186="x",U1185,"")))</f>
        <v/>
      </c>
      <c r="V1186" t="str">
        <f>IF(C1186=1,MAX($V$2:$V1185)+1,IF(AND($T1186&lt;&gt;"",$T1186=$T1185),$U1185,IF(C1186="x",V1185,"")))</f>
        <v/>
      </c>
      <c r="X1186" cm="1">
        <f t="array" ref="X1186">IF($I1186&lt;&gt;"",$I1186,INDEX($I$1:$I1186,ROW()-COUNTIFS($T$1:$T1186,"="&amp;$T1186,$S$1:$S1186,"&lt;"&amp;$S1186)))</f>
        <v>0</v>
      </c>
      <c r="Z1186" s="6">
        <f t="shared" si="190"/>
        <v>1</v>
      </c>
      <c r="AA1186" t="e">
        <f t="shared" si="191"/>
        <v>#VALUE!</v>
      </c>
      <c r="AB1186" t="str">
        <f t="shared" si="192"/>
        <v/>
      </c>
      <c r="AC1186" t="e">
        <f t="shared" si="193"/>
        <v>#VALUE!</v>
      </c>
    </row>
    <row r="1187" spans="1:29" x14ac:dyDescent="0.2">
      <c r="A1187" t="str">
        <f t="shared" si="194"/>
        <v/>
      </c>
      <c r="E1187" s="4"/>
      <c r="F1187" s="46"/>
      <c r="G1187" s="4"/>
      <c r="H1187" s="48"/>
      <c r="J1187" s="26" t="str">
        <f t="shared" si="195"/>
        <v/>
      </c>
      <c r="N1187" t="str">
        <f t="shared" si="196"/>
        <v/>
      </c>
      <c r="Q1187" t="str">
        <f t="shared" si="197"/>
        <v/>
      </c>
      <c r="S1187" t="str">
        <f>IF(A1187=1,MAX($S$2:$S1186)+1,IF(OR($I1187&lt;&gt;"",A1187="x"),$S1186,""))</f>
        <v/>
      </c>
      <c r="T1187" t="str">
        <f>IF(D1187=1,MAX($T$2:$T1186)+1,IF(S1187=S1186,$T1186,IF(D1187="x",T1186,IF(D1186="x","",""))))</f>
        <v/>
      </c>
      <c r="U1187" t="str">
        <f>IF(B1187=1,MAX($U$2:$U1186)+1,IF(AND($T1187&lt;&gt;"",$T1187=$T1186),$U1186,IF(B1187="x",U1186,"")))</f>
        <v/>
      </c>
      <c r="V1187" t="str">
        <f>IF(C1187=1,MAX($V$2:$V1186)+1,IF(AND($T1187&lt;&gt;"",$T1187=$T1186),$U1186,IF(C1187="x",V1186,"")))</f>
        <v/>
      </c>
      <c r="X1187" cm="1">
        <f t="array" ref="X1187">IF($I1187&lt;&gt;"",$I1187,INDEX($I$1:$I1187,ROW()-COUNTIFS($T$1:$T1187,"="&amp;$T1187,$S$1:$S1187,"&lt;"&amp;$S1187)))</f>
        <v>0</v>
      </c>
      <c r="Z1187" s="6">
        <f t="shared" si="190"/>
        <v>1</v>
      </c>
      <c r="AA1187" t="e">
        <f t="shared" si="191"/>
        <v>#VALUE!</v>
      </c>
      <c r="AB1187" t="str">
        <f t="shared" si="192"/>
        <v/>
      </c>
      <c r="AC1187" t="e">
        <f t="shared" si="193"/>
        <v>#VALUE!</v>
      </c>
    </row>
    <row r="1188" spans="1:29" x14ac:dyDescent="0.2">
      <c r="A1188" t="str">
        <f t="shared" si="194"/>
        <v/>
      </c>
      <c r="E1188" s="4"/>
      <c r="F1188" s="46"/>
      <c r="G1188" s="4"/>
      <c r="H1188" s="48"/>
      <c r="J1188" s="26" t="str">
        <f t="shared" si="195"/>
        <v/>
      </c>
      <c r="N1188" t="str">
        <f t="shared" si="196"/>
        <v/>
      </c>
      <c r="Q1188" t="str">
        <f t="shared" si="197"/>
        <v/>
      </c>
      <c r="S1188" t="str">
        <f>IF(A1188=1,MAX($S$2:$S1187)+1,IF(OR($I1188&lt;&gt;"",A1188="x"),$S1187,""))</f>
        <v/>
      </c>
      <c r="T1188" t="str">
        <f>IF(D1188=1,MAX($T$2:$T1187)+1,IF(S1188=S1187,$T1187,IF(D1188="x",T1187,IF(D1187="x","",""))))</f>
        <v/>
      </c>
      <c r="U1188" t="str">
        <f>IF(B1188=1,MAX($U$2:$U1187)+1,IF(AND($T1188&lt;&gt;"",$T1188=$T1187),$U1187,IF(B1188="x",U1187,"")))</f>
        <v/>
      </c>
      <c r="V1188" t="str">
        <f>IF(C1188=1,MAX($V$2:$V1187)+1,IF(AND($T1188&lt;&gt;"",$T1188=$T1187),$U1187,IF(C1188="x",V1187,"")))</f>
        <v/>
      </c>
      <c r="X1188" cm="1">
        <f t="array" ref="X1188">IF($I1188&lt;&gt;"",$I1188,INDEX($I$1:$I1188,ROW()-COUNTIFS($T$1:$T1188,"="&amp;$T1188,$S$1:$S1188,"&lt;"&amp;$S1188)))</f>
        <v>0</v>
      </c>
      <c r="Z1188" s="6">
        <f t="shared" si="190"/>
        <v>1</v>
      </c>
      <c r="AA1188" t="e">
        <f t="shared" si="191"/>
        <v>#VALUE!</v>
      </c>
      <c r="AB1188" t="str">
        <f t="shared" si="192"/>
        <v/>
      </c>
      <c r="AC1188" t="e">
        <f t="shared" si="193"/>
        <v>#VALUE!</v>
      </c>
    </row>
    <row r="1189" spans="1:29" x14ac:dyDescent="0.2">
      <c r="A1189" t="str">
        <f t="shared" si="194"/>
        <v/>
      </c>
      <c r="E1189" s="4"/>
      <c r="F1189" s="46"/>
      <c r="G1189" s="4"/>
      <c r="H1189" s="48"/>
      <c r="J1189" s="26" t="str">
        <f t="shared" si="195"/>
        <v/>
      </c>
      <c r="N1189" t="str">
        <f t="shared" si="196"/>
        <v/>
      </c>
      <c r="Q1189" t="str">
        <f t="shared" si="197"/>
        <v/>
      </c>
      <c r="S1189" t="str">
        <f>IF(A1189=1,MAX($S$2:$S1188)+1,IF(OR($I1189&lt;&gt;"",A1189="x"),$S1188,""))</f>
        <v/>
      </c>
      <c r="T1189" t="str">
        <f>IF(D1189=1,MAX($T$2:$T1188)+1,IF(S1189=S1188,$T1188,IF(D1189="x",T1188,IF(D1188="x","",""))))</f>
        <v/>
      </c>
      <c r="U1189" t="str">
        <f>IF(B1189=1,MAX($U$2:$U1188)+1,IF(AND($T1189&lt;&gt;"",$T1189=$T1188),$U1188,IF(B1189="x",U1188,"")))</f>
        <v/>
      </c>
      <c r="V1189" t="str">
        <f>IF(C1189=1,MAX($V$2:$V1188)+1,IF(AND($T1189&lt;&gt;"",$T1189=$T1188),$U1188,IF(C1189="x",V1188,"")))</f>
        <v/>
      </c>
      <c r="X1189" cm="1">
        <f t="array" ref="X1189">IF($I1189&lt;&gt;"",$I1189,INDEX($I$1:$I1189,ROW()-COUNTIFS($T$1:$T1189,"="&amp;$T1189,$S$1:$S1189,"&lt;"&amp;$S1189)))</f>
        <v>0</v>
      </c>
      <c r="Z1189" s="6">
        <f t="shared" si="190"/>
        <v>1</v>
      </c>
      <c r="AA1189" t="e">
        <f t="shared" si="191"/>
        <v>#VALUE!</v>
      </c>
      <c r="AB1189" t="str">
        <f t="shared" si="192"/>
        <v/>
      </c>
      <c r="AC1189" t="e">
        <f t="shared" si="193"/>
        <v>#VALUE!</v>
      </c>
    </row>
    <row r="1190" spans="1:29" x14ac:dyDescent="0.2">
      <c r="A1190" t="str">
        <f t="shared" si="194"/>
        <v/>
      </c>
      <c r="E1190" s="4"/>
      <c r="F1190" s="46"/>
      <c r="G1190" s="4"/>
      <c r="H1190" s="48"/>
      <c r="J1190" s="26" t="str">
        <f t="shared" si="195"/>
        <v/>
      </c>
      <c r="N1190" t="str">
        <f t="shared" si="196"/>
        <v/>
      </c>
      <c r="Q1190" t="str">
        <f t="shared" si="197"/>
        <v/>
      </c>
      <c r="S1190" t="str">
        <f>IF(A1190=1,MAX($S$2:$S1189)+1,IF(OR($I1190&lt;&gt;"",A1190="x"),$S1189,""))</f>
        <v/>
      </c>
      <c r="T1190" t="str">
        <f>IF(D1190=1,MAX($T$2:$T1189)+1,IF(S1190=S1189,$T1189,IF(D1190="x",T1189,IF(D1189="x","",""))))</f>
        <v/>
      </c>
      <c r="U1190" t="str">
        <f>IF(B1190=1,MAX($U$2:$U1189)+1,IF(AND($T1190&lt;&gt;"",$T1190=$T1189),$U1189,IF(B1190="x",U1189,"")))</f>
        <v/>
      </c>
      <c r="V1190" t="str">
        <f>IF(C1190=1,MAX($V$2:$V1189)+1,IF(AND($T1190&lt;&gt;"",$T1190=$T1189),$U1189,IF(C1190="x",V1189,"")))</f>
        <v/>
      </c>
      <c r="X1190" cm="1">
        <f t="array" ref="X1190">IF($I1190&lt;&gt;"",$I1190,INDEX($I$1:$I1190,ROW()-COUNTIFS($T$1:$T1190,"="&amp;$T1190,$S$1:$S1190,"&lt;"&amp;$S1190)))</f>
        <v>0</v>
      </c>
      <c r="Z1190" s="6">
        <f t="shared" si="190"/>
        <v>1</v>
      </c>
      <c r="AA1190" t="e">
        <f t="shared" si="191"/>
        <v>#VALUE!</v>
      </c>
      <c r="AB1190" t="str">
        <f t="shared" si="192"/>
        <v/>
      </c>
      <c r="AC1190" t="e">
        <f t="shared" si="193"/>
        <v>#VALUE!</v>
      </c>
    </row>
    <row r="1191" spans="1:29" x14ac:dyDescent="0.2">
      <c r="A1191" t="str">
        <f t="shared" si="194"/>
        <v/>
      </c>
      <c r="E1191" s="4"/>
      <c r="F1191" s="46"/>
      <c r="G1191" s="4"/>
      <c r="H1191" s="48"/>
      <c r="J1191" s="26" t="str">
        <f t="shared" si="195"/>
        <v/>
      </c>
      <c r="N1191" t="str">
        <f t="shared" si="196"/>
        <v/>
      </c>
      <c r="Q1191" t="str">
        <f t="shared" si="197"/>
        <v/>
      </c>
      <c r="S1191" t="str">
        <f>IF(A1191=1,MAX($S$2:$S1190)+1,IF(OR($I1191&lt;&gt;"",A1191="x"),$S1190,""))</f>
        <v/>
      </c>
      <c r="T1191" t="str">
        <f>IF(D1191=1,MAX($T$2:$T1190)+1,IF(S1191=S1190,$T1190,IF(D1191="x",T1190,IF(D1190="x","",""))))</f>
        <v/>
      </c>
      <c r="U1191" t="str">
        <f>IF(B1191=1,MAX($U$2:$U1190)+1,IF(AND($T1191&lt;&gt;"",$T1191=$T1190),$U1190,IF(B1191="x",U1190,"")))</f>
        <v/>
      </c>
      <c r="V1191" t="str">
        <f>IF(C1191=1,MAX($V$2:$V1190)+1,IF(AND($T1191&lt;&gt;"",$T1191=$T1190),$U1190,IF(C1191="x",V1190,"")))</f>
        <v/>
      </c>
      <c r="X1191" cm="1">
        <f t="array" ref="X1191">IF($I1191&lt;&gt;"",$I1191,INDEX($I$1:$I1191,ROW()-COUNTIFS($T$1:$T1191,"="&amp;$T1191,$S$1:$S1191,"&lt;"&amp;$S1191)))</f>
        <v>0</v>
      </c>
      <c r="Z1191" s="6">
        <f t="shared" si="190"/>
        <v>1</v>
      </c>
      <c r="AA1191" t="e">
        <f t="shared" si="191"/>
        <v>#VALUE!</v>
      </c>
      <c r="AB1191" t="str">
        <f t="shared" si="192"/>
        <v/>
      </c>
      <c r="AC1191" t="e">
        <f t="shared" si="193"/>
        <v>#VALUE!</v>
      </c>
    </row>
    <row r="1192" spans="1:29" x14ac:dyDescent="0.2">
      <c r="A1192" t="str">
        <f t="shared" si="194"/>
        <v/>
      </c>
      <c r="E1192" s="4"/>
      <c r="F1192" s="46"/>
      <c r="G1192" s="4"/>
      <c r="H1192" s="48"/>
      <c r="J1192" s="26" t="str">
        <f t="shared" si="195"/>
        <v/>
      </c>
      <c r="N1192" t="str">
        <f t="shared" si="196"/>
        <v/>
      </c>
      <c r="Q1192" t="str">
        <f t="shared" si="197"/>
        <v/>
      </c>
      <c r="S1192" t="str">
        <f>IF(A1192=1,MAX($S$2:$S1191)+1,IF(OR($I1192&lt;&gt;"",A1192="x"),$S1191,""))</f>
        <v/>
      </c>
      <c r="T1192" t="str">
        <f>IF(D1192=1,MAX($T$2:$T1191)+1,IF(S1192=S1191,$T1191,IF(D1192="x",T1191,IF(D1191="x","",""))))</f>
        <v/>
      </c>
      <c r="U1192" t="str">
        <f>IF(B1192=1,MAX($U$2:$U1191)+1,IF(AND($T1192&lt;&gt;"",$T1192=$T1191),$U1191,IF(B1192="x",U1191,"")))</f>
        <v/>
      </c>
      <c r="V1192" t="str">
        <f>IF(C1192=1,MAX($V$2:$V1191)+1,IF(AND($T1192&lt;&gt;"",$T1192=$T1191),$U1191,IF(C1192="x",V1191,"")))</f>
        <v/>
      </c>
      <c r="X1192" cm="1">
        <f t="array" ref="X1192">IF($I1192&lt;&gt;"",$I1192,INDEX($I$1:$I1192,ROW()-COUNTIFS($T$1:$T1192,"="&amp;$T1192,$S$1:$S1192,"&lt;"&amp;$S1192)))</f>
        <v>0</v>
      </c>
      <c r="Z1192" s="6">
        <f t="shared" si="190"/>
        <v>1</v>
      </c>
      <c r="AA1192" t="e">
        <f t="shared" si="191"/>
        <v>#VALUE!</v>
      </c>
      <c r="AB1192" t="str">
        <f t="shared" si="192"/>
        <v/>
      </c>
      <c r="AC1192" t="e">
        <f t="shared" si="193"/>
        <v>#VALUE!</v>
      </c>
    </row>
    <row r="1193" spans="1:29" x14ac:dyDescent="0.2">
      <c r="A1193" t="str">
        <f t="shared" si="194"/>
        <v/>
      </c>
      <c r="E1193" s="4"/>
      <c r="F1193" s="46"/>
      <c r="G1193" s="4"/>
      <c r="H1193" s="48"/>
      <c r="J1193" s="26" t="str">
        <f t="shared" si="195"/>
        <v/>
      </c>
      <c r="N1193" t="str">
        <f t="shared" si="196"/>
        <v/>
      </c>
      <c r="Q1193" t="str">
        <f t="shared" si="197"/>
        <v/>
      </c>
      <c r="S1193" t="str">
        <f>IF(A1193=1,MAX($S$2:$S1192)+1,IF(OR($I1193&lt;&gt;"",A1193="x"),$S1192,""))</f>
        <v/>
      </c>
      <c r="T1193" t="str">
        <f>IF(D1193=1,MAX($T$2:$T1192)+1,IF(S1193=S1192,$T1192,IF(D1193="x",T1192,IF(D1192="x","",""))))</f>
        <v/>
      </c>
      <c r="U1193" t="str">
        <f>IF(B1193=1,MAX($U$2:$U1192)+1,IF(AND($T1193&lt;&gt;"",$T1193=$T1192),$U1192,IF(B1193="x",U1192,"")))</f>
        <v/>
      </c>
      <c r="V1193" t="str">
        <f>IF(C1193=1,MAX($V$2:$V1192)+1,IF(AND($T1193&lt;&gt;"",$T1193=$T1192),$U1192,IF(C1193="x",V1192,"")))</f>
        <v/>
      </c>
      <c r="X1193" cm="1">
        <f t="array" ref="X1193">IF($I1193&lt;&gt;"",$I1193,INDEX($I$1:$I1193,ROW()-COUNTIFS($T$1:$T1193,"="&amp;$T1193,$S$1:$S1193,"&lt;"&amp;$S1193)))</f>
        <v>0</v>
      </c>
      <c r="Z1193" s="6">
        <f t="shared" si="190"/>
        <v>1</v>
      </c>
      <c r="AA1193" t="e">
        <f t="shared" si="191"/>
        <v>#VALUE!</v>
      </c>
      <c r="AB1193" t="str">
        <f t="shared" si="192"/>
        <v/>
      </c>
      <c r="AC1193" t="e">
        <f t="shared" si="193"/>
        <v>#VALUE!</v>
      </c>
    </row>
    <row r="1194" spans="1:29" x14ac:dyDescent="0.2">
      <c r="A1194" t="str">
        <f t="shared" si="194"/>
        <v/>
      </c>
      <c r="E1194" s="4"/>
      <c r="F1194" s="46"/>
      <c r="G1194" s="4"/>
      <c r="H1194" s="48"/>
      <c r="J1194" s="26" t="str">
        <f t="shared" si="195"/>
        <v/>
      </c>
      <c r="N1194" t="str">
        <f t="shared" si="196"/>
        <v/>
      </c>
      <c r="Q1194" t="str">
        <f t="shared" si="197"/>
        <v/>
      </c>
      <c r="S1194" t="str">
        <f>IF(A1194=1,MAX($S$2:$S1193)+1,IF(OR($I1194&lt;&gt;"",A1194="x"),$S1193,""))</f>
        <v/>
      </c>
      <c r="T1194" t="str">
        <f>IF(D1194=1,MAX($T$2:$T1193)+1,IF(S1194=S1193,$T1193,IF(D1194="x",T1193,IF(D1193="x","",""))))</f>
        <v/>
      </c>
      <c r="U1194" t="str">
        <f>IF(B1194=1,MAX($U$2:$U1193)+1,IF(AND($T1194&lt;&gt;"",$T1194=$T1193),$U1193,IF(B1194="x",U1193,"")))</f>
        <v/>
      </c>
      <c r="V1194" t="str">
        <f>IF(C1194=1,MAX($V$2:$V1193)+1,IF(AND($T1194&lt;&gt;"",$T1194=$T1193),$U1193,IF(C1194="x",V1193,"")))</f>
        <v/>
      </c>
      <c r="X1194" cm="1">
        <f t="array" ref="X1194">IF($I1194&lt;&gt;"",$I1194,INDEX($I$1:$I1194,ROW()-COUNTIFS($T$1:$T1194,"="&amp;$T1194,$S$1:$S1194,"&lt;"&amp;$S1194)))</f>
        <v>0</v>
      </c>
      <c r="Z1194" s="6">
        <f t="shared" si="190"/>
        <v>1</v>
      </c>
      <c r="AA1194" t="e">
        <f t="shared" si="191"/>
        <v>#VALUE!</v>
      </c>
      <c r="AB1194" t="str">
        <f t="shared" si="192"/>
        <v/>
      </c>
      <c r="AC1194" t="e">
        <f t="shared" si="193"/>
        <v>#VALUE!</v>
      </c>
    </row>
    <row r="1195" spans="1:29" x14ac:dyDescent="0.2">
      <c r="A1195" t="str">
        <f t="shared" si="194"/>
        <v/>
      </c>
      <c r="E1195" s="4"/>
      <c r="F1195" s="46"/>
      <c r="G1195" s="4"/>
      <c r="H1195" s="48"/>
      <c r="J1195" s="26" t="str">
        <f t="shared" si="195"/>
        <v/>
      </c>
      <c r="N1195" t="str">
        <f t="shared" si="196"/>
        <v/>
      </c>
      <c r="Q1195" t="str">
        <f t="shared" si="197"/>
        <v/>
      </c>
      <c r="S1195" t="str">
        <f>IF(A1195=1,MAX($S$2:$S1194)+1,IF(OR($I1195&lt;&gt;"",A1195="x"),$S1194,""))</f>
        <v/>
      </c>
      <c r="T1195" t="str">
        <f>IF(D1195=1,MAX($T$2:$T1194)+1,IF(S1195=S1194,$T1194,IF(D1195="x",T1194,IF(D1194="x","",""))))</f>
        <v/>
      </c>
      <c r="U1195" t="str">
        <f>IF(B1195=1,MAX($U$2:$U1194)+1,IF(AND($T1195&lt;&gt;"",$T1195=$T1194),$U1194,IF(B1195="x",U1194,"")))</f>
        <v/>
      </c>
      <c r="V1195" t="str">
        <f>IF(C1195=1,MAX($V$2:$V1194)+1,IF(AND($T1195&lt;&gt;"",$T1195=$T1194),$U1194,IF(C1195="x",V1194,"")))</f>
        <v/>
      </c>
      <c r="X1195" cm="1">
        <f t="array" ref="X1195">IF($I1195&lt;&gt;"",$I1195,INDEX($I$1:$I1195,ROW()-COUNTIFS($T$1:$T1195,"="&amp;$T1195,$S$1:$S1195,"&lt;"&amp;$S1195)))</f>
        <v>0</v>
      </c>
      <c r="Z1195" s="6">
        <f t="shared" si="190"/>
        <v>1</v>
      </c>
      <c r="AA1195" t="e">
        <f t="shared" si="191"/>
        <v>#VALUE!</v>
      </c>
      <c r="AB1195" t="str">
        <f t="shared" si="192"/>
        <v/>
      </c>
      <c r="AC1195" t="e">
        <f t="shared" si="193"/>
        <v>#VALUE!</v>
      </c>
    </row>
    <row r="1196" spans="1:29" x14ac:dyDescent="0.2">
      <c r="A1196" t="str">
        <f t="shared" si="194"/>
        <v/>
      </c>
      <c r="E1196" s="4"/>
      <c r="F1196" s="46"/>
      <c r="G1196" s="4"/>
      <c r="H1196" s="48"/>
      <c r="J1196" s="26" t="str">
        <f t="shared" si="195"/>
        <v/>
      </c>
      <c r="N1196" t="str">
        <f t="shared" si="196"/>
        <v/>
      </c>
      <c r="Q1196" t="str">
        <f t="shared" si="197"/>
        <v/>
      </c>
      <c r="S1196" t="str">
        <f>IF(A1196=1,MAX($S$2:$S1195)+1,IF(OR($I1196&lt;&gt;"",A1196="x"),$S1195,""))</f>
        <v/>
      </c>
      <c r="T1196" t="str">
        <f>IF(D1196=1,MAX($T$2:$T1195)+1,IF(S1196=S1195,$T1195,IF(D1196="x",T1195,IF(D1195="x","",""))))</f>
        <v/>
      </c>
      <c r="U1196" t="str">
        <f>IF(B1196=1,MAX($U$2:$U1195)+1,IF(AND($T1196&lt;&gt;"",$T1196=$T1195),$U1195,IF(B1196="x",U1195,"")))</f>
        <v/>
      </c>
      <c r="V1196" t="str">
        <f>IF(C1196=1,MAX($V$2:$V1195)+1,IF(AND($T1196&lt;&gt;"",$T1196=$T1195),$U1195,IF(C1196="x",V1195,"")))</f>
        <v/>
      </c>
      <c r="X1196" cm="1">
        <f t="array" ref="X1196">IF($I1196&lt;&gt;"",$I1196,INDEX($I$1:$I1196,ROW()-COUNTIFS($T$1:$T1196,"="&amp;$T1196,$S$1:$S1196,"&lt;"&amp;$S1196)))</f>
        <v>0</v>
      </c>
      <c r="Z1196" s="6">
        <f t="shared" si="190"/>
        <v>1</v>
      </c>
      <c r="AA1196" t="e">
        <f t="shared" si="191"/>
        <v>#VALUE!</v>
      </c>
      <c r="AB1196" t="str">
        <f t="shared" si="192"/>
        <v/>
      </c>
      <c r="AC1196" t="e">
        <f t="shared" si="193"/>
        <v>#VALUE!</v>
      </c>
    </row>
    <row r="1197" spans="1:29" x14ac:dyDescent="0.2">
      <c r="A1197" t="str">
        <f t="shared" si="194"/>
        <v/>
      </c>
      <c r="E1197" s="4"/>
      <c r="F1197" s="46"/>
      <c r="G1197" s="4"/>
      <c r="H1197" s="48"/>
      <c r="J1197" s="26" t="str">
        <f t="shared" si="195"/>
        <v/>
      </c>
      <c r="N1197" t="str">
        <f t="shared" si="196"/>
        <v/>
      </c>
      <c r="Q1197" t="str">
        <f t="shared" si="197"/>
        <v/>
      </c>
      <c r="S1197" t="str">
        <f>IF(A1197=1,MAX($S$2:$S1196)+1,IF(OR($I1197&lt;&gt;"",A1197="x"),$S1196,""))</f>
        <v/>
      </c>
      <c r="T1197" t="str">
        <f>IF(D1197=1,MAX($T$2:$T1196)+1,IF(S1197=S1196,$T1196,IF(D1197="x",T1196,IF(D1196="x","",""))))</f>
        <v/>
      </c>
      <c r="U1197" t="str">
        <f>IF(B1197=1,MAX($U$2:$U1196)+1,IF(AND($T1197&lt;&gt;"",$T1197=$T1196),$U1196,IF(B1197="x",U1196,"")))</f>
        <v/>
      </c>
      <c r="V1197" t="str">
        <f>IF(C1197=1,MAX($V$2:$V1196)+1,IF(AND($T1197&lt;&gt;"",$T1197=$T1196),$U1196,IF(C1197="x",V1196,"")))</f>
        <v/>
      </c>
      <c r="X1197" cm="1">
        <f t="array" ref="X1197">IF($I1197&lt;&gt;"",$I1197,INDEX($I$1:$I1197,ROW()-COUNTIFS($T$1:$T1197,"="&amp;$T1197,$S$1:$S1197,"&lt;"&amp;$S1197)))</f>
        <v>0</v>
      </c>
      <c r="Z1197" s="6">
        <f t="shared" si="190"/>
        <v>1</v>
      </c>
      <c r="AA1197" t="e">
        <f t="shared" si="191"/>
        <v>#VALUE!</v>
      </c>
      <c r="AB1197" t="str">
        <f t="shared" si="192"/>
        <v/>
      </c>
      <c r="AC1197" t="e">
        <f t="shared" si="193"/>
        <v>#VALUE!</v>
      </c>
    </row>
    <row r="1198" spans="1:29" x14ac:dyDescent="0.2">
      <c r="A1198" t="str">
        <f t="shared" si="194"/>
        <v/>
      </c>
      <c r="E1198" s="4"/>
      <c r="F1198" s="46"/>
      <c r="G1198" s="4"/>
      <c r="H1198" s="48"/>
      <c r="J1198" s="26" t="str">
        <f t="shared" si="195"/>
        <v/>
      </c>
      <c r="N1198" t="str">
        <f t="shared" si="196"/>
        <v/>
      </c>
      <c r="Q1198" t="str">
        <f t="shared" si="197"/>
        <v/>
      </c>
      <c r="S1198" t="str">
        <f>IF(A1198=1,MAX($S$2:$S1197)+1,IF(OR($I1198&lt;&gt;"",A1198="x"),$S1197,""))</f>
        <v/>
      </c>
      <c r="T1198" t="str">
        <f>IF(D1198=1,MAX($T$2:$T1197)+1,IF(S1198=S1197,$T1197,IF(D1198="x",T1197,IF(D1197="x","",""))))</f>
        <v/>
      </c>
      <c r="U1198" t="str">
        <f>IF(B1198=1,MAX($U$2:$U1197)+1,IF(AND($T1198&lt;&gt;"",$T1198=$T1197),$U1197,IF(B1198="x",U1197,"")))</f>
        <v/>
      </c>
      <c r="V1198" t="str">
        <f>IF(C1198=1,MAX($V$2:$V1197)+1,IF(AND($T1198&lt;&gt;"",$T1198=$T1197),$U1197,IF(C1198="x",V1197,"")))</f>
        <v/>
      </c>
      <c r="X1198" cm="1">
        <f t="array" ref="X1198">IF($I1198&lt;&gt;"",$I1198,INDEX($I$1:$I1198,ROW()-COUNTIFS($T$1:$T1198,"="&amp;$T1198,$S$1:$S1198,"&lt;"&amp;$S1198)))</f>
        <v>0</v>
      </c>
      <c r="Z1198" s="6">
        <f t="shared" si="190"/>
        <v>1</v>
      </c>
      <c r="AA1198" t="e">
        <f t="shared" si="191"/>
        <v>#VALUE!</v>
      </c>
      <c r="AB1198" t="str">
        <f t="shared" si="192"/>
        <v/>
      </c>
      <c r="AC1198" t="e">
        <f t="shared" si="193"/>
        <v>#VALUE!</v>
      </c>
    </row>
    <row r="1199" spans="1:29" x14ac:dyDescent="0.2">
      <c r="A1199" t="str">
        <f t="shared" si="194"/>
        <v/>
      </c>
      <c r="E1199" s="4"/>
      <c r="F1199" s="46"/>
      <c r="G1199" s="4"/>
      <c r="H1199" s="48"/>
      <c r="J1199" s="26" t="str">
        <f t="shared" si="195"/>
        <v/>
      </c>
      <c r="N1199" t="str">
        <f t="shared" si="196"/>
        <v/>
      </c>
      <c r="Q1199" t="str">
        <f t="shared" si="197"/>
        <v/>
      </c>
      <c r="S1199" t="str">
        <f>IF(A1199=1,MAX($S$2:$S1198)+1,IF(OR($I1199&lt;&gt;"",A1199="x"),$S1198,""))</f>
        <v/>
      </c>
      <c r="T1199" t="str">
        <f>IF(D1199=1,MAX($T$2:$T1198)+1,IF(S1199=S1198,$T1198,IF(D1199="x",T1198,IF(D1198="x","",""))))</f>
        <v/>
      </c>
      <c r="U1199" t="str">
        <f>IF(B1199=1,MAX($U$2:$U1198)+1,IF(AND($T1199&lt;&gt;"",$T1199=$T1198),$U1198,IF(B1199="x",U1198,"")))</f>
        <v/>
      </c>
      <c r="V1199" t="str">
        <f>IF(C1199=1,MAX($V$2:$V1198)+1,IF(AND($T1199&lt;&gt;"",$T1199=$T1198),$U1198,IF(C1199="x",V1198,"")))</f>
        <v/>
      </c>
      <c r="X1199" cm="1">
        <f t="array" ref="X1199">IF($I1199&lt;&gt;"",$I1199,INDEX($I$1:$I1199,ROW()-COUNTIFS($T$1:$T1199,"="&amp;$T1199,$S$1:$S1199,"&lt;"&amp;$S1199)))</f>
        <v>0</v>
      </c>
      <c r="Z1199" s="6">
        <f t="shared" si="190"/>
        <v>1</v>
      </c>
      <c r="AA1199" t="e">
        <f t="shared" si="191"/>
        <v>#VALUE!</v>
      </c>
      <c r="AB1199" t="str">
        <f t="shared" si="192"/>
        <v/>
      </c>
      <c r="AC1199" t="e">
        <f t="shared" si="193"/>
        <v>#VALUE!</v>
      </c>
    </row>
    <row r="1200" spans="1:29" x14ac:dyDescent="0.2">
      <c r="A1200" t="str">
        <f t="shared" si="194"/>
        <v/>
      </c>
      <c r="E1200" s="4"/>
      <c r="F1200" s="46"/>
      <c r="G1200" s="4"/>
      <c r="H1200" s="48"/>
      <c r="J1200" s="26" t="str">
        <f t="shared" si="195"/>
        <v/>
      </c>
      <c r="N1200" t="str">
        <f t="shared" si="196"/>
        <v/>
      </c>
      <c r="Q1200" t="str">
        <f t="shared" si="197"/>
        <v/>
      </c>
      <c r="S1200" t="str">
        <f>IF(A1200=1,MAX($S$2:$S1199)+1,IF(OR($I1200&lt;&gt;"",A1200="x"),$S1199,""))</f>
        <v/>
      </c>
      <c r="T1200" t="str">
        <f>IF(D1200=1,MAX($T$2:$T1199)+1,IF(S1200=S1199,$T1199,IF(D1200="x",T1199,IF(D1199="x","",""))))</f>
        <v/>
      </c>
      <c r="U1200" t="str">
        <f>IF(B1200=1,MAX($U$2:$U1199)+1,IF(AND($T1200&lt;&gt;"",$T1200=$T1199),$U1199,IF(B1200="x",U1199,"")))</f>
        <v/>
      </c>
      <c r="V1200" t="str">
        <f>IF(C1200=1,MAX($V$2:$V1199)+1,IF(AND($T1200&lt;&gt;"",$T1200=$T1199),$U1199,IF(C1200="x",V1199,"")))</f>
        <v/>
      </c>
      <c r="X1200" cm="1">
        <f t="array" ref="X1200">IF($I1200&lt;&gt;"",$I1200,INDEX($I$1:$I1200,ROW()-COUNTIFS($T$1:$T1200,"="&amp;$T1200,$S$1:$S1200,"&lt;"&amp;$S1200)))</f>
        <v>0</v>
      </c>
      <c r="Z1200" s="6">
        <f t="shared" si="190"/>
        <v>1</v>
      </c>
      <c r="AA1200" t="e">
        <f t="shared" si="191"/>
        <v>#VALUE!</v>
      </c>
      <c r="AB1200" t="str">
        <f t="shared" si="192"/>
        <v/>
      </c>
      <c r="AC1200" t="e">
        <f t="shared" si="193"/>
        <v>#VALUE!</v>
      </c>
    </row>
    <row r="1201" spans="1:29" x14ac:dyDescent="0.2">
      <c r="A1201" t="str">
        <f t="shared" si="194"/>
        <v/>
      </c>
      <c r="E1201" s="4"/>
      <c r="F1201" s="46"/>
      <c r="G1201" s="4"/>
      <c r="H1201" s="48"/>
      <c r="J1201" s="26" t="str">
        <f t="shared" si="195"/>
        <v/>
      </c>
      <c r="N1201" t="str">
        <f t="shared" si="196"/>
        <v/>
      </c>
      <c r="Q1201" t="str">
        <f t="shared" si="197"/>
        <v/>
      </c>
      <c r="S1201" t="str">
        <f>IF(A1201=1,MAX($S$2:$S1200)+1,IF(OR($I1201&lt;&gt;"",A1201="x"),$S1200,""))</f>
        <v/>
      </c>
      <c r="T1201" t="str">
        <f>IF(D1201=1,MAX($T$2:$T1200)+1,IF(S1201=S1200,$T1200,IF(D1201="x",T1200,IF(D1200="x","",""))))</f>
        <v/>
      </c>
      <c r="U1201" t="str">
        <f>IF(B1201=1,MAX($U$2:$U1200)+1,IF(AND($T1201&lt;&gt;"",$T1201=$T1200),$U1200,IF(B1201="x",U1200,"")))</f>
        <v/>
      </c>
      <c r="V1201" t="str">
        <f>IF(C1201=1,MAX($V$2:$V1200)+1,IF(AND($T1201&lt;&gt;"",$T1201=$T1200),$U1200,IF(C1201="x",V1200,"")))</f>
        <v/>
      </c>
      <c r="X1201" cm="1">
        <f t="array" ref="X1201">IF($I1201&lt;&gt;"",$I1201,INDEX($I$1:$I1201,ROW()-COUNTIFS($T$1:$T1201,"="&amp;$T1201,$S$1:$S1201,"&lt;"&amp;$S1201)))</f>
        <v>0</v>
      </c>
      <c r="Z1201" s="6">
        <f t="shared" si="190"/>
        <v>1</v>
      </c>
      <c r="AA1201" t="e">
        <f t="shared" si="191"/>
        <v>#VALUE!</v>
      </c>
      <c r="AB1201" t="str">
        <f t="shared" si="192"/>
        <v/>
      </c>
      <c r="AC1201" t="e">
        <f t="shared" si="193"/>
        <v>#VALUE!</v>
      </c>
    </row>
    <row r="1202" spans="1:29" x14ac:dyDescent="0.2">
      <c r="A1202" t="str">
        <f t="shared" si="194"/>
        <v/>
      </c>
      <c r="E1202" s="4"/>
      <c r="F1202" s="46"/>
      <c r="G1202" s="4"/>
      <c r="H1202" s="48"/>
      <c r="J1202" s="26" t="str">
        <f t="shared" si="195"/>
        <v/>
      </c>
      <c r="N1202" t="str">
        <f t="shared" si="196"/>
        <v/>
      </c>
      <c r="Q1202" t="str">
        <f t="shared" si="197"/>
        <v/>
      </c>
      <c r="S1202" t="str">
        <f>IF(A1202=1,MAX($S$2:$S1201)+1,IF(OR($I1202&lt;&gt;"",A1202="x"),$S1201,""))</f>
        <v/>
      </c>
      <c r="T1202" t="str">
        <f>IF(D1202=1,MAX($T$2:$T1201)+1,IF(S1202=S1201,$T1201,IF(D1202="x",T1201,IF(D1201="x","",""))))</f>
        <v/>
      </c>
      <c r="U1202" t="str">
        <f>IF(B1202=1,MAX($U$2:$U1201)+1,IF(AND($T1202&lt;&gt;"",$T1202=$T1201),$U1201,IF(B1202="x",U1201,"")))</f>
        <v/>
      </c>
      <c r="V1202" t="str">
        <f>IF(C1202=1,MAX($V$2:$V1201)+1,IF(AND($T1202&lt;&gt;"",$T1202=$T1201),$U1201,IF(C1202="x",V1201,"")))</f>
        <v/>
      </c>
      <c r="X1202" cm="1">
        <f t="array" ref="X1202">IF($I1202&lt;&gt;"",$I1202,INDEX($I$1:$I1202,ROW()-COUNTIFS($T$1:$T1202,"="&amp;$T1202,$S$1:$S1202,"&lt;"&amp;$S1202)))</f>
        <v>0</v>
      </c>
      <c r="Z1202" s="6">
        <f t="shared" si="190"/>
        <v>1</v>
      </c>
      <c r="AA1202" t="e">
        <f t="shared" si="191"/>
        <v>#VALUE!</v>
      </c>
      <c r="AB1202" t="str">
        <f t="shared" si="192"/>
        <v/>
      </c>
      <c r="AC1202" t="e">
        <f t="shared" si="193"/>
        <v>#VALUE!</v>
      </c>
    </row>
    <row r="1203" spans="1:29" x14ac:dyDescent="0.2">
      <c r="A1203" t="str">
        <f t="shared" si="194"/>
        <v/>
      </c>
      <c r="E1203" s="4"/>
      <c r="F1203" s="46"/>
      <c r="G1203" s="4"/>
      <c r="H1203" s="48"/>
      <c r="J1203" s="26" t="str">
        <f t="shared" si="195"/>
        <v/>
      </c>
      <c r="N1203" t="str">
        <f t="shared" si="196"/>
        <v/>
      </c>
      <c r="Q1203" t="str">
        <f t="shared" si="197"/>
        <v/>
      </c>
      <c r="S1203" t="str">
        <f>IF(A1203=1,MAX($S$2:$S1202)+1,IF(OR($I1203&lt;&gt;"",A1203="x"),$S1202,""))</f>
        <v/>
      </c>
      <c r="T1203" t="str">
        <f>IF(D1203=1,MAX($T$2:$T1202)+1,IF(S1203=S1202,$T1202,IF(D1203="x",T1202,IF(D1202="x","",""))))</f>
        <v/>
      </c>
      <c r="U1203" t="str">
        <f>IF(B1203=1,MAX($U$2:$U1202)+1,IF(AND($T1203&lt;&gt;"",$T1203=$T1202),$U1202,IF(B1203="x",U1202,"")))</f>
        <v/>
      </c>
      <c r="V1203" t="str">
        <f>IF(C1203=1,MAX($V$2:$V1202)+1,IF(AND($T1203&lt;&gt;"",$T1203=$T1202),$U1202,IF(C1203="x",V1202,"")))</f>
        <v/>
      </c>
      <c r="X1203" cm="1">
        <f t="array" ref="X1203">IF($I1203&lt;&gt;"",$I1203,INDEX($I$1:$I1203,ROW()-COUNTIFS($T$1:$T1203,"="&amp;$T1203,$S$1:$S1203,"&lt;"&amp;$S1203)))</f>
        <v>0</v>
      </c>
      <c r="Z1203" s="6">
        <f t="shared" si="190"/>
        <v>1</v>
      </c>
      <c r="AA1203" t="e">
        <f t="shared" si="191"/>
        <v>#VALUE!</v>
      </c>
      <c r="AB1203" t="str">
        <f t="shared" si="192"/>
        <v/>
      </c>
      <c r="AC1203" t="e">
        <f t="shared" si="193"/>
        <v>#VALUE!</v>
      </c>
    </row>
    <row r="1204" spans="1:29" x14ac:dyDescent="0.2">
      <c r="A1204" t="str">
        <f t="shared" si="194"/>
        <v/>
      </c>
      <c r="E1204" s="4"/>
      <c r="F1204" s="46"/>
      <c r="G1204" s="4"/>
      <c r="H1204" s="48"/>
      <c r="J1204" s="26" t="str">
        <f t="shared" si="195"/>
        <v/>
      </c>
      <c r="N1204" t="str">
        <f t="shared" si="196"/>
        <v/>
      </c>
      <c r="Q1204" t="str">
        <f t="shared" si="197"/>
        <v/>
      </c>
      <c r="S1204" t="str">
        <f>IF(A1204=1,MAX($S$2:$S1203)+1,IF(OR($I1204&lt;&gt;"",A1204="x"),$S1203,""))</f>
        <v/>
      </c>
      <c r="T1204" t="str">
        <f>IF(D1204=1,MAX($T$2:$T1203)+1,IF(S1204=S1203,$T1203,IF(D1204="x",T1203,IF(D1203="x","",""))))</f>
        <v/>
      </c>
      <c r="U1204" t="str">
        <f>IF(B1204=1,MAX($U$2:$U1203)+1,IF(AND($T1204&lt;&gt;"",$T1204=$T1203),$U1203,IF(B1204="x",U1203,"")))</f>
        <v/>
      </c>
      <c r="V1204" t="str">
        <f>IF(C1204=1,MAX($V$2:$V1203)+1,IF(AND($T1204&lt;&gt;"",$T1204=$T1203),$U1203,IF(C1204="x",V1203,"")))</f>
        <v/>
      </c>
      <c r="X1204" cm="1">
        <f t="array" ref="X1204">IF($I1204&lt;&gt;"",$I1204,INDEX($I$1:$I1204,ROW()-COUNTIFS($T$1:$T1204,"="&amp;$T1204,$S$1:$S1204,"&lt;"&amp;$S1204)))</f>
        <v>0</v>
      </c>
      <c r="Z1204" s="6">
        <f t="shared" si="190"/>
        <v>1</v>
      </c>
      <c r="AA1204" t="e">
        <f t="shared" si="191"/>
        <v>#VALUE!</v>
      </c>
      <c r="AB1204" t="str">
        <f t="shared" si="192"/>
        <v/>
      </c>
      <c r="AC1204" t="e">
        <f t="shared" si="193"/>
        <v>#VALUE!</v>
      </c>
    </row>
    <row r="1205" spans="1:29" x14ac:dyDescent="0.2">
      <c r="A1205" t="str">
        <f t="shared" si="194"/>
        <v/>
      </c>
      <c r="E1205" s="4"/>
      <c r="F1205" s="46"/>
      <c r="G1205" s="4"/>
      <c r="H1205" s="48"/>
      <c r="J1205" s="26" t="str">
        <f t="shared" si="195"/>
        <v/>
      </c>
      <c r="N1205" t="str">
        <f t="shared" si="196"/>
        <v/>
      </c>
      <c r="Q1205" t="str">
        <f t="shared" si="197"/>
        <v/>
      </c>
      <c r="S1205" t="str">
        <f>IF(A1205=1,MAX($S$2:$S1204)+1,IF(OR($I1205&lt;&gt;"",A1205="x"),$S1204,""))</f>
        <v/>
      </c>
      <c r="T1205" t="str">
        <f>IF(D1205=1,MAX($T$2:$T1204)+1,IF(S1205=S1204,$T1204,IF(D1205="x",T1204,IF(D1204="x","",""))))</f>
        <v/>
      </c>
      <c r="U1205" t="str">
        <f>IF(B1205=1,MAX($U$2:$U1204)+1,IF(AND($T1205&lt;&gt;"",$T1205=$T1204),$U1204,IF(B1205="x",U1204,"")))</f>
        <v/>
      </c>
      <c r="V1205" t="str">
        <f>IF(C1205=1,MAX($V$2:$V1204)+1,IF(AND($T1205&lt;&gt;"",$T1205=$T1204),$U1204,IF(C1205="x",V1204,"")))</f>
        <v/>
      </c>
      <c r="X1205" cm="1">
        <f t="array" ref="X1205">IF($I1205&lt;&gt;"",$I1205,INDEX($I$1:$I1205,ROW()-COUNTIFS($T$1:$T1205,"="&amp;$T1205,$S$1:$S1205,"&lt;"&amp;$S1205)))</f>
        <v>0</v>
      </c>
      <c r="Z1205" s="6">
        <f t="shared" si="190"/>
        <v>1</v>
      </c>
      <c r="AA1205" t="e">
        <f t="shared" si="191"/>
        <v>#VALUE!</v>
      </c>
      <c r="AB1205" t="str">
        <f t="shared" si="192"/>
        <v/>
      </c>
      <c r="AC1205" t="e">
        <f t="shared" si="193"/>
        <v>#VALUE!</v>
      </c>
    </row>
    <row r="1206" spans="1:29" x14ac:dyDescent="0.2">
      <c r="A1206" t="str">
        <f t="shared" si="194"/>
        <v/>
      </c>
      <c r="E1206" s="4"/>
      <c r="F1206" s="46"/>
      <c r="G1206" s="4"/>
      <c r="H1206" s="48"/>
      <c r="J1206" s="26" t="str">
        <f t="shared" si="195"/>
        <v/>
      </c>
      <c r="N1206" t="str">
        <f t="shared" si="196"/>
        <v/>
      </c>
      <c r="Q1206" t="str">
        <f t="shared" si="197"/>
        <v/>
      </c>
      <c r="S1206" t="str">
        <f>IF(A1206=1,MAX($S$2:$S1205)+1,IF(OR($I1206&lt;&gt;"",A1206="x"),$S1205,""))</f>
        <v/>
      </c>
      <c r="T1206" t="str">
        <f>IF(D1206=1,MAX($T$2:$T1205)+1,IF(S1206=S1205,$T1205,IF(D1206="x",T1205,IF(D1205="x","",""))))</f>
        <v/>
      </c>
      <c r="U1206" t="str">
        <f>IF(B1206=1,MAX($U$2:$U1205)+1,IF(AND($T1206&lt;&gt;"",$T1206=$T1205),$U1205,IF(B1206="x",U1205,"")))</f>
        <v/>
      </c>
      <c r="V1206" t="str">
        <f>IF(C1206=1,MAX($V$2:$V1205)+1,IF(AND($T1206&lt;&gt;"",$T1206=$T1205),$U1205,IF(C1206="x",V1205,"")))</f>
        <v/>
      </c>
      <c r="X1206" cm="1">
        <f t="array" ref="X1206">IF($I1206&lt;&gt;"",$I1206,INDEX($I$1:$I1206,ROW()-COUNTIFS($T$1:$T1206,"="&amp;$T1206,$S$1:$S1206,"&lt;"&amp;$S1206)))</f>
        <v>0</v>
      </c>
      <c r="Z1206" s="6">
        <f t="shared" si="190"/>
        <v>1</v>
      </c>
      <c r="AA1206" t="e">
        <f t="shared" si="191"/>
        <v>#VALUE!</v>
      </c>
      <c r="AB1206" t="str">
        <f t="shared" si="192"/>
        <v/>
      </c>
      <c r="AC1206" t="e">
        <f t="shared" si="193"/>
        <v>#VALUE!</v>
      </c>
    </row>
    <row r="1207" spans="1:29" x14ac:dyDescent="0.2">
      <c r="A1207" t="str">
        <f t="shared" si="194"/>
        <v/>
      </c>
      <c r="E1207" s="4"/>
      <c r="F1207" s="46"/>
      <c r="G1207" s="4"/>
      <c r="H1207" s="48"/>
      <c r="J1207" s="26" t="str">
        <f t="shared" si="195"/>
        <v/>
      </c>
      <c r="N1207" t="str">
        <f t="shared" si="196"/>
        <v/>
      </c>
      <c r="Q1207" t="str">
        <f t="shared" si="197"/>
        <v/>
      </c>
      <c r="S1207" t="str">
        <f>IF(A1207=1,MAX($S$2:$S1206)+1,IF(OR($I1207&lt;&gt;"",A1207="x"),$S1206,""))</f>
        <v/>
      </c>
      <c r="T1207" t="str">
        <f>IF(D1207=1,MAX($T$2:$T1206)+1,IF(S1207=S1206,$T1206,IF(D1207="x",T1206,IF(D1206="x","",""))))</f>
        <v/>
      </c>
      <c r="U1207" t="str">
        <f>IF(B1207=1,MAX($U$2:$U1206)+1,IF(AND($T1207&lt;&gt;"",$T1207=$T1206),$U1206,IF(B1207="x",U1206,"")))</f>
        <v/>
      </c>
      <c r="V1207" t="str">
        <f>IF(C1207=1,MAX($V$2:$V1206)+1,IF(AND($T1207&lt;&gt;"",$T1207=$T1206),$U1206,IF(C1207="x",V1206,"")))</f>
        <v/>
      </c>
      <c r="X1207" cm="1">
        <f t="array" ref="X1207">IF($I1207&lt;&gt;"",$I1207,INDEX($I$1:$I1207,ROW()-COUNTIFS($T$1:$T1207,"="&amp;$T1207,$S$1:$S1207,"&lt;"&amp;$S1207)))</f>
        <v>0</v>
      </c>
      <c r="Z1207" s="6">
        <f t="shared" si="190"/>
        <v>1</v>
      </c>
      <c r="AA1207" t="e">
        <f t="shared" si="191"/>
        <v>#VALUE!</v>
      </c>
      <c r="AB1207" t="str">
        <f t="shared" si="192"/>
        <v/>
      </c>
      <c r="AC1207" t="e">
        <f t="shared" si="193"/>
        <v>#VALUE!</v>
      </c>
    </row>
    <row r="1208" spans="1:29" x14ac:dyDescent="0.2">
      <c r="A1208" t="str">
        <f t="shared" si="194"/>
        <v/>
      </c>
      <c r="E1208" s="4"/>
      <c r="F1208" s="46"/>
      <c r="G1208" s="4"/>
      <c r="H1208" s="48"/>
      <c r="J1208" s="26" t="str">
        <f t="shared" si="195"/>
        <v/>
      </c>
      <c r="N1208" t="str">
        <f t="shared" si="196"/>
        <v/>
      </c>
      <c r="Q1208" t="str">
        <f t="shared" si="197"/>
        <v/>
      </c>
      <c r="S1208" t="str">
        <f>IF(A1208=1,MAX($S$2:$S1207)+1,IF(OR($I1208&lt;&gt;"",A1208="x"),$S1207,""))</f>
        <v/>
      </c>
      <c r="T1208" t="str">
        <f>IF(D1208=1,MAX($T$2:$T1207)+1,IF(S1208=S1207,$T1207,IF(D1208="x",T1207,IF(D1207="x","",""))))</f>
        <v/>
      </c>
      <c r="U1208" t="str">
        <f>IF(B1208=1,MAX($U$2:$U1207)+1,IF(AND($T1208&lt;&gt;"",$T1208=$T1207),$U1207,IF(B1208="x",U1207,"")))</f>
        <v/>
      </c>
      <c r="V1208" t="str">
        <f>IF(C1208=1,MAX($V$2:$V1207)+1,IF(AND($T1208&lt;&gt;"",$T1208=$T1207),$U1207,IF(C1208="x",V1207,"")))</f>
        <v/>
      </c>
      <c r="X1208" cm="1">
        <f t="array" ref="X1208">IF($I1208&lt;&gt;"",$I1208,INDEX($I$1:$I1208,ROW()-COUNTIFS($T$1:$T1208,"="&amp;$T1208,$S$1:$S1208,"&lt;"&amp;$S1208)))</f>
        <v>0</v>
      </c>
      <c r="Z1208" s="6">
        <f t="shared" si="190"/>
        <v>1</v>
      </c>
      <c r="AA1208" t="e">
        <f t="shared" si="191"/>
        <v>#VALUE!</v>
      </c>
      <c r="AB1208" t="str">
        <f t="shared" si="192"/>
        <v/>
      </c>
      <c r="AC1208" t="e">
        <f t="shared" si="193"/>
        <v>#VALUE!</v>
      </c>
    </row>
    <row r="1209" spans="1:29" x14ac:dyDescent="0.2">
      <c r="A1209" t="str">
        <f t="shared" si="194"/>
        <v/>
      </c>
      <c r="E1209" s="4"/>
      <c r="F1209" s="46"/>
      <c r="G1209" s="4"/>
      <c r="H1209" s="48"/>
      <c r="J1209" s="26" t="str">
        <f t="shared" si="195"/>
        <v/>
      </c>
      <c r="N1209" t="str">
        <f t="shared" si="196"/>
        <v/>
      </c>
      <c r="Q1209" t="str">
        <f t="shared" si="197"/>
        <v/>
      </c>
      <c r="S1209" t="str">
        <f>IF(A1209=1,MAX($S$2:$S1208)+1,IF(OR($I1209&lt;&gt;"",A1209="x"),$S1208,""))</f>
        <v/>
      </c>
      <c r="T1209" t="str">
        <f>IF(D1209=1,MAX($T$2:$T1208)+1,IF(S1209=S1208,$T1208,IF(D1209="x",T1208,IF(D1208="x","",""))))</f>
        <v/>
      </c>
      <c r="U1209" t="str">
        <f>IF(B1209=1,MAX($U$2:$U1208)+1,IF(AND($T1209&lt;&gt;"",$T1209=$T1208),$U1208,IF(B1209="x",U1208,"")))</f>
        <v/>
      </c>
      <c r="V1209" t="str">
        <f>IF(C1209=1,MAX($V$2:$V1208)+1,IF(AND($T1209&lt;&gt;"",$T1209=$T1208),$U1208,IF(C1209="x",V1208,"")))</f>
        <v/>
      </c>
      <c r="X1209" cm="1">
        <f t="array" ref="X1209">IF($I1209&lt;&gt;"",$I1209,INDEX($I$1:$I1209,ROW()-COUNTIFS($T$1:$T1209,"="&amp;$T1209,$S$1:$S1209,"&lt;"&amp;$S1209)))</f>
        <v>0</v>
      </c>
      <c r="Z1209" s="6">
        <f t="shared" si="190"/>
        <v>1</v>
      </c>
      <c r="AA1209" t="e">
        <f t="shared" si="191"/>
        <v>#VALUE!</v>
      </c>
      <c r="AB1209" t="str">
        <f t="shared" si="192"/>
        <v/>
      </c>
      <c r="AC1209" t="e">
        <f t="shared" si="193"/>
        <v>#VALUE!</v>
      </c>
    </row>
    <row r="1210" spans="1:29" x14ac:dyDescent="0.2">
      <c r="A1210" t="str">
        <f t="shared" si="194"/>
        <v/>
      </c>
      <c r="E1210" s="4"/>
      <c r="F1210" s="46"/>
      <c r="G1210" s="4"/>
      <c r="H1210" s="48"/>
      <c r="J1210" s="26" t="str">
        <f t="shared" si="195"/>
        <v/>
      </c>
      <c r="N1210" t="str">
        <f t="shared" si="196"/>
        <v/>
      </c>
      <c r="Q1210" t="str">
        <f t="shared" si="197"/>
        <v/>
      </c>
      <c r="S1210" t="str">
        <f>IF(A1210=1,MAX($S$2:$S1209)+1,IF(OR($I1210&lt;&gt;"",A1210="x"),$S1209,""))</f>
        <v/>
      </c>
      <c r="T1210" t="str">
        <f>IF(D1210=1,MAX($T$2:$T1209)+1,IF(S1210=S1209,$T1209,IF(D1210="x",T1209,IF(D1209="x","",""))))</f>
        <v/>
      </c>
      <c r="U1210" t="str">
        <f>IF(B1210=1,MAX($U$2:$U1209)+1,IF(AND($T1210&lt;&gt;"",$T1210=$T1209),$U1209,IF(B1210="x",U1209,"")))</f>
        <v/>
      </c>
      <c r="V1210" t="str">
        <f>IF(C1210=1,MAX($V$2:$V1209)+1,IF(AND($T1210&lt;&gt;"",$T1210=$T1209),$U1209,IF(C1210="x",V1209,"")))</f>
        <v/>
      </c>
      <c r="X1210" cm="1">
        <f t="array" ref="X1210">IF($I1210&lt;&gt;"",$I1210,INDEX($I$1:$I1210,ROW()-COUNTIFS($T$1:$T1210,"="&amp;$T1210,$S$1:$S1210,"&lt;"&amp;$S1210)))</f>
        <v>0</v>
      </c>
      <c r="Z1210" s="6">
        <f t="shared" si="190"/>
        <v>1</v>
      </c>
      <c r="AA1210" t="e">
        <f t="shared" si="191"/>
        <v>#VALUE!</v>
      </c>
      <c r="AB1210" t="str">
        <f t="shared" si="192"/>
        <v/>
      </c>
      <c r="AC1210" t="e">
        <f t="shared" si="193"/>
        <v>#VALUE!</v>
      </c>
    </row>
    <row r="1211" spans="1:29" x14ac:dyDescent="0.2">
      <c r="A1211" t="str">
        <f t="shared" si="194"/>
        <v/>
      </c>
      <c r="E1211" s="4"/>
      <c r="F1211" s="46"/>
      <c r="G1211" s="4"/>
      <c r="H1211" s="48"/>
      <c r="J1211" s="26" t="str">
        <f t="shared" si="195"/>
        <v/>
      </c>
      <c r="N1211" t="str">
        <f t="shared" si="196"/>
        <v/>
      </c>
      <c r="Q1211" t="str">
        <f t="shared" si="197"/>
        <v/>
      </c>
      <c r="S1211" t="str">
        <f>IF(A1211=1,MAX($S$2:$S1210)+1,IF(OR($I1211&lt;&gt;"",A1211="x"),$S1210,""))</f>
        <v/>
      </c>
      <c r="T1211" t="str">
        <f>IF(D1211=1,MAX($T$2:$T1210)+1,IF(S1211=S1210,$T1210,IF(D1211="x",T1210,IF(D1210="x","",""))))</f>
        <v/>
      </c>
      <c r="U1211" t="str">
        <f>IF(B1211=1,MAX($U$2:$U1210)+1,IF(AND($T1211&lt;&gt;"",$T1211=$T1210),$U1210,IF(B1211="x",U1210,"")))</f>
        <v/>
      </c>
      <c r="V1211" t="str">
        <f>IF(C1211=1,MAX($V$2:$V1210)+1,IF(AND($T1211&lt;&gt;"",$T1211=$T1210),$U1210,IF(C1211="x",V1210,"")))</f>
        <v/>
      </c>
      <c r="X1211" cm="1">
        <f t="array" ref="X1211">IF($I1211&lt;&gt;"",$I1211,INDEX($I$1:$I1211,ROW()-COUNTIFS($T$1:$T1211,"="&amp;$T1211,$S$1:$S1211,"&lt;"&amp;$S1211)))</f>
        <v>0</v>
      </c>
      <c r="Z1211" s="6">
        <f t="shared" si="190"/>
        <v>1</v>
      </c>
      <c r="AA1211" t="e">
        <f t="shared" si="191"/>
        <v>#VALUE!</v>
      </c>
      <c r="AB1211" t="str">
        <f t="shared" si="192"/>
        <v/>
      </c>
      <c r="AC1211" t="e">
        <f t="shared" si="193"/>
        <v>#VALUE!</v>
      </c>
    </row>
    <row r="1212" spans="1:29" x14ac:dyDescent="0.2">
      <c r="A1212" t="str">
        <f t="shared" si="194"/>
        <v/>
      </c>
      <c r="E1212" s="4"/>
      <c r="F1212" s="46"/>
      <c r="G1212" s="4"/>
      <c r="H1212" s="48"/>
      <c r="J1212" s="26" t="str">
        <f t="shared" si="195"/>
        <v/>
      </c>
      <c r="N1212" t="str">
        <f t="shared" si="196"/>
        <v/>
      </c>
      <c r="Q1212" t="str">
        <f t="shared" si="197"/>
        <v/>
      </c>
      <c r="S1212" t="str">
        <f>IF(A1212=1,MAX($S$2:$S1211)+1,IF(OR($I1212&lt;&gt;"",A1212="x"),$S1211,""))</f>
        <v/>
      </c>
      <c r="T1212" t="str">
        <f>IF(D1212=1,MAX($T$2:$T1211)+1,IF(S1212=S1211,$T1211,IF(D1212="x",T1211,IF(D1211="x","",""))))</f>
        <v/>
      </c>
      <c r="U1212" t="str">
        <f>IF(B1212=1,MAX($U$2:$U1211)+1,IF(AND($T1212&lt;&gt;"",$T1212=$T1211),$U1211,IF(B1212="x",U1211,"")))</f>
        <v/>
      </c>
      <c r="V1212" t="str">
        <f>IF(C1212=1,MAX($V$2:$V1211)+1,IF(AND($T1212&lt;&gt;"",$T1212=$T1211),$U1211,IF(C1212="x",V1211,"")))</f>
        <v/>
      </c>
      <c r="X1212" cm="1">
        <f t="array" ref="X1212">IF($I1212&lt;&gt;"",$I1212,INDEX($I$1:$I1212,ROW()-COUNTIFS($T$1:$T1212,"="&amp;$T1212,$S$1:$S1212,"&lt;"&amp;$S1212)))</f>
        <v>0</v>
      </c>
      <c r="Z1212" s="6">
        <f t="shared" si="190"/>
        <v>1</v>
      </c>
      <c r="AA1212" t="e">
        <f t="shared" si="191"/>
        <v>#VALUE!</v>
      </c>
      <c r="AB1212" t="str">
        <f t="shared" si="192"/>
        <v/>
      </c>
      <c r="AC1212" t="e">
        <f t="shared" si="193"/>
        <v>#VALUE!</v>
      </c>
    </row>
    <row r="1213" spans="1:29" x14ac:dyDescent="0.2">
      <c r="A1213" t="str">
        <f t="shared" si="194"/>
        <v/>
      </c>
      <c r="E1213" s="4"/>
      <c r="F1213" s="46"/>
      <c r="G1213" s="4"/>
      <c r="H1213" s="48"/>
      <c r="J1213" s="26" t="str">
        <f t="shared" si="195"/>
        <v/>
      </c>
      <c r="N1213" t="str">
        <f t="shared" si="196"/>
        <v/>
      </c>
      <c r="Q1213" t="str">
        <f t="shared" si="197"/>
        <v/>
      </c>
      <c r="S1213" t="str">
        <f>IF(A1213=1,MAX($S$2:$S1212)+1,IF(OR($I1213&lt;&gt;"",A1213="x"),$S1212,""))</f>
        <v/>
      </c>
      <c r="T1213" t="str">
        <f>IF(D1213=1,MAX($T$2:$T1212)+1,IF(S1213=S1212,$T1212,IF(D1213="x",T1212,IF(D1212="x","",""))))</f>
        <v/>
      </c>
      <c r="U1213" t="str">
        <f>IF(B1213=1,MAX($U$2:$U1212)+1,IF(AND($T1213&lt;&gt;"",$T1213=$T1212),$U1212,IF(B1213="x",U1212,"")))</f>
        <v/>
      </c>
      <c r="V1213" t="str">
        <f>IF(C1213=1,MAX($V$2:$V1212)+1,IF(AND($T1213&lt;&gt;"",$T1213=$T1212),$U1212,IF(C1213="x",V1212,"")))</f>
        <v/>
      </c>
      <c r="X1213" cm="1">
        <f t="array" ref="X1213">IF($I1213&lt;&gt;"",$I1213,INDEX($I$1:$I1213,ROW()-COUNTIFS($T$1:$T1213,"="&amp;$T1213,$S$1:$S1213,"&lt;"&amp;$S1213)))</f>
        <v>0</v>
      </c>
      <c r="Z1213" s="6">
        <f t="shared" si="190"/>
        <v>1</v>
      </c>
      <c r="AA1213" t="e">
        <f t="shared" si="191"/>
        <v>#VALUE!</v>
      </c>
      <c r="AB1213" t="str">
        <f t="shared" si="192"/>
        <v/>
      </c>
      <c r="AC1213" t="e">
        <f t="shared" si="193"/>
        <v>#VALUE!</v>
      </c>
    </row>
    <row r="1214" spans="1:29" x14ac:dyDescent="0.2">
      <c r="A1214" t="str">
        <f t="shared" si="194"/>
        <v/>
      </c>
      <c r="E1214" s="4"/>
      <c r="F1214" s="46"/>
      <c r="G1214" s="4"/>
      <c r="H1214" s="48"/>
      <c r="J1214" s="26" t="str">
        <f t="shared" si="195"/>
        <v/>
      </c>
      <c r="N1214" t="str">
        <f t="shared" si="196"/>
        <v/>
      </c>
      <c r="Q1214" t="str">
        <f t="shared" si="197"/>
        <v/>
      </c>
      <c r="S1214" t="str">
        <f>IF(A1214=1,MAX($S$2:$S1213)+1,IF(OR($I1214&lt;&gt;"",A1214="x"),$S1213,""))</f>
        <v/>
      </c>
      <c r="T1214" t="str">
        <f>IF(D1214=1,MAX($T$2:$T1213)+1,IF(S1214=S1213,$T1213,IF(D1214="x",T1213,IF(D1213="x","",""))))</f>
        <v/>
      </c>
      <c r="U1214" t="str">
        <f>IF(B1214=1,MAX($U$2:$U1213)+1,IF(AND($T1214&lt;&gt;"",$T1214=$T1213),$U1213,IF(B1214="x",U1213,"")))</f>
        <v/>
      </c>
      <c r="V1214" t="str">
        <f>IF(C1214=1,MAX($V$2:$V1213)+1,IF(AND($T1214&lt;&gt;"",$T1214=$T1213),$U1213,IF(C1214="x",V1213,"")))</f>
        <v/>
      </c>
      <c r="X1214" cm="1">
        <f t="array" ref="X1214">IF($I1214&lt;&gt;"",$I1214,INDEX($I$1:$I1214,ROW()-COUNTIFS($T$1:$T1214,"="&amp;$T1214,$S$1:$S1214,"&lt;"&amp;$S1214)))</f>
        <v>0</v>
      </c>
      <c r="Z1214" s="6">
        <f t="shared" si="190"/>
        <v>1</v>
      </c>
      <c r="AA1214" t="e">
        <f t="shared" si="191"/>
        <v>#VALUE!</v>
      </c>
      <c r="AB1214" t="str">
        <f t="shared" si="192"/>
        <v/>
      </c>
      <c r="AC1214" t="e">
        <f t="shared" si="193"/>
        <v>#VALUE!</v>
      </c>
    </row>
    <row r="1215" spans="1:29" x14ac:dyDescent="0.2">
      <c r="A1215" t="str">
        <f t="shared" si="194"/>
        <v/>
      </c>
      <c r="E1215" s="4"/>
      <c r="F1215" s="46"/>
      <c r="G1215" s="4"/>
      <c r="H1215" s="48"/>
      <c r="J1215" s="26" t="str">
        <f t="shared" si="195"/>
        <v/>
      </c>
      <c r="N1215" t="str">
        <f t="shared" si="196"/>
        <v/>
      </c>
      <c r="Q1215" t="str">
        <f t="shared" si="197"/>
        <v/>
      </c>
      <c r="S1215" t="str">
        <f>IF(A1215=1,MAX($S$2:$S1214)+1,IF(OR($I1215&lt;&gt;"",A1215="x"),$S1214,""))</f>
        <v/>
      </c>
      <c r="T1215" t="str">
        <f>IF(D1215=1,MAX($T$2:$T1214)+1,IF(S1215=S1214,$T1214,IF(D1215="x",T1214,IF(D1214="x","",""))))</f>
        <v/>
      </c>
      <c r="U1215" t="str">
        <f>IF(B1215=1,MAX($U$2:$U1214)+1,IF(AND($T1215&lt;&gt;"",$T1215=$T1214),$U1214,IF(B1215="x",U1214,"")))</f>
        <v/>
      </c>
      <c r="V1215" t="str">
        <f>IF(C1215=1,MAX($V$2:$V1214)+1,IF(AND($T1215&lt;&gt;"",$T1215=$T1214),$U1214,IF(C1215="x",V1214,"")))</f>
        <v/>
      </c>
      <c r="X1215" cm="1">
        <f t="array" ref="X1215">IF($I1215&lt;&gt;"",$I1215,INDEX($I$1:$I1215,ROW()-COUNTIFS($T$1:$T1215,"="&amp;$T1215,$S$1:$S1215,"&lt;"&amp;$S1215)))</f>
        <v>0</v>
      </c>
      <c r="Z1215" s="6">
        <f t="shared" si="190"/>
        <v>1</v>
      </c>
      <c r="AA1215" t="e">
        <f t="shared" si="191"/>
        <v>#VALUE!</v>
      </c>
      <c r="AB1215" t="str">
        <f t="shared" si="192"/>
        <v/>
      </c>
      <c r="AC1215" t="e">
        <f t="shared" si="193"/>
        <v>#VALUE!</v>
      </c>
    </row>
    <row r="1216" spans="1:29" x14ac:dyDescent="0.2">
      <c r="A1216" t="str">
        <f t="shared" si="194"/>
        <v/>
      </c>
      <c r="E1216" s="4"/>
      <c r="F1216" s="46"/>
      <c r="G1216" s="4"/>
      <c r="H1216" s="48"/>
      <c r="J1216" s="26" t="str">
        <f t="shared" si="195"/>
        <v/>
      </c>
      <c r="N1216" t="str">
        <f t="shared" si="196"/>
        <v/>
      </c>
      <c r="Q1216" t="str">
        <f t="shared" si="197"/>
        <v/>
      </c>
      <c r="S1216" t="str">
        <f>IF(A1216=1,MAX($S$2:$S1215)+1,IF(OR($I1216&lt;&gt;"",A1216="x"),$S1215,""))</f>
        <v/>
      </c>
      <c r="T1216" t="str">
        <f>IF(D1216=1,MAX($T$2:$T1215)+1,IF(S1216=S1215,$T1215,IF(D1216="x",T1215,IF(D1215="x","",""))))</f>
        <v/>
      </c>
      <c r="U1216" t="str">
        <f>IF(B1216=1,MAX($U$2:$U1215)+1,IF(AND($T1216&lt;&gt;"",$T1216=$T1215),$U1215,IF(B1216="x",U1215,"")))</f>
        <v/>
      </c>
      <c r="V1216" t="str">
        <f>IF(C1216=1,MAX($V$2:$V1215)+1,IF(AND($T1216&lt;&gt;"",$T1216=$T1215),$U1215,IF(C1216="x",V1215,"")))</f>
        <v/>
      </c>
      <c r="X1216" cm="1">
        <f t="array" ref="X1216">IF($I1216&lt;&gt;"",$I1216,INDEX($I$1:$I1216,ROW()-COUNTIFS($T$1:$T1216,"="&amp;$T1216,$S$1:$S1216,"&lt;"&amp;$S1216)))</f>
        <v>0</v>
      </c>
      <c r="Z1216" s="6">
        <f t="shared" si="190"/>
        <v>1</v>
      </c>
      <c r="AA1216" t="e">
        <f t="shared" si="191"/>
        <v>#VALUE!</v>
      </c>
      <c r="AB1216" t="str">
        <f t="shared" si="192"/>
        <v/>
      </c>
      <c r="AC1216" t="e">
        <f t="shared" si="193"/>
        <v>#VALUE!</v>
      </c>
    </row>
    <row r="1217" spans="1:29" x14ac:dyDescent="0.2">
      <c r="A1217" t="str">
        <f t="shared" si="194"/>
        <v/>
      </c>
      <c r="E1217" s="4"/>
      <c r="F1217" s="46"/>
      <c r="G1217" s="4"/>
      <c r="H1217" s="48"/>
      <c r="J1217" s="26" t="str">
        <f t="shared" si="195"/>
        <v/>
      </c>
      <c r="N1217" t="str">
        <f t="shared" si="196"/>
        <v/>
      </c>
      <c r="Q1217" t="str">
        <f t="shared" si="197"/>
        <v/>
      </c>
      <c r="S1217" t="str">
        <f>IF(A1217=1,MAX($S$2:$S1216)+1,IF(OR($I1217&lt;&gt;"",A1217="x"),$S1216,""))</f>
        <v/>
      </c>
      <c r="T1217" t="str">
        <f>IF(D1217=1,MAX($T$2:$T1216)+1,IF(S1217=S1216,$T1216,IF(D1217="x",T1216,IF(D1216="x","",""))))</f>
        <v/>
      </c>
      <c r="U1217" t="str">
        <f>IF(B1217=1,MAX($U$2:$U1216)+1,IF(AND($T1217&lt;&gt;"",$T1217=$T1216),$U1216,IF(B1217="x",U1216,"")))</f>
        <v/>
      </c>
      <c r="V1217" t="str">
        <f>IF(C1217=1,MAX($V$2:$V1216)+1,IF(AND($T1217&lt;&gt;"",$T1217=$T1216),$U1216,IF(C1217="x",V1216,"")))</f>
        <v/>
      </c>
      <c r="X1217" cm="1">
        <f t="array" ref="X1217">IF($I1217&lt;&gt;"",$I1217,INDEX($I$1:$I1217,ROW()-COUNTIFS($T$1:$T1217,"="&amp;$T1217,$S$1:$S1217,"&lt;"&amp;$S1217)))</f>
        <v>0</v>
      </c>
      <c r="Z1217" s="6">
        <f t="shared" si="190"/>
        <v>1</v>
      </c>
      <c r="AA1217" t="e">
        <f t="shared" si="191"/>
        <v>#VALUE!</v>
      </c>
      <c r="AB1217" t="str">
        <f t="shared" si="192"/>
        <v/>
      </c>
      <c r="AC1217" t="e">
        <f t="shared" si="193"/>
        <v>#VALUE!</v>
      </c>
    </row>
    <row r="1218" spans="1:29" x14ac:dyDescent="0.2">
      <c r="A1218" t="str">
        <f t="shared" si="194"/>
        <v/>
      </c>
      <c r="E1218" s="4"/>
      <c r="F1218" s="46"/>
      <c r="G1218" s="4"/>
      <c r="H1218" s="48"/>
      <c r="J1218" s="26" t="str">
        <f t="shared" si="195"/>
        <v/>
      </c>
      <c r="N1218" t="str">
        <f t="shared" si="196"/>
        <v/>
      </c>
      <c r="Q1218" t="str">
        <f t="shared" si="197"/>
        <v/>
      </c>
      <c r="S1218" t="str">
        <f>IF(A1218=1,MAX($S$2:$S1217)+1,IF(OR($I1218&lt;&gt;"",A1218="x"),$S1217,""))</f>
        <v/>
      </c>
      <c r="T1218" t="str">
        <f>IF(D1218=1,MAX($T$2:$T1217)+1,IF(S1218=S1217,$T1217,IF(D1218="x",T1217,IF(D1217="x","",""))))</f>
        <v/>
      </c>
      <c r="U1218" t="str">
        <f>IF(B1218=1,MAX($U$2:$U1217)+1,IF(AND($T1218&lt;&gt;"",$T1218=$T1217),$U1217,IF(B1218="x",U1217,"")))</f>
        <v/>
      </c>
      <c r="V1218" t="str">
        <f>IF(C1218=1,MAX($V$2:$V1217)+1,IF(AND($T1218&lt;&gt;"",$T1218=$T1217),$U1217,IF(C1218="x",V1217,"")))</f>
        <v/>
      </c>
      <c r="X1218" cm="1">
        <f t="array" ref="X1218">IF($I1218&lt;&gt;"",$I1218,INDEX($I$1:$I1218,ROW()-COUNTIFS($T$1:$T1218,"="&amp;$T1218,$S$1:$S1218,"&lt;"&amp;$S1218)))</f>
        <v>0</v>
      </c>
      <c r="Z1218" s="6">
        <f t="shared" si="190"/>
        <v>1</v>
      </c>
      <c r="AA1218" t="e">
        <f t="shared" si="191"/>
        <v>#VALUE!</v>
      </c>
      <c r="AB1218" t="str">
        <f t="shared" si="192"/>
        <v/>
      </c>
      <c r="AC1218" t="e">
        <f t="shared" si="193"/>
        <v>#VALUE!</v>
      </c>
    </row>
    <row r="1219" spans="1:29" x14ac:dyDescent="0.2">
      <c r="A1219" t="str">
        <f t="shared" si="194"/>
        <v/>
      </c>
      <c r="E1219" s="4"/>
      <c r="F1219" s="46"/>
      <c r="G1219" s="4"/>
      <c r="H1219" s="48"/>
      <c r="J1219" s="26" t="str">
        <f t="shared" si="195"/>
        <v/>
      </c>
      <c r="N1219" t="str">
        <f t="shared" si="196"/>
        <v/>
      </c>
      <c r="Q1219" t="str">
        <f t="shared" si="197"/>
        <v/>
      </c>
      <c r="S1219" t="str">
        <f>IF(A1219=1,MAX($S$2:$S1218)+1,IF(OR($I1219&lt;&gt;"",A1219="x"),$S1218,""))</f>
        <v/>
      </c>
      <c r="T1219" t="str">
        <f>IF(D1219=1,MAX($T$2:$T1218)+1,IF(S1219=S1218,$T1218,IF(D1219="x",T1218,IF(D1218="x","",""))))</f>
        <v/>
      </c>
      <c r="U1219" t="str">
        <f>IF(B1219=1,MAX($U$2:$U1218)+1,IF(AND($T1219&lt;&gt;"",$T1219=$T1218),$U1218,IF(B1219="x",U1218,"")))</f>
        <v/>
      </c>
      <c r="V1219" t="str">
        <f>IF(C1219=1,MAX($V$2:$V1218)+1,IF(AND($T1219&lt;&gt;"",$T1219=$T1218),$U1218,IF(C1219="x",V1218,"")))</f>
        <v/>
      </c>
      <c r="X1219" cm="1">
        <f t="array" ref="X1219">IF($I1219&lt;&gt;"",$I1219,INDEX($I$1:$I1219,ROW()-COUNTIFS($T$1:$T1219,"="&amp;$T1219,$S$1:$S1219,"&lt;"&amp;$S1219)))</f>
        <v>0</v>
      </c>
      <c r="Z1219" s="6">
        <f t="shared" si="190"/>
        <v>1</v>
      </c>
      <c r="AA1219" t="e">
        <f t="shared" si="191"/>
        <v>#VALUE!</v>
      </c>
      <c r="AB1219" t="str">
        <f t="shared" si="192"/>
        <v/>
      </c>
      <c r="AC1219" t="e">
        <f t="shared" si="193"/>
        <v>#VALUE!</v>
      </c>
    </row>
    <row r="1220" spans="1:29" x14ac:dyDescent="0.2">
      <c r="A1220" t="str">
        <f t="shared" si="194"/>
        <v/>
      </c>
      <c r="E1220" s="4"/>
      <c r="F1220" s="46"/>
      <c r="G1220" s="4"/>
      <c r="H1220" s="48"/>
      <c r="J1220" s="26" t="str">
        <f t="shared" si="195"/>
        <v/>
      </c>
      <c r="N1220" t="str">
        <f t="shared" si="196"/>
        <v/>
      </c>
      <c r="Q1220" t="str">
        <f t="shared" si="197"/>
        <v/>
      </c>
      <c r="S1220" t="str">
        <f>IF(A1220=1,MAX($S$2:$S1219)+1,IF(OR($I1220&lt;&gt;"",A1220="x"),$S1219,""))</f>
        <v/>
      </c>
      <c r="T1220" t="str">
        <f>IF(D1220=1,MAX($T$2:$T1219)+1,IF(S1220=S1219,$T1219,IF(D1220="x",T1219,IF(D1219="x","",""))))</f>
        <v/>
      </c>
      <c r="U1220" t="str">
        <f>IF(B1220=1,MAX($U$2:$U1219)+1,IF(AND($T1220&lt;&gt;"",$T1220=$T1219),$U1219,IF(B1220="x",U1219,"")))</f>
        <v/>
      </c>
      <c r="V1220" t="str">
        <f>IF(C1220=1,MAX($V$2:$V1219)+1,IF(AND($T1220&lt;&gt;"",$T1220=$T1219),$U1219,IF(C1220="x",V1219,"")))</f>
        <v/>
      </c>
      <c r="X1220" cm="1">
        <f t="array" ref="X1220">IF($I1220&lt;&gt;"",$I1220,INDEX($I$1:$I1220,ROW()-COUNTIFS($T$1:$T1220,"="&amp;$T1220,$S$1:$S1220,"&lt;"&amp;$S1220)))</f>
        <v>0</v>
      </c>
      <c r="Z1220" s="6">
        <f t="shared" si="190"/>
        <v>1</v>
      </c>
      <c r="AA1220" t="e">
        <f t="shared" si="191"/>
        <v>#VALUE!</v>
      </c>
      <c r="AB1220" t="str">
        <f t="shared" si="192"/>
        <v/>
      </c>
      <c r="AC1220" t="e">
        <f t="shared" si="193"/>
        <v>#VALUE!</v>
      </c>
    </row>
    <row r="1221" spans="1:29" x14ac:dyDescent="0.2">
      <c r="A1221" t="str">
        <f t="shared" si="194"/>
        <v/>
      </c>
      <c r="E1221" s="4"/>
      <c r="F1221" s="46"/>
      <c r="G1221" s="4"/>
      <c r="H1221" s="48"/>
      <c r="J1221" s="26" t="str">
        <f t="shared" si="195"/>
        <v/>
      </c>
      <c r="N1221" t="str">
        <f t="shared" si="196"/>
        <v/>
      </c>
      <c r="Q1221" t="str">
        <f t="shared" si="197"/>
        <v/>
      </c>
      <c r="S1221" t="str">
        <f>IF(A1221=1,MAX($S$2:$S1220)+1,IF(OR($I1221&lt;&gt;"",A1221="x"),$S1220,""))</f>
        <v/>
      </c>
      <c r="T1221" t="str">
        <f>IF(D1221=1,MAX($T$2:$T1220)+1,IF(S1221=S1220,$T1220,IF(D1221="x",T1220,IF(D1220="x","",""))))</f>
        <v/>
      </c>
      <c r="U1221" t="str">
        <f>IF(B1221=1,MAX($U$2:$U1220)+1,IF(AND($T1221&lt;&gt;"",$T1221=$T1220),$U1220,IF(B1221="x",U1220,"")))</f>
        <v/>
      </c>
      <c r="V1221" t="str">
        <f>IF(C1221=1,MAX($V$2:$V1220)+1,IF(AND($T1221&lt;&gt;"",$T1221=$T1220),$U1220,IF(C1221="x",V1220,"")))</f>
        <v/>
      </c>
      <c r="X1221" cm="1">
        <f t="array" ref="X1221">IF($I1221&lt;&gt;"",$I1221,INDEX($I$1:$I1221,ROW()-COUNTIFS($T$1:$T1221,"="&amp;$T1221,$S$1:$S1221,"&lt;"&amp;$S1221)))</f>
        <v>0</v>
      </c>
      <c r="Z1221" s="6">
        <f t="shared" ref="Z1221:Z1284" si="198">IF(K1221="Intermission",Z1220+1,Z1220)</f>
        <v>1</v>
      </c>
      <c r="AA1221" t="e">
        <f t="shared" ref="AA1221:AA1284" si="199">S1221+1000</f>
        <v>#VALUE!</v>
      </c>
      <c r="AB1221" t="str">
        <f t="shared" ref="AB1221:AB1284" si="200">IF(T1221&lt;&gt;"",9000+T1221,"")</f>
        <v/>
      </c>
      <c r="AC1221" t="e">
        <f t="shared" ref="AC1221:AC1284" si="201">IF(AB1221&lt;&gt;"",AB1221,S1221+1000)</f>
        <v>#VALUE!</v>
      </c>
    </row>
    <row r="1222" spans="1:29" x14ac:dyDescent="0.2">
      <c r="A1222" t="str">
        <f t="shared" si="194"/>
        <v/>
      </c>
      <c r="E1222" s="4"/>
      <c r="F1222" s="46"/>
      <c r="G1222" s="4"/>
      <c r="H1222" s="48"/>
      <c r="J1222" s="26" t="str">
        <f t="shared" si="195"/>
        <v/>
      </c>
      <c r="N1222" t="str">
        <f t="shared" si="196"/>
        <v/>
      </c>
      <c r="Q1222" t="str">
        <f t="shared" si="197"/>
        <v/>
      </c>
      <c r="S1222" t="str">
        <f>IF(A1222=1,MAX($S$2:$S1221)+1,IF(OR($I1222&lt;&gt;"",A1222="x"),$S1221,""))</f>
        <v/>
      </c>
      <c r="T1222" t="str">
        <f>IF(D1222=1,MAX($T$2:$T1221)+1,IF(S1222=S1221,$T1221,IF(D1222="x",T1221,IF(D1221="x","",""))))</f>
        <v/>
      </c>
      <c r="U1222" t="str">
        <f>IF(B1222=1,MAX($U$2:$U1221)+1,IF(AND($T1222&lt;&gt;"",$T1222=$T1221),$U1221,IF(B1222="x",U1221,"")))</f>
        <v/>
      </c>
      <c r="V1222" t="str">
        <f>IF(C1222=1,MAX($V$2:$V1221)+1,IF(AND($T1222&lt;&gt;"",$T1222=$T1221),$U1221,IF(C1222="x",V1221,"")))</f>
        <v/>
      </c>
      <c r="X1222" cm="1">
        <f t="array" ref="X1222">IF($I1222&lt;&gt;"",$I1222,INDEX($I$1:$I1222,ROW()-COUNTIFS($T$1:$T1222,"="&amp;$T1222,$S$1:$S1222,"&lt;"&amp;$S1222)))</f>
        <v>0</v>
      </c>
      <c r="Z1222" s="6">
        <f t="shared" si="198"/>
        <v>1</v>
      </c>
      <c r="AA1222" t="e">
        <f t="shared" si="199"/>
        <v>#VALUE!</v>
      </c>
      <c r="AB1222" t="str">
        <f t="shared" si="200"/>
        <v/>
      </c>
      <c r="AC1222" t="e">
        <f t="shared" si="201"/>
        <v>#VALUE!</v>
      </c>
    </row>
    <row r="1223" spans="1:29" x14ac:dyDescent="0.2">
      <c r="A1223" t="str">
        <f t="shared" si="194"/>
        <v/>
      </c>
      <c r="E1223" s="4"/>
      <c r="F1223" s="46"/>
      <c r="G1223" s="4"/>
      <c r="H1223" s="48"/>
      <c r="J1223" s="26" t="str">
        <f t="shared" si="195"/>
        <v/>
      </c>
      <c r="N1223" t="str">
        <f t="shared" si="196"/>
        <v/>
      </c>
      <c r="Q1223" t="str">
        <f t="shared" si="197"/>
        <v/>
      </c>
      <c r="S1223" t="str">
        <f>IF(A1223=1,MAX($S$2:$S1222)+1,IF(OR($I1223&lt;&gt;"",A1223="x"),$S1222,""))</f>
        <v/>
      </c>
      <c r="T1223" t="str">
        <f>IF(D1223=1,MAX($T$2:$T1222)+1,IF(S1223=S1222,$T1222,IF(D1223="x",T1222,IF(D1222="x","",""))))</f>
        <v/>
      </c>
      <c r="U1223" t="str">
        <f>IF(B1223=1,MAX($U$2:$U1222)+1,IF(AND($T1223&lt;&gt;"",$T1223=$T1222),$U1222,IF(B1223="x",U1222,"")))</f>
        <v/>
      </c>
      <c r="V1223" t="str">
        <f>IF(C1223=1,MAX($V$2:$V1222)+1,IF(AND($T1223&lt;&gt;"",$T1223=$T1222),$U1222,IF(C1223="x",V1222,"")))</f>
        <v/>
      </c>
      <c r="X1223" cm="1">
        <f t="array" ref="X1223">IF($I1223&lt;&gt;"",$I1223,INDEX($I$1:$I1223,ROW()-COUNTIFS($T$1:$T1223,"="&amp;$T1223,$S$1:$S1223,"&lt;"&amp;$S1223)))</f>
        <v>0</v>
      </c>
      <c r="Z1223" s="6">
        <f t="shared" si="198"/>
        <v>1</v>
      </c>
      <c r="AA1223" t="e">
        <f t="shared" si="199"/>
        <v>#VALUE!</v>
      </c>
      <c r="AB1223" t="str">
        <f t="shared" si="200"/>
        <v/>
      </c>
      <c r="AC1223" t="e">
        <f t="shared" si="201"/>
        <v>#VALUE!</v>
      </c>
    </row>
    <row r="1224" spans="1:29" x14ac:dyDescent="0.2">
      <c r="A1224" t="str">
        <f t="shared" si="194"/>
        <v/>
      </c>
      <c r="E1224" s="4"/>
      <c r="F1224" s="46"/>
      <c r="G1224" s="4"/>
      <c r="H1224" s="48"/>
      <c r="J1224" s="26" t="str">
        <f t="shared" si="195"/>
        <v/>
      </c>
      <c r="N1224" t="str">
        <f t="shared" si="196"/>
        <v/>
      </c>
      <c r="Q1224" t="str">
        <f t="shared" si="197"/>
        <v/>
      </c>
      <c r="S1224" t="str">
        <f>IF(A1224=1,MAX($S$2:$S1223)+1,IF(OR($I1224&lt;&gt;"",A1224="x"),$S1223,""))</f>
        <v/>
      </c>
      <c r="T1224" t="str">
        <f>IF(D1224=1,MAX($T$2:$T1223)+1,IF(S1224=S1223,$T1223,IF(D1224="x",T1223,IF(D1223="x","",""))))</f>
        <v/>
      </c>
      <c r="U1224" t="str">
        <f>IF(B1224=1,MAX($U$2:$U1223)+1,IF(AND($T1224&lt;&gt;"",$T1224=$T1223),$U1223,IF(B1224="x",U1223,"")))</f>
        <v/>
      </c>
      <c r="V1224" t="str">
        <f>IF(C1224=1,MAX($V$2:$V1223)+1,IF(AND($T1224&lt;&gt;"",$T1224=$T1223),$U1223,IF(C1224="x",V1223,"")))</f>
        <v/>
      </c>
      <c r="X1224" cm="1">
        <f t="array" ref="X1224">IF($I1224&lt;&gt;"",$I1224,INDEX($I$1:$I1224,ROW()-COUNTIFS($T$1:$T1224,"="&amp;$T1224,$S$1:$S1224,"&lt;"&amp;$S1224)))</f>
        <v>0</v>
      </c>
      <c r="Z1224" s="6">
        <f t="shared" si="198"/>
        <v>1</v>
      </c>
      <c r="AA1224" t="e">
        <f t="shared" si="199"/>
        <v>#VALUE!</v>
      </c>
      <c r="AB1224" t="str">
        <f t="shared" si="200"/>
        <v/>
      </c>
      <c r="AC1224" t="e">
        <f t="shared" si="201"/>
        <v>#VALUE!</v>
      </c>
    </row>
    <row r="1225" spans="1:29" x14ac:dyDescent="0.2">
      <c r="A1225" t="str">
        <f t="shared" si="194"/>
        <v/>
      </c>
      <c r="E1225" s="4"/>
      <c r="F1225" s="46"/>
      <c r="G1225" s="4"/>
      <c r="H1225" s="48"/>
      <c r="J1225" s="26" t="str">
        <f t="shared" si="195"/>
        <v/>
      </c>
      <c r="N1225" t="str">
        <f t="shared" si="196"/>
        <v/>
      </c>
      <c r="Q1225" t="str">
        <f t="shared" si="197"/>
        <v/>
      </c>
      <c r="S1225" t="str">
        <f>IF(A1225=1,MAX($S$2:$S1224)+1,IF(OR($I1225&lt;&gt;"",A1225="x"),$S1224,""))</f>
        <v/>
      </c>
      <c r="T1225" t="str">
        <f>IF(D1225=1,MAX($T$2:$T1224)+1,IF(S1225=S1224,$T1224,IF(D1225="x",T1224,IF(D1224="x","",""))))</f>
        <v/>
      </c>
      <c r="U1225" t="str">
        <f>IF(B1225=1,MAX($U$2:$U1224)+1,IF(AND($T1225&lt;&gt;"",$T1225=$T1224),$U1224,IF(B1225="x",U1224,"")))</f>
        <v/>
      </c>
      <c r="V1225" t="str">
        <f>IF(C1225=1,MAX($V$2:$V1224)+1,IF(AND($T1225&lt;&gt;"",$T1225=$T1224),$U1224,IF(C1225="x",V1224,"")))</f>
        <v/>
      </c>
      <c r="X1225" cm="1">
        <f t="array" ref="X1225">IF($I1225&lt;&gt;"",$I1225,INDEX($I$1:$I1225,ROW()-COUNTIFS($T$1:$T1225,"="&amp;$T1225,$S$1:$S1225,"&lt;"&amp;$S1225)))</f>
        <v>0</v>
      </c>
      <c r="Z1225" s="6">
        <f t="shared" si="198"/>
        <v>1</v>
      </c>
      <c r="AA1225" t="e">
        <f t="shared" si="199"/>
        <v>#VALUE!</v>
      </c>
      <c r="AB1225" t="str">
        <f t="shared" si="200"/>
        <v/>
      </c>
      <c r="AC1225" t="e">
        <f t="shared" si="201"/>
        <v>#VALUE!</v>
      </c>
    </row>
    <row r="1226" spans="1:29" x14ac:dyDescent="0.2">
      <c r="A1226" t="str">
        <f t="shared" si="194"/>
        <v/>
      </c>
      <c r="E1226" s="4"/>
      <c r="F1226" s="46"/>
      <c r="G1226" s="4"/>
      <c r="H1226" s="48"/>
      <c r="J1226" s="26" t="str">
        <f t="shared" si="195"/>
        <v/>
      </c>
      <c r="N1226" t="str">
        <f t="shared" si="196"/>
        <v/>
      </c>
      <c r="Q1226" t="str">
        <f t="shared" si="197"/>
        <v/>
      </c>
      <c r="S1226" t="str">
        <f>IF(A1226=1,MAX($S$2:$S1225)+1,IF(OR($I1226&lt;&gt;"",A1226="x"),$S1225,""))</f>
        <v/>
      </c>
      <c r="T1226" t="str">
        <f>IF(D1226=1,MAX($T$2:$T1225)+1,IF(S1226=S1225,$T1225,IF(D1226="x",T1225,IF(D1225="x","",""))))</f>
        <v/>
      </c>
      <c r="U1226" t="str">
        <f>IF(B1226=1,MAX($U$2:$U1225)+1,IF(AND($T1226&lt;&gt;"",$T1226=$T1225),$U1225,IF(B1226="x",U1225,"")))</f>
        <v/>
      </c>
      <c r="V1226" t="str">
        <f>IF(C1226=1,MAX($V$2:$V1225)+1,IF(AND($T1226&lt;&gt;"",$T1226=$T1225),$U1225,IF(C1226="x",V1225,"")))</f>
        <v/>
      </c>
      <c r="X1226" cm="1">
        <f t="array" ref="X1226">IF($I1226&lt;&gt;"",$I1226,INDEX($I$1:$I1226,ROW()-COUNTIFS($T$1:$T1226,"="&amp;$T1226,$S$1:$S1226,"&lt;"&amp;$S1226)))</f>
        <v>0</v>
      </c>
      <c r="Z1226" s="6">
        <f t="shared" si="198"/>
        <v>1</v>
      </c>
      <c r="AA1226" t="e">
        <f t="shared" si="199"/>
        <v>#VALUE!</v>
      </c>
      <c r="AB1226" t="str">
        <f t="shared" si="200"/>
        <v/>
      </c>
      <c r="AC1226" t="e">
        <f t="shared" si="201"/>
        <v>#VALUE!</v>
      </c>
    </row>
    <row r="1227" spans="1:29" x14ac:dyDescent="0.2">
      <c r="A1227" t="str">
        <f t="shared" si="194"/>
        <v/>
      </c>
      <c r="E1227" s="4"/>
      <c r="F1227" s="46"/>
      <c r="G1227" s="4"/>
      <c r="H1227" s="48"/>
      <c r="J1227" s="26" t="str">
        <f t="shared" si="195"/>
        <v/>
      </c>
      <c r="N1227" t="str">
        <f t="shared" si="196"/>
        <v/>
      </c>
      <c r="Q1227" t="str">
        <f t="shared" si="197"/>
        <v/>
      </c>
      <c r="S1227" t="str">
        <f>IF(A1227=1,MAX($S$2:$S1226)+1,IF(OR($I1227&lt;&gt;"",A1227="x"),$S1226,""))</f>
        <v/>
      </c>
      <c r="T1227" t="str">
        <f>IF(D1227=1,MAX($T$2:$T1226)+1,IF(S1227=S1226,$T1226,IF(D1227="x",T1226,IF(D1226="x","",""))))</f>
        <v/>
      </c>
      <c r="U1227" t="str">
        <f>IF(B1227=1,MAX($U$2:$U1226)+1,IF(AND($T1227&lt;&gt;"",$T1227=$T1226),$U1226,IF(B1227="x",U1226,"")))</f>
        <v/>
      </c>
      <c r="V1227" t="str">
        <f>IF(C1227=1,MAX($V$2:$V1226)+1,IF(AND($T1227&lt;&gt;"",$T1227=$T1226),$U1226,IF(C1227="x",V1226,"")))</f>
        <v/>
      </c>
      <c r="X1227" cm="1">
        <f t="array" ref="X1227">IF($I1227&lt;&gt;"",$I1227,INDEX($I$1:$I1227,ROW()-COUNTIFS($T$1:$T1227,"="&amp;$T1227,$S$1:$S1227,"&lt;"&amp;$S1227)))</f>
        <v>0</v>
      </c>
      <c r="Z1227" s="6">
        <f t="shared" si="198"/>
        <v>1</v>
      </c>
      <c r="AA1227" t="e">
        <f t="shared" si="199"/>
        <v>#VALUE!</v>
      </c>
      <c r="AB1227" t="str">
        <f t="shared" si="200"/>
        <v/>
      </c>
      <c r="AC1227" t="e">
        <f t="shared" si="201"/>
        <v>#VALUE!</v>
      </c>
    </row>
    <row r="1228" spans="1:29" x14ac:dyDescent="0.2">
      <c r="A1228" t="str">
        <f t="shared" si="194"/>
        <v/>
      </c>
      <c r="E1228" s="4"/>
      <c r="F1228" s="46"/>
      <c r="G1228" s="4"/>
      <c r="H1228" s="48"/>
      <c r="J1228" s="26" t="str">
        <f t="shared" si="195"/>
        <v/>
      </c>
      <c r="N1228" t="str">
        <f t="shared" si="196"/>
        <v/>
      </c>
      <c r="Q1228" t="str">
        <f t="shared" si="197"/>
        <v/>
      </c>
      <c r="S1228" t="str">
        <f>IF(A1228=1,MAX($S$2:$S1227)+1,IF(OR($I1228&lt;&gt;"",A1228="x"),$S1227,""))</f>
        <v/>
      </c>
      <c r="T1228" t="str">
        <f>IF(D1228=1,MAX($T$2:$T1227)+1,IF(S1228=S1227,$T1227,IF(D1228="x",T1227,IF(D1227="x","",""))))</f>
        <v/>
      </c>
      <c r="U1228" t="str">
        <f>IF(B1228=1,MAX($U$2:$U1227)+1,IF(AND($T1228&lt;&gt;"",$T1228=$T1227),$U1227,IF(B1228="x",U1227,"")))</f>
        <v/>
      </c>
      <c r="V1228" t="str">
        <f>IF(C1228=1,MAX($V$2:$V1227)+1,IF(AND($T1228&lt;&gt;"",$T1228=$T1227),$U1227,IF(C1228="x",V1227,"")))</f>
        <v/>
      </c>
      <c r="X1228" cm="1">
        <f t="array" ref="X1228">IF($I1228&lt;&gt;"",$I1228,INDEX($I$1:$I1228,ROW()-COUNTIFS($T$1:$T1228,"="&amp;$T1228,$S$1:$S1228,"&lt;"&amp;$S1228)))</f>
        <v>0</v>
      </c>
      <c r="Z1228" s="6">
        <f t="shared" si="198"/>
        <v>1</v>
      </c>
      <c r="AA1228" t="e">
        <f t="shared" si="199"/>
        <v>#VALUE!</v>
      </c>
      <c r="AB1228" t="str">
        <f t="shared" si="200"/>
        <v/>
      </c>
      <c r="AC1228" t="e">
        <f t="shared" si="201"/>
        <v>#VALUE!</v>
      </c>
    </row>
    <row r="1229" spans="1:29" x14ac:dyDescent="0.2">
      <c r="A1229" t="str">
        <f t="shared" si="194"/>
        <v/>
      </c>
      <c r="E1229" s="4"/>
      <c r="F1229" s="46"/>
      <c r="G1229" s="4"/>
      <c r="H1229" s="48"/>
      <c r="J1229" s="26" t="str">
        <f t="shared" si="195"/>
        <v/>
      </c>
      <c r="N1229" t="str">
        <f t="shared" si="196"/>
        <v/>
      </c>
      <c r="Q1229" t="str">
        <f t="shared" si="197"/>
        <v/>
      </c>
      <c r="S1229" t="str">
        <f>IF(A1229=1,MAX($S$2:$S1228)+1,IF(OR($I1229&lt;&gt;"",A1229="x"),$S1228,""))</f>
        <v/>
      </c>
      <c r="T1229" t="str">
        <f>IF(D1229=1,MAX($T$2:$T1228)+1,IF(S1229=S1228,$T1228,IF(D1229="x",T1228,IF(D1228="x","",""))))</f>
        <v/>
      </c>
      <c r="U1229" t="str">
        <f>IF(B1229=1,MAX($U$2:$U1228)+1,IF(AND($T1229&lt;&gt;"",$T1229=$T1228),$U1228,IF(B1229="x",U1228,"")))</f>
        <v/>
      </c>
      <c r="V1229" t="str">
        <f>IF(C1229=1,MAX($V$2:$V1228)+1,IF(AND($T1229&lt;&gt;"",$T1229=$T1228),$U1228,IF(C1229="x",V1228,"")))</f>
        <v/>
      </c>
      <c r="X1229" cm="1">
        <f t="array" ref="X1229">IF($I1229&lt;&gt;"",$I1229,INDEX($I$1:$I1229,ROW()-COUNTIFS($T$1:$T1229,"="&amp;$T1229,$S$1:$S1229,"&lt;"&amp;$S1229)))</f>
        <v>0</v>
      </c>
      <c r="Z1229" s="6">
        <f t="shared" si="198"/>
        <v>1</v>
      </c>
      <c r="AA1229" t="e">
        <f t="shared" si="199"/>
        <v>#VALUE!</v>
      </c>
      <c r="AB1229" t="str">
        <f t="shared" si="200"/>
        <v/>
      </c>
      <c r="AC1229" t="e">
        <f t="shared" si="201"/>
        <v>#VALUE!</v>
      </c>
    </row>
    <row r="1230" spans="1:29" x14ac:dyDescent="0.2">
      <c r="A1230" t="str">
        <f t="shared" si="194"/>
        <v/>
      </c>
      <c r="E1230" s="4"/>
      <c r="F1230" s="46"/>
      <c r="G1230" s="4"/>
      <c r="H1230" s="48"/>
      <c r="J1230" s="26" t="str">
        <f t="shared" si="195"/>
        <v/>
      </c>
      <c r="N1230" t="str">
        <f t="shared" si="196"/>
        <v/>
      </c>
      <c r="Q1230" t="str">
        <f t="shared" si="197"/>
        <v/>
      </c>
      <c r="S1230" t="str">
        <f>IF(A1230=1,MAX($S$2:$S1229)+1,IF(OR($I1230&lt;&gt;"",A1230="x"),$S1229,""))</f>
        <v/>
      </c>
      <c r="T1230" t="str">
        <f>IF(D1230=1,MAX($T$2:$T1229)+1,IF(S1230=S1229,$T1229,IF(D1230="x",T1229,IF(D1229="x","",""))))</f>
        <v/>
      </c>
      <c r="U1230" t="str">
        <f>IF(B1230=1,MAX($U$2:$U1229)+1,IF(AND($T1230&lt;&gt;"",$T1230=$T1229),$U1229,IF(B1230="x",U1229,"")))</f>
        <v/>
      </c>
      <c r="V1230" t="str">
        <f>IF(C1230=1,MAX($V$2:$V1229)+1,IF(AND($T1230&lt;&gt;"",$T1230=$T1229),$U1229,IF(C1230="x",V1229,"")))</f>
        <v/>
      </c>
      <c r="X1230" cm="1">
        <f t="array" ref="X1230">IF($I1230&lt;&gt;"",$I1230,INDEX($I$1:$I1230,ROW()-COUNTIFS($T$1:$T1230,"="&amp;$T1230,$S$1:$S1230,"&lt;"&amp;$S1230)))</f>
        <v>0</v>
      </c>
      <c r="Z1230" s="6">
        <f t="shared" si="198"/>
        <v>1</v>
      </c>
      <c r="AA1230" t="e">
        <f t="shared" si="199"/>
        <v>#VALUE!</v>
      </c>
      <c r="AB1230" t="str">
        <f t="shared" si="200"/>
        <v/>
      </c>
      <c r="AC1230" t="e">
        <f t="shared" si="201"/>
        <v>#VALUE!</v>
      </c>
    </row>
    <row r="1231" spans="1:29" x14ac:dyDescent="0.2">
      <c r="A1231" t="str">
        <f t="shared" si="194"/>
        <v/>
      </c>
      <c r="E1231" s="4"/>
      <c r="F1231" s="46"/>
      <c r="G1231" s="4"/>
      <c r="H1231" s="48"/>
      <c r="J1231" s="26" t="str">
        <f t="shared" si="195"/>
        <v/>
      </c>
      <c r="N1231" t="str">
        <f t="shared" si="196"/>
        <v/>
      </c>
      <c r="Q1231" t="str">
        <f t="shared" si="197"/>
        <v/>
      </c>
      <c r="S1231" t="str">
        <f>IF(A1231=1,MAX($S$2:$S1230)+1,IF(OR($I1231&lt;&gt;"",A1231="x"),$S1230,""))</f>
        <v/>
      </c>
      <c r="T1231" t="str">
        <f>IF(D1231=1,MAX($T$2:$T1230)+1,IF(S1231=S1230,$T1230,IF(D1231="x",T1230,IF(D1230="x","",""))))</f>
        <v/>
      </c>
      <c r="U1231" t="str">
        <f>IF(B1231=1,MAX($U$2:$U1230)+1,IF(AND($T1231&lt;&gt;"",$T1231=$T1230),$U1230,IF(B1231="x",U1230,"")))</f>
        <v/>
      </c>
      <c r="V1231" t="str">
        <f>IF(C1231=1,MAX($V$2:$V1230)+1,IF(AND($T1231&lt;&gt;"",$T1231=$T1230),$U1230,IF(C1231="x",V1230,"")))</f>
        <v/>
      </c>
      <c r="X1231" cm="1">
        <f t="array" ref="X1231">IF($I1231&lt;&gt;"",$I1231,INDEX($I$1:$I1231,ROW()-COUNTIFS($T$1:$T1231,"="&amp;$T1231,$S$1:$S1231,"&lt;"&amp;$S1231)))</f>
        <v>0</v>
      </c>
      <c r="Z1231" s="6">
        <f t="shared" si="198"/>
        <v>1</v>
      </c>
      <c r="AA1231" t="e">
        <f t="shared" si="199"/>
        <v>#VALUE!</v>
      </c>
      <c r="AB1231" t="str">
        <f t="shared" si="200"/>
        <v/>
      </c>
      <c r="AC1231" t="e">
        <f t="shared" si="201"/>
        <v>#VALUE!</v>
      </c>
    </row>
    <row r="1232" spans="1:29" x14ac:dyDescent="0.2">
      <c r="A1232" t="str">
        <f t="shared" si="194"/>
        <v/>
      </c>
      <c r="E1232" s="4"/>
      <c r="F1232" s="46"/>
      <c r="G1232" s="4"/>
      <c r="H1232" s="48"/>
      <c r="J1232" s="26" t="str">
        <f t="shared" si="195"/>
        <v/>
      </c>
      <c r="N1232" t="str">
        <f t="shared" si="196"/>
        <v/>
      </c>
      <c r="Q1232" t="str">
        <f t="shared" si="197"/>
        <v/>
      </c>
      <c r="S1232" t="str">
        <f>IF(A1232=1,MAX($S$2:$S1231)+1,IF(OR($I1232&lt;&gt;"",A1232="x"),$S1231,""))</f>
        <v/>
      </c>
      <c r="T1232" t="str">
        <f>IF(D1232=1,MAX($T$2:$T1231)+1,IF(S1232=S1231,$T1231,IF(D1232="x",T1231,IF(D1231="x","",""))))</f>
        <v/>
      </c>
      <c r="U1232" t="str">
        <f>IF(B1232=1,MAX($U$2:$U1231)+1,IF(AND($T1232&lt;&gt;"",$T1232=$T1231),$U1231,IF(B1232="x",U1231,"")))</f>
        <v/>
      </c>
      <c r="V1232" t="str">
        <f>IF(C1232=1,MAX($V$2:$V1231)+1,IF(AND($T1232&lt;&gt;"",$T1232=$T1231),$U1231,IF(C1232="x",V1231,"")))</f>
        <v/>
      </c>
      <c r="X1232" cm="1">
        <f t="array" ref="X1232">IF($I1232&lt;&gt;"",$I1232,INDEX($I$1:$I1232,ROW()-COUNTIFS($T$1:$T1232,"="&amp;$T1232,$S$1:$S1232,"&lt;"&amp;$S1232)))</f>
        <v>0</v>
      </c>
      <c r="Z1232" s="6">
        <f t="shared" si="198"/>
        <v>1</v>
      </c>
      <c r="AA1232" t="e">
        <f t="shared" si="199"/>
        <v>#VALUE!</v>
      </c>
      <c r="AB1232" t="str">
        <f t="shared" si="200"/>
        <v/>
      </c>
      <c r="AC1232" t="e">
        <f t="shared" si="201"/>
        <v>#VALUE!</v>
      </c>
    </row>
    <row r="1233" spans="1:29" x14ac:dyDescent="0.2">
      <c r="A1233" t="str">
        <f t="shared" si="194"/>
        <v/>
      </c>
      <c r="E1233" s="4"/>
      <c r="F1233" s="46"/>
      <c r="G1233" s="4"/>
      <c r="H1233" s="48"/>
      <c r="J1233" s="26" t="str">
        <f t="shared" si="195"/>
        <v/>
      </c>
      <c r="N1233" t="str">
        <f t="shared" si="196"/>
        <v/>
      </c>
      <c r="Q1233" t="str">
        <f t="shared" si="197"/>
        <v/>
      </c>
      <c r="S1233" t="str">
        <f>IF(A1233=1,MAX($S$2:$S1232)+1,IF(OR($I1233&lt;&gt;"",A1233="x"),$S1232,""))</f>
        <v/>
      </c>
      <c r="T1233" t="str">
        <f>IF(D1233=1,MAX($T$2:$T1232)+1,IF(S1233=S1232,$T1232,IF(D1233="x",T1232,IF(D1232="x","",""))))</f>
        <v/>
      </c>
      <c r="U1233" t="str">
        <f>IF(B1233=1,MAX($U$2:$U1232)+1,IF(AND($T1233&lt;&gt;"",$T1233=$T1232),$U1232,IF(B1233="x",U1232,"")))</f>
        <v/>
      </c>
      <c r="V1233" t="str">
        <f>IF(C1233=1,MAX($V$2:$V1232)+1,IF(AND($T1233&lt;&gt;"",$T1233=$T1232),$U1232,IF(C1233="x",V1232,"")))</f>
        <v/>
      </c>
      <c r="X1233" cm="1">
        <f t="array" ref="X1233">IF($I1233&lt;&gt;"",$I1233,INDEX($I$1:$I1233,ROW()-COUNTIFS($T$1:$T1233,"="&amp;$T1233,$S$1:$S1233,"&lt;"&amp;$S1233)))</f>
        <v>0</v>
      </c>
      <c r="Z1233" s="6">
        <f t="shared" si="198"/>
        <v>1</v>
      </c>
      <c r="AA1233" t="e">
        <f t="shared" si="199"/>
        <v>#VALUE!</v>
      </c>
      <c r="AB1233" t="str">
        <f t="shared" si="200"/>
        <v/>
      </c>
      <c r="AC1233" t="e">
        <f t="shared" si="201"/>
        <v>#VALUE!</v>
      </c>
    </row>
    <row r="1234" spans="1:29" x14ac:dyDescent="0.2">
      <c r="A1234" t="str">
        <f t="shared" si="194"/>
        <v/>
      </c>
      <c r="E1234" s="4"/>
      <c r="F1234" s="46"/>
      <c r="G1234" s="4"/>
      <c r="H1234" s="48"/>
      <c r="J1234" s="26" t="str">
        <f t="shared" si="195"/>
        <v/>
      </c>
      <c r="N1234" t="str">
        <f t="shared" si="196"/>
        <v/>
      </c>
      <c r="Q1234" t="str">
        <f t="shared" si="197"/>
        <v/>
      </c>
      <c r="S1234" t="str">
        <f>IF(A1234=1,MAX($S$2:$S1233)+1,IF(OR($I1234&lt;&gt;"",A1234="x"),$S1233,""))</f>
        <v/>
      </c>
      <c r="T1234" t="str">
        <f>IF(D1234=1,MAX($T$2:$T1233)+1,IF(S1234=S1233,$T1233,IF(D1234="x",T1233,IF(D1233="x","",""))))</f>
        <v/>
      </c>
      <c r="U1234" t="str">
        <f>IF(B1234=1,MAX($U$2:$U1233)+1,IF(AND($T1234&lt;&gt;"",$T1234=$T1233),$U1233,IF(B1234="x",U1233,"")))</f>
        <v/>
      </c>
      <c r="V1234" t="str">
        <f>IF(C1234=1,MAX($V$2:$V1233)+1,IF(AND($T1234&lt;&gt;"",$T1234=$T1233),$U1233,IF(C1234="x",V1233,"")))</f>
        <v/>
      </c>
      <c r="X1234" cm="1">
        <f t="array" ref="X1234">IF($I1234&lt;&gt;"",$I1234,INDEX($I$1:$I1234,ROW()-COUNTIFS($T$1:$T1234,"="&amp;$T1234,$S$1:$S1234,"&lt;"&amp;$S1234)))</f>
        <v>0</v>
      </c>
      <c r="Z1234" s="6">
        <f t="shared" si="198"/>
        <v>1</v>
      </c>
      <c r="AA1234" t="e">
        <f t="shared" si="199"/>
        <v>#VALUE!</v>
      </c>
      <c r="AB1234" t="str">
        <f t="shared" si="200"/>
        <v/>
      </c>
      <c r="AC1234" t="e">
        <f t="shared" si="201"/>
        <v>#VALUE!</v>
      </c>
    </row>
    <row r="1235" spans="1:29" x14ac:dyDescent="0.2">
      <c r="A1235" t="str">
        <f t="shared" ref="A1235:A1298" si="202">IF(K1235&lt;&gt;"",1,IF(D1235="x","x",""))</f>
        <v/>
      </c>
      <c r="E1235" s="4"/>
      <c r="F1235" s="46"/>
      <c r="G1235" s="4"/>
      <c r="H1235" s="48"/>
      <c r="J1235" s="26" t="str">
        <f t="shared" ref="J1235:J1298" si="203">IF(OR(K1235="Goal",K1235="Shot",L1235="Zone_Entry",M1235="Stoppage-Goal",M1234="Stoppage-Goal"),"o",IF(OR(K1235="Save",K1235="Rebound",L1235="Zone_Exit",M1235="Stoppage-GoalieStoppage",M1234="Stoppage-GoalieStoppage"),"d",IF(OR(L1235="Faceoff_AfterGoal",L1235="Faceoff_PeriodStart",698="Faceoff_GameStart",M1234="Stoppage-Goal"),"n","")))</f>
        <v/>
      </c>
      <c r="N1235" t="str">
        <f t="shared" ref="N1235:N1298" si="204">IF(K1235="","",IF(K1235="Goal","s",IF(AND(K1235="Zone_Entry_Exit",OR(ISNUMBER(SEARCH("fail",L1235)),ISNUMBER(SEARCH("FromExitClear",M1235)),ISNUMBER(SEARCH("miss",M1235)))),"u",IF(AND(K1235="Zone_Entry_Exit",OR(NOT(ISNUMBER(SEARCH("fail",L1235))),NOT(ISNUMBER(SEARCH("FromExitClear",M1235))),NOT(ISNUMBER(SEARCH("miss",M1235))))),"s",IF(AND(OR(K1235="Shot",K1235="Pass"),OR(ISNUMBER(SEARCH("complete",L1235)),ISNUMBER(SEARCH("goal",L1235)),ISNUMBER(SEARCH("OnNet",L1235)))),"s",IF(L1235="Turnover_Giveaway","u",IF(AND(OR(K1235="Shot",K1235="Pass"),OR(ISNUMBER(SEARCH("fail",L1235)),NOT(ISNUMBER(SEARCH("complete",L1235))),NOT(ISNUMBER(SEARCH("OnNet",L1235))))),"u","")))))))</f>
        <v/>
      </c>
      <c r="Q1235" t="str">
        <f t="shared" ref="Q1235:Q1298" si="205">IF(O1235="","",IF(AND(N1235&lt;&gt;"",OR(O1235&lt;&gt;"",P1235&lt;&gt;"")),N1235,IF(OR(ISNUMBER(SEARCH("attemp",O1235)),ISNUMBER(SEARCH("beat",O1235)),ISNUMBER(SEARCH("mis",O1235)),ISNUMBER(SEARCH("fail",O1235)),ISNUMBER(SEARCH("loss",O1235)),ISNUMBER(SEARCH("lost",O1235)),ISNUMBER(SEARCH("attemp",P1235)),ISNUMBER(SEARCH("mis",P1235)),ISNUMBER(SEARCH("fail",P1235)),ISNUMBER(SEARCH("loss",P1235)),ISNUMBER(SEARCH("beat",P1235)),ISNUMBER(SEARCH("lost",P1235))),"u","")))</f>
        <v/>
      </c>
      <c r="S1235" t="str">
        <f>IF(A1235=1,MAX($S$2:$S1234)+1,IF(OR($I1235&lt;&gt;"",A1235="x"),$S1234,""))</f>
        <v/>
      </c>
      <c r="T1235" t="str">
        <f>IF(D1235=1,MAX($T$2:$T1234)+1,IF(S1235=S1234,$T1234,IF(D1235="x",T1234,IF(D1234="x","",""))))</f>
        <v/>
      </c>
      <c r="U1235" t="str">
        <f>IF(B1235=1,MAX($U$2:$U1234)+1,IF(AND($T1235&lt;&gt;"",$T1235=$T1234),$U1234,IF(B1235="x",U1234,"")))</f>
        <v/>
      </c>
      <c r="V1235" t="str">
        <f>IF(C1235=1,MAX($V$2:$V1234)+1,IF(AND($T1235&lt;&gt;"",$T1235=$T1234),$U1234,IF(C1235="x",V1234,"")))</f>
        <v/>
      </c>
      <c r="X1235" cm="1">
        <f t="array" ref="X1235">IF($I1235&lt;&gt;"",$I1235,INDEX($I$1:$I1235,ROW()-COUNTIFS($T$1:$T1235,"="&amp;$T1235,$S$1:$S1235,"&lt;"&amp;$S1235)))</f>
        <v>0</v>
      </c>
      <c r="Z1235" s="6">
        <f t="shared" si="198"/>
        <v>1</v>
      </c>
      <c r="AA1235" t="e">
        <f t="shared" si="199"/>
        <v>#VALUE!</v>
      </c>
      <c r="AB1235" t="str">
        <f t="shared" si="200"/>
        <v/>
      </c>
      <c r="AC1235" t="e">
        <f t="shared" si="201"/>
        <v>#VALUE!</v>
      </c>
    </row>
    <row r="1236" spans="1:29" x14ac:dyDescent="0.2">
      <c r="A1236" t="str">
        <f t="shared" si="202"/>
        <v/>
      </c>
      <c r="E1236" s="4"/>
      <c r="F1236" s="46"/>
      <c r="G1236" s="4"/>
      <c r="H1236" s="48"/>
      <c r="J1236" s="26" t="str">
        <f t="shared" si="203"/>
        <v/>
      </c>
      <c r="N1236" t="str">
        <f t="shared" si="204"/>
        <v/>
      </c>
      <c r="Q1236" t="str">
        <f t="shared" si="205"/>
        <v/>
      </c>
      <c r="S1236" t="str">
        <f>IF(A1236=1,MAX($S$2:$S1235)+1,IF(OR($I1236&lt;&gt;"",A1236="x"),$S1235,""))</f>
        <v/>
      </c>
      <c r="T1236" t="str">
        <f>IF(D1236=1,MAX($T$2:$T1235)+1,IF(S1236=S1235,$T1235,IF(D1236="x",T1235,IF(D1235="x","",""))))</f>
        <v/>
      </c>
      <c r="U1236" t="str">
        <f>IF(B1236=1,MAX($U$2:$U1235)+1,IF(AND($T1236&lt;&gt;"",$T1236=$T1235),$U1235,IF(B1236="x",U1235,"")))</f>
        <v/>
      </c>
      <c r="V1236" t="str">
        <f>IF(C1236=1,MAX($V$2:$V1235)+1,IF(AND($T1236&lt;&gt;"",$T1236=$T1235),$U1235,IF(C1236="x",V1235,"")))</f>
        <v/>
      </c>
      <c r="X1236" cm="1">
        <f t="array" ref="X1236">IF($I1236&lt;&gt;"",$I1236,INDEX($I$1:$I1236,ROW()-COUNTIFS($T$1:$T1236,"="&amp;$T1236,$S$1:$S1236,"&lt;"&amp;$S1236)))</f>
        <v>0</v>
      </c>
      <c r="Z1236" s="6">
        <f t="shared" si="198"/>
        <v>1</v>
      </c>
      <c r="AA1236" t="e">
        <f t="shared" si="199"/>
        <v>#VALUE!</v>
      </c>
      <c r="AB1236" t="str">
        <f t="shared" si="200"/>
        <v/>
      </c>
      <c r="AC1236" t="e">
        <f t="shared" si="201"/>
        <v>#VALUE!</v>
      </c>
    </row>
    <row r="1237" spans="1:29" x14ac:dyDescent="0.2">
      <c r="A1237" t="str">
        <f t="shared" si="202"/>
        <v/>
      </c>
      <c r="E1237" s="4"/>
      <c r="F1237" s="46"/>
      <c r="G1237" s="4"/>
      <c r="H1237" s="48"/>
      <c r="J1237" s="26" t="str">
        <f t="shared" si="203"/>
        <v/>
      </c>
      <c r="N1237" t="str">
        <f t="shared" si="204"/>
        <v/>
      </c>
      <c r="Q1237" t="str">
        <f t="shared" si="205"/>
        <v/>
      </c>
      <c r="S1237" t="str">
        <f>IF(A1237=1,MAX($S$2:$S1236)+1,IF(OR($I1237&lt;&gt;"",A1237="x"),$S1236,""))</f>
        <v/>
      </c>
      <c r="T1237" t="str">
        <f>IF(D1237=1,MAX($T$2:$T1236)+1,IF(S1237=S1236,$T1236,IF(D1237="x",T1236,IF(D1236="x","",""))))</f>
        <v/>
      </c>
      <c r="U1237" t="str">
        <f>IF(B1237=1,MAX($U$2:$U1236)+1,IF(AND($T1237&lt;&gt;"",$T1237=$T1236),$U1236,IF(B1237="x",U1236,"")))</f>
        <v/>
      </c>
      <c r="V1237" t="str">
        <f>IF(C1237=1,MAX($V$2:$V1236)+1,IF(AND($T1237&lt;&gt;"",$T1237=$T1236),$U1236,IF(C1237="x",V1236,"")))</f>
        <v/>
      </c>
      <c r="X1237" cm="1">
        <f t="array" ref="X1237">IF($I1237&lt;&gt;"",$I1237,INDEX($I$1:$I1237,ROW()-COUNTIFS($T$1:$T1237,"="&amp;$T1237,$S$1:$S1237,"&lt;"&amp;$S1237)))</f>
        <v>0</v>
      </c>
      <c r="Z1237" s="6">
        <f t="shared" si="198"/>
        <v>1</v>
      </c>
      <c r="AA1237" t="e">
        <f t="shared" si="199"/>
        <v>#VALUE!</v>
      </c>
      <c r="AB1237" t="str">
        <f t="shared" si="200"/>
        <v/>
      </c>
      <c r="AC1237" t="e">
        <f t="shared" si="201"/>
        <v>#VALUE!</v>
      </c>
    </row>
    <row r="1238" spans="1:29" x14ac:dyDescent="0.2">
      <c r="A1238" t="str">
        <f t="shared" si="202"/>
        <v/>
      </c>
      <c r="E1238" s="4"/>
      <c r="F1238" s="46"/>
      <c r="G1238" s="4"/>
      <c r="H1238" s="48"/>
      <c r="J1238" s="26" t="str">
        <f t="shared" si="203"/>
        <v/>
      </c>
      <c r="N1238" t="str">
        <f t="shared" si="204"/>
        <v/>
      </c>
      <c r="Q1238" t="str">
        <f t="shared" si="205"/>
        <v/>
      </c>
      <c r="S1238" t="str">
        <f>IF(A1238=1,MAX($S$2:$S1237)+1,IF(OR($I1238&lt;&gt;"",A1238="x"),$S1237,""))</f>
        <v/>
      </c>
      <c r="T1238" t="str">
        <f>IF(D1238=1,MAX($T$2:$T1237)+1,IF(S1238=S1237,$T1237,IF(D1238="x",T1237,IF(D1237="x","",""))))</f>
        <v/>
      </c>
      <c r="U1238" t="str">
        <f>IF(B1238=1,MAX($U$2:$U1237)+1,IF(AND($T1238&lt;&gt;"",$T1238=$T1237),$U1237,IF(B1238="x",U1237,"")))</f>
        <v/>
      </c>
      <c r="V1238" t="str">
        <f>IF(C1238=1,MAX($V$2:$V1237)+1,IF(AND($T1238&lt;&gt;"",$T1238=$T1237),$U1237,IF(C1238="x",V1237,"")))</f>
        <v/>
      </c>
      <c r="X1238" cm="1">
        <f t="array" ref="X1238">IF($I1238&lt;&gt;"",$I1238,INDEX($I$1:$I1238,ROW()-COUNTIFS($T$1:$T1238,"="&amp;$T1238,$S$1:$S1238,"&lt;"&amp;$S1238)))</f>
        <v>0</v>
      </c>
      <c r="Z1238" s="6">
        <f t="shared" si="198"/>
        <v>1</v>
      </c>
      <c r="AA1238" t="e">
        <f t="shared" si="199"/>
        <v>#VALUE!</v>
      </c>
      <c r="AB1238" t="str">
        <f t="shared" si="200"/>
        <v/>
      </c>
      <c r="AC1238" t="e">
        <f t="shared" si="201"/>
        <v>#VALUE!</v>
      </c>
    </row>
    <row r="1239" spans="1:29" x14ac:dyDescent="0.2">
      <c r="A1239" t="str">
        <f t="shared" si="202"/>
        <v/>
      </c>
      <c r="E1239" s="4"/>
      <c r="F1239" s="46"/>
      <c r="G1239" s="4"/>
      <c r="H1239" s="48"/>
      <c r="J1239" s="26" t="str">
        <f t="shared" si="203"/>
        <v/>
      </c>
      <c r="N1239" t="str">
        <f t="shared" si="204"/>
        <v/>
      </c>
      <c r="Q1239" t="str">
        <f t="shared" si="205"/>
        <v/>
      </c>
      <c r="S1239" t="str">
        <f>IF(A1239=1,MAX($S$2:$S1238)+1,IF(OR($I1239&lt;&gt;"",A1239="x"),$S1238,""))</f>
        <v/>
      </c>
      <c r="T1239" t="str">
        <f>IF(D1239=1,MAX($T$2:$T1238)+1,IF(S1239=S1238,$T1238,IF(D1239="x",T1238,IF(D1238="x","",""))))</f>
        <v/>
      </c>
      <c r="U1239" t="str">
        <f>IF(B1239=1,MAX($U$2:$U1238)+1,IF(AND($T1239&lt;&gt;"",$T1239=$T1238),$U1238,IF(B1239="x",U1238,"")))</f>
        <v/>
      </c>
      <c r="V1239" t="str">
        <f>IF(C1239=1,MAX($V$2:$V1238)+1,IF(AND($T1239&lt;&gt;"",$T1239=$T1238),$U1238,IF(C1239="x",V1238,"")))</f>
        <v/>
      </c>
      <c r="X1239" cm="1">
        <f t="array" ref="X1239">IF($I1239&lt;&gt;"",$I1239,INDEX($I$1:$I1239,ROW()-COUNTIFS($T$1:$T1239,"="&amp;$T1239,$S$1:$S1239,"&lt;"&amp;$S1239)))</f>
        <v>0</v>
      </c>
      <c r="Z1239" s="6">
        <f t="shared" si="198"/>
        <v>1</v>
      </c>
      <c r="AA1239" t="e">
        <f t="shared" si="199"/>
        <v>#VALUE!</v>
      </c>
      <c r="AB1239" t="str">
        <f t="shared" si="200"/>
        <v/>
      </c>
      <c r="AC1239" t="e">
        <f t="shared" si="201"/>
        <v>#VALUE!</v>
      </c>
    </row>
    <row r="1240" spans="1:29" x14ac:dyDescent="0.2">
      <c r="A1240" t="str">
        <f t="shared" si="202"/>
        <v/>
      </c>
      <c r="E1240" s="4"/>
      <c r="F1240" s="46"/>
      <c r="G1240" s="4"/>
      <c r="H1240" s="48"/>
      <c r="J1240" s="26" t="str">
        <f t="shared" si="203"/>
        <v/>
      </c>
      <c r="N1240" t="str">
        <f t="shared" si="204"/>
        <v/>
      </c>
      <c r="Q1240" t="str">
        <f t="shared" si="205"/>
        <v/>
      </c>
      <c r="S1240" t="str">
        <f>IF(A1240=1,MAX($S$2:$S1239)+1,IF(OR($I1240&lt;&gt;"",A1240="x"),$S1239,""))</f>
        <v/>
      </c>
      <c r="T1240" t="str">
        <f>IF(D1240=1,MAX($T$2:$T1239)+1,IF(S1240=S1239,$T1239,IF(D1240="x",T1239,IF(D1239="x","",""))))</f>
        <v/>
      </c>
      <c r="U1240" t="str">
        <f>IF(B1240=1,MAX($U$2:$U1239)+1,IF(AND($T1240&lt;&gt;"",$T1240=$T1239),$U1239,IF(B1240="x",U1239,"")))</f>
        <v/>
      </c>
      <c r="V1240" t="str">
        <f>IF(C1240=1,MAX($V$2:$V1239)+1,IF(AND($T1240&lt;&gt;"",$T1240=$T1239),$U1239,IF(C1240="x",V1239,"")))</f>
        <v/>
      </c>
      <c r="X1240" cm="1">
        <f t="array" ref="X1240">IF($I1240&lt;&gt;"",$I1240,INDEX($I$1:$I1240,ROW()-COUNTIFS($T$1:$T1240,"="&amp;$T1240,$S$1:$S1240,"&lt;"&amp;$S1240)))</f>
        <v>0</v>
      </c>
      <c r="Z1240" s="6">
        <f t="shared" si="198"/>
        <v>1</v>
      </c>
      <c r="AA1240" t="e">
        <f t="shared" si="199"/>
        <v>#VALUE!</v>
      </c>
      <c r="AB1240" t="str">
        <f t="shared" si="200"/>
        <v/>
      </c>
      <c r="AC1240" t="e">
        <f t="shared" si="201"/>
        <v>#VALUE!</v>
      </c>
    </row>
    <row r="1241" spans="1:29" x14ac:dyDescent="0.2">
      <c r="A1241" t="str">
        <f t="shared" si="202"/>
        <v/>
      </c>
      <c r="E1241" s="4"/>
      <c r="F1241" s="46"/>
      <c r="G1241" s="4"/>
      <c r="H1241" s="48"/>
      <c r="J1241" s="26" t="str">
        <f t="shared" si="203"/>
        <v/>
      </c>
      <c r="N1241" t="str">
        <f t="shared" si="204"/>
        <v/>
      </c>
      <c r="Q1241" t="str">
        <f t="shared" si="205"/>
        <v/>
      </c>
      <c r="S1241" t="str">
        <f>IF(A1241=1,MAX($S$2:$S1240)+1,IF(OR($I1241&lt;&gt;"",A1241="x"),$S1240,""))</f>
        <v/>
      </c>
      <c r="T1241" t="str">
        <f>IF(D1241=1,MAX($T$2:$T1240)+1,IF(S1241=S1240,$T1240,IF(D1241="x",T1240,IF(D1240="x","",""))))</f>
        <v/>
      </c>
      <c r="U1241" t="str">
        <f>IF(B1241=1,MAX($U$2:$U1240)+1,IF(AND($T1241&lt;&gt;"",$T1241=$T1240),$U1240,IF(B1241="x",U1240,"")))</f>
        <v/>
      </c>
      <c r="V1241" t="str">
        <f>IF(C1241=1,MAX($V$2:$V1240)+1,IF(AND($T1241&lt;&gt;"",$T1241=$T1240),$U1240,IF(C1241="x",V1240,"")))</f>
        <v/>
      </c>
      <c r="X1241" cm="1">
        <f t="array" ref="X1241">IF($I1241&lt;&gt;"",$I1241,INDEX($I$1:$I1241,ROW()-COUNTIFS($T$1:$T1241,"="&amp;$T1241,$S$1:$S1241,"&lt;"&amp;$S1241)))</f>
        <v>0</v>
      </c>
      <c r="Z1241" s="6">
        <f t="shared" si="198"/>
        <v>1</v>
      </c>
      <c r="AA1241" t="e">
        <f t="shared" si="199"/>
        <v>#VALUE!</v>
      </c>
      <c r="AB1241" t="str">
        <f t="shared" si="200"/>
        <v/>
      </c>
      <c r="AC1241" t="e">
        <f t="shared" si="201"/>
        <v>#VALUE!</v>
      </c>
    </row>
    <row r="1242" spans="1:29" x14ac:dyDescent="0.2">
      <c r="A1242" t="str">
        <f t="shared" si="202"/>
        <v/>
      </c>
      <c r="E1242" s="4"/>
      <c r="F1242" s="46"/>
      <c r="G1242" s="4"/>
      <c r="H1242" s="48"/>
      <c r="J1242" s="26" t="str">
        <f t="shared" si="203"/>
        <v/>
      </c>
      <c r="N1242" t="str">
        <f t="shared" si="204"/>
        <v/>
      </c>
      <c r="Q1242" t="str">
        <f t="shared" si="205"/>
        <v/>
      </c>
      <c r="S1242" t="str">
        <f>IF(A1242=1,MAX($S$2:$S1241)+1,IF(OR($I1242&lt;&gt;"",A1242="x"),$S1241,""))</f>
        <v/>
      </c>
      <c r="T1242" t="str">
        <f>IF(D1242=1,MAX($T$2:$T1241)+1,IF(S1242=S1241,$T1241,IF(D1242="x",T1241,IF(D1241="x","",""))))</f>
        <v/>
      </c>
      <c r="U1242" t="str">
        <f>IF(B1242=1,MAX($U$2:$U1241)+1,IF(AND($T1242&lt;&gt;"",$T1242=$T1241),$U1241,IF(B1242="x",U1241,"")))</f>
        <v/>
      </c>
      <c r="V1242" t="str">
        <f>IF(C1242=1,MAX($V$2:$V1241)+1,IF(AND($T1242&lt;&gt;"",$T1242=$T1241),$U1241,IF(C1242="x",V1241,"")))</f>
        <v/>
      </c>
      <c r="X1242" cm="1">
        <f t="array" ref="X1242">IF($I1242&lt;&gt;"",$I1242,INDEX($I$1:$I1242,ROW()-COUNTIFS($T$1:$T1242,"="&amp;$T1242,$S$1:$S1242,"&lt;"&amp;$S1242)))</f>
        <v>0</v>
      </c>
      <c r="Z1242" s="6">
        <f t="shared" si="198"/>
        <v>1</v>
      </c>
      <c r="AA1242" t="e">
        <f t="shared" si="199"/>
        <v>#VALUE!</v>
      </c>
      <c r="AB1242" t="str">
        <f t="shared" si="200"/>
        <v/>
      </c>
      <c r="AC1242" t="e">
        <f t="shared" si="201"/>
        <v>#VALUE!</v>
      </c>
    </row>
    <row r="1243" spans="1:29" x14ac:dyDescent="0.2">
      <c r="A1243" t="str">
        <f t="shared" si="202"/>
        <v/>
      </c>
      <c r="E1243" s="4"/>
      <c r="F1243" s="46"/>
      <c r="G1243" s="4"/>
      <c r="H1243" s="48"/>
      <c r="J1243" s="26" t="str">
        <f t="shared" si="203"/>
        <v/>
      </c>
      <c r="N1243" t="str">
        <f t="shared" si="204"/>
        <v/>
      </c>
      <c r="Q1243" t="str">
        <f t="shared" si="205"/>
        <v/>
      </c>
      <c r="S1243" t="str">
        <f>IF(A1243=1,MAX($S$2:$S1242)+1,IF(OR($I1243&lt;&gt;"",A1243="x"),$S1242,""))</f>
        <v/>
      </c>
      <c r="T1243" t="str">
        <f>IF(D1243=1,MAX($T$2:$T1242)+1,IF(S1243=S1242,$T1242,IF(D1243="x",T1242,IF(D1242="x","",""))))</f>
        <v/>
      </c>
      <c r="U1243" t="str">
        <f>IF(B1243=1,MAX($U$2:$U1242)+1,IF(AND($T1243&lt;&gt;"",$T1243=$T1242),$U1242,IF(B1243="x",U1242,"")))</f>
        <v/>
      </c>
      <c r="V1243" t="str">
        <f>IF(C1243=1,MAX($V$2:$V1242)+1,IF(AND($T1243&lt;&gt;"",$T1243=$T1242),$U1242,IF(C1243="x",V1242,"")))</f>
        <v/>
      </c>
      <c r="X1243" cm="1">
        <f t="array" ref="X1243">IF($I1243&lt;&gt;"",$I1243,INDEX($I$1:$I1243,ROW()-COUNTIFS($T$1:$T1243,"="&amp;$T1243,$S$1:$S1243,"&lt;"&amp;$S1243)))</f>
        <v>0</v>
      </c>
      <c r="Z1243" s="6">
        <f t="shared" si="198"/>
        <v>1</v>
      </c>
      <c r="AA1243" t="e">
        <f t="shared" si="199"/>
        <v>#VALUE!</v>
      </c>
      <c r="AB1243" t="str">
        <f t="shared" si="200"/>
        <v/>
      </c>
      <c r="AC1243" t="e">
        <f t="shared" si="201"/>
        <v>#VALUE!</v>
      </c>
    </row>
    <row r="1244" spans="1:29" x14ac:dyDescent="0.2">
      <c r="A1244" t="str">
        <f t="shared" si="202"/>
        <v/>
      </c>
      <c r="E1244" s="4"/>
      <c r="F1244" s="46"/>
      <c r="G1244" s="4"/>
      <c r="H1244" s="48"/>
      <c r="J1244" s="26" t="str">
        <f t="shared" si="203"/>
        <v/>
      </c>
      <c r="N1244" t="str">
        <f t="shared" si="204"/>
        <v/>
      </c>
      <c r="Q1244" t="str">
        <f t="shared" si="205"/>
        <v/>
      </c>
      <c r="S1244" t="str">
        <f>IF(A1244=1,MAX($S$2:$S1243)+1,IF(OR($I1244&lt;&gt;"",A1244="x"),$S1243,""))</f>
        <v/>
      </c>
      <c r="T1244" t="str">
        <f>IF(D1244=1,MAX($T$2:$T1243)+1,IF(S1244=S1243,$T1243,IF(D1244="x",T1243,IF(D1243="x","",""))))</f>
        <v/>
      </c>
      <c r="U1244" t="str">
        <f>IF(B1244=1,MAX($U$2:$U1243)+1,IF(AND($T1244&lt;&gt;"",$T1244=$T1243),$U1243,IF(B1244="x",U1243,"")))</f>
        <v/>
      </c>
      <c r="V1244" t="str">
        <f>IF(C1244=1,MAX($V$2:$V1243)+1,IF(AND($T1244&lt;&gt;"",$T1244=$T1243),$U1243,IF(C1244="x",V1243,"")))</f>
        <v/>
      </c>
      <c r="X1244" cm="1">
        <f t="array" ref="X1244">IF($I1244&lt;&gt;"",$I1244,INDEX($I$1:$I1244,ROW()-COUNTIFS($T$1:$T1244,"="&amp;$T1244,$S$1:$S1244,"&lt;"&amp;$S1244)))</f>
        <v>0</v>
      </c>
      <c r="Z1244" s="6">
        <f t="shared" si="198"/>
        <v>1</v>
      </c>
      <c r="AA1244" t="e">
        <f t="shared" si="199"/>
        <v>#VALUE!</v>
      </c>
      <c r="AB1244" t="str">
        <f t="shared" si="200"/>
        <v/>
      </c>
      <c r="AC1244" t="e">
        <f t="shared" si="201"/>
        <v>#VALUE!</v>
      </c>
    </row>
    <row r="1245" spans="1:29" x14ac:dyDescent="0.2">
      <c r="A1245" t="str">
        <f t="shared" si="202"/>
        <v/>
      </c>
      <c r="E1245" s="4"/>
      <c r="F1245" s="46"/>
      <c r="G1245" s="4"/>
      <c r="H1245" s="48"/>
      <c r="J1245" s="26" t="str">
        <f t="shared" si="203"/>
        <v/>
      </c>
      <c r="N1245" t="str">
        <f t="shared" si="204"/>
        <v/>
      </c>
      <c r="Q1245" t="str">
        <f t="shared" si="205"/>
        <v/>
      </c>
      <c r="S1245" t="str">
        <f>IF(A1245=1,MAX($S$2:$S1244)+1,IF(OR($I1245&lt;&gt;"",A1245="x"),$S1244,""))</f>
        <v/>
      </c>
      <c r="T1245" t="str">
        <f>IF(D1245=1,MAX($T$2:$T1244)+1,IF(S1245=S1244,$T1244,IF(D1245="x",T1244,IF(D1244="x","",""))))</f>
        <v/>
      </c>
      <c r="U1245" t="str">
        <f>IF(B1245=1,MAX($U$2:$U1244)+1,IF(AND($T1245&lt;&gt;"",$T1245=$T1244),$U1244,IF(B1245="x",U1244,"")))</f>
        <v/>
      </c>
      <c r="V1245" t="str">
        <f>IF(C1245=1,MAX($V$2:$V1244)+1,IF(AND($T1245&lt;&gt;"",$T1245=$T1244),$U1244,IF(C1245="x",V1244,"")))</f>
        <v/>
      </c>
      <c r="X1245" cm="1">
        <f t="array" ref="X1245">IF($I1245&lt;&gt;"",$I1245,INDEX($I$1:$I1245,ROW()-COUNTIFS($T$1:$T1245,"="&amp;$T1245,$S$1:$S1245,"&lt;"&amp;$S1245)))</f>
        <v>0</v>
      </c>
      <c r="Z1245" s="6">
        <f t="shared" si="198"/>
        <v>1</v>
      </c>
      <c r="AA1245" t="e">
        <f t="shared" si="199"/>
        <v>#VALUE!</v>
      </c>
      <c r="AB1245" t="str">
        <f t="shared" si="200"/>
        <v/>
      </c>
      <c r="AC1245" t="e">
        <f t="shared" si="201"/>
        <v>#VALUE!</v>
      </c>
    </row>
    <row r="1246" spans="1:29" x14ac:dyDescent="0.2">
      <c r="A1246" t="str">
        <f t="shared" si="202"/>
        <v/>
      </c>
      <c r="E1246" s="4"/>
      <c r="F1246" s="46"/>
      <c r="G1246" s="4"/>
      <c r="H1246" s="48"/>
      <c r="J1246" s="26" t="str">
        <f t="shared" si="203"/>
        <v/>
      </c>
      <c r="N1246" t="str">
        <f t="shared" si="204"/>
        <v/>
      </c>
      <c r="Q1246" t="str">
        <f t="shared" si="205"/>
        <v/>
      </c>
      <c r="S1246" t="str">
        <f>IF(A1246=1,MAX($S$2:$S1245)+1,IF(OR($I1246&lt;&gt;"",A1246="x"),$S1245,""))</f>
        <v/>
      </c>
      <c r="T1246" t="str">
        <f>IF(D1246=1,MAX($T$2:$T1245)+1,IF(S1246=S1245,$T1245,IF(D1246="x",T1245,IF(D1245="x","",""))))</f>
        <v/>
      </c>
      <c r="U1246" t="str">
        <f>IF(B1246=1,MAX($U$2:$U1245)+1,IF(AND($T1246&lt;&gt;"",$T1246=$T1245),$U1245,IF(B1246="x",U1245,"")))</f>
        <v/>
      </c>
      <c r="V1246" t="str">
        <f>IF(C1246=1,MAX($V$2:$V1245)+1,IF(AND($T1246&lt;&gt;"",$T1246=$T1245),$U1245,IF(C1246="x",V1245,"")))</f>
        <v/>
      </c>
      <c r="X1246" cm="1">
        <f t="array" ref="X1246">IF($I1246&lt;&gt;"",$I1246,INDEX($I$1:$I1246,ROW()-COUNTIFS($T$1:$T1246,"="&amp;$T1246,$S$1:$S1246,"&lt;"&amp;$S1246)))</f>
        <v>0</v>
      </c>
      <c r="Z1246" s="6">
        <f t="shared" si="198"/>
        <v>1</v>
      </c>
      <c r="AA1246" t="e">
        <f t="shared" si="199"/>
        <v>#VALUE!</v>
      </c>
      <c r="AB1246" t="str">
        <f t="shared" si="200"/>
        <v/>
      </c>
      <c r="AC1246" t="e">
        <f t="shared" si="201"/>
        <v>#VALUE!</v>
      </c>
    </row>
    <row r="1247" spans="1:29" x14ac:dyDescent="0.2">
      <c r="A1247" t="str">
        <f t="shared" si="202"/>
        <v/>
      </c>
      <c r="E1247" s="4"/>
      <c r="F1247" s="46"/>
      <c r="G1247" s="4"/>
      <c r="H1247" s="48"/>
      <c r="J1247" s="26" t="str">
        <f t="shared" si="203"/>
        <v/>
      </c>
      <c r="N1247" t="str">
        <f t="shared" si="204"/>
        <v/>
      </c>
      <c r="Q1247" t="str">
        <f t="shared" si="205"/>
        <v/>
      </c>
      <c r="S1247" t="str">
        <f>IF(A1247=1,MAX($S$2:$S1246)+1,IF(OR($I1247&lt;&gt;"",A1247="x"),$S1246,""))</f>
        <v/>
      </c>
      <c r="T1247" t="str">
        <f>IF(D1247=1,MAX($T$2:$T1246)+1,IF(S1247=S1246,$T1246,IF(D1247="x",T1246,IF(D1246="x","",""))))</f>
        <v/>
      </c>
      <c r="U1247" t="str">
        <f>IF(B1247=1,MAX($U$2:$U1246)+1,IF(AND($T1247&lt;&gt;"",$T1247=$T1246),$U1246,IF(B1247="x",U1246,"")))</f>
        <v/>
      </c>
      <c r="V1247" t="str">
        <f>IF(C1247=1,MAX($V$2:$V1246)+1,IF(AND($T1247&lt;&gt;"",$T1247=$T1246),$U1246,IF(C1247="x",V1246,"")))</f>
        <v/>
      </c>
      <c r="X1247" cm="1">
        <f t="array" ref="X1247">IF($I1247&lt;&gt;"",$I1247,INDEX($I$1:$I1247,ROW()-COUNTIFS($T$1:$T1247,"="&amp;$T1247,$S$1:$S1247,"&lt;"&amp;$S1247)))</f>
        <v>0</v>
      </c>
      <c r="Z1247" s="6">
        <f t="shared" si="198"/>
        <v>1</v>
      </c>
      <c r="AA1247" t="e">
        <f t="shared" si="199"/>
        <v>#VALUE!</v>
      </c>
      <c r="AB1247" t="str">
        <f t="shared" si="200"/>
        <v/>
      </c>
      <c r="AC1247" t="e">
        <f t="shared" si="201"/>
        <v>#VALUE!</v>
      </c>
    </row>
    <row r="1248" spans="1:29" x14ac:dyDescent="0.2">
      <c r="A1248" t="str">
        <f t="shared" si="202"/>
        <v/>
      </c>
      <c r="E1248" s="4"/>
      <c r="F1248" s="46"/>
      <c r="G1248" s="4"/>
      <c r="H1248" s="48"/>
      <c r="J1248" s="26" t="str">
        <f t="shared" si="203"/>
        <v/>
      </c>
      <c r="N1248" t="str">
        <f t="shared" si="204"/>
        <v/>
      </c>
      <c r="Q1248" t="str">
        <f t="shared" si="205"/>
        <v/>
      </c>
      <c r="S1248" t="str">
        <f>IF(A1248=1,MAX($S$2:$S1247)+1,IF(OR($I1248&lt;&gt;"",A1248="x"),$S1247,""))</f>
        <v/>
      </c>
      <c r="T1248" t="str">
        <f>IF(D1248=1,MAX($T$2:$T1247)+1,IF(S1248=S1247,$T1247,IF(D1248="x",T1247,IF(D1247="x","",""))))</f>
        <v/>
      </c>
      <c r="U1248" t="str">
        <f>IF(B1248=1,MAX($U$2:$U1247)+1,IF(AND($T1248&lt;&gt;"",$T1248=$T1247),$U1247,IF(B1248="x",U1247,"")))</f>
        <v/>
      </c>
      <c r="V1248" t="str">
        <f>IF(C1248=1,MAX($V$2:$V1247)+1,IF(AND($T1248&lt;&gt;"",$T1248=$T1247),$U1247,IF(C1248="x",V1247,"")))</f>
        <v/>
      </c>
      <c r="X1248" cm="1">
        <f t="array" ref="X1248">IF($I1248&lt;&gt;"",$I1248,INDEX($I$1:$I1248,ROW()-COUNTIFS($T$1:$T1248,"="&amp;$T1248,$S$1:$S1248,"&lt;"&amp;$S1248)))</f>
        <v>0</v>
      </c>
      <c r="Z1248" s="6">
        <f t="shared" si="198"/>
        <v>1</v>
      </c>
      <c r="AA1248" t="e">
        <f t="shared" si="199"/>
        <v>#VALUE!</v>
      </c>
      <c r="AB1248" t="str">
        <f t="shared" si="200"/>
        <v/>
      </c>
      <c r="AC1248" t="e">
        <f t="shared" si="201"/>
        <v>#VALUE!</v>
      </c>
    </row>
    <row r="1249" spans="1:29" x14ac:dyDescent="0.2">
      <c r="A1249" t="str">
        <f t="shared" si="202"/>
        <v/>
      </c>
      <c r="E1249" s="4"/>
      <c r="F1249" s="46"/>
      <c r="G1249" s="4"/>
      <c r="H1249" s="48"/>
      <c r="J1249" s="26" t="str">
        <f t="shared" si="203"/>
        <v/>
      </c>
      <c r="N1249" t="str">
        <f t="shared" si="204"/>
        <v/>
      </c>
      <c r="Q1249" t="str">
        <f t="shared" si="205"/>
        <v/>
      </c>
      <c r="S1249" t="str">
        <f>IF(A1249=1,MAX($S$2:$S1248)+1,IF(OR($I1249&lt;&gt;"",A1249="x"),$S1248,""))</f>
        <v/>
      </c>
      <c r="T1249" t="str">
        <f>IF(D1249=1,MAX($T$2:$T1248)+1,IF(S1249=S1248,$T1248,IF(D1249="x",T1248,IF(D1248="x","",""))))</f>
        <v/>
      </c>
      <c r="U1249" t="str">
        <f>IF(B1249=1,MAX($U$2:$U1248)+1,IF(AND($T1249&lt;&gt;"",$T1249=$T1248),$U1248,IF(B1249="x",U1248,"")))</f>
        <v/>
      </c>
      <c r="V1249" t="str">
        <f>IF(C1249=1,MAX($V$2:$V1248)+1,IF(AND($T1249&lt;&gt;"",$T1249=$T1248),$U1248,IF(C1249="x",V1248,"")))</f>
        <v/>
      </c>
      <c r="X1249" cm="1">
        <f t="array" ref="X1249">IF($I1249&lt;&gt;"",$I1249,INDEX($I$1:$I1249,ROW()-COUNTIFS($T$1:$T1249,"="&amp;$T1249,$S$1:$S1249,"&lt;"&amp;$S1249)))</f>
        <v>0</v>
      </c>
      <c r="Z1249" s="6">
        <f t="shared" si="198"/>
        <v>1</v>
      </c>
      <c r="AA1249" t="e">
        <f t="shared" si="199"/>
        <v>#VALUE!</v>
      </c>
      <c r="AB1249" t="str">
        <f t="shared" si="200"/>
        <v/>
      </c>
      <c r="AC1249" t="e">
        <f t="shared" si="201"/>
        <v>#VALUE!</v>
      </c>
    </row>
    <row r="1250" spans="1:29" x14ac:dyDescent="0.2">
      <c r="A1250" t="str">
        <f t="shared" si="202"/>
        <v/>
      </c>
      <c r="E1250" s="4"/>
      <c r="F1250" s="46"/>
      <c r="G1250" s="4"/>
      <c r="H1250" s="48"/>
      <c r="J1250" s="26" t="str">
        <f t="shared" si="203"/>
        <v/>
      </c>
      <c r="N1250" t="str">
        <f t="shared" si="204"/>
        <v/>
      </c>
      <c r="Q1250" t="str">
        <f t="shared" si="205"/>
        <v/>
      </c>
      <c r="S1250" t="str">
        <f>IF(A1250=1,MAX($S$2:$S1249)+1,IF(OR($I1250&lt;&gt;"",A1250="x"),$S1249,""))</f>
        <v/>
      </c>
      <c r="T1250" t="str">
        <f>IF(D1250=1,MAX($T$2:$T1249)+1,IF(S1250=S1249,$T1249,IF(D1250="x",T1249,IF(D1249="x","",""))))</f>
        <v/>
      </c>
      <c r="U1250" t="str">
        <f>IF(B1250=1,MAX($U$2:$U1249)+1,IF(AND($T1250&lt;&gt;"",$T1250=$T1249),$U1249,IF(B1250="x",U1249,"")))</f>
        <v/>
      </c>
      <c r="V1250" t="str">
        <f>IF(C1250=1,MAX($V$2:$V1249)+1,IF(AND($T1250&lt;&gt;"",$T1250=$T1249),$U1249,IF(C1250="x",V1249,"")))</f>
        <v/>
      </c>
      <c r="X1250" cm="1">
        <f t="array" ref="X1250">IF($I1250&lt;&gt;"",$I1250,INDEX($I$1:$I1250,ROW()-COUNTIFS($T$1:$T1250,"="&amp;$T1250,$S$1:$S1250,"&lt;"&amp;$S1250)))</f>
        <v>0</v>
      </c>
      <c r="Z1250" s="6">
        <f t="shared" si="198"/>
        <v>1</v>
      </c>
      <c r="AA1250" t="e">
        <f t="shared" si="199"/>
        <v>#VALUE!</v>
      </c>
      <c r="AB1250" t="str">
        <f t="shared" si="200"/>
        <v/>
      </c>
      <c r="AC1250" t="e">
        <f t="shared" si="201"/>
        <v>#VALUE!</v>
      </c>
    </row>
    <row r="1251" spans="1:29" x14ac:dyDescent="0.2">
      <c r="A1251" t="str">
        <f t="shared" si="202"/>
        <v/>
      </c>
      <c r="E1251" s="4"/>
      <c r="F1251" s="46"/>
      <c r="G1251" s="4"/>
      <c r="H1251" s="48"/>
      <c r="J1251" s="26" t="str">
        <f t="shared" si="203"/>
        <v/>
      </c>
      <c r="N1251" t="str">
        <f t="shared" si="204"/>
        <v/>
      </c>
      <c r="Q1251" t="str">
        <f t="shared" si="205"/>
        <v/>
      </c>
      <c r="S1251" t="str">
        <f>IF(A1251=1,MAX($S$2:$S1250)+1,IF(OR($I1251&lt;&gt;"",A1251="x"),$S1250,""))</f>
        <v/>
      </c>
      <c r="T1251" t="str">
        <f>IF(D1251=1,MAX($T$2:$T1250)+1,IF(S1251=S1250,$T1250,IF(D1251="x",T1250,IF(D1250="x","",""))))</f>
        <v/>
      </c>
      <c r="U1251" t="str">
        <f>IF(B1251=1,MAX($U$2:$U1250)+1,IF(AND($T1251&lt;&gt;"",$T1251=$T1250),$U1250,IF(B1251="x",U1250,"")))</f>
        <v/>
      </c>
      <c r="V1251" t="str">
        <f>IF(C1251=1,MAX($V$2:$V1250)+1,IF(AND($T1251&lt;&gt;"",$T1251=$T1250),$U1250,IF(C1251="x",V1250,"")))</f>
        <v/>
      </c>
      <c r="X1251" cm="1">
        <f t="array" ref="X1251">IF($I1251&lt;&gt;"",$I1251,INDEX($I$1:$I1251,ROW()-COUNTIFS($T$1:$T1251,"="&amp;$T1251,$S$1:$S1251,"&lt;"&amp;$S1251)))</f>
        <v>0</v>
      </c>
      <c r="Z1251" s="6">
        <f t="shared" si="198"/>
        <v>1</v>
      </c>
      <c r="AA1251" t="e">
        <f t="shared" si="199"/>
        <v>#VALUE!</v>
      </c>
      <c r="AB1251" t="str">
        <f t="shared" si="200"/>
        <v/>
      </c>
      <c r="AC1251" t="e">
        <f t="shared" si="201"/>
        <v>#VALUE!</v>
      </c>
    </row>
    <row r="1252" spans="1:29" x14ac:dyDescent="0.2">
      <c r="A1252" t="str">
        <f t="shared" si="202"/>
        <v/>
      </c>
      <c r="E1252" s="4"/>
      <c r="F1252" s="46"/>
      <c r="G1252" s="4"/>
      <c r="H1252" s="48"/>
      <c r="J1252" s="26" t="str">
        <f t="shared" si="203"/>
        <v/>
      </c>
      <c r="N1252" t="str">
        <f t="shared" si="204"/>
        <v/>
      </c>
      <c r="Q1252" t="str">
        <f t="shared" si="205"/>
        <v/>
      </c>
      <c r="S1252" t="str">
        <f>IF(A1252=1,MAX($S$2:$S1251)+1,IF(OR($I1252&lt;&gt;"",A1252="x"),$S1251,""))</f>
        <v/>
      </c>
      <c r="T1252" t="str">
        <f>IF(D1252=1,MAX($T$2:$T1251)+1,IF(S1252=S1251,$T1251,IF(D1252="x",T1251,IF(D1251="x","",""))))</f>
        <v/>
      </c>
      <c r="U1252" t="str">
        <f>IF(B1252=1,MAX($U$2:$U1251)+1,IF(AND($T1252&lt;&gt;"",$T1252=$T1251),$U1251,IF(B1252="x",U1251,"")))</f>
        <v/>
      </c>
      <c r="V1252" t="str">
        <f>IF(C1252=1,MAX($V$2:$V1251)+1,IF(AND($T1252&lt;&gt;"",$T1252=$T1251),$U1251,IF(C1252="x",V1251,"")))</f>
        <v/>
      </c>
      <c r="X1252" cm="1">
        <f t="array" ref="X1252">IF($I1252&lt;&gt;"",$I1252,INDEX($I$1:$I1252,ROW()-COUNTIFS($T$1:$T1252,"="&amp;$T1252,$S$1:$S1252,"&lt;"&amp;$S1252)))</f>
        <v>0</v>
      </c>
      <c r="Z1252" s="6">
        <f t="shared" si="198"/>
        <v>1</v>
      </c>
      <c r="AA1252" t="e">
        <f t="shared" si="199"/>
        <v>#VALUE!</v>
      </c>
      <c r="AB1252" t="str">
        <f t="shared" si="200"/>
        <v/>
      </c>
      <c r="AC1252" t="e">
        <f t="shared" si="201"/>
        <v>#VALUE!</v>
      </c>
    </row>
    <row r="1253" spans="1:29" x14ac:dyDescent="0.2">
      <c r="A1253" t="str">
        <f t="shared" si="202"/>
        <v/>
      </c>
      <c r="E1253" s="4"/>
      <c r="F1253" s="46"/>
      <c r="G1253" s="4"/>
      <c r="H1253" s="48"/>
      <c r="J1253" s="26" t="str">
        <f t="shared" si="203"/>
        <v/>
      </c>
      <c r="N1253" t="str">
        <f t="shared" si="204"/>
        <v/>
      </c>
      <c r="Q1253" t="str">
        <f t="shared" si="205"/>
        <v/>
      </c>
      <c r="S1253" t="str">
        <f>IF(A1253=1,MAX($S$2:$S1252)+1,IF(OR($I1253&lt;&gt;"",A1253="x"),$S1252,""))</f>
        <v/>
      </c>
      <c r="T1253" t="str">
        <f>IF(D1253=1,MAX($T$2:$T1252)+1,IF(S1253=S1252,$T1252,IF(D1253="x",T1252,IF(D1252="x","",""))))</f>
        <v/>
      </c>
      <c r="U1253" t="str">
        <f>IF(B1253=1,MAX($U$2:$U1252)+1,IF(AND($T1253&lt;&gt;"",$T1253=$T1252),$U1252,IF(B1253="x",U1252,"")))</f>
        <v/>
      </c>
      <c r="V1253" t="str">
        <f>IF(C1253=1,MAX($V$2:$V1252)+1,IF(AND($T1253&lt;&gt;"",$T1253=$T1252),$U1252,IF(C1253="x",V1252,"")))</f>
        <v/>
      </c>
      <c r="X1253" cm="1">
        <f t="array" ref="X1253">IF($I1253&lt;&gt;"",$I1253,INDEX($I$1:$I1253,ROW()-COUNTIFS($T$1:$T1253,"="&amp;$T1253,$S$1:$S1253,"&lt;"&amp;$S1253)))</f>
        <v>0</v>
      </c>
      <c r="Z1253" s="6">
        <f t="shared" si="198"/>
        <v>1</v>
      </c>
      <c r="AA1253" t="e">
        <f t="shared" si="199"/>
        <v>#VALUE!</v>
      </c>
      <c r="AB1253" t="str">
        <f t="shared" si="200"/>
        <v/>
      </c>
      <c r="AC1253" t="e">
        <f t="shared" si="201"/>
        <v>#VALUE!</v>
      </c>
    </row>
    <row r="1254" spans="1:29" x14ac:dyDescent="0.2">
      <c r="A1254" t="str">
        <f t="shared" si="202"/>
        <v/>
      </c>
      <c r="E1254" s="4"/>
      <c r="F1254" s="46"/>
      <c r="G1254" s="4"/>
      <c r="H1254" s="48"/>
      <c r="J1254" s="26" t="str">
        <f t="shared" si="203"/>
        <v/>
      </c>
      <c r="N1254" t="str">
        <f t="shared" si="204"/>
        <v/>
      </c>
      <c r="Q1254" t="str">
        <f t="shared" si="205"/>
        <v/>
      </c>
      <c r="S1254" t="str">
        <f>IF(A1254=1,MAX($S$2:$S1253)+1,IF(OR($I1254&lt;&gt;"",A1254="x"),$S1253,""))</f>
        <v/>
      </c>
      <c r="T1254" t="str">
        <f>IF(D1254=1,MAX($T$2:$T1253)+1,IF(S1254=S1253,$T1253,IF(D1254="x",T1253,IF(D1253="x","",""))))</f>
        <v/>
      </c>
      <c r="U1254" t="str">
        <f>IF(B1254=1,MAX($U$2:$U1253)+1,IF(AND($T1254&lt;&gt;"",$T1254=$T1253),$U1253,IF(B1254="x",U1253,"")))</f>
        <v/>
      </c>
      <c r="V1254" t="str">
        <f>IF(C1254=1,MAX($V$2:$V1253)+1,IF(AND($T1254&lt;&gt;"",$T1254=$T1253),$U1253,IF(C1254="x",V1253,"")))</f>
        <v/>
      </c>
      <c r="X1254" cm="1">
        <f t="array" ref="X1254">IF($I1254&lt;&gt;"",$I1254,INDEX($I$1:$I1254,ROW()-COUNTIFS($T$1:$T1254,"="&amp;$T1254,$S$1:$S1254,"&lt;"&amp;$S1254)))</f>
        <v>0</v>
      </c>
      <c r="Z1254" s="6">
        <f t="shared" si="198"/>
        <v>1</v>
      </c>
      <c r="AA1254" t="e">
        <f t="shared" si="199"/>
        <v>#VALUE!</v>
      </c>
      <c r="AB1254" t="str">
        <f t="shared" si="200"/>
        <v/>
      </c>
      <c r="AC1254" t="e">
        <f t="shared" si="201"/>
        <v>#VALUE!</v>
      </c>
    </row>
    <row r="1255" spans="1:29" x14ac:dyDescent="0.2">
      <c r="A1255" t="str">
        <f t="shared" si="202"/>
        <v/>
      </c>
      <c r="E1255" s="4"/>
      <c r="F1255" s="46"/>
      <c r="G1255" s="4"/>
      <c r="H1255" s="48"/>
      <c r="J1255" s="26" t="str">
        <f t="shared" si="203"/>
        <v/>
      </c>
      <c r="N1255" t="str">
        <f t="shared" si="204"/>
        <v/>
      </c>
      <c r="Q1255" t="str">
        <f t="shared" si="205"/>
        <v/>
      </c>
      <c r="S1255" t="str">
        <f>IF(A1255=1,MAX($S$2:$S1254)+1,IF(OR($I1255&lt;&gt;"",A1255="x"),$S1254,""))</f>
        <v/>
      </c>
      <c r="T1255" t="str">
        <f>IF(D1255=1,MAX($T$2:$T1254)+1,IF(S1255=S1254,$T1254,IF(D1255="x",T1254,IF(D1254="x","",""))))</f>
        <v/>
      </c>
      <c r="U1255" t="str">
        <f>IF(B1255=1,MAX($U$2:$U1254)+1,IF(AND($T1255&lt;&gt;"",$T1255=$T1254),$U1254,IF(B1255="x",U1254,"")))</f>
        <v/>
      </c>
      <c r="V1255" t="str">
        <f>IF(C1255=1,MAX($V$2:$V1254)+1,IF(AND($T1255&lt;&gt;"",$T1255=$T1254),$U1254,IF(C1255="x",V1254,"")))</f>
        <v/>
      </c>
      <c r="X1255" cm="1">
        <f t="array" ref="X1255">IF($I1255&lt;&gt;"",$I1255,INDEX($I$1:$I1255,ROW()-COUNTIFS($T$1:$T1255,"="&amp;$T1255,$S$1:$S1255,"&lt;"&amp;$S1255)))</f>
        <v>0</v>
      </c>
      <c r="Z1255" s="6">
        <f t="shared" si="198"/>
        <v>1</v>
      </c>
      <c r="AA1255" t="e">
        <f t="shared" si="199"/>
        <v>#VALUE!</v>
      </c>
      <c r="AB1255" t="str">
        <f t="shared" si="200"/>
        <v/>
      </c>
      <c r="AC1255" t="e">
        <f t="shared" si="201"/>
        <v>#VALUE!</v>
      </c>
    </row>
    <row r="1256" spans="1:29" x14ac:dyDescent="0.2">
      <c r="A1256" t="str">
        <f t="shared" si="202"/>
        <v/>
      </c>
      <c r="E1256" s="4"/>
      <c r="F1256" s="46"/>
      <c r="G1256" s="4"/>
      <c r="H1256" s="48"/>
      <c r="J1256" s="26" t="str">
        <f t="shared" si="203"/>
        <v/>
      </c>
      <c r="N1256" t="str">
        <f t="shared" si="204"/>
        <v/>
      </c>
      <c r="Q1256" t="str">
        <f t="shared" si="205"/>
        <v/>
      </c>
      <c r="S1256" t="str">
        <f>IF(A1256=1,MAX($S$2:$S1255)+1,IF(OR($I1256&lt;&gt;"",A1256="x"),$S1255,""))</f>
        <v/>
      </c>
      <c r="T1256" t="str">
        <f>IF(D1256=1,MAX($T$2:$T1255)+1,IF(S1256=S1255,$T1255,IF(D1256="x",T1255,IF(D1255="x","",""))))</f>
        <v/>
      </c>
      <c r="U1256" t="str">
        <f>IF(B1256=1,MAX($U$2:$U1255)+1,IF(AND($T1256&lt;&gt;"",$T1256=$T1255),$U1255,IF(B1256="x",U1255,"")))</f>
        <v/>
      </c>
      <c r="V1256" t="str">
        <f>IF(C1256=1,MAX($V$2:$V1255)+1,IF(AND($T1256&lt;&gt;"",$T1256=$T1255),$U1255,IF(C1256="x",V1255,"")))</f>
        <v/>
      </c>
      <c r="X1256" cm="1">
        <f t="array" ref="X1256">IF($I1256&lt;&gt;"",$I1256,INDEX($I$1:$I1256,ROW()-COUNTIFS($T$1:$T1256,"="&amp;$T1256,$S$1:$S1256,"&lt;"&amp;$S1256)))</f>
        <v>0</v>
      </c>
      <c r="Z1256" s="6">
        <f t="shared" si="198"/>
        <v>1</v>
      </c>
      <c r="AA1256" t="e">
        <f t="shared" si="199"/>
        <v>#VALUE!</v>
      </c>
      <c r="AB1256" t="str">
        <f t="shared" si="200"/>
        <v/>
      </c>
      <c r="AC1256" t="e">
        <f t="shared" si="201"/>
        <v>#VALUE!</v>
      </c>
    </row>
    <row r="1257" spans="1:29" x14ac:dyDescent="0.2">
      <c r="A1257" t="str">
        <f t="shared" si="202"/>
        <v/>
      </c>
      <c r="E1257" s="4"/>
      <c r="F1257" s="46"/>
      <c r="G1257" s="4"/>
      <c r="H1257" s="48"/>
      <c r="J1257" s="26" t="str">
        <f t="shared" si="203"/>
        <v/>
      </c>
      <c r="N1257" t="str">
        <f t="shared" si="204"/>
        <v/>
      </c>
      <c r="Q1257" t="str">
        <f t="shared" si="205"/>
        <v/>
      </c>
      <c r="S1257" t="str">
        <f>IF(A1257=1,MAX($S$2:$S1256)+1,IF(OR($I1257&lt;&gt;"",A1257="x"),$S1256,""))</f>
        <v/>
      </c>
      <c r="T1257" t="str">
        <f>IF(D1257=1,MAX($T$2:$T1256)+1,IF(S1257=S1256,$T1256,IF(D1257="x",T1256,IF(D1256="x","",""))))</f>
        <v/>
      </c>
      <c r="U1257" t="str">
        <f>IF(B1257=1,MAX($U$2:$U1256)+1,IF(AND($T1257&lt;&gt;"",$T1257=$T1256),$U1256,IF(B1257="x",U1256,"")))</f>
        <v/>
      </c>
      <c r="V1257" t="str">
        <f>IF(C1257=1,MAX($V$2:$V1256)+1,IF(AND($T1257&lt;&gt;"",$T1257=$T1256),$U1256,IF(C1257="x",V1256,"")))</f>
        <v/>
      </c>
      <c r="X1257" cm="1">
        <f t="array" ref="X1257">IF($I1257&lt;&gt;"",$I1257,INDEX($I$1:$I1257,ROW()-COUNTIFS($T$1:$T1257,"="&amp;$T1257,$S$1:$S1257,"&lt;"&amp;$S1257)))</f>
        <v>0</v>
      </c>
      <c r="Z1257" s="6">
        <f t="shared" si="198"/>
        <v>1</v>
      </c>
      <c r="AA1257" t="e">
        <f t="shared" si="199"/>
        <v>#VALUE!</v>
      </c>
      <c r="AB1257" t="str">
        <f t="shared" si="200"/>
        <v/>
      </c>
      <c r="AC1257" t="e">
        <f t="shared" si="201"/>
        <v>#VALUE!</v>
      </c>
    </row>
    <row r="1258" spans="1:29" x14ac:dyDescent="0.2">
      <c r="A1258" t="str">
        <f t="shared" si="202"/>
        <v/>
      </c>
      <c r="E1258" s="4"/>
      <c r="F1258" s="46"/>
      <c r="G1258" s="4"/>
      <c r="H1258" s="48"/>
      <c r="J1258" s="26" t="str">
        <f t="shared" si="203"/>
        <v/>
      </c>
      <c r="N1258" t="str">
        <f t="shared" si="204"/>
        <v/>
      </c>
      <c r="Q1258" t="str">
        <f t="shared" si="205"/>
        <v/>
      </c>
      <c r="S1258" t="str">
        <f>IF(A1258=1,MAX($S$2:$S1257)+1,IF(OR($I1258&lt;&gt;"",A1258="x"),$S1257,""))</f>
        <v/>
      </c>
      <c r="T1258" t="str">
        <f>IF(D1258=1,MAX($T$2:$T1257)+1,IF(S1258=S1257,$T1257,IF(D1258="x",T1257,IF(D1257="x","",""))))</f>
        <v/>
      </c>
      <c r="U1258" t="str">
        <f>IF(B1258=1,MAX($U$2:$U1257)+1,IF(AND($T1258&lt;&gt;"",$T1258=$T1257),$U1257,IF(B1258="x",U1257,"")))</f>
        <v/>
      </c>
      <c r="V1258" t="str">
        <f>IF(C1258=1,MAX($V$2:$V1257)+1,IF(AND($T1258&lt;&gt;"",$T1258=$T1257),$U1257,IF(C1258="x",V1257,"")))</f>
        <v/>
      </c>
      <c r="X1258" cm="1">
        <f t="array" ref="X1258">IF($I1258&lt;&gt;"",$I1258,INDEX($I$1:$I1258,ROW()-COUNTIFS($T$1:$T1258,"="&amp;$T1258,$S$1:$S1258,"&lt;"&amp;$S1258)))</f>
        <v>0</v>
      </c>
      <c r="Z1258" s="6">
        <f t="shared" si="198"/>
        <v>1</v>
      </c>
      <c r="AA1258" t="e">
        <f t="shared" si="199"/>
        <v>#VALUE!</v>
      </c>
      <c r="AB1258" t="str">
        <f t="shared" si="200"/>
        <v/>
      </c>
      <c r="AC1258" t="e">
        <f t="shared" si="201"/>
        <v>#VALUE!</v>
      </c>
    </row>
    <row r="1259" spans="1:29" x14ac:dyDescent="0.2">
      <c r="A1259" t="str">
        <f t="shared" si="202"/>
        <v/>
      </c>
      <c r="E1259" s="4"/>
      <c r="F1259" s="46"/>
      <c r="G1259" s="4"/>
      <c r="H1259" s="48"/>
      <c r="J1259" s="26" t="str">
        <f t="shared" si="203"/>
        <v/>
      </c>
      <c r="N1259" t="str">
        <f t="shared" si="204"/>
        <v/>
      </c>
      <c r="Q1259" t="str">
        <f t="shared" si="205"/>
        <v/>
      </c>
      <c r="S1259" t="str">
        <f>IF(A1259=1,MAX($S$2:$S1258)+1,IF(OR($I1259&lt;&gt;"",A1259="x"),$S1258,""))</f>
        <v/>
      </c>
      <c r="T1259" t="str">
        <f>IF(D1259=1,MAX($T$2:$T1258)+1,IF(S1259=S1258,$T1258,IF(D1259="x",T1258,IF(D1258="x","",""))))</f>
        <v/>
      </c>
      <c r="U1259" t="str">
        <f>IF(B1259=1,MAX($U$2:$U1258)+1,IF(AND($T1259&lt;&gt;"",$T1259=$T1258),$U1258,IF(B1259="x",U1258,"")))</f>
        <v/>
      </c>
      <c r="V1259" t="str">
        <f>IF(C1259=1,MAX($V$2:$V1258)+1,IF(AND($T1259&lt;&gt;"",$T1259=$T1258),$U1258,IF(C1259="x",V1258,"")))</f>
        <v/>
      </c>
      <c r="X1259" cm="1">
        <f t="array" ref="X1259">IF($I1259&lt;&gt;"",$I1259,INDEX($I$1:$I1259,ROW()-COUNTIFS($T$1:$T1259,"="&amp;$T1259,$S$1:$S1259,"&lt;"&amp;$S1259)))</f>
        <v>0</v>
      </c>
      <c r="Z1259" s="6">
        <f t="shared" si="198"/>
        <v>1</v>
      </c>
      <c r="AA1259" t="e">
        <f t="shared" si="199"/>
        <v>#VALUE!</v>
      </c>
      <c r="AB1259" t="str">
        <f t="shared" si="200"/>
        <v/>
      </c>
      <c r="AC1259" t="e">
        <f t="shared" si="201"/>
        <v>#VALUE!</v>
      </c>
    </row>
    <row r="1260" spans="1:29" x14ac:dyDescent="0.2">
      <c r="A1260" t="str">
        <f t="shared" si="202"/>
        <v/>
      </c>
      <c r="E1260" s="4"/>
      <c r="F1260" s="46"/>
      <c r="G1260" s="4"/>
      <c r="H1260" s="48"/>
      <c r="J1260" s="26" t="str">
        <f t="shared" si="203"/>
        <v/>
      </c>
      <c r="N1260" t="str">
        <f t="shared" si="204"/>
        <v/>
      </c>
      <c r="Q1260" t="str">
        <f t="shared" si="205"/>
        <v/>
      </c>
      <c r="S1260" t="str">
        <f>IF(A1260=1,MAX($S$2:$S1259)+1,IF(OR($I1260&lt;&gt;"",A1260="x"),$S1259,""))</f>
        <v/>
      </c>
      <c r="T1260" t="str">
        <f>IF(D1260=1,MAX($T$2:$T1259)+1,IF(S1260=S1259,$T1259,IF(D1260="x",T1259,IF(D1259="x","",""))))</f>
        <v/>
      </c>
      <c r="U1260" t="str">
        <f>IF(B1260=1,MAX($U$2:$U1259)+1,IF(AND($T1260&lt;&gt;"",$T1260=$T1259),$U1259,IF(B1260="x",U1259,"")))</f>
        <v/>
      </c>
      <c r="V1260" t="str">
        <f>IF(C1260=1,MAX($V$2:$V1259)+1,IF(AND($T1260&lt;&gt;"",$T1260=$T1259),$U1259,IF(C1260="x",V1259,"")))</f>
        <v/>
      </c>
      <c r="X1260" cm="1">
        <f t="array" ref="X1260">IF($I1260&lt;&gt;"",$I1260,INDEX($I$1:$I1260,ROW()-COUNTIFS($T$1:$T1260,"="&amp;$T1260,$S$1:$S1260,"&lt;"&amp;$S1260)))</f>
        <v>0</v>
      </c>
      <c r="Z1260" s="6">
        <f t="shared" si="198"/>
        <v>1</v>
      </c>
      <c r="AA1260" t="e">
        <f t="shared" si="199"/>
        <v>#VALUE!</v>
      </c>
      <c r="AB1260" t="str">
        <f t="shared" si="200"/>
        <v/>
      </c>
      <c r="AC1260" t="e">
        <f t="shared" si="201"/>
        <v>#VALUE!</v>
      </c>
    </row>
    <row r="1261" spans="1:29" x14ac:dyDescent="0.2">
      <c r="A1261" t="str">
        <f t="shared" si="202"/>
        <v/>
      </c>
      <c r="E1261" s="4"/>
      <c r="F1261" s="46"/>
      <c r="G1261" s="4"/>
      <c r="H1261" s="48"/>
      <c r="J1261" s="26" t="str">
        <f t="shared" si="203"/>
        <v/>
      </c>
      <c r="N1261" t="str">
        <f t="shared" si="204"/>
        <v/>
      </c>
      <c r="Q1261" t="str">
        <f t="shared" si="205"/>
        <v/>
      </c>
      <c r="S1261" t="str">
        <f>IF(A1261=1,MAX($S$2:$S1260)+1,IF(OR($I1261&lt;&gt;"",A1261="x"),$S1260,""))</f>
        <v/>
      </c>
      <c r="T1261" t="str">
        <f>IF(D1261=1,MAX($T$2:$T1260)+1,IF(S1261=S1260,$T1260,IF(D1261="x",T1260,IF(D1260="x","",""))))</f>
        <v/>
      </c>
      <c r="U1261" t="str">
        <f>IF(B1261=1,MAX($U$2:$U1260)+1,IF(AND($T1261&lt;&gt;"",$T1261=$T1260),$U1260,IF(B1261="x",U1260,"")))</f>
        <v/>
      </c>
      <c r="V1261" t="str">
        <f>IF(C1261=1,MAX($V$2:$V1260)+1,IF(AND($T1261&lt;&gt;"",$T1261=$T1260),$U1260,IF(C1261="x",V1260,"")))</f>
        <v/>
      </c>
      <c r="X1261" cm="1">
        <f t="array" ref="X1261">IF($I1261&lt;&gt;"",$I1261,INDEX($I$1:$I1261,ROW()-COUNTIFS($T$1:$T1261,"="&amp;$T1261,$S$1:$S1261,"&lt;"&amp;$S1261)))</f>
        <v>0</v>
      </c>
      <c r="Z1261" s="6">
        <f t="shared" si="198"/>
        <v>1</v>
      </c>
      <c r="AA1261" t="e">
        <f t="shared" si="199"/>
        <v>#VALUE!</v>
      </c>
      <c r="AB1261" t="str">
        <f t="shared" si="200"/>
        <v/>
      </c>
      <c r="AC1261" t="e">
        <f t="shared" si="201"/>
        <v>#VALUE!</v>
      </c>
    </row>
    <row r="1262" spans="1:29" x14ac:dyDescent="0.2">
      <c r="A1262" t="str">
        <f t="shared" si="202"/>
        <v/>
      </c>
      <c r="E1262" s="4"/>
      <c r="F1262" s="46"/>
      <c r="G1262" s="4"/>
      <c r="H1262" s="48"/>
      <c r="J1262" s="26" t="str">
        <f t="shared" si="203"/>
        <v/>
      </c>
      <c r="N1262" t="str">
        <f t="shared" si="204"/>
        <v/>
      </c>
      <c r="Q1262" t="str">
        <f t="shared" si="205"/>
        <v/>
      </c>
      <c r="S1262" t="str">
        <f>IF(A1262=1,MAX($S$2:$S1261)+1,IF(OR($I1262&lt;&gt;"",A1262="x"),$S1261,""))</f>
        <v/>
      </c>
      <c r="T1262" t="str">
        <f>IF(D1262=1,MAX($T$2:$T1261)+1,IF(S1262=S1261,$T1261,IF(D1262="x",T1261,IF(D1261="x","",""))))</f>
        <v/>
      </c>
      <c r="U1262" t="str">
        <f>IF(B1262=1,MAX($U$2:$U1261)+1,IF(AND($T1262&lt;&gt;"",$T1262=$T1261),$U1261,IF(B1262="x",U1261,"")))</f>
        <v/>
      </c>
      <c r="V1262" t="str">
        <f>IF(C1262=1,MAX($V$2:$V1261)+1,IF(AND($T1262&lt;&gt;"",$T1262=$T1261),$U1261,IF(C1262="x",V1261,"")))</f>
        <v/>
      </c>
      <c r="X1262" cm="1">
        <f t="array" ref="X1262">IF($I1262&lt;&gt;"",$I1262,INDEX($I$1:$I1262,ROW()-COUNTIFS($T$1:$T1262,"="&amp;$T1262,$S$1:$S1262,"&lt;"&amp;$S1262)))</f>
        <v>0</v>
      </c>
      <c r="Z1262" s="6">
        <f t="shared" si="198"/>
        <v>1</v>
      </c>
      <c r="AA1262" t="e">
        <f t="shared" si="199"/>
        <v>#VALUE!</v>
      </c>
      <c r="AB1262" t="str">
        <f t="shared" si="200"/>
        <v/>
      </c>
      <c r="AC1262" t="e">
        <f t="shared" si="201"/>
        <v>#VALUE!</v>
      </c>
    </row>
    <row r="1263" spans="1:29" x14ac:dyDescent="0.2">
      <c r="A1263" t="str">
        <f t="shared" si="202"/>
        <v/>
      </c>
      <c r="E1263" s="4"/>
      <c r="F1263" s="46"/>
      <c r="G1263" s="4"/>
      <c r="H1263" s="48"/>
      <c r="J1263" s="26" t="str">
        <f t="shared" si="203"/>
        <v/>
      </c>
      <c r="N1263" t="str">
        <f t="shared" si="204"/>
        <v/>
      </c>
      <c r="Q1263" t="str">
        <f t="shared" si="205"/>
        <v/>
      </c>
      <c r="S1263" t="str">
        <f>IF(A1263=1,MAX($S$2:$S1262)+1,IF(OR($I1263&lt;&gt;"",A1263="x"),$S1262,""))</f>
        <v/>
      </c>
      <c r="T1263" t="str">
        <f>IF(D1263=1,MAX($T$2:$T1262)+1,IF(S1263=S1262,$T1262,IF(D1263="x",T1262,IF(D1262="x","",""))))</f>
        <v/>
      </c>
      <c r="U1263" t="str">
        <f>IF(B1263=1,MAX($U$2:$U1262)+1,IF(AND($T1263&lt;&gt;"",$T1263=$T1262),$U1262,IF(B1263="x",U1262,"")))</f>
        <v/>
      </c>
      <c r="V1263" t="str">
        <f>IF(C1263=1,MAX($V$2:$V1262)+1,IF(AND($T1263&lt;&gt;"",$T1263=$T1262),$U1262,IF(C1263="x",V1262,"")))</f>
        <v/>
      </c>
      <c r="X1263" cm="1">
        <f t="array" ref="X1263">IF($I1263&lt;&gt;"",$I1263,INDEX($I$1:$I1263,ROW()-COUNTIFS($T$1:$T1263,"="&amp;$T1263,$S$1:$S1263,"&lt;"&amp;$S1263)))</f>
        <v>0</v>
      </c>
      <c r="Z1263" s="6">
        <f t="shared" si="198"/>
        <v>1</v>
      </c>
      <c r="AA1263" t="e">
        <f t="shared" si="199"/>
        <v>#VALUE!</v>
      </c>
      <c r="AB1263" t="str">
        <f t="shared" si="200"/>
        <v/>
      </c>
      <c r="AC1263" t="e">
        <f t="shared" si="201"/>
        <v>#VALUE!</v>
      </c>
    </row>
    <row r="1264" spans="1:29" x14ac:dyDescent="0.2">
      <c r="A1264" t="str">
        <f t="shared" si="202"/>
        <v/>
      </c>
      <c r="E1264" s="4"/>
      <c r="F1264" s="46"/>
      <c r="G1264" s="4"/>
      <c r="H1264" s="48"/>
      <c r="J1264" s="26" t="str">
        <f t="shared" si="203"/>
        <v/>
      </c>
      <c r="N1264" t="str">
        <f t="shared" si="204"/>
        <v/>
      </c>
      <c r="Q1264" t="str">
        <f t="shared" si="205"/>
        <v/>
      </c>
      <c r="S1264" t="str">
        <f>IF(A1264=1,MAX($S$2:$S1263)+1,IF(OR($I1264&lt;&gt;"",A1264="x"),$S1263,""))</f>
        <v/>
      </c>
      <c r="T1264" t="str">
        <f>IF(D1264=1,MAX($T$2:$T1263)+1,IF(S1264=S1263,$T1263,IF(D1264="x",T1263,IF(D1263="x","",""))))</f>
        <v/>
      </c>
      <c r="U1264" t="str">
        <f>IF(B1264=1,MAX($U$2:$U1263)+1,IF(AND($T1264&lt;&gt;"",$T1264=$T1263),$U1263,IF(B1264="x",U1263,"")))</f>
        <v/>
      </c>
      <c r="V1264" t="str">
        <f>IF(C1264=1,MAX($V$2:$V1263)+1,IF(AND($T1264&lt;&gt;"",$T1264=$T1263),$U1263,IF(C1264="x",V1263,"")))</f>
        <v/>
      </c>
      <c r="X1264" cm="1">
        <f t="array" ref="X1264">IF($I1264&lt;&gt;"",$I1264,INDEX($I$1:$I1264,ROW()-COUNTIFS($T$1:$T1264,"="&amp;$T1264,$S$1:$S1264,"&lt;"&amp;$S1264)))</f>
        <v>0</v>
      </c>
      <c r="Z1264" s="6">
        <f t="shared" si="198"/>
        <v>1</v>
      </c>
      <c r="AA1264" t="e">
        <f t="shared" si="199"/>
        <v>#VALUE!</v>
      </c>
      <c r="AB1264" t="str">
        <f t="shared" si="200"/>
        <v/>
      </c>
      <c r="AC1264" t="e">
        <f t="shared" si="201"/>
        <v>#VALUE!</v>
      </c>
    </row>
    <row r="1265" spans="1:29" x14ac:dyDescent="0.2">
      <c r="A1265" t="str">
        <f t="shared" si="202"/>
        <v/>
      </c>
      <c r="E1265" s="4"/>
      <c r="F1265" s="46"/>
      <c r="G1265" s="4"/>
      <c r="H1265" s="48"/>
      <c r="J1265" s="26" t="str">
        <f t="shared" si="203"/>
        <v/>
      </c>
      <c r="N1265" t="str">
        <f t="shared" si="204"/>
        <v/>
      </c>
      <c r="Q1265" t="str">
        <f t="shared" si="205"/>
        <v/>
      </c>
      <c r="S1265" t="str">
        <f>IF(A1265=1,MAX($S$2:$S1264)+1,IF(OR($I1265&lt;&gt;"",A1265="x"),$S1264,""))</f>
        <v/>
      </c>
      <c r="T1265" t="str">
        <f>IF(D1265=1,MAX($T$2:$T1264)+1,IF(S1265=S1264,$T1264,IF(D1265="x",T1264,IF(D1264="x","",""))))</f>
        <v/>
      </c>
      <c r="U1265" t="str">
        <f>IF(B1265=1,MAX($U$2:$U1264)+1,IF(AND($T1265&lt;&gt;"",$T1265=$T1264),$U1264,IF(B1265="x",U1264,"")))</f>
        <v/>
      </c>
      <c r="V1265" t="str">
        <f>IF(C1265=1,MAX($V$2:$V1264)+1,IF(AND($T1265&lt;&gt;"",$T1265=$T1264),$U1264,IF(C1265="x",V1264,"")))</f>
        <v/>
      </c>
      <c r="X1265" cm="1">
        <f t="array" ref="X1265">IF($I1265&lt;&gt;"",$I1265,INDEX($I$1:$I1265,ROW()-COUNTIFS($T$1:$T1265,"="&amp;$T1265,$S$1:$S1265,"&lt;"&amp;$S1265)))</f>
        <v>0</v>
      </c>
      <c r="Z1265" s="6">
        <f t="shared" si="198"/>
        <v>1</v>
      </c>
      <c r="AA1265" t="e">
        <f t="shared" si="199"/>
        <v>#VALUE!</v>
      </c>
      <c r="AB1265" t="str">
        <f t="shared" si="200"/>
        <v/>
      </c>
      <c r="AC1265" t="e">
        <f t="shared" si="201"/>
        <v>#VALUE!</v>
      </c>
    </row>
    <row r="1266" spans="1:29" x14ac:dyDescent="0.2">
      <c r="A1266" t="str">
        <f t="shared" si="202"/>
        <v/>
      </c>
      <c r="E1266" s="4"/>
      <c r="F1266" s="46"/>
      <c r="G1266" s="4"/>
      <c r="H1266" s="48"/>
      <c r="J1266" s="26" t="str">
        <f t="shared" si="203"/>
        <v/>
      </c>
      <c r="N1266" t="str">
        <f t="shared" si="204"/>
        <v/>
      </c>
      <c r="Q1266" t="str">
        <f t="shared" si="205"/>
        <v/>
      </c>
      <c r="S1266" t="str">
        <f>IF(A1266=1,MAX($S$2:$S1265)+1,IF(OR($I1266&lt;&gt;"",A1266="x"),$S1265,""))</f>
        <v/>
      </c>
      <c r="T1266" t="str">
        <f>IF(D1266=1,MAX($T$2:$T1265)+1,IF(S1266=S1265,$T1265,IF(D1266="x",T1265,IF(D1265="x","",""))))</f>
        <v/>
      </c>
      <c r="U1266" t="str">
        <f>IF(B1266=1,MAX($U$2:$U1265)+1,IF(AND($T1266&lt;&gt;"",$T1266=$T1265),$U1265,IF(B1266="x",U1265,"")))</f>
        <v/>
      </c>
      <c r="V1266" t="str">
        <f>IF(C1266=1,MAX($V$2:$V1265)+1,IF(AND($T1266&lt;&gt;"",$T1266=$T1265),$U1265,IF(C1266="x",V1265,"")))</f>
        <v/>
      </c>
      <c r="X1266" cm="1">
        <f t="array" ref="X1266">IF($I1266&lt;&gt;"",$I1266,INDEX($I$1:$I1266,ROW()-COUNTIFS($T$1:$T1266,"="&amp;$T1266,$S$1:$S1266,"&lt;"&amp;$S1266)))</f>
        <v>0</v>
      </c>
      <c r="Z1266" s="6">
        <f t="shared" si="198"/>
        <v>1</v>
      </c>
      <c r="AA1266" t="e">
        <f t="shared" si="199"/>
        <v>#VALUE!</v>
      </c>
      <c r="AB1266" t="str">
        <f t="shared" si="200"/>
        <v/>
      </c>
      <c r="AC1266" t="e">
        <f t="shared" si="201"/>
        <v>#VALUE!</v>
      </c>
    </row>
    <row r="1267" spans="1:29" x14ac:dyDescent="0.2">
      <c r="A1267" t="str">
        <f t="shared" si="202"/>
        <v/>
      </c>
      <c r="E1267" s="4"/>
      <c r="F1267" s="46"/>
      <c r="G1267" s="4"/>
      <c r="H1267" s="48"/>
      <c r="J1267" s="26" t="str">
        <f t="shared" si="203"/>
        <v/>
      </c>
      <c r="N1267" t="str">
        <f t="shared" si="204"/>
        <v/>
      </c>
      <c r="Q1267" t="str">
        <f t="shared" si="205"/>
        <v/>
      </c>
      <c r="S1267" t="str">
        <f>IF(A1267=1,MAX($S$2:$S1266)+1,IF(OR($I1267&lt;&gt;"",A1267="x"),$S1266,""))</f>
        <v/>
      </c>
      <c r="T1267" t="str">
        <f>IF(D1267=1,MAX($T$2:$T1266)+1,IF(S1267=S1266,$T1266,IF(D1267="x",T1266,IF(D1266="x","",""))))</f>
        <v/>
      </c>
      <c r="U1267" t="str">
        <f>IF(B1267=1,MAX($U$2:$U1266)+1,IF(AND($T1267&lt;&gt;"",$T1267=$T1266),$U1266,IF(B1267="x",U1266,"")))</f>
        <v/>
      </c>
      <c r="V1267" t="str">
        <f>IF(C1267=1,MAX($V$2:$V1266)+1,IF(AND($T1267&lt;&gt;"",$T1267=$T1266),$U1266,IF(C1267="x",V1266,"")))</f>
        <v/>
      </c>
      <c r="X1267" cm="1">
        <f t="array" ref="X1267">IF($I1267&lt;&gt;"",$I1267,INDEX($I$1:$I1267,ROW()-COUNTIFS($T$1:$T1267,"="&amp;$T1267,$S$1:$S1267,"&lt;"&amp;$S1267)))</f>
        <v>0</v>
      </c>
      <c r="Z1267" s="6">
        <f t="shared" si="198"/>
        <v>1</v>
      </c>
      <c r="AA1267" t="e">
        <f t="shared" si="199"/>
        <v>#VALUE!</v>
      </c>
      <c r="AB1267" t="str">
        <f t="shared" si="200"/>
        <v/>
      </c>
      <c r="AC1267" t="e">
        <f t="shared" si="201"/>
        <v>#VALUE!</v>
      </c>
    </row>
    <row r="1268" spans="1:29" x14ac:dyDescent="0.2">
      <c r="A1268" t="str">
        <f t="shared" si="202"/>
        <v/>
      </c>
      <c r="E1268" s="4"/>
      <c r="F1268" s="46"/>
      <c r="G1268" s="4"/>
      <c r="H1268" s="48"/>
      <c r="J1268" s="26" t="str">
        <f t="shared" si="203"/>
        <v/>
      </c>
      <c r="N1268" t="str">
        <f t="shared" si="204"/>
        <v/>
      </c>
      <c r="Q1268" t="str">
        <f t="shared" si="205"/>
        <v/>
      </c>
      <c r="S1268" t="str">
        <f>IF(A1268=1,MAX($S$2:$S1267)+1,IF(OR($I1268&lt;&gt;"",A1268="x"),$S1267,""))</f>
        <v/>
      </c>
      <c r="T1268" t="str">
        <f>IF(D1268=1,MAX($T$2:$T1267)+1,IF(S1268=S1267,$T1267,IF(D1268="x",T1267,IF(D1267="x","",""))))</f>
        <v/>
      </c>
      <c r="U1268" t="str">
        <f>IF(B1268=1,MAX($U$2:$U1267)+1,IF(AND($T1268&lt;&gt;"",$T1268=$T1267),$U1267,IF(B1268="x",U1267,"")))</f>
        <v/>
      </c>
      <c r="V1268" t="str">
        <f>IF(C1268=1,MAX($V$2:$V1267)+1,IF(AND($T1268&lt;&gt;"",$T1268=$T1267),$U1267,IF(C1268="x",V1267,"")))</f>
        <v/>
      </c>
      <c r="X1268" cm="1">
        <f t="array" ref="X1268">IF($I1268&lt;&gt;"",$I1268,INDEX($I$1:$I1268,ROW()-COUNTIFS($T$1:$T1268,"="&amp;$T1268,$S$1:$S1268,"&lt;"&amp;$S1268)))</f>
        <v>0</v>
      </c>
      <c r="Z1268" s="6">
        <f t="shared" si="198"/>
        <v>1</v>
      </c>
      <c r="AA1268" t="e">
        <f t="shared" si="199"/>
        <v>#VALUE!</v>
      </c>
      <c r="AB1268" t="str">
        <f t="shared" si="200"/>
        <v/>
      </c>
      <c r="AC1268" t="e">
        <f t="shared" si="201"/>
        <v>#VALUE!</v>
      </c>
    </row>
    <row r="1269" spans="1:29" x14ac:dyDescent="0.2">
      <c r="A1269" t="str">
        <f t="shared" si="202"/>
        <v/>
      </c>
      <c r="E1269" s="4"/>
      <c r="F1269" s="46"/>
      <c r="G1269" s="4"/>
      <c r="H1269" s="48"/>
      <c r="J1269" s="26" t="str">
        <f t="shared" si="203"/>
        <v/>
      </c>
      <c r="N1269" t="str">
        <f t="shared" si="204"/>
        <v/>
      </c>
      <c r="Q1269" t="str">
        <f t="shared" si="205"/>
        <v/>
      </c>
      <c r="S1269" t="str">
        <f>IF(A1269=1,MAX($S$2:$S1268)+1,IF(OR($I1269&lt;&gt;"",A1269="x"),$S1268,""))</f>
        <v/>
      </c>
      <c r="T1269" t="str">
        <f>IF(D1269=1,MAX($T$2:$T1268)+1,IF(S1269=S1268,$T1268,IF(D1269="x",T1268,IF(D1268="x","",""))))</f>
        <v/>
      </c>
      <c r="U1269" t="str">
        <f>IF(B1269=1,MAX($U$2:$U1268)+1,IF(AND($T1269&lt;&gt;"",$T1269=$T1268),$U1268,IF(B1269="x",U1268,"")))</f>
        <v/>
      </c>
      <c r="V1269" t="str">
        <f>IF(C1269=1,MAX($V$2:$V1268)+1,IF(AND($T1269&lt;&gt;"",$T1269=$T1268),$U1268,IF(C1269="x",V1268,"")))</f>
        <v/>
      </c>
      <c r="X1269" cm="1">
        <f t="array" ref="X1269">IF($I1269&lt;&gt;"",$I1269,INDEX($I$1:$I1269,ROW()-COUNTIFS($T$1:$T1269,"="&amp;$T1269,$S$1:$S1269,"&lt;"&amp;$S1269)))</f>
        <v>0</v>
      </c>
      <c r="Z1269" s="6">
        <f t="shared" si="198"/>
        <v>1</v>
      </c>
      <c r="AA1269" t="e">
        <f t="shared" si="199"/>
        <v>#VALUE!</v>
      </c>
      <c r="AB1269" t="str">
        <f t="shared" si="200"/>
        <v/>
      </c>
      <c r="AC1269" t="e">
        <f t="shared" si="201"/>
        <v>#VALUE!</v>
      </c>
    </row>
    <row r="1270" spans="1:29" x14ac:dyDescent="0.2">
      <c r="A1270" t="str">
        <f t="shared" si="202"/>
        <v/>
      </c>
      <c r="E1270" s="4"/>
      <c r="F1270" s="46"/>
      <c r="G1270" s="4"/>
      <c r="H1270" s="48"/>
      <c r="J1270" s="26" t="str">
        <f t="shared" si="203"/>
        <v/>
      </c>
      <c r="N1270" t="str">
        <f t="shared" si="204"/>
        <v/>
      </c>
      <c r="Q1270" t="str">
        <f t="shared" si="205"/>
        <v/>
      </c>
      <c r="S1270" t="str">
        <f>IF(A1270=1,MAX($S$2:$S1269)+1,IF(OR($I1270&lt;&gt;"",A1270="x"),$S1269,""))</f>
        <v/>
      </c>
      <c r="T1270" t="str">
        <f>IF(D1270=1,MAX($T$2:$T1269)+1,IF(S1270=S1269,$T1269,IF(D1270="x",T1269,IF(D1269="x","",""))))</f>
        <v/>
      </c>
      <c r="U1270" t="str">
        <f>IF(B1270=1,MAX($U$2:$U1269)+1,IF(AND($T1270&lt;&gt;"",$T1270=$T1269),$U1269,IF(B1270="x",U1269,"")))</f>
        <v/>
      </c>
      <c r="V1270" t="str">
        <f>IF(C1270=1,MAX($V$2:$V1269)+1,IF(AND($T1270&lt;&gt;"",$T1270=$T1269),$U1269,IF(C1270="x",V1269,"")))</f>
        <v/>
      </c>
      <c r="X1270" cm="1">
        <f t="array" ref="X1270">IF($I1270&lt;&gt;"",$I1270,INDEX($I$1:$I1270,ROW()-COUNTIFS($T$1:$T1270,"="&amp;$T1270,$S$1:$S1270,"&lt;"&amp;$S1270)))</f>
        <v>0</v>
      </c>
      <c r="Z1270" s="6">
        <f t="shared" si="198"/>
        <v>1</v>
      </c>
      <c r="AA1270" t="e">
        <f t="shared" si="199"/>
        <v>#VALUE!</v>
      </c>
      <c r="AB1270" t="str">
        <f t="shared" si="200"/>
        <v/>
      </c>
      <c r="AC1270" t="e">
        <f t="shared" si="201"/>
        <v>#VALUE!</v>
      </c>
    </row>
    <row r="1271" spans="1:29" x14ac:dyDescent="0.2">
      <c r="A1271" t="str">
        <f t="shared" si="202"/>
        <v/>
      </c>
      <c r="E1271" s="4"/>
      <c r="F1271" s="46"/>
      <c r="G1271" s="4"/>
      <c r="H1271" s="48"/>
      <c r="J1271" s="26" t="str">
        <f t="shared" si="203"/>
        <v/>
      </c>
      <c r="N1271" t="str">
        <f t="shared" si="204"/>
        <v/>
      </c>
      <c r="Q1271" t="str">
        <f t="shared" si="205"/>
        <v/>
      </c>
      <c r="S1271" t="str">
        <f>IF(A1271=1,MAX($S$2:$S1270)+1,IF(OR($I1271&lt;&gt;"",A1271="x"),$S1270,""))</f>
        <v/>
      </c>
      <c r="T1271" t="str">
        <f>IF(D1271=1,MAX($T$2:$T1270)+1,IF(S1271=S1270,$T1270,IF(D1271="x",T1270,IF(D1270="x","",""))))</f>
        <v/>
      </c>
      <c r="U1271" t="str">
        <f>IF(B1271=1,MAX($U$2:$U1270)+1,IF(AND($T1271&lt;&gt;"",$T1271=$T1270),$U1270,IF(B1271="x",U1270,"")))</f>
        <v/>
      </c>
      <c r="V1271" t="str">
        <f>IF(C1271=1,MAX($V$2:$V1270)+1,IF(AND($T1271&lt;&gt;"",$T1271=$T1270),$U1270,IF(C1271="x",V1270,"")))</f>
        <v/>
      </c>
      <c r="X1271" cm="1">
        <f t="array" ref="X1271">IF($I1271&lt;&gt;"",$I1271,INDEX($I$1:$I1271,ROW()-COUNTIFS($T$1:$T1271,"="&amp;$T1271,$S$1:$S1271,"&lt;"&amp;$S1271)))</f>
        <v>0</v>
      </c>
      <c r="Z1271" s="6">
        <f t="shared" si="198"/>
        <v>1</v>
      </c>
      <c r="AA1271" t="e">
        <f t="shared" si="199"/>
        <v>#VALUE!</v>
      </c>
      <c r="AB1271" t="str">
        <f t="shared" si="200"/>
        <v/>
      </c>
      <c r="AC1271" t="e">
        <f t="shared" si="201"/>
        <v>#VALUE!</v>
      </c>
    </row>
    <row r="1272" spans="1:29" x14ac:dyDescent="0.2">
      <c r="A1272" t="str">
        <f t="shared" si="202"/>
        <v/>
      </c>
      <c r="E1272" s="4"/>
      <c r="F1272" s="46"/>
      <c r="G1272" s="4"/>
      <c r="H1272" s="48"/>
      <c r="J1272" s="26" t="str">
        <f t="shared" si="203"/>
        <v/>
      </c>
      <c r="N1272" t="str">
        <f t="shared" si="204"/>
        <v/>
      </c>
      <c r="Q1272" t="str">
        <f t="shared" si="205"/>
        <v/>
      </c>
      <c r="S1272" t="str">
        <f>IF(A1272=1,MAX($S$2:$S1271)+1,IF(OR($I1272&lt;&gt;"",A1272="x"),$S1271,""))</f>
        <v/>
      </c>
      <c r="T1272" t="str">
        <f>IF(D1272=1,MAX($T$2:$T1271)+1,IF(S1272=S1271,$T1271,IF(D1272="x",T1271,IF(D1271="x","",""))))</f>
        <v/>
      </c>
      <c r="U1272" t="str">
        <f>IF(B1272=1,MAX($U$2:$U1271)+1,IF(AND($T1272&lt;&gt;"",$T1272=$T1271),$U1271,IF(B1272="x",U1271,"")))</f>
        <v/>
      </c>
      <c r="V1272" t="str">
        <f>IF(C1272=1,MAX($V$2:$V1271)+1,IF(AND($T1272&lt;&gt;"",$T1272=$T1271),$U1271,IF(C1272="x",V1271,"")))</f>
        <v/>
      </c>
      <c r="X1272" cm="1">
        <f t="array" ref="X1272">IF($I1272&lt;&gt;"",$I1272,INDEX($I$1:$I1272,ROW()-COUNTIFS($T$1:$T1272,"="&amp;$T1272,$S$1:$S1272,"&lt;"&amp;$S1272)))</f>
        <v>0</v>
      </c>
      <c r="Z1272" s="6">
        <f t="shared" si="198"/>
        <v>1</v>
      </c>
      <c r="AA1272" t="e">
        <f t="shared" si="199"/>
        <v>#VALUE!</v>
      </c>
      <c r="AB1272" t="str">
        <f t="shared" si="200"/>
        <v/>
      </c>
      <c r="AC1272" t="e">
        <f t="shared" si="201"/>
        <v>#VALUE!</v>
      </c>
    </row>
    <row r="1273" spans="1:29" x14ac:dyDescent="0.2">
      <c r="A1273" t="str">
        <f t="shared" si="202"/>
        <v/>
      </c>
      <c r="E1273" s="4"/>
      <c r="F1273" s="46"/>
      <c r="G1273" s="4"/>
      <c r="H1273" s="48"/>
      <c r="J1273" s="26" t="str">
        <f t="shared" si="203"/>
        <v/>
      </c>
      <c r="N1273" t="str">
        <f t="shared" si="204"/>
        <v/>
      </c>
      <c r="Q1273" t="str">
        <f t="shared" si="205"/>
        <v/>
      </c>
      <c r="S1273" t="str">
        <f>IF(A1273=1,MAX($S$2:$S1272)+1,IF(OR($I1273&lt;&gt;"",A1273="x"),$S1272,""))</f>
        <v/>
      </c>
      <c r="T1273" t="str">
        <f>IF(D1273=1,MAX($T$2:$T1272)+1,IF(S1273=S1272,$T1272,IF(D1273="x",T1272,IF(D1272="x","",""))))</f>
        <v/>
      </c>
      <c r="U1273" t="str">
        <f>IF(B1273=1,MAX($U$2:$U1272)+1,IF(AND($T1273&lt;&gt;"",$T1273=$T1272),$U1272,IF(B1273="x",U1272,"")))</f>
        <v/>
      </c>
      <c r="V1273" t="str">
        <f>IF(C1273=1,MAX($V$2:$V1272)+1,IF(AND($T1273&lt;&gt;"",$T1273=$T1272),$U1272,IF(C1273="x",V1272,"")))</f>
        <v/>
      </c>
      <c r="X1273" cm="1">
        <f t="array" ref="X1273">IF($I1273&lt;&gt;"",$I1273,INDEX($I$1:$I1273,ROW()-COUNTIFS($T$1:$T1273,"="&amp;$T1273,$S$1:$S1273,"&lt;"&amp;$S1273)))</f>
        <v>0</v>
      </c>
      <c r="Z1273" s="6">
        <f t="shared" si="198"/>
        <v>1</v>
      </c>
      <c r="AA1273" t="e">
        <f t="shared" si="199"/>
        <v>#VALUE!</v>
      </c>
      <c r="AB1273" t="str">
        <f t="shared" si="200"/>
        <v/>
      </c>
      <c r="AC1273" t="e">
        <f t="shared" si="201"/>
        <v>#VALUE!</v>
      </c>
    </row>
    <row r="1274" spans="1:29" x14ac:dyDescent="0.2">
      <c r="A1274" t="str">
        <f t="shared" si="202"/>
        <v/>
      </c>
      <c r="E1274" s="4"/>
      <c r="F1274" s="46"/>
      <c r="G1274" s="4"/>
      <c r="H1274" s="48"/>
      <c r="J1274" s="26" t="str">
        <f t="shared" si="203"/>
        <v/>
      </c>
      <c r="N1274" t="str">
        <f t="shared" si="204"/>
        <v/>
      </c>
      <c r="Q1274" t="str">
        <f t="shared" si="205"/>
        <v/>
      </c>
      <c r="S1274" t="str">
        <f>IF(A1274=1,MAX($S$2:$S1273)+1,IF(OR($I1274&lt;&gt;"",A1274="x"),$S1273,""))</f>
        <v/>
      </c>
      <c r="T1274" t="str">
        <f>IF(D1274=1,MAX($T$2:$T1273)+1,IF(S1274=S1273,$T1273,IF(D1274="x",T1273,IF(D1273="x","",""))))</f>
        <v/>
      </c>
      <c r="U1274" t="str">
        <f>IF(B1274=1,MAX($U$2:$U1273)+1,IF(AND($T1274&lt;&gt;"",$T1274=$T1273),$U1273,IF(B1274="x",U1273,"")))</f>
        <v/>
      </c>
      <c r="V1274" t="str">
        <f>IF(C1274=1,MAX($V$2:$V1273)+1,IF(AND($T1274&lt;&gt;"",$T1274=$T1273),$U1273,IF(C1274="x",V1273,"")))</f>
        <v/>
      </c>
      <c r="X1274" cm="1">
        <f t="array" ref="X1274">IF($I1274&lt;&gt;"",$I1274,INDEX($I$1:$I1274,ROW()-COUNTIFS($T$1:$T1274,"="&amp;$T1274,$S$1:$S1274,"&lt;"&amp;$S1274)))</f>
        <v>0</v>
      </c>
      <c r="Z1274" s="6">
        <f t="shared" si="198"/>
        <v>1</v>
      </c>
      <c r="AA1274" t="e">
        <f t="shared" si="199"/>
        <v>#VALUE!</v>
      </c>
      <c r="AB1274" t="str">
        <f t="shared" si="200"/>
        <v/>
      </c>
      <c r="AC1274" t="e">
        <f t="shared" si="201"/>
        <v>#VALUE!</v>
      </c>
    </row>
    <row r="1275" spans="1:29" x14ac:dyDescent="0.2">
      <c r="A1275" t="str">
        <f t="shared" si="202"/>
        <v/>
      </c>
      <c r="E1275" s="4"/>
      <c r="F1275" s="46"/>
      <c r="G1275" s="4"/>
      <c r="H1275" s="48"/>
      <c r="J1275" s="26" t="str">
        <f t="shared" si="203"/>
        <v/>
      </c>
      <c r="N1275" t="str">
        <f t="shared" si="204"/>
        <v/>
      </c>
      <c r="Q1275" t="str">
        <f t="shared" si="205"/>
        <v/>
      </c>
      <c r="S1275" t="str">
        <f>IF(A1275=1,MAX($S$2:$S1274)+1,IF(OR($I1275&lt;&gt;"",A1275="x"),$S1274,""))</f>
        <v/>
      </c>
      <c r="T1275" t="str">
        <f>IF(D1275=1,MAX($T$2:$T1274)+1,IF(S1275=S1274,$T1274,IF(D1275="x",T1274,IF(D1274="x","",""))))</f>
        <v/>
      </c>
      <c r="U1275" t="str">
        <f>IF(B1275=1,MAX($U$2:$U1274)+1,IF(AND($T1275&lt;&gt;"",$T1275=$T1274),$U1274,IF(B1275="x",U1274,"")))</f>
        <v/>
      </c>
      <c r="V1275" t="str">
        <f>IF(C1275=1,MAX($V$2:$V1274)+1,IF(AND($T1275&lt;&gt;"",$T1275=$T1274),$U1274,IF(C1275="x",V1274,"")))</f>
        <v/>
      </c>
      <c r="X1275" cm="1">
        <f t="array" ref="X1275">IF($I1275&lt;&gt;"",$I1275,INDEX($I$1:$I1275,ROW()-COUNTIFS($T$1:$T1275,"="&amp;$T1275,$S$1:$S1275,"&lt;"&amp;$S1275)))</f>
        <v>0</v>
      </c>
      <c r="Z1275" s="6">
        <f t="shared" si="198"/>
        <v>1</v>
      </c>
      <c r="AA1275" t="e">
        <f t="shared" si="199"/>
        <v>#VALUE!</v>
      </c>
      <c r="AB1275" t="str">
        <f t="shared" si="200"/>
        <v/>
      </c>
      <c r="AC1275" t="e">
        <f t="shared" si="201"/>
        <v>#VALUE!</v>
      </c>
    </row>
    <row r="1276" spans="1:29" x14ac:dyDescent="0.2">
      <c r="A1276" t="str">
        <f t="shared" si="202"/>
        <v/>
      </c>
      <c r="E1276" s="4"/>
      <c r="F1276" s="46"/>
      <c r="G1276" s="4"/>
      <c r="H1276" s="48"/>
      <c r="J1276" s="26" t="str">
        <f t="shared" si="203"/>
        <v/>
      </c>
      <c r="N1276" t="str">
        <f t="shared" si="204"/>
        <v/>
      </c>
      <c r="Q1276" t="str">
        <f t="shared" si="205"/>
        <v/>
      </c>
      <c r="S1276" t="str">
        <f>IF(A1276=1,MAX($S$2:$S1275)+1,IF(OR($I1276&lt;&gt;"",A1276="x"),$S1275,""))</f>
        <v/>
      </c>
      <c r="T1276" t="str">
        <f>IF(D1276=1,MAX($T$2:$T1275)+1,IF(S1276=S1275,$T1275,IF(D1276="x",T1275,IF(D1275="x","",""))))</f>
        <v/>
      </c>
      <c r="U1276" t="str">
        <f>IF(B1276=1,MAX($U$2:$U1275)+1,IF(AND($T1276&lt;&gt;"",$T1276=$T1275),$U1275,IF(B1276="x",U1275,"")))</f>
        <v/>
      </c>
      <c r="V1276" t="str">
        <f>IF(C1276=1,MAX($V$2:$V1275)+1,IF(AND($T1276&lt;&gt;"",$T1276=$T1275),$U1275,IF(C1276="x",V1275,"")))</f>
        <v/>
      </c>
      <c r="X1276" cm="1">
        <f t="array" ref="X1276">IF($I1276&lt;&gt;"",$I1276,INDEX($I$1:$I1276,ROW()-COUNTIFS($T$1:$T1276,"="&amp;$T1276,$S$1:$S1276,"&lt;"&amp;$S1276)))</f>
        <v>0</v>
      </c>
      <c r="Z1276" s="6">
        <f t="shared" si="198"/>
        <v>1</v>
      </c>
      <c r="AA1276" t="e">
        <f t="shared" si="199"/>
        <v>#VALUE!</v>
      </c>
      <c r="AB1276" t="str">
        <f t="shared" si="200"/>
        <v/>
      </c>
      <c r="AC1276" t="e">
        <f t="shared" si="201"/>
        <v>#VALUE!</v>
      </c>
    </row>
    <row r="1277" spans="1:29" x14ac:dyDescent="0.2">
      <c r="A1277" t="str">
        <f t="shared" si="202"/>
        <v/>
      </c>
      <c r="E1277" s="4"/>
      <c r="F1277" s="46"/>
      <c r="G1277" s="4"/>
      <c r="H1277" s="48"/>
      <c r="J1277" s="26" t="str">
        <f t="shared" si="203"/>
        <v/>
      </c>
      <c r="N1277" t="str">
        <f t="shared" si="204"/>
        <v/>
      </c>
      <c r="Q1277" t="str">
        <f t="shared" si="205"/>
        <v/>
      </c>
      <c r="S1277" t="str">
        <f>IF(A1277=1,MAX($S$2:$S1276)+1,IF(OR($I1277&lt;&gt;"",A1277="x"),$S1276,""))</f>
        <v/>
      </c>
      <c r="T1277" t="str">
        <f>IF(D1277=1,MAX($T$2:$T1276)+1,IF(S1277=S1276,$T1276,IF(D1277="x",T1276,IF(D1276="x","",""))))</f>
        <v/>
      </c>
      <c r="U1277" t="str">
        <f>IF(B1277=1,MAX($U$2:$U1276)+1,IF(AND($T1277&lt;&gt;"",$T1277=$T1276),$U1276,IF(B1277="x",U1276,"")))</f>
        <v/>
      </c>
      <c r="V1277" t="str">
        <f>IF(C1277=1,MAX($V$2:$V1276)+1,IF(AND($T1277&lt;&gt;"",$T1277=$T1276),$U1276,IF(C1277="x",V1276,"")))</f>
        <v/>
      </c>
      <c r="X1277" cm="1">
        <f t="array" ref="X1277">IF($I1277&lt;&gt;"",$I1277,INDEX($I$1:$I1277,ROW()-COUNTIFS($T$1:$T1277,"="&amp;$T1277,$S$1:$S1277,"&lt;"&amp;$S1277)))</f>
        <v>0</v>
      </c>
      <c r="Z1277" s="6">
        <f t="shared" si="198"/>
        <v>1</v>
      </c>
      <c r="AA1277" t="e">
        <f t="shared" si="199"/>
        <v>#VALUE!</v>
      </c>
      <c r="AB1277" t="str">
        <f t="shared" si="200"/>
        <v/>
      </c>
      <c r="AC1277" t="e">
        <f t="shared" si="201"/>
        <v>#VALUE!</v>
      </c>
    </row>
    <row r="1278" spans="1:29" x14ac:dyDescent="0.2">
      <c r="A1278" t="str">
        <f t="shared" si="202"/>
        <v/>
      </c>
      <c r="E1278" s="4"/>
      <c r="F1278" s="46"/>
      <c r="G1278" s="4"/>
      <c r="H1278" s="48"/>
      <c r="J1278" s="26" t="str">
        <f t="shared" si="203"/>
        <v/>
      </c>
      <c r="N1278" t="str">
        <f t="shared" si="204"/>
        <v/>
      </c>
      <c r="Q1278" t="str">
        <f t="shared" si="205"/>
        <v/>
      </c>
      <c r="S1278" t="str">
        <f>IF(A1278=1,MAX($S$2:$S1277)+1,IF(OR($I1278&lt;&gt;"",A1278="x"),$S1277,""))</f>
        <v/>
      </c>
      <c r="T1278" t="str">
        <f>IF(D1278=1,MAX($T$2:$T1277)+1,IF(S1278=S1277,$T1277,IF(D1278="x",T1277,IF(D1277="x","",""))))</f>
        <v/>
      </c>
      <c r="U1278" t="str">
        <f>IF(B1278=1,MAX($U$2:$U1277)+1,IF(AND($T1278&lt;&gt;"",$T1278=$T1277),$U1277,IF(B1278="x",U1277,"")))</f>
        <v/>
      </c>
      <c r="V1278" t="str">
        <f>IF(C1278=1,MAX($V$2:$V1277)+1,IF(AND($T1278&lt;&gt;"",$T1278=$T1277),$U1277,IF(C1278="x",V1277,"")))</f>
        <v/>
      </c>
      <c r="X1278" cm="1">
        <f t="array" ref="X1278">IF($I1278&lt;&gt;"",$I1278,INDEX($I$1:$I1278,ROW()-COUNTIFS($T$1:$T1278,"="&amp;$T1278,$S$1:$S1278,"&lt;"&amp;$S1278)))</f>
        <v>0</v>
      </c>
      <c r="Z1278" s="6">
        <f t="shared" si="198"/>
        <v>1</v>
      </c>
      <c r="AA1278" t="e">
        <f t="shared" si="199"/>
        <v>#VALUE!</v>
      </c>
      <c r="AB1278" t="str">
        <f t="shared" si="200"/>
        <v/>
      </c>
      <c r="AC1278" t="e">
        <f t="shared" si="201"/>
        <v>#VALUE!</v>
      </c>
    </row>
    <row r="1279" spans="1:29" x14ac:dyDescent="0.2">
      <c r="A1279" t="str">
        <f t="shared" si="202"/>
        <v/>
      </c>
      <c r="E1279" s="4"/>
      <c r="F1279" s="46"/>
      <c r="G1279" s="4"/>
      <c r="H1279" s="48"/>
      <c r="J1279" s="26" t="str">
        <f t="shared" si="203"/>
        <v/>
      </c>
      <c r="N1279" t="str">
        <f t="shared" si="204"/>
        <v/>
      </c>
      <c r="Q1279" t="str">
        <f t="shared" si="205"/>
        <v/>
      </c>
      <c r="S1279" t="str">
        <f>IF(A1279=1,MAX($S$2:$S1278)+1,IF(OR($I1279&lt;&gt;"",A1279="x"),$S1278,""))</f>
        <v/>
      </c>
      <c r="T1279" t="str">
        <f>IF(D1279=1,MAX($T$2:$T1278)+1,IF(S1279=S1278,$T1278,IF(D1279="x",T1278,IF(D1278="x","",""))))</f>
        <v/>
      </c>
      <c r="U1279" t="str">
        <f>IF(B1279=1,MAX($U$2:$U1278)+1,IF(AND($T1279&lt;&gt;"",$T1279=$T1278),$U1278,IF(B1279="x",U1278,"")))</f>
        <v/>
      </c>
      <c r="V1279" t="str">
        <f>IF(C1279=1,MAX($V$2:$V1278)+1,IF(AND($T1279&lt;&gt;"",$T1279=$T1278),$U1278,IF(C1279="x",V1278,"")))</f>
        <v/>
      </c>
      <c r="X1279" cm="1">
        <f t="array" ref="X1279">IF($I1279&lt;&gt;"",$I1279,INDEX($I$1:$I1279,ROW()-COUNTIFS($T$1:$T1279,"="&amp;$T1279,$S$1:$S1279,"&lt;"&amp;$S1279)))</f>
        <v>0</v>
      </c>
      <c r="Z1279" s="6">
        <f t="shared" si="198"/>
        <v>1</v>
      </c>
      <c r="AA1279" t="e">
        <f t="shared" si="199"/>
        <v>#VALUE!</v>
      </c>
      <c r="AB1279" t="str">
        <f t="shared" si="200"/>
        <v/>
      </c>
      <c r="AC1279" t="e">
        <f t="shared" si="201"/>
        <v>#VALUE!</v>
      </c>
    </row>
    <row r="1280" spans="1:29" x14ac:dyDescent="0.2">
      <c r="A1280" t="str">
        <f t="shared" si="202"/>
        <v/>
      </c>
      <c r="E1280" s="4"/>
      <c r="F1280" s="46"/>
      <c r="G1280" s="4"/>
      <c r="H1280" s="48"/>
      <c r="J1280" s="26" t="str">
        <f t="shared" si="203"/>
        <v/>
      </c>
      <c r="N1280" t="str">
        <f t="shared" si="204"/>
        <v/>
      </c>
      <c r="Q1280" t="str">
        <f t="shared" si="205"/>
        <v/>
      </c>
      <c r="S1280" t="str">
        <f>IF(A1280=1,MAX($S$2:$S1279)+1,IF(OR($I1280&lt;&gt;"",A1280="x"),$S1279,""))</f>
        <v/>
      </c>
      <c r="T1280" t="str">
        <f>IF(D1280=1,MAX($T$2:$T1279)+1,IF(S1280=S1279,$T1279,IF(D1280="x",T1279,IF(D1279="x","",""))))</f>
        <v/>
      </c>
      <c r="U1280" t="str">
        <f>IF(B1280=1,MAX($U$2:$U1279)+1,IF(AND($T1280&lt;&gt;"",$T1280=$T1279),$U1279,IF(B1280="x",U1279,"")))</f>
        <v/>
      </c>
      <c r="V1280" t="str">
        <f>IF(C1280=1,MAX($V$2:$V1279)+1,IF(AND($T1280&lt;&gt;"",$T1280=$T1279),$U1279,IF(C1280="x",V1279,"")))</f>
        <v/>
      </c>
      <c r="X1280" cm="1">
        <f t="array" ref="X1280">IF($I1280&lt;&gt;"",$I1280,INDEX($I$1:$I1280,ROW()-COUNTIFS($T$1:$T1280,"="&amp;$T1280,$S$1:$S1280,"&lt;"&amp;$S1280)))</f>
        <v>0</v>
      </c>
      <c r="Z1280" s="6">
        <f t="shared" si="198"/>
        <v>1</v>
      </c>
      <c r="AA1280" t="e">
        <f t="shared" si="199"/>
        <v>#VALUE!</v>
      </c>
      <c r="AB1280" t="str">
        <f t="shared" si="200"/>
        <v/>
      </c>
      <c r="AC1280" t="e">
        <f t="shared" si="201"/>
        <v>#VALUE!</v>
      </c>
    </row>
    <row r="1281" spans="1:29" x14ac:dyDescent="0.2">
      <c r="A1281" t="str">
        <f t="shared" si="202"/>
        <v/>
      </c>
      <c r="E1281" s="4"/>
      <c r="F1281" s="46"/>
      <c r="G1281" s="4"/>
      <c r="H1281" s="48"/>
      <c r="J1281" s="26" t="str">
        <f t="shared" si="203"/>
        <v/>
      </c>
      <c r="N1281" t="str">
        <f t="shared" si="204"/>
        <v/>
      </c>
      <c r="Q1281" t="str">
        <f t="shared" si="205"/>
        <v/>
      </c>
      <c r="S1281" t="str">
        <f>IF(A1281=1,MAX($S$2:$S1280)+1,IF(OR($I1281&lt;&gt;"",A1281="x"),$S1280,""))</f>
        <v/>
      </c>
      <c r="T1281" t="str">
        <f>IF(D1281=1,MAX($T$2:$T1280)+1,IF(S1281=S1280,$T1280,IF(D1281="x",T1280,IF(D1280="x","",""))))</f>
        <v/>
      </c>
      <c r="U1281" t="str">
        <f>IF(B1281=1,MAX($U$2:$U1280)+1,IF(AND($T1281&lt;&gt;"",$T1281=$T1280),$U1280,IF(B1281="x",U1280,"")))</f>
        <v/>
      </c>
      <c r="V1281" t="str">
        <f>IF(C1281=1,MAX($V$2:$V1280)+1,IF(AND($T1281&lt;&gt;"",$T1281=$T1280),$U1280,IF(C1281="x",V1280,"")))</f>
        <v/>
      </c>
      <c r="X1281" cm="1">
        <f t="array" ref="X1281">IF($I1281&lt;&gt;"",$I1281,INDEX($I$1:$I1281,ROW()-COUNTIFS($T$1:$T1281,"="&amp;$T1281,$S$1:$S1281,"&lt;"&amp;$S1281)))</f>
        <v>0</v>
      </c>
      <c r="Z1281" s="6">
        <f t="shared" si="198"/>
        <v>1</v>
      </c>
      <c r="AA1281" t="e">
        <f t="shared" si="199"/>
        <v>#VALUE!</v>
      </c>
      <c r="AB1281" t="str">
        <f t="shared" si="200"/>
        <v/>
      </c>
      <c r="AC1281" t="e">
        <f t="shared" si="201"/>
        <v>#VALUE!</v>
      </c>
    </row>
    <row r="1282" spans="1:29" x14ac:dyDescent="0.2">
      <c r="A1282" t="str">
        <f t="shared" si="202"/>
        <v/>
      </c>
      <c r="E1282" s="4"/>
      <c r="F1282" s="46"/>
      <c r="G1282" s="4"/>
      <c r="H1282" s="48"/>
      <c r="J1282" s="26" t="str">
        <f t="shared" si="203"/>
        <v/>
      </c>
      <c r="N1282" t="str">
        <f t="shared" si="204"/>
        <v/>
      </c>
      <c r="Q1282" t="str">
        <f t="shared" si="205"/>
        <v/>
      </c>
      <c r="S1282" t="str">
        <f>IF(A1282=1,MAX($S$2:$S1281)+1,IF(OR($I1282&lt;&gt;"",A1282="x"),$S1281,""))</f>
        <v/>
      </c>
      <c r="T1282" t="str">
        <f>IF(D1282=1,MAX($T$2:$T1281)+1,IF(S1282=S1281,$T1281,IF(D1282="x",T1281,IF(D1281="x","",""))))</f>
        <v/>
      </c>
      <c r="U1282" t="str">
        <f>IF(B1282=1,MAX($U$2:$U1281)+1,IF(AND($T1282&lt;&gt;"",$T1282=$T1281),$U1281,IF(B1282="x",U1281,"")))</f>
        <v/>
      </c>
      <c r="V1282" t="str">
        <f>IF(C1282=1,MAX($V$2:$V1281)+1,IF(AND($T1282&lt;&gt;"",$T1282=$T1281),$U1281,IF(C1282="x",V1281,"")))</f>
        <v/>
      </c>
      <c r="X1282" cm="1">
        <f t="array" ref="X1282">IF($I1282&lt;&gt;"",$I1282,INDEX($I$1:$I1282,ROW()-COUNTIFS($T$1:$T1282,"="&amp;$T1282,$S$1:$S1282,"&lt;"&amp;$S1282)))</f>
        <v>0</v>
      </c>
      <c r="Z1282" s="6">
        <f t="shared" si="198"/>
        <v>1</v>
      </c>
      <c r="AA1282" t="e">
        <f t="shared" si="199"/>
        <v>#VALUE!</v>
      </c>
      <c r="AB1282" t="str">
        <f t="shared" si="200"/>
        <v/>
      </c>
      <c r="AC1282" t="e">
        <f t="shared" si="201"/>
        <v>#VALUE!</v>
      </c>
    </row>
    <row r="1283" spans="1:29" x14ac:dyDescent="0.2">
      <c r="A1283" t="str">
        <f t="shared" si="202"/>
        <v/>
      </c>
      <c r="E1283" s="4"/>
      <c r="F1283" s="46"/>
      <c r="G1283" s="4"/>
      <c r="H1283" s="48"/>
      <c r="J1283" s="26" t="str">
        <f t="shared" si="203"/>
        <v/>
      </c>
      <c r="N1283" t="str">
        <f t="shared" si="204"/>
        <v/>
      </c>
      <c r="Q1283" t="str">
        <f t="shared" si="205"/>
        <v/>
      </c>
      <c r="S1283" t="str">
        <f>IF(A1283=1,MAX($S$2:$S1282)+1,IF(OR($I1283&lt;&gt;"",A1283="x"),$S1282,""))</f>
        <v/>
      </c>
      <c r="T1283" t="str">
        <f>IF(D1283=1,MAX($T$2:$T1282)+1,IF(S1283=S1282,$T1282,IF(D1283="x",T1282,IF(D1282="x","",""))))</f>
        <v/>
      </c>
      <c r="U1283" t="str">
        <f>IF(B1283=1,MAX($U$2:$U1282)+1,IF(AND($T1283&lt;&gt;"",$T1283=$T1282),$U1282,IF(B1283="x",U1282,"")))</f>
        <v/>
      </c>
      <c r="V1283" t="str">
        <f>IF(C1283=1,MAX($V$2:$V1282)+1,IF(AND($T1283&lt;&gt;"",$T1283=$T1282),$U1282,IF(C1283="x",V1282,"")))</f>
        <v/>
      </c>
      <c r="X1283" cm="1">
        <f t="array" ref="X1283">IF($I1283&lt;&gt;"",$I1283,INDEX($I$1:$I1283,ROW()-COUNTIFS($T$1:$T1283,"="&amp;$T1283,$S$1:$S1283,"&lt;"&amp;$S1283)))</f>
        <v>0</v>
      </c>
      <c r="Z1283" s="6">
        <f t="shared" si="198"/>
        <v>1</v>
      </c>
      <c r="AA1283" t="e">
        <f t="shared" si="199"/>
        <v>#VALUE!</v>
      </c>
      <c r="AB1283" t="str">
        <f t="shared" si="200"/>
        <v/>
      </c>
      <c r="AC1283" t="e">
        <f t="shared" si="201"/>
        <v>#VALUE!</v>
      </c>
    </row>
    <row r="1284" spans="1:29" x14ac:dyDescent="0.2">
      <c r="A1284" t="str">
        <f t="shared" si="202"/>
        <v/>
      </c>
      <c r="E1284" s="4"/>
      <c r="F1284" s="46"/>
      <c r="G1284" s="4"/>
      <c r="H1284" s="48"/>
      <c r="J1284" s="26" t="str">
        <f t="shared" si="203"/>
        <v/>
      </c>
      <c r="N1284" t="str">
        <f t="shared" si="204"/>
        <v/>
      </c>
      <c r="Q1284" t="str">
        <f t="shared" si="205"/>
        <v/>
      </c>
      <c r="S1284" t="str">
        <f>IF(A1284=1,MAX($S$2:$S1283)+1,IF(OR($I1284&lt;&gt;"",A1284="x"),$S1283,""))</f>
        <v/>
      </c>
      <c r="T1284" t="str">
        <f>IF(D1284=1,MAX($T$2:$T1283)+1,IF(S1284=S1283,$T1283,IF(D1284="x",T1283,IF(D1283="x","",""))))</f>
        <v/>
      </c>
      <c r="U1284" t="str">
        <f>IF(B1284=1,MAX($U$2:$U1283)+1,IF(AND($T1284&lt;&gt;"",$T1284=$T1283),$U1283,IF(B1284="x",U1283,"")))</f>
        <v/>
      </c>
      <c r="V1284" t="str">
        <f>IF(C1284=1,MAX($V$2:$V1283)+1,IF(AND($T1284&lt;&gt;"",$T1284=$T1283),$U1283,IF(C1284="x",V1283,"")))</f>
        <v/>
      </c>
      <c r="X1284" cm="1">
        <f t="array" ref="X1284">IF($I1284&lt;&gt;"",$I1284,INDEX($I$1:$I1284,ROW()-COUNTIFS($T$1:$T1284,"="&amp;$T1284,$S$1:$S1284,"&lt;"&amp;$S1284)))</f>
        <v>0</v>
      </c>
      <c r="Z1284" s="6">
        <f t="shared" si="198"/>
        <v>1</v>
      </c>
      <c r="AA1284" t="e">
        <f t="shared" si="199"/>
        <v>#VALUE!</v>
      </c>
      <c r="AB1284" t="str">
        <f t="shared" si="200"/>
        <v/>
      </c>
      <c r="AC1284" t="e">
        <f t="shared" si="201"/>
        <v>#VALUE!</v>
      </c>
    </row>
    <row r="1285" spans="1:29" x14ac:dyDescent="0.2">
      <c r="A1285" t="str">
        <f t="shared" si="202"/>
        <v/>
      </c>
      <c r="E1285" s="4"/>
      <c r="F1285" s="46"/>
      <c r="G1285" s="4"/>
      <c r="H1285" s="48"/>
      <c r="J1285" s="26" t="str">
        <f t="shared" si="203"/>
        <v/>
      </c>
      <c r="N1285" t="str">
        <f t="shared" si="204"/>
        <v/>
      </c>
      <c r="Q1285" t="str">
        <f t="shared" si="205"/>
        <v/>
      </c>
      <c r="S1285" t="str">
        <f>IF(A1285=1,MAX($S$2:$S1284)+1,IF(OR($I1285&lt;&gt;"",A1285="x"),$S1284,""))</f>
        <v/>
      </c>
      <c r="T1285" t="str">
        <f>IF(D1285=1,MAX($T$2:$T1284)+1,IF(S1285=S1284,$T1284,IF(D1285="x",T1284,IF(D1284="x","",""))))</f>
        <v/>
      </c>
      <c r="U1285" t="str">
        <f>IF(B1285=1,MAX($U$2:$U1284)+1,IF(AND($T1285&lt;&gt;"",$T1285=$T1284),$U1284,IF(B1285="x",U1284,"")))</f>
        <v/>
      </c>
      <c r="V1285" t="str">
        <f>IF(C1285=1,MAX($V$2:$V1284)+1,IF(AND($T1285&lt;&gt;"",$T1285=$T1284),$U1284,IF(C1285="x",V1284,"")))</f>
        <v/>
      </c>
      <c r="X1285" cm="1">
        <f t="array" ref="X1285">IF($I1285&lt;&gt;"",$I1285,INDEX($I$1:$I1285,ROW()-COUNTIFS($T$1:$T1285,"="&amp;$T1285,$S$1:$S1285,"&lt;"&amp;$S1285)))</f>
        <v>0</v>
      </c>
      <c r="Z1285" s="6">
        <f t="shared" ref="Z1285:Z1348" si="206">IF(K1285="Intermission",Z1284+1,Z1284)</f>
        <v>1</v>
      </c>
      <c r="AA1285" t="e">
        <f t="shared" ref="AA1285:AA1348" si="207">S1285+1000</f>
        <v>#VALUE!</v>
      </c>
      <c r="AB1285" t="str">
        <f t="shared" ref="AB1285:AB1348" si="208">IF(T1285&lt;&gt;"",9000+T1285,"")</f>
        <v/>
      </c>
      <c r="AC1285" t="e">
        <f t="shared" ref="AC1285:AC1348" si="209">IF(AB1285&lt;&gt;"",AB1285,S1285+1000)</f>
        <v>#VALUE!</v>
      </c>
    </row>
    <row r="1286" spans="1:29" x14ac:dyDescent="0.2">
      <c r="A1286" t="str">
        <f t="shared" si="202"/>
        <v/>
      </c>
      <c r="E1286" s="4"/>
      <c r="F1286" s="46"/>
      <c r="G1286" s="4"/>
      <c r="H1286" s="48"/>
      <c r="J1286" s="26" t="str">
        <f t="shared" si="203"/>
        <v/>
      </c>
      <c r="N1286" t="str">
        <f t="shared" si="204"/>
        <v/>
      </c>
      <c r="Q1286" t="str">
        <f t="shared" si="205"/>
        <v/>
      </c>
      <c r="S1286" t="str">
        <f>IF(A1286=1,MAX($S$2:$S1285)+1,IF(OR($I1286&lt;&gt;"",A1286="x"),$S1285,""))</f>
        <v/>
      </c>
      <c r="T1286" t="str">
        <f>IF(D1286=1,MAX($T$2:$T1285)+1,IF(S1286=S1285,$T1285,IF(D1286="x",T1285,IF(D1285="x","",""))))</f>
        <v/>
      </c>
      <c r="U1286" t="str">
        <f>IF(B1286=1,MAX($U$2:$U1285)+1,IF(AND($T1286&lt;&gt;"",$T1286=$T1285),$U1285,IF(B1286="x",U1285,"")))</f>
        <v/>
      </c>
      <c r="V1286" t="str">
        <f>IF(C1286=1,MAX($V$2:$V1285)+1,IF(AND($T1286&lt;&gt;"",$T1286=$T1285),$U1285,IF(C1286="x",V1285,"")))</f>
        <v/>
      </c>
      <c r="X1286" cm="1">
        <f t="array" ref="X1286">IF($I1286&lt;&gt;"",$I1286,INDEX($I$1:$I1286,ROW()-COUNTIFS($T$1:$T1286,"="&amp;$T1286,$S$1:$S1286,"&lt;"&amp;$S1286)))</f>
        <v>0</v>
      </c>
      <c r="Z1286" s="6">
        <f t="shared" si="206"/>
        <v>1</v>
      </c>
      <c r="AA1286" t="e">
        <f t="shared" si="207"/>
        <v>#VALUE!</v>
      </c>
      <c r="AB1286" t="str">
        <f t="shared" si="208"/>
        <v/>
      </c>
      <c r="AC1286" t="e">
        <f t="shared" si="209"/>
        <v>#VALUE!</v>
      </c>
    </row>
    <row r="1287" spans="1:29" x14ac:dyDescent="0.2">
      <c r="A1287" t="str">
        <f t="shared" si="202"/>
        <v/>
      </c>
      <c r="E1287" s="4"/>
      <c r="F1287" s="46"/>
      <c r="G1287" s="4"/>
      <c r="H1287" s="48"/>
      <c r="J1287" s="26" t="str">
        <f t="shared" si="203"/>
        <v/>
      </c>
      <c r="N1287" t="str">
        <f t="shared" si="204"/>
        <v/>
      </c>
      <c r="Q1287" t="str">
        <f t="shared" si="205"/>
        <v/>
      </c>
      <c r="S1287" t="str">
        <f>IF(A1287=1,MAX($S$2:$S1286)+1,IF(OR($I1287&lt;&gt;"",A1287="x"),$S1286,""))</f>
        <v/>
      </c>
      <c r="T1287" t="str">
        <f>IF(D1287=1,MAX($T$2:$T1286)+1,IF(S1287=S1286,$T1286,IF(D1287="x",T1286,IF(D1286="x","",""))))</f>
        <v/>
      </c>
      <c r="U1287" t="str">
        <f>IF(B1287=1,MAX($U$2:$U1286)+1,IF(AND($T1287&lt;&gt;"",$T1287=$T1286),$U1286,IF(B1287="x",U1286,"")))</f>
        <v/>
      </c>
      <c r="V1287" t="str">
        <f>IF(C1287=1,MAX($V$2:$V1286)+1,IF(AND($T1287&lt;&gt;"",$T1287=$T1286),$U1286,IF(C1287="x",V1286,"")))</f>
        <v/>
      </c>
      <c r="X1287" cm="1">
        <f t="array" ref="X1287">IF($I1287&lt;&gt;"",$I1287,INDEX($I$1:$I1287,ROW()-COUNTIFS($T$1:$T1287,"="&amp;$T1287,$S$1:$S1287,"&lt;"&amp;$S1287)))</f>
        <v>0</v>
      </c>
      <c r="Z1287" s="6">
        <f t="shared" si="206"/>
        <v>1</v>
      </c>
      <c r="AA1287" t="e">
        <f t="shared" si="207"/>
        <v>#VALUE!</v>
      </c>
      <c r="AB1287" t="str">
        <f t="shared" si="208"/>
        <v/>
      </c>
      <c r="AC1287" t="e">
        <f t="shared" si="209"/>
        <v>#VALUE!</v>
      </c>
    </row>
    <row r="1288" spans="1:29" x14ac:dyDescent="0.2">
      <c r="A1288" t="str">
        <f t="shared" si="202"/>
        <v/>
      </c>
      <c r="E1288" s="4"/>
      <c r="F1288" s="46"/>
      <c r="G1288" s="4"/>
      <c r="H1288" s="48"/>
      <c r="J1288" s="26" t="str">
        <f t="shared" si="203"/>
        <v/>
      </c>
      <c r="N1288" t="str">
        <f t="shared" si="204"/>
        <v/>
      </c>
      <c r="Q1288" t="str">
        <f t="shared" si="205"/>
        <v/>
      </c>
      <c r="S1288" t="str">
        <f>IF(A1288=1,MAX($S$2:$S1287)+1,IF(OR($I1288&lt;&gt;"",A1288="x"),$S1287,""))</f>
        <v/>
      </c>
      <c r="T1288" t="str">
        <f>IF(D1288=1,MAX($T$2:$T1287)+1,IF(S1288=S1287,$T1287,IF(D1288="x",T1287,IF(D1287="x","",""))))</f>
        <v/>
      </c>
      <c r="U1288" t="str">
        <f>IF(B1288=1,MAX($U$2:$U1287)+1,IF(AND($T1288&lt;&gt;"",$T1288=$T1287),$U1287,IF(B1288="x",U1287,"")))</f>
        <v/>
      </c>
      <c r="V1288" t="str">
        <f>IF(C1288=1,MAX($V$2:$V1287)+1,IF(AND($T1288&lt;&gt;"",$T1288=$T1287),$U1287,IF(C1288="x",V1287,"")))</f>
        <v/>
      </c>
      <c r="X1288" cm="1">
        <f t="array" ref="X1288">IF($I1288&lt;&gt;"",$I1288,INDEX($I$1:$I1288,ROW()-COUNTIFS($T$1:$T1288,"="&amp;$T1288,$S$1:$S1288,"&lt;"&amp;$S1288)))</f>
        <v>0</v>
      </c>
      <c r="Z1288" s="6">
        <f t="shared" si="206"/>
        <v>1</v>
      </c>
      <c r="AA1288" t="e">
        <f t="shared" si="207"/>
        <v>#VALUE!</v>
      </c>
      <c r="AB1288" t="str">
        <f t="shared" si="208"/>
        <v/>
      </c>
      <c r="AC1288" t="e">
        <f t="shared" si="209"/>
        <v>#VALUE!</v>
      </c>
    </row>
    <row r="1289" spans="1:29" x14ac:dyDescent="0.2">
      <c r="A1289" t="str">
        <f t="shared" si="202"/>
        <v/>
      </c>
      <c r="E1289" s="4"/>
      <c r="F1289" s="46"/>
      <c r="G1289" s="4"/>
      <c r="H1289" s="48"/>
      <c r="J1289" s="26" t="str">
        <f t="shared" si="203"/>
        <v/>
      </c>
      <c r="N1289" t="str">
        <f t="shared" si="204"/>
        <v/>
      </c>
      <c r="Q1289" t="str">
        <f t="shared" si="205"/>
        <v/>
      </c>
      <c r="S1289" t="str">
        <f>IF(A1289=1,MAX($S$2:$S1288)+1,IF(OR($I1289&lt;&gt;"",A1289="x"),$S1288,""))</f>
        <v/>
      </c>
      <c r="T1289" t="str">
        <f>IF(D1289=1,MAX($T$2:$T1288)+1,IF(S1289=S1288,$T1288,IF(D1289="x",T1288,IF(D1288="x","",""))))</f>
        <v/>
      </c>
      <c r="U1289" t="str">
        <f>IF(B1289=1,MAX($U$2:$U1288)+1,IF(AND($T1289&lt;&gt;"",$T1289=$T1288),$U1288,IF(B1289="x",U1288,"")))</f>
        <v/>
      </c>
      <c r="V1289" t="str">
        <f>IF(C1289=1,MAX($V$2:$V1288)+1,IF(AND($T1289&lt;&gt;"",$T1289=$T1288),$U1288,IF(C1289="x",V1288,"")))</f>
        <v/>
      </c>
      <c r="X1289" cm="1">
        <f t="array" ref="X1289">IF($I1289&lt;&gt;"",$I1289,INDEX($I$1:$I1289,ROW()-COUNTIFS($T$1:$T1289,"="&amp;$T1289,$S$1:$S1289,"&lt;"&amp;$S1289)))</f>
        <v>0</v>
      </c>
      <c r="Z1289" s="6">
        <f t="shared" si="206"/>
        <v>1</v>
      </c>
      <c r="AA1289" t="e">
        <f t="shared" si="207"/>
        <v>#VALUE!</v>
      </c>
      <c r="AB1289" t="str">
        <f t="shared" si="208"/>
        <v/>
      </c>
      <c r="AC1289" t="e">
        <f t="shared" si="209"/>
        <v>#VALUE!</v>
      </c>
    </row>
    <row r="1290" spans="1:29" x14ac:dyDescent="0.2">
      <c r="A1290" t="str">
        <f t="shared" si="202"/>
        <v/>
      </c>
      <c r="E1290" s="4"/>
      <c r="F1290" s="46"/>
      <c r="G1290" s="4"/>
      <c r="H1290" s="48"/>
      <c r="J1290" s="26" t="str">
        <f t="shared" si="203"/>
        <v/>
      </c>
      <c r="N1290" t="str">
        <f t="shared" si="204"/>
        <v/>
      </c>
      <c r="Q1290" t="str">
        <f t="shared" si="205"/>
        <v/>
      </c>
      <c r="S1290" t="str">
        <f>IF(A1290=1,MAX($S$2:$S1289)+1,IF(OR($I1290&lt;&gt;"",A1290="x"),$S1289,""))</f>
        <v/>
      </c>
      <c r="T1290" t="str">
        <f>IF(D1290=1,MAX($T$2:$T1289)+1,IF(S1290=S1289,$T1289,IF(D1290="x",T1289,IF(D1289="x","",""))))</f>
        <v/>
      </c>
      <c r="U1290" t="str">
        <f>IF(B1290=1,MAX($U$2:$U1289)+1,IF(AND($T1290&lt;&gt;"",$T1290=$T1289),$U1289,IF(B1290="x",U1289,"")))</f>
        <v/>
      </c>
      <c r="V1290" t="str">
        <f>IF(C1290=1,MAX($V$2:$V1289)+1,IF(AND($T1290&lt;&gt;"",$T1290=$T1289),$U1289,IF(C1290="x",V1289,"")))</f>
        <v/>
      </c>
      <c r="X1290" cm="1">
        <f t="array" ref="X1290">IF($I1290&lt;&gt;"",$I1290,INDEX($I$1:$I1290,ROW()-COUNTIFS($T$1:$T1290,"="&amp;$T1290,$S$1:$S1290,"&lt;"&amp;$S1290)))</f>
        <v>0</v>
      </c>
      <c r="Z1290" s="6">
        <f t="shared" si="206"/>
        <v>1</v>
      </c>
      <c r="AA1290" t="e">
        <f t="shared" si="207"/>
        <v>#VALUE!</v>
      </c>
      <c r="AB1290" t="str">
        <f t="shared" si="208"/>
        <v/>
      </c>
      <c r="AC1290" t="e">
        <f t="shared" si="209"/>
        <v>#VALUE!</v>
      </c>
    </row>
    <row r="1291" spans="1:29" x14ac:dyDescent="0.2">
      <c r="A1291" t="str">
        <f t="shared" si="202"/>
        <v/>
      </c>
      <c r="E1291" s="4"/>
      <c r="F1291" s="46"/>
      <c r="G1291" s="4"/>
      <c r="H1291" s="48"/>
      <c r="J1291" s="26" t="str">
        <f t="shared" si="203"/>
        <v/>
      </c>
      <c r="N1291" t="str">
        <f t="shared" si="204"/>
        <v/>
      </c>
      <c r="Q1291" t="str">
        <f t="shared" si="205"/>
        <v/>
      </c>
      <c r="S1291" t="str">
        <f>IF(A1291=1,MAX($S$2:$S1290)+1,IF(OR($I1291&lt;&gt;"",A1291="x"),$S1290,""))</f>
        <v/>
      </c>
      <c r="T1291" t="str">
        <f>IF(D1291=1,MAX($T$2:$T1290)+1,IF(S1291=S1290,$T1290,IF(D1291="x",T1290,IF(D1290="x","",""))))</f>
        <v/>
      </c>
      <c r="U1291" t="str">
        <f>IF(B1291=1,MAX($U$2:$U1290)+1,IF(AND($T1291&lt;&gt;"",$T1291=$T1290),$U1290,IF(B1291="x",U1290,"")))</f>
        <v/>
      </c>
      <c r="V1291" t="str">
        <f>IF(C1291=1,MAX($V$2:$V1290)+1,IF(AND($T1291&lt;&gt;"",$T1291=$T1290),$U1290,IF(C1291="x",V1290,"")))</f>
        <v/>
      </c>
      <c r="X1291" cm="1">
        <f t="array" ref="X1291">IF($I1291&lt;&gt;"",$I1291,INDEX($I$1:$I1291,ROW()-COUNTIFS($T$1:$T1291,"="&amp;$T1291,$S$1:$S1291,"&lt;"&amp;$S1291)))</f>
        <v>0</v>
      </c>
      <c r="Z1291" s="6">
        <f t="shared" si="206"/>
        <v>1</v>
      </c>
      <c r="AA1291" t="e">
        <f t="shared" si="207"/>
        <v>#VALUE!</v>
      </c>
      <c r="AB1291" t="str">
        <f t="shared" si="208"/>
        <v/>
      </c>
      <c r="AC1291" t="e">
        <f t="shared" si="209"/>
        <v>#VALUE!</v>
      </c>
    </row>
    <row r="1292" spans="1:29" x14ac:dyDescent="0.2">
      <c r="A1292" t="str">
        <f t="shared" si="202"/>
        <v/>
      </c>
      <c r="E1292" s="4"/>
      <c r="F1292" s="46"/>
      <c r="G1292" s="4"/>
      <c r="H1292" s="48"/>
      <c r="J1292" s="26" t="str">
        <f t="shared" si="203"/>
        <v/>
      </c>
      <c r="N1292" t="str">
        <f t="shared" si="204"/>
        <v/>
      </c>
      <c r="Q1292" t="str">
        <f t="shared" si="205"/>
        <v/>
      </c>
      <c r="S1292" t="str">
        <f>IF(A1292=1,MAX($S$2:$S1291)+1,IF(OR($I1292&lt;&gt;"",A1292="x"),$S1291,""))</f>
        <v/>
      </c>
      <c r="T1292" t="str">
        <f>IF(D1292=1,MAX($T$2:$T1291)+1,IF(S1292=S1291,$T1291,IF(D1292="x",T1291,IF(D1291="x","",""))))</f>
        <v/>
      </c>
      <c r="U1292" t="str">
        <f>IF(B1292=1,MAX($U$2:$U1291)+1,IF(AND($T1292&lt;&gt;"",$T1292=$T1291),$U1291,IF(B1292="x",U1291,"")))</f>
        <v/>
      </c>
      <c r="V1292" t="str">
        <f>IF(C1292=1,MAX($V$2:$V1291)+1,IF(AND($T1292&lt;&gt;"",$T1292=$T1291),$U1291,IF(C1292="x",V1291,"")))</f>
        <v/>
      </c>
      <c r="X1292" cm="1">
        <f t="array" ref="X1292">IF($I1292&lt;&gt;"",$I1292,INDEX($I$1:$I1292,ROW()-COUNTIFS($T$1:$T1292,"="&amp;$T1292,$S$1:$S1292,"&lt;"&amp;$S1292)))</f>
        <v>0</v>
      </c>
      <c r="Z1292" s="6">
        <f t="shared" si="206"/>
        <v>1</v>
      </c>
      <c r="AA1292" t="e">
        <f t="shared" si="207"/>
        <v>#VALUE!</v>
      </c>
      <c r="AB1292" t="str">
        <f t="shared" si="208"/>
        <v/>
      </c>
      <c r="AC1292" t="e">
        <f t="shared" si="209"/>
        <v>#VALUE!</v>
      </c>
    </row>
    <row r="1293" spans="1:29" x14ac:dyDescent="0.2">
      <c r="A1293" t="str">
        <f t="shared" si="202"/>
        <v/>
      </c>
      <c r="E1293" s="4"/>
      <c r="F1293" s="46"/>
      <c r="G1293" s="4"/>
      <c r="H1293" s="48"/>
      <c r="J1293" s="26" t="str">
        <f t="shared" si="203"/>
        <v/>
      </c>
      <c r="N1293" t="str">
        <f t="shared" si="204"/>
        <v/>
      </c>
      <c r="Q1293" t="str">
        <f t="shared" si="205"/>
        <v/>
      </c>
      <c r="S1293" t="str">
        <f>IF(A1293=1,MAX($S$2:$S1292)+1,IF(OR($I1293&lt;&gt;"",A1293="x"),$S1292,""))</f>
        <v/>
      </c>
      <c r="T1293" t="str">
        <f>IF(D1293=1,MAX($T$2:$T1292)+1,IF(S1293=S1292,$T1292,IF(D1293="x",T1292,IF(D1292="x","",""))))</f>
        <v/>
      </c>
      <c r="U1293" t="str">
        <f>IF(B1293=1,MAX($U$2:$U1292)+1,IF(AND($T1293&lt;&gt;"",$T1293=$T1292),$U1292,IF(B1293="x",U1292,"")))</f>
        <v/>
      </c>
      <c r="V1293" t="str">
        <f>IF(C1293=1,MAX($V$2:$V1292)+1,IF(AND($T1293&lt;&gt;"",$T1293=$T1292),$U1292,IF(C1293="x",V1292,"")))</f>
        <v/>
      </c>
      <c r="X1293" cm="1">
        <f t="array" ref="X1293">IF($I1293&lt;&gt;"",$I1293,INDEX($I$1:$I1293,ROW()-COUNTIFS($T$1:$T1293,"="&amp;$T1293,$S$1:$S1293,"&lt;"&amp;$S1293)))</f>
        <v>0</v>
      </c>
      <c r="Z1293" s="6">
        <f t="shared" si="206"/>
        <v>1</v>
      </c>
      <c r="AA1293" t="e">
        <f t="shared" si="207"/>
        <v>#VALUE!</v>
      </c>
      <c r="AB1293" t="str">
        <f t="shared" si="208"/>
        <v/>
      </c>
      <c r="AC1293" t="e">
        <f t="shared" si="209"/>
        <v>#VALUE!</v>
      </c>
    </row>
    <row r="1294" spans="1:29" x14ac:dyDescent="0.2">
      <c r="A1294" t="str">
        <f t="shared" si="202"/>
        <v/>
      </c>
      <c r="E1294" s="4"/>
      <c r="F1294" s="46"/>
      <c r="G1294" s="4"/>
      <c r="H1294" s="48"/>
      <c r="J1294" s="26" t="str">
        <f t="shared" si="203"/>
        <v/>
      </c>
      <c r="N1294" t="str">
        <f t="shared" si="204"/>
        <v/>
      </c>
      <c r="Q1294" t="str">
        <f t="shared" si="205"/>
        <v/>
      </c>
      <c r="S1294" t="str">
        <f>IF(A1294=1,MAX($S$2:$S1293)+1,IF(OR($I1294&lt;&gt;"",A1294="x"),$S1293,""))</f>
        <v/>
      </c>
      <c r="T1294" t="str">
        <f>IF(D1294=1,MAX($T$2:$T1293)+1,IF(S1294=S1293,$T1293,IF(D1294="x",T1293,IF(D1293="x","",""))))</f>
        <v/>
      </c>
      <c r="U1294" t="str">
        <f>IF(B1294=1,MAX($U$2:$U1293)+1,IF(AND($T1294&lt;&gt;"",$T1294=$T1293),$U1293,IF(B1294="x",U1293,"")))</f>
        <v/>
      </c>
      <c r="V1294" t="str">
        <f>IF(C1294=1,MAX($V$2:$V1293)+1,IF(AND($T1294&lt;&gt;"",$T1294=$T1293),$U1293,IF(C1294="x",V1293,"")))</f>
        <v/>
      </c>
      <c r="X1294" cm="1">
        <f t="array" ref="X1294">IF($I1294&lt;&gt;"",$I1294,INDEX($I$1:$I1294,ROW()-COUNTIFS($T$1:$T1294,"="&amp;$T1294,$S$1:$S1294,"&lt;"&amp;$S1294)))</f>
        <v>0</v>
      </c>
      <c r="Z1294" s="6">
        <f t="shared" si="206"/>
        <v>1</v>
      </c>
      <c r="AA1294" t="e">
        <f t="shared" si="207"/>
        <v>#VALUE!</v>
      </c>
      <c r="AB1294" t="str">
        <f t="shared" si="208"/>
        <v/>
      </c>
      <c r="AC1294" t="e">
        <f t="shared" si="209"/>
        <v>#VALUE!</v>
      </c>
    </row>
    <row r="1295" spans="1:29" x14ac:dyDescent="0.2">
      <c r="A1295" t="str">
        <f t="shared" si="202"/>
        <v/>
      </c>
      <c r="E1295" s="4"/>
      <c r="F1295" s="46"/>
      <c r="G1295" s="4"/>
      <c r="H1295" s="48"/>
      <c r="J1295" s="26" t="str">
        <f t="shared" si="203"/>
        <v/>
      </c>
      <c r="N1295" t="str">
        <f t="shared" si="204"/>
        <v/>
      </c>
      <c r="Q1295" t="str">
        <f t="shared" si="205"/>
        <v/>
      </c>
      <c r="S1295" t="str">
        <f>IF(A1295=1,MAX($S$2:$S1294)+1,IF(OR($I1295&lt;&gt;"",A1295="x"),$S1294,""))</f>
        <v/>
      </c>
      <c r="T1295" t="str">
        <f>IF(D1295=1,MAX($T$2:$T1294)+1,IF(S1295=S1294,$T1294,IF(D1295="x",T1294,IF(D1294="x","",""))))</f>
        <v/>
      </c>
      <c r="U1295" t="str">
        <f>IF(B1295=1,MAX($U$2:$U1294)+1,IF(AND($T1295&lt;&gt;"",$T1295=$T1294),$U1294,IF(B1295="x",U1294,"")))</f>
        <v/>
      </c>
      <c r="V1295" t="str">
        <f>IF(C1295=1,MAX($V$2:$V1294)+1,IF(AND($T1295&lt;&gt;"",$T1295=$T1294),$U1294,IF(C1295="x",V1294,"")))</f>
        <v/>
      </c>
      <c r="X1295" cm="1">
        <f t="array" ref="X1295">IF($I1295&lt;&gt;"",$I1295,INDEX($I$1:$I1295,ROW()-COUNTIFS($T$1:$T1295,"="&amp;$T1295,$S$1:$S1295,"&lt;"&amp;$S1295)))</f>
        <v>0</v>
      </c>
      <c r="Z1295" s="6">
        <f t="shared" si="206"/>
        <v>1</v>
      </c>
      <c r="AA1295" t="e">
        <f t="shared" si="207"/>
        <v>#VALUE!</v>
      </c>
      <c r="AB1295" t="str">
        <f t="shared" si="208"/>
        <v/>
      </c>
      <c r="AC1295" t="e">
        <f t="shared" si="209"/>
        <v>#VALUE!</v>
      </c>
    </row>
    <row r="1296" spans="1:29" x14ac:dyDescent="0.2">
      <c r="A1296" t="str">
        <f t="shared" si="202"/>
        <v/>
      </c>
      <c r="E1296" s="4"/>
      <c r="F1296" s="46"/>
      <c r="G1296" s="4"/>
      <c r="H1296" s="48"/>
      <c r="J1296" s="26" t="str">
        <f t="shared" si="203"/>
        <v/>
      </c>
      <c r="N1296" t="str">
        <f t="shared" si="204"/>
        <v/>
      </c>
      <c r="Q1296" t="str">
        <f t="shared" si="205"/>
        <v/>
      </c>
      <c r="S1296" t="str">
        <f>IF(A1296=1,MAX($S$2:$S1295)+1,IF(OR($I1296&lt;&gt;"",A1296="x"),$S1295,""))</f>
        <v/>
      </c>
      <c r="T1296" t="str">
        <f>IF(D1296=1,MAX($T$2:$T1295)+1,IF(S1296=S1295,$T1295,IF(D1296="x",T1295,IF(D1295="x","",""))))</f>
        <v/>
      </c>
      <c r="U1296" t="str">
        <f>IF(B1296=1,MAX($U$2:$U1295)+1,IF(AND($T1296&lt;&gt;"",$T1296=$T1295),$U1295,IF(B1296="x",U1295,"")))</f>
        <v/>
      </c>
      <c r="V1296" t="str">
        <f>IF(C1296=1,MAX($V$2:$V1295)+1,IF(AND($T1296&lt;&gt;"",$T1296=$T1295),$U1295,IF(C1296="x",V1295,"")))</f>
        <v/>
      </c>
      <c r="X1296" cm="1">
        <f t="array" ref="X1296">IF($I1296&lt;&gt;"",$I1296,INDEX($I$1:$I1296,ROW()-COUNTIFS($T$1:$T1296,"="&amp;$T1296,$S$1:$S1296,"&lt;"&amp;$S1296)))</f>
        <v>0</v>
      </c>
      <c r="Z1296" s="6">
        <f t="shared" si="206"/>
        <v>1</v>
      </c>
      <c r="AA1296" t="e">
        <f t="shared" si="207"/>
        <v>#VALUE!</v>
      </c>
      <c r="AB1296" t="str">
        <f t="shared" si="208"/>
        <v/>
      </c>
      <c r="AC1296" t="e">
        <f t="shared" si="209"/>
        <v>#VALUE!</v>
      </c>
    </row>
    <row r="1297" spans="1:29" x14ac:dyDescent="0.2">
      <c r="A1297" t="str">
        <f t="shared" si="202"/>
        <v/>
      </c>
      <c r="E1297" s="4"/>
      <c r="F1297" s="46"/>
      <c r="G1297" s="4"/>
      <c r="H1297" s="48"/>
      <c r="J1297" s="26" t="str">
        <f t="shared" si="203"/>
        <v/>
      </c>
      <c r="N1297" t="str">
        <f t="shared" si="204"/>
        <v/>
      </c>
      <c r="Q1297" t="str">
        <f t="shared" si="205"/>
        <v/>
      </c>
      <c r="S1297" t="str">
        <f>IF(A1297=1,MAX($S$2:$S1296)+1,IF(OR($I1297&lt;&gt;"",A1297="x"),$S1296,""))</f>
        <v/>
      </c>
      <c r="T1297" t="str">
        <f>IF(D1297=1,MAX($T$2:$T1296)+1,IF(S1297=S1296,$T1296,IF(D1297="x",T1296,IF(D1296="x","",""))))</f>
        <v/>
      </c>
      <c r="U1297" t="str">
        <f>IF(B1297=1,MAX($U$2:$U1296)+1,IF(AND($T1297&lt;&gt;"",$T1297=$T1296),$U1296,IF(B1297="x",U1296,"")))</f>
        <v/>
      </c>
      <c r="V1297" t="str">
        <f>IF(C1297=1,MAX($V$2:$V1296)+1,IF(AND($T1297&lt;&gt;"",$T1297=$T1296),$U1296,IF(C1297="x",V1296,"")))</f>
        <v/>
      </c>
      <c r="X1297" cm="1">
        <f t="array" ref="X1297">IF($I1297&lt;&gt;"",$I1297,INDEX($I$1:$I1297,ROW()-COUNTIFS($T$1:$T1297,"="&amp;$T1297,$S$1:$S1297,"&lt;"&amp;$S1297)))</f>
        <v>0</v>
      </c>
      <c r="Z1297" s="6">
        <f t="shared" si="206"/>
        <v>1</v>
      </c>
      <c r="AA1297" t="e">
        <f t="shared" si="207"/>
        <v>#VALUE!</v>
      </c>
      <c r="AB1297" t="str">
        <f t="shared" si="208"/>
        <v/>
      </c>
      <c r="AC1297" t="e">
        <f t="shared" si="209"/>
        <v>#VALUE!</v>
      </c>
    </row>
    <row r="1298" spans="1:29" x14ac:dyDescent="0.2">
      <c r="A1298" t="str">
        <f t="shared" si="202"/>
        <v/>
      </c>
      <c r="E1298" s="4"/>
      <c r="F1298" s="46"/>
      <c r="G1298" s="4"/>
      <c r="H1298" s="48"/>
      <c r="J1298" s="26" t="str">
        <f t="shared" si="203"/>
        <v/>
      </c>
      <c r="N1298" t="str">
        <f t="shared" si="204"/>
        <v/>
      </c>
      <c r="Q1298" t="str">
        <f t="shared" si="205"/>
        <v/>
      </c>
      <c r="S1298" t="str">
        <f>IF(A1298=1,MAX($S$2:$S1297)+1,IF(OR($I1298&lt;&gt;"",A1298="x"),$S1297,""))</f>
        <v/>
      </c>
      <c r="T1298" t="str">
        <f>IF(D1298=1,MAX($T$2:$T1297)+1,IF(S1298=S1297,$T1297,IF(D1298="x",T1297,IF(D1297="x","",""))))</f>
        <v/>
      </c>
      <c r="U1298" t="str">
        <f>IF(B1298=1,MAX($U$2:$U1297)+1,IF(AND($T1298&lt;&gt;"",$T1298=$T1297),$U1297,IF(B1298="x",U1297,"")))</f>
        <v/>
      </c>
      <c r="V1298" t="str">
        <f>IF(C1298=1,MAX($V$2:$V1297)+1,IF(AND($T1298&lt;&gt;"",$T1298=$T1297),$U1297,IF(C1298="x",V1297,"")))</f>
        <v/>
      </c>
      <c r="X1298" cm="1">
        <f t="array" ref="X1298">IF($I1298&lt;&gt;"",$I1298,INDEX($I$1:$I1298,ROW()-COUNTIFS($T$1:$T1298,"="&amp;$T1298,$S$1:$S1298,"&lt;"&amp;$S1298)))</f>
        <v>0</v>
      </c>
      <c r="Z1298" s="6">
        <f t="shared" si="206"/>
        <v>1</v>
      </c>
      <c r="AA1298" t="e">
        <f t="shared" si="207"/>
        <v>#VALUE!</v>
      </c>
      <c r="AB1298" t="str">
        <f t="shared" si="208"/>
        <v/>
      </c>
      <c r="AC1298" t="e">
        <f t="shared" si="209"/>
        <v>#VALUE!</v>
      </c>
    </row>
    <row r="1299" spans="1:29" x14ac:dyDescent="0.2">
      <c r="A1299" t="str">
        <f t="shared" ref="A1299:A1362" si="210">IF(K1299&lt;&gt;"",1,IF(D1299="x","x",""))</f>
        <v/>
      </c>
      <c r="E1299" s="4"/>
      <c r="F1299" s="46"/>
      <c r="G1299" s="4"/>
      <c r="H1299" s="48"/>
      <c r="J1299" s="26" t="str">
        <f t="shared" ref="J1299:J1362" si="211">IF(OR(K1299="Goal",K1299="Shot",L1299="Zone_Entry",M1299="Stoppage-Goal",M1298="Stoppage-Goal"),"o",IF(OR(K1299="Save",K1299="Rebound",L1299="Zone_Exit",M1299="Stoppage-GoalieStoppage",M1298="Stoppage-GoalieStoppage"),"d",IF(OR(L1299="Faceoff_AfterGoal",L1299="Faceoff_PeriodStart",698="Faceoff_GameStart",M1298="Stoppage-Goal"),"n","")))</f>
        <v/>
      </c>
      <c r="N1299" t="str">
        <f t="shared" ref="N1299:N1362" si="212">IF(K1299="","",IF(K1299="Goal","s",IF(AND(K1299="Zone_Entry_Exit",OR(ISNUMBER(SEARCH("fail",L1299)),ISNUMBER(SEARCH("FromExitClear",M1299)),ISNUMBER(SEARCH("miss",M1299)))),"u",IF(AND(K1299="Zone_Entry_Exit",OR(NOT(ISNUMBER(SEARCH("fail",L1299))),NOT(ISNUMBER(SEARCH("FromExitClear",M1299))),NOT(ISNUMBER(SEARCH("miss",M1299))))),"s",IF(AND(OR(K1299="Shot",K1299="Pass"),OR(ISNUMBER(SEARCH("complete",L1299)),ISNUMBER(SEARCH("goal",L1299)),ISNUMBER(SEARCH("OnNet",L1299)))),"s",IF(L1299="Turnover_Giveaway","u",IF(AND(OR(K1299="Shot",K1299="Pass"),OR(ISNUMBER(SEARCH("fail",L1299)),NOT(ISNUMBER(SEARCH("complete",L1299))),NOT(ISNUMBER(SEARCH("OnNet",L1299))))),"u","")))))))</f>
        <v/>
      </c>
      <c r="Q1299" t="str">
        <f t="shared" ref="Q1299:Q1362" si="213">IF(O1299="","",IF(AND(N1299&lt;&gt;"",OR(O1299&lt;&gt;"",P1299&lt;&gt;"")),N1299,IF(OR(ISNUMBER(SEARCH("attemp",O1299)),ISNUMBER(SEARCH("beat",O1299)),ISNUMBER(SEARCH("mis",O1299)),ISNUMBER(SEARCH("fail",O1299)),ISNUMBER(SEARCH("loss",O1299)),ISNUMBER(SEARCH("lost",O1299)),ISNUMBER(SEARCH("attemp",P1299)),ISNUMBER(SEARCH("mis",P1299)),ISNUMBER(SEARCH("fail",P1299)),ISNUMBER(SEARCH("loss",P1299)),ISNUMBER(SEARCH("beat",P1299)),ISNUMBER(SEARCH("lost",P1299))),"u","")))</f>
        <v/>
      </c>
      <c r="S1299" t="str">
        <f>IF(A1299=1,MAX($S$2:$S1298)+1,IF(OR($I1299&lt;&gt;"",A1299="x"),$S1298,""))</f>
        <v/>
      </c>
      <c r="T1299" t="str">
        <f>IF(D1299=1,MAX($T$2:$T1298)+1,IF(S1299=S1298,$T1298,IF(D1299="x",T1298,IF(D1298="x","",""))))</f>
        <v/>
      </c>
      <c r="U1299" t="str">
        <f>IF(B1299=1,MAX($U$2:$U1298)+1,IF(AND($T1299&lt;&gt;"",$T1299=$T1298),$U1298,IF(B1299="x",U1298,"")))</f>
        <v/>
      </c>
      <c r="V1299" t="str">
        <f>IF(C1299=1,MAX($V$2:$V1298)+1,IF(AND($T1299&lt;&gt;"",$T1299=$T1298),$U1298,IF(C1299="x",V1298,"")))</f>
        <v/>
      </c>
      <c r="X1299" cm="1">
        <f t="array" ref="X1299">IF($I1299&lt;&gt;"",$I1299,INDEX($I$1:$I1299,ROW()-COUNTIFS($T$1:$T1299,"="&amp;$T1299,$S$1:$S1299,"&lt;"&amp;$S1299)))</f>
        <v>0</v>
      </c>
      <c r="Z1299" s="6">
        <f t="shared" si="206"/>
        <v>1</v>
      </c>
      <c r="AA1299" t="e">
        <f t="shared" si="207"/>
        <v>#VALUE!</v>
      </c>
      <c r="AB1299" t="str">
        <f t="shared" si="208"/>
        <v/>
      </c>
      <c r="AC1299" t="e">
        <f t="shared" si="209"/>
        <v>#VALUE!</v>
      </c>
    </row>
    <row r="1300" spans="1:29" x14ac:dyDescent="0.2">
      <c r="A1300" t="str">
        <f t="shared" si="210"/>
        <v/>
      </c>
      <c r="E1300" s="4"/>
      <c r="F1300" s="46"/>
      <c r="G1300" s="4"/>
      <c r="H1300" s="48"/>
      <c r="J1300" s="26" t="str">
        <f t="shared" si="211"/>
        <v/>
      </c>
      <c r="N1300" t="str">
        <f t="shared" si="212"/>
        <v/>
      </c>
      <c r="Q1300" t="str">
        <f t="shared" si="213"/>
        <v/>
      </c>
      <c r="S1300" t="str">
        <f>IF(A1300=1,MAX($S$2:$S1299)+1,IF(OR($I1300&lt;&gt;"",A1300="x"),$S1299,""))</f>
        <v/>
      </c>
      <c r="T1300" t="str">
        <f>IF(D1300=1,MAX($T$2:$T1299)+1,IF(S1300=S1299,$T1299,IF(D1300="x",T1299,IF(D1299="x","",""))))</f>
        <v/>
      </c>
      <c r="U1300" t="str">
        <f>IF(B1300=1,MAX($U$2:$U1299)+1,IF(AND($T1300&lt;&gt;"",$T1300=$T1299),$U1299,IF(B1300="x",U1299,"")))</f>
        <v/>
      </c>
      <c r="V1300" t="str">
        <f>IF(C1300=1,MAX($V$2:$V1299)+1,IF(AND($T1300&lt;&gt;"",$T1300=$T1299),$U1299,IF(C1300="x",V1299,"")))</f>
        <v/>
      </c>
      <c r="X1300" cm="1">
        <f t="array" ref="X1300">IF($I1300&lt;&gt;"",$I1300,INDEX($I$1:$I1300,ROW()-COUNTIFS($T$1:$T1300,"="&amp;$T1300,$S$1:$S1300,"&lt;"&amp;$S1300)))</f>
        <v>0</v>
      </c>
      <c r="Z1300" s="6">
        <f t="shared" si="206"/>
        <v>1</v>
      </c>
      <c r="AA1300" t="e">
        <f t="shared" si="207"/>
        <v>#VALUE!</v>
      </c>
      <c r="AB1300" t="str">
        <f t="shared" si="208"/>
        <v/>
      </c>
      <c r="AC1300" t="e">
        <f t="shared" si="209"/>
        <v>#VALUE!</v>
      </c>
    </row>
    <row r="1301" spans="1:29" x14ac:dyDescent="0.2">
      <c r="A1301" t="str">
        <f t="shared" si="210"/>
        <v/>
      </c>
      <c r="E1301" s="4"/>
      <c r="F1301" s="46"/>
      <c r="G1301" s="4"/>
      <c r="H1301" s="48"/>
      <c r="J1301" s="26" t="str">
        <f t="shared" si="211"/>
        <v/>
      </c>
      <c r="N1301" t="str">
        <f t="shared" si="212"/>
        <v/>
      </c>
      <c r="Q1301" t="str">
        <f t="shared" si="213"/>
        <v/>
      </c>
      <c r="S1301" t="str">
        <f>IF(A1301=1,MAX($S$2:$S1300)+1,IF(OR($I1301&lt;&gt;"",A1301="x"),$S1300,""))</f>
        <v/>
      </c>
      <c r="T1301" t="str">
        <f>IF(D1301=1,MAX($T$2:$T1300)+1,IF(S1301=S1300,$T1300,IF(D1301="x",T1300,IF(D1300="x","",""))))</f>
        <v/>
      </c>
      <c r="U1301" t="str">
        <f>IF(B1301=1,MAX($U$2:$U1300)+1,IF(AND($T1301&lt;&gt;"",$T1301=$T1300),$U1300,IF(B1301="x",U1300,"")))</f>
        <v/>
      </c>
      <c r="V1301" t="str">
        <f>IF(C1301=1,MAX($V$2:$V1300)+1,IF(AND($T1301&lt;&gt;"",$T1301=$T1300),$U1300,IF(C1301="x",V1300,"")))</f>
        <v/>
      </c>
      <c r="X1301" cm="1">
        <f t="array" ref="X1301">IF($I1301&lt;&gt;"",$I1301,INDEX($I$1:$I1301,ROW()-COUNTIFS($T$1:$T1301,"="&amp;$T1301,$S$1:$S1301,"&lt;"&amp;$S1301)))</f>
        <v>0</v>
      </c>
      <c r="Z1301" s="6">
        <f t="shared" si="206"/>
        <v>1</v>
      </c>
      <c r="AA1301" t="e">
        <f t="shared" si="207"/>
        <v>#VALUE!</v>
      </c>
      <c r="AB1301" t="str">
        <f t="shared" si="208"/>
        <v/>
      </c>
      <c r="AC1301" t="e">
        <f t="shared" si="209"/>
        <v>#VALUE!</v>
      </c>
    </row>
    <row r="1302" spans="1:29" x14ac:dyDescent="0.2">
      <c r="A1302" t="str">
        <f t="shared" si="210"/>
        <v/>
      </c>
      <c r="E1302" s="4"/>
      <c r="F1302" s="46"/>
      <c r="G1302" s="4"/>
      <c r="H1302" s="48"/>
      <c r="J1302" s="26" t="str">
        <f t="shared" si="211"/>
        <v/>
      </c>
      <c r="N1302" t="str">
        <f t="shared" si="212"/>
        <v/>
      </c>
      <c r="Q1302" t="str">
        <f t="shared" si="213"/>
        <v/>
      </c>
      <c r="S1302" t="str">
        <f>IF(A1302=1,MAX($S$2:$S1301)+1,IF(OR($I1302&lt;&gt;"",A1302="x"),$S1301,""))</f>
        <v/>
      </c>
      <c r="T1302" t="str">
        <f>IF(D1302=1,MAX($T$2:$T1301)+1,IF(S1302=S1301,$T1301,IF(D1302="x",T1301,IF(D1301="x","",""))))</f>
        <v/>
      </c>
      <c r="U1302" t="str">
        <f>IF(B1302=1,MAX($U$2:$U1301)+1,IF(AND($T1302&lt;&gt;"",$T1302=$T1301),$U1301,IF(B1302="x",U1301,"")))</f>
        <v/>
      </c>
      <c r="V1302" t="str">
        <f>IF(C1302=1,MAX($V$2:$V1301)+1,IF(AND($T1302&lt;&gt;"",$T1302=$T1301),$U1301,IF(C1302="x",V1301,"")))</f>
        <v/>
      </c>
      <c r="X1302" cm="1">
        <f t="array" ref="X1302">IF($I1302&lt;&gt;"",$I1302,INDEX($I$1:$I1302,ROW()-COUNTIFS($T$1:$T1302,"="&amp;$T1302,$S$1:$S1302,"&lt;"&amp;$S1302)))</f>
        <v>0</v>
      </c>
      <c r="Z1302" s="6">
        <f t="shared" si="206"/>
        <v>1</v>
      </c>
      <c r="AA1302" t="e">
        <f t="shared" si="207"/>
        <v>#VALUE!</v>
      </c>
      <c r="AB1302" t="str">
        <f t="shared" si="208"/>
        <v/>
      </c>
      <c r="AC1302" t="e">
        <f t="shared" si="209"/>
        <v>#VALUE!</v>
      </c>
    </row>
    <row r="1303" spans="1:29" x14ac:dyDescent="0.2">
      <c r="A1303" t="str">
        <f t="shared" si="210"/>
        <v/>
      </c>
      <c r="E1303" s="4"/>
      <c r="F1303" s="46"/>
      <c r="G1303" s="4"/>
      <c r="H1303" s="48"/>
      <c r="J1303" s="26" t="str">
        <f t="shared" si="211"/>
        <v/>
      </c>
      <c r="N1303" t="str">
        <f t="shared" si="212"/>
        <v/>
      </c>
      <c r="Q1303" t="str">
        <f t="shared" si="213"/>
        <v/>
      </c>
      <c r="S1303" t="str">
        <f>IF(A1303=1,MAX($S$2:$S1302)+1,IF(OR($I1303&lt;&gt;"",A1303="x"),$S1302,""))</f>
        <v/>
      </c>
      <c r="T1303" t="str">
        <f>IF(D1303=1,MAX($T$2:$T1302)+1,IF(S1303=S1302,$T1302,IF(D1303="x",T1302,IF(D1302="x","",""))))</f>
        <v/>
      </c>
      <c r="U1303" t="str">
        <f>IF(B1303=1,MAX($U$2:$U1302)+1,IF(AND($T1303&lt;&gt;"",$T1303=$T1302),$U1302,IF(B1303="x",U1302,"")))</f>
        <v/>
      </c>
      <c r="V1303" t="str">
        <f>IF(C1303=1,MAX($V$2:$V1302)+1,IF(AND($T1303&lt;&gt;"",$T1303=$T1302),$U1302,IF(C1303="x",V1302,"")))</f>
        <v/>
      </c>
      <c r="X1303" cm="1">
        <f t="array" ref="X1303">IF($I1303&lt;&gt;"",$I1303,INDEX($I$1:$I1303,ROW()-COUNTIFS($T$1:$T1303,"="&amp;$T1303,$S$1:$S1303,"&lt;"&amp;$S1303)))</f>
        <v>0</v>
      </c>
      <c r="Z1303" s="6">
        <f t="shared" si="206"/>
        <v>1</v>
      </c>
      <c r="AA1303" t="e">
        <f t="shared" si="207"/>
        <v>#VALUE!</v>
      </c>
      <c r="AB1303" t="str">
        <f t="shared" si="208"/>
        <v/>
      </c>
      <c r="AC1303" t="e">
        <f t="shared" si="209"/>
        <v>#VALUE!</v>
      </c>
    </row>
    <row r="1304" spans="1:29" x14ac:dyDescent="0.2">
      <c r="A1304" t="str">
        <f t="shared" si="210"/>
        <v/>
      </c>
      <c r="E1304" s="4"/>
      <c r="F1304" s="46"/>
      <c r="G1304" s="4"/>
      <c r="H1304" s="48"/>
      <c r="J1304" s="26" t="str">
        <f t="shared" si="211"/>
        <v/>
      </c>
      <c r="N1304" t="str">
        <f t="shared" si="212"/>
        <v/>
      </c>
      <c r="Q1304" t="str">
        <f t="shared" si="213"/>
        <v/>
      </c>
      <c r="S1304" t="str">
        <f>IF(A1304=1,MAX($S$2:$S1303)+1,IF(OR($I1304&lt;&gt;"",A1304="x"),$S1303,""))</f>
        <v/>
      </c>
      <c r="T1304" t="str">
        <f>IF(D1304=1,MAX($T$2:$T1303)+1,IF(S1304=S1303,$T1303,IF(D1304="x",T1303,IF(D1303="x","",""))))</f>
        <v/>
      </c>
      <c r="U1304" t="str">
        <f>IF(B1304=1,MAX($U$2:$U1303)+1,IF(AND($T1304&lt;&gt;"",$T1304=$T1303),$U1303,IF(B1304="x",U1303,"")))</f>
        <v/>
      </c>
      <c r="V1304" t="str">
        <f>IF(C1304=1,MAX($V$2:$V1303)+1,IF(AND($T1304&lt;&gt;"",$T1304=$T1303),$U1303,IF(C1304="x",V1303,"")))</f>
        <v/>
      </c>
      <c r="X1304" cm="1">
        <f t="array" ref="X1304">IF($I1304&lt;&gt;"",$I1304,INDEX($I$1:$I1304,ROW()-COUNTIFS($T$1:$T1304,"="&amp;$T1304,$S$1:$S1304,"&lt;"&amp;$S1304)))</f>
        <v>0</v>
      </c>
      <c r="Z1304" s="6">
        <f t="shared" si="206"/>
        <v>1</v>
      </c>
      <c r="AA1304" t="e">
        <f t="shared" si="207"/>
        <v>#VALUE!</v>
      </c>
      <c r="AB1304" t="str">
        <f t="shared" si="208"/>
        <v/>
      </c>
      <c r="AC1304" t="e">
        <f t="shared" si="209"/>
        <v>#VALUE!</v>
      </c>
    </row>
    <row r="1305" spans="1:29" x14ac:dyDescent="0.2">
      <c r="A1305" t="str">
        <f t="shared" si="210"/>
        <v/>
      </c>
      <c r="E1305" s="4"/>
      <c r="F1305" s="46"/>
      <c r="G1305" s="4"/>
      <c r="H1305" s="48"/>
      <c r="J1305" s="26" t="str">
        <f t="shared" si="211"/>
        <v/>
      </c>
      <c r="N1305" t="str">
        <f t="shared" si="212"/>
        <v/>
      </c>
      <c r="Q1305" t="str">
        <f t="shared" si="213"/>
        <v/>
      </c>
      <c r="S1305" t="str">
        <f>IF(A1305=1,MAX($S$2:$S1304)+1,IF(OR($I1305&lt;&gt;"",A1305="x"),$S1304,""))</f>
        <v/>
      </c>
      <c r="T1305" t="str">
        <f>IF(D1305=1,MAX($T$2:$T1304)+1,IF(S1305=S1304,$T1304,IF(D1305="x",T1304,IF(D1304="x","",""))))</f>
        <v/>
      </c>
      <c r="U1305" t="str">
        <f>IF(B1305=1,MAX($U$2:$U1304)+1,IF(AND($T1305&lt;&gt;"",$T1305=$T1304),$U1304,IF(B1305="x",U1304,"")))</f>
        <v/>
      </c>
      <c r="V1305" t="str">
        <f>IF(C1305=1,MAX($V$2:$V1304)+1,IF(AND($T1305&lt;&gt;"",$T1305=$T1304),$U1304,IF(C1305="x",V1304,"")))</f>
        <v/>
      </c>
      <c r="X1305" cm="1">
        <f t="array" ref="X1305">IF($I1305&lt;&gt;"",$I1305,INDEX($I$1:$I1305,ROW()-COUNTIFS($T$1:$T1305,"="&amp;$T1305,$S$1:$S1305,"&lt;"&amp;$S1305)))</f>
        <v>0</v>
      </c>
      <c r="Z1305" s="6">
        <f t="shared" si="206"/>
        <v>1</v>
      </c>
      <c r="AA1305" t="e">
        <f t="shared" si="207"/>
        <v>#VALUE!</v>
      </c>
      <c r="AB1305" t="str">
        <f t="shared" si="208"/>
        <v/>
      </c>
      <c r="AC1305" t="e">
        <f t="shared" si="209"/>
        <v>#VALUE!</v>
      </c>
    </row>
    <row r="1306" spans="1:29" x14ac:dyDescent="0.2">
      <c r="A1306" t="str">
        <f t="shared" si="210"/>
        <v/>
      </c>
      <c r="E1306" s="4"/>
      <c r="F1306" s="46"/>
      <c r="G1306" s="4"/>
      <c r="H1306" s="48"/>
      <c r="J1306" s="26" t="str">
        <f t="shared" si="211"/>
        <v/>
      </c>
      <c r="N1306" t="str">
        <f t="shared" si="212"/>
        <v/>
      </c>
      <c r="Q1306" t="str">
        <f t="shared" si="213"/>
        <v/>
      </c>
      <c r="S1306" t="str">
        <f>IF(A1306=1,MAX($S$2:$S1305)+1,IF(OR($I1306&lt;&gt;"",A1306="x"),$S1305,""))</f>
        <v/>
      </c>
      <c r="T1306" t="str">
        <f>IF(D1306=1,MAX($T$2:$T1305)+1,IF(S1306=S1305,$T1305,IF(D1306="x",T1305,IF(D1305="x","",""))))</f>
        <v/>
      </c>
      <c r="U1306" t="str">
        <f>IF(B1306=1,MAX($U$2:$U1305)+1,IF(AND($T1306&lt;&gt;"",$T1306=$T1305),$U1305,IF(B1306="x",U1305,"")))</f>
        <v/>
      </c>
      <c r="V1306" t="str">
        <f>IF(C1306=1,MAX($V$2:$V1305)+1,IF(AND($T1306&lt;&gt;"",$T1306=$T1305),$U1305,IF(C1306="x",V1305,"")))</f>
        <v/>
      </c>
      <c r="X1306" cm="1">
        <f t="array" ref="X1306">IF($I1306&lt;&gt;"",$I1306,INDEX($I$1:$I1306,ROW()-COUNTIFS($T$1:$T1306,"="&amp;$T1306,$S$1:$S1306,"&lt;"&amp;$S1306)))</f>
        <v>0</v>
      </c>
      <c r="Z1306" s="6">
        <f t="shared" si="206"/>
        <v>1</v>
      </c>
      <c r="AA1306" t="e">
        <f t="shared" si="207"/>
        <v>#VALUE!</v>
      </c>
      <c r="AB1306" t="str">
        <f t="shared" si="208"/>
        <v/>
      </c>
      <c r="AC1306" t="e">
        <f t="shared" si="209"/>
        <v>#VALUE!</v>
      </c>
    </row>
    <row r="1307" spans="1:29" x14ac:dyDescent="0.2">
      <c r="A1307" t="str">
        <f t="shared" si="210"/>
        <v/>
      </c>
      <c r="E1307" s="4"/>
      <c r="F1307" s="46"/>
      <c r="G1307" s="4"/>
      <c r="H1307" s="48"/>
      <c r="J1307" s="26" t="str">
        <f t="shared" si="211"/>
        <v/>
      </c>
      <c r="N1307" t="str">
        <f t="shared" si="212"/>
        <v/>
      </c>
      <c r="Q1307" t="str">
        <f t="shared" si="213"/>
        <v/>
      </c>
      <c r="S1307" t="str">
        <f>IF(A1307=1,MAX($S$2:$S1306)+1,IF(OR($I1307&lt;&gt;"",A1307="x"),$S1306,""))</f>
        <v/>
      </c>
      <c r="T1307" t="str">
        <f>IF(D1307=1,MAX($T$2:$T1306)+1,IF(S1307=S1306,$T1306,IF(D1307="x",T1306,IF(D1306="x","",""))))</f>
        <v/>
      </c>
      <c r="U1307" t="str">
        <f>IF(B1307=1,MAX($U$2:$U1306)+1,IF(AND($T1307&lt;&gt;"",$T1307=$T1306),$U1306,IF(B1307="x",U1306,"")))</f>
        <v/>
      </c>
      <c r="V1307" t="str">
        <f>IF(C1307=1,MAX($V$2:$V1306)+1,IF(AND($T1307&lt;&gt;"",$T1307=$T1306),$U1306,IF(C1307="x",V1306,"")))</f>
        <v/>
      </c>
      <c r="X1307" cm="1">
        <f t="array" ref="X1307">IF($I1307&lt;&gt;"",$I1307,INDEX($I$1:$I1307,ROW()-COUNTIFS($T$1:$T1307,"="&amp;$T1307,$S$1:$S1307,"&lt;"&amp;$S1307)))</f>
        <v>0</v>
      </c>
      <c r="Z1307" s="6">
        <f t="shared" si="206"/>
        <v>1</v>
      </c>
      <c r="AA1307" t="e">
        <f t="shared" si="207"/>
        <v>#VALUE!</v>
      </c>
      <c r="AB1307" t="str">
        <f t="shared" si="208"/>
        <v/>
      </c>
      <c r="AC1307" t="e">
        <f t="shared" si="209"/>
        <v>#VALUE!</v>
      </c>
    </row>
    <row r="1308" spans="1:29" x14ac:dyDescent="0.2">
      <c r="A1308" t="str">
        <f t="shared" si="210"/>
        <v/>
      </c>
      <c r="E1308" s="4"/>
      <c r="F1308" s="46"/>
      <c r="G1308" s="4"/>
      <c r="H1308" s="48"/>
      <c r="J1308" s="26" t="str">
        <f t="shared" si="211"/>
        <v/>
      </c>
      <c r="N1308" t="str">
        <f t="shared" si="212"/>
        <v/>
      </c>
      <c r="Q1308" t="str">
        <f t="shared" si="213"/>
        <v/>
      </c>
      <c r="S1308" t="str">
        <f>IF(A1308=1,MAX($S$2:$S1307)+1,IF(OR($I1308&lt;&gt;"",A1308="x"),$S1307,""))</f>
        <v/>
      </c>
      <c r="T1308" t="str">
        <f>IF(D1308=1,MAX($T$2:$T1307)+1,IF(S1308=S1307,$T1307,IF(D1308="x",T1307,IF(D1307="x","",""))))</f>
        <v/>
      </c>
      <c r="U1308" t="str">
        <f>IF(B1308=1,MAX($U$2:$U1307)+1,IF(AND($T1308&lt;&gt;"",$T1308=$T1307),$U1307,IF(B1308="x",U1307,"")))</f>
        <v/>
      </c>
      <c r="V1308" t="str">
        <f>IF(C1308=1,MAX($V$2:$V1307)+1,IF(AND($T1308&lt;&gt;"",$T1308=$T1307),$U1307,IF(C1308="x",V1307,"")))</f>
        <v/>
      </c>
      <c r="X1308" cm="1">
        <f t="array" ref="X1308">IF($I1308&lt;&gt;"",$I1308,INDEX($I$1:$I1308,ROW()-COUNTIFS($T$1:$T1308,"="&amp;$T1308,$S$1:$S1308,"&lt;"&amp;$S1308)))</f>
        <v>0</v>
      </c>
      <c r="Z1308" s="6">
        <f t="shared" si="206"/>
        <v>1</v>
      </c>
      <c r="AA1308" t="e">
        <f t="shared" si="207"/>
        <v>#VALUE!</v>
      </c>
      <c r="AB1308" t="str">
        <f t="shared" si="208"/>
        <v/>
      </c>
      <c r="AC1308" t="e">
        <f t="shared" si="209"/>
        <v>#VALUE!</v>
      </c>
    </row>
    <row r="1309" spans="1:29" x14ac:dyDescent="0.2">
      <c r="A1309" t="str">
        <f t="shared" si="210"/>
        <v/>
      </c>
      <c r="E1309" s="4"/>
      <c r="F1309" s="46"/>
      <c r="G1309" s="4"/>
      <c r="H1309" s="48"/>
      <c r="J1309" s="26" t="str">
        <f t="shared" si="211"/>
        <v/>
      </c>
      <c r="N1309" t="str">
        <f t="shared" si="212"/>
        <v/>
      </c>
      <c r="Q1309" t="str">
        <f t="shared" si="213"/>
        <v/>
      </c>
      <c r="S1309" t="str">
        <f>IF(A1309=1,MAX($S$2:$S1308)+1,IF(OR($I1309&lt;&gt;"",A1309="x"),$S1308,""))</f>
        <v/>
      </c>
      <c r="T1309" t="str">
        <f>IF(D1309=1,MAX($T$2:$T1308)+1,IF(S1309=S1308,$T1308,IF(D1309="x",T1308,IF(D1308="x","",""))))</f>
        <v/>
      </c>
      <c r="U1309" t="str">
        <f>IF(B1309=1,MAX($U$2:$U1308)+1,IF(AND($T1309&lt;&gt;"",$T1309=$T1308),$U1308,IF(B1309="x",U1308,"")))</f>
        <v/>
      </c>
      <c r="V1309" t="str">
        <f>IF(C1309=1,MAX($V$2:$V1308)+1,IF(AND($T1309&lt;&gt;"",$T1309=$T1308),$U1308,IF(C1309="x",V1308,"")))</f>
        <v/>
      </c>
      <c r="X1309" cm="1">
        <f t="array" ref="X1309">IF($I1309&lt;&gt;"",$I1309,INDEX($I$1:$I1309,ROW()-COUNTIFS($T$1:$T1309,"="&amp;$T1309,$S$1:$S1309,"&lt;"&amp;$S1309)))</f>
        <v>0</v>
      </c>
      <c r="Z1309" s="6">
        <f t="shared" si="206"/>
        <v>1</v>
      </c>
      <c r="AA1309" t="e">
        <f t="shared" si="207"/>
        <v>#VALUE!</v>
      </c>
      <c r="AB1309" t="str">
        <f t="shared" si="208"/>
        <v/>
      </c>
      <c r="AC1309" t="e">
        <f t="shared" si="209"/>
        <v>#VALUE!</v>
      </c>
    </row>
    <row r="1310" spans="1:29" x14ac:dyDescent="0.2">
      <c r="A1310" t="str">
        <f t="shared" si="210"/>
        <v/>
      </c>
      <c r="E1310" s="4"/>
      <c r="F1310" s="46"/>
      <c r="G1310" s="4"/>
      <c r="H1310" s="48"/>
      <c r="J1310" s="26" t="str">
        <f t="shared" si="211"/>
        <v/>
      </c>
      <c r="N1310" t="str">
        <f t="shared" si="212"/>
        <v/>
      </c>
      <c r="Q1310" t="str">
        <f t="shared" si="213"/>
        <v/>
      </c>
      <c r="S1310" t="str">
        <f>IF(A1310=1,MAX($S$2:$S1309)+1,IF(OR($I1310&lt;&gt;"",A1310="x"),$S1309,""))</f>
        <v/>
      </c>
      <c r="T1310" t="str">
        <f>IF(D1310=1,MAX($T$2:$T1309)+1,IF(S1310=S1309,$T1309,IF(D1310="x",T1309,IF(D1309="x","",""))))</f>
        <v/>
      </c>
      <c r="U1310" t="str">
        <f>IF(B1310=1,MAX($U$2:$U1309)+1,IF(AND($T1310&lt;&gt;"",$T1310=$T1309),$U1309,IF(B1310="x",U1309,"")))</f>
        <v/>
      </c>
      <c r="V1310" t="str">
        <f>IF(C1310=1,MAX($V$2:$V1309)+1,IF(AND($T1310&lt;&gt;"",$T1310=$T1309),$U1309,IF(C1310="x",V1309,"")))</f>
        <v/>
      </c>
      <c r="X1310" cm="1">
        <f t="array" ref="X1310">IF($I1310&lt;&gt;"",$I1310,INDEX($I$1:$I1310,ROW()-COUNTIFS($T$1:$T1310,"="&amp;$T1310,$S$1:$S1310,"&lt;"&amp;$S1310)))</f>
        <v>0</v>
      </c>
      <c r="Z1310" s="6">
        <f t="shared" si="206"/>
        <v>1</v>
      </c>
      <c r="AA1310" t="e">
        <f t="shared" si="207"/>
        <v>#VALUE!</v>
      </c>
      <c r="AB1310" t="str">
        <f t="shared" si="208"/>
        <v/>
      </c>
      <c r="AC1310" t="e">
        <f t="shared" si="209"/>
        <v>#VALUE!</v>
      </c>
    </row>
    <row r="1311" spans="1:29" x14ac:dyDescent="0.2">
      <c r="A1311" t="str">
        <f t="shared" si="210"/>
        <v/>
      </c>
      <c r="E1311" s="4"/>
      <c r="F1311" s="46"/>
      <c r="G1311" s="4"/>
      <c r="H1311" s="48"/>
      <c r="J1311" s="26" t="str">
        <f t="shared" si="211"/>
        <v/>
      </c>
      <c r="N1311" t="str">
        <f t="shared" si="212"/>
        <v/>
      </c>
      <c r="Q1311" t="str">
        <f t="shared" si="213"/>
        <v/>
      </c>
      <c r="S1311" t="str">
        <f>IF(A1311=1,MAX($S$2:$S1310)+1,IF(OR($I1311&lt;&gt;"",A1311="x"),$S1310,""))</f>
        <v/>
      </c>
      <c r="T1311" t="str">
        <f>IF(D1311=1,MAX($T$2:$T1310)+1,IF(S1311=S1310,$T1310,IF(D1311="x",T1310,IF(D1310="x","",""))))</f>
        <v/>
      </c>
      <c r="U1311" t="str">
        <f>IF(B1311=1,MAX($U$2:$U1310)+1,IF(AND($T1311&lt;&gt;"",$T1311=$T1310),$U1310,IF(B1311="x",U1310,"")))</f>
        <v/>
      </c>
      <c r="V1311" t="str">
        <f>IF(C1311=1,MAX($V$2:$V1310)+1,IF(AND($T1311&lt;&gt;"",$T1311=$T1310),$U1310,IF(C1311="x",V1310,"")))</f>
        <v/>
      </c>
      <c r="X1311" cm="1">
        <f t="array" ref="X1311">IF($I1311&lt;&gt;"",$I1311,INDEX($I$1:$I1311,ROW()-COUNTIFS($T$1:$T1311,"="&amp;$T1311,$S$1:$S1311,"&lt;"&amp;$S1311)))</f>
        <v>0</v>
      </c>
      <c r="Z1311" s="6">
        <f t="shared" si="206"/>
        <v>1</v>
      </c>
      <c r="AA1311" t="e">
        <f t="shared" si="207"/>
        <v>#VALUE!</v>
      </c>
      <c r="AB1311" t="str">
        <f t="shared" si="208"/>
        <v/>
      </c>
      <c r="AC1311" t="e">
        <f t="shared" si="209"/>
        <v>#VALUE!</v>
      </c>
    </row>
    <row r="1312" spans="1:29" x14ac:dyDescent="0.2">
      <c r="A1312" t="str">
        <f t="shared" si="210"/>
        <v/>
      </c>
      <c r="E1312" s="4"/>
      <c r="F1312" s="46"/>
      <c r="G1312" s="4"/>
      <c r="H1312" s="48"/>
      <c r="J1312" s="26" t="str">
        <f t="shared" si="211"/>
        <v/>
      </c>
      <c r="N1312" t="str">
        <f t="shared" si="212"/>
        <v/>
      </c>
      <c r="Q1312" t="str">
        <f t="shared" si="213"/>
        <v/>
      </c>
      <c r="S1312" t="str">
        <f>IF(A1312=1,MAX($S$2:$S1311)+1,IF(OR($I1312&lt;&gt;"",A1312="x"),$S1311,""))</f>
        <v/>
      </c>
      <c r="T1312" t="str">
        <f>IF(D1312=1,MAX($T$2:$T1311)+1,IF(S1312=S1311,$T1311,IF(D1312="x",T1311,IF(D1311="x","",""))))</f>
        <v/>
      </c>
      <c r="U1312" t="str">
        <f>IF(B1312=1,MAX($U$2:$U1311)+1,IF(AND($T1312&lt;&gt;"",$T1312=$T1311),$U1311,IF(B1312="x",U1311,"")))</f>
        <v/>
      </c>
      <c r="V1312" t="str">
        <f>IF(C1312=1,MAX($V$2:$V1311)+1,IF(AND($T1312&lt;&gt;"",$T1312=$T1311),$U1311,IF(C1312="x",V1311,"")))</f>
        <v/>
      </c>
      <c r="X1312" cm="1">
        <f t="array" ref="X1312">IF($I1312&lt;&gt;"",$I1312,INDEX($I$1:$I1312,ROW()-COUNTIFS($T$1:$T1312,"="&amp;$T1312,$S$1:$S1312,"&lt;"&amp;$S1312)))</f>
        <v>0</v>
      </c>
      <c r="Z1312" s="6">
        <f t="shared" si="206"/>
        <v>1</v>
      </c>
      <c r="AA1312" t="e">
        <f t="shared" si="207"/>
        <v>#VALUE!</v>
      </c>
      <c r="AB1312" t="str">
        <f t="shared" si="208"/>
        <v/>
      </c>
      <c r="AC1312" t="e">
        <f t="shared" si="209"/>
        <v>#VALUE!</v>
      </c>
    </row>
    <row r="1313" spans="1:29" x14ac:dyDescent="0.2">
      <c r="A1313" t="str">
        <f t="shared" si="210"/>
        <v/>
      </c>
      <c r="E1313" s="4"/>
      <c r="F1313" s="46"/>
      <c r="G1313" s="4"/>
      <c r="H1313" s="48"/>
      <c r="J1313" s="26" t="str">
        <f t="shared" si="211"/>
        <v/>
      </c>
      <c r="N1313" t="str">
        <f t="shared" si="212"/>
        <v/>
      </c>
      <c r="Q1313" t="str">
        <f t="shared" si="213"/>
        <v/>
      </c>
      <c r="S1313" t="str">
        <f>IF(A1313=1,MAX($S$2:$S1312)+1,IF(OR($I1313&lt;&gt;"",A1313="x"),$S1312,""))</f>
        <v/>
      </c>
      <c r="T1313" t="str">
        <f>IF(D1313=1,MAX($T$2:$T1312)+1,IF(S1313=S1312,$T1312,IF(D1313="x",T1312,IF(D1312="x","",""))))</f>
        <v/>
      </c>
      <c r="U1313" t="str">
        <f>IF(B1313=1,MAX($U$2:$U1312)+1,IF(AND($T1313&lt;&gt;"",$T1313=$T1312),$U1312,IF(B1313="x",U1312,"")))</f>
        <v/>
      </c>
      <c r="V1313" t="str">
        <f>IF(C1313=1,MAX($V$2:$V1312)+1,IF(AND($T1313&lt;&gt;"",$T1313=$T1312),$U1312,IF(C1313="x",V1312,"")))</f>
        <v/>
      </c>
      <c r="X1313" cm="1">
        <f t="array" ref="X1313">IF($I1313&lt;&gt;"",$I1313,INDEX($I$1:$I1313,ROW()-COUNTIFS($T$1:$T1313,"="&amp;$T1313,$S$1:$S1313,"&lt;"&amp;$S1313)))</f>
        <v>0</v>
      </c>
      <c r="Z1313" s="6">
        <f t="shared" si="206"/>
        <v>1</v>
      </c>
      <c r="AA1313" t="e">
        <f t="shared" si="207"/>
        <v>#VALUE!</v>
      </c>
      <c r="AB1313" t="str">
        <f t="shared" si="208"/>
        <v/>
      </c>
      <c r="AC1313" t="e">
        <f t="shared" si="209"/>
        <v>#VALUE!</v>
      </c>
    </row>
    <row r="1314" spans="1:29" x14ac:dyDescent="0.2">
      <c r="A1314" t="str">
        <f t="shared" si="210"/>
        <v/>
      </c>
      <c r="E1314" s="4"/>
      <c r="F1314" s="46"/>
      <c r="G1314" s="4"/>
      <c r="H1314" s="48"/>
      <c r="J1314" s="26" t="str">
        <f t="shared" si="211"/>
        <v/>
      </c>
      <c r="N1314" t="str">
        <f t="shared" si="212"/>
        <v/>
      </c>
      <c r="Q1314" t="str">
        <f t="shared" si="213"/>
        <v/>
      </c>
      <c r="S1314" t="str">
        <f>IF(A1314=1,MAX($S$2:$S1313)+1,IF(OR($I1314&lt;&gt;"",A1314="x"),$S1313,""))</f>
        <v/>
      </c>
      <c r="T1314" t="str">
        <f>IF(D1314=1,MAX($T$2:$T1313)+1,IF(S1314=S1313,$T1313,IF(D1314="x",T1313,IF(D1313="x","",""))))</f>
        <v/>
      </c>
      <c r="U1314" t="str">
        <f>IF(B1314=1,MAX($U$2:$U1313)+1,IF(AND($T1314&lt;&gt;"",$T1314=$T1313),$U1313,IF(B1314="x",U1313,"")))</f>
        <v/>
      </c>
      <c r="V1314" t="str">
        <f>IF(C1314=1,MAX($V$2:$V1313)+1,IF(AND($T1314&lt;&gt;"",$T1314=$T1313),$U1313,IF(C1314="x",V1313,"")))</f>
        <v/>
      </c>
      <c r="X1314" cm="1">
        <f t="array" ref="X1314">IF($I1314&lt;&gt;"",$I1314,INDEX($I$1:$I1314,ROW()-COUNTIFS($T$1:$T1314,"="&amp;$T1314,$S$1:$S1314,"&lt;"&amp;$S1314)))</f>
        <v>0</v>
      </c>
      <c r="Z1314" s="6">
        <f t="shared" si="206"/>
        <v>1</v>
      </c>
      <c r="AA1314" t="e">
        <f t="shared" si="207"/>
        <v>#VALUE!</v>
      </c>
      <c r="AB1314" t="str">
        <f t="shared" si="208"/>
        <v/>
      </c>
      <c r="AC1314" t="e">
        <f t="shared" si="209"/>
        <v>#VALUE!</v>
      </c>
    </row>
    <row r="1315" spans="1:29" x14ac:dyDescent="0.2">
      <c r="A1315" t="str">
        <f t="shared" si="210"/>
        <v/>
      </c>
      <c r="E1315" s="4"/>
      <c r="F1315" s="46"/>
      <c r="G1315" s="4"/>
      <c r="H1315" s="48"/>
      <c r="J1315" s="26" t="str">
        <f t="shared" si="211"/>
        <v/>
      </c>
      <c r="N1315" t="str">
        <f t="shared" si="212"/>
        <v/>
      </c>
      <c r="Q1315" t="str">
        <f t="shared" si="213"/>
        <v/>
      </c>
      <c r="S1315" t="str">
        <f>IF(A1315=1,MAX($S$2:$S1314)+1,IF(OR($I1315&lt;&gt;"",A1315="x"),$S1314,""))</f>
        <v/>
      </c>
      <c r="T1315" t="str">
        <f>IF(D1315=1,MAX($T$2:$T1314)+1,IF(S1315=S1314,$T1314,IF(D1315="x",T1314,IF(D1314="x","",""))))</f>
        <v/>
      </c>
      <c r="U1315" t="str">
        <f>IF(B1315=1,MAX($U$2:$U1314)+1,IF(AND($T1315&lt;&gt;"",$T1315=$T1314),$U1314,IF(B1315="x",U1314,"")))</f>
        <v/>
      </c>
      <c r="V1315" t="str">
        <f>IF(C1315=1,MAX($V$2:$V1314)+1,IF(AND($T1315&lt;&gt;"",$T1315=$T1314),$U1314,IF(C1315="x",V1314,"")))</f>
        <v/>
      </c>
      <c r="X1315" cm="1">
        <f t="array" ref="X1315">IF($I1315&lt;&gt;"",$I1315,INDEX($I$1:$I1315,ROW()-COUNTIFS($T$1:$T1315,"="&amp;$T1315,$S$1:$S1315,"&lt;"&amp;$S1315)))</f>
        <v>0</v>
      </c>
      <c r="Z1315" s="6">
        <f t="shared" si="206"/>
        <v>1</v>
      </c>
      <c r="AA1315" t="e">
        <f t="shared" si="207"/>
        <v>#VALUE!</v>
      </c>
      <c r="AB1315" t="str">
        <f t="shared" si="208"/>
        <v/>
      </c>
      <c r="AC1315" t="e">
        <f t="shared" si="209"/>
        <v>#VALUE!</v>
      </c>
    </row>
    <row r="1316" spans="1:29" x14ac:dyDescent="0.2">
      <c r="A1316" t="str">
        <f t="shared" si="210"/>
        <v/>
      </c>
      <c r="E1316" s="4"/>
      <c r="F1316" s="46"/>
      <c r="G1316" s="4"/>
      <c r="H1316" s="48"/>
      <c r="J1316" s="26" t="str">
        <f t="shared" si="211"/>
        <v/>
      </c>
      <c r="N1316" t="str">
        <f t="shared" si="212"/>
        <v/>
      </c>
      <c r="Q1316" t="str">
        <f t="shared" si="213"/>
        <v/>
      </c>
      <c r="S1316" t="str">
        <f>IF(A1316=1,MAX($S$2:$S1315)+1,IF(OR($I1316&lt;&gt;"",A1316="x"),$S1315,""))</f>
        <v/>
      </c>
      <c r="T1316" t="str">
        <f>IF(D1316=1,MAX($T$2:$T1315)+1,IF(S1316=S1315,$T1315,IF(D1316="x",T1315,IF(D1315="x","",""))))</f>
        <v/>
      </c>
      <c r="U1316" t="str">
        <f>IF(B1316=1,MAX($U$2:$U1315)+1,IF(AND($T1316&lt;&gt;"",$T1316=$T1315),$U1315,IF(B1316="x",U1315,"")))</f>
        <v/>
      </c>
      <c r="V1316" t="str">
        <f>IF(C1316=1,MAX($V$2:$V1315)+1,IF(AND($T1316&lt;&gt;"",$T1316=$T1315),$U1315,IF(C1316="x",V1315,"")))</f>
        <v/>
      </c>
      <c r="X1316" cm="1">
        <f t="array" ref="X1316">IF($I1316&lt;&gt;"",$I1316,INDEX($I$1:$I1316,ROW()-COUNTIFS($T$1:$T1316,"="&amp;$T1316,$S$1:$S1316,"&lt;"&amp;$S1316)))</f>
        <v>0</v>
      </c>
      <c r="Z1316" s="6">
        <f t="shared" si="206"/>
        <v>1</v>
      </c>
      <c r="AA1316" t="e">
        <f t="shared" si="207"/>
        <v>#VALUE!</v>
      </c>
      <c r="AB1316" t="str">
        <f t="shared" si="208"/>
        <v/>
      </c>
      <c r="AC1316" t="e">
        <f t="shared" si="209"/>
        <v>#VALUE!</v>
      </c>
    </row>
    <row r="1317" spans="1:29" x14ac:dyDescent="0.2">
      <c r="A1317" t="str">
        <f t="shared" si="210"/>
        <v/>
      </c>
      <c r="E1317" s="4"/>
      <c r="F1317" s="46"/>
      <c r="G1317" s="4"/>
      <c r="H1317" s="48"/>
      <c r="J1317" s="26" t="str">
        <f t="shared" si="211"/>
        <v/>
      </c>
      <c r="N1317" t="str">
        <f t="shared" si="212"/>
        <v/>
      </c>
      <c r="Q1317" t="str">
        <f t="shared" si="213"/>
        <v/>
      </c>
      <c r="S1317" t="str">
        <f>IF(A1317=1,MAX($S$2:$S1316)+1,IF(OR($I1317&lt;&gt;"",A1317="x"),$S1316,""))</f>
        <v/>
      </c>
      <c r="T1317" t="str">
        <f>IF(D1317=1,MAX($T$2:$T1316)+1,IF(S1317=S1316,$T1316,IF(D1317="x",T1316,IF(D1316="x","",""))))</f>
        <v/>
      </c>
      <c r="U1317" t="str">
        <f>IF(B1317=1,MAX($U$2:$U1316)+1,IF(AND($T1317&lt;&gt;"",$T1317=$T1316),$U1316,IF(B1317="x",U1316,"")))</f>
        <v/>
      </c>
      <c r="V1317" t="str">
        <f>IF(C1317=1,MAX($V$2:$V1316)+1,IF(AND($T1317&lt;&gt;"",$T1317=$T1316),$U1316,IF(C1317="x",V1316,"")))</f>
        <v/>
      </c>
      <c r="X1317" cm="1">
        <f t="array" ref="X1317">IF($I1317&lt;&gt;"",$I1317,INDEX($I$1:$I1317,ROW()-COUNTIFS($T$1:$T1317,"="&amp;$T1317,$S$1:$S1317,"&lt;"&amp;$S1317)))</f>
        <v>0</v>
      </c>
      <c r="Z1317" s="6">
        <f t="shared" si="206"/>
        <v>1</v>
      </c>
      <c r="AA1317" t="e">
        <f t="shared" si="207"/>
        <v>#VALUE!</v>
      </c>
      <c r="AB1317" t="str">
        <f t="shared" si="208"/>
        <v/>
      </c>
      <c r="AC1317" t="e">
        <f t="shared" si="209"/>
        <v>#VALUE!</v>
      </c>
    </row>
    <row r="1318" spans="1:29" x14ac:dyDescent="0.2">
      <c r="A1318" t="str">
        <f t="shared" si="210"/>
        <v/>
      </c>
      <c r="E1318" s="4"/>
      <c r="F1318" s="46"/>
      <c r="G1318" s="4"/>
      <c r="H1318" s="48"/>
      <c r="J1318" s="26" t="str">
        <f t="shared" si="211"/>
        <v/>
      </c>
      <c r="N1318" t="str">
        <f t="shared" si="212"/>
        <v/>
      </c>
      <c r="Q1318" t="str">
        <f t="shared" si="213"/>
        <v/>
      </c>
      <c r="S1318" t="str">
        <f>IF(A1318=1,MAX($S$2:$S1317)+1,IF(OR($I1318&lt;&gt;"",A1318="x"),$S1317,""))</f>
        <v/>
      </c>
      <c r="T1318" t="str">
        <f>IF(D1318=1,MAX($T$2:$T1317)+1,IF(S1318=S1317,$T1317,IF(D1318="x",T1317,IF(D1317="x","",""))))</f>
        <v/>
      </c>
      <c r="U1318" t="str">
        <f>IF(B1318=1,MAX($U$2:$U1317)+1,IF(AND($T1318&lt;&gt;"",$T1318=$T1317),$U1317,IF(B1318="x",U1317,"")))</f>
        <v/>
      </c>
      <c r="V1318" t="str">
        <f>IF(C1318=1,MAX($V$2:$V1317)+1,IF(AND($T1318&lt;&gt;"",$T1318=$T1317),$U1317,IF(C1318="x",V1317,"")))</f>
        <v/>
      </c>
      <c r="X1318" cm="1">
        <f t="array" ref="X1318">IF($I1318&lt;&gt;"",$I1318,INDEX($I$1:$I1318,ROW()-COUNTIFS($T$1:$T1318,"="&amp;$T1318,$S$1:$S1318,"&lt;"&amp;$S1318)))</f>
        <v>0</v>
      </c>
      <c r="Z1318" s="6">
        <f t="shared" si="206"/>
        <v>1</v>
      </c>
      <c r="AA1318" t="e">
        <f t="shared" si="207"/>
        <v>#VALUE!</v>
      </c>
      <c r="AB1318" t="str">
        <f t="shared" si="208"/>
        <v/>
      </c>
      <c r="AC1318" t="e">
        <f t="shared" si="209"/>
        <v>#VALUE!</v>
      </c>
    </row>
    <row r="1319" spans="1:29" x14ac:dyDescent="0.2">
      <c r="A1319" t="str">
        <f t="shared" si="210"/>
        <v/>
      </c>
      <c r="E1319" s="4"/>
      <c r="F1319" s="46"/>
      <c r="G1319" s="4"/>
      <c r="H1319" s="48"/>
      <c r="J1319" s="26" t="str">
        <f t="shared" si="211"/>
        <v/>
      </c>
      <c r="N1319" t="str">
        <f t="shared" si="212"/>
        <v/>
      </c>
      <c r="Q1319" t="str">
        <f t="shared" si="213"/>
        <v/>
      </c>
      <c r="S1319" t="str">
        <f>IF(A1319=1,MAX($S$2:$S1318)+1,IF(OR($I1319&lt;&gt;"",A1319="x"),$S1318,""))</f>
        <v/>
      </c>
      <c r="T1319" t="str">
        <f>IF(D1319=1,MAX($T$2:$T1318)+1,IF(S1319=S1318,$T1318,IF(D1319="x",T1318,IF(D1318="x","",""))))</f>
        <v/>
      </c>
      <c r="U1319" t="str">
        <f>IF(B1319=1,MAX($U$2:$U1318)+1,IF(AND($T1319&lt;&gt;"",$T1319=$T1318),$U1318,IF(B1319="x",U1318,"")))</f>
        <v/>
      </c>
      <c r="V1319" t="str">
        <f>IF(C1319=1,MAX($V$2:$V1318)+1,IF(AND($T1319&lt;&gt;"",$T1319=$T1318),$U1318,IF(C1319="x",V1318,"")))</f>
        <v/>
      </c>
      <c r="X1319" cm="1">
        <f t="array" ref="X1319">IF($I1319&lt;&gt;"",$I1319,INDEX($I$1:$I1319,ROW()-COUNTIFS($T$1:$T1319,"="&amp;$T1319,$S$1:$S1319,"&lt;"&amp;$S1319)))</f>
        <v>0</v>
      </c>
      <c r="Z1319" s="6">
        <f t="shared" si="206"/>
        <v>1</v>
      </c>
      <c r="AA1319" t="e">
        <f t="shared" si="207"/>
        <v>#VALUE!</v>
      </c>
      <c r="AB1319" t="str">
        <f t="shared" si="208"/>
        <v/>
      </c>
      <c r="AC1319" t="e">
        <f t="shared" si="209"/>
        <v>#VALUE!</v>
      </c>
    </row>
    <row r="1320" spans="1:29" x14ac:dyDescent="0.2">
      <c r="A1320" t="str">
        <f t="shared" si="210"/>
        <v/>
      </c>
      <c r="E1320" s="4"/>
      <c r="F1320" s="46"/>
      <c r="G1320" s="4"/>
      <c r="H1320" s="48"/>
      <c r="J1320" s="26" t="str">
        <f t="shared" si="211"/>
        <v/>
      </c>
      <c r="N1320" t="str">
        <f t="shared" si="212"/>
        <v/>
      </c>
      <c r="Q1320" t="str">
        <f t="shared" si="213"/>
        <v/>
      </c>
      <c r="S1320" t="str">
        <f>IF(A1320=1,MAX($S$2:$S1319)+1,IF(OR($I1320&lt;&gt;"",A1320="x"),$S1319,""))</f>
        <v/>
      </c>
      <c r="T1320" t="str">
        <f>IF(D1320=1,MAX($T$2:$T1319)+1,IF(S1320=S1319,$T1319,IF(D1320="x",T1319,IF(D1319="x","",""))))</f>
        <v/>
      </c>
      <c r="U1320" t="str">
        <f>IF(B1320=1,MAX($U$2:$U1319)+1,IF(AND($T1320&lt;&gt;"",$T1320=$T1319),$U1319,IF(B1320="x",U1319,"")))</f>
        <v/>
      </c>
      <c r="V1320" t="str">
        <f>IF(C1320=1,MAX($V$2:$V1319)+1,IF(AND($T1320&lt;&gt;"",$T1320=$T1319),$U1319,IF(C1320="x",V1319,"")))</f>
        <v/>
      </c>
      <c r="X1320" cm="1">
        <f t="array" ref="X1320">IF($I1320&lt;&gt;"",$I1320,INDEX($I$1:$I1320,ROW()-COUNTIFS($T$1:$T1320,"="&amp;$T1320,$S$1:$S1320,"&lt;"&amp;$S1320)))</f>
        <v>0</v>
      </c>
      <c r="Z1320" s="6">
        <f t="shared" si="206"/>
        <v>1</v>
      </c>
      <c r="AA1320" t="e">
        <f t="shared" si="207"/>
        <v>#VALUE!</v>
      </c>
      <c r="AB1320" t="str">
        <f t="shared" si="208"/>
        <v/>
      </c>
      <c r="AC1320" t="e">
        <f t="shared" si="209"/>
        <v>#VALUE!</v>
      </c>
    </row>
    <row r="1321" spans="1:29" x14ac:dyDescent="0.2">
      <c r="A1321" t="str">
        <f t="shared" si="210"/>
        <v/>
      </c>
      <c r="E1321" s="4"/>
      <c r="F1321" s="46"/>
      <c r="G1321" s="4"/>
      <c r="H1321" s="48"/>
      <c r="J1321" s="26" t="str">
        <f t="shared" si="211"/>
        <v/>
      </c>
      <c r="N1321" t="str">
        <f t="shared" si="212"/>
        <v/>
      </c>
      <c r="Q1321" t="str">
        <f t="shared" si="213"/>
        <v/>
      </c>
      <c r="S1321" t="str">
        <f>IF(A1321=1,MAX($S$2:$S1320)+1,IF(OR($I1321&lt;&gt;"",A1321="x"),$S1320,""))</f>
        <v/>
      </c>
      <c r="T1321" t="str">
        <f>IF(D1321=1,MAX($T$2:$T1320)+1,IF(S1321=S1320,$T1320,IF(D1321="x",T1320,IF(D1320="x","",""))))</f>
        <v/>
      </c>
      <c r="U1321" t="str">
        <f>IF(B1321=1,MAX($U$2:$U1320)+1,IF(AND($T1321&lt;&gt;"",$T1321=$T1320),$U1320,IF(B1321="x",U1320,"")))</f>
        <v/>
      </c>
      <c r="V1321" t="str">
        <f>IF(C1321=1,MAX($V$2:$V1320)+1,IF(AND($T1321&lt;&gt;"",$T1321=$T1320),$U1320,IF(C1321="x",V1320,"")))</f>
        <v/>
      </c>
      <c r="X1321" cm="1">
        <f t="array" ref="X1321">IF($I1321&lt;&gt;"",$I1321,INDEX($I$1:$I1321,ROW()-COUNTIFS($T$1:$T1321,"="&amp;$T1321,$S$1:$S1321,"&lt;"&amp;$S1321)))</f>
        <v>0</v>
      </c>
      <c r="Z1321" s="6">
        <f t="shared" si="206"/>
        <v>1</v>
      </c>
      <c r="AA1321" t="e">
        <f t="shared" si="207"/>
        <v>#VALUE!</v>
      </c>
      <c r="AB1321" t="str">
        <f t="shared" si="208"/>
        <v/>
      </c>
      <c r="AC1321" t="e">
        <f t="shared" si="209"/>
        <v>#VALUE!</v>
      </c>
    </row>
    <row r="1322" spans="1:29" x14ac:dyDescent="0.2">
      <c r="A1322" t="str">
        <f t="shared" si="210"/>
        <v/>
      </c>
      <c r="E1322" s="4"/>
      <c r="F1322" s="46"/>
      <c r="G1322" s="4"/>
      <c r="H1322" s="48"/>
      <c r="J1322" s="26" t="str">
        <f t="shared" si="211"/>
        <v/>
      </c>
      <c r="N1322" t="str">
        <f t="shared" si="212"/>
        <v/>
      </c>
      <c r="Q1322" t="str">
        <f t="shared" si="213"/>
        <v/>
      </c>
      <c r="S1322" t="str">
        <f>IF(A1322=1,MAX($S$2:$S1321)+1,IF(OR($I1322&lt;&gt;"",A1322="x"),$S1321,""))</f>
        <v/>
      </c>
      <c r="T1322" t="str">
        <f>IF(D1322=1,MAX($T$2:$T1321)+1,IF(S1322=S1321,$T1321,IF(D1322="x",T1321,IF(D1321="x","",""))))</f>
        <v/>
      </c>
      <c r="U1322" t="str">
        <f>IF(B1322=1,MAX($U$2:$U1321)+1,IF(AND($T1322&lt;&gt;"",$T1322=$T1321),$U1321,IF(B1322="x",U1321,"")))</f>
        <v/>
      </c>
      <c r="V1322" t="str">
        <f>IF(C1322=1,MAX($V$2:$V1321)+1,IF(AND($T1322&lt;&gt;"",$T1322=$T1321),$U1321,IF(C1322="x",V1321,"")))</f>
        <v/>
      </c>
      <c r="X1322" cm="1">
        <f t="array" ref="X1322">IF($I1322&lt;&gt;"",$I1322,INDEX($I$1:$I1322,ROW()-COUNTIFS($T$1:$T1322,"="&amp;$T1322,$S$1:$S1322,"&lt;"&amp;$S1322)))</f>
        <v>0</v>
      </c>
      <c r="Z1322" s="6">
        <f t="shared" si="206"/>
        <v>1</v>
      </c>
      <c r="AA1322" t="e">
        <f t="shared" si="207"/>
        <v>#VALUE!</v>
      </c>
      <c r="AB1322" t="str">
        <f t="shared" si="208"/>
        <v/>
      </c>
      <c r="AC1322" t="e">
        <f t="shared" si="209"/>
        <v>#VALUE!</v>
      </c>
    </row>
    <row r="1323" spans="1:29" x14ac:dyDescent="0.2">
      <c r="A1323" t="str">
        <f t="shared" si="210"/>
        <v/>
      </c>
      <c r="E1323" s="4"/>
      <c r="F1323" s="46"/>
      <c r="G1323" s="4"/>
      <c r="H1323" s="48"/>
      <c r="J1323" s="26" t="str">
        <f t="shared" si="211"/>
        <v/>
      </c>
      <c r="N1323" t="str">
        <f t="shared" si="212"/>
        <v/>
      </c>
      <c r="Q1323" t="str">
        <f t="shared" si="213"/>
        <v/>
      </c>
      <c r="S1323" t="str">
        <f>IF(A1323=1,MAX($S$2:$S1322)+1,IF(OR($I1323&lt;&gt;"",A1323="x"),$S1322,""))</f>
        <v/>
      </c>
      <c r="T1323" t="str">
        <f>IF(D1323=1,MAX($T$2:$T1322)+1,IF(S1323=S1322,$T1322,IF(D1323="x",T1322,IF(D1322="x","",""))))</f>
        <v/>
      </c>
      <c r="U1323" t="str">
        <f>IF(B1323=1,MAX($U$2:$U1322)+1,IF(AND($T1323&lt;&gt;"",$T1323=$T1322),$U1322,IF(B1323="x",U1322,"")))</f>
        <v/>
      </c>
      <c r="V1323" t="str">
        <f>IF(C1323=1,MAX($V$2:$V1322)+1,IF(AND($T1323&lt;&gt;"",$T1323=$T1322),$U1322,IF(C1323="x",V1322,"")))</f>
        <v/>
      </c>
      <c r="X1323" cm="1">
        <f t="array" ref="X1323">IF($I1323&lt;&gt;"",$I1323,INDEX($I$1:$I1323,ROW()-COUNTIFS($T$1:$T1323,"="&amp;$T1323,$S$1:$S1323,"&lt;"&amp;$S1323)))</f>
        <v>0</v>
      </c>
      <c r="Z1323" s="6">
        <f t="shared" si="206"/>
        <v>1</v>
      </c>
      <c r="AA1323" t="e">
        <f t="shared" si="207"/>
        <v>#VALUE!</v>
      </c>
      <c r="AB1323" t="str">
        <f t="shared" si="208"/>
        <v/>
      </c>
      <c r="AC1323" t="e">
        <f t="shared" si="209"/>
        <v>#VALUE!</v>
      </c>
    </row>
    <row r="1324" spans="1:29" x14ac:dyDescent="0.2">
      <c r="A1324" t="str">
        <f t="shared" si="210"/>
        <v/>
      </c>
      <c r="E1324" s="4"/>
      <c r="F1324" s="46"/>
      <c r="G1324" s="4"/>
      <c r="H1324" s="48"/>
      <c r="J1324" s="26" t="str">
        <f t="shared" si="211"/>
        <v/>
      </c>
      <c r="N1324" t="str">
        <f t="shared" si="212"/>
        <v/>
      </c>
      <c r="Q1324" t="str">
        <f t="shared" si="213"/>
        <v/>
      </c>
      <c r="S1324" t="str">
        <f>IF(A1324=1,MAX($S$2:$S1323)+1,IF(OR($I1324&lt;&gt;"",A1324="x"),$S1323,""))</f>
        <v/>
      </c>
      <c r="T1324" t="str">
        <f>IF(D1324=1,MAX($T$2:$T1323)+1,IF(S1324=S1323,$T1323,IF(D1324="x",T1323,IF(D1323="x","",""))))</f>
        <v/>
      </c>
      <c r="U1324" t="str">
        <f>IF(B1324=1,MAX($U$2:$U1323)+1,IF(AND($T1324&lt;&gt;"",$T1324=$T1323),$U1323,IF(B1324="x",U1323,"")))</f>
        <v/>
      </c>
      <c r="V1324" t="str">
        <f>IF(C1324=1,MAX($V$2:$V1323)+1,IF(AND($T1324&lt;&gt;"",$T1324=$T1323),$U1323,IF(C1324="x",V1323,"")))</f>
        <v/>
      </c>
      <c r="X1324" cm="1">
        <f t="array" ref="X1324">IF($I1324&lt;&gt;"",$I1324,INDEX($I$1:$I1324,ROW()-COUNTIFS($T$1:$T1324,"="&amp;$T1324,$S$1:$S1324,"&lt;"&amp;$S1324)))</f>
        <v>0</v>
      </c>
      <c r="Z1324" s="6">
        <f t="shared" si="206"/>
        <v>1</v>
      </c>
      <c r="AA1324" t="e">
        <f t="shared" si="207"/>
        <v>#VALUE!</v>
      </c>
      <c r="AB1324" t="str">
        <f t="shared" si="208"/>
        <v/>
      </c>
      <c r="AC1324" t="e">
        <f t="shared" si="209"/>
        <v>#VALUE!</v>
      </c>
    </row>
    <row r="1325" spans="1:29" x14ac:dyDescent="0.2">
      <c r="A1325" t="str">
        <f t="shared" si="210"/>
        <v/>
      </c>
      <c r="E1325" s="4"/>
      <c r="F1325" s="46"/>
      <c r="G1325" s="4"/>
      <c r="H1325" s="48"/>
      <c r="J1325" s="26" t="str">
        <f t="shared" si="211"/>
        <v/>
      </c>
      <c r="N1325" t="str">
        <f t="shared" si="212"/>
        <v/>
      </c>
      <c r="Q1325" t="str">
        <f t="shared" si="213"/>
        <v/>
      </c>
      <c r="S1325" t="str">
        <f>IF(A1325=1,MAX($S$2:$S1324)+1,IF(OR($I1325&lt;&gt;"",A1325="x"),$S1324,""))</f>
        <v/>
      </c>
      <c r="T1325" t="str">
        <f>IF(D1325=1,MAX($T$2:$T1324)+1,IF(S1325=S1324,$T1324,IF(D1325="x",T1324,IF(D1324="x","",""))))</f>
        <v/>
      </c>
      <c r="U1325" t="str">
        <f>IF(B1325=1,MAX($U$2:$U1324)+1,IF(AND($T1325&lt;&gt;"",$T1325=$T1324),$U1324,IF(B1325="x",U1324,"")))</f>
        <v/>
      </c>
      <c r="V1325" t="str">
        <f>IF(C1325=1,MAX($V$2:$V1324)+1,IF(AND($T1325&lt;&gt;"",$T1325=$T1324),$U1324,IF(C1325="x",V1324,"")))</f>
        <v/>
      </c>
      <c r="X1325" cm="1">
        <f t="array" ref="X1325">IF($I1325&lt;&gt;"",$I1325,INDEX($I$1:$I1325,ROW()-COUNTIFS($T$1:$T1325,"="&amp;$T1325,$S$1:$S1325,"&lt;"&amp;$S1325)))</f>
        <v>0</v>
      </c>
      <c r="Z1325" s="6">
        <f t="shared" si="206"/>
        <v>1</v>
      </c>
      <c r="AA1325" t="e">
        <f t="shared" si="207"/>
        <v>#VALUE!</v>
      </c>
      <c r="AB1325" t="str">
        <f t="shared" si="208"/>
        <v/>
      </c>
      <c r="AC1325" t="e">
        <f t="shared" si="209"/>
        <v>#VALUE!</v>
      </c>
    </row>
    <row r="1326" spans="1:29" x14ac:dyDescent="0.2">
      <c r="A1326" t="str">
        <f t="shared" si="210"/>
        <v/>
      </c>
      <c r="E1326" s="4"/>
      <c r="F1326" s="46"/>
      <c r="G1326" s="4"/>
      <c r="H1326" s="48"/>
      <c r="J1326" s="26" t="str">
        <f t="shared" si="211"/>
        <v/>
      </c>
      <c r="N1326" t="str">
        <f t="shared" si="212"/>
        <v/>
      </c>
      <c r="Q1326" t="str">
        <f t="shared" si="213"/>
        <v/>
      </c>
      <c r="S1326" t="str">
        <f>IF(A1326=1,MAX($S$2:$S1325)+1,IF(OR($I1326&lt;&gt;"",A1326="x"),$S1325,""))</f>
        <v/>
      </c>
      <c r="T1326" t="str">
        <f>IF(D1326=1,MAX($T$2:$T1325)+1,IF(S1326=S1325,$T1325,IF(D1326="x",T1325,IF(D1325="x","",""))))</f>
        <v/>
      </c>
      <c r="U1326" t="str">
        <f>IF(B1326=1,MAX($U$2:$U1325)+1,IF(AND($T1326&lt;&gt;"",$T1326=$T1325),$U1325,IF(B1326="x",U1325,"")))</f>
        <v/>
      </c>
      <c r="V1326" t="str">
        <f>IF(C1326=1,MAX($V$2:$V1325)+1,IF(AND($T1326&lt;&gt;"",$T1326=$T1325),$U1325,IF(C1326="x",V1325,"")))</f>
        <v/>
      </c>
      <c r="X1326" cm="1">
        <f t="array" ref="X1326">IF($I1326&lt;&gt;"",$I1326,INDEX($I$1:$I1326,ROW()-COUNTIFS($T$1:$T1326,"="&amp;$T1326,$S$1:$S1326,"&lt;"&amp;$S1326)))</f>
        <v>0</v>
      </c>
      <c r="Z1326" s="6">
        <f t="shared" si="206"/>
        <v>1</v>
      </c>
      <c r="AA1326" t="e">
        <f t="shared" si="207"/>
        <v>#VALUE!</v>
      </c>
      <c r="AB1326" t="str">
        <f t="shared" si="208"/>
        <v/>
      </c>
      <c r="AC1326" t="e">
        <f t="shared" si="209"/>
        <v>#VALUE!</v>
      </c>
    </row>
    <row r="1327" spans="1:29" x14ac:dyDescent="0.2">
      <c r="A1327" t="str">
        <f t="shared" si="210"/>
        <v/>
      </c>
      <c r="E1327" s="4"/>
      <c r="F1327" s="46"/>
      <c r="G1327" s="4"/>
      <c r="H1327" s="48"/>
      <c r="J1327" s="26" t="str">
        <f t="shared" si="211"/>
        <v/>
      </c>
      <c r="N1327" t="str">
        <f t="shared" si="212"/>
        <v/>
      </c>
      <c r="Q1327" t="str">
        <f t="shared" si="213"/>
        <v/>
      </c>
      <c r="S1327" t="str">
        <f>IF(A1327=1,MAX($S$2:$S1326)+1,IF(OR($I1327&lt;&gt;"",A1327="x"),$S1326,""))</f>
        <v/>
      </c>
      <c r="T1327" t="str">
        <f>IF(D1327=1,MAX($T$2:$T1326)+1,IF(S1327=S1326,$T1326,IF(D1327="x",T1326,IF(D1326="x","",""))))</f>
        <v/>
      </c>
      <c r="U1327" t="str">
        <f>IF(B1327=1,MAX($U$2:$U1326)+1,IF(AND($T1327&lt;&gt;"",$T1327=$T1326),$U1326,IF(B1327="x",U1326,"")))</f>
        <v/>
      </c>
      <c r="V1327" t="str">
        <f>IF(C1327=1,MAX($V$2:$V1326)+1,IF(AND($T1327&lt;&gt;"",$T1327=$T1326),$U1326,IF(C1327="x",V1326,"")))</f>
        <v/>
      </c>
      <c r="X1327" cm="1">
        <f t="array" ref="X1327">IF($I1327&lt;&gt;"",$I1327,INDEX($I$1:$I1327,ROW()-COUNTIFS($T$1:$T1327,"="&amp;$T1327,$S$1:$S1327,"&lt;"&amp;$S1327)))</f>
        <v>0</v>
      </c>
      <c r="Z1327" s="6">
        <f t="shared" si="206"/>
        <v>1</v>
      </c>
      <c r="AA1327" t="e">
        <f t="shared" si="207"/>
        <v>#VALUE!</v>
      </c>
      <c r="AB1327" t="str">
        <f t="shared" si="208"/>
        <v/>
      </c>
      <c r="AC1327" t="e">
        <f t="shared" si="209"/>
        <v>#VALUE!</v>
      </c>
    </row>
    <row r="1328" spans="1:29" x14ac:dyDescent="0.2">
      <c r="A1328" t="str">
        <f t="shared" si="210"/>
        <v/>
      </c>
      <c r="E1328" s="4"/>
      <c r="F1328" s="46"/>
      <c r="G1328" s="4"/>
      <c r="H1328" s="48"/>
      <c r="J1328" s="26" t="str">
        <f t="shared" si="211"/>
        <v/>
      </c>
      <c r="N1328" t="str">
        <f t="shared" si="212"/>
        <v/>
      </c>
      <c r="Q1328" t="str">
        <f t="shared" si="213"/>
        <v/>
      </c>
      <c r="S1328" t="str">
        <f>IF(A1328=1,MAX($S$2:$S1327)+1,IF(OR($I1328&lt;&gt;"",A1328="x"),$S1327,""))</f>
        <v/>
      </c>
      <c r="T1328" t="str">
        <f>IF(D1328=1,MAX($T$2:$T1327)+1,IF(S1328=S1327,$T1327,IF(D1328="x",T1327,IF(D1327="x","",""))))</f>
        <v/>
      </c>
      <c r="U1328" t="str">
        <f>IF(B1328=1,MAX($U$2:$U1327)+1,IF(AND($T1328&lt;&gt;"",$T1328=$T1327),$U1327,IF(B1328="x",U1327,"")))</f>
        <v/>
      </c>
      <c r="V1328" t="str">
        <f>IF(C1328=1,MAX($V$2:$V1327)+1,IF(AND($T1328&lt;&gt;"",$T1328=$T1327),$U1327,IF(C1328="x",V1327,"")))</f>
        <v/>
      </c>
      <c r="X1328" cm="1">
        <f t="array" ref="X1328">IF($I1328&lt;&gt;"",$I1328,INDEX($I$1:$I1328,ROW()-COUNTIFS($T$1:$T1328,"="&amp;$T1328,$S$1:$S1328,"&lt;"&amp;$S1328)))</f>
        <v>0</v>
      </c>
      <c r="Z1328" s="6">
        <f t="shared" si="206"/>
        <v>1</v>
      </c>
      <c r="AA1328" t="e">
        <f t="shared" si="207"/>
        <v>#VALUE!</v>
      </c>
      <c r="AB1328" t="str">
        <f t="shared" si="208"/>
        <v/>
      </c>
      <c r="AC1328" t="e">
        <f t="shared" si="209"/>
        <v>#VALUE!</v>
      </c>
    </row>
    <row r="1329" spans="1:29" x14ac:dyDescent="0.2">
      <c r="A1329" t="str">
        <f t="shared" si="210"/>
        <v/>
      </c>
      <c r="E1329" s="4"/>
      <c r="F1329" s="46"/>
      <c r="G1329" s="4"/>
      <c r="H1329" s="48"/>
      <c r="J1329" s="26" t="str">
        <f t="shared" si="211"/>
        <v/>
      </c>
      <c r="N1329" t="str">
        <f t="shared" si="212"/>
        <v/>
      </c>
      <c r="Q1329" t="str">
        <f t="shared" si="213"/>
        <v/>
      </c>
      <c r="S1329" t="str">
        <f>IF(A1329=1,MAX($S$2:$S1328)+1,IF(OR($I1329&lt;&gt;"",A1329="x"),$S1328,""))</f>
        <v/>
      </c>
      <c r="T1329" t="str">
        <f>IF(D1329=1,MAX($T$2:$T1328)+1,IF(S1329=S1328,$T1328,IF(D1329="x",T1328,IF(D1328="x","",""))))</f>
        <v/>
      </c>
      <c r="U1329" t="str">
        <f>IF(B1329=1,MAX($U$2:$U1328)+1,IF(AND($T1329&lt;&gt;"",$T1329=$T1328),$U1328,IF(B1329="x",U1328,"")))</f>
        <v/>
      </c>
      <c r="V1329" t="str">
        <f>IF(C1329=1,MAX($V$2:$V1328)+1,IF(AND($T1329&lt;&gt;"",$T1329=$T1328),$U1328,IF(C1329="x",V1328,"")))</f>
        <v/>
      </c>
      <c r="X1329" cm="1">
        <f t="array" ref="X1329">IF($I1329&lt;&gt;"",$I1329,INDEX($I$1:$I1329,ROW()-COUNTIFS($T$1:$T1329,"="&amp;$T1329,$S$1:$S1329,"&lt;"&amp;$S1329)))</f>
        <v>0</v>
      </c>
      <c r="Z1329" s="6">
        <f t="shared" si="206"/>
        <v>1</v>
      </c>
      <c r="AA1329" t="e">
        <f t="shared" si="207"/>
        <v>#VALUE!</v>
      </c>
      <c r="AB1329" t="str">
        <f t="shared" si="208"/>
        <v/>
      </c>
      <c r="AC1329" t="e">
        <f t="shared" si="209"/>
        <v>#VALUE!</v>
      </c>
    </row>
    <row r="1330" spans="1:29" x14ac:dyDescent="0.2">
      <c r="A1330" t="str">
        <f t="shared" si="210"/>
        <v/>
      </c>
      <c r="E1330" s="4"/>
      <c r="F1330" s="46"/>
      <c r="G1330" s="4"/>
      <c r="H1330" s="48"/>
      <c r="J1330" s="26" t="str">
        <f t="shared" si="211"/>
        <v/>
      </c>
      <c r="N1330" t="str">
        <f t="shared" si="212"/>
        <v/>
      </c>
      <c r="Q1330" t="str">
        <f t="shared" si="213"/>
        <v/>
      </c>
      <c r="S1330" t="str">
        <f>IF(A1330=1,MAX($S$2:$S1329)+1,IF(OR($I1330&lt;&gt;"",A1330="x"),$S1329,""))</f>
        <v/>
      </c>
      <c r="T1330" t="str">
        <f>IF(D1330=1,MAX($T$2:$T1329)+1,IF(S1330=S1329,$T1329,IF(D1330="x",T1329,IF(D1329="x","",""))))</f>
        <v/>
      </c>
      <c r="U1330" t="str">
        <f>IF(B1330=1,MAX($U$2:$U1329)+1,IF(AND($T1330&lt;&gt;"",$T1330=$T1329),$U1329,IF(B1330="x",U1329,"")))</f>
        <v/>
      </c>
      <c r="V1330" t="str">
        <f>IF(C1330=1,MAX($V$2:$V1329)+1,IF(AND($T1330&lt;&gt;"",$T1330=$T1329),$U1329,IF(C1330="x",V1329,"")))</f>
        <v/>
      </c>
      <c r="X1330" cm="1">
        <f t="array" ref="X1330">IF($I1330&lt;&gt;"",$I1330,INDEX($I$1:$I1330,ROW()-COUNTIFS($T$1:$T1330,"="&amp;$T1330,$S$1:$S1330,"&lt;"&amp;$S1330)))</f>
        <v>0</v>
      </c>
      <c r="Z1330" s="6">
        <f t="shared" si="206"/>
        <v>1</v>
      </c>
      <c r="AA1330" t="e">
        <f t="shared" si="207"/>
        <v>#VALUE!</v>
      </c>
      <c r="AB1330" t="str">
        <f t="shared" si="208"/>
        <v/>
      </c>
      <c r="AC1330" t="e">
        <f t="shared" si="209"/>
        <v>#VALUE!</v>
      </c>
    </row>
    <row r="1331" spans="1:29" x14ac:dyDescent="0.2">
      <c r="A1331" t="str">
        <f t="shared" si="210"/>
        <v/>
      </c>
      <c r="E1331" s="4"/>
      <c r="F1331" s="46"/>
      <c r="G1331" s="4"/>
      <c r="H1331" s="48"/>
      <c r="J1331" s="26" t="str">
        <f t="shared" si="211"/>
        <v/>
      </c>
      <c r="N1331" t="str">
        <f t="shared" si="212"/>
        <v/>
      </c>
      <c r="Q1331" t="str">
        <f t="shared" si="213"/>
        <v/>
      </c>
      <c r="S1331" t="str">
        <f>IF(A1331=1,MAX($S$2:$S1330)+1,IF(OR($I1331&lt;&gt;"",A1331="x"),$S1330,""))</f>
        <v/>
      </c>
      <c r="T1331" t="str">
        <f>IF(D1331=1,MAX($T$2:$T1330)+1,IF(S1331=S1330,$T1330,IF(D1331="x",T1330,IF(D1330="x","",""))))</f>
        <v/>
      </c>
      <c r="U1331" t="str">
        <f>IF(B1331=1,MAX($U$2:$U1330)+1,IF(AND($T1331&lt;&gt;"",$T1331=$T1330),$U1330,IF(B1331="x",U1330,"")))</f>
        <v/>
      </c>
      <c r="V1331" t="str">
        <f>IF(C1331=1,MAX($V$2:$V1330)+1,IF(AND($T1331&lt;&gt;"",$T1331=$T1330),$U1330,IF(C1331="x",V1330,"")))</f>
        <v/>
      </c>
      <c r="X1331" cm="1">
        <f t="array" ref="X1331">IF($I1331&lt;&gt;"",$I1331,INDEX($I$1:$I1331,ROW()-COUNTIFS($T$1:$T1331,"="&amp;$T1331,$S$1:$S1331,"&lt;"&amp;$S1331)))</f>
        <v>0</v>
      </c>
      <c r="Z1331" s="6">
        <f t="shared" si="206"/>
        <v>1</v>
      </c>
      <c r="AA1331" t="e">
        <f t="shared" si="207"/>
        <v>#VALUE!</v>
      </c>
      <c r="AB1331" t="str">
        <f t="shared" si="208"/>
        <v/>
      </c>
      <c r="AC1331" t="e">
        <f t="shared" si="209"/>
        <v>#VALUE!</v>
      </c>
    </row>
    <row r="1332" spans="1:29" x14ac:dyDescent="0.2">
      <c r="A1332" t="str">
        <f t="shared" si="210"/>
        <v/>
      </c>
      <c r="E1332" s="4"/>
      <c r="F1332" s="46"/>
      <c r="G1332" s="4"/>
      <c r="H1332" s="48"/>
      <c r="J1332" s="26" t="str">
        <f t="shared" si="211"/>
        <v/>
      </c>
      <c r="N1332" t="str">
        <f t="shared" si="212"/>
        <v/>
      </c>
      <c r="Q1332" t="str">
        <f t="shared" si="213"/>
        <v/>
      </c>
      <c r="S1332" t="str">
        <f>IF(A1332=1,MAX($S$2:$S1331)+1,IF(OR($I1332&lt;&gt;"",A1332="x"),$S1331,""))</f>
        <v/>
      </c>
      <c r="T1332" t="str">
        <f>IF(D1332=1,MAX($T$2:$T1331)+1,IF(S1332=S1331,$T1331,IF(D1332="x",T1331,IF(D1331="x","",""))))</f>
        <v/>
      </c>
      <c r="U1332" t="str">
        <f>IF(B1332=1,MAX($U$2:$U1331)+1,IF(AND($T1332&lt;&gt;"",$T1332=$T1331),$U1331,IF(B1332="x",U1331,"")))</f>
        <v/>
      </c>
      <c r="V1332" t="str">
        <f>IF(C1332=1,MAX($V$2:$V1331)+1,IF(AND($T1332&lt;&gt;"",$T1332=$T1331),$U1331,IF(C1332="x",V1331,"")))</f>
        <v/>
      </c>
      <c r="X1332" cm="1">
        <f t="array" ref="X1332">IF($I1332&lt;&gt;"",$I1332,INDEX($I$1:$I1332,ROW()-COUNTIFS($T$1:$T1332,"="&amp;$T1332,$S$1:$S1332,"&lt;"&amp;$S1332)))</f>
        <v>0</v>
      </c>
      <c r="Z1332" s="6">
        <f t="shared" si="206"/>
        <v>1</v>
      </c>
      <c r="AA1332" t="e">
        <f t="shared" si="207"/>
        <v>#VALUE!</v>
      </c>
      <c r="AB1332" t="str">
        <f t="shared" si="208"/>
        <v/>
      </c>
      <c r="AC1332" t="e">
        <f t="shared" si="209"/>
        <v>#VALUE!</v>
      </c>
    </row>
    <row r="1333" spans="1:29" x14ac:dyDescent="0.2">
      <c r="A1333" t="str">
        <f t="shared" si="210"/>
        <v/>
      </c>
      <c r="E1333" s="4"/>
      <c r="F1333" s="46"/>
      <c r="G1333" s="4"/>
      <c r="H1333" s="48"/>
      <c r="J1333" s="26" t="str">
        <f t="shared" si="211"/>
        <v/>
      </c>
      <c r="N1333" t="str">
        <f t="shared" si="212"/>
        <v/>
      </c>
      <c r="Q1333" t="str">
        <f t="shared" si="213"/>
        <v/>
      </c>
      <c r="S1333" t="str">
        <f>IF(A1333=1,MAX($S$2:$S1332)+1,IF(OR($I1333&lt;&gt;"",A1333="x"),$S1332,""))</f>
        <v/>
      </c>
      <c r="T1333" t="str">
        <f>IF(D1333=1,MAX($T$2:$T1332)+1,IF(S1333=S1332,$T1332,IF(D1333="x",T1332,IF(D1332="x","",""))))</f>
        <v/>
      </c>
      <c r="U1333" t="str">
        <f>IF(B1333=1,MAX($U$2:$U1332)+1,IF(AND($T1333&lt;&gt;"",$T1333=$T1332),$U1332,IF(B1333="x",U1332,"")))</f>
        <v/>
      </c>
      <c r="V1333" t="str">
        <f>IF(C1333=1,MAX($V$2:$V1332)+1,IF(AND($T1333&lt;&gt;"",$T1333=$T1332),$U1332,IF(C1333="x",V1332,"")))</f>
        <v/>
      </c>
      <c r="X1333" cm="1">
        <f t="array" ref="X1333">IF($I1333&lt;&gt;"",$I1333,INDEX($I$1:$I1333,ROW()-COUNTIFS($T$1:$T1333,"="&amp;$T1333,$S$1:$S1333,"&lt;"&amp;$S1333)))</f>
        <v>0</v>
      </c>
      <c r="Z1333" s="6">
        <f t="shared" si="206"/>
        <v>1</v>
      </c>
      <c r="AA1333" t="e">
        <f t="shared" si="207"/>
        <v>#VALUE!</v>
      </c>
      <c r="AB1333" t="str">
        <f t="shared" si="208"/>
        <v/>
      </c>
      <c r="AC1333" t="e">
        <f t="shared" si="209"/>
        <v>#VALUE!</v>
      </c>
    </row>
    <row r="1334" spans="1:29" x14ac:dyDescent="0.2">
      <c r="A1334" t="str">
        <f t="shared" si="210"/>
        <v/>
      </c>
      <c r="E1334" s="4"/>
      <c r="F1334" s="46"/>
      <c r="G1334" s="4"/>
      <c r="H1334" s="48"/>
      <c r="J1334" s="26" t="str">
        <f t="shared" si="211"/>
        <v/>
      </c>
      <c r="N1334" t="str">
        <f t="shared" si="212"/>
        <v/>
      </c>
      <c r="Q1334" t="str">
        <f t="shared" si="213"/>
        <v/>
      </c>
      <c r="S1334" t="str">
        <f>IF(A1334=1,MAX($S$2:$S1333)+1,IF(OR($I1334&lt;&gt;"",A1334="x"),$S1333,""))</f>
        <v/>
      </c>
      <c r="T1334" t="str">
        <f>IF(D1334=1,MAX($T$2:$T1333)+1,IF(S1334=S1333,$T1333,IF(D1334="x",T1333,IF(D1333="x","",""))))</f>
        <v/>
      </c>
      <c r="U1334" t="str">
        <f>IF(B1334=1,MAX($U$2:$U1333)+1,IF(AND($T1334&lt;&gt;"",$T1334=$T1333),$U1333,IF(B1334="x",U1333,"")))</f>
        <v/>
      </c>
      <c r="V1334" t="str">
        <f>IF(C1334=1,MAX($V$2:$V1333)+1,IF(AND($T1334&lt;&gt;"",$T1334=$T1333),$U1333,IF(C1334="x",V1333,"")))</f>
        <v/>
      </c>
      <c r="X1334" cm="1">
        <f t="array" ref="X1334">IF($I1334&lt;&gt;"",$I1334,INDEX($I$1:$I1334,ROW()-COUNTIFS($T$1:$T1334,"="&amp;$T1334,$S$1:$S1334,"&lt;"&amp;$S1334)))</f>
        <v>0</v>
      </c>
      <c r="Z1334" s="6">
        <f t="shared" si="206"/>
        <v>1</v>
      </c>
      <c r="AA1334" t="e">
        <f t="shared" si="207"/>
        <v>#VALUE!</v>
      </c>
      <c r="AB1334" t="str">
        <f t="shared" si="208"/>
        <v/>
      </c>
      <c r="AC1334" t="e">
        <f t="shared" si="209"/>
        <v>#VALUE!</v>
      </c>
    </row>
    <row r="1335" spans="1:29" x14ac:dyDescent="0.2">
      <c r="A1335" t="str">
        <f t="shared" si="210"/>
        <v/>
      </c>
      <c r="E1335" s="4"/>
      <c r="F1335" s="46"/>
      <c r="G1335" s="4"/>
      <c r="H1335" s="48"/>
      <c r="J1335" s="26" t="str">
        <f t="shared" si="211"/>
        <v/>
      </c>
      <c r="N1335" t="str">
        <f t="shared" si="212"/>
        <v/>
      </c>
      <c r="Q1335" t="str">
        <f t="shared" si="213"/>
        <v/>
      </c>
      <c r="S1335" t="str">
        <f>IF(A1335=1,MAX($S$2:$S1334)+1,IF(OR($I1335&lt;&gt;"",A1335="x"),$S1334,""))</f>
        <v/>
      </c>
      <c r="T1335" t="str">
        <f>IF(D1335=1,MAX($T$2:$T1334)+1,IF(S1335=S1334,$T1334,IF(D1335="x",T1334,IF(D1334="x","",""))))</f>
        <v/>
      </c>
      <c r="U1335" t="str">
        <f>IF(B1335=1,MAX($U$2:$U1334)+1,IF(AND($T1335&lt;&gt;"",$T1335=$T1334),$U1334,IF(B1335="x",U1334,"")))</f>
        <v/>
      </c>
      <c r="V1335" t="str">
        <f>IF(C1335=1,MAX($V$2:$V1334)+1,IF(AND($T1335&lt;&gt;"",$T1335=$T1334),$U1334,IF(C1335="x",V1334,"")))</f>
        <v/>
      </c>
      <c r="X1335" cm="1">
        <f t="array" ref="X1335">IF($I1335&lt;&gt;"",$I1335,INDEX($I$1:$I1335,ROW()-COUNTIFS($T$1:$T1335,"="&amp;$T1335,$S$1:$S1335,"&lt;"&amp;$S1335)))</f>
        <v>0</v>
      </c>
      <c r="Z1335" s="6">
        <f t="shared" si="206"/>
        <v>1</v>
      </c>
      <c r="AA1335" t="e">
        <f t="shared" si="207"/>
        <v>#VALUE!</v>
      </c>
      <c r="AB1335" t="str">
        <f t="shared" si="208"/>
        <v/>
      </c>
      <c r="AC1335" t="e">
        <f t="shared" si="209"/>
        <v>#VALUE!</v>
      </c>
    </row>
    <row r="1336" spans="1:29" x14ac:dyDescent="0.2">
      <c r="A1336" t="str">
        <f t="shared" si="210"/>
        <v/>
      </c>
      <c r="E1336" s="4"/>
      <c r="F1336" s="46"/>
      <c r="G1336" s="4"/>
      <c r="H1336" s="48"/>
      <c r="J1336" s="26" t="str">
        <f t="shared" si="211"/>
        <v/>
      </c>
      <c r="N1336" t="str">
        <f t="shared" si="212"/>
        <v/>
      </c>
      <c r="Q1336" t="str">
        <f t="shared" si="213"/>
        <v/>
      </c>
      <c r="S1336" t="str">
        <f>IF(A1336=1,MAX($S$2:$S1335)+1,IF(OR($I1336&lt;&gt;"",A1336="x"),$S1335,""))</f>
        <v/>
      </c>
      <c r="T1336" t="str">
        <f>IF(D1336=1,MAX($T$2:$T1335)+1,IF(S1336=S1335,$T1335,IF(D1336="x",T1335,IF(D1335="x","",""))))</f>
        <v/>
      </c>
      <c r="U1336" t="str">
        <f>IF(B1336=1,MAX($U$2:$U1335)+1,IF(AND($T1336&lt;&gt;"",$T1336=$T1335),$U1335,IF(B1336="x",U1335,"")))</f>
        <v/>
      </c>
      <c r="V1336" t="str">
        <f>IF(C1336=1,MAX($V$2:$V1335)+1,IF(AND($T1336&lt;&gt;"",$T1336=$T1335),$U1335,IF(C1336="x",V1335,"")))</f>
        <v/>
      </c>
      <c r="X1336" cm="1">
        <f t="array" ref="X1336">IF($I1336&lt;&gt;"",$I1336,INDEX($I$1:$I1336,ROW()-COUNTIFS($T$1:$T1336,"="&amp;$T1336,$S$1:$S1336,"&lt;"&amp;$S1336)))</f>
        <v>0</v>
      </c>
      <c r="Z1336" s="6">
        <f t="shared" si="206"/>
        <v>1</v>
      </c>
      <c r="AA1336" t="e">
        <f t="shared" si="207"/>
        <v>#VALUE!</v>
      </c>
      <c r="AB1336" t="str">
        <f t="shared" si="208"/>
        <v/>
      </c>
      <c r="AC1336" t="e">
        <f t="shared" si="209"/>
        <v>#VALUE!</v>
      </c>
    </row>
    <row r="1337" spans="1:29" x14ac:dyDescent="0.2">
      <c r="A1337" t="str">
        <f t="shared" si="210"/>
        <v/>
      </c>
      <c r="E1337" s="4"/>
      <c r="F1337" s="46"/>
      <c r="G1337" s="4"/>
      <c r="H1337" s="48"/>
      <c r="J1337" s="26" t="str">
        <f t="shared" si="211"/>
        <v/>
      </c>
      <c r="N1337" t="str">
        <f t="shared" si="212"/>
        <v/>
      </c>
      <c r="Q1337" t="str">
        <f t="shared" si="213"/>
        <v/>
      </c>
      <c r="S1337" t="str">
        <f>IF(A1337=1,MAX($S$2:$S1336)+1,IF(OR($I1337&lt;&gt;"",A1337="x"),$S1336,""))</f>
        <v/>
      </c>
      <c r="T1337" t="str">
        <f>IF(D1337=1,MAX($T$2:$T1336)+1,IF(S1337=S1336,$T1336,IF(D1337="x",T1336,IF(D1336="x","",""))))</f>
        <v/>
      </c>
      <c r="U1337" t="str">
        <f>IF(B1337=1,MAX($U$2:$U1336)+1,IF(AND($T1337&lt;&gt;"",$T1337=$T1336),$U1336,IF(B1337="x",U1336,"")))</f>
        <v/>
      </c>
      <c r="V1337" t="str">
        <f>IF(C1337=1,MAX($V$2:$V1336)+1,IF(AND($T1337&lt;&gt;"",$T1337=$T1336),$U1336,IF(C1337="x",V1336,"")))</f>
        <v/>
      </c>
      <c r="X1337" cm="1">
        <f t="array" ref="X1337">IF($I1337&lt;&gt;"",$I1337,INDEX($I$1:$I1337,ROW()-COUNTIFS($T$1:$T1337,"="&amp;$T1337,$S$1:$S1337,"&lt;"&amp;$S1337)))</f>
        <v>0</v>
      </c>
      <c r="Z1337" s="6">
        <f t="shared" si="206"/>
        <v>1</v>
      </c>
      <c r="AA1337" t="e">
        <f t="shared" si="207"/>
        <v>#VALUE!</v>
      </c>
      <c r="AB1337" t="str">
        <f t="shared" si="208"/>
        <v/>
      </c>
      <c r="AC1337" t="e">
        <f t="shared" si="209"/>
        <v>#VALUE!</v>
      </c>
    </row>
    <row r="1338" spans="1:29" x14ac:dyDescent="0.2">
      <c r="A1338" t="str">
        <f t="shared" si="210"/>
        <v/>
      </c>
      <c r="E1338" s="4"/>
      <c r="F1338" s="46"/>
      <c r="G1338" s="4"/>
      <c r="H1338" s="48"/>
      <c r="J1338" s="26" t="str">
        <f t="shared" si="211"/>
        <v/>
      </c>
      <c r="N1338" t="str">
        <f t="shared" si="212"/>
        <v/>
      </c>
      <c r="Q1338" t="str">
        <f t="shared" si="213"/>
        <v/>
      </c>
      <c r="S1338" t="str">
        <f>IF(A1338=1,MAX($S$2:$S1337)+1,IF(OR($I1338&lt;&gt;"",A1338="x"),$S1337,""))</f>
        <v/>
      </c>
      <c r="T1338" t="str">
        <f>IF(D1338=1,MAX($T$2:$T1337)+1,IF(S1338=S1337,$T1337,IF(D1338="x",T1337,IF(D1337="x","",""))))</f>
        <v/>
      </c>
      <c r="U1338" t="str">
        <f>IF(B1338=1,MAX($U$2:$U1337)+1,IF(AND($T1338&lt;&gt;"",$T1338=$T1337),$U1337,IF(B1338="x",U1337,"")))</f>
        <v/>
      </c>
      <c r="V1338" t="str">
        <f>IF(C1338=1,MAX($V$2:$V1337)+1,IF(AND($T1338&lt;&gt;"",$T1338=$T1337),$U1337,IF(C1338="x",V1337,"")))</f>
        <v/>
      </c>
      <c r="X1338" cm="1">
        <f t="array" ref="X1338">IF($I1338&lt;&gt;"",$I1338,INDEX($I$1:$I1338,ROW()-COUNTIFS($T$1:$T1338,"="&amp;$T1338,$S$1:$S1338,"&lt;"&amp;$S1338)))</f>
        <v>0</v>
      </c>
      <c r="Z1338" s="6">
        <f t="shared" si="206"/>
        <v>1</v>
      </c>
      <c r="AA1338" t="e">
        <f t="shared" si="207"/>
        <v>#VALUE!</v>
      </c>
      <c r="AB1338" t="str">
        <f t="shared" si="208"/>
        <v/>
      </c>
      <c r="AC1338" t="e">
        <f t="shared" si="209"/>
        <v>#VALUE!</v>
      </c>
    </row>
    <row r="1339" spans="1:29" x14ac:dyDescent="0.2">
      <c r="A1339" t="str">
        <f t="shared" si="210"/>
        <v/>
      </c>
      <c r="E1339" s="4"/>
      <c r="F1339" s="46"/>
      <c r="G1339" s="4"/>
      <c r="H1339" s="48"/>
      <c r="J1339" s="26" t="str">
        <f t="shared" si="211"/>
        <v/>
      </c>
      <c r="N1339" t="str">
        <f t="shared" si="212"/>
        <v/>
      </c>
      <c r="Q1339" t="str">
        <f t="shared" si="213"/>
        <v/>
      </c>
      <c r="S1339" t="str">
        <f>IF(A1339=1,MAX($S$2:$S1338)+1,IF(OR($I1339&lt;&gt;"",A1339="x"),$S1338,""))</f>
        <v/>
      </c>
      <c r="T1339" t="str">
        <f>IF(D1339=1,MAX($T$2:$T1338)+1,IF(S1339=S1338,$T1338,IF(D1339="x",T1338,IF(D1338="x","",""))))</f>
        <v/>
      </c>
      <c r="U1339" t="str">
        <f>IF(B1339=1,MAX($U$2:$U1338)+1,IF(AND($T1339&lt;&gt;"",$T1339=$T1338),$U1338,IF(B1339="x",U1338,"")))</f>
        <v/>
      </c>
      <c r="V1339" t="str">
        <f>IF(C1339=1,MAX($V$2:$V1338)+1,IF(AND($T1339&lt;&gt;"",$T1339=$T1338),$U1338,IF(C1339="x",V1338,"")))</f>
        <v/>
      </c>
      <c r="X1339" cm="1">
        <f t="array" ref="X1339">IF($I1339&lt;&gt;"",$I1339,INDEX($I$1:$I1339,ROW()-COUNTIFS($T$1:$T1339,"="&amp;$T1339,$S$1:$S1339,"&lt;"&amp;$S1339)))</f>
        <v>0</v>
      </c>
      <c r="Z1339" s="6">
        <f t="shared" si="206"/>
        <v>1</v>
      </c>
      <c r="AA1339" t="e">
        <f t="shared" si="207"/>
        <v>#VALUE!</v>
      </c>
      <c r="AB1339" t="str">
        <f t="shared" si="208"/>
        <v/>
      </c>
      <c r="AC1339" t="e">
        <f t="shared" si="209"/>
        <v>#VALUE!</v>
      </c>
    </row>
    <row r="1340" spans="1:29" x14ac:dyDescent="0.2">
      <c r="A1340" t="str">
        <f t="shared" si="210"/>
        <v/>
      </c>
      <c r="E1340" s="4"/>
      <c r="F1340" s="46"/>
      <c r="G1340" s="4"/>
      <c r="H1340" s="48"/>
      <c r="J1340" s="26" t="str">
        <f t="shared" si="211"/>
        <v/>
      </c>
      <c r="N1340" t="str">
        <f t="shared" si="212"/>
        <v/>
      </c>
      <c r="Q1340" t="str">
        <f t="shared" si="213"/>
        <v/>
      </c>
      <c r="S1340" t="str">
        <f>IF(A1340=1,MAX($S$2:$S1339)+1,IF(OR($I1340&lt;&gt;"",A1340="x"),$S1339,""))</f>
        <v/>
      </c>
      <c r="T1340" t="str">
        <f>IF(D1340=1,MAX($T$2:$T1339)+1,IF(S1340=S1339,$T1339,IF(D1340="x",T1339,IF(D1339="x","",""))))</f>
        <v/>
      </c>
      <c r="U1340" t="str">
        <f>IF(B1340=1,MAX($U$2:$U1339)+1,IF(AND($T1340&lt;&gt;"",$T1340=$T1339),$U1339,IF(B1340="x",U1339,"")))</f>
        <v/>
      </c>
      <c r="V1340" t="str">
        <f>IF(C1340=1,MAX($V$2:$V1339)+1,IF(AND($T1340&lt;&gt;"",$T1340=$T1339),$U1339,IF(C1340="x",V1339,"")))</f>
        <v/>
      </c>
      <c r="X1340" cm="1">
        <f t="array" ref="X1340">IF($I1340&lt;&gt;"",$I1340,INDEX($I$1:$I1340,ROW()-COUNTIFS($T$1:$T1340,"="&amp;$T1340,$S$1:$S1340,"&lt;"&amp;$S1340)))</f>
        <v>0</v>
      </c>
      <c r="Z1340" s="6">
        <f t="shared" si="206"/>
        <v>1</v>
      </c>
      <c r="AA1340" t="e">
        <f t="shared" si="207"/>
        <v>#VALUE!</v>
      </c>
      <c r="AB1340" t="str">
        <f t="shared" si="208"/>
        <v/>
      </c>
      <c r="AC1340" t="e">
        <f t="shared" si="209"/>
        <v>#VALUE!</v>
      </c>
    </row>
    <row r="1341" spans="1:29" x14ac:dyDescent="0.2">
      <c r="A1341" t="str">
        <f t="shared" si="210"/>
        <v/>
      </c>
      <c r="E1341" s="4"/>
      <c r="F1341" s="46"/>
      <c r="G1341" s="4"/>
      <c r="H1341" s="48"/>
      <c r="J1341" s="26" t="str">
        <f t="shared" si="211"/>
        <v/>
      </c>
      <c r="N1341" t="str">
        <f t="shared" si="212"/>
        <v/>
      </c>
      <c r="Q1341" t="str">
        <f t="shared" si="213"/>
        <v/>
      </c>
      <c r="S1341" t="str">
        <f>IF(A1341=1,MAX($S$2:$S1340)+1,IF(OR($I1341&lt;&gt;"",A1341="x"),$S1340,""))</f>
        <v/>
      </c>
      <c r="T1341" t="str">
        <f>IF(D1341=1,MAX($T$2:$T1340)+1,IF(S1341=S1340,$T1340,IF(D1341="x",T1340,IF(D1340="x","",""))))</f>
        <v/>
      </c>
      <c r="U1341" t="str">
        <f>IF(B1341=1,MAX($U$2:$U1340)+1,IF(AND($T1341&lt;&gt;"",$T1341=$T1340),$U1340,IF(B1341="x",U1340,"")))</f>
        <v/>
      </c>
      <c r="V1341" t="str">
        <f>IF(C1341=1,MAX($V$2:$V1340)+1,IF(AND($T1341&lt;&gt;"",$T1341=$T1340),$U1340,IF(C1341="x",V1340,"")))</f>
        <v/>
      </c>
      <c r="X1341" cm="1">
        <f t="array" ref="X1341">IF($I1341&lt;&gt;"",$I1341,INDEX($I$1:$I1341,ROW()-COUNTIFS($T$1:$T1341,"="&amp;$T1341,$S$1:$S1341,"&lt;"&amp;$S1341)))</f>
        <v>0</v>
      </c>
      <c r="Z1341" s="6">
        <f t="shared" si="206"/>
        <v>1</v>
      </c>
      <c r="AA1341" t="e">
        <f t="shared" si="207"/>
        <v>#VALUE!</v>
      </c>
      <c r="AB1341" t="str">
        <f t="shared" si="208"/>
        <v/>
      </c>
      <c r="AC1341" t="e">
        <f t="shared" si="209"/>
        <v>#VALUE!</v>
      </c>
    </row>
    <row r="1342" spans="1:29" x14ac:dyDescent="0.2">
      <c r="A1342" t="str">
        <f t="shared" si="210"/>
        <v/>
      </c>
      <c r="E1342" s="4"/>
      <c r="F1342" s="46"/>
      <c r="G1342" s="4"/>
      <c r="H1342" s="48"/>
      <c r="J1342" s="26" t="str">
        <f t="shared" si="211"/>
        <v/>
      </c>
      <c r="N1342" t="str">
        <f t="shared" si="212"/>
        <v/>
      </c>
      <c r="Q1342" t="str">
        <f t="shared" si="213"/>
        <v/>
      </c>
      <c r="S1342" t="str">
        <f>IF(A1342=1,MAX($S$2:$S1341)+1,IF(OR($I1342&lt;&gt;"",A1342="x"),$S1341,""))</f>
        <v/>
      </c>
      <c r="T1342" t="str">
        <f>IF(D1342=1,MAX($T$2:$T1341)+1,IF(S1342=S1341,$T1341,IF(D1342="x",T1341,IF(D1341="x","",""))))</f>
        <v/>
      </c>
      <c r="U1342" t="str">
        <f>IF(B1342=1,MAX($U$2:$U1341)+1,IF(AND($T1342&lt;&gt;"",$T1342=$T1341),$U1341,IF(B1342="x",U1341,"")))</f>
        <v/>
      </c>
      <c r="V1342" t="str">
        <f>IF(C1342=1,MAX($V$2:$V1341)+1,IF(AND($T1342&lt;&gt;"",$T1342=$T1341),$U1341,IF(C1342="x",V1341,"")))</f>
        <v/>
      </c>
      <c r="X1342" cm="1">
        <f t="array" ref="X1342">IF($I1342&lt;&gt;"",$I1342,INDEX($I$1:$I1342,ROW()-COUNTIFS($T$1:$T1342,"="&amp;$T1342,$S$1:$S1342,"&lt;"&amp;$S1342)))</f>
        <v>0</v>
      </c>
      <c r="Z1342" s="6">
        <f t="shared" si="206"/>
        <v>1</v>
      </c>
      <c r="AA1342" t="e">
        <f t="shared" si="207"/>
        <v>#VALUE!</v>
      </c>
      <c r="AB1342" t="str">
        <f t="shared" si="208"/>
        <v/>
      </c>
      <c r="AC1342" t="e">
        <f t="shared" si="209"/>
        <v>#VALUE!</v>
      </c>
    </row>
    <row r="1343" spans="1:29" x14ac:dyDescent="0.2">
      <c r="A1343" t="str">
        <f t="shared" si="210"/>
        <v/>
      </c>
      <c r="E1343" s="4"/>
      <c r="F1343" s="46"/>
      <c r="G1343" s="4"/>
      <c r="H1343" s="48"/>
      <c r="J1343" s="26" t="str">
        <f t="shared" si="211"/>
        <v/>
      </c>
      <c r="N1343" t="str">
        <f t="shared" si="212"/>
        <v/>
      </c>
      <c r="Q1343" t="str">
        <f t="shared" si="213"/>
        <v/>
      </c>
      <c r="S1343" t="str">
        <f>IF(A1343=1,MAX($S$2:$S1342)+1,IF(OR($I1343&lt;&gt;"",A1343="x"),$S1342,""))</f>
        <v/>
      </c>
      <c r="T1343" t="str">
        <f>IF(D1343=1,MAX($T$2:$T1342)+1,IF(S1343=S1342,$T1342,IF(D1343="x",T1342,IF(D1342="x","",""))))</f>
        <v/>
      </c>
      <c r="U1343" t="str">
        <f>IF(B1343=1,MAX($U$2:$U1342)+1,IF(AND($T1343&lt;&gt;"",$T1343=$T1342),$U1342,IF(B1343="x",U1342,"")))</f>
        <v/>
      </c>
      <c r="V1343" t="str">
        <f>IF(C1343=1,MAX($V$2:$V1342)+1,IF(AND($T1343&lt;&gt;"",$T1343=$T1342),$U1342,IF(C1343="x",V1342,"")))</f>
        <v/>
      </c>
      <c r="X1343" cm="1">
        <f t="array" ref="X1343">IF($I1343&lt;&gt;"",$I1343,INDEX($I$1:$I1343,ROW()-COUNTIFS($T$1:$T1343,"="&amp;$T1343,$S$1:$S1343,"&lt;"&amp;$S1343)))</f>
        <v>0</v>
      </c>
      <c r="Z1343" s="6">
        <f t="shared" si="206"/>
        <v>1</v>
      </c>
      <c r="AA1343" t="e">
        <f t="shared" si="207"/>
        <v>#VALUE!</v>
      </c>
      <c r="AB1343" t="str">
        <f t="shared" si="208"/>
        <v/>
      </c>
      <c r="AC1343" t="e">
        <f t="shared" si="209"/>
        <v>#VALUE!</v>
      </c>
    </row>
    <row r="1344" spans="1:29" x14ac:dyDescent="0.2">
      <c r="A1344" t="str">
        <f t="shared" si="210"/>
        <v/>
      </c>
      <c r="E1344" s="4"/>
      <c r="F1344" s="46"/>
      <c r="G1344" s="4"/>
      <c r="H1344" s="48"/>
      <c r="J1344" s="26" t="str">
        <f t="shared" si="211"/>
        <v/>
      </c>
      <c r="N1344" t="str">
        <f t="shared" si="212"/>
        <v/>
      </c>
      <c r="Q1344" t="str">
        <f t="shared" si="213"/>
        <v/>
      </c>
      <c r="S1344" t="str">
        <f>IF(A1344=1,MAX($S$2:$S1343)+1,IF(OR($I1344&lt;&gt;"",A1344="x"),$S1343,""))</f>
        <v/>
      </c>
      <c r="T1344" t="str">
        <f>IF(D1344=1,MAX($T$2:$T1343)+1,IF(S1344=S1343,$T1343,IF(D1344="x",T1343,IF(D1343="x","",""))))</f>
        <v/>
      </c>
      <c r="U1344" t="str">
        <f>IF(B1344=1,MAX($U$2:$U1343)+1,IF(AND($T1344&lt;&gt;"",$T1344=$T1343),$U1343,IF(B1344="x",U1343,"")))</f>
        <v/>
      </c>
      <c r="V1344" t="str">
        <f>IF(C1344=1,MAX($V$2:$V1343)+1,IF(AND($T1344&lt;&gt;"",$T1344=$T1343),$U1343,IF(C1344="x",V1343,"")))</f>
        <v/>
      </c>
      <c r="X1344" cm="1">
        <f t="array" ref="X1344">IF($I1344&lt;&gt;"",$I1344,INDEX($I$1:$I1344,ROW()-COUNTIFS($T$1:$T1344,"="&amp;$T1344,$S$1:$S1344,"&lt;"&amp;$S1344)))</f>
        <v>0</v>
      </c>
      <c r="Z1344" s="6">
        <f t="shared" si="206"/>
        <v>1</v>
      </c>
      <c r="AA1344" t="e">
        <f t="shared" si="207"/>
        <v>#VALUE!</v>
      </c>
      <c r="AB1344" t="str">
        <f t="shared" si="208"/>
        <v/>
      </c>
      <c r="AC1344" t="e">
        <f t="shared" si="209"/>
        <v>#VALUE!</v>
      </c>
    </row>
    <row r="1345" spans="1:29" x14ac:dyDescent="0.2">
      <c r="A1345" t="str">
        <f t="shared" si="210"/>
        <v/>
      </c>
      <c r="E1345" s="4"/>
      <c r="F1345" s="46"/>
      <c r="G1345" s="4"/>
      <c r="H1345" s="48"/>
      <c r="J1345" s="26" t="str">
        <f t="shared" si="211"/>
        <v/>
      </c>
      <c r="N1345" t="str">
        <f t="shared" si="212"/>
        <v/>
      </c>
      <c r="Q1345" t="str">
        <f t="shared" si="213"/>
        <v/>
      </c>
      <c r="S1345" t="str">
        <f>IF(A1345=1,MAX($S$2:$S1344)+1,IF(OR($I1345&lt;&gt;"",A1345="x"),$S1344,""))</f>
        <v/>
      </c>
      <c r="T1345" t="str">
        <f>IF(D1345=1,MAX($T$2:$T1344)+1,IF(S1345=S1344,$T1344,IF(D1345="x",T1344,IF(D1344="x","",""))))</f>
        <v/>
      </c>
      <c r="U1345" t="str">
        <f>IF(B1345=1,MAX($U$2:$U1344)+1,IF(AND($T1345&lt;&gt;"",$T1345=$T1344),$U1344,IF(B1345="x",U1344,"")))</f>
        <v/>
      </c>
      <c r="V1345" t="str">
        <f>IF(C1345=1,MAX($V$2:$V1344)+1,IF(AND($T1345&lt;&gt;"",$T1345=$T1344),$U1344,IF(C1345="x",V1344,"")))</f>
        <v/>
      </c>
      <c r="X1345" cm="1">
        <f t="array" ref="X1345">IF($I1345&lt;&gt;"",$I1345,INDEX($I$1:$I1345,ROW()-COUNTIFS($T$1:$T1345,"="&amp;$T1345,$S$1:$S1345,"&lt;"&amp;$S1345)))</f>
        <v>0</v>
      </c>
      <c r="Z1345" s="6">
        <f t="shared" si="206"/>
        <v>1</v>
      </c>
      <c r="AA1345" t="e">
        <f t="shared" si="207"/>
        <v>#VALUE!</v>
      </c>
      <c r="AB1345" t="str">
        <f t="shared" si="208"/>
        <v/>
      </c>
      <c r="AC1345" t="e">
        <f t="shared" si="209"/>
        <v>#VALUE!</v>
      </c>
    </row>
    <row r="1346" spans="1:29" x14ac:dyDescent="0.2">
      <c r="A1346" t="str">
        <f t="shared" si="210"/>
        <v/>
      </c>
      <c r="E1346" s="4"/>
      <c r="F1346" s="46"/>
      <c r="G1346" s="4"/>
      <c r="H1346" s="48"/>
      <c r="J1346" s="26" t="str">
        <f t="shared" si="211"/>
        <v/>
      </c>
      <c r="N1346" t="str">
        <f t="shared" si="212"/>
        <v/>
      </c>
      <c r="Q1346" t="str">
        <f t="shared" si="213"/>
        <v/>
      </c>
      <c r="S1346" t="str">
        <f>IF(A1346=1,MAX($S$2:$S1345)+1,IF(OR($I1346&lt;&gt;"",A1346="x"),$S1345,""))</f>
        <v/>
      </c>
      <c r="T1346" t="str">
        <f>IF(D1346=1,MAX($T$2:$T1345)+1,IF(S1346=S1345,$T1345,IF(D1346="x",T1345,IF(D1345="x","",""))))</f>
        <v/>
      </c>
      <c r="U1346" t="str">
        <f>IF(B1346=1,MAX($U$2:$U1345)+1,IF(AND($T1346&lt;&gt;"",$T1346=$T1345),$U1345,IF(B1346="x",U1345,"")))</f>
        <v/>
      </c>
      <c r="V1346" t="str">
        <f>IF(C1346=1,MAX($V$2:$V1345)+1,IF(AND($T1346&lt;&gt;"",$T1346=$T1345),$U1345,IF(C1346="x",V1345,"")))</f>
        <v/>
      </c>
      <c r="X1346" cm="1">
        <f t="array" ref="X1346">IF($I1346&lt;&gt;"",$I1346,INDEX($I$1:$I1346,ROW()-COUNTIFS($T$1:$T1346,"="&amp;$T1346,$S$1:$S1346,"&lt;"&amp;$S1346)))</f>
        <v>0</v>
      </c>
      <c r="Z1346" s="6">
        <f t="shared" si="206"/>
        <v>1</v>
      </c>
      <c r="AA1346" t="e">
        <f t="shared" si="207"/>
        <v>#VALUE!</v>
      </c>
      <c r="AB1346" t="str">
        <f t="shared" si="208"/>
        <v/>
      </c>
      <c r="AC1346" t="e">
        <f t="shared" si="209"/>
        <v>#VALUE!</v>
      </c>
    </row>
    <row r="1347" spans="1:29" x14ac:dyDescent="0.2">
      <c r="A1347" t="str">
        <f t="shared" si="210"/>
        <v/>
      </c>
      <c r="E1347" s="4"/>
      <c r="F1347" s="46"/>
      <c r="G1347" s="4"/>
      <c r="H1347" s="48"/>
      <c r="J1347" s="26" t="str">
        <f t="shared" si="211"/>
        <v/>
      </c>
      <c r="N1347" t="str">
        <f t="shared" si="212"/>
        <v/>
      </c>
      <c r="Q1347" t="str">
        <f t="shared" si="213"/>
        <v/>
      </c>
      <c r="S1347" t="str">
        <f>IF(A1347=1,MAX($S$2:$S1346)+1,IF(OR($I1347&lt;&gt;"",A1347="x"),$S1346,""))</f>
        <v/>
      </c>
      <c r="T1347" t="str">
        <f>IF(D1347=1,MAX($T$2:$T1346)+1,IF(S1347=S1346,$T1346,IF(D1347="x",T1346,IF(D1346="x","",""))))</f>
        <v/>
      </c>
      <c r="U1347" t="str">
        <f>IF(B1347=1,MAX($U$2:$U1346)+1,IF(AND($T1347&lt;&gt;"",$T1347=$T1346),$U1346,IF(B1347="x",U1346,"")))</f>
        <v/>
      </c>
      <c r="V1347" t="str">
        <f>IF(C1347=1,MAX($V$2:$V1346)+1,IF(AND($T1347&lt;&gt;"",$T1347=$T1346),$U1346,IF(C1347="x",V1346,"")))</f>
        <v/>
      </c>
      <c r="X1347" cm="1">
        <f t="array" ref="X1347">IF($I1347&lt;&gt;"",$I1347,INDEX($I$1:$I1347,ROW()-COUNTIFS($T$1:$T1347,"="&amp;$T1347,$S$1:$S1347,"&lt;"&amp;$S1347)))</f>
        <v>0</v>
      </c>
      <c r="Z1347" s="6">
        <f t="shared" si="206"/>
        <v>1</v>
      </c>
      <c r="AA1347" t="e">
        <f t="shared" si="207"/>
        <v>#VALUE!</v>
      </c>
      <c r="AB1347" t="str">
        <f t="shared" si="208"/>
        <v/>
      </c>
      <c r="AC1347" t="e">
        <f t="shared" si="209"/>
        <v>#VALUE!</v>
      </c>
    </row>
    <row r="1348" spans="1:29" x14ac:dyDescent="0.2">
      <c r="A1348" t="str">
        <f t="shared" si="210"/>
        <v/>
      </c>
      <c r="E1348" s="4"/>
      <c r="F1348" s="46"/>
      <c r="G1348" s="4"/>
      <c r="H1348" s="48"/>
      <c r="J1348" s="26" t="str">
        <f t="shared" si="211"/>
        <v/>
      </c>
      <c r="N1348" t="str">
        <f t="shared" si="212"/>
        <v/>
      </c>
      <c r="Q1348" t="str">
        <f t="shared" si="213"/>
        <v/>
      </c>
      <c r="S1348" t="str">
        <f>IF(A1348=1,MAX($S$2:$S1347)+1,IF(OR($I1348&lt;&gt;"",A1348="x"),$S1347,""))</f>
        <v/>
      </c>
      <c r="T1348" t="str">
        <f>IF(D1348=1,MAX($T$2:$T1347)+1,IF(S1348=S1347,$T1347,IF(D1348="x",T1347,IF(D1347="x","",""))))</f>
        <v/>
      </c>
      <c r="U1348" t="str">
        <f>IF(B1348=1,MAX($U$2:$U1347)+1,IF(AND($T1348&lt;&gt;"",$T1348=$T1347),$U1347,IF(B1348="x",U1347,"")))</f>
        <v/>
      </c>
      <c r="V1348" t="str">
        <f>IF(C1348=1,MAX($V$2:$V1347)+1,IF(AND($T1348&lt;&gt;"",$T1348=$T1347),$U1347,IF(C1348="x",V1347,"")))</f>
        <v/>
      </c>
      <c r="X1348" cm="1">
        <f t="array" ref="X1348">IF($I1348&lt;&gt;"",$I1348,INDEX($I$1:$I1348,ROW()-COUNTIFS($T$1:$T1348,"="&amp;$T1348,$S$1:$S1348,"&lt;"&amp;$S1348)))</f>
        <v>0</v>
      </c>
      <c r="Z1348" s="6">
        <f t="shared" si="206"/>
        <v>1</v>
      </c>
      <c r="AA1348" t="e">
        <f t="shared" si="207"/>
        <v>#VALUE!</v>
      </c>
      <c r="AB1348" t="str">
        <f t="shared" si="208"/>
        <v/>
      </c>
      <c r="AC1348" t="e">
        <f t="shared" si="209"/>
        <v>#VALUE!</v>
      </c>
    </row>
    <row r="1349" spans="1:29" x14ac:dyDescent="0.2">
      <c r="A1349" t="str">
        <f t="shared" si="210"/>
        <v/>
      </c>
      <c r="E1349" s="4"/>
      <c r="F1349" s="46"/>
      <c r="G1349" s="4"/>
      <c r="H1349" s="48"/>
      <c r="J1349" s="26" t="str">
        <f t="shared" si="211"/>
        <v/>
      </c>
      <c r="N1349" t="str">
        <f t="shared" si="212"/>
        <v/>
      </c>
      <c r="Q1349" t="str">
        <f t="shared" si="213"/>
        <v/>
      </c>
      <c r="S1349" t="str">
        <f>IF(A1349=1,MAX($S$2:$S1348)+1,IF(OR($I1349&lt;&gt;"",A1349="x"),$S1348,""))</f>
        <v/>
      </c>
      <c r="T1349" t="str">
        <f>IF(D1349=1,MAX($T$2:$T1348)+1,IF(S1349=S1348,$T1348,IF(D1349="x",T1348,IF(D1348="x","",""))))</f>
        <v/>
      </c>
      <c r="U1349" t="str">
        <f>IF(B1349=1,MAX($U$2:$U1348)+1,IF(AND($T1349&lt;&gt;"",$T1349=$T1348),$U1348,IF(B1349="x",U1348,"")))</f>
        <v/>
      </c>
      <c r="V1349" t="str">
        <f>IF(C1349=1,MAX($V$2:$V1348)+1,IF(AND($T1349&lt;&gt;"",$T1349=$T1348),$U1348,IF(C1349="x",V1348,"")))</f>
        <v/>
      </c>
      <c r="X1349" cm="1">
        <f t="array" ref="X1349">IF($I1349&lt;&gt;"",$I1349,INDEX($I$1:$I1349,ROW()-COUNTIFS($T$1:$T1349,"="&amp;$T1349,$S$1:$S1349,"&lt;"&amp;$S1349)))</f>
        <v>0</v>
      </c>
      <c r="Z1349" s="6">
        <f t="shared" ref="Z1349:Z1412" si="214">IF(K1349="Intermission",Z1348+1,Z1348)</f>
        <v>1</v>
      </c>
      <c r="AA1349" t="e">
        <f t="shared" ref="AA1349:AA1412" si="215">S1349+1000</f>
        <v>#VALUE!</v>
      </c>
      <c r="AB1349" t="str">
        <f t="shared" ref="AB1349:AB1412" si="216">IF(T1349&lt;&gt;"",9000+T1349,"")</f>
        <v/>
      </c>
      <c r="AC1349" t="e">
        <f t="shared" ref="AC1349:AC1412" si="217">IF(AB1349&lt;&gt;"",AB1349,S1349+1000)</f>
        <v>#VALUE!</v>
      </c>
    </row>
    <row r="1350" spans="1:29" x14ac:dyDescent="0.2">
      <c r="A1350" t="str">
        <f t="shared" si="210"/>
        <v/>
      </c>
      <c r="E1350" s="4"/>
      <c r="F1350" s="46"/>
      <c r="G1350" s="4"/>
      <c r="H1350" s="48"/>
      <c r="J1350" s="26" t="str">
        <f t="shared" si="211"/>
        <v/>
      </c>
      <c r="N1350" t="str">
        <f t="shared" si="212"/>
        <v/>
      </c>
      <c r="Q1350" t="str">
        <f t="shared" si="213"/>
        <v/>
      </c>
      <c r="S1350" t="str">
        <f>IF(A1350=1,MAX($S$2:$S1349)+1,IF(OR($I1350&lt;&gt;"",A1350="x"),$S1349,""))</f>
        <v/>
      </c>
      <c r="T1350" t="str">
        <f>IF(D1350=1,MAX($T$2:$T1349)+1,IF(S1350=S1349,$T1349,IF(D1350="x",T1349,IF(D1349="x","",""))))</f>
        <v/>
      </c>
      <c r="U1350" t="str">
        <f>IF(B1350=1,MAX($U$2:$U1349)+1,IF(AND($T1350&lt;&gt;"",$T1350=$T1349),$U1349,IF(B1350="x",U1349,"")))</f>
        <v/>
      </c>
      <c r="V1350" t="str">
        <f>IF(C1350=1,MAX($V$2:$V1349)+1,IF(AND($T1350&lt;&gt;"",$T1350=$T1349),$U1349,IF(C1350="x",V1349,"")))</f>
        <v/>
      </c>
      <c r="X1350" cm="1">
        <f t="array" ref="X1350">IF($I1350&lt;&gt;"",$I1350,INDEX($I$1:$I1350,ROW()-COUNTIFS($T$1:$T1350,"="&amp;$T1350,$S$1:$S1350,"&lt;"&amp;$S1350)))</f>
        <v>0</v>
      </c>
      <c r="Z1350" s="6">
        <f t="shared" si="214"/>
        <v>1</v>
      </c>
      <c r="AA1350" t="e">
        <f t="shared" si="215"/>
        <v>#VALUE!</v>
      </c>
      <c r="AB1350" t="str">
        <f t="shared" si="216"/>
        <v/>
      </c>
      <c r="AC1350" t="e">
        <f t="shared" si="217"/>
        <v>#VALUE!</v>
      </c>
    </row>
    <row r="1351" spans="1:29" x14ac:dyDescent="0.2">
      <c r="A1351" t="str">
        <f t="shared" si="210"/>
        <v/>
      </c>
      <c r="E1351" s="4"/>
      <c r="F1351" s="46"/>
      <c r="G1351" s="4"/>
      <c r="H1351" s="48"/>
      <c r="J1351" s="26" t="str">
        <f t="shared" si="211"/>
        <v/>
      </c>
      <c r="N1351" t="str">
        <f t="shared" si="212"/>
        <v/>
      </c>
      <c r="Q1351" t="str">
        <f t="shared" si="213"/>
        <v/>
      </c>
      <c r="S1351" t="str">
        <f>IF(A1351=1,MAX($S$2:$S1350)+1,IF(OR($I1351&lt;&gt;"",A1351="x"),$S1350,""))</f>
        <v/>
      </c>
      <c r="T1351" t="str">
        <f>IF(D1351=1,MAX($T$2:$T1350)+1,IF(S1351=S1350,$T1350,IF(D1351="x",T1350,IF(D1350="x","",""))))</f>
        <v/>
      </c>
      <c r="U1351" t="str">
        <f>IF(B1351=1,MAX($U$2:$U1350)+1,IF(AND($T1351&lt;&gt;"",$T1351=$T1350),$U1350,IF(B1351="x",U1350,"")))</f>
        <v/>
      </c>
      <c r="V1351" t="str">
        <f>IF(C1351=1,MAX($V$2:$V1350)+1,IF(AND($T1351&lt;&gt;"",$T1351=$T1350),$U1350,IF(C1351="x",V1350,"")))</f>
        <v/>
      </c>
      <c r="X1351" cm="1">
        <f t="array" ref="X1351">IF($I1351&lt;&gt;"",$I1351,INDEX($I$1:$I1351,ROW()-COUNTIFS($T$1:$T1351,"="&amp;$T1351,$S$1:$S1351,"&lt;"&amp;$S1351)))</f>
        <v>0</v>
      </c>
      <c r="Z1351" s="6">
        <f t="shared" si="214"/>
        <v>1</v>
      </c>
      <c r="AA1351" t="e">
        <f t="shared" si="215"/>
        <v>#VALUE!</v>
      </c>
      <c r="AB1351" t="str">
        <f t="shared" si="216"/>
        <v/>
      </c>
      <c r="AC1351" t="e">
        <f t="shared" si="217"/>
        <v>#VALUE!</v>
      </c>
    </row>
    <row r="1352" spans="1:29" x14ac:dyDescent="0.2">
      <c r="A1352" t="str">
        <f t="shared" si="210"/>
        <v/>
      </c>
      <c r="E1352" s="4"/>
      <c r="F1352" s="46"/>
      <c r="G1352" s="4"/>
      <c r="H1352" s="48"/>
      <c r="J1352" s="26" t="str">
        <f t="shared" si="211"/>
        <v/>
      </c>
      <c r="N1352" t="str">
        <f t="shared" si="212"/>
        <v/>
      </c>
      <c r="Q1352" t="str">
        <f t="shared" si="213"/>
        <v/>
      </c>
      <c r="S1352" t="str">
        <f>IF(A1352=1,MAX($S$2:$S1351)+1,IF(OR($I1352&lt;&gt;"",A1352="x"),$S1351,""))</f>
        <v/>
      </c>
      <c r="T1352" t="str">
        <f>IF(D1352=1,MAX($T$2:$T1351)+1,IF(S1352=S1351,$T1351,IF(D1352="x",T1351,IF(D1351="x","",""))))</f>
        <v/>
      </c>
      <c r="U1352" t="str">
        <f>IF(B1352=1,MAX($U$2:$U1351)+1,IF(AND($T1352&lt;&gt;"",$T1352=$T1351),$U1351,IF(B1352="x",U1351,"")))</f>
        <v/>
      </c>
      <c r="V1352" t="str">
        <f>IF(C1352=1,MAX($V$2:$V1351)+1,IF(AND($T1352&lt;&gt;"",$T1352=$T1351),$U1351,IF(C1352="x",V1351,"")))</f>
        <v/>
      </c>
      <c r="X1352" cm="1">
        <f t="array" ref="X1352">IF($I1352&lt;&gt;"",$I1352,INDEX($I$1:$I1352,ROW()-COUNTIFS($T$1:$T1352,"="&amp;$T1352,$S$1:$S1352,"&lt;"&amp;$S1352)))</f>
        <v>0</v>
      </c>
      <c r="Z1352" s="6">
        <f t="shared" si="214"/>
        <v>1</v>
      </c>
      <c r="AA1352" t="e">
        <f t="shared" si="215"/>
        <v>#VALUE!</v>
      </c>
      <c r="AB1352" t="str">
        <f t="shared" si="216"/>
        <v/>
      </c>
      <c r="AC1352" t="e">
        <f t="shared" si="217"/>
        <v>#VALUE!</v>
      </c>
    </row>
    <row r="1353" spans="1:29" x14ac:dyDescent="0.2">
      <c r="A1353" t="str">
        <f t="shared" si="210"/>
        <v/>
      </c>
      <c r="E1353" s="4"/>
      <c r="F1353" s="46"/>
      <c r="G1353" s="4"/>
      <c r="H1353" s="48"/>
      <c r="J1353" s="26" t="str">
        <f t="shared" si="211"/>
        <v/>
      </c>
      <c r="N1353" t="str">
        <f t="shared" si="212"/>
        <v/>
      </c>
      <c r="Q1353" t="str">
        <f t="shared" si="213"/>
        <v/>
      </c>
      <c r="S1353" t="str">
        <f>IF(A1353=1,MAX($S$2:$S1352)+1,IF(OR($I1353&lt;&gt;"",A1353="x"),$S1352,""))</f>
        <v/>
      </c>
      <c r="T1353" t="str">
        <f>IF(D1353=1,MAX($T$2:$T1352)+1,IF(S1353=S1352,$T1352,IF(D1353="x",T1352,IF(D1352="x","",""))))</f>
        <v/>
      </c>
      <c r="U1353" t="str">
        <f>IF(B1353=1,MAX($U$2:$U1352)+1,IF(AND($T1353&lt;&gt;"",$T1353=$T1352),$U1352,IF(B1353="x",U1352,"")))</f>
        <v/>
      </c>
      <c r="V1353" t="str">
        <f>IF(C1353=1,MAX($V$2:$V1352)+1,IF(AND($T1353&lt;&gt;"",$T1353=$T1352),$U1352,IF(C1353="x",V1352,"")))</f>
        <v/>
      </c>
      <c r="X1353" cm="1">
        <f t="array" ref="X1353">IF($I1353&lt;&gt;"",$I1353,INDEX($I$1:$I1353,ROW()-COUNTIFS($T$1:$T1353,"="&amp;$T1353,$S$1:$S1353,"&lt;"&amp;$S1353)))</f>
        <v>0</v>
      </c>
      <c r="Z1353" s="6">
        <f t="shared" si="214"/>
        <v>1</v>
      </c>
      <c r="AA1353" t="e">
        <f t="shared" si="215"/>
        <v>#VALUE!</v>
      </c>
      <c r="AB1353" t="str">
        <f t="shared" si="216"/>
        <v/>
      </c>
      <c r="AC1353" t="e">
        <f t="shared" si="217"/>
        <v>#VALUE!</v>
      </c>
    </row>
    <row r="1354" spans="1:29" x14ac:dyDescent="0.2">
      <c r="A1354" t="str">
        <f t="shared" si="210"/>
        <v/>
      </c>
      <c r="E1354" s="4"/>
      <c r="F1354" s="46"/>
      <c r="G1354" s="4"/>
      <c r="H1354" s="48"/>
      <c r="J1354" s="26" t="str">
        <f t="shared" si="211"/>
        <v/>
      </c>
      <c r="N1354" t="str">
        <f t="shared" si="212"/>
        <v/>
      </c>
      <c r="Q1354" t="str">
        <f t="shared" si="213"/>
        <v/>
      </c>
      <c r="S1354" t="str">
        <f>IF(A1354=1,MAX($S$2:$S1353)+1,IF(OR($I1354&lt;&gt;"",A1354="x"),$S1353,""))</f>
        <v/>
      </c>
      <c r="T1354" t="str">
        <f>IF(D1354=1,MAX($T$2:$T1353)+1,IF(S1354=S1353,$T1353,IF(D1354="x",T1353,IF(D1353="x","",""))))</f>
        <v/>
      </c>
      <c r="U1354" t="str">
        <f>IF(B1354=1,MAX($U$2:$U1353)+1,IF(AND($T1354&lt;&gt;"",$T1354=$T1353),$U1353,IF(B1354="x",U1353,"")))</f>
        <v/>
      </c>
      <c r="V1354" t="str">
        <f>IF(C1354=1,MAX($V$2:$V1353)+1,IF(AND($T1354&lt;&gt;"",$T1354=$T1353),$U1353,IF(C1354="x",V1353,"")))</f>
        <v/>
      </c>
      <c r="X1354" cm="1">
        <f t="array" ref="X1354">IF($I1354&lt;&gt;"",$I1354,INDEX($I$1:$I1354,ROW()-COUNTIFS($T$1:$T1354,"="&amp;$T1354,$S$1:$S1354,"&lt;"&amp;$S1354)))</f>
        <v>0</v>
      </c>
      <c r="Z1354" s="6">
        <f t="shared" si="214"/>
        <v>1</v>
      </c>
      <c r="AA1354" t="e">
        <f t="shared" si="215"/>
        <v>#VALUE!</v>
      </c>
      <c r="AB1354" t="str">
        <f t="shared" si="216"/>
        <v/>
      </c>
      <c r="AC1354" t="e">
        <f t="shared" si="217"/>
        <v>#VALUE!</v>
      </c>
    </row>
    <row r="1355" spans="1:29" x14ac:dyDescent="0.2">
      <c r="A1355" t="str">
        <f t="shared" si="210"/>
        <v/>
      </c>
      <c r="E1355" s="4"/>
      <c r="F1355" s="46"/>
      <c r="G1355" s="4"/>
      <c r="H1355" s="48"/>
      <c r="J1355" s="26" t="str">
        <f t="shared" si="211"/>
        <v/>
      </c>
      <c r="N1355" t="str">
        <f t="shared" si="212"/>
        <v/>
      </c>
      <c r="Q1355" t="str">
        <f t="shared" si="213"/>
        <v/>
      </c>
      <c r="S1355" t="str">
        <f>IF(A1355=1,MAX($S$2:$S1354)+1,IF(OR($I1355&lt;&gt;"",A1355="x"),$S1354,""))</f>
        <v/>
      </c>
      <c r="T1355" t="str">
        <f>IF(D1355=1,MAX($T$2:$T1354)+1,IF(S1355=S1354,$T1354,IF(D1355="x",T1354,IF(D1354="x","",""))))</f>
        <v/>
      </c>
      <c r="U1355" t="str">
        <f>IF(B1355=1,MAX($U$2:$U1354)+1,IF(AND($T1355&lt;&gt;"",$T1355=$T1354),$U1354,IF(B1355="x",U1354,"")))</f>
        <v/>
      </c>
      <c r="V1355" t="str">
        <f>IF(C1355=1,MAX($V$2:$V1354)+1,IF(AND($T1355&lt;&gt;"",$T1355=$T1354),$U1354,IF(C1355="x",V1354,"")))</f>
        <v/>
      </c>
      <c r="X1355" cm="1">
        <f t="array" ref="X1355">IF($I1355&lt;&gt;"",$I1355,INDEX($I$1:$I1355,ROW()-COUNTIFS($T$1:$T1355,"="&amp;$T1355,$S$1:$S1355,"&lt;"&amp;$S1355)))</f>
        <v>0</v>
      </c>
      <c r="Z1355" s="6">
        <f t="shared" si="214"/>
        <v>1</v>
      </c>
      <c r="AA1355" t="e">
        <f t="shared" si="215"/>
        <v>#VALUE!</v>
      </c>
      <c r="AB1355" t="str">
        <f t="shared" si="216"/>
        <v/>
      </c>
      <c r="AC1355" t="e">
        <f t="shared" si="217"/>
        <v>#VALUE!</v>
      </c>
    </row>
    <row r="1356" spans="1:29" x14ac:dyDescent="0.2">
      <c r="A1356" t="str">
        <f t="shared" si="210"/>
        <v/>
      </c>
      <c r="E1356" s="4"/>
      <c r="F1356" s="46"/>
      <c r="G1356" s="4"/>
      <c r="H1356" s="48"/>
      <c r="J1356" s="26" t="str">
        <f t="shared" si="211"/>
        <v/>
      </c>
      <c r="N1356" t="str">
        <f t="shared" si="212"/>
        <v/>
      </c>
      <c r="Q1356" t="str">
        <f t="shared" si="213"/>
        <v/>
      </c>
      <c r="S1356" t="str">
        <f>IF(A1356=1,MAX($S$2:$S1355)+1,IF(OR($I1356&lt;&gt;"",A1356="x"),$S1355,""))</f>
        <v/>
      </c>
      <c r="T1356" t="str">
        <f>IF(D1356=1,MAX($T$2:$T1355)+1,IF(S1356=S1355,$T1355,IF(D1356="x",T1355,IF(D1355="x","",""))))</f>
        <v/>
      </c>
      <c r="U1356" t="str">
        <f>IF(B1356=1,MAX($U$2:$U1355)+1,IF(AND($T1356&lt;&gt;"",$T1356=$T1355),$U1355,IF(B1356="x",U1355,"")))</f>
        <v/>
      </c>
      <c r="V1356" t="str">
        <f>IF(C1356=1,MAX($V$2:$V1355)+1,IF(AND($T1356&lt;&gt;"",$T1356=$T1355),$U1355,IF(C1356="x",V1355,"")))</f>
        <v/>
      </c>
      <c r="X1356" cm="1">
        <f t="array" ref="X1356">IF($I1356&lt;&gt;"",$I1356,INDEX($I$1:$I1356,ROW()-COUNTIFS($T$1:$T1356,"="&amp;$T1356,$S$1:$S1356,"&lt;"&amp;$S1356)))</f>
        <v>0</v>
      </c>
      <c r="Z1356" s="6">
        <f t="shared" si="214"/>
        <v>1</v>
      </c>
      <c r="AA1356" t="e">
        <f t="shared" si="215"/>
        <v>#VALUE!</v>
      </c>
      <c r="AB1356" t="str">
        <f t="shared" si="216"/>
        <v/>
      </c>
      <c r="AC1356" t="e">
        <f t="shared" si="217"/>
        <v>#VALUE!</v>
      </c>
    </row>
    <row r="1357" spans="1:29" x14ac:dyDescent="0.2">
      <c r="A1357" t="str">
        <f t="shared" si="210"/>
        <v/>
      </c>
      <c r="E1357" s="4"/>
      <c r="F1357" s="46"/>
      <c r="G1357" s="4"/>
      <c r="H1357" s="48"/>
      <c r="J1357" s="26" t="str">
        <f t="shared" si="211"/>
        <v/>
      </c>
      <c r="N1357" t="str">
        <f t="shared" si="212"/>
        <v/>
      </c>
      <c r="Q1357" t="str">
        <f t="shared" si="213"/>
        <v/>
      </c>
      <c r="S1357" t="str">
        <f>IF(A1357=1,MAX($S$2:$S1356)+1,IF(OR($I1357&lt;&gt;"",A1357="x"),$S1356,""))</f>
        <v/>
      </c>
      <c r="T1357" t="str">
        <f>IF(D1357=1,MAX($T$2:$T1356)+1,IF(S1357=S1356,$T1356,IF(D1357="x",T1356,IF(D1356="x","",""))))</f>
        <v/>
      </c>
      <c r="U1357" t="str">
        <f>IF(B1357=1,MAX($U$2:$U1356)+1,IF(AND($T1357&lt;&gt;"",$T1357=$T1356),$U1356,IF(B1357="x",U1356,"")))</f>
        <v/>
      </c>
      <c r="V1357" t="str">
        <f>IF(C1357=1,MAX($V$2:$V1356)+1,IF(AND($T1357&lt;&gt;"",$T1357=$T1356),$U1356,IF(C1357="x",V1356,"")))</f>
        <v/>
      </c>
      <c r="X1357" cm="1">
        <f t="array" ref="X1357">IF($I1357&lt;&gt;"",$I1357,INDEX($I$1:$I1357,ROW()-COUNTIFS($T$1:$T1357,"="&amp;$T1357,$S$1:$S1357,"&lt;"&amp;$S1357)))</f>
        <v>0</v>
      </c>
      <c r="Z1357" s="6">
        <f t="shared" si="214"/>
        <v>1</v>
      </c>
      <c r="AA1357" t="e">
        <f t="shared" si="215"/>
        <v>#VALUE!</v>
      </c>
      <c r="AB1357" t="str">
        <f t="shared" si="216"/>
        <v/>
      </c>
      <c r="AC1357" t="e">
        <f t="shared" si="217"/>
        <v>#VALUE!</v>
      </c>
    </row>
    <row r="1358" spans="1:29" x14ac:dyDescent="0.2">
      <c r="A1358" t="str">
        <f t="shared" si="210"/>
        <v/>
      </c>
      <c r="E1358" s="4"/>
      <c r="F1358" s="46"/>
      <c r="G1358" s="4"/>
      <c r="H1358" s="48"/>
      <c r="J1358" s="26" t="str">
        <f t="shared" si="211"/>
        <v/>
      </c>
      <c r="N1358" t="str">
        <f t="shared" si="212"/>
        <v/>
      </c>
      <c r="Q1358" t="str">
        <f t="shared" si="213"/>
        <v/>
      </c>
      <c r="S1358" t="str">
        <f>IF(A1358=1,MAX($S$2:$S1357)+1,IF(OR($I1358&lt;&gt;"",A1358="x"),$S1357,""))</f>
        <v/>
      </c>
      <c r="T1358" t="str">
        <f>IF(D1358=1,MAX($T$2:$T1357)+1,IF(S1358=S1357,$T1357,IF(D1358="x",T1357,IF(D1357="x","",""))))</f>
        <v/>
      </c>
      <c r="U1358" t="str">
        <f>IF(B1358=1,MAX($U$2:$U1357)+1,IF(AND($T1358&lt;&gt;"",$T1358=$T1357),$U1357,IF(B1358="x",U1357,"")))</f>
        <v/>
      </c>
      <c r="V1358" t="str">
        <f>IF(C1358=1,MAX($V$2:$V1357)+1,IF(AND($T1358&lt;&gt;"",$T1358=$T1357),$U1357,IF(C1358="x",V1357,"")))</f>
        <v/>
      </c>
      <c r="X1358" cm="1">
        <f t="array" ref="X1358">IF($I1358&lt;&gt;"",$I1358,INDEX($I$1:$I1358,ROW()-COUNTIFS($T$1:$T1358,"="&amp;$T1358,$S$1:$S1358,"&lt;"&amp;$S1358)))</f>
        <v>0</v>
      </c>
      <c r="Z1358" s="6">
        <f t="shared" si="214"/>
        <v>1</v>
      </c>
      <c r="AA1358" t="e">
        <f t="shared" si="215"/>
        <v>#VALUE!</v>
      </c>
      <c r="AB1358" t="str">
        <f t="shared" si="216"/>
        <v/>
      </c>
      <c r="AC1358" t="e">
        <f t="shared" si="217"/>
        <v>#VALUE!</v>
      </c>
    </row>
    <row r="1359" spans="1:29" x14ac:dyDescent="0.2">
      <c r="A1359" t="str">
        <f t="shared" si="210"/>
        <v/>
      </c>
      <c r="E1359" s="4"/>
      <c r="F1359" s="46"/>
      <c r="G1359" s="4"/>
      <c r="H1359" s="48"/>
      <c r="J1359" s="26" t="str">
        <f t="shared" si="211"/>
        <v/>
      </c>
      <c r="N1359" t="str">
        <f t="shared" si="212"/>
        <v/>
      </c>
      <c r="Q1359" t="str">
        <f t="shared" si="213"/>
        <v/>
      </c>
      <c r="S1359" t="str">
        <f>IF(A1359=1,MAX($S$2:$S1358)+1,IF(OR($I1359&lt;&gt;"",A1359="x"),$S1358,""))</f>
        <v/>
      </c>
      <c r="T1359" t="str">
        <f>IF(D1359=1,MAX($T$2:$T1358)+1,IF(S1359=S1358,$T1358,IF(D1359="x",T1358,IF(D1358="x","",""))))</f>
        <v/>
      </c>
      <c r="U1359" t="str">
        <f>IF(B1359=1,MAX($U$2:$U1358)+1,IF(AND($T1359&lt;&gt;"",$T1359=$T1358),$U1358,IF(B1359="x",U1358,"")))</f>
        <v/>
      </c>
      <c r="V1359" t="str">
        <f>IF(C1359=1,MAX($V$2:$V1358)+1,IF(AND($T1359&lt;&gt;"",$T1359=$T1358),$U1358,IF(C1359="x",V1358,"")))</f>
        <v/>
      </c>
      <c r="X1359" cm="1">
        <f t="array" ref="X1359">IF($I1359&lt;&gt;"",$I1359,INDEX($I$1:$I1359,ROW()-COUNTIFS($T$1:$T1359,"="&amp;$T1359,$S$1:$S1359,"&lt;"&amp;$S1359)))</f>
        <v>0</v>
      </c>
      <c r="Z1359" s="6">
        <f t="shared" si="214"/>
        <v>1</v>
      </c>
      <c r="AA1359" t="e">
        <f t="shared" si="215"/>
        <v>#VALUE!</v>
      </c>
      <c r="AB1359" t="str">
        <f t="shared" si="216"/>
        <v/>
      </c>
      <c r="AC1359" t="e">
        <f t="shared" si="217"/>
        <v>#VALUE!</v>
      </c>
    </row>
    <row r="1360" spans="1:29" x14ac:dyDescent="0.2">
      <c r="A1360" t="str">
        <f t="shared" si="210"/>
        <v/>
      </c>
      <c r="E1360" s="4"/>
      <c r="F1360" s="46"/>
      <c r="G1360" s="4"/>
      <c r="H1360" s="48"/>
      <c r="J1360" s="26" t="str">
        <f t="shared" si="211"/>
        <v/>
      </c>
      <c r="N1360" t="str">
        <f t="shared" si="212"/>
        <v/>
      </c>
      <c r="Q1360" t="str">
        <f t="shared" si="213"/>
        <v/>
      </c>
      <c r="S1360" t="str">
        <f>IF(A1360=1,MAX($S$2:$S1359)+1,IF(OR($I1360&lt;&gt;"",A1360="x"),$S1359,""))</f>
        <v/>
      </c>
      <c r="T1360" t="str">
        <f>IF(D1360=1,MAX($T$2:$T1359)+1,IF(S1360=S1359,$T1359,IF(D1360="x",T1359,IF(D1359="x","",""))))</f>
        <v/>
      </c>
      <c r="U1360" t="str">
        <f>IF(B1360=1,MAX($U$2:$U1359)+1,IF(AND($T1360&lt;&gt;"",$T1360=$T1359),$U1359,IF(B1360="x",U1359,"")))</f>
        <v/>
      </c>
      <c r="V1360" t="str">
        <f>IF(C1360=1,MAX($V$2:$V1359)+1,IF(AND($T1360&lt;&gt;"",$T1360=$T1359),$U1359,IF(C1360="x",V1359,"")))</f>
        <v/>
      </c>
      <c r="X1360" cm="1">
        <f t="array" ref="X1360">IF($I1360&lt;&gt;"",$I1360,INDEX($I$1:$I1360,ROW()-COUNTIFS($T$1:$T1360,"="&amp;$T1360,$S$1:$S1360,"&lt;"&amp;$S1360)))</f>
        <v>0</v>
      </c>
      <c r="Z1360" s="6">
        <f t="shared" si="214"/>
        <v>1</v>
      </c>
      <c r="AA1360" t="e">
        <f t="shared" si="215"/>
        <v>#VALUE!</v>
      </c>
      <c r="AB1360" t="str">
        <f t="shared" si="216"/>
        <v/>
      </c>
      <c r="AC1360" t="e">
        <f t="shared" si="217"/>
        <v>#VALUE!</v>
      </c>
    </row>
    <row r="1361" spans="1:29" x14ac:dyDescent="0.2">
      <c r="A1361" t="str">
        <f t="shared" si="210"/>
        <v/>
      </c>
      <c r="E1361" s="4"/>
      <c r="F1361" s="46"/>
      <c r="G1361" s="4"/>
      <c r="H1361" s="48"/>
      <c r="J1361" s="26" t="str">
        <f t="shared" si="211"/>
        <v/>
      </c>
      <c r="N1361" t="str">
        <f t="shared" si="212"/>
        <v/>
      </c>
      <c r="Q1361" t="str">
        <f t="shared" si="213"/>
        <v/>
      </c>
      <c r="S1361" t="str">
        <f>IF(A1361=1,MAX($S$2:$S1360)+1,IF(OR($I1361&lt;&gt;"",A1361="x"),$S1360,""))</f>
        <v/>
      </c>
      <c r="T1361" t="str">
        <f>IF(D1361=1,MAX($T$2:$T1360)+1,IF(S1361=S1360,$T1360,IF(D1361="x",T1360,IF(D1360="x","",""))))</f>
        <v/>
      </c>
      <c r="U1361" t="str">
        <f>IF(B1361=1,MAX($U$2:$U1360)+1,IF(AND($T1361&lt;&gt;"",$T1361=$T1360),$U1360,IF(B1361="x",U1360,"")))</f>
        <v/>
      </c>
      <c r="V1361" t="str">
        <f>IF(C1361=1,MAX($V$2:$V1360)+1,IF(AND($T1361&lt;&gt;"",$T1361=$T1360),$U1360,IF(C1361="x",V1360,"")))</f>
        <v/>
      </c>
      <c r="X1361" cm="1">
        <f t="array" ref="X1361">IF($I1361&lt;&gt;"",$I1361,INDEX($I$1:$I1361,ROW()-COUNTIFS($T$1:$T1361,"="&amp;$T1361,$S$1:$S1361,"&lt;"&amp;$S1361)))</f>
        <v>0</v>
      </c>
      <c r="Z1361" s="6">
        <f t="shared" si="214"/>
        <v>1</v>
      </c>
      <c r="AA1361" t="e">
        <f t="shared" si="215"/>
        <v>#VALUE!</v>
      </c>
      <c r="AB1361" t="str">
        <f t="shared" si="216"/>
        <v/>
      </c>
      <c r="AC1361" t="e">
        <f t="shared" si="217"/>
        <v>#VALUE!</v>
      </c>
    </row>
    <row r="1362" spans="1:29" x14ac:dyDescent="0.2">
      <c r="A1362" t="str">
        <f t="shared" si="210"/>
        <v/>
      </c>
      <c r="E1362" s="4"/>
      <c r="F1362" s="46"/>
      <c r="G1362" s="4"/>
      <c r="H1362" s="48"/>
      <c r="J1362" s="26" t="str">
        <f t="shared" si="211"/>
        <v/>
      </c>
      <c r="N1362" t="str">
        <f t="shared" si="212"/>
        <v/>
      </c>
      <c r="Q1362" t="str">
        <f t="shared" si="213"/>
        <v/>
      </c>
      <c r="S1362" t="str">
        <f>IF(A1362=1,MAX($S$2:$S1361)+1,IF(OR($I1362&lt;&gt;"",A1362="x"),$S1361,""))</f>
        <v/>
      </c>
      <c r="T1362" t="str">
        <f>IF(D1362=1,MAX($T$2:$T1361)+1,IF(S1362=S1361,$T1361,IF(D1362="x",T1361,IF(D1361="x","",""))))</f>
        <v/>
      </c>
      <c r="U1362" t="str">
        <f>IF(B1362=1,MAX($U$2:$U1361)+1,IF(AND($T1362&lt;&gt;"",$T1362=$T1361),$U1361,IF(B1362="x",U1361,"")))</f>
        <v/>
      </c>
      <c r="V1362" t="str">
        <f>IF(C1362=1,MAX($V$2:$V1361)+1,IF(AND($T1362&lt;&gt;"",$T1362=$T1361),$U1361,IF(C1362="x",V1361,"")))</f>
        <v/>
      </c>
      <c r="X1362" cm="1">
        <f t="array" ref="X1362">IF($I1362&lt;&gt;"",$I1362,INDEX($I$1:$I1362,ROW()-COUNTIFS($T$1:$T1362,"="&amp;$T1362,$S$1:$S1362,"&lt;"&amp;$S1362)))</f>
        <v>0</v>
      </c>
      <c r="Z1362" s="6">
        <f t="shared" si="214"/>
        <v>1</v>
      </c>
      <c r="AA1362" t="e">
        <f t="shared" si="215"/>
        <v>#VALUE!</v>
      </c>
      <c r="AB1362" t="str">
        <f t="shared" si="216"/>
        <v/>
      </c>
      <c r="AC1362" t="e">
        <f t="shared" si="217"/>
        <v>#VALUE!</v>
      </c>
    </row>
    <row r="1363" spans="1:29" x14ac:dyDescent="0.2">
      <c r="A1363" t="str">
        <f t="shared" ref="A1363:A1426" si="218">IF(K1363&lt;&gt;"",1,IF(D1363="x","x",""))</f>
        <v/>
      </c>
      <c r="E1363" s="4"/>
      <c r="F1363" s="46"/>
      <c r="G1363" s="4"/>
      <c r="H1363" s="48"/>
      <c r="J1363" s="26" t="str">
        <f t="shared" ref="J1363:J1426" si="219">IF(OR(K1363="Goal",K1363="Shot",L1363="Zone_Entry",M1363="Stoppage-Goal",M1362="Stoppage-Goal"),"o",IF(OR(K1363="Save",K1363="Rebound",L1363="Zone_Exit",M1363="Stoppage-GoalieStoppage",M1362="Stoppage-GoalieStoppage"),"d",IF(OR(L1363="Faceoff_AfterGoal",L1363="Faceoff_PeriodStart",698="Faceoff_GameStart",M1362="Stoppage-Goal"),"n","")))</f>
        <v/>
      </c>
      <c r="N1363" t="str">
        <f t="shared" ref="N1363:N1426" si="220">IF(K1363="","",IF(K1363="Goal","s",IF(AND(K1363="Zone_Entry_Exit",OR(ISNUMBER(SEARCH("fail",L1363)),ISNUMBER(SEARCH("FromExitClear",M1363)),ISNUMBER(SEARCH("miss",M1363)))),"u",IF(AND(K1363="Zone_Entry_Exit",OR(NOT(ISNUMBER(SEARCH("fail",L1363))),NOT(ISNUMBER(SEARCH("FromExitClear",M1363))),NOT(ISNUMBER(SEARCH("miss",M1363))))),"s",IF(AND(OR(K1363="Shot",K1363="Pass"),OR(ISNUMBER(SEARCH("complete",L1363)),ISNUMBER(SEARCH("goal",L1363)),ISNUMBER(SEARCH("OnNet",L1363)))),"s",IF(L1363="Turnover_Giveaway","u",IF(AND(OR(K1363="Shot",K1363="Pass"),OR(ISNUMBER(SEARCH("fail",L1363)),NOT(ISNUMBER(SEARCH("complete",L1363))),NOT(ISNUMBER(SEARCH("OnNet",L1363))))),"u","")))))))</f>
        <v/>
      </c>
      <c r="Q1363" t="str">
        <f t="shared" ref="Q1363:Q1426" si="221">IF(O1363="","",IF(AND(N1363&lt;&gt;"",OR(O1363&lt;&gt;"",P1363&lt;&gt;"")),N1363,IF(OR(ISNUMBER(SEARCH("attemp",O1363)),ISNUMBER(SEARCH("beat",O1363)),ISNUMBER(SEARCH("mis",O1363)),ISNUMBER(SEARCH("fail",O1363)),ISNUMBER(SEARCH("loss",O1363)),ISNUMBER(SEARCH("lost",O1363)),ISNUMBER(SEARCH("attemp",P1363)),ISNUMBER(SEARCH("mis",P1363)),ISNUMBER(SEARCH("fail",P1363)),ISNUMBER(SEARCH("loss",P1363)),ISNUMBER(SEARCH("beat",P1363)),ISNUMBER(SEARCH("lost",P1363))),"u","")))</f>
        <v/>
      </c>
      <c r="S1363" t="str">
        <f>IF(A1363=1,MAX($S$2:$S1362)+1,IF(OR($I1363&lt;&gt;"",A1363="x"),$S1362,""))</f>
        <v/>
      </c>
      <c r="T1363" t="str">
        <f>IF(D1363=1,MAX($T$2:$T1362)+1,IF(S1363=S1362,$T1362,IF(D1363="x",T1362,IF(D1362="x","",""))))</f>
        <v/>
      </c>
      <c r="U1363" t="str">
        <f>IF(B1363=1,MAX($U$2:$U1362)+1,IF(AND($T1363&lt;&gt;"",$T1363=$T1362),$U1362,IF(B1363="x",U1362,"")))</f>
        <v/>
      </c>
      <c r="V1363" t="str">
        <f>IF(C1363=1,MAX($V$2:$V1362)+1,IF(AND($T1363&lt;&gt;"",$T1363=$T1362),$U1362,IF(C1363="x",V1362,"")))</f>
        <v/>
      </c>
      <c r="X1363" cm="1">
        <f t="array" ref="X1363">IF($I1363&lt;&gt;"",$I1363,INDEX($I$1:$I1363,ROW()-COUNTIFS($T$1:$T1363,"="&amp;$T1363,$S$1:$S1363,"&lt;"&amp;$S1363)))</f>
        <v>0</v>
      </c>
      <c r="Z1363" s="6">
        <f t="shared" si="214"/>
        <v>1</v>
      </c>
      <c r="AA1363" t="e">
        <f t="shared" si="215"/>
        <v>#VALUE!</v>
      </c>
      <c r="AB1363" t="str">
        <f t="shared" si="216"/>
        <v/>
      </c>
      <c r="AC1363" t="e">
        <f t="shared" si="217"/>
        <v>#VALUE!</v>
      </c>
    </row>
    <row r="1364" spans="1:29" x14ac:dyDescent="0.2">
      <c r="A1364" t="str">
        <f t="shared" si="218"/>
        <v/>
      </c>
      <c r="E1364" s="4"/>
      <c r="F1364" s="46"/>
      <c r="G1364" s="4"/>
      <c r="H1364" s="48"/>
      <c r="J1364" s="26" t="str">
        <f t="shared" si="219"/>
        <v/>
      </c>
      <c r="N1364" t="str">
        <f t="shared" si="220"/>
        <v/>
      </c>
      <c r="Q1364" t="str">
        <f t="shared" si="221"/>
        <v/>
      </c>
      <c r="S1364" t="str">
        <f>IF(A1364=1,MAX($S$2:$S1363)+1,IF(OR($I1364&lt;&gt;"",A1364="x"),$S1363,""))</f>
        <v/>
      </c>
      <c r="T1364" t="str">
        <f>IF(D1364=1,MAX($T$2:$T1363)+1,IF(S1364=S1363,$T1363,IF(D1364="x",T1363,IF(D1363="x","",""))))</f>
        <v/>
      </c>
      <c r="U1364" t="str">
        <f>IF(B1364=1,MAX($U$2:$U1363)+1,IF(AND($T1364&lt;&gt;"",$T1364=$T1363),$U1363,IF(B1364="x",U1363,"")))</f>
        <v/>
      </c>
      <c r="V1364" t="str">
        <f>IF(C1364=1,MAX($V$2:$V1363)+1,IF(AND($T1364&lt;&gt;"",$T1364=$T1363),$U1363,IF(C1364="x",V1363,"")))</f>
        <v/>
      </c>
      <c r="X1364" cm="1">
        <f t="array" ref="X1364">IF($I1364&lt;&gt;"",$I1364,INDEX($I$1:$I1364,ROW()-COUNTIFS($T$1:$T1364,"="&amp;$T1364,$S$1:$S1364,"&lt;"&amp;$S1364)))</f>
        <v>0</v>
      </c>
      <c r="Z1364" s="6">
        <f t="shared" si="214"/>
        <v>1</v>
      </c>
      <c r="AA1364" t="e">
        <f t="shared" si="215"/>
        <v>#VALUE!</v>
      </c>
      <c r="AB1364" t="str">
        <f t="shared" si="216"/>
        <v/>
      </c>
      <c r="AC1364" t="e">
        <f t="shared" si="217"/>
        <v>#VALUE!</v>
      </c>
    </row>
    <row r="1365" spans="1:29" x14ac:dyDescent="0.2">
      <c r="A1365" t="str">
        <f t="shared" si="218"/>
        <v/>
      </c>
      <c r="E1365" s="4"/>
      <c r="F1365" s="46"/>
      <c r="G1365" s="4"/>
      <c r="H1365" s="48"/>
      <c r="J1365" s="26" t="str">
        <f t="shared" si="219"/>
        <v/>
      </c>
      <c r="N1365" t="str">
        <f t="shared" si="220"/>
        <v/>
      </c>
      <c r="Q1365" t="str">
        <f t="shared" si="221"/>
        <v/>
      </c>
      <c r="S1365" t="str">
        <f>IF(A1365=1,MAX($S$2:$S1364)+1,IF(OR($I1365&lt;&gt;"",A1365="x"),$S1364,""))</f>
        <v/>
      </c>
      <c r="T1365" t="str">
        <f>IF(D1365=1,MAX($T$2:$T1364)+1,IF(S1365=S1364,$T1364,IF(D1365="x",T1364,IF(D1364="x","",""))))</f>
        <v/>
      </c>
      <c r="U1365" t="str">
        <f>IF(B1365=1,MAX($U$2:$U1364)+1,IF(AND($T1365&lt;&gt;"",$T1365=$T1364),$U1364,IF(B1365="x",U1364,"")))</f>
        <v/>
      </c>
      <c r="V1365" t="str">
        <f>IF(C1365=1,MAX($V$2:$V1364)+1,IF(AND($T1365&lt;&gt;"",$T1365=$T1364),$U1364,IF(C1365="x",V1364,"")))</f>
        <v/>
      </c>
      <c r="X1365" cm="1">
        <f t="array" ref="X1365">IF($I1365&lt;&gt;"",$I1365,INDEX($I$1:$I1365,ROW()-COUNTIFS($T$1:$T1365,"="&amp;$T1365,$S$1:$S1365,"&lt;"&amp;$S1365)))</f>
        <v>0</v>
      </c>
      <c r="Z1365" s="6">
        <f t="shared" si="214"/>
        <v>1</v>
      </c>
      <c r="AA1365" t="e">
        <f t="shared" si="215"/>
        <v>#VALUE!</v>
      </c>
      <c r="AB1365" t="str">
        <f t="shared" si="216"/>
        <v/>
      </c>
      <c r="AC1365" t="e">
        <f t="shared" si="217"/>
        <v>#VALUE!</v>
      </c>
    </row>
    <row r="1366" spans="1:29" x14ac:dyDescent="0.2">
      <c r="A1366" t="str">
        <f t="shared" si="218"/>
        <v/>
      </c>
      <c r="E1366" s="4"/>
      <c r="F1366" s="46"/>
      <c r="G1366" s="4"/>
      <c r="H1366" s="48"/>
      <c r="J1366" s="26" t="str">
        <f t="shared" si="219"/>
        <v/>
      </c>
      <c r="N1366" t="str">
        <f t="shared" si="220"/>
        <v/>
      </c>
      <c r="Q1366" t="str">
        <f t="shared" si="221"/>
        <v/>
      </c>
      <c r="S1366" t="str">
        <f>IF(A1366=1,MAX($S$2:$S1365)+1,IF(OR($I1366&lt;&gt;"",A1366="x"),$S1365,""))</f>
        <v/>
      </c>
      <c r="T1366" t="str">
        <f>IF(D1366=1,MAX($T$2:$T1365)+1,IF(S1366=S1365,$T1365,IF(D1366="x",T1365,IF(D1365="x","",""))))</f>
        <v/>
      </c>
      <c r="U1366" t="str">
        <f>IF(B1366=1,MAX($U$2:$U1365)+1,IF(AND($T1366&lt;&gt;"",$T1366=$T1365),$U1365,IF(B1366="x",U1365,"")))</f>
        <v/>
      </c>
      <c r="V1366" t="str">
        <f>IF(C1366=1,MAX($V$2:$V1365)+1,IF(AND($T1366&lt;&gt;"",$T1366=$T1365),$U1365,IF(C1366="x",V1365,"")))</f>
        <v/>
      </c>
      <c r="X1366" cm="1">
        <f t="array" ref="X1366">IF($I1366&lt;&gt;"",$I1366,INDEX($I$1:$I1366,ROW()-COUNTIFS($T$1:$T1366,"="&amp;$T1366,$S$1:$S1366,"&lt;"&amp;$S1366)))</f>
        <v>0</v>
      </c>
      <c r="Z1366" s="6">
        <f t="shared" si="214"/>
        <v>1</v>
      </c>
      <c r="AA1366" t="e">
        <f t="shared" si="215"/>
        <v>#VALUE!</v>
      </c>
      <c r="AB1366" t="str">
        <f t="shared" si="216"/>
        <v/>
      </c>
      <c r="AC1366" t="e">
        <f t="shared" si="217"/>
        <v>#VALUE!</v>
      </c>
    </row>
    <row r="1367" spans="1:29" x14ac:dyDescent="0.2">
      <c r="A1367" t="str">
        <f t="shared" si="218"/>
        <v/>
      </c>
      <c r="E1367" s="4"/>
      <c r="F1367" s="46"/>
      <c r="G1367" s="4"/>
      <c r="H1367" s="48"/>
      <c r="J1367" s="26" t="str">
        <f t="shared" si="219"/>
        <v/>
      </c>
      <c r="N1367" t="str">
        <f t="shared" si="220"/>
        <v/>
      </c>
      <c r="Q1367" t="str">
        <f t="shared" si="221"/>
        <v/>
      </c>
      <c r="S1367" t="str">
        <f>IF(A1367=1,MAX($S$2:$S1366)+1,IF(OR($I1367&lt;&gt;"",A1367="x"),$S1366,""))</f>
        <v/>
      </c>
      <c r="T1367" t="str">
        <f>IF(D1367=1,MAX($T$2:$T1366)+1,IF(S1367=S1366,$T1366,IF(D1367="x",T1366,IF(D1366="x","",""))))</f>
        <v/>
      </c>
      <c r="U1367" t="str">
        <f>IF(B1367=1,MAX($U$2:$U1366)+1,IF(AND($T1367&lt;&gt;"",$T1367=$T1366),$U1366,IF(B1367="x",U1366,"")))</f>
        <v/>
      </c>
      <c r="V1367" t="str">
        <f>IF(C1367=1,MAX($V$2:$V1366)+1,IF(AND($T1367&lt;&gt;"",$T1367=$T1366),$U1366,IF(C1367="x",V1366,"")))</f>
        <v/>
      </c>
      <c r="X1367" cm="1">
        <f t="array" ref="X1367">IF($I1367&lt;&gt;"",$I1367,INDEX($I$1:$I1367,ROW()-COUNTIFS($T$1:$T1367,"="&amp;$T1367,$S$1:$S1367,"&lt;"&amp;$S1367)))</f>
        <v>0</v>
      </c>
      <c r="Z1367" s="6">
        <f t="shared" si="214"/>
        <v>1</v>
      </c>
      <c r="AA1367" t="e">
        <f t="shared" si="215"/>
        <v>#VALUE!</v>
      </c>
      <c r="AB1367" t="str">
        <f t="shared" si="216"/>
        <v/>
      </c>
      <c r="AC1367" t="e">
        <f t="shared" si="217"/>
        <v>#VALUE!</v>
      </c>
    </row>
    <row r="1368" spans="1:29" x14ac:dyDescent="0.2">
      <c r="A1368" t="str">
        <f t="shared" si="218"/>
        <v/>
      </c>
      <c r="E1368" s="4"/>
      <c r="F1368" s="46"/>
      <c r="G1368" s="4"/>
      <c r="H1368" s="48"/>
      <c r="J1368" s="26" t="str">
        <f t="shared" si="219"/>
        <v/>
      </c>
      <c r="N1368" t="str">
        <f t="shared" si="220"/>
        <v/>
      </c>
      <c r="Q1368" t="str">
        <f t="shared" si="221"/>
        <v/>
      </c>
      <c r="S1368" t="str">
        <f>IF(A1368=1,MAX($S$2:$S1367)+1,IF(OR($I1368&lt;&gt;"",A1368="x"),$S1367,""))</f>
        <v/>
      </c>
      <c r="T1368" t="str">
        <f>IF(D1368=1,MAX($T$2:$T1367)+1,IF(S1368=S1367,$T1367,IF(D1368="x",T1367,IF(D1367="x","",""))))</f>
        <v/>
      </c>
      <c r="U1368" t="str">
        <f>IF(B1368=1,MAX($U$2:$U1367)+1,IF(AND($T1368&lt;&gt;"",$T1368=$T1367),$U1367,IF(B1368="x",U1367,"")))</f>
        <v/>
      </c>
      <c r="V1368" t="str">
        <f>IF(C1368=1,MAX($V$2:$V1367)+1,IF(AND($T1368&lt;&gt;"",$T1368=$T1367),$U1367,IF(C1368="x",V1367,"")))</f>
        <v/>
      </c>
      <c r="X1368" cm="1">
        <f t="array" ref="X1368">IF($I1368&lt;&gt;"",$I1368,INDEX($I$1:$I1368,ROW()-COUNTIFS($T$1:$T1368,"="&amp;$T1368,$S$1:$S1368,"&lt;"&amp;$S1368)))</f>
        <v>0</v>
      </c>
      <c r="Z1368" s="6">
        <f t="shared" si="214"/>
        <v>1</v>
      </c>
      <c r="AA1368" t="e">
        <f t="shared" si="215"/>
        <v>#VALUE!</v>
      </c>
      <c r="AB1368" t="str">
        <f t="shared" si="216"/>
        <v/>
      </c>
      <c r="AC1368" t="e">
        <f t="shared" si="217"/>
        <v>#VALUE!</v>
      </c>
    </row>
    <row r="1369" spans="1:29" x14ac:dyDescent="0.2">
      <c r="A1369" t="str">
        <f t="shared" si="218"/>
        <v/>
      </c>
      <c r="E1369" s="4"/>
      <c r="F1369" s="46"/>
      <c r="G1369" s="4"/>
      <c r="H1369" s="48"/>
      <c r="J1369" s="26" t="str">
        <f t="shared" si="219"/>
        <v/>
      </c>
      <c r="N1369" t="str">
        <f t="shared" si="220"/>
        <v/>
      </c>
      <c r="Q1369" t="str">
        <f t="shared" si="221"/>
        <v/>
      </c>
      <c r="S1369" t="str">
        <f>IF(A1369=1,MAX($S$2:$S1368)+1,IF(OR($I1369&lt;&gt;"",A1369="x"),$S1368,""))</f>
        <v/>
      </c>
      <c r="T1369" t="str">
        <f>IF(D1369=1,MAX($T$2:$T1368)+1,IF(S1369=S1368,$T1368,IF(D1369="x",T1368,IF(D1368="x","",""))))</f>
        <v/>
      </c>
      <c r="U1369" t="str">
        <f>IF(B1369=1,MAX($U$2:$U1368)+1,IF(AND($T1369&lt;&gt;"",$T1369=$T1368),$U1368,IF(B1369="x",U1368,"")))</f>
        <v/>
      </c>
      <c r="V1369" t="str">
        <f>IF(C1369=1,MAX($V$2:$V1368)+1,IF(AND($T1369&lt;&gt;"",$T1369=$T1368),$U1368,IF(C1369="x",V1368,"")))</f>
        <v/>
      </c>
      <c r="X1369" cm="1">
        <f t="array" ref="X1369">IF($I1369&lt;&gt;"",$I1369,INDEX($I$1:$I1369,ROW()-COUNTIFS($T$1:$T1369,"="&amp;$T1369,$S$1:$S1369,"&lt;"&amp;$S1369)))</f>
        <v>0</v>
      </c>
      <c r="Z1369" s="6">
        <f t="shared" si="214"/>
        <v>1</v>
      </c>
      <c r="AA1369" t="e">
        <f t="shared" si="215"/>
        <v>#VALUE!</v>
      </c>
      <c r="AB1369" t="str">
        <f t="shared" si="216"/>
        <v/>
      </c>
      <c r="AC1369" t="e">
        <f t="shared" si="217"/>
        <v>#VALUE!</v>
      </c>
    </row>
    <row r="1370" spans="1:29" x14ac:dyDescent="0.2">
      <c r="A1370" t="str">
        <f t="shared" si="218"/>
        <v/>
      </c>
      <c r="E1370" s="4"/>
      <c r="F1370" s="46"/>
      <c r="G1370" s="4"/>
      <c r="H1370" s="48"/>
      <c r="J1370" s="26" t="str">
        <f t="shared" si="219"/>
        <v/>
      </c>
      <c r="N1370" t="str">
        <f t="shared" si="220"/>
        <v/>
      </c>
      <c r="Q1370" t="str">
        <f t="shared" si="221"/>
        <v/>
      </c>
      <c r="S1370" t="str">
        <f>IF(A1370=1,MAX($S$2:$S1369)+1,IF(OR($I1370&lt;&gt;"",A1370="x"),$S1369,""))</f>
        <v/>
      </c>
      <c r="T1370" t="str">
        <f>IF(D1370=1,MAX($T$2:$T1369)+1,IF(S1370=S1369,$T1369,IF(D1370="x",T1369,IF(D1369="x","",""))))</f>
        <v/>
      </c>
      <c r="U1370" t="str">
        <f>IF(B1370=1,MAX($U$2:$U1369)+1,IF(AND($T1370&lt;&gt;"",$T1370=$T1369),$U1369,IF(B1370="x",U1369,"")))</f>
        <v/>
      </c>
      <c r="V1370" t="str">
        <f>IF(C1370=1,MAX($V$2:$V1369)+1,IF(AND($T1370&lt;&gt;"",$T1370=$T1369),$U1369,IF(C1370="x",V1369,"")))</f>
        <v/>
      </c>
      <c r="X1370" cm="1">
        <f t="array" ref="X1370">IF($I1370&lt;&gt;"",$I1370,INDEX($I$1:$I1370,ROW()-COUNTIFS($T$1:$T1370,"="&amp;$T1370,$S$1:$S1370,"&lt;"&amp;$S1370)))</f>
        <v>0</v>
      </c>
      <c r="Z1370" s="6">
        <f t="shared" si="214"/>
        <v>1</v>
      </c>
      <c r="AA1370" t="e">
        <f t="shared" si="215"/>
        <v>#VALUE!</v>
      </c>
      <c r="AB1370" t="str">
        <f t="shared" si="216"/>
        <v/>
      </c>
      <c r="AC1370" t="e">
        <f t="shared" si="217"/>
        <v>#VALUE!</v>
      </c>
    </row>
    <row r="1371" spans="1:29" x14ac:dyDescent="0.2">
      <c r="A1371" t="str">
        <f t="shared" si="218"/>
        <v/>
      </c>
      <c r="E1371" s="4"/>
      <c r="F1371" s="46"/>
      <c r="G1371" s="4"/>
      <c r="H1371" s="48"/>
      <c r="J1371" s="26" t="str">
        <f t="shared" si="219"/>
        <v/>
      </c>
      <c r="N1371" t="str">
        <f t="shared" si="220"/>
        <v/>
      </c>
      <c r="Q1371" t="str">
        <f t="shared" si="221"/>
        <v/>
      </c>
      <c r="S1371" t="str">
        <f>IF(A1371=1,MAX($S$2:$S1370)+1,IF(OR($I1371&lt;&gt;"",A1371="x"),$S1370,""))</f>
        <v/>
      </c>
      <c r="T1371" t="str">
        <f>IF(D1371=1,MAX($T$2:$T1370)+1,IF(S1371=S1370,$T1370,IF(D1371="x",T1370,IF(D1370="x","",""))))</f>
        <v/>
      </c>
      <c r="U1371" t="str">
        <f>IF(B1371=1,MAX($U$2:$U1370)+1,IF(AND($T1371&lt;&gt;"",$T1371=$T1370),$U1370,IF(B1371="x",U1370,"")))</f>
        <v/>
      </c>
      <c r="V1371" t="str">
        <f>IF(C1371=1,MAX($V$2:$V1370)+1,IF(AND($T1371&lt;&gt;"",$T1371=$T1370),$U1370,IF(C1371="x",V1370,"")))</f>
        <v/>
      </c>
      <c r="X1371" cm="1">
        <f t="array" ref="X1371">IF($I1371&lt;&gt;"",$I1371,INDEX($I$1:$I1371,ROW()-COUNTIFS($T$1:$T1371,"="&amp;$T1371,$S$1:$S1371,"&lt;"&amp;$S1371)))</f>
        <v>0</v>
      </c>
      <c r="Z1371" s="6">
        <f t="shared" si="214"/>
        <v>1</v>
      </c>
      <c r="AA1371" t="e">
        <f t="shared" si="215"/>
        <v>#VALUE!</v>
      </c>
      <c r="AB1371" t="str">
        <f t="shared" si="216"/>
        <v/>
      </c>
      <c r="AC1371" t="e">
        <f t="shared" si="217"/>
        <v>#VALUE!</v>
      </c>
    </row>
    <row r="1372" spans="1:29" x14ac:dyDescent="0.2">
      <c r="A1372" t="str">
        <f t="shared" si="218"/>
        <v/>
      </c>
      <c r="E1372" s="4"/>
      <c r="F1372" s="46"/>
      <c r="G1372" s="4"/>
      <c r="H1372" s="48"/>
      <c r="J1372" s="26" t="str">
        <f t="shared" si="219"/>
        <v/>
      </c>
      <c r="N1372" t="str">
        <f t="shared" si="220"/>
        <v/>
      </c>
      <c r="Q1372" t="str">
        <f t="shared" si="221"/>
        <v/>
      </c>
      <c r="S1372" t="str">
        <f>IF(A1372=1,MAX($S$2:$S1371)+1,IF(OR($I1372&lt;&gt;"",A1372="x"),$S1371,""))</f>
        <v/>
      </c>
      <c r="T1372" t="str">
        <f>IF(D1372=1,MAX($T$2:$T1371)+1,IF(S1372=S1371,$T1371,IF(D1372="x",T1371,IF(D1371="x","",""))))</f>
        <v/>
      </c>
      <c r="U1372" t="str">
        <f>IF(B1372=1,MAX($U$2:$U1371)+1,IF(AND($T1372&lt;&gt;"",$T1372=$T1371),$U1371,IF(B1372="x",U1371,"")))</f>
        <v/>
      </c>
      <c r="V1372" t="str">
        <f>IF(C1372=1,MAX($V$2:$V1371)+1,IF(AND($T1372&lt;&gt;"",$T1372=$T1371),$U1371,IF(C1372="x",V1371,"")))</f>
        <v/>
      </c>
      <c r="X1372" cm="1">
        <f t="array" ref="X1372">IF($I1372&lt;&gt;"",$I1372,INDEX($I$1:$I1372,ROW()-COUNTIFS($T$1:$T1372,"="&amp;$T1372,$S$1:$S1372,"&lt;"&amp;$S1372)))</f>
        <v>0</v>
      </c>
      <c r="Z1372" s="6">
        <f t="shared" si="214"/>
        <v>1</v>
      </c>
      <c r="AA1372" t="e">
        <f t="shared" si="215"/>
        <v>#VALUE!</v>
      </c>
      <c r="AB1372" t="str">
        <f t="shared" si="216"/>
        <v/>
      </c>
      <c r="AC1372" t="e">
        <f t="shared" si="217"/>
        <v>#VALUE!</v>
      </c>
    </row>
    <row r="1373" spans="1:29" x14ac:dyDescent="0.2">
      <c r="A1373" t="str">
        <f t="shared" si="218"/>
        <v/>
      </c>
      <c r="E1373" s="4"/>
      <c r="F1373" s="46"/>
      <c r="G1373" s="4"/>
      <c r="H1373" s="48"/>
      <c r="J1373" s="26" t="str">
        <f t="shared" si="219"/>
        <v/>
      </c>
      <c r="N1373" t="str">
        <f t="shared" si="220"/>
        <v/>
      </c>
      <c r="Q1373" t="str">
        <f t="shared" si="221"/>
        <v/>
      </c>
      <c r="S1373" t="str">
        <f>IF(A1373=1,MAX($S$2:$S1372)+1,IF(OR($I1373&lt;&gt;"",A1373="x"),$S1372,""))</f>
        <v/>
      </c>
      <c r="T1373" t="str">
        <f>IF(D1373=1,MAX($T$2:$T1372)+1,IF(S1373=S1372,$T1372,IF(D1373="x",T1372,IF(D1372="x","",""))))</f>
        <v/>
      </c>
      <c r="U1373" t="str">
        <f>IF(B1373=1,MAX($U$2:$U1372)+1,IF(AND($T1373&lt;&gt;"",$T1373=$T1372),$U1372,IF(B1373="x",U1372,"")))</f>
        <v/>
      </c>
      <c r="V1373" t="str">
        <f>IF(C1373=1,MAX($V$2:$V1372)+1,IF(AND($T1373&lt;&gt;"",$T1373=$T1372),$U1372,IF(C1373="x",V1372,"")))</f>
        <v/>
      </c>
      <c r="X1373" cm="1">
        <f t="array" ref="X1373">IF($I1373&lt;&gt;"",$I1373,INDEX($I$1:$I1373,ROW()-COUNTIFS($T$1:$T1373,"="&amp;$T1373,$S$1:$S1373,"&lt;"&amp;$S1373)))</f>
        <v>0</v>
      </c>
      <c r="Z1373" s="6">
        <f t="shared" si="214"/>
        <v>1</v>
      </c>
      <c r="AA1373" t="e">
        <f t="shared" si="215"/>
        <v>#VALUE!</v>
      </c>
      <c r="AB1373" t="str">
        <f t="shared" si="216"/>
        <v/>
      </c>
      <c r="AC1373" t="e">
        <f t="shared" si="217"/>
        <v>#VALUE!</v>
      </c>
    </row>
    <row r="1374" spans="1:29" x14ac:dyDescent="0.2">
      <c r="A1374" t="str">
        <f t="shared" si="218"/>
        <v/>
      </c>
      <c r="E1374" s="4"/>
      <c r="F1374" s="46"/>
      <c r="G1374" s="4"/>
      <c r="H1374" s="48"/>
      <c r="J1374" s="26" t="str">
        <f t="shared" si="219"/>
        <v/>
      </c>
      <c r="N1374" t="str">
        <f t="shared" si="220"/>
        <v/>
      </c>
      <c r="Q1374" t="str">
        <f t="shared" si="221"/>
        <v/>
      </c>
      <c r="S1374" t="str">
        <f>IF(A1374=1,MAX($S$2:$S1373)+1,IF(OR($I1374&lt;&gt;"",A1374="x"),$S1373,""))</f>
        <v/>
      </c>
      <c r="T1374" t="str">
        <f>IF(D1374=1,MAX($T$2:$T1373)+1,IF(S1374=S1373,$T1373,IF(D1374="x",T1373,IF(D1373="x","",""))))</f>
        <v/>
      </c>
      <c r="U1374" t="str">
        <f>IF(B1374=1,MAX($U$2:$U1373)+1,IF(AND($T1374&lt;&gt;"",$T1374=$T1373),$U1373,IF(B1374="x",U1373,"")))</f>
        <v/>
      </c>
      <c r="V1374" t="str">
        <f>IF(C1374=1,MAX($V$2:$V1373)+1,IF(AND($T1374&lt;&gt;"",$T1374=$T1373),$U1373,IF(C1374="x",V1373,"")))</f>
        <v/>
      </c>
      <c r="X1374" cm="1">
        <f t="array" ref="X1374">IF($I1374&lt;&gt;"",$I1374,INDEX($I$1:$I1374,ROW()-COUNTIFS($T$1:$T1374,"="&amp;$T1374,$S$1:$S1374,"&lt;"&amp;$S1374)))</f>
        <v>0</v>
      </c>
      <c r="Z1374" s="6">
        <f t="shared" si="214"/>
        <v>1</v>
      </c>
      <c r="AA1374" t="e">
        <f t="shared" si="215"/>
        <v>#VALUE!</v>
      </c>
      <c r="AB1374" t="str">
        <f t="shared" si="216"/>
        <v/>
      </c>
      <c r="AC1374" t="e">
        <f t="shared" si="217"/>
        <v>#VALUE!</v>
      </c>
    </row>
    <row r="1375" spans="1:29" x14ac:dyDescent="0.2">
      <c r="A1375" t="str">
        <f t="shared" si="218"/>
        <v/>
      </c>
      <c r="E1375" s="4"/>
      <c r="F1375" s="46"/>
      <c r="G1375" s="4"/>
      <c r="H1375" s="48"/>
      <c r="J1375" s="26" t="str">
        <f t="shared" si="219"/>
        <v/>
      </c>
      <c r="N1375" t="str">
        <f t="shared" si="220"/>
        <v/>
      </c>
      <c r="Q1375" t="str">
        <f t="shared" si="221"/>
        <v/>
      </c>
      <c r="S1375" t="str">
        <f>IF(A1375=1,MAX($S$2:$S1374)+1,IF(OR($I1375&lt;&gt;"",A1375="x"),$S1374,""))</f>
        <v/>
      </c>
      <c r="T1375" t="str">
        <f>IF(D1375=1,MAX($T$2:$T1374)+1,IF(S1375=S1374,$T1374,IF(D1375="x",T1374,IF(D1374="x","",""))))</f>
        <v/>
      </c>
      <c r="U1375" t="str">
        <f>IF(B1375=1,MAX($U$2:$U1374)+1,IF(AND($T1375&lt;&gt;"",$T1375=$T1374),$U1374,IF(B1375="x",U1374,"")))</f>
        <v/>
      </c>
      <c r="V1375" t="str">
        <f>IF(C1375=1,MAX($V$2:$V1374)+1,IF(AND($T1375&lt;&gt;"",$T1375=$T1374),$U1374,IF(C1375="x",V1374,"")))</f>
        <v/>
      </c>
      <c r="X1375" cm="1">
        <f t="array" ref="X1375">IF($I1375&lt;&gt;"",$I1375,INDEX($I$1:$I1375,ROW()-COUNTIFS($T$1:$T1375,"="&amp;$T1375,$S$1:$S1375,"&lt;"&amp;$S1375)))</f>
        <v>0</v>
      </c>
      <c r="Z1375" s="6">
        <f t="shared" si="214"/>
        <v>1</v>
      </c>
      <c r="AA1375" t="e">
        <f t="shared" si="215"/>
        <v>#VALUE!</v>
      </c>
      <c r="AB1375" t="str">
        <f t="shared" si="216"/>
        <v/>
      </c>
      <c r="AC1375" t="e">
        <f t="shared" si="217"/>
        <v>#VALUE!</v>
      </c>
    </row>
    <row r="1376" spans="1:29" x14ac:dyDescent="0.2">
      <c r="A1376" t="str">
        <f t="shared" si="218"/>
        <v/>
      </c>
      <c r="E1376" s="4"/>
      <c r="F1376" s="46"/>
      <c r="G1376" s="4"/>
      <c r="H1376" s="48"/>
      <c r="J1376" s="26" t="str">
        <f t="shared" si="219"/>
        <v/>
      </c>
      <c r="N1376" t="str">
        <f t="shared" si="220"/>
        <v/>
      </c>
      <c r="Q1376" t="str">
        <f t="shared" si="221"/>
        <v/>
      </c>
      <c r="S1376" t="str">
        <f>IF(A1376=1,MAX($S$2:$S1375)+1,IF(OR($I1376&lt;&gt;"",A1376="x"),$S1375,""))</f>
        <v/>
      </c>
      <c r="T1376" t="str">
        <f>IF(D1376=1,MAX($T$2:$T1375)+1,IF(S1376=S1375,$T1375,IF(D1376="x",T1375,IF(D1375="x","",""))))</f>
        <v/>
      </c>
      <c r="U1376" t="str">
        <f>IF(B1376=1,MAX($U$2:$U1375)+1,IF(AND($T1376&lt;&gt;"",$T1376=$T1375),$U1375,IF(B1376="x",U1375,"")))</f>
        <v/>
      </c>
      <c r="V1376" t="str">
        <f>IF(C1376=1,MAX($V$2:$V1375)+1,IF(AND($T1376&lt;&gt;"",$T1376=$T1375),$U1375,IF(C1376="x",V1375,"")))</f>
        <v/>
      </c>
      <c r="X1376" cm="1">
        <f t="array" ref="X1376">IF($I1376&lt;&gt;"",$I1376,INDEX($I$1:$I1376,ROW()-COUNTIFS($T$1:$T1376,"="&amp;$T1376,$S$1:$S1376,"&lt;"&amp;$S1376)))</f>
        <v>0</v>
      </c>
      <c r="Z1376" s="6">
        <f t="shared" si="214"/>
        <v>1</v>
      </c>
      <c r="AA1376" t="e">
        <f t="shared" si="215"/>
        <v>#VALUE!</v>
      </c>
      <c r="AB1376" t="str">
        <f t="shared" si="216"/>
        <v/>
      </c>
      <c r="AC1376" t="e">
        <f t="shared" si="217"/>
        <v>#VALUE!</v>
      </c>
    </row>
    <row r="1377" spans="1:29" x14ac:dyDescent="0.2">
      <c r="A1377" t="str">
        <f t="shared" si="218"/>
        <v/>
      </c>
      <c r="E1377" s="4"/>
      <c r="F1377" s="46"/>
      <c r="G1377" s="4"/>
      <c r="H1377" s="48"/>
      <c r="J1377" s="26" t="str">
        <f t="shared" si="219"/>
        <v/>
      </c>
      <c r="N1377" t="str">
        <f t="shared" si="220"/>
        <v/>
      </c>
      <c r="Q1377" t="str">
        <f t="shared" si="221"/>
        <v/>
      </c>
      <c r="S1377" t="str">
        <f>IF(A1377=1,MAX($S$2:$S1376)+1,IF(OR($I1377&lt;&gt;"",A1377="x"),$S1376,""))</f>
        <v/>
      </c>
      <c r="T1377" t="str">
        <f>IF(D1377=1,MAX($T$2:$T1376)+1,IF(S1377=S1376,$T1376,IF(D1377="x",T1376,IF(D1376="x","",""))))</f>
        <v/>
      </c>
      <c r="U1377" t="str">
        <f>IF(B1377=1,MAX($U$2:$U1376)+1,IF(AND($T1377&lt;&gt;"",$T1377=$T1376),$U1376,IF(B1377="x",U1376,"")))</f>
        <v/>
      </c>
      <c r="V1377" t="str">
        <f>IF(C1377=1,MAX($V$2:$V1376)+1,IF(AND($T1377&lt;&gt;"",$T1377=$T1376),$U1376,IF(C1377="x",V1376,"")))</f>
        <v/>
      </c>
      <c r="X1377" cm="1">
        <f t="array" ref="X1377">IF($I1377&lt;&gt;"",$I1377,INDEX($I$1:$I1377,ROW()-COUNTIFS($T$1:$T1377,"="&amp;$T1377,$S$1:$S1377,"&lt;"&amp;$S1377)))</f>
        <v>0</v>
      </c>
      <c r="Z1377" s="6">
        <f t="shared" si="214"/>
        <v>1</v>
      </c>
      <c r="AA1377" t="e">
        <f t="shared" si="215"/>
        <v>#VALUE!</v>
      </c>
      <c r="AB1377" t="str">
        <f t="shared" si="216"/>
        <v/>
      </c>
      <c r="AC1377" t="e">
        <f t="shared" si="217"/>
        <v>#VALUE!</v>
      </c>
    </row>
    <row r="1378" spans="1:29" x14ac:dyDescent="0.2">
      <c r="A1378" t="str">
        <f t="shared" si="218"/>
        <v/>
      </c>
      <c r="E1378" s="4"/>
      <c r="F1378" s="46"/>
      <c r="G1378" s="4"/>
      <c r="H1378" s="48"/>
      <c r="J1378" s="26" t="str">
        <f t="shared" si="219"/>
        <v/>
      </c>
      <c r="N1378" t="str">
        <f t="shared" si="220"/>
        <v/>
      </c>
      <c r="Q1378" t="str">
        <f t="shared" si="221"/>
        <v/>
      </c>
      <c r="S1378" t="str">
        <f>IF(A1378=1,MAX($S$2:$S1377)+1,IF(OR($I1378&lt;&gt;"",A1378="x"),$S1377,""))</f>
        <v/>
      </c>
      <c r="T1378" t="str">
        <f>IF(D1378=1,MAX($T$2:$T1377)+1,IF(S1378=S1377,$T1377,IF(D1378="x",T1377,IF(D1377="x","",""))))</f>
        <v/>
      </c>
      <c r="U1378" t="str">
        <f>IF(B1378=1,MAX($U$2:$U1377)+1,IF(AND($T1378&lt;&gt;"",$T1378=$T1377),$U1377,IF(B1378="x",U1377,"")))</f>
        <v/>
      </c>
      <c r="V1378" t="str">
        <f>IF(C1378=1,MAX($V$2:$V1377)+1,IF(AND($T1378&lt;&gt;"",$T1378=$T1377),$U1377,IF(C1378="x",V1377,"")))</f>
        <v/>
      </c>
      <c r="X1378" cm="1">
        <f t="array" ref="X1378">IF($I1378&lt;&gt;"",$I1378,INDEX($I$1:$I1378,ROW()-COUNTIFS($T$1:$T1378,"="&amp;$T1378,$S$1:$S1378,"&lt;"&amp;$S1378)))</f>
        <v>0</v>
      </c>
      <c r="Z1378" s="6">
        <f t="shared" si="214"/>
        <v>1</v>
      </c>
      <c r="AA1378" t="e">
        <f t="shared" si="215"/>
        <v>#VALUE!</v>
      </c>
      <c r="AB1378" t="str">
        <f t="shared" si="216"/>
        <v/>
      </c>
      <c r="AC1378" t="e">
        <f t="shared" si="217"/>
        <v>#VALUE!</v>
      </c>
    </row>
    <row r="1379" spans="1:29" x14ac:dyDescent="0.2">
      <c r="A1379" t="str">
        <f t="shared" si="218"/>
        <v/>
      </c>
      <c r="E1379" s="4"/>
      <c r="F1379" s="46"/>
      <c r="G1379" s="4"/>
      <c r="H1379" s="48"/>
      <c r="J1379" s="26" t="str">
        <f t="shared" si="219"/>
        <v/>
      </c>
      <c r="N1379" t="str">
        <f t="shared" si="220"/>
        <v/>
      </c>
      <c r="Q1379" t="str">
        <f t="shared" si="221"/>
        <v/>
      </c>
      <c r="S1379" t="str">
        <f>IF(A1379=1,MAX($S$2:$S1378)+1,IF(OR($I1379&lt;&gt;"",A1379="x"),$S1378,""))</f>
        <v/>
      </c>
      <c r="T1379" t="str">
        <f>IF(D1379=1,MAX($T$2:$T1378)+1,IF(S1379=S1378,$T1378,IF(D1379="x",T1378,IF(D1378="x","",""))))</f>
        <v/>
      </c>
      <c r="U1379" t="str">
        <f>IF(B1379=1,MAX($U$2:$U1378)+1,IF(AND($T1379&lt;&gt;"",$T1379=$T1378),$U1378,IF(B1379="x",U1378,"")))</f>
        <v/>
      </c>
      <c r="V1379" t="str">
        <f>IF(C1379=1,MAX($V$2:$V1378)+1,IF(AND($T1379&lt;&gt;"",$T1379=$T1378),$U1378,IF(C1379="x",V1378,"")))</f>
        <v/>
      </c>
      <c r="X1379" cm="1">
        <f t="array" ref="X1379">IF($I1379&lt;&gt;"",$I1379,INDEX($I$1:$I1379,ROW()-COUNTIFS($T$1:$T1379,"="&amp;$T1379,$S$1:$S1379,"&lt;"&amp;$S1379)))</f>
        <v>0</v>
      </c>
      <c r="Z1379" s="6">
        <f t="shared" si="214"/>
        <v>1</v>
      </c>
      <c r="AA1379" t="e">
        <f t="shared" si="215"/>
        <v>#VALUE!</v>
      </c>
      <c r="AB1379" t="str">
        <f t="shared" si="216"/>
        <v/>
      </c>
      <c r="AC1379" t="e">
        <f t="shared" si="217"/>
        <v>#VALUE!</v>
      </c>
    </row>
    <row r="1380" spans="1:29" x14ac:dyDescent="0.2">
      <c r="A1380" t="str">
        <f t="shared" si="218"/>
        <v/>
      </c>
      <c r="E1380" s="4"/>
      <c r="F1380" s="46"/>
      <c r="G1380" s="4"/>
      <c r="H1380" s="48"/>
      <c r="J1380" s="26" t="str">
        <f t="shared" si="219"/>
        <v/>
      </c>
      <c r="N1380" t="str">
        <f t="shared" si="220"/>
        <v/>
      </c>
      <c r="Q1380" t="str">
        <f t="shared" si="221"/>
        <v/>
      </c>
      <c r="S1380" t="str">
        <f>IF(A1380=1,MAX($S$2:$S1379)+1,IF(OR($I1380&lt;&gt;"",A1380="x"),$S1379,""))</f>
        <v/>
      </c>
      <c r="T1380" t="str">
        <f>IF(D1380=1,MAX($T$2:$T1379)+1,IF(S1380=S1379,$T1379,IF(D1380="x",T1379,IF(D1379="x","",""))))</f>
        <v/>
      </c>
      <c r="U1380" t="str">
        <f>IF(B1380=1,MAX($U$2:$U1379)+1,IF(AND($T1380&lt;&gt;"",$T1380=$T1379),$U1379,IF(B1380="x",U1379,"")))</f>
        <v/>
      </c>
      <c r="V1380" t="str">
        <f>IF(C1380=1,MAX($V$2:$V1379)+1,IF(AND($T1380&lt;&gt;"",$T1380=$T1379),$U1379,IF(C1380="x",V1379,"")))</f>
        <v/>
      </c>
      <c r="X1380" cm="1">
        <f t="array" ref="X1380">IF($I1380&lt;&gt;"",$I1380,INDEX($I$1:$I1380,ROW()-COUNTIFS($T$1:$T1380,"="&amp;$T1380,$S$1:$S1380,"&lt;"&amp;$S1380)))</f>
        <v>0</v>
      </c>
      <c r="Z1380" s="6">
        <f t="shared" si="214"/>
        <v>1</v>
      </c>
      <c r="AA1380" t="e">
        <f t="shared" si="215"/>
        <v>#VALUE!</v>
      </c>
      <c r="AB1380" t="str">
        <f t="shared" si="216"/>
        <v/>
      </c>
      <c r="AC1380" t="e">
        <f t="shared" si="217"/>
        <v>#VALUE!</v>
      </c>
    </row>
    <row r="1381" spans="1:29" x14ac:dyDescent="0.2">
      <c r="A1381" t="str">
        <f t="shared" si="218"/>
        <v/>
      </c>
      <c r="E1381" s="4"/>
      <c r="F1381" s="46"/>
      <c r="G1381" s="4"/>
      <c r="H1381" s="48"/>
      <c r="J1381" s="26" t="str">
        <f t="shared" si="219"/>
        <v/>
      </c>
      <c r="N1381" t="str">
        <f t="shared" si="220"/>
        <v/>
      </c>
      <c r="Q1381" t="str">
        <f t="shared" si="221"/>
        <v/>
      </c>
      <c r="S1381" t="str">
        <f>IF(A1381=1,MAX($S$2:$S1380)+1,IF(OR($I1381&lt;&gt;"",A1381="x"),$S1380,""))</f>
        <v/>
      </c>
      <c r="T1381" t="str">
        <f>IF(D1381=1,MAX($T$2:$T1380)+1,IF(S1381=S1380,$T1380,IF(D1381="x",T1380,IF(D1380="x","",""))))</f>
        <v/>
      </c>
      <c r="U1381" t="str">
        <f>IF(B1381=1,MAX($U$2:$U1380)+1,IF(AND($T1381&lt;&gt;"",$T1381=$T1380),$U1380,IF(B1381="x",U1380,"")))</f>
        <v/>
      </c>
      <c r="V1381" t="str">
        <f>IF(C1381=1,MAX($V$2:$V1380)+1,IF(AND($T1381&lt;&gt;"",$T1381=$T1380),$U1380,IF(C1381="x",V1380,"")))</f>
        <v/>
      </c>
      <c r="X1381" cm="1">
        <f t="array" ref="X1381">IF($I1381&lt;&gt;"",$I1381,INDEX($I$1:$I1381,ROW()-COUNTIFS($T$1:$T1381,"="&amp;$T1381,$S$1:$S1381,"&lt;"&amp;$S1381)))</f>
        <v>0</v>
      </c>
      <c r="Z1381" s="6">
        <f t="shared" si="214"/>
        <v>1</v>
      </c>
      <c r="AA1381" t="e">
        <f t="shared" si="215"/>
        <v>#VALUE!</v>
      </c>
      <c r="AB1381" t="str">
        <f t="shared" si="216"/>
        <v/>
      </c>
      <c r="AC1381" t="e">
        <f t="shared" si="217"/>
        <v>#VALUE!</v>
      </c>
    </row>
    <row r="1382" spans="1:29" x14ac:dyDescent="0.2">
      <c r="A1382" t="str">
        <f t="shared" si="218"/>
        <v/>
      </c>
      <c r="E1382" s="4"/>
      <c r="F1382" s="46"/>
      <c r="G1382" s="4"/>
      <c r="H1382" s="48"/>
      <c r="J1382" s="26" t="str">
        <f t="shared" si="219"/>
        <v/>
      </c>
      <c r="N1382" t="str">
        <f t="shared" si="220"/>
        <v/>
      </c>
      <c r="Q1382" t="str">
        <f t="shared" si="221"/>
        <v/>
      </c>
      <c r="S1382" t="str">
        <f>IF(A1382=1,MAX($S$2:$S1381)+1,IF(OR($I1382&lt;&gt;"",A1382="x"),$S1381,""))</f>
        <v/>
      </c>
      <c r="T1382" t="str">
        <f>IF(D1382=1,MAX($T$2:$T1381)+1,IF(S1382=S1381,$T1381,IF(D1382="x",T1381,IF(D1381="x","",""))))</f>
        <v/>
      </c>
      <c r="U1382" t="str">
        <f>IF(B1382=1,MAX($U$2:$U1381)+1,IF(AND($T1382&lt;&gt;"",$T1382=$T1381),$U1381,IF(B1382="x",U1381,"")))</f>
        <v/>
      </c>
      <c r="V1382" t="str">
        <f>IF(C1382=1,MAX($V$2:$V1381)+1,IF(AND($T1382&lt;&gt;"",$T1382=$T1381),$U1381,IF(C1382="x",V1381,"")))</f>
        <v/>
      </c>
      <c r="X1382" cm="1">
        <f t="array" ref="X1382">IF($I1382&lt;&gt;"",$I1382,INDEX($I$1:$I1382,ROW()-COUNTIFS($T$1:$T1382,"="&amp;$T1382,$S$1:$S1382,"&lt;"&amp;$S1382)))</f>
        <v>0</v>
      </c>
      <c r="Z1382" s="6">
        <f t="shared" si="214"/>
        <v>1</v>
      </c>
      <c r="AA1382" t="e">
        <f t="shared" si="215"/>
        <v>#VALUE!</v>
      </c>
      <c r="AB1382" t="str">
        <f t="shared" si="216"/>
        <v/>
      </c>
      <c r="AC1382" t="e">
        <f t="shared" si="217"/>
        <v>#VALUE!</v>
      </c>
    </row>
    <row r="1383" spans="1:29" x14ac:dyDescent="0.2">
      <c r="A1383" t="str">
        <f t="shared" si="218"/>
        <v/>
      </c>
      <c r="E1383" s="4"/>
      <c r="F1383" s="46"/>
      <c r="G1383" s="4"/>
      <c r="H1383" s="48"/>
      <c r="J1383" s="26" t="str">
        <f t="shared" si="219"/>
        <v/>
      </c>
      <c r="N1383" t="str">
        <f t="shared" si="220"/>
        <v/>
      </c>
      <c r="Q1383" t="str">
        <f t="shared" si="221"/>
        <v/>
      </c>
      <c r="S1383" t="str">
        <f>IF(A1383=1,MAX($S$2:$S1382)+1,IF(OR($I1383&lt;&gt;"",A1383="x"),$S1382,""))</f>
        <v/>
      </c>
      <c r="T1383" t="str">
        <f>IF(D1383=1,MAX($T$2:$T1382)+1,IF(S1383=S1382,$T1382,IF(D1383="x",T1382,IF(D1382="x","",""))))</f>
        <v/>
      </c>
      <c r="U1383" t="str">
        <f>IF(B1383=1,MAX($U$2:$U1382)+1,IF(AND($T1383&lt;&gt;"",$T1383=$T1382),$U1382,IF(B1383="x",U1382,"")))</f>
        <v/>
      </c>
      <c r="V1383" t="str">
        <f>IF(C1383=1,MAX($V$2:$V1382)+1,IF(AND($T1383&lt;&gt;"",$T1383=$T1382),$U1382,IF(C1383="x",V1382,"")))</f>
        <v/>
      </c>
      <c r="X1383" cm="1">
        <f t="array" ref="X1383">IF($I1383&lt;&gt;"",$I1383,INDEX($I$1:$I1383,ROW()-COUNTIFS($T$1:$T1383,"="&amp;$T1383,$S$1:$S1383,"&lt;"&amp;$S1383)))</f>
        <v>0</v>
      </c>
      <c r="Z1383" s="6">
        <f t="shared" si="214"/>
        <v>1</v>
      </c>
      <c r="AA1383" t="e">
        <f t="shared" si="215"/>
        <v>#VALUE!</v>
      </c>
      <c r="AB1383" t="str">
        <f t="shared" si="216"/>
        <v/>
      </c>
      <c r="AC1383" t="e">
        <f t="shared" si="217"/>
        <v>#VALUE!</v>
      </c>
    </row>
    <row r="1384" spans="1:29" x14ac:dyDescent="0.2">
      <c r="A1384" t="str">
        <f t="shared" si="218"/>
        <v/>
      </c>
      <c r="E1384" s="4"/>
      <c r="F1384" s="46"/>
      <c r="G1384" s="4"/>
      <c r="H1384" s="48"/>
      <c r="J1384" s="26" t="str">
        <f t="shared" si="219"/>
        <v/>
      </c>
      <c r="N1384" t="str">
        <f t="shared" si="220"/>
        <v/>
      </c>
      <c r="Q1384" t="str">
        <f t="shared" si="221"/>
        <v/>
      </c>
      <c r="S1384" t="str">
        <f>IF(A1384=1,MAX($S$2:$S1383)+1,IF(OR($I1384&lt;&gt;"",A1384="x"),$S1383,""))</f>
        <v/>
      </c>
      <c r="T1384" t="str">
        <f>IF(D1384=1,MAX($T$2:$T1383)+1,IF(S1384=S1383,$T1383,IF(D1384="x",T1383,IF(D1383="x","",""))))</f>
        <v/>
      </c>
      <c r="U1384" t="str">
        <f>IF(B1384=1,MAX($U$2:$U1383)+1,IF(AND($T1384&lt;&gt;"",$T1384=$T1383),$U1383,IF(B1384="x",U1383,"")))</f>
        <v/>
      </c>
      <c r="V1384" t="str">
        <f>IF(C1384=1,MAX($V$2:$V1383)+1,IF(AND($T1384&lt;&gt;"",$T1384=$T1383),$U1383,IF(C1384="x",V1383,"")))</f>
        <v/>
      </c>
      <c r="X1384" cm="1">
        <f t="array" ref="X1384">IF($I1384&lt;&gt;"",$I1384,INDEX($I$1:$I1384,ROW()-COUNTIFS($T$1:$T1384,"="&amp;$T1384,$S$1:$S1384,"&lt;"&amp;$S1384)))</f>
        <v>0</v>
      </c>
      <c r="Z1384" s="6">
        <f t="shared" si="214"/>
        <v>1</v>
      </c>
      <c r="AA1384" t="e">
        <f t="shared" si="215"/>
        <v>#VALUE!</v>
      </c>
      <c r="AB1384" t="str">
        <f t="shared" si="216"/>
        <v/>
      </c>
      <c r="AC1384" t="e">
        <f t="shared" si="217"/>
        <v>#VALUE!</v>
      </c>
    </row>
    <row r="1385" spans="1:29" x14ac:dyDescent="0.2">
      <c r="A1385" t="str">
        <f t="shared" si="218"/>
        <v/>
      </c>
      <c r="E1385" s="4"/>
      <c r="F1385" s="46"/>
      <c r="G1385" s="4"/>
      <c r="H1385" s="48"/>
      <c r="J1385" s="26" t="str">
        <f t="shared" si="219"/>
        <v/>
      </c>
      <c r="N1385" t="str">
        <f t="shared" si="220"/>
        <v/>
      </c>
      <c r="Q1385" t="str">
        <f t="shared" si="221"/>
        <v/>
      </c>
      <c r="S1385" t="str">
        <f>IF(A1385=1,MAX($S$2:$S1384)+1,IF(OR($I1385&lt;&gt;"",A1385="x"),$S1384,""))</f>
        <v/>
      </c>
      <c r="T1385" t="str">
        <f>IF(D1385=1,MAX($T$2:$T1384)+1,IF(S1385=S1384,$T1384,IF(D1385="x",T1384,IF(D1384="x","",""))))</f>
        <v/>
      </c>
      <c r="U1385" t="str">
        <f>IF(B1385=1,MAX($U$2:$U1384)+1,IF(AND($T1385&lt;&gt;"",$T1385=$T1384),$U1384,IF(B1385="x",U1384,"")))</f>
        <v/>
      </c>
      <c r="V1385" t="str">
        <f>IF(C1385=1,MAX($V$2:$V1384)+1,IF(AND($T1385&lt;&gt;"",$T1385=$T1384),$U1384,IF(C1385="x",V1384,"")))</f>
        <v/>
      </c>
      <c r="X1385" cm="1">
        <f t="array" ref="X1385">IF($I1385&lt;&gt;"",$I1385,INDEX($I$1:$I1385,ROW()-COUNTIFS($T$1:$T1385,"="&amp;$T1385,$S$1:$S1385,"&lt;"&amp;$S1385)))</f>
        <v>0</v>
      </c>
      <c r="Z1385" s="6">
        <f t="shared" si="214"/>
        <v>1</v>
      </c>
      <c r="AA1385" t="e">
        <f t="shared" si="215"/>
        <v>#VALUE!</v>
      </c>
      <c r="AB1385" t="str">
        <f t="shared" si="216"/>
        <v/>
      </c>
      <c r="AC1385" t="e">
        <f t="shared" si="217"/>
        <v>#VALUE!</v>
      </c>
    </row>
    <row r="1386" spans="1:29" x14ac:dyDescent="0.2">
      <c r="A1386" t="str">
        <f t="shared" si="218"/>
        <v/>
      </c>
      <c r="E1386" s="4"/>
      <c r="F1386" s="46"/>
      <c r="G1386" s="4"/>
      <c r="H1386" s="48"/>
      <c r="J1386" s="26" t="str">
        <f t="shared" si="219"/>
        <v/>
      </c>
      <c r="N1386" t="str">
        <f t="shared" si="220"/>
        <v/>
      </c>
      <c r="Q1386" t="str">
        <f t="shared" si="221"/>
        <v/>
      </c>
      <c r="S1386" t="str">
        <f>IF(A1386=1,MAX($S$2:$S1385)+1,IF(OR($I1386&lt;&gt;"",A1386="x"),$S1385,""))</f>
        <v/>
      </c>
      <c r="T1386" t="str">
        <f>IF(D1386=1,MAX($T$2:$T1385)+1,IF(S1386=S1385,$T1385,IF(D1386="x",T1385,IF(D1385="x","",""))))</f>
        <v/>
      </c>
      <c r="U1386" t="str">
        <f>IF(B1386=1,MAX($U$2:$U1385)+1,IF(AND($T1386&lt;&gt;"",$T1386=$T1385),$U1385,IF(B1386="x",U1385,"")))</f>
        <v/>
      </c>
      <c r="V1386" t="str">
        <f>IF(C1386=1,MAX($V$2:$V1385)+1,IF(AND($T1386&lt;&gt;"",$T1386=$T1385),$U1385,IF(C1386="x",V1385,"")))</f>
        <v/>
      </c>
      <c r="X1386" cm="1">
        <f t="array" ref="X1386">IF($I1386&lt;&gt;"",$I1386,INDEX($I$1:$I1386,ROW()-COUNTIFS($T$1:$T1386,"="&amp;$T1386,$S$1:$S1386,"&lt;"&amp;$S1386)))</f>
        <v>0</v>
      </c>
      <c r="Z1386" s="6">
        <f t="shared" si="214"/>
        <v>1</v>
      </c>
      <c r="AA1386" t="e">
        <f t="shared" si="215"/>
        <v>#VALUE!</v>
      </c>
      <c r="AB1386" t="str">
        <f t="shared" si="216"/>
        <v/>
      </c>
      <c r="AC1386" t="e">
        <f t="shared" si="217"/>
        <v>#VALUE!</v>
      </c>
    </row>
    <row r="1387" spans="1:29" x14ac:dyDescent="0.2">
      <c r="A1387" t="str">
        <f t="shared" si="218"/>
        <v/>
      </c>
      <c r="E1387" s="4"/>
      <c r="F1387" s="46"/>
      <c r="G1387" s="4"/>
      <c r="H1387" s="48"/>
      <c r="J1387" s="26" t="str">
        <f t="shared" si="219"/>
        <v/>
      </c>
      <c r="N1387" t="str">
        <f t="shared" si="220"/>
        <v/>
      </c>
      <c r="Q1387" t="str">
        <f t="shared" si="221"/>
        <v/>
      </c>
      <c r="S1387" t="str">
        <f>IF(A1387=1,MAX($S$2:$S1386)+1,IF(OR($I1387&lt;&gt;"",A1387="x"),$S1386,""))</f>
        <v/>
      </c>
      <c r="T1387" t="str">
        <f>IF(D1387=1,MAX($T$2:$T1386)+1,IF(S1387=S1386,$T1386,IF(D1387="x",T1386,IF(D1386="x","",""))))</f>
        <v/>
      </c>
      <c r="U1387" t="str">
        <f>IF(B1387=1,MAX($U$2:$U1386)+1,IF(AND($T1387&lt;&gt;"",$T1387=$T1386),$U1386,IF(B1387="x",U1386,"")))</f>
        <v/>
      </c>
      <c r="V1387" t="str">
        <f>IF(C1387=1,MAX($V$2:$V1386)+1,IF(AND($T1387&lt;&gt;"",$T1387=$T1386),$U1386,IF(C1387="x",V1386,"")))</f>
        <v/>
      </c>
      <c r="X1387" cm="1">
        <f t="array" ref="X1387">IF($I1387&lt;&gt;"",$I1387,INDEX($I$1:$I1387,ROW()-COUNTIFS($T$1:$T1387,"="&amp;$T1387,$S$1:$S1387,"&lt;"&amp;$S1387)))</f>
        <v>0</v>
      </c>
      <c r="Z1387" s="6">
        <f t="shared" si="214"/>
        <v>1</v>
      </c>
      <c r="AA1387" t="e">
        <f t="shared" si="215"/>
        <v>#VALUE!</v>
      </c>
      <c r="AB1387" t="str">
        <f t="shared" si="216"/>
        <v/>
      </c>
      <c r="AC1387" t="e">
        <f t="shared" si="217"/>
        <v>#VALUE!</v>
      </c>
    </row>
    <row r="1388" spans="1:29" x14ac:dyDescent="0.2">
      <c r="A1388" t="str">
        <f t="shared" si="218"/>
        <v/>
      </c>
      <c r="E1388" s="4"/>
      <c r="F1388" s="46"/>
      <c r="G1388" s="4"/>
      <c r="H1388" s="48"/>
      <c r="J1388" s="26" t="str">
        <f t="shared" si="219"/>
        <v/>
      </c>
      <c r="N1388" t="str">
        <f t="shared" si="220"/>
        <v/>
      </c>
      <c r="Q1388" t="str">
        <f t="shared" si="221"/>
        <v/>
      </c>
      <c r="S1388" t="str">
        <f>IF(A1388=1,MAX($S$2:$S1387)+1,IF(OR($I1388&lt;&gt;"",A1388="x"),$S1387,""))</f>
        <v/>
      </c>
      <c r="T1388" t="str">
        <f>IF(D1388=1,MAX($T$2:$T1387)+1,IF(S1388=S1387,$T1387,IF(D1388="x",T1387,IF(D1387="x","",""))))</f>
        <v/>
      </c>
      <c r="U1388" t="str">
        <f>IF(B1388=1,MAX($U$2:$U1387)+1,IF(AND($T1388&lt;&gt;"",$T1388=$T1387),$U1387,IF(B1388="x",U1387,"")))</f>
        <v/>
      </c>
      <c r="V1388" t="str">
        <f>IF(C1388=1,MAX($V$2:$V1387)+1,IF(AND($T1388&lt;&gt;"",$T1388=$T1387),$U1387,IF(C1388="x",V1387,"")))</f>
        <v/>
      </c>
      <c r="X1388" cm="1">
        <f t="array" ref="X1388">IF($I1388&lt;&gt;"",$I1388,INDEX($I$1:$I1388,ROW()-COUNTIFS($T$1:$T1388,"="&amp;$T1388,$S$1:$S1388,"&lt;"&amp;$S1388)))</f>
        <v>0</v>
      </c>
      <c r="Z1388" s="6">
        <f t="shared" si="214"/>
        <v>1</v>
      </c>
      <c r="AA1388" t="e">
        <f t="shared" si="215"/>
        <v>#VALUE!</v>
      </c>
      <c r="AB1388" t="str">
        <f t="shared" si="216"/>
        <v/>
      </c>
      <c r="AC1388" t="e">
        <f t="shared" si="217"/>
        <v>#VALUE!</v>
      </c>
    </row>
    <row r="1389" spans="1:29" x14ac:dyDescent="0.2">
      <c r="A1389" t="str">
        <f t="shared" si="218"/>
        <v/>
      </c>
      <c r="E1389" s="4"/>
      <c r="F1389" s="46"/>
      <c r="G1389" s="4"/>
      <c r="H1389" s="48"/>
      <c r="J1389" s="26" t="str">
        <f t="shared" si="219"/>
        <v/>
      </c>
      <c r="N1389" t="str">
        <f t="shared" si="220"/>
        <v/>
      </c>
      <c r="Q1389" t="str">
        <f t="shared" si="221"/>
        <v/>
      </c>
      <c r="S1389" t="str">
        <f>IF(A1389=1,MAX($S$2:$S1388)+1,IF(OR($I1389&lt;&gt;"",A1389="x"),$S1388,""))</f>
        <v/>
      </c>
      <c r="T1389" t="str">
        <f>IF(D1389=1,MAX($T$2:$T1388)+1,IF(S1389=S1388,$T1388,IF(D1389="x",T1388,IF(D1388="x","",""))))</f>
        <v/>
      </c>
      <c r="U1389" t="str">
        <f>IF(B1389=1,MAX($U$2:$U1388)+1,IF(AND($T1389&lt;&gt;"",$T1389=$T1388),$U1388,IF(B1389="x",U1388,"")))</f>
        <v/>
      </c>
      <c r="V1389" t="str">
        <f>IF(C1389=1,MAX($V$2:$V1388)+1,IF(AND($T1389&lt;&gt;"",$T1389=$T1388),$U1388,IF(C1389="x",V1388,"")))</f>
        <v/>
      </c>
      <c r="X1389" cm="1">
        <f t="array" ref="X1389">IF($I1389&lt;&gt;"",$I1389,INDEX($I$1:$I1389,ROW()-COUNTIFS($T$1:$T1389,"="&amp;$T1389,$S$1:$S1389,"&lt;"&amp;$S1389)))</f>
        <v>0</v>
      </c>
      <c r="Z1389" s="6">
        <f t="shared" si="214"/>
        <v>1</v>
      </c>
      <c r="AA1389" t="e">
        <f t="shared" si="215"/>
        <v>#VALUE!</v>
      </c>
      <c r="AB1389" t="str">
        <f t="shared" si="216"/>
        <v/>
      </c>
      <c r="AC1389" t="e">
        <f t="shared" si="217"/>
        <v>#VALUE!</v>
      </c>
    </row>
    <row r="1390" spans="1:29" x14ac:dyDescent="0.2">
      <c r="A1390" t="str">
        <f t="shared" si="218"/>
        <v/>
      </c>
      <c r="E1390" s="4"/>
      <c r="F1390" s="46"/>
      <c r="G1390" s="4"/>
      <c r="H1390" s="48"/>
      <c r="J1390" s="26" t="str">
        <f t="shared" si="219"/>
        <v/>
      </c>
      <c r="N1390" t="str">
        <f t="shared" si="220"/>
        <v/>
      </c>
      <c r="Q1390" t="str">
        <f t="shared" si="221"/>
        <v/>
      </c>
      <c r="S1390" t="str">
        <f>IF(A1390=1,MAX($S$2:$S1389)+1,IF(OR($I1390&lt;&gt;"",A1390="x"),$S1389,""))</f>
        <v/>
      </c>
      <c r="T1390" t="str">
        <f>IF(D1390=1,MAX($T$2:$T1389)+1,IF(S1390=S1389,$T1389,IF(D1390="x",T1389,IF(D1389="x","",""))))</f>
        <v/>
      </c>
      <c r="U1390" t="str">
        <f>IF(B1390=1,MAX($U$2:$U1389)+1,IF(AND($T1390&lt;&gt;"",$T1390=$T1389),$U1389,IF(B1390="x",U1389,"")))</f>
        <v/>
      </c>
      <c r="V1390" t="str">
        <f>IF(C1390=1,MAX($V$2:$V1389)+1,IF(AND($T1390&lt;&gt;"",$T1390=$T1389),$U1389,IF(C1390="x",V1389,"")))</f>
        <v/>
      </c>
      <c r="X1390" cm="1">
        <f t="array" ref="X1390">IF($I1390&lt;&gt;"",$I1390,INDEX($I$1:$I1390,ROW()-COUNTIFS($T$1:$T1390,"="&amp;$T1390,$S$1:$S1390,"&lt;"&amp;$S1390)))</f>
        <v>0</v>
      </c>
      <c r="Z1390" s="6">
        <f t="shared" si="214"/>
        <v>1</v>
      </c>
      <c r="AA1390" t="e">
        <f t="shared" si="215"/>
        <v>#VALUE!</v>
      </c>
      <c r="AB1390" t="str">
        <f t="shared" si="216"/>
        <v/>
      </c>
      <c r="AC1390" t="e">
        <f t="shared" si="217"/>
        <v>#VALUE!</v>
      </c>
    </row>
    <row r="1391" spans="1:29" x14ac:dyDescent="0.2">
      <c r="A1391" t="str">
        <f t="shared" si="218"/>
        <v/>
      </c>
      <c r="E1391" s="4"/>
      <c r="F1391" s="46"/>
      <c r="G1391" s="4"/>
      <c r="H1391" s="48"/>
      <c r="J1391" s="26" t="str">
        <f t="shared" si="219"/>
        <v/>
      </c>
      <c r="N1391" t="str">
        <f t="shared" si="220"/>
        <v/>
      </c>
      <c r="Q1391" t="str">
        <f t="shared" si="221"/>
        <v/>
      </c>
      <c r="S1391" t="str">
        <f>IF(A1391=1,MAX($S$2:$S1390)+1,IF(OR($I1391&lt;&gt;"",A1391="x"),$S1390,""))</f>
        <v/>
      </c>
      <c r="T1391" t="str">
        <f>IF(D1391=1,MAX($T$2:$T1390)+1,IF(S1391=S1390,$T1390,IF(D1391="x",T1390,IF(D1390="x","",""))))</f>
        <v/>
      </c>
      <c r="U1391" t="str">
        <f>IF(B1391=1,MAX($U$2:$U1390)+1,IF(AND($T1391&lt;&gt;"",$T1391=$T1390),$U1390,IF(B1391="x",U1390,"")))</f>
        <v/>
      </c>
      <c r="V1391" t="str">
        <f>IF(C1391=1,MAX($V$2:$V1390)+1,IF(AND($T1391&lt;&gt;"",$T1391=$T1390),$U1390,IF(C1391="x",V1390,"")))</f>
        <v/>
      </c>
      <c r="X1391" cm="1">
        <f t="array" ref="X1391">IF($I1391&lt;&gt;"",$I1391,INDEX($I$1:$I1391,ROW()-COUNTIFS($T$1:$T1391,"="&amp;$T1391,$S$1:$S1391,"&lt;"&amp;$S1391)))</f>
        <v>0</v>
      </c>
      <c r="Z1391" s="6">
        <f t="shared" si="214"/>
        <v>1</v>
      </c>
      <c r="AA1391" t="e">
        <f t="shared" si="215"/>
        <v>#VALUE!</v>
      </c>
      <c r="AB1391" t="str">
        <f t="shared" si="216"/>
        <v/>
      </c>
      <c r="AC1391" t="e">
        <f t="shared" si="217"/>
        <v>#VALUE!</v>
      </c>
    </row>
    <row r="1392" spans="1:29" x14ac:dyDescent="0.2">
      <c r="A1392" t="str">
        <f t="shared" si="218"/>
        <v/>
      </c>
      <c r="E1392" s="4"/>
      <c r="F1392" s="46"/>
      <c r="G1392" s="4"/>
      <c r="H1392" s="48"/>
      <c r="J1392" s="26" t="str">
        <f t="shared" si="219"/>
        <v/>
      </c>
      <c r="N1392" t="str">
        <f t="shared" si="220"/>
        <v/>
      </c>
      <c r="Q1392" t="str">
        <f t="shared" si="221"/>
        <v/>
      </c>
      <c r="S1392" t="str">
        <f>IF(A1392=1,MAX($S$2:$S1391)+1,IF(OR($I1392&lt;&gt;"",A1392="x"),$S1391,""))</f>
        <v/>
      </c>
      <c r="T1392" t="str">
        <f>IF(D1392=1,MAX($T$2:$T1391)+1,IF(S1392=S1391,$T1391,IF(D1392="x",T1391,IF(D1391="x","",""))))</f>
        <v/>
      </c>
      <c r="U1392" t="str">
        <f>IF(B1392=1,MAX($U$2:$U1391)+1,IF(AND($T1392&lt;&gt;"",$T1392=$T1391),$U1391,IF(B1392="x",U1391,"")))</f>
        <v/>
      </c>
      <c r="V1392" t="str">
        <f>IF(C1392=1,MAX($V$2:$V1391)+1,IF(AND($T1392&lt;&gt;"",$T1392=$T1391),$U1391,IF(C1392="x",V1391,"")))</f>
        <v/>
      </c>
      <c r="X1392" cm="1">
        <f t="array" ref="X1392">IF($I1392&lt;&gt;"",$I1392,INDEX($I$1:$I1392,ROW()-COUNTIFS($T$1:$T1392,"="&amp;$T1392,$S$1:$S1392,"&lt;"&amp;$S1392)))</f>
        <v>0</v>
      </c>
      <c r="Z1392" s="6">
        <f t="shared" si="214"/>
        <v>1</v>
      </c>
      <c r="AA1392" t="e">
        <f t="shared" si="215"/>
        <v>#VALUE!</v>
      </c>
      <c r="AB1392" t="str">
        <f t="shared" si="216"/>
        <v/>
      </c>
      <c r="AC1392" t="e">
        <f t="shared" si="217"/>
        <v>#VALUE!</v>
      </c>
    </row>
    <row r="1393" spans="1:29" x14ac:dyDescent="0.2">
      <c r="A1393" t="str">
        <f t="shared" si="218"/>
        <v/>
      </c>
      <c r="E1393" s="4"/>
      <c r="F1393" s="46"/>
      <c r="G1393" s="4"/>
      <c r="H1393" s="48"/>
      <c r="J1393" s="26" t="str">
        <f t="shared" si="219"/>
        <v/>
      </c>
      <c r="N1393" t="str">
        <f t="shared" si="220"/>
        <v/>
      </c>
      <c r="Q1393" t="str">
        <f t="shared" si="221"/>
        <v/>
      </c>
      <c r="S1393" t="str">
        <f>IF(A1393=1,MAX($S$2:$S1392)+1,IF(OR($I1393&lt;&gt;"",A1393="x"),$S1392,""))</f>
        <v/>
      </c>
      <c r="T1393" t="str">
        <f>IF(D1393=1,MAX($T$2:$T1392)+1,IF(S1393=S1392,$T1392,IF(D1393="x",T1392,IF(D1392="x","",""))))</f>
        <v/>
      </c>
      <c r="U1393" t="str">
        <f>IF(B1393=1,MAX($U$2:$U1392)+1,IF(AND($T1393&lt;&gt;"",$T1393=$T1392),$U1392,IF(B1393="x",U1392,"")))</f>
        <v/>
      </c>
      <c r="V1393" t="str">
        <f>IF(C1393=1,MAX($V$2:$V1392)+1,IF(AND($T1393&lt;&gt;"",$T1393=$T1392),$U1392,IF(C1393="x",V1392,"")))</f>
        <v/>
      </c>
      <c r="X1393" cm="1">
        <f t="array" ref="X1393">IF($I1393&lt;&gt;"",$I1393,INDEX($I$1:$I1393,ROW()-COUNTIFS($T$1:$T1393,"="&amp;$T1393,$S$1:$S1393,"&lt;"&amp;$S1393)))</f>
        <v>0</v>
      </c>
      <c r="Z1393" s="6">
        <f t="shared" si="214"/>
        <v>1</v>
      </c>
      <c r="AA1393" t="e">
        <f t="shared" si="215"/>
        <v>#VALUE!</v>
      </c>
      <c r="AB1393" t="str">
        <f t="shared" si="216"/>
        <v/>
      </c>
      <c r="AC1393" t="e">
        <f t="shared" si="217"/>
        <v>#VALUE!</v>
      </c>
    </row>
    <row r="1394" spans="1:29" x14ac:dyDescent="0.2">
      <c r="A1394" t="str">
        <f t="shared" si="218"/>
        <v/>
      </c>
      <c r="E1394" s="4"/>
      <c r="F1394" s="46"/>
      <c r="G1394" s="4"/>
      <c r="H1394" s="48"/>
      <c r="J1394" s="26" t="str">
        <f t="shared" si="219"/>
        <v/>
      </c>
      <c r="N1394" t="str">
        <f t="shared" si="220"/>
        <v/>
      </c>
      <c r="Q1394" t="str">
        <f t="shared" si="221"/>
        <v/>
      </c>
      <c r="S1394" t="str">
        <f>IF(A1394=1,MAX($S$2:$S1393)+1,IF(OR($I1394&lt;&gt;"",A1394="x"),$S1393,""))</f>
        <v/>
      </c>
      <c r="T1394" t="str">
        <f>IF(D1394=1,MAX($T$2:$T1393)+1,IF(S1394=S1393,$T1393,IF(D1394="x",T1393,IF(D1393="x","",""))))</f>
        <v/>
      </c>
      <c r="U1394" t="str">
        <f>IF(B1394=1,MAX($U$2:$U1393)+1,IF(AND($T1394&lt;&gt;"",$T1394=$T1393),$U1393,IF(B1394="x",U1393,"")))</f>
        <v/>
      </c>
      <c r="V1394" t="str">
        <f>IF(C1394=1,MAX($V$2:$V1393)+1,IF(AND($T1394&lt;&gt;"",$T1394=$T1393),$U1393,IF(C1394="x",V1393,"")))</f>
        <v/>
      </c>
      <c r="X1394" cm="1">
        <f t="array" ref="X1394">IF($I1394&lt;&gt;"",$I1394,INDEX($I$1:$I1394,ROW()-COUNTIFS($T$1:$T1394,"="&amp;$T1394,$S$1:$S1394,"&lt;"&amp;$S1394)))</f>
        <v>0</v>
      </c>
      <c r="Z1394" s="6">
        <f t="shared" si="214"/>
        <v>1</v>
      </c>
      <c r="AA1394" t="e">
        <f t="shared" si="215"/>
        <v>#VALUE!</v>
      </c>
      <c r="AB1394" t="str">
        <f t="shared" si="216"/>
        <v/>
      </c>
      <c r="AC1394" t="e">
        <f t="shared" si="217"/>
        <v>#VALUE!</v>
      </c>
    </row>
    <row r="1395" spans="1:29" x14ac:dyDescent="0.2">
      <c r="A1395" t="str">
        <f t="shared" si="218"/>
        <v/>
      </c>
      <c r="E1395" s="4"/>
      <c r="F1395" s="46"/>
      <c r="G1395" s="4"/>
      <c r="H1395" s="48"/>
      <c r="J1395" s="26" t="str">
        <f t="shared" si="219"/>
        <v/>
      </c>
      <c r="N1395" t="str">
        <f t="shared" si="220"/>
        <v/>
      </c>
      <c r="Q1395" t="str">
        <f t="shared" si="221"/>
        <v/>
      </c>
      <c r="S1395" t="str">
        <f>IF(A1395=1,MAX($S$2:$S1394)+1,IF(OR($I1395&lt;&gt;"",A1395="x"),$S1394,""))</f>
        <v/>
      </c>
      <c r="T1395" t="str">
        <f>IF(D1395=1,MAX($T$2:$T1394)+1,IF(S1395=S1394,$T1394,IF(D1395="x",T1394,IF(D1394="x","",""))))</f>
        <v/>
      </c>
      <c r="U1395" t="str">
        <f>IF(B1395=1,MAX($U$2:$U1394)+1,IF(AND($T1395&lt;&gt;"",$T1395=$T1394),$U1394,IF(B1395="x",U1394,"")))</f>
        <v/>
      </c>
      <c r="V1395" t="str">
        <f>IF(C1395=1,MAX($V$2:$V1394)+1,IF(AND($T1395&lt;&gt;"",$T1395=$T1394),$U1394,IF(C1395="x",V1394,"")))</f>
        <v/>
      </c>
      <c r="X1395" cm="1">
        <f t="array" ref="X1395">IF($I1395&lt;&gt;"",$I1395,INDEX($I$1:$I1395,ROW()-COUNTIFS($T$1:$T1395,"="&amp;$T1395,$S$1:$S1395,"&lt;"&amp;$S1395)))</f>
        <v>0</v>
      </c>
      <c r="Z1395" s="6">
        <f t="shared" si="214"/>
        <v>1</v>
      </c>
      <c r="AA1395" t="e">
        <f t="shared" si="215"/>
        <v>#VALUE!</v>
      </c>
      <c r="AB1395" t="str">
        <f t="shared" si="216"/>
        <v/>
      </c>
      <c r="AC1395" t="e">
        <f t="shared" si="217"/>
        <v>#VALUE!</v>
      </c>
    </row>
    <row r="1396" spans="1:29" x14ac:dyDescent="0.2">
      <c r="A1396" t="str">
        <f t="shared" si="218"/>
        <v/>
      </c>
      <c r="E1396" s="4"/>
      <c r="F1396" s="46"/>
      <c r="G1396" s="4"/>
      <c r="H1396" s="48"/>
      <c r="J1396" s="26" t="str">
        <f t="shared" si="219"/>
        <v/>
      </c>
      <c r="N1396" t="str">
        <f t="shared" si="220"/>
        <v/>
      </c>
      <c r="Q1396" t="str">
        <f t="shared" si="221"/>
        <v/>
      </c>
      <c r="S1396" t="str">
        <f>IF(A1396=1,MAX($S$2:$S1395)+1,IF(OR($I1396&lt;&gt;"",A1396="x"),$S1395,""))</f>
        <v/>
      </c>
      <c r="T1396" t="str">
        <f>IF(D1396=1,MAX($T$2:$T1395)+1,IF(S1396=S1395,$T1395,IF(D1396="x",T1395,IF(D1395="x","",""))))</f>
        <v/>
      </c>
      <c r="U1396" t="str">
        <f>IF(B1396=1,MAX($U$2:$U1395)+1,IF(AND($T1396&lt;&gt;"",$T1396=$T1395),$U1395,IF(B1396="x",U1395,"")))</f>
        <v/>
      </c>
      <c r="V1396" t="str">
        <f>IF(C1396=1,MAX($V$2:$V1395)+1,IF(AND($T1396&lt;&gt;"",$T1396=$T1395),$U1395,IF(C1396="x",V1395,"")))</f>
        <v/>
      </c>
      <c r="X1396" cm="1">
        <f t="array" ref="X1396">IF($I1396&lt;&gt;"",$I1396,INDEX($I$1:$I1396,ROW()-COUNTIFS($T$1:$T1396,"="&amp;$T1396,$S$1:$S1396,"&lt;"&amp;$S1396)))</f>
        <v>0</v>
      </c>
      <c r="Z1396" s="6">
        <f t="shared" si="214"/>
        <v>1</v>
      </c>
      <c r="AA1396" t="e">
        <f t="shared" si="215"/>
        <v>#VALUE!</v>
      </c>
      <c r="AB1396" t="str">
        <f t="shared" si="216"/>
        <v/>
      </c>
      <c r="AC1396" t="e">
        <f t="shared" si="217"/>
        <v>#VALUE!</v>
      </c>
    </row>
    <row r="1397" spans="1:29" x14ac:dyDescent="0.2">
      <c r="A1397" t="str">
        <f t="shared" si="218"/>
        <v/>
      </c>
      <c r="E1397" s="4"/>
      <c r="F1397" s="46"/>
      <c r="G1397" s="4"/>
      <c r="H1397" s="48"/>
      <c r="J1397" s="26" t="str">
        <f t="shared" si="219"/>
        <v/>
      </c>
      <c r="N1397" t="str">
        <f t="shared" si="220"/>
        <v/>
      </c>
      <c r="Q1397" t="str">
        <f t="shared" si="221"/>
        <v/>
      </c>
      <c r="S1397" t="str">
        <f>IF(A1397=1,MAX($S$2:$S1396)+1,IF(OR($I1397&lt;&gt;"",A1397="x"),$S1396,""))</f>
        <v/>
      </c>
      <c r="T1397" t="str">
        <f>IF(D1397=1,MAX($T$2:$T1396)+1,IF(S1397=S1396,$T1396,IF(D1397="x",T1396,IF(D1396="x","",""))))</f>
        <v/>
      </c>
      <c r="U1397" t="str">
        <f>IF(B1397=1,MAX($U$2:$U1396)+1,IF(AND($T1397&lt;&gt;"",$T1397=$T1396),$U1396,IF(B1397="x",U1396,"")))</f>
        <v/>
      </c>
      <c r="V1397" t="str">
        <f>IF(C1397=1,MAX($V$2:$V1396)+1,IF(AND($T1397&lt;&gt;"",$T1397=$T1396),$U1396,IF(C1397="x",V1396,"")))</f>
        <v/>
      </c>
      <c r="X1397" cm="1">
        <f t="array" ref="X1397">IF($I1397&lt;&gt;"",$I1397,INDEX($I$1:$I1397,ROW()-COUNTIFS($T$1:$T1397,"="&amp;$T1397,$S$1:$S1397,"&lt;"&amp;$S1397)))</f>
        <v>0</v>
      </c>
      <c r="Z1397" s="6">
        <f t="shared" si="214"/>
        <v>1</v>
      </c>
      <c r="AA1397" t="e">
        <f t="shared" si="215"/>
        <v>#VALUE!</v>
      </c>
      <c r="AB1397" t="str">
        <f t="shared" si="216"/>
        <v/>
      </c>
      <c r="AC1397" t="e">
        <f t="shared" si="217"/>
        <v>#VALUE!</v>
      </c>
    </row>
    <row r="1398" spans="1:29" x14ac:dyDescent="0.2">
      <c r="A1398" t="str">
        <f t="shared" si="218"/>
        <v/>
      </c>
      <c r="E1398" s="4"/>
      <c r="F1398" s="46"/>
      <c r="G1398" s="4"/>
      <c r="H1398" s="48"/>
      <c r="J1398" s="26" t="str">
        <f t="shared" si="219"/>
        <v/>
      </c>
      <c r="N1398" t="str">
        <f t="shared" si="220"/>
        <v/>
      </c>
      <c r="Q1398" t="str">
        <f t="shared" si="221"/>
        <v/>
      </c>
      <c r="S1398" t="str">
        <f>IF(A1398=1,MAX($S$2:$S1397)+1,IF(OR($I1398&lt;&gt;"",A1398="x"),$S1397,""))</f>
        <v/>
      </c>
      <c r="T1398" t="str">
        <f>IF(D1398=1,MAX($T$2:$T1397)+1,IF(S1398=S1397,$T1397,IF(D1398="x",T1397,IF(D1397="x","",""))))</f>
        <v/>
      </c>
      <c r="U1398" t="str">
        <f>IF(B1398=1,MAX($U$2:$U1397)+1,IF(AND($T1398&lt;&gt;"",$T1398=$T1397),$U1397,IF(B1398="x",U1397,"")))</f>
        <v/>
      </c>
      <c r="V1398" t="str">
        <f>IF(C1398=1,MAX($V$2:$V1397)+1,IF(AND($T1398&lt;&gt;"",$T1398=$T1397),$U1397,IF(C1398="x",V1397,"")))</f>
        <v/>
      </c>
      <c r="X1398" cm="1">
        <f t="array" ref="X1398">IF($I1398&lt;&gt;"",$I1398,INDEX($I$1:$I1398,ROW()-COUNTIFS($T$1:$T1398,"="&amp;$T1398,$S$1:$S1398,"&lt;"&amp;$S1398)))</f>
        <v>0</v>
      </c>
      <c r="Z1398" s="6">
        <f t="shared" si="214"/>
        <v>1</v>
      </c>
      <c r="AA1398" t="e">
        <f t="shared" si="215"/>
        <v>#VALUE!</v>
      </c>
      <c r="AB1398" t="str">
        <f t="shared" si="216"/>
        <v/>
      </c>
      <c r="AC1398" t="e">
        <f t="shared" si="217"/>
        <v>#VALUE!</v>
      </c>
    </row>
    <row r="1399" spans="1:29" x14ac:dyDescent="0.2">
      <c r="A1399" t="str">
        <f t="shared" si="218"/>
        <v/>
      </c>
      <c r="E1399" s="4"/>
      <c r="F1399" s="46"/>
      <c r="G1399" s="4"/>
      <c r="H1399" s="48"/>
      <c r="J1399" s="26" t="str">
        <f t="shared" si="219"/>
        <v/>
      </c>
      <c r="N1399" t="str">
        <f t="shared" si="220"/>
        <v/>
      </c>
      <c r="Q1399" t="str">
        <f t="shared" si="221"/>
        <v/>
      </c>
      <c r="S1399" t="str">
        <f>IF(A1399=1,MAX($S$2:$S1398)+1,IF(OR($I1399&lt;&gt;"",A1399="x"),$S1398,""))</f>
        <v/>
      </c>
      <c r="T1399" t="str">
        <f>IF(D1399=1,MAX($T$2:$T1398)+1,IF(S1399=S1398,$T1398,IF(D1399="x",T1398,IF(D1398="x","",""))))</f>
        <v/>
      </c>
      <c r="U1399" t="str">
        <f>IF(B1399=1,MAX($U$2:$U1398)+1,IF(AND($T1399&lt;&gt;"",$T1399=$T1398),$U1398,IF(B1399="x",U1398,"")))</f>
        <v/>
      </c>
      <c r="V1399" t="str">
        <f>IF(C1399=1,MAX($V$2:$V1398)+1,IF(AND($T1399&lt;&gt;"",$T1399=$T1398),$U1398,IF(C1399="x",V1398,"")))</f>
        <v/>
      </c>
      <c r="X1399" cm="1">
        <f t="array" ref="X1399">IF($I1399&lt;&gt;"",$I1399,INDEX($I$1:$I1399,ROW()-COUNTIFS($T$1:$T1399,"="&amp;$T1399,$S$1:$S1399,"&lt;"&amp;$S1399)))</f>
        <v>0</v>
      </c>
      <c r="Z1399" s="6">
        <f t="shared" si="214"/>
        <v>1</v>
      </c>
      <c r="AA1399" t="e">
        <f t="shared" si="215"/>
        <v>#VALUE!</v>
      </c>
      <c r="AB1399" t="str">
        <f t="shared" si="216"/>
        <v/>
      </c>
      <c r="AC1399" t="e">
        <f t="shared" si="217"/>
        <v>#VALUE!</v>
      </c>
    </row>
    <row r="1400" spans="1:29" x14ac:dyDescent="0.2">
      <c r="A1400" t="str">
        <f t="shared" si="218"/>
        <v/>
      </c>
      <c r="E1400" s="4"/>
      <c r="F1400" s="46"/>
      <c r="G1400" s="4"/>
      <c r="H1400" s="48"/>
      <c r="J1400" s="26" t="str">
        <f t="shared" si="219"/>
        <v/>
      </c>
      <c r="N1400" t="str">
        <f t="shared" si="220"/>
        <v/>
      </c>
      <c r="Q1400" t="str">
        <f t="shared" si="221"/>
        <v/>
      </c>
      <c r="S1400" t="str">
        <f>IF(A1400=1,MAX($S$2:$S1399)+1,IF(OR($I1400&lt;&gt;"",A1400="x"),$S1399,""))</f>
        <v/>
      </c>
      <c r="T1400" t="str">
        <f>IF(D1400=1,MAX($T$2:$T1399)+1,IF(S1400=S1399,$T1399,IF(D1400="x",T1399,IF(D1399="x","",""))))</f>
        <v/>
      </c>
      <c r="U1400" t="str">
        <f>IF(B1400=1,MAX($U$2:$U1399)+1,IF(AND($T1400&lt;&gt;"",$T1400=$T1399),$U1399,IF(B1400="x",U1399,"")))</f>
        <v/>
      </c>
      <c r="V1400" t="str">
        <f>IF(C1400=1,MAX($V$2:$V1399)+1,IF(AND($T1400&lt;&gt;"",$T1400=$T1399),$U1399,IF(C1400="x",V1399,"")))</f>
        <v/>
      </c>
      <c r="X1400" cm="1">
        <f t="array" ref="X1400">IF($I1400&lt;&gt;"",$I1400,INDEX($I$1:$I1400,ROW()-COUNTIFS($T$1:$T1400,"="&amp;$T1400,$S$1:$S1400,"&lt;"&amp;$S1400)))</f>
        <v>0</v>
      </c>
      <c r="Z1400" s="6">
        <f t="shared" si="214"/>
        <v>1</v>
      </c>
      <c r="AA1400" t="e">
        <f t="shared" si="215"/>
        <v>#VALUE!</v>
      </c>
      <c r="AB1400" t="str">
        <f t="shared" si="216"/>
        <v/>
      </c>
      <c r="AC1400" t="e">
        <f t="shared" si="217"/>
        <v>#VALUE!</v>
      </c>
    </row>
    <row r="1401" spans="1:29" x14ac:dyDescent="0.2">
      <c r="A1401" t="str">
        <f t="shared" si="218"/>
        <v/>
      </c>
      <c r="E1401" s="4"/>
      <c r="F1401" s="46"/>
      <c r="G1401" s="4"/>
      <c r="H1401" s="48"/>
      <c r="J1401" s="26" t="str">
        <f t="shared" si="219"/>
        <v/>
      </c>
      <c r="N1401" t="str">
        <f t="shared" si="220"/>
        <v/>
      </c>
      <c r="Q1401" t="str">
        <f t="shared" si="221"/>
        <v/>
      </c>
      <c r="S1401" t="str">
        <f>IF(A1401=1,MAX($S$2:$S1400)+1,IF(OR($I1401&lt;&gt;"",A1401="x"),$S1400,""))</f>
        <v/>
      </c>
      <c r="T1401" t="str">
        <f>IF(D1401=1,MAX($T$2:$T1400)+1,IF(S1401=S1400,$T1400,IF(D1401="x",T1400,IF(D1400="x","",""))))</f>
        <v/>
      </c>
      <c r="U1401" t="str">
        <f>IF(B1401=1,MAX($U$2:$U1400)+1,IF(AND($T1401&lt;&gt;"",$T1401=$T1400),$U1400,IF(B1401="x",U1400,"")))</f>
        <v/>
      </c>
      <c r="V1401" t="str">
        <f>IF(C1401=1,MAX($V$2:$V1400)+1,IF(AND($T1401&lt;&gt;"",$T1401=$T1400),$U1400,IF(C1401="x",V1400,"")))</f>
        <v/>
      </c>
      <c r="X1401" cm="1">
        <f t="array" ref="X1401">IF($I1401&lt;&gt;"",$I1401,INDEX($I$1:$I1401,ROW()-COUNTIFS($T$1:$T1401,"="&amp;$T1401,$S$1:$S1401,"&lt;"&amp;$S1401)))</f>
        <v>0</v>
      </c>
      <c r="Z1401" s="6">
        <f t="shared" si="214"/>
        <v>1</v>
      </c>
      <c r="AA1401" t="e">
        <f t="shared" si="215"/>
        <v>#VALUE!</v>
      </c>
      <c r="AB1401" t="str">
        <f t="shared" si="216"/>
        <v/>
      </c>
      <c r="AC1401" t="e">
        <f t="shared" si="217"/>
        <v>#VALUE!</v>
      </c>
    </row>
    <row r="1402" spans="1:29" x14ac:dyDescent="0.2">
      <c r="A1402" t="str">
        <f t="shared" si="218"/>
        <v/>
      </c>
      <c r="E1402" s="4"/>
      <c r="F1402" s="46"/>
      <c r="G1402" s="4"/>
      <c r="H1402" s="48"/>
      <c r="J1402" s="26" t="str">
        <f t="shared" si="219"/>
        <v/>
      </c>
      <c r="N1402" t="str">
        <f t="shared" si="220"/>
        <v/>
      </c>
      <c r="Q1402" t="str">
        <f t="shared" si="221"/>
        <v/>
      </c>
      <c r="S1402" t="str">
        <f>IF(A1402=1,MAX($S$2:$S1401)+1,IF(OR($I1402&lt;&gt;"",A1402="x"),$S1401,""))</f>
        <v/>
      </c>
      <c r="T1402" t="str">
        <f>IF(D1402=1,MAX($T$2:$T1401)+1,IF(S1402=S1401,$T1401,IF(D1402="x",T1401,IF(D1401="x","",""))))</f>
        <v/>
      </c>
      <c r="U1402" t="str">
        <f>IF(B1402=1,MAX($U$2:$U1401)+1,IF(AND($T1402&lt;&gt;"",$T1402=$T1401),$U1401,IF(B1402="x",U1401,"")))</f>
        <v/>
      </c>
      <c r="V1402" t="str">
        <f>IF(C1402=1,MAX($V$2:$V1401)+1,IF(AND($T1402&lt;&gt;"",$T1402=$T1401),$U1401,IF(C1402="x",V1401,"")))</f>
        <v/>
      </c>
      <c r="X1402" cm="1">
        <f t="array" ref="X1402">IF($I1402&lt;&gt;"",$I1402,INDEX($I$1:$I1402,ROW()-COUNTIFS($T$1:$T1402,"="&amp;$T1402,$S$1:$S1402,"&lt;"&amp;$S1402)))</f>
        <v>0</v>
      </c>
      <c r="Z1402" s="6">
        <f t="shared" si="214"/>
        <v>1</v>
      </c>
      <c r="AA1402" t="e">
        <f t="shared" si="215"/>
        <v>#VALUE!</v>
      </c>
      <c r="AB1402" t="str">
        <f t="shared" si="216"/>
        <v/>
      </c>
      <c r="AC1402" t="e">
        <f t="shared" si="217"/>
        <v>#VALUE!</v>
      </c>
    </row>
    <row r="1403" spans="1:29" x14ac:dyDescent="0.2">
      <c r="A1403" t="str">
        <f t="shared" si="218"/>
        <v/>
      </c>
      <c r="E1403" s="4"/>
      <c r="F1403" s="46"/>
      <c r="G1403" s="4"/>
      <c r="H1403" s="48"/>
      <c r="J1403" s="26" t="str">
        <f t="shared" si="219"/>
        <v/>
      </c>
      <c r="N1403" t="str">
        <f t="shared" si="220"/>
        <v/>
      </c>
      <c r="Q1403" t="str">
        <f t="shared" si="221"/>
        <v/>
      </c>
      <c r="S1403" t="str">
        <f>IF(A1403=1,MAX($S$2:$S1402)+1,IF(OR($I1403&lt;&gt;"",A1403="x"),$S1402,""))</f>
        <v/>
      </c>
      <c r="T1403" t="str">
        <f>IF(D1403=1,MAX($T$2:$T1402)+1,IF(S1403=S1402,$T1402,IF(D1403="x",T1402,IF(D1402="x","",""))))</f>
        <v/>
      </c>
      <c r="U1403" t="str">
        <f>IF(B1403=1,MAX($U$2:$U1402)+1,IF(AND($T1403&lt;&gt;"",$T1403=$T1402),$U1402,IF(B1403="x",U1402,"")))</f>
        <v/>
      </c>
      <c r="V1403" t="str">
        <f>IF(C1403=1,MAX($V$2:$V1402)+1,IF(AND($T1403&lt;&gt;"",$T1403=$T1402),$U1402,IF(C1403="x",V1402,"")))</f>
        <v/>
      </c>
      <c r="X1403" cm="1">
        <f t="array" ref="X1403">IF($I1403&lt;&gt;"",$I1403,INDEX($I$1:$I1403,ROW()-COUNTIFS($T$1:$T1403,"="&amp;$T1403,$S$1:$S1403,"&lt;"&amp;$S1403)))</f>
        <v>0</v>
      </c>
      <c r="Z1403" s="6">
        <f t="shared" si="214"/>
        <v>1</v>
      </c>
      <c r="AA1403" t="e">
        <f t="shared" si="215"/>
        <v>#VALUE!</v>
      </c>
      <c r="AB1403" t="str">
        <f t="shared" si="216"/>
        <v/>
      </c>
      <c r="AC1403" t="e">
        <f t="shared" si="217"/>
        <v>#VALUE!</v>
      </c>
    </row>
    <row r="1404" spans="1:29" x14ac:dyDescent="0.2">
      <c r="A1404" t="str">
        <f t="shared" si="218"/>
        <v/>
      </c>
      <c r="E1404" s="4"/>
      <c r="F1404" s="46"/>
      <c r="G1404" s="4"/>
      <c r="H1404" s="48"/>
      <c r="J1404" s="26" t="str">
        <f t="shared" si="219"/>
        <v/>
      </c>
      <c r="N1404" t="str">
        <f t="shared" si="220"/>
        <v/>
      </c>
      <c r="Q1404" t="str">
        <f t="shared" si="221"/>
        <v/>
      </c>
      <c r="S1404" t="str">
        <f>IF(A1404=1,MAX($S$2:$S1403)+1,IF(OR($I1404&lt;&gt;"",A1404="x"),$S1403,""))</f>
        <v/>
      </c>
      <c r="T1404" t="str">
        <f>IF(D1404=1,MAX($T$2:$T1403)+1,IF(S1404=S1403,$T1403,IF(D1404="x",T1403,IF(D1403="x","",""))))</f>
        <v/>
      </c>
      <c r="U1404" t="str">
        <f>IF(B1404=1,MAX($U$2:$U1403)+1,IF(AND($T1404&lt;&gt;"",$T1404=$T1403),$U1403,IF(B1404="x",U1403,"")))</f>
        <v/>
      </c>
      <c r="V1404" t="str">
        <f>IF(C1404=1,MAX($V$2:$V1403)+1,IF(AND($T1404&lt;&gt;"",$T1404=$T1403),$U1403,IF(C1404="x",V1403,"")))</f>
        <v/>
      </c>
      <c r="X1404" cm="1">
        <f t="array" ref="X1404">IF($I1404&lt;&gt;"",$I1404,INDEX($I$1:$I1404,ROW()-COUNTIFS($T$1:$T1404,"="&amp;$T1404,$S$1:$S1404,"&lt;"&amp;$S1404)))</f>
        <v>0</v>
      </c>
      <c r="Z1404" s="6">
        <f t="shared" si="214"/>
        <v>1</v>
      </c>
      <c r="AA1404" t="e">
        <f t="shared" si="215"/>
        <v>#VALUE!</v>
      </c>
      <c r="AB1404" t="str">
        <f t="shared" si="216"/>
        <v/>
      </c>
      <c r="AC1404" t="e">
        <f t="shared" si="217"/>
        <v>#VALUE!</v>
      </c>
    </row>
    <row r="1405" spans="1:29" x14ac:dyDescent="0.2">
      <c r="A1405" t="str">
        <f t="shared" si="218"/>
        <v/>
      </c>
      <c r="E1405" s="4"/>
      <c r="F1405" s="46"/>
      <c r="G1405" s="4"/>
      <c r="H1405" s="48"/>
      <c r="J1405" s="26" t="str">
        <f t="shared" si="219"/>
        <v/>
      </c>
      <c r="N1405" t="str">
        <f t="shared" si="220"/>
        <v/>
      </c>
      <c r="Q1405" t="str">
        <f t="shared" si="221"/>
        <v/>
      </c>
      <c r="S1405" t="str">
        <f>IF(A1405=1,MAX($S$2:$S1404)+1,IF(OR($I1405&lt;&gt;"",A1405="x"),$S1404,""))</f>
        <v/>
      </c>
      <c r="T1405" t="str">
        <f>IF(D1405=1,MAX($T$2:$T1404)+1,IF(S1405=S1404,$T1404,IF(D1405="x",T1404,IF(D1404="x","",""))))</f>
        <v/>
      </c>
      <c r="U1405" t="str">
        <f>IF(B1405=1,MAX($U$2:$U1404)+1,IF(AND($T1405&lt;&gt;"",$T1405=$T1404),$U1404,IF(B1405="x",U1404,"")))</f>
        <v/>
      </c>
      <c r="V1405" t="str">
        <f>IF(C1405=1,MAX($V$2:$V1404)+1,IF(AND($T1405&lt;&gt;"",$T1405=$T1404),$U1404,IF(C1405="x",V1404,"")))</f>
        <v/>
      </c>
      <c r="X1405" cm="1">
        <f t="array" ref="X1405">IF($I1405&lt;&gt;"",$I1405,INDEX($I$1:$I1405,ROW()-COUNTIFS($T$1:$T1405,"="&amp;$T1405,$S$1:$S1405,"&lt;"&amp;$S1405)))</f>
        <v>0</v>
      </c>
      <c r="Z1405" s="6">
        <f t="shared" si="214"/>
        <v>1</v>
      </c>
      <c r="AA1405" t="e">
        <f t="shared" si="215"/>
        <v>#VALUE!</v>
      </c>
      <c r="AB1405" t="str">
        <f t="shared" si="216"/>
        <v/>
      </c>
      <c r="AC1405" t="e">
        <f t="shared" si="217"/>
        <v>#VALUE!</v>
      </c>
    </row>
    <row r="1406" spans="1:29" x14ac:dyDescent="0.2">
      <c r="A1406" t="str">
        <f t="shared" si="218"/>
        <v/>
      </c>
      <c r="E1406" s="4"/>
      <c r="F1406" s="46"/>
      <c r="G1406" s="4"/>
      <c r="H1406" s="48"/>
      <c r="J1406" s="26" t="str">
        <f t="shared" si="219"/>
        <v/>
      </c>
      <c r="N1406" t="str">
        <f t="shared" si="220"/>
        <v/>
      </c>
      <c r="Q1406" t="str">
        <f t="shared" si="221"/>
        <v/>
      </c>
      <c r="S1406" t="str">
        <f>IF(A1406=1,MAX($S$2:$S1405)+1,IF(OR($I1406&lt;&gt;"",A1406="x"),$S1405,""))</f>
        <v/>
      </c>
      <c r="T1406" t="str">
        <f>IF(D1406=1,MAX($T$2:$T1405)+1,IF(S1406=S1405,$T1405,IF(D1406="x",T1405,IF(D1405="x","",""))))</f>
        <v/>
      </c>
      <c r="U1406" t="str">
        <f>IF(B1406=1,MAX($U$2:$U1405)+1,IF(AND($T1406&lt;&gt;"",$T1406=$T1405),$U1405,IF(B1406="x",U1405,"")))</f>
        <v/>
      </c>
      <c r="V1406" t="str">
        <f>IF(C1406=1,MAX($V$2:$V1405)+1,IF(AND($T1406&lt;&gt;"",$T1406=$T1405),$U1405,IF(C1406="x",V1405,"")))</f>
        <v/>
      </c>
      <c r="X1406" cm="1">
        <f t="array" ref="X1406">IF($I1406&lt;&gt;"",$I1406,INDEX($I$1:$I1406,ROW()-COUNTIFS($T$1:$T1406,"="&amp;$T1406,$S$1:$S1406,"&lt;"&amp;$S1406)))</f>
        <v>0</v>
      </c>
      <c r="Z1406" s="6">
        <f t="shared" si="214"/>
        <v>1</v>
      </c>
      <c r="AA1406" t="e">
        <f t="shared" si="215"/>
        <v>#VALUE!</v>
      </c>
      <c r="AB1406" t="str">
        <f t="shared" si="216"/>
        <v/>
      </c>
      <c r="AC1406" t="e">
        <f t="shared" si="217"/>
        <v>#VALUE!</v>
      </c>
    </row>
    <row r="1407" spans="1:29" x14ac:dyDescent="0.2">
      <c r="A1407" t="str">
        <f t="shared" si="218"/>
        <v/>
      </c>
      <c r="E1407" s="4"/>
      <c r="F1407" s="46"/>
      <c r="G1407" s="4"/>
      <c r="H1407" s="48"/>
      <c r="J1407" s="26" t="str">
        <f t="shared" si="219"/>
        <v/>
      </c>
      <c r="N1407" t="str">
        <f t="shared" si="220"/>
        <v/>
      </c>
      <c r="Q1407" t="str">
        <f t="shared" si="221"/>
        <v/>
      </c>
      <c r="S1407" t="str">
        <f>IF(A1407=1,MAX($S$2:$S1406)+1,IF(OR($I1407&lt;&gt;"",A1407="x"),$S1406,""))</f>
        <v/>
      </c>
      <c r="T1407" t="str">
        <f>IF(D1407=1,MAX($T$2:$T1406)+1,IF(S1407=S1406,$T1406,IF(D1407="x",T1406,IF(D1406="x","",""))))</f>
        <v/>
      </c>
      <c r="U1407" t="str">
        <f>IF(B1407=1,MAX($U$2:$U1406)+1,IF(AND($T1407&lt;&gt;"",$T1407=$T1406),$U1406,IF(B1407="x",U1406,"")))</f>
        <v/>
      </c>
      <c r="V1407" t="str">
        <f>IF(C1407=1,MAX($V$2:$V1406)+1,IF(AND($T1407&lt;&gt;"",$T1407=$T1406),$U1406,IF(C1407="x",V1406,"")))</f>
        <v/>
      </c>
      <c r="X1407" cm="1">
        <f t="array" ref="X1407">IF($I1407&lt;&gt;"",$I1407,INDEX($I$1:$I1407,ROW()-COUNTIFS($T$1:$T1407,"="&amp;$T1407,$S$1:$S1407,"&lt;"&amp;$S1407)))</f>
        <v>0</v>
      </c>
      <c r="Z1407" s="6">
        <f t="shared" si="214"/>
        <v>1</v>
      </c>
      <c r="AA1407" t="e">
        <f t="shared" si="215"/>
        <v>#VALUE!</v>
      </c>
      <c r="AB1407" t="str">
        <f t="shared" si="216"/>
        <v/>
      </c>
      <c r="AC1407" t="e">
        <f t="shared" si="217"/>
        <v>#VALUE!</v>
      </c>
    </row>
    <row r="1408" spans="1:29" x14ac:dyDescent="0.2">
      <c r="A1408" t="str">
        <f t="shared" si="218"/>
        <v/>
      </c>
      <c r="E1408" s="4"/>
      <c r="F1408" s="46"/>
      <c r="G1408" s="4"/>
      <c r="H1408" s="48"/>
      <c r="J1408" s="26" t="str">
        <f t="shared" si="219"/>
        <v/>
      </c>
      <c r="N1408" t="str">
        <f t="shared" si="220"/>
        <v/>
      </c>
      <c r="Q1408" t="str">
        <f t="shared" si="221"/>
        <v/>
      </c>
      <c r="S1408" t="str">
        <f>IF(A1408=1,MAX($S$2:$S1407)+1,IF(OR($I1408&lt;&gt;"",A1408="x"),$S1407,""))</f>
        <v/>
      </c>
      <c r="T1408" t="str">
        <f>IF(D1408=1,MAX($T$2:$T1407)+1,IF(S1408=S1407,$T1407,IF(D1408="x",T1407,IF(D1407="x","",""))))</f>
        <v/>
      </c>
      <c r="U1408" t="str">
        <f>IF(B1408=1,MAX($U$2:$U1407)+1,IF(AND($T1408&lt;&gt;"",$T1408=$T1407),$U1407,IF(B1408="x",U1407,"")))</f>
        <v/>
      </c>
      <c r="V1408" t="str">
        <f>IF(C1408=1,MAX($V$2:$V1407)+1,IF(AND($T1408&lt;&gt;"",$T1408=$T1407),$U1407,IF(C1408="x",V1407,"")))</f>
        <v/>
      </c>
      <c r="X1408" cm="1">
        <f t="array" ref="X1408">IF($I1408&lt;&gt;"",$I1408,INDEX($I$1:$I1408,ROW()-COUNTIFS($T$1:$T1408,"="&amp;$T1408,$S$1:$S1408,"&lt;"&amp;$S1408)))</f>
        <v>0</v>
      </c>
      <c r="Z1408" s="6">
        <f t="shared" si="214"/>
        <v>1</v>
      </c>
      <c r="AA1408" t="e">
        <f t="shared" si="215"/>
        <v>#VALUE!</v>
      </c>
      <c r="AB1408" t="str">
        <f t="shared" si="216"/>
        <v/>
      </c>
      <c r="AC1408" t="e">
        <f t="shared" si="217"/>
        <v>#VALUE!</v>
      </c>
    </row>
    <row r="1409" spans="1:29" x14ac:dyDescent="0.2">
      <c r="A1409" t="str">
        <f t="shared" si="218"/>
        <v/>
      </c>
      <c r="E1409" s="4"/>
      <c r="F1409" s="46"/>
      <c r="G1409" s="4"/>
      <c r="H1409" s="48"/>
      <c r="J1409" s="26" t="str">
        <f t="shared" si="219"/>
        <v/>
      </c>
      <c r="N1409" t="str">
        <f t="shared" si="220"/>
        <v/>
      </c>
      <c r="Q1409" t="str">
        <f t="shared" si="221"/>
        <v/>
      </c>
      <c r="S1409" t="str">
        <f>IF(A1409=1,MAX($S$2:$S1408)+1,IF(OR($I1409&lt;&gt;"",A1409="x"),$S1408,""))</f>
        <v/>
      </c>
      <c r="T1409" t="str">
        <f>IF(D1409=1,MAX($T$2:$T1408)+1,IF(S1409=S1408,$T1408,IF(D1409="x",T1408,IF(D1408="x","",""))))</f>
        <v/>
      </c>
      <c r="U1409" t="str">
        <f>IF(B1409=1,MAX($U$2:$U1408)+1,IF(AND($T1409&lt;&gt;"",$T1409=$T1408),$U1408,IF(B1409="x",U1408,"")))</f>
        <v/>
      </c>
      <c r="V1409" t="str">
        <f>IF(C1409=1,MAX($V$2:$V1408)+1,IF(AND($T1409&lt;&gt;"",$T1409=$T1408),$U1408,IF(C1409="x",V1408,"")))</f>
        <v/>
      </c>
      <c r="X1409" cm="1">
        <f t="array" ref="X1409">IF($I1409&lt;&gt;"",$I1409,INDEX($I$1:$I1409,ROW()-COUNTIFS($T$1:$T1409,"="&amp;$T1409,$S$1:$S1409,"&lt;"&amp;$S1409)))</f>
        <v>0</v>
      </c>
      <c r="Z1409" s="6">
        <f t="shared" si="214"/>
        <v>1</v>
      </c>
      <c r="AA1409" t="e">
        <f t="shared" si="215"/>
        <v>#VALUE!</v>
      </c>
      <c r="AB1409" t="str">
        <f t="shared" si="216"/>
        <v/>
      </c>
      <c r="AC1409" t="e">
        <f t="shared" si="217"/>
        <v>#VALUE!</v>
      </c>
    </row>
    <row r="1410" spans="1:29" x14ac:dyDescent="0.2">
      <c r="A1410" t="str">
        <f t="shared" si="218"/>
        <v/>
      </c>
      <c r="E1410" s="4"/>
      <c r="F1410" s="46"/>
      <c r="G1410" s="4"/>
      <c r="H1410" s="48"/>
      <c r="J1410" s="26" t="str">
        <f t="shared" si="219"/>
        <v/>
      </c>
      <c r="N1410" t="str">
        <f t="shared" si="220"/>
        <v/>
      </c>
      <c r="Q1410" t="str">
        <f t="shared" si="221"/>
        <v/>
      </c>
      <c r="S1410" t="str">
        <f>IF(A1410=1,MAX($S$2:$S1409)+1,IF(OR($I1410&lt;&gt;"",A1410="x"),$S1409,""))</f>
        <v/>
      </c>
      <c r="T1410" t="str">
        <f>IF(D1410=1,MAX($T$2:$T1409)+1,IF(S1410=S1409,$T1409,IF(D1410="x",T1409,IF(D1409="x","",""))))</f>
        <v/>
      </c>
      <c r="U1410" t="str">
        <f>IF(B1410=1,MAX($U$2:$U1409)+1,IF(AND($T1410&lt;&gt;"",$T1410=$T1409),$U1409,IF(B1410="x",U1409,"")))</f>
        <v/>
      </c>
      <c r="V1410" t="str">
        <f>IF(C1410=1,MAX($V$2:$V1409)+1,IF(AND($T1410&lt;&gt;"",$T1410=$T1409),$U1409,IF(C1410="x",V1409,"")))</f>
        <v/>
      </c>
      <c r="X1410" cm="1">
        <f t="array" ref="X1410">IF($I1410&lt;&gt;"",$I1410,INDEX($I$1:$I1410,ROW()-COUNTIFS($T$1:$T1410,"="&amp;$T1410,$S$1:$S1410,"&lt;"&amp;$S1410)))</f>
        <v>0</v>
      </c>
      <c r="Z1410" s="6">
        <f t="shared" si="214"/>
        <v>1</v>
      </c>
      <c r="AA1410" t="e">
        <f t="shared" si="215"/>
        <v>#VALUE!</v>
      </c>
      <c r="AB1410" t="str">
        <f t="shared" si="216"/>
        <v/>
      </c>
      <c r="AC1410" t="e">
        <f t="shared" si="217"/>
        <v>#VALUE!</v>
      </c>
    </row>
    <row r="1411" spans="1:29" x14ac:dyDescent="0.2">
      <c r="A1411" t="str">
        <f t="shared" si="218"/>
        <v/>
      </c>
      <c r="E1411" s="4"/>
      <c r="F1411" s="46"/>
      <c r="G1411" s="4"/>
      <c r="H1411" s="48"/>
      <c r="J1411" s="26" t="str">
        <f t="shared" si="219"/>
        <v/>
      </c>
      <c r="N1411" t="str">
        <f t="shared" si="220"/>
        <v/>
      </c>
      <c r="Q1411" t="str">
        <f t="shared" si="221"/>
        <v/>
      </c>
      <c r="S1411" t="str">
        <f>IF(A1411=1,MAX($S$2:$S1410)+1,IF(OR($I1411&lt;&gt;"",A1411="x"),$S1410,""))</f>
        <v/>
      </c>
      <c r="T1411" t="str">
        <f>IF(D1411=1,MAX($T$2:$T1410)+1,IF(S1411=S1410,$T1410,IF(D1411="x",T1410,IF(D1410="x","",""))))</f>
        <v/>
      </c>
      <c r="U1411" t="str">
        <f>IF(B1411=1,MAX($U$2:$U1410)+1,IF(AND($T1411&lt;&gt;"",$T1411=$T1410),$U1410,IF(B1411="x",U1410,"")))</f>
        <v/>
      </c>
      <c r="V1411" t="str">
        <f>IF(C1411=1,MAX($V$2:$V1410)+1,IF(AND($T1411&lt;&gt;"",$T1411=$T1410),$U1410,IF(C1411="x",V1410,"")))</f>
        <v/>
      </c>
      <c r="X1411" cm="1">
        <f t="array" ref="X1411">IF($I1411&lt;&gt;"",$I1411,INDEX($I$1:$I1411,ROW()-COUNTIFS($T$1:$T1411,"="&amp;$T1411,$S$1:$S1411,"&lt;"&amp;$S1411)))</f>
        <v>0</v>
      </c>
      <c r="Z1411" s="6">
        <f t="shared" si="214"/>
        <v>1</v>
      </c>
      <c r="AA1411" t="e">
        <f t="shared" si="215"/>
        <v>#VALUE!</v>
      </c>
      <c r="AB1411" t="str">
        <f t="shared" si="216"/>
        <v/>
      </c>
      <c r="AC1411" t="e">
        <f t="shared" si="217"/>
        <v>#VALUE!</v>
      </c>
    </row>
    <row r="1412" spans="1:29" x14ac:dyDescent="0.2">
      <c r="A1412" t="str">
        <f t="shared" si="218"/>
        <v/>
      </c>
      <c r="E1412" s="4"/>
      <c r="F1412" s="46"/>
      <c r="G1412" s="4"/>
      <c r="H1412" s="48"/>
      <c r="J1412" s="26" t="str">
        <f t="shared" si="219"/>
        <v/>
      </c>
      <c r="N1412" t="str">
        <f t="shared" si="220"/>
        <v/>
      </c>
      <c r="Q1412" t="str">
        <f t="shared" si="221"/>
        <v/>
      </c>
      <c r="S1412" t="str">
        <f>IF(A1412=1,MAX($S$2:$S1411)+1,IF(OR($I1412&lt;&gt;"",A1412="x"),$S1411,""))</f>
        <v/>
      </c>
      <c r="T1412" t="str">
        <f>IF(D1412=1,MAX($T$2:$T1411)+1,IF(S1412=S1411,$T1411,IF(D1412="x",T1411,IF(D1411="x","",""))))</f>
        <v/>
      </c>
      <c r="U1412" t="str">
        <f>IF(B1412=1,MAX($U$2:$U1411)+1,IF(AND($T1412&lt;&gt;"",$T1412=$T1411),$U1411,IF(B1412="x",U1411,"")))</f>
        <v/>
      </c>
      <c r="V1412" t="str">
        <f>IF(C1412=1,MAX($V$2:$V1411)+1,IF(AND($T1412&lt;&gt;"",$T1412=$T1411),$U1411,IF(C1412="x",V1411,"")))</f>
        <v/>
      </c>
      <c r="X1412" cm="1">
        <f t="array" ref="X1412">IF($I1412&lt;&gt;"",$I1412,INDEX($I$1:$I1412,ROW()-COUNTIFS($T$1:$T1412,"="&amp;$T1412,$S$1:$S1412,"&lt;"&amp;$S1412)))</f>
        <v>0</v>
      </c>
      <c r="Z1412" s="6">
        <f t="shared" si="214"/>
        <v>1</v>
      </c>
      <c r="AA1412" t="e">
        <f t="shared" si="215"/>
        <v>#VALUE!</v>
      </c>
      <c r="AB1412" t="str">
        <f t="shared" si="216"/>
        <v/>
      </c>
      <c r="AC1412" t="e">
        <f t="shared" si="217"/>
        <v>#VALUE!</v>
      </c>
    </row>
    <row r="1413" spans="1:29" x14ac:dyDescent="0.2">
      <c r="A1413" t="str">
        <f t="shared" si="218"/>
        <v/>
      </c>
      <c r="E1413" s="4"/>
      <c r="F1413" s="46"/>
      <c r="G1413" s="4"/>
      <c r="H1413" s="48"/>
      <c r="J1413" s="26" t="str">
        <f t="shared" si="219"/>
        <v/>
      </c>
      <c r="N1413" t="str">
        <f t="shared" si="220"/>
        <v/>
      </c>
      <c r="Q1413" t="str">
        <f t="shared" si="221"/>
        <v/>
      </c>
      <c r="S1413" t="str">
        <f>IF(A1413=1,MAX($S$2:$S1412)+1,IF(OR($I1413&lt;&gt;"",A1413="x"),$S1412,""))</f>
        <v/>
      </c>
      <c r="T1413" t="str">
        <f>IF(D1413=1,MAX($T$2:$T1412)+1,IF(S1413=S1412,$T1412,IF(D1413="x",T1412,IF(D1412="x","",""))))</f>
        <v/>
      </c>
      <c r="U1413" t="str">
        <f>IF(B1413=1,MAX($U$2:$U1412)+1,IF(AND($T1413&lt;&gt;"",$T1413=$T1412),$U1412,IF(B1413="x",U1412,"")))</f>
        <v/>
      </c>
      <c r="V1413" t="str">
        <f>IF(C1413=1,MAX($V$2:$V1412)+1,IF(AND($T1413&lt;&gt;"",$T1413=$T1412),$U1412,IF(C1413="x",V1412,"")))</f>
        <v/>
      </c>
      <c r="X1413" cm="1">
        <f t="array" ref="X1413">IF($I1413&lt;&gt;"",$I1413,INDEX($I$1:$I1413,ROW()-COUNTIFS($T$1:$T1413,"="&amp;$T1413,$S$1:$S1413,"&lt;"&amp;$S1413)))</f>
        <v>0</v>
      </c>
      <c r="Z1413" s="6">
        <f t="shared" ref="Z1413:Z1476" si="222">IF(K1413="Intermission",Z1412+1,Z1412)</f>
        <v>1</v>
      </c>
      <c r="AA1413" t="e">
        <f t="shared" ref="AA1413:AA1476" si="223">S1413+1000</f>
        <v>#VALUE!</v>
      </c>
      <c r="AB1413" t="str">
        <f t="shared" ref="AB1413:AB1476" si="224">IF(T1413&lt;&gt;"",9000+T1413,"")</f>
        <v/>
      </c>
      <c r="AC1413" t="e">
        <f t="shared" ref="AC1413:AC1476" si="225">IF(AB1413&lt;&gt;"",AB1413,S1413+1000)</f>
        <v>#VALUE!</v>
      </c>
    </row>
    <row r="1414" spans="1:29" x14ac:dyDescent="0.2">
      <c r="A1414" t="str">
        <f t="shared" si="218"/>
        <v/>
      </c>
      <c r="E1414" s="4"/>
      <c r="F1414" s="46"/>
      <c r="G1414" s="4"/>
      <c r="H1414" s="48"/>
      <c r="J1414" s="26" t="str">
        <f t="shared" si="219"/>
        <v/>
      </c>
      <c r="N1414" t="str">
        <f t="shared" si="220"/>
        <v/>
      </c>
      <c r="Q1414" t="str">
        <f t="shared" si="221"/>
        <v/>
      </c>
      <c r="S1414" t="str">
        <f>IF(A1414=1,MAX($S$2:$S1413)+1,IF(OR($I1414&lt;&gt;"",A1414="x"),$S1413,""))</f>
        <v/>
      </c>
      <c r="T1414" t="str">
        <f>IF(D1414=1,MAX($T$2:$T1413)+1,IF(S1414=S1413,$T1413,IF(D1414="x",T1413,IF(D1413="x","",""))))</f>
        <v/>
      </c>
      <c r="U1414" t="str">
        <f>IF(B1414=1,MAX($U$2:$U1413)+1,IF(AND($T1414&lt;&gt;"",$T1414=$T1413),$U1413,IF(B1414="x",U1413,"")))</f>
        <v/>
      </c>
      <c r="V1414" t="str">
        <f>IF(C1414=1,MAX($V$2:$V1413)+1,IF(AND($T1414&lt;&gt;"",$T1414=$T1413),$U1413,IF(C1414="x",V1413,"")))</f>
        <v/>
      </c>
      <c r="X1414" cm="1">
        <f t="array" ref="X1414">IF($I1414&lt;&gt;"",$I1414,INDEX($I$1:$I1414,ROW()-COUNTIFS($T$1:$T1414,"="&amp;$T1414,$S$1:$S1414,"&lt;"&amp;$S1414)))</f>
        <v>0</v>
      </c>
      <c r="Z1414" s="6">
        <f t="shared" si="222"/>
        <v>1</v>
      </c>
      <c r="AA1414" t="e">
        <f t="shared" si="223"/>
        <v>#VALUE!</v>
      </c>
      <c r="AB1414" t="str">
        <f t="shared" si="224"/>
        <v/>
      </c>
      <c r="AC1414" t="e">
        <f t="shared" si="225"/>
        <v>#VALUE!</v>
      </c>
    </row>
    <row r="1415" spans="1:29" x14ac:dyDescent="0.2">
      <c r="A1415" t="str">
        <f t="shared" si="218"/>
        <v/>
      </c>
      <c r="E1415" s="4"/>
      <c r="F1415" s="46"/>
      <c r="G1415" s="4"/>
      <c r="H1415" s="48"/>
      <c r="J1415" s="26" t="str">
        <f t="shared" si="219"/>
        <v/>
      </c>
      <c r="N1415" t="str">
        <f t="shared" si="220"/>
        <v/>
      </c>
      <c r="Q1415" t="str">
        <f t="shared" si="221"/>
        <v/>
      </c>
      <c r="S1415" t="str">
        <f>IF(A1415=1,MAX($S$2:$S1414)+1,IF(OR($I1415&lt;&gt;"",A1415="x"),$S1414,""))</f>
        <v/>
      </c>
      <c r="T1415" t="str">
        <f>IF(D1415=1,MAX($T$2:$T1414)+1,IF(S1415=S1414,$T1414,IF(D1415="x",T1414,IF(D1414="x","",""))))</f>
        <v/>
      </c>
      <c r="U1415" t="str">
        <f>IF(B1415=1,MAX($U$2:$U1414)+1,IF(AND($T1415&lt;&gt;"",$T1415=$T1414),$U1414,IF(B1415="x",U1414,"")))</f>
        <v/>
      </c>
      <c r="V1415" t="str">
        <f>IF(C1415=1,MAX($V$2:$V1414)+1,IF(AND($T1415&lt;&gt;"",$T1415=$T1414),$U1414,IF(C1415="x",V1414,"")))</f>
        <v/>
      </c>
      <c r="X1415" cm="1">
        <f t="array" ref="X1415">IF($I1415&lt;&gt;"",$I1415,INDEX($I$1:$I1415,ROW()-COUNTIFS($T$1:$T1415,"="&amp;$T1415,$S$1:$S1415,"&lt;"&amp;$S1415)))</f>
        <v>0</v>
      </c>
      <c r="Z1415" s="6">
        <f t="shared" si="222"/>
        <v>1</v>
      </c>
      <c r="AA1415" t="e">
        <f t="shared" si="223"/>
        <v>#VALUE!</v>
      </c>
      <c r="AB1415" t="str">
        <f t="shared" si="224"/>
        <v/>
      </c>
      <c r="AC1415" t="e">
        <f t="shared" si="225"/>
        <v>#VALUE!</v>
      </c>
    </row>
    <row r="1416" spans="1:29" x14ac:dyDescent="0.2">
      <c r="A1416" t="str">
        <f t="shared" si="218"/>
        <v/>
      </c>
      <c r="E1416" s="4"/>
      <c r="F1416" s="46"/>
      <c r="G1416" s="4"/>
      <c r="H1416" s="48"/>
      <c r="J1416" s="26" t="str">
        <f t="shared" si="219"/>
        <v/>
      </c>
      <c r="N1416" t="str">
        <f t="shared" si="220"/>
        <v/>
      </c>
      <c r="Q1416" t="str">
        <f t="shared" si="221"/>
        <v/>
      </c>
      <c r="S1416" t="str">
        <f>IF(A1416=1,MAX($S$2:$S1415)+1,IF(OR($I1416&lt;&gt;"",A1416="x"),$S1415,""))</f>
        <v/>
      </c>
      <c r="T1416" t="str">
        <f>IF(D1416=1,MAX($T$2:$T1415)+1,IF(S1416=S1415,$T1415,IF(D1416="x",T1415,IF(D1415="x","",""))))</f>
        <v/>
      </c>
      <c r="U1416" t="str">
        <f>IF(B1416=1,MAX($U$2:$U1415)+1,IF(AND($T1416&lt;&gt;"",$T1416=$T1415),$U1415,IF(B1416="x",U1415,"")))</f>
        <v/>
      </c>
      <c r="V1416" t="str">
        <f>IF(C1416=1,MAX($V$2:$V1415)+1,IF(AND($T1416&lt;&gt;"",$T1416=$T1415),$U1415,IF(C1416="x",V1415,"")))</f>
        <v/>
      </c>
      <c r="X1416" cm="1">
        <f t="array" ref="X1416">IF($I1416&lt;&gt;"",$I1416,INDEX($I$1:$I1416,ROW()-COUNTIFS($T$1:$T1416,"="&amp;$T1416,$S$1:$S1416,"&lt;"&amp;$S1416)))</f>
        <v>0</v>
      </c>
      <c r="Z1416" s="6">
        <f t="shared" si="222"/>
        <v>1</v>
      </c>
      <c r="AA1416" t="e">
        <f t="shared" si="223"/>
        <v>#VALUE!</v>
      </c>
      <c r="AB1416" t="str">
        <f t="shared" si="224"/>
        <v/>
      </c>
      <c r="AC1416" t="e">
        <f t="shared" si="225"/>
        <v>#VALUE!</v>
      </c>
    </row>
    <row r="1417" spans="1:29" x14ac:dyDescent="0.2">
      <c r="A1417" t="str">
        <f t="shared" si="218"/>
        <v/>
      </c>
      <c r="E1417" s="4"/>
      <c r="F1417" s="46"/>
      <c r="G1417" s="4"/>
      <c r="H1417" s="48"/>
      <c r="J1417" s="26" t="str">
        <f t="shared" si="219"/>
        <v/>
      </c>
      <c r="N1417" t="str">
        <f t="shared" si="220"/>
        <v/>
      </c>
      <c r="Q1417" t="str">
        <f t="shared" si="221"/>
        <v/>
      </c>
      <c r="S1417" t="str">
        <f>IF(A1417=1,MAX($S$2:$S1416)+1,IF(OR($I1417&lt;&gt;"",A1417="x"),$S1416,""))</f>
        <v/>
      </c>
      <c r="T1417" t="str">
        <f>IF(D1417=1,MAX($T$2:$T1416)+1,IF(S1417=S1416,$T1416,IF(D1417="x",T1416,IF(D1416="x","",""))))</f>
        <v/>
      </c>
      <c r="U1417" t="str">
        <f>IF(B1417=1,MAX($U$2:$U1416)+1,IF(AND($T1417&lt;&gt;"",$T1417=$T1416),$U1416,IF(B1417="x",U1416,"")))</f>
        <v/>
      </c>
      <c r="V1417" t="str">
        <f>IF(C1417=1,MAX($V$2:$V1416)+1,IF(AND($T1417&lt;&gt;"",$T1417=$T1416),$U1416,IF(C1417="x",V1416,"")))</f>
        <v/>
      </c>
      <c r="X1417" cm="1">
        <f t="array" ref="X1417">IF($I1417&lt;&gt;"",$I1417,INDEX($I$1:$I1417,ROW()-COUNTIFS($T$1:$T1417,"="&amp;$T1417,$S$1:$S1417,"&lt;"&amp;$S1417)))</f>
        <v>0</v>
      </c>
      <c r="Z1417" s="6">
        <f t="shared" si="222"/>
        <v>1</v>
      </c>
      <c r="AA1417" t="e">
        <f t="shared" si="223"/>
        <v>#VALUE!</v>
      </c>
      <c r="AB1417" t="str">
        <f t="shared" si="224"/>
        <v/>
      </c>
      <c r="AC1417" t="e">
        <f t="shared" si="225"/>
        <v>#VALUE!</v>
      </c>
    </row>
    <row r="1418" spans="1:29" x14ac:dyDescent="0.2">
      <c r="A1418" t="str">
        <f t="shared" si="218"/>
        <v/>
      </c>
      <c r="E1418" s="4"/>
      <c r="F1418" s="46"/>
      <c r="G1418" s="4"/>
      <c r="H1418" s="48"/>
      <c r="J1418" s="26" t="str">
        <f t="shared" si="219"/>
        <v/>
      </c>
      <c r="N1418" t="str">
        <f t="shared" si="220"/>
        <v/>
      </c>
      <c r="Q1418" t="str">
        <f t="shared" si="221"/>
        <v/>
      </c>
      <c r="S1418" t="str">
        <f>IF(A1418=1,MAX($S$2:$S1417)+1,IF(OR($I1418&lt;&gt;"",A1418="x"),$S1417,""))</f>
        <v/>
      </c>
      <c r="T1418" t="str">
        <f>IF(D1418=1,MAX($T$2:$T1417)+1,IF(S1418=S1417,$T1417,IF(D1418="x",T1417,IF(D1417="x","",""))))</f>
        <v/>
      </c>
      <c r="U1418" t="str">
        <f>IF(B1418=1,MAX($U$2:$U1417)+1,IF(AND($T1418&lt;&gt;"",$T1418=$T1417),$U1417,IF(B1418="x",U1417,"")))</f>
        <v/>
      </c>
      <c r="V1418" t="str">
        <f>IF(C1418=1,MAX($V$2:$V1417)+1,IF(AND($T1418&lt;&gt;"",$T1418=$T1417),$U1417,IF(C1418="x",V1417,"")))</f>
        <v/>
      </c>
      <c r="X1418" cm="1">
        <f t="array" ref="X1418">IF($I1418&lt;&gt;"",$I1418,INDEX($I$1:$I1418,ROW()-COUNTIFS($T$1:$T1418,"="&amp;$T1418,$S$1:$S1418,"&lt;"&amp;$S1418)))</f>
        <v>0</v>
      </c>
      <c r="Z1418" s="6">
        <f t="shared" si="222"/>
        <v>1</v>
      </c>
      <c r="AA1418" t="e">
        <f t="shared" si="223"/>
        <v>#VALUE!</v>
      </c>
      <c r="AB1418" t="str">
        <f t="shared" si="224"/>
        <v/>
      </c>
      <c r="AC1418" t="e">
        <f t="shared" si="225"/>
        <v>#VALUE!</v>
      </c>
    </row>
    <row r="1419" spans="1:29" x14ac:dyDescent="0.2">
      <c r="A1419" t="str">
        <f t="shared" si="218"/>
        <v/>
      </c>
      <c r="E1419" s="4"/>
      <c r="F1419" s="46"/>
      <c r="G1419" s="4"/>
      <c r="H1419" s="48"/>
      <c r="J1419" s="26" t="str">
        <f t="shared" si="219"/>
        <v/>
      </c>
      <c r="N1419" t="str">
        <f t="shared" si="220"/>
        <v/>
      </c>
      <c r="Q1419" t="str">
        <f t="shared" si="221"/>
        <v/>
      </c>
      <c r="S1419" t="str">
        <f>IF(A1419=1,MAX($S$2:$S1418)+1,IF(OR($I1419&lt;&gt;"",A1419="x"),$S1418,""))</f>
        <v/>
      </c>
      <c r="T1419" t="str">
        <f>IF(D1419=1,MAX($T$2:$T1418)+1,IF(S1419=S1418,$T1418,IF(D1419="x",T1418,IF(D1418="x","",""))))</f>
        <v/>
      </c>
      <c r="U1419" t="str">
        <f>IF(B1419=1,MAX($U$2:$U1418)+1,IF(AND($T1419&lt;&gt;"",$T1419=$T1418),$U1418,IF(B1419="x",U1418,"")))</f>
        <v/>
      </c>
      <c r="V1419" t="str">
        <f>IF(C1419=1,MAX($V$2:$V1418)+1,IF(AND($T1419&lt;&gt;"",$T1419=$T1418),$U1418,IF(C1419="x",V1418,"")))</f>
        <v/>
      </c>
      <c r="X1419" cm="1">
        <f t="array" ref="X1419">IF($I1419&lt;&gt;"",$I1419,INDEX($I$1:$I1419,ROW()-COUNTIFS($T$1:$T1419,"="&amp;$T1419,$S$1:$S1419,"&lt;"&amp;$S1419)))</f>
        <v>0</v>
      </c>
      <c r="Z1419" s="6">
        <f t="shared" si="222"/>
        <v>1</v>
      </c>
      <c r="AA1419" t="e">
        <f t="shared" si="223"/>
        <v>#VALUE!</v>
      </c>
      <c r="AB1419" t="str">
        <f t="shared" si="224"/>
        <v/>
      </c>
      <c r="AC1419" t="e">
        <f t="shared" si="225"/>
        <v>#VALUE!</v>
      </c>
    </row>
    <row r="1420" spans="1:29" x14ac:dyDescent="0.2">
      <c r="A1420" t="str">
        <f t="shared" si="218"/>
        <v/>
      </c>
      <c r="E1420" s="4"/>
      <c r="F1420" s="46"/>
      <c r="G1420" s="4"/>
      <c r="H1420" s="48"/>
      <c r="J1420" s="26" t="str">
        <f t="shared" si="219"/>
        <v/>
      </c>
      <c r="N1420" t="str">
        <f t="shared" si="220"/>
        <v/>
      </c>
      <c r="Q1420" t="str">
        <f t="shared" si="221"/>
        <v/>
      </c>
      <c r="S1420" t="str">
        <f>IF(A1420=1,MAX($S$2:$S1419)+1,IF(OR($I1420&lt;&gt;"",A1420="x"),$S1419,""))</f>
        <v/>
      </c>
      <c r="T1420" t="str">
        <f>IF(D1420=1,MAX($T$2:$T1419)+1,IF(S1420=S1419,$T1419,IF(D1420="x",T1419,IF(D1419="x","",""))))</f>
        <v/>
      </c>
      <c r="U1420" t="str">
        <f>IF(B1420=1,MAX($U$2:$U1419)+1,IF(AND($T1420&lt;&gt;"",$T1420=$T1419),$U1419,IF(B1420="x",U1419,"")))</f>
        <v/>
      </c>
      <c r="V1420" t="str">
        <f>IF(C1420=1,MAX($V$2:$V1419)+1,IF(AND($T1420&lt;&gt;"",$T1420=$T1419),$U1419,IF(C1420="x",V1419,"")))</f>
        <v/>
      </c>
      <c r="X1420" cm="1">
        <f t="array" ref="X1420">IF($I1420&lt;&gt;"",$I1420,INDEX($I$1:$I1420,ROW()-COUNTIFS($T$1:$T1420,"="&amp;$T1420,$S$1:$S1420,"&lt;"&amp;$S1420)))</f>
        <v>0</v>
      </c>
      <c r="Z1420" s="6">
        <f t="shared" si="222"/>
        <v>1</v>
      </c>
      <c r="AA1420" t="e">
        <f t="shared" si="223"/>
        <v>#VALUE!</v>
      </c>
      <c r="AB1420" t="str">
        <f t="shared" si="224"/>
        <v/>
      </c>
      <c r="AC1420" t="e">
        <f t="shared" si="225"/>
        <v>#VALUE!</v>
      </c>
    </row>
    <row r="1421" spans="1:29" x14ac:dyDescent="0.2">
      <c r="A1421" t="str">
        <f t="shared" si="218"/>
        <v/>
      </c>
      <c r="E1421" s="4"/>
      <c r="F1421" s="46"/>
      <c r="G1421" s="4"/>
      <c r="H1421" s="48"/>
      <c r="J1421" s="26" t="str">
        <f t="shared" si="219"/>
        <v/>
      </c>
      <c r="N1421" t="str">
        <f t="shared" si="220"/>
        <v/>
      </c>
      <c r="Q1421" t="str">
        <f t="shared" si="221"/>
        <v/>
      </c>
      <c r="S1421" t="str">
        <f>IF(A1421=1,MAX($S$2:$S1420)+1,IF(OR($I1421&lt;&gt;"",A1421="x"),$S1420,""))</f>
        <v/>
      </c>
      <c r="T1421" t="str">
        <f>IF(D1421=1,MAX($T$2:$T1420)+1,IF(S1421=S1420,$T1420,IF(D1421="x",T1420,IF(D1420="x","",""))))</f>
        <v/>
      </c>
      <c r="U1421" t="str">
        <f>IF(B1421=1,MAX($U$2:$U1420)+1,IF(AND($T1421&lt;&gt;"",$T1421=$T1420),$U1420,IF(B1421="x",U1420,"")))</f>
        <v/>
      </c>
      <c r="V1421" t="str">
        <f>IF(C1421=1,MAX($V$2:$V1420)+1,IF(AND($T1421&lt;&gt;"",$T1421=$T1420),$U1420,IF(C1421="x",V1420,"")))</f>
        <v/>
      </c>
      <c r="X1421" cm="1">
        <f t="array" ref="X1421">IF($I1421&lt;&gt;"",$I1421,INDEX($I$1:$I1421,ROW()-COUNTIFS($T$1:$T1421,"="&amp;$T1421,$S$1:$S1421,"&lt;"&amp;$S1421)))</f>
        <v>0</v>
      </c>
      <c r="Z1421" s="6">
        <f t="shared" si="222"/>
        <v>1</v>
      </c>
      <c r="AA1421" t="e">
        <f t="shared" si="223"/>
        <v>#VALUE!</v>
      </c>
      <c r="AB1421" t="str">
        <f t="shared" si="224"/>
        <v/>
      </c>
      <c r="AC1421" t="e">
        <f t="shared" si="225"/>
        <v>#VALUE!</v>
      </c>
    </row>
    <row r="1422" spans="1:29" x14ac:dyDescent="0.2">
      <c r="A1422" t="str">
        <f t="shared" si="218"/>
        <v/>
      </c>
      <c r="E1422" s="4"/>
      <c r="F1422" s="46"/>
      <c r="G1422" s="4"/>
      <c r="H1422" s="48"/>
      <c r="J1422" s="26" t="str">
        <f t="shared" si="219"/>
        <v/>
      </c>
      <c r="N1422" t="str">
        <f t="shared" si="220"/>
        <v/>
      </c>
      <c r="Q1422" t="str">
        <f t="shared" si="221"/>
        <v/>
      </c>
      <c r="S1422" t="str">
        <f>IF(A1422=1,MAX($S$2:$S1421)+1,IF(OR($I1422&lt;&gt;"",A1422="x"),$S1421,""))</f>
        <v/>
      </c>
      <c r="T1422" t="str">
        <f>IF(D1422=1,MAX($T$2:$T1421)+1,IF(S1422=S1421,$T1421,IF(D1422="x",T1421,IF(D1421="x","",""))))</f>
        <v/>
      </c>
      <c r="U1422" t="str">
        <f>IF(B1422=1,MAX($U$2:$U1421)+1,IF(AND($T1422&lt;&gt;"",$T1422=$T1421),$U1421,IF(B1422="x",U1421,"")))</f>
        <v/>
      </c>
      <c r="V1422" t="str">
        <f>IF(C1422=1,MAX($V$2:$V1421)+1,IF(AND($T1422&lt;&gt;"",$T1422=$T1421),$U1421,IF(C1422="x",V1421,"")))</f>
        <v/>
      </c>
      <c r="X1422" cm="1">
        <f t="array" ref="X1422">IF($I1422&lt;&gt;"",$I1422,INDEX($I$1:$I1422,ROW()-COUNTIFS($T$1:$T1422,"="&amp;$T1422,$S$1:$S1422,"&lt;"&amp;$S1422)))</f>
        <v>0</v>
      </c>
      <c r="Z1422" s="6">
        <f t="shared" si="222"/>
        <v>1</v>
      </c>
      <c r="AA1422" t="e">
        <f t="shared" si="223"/>
        <v>#VALUE!</v>
      </c>
      <c r="AB1422" t="str">
        <f t="shared" si="224"/>
        <v/>
      </c>
      <c r="AC1422" t="e">
        <f t="shared" si="225"/>
        <v>#VALUE!</v>
      </c>
    </row>
    <row r="1423" spans="1:29" x14ac:dyDescent="0.2">
      <c r="A1423" t="str">
        <f t="shared" si="218"/>
        <v/>
      </c>
      <c r="E1423" s="4"/>
      <c r="F1423" s="46"/>
      <c r="G1423" s="4"/>
      <c r="H1423" s="48"/>
      <c r="J1423" s="26" t="str">
        <f t="shared" si="219"/>
        <v/>
      </c>
      <c r="N1423" t="str">
        <f t="shared" si="220"/>
        <v/>
      </c>
      <c r="Q1423" t="str">
        <f t="shared" si="221"/>
        <v/>
      </c>
      <c r="S1423" t="str">
        <f>IF(A1423=1,MAX($S$2:$S1422)+1,IF(OR($I1423&lt;&gt;"",A1423="x"),$S1422,""))</f>
        <v/>
      </c>
      <c r="T1423" t="str">
        <f>IF(D1423=1,MAX($T$2:$T1422)+1,IF(S1423=S1422,$T1422,IF(D1423="x",T1422,IF(D1422="x","",""))))</f>
        <v/>
      </c>
      <c r="U1423" t="str">
        <f>IF(B1423=1,MAX($U$2:$U1422)+1,IF(AND($T1423&lt;&gt;"",$T1423=$T1422),$U1422,IF(B1423="x",U1422,"")))</f>
        <v/>
      </c>
      <c r="V1423" t="str">
        <f>IF(C1423=1,MAX($V$2:$V1422)+1,IF(AND($T1423&lt;&gt;"",$T1423=$T1422),$U1422,IF(C1423="x",V1422,"")))</f>
        <v/>
      </c>
      <c r="X1423" cm="1">
        <f t="array" ref="X1423">IF($I1423&lt;&gt;"",$I1423,INDEX($I$1:$I1423,ROW()-COUNTIFS($T$1:$T1423,"="&amp;$T1423,$S$1:$S1423,"&lt;"&amp;$S1423)))</f>
        <v>0</v>
      </c>
      <c r="Z1423" s="6">
        <f t="shared" si="222"/>
        <v>1</v>
      </c>
      <c r="AA1423" t="e">
        <f t="shared" si="223"/>
        <v>#VALUE!</v>
      </c>
      <c r="AB1423" t="str">
        <f t="shared" si="224"/>
        <v/>
      </c>
      <c r="AC1423" t="e">
        <f t="shared" si="225"/>
        <v>#VALUE!</v>
      </c>
    </row>
    <row r="1424" spans="1:29" x14ac:dyDescent="0.2">
      <c r="A1424" t="str">
        <f t="shared" si="218"/>
        <v/>
      </c>
      <c r="E1424" s="4"/>
      <c r="F1424" s="46"/>
      <c r="G1424" s="4"/>
      <c r="H1424" s="48"/>
      <c r="J1424" s="26" t="str">
        <f t="shared" si="219"/>
        <v/>
      </c>
      <c r="N1424" t="str">
        <f t="shared" si="220"/>
        <v/>
      </c>
      <c r="Q1424" t="str">
        <f t="shared" si="221"/>
        <v/>
      </c>
      <c r="S1424" t="str">
        <f>IF(A1424=1,MAX($S$2:$S1423)+1,IF(OR($I1424&lt;&gt;"",A1424="x"),$S1423,""))</f>
        <v/>
      </c>
      <c r="T1424" t="str">
        <f>IF(D1424=1,MAX($T$2:$T1423)+1,IF(S1424=S1423,$T1423,IF(D1424="x",T1423,IF(D1423="x","",""))))</f>
        <v/>
      </c>
      <c r="U1424" t="str">
        <f>IF(B1424=1,MAX($U$2:$U1423)+1,IF(AND($T1424&lt;&gt;"",$T1424=$T1423),$U1423,IF(B1424="x",U1423,"")))</f>
        <v/>
      </c>
      <c r="V1424" t="str">
        <f>IF(C1424=1,MAX($V$2:$V1423)+1,IF(AND($T1424&lt;&gt;"",$T1424=$T1423),$U1423,IF(C1424="x",V1423,"")))</f>
        <v/>
      </c>
      <c r="X1424" cm="1">
        <f t="array" ref="X1424">IF($I1424&lt;&gt;"",$I1424,INDEX($I$1:$I1424,ROW()-COUNTIFS($T$1:$T1424,"="&amp;$T1424,$S$1:$S1424,"&lt;"&amp;$S1424)))</f>
        <v>0</v>
      </c>
      <c r="Z1424" s="6">
        <f t="shared" si="222"/>
        <v>1</v>
      </c>
      <c r="AA1424" t="e">
        <f t="shared" si="223"/>
        <v>#VALUE!</v>
      </c>
      <c r="AB1424" t="str">
        <f t="shared" si="224"/>
        <v/>
      </c>
      <c r="AC1424" t="e">
        <f t="shared" si="225"/>
        <v>#VALUE!</v>
      </c>
    </row>
    <row r="1425" spans="1:29" x14ac:dyDescent="0.2">
      <c r="A1425" t="str">
        <f t="shared" si="218"/>
        <v/>
      </c>
      <c r="E1425" s="4"/>
      <c r="F1425" s="46"/>
      <c r="G1425" s="4"/>
      <c r="H1425" s="48"/>
      <c r="J1425" s="26" t="str">
        <f t="shared" si="219"/>
        <v/>
      </c>
      <c r="N1425" t="str">
        <f t="shared" si="220"/>
        <v/>
      </c>
      <c r="Q1425" t="str">
        <f t="shared" si="221"/>
        <v/>
      </c>
      <c r="S1425" t="str">
        <f>IF(A1425=1,MAX($S$2:$S1424)+1,IF(OR($I1425&lt;&gt;"",A1425="x"),$S1424,""))</f>
        <v/>
      </c>
      <c r="T1425" t="str">
        <f>IF(D1425=1,MAX($T$2:$T1424)+1,IF(S1425=S1424,$T1424,IF(D1425="x",T1424,IF(D1424="x","",""))))</f>
        <v/>
      </c>
      <c r="U1425" t="str">
        <f>IF(B1425=1,MAX($U$2:$U1424)+1,IF(AND($T1425&lt;&gt;"",$T1425=$T1424),$U1424,IF(B1425="x",U1424,"")))</f>
        <v/>
      </c>
      <c r="V1425" t="str">
        <f>IF(C1425=1,MAX($V$2:$V1424)+1,IF(AND($T1425&lt;&gt;"",$T1425=$T1424),$U1424,IF(C1425="x",V1424,"")))</f>
        <v/>
      </c>
      <c r="X1425" cm="1">
        <f t="array" ref="X1425">IF($I1425&lt;&gt;"",$I1425,INDEX($I$1:$I1425,ROW()-COUNTIFS($T$1:$T1425,"="&amp;$T1425,$S$1:$S1425,"&lt;"&amp;$S1425)))</f>
        <v>0</v>
      </c>
      <c r="Z1425" s="6">
        <f t="shared" si="222"/>
        <v>1</v>
      </c>
      <c r="AA1425" t="e">
        <f t="shared" si="223"/>
        <v>#VALUE!</v>
      </c>
      <c r="AB1425" t="str">
        <f t="shared" si="224"/>
        <v/>
      </c>
      <c r="AC1425" t="e">
        <f t="shared" si="225"/>
        <v>#VALUE!</v>
      </c>
    </row>
    <row r="1426" spans="1:29" x14ac:dyDescent="0.2">
      <c r="A1426" t="str">
        <f t="shared" si="218"/>
        <v/>
      </c>
      <c r="E1426" s="4"/>
      <c r="F1426" s="46"/>
      <c r="G1426" s="4"/>
      <c r="H1426" s="48"/>
      <c r="J1426" s="26" t="str">
        <f t="shared" si="219"/>
        <v/>
      </c>
      <c r="N1426" t="str">
        <f t="shared" si="220"/>
        <v/>
      </c>
      <c r="Q1426" t="str">
        <f t="shared" si="221"/>
        <v/>
      </c>
      <c r="S1426" t="str">
        <f>IF(A1426=1,MAX($S$2:$S1425)+1,IF(OR($I1426&lt;&gt;"",A1426="x"),$S1425,""))</f>
        <v/>
      </c>
      <c r="T1426" t="str">
        <f>IF(D1426=1,MAX($T$2:$T1425)+1,IF(S1426=S1425,$T1425,IF(D1426="x",T1425,IF(D1425="x","",""))))</f>
        <v/>
      </c>
      <c r="U1426" t="str">
        <f>IF(B1426=1,MAX($U$2:$U1425)+1,IF(AND($T1426&lt;&gt;"",$T1426=$T1425),$U1425,IF(B1426="x",U1425,"")))</f>
        <v/>
      </c>
      <c r="V1426" t="str">
        <f>IF(C1426=1,MAX($V$2:$V1425)+1,IF(AND($T1426&lt;&gt;"",$T1426=$T1425),$U1425,IF(C1426="x",V1425,"")))</f>
        <v/>
      </c>
      <c r="X1426" cm="1">
        <f t="array" ref="X1426">IF($I1426&lt;&gt;"",$I1426,INDEX($I$1:$I1426,ROW()-COUNTIFS($T$1:$T1426,"="&amp;$T1426,$S$1:$S1426,"&lt;"&amp;$S1426)))</f>
        <v>0</v>
      </c>
      <c r="Z1426" s="6">
        <f t="shared" si="222"/>
        <v>1</v>
      </c>
      <c r="AA1426" t="e">
        <f t="shared" si="223"/>
        <v>#VALUE!</v>
      </c>
      <c r="AB1426" t="str">
        <f t="shared" si="224"/>
        <v/>
      </c>
      <c r="AC1426" t="e">
        <f t="shared" si="225"/>
        <v>#VALUE!</v>
      </c>
    </row>
    <row r="1427" spans="1:29" x14ac:dyDescent="0.2">
      <c r="A1427" t="str">
        <f t="shared" ref="A1427:A1490" si="226">IF(K1427&lt;&gt;"",1,IF(D1427="x","x",""))</f>
        <v/>
      </c>
      <c r="E1427" s="4"/>
      <c r="F1427" s="46"/>
      <c r="G1427" s="4"/>
      <c r="H1427" s="48"/>
      <c r="J1427" s="26" t="str">
        <f t="shared" ref="J1427:J1490" si="227">IF(OR(K1427="Goal",K1427="Shot",L1427="Zone_Entry",M1427="Stoppage-Goal",M1426="Stoppage-Goal"),"o",IF(OR(K1427="Save",K1427="Rebound",L1427="Zone_Exit",M1427="Stoppage-GoalieStoppage",M1426="Stoppage-GoalieStoppage"),"d",IF(OR(L1427="Faceoff_AfterGoal",L1427="Faceoff_PeriodStart",698="Faceoff_GameStart",M1426="Stoppage-Goal"),"n","")))</f>
        <v/>
      </c>
      <c r="N1427" t="str">
        <f t="shared" ref="N1427:N1490" si="228">IF(K1427="","",IF(K1427="Goal","s",IF(AND(K1427="Zone_Entry_Exit",OR(ISNUMBER(SEARCH("fail",L1427)),ISNUMBER(SEARCH("FromExitClear",M1427)),ISNUMBER(SEARCH("miss",M1427)))),"u",IF(AND(K1427="Zone_Entry_Exit",OR(NOT(ISNUMBER(SEARCH("fail",L1427))),NOT(ISNUMBER(SEARCH("FromExitClear",M1427))),NOT(ISNUMBER(SEARCH("miss",M1427))))),"s",IF(AND(OR(K1427="Shot",K1427="Pass"),OR(ISNUMBER(SEARCH("complete",L1427)),ISNUMBER(SEARCH("goal",L1427)),ISNUMBER(SEARCH("OnNet",L1427)))),"s",IF(L1427="Turnover_Giveaway","u",IF(AND(OR(K1427="Shot",K1427="Pass"),OR(ISNUMBER(SEARCH("fail",L1427)),NOT(ISNUMBER(SEARCH("complete",L1427))),NOT(ISNUMBER(SEARCH("OnNet",L1427))))),"u","")))))))</f>
        <v/>
      </c>
      <c r="Q1427" t="str">
        <f t="shared" ref="Q1427:Q1490" si="229">IF(O1427="","",IF(AND(N1427&lt;&gt;"",OR(O1427&lt;&gt;"",P1427&lt;&gt;"")),N1427,IF(OR(ISNUMBER(SEARCH("attemp",O1427)),ISNUMBER(SEARCH("beat",O1427)),ISNUMBER(SEARCH("mis",O1427)),ISNUMBER(SEARCH("fail",O1427)),ISNUMBER(SEARCH("loss",O1427)),ISNUMBER(SEARCH("lost",O1427)),ISNUMBER(SEARCH("attemp",P1427)),ISNUMBER(SEARCH("mis",P1427)),ISNUMBER(SEARCH("fail",P1427)),ISNUMBER(SEARCH("loss",P1427)),ISNUMBER(SEARCH("beat",P1427)),ISNUMBER(SEARCH("lost",P1427))),"u","")))</f>
        <v/>
      </c>
      <c r="S1427" t="str">
        <f>IF(A1427=1,MAX($S$2:$S1426)+1,IF(OR($I1427&lt;&gt;"",A1427="x"),$S1426,""))</f>
        <v/>
      </c>
      <c r="T1427" t="str">
        <f>IF(D1427=1,MAX($T$2:$T1426)+1,IF(S1427=S1426,$T1426,IF(D1427="x",T1426,IF(D1426="x","",""))))</f>
        <v/>
      </c>
      <c r="U1427" t="str">
        <f>IF(B1427=1,MAX($U$2:$U1426)+1,IF(AND($T1427&lt;&gt;"",$T1427=$T1426),$U1426,IF(B1427="x",U1426,"")))</f>
        <v/>
      </c>
      <c r="V1427" t="str">
        <f>IF(C1427=1,MAX($V$2:$V1426)+1,IF(AND($T1427&lt;&gt;"",$T1427=$T1426),$U1426,IF(C1427="x",V1426,"")))</f>
        <v/>
      </c>
      <c r="X1427" cm="1">
        <f t="array" ref="X1427">IF($I1427&lt;&gt;"",$I1427,INDEX($I$1:$I1427,ROW()-COUNTIFS($T$1:$T1427,"="&amp;$T1427,$S$1:$S1427,"&lt;"&amp;$S1427)))</f>
        <v>0</v>
      </c>
      <c r="Z1427" s="6">
        <f t="shared" si="222"/>
        <v>1</v>
      </c>
      <c r="AA1427" t="e">
        <f t="shared" si="223"/>
        <v>#VALUE!</v>
      </c>
      <c r="AB1427" t="str">
        <f t="shared" si="224"/>
        <v/>
      </c>
      <c r="AC1427" t="e">
        <f t="shared" si="225"/>
        <v>#VALUE!</v>
      </c>
    </row>
    <row r="1428" spans="1:29" x14ac:dyDescent="0.2">
      <c r="A1428" t="str">
        <f t="shared" si="226"/>
        <v/>
      </c>
      <c r="E1428" s="4"/>
      <c r="F1428" s="46"/>
      <c r="G1428" s="4"/>
      <c r="H1428" s="48"/>
      <c r="J1428" s="26" t="str">
        <f t="shared" si="227"/>
        <v/>
      </c>
      <c r="N1428" t="str">
        <f t="shared" si="228"/>
        <v/>
      </c>
      <c r="Q1428" t="str">
        <f t="shared" si="229"/>
        <v/>
      </c>
      <c r="S1428" t="str">
        <f>IF(A1428=1,MAX($S$2:$S1427)+1,IF(OR($I1428&lt;&gt;"",A1428="x"),$S1427,""))</f>
        <v/>
      </c>
      <c r="T1428" t="str">
        <f>IF(D1428=1,MAX($T$2:$T1427)+1,IF(S1428=S1427,$T1427,IF(D1428="x",T1427,IF(D1427="x","",""))))</f>
        <v/>
      </c>
      <c r="U1428" t="str">
        <f>IF(B1428=1,MAX($U$2:$U1427)+1,IF(AND($T1428&lt;&gt;"",$T1428=$T1427),$U1427,IF(B1428="x",U1427,"")))</f>
        <v/>
      </c>
      <c r="V1428" t="str">
        <f>IF(C1428=1,MAX($V$2:$V1427)+1,IF(AND($T1428&lt;&gt;"",$T1428=$T1427),$U1427,IF(C1428="x",V1427,"")))</f>
        <v/>
      </c>
      <c r="X1428" cm="1">
        <f t="array" ref="X1428">IF($I1428&lt;&gt;"",$I1428,INDEX($I$1:$I1428,ROW()-COUNTIFS($T$1:$T1428,"="&amp;$T1428,$S$1:$S1428,"&lt;"&amp;$S1428)))</f>
        <v>0</v>
      </c>
      <c r="Z1428" s="6">
        <f t="shared" si="222"/>
        <v>1</v>
      </c>
      <c r="AA1428" t="e">
        <f t="shared" si="223"/>
        <v>#VALUE!</v>
      </c>
      <c r="AB1428" t="str">
        <f t="shared" si="224"/>
        <v/>
      </c>
      <c r="AC1428" t="e">
        <f t="shared" si="225"/>
        <v>#VALUE!</v>
      </c>
    </row>
    <row r="1429" spans="1:29" x14ac:dyDescent="0.2">
      <c r="A1429" t="str">
        <f t="shared" si="226"/>
        <v/>
      </c>
      <c r="E1429" s="4"/>
      <c r="F1429" s="46"/>
      <c r="G1429" s="4"/>
      <c r="H1429" s="48"/>
      <c r="J1429" s="26" t="str">
        <f t="shared" si="227"/>
        <v/>
      </c>
      <c r="N1429" t="str">
        <f t="shared" si="228"/>
        <v/>
      </c>
      <c r="Q1429" t="str">
        <f t="shared" si="229"/>
        <v/>
      </c>
      <c r="S1429" t="str">
        <f>IF(A1429=1,MAX($S$2:$S1428)+1,IF(OR($I1429&lt;&gt;"",A1429="x"),$S1428,""))</f>
        <v/>
      </c>
      <c r="T1429" t="str">
        <f>IF(D1429=1,MAX($T$2:$T1428)+1,IF(S1429=S1428,$T1428,IF(D1429="x",T1428,IF(D1428="x","",""))))</f>
        <v/>
      </c>
      <c r="U1429" t="str">
        <f>IF(B1429=1,MAX($U$2:$U1428)+1,IF(AND($T1429&lt;&gt;"",$T1429=$T1428),$U1428,IF(B1429="x",U1428,"")))</f>
        <v/>
      </c>
      <c r="V1429" t="str">
        <f>IF(C1429=1,MAX($V$2:$V1428)+1,IF(AND($T1429&lt;&gt;"",$T1429=$T1428),$U1428,IF(C1429="x",V1428,"")))</f>
        <v/>
      </c>
      <c r="X1429" cm="1">
        <f t="array" ref="X1429">IF($I1429&lt;&gt;"",$I1429,INDEX($I$1:$I1429,ROW()-COUNTIFS($T$1:$T1429,"="&amp;$T1429,$S$1:$S1429,"&lt;"&amp;$S1429)))</f>
        <v>0</v>
      </c>
      <c r="Z1429" s="6">
        <f t="shared" si="222"/>
        <v>1</v>
      </c>
      <c r="AA1429" t="e">
        <f t="shared" si="223"/>
        <v>#VALUE!</v>
      </c>
      <c r="AB1429" t="str">
        <f t="shared" si="224"/>
        <v/>
      </c>
      <c r="AC1429" t="e">
        <f t="shared" si="225"/>
        <v>#VALUE!</v>
      </c>
    </row>
    <row r="1430" spans="1:29" x14ac:dyDescent="0.2">
      <c r="A1430" t="str">
        <f t="shared" si="226"/>
        <v/>
      </c>
      <c r="E1430" s="4"/>
      <c r="F1430" s="46"/>
      <c r="G1430" s="4"/>
      <c r="H1430" s="48"/>
      <c r="J1430" s="26" t="str">
        <f t="shared" si="227"/>
        <v/>
      </c>
      <c r="N1430" t="str">
        <f t="shared" si="228"/>
        <v/>
      </c>
      <c r="Q1430" t="str">
        <f t="shared" si="229"/>
        <v/>
      </c>
      <c r="S1430" t="str">
        <f>IF(A1430=1,MAX($S$2:$S1429)+1,IF(OR($I1430&lt;&gt;"",A1430="x"),$S1429,""))</f>
        <v/>
      </c>
      <c r="T1430" t="str">
        <f>IF(D1430=1,MAX($T$2:$T1429)+1,IF(S1430=S1429,$T1429,IF(D1430="x",T1429,IF(D1429="x","",""))))</f>
        <v/>
      </c>
      <c r="U1430" t="str">
        <f>IF(B1430=1,MAX($U$2:$U1429)+1,IF(AND($T1430&lt;&gt;"",$T1430=$T1429),$U1429,IF(B1430="x",U1429,"")))</f>
        <v/>
      </c>
      <c r="V1430" t="str">
        <f>IF(C1430=1,MAX($V$2:$V1429)+1,IF(AND($T1430&lt;&gt;"",$T1430=$T1429),$U1429,IF(C1430="x",V1429,"")))</f>
        <v/>
      </c>
      <c r="X1430" cm="1">
        <f t="array" ref="X1430">IF($I1430&lt;&gt;"",$I1430,INDEX($I$1:$I1430,ROW()-COUNTIFS($T$1:$T1430,"="&amp;$T1430,$S$1:$S1430,"&lt;"&amp;$S1430)))</f>
        <v>0</v>
      </c>
      <c r="Z1430" s="6">
        <f t="shared" si="222"/>
        <v>1</v>
      </c>
      <c r="AA1430" t="e">
        <f t="shared" si="223"/>
        <v>#VALUE!</v>
      </c>
      <c r="AB1430" t="str">
        <f t="shared" si="224"/>
        <v/>
      </c>
      <c r="AC1430" t="e">
        <f t="shared" si="225"/>
        <v>#VALUE!</v>
      </c>
    </row>
    <row r="1431" spans="1:29" x14ac:dyDescent="0.2">
      <c r="A1431" t="str">
        <f t="shared" si="226"/>
        <v/>
      </c>
      <c r="E1431" s="4"/>
      <c r="F1431" s="46"/>
      <c r="G1431" s="4"/>
      <c r="H1431" s="48"/>
      <c r="J1431" s="26" t="str">
        <f t="shared" si="227"/>
        <v/>
      </c>
      <c r="N1431" t="str">
        <f t="shared" si="228"/>
        <v/>
      </c>
      <c r="Q1431" t="str">
        <f t="shared" si="229"/>
        <v/>
      </c>
      <c r="S1431" t="str">
        <f>IF(A1431=1,MAX($S$2:$S1430)+1,IF(OR($I1431&lt;&gt;"",A1431="x"),$S1430,""))</f>
        <v/>
      </c>
      <c r="T1431" t="str">
        <f>IF(D1431=1,MAX($T$2:$T1430)+1,IF(S1431=S1430,$T1430,IF(D1431="x",T1430,IF(D1430="x","",""))))</f>
        <v/>
      </c>
      <c r="U1431" t="str">
        <f>IF(B1431=1,MAX($U$2:$U1430)+1,IF(AND($T1431&lt;&gt;"",$T1431=$T1430),$U1430,IF(B1431="x",U1430,"")))</f>
        <v/>
      </c>
      <c r="V1431" t="str">
        <f>IF(C1431=1,MAX($V$2:$V1430)+1,IF(AND($T1431&lt;&gt;"",$T1431=$T1430),$U1430,IF(C1431="x",V1430,"")))</f>
        <v/>
      </c>
      <c r="X1431" cm="1">
        <f t="array" ref="X1431">IF($I1431&lt;&gt;"",$I1431,INDEX($I$1:$I1431,ROW()-COUNTIFS($T$1:$T1431,"="&amp;$T1431,$S$1:$S1431,"&lt;"&amp;$S1431)))</f>
        <v>0</v>
      </c>
      <c r="Z1431" s="6">
        <f t="shared" si="222"/>
        <v>1</v>
      </c>
      <c r="AA1431" t="e">
        <f t="shared" si="223"/>
        <v>#VALUE!</v>
      </c>
      <c r="AB1431" t="str">
        <f t="shared" si="224"/>
        <v/>
      </c>
      <c r="AC1431" t="e">
        <f t="shared" si="225"/>
        <v>#VALUE!</v>
      </c>
    </row>
    <row r="1432" spans="1:29" x14ac:dyDescent="0.2">
      <c r="A1432" t="str">
        <f t="shared" si="226"/>
        <v/>
      </c>
      <c r="E1432" s="4"/>
      <c r="F1432" s="46"/>
      <c r="G1432" s="4"/>
      <c r="H1432" s="48"/>
      <c r="J1432" s="26" t="str">
        <f t="shared" si="227"/>
        <v/>
      </c>
      <c r="N1432" t="str">
        <f t="shared" si="228"/>
        <v/>
      </c>
      <c r="Q1432" t="str">
        <f t="shared" si="229"/>
        <v/>
      </c>
      <c r="S1432" t="str">
        <f>IF(A1432=1,MAX($S$2:$S1431)+1,IF(OR($I1432&lt;&gt;"",A1432="x"),$S1431,""))</f>
        <v/>
      </c>
      <c r="T1432" t="str">
        <f>IF(D1432=1,MAX($T$2:$T1431)+1,IF(S1432=S1431,$T1431,IF(D1432="x",T1431,IF(D1431="x","",""))))</f>
        <v/>
      </c>
      <c r="U1432" t="str">
        <f>IF(B1432=1,MAX($U$2:$U1431)+1,IF(AND($T1432&lt;&gt;"",$T1432=$T1431),$U1431,IF(B1432="x",U1431,"")))</f>
        <v/>
      </c>
      <c r="V1432" t="str">
        <f>IF(C1432=1,MAX($V$2:$V1431)+1,IF(AND($T1432&lt;&gt;"",$T1432=$T1431),$U1431,IF(C1432="x",V1431,"")))</f>
        <v/>
      </c>
      <c r="X1432" cm="1">
        <f t="array" ref="X1432">IF($I1432&lt;&gt;"",$I1432,INDEX($I$1:$I1432,ROW()-COUNTIFS($T$1:$T1432,"="&amp;$T1432,$S$1:$S1432,"&lt;"&amp;$S1432)))</f>
        <v>0</v>
      </c>
      <c r="Z1432" s="6">
        <f t="shared" si="222"/>
        <v>1</v>
      </c>
      <c r="AA1432" t="e">
        <f t="shared" si="223"/>
        <v>#VALUE!</v>
      </c>
      <c r="AB1432" t="str">
        <f t="shared" si="224"/>
        <v/>
      </c>
      <c r="AC1432" t="e">
        <f t="shared" si="225"/>
        <v>#VALUE!</v>
      </c>
    </row>
    <row r="1433" spans="1:29" x14ac:dyDescent="0.2">
      <c r="A1433" t="str">
        <f t="shared" si="226"/>
        <v/>
      </c>
      <c r="E1433" s="4"/>
      <c r="F1433" s="46"/>
      <c r="G1433" s="4"/>
      <c r="H1433" s="48"/>
      <c r="J1433" s="26" t="str">
        <f t="shared" si="227"/>
        <v/>
      </c>
      <c r="N1433" t="str">
        <f t="shared" si="228"/>
        <v/>
      </c>
      <c r="Q1433" t="str">
        <f t="shared" si="229"/>
        <v/>
      </c>
      <c r="S1433" t="str">
        <f>IF(A1433=1,MAX($S$2:$S1432)+1,IF(OR($I1433&lt;&gt;"",A1433="x"),$S1432,""))</f>
        <v/>
      </c>
      <c r="T1433" t="str">
        <f>IF(D1433=1,MAX($T$2:$T1432)+1,IF(S1433=S1432,$T1432,IF(D1433="x",T1432,IF(D1432="x","",""))))</f>
        <v/>
      </c>
      <c r="U1433" t="str">
        <f>IF(B1433=1,MAX($U$2:$U1432)+1,IF(AND($T1433&lt;&gt;"",$T1433=$T1432),$U1432,IF(B1433="x",U1432,"")))</f>
        <v/>
      </c>
      <c r="V1433" t="str">
        <f>IF(C1433=1,MAX($V$2:$V1432)+1,IF(AND($T1433&lt;&gt;"",$T1433=$T1432),$U1432,IF(C1433="x",V1432,"")))</f>
        <v/>
      </c>
      <c r="X1433" cm="1">
        <f t="array" ref="X1433">IF($I1433&lt;&gt;"",$I1433,INDEX($I$1:$I1433,ROW()-COUNTIFS($T$1:$T1433,"="&amp;$T1433,$S$1:$S1433,"&lt;"&amp;$S1433)))</f>
        <v>0</v>
      </c>
      <c r="Z1433" s="6">
        <f t="shared" si="222"/>
        <v>1</v>
      </c>
      <c r="AA1433" t="e">
        <f t="shared" si="223"/>
        <v>#VALUE!</v>
      </c>
      <c r="AB1433" t="str">
        <f t="shared" si="224"/>
        <v/>
      </c>
      <c r="AC1433" t="e">
        <f t="shared" si="225"/>
        <v>#VALUE!</v>
      </c>
    </row>
    <row r="1434" spans="1:29" x14ac:dyDescent="0.2">
      <c r="A1434" t="str">
        <f t="shared" si="226"/>
        <v/>
      </c>
      <c r="E1434" s="4"/>
      <c r="F1434" s="46"/>
      <c r="G1434" s="4"/>
      <c r="H1434" s="48"/>
      <c r="J1434" s="26" t="str">
        <f t="shared" si="227"/>
        <v/>
      </c>
      <c r="N1434" t="str">
        <f t="shared" si="228"/>
        <v/>
      </c>
      <c r="Q1434" t="str">
        <f t="shared" si="229"/>
        <v/>
      </c>
      <c r="S1434" t="str">
        <f>IF(A1434=1,MAX($S$2:$S1433)+1,IF(OR($I1434&lt;&gt;"",A1434="x"),$S1433,""))</f>
        <v/>
      </c>
      <c r="T1434" t="str">
        <f>IF(D1434=1,MAX($T$2:$T1433)+1,IF(S1434=S1433,$T1433,IF(D1434="x",T1433,IF(D1433="x","",""))))</f>
        <v/>
      </c>
      <c r="U1434" t="str">
        <f>IF(B1434=1,MAX($U$2:$U1433)+1,IF(AND($T1434&lt;&gt;"",$T1434=$T1433),$U1433,IF(B1434="x",U1433,"")))</f>
        <v/>
      </c>
      <c r="V1434" t="str">
        <f>IF(C1434=1,MAX($V$2:$V1433)+1,IF(AND($T1434&lt;&gt;"",$T1434=$T1433),$U1433,IF(C1434="x",V1433,"")))</f>
        <v/>
      </c>
      <c r="X1434" cm="1">
        <f t="array" ref="X1434">IF($I1434&lt;&gt;"",$I1434,INDEX($I$1:$I1434,ROW()-COUNTIFS($T$1:$T1434,"="&amp;$T1434,$S$1:$S1434,"&lt;"&amp;$S1434)))</f>
        <v>0</v>
      </c>
      <c r="Z1434" s="6">
        <f t="shared" si="222"/>
        <v>1</v>
      </c>
      <c r="AA1434" t="e">
        <f t="shared" si="223"/>
        <v>#VALUE!</v>
      </c>
      <c r="AB1434" t="str">
        <f t="shared" si="224"/>
        <v/>
      </c>
      <c r="AC1434" t="e">
        <f t="shared" si="225"/>
        <v>#VALUE!</v>
      </c>
    </row>
    <row r="1435" spans="1:29" x14ac:dyDescent="0.2">
      <c r="A1435" t="str">
        <f t="shared" si="226"/>
        <v/>
      </c>
      <c r="E1435" s="4"/>
      <c r="F1435" s="46"/>
      <c r="G1435" s="4"/>
      <c r="H1435" s="48"/>
      <c r="J1435" s="26" t="str">
        <f t="shared" si="227"/>
        <v/>
      </c>
      <c r="N1435" t="str">
        <f t="shared" si="228"/>
        <v/>
      </c>
      <c r="Q1435" t="str">
        <f t="shared" si="229"/>
        <v/>
      </c>
      <c r="S1435" t="str">
        <f>IF(A1435=1,MAX($S$2:$S1434)+1,IF(OR($I1435&lt;&gt;"",A1435="x"),$S1434,""))</f>
        <v/>
      </c>
      <c r="T1435" t="str">
        <f>IF(D1435=1,MAX($T$2:$T1434)+1,IF(S1435=S1434,$T1434,IF(D1435="x",T1434,IF(D1434="x","",""))))</f>
        <v/>
      </c>
      <c r="U1435" t="str">
        <f>IF(B1435=1,MAX($U$2:$U1434)+1,IF(AND($T1435&lt;&gt;"",$T1435=$T1434),$U1434,IF(B1435="x",U1434,"")))</f>
        <v/>
      </c>
      <c r="V1435" t="str">
        <f>IF(C1435=1,MAX($V$2:$V1434)+1,IF(AND($T1435&lt;&gt;"",$T1435=$T1434),$U1434,IF(C1435="x",V1434,"")))</f>
        <v/>
      </c>
      <c r="X1435" cm="1">
        <f t="array" ref="X1435">IF($I1435&lt;&gt;"",$I1435,INDEX($I$1:$I1435,ROW()-COUNTIFS($T$1:$T1435,"="&amp;$T1435,$S$1:$S1435,"&lt;"&amp;$S1435)))</f>
        <v>0</v>
      </c>
      <c r="Z1435" s="6">
        <f t="shared" si="222"/>
        <v>1</v>
      </c>
      <c r="AA1435" t="e">
        <f t="shared" si="223"/>
        <v>#VALUE!</v>
      </c>
      <c r="AB1435" t="str">
        <f t="shared" si="224"/>
        <v/>
      </c>
      <c r="AC1435" t="e">
        <f t="shared" si="225"/>
        <v>#VALUE!</v>
      </c>
    </row>
    <row r="1436" spans="1:29" x14ac:dyDescent="0.2">
      <c r="A1436" t="str">
        <f t="shared" si="226"/>
        <v/>
      </c>
      <c r="E1436" s="4"/>
      <c r="F1436" s="46"/>
      <c r="G1436" s="4"/>
      <c r="H1436" s="48"/>
      <c r="J1436" s="26" t="str">
        <f t="shared" si="227"/>
        <v/>
      </c>
      <c r="N1436" t="str">
        <f t="shared" si="228"/>
        <v/>
      </c>
      <c r="Q1436" t="str">
        <f t="shared" si="229"/>
        <v/>
      </c>
      <c r="S1436" t="str">
        <f>IF(A1436=1,MAX($S$2:$S1435)+1,IF(OR($I1436&lt;&gt;"",A1436="x"),$S1435,""))</f>
        <v/>
      </c>
      <c r="T1436" t="str">
        <f>IF(D1436=1,MAX($T$2:$T1435)+1,IF(S1436=S1435,$T1435,IF(D1436="x",T1435,IF(D1435="x","",""))))</f>
        <v/>
      </c>
      <c r="U1436" t="str">
        <f>IF(B1436=1,MAX($U$2:$U1435)+1,IF(AND($T1436&lt;&gt;"",$T1436=$T1435),$U1435,IF(B1436="x",U1435,"")))</f>
        <v/>
      </c>
      <c r="V1436" t="str">
        <f>IF(C1436=1,MAX($V$2:$V1435)+1,IF(AND($T1436&lt;&gt;"",$T1436=$T1435),$U1435,IF(C1436="x",V1435,"")))</f>
        <v/>
      </c>
      <c r="X1436" cm="1">
        <f t="array" ref="X1436">IF($I1436&lt;&gt;"",$I1436,INDEX($I$1:$I1436,ROW()-COUNTIFS($T$1:$T1436,"="&amp;$T1436,$S$1:$S1436,"&lt;"&amp;$S1436)))</f>
        <v>0</v>
      </c>
      <c r="Z1436" s="6">
        <f t="shared" si="222"/>
        <v>1</v>
      </c>
      <c r="AA1436" t="e">
        <f t="shared" si="223"/>
        <v>#VALUE!</v>
      </c>
      <c r="AB1436" t="str">
        <f t="shared" si="224"/>
        <v/>
      </c>
      <c r="AC1436" t="e">
        <f t="shared" si="225"/>
        <v>#VALUE!</v>
      </c>
    </row>
    <row r="1437" spans="1:29" x14ac:dyDescent="0.2">
      <c r="A1437" t="str">
        <f t="shared" si="226"/>
        <v/>
      </c>
      <c r="E1437" s="4"/>
      <c r="F1437" s="46"/>
      <c r="G1437" s="4"/>
      <c r="H1437" s="48"/>
      <c r="J1437" s="26" t="str">
        <f t="shared" si="227"/>
        <v/>
      </c>
      <c r="N1437" t="str">
        <f t="shared" si="228"/>
        <v/>
      </c>
      <c r="Q1437" t="str">
        <f t="shared" si="229"/>
        <v/>
      </c>
      <c r="S1437" t="str">
        <f>IF(A1437=1,MAX($S$2:$S1436)+1,IF(OR($I1437&lt;&gt;"",A1437="x"),$S1436,""))</f>
        <v/>
      </c>
      <c r="T1437" t="str">
        <f>IF(D1437=1,MAX($T$2:$T1436)+1,IF(S1437=S1436,$T1436,IF(D1437="x",T1436,IF(D1436="x","",""))))</f>
        <v/>
      </c>
      <c r="U1437" t="str">
        <f>IF(B1437=1,MAX($U$2:$U1436)+1,IF(AND($T1437&lt;&gt;"",$T1437=$T1436),$U1436,IF(B1437="x",U1436,"")))</f>
        <v/>
      </c>
      <c r="V1437" t="str">
        <f>IF(C1437=1,MAX($V$2:$V1436)+1,IF(AND($T1437&lt;&gt;"",$T1437=$T1436),$U1436,IF(C1437="x",V1436,"")))</f>
        <v/>
      </c>
      <c r="X1437" cm="1">
        <f t="array" ref="X1437">IF($I1437&lt;&gt;"",$I1437,INDEX($I$1:$I1437,ROW()-COUNTIFS($T$1:$T1437,"="&amp;$T1437,$S$1:$S1437,"&lt;"&amp;$S1437)))</f>
        <v>0</v>
      </c>
      <c r="Z1437" s="6">
        <f t="shared" si="222"/>
        <v>1</v>
      </c>
      <c r="AA1437" t="e">
        <f t="shared" si="223"/>
        <v>#VALUE!</v>
      </c>
      <c r="AB1437" t="str">
        <f t="shared" si="224"/>
        <v/>
      </c>
      <c r="AC1437" t="e">
        <f t="shared" si="225"/>
        <v>#VALUE!</v>
      </c>
    </row>
    <row r="1438" spans="1:29" x14ac:dyDescent="0.2">
      <c r="A1438" t="str">
        <f t="shared" si="226"/>
        <v/>
      </c>
      <c r="E1438" s="4"/>
      <c r="F1438" s="46"/>
      <c r="G1438" s="4"/>
      <c r="H1438" s="48"/>
      <c r="J1438" s="26" t="str">
        <f t="shared" si="227"/>
        <v/>
      </c>
      <c r="N1438" t="str">
        <f t="shared" si="228"/>
        <v/>
      </c>
      <c r="Q1438" t="str">
        <f t="shared" si="229"/>
        <v/>
      </c>
      <c r="S1438" t="str">
        <f>IF(A1438=1,MAX($S$2:$S1437)+1,IF(OR($I1438&lt;&gt;"",A1438="x"),$S1437,""))</f>
        <v/>
      </c>
      <c r="T1438" t="str">
        <f>IF(D1438=1,MAX($T$2:$T1437)+1,IF(S1438=S1437,$T1437,IF(D1438="x",T1437,IF(D1437="x","",""))))</f>
        <v/>
      </c>
      <c r="U1438" t="str">
        <f>IF(B1438=1,MAX($U$2:$U1437)+1,IF(AND($T1438&lt;&gt;"",$T1438=$T1437),$U1437,IF(B1438="x",U1437,"")))</f>
        <v/>
      </c>
      <c r="V1438" t="str">
        <f>IF(C1438=1,MAX($V$2:$V1437)+1,IF(AND($T1438&lt;&gt;"",$T1438=$T1437),$U1437,IF(C1438="x",V1437,"")))</f>
        <v/>
      </c>
      <c r="X1438" cm="1">
        <f t="array" ref="X1438">IF($I1438&lt;&gt;"",$I1438,INDEX($I$1:$I1438,ROW()-COUNTIFS($T$1:$T1438,"="&amp;$T1438,$S$1:$S1438,"&lt;"&amp;$S1438)))</f>
        <v>0</v>
      </c>
      <c r="Z1438" s="6">
        <f t="shared" si="222"/>
        <v>1</v>
      </c>
      <c r="AA1438" t="e">
        <f t="shared" si="223"/>
        <v>#VALUE!</v>
      </c>
      <c r="AB1438" t="str">
        <f t="shared" si="224"/>
        <v/>
      </c>
      <c r="AC1438" t="e">
        <f t="shared" si="225"/>
        <v>#VALUE!</v>
      </c>
    </row>
    <row r="1439" spans="1:29" x14ac:dyDescent="0.2">
      <c r="A1439" t="str">
        <f t="shared" si="226"/>
        <v/>
      </c>
      <c r="E1439" s="4"/>
      <c r="F1439" s="46"/>
      <c r="G1439" s="4"/>
      <c r="H1439" s="48"/>
      <c r="J1439" s="26" t="str">
        <f t="shared" si="227"/>
        <v/>
      </c>
      <c r="N1439" t="str">
        <f t="shared" si="228"/>
        <v/>
      </c>
      <c r="Q1439" t="str">
        <f t="shared" si="229"/>
        <v/>
      </c>
      <c r="S1439" t="str">
        <f>IF(A1439=1,MAX($S$2:$S1438)+1,IF(OR($I1439&lt;&gt;"",A1439="x"),$S1438,""))</f>
        <v/>
      </c>
      <c r="T1439" t="str">
        <f>IF(D1439=1,MAX($T$2:$T1438)+1,IF(S1439=S1438,$T1438,IF(D1439="x",T1438,IF(D1438="x","",""))))</f>
        <v/>
      </c>
      <c r="U1439" t="str">
        <f>IF(B1439=1,MAX($U$2:$U1438)+1,IF(AND($T1439&lt;&gt;"",$T1439=$T1438),$U1438,IF(B1439="x",U1438,"")))</f>
        <v/>
      </c>
      <c r="V1439" t="str">
        <f>IF(C1439=1,MAX($V$2:$V1438)+1,IF(AND($T1439&lt;&gt;"",$T1439=$T1438),$U1438,IF(C1439="x",V1438,"")))</f>
        <v/>
      </c>
      <c r="X1439" cm="1">
        <f t="array" ref="X1439">IF($I1439&lt;&gt;"",$I1439,INDEX($I$1:$I1439,ROW()-COUNTIFS($T$1:$T1439,"="&amp;$T1439,$S$1:$S1439,"&lt;"&amp;$S1439)))</f>
        <v>0</v>
      </c>
      <c r="Z1439" s="6">
        <f t="shared" si="222"/>
        <v>1</v>
      </c>
      <c r="AA1439" t="e">
        <f t="shared" si="223"/>
        <v>#VALUE!</v>
      </c>
      <c r="AB1439" t="str">
        <f t="shared" si="224"/>
        <v/>
      </c>
      <c r="AC1439" t="e">
        <f t="shared" si="225"/>
        <v>#VALUE!</v>
      </c>
    </row>
    <row r="1440" spans="1:29" x14ac:dyDescent="0.2">
      <c r="A1440" t="str">
        <f t="shared" si="226"/>
        <v/>
      </c>
      <c r="E1440" s="4"/>
      <c r="F1440" s="46"/>
      <c r="G1440" s="4"/>
      <c r="H1440" s="48"/>
      <c r="J1440" s="26" t="str">
        <f t="shared" si="227"/>
        <v/>
      </c>
      <c r="N1440" t="str">
        <f t="shared" si="228"/>
        <v/>
      </c>
      <c r="Q1440" t="str">
        <f t="shared" si="229"/>
        <v/>
      </c>
      <c r="S1440" t="str">
        <f>IF(A1440=1,MAX($S$2:$S1439)+1,IF(OR($I1440&lt;&gt;"",A1440="x"),$S1439,""))</f>
        <v/>
      </c>
      <c r="T1440" t="str">
        <f>IF(D1440=1,MAX($T$2:$T1439)+1,IF(S1440=S1439,$T1439,IF(D1440="x",T1439,IF(D1439="x","",""))))</f>
        <v/>
      </c>
      <c r="U1440" t="str">
        <f>IF(B1440=1,MAX($U$2:$U1439)+1,IF(AND($T1440&lt;&gt;"",$T1440=$T1439),$U1439,IF(B1440="x",U1439,"")))</f>
        <v/>
      </c>
      <c r="V1440" t="str">
        <f>IF(C1440=1,MAX($V$2:$V1439)+1,IF(AND($T1440&lt;&gt;"",$T1440=$T1439),$U1439,IF(C1440="x",V1439,"")))</f>
        <v/>
      </c>
      <c r="X1440" cm="1">
        <f t="array" ref="X1440">IF($I1440&lt;&gt;"",$I1440,INDEX($I$1:$I1440,ROW()-COUNTIFS($T$1:$T1440,"="&amp;$T1440,$S$1:$S1440,"&lt;"&amp;$S1440)))</f>
        <v>0</v>
      </c>
      <c r="Z1440" s="6">
        <f t="shared" si="222"/>
        <v>1</v>
      </c>
      <c r="AA1440" t="e">
        <f t="shared" si="223"/>
        <v>#VALUE!</v>
      </c>
      <c r="AB1440" t="str">
        <f t="shared" si="224"/>
        <v/>
      </c>
      <c r="AC1440" t="e">
        <f t="shared" si="225"/>
        <v>#VALUE!</v>
      </c>
    </row>
    <row r="1441" spans="1:29" x14ac:dyDescent="0.2">
      <c r="A1441" t="str">
        <f t="shared" si="226"/>
        <v/>
      </c>
      <c r="E1441" s="4"/>
      <c r="F1441" s="46"/>
      <c r="G1441" s="4"/>
      <c r="H1441" s="48"/>
      <c r="J1441" s="26" t="str">
        <f t="shared" si="227"/>
        <v/>
      </c>
      <c r="N1441" t="str">
        <f t="shared" si="228"/>
        <v/>
      </c>
      <c r="Q1441" t="str">
        <f t="shared" si="229"/>
        <v/>
      </c>
      <c r="S1441" t="str">
        <f>IF(A1441=1,MAX($S$2:$S1440)+1,IF(OR($I1441&lt;&gt;"",A1441="x"),$S1440,""))</f>
        <v/>
      </c>
      <c r="T1441" t="str">
        <f>IF(D1441=1,MAX($T$2:$T1440)+1,IF(S1441=S1440,$T1440,IF(D1441="x",T1440,IF(D1440="x","",""))))</f>
        <v/>
      </c>
      <c r="U1441" t="str">
        <f>IF(B1441=1,MAX($U$2:$U1440)+1,IF(AND($T1441&lt;&gt;"",$T1441=$T1440),$U1440,IF(B1441="x",U1440,"")))</f>
        <v/>
      </c>
      <c r="V1441" t="str">
        <f>IF(C1441=1,MAX($V$2:$V1440)+1,IF(AND($T1441&lt;&gt;"",$T1441=$T1440),$U1440,IF(C1441="x",V1440,"")))</f>
        <v/>
      </c>
      <c r="X1441" cm="1">
        <f t="array" ref="X1441">IF($I1441&lt;&gt;"",$I1441,INDEX($I$1:$I1441,ROW()-COUNTIFS($T$1:$T1441,"="&amp;$T1441,$S$1:$S1441,"&lt;"&amp;$S1441)))</f>
        <v>0</v>
      </c>
      <c r="Z1441" s="6">
        <f t="shared" si="222"/>
        <v>1</v>
      </c>
      <c r="AA1441" t="e">
        <f t="shared" si="223"/>
        <v>#VALUE!</v>
      </c>
      <c r="AB1441" t="str">
        <f t="shared" si="224"/>
        <v/>
      </c>
      <c r="AC1441" t="e">
        <f t="shared" si="225"/>
        <v>#VALUE!</v>
      </c>
    </row>
    <row r="1442" spans="1:29" x14ac:dyDescent="0.2">
      <c r="A1442" t="str">
        <f t="shared" si="226"/>
        <v/>
      </c>
      <c r="E1442" s="4"/>
      <c r="F1442" s="46"/>
      <c r="G1442" s="4"/>
      <c r="H1442" s="48"/>
      <c r="J1442" s="26" t="str">
        <f t="shared" si="227"/>
        <v/>
      </c>
      <c r="N1442" t="str">
        <f t="shared" si="228"/>
        <v/>
      </c>
      <c r="Q1442" t="str">
        <f t="shared" si="229"/>
        <v/>
      </c>
      <c r="S1442" t="str">
        <f>IF(A1442=1,MAX($S$2:$S1441)+1,IF(OR($I1442&lt;&gt;"",A1442="x"),$S1441,""))</f>
        <v/>
      </c>
      <c r="T1442" t="str">
        <f>IF(D1442=1,MAX($T$2:$T1441)+1,IF(S1442=S1441,$T1441,IF(D1442="x",T1441,IF(D1441="x","",""))))</f>
        <v/>
      </c>
      <c r="U1442" t="str">
        <f>IF(B1442=1,MAX($U$2:$U1441)+1,IF(AND($T1442&lt;&gt;"",$T1442=$T1441),$U1441,IF(B1442="x",U1441,"")))</f>
        <v/>
      </c>
      <c r="V1442" t="str">
        <f>IF(C1442=1,MAX($V$2:$V1441)+1,IF(AND($T1442&lt;&gt;"",$T1442=$T1441),$U1441,IF(C1442="x",V1441,"")))</f>
        <v/>
      </c>
      <c r="X1442" cm="1">
        <f t="array" ref="X1442">IF($I1442&lt;&gt;"",$I1442,INDEX($I$1:$I1442,ROW()-COUNTIFS($T$1:$T1442,"="&amp;$T1442,$S$1:$S1442,"&lt;"&amp;$S1442)))</f>
        <v>0</v>
      </c>
      <c r="Z1442" s="6">
        <f t="shared" si="222"/>
        <v>1</v>
      </c>
      <c r="AA1442" t="e">
        <f t="shared" si="223"/>
        <v>#VALUE!</v>
      </c>
      <c r="AB1442" t="str">
        <f t="shared" si="224"/>
        <v/>
      </c>
      <c r="AC1442" t="e">
        <f t="shared" si="225"/>
        <v>#VALUE!</v>
      </c>
    </row>
    <row r="1443" spans="1:29" x14ac:dyDescent="0.2">
      <c r="A1443" t="str">
        <f t="shared" si="226"/>
        <v/>
      </c>
      <c r="E1443" s="4"/>
      <c r="F1443" s="46"/>
      <c r="G1443" s="4"/>
      <c r="H1443" s="48"/>
      <c r="J1443" s="26" t="str">
        <f t="shared" si="227"/>
        <v/>
      </c>
      <c r="N1443" t="str">
        <f t="shared" si="228"/>
        <v/>
      </c>
      <c r="Q1443" t="str">
        <f t="shared" si="229"/>
        <v/>
      </c>
      <c r="S1443" t="str">
        <f>IF(A1443=1,MAX($S$2:$S1442)+1,IF(OR($I1443&lt;&gt;"",A1443="x"),$S1442,""))</f>
        <v/>
      </c>
      <c r="T1443" t="str">
        <f>IF(D1443=1,MAX($T$2:$T1442)+1,IF(S1443=S1442,$T1442,IF(D1443="x",T1442,IF(D1442="x","",""))))</f>
        <v/>
      </c>
      <c r="U1443" t="str">
        <f>IF(B1443=1,MAX($U$2:$U1442)+1,IF(AND($T1443&lt;&gt;"",$T1443=$T1442),$U1442,IF(B1443="x",U1442,"")))</f>
        <v/>
      </c>
      <c r="V1443" t="str">
        <f>IF(C1443=1,MAX($V$2:$V1442)+1,IF(AND($T1443&lt;&gt;"",$T1443=$T1442),$U1442,IF(C1443="x",V1442,"")))</f>
        <v/>
      </c>
      <c r="X1443" cm="1">
        <f t="array" ref="X1443">IF($I1443&lt;&gt;"",$I1443,INDEX($I$1:$I1443,ROW()-COUNTIFS($T$1:$T1443,"="&amp;$T1443,$S$1:$S1443,"&lt;"&amp;$S1443)))</f>
        <v>0</v>
      </c>
      <c r="Z1443" s="6">
        <f t="shared" si="222"/>
        <v>1</v>
      </c>
      <c r="AA1443" t="e">
        <f t="shared" si="223"/>
        <v>#VALUE!</v>
      </c>
      <c r="AB1443" t="str">
        <f t="shared" si="224"/>
        <v/>
      </c>
      <c r="AC1443" t="e">
        <f t="shared" si="225"/>
        <v>#VALUE!</v>
      </c>
    </row>
    <row r="1444" spans="1:29" x14ac:dyDescent="0.2">
      <c r="A1444" t="str">
        <f t="shared" si="226"/>
        <v/>
      </c>
      <c r="E1444" s="4"/>
      <c r="F1444" s="46"/>
      <c r="G1444" s="4"/>
      <c r="H1444" s="48"/>
      <c r="J1444" s="26" t="str">
        <f t="shared" si="227"/>
        <v/>
      </c>
      <c r="N1444" t="str">
        <f t="shared" si="228"/>
        <v/>
      </c>
      <c r="Q1444" t="str">
        <f t="shared" si="229"/>
        <v/>
      </c>
      <c r="S1444" t="str">
        <f>IF(A1444=1,MAX($S$2:$S1443)+1,IF(OR($I1444&lt;&gt;"",A1444="x"),$S1443,""))</f>
        <v/>
      </c>
      <c r="T1444" t="str">
        <f>IF(D1444=1,MAX($T$2:$T1443)+1,IF(S1444=S1443,$T1443,IF(D1444="x",T1443,IF(D1443="x","",""))))</f>
        <v/>
      </c>
      <c r="U1444" t="str">
        <f>IF(B1444=1,MAX($U$2:$U1443)+1,IF(AND($T1444&lt;&gt;"",$T1444=$T1443),$U1443,IF(B1444="x",U1443,"")))</f>
        <v/>
      </c>
      <c r="V1444" t="str">
        <f>IF(C1444=1,MAX($V$2:$V1443)+1,IF(AND($T1444&lt;&gt;"",$T1444=$T1443),$U1443,IF(C1444="x",V1443,"")))</f>
        <v/>
      </c>
      <c r="X1444" cm="1">
        <f t="array" ref="X1444">IF($I1444&lt;&gt;"",$I1444,INDEX($I$1:$I1444,ROW()-COUNTIFS($T$1:$T1444,"="&amp;$T1444,$S$1:$S1444,"&lt;"&amp;$S1444)))</f>
        <v>0</v>
      </c>
      <c r="Z1444" s="6">
        <f t="shared" si="222"/>
        <v>1</v>
      </c>
      <c r="AA1444" t="e">
        <f t="shared" si="223"/>
        <v>#VALUE!</v>
      </c>
      <c r="AB1444" t="str">
        <f t="shared" si="224"/>
        <v/>
      </c>
      <c r="AC1444" t="e">
        <f t="shared" si="225"/>
        <v>#VALUE!</v>
      </c>
    </row>
    <row r="1445" spans="1:29" x14ac:dyDescent="0.2">
      <c r="A1445" t="str">
        <f t="shared" si="226"/>
        <v/>
      </c>
      <c r="E1445" s="4"/>
      <c r="F1445" s="46"/>
      <c r="G1445" s="4"/>
      <c r="H1445" s="48"/>
      <c r="J1445" s="26" t="str">
        <f t="shared" si="227"/>
        <v/>
      </c>
      <c r="N1445" t="str">
        <f t="shared" si="228"/>
        <v/>
      </c>
      <c r="Q1445" t="str">
        <f t="shared" si="229"/>
        <v/>
      </c>
      <c r="S1445" t="str">
        <f>IF(A1445=1,MAX($S$2:$S1444)+1,IF(OR($I1445&lt;&gt;"",A1445="x"),$S1444,""))</f>
        <v/>
      </c>
      <c r="T1445" t="str">
        <f>IF(D1445=1,MAX($T$2:$T1444)+1,IF(S1445=S1444,$T1444,IF(D1445="x",T1444,IF(D1444="x","",""))))</f>
        <v/>
      </c>
      <c r="U1445" t="str">
        <f>IF(B1445=1,MAX($U$2:$U1444)+1,IF(AND($T1445&lt;&gt;"",$T1445=$T1444),$U1444,IF(B1445="x",U1444,"")))</f>
        <v/>
      </c>
      <c r="V1445" t="str">
        <f>IF(C1445=1,MAX($V$2:$V1444)+1,IF(AND($T1445&lt;&gt;"",$T1445=$T1444),$U1444,IF(C1445="x",V1444,"")))</f>
        <v/>
      </c>
      <c r="X1445" cm="1">
        <f t="array" ref="X1445">IF($I1445&lt;&gt;"",$I1445,INDEX($I$1:$I1445,ROW()-COUNTIFS($T$1:$T1445,"="&amp;$T1445,$S$1:$S1445,"&lt;"&amp;$S1445)))</f>
        <v>0</v>
      </c>
      <c r="Z1445" s="6">
        <f t="shared" si="222"/>
        <v>1</v>
      </c>
      <c r="AA1445" t="e">
        <f t="shared" si="223"/>
        <v>#VALUE!</v>
      </c>
      <c r="AB1445" t="str">
        <f t="shared" si="224"/>
        <v/>
      </c>
      <c r="AC1445" t="e">
        <f t="shared" si="225"/>
        <v>#VALUE!</v>
      </c>
    </row>
    <row r="1446" spans="1:29" x14ac:dyDescent="0.2">
      <c r="A1446" t="str">
        <f t="shared" si="226"/>
        <v/>
      </c>
      <c r="E1446" s="4"/>
      <c r="F1446" s="46"/>
      <c r="G1446" s="4"/>
      <c r="H1446" s="48"/>
      <c r="J1446" s="26" t="str">
        <f t="shared" si="227"/>
        <v/>
      </c>
      <c r="N1446" t="str">
        <f t="shared" si="228"/>
        <v/>
      </c>
      <c r="Q1446" t="str">
        <f t="shared" si="229"/>
        <v/>
      </c>
      <c r="S1446" t="str">
        <f>IF(A1446=1,MAX($S$2:$S1445)+1,IF(OR($I1446&lt;&gt;"",A1446="x"),$S1445,""))</f>
        <v/>
      </c>
      <c r="T1446" t="str">
        <f>IF(D1446=1,MAX($T$2:$T1445)+1,IF(S1446=S1445,$T1445,IF(D1446="x",T1445,IF(D1445="x","",""))))</f>
        <v/>
      </c>
      <c r="U1446" t="str">
        <f>IF(B1446=1,MAX($U$2:$U1445)+1,IF(AND($T1446&lt;&gt;"",$T1446=$T1445),$U1445,IF(B1446="x",U1445,"")))</f>
        <v/>
      </c>
      <c r="V1446" t="str">
        <f>IF(C1446=1,MAX($V$2:$V1445)+1,IF(AND($T1446&lt;&gt;"",$T1446=$T1445),$U1445,IF(C1446="x",V1445,"")))</f>
        <v/>
      </c>
      <c r="X1446" cm="1">
        <f t="array" ref="X1446">IF($I1446&lt;&gt;"",$I1446,INDEX($I$1:$I1446,ROW()-COUNTIFS($T$1:$T1446,"="&amp;$T1446,$S$1:$S1446,"&lt;"&amp;$S1446)))</f>
        <v>0</v>
      </c>
      <c r="Z1446" s="6">
        <f t="shared" si="222"/>
        <v>1</v>
      </c>
      <c r="AA1446" t="e">
        <f t="shared" si="223"/>
        <v>#VALUE!</v>
      </c>
      <c r="AB1446" t="str">
        <f t="shared" si="224"/>
        <v/>
      </c>
      <c r="AC1446" t="e">
        <f t="shared" si="225"/>
        <v>#VALUE!</v>
      </c>
    </row>
    <row r="1447" spans="1:29" x14ac:dyDescent="0.2">
      <c r="A1447" t="str">
        <f t="shared" si="226"/>
        <v/>
      </c>
      <c r="E1447" s="4"/>
      <c r="F1447" s="46"/>
      <c r="G1447" s="4"/>
      <c r="H1447" s="48"/>
      <c r="J1447" s="26" t="str">
        <f t="shared" si="227"/>
        <v/>
      </c>
      <c r="N1447" t="str">
        <f t="shared" si="228"/>
        <v/>
      </c>
      <c r="Q1447" t="str">
        <f t="shared" si="229"/>
        <v/>
      </c>
      <c r="S1447" t="str">
        <f>IF(A1447=1,MAX($S$2:$S1446)+1,IF(OR($I1447&lt;&gt;"",A1447="x"),$S1446,""))</f>
        <v/>
      </c>
      <c r="T1447" t="str">
        <f>IF(D1447=1,MAX($T$2:$T1446)+1,IF(S1447=S1446,$T1446,IF(D1447="x",T1446,IF(D1446="x","",""))))</f>
        <v/>
      </c>
      <c r="U1447" t="str">
        <f>IF(B1447=1,MAX($U$2:$U1446)+1,IF(AND($T1447&lt;&gt;"",$T1447=$T1446),$U1446,IF(B1447="x",U1446,"")))</f>
        <v/>
      </c>
      <c r="V1447" t="str">
        <f>IF(C1447=1,MAX($V$2:$V1446)+1,IF(AND($T1447&lt;&gt;"",$T1447=$T1446),$U1446,IF(C1447="x",V1446,"")))</f>
        <v/>
      </c>
      <c r="X1447" cm="1">
        <f t="array" ref="X1447">IF($I1447&lt;&gt;"",$I1447,INDEX($I$1:$I1447,ROW()-COUNTIFS($T$1:$T1447,"="&amp;$T1447,$S$1:$S1447,"&lt;"&amp;$S1447)))</f>
        <v>0</v>
      </c>
      <c r="Z1447" s="6">
        <f t="shared" si="222"/>
        <v>1</v>
      </c>
      <c r="AA1447" t="e">
        <f t="shared" si="223"/>
        <v>#VALUE!</v>
      </c>
      <c r="AB1447" t="str">
        <f t="shared" si="224"/>
        <v/>
      </c>
      <c r="AC1447" t="e">
        <f t="shared" si="225"/>
        <v>#VALUE!</v>
      </c>
    </row>
    <row r="1448" spans="1:29" x14ac:dyDescent="0.2">
      <c r="A1448" t="str">
        <f t="shared" si="226"/>
        <v/>
      </c>
      <c r="E1448" s="4"/>
      <c r="F1448" s="46"/>
      <c r="G1448" s="4"/>
      <c r="H1448" s="48"/>
      <c r="J1448" s="26" t="str">
        <f t="shared" si="227"/>
        <v/>
      </c>
      <c r="N1448" t="str">
        <f t="shared" si="228"/>
        <v/>
      </c>
      <c r="Q1448" t="str">
        <f t="shared" si="229"/>
        <v/>
      </c>
      <c r="S1448" t="str">
        <f>IF(A1448=1,MAX($S$2:$S1447)+1,IF(OR($I1448&lt;&gt;"",A1448="x"),$S1447,""))</f>
        <v/>
      </c>
      <c r="T1448" t="str">
        <f>IF(D1448=1,MAX($T$2:$T1447)+1,IF(S1448=S1447,$T1447,IF(D1448="x",T1447,IF(D1447="x","",""))))</f>
        <v/>
      </c>
      <c r="U1448" t="str">
        <f>IF(B1448=1,MAX($U$2:$U1447)+1,IF(AND($T1448&lt;&gt;"",$T1448=$T1447),$U1447,IF(B1448="x",U1447,"")))</f>
        <v/>
      </c>
      <c r="V1448" t="str">
        <f>IF(C1448=1,MAX($V$2:$V1447)+1,IF(AND($T1448&lt;&gt;"",$T1448=$T1447),$U1447,IF(C1448="x",V1447,"")))</f>
        <v/>
      </c>
      <c r="X1448" cm="1">
        <f t="array" ref="X1448">IF($I1448&lt;&gt;"",$I1448,INDEX($I$1:$I1448,ROW()-COUNTIFS($T$1:$T1448,"="&amp;$T1448,$S$1:$S1448,"&lt;"&amp;$S1448)))</f>
        <v>0</v>
      </c>
      <c r="Z1448" s="6">
        <f t="shared" si="222"/>
        <v>1</v>
      </c>
      <c r="AA1448" t="e">
        <f t="shared" si="223"/>
        <v>#VALUE!</v>
      </c>
      <c r="AB1448" t="str">
        <f t="shared" si="224"/>
        <v/>
      </c>
      <c r="AC1448" t="e">
        <f t="shared" si="225"/>
        <v>#VALUE!</v>
      </c>
    </row>
    <row r="1449" spans="1:29" x14ac:dyDescent="0.2">
      <c r="A1449" t="str">
        <f t="shared" si="226"/>
        <v/>
      </c>
      <c r="E1449" s="4"/>
      <c r="F1449" s="46"/>
      <c r="G1449" s="4"/>
      <c r="H1449" s="48"/>
      <c r="J1449" s="26" t="str">
        <f t="shared" si="227"/>
        <v/>
      </c>
      <c r="N1449" t="str">
        <f t="shared" si="228"/>
        <v/>
      </c>
      <c r="Q1449" t="str">
        <f t="shared" si="229"/>
        <v/>
      </c>
      <c r="S1449" t="str">
        <f>IF(A1449=1,MAX($S$2:$S1448)+1,IF(OR($I1449&lt;&gt;"",A1449="x"),$S1448,""))</f>
        <v/>
      </c>
      <c r="T1449" t="str">
        <f>IF(D1449=1,MAX($T$2:$T1448)+1,IF(S1449=S1448,$T1448,IF(D1449="x",T1448,IF(D1448="x","",""))))</f>
        <v/>
      </c>
      <c r="U1449" t="str">
        <f>IF(B1449=1,MAX($U$2:$U1448)+1,IF(AND($T1449&lt;&gt;"",$T1449=$T1448),$U1448,IF(B1449="x",U1448,"")))</f>
        <v/>
      </c>
      <c r="V1449" t="str">
        <f>IF(C1449=1,MAX($V$2:$V1448)+1,IF(AND($T1449&lt;&gt;"",$T1449=$T1448),$U1448,IF(C1449="x",V1448,"")))</f>
        <v/>
      </c>
      <c r="X1449" cm="1">
        <f t="array" ref="X1449">IF($I1449&lt;&gt;"",$I1449,INDEX($I$1:$I1449,ROW()-COUNTIFS($T$1:$T1449,"="&amp;$T1449,$S$1:$S1449,"&lt;"&amp;$S1449)))</f>
        <v>0</v>
      </c>
      <c r="Z1449" s="6">
        <f t="shared" si="222"/>
        <v>1</v>
      </c>
      <c r="AA1449" t="e">
        <f t="shared" si="223"/>
        <v>#VALUE!</v>
      </c>
      <c r="AB1449" t="str">
        <f t="shared" si="224"/>
        <v/>
      </c>
      <c r="AC1449" t="e">
        <f t="shared" si="225"/>
        <v>#VALUE!</v>
      </c>
    </row>
    <row r="1450" spans="1:29" x14ac:dyDescent="0.2">
      <c r="A1450" t="str">
        <f t="shared" si="226"/>
        <v/>
      </c>
      <c r="E1450" s="4"/>
      <c r="F1450" s="46"/>
      <c r="G1450" s="4"/>
      <c r="H1450" s="48"/>
      <c r="J1450" s="26" t="str">
        <f t="shared" si="227"/>
        <v/>
      </c>
      <c r="N1450" t="str">
        <f t="shared" si="228"/>
        <v/>
      </c>
      <c r="Q1450" t="str">
        <f t="shared" si="229"/>
        <v/>
      </c>
      <c r="S1450" t="str">
        <f>IF(A1450=1,MAX($S$2:$S1449)+1,IF(OR($I1450&lt;&gt;"",A1450="x"),$S1449,""))</f>
        <v/>
      </c>
      <c r="T1450" t="str">
        <f>IF(D1450=1,MAX($T$2:$T1449)+1,IF(S1450=S1449,$T1449,IF(D1450="x",T1449,IF(D1449="x","",""))))</f>
        <v/>
      </c>
      <c r="U1450" t="str">
        <f>IF(B1450=1,MAX($U$2:$U1449)+1,IF(AND($T1450&lt;&gt;"",$T1450=$T1449),$U1449,IF(B1450="x",U1449,"")))</f>
        <v/>
      </c>
      <c r="V1450" t="str">
        <f>IF(C1450=1,MAX($V$2:$V1449)+1,IF(AND($T1450&lt;&gt;"",$T1450=$T1449),$U1449,IF(C1450="x",V1449,"")))</f>
        <v/>
      </c>
      <c r="X1450" cm="1">
        <f t="array" ref="X1450">IF($I1450&lt;&gt;"",$I1450,INDEX($I$1:$I1450,ROW()-COUNTIFS($T$1:$T1450,"="&amp;$T1450,$S$1:$S1450,"&lt;"&amp;$S1450)))</f>
        <v>0</v>
      </c>
      <c r="Z1450" s="6">
        <f t="shared" si="222"/>
        <v>1</v>
      </c>
      <c r="AA1450" t="e">
        <f t="shared" si="223"/>
        <v>#VALUE!</v>
      </c>
      <c r="AB1450" t="str">
        <f t="shared" si="224"/>
        <v/>
      </c>
      <c r="AC1450" t="e">
        <f t="shared" si="225"/>
        <v>#VALUE!</v>
      </c>
    </row>
    <row r="1451" spans="1:29" x14ac:dyDescent="0.2">
      <c r="A1451" t="str">
        <f t="shared" si="226"/>
        <v/>
      </c>
      <c r="E1451" s="4"/>
      <c r="F1451" s="46"/>
      <c r="G1451" s="4"/>
      <c r="H1451" s="48"/>
      <c r="J1451" s="26" t="str">
        <f t="shared" si="227"/>
        <v/>
      </c>
      <c r="N1451" t="str">
        <f t="shared" si="228"/>
        <v/>
      </c>
      <c r="Q1451" t="str">
        <f t="shared" si="229"/>
        <v/>
      </c>
      <c r="S1451" t="str">
        <f>IF(A1451=1,MAX($S$2:$S1450)+1,IF(OR($I1451&lt;&gt;"",A1451="x"),$S1450,""))</f>
        <v/>
      </c>
      <c r="T1451" t="str">
        <f>IF(D1451=1,MAX($T$2:$T1450)+1,IF(S1451=S1450,$T1450,IF(D1451="x",T1450,IF(D1450="x","",""))))</f>
        <v/>
      </c>
      <c r="U1451" t="str">
        <f>IF(B1451=1,MAX($U$2:$U1450)+1,IF(AND($T1451&lt;&gt;"",$T1451=$T1450),$U1450,IF(B1451="x",U1450,"")))</f>
        <v/>
      </c>
      <c r="V1451" t="str">
        <f>IF(C1451=1,MAX($V$2:$V1450)+1,IF(AND($T1451&lt;&gt;"",$T1451=$T1450),$U1450,IF(C1451="x",V1450,"")))</f>
        <v/>
      </c>
      <c r="X1451" cm="1">
        <f t="array" ref="X1451">IF($I1451&lt;&gt;"",$I1451,INDEX($I$1:$I1451,ROW()-COUNTIFS($T$1:$T1451,"="&amp;$T1451,$S$1:$S1451,"&lt;"&amp;$S1451)))</f>
        <v>0</v>
      </c>
      <c r="Z1451" s="6">
        <f t="shared" si="222"/>
        <v>1</v>
      </c>
      <c r="AA1451" t="e">
        <f t="shared" si="223"/>
        <v>#VALUE!</v>
      </c>
      <c r="AB1451" t="str">
        <f t="shared" si="224"/>
        <v/>
      </c>
      <c r="AC1451" t="e">
        <f t="shared" si="225"/>
        <v>#VALUE!</v>
      </c>
    </row>
    <row r="1452" spans="1:29" x14ac:dyDescent="0.2">
      <c r="A1452" t="str">
        <f t="shared" si="226"/>
        <v/>
      </c>
      <c r="E1452" s="4"/>
      <c r="F1452" s="46"/>
      <c r="G1452" s="4"/>
      <c r="H1452" s="48"/>
      <c r="J1452" s="26" t="str">
        <f t="shared" si="227"/>
        <v/>
      </c>
      <c r="N1452" t="str">
        <f t="shared" si="228"/>
        <v/>
      </c>
      <c r="Q1452" t="str">
        <f t="shared" si="229"/>
        <v/>
      </c>
      <c r="S1452" t="str">
        <f>IF(A1452=1,MAX($S$2:$S1451)+1,IF(OR($I1452&lt;&gt;"",A1452="x"),$S1451,""))</f>
        <v/>
      </c>
      <c r="T1452" t="str">
        <f>IF(D1452=1,MAX($T$2:$T1451)+1,IF(S1452=S1451,$T1451,IF(D1452="x",T1451,IF(D1451="x","",""))))</f>
        <v/>
      </c>
      <c r="U1452" t="str">
        <f>IF(B1452=1,MAX($U$2:$U1451)+1,IF(AND($T1452&lt;&gt;"",$T1452=$T1451),$U1451,IF(B1452="x",U1451,"")))</f>
        <v/>
      </c>
      <c r="V1452" t="str">
        <f>IF(C1452=1,MAX($V$2:$V1451)+1,IF(AND($T1452&lt;&gt;"",$T1452=$T1451),$U1451,IF(C1452="x",V1451,"")))</f>
        <v/>
      </c>
      <c r="X1452" cm="1">
        <f t="array" ref="X1452">IF($I1452&lt;&gt;"",$I1452,INDEX($I$1:$I1452,ROW()-COUNTIFS($T$1:$T1452,"="&amp;$T1452,$S$1:$S1452,"&lt;"&amp;$S1452)))</f>
        <v>0</v>
      </c>
      <c r="Z1452" s="6">
        <f t="shared" si="222"/>
        <v>1</v>
      </c>
      <c r="AA1452" t="e">
        <f t="shared" si="223"/>
        <v>#VALUE!</v>
      </c>
      <c r="AB1452" t="str">
        <f t="shared" si="224"/>
        <v/>
      </c>
      <c r="AC1452" t="e">
        <f t="shared" si="225"/>
        <v>#VALUE!</v>
      </c>
    </row>
    <row r="1453" spans="1:29" x14ac:dyDescent="0.2">
      <c r="A1453" t="str">
        <f t="shared" si="226"/>
        <v/>
      </c>
      <c r="E1453" s="4"/>
      <c r="F1453" s="46"/>
      <c r="G1453" s="4"/>
      <c r="H1453" s="48"/>
      <c r="J1453" s="26" t="str">
        <f t="shared" si="227"/>
        <v/>
      </c>
      <c r="N1453" t="str">
        <f t="shared" si="228"/>
        <v/>
      </c>
      <c r="Q1453" t="str">
        <f t="shared" si="229"/>
        <v/>
      </c>
      <c r="S1453" t="str">
        <f>IF(A1453=1,MAX($S$2:$S1452)+1,IF(OR($I1453&lt;&gt;"",A1453="x"),$S1452,""))</f>
        <v/>
      </c>
      <c r="T1453" t="str">
        <f>IF(D1453=1,MAX($T$2:$T1452)+1,IF(S1453=S1452,$T1452,IF(D1453="x",T1452,IF(D1452="x","",""))))</f>
        <v/>
      </c>
      <c r="U1453" t="str">
        <f>IF(B1453=1,MAX($U$2:$U1452)+1,IF(AND($T1453&lt;&gt;"",$T1453=$T1452),$U1452,IF(B1453="x",U1452,"")))</f>
        <v/>
      </c>
      <c r="V1453" t="str">
        <f>IF(C1453=1,MAX($V$2:$V1452)+1,IF(AND($T1453&lt;&gt;"",$T1453=$T1452),$U1452,IF(C1453="x",V1452,"")))</f>
        <v/>
      </c>
      <c r="X1453" cm="1">
        <f t="array" ref="X1453">IF($I1453&lt;&gt;"",$I1453,INDEX($I$1:$I1453,ROW()-COUNTIFS($T$1:$T1453,"="&amp;$T1453,$S$1:$S1453,"&lt;"&amp;$S1453)))</f>
        <v>0</v>
      </c>
      <c r="Z1453" s="6">
        <f t="shared" si="222"/>
        <v>1</v>
      </c>
      <c r="AA1453" t="e">
        <f t="shared" si="223"/>
        <v>#VALUE!</v>
      </c>
      <c r="AB1453" t="str">
        <f t="shared" si="224"/>
        <v/>
      </c>
      <c r="AC1453" t="e">
        <f t="shared" si="225"/>
        <v>#VALUE!</v>
      </c>
    </row>
    <row r="1454" spans="1:29" x14ac:dyDescent="0.2">
      <c r="A1454" t="str">
        <f t="shared" si="226"/>
        <v/>
      </c>
      <c r="E1454" s="4"/>
      <c r="F1454" s="46"/>
      <c r="G1454" s="4"/>
      <c r="H1454" s="48"/>
      <c r="J1454" s="26" t="str">
        <f t="shared" si="227"/>
        <v/>
      </c>
      <c r="N1454" t="str">
        <f t="shared" si="228"/>
        <v/>
      </c>
      <c r="Q1454" t="str">
        <f t="shared" si="229"/>
        <v/>
      </c>
      <c r="S1454" t="str">
        <f>IF(A1454=1,MAX($S$2:$S1453)+1,IF(OR($I1454&lt;&gt;"",A1454="x"),$S1453,""))</f>
        <v/>
      </c>
      <c r="T1454" t="str">
        <f>IF(D1454=1,MAX($T$2:$T1453)+1,IF(S1454=S1453,$T1453,IF(D1454="x",T1453,IF(D1453="x","",""))))</f>
        <v/>
      </c>
      <c r="U1454" t="str">
        <f>IF(B1454=1,MAX($U$2:$U1453)+1,IF(AND($T1454&lt;&gt;"",$T1454=$T1453),$U1453,IF(B1454="x",U1453,"")))</f>
        <v/>
      </c>
      <c r="V1454" t="str">
        <f>IF(C1454=1,MAX($V$2:$V1453)+1,IF(AND($T1454&lt;&gt;"",$T1454=$T1453),$U1453,IF(C1454="x",V1453,"")))</f>
        <v/>
      </c>
      <c r="X1454" cm="1">
        <f t="array" ref="X1454">IF($I1454&lt;&gt;"",$I1454,INDEX($I$1:$I1454,ROW()-COUNTIFS($T$1:$T1454,"="&amp;$T1454,$S$1:$S1454,"&lt;"&amp;$S1454)))</f>
        <v>0</v>
      </c>
      <c r="Z1454" s="6">
        <f t="shared" si="222"/>
        <v>1</v>
      </c>
      <c r="AA1454" t="e">
        <f t="shared" si="223"/>
        <v>#VALUE!</v>
      </c>
      <c r="AB1454" t="str">
        <f t="shared" si="224"/>
        <v/>
      </c>
      <c r="AC1454" t="e">
        <f t="shared" si="225"/>
        <v>#VALUE!</v>
      </c>
    </row>
    <row r="1455" spans="1:29" x14ac:dyDescent="0.2">
      <c r="A1455" t="str">
        <f t="shared" si="226"/>
        <v/>
      </c>
      <c r="E1455" s="4"/>
      <c r="F1455" s="46"/>
      <c r="G1455" s="4"/>
      <c r="H1455" s="48"/>
      <c r="J1455" s="26" t="str">
        <f t="shared" si="227"/>
        <v/>
      </c>
      <c r="N1455" t="str">
        <f t="shared" si="228"/>
        <v/>
      </c>
      <c r="Q1455" t="str">
        <f t="shared" si="229"/>
        <v/>
      </c>
      <c r="S1455" t="str">
        <f>IF(A1455=1,MAX($S$2:$S1454)+1,IF(OR($I1455&lt;&gt;"",A1455="x"),$S1454,""))</f>
        <v/>
      </c>
      <c r="T1455" t="str">
        <f>IF(D1455=1,MAX($T$2:$T1454)+1,IF(S1455=S1454,$T1454,IF(D1455="x",T1454,IF(D1454="x","",""))))</f>
        <v/>
      </c>
      <c r="U1455" t="str">
        <f>IF(B1455=1,MAX($U$2:$U1454)+1,IF(AND($T1455&lt;&gt;"",$T1455=$T1454),$U1454,IF(B1455="x",U1454,"")))</f>
        <v/>
      </c>
      <c r="V1455" t="str">
        <f>IF(C1455=1,MAX($V$2:$V1454)+1,IF(AND($T1455&lt;&gt;"",$T1455=$T1454),$U1454,IF(C1455="x",V1454,"")))</f>
        <v/>
      </c>
      <c r="X1455" cm="1">
        <f t="array" ref="X1455">IF($I1455&lt;&gt;"",$I1455,INDEX($I$1:$I1455,ROW()-COUNTIFS($T$1:$T1455,"="&amp;$T1455,$S$1:$S1455,"&lt;"&amp;$S1455)))</f>
        <v>0</v>
      </c>
      <c r="Z1455" s="6">
        <f t="shared" si="222"/>
        <v>1</v>
      </c>
      <c r="AA1455" t="e">
        <f t="shared" si="223"/>
        <v>#VALUE!</v>
      </c>
      <c r="AB1455" t="str">
        <f t="shared" si="224"/>
        <v/>
      </c>
      <c r="AC1455" t="e">
        <f t="shared" si="225"/>
        <v>#VALUE!</v>
      </c>
    </row>
    <row r="1456" spans="1:29" x14ac:dyDescent="0.2">
      <c r="A1456" t="str">
        <f t="shared" si="226"/>
        <v/>
      </c>
      <c r="E1456" s="4"/>
      <c r="F1456" s="46"/>
      <c r="G1456" s="4"/>
      <c r="H1456" s="48"/>
      <c r="J1456" s="26" t="str">
        <f t="shared" si="227"/>
        <v/>
      </c>
      <c r="N1456" t="str">
        <f t="shared" si="228"/>
        <v/>
      </c>
      <c r="Q1456" t="str">
        <f t="shared" si="229"/>
        <v/>
      </c>
      <c r="S1456" t="str">
        <f>IF(A1456=1,MAX($S$2:$S1455)+1,IF(OR($I1456&lt;&gt;"",A1456="x"),$S1455,""))</f>
        <v/>
      </c>
      <c r="T1456" t="str">
        <f>IF(D1456=1,MAX($T$2:$T1455)+1,IF(S1456=S1455,$T1455,IF(D1456="x",T1455,IF(D1455="x","",""))))</f>
        <v/>
      </c>
      <c r="U1456" t="str">
        <f>IF(B1456=1,MAX($U$2:$U1455)+1,IF(AND($T1456&lt;&gt;"",$T1456=$T1455),$U1455,IF(B1456="x",U1455,"")))</f>
        <v/>
      </c>
      <c r="V1456" t="str">
        <f>IF(C1456=1,MAX($V$2:$V1455)+1,IF(AND($T1456&lt;&gt;"",$T1456=$T1455),$U1455,IF(C1456="x",V1455,"")))</f>
        <v/>
      </c>
      <c r="X1456" cm="1">
        <f t="array" ref="X1456">IF($I1456&lt;&gt;"",$I1456,INDEX($I$1:$I1456,ROW()-COUNTIFS($T$1:$T1456,"="&amp;$T1456,$S$1:$S1456,"&lt;"&amp;$S1456)))</f>
        <v>0</v>
      </c>
      <c r="Z1456" s="6">
        <f t="shared" si="222"/>
        <v>1</v>
      </c>
      <c r="AA1456" t="e">
        <f t="shared" si="223"/>
        <v>#VALUE!</v>
      </c>
      <c r="AB1456" t="str">
        <f t="shared" si="224"/>
        <v/>
      </c>
      <c r="AC1456" t="e">
        <f t="shared" si="225"/>
        <v>#VALUE!</v>
      </c>
    </row>
    <row r="1457" spans="1:29" x14ac:dyDescent="0.2">
      <c r="A1457" t="str">
        <f t="shared" si="226"/>
        <v/>
      </c>
      <c r="E1457" s="4"/>
      <c r="F1457" s="46"/>
      <c r="G1457" s="4"/>
      <c r="H1457" s="48"/>
      <c r="J1457" s="26" t="str">
        <f t="shared" si="227"/>
        <v/>
      </c>
      <c r="N1457" t="str">
        <f t="shared" si="228"/>
        <v/>
      </c>
      <c r="Q1457" t="str">
        <f t="shared" si="229"/>
        <v/>
      </c>
      <c r="S1457" t="str">
        <f>IF(A1457=1,MAX($S$2:$S1456)+1,IF(OR($I1457&lt;&gt;"",A1457="x"),$S1456,""))</f>
        <v/>
      </c>
      <c r="T1457" t="str">
        <f>IF(D1457=1,MAX($T$2:$T1456)+1,IF(S1457=S1456,$T1456,IF(D1457="x",T1456,IF(D1456="x","",""))))</f>
        <v/>
      </c>
      <c r="U1457" t="str">
        <f>IF(B1457=1,MAX($U$2:$U1456)+1,IF(AND($T1457&lt;&gt;"",$T1457=$T1456),$U1456,IF(B1457="x",U1456,"")))</f>
        <v/>
      </c>
      <c r="V1457" t="str">
        <f>IF(C1457=1,MAX($V$2:$V1456)+1,IF(AND($T1457&lt;&gt;"",$T1457=$T1456),$U1456,IF(C1457="x",V1456,"")))</f>
        <v/>
      </c>
      <c r="X1457" cm="1">
        <f t="array" ref="X1457">IF($I1457&lt;&gt;"",$I1457,INDEX($I$1:$I1457,ROW()-COUNTIFS($T$1:$T1457,"="&amp;$T1457,$S$1:$S1457,"&lt;"&amp;$S1457)))</f>
        <v>0</v>
      </c>
      <c r="Z1457" s="6">
        <f t="shared" si="222"/>
        <v>1</v>
      </c>
      <c r="AA1457" t="e">
        <f t="shared" si="223"/>
        <v>#VALUE!</v>
      </c>
      <c r="AB1457" t="str">
        <f t="shared" si="224"/>
        <v/>
      </c>
      <c r="AC1457" t="e">
        <f t="shared" si="225"/>
        <v>#VALUE!</v>
      </c>
    </row>
    <row r="1458" spans="1:29" x14ac:dyDescent="0.2">
      <c r="A1458" t="str">
        <f t="shared" si="226"/>
        <v/>
      </c>
      <c r="E1458" s="4"/>
      <c r="F1458" s="46"/>
      <c r="G1458" s="4"/>
      <c r="H1458" s="48"/>
      <c r="J1458" s="26" t="str">
        <f t="shared" si="227"/>
        <v/>
      </c>
      <c r="N1458" t="str">
        <f t="shared" si="228"/>
        <v/>
      </c>
      <c r="Q1458" t="str">
        <f t="shared" si="229"/>
        <v/>
      </c>
      <c r="S1458" t="str">
        <f>IF(A1458=1,MAX($S$2:$S1457)+1,IF(OR($I1458&lt;&gt;"",A1458="x"),$S1457,""))</f>
        <v/>
      </c>
      <c r="T1458" t="str">
        <f>IF(D1458=1,MAX($T$2:$T1457)+1,IF(S1458=S1457,$T1457,IF(D1458="x",T1457,IF(D1457="x","",""))))</f>
        <v/>
      </c>
      <c r="U1458" t="str">
        <f>IF(B1458=1,MAX($U$2:$U1457)+1,IF(AND($T1458&lt;&gt;"",$T1458=$T1457),$U1457,IF(B1458="x",U1457,"")))</f>
        <v/>
      </c>
      <c r="V1458" t="str">
        <f>IF(C1458=1,MAX($V$2:$V1457)+1,IF(AND($T1458&lt;&gt;"",$T1458=$T1457),$U1457,IF(C1458="x",V1457,"")))</f>
        <v/>
      </c>
      <c r="X1458" cm="1">
        <f t="array" ref="X1458">IF($I1458&lt;&gt;"",$I1458,INDEX($I$1:$I1458,ROW()-COUNTIFS($T$1:$T1458,"="&amp;$T1458,$S$1:$S1458,"&lt;"&amp;$S1458)))</f>
        <v>0</v>
      </c>
      <c r="Z1458" s="6">
        <f t="shared" si="222"/>
        <v>1</v>
      </c>
      <c r="AA1458" t="e">
        <f t="shared" si="223"/>
        <v>#VALUE!</v>
      </c>
      <c r="AB1458" t="str">
        <f t="shared" si="224"/>
        <v/>
      </c>
      <c r="AC1458" t="e">
        <f t="shared" si="225"/>
        <v>#VALUE!</v>
      </c>
    </row>
    <row r="1459" spans="1:29" x14ac:dyDescent="0.2">
      <c r="A1459" t="str">
        <f t="shared" si="226"/>
        <v/>
      </c>
      <c r="E1459" s="4"/>
      <c r="F1459" s="46"/>
      <c r="G1459" s="4"/>
      <c r="H1459" s="48"/>
      <c r="J1459" s="26" t="str">
        <f t="shared" si="227"/>
        <v/>
      </c>
      <c r="N1459" t="str">
        <f t="shared" si="228"/>
        <v/>
      </c>
      <c r="Q1459" t="str">
        <f t="shared" si="229"/>
        <v/>
      </c>
      <c r="S1459" t="str">
        <f>IF(A1459=1,MAX($S$2:$S1458)+1,IF(OR($I1459&lt;&gt;"",A1459="x"),$S1458,""))</f>
        <v/>
      </c>
      <c r="T1459" t="str">
        <f>IF(D1459=1,MAX($T$2:$T1458)+1,IF(S1459=S1458,$T1458,IF(D1459="x",T1458,IF(D1458="x","",""))))</f>
        <v/>
      </c>
      <c r="U1459" t="str">
        <f>IF(B1459=1,MAX($U$2:$U1458)+1,IF(AND($T1459&lt;&gt;"",$T1459=$T1458),$U1458,IF(B1459="x",U1458,"")))</f>
        <v/>
      </c>
      <c r="V1459" t="str">
        <f>IF(C1459=1,MAX($V$2:$V1458)+1,IF(AND($T1459&lt;&gt;"",$T1459=$T1458),$U1458,IF(C1459="x",V1458,"")))</f>
        <v/>
      </c>
      <c r="X1459" cm="1">
        <f t="array" ref="X1459">IF($I1459&lt;&gt;"",$I1459,INDEX($I$1:$I1459,ROW()-COUNTIFS($T$1:$T1459,"="&amp;$T1459,$S$1:$S1459,"&lt;"&amp;$S1459)))</f>
        <v>0</v>
      </c>
      <c r="Z1459" s="6">
        <f t="shared" si="222"/>
        <v>1</v>
      </c>
      <c r="AA1459" t="e">
        <f t="shared" si="223"/>
        <v>#VALUE!</v>
      </c>
      <c r="AB1459" t="str">
        <f t="shared" si="224"/>
        <v/>
      </c>
      <c r="AC1459" t="e">
        <f t="shared" si="225"/>
        <v>#VALUE!</v>
      </c>
    </row>
    <row r="1460" spans="1:29" x14ac:dyDescent="0.2">
      <c r="A1460" t="str">
        <f t="shared" si="226"/>
        <v/>
      </c>
      <c r="E1460" s="4"/>
      <c r="F1460" s="46"/>
      <c r="G1460" s="4"/>
      <c r="H1460" s="48"/>
      <c r="J1460" s="26" t="str">
        <f t="shared" si="227"/>
        <v/>
      </c>
      <c r="N1460" t="str">
        <f t="shared" si="228"/>
        <v/>
      </c>
      <c r="Q1460" t="str">
        <f t="shared" si="229"/>
        <v/>
      </c>
      <c r="S1460" t="str">
        <f>IF(A1460=1,MAX($S$2:$S1459)+1,IF(OR($I1460&lt;&gt;"",A1460="x"),$S1459,""))</f>
        <v/>
      </c>
      <c r="T1460" t="str">
        <f>IF(D1460=1,MAX($T$2:$T1459)+1,IF(S1460=S1459,$T1459,IF(D1460="x",T1459,IF(D1459="x","",""))))</f>
        <v/>
      </c>
      <c r="U1460" t="str">
        <f>IF(B1460=1,MAX($U$2:$U1459)+1,IF(AND($T1460&lt;&gt;"",$T1460=$T1459),$U1459,IF(B1460="x",U1459,"")))</f>
        <v/>
      </c>
      <c r="V1460" t="str">
        <f>IF(C1460=1,MAX($V$2:$V1459)+1,IF(AND($T1460&lt;&gt;"",$T1460=$T1459),$U1459,IF(C1460="x",V1459,"")))</f>
        <v/>
      </c>
      <c r="X1460" cm="1">
        <f t="array" ref="X1460">IF($I1460&lt;&gt;"",$I1460,INDEX($I$1:$I1460,ROW()-COUNTIFS($T$1:$T1460,"="&amp;$T1460,$S$1:$S1460,"&lt;"&amp;$S1460)))</f>
        <v>0</v>
      </c>
      <c r="Z1460" s="6">
        <f t="shared" si="222"/>
        <v>1</v>
      </c>
      <c r="AA1460" t="e">
        <f t="shared" si="223"/>
        <v>#VALUE!</v>
      </c>
      <c r="AB1460" t="str">
        <f t="shared" si="224"/>
        <v/>
      </c>
      <c r="AC1460" t="e">
        <f t="shared" si="225"/>
        <v>#VALUE!</v>
      </c>
    </row>
    <row r="1461" spans="1:29" x14ac:dyDescent="0.2">
      <c r="A1461" t="str">
        <f t="shared" si="226"/>
        <v/>
      </c>
      <c r="E1461" s="4"/>
      <c r="F1461" s="46"/>
      <c r="G1461" s="4"/>
      <c r="H1461" s="48"/>
      <c r="J1461" s="26" t="str">
        <f t="shared" si="227"/>
        <v/>
      </c>
      <c r="N1461" t="str">
        <f t="shared" si="228"/>
        <v/>
      </c>
      <c r="Q1461" t="str">
        <f t="shared" si="229"/>
        <v/>
      </c>
      <c r="S1461" t="str">
        <f>IF(A1461=1,MAX($S$2:$S1460)+1,IF(OR($I1461&lt;&gt;"",A1461="x"),$S1460,""))</f>
        <v/>
      </c>
      <c r="T1461" t="str">
        <f>IF(D1461=1,MAX($T$2:$T1460)+1,IF(S1461=S1460,$T1460,IF(D1461="x",T1460,IF(D1460="x","",""))))</f>
        <v/>
      </c>
      <c r="U1461" t="str">
        <f>IF(B1461=1,MAX($U$2:$U1460)+1,IF(AND($T1461&lt;&gt;"",$T1461=$T1460),$U1460,IF(B1461="x",U1460,"")))</f>
        <v/>
      </c>
      <c r="V1461" t="str">
        <f>IF(C1461=1,MAX($V$2:$V1460)+1,IF(AND($T1461&lt;&gt;"",$T1461=$T1460),$U1460,IF(C1461="x",V1460,"")))</f>
        <v/>
      </c>
      <c r="X1461" cm="1">
        <f t="array" ref="X1461">IF($I1461&lt;&gt;"",$I1461,INDEX($I$1:$I1461,ROW()-COUNTIFS($T$1:$T1461,"="&amp;$T1461,$S$1:$S1461,"&lt;"&amp;$S1461)))</f>
        <v>0</v>
      </c>
      <c r="Z1461" s="6">
        <f t="shared" si="222"/>
        <v>1</v>
      </c>
      <c r="AA1461" t="e">
        <f t="shared" si="223"/>
        <v>#VALUE!</v>
      </c>
      <c r="AB1461" t="str">
        <f t="shared" si="224"/>
        <v/>
      </c>
      <c r="AC1461" t="e">
        <f t="shared" si="225"/>
        <v>#VALUE!</v>
      </c>
    </row>
    <row r="1462" spans="1:29" x14ac:dyDescent="0.2">
      <c r="A1462" t="str">
        <f t="shared" si="226"/>
        <v/>
      </c>
      <c r="E1462" s="4"/>
      <c r="F1462" s="46"/>
      <c r="G1462" s="4"/>
      <c r="H1462" s="48"/>
      <c r="J1462" s="26" t="str">
        <f t="shared" si="227"/>
        <v/>
      </c>
      <c r="N1462" t="str">
        <f t="shared" si="228"/>
        <v/>
      </c>
      <c r="Q1462" t="str">
        <f t="shared" si="229"/>
        <v/>
      </c>
      <c r="S1462" t="str">
        <f>IF(A1462=1,MAX($S$2:$S1461)+1,IF(OR($I1462&lt;&gt;"",A1462="x"),$S1461,""))</f>
        <v/>
      </c>
      <c r="T1462" t="str">
        <f>IF(D1462=1,MAX($T$2:$T1461)+1,IF(S1462=S1461,$T1461,IF(D1462="x",T1461,IF(D1461="x","",""))))</f>
        <v/>
      </c>
      <c r="U1462" t="str">
        <f>IF(B1462=1,MAX($U$2:$U1461)+1,IF(AND($T1462&lt;&gt;"",$T1462=$T1461),$U1461,IF(B1462="x",U1461,"")))</f>
        <v/>
      </c>
      <c r="V1462" t="str">
        <f>IF(C1462=1,MAX($V$2:$V1461)+1,IF(AND($T1462&lt;&gt;"",$T1462=$T1461),$U1461,IF(C1462="x",V1461,"")))</f>
        <v/>
      </c>
      <c r="X1462" cm="1">
        <f t="array" ref="X1462">IF($I1462&lt;&gt;"",$I1462,INDEX($I$1:$I1462,ROW()-COUNTIFS($T$1:$T1462,"="&amp;$T1462,$S$1:$S1462,"&lt;"&amp;$S1462)))</f>
        <v>0</v>
      </c>
      <c r="Z1462" s="6">
        <f t="shared" si="222"/>
        <v>1</v>
      </c>
      <c r="AA1462" t="e">
        <f t="shared" si="223"/>
        <v>#VALUE!</v>
      </c>
      <c r="AB1462" t="str">
        <f t="shared" si="224"/>
        <v/>
      </c>
      <c r="AC1462" t="e">
        <f t="shared" si="225"/>
        <v>#VALUE!</v>
      </c>
    </row>
    <row r="1463" spans="1:29" x14ac:dyDescent="0.2">
      <c r="A1463" t="str">
        <f t="shared" si="226"/>
        <v/>
      </c>
      <c r="E1463" s="4"/>
      <c r="F1463" s="46"/>
      <c r="G1463" s="4"/>
      <c r="H1463" s="48"/>
      <c r="J1463" s="26" t="str">
        <f t="shared" si="227"/>
        <v/>
      </c>
      <c r="N1463" t="str">
        <f t="shared" si="228"/>
        <v/>
      </c>
      <c r="Q1463" t="str">
        <f t="shared" si="229"/>
        <v/>
      </c>
      <c r="S1463" t="str">
        <f>IF(A1463=1,MAX($S$2:$S1462)+1,IF(OR($I1463&lt;&gt;"",A1463="x"),$S1462,""))</f>
        <v/>
      </c>
      <c r="T1463" t="str">
        <f>IF(D1463=1,MAX($T$2:$T1462)+1,IF(S1463=S1462,$T1462,IF(D1463="x",T1462,IF(D1462="x","",""))))</f>
        <v/>
      </c>
      <c r="U1463" t="str">
        <f>IF(B1463=1,MAX($U$2:$U1462)+1,IF(AND($T1463&lt;&gt;"",$T1463=$T1462),$U1462,IF(B1463="x",U1462,"")))</f>
        <v/>
      </c>
      <c r="V1463" t="str">
        <f>IF(C1463=1,MAX($V$2:$V1462)+1,IF(AND($T1463&lt;&gt;"",$T1463=$T1462),$U1462,IF(C1463="x",V1462,"")))</f>
        <v/>
      </c>
      <c r="X1463" cm="1">
        <f t="array" ref="X1463">IF($I1463&lt;&gt;"",$I1463,INDEX($I$1:$I1463,ROW()-COUNTIFS($T$1:$T1463,"="&amp;$T1463,$S$1:$S1463,"&lt;"&amp;$S1463)))</f>
        <v>0</v>
      </c>
      <c r="Z1463" s="6">
        <f t="shared" si="222"/>
        <v>1</v>
      </c>
      <c r="AA1463" t="e">
        <f t="shared" si="223"/>
        <v>#VALUE!</v>
      </c>
      <c r="AB1463" t="str">
        <f t="shared" si="224"/>
        <v/>
      </c>
      <c r="AC1463" t="e">
        <f t="shared" si="225"/>
        <v>#VALUE!</v>
      </c>
    </row>
    <row r="1464" spans="1:29" x14ac:dyDescent="0.2">
      <c r="A1464" t="str">
        <f t="shared" si="226"/>
        <v/>
      </c>
      <c r="E1464" s="4"/>
      <c r="F1464" s="46"/>
      <c r="G1464" s="4"/>
      <c r="H1464" s="48"/>
      <c r="J1464" s="26" t="str">
        <f t="shared" si="227"/>
        <v/>
      </c>
      <c r="N1464" t="str">
        <f t="shared" si="228"/>
        <v/>
      </c>
      <c r="Q1464" t="str">
        <f t="shared" si="229"/>
        <v/>
      </c>
      <c r="S1464" t="str">
        <f>IF(A1464=1,MAX($S$2:$S1463)+1,IF(OR($I1464&lt;&gt;"",A1464="x"),$S1463,""))</f>
        <v/>
      </c>
      <c r="T1464" t="str">
        <f>IF(D1464=1,MAX($T$2:$T1463)+1,IF(S1464=S1463,$T1463,IF(D1464="x",T1463,IF(D1463="x","",""))))</f>
        <v/>
      </c>
      <c r="U1464" t="str">
        <f>IF(B1464=1,MAX($U$2:$U1463)+1,IF(AND($T1464&lt;&gt;"",$T1464=$T1463),$U1463,IF(B1464="x",U1463,"")))</f>
        <v/>
      </c>
      <c r="V1464" t="str">
        <f>IF(C1464=1,MAX($V$2:$V1463)+1,IF(AND($T1464&lt;&gt;"",$T1464=$T1463),$U1463,IF(C1464="x",V1463,"")))</f>
        <v/>
      </c>
      <c r="X1464" cm="1">
        <f t="array" ref="X1464">IF($I1464&lt;&gt;"",$I1464,INDEX($I$1:$I1464,ROW()-COUNTIFS($T$1:$T1464,"="&amp;$T1464,$S$1:$S1464,"&lt;"&amp;$S1464)))</f>
        <v>0</v>
      </c>
      <c r="Z1464" s="6">
        <f t="shared" si="222"/>
        <v>1</v>
      </c>
      <c r="AA1464" t="e">
        <f t="shared" si="223"/>
        <v>#VALUE!</v>
      </c>
      <c r="AB1464" t="str">
        <f t="shared" si="224"/>
        <v/>
      </c>
      <c r="AC1464" t="e">
        <f t="shared" si="225"/>
        <v>#VALUE!</v>
      </c>
    </row>
    <row r="1465" spans="1:29" x14ac:dyDescent="0.2">
      <c r="A1465" t="str">
        <f t="shared" si="226"/>
        <v/>
      </c>
      <c r="E1465" s="4"/>
      <c r="F1465" s="46"/>
      <c r="G1465" s="4"/>
      <c r="H1465" s="48"/>
      <c r="J1465" s="26" t="str">
        <f t="shared" si="227"/>
        <v/>
      </c>
      <c r="N1465" t="str">
        <f t="shared" si="228"/>
        <v/>
      </c>
      <c r="Q1465" t="str">
        <f t="shared" si="229"/>
        <v/>
      </c>
      <c r="S1465" t="str">
        <f>IF(A1465=1,MAX($S$2:$S1464)+1,IF(OR($I1465&lt;&gt;"",A1465="x"),$S1464,""))</f>
        <v/>
      </c>
      <c r="T1465" t="str">
        <f>IF(D1465=1,MAX($T$2:$T1464)+1,IF(S1465=S1464,$T1464,IF(D1465="x",T1464,IF(D1464="x","",""))))</f>
        <v/>
      </c>
      <c r="U1465" t="str">
        <f>IF(B1465=1,MAX($U$2:$U1464)+1,IF(AND($T1465&lt;&gt;"",$T1465=$T1464),$U1464,IF(B1465="x",U1464,"")))</f>
        <v/>
      </c>
      <c r="V1465" t="str">
        <f>IF(C1465=1,MAX($V$2:$V1464)+1,IF(AND($T1465&lt;&gt;"",$T1465=$T1464),$U1464,IF(C1465="x",V1464,"")))</f>
        <v/>
      </c>
      <c r="X1465" cm="1">
        <f t="array" ref="X1465">IF($I1465&lt;&gt;"",$I1465,INDEX($I$1:$I1465,ROW()-COUNTIFS($T$1:$T1465,"="&amp;$T1465,$S$1:$S1465,"&lt;"&amp;$S1465)))</f>
        <v>0</v>
      </c>
      <c r="Z1465" s="6">
        <f t="shared" si="222"/>
        <v>1</v>
      </c>
      <c r="AA1465" t="e">
        <f t="shared" si="223"/>
        <v>#VALUE!</v>
      </c>
      <c r="AB1465" t="str">
        <f t="shared" si="224"/>
        <v/>
      </c>
      <c r="AC1465" t="e">
        <f t="shared" si="225"/>
        <v>#VALUE!</v>
      </c>
    </row>
    <row r="1466" spans="1:29" x14ac:dyDescent="0.2">
      <c r="A1466" t="str">
        <f t="shared" si="226"/>
        <v/>
      </c>
      <c r="E1466" s="4"/>
      <c r="F1466" s="46"/>
      <c r="G1466" s="4"/>
      <c r="H1466" s="48"/>
      <c r="J1466" s="26" t="str">
        <f t="shared" si="227"/>
        <v/>
      </c>
      <c r="N1466" t="str">
        <f t="shared" si="228"/>
        <v/>
      </c>
      <c r="Q1466" t="str">
        <f t="shared" si="229"/>
        <v/>
      </c>
      <c r="S1466" t="str">
        <f>IF(A1466=1,MAX($S$2:$S1465)+1,IF(OR($I1466&lt;&gt;"",A1466="x"),$S1465,""))</f>
        <v/>
      </c>
      <c r="T1466" t="str">
        <f>IF(D1466=1,MAX($T$2:$T1465)+1,IF(S1466=S1465,$T1465,IF(D1466="x",T1465,IF(D1465="x","",""))))</f>
        <v/>
      </c>
      <c r="U1466" t="str">
        <f>IF(B1466=1,MAX($U$2:$U1465)+1,IF(AND($T1466&lt;&gt;"",$T1466=$T1465),$U1465,IF(B1466="x",U1465,"")))</f>
        <v/>
      </c>
      <c r="V1466" t="str">
        <f>IF(C1466=1,MAX($V$2:$V1465)+1,IF(AND($T1466&lt;&gt;"",$T1466=$T1465),$U1465,IF(C1466="x",V1465,"")))</f>
        <v/>
      </c>
      <c r="X1466" cm="1">
        <f t="array" ref="X1466">IF($I1466&lt;&gt;"",$I1466,INDEX($I$1:$I1466,ROW()-COUNTIFS($T$1:$T1466,"="&amp;$T1466,$S$1:$S1466,"&lt;"&amp;$S1466)))</f>
        <v>0</v>
      </c>
      <c r="Z1466" s="6">
        <f t="shared" si="222"/>
        <v>1</v>
      </c>
      <c r="AA1466" t="e">
        <f t="shared" si="223"/>
        <v>#VALUE!</v>
      </c>
      <c r="AB1466" t="str">
        <f t="shared" si="224"/>
        <v/>
      </c>
      <c r="AC1466" t="e">
        <f t="shared" si="225"/>
        <v>#VALUE!</v>
      </c>
    </row>
    <row r="1467" spans="1:29" x14ac:dyDescent="0.2">
      <c r="A1467" t="str">
        <f t="shared" si="226"/>
        <v/>
      </c>
      <c r="E1467" s="4"/>
      <c r="F1467" s="46"/>
      <c r="G1467" s="4"/>
      <c r="H1467" s="48"/>
      <c r="J1467" s="26" t="str">
        <f t="shared" si="227"/>
        <v/>
      </c>
      <c r="N1467" t="str">
        <f t="shared" si="228"/>
        <v/>
      </c>
      <c r="Q1467" t="str">
        <f t="shared" si="229"/>
        <v/>
      </c>
      <c r="S1467" t="str">
        <f>IF(A1467=1,MAX($S$2:$S1466)+1,IF(OR($I1467&lt;&gt;"",A1467="x"),$S1466,""))</f>
        <v/>
      </c>
      <c r="T1467" t="str">
        <f>IF(D1467=1,MAX($T$2:$T1466)+1,IF(S1467=S1466,$T1466,IF(D1467="x",T1466,IF(D1466="x","",""))))</f>
        <v/>
      </c>
      <c r="U1467" t="str">
        <f>IF(B1467=1,MAX($U$2:$U1466)+1,IF(AND($T1467&lt;&gt;"",$T1467=$T1466),$U1466,IF(B1467="x",U1466,"")))</f>
        <v/>
      </c>
      <c r="V1467" t="str">
        <f>IF(C1467=1,MAX($V$2:$V1466)+1,IF(AND($T1467&lt;&gt;"",$T1467=$T1466),$U1466,IF(C1467="x",V1466,"")))</f>
        <v/>
      </c>
      <c r="X1467" cm="1">
        <f t="array" ref="X1467">IF($I1467&lt;&gt;"",$I1467,INDEX($I$1:$I1467,ROW()-COUNTIFS($T$1:$T1467,"="&amp;$T1467,$S$1:$S1467,"&lt;"&amp;$S1467)))</f>
        <v>0</v>
      </c>
      <c r="Z1467" s="6">
        <f t="shared" si="222"/>
        <v>1</v>
      </c>
      <c r="AA1467" t="e">
        <f t="shared" si="223"/>
        <v>#VALUE!</v>
      </c>
      <c r="AB1467" t="str">
        <f t="shared" si="224"/>
        <v/>
      </c>
      <c r="AC1467" t="e">
        <f t="shared" si="225"/>
        <v>#VALUE!</v>
      </c>
    </row>
    <row r="1468" spans="1:29" x14ac:dyDescent="0.2">
      <c r="A1468" t="str">
        <f t="shared" si="226"/>
        <v/>
      </c>
      <c r="E1468" s="4"/>
      <c r="F1468" s="46"/>
      <c r="G1468" s="4"/>
      <c r="H1468" s="48"/>
      <c r="J1468" s="26" t="str">
        <f t="shared" si="227"/>
        <v/>
      </c>
      <c r="N1468" t="str">
        <f t="shared" si="228"/>
        <v/>
      </c>
      <c r="Q1468" t="str">
        <f t="shared" si="229"/>
        <v/>
      </c>
      <c r="S1468" t="str">
        <f>IF(A1468=1,MAX($S$2:$S1467)+1,IF(OR($I1468&lt;&gt;"",A1468="x"),$S1467,""))</f>
        <v/>
      </c>
      <c r="T1468" t="str">
        <f>IF(D1468=1,MAX($T$2:$T1467)+1,IF(S1468=S1467,$T1467,IF(D1468="x",T1467,IF(D1467="x","",""))))</f>
        <v/>
      </c>
      <c r="U1468" t="str">
        <f>IF(B1468=1,MAX($U$2:$U1467)+1,IF(AND($T1468&lt;&gt;"",$T1468=$T1467),$U1467,IF(B1468="x",U1467,"")))</f>
        <v/>
      </c>
      <c r="V1468" t="str">
        <f>IF(C1468=1,MAX($V$2:$V1467)+1,IF(AND($T1468&lt;&gt;"",$T1468=$T1467),$U1467,IF(C1468="x",V1467,"")))</f>
        <v/>
      </c>
      <c r="X1468" cm="1">
        <f t="array" ref="X1468">IF($I1468&lt;&gt;"",$I1468,INDEX($I$1:$I1468,ROW()-COUNTIFS($T$1:$T1468,"="&amp;$T1468,$S$1:$S1468,"&lt;"&amp;$S1468)))</f>
        <v>0</v>
      </c>
      <c r="Z1468" s="6">
        <f t="shared" si="222"/>
        <v>1</v>
      </c>
      <c r="AA1468" t="e">
        <f t="shared" si="223"/>
        <v>#VALUE!</v>
      </c>
      <c r="AB1468" t="str">
        <f t="shared" si="224"/>
        <v/>
      </c>
      <c r="AC1468" t="e">
        <f t="shared" si="225"/>
        <v>#VALUE!</v>
      </c>
    </row>
    <row r="1469" spans="1:29" x14ac:dyDescent="0.2">
      <c r="A1469" t="str">
        <f t="shared" si="226"/>
        <v/>
      </c>
      <c r="E1469" s="4"/>
      <c r="F1469" s="46"/>
      <c r="G1469" s="4"/>
      <c r="H1469" s="48"/>
      <c r="J1469" s="26" t="str">
        <f t="shared" si="227"/>
        <v/>
      </c>
      <c r="N1469" t="str">
        <f t="shared" si="228"/>
        <v/>
      </c>
      <c r="Q1469" t="str">
        <f t="shared" si="229"/>
        <v/>
      </c>
      <c r="S1469" t="str">
        <f>IF(A1469=1,MAX($S$2:$S1468)+1,IF(OR($I1469&lt;&gt;"",A1469="x"),$S1468,""))</f>
        <v/>
      </c>
      <c r="T1469" t="str">
        <f>IF(D1469=1,MAX($T$2:$T1468)+1,IF(S1469=S1468,$T1468,IF(D1469="x",T1468,IF(D1468="x","",""))))</f>
        <v/>
      </c>
      <c r="U1469" t="str">
        <f>IF(B1469=1,MAX($U$2:$U1468)+1,IF(AND($T1469&lt;&gt;"",$T1469=$T1468),$U1468,IF(B1469="x",U1468,"")))</f>
        <v/>
      </c>
      <c r="V1469" t="str">
        <f>IF(C1469=1,MAX($V$2:$V1468)+1,IF(AND($T1469&lt;&gt;"",$T1469=$T1468),$U1468,IF(C1469="x",V1468,"")))</f>
        <v/>
      </c>
      <c r="X1469" cm="1">
        <f t="array" ref="X1469">IF($I1469&lt;&gt;"",$I1469,INDEX($I$1:$I1469,ROW()-COUNTIFS($T$1:$T1469,"="&amp;$T1469,$S$1:$S1469,"&lt;"&amp;$S1469)))</f>
        <v>0</v>
      </c>
      <c r="Z1469" s="6">
        <f t="shared" si="222"/>
        <v>1</v>
      </c>
      <c r="AA1469" t="e">
        <f t="shared" si="223"/>
        <v>#VALUE!</v>
      </c>
      <c r="AB1469" t="str">
        <f t="shared" si="224"/>
        <v/>
      </c>
      <c r="AC1469" t="e">
        <f t="shared" si="225"/>
        <v>#VALUE!</v>
      </c>
    </row>
    <row r="1470" spans="1:29" x14ac:dyDescent="0.2">
      <c r="A1470" t="str">
        <f t="shared" si="226"/>
        <v/>
      </c>
      <c r="E1470" s="4"/>
      <c r="F1470" s="46"/>
      <c r="G1470" s="4"/>
      <c r="H1470" s="48"/>
      <c r="J1470" s="26" t="str">
        <f t="shared" si="227"/>
        <v/>
      </c>
      <c r="N1470" t="str">
        <f t="shared" si="228"/>
        <v/>
      </c>
      <c r="Q1470" t="str">
        <f t="shared" si="229"/>
        <v/>
      </c>
      <c r="S1470" t="str">
        <f>IF(A1470=1,MAX($S$2:$S1469)+1,IF(OR($I1470&lt;&gt;"",A1470="x"),$S1469,""))</f>
        <v/>
      </c>
      <c r="T1470" t="str">
        <f>IF(D1470=1,MAX($T$2:$T1469)+1,IF(S1470=S1469,$T1469,IF(D1470="x",T1469,IF(D1469="x","",""))))</f>
        <v/>
      </c>
      <c r="U1470" t="str">
        <f>IF(B1470=1,MAX($U$2:$U1469)+1,IF(AND($T1470&lt;&gt;"",$T1470=$T1469),$U1469,IF(B1470="x",U1469,"")))</f>
        <v/>
      </c>
      <c r="V1470" t="str">
        <f>IF(C1470=1,MAX($V$2:$V1469)+1,IF(AND($T1470&lt;&gt;"",$T1470=$T1469),$U1469,IF(C1470="x",V1469,"")))</f>
        <v/>
      </c>
      <c r="X1470" cm="1">
        <f t="array" ref="X1470">IF($I1470&lt;&gt;"",$I1470,INDEX($I$1:$I1470,ROW()-COUNTIFS($T$1:$T1470,"="&amp;$T1470,$S$1:$S1470,"&lt;"&amp;$S1470)))</f>
        <v>0</v>
      </c>
      <c r="Z1470" s="6">
        <f t="shared" si="222"/>
        <v>1</v>
      </c>
      <c r="AA1470" t="e">
        <f t="shared" si="223"/>
        <v>#VALUE!</v>
      </c>
      <c r="AB1470" t="str">
        <f t="shared" si="224"/>
        <v/>
      </c>
      <c r="AC1470" t="e">
        <f t="shared" si="225"/>
        <v>#VALUE!</v>
      </c>
    </row>
    <row r="1471" spans="1:29" x14ac:dyDescent="0.2">
      <c r="A1471" t="str">
        <f t="shared" si="226"/>
        <v/>
      </c>
      <c r="E1471" s="4"/>
      <c r="F1471" s="46"/>
      <c r="G1471" s="4"/>
      <c r="H1471" s="48"/>
      <c r="J1471" s="26" t="str">
        <f t="shared" si="227"/>
        <v/>
      </c>
      <c r="N1471" t="str">
        <f t="shared" si="228"/>
        <v/>
      </c>
      <c r="Q1471" t="str">
        <f t="shared" si="229"/>
        <v/>
      </c>
      <c r="S1471" t="str">
        <f>IF(A1471=1,MAX($S$2:$S1470)+1,IF(OR($I1471&lt;&gt;"",A1471="x"),$S1470,""))</f>
        <v/>
      </c>
      <c r="T1471" t="str">
        <f>IF(D1471=1,MAX($T$2:$T1470)+1,IF(S1471=S1470,$T1470,IF(D1471="x",T1470,IF(D1470="x","",""))))</f>
        <v/>
      </c>
      <c r="U1471" t="str">
        <f>IF(B1471=1,MAX($U$2:$U1470)+1,IF(AND($T1471&lt;&gt;"",$T1471=$T1470),$U1470,IF(B1471="x",U1470,"")))</f>
        <v/>
      </c>
      <c r="V1471" t="str">
        <f>IF(C1471=1,MAX($V$2:$V1470)+1,IF(AND($T1471&lt;&gt;"",$T1471=$T1470),$U1470,IF(C1471="x",V1470,"")))</f>
        <v/>
      </c>
      <c r="X1471" cm="1">
        <f t="array" ref="X1471">IF($I1471&lt;&gt;"",$I1471,INDEX($I$1:$I1471,ROW()-COUNTIFS($T$1:$T1471,"="&amp;$T1471,$S$1:$S1471,"&lt;"&amp;$S1471)))</f>
        <v>0</v>
      </c>
      <c r="Z1471" s="6">
        <f t="shared" si="222"/>
        <v>1</v>
      </c>
      <c r="AA1471" t="e">
        <f t="shared" si="223"/>
        <v>#VALUE!</v>
      </c>
      <c r="AB1471" t="str">
        <f t="shared" si="224"/>
        <v/>
      </c>
      <c r="AC1471" t="e">
        <f t="shared" si="225"/>
        <v>#VALUE!</v>
      </c>
    </row>
    <row r="1472" spans="1:29" x14ac:dyDescent="0.2">
      <c r="A1472" t="str">
        <f t="shared" si="226"/>
        <v/>
      </c>
      <c r="E1472" s="4"/>
      <c r="F1472" s="46"/>
      <c r="G1472" s="4"/>
      <c r="H1472" s="48"/>
      <c r="J1472" s="26" t="str">
        <f t="shared" si="227"/>
        <v/>
      </c>
      <c r="N1472" t="str">
        <f t="shared" si="228"/>
        <v/>
      </c>
      <c r="Q1472" t="str">
        <f t="shared" si="229"/>
        <v/>
      </c>
      <c r="S1472" t="str">
        <f>IF(A1472=1,MAX($S$2:$S1471)+1,IF(OR($I1472&lt;&gt;"",A1472="x"),$S1471,""))</f>
        <v/>
      </c>
      <c r="T1472" t="str">
        <f>IF(D1472=1,MAX($T$2:$T1471)+1,IF(S1472=S1471,$T1471,IF(D1472="x",T1471,IF(D1471="x","",""))))</f>
        <v/>
      </c>
      <c r="U1472" t="str">
        <f>IF(B1472=1,MAX($U$2:$U1471)+1,IF(AND($T1472&lt;&gt;"",$T1472=$T1471),$U1471,IF(B1472="x",U1471,"")))</f>
        <v/>
      </c>
      <c r="V1472" t="str">
        <f>IF(C1472=1,MAX($V$2:$V1471)+1,IF(AND($T1472&lt;&gt;"",$T1472=$T1471),$U1471,IF(C1472="x",V1471,"")))</f>
        <v/>
      </c>
      <c r="X1472" cm="1">
        <f t="array" ref="X1472">IF($I1472&lt;&gt;"",$I1472,INDEX($I$1:$I1472,ROW()-COUNTIFS($T$1:$T1472,"="&amp;$T1472,$S$1:$S1472,"&lt;"&amp;$S1472)))</f>
        <v>0</v>
      </c>
      <c r="Z1472" s="6">
        <f t="shared" si="222"/>
        <v>1</v>
      </c>
      <c r="AA1472" t="e">
        <f t="shared" si="223"/>
        <v>#VALUE!</v>
      </c>
      <c r="AB1472" t="str">
        <f t="shared" si="224"/>
        <v/>
      </c>
      <c r="AC1472" t="e">
        <f t="shared" si="225"/>
        <v>#VALUE!</v>
      </c>
    </row>
    <row r="1473" spans="1:29" x14ac:dyDescent="0.2">
      <c r="A1473" t="str">
        <f t="shared" si="226"/>
        <v/>
      </c>
      <c r="E1473" s="4"/>
      <c r="F1473" s="46"/>
      <c r="G1473" s="4"/>
      <c r="H1473" s="48"/>
      <c r="J1473" s="26" t="str">
        <f t="shared" si="227"/>
        <v/>
      </c>
      <c r="N1473" t="str">
        <f t="shared" si="228"/>
        <v/>
      </c>
      <c r="Q1473" t="str">
        <f t="shared" si="229"/>
        <v/>
      </c>
      <c r="S1473" t="str">
        <f>IF(A1473=1,MAX($S$2:$S1472)+1,IF(OR($I1473&lt;&gt;"",A1473="x"),$S1472,""))</f>
        <v/>
      </c>
      <c r="T1473" t="str">
        <f>IF(D1473=1,MAX($T$2:$T1472)+1,IF(S1473=S1472,$T1472,IF(D1473="x",T1472,IF(D1472="x","",""))))</f>
        <v/>
      </c>
      <c r="U1473" t="str">
        <f>IF(B1473=1,MAX($U$2:$U1472)+1,IF(AND($T1473&lt;&gt;"",$T1473=$T1472),$U1472,IF(B1473="x",U1472,"")))</f>
        <v/>
      </c>
      <c r="V1473" t="str">
        <f>IF(C1473=1,MAX($V$2:$V1472)+1,IF(AND($T1473&lt;&gt;"",$T1473=$T1472),$U1472,IF(C1473="x",V1472,"")))</f>
        <v/>
      </c>
      <c r="X1473" cm="1">
        <f t="array" ref="X1473">IF($I1473&lt;&gt;"",$I1473,INDEX($I$1:$I1473,ROW()-COUNTIFS($T$1:$T1473,"="&amp;$T1473,$S$1:$S1473,"&lt;"&amp;$S1473)))</f>
        <v>0</v>
      </c>
      <c r="Z1473" s="6">
        <f t="shared" si="222"/>
        <v>1</v>
      </c>
      <c r="AA1473" t="e">
        <f t="shared" si="223"/>
        <v>#VALUE!</v>
      </c>
      <c r="AB1473" t="str">
        <f t="shared" si="224"/>
        <v/>
      </c>
      <c r="AC1473" t="e">
        <f t="shared" si="225"/>
        <v>#VALUE!</v>
      </c>
    </row>
    <row r="1474" spans="1:29" x14ac:dyDescent="0.2">
      <c r="A1474" t="str">
        <f t="shared" si="226"/>
        <v/>
      </c>
      <c r="E1474" s="4"/>
      <c r="F1474" s="46"/>
      <c r="G1474" s="4"/>
      <c r="H1474" s="48"/>
      <c r="J1474" s="26" t="str">
        <f t="shared" si="227"/>
        <v/>
      </c>
      <c r="N1474" t="str">
        <f t="shared" si="228"/>
        <v/>
      </c>
      <c r="Q1474" t="str">
        <f t="shared" si="229"/>
        <v/>
      </c>
      <c r="S1474" t="str">
        <f>IF(A1474=1,MAX($S$2:$S1473)+1,IF(OR($I1474&lt;&gt;"",A1474="x"),$S1473,""))</f>
        <v/>
      </c>
      <c r="T1474" t="str">
        <f>IF(D1474=1,MAX($T$2:$T1473)+1,IF(S1474=S1473,$T1473,IF(D1474="x",T1473,IF(D1473="x","",""))))</f>
        <v/>
      </c>
      <c r="U1474" t="str">
        <f>IF(B1474=1,MAX($U$2:$U1473)+1,IF(AND($T1474&lt;&gt;"",$T1474=$T1473),$U1473,IF(B1474="x",U1473,"")))</f>
        <v/>
      </c>
      <c r="V1474" t="str">
        <f>IF(C1474=1,MAX($V$2:$V1473)+1,IF(AND($T1474&lt;&gt;"",$T1474=$T1473),$U1473,IF(C1474="x",V1473,"")))</f>
        <v/>
      </c>
      <c r="X1474" cm="1">
        <f t="array" ref="X1474">IF($I1474&lt;&gt;"",$I1474,INDEX($I$1:$I1474,ROW()-COUNTIFS($T$1:$T1474,"="&amp;$T1474,$S$1:$S1474,"&lt;"&amp;$S1474)))</f>
        <v>0</v>
      </c>
      <c r="Z1474" s="6">
        <f t="shared" si="222"/>
        <v>1</v>
      </c>
      <c r="AA1474" t="e">
        <f t="shared" si="223"/>
        <v>#VALUE!</v>
      </c>
      <c r="AB1474" t="str">
        <f t="shared" si="224"/>
        <v/>
      </c>
      <c r="AC1474" t="e">
        <f t="shared" si="225"/>
        <v>#VALUE!</v>
      </c>
    </row>
    <row r="1475" spans="1:29" x14ac:dyDescent="0.2">
      <c r="A1475" t="str">
        <f t="shared" si="226"/>
        <v/>
      </c>
      <c r="E1475" s="4"/>
      <c r="F1475" s="46"/>
      <c r="G1475" s="4"/>
      <c r="H1475" s="48"/>
      <c r="J1475" s="26" t="str">
        <f t="shared" si="227"/>
        <v/>
      </c>
      <c r="N1475" t="str">
        <f t="shared" si="228"/>
        <v/>
      </c>
      <c r="Q1475" t="str">
        <f t="shared" si="229"/>
        <v/>
      </c>
      <c r="S1475" t="str">
        <f>IF(A1475=1,MAX($S$2:$S1474)+1,IF(OR($I1475&lt;&gt;"",A1475="x"),$S1474,""))</f>
        <v/>
      </c>
      <c r="T1475" t="str">
        <f>IF(D1475=1,MAX($T$2:$T1474)+1,IF(S1475=S1474,$T1474,IF(D1475="x",T1474,IF(D1474="x","",""))))</f>
        <v/>
      </c>
      <c r="U1475" t="str">
        <f>IF(B1475=1,MAX($U$2:$U1474)+1,IF(AND($T1475&lt;&gt;"",$T1475=$T1474),$U1474,IF(B1475="x",U1474,"")))</f>
        <v/>
      </c>
      <c r="V1475" t="str">
        <f>IF(C1475=1,MAX($V$2:$V1474)+1,IF(AND($T1475&lt;&gt;"",$T1475=$T1474),$U1474,IF(C1475="x",V1474,"")))</f>
        <v/>
      </c>
      <c r="X1475" cm="1">
        <f t="array" ref="X1475">IF($I1475&lt;&gt;"",$I1475,INDEX($I$1:$I1475,ROW()-COUNTIFS($T$1:$T1475,"="&amp;$T1475,$S$1:$S1475,"&lt;"&amp;$S1475)))</f>
        <v>0</v>
      </c>
      <c r="Z1475" s="6">
        <f t="shared" si="222"/>
        <v>1</v>
      </c>
      <c r="AA1475" t="e">
        <f t="shared" si="223"/>
        <v>#VALUE!</v>
      </c>
      <c r="AB1475" t="str">
        <f t="shared" si="224"/>
        <v/>
      </c>
      <c r="AC1475" t="e">
        <f t="shared" si="225"/>
        <v>#VALUE!</v>
      </c>
    </row>
    <row r="1476" spans="1:29" x14ac:dyDescent="0.2">
      <c r="A1476" t="str">
        <f t="shared" si="226"/>
        <v/>
      </c>
      <c r="E1476" s="4"/>
      <c r="F1476" s="46"/>
      <c r="G1476" s="4"/>
      <c r="H1476" s="48"/>
      <c r="J1476" s="26" t="str">
        <f t="shared" si="227"/>
        <v/>
      </c>
      <c r="N1476" t="str">
        <f t="shared" si="228"/>
        <v/>
      </c>
      <c r="Q1476" t="str">
        <f t="shared" si="229"/>
        <v/>
      </c>
      <c r="S1476" t="str">
        <f>IF(A1476=1,MAX($S$2:$S1475)+1,IF(OR($I1476&lt;&gt;"",A1476="x"),$S1475,""))</f>
        <v/>
      </c>
      <c r="T1476" t="str">
        <f>IF(D1476=1,MAX($T$2:$T1475)+1,IF(S1476=S1475,$T1475,IF(D1476="x",T1475,IF(D1475="x","",""))))</f>
        <v/>
      </c>
      <c r="U1476" t="str">
        <f>IF(B1476=1,MAX($U$2:$U1475)+1,IF(AND($T1476&lt;&gt;"",$T1476=$T1475),$U1475,IF(B1476="x",U1475,"")))</f>
        <v/>
      </c>
      <c r="V1476" t="str">
        <f>IF(C1476=1,MAX($V$2:$V1475)+1,IF(AND($T1476&lt;&gt;"",$T1476=$T1475),$U1475,IF(C1476="x",V1475,"")))</f>
        <v/>
      </c>
      <c r="X1476" cm="1">
        <f t="array" ref="X1476">IF($I1476&lt;&gt;"",$I1476,INDEX($I$1:$I1476,ROW()-COUNTIFS($T$1:$T1476,"="&amp;$T1476,$S$1:$S1476,"&lt;"&amp;$S1476)))</f>
        <v>0</v>
      </c>
      <c r="Z1476" s="6">
        <f t="shared" si="222"/>
        <v>1</v>
      </c>
      <c r="AA1476" t="e">
        <f t="shared" si="223"/>
        <v>#VALUE!</v>
      </c>
      <c r="AB1476" t="str">
        <f t="shared" si="224"/>
        <v/>
      </c>
      <c r="AC1476" t="e">
        <f t="shared" si="225"/>
        <v>#VALUE!</v>
      </c>
    </row>
    <row r="1477" spans="1:29" x14ac:dyDescent="0.2">
      <c r="A1477" t="str">
        <f t="shared" si="226"/>
        <v/>
      </c>
      <c r="E1477" s="4"/>
      <c r="F1477" s="46"/>
      <c r="G1477" s="4"/>
      <c r="H1477" s="48"/>
      <c r="J1477" s="26" t="str">
        <f t="shared" si="227"/>
        <v/>
      </c>
      <c r="N1477" t="str">
        <f t="shared" si="228"/>
        <v/>
      </c>
      <c r="Q1477" t="str">
        <f t="shared" si="229"/>
        <v/>
      </c>
      <c r="S1477" t="str">
        <f>IF(A1477=1,MAX($S$2:$S1476)+1,IF(OR($I1477&lt;&gt;"",A1477="x"),$S1476,""))</f>
        <v/>
      </c>
      <c r="T1477" t="str">
        <f>IF(D1477=1,MAX($T$2:$T1476)+1,IF(S1477=S1476,$T1476,IF(D1477="x",T1476,IF(D1476="x","",""))))</f>
        <v/>
      </c>
      <c r="U1477" t="str">
        <f>IF(B1477=1,MAX($U$2:$U1476)+1,IF(AND($T1477&lt;&gt;"",$T1477=$T1476),$U1476,IF(B1477="x",U1476,"")))</f>
        <v/>
      </c>
      <c r="V1477" t="str">
        <f>IF(C1477=1,MAX($V$2:$V1476)+1,IF(AND($T1477&lt;&gt;"",$T1477=$T1476),$U1476,IF(C1477="x",V1476,"")))</f>
        <v/>
      </c>
      <c r="X1477" cm="1">
        <f t="array" ref="X1477">IF($I1477&lt;&gt;"",$I1477,INDEX($I$1:$I1477,ROW()-COUNTIFS($T$1:$T1477,"="&amp;$T1477,$S$1:$S1477,"&lt;"&amp;$S1477)))</f>
        <v>0</v>
      </c>
      <c r="Z1477" s="6">
        <f t="shared" ref="Z1477:Z1540" si="230">IF(K1477="Intermission",Z1476+1,Z1476)</f>
        <v>1</v>
      </c>
      <c r="AA1477" t="e">
        <f t="shared" ref="AA1477:AA1540" si="231">S1477+1000</f>
        <v>#VALUE!</v>
      </c>
      <c r="AB1477" t="str">
        <f t="shared" ref="AB1477:AB1540" si="232">IF(T1477&lt;&gt;"",9000+T1477,"")</f>
        <v/>
      </c>
      <c r="AC1477" t="e">
        <f t="shared" ref="AC1477:AC1540" si="233">IF(AB1477&lt;&gt;"",AB1477,S1477+1000)</f>
        <v>#VALUE!</v>
      </c>
    </row>
    <row r="1478" spans="1:29" x14ac:dyDescent="0.2">
      <c r="A1478" t="str">
        <f t="shared" si="226"/>
        <v/>
      </c>
      <c r="E1478" s="4"/>
      <c r="F1478" s="46"/>
      <c r="G1478" s="4"/>
      <c r="H1478" s="48"/>
      <c r="J1478" s="26" t="str">
        <f t="shared" si="227"/>
        <v/>
      </c>
      <c r="N1478" t="str">
        <f t="shared" si="228"/>
        <v/>
      </c>
      <c r="Q1478" t="str">
        <f t="shared" si="229"/>
        <v/>
      </c>
      <c r="S1478" t="str">
        <f>IF(A1478=1,MAX($S$2:$S1477)+1,IF(OR($I1478&lt;&gt;"",A1478="x"),$S1477,""))</f>
        <v/>
      </c>
      <c r="T1478" t="str">
        <f>IF(D1478=1,MAX($T$2:$T1477)+1,IF(S1478=S1477,$T1477,IF(D1478="x",T1477,IF(D1477="x","",""))))</f>
        <v/>
      </c>
      <c r="U1478" t="str">
        <f>IF(B1478=1,MAX($U$2:$U1477)+1,IF(AND($T1478&lt;&gt;"",$T1478=$T1477),$U1477,IF(B1478="x",U1477,"")))</f>
        <v/>
      </c>
      <c r="V1478" t="str">
        <f>IF(C1478=1,MAX($V$2:$V1477)+1,IF(AND($T1478&lt;&gt;"",$T1478=$T1477),$U1477,IF(C1478="x",V1477,"")))</f>
        <v/>
      </c>
      <c r="X1478" cm="1">
        <f t="array" ref="X1478">IF($I1478&lt;&gt;"",$I1478,INDEX($I$1:$I1478,ROW()-COUNTIFS($T$1:$T1478,"="&amp;$T1478,$S$1:$S1478,"&lt;"&amp;$S1478)))</f>
        <v>0</v>
      </c>
      <c r="Z1478" s="6">
        <f t="shared" si="230"/>
        <v>1</v>
      </c>
      <c r="AA1478" t="e">
        <f t="shared" si="231"/>
        <v>#VALUE!</v>
      </c>
      <c r="AB1478" t="str">
        <f t="shared" si="232"/>
        <v/>
      </c>
      <c r="AC1478" t="e">
        <f t="shared" si="233"/>
        <v>#VALUE!</v>
      </c>
    </row>
    <row r="1479" spans="1:29" x14ac:dyDescent="0.2">
      <c r="A1479" t="str">
        <f t="shared" si="226"/>
        <v/>
      </c>
      <c r="E1479" s="4"/>
      <c r="F1479" s="46"/>
      <c r="G1479" s="4"/>
      <c r="H1479" s="48"/>
      <c r="J1479" s="26" t="str">
        <f t="shared" si="227"/>
        <v/>
      </c>
      <c r="N1479" t="str">
        <f t="shared" si="228"/>
        <v/>
      </c>
      <c r="Q1479" t="str">
        <f t="shared" si="229"/>
        <v/>
      </c>
      <c r="S1479" t="str">
        <f>IF(A1479=1,MAX($S$2:$S1478)+1,IF(OR($I1479&lt;&gt;"",A1479="x"),$S1478,""))</f>
        <v/>
      </c>
      <c r="T1479" t="str">
        <f>IF(D1479=1,MAX($T$2:$T1478)+1,IF(S1479=S1478,$T1478,IF(D1479="x",T1478,IF(D1478="x","",""))))</f>
        <v/>
      </c>
      <c r="U1479" t="str">
        <f>IF(B1479=1,MAX($U$2:$U1478)+1,IF(AND($T1479&lt;&gt;"",$T1479=$T1478),$U1478,IF(B1479="x",U1478,"")))</f>
        <v/>
      </c>
      <c r="V1479" t="str">
        <f>IF(C1479=1,MAX($V$2:$V1478)+1,IF(AND($T1479&lt;&gt;"",$T1479=$T1478),$U1478,IF(C1479="x",V1478,"")))</f>
        <v/>
      </c>
      <c r="X1479" cm="1">
        <f t="array" ref="X1479">IF($I1479&lt;&gt;"",$I1479,INDEX($I$1:$I1479,ROW()-COUNTIFS($T$1:$T1479,"="&amp;$T1479,$S$1:$S1479,"&lt;"&amp;$S1479)))</f>
        <v>0</v>
      </c>
      <c r="Z1479" s="6">
        <f t="shared" si="230"/>
        <v>1</v>
      </c>
      <c r="AA1479" t="e">
        <f t="shared" si="231"/>
        <v>#VALUE!</v>
      </c>
      <c r="AB1479" t="str">
        <f t="shared" si="232"/>
        <v/>
      </c>
      <c r="AC1479" t="e">
        <f t="shared" si="233"/>
        <v>#VALUE!</v>
      </c>
    </row>
    <row r="1480" spans="1:29" x14ac:dyDescent="0.2">
      <c r="A1480" t="str">
        <f t="shared" si="226"/>
        <v/>
      </c>
      <c r="E1480" s="4"/>
      <c r="F1480" s="46"/>
      <c r="G1480" s="4"/>
      <c r="H1480" s="48"/>
      <c r="J1480" s="26" t="str">
        <f t="shared" si="227"/>
        <v/>
      </c>
      <c r="N1480" t="str">
        <f t="shared" si="228"/>
        <v/>
      </c>
      <c r="Q1480" t="str">
        <f t="shared" si="229"/>
        <v/>
      </c>
      <c r="S1480" t="str">
        <f>IF(A1480=1,MAX($S$2:$S1479)+1,IF(OR($I1480&lt;&gt;"",A1480="x"),$S1479,""))</f>
        <v/>
      </c>
      <c r="T1480" t="str">
        <f>IF(D1480=1,MAX($T$2:$T1479)+1,IF(S1480=S1479,$T1479,IF(D1480="x",T1479,IF(D1479="x","",""))))</f>
        <v/>
      </c>
      <c r="U1480" t="str">
        <f>IF(B1480=1,MAX($U$2:$U1479)+1,IF(AND($T1480&lt;&gt;"",$T1480=$T1479),$U1479,IF(B1480="x",U1479,"")))</f>
        <v/>
      </c>
      <c r="V1480" t="str">
        <f>IF(C1480=1,MAX($V$2:$V1479)+1,IF(AND($T1480&lt;&gt;"",$T1480=$T1479),$U1479,IF(C1480="x",V1479,"")))</f>
        <v/>
      </c>
      <c r="X1480" cm="1">
        <f t="array" ref="X1480">IF($I1480&lt;&gt;"",$I1480,INDEX($I$1:$I1480,ROW()-COUNTIFS($T$1:$T1480,"="&amp;$T1480,$S$1:$S1480,"&lt;"&amp;$S1480)))</f>
        <v>0</v>
      </c>
      <c r="Z1480" s="6">
        <f t="shared" si="230"/>
        <v>1</v>
      </c>
      <c r="AA1480" t="e">
        <f t="shared" si="231"/>
        <v>#VALUE!</v>
      </c>
      <c r="AB1480" t="str">
        <f t="shared" si="232"/>
        <v/>
      </c>
      <c r="AC1480" t="e">
        <f t="shared" si="233"/>
        <v>#VALUE!</v>
      </c>
    </row>
    <row r="1481" spans="1:29" x14ac:dyDescent="0.2">
      <c r="A1481" t="str">
        <f t="shared" si="226"/>
        <v/>
      </c>
      <c r="E1481" s="4"/>
      <c r="F1481" s="46"/>
      <c r="G1481" s="4"/>
      <c r="H1481" s="48"/>
      <c r="J1481" s="26" t="str">
        <f t="shared" si="227"/>
        <v/>
      </c>
      <c r="N1481" t="str">
        <f t="shared" si="228"/>
        <v/>
      </c>
      <c r="Q1481" t="str">
        <f t="shared" si="229"/>
        <v/>
      </c>
      <c r="S1481" t="str">
        <f>IF(A1481=1,MAX($S$2:$S1480)+1,IF(OR($I1481&lt;&gt;"",A1481="x"),$S1480,""))</f>
        <v/>
      </c>
      <c r="T1481" t="str">
        <f>IF(D1481=1,MAX($T$2:$T1480)+1,IF(S1481=S1480,$T1480,IF(D1481="x",T1480,IF(D1480="x","",""))))</f>
        <v/>
      </c>
      <c r="U1481" t="str">
        <f>IF(B1481=1,MAX($U$2:$U1480)+1,IF(AND($T1481&lt;&gt;"",$T1481=$T1480),$U1480,IF(B1481="x",U1480,"")))</f>
        <v/>
      </c>
      <c r="V1481" t="str">
        <f>IF(C1481=1,MAX($V$2:$V1480)+1,IF(AND($T1481&lt;&gt;"",$T1481=$T1480),$U1480,IF(C1481="x",V1480,"")))</f>
        <v/>
      </c>
      <c r="X1481" cm="1">
        <f t="array" ref="X1481">IF($I1481&lt;&gt;"",$I1481,INDEX($I$1:$I1481,ROW()-COUNTIFS($T$1:$T1481,"="&amp;$T1481,$S$1:$S1481,"&lt;"&amp;$S1481)))</f>
        <v>0</v>
      </c>
      <c r="Z1481" s="6">
        <f t="shared" si="230"/>
        <v>1</v>
      </c>
      <c r="AA1481" t="e">
        <f t="shared" si="231"/>
        <v>#VALUE!</v>
      </c>
      <c r="AB1481" t="str">
        <f t="shared" si="232"/>
        <v/>
      </c>
      <c r="AC1481" t="e">
        <f t="shared" si="233"/>
        <v>#VALUE!</v>
      </c>
    </row>
    <row r="1482" spans="1:29" x14ac:dyDescent="0.2">
      <c r="A1482" t="str">
        <f t="shared" si="226"/>
        <v/>
      </c>
      <c r="E1482" s="4"/>
      <c r="F1482" s="46"/>
      <c r="G1482" s="4"/>
      <c r="H1482" s="48"/>
      <c r="J1482" s="26" t="str">
        <f t="shared" si="227"/>
        <v/>
      </c>
      <c r="N1482" t="str">
        <f t="shared" si="228"/>
        <v/>
      </c>
      <c r="Q1482" t="str">
        <f t="shared" si="229"/>
        <v/>
      </c>
      <c r="S1482" t="str">
        <f>IF(A1482=1,MAX($S$2:$S1481)+1,IF(OR($I1482&lt;&gt;"",A1482="x"),$S1481,""))</f>
        <v/>
      </c>
      <c r="T1482" t="str">
        <f>IF(D1482=1,MAX($T$2:$T1481)+1,IF(S1482=S1481,$T1481,IF(D1482="x",T1481,IF(D1481="x","",""))))</f>
        <v/>
      </c>
      <c r="U1482" t="str">
        <f>IF(B1482=1,MAX($U$2:$U1481)+1,IF(AND($T1482&lt;&gt;"",$T1482=$T1481),$U1481,IF(B1482="x",U1481,"")))</f>
        <v/>
      </c>
      <c r="V1482" t="str">
        <f>IF(C1482=1,MAX($V$2:$V1481)+1,IF(AND($T1482&lt;&gt;"",$T1482=$T1481),$U1481,IF(C1482="x",V1481,"")))</f>
        <v/>
      </c>
      <c r="X1482" cm="1">
        <f t="array" ref="X1482">IF($I1482&lt;&gt;"",$I1482,INDEX($I$1:$I1482,ROW()-COUNTIFS($T$1:$T1482,"="&amp;$T1482,$S$1:$S1482,"&lt;"&amp;$S1482)))</f>
        <v>0</v>
      </c>
      <c r="Z1482" s="6">
        <f t="shared" si="230"/>
        <v>1</v>
      </c>
      <c r="AA1482" t="e">
        <f t="shared" si="231"/>
        <v>#VALUE!</v>
      </c>
      <c r="AB1482" t="str">
        <f t="shared" si="232"/>
        <v/>
      </c>
      <c r="AC1482" t="e">
        <f t="shared" si="233"/>
        <v>#VALUE!</v>
      </c>
    </row>
    <row r="1483" spans="1:29" x14ac:dyDescent="0.2">
      <c r="A1483" t="str">
        <f t="shared" si="226"/>
        <v/>
      </c>
      <c r="E1483" s="4"/>
      <c r="F1483" s="46"/>
      <c r="G1483" s="4"/>
      <c r="H1483" s="48"/>
      <c r="J1483" s="26" t="str">
        <f t="shared" si="227"/>
        <v/>
      </c>
      <c r="N1483" t="str">
        <f t="shared" si="228"/>
        <v/>
      </c>
      <c r="Q1483" t="str">
        <f t="shared" si="229"/>
        <v/>
      </c>
      <c r="S1483" t="str">
        <f>IF(A1483=1,MAX($S$2:$S1482)+1,IF(OR($I1483&lt;&gt;"",A1483="x"),$S1482,""))</f>
        <v/>
      </c>
      <c r="T1483" t="str">
        <f>IF(D1483=1,MAX($T$2:$T1482)+1,IF(S1483=S1482,$T1482,IF(D1483="x",T1482,IF(D1482="x","",""))))</f>
        <v/>
      </c>
      <c r="U1483" t="str">
        <f>IF(B1483=1,MAX($U$2:$U1482)+1,IF(AND($T1483&lt;&gt;"",$T1483=$T1482),$U1482,IF(B1483="x",U1482,"")))</f>
        <v/>
      </c>
      <c r="V1483" t="str">
        <f>IF(C1483=1,MAX($V$2:$V1482)+1,IF(AND($T1483&lt;&gt;"",$T1483=$T1482),$U1482,IF(C1483="x",V1482,"")))</f>
        <v/>
      </c>
      <c r="X1483" cm="1">
        <f t="array" ref="X1483">IF($I1483&lt;&gt;"",$I1483,INDEX($I$1:$I1483,ROW()-COUNTIFS($T$1:$T1483,"="&amp;$T1483,$S$1:$S1483,"&lt;"&amp;$S1483)))</f>
        <v>0</v>
      </c>
      <c r="Z1483" s="6">
        <f t="shared" si="230"/>
        <v>1</v>
      </c>
      <c r="AA1483" t="e">
        <f t="shared" si="231"/>
        <v>#VALUE!</v>
      </c>
      <c r="AB1483" t="str">
        <f t="shared" si="232"/>
        <v/>
      </c>
      <c r="AC1483" t="e">
        <f t="shared" si="233"/>
        <v>#VALUE!</v>
      </c>
    </row>
    <row r="1484" spans="1:29" x14ac:dyDescent="0.2">
      <c r="A1484" t="str">
        <f t="shared" si="226"/>
        <v/>
      </c>
      <c r="E1484" s="4"/>
      <c r="F1484" s="46"/>
      <c r="G1484" s="4"/>
      <c r="H1484" s="48"/>
      <c r="J1484" s="26" t="str">
        <f t="shared" si="227"/>
        <v/>
      </c>
      <c r="N1484" t="str">
        <f t="shared" si="228"/>
        <v/>
      </c>
      <c r="Q1484" t="str">
        <f t="shared" si="229"/>
        <v/>
      </c>
      <c r="S1484" t="str">
        <f>IF(A1484=1,MAX($S$2:$S1483)+1,IF(OR($I1484&lt;&gt;"",A1484="x"),$S1483,""))</f>
        <v/>
      </c>
      <c r="T1484" t="str">
        <f>IF(D1484=1,MAX($T$2:$T1483)+1,IF(S1484=S1483,$T1483,IF(D1484="x",T1483,IF(D1483="x","",""))))</f>
        <v/>
      </c>
      <c r="U1484" t="str">
        <f>IF(B1484=1,MAX($U$2:$U1483)+1,IF(AND($T1484&lt;&gt;"",$T1484=$T1483),$U1483,IF(B1484="x",U1483,"")))</f>
        <v/>
      </c>
      <c r="V1484" t="str">
        <f>IF(C1484=1,MAX($V$2:$V1483)+1,IF(AND($T1484&lt;&gt;"",$T1484=$T1483),$U1483,IF(C1484="x",V1483,"")))</f>
        <v/>
      </c>
      <c r="X1484" cm="1">
        <f t="array" ref="X1484">IF($I1484&lt;&gt;"",$I1484,INDEX($I$1:$I1484,ROW()-COUNTIFS($T$1:$T1484,"="&amp;$T1484,$S$1:$S1484,"&lt;"&amp;$S1484)))</f>
        <v>0</v>
      </c>
      <c r="Z1484" s="6">
        <f t="shared" si="230"/>
        <v>1</v>
      </c>
      <c r="AA1484" t="e">
        <f t="shared" si="231"/>
        <v>#VALUE!</v>
      </c>
      <c r="AB1484" t="str">
        <f t="shared" si="232"/>
        <v/>
      </c>
      <c r="AC1484" t="e">
        <f t="shared" si="233"/>
        <v>#VALUE!</v>
      </c>
    </row>
    <row r="1485" spans="1:29" x14ac:dyDescent="0.2">
      <c r="A1485" t="str">
        <f t="shared" si="226"/>
        <v/>
      </c>
      <c r="E1485" s="4"/>
      <c r="F1485" s="46"/>
      <c r="G1485" s="4"/>
      <c r="H1485" s="48"/>
      <c r="J1485" s="26" t="str">
        <f t="shared" si="227"/>
        <v/>
      </c>
      <c r="N1485" t="str">
        <f t="shared" si="228"/>
        <v/>
      </c>
      <c r="Q1485" t="str">
        <f t="shared" si="229"/>
        <v/>
      </c>
      <c r="S1485" t="str">
        <f>IF(A1485=1,MAX($S$2:$S1484)+1,IF(OR($I1485&lt;&gt;"",A1485="x"),$S1484,""))</f>
        <v/>
      </c>
      <c r="T1485" t="str">
        <f>IF(D1485=1,MAX($T$2:$T1484)+1,IF(S1485=S1484,$T1484,IF(D1485="x",T1484,IF(D1484="x","",""))))</f>
        <v/>
      </c>
      <c r="U1485" t="str">
        <f>IF(B1485=1,MAX($U$2:$U1484)+1,IF(AND($T1485&lt;&gt;"",$T1485=$T1484),$U1484,IF(B1485="x",U1484,"")))</f>
        <v/>
      </c>
      <c r="V1485" t="str">
        <f>IF(C1485=1,MAX($V$2:$V1484)+1,IF(AND($T1485&lt;&gt;"",$T1485=$T1484),$U1484,IF(C1485="x",V1484,"")))</f>
        <v/>
      </c>
      <c r="X1485" cm="1">
        <f t="array" ref="X1485">IF($I1485&lt;&gt;"",$I1485,INDEX($I$1:$I1485,ROW()-COUNTIFS($T$1:$T1485,"="&amp;$T1485,$S$1:$S1485,"&lt;"&amp;$S1485)))</f>
        <v>0</v>
      </c>
      <c r="Z1485" s="6">
        <f t="shared" si="230"/>
        <v>1</v>
      </c>
      <c r="AA1485" t="e">
        <f t="shared" si="231"/>
        <v>#VALUE!</v>
      </c>
      <c r="AB1485" t="str">
        <f t="shared" si="232"/>
        <v/>
      </c>
      <c r="AC1485" t="e">
        <f t="shared" si="233"/>
        <v>#VALUE!</v>
      </c>
    </row>
    <row r="1486" spans="1:29" x14ac:dyDescent="0.2">
      <c r="A1486" t="str">
        <f t="shared" si="226"/>
        <v/>
      </c>
      <c r="E1486" s="4"/>
      <c r="F1486" s="46"/>
      <c r="G1486" s="4"/>
      <c r="H1486" s="48"/>
      <c r="J1486" s="26" t="str">
        <f t="shared" si="227"/>
        <v/>
      </c>
      <c r="N1486" t="str">
        <f t="shared" si="228"/>
        <v/>
      </c>
      <c r="Q1486" t="str">
        <f t="shared" si="229"/>
        <v/>
      </c>
      <c r="S1486" t="str">
        <f>IF(A1486=1,MAX($S$2:$S1485)+1,IF(OR($I1486&lt;&gt;"",A1486="x"),$S1485,""))</f>
        <v/>
      </c>
      <c r="T1486" t="str">
        <f>IF(D1486=1,MAX($T$2:$T1485)+1,IF(S1486=S1485,$T1485,IF(D1486="x",T1485,IF(D1485="x","",""))))</f>
        <v/>
      </c>
      <c r="U1486" t="str">
        <f>IF(B1486=1,MAX($U$2:$U1485)+1,IF(AND($T1486&lt;&gt;"",$T1486=$T1485),$U1485,IF(B1486="x",U1485,"")))</f>
        <v/>
      </c>
      <c r="V1486" t="str">
        <f>IF(C1486=1,MAX($V$2:$V1485)+1,IF(AND($T1486&lt;&gt;"",$T1486=$T1485),$U1485,IF(C1486="x",V1485,"")))</f>
        <v/>
      </c>
      <c r="X1486" cm="1">
        <f t="array" ref="X1486">IF($I1486&lt;&gt;"",$I1486,INDEX($I$1:$I1486,ROW()-COUNTIFS($T$1:$T1486,"="&amp;$T1486,$S$1:$S1486,"&lt;"&amp;$S1486)))</f>
        <v>0</v>
      </c>
      <c r="Z1486" s="6">
        <f t="shared" si="230"/>
        <v>1</v>
      </c>
      <c r="AA1486" t="e">
        <f t="shared" si="231"/>
        <v>#VALUE!</v>
      </c>
      <c r="AB1486" t="str">
        <f t="shared" si="232"/>
        <v/>
      </c>
      <c r="AC1486" t="e">
        <f t="shared" si="233"/>
        <v>#VALUE!</v>
      </c>
    </row>
    <row r="1487" spans="1:29" x14ac:dyDescent="0.2">
      <c r="A1487" t="str">
        <f t="shared" si="226"/>
        <v/>
      </c>
      <c r="E1487" s="4"/>
      <c r="F1487" s="46"/>
      <c r="G1487" s="4"/>
      <c r="H1487" s="48"/>
      <c r="J1487" s="26" t="str">
        <f t="shared" si="227"/>
        <v/>
      </c>
      <c r="N1487" t="str">
        <f t="shared" si="228"/>
        <v/>
      </c>
      <c r="Q1487" t="str">
        <f t="shared" si="229"/>
        <v/>
      </c>
      <c r="S1487" t="str">
        <f>IF(A1487=1,MAX($S$2:$S1486)+1,IF(OR($I1487&lt;&gt;"",A1487="x"),$S1486,""))</f>
        <v/>
      </c>
      <c r="T1487" t="str">
        <f>IF(D1487=1,MAX($T$2:$T1486)+1,IF(S1487=S1486,$T1486,IF(D1487="x",T1486,IF(D1486="x","",""))))</f>
        <v/>
      </c>
      <c r="U1487" t="str">
        <f>IF(B1487=1,MAX($U$2:$U1486)+1,IF(AND($T1487&lt;&gt;"",$T1487=$T1486),$U1486,IF(B1487="x",U1486,"")))</f>
        <v/>
      </c>
      <c r="V1487" t="str">
        <f>IF(C1487=1,MAX($V$2:$V1486)+1,IF(AND($T1487&lt;&gt;"",$T1487=$T1486),$U1486,IF(C1487="x",V1486,"")))</f>
        <v/>
      </c>
      <c r="X1487" cm="1">
        <f t="array" ref="X1487">IF($I1487&lt;&gt;"",$I1487,INDEX($I$1:$I1487,ROW()-COUNTIFS($T$1:$T1487,"="&amp;$T1487,$S$1:$S1487,"&lt;"&amp;$S1487)))</f>
        <v>0</v>
      </c>
      <c r="Z1487" s="6">
        <f t="shared" si="230"/>
        <v>1</v>
      </c>
      <c r="AA1487" t="e">
        <f t="shared" si="231"/>
        <v>#VALUE!</v>
      </c>
      <c r="AB1487" t="str">
        <f t="shared" si="232"/>
        <v/>
      </c>
      <c r="AC1487" t="e">
        <f t="shared" si="233"/>
        <v>#VALUE!</v>
      </c>
    </row>
    <row r="1488" spans="1:29" x14ac:dyDescent="0.2">
      <c r="A1488" t="str">
        <f t="shared" si="226"/>
        <v/>
      </c>
      <c r="E1488" s="4"/>
      <c r="F1488" s="46"/>
      <c r="G1488" s="4"/>
      <c r="H1488" s="48"/>
      <c r="J1488" s="26" t="str">
        <f t="shared" si="227"/>
        <v/>
      </c>
      <c r="N1488" t="str">
        <f t="shared" si="228"/>
        <v/>
      </c>
      <c r="Q1488" t="str">
        <f t="shared" si="229"/>
        <v/>
      </c>
      <c r="S1488" t="str">
        <f>IF(A1488=1,MAX($S$2:$S1487)+1,IF(OR($I1488&lt;&gt;"",A1488="x"),$S1487,""))</f>
        <v/>
      </c>
      <c r="T1488" t="str">
        <f>IF(D1488=1,MAX($T$2:$T1487)+1,IF(S1488=S1487,$T1487,IF(D1488="x",T1487,IF(D1487="x","",""))))</f>
        <v/>
      </c>
      <c r="U1488" t="str">
        <f>IF(B1488=1,MAX($U$2:$U1487)+1,IF(AND($T1488&lt;&gt;"",$T1488=$T1487),$U1487,IF(B1488="x",U1487,"")))</f>
        <v/>
      </c>
      <c r="V1488" t="str">
        <f>IF(C1488=1,MAX($V$2:$V1487)+1,IF(AND($T1488&lt;&gt;"",$T1488=$T1487),$U1487,IF(C1488="x",V1487,"")))</f>
        <v/>
      </c>
      <c r="X1488" cm="1">
        <f t="array" ref="X1488">IF($I1488&lt;&gt;"",$I1488,INDEX($I$1:$I1488,ROW()-COUNTIFS($T$1:$T1488,"="&amp;$T1488,$S$1:$S1488,"&lt;"&amp;$S1488)))</f>
        <v>0</v>
      </c>
      <c r="Z1488" s="6">
        <f t="shared" si="230"/>
        <v>1</v>
      </c>
      <c r="AA1488" t="e">
        <f t="shared" si="231"/>
        <v>#VALUE!</v>
      </c>
      <c r="AB1488" t="str">
        <f t="shared" si="232"/>
        <v/>
      </c>
      <c r="AC1488" t="e">
        <f t="shared" si="233"/>
        <v>#VALUE!</v>
      </c>
    </row>
    <row r="1489" spans="1:29" x14ac:dyDescent="0.2">
      <c r="A1489" t="str">
        <f t="shared" si="226"/>
        <v/>
      </c>
      <c r="E1489" s="4"/>
      <c r="F1489" s="46"/>
      <c r="G1489" s="4"/>
      <c r="H1489" s="48"/>
      <c r="J1489" s="26" t="str">
        <f t="shared" si="227"/>
        <v/>
      </c>
      <c r="N1489" t="str">
        <f t="shared" si="228"/>
        <v/>
      </c>
      <c r="Q1489" t="str">
        <f t="shared" si="229"/>
        <v/>
      </c>
      <c r="S1489" t="str">
        <f>IF(A1489=1,MAX($S$2:$S1488)+1,IF(OR($I1489&lt;&gt;"",A1489="x"),$S1488,""))</f>
        <v/>
      </c>
      <c r="T1489" t="str">
        <f>IF(D1489=1,MAX($T$2:$T1488)+1,IF(S1489=S1488,$T1488,IF(D1489="x",T1488,IF(D1488="x","",""))))</f>
        <v/>
      </c>
      <c r="U1489" t="str">
        <f>IF(B1489=1,MAX($U$2:$U1488)+1,IF(AND($T1489&lt;&gt;"",$T1489=$T1488),$U1488,IF(B1489="x",U1488,"")))</f>
        <v/>
      </c>
      <c r="V1489" t="str">
        <f>IF(C1489=1,MAX($V$2:$V1488)+1,IF(AND($T1489&lt;&gt;"",$T1489=$T1488),$U1488,IF(C1489="x",V1488,"")))</f>
        <v/>
      </c>
      <c r="X1489" cm="1">
        <f t="array" ref="X1489">IF($I1489&lt;&gt;"",$I1489,INDEX($I$1:$I1489,ROW()-COUNTIFS($T$1:$T1489,"="&amp;$T1489,$S$1:$S1489,"&lt;"&amp;$S1489)))</f>
        <v>0</v>
      </c>
      <c r="Z1489" s="6">
        <f t="shared" si="230"/>
        <v>1</v>
      </c>
      <c r="AA1489" t="e">
        <f t="shared" si="231"/>
        <v>#VALUE!</v>
      </c>
      <c r="AB1489" t="str">
        <f t="shared" si="232"/>
        <v/>
      </c>
      <c r="AC1489" t="e">
        <f t="shared" si="233"/>
        <v>#VALUE!</v>
      </c>
    </row>
    <row r="1490" spans="1:29" x14ac:dyDescent="0.2">
      <c r="A1490" t="str">
        <f t="shared" si="226"/>
        <v/>
      </c>
      <c r="E1490" s="4"/>
      <c r="F1490" s="46"/>
      <c r="G1490" s="4"/>
      <c r="H1490" s="48"/>
      <c r="J1490" s="26" t="str">
        <f t="shared" si="227"/>
        <v/>
      </c>
      <c r="N1490" t="str">
        <f t="shared" si="228"/>
        <v/>
      </c>
      <c r="Q1490" t="str">
        <f t="shared" si="229"/>
        <v/>
      </c>
      <c r="S1490" t="str">
        <f>IF(A1490=1,MAX($S$2:$S1489)+1,IF(OR($I1490&lt;&gt;"",A1490="x"),$S1489,""))</f>
        <v/>
      </c>
      <c r="T1490" t="str">
        <f>IF(D1490=1,MAX($T$2:$T1489)+1,IF(S1490=S1489,$T1489,IF(D1490="x",T1489,IF(D1489="x","",""))))</f>
        <v/>
      </c>
      <c r="U1490" t="str">
        <f>IF(B1490=1,MAX($U$2:$U1489)+1,IF(AND($T1490&lt;&gt;"",$T1490=$T1489),$U1489,IF(B1490="x",U1489,"")))</f>
        <v/>
      </c>
      <c r="V1490" t="str">
        <f>IF(C1490=1,MAX($V$2:$V1489)+1,IF(AND($T1490&lt;&gt;"",$T1490=$T1489),$U1489,IF(C1490="x",V1489,"")))</f>
        <v/>
      </c>
      <c r="X1490" cm="1">
        <f t="array" ref="X1490">IF($I1490&lt;&gt;"",$I1490,INDEX($I$1:$I1490,ROW()-COUNTIFS($T$1:$T1490,"="&amp;$T1490,$S$1:$S1490,"&lt;"&amp;$S1490)))</f>
        <v>0</v>
      </c>
      <c r="Z1490" s="6">
        <f t="shared" si="230"/>
        <v>1</v>
      </c>
      <c r="AA1490" t="e">
        <f t="shared" si="231"/>
        <v>#VALUE!</v>
      </c>
      <c r="AB1490" t="str">
        <f t="shared" si="232"/>
        <v/>
      </c>
      <c r="AC1490" t="e">
        <f t="shared" si="233"/>
        <v>#VALUE!</v>
      </c>
    </row>
    <row r="1491" spans="1:29" x14ac:dyDescent="0.2">
      <c r="A1491" t="str">
        <f t="shared" ref="A1491:A1554" si="234">IF(K1491&lt;&gt;"",1,IF(D1491="x","x",""))</f>
        <v/>
      </c>
      <c r="E1491" s="4"/>
      <c r="F1491" s="46"/>
      <c r="G1491" s="4"/>
      <c r="H1491" s="48"/>
      <c r="J1491" s="26" t="str">
        <f t="shared" ref="J1491:J1554" si="235">IF(OR(K1491="Goal",K1491="Shot",L1491="Zone_Entry",M1491="Stoppage-Goal",M1490="Stoppage-Goal"),"o",IF(OR(K1491="Save",K1491="Rebound",L1491="Zone_Exit",M1491="Stoppage-GoalieStoppage",M1490="Stoppage-GoalieStoppage"),"d",IF(OR(L1491="Faceoff_AfterGoal",L1491="Faceoff_PeriodStart",698="Faceoff_GameStart",M1490="Stoppage-Goal"),"n","")))</f>
        <v/>
      </c>
      <c r="N1491" t="str">
        <f t="shared" ref="N1491:N1554" si="236">IF(K1491="","",IF(K1491="Goal","s",IF(AND(K1491="Zone_Entry_Exit",OR(ISNUMBER(SEARCH("fail",L1491)),ISNUMBER(SEARCH("FromExitClear",M1491)),ISNUMBER(SEARCH("miss",M1491)))),"u",IF(AND(K1491="Zone_Entry_Exit",OR(NOT(ISNUMBER(SEARCH("fail",L1491))),NOT(ISNUMBER(SEARCH("FromExitClear",M1491))),NOT(ISNUMBER(SEARCH("miss",M1491))))),"s",IF(AND(OR(K1491="Shot",K1491="Pass"),OR(ISNUMBER(SEARCH("complete",L1491)),ISNUMBER(SEARCH("goal",L1491)),ISNUMBER(SEARCH("OnNet",L1491)))),"s",IF(L1491="Turnover_Giveaway","u",IF(AND(OR(K1491="Shot",K1491="Pass"),OR(ISNUMBER(SEARCH("fail",L1491)),NOT(ISNUMBER(SEARCH("complete",L1491))),NOT(ISNUMBER(SEARCH("OnNet",L1491))))),"u","")))))))</f>
        <v/>
      </c>
      <c r="Q1491" t="str">
        <f t="shared" ref="Q1491:Q1554" si="237">IF(O1491="","",IF(AND(N1491&lt;&gt;"",OR(O1491&lt;&gt;"",P1491&lt;&gt;"")),N1491,IF(OR(ISNUMBER(SEARCH("attemp",O1491)),ISNUMBER(SEARCH("beat",O1491)),ISNUMBER(SEARCH("mis",O1491)),ISNUMBER(SEARCH("fail",O1491)),ISNUMBER(SEARCH("loss",O1491)),ISNUMBER(SEARCH("lost",O1491)),ISNUMBER(SEARCH("attemp",P1491)),ISNUMBER(SEARCH("mis",P1491)),ISNUMBER(SEARCH("fail",P1491)),ISNUMBER(SEARCH("loss",P1491)),ISNUMBER(SEARCH("beat",P1491)),ISNUMBER(SEARCH("lost",P1491))),"u","")))</f>
        <v/>
      </c>
      <c r="S1491" t="str">
        <f>IF(A1491=1,MAX($S$2:$S1490)+1,IF(OR($I1491&lt;&gt;"",A1491="x"),$S1490,""))</f>
        <v/>
      </c>
      <c r="T1491" t="str">
        <f>IF(D1491=1,MAX($T$2:$T1490)+1,IF(S1491=S1490,$T1490,IF(D1491="x",T1490,IF(D1490="x","",""))))</f>
        <v/>
      </c>
      <c r="U1491" t="str">
        <f>IF(B1491=1,MAX($U$2:$U1490)+1,IF(AND($T1491&lt;&gt;"",$T1491=$T1490),$U1490,IF(B1491="x",U1490,"")))</f>
        <v/>
      </c>
      <c r="V1491" t="str">
        <f>IF(C1491=1,MAX($V$2:$V1490)+1,IF(AND($T1491&lt;&gt;"",$T1491=$T1490),$U1490,IF(C1491="x",V1490,"")))</f>
        <v/>
      </c>
      <c r="X1491" cm="1">
        <f t="array" ref="X1491">IF($I1491&lt;&gt;"",$I1491,INDEX($I$1:$I1491,ROW()-COUNTIFS($T$1:$T1491,"="&amp;$T1491,$S$1:$S1491,"&lt;"&amp;$S1491)))</f>
        <v>0</v>
      </c>
      <c r="Z1491" s="6">
        <f t="shared" si="230"/>
        <v>1</v>
      </c>
      <c r="AA1491" t="e">
        <f t="shared" si="231"/>
        <v>#VALUE!</v>
      </c>
      <c r="AB1491" t="str">
        <f t="shared" si="232"/>
        <v/>
      </c>
      <c r="AC1491" t="e">
        <f t="shared" si="233"/>
        <v>#VALUE!</v>
      </c>
    </row>
    <row r="1492" spans="1:29" x14ac:dyDescent="0.2">
      <c r="A1492" t="str">
        <f t="shared" si="234"/>
        <v/>
      </c>
      <c r="E1492" s="4"/>
      <c r="F1492" s="46"/>
      <c r="G1492" s="4"/>
      <c r="H1492" s="48"/>
      <c r="J1492" s="26" t="str">
        <f t="shared" si="235"/>
        <v/>
      </c>
      <c r="N1492" t="str">
        <f t="shared" si="236"/>
        <v/>
      </c>
      <c r="Q1492" t="str">
        <f t="shared" si="237"/>
        <v/>
      </c>
      <c r="S1492" t="str">
        <f>IF(A1492=1,MAX($S$2:$S1491)+1,IF(OR($I1492&lt;&gt;"",A1492="x"),$S1491,""))</f>
        <v/>
      </c>
      <c r="T1492" t="str">
        <f>IF(D1492=1,MAX($T$2:$T1491)+1,IF(S1492=S1491,$T1491,IF(D1492="x",T1491,IF(D1491="x","",""))))</f>
        <v/>
      </c>
      <c r="U1492" t="str">
        <f>IF(B1492=1,MAX($U$2:$U1491)+1,IF(AND($T1492&lt;&gt;"",$T1492=$T1491),$U1491,IF(B1492="x",U1491,"")))</f>
        <v/>
      </c>
      <c r="V1492" t="str">
        <f>IF(C1492=1,MAX($V$2:$V1491)+1,IF(AND($T1492&lt;&gt;"",$T1492=$T1491),$U1491,IF(C1492="x",V1491,"")))</f>
        <v/>
      </c>
      <c r="X1492" cm="1">
        <f t="array" ref="X1492">IF($I1492&lt;&gt;"",$I1492,INDEX($I$1:$I1492,ROW()-COUNTIFS($T$1:$T1492,"="&amp;$T1492,$S$1:$S1492,"&lt;"&amp;$S1492)))</f>
        <v>0</v>
      </c>
      <c r="Z1492" s="6">
        <f t="shared" si="230"/>
        <v>1</v>
      </c>
      <c r="AA1492" t="e">
        <f t="shared" si="231"/>
        <v>#VALUE!</v>
      </c>
      <c r="AB1492" t="str">
        <f t="shared" si="232"/>
        <v/>
      </c>
      <c r="AC1492" t="e">
        <f t="shared" si="233"/>
        <v>#VALUE!</v>
      </c>
    </row>
    <row r="1493" spans="1:29" x14ac:dyDescent="0.2">
      <c r="A1493" t="str">
        <f t="shared" si="234"/>
        <v/>
      </c>
      <c r="E1493" s="4"/>
      <c r="F1493" s="46"/>
      <c r="G1493" s="4"/>
      <c r="H1493" s="48"/>
      <c r="J1493" s="26" t="str">
        <f t="shared" si="235"/>
        <v/>
      </c>
      <c r="N1493" t="str">
        <f t="shared" si="236"/>
        <v/>
      </c>
      <c r="Q1493" t="str">
        <f t="shared" si="237"/>
        <v/>
      </c>
      <c r="S1493" t="str">
        <f>IF(A1493=1,MAX($S$2:$S1492)+1,IF(OR($I1493&lt;&gt;"",A1493="x"),$S1492,""))</f>
        <v/>
      </c>
      <c r="T1493" t="str">
        <f>IF(D1493=1,MAX($T$2:$T1492)+1,IF(S1493=S1492,$T1492,IF(D1493="x",T1492,IF(D1492="x","",""))))</f>
        <v/>
      </c>
      <c r="U1493" t="str">
        <f>IF(B1493=1,MAX($U$2:$U1492)+1,IF(AND($T1493&lt;&gt;"",$T1493=$T1492),$U1492,IF(B1493="x",U1492,"")))</f>
        <v/>
      </c>
      <c r="V1493" t="str">
        <f>IF(C1493=1,MAX($V$2:$V1492)+1,IF(AND($T1493&lt;&gt;"",$T1493=$T1492),$U1492,IF(C1493="x",V1492,"")))</f>
        <v/>
      </c>
      <c r="X1493" cm="1">
        <f t="array" ref="X1493">IF($I1493&lt;&gt;"",$I1493,INDEX($I$1:$I1493,ROW()-COUNTIFS($T$1:$T1493,"="&amp;$T1493,$S$1:$S1493,"&lt;"&amp;$S1493)))</f>
        <v>0</v>
      </c>
      <c r="Z1493" s="6">
        <f t="shared" si="230"/>
        <v>1</v>
      </c>
      <c r="AA1493" t="e">
        <f t="shared" si="231"/>
        <v>#VALUE!</v>
      </c>
      <c r="AB1493" t="str">
        <f t="shared" si="232"/>
        <v/>
      </c>
      <c r="AC1493" t="e">
        <f t="shared" si="233"/>
        <v>#VALUE!</v>
      </c>
    </row>
    <row r="1494" spans="1:29" x14ac:dyDescent="0.2">
      <c r="A1494" t="str">
        <f t="shared" si="234"/>
        <v/>
      </c>
      <c r="E1494" s="4"/>
      <c r="F1494" s="46"/>
      <c r="G1494" s="4"/>
      <c r="H1494" s="48"/>
      <c r="J1494" s="26" t="str">
        <f t="shared" si="235"/>
        <v/>
      </c>
      <c r="N1494" t="str">
        <f t="shared" si="236"/>
        <v/>
      </c>
      <c r="Q1494" t="str">
        <f t="shared" si="237"/>
        <v/>
      </c>
      <c r="S1494" t="str">
        <f>IF(A1494=1,MAX($S$2:$S1493)+1,IF(OR($I1494&lt;&gt;"",A1494="x"),$S1493,""))</f>
        <v/>
      </c>
      <c r="T1494" t="str">
        <f>IF(D1494=1,MAX($T$2:$T1493)+1,IF(S1494=S1493,$T1493,IF(D1494="x",T1493,IF(D1493="x","",""))))</f>
        <v/>
      </c>
      <c r="U1494" t="str">
        <f>IF(B1494=1,MAX($U$2:$U1493)+1,IF(AND($T1494&lt;&gt;"",$T1494=$T1493),$U1493,IF(B1494="x",U1493,"")))</f>
        <v/>
      </c>
      <c r="V1494" t="str">
        <f>IF(C1494=1,MAX($V$2:$V1493)+1,IF(AND($T1494&lt;&gt;"",$T1494=$T1493),$U1493,IF(C1494="x",V1493,"")))</f>
        <v/>
      </c>
      <c r="X1494" cm="1">
        <f t="array" ref="X1494">IF($I1494&lt;&gt;"",$I1494,INDEX($I$1:$I1494,ROW()-COUNTIFS($T$1:$T1494,"="&amp;$T1494,$S$1:$S1494,"&lt;"&amp;$S1494)))</f>
        <v>0</v>
      </c>
      <c r="Z1494" s="6">
        <f t="shared" si="230"/>
        <v>1</v>
      </c>
      <c r="AA1494" t="e">
        <f t="shared" si="231"/>
        <v>#VALUE!</v>
      </c>
      <c r="AB1494" t="str">
        <f t="shared" si="232"/>
        <v/>
      </c>
      <c r="AC1494" t="e">
        <f t="shared" si="233"/>
        <v>#VALUE!</v>
      </c>
    </row>
    <row r="1495" spans="1:29" x14ac:dyDescent="0.2">
      <c r="A1495" t="str">
        <f t="shared" si="234"/>
        <v/>
      </c>
      <c r="E1495" s="4"/>
      <c r="F1495" s="46"/>
      <c r="G1495" s="4"/>
      <c r="H1495" s="48"/>
      <c r="J1495" s="26" t="str">
        <f t="shared" si="235"/>
        <v/>
      </c>
      <c r="N1495" t="str">
        <f t="shared" si="236"/>
        <v/>
      </c>
      <c r="Q1495" t="str">
        <f t="shared" si="237"/>
        <v/>
      </c>
      <c r="S1495" t="str">
        <f>IF(A1495=1,MAX($S$2:$S1494)+1,IF(OR($I1495&lt;&gt;"",A1495="x"),$S1494,""))</f>
        <v/>
      </c>
      <c r="T1495" t="str">
        <f>IF(D1495=1,MAX($T$2:$T1494)+1,IF(S1495=S1494,$T1494,IF(D1495="x",T1494,IF(D1494="x","",""))))</f>
        <v/>
      </c>
      <c r="U1495" t="str">
        <f>IF(B1495=1,MAX($U$2:$U1494)+1,IF(AND($T1495&lt;&gt;"",$T1495=$T1494),$U1494,IF(B1495="x",U1494,"")))</f>
        <v/>
      </c>
      <c r="V1495" t="str">
        <f>IF(C1495=1,MAX($V$2:$V1494)+1,IF(AND($T1495&lt;&gt;"",$T1495=$T1494),$U1494,IF(C1495="x",V1494,"")))</f>
        <v/>
      </c>
      <c r="X1495" cm="1">
        <f t="array" ref="X1495">IF($I1495&lt;&gt;"",$I1495,INDEX($I$1:$I1495,ROW()-COUNTIFS($T$1:$T1495,"="&amp;$T1495,$S$1:$S1495,"&lt;"&amp;$S1495)))</f>
        <v>0</v>
      </c>
      <c r="Z1495" s="6">
        <f t="shared" si="230"/>
        <v>1</v>
      </c>
      <c r="AA1495" t="e">
        <f t="shared" si="231"/>
        <v>#VALUE!</v>
      </c>
      <c r="AB1495" t="str">
        <f t="shared" si="232"/>
        <v/>
      </c>
      <c r="AC1495" t="e">
        <f t="shared" si="233"/>
        <v>#VALUE!</v>
      </c>
    </row>
    <row r="1496" spans="1:29" x14ac:dyDescent="0.2">
      <c r="A1496" t="str">
        <f t="shared" si="234"/>
        <v/>
      </c>
      <c r="E1496" s="4"/>
      <c r="F1496" s="46"/>
      <c r="G1496" s="4"/>
      <c r="H1496" s="48"/>
      <c r="J1496" s="26" t="str">
        <f t="shared" si="235"/>
        <v/>
      </c>
      <c r="N1496" t="str">
        <f t="shared" si="236"/>
        <v/>
      </c>
      <c r="Q1496" t="str">
        <f t="shared" si="237"/>
        <v/>
      </c>
      <c r="S1496" t="str">
        <f>IF(A1496=1,MAX($S$2:$S1495)+1,IF(OR($I1496&lt;&gt;"",A1496="x"),$S1495,""))</f>
        <v/>
      </c>
      <c r="T1496" t="str">
        <f>IF(D1496=1,MAX($T$2:$T1495)+1,IF(S1496=S1495,$T1495,IF(D1496="x",T1495,IF(D1495="x","",""))))</f>
        <v/>
      </c>
      <c r="U1496" t="str">
        <f>IF(B1496=1,MAX($U$2:$U1495)+1,IF(AND($T1496&lt;&gt;"",$T1496=$T1495),$U1495,IF(B1496="x",U1495,"")))</f>
        <v/>
      </c>
      <c r="V1496" t="str">
        <f>IF(C1496=1,MAX($V$2:$V1495)+1,IF(AND($T1496&lt;&gt;"",$T1496=$T1495),$U1495,IF(C1496="x",V1495,"")))</f>
        <v/>
      </c>
      <c r="X1496" cm="1">
        <f t="array" ref="X1496">IF($I1496&lt;&gt;"",$I1496,INDEX($I$1:$I1496,ROW()-COUNTIFS($T$1:$T1496,"="&amp;$T1496,$S$1:$S1496,"&lt;"&amp;$S1496)))</f>
        <v>0</v>
      </c>
      <c r="Z1496" s="6">
        <f t="shared" si="230"/>
        <v>1</v>
      </c>
      <c r="AA1496" t="e">
        <f t="shared" si="231"/>
        <v>#VALUE!</v>
      </c>
      <c r="AB1496" t="str">
        <f t="shared" si="232"/>
        <v/>
      </c>
      <c r="AC1496" t="e">
        <f t="shared" si="233"/>
        <v>#VALUE!</v>
      </c>
    </row>
    <row r="1497" spans="1:29" x14ac:dyDescent="0.2">
      <c r="A1497" t="str">
        <f t="shared" si="234"/>
        <v/>
      </c>
      <c r="E1497" s="4"/>
      <c r="F1497" s="46"/>
      <c r="G1497" s="4"/>
      <c r="H1497" s="48"/>
      <c r="J1497" s="26" t="str">
        <f t="shared" si="235"/>
        <v/>
      </c>
      <c r="N1497" t="str">
        <f t="shared" si="236"/>
        <v/>
      </c>
      <c r="Q1497" t="str">
        <f t="shared" si="237"/>
        <v/>
      </c>
      <c r="S1497" t="str">
        <f>IF(A1497=1,MAX($S$2:$S1496)+1,IF(OR($I1497&lt;&gt;"",A1497="x"),$S1496,""))</f>
        <v/>
      </c>
      <c r="T1497" t="str">
        <f>IF(D1497=1,MAX($T$2:$T1496)+1,IF(S1497=S1496,$T1496,IF(D1497="x",T1496,IF(D1496="x","",""))))</f>
        <v/>
      </c>
      <c r="U1497" t="str">
        <f>IF(B1497=1,MAX($U$2:$U1496)+1,IF(AND($T1497&lt;&gt;"",$T1497=$T1496),$U1496,IF(B1497="x",U1496,"")))</f>
        <v/>
      </c>
      <c r="V1497" t="str">
        <f>IF(C1497=1,MAX($V$2:$V1496)+1,IF(AND($T1497&lt;&gt;"",$T1497=$T1496),$U1496,IF(C1497="x",V1496,"")))</f>
        <v/>
      </c>
      <c r="X1497" cm="1">
        <f t="array" ref="X1497">IF($I1497&lt;&gt;"",$I1497,INDEX($I$1:$I1497,ROW()-COUNTIFS($T$1:$T1497,"="&amp;$T1497,$S$1:$S1497,"&lt;"&amp;$S1497)))</f>
        <v>0</v>
      </c>
      <c r="Z1497" s="6">
        <f t="shared" si="230"/>
        <v>1</v>
      </c>
      <c r="AA1497" t="e">
        <f t="shared" si="231"/>
        <v>#VALUE!</v>
      </c>
      <c r="AB1497" t="str">
        <f t="shared" si="232"/>
        <v/>
      </c>
      <c r="AC1497" t="e">
        <f t="shared" si="233"/>
        <v>#VALUE!</v>
      </c>
    </row>
    <row r="1498" spans="1:29" x14ac:dyDescent="0.2">
      <c r="A1498" t="str">
        <f t="shared" si="234"/>
        <v/>
      </c>
      <c r="E1498" s="4"/>
      <c r="F1498" s="46"/>
      <c r="G1498" s="4"/>
      <c r="H1498" s="48"/>
      <c r="J1498" s="26" t="str">
        <f t="shared" si="235"/>
        <v/>
      </c>
      <c r="N1498" t="str">
        <f t="shared" si="236"/>
        <v/>
      </c>
      <c r="Q1498" t="str">
        <f t="shared" si="237"/>
        <v/>
      </c>
      <c r="S1498" t="str">
        <f>IF(A1498=1,MAX($S$2:$S1497)+1,IF(OR($I1498&lt;&gt;"",A1498="x"),$S1497,""))</f>
        <v/>
      </c>
      <c r="T1498" t="str">
        <f>IF(D1498=1,MAX($T$2:$T1497)+1,IF(S1498=S1497,$T1497,IF(D1498="x",T1497,IF(D1497="x","",""))))</f>
        <v/>
      </c>
      <c r="U1498" t="str">
        <f>IF(B1498=1,MAX($U$2:$U1497)+1,IF(AND($T1498&lt;&gt;"",$T1498=$T1497),$U1497,IF(B1498="x",U1497,"")))</f>
        <v/>
      </c>
      <c r="V1498" t="str">
        <f>IF(C1498=1,MAX($V$2:$V1497)+1,IF(AND($T1498&lt;&gt;"",$T1498=$T1497),$U1497,IF(C1498="x",V1497,"")))</f>
        <v/>
      </c>
      <c r="X1498" cm="1">
        <f t="array" ref="X1498">IF($I1498&lt;&gt;"",$I1498,INDEX($I$1:$I1498,ROW()-COUNTIFS($T$1:$T1498,"="&amp;$T1498,$S$1:$S1498,"&lt;"&amp;$S1498)))</f>
        <v>0</v>
      </c>
      <c r="Z1498" s="6">
        <f t="shared" si="230"/>
        <v>1</v>
      </c>
      <c r="AA1498" t="e">
        <f t="shared" si="231"/>
        <v>#VALUE!</v>
      </c>
      <c r="AB1498" t="str">
        <f t="shared" si="232"/>
        <v/>
      </c>
      <c r="AC1498" t="e">
        <f t="shared" si="233"/>
        <v>#VALUE!</v>
      </c>
    </row>
    <row r="1499" spans="1:29" x14ac:dyDescent="0.2">
      <c r="A1499" t="str">
        <f t="shared" si="234"/>
        <v/>
      </c>
      <c r="E1499" s="4"/>
      <c r="F1499" s="46"/>
      <c r="G1499" s="4"/>
      <c r="H1499" s="48"/>
      <c r="J1499" s="26" t="str">
        <f t="shared" si="235"/>
        <v/>
      </c>
      <c r="N1499" t="str">
        <f t="shared" si="236"/>
        <v/>
      </c>
      <c r="Q1499" t="str">
        <f t="shared" si="237"/>
        <v/>
      </c>
      <c r="S1499" t="str">
        <f>IF(A1499=1,MAX($S$2:$S1498)+1,IF(OR($I1499&lt;&gt;"",A1499="x"),$S1498,""))</f>
        <v/>
      </c>
      <c r="T1499" t="str">
        <f>IF(D1499=1,MAX($T$2:$T1498)+1,IF(S1499=S1498,$T1498,IF(D1499="x",T1498,IF(D1498="x","",""))))</f>
        <v/>
      </c>
      <c r="U1499" t="str">
        <f>IF(B1499=1,MAX($U$2:$U1498)+1,IF(AND($T1499&lt;&gt;"",$T1499=$T1498),$U1498,IF(B1499="x",U1498,"")))</f>
        <v/>
      </c>
      <c r="V1499" t="str">
        <f>IF(C1499=1,MAX($V$2:$V1498)+1,IF(AND($T1499&lt;&gt;"",$T1499=$T1498),$U1498,IF(C1499="x",V1498,"")))</f>
        <v/>
      </c>
      <c r="X1499" cm="1">
        <f t="array" ref="X1499">IF($I1499&lt;&gt;"",$I1499,INDEX($I$1:$I1499,ROW()-COUNTIFS($T$1:$T1499,"="&amp;$T1499,$S$1:$S1499,"&lt;"&amp;$S1499)))</f>
        <v>0</v>
      </c>
      <c r="Z1499" s="6">
        <f t="shared" si="230"/>
        <v>1</v>
      </c>
      <c r="AA1499" t="e">
        <f t="shared" si="231"/>
        <v>#VALUE!</v>
      </c>
      <c r="AB1499" t="str">
        <f t="shared" si="232"/>
        <v/>
      </c>
      <c r="AC1499" t="e">
        <f t="shared" si="233"/>
        <v>#VALUE!</v>
      </c>
    </row>
    <row r="1500" spans="1:29" x14ac:dyDescent="0.2">
      <c r="A1500" t="str">
        <f t="shared" si="234"/>
        <v/>
      </c>
      <c r="E1500" s="4"/>
      <c r="F1500" s="46"/>
      <c r="G1500" s="4"/>
      <c r="H1500" s="48"/>
      <c r="J1500" s="26" t="str">
        <f t="shared" si="235"/>
        <v/>
      </c>
      <c r="N1500" t="str">
        <f t="shared" si="236"/>
        <v/>
      </c>
      <c r="Q1500" t="str">
        <f t="shared" si="237"/>
        <v/>
      </c>
      <c r="S1500" t="str">
        <f>IF(A1500=1,MAX($S$2:$S1499)+1,IF(OR($I1500&lt;&gt;"",A1500="x"),$S1499,""))</f>
        <v/>
      </c>
      <c r="T1500" t="str">
        <f>IF(D1500=1,MAX($T$2:$T1499)+1,IF(S1500=S1499,$T1499,IF(D1500="x",T1499,IF(D1499="x","",""))))</f>
        <v/>
      </c>
      <c r="U1500" t="str">
        <f>IF(B1500=1,MAX($U$2:$U1499)+1,IF(AND($T1500&lt;&gt;"",$T1500=$T1499),$U1499,IF(B1500="x",U1499,"")))</f>
        <v/>
      </c>
      <c r="V1500" t="str">
        <f>IF(C1500=1,MAX($V$2:$V1499)+1,IF(AND($T1500&lt;&gt;"",$T1500=$T1499),$U1499,IF(C1500="x",V1499,"")))</f>
        <v/>
      </c>
      <c r="X1500" cm="1">
        <f t="array" ref="X1500">IF($I1500&lt;&gt;"",$I1500,INDEX($I$1:$I1500,ROW()-COUNTIFS($T$1:$T1500,"="&amp;$T1500,$S$1:$S1500,"&lt;"&amp;$S1500)))</f>
        <v>0</v>
      </c>
      <c r="Z1500" s="6">
        <f t="shared" si="230"/>
        <v>1</v>
      </c>
      <c r="AA1500" t="e">
        <f t="shared" si="231"/>
        <v>#VALUE!</v>
      </c>
      <c r="AB1500" t="str">
        <f t="shared" si="232"/>
        <v/>
      </c>
      <c r="AC1500" t="e">
        <f t="shared" si="233"/>
        <v>#VALUE!</v>
      </c>
    </row>
    <row r="1501" spans="1:29" x14ac:dyDescent="0.2">
      <c r="A1501" t="str">
        <f t="shared" si="234"/>
        <v/>
      </c>
      <c r="E1501" s="4"/>
      <c r="F1501" s="46"/>
      <c r="G1501" s="4"/>
      <c r="H1501" s="48"/>
      <c r="J1501" s="26" t="str">
        <f t="shared" si="235"/>
        <v/>
      </c>
      <c r="N1501" t="str">
        <f t="shared" si="236"/>
        <v/>
      </c>
      <c r="Q1501" t="str">
        <f t="shared" si="237"/>
        <v/>
      </c>
      <c r="S1501" t="str">
        <f>IF(A1501=1,MAX($S$2:$S1500)+1,IF(OR($I1501&lt;&gt;"",A1501="x"),$S1500,""))</f>
        <v/>
      </c>
      <c r="T1501" t="str">
        <f>IF(D1501=1,MAX($T$2:$T1500)+1,IF(S1501=S1500,$T1500,IF(D1501="x",T1500,IF(D1500="x","",""))))</f>
        <v/>
      </c>
      <c r="U1501" t="str">
        <f>IF(B1501=1,MAX($U$2:$U1500)+1,IF(AND($T1501&lt;&gt;"",$T1501=$T1500),$U1500,IF(B1501="x",U1500,"")))</f>
        <v/>
      </c>
      <c r="V1501" t="str">
        <f>IF(C1501=1,MAX($V$2:$V1500)+1,IF(AND($T1501&lt;&gt;"",$T1501=$T1500),$U1500,IF(C1501="x",V1500,"")))</f>
        <v/>
      </c>
      <c r="X1501" cm="1">
        <f t="array" ref="X1501">IF($I1501&lt;&gt;"",$I1501,INDEX($I$1:$I1501,ROW()-COUNTIFS($T$1:$T1501,"="&amp;$T1501,$S$1:$S1501,"&lt;"&amp;$S1501)))</f>
        <v>0</v>
      </c>
      <c r="Z1501" s="6">
        <f t="shared" si="230"/>
        <v>1</v>
      </c>
      <c r="AA1501" t="e">
        <f t="shared" si="231"/>
        <v>#VALUE!</v>
      </c>
      <c r="AB1501" t="str">
        <f t="shared" si="232"/>
        <v/>
      </c>
      <c r="AC1501" t="e">
        <f t="shared" si="233"/>
        <v>#VALUE!</v>
      </c>
    </row>
    <row r="1502" spans="1:29" x14ac:dyDescent="0.2">
      <c r="A1502" t="str">
        <f t="shared" si="234"/>
        <v/>
      </c>
      <c r="E1502" s="4"/>
      <c r="F1502" s="46"/>
      <c r="G1502" s="4"/>
      <c r="H1502" s="48"/>
      <c r="J1502" s="26" t="str">
        <f t="shared" si="235"/>
        <v/>
      </c>
      <c r="N1502" t="str">
        <f t="shared" si="236"/>
        <v/>
      </c>
      <c r="Q1502" t="str">
        <f t="shared" si="237"/>
        <v/>
      </c>
      <c r="S1502" t="str">
        <f>IF(A1502=1,MAX($S$2:$S1501)+1,IF(OR($I1502&lt;&gt;"",A1502="x"),$S1501,""))</f>
        <v/>
      </c>
      <c r="T1502" t="str">
        <f>IF(D1502=1,MAX($T$2:$T1501)+1,IF(S1502=S1501,$T1501,IF(D1502="x",T1501,IF(D1501="x","",""))))</f>
        <v/>
      </c>
      <c r="U1502" t="str">
        <f>IF(B1502=1,MAX($U$2:$U1501)+1,IF(AND($T1502&lt;&gt;"",$T1502=$T1501),$U1501,IF(B1502="x",U1501,"")))</f>
        <v/>
      </c>
      <c r="V1502" t="str">
        <f>IF(C1502=1,MAX($V$2:$V1501)+1,IF(AND($T1502&lt;&gt;"",$T1502=$T1501),$U1501,IF(C1502="x",V1501,"")))</f>
        <v/>
      </c>
      <c r="X1502" cm="1">
        <f t="array" ref="X1502">IF($I1502&lt;&gt;"",$I1502,INDEX($I$1:$I1502,ROW()-COUNTIFS($T$1:$T1502,"="&amp;$T1502,$S$1:$S1502,"&lt;"&amp;$S1502)))</f>
        <v>0</v>
      </c>
      <c r="Z1502" s="6">
        <f t="shared" si="230"/>
        <v>1</v>
      </c>
      <c r="AA1502" t="e">
        <f t="shared" si="231"/>
        <v>#VALUE!</v>
      </c>
      <c r="AB1502" t="str">
        <f t="shared" si="232"/>
        <v/>
      </c>
      <c r="AC1502" t="e">
        <f t="shared" si="233"/>
        <v>#VALUE!</v>
      </c>
    </row>
    <row r="1503" spans="1:29" x14ac:dyDescent="0.2">
      <c r="A1503" t="str">
        <f t="shared" si="234"/>
        <v/>
      </c>
      <c r="E1503" s="4"/>
      <c r="F1503" s="46"/>
      <c r="G1503" s="4"/>
      <c r="H1503" s="48"/>
      <c r="J1503" s="26" t="str">
        <f t="shared" si="235"/>
        <v/>
      </c>
      <c r="N1503" t="str">
        <f t="shared" si="236"/>
        <v/>
      </c>
      <c r="Q1503" t="str">
        <f t="shared" si="237"/>
        <v/>
      </c>
      <c r="S1503" t="str">
        <f>IF(A1503=1,MAX($S$2:$S1502)+1,IF(OR($I1503&lt;&gt;"",A1503="x"),$S1502,""))</f>
        <v/>
      </c>
      <c r="T1503" t="str">
        <f>IF(D1503=1,MAX($T$2:$T1502)+1,IF(S1503=S1502,$T1502,IF(D1503="x",T1502,IF(D1502="x","",""))))</f>
        <v/>
      </c>
      <c r="U1503" t="str">
        <f>IF(B1503=1,MAX($U$2:$U1502)+1,IF(AND($T1503&lt;&gt;"",$T1503=$T1502),$U1502,IF(B1503="x",U1502,"")))</f>
        <v/>
      </c>
      <c r="V1503" t="str">
        <f>IF(C1503=1,MAX($V$2:$V1502)+1,IF(AND($T1503&lt;&gt;"",$T1503=$T1502),$U1502,IF(C1503="x",V1502,"")))</f>
        <v/>
      </c>
      <c r="X1503" cm="1">
        <f t="array" ref="X1503">IF($I1503&lt;&gt;"",$I1503,INDEX($I$1:$I1503,ROW()-COUNTIFS($T$1:$T1503,"="&amp;$T1503,$S$1:$S1503,"&lt;"&amp;$S1503)))</f>
        <v>0</v>
      </c>
      <c r="Z1503" s="6">
        <f t="shared" si="230"/>
        <v>1</v>
      </c>
      <c r="AA1503" t="e">
        <f t="shared" si="231"/>
        <v>#VALUE!</v>
      </c>
      <c r="AB1503" t="str">
        <f t="shared" si="232"/>
        <v/>
      </c>
      <c r="AC1503" t="e">
        <f t="shared" si="233"/>
        <v>#VALUE!</v>
      </c>
    </row>
    <row r="1504" spans="1:29" x14ac:dyDescent="0.2">
      <c r="A1504" t="str">
        <f t="shared" si="234"/>
        <v/>
      </c>
      <c r="E1504" s="4"/>
      <c r="F1504" s="46"/>
      <c r="G1504" s="4"/>
      <c r="H1504" s="48"/>
      <c r="J1504" s="26" t="str">
        <f t="shared" si="235"/>
        <v/>
      </c>
      <c r="N1504" t="str">
        <f t="shared" si="236"/>
        <v/>
      </c>
      <c r="Q1504" t="str">
        <f t="shared" si="237"/>
        <v/>
      </c>
      <c r="S1504" t="str">
        <f>IF(A1504=1,MAX($S$2:$S1503)+1,IF(OR($I1504&lt;&gt;"",A1504="x"),$S1503,""))</f>
        <v/>
      </c>
      <c r="T1504" t="str">
        <f>IF(D1504=1,MAX($T$2:$T1503)+1,IF(S1504=S1503,$T1503,IF(D1504="x",T1503,IF(D1503="x","",""))))</f>
        <v/>
      </c>
      <c r="U1504" t="str">
        <f>IF(B1504=1,MAX($U$2:$U1503)+1,IF(AND($T1504&lt;&gt;"",$T1504=$T1503),$U1503,IF(B1504="x",U1503,"")))</f>
        <v/>
      </c>
      <c r="V1504" t="str">
        <f>IF(C1504=1,MAX($V$2:$V1503)+1,IF(AND($T1504&lt;&gt;"",$T1504=$T1503),$U1503,IF(C1504="x",V1503,"")))</f>
        <v/>
      </c>
      <c r="X1504" cm="1">
        <f t="array" ref="X1504">IF($I1504&lt;&gt;"",$I1504,INDEX($I$1:$I1504,ROW()-COUNTIFS($T$1:$T1504,"="&amp;$T1504,$S$1:$S1504,"&lt;"&amp;$S1504)))</f>
        <v>0</v>
      </c>
      <c r="Z1504" s="6">
        <f t="shared" si="230"/>
        <v>1</v>
      </c>
      <c r="AA1504" t="e">
        <f t="shared" si="231"/>
        <v>#VALUE!</v>
      </c>
      <c r="AB1504" t="str">
        <f t="shared" si="232"/>
        <v/>
      </c>
      <c r="AC1504" t="e">
        <f t="shared" si="233"/>
        <v>#VALUE!</v>
      </c>
    </row>
    <row r="1505" spans="1:29" x14ac:dyDescent="0.2">
      <c r="A1505" t="str">
        <f t="shared" si="234"/>
        <v/>
      </c>
      <c r="E1505" s="4"/>
      <c r="F1505" s="46"/>
      <c r="G1505" s="4"/>
      <c r="H1505" s="48"/>
      <c r="J1505" s="26" t="str">
        <f t="shared" si="235"/>
        <v/>
      </c>
      <c r="N1505" t="str">
        <f t="shared" si="236"/>
        <v/>
      </c>
      <c r="Q1505" t="str">
        <f t="shared" si="237"/>
        <v/>
      </c>
      <c r="S1505" t="str">
        <f>IF(A1505=1,MAX($S$2:$S1504)+1,IF(OR($I1505&lt;&gt;"",A1505="x"),$S1504,""))</f>
        <v/>
      </c>
      <c r="T1505" t="str">
        <f>IF(D1505=1,MAX($T$2:$T1504)+1,IF(S1505=S1504,$T1504,IF(D1505="x",T1504,IF(D1504="x","",""))))</f>
        <v/>
      </c>
      <c r="U1505" t="str">
        <f>IF(B1505=1,MAX($U$2:$U1504)+1,IF(AND($T1505&lt;&gt;"",$T1505=$T1504),$U1504,IF(B1505="x",U1504,"")))</f>
        <v/>
      </c>
      <c r="V1505" t="str">
        <f>IF(C1505=1,MAX($V$2:$V1504)+1,IF(AND($T1505&lt;&gt;"",$T1505=$T1504),$U1504,IF(C1505="x",V1504,"")))</f>
        <v/>
      </c>
      <c r="X1505" cm="1">
        <f t="array" ref="X1505">IF($I1505&lt;&gt;"",$I1505,INDEX($I$1:$I1505,ROW()-COUNTIFS($T$1:$T1505,"="&amp;$T1505,$S$1:$S1505,"&lt;"&amp;$S1505)))</f>
        <v>0</v>
      </c>
      <c r="Z1505" s="6">
        <f t="shared" si="230"/>
        <v>1</v>
      </c>
      <c r="AA1505" t="e">
        <f t="shared" si="231"/>
        <v>#VALUE!</v>
      </c>
      <c r="AB1505" t="str">
        <f t="shared" si="232"/>
        <v/>
      </c>
      <c r="AC1505" t="e">
        <f t="shared" si="233"/>
        <v>#VALUE!</v>
      </c>
    </row>
    <row r="1506" spans="1:29" x14ac:dyDescent="0.2">
      <c r="A1506" t="str">
        <f t="shared" si="234"/>
        <v/>
      </c>
      <c r="E1506" s="4"/>
      <c r="F1506" s="46"/>
      <c r="G1506" s="4"/>
      <c r="H1506" s="48"/>
      <c r="J1506" s="26" t="str">
        <f t="shared" si="235"/>
        <v/>
      </c>
      <c r="N1506" t="str">
        <f t="shared" si="236"/>
        <v/>
      </c>
      <c r="Q1506" t="str">
        <f t="shared" si="237"/>
        <v/>
      </c>
      <c r="S1506" t="str">
        <f>IF(A1506=1,MAX($S$2:$S1505)+1,IF(OR($I1506&lt;&gt;"",A1506="x"),$S1505,""))</f>
        <v/>
      </c>
      <c r="T1506" t="str">
        <f>IF(D1506=1,MAX($T$2:$T1505)+1,IF(S1506=S1505,$T1505,IF(D1506="x",T1505,IF(D1505="x","",""))))</f>
        <v/>
      </c>
      <c r="U1506" t="str">
        <f>IF(B1506=1,MAX($U$2:$U1505)+1,IF(AND($T1506&lt;&gt;"",$T1506=$T1505),$U1505,IF(B1506="x",U1505,"")))</f>
        <v/>
      </c>
      <c r="V1506" t="str">
        <f>IF(C1506=1,MAX($V$2:$V1505)+1,IF(AND($T1506&lt;&gt;"",$T1506=$T1505),$U1505,IF(C1506="x",V1505,"")))</f>
        <v/>
      </c>
      <c r="X1506" cm="1">
        <f t="array" ref="X1506">IF($I1506&lt;&gt;"",$I1506,INDEX($I$1:$I1506,ROW()-COUNTIFS($T$1:$T1506,"="&amp;$T1506,$S$1:$S1506,"&lt;"&amp;$S1506)))</f>
        <v>0</v>
      </c>
      <c r="Z1506" s="6">
        <f t="shared" si="230"/>
        <v>1</v>
      </c>
      <c r="AA1506" t="e">
        <f t="shared" si="231"/>
        <v>#VALUE!</v>
      </c>
      <c r="AB1506" t="str">
        <f t="shared" si="232"/>
        <v/>
      </c>
      <c r="AC1506" t="e">
        <f t="shared" si="233"/>
        <v>#VALUE!</v>
      </c>
    </row>
    <row r="1507" spans="1:29" x14ac:dyDescent="0.2">
      <c r="A1507" t="str">
        <f t="shared" si="234"/>
        <v/>
      </c>
      <c r="E1507" s="4"/>
      <c r="F1507" s="46"/>
      <c r="G1507" s="4"/>
      <c r="H1507" s="48"/>
      <c r="J1507" s="26" t="str">
        <f t="shared" si="235"/>
        <v/>
      </c>
      <c r="N1507" t="str">
        <f t="shared" si="236"/>
        <v/>
      </c>
      <c r="Q1507" t="str">
        <f t="shared" si="237"/>
        <v/>
      </c>
      <c r="S1507" t="str">
        <f>IF(A1507=1,MAX($S$2:$S1506)+1,IF(OR($I1507&lt;&gt;"",A1507="x"),$S1506,""))</f>
        <v/>
      </c>
      <c r="T1507" t="str">
        <f>IF(D1507=1,MAX($T$2:$T1506)+1,IF(S1507=S1506,$T1506,IF(D1507="x",T1506,IF(D1506="x","",""))))</f>
        <v/>
      </c>
      <c r="U1507" t="str">
        <f>IF(B1507=1,MAX($U$2:$U1506)+1,IF(AND($T1507&lt;&gt;"",$T1507=$T1506),$U1506,IF(B1507="x",U1506,"")))</f>
        <v/>
      </c>
      <c r="V1507" t="str">
        <f>IF(C1507=1,MAX($V$2:$V1506)+1,IF(AND($T1507&lt;&gt;"",$T1507=$T1506),$U1506,IF(C1507="x",V1506,"")))</f>
        <v/>
      </c>
      <c r="X1507" cm="1">
        <f t="array" ref="X1507">IF($I1507&lt;&gt;"",$I1507,INDEX($I$1:$I1507,ROW()-COUNTIFS($T$1:$T1507,"="&amp;$T1507,$S$1:$S1507,"&lt;"&amp;$S1507)))</f>
        <v>0</v>
      </c>
      <c r="Z1507" s="6">
        <f t="shared" si="230"/>
        <v>1</v>
      </c>
      <c r="AA1507" t="e">
        <f t="shared" si="231"/>
        <v>#VALUE!</v>
      </c>
      <c r="AB1507" t="str">
        <f t="shared" si="232"/>
        <v/>
      </c>
      <c r="AC1507" t="e">
        <f t="shared" si="233"/>
        <v>#VALUE!</v>
      </c>
    </row>
    <row r="1508" spans="1:29" x14ac:dyDescent="0.2">
      <c r="A1508" t="str">
        <f t="shared" si="234"/>
        <v/>
      </c>
      <c r="E1508" s="4"/>
      <c r="F1508" s="46"/>
      <c r="G1508" s="4"/>
      <c r="H1508" s="48"/>
      <c r="J1508" s="26" t="str">
        <f t="shared" si="235"/>
        <v/>
      </c>
      <c r="N1508" t="str">
        <f t="shared" si="236"/>
        <v/>
      </c>
      <c r="Q1508" t="str">
        <f t="shared" si="237"/>
        <v/>
      </c>
      <c r="S1508" t="str">
        <f>IF(A1508=1,MAX($S$2:$S1507)+1,IF(OR($I1508&lt;&gt;"",A1508="x"),$S1507,""))</f>
        <v/>
      </c>
      <c r="T1508" t="str">
        <f>IF(D1508=1,MAX($T$2:$T1507)+1,IF(S1508=S1507,$T1507,IF(D1508="x",T1507,IF(D1507="x","",""))))</f>
        <v/>
      </c>
      <c r="U1508" t="str">
        <f>IF(B1508=1,MAX($U$2:$U1507)+1,IF(AND($T1508&lt;&gt;"",$T1508=$T1507),$U1507,IF(B1508="x",U1507,"")))</f>
        <v/>
      </c>
      <c r="V1508" t="str">
        <f>IF(C1508=1,MAX($V$2:$V1507)+1,IF(AND($T1508&lt;&gt;"",$T1508=$T1507),$U1507,IF(C1508="x",V1507,"")))</f>
        <v/>
      </c>
      <c r="X1508" cm="1">
        <f t="array" ref="X1508">IF($I1508&lt;&gt;"",$I1508,INDEX($I$1:$I1508,ROW()-COUNTIFS($T$1:$T1508,"="&amp;$T1508,$S$1:$S1508,"&lt;"&amp;$S1508)))</f>
        <v>0</v>
      </c>
      <c r="Z1508" s="6">
        <f t="shared" si="230"/>
        <v>1</v>
      </c>
      <c r="AA1508" t="e">
        <f t="shared" si="231"/>
        <v>#VALUE!</v>
      </c>
      <c r="AB1508" t="str">
        <f t="shared" si="232"/>
        <v/>
      </c>
      <c r="AC1508" t="e">
        <f t="shared" si="233"/>
        <v>#VALUE!</v>
      </c>
    </row>
    <row r="1509" spans="1:29" x14ac:dyDescent="0.2">
      <c r="A1509" t="str">
        <f t="shared" si="234"/>
        <v/>
      </c>
      <c r="E1509" s="4"/>
      <c r="F1509" s="46"/>
      <c r="G1509" s="4"/>
      <c r="H1509" s="48"/>
      <c r="J1509" s="26" t="str">
        <f t="shared" si="235"/>
        <v/>
      </c>
      <c r="N1509" t="str">
        <f t="shared" si="236"/>
        <v/>
      </c>
      <c r="Q1509" t="str">
        <f t="shared" si="237"/>
        <v/>
      </c>
      <c r="S1509" t="str">
        <f>IF(A1509=1,MAX($S$2:$S1508)+1,IF(OR($I1509&lt;&gt;"",A1509="x"),$S1508,""))</f>
        <v/>
      </c>
      <c r="T1509" t="str">
        <f>IF(D1509=1,MAX($T$2:$T1508)+1,IF(S1509=S1508,$T1508,IF(D1509="x",T1508,IF(D1508="x","",""))))</f>
        <v/>
      </c>
      <c r="U1509" t="str">
        <f>IF(B1509=1,MAX($U$2:$U1508)+1,IF(AND($T1509&lt;&gt;"",$T1509=$T1508),$U1508,IF(B1509="x",U1508,"")))</f>
        <v/>
      </c>
      <c r="V1509" t="str">
        <f>IF(C1509=1,MAX($V$2:$V1508)+1,IF(AND($T1509&lt;&gt;"",$T1509=$T1508),$U1508,IF(C1509="x",V1508,"")))</f>
        <v/>
      </c>
      <c r="X1509" cm="1">
        <f t="array" ref="X1509">IF($I1509&lt;&gt;"",$I1509,INDEX($I$1:$I1509,ROW()-COUNTIFS($T$1:$T1509,"="&amp;$T1509,$S$1:$S1509,"&lt;"&amp;$S1509)))</f>
        <v>0</v>
      </c>
      <c r="Z1509" s="6">
        <f t="shared" si="230"/>
        <v>1</v>
      </c>
      <c r="AA1509" t="e">
        <f t="shared" si="231"/>
        <v>#VALUE!</v>
      </c>
      <c r="AB1509" t="str">
        <f t="shared" si="232"/>
        <v/>
      </c>
      <c r="AC1509" t="e">
        <f t="shared" si="233"/>
        <v>#VALUE!</v>
      </c>
    </row>
    <row r="1510" spans="1:29" x14ac:dyDescent="0.2">
      <c r="A1510" t="str">
        <f t="shared" si="234"/>
        <v/>
      </c>
      <c r="E1510" s="4"/>
      <c r="F1510" s="46"/>
      <c r="G1510" s="4"/>
      <c r="H1510" s="48"/>
      <c r="J1510" s="26" t="str">
        <f t="shared" si="235"/>
        <v/>
      </c>
      <c r="N1510" t="str">
        <f t="shared" si="236"/>
        <v/>
      </c>
      <c r="Q1510" t="str">
        <f t="shared" si="237"/>
        <v/>
      </c>
      <c r="S1510" t="str">
        <f>IF(A1510=1,MAX($S$2:$S1509)+1,IF(OR($I1510&lt;&gt;"",A1510="x"),$S1509,""))</f>
        <v/>
      </c>
      <c r="T1510" t="str">
        <f>IF(D1510=1,MAX($T$2:$T1509)+1,IF(S1510=S1509,$T1509,IF(D1510="x",T1509,IF(D1509="x","",""))))</f>
        <v/>
      </c>
      <c r="U1510" t="str">
        <f>IF(B1510=1,MAX($U$2:$U1509)+1,IF(AND($T1510&lt;&gt;"",$T1510=$T1509),$U1509,IF(B1510="x",U1509,"")))</f>
        <v/>
      </c>
      <c r="V1510" t="str">
        <f>IF(C1510=1,MAX($V$2:$V1509)+1,IF(AND($T1510&lt;&gt;"",$T1510=$T1509),$U1509,IF(C1510="x",V1509,"")))</f>
        <v/>
      </c>
      <c r="X1510" cm="1">
        <f t="array" ref="X1510">IF($I1510&lt;&gt;"",$I1510,INDEX($I$1:$I1510,ROW()-COUNTIFS($T$1:$T1510,"="&amp;$T1510,$S$1:$S1510,"&lt;"&amp;$S1510)))</f>
        <v>0</v>
      </c>
      <c r="Z1510" s="6">
        <f t="shared" si="230"/>
        <v>1</v>
      </c>
      <c r="AA1510" t="e">
        <f t="shared" si="231"/>
        <v>#VALUE!</v>
      </c>
      <c r="AB1510" t="str">
        <f t="shared" si="232"/>
        <v/>
      </c>
      <c r="AC1510" t="e">
        <f t="shared" si="233"/>
        <v>#VALUE!</v>
      </c>
    </row>
    <row r="1511" spans="1:29" x14ac:dyDescent="0.2">
      <c r="A1511" t="str">
        <f t="shared" si="234"/>
        <v/>
      </c>
      <c r="E1511" s="4"/>
      <c r="F1511" s="46"/>
      <c r="G1511" s="4"/>
      <c r="H1511" s="48"/>
      <c r="J1511" s="26" t="str">
        <f t="shared" si="235"/>
        <v/>
      </c>
      <c r="N1511" t="str">
        <f t="shared" si="236"/>
        <v/>
      </c>
      <c r="Q1511" t="str">
        <f t="shared" si="237"/>
        <v/>
      </c>
      <c r="S1511" t="str">
        <f>IF(A1511=1,MAX($S$2:$S1510)+1,IF(OR($I1511&lt;&gt;"",A1511="x"),$S1510,""))</f>
        <v/>
      </c>
      <c r="T1511" t="str">
        <f>IF(D1511=1,MAX($T$2:$T1510)+1,IF(S1511=S1510,$T1510,IF(D1511="x",T1510,IF(D1510="x","",""))))</f>
        <v/>
      </c>
      <c r="U1511" t="str">
        <f>IF(B1511=1,MAX($U$2:$U1510)+1,IF(AND($T1511&lt;&gt;"",$T1511=$T1510),$U1510,IF(B1511="x",U1510,"")))</f>
        <v/>
      </c>
      <c r="V1511" t="str">
        <f>IF(C1511=1,MAX($V$2:$V1510)+1,IF(AND($T1511&lt;&gt;"",$T1511=$T1510),$U1510,IF(C1511="x",V1510,"")))</f>
        <v/>
      </c>
      <c r="X1511" cm="1">
        <f t="array" ref="X1511">IF($I1511&lt;&gt;"",$I1511,INDEX($I$1:$I1511,ROW()-COUNTIFS($T$1:$T1511,"="&amp;$T1511,$S$1:$S1511,"&lt;"&amp;$S1511)))</f>
        <v>0</v>
      </c>
      <c r="Z1511" s="6">
        <f t="shared" si="230"/>
        <v>1</v>
      </c>
      <c r="AA1511" t="e">
        <f t="shared" si="231"/>
        <v>#VALUE!</v>
      </c>
      <c r="AB1511" t="str">
        <f t="shared" si="232"/>
        <v/>
      </c>
      <c r="AC1511" t="e">
        <f t="shared" si="233"/>
        <v>#VALUE!</v>
      </c>
    </row>
    <row r="1512" spans="1:29" x14ac:dyDescent="0.2">
      <c r="A1512" t="str">
        <f t="shared" si="234"/>
        <v/>
      </c>
      <c r="E1512" s="4"/>
      <c r="F1512" s="46"/>
      <c r="G1512" s="4"/>
      <c r="H1512" s="48"/>
      <c r="J1512" s="26" t="str">
        <f t="shared" si="235"/>
        <v/>
      </c>
      <c r="N1512" t="str">
        <f t="shared" si="236"/>
        <v/>
      </c>
      <c r="Q1512" t="str">
        <f t="shared" si="237"/>
        <v/>
      </c>
      <c r="S1512" t="str">
        <f>IF(A1512=1,MAX($S$2:$S1511)+1,IF(OR($I1512&lt;&gt;"",A1512="x"),$S1511,""))</f>
        <v/>
      </c>
      <c r="T1512" t="str">
        <f>IF(D1512=1,MAX($T$2:$T1511)+1,IF(S1512=S1511,$T1511,IF(D1512="x",T1511,IF(D1511="x","",""))))</f>
        <v/>
      </c>
      <c r="U1512" t="str">
        <f>IF(B1512=1,MAX($U$2:$U1511)+1,IF(AND($T1512&lt;&gt;"",$T1512=$T1511),$U1511,IF(B1512="x",U1511,"")))</f>
        <v/>
      </c>
      <c r="V1512" t="str">
        <f>IF(C1512=1,MAX($V$2:$V1511)+1,IF(AND($T1512&lt;&gt;"",$T1512=$T1511),$U1511,IF(C1512="x",V1511,"")))</f>
        <v/>
      </c>
      <c r="X1512" cm="1">
        <f t="array" ref="X1512">IF($I1512&lt;&gt;"",$I1512,INDEX($I$1:$I1512,ROW()-COUNTIFS($T$1:$T1512,"="&amp;$T1512,$S$1:$S1512,"&lt;"&amp;$S1512)))</f>
        <v>0</v>
      </c>
      <c r="Z1512" s="6">
        <f t="shared" si="230"/>
        <v>1</v>
      </c>
      <c r="AA1512" t="e">
        <f t="shared" si="231"/>
        <v>#VALUE!</v>
      </c>
      <c r="AB1512" t="str">
        <f t="shared" si="232"/>
        <v/>
      </c>
      <c r="AC1512" t="e">
        <f t="shared" si="233"/>
        <v>#VALUE!</v>
      </c>
    </row>
    <row r="1513" spans="1:29" x14ac:dyDescent="0.2">
      <c r="A1513" t="str">
        <f t="shared" si="234"/>
        <v/>
      </c>
      <c r="E1513" s="4"/>
      <c r="F1513" s="46"/>
      <c r="G1513" s="4"/>
      <c r="H1513" s="48"/>
      <c r="J1513" s="26" t="str">
        <f t="shared" si="235"/>
        <v/>
      </c>
      <c r="N1513" t="str">
        <f t="shared" si="236"/>
        <v/>
      </c>
      <c r="Q1513" t="str">
        <f t="shared" si="237"/>
        <v/>
      </c>
      <c r="S1513" t="str">
        <f>IF(A1513=1,MAX($S$2:$S1512)+1,IF(OR($I1513&lt;&gt;"",A1513="x"),$S1512,""))</f>
        <v/>
      </c>
      <c r="T1513" t="str">
        <f>IF(D1513=1,MAX($T$2:$T1512)+1,IF(S1513=S1512,$T1512,IF(D1513="x",T1512,IF(D1512="x","",""))))</f>
        <v/>
      </c>
      <c r="U1513" t="str">
        <f>IF(B1513=1,MAX($U$2:$U1512)+1,IF(AND($T1513&lt;&gt;"",$T1513=$T1512),$U1512,IF(B1513="x",U1512,"")))</f>
        <v/>
      </c>
      <c r="V1513" t="str">
        <f>IF(C1513=1,MAX($V$2:$V1512)+1,IF(AND($T1513&lt;&gt;"",$T1513=$T1512),$U1512,IF(C1513="x",V1512,"")))</f>
        <v/>
      </c>
      <c r="X1513" cm="1">
        <f t="array" ref="X1513">IF($I1513&lt;&gt;"",$I1513,INDEX($I$1:$I1513,ROW()-COUNTIFS($T$1:$T1513,"="&amp;$T1513,$S$1:$S1513,"&lt;"&amp;$S1513)))</f>
        <v>0</v>
      </c>
      <c r="Z1513" s="6">
        <f t="shared" si="230"/>
        <v>1</v>
      </c>
      <c r="AA1513" t="e">
        <f t="shared" si="231"/>
        <v>#VALUE!</v>
      </c>
      <c r="AB1513" t="str">
        <f t="shared" si="232"/>
        <v/>
      </c>
      <c r="AC1513" t="e">
        <f t="shared" si="233"/>
        <v>#VALUE!</v>
      </c>
    </row>
    <row r="1514" spans="1:29" x14ac:dyDescent="0.2">
      <c r="A1514" t="str">
        <f t="shared" si="234"/>
        <v/>
      </c>
      <c r="E1514" s="4"/>
      <c r="F1514" s="46"/>
      <c r="G1514" s="4"/>
      <c r="H1514" s="48"/>
      <c r="J1514" s="26" t="str">
        <f t="shared" si="235"/>
        <v/>
      </c>
      <c r="N1514" t="str">
        <f t="shared" si="236"/>
        <v/>
      </c>
      <c r="Q1514" t="str">
        <f t="shared" si="237"/>
        <v/>
      </c>
      <c r="S1514" t="str">
        <f>IF(A1514=1,MAX($S$2:$S1513)+1,IF(OR($I1514&lt;&gt;"",A1514="x"),$S1513,""))</f>
        <v/>
      </c>
      <c r="T1514" t="str">
        <f>IF(D1514=1,MAX($T$2:$T1513)+1,IF(S1514=S1513,$T1513,IF(D1514="x",T1513,IF(D1513="x","",""))))</f>
        <v/>
      </c>
      <c r="U1514" t="str">
        <f>IF(B1514=1,MAX($U$2:$U1513)+1,IF(AND($T1514&lt;&gt;"",$T1514=$T1513),$U1513,IF(B1514="x",U1513,"")))</f>
        <v/>
      </c>
      <c r="V1514" t="str">
        <f>IF(C1514=1,MAX($V$2:$V1513)+1,IF(AND($T1514&lt;&gt;"",$T1514=$T1513),$U1513,IF(C1514="x",V1513,"")))</f>
        <v/>
      </c>
      <c r="X1514" cm="1">
        <f t="array" ref="X1514">IF($I1514&lt;&gt;"",$I1514,INDEX($I$1:$I1514,ROW()-COUNTIFS($T$1:$T1514,"="&amp;$T1514,$S$1:$S1514,"&lt;"&amp;$S1514)))</f>
        <v>0</v>
      </c>
      <c r="Z1514" s="6">
        <f t="shared" si="230"/>
        <v>1</v>
      </c>
      <c r="AA1514" t="e">
        <f t="shared" si="231"/>
        <v>#VALUE!</v>
      </c>
      <c r="AB1514" t="str">
        <f t="shared" si="232"/>
        <v/>
      </c>
      <c r="AC1514" t="e">
        <f t="shared" si="233"/>
        <v>#VALUE!</v>
      </c>
    </row>
    <row r="1515" spans="1:29" x14ac:dyDescent="0.2">
      <c r="A1515" t="str">
        <f t="shared" si="234"/>
        <v/>
      </c>
      <c r="E1515" s="4"/>
      <c r="F1515" s="46"/>
      <c r="G1515" s="4"/>
      <c r="H1515" s="48"/>
      <c r="J1515" s="26" t="str">
        <f t="shared" si="235"/>
        <v/>
      </c>
      <c r="N1515" t="str">
        <f t="shared" si="236"/>
        <v/>
      </c>
      <c r="Q1515" t="str">
        <f t="shared" si="237"/>
        <v/>
      </c>
      <c r="S1515" t="str">
        <f>IF(A1515=1,MAX($S$2:$S1514)+1,IF(OR($I1515&lt;&gt;"",A1515="x"),$S1514,""))</f>
        <v/>
      </c>
      <c r="T1515" t="str">
        <f>IF(D1515=1,MAX($T$2:$T1514)+1,IF(S1515=S1514,$T1514,IF(D1515="x",T1514,IF(D1514="x","",""))))</f>
        <v/>
      </c>
      <c r="U1515" t="str">
        <f>IF(B1515=1,MAX($U$2:$U1514)+1,IF(AND($T1515&lt;&gt;"",$T1515=$T1514),$U1514,IF(B1515="x",U1514,"")))</f>
        <v/>
      </c>
      <c r="V1515" t="str">
        <f>IF(C1515=1,MAX($V$2:$V1514)+1,IF(AND($T1515&lt;&gt;"",$T1515=$T1514),$U1514,IF(C1515="x",V1514,"")))</f>
        <v/>
      </c>
      <c r="X1515" cm="1">
        <f t="array" ref="X1515">IF($I1515&lt;&gt;"",$I1515,INDEX($I$1:$I1515,ROW()-COUNTIFS($T$1:$T1515,"="&amp;$T1515,$S$1:$S1515,"&lt;"&amp;$S1515)))</f>
        <v>0</v>
      </c>
      <c r="Z1515" s="6">
        <f t="shared" si="230"/>
        <v>1</v>
      </c>
      <c r="AA1515" t="e">
        <f t="shared" si="231"/>
        <v>#VALUE!</v>
      </c>
      <c r="AB1515" t="str">
        <f t="shared" si="232"/>
        <v/>
      </c>
      <c r="AC1515" t="e">
        <f t="shared" si="233"/>
        <v>#VALUE!</v>
      </c>
    </row>
    <row r="1516" spans="1:29" x14ac:dyDescent="0.2">
      <c r="A1516" t="str">
        <f t="shared" si="234"/>
        <v/>
      </c>
      <c r="E1516" s="4"/>
      <c r="F1516" s="46"/>
      <c r="G1516" s="4"/>
      <c r="H1516" s="48"/>
      <c r="J1516" s="26" t="str">
        <f t="shared" si="235"/>
        <v/>
      </c>
      <c r="N1516" t="str">
        <f t="shared" si="236"/>
        <v/>
      </c>
      <c r="Q1516" t="str">
        <f t="shared" si="237"/>
        <v/>
      </c>
      <c r="S1516" t="str">
        <f>IF(A1516=1,MAX($S$2:$S1515)+1,IF(OR($I1516&lt;&gt;"",A1516="x"),$S1515,""))</f>
        <v/>
      </c>
      <c r="T1516" t="str">
        <f>IF(D1516=1,MAX($T$2:$T1515)+1,IF(S1516=S1515,$T1515,IF(D1516="x",T1515,IF(D1515="x","",""))))</f>
        <v/>
      </c>
      <c r="U1516" t="str">
        <f>IF(B1516=1,MAX($U$2:$U1515)+1,IF(AND($T1516&lt;&gt;"",$T1516=$T1515),$U1515,IF(B1516="x",U1515,"")))</f>
        <v/>
      </c>
      <c r="V1516" t="str">
        <f>IF(C1516=1,MAX($V$2:$V1515)+1,IF(AND($T1516&lt;&gt;"",$T1516=$T1515),$U1515,IF(C1516="x",V1515,"")))</f>
        <v/>
      </c>
      <c r="X1516" cm="1">
        <f t="array" ref="X1516">IF($I1516&lt;&gt;"",$I1516,INDEX($I$1:$I1516,ROW()-COUNTIFS($T$1:$T1516,"="&amp;$T1516,$S$1:$S1516,"&lt;"&amp;$S1516)))</f>
        <v>0</v>
      </c>
      <c r="Z1516" s="6">
        <f t="shared" si="230"/>
        <v>1</v>
      </c>
      <c r="AA1516" t="e">
        <f t="shared" si="231"/>
        <v>#VALUE!</v>
      </c>
      <c r="AB1516" t="str">
        <f t="shared" si="232"/>
        <v/>
      </c>
      <c r="AC1516" t="e">
        <f t="shared" si="233"/>
        <v>#VALUE!</v>
      </c>
    </row>
    <row r="1517" spans="1:29" x14ac:dyDescent="0.2">
      <c r="A1517" t="str">
        <f t="shared" si="234"/>
        <v/>
      </c>
      <c r="E1517" s="4"/>
      <c r="F1517" s="46"/>
      <c r="G1517" s="4"/>
      <c r="H1517" s="48"/>
      <c r="J1517" s="26" t="str">
        <f t="shared" si="235"/>
        <v/>
      </c>
      <c r="N1517" t="str">
        <f t="shared" si="236"/>
        <v/>
      </c>
      <c r="Q1517" t="str">
        <f t="shared" si="237"/>
        <v/>
      </c>
      <c r="S1517" t="str">
        <f>IF(A1517=1,MAX($S$2:$S1516)+1,IF(OR($I1517&lt;&gt;"",A1517="x"),$S1516,""))</f>
        <v/>
      </c>
      <c r="T1517" t="str">
        <f>IF(D1517=1,MAX($T$2:$T1516)+1,IF(S1517=S1516,$T1516,IF(D1517="x",T1516,IF(D1516="x","",""))))</f>
        <v/>
      </c>
      <c r="U1517" t="str">
        <f>IF(B1517=1,MAX($U$2:$U1516)+1,IF(AND($T1517&lt;&gt;"",$T1517=$T1516),$U1516,IF(B1517="x",U1516,"")))</f>
        <v/>
      </c>
      <c r="V1517" t="str">
        <f>IF(C1517=1,MAX($V$2:$V1516)+1,IF(AND($T1517&lt;&gt;"",$T1517=$T1516),$U1516,IF(C1517="x",V1516,"")))</f>
        <v/>
      </c>
      <c r="X1517" cm="1">
        <f t="array" ref="X1517">IF($I1517&lt;&gt;"",$I1517,INDEX($I$1:$I1517,ROW()-COUNTIFS($T$1:$T1517,"="&amp;$T1517,$S$1:$S1517,"&lt;"&amp;$S1517)))</f>
        <v>0</v>
      </c>
      <c r="Z1517" s="6">
        <f t="shared" si="230"/>
        <v>1</v>
      </c>
      <c r="AA1517" t="e">
        <f t="shared" si="231"/>
        <v>#VALUE!</v>
      </c>
      <c r="AB1517" t="str">
        <f t="shared" si="232"/>
        <v/>
      </c>
      <c r="AC1517" t="e">
        <f t="shared" si="233"/>
        <v>#VALUE!</v>
      </c>
    </row>
    <row r="1518" spans="1:29" x14ac:dyDescent="0.2">
      <c r="A1518" t="str">
        <f t="shared" si="234"/>
        <v/>
      </c>
      <c r="E1518" s="4"/>
      <c r="F1518" s="46"/>
      <c r="G1518" s="4"/>
      <c r="H1518" s="48"/>
      <c r="J1518" s="26" t="str">
        <f t="shared" si="235"/>
        <v/>
      </c>
      <c r="N1518" t="str">
        <f t="shared" si="236"/>
        <v/>
      </c>
      <c r="Q1518" t="str">
        <f t="shared" si="237"/>
        <v/>
      </c>
      <c r="S1518" t="str">
        <f>IF(A1518=1,MAX($S$2:$S1517)+1,IF(OR($I1518&lt;&gt;"",A1518="x"),$S1517,""))</f>
        <v/>
      </c>
      <c r="T1518" t="str">
        <f>IF(D1518=1,MAX($T$2:$T1517)+1,IF(S1518=S1517,$T1517,IF(D1518="x",T1517,IF(D1517="x","",""))))</f>
        <v/>
      </c>
      <c r="U1518" t="str">
        <f>IF(B1518=1,MAX($U$2:$U1517)+1,IF(AND($T1518&lt;&gt;"",$T1518=$T1517),$U1517,IF(B1518="x",U1517,"")))</f>
        <v/>
      </c>
      <c r="V1518" t="str">
        <f>IF(C1518=1,MAX($V$2:$V1517)+1,IF(AND($T1518&lt;&gt;"",$T1518=$T1517),$U1517,IF(C1518="x",V1517,"")))</f>
        <v/>
      </c>
      <c r="X1518" cm="1">
        <f t="array" ref="X1518">IF($I1518&lt;&gt;"",$I1518,INDEX($I$1:$I1518,ROW()-COUNTIFS($T$1:$T1518,"="&amp;$T1518,$S$1:$S1518,"&lt;"&amp;$S1518)))</f>
        <v>0</v>
      </c>
      <c r="Z1518" s="6">
        <f t="shared" si="230"/>
        <v>1</v>
      </c>
      <c r="AA1518" t="e">
        <f t="shared" si="231"/>
        <v>#VALUE!</v>
      </c>
      <c r="AB1518" t="str">
        <f t="shared" si="232"/>
        <v/>
      </c>
      <c r="AC1518" t="e">
        <f t="shared" si="233"/>
        <v>#VALUE!</v>
      </c>
    </row>
    <row r="1519" spans="1:29" x14ac:dyDescent="0.2">
      <c r="A1519" t="str">
        <f t="shared" si="234"/>
        <v/>
      </c>
      <c r="E1519" s="4"/>
      <c r="F1519" s="46"/>
      <c r="G1519" s="4"/>
      <c r="H1519" s="48"/>
      <c r="J1519" s="26" t="str">
        <f t="shared" si="235"/>
        <v/>
      </c>
      <c r="N1519" t="str">
        <f t="shared" si="236"/>
        <v/>
      </c>
      <c r="Q1519" t="str">
        <f t="shared" si="237"/>
        <v/>
      </c>
      <c r="S1519" t="str">
        <f>IF(A1519=1,MAX($S$2:$S1518)+1,IF(OR($I1519&lt;&gt;"",A1519="x"),$S1518,""))</f>
        <v/>
      </c>
      <c r="T1519" t="str">
        <f>IF(D1519=1,MAX($T$2:$T1518)+1,IF(S1519=S1518,$T1518,IF(D1519="x",T1518,IF(D1518="x","",""))))</f>
        <v/>
      </c>
      <c r="U1519" t="str">
        <f>IF(B1519=1,MAX($U$2:$U1518)+1,IF(AND($T1519&lt;&gt;"",$T1519=$T1518),$U1518,IF(B1519="x",U1518,"")))</f>
        <v/>
      </c>
      <c r="V1519" t="str">
        <f>IF(C1519=1,MAX($V$2:$V1518)+1,IF(AND($T1519&lt;&gt;"",$T1519=$T1518),$U1518,IF(C1519="x",V1518,"")))</f>
        <v/>
      </c>
      <c r="X1519" cm="1">
        <f t="array" ref="X1519">IF($I1519&lt;&gt;"",$I1519,INDEX($I$1:$I1519,ROW()-COUNTIFS($T$1:$T1519,"="&amp;$T1519,$S$1:$S1519,"&lt;"&amp;$S1519)))</f>
        <v>0</v>
      </c>
      <c r="Z1519" s="6">
        <f t="shared" si="230"/>
        <v>1</v>
      </c>
      <c r="AA1519" t="e">
        <f t="shared" si="231"/>
        <v>#VALUE!</v>
      </c>
      <c r="AB1519" t="str">
        <f t="shared" si="232"/>
        <v/>
      </c>
      <c r="AC1519" t="e">
        <f t="shared" si="233"/>
        <v>#VALUE!</v>
      </c>
    </row>
    <row r="1520" spans="1:29" x14ac:dyDescent="0.2">
      <c r="A1520" t="str">
        <f t="shared" si="234"/>
        <v/>
      </c>
      <c r="E1520" s="4"/>
      <c r="F1520" s="46"/>
      <c r="G1520" s="4"/>
      <c r="H1520" s="48"/>
      <c r="J1520" s="26" t="str">
        <f t="shared" si="235"/>
        <v/>
      </c>
      <c r="N1520" t="str">
        <f t="shared" si="236"/>
        <v/>
      </c>
      <c r="Q1520" t="str">
        <f t="shared" si="237"/>
        <v/>
      </c>
      <c r="S1520" t="str">
        <f>IF(A1520=1,MAX($S$2:$S1519)+1,IF(OR($I1520&lt;&gt;"",A1520="x"),$S1519,""))</f>
        <v/>
      </c>
      <c r="T1520" t="str">
        <f>IF(D1520=1,MAX($T$2:$T1519)+1,IF(S1520=S1519,$T1519,IF(D1520="x",T1519,IF(D1519="x","",""))))</f>
        <v/>
      </c>
      <c r="U1520" t="str">
        <f>IF(B1520=1,MAX($U$2:$U1519)+1,IF(AND($T1520&lt;&gt;"",$T1520=$T1519),$U1519,IF(B1520="x",U1519,"")))</f>
        <v/>
      </c>
      <c r="V1520" t="str">
        <f>IF(C1520=1,MAX($V$2:$V1519)+1,IF(AND($T1520&lt;&gt;"",$T1520=$T1519),$U1519,IF(C1520="x",V1519,"")))</f>
        <v/>
      </c>
      <c r="X1520" cm="1">
        <f t="array" ref="X1520">IF($I1520&lt;&gt;"",$I1520,INDEX($I$1:$I1520,ROW()-COUNTIFS($T$1:$T1520,"="&amp;$T1520,$S$1:$S1520,"&lt;"&amp;$S1520)))</f>
        <v>0</v>
      </c>
      <c r="Z1520" s="6">
        <f t="shared" si="230"/>
        <v>1</v>
      </c>
      <c r="AA1520" t="e">
        <f t="shared" si="231"/>
        <v>#VALUE!</v>
      </c>
      <c r="AB1520" t="str">
        <f t="shared" si="232"/>
        <v/>
      </c>
      <c r="AC1520" t="e">
        <f t="shared" si="233"/>
        <v>#VALUE!</v>
      </c>
    </row>
    <row r="1521" spans="1:29" x14ac:dyDescent="0.2">
      <c r="A1521" t="str">
        <f t="shared" si="234"/>
        <v/>
      </c>
      <c r="E1521" s="4"/>
      <c r="F1521" s="46"/>
      <c r="G1521" s="4"/>
      <c r="H1521" s="48"/>
      <c r="J1521" s="26" t="str">
        <f t="shared" si="235"/>
        <v/>
      </c>
      <c r="N1521" t="str">
        <f t="shared" si="236"/>
        <v/>
      </c>
      <c r="Q1521" t="str">
        <f t="shared" si="237"/>
        <v/>
      </c>
      <c r="S1521" t="str">
        <f>IF(A1521=1,MAX($S$2:$S1520)+1,IF(OR($I1521&lt;&gt;"",A1521="x"),$S1520,""))</f>
        <v/>
      </c>
      <c r="T1521" t="str">
        <f>IF(D1521=1,MAX($T$2:$T1520)+1,IF(S1521=S1520,$T1520,IF(D1521="x",T1520,IF(D1520="x","",""))))</f>
        <v/>
      </c>
      <c r="U1521" t="str">
        <f>IF(B1521=1,MAX($U$2:$U1520)+1,IF(AND($T1521&lt;&gt;"",$T1521=$T1520),$U1520,IF(B1521="x",U1520,"")))</f>
        <v/>
      </c>
      <c r="V1521" t="str">
        <f>IF(C1521=1,MAX($V$2:$V1520)+1,IF(AND($T1521&lt;&gt;"",$T1521=$T1520),$U1520,IF(C1521="x",V1520,"")))</f>
        <v/>
      </c>
      <c r="X1521" cm="1">
        <f t="array" ref="X1521">IF($I1521&lt;&gt;"",$I1521,INDEX($I$1:$I1521,ROW()-COUNTIFS($T$1:$T1521,"="&amp;$T1521,$S$1:$S1521,"&lt;"&amp;$S1521)))</f>
        <v>0</v>
      </c>
      <c r="Z1521" s="6">
        <f t="shared" si="230"/>
        <v>1</v>
      </c>
      <c r="AA1521" t="e">
        <f t="shared" si="231"/>
        <v>#VALUE!</v>
      </c>
      <c r="AB1521" t="str">
        <f t="shared" si="232"/>
        <v/>
      </c>
      <c r="AC1521" t="e">
        <f t="shared" si="233"/>
        <v>#VALUE!</v>
      </c>
    </row>
    <row r="1522" spans="1:29" x14ac:dyDescent="0.2">
      <c r="A1522" t="str">
        <f t="shared" si="234"/>
        <v/>
      </c>
      <c r="E1522" s="4"/>
      <c r="F1522" s="46"/>
      <c r="G1522" s="4"/>
      <c r="H1522" s="48"/>
      <c r="J1522" s="26" t="str">
        <f t="shared" si="235"/>
        <v/>
      </c>
      <c r="N1522" t="str">
        <f t="shared" si="236"/>
        <v/>
      </c>
      <c r="Q1522" t="str">
        <f t="shared" si="237"/>
        <v/>
      </c>
      <c r="S1522" t="str">
        <f>IF(A1522=1,MAX($S$2:$S1521)+1,IF(OR($I1522&lt;&gt;"",A1522="x"),$S1521,""))</f>
        <v/>
      </c>
      <c r="T1522" t="str">
        <f>IF(D1522=1,MAX($T$2:$T1521)+1,IF(S1522=S1521,$T1521,IF(D1522="x",T1521,IF(D1521="x","",""))))</f>
        <v/>
      </c>
      <c r="U1522" t="str">
        <f>IF(B1522=1,MAX($U$2:$U1521)+1,IF(AND($T1522&lt;&gt;"",$T1522=$T1521),$U1521,IF(B1522="x",U1521,"")))</f>
        <v/>
      </c>
      <c r="V1522" t="str">
        <f>IF(C1522=1,MAX($V$2:$V1521)+1,IF(AND($T1522&lt;&gt;"",$T1522=$T1521),$U1521,IF(C1522="x",V1521,"")))</f>
        <v/>
      </c>
      <c r="X1522" cm="1">
        <f t="array" ref="X1522">IF($I1522&lt;&gt;"",$I1522,INDEX($I$1:$I1522,ROW()-COUNTIFS($T$1:$T1522,"="&amp;$T1522,$S$1:$S1522,"&lt;"&amp;$S1522)))</f>
        <v>0</v>
      </c>
      <c r="Z1522" s="6">
        <f t="shared" si="230"/>
        <v>1</v>
      </c>
      <c r="AA1522" t="e">
        <f t="shared" si="231"/>
        <v>#VALUE!</v>
      </c>
      <c r="AB1522" t="str">
        <f t="shared" si="232"/>
        <v/>
      </c>
      <c r="AC1522" t="e">
        <f t="shared" si="233"/>
        <v>#VALUE!</v>
      </c>
    </row>
    <row r="1523" spans="1:29" x14ac:dyDescent="0.2">
      <c r="A1523" t="str">
        <f t="shared" si="234"/>
        <v/>
      </c>
      <c r="E1523" s="4"/>
      <c r="F1523" s="46"/>
      <c r="G1523" s="4"/>
      <c r="H1523" s="48"/>
      <c r="J1523" s="26" t="str">
        <f t="shared" si="235"/>
        <v/>
      </c>
      <c r="N1523" t="str">
        <f t="shared" si="236"/>
        <v/>
      </c>
      <c r="Q1523" t="str">
        <f t="shared" si="237"/>
        <v/>
      </c>
      <c r="S1523" t="str">
        <f>IF(A1523=1,MAX($S$2:$S1522)+1,IF(OR($I1523&lt;&gt;"",A1523="x"),$S1522,""))</f>
        <v/>
      </c>
      <c r="T1523" t="str">
        <f>IF(D1523=1,MAX($T$2:$T1522)+1,IF(S1523=S1522,$T1522,IF(D1523="x",T1522,IF(D1522="x","",""))))</f>
        <v/>
      </c>
      <c r="U1523" t="str">
        <f>IF(B1523=1,MAX($U$2:$U1522)+1,IF(AND($T1523&lt;&gt;"",$T1523=$T1522),$U1522,IF(B1523="x",U1522,"")))</f>
        <v/>
      </c>
      <c r="V1523" t="str">
        <f>IF(C1523=1,MAX($V$2:$V1522)+1,IF(AND($T1523&lt;&gt;"",$T1523=$T1522),$U1522,IF(C1523="x",V1522,"")))</f>
        <v/>
      </c>
      <c r="X1523" cm="1">
        <f t="array" ref="X1523">IF($I1523&lt;&gt;"",$I1523,INDEX($I$1:$I1523,ROW()-COUNTIFS($T$1:$T1523,"="&amp;$T1523,$S$1:$S1523,"&lt;"&amp;$S1523)))</f>
        <v>0</v>
      </c>
      <c r="Z1523" s="6">
        <f t="shared" si="230"/>
        <v>1</v>
      </c>
      <c r="AA1523" t="e">
        <f t="shared" si="231"/>
        <v>#VALUE!</v>
      </c>
      <c r="AB1523" t="str">
        <f t="shared" si="232"/>
        <v/>
      </c>
      <c r="AC1523" t="e">
        <f t="shared" si="233"/>
        <v>#VALUE!</v>
      </c>
    </row>
    <row r="1524" spans="1:29" x14ac:dyDescent="0.2">
      <c r="A1524" t="str">
        <f t="shared" si="234"/>
        <v/>
      </c>
      <c r="E1524" s="4"/>
      <c r="F1524" s="46"/>
      <c r="G1524" s="4"/>
      <c r="H1524" s="48"/>
      <c r="J1524" s="26" t="str">
        <f t="shared" si="235"/>
        <v/>
      </c>
      <c r="N1524" t="str">
        <f t="shared" si="236"/>
        <v/>
      </c>
      <c r="Q1524" t="str">
        <f t="shared" si="237"/>
        <v/>
      </c>
      <c r="S1524" t="str">
        <f>IF(A1524=1,MAX($S$2:$S1523)+1,IF(OR($I1524&lt;&gt;"",A1524="x"),$S1523,""))</f>
        <v/>
      </c>
      <c r="T1524" t="str">
        <f>IF(D1524=1,MAX($T$2:$T1523)+1,IF(S1524=S1523,$T1523,IF(D1524="x",T1523,IF(D1523="x","",""))))</f>
        <v/>
      </c>
      <c r="U1524" t="str">
        <f>IF(B1524=1,MAX($U$2:$U1523)+1,IF(AND($T1524&lt;&gt;"",$T1524=$T1523),$U1523,IF(B1524="x",U1523,"")))</f>
        <v/>
      </c>
      <c r="V1524" t="str">
        <f>IF(C1524=1,MAX($V$2:$V1523)+1,IF(AND($T1524&lt;&gt;"",$T1524=$T1523),$U1523,IF(C1524="x",V1523,"")))</f>
        <v/>
      </c>
      <c r="X1524" cm="1">
        <f t="array" ref="X1524">IF($I1524&lt;&gt;"",$I1524,INDEX($I$1:$I1524,ROW()-COUNTIFS($T$1:$T1524,"="&amp;$T1524,$S$1:$S1524,"&lt;"&amp;$S1524)))</f>
        <v>0</v>
      </c>
      <c r="Z1524" s="6">
        <f t="shared" si="230"/>
        <v>1</v>
      </c>
      <c r="AA1524" t="e">
        <f t="shared" si="231"/>
        <v>#VALUE!</v>
      </c>
      <c r="AB1524" t="str">
        <f t="shared" si="232"/>
        <v/>
      </c>
      <c r="AC1524" t="e">
        <f t="shared" si="233"/>
        <v>#VALUE!</v>
      </c>
    </row>
    <row r="1525" spans="1:29" x14ac:dyDescent="0.2">
      <c r="A1525" t="str">
        <f t="shared" si="234"/>
        <v/>
      </c>
      <c r="E1525" s="4"/>
      <c r="F1525" s="46"/>
      <c r="G1525" s="4"/>
      <c r="H1525" s="48"/>
      <c r="J1525" s="26" t="str">
        <f t="shared" si="235"/>
        <v/>
      </c>
      <c r="N1525" t="str">
        <f t="shared" si="236"/>
        <v/>
      </c>
      <c r="Q1525" t="str">
        <f t="shared" si="237"/>
        <v/>
      </c>
      <c r="S1525" t="str">
        <f>IF(A1525=1,MAX($S$2:$S1524)+1,IF(OR($I1525&lt;&gt;"",A1525="x"),$S1524,""))</f>
        <v/>
      </c>
      <c r="T1525" t="str">
        <f>IF(D1525=1,MAX($T$2:$T1524)+1,IF(S1525=S1524,$T1524,IF(D1525="x",T1524,IF(D1524="x","",""))))</f>
        <v/>
      </c>
      <c r="U1525" t="str">
        <f>IF(B1525=1,MAX($U$2:$U1524)+1,IF(AND($T1525&lt;&gt;"",$T1525=$T1524),$U1524,IF(B1525="x",U1524,"")))</f>
        <v/>
      </c>
      <c r="V1525" t="str">
        <f>IF(C1525=1,MAX($V$2:$V1524)+1,IF(AND($T1525&lt;&gt;"",$T1525=$T1524),$U1524,IF(C1525="x",V1524,"")))</f>
        <v/>
      </c>
      <c r="X1525" cm="1">
        <f t="array" ref="X1525">IF($I1525&lt;&gt;"",$I1525,INDEX($I$1:$I1525,ROW()-COUNTIFS($T$1:$T1525,"="&amp;$T1525,$S$1:$S1525,"&lt;"&amp;$S1525)))</f>
        <v>0</v>
      </c>
      <c r="Z1525" s="6">
        <f t="shared" si="230"/>
        <v>1</v>
      </c>
      <c r="AA1525" t="e">
        <f t="shared" si="231"/>
        <v>#VALUE!</v>
      </c>
      <c r="AB1525" t="str">
        <f t="shared" si="232"/>
        <v/>
      </c>
      <c r="AC1525" t="e">
        <f t="shared" si="233"/>
        <v>#VALUE!</v>
      </c>
    </row>
    <row r="1526" spans="1:29" x14ac:dyDescent="0.2">
      <c r="A1526" t="str">
        <f t="shared" si="234"/>
        <v/>
      </c>
      <c r="E1526" s="4"/>
      <c r="F1526" s="46"/>
      <c r="G1526" s="4"/>
      <c r="H1526" s="48"/>
      <c r="J1526" s="26" t="str">
        <f t="shared" si="235"/>
        <v/>
      </c>
      <c r="N1526" t="str">
        <f t="shared" si="236"/>
        <v/>
      </c>
      <c r="Q1526" t="str">
        <f t="shared" si="237"/>
        <v/>
      </c>
      <c r="S1526" t="str">
        <f>IF(A1526=1,MAX($S$2:$S1525)+1,IF(OR($I1526&lt;&gt;"",A1526="x"),$S1525,""))</f>
        <v/>
      </c>
      <c r="T1526" t="str">
        <f>IF(D1526=1,MAX($T$2:$T1525)+1,IF(S1526=S1525,$T1525,IF(D1526="x",T1525,IF(D1525="x","",""))))</f>
        <v/>
      </c>
      <c r="U1526" t="str">
        <f>IF(B1526=1,MAX($U$2:$U1525)+1,IF(AND($T1526&lt;&gt;"",$T1526=$T1525),$U1525,IF(B1526="x",U1525,"")))</f>
        <v/>
      </c>
      <c r="V1526" t="str">
        <f>IF(C1526=1,MAX($V$2:$V1525)+1,IF(AND($T1526&lt;&gt;"",$T1526=$T1525),$U1525,IF(C1526="x",V1525,"")))</f>
        <v/>
      </c>
      <c r="X1526" cm="1">
        <f t="array" ref="X1526">IF($I1526&lt;&gt;"",$I1526,INDEX($I$1:$I1526,ROW()-COUNTIFS($T$1:$T1526,"="&amp;$T1526,$S$1:$S1526,"&lt;"&amp;$S1526)))</f>
        <v>0</v>
      </c>
      <c r="Z1526" s="6">
        <f t="shared" si="230"/>
        <v>1</v>
      </c>
      <c r="AA1526" t="e">
        <f t="shared" si="231"/>
        <v>#VALUE!</v>
      </c>
      <c r="AB1526" t="str">
        <f t="shared" si="232"/>
        <v/>
      </c>
      <c r="AC1526" t="e">
        <f t="shared" si="233"/>
        <v>#VALUE!</v>
      </c>
    </row>
    <row r="1527" spans="1:29" x14ac:dyDescent="0.2">
      <c r="A1527" t="str">
        <f t="shared" si="234"/>
        <v/>
      </c>
      <c r="E1527" s="4"/>
      <c r="F1527" s="46"/>
      <c r="G1527" s="4"/>
      <c r="H1527" s="48"/>
      <c r="J1527" s="26" t="str">
        <f t="shared" si="235"/>
        <v/>
      </c>
      <c r="N1527" t="str">
        <f t="shared" si="236"/>
        <v/>
      </c>
      <c r="Q1527" t="str">
        <f t="shared" si="237"/>
        <v/>
      </c>
      <c r="S1527" t="str">
        <f>IF(A1527=1,MAX($S$2:$S1526)+1,IF(OR($I1527&lt;&gt;"",A1527="x"),$S1526,""))</f>
        <v/>
      </c>
      <c r="T1527" t="str">
        <f>IF(D1527=1,MAX($T$2:$T1526)+1,IF(S1527=S1526,$T1526,IF(D1527="x",T1526,IF(D1526="x","",""))))</f>
        <v/>
      </c>
      <c r="U1527" t="str">
        <f>IF(B1527=1,MAX($U$2:$U1526)+1,IF(AND($T1527&lt;&gt;"",$T1527=$T1526),$U1526,IF(B1527="x",U1526,"")))</f>
        <v/>
      </c>
      <c r="V1527" t="str">
        <f>IF(C1527=1,MAX($V$2:$V1526)+1,IF(AND($T1527&lt;&gt;"",$T1527=$T1526),$U1526,IF(C1527="x",V1526,"")))</f>
        <v/>
      </c>
      <c r="X1527" cm="1">
        <f t="array" ref="X1527">IF($I1527&lt;&gt;"",$I1527,INDEX($I$1:$I1527,ROW()-COUNTIFS($T$1:$T1527,"="&amp;$T1527,$S$1:$S1527,"&lt;"&amp;$S1527)))</f>
        <v>0</v>
      </c>
      <c r="Z1527" s="6">
        <f t="shared" si="230"/>
        <v>1</v>
      </c>
      <c r="AA1527" t="e">
        <f t="shared" si="231"/>
        <v>#VALUE!</v>
      </c>
      <c r="AB1527" t="str">
        <f t="shared" si="232"/>
        <v/>
      </c>
      <c r="AC1527" t="e">
        <f t="shared" si="233"/>
        <v>#VALUE!</v>
      </c>
    </row>
    <row r="1528" spans="1:29" x14ac:dyDescent="0.2">
      <c r="A1528" t="str">
        <f t="shared" si="234"/>
        <v/>
      </c>
      <c r="E1528" s="4"/>
      <c r="F1528" s="46"/>
      <c r="G1528" s="4"/>
      <c r="H1528" s="48"/>
      <c r="J1528" s="26" t="str">
        <f t="shared" si="235"/>
        <v/>
      </c>
      <c r="N1528" t="str">
        <f t="shared" si="236"/>
        <v/>
      </c>
      <c r="Q1528" t="str">
        <f t="shared" si="237"/>
        <v/>
      </c>
      <c r="S1528" t="str">
        <f>IF(A1528=1,MAX($S$2:$S1527)+1,IF(OR($I1528&lt;&gt;"",A1528="x"),$S1527,""))</f>
        <v/>
      </c>
      <c r="T1528" t="str">
        <f>IF(D1528=1,MAX($T$2:$T1527)+1,IF(S1528=S1527,$T1527,IF(D1528="x",T1527,IF(D1527="x","",""))))</f>
        <v/>
      </c>
      <c r="U1528" t="str">
        <f>IF(B1528=1,MAX($U$2:$U1527)+1,IF(AND($T1528&lt;&gt;"",$T1528=$T1527),$U1527,IF(B1528="x",U1527,"")))</f>
        <v/>
      </c>
      <c r="V1528" t="str">
        <f>IF(C1528=1,MAX($V$2:$V1527)+1,IF(AND($T1528&lt;&gt;"",$T1528=$T1527),$U1527,IF(C1528="x",V1527,"")))</f>
        <v/>
      </c>
      <c r="X1528" cm="1">
        <f t="array" ref="X1528">IF($I1528&lt;&gt;"",$I1528,INDEX($I$1:$I1528,ROW()-COUNTIFS($T$1:$T1528,"="&amp;$T1528,$S$1:$S1528,"&lt;"&amp;$S1528)))</f>
        <v>0</v>
      </c>
      <c r="Z1528" s="6">
        <f t="shared" si="230"/>
        <v>1</v>
      </c>
      <c r="AA1528" t="e">
        <f t="shared" si="231"/>
        <v>#VALUE!</v>
      </c>
      <c r="AB1528" t="str">
        <f t="shared" si="232"/>
        <v/>
      </c>
      <c r="AC1528" t="e">
        <f t="shared" si="233"/>
        <v>#VALUE!</v>
      </c>
    </row>
    <row r="1529" spans="1:29" x14ac:dyDescent="0.2">
      <c r="A1529" t="str">
        <f t="shared" si="234"/>
        <v/>
      </c>
      <c r="E1529" s="4"/>
      <c r="F1529" s="46"/>
      <c r="G1529" s="4"/>
      <c r="H1529" s="48"/>
      <c r="J1529" s="26" t="str">
        <f t="shared" si="235"/>
        <v/>
      </c>
      <c r="N1529" t="str">
        <f t="shared" si="236"/>
        <v/>
      </c>
      <c r="Q1529" t="str">
        <f t="shared" si="237"/>
        <v/>
      </c>
      <c r="S1529" t="str">
        <f>IF(A1529=1,MAX($S$2:$S1528)+1,IF(OR($I1529&lt;&gt;"",A1529="x"),$S1528,""))</f>
        <v/>
      </c>
      <c r="T1529" t="str">
        <f>IF(D1529=1,MAX($T$2:$T1528)+1,IF(S1529=S1528,$T1528,IF(D1529="x",T1528,IF(D1528="x","",""))))</f>
        <v/>
      </c>
      <c r="U1529" t="str">
        <f>IF(B1529=1,MAX($U$2:$U1528)+1,IF(AND($T1529&lt;&gt;"",$T1529=$T1528),$U1528,IF(B1529="x",U1528,"")))</f>
        <v/>
      </c>
      <c r="V1529" t="str">
        <f>IF(C1529=1,MAX($V$2:$V1528)+1,IF(AND($T1529&lt;&gt;"",$T1529=$T1528),$U1528,IF(C1529="x",V1528,"")))</f>
        <v/>
      </c>
      <c r="X1529" cm="1">
        <f t="array" ref="X1529">IF($I1529&lt;&gt;"",$I1529,INDEX($I$1:$I1529,ROW()-COUNTIFS($T$1:$T1529,"="&amp;$T1529,$S$1:$S1529,"&lt;"&amp;$S1529)))</f>
        <v>0</v>
      </c>
      <c r="Z1529" s="6">
        <f t="shared" si="230"/>
        <v>1</v>
      </c>
      <c r="AA1529" t="e">
        <f t="shared" si="231"/>
        <v>#VALUE!</v>
      </c>
      <c r="AB1529" t="str">
        <f t="shared" si="232"/>
        <v/>
      </c>
      <c r="AC1529" t="e">
        <f t="shared" si="233"/>
        <v>#VALUE!</v>
      </c>
    </row>
    <row r="1530" spans="1:29" x14ac:dyDescent="0.2">
      <c r="A1530" t="str">
        <f t="shared" si="234"/>
        <v/>
      </c>
      <c r="E1530" s="4"/>
      <c r="F1530" s="46"/>
      <c r="G1530" s="4"/>
      <c r="H1530" s="48"/>
      <c r="J1530" s="26" t="str">
        <f t="shared" si="235"/>
        <v/>
      </c>
      <c r="N1530" t="str">
        <f t="shared" si="236"/>
        <v/>
      </c>
      <c r="Q1530" t="str">
        <f t="shared" si="237"/>
        <v/>
      </c>
      <c r="S1530" t="str">
        <f>IF(A1530=1,MAX($S$2:$S1529)+1,IF(OR($I1530&lt;&gt;"",A1530="x"),$S1529,""))</f>
        <v/>
      </c>
      <c r="T1530" t="str">
        <f>IF(D1530=1,MAX($T$2:$T1529)+1,IF(S1530=S1529,$T1529,IF(D1530="x",T1529,IF(D1529="x","",""))))</f>
        <v/>
      </c>
      <c r="U1530" t="str">
        <f>IF(B1530=1,MAX($U$2:$U1529)+1,IF(AND($T1530&lt;&gt;"",$T1530=$T1529),$U1529,IF(B1530="x",U1529,"")))</f>
        <v/>
      </c>
      <c r="V1530" t="str">
        <f>IF(C1530=1,MAX($V$2:$V1529)+1,IF(AND($T1530&lt;&gt;"",$T1530=$T1529),$U1529,IF(C1530="x",V1529,"")))</f>
        <v/>
      </c>
      <c r="X1530" cm="1">
        <f t="array" ref="X1530">IF($I1530&lt;&gt;"",$I1530,INDEX($I$1:$I1530,ROW()-COUNTIFS($T$1:$T1530,"="&amp;$T1530,$S$1:$S1530,"&lt;"&amp;$S1530)))</f>
        <v>0</v>
      </c>
      <c r="Z1530" s="6">
        <f t="shared" si="230"/>
        <v>1</v>
      </c>
      <c r="AA1530" t="e">
        <f t="shared" si="231"/>
        <v>#VALUE!</v>
      </c>
      <c r="AB1530" t="str">
        <f t="shared" si="232"/>
        <v/>
      </c>
      <c r="AC1530" t="e">
        <f t="shared" si="233"/>
        <v>#VALUE!</v>
      </c>
    </row>
    <row r="1531" spans="1:29" x14ac:dyDescent="0.2">
      <c r="A1531" t="str">
        <f t="shared" si="234"/>
        <v/>
      </c>
      <c r="E1531" s="4"/>
      <c r="F1531" s="46"/>
      <c r="G1531" s="4"/>
      <c r="H1531" s="48"/>
      <c r="J1531" s="26" t="str">
        <f t="shared" si="235"/>
        <v/>
      </c>
      <c r="N1531" t="str">
        <f t="shared" si="236"/>
        <v/>
      </c>
      <c r="Q1531" t="str">
        <f t="shared" si="237"/>
        <v/>
      </c>
      <c r="S1531" t="str">
        <f>IF(A1531=1,MAX($S$2:$S1530)+1,IF(OR($I1531&lt;&gt;"",A1531="x"),$S1530,""))</f>
        <v/>
      </c>
      <c r="T1531" t="str">
        <f>IF(D1531=1,MAX($T$2:$T1530)+1,IF(S1531=S1530,$T1530,IF(D1531="x",T1530,IF(D1530="x","",""))))</f>
        <v/>
      </c>
      <c r="U1531" t="str">
        <f>IF(B1531=1,MAX($U$2:$U1530)+1,IF(AND($T1531&lt;&gt;"",$T1531=$T1530),$U1530,IF(B1531="x",U1530,"")))</f>
        <v/>
      </c>
      <c r="V1531" t="str">
        <f>IF(C1531=1,MAX($V$2:$V1530)+1,IF(AND($T1531&lt;&gt;"",$T1531=$T1530),$U1530,IF(C1531="x",V1530,"")))</f>
        <v/>
      </c>
      <c r="X1531" cm="1">
        <f t="array" ref="X1531">IF($I1531&lt;&gt;"",$I1531,INDEX($I$1:$I1531,ROW()-COUNTIFS($T$1:$T1531,"="&amp;$T1531,$S$1:$S1531,"&lt;"&amp;$S1531)))</f>
        <v>0</v>
      </c>
      <c r="Z1531" s="6">
        <f t="shared" si="230"/>
        <v>1</v>
      </c>
      <c r="AA1531" t="e">
        <f t="shared" si="231"/>
        <v>#VALUE!</v>
      </c>
      <c r="AB1531" t="str">
        <f t="shared" si="232"/>
        <v/>
      </c>
      <c r="AC1531" t="e">
        <f t="shared" si="233"/>
        <v>#VALUE!</v>
      </c>
    </row>
    <row r="1532" spans="1:29" x14ac:dyDescent="0.2">
      <c r="A1532" t="str">
        <f t="shared" si="234"/>
        <v/>
      </c>
      <c r="E1532" s="4"/>
      <c r="F1532" s="46"/>
      <c r="G1532" s="4"/>
      <c r="H1532" s="48"/>
      <c r="J1532" s="26" t="str">
        <f t="shared" si="235"/>
        <v/>
      </c>
      <c r="N1532" t="str">
        <f t="shared" si="236"/>
        <v/>
      </c>
      <c r="Q1532" t="str">
        <f t="shared" si="237"/>
        <v/>
      </c>
      <c r="S1532" t="str">
        <f>IF(A1532=1,MAX($S$2:$S1531)+1,IF(OR($I1532&lt;&gt;"",A1532="x"),$S1531,""))</f>
        <v/>
      </c>
      <c r="T1532" t="str">
        <f>IF(D1532=1,MAX($T$2:$T1531)+1,IF(S1532=S1531,$T1531,IF(D1532="x",T1531,IF(D1531="x","",""))))</f>
        <v/>
      </c>
      <c r="U1532" t="str">
        <f>IF(B1532=1,MAX($U$2:$U1531)+1,IF(AND($T1532&lt;&gt;"",$T1532=$T1531),$U1531,IF(B1532="x",U1531,"")))</f>
        <v/>
      </c>
      <c r="V1532" t="str">
        <f>IF(C1532=1,MAX($V$2:$V1531)+1,IF(AND($T1532&lt;&gt;"",$T1532=$T1531),$U1531,IF(C1532="x",V1531,"")))</f>
        <v/>
      </c>
      <c r="X1532" cm="1">
        <f t="array" ref="X1532">IF($I1532&lt;&gt;"",$I1532,INDEX($I$1:$I1532,ROW()-COUNTIFS($T$1:$T1532,"="&amp;$T1532,$S$1:$S1532,"&lt;"&amp;$S1532)))</f>
        <v>0</v>
      </c>
      <c r="Z1532" s="6">
        <f t="shared" si="230"/>
        <v>1</v>
      </c>
      <c r="AA1532" t="e">
        <f t="shared" si="231"/>
        <v>#VALUE!</v>
      </c>
      <c r="AB1532" t="str">
        <f t="shared" si="232"/>
        <v/>
      </c>
      <c r="AC1532" t="e">
        <f t="shared" si="233"/>
        <v>#VALUE!</v>
      </c>
    </row>
    <row r="1533" spans="1:29" x14ac:dyDescent="0.2">
      <c r="A1533" t="str">
        <f t="shared" si="234"/>
        <v/>
      </c>
      <c r="E1533" s="4"/>
      <c r="F1533" s="46"/>
      <c r="G1533" s="4"/>
      <c r="H1533" s="48"/>
      <c r="J1533" s="26" t="str">
        <f t="shared" si="235"/>
        <v/>
      </c>
      <c r="N1533" t="str">
        <f t="shared" si="236"/>
        <v/>
      </c>
      <c r="Q1533" t="str">
        <f t="shared" si="237"/>
        <v/>
      </c>
      <c r="S1533" t="str">
        <f>IF(A1533=1,MAX($S$2:$S1532)+1,IF(OR($I1533&lt;&gt;"",A1533="x"),$S1532,""))</f>
        <v/>
      </c>
      <c r="T1533" t="str">
        <f>IF(D1533=1,MAX($T$2:$T1532)+1,IF(S1533=S1532,$T1532,IF(D1533="x",T1532,IF(D1532="x","",""))))</f>
        <v/>
      </c>
      <c r="U1533" t="str">
        <f>IF(B1533=1,MAX($U$2:$U1532)+1,IF(AND($T1533&lt;&gt;"",$T1533=$T1532),$U1532,IF(B1533="x",U1532,"")))</f>
        <v/>
      </c>
      <c r="V1533" t="str">
        <f>IF(C1533=1,MAX($V$2:$V1532)+1,IF(AND($T1533&lt;&gt;"",$T1533=$T1532),$U1532,IF(C1533="x",V1532,"")))</f>
        <v/>
      </c>
      <c r="X1533" cm="1">
        <f t="array" ref="X1533">IF($I1533&lt;&gt;"",$I1533,INDEX($I$1:$I1533,ROW()-COUNTIFS($T$1:$T1533,"="&amp;$T1533,$S$1:$S1533,"&lt;"&amp;$S1533)))</f>
        <v>0</v>
      </c>
      <c r="Z1533" s="6">
        <f t="shared" si="230"/>
        <v>1</v>
      </c>
      <c r="AA1533" t="e">
        <f t="shared" si="231"/>
        <v>#VALUE!</v>
      </c>
      <c r="AB1533" t="str">
        <f t="shared" si="232"/>
        <v/>
      </c>
      <c r="AC1533" t="e">
        <f t="shared" si="233"/>
        <v>#VALUE!</v>
      </c>
    </row>
    <row r="1534" spans="1:29" x14ac:dyDescent="0.2">
      <c r="A1534" t="str">
        <f t="shared" si="234"/>
        <v/>
      </c>
      <c r="E1534" s="4"/>
      <c r="F1534" s="46"/>
      <c r="G1534" s="4"/>
      <c r="H1534" s="48"/>
      <c r="J1534" s="26" t="str">
        <f t="shared" si="235"/>
        <v/>
      </c>
      <c r="N1534" t="str">
        <f t="shared" si="236"/>
        <v/>
      </c>
      <c r="Q1534" t="str">
        <f t="shared" si="237"/>
        <v/>
      </c>
      <c r="S1534" t="str">
        <f>IF(A1534=1,MAX($S$2:$S1533)+1,IF(OR($I1534&lt;&gt;"",A1534="x"),$S1533,""))</f>
        <v/>
      </c>
      <c r="T1534" t="str">
        <f>IF(D1534=1,MAX($T$2:$T1533)+1,IF(S1534=S1533,$T1533,IF(D1534="x",T1533,IF(D1533="x","",""))))</f>
        <v/>
      </c>
      <c r="U1534" t="str">
        <f>IF(B1534=1,MAX($U$2:$U1533)+1,IF(AND($T1534&lt;&gt;"",$T1534=$T1533),$U1533,IF(B1534="x",U1533,"")))</f>
        <v/>
      </c>
      <c r="V1534" t="str">
        <f>IF(C1534=1,MAX($V$2:$V1533)+1,IF(AND($T1534&lt;&gt;"",$T1534=$T1533),$U1533,IF(C1534="x",V1533,"")))</f>
        <v/>
      </c>
      <c r="X1534" cm="1">
        <f t="array" ref="X1534">IF($I1534&lt;&gt;"",$I1534,INDEX($I$1:$I1534,ROW()-COUNTIFS($T$1:$T1534,"="&amp;$T1534,$S$1:$S1534,"&lt;"&amp;$S1534)))</f>
        <v>0</v>
      </c>
      <c r="Z1534" s="6">
        <f t="shared" si="230"/>
        <v>1</v>
      </c>
      <c r="AA1534" t="e">
        <f t="shared" si="231"/>
        <v>#VALUE!</v>
      </c>
      <c r="AB1534" t="str">
        <f t="shared" si="232"/>
        <v/>
      </c>
      <c r="AC1534" t="e">
        <f t="shared" si="233"/>
        <v>#VALUE!</v>
      </c>
    </row>
    <row r="1535" spans="1:29" x14ac:dyDescent="0.2">
      <c r="A1535" t="str">
        <f t="shared" si="234"/>
        <v/>
      </c>
      <c r="E1535" s="4"/>
      <c r="F1535" s="46"/>
      <c r="G1535" s="4"/>
      <c r="H1535" s="48"/>
      <c r="J1535" s="26" t="str">
        <f t="shared" si="235"/>
        <v/>
      </c>
      <c r="N1535" t="str">
        <f t="shared" si="236"/>
        <v/>
      </c>
      <c r="Q1535" t="str">
        <f t="shared" si="237"/>
        <v/>
      </c>
      <c r="S1535" t="str">
        <f>IF(A1535=1,MAX($S$2:$S1534)+1,IF(OR($I1535&lt;&gt;"",A1535="x"),$S1534,""))</f>
        <v/>
      </c>
      <c r="T1535" t="str">
        <f>IF(D1535=1,MAX($T$2:$T1534)+1,IF(S1535=S1534,$T1534,IF(D1535="x",T1534,IF(D1534="x","",""))))</f>
        <v/>
      </c>
      <c r="U1535" t="str">
        <f>IF(B1535=1,MAX($U$2:$U1534)+1,IF(AND($T1535&lt;&gt;"",$T1535=$T1534),$U1534,IF(B1535="x",U1534,"")))</f>
        <v/>
      </c>
      <c r="V1535" t="str">
        <f>IF(C1535=1,MAX($V$2:$V1534)+1,IF(AND($T1535&lt;&gt;"",$T1535=$T1534),$U1534,IF(C1535="x",V1534,"")))</f>
        <v/>
      </c>
      <c r="X1535" cm="1">
        <f t="array" ref="X1535">IF($I1535&lt;&gt;"",$I1535,INDEX($I$1:$I1535,ROW()-COUNTIFS($T$1:$T1535,"="&amp;$T1535,$S$1:$S1535,"&lt;"&amp;$S1535)))</f>
        <v>0</v>
      </c>
      <c r="Z1535" s="6">
        <f t="shared" si="230"/>
        <v>1</v>
      </c>
      <c r="AA1535" t="e">
        <f t="shared" si="231"/>
        <v>#VALUE!</v>
      </c>
      <c r="AB1535" t="str">
        <f t="shared" si="232"/>
        <v/>
      </c>
      <c r="AC1535" t="e">
        <f t="shared" si="233"/>
        <v>#VALUE!</v>
      </c>
    </row>
    <row r="1536" spans="1:29" x14ac:dyDescent="0.2">
      <c r="A1536" t="str">
        <f t="shared" si="234"/>
        <v/>
      </c>
      <c r="E1536" s="4"/>
      <c r="F1536" s="46"/>
      <c r="G1536" s="4"/>
      <c r="H1536" s="48"/>
      <c r="J1536" s="26" t="str">
        <f t="shared" si="235"/>
        <v/>
      </c>
      <c r="N1536" t="str">
        <f t="shared" si="236"/>
        <v/>
      </c>
      <c r="Q1536" t="str">
        <f t="shared" si="237"/>
        <v/>
      </c>
      <c r="S1536" t="str">
        <f>IF(A1536=1,MAX($S$2:$S1535)+1,IF(OR($I1536&lt;&gt;"",A1536="x"),$S1535,""))</f>
        <v/>
      </c>
      <c r="T1536" t="str">
        <f>IF(D1536=1,MAX($T$2:$T1535)+1,IF(S1536=S1535,$T1535,IF(D1536="x",T1535,IF(D1535="x","",""))))</f>
        <v/>
      </c>
      <c r="U1536" t="str">
        <f>IF(B1536=1,MAX($U$2:$U1535)+1,IF(AND($T1536&lt;&gt;"",$T1536=$T1535),$U1535,IF(B1536="x",U1535,"")))</f>
        <v/>
      </c>
      <c r="V1536" t="str">
        <f>IF(C1536=1,MAX($V$2:$V1535)+1,IF(AND($T1536&lt;&gt;"",$T1536=$T1535),$U1535,IF(C1536="x",V1535,"")))</f>
        <v/>
      </c>
      <c r="X1536" cm="1">
        <f t="array" ref="X1536">IF($I1536&lt;&gt;"",$I1536,INDEX($I$1:$I1536,ROW()-COUNTIFS($T$1:$T1536,"="&amp;$T1536,$S$1:$S1536,"&lt;"&amp;$S1536)))</f>
        <v>0</v>
      </c>
      <c r="Z1536" s="6">
        <f t="shared" si="230"/>
        <v>1</v>
      </c>
      <c r="AA1536" t="e">
        <f t="shared" si="231"/>
        <v>#VALUE!</v>
      </c>
      <c r="AB1536" t="str">
        <f t="shared" si="232"/>
        <v/>
      </c>
      <c r="AC1536" t="e">
        <f t="shared" si="233"/>
        <v>#VALUE!</v>
      </c>
    </row>
    <row r="1537" spans="1:29" x14ac:dyDescent="0.2">
      <c r="A1537" t="str">
        <f t="shared" si="234"/>
        <v/>
      </c>
      <c r="E1537" s="4"/>
      <c r="F1537" s="46"/>
      <c r="G1537" s="4"/>
      <c r="H1537" s="48"/>
      <c r="J1537" s="26" t="str">
        <f t="shared" si="235"/>
        <v/>
      </c>
      <c r="N1537" t="str">
        <f t="shared" si="236"/>
        <v/>
      </c>
      <c r="Q1537" t="str">
        <f t="shared" si="237"/>
        <v/>
      </c>
      <c r="S1537" t="str">
        <f>IF(A1537=1,MAX($S$2:$S1536)+1,IF(OR($I1537&lt;&gt;"",A1537="x"),$S1536,""))</f>
        <v/>
      </c>
      <c r="T1537" t="str">
        <f>IF(D1537=1,MAX($T$2:$T1536)+1,IF(S1537=S1536,$T1536,IF(D1537="x",T1536,IF(D1536="x","",""))))</f>
        <v/>
      </c>
      <c r="U1537" t="str">
        <f>IF(B1537=1,MAX($U$2:$U1536)+1,IF(AND($T1537&lt;&gt;"",$T1537=$T1536),$U1536,IF(B1537="x",U1536,"")))</f>
        <v/>
      </c>
      <c r="V1537" t="str">
        <f>IF(C1537=1,MAX($V$2:$V1536)+1,IF(AND($T1537&lt;&gt;"",$T1537=$T1536),$U1536,IF(C1537="x",V1536,"")))</f>
        <v/>
      </c>
      <c r="X1537" cm="1">
        <f t="array" ref="X1537">IF($I1537&lt;&gt;"",$I1537,INDEX($I$1:$I1537,ROW()-COUNTIFS($T$1:$T1537,"="&amp;$T1537,$S$1:$S1537,"&lt;"&amp;$S1537)))</f>
        <v>0</v>
      </c>
      <c r="Z1537" s="6">
        <f t="shared" si="230"/>
        <v>1</v>
      </c>
      <c r="AA1537" t="e">
        <f t="shared" si="231"/>
        <v>#VALUE!</v>
      </c>
      <c r="AB1537" t="str">
        <f t="shared" si="232"/>
        <v/>
      </c>
      <c r="AC1537" t="e">
        <f t="shared" si="233"/>
        <v>#VALUE!</v>
      </c>
    </row>
    <row r="1538" spans="1:29" x14ac:dyDescent="0.2">
      <c r="A1538" t="str">
        <f t="shared" si="234"/>
        <v/>
      </c>
      <c r="E1538" s="4"/>
      <c r="F1538" s="46"/>
      <c r="G1538" s="4"/>
      <c r="H1538" s="48"/>
      <c r="J1538" s="26" t="str">
        <f t="shared" si="235"/>
        <v/>
      </c>
      <c r="N1538" t="str">
        <f t="shared" si="236"/>
        <v/>
      </c>
      <c r="Q1538" t="str">
        <f t="shared" si="237"/>
        <v/>
      </c>
      <c r="S1538" t="str">
        <f>IF(A1538=1,MAX($S$2:$S1537)+1,IF(OR($I1538&lt;&gt;"",A1538="x"),$S1537,""))</f>
        <v/>
      </c>
      <c r="T1538" t="str">
        <f>IF(D1538=1,MAX($T$2:$T1537)+1,IF(S1538=S1537,$T1537,IF(D1538="x",T1537,IF(D1537="x","",""))))</f>
        <v/>
      </c>
      <c r="U1538" t="str">
        <f>IF(B1538=1,MAX($U$2:$U1537)+1,IF(AND($T1538&lt;&gt;"",$T1538=$T1537),$U1537,IF(B1538="x",U1537,"")))</f>
        <v/>
      </c>
      <c r="V1538" t="str">
        <f>IF(C1538=1,MAX($V$2:$V1537)+1,IF(AND($T1538&lt;&gt;"",$T1538=$T1537),$U1537,IF(C1538="x",V1537,"")))</f>
        <v/>
      </c>
      <c r="X1538" cm="1">
        <f t="array" ref="X1538">IF($I1538&lt;&gt;"",$I1538,INDEX($I$1:$I1538,ROW()-COUNTIFS($T$1:$T1538,"="&amp;$T1538,$S$1:$S1538,"&lt;"&amp;$S1538)))</f>
        <v>0</v>
      </c>
      <c r="Z1538" s="6">
        <f t="shared" si="230"/>
        <v>1</v>
      </c>
      <c r="AA1538" t="e">
        <f t="shared" si="231"/>
        <v>#VALUE!</v>
      </c>
      <c r="AB1538" t="str">
        <f t="shared" si="232"/>
        <v/>
      </c>
      <c r="AC1538" t="e">
        <f t="shared" si="233"/>
        <v>#VALUE!</v>
      </c>
    </row>
    <row r="1539" spans="1:29" x14ac:dyDescent="0.2">
      <c r="A1539" t="str">
        <f t="shared" si="234"/>
        <v/>
      </c>
      <c r="E1539" s="4"/>
      <c r="F1539" s="46"/>
      <c r="G1539" s="4"/>
      <c r="H1539" s="48"/>
      <c r="J1539" s="26" t="str">
        <f t="shared" si="235"/>
        <v/>
      </c>
      <c r="N1539" t="str">
        <f t="shared" si="236"/>
        <v/>
      </c>
      <c r="Q1539" t="str">
        <f t="shared" si="237"/>
        <v/>
      </c>
      <c r="S1539" t="str">
        <f>IF(A1539=1,MAX($S$2:$S1538)+1,IF(OR($I1539&lt;&gt;"",A1539="x"),$S1538,""))</f>
        <v/>
      </c>
      <c r="T1539" t="str">
        <f>IF(D1539=1,MAX($T$2:$T1538)+1,IF(S1539=S1538,$T1538,IF(D1539="x",T1538,IF(D1538="x","",""))))</f>
        <v/>
      </c>
      <c r="U1539" t="str">
        <f>IF(B1539=1,MAX($U$2:$U1538)+1,IF(AND($T1539&lt;&gt;"",$T1539=$T1538),$U1538,IF(B1539="x",U1538,"")))</f>
        <v/>
      </c>
      <c r="V1539" t="str">
        <f>IF(C1539=1,MAX($V$2:$V1538)+1,IF(AND($T1539&lt;&gt;"",$T1539=$T1538),$U1538,IF(C1539="x",V1538,"")))</f>
        <v/>
      </c>
      <c r="X1539" cm="1">
        <f t="array" ref="X1539">IF($I1539&lt;&gt;"",$I1539,INDEX($I$1:$I1539,ROW()-COUNTIFS($T$1:$T1539,"="&amp;$T1539,$S$1:$S1539,"&lt;"&amp;$S1539)))</f>
        <v>0</v>
      </c>
      <c r="Z1539" s="6">
        <f t="shared" si="230"/>
        <v>1</v>
      </c>
      <c r="AA1539" t="e">
        <f t="shared" si="231"/>
        <v>#VALUE!</v>
      </c>
      <c r="AB1539" t="str">
        <f t="shared" si="232"/>
        <v/>
      </c>
      <c r="AC1539" t="e">
        <f t="shared" si="233"/>
        <v>#VALUE!</v>
      </c>
    </row>
    <row r="1540" spans="1:29" x14ac:dyDescent="0.2">
      <c r="A1540" t="str">
        <f t="shared" si="234"/>
        <v/>
      </c>
      <c r="E1540" s="4"/>
      <c r="F1540" s="46"/>
      <c r="G1540" s="4"/>
      <c r="H1540" s="48"/>
      <c r="J1540" s="26" t="str">
        <f t="shared" si="235"/>
        <v/>
      </c>
      <c r="N1540" t="str">
        <f t="shared" si="236"/>
        <v/>
      </c>
      <c r="Q1540" t="str">
        <f t="shared" si="237"/>
        <v/>
      </c>
      <c r="S1540" t="str">
        <f>IF(A1540=1,MAX($S$2:$S1539)+1,IF(OR($I1540&lt;&gt;"",A1540="x"),$S1539,""))</f>
        <v/>
      </c>
      <c r="T1540" t="str">
        <f>IF(D1540=1,MAX($T$2:$T1539)+1,IF(S1540=S1539,$T1539,IF(D1540="x",T1539,IF(D1539="x","",""))))</f>
        <v/>
      </c>
      <c r="U1540" t="str">
        <f>IF(B1540=1,MAX($U$2:$U1539)+1,IF(AND($T1540&lt;&gt;"",$T1540=$T1539),$U1539,IF(B1540="x",U1539,"")))</f>
        <v/>
      </c>
      <c r="V1540" t="str">
        <f>IF(C1540=1,MAX($V$2:$V1539)+1,IF(AND($T1540&lt;&gt;"",$T1540=$T1539),$U1539,IF(C1540="x",V1539,"")))</f>
        <v/>
      </c>
      <c r="X1540" cm="1">
        <f t="array" ref="X1540">IF($I1540&lt;&gt;"",$I1540,INDEX($I$1:$I1540,ROW()-COUNTIFS($T$1:$T1540,"="&amp;$T1540,$S$1:$S1540,"&lt;"&amp;$S1540)))</f>
        <v>0</v>
      </c>
      <c r="Z1540" s="6">
        <f t="shared" si="230"/>
        <v>1</v>
      </c>
      <c r="AA1540" t="e">
        <f t="shared" si="231"/>
        <v>#VALUE!</v>
      </c>
      <c r="AB1540" t="str">
        <f t="shared" si="232"/>
        <v/>
      </c>
      <c r="AC1540" t="e">
        <f t="shared" si="233"/>
        <v>#VALUE!</v>
      </c>
    </row>
    <row r="1541" spans="1:29" x14ac:dyDescent="0.2">
      <c r="A1541" t="str">
        <f t="shared" si="234"/>
        <v/>
      </c>
      <c r="E1541" s="4"/>
      <c r="F1541" s="46"/>
      <c r="G1541" s="4"/>
      <c r="H1541" s="48"/>
      <c r="J1541" s="26" t="str">
        <f t="shared" si="235"/>
        <v/>
      </c>
      <c r="N1541" t="str">
        <f t="shared" si="236"/>
        <v/>
      </c>
      <c r="Q1541" t="str">
        <f t="shared" si="237"/>
        <v/>
      </c>
      <c r="S1541" t="str">
        <f>IF(A1541=1,MAX($S$2:$S1540)+1,IF(OR($I1541&lt;&gt;"",A1541="x"),$S1540,""))</f>
        <v/>
      </c>
      <c r="T1541" t="str">
        <f>IF(D1541=1,MAX($T$2:$T1540)+1,IF(S1541=S1540,$T1540,IF(D1541="x",T1540,IF(D1540="x","",""))))</f>
        <v/>
      </c>
      <c r="U1541" t="str">
        <f>IF(B1541=1,MAX($U$2:$U1540)+1,IF(AND($T1541&lt;&gt;"",$T1541=$T1540),$U1540,IF(B1541="x",U1540,"")))</f>
        <v/>
      </c>
      <c r="V1541" t="str">
        <f>IF(C1541=1,MAX($V$2:$V1540)+1,IF(AND($T1541&lt;&gt;"",$T1541=$T1540),$U1540,IF(C1541="x",V1540,"")))</f>
        <v/>
      </c>
      <c r="X1541" cm="1">
        <f t="array" ref="X1541">IF($I1541&lt;&gt;"",$I1541,INDEX($I$1:$I1541,ROW()-COUNTIFS($T$1:$T1541,"="&amp;$T1541,$S$1:$S1541,"&lt;"&amp;$S1541)))</f>
        <v>0</v>
      </c>
      <c r="Z1541" s="6">
        <f t="shared" ref="Z1541:Z1604" si="238">IF(K1541="Intermission",Z1540+1,Z1540)</f>
        <v>1</v>
      </c>
      <c r="AA1541" t="e">
        <f t="shared" ref="AA1541:AA1604" si="239">S1541+1000</f>
        <v>#VALUE!</v>
      </c>
      <c r="AB1541" t="str">
        <f t="shared" ref="AB1541:AB1604" si="240">IF(T1541&lt;&gt;"",9000+T1541,"")</f>
        <v/>
      </c>
      <c r="AC1541" t="e">
        <f t="shared" ref="AC1541:AC1604" si="241">IF(AB1541&lt;&gt;"",AB1541,S1541+1000)</f>
        <v>#VALUE!</v>
      </c>
    </row>
    <row r="1542" spans="1:29" x14ac:dyDescent="0.2">
      <c r="A1542" t="str">
        <f t="shared" si="234"/>
        <v/>
      </c>
      <c r="E1542" s="4"/>
      <c r="F1542" s="46"/>
      <c r="G1542" s="4"/>
      <c r="H1542" s="48"/>
      <c r="J1542" s="26" t="str">
        <f t="shared" si="235"/>
        <v/>
      </c>
      <c r="N1542" t="str">
        <f t="shared" si="236"/>
        <v/>
      </c>
      <c r="Q1542" t="str">
        <f t="shared" si="237"/>
        <v/>
      </c>
      <c r="S1542" t="str">
        <f>IF(A1542=1,MAX($S$2:$S1541)+1,IF(OR($I1542&lt;&gt;"",A1542="x"),$S1541,""))</f>
        <v/>
      </c>
      <c r="T1542" t="str">
        <f>IF(D1542=1,MAX($T$2:$T1541)+1,IF(S1542=S1541,$T1541,IF(D1542="x",T1541,IF(D1541="x","",""))))</f>
        <v/>
      </c>
      <c r="U1542" t="str">
        <f>IF(B1542=1,MAX($U$2:$U1541)+1,IF(AND($T1542&lt;&gt;"",$T1542=$T1541),$U1541,IF(B1542="x",U1541,"")))</f>
        <v/>
      </c>
      <c r="V1542" t="str">
        <f>IF(C1542=1,MAX($V$2:$V1541)+1,IF(AND($T1542&lt;&gt;"",$T1542=$T1541),$U1541,IF(C1542="x",V1541,"")))</f>
        <v/>
      </c>
      <c r="X1542" cm="1">
        <f t="array" ref="X1542">IF($I1542&lt;&gt;"",$I1542,INDEX($I$1:$I1542,ROW()-COUNTIFS($T$1:$T1542,"="&amp;$T1542,$S$1:$S1542,"&lt;"&amp;$S1542)))</f>
        <v>0</v>
      </c>
      <c r="Z1542" s="6">
        <f t="shared" si="238"/>
        <v>1</v>
      </c>
      <c r="AA1542" t="e">
        <f t="shared" si="239"/>
        <v>#VALUE!</v>
      </c>
      <c r="AB1542" t="str">
        <f t="shared" si="240"/>
        <v/>
      </c>
      <c r="AC1542" t="e">
        <f t="shared" si="241"/>
        <v>#VALUE!</v>
      </c>
    </row>
    <row r="1543" spans="1:29" x14ac:dyDescent="0.2">
      <c r="A1543" t="str">
        <f t="shared" si="234"/>
        <v/>
      </c>
      <c r="E1543" s="4"/>
      <c r="F1543" s="46"/>
      <c r="G1543" s="4"/>
      <c r="H1543" s="48"/>
      <c r="J1543" s="26" t="str">
        <f t="shared" si="235"/>
        <v/>
      </c>
      <c r="N1543" t="str">
        <f t="shared" si="236"/>
        <v/>
      </c>
      <c r="Q1543" t="str">
        <f t="shared" si="237"/>
        <v/>
      </c>
      <c r="S1543" t="str">
        <f>IF(A1543=1,MAX($S$2:$S1542)+1,IF(OR($I1543&lt;&gt;"",A1543="x"),$S1542,""))</f>
        <v/>
      </c>
      <c r="T1543" t="str">
        <f>IF(D1543=1,MAX($T$2:$T1542)+1,IF(S1543=S1542,$T1542,IF(D1543="x",T1542,IF(D1542="x","",""))))</f>
        <v/>
      </c>
      <c r="U1543" t="str">
        <f>IF(B1543=1,MAX($U$2:$U1542)+1,IF(AND($T1543&lt;&gt;"",$T1543=$T1542),$U1542,IF(B1543="x",U1542,"")))</f>
        <v/>
      </c>
      <c r="V1543" t="str">
        <f>IF(C1543=1,MAX($V$2:$V1542)+1,IF(AND($T1543&lt;&gt;"",$T1543=$T1542),$U1542,IF(C1543="x",V1542,"")))</f>
        <v/>
      </c>
      <c r="X1543" cm="1">
        <f t="array" ref="X1543">IF($I1543&lt;&gt;"",$I1543,INDEX($I$1:$I1543,ROW()-COUNTIFS($T$1:$T1543,"="&amp;$T1543,$S$1:$S1543,"&lt;"&amp;$S1543)))</f>
        <v>0</v>
      </c>
      <c r="Z1543" s="6">
        <f t="shared" si="238"/>
        <v>1</v>
      </c>
      <c r="AA1543" t="e">
        <f t="shared" si="239"/>
        <v>#VALUE!</v>
      </c>
      <c r="AB1543" t="str">
        <f t="shared" si="240"/>
        <v/>
      </c>
      <c r="AC1543" t="e">
        <f t="shared" si="241"/>
        <v>#VALUE!</v>
      </c>
    </row>
    <row r="1544" spans="1:29" x14ac:dyDescent="0.2">
      <c r="A1544" t="str">
        <f t="shared" si="234"/>
        <v/>
      </c>
      <c r="E1544" s="4"/>
      <c r="F1544" s="46"/>
      <c r="G1544" s="4"/>
      <c r="H1544" s="48"/>
      <c r="J1544" s="26" t="str">
        <f t="shared" si="235"/>
        <v/>
      </c>
      <c r="N1544" t="str">
        <f t="shared" si="236"/>
        <v/>
      </c>
      <c r="Q1544" t="str">
        <f t="shared" si="237"/>
        <v/>
      </c>
      <c r="S1544" t="str">
        <f>IF(A1544=1,MAX($S$2:$S1543)+1,IF(OR($I1544&lt;&gt;"",A1544="x"),$S1543,""))</f>
        <v/>
      </c>
      <c r="T1544" t="str">
        <f>IF(D1544=1,MAX($T$2:$T1543)+1,IF(S1544=S1543,$T1543,IF(D1544="x",T1543,IF(D1543="x","",""))))</f>
        <v/>
      </c>
      <c r="U1544" t="str">
        <f>IF(B1544=1,MAX($U$2:$U1543)+1,IF(AND($T1544&lt;&gt;"",$T1544=$T1543),$U1543,IF(B1544="x",U1543,"")))</f>
        <v/>
      </c>
      <c r="V1544" t="str">
        <f>IF(C1544=1,MAX($V$2:$V1543)+1,IF(AND($T1544&lt;&gt;"",$T1544=$T1543),$U1543,IF(C1544="x",V1543,"")))</f>
        <v/>
      </c>
      <c r="X1544" cm="1">
        <f t="array" ref="X1544">IF($I1544&lt;&gt;"",$I1544,INDEX($I$1:$I1544,ROW()-COUNTIFS($T$1:$T1544,"="&amp;$T1544,$S$1:$S1544,"&lt;"&amp;$S1544)))</f>
        <v>0</v>
      </c>
      <c r="Z1544" s="6">
        <f t="shared" si="238"/>
        <v>1</v>
      </c>
      <c r="AA1544" t="e">
        <f t="shared" si="239"/>
        <v>#VALUE!</v>
      </c>
      <c r="AB1544" t="str">
        <f t="shared" si="240"/>
        <v/>
      </c>
      <c r="AC1544" t="e">
        <f t="shared" si="241"/>
        <v>#VALUE!</v>
      </c>
    </row>
    <row r="1545" spans="1:29" x14ac:dyDescent="0.2">
      <c r="A1545" t="str">
        <f t="shared" si="234"/>
        <v/>
      </c>
      <c r="E1545" s="4"/>
      <c r="F1545" s="46"/>
      <c r="G1545" s="4"/>
      <c r="H1545" s="48"/>
      <c r="J1545" s="26" t="str">
        <f t="shared" si="235"/>
        <v/>
      </c>
      <c r="N1545" t="str">
        <f t="shared" si="236"/>
        <v/>
      </c>
      <c r="Q1545" t="str">
        <f t="shared" si="237"/>
        <v/>
      </c>
      <c r="S1545" t="str">
        <f>IF(A1545=1,MAX($S$2:$S1544)+1,IF(OR($I1545&lt;&gt;"",A1545="x"),$S1544,""))</f>
        <v/>
      </c>
      <c r="T1545" t="str">
        <f>IF(D1545=1,MAX($T$2:$T1544)+1,IF(S1545=S1544,$T1544,IF(D1545="x",T1544,IF(D1544="x","",""))))</f>
        <v/>
      </c>
      <c r="U1545" t="str">
        <f>IF(B1545=1,MAX($U$2:$U1544)+1,IF(AND($T1545&lt;&gt;"",$T1545=$T1544),$U1544,IF(B1545="x",U1544,"")))</f>
        <v/>
      </c>
      <c r="V1545" t="str">
        <f>IF(C1545=1,MAX($V$2:$V1544)+1,IF(AND($T1545&lt;&gt;"",$T1545=$T1544),$U1544,IF(C1545="x",V1544,"")))</f>
        <v/>
      </c>
      <c r="X1545" cm="1">
        <f t="array" ref="X1545">IF($I1545&lt;&gt;"",$I1545,INDEX($I$1:$I1545,ROW()-COUNTIFS($T$1:$T1545,"="&amp;$T1545,$S$1:$S1545,"&lt;"&amp;$S1545)))</f>
        <v>0</v>
      </c>
      <c r="Z1545" s="6">
        <f t="shared" si="238"/>
        <v>1</v>
      </c>
      <c r="AA1545" t="e">
        <f t="shared" si="239"/>
        <v>#VALUE!</v>
      </c>
      <c r="AB1545" t="str">
        <f t="shared" si="240"/>
        <v/>
      </c>
      <c r="AC1545" t="e">
        <f t="shared" si="241"/>
        <v>#VALUE!</v>
      </c>
    </row>
    <row r="1546" spans="1:29" x14ac:dyDescent="0.2">
      <c r="A1546" t="str">
        <f t="shared" si="234"/>
        <v/>
      </c>
      <c r="E1546" s="4"/>
      <c r="F1546" s="46"/>
      <c r="G1546" s="4"/>
      <c r="H1546" s="48"/>
      <c r="J1546" s="26" t="str">
        <f t="shared" si="235"/>
        <v/>
      </c>
      <c r="N1546" t="str">
        <f t="shared" si="236"/>
        <v/>
      </c>
      <c r="Q1546" t="str">
        <f t="shared" si="237"/>
        <v/>
      </c>
      <c r="S1546" t="str">
        <f>IF(A1546=1,MAX($S$2:$S1545)+1,IF(OR($I1546&lt;&gt;"",A1546="x"),$S1545,""))</f>
        <v/>
      </c>
      <c r="T1546" t="str">
        <f>IF(D1546=1,MAX($T$2:$T1545)+1,IF(S1546=S1545,$T1545,IF(D1546="x",T1545,IF(D1545="x","",""))))</f>
        <v/>
      </c>
      <c r="U1546" t="str">
        <f>IF(B1546=1,MAX($U$2:$U1545)+1,IF(AND($T1546&lt;&gt;"",$T1546=$T1545),$U1545,IF(B1546="x",U1545,"")))</f>
        <v/>
      </c>
      <c r="V1546" t="str">
        <f>IF(C1546=1,MAX($V$2:$V1545)+1,IF(AND($T1546&lt;&gt;"",$T1546=$T1545),$U1545,IF(C1546="x",V1545,"")))</f>
        <v/>
      </c>
      <c r="X1546" cm="1">
        <f t="array" ref="X1546">IF($I1546&lt;&gt;"",$I1546,INDEX($I$1:$I1546,ROW()-COUNTIFS($T$1:$T1546,"="&amp;$T1546,$S$1:$S1546,"&lt;"&amp;$S1546)))</f>
        <v>0</v>
      </c>
      <c r="Z1546" s="6">
        <f t="shared" si="238"/>
        <v>1</v>
      </c>
      <c r="AA1546" t="e">
        <f t="shared" si="239"/>
        <v>#VALUE!</v>
      </c>
      <c r="AB1546" t="str">
        <f t="shared" si="240"/>
        <v/>
      </c>
      <c r="AC1546" t="e">
        <f t="shared" si="241"/>
        <v>#VALUE!</v>
      </c>
    </row>
    <row r="1547" spans="1:29" x14ac:dyDescent="0.2">
      <c r="A1547" t="str">
        <f t="shared" si="234"/>
        <v/>
      </c>
      <c r="E1547" s="4"/>
      <c r="F1547" s="46"/>
      <c r="G1547" s="4"/>
      <c r="H1547" s="48"/>
      <c r="J1547" s="26" t="str">
        <f t="shared" si="235"/>
        <v/>
      </c>
      <c r="N1547" t="str">
        <f t="shared" si="236"/>
        <v/>
      </c>
      <c r="Q1547" t="str">
        <f t="shared" si="237"/>
        <v/>
      </c>
      <c r="S1547" t="str">
        <f>IF(A1547=1,MAX($S$2:$S1546)+1,IF(OR($I1547&lt;&gt;"",A1547="x"),$S1546,""))</f>
        <v/>
      </c>
      <c r="T1547" t="str">
        <f>IF(D1547=1,MAX($T$2:$T1546)+1,IF(S1547=S1546,$T1546,IF(D1547="x",T1546,IF(D1546="x","",""))))</f>
        <v/>
      </c>
      <c r="U1547" t="str">
        <f>IF(B1547=1,MAX($U$2:$U1546)+1,IF(AND($T1547&lt;&gt;"",$T1547=$T1546),$U1546,IF(B1547="x",U1546,"")))</f>
        <v/>
      </c>
      <c r="V1547" t="str">
        <f>IF(C1547=1,MAX($V$2:$V1546)+1,IF(AND($T1547&lt;&gt;"",$T1547=$T1546),$U1546,IF(C1547="x",V1546,"")))</f>
        <v/>
      </c>
      <c r="X1547" cm="1">
        <f t="array" ref="X1547">IF($I1547&lt;&gt;"",$I1547,INDEX($I$1:$I1547,ROW()-COUNTIFS($T$1:$T1547,"="&amp;$T1547,$S$1:$S1547,"&lt;"&amp;$S1547)))</f>
        <v>0</v>
      </c>
      <c r="Z1547" s="6">
        <f t="shared" si="238"/>
        <v>1</v>
      </c>
      <c r="AA1547" t="e">
        <f t="shared" si="239"/>
        <v>#VALUE!</v>
      </c>
      <c r="AB1547" t="str">
        <f t="shared" si="240"/>
        <v/>
      </c>
      <c r="AC1547" t="e">
        <f t="shared" si="241"/>
        <v>#VALUE!</v>
      </c>
    </row>
    <row r="1548" spans="1:29" x14ac:dyDescent="0.2">
      <c r="A1548" t="str">
        <f t="shared" si="234"/>
        <v/>
      </c>
      <c r="E1548" s="4"/>
      <c r="F1548" s="46"/>
      <c r="G1548" s="4"/>
      <c r="H1548" s="48"/>
      <c r="J1548" s="26" t="str">
        <f t="shared" si="235"/>
        <v/>
      </c>
      <c r="N1548" t="str">
        <f t="shared" si="236"/>
        <v/>
      </c>
      <c r="Q1548" t="str">
        <f t="shared" si="237"/>
        <v/>
      </c>
      <c r="S1548" t="str">
        <f>IF(A1548=1,MAX($S$2:$S1547)+1,IF(OR($I1548&lt;&gt;"",A1548="x"),$S1547,""))</f>
        <v/>
      </c>
      <c r="T1548" t="str">
        <f>IF(D1548=1,MAX($T$2:$T1547)+1,IF(S1548=S1547,$T1547,IF(D1548="x",T1547,IF(D1547="x","",""))))</f>
        <v/>
      </c>
      <c r="U1548" t="str">
        <f>IF(B1548=1,MAX($U$2:$U1547)+1,IF(AND($T1548&lt;&gt;"",$T1548=$T1547),$U1547,IF(B1548="x",U1547,"")))</f>
        <v/>
      </c>
      <c r="V1548" t="str">
        <f>IF(C1548=1,MAX($V$2:$V1547)+1,IF(AND($T1548&lt;&gt;"",$T1548=$T1547),$U1547,IF(C1548="x",V1547,"")))</f>
        <v/>
      </c>
      <c r="X1548" cm="1">
        <f t="array" ref="X1548">IF($I1548&lt;&gt;"",$I1548,INDEX($I$1:$I1548,ROW()-COUNTIFS($T$1:$T1548,"="&amp;$T1548,$S$1:$S1548,"&lt;"&amp;$S1548)))</f>
        <v>0</v>
      </c>
      <c r="Z1548" s="6">
        <f t="shared" si="238"/>
        <v>1</v>
      </c>
      <c r="AA1548" t="e">
        <f t="shared" si="239"/>
        <v>#VALUE!</v>
      </c>
      <c r="AB1548" t="str">
        <f t="shared" si="240"/>
        <v/>
      </c>
      <c r="AC1548" t="e">
        <f t="shared" si="241"/>
        <v>#VALUE!</v>
      </c>
    </row>
    <row r="1549" spans="1:29" x14ac:dyDescent="0.2">
      <c r="A1549" t="str">
        <f t="shared" si="234"/>
        <v/>
      </c>
      <c r="E1549" s="4"/>
      <c r="F1549" s="46"/>
      <c r="G1549" s="4"/>
      <c r="H1549" s="48"/>
      <c r="J1549" s="26" t="str">
        <f t="shared" si="235"/>
        <v/>
      </c>
      <c r="N1549" t="str">
        <f t="shared" si="236"/>
        <v/>
      </c>
      <c r="Q1549" t="str">
        <f t="shared" si="237"/>
        <v/>
      </c>
      <c r="S1549" t="str">
        <f>IF(A1549=1,MAX($S$2:$S1548)+1,IF(OR($I1549&lt;&gt;"",A1549="x"),$S1548,""))</f>
        <v/>
      </c>
      <c r="T1549" t="str">
        <f>IF(D1549=1,MAX($T$2:$T1548)+1,IF(S1549=S1548,$T1548,IF(D1549="x",T1548,IF(D1548="x","",""))))</f>
        <v/>
      </c>
      <c r="U1549" t="str">
        <f>IF(B1549=1,MAX($U$2:$U1548)+1,IF(AND($T1549&lt;&gt;"",$T1549=$T1548),$U1548,IF(B1549="x",U1548,"")))</f>
        <v/>
      </c>
      <c r="V1549" t="str">
        <f>IF(C1549=1,MAX($V$2:$V1548)+1,IF(AND($T1549&lt;&gt;"",$T1549=$T1548),$U1548,IF(C1549="x",V1548,"")))</f>
        <v/>
      </c>
      <c r="X1549" cm="1">
        <f t="array" ref="X1549">IF($I1549&lt;&gt;"",$I1549,INDEX($I$1:$I1549,ROW()-COUNTIFS($T$1:$T1549,"="&amp;$T1549,$S$1:$S1549,"&lt;"&amp;$S1549)))</f>
        <v>0</v>
      </c>
      <c r="Z1549" s="6">
        <f t="shared" si="238"/>
        <v>1</v>
      </c>
      <c r="AA1549" t="e">
        <f t="shared" si="239"/>
        <v>#VALUE!</v>
      </c>
      <c r="AB1549" t="str">
        <f t="shared" si="240"/>
        <v/>
      </c>
      <c r="AC1549" t="e">
        <f t="shared" si="241"/>
        <v>#VALUE!</v>
      </c>
    </row>
    <row r="1550" spans="1:29" x14ac:dyDescent="0.2">
      <c r="A1550" t="str">
        <f t="shared" si="234"/>
        <v/>
      </c>
      <c r="E1550" s="4"/>
      <c r="F1550" s="46"/>
      <c r="G1550" s="4"/>
      <c r="H1550" s="48"/>
      <c r="J1550" s="26" t="str">
        <f t="shared" si="235"/>
        <v/>
      </c>
      <c r="N1550" t="str">
        <f t="shared" si="236"/>
        <v/>
      </c>
      <c r="Q1550" t="str">
        <f t="shared" si="237"/>
        <v/>
      </c>
      <c r="S1550" t="str">
        <f>IF(A1550=1,MAX($S$2:$S1549)+1,IF(OR($I1550&lt;&gt;"",A1550="x"),$S1549,""))</f>
        <v/>
      </c>
      <c r="T1550" t="str">
        <f>IF(D1550=1,MAX($T$2:$T1549)+1,IF(S1550=S1549,$T1549,IF(D1550="x",T1549,IF(D1549="x","",""))))</f>
        <v/>
      </c>
      <c r="U1550" t="str">
        <f>IF(B1550=1,MAX($U$2:$U1549)+1,IF(AND($T1550&lt;&gt;"",$T1550=$T1549),$U1549,IF(B1550="x",U1549,"")))</f>
        <v/>
      </c>
      <c r="V1550" t="str">
        <f>IF(C1550=1,MAX($V$2:$V1549)+1,IF(AND($T1550&lt;&gt;"",$T1550=$T1549),$U1549,IF(C1550="x",V1549,"")))</f>
        <v/>
      </c>
      <c r="X1550" cm="1">
        <f t="array" ref="X1550">IF($I1550&lt;&gt;"",$I1550,INDEX($I$1:$I1550,ROW()-COUNTIFS($T$1:$T1550,"="&amp;$T1550,$S$1:$S1550,"&lt;"&amp;$S1550)))</f>
        <v>0</v>
      </c>
      <c r="Z1550" s="6">
        <f t="shared" si="238"/>
        <v>1</v>
      </c>
      <c r="AA1550" t="e">
        <f t="shared" si="239"/>
        <v>#VALUE!</v>
      </c>
      <c r="AB1550" t="str">
        <f t="shared" si="240"/>
        <v/>
      </c>
      <c r="AC1550" t="e">
        <f t="shared" si="241"/>
        <v>#VALUE!</v>
      </c>
    </row>
    <row r="1551" spans="1:29" x14ac:dyDescent="0.2">
      <c r="A1551" t="str">
        <f t="shared" si="234"/>
        <v/>
      </c>
      <c r="E1551" s="4"/>
      <c r="F1551" s="46"/>
      <c r="G1551" s="4"/>
      <c r="H1551" s="48"/>
      <c r="J1551" s="26" t="str">
        <f t="shared" si="235"/>
        <v/>
      </c>
      <c r="N1551" t="str">
        <f t="shared" si="236"/>
        <v/>
      </c>
      <c r="Q1551" t="str">
        <f t="shared" si="237"/>
        <v/>
      </c>
      <c r="S1551" t="str">
        <f>IF(A1551=1,MAX($S$2:$S1550)+1,IF(OR($I1551&lt;&gt;"",A1551="x"),$S1550,""))</f>
        <v/>
      </c>
      <c r="T1551" t="str">
        <f>IF(D1551=1,MAX($T$2:$T1550)+1,IF(S1551=S1550,$T1550,IF(D1551="x",T1550,IF(D1550="x","",""))))</f>
        <v/>
      </c>
      <c r="U1551" t="str">
        <f>IF(B1551=1,MAX($U$2:$U1550)+1,IF(AND($T1551&lt;&gt;"",$T1551=$T1550),$U1550,IF(B1551="x",U1550,"")))</f>
        <v/>
      </c>
      <c r="V1551" t="str">
        <f>IF(C1551=1,MAX($V$2:$V1550)+1,IF(AND($T1551&lt;&gt;"",$T1551=$T1550),$U1550,IF(C1551="x",V1550,"")))</f>
        <v/>
      </c>
      <c r="X1551" cm="1">
        <f t="array" ref="X1551">IF($I1551&lt;&gt;"",$I1551,INDEX($I$1:$I1551,ROW()-COUNTIFS($T$1:$T1551,"="&amp;$T1551,$S$1:$S1551,"&lt;"&amp;$S1551)))</f>
        <v>0</v>
      </c>
      <c r="Z1551" s="6">
        <f t="shared" si="238"/>
        <v>1</v>
      </c>
      <c r="AA1551" t="e">
        <f t="shared" si="239"/>
        <v>#VALUE!</v>
      </c>
      <c r="AB1551" t="str">
        <f t="shared" si="240"/>
        <v/>
      </c>
      <c r="AC1551" t="e">
        <f t="shared" si="241"/>
        <v>#VALUE!</v>
      </c>
    </row>
    <row r="1552" spans="1:29" x14ac:dyDescent="0.2">
      <c r="A1552" t="str">
        <f t="shared" si="234"/>
        <v/>
      </c>
      <c r="E1552" s="4"/>
      <c r="F1552" s="46"/>
      <c r="G1552" s="4"/>
      <c r="H1552" s="48"/>
      <c r="J1552" s="26" t="str">
        <f t="shared" si="235"/>
        <v/>
      </c>
      <c r="N1552" t="str">
        <f t="shared" si="236"/>
        <v/>
      </c>
      <c r="Q1552" t="str">
        <f t="shared" si="237"/>
        <v/>
      </c>
      <c r="S1552" t="str">
        <f>IF(A1552=1,MAX($S$2:$S1551)+1,IF(OR($I1552&lt;&gt;"",A1552="x"),$S1551,""))</f>
        <v/>
      </c>
      <c r="T1552" t="str">
        <f>IF(D1552=1,MAX($T$2:$T1551)+1,IF(S1552=S1551,$T1551,IF(D1552="x",T1551,IF(D1551="x","",""))))</f>
        <v/>
      </c>
      <c r="U1552" t="str">
        <f>IF(B1552=1,MAX($U$2:$U1551)+1,IF(AND($T1552&lt;&gt;"",$T1552=$T1551),$U1551,IF(B1552="x",U1551,"")))</f>
        <v/>
      </c>
      <c r="V1552" t="str">
        <f>IF(C1552=1,MAX($V$2:$V1551)+1,IF(AND($T1552&lt;&gt;"",$T1552=$T1551),$U1551,IF(C1552="x",V1551,"")))</f>
        <v/>
      </c>
      <c r="X1552" cm="1">
        <f t="array" ref="X1552">IF($I1552&lt;&gt;"",$I1552,INDEX($I$1:$I1552,ROW()-COUNTIFS($T$1:$T1552,"="&amp;$T1552,$S$1:$S1552,"&lt;"&amp;$S1552)))</f>
        <v>0</v>
      </c>
      <c r="Z1552" s="6">
        <f t="shared" si="238"/>
        <v>1</v>
      </c>
      <c r="AA1552" t="e">
        <f t="shared" si="239"/>
        <v>#VALUE!</v>
      </c>
      <c r="AB1552" t="str">
        <f t="shared" si="240"/>
        <v/>
      </c>
      <c r="AC1552" t="e">
        <f t="shared" si="241"/>
        <v>#VALUE!</v>
      </c>
    </row>
    <row r="1553" spans="1:29" x14ac:dyDescent="0.2">
      <c r="A1553" t="str">
        <f t="shared" si="234"/>
        <v/>
      </c>
      <c r="E1553" s="4"/>
      <c r="F1553" s="46"/>
      <c r="G1553" s="4"/>
      <c r="H1553" s="48"/>
      <c r="J1553" s="26" t="str">
        <f t="shared" si="235"/>
        <v/>
      </c>
      <c r="N1553" t="str">
        <f t="shared" si="236"/>
        <v/>
      </c>
      <c r="Q1553" t="str">
        <f t="shared" si="237"/>
        <v/>
      </c>
      <c r="S1553" t="str">
        <f>IF(A1553=1,MAX($S$2:$S1552)+1,IF(OR($I1553&lt;&gt;"",A1553="x"),$S1552,""))</f>
        <v/>
      </c>
      <c r="T1553" t="str">
        <f>IF(D1553=1,MAX($T$2:$T1552)+1,IF(S1553=S1552,$T1552,IF(D1553="x",T1552,IF(D1552="x","",""))))</f>
        <v/>
      </c>
      <c r="U1553" t="str">
        <f>IF(B1553=1,MAX($U$2:$U1552)+1,IF(AND($T1553&lt;&gt;"",$T1553=$T1552),$U1552,IF(B1553="x",U1552,"")))</f>
        <v/>
      </c>
      <c r="V1553" t="str">
        <f>IF(C1553=1,MAX($V$2:$V1552)+1,IF(AND($T1553&lt;&gt;"",$T1553=$T1552),$U1552,IF(C1553="x",V1552,"")))</f>
        <v/>
      </c>
      <c r="X1553" cm="1">
        <f t="array" ref="X1553">IF($I1553&lt;&gt;"",$I1553,INDEX($I$1:$I1553,ROW()-COUNTIFS($T$1:$T1553,"="&amp;$T1553,$S$1:$S1553,"&lt;"&amp;$S1553)))</f>
        <v>0</v>
      </c>
      <c r="Z1553" s="6">
        <f t="shared" si="238"/>
        <v>1</v>
      </c>
      <c r="AA1553" t="e">
        <f t="shared" si="239"/>
        <v>#VALUE!</v>
      </c>
      <c r="AB1553" t="str">
        <f t="shared" si="240"/>
        <v/>
      </c>
      <c r="AC1553" t="e">
        <f t="shared" si="241"/>
        <v>#VALUE!</v>
      </c>
    </row>
    <row r="1554" spans="1:29" x14ac:dyDescent="0.2">
      <c r="A1554" t="str">
        <f t="shared" si="234"/>
        <v/>
      </c>
      <c r="E1554" s="4"/>
      <c r="F1554" s="46"/>
      <c r="G1554" s="4"/>
      <c r="H1554" s="48"/>
      <c r="J1554" s="26" t="str">
        <f t="shared" si="235"/>
        <v/>
      </c>
      <c r="N1554" t="str">
        <f t="shared" si="236"/>
        <v/>
      </c>
      <c r="Q1554" t="str">
        <f t="shared" si="237"/>
        <v/>
      </c>
      <c r="S1554" t="str">
        <f>IF(A1554=1,MAX($S$2:$S1553)+1,IF(OR($I1554&lt;&gt;"",A1554="x"),$S1553,""))</f>
        <v/>
      </c>
      <c r="T1554" t="str">
        <f>IF(D1554=1,MAX($T$2:$T1553)+1,IF(S1554=S1553,$T1553,IF(D1554="x",T1553,IF(D1553="x","",""))))</f>
        <v/>
      </c>
      <c r="U1554" t="str">
        <f>IF(B1554=1,MAX($U$2:$U1553)+1,IF(AND($T1554&lt;&gt;"",$T1554=$T1553),$U1553,IF(B1554="x",U1553,"")))</f>
        <v/>
      </c>
      <c r="V1554" t="str">
        <f>IF(C1554=1,MAX($V$2:$V1553)+1,IF(AND($T1554&lt;&gt;"",$T1554=$T1553),$U1553,IF(C1554="x",V1553,"")))</f>
        <v/>
      </c>
      <c r="X1554" cm="1">
        <f t="array" ref="X1554">IF($I1554&lt;&gt;"",$I1554,INDEX($I$1:$I1554,ROW()-COUNTIFS($T$1:$T1554,"="&amp;$T1554,$S$1:$S1554,"&lt;"&amp;$S1554)))</f>
        <v>0</v>
      </c>
      <c r="Z1554" s="6">
        <f t="shared" si="238"/>
        <v>1</v>
      </c>
      <c r="AA1554" t="e">
        <f t="shared" si="239"/>
        <v>#VALUE!</v>
      </c>
      <c r="AB1554" t="str">
        <f t="shared" si="240"/>
        <v/>
      </c>
      <c r="AC1554" t="e">
        <f t="shared" si="241"/>
        <v>#VALUE!</v>
      </c>
    </row>
    <row r="1555" spans="1:29" x14ac:dyDescent="0.2">
      <c r="A1555" t="str">
        <f t="shared" ref="A1555:A1618" si="242">IF(K1555&lt;&gt;"",1,IF(D1555="x","x",""))</f>
        <v/>
      </c>
      <c r="E1555" s="4"/>
      <c r="F1555" s="46"/>
      <c r="G1555" s="4"/>
      <c r="H1555" s="48"/>
      <c r="J1555" s="26" t="str">
        <f t="shared" ref="J1555:J1618" si="243">IF(OR(K1555="Goal",K1555="Shot",L1555="Zone_Entry",M1555="Stoppage-Goal",M1554="Stoppage-Goal"),"o",IF(OR(K1555="Save",K1555="Rebound",L1555="Zone_Exit",M1555="Stoppage-GoalieStoppage",M1554="Stoppage-GoalieStoppage"),"d",IF(OR(L1555="Faceoff_AfterGoal",L1555="Faceoff_PeriodStart",698="Faceoff_GameStart",M1554="Stoppage-Goal"),"n","")))</f>
        <v/>
      </c>
      <c r="N1555" t="str">
        <f t="shared" ref="N1555:N1618" si="244">IF(K1555="","",IF(K1555="Goal","s",IF(AND(K1555="Zone_Entry_Exit",OR(ISNUMBER(SEARCH("fail",L1555)),ISNUMBER(SEARCH("FromExitClear",M1555)),ISNUMBER(SEARCH("miss",M1555)))),"u",IF(AND(K1555="Zone_Entry_Exit",OR(NOT(ISNUMBER(SEARCH("fail",L1555))),NOT(ISNUMBER(SEARCH("FromExitClear",M1555))),NOT(ISNUMBER(SEARCH("miss",M1555))))),"s",IF(AND(OR(K1555="Shot",K1555="Pass"),OR(ISNUMBER(SEARCH("complete",L1555)),ISNUMBER(SEARCH("goal",L1555)),ISNUMBER(SEARCH("OnNet",L1555)))),"s",IF(L1555="Turnover_Giveaway","u",IF(AND(OR(K1555="Shot",K1555="Pass"),OR(ISNUMBER(SEARCH("fail",L1555)),NOT(ISNUMBER(SEARCH("complete",L1555))),NOT(ISNUMBER(SEARCH("OnNet",L1555))))),"u","")))))))</f>
        <v/>
      </c>
      <c r="Q1555" t="str">
        <f t="shared" ref="Q1555:Q1618" si="245">IF(O1555="","",IF(AND(N1555&lt;&gt;"",OR(O1555&lt;&gt;"",P1555&lt;&gt;"")),N1555,IF(OR(ISNUMBER(SEARCH("attemp",O1555)),ISNUMBER(SEARCH("beat",O1555)),ISNUMBER(SEARCH("mis",O1555)),ISNUMBER(SEARCH("fail",O1555)),ISNUMBER(SEARCH("loss",O1555)),ISNUMBER(SEARCH("lost",O1555)),ISNUMBER(SEARCH("attemp",P1555)),ISNUMBER(SEARCH("mis",P1555)),ISNUMBER(SEARCH("fail",P1555)),ISNUMBER(SEARCH("loss",P1555)),ISNUMBER(SEARCH("beat",P1555)),ISNUMBER(SEARCH("lost",P1555))),"u","")))</f>
        <v/>
      </c>
      <c r="S1555" t="str">
        <f>IF(A1555=1,MAX($S$2:$S1554)+1,IF(OR($I1555&lt;&gt;"",A1555="x"),$S1554,""))</f>
        <v/>
      </c>
      <c r="T1555" t="str">
        <f>IF(D1555=1,MAX($T$2:$T1554)+1,IF(S1555=S1554,$T1554,IF(D1555="x",T1554,IF(D1554="x","",""))))</f>
        <v/>
      </c>
      <c r="U1555" t="str">
        <f>IF(B1555=1,MAX($U$2:$U1554)+1,IF(AND($T1555&lt;&gt;"",$T1555=$T1554),$U1554,IF(B1555="x",U1554,"")))</f>
        <v/>
      </c>
      <c r="V1555" t="str">
        <f>IF(C1555=1,MAX($V$2:$V1554)+1,IF(AND($T1555&lt;&gt;"",$T1555=$T1554),$U1554,IF(C1555="x",V1554,"")))</f>
        <v/>
      </c>
      <c r="X1555" cm="1">
        <f t="array" ref="X1555">IF($I1555&lt;&gt;"",$I1555,INDEX($I$1:$I1555,ROW()-COUNTIFS($T$1:$T1555,"="&amp;$T1555,$S$1:$S1555,"&lt;"&amp;$S1555)))</f>
        <v>0</v>
      </c>
      <c r="Z1555" s="6">
        <f t="shared" si="238"/>
        <v>1</v>
      </c>
      <c r="AA1555" t="e">
        <f t="shared" si="239"/>
        <v>#VALUE!</v>
      </c>
      <c r="AB1555" t="str">
        <f t="shared" si="240"/>
        <v/>
      </c>
      <c r="AC1555" t="e">
        <f t="shared" si="241"/>
        <v>#VALUE!</v>
      </c>
    </row>
    <row r="1556" spans="1:29" x14ac:dyDescent="0.2">
      <c r="A1556" t="str">
        <f t="shared" si="242"/>
        <v/>
      </c>
      <c r="E1556" s="4"/>
      <c r="F1556" s="46"/>
      <c r="G1556" s="4"/>
      <c r="H1556" s="48"/>
      <c r="J1556" s="26" t="str">
        <f t="shared" si="243"/>
        <v/>
      </c>
      <c r="N1556" t="str">
        <f t="shared" si="244"/>
        <v/>
      </c>
      <c r="Q1556" t="str">
        <f t="shared" si="245"/>
        <v/>
      </c>
      <c r="S1556" t="str">
        <f>IF(A1556=1,MAX($S$2:$S1555)+1,IF(OR($I1556&lt;&gt;"",A1556="x"),$S1555,""))</f>
        <v/>
      </c>
      <c r="T1556" t="str">
        <f>IF(D1556=1,MAX($T$2:$T1555)+1,IF(S1556=S1555,$T1555,IF(D1556="x",T1555,IF(D1555="x","",""))))</f>
        <v/>
      </c>
      <c r="U1556" t="str">
        <f>IF(B1556=1,MAX($U$2:$U1555)+1,IF(AND($T1556&lt;&gt;"",$T1556=$T1555),$U1555,IF(B1556="x",U1555,"")))</f>
        <v/>
      </c>
      <c r="V1556" t="str">
        <f>IF(C1556=1,MAX($V$2:$V1555)+1,IF(AND($T1556&lt;&gt;"",$T1556=$T1555),$U1555,IF(C1556="x",V1555,"")))</f>
        <v/>
      </c>
      <c r="X1556" cm="1">
        <f t="array" ref="X1556">IF($I1556&lt;&gt;"",$I1556,INDEX($I$1:$I1556,ROW()-COUNTIFS($T$1:$T1556,"="&amp;$T1556,$S$1:$S1556,"&lt;"&amp;$S1556)))</f>
        <v>0</v>
      </c>
      <c r="Z1556" s="6">
        <f t="shared" si="238"/>
        <v>1</v>
      </c>
      <c r="AA1556" t="e">
        <f t="shared" si="239"/>
        <v>#VALUE!</v>
      </c>
      <c r="AB1556" t="str">
        <f t="shared" si="240"/>
        <v/>
      </c>
      <c r="AC1556" t="e">
        <f t="shared" si="241"/>
        <v>#VALUE!</v>
      </c>
    </row>
    <row r="1557" spans="1:29" x14ac:dyDescent="0.2">
      <c r="A1557" t="str">
        <f t="shared" si="242"/>
        <v/>
      </c>
      <c r="E1557" s="4"/>
      <c r="F1557" s="46"/>
      <c r="G1557" s="4"/>
      <c r="H1557" s="48"/>
      <c r="J1557" s="26" t="str">
        <f t="shared" si="243"/>
        <v/>
      </c>
      <c r="N1557" t="str">
        <f t="shared" si="244"/>
        <v/>
      </c>
      <c r="Q1557" t="str">
        <f t="shared" si="245"/>
        <v/>
      </c>
      <c r="S1557" t="str">
        <f>IF(A1557=1,MAX($S$2:$S1556)+1,IF(OR($I1557&lt;&gt;"",A1557="x"),$S1556,""))</f>
        <v/>
      </c>
      <c r="T1557" t="str">
        <f>IF(D1557=1,MAX($T$2:$T1556)+1,IF(S1557=S1556,$T1556,IF(D1557="x",T1556,IF(D1556="x","",""))))</f>
        <v/>
      </c>
      <c r="U1557" t="str">
        <f>IF(B1557=1,MAX($U$2:$U1556)+1,IF(AND($T1557&lt;&gt;"",$T1557=$T1556),$U1556,IF(B1557="x",U1556,"")))</f>
        <v/>
      </c>
      <c r="V1557" t="str">
        <f>IF(C1557=1,MAX($V$2:$V1556)+1,IF(AND($T1557&lt;&gt;"",$T1557=$T1556),$U1556,IF(C1557="x",V1556,"")))</f>
        <v/>
      </c>
      <c r="X1557" cm="1">
        <f t="array" ref="X1557">IF($I1557&lt;&gt;"",$I1557,INDEX($I$1:$I1557,ROW()-COUNTIFS($T$1:$T1557,"="&amp;$T1557,$S$1:$S1557,"&lt;"&amp;$S1557)))</f>
        <v>0</v>
      </c>
      <c r="Z1557" s="6">
        <f t="shared" si="238"/>
        <v>1</v>
      </c>
      <c r="AA1557" t="e">
        <f t="shared" si="239"/>
        <v>#VALUE!</v>
      </c>
      <c r="AB1557" t="str">
        <f t="shared" si="240"/>
        <v/>
      </c>
      <c r="AC1557" t="e">
        <f t="shared" si="241"/>
        <v>#VALUE!</v>
      </c>
    </row>
    <row r="1558" spans="1:29" x14ac:dyDescent="0.2">
      <c r="A1558" t="str">
        <f t="shared" si="242"/>
        <v/>
      </c>
      <c r="E1558" s="4"/>
      <c r="F1558" s="46"/>
      <c r="G1558" s="4"/>
      <c r="H1558" s="48"/>
      <c r="J1558" s="26" t="str">
        <f t="shared" si="243"/>
        <v/>
      </c>
      <c r="N1558" t="str">
        <f t="shared" si="244"/>
        <v/>
      </c>
      <c r="Q1558" t="str">
        <f t="shared" si="245"/>
        <v/>
      </c>
      <c r="S1558" t="str">
        <f>IF(A1558=1,MAX($S$2:$S1557)+1,IF(OR($I1558&lt;&gt;"",A1558="x"),$S1557,""))</f>
        <v/>
      </c>
      <c r="T1558" t="str">
        <f>IF(D1558=1,MAX($T$2:$T1557)+1,IF(S1558=S1557,$T1557,IF(D1558="x",T1557,IF(D1557="x","",""))))</f>
        <v/>
      </c>
      <c r="U1558" t="str">
        <f>IF(B1558=1,MAX($U$2:$U1557)+1,IF(AND($T1558&lt;&gt;"",$T1558=$T1557),$U1557,IF(B1558="x",U1557,"")))</f>
        <v/>
      </c>
      <c r="V1558" t="str">
        <f>IF(C1558=1,MAX($V$2:$V1557)+1,IF(AND($T1558&lt;&gt;"",$T1558=$T1557),$U1557,IF(C1558="x",V1557,"")))</f>
        <v/>
      </c>
      <c r="X1558" cm="1">
        <f t="array" ref="X1558">IF($I1558&lt;&gt;"",$I1558,INDEX($I$1:$I1558,ROW()-COUNTIFS($T$1:$T1558,"="&amp;$T1558,$S$1:$S1558,"&lt;"&amp;$S1558)))</f>
        <v>0</v>
      </c>
      <c r="Z1558" s="6">
        <f t="shared" si="238"/>
        <v>1</v>
      </c>
      <c r="AA1558" t="e">
        <f t="shared" si="239"/>
        <v>#VALUE!</v>
      </c>
      <c r="AB1558" t="str">
        <f t="shared" si="240"/>
        <v/>
      </c>
      <c r="AC1558" t="e">
        <f t="shared" si="241"/>
        <v>#VALUE!</v>
      </c>
    </row>
    <row r="1559" spans="1:29" x14ac:dyDescent="0.2">
      <c r="A1559" t="str">
        <f t="shared" si="242"/>
        <v/>
      </c>
      <c r="E1559" s="4"/>
      <c r="F1559" s="46"/>
      <c r="G1559" s="4"/>
      <c r="H1559" s="48"/>
      <c r="J1559" s="26" t="str">
        <f t="shared" si="243"/>
        <v/>
      </c>
      <c r="N1559" t="str">
        <f t="shared" si="244"/>
        <v/>
      </c>
      <c r="Q1559" t="str">
        <f t="shared" si="245"/>
        <v/>
      </c>
      <c r="S1559" t="str">
        <f>IF(A1559=1,MAX($S$2:$S1558)+1,IF(OR($I1559&lt;&gt;"",A1559="x"),$S1558,""))</f>
        <v/>
      </c>
      <c r="T1559" t="str">
        <f>IF(D1559=1,MAX($T$2:$T1558)+1,IF(S1559=S1558,$T1558,IF(D1559="x",T1558,IF(D1558="x","",""))))</f>
        <v/>
      </c>
      <c r="U1559" t="str">
        <f>IF(B1559=1,MAX($U$2:$U1558)+1,IF(AND($T1559&lt;&gt;"",$T1559=$T1558),$U1558,IF(B1559="x",U1558,"")))</f>
        <v/>
      </c>
      <c r="V1559" t="str">
        <f>IF(C1559=1,MAX($V$2:$V1558)+1,IF(AND($T1559&lt;&gt;"",$T1559=$T1558),$U1558,IF(C1559="x",V1558,"")))</f>
        <v/>
      </c>
      <c r="X1559" cm="1">
        <f t="array" ref="X1559">IF($I1559&lt;&gt;"",$I1559,INDEX($I$1:$I1559,ROW()-COUNTIFS($T$1:$T1559,"="&amp;$T1559,$S$1:$S1559,"&lt;"&amp;$S1559)))</f>
        <v>0</v>
      </c>
      <c r="Z1559" s="6">
        <f t="shared" si="238"/>
        <v>1</v>
      </c>
      <c r="AA1559" t="e">
        <f t="shared" si="239"/>
        <v>#VALUE!</v>
      </c>
      <c r="AB1559" t="str">
        <f t="shared" si="240"/>
        <v/>
      </c>
      <c r="AC1559" t="e">
        <f t="shared" si="241"/>
        <v>#VALUE!</v>
      </c>
    </row>
    <row r="1560" spans="1:29" x14ac:dyDescent="0.2">
      <c r="A1560" t="str">
        <f t="shared" si="242"/>
        <v/>
      </c>
      <c r="E1560" s="4"/>
      <c r="F1560" s="46"/>
      <c r="G1560" s="4"/>
      <c r="H1560" s="48"/>
      <c r="J1560" s="26" t="str">
        <f t="shared" si="243"/>
        <v/>
      </c>
      <c r="N1560" t="str">
        <f t="shared" si="244"/>
        <v/>
      </c>
      <c r="Q1560" t="str">
        <f t="shared" si="245"/>
        <v/>
      </c>
      <c r="S1560" t="str">
        <f>IF(A1560=1,MAX($S$2:$S1559)+1,IF(OR($I1560&lt;&gt;"",A1560="x"),$S1559,""))</f>
        <v/>
      </c>
      <c r="T1560" t="str">
        <f>IF(D1560=1,MAX($T$2:$T1559)+1,IF(S1560=S1559,$T1559,IF(D1560="x",T1559,IF(D1559="x","",""))))</f>
        <v/>
      </c>
      <c r="U1560" t="str">
        <f>IF(B1560=1,MAX($U$2:$U1559)+1,IF(AND($T1560&lt;&gt;"",$T1560=$T1559),$U1559,IF(B1560="x",U1559,"")))</f>
        <v/>
      </c>
      <c r="V1560" t="str">
        <f>IF(C1560=1,MAX($V$2:$V1559)+1,IF(AND($T1560&lt;&gt;"",$T1560=$T1559),$U1559,IF(C1560="x",V1559,"")))</f>
        <v/>
      </c>
      <c r="X1560" cm="1">
        <f t="array" ref="X1560">IF($I1560&lt;&gt;"",$I1560,INDEX($I$1:$I1560,ROW()-COUNTIFS($T$1:$T1560,"="&amp;$T1560,$S$1:$S1560,"&lt;"&amp;$S1560)))</f>
        <v>0</v>
      </c>
      <c r="Z1560" s="6">
        <f t="shared" si="238"/>
        <v>1</v>
      </c>
      <c r="AA1560" t="e">
        <f t="shared" si="239"/>
        <v>#VALUE!</v>
      </c>
      <c r="AB1560" t="str">
        <f t="shared" si="240"/>
        <v/>
      </c>
      <c r="AC1560" t="e">
        <f t="shared" si="241"/>
        <v>#VALUE!</v>
      </c>
    </row>
    <row r="1561" spans="1:29" x14ac:dyDescent="0.2">
      <c r="A1561" t="str">
        <f t="shared" si="242"/>
        <v/>
      </c>
      <c r="E1561" s="4"/>
      <c r="F1561" s="46"/>
      <c r="G1561" s="4"/>
      <c r="H1561" s="48"/>
      <c r="J1561" s="26" t="str">
        <f t="shared" si="243"/>
        <v/>
      </c>
      <c r="N1561" t="str">
        <f t="shared" si="244"/>
        <v/>
      </c>
      <c r="Q1561" t="str">
        <f t="shared" si="245"/>
        <v/>
      </c>
      <c r="S1561" t="str">
        <f>IF(A1561=1,MAX($S$2:$S1560)+1,IF(OR($I1561&lt;&gt;"",A1561="x"),$S1560,""))</f>
        <v/>
      </c>
      <c r="T1561" t="str">
        <f>IF(D1561=1,MAX($T$2:$T1560)+1,IF(S1561=S1560,$T1560,IF(D1561="x",T1560,IF(D1560="x","",""))))</f>
        <v/>
      </c>
      <c r="U1561" t="str">
        <f>IF(B1561=1,MAX($U$2:$U1560)+1,IF(AND($T1561&lt;&gt;"",$T1561=$T1560),$U1560,IF(B1561="x",U1560,"")))</f>
        <v/>
      </c>
      <c r="V1561" t="str">
        <f>IF(C1561=1,MAX($V$2:$V1560)+1,IF(AND($T1561&lt;&gt;"",$T1561=$T1560),$U1560,IF(C1561="x",V1560,"")))</f>
        <v/>
      </c>
      <c r="X1561" cm="1">
        <f t="array" ref="X1561">IF($I1561&lt;&gt;"",$I1561,INDEX($I$1:$I1561,ROW()-COUNTIFS($T$1:$T1561,"="&amp;$T1561,$S$1:$S1561,"&lt;"&amp;$S1561)))</f>
        <v>0</v>
      </c>
      <c r="Z1561" s="6">
        <f t="shared" si="238"/>
        <v>1</v>
      </c>
      <c r="AA1561" t="e">
        <f t="shared" si="239"/>
        <v>#VALUE!</v>
      </c>
      <c r="AB1561" t="str">
        <f t="shared" si="240"/>
        <v/>
      </c>
      <c r="AC1561" t="e">
        <f t="shared" si="241"/>
        <v>#VALUE!</v>
      </c>
    </row>
    <row r="1562" spans="1:29" x14ac:dyDescent="0.2">
      <c r="A1562" t="str">
        <f t="shared" si="242"/>
        <v/>
      </c>
      <c r="E1562" s="4"/>
      <c r="F1562" s="46"/>
      <c r="G1562" s="4"/>
      <c r="H1562" s="48"/>
      <c r="J1562" s="26" t="str">
        <f t="shared" si="243"/>
        <v/>
      </c>
      <c r="N1562" t="str">
        <f t="shared" si="244"/>
        <v/>
      </c>
      <c r="Q1562" t="str">
        <f t="shared" si="245"/>
        <v/>
      </c>
      <c r="S1562" t="str">
        <f>IF(A1562=1,MAX($S$2:$S1561)+1,IF(OR($I1562&lt;&gt;"",A1562="x"),$S1561,""))</f>
        <v/>
      </c>
      <c r="T1562" t="str">
        <f>IF(D1562=1,MAX($T$2:$T1561)+1,IF(S1562=S1561,$T1561,IF(D1562="x",T1561,IF(D1561="x","",""))))</f>
        <v/>
      </c>
      <c r="U1562" t="str">
        <f>IF(B1562=1,MAX($U$2:$U1561)+1,IF(AND($T1562&lt;&gt;"",$T1562=$T1561),$U1561,IF(B1562="x",U1561,"")))</f>
        <v/>
      </c>
      <c r="V1562" t="str">
        <f>IF(C1562=1,MAX($V$2:$V1561)+1,IF(AND($T1562&lt;&gt;"",$T1562=$T1561),$U1561,IF(C1562="x",V1561,"")))</f>
        <v/>
      </c>
      <c r="X1562" cm="1">
        <f t="array" ref="X1562">IF($I1562&lt;&gt;"",$I1562,INDEX($I$1:$I1562,ROW()-COUNTIFS($T$1:$T1562,"="&amp;$T1562,$S$1:$S1562,"&lt;"&amp;$S1562)))</f>
        <v>0</v>
      </c>
      <c r="Z1562" s="6">
        <f t="shared" si="238"/>
        <v>1</v>
      </c>
      <c r="AA1562" t="e">
        <f t="shared" si="239"/>
        <v>#VALUE!</v>
      </c>
      <c r="AB1562" t="str">
        <f t="shared" si="240"/>
        <v/>
      </c>
      <c r="AC1562" t="e">
        <f t="shared" si="241"/>
        <v>#VALUE!</v>
      </c>
    </row>
    <row r="1563" spans="1:29" x14ac:dyDescent="0.2">
      <c r="A1563" t="str">
        <f t="shared" si="242"/>
        <v/>
      </c>
      <c r="E1563" s="4"/>
      <c r="F1563" s="46"/>
      <c r="G1563" s="4"/>
      <c r="H1563" s="48"/>
      <c r="J1563" s="26" t="str">
        <f t="shared" si="243"/>
        <v/>
      </c>
      <c r="N1563" t="str">
        <f t="shared" si="244"/>
        <v/>
      </c>
      <c r="Q1563" t="str">
        <f t="shared" si="245"/>
        <v/>
      </c>
      <c r="S1563" t="str">
        <f>IF(A1563=1,MAX($S$2:$S1562)+1,IF(OR($I1563&lt;&gt;"",A1563="x"),$S1562,""))</f>
        <v/>
      </c>
      <c r="T1563" t="str">
        <f>IF(D1563=1,MAX($T$2:$T1562)+1,IF(S1563=S1562,$T1562,IF(D1563="x",T1562,IF(D1562="x","",""))))</f>
        <v/>
      </c>
      <c r="U1563" t="str">
        <f>IF(B1563=1,MAX($U$2:$U1562)+1,IF(AND($T1563&lt;&gt;"",$T1563=$T1562),$U1562,IF(B1563="x",U1562,"")))</f>
        <v/>
      </c>
      <c r="V1563" t="str">
        <f>IF(C1563=1,MAX($V$2:$V1562)+1,IF(AND($T1563&lt;&gt;"",$T1563=$T1562),$U1562,IF(C1563="x",V1562,"")))</f>
        <v/>
      </c>
      <c r="X1563" cm="1">
        <f t="array" ref="X1563">IF($I1563&lt;&gt;"",$I1563,INDEX($I$1:$I1563,ROW()-COUNTIFS($T$1:$T1563,"="&amp;$T1563,$S$1:$S1563,"&lt;"&amp;$S1563)))</f>
        <v>0</v>
      </c>
      <c r="Z1563" s="6">
        <f t="shared" si="238"/>
        <v>1</v>
      </c>
      <c r="AA1563" t="e">
        <f t="shared" si="239"/>
        <v>#VALUE!</v>
      </c>
      <c r="AB1563" t="str">
        <f t="shared" si="240"/>
        <v/>
      </c>
      <c r="AC1563" t="e">
        <f t="shared" si="241"/>
        <v>#VALUE!</v>
      </c>
    </row>
    <row r="1564" spans="1:29" x14ac:dyDescent="0.2">
      <c r="A1564" t="str">
        <f t="shared" si="242"/>
        <v/>
      </c>
      <c r="E1564" s="4"/>
      <c r="F1564" s="46"/>
      <c r="G1564" s="4"/>
      <c r="H1564" s="48"/>
      <c r="J1564" s="26" t="str">
        <f t="shared" si="243"/>
        <v/>
      </c>
      <c r="N1564" t="str">
        <f t="shared" si="244"/>
        <v/>
      </c>
      <c r="Q1564" t="str">
        <f t="shared" si="245"/>
        <v/>
      </c>
      <c r="S1564" t="str">
        <f>IF(A1564=1,MAX($S$2:$S1563)+1,IF(OR($I1564&lt;&gt;"",A1564="x"),$S1563,""))</f>
        <v/>
      </c>
      <c r="T1564" t="str">
        <f>IF(D1564=1,MAX($T$2:$T1563)+1,IF(S1564=S1563,$T1563,IF(D1564="x",T1563,IF(D1563="x","",""))))</f>
        <v/>
      </c>
      <c r="U1564" t="str">
        <f>IF(B1564=1,MAX($U$2:$U1563)+1,IF(AND($T1564&lt;&gt;"",$T1564=$T1563),$U1563,IF(B1564="x",U1563,"")))</f>
        <v/>
      </c>
      <c r="V1564" t="str">
        <f>IF(C1564=1,MAX($V$2:$V1563)+1,IF(AND($T1564&lt;&gt;"",$T1564=$T1563),$U1563,IF(C1564="x",V1563,"")))</f>
        <v/>
      </c>
      <c r="X1564" cm="1">
        <f t="array" ref="X1564">IF($I1564&lt;&gt;"",$I1564,INDEX($I$1:$I1564,ROW()-COUNTIFS($T$1:$T1564,"="&amp;$T1564,$S$1:$S1564,"&lt;"&amp;$S1564)))</f>
        <v>0</v>
      </c>
      <c r="Z1564" s="6">
        <f t="shared" si="238"/>
        <v>1</v>
      </c>
      <c r="AA1564" t="e">
        <f t="shared" si="239"/>
        <v>#VALUE!</v>
      </c>
      <c r="AB1564" t="str">
        <f t="shared" si="240"/>
        <v/>
      </c>
      <c r="AC1564" t="e">
        <f t="shared" si="241"/>
        <v>#VALUE!</v>
      </c>
    </row>
    <row r="1565" spans="1:29" x14ac:dyDescent="0.2">
      <c r="A1565" t="str">
        <f t="shared" si="242"/>
        <v/>
      </c>
      <c r="E1565" s="4"/>
      <c r="F1565" s="46"/>
      <c r="G1565" s="4"/>
      <c r="H1565" s="48"/>
      <c r="J1565" s="26" t="str">
        <f t="shared" si="243"/>
        <v/>
      </c>
      <c r="N1565" t="str">
        <f t="shared" si="244"/>
        <v/>
      </c>
      <c r="Q1565" t="str">
        <f t="shared" si="245"/>
        <v/>
      </c>
      <c r="S1565" t="str">
        <f>IF(A1565=1,MAX($S$2:$S1564)+1,IF(OR($I1565&lt;&gt;"",A1565="x"),$S1564,""))</f>
        <v/>
      </c>
      <c r="T1565" t="str">
        <f>IF(D1565=1,MAX($T$2:$T1564)+1,IF(S1565=S1564,$T1564,IF(D1565="x",T1564,IF(D1564="x","",""))))</f>
        <v/>
      </c>
      <c r="U1565" t="str">
        <f>IF(B1565=1,MAX($U$2:$U1564)+1,IF(AND($T1565&lt;&gt;"",$T1565=$T1564),$U1564,IF(B1565="x",U1564,"")))</f>
        <v/>
      </c>
      <c r="V1565" t="str">
        <f>IF(C1565=1,MAX($V$2:$V1564)+1,IF(AND($T1565&lt;&gt;"",$T1565=$T1564),$U1564,IF(C1565="x",V1564,"")))</f>
        <v/>
      </c>
      <c r="X1565" cm="1">
        <f t="array" ref="X1565">IF($I1565&lt;&gt;"",$I1565,INDEX($I$1:$I1565,ROW()-COUNTIFS($T$1:$T1565,"="&amp;$T1565,$S$1:$S1565,"&lt;"&amp;$S1565)))</f>
        <v>0</v>
      </c>
      <c r="Z1565" s="6">
        <f t="shared" si="238"/>
        <v>1</v>
      </c>
      <c r="AA1565" t="e">
        <f t="shared" si="239"/>
        <v>#VALUE!</v>
      </c>
      <c r="AB1565" t="str">
        <f t="shared" si="240"/>
        <v/>
      </c>
      <c r="AC1565" t="e">
        <f t="shared" si="241"/>
        <v>#VALUE!</v>
      </c>
    </row>
    <row r="1566" spans="1:29" x14ac:dyDescent="0.2">
      <c r="A1566" t="str">
        <f t="shared" si="242"/>
        <v/>
      </c>
      <c r="E1566" s="4"/>
      <c r="F1566" s="46"/>
      <c r="G1566" s="4"/>
      <c r="H1566" s="48"/>
      <c r="J1566" s="26" t="str">
        <f t="shared" si="243"/>
        <v/>
      </c>
      <c r="N1566" t="str">
        <f t="shared" si="244"/>
        <v/>
      </c>
      <c r="Q1566" t="str">
        <f t="shared" si="245"/>
        <v/>
      </c>
      <c r="S1566" t="str">
        <f>IF(A1566=1,MAX($S$2:$S1565)+1,IF(OR($I1566&lt;&gt;"",A1566="x"),$S1565,""))</f>
        <v/>
      </c>
      <c r="T1566" t="str">
        <f>IF(D1566=1,MAX($T$2:$T1565)+1,IF(S1566=S1565,$T1565,IF(D1566="x",T1565,IF(D1565="x","",""))))</f>
        <v/>
      </c>
      <c r="U1566" t="str">
        <f>IF(B1566=1,MAX($U$2:$U1565)+1,IF(AND($T1566&lt;&gt;"",$T1566=$T1565),$U1565,IF(B1566="x",U1565,"")))</f>
        <v/>
      </c>
      <c r="V1566" t="str">
        <f>IF(C1566=1,MAX($V$2:$V1565)+1,IF(AND($T1566&lt;&gt;"",$T1566=$T1565),$U1565,IF(C1566="x",V1565,"")))</f>
        <v/>
      </c>
      <c r="X1566" cm="1">
        <f t="array" ref="X1566">IF($I1566&lt;&gt;"",$I1566,INDEX($I$1:$I1566,ROW()-COUNTIFS($T$1:$T1566,"="&amp;$T1566,$S$1:$S1566,"&lt;"&amp;$S1566)))</f>
        <v>0</v>
      </c>
      <c r="Z1566" s="6">
        <f t="shared" si="238"/>
        <v>1</v>
      </c>
      <c r="AA1566" t="e">
        <f t="shared" si="239"/>
        <v>#VALUE!</v>
      </c>
      <c r="AB1566" t="str">
        <f t="shared" si="240"/>
        <v/>
      </c>
      <c r="AC1566" t="e">
        <f t="shared" si="241"/>
        <v>#VALUE!</v>
      </c>
    </row>
    <row r="1567" spans="1:29" x14ac:dyDescent="0.2">
      <c r="A1567" t="str">
        <f t="shared" si="242"/>
        <v/>
      </c>
      <c r="E1567" s="4"/>
      <c r="F1567" s="46"/>
      <c r="G1567" s="4"/>
      <c r="H1567" s="48"/>
      <c r="J1567" s="26" t="str">
        <f t="shared" si="243"/>
        <v/>
      </c>
      <c r="N1567" t="str">
        <f t="shared" si="244"/>
        <v/>
      </c>
      <c r="Q1567" t="str">
        <f t="shared" si="245"/>
        <v/>
      </c>
      <c r="S1567" t="str">
        <f>IF(A1567=1,MAX($S$2:$S1566)+1,IF(OR($I1567&lt;&gt;"",A1567="x"),$S1566,""))</f>
        <v/>
      </c>
      <c r="T1567" t="str">
        <f>IF(D1567=1,MAX($T$2:$T1566)+1,IF(S1567=S1566,$T1566,IF(D1567="x",T1566,IF(D1566="x","",""))))</f>
        <v/>
      </c>
      <c r="U1567" t="str">
        <f>IF(B1567=1,MAX($U$2:$U1566)+1,IF(AND($T1567&lt;&gt;"",$T1567=$T1566),$U1566,IF(B1567="x",U1566,"")))</f>
        <v/>
      </c>
      <c r="V1567" t="str">
        <f>IF(C1567=1,MAX($V$2:$V1566)+1,IF(AND($T1567&lt;&gt;"",$T1567=$T1566),$U1566,IF(C1567="x",V1566,"")))</f>
        <v/>
      </c>
      <c r="X1567" cm="1">
        <f t="array" ref="X1567">IF($I1567&lt;&gt;"",$I1567,INDEX($I$1:$I1567,ROW()-COUNTIFS($T$1:$T1567,"="&amp;$T1567,$S$1:$S1567,"&lt;"&amp;$S1567)))</f>
        <v>0</v>
      </c>
      <c r="Z1567" s="6">
        <f t="shared" si="238"/>
        <v>1</v>
      </c>
      <c r="AA1567" t="e">
        <f t="shared" si="239"/>
        <v>#VALUE!</v>
      </c>
      <c r="AB1567" t="str">
        <f t="shared" si="240"/>
        <v/>
      </c>
      <c r="AC1567" t="e">
        <f t="shared" si="241"/>
        <v>#VALUE!</v>
      </c>
    </row>
    <row r="1568" spans="1:29" x14ac:dyDescent="0.2">
      <c r="A1568" t="str">
        <f t="shared" si="242"/>
        <v/>
      </c>
      <c r="E1568" s="4"/>
      <c r="F1568" s="46"/>
      <c r="G1568" s="4"/>
      <c r="H1568" s="48"/>
      <c r="J1568" s="26" t="str">
        <f t="shared" si="243"/>
        <v/>
      </c>
      <c r="N1568" t="str">
        <f t="shared" si="244"/>
        <v/>
      </c>
      <c r="Q1568" t="str">
        <f t="shared" si="245"/>
        <v/>
      </c>
      <c r="S1568" t="str">
        <f>IF(A1568=1,MAX($S$2:$S1567)+1,IF(OR($I1568&lt;&gt;"",A1568="x"),$S1567,""))</f>
        <v/>
      </c>
      <c r="T1568" t="str">
        <f>IF(D1568=1,MAX($T$2:$T1567)+1,IF(S1568=S1567,$T1567,IF(D1568="x",T1567,IF(D1567="x","",""))))</f>
        <v/>
      </c>
      <c r="U1568" t="str">
        <f>IF(B1568=1,MAX($U$2:$U1567)+1,IF(AND($T1568&lt;&gt;"",$T1568=$T1567),$U1567,IF(B1568="x",U1567,"")))</f>
        <v/>
      </c>
      <c r="V1568" t="str">
        <f>IF(C1568=1,MAX($V$2:$V1567)+1,IF(AND($T1568&lt;&gt;"",$T1568=$T1567),$U1567,IF(C1568="x",V1567,"")))</f>
        <v/>
      </c>
      <c r="X1568" cm="1">
        <f t="array" ref="X1568">IF($I1568&lt;&gt;"",$I1568,INDEX($I$1:$I1568,ROW()-COUNTIFS($T$1:$T1568,"="&amp;$T1568,$S$1:$S1568,"&lt;"&amp;$S1568)))</f>
        <v>0</v>
      </c>
      <c r="Z1568" s="6">
        <f t="shared" si="238"/>
        <v>1</v>
      </c>
      <c r="AA1568" t="e">
        <f t="shared" si="239"/>
        <v>#VALUE!</v>
      </c>
      <c r="AB1568" t="str">
        <f t="shared" si="240"/>
        <v/>
      </c>
      <c r="AC1568" t="e">
        <f t="shared" si="241"/>
        <v>#VALUE!</v>
      </c>
    </row>
    <row r="1569" spans="1:29" x14ac:dyDescent="0.2">
      <c r="A1569" t="str">
        <f t="shared" si="242"/>
        <v/>
      </c>
      <c r="E1569" s="4"/>
      <c r="F1569" s="46"/>
      <c r="G1569" s="4"/>
      <c r="H1569" s="48"/>
      <c r="J1569" s="26" t="str">
        <f t="shared" si="243"/>
        <v/>
      </c>
      <c r="N1569" t="str">
        <f t="shared" si="244"/>
        <v/>
      </c>
      <c r="Q1569" t="str">
        <f t="shared" si="245"/>
        <v/>
      </c>
      <c r="S1569" t="str">
        <f>IF(A1569=1,MAX($S$2:$S1568)+1,IF(OR($I1569&lt;&gt;"",A1569="x"),$S1568,""))</f>
        <v/>
      </c>
      <c r="T1569" t="str">
        <f>IF(D1569=1,MAX($T$2:$T1568)+1,IF(S1569=S1568,$T1568,IF(D1569="x",T1568,IF(D1568="x","",""))))</f>
        <v/>
      </c>
      <c r="U1569" t="str">
        <f>IF(B1569=1,MAX($U$2:$U1568)+1,IF(AND($T1569&lt;&gt;"",$T1569=$T1568),$U1568,IF(B1569="x",U1568,"")))</f>
        <v/>
      </c>
      <c r="V1569" t="str">
        <f>IF(C1569=1,MAX($V$2:$V1568)+1,IF(AND($T1569&lt;&gt;"",$T1569=$T1568),$U1568,IF(C1569="x",V1568,"")))</f>
        <v/>
      </c>
      <c r="X1569" cm="1">
        <f t="array" ref="X1569">IF($I1569&lt;&gt;"",$I1569,INDEX($I$1:$I1569,ROW()-COUNTIFS($T$1:$T1569,"="&amp;$T1569,$S$1:$S1569,"&lt;"&amp;$S1569)))</f>
        <v>0</v>
      </c>
      <c r="Z1569" s="6">
        <f t="shared" si="238"/>
        <v>1</v>
      </c>
      <c r="AA1569" t="e">
        <f t="shared" si="239"/>
        <v>#VALUE!</v>
      </c>
      <c r="AB1569" t="str">
        <f t="shared" si="240"/>
        <v/>
      </c>
      <c r="AC1569" t="e">
        <f t="shared" si="241"/>
        <v>#VALUE!</v>
      </c>
    </row>
    <row r="1570" spans="1:29" x14ac:dyDescent="0.2">
      <c r="A1570" t="str">
        <f t="shared" si="242"/>
        <v/>
      </c>
      <c r="E1570" s="4"/>
      <c r="F1570" s="46"/>
      <c r="G1570" s="4"/>
      <c r="H1570" s="48"/>
      <c r="J1570" s="26" t="str">
        <f t="shared" si="243"/>
        <v/>
      </c>
      <c r="N1570" t="str">
        <f t="shared" si="244"/>
        <v/>
      </c>
      <c r="Q1570" t="str">
        <f t="shared" si="245"/>
        <v/>
      </c>
      <c r="S1570" t="str">
        <f>IF(A1570=1,MAX($S$2:$S1569)+1,IF(OR($I1570&lt;&gt;"",A1570="x"),$S1569,""))</f>
        <v/>
      </c>
      <c r="T1570" t="str">
        <f>IF(D1570=1,MAX($T$2:$T1569)+1,IF(S1570=S1569,$T1569,IF(D1570="x",T1569,IF(D1569="x","",""))))</f>
        <v/>
      </c>
      <c r="U1570" t="str">
        <f>IF(B1570=1,MAX($U$2:$U1569)+1,IF(AND($T1570&lt;&gt;"",$T1570=$T1569),$U1569,IF(B1570="x",U1569,"")))</f>
        <v/>
      </c>
      <c r="V1570" t="str">
        <f>IF(C1570=1,MAX($V$2:$V1569)+1,IF(AND($T1570&lt;&gt;"",$T1570=$T1569),$U1569,IF(C1570="x",V1569,"")))</f>
        <v/>
      </c>
      <c r="X1570" cm="1">
        <f t="array" ref="X1570">IF($I1570&lt;&gt;"",$I1570,INDEX($I$1:$I1570,ROW()-COUNTIFS($T$1:$T1570,"="&amp;$T1570,$S$1:$S1570,"&lt;"&amp;$S1570)))</f>
        <v>0</v>
      </c>
      <c r="Z1570" s="6">
        <f t="shared" si="238"/>
        <v>1</v>
      </c>
      <c r="AA1570" t="e">
        <f t="shared" si="239"/>
        <v>#VALUE!</v>
      </c>
      <c r="AB1570" t="str">
        <f t="shared" si="240"/>
        <v/>
      </c>
      <c r="AC1570" t="e">
        <f t="shared" si="241"/>
        <v>#VALUE!</v>
      </c>
    </row>
    <row r="1571" spans="1:29" x14ac:dyDescent="0.2">
      <c r="A1571" t="str">
        <f t="shared" si="242"/>
        <v/>
      </c>
      <c r="E1571" s="4"/>
      <c r="F1571" s="46"/>
      <c r="G1571" s="4"/>
      <c r="H1571" s="48"/>
      <c r="J1571" s="26" t="str">
        <f t="shared" si="243"/>
        <v/>
      </c>
      <c r="N1571" t="str">
        <f t="shared" si="244"/>
        <v/>
      </c>
      <c r="Q1571" t="str">
        <f t="shared" si="245"/>
        <v/>
      </c>
      <c r="S1571" t="str">
        <f>IF(A1571=1,MAX($S$2:$S1570)+1,IF(OR($I1571&lt;&gt;"",A1571="x"),$S1570,""))</f>
        <v/>
      </c>
      <c r="T1571" t="str">
        <f>IF(D1571=1,MAX($T$2:$T1570)+1,IF(S1571=S1570,$T1570,IF(D1571="x",T1570,IF(D1570="x","",""))))</f>
        <v/>
      </c>
      <c r="U1571" t="str">
        <f>IF(B1571=1,MAX($U$2:$U1570)+1,IF(AND($T1571&lt;&gt;"",$T1571=$T1570),$U1570,IF(B1571="x",U1570,"")))</f>
        <v/>
      </c>
      <c r="V1571" t="str">
        <f>IF(C1571=1,MAX($V$2:$V1570)+1,IF(AND($T1571&lt;&gt;"",$T1571=$T1570),$U1570,IF(C1571="x",V1570,"")))</f>
        <v/>
      </c>
      <c r="X1571" cm="1">
        <f t="array" ref="X1571">IF($I1571&lt;&gt;"",$I1571,INDEX($I$1:$I1571,ROW()-COUNTIFS($T$1:$T1571,"="&amp;$T1571,$S$1:$S1571,"&lt;"&amp;$S1571)))</f>
        <v>0</v>
      </c>
      <c r="Z1571" s="6">
        <f t="shared" si="238"/>
        <v>1</v>
      </c>
      <c r="AA1571" t="e">
        <f t="shared" si="239"/>
        <v>#VALUE!</v>
      </c>
      <c r="AB1571" t="str">
        <f t="shared" si="240"/>
        <v/>
      </c>
      <c r="AC1571" t="e">
        <f t="shared" si="241"/>
        <v>#VALUE!</v>
      </c>
    </row>
    <row r="1572" spans="1:29" x14ac:dyDescent="0.2">
      <c r="A1572" t="str">
        <f t="shared" si="242"/>
        <v/>
      </c>
      <c r="E1572" s="4"/>
      <c r="F1572" s="46"/>
      <c r="G1572" s="4"/>
      <c r="H1572" s="48"/>
      <c r="J1572" s="26" t="str">
        <f t="shared" si="243"/>
        <v/>
      </c>
      <c r="N1572" t="str">
        <f t="shared" si="244"/>
        <v/>
      </c>
      <c r="Q1572" t="str">
        <f t="shared" si="245"/>
        <v/>
      </c>
      <c r="S1572" t="str">
        <f>IF(A1572=1,MAX($S$2:$S1571)+1,IF(OR($I1572&lt;&gt;"",A1572="x"),$S1571,""))</f>
        <v/>
      </c>
      <c r="T1572" t="str">
        <f>IF(D1572=1,MAX($T$2:$T1571)+1,IF(S1572=S1571,$T1571,IF(D1572="x",T1571,IF(D1571="x","",""))))</f>
        <v/>
      </c>
      <c r="U1572" t="str">
        <f>IF(B1572=1,MAX($U$2:$U1571)+1,IF(AND($T1572&lt;&gt;"",$T1572=$T1571),$U1571,IF(B1572="x",U1571,"")))</f>
        <v/>
      </c>
      <c r="V1572" t="str">
        <f>IF(C1572=1,MAX($V$2:$V1571)+1,IF(AND($T1572&lt;&gt;"",$T1572=$T1571),$U1571,IF(C1572="x",V1571,"")))</f>
        <v/>
      </c>
      <c r="X1572" cm="1">
        <f t="array" ref="X1572">IF($I1572&lt;&gt;"",$I1572,INDEX($I$1:$I1572,ROW()-COUNTIFS($T$1:$T1572,"="&amp;$T1572,$S$1:$S1572,"&lt;"&amp;$S1572)))</f>
        <v>0</v>
      </c>
      <c r="Z1572" s="6">
        <f t="shared" si="238"/>
        <v>1</v>
      </c>
      <c r="AA1572" t="e">
        <f t="shared" si="239"/>
        <v>#VALUE!</v>
      </c>
      <c r="AB1572" t="str">
        <f t="shared" si="240"/>
        <v/>
      </c>
      <c r="AC1572" t="e">
        <f t="shared" si="241"/>
        <v>#VALUE!</v>
      </c>
    </row>
    <row r="1573" spans="1:29" x14ac:dyDescent="0.2">
      <c r="A1573" t="str">
        <f t="shared" si="242"/>
        <v/>
      </c>
      <c r="E1573" s="4"/>
      <c r="F1573" s="46"/>
      <c r="G1573" s="4"/>
      <c r="H1573" s="48"/>
      <c r="J1573" s="26" t="str">
        <f t="shared" si="243"/>
        <v/>
      </c>
      <c r="N1573" t="str">
        <f t="shared" si="244"/>
        <v/>
      </c>
      <c r="Q1573" t="str">
        <f t="shared" si="245"/>
        <v/>
      </c>
      <c r="S1573" t="str">
        <f>IF(A1573=1,MAX($S$2:$S1572)+1,IF(OR($I1573&lt;&gt;"",A1573="x"),$S1572,""))</f>
        <v/>
      </c>
      <c r="T1573" t="str">
        <f>IF(D1573=1,MAX($T$2:$T1572)+1,IF(S1573=S1572,$T1572,IF(D1573="x",T1572,IF(D1572="x","",""))))</f>
        <v/>
      </c>
      <c r="U1573" t="str">
        <f>IF(B1573=1,MAX($U$2:$U1572)+1,IF(AND($T1573&lt;&gt;"",$T1573=$T1572),$U1572,IF(B1573="x",U1572,"")))</f>
        <v/>
      </c>
      <c r="V1573" t="str">
        <f>IF(C1573=1,MAX($V$2:$V1572)+1,IF(AND($T1573&lt;&gt;"",$T1573=$T1572),$U1572,IF(C1573="x",V1572,"")))</f>
        <v/>
      </c>
      <c r="X1573" cm="1">
        <f t="array" ref="X1573">IF($I1573&lt;&gt;"",$I1573,INDEX($I$1:$I1573,ROW()-COUNTIFS($T$1:$T1573,"="&amp;$T1573,$S$1:$S1573,"&lt;"&amp;$S1573)))</f>
        <v>0</v>
      </c>
      <c r="Z1573" s="6">
        <f t="shared" si="238"/>
        <v>1</v>
      </c>
      <c r="AA1573" t="e">
        <f t="shared" si="239"/>
        <v>#VALUE!</v>
      </c>
      <c r="AB1573" t="str">
        <f t="shared" si="240"/>
        <v/>
      </c>
      <c r="AC1573" t="e">
        <f t="shared" si="241"/>
        <v>#VALUE!</v>
      </c>
    </row>
    <row r="1574" spans="1:29" x14ac:dyDescent="0.2">
      <c r="A1574" t="str">
        <f t="shared" si="242"/>
        <v/>
      </c>
      <c r="E1574" s="4"/>
      <c r="F1574" s="46"/>
      <c r="G1574" s="4"/>
      <c r="H1574" s="48"/>
      <c r="J1574" s="26" t="str">
        <f t="shared" si="243"/>
        <v/>
      </c>
      <c r="N1574" t="str">
        <f t="shared" si="244"/>
        <v/>
      </c>
      <c r="Q1574" t="str">
        <f t="shared" si="245"/>
        <v/>
      </c>
      <c r="S1574" t="str">
        <f>IF(A1574=1,MAX($S$2:$S1573)+1,IF(OR($I1574&lt;&gt;"",A1574="x"),$S1573,""))</f>
        <v/>
      </c>
      <c r="T1574" t="str">
        <f>IF(D1574=1,MAX($T$2:$T1573)+1,IF(S1574=S1573,$T1573,IF(D1574="x",T1573,IF(D1573="x","",""))))</f>
        <v/>
      </c>
      <c r="U1574" t="str">
        <f>IF(B1574=1,MAX($U$2:$U1573)+1,IF(AND($T1574&lt;&gt;"",$T1574=$T1573),$U1573,IF(B1574="x",U1573,"")))</f>
        <v/>
      </c>
      <c r="V1574" t="str">
        <f>IF(C1574=1,MAX($V$2:$V1573)+1,IF(AND($T1574&lt;&gt;"",$T1574=$T1573),$U1573,IF(C1574="x",V1573,"")))</f>
        <v/>
      </c>
      <c r="X1574" cm="1">
        <f t="array" ref="X1574">IF($I1574&lt;&gt;"",$I1574,INDEX($I$1:$I1574,ROW()-COUNTIFS($T$1:$T1574,"="&amp;$T1574,$S$1:$S1574,"&lt;"&amp;$S1574)))</f>
        <v>0</v>
      </c>
      <c r="Z1574" s="6">
        <f t="shared" si="238"/>
        <v>1</v>
      </c>
      <c r="AA1574" t="e">
        <f t="shared" si="239"/>
        <v>#VALUE!</v>
      </c>
      <c r="AB1574" t="str">
        <f t="shared" si="240"/>
        <v/>
      </c>
      <c r="AC1574" t="e">
        <f t="shared" si="241"/>
        <v>#VALUE!</v>
      </c>
    </row>
    <row r="1575" spans="1:29" x14ac:dyDescent="0.2">
      <c r="A1575" t="str">
        <f t="shared" si="242"/>
        <v/>
      </c>
      <c r="E1575" s="4"/>
      <c r="F1575" s="46"/>
      <c r="G1575" s="4"/>
      <c r="H1575" s="48"/>
      <c r="J1575" s="26" t="str">
        <f t="shared" si="243"/>
        <v/>
      </c>
      <c r="N1575" t="str">
        <f t="shared" si="244"/>
        <v/>
      </c>
      <c r="Q1575" t="str">
        <f t="shared" si="245"/>
        <v/>
      </c>
      <c r="S1575" t="str">
        <f>IF(A1575=1,MAX($S$2:$S1574)+1,IF(OR($I1575&lt;&gt;"",A1575="x"),$S1574,""))</f>
        <v/>
      </c>
      <c r="T1575" t="str">
        <f>IF(D1575=1,MAX($T$2:$T1574)+1,IF(S1575=S1574,$T1574,IF(D1575="x",T1574,IF(D1574="x","",""))))</f>
        <v/>
      </c>
      <c r="U1575" t="str">
        <f>IF(B1575=1,MAX($U$2:$U1574)+1,IF(AND($T1575&lt;&gt;"",$T1575=$T1574),$U1574,IF(B1575="x",U1574,"")))</f>
        <v/>
      </c>
      <c r="V1575" t="str">
        <f>IF(C1575=1,MAX($V$2:$V1574)+1,IF(AND($T1575&lt;&gt;"",$T1575=$T1574),$U1574,IF(C1575="x",V1574,"")))</f>
        <v/>
      </c>
      <c r="X1575" cm="1">
        <f t="array" ref="X1575">IF($I1575&lt;&gt;"",$I1575,INDEX($I$1:$I1575,ROW()-COUNTIFS($T$1:$T1575,"="&amp;$T1575,$S$1:$S1575,"&lt;"&amp;$S1575)))</f>
        <v>0</v>
      </c>
      <c r="Z1575" s="6">
        <f t="shared" si="238"/>
        <v>1</v>
      </c>
      <c r="AA1575" t="e">
        <f t="shared" si="239"/>
        <v>#VALUE!</v>
      </c>
      <c r="AB1575" t="str">
        <f t="shared" si="240"/>
        <v/>
      </c>
      <c r="AC1575" t="e">
        <f t="shared" si="241"/>
        <v>#VALUE!</v>
      </c>
    </row>
    <row r="1576" spans="1:29" x14ac:dyDescent="0.2">
      <c r="A1576" t="str">
        <f t="shared" si="242"/>
        <v/>
      </c>
      <c r="E1576" s="4"/>
      <c r="F1576" s="46"/>
      <c r="G1576" s="4"/>
      <c r="H1576" s="48"/>
      <c r="J1576" s="26" t="str">
        <f t="shared" si="243"/>
        <v/>
      </c>
      <c r="N1576" t="str">
        <f t="shared" si="244"/>
        <v/>
      </c>
      <c r="Q1576" t="str">
        <f t="shared" si="245"/>
        <v/>
      </c>
      <c r="S1576" t="str">
        <f>IF(A1576=1,MAX($S$2:$S1575)+1,IF(OR($I1576&lt;&gt;"",A1576="x"),$S1575,""))</f>
        <v/>
      </c>
      <c r="T1576" t="str">
        <f>IF(D1576=1,MAX($T$2:$T1575)+1,IF(S1576=S1575,$T1575,IF(D1576="x",T1575,IF(D1575="x","",""))))</f>
        <v/>
      </c>
      <c r="U1576" t="str">
        <f>IF(B1576=1,MAX($U$2:$U1575)+1,IF(AND($T1576&lt;&gt;"",$T1576=$T1575),$U1575,IF(B1576="x",U1575,"")))</f>
        <v/>
      </c>
      <c r="V1576" t="str">
        <f>IF(C1576=1,MAX($V$2:$V1575)+1,IF(AND($T1576&lt;&gt;"",$T1576=$T1575),$U1575,IF(C1576="x",V1575,"")))</f>
        <v/>
      </c>
      <c r="X1576" cm="1">
        <f t="array" ref="X1576">IF($I1576&lt;&gt;"",$I1576,INDEX($I$1:$I1576,ROW()-COUNTIFS($T$1:$T1576,"="&amp;$T1576,$S$1:$S1576,"&lt;"&amp;$S1576)))</f>
        <v>0</v>
      </c>
      <c r="Z1576" s="6">
        <f t="shared" si="238"/>
        <v>1</v>
      </c>
      <c r="AA1576" t="e">
        <f t="shared" si="239"/>
        <v>#VALUE!</v>
      </c>
      <c r="AB1576" t="str">
        <f t="shared" si="240"/>
        <v/>
      </c>
      <c r="AC1576" t="e">
        <f t="shared" si="241"/>
        <v>#VALUE!</v>
      </c>
    </row>
    <row r="1577" spans="1:29" x14ac:dyDescent="0.2">
      <c r="A1577" t="str">
        <f t="shared" si="242"/>
        <v/>
      </c>
      <c r="E1577" s="4"/>
      <c r="F1577" s="46"/>
      <c r="G1577" s="4"/>
      <c r="H1577" s="48"/>
      <c r="J1577" s="26" t="str">
        <f t="shared" si="243"/>
        <v/>
      </c>
      <c r="N1577" t="str">
        <f t="shared" si="244"/>
        <v/>
      </c>
      <c r="Q1577" t="str">
        <f t="shared" si="245"/>
        <v/>
      </c>
      <c r="S1577" t="str">
        <f>IF(A1577=1,MAX($S$2:$S1576)+1,IF(OR($I1577&lt;&gt;"",A1577="x"),$S1576,""))</f>
        <v/>
      </c>
      <c r="T1577" t="str">
        <f>IF(D1577=1,MAX($T$2:$T1576)+1,IF(S1577=S1576,$T1576,IF(D1577="x",T1576,IF(D1576="x","",""))))</f>
        <v/>
      </c>
      <c r="U1577" t="str">
        <f>IF(B1577=1,MAX($U$2:$U1576)+1,IF(AND($T1577&lt;&gt;"",$T1577=$T1576),$U1576,IF(B1577="x",U1576,"")))</f>
        <v/>
      </c>
      <c r="V1577" t="str">
        <f>IF(C1577=1,MAX($V$2:$V1576)+1,IF(AND($T1577&lt;&gt;"",$T1577=$T1576),$U1576,IF(C1577="x",V1576,"")))</f>
        <v/>
      </c>
      <c r="X1577" cm="1">
        <f t="array" ref="X1577">IF($I1577&lt;&gt;"",$I1577,INDEX($I$1:$I1577,ROW()-COUNTIFS($T$1:$T1577,"="&amp;$T1577,$S$1:$S1577,"&lt;"&amp;$S1577)))</f>
        <v>0</v>
      </c>
      <c r="Z1577" s="6">
        <f t="shared" si="238"/>
        <v>1</v>
      </c>
      <c r="AA1577" t="e">
        <f t="shared" si="239"/>
        <v>#VALUE!</v>
      </c>
      <c r="AB1577" t="str">
        <f t="shared" si="240"/>
        <v/>
      </c>
      <c r="AC1577" t="e">
        <f t="shared" si="241"/>
        <v>#VALUE!</v>
      </c>
    </row>
    <row r="1578" spans="1:29" x14ac:dyDescent="0.2">
      <c r="A1578" t="str">
        <f t="shared" si="242"/>
        <v/>
      </c>
      <c r="E1578" s="4"/>
      <c r="F1578" s="46"/>
      <c r="G1578" s="4"/>
      <c r="H1578" s="48"/>
      <c r="J1578" s="26" t="str">
        <f t="shared" si="243"/>
        <v/>
      </c>
      <c r="N1578" t="str">
        <f t="shared" si="244"/>
        <v/>
      </c>
      <c r="Q1578" t="str">
        <f t="shared" si="245"/>
        <v/>
      </c>
      <c r="S1578" t="str">
        <f>IF(A1578=1,MAX($S$2:$S1577)+1,IF(OR($I1578&lt;&gt;"",A1578="x"),$S1577,""))</f>
        <v/>
      </c>
      <c r="T1578" t="str">
        <f>IF(D1578=1,MAX($T$2:$T1577)+1,IF(S1578=S1577,$T1577,IF(D1578="x",T1577,IF(D1577="x","",""))))</f>
        <v/>
      </c>
      <c r="U1578" t="str">
        <f>IF(B1578=1,MAX($U$2:$U1577)+1,IF(AND($T1578&lt;&gt;"",$T1578=$T1577),$U1577,IF(B1578="x",U1577,"")))</f>
        <v/>
      </c>
      <c r="V1578" t="str">
        <f>IF(C1578=1,MAX($V$2:$V1577)+1,IF(AND($T1578&lt;&gt;"",$T1578=$T1577),$U1577,IF(C1578="x",V1577,"")))</f>
        <v/>
      </c>
      <c r="X1578" cm="1">
        <f t="array" ref="X1578">IF($I1578&lt;&gt;"",$I1578,INDEX($I$1:$I1578,ROW()-COUNTIFS($T$1:$T1578,"="&amp;$T1578,$S$1:$S1578,"&lt;"&amp;$S1578)))</f>
        <v>0</v>
      </c>
      <c r="Z1578" s="6">
        <f t="shared" si="238"/>
        <v>1</v>
      </c>
      <c r="AA1578" t="e">
        <f t="shared" si="239"/>
        <v>#VALUE!</v>
      </c>
      <c r="AB1578" t="str">
        <f t="shared" si="240"/>
        <v/>
      </c>
      <c r="AC1578" t="e">
        <f t="shared" si="241"/>
        <v>#VALUE!</v>
      </c>
    </row>
    <row r="1579" spans="1:29" x14ac:dyDescent="0.2">
      <c r="A1579" t="str">
        <f t="shared" si="242"/>
        <v/>
      </c>
      <c r="E1579" s="4"/>
      <c r="F1579" s="46"/>
      <c r="G1579" s="4"/>
      <c r="H1579" s="48"/>
      <c r="J1579" s="26" t="str">
        <f t="shared" si="243"/>
        <v/>
      </c>
      <c r="N1579" t="str">
        <f t="shared" si="244"/>
        <v/>
      </c>
      <c r="Q1579" t="str">
        <f t="shared" si="245"/>
        <v/>
      </c>
      <c r="S1579" t="str">
        <f>IF(A1579=1,MAX($S$2:$S1578)+1,IF(OR($I1579&lt;&gt;"",A1579="x"),$S1578,""))</f>
        <v/>
      </c>
      <c r="T1579" t="str">
        <f>IF(D1579=1,MAX($T$2:$T1578)+1,IF(S1579=S1578,$T1578,IF(D1579="x",T1578,IF(D1578="x","",""))))</f>
        <v/>
      </c>
      <c r="U1579" t="str">
        <f>IF(B1579=1,MAX($U$2:$U1578)+1,IF(AND($T1579&lt;&gt;"",$T1579=$T1578),$U1578,IF(B1579="x",U1578,"")))</f>
        <v/>
      </c>
      <c r="V1579" t="str">
        <f>IF(C1579=1,MAX($V$2:$V1578)+1,IF(AND($T1579&lt;&gt;"",$T1579=$T1578),$U1578,IF(C1579="x",V1578,"")))</f>
        <v/>
      </c>
      <c r="X1579" cm="1">
        <f t="array" ref="X1579">IF($I1579&lt;&gt;"",$I1579,INDEX($I$1:$I1579,ROW()-COUNTIFS($T$1:$T1579,"="&amp;$T1579,$S$1:$S1579,"&lt;"&amp;$S1579)))</f>
        <v>0</v>
      </c>
      <c r="Z1579" s="6">
        <f t="shared" si="238"/>
        <v>1</v>
      </c>
      <c r="AA1579" t="e">
        <f t="shared" si="239"/>
        <v>#VALUE!</v>
      </c>
      <c r="AB1579" t="str">
        <f t="shared" si="240"/>
        <v/>
      </c>
      <c r="AC1579" t="e">
        <f t="shared" si="241"/>
        <v>#VALUE!</v>
      </c>
    </row>
    <row r="1580" spans="1:29" x14ac:dyDescent="0.2">
      <c r="A1580" t="str">
        <f t="shared" si="242"/>
        <v/>
      </c>
      <c r="E1580" s="4"/>
      <c r="F1580" s="46"/>
      <c r="G1580" s="4"/>
      <c r="H1580" s="48"/>
      <c r="J1580" s="26" t="str">
        <f t="shared" si="243"/>
        <v/>
      </c>
      <c r="N1580" t="str">
        <f t="shared" si="244"/>
        <v/>
      </c>
      <c r="Q1580" t="str">
        <f t="shared" si="245"/>
        <v/>
      </c>
      <c r="S1580" t="str">
        <f>IF(A1580=1,MAX($S$2:$S1579)+1,IF(OR($I1580&lt;&gt;"",A1580="x"),$S1579,""))</f>
        <v/>
      </c>
      <c r="T1580" t="str">
        <f>IF(D1580=1,MAX($T$2:$T1579)+1,IF(S1580=S1579,$T1579,IF(D1580="x",T1579,IF(D1579="x","",""))))</f>
        <v/>
      </c>
      <c r="U1580" t="str">
        <f>IF(B1580=1,MAX($U$2:$U1579)+1,IF(AND($T1580&lt;&gt;"",$T1580=$T1579),$U1579,IF(B1580="x",U1579,"")))</f>
        <v/>
      </c>
      <c r="V1580" t="str">
        <f>IF(C1580=1,MAX($V$2:$V1579)+1,IF(AND($T1580&lt;&gt;"",$T1580=$T1579),$U1579,IF(C1580="x",V1579,"")))</f>
        <v/>
      </c>
      <c r="X1580" cm="1">
        <f t="array" ref="X1580">IF($I1580&lt;&gt;"",$I1580,INDEX($I$1:$I1580,ROW()-COUNTIFS($T$1:$T1580,"="&amp;$T1580,$S$1:$S1580,"&lt;"&amp;$S1580)))</f>
        <v>0</v>
      </c>
      <c r="Z1580" s="6">
        <f t="shared" si="238"/>
        <v>1</v>
      </c>
      <c r="AA1580" t="e">
        <f t="shared" si="239"/>
        <v>#VALUE!</v>
      </c>
      <c r="AB1580" t="str">
        <f t="shared" si="240"/>
        <v/>
      </c>
      <c r="AC1580" t="e">
        <f t="shared" si="241"/>
        <v>#VALUE!</v>
      </c>
    </row>
    <row r="1581" spans="1:29" x14ac:dyDescent="0.2">
      <c r="A1581" t="str">
        <f t="shared" si="242"/>
        <v/>
      </c>
      <c r="E1581" s="4"/>
      <c r="F1581" s="46"/>
      <c r="G1581" s="4"/>
      <c r="H1581" s="48"/>
      <c r="J1581" s="26" t="str">
        <f t="shared" si="243"/>
        <v/>
      </c>
      <c r="N1581" t="str">
        <f t="shared" si="244"/>
        <v/>
      </c>
      <c r="Q1581" t="str">
        <f t="shared" si="245"/>
        <v/>
      </c>
      <c r="S1581" t="str">
        <f>IF(A1581=1,MAX($S$2:$S1580)+1,IF(OR($I1581&lt;&gt;"",A1581="x"),$S1580,""))</f>
        <v/>
      </c>
      <c r="T1581" t="str">
        <f>IF(D1581=1,MAX($T$2:$T1580)+1,IF(S1581=S1580,$T1580,IF(D1581="x",T1580,IF(D1580="x","",""))))</f>
        <v/>
      </c>
      <c r="U1581" t="str">
        <f>IF(B1581=1,MAX($U$2:$U1580)+1,IF(AND($T1581&lt;&gt;"",$T1581=$T1580),$U1580,IF(B1581="x",U1580,"")))</f>
        <v/>
      </c>
      <c r="V1581" t="str">
        <f>IF(C1581=1,MAX($V$2:$V1580)+1,IF(AND($T1581&lt;&gt;"",$T1581=$T1580),$U1580,IF(C1581="x",V1580,"")))</f>
        <v/>
      </c>
      <c r="X1581" cm="1">
        <f t="array" ref="X1581">IF($I1581&lt;&gt;"",$I1581,INDEX($I$1:$I1581,ROW()-COUNTIFS($T$1:$T1581,"="&amp;$T1581,$S$1:$S1581,"&lt;"&amp;$S1581)))</f>
        <v>0</v>
      </c>
      <c r="Z1581" s="6">
        <f t="shared" si="238"/>
        <v>1</v>
      </c>
      <c r="AA1581" t="e">
        <f t="shared" si="239"/>
        <v>#VALUE!</v>
      </c>
      <c r="AB1581" t="str">
        <f t="shared" si="240"/>
        <v/>
      </c>
      <c r="AC1581" t="e">
        <f t="shared" si="241"/>
        <v>#VALUE!</v>
      </c>
    </row>
    <row r="1582" spans="1:29" x14ac:dyDescent="0.2">
      <c r="A1582" t="str">
        <f t="shared" si="242"/>
        <v/>
      </c>
      <c r="E1582" s="4"/>
      <c r="F1582" s="46"/>
      <c r="G1582" s="4"/>
      <c r="H1582" s="48"/>
      <c r="J1582" s="26" t="str">
        <f t="shared" si="243"/>
        <v/>
      </c>
      <c r="N1582" t="str">
        <f t="shared" si="244"/>
        <v/>
      </c>
      <c r="Q1582" t="str">
        <f t="shared" si="245"/>
        <v/>
      </c>
      <c r="S1582" t="str">
        <f>IF(A1582=1,MAX($S$2:$S1581)+1,IF(OR($I1582&lt;&gt;"",A1582="x"),$S1581,""))</f>
        <v/>
      </c>
      <c r="T1582" t="str">
        <f>IF(D1582=1,MAX($T$2:$T1581)+1,IF(S1582=S1581,$T1581,IF(D1582="x",T1581,IF(D1581="x","",""))))</f>
        <v/>
      </c>
      <c r="U1582" t="str">
        <f>IF(B1582=1,MAX($U$2:$U1581)+1,IF(AND($T1582&lt;&gt;"",$T1582=$T1581),$U1581,IF(B1582="x",U1581,"")))</f>
        <v/>
      </c>
      <c r="V1582" t="str">
        <f>IF(C1582=1,MAX($V$2:$V1581)+1,IF(AND($T1582&lt;&gt;"",$T1582=$T1581),$U1581,IF(C1582="x",V1581,"")))</f>
        <v/>
      </c>
      <c r="X1582" cm="1">
        <f t="array" ref="X1582">IF($I1582&lt;&gt;"",$I1582,INDEX($I$1:$I1582,ROW()-COUNTIFS($T$1:$T1582,"="&amp;$T1582,$S$1:$S1582,"&lt;"&amp;$S1582)))</f>
        <v>0</v>
      </c>
      <c r="Z1582" s="6">
        <f t="shared" si="238"/>
        <v>1</v>
      </c>
      <c r="AA1582" t="e">
        <f t="shared" si="239"/>
        <v>#VALUE!</v>
      </c>
      <c r="AB1582" t="str">
        <f t="shared" si="240"/>
        <v/>
      </c>
      <c r="AC1582" t="e">
        <f t="shared" si="241"/>
        <v>#VALUE!</v>
      </c>
    </row>
    <row r="1583" spans="1:29" x14ac:dyDescent="0.2">
      <c r="A1583" t="str">
        <f t="shared" si="242"/>
        <v/>
      </c>
      <c r="E1583" s="4"/>
      <c r="F1583" s="46"/>
      <c r="G1583" s="4"/>
      <c r="H1583" s="48"/>
      <c r="J1583" s="26" t="str">
        <f t="shared" si="243"/>
        <v/>
      </c>
      <c r="N1583" t="str">
        <f t="shared" si="244"/>
        <v/>
      </c>
      <c r="Q1583" t="str">
        <f t="shared" si="245"/>
        <v/>
      </c>
      <c r="S1583" t="str">
        <f>IF(A1583=1,MAX($S$2:$S1582)+1,IF(OR($I1583&lt;&gt;"",A1583="x"),$S1582,""))</f>
        <v/>
      </c>
      <c r="T1583" t="str">
        <f>IF(D1583=1,MAX($T$2:$T1582)+1,IF(S1583=S1582,$T1582,IF(D1583="x",T1582,IF(D1582="x","",""))))</f>
        <v/>
      </c>
      <c r="U1583" t="str">
        <f>IF(B1583=1,MAX($U$2:$U1582)+1,IF(AND($T1583&lt;&gt;"",$T1583=$T1582),$U1582,IF(B1583="x",U1582,"")))</f>
        <v/>
      </c>
      <c r="V1583" t="str">
        <f>IF(C1583=1,MAX($V$2:$V1582)+1,IF(AND($T1583&lt;&gt;"",$T1583=$T1582),$U1582,IF(C1583="x",V1582,"")))</f>
        <v/>
      </c>
      <c r="X1583" cm="1">
        <f t="array" ref="X1583">IF($I1583&lt;&gt;"",$I1583,INDEX($I$1:$I1583,ROW()-COUNTIFS($T$1:$T1583,"="&amp;$T1583,$S$1:$S1583,"&lt;"&amp;$S1583)))</f>
        <v>0</v>
      </c>
      <c r="Z1583" s="6">
        <f t="shared" si="238"/>
        <v>1</v>
      </c>
      <c r="AA1583" t="e">
        <f t="shared" si="239"/>
        <v>#VALUE!</v>
      </c>
      <c r="AB1583" t="str">
        <f t="shared" si="240"/>
        <v/>
      </c>
      <c r="AC1583" t="e">
        <f t="shared" si="241"/>
        <v>#VALUE!</v>
      </c>
    </row>
    <row r="1584" spans="1:29" x14ac:dyDescent="0.2">
      <c r="A1584" t="str">
        <f t="shared" si="242"/>
        <v/>
      </c>
      <c r="E1584" s="4"/>
      <c r="F1584" s="46"/>
      <c r="G1584" s="4"/>
      <c r="H1584" s="48"/>
      <c r="J1584" s="26" t="str">
        <f t="shared" si="243"/>
        <v/>
      </c>
      <c r="N1584" t="str">
        <f t="shared" si="244"/>
        <v/>
      </c>
      <c r="Q1584" t="str">
        <f t="shared" si="245"/>
        <v/>
      </c>
      <c r="S1584" t="str">
        <f>IF(A1584=1,MAX($S$2:$S1583)+1,IF(OR($I1584&lt;&gt;"",A1584="x"),$S1583,""))</f>
        <v/>
      </c>
      <c r="T1584" t="str">
        <f>IF(D1584=1,MAX($T$2:$T1583)+1,IF(S1584=S1583,$T1583,IF(D1584="x",T1583,IF(D1583="x","",""))))</f>
        <v/>
      </c>
      <c r="U1584" t="str">
        <f>IF(B1584=1,MAX($U$2:$U1583)+1,IF(AND($T1584&lt;&gt;"",$T1584=$T1583),$U1583,IF(B1584="x",U1583,"")))</f>
        <v/>
      </c>
      <c r="V1584" t="str">
        <f>IF(C1584=1,MAX($V$2:$V1583)+1,IF(AND($T1584&lt;&gt;"",$T1584=$T1583),$U1583,IF(C1584="x",V1583,"")))</f>
        <v/>
      </c>
      <c r="X1584" cm="1">
        <f t="array" ref="X1584">IF($I1584&lt;&gt;"",$I1584,INDEX($I$1:$I1584,ROW()-COUNTIFS($T$1:$T1584,"="&amp;$T1584,$S$1:$S1584,"&lt;"&amp;$S1584)))</f>
        <v>0</v>
      </c>
      <c r="Z1584" s="6">
        <f t="shared" si="238"/>
        <v>1</v>
      </c>
      <c r="AA1584" t="e">
        <f t="shared" si="239"/>
        <v>#VALUE!</v>
      </c>
      <c r="AB1584" t="str">
        <f t="shared" si="240"/>
        <v/>
      </c>
      <c r="AC1584" t="e">
        <f t="shared" si="241"/>
        <v>#VALUE!</v>
      </c>
    </row>
    <row r="1585" spans="1:29" x14ac:dyDescent="0.2">
      <c r="A1585" t="str">
        <f t="shared" si="242"/>
        <v/>
      </c>
      <c r="E1585" s="4"/>
      <c r="F1585" s="46"/>
      <c r="G1585" s="4"/>
      <c r="H1585" s="48"/>
      <c r="J1585" s="26" t="str">
        <f t="shared" si="243"/>
        <v/>
      </c>
      <c r="N1585" t="str">
        <f t="shared" si="244"/>
        <v/>
      </c>
      <c r="Q1585" t="str">
        <f t="shared" si="245"/>
        <v/>
      </c>
      <c r="S1585" t="str">
        <f>IF(A1585=1,MAX($S$2:$S1584)+1,IF(OR($I1585&lt;&gt;"",A1585="x"),$S1584,""))</f>
        <v/>
      </c>
      <c r="T1585" t="str">
        <f>IF(D1585=1,MAX($T$2:$T1584)+1,IF(S1585=S1584,$T1584,IF(D1585="x",T1584,IF(D1584="x","",""))))</f>
        <v/>
      </c>
      <c r="U1585" t="str">
        <f>IF(B1585=1,MAX($U$2:$U1584)+1,IF(AND($T1585&lt;&gt;"",$T1585=$T1584),$U1584,IF(B1585="x",U1584,"")))</f>
        <v/>
      </c>
      <c r="V1585" t="str">
        <f>IF(C1585=1,MAX($V$2:$V1584)+1,IF(AND($T1585&lt;&gt;"",$T1585=$T1584),$U1584,IF(C1585="x",V1584,"")))</f>
        <v/>
      </c>
      <c r="X1585" cm="1">
        <f t="array" ref="X1585">IF($I1585&lt;&gt;"",$I1585,INDEX($I$1:$I1585,ROW()-COUNTIFS($T$1:$T1585,"="&amp;$T1585,$S$1:$S1585,"&lt;"&amp;$S1585)))</f>
        <v>0</v>
      </c>
      <c r="Z1585" s="6">
        <f t="shared" si="238"/>
        <v>1</v>
      </c>
      <c r="AA1585" t="e">
        <f t="shared" si="239"/>
        <v>#VALUE!</v>
      </c>
      <c r="AB1585" t="str">
        <f t="shared" si="240"/>
        <v/>
      </c>
      <c r="AC1585" t="e">
        <f t="shared" si="241"/>
        <v>#VALUE!</v>
      </c>
    </row>
    <row r="1586" spans="1:29" x14ac:dyDescent="0.2">
      <c r="A1586" t="str">
        <f t="shared" si="242"/>
        <v/>
      </c>
      <c r="E1586" s="4"/>
      <c r="F1586" s="46"/>
      <c r="G1586" s="4"/>
      <c r="H1586" s="48"/>
      <c r="J1586" s="26" t="str">
        <f t="shared" si="243"/>
        <v/>
      </c>
      <c r="N1586" t="str">
        <f t="shared" si="244"/>
        <v/>
      </c>
      <c r="Q1586" t="str">
        <f t="shared" si="245"/>
        <v/>
      </c>
      <c r="S1586" t="str">
        <f>IF(A1586=1,MAX($S$2:$S1585)+1,IF(OR($I1586&lt;&gt;"",A1586="x"),$S1585,""))</f>
        <v/>
      </c>
      <c r="T1586" t="str">
        <f>IF(D1586=1,MAX($T$2:$T1585)+1,IF(S1586=S1585,$T1585,IF(D1586="x",T1585,IF(D1585="x","",""))))</f>
        <v/>
      </c>
      <c r="U1586" t="str">
        <f>IF(B1586=1,MAX($U$2:$U1585)+1,IF(AND($T1586&lt;&gt;"",$T1586=$T1585),$U1585,IF(B1586="x",U1585,"")))</f>
        <v/>
      </c>
      <c r="V1586" t="str">
        <f>IF(C1586=1,MAX($V$2:$V1585)+1,IF(AND($T1586&lt;&gt;"",$T1586=$T1585),$U1585,IF(C1586="x",V1585,"")))</f>
        <v/>
      </c>
      <c r="X1586" cm="1">
        <f t="array" ref="X1586">IF($I1586&lt;&gt;"",$I1586,INDEX($I$1:$I1586,ROW()-COUNTIFS($T$1:$T1586,"="&amp;$T1586,$S$1:$S1586,"&lt;"&amp;$S1586)))</f>
        <v>0</v>
      </c>
      <c r="Z1586" s="6">
        <f t="shared" si="238"/>
        <v>1</v>
      </c>
      <c r="AA1586" t="e">
        <f t="shared" si="239"/>
        <v>#VALUE!</v>
      </c>
      <c r="AB1586" t="str">
        <f t="shared" si="240"/>
        <v/>
      </c>
      <c r="AC1586" t="e">
        <f t="shared" si="241"/>
        <v>#VALUE!</v>
      </c>
    </row>
    <row r="1587" spans="1:29" x14ac:dyDescent="0.2">
      <c r="A1587" t="str">
        <f t="shared" si="242"/>
        <v/>
      </c>
      <c r="E1587" s="4"/>
      <c r="F1587" s="46"/>
      <c r="G1587" s="4"/>
      <c r="H1587" s="48"/>
      <c r="J1587" s="26" t="str">
        <f t="shared" si="243"/>
        <v/>
      </c>
      <c r="N1587" t="str">
        <f t="shared" si="244"/>
        <v/>
      </c>
      <c r="Q1587" t="str">
        <f t="shared" si="245"/>
        <v/>
      </c>
      <c r="S1587" t="str">
        <f>IF(A1587=1,MAX($S$2:$S1586)+1,IF(OR($I1587&lt;&gt;"",A1587="x"),$S1586,""))</f>
        <v/>
      </c>
      <c r="T1587" t="str">
        <f>IF(D1587=1,MAX($T$2:$T1586)+1,IF(S1587=S1586,$T1586,IF(D1587="x",T1586,IF(D1586="x","",""))))</f>
        <v/>
      </c>
      <c r="U1587" t="str">
        <f>IF(B1587=1,MAX($U$2:$U1586)+1,IF(AND($T1587&lt;&gt;"",$T1587=$T1586),$U1586,IF(B1587="x",U1586,"")))</f>
        <v/>
      </c>
      <c r="V1587" t="str">
        <f>IF(C1587=1,MAX($V$2:$V1586)+1,IF(AND($T1587&lt;&gt;"",$T1587=$T1586),$U1586,IF(C1587="x",V1586,"")))</f>
        <v/>
      </c>
      <c r="X1587" cm="1">
        <f t="array" ref="X1587">IF($I1587&lt;&gt;"",$I1587,INDEX($I$1:$I1587,ROW()-COUNTIFS($T$1:$T1587,"="&amp;$T1587,$S$1:$S1587,"&lt;"&amp;$S1587)))</f>
        <v>0</v>
      </c>
      <c r="Z1587" s="6">
        <f t="shared" si="238"/>
        <v>1</v>
      </c>
      <c r="AA1587" t="e">
        <f t="shared" si="239"/>
        <v>#VALUE!</v>
      </c>
      <c r="AB1587" t="str">
        <f t="shared" si="240"/>
        <v/>
      </c>
      <c r="AC1587" t="e">
        <f t="shared" si="241"/>
        <v>#VALUE!</v>
      </c>
    </row>
    <row r="1588" spans="1:29" x14ac:dyDescent="0.2">
      <c r="A1588" t="str">
        <f t="shared" si="242"/>
        <v/>
      </c>
      <c r="E1588" s="4"/>
      <c r="F1588" s="46"/>
      <c r="G1588" s="4"/>
      <c r="H1588" s="48"/>
      <c r="J1588" s="26" t="str">
        <f t="shared" si="243"/>
        <v/>
      </c>
      <c r="N1588" t="str">
        <f t="shared" si="244"/>
        <v/>
      </c>
      <c r="Q1588" t="str">
        <f t="shared" si="245"/>
        <v/>
      </c>
      <c r="S1588" t="str">
        <f>IF(A1588=1,MAX($S$2:$S1587)+1,IF(OR($I1588&lt;&gt;"",A1588="x"),$S1587,""))</f>
        <v/>
      </c>
      <c r="T1588" t="str">
        <f>IF(D1588=1,MAX($T$2:$T1587)+1,IF(S1588=S1587,$T1587,IF(D1588="x",T1587,IF(D1587="x","",""))))</f>
        <v/>
      </c>
      <c r="U1588" t="str">
        <f>IF(B1588=1,MAX($U$2:$U1587)+1,IF(AND($T1588&lt;&gt;"",$T1588=$T1587),$U1587,IF(B1588="x",U1587,"")))</f>
        <v/>
      </c>
      <c r="V1588" t="str">
        <f>IF(C1588=1,MAX($V$2:$V1587)+1,IF(AND($T1588&lt;&gt;"",$T1588=$T1587),$U1587,IF(C1588="x",V1587,"")))</f>
        <v/>
      </c>
      <c r="X1588" cm="1">
        <f t="array" ref="X1588">IF($I1588&lt;&gt;"",$I1588,INDEX($I$1:$I1588,ROW()-COUNTIFS($T$1:$T1588,"="&amp;$T1588,$S$1:$S1588,"&lt;"&amp;$S1588)))</f>
        <v>0</v>
      </c>
      <c r="Z1588" s="6">
        <f t="shared" si="238"/>
        <v>1</v>
      </c>
      <c r="AA1588" t="e">
        <f t="shared" si="239"/>
        <v>#VALUE!</v>
      </c>
      <c r="AB1588" t="str">
        <f t="shared" si="240"/>
        <v/>
      </c>
      <c r="AC1588" t="e">
        <f t="shared" si="241"/>
        <v>#VALUE!</v>
      </c>
    </row>
    <row r="1589" spans="1:29" x14ac:dyDescent="0.2">
      <c r="A1589" t="str">
        <f t="shared" si="242"/>
        <v/>
      </c>
      <c r="E1589" s="4"/>
      <c r="F1589" s="46"/>
      <c r="G1589" s="4"/>
      <c r="H1589" s="48"/>
      <c r="J1589" s="26" t="str">
        <f t="shared" si="243"/>
        <v/>
      </c>
      <c r="N1589" t="str">
        <f t="shared" si="244"/>
        <v/>
      </c>
      <c r="Q1589" t="str">
        <f t="shared" si="245"/>
        <v/>
      </c>
      <c r="S1589" t="str">
        <f>IF(A1589=1,MAX($S$2:$S1588)+1,IF(OR($I1589&lt;&gt;"",A1589="x"),$S1588,""))</f>
        <v/>
      </c>
      <c r="T1589" t="str">
        <f>IF(D1589=1,MAX($T$2:$T1588)+1,IF(S1589=S1588,$T1588,IF(D1589="x",T1588,IF(D1588="x","",""))))</f>
        <v/>
      </c>
      <c r="U1589" t="str">
        <f>IF(B1589=1,MAX($U$2:$U1588)+1,IF(AND($T1589&lt;&gt;"",$T1589=$T1588),$U1588,IF(B1589="x",U1588,"")))</f>
        <v/>
      </c>
      <c r="V1589" t="str">
        <f>IF(C1589=1,MAX($V$2:$V1588)+1,IF(AND($T1589&lt;&gt;"",$T1589=$T1588),$U1588,IF(C1589="x",V1588,"")))</f>
        <v/>
      </c>
      <c r="X1589" cm="1">
        <f t="array" ref="X1589">IF($I1589&lt;&gt;"",$I1589,INDEX($I$1:$I1589,ROW()-COUNTIFS($T$1:$T1589,"="&amp;$T1589,$S$1:$S1589,"&lt;"&amp;$S1589)))</f>
        <v>0</v>
      </c>
      <c r="Z1589" s="6">
        <f t="shared" si="238"/>
        <v>1</v>
      </c>
      <c r="AA1589" t="e">
        <f t="shared" si="239"/>
        <v>#VALUE!</v>
      </c>
      <c r="AB1589" t="str">
        <f t="shared" si="240"/>
        <v/>
      </c>
      <c r="AC1589" t="e">
        <f t="shared" si="241"/>
        <v>#VALUE!</v>
      </c>
    </row>
    <row r="1590" spans="1:29" x14ac:dyDescent="0.2">
      <c r="A1590" t="str">
        <f t="shared" si="242"/>
        <v/>
      </c>
      <c r="E1590" s="4"/>
      <c r="F1590" s="46"/>
      <c r="G1590" s="4"/>
      <c r="H1590" s="48"/>
      <c r="J1590" s="26" t="str">
        <f t="shared" si="243"/>
        <v/>
      </c>
      <c r="N1590" t="str">
        <f t="shared" si="244"/>
        <v/>
      </c>
      <c r="Q1590" t="str">
        <f t="shared" si="245"/>
        <v/>
      </c>
      <c r="S1590" t="str">
        <f>IF(A1590=1,MAX($S$2:$S1589)+1,IF(OR($I1590&lt;&gt;"",A1590="x"),$S1589,""))</f>
        <v/>
      </c>
      <c r="T1590" t="str">
        <f>IF(D1590=1,MAX($T$2:$T1589)+1,IF(S1590=S1589,$T1589,IF(D1590="x",T1589,IF(D1589="x","",""))))</f>
        <v/>
      </c>
      <c r="U1590" t="str">
        <f>IF(B1590=1,MAX($U$2:$U1589)+1,IF(AND($T1590&lt;&gt;"",$T1590=$T1589),$U1589,IF(B1590="x",U1589,"")))</f>
        <v/>
      </c>
      <c r="V1590" t="str">
        <f>IF(C1590=1,MAX($V$2:$V1589)+1,IF(AND($T1590&lt;&gt;"",$T1590=$T1589),$U1589,IF(C1590="x",V1589,"")))</f>
        <v/>
      </c>
      <c r="X1590" cm="1">
        <f t="array" ref="X1590">IF($I1590&lt;&gt;"",$I1590,INDEX($I$1:$I1590,ROW()-COUNTIFS($T$1:$T1590,"="&amp;$T1590,$S$1:$S1590,"&lt;"&amp;$S1590)))</f>
        <v>0</v>
      </c>
      <c r="Z1590" s="6">
        <f t="shared" si="238"/>
        <v>1</v>
      </c>
      <c r="AA1590" t="e">
        <f t="shared" si="239"/>
        <v>#VALUE!</v>
      </c>
      <c r="AB1590" t="str">
        <f t="shared" si="240"/>
        <v/>
      </c>
      <c r="AC1590" t="e">
        <f t="shared" si="241"/>
        <v>#VALUE!</v>
      </c>
    </row>
    <row r="1591" spans="1:29" x14ac:dyDescent="0.2">
      <c r="A1591" t="str">
        <f t="shared" si="242"/>
        <v/>
      </c>
      <c r="E1591" s="4"/>
      <c r="F1591" s="46"/>
      <c r="G1591" s="4"/>
      <c r="H1591" s="48"/>
      <c r="J1591" s="26" t="str">
        <f t="shared" si="243"/>
        <v/>
      </c>
      <c r="N1591" t="str">
        <f t="shared" si="244"/>
        <v/>
      </c>
      <c r="Q1591" t="str">
        <f t="shared" si="245"/>
        <v/>
      </c>
      <c r="S1591" t="str">
        <f>IF(A1591=1,MAX($S$2:$S1590)+1,IF(OR($I1591&lt;&gt;"",A1591="x"),$S1590,""))</f>
        <v/>
      </c>
      <c r="T1591" t="str">
        <f>IF(D1591=1,MAX($T$2:$T1590)+1,IF(S1591=S1590,$T1590,IF(D1591="x",T1590,IF(D1590="x","",""))))</f>
        <v/>
      </c>
      <c r="U1591" t="str">
        <f>IF(B1591=1,MAX($U$2:$U1590)+1,IF(AND($T1591&lt;&gt;"",$T1591=$T1590),$U1590,IF(B1591="x",U1590,"")))</f>
        <v/>
      </c>
      <c r="V1591" t="str">
        <f>IF(C1591=1,MAX($V$2:$V1590)+1,IF(AND($T1591&lt;&gt;"",$T1591=$T1590),$U1590,IF(C1591="x",V1590,"")))</f>
        <v/>
      </c>
      <c r="X1591" cm="1">
        <f t="array" ref="X1591">IF($I1591&lt;&gt;"",$I1591,INDEX($I$1:$I1591,ROW()-COUNTIFS($T$1:$T1591,"="&amp;$T1591,$S$1:$S1591,"&lt;"&amp;$S1591)))</f>
        <v>0</v>
      </c>
      <c r="Z1591" s="6">
        <f t="shared" si="238"/>
        <v>1</v>
      </c>
      <c r="AA1591" t="e">
        <f t="shared" si="239"/>
        <v>#VALUE!</v>
      </c>
      <c r="AB1591" t="str">
        <f t="shared" si="240"/>
        <v/>
      </c>
      <c r="AC1591" t="e">
        <f t="shared" si="241"/>
        <v>#VALUE!</v>
      </c>
    </row>
    <row r="1592" spans="1:29" x14ac:dyDescent="0.2">
      <c r="A1592" t="str">
        <f t="shared" si="242"/>
        <v/>
      </c>
      <c r="E1592" s="4"/>
      <c r="F1592" s="46"/>
      <c r="G1592" s="4"/>
      <c r="H1592" s="48"/>
      <c r="J1592" s="26" t="str">
        <f t="shared" si="243"/>
        <v/>
      </c>
      <c r="N1592" t="str">
        <f t="shared" si="244"/>
        <v/>
      </c>
      <c r="Q1592" t="str">
        <f t="shared" si="245"/>
        <v/>
      </c>
      <c r="S1592" t="str">
        <f>IF(A1592=1,MAX($S$2:$S1591)+1,IF(OR($I1592&lt;&gt;"",A1592="x"),$S1591,""))</f>
        <v/>
      </c>
      <c r="T1592" t="str">
        <f>IF(D1592=1,MAX($T$2:$T1591)+1,IF(S1592=S1591,$T1591,IF(D1592="x",T1591,IF(D1591="x","",""))))</f>
        <v/>
      </c>
      <c r="U1592" t="str">
        <f>IF(B1592=1,MAX($U$2:$U1591)+1,IF(AND($T1592&lt;&gt;"",$T1592=$T1591),$U1591,IF(B1592="x",U1591,"")))</f>
        <v/>
      </c>
      <c r="V1592" t="str">
        <f>IF(C1592=1,MAX($V$2:$V1591)+1,IF(AND($T1592&lt;&gt;"",$T1592=$T1591),$U1591,IF(C1592="x",V1591,"")))</f>
        <v/>
      </c>
      <c r="X1592" cm="1">
        <f t="array" ref="X1592">IF($I1592&lt;&gt;"",$I1592,INDEX($I$1:$I1592,ROW()-COUNTIFS($T$1:$T1592,"="&amp;$T1592,$S$1:$S1592,"&lt;"&amp;$S1592)))</f>
        <v>0</v>
      </c>
      <c r="Z1592" s="6">
        <f t="shared" si="238"/>
        <v>1</v>
      </c>
      <c r="AA1592" t="e">
        <f t="shared" si="239"/>
        <v>#VALUE!</v>
      </c>
      <c r="AB1592" t="str">
        <f t="shared" si="240"/>
        <v/>
      </c>
      <c r="AC1592" t="e">
        <f t="shared" si="241"/>
        <v>#VALUE!</v>
      </c>
    </row>
    <row r="1593" spans="1:29" x14ac:dyDescent="0.2">
      <c r="A1593" t="str">
        <f t="shared" si="242"/>
        <v/>
      </c>
      <c r="E1593" s="4"/>
      <c r="F1593" s="46"/>
      <c r="G1593" s="4"/>
      <c r="H1593" s="48"/>
      <c r="J1593" s="26" t="str">
        <f t="shared" si="243"/>
        <v/>
      </c>
      <c r="N1593" t="str">
        <f t="shared" si="244"/>
        <v/>
      </c>
      <c r="Q1593" t="str">
        <f t="shared" si="245"/>
        <v/>
      </c>
      <c r="S1593" t="str">
        <f>IF(A1593=1,MAX($S$2:$S1592)+1,IF(OR($I1593&lt;&gt;"",A1593="x"),$S1592,""))</f>
        <v/>
      </c>
      <c r="T1593" t="str">
        <f>IF(D1593=1,MAX($T$2:$T1592)+1,IF(S1593=S1592,$T1592,IF(D1593="x",T1592,IF(D1592="x","",""))))</f>
        <v/>
      </c>
      <c r="U1593" t="str">
        <f>IF(B1593=1,MAX($U$2:$U1592)+1,IF(AND($T1593&lt;&gt;"",$T1593=$T1592),$U1592,IF(B1593="x",U1592,"")))</f>
        <v/>
      </c>
      <c r="V1593" t="str">
        <f>IF(C1593=1,MAX($V$2:$V1592)+1,IF(AND($T1593&lt;&gt;"",$T1593=$T1592),$U1592,IF(C1593="x",V1592,"")))</f>
        <v/>
      </c>
      <c r="X1593" cm="1">
        <f t="array" ref="X1593">IF($I1593&lt;&gt;"",$I1593,INDEX($I$1:$I1593,ROW()-COUNTIFS($T$1:$T1593,"="&amp;$T1593,$S$1:$S1593,"&lt;"&amp;$S1593)))</f>
        <v>0</v>
      </c>
      <c r="Z1593" s="6">
        <f t="shared" si="238"/>
        <v>1</v>
      </c>
      <c r="AA1593" t="e">
        <f t="shared" si="239"/>
        <v>#VALUE!</v>
      </c>
      <c r="AB1593" t="str">
        <f t="shared" si="240"/>
        <v/>
      </c>
      <c r="AC1593" t="e">
        <f t="shared" si="241"/>
        <v>#VALUE!</v>
      </c>
    </row>
    <row r="1594" spans="1:29" x14ac:dyDescent="0.2">
      <c r="A1594" t="str">
        <f t="shared" si="242"/>
        <v/>
      </c>
      <c r="E1594" s="4"/>
      <c r="F1594" s="46"/>
      <c r="G1594" s="4"/>
      <c r="H1594" s="48"/>
      <c r="J1594" s="26" t="str">
        <f t="shared" si="243"/>
        <v/>
      </c>
      <c r="N1594" t="str">
        <f t="shared" si="244"/>
        <v/>
      </c>
      <c r="Q1594" t="str">
        <f t="shared" si="245"/>
        <v/>
      </c>
      <c r="S1594" t="str">
        <f>IF(A1594=1,MAX($S$2:$S1593)+1,IF(OR($I1594&lt;&gt;"",A1594="x"),$S1593,""))</f>
        <v/>
      </c>
      <c r="T1594" t="str">
        <f>IF(D1594=1,MAX($T$2:$T1593)+1,IF(S1594=S1593,$T1593,IF(D1594="x",T1593,IF(D1593="x","",""))))</f>
        <v/>
      </c>
      <c r="U1594" t="str">
        <f>IF(B1594=1,MAX($U$2:$U1593)+1,IF(AND($T1594&lt;&gt;"",$T1594=$T1593),$U1593,IF(B1594="x",U1593,"")))</f>
        <v/>
      </c>
      <c r="V1594" t="str">
        <f>IF(C1594=1,MAX($V$2:$V1593)+1,IF(AND($T1594&lt;&gt;"",$T1594=$T1593),$U1593,IF(C1594="x",V1593,"")))</f>
        <v/>
      </c>
      <c r="X1594" cm="1">
        <f t="array" ref="X1594">IF($I1594&lt;&gt;"",$I1594,INDEX($I$1:$I1594,ROW()-COUNTIFS($T$1:$T1594,"="&amp;$T1594,$S$1:$S1594,"&lt;"&amp;$S1594)))</f>
        <v>0</v>
      </c>
      <c r="Z1594" s="6">
        <f t="shared" si="238"/>
        <v>1</v>
      </c>
      <c r="AA1594" t="e">
        <f t="shared" si="239"/>
        <v>#VALUE!</v>
      </c>
      <c r="AB1594" t="str">
        <f t="shared" si="240"/>
        <v/>
      </c>
      <c r="AC1594" t="e">
        <f t="shared" si="241"/>
        <v>#VALUE!</v>
      </c>
    </row>
    <row r="1595" spans="1:29" x14ac:dyDescent="0.2">
      <c r="A1595" t="str">
        <f t="shared" si="242"/>
        <v/>
      </c>
      <c r="E1595" s="4"/>
      <c r="F1595" s="46"/>
      <c r="G1595" s="4"/>
      <c r="H1595" s="48"/>
      <c r="J1595" s="26" t="str">
        <f t="shared" si="243"/>
        <v/>
      </c>
      <c r="N1595" t="str">
        <f t="shared" si="244"/>
        <v/>
      </c>
      <c r="Q1595" t="str">
        <f t="shared" si="245"/>
        <v/>
      </c>
      <c r="S1595" t="str">
        <f>IF(A1595=1,MAX($S$2:$S1594)+1,IF(OR($I1595&lt;&gt;"",A1595="x"),$S1594,""))</f>
        <v/>
      </c>
      <c r="T1595" t="str">
        <f>IF(D1595=1,MAX($T$2:$T1594)+1,IF(S1595=S1594,$T1594,IF(D1595="x",T1594,IF(D1594="x","",""))))</f>
        <v/>
      </c>
      <c r="U1595" t="str">
        <f>IF(B1595=1,MAX($U$2:$U1594)+1,IF(AND($T1595&lt;&gt;"",$T1595=$T1594),$U1594,IF(B1595="x",U1594,"")))</f>
        <v/>
      </c>
      <c r="V1595" t="str">
        <f>IF(C1595=1,MAX($V$2:$V1594)+1,IF(AND($T1595&lt;&gt;"",$T1595=$T1594),$U1594,IF(C1595="x",V1594,"")))</f>
        <v/>
      </c>
      <c r="X1595" cm="1">
        <f t="array" ref="X1595">IF($I1595&lt;&gt;"",$I1595,INDEX($I$1:$I1595,ROW()-COUNTIFS($T$1:$T1595,"="&amp;$T1595,$S$1:$S1595,"&lt;"&amp;$S1595)))</f>
        <v>0</v>
      </c>
      <c r="Z1595" s="6">
        <f t="shared" si="238"/>
        <v>1</v>
      </c>
      <c r="AA1595" t="e">
        <f t="shared" si="239"/>
        <v>#VALUE!</v>
      </c>
      <c r="AB1595" t="str">
        <f t="shared" si="240"/>
        <v/>
      </c>
      <c r="AC1595" t="e">
        <f t="shared" si="241"/>
        <v>#VALUE!</v>
      </c>
    </row>
    <row r="1596" spans="1:29" x14ac:dyDescent="0.2">
      <c r="A1596" t="str">
        <f t="shared" si="242"/>
        <v/>
      </c>
      <c r="E1596" s="4"/>
      <c r="F1596" s="46"/>
      <c r="G1596" s="4"/>
      <c r="H1596" s="48"/>
      <c r="J1596" s="26" t="str">
        <f t="shared" si="243"/>
        <v/>
      </c>
      <c r="N1596" t="str">
        <f t="shared" si="244"/>
        <v/>
      </c>
      <c r="Q1596" t="str">
        <f t="shared" si="245"/>
        <v/>
      </c>
      <c r="S1596" t="str">
        <f>IF(A1596=1,MAX($S$2:$S1595)+1,IF(OR($I1596&lt;&gt;"",A1596="x"),$S1595,""))</f>
        <v/>
      </c>
      <c r="T1596" t="str">
        <f>IF(D1596=1,MAX($T$2:$T1595)+1,IF(S1596=S1595,$T1595,IF(D1596="x",T1595,IF(D1595="x","",""))))</f>
        <v/>
      </c>
      <c r="U1596" t="str">
        <f>IF(B1596=1,MAX($U$2:$U1595)+1,IF(AND($T1596&lt;&gt;"",$T1596=$T1595),$U1595,IF(B1596="x",U1595,"")))</f>
        <v/>
      </c>
      <c r="V1596" t="str">
        <f>IF(C1596=1,MAX($V$2:$V1595)+1,IF(AND($T1596&lt;&gt;"",$T1596=$T1595),$U1595,IF(C1596="x",V1595,"")))</f>
        <v/>
      </c>
      <c r="X1596" cm="1">
        <f t="array" ref="X1596">IF($I1596&lt;&gt;"",$I1596,INDEX($I$1:$I1596,ROW()-COUNTIFS($T$1:$T1596,"="&amp;$T1596,$S$1:$S1596,"&lt;"&amp;$S1596)))</f>
        <v>0</v>
      </c>
      <c r="Z1596" s="6">
        <f t="shared" si="238"/>
        <v>1</v>
      </c>
      <c r="AA1596" t="e">
        <f t="shared" si="239"/>
        <v>#VALUE!</v>
      </c>
      <c r="AB1596" t="str">
        <f t="shared" si="240"/>
        <v/>
      </c>
      <c r="AC1596" t="e">
        <f t="shared" si="241"/>
        <v>#VALUE!</v>
      </c>
    </row>
    <row r="1597" spans="1:29" x14ac:dyDescent="0.2">
      <c r="A1597" t="str">
        <f t="shared" si="242"/>
        <v/>
      </c>
      <c r="E1597" s="4"/>
      <c r="F1597" s="46"/>
      <c r="G1597" s="4"/>
      <c r="H1597" s="48"/>
      <c r="J1597" s="26" t="str">
        <f t="shared" si="243"/>
        <v/>
      </c>
      <c r="N1597" t="str">
        <f t="shared" si="244"/>
        <v/>
      </c>
      <c r="Q1597" t="str">
        <f t="shared" si="245"/>
        <v/>
      </c>
      <c r="S1597" t="str">
        <f>IF(A1597=1,MAX($S$2:$S1596)+1,IF(OR($I1597&lt;&gt;"",A1597="x"),$S1596,""))</f>
        <v/>
      </c>
      <c r="T1597" t="str">
        <f>IF(D1597=1,MAX($T$2:$T1596)+1,IF(S1597=S1596,$T1596,IF(D1597="x",T1596,IF(D1596="x","",""))))</f>
        <v/>
      </c>
      <c r="U1597" t="str">
        <f>IF(B1597=1,MAX($U$2:$U1596)+1,IF(AND($T1597&lt;&gt;"",$T1597=$T1596),$U1596,IF(B1597="x",U1596,"")))</f>
        <v/>
      </c>
      <c r="V1597" t="str">
        <f>IF(C1597=1,MAX($V$2:$V1596)+1,IF(AND($T1597&lt;&gt;"",$T1597=$T1596),$U1596,IF(C1597="x",V1596,"")))</f>
        <v/>
      </c>
      <c r="X1597" cm="1">
        <f t="array" ref="X1597">IF($I1597&lt;&gt;"",$I1597,INDEX($I$1:$I1597,ROW()-COUNTIFS($T$1:$T1597,"="&amp;$T1597,$S$1:$S1597,"&lt;"&amp;$S1597)))</f>
        <v>0</v>
      </c>
      <c r="Z1597" s="6">
        <f t="shared" si="238"/>
        <v>1</v>
      </c>
      <c r="AA1597" t="e">
        <f t="shared" si="239"/>
        <v>#VALUE!</v>
      </c>
      <c r="AB1597" t="str">
        <f t="shared" si="240"/>
        <v/>
      </c>
      <c r="AC1597" t="e">
        <f t="shared" si="241"/>
        <v>#VALUE!</v>
      </c>
    </row>
    <row r="1598" spans="1:29" x14ac:dyDescent="0.2">
      <c r="A1598" t="str">
        <f t="shared" si="242"/>
        <v/>
      </c>
      <c r="E1598" s="4"/>
      <c r="F1598" s="46"/>
      <c r="G1598" s="4"/>
      <c r="H1598" s="48"/>
      <c r="J1598" s="26" t="str">
        <f t="shared" si="243"/>
        <v/>
      </c>
      <c r="N1598" t="str">
        <f t="shared" si="244"/>
        <v/>
      </c>
      <c r="Q1598" t="str">
        <f t="shared" si="245"/>
        <v/>
      </c>
      <c r="S1598" t="str">
        <f>IF(A1598=1,MAX($S$2:$S1597)+1,IF(OR($I1598&lt;&gt;"",A1598="x"),$S1597,""))</f>
        <v/>
      </c>
      <c r="T1598" t="str">
        <f>IF(D1598=1,MAX($T$2:$T1597)+1,IF(S1598=S1597,$T1597,IF(D1598="x",T1597,IF(D1597="x","",""))))</f>
        <v/>
      </c>
      <c r="U1598" t="str">
        <f>IF(B1598=1,MAX($U$2:$U1597)+1,IF(AND($T1598&lt;&gt;"",$T1598=$T1597),$U1597,IF(B1598="x",U1597,"")))</f>
        <v/>
      </c>
      <c r="V1598" t="str">
        <f>IF(C1598=1,MAX($V$2:$V1597)+1,IF(AND($T1598&lt;&gt;"",$T1598=$T1597),$U1597,IF(C1598="x",V1597,"")))</f>
        <v/>
      </c>
      <c r="X1598" cm="1">
        <f t="array" ref="X1598">IF($I1598&lt;&gt;"",$I1598,INDEX($I$1:$I1598,ROW()-COUNTIFS($T$1:$T1598,"="&amp;$T1598,$S$1:$S1598,"&lt;"&amp;$S1598)))</f>
        <v>0</v>
      </c>
      <c r="Z1598" s="6">
        <f t="shared" si="238"/>
        <v>1</v>
      </c>
      <c r="AA1598" t="e">
        <f t="shared" si="239"/>
        <v>#VALUE!</v>
      </c>
      <c r="AB1598" t="str">
        <f t="shared" si="240"/>
        <v/>
      </c>
      <c r="AC1598" t="e">
        <f t="shared" si="241"/>
        <v>#VALUE!</v>
      </c>
    </row>
    <row r="1599" spans="1:29" x14ac:dyDescent="0.2">
      <c r="A1599" t="str">
        <f t="shared" si="242"/>
        <v/>
      </c>
      <c r="E1599" s="4"/>
      <c r="F1599" s="46"/>
      <c r="G1599" s="4"/>
      <c r="H1599" s="48"/>
      <c r="J1599" s="26" t="str">
        <f t="shared" si="243"/>
        <v/>
      </c>
      <c r="N1599" t="str">
        <f t="shared" si="244"/>
        <v/>
      </c>
      <c r="Q1599" t="str">
        <f t="shared" si="245"/>
        <v/>
      </c>
      <c r="S1599" t="str">
        <f>IF(A1599=1,MAX($S$2:$S1598)+1,IF(OR($I1599&lt;&gt;"",A1599="x"),$S1598,""))</f>
        <v/>
      </c>
      <c r="T1599" t="str">
        <f>IF(D1599=1,MAX($T$2:$T1598)+1,IF(S1599=S1598,$T1598,IF(D1599="x",T1598,IF(D1598="x","",""))))</f>
        <v/>
      </c>
      <c r="U1599" t="str">
        <f>IF(B1599=1,MAX($U$2:$U1598)+1,IF(AND($T1599&lt;&gt;"",$T1599=$T1598),$U1598,IF(B1599="x",U1598,"")))</f>
        <v/>
      </c>
      <c r="V1599" t="str">
        <f>IF(C1599=1,MAX($V$2:$V1598)+1,IF(AND($T1599&lt;&gt;"",$T1599=$T1598),$U1598,IF(C1599="x",V1598,"")))</f>
        <v/>
      </c>
      <c r="X1599" cm="1">
        <f t="array" ref="X1599">IF($I1599&lt;&gt;"",$I1599,INDEX($I$1:$I1599,ROW()-COUNTIFS($T$1:$T1599,"="&amp;$T1599,$S$1:$S1599,"&lt;"&amp;$S1599)))</f>
        <v>0</v>
      </c>
      <c r="Z1599" s="6">
        <f t="shared" si="238"/>
        <v>1</v>
      </c>
      <c r="AA1599" t="e">
        <f t="shared" si="239"/>
        <v>#VALUE!</v>
      </c>
      <c r="AB1599" t="str">
        <f t="shared" si="240"/>
        <v/>
      </c>
      <c r="AC1599" t="e">
        <f t="shared" si="241"/>
        <v>#VALUE!</v>
      </c>
    </row>
    <row r="1600" spans="1:29" x14ac:dyDescent="0.2">
      <c r="A1600" t="str">
        <f t="shared" si="242"/>
        <v/>
      </c>
      <c r="E1600" s="4"/>
      <c r="F1600" s="46"/>
      <c r="G1600" s="4"/>
      <c r="H1600" s="48"/>
      <c r="J1600" s="26" t="str">
        <f t="shared" si="243"/>
        <v/>
      </c>
      <c r="N1600" t="str">
        <f t="shared" si="244"/>
        <v/>
      </c>
      <c r="Q1600" t="str">
        <f t="shared" si="245"/>
        <v/>
      </c>
      <c r="S1600" t="str">
        <f>IF(A1600=1,MAX($S$2:$S1599)+1,IF(OR($I1600&lt;&gt;"",A1600="x"),$S1599,""))</f>
        <v/>
      </c>
      <c r="T1600" t="str">
        <f>IF(D1600=1,MAX($T$2:$T1599)+1,IF(S1600=S1599,$T1599,IF(D1600="x",T1599,IF(D1599="x","",""))))</f>
        <v/>
      </c>
      <c r="U1600" t="str">
        <f>IF(B1600=1,MAX($U$2:$U1599)+1,IF(AND($T1600&lt;&gt;"",$T1600=$T1599),$U1599,IF(B1600="x",U1599,"")))</f>
        <v/>
      </c>
      <c r="V1600" t="str">
        <f>IF(C1600=1,MAX($V$2:$V1599)+1,IF(AND($T1600&lt;&gt;"",$T1600=$T1599),$U1599,IF(C1600="x",V1599,"")))</f>
        <v/>
      </c>
      <c r="X1600" cm="1">
        <f t="array" ref="X1600">IF($I1600&lt;&gt;"",$I1600,INDEX($I$1:$I1600,ROW()-COUNTIFS($T$1:$T1600,"="&amp;$T1600,$S$1:$S1600,"&lt;"&amp;$S1600)))</f>
        <v>0</v>
      </c>
      <c r="Z1600" s="6">
        <f t="shared" si="238"/>
        <v>1</v>
      </c>
      <c r="AA1600" t="e">
        <f t="shared" si="239"/>
        <v>#VALUE!</v>
      </c>
      <c r="AB1600" t="str">
        <f t="shared" si="240"/>
        <v/>
      </c>
      <c r="AC1600" t="e">
        <f t="shared" si="241"/>
        <v>#VALUE!</v>
      </c>
    </row>
    <row r="1601" spans="1:29" x14ac:dyDescent="0.2">
      <c r="A1601" t="str">
        <f t="shared" si="242"/>
        <v/>
      </c>
      <c r="E1601" s="4"/>
      <c r="F1601" s="46"/>
      <c r="G1601" s="4"/>
      <c r="H1601" s="48"/>
      <c r="J1601" s="26" t="str">
        <f t="shared" si="243"/>
        <v/>
      </c>
      <c r="N1601" t="str">
        <f t="shared" si="244"/>
        <v/>
      </c>
      <c r="Q1601" t="str">
        <f t="shared" si="245"/>
        <v/>
      </c>
      <c r="S1601" t="str">
        <f>IF(A1601=1,MAX($S$2:$S1600)+1,IF(OR($I1601&lt;&gt;"",A1601="x"),$S1600,""))</f>
        <v/>
      </c>
      <c r="T1601" t="str">
        <f>IF(D1601=1,MAX($T$2:$T1600)+1,IF(S1601=S1600,$T1600,IF(D1601="x",T1600,IF(D1600="x","",""))))</f>
        <v/>
      </c>
      <c r="U1601" t="str">
        <f>IF(B1601=1,MAX($U$2:$U1600)+1,IF(AND($T1601&lt;&gt;"",$T1601=$T1600),$U1600,IF(B1601="x",U1600,"")))</f>
        <v/>
      </c>
      <c r="V1601" t="str">
        <f>IF(C1601=1,MAX($V$2:$V1600)+1,IF(AND($T1601&lt;&gt;"",$T1601=$T1600),$U1600,IF(C1601="x",V1600,"")))</f>
        <v/>
      </c>
      <c r="X1601" cm="1">
        <f t="array" ref="X1601">IF($I1601&lt;&gt;"",$I1601,INDEX($I$1:$I1601,ROW()-COUNTIFS($T$1:$T1601,"="&amp;$T1601,$S$1:$S1601,"&lt;"&amp;$S1601)))</f>
        <v>0</v>
      </c>
      <c r="Z1601" s="6">
        <f t="shared" si="238"/>
        <v>1</v>
      </c>
      <c r="AA1601" t="e">
        <f t="shared" si="239"/>
        <v>#VALUE!</v>
      </c>
      <c r="AB1601" t="str">
        <f t="shared" si="240"/>
        <v/>
      </c>
      <c r="AC1601" t="e">
        <f t="shared" si="241"/>
        <v>#VALUE!</v>
      </c>
    </row>
    <row r="1602" spans="1:29" x14ac:dyDescent="0.2">
      <c r="A1602" t="str">
        <f t="shared" si="242"/>
        <v/>
      </c>
      <c r="E1602" s="4"/>
      <c r="F1602" s="46"/>
      <c r="G1602" s="4"/>
      <c r="H1602" s="48"/>
      <c r="J1602" s="26" t="str">
        <f t="shared" si="243"/>
        <v/>
      </c>
      <c r="N1602" t="str">
        <f t="shared" si="244"/>
        <v/>
      </c>
      <c r="Q1602" t="str">
        <f t="shared" si="245"/>
        <v/>
      </c>
      <c r="S1602" t="str">
        <f>IF(A1602=1,MAX($S$2:$S1601)+1,IF(OR($I1602&lt;&gt;"",A1602="x"),$S1601,""))</f>
        <v/>
      </c>
      <c r="T1602" t="str">
        <f>IF(D1602=1,MAX($T$2:$T1601)+1,IF(S1602=S1601,$T1601,IF(D1602="x",T1601,IF(D1601="x","",""))))</f>
        <v/>
      </c>
      <c r="U1602" t="str">
        <f>IF(B1602=1,MAX($U$2:$U1601)+1,IF(AND($T1602&lt;&gt;"",$T1602=$T1601),$U1601,IF(B1602="x",U1601,"")))</f>
        <v/>
      </c>
      <c r="V1602" t="str">
        <f>IF(C1602=1,MAX($V$2:$V1601)+1,IF(AND($T1602&lt;&gt;"",$T1602=$T1601),$U1601,IF(C1602="x",V1601,"")))</f>
        <v/>
      </c>
      <c r="X1602" cm="1">
        <f t="array" ref="X1602">IF($I1602&lt;&gt;"",$I1602,INDEX($I$1:$I1602,ROW()-COUNTIFS($T$1:$T1602,"="&amp;$T1602,$S$1:$S1602,"&lt;"&amp;$S1602)))</f>
        <v>0</v>
      </c>
      <c r="Z1602" s="6">
        <f t="shared" si="238"/>
        <v>1</v>
      </c>
      <c r="AA1602" t="e">
        <f t="shared" si="239"/>
        <v>#VALUE!</v>
      </c>
      <c r="AB1602" t="str">
        <f t="shared" si="240"/>
        <v/>
      </c>
      <c r="AC1602" t="e">
        <f t="shared" si="241"/>
        <v>#VALUE!</v>
      </c>
    </row>
    <row r="1603" spans="1:29" x14ac:dyDescent="0.2">
      <c r="A1603" t="str">
        <f t="shared" si="242"/>
        <v/>
      </c>
      <c r="E1603" s="4"/>
      <c r="F1603" s="46"/>
      <c r="G1603" s="4"/>
      <c r="H1603" s="48"/>
      <c r="J1603" s="26" t="str">
        <f t="shared" si="243"/>
        <v/>
      </c>
      <c r="N1603" t="str">
        <f t="shared" si="244"/>
        <v/>
      </c>
      <c r="Q1603" t="str">
        <f t="shared" si="245"/>
        <v/>
      </c>
      <c r="S1603" t="str">
        <f>IF(A1603=1,MAX($S$2:$S1602)+1,IF(OR($I1603&lt;&gt;"",A1603="x"),$S1602,""))</f>
        <v/>
      </c>
      <c r="T1603" t="str">
        <f>IF(D1603=1,MAX($T$2:$T1602)+1,IF(S1603=S1602,$T1602,IF(D1603="x",T1602,IF(D1602="x","",""))))</f>
        <v/>
      </c>
      <c r="U1603" t="str">
        <f>IF(B1603=1,MAX($U$2:$U1602)+1,IF(AND($T1603&lt;&gt;"",$T1603=$T1602),$U1602,IF(B1603="x",U1602,"")))</f>
        <v/>
      </c>
      <c r="V1603" t="str">
        <f>IF(C1603=1,MAX($V$2:$V1602)+1,IF(AND($T1603&lt;&gt;"",$T1603=$T1602),$U1602,IF(C1603="x",V1602,"")))</f>
        <v/>
      </c>
      <c r="X1603" cm="1">
        <f t="array" ref="X1603">IF($I1603&lt;&gt;"",$I1603,INDEX($I$1:$I1603,ROW()-COUNTIFS($T$1:$T1603,"="&amp;$T1603,$S$1:$S1603,"&lt;"&amp;$S1603)))</f>
        <v>0</v>
      </c>
      <c r="Z1603" s="6">
        <f t="shared" si="238"/>
        <v>1</v>
      </c>
      <c r="AA1603" t="e">
        <f t="shared" si="239"/>
        <v>#VALUE!</v>
      </c>
      <c r="AB1603" t="str">
        <f t="shared" si="240"/>
        <v/>
      </c>
      <c r="AC1603" t="e">
        <f t="shared" si="241"/>
        <v>#VALUE!</v>
      </c>
    </row>
    <row r="1604" spans="1:29" x14ac:dyDescent="0.2">
      <c r="A1604" t="str">
        <f t="shared" si="242"/>
        <v/>
      </c>
      <c r="E1604" s="4"/>
      <c r="F1604" s="46"/>
      <c r="G1604" s="4"/>
      <c r="H1604" s="48"/>
      <c r="J1604" s="26" t="str">
        <f t="shared" si="243"/>
        <v/>
      </c>
      <c r="N1604" t="str">
        <f t="shared" si="244"/>
        <v/>
      </c>
      <c r="Q1604" t="str">
        <f t="shared" si="245"/>
        <v/>
      </c>
      <c r="S1604" t="str">
        <f>IF(A1604=1,MAX($S$2:$S1603)+1,IF(OR($I1604&lt;&gt;"",A1604="x"),$S1603,""))</f>
        <v/>
      </c>
      <c r="T1604" t="str">
        <f>IF(D1604=1,MAX($T$2:$T1603)+1,IF(S1604=S1603,$T1603,IF(D1604="x",T1603,IF(D1603="x","",""))))</f>
        <v/>
      </c>
      <c r="U1604" t="str">
        <f>IF(B1604=1,MAX($U$2:$U1603)+1,IF(AND($T1604&lt;&gt;"",$T1604=$T1603),$U1603,IF(B1604="x",U1603,"")))</f>
        <v/>
      </c>
      <c r="V1604" t="str">
        <f>IF(C1604=1,MAX($V$2:$V1603)+1,IF(AND($T1604&lt;&gt;"",$T1604=$T1603),$U1603,IF(C1604="x",V1603,"")))</f>
        <v/>
      </c>
      <c r="X1604" cm="1">
        <f t="array" ref="X1604">IF($I1604&lt;&gt;"",$I1604,INDEX($I$1:$I1604,ROW()-COUNTIFS($T$1:$T1604,"="&amp;$T1604,$S$1:$S1604,"&lt;"&amp;$S1604)))</f>
        <v>0</v>
      </c>
      <c r="Z1604" s="6">
        <f t="shared" si="238"/>
        <v>1</v>
      </c>
      <c r="AA1604" t="e">
        <f t="shared" si="239"/>
        <v>#VALUE!</v>
      </c>
      <c r="AB1604" t="str">
        <f t="shared" si="240"/>
        <v/>
      </c>
      <c r="AC1604" t="e">
        <f t="shared" si="241"/>
        <v>#VALUE!</v>
      </c>
    </row>
    <row r="1605" spans="1:29" x14ac:dyDescent="0.2">
      <c r="A1605" t="str">
        <f t="shared" si="242"/>
        <v/>
      </c>
      <c r="E1605" s="4"/>
      <c r="F1605" s="46"/>
      <c r="G1605" s="4"/>
      <c r="H1605" s="48"/>
      <c r="J1605" s="26" t="str">
        <f t="shared" si="243"/>
        <v/>
      </c>
      <c r="N1605" t="str">
        <f t="shared" si="244"/>
        <v/>
      </c>
      <c r="Q1605" t="str">
        <f t="shared" si="245"/>
        <v/>
      </c>
      <c r="S1605" t="str">
        <f>IF(A1605=1,MAX($S$2:$S1604)+1,IF(OR($I1605&lt;&gt;"",A1605="x"),$S1604,""))</f>
        <v/>
      </c>
      <c r="T1605" t="str">
        <f>IF(D1605=1,MAX($T$2:$T1604)+1,IF(S1605=S1604,$T1604,IF(D1605="x",T1604,IF(D1604="x","",""))))</f>
        <v/>
      </c>
      <c r="U1605" t="str">
        <f>IF(B1605=1,MAX($U$2:$U1604)+1,IF(AND($T1605&lt;&gt;"",$T1605=$T1604),$U1604,IF(B1605="x",U1604,"")))</f>
        <v/>
      </c>
      <c r="V1605" t="str">
        <f>IF(C1605=1,MAX($V$2:$V1604)+1,IF(AND($T1605&lt;&gt;"",$T1605=$T1604),$U1604,IF(C1605="x",V1604,"")))</f>
        <v/>
      </c>
      <c r="X1605" cm="1">
        <f t="array" ref="X1605">IF($I1605&lt;&gt;"",$I1605,INDEX($I$1:$I1605,ROW()-COUNTIFS($T$1:$T1605,"="&amp;$T1605,$S$1:$S1605,"&lt;"&amp;$S1605)))</f>
        <v>0</v>
      </c>
      <c r="Z1605" s="6">
        <f t="shared" ref="Z1605:Z1668" si="246">IF(K1605="Intermission",Z1604+1,Z1604)</f>
        <v>1</v>
      </c>
      <c r="AA1605" t="e">
        <f t="shared" ref="AA1605:AA1668" si="247">S1605+1000</f>
        <v>#VALUE!</v>
      </c>
      <c r="AB1605" t="str">
        <f t="shared" ref="AB1605:AB1668" si="248">IF(T1605&lt;&gt;"",9000+T1605,"")</f>
        <v/>
      </c>
      <c r="AC1605" t="e">
        <f t="shared" ref="AC1605:AC1668" si="249">IF(AB1605&lt;&gt;"",AB1605,S1605+1000)</f>
        <v>#VALUE!</v>
      </c>
    </row>
    <row r="1606" spans="1:29" x14ac:dyDescent="0.2">
      <c r="A1606" t="str">
        <f t="shared" si="242"/>
        <v/>
      </c>
      <c r="E1606" s="4"/>
      <c r="F1606" s="46"/>
      <c r="G1606" s="4"/>
      <c r="H1606" s="48"/>
      <c r="J1606" s="26" t="str">
        <f t="shared" si="243"/>
        <v/>
      </c>
      <c r="N1606" t="str">
        <f t="shared" si="244"/>
        <v/>
      </c>
      <c r="Q1606" t="str">
        <f t="shared" si="245"/>
        <v/>
      </c>
      <c r="S1606" t="str">
        <f>IF(A1606=1,MAX($S$2:$S1605)+1,IF(OR($I1606&lt;&gt;"",A1606="x"),$S1605,""))</f>
        <v/>
      </c>
      <c r="T1606" t="str">
        <f>IF(D1606=1,MAX($T$2:$T1605)+1,IF(S1606=S1605,$T1605,IF(D1606="x",T1605,IF(D1605="x","",""))))</f>
        <v/>
      </c>
      <c r="U1606" t="str">
        <f>IF(B1606=1,MAX($U$2:$U1605)+1,IF(AND($T1606&lt;&gt;"",$T1606=$T1605),$U1605,IF(B1606="x",U1605,"")))</f>
        <v/>
      </c>
      <c r="V1606" t="str">
        <f>IF(C1606=1,MAX($V$2:$V1605)+1,IF(AND($T1606&lt;&gt;"",$T1606=$T1605),$U1605,IF(C1606="x",V1605,"")))</f>
        <v/>
      </c>
      <c r="X1606" cm="1">
        <f t="array" ref="X1606">IF($I1606&lt;&gt;"",$I1606,INDEX($I$1:$I1606,ROW()-COUNTIFS($T$1:$T1606,"="&amp;$T1606,$S$1:$S1606,"&lt;"&amp;$S1606)))</f>
        <v>0</v>
      </c>
      <c r="Z1606" s="6">
        <f t="shared" si="246"/>
        <v>1</v>
      </c>
      <c r="AA1606" t="e">
        <f t="shared" si="247"/>
        <v>#VALUE!</v>
      </c>
      <c r="AB1606" t="str">
        <f t="shared" si="248"/>
        <v/>
      </c>
      <c r="AC1606" t="e">
        <f t="shared" si="249"/>
        <v>#VALUE!</v>
      </c>
    </row>
    <row r="1607" spans="1:29" x14ac:dyDescent="0.2">
      <c r="A1607" t="str">
        <f t="shared" si="242"/>
        <v/>
      </c>
      <c r="E1607" s="4"/>
      <c r="F1607" s="46"/>
      <c r="G1607" s="4"/>
      <c r="H1607" s="48"/>
      <c r="J1607" s="26" t="str">
        <f t="shared" si="243"/>
        <v/>
      </c>
      <c r="N1607" t="str">
        <f t="shared" si="244"/>
        <v/>
      </c>
      <c r="Q1607" t="str">
        <f t="shared" si="245"/>
        <v/>
      </c>
      <c r="S1607" t="str">
        <f>IF(A1607=1,MAX($S$2:$S1606)+1,IF(OR($I1607&lt;&gt;"",A1607="x"),$S1606,""))</f>
        <v/>
      </c>
      <c r="T1607" t="str">
        <f>IF(D1607=1,MAX($T$2:$T1606)+1,IF(S1607=S1606,$T1606,IF(D1607="x",T1606,IF(D1606="x","",""))))</f>
        <v/>
      </c>
      <c r="U1607" t="str">
        <f>IF(B1607=1,MAX($U$2:$U1606)+1,IF(AND($T1607&lt;&gt;"",$T1607=$T1606),$U1606,IF(B1607="x",U1606,"")))</f>
        <v/>
      </c>
      <c r="V1607" t="str">
        <f>IF(C1607=1,MAX($V$2:$V1606)+1,IF(AND($T1607&lt;&gt;"",$T1607=$T1606),$U1606,IF(C1607="x",V1606,"")))</f>
        <v/>
      </c>
      <c r="X1607" cm="1">
        <f t="array" ref="X1607">IF($I1607&lt;&gt;"",$I1607,INDEX($I$1:$I1607,ROW()-COUNTIFS($T$1:$T1607,"="&amp;$T1607,$S$1:$S1607,"&lt;"&amp;$S1607)))</f>
        <v>0</v>
      </c>
      <c r="Z1607" s="6">
        <f t="shared" si="246"/>
        <v>1</v>
      </c>
      <c r="AA1607" t="e">
        <f t="shared" si="247"/>
        <v>#VALUE!</v>
      </c>
      <c r="AB1607" t="str">
        <f t="shared" si="248"/>
        <v/>
      </c>
      <c r="AC1607" t="e">
        <f t="shared" si="249"/>
        <v>#VALUE!</v>
      </c>
    </row>
    <row r="1608" spans="1:29" x14ac:dyDescent="0.2">
      <c r="A1608" t="str">
        <f t="shared" si="242"/>
        <v/>
      </c>
      <c r="E1608" s="4"/>
      <c r="F1608" s="46"/>
      <c r="G1608" s="4"/>
      <c r="H1608" s="48"/>
      <c r="J1608" s="26" t="str">
        <f t="shared" si="243"/>
        <v/>
      </c>
      <c r="N1608" t="str">
        <f t="shared" si="244"/>
        <v/>
      </c>
      <c r="Q1608" t="str">
        <f t="shared" si="245"/>
        <v/>
      </c>
      <c r="S1608" t="str">
        <f>IF(A1608=1,MAX($S$2:$S1607)+1,IF(OR($I1608&lt;&gt;"",A1608="x"),$S1607,""))</f>
        <v/>
      </c>
      <c r="T1608" t="str">
        <f>IF(D1608=1,MAX($T$2:$T1607)+1,IF(S1608=S1607,$T1607,IF(D1608="x",T1607,IF(D1607="x","",""))))</f>
        <v/>
      </c>
      <c r="U1608" t="str">
        <f>IF(B1608=1,MAX($U$2:$U1607)+1,IF(AND($T1608&lt;&gt;"",$T1608=$T1607),$U1607,IF(B1608="x",U1607,"")))</f>
        <v/>
      </c>
      <c r="V1608" t="str">
        <f>IF(C1608=1,MAX($V$2:$V1607)+1,IF(AND($T1608&lt;&gt;"",$T1608=$T1607),$U1607,IF(C1608="x",V1607,"")))</f>
        <v/>
      </c>
      <c r="X1608" cm="1">
        <f t="array" ref="X1608">IF($I1608&lt;&gt;"",$I1608,INDEX($I$1:$I1608,ROW()-COUNTIFS($T$1:$T1608,"="&amp;$T1608,$S$1:$S1608,"&lt;"&amp;$S1608)))</f>
        <v>0</v>
      </c>
      <c r="Z1608" s="6">
        <f t="shared" si="246"/>
        <v>1</v>
      </c>
      <c r="AA1608" t="e">
        <f t="shared" si="247"/>
        <v>#VALUE!</v>
      </c>
      <c r="AB1608" t="str">
        <f t="shared" si="248"/>
        <v/>
      </c>
      <c r="AC1608" t="e">
        <f t="shared" si="249"/>
        <v>#VALUE!</v>
      </c>
    </row>
    <row r="1609" spans="1:29" x14ac:dyDescent="0.2">
      <c r="A1609" t="str">
        <f t="shared" si="242"/>
        <v/>
      </c>
      <c r="E1609" s="4"/>
      <c r="F1609" s="46"/>
      <c r="G1609" s="4"/>
      <c r="H1609" s="48"/>
      <c r="J1609" s="26" t="str">
        <f t="shared" si="243"/>
        <v/>
      </c>
      <c r="N1609" t="str">
        <f t="shared" si="244"/>
        <v/>
      </c>
      <c r="Q1609" t="str">
        <f t="shared" si="245"/>
        <v/>
      </c>
      <c r="S1609" t="str">
        <f>IF(A1609=1,MAX($S$2:$S1608)+1,IF(OR($I1609&lt;&gt;"",A1609="x"),$S1608,""))</f>
        <v/>
      </c>
      <c r="T1609" t="str">
        <f>IF(D1609=1,MAX($T$2:$T1608)+1,IF(S1609=S1608,$T1608,IF(D1609="x",T1608,IF(D1608="x","",""))))</f>
        <v/>
      </c>
      <c r="U1609" t="str">
        <f>IF(B1609=1,MAX($U$2:$U1608)+1,IF(AND($T1609&lt;&gt;"",$T1609=$T1608),$U1608,IF(B1609="x",U1608,"")))</f>
        <v/>
      </c>
      <c r="V1609" t="str">
        <f>IF(C1609=1,MAX($V$2:$V1608)+1,IF(AND($T1609&lt;&gt;"",$T1609=$T1608),$U1608,IF(C1609="x",V1608,"")))</f>
        <v/>
      </c>
      <c r="X1609" cm="1">
        <f t="array" ref="X1609">IF($I1609&lt;&gt;"",$I1609,INDEX($I$1:$I1609,ROW()-COUNTIFS($T$1:$T1609,"="&amp;$T1609,$S$1:$S1609,"&lt;"&amp;$S1609)))</f>
        <v>0</v>
      </c>
      <c r="Z1609" s="6">
        <f t="shared" si="246"/>
        <v>1</v>
      </c>
      <c r="AA1609" t="e">
        <f t="shared" si="247"/>
        <v>#VALUE!</v>
      </c>
      <c r="AB1609" t="str">
        <f t="shared" si="248"/>
        <v/>
      </c>
      <c r="AC1609" t="e">
        <f t="shared" si="249"/>
        <v>#VALUE!</v>
      </c>
    </row>
    <row r="1610" spans="1:29" x14ac:dyDescent="0.2">
      <c r="A1610" t="str">
        <f t="shared" si="242"/>
        <v/>
      </c>
      <c r="E1610" s="4"/>
      <c r="F1610" s="46"/>
      <c r="G1610" s="4"/>
      <c r="H1610" s="48"/>
      <c r="J1610" s="26" t="str">
        <f t="shared" si="243"/>
        <v/>
      </c>
      <c r="N1610" t="str">
        <f t="shared" si="244"/>
        <v/>
      </c>
      <c r="Q1610" t="str">
        <f t="shared" si="245"/>
        <v/>
      </c>
      <c r="S1610" t="str">
        <f>IF(A1610=1,MAX($S$2:$S1609)+1,IF(OR($I1610&lt;&gt;"",A1610="x"),$S1609,""))</f>
        <v/>
      </c>
      <c r="T1610" t="str">
        <f>IF(D1610=1,MAX($T$2:$T1609)+1,IF(S1610=S1609,$T1609,IF(D1610="x",T1609,IF(D1609="x","",""))))</f>
        <v/>
      </c>
      <c r="U1610" t="str">
        <f>IF(B1610=1,MAX($U$2:$U1609)+1,IF(AND($T1610&lt;&gt;"",$T1610=$T1609),$U1609,IF(B1610="x",U1609,"")))</f>
        <v/>
      </c>
      <c r="V1610" t="str">
        <f>IF(C1610=1,MAX($V$2:$V1609)+1,IF(AND($T1610&lt;&gt;"",$T1610=$T1609),$U1609,IF(C1610="x",V1609,"")))</f>
        <v/>
      </c>
      <c r="X1610" cm="1">
        <f t="array" ref="X1610">IF($I1610&lt;&gt;"",$I1610,INDEX($I$1:$I1610,ROW()-COUNTIFS($T$1:$T1610,"="&amp;$T1610,$S$1:$S1610,"&lt;"&amp;$S1610)))</f>
        <v>0</v>
      </c>
      <c r="Z1610" s="6">
        <f t="shared" si="246"/>
        <v>1</v>
      </c>
      <c r="AA1610" t="e">
        <f t="shared" si="247"/>
        <v>#VALUE!</v>
      </c>
      <c r="AB1610" t="str">
        <f t="shared" si="248"/>
        <v/>
      </c>
      <c r="AC1610" t="e">
        <f t="shared" si="249"/>
        <v>#VALUE!</v>
      </c>
    </row>
    <row r="1611" spans="1:29" x14ac:dyDescent="0.2">
      <c r="A1611" t="str">
        <f t="shared" si="242"/>
        <v/>
      </c>
      <c r="E1611" s="4"/>
      <c r="F1611" s="46"/>
      <c r="G1611" s="4"/>
      <c r="H1611" s="48"/>
      <c r="J1611" s="26" t="str">
        <f t="shared" si="243"/>
        <v/>
      </c>
      <c r="N1611" t="str">
        <f t="shared" si="244"/>
        <v/>
      </c>
      <c r="Q1611" t="str">
        <f t="shared" si="245"/>
        <v/>
      </c>
      <c r="S1611" t="str">
        <f>IF(A1611=1,MAX($S$2:$S1610)+1,IF(OR($I1611&lt;&gt;"",A1611="x"),$S1610,""))</f>
        <v/>
      </c>
      <c r="T1611" t="str">
        <f>IF(D1611=1,MAX($T$2:$T1610)+1,IF(S1611=S1610,$T1610,IF(D1611="x",T1610,IF(D1610="x","",""))))</f>
        <v/>
      </c>
      <c r="U1611" t="str">
        <f>IF(B1611=1,MAX($U$2:$U1610)+1,IF(AND($T1611&lt;&gt;"",$T1611=$T1610),$U1610,IF(B1611="x",U1610,"")))</f>
        <v/>
      </c>
      <c r="V1611" t="str">
        <f>IF(C1611=1,MAX($V$2:$V1610)+1,IF(AND($T1611&lt;&gt;"",$T1611=$T1610),$U1610,IF(C1611="x",V1610,"")))</f>
        <v/>
      </c>
      <c r="X1611" cm="1">
        <f t="array" ref="X1611">IF($I1611&lt;&gt;"",$I1611,INDEX($I$1:$I1611,ROW()-COUNTIFS($T$1:$T1611,"="&amp;$T1611,$S$1:$S1611,"&lt;"&amp;$S1611)))</f>
        <v>0</v>
      </c>
      <c r="Z1611" s="6">
        <f t="shared" si="246"/>
        <v>1</v>
      </c>
      <c r="AA1611" t="e">
        <f t="shared" si="247"/>
        <v>#VALUE!</v>
      </c>
      <c r="AB1611" t="str">
        <f t="shared" si="248"/>
        <v/>
      </c>
      <c r="AC1611" t="e">
        <f t="shared" si="249"/>
        <v>#VALUE!</v>
      </c>
    </row>
    <row r="1612" spans="1:29" x14ac:dyDescent="0.2">
      <c r="A1612" t="str">
        <f t="shared" si="242"/>
        <v/>
      </c>
      <c r="E1612" s="4"/>
      <c r="F1612" s="46"/>
      <c r="G1612" s="4"/>
      <c r="H1612" s="48"/>
      <c r="J1612" s="26" t="str">
        <f t="shared" si="243"/>
        <v/>
      </c>
      <c r="N1612" t="str">
        <f t="shared" si="244"/>
        <v/>
      </c>
      <c r="Q1612" t="str">
        <f t="shared" si="245"/>
        <v/>
      </c>
      <c r="S1612" t="str">
        <f>IF(A1612=1,MAX($S$2:$S1611)+1,IF(OR($I1612&lt;&gt;"",A1612="x"),$S1611,""))</f>
        <v/>
      </c>
      <c r="T1612" t="str">
        <f>IF(D1612=1,MAX($T$2:$T1611)+1,IF(S1612=S1611,$T1611,IF(D1612="x",T1611,IF(D1611="x","",""))))</f>
        <v/>
      </c>
      <c r="U1612" t="str">
        <f>IF(B1612=1,MAX($U$2:$U1611)+1,IF(AND($T1612&lt;&gt;"",$T1612=$T1611),$U1611,IF(B1612="x",U1611,"")))</f>
        <v/>
      </c>
      <c r="V1612" t="str">
        <f>IF(C1612=1,MAX($V$2:$V1611)+1,IF(AND($T1612&lt;&gt;"",$T1612=$T1611),$U1611,IF(C1612="x",V1611,"")))</f>
        <v/>
      </c>
      <c r="X1612" cm="1">
        <f t="array" ref="X1612">IF($I1612&lt;&gt;"",$I1612,INDEX($I$1:$I1612,ROW()-COUNTIFS($T$1:$T1612,"="&amp;$T1612,$S$1:$S1612,"&lt;"&amp;$S1612)))</f>
        <v>0</v>
      </c>
      <c r="Z1612" s="6">
        <f t="shared" si="246"/>
        <v>1</v>
      </c>
      <c r="AA1612" t="e">
        <f t="shared" si="247"/>
        <v>#VALUE!</v>
      </c>
      <c r="AB1612" t="str">
        <f t="shared" si="248"/>
        <v/>
      </c>
      <c r="AC1612" t="e">
        <f t="shared" si="249"/>
        <v>#VALUE!</v>
      </c>
    </row>
    <row r="1613" spans="1:29" x14ac:dyDescent="0.2">
      <c r="A1613" t="str">
        <f t="shared" si="242"/>
        <v/>
      </c>
      <c r="E1613" s="4"/>
      <c r="F1613" s="46"/>
      <c r="G1613" s="4"/>
      <c r="H1613" s="48"/>
      <c r="J1613" s="26" t="str">
        <f t="shared" si="243"/>
        <v/>
      </c>
      <c r="N1613" t="str">
        <f t="shared" si="244"/>
        <v/>
      </c>
      <c r="Q1613" t="str">
        <f t="shared" si="245"/>
        <v/>
      </c>
      <c r="S1613" t="str">
        <f>IF(A1613=1,MAX($S$2:$S1612)+1,IF(OR($I1613&lt;&gt;"",A1613="x"),$S1612,""))</f>
        <v/>
      </c>
      <c r="T1613" t="str">
        <f>IF(D1613=1,MAX($T$2:$T1612)+1,IF(S1613=S1612,$T1612,IF(D1613="x",T1612,IF(D1612="x","",""))))</f>
        <v/>
      </c>
      <c r="U1613" t="str">
        <f>IF(B1613=1,MAX($U$2:$U1612)+1,IF(AND($T1613&lt;&gt;"",$T1613=$T1612),$U1612,IF(B1613="x",U1612,"")))</f>
        <v/>
      </c>
      <c r="V1613" t="str">
        <f>IF(C1613=1,MAX($V$2:$V1612)+1,IF(AND($T1613&lt;&gt;"",$T1613=$T1612),$U1612,IF(C1613="x",V1612,"")))</f>
        <v/>
      </c>
      <c r="X1613" cm="1">
        <f t="array" ref="X1613">IF($I1613&lt;&gt;"",$I1613,INDEX($I$1:$I1613,ROW()-COUNTIFS($T$1:$T1613,"="&amp;$T1613,$S$1:$S1613,"&lt;"&amp;$S1613)))</f>
        <v>0</v>
      </c>
      <c r="Z1613" s="6">
        <f t="shared" si="246"/>
        <v>1</v>
      </c>
      <c r="AA1613" t="e">
        <f t="shared" si="247"/>
        <v>#VALUE!</v>
      </c>
      <c r="AB1613" t="str">
        <f t="shared" si="248"/>
        <v/>
      </c>
      <c r="AC1613" t="e">
        <f t="shared" si="249"/>
        <v>#VALUE!</v>
      </c>
    </row>
    <row r="1614" spans="1:29" x14ac:dyDescent="0.2">
      <c r="A1614" t="str">
        <f t="shared" si="242"/>
        <v/>
      </c>
      <c r="E1614" s="4"/>
      <c r="F1614" s="46"/>
      <c r="G1614" s="4"/>
      <c r="H1614" s="48"/>
      <c r="J1614" s="26" t="str">
        <f t="shared" si="243"/>
        <v/>
      </c>
      <c r="N1614" t="str">
        <f t="shared" si="244"/>
        <v/>
      </c>
      <c r="Q1614" t="str">
        <f t="shared" si="245"/>
        <v/>
      </c>
      <c r="S1614" t="str">
        <f>IF(A1614=1,MAX($S$2:$S1613)+1,IF(OR($I1614&lt;&gt;"",A1614="x"),$S1613,""))</f>
        <v/>
      </c>
      <c r="T1614" t="str">
        <f>IF(D1614=1,MAX($T$2:$T1613)+1,IF(S1614=S1613,$T1613,IF(D1614="x",T1613,IF(D1613="x","",""))))</f>
        <v/>
      </c>
      <c r="U1614" t="str">
        <f>IF(B1614=1,MAX($U$2:$U1613)+1,IF(AND($T1614&lt;&gt;"",$T1614=$T1613),$U1613,IF(B1614="x",U1613,"")))</f>
        <v/>
      </c>
      <c r="V1614" t="str">
        <f>IF(C1614=1,MAX($V$2:$V1613)+1,IF(AND($T1614&lt;&gt;"",$T1614=$T1613),$U1613,IF(C1614="x",V1613,"")))</f>
        <v/>
      </c>
      <c r="X1614" cm="1">
        <f t="array" ref="X1614">IF($I1614&lt;&gt;"",$I1614,INDEX($I$1:$I1614,ROW()-COUNTIFS($T$1:$T1614,"="&amp;$T1614,$S$1:$S1614,"&lt;"&amp;$S1614)))</f>
        <v>0</v>
      </c>
      <c r="Z1614" s="6">
        <f t="shared" si="246"/>
        <v>1</v>
      </c>
      <c r="AA1614" t="e">
        <f t="shared" si="247"/>
        <v>#VALUE!</v>
      </c>
      <c r="AB1614" t="str">
        <f t="shared" si="248"/>
        <v/>
      </c>
      <c r="AC1614" t="e">
        <f t="shared" si="249"/>
        <v>#VALUE!</v>
      </c>
    </row>
    <row r="1615" spans="1:29" x14ac:dyDescent="0.2">
      <c r="A1615" t="str">
        <f t="shared" si="242"/>
        <v/>
      </c>
      <c r="E1615" s="4"/>
      <c r="F1615" s="46"/>
      <c r="G1615" s="4"/>
      <c r="H1615" s="48"/>
      <c r="J1615" s="26" t="str">
        <f t="shared" si="243"/>
        <v/>
      </c>
      <c r="N1615" t="str">
        <f t="shared" si="244"/>
        <v/>
      </c>
      <c r="Q1615" t="str">
        <f t="shared" si="245"/>
        <v/>
      </c>
      <c r="S1615" t="str">
        <f>IF(A1615=1,MAX($S$2:$S1614)+1,IF(OR($I1615&lt;&gt;"",A1615="x"),$S1614,""))</f>
        <v/>
      </c>
      <c r="T1615" t="str">
        <f>IF(D1615=1,MAX($T$2:$T1614)+1,IF(S1615=S1614,$T1614,IF(D1615="x",T1614,IF(D1614="x","",""))))</f>
        <v/>
      </c>
      <c r="U1615" t="str">
        <f>IF(B1615=1,MAX($U$2:$U1614)+1,IF(AND($T1615&lt;&gt;"",$T1615=$T1614),$U1614,IF(B1615="x",U1614,"")))</f>
        <v/>
      </c>
      <c r="V1615" t="str">
        <f>IF(C1615=1,MAX($V$2:$V1614)+1,IF(AND($T1615&lt;&gt;"",$T1615=$T1614),$U1614,IF(C1615="x",V1614,"")))</f>
        <v/>
      </c>
      <c r="X1615" cm="1">
        <f t="array" ref="X1615">IF($I1615&lt;&gt;"",$I1615,INDEX($I$1:$I1615,ROW()-COUNTIFS($T$1:$T1615,"="&amp;$T1615,$S$1:$S1615,"&lt;"&amp;$S1615)))</f>
        <v>0</v>
      </c>
      <c r="Z1615" s="6">
        <f t="shared" si="246"/>
        <v>1</v>
      </c>
      <c r="AA1615" t="e">
        <f t="shared" si="247"/>
        <v>#VALUE!</v>
      </c>
      <c r="AB1615" t="str">
        <f t="shared" si="248"/>
        <v/>
      </c>
      <c r="AC1615" t="e">
        <f t="shared" si="249"/>
        <v>#VALUE!</v>
      </c>
    </row>
    <row r="1616" spans="1:29" x14ac:dyDescent="0.2">
      <c r="A1616" t="str">
        <f t="shared" si="242"/>
        <v/>
      </c>
      <c r="E1616" s="4"/>
      <c r="F1616" s="46"/>
      <c r="G1616" s="4"/>
      <c r="H1616" s="48"/>
      <c r="J1616" s="26" t="str">
        <f t="shared" si="243"/>
        <v/>
      </c>
      <c r="N1616" t="str">
        <f t="shared" si="244"/>
        <v/>
      </c>
      <c r="Q1616" t="str">
        <f t="shared" si="245"/>
        <v/>
      </c>
      <c r="S1616" t="str">
        <f>IF(A1616=1,MAX($S$2:$S1615)+1,IF(OR($I1616&lt;&gt;"",A1616="x"),$S1615,""))</f>
        <v/>
      </c>
      <c r="T1616" t="str">
        <f>IF(D1616=1,MAX($T$2:$T1615)+1,IF(S1616=S1615,$T1615,IF(D1616="x",T1615,IF(D1615="x","",""))))</f>
        <v/>
      </c>
      <c r="U1616" t="str">
        <f>IF(B1616=1,MAX($U$2:$U1615)+1,IF(AND($T1616&lt;&gt;"",$T1616=$T1615),$U1615,IF(B1616="x",U1615,"")))</f>
        <v/>
      </c>
      <c r="V1616" t="str">
        <f>IF(C1616=1,MAX($V$2:$V1615)+1,IF(AND($T1616&lt;&gt;"",$T1616=$T1615),$U1615,IF(C1616="x",V1615,"")))</f>
        <v/>
      </c>
      <c r="X1616" cm="1">
        <f t="array" ref="X1616">IF($I1616&lt;&gt;"",$I1616,INDEX($I$1:$I1616,ROW()-COUNTIFS($T$1:$T1616,"="&amp;$T1616,$S$1:$S1616,"&lt;"&amp;$S1616)))</f>
        <v>0</v>
      </c>
      <c r="Z1616" s="6">
        <f t="shared" si="246"/>
        <v>1</v>
      </c>
      <c r="AA1616" t="e">
        <f t="shared" si="247"/>
        <v>#VALUE!</v>
      </c>
      <c r="AB1616" t="str">
        <f t="shared" si="248"/>
        <v/>
      </c>
      <c r="AC1616" t="e">
        <f t="shared" si="249"/>
        <v>#VALUE!</v>
      </c>
    </row>
    <row r="1617" spans="1:29" x14ac:dyDescent="0.2">
      <c r="A1617" t="str">
        <f t="shared" si="242"/>
        <v/>
      </c>
      <c r="E1617" s="4"/>
      <c r="F1617" s="46"/>
      <c r="G1617" s="4"/>
      <c r="H1617" s="48"/>
      <c r="J1617" s="26" t="str">
        <f t="shared" si="243"/>
        <v/>
      </c>
      <c r="N1617" t="str">
        <f t="shared" si="244"/>
        <v/>
      </c>
      <c r="Q1617" t="str">
        <f t="shared" si="245"/>
        <v/>
      </c>
      <c r="S1617" t="str">
        <f>IF(A1617=1,MAX($S$2:$S1616)+1,IF(OR($I1617&lt;&gt;"",A1617="x"),$S1616,""))</f>
        <v/>
      </c>
      <c r="T1617" t="str">
        <f>IF(D1617=1,MAX($T$2:$T1616)+1,IF(S1617=S1616,$T1616,IF(D1617="x",T1616,IF(D1616="x","",""))))</f>
        <v/>
      </c>
      <c r="U1617" t="str">
        <f>IF(B1617=1,MAX($U$2:$U1616)+1,IF(AND($T1617&lt;&gt;"",$T1617=$T1616),$U1616,IF(B1617="x",U1616,"")))</f>
        <v/>
      </c>
      <c r="V1617" t="str">
        <f>IF(C1617=1,MAX($V$2:$V1616)+1,IF(AND($T1617&lt;&gt;"",$T1617=$T1616),$U1616,IF(C1617="x",V1616,"")))</f>
        <v/>
      </c>
      <c r="X1617" cm="1">
        <f t="array" ref="X1617">IF($I1617&lt;&gt;"",$I1617,INDEX($I$1:$I1617,ROW()-COUNTIFS($T$1:$T1617,"="&amp;$T1617,$S$1:$S1617,"&lt;"&amp;$S1617)))</f>
        <v>0</v>
      </c>
      <c r="Z1617" s="6">
        <f t="shared" si="246"/>
        <v>1</v>
      </c>
      <c r="AA1617" t="e">
        <f t="shared" si="247"/>
        <v>#VALUE!</v>
      </c>
      <c r="AB1617" t="str">
        <f t="shared" si="248"/>
        <v/>
      </c>
      <c r="AC1617" t="e">
        <f t="shared" si="249"/>
        <v>#VALUE!</v>
      </c>
    </row>
    <row r="1618" spans="1:29" x14ac:dyDescent="0.2">
      <c r="A1618" t="str">
        <f t="shared" si="242"/>
        <v/>
      </c>
      <c r="E1618" s="4"/>
      <c r="F1618" s="46"/>
      <c r="G1618" s="4"/>
      <c r="H1618" s="48"/>
      <c r="J1618" s="26" t="str">
        <f t="shared" si="243"/>
        <v/>
      </c>
      <c r="N1618" t="str">
        <f t="shared" si="244"/>
        <v/>
      </c>
      <c r="Q1618" t="str">
        <f t="shared" si="245"/>
        <v/>
      </c>
      <c r="S1618" t="str">
        <f>IF(A1618=1,MAX($S$2:$S1617)+1,IF(OR($I1618&lt;&gt;"",A1618="x"),$S1617,""))</f>
        <v/>
      </c>
      <c r="T1618" t="str">
        <f>IF(D1618=1,MAX($T$2:$T1617)+1,IF(S1618=S1617,$T1617,IF(D1618="x",T1617,IF(D1617="x","",""))))</f>
        <v/>
      </c>
      <c r="U1618" t="str">
        <f>IF(B1618=1,MAX($U$2:$U1617)+1,IF(AND($T1618&lt;&gt;"",$T1618=$T1617),$U1617,IF(B1618="x",U1617,"")))</f>
        <v/>
      </c>
      <c r="V1618" t="str">
        <f>IF(C1618=1,MAX($V$2:$V1617)+1,IF(AND($T1618&lt;&gt;"",$T1618=$T1617),$U1617,IF(C1618="x",V1617,"")))</f>
        <v/>
      </c>
      <c r="X1618" cm="1">
        <f t="array" ref="X1618">IF($I1618&lt;&gt;"",$I1618,INDEX($I$1:$I1618,ROW()-COUNTIFS($T$1:$T1618,"="&amp;$T1618,$S$1:$S1618,"&lt;"&amp;$S1618)))</f>
        <v>0</v>
      </c>
      <c r="Z1618" s="6">
        <f t="shared" si="246"/>
        <v>1</v>
      </c>
      <c r="AA1618" t="e">
        <f t="shared" si="247"/>
        <v>#VALUE!</v>
      </c>
      <c r="AB1618" t="str">
        <f t="shared" si="248"/>
        <v/>
      </c>
      <c r="AC1618" t="e">
        <f t="shared" si="249"/>
        <v>#VALUE!</v>
      </c>
    </row>
    <row r="1619" spans="1:29" x14ac:dyDescent="0.2">
      <c r="A1619" t="str">
        <f t="shared" ref="A1619:A1682" si="250">IF(K1619&lt;&gt;"",1,IF(D1619="x","x",""))</f>
        <v/>
      </c>
      <c r="E1619" s="4"/>
      <c r="F1619" s="46"/>
      <c r="G1619" s="4"/>
      <c r="H1619" s="48"/>
      <c r="J1619" s="26" t="str">
        <f t="shared" ref="J1619:J1682" si="251">IF(OR(K1619="Goal",K1619="Shot",L1619="Zone_Entry",M1619="Stoppage-Goal",M1618="Stoppage-Goal"),"o",IF(OR(K1619="Save",K1619="Rebound",L1619="Zone_Exit",M1619="Stoppage-GoalieStoppage",M1618="Stoppage-GoalieStoppage"),"d",IF(OR(L1619="Faceoff_AfterGoal",L1619="Faceoff_PeriodStart",698="Faceoff_GameStart",M1618="Stoppage-Goal"),"n","")))</f>
        <v/>
      </c>
      <c r="N1619" t="str">
        <f t="shared" ref="N1619:N1682" si="252">IF(K1619="","",IF(K1619="Goal","s",IF(AND(K1619="Zone_Entry_Exit",OR(ISNUMBER(SEARCH("fail",L1619)),ISNUMBER(SEARCH("FromExitClear",M1619)),ISNUMBER(SEARCH("miss",M1619)))),"u",IF(AND(K1619="Zone_Entry_Exit",OR(NOT(ISNUMBER(SEARCH("fail",L1619))),NOT(ISNUMBER(SEARCH("FromExitClear",M1619))),NOT(ISNUMBER(SEARCH("miss",M1619))))),"s",IF(AND(OR(K1619="Shot",K1619="Pass"),OR(ISNUMBER(SEARCH("complete",L1619)),ISNUMBER(SEARCH("goal",L1619)),ISNUMBER(SEARCH("OnNet",L1619)))),"s",IF(L1619="Turnover_Giveaway","u",IF(AND(OR(K1619="Shot",K1619="Pass"),OR(ISNUMBER(SEARCH("fail",L1619)),NOT(ISNUMBER(SEARCH("complete",L1619))),NOT(ISNUMBER(SEARCH("OnNet",L1619))))),"u","")))))))</f>
        <v/>
      </c>
      <c r="Q1619" t="str">
        <f t="shared" ref="Q1619:Q1682" si="253">IF(O1619="","",IF(AND(N1619&lt;&gt;"",OR(O1619&lt;&gt;"",P1619&lt;&gt;"")),N1619,IF(OR(ISNUMBER(SEARCH("attemp",O1619)),ISNUMBER(SEARCH("beat",O1619)),ISNUMBER(SEARCH("mis",O1619)),ISNUMBER(SEARCH("fail",O1619)),ISNUMBER(SEARCH("loss",O1619)),ISNUMBER(SEARCH("lost",O1619)),ISNUMBER(SEARCH("attemp",P1619)),ISNUMBER(SEARCH("mis",P1619)),ISNUMBER(SEARCH("fail",P1619)),ISNUMBER(SEARCH("loss",P1619)),ISNUMBER(SEARCH("beat",P1619)),ISNUMBER(SEARCH("lost",P1619))),"u","")))</f>
        <v/>
      </c>
      <c r="S1619" t="str">
        <f>IF(A1619=1,MAX($S$2:$S1618)+1,IF(OR($I1619&lt;&gt;"",A1619="x"),$S1618,""))</f>
        <v/>
      </c>
      <c r="T1619" t="str">
        <f>IF(D1619=1,MAX($T$2:$T1618)+1,IF(S1619=S1618,$T1618,IF(D1619="x",T1618,IF(D1618="x","",""))))</f>
        <v/>
      </c>
      <c r="U1619" t="str">
        <f>IF(B1619=1,MAX($U$2:$U1618)+1,IF(AND($T1619&lt;&gt;"",$T1619=$T1618),$U1618,IF(B1619="x",U1618,"")))</f>
        <v/>
      </c>
      <c r="V1619" t="str">
        <f>IF(C1619=1,MAX($V$2:$V1618)+1,IF(AND($T1619&lt;&gt;"",$T1619=$T1618),$U1618,IF(C1619="x",V1618,"")))</f>
        <v/>
      </c>
      <c r="X1619" cm="1">
        <f t="array" ref="X1619">IF($I1619&lt;&gt;"",$I1619,INDEX($I$1:$I1619,ROW()-COUNTIFS($T$1:$T1619,"="&amp;$T1619,$S$1:$S1619,"&lt;"&amp;$S1619)))</f>
        <v>0</v>
      </c>
      <c r="Z1619" s="6">
        <f t="shared" si="246"/>
        <v>1</v>
      </c>
      <c r="AA1619" t="e">
        <f t="shared" si="247"/>
        <v>#VALUE!</v>
      </c>
      <c r="AB1619" t="str">
        <f t="shared" si="248"/>
        <v/>
      </c>
      <c r="AC1619" t="e">
        <f t="shared" si="249"/>
        <v>#VALUE!</v>
      </c>
    </row>
    <row r="1620" spans="1:29" x14ac:dyDescent="0.2">
      <c r="A1620" t="str">
        <f t="shared" si="250"/>
        <v/>
      </c>
      <c r="E1620" s="4"/>
      <c r="F1620" s="46"/>
      <c r="G1620" s="4"/>
      <c r="H1620" s="48"/>
      <c r="J1620" s="26" t="str">
        <f t="shared" si="251"/>
        <v/>
      </c>
      <c r="N1620" t="str">
        <f t="shared" si="252"/>
        <v/>
      </c>
      <c r="Q1620" t="str">
        <f t="shared" si="253"/>
        <v/>
      </c>
      <c r="S1620" t="str">
        <f>IF(A1620=1,MAX($S$2:$S1619)+1,IF(OR($I1620&lt;&gt;"",A1620="x"),$S1619,""))</f>
        <v/>
      </c>
      <c r="T1620" t="str">
        <f>IF(D1620=1,MAX($T$2:$T1619)+1,IF(S1620=S1619,$T1619,IF(D1620="x",T1619,IF(D1619="x","",""))))</f>
        <v/>
      </c>
      <c r="U1620" t="str">
        <f>IF(B1620=1,MAX($U$2:$U1619)+1,IF(AND($T1620&lt;&gt;"",$T1620=$T1619),$U1619,IF(B1620="x",U1619,"")))</f>
        <v/>
      </c>
      <c r="V1620" t="str">
        <f>IF(C1620=1,MAX($V$2:$V1619)+1,IF(AND($T1620&lt;&gt;"",$T1620=$T1619),$U1619,IF(C1620="x",V1619,"")))</f>
        <v/>
      </c>
      <c r="X1620" cm="1">
        <f t="array" ref="X1620">IF($I1620&lt;&gt;"",$I1620,INDEX($I$1:$I1620,ROW()-COUNTIFS($T$1:$T1620,"="&amp;$T1620,$S$1:$S1620,"&lt;"&amp;$S1620)))</f>
        <v>0</v>
      </c>
      <c r="Z1620" s="6">
        <f t="shared" si="246"/>
        <v>1</v>
      </c>
      <c r="AA1620" t="e">
        <f t="shared" si="247"/>
        <v>#VALUE!</v>
      </c>
      <c r="AB1620" t="str">
        <f t="shared" si="248"/>
        <v/>
      </c>
      <c r="AC1620" t="e">
        <f t="shared" si="249"/>
        <v>#VALUE!</v>
      </c>
    </row>
    <row r="1621" spans="1:29" x14ac:dyDescent="0.2">
      <c r="A1621" t="str">
        <f t="shared" si="250"/>
        <v/>
      </c>
      <c r="E1621" s="4"/>
      <c r="F1621" s="46"/>
      <c r="G1621" s="4"/>
      <c r="H1621" s="48"/>
      <c r="J1621" s="26" t="str">
        <f t="shared" si="251"/>
        <v/>
      </c>
      <c r="N1621" t="str">
        <f t="shared" si="252"/>
        <v/>
      </c>
      <c r="Q1621" t="str">
        <f t="shared" si="253"/>
        <v/>
      </c>
      <c r="S1621" t="str">
        <f>IF(A1621=1,MAX($S$2:$S1620)+1,IF(OR($I1621&lt;&gt;"",A1621="x"),$S1620,""))</f>
        <v/>
      </c>
      <c r="T1621" t="str">
        <f>IF(D1621=1,MAX($T$2:$T1620)+1,IF(S1621=S1620,$T1620,IF(D1621="x",T1620,IF(D1620="x","",""))))</f>
        <v/>
      </c>
      <c r="U1621" t="str">
        <f>IF(B1621=1,MAX($U$2:$U1620)+1,IF(AND($T1621&lt;&gt;"",$T1621=$T1620),$U1620,IF(B1621="x",U1620,"")))</f>
        <v/>
      </c>
      <c r="V1621" t="str">
        <f>IF(C1621=1,MAX($V$2:$V1620)+1,IF(AND($T1621&lt;&gt;"",$T1621=$T1620),$U1620,IF(C1621="x",V1620,"")))</f>
        <v/>
      </c>
      <c r="X1621" cm="1">
        <f t="array" ref="X1621">IF($I1621&lt;&gt;"",$I1621,INDEX($I$1:$I1621,ROW()-COUNTIFS($T$1:$T1621,"="&amp;$T1621,$S$1:$S1621,"&lt;"&amp;$S1621)))</f>
        <v>0</v>
      </c>
      <c r="Z1621" s="6">
        <f t="shared" si="246"/>
        <v>1</v>
      </c>
      <c r="AA1621" t="e">
        <f t="shared" si="247"/>
        <v>#VALUE!</v>
      </c>
      <c r="AB1621" t="str">
        <f t="shared" si="248"/>
        <v/>
      </c>
      <c r="AC1621" t="e">
        <f t="shared" si="249"/>
        <v>#VALUE!</v>
      </c>
    </row>
    <row r="1622" spans="1:29" x14ac:dyDescent="0.2">
      <c r="A1622" t="str">
        <f t="shared" si="250"/>
        <v/>
      </c>
      <c r="E1622" s="4"/>
      <c r="F1622" s="46"/>
      <c r="G1622" s="4"/>
      <c r="H1622" s="48"/>
      <c r="J1622" s="26" t="str">
        <f t="shared" si="251"/>
        <v/>
      </c>
      <c r="N1622" t="str">
        <f t="shared" si="252"/>
        <v/>
      </c>
      <c r="Q1622" t="str">
        <f t="shared" si="253"/>
        <v/>
      </c>
      <c r="S1622" t="str">
        <f>IF(A1622=1,MAX($S$2:$S1621)+1,IF(OR($I1622&lt;&gt;"",A1622="x"),$S1621,""))</f>
        <v/>
      </c>
      <c r="T1622" t="str">
        <f>IF(D1622=1,MAX($T$2:$T1621)+1,IF(S1622=S1621,$T1621,IF(D1622="x",T1621,IF(D1621="x","",""))))</f>
        <v/>
      </c>
      <c r="U1622" t="str">
        <f>IF(B1622=1,MAX($U$2:$U1621)+1,IF(AND($T1622&lt;&gt;"",$T1622=$T1621),$U1621,IF(B1622="x",U1621,"")))</f>
        <v/>
      </c>
      <c r="V1622" t="str">
        <f>IF(C1622=1,MAX($V$2:$V1621)+1,IF(AND($T1622&lt;&gt;"",$T1622=$T1621),$U1621,IF(C1622="x",V1621,"")))</f>
        <v/>
      </c>
      <c r="X1622" cm="1">
        <f t="array" ref="X1622">IF($I1622&lt;&gt;"",$I1622,INDEX($I$1:$I1622,ROW()-COUNTIFS($T$1:$T1622,"="&amp;$T1622,$S$1:$S1622,"&lt;"&amp;$S1622)))</f>
        <v>0</v>
      </c>
      <c r="Z1622" s="6">
        <f t="shared" si="246"/>
        <v>1</v>
      </c>
      <c r="AA1622" t="e">
        <f t="shared" si="247"/>
        <v>#VALUE!</v>
      </c>
      <c r="AB1622" t="str">
        <f t="shared" si="248"/>
        <v/>
      </c>
      <c r="AC1622" t="e">
        <f t="shared" si="249"/>
        <v>#VALUE!</v>
      </c>
    </row>
    <row r="1623" spans="1:29" x14ac:dyDescent="0.2">
      <c r="A1623" t="str">
        <f t="shared" si="250"/>
        <v/>
      </c>
      <c r="E1623" s="4"/>
      <c r="F1623" s="46"/>
      <c r="G1623" s="4"/>
      <c r="H1623" s="48"/>
      <c r="J1623" s="26" t="str">
        <f t="shared" si="251"/>
        <v/>
      </c>
      <c r="N1623" t="str">
        <f t="shared" si="252"/>
        <v/>
      </c>
      <c r="Q1623" t="str">
        <f t="shared" si="253"/>
        <v/>
      </c>
      <c r="S1623" t="str">
        <f>IF(A1623=1,MAX($S$2:$S1622)+1,IF(OR($I1623&lt;&gt;"",A1623="x"),$S1622,""))</f>
        <v/>
      </c>
      <c r="T1623" t="str">
        <f>IF(D1623=1,MAX($T$2:$T1622)+1,IF(S1623=S1622,$T1622,IF(D1623="x",T1622,IF(D1622="x","",""))))</f>
        <v/>
      </c>
      <c r="U1623" t="str">
        <f>IF(B1623=1,MAX($U$2:$U1622)+1,IF(AND($T1623&lt;&gt;"",$T1623=$T1622),$U1622,IF(B1623="x",U1622,"")))</f>
        <v/>
      </c>
      <c r="V1623" t="str">
        <f>IF(C1623=1,MAX($V$2:$V1622)+1,IF(AND($T1623&lt;&gt;"",$T1623=$T1622),$U1622,IF(C1623="x",V1622,"")))</f>
        <v/>
      </c>
      <c r="X1623" cm="1">
        <f t="array" ref="X1623">IF($I1623&lt;&gt;"",$I1623,INDEX($I$1:$I1623,ROW()-COUNTIFS($T$1:$T1623,"="&amp;$T1623,$S$1:$S1623,"&lt;"&amp;$S1623)))</f>
        <v>0</v>
      </c>
      <c r="Z1623" s="6">
        <f t="shared" si="246"/>
        <v>1</v>
      </c>
      <c r="AA1623" t="e">
        <f t="shared" si="247"/>
        <v>#VALUE!</v>
      </c>
      <c r="AB1623" t="str">
        <f t="shared" si="248"/>
        <v/>
      </c>
      <c r="AC1623" t="e">
        <f t="shared" si="249"/>
        <v>#VALUE!</v>
      </c>
    </row>
    <row r="1624" spans="1:29" x14ac:dyDescent="0.2">
      <c r="A1624" t="str">
        <f t="shared" si="250"/>
        <v/>
      </c>
      <c r="E1624" s="4"/>
      <c r="F1624" s="46"/>
      <c r="G1624" s="4"/>
      <c r="H1624" s="48"/>
      <c r="J1624" s="26" t="str">
        <f t="shared" si="251"/>
        <v/>
      </c>
      <c r="N1624" t="str">
        <f t="shared" si="252"/>
        <v/>
      </c>
      <c r="Q1624" t="str">
        <f t="shared" si="253"/>
        <v/>
      </c>
      <c r="S1624" t="str">
        <f>IF(A1624=1,MAX($S$2:$S1623)+1,IF(OR($I1624&lt;&gt;"",A1624="x"),$S1623,""))</f>
        <v/>
      </c>
      <c r="T1624" t="str">
        <f>IF(D1624=1,MAX($T$2:$T1623)+1,IF(S1624=S1623,$T1623,IF(D1624="x",T1623,IF(D1623="x","",""))))</f>
        <v/>
      </c>
      <c r="U1624" t="str">
        <f>IF(B1624=1,MAX($U$2:$U1623)+1,IF(AND($T1624&lt;&gt;"",$T1624=$T1623),$U1623,IF(B1624="x",U1623,"")))</f>
        <v/>
      </c>
      <c r="V1624" t="str">
        <f>IF(C1624=1,MAX($V$2:$V1623)+1,IF(AND($T1624&lt;&gt;"",$T1624=$T1623),$U1623,IF(C1624="x",V1623,"")))</f>
        <v/>
      </c>
      <c r="X1624" cm="1">
        <f t="array" ref="X1624">IF($I1624&lt;&gt;"",$I1624,INDEX($I$1:$I1624,ROW()-COUNTIFS($T$1:$T1624,"="&amp;$T1624,$S$1:$S1624,"&lt;"&amp;$S1624)))</f>
        <v>0</v>
      </c>
      <c r="Z1624" s="6">
        <f t="shared" si="246"/>
        <v>1</v>
      </c>
      <c r="AA1624" t="e">
        <f t="shared" si="247"/>
        <v>#VALUE!</v>
      </c>
      <c r="AB1624" t="str">
        <f t="shared" si="248"/>
        <v/>
      </c>
      <c r="AC1624" t="e">
        <f t="shared" si="249"/>
        <v>#VALUE!</v>
      </c>
    </row>
    <row r="1625" spans="1:29" x14ac:dyDescent="0.2">
      <c r="A1625" t="str">
        <f t="shared" si="250"/>
        <v/>
      </c>
      <c r="E1625" s="4"/>
      <c r="F1625" s="46"/>
      <c r="G1625" s="4"/>
      <c r="H1625" s="48"/>
      <c r="J1625" s="26" t="str">
        <f t="shared" si="251"/>
        <v/>
      </c>
      <c r="N1625" t="str">
        <f t="shared" si="252"/>
        <v/>
      </c>
      <c r="Q1625" t="str">
        <f t="shared" si="253"/>
        <v/>
      </c>
      <c r="S1625" t="str">
        <f>IF(A1625=1,MAX($S$2:$S1624)+1,IF(OR($I1625&lt;&gt;"",A1625="x"),$S1624,""))</f>
        <v/>
      </c>
      <c r="T1625" t="str">
        <f>IF(D1625=1,MAX($T$2:$T1624)+1,IF(S1625=S1624,$T1624,IF(D1625="x",T1624,IF(D1624="x","",""))))</f>
        <v/>
      </c>
      <c r="U1625" t="str">
        <f>IF(B1625=1,MAX($U$2:$U1624)+1,IF(AND($T1625&lt;&gt;"",$T1625=$T1624),$U1624,IF(B1625="x",U1624,"")))</f>
        <v/>
      </c>
      <c r="V1625" t="str">
        <f>IF(C1625=1,MAX($V$2:$V1624)+1,IF(AND($T1625&lt;&gt;"",$T1625=$T1624),$U1624,IF(C1625="x",V1624,"")))</f>
        <v/>
      </c>
      <c r="X1625" cm="1">
        <f t="array" ref="X1625">IF($I1625&lt;&gt;"",$I1625,INDEX($I$1:$I1625,ROW()-COUNTIFS($T$1:$T1625,"="&amp;$T1625,$S$1:$S1625,"&lt;"&amp;$S1625)))</f>
        <v>0</v>
      </c>
      <c r="Z1625" s="6">
        <f t="shared" si="246"/>
        <v>1</v>
      </c>
      <c r="AA1625" t="e">
        <f t="shared" si="247"/>
        <v>#VALUE!</v>
      </c>
      <c r="AB1625" t="str">
        <f t="shared" si="248"/>
        <v/>
      </c>
      <c r="AC1625" t="e">
        <f t="shared" si="249"/>
        <v>#VALUE!</v>
      </c>
    </row>
    <row r="1626" spans="1:29" x14ac:dyDescent="0.2">
      <c r="A1626" t="str">
        <f t="shared" si="250"/>
        <v/>
      </c>
      <c r="E1626" s="4"/>
      <c r="F1626" s="46"/>
      <c r="G1626" s="4"/>
      <c r="H1626" s="48"/>
      <c r="J1626" s="26" t="str">
        <f t="shared" si="251"/>
        <v/>
      </c>
      <c r="N1626" t="str">
        <f t="shared" si="252"/>
        <v/>
      </c>
      <c r="Q1626" t="str">
        <f t="shared" si="253"/>
        <v/>
      </c>
      <c r="S1626" t="str">
        <f>IF(A1626=1,MAX($S$2:$S1625)+1,IF(OR($I1626&lt;&gt;"",A1626="x"),$S1625,""))</f>
        <v/>
      </c>
      <c r="T1626" t="str">
        <f>IF(D1626=1,MAX($T$2:$T1625)+1,IF(S1626=S1625,$T1625,IF(D1626="x",T1625,IF(D1625="x","",""))))</f>
        <v/>
      </c>
      <c r="U1626" t="str">
        <f>IF(B1626=1,MAX($U$2:$U1625)+1,IF(AND($T1626&lt;&gt;"",$T1626=$T1625),$U1625,IF(B1626="x",U1625,"")))</f>
        <v/>
      </c>
      <c r="V1626" t="str">
        <f>IF(C1626=1,MAX($V$2:$V1625)+1,IF(AND($T1626&lt;&gt;"",$T1626=$T1625),$U1625,IF(C1626="x",V1625,"")))</f>
        <v/>
      </c>
      <c r="X1626" cm="1">
        <f t="array" ref="X1626">IF($I1626&lt;&gt;"",$I1626,INDEX($I$1:$I1626,ROW()-COUNTIFS($T$1:$T1626,"="&amp;$T1626,$S$1:$S1626,"&lt;"&amp;$S1626)))</f>
        <v>0</v>
      </c>
      <c r="Z1626" s="6">
        <f t="shared" si="246"/>
        <v>1</v>
      </c>
      <c r="AA1626" t="e">
        <f t="shared" si="247"/>
        <v>#VALUE!</v>
      </c>
      <c r="AB1626" t="str">
        <f t="shared" si="248"/>
        <v/>
      </c>
      <c r="AC1626" t="e">
        <f t="shared" si="249"/>
        <v>#VALUE!</v>
      </c>
    </row>
    <row r="1627" spans="1:29" x14ac:dyDescent="0.2">
      <c r="A1627" t="str">
        <f t="shared" si="250"/>
        <v/>
      </c>
      <c r="E1627" s="4"/>
      <c r="F1627" s="46"/>
      <c r="G1627" s="4"/>
      <c r="H1627" s="48"/>
      <c r="J1627" s="26" t="str">
        <f t="shared" si="251"/>
        <v/>
      </c>
      <c r="N1627" t="str">
        <f t="shared" si="252"/>
        <v/>
      </c>
      <c r="Q1627" t="str">
        <f t="shared" si="253"/>
        <v/>
      </c>
      <c r="S1627" t="str">
        <f>IF(A1627=1,MAX($S$2:$S1626)+1,IF(OR($I1627&lt;&gt;"",A1627="x"),$S1626,""))</f>
        <v/>
      </c>
      <c r="T1627" t="str">
        <f>IF(D1627=1,MAX($T$2:$T1626)+1,IF(S1627=S1626,$T1626,IF(D1627="x",T1626,IF(D1626="x","",""))))</f>
        <v/>
      </c>
      <c r="U1627" t="str">
        <f>IF(B1627=1,MAX($U$2:$U1626)+1,IF(AND($T1627&lt;&gt;"",$T1627=$T1626),$U1626,IF(B1627="x",U1626,"")))</f>
        <v/>
      </c>
      <c r="V1627" t="str">
        <f>IF(C1627=1,MAX($V$2:$V1626)+1,IF(AND($T1627&lt;&gt;"",$T1627=$T1626),$U1626,IF(C1627="x",V1626,"")))</f>
        <v/>
      </c>
      <c r="X1627" cm="1">
        <f t="array" ref="X1627">IF($I1627&lt;&gt;"",$I1627,INDEX($I$1:$I1627,ROW()-COUNTIFS($T$1:$T1627,"="&amp;$T1627,$S$1:$S1627,"&lt;"&amp;$S1627)))</f>
        <v>0</v>
      </c>
      <c r="Z1627" s="6">
        <f t="shared" si="246"/>
        <v>1</v>
      </c>
      <c r="AA1627" t="e">
        <f t="shared" si="247"/>
        <v>#VALUE!</v>
      </c>
      <c r="AB1627" t="str">
        <f t="shared" si="248"/>
        <v/>
      </c>
      <c r="AC1627" t="e">
        <f t="shared" si="249"/>
        <v>#VALUE!</v>
      </c>
    </row>
    <row r="1628" spans="1:29" x14ac:dyDescent="0.2">
      <c r="A1628" t="str">
        <f t="shared" si="250"/>
        <v/>
      </c>
      <c r="E1628" s="4"/>
      <c r="F1628" s="46"/>
      <c r="G1628" s="4"/>
      <c r="H1628" s="48"/>
      <c r="J1628" s="26" t="str">
        <f t="shared" si="251"/>
        <v/>
      </c>
      <c r="N1628" t="str">
        <f t="shared" si="252"/>
        <v/>
      </c>
      <c r="Q1628" t="str">
        <f t="shared" si="253"/>
        <v/>
      </c>
      <c r="S1628" t="str">
        <f>IF(A1628=1,MAX($S$2:$S1627)+1,IF(OR($I1628&lt;&gt;"",A1628="x"),$S1627,""))</f>
        <v/>
      </c>
      <c r="T1628" t="str">
        <f>IF(D1628=1,MAX($T$2:$T1627)+1,IF(S1628=S1627,$T1627,IF(D1628="x",T1627,IF(D1627="x","",""))))</f>
        <v/>
      </c>
      <c r="U1628" t="str">
        <f>IF(B1628=1,MAX($U$2:$U1627)+1,IF(AND($T1628&lt;&gt;"",$T1628=$T1627),$U1627,IF(B1628="x",U1627,"")))</f>
        <v/>
      </c>
      <c r="V1628" t="str">
        <f>IF(C1628=1,MAX($V$2:$V1627)+1,IF(AND($T1628&lt;&gt;"",$T1628=$T1627),$U1627,IF(C1628="x",V1627,"")))</f>
        <v/>
      </c>
      <c r="X1628" cm="1">
        <f t="array" ref="X1628">IF($I1628&lt;&gt;"",$I1628,INDEX($I$1:$I1628,ROW()-COUNTIFS($T$1:$T1628,"="&amp;$T1628,$S$1:$S1628,"&lt;"&amp;$S1628)))</f>
        <v>0</v>
      </c>
      <c r="Z1628" s="6">
        <f t="shared" si="246"/>
        <v>1</v>
      </c>
      <c r="AA1628" t="e">
        <f t="shared" si="247"/>
        <v>#VALUE!</v>
      </c>
      <c r="AB1628" t="str">
        <f t="shared" si="248"/>
        <v/>
      </c>
      <c r="AC1628" t="e">
        <f t="shared" si="249"/>
        <v>#VALUE!</v>
      </c>
    </row>
    <row r="1629" spans="1:29" x14ac:dyDescent="0.2">
      <c r="A1629" t="str">
        <f t="shared" si="250"/>
        <v/>
      </c>
      <c r="E1629" s="4"/>
      <c r="F1629" s="46"/>
      <c r="G1629" s="4"/>
      <c r="H1629" s="48"/>
      <c r="J1629" s="26" t="str">
        <f t="shared" si="251"/>
        <v/>
      </c>
      <c r="N1629" t="str">
        <f t="shared" si="252"/>
        <v/>
      </c>
      <c r="Q1629" t="str">
        <f t="shared" si="253"/>
        <v/>
      </c>
      <c r="S1629" t="str">
        <f>IF(A1629=1,MAX($S$2:$S1628)+1,IF(OR($I1629&lt;&gt;"",A1629="x"),$S1628,""))</f>
        <v/>
      </c>
      <c r="T1629" t="str">
        <f>IF(D1629=1,MAX($T$2:$T1628)+1,IF(S1629=S1628,$T1628,IF(D1629="x",T1628,IF(D1628="x","",""))))</f>
        <v/>
      </c>
      <c r="U1629" t="str">
        <f>IF(B1629=1,MAX($U$2:$U1628)+1,IF(AND($T1629&lt;&gt;"",$T1629=$T1628),$U1628,IF(B1629="x",U1628,"")))</f>
        <v/>
      </c>
      <c r="V1629" t="str">
        <f>IF(C1629=1,MAX($V$2:$V1628)+1,IF(AND($T1629&lt;&gt;"",$T1629=$T1628),$U1628,IF(C1629="x",V1628,"")))</f>
        <v/>
      </c>
      <c r="X1629" cm="1">
        <f t="array" ref="X1629">IF($I1629&lt;&gt;"",$I1629,INDEX($I$1:$I1629,ROW()-COUNTIFS($T$1:$T1629,"="&amp;$T1629,$S$1:$S1629,"&lt;"&amp;$S1629)))</f>
        <v>0</v>
      </c>
      <c r="Z1629" s="6">
        <f t="shared" si="246"/>
        <v>1</v>
      </c>
      <c r="AA1629" t="e">
        <f t="shared" si="247"/>
        <v>#VALUE!</v>
      </c>
      <c r="AB1629" t="str">
        <f t="shared" si="248"/>
        <v/>
      </c>
      <c r="AC1629" t="e">
        <f t="shared" si="249"/>
        <v>#VALUE!</v>
      </c>
    </row>
    <row r="1630" spans="1:29" x14ac:dyDescent="0.2">
      <c r="A1630" t="str">
        <f t="shared" si="250"/>
        <v/>
      </c>
      <c r="E1630" s="4"/>
      <c r="F1630" s="46"/>
      <c r="G1630" s="4"/>
      <c r="H1630" s="48"/>
      <c r="J1630" s="26" t="str">
        <f t="shared" si="251"/>
        <v/>
      </c>
      <c r="N1630" t="str">
        <f t="shared" si="252"/>
        <v/>
      </c>
      <c r="Q1630" t="str">
        <f t="shared" si="253"/>
        <v/>
      </c>
      <c r="S1630" t="str">
        <f>IF(A1630=1,MAX($S$2:$S1629)+1,IF(OR($I1630&lt;&gt;"",A1630="x"),$S1629,""))</f>
        <v/>
      </c>
      <c r="T1630" t="str">
        <f>IF(D1630=1,MAX($T$2:$T1629)+1,IF(S1630=S1629,$T1629,IF(D1630="x",T1629,IF(D1629="x","",""))))</f>
        <v/>
      </c>
      <c r="U1630" t="str">
        <f>IF(B1630=1,MAX($U$2:$U1629)+1,IF(AND($T1630&lt;&gt;"",$T1630=$T1629),$U1629,IF(B1630="x",U1629,"")))</f>
        <v/>
      </c>
      <c r="V1630" t="str">
        <f>IF(C1630=1,MAX($V$2:$V1629)+1,IF(AND($T1630&lt;&gt;"",$T1630=$T1629),$U1629,IF(C1630="x",V1629,"")))</f>
        <v/>
      </c>
      <c r="X1630" cm="1">
        <f t="array" ref="X1630">IF($I1630&lt;&gt;"",$I1630,INDEX($I$1:$I1630,ROW()-COUNTIFS($T$1:$T1630,"="&amp;$T1630,$S$1:$S1630,"&lt;"&amp;$S1630)))</f>
        <v>0</v>
      </c>
      <c r="Z1630" s="6">
        <f t="shared" si="246"/>
        <v>1</v>
      </c>
      <c r="AA1630" t="e">
        <f t="shared" si="247"/>
        <v>#VALUE!</v>
      </c>
      <c r="AB1630" t="str">
        <f t="shared" si="248"/>
        <v/>
      </c>
      <c r="AC1630" t="e">
        <f t="shared" si="249"/>
        <v>#VALUE!</v>
      </c>
    </row>
    <row r="1631" spans="1:29" x14ac:dyDescent="0.2">
      <c r="A1631" t="str">
        <f t="shared" si="250"/>
        <v/>
      </c>
      <c r="E1631" s="4"/>
      <c r="F1631" s="46"/>
      <c r="G1631" s="4"/>
      <c r="H1631" s="48"/>
      <c r="J1631" s="26" t="str">
        <f t="shared" si="251"/>
        <v/>
      </c>
      <c r="N1631" t="str">
        <f t="shared" si="252"/>
        <v/>
      </c>
      <c r="Q1631" t="str">
        <f t="shared" si="253"/>
        <v/>
      </c>
      <c r="S1631" t="str">
        <f>IF(A1631=1,MAX($S$2:$S1630)+1,IF(OR($I1631&lt;&gt;"",A1631="x"),$S1630,""))</f>
        <v/>
      </c>
      <c r="T1631" t="str">
        <f>IF(D1631=1,MAX($T$2:$T1630)+1,IF(S1631=S1630,$T1630,IF(D1631="x",T1630,IF(D1630="x","",""))))</f>
        <v/>
      </c>
      <c r="U1631" t="str">
        <f>IF(B1631=1,MAX($U$2:$U1630)+1,IF(AND($T1631&lt;&gt;"",$T1631=$T1630),$U1630,IF(B1631="x",U1630,"")))</f>
        <v/>
      </c>
      <c r="V1631" t="str">
        <f>IF(C1631=1,MAX($V$2:$V1630)+1,IF(AND($T1631&lt;&gt;"",$T1631=$T1630),$U1630,IF(C1631="x",V1630,"")))</f>
        <v/>
      </c>
      <c r="X1631" cm="1">
        <f t="array" ref="X1631">IF($I1631&lt;&gt;"",$I1631,INDEX($I$1:$I1631,ROW()-COUNTIFS($T$1:$T1631,"="&amp;$T1631,$S$1:$S1631,"&lt;"&amp;$S1631)))</f>
        <v>0</v>
      </c>
      <c r="Z1631" s="6">
        <f t="shared" si="246"/>
        <v>1</v>
      </c>
      <c r="AA1631" t="e">
        <f t="shared" si="247"/>
        <v>#VALUE!</v>
      </c>
      <c r="AB1631" t="str">
        <f t="shared" si="248"/>
        <v/>
      </c>
      <c r="AC1631" t="e">
        <f t="shared" si="249"/>
        <v>#VALUE!</v>
      </c>
    </row>
    <row r="1632" spans="1:29" x14ac:dyDescent="0.2">
      <c r="A1632" t="str">
        <f t="shared" si="250"/>
        <v/>
      </c>
      <c r="E1632" s="4"/>
      <c r="F1632" s="46"/>
      <c r="G1632" s="4"/>
      <c r="H1632" s="48"/>
      <c r="J1632" s="26" t="str">
        <f t="shared" si="251"/>
        <v/>
      </c>
      <c r="N1632" t="str">
        <f t="shared" si="252"/>
        <v/>
      </c>
      <c r="Q1632" t="str">
        <f t="shared" si="253"/>
        <v/>
      </c>
      <c r="S1632" t="str">
        <f>IF(A1632=1,MAX($S$2:$S1631)+1,IF(OR($I1632&lt;&gt;"",A1632="x"),$S1631,""))</f>
        <v/>
      </c>
      <c r="T1632" t="str">
        <f>IF(D1632=1,MAX($T$2:$T1631)+1,IF(S1632=S1631,$T1631,IF(D1632="x",T1631,IF(D1631="x","",""))))</f>
        <v/>
      </c>
      <c r="U1632" t="str">
        <f>IF(B1632=1,MAX($U$2:$U1631)+1,IF(AND($T1632&lt;&gt;"",$T1632=$T1631),$U1631,IF(B1632="x",U1631,"")))</f>
        <v/>
      </c>
      <c r="V1632" t="str">
        <f>IF(C1632=1,MAX($V$2:$V1631)+1,IF(AND($T1632&lt;&gt;"",$T1632=$T1631),$U1631,IF(C1632="x",V1631,"")))</f>
        <v/>
      </c>
      <c r="X1632" cm="1">
        <f t="array" ref="X1632">IF($I1632&lt;&gt;"",$I1632,INDEX($I$1:$I1632,ROW()-COUNTIFS($T$1:$T1632,"="&amp;$T1632,$S$1:$S1632,"&lt;"&amp;$S1632)))</f>
        <v>0</v>
      </c>
      <c r="Z1632" s="6">
        <f t="shared" si="246"/>
        <v>1</v>
      </c>
      <c r="AA1632" t="e">
        <f t="shared" si="247"/>
        <v>#VALUE!</v>
      </c>
      <c r="AB1632" t="str">
        <f t="shared" si="248"/>
        <v/>
      </c>
      <c r="AC1632" t="e">
        <f t="shared" si="249"/>
        <v>#VALUE!</v>
      </c>
    </row>
    <row r="1633" spans="1:29" x14ac:dyDescent="0.2">
      <c r="A1633" t="str">
        <f t="shared" si="250"/>
        <v/>
      </c>
      <c r="E1633" s="4"/>
      <c r="F1633" s="46"/>
      <c r="G1633" s="4"/>
      <c r="H1633" s="48"/>
      <c r="J1633" s="26" t="str">
        <f t="shared" si="251"/>
        <v/>
      </c>
      <c r="N1633" t="str">
        <f t="shared" si="252"/>
        <v/>
      </c>
      <c r="Q1633" t="str">
        <f t="shared" si="253"/>
        <v/>
      </c>
      <c r="S1633" t="str">
        <f>IF(A1633=1,MAX($S$2:$S1632)+1,IF(OR($I1633&lt;&gt;"",A1633="x"),$S1632,""))</f>
        <v/>
      </c>
      <c r="T1633" t="str">
        <f>IF(D1633=1,MAX($T$2:$T1632)+1,IF(S1633=S1632,$T1632,IF(D1633="x",T1632,IF(D1632="x","",""))))</f>
        <v/>
      </c>
      <c r="U1633" t="str">
        <f>IF(B1633=1,MAX($U$2:$U1632)+1,IF(AND($T1633&lt;&gt;"",$T1633=$T1632),$U1632,IF(B1633="x",U1632,"")))</f>
        <v/>
      </c>
      <c r="V1633" t="str">
        <f>IF(C1633=1,MAX($V$2:$V1632)+1,IF(AND($T1633&lt;&gt;"",$T1633=$T1632),$U1632,IF(C1633="x",V1632,"")))</f>
        <v/>
      </c>
      <c r="X1633" cm="1">
        <f t="array" ref="X1633">IF($I1633&lt;&gt;"",$I1633,INDEX($I$1:$I1633,ROW()-COUNTIFS($T$1:$T1633,"="&amp;$T1633,$S$1:$S1633,"&lt;"&amp;$S1633)))</f>
        <v>0</v>
      </c>
      <c r="Z1633" s="6">
        <f t="shared" si="246"/>
        <v>1</v>
      </c>
      <c r="AA1633" t="e">
        <f t="shared" si="247"/>
        <v>#VALUE!</v>
      </c>
      <c r="AB1633" t="str">
        <f t="shared" si="248"/>
        <v/>
      </c>
      <c r="AC1633" t="e">
        <f t="shared" si="249"/>
        <v>#VALUE!</v>
      </c>
    </row>
    <row r="1634" spans="1:29" x14ac:dyDescent="0.2">
      <c r="A1634" t="str">
        <f t="shared" si="250"/>
        <v/>
      </c>
      <c r="E1634" s="4"/>
      <c r="F1634" s="46"/>
      <c r="G1634" s="4"/>
      <c r="H1634" s="48"/>
      <c r="J1634" s="26" t="str">
        <f t="shared" si="251"/>
        <v/>
      </c>
      <c r="N1634" t="str">
        <f t="shared" si="252"/>
        <v/>
      </c>
      <c r="Q1634" t="str">
        <f t="shared" si="253"/>
        <v/>
      </c>
      <c r="S1634" t="str">
        <f>IF(A1634=1,MAX($S$2:$S1633)+1,IF(OR($I1634&lt;&gt;"",A1634="x"),$S1633,""))</f>
        <v/>
      </c>
      <c r="T1634" t="str">
        <f>IF(D1634=1,MAX($T$2:$T1633)+1,IF(S1634=S1633,$T1633,IF(D1634="x",T1633,IF(D1633="x","",""))))</f>
        <v/>
      </c>
      <c r="U1634" t="str">
        <f>IF(B1634=1,MAX($U$2:$U1633)+1,IF(AND($T1634&lt;&gt;"",$T1634=$T1633),$U1633,IF(B1634="x",U1633,"")))</f>
        <v/>
      </c>
      <c r="V1634" t="str">
        <f>IF(C1634=1,MAX($V$2:$V1633)+1,IF(AND($T1634&lt;&gt;"",$T1634=$T1633),$U1633,IF(C1634="x",V1633,"")))</f>
        <v/>
      </c>
      <c r="X1634" cm="1">
        <f t="array" ref="X1634">IF($I1634&lt;&gt;"",$I1634,INDEX($I$1:$I1634,ROW()-COUNTIFS($T$1:$T1634,"="&amp;$T1634,$S$1:$S1634,"&lt;"&amp;$S1634)))</f>
        <v>0</v>
      </c>
      <c r="Z1634" s="6">
        <f t="shared" si="246"/>
        <v>1</v>
      </c>
      <c r="AA1634" t="e">
        <f t="shared" si="247"/>
        <v>#VALUE!</v>
      </c>
      <c r="AB1634" t="str">
        <f t="shared" si="248"/>
        <v/>
      </c>
      <c r="AC1634" t="e">
        <f t="shared" si="249"/>
        <v>#VALUE!</v>
      </c>
    </row>
    <row r="1635" spans="1:29" x14ac:dyDescent="0.2">
      <c r="A1635" t="str">
        <f t="shared" si="250"/>
        <v/>
      </c>
      <c r="E1635" s="4"/>
      <c r="F1635" s="46"/>
      <c r="G1635" s="4"/>
      <c r="H1635" s="48"/>
      <c r="J1635" s="26" t="str">
        <f t="shared" si="251"/>
        <v/>
      </c>
      <c r="N1635" t="str">
        <f t="shared" si="252"/>
        <v/>
      </c>
      <c r="Q1635" t="str">
        <f t="shared" si="253"/>
        <v/>
      </c>
      <c r="S1635" t="str">
        <f>IF(A1635=1,MAX($S$2:$S1634)+1,IF(OR($I1635&lt;&gt;"",A1635="x"),$S1634,""))</f>
        <v/>
      </c>
      <c r="T1635" t="str">
        <f>IF(D1635=1,MAX($T$2:$T1634)+1,IF(S1635=S1634,$T1634,IF(D1635="x",T1634,IF(D1634="x","",""))))</f>
        <v/>
      </c>
      <c r="U1635" t="str">
        <f>IF(B1635=1,MAX($U$2:$U1634)+1,IF(AND($T1635&lt;&gt;"",$T1635=$T1634),$U1634,IF(B1635="x",U1634,"")))</f>
        <v/>
      </c>
      <c r="V1635" t="str">
        <f>IF(C1635=1,MAX($V$2:$V1634)+1,IF(AND($T1635&lt;&gt;"",$T1635=$T1634),$U1634,IF(C1635="x",V1634,"")))</f>
        <v/>
      </c>
      <c r="X1635" cm="1">
        <f t="array" ref="X1635">IF($I1635&lt;&gt;"",$I1635,INDEX($I$1:$I1635,ROW()-COUNTIFS($T$1:$T1635,"="&amp;$T1635,$S$1:$S1635,"&lt;"&amp;$S1635)))</f>
        <v>0</v>
      </c>
      <c r="Z1635" s="6">
        <f t="shared" si="246"/>
        <v>1</v>
      </c>
      <c r="AA1635" t="e">
        <f t="shared" si="247"/>
        <v>#VALUE!</v>
      </c>
      <c r="AB1635" t="str">
        <f t="shared" si="248"/>
        <v/>
      </c>
      <c r="AC1635" t="e">
        <f t="shared" si="249"/>
        <v>#VALUE!</v>
      </c>
    </row>
    <row r="1636" spans="1:29" x14ac:dyDescent="0.2">
      <c r="A1636" t="str">
        <f t="shared" si="250"/>
        <v/>
      </c>
      <c r="E1636" s="4"/>
      <c r="F1636" s="46"/>
      <c r="G1636" s="4"/>
      <c r="H1636" s="48"/>
      <c r="J1636" s="26" t="str">
        <f t="shared" si="251"/>
        <v/>
      </c>
      <c r="N1636" t="str">
        <f t="shared" si="252"/>
        <v/>
      </c>
      <c r="Q1636" t="str">
        <f t="shared" si="253"/>
        <v/>
      </c>
      <c r="S1636" t="str">
        <f>IF(A1636=1,MAX($S$2:$S1635)+1,IF(OR($I1636&lt;&gt;"",A1636="x"),$S1635,""))</f>
        <v/>
      </c>
      <c r="T1636" t="str">
        <f>IF(D1636=1,MAX($T$2:$T1635)+1,IF(S1636=S1635,$T1635,IF(D1636="x",T1635,IF(D1635="x","",""))))</f>
        <v/>
      </c>
      <c r="U1636" t="str">
        <f>IF(B1636=1,MAX($U$2:$U1635)+1,IF(AND($T1636&lt;&gt;"",$T1636=$T1635),$U1635,IF(B1636="x",U1635,"")))</f>
        <v/>
      </c>
      <c r="V1636" t="str">
        <f>IF(C1636=1,MAX($V$2:$V1635)+1,IF(AND($T1636&lt;&gt;"",$T1636=$T1635),$U1635,IF(C1636="x",V1635,"")))</f>
        <v/>
      </c>
      <c r="X1636" cm="1">
        <f t="array" ref="X1636">IF($I1636&lt;&gt;"",$I1636,INDEX($I$1:$I1636,ROW()-COUNTIFS($T$1:$T1636,"="&amp;$T1636,$S$1:$S1636,"&lt;"&amp;$S1636)))</f>
        <v>0</v>
      </c>
      <c r="Z1636" s="6">
        <f t="shared" si="246"/>
        <v>1</v>
      </c>
      <c r="AA1636" t="e">
        <f t="shared" si="247"/>
        <v>#VALUE!</v>
      </c>
      <c r="AB1636" t="str">
        <f t="shared" si="248"/>
        <v/>
      </c>
      <c r="AC1636" t="e">
        <f t="shared" si="249"/>
        <v>#VALUE!</v>
      </c>
    </row>
    <row r="1637" spans="1:29" x14ac:dyDescent="0.2">
      <c r="A1637" t="str">
        <f t="shared" si="250"/>
        <v/>
      </c>
      <c r="E1637" s="4"/>
      <c r="F1637" s="46"/>
      <c r="G1637" s="4"/>
      <c r="H1637" s="48"/>
      <c r="J1637" s="26" t="str">
        <f t="shared" si="251"/>
        <v/>
      </c>
      <c r="N1637" t="str">
        <f t="shared" si="252"/>
        <v/>
      </c>
      <c r="Q1637" t="str">
        <f t="shared" si="253"/>
        <v/>
      </c>
      <c r="S1637" t="str">
        <f>IF(A1637=1,MAX($S$2:$S1636)+1,IF(OR($I1637&lt;&gt;"",A1637="x"),$S1636,""))</f>
        <v/>
      </c>
      <c r="T1637" t="str">
        <f>IF(D1637=1,MAX($T$2:$T1636)+1,IF(S1637=S1636,$T1636,IF(D1637="x",T1636,IF(D1636="x","",""))))</f>
        <v/>
      </c>
      <c r="U1637" t="str">
        <f>IF(B1637=1,MAX($U$2:$U1636)+1,IF(AND($T1637&lt;&gt;"",$T1637=$T1636),$U1636,IF(B1637="x",U1636,"")))</f>
        <v/>
      </c>
      <c r="V1637" t="str">
        <f>IF(C1637=1,MAX($V$2:$V1636)+1,IF(AND($T1637&lt;&gt;"",$T1637=$T1636),$U1636,IF(C1637="x",V1636,"")))</f>
        <v/>
      </c>
      <c r="X1637" cm="1">
        <f t="array" ref="X1637">IF($I1637&lt;&gt;"",$I1637,INDEX($I$1:$I1637,ROW()-COUNTIFS($T$1:$T1637,"="&amp;$T1637,$S$1:$S1637,"&lt;"&amp;$S1637)))</f>
        <v>0</v>
      </c>
      <c r="Z1637" s="6">
        <f t="shared" si="246"/>
        <v>1</v>
      </c>
      <c r="AA1637" t="e">
        <f t="shared" si="247"/>
        <v>#VALUE!</v>
      </c>
      <c r="AB1637" t="str">
        <f t="shared" si="248"/>
        <v/>
      </c>
      <c r="AC1637" t="e">
        <f t="shared" si="249"/>
        <v>#VALUE!</v>
      </c>
    </row>
    <row r="1638" spans="1:29" x14ac:dyDescent="0.2">
      <c r="A1638" t="str">
        <f t="shared" si="250"/>
        <v/>
      </c>
      <c r="E1638" s="4"/>
      <c r="F1638" s="46"/>
      <c r="G1638" s="4"/>
      <c r="H1638" s="48"/>
      <c r="J1638" s="26" t="str">
        <f t="shared" si="251"/>
        <v/>
      </c>
      <c r="N1638" t="str">
        <f t="shared" si="252"/>
        <v/>
      </c>
      <c r="Q1638" t="str">
        <f t="shared" si="253"/>
        <v/>
      </c>
      <c r="S1638" t="str">
        <f>IF(A1638=1,MAX($S$2:$S1637)+1,IF(OR($I1638&lt;&gt;"",A1638="x"),$S1637,""))</f>
        <v/>
      </c>
      <c r="T1638" t="str">
        <f>IF(D1638=1,MAX($T$2:$T1637)+1,IF(S1638=S1637,$T1637,IF(D1638="x",T1637,IF(D1637="x","",""))))</f>
        <v/>
      </c>
      <c r="U1638" t="str">
        <f>IF(B1638=1,MAX($U$2:$U1637)+1,IF(AND($T1638&lt;&gt;"",$T1638=$T1637),$U1637,IF(B1638="x",U1637,"")))</f>
        <v/>
      </c>
      <c r="V1638" t="str">
        <f>IF(C1638=1,MAX($V$2:$V1637)+1,IF(AND($T1638&lt;&gt;"",$T1638=$T1637),$U1637,IF(C1638="x",V1637,"")))</f>
        <v/>
      </c>
      <c r="X1638" cm="1">
        <f t="array" ref="X1638">IF($I1638&lt;&gt;"",$I1638,INDEX($I$1:$I1638,ROW()-COUNTIFS($T$1:$T1638,"="&amp;$T1638,$S$1:$S1638,"&lt;"&amp;$S1638)))</f>
        <v>0</v>
      </c>
      <c r="Z1638" s="6">
        <f t="shared" si="246"/>
        <v>1</v>
      </c>
      <c r="AA1638" t="e">
        <f t="shared" si="247"/>
        <v>#VALUE!</v>
      </c>
      <c r="AB1638" t="str">
        <f t="shared" si="248"/>
        <v/>
      </c>
      <c r="AC1638" t="e">
        <f t="shared" si="249"/>
        <v>#VALUE!</v>
      </c>
    </row>
    <row r="1639" spans="1:29" x14ac:dyDescent="0.2">
      <c r="A1639" t="str">
        <f t="shared" si="250"/>
        <v/>
      </c>
      <c r="E1639" s="4"/>
      <c r="F1639" s="46"/>
      <c r="G1639" s="4"/>
      <c r="H1639" s="48"/>
      <c r="J1639" s="26" t="str">
        <f t="shared" si="251"/>
        <v/>
      </c>
      <c r="N1639" t="str">
        <f t="shared" si="252"/>
        <v/>
      </c>
      <c r="Q1639" t="str">
        <f t="shared" si="253"/>
        <v/>
      </c>
      <c r="S1639" t="str">
        <f>IF(A1639=1,MAX($S$2:$S1638)+1,IF(OR($I1639&lt;&gt;"",A1639="x"),$S1638,""))</f>
        <v/>
      </c>
      <c r="T1639" t="str">
        <f>IF(D1639=1,MAX($T$2:$T1638)+1,IF(S1639=S1638,$T1638,IF(D1639="x",T1638,IF(D1638="x","",""))))</f>
        <v/>
      </c>
      <c r="U1639" t="str">
        <f>IF(B1639=1,MAX($U$2:$U1638)+1,IF(AND($T1639&lt;&gt;"",$T1639=$T1638),$U1638,IF(B1639="x",U1638,"")))</f>
        <v/>
      </c>
      <c r="V1639" t="str">
        <f>IF(C1639=1,MAX($V$2:$V1638)+1,IF(AND($T1639&lt;&gt;"",$T1639=$T1638),$U1638,IF(C1639="x",V1638,"")))</f>
        <v/>
      </c>
      <c r="X1639" cm="1">
        <f t="array" ref="X1639">IF($I1639&lt;&gt;"",$I1639,INDEX($I$1:$I1639,ROW()-COUNTIFS($T$1:$T1639,"="&amp;$T1639,$S$1:$S1639,"&lt;"&amp;$S1639)))</f>
        <v>0</v>
      </c>
      <c r="Z1639" s="6">
        <f t="shared" si="246"/>
        <v>1</v>
      </c>
      <c r="AA1639" t="e">
        <f t="shared" si="247"/>
        <v>#VALUE!</v>
      </c>
      <c r="AB1639" t="str">
        <f t="shared" si="248"/>
        <v/>
      </c>
      <c r="AC1639" t="e">
        <f t="shared" si="249"/>
        <v>#VALUE!</v>
      </c>
    </row>
    <row r="1640" spans="1:29" x14ac:dyDescent="0.2">
      <c r="A1640" t="str">
        <f t="shared" si="250"/>
        <v/>
      </c>
      <c r="E1640" s="4"/>
      <c r="F1640" s="46"/>
      <c r="G1640" s="4"/>
      <c r="H1640" s="48"/>
      <c r="J1640" s="26" t="str">
        <f t="shared" si="251"/>
        <v/>
      </c>
      <c r="N1640" t="str">
        <f t="shared" si="252"/>
        <v/>
      </c>
      <c r="Q1640" t="str">
        <f t="shared" si="253"/>
        <v/>
      </c>
      <c r="S1640" t="str">
        <f>IF(A1640=1,MAX($S$2:$S1639)+1,IF(OR($I1640&lt;&gt;"",A1640="x"),$S1639,""))</f>
        <v/>
      </c>
      <c r="T1640" t="str">
        <f>IF(D1640=1,MAX($T$2:$T1639)+1,IF(S1640=S1639,$T1639,IF(D1640="x",T1639,IF(D1639="x","",""))))</f>
        <v/>
      </c>
      <c r="U1640" t="str">
        <f>IF(B1640=1,MAX($U$2:$U1639)+1,IF(AND($T1640&lt;&gt;"",$T1640=$T1639),$U1639,IF(B1640="x",U1639,"")))</f>
        <v/>
      </c>
      <c r="V1640" t="str">
        <f>IF(C1640=1,MAX($V$2:$V1639)+1,IF(AND($T1640&lt;&gt;"",$T1640=$T1639),$U1639,IF(C1640="x",V1639,"")))</f>
        <v/>
      </c>
      <c r="X1640" cm="1">
        <f t="array" ref="X1640">IF($I1640&lt;&gt;"",$I1640,INDEX($I$1:$I1640,ROW()-COUNTIFS($T$1:$T1640,"="&amp;$T1640,$S$1:$S1640,"&lt;"&amp;$S1640)))</f>
        <v>0</v>
      </c>
      <c r="Z1640" s="6">
        <f t="shared" si="246"/>
        <v>1</v>
      </c>
      <c r="AA1640" t="e">
        <f t="shared" si="247"/>
        <v>#VALUE!</v>
      </c>
      <c r="AB1640" t="str">
        <f t="shared" si="248"/>
        <v/>
      </c>
      <c r="AC1640" t="e">
        <f t="shared" si="249"/>
        <v>#VALUE!</v>
      </c>
    </row>
    <row r="1641" spans="1:29" x14ac:dyDescent="0.2">
      <c r="A1641" t="str">
        <f t="shared" si="250"/>
        <v/>
      </c>
      <c r="E1641" s="4"/>
      <c r="F1641" s="46"/>
      <c r="G1641" s="4"/>
      <c r="H1641" s="48"/>
      <c r="J1641" s="26" t="str">
        <f t="shared" si="251"/>
        <v/>
      </c>
      <c r="N1641" t="str">
        <f t="shared" si="252"/>
        <v/>
      </c>
      <c r="Q1641" t="str">
        <f t="shared" si="253"/>
        <v/>
      </c>
      <c r="S1641" t="str">
        <f>IF(A1641=1,MAX($S$2:$S1640)+1,IF(OR($I1641&lt;&gt;"",A1641="x"),$S1640,""))</f>
        <v/>
      </c>
      <c r="T1641" t="str">
        <f>IF(D1641=1,MAX($T$2:$T1640)+1,IF(S1641=S1640,$T1640,IF(D1641="x",T1640,IF(D1640="x","",""))))</f>
        <v/>
      </c>
      <c r="U1641" t="str">
        <f>IF(B1641=1,MAX($U$2:$U1640)+1,IF(AND($T1641&lt;&gt;"",$T1641=$T1640),$U1640,IF(B1641="x",U1640,"")))</f>
        <v/>
      </c>
      <c r="V1641" t="str">
        <f>IF(C1641=1,MAX($V$2:$V1640)+1,IF(AND($T1641&lt;&gt;"",$T1641=$T1640),$U1640,IF(C1641="x",V1640,"")))</f>
        <v/>
      </c>
      <c r="X1641" cm="1">
        <f t="array" ref="X1641">IF($I1641&lt;&gt;"",$I1641,INDEX($I$1:$I1641,ROW()-COUNTIFS($T$1:$T1641,"="&amp;$T1641,$S$1:$S1641,"&lt;"&amp;$S1641)))</f>
        <v>0</v>
      </c>
      <c r="Z1641" s="6">
        <f t="shared" si="246"/>
        <v>1</v>
      </c>
      <c r="AA1641" t="e">
        <f t="shared" si="247"/>
        <v>#VALUE!</v>
      </c>
      <c r="AB1641" t="str">
        <f t="shared" si="248"/>
        <v/>
      </c>
      <c r="AC1641" t="e">
        <f t="shared" si="249"/>
        <v>#VALUE!</v>
      </c>
    </row>
    <row r="1642" spans="1:29" x14ac:dyDescent="0.2">
      <c r="A1642" t="str">
        <f t="shared" si="250"/>
        <v/>
      </c>
      <c r="E1642" s="4"/>
      <c r="F1642" s="46"/>
      <c r="G1642" s="4"/>
      <c r="H1642" s="48"/>
      <c r="J1642" s="26" t="str">
        <f t="shared" si="251"/>
        <v/>
      </c>
      <c r="N1642" t="str">
        <f t="shared" si="252"/>
        <v/>
      </c>
      <c r="Q1642" t="str">
        <f t="shared" si="253"/>
        <v/>
      </c>
      <c r="S1642" t="str">
        <f>IF(A1642=1,MAX($S$2:$S1641)+1,IF(OR($I1642&lt;&gt;"",A1642="x"),$S1641,""))</f>
        <v/>
      </c>
      <c r="T1642" t="str">
        <f>IF(D1642=1,MAX($T$2:$T1641)+1,IF(S1642=S1641,$T1641,IF(D1642="x",T1641,IF(D1641="x","",""))))</f>
        <v/>
      </c>
      <c r="U1642" t="str">
        <f>IF(B1642=1,MAX($U$2:$U1641)+1,IF(AND($T1642&lt;&gt;"",$T1642=$T1641),$U1641,IF(B1642="x",U1641,"")))</f>
        <v/>
      </c>
      <c r="V1642" t="str">
        <f>IF(C1642=1,MAX($V$2:$V1641)+1,IF(AND($T1642&lt;&gt;"",$T1642=$T1641),$U1641,IF(C1642="x",V1641,"")))</f>
        <v/>
      </c>
      <c r="X1642" cm="1">
        <f t="array" ref="X1642">IF($I1642&lt;&gt;"",$I1642,INDEX($I$1:$I1642,ROW()-COUNTIFS($T$1:$T1642,"="&amp;$T1642,$S$1:$S1642,"&lt;"&amp;$S1642)))</f>
        <v>0</v>
      </c>
      <c r="Z1642" s="6">
        <f t="shared" si="246"/>
        <v>1</v>
      </c>
      <c r="AA1642" t="e">
        <f t="shared" si="247"/>
        <v>#VALUE!</v>
      </c>
      <c r="AB1642" t="str">
        <f t="shared" si="248"/>
        <v/>
      </c>
      <c r="AC1642" t="e">
        <f t="shared" si="249"/>
        <v>#VALUE!</v>
      </c>
    </row>
    <row r="1643" spans="1:29" x14ac:dyDescent="0.2">
      <c r="A1643" t="str">
        <f t="shared" si="250"/>
        <v/>
      </c>
      <c r="E1643" s="4"/>
      <c r="F1643" s="46"/>
      <c r="G1643" s="4"/>
      <c r="H1643" s="48"/>
      <c r="J1643" s="26" t="str">
        <f t="shared" si="251"/>
        <v/>
      </c>
      <c r="N1643" t="str">
        <f t="shared" si="252"/>
        <v/>
      </c>
      <c r="Q1643" t="str">
        <f t="shared" si="253"/>
        <v/>
      </c>
      <c r="S1643" t="str">
        <f>IF(A1643=1,MAX($S$2:$S1642)+1,IF(OR($I1643&lt;&gt;"",A1643="x"),$S1642,""))</f>
        <v/>
      </c>
      <c r="T1643" t="str">
        <f>IF(D1643=1,MAX($T$2:$T1642)+1,IF(S1643=S1642,$T1642,IF(D1643="x",T1642,IF(D1642="x","",""))))</f>
        <v/>
      </c>
      <c r="U1643" t="str">
        <f>IF(B1643=1,MAX($U$2:$U1642)+1,IF(AND($T1643&lt;&gt;"",$T1643=$T1642),$U1642,IF(B1643="x",U1642,"")))</f>
        <v/>
      </c>
      <c r="V1643" t="str">
        <f>IF(C1643=1,MAX($V$2:$V1642)+1,IF(AND($T1643&lt;&gt;"",$T1643=$T1642),$U1642,IF(C1643="x",V1642,"")))</f>
        <v/>
      </c>
      <c r="X1643" cm="1">
        <f t="array" ref="X1643">IF($I1643&lt;&gt;"",$I1643,INDEX($I$1:$I1643,ROW()-COUNTIFS($T$1:$T1643,"="&amp;$T1643,$S$1:$S1643,"&lt;"&amp;$S1643)))</f>
        <v>0</v>
      </c>
      <c r="Z1643" s="6">
        <f t="shared" si="246"/>
        <v>1</v>
      </c>
      <c r="AA1643" t="e">
        <f t="shared" si="247"/>
        <v>#VALUE!</v>
      </c>
      <c r="AB1643" t="str">
        <f t="shared" si="248"/>
        <v/>
      </c>
      <c r="AC1643" t="e">
        <f t="shared" si="249"/>
        <v>#VALUE!</v>
      </c>
    </row>
    <row r="1644" spans="1:29" x14ac:dyDescent="0.2">
      <c r="A1644" t="str">
        <f t="shared" si="250"/>
        <v/>
      </c>
      <c r="E1644" s="4"/>
      <c r="F1644" s="46"/>
      <c r="G1644" s="4"/>
      <c r="H1644" s="48"/>
      <c r="J1644" s="26" t="str">
        <f t="shared" si="251"/>
        <v/>
      </c>
      <c r="N1644" t="str">
        <f t="shared" si="252"/>
        <v/>
      </c>
      <c r="Q1644" t="str">
        <f t="shared" si="253"/>
        <v/>
      </c>
      <c r="S1644" t="str">
        <f>IF(A1644=1,MAX($S$2:$S1643)+1,IF(OR($I1644&lt;&gt;"",A1644="x"),$S1643,""))</f>
        <v/>
      </c>
      <c r="T1644" t="str">
        <f>IF(D1644=1,MAX($T$2:$T1643)+1,IF(S1644=S1643,$T1643,IF(D1644="x",T1643,IF(D1643="x","",""))))</f>
        <v/>
      </c>
      <c r="U1644" t="str">
        <f>IF(B1644=1,MAX($U$2:$U1643)+1,IF(AND($T1644&lt;&gt;"",$T1644=$T1643),$U1643,IF(B1644="x",U1643,"")))</f>
        <v/>
      </c>
      <c r="V1644" t="str">
        <f>IF(C1644=1,MAX($V$2:$V1643)+1,IF(AND($T1644&lt;&gt;"",$T1644=$T1643),$U1643,IF(C1644="x",V1643,"")))</f>
        <v/>
      </c>
      <c r="X1644" cm="1">
        <f t="array" ref="X1644">IF($I1644&lt;&gt;"",$I1644,INDEX($I$1:$I1644,ROW()-COUNTIFS($T$1:$T1644,"="&amp;$T1644,$S$1:$S1644,"&lt;"&amp;$S1644)))</f>
        <v>0</v>
      </c>
      <c r="Z1644" s="6">
        <f t="shared" si="246"/>
        <v>1</v>
      </c>
      <c r="AA1644" t="e">
        <f t="shared" si="247"/>
        <v>#VALUE!</v>
      </c>
      <c r="AB1644" t="str">
        <f t="shared" si="248"/>
        <v/>
      </c>
      <c r="AC1644" t="e">
        <f t="shared" si="249"/>
        <v>#VALUE!</v>
      </c>
    </row>
    <row r="1645" spans="1:29" x14ac:dyDescent="0.2">
      <c r="A1645" t="str">
        <f t="shared" si="250"/>
        <v/>
      </c>
      <c r="E1645" s="4"/>
      <c r="F1645" s="46"/>
      <c r="G1645" s="4"/>
      <c r="H1645" s="48"/>
      <c r="J1645" s="26" t="str">
        <f t="shared" si="251"/>
        <v/>
      </c>
      <c r="N1645" t="str">
        <f t="shared" si="252"/>
        <v/>
      </c>
      <c r="Q1645" t="str">
        <f t="shared" si="253"/>
        <v/>
      </c>
      <c r="S1645" t="str">
        <f>IF(A1645=1,MAX($S$2:$S1644)+1,IF(OR($I1645&lt;&gt;"",A1645="x"),$S1644,""))</f>
        <v/>
      </c>
      <c r="T1645" t="str">
        <f>IF(D1645=1,MAX($T$2:$T1644)+1,IF(S1645=S1644,$T1644,IF(D1645="x",T1644,IF(D1644="x","",""))))</f>
        <v/>
      </c>
      <c r="U1645" t="str">
        <f>IF(B1645=1,MAX($U$2:$U1644)+1,IF(AND($T1645&lt;&gt;"",$T1645=$T1644),$U1644,IF(B1645="x",U1644,"")))</f>
        <v/>
      </c>
      <c r="V1645" t="str">
        <f>IF(C1645=1,MAX($V$2:$V1644)+1,IF(AND($T1645&lt;&gt;"",$T1645=$T1644),$U1644,IF(C1645="x",V1644,"")))</f>
        <v/>
      </c>
      <c r="X1645" cm="1">
        <f t="array" ref="X1645">IF($I1645&lt;&gt;"",$I1645,INDEX($I$1:$I1645,ROW()-COUNTIFS($T$1:$T1645,"="&amp;$T1645,$S$1:$S1645,"&lt;"&amp;$S1645)))</f>
        <v>0</v>
      </c>
      <c r="Z1645" s="6">
        <f t="shared" si="246"/>
        <v>1</v>
      </c>
      <c r="AA1645" t="e">
        <f t="shared" si="247"/>
        <v>#VALUE!</v>
      </c>
      <c r="AB1645" t="str">
        <f t="shared" si="248"/>
        <v/>
      </c>
      <c r="AC1645" t="e">
        <f t="shared" si="249"/>
        <v>#VALUE!</v>
      </c>
    </row>
    <row r="1646" spans="1:29" x14ac:dyDescent="0.2">
      <c r="A1646" t="str">
        <f t="shared" si="250"/>
        <v/>
      </c>
      <c r="E1646" s="4"/>
      <c r="F1646" s="46"/>
      <c r="G1646" s="4"/>
      <c r="H1646" s="48"/>
      <c r="J1646" s="26" t="str">
        <f t="shared" si="251"/>
        <v/>
      </c>
      <c r="N1646" t="str">
        <f t="shared" si="252"/>
        <v/>
      </c>
      <c r="Q1646" t="str">
        <f t="shared" si="253"/>
        <v/>
      </c>
      <c r="S1646" t="str">
        <f>IF(A1646=1,MAX($S$2:$S1645)+1,IF(OR($I1646&lt;&gt;"",A1646="x"),$S1645,""))</f>
        <v/>
      </c>
      <c r="T1646" t="str">
        <f>IF(D1646=1,MAX($T$2:$T1645)+1,IF(S1646=S1645,$T1645,IF(D1646="x",T1645,IF(D1645="x","",""))))</f>
        <v/>
      </c>
      <c r="U1646" t="str">
        <f>IF(B1646=1,MAX($U$2:$U1645)+1,IF(AND($T1646&lt;&gt;"",$T1646=$T1645),$U1645,IF(B1646="x",U1645,"")))</f>
        <v/>
      </c>
      <c r="V1646" t="str">
        <f>IF(C1646=1,MAX($V$2:$V1645)+1,IF(AND($T1646&lt;&gt;"",$T1646=$T1645),$U1645,IF(C1646="x",V1645,"")))</f>
        <v/>
      </c>
      <c r="X1646" cm="1">
        <f t="array" ref="X1646">IF($I1646&lt;&gt;"",$I1646,INDEX($I$1:$I1646,ROW()-COUNTIFS($T$1:$T1646,"="&amp;$T1646,$S$1:$S1646,"&lt;"&amp;$S1646)))</f>
        <v>0</v>
      </c>
      <c r="Z1646" s="6">
        <f t="shared" si="246"/>
        <v>1</v>
      </c>
      <c r="AA1646" t="e">
        <f t="shared" si="247"/>
        <v>#VALUE!</v>
      </c>
      <c r="AB1646" t="str">
        <f t="shared" si="248"/>
        <v/>
      </c>
      <c r="AC1646" t="e">
        <f t="shared" si="249"/>
        <v>#VALUE!</v>
      </c>
    </row>
    <row r="1647" spans="1:29" x14ac:dyDescent="0.2">
      <c r="A1647" t="str">
        <f t="shared" si="250"/>
        <v/>
      </c>
      <c r="E1647" s="4"/>
      <c r="F1647" s="46"/>
      <c r="G1647" s="4"/>
      <c r="H1647" s="48"/>
      <c r="J1647" s="26" t="str">
        <f t="shared" si="251"/>
        <v/>
      </c>
      <c r="N1647" t="str">
        <f t="shared" si="252"/>
        <v/>
      </c>
      <c r="Q1647" t="str">
        <f t="shared" si="253"/>
        <v/>
      </c>
      <c r="S1647" t="str">
        <f>IF(A1647=1,MAX($S$2:$S1646)+1,IF(OR($I1647&lt;&gt;"",A1647="x"),$S1646,""))</f>
        <v/>
      </c>
      <c r="T1647" t="str">
        <f>IF(D1647=1,MAX($T$2:$T1646)+1,IF(S1647=S1646,$T1646,IF(D1647="x",T1646,IF(D1646="x","",""))))</f>
        <v/>
      </c>
      <c r="U1647" t="str">
        <f>IF(B1647=1,MAX($U$2:$U1646)+1,IF(AND($T1647&lt;&gt;"",$T1647=$T1646),$U1646,IF(B1647="x",U1646,"")))</f>
        <v/>
      </c>
      <c r="V1647" t="str">
        <f>IF(C1647=1,MAX($V$2:$V1646)+1,IF(AND($T1647&lt;&gt;"",$T1647=$T1646),$U1646,IF(C1647="x",V1646,"")))</f>
        <v/>
      </c>
      <c r="X1647" cm="1">
        <f t="array" ref="X1647">IF($I1647&lt;&gt;"",$I1647,INDEX($I$1:$I1647,ROW()-COUNTIFS($T$1:$T1647,"="&amp;$T1647,$S$1:$S1647,"&lt;"&amp;$S1647)))</f>
        <v>0</v>
      </c>
      <c r="Z1647" s="6">
        <f t="shared" si="246"/>
        <v>1</v>
      </c>
      <c r="AA1647" t="e">
        <f t="shared" si="247"/>
        <v>#VALUE!</v>
      </c>
      <c r="AB1647" t="str">
        <f t="shared" si="248"/>
        <v/>
      </c>
      <c r="AC1647" t="e">
        <f t="shared" si="249"/>
        <v>#VALUE!</v>
      </c>
    </row>
    <row r="1648" spans="1:29" x14ac:dyDescent="0.2">
      <c r="A1648" t="str">
        <f t="shared" si="250"/>
        <v/>
      </c>
      <c r="E1648" s="4"/>
      <c r="F1648" s="46"/>
      <c r="G1648" s="4"/>
      <c r="H1648" s="48"/>
      <c r="J1648" s="26" t="str">
        <f t="shared" si="251"/>
        <v/>
      </c>
      <c r="N1648" t="str">
        <f t="shared" si="252"/>
        <v/>
      </c>
      <c r="Q1648" t="str">
        <f t="shared" si="253"/>
        <v/>
      </c>
      <c r="S1648" t="str">
        <f>IF(A1648=1,MAX($S$2:$S1647)+1,IF(OR($I1648&lt;&gt;"",A1648="x"),$S1647,""))</f>
        <v/>
      </c>
      <c r="T1648" t="str">
        <f>IF(D1648=1,MAX($T$2:$T1647)+1,IF(S1648=S1647,$T1647,IF(D1648="x",T1647,IF(D1647="x","",""))))</f>
        <v/>
      </c>
      <c r="U1648" t="str">
        <f>IF(B1648=1,MAX($U$2:$U1647)+1,IF(AND($T1648&lt;&gt;"",$T1648=$T1647),$U1647,IF(B1648="x",U1647,"")))</f>
        <v/>
      </c>
      <c r="V1648" t="str">
        <f>IF(C1648=1,MAX($V$2:$V1647)+1,IF(AND($T1648&lt;&gt;"",$T1648=$T1647),$U1647,IF(C1648="x",V1647,"")))</f>
        <v/>
      </c>
      <c r="X1648" cm="1">
        <f t="array" ref="X1648">IF($I1648&lt;&gt;"",$I1648,INDEX($I$1:$I1648,ROW()-COUNTIFS($T$1:$T1648,"="&amp;$T1648,$S$1:$S1648,"&lt;"&amp;$S1648)))</f>
        <v>0</v>
      </c>
      <c r="Z1648" s="6">
        <f t="shared" si="246"/>
        <v>1</v>
      </c>
      <c r="AA1648" t="e">
        <f t="shared" si="247"/>
        <v>#VALUE!</v>
      </c>
      <c r="AB1648" t="str">
        <f t="shared" si="248"/>
        <v/>
      </c>
      <c r="AC1648" t="e">
        <f t="shared" si="249"/>
        <v>#VALUE!</v>
      </c>
    </row>
    <row r="1649" spans="1:29" x14ac:dyDescent="0.2">
      <c r="A1649" t="str">
        <f t="shared" si="250"/>
        <v/>
      </c>
      <c r="E1649" s="4"/>
      <c r="F1649" s="46"/>
      <c r="G1649" s="4"/>
      <c r="H1649" s="48"/>
      <c r="J1649" s="26" t="str">
        <f t="shared" si="251"/>
        <v/>
      </c>
      <c r="N1649" t="str">
        <f t="shared" si="252"/>
        <v/>
      </c>
      <c r="Q1649" t="str">
        <f t="shared" si="253"/>
        <v/>
      </c>
      <c r="S1649" t="str">
        <f>IF(A1649=1,MAX($S$2:$S1648)+1,IF(OR($I1649&lt;&gt;"",A1649="x"),$S1648,""))</f>
        <v/>
      </c>
      <c r="T1649" t="str">
        <f>IF(D1649=1,MAX($T$2:$T1648)+1,IF(S1649=S1648,$T1648,IF(D1649="x",T1648,IF(D1648="x","",""))))</f>
        <v/>
      </c>
      <c r="U1649" t="str">
        <f>IF(B1649=1,MAX($U$2:$U1648)+1,IF(AND($T1649&lt;&gt;"",$T1649=$T1648),$U1648,IF(B1649="x",U1648,"")))</f>
        <v/>
      </c>
      <c r="V1649" t="str">
        <f>IF(C1649=1,MAX($V$2:$V1648)+1,IF(AND($T1649&lt;&gt;"",$T1649=$T1648),$U1648,IF(C1649="x",V1648,"")))</f>
        <v/>
      </c>
      <c r="X1649" cm="1">
        <f t="array" ref="X1649">IF($I1649&lt;&gt;"",$I1649,INDEX($I$1:$I1649,ROW()-COUNTIFS($T$1:$T1649,"="&amp;$T1649,$S$1:$S1649,"&lt;"&amp;$S1649)))</f>
        <v>0</v>
      </c>
      <c r="Z1649" s="6">
        <f t="shared" si="246"/>
        <v>1</v>
      </c>
      <c r="AA1649" t="e">
        <f t="shared" si="247"/>
        <v>#VALUE!</v>
      </c>
      <c r="AB1649" t="str">
        <f t="shared" si="248"/>
        <v/>
      </c>
      <c r="AC1649" t="e">
        <f t="shared" si="249"/>
        <v>#VALUE!</v>
      </c>
    </row>
    <row r="1650" spans="1:29" x14ac:dyDescent="0.2">
      <c r="A1650" t="str">
        <f t="shared" si="250"/>
        <v/>
      </c>
      <c r="E1650" s="4"/>
      <c r="F1650" s="46"/>
      <c r="G1650" s="4"/>
      <c r="H1650" s="48"/>
      <c r="J1650" s="26" t="str">
        <f t="shared" si="251"/>
        <v/>
      </c>
      <c r="N1650" t="str">
        <f t="shared" si="252"/>
        <v/>
      </c>
      <c r="Q1650" t="str">
        <f t="shared" si="253"/>
        <v/>
      </c>
      <c r="S1650" t="str">
        <f>IF(A1650=1,MAX($S$2:$S1649)+1,IF(OR($I1650&lt;&gt;"",A1650="x"),$S1649,""))</f>
        <v/>
      </c>
      <c r="T1650" t="str">
        <f>IF(D1650=1,MAX($T$2:$T1649)+1,IF(S1650=S1649,$T1649,IF(D1650="x",T1649,IF(D1649="x","",""))))</f>
        <v/>
      </c>
      <c r="U1650" t="str">
        <f>IF(B1650=1,MAX($U$2:$U1649)+1,IF(AND($T1650&lt;&gt;"",$T1650=$T1649),$U1649,IF(B1650="x",U1649,"")))</f>
        <v/>
      </c>
      <c r="V1650" t="str">
        <f>IF(C1650=1,MAX($V$2:$V1649)+1,IF(AND($T1650&lt;&gt;"",$T1650=$T1649),$U1649,IF(C1650="x",V1649,"")))</f>
        <v/>
      </c>
      <c r="X1650" cm="1">
        <f t="array" ref="X1650">IF($I1650&lt;&gt;"",$I1650,INDEX($I$1:$I1650,ROW()-COUNTIFS($T$1:$T1650,"="&amp;$T1650,$S$1:$S1650,"&lt;"&amp;$S1650)))</f>
        <v>0</v>
      </c>
      <c r="Z1650" s="6">
        <f t="shared" si="246"/>
        <v>1</v>
      </c>
      <c r="AA1650" t="e">
        <f t="shared" si="247"/>
        <v>#VALUE!</v>
      </c>
      <c r="AB1650" t="str">
        <f t="shared" si="248"/>
        <v/>
      </c>
      <c r="AC1650" t="e">
        <f t="shared" si="249"/>
        <v>#VALUE!</v>
      </c>
    </row>
    <row r="1651" spans="1:29" x14ac:dyDescent="0.2">
      <c r="A1651" t="str">
        <f t="shared" si="250"/>
        <v/>
      </c>
      <c r="E1651" s="4"/>
      <c r="F1651" s="46"/>
      <c r="G1651" s="4"/>
      <c r="H1651" s="48"/>
      <c r="J1651" s="26" t="str">
        <f t="shared" si="251"/>
        <v/>
      </c>
      <c r="N1651" t="str">
        <f t="shared" si="252"/>
        <v/>
      </c>
      <c r="Q1651" t="str">
        <f t="shared" si="253"/>
        <v/>
      </c>
      <c r="S1651" t="str">
        <f>IF(A1651=1,MAX($S$2:$S1650)+1,IF(OR($I1651&lt;&gt;"",A1651="x"),$S1650,""))</f>
        <v/>
      </c>
      <c r="T1651" t="str">
        <f>IF(D1651=1,MAX($T$2:$T1650)+1,IF(S1651=S1650,$T1650,IF(D1651="x",T1650,IF(D1650="x","",""))))</f>
        <v/>
      </c>
      <c r="U1651" t="str">
        <f>IF(B1651=1,MAX($U$2:$U1650)+1,IF(AND($T1651&lt;&gt;"",$T1651=$T1650),$U1650,IF(B1651="x",U1650,"")))</f>
        <v/>
      </c>
      <c r="V1651" t="str">
        <f>IF(C1651=1,MAX($V$2:$V1650)+1,IF(AND($T1651&lt;&gt;"",$T1651=$T1650),$U1650,IF(C1651="x",V1650,"")))</f>
        <v/>
      </c>
      <c r="X1651" cm="1">
        <f t="array" ref="X1651">IF($I1651&lt;&gt;"",$I1651,INDEX($I$1:$I1651,ROW()-COUNTIFS($T$1:$T1651,"="&amp;$T1651,$S$1:$S1651,"&lt;"&amp;$S1651)))</f>
        <v>0</v>
      </c>
      <c r="Z1651" s="6">
        <f t="shared" si="246"/>
        <v>1</v>
      </c>
      <c r="AA1651" t="e">
        <f t="shared" si="247"/>
        <v>#VALUE!</v>
      </c>
      <c r="AB1651" t="str">
        <f t="shared" si="248"/>
        <v/>
      </c>
      <c r="AC1651" t="e">
        <f t="shared" si="249"/>
        <v>#VALUE!</v>
      </c>
    </row>
    <row r="1652" spans="1:29" x14ac:dyDescent="0.2">
      <c r="A1652" t="str">
        <f t="shared" si="250"/>
        <v/>
      </c>
      <c r="E1652" s="4"/>
      <c r="F1652" s="46"/>
      <c r="G1652" s="4"/>
      <c r="H1652" s="48"/>
      <c r="J1652" s="26" t="str">
        <f t="shared" si="251"/>
        <v/>
      </c>
      <c r="N1652" t="str">
        <f t="shared" si="252"/>
        <v/>
      </c>
      <c r="Q1652" t="str">
        <f t="shared" si="253"/>
        <v/>
      </c>
      <c r="S1652" t="str">
        <f>IF(A1652=1,MAX($S$2:$S1651)+1,IF(OR($I1652&lt;&gt;"",A1652="x"),$S1651,""))</f>
        <v/>
      </c>
      <c r="T1652" t="str">
        <f>IF(D1652=1,MAX($T$2:$T1651)+1,IF(S1652=S1651,$T1651,IF(D1652="x",T1651,IF(D1651="x","",""))))</f>
        <v/>
      </c>
      <c r="U1652" t="str">
        <f>IF(B1652=1,MAX($U$2:$U1651)+1,IF(AND($T1652&lt;&gt;"",$T1652=$T1651),$U1651,IF(B1652="x",U1651,"")))</f>
        <v/>
      </c>
      <c r="V1652" t="str">
        <f>IF(C1652=1,MAX($V$2:$V1651)+1,IF(AND($T1652&lt;&gt;"",$T1652=$T1651),$U1651,IF(C1652="x",V1651,"")))</f>
        <v/>
      </c>
      <c r="X1652" cm="1">
        <f t="array" ref="X1652">IF($I1652&lt;&gt;"",$I1652,INDEX($I$1:$I1652,ROW()-COUNTIFS($T$1:$T1652,"="&amp;$T1652,$S$1:$S1652,"&lt;"&amp;$S1652)))</f>
        <v>0</v>
      </c>
      <c r="Z1652" s="6">
        <f t="shared" si="246"/>
        <v>1</v>
      </c>
      <c r="AA1652" t="e">
        <f t="shared" si="247"/>
        <v>#VALUE!</v>
      </c>
      <c r="AB1652" t="str">
        <f t="shared" si="248"/>
        <v/>
      </c>
      <c r="AC1652" t="e">
        <f t="shared" si="249"/>
        <v>#VALUE!</v>
      </c>
    </row>
    <row r="1653" spans="1:29" x14ac:dyDescent="0.2">
      <c r="A1653" t="str">
        <f t="shared" si="250"/>
        <v/>
      </c>
      <c r="E1653" s="4"/>
      <c r="F1653" s="46"/>
      <c r="G1653" s="4"/>
      <c r="H1653" s="48"/>
      <c r="J1653" s="26" t="str">
        <f t="shared" si="251"/>
        <v/>
      </c>
      <c r="N1653" t="str">
        <f t="shared" si="252"/>
        <v/>
      </c>
      <c r="Q1653" t="str">
        <f t="shared" si="253"/>
        <v/>
      </c>
      <c r="S1653" t="str">
        <f>IF(A1653=1,MAX($S$2:$S1652)+1,IF(OR($I1653&lt;&gt;"",A1653="x"),$S1652,""))</f>
        <v/>
      </c>
      <c r="T1653" t="str">
        <f>IF(D1653=1,MAX($T$2:$T1652)+1,IF(S1653=S1652,$T1652,IF(D1653="x",T1652,IF(D1652="x","",""))))</f>
        <v/>
      </c>
      <c r="U1653" t="str">
        <f>IF(B1653=1,MAX($U$2:$U1652)+1,IF(AND($T1653&lt;&gt;"",$T1653=$T1652),$U1652,IF(B1653="x",U1652,"")))</f>
        <v/>
      </c>
      <c r="V1653" t="str">
        <f>IF(C1653=1,MAX($V$2:$V1652)+1,IF(AND($T1653&lt;&gt;"",$T1653=$T1652),$U1652,IF(C1653="x",V1652,"")))</f>
        <v/>
      </c>
      <c r="X1653" cm="1">
        <f t="array" ref="X1653">IF($I1653&lt;&gt;"",$I1653,INDEX($I$1:$I1653,ROW()-COUNTIFS($T$1:$T1653,"="&amp;$T1653,$S$1:$S1653,"&lt;"&amp;$S1653)))</f>
        <v>0</v>
      </c>
      <c r="Z1653" s="6">
        <f t="shared" si="246"/>
        <v>1</v>
      </c>
      <c r="AA1653" t="e">
        <f t="shared" si="247"/>
        <v>#VALUE!</v>
      </c>
      <c r="AB1653" t="str">
        <f t="shared" si="248"/>
        <v/>
      </c>
      <c r="AC1653" t="e">
        <f t="shared" si="249"/>
        <v>#VALUE!</v>
      </c>
    </row>
    <row r="1654" spans="1:29" x14ac:dyDescent="0.2">
      <c r="A1654" t="str">
        <f t="shared" si="250"/>
        <v/>
      </c>
      <c r="E1654" s="4"/>
      <c r="F1654" s="46"/>
      <c r="G1654" s="4"/>
      <c r="H1654" s="48"/>
      <c r="J1654" s="26" t="str">
        <f t="shared" si="251"/>
        <v/>
      </c>
      <c r="N1654" t="str">
        <f t="shared" si="252"/>
        <v/>
      </c>
      <c r="Q1654" t="str">
        <f t="shared" si="253"/>
        <v/>
      </c>
      <c r="S1654" t="str">
        <f>IF(A1654=1,MAX($S$2:$S1653)+1,IF(OR($I1654&lt;&gt;"",A1654="x"),$S1653,""))</f>
        <v/>
      </c>
      <c r="T1654" t="str">
        <f>IF(D1654=1,MAX($T$2:$T1653)+1,IF(S1654=S1653,$T1653,IF(D1654="x",T1653,IF(D1653="x","",""))))</f>
        <v/>
      </c>
      <c r="U1654" t="str">
        <f>IF(B1654=1,MAX($U$2:$U1653)+1,IF(AND($T1654&lt;&gt;"",$T1654=$T1653),$U1653,IF(B1654="x",U1653,"")))</f>
        <v/>
      </c>
      <c r="V1654" t="str">
        <f>IF(C1654=1,MAX($V$2:$V1653)+1,IF(AND($T1654&lt;&gt;"",$T1654=$T1653),$U1653,IF(C1654="x",V1653,"")))</f>
        <v/>
      </c>
      <c r="X1654" cm="1">
        <f t="array" ref="X1654">IF($I1654&lt;&gt;"",$I1654,INDEX($I$1:$I1654,ROW()-COUNTIFS($T$1:$T1654,"="&amp;$T1654,$S$1:$S1654,"&lt;"&amp;$S1654)))</f>
        <v>0</v>
      </c>
      <c r="Z1654" s="6">
        <f t="shared" si="246"/>
        <v>1</v>
      </c>
      <c r="AA1654" t="e">
        <f t="shared" si="247"/>
        <v>#VALUE!</v>
      </c>
      <c r="AB1654" t="str">
        <f t="shared" si="248"/>
        <v/>
      </c>
      <c r="AC1654" t="e">
        <f t="shared" si="249"/>
        <v>#VALUE!</v>
      </c>
    </row>
    <row r="1655" spans="1:29" x14ac:dyDescent="0.2">
      <c r="A1655" t="str">
        <f t="shared" si="250"/>
        <v/>
      </c>
      <c r="E1655" s="4"/>
      <c r="F1655" s="46"/>
      <c r="G1655" s="4"/>
      <c r="H1655" s="48"/>
      <c r="J1655" s="26" t="str">
        <f t="shared" si="251"/>
        <v/>
      </c>
      <c r="N1655" t="str">
        <f t="shared" si="252"/>
        <v/>
      </c>
      <c r="Q1655" t="str">
        <f t="shared" si="253"/>
        <v/>
      </c>
      <c r="S1655" t="str">
        <f>IF(A1655=1,MAX($S$2:$S1654)+1,IF(OR($I1655&lt;&gt;"",A1655="x"),$S1654,""))</f>
        <v/>
      </c>
      <c r="T1655" t="str">
        <f>IF(D1655=1,MAX($T$2:$T1654)+1,IF(S1655=S1654,$T1654,IF(D1655="x",T1654,IF(D1654="x","",""))))</f>
        <v/>
      </c>
      <c r="U1655" t="str">
        <f>IF(B1655=1,MAX($U$2:$U1654)+1,IF(AND($T1655&lt;&gt;"",$T1655=$T1654),$U1654,IF(B1655="x",U1654,"")))</f>
        <v/>
      </c>
      <c r="V1655" t="str">
        <f>IF(C1655=1,MAX($V$2:$V1654)+1,IF(AND($T1655&lt;&gt;"",$T1655=$T1654),$U1654,IF(C1655="x",V1654,"")))</f>
        <v/>
      </c>
      <c r="X1655" cm="1">
        <f t="array" ref="X1655">IF($I1655&lt;&gt;"",$I1655,INDEX($I$1:$I1655,ROW()-COUNTIFS($T$1:$T1655,"="&amp;$T1655,$S$1:$S1655,"&lt;"&amp;$S1655)))</f>
        <v>0</v>
      </c>
      <c r="Z1655" s="6">
        <f t="shared" si="246"/>
        <v>1</v>
      </c>
      <c r="AA1655" t="e">
        <f t="shared" si="247"/>
        <v>#VALUE!</v>
      </c>
      <c r="AB1655" t="str">
        <f t="shared" si="248"/>
        <v/>
      </c>
      <c r="AC1655" t="e">
        <f t="shared" si="249"/>
        <v>#VALUE!</v>
      </c>
    </row>
    <row r="1656" spans="1:29" x14ac:dyDescent="0.2">
      <c r="A1656" t="str">
        <f t="shared" si="250"/>
        <v/>
      </c>
      <c r="E1656" s="4"/>
      <c r="F1656" s="46"/>
      <c r="G1656" s="4"/>
      <c r="H1656" s="48"/>
      <c r="J1656" s="26" t="str">
        <f t="shared" si="251"/>
        <v/>
      </c>
      <c r="N1656" t="str">
        <f t="shared" si="252"/>
        <v/>
      </c>
      <c r="Q1656" t="str">
        <f t="shared" si="253"/>
        <v/>
      </c>
      <c r="S1656" t="str">
        <f>IF(A1656=1,MAX($S$2:$S1655)+1,IF(OR($I1656&lt;&gt;"",A1656="x"),$S1655,""))</f>
        <v/>
      </c>
      <c r="T1656" t="str">
        <f>IF(D1656=1,MAX($T$2:$T1655)+1,IF(S1656=S1655,$T1655,IF(D1656="x",T1655,IF(D1655="x","",""))))</f>
        <v/>
      </c>
      <c r="U1656" t="str">
        <f>IF(B1656=1,MAX($U$2:$U1655)+1,IF(AND($T1656&lt;&gt;"",$T1656=$T1655),$U1655,IF(B1656="x",U1655,"")))</f>
        <v/>
      </c>
      <c r="V1656" t="str">
        <f>IF(C1656=1,MAX($V$2:$V1655)+1,IF(AND($T1656&lt;&gt;"",$T1656=$T1655),$U1655,IF(C1656="x",V1655,"")))</f>
        <v/>
      </c>
      <c r="X1656" cm="1">
        <f t="array" ref="X1656">IF($I1656&lt;&gt;"",$I1656,INDEX($I$1:$I1656,ROW()-COUNTIFS($T$1:$T1656,"="&amp;$T1656,$S$1:$S1656,"&lt;"&amp;$S1656)))</f>
        <v>0</v>
      </c>
      <c r="Z1656" s="6">
        <f t="shared" si="246"/>
        <v>1</v>
      </c>
      <c r="AA1656" t="e">
        <f t="shared" si="247"/>
        <v>#VALUE!</v>
      </c>
      <c r="AB1656" t="str">
        <f t="shared" si="248"/>
        <v/>
      </c>
      <c r="AC1656" t="e">
        <f t="shared" si="249"/>
        <v>#VALUE!</v>
      </c>
    </row>
    <row r="1657" spans="1:29" x14ac:dyDescent="0.2">
      <c r="A1657" t="str">
        <f t="shared" si="250"/>
        <v/>
      </c>
      <c r="E1657" s="4"/>
      <c r="F1657" s="46"/>
      <c r="G1657" s="4"/>
      <c r="H1657" s="48"/>
      <c r="J1657" s="26" t="str">
        <f t="shared" si="251"/>
        <v/>
      </c>
      <c r="N1657" t="str">
        <f t="shared" si="252"/>
        <v/>
      </c>
      <c r="Q1657" t="str">
        <f t="shared" si="253"/>
        <v/>
      </c>
      <c r="S1657" t="str">
        <f>IF(A1657=1,MAX($S$2:$S1656)+1,IF(OR($I1657&lt;&gt;"",A1657="x"),$S1656,""))</f>
        <v/>
      </c>
      <c r="T1657" t="str">
        <f>IF(D1657=1,MAX($T$2:$T1656)+1,IF(S1657=S1656,$T1656,IF(D1657="x",T1656,IF(D1656="x","",""))))</f>
        <v/>
      </c>
      <c r="U1657" t="str">
        <f>IF(B1657=1,MAX($U$2:$U1656)+1,IF(AND($T1657&lt;&gt;"",$T1657=$T1656),$U1656,IF(B1657="x",U1656,"")))</f>
        <v/>
      </c>
      <c r="V1657" t="str">
        <f>IF(C1657=1,MAX($V$2:$V1656)+1,IF(AND($T1657&lt;&gt;"",$T1657=$T1656),$U1656,IF(C1657="x",V1656,"")))</f>
        <v/>
      </c>
      <c r="X1657" cm="1">
        <f t="array" ref="X1657">IF($I1657&lt;&gt;"",$I1657,INDEX($I$1:$I1657,ROW()-COUNTIFS($T$1:$T1657,"="&amp;$T1657,$S$1:$S1657,"&lt;"&amp;$S1657)))</f>
        <v>0</v>
      </c>
      <c r="Z1657" s="6">
        <f t="shared" si="246"/>
        <v>1</v>
      </c>
      <c r="AA1657" t="e">
        <f t="shared" si="247"/>
        <v>#VALUE!</v>
      </c>
      <c r="AB1657" t="str">
        <f t="shared" si="248"/>
        <v/>
      </c>
      <c r="AC1657" t="e">
        <f t="shared" si="249"/>
        <v>#VALUE!</v>
      </c>
    </row>
    <row r="1658" spans="1:29" x14ac:dyDescent="0.2">
      <c r="A1658" t="str">
        <f t="shared" si="250"/>
        <v/>
      </c>
      <c r="E1658" s="4"/>
      <c r="F1658" s="46"/>
      <c r="G1658" s="4"/>
      <c r="H1658" s="48"/>
      <c r="J1658" s="26" t="str">
        <f t="shared" si="251"/>
        <v/>
      </c>
      <c r="N1658" t="str">
        <f t="shared" si="252"/>
        <v/>
      </c>
      <c r="Q1658" t="str">
        <f t="shared" si="253"/>
        <v/>
      </c>
      <c r="S1658" t="str">
        <f>IF(A1658=1,MAX($S$2:$S1657)+1,IF(OR($I1658&lt;&gt;"",A1658="x"),$S1657,""))</f>
        <v/>
      </c>
      <c r="T1658" t="str">
        <f>IF(D1658=1,MAX($T$2:$T1657)+1,IF(S1658=S1657,$T1657,IF(D1658="x",T1657,IF(D1657="x","",""))))</f>
        <v/>
      </c>
      <c r="U1658" t="str">
        <f>IF(B1658=1,MAX($U$2:$U1657)+1,IF(AND($T1658&lt;&gt;"",$T1658=$T1657),$U1657,IF(B1658="x",U1657,"")))</f>
        <v/>
      </c>
      <c r="V1658" t="str">
        <f>IF(C1658=1,MAX($V$2:$V1657)+1,IF(AND($T1658&lt;&gt;"",$T1658=$T1657),$U1657,IF(C1658="x",V1657,"")))</f>
        <v/>
      </c>
      <c r="X1658" cm="1">
        <f t="array" ref="X1658">IF($I1658&lt;&gt;"",$I1658,INDEX($I$1:$I1658,ROW()-COUNTIFS($T$1:$T1658,"="&amp;$T1658,$S$1:$S1658,"&lt;"&amp;$S1658)))</f>
        <v>0</v>
      </c>
      <c r="Z1658" s="6">
        <f t="shared" si="246"/>
        <v>1</v>
      </c>
      <c r="AA1658" t="e">
        <f t="shared" si="247"/>
        <v>#VALUE!</v>
      </c>
      <c r="AB1658" t="str">
        <f t="shared" si="248"/>
        <v/>
      </c>
      <c r="AC1658" t="e">
        <f t="shared" si="249"/>
        <v>#VALUE!</v>
      </c>
    </row>
    <row r="1659" spans="1:29" x14ac:dyDescent="0.2">
      <c r="A1659" t="str">
        <f t="shared" si="250"/>
        <v/>
      </c>
      <c r="E1659" s="4"/>
      <c r="F1659" s="46"/>
      <c r="G1659" s="4"/>
      <c r="H1659" s="48"/>
      <c r="J1659" s="26" t="str">
        <f t="shared" si="251"/>
        <v/>
      </c>
      <c r="N1659" t="str">
        <f t="shared" si="252"/>
        <v/>
      </c>
      <c r="Q1659" t="str">
        <f t="shared" si="253"/>
        <v/>
      </c>
      <c r="S1659" t="str">
        <f>IF(A1659=1,MAX($S$2:$S1658)+1,IF(OR($I1659&lt;&gt;"",A1659="x"),$S1658,""))</f>
        <v/>
      </c>
      <c r="T1659" t="str">
        <f>IF(D1659=1,MAX($T$2:$T1658)+1,IF(S1659=S1658,$T1658,IF(D1659="x",T1658,IF(D1658="x","",""))))</f>
        <v/>
      </c>
      <c r="U1659" t="str">
        <f>IF(B1659=1,MAX($U$2:$U1658)+1,IF(AND($T1659&lt;&gt;"",$T1659=$T1658),$U1658,IF(B1659="x",U1658,"")))</f>
        <v/>
      </c>
      <c r="V1659" t="str">
        <f>IF(C1659=1,MAX($V$2:$V1658)+1,IF(AND($T1659&lt;&gt;"",$T1659=$T1658),$U1658,IF(C1659="x",V1658,"")))</f>
        <v/>
      </c>
      <c r="X1659" cm="1">
        <f t="array" ref="X1659">IF($I1659&lt;&gt;"",$I1659,INDEX($I$1:$I1659,ROW()-COUNTIFS($T$1:$T1659,"="&amp;$T1659,$S$1:$S1659,"&lt;"&amp;$S1659)))</f>
        <v>0</v>
      </c>
      <c r="Z1659" s="6">
        <f t="shared" si="246"/>
        <v>1</v>
      </c>
      <c r="AA1659" t="e">
        <f t="shared" si="247"/>
        <v>#VALUE!</v>
      </c>
      <c r="AB1659" t="str">
        <f t="shared" si="248"/>
        <v/>
      </c>
      <c r="AC1659" t="e">
        <f t="shared" si="249"/>
        <v>#VALUE!</v>
      </c>
    </row>
    <row r="1660" spans="1:29" x14ac:dyDescent="0.2">
      <c r="A1660" t="str">
        <f t="shared" si="250"/>
        <v/>
      </c>
      <c r="E1660" s="4"/>
      <c r="F1660" s="46"/>
      <c r="G1660" s="4"/>
      <c r="H1660" s="48"/>
      <c r="J1660" s="26" t="str">
        <f t="shared" si="251"/>
        <v/>
      </c>
      <c r="N1660" t="str">
        <f t="shared" si="252"/>
        <v/>
      </c>
      <c r="Q1660" t="str">
        <f t="shared" si="253"/>
        <v/>
      </c>
      <c r="S1660" t="str">
        <f>IF(A1660=1,MAX($S$2:$S1659)+1,IF(OR($I1660&lt;&gt;"",A1660="x"),$S1659,""))</f>
        <v/>
      </c>
      <c r="T1660" t="str">
        <f>IF(D1660=1,MAX($T$2:$T1659)+1,IF(S1660=S1659,$T1659,IF(D1660="x",T1659,IF(D1659="x","",""))))</f>
        <v/>
      </c>
      <c r="U1660" t="str">
        <f>IF(B1660=1,MAX($U$2:$U1659)+1,IF(AND($T1660&lt;&gt;"",$T1660=$T1659),$U1659,IF(B1660="x",U1659,"")))</f>
        <v/>
      </c>
      <c r="V1660" t="str">
        <f>IF(C1660=1,MAX($V$2:$V1659)+1,IF(AND($T1660&lt;&gt;"",$T1660=$T1659),$U1659,IF(C1660="x",V1659,"")))</f>
        <v/>
      </c>
      <c r="X1660" cm="1">
        <f t="array" ref="X1660">IF($I1660&lt;&gt;"",$I1660,INDEX($I$1:$I1660,ROW()-COUNTIFS($T$1:$T1660,"="&amp;$T1660,$S$1:$S1660,"&lt;"&amp;$S1660)))</f>
        <v>0</v>
      </c>
      <c r="Z1660" s="6">
        <f t="shared" si="246"/>
        <v>1</v>
      </c>
      <c r="AA1660" t="e">
        <f t="shared" si="247"/>
        <v>#VALUE!</v>
      </c>
      <c r="AB1660" t="str">
        <f t="shared" si="248"/>
        <v/>
      </c>
      <c r="AC1660" t="e">
        <f t="shared" si="249"/>
        <v>#VALUE!</v>
      </c>
    </row>
    <row r="1661" spans="1:29" x14ac:dyDescent="0.2">
      <c r="A1661" t="str">
        <f t="shared" si="250"/>
        <v/>
      </c>
      <c r="E1661" s="4"/>
      <c r="F1661" s="46"/>
      <c r="G1661" s="4"/>
      <c r="H1661" s="48"/>
      <c r="J1661" s="26" t="str">
        <f t="shared" si="251"/>
        <v/>
      </c>
      <c r="N1661" t="str">
        <f t="shared" si="252"/>
        <v/>
      </c>
      <c r="Q1661" t="str">
        <f t="shared" si="253"/>
        <v/>
      </c>
      <c r="S1661" t="str">
        <f>IF(A1661=1,MAX($S$2:$S1660)+1,IF(OR($I1661&lt;&gt;"",A1661="x"),$S1660,""))</f>
        <v/>
      </c>
      <c r="T1661" t="str">
        <f>IF(D1661=1,MAX($T$2:$T1660)+1,IF(S1661=S1660,$T1660,IF(D1661="x",T1660,IF(D1660="x","",""))))</f>
        <v/>
      </c>
      <c r="U1661" t="str">
        <f>IF(B1661=1,MAX($U$2:$U1660)+1,IF(AND($T1661&lt;&gt;"",$T1661=$T1660),$U1660,IF(B1661="x",U1660,"")))</f>
        <v/>
      </c>
      <c r="V1661" t="str">
        <f>IF(C1661=1,MAX($V$2:$V1660)+1,IF(AND($T1661&lt;&gt;"",$T1661=$T1660),$U1660,IF(C1661="x",V1660,"")))</f>
        <v/>
      </c>
      <c r="X1661" cm="1">
        <f t="array" ref="X1661">IF($I1661&lt;&gt;"",$I1661,INDEX($I$1:$I1661,ROW()-COUNTIFS($T$1:$T1661,"="&amp;$T1661,$S$1:$S1661,"&lt;"&amp;$S1661)))</f>
        <v>0</v>
      </c>
      <c r="Z1661" s="6">
        <f t="shared" si="246"/>
        <v>1</v>
      </c>
      <c r="AA1661" t="e">
        <f t="shared" si="247"/>
        <v>#VALUE!</v>
      </c>
      <c r="AB1661" t="str">
        <f t="shared" si="248"/>
        <v/>
      </c>
      <c r="AC1661" t="e">
        <f t="shared" si="249"/>
        <v>#VALUE!</v>
      </c>
    </row>
    <row r="1662" spans="1:29" x14ac:dyDescent="0.2">
      <c r="A1662" t="str">
        <f t="shared" si="250"/>
        <v/>
      </c>
      <c r="E1662" s="4"/>
      <c r="F1662" s="46"/>
      <c r="G1662" s="4"/>
      <c r="H1662" s="48"/>
      <c r="J1662" s="26" t="str">
        <f t="shared" si="251"/>
        <v/>
      </c>
      <c r="N1662" t="str">
        <f t="shared" si="252"/>
        <v/>
      </c>
      <c r="Q1662" t="str">
        <f t="shared" si="253"/>
        <v/>
      </c>
      <c r="S1662" t="str">
        <f>IF(A1662=1,MAX($S$2:$S1661)+1,IF(OR($I1662&lt;&gt;"",A1662="x"),$S1661,""))</f>
        <v/>
      </c>
      <c r="T1662" t="str">
        <f>IF(D1662=1,MAX($T$2:$T1661)+1,IF(S1662=S1661,$T1661,IF(D1662="x",T1661,IF(D1661="x","",""))))</f>
        <v/>
      </c>
      <c r="U1662" t="str">
        <f>IF(B1662=1,MAX($U$2:$U1661)+1,IF(AND($T1662&lt;&gt;"",$T1662=$T1661),$U1661,IF(B1662="x",U1661,"")))</f>
        <v/>
      </c>
      <c r="V1662" t="str">
        <f>IF(C1662=1,MAX($V$2:$V1661)+1,IF(AND($T1662&lt;&gt;"",$T1662=$T1661),$U1661,IF(C1662="x",V1661,"")))</f>
        <v/>
      </c>
      <c r="X1662" cm="1">
        <f t="array" ref="X1662">IF($I1662&lt;&gt;"",$I1662,INDEX($I$1:$I1662,ROW()-COUNTIFS($T$1:$T1662,"="&amp;$T1662,$S$1:$S1662,"&lt;"&amp;$S1662)))</f>
        <v>0</v>
      </c>
      <c r="Z1662" s="6">
        <f t="shared" si="246"/>
        <v>1</v>
      </c>
      <c r="AA1662" t="e">
        <f t="shared" si="247"/>
        <v>#VALUE!</v>
      </c>
      <c r="AB1662" t="str">
        <f t="shared" si="248"/>
        <v/>
      </c>
      <c r="AC1662" t="e">
        <f t="shared" si="249"/>
        <v>#VALUE!</v>
      </c>
    </row>
    <row r="1663" spans="1:29" x14ac:dyDescent="0.2">
      <c r="A1663" t="str">
        <f t="shared" si="250"/>
        <v/>
      </c>
      <c r="E1663" s="4"/>
      <c r="F1663" s="46"/>
      <c r="G1663" s="4"/>
      <c r="H1663" s="48"/>
      <c r="J1663" s="26" t="str">
        <f t="shared" si="251"/>
        <v/>
      </c>
      <c r="N1663" t="str">
        <f t="shared" si="252"/>
        <v/>
      </c>
      <c r="Q1663" t="str">
        <f t="shared" si="253"/>
        <v/>
      </c>
      <c r="S1663" t="str">
        <f>IF(A1663=1,MAX($S$2:$S1662)+1,IF(OR($I1663&lt;&gt;"",A1663="x"),$S1662,""))</f>
        <v/>
      </c>
      <c r="T1663" t="str">
        <f>IF(D1663=1,MAX($T$2:$T1662)+1,IF(S1663=S1662,$T1662,IF(D1663="x",T1662,IF(D1662="x","",""))))</f>
        <v/>
      </c>
      <c r="U1663" t="str">
        <f>IF(B1663=1,MAX($U$2:$U1662)+1,IF(AND($T1663&lt;&gt;"",$T1663=$T1662),$U1662,IF(B1663="x",U1662,"")))</f>
        <v/>
      </c>
      <c r="V1663" t="str">
        <f>IF(C1663=1,MAX($V$2:$V1662)+1,IF(AND($T1663&lt;&gt;"",$T1663=$T1662),$U1662,IF(C1663="x",V1662,"")))</f>
        <v/>
      </c>
      <c r="X1663" cm="1">
        <f t="array" ref="X1663">IF($I1663&lt;&gt;"",$I1663,INDEX($I$1:$I1663,ROW()-COUNTIFS($T$1:$T1663,"="&amp;$T1663,$S$1:$S1663,"&lt;"&amp;$S1663)))</f>
        <v>0</v>
      </c>
      <c r="Z1663" s="6">
        <f t="shared" si="246"/>
        <v>1</v>
      </c>
      <c r="AA1663" t="e">
        <f t="shared" si="247"/>
        <v>#VALUE!</v>
      </c>
      <c r="AB1663" t="str">
        <f t="shared" si="248"/>
        <v/>
      </c>
      <c r="AC1663" t="e">
        <f t="shared" si="249"/>
        <v>#VALUE!</v>
      </c>
    </row>
    <row r="1664" spans="1:29" x14ac:dyDescent="0.2">
      <c r="A1664" t="str">
        <f t="shared" si="250"/>
        <v/>
      </c>
      <c r="E1664" s="4"/>
      <c r="F1664" s="46"/>
      <c r="G1664" s="4"/>
      <c r="H1664" s="48"/>
      <c r="J1664" s="26" t="str">
        <f t="shared" si="251"/>
        <v/>
      </c>
      <c r="N1664" t="str">
        <f t="shared" si="252"/>
        <v/>
      </c>
      <c r="Q1664" t="str">
        <f t="shared" si="253"/>
        <v/>
      </c>
      <c r="S1664" t="str">
        <f>IF(A1664=1,MAX($S$2:$S1663)+1,IF(OR($I1664&lt;&gt;"",A1664="x"),$S1663,""))</f>
        <v/>
      </c>
      <c r="T1664" t="str">
        <f>IF(D1664=1,MAX($T$2:$T1663)+1,IF(S1664=S1663,$T1663,IF(D1664="x",T1663,IF(D1663="x","",""))))</f>
        <v/>
      </c>
      <c r="U1664" t="str">
        <f>IF(B1664=1,MAX($U$2:$U1663)+1,IF(AND($T1664&lt;&gt;"",$T1664=$T1663),$U1663,IF(B1664="x",U1663,"")))</f>
        <v/>
      </c>
      <c r="V1664" t="str">
        <f>IF(C1664=1,MAX($V$2:$V1663)+1,IF(AND($T1664&lt;&gt;"",$T1664=$T1663),$U1663,IF(C1664="x",V1663,"")))</f>
        <v/>
      </c>
      <c r="X1664" cm="1">
        <f t="array" ref="X1664">IF($I1664&lt;&gt;"",$I1664,INDEX($I$1:$I1664,ROW()-COUNTIFS($T$1:$T1664,"="&amp;$T1664,$S$1:$S1664,"&lt;"&amp;$S1664)))</f>
        <v>0</v>
      </c>
      <c r="Z1664" s="6">
        <f t="shared" si="246"/>
        <v>1</v>
      </c>
      <c r="AA1664" t="e">
        <f t="shared" si="247"/>
        <v>#VALUE!</v>
      </c>
      <c r="AB1664" t="str">
        <f t="shared" si="248"/>
        <v/>
      </c>
      <c r="AC1664" t="e">
        <f t="shared" si="249"/>
        <v>#VALUE!</v>
      </c>
    </row>
    <row r="1665" spans="1:29" x14ac:dyDescent="0.2">
      <c r="A1665" t="str">
        <f t="shared" si="250"/>
        <v/>
      </c>
      <c r="E1665" s="4"/>
      <c r="F1665" s="46"/>
      <c r="G1665" s="4"/>
      <c r="H1665" s="48"/>
      <c r="J1665" s="26" t="str">
        <f t="shared" si="251"/>
        <v/>
      </c>
      <c r="N1665" t="str">
        <f t="shared" si="252"/>
        <v/>
      </c>
      <c r="Q1665" t="str">
        <f t="shared" si="253"/>
        <v/>
      </c>
      <c r="S1665" t="str">
        <f>IF(A1665=1,MAX($S$2:$S1664)+1,IF(OR($I1665&lt;&gt;"",A1665="x"),$S1664,""))</f>
        <v/>
      </c>
      <c r="T1665" t="str">
        <f>IF(D1665=1,MAX($T$2:$T1664)+1,IF(S1665=S1664,$T1664,IF(D1665="x",T1664,IF(D1664="x","",""))))</f>
        <v/>
      </c>
      <c r="U1665" t="str">
        <f>IF(B1665=1,MAX($U$2:$U1664)+1,IF(AND($T1665&lt;&gt;"",$T1665=$T1664),$U1664,IF(B1665="x",U1664,"")))</f>
        <v/>
      </c>
      <c r="V1665" t="str">
        <f>IF(C1665=1,MAX($V$2:$V1664)+1,IF(AND($T1665&lt;&gt;"",$T1665=$T1664),$U1664,IF(C1665="x",V1664,"")))</f>
        <v/>
      </c>
      <c r="X1665" cm="1">
        <f t="array" ref="X1665">IF($I1665&lt;&gt;"",$I1665,INDEX($I$1:$I1665,ROW()-COUNTIFS($T$1:$T1665,"="&amp;$T1665,$S$1:$S1665,"&lt;"&amp;$S1665)))</f>
        <v>0</v>
      </c>
      <c r="Z1665" s="6">
        <f t="shared" si="246"/>
        <v>1</v>
      </c>
      <c r="AA1665" t="e">
        <f t="shared" si="247"/>
        <v>#VALUE!</v>
      </c>
      <c r="AB1665" t="str">
        <f t="shared" si="248"/>
        <v/>
      </c>
      <c r="AC1665" t="e">
        <f t="shared" si="249"/>
        <v>#VALUE!</v>
      </c>
    </row>
    <row r="1666" spans="1:29" x14ac:dyDescent="0.2">
      <c r="A1666" t="str">
        <f t="shared" si="250"/>
        <v/>
      </c>
      <c r="E1666" s="4"/>
      <c r="F1666" s="46"/>
      <c r="G1666" s="4"/>
      <c r="H1666" s="48"/>
      <c r="J1666" s="26" t="str">
        <f t="shared" si="251"/>
        <v/>
      </c>
      <c r="N1666" t="str">
        <f t="shared" si="252"/>
        <v/>
      </c>
      <c r="Q1666" t="str">
        <f t="shared" si="253"/>
        <v/>
      </c>
      <c r="S1666" t="str">
        <f>IF(A1666=1,MAX($S$2:$S1665)+1,IF(OR($I1666&lt;&gt;"",A1666="x"),$S1665,""))</f>
        <v/>
      </c>
      <c r="T1666" t="str">
        <f>IF(D1666=1,MAX($T$2:$T1665)+1,IF(S1666=S1665,$T1665,IF(D1666="x",T1665,IF(D1665="x","",""))))</f>
        <v/>
      </c>
      <c r="U1666" t="str">
        <f>IF(B1666=1,MAX($U$2:$U1665)+1,IF(AND($T1666&lt;&gt;"",$T1666=$T1665),$U1665,IF(B1666="x",U1665,"")))</f>
        <v/>
      </c>
      <c r="V1666" t="str">
        <f>IF(C1666=1,MAX($V$2:$V1665)+1,IF(AND($T1666&lt;&gt;"",$T1666=$T1665),$U1665,IF(C1666="x",V1665,"")))</f>
        <v/>
      </c>
      <c r="X1666" cm="1">
        <f t="array" ref="X1666">IF($I1666&lt;&gt;"",$I1666,INDEX($I$1:$I1666,ROW()-COUNTIFS($T$1:$T1666,"="&amp;$T1666,$S$1:$S1666,"&lt;"&amp;$S1666)))</f>
        <v>0</v>
      </c>
      <c r="Z1666" s="6">
        <f t="shared" si="246"/>
        <v>1</v>
      </c>
      <c r="AA1666" t="e">
        <f t="shared" si="247"/>
        <v>#VALUE!</v>
      </c>
      <c r="AB1666" t="str">
        <f t="shared" si="248"/>
        <v/>
      </c>
      <c r="AC1666" t="e">
        <f t="shared" si="249"/>
        <v>#VALUE!</v>
      </c>
    </row>
    <row r="1667" spans="1:29" x14ac:dyDescent="0.2">
      <c r="A1667" t="str">
        <f t="shared" si="250"/>
        <v/>
      </c>
      <c r="E1667" s="4"/>
      <c r="F1667" s="46"/>
      <c r="G1667" s="4"/>
      <c r="H1667" s="48"/>
      <c r="J1667" s="26" t="str">
        <f t="shared" si="251"/>
        <v/>
      </c>
      <c r="N1667" t="str">
        <f t="shared" si="252"/>
        <v/>
      </c>
      <c r="Q1667" t="str">
        <f t="shared" si="253"/>
        <v/>
      </c>
      <c r="S1667" t="str">
        <f>IF(A1667=1,MAX($S$2:$S1666)+1,IF(OR($I1667&lt;&gt;"",A1667="x"),$S1666,""))</f>
        <v/>
      </c>
      <c r="T1667" t="str">
        <f>IF(D1667=1,MAX($T$2:$T1666)+1,IF(S1667=S1666,$T1666,IF(D1667="x",T1666,IF(D1666="x","",""))))</f>
        <v/>
      </c>
      <c r="U1667" t="str">
        <f>IF(B1667=1,MAX($U$2:$U1666)+1,IF(AND($T1667&lt;&gt;"",$T1667=$T1666),$U1666,IF(B1667="x",U1666,"")))</f>
        <v/>
      </c>
      <c r="V1667" t="str">
        <f>IF(C1667=1,MAX($V$2:$V1666)+1,IF(AND($T1667&lt;&gt;"",$T1667=$T1666),$U1666,IF(C1667="x",V1666,"")))</f>
        <v/>
      </c>
      <c r="X1667" cm="1">
        <f t="array" ref="X1667">IF($I1667&lt;&gt;"",$I1667,INDEX($I$1:$I1667,ROW()-COUNTIFS($T$1:$T1667,"="&amp;$T1667,$S$1:$S1667,"&lt;"&amp;$S1667)))</f>
        <v>0</v>
      </c>
      <c r="Z1667" s="6">
        <f t="shared" si="246"/>
        <v>1</v>
      </c>
      <c r="AA1667" t="e">
        <f t="shared" si="247"/>
        <v>#VALUE!</v>
      </c>
      <c r="AB1667" t="str">
        <f t="shared" si="248"/>
        <v/>
      </c>
      <c r="AC1667" t="e">
        <f t="shared" si="249"/>
        <v>#VALUE!</v>
      </c>
    </row>
    <row r="1668" spans="1:29" x14ac:dyDescent="0.2">
      <c r="A1668" t="str">
        <f t="shared" si="250"/>
        <v/>
      </c>
      <c r="E1668" s="4"/>
      <c r="F1668" s="46"/>
      <c r="G1668" s="4"/>
      <c r="H1668" s="48"/>
      <c r="J1668" s="26" t="str">
        <f t="shared" si="251"/>
        <v/>
      </c>
      <c r="N1668" t="str">
        <f t="shared" si="252"/>
        <v/>
      </c>
      <c r="Q1668" t="str">
        <f t="shared" si="253"/>
        <v/>
      </c>
      <c r="S1668" t="str">
        <f>IF(A1668=1,MAX($S$2:$S1667)+1,IF(OR($I1668&lt;&gt;"",A1668="x"),$S1667,""))</f>
        <v/>
      </c>
      <c r="T1668" t="str">
        <f>IF(D1668=1,MAX($T$2:$T1667)+1,IF(S1668=S1667,$T1667,IF(D1668="x",T1667,IF(D1667="x","",""))))</f>
        <v/>
      </c>
      <c r="U1668" t="str">
        <f>IF(B1668=1,MAX($U$2:$U1667)+1,IF(AND($T1668&lt;&gt;"",$T1668=$T1667),$U1667,IF(B1668="x",U1667,"")))</f>
        <v/>
      </c>
      <c r="V1668" t="str">
        <f>IF(C1668=1,MAX($V$2:$V1667)+1,IF(AND($T1668&lt;&gt;"",$T1668=$T1667),$U1667,IF(C1668="x",V1667,"")))</f>
        <v/>
      </c>
      <c r="X1668" cm="1">
        <f t="array" ref="X1668">IF($I1668&lt;&gt;"",$I1668,INDEX($I$1:$I1668,ROW()-COUNTIFS($T$1:$T1668,"="&amp;$T1668,$S$1:$S1668,"&lt;"&amp;$S1668)))</f>
        <v>0</v>
      </c>
      <c r="Z1668" s="6">
        <f t="shared" si="246"/>
        <v>1</v>
      </c>
      <c r="AA1668" t="e">
        <f t="shared" si="247"/>
        <v>#VALUE!</v>
      </c>
      <c r="AB1668" t="str">
        <f t="shared" si="248"/>
        <v/>
      </c>
      <c r="AC1668" t="e">
        <f t="shared" si="249"/>
        <v>#VALUE!</v>
      </c>
    </row>
    <row r="1669" spans="1:29" x14ac:dyDescent="0.2">
      <c r="A1669" t="str">
        <f t="shared" si="250"/>
        <v/>
      </c>
      <c r="E1669" s="4"/>
      <c r="F1669" s="46"/>
      <c r="G1669" s="4"/>
      <c r="H1669" s="48"/>
      <c r="J1669" s="26" t="str">
        <f t="shared" si="251"/>
        <v/>
      </c>
      <c r="N1669" t="str">
        <f t="shared" si="252"/>
        <v/>
      </c>
      <c r="Q1669" t="str">
        <f t="shared" si="253"/>
        <v/>
      </c>
      <c r="S1669" t="str">
        <f>IF(A1669=1,MAX($S$2:$S1668)+1,IF(OR($I1669&lt;&gt;"",A1669="x"),$S1668,""))</f>
        <v/>
      </c>
      <c r="T1669" t="str">
        <f>IF(D1669=1,MAX($T$2:$T1668)+1,IF(S1669=S1668,$T1668,IF(D1669="x",T1668,IF(D1668="x","",""))))</f>
        <v/>
      </c>
      <c r="U1669" t="str">
        <f>IF(B1669=1,MAX($U$2:$U1668)+1,IF(AND($T1669&lt;&gt;"",$T1669=$T1668),$U1668,IF(B1669="x",U1668,"")))</f>
        <v/>
      </c>
      <c r="V1669" t="str">
        <f>IF(C1669=1,MAX($V$2:$V1668)+1,IF(AND($T1669&lt;&gt;"",$T1669=$T1668),$U1668,IF(C1669="x",V1668,"")))</f>
        <v/>
      </c>
      <c r="X1669" cm="1">
        <f t="array" ref="X1669">IF($I1669&lt;&gt;"",$I1669,INDEX($I$1:$I1669,ROW()-COUNTIFS($T$1:$T1669,"="&amp;$T1669,$S$1:$S1669,"&lt;"&amp;$S1669)))</f>
        <v>0</v>
      </c>
      <c r="Z1669" s="6">
        <f t="shared" ref="Z1669:Z1732" si="254">IF(K1669="Intermission",Z1668+1,Z1668)</f>
        <v>1</v>
      </c>
      <c r="AA1669" t="e">
        <f t="shared" ref="AA1669:AA1732" si="255">S1669+1000</f>
        <v>#VALUE!</v>
      </c>
      <c r="AB1669" t="str">
        <f t="shared" ref="AB1669:AB1732" si="256">IF(T1669&lt;&gt;"",9000+T1669,"")</f>
        <v/>
      </c>
      <c r="AC1669" t="e">
        <f t="shared" ref="AC1669:AC1732" si="257">IF(AB1669&lt;&gt;"",AB1669,S1669+1000)</f>
        <v>#VALUE!</v>
      </c>
    </row>
    <row r="1670" spans="1:29" x14ac:dyDescent="0.2">
      <c r="A1670" t="str">
        <f t="shared" si="250"/>
        <v/>
      </c>
      <c r="E1670" s="4"/>
      <c r="F1670" s="46"/>
      <c r="G1670" s="4"/>
      <c r="H1670" s="48"/>
      <c r="J1670" s="26" t="str">
        <f t="shared" si="251"/>
        <v/>
      </c>
      <c r="N1670" t="str">
        <f t="shared" si="252"/>
        <v/>
      </c>
      <c r="Q1670" t="str">
        <f t="shared" si="253"/>
        <v/>
      </c>
      <c r="S1670" t="str">
        <f>IF(A1670=1,MAX($S$2:$S1669)+1,IF(OR($I1670&lt;&gt;"",A1670="x"),$S1669,""))</f>
        <v/>
      </c>
      <c r="T1670" t="str">
        <f>IF(D1670=1,MAX($T$2:$T1669)+1,IF(S1670=S1669,$T1669,IF(D1670="x",T1669,IF(D1669="x","",""))))</f>
        <v/>
      </c>
      <c r="U1670" t="str">
        <f>IF(B1670=1,MAX($U$2:$U1669)+1,IF(AND($T1670&lt;&gt;"",$T1670=$T1669),$U1669,IF(B1670="x",U1669,"")))</f>
        <v/>
      </c>
      <c r="V1670" t="str">
        <f>IF(C1670=1,MAX($V$2:$V1669)+1,IF(AND($T1670&lt;&gt;"",$T1670=$T1669),$U1669,IF(C1670="x",V1669,"")))</f>
        <v/>
      </c>
      <c r="X1670" cm="1">
        <f t="array" ref="X1670">IF($I1670&lt;&gt;"",$I1670,INDEX($I$1:$I1670,ROW()-COUNTIFS($T$1:$T1670,"="&amp;$T1670,$S$1:$S1670,"&lt;"&amp;$S1670)))</f>
        <v>0</v>
      </c>
      <c r="Z1670" s="6">
        <f t="shared" si="254"/>
        <v>1</v>
      </c>
      <c r="AA1670" t="e">
        <f t="shared" si="255"/>
        <v>#VALUE!</v>
      </c>
      <c r="AB1670" t="str">
        <f t="shared" si="256"/>
        <v/>
      </c>
      <c r="AC1670" t="e">
        <f t="shared" si="257"/>
        <v>#VALUE!</v>
      </c>
    </row>
    <row r="1671" spans="1:29" x14ac:dyDescent="0.2">
      <c r="A1671" t="str">
        <f t="shared" si="250"/>
        <v/>
      </c>
      <c r="E1671" s="4"/>
      <c r="F1671" s="46"/>
      <c r="G1671" s="4"/>
      <c r="H1671" s="48"/>
      <c r="J1671" s="26" t="str">
        <f t="shared" si="251"/>
        <v/>
      </c>
      <c r="N1671" t="str">
        <f t="shared" si="252"/>
        <v/>
      </c>
      <c r="Q1671" t="str">
        <f t="shared" si="253"/>
        <v/>
      </c>
      <c r="S1671" t="str">
        <f>IF(A1671=1,MAX($S$2:$S1670)+1,IF(OR($I1671&lt;&gt;"",A1671="x"),$S1670,""))</f>
        <v/>
      </c>
      <c r="T1671" t="str">
        <f>IF(D1671=1,MAX($T$2:$T1670)+1,IF(S1671=S1670,$T1670,IF(D1671="x",T1670,IF(D1670="x","",""))))</f>
        <v/>
      </c>
      <c r="U1671" t="str">
        <f>IF(B1671=1,MAX($U$2:$U1670)+1,IF(AND($T1671&lt;&gt;"",$T1671=$T1670),$U1670,IF(B1671="x",U1670,"")))</f>
        <v/>
      </c>
      <c r="V1671" t="str">
        <f>IF(C1671=1,MAX($V$2:$V1670)+1,IF(AND($T1671&lt;&gt;"",$T1671=$T1670),$U1670,IF(C1671="x",V1670,"")))</f>
        <v/>
      </c>
      <c r="X1671" cm="1">
        <f t="array" ref="X1671">IF($I1671&lt;&gt;"",$I1671,INDEX($I$1:$I1671,ROW()-COUNTIFS($T$1:$T1671,"="&amp;$T1671,$S$1:$S1671,"&lt;"&amp;$S1671)))</f>
        <v>0</v>
      </c>
      <c r="Z1671" s="6">
        <f t="shared" si="254"/>
        <v>1</v>
      </c>
      <c r="AA1671" t="e">
        <f t="shared" si="255"/>
        <v>#VALUE!</v>
      </c>
      <c r="AB1671" t="str">
        <f t="shared" si="256"/>
        <v/>
      </c>
      <c r="AC1671" t="e">
        <f t="shared" si="257"/>
        <v>#VALUE!</v>
      </c>
    </row>
    <row r="1672" spans="1:29" x14ac:dyDescent="0.2">
      <c r="A1672" t="str">
        <f t="shared" si="250"/>
        <v/>
      </c>
      <c r="E1672" s="4"/>
      <c r="F1672" s="46"/>
      <c r="G1672" s="4"/>
      <c r="H1672" s="48"/>
      <c r="J1672" s="26" t="str">
        <f t="shared" si="251"/>
        <v/>
      </c>
      <c r="N1672" t="str">
        <f t="shared" si="252"/>
        <v/>
      </c>
      <c r="Q1672" t="str">
        <f t="shared" si="253"/>
        <v/>
      </c>
      <c r="S1672" t="str">
        <f>IF(A1672=1,MAX($S$2:$S1671)+1,IF(OR($I1672&lt;&gt;"",A1672="x"),$S1671,""))</f>
        <v/>
      </c>
      <c r="T1672" t="str">
        <f>IF(D1672=1,MAX($T$2:$T1671)+1,IF(S1672=S1671,$T1671,IF(D1672="x",T1671,IF(D1671="x","",""))))</f>
        <v/>
      </c>
      <c r="U1672" t="str">
        <f>IF(B1672=1,MAX($U$2:$U1671)+1,IF(AND($T1672&lt;&gt;"",$T1672=$T1671),$U1671,IF(B1672="x",U1671,"")))</f>
        <v/>
      </c>
      <c r="V1672" t="str">
        <f>IF(C1672=1,MAX($V$2:$V1671)+1,IF(AND($T1672&lt;&gt;"",$T1672=$T1671),$U1671,IF(C1672="x",V1671,"")))</f>
        <v/>
      </c>
      <c r="X1672" cm="1">
        <f t="array" ref="X1672">IF($I1672&lt;&gt;"",$I1672,INDEX($I$1:$I1672,ROW()-COUNTIFS($T$1:$T1672,"="&amp;$T1672,$S$1:$S1672,"&lt;"&amp;$S1672)))</f>
        <v>0</v>
      </c>
      <c r="Z1672" s="6">
        <f t="shared" si="254"/>
        <v>1</v>
      </c>
      <c r="AA1672" t="e">
        <f t="shared" si="255"/>
        <v>#VALUE!</v>
      </c>
      <c r="AB1672" t="str">
        <f t="shared" si="256"/>
        <v/>
      </c>
      <c r="AC1672" t="e">
        <f t="shared" si="257"/>
        <v>#VALUE!</v>
      </c>
    </row>
    <row r="1673" spans="1:29" x14ac:dyDescent="0.2">
      <c r="A1673" t="str">
        <f t="shared" si="250"/>
        <v/>
      </c>
      <c r="E1673" s="4"/>
      <c r="F1673" s="46"/>
      <c r="G1673" s="4"/>
      <c r="H1673" s="48"/>
      <c r="J1673" s="26" t="str">
        <f t="shared" si="251"/>
        <v/>
      </c>
      <c r="N1673" t="str">
        <f t="shared" si="252"/>
        <v/>
      </c>
      <c r="Q1673" t="str">
        <f t="shared" si="253"/>
        <v/>
      </c>
      <c r="S1673" t="str">
        <f>IF(A1673=1,MAX($S$2:$S1672)+1,IF(OR($I1673&lt;&gt;"",A1673="x"),$S1672,""))</f>
        <v/>
      </c>
      <c r="T1673" t="str">
        <f>IF(D1673=1,MAX($T$2:$T1672)+1,IF(S1673=S1672,$T1672,IF(D1673="x",T1672,IF(D1672="x","",""))))</f>
        <v/>
      </c>
      <c r="U1673" t="str">
        <f>IF(B1673=1,MAX($U$2:$U1672)+1,IF(AND($T1673&lt;&gt;"",$T1673=$T1672),$U1672,IF(B1673="x",U1672,"")))</f>
        <v/>
      </c>
      <c r="V1673" t="str">
        <f>IF(C1673=1,MAX($V$2:$V1672)+1,IF(AND($T1673&lt;&gt;"",$T1673=$T1672),$U1672,IF(C1673="x",V1672,"")))</f>
        <v/>
      </c>
      <c r="X1673" cm="1">
        <f t="array" ref="X1673">IF($I1673&lt;&gt;"",$I1673,INDEX($I$1:$I1673,ROW()-COUNTIFS($T$1:$T1673,"="&amp;$T1673,$S$1:$S1673,"&lt;"&amp;$S1673)))</f>
        <v>0</v>
      </c>
      <c r="Z1673" s="6">
        <f t="shared" si="254"/>
        <v>1</v>
      </c>
      <c r="AA1673" t="e">
        <f t="shared" si="255"/>
        <v>#VALUE!</v>
      </c>
      <c r="AB1673" t="str">
        <f t="shared" si="256"/>
        <v/>
      </c>
      <c r="AC1673" t="e">
        <f t="shared" si="257"/>
        <v>#VALUE!</v>
      </c>
    </row>
    <row r="1674" spans="1:29" x14ac:dyDescent="0.2">
      <c r="A1674" t="str">
        <f t="shared" si="250"/>
        <v/>
      </c>
      <c r="E1674" s="4"/>
      <c r="F1674" s="46"/>
      <c r="G1674" s="4"/>
      <c r="H1674" s="48"/>
      <c r="J1674" s="26" t="str">
        <f t="shared" si="251"/>
        <v/>
      </c>
      <c r="N1674" t="str">
        <f t="shared" si="252"/>
        <v/>
      </c>
      <c r="Q1674" t="str">
        <f t="shared" si="253"/>
        <v/>
      </c>
      <c r="S1674" t="str">
        <f>IF(A1674=1,MAX($S$2:$S1673)+1,IF(OR($I1674&lt;&gt;"",A1674="x"),$S1673,""))</f>
        <v/>
      </c>
      <c r="T1674" t="str">
        <f>IF(D1674=1,MAX($T$2:$T1673)+1,IF(S1674=S1673,$T1673,IF(D1674="x",T1673,IF(D1673="x","",""))))</f>
        <v/>
      </c>
      <c r="U1674" t="str">
        <f>IF(B1674=1,MAX($U$2:$U1673)+1,IF(AND($T1674&lt;&gt;"",$T1674=$T1673),$U1673,IF(B1674="x",U1673,"")))</f>
        <v/>
      </c>
      <c r="V1674" t="str">
        <f>IF(C1674=1,MAX($V$2:$V1673)+1,IF(AND($T1674&lt;&gt;"",$T1674=$T1673),$U1673,IF(C1674="x",V1673,"")))</f>
        <v/>
      </c>
      <c r="X1674" cm="1">
        <f t="array" ref="X1674">IF($I1674&lt;&gt;"",$I1674,INDEX($I$1:$I1674,ROW()-COUNTIFS($T$1:$T1674,"="&amp;$T1674,$S$1:$S1674,"&lt;"&amp;$S1674)))</f>
        <v>0</v>
      </c>
      <c r="Z1674" s="6">
        <f t="shared" si="254"/>
        <v>1</v>
      </c>
      <c r="AA1674" t="e">
        <f t="shared" si="255"/>
        <v>#VALUE!</v>
      </c>
      <c r="AB1674" t="str">
        <f t="shared" si="256"/>
        <v/>
      </c>
      <c r="AC1674" t="e">
        <f t="shared" si="257"/>
        <v>#VALUE!</v>
      </c>
    </row>
    <row r="1675" spans="1:29" x14ac:dyDescent="0.2">
      <c r="A1675" t="str">
        <f t="shared" si="250"/>
        <v/>
      </c>
      <c r="E1675" s="4"/>
      <c r="F1675" s="46"/>
      <c r="G1675" s="4"/>
      <c r="H1675" s="48"/>
      <c r="J1675" s="26" t="str">
        <f t="shared" si="251"/>
        <v/>
      </c>
      <c r="N1675" t="str">
        <f t="shared" si="252"/>
        <v/>
      </c>
      <c r="Q1675" t="str">
        <f t="shared" si="253"/>
        <v/>
      </c>
      <c r="S1675" t="str">
        <f>IF(A1675=1,MAX($S$2:$S1674)+1,IF(OR($I1675&lt;&gt;"",A1675="x"),$S1674,""))</f>
        <v/>
      </c>
      <c r="T1675" t="str">
        <f>IF(D1675=1,MAX($T$2:$T1674)+1,IF(S1675=S1674,$T1674,IF(D1675="x",T1674,IF(D1674="x","",""))))</f>
        <v/>
      </c>
      <c r="U1675" t="str">
        <f>IF(B1675=1,MAX($U$2:$U1674)+1,IF(AND($T1675&lt;&gt;"",$T1675=$T1674),$U1674,IF(B1675="x",U1674,"")))</f>
        <v/>
      </c>
      <c r="V1675" t="str">
        <f>IF(C1675=1,MAX($V$2:$V1674)+1,IF(AND($T1675&lt;&gt;"",$T1675=$T1674),$U1674,IF(C1675="x",V1674,"")))</f>
        <v/>
      </c>
      <c r="X1675" cm="1">
        <f t="array" ref="X1675">IF($I1675&lt;&gt;"",$I1675,INDEX($I$1:$I1675,ROW()-COUNTIFS($T$1:$T1675,"="&amp;$T1675,$S$1:$S1675,"&lt;"&amp;$S1675)))</f>
        <v>0</v>
      </c>
      <c r="Z1675" s="6">
        <f t="shared" si="254"/>
        <v>1</v>
      </c>
      <c r="AA1675" t="e">
        <f t="shared" si="255"/>
        <v>#VALUE!</v>
      </c>
      <c r="AB1675" t="str">
        <f t="shared" si="256"/>
        <v/>
      </c>
      <c r="AC1675" t="e">
        <f t="shared" si="257"/>
        <v>#VALUE!</v>
      </c>
    </row>
    <row r="1676" spans="1:29" x14ac:dyDescent="0.2">
      <c r="A1676" t="str">
        <f t="shared" si="250"/>
        <v/>
      </c>
      <c r="E1676" s="4"/>
      <c r="F1676" s="46"/>
      <c r="G1676" s="4"/>
      <c r="H1676" s="48"/>
      <c r="J1676" s="26" t="str">
        <f t="shared" si="251"/>
        <v/>
      </c>
      <c r="N1676" t="str">
        <f t="shared" si="252"/>
        <v/>
      </c>
      <c r="Q1676" t="str">
        <f t="shared" si="253"/>
        <v/>
      </c>
      <c r="S1676" t="str">
        <f>IF(A1676=1,MAX($S$2:$S1675)+1,IF(OR($I1676&lt;&gt;"",A1676="x"),$S1675,""))</f>
        <v/>
      </c>
      <c r="T1676" t="str">
        <f>IF(D1676=1,MAX($T$2:$T1675)+1,IF(S1676=S1675,$T1675,IF(D1676="x",T1675,IF(D1675="x","",""))))</f>
        <v/>
      </c>
      <c r="U1676" t="str">
        <f>IF(B1676=1,MAX($U$2:$U1675)+1,IF(AND($T1676&lt;&gt;"",$T1676=$T1675),$U1675,IF(B1676="x",U1675,"")))</f>
        <v/>
      </c>
      <c r="V1676" t="str">
        <f>IF(C1676=1,MAX($V$2:$V1675)+1,IF(AND($T1676&lt;&gt;"",$T1676=$T1675),$U1675,IF(C1676="x",V1675,"")))</f>
        <v/>
      </c>
      <c r="X1676" cm="1">
        <f t="array" ref="X1676">IF($I1676&lt;&gt;"",$I1676,INDEX($I$1:$I1676,ROW()-COUNTIFS($T$1:$T1676,"="&amp;$T1676,$S$1:$S1676,"&lt;"&amp;$S1676)))</f>
        <v>0</v>
      </c>
      <c r="Z1676" s="6">
        <f t="shared" si="254"/>
        <v>1</v>
      </c>
      <c r="AA1676" t="e">
        <f t="shared" si="255"/>
        <v>#VALUE!</v>
      </c>
      <c r="AB1676" t="str">
        <f t="shared" si="256"/>
        <v/>
      </c>
      <c r="AC1676" t="e">
        <f t="shared" si="257"/>
        <v>#VALUE!</v>
      </c>
    </row>
    <row r="1677" spans="1:29" x14ac:dyDescent="0.2">
      <c r="A1677" t="str">
        <f t="shared" si="250"/>
        <v/>
      </c>
      <c r="E1677" s="4"/>
      <c r="F1677" s="46"/>
      <c r="G1677" s="4"/>
      <c r="H1677" s="48"/>
      <c r="J1677" s="26" t="str">
        <f t="shared" si="251"/>
        <v/>
      </c>
      <c r="N1677" t="str">
        <f t="shared" si="252"/>
        <v/>
      </c>
      <c r="Q1677" t="str">
        <f t="shared" si="253"/>
        <v/>
      </c>
      <c r="S1677" t="str">
        <f>IF(A1677=1,MAX($S$2:$S1676)+1,IF(OR($I1677&lt;&gt;"",A1677="x"),$S1676,""))</f>
        <v/>
      </c>
      <c r="T1677" t="str">
        <f>IF(D1677=1,MAX($T$2:$T1676)+1,IF(S1677=S1676,$T1676,IF(D1677="x",T1676,IF(D1676="x","",""))))</f>
        <v/>
      </c>
      <c r="U1677" t="str">
        <f>IF(B1677=1,MAX($U$2:$U1676)+1,IF(AND($T1677&lt;&gt;"",$T1677=$T1676),$U1676,IF(B1677="x",U1676,"")))</f>
        <v/>
      </c>
      <c r="V1677" t="str">
        <f>IF(C1677=1,MAX($V$2:$V1676)+1,IF(AND($T1677&lt;&gt;"",$T1677=$T1676),$U1676,IF(C1677="x",V1676,"")))</f>
        <v/>
      </c>
      <c r="X1677" cm="1">
        <f t="array" ref="X1677">IF($I1677&lt;&gt;"",$I1677,INDEX($I$1:$I1677,ROW()-COUNTIFS($T$1:$T1677,"="&amp;$T1677,$S$1:$S1677,"&lt;"&amp;$S1677)))</f>
        <v>0</v>
      </c>
      <c r="Z1677" s="6">
        <f t="shared" si="254"/>
        <v>1</v>
      </c>
      <c r="AA1677" t="e">
        <f t="shared" si="255"/>
        <v>#VALUE!</v>
      </c>
      <c r="AB1677" t="str">
        <f t="shared" si="256"/>
        <v/>
      </c>
      <c r="AC1677" t="e">
        <f t="shared" si="257"/>
        <v>#VALUE!</v>
      </c>
    </row>
    <row r="1678" spans="1:29" x14ac:dyDescent="0.2">
      <c r="A1678" t="str">
        <f t="shared" si="250"/>
        <v/>
      </c>
      <c r="E1678" s="4"/>
      <c r="F1678" s="46"/>
      <c r="G1678" s="4"/>
      <c r="H1678" s="48"/>
      <c r="J1678" s="26" t="str">
        <f t="shared" si="251"/>
        <v/>
      </c>
      <c r="N1678" t="str">
        <f t="shared" si="252"/>
        <v/>
      </c>
      <c r="Q1678" t="str">
        <f t="shared" si="253"/>
        <v/>
      </c>
      <c r="S1678" t="str">
        <f>IF(A1678=1,MAX($S$2:$S1677)+1,IF(OR($I1678&lt;&gt;"",A1678="x"),$S1677,""))</f>
        <v/>
      </c>
      <c r="T1678" t="str">
        <f>IF(D1678=1,MAX($T$2:$T1677)+1,IF(S1678=S1677,$T1677,IF(D1678="x",T1677,IF(D1677="x","",""))))</f>
        <v/>
      </c>
      <c r="U1678" t="str">
        <f>IF(B1678=1,MAX($U$2:$U1677)+1,IF(AND($T1678&lt;&gt;"",$T1678=$T1677),$U1677,IF(B1678="x",U1677,"")))</f>
        <v/>
      </c>
      <c r="V1678" t="str">
        <f>IF(C1678=1,MAX($V$2:$V1677)+1,IF(AND($T1678&lt;&gt;"",$T1678=$T1677),$U1677,IF(C1678="x",V1677,"")))</f>
        <v/>
      </c>
      <c r="X1678" cm="1">
        <f t="array" ref="X1678">IF($I1678&lt;&gt;"",$I1678,INDEX($I$1:$I1678,ROW()-COUNTIFS($T$1:$T1678,"="&amp;$T1678,$S$1:$S1678,"&lt;"&amp;$S1678)))</f>
        <v>0</v>
      </c>
      <c r="Z1678" s="6">
        <f t="shared" si="254"/>
        <v>1</v>
      </c>
      <c r="AA1678" t="e">
        <f t="shared" si="255"/>
        <v>#VALUE!</v>
      </c>
      <c r="AB1678" t="str">
        <f t="shared" si="256"/>
        <v/>
      </c>
      <c r="AC1678" t="e">
        <f t="shared" si="257"/>
        <v>#VALUE!</v>
      </c>
    </row>
    <row r="1679" spans="1:29" x14ac:dyDescent="0.2">
      <c r="A1679" t="str">
        <f t="shared" si="250"/>
        <v/>
      </c>
      <c r="E1679" s="4"/>
      <c r="F1679" s="46"/>
      <c r="G1679" s="4"/>
      <c r="H1679" s="48"/>
      <c r="J1679" s="26" t="str">
        <f t="shared" si="251"/>
        <v/>
      </c>
      <c r="N1679" t="str">
        <f t="shared" si="252"/>
        <v/>
      </c>
      <c r="Q1679" t="str">
        <f t="shared" si="253"/>
        <v/>
      </c>
      <c r="S1679" t="str">
        <f>IF(A1679=1,MAX($S$2:$S1678)+1,IF(OR($I1679&lt;&gt;"",A1679="x"),$S1678,""))</f>
        <v/>
      </c>
      <c r="T1679" t="str">
        <f>IF(D1679=1,MAX($T$2:$T1678)+1,IF(S1679=S1678,$T1678,IF(D1679="x",T1678,IF(D1678="x","",""))))</f>
        <v/>
      </c>
      <c r="U1679" t="str">
        <f>IF(B1679=1,MAX($U$2:$U1678)+1,IF(AND($T1679&lt;&gt;"",$T1679=$T1678),$U1678,IF(B1679="x",U1678,"")))</f>
        <v/>
      </c>
      <c r="V1679" t="str">
        <f>IF(C1679=1,MAX($V$2:$V1678)+1,IF(AND($T1679&lt;&gt;"",$T1679=$T1678),$U1678,IF(C1679="x",V1678,"")))</f>
        <v/>
      </c>
      <c r="X1679" cm="1">
        <f t="array" ref="X1679">IF($I1679&lt;&gt;"",$I1679,INDEX($I$1:$I1679,ROW()-COUNTIFS($T$1:$T1679,"="&amp;$T1679,$S$1:$S1679,"&lt;"&amp;$S1679)))</f>
        <v>0</v>
      </c>
      <c r="Z1679" s="6">
        <f t="shared" si="254"/>
        <v>1</v>
      </c>
      <c r="AA1679" t="e">
        <f t="shared" si="255"/>
        <v>#VALUE!</v>
      </c>
      <c r="AB1679" t="str">
        <f t="shared" si="256"/>
        <v/>
      </c>
      <c r="AC1679" t="e">
        <f t="shared" si="257"/>
        <v>#VALUE!</v>
      </c>
    </row>
    <row r="1680" spans="1:29" x14ac:dyDescent="0.2">
      <c r="A1680" t="str">
        <f t="shared" si="250"/>
        <v/>
      </c>
      <c r="E1680" s="4"/>
      <c r="F1680" s="46"/>
      <c r="G1680" s="4"/>
      <c r="H1680" s="48"/>
      <c r="J1680" s="26" t="str">
        <f t="shared" si="251"/>
        <v/>
      </c>
      <c r="N1680" t="str">
        <f t="shared" si="252"/>
        <v/>
      </c>
      <c r="Q1680" t="str">
        <f t="shared" si="253"/>
        <v/>
      </c>
      <c r="S1680" t="str">
        <f>IF(A1680=1,MAX($S$2:$S1679)+1,IF(OR($I1680&lt;&gt;"",A1680="x"),$S1679,""))</f>
        <v/>
      </c>
      <c r="T1680" t="str">
        <f>IF(D1680=1,MAX($T$2:$T1679)+1,IF(S1680=S1679,$T1679,IF(D1680="x",T1679,IF(D1679="x","",""))))</f>
        <v/>
      </c>
      <c r="U1680" t="str">
        <f>IF(B1680=1,MAX($U$2:$U1679)+1,IF(AND($T1680&lt;&gt;"",$T1680=$T1679),$U1679,IF(B1680="x",U1679,"")))</f>
        <v/>
      </c>
      <c r="V1680" t="str">
        <f>IF(C1680=1,MAX($V$2:$V1679)+1,IF(AND($T1680&lt;&gt;"",$T1680=$T1679),$U1679,IF(C1680="x",V1679,"")))</f>
        <v/>
      </c>
      <c r="X1680" cm="1">
        <f t="array" ref="X1680">IF($I1680&lt;&gt;"",$I1680,INDEX($I$1:$I1680,ROW()-COUNTIFS($T$1:$T1680,"="&amp;$T1680,$S$1:$S1680,"&lt;"&amp;$S1680)))</f>
        <v>0</v>
      </c>
      <c r="Z1680" s="6">
        <f t="shared" si="254"/>
        <v>1</v>
      </c>
      <c r="AA1680" t="e">
        <f t="shared" si="255"/>
        <v>#VALUE!</v>
      </c>
      <c r="AB1680" t="str">
        <f t="shared" si="256"/>
        <v/>
      </c>
      <c r="AC1680" t="e">
        <f t="shared" si="257"/>
        <v>#VALUE!</v>
      </c>
    </row>
    <row r="1681" spans="1:29" x14ac:dyDescent="0.2">
      <c r="A1681" t="str">
        <f t="shared" si="250"/>
        <v/>
      </c>
      <c r="E1681" s="4"/>
      <c r="F1681" s="46"/>
      <c r="G1681" s="4"/>
      <c r="H1681" s="48"/>
      <c r="J1681" s="26" t="str">
        <f t="shared" si="251"/>
        <v/>
      </c>
      <c r="N1681" t="str">
        <f t="shared" si="252"/>
        <v/>
      </c>
      <c r="Q1681" t="str">
        <f t="shared" si="253"/>
        <v/>
      </c>
      <c r="S1681" t="str">
        <f>IF(A1681=1,MAX($S$2:$S1680)+1,IF(OR($I1681&lt;&gt;"",A1681="x"),$S1680,""))</f>
        <v/>
      </c>
      <c r="T1681" t="str">
        <f>IF(D1681=1,MAX($T$2:$T1680)+1,IF(S1681=S1680,$T1680,IF(D1681="x",T1680,IF(D1680="x","",""))))</f>
        <v/>
      </c>
      <c r="U1681" t="str">
        <f>IF(B1681=1,MAX($U$2:$U1680)+1,IF(AND($T1681&lt;&gt;"",$T1681=$T1680),$U1680,IF(B1681="x",U1680,"")))</f>
        <v/>
      </c>
      <c r="V1681" t="str">
        <f>IF(C1681=1,MAX($V$2:$V1680)+1,IF(AND($T1681&lt;&gt;"",$T1681=$T1680),$U1680,IF(C1681="x",V1680,"")))</f>
        <v/>
      </c>
      <c r="X1681" cm="1">
        <f t="array" ref="X1681">IF($I1681&lt;&gt;"",$I1681,INDEX($I$1:$I1681,ROW()-COUNTIFS($T$1:$T1681,"="&amp;$T1681,$S$1:$S1681,"&lt;"&amp;$S1681)))</f>
        <v>0</v>
      </c>
      <c r="Z1681" s="6">
        <f t="shared" si="254"/>
        <v>1</v>
      </c>
      <c r="AA1681" t="e">
        <f t="shared" si="255"/>
        <v>#VALUE!</v>
      </c>
      <c r="AB1681" t="str">
        <f t="shared" si="256"/>
        <v/>
      </c>
      <c r="AC1681" t="e">
        <f t="shared" si="257"/>
        <v>#VALUE!</v>
      </c>
    </row>
    <row r="1682" spans="1:29" x14ac:dyDescent="0.2">
      <c r="A1682" t="str">
        <f t="shared" si="250"/>
        <v/>
      </c>
      <c r="E1682" s="4"/>
      <c r="F1682" s="46"/>
      <c r="G1682" s="4"/>
      <c r="H1682" s="48"/>
      <c r="J1682" s="26" t="str">
        <f t="shared" si="251"/>
        <v/>
      </c>
      <c r="N1682" t="str">
        <f t="shared" si="252"/>
        <v/>
      </c>
      <c r="Q1682" t="str">
        <f t="shared" si="253"/>
        <v/>
      </c>
      <c r="S1682" t="str">
        <f>IF(A1682=1,MAX($S$2:$S1681)+1,IF(OR($I1682&lt;&gt;"",A1682="x"),$S1681,""))</f>
        <v/>
      </c>
      <c r="T1682" t="str">
        <f>IF(D1682=1,MAX($T$2:$T1681)+1,IF(S1682=S1681,$T1681,IF(D1682="x",T1681,IF(D1681="x","",""))))</f>
        <v/>
      </c>
      <c r="U1682" t="str">
        <f>IF(B1682=1,MAX($U$2:$U1681)+1,IF(AND($T1682&lt;&gt;"",$T1682=$T1681),$U1681,IF(B1682="x",U1681,"")))</f>
        <v/>
      </c>
      <c r="V1682" t="str">
        <f>IF(C1682=1,MAX($V$2:$V1681)+1,IF(AND($T1682&lt;&gt;"",$T1682=$T1681),$U1681,IF(C1682="x",V1681,"")))</f>
        <v/>
      </c>
      <c r="X1682" cm="1">
        <f t="array" ref="X1682">IF($I1682&lt;&gt;"",$I1682,INDEX($I$1:$I1682,ROW()-COUNTIFS($T$1:$T1682,"="&amp;$T1682,$S$1:$S1682,"&lt;"&amp;$S1682)))</f>
        <v>0</v>
      </c>
      <c r="Z1682" s="6">
        <f t="shared" si="254"/>
        <v>1</v>
      </c>
      <c r="AA1682" t="e">
        <f t="shared" si="255"/>
        <v>#VALUE!</v>
      </c>
      <c r="AB1682" t="str">
        <f t="shared" si="256"/>
        <v/>
      </c>
      <c r="AC1682" t="e">
        <f t="shared" si="257"/>
        <v>#VALUE!</v>
      </c>
    </row>
    <row r="1683" spans="1:29" x14ac:dyDescent="0.2">
      <c r="A1683" t="str">
        <f t="shared" ref="A1683:A1746" si="258">IF(K1683&lt;&gt;"",1,IF(D1683="x","x",""))</f>
        <v/>
      </c>
      <c r="E1683" s="4"/>
      <c r="F1683" s="46"/>
      <c r="G1683" s="4"/>
      <c r="H1683" s="48"/>
      <c r="J1683" s="26" t="str">
        <f t="shared" ref="J1683:J1746" si="259">IF(OR(K1683="Goal",K1683="Shot",L1683="Zone_Entry",M1683="Stoppage-Goal",M1682="Stoppage-Goal"),"o",IF(OR(K1683="Save",K1683="Rebound",L1683="Zone_Exit",M1683="Stoppage-GoalieStoppage",M1682="Stoppage-GoalieStoppage"),"d",IF(OR(L1683="Faceoff_AfterGoal",L1683="Faceoff_PeriodStart",698="Faceoff_GameStart",M1682="Stoppage-Goal"),"n","")))</f>
        <v/>
      </c>
      <c r="N1683" t="str">
        <f t="shared" ref="N1683:N1746" si="260">IF(K1683="","",IF(K1683="Goal","s",IF(AND(K1683="Zone_Entry_Exit",OR(ISNUMBER(SEARCH("fail",L1683)),ISNUMBER(SEARCH("FromExitClear",M1683)),ISNUMBER(SEARCH("miss",M1683)))),"u",IF(AND(K1683="Zone_Entry_Exit",OR(NOT(ISNUMBER(SEARCH("fail",L1683))),NOT(ISNUMBER(SEARCH("FromExitClear",M1683))),NOT(ISNUMBER(SEARCH("miss",M1683))))),"s",IF(AND(OR(K1683="Shot",K1683="Pass"),OR(ISNUMBER(SEARCH("complete",L1683)),ISNUMBER(SEARCH("goal",L1683)),ISNUMBER(SEARCH("OnNet",L1683)))),"s",IF(L1683="Turnover_Giveaway","u",IF(AND(OR(K1683="Shot",K1683="Pass"),OR(ISNUMBER(SEARCH("fail",L1683)),NOT(ISNUMBER(SEARCH("complete",L1683))),NOT(ISNUMBER(SEARCH("OnNet",L1683))))),"u","")))))))</f>
        <v/>
      </c>
      <c r="Q1683" t="str">
        <f t="shared" ref="Q1683:Q1746" si="261">IF(O1683="","",IF(AND(N1683&lt;&gt;"",OR(O1683&lt;&gt;"",P1683&lt;&gt;"")),N1683,IF(OR(ISNUMBER(SEARCH("attemp",O1683)),ISNUMBER(SEARCH("beat",O1683)),ISNUMBER(SEARCH("mis",O1683)),ISNUMBER(SEARCH("fail",O1683)),ISNUMBER(SEARCH("loss",O1683)),ISNUMBER(SEARCH("lost",O1683)),ISNUMBER(SEARCH("attemp",P1683)),ISNUMBER(SEARCH("mis",P1683)),ISNUMBER(SEARCH("fail",P1683)),ISNUMBER(SEARCH("loss",P1683)),ISNUMBER(SEARCH("beat",P1683)),ISNUMBER(SEARCH("lost",P1683))),"u","")))</f>
        <v/>
      </c>
      <c r="S1683" t="str">
        <f>IF(A1683=1,MAX($S$2:$S1682)+1,IF(OR($I1683&lt;&gt;"",A1683="x"),$S1682,""))</f>
        <v/>
      </c>
      <c r="T1683" t="str">
        <f>IF(D1683=1,MAX($T$2:$T1682)+1,IF(S1683=S1682,$T1682,IF(D1683="x",T1682,IF(D1682="x","",""))))</f>
        <v/>
      </c>
      <c r="U1683" t="str">
        <f>IF(B1683=1,MAX($U$2:$U1682)+1,IF(AND($T1683&lt;&gt;"",$T1683=$T1682),$U1682,IF(B1683="x",U1682,"")))</f>
        <v/>
      </c>
      <c r="V1683" t="str">
        <f>IF(C1683=1,MAX($V$2:$V1682)+1,IF(AND($T1683&lt;&gt;"",$T1683=$T1682),$U1682,IF(C1683="x",V1682,"")))</f>
        <v/>
      </c>
      <c r="X1683" cm="1">
        <f t="array" ref="X1683">IF($I1683&lt;&gt;"",$I1683,INDEX($I$1:$I1683,ROW()-COUNTIFS($T$1:$T1683,"="&amp;$T1683,$S$1:$S1683,"&lt;"&amp;$S1683)))</f>
        <v>0</v>
      </c>
      <c r="Z1683" s="6">
        <f t="shared" si="254"/>
        <v>1</v>
      </c>
      <c r="AA1683" t="e">
        <f t="shared" si="255"/>
        <v>#VALUE!</v>
      </c>
      <c r="AB1683" t="str">
        <f t="shared" si="256"/>
        <v/>
      </c>
      <c r="AC1683" t="e">
        <f t="shared" si="257"/>
        <v>#VALUE!</v>
      </c>
    </row>
    <row r="1684" spans="1:29" x14ac:dyDescent="0.2">
      <c r="A1684" t="str">
        <f t="shared" si="258"/>
        <v/>
      </c>
      <c r="E1684" s="4"/>
      <c r="F1684" s="46"/>
      <c r="G1684" s="4"/>
      <c r="H1684" s="48"/>
      <c r="J1684" s="26" t="str">
        <f t="shared" si="259"/>
        <v/>
      </c>
      <c r="N1684" t="str">
        <f t="shared" si="260"/>
        <v/>
      </c>
      <c r="Q1684" t="str">
        <f t="shared" si="261"/>
        <v/>
      </c>
      <c r="S1684" t="str">
        <f>IF(A1684=1,MAX($S$2:$S1683)+1,IF(OR($I1684&lt;&gt;"",A1684="x"),$S1683,""))</f>
        <v/>
      </c>
      <c r="T1684" t="str">
        <f>IF(D1684=1,MAX($T$2:$T1683)+1,IF(S1684=S1683,$T1683,IF(D1684="x",T1683,IF(D1683="x","",""))))</f>
        <v/>
      </c>
      <c r="U1684" t="str">
        <f>IF(B1684=1,MAX($U$2:$U1683)+1,IF(AND($T1684&lt;&gt;"",$T1684=$T1683),$U1683,IF(B1684="x",U1683,"")))</f>
        <v/>
      </c>
      <c r="V1684" t="str">
        <f>IF(C1684=1,MAX($V$2:$V1683)+1,IF(AND($T1684&lt;&gt;"",$T1684=$T1683),$U1683,IF(C1684="x",V1683,"")))</f>
        <v/>
      </c>
      <c r="X1684" cm="1">
        <f t="array" ref="X1684">IF($I1684&lt;&gt;"",$I1684,INDEX($I$1:$I1684,ROW()-COUNTIFS($T$1:$T1684,"="&amp;$T1684,$S$1:$S1684,"&lt;"&amp;$S1684)))</f>
        <v>0</v>
      </c>
      <c r="Z1684" s="6">
        <f t="shared" si="254"/>
        <v>1</v>
      </c>
      <c r="AA1684" t="e">
        <f t="shared" si="255"/>
        <v>#VALUE!</v>
      </c>
      <c r="AB1684" t="str">
        <f t="shared" si="256"/>
        <v/>
      </c>
      <c r="AC1684" t="e">
        <f t="shared" si="257"/>
        <v>#VALUE!</v>
      </c>
    </row>
    <row r="1685" spans="1:29" x14ac:dyDescent="0.2">
      <c r="A1685" t="str">
        <f t="shared" si="258"/>
        <v/>
      </c>
      <c r="E1685" s="4"/>
      <c r="F1685" s="46"/>
      <c r="G1685" s="4"/>
      <c r="H1685" s="48"/>
      <c r="J1685" s="26" t="str">
        <f t="shared" si="259"/>
        <v/>
      </c>
      <c r="N1685" t="str">
        <f t="shared" si="260"/>
        <v/>
      </c>
      <c r="Q1685" t="str">
        <f t="shared" si="261"/>
        <v/>
      </c>
      <c r="S1685" t="str">
        <f>IF(A1685=1,MAX($S$2:$S1684)+1,IF(OR($I1685&lt;&gt;"",A1685="x"),$S1684,""))</f>
        <v/>
      </c>
      <c r="T1685" t="str">
        <f>IF(D1685=1,MAX($T$2:$T1684)+1,IF(S1685=S1684,$T1684,IF(D1685="x",T1684,IF(D1684="x","",""))))</f>
        <v/>
      </c>
      <c r="U1685" t="str">
        <f>IF(B1685=1,MAX($U$2:$U1684)+1,IF(AND($T1685&lt;&gt;"",$T1685=$T1684),$U1684,IF(B1685="x",U1684,"")))</f>
        <v/>
      </c>
      <c r="V1685" t="str">
        <f>IF(C1685=1,MAX($V$2:$V1684)+1,IF(AND($T1685&lt;&gt;"",$T1685=$T1684),$U1684,IF(C1685="x",V1684,"")))</f>
        <v/>
      </c>
      <c r="X1685" cm="1">
        <f t="array" ref="X1685">IF($I1685&lt;&gt;"",$I1685,INDEX($I$1:$I1685,ROW()-COUNTIFS($T$1:$T1685,"="&amp;$T1685,$S$1:$S1685,"&lt;"&amp;$S1685)))</f>
        <v>0</v>
      </c>
      <c r="Z1685" s="6">
        <f t="shared" si="254"/>
        <v>1</v>
      </c>
      <c r="AA1685" t="e">
        <f t="shared" si="255"/>
        <v>#VALUE!</v>
      </c>
      <c r="AB1685" t="str">
        <f t="shared" si="256"/>
        <v/>
      </c>
      <c r="AC1685" t="e">
        <f t="shared" si="257"/>
        <v>#VALUE!</v>
      </c>
    </row>
    <row r="1686" spans="1:29" x14ac:dyDescent="0.2">
      <c r="A1686" t="str">
        <f t="shared" si="258"/>
        <v/>
      </c>
      <c r="E1686" s="4"/>
      <c r="F1686" s="46"/>
      <c r="G1686" s="4"/>
      <c r="H1686" s="48"/>
      <c r="J1686" s="26" t="str">
        <f t="shared" si="259"/>
        <v/>
      </c>
      <c r="N1686" t="str">
        <f t="shared" si="260"/>
        <v/>
      </c>
      <c r="Q1686" t="str">
        <f t="shared" si="261"/>
        <v/>
      </c>
      <c r="S1686" t="str">
        <f>IF(A1686=1,MAX($S$2:$S1685)+1,IF(OR($I1686&lt;&gt;"",A1686="x"),$S1685,""))</f>
        <v/>
      </c>
      <c r="T1686" t="str">
        <f>IF(D1686=1,MAX($T$2:$T1685)+1,IF(S1686=S1685,$T1685,IF(D1686="x",T1685,IF(D1685="x","",""))))</f>
        <v/>
      </c>
      <c r="U1686" t="str">
        <f>IF(B1686=1,MAX($U$2:$U1685)+1,IF(AND($T1686&lt;&gt;"",$T1686=$T1685),$U1685,IF(B1686="x",U1685,"")))</f>
        <v/>
      </c>
      <c r="V1686" t="str">
        <f>IF(C1686=1,MAX($V$2:$V1685)+1,IF(AND($T1686&lt;&gt;"",$T1686=$T1685),$U1685,IF(C1686="x",V1685,"")))</f>
        <v/>
      </c>
      <c r="X1686" cm="1">
        <f t="array" ref="X1686">IF($I1686&lt;&gt;"",$I1686,INDEX($I$1:$I1686,ROW()-COUNTIFS($T$1:$T1686,"="&amp;$T1686,$S$1:$S1686,"&lt;"&amp;$S1686)))</f>
        <v>0</v>
      </c>
      <c r="Z1686" s="6">
        <f t="shared" si="254"/>
        <v>1</v>
      </c>
      <c r="AA1686" t="e">
        <f t="shared" si="255"/>
        <v>#VALUE!</v>
      </c>
      <c r="AB1686" t="str">
        <f t="shared" si="256"/>
        <v/>
      </c>
      <c r="AC1686" t="e">
        <f t="shared" si="257"/>
        <v>#VALUE!</v>
      </c>
    </row>
    <row r="1687" spans="1:29" x14ac:dyDescent="0.2">
      <c r="A1687" t="str">
        <f t="shared" si="258"/>
        <v/>
      </c>
      <c r="E1687" s="4"/>
      <c r="F1687" s="46"/>
      <c r="G1687" s="4"/>
      <c r="H1687" s="48"/>
      <c r="J1687" s="26" t="str">
        <f t="shared" si="259"/>
        <v/>
      </c>
      <c r="N1687" t="str">
        <f t="shared" si="260"/>
        <v/>
      </c>
      <c r="Q1687" t="str">
        <f t="shared" si="261"/>
        <v/>
      </c>
      <c r="S1687" t="str">
        <f>IF(A1687=1,MAX($S$2:$S1686)+1,IF(OR($I1687&lt;&gt;"",A1687="x"),$S1686,""))</f>
        <v/>
      </c>
      <c r="T1687" t="str">
        <f>IF(D1687=1,MAX($T$2:$T1686)+1,IF(S1687=S1686,$T1686,IF(D1687="x",T1686,IF(D1686="x","",""))))</f>
        <v/>
      </c>
      <c r="U1687" t="str">
        <f>IF(B1687=1,MAX($U$2:$U1686)+1,IF(AND($T1687&lt;&gt;"",$T1687=$T1686),$U1686,IF(B1687="x",U1686,"")))</f>
        <v/>
      </c>
      <c r="V1687" t="str">
        <f>IF(C1687=1,MAX($V$2:$V1686)+1,IF(AND($T1687&lt;&gt;"",$T1687=$T1686),$U1686,IF(C1687="x",V1686,"")))</f>
        <v/>
      </c>
      <c r="X1687" cm="1">
        <f t="array" ref="X1687">IF($I1687&lt;&gt;"",$I1687,INDEX($I$1:$I1687,ROW()-COUNTIFS($T$1:$T1687,"="&amp;$T1687,$S$1:$S1687,"&lt;"&amp;$S1687)))</f>
        <v>0</v>
      </c>
      <c r="Z1687" s="6">
        <f t="shared" si="254"/>
        <v>1</v>
      </c>
      <c r="AA1687" t="e">
        <f t="shared" si="255"/>
        <v>#VALUE!</v>
      </c>
      <c r="AB1687" t="str">
        <f t="shared" si="256"/>
        <v/>
      </c>
      <c r="AC1687" t="e">
        <f t="shared" si="257"/>
        <v>#VALUE!</v>
      </c>
    </row>
    <row r="1688" spans="1:29" x14ac:dyDescent="0.2">
      <c r="A1688" t="str">
        <f t="shared" si="258"/>
        <v/>
      </c>
      <c r="E1688" s="4"/>
      <c r="F1688" s="46"/>
      <c r="G1688" s="4"/>
      <c r="H1688" s="48"/>
      <c r="J1688" s="26" t="str">
        <f t="shared" si="259"/>
        <v/>
      </c>
      <c r="N1688" t="str">
        <f t="shared" si="260"/>
        <v/>
      </c>
      <c r="Q1688" t="str">
        <f t="shared" si="261"/>
        <v/>
      </c>
      <c r="S1688" t="str">
        <f>IF(A1688=1,MAX($S$2:$S1687)+1,IF(OR($I1688&lt;&gt;"",A1688="x"),$S1687,""))</f>
        <v/>
      </c>
      <c r="T1688" t="str">
        <f>IF(D1688=1,MAX($T$2:$T1687)+1,IF(S1688=S1687,$T1687,IF(D1688="x",T1687,IF(D1687="x","",""))))</f>
        <v/>
      </c>
      <c r="U1688" t="str">
        <f>IF(B1688=1,MAX($U$2:$U1687)+1,IF(AND($T1688&lt;&gt;"",$T1688=$T1687),$U1687,IF(B1688="x",U1687,"")))</f>
        <v/>
      </c>
      <c r="V1688" t="str">
        <f>IF(C1688=1,MAX($V$2:$V1687)+1,IF(AND($T1688&lt;&gt;"",$T1688=$T1687),$U1687,IF(C1688="x",V1687,"")))</f>
        <v/>
      </c>
      <c r="X1688" cm="1">
        <f t="array" ref="X1688">IF($I1688&lt;&gt;"",$I1688,INDEX($I$1:$I1688,ROW()-COUNTIFS($T$1:$T1688,"="&amp;$T1688,$S$1:$S1688,"&lt;"&amp;$S1688)))</f>
        <v>0</v>
      </c>
      <c r="Z1688" s="6">
        <f t="shared" si="254"/>
        <v>1</v>
      </c>
      <c r="AA1688" t="e">
        <f t="shared" si="255"/>
        <v>#VALUE!</v>
      </c>
      <c r="AB1688" t="str">
        <f t="shared" si="256"/>
        <v/>
      </c>
      <c r="AC1688" t="e">
        <f t="shared" si="257"/>
        <v>#VALUE!</v>
      </c>
    </row>
    <row r="1689" spans="1:29" x14ac:dyDescent="0.2">
      <c r="A1689" t="str">
        <f t="shared" si="258"/>
        <v/>
      </c>
      <c r="E1689" s="4"/>
      <c r="F1689" s="46"/>
      <c r="G1689" s="4"/>
      <c r="H1689" s="48"/>
      <c r="J1689" s="26" t="str">
        <f t="shared" si="259"/>
        <v/>
      </c>
      <c r="N1689" t="str">
        <f t="shared" si="260"/>
        <v/>
      </c>
      <c r="Q1689" t="str">
        <f t="shared" si="261"/>
        <v/>
      </c>
      <c r="S1689" t="str">
        <f>IF(A1689=1,MAX($S$2:$S1688)+1,IF(OR($I1689&lt;&gt;"",A1689="x"),$S1688,""))</f>
        <v/>
      </c>
      <c r="T1689" t="str">
        <f>IF(D1689=1,MAX($T$2:$T1688)+1,IF(S1689=S1688,$T1688,IF(D1689="x",T1688,IF(D1688="x","",""))))</f>
        <v/>
      </c>
      <c r="U1689" t="str">
        <f>IF(B1689=1,MAX($U$2:$U1688)+1,IF(AND($T1689&lt;&gt;"",$T1689=$T1688),$U1688,IF(B1689="x",U1688,"")))</f>
        <v/>
      </c>
      <c r="V1689" t="str">
        <f>IF(C1689=1,MAX($V$2:$V1688)+1,IF(AND($T1689&lt;&gt;"",$T1689=$T1688),$U1688,IF(C1689="x",V1688,"")))</f>
        <v/>
      </c>
      <c r="X1689" cm="1">
        <f t="array" ref="X1689">IF($I1689&lt;&gt;"",$I1689,INDEX($I$1:$I1689,ROW()-COUNTIFS($T$1:$T1689,"="&amp;$T1689,$S$1:$S1689,"&lt;"&amp;$S1689)))</f>
        <v>0</v>
      </c>
      <c r="Z1689" s="6">
        <f t="shared" si="254"/>
        <v>1</v>
      </c>
      <c r="AA1689" t="e">
        <f t="shared" si="255"/>
        <v>#VALUE!</v>
      </c>
      <c r="AB1689" t="str">
        <f t="shared" si="256"/>
        <v/>
      </c>
      <c r="AC1689" t="e">
        <f t="shared" si="257"/>
        <v>#VALUE!</v>
      </c>
    </row>
    <row r="1690" spans="1:29" x14ac:dyDescent="0.2">
      <c r="A1690" t="str">
        <f t="shared" si="258"/>
        <v/>
      </c>
      <c r="E1690" s="4"/>
      <c r="F1690" s="46"/>
      <c r="G1690" s="4"/>
      <c r="H1690" s="48"/>
      <c r="J1690" s="26" t="str">
        <f t="shared" si="259"/>
        <v/>
      </c>
      <c r="N1690" t="str">
        <f t="shared" si="260"/>
        <v/>
      </c>
      <c r="Q1690" t="str">
        <f t="shared" si="261"/>
        <v/>
      </c>
      <c r="S1690" t="str">
        <f>IF(A1690=1,MAX($S$2:$S1689)+1,IF(OR($I1690&lt;&gt;"",A1690="x"),$S1689,""))</f>
        <v/>
      </c>
      <c r="T1690" t="str">
        <f>IF(D1690=1,MAX($T$2:$T1689)+1,IF(S1690=S1689,$T1689,IF(D1690="x",T1689,IF(D1689="x","",""))))</f>
        <v/>
      </c>
      <c r="U1690" t="str">
        <f>IF(B1690=1,MAX($U$2:$U1689)+1,IF(AND($T1690&lt;&gt;"",$T1690=$T1689),$U1689,IF(B1690="x",U1689,"")))</f>
        <v/>
      </c>
      <c r="V1690" t="str">
        <f>IF(C1690=1,MAX($V$2:$V1689)+1,IF(AND($T1690&lt;&gt;"",$T1690=$T1689),$U1689,IF(C1690="x",V1689,"")))</f>
        <v/>
      </c>
      <c r="X1690" cm="1">
        <f t="array" ref="X1690">IF($I1690&lt;&gt;"",$I1690,INDEX($I$1:$I1690,ROW()-COUNTIFS($T$1:$T1690,"="&amp;$T1690,$S$1:$S1690,"&lt;"&amp;$S1690)))</f>
        <v>0</v>
      </c>
      <c r="Z1690" s="6">
        <f t="shared" si="254"/>
        <v>1</v>
      </c>
      <c r="AA1690" t="e">
        <f t="shared" si="255"/>
        <v>#VALUE!</v>
      </c>
      <c r="AB1690" t="str">
        <f t="shared" si="256"/>
        <v/>
      </c>
      <c r="AC1690" t="e">
        <f t="shared" si="257"/>
        <v>#VALUE!</v>
      </c>
    </row>
    <row r="1691" spans="1:29" x14ac:dyDescent="0.2">
      <c r="A1691" t="str">
        <f t="shared" si="258"/>
        <v/>
      </c>
      <c r="E1691" s="4"/>
      <c r="F1691" s="46"/>
      <c r="G1691" s="4"/>
      <c r="H1691" s="48"/>
      <c r="J1691" s="26" t="str">
        <f t="shared" si="259"/>
        <v/>
      </c>
      <c r="N1691" t="str">
        <f t="shared" si="260"/>
        <v/>
      </c>
      <c r="Q1691" t="str">
        <f t="shared" si="261"/>
        <v/>
      </c>
      <c r="S1691" t="str">
        <f>IF(A1691=1,MAX($S$2:$S1690)+1,IF(OR($I1691&lt;&gt;"",A1691="x"),$S1690,""))</f>
        <v/>
      </c>
      <c r="T1691" t="str">
        <f>IF(D1691=1,MAX($T$2:$T1690)+1,IF(S1691=S1690,$T1690,IF(D1691="x",T1690,IF(D1690="x","",""))))</f>
        <v/>
      </c>
      <c r="U1691" t="str">
        <f>IF(B1691=1,MAX($U$2:$U1690)+1,IF(AND($T1691&lt;&gt;"",$T1691=$T1690),$U1690,IF(B1691="x",U1690,"")))</f>
        <v/>
      </c>
      <c r="V1691" t="str">
        <f>IF(C1691=1,MAX($V$2:$V1690)+1,IF(AND($T1691&lt;&gt;"",$T1691=$T1690),$U1690,IF(C1691="x",V1690,"")))</f>
        <v/>
      </c>
      <c r="X1691" cm="1">
        <f t="array" ref="X1691">IF($I1691&lt;&gt;"",$I1691,INDEX($I$1:$I1691,ROW()-COUNTIFS($T$1:$T1691,"="&amp;$T1691,$S$1:$S1691,"&lt;"&amp;$S1691)))</f>
        <v>0</v>
      </c>
      <c r="Z1691" s="6">
        <f t="shared" si="254"/>
        <v>1</v>
      </c>
      <c r="AA1691" t="e">
        <f t="shared" si="255"/>
        <v>#VALUE!</v>
      </c>
      <c r="AB1691" t="str">
        <f t="shared" si="256"/>
        <v/>
      </c>
      <c r="AC1691" t="e">
        <f t="shared" si="257"/>
        <v>#VALUE!</v>
      </c>
    </row>
    <row r="1692" spans="1:29" x14ac:dyDescent="0.2">
      <c r="A1692" t="str">
        <f t="shared" si="258"/>
        <v/>
      </c>
      <c r="E1692" s="4"/>
      <c r="F1692" s="46"/>
      <c r="G1692" s="4"/>
      <c r="H1692" s="48"/>
      <c r="J1692" s="26" t="str">
        <f t="shared" si="259"/>
        <v/>
      </c>
      <c r="N1692" t="str">
        <f t="shared" si="260"/>
        <v/>
      </c>
      <c r="Q1692" t="str">
        <f t="shared" si="261"/>
        <v/>
      </c>
      <c r="S1692" t="str">
        <f>IF(A1692=1,MAX($S$2:$S1691)+1,IF(OR($I1692&lt;&gt;"",A1692="x"),$S1691,""))</f>
        <v/>
      </c>
      <c r="T1692" t="str">
        <f>IF(D1692=1,MAX($T$2:$T1691)+1,IF(S1692=S1691,$T1691,IF(D1692="x",T1691,IF(D1691="x","",""))))</f>
        <v/>
      </c>
      <c r="U1692" t="str">
        <f>IF(B1692=1,MAX($U$2:$U1691)+1,IF(AND($T1692&lt;&gt;"",$T1692=$T1691),$U1691,IF(B1692="x",U1691,"")))</f>
        <v/>
      </c>
      <c r="V1692" t="str">
        <f>IF(C1692=1,MAX($V$2:$V1691)+1,IF(AND($T1692&lt;&gt;"",$T1692=$T1691),$U1691,IF(C1692="x",V1691,"")))</f>
        <v/>
      </c>
      <c r="X1692" cm="1">
        <f t="array" ref="X1692">IF($I1692&lt;&gt;"",$I1692,INDEX($I$1:$I1692,ROW()-COUNTIFS($T$1:$T1692,"="&amp;$T1692,$S$1:$S1692,"&lt;"&amp;$S1692)))</f>
        <v>0</v>
      </c>
      <c r="Z1692" s="6">
        <f t="shared" si="254"/>
        <v>1</v>
      </c>
      <c r="AA1692" t="e">
        <f t="shared" si="255"/>
        <v>#VALUE!</v>
      </c>
      <c r="AB1692" t="str">
        <f t="shared" si="256"/>
        <v/>
      </c>
      <c r="AC1692" t="e">
        <f t="shared" si="257"/>
        <v>#VALUE!</v>
      </c>
    </row>
    <row r="1693" spans="1:29" x14ac:dyDescent="0.2">
      <c r="A1693" t="str">
        <f t="shared" si="258"/>
        <v/>
      </c>
      <c r="E1693" s="4"/>
      <c r="F1693" s="46"/>
      <c r="G1693" s="4"/>
      <c r="H1693" s="48"/>
      <c r="J1693" s="26" t="str">
        <f t="shared" si="259"/>
        <v/>
      </c>
      <c r="N1693" t="str">
        <f t="shared" si="260"/>
        <v/>
      </c>
      <c r="Q1693" t="str">
        <f t="shared" si="261"/>
        <v/>
      </c>
      <c r="S1693" t="str">
        <f>IF(A1693=1,MAX($S$2:$S1692)+1,IF(OR($I1693&lt;&gt;"",A1693="x"),$S1692,""))</f>
        <v/>
      </c>
      <c r="T1693" t="str">
        <f>IF(D1693=1,MAX($T$2:$T1692)+1,IF(S1693=S1692,$T1692,IF(D1693="x",T1692,IF(D1692="x","",""))))</f>
        <v/>
      </c>
      <c r="U1693" t="str">
        <f>IF(B1693=1,MAX($U$2:$U1692)+1,IF(AND($T1693&lt;&gt;"",$T1693=$T1692),$U1692,IF(B1693="x",U1692,"")))</f>
        <v/>
      </c>
      <c r="V1693" t="str">
        <f>IF(C1693=1,MAX($V$2:$V1692)+1,IF(AND($T1693&lt;&gt;"",$T1693=$T1692),$U1692,IF(C1693="x",V1692,"")))</f>
        <v/>
      </c>
      <c r="X1693" cm="1">
        <f t="array" ref="X1693">IF($I1693&lt;&gt;"",$I1693,INDEX($I$1:$I1693,ROW()-COUNTIFS($T$1:$T1693,"="&amp;$T1693,$S$1:$S1693,"&lt;"&amp;$S1693)))</f>
        <v>0</v>
      </c>
      <c r="Z1693" s="6">
        <f t="shared" si="254"/>
        <v>1</v>
      </c>
      <c r="AA1693" t="e">
        <f t="shared" si="255"/>
        <v>#VALUE!</v>
      </c>
      <c r="AB1693" t="str">
        <f t="shared" si="256"/>
        <v/>
      </c>
      <c r="AC1693" t="e">
        <f t="shared" si="257"/>
        <v>#VALUE!</v>
      </c>
    </row>
    <row r="1694" spans="1:29" x14ac:dyDescent="0.2">
      <c r="A1694" t="str">
        <f t="shared" si="258"/>
        <v/>
      </c>
      <c r="E1694" s="4"/>
      <c r="F1694" s="46"/>
      <c r="G1694" s="4"/>
      <c r="H1694" s="48"/>
      <c r="J1694" s="26" t="str">
        <f t="shared" si="259"/>
        <v/>
      </c>
      <c r="N1694" t="str">
        <f t="shared" si="260"/>
        <v/>
      </c>
      <c r="Q1694" t="str">
        <f t="shared" si="261"/>
        <v/>
      </c>
      <c r="S1694" t="str">
        <f>IF(A1694=1,MAX($S$2:$S1693)+1,IF(OR($I1694&lt;&gt;"",A1694="x"),$S1693,""))</f>
        <v/>
      </c>
      <c r="T1694" t="str">
        <f>IF(D1694=1,MAX($T$2:$T1693)+1,IF(S1694=S1693,$T1693,IF(D1694="x",T1693,IF(D1693="x","",""))))</f>
        <v/>
      </c>
      <c r="U1694" t="str">
        <f>IF(B1694=1,MAX($U$2:$U1693)+1,IF(AND($T1694&lt;&gt;"",$T1694=$T1693),$U1693,IF(B1694="x",U1693,"")))</f>
        <v/>
      </c>
      <c r="V1694" t="str">
        <f>IF(C1694=1,MAX($V$2:$V1693)+1,IF(AND($T1694&lt;&gt;"",$T1694=$T1693),$U1693,IF(C1694="x",V1693,"")))</f>
        <v/>
      </c>
      <c r="X1694" cm="1">
        <f t="array" ref="X1694">IF($I1694&lt;&gt;"",$I1694,INDEX($I$1:$I1694,ROW()-COUNTIFS($T$1:$T1694,"="&amp;$T1694,$S$1:$S1694,"&lt;"&amp;$S1694)))</f>
        <v>0</v>
      </c>
      <c r="Z1694" s="6">
        <f t="shared" si="254"/>
        <v>1</v>
      </c>
      <c r="AA1694" t="e">
        <f t="shared" si="255"/>
        <v>#VALUE!</v>
      </c>
      <c r="AB1694" t="str">
        <f t="shared" si="256"/>
        <v/>
      </c>
      <c r="AC1694" t="e">
        <f t="shared" si="257"/>
        <v>#VALUE!</v>
      </c>
    </row>
    <row r="1695" spans="1:29" x14ac:dyDescent="0.2">
      <c r="A1695" t="str">
        <f t="shared" si="258"/>
        <v/>
      </c>
      <c r="E1695" s="4"/>
      <c r="F1695" s="46"/>
      <c r="G1695" s="4"/>
      <c r="H1695" s="48"/>
      <c r="J1695" s="26" t="str">
        <f t="shared" si="259"/>
        <v/>
      </c>
      <c r="N1695" t="str">
        <f t="shared" si="260"/>
        <v/>
      </c>
      <c r="Q1695" t="str">
        <f t="shared" si="261"/>
        <v/>
      </c>
      <c r="S1695" t="str">
        <f>IF(A1695=1,MAX($S$2:$S1694)+1,IF(OR($I1695&lt;&gt;"",A1695="x"),$S1694,""))</f>
        <v/>
      </c>
      <c r="T1695" t="str">
        <f>IF(D1695=1,MAX($T$2:$T1694)+1,IF(S1695=S1694,$T1694,IF(D1695="x",T1694,IF(D1694="x","",""))))</f>
        <v/>
      </c>
      <c r="U1695" t="str">
        <f>IF(B1695=1,MAX($U$2:$U1694)+1,IF(AND($T1695&lt;&gt;"",$T1695=$T1694),$U1694,IF(B1695="x",U1694,"")))</f>
        <v/>
      </c>
      <c r="V1695" t="str">
        <f>IF(C1695=1,MAX($V$2:$V1694)+1,IF(AND($T1695&lt;&gt;"",$T1695=$T1694),$U1694,IF(C1695="x",V1694,"")))</f>
        <v/>
      </c>
      <c r="X1695" cm="1">
        <f t="array" ref="X1695">IF($I1695&lt;&gt;"",$I1695,INDEX($I$1:$I1695,ROW()-COUNTIFS($T$1:$T1695,"="&amp;$T1695,$S$1:$S1695,"&lt;"&amp;$S1695)))</f>
        <v>0</v>
      </c>
      <c r="Z1695" s="6">
        <f t="shared" si="254"/>
        <v>1</v>
      </c>
      <c r="AA1695" t="e">
        <f t="shared" si="255"/>
        <v>#VALUE!</v>
      </c>
      <c r="AB1695" t="str">
        <f t="shared" si="256"/>
        <v/>
      </c>
      <c r="AC1695" t="e">
        <f t="shared" si="257"/>
        <v>#VALUE!</v>
      </c>
    </row>
    <row r="1696" spans="1:29" x14ac:dyDescent="0.2">
      <c r="A1696" t="str">
        <f t="shared" si="258"/>
        <v/>
      </c>
      <c r="E1696" s="4"/>
      <c r="F1696" s="46"/>
      <c r="G1696" s="4"/>
      <c r="H1696" s="48"/>
      <c r="J1696" s="26" t="str">
        <f t="shared" si="259"/>
        <v/>
      </c>
      <c r="N1696" t="str">
        <f t="shared" si="260"/>
        <v/>
      </c>
      <c r="Q1696" t="str">
        <f t="shared" si="261"/>
        <v/>
      </c>
      <c r="S1696" t="str">
        <f>IF(A1696=1,MAX($S$2:$S1695)+1,IF(OR($I1696&lt;&gt;"",A1696="x"),$S1695,""))</f>
        <v/>
      </c>
      <c r="T1696" t="str">
        <f>IF(D1696=1,MAX($T$2:$T1695)+1,IF(S1696=S1695,$T1695,IF(D1696="x",T1695,IF(D1695="x","",""))))</f>
        <v/>
      </c>
      <c r="U1696" t="str">
        <f>IF(B1696=1,MAX($U$2:$U1695)+1,IF(AND($T1696&lt;&gt;"",$T1696=$T1695),$U1695,IF(B1696="x",U1695,"")))</f>
        <v/>
      </c>
      <c r="V1696" t="str">
        <f>IF(C1696=1,MAX($V$2:$V1695)+1,IF(AND($T1696&lt;&gt;"",$T1696=$T1695),$U1695,IF(C1696="x",V1695,"")))</f>
        <v/>
      </c>
      <c r="X1696" cm="1">
        <f t="array" ref="X1696">IF($I1696&lt;&gt;"",$I1696,INDEX($I$1:$I1696,ROW()-COUNTIFS($T$1:$T1696,"="&amp;$T1696,$S$1:$S1696,"&lt;"&amp;$S1696)))</f>
        <v>0</v>
      </c>
      <c r="Z1696" s="6">
        <f t="shared" si="254"/>
        <v>1</v>
      </c>
      <c r="AA1696" t="e">
        <f t="shared" si="255"/>
        <v>#VALUE!</v>
      </c>
      <c r="AB1696" t="str">
        <f t="shared" si="256"/>
        <v/>
      </c>
      <c r="AC1696" t="e">
        <f t="shared" si="257"/>
        <v>#VALUE!</v>
      </c>
    </row>
    <row r="1697" spans="1:29" x14ac:dyDescent="0.2">
      <c r="A1697" t="str">
        <f t="shared" si="258"/>
        <v/>
      </c>
      <c r="E1697" s="4"/>
      <c r="F1697" s="46"/>
      <c r="G1697" s="4"/>
      <c r="H1697" s="48"/>
      <c r="J1697" s="26" t="str">
        <f t="shared" si="259"/>
        <v/>
      </c>
      <c r="N1697" t="str">
        <f t="shared" si="260"/>
        <v/>
      </c>
      <c r="Q1697" t="str">
        <f t="shared" si="261"/>
        <v/>
      </c>
      <c r="S1697" t="str">
        <f>IF(A1697=1,MAX($S$2:$S1696)+1,IF(OR($I1697&lt;&gt;"",A1697="x"),$S1696,""))</f>
        <v/>
      </c>
      <c r="T1697" t="str">
        <f>IF(D1697=1,MAX($T$2:$T1696)+1,IF(S1697=S1696,$T1696,IF(D1697="x",T1696,IF(D1696="x","",""))))</f>
        <v/>
      </c>
      <c r="U1697" t="str">
        <f>IF(B1697=1,MAX($U$2:$U1696)+1,IF(AND($T1697&lt;&gt;"",$T1697=$T1696),$U1696,IF(B1697="x",U1696,"")))</f>
        <v/>
      </c>
      <c r="V1697" t="str">
        <f>IF(C1697=1,MAX($V$2:$V1696)+1,IF(AND($T1697&lt;&gt;"",$T1697=$T1696),$U1696,IF(C1697="x",V1696,"")))</f>
        <v/>
      </c>
      <c r="X1697" cm="1">
        <f t="array" ref="X1697">IF($I1697&lt;&gt;"",$I1697,INDEX($I$1:$I1697,ROW()-COUNTIFS($T$1:$T1697,"="&amp;$T1697,$S$1:$S1697,"&lt;"&amp;$S1697)))</f>
        <v>0</v>
      </c>
      <c r="Z1697" s="6">
        <f t="shared" si="254"/>
        <v>1</v>
      </c>
      <c r="AA1697" t="e">
        <f t="shared" si="255"/>
        <v>#VALUE!</v>
      </c>
      <c r="AB1697" t="str">
        <f t="shared" si="256"/>
        <v/>
      </c>
      <c r="AC1697" t="e">
        <f t="shared" si="257"/>
        <v>#VALUE!</v>
      </c>
    </row>
    <row r="1698" spans="1:29" x14ac:dyDescent="0.2">
      <c r="A1698" t="str">
        <f t="shared" si="258"/>
        <v/>
      </c>
      <c r="E1698" s="4"/>
      <c r="F1698" s="46"/>
      <c r="G1698" s="4"/>
      <c r="H1698" s="48"/>
      <c r="J1698" s="26" t="str">
        <f t="shared" si="259"/>
        <v/>
      </c>
      <c r="N1698" t="str">
        <f t="shared" si="260"/>
        <v/>
      </c>
      <c r="Q1698" t="str">
        <f t="shared" si="261"/>
        <v/>
      </c>
      <c r="S1698" t="str">
        <f>IF(A1698=1,MAX($S$2:$S1697)+1,IF(OR($I1698&lt;&gt;"",A1698="x"),$S1697,""))</f>
        <v/>
      </c>
      <c r="T1698" t="str">
        <f>IF(D1698=1,MAX($T$2:$T1697)+1,IF(S1698=S1697,$T1697,IF(D1698="x",T1697,IF(D1697="x","",""))))</f>
        <v/>
      </c>
      <c r="U1698" t="str">
        <f>IF(B1698=1,MAX($U$2:$U1697)+1,IF(AND($T1698&lt;&gt;"",$T1698=$T1697),$U1697,IF(B1698="x",U1697,"")))</f>
        <v/>
      </c>
      <c r="V1698" t="str">
        <f>IF(C1698=1,MAX($V$2:$V1697)+1,IF(AND($T1698&lt;&gt;"",$T1698=$T1697),$U1697,IF(C1698="x",V1697,"")))</f>
        <v/>
      </c>
      <c r="X1698" cm="1">
        <f t="array" ref="X1698">IF($I1698&lt;&gt;"",$I1698,INDEX($I$1:$I1698,ROW()-COUNTIFS($T$1:$T1698,"="&amp;$T1698,$S$1:$S1698,"&lt;"&amp;$S1698)))</f>
        <v>0</v>
      </c>
      <c r="Z1698" s="6">
        <f t="shared" si="254"/>
        <v>1</v>
      </c>
      <c r="AA1698" t="e">
        <f t="shared" si="255"/>
        <v>#VALUE!</v>
      </c>
      <c r="AB1698" t="str">
        <f t="shared" si="256"/>
        <v/>
      </c>
      <c r="AC1698" t="e">
        <f t="shared" si="257"/>
        <v>#VALUE!</v>
      </c>
    </row>
    <row r="1699" spans="1:29" x14ac:dyDescent="0.2">
      <c r="A1699" t="str">
        <f t="shared" si="258"/>
        <v/>
      </c>
      <c r="E1699" s="4"/>
      <c r="F1699" s="46"/>
      <c r="G1699" s="4"/>
      <c r="H1699" s="48"/>
      <c r="J1699" s="26" t="str">
        <f t="shared" si="259"/>
        <v/>
      </c>
      <c r="N1699" t="str">
        <f t="shared" si="260"/>
        <v/>
      </c>
      <c r="Q1699" t="str">
        <f t="shared" si="261"/>
        <v/>
      </c>
      <c r="S1699" t="str">
        <f>IF(A1699=1,MAX($S$2:$S1698)+1,IF(OR($I1699&lt;&gt;"",A1699="x"),$S1698,""))</f>
        <v/>
      </c>
      <c r="T1699" t="str">
        <f>IF(D1699=1,MAX($T$2:$T1698)+1,IF(S1699=S1698,$T1698,IF(D1699="x",T1698,IF(D1698="x","",""))))</f>
        <v/>
      </c>
      <c r="U1699" t="str">
        <f>IF(B1699=1,MAX($U$2:$U1698)+1,IF(AND($T1699&lt;&gt;"",$T1699=$T1698),$U1698,IF(B1699="x",U1698,"")))</f>
        <v/>
      </c>
      <c r="V1699" t="str">
        <f>IF(C1699=1,MAX($V$2:$V1698)+1,IF(AND($T1699&lt;&gt;"",$T1699=$T1698),$U1698,IF(C1699="x",V1698,"")))</f>
        <v/>
      </c>
      <c r="X1699" cm="1">
        <f t="array" ref="X1699">IF($I1699&lt;&gt;"",$I1699,INDEX($I$1:$I1699,ROW()-COUNTIFS($T$1:$T1699,"="&amp;$T1699,$S$1:$S1699,"&lt;"&amp;$S1699)))</f>
        <v>0</v>
      </c>
      <c r="Z1699" s="6">
        <f t="shared" si="254"/>
        <v>1</v>
      </c>
      <c r="AA1699" t="e">
        <f t="shared" si="255"/>
        <v>#VALUE!</v>
      </c>
      <c r="AB1699" t="str">
        <f t="shared" si="256"/>
        <v/>
      </c>
      <c r="AC1699" t="e">
        <f t="shared" si="257"/>
        <v>#VALUE!</v>
      </c>
    </row>
    <row r="1700" spans="1:29" x14ac:dyDescent="0.2">
      <c r="A1700" t="str">
        <f t="shared" si="258"/>
        <v/>
      </c>
      <c r="E1700" s="4"/>
      <c r="F1700" s="46"/>
      <c r="G1700" s="4"/>
      <c r="H1700" s="48"/>
      <c r="J1700" s="26" t="str">
        <f t="shared" si="259"/>
        <v/>
      </c>
      <c r="N1700" t="str">
        <f t="shared" si="260"/>
        <v/>
      </c>
      <c r="Q1700" t="str">
        <f t="shared" si="261"/>
        <v/>
      </c>
      <c r="S1700" t="str">
        <f>IF(A1700=1,MAX($S$2:$S1699)+1,IF(OR($I1700&lt;&gt;"",A1700="x"),$S1699,""))</f>
        <v/>
      </c>
      <c r="T1700" t="str">
        <f>IF(D1700=1,MAX($T$2:$T1699)+1,IF(S1700=S1699,$T1699,IF(D1700="x",T1699,IF(D1699="x","",""))))</f>
        <v/>
      </c>
      <c r="U1700" t="str">
        <f>IF(B1700=1,MAX($U$2:$U1699)+1,IF(AND($T1700&lt;&gt;"",$T1700=$T1699),$U1699,IF(B1700="x",U1699,"")))</f>
        <v/>
      </c>
      <c r="V1700" t="str">
        <f>IF(C1700=1,MAX($V$2:$V1699)+1,IF(AND($T1700&lt;&gt;"",$T1700=$T1699),$U1699,IF(C1700="x",V1699,"")))</f>
        <v/>
      </c>
      <c r="X1700" cm="1">
        <f t="array" ref="X1700">IF($I1700&lt;&gt;"",$I1700,INDEX($I$1:$I1700,ROW()-COUNTIFS($T$1:$T1700,"="&amp;$T1700,$S$1:$S1700,"&lt;"&amp;$S1700)))</f>
        <v>0</v>
      </c>
      <c r="Z1700" s="6">
        <f t="shared" si="254"/>
        <v>1</v>
      </c>
      <c r="AA1700" t="e">
        <f t="shared" si="255"/>
        <v>#VALUE!</v>
      </c>
      <c r="AB1700" t="str">
        <f t="shared" si="256"/>
        <v/>
      </c>
      <c r="AC1700" t="e">
        <f t="shared" si="257"/>
        <v>#VALUE!</v>
      </c>
    </row>
    <row r="1701" spans="1:29" x14ac:dyDescent="0.2">
      <c r="A1701" t="str">
        <f t="shared" si="258"/>
        <v/>
      </c>
      <c r="E1701" s="4"/>
      <c r="F1701" s="46"/>
      <c r="G1701" s="4"/>
      <c r="H1701" s="48"/>
      <c r="J1701" s="26" t="str">
        <f t="shared" si="259"/>
        <v/>
      </c>
      <c r="N1701" t="str">
        <f t="shared" si="260"/>
        <v/>
      </c>
      <c r="Q1701" t="str">
        <f t="shared" si="261"/>
        <v/>
      </c>
      <c r="S1701" t="str">
        <f>IF(A1701=1,MAX($S$2:$S1700)+1,IF(OR($I1701&lt;&gt;"",A1701="x"),$S1700,""))</f>
        <v/>
      </c>
      <c r="T1701" t="str">
        <f>IF(D1701=1,MAX($T$2:$T1700)+1,IF(S1701=S1700,$T1700,IF(D1701="x",T1700,IF(D1700="x","",""))))</f>
        <v/>
      </c>
      <c r="U1701" t="str">
        <f>IF(B1701=1,MAX($U$2:$U1700)+1,IF(AND($T1701&lt;&gt;"",$T1701=$T1700),$U1700,IF(B1701="x",U1700,"")))</f>
        <v/>
      </c>
      <c r="V1701" t="str">
        <f>IF(C1701=1,MAX($V$2:$V1700)+1,IF(AND($T1701&lt;&gt;"",$T1701=$T1700),$U1700,IF(C1701="x",V1700,"")))</f>
        <v/>
      </c>
      <c r="X1701" cm="1">
        <f t="array" ref="X1701">IF($I1701&lt;&gt;"",$I1701,INDEX($I$1:$I1701,ROW()-COUNTIFS($T$1:$T1701,"="&amp;$T1701,$S$1:$S1701,"&lt;"&amp;$S1701)))</f>
        <v>0</v>
      </c>
      <c r="Z1701" s="6">
        <f t="shared" si="254"/>
        <v>1</v>
      </c>
      <c r="AA1701" t="e">
        <f t="shared" si="255"/>
        <v>#VALUE!</v>
      </c>
      <c r="AB1701" t="str">
        <f t="shared" si="256"/>
        <v/>
      </c>
      <c r="AC1701" t="e">
        <f t="shared" si="257"/>
        <v>#VALUE!</v>
      </c>
    </row>
    <row r="1702" spans="1:29" x14ac:dyDescent="0.2">
      <c r="A1702" t="str">
        <f t="shared" si="258"/>
        <v/>
      </c>
      <c r="E1702" s="4"/>
      <c r="F1702" s="46"/>
      <c r="G1702" s="4"/>
      <c r="H1702" s="48"/>
      <c r="J1702" s="26" t="str">
        <f t="shared" si="259"/>
        <v/>
      </c>
      <c r="N1702" t="str">
        <f t="shared" si="260"/>
        <v/>
      </c>
      <c r="Q1702" t="str">
        <f t="shared" si="261"/>
        <v/>
      </c>
      <c r="S1702" t="str">
        <f>IF(A1702=1,MAX($S$2:$S1701)+1,IF(OR($I1702&lt;&gt;"",A1702="x"),$S1701,""))</f>
        <v/>
      </c>
      <c r="T1702" t="str">
        <f>IF(D1702=1,MAX($T$2:$T1701)+1,IF(S1702=S1701,$T1701,IF(D1702="x",T1701,IF(D1701="x","",""))))</f>
        <v/>
      </c>
      <c r="U1702" t="str">
        <f>IF(B1702=1,MAX($U$2:$U1701)+1,IF(AND($T1702&lt;&gt;"",$T1702=$T1701),$U1701,IF(B1702="x",U1701,"")))</f>
        <v/>
      </c>
      <c r="V1702" t="str">
        <f>IF(C1702=1,MAX($V$2:$V1701)+1,IF(AND($T1702&lt;&gt;"",$T1702=$T1701),$U1701,IF(C1702="x",V1701,"")))</f>
        <v/>
      </c>
      <c r="X1702" cm="1">
        <f t="array" ref="X1702">IF($I1702&lt;&gt;"",$I1702,INDEX($I$1:$I1702,ROW()-COUNTIFS($T$1:$T1702,"="&amp;$T1702,$S$1:$S1702,"&lt;"&amp;$S1702)))</f>
        <v>0</v>
      </c>
      <c r="Z1702" s="6">
        <f t="shared" si="254"/>
        <v>1</v>
      </c>
      <c r="AA1702" t="e">
        <f t="shared" si="255"/>
        <v>#VALUE!</v>
      </c>
      <c r="AB1702" t="str">
        <f t="shared" si="256"/>
        <v/>
      </c>
      <c r="AC1702" t="e">
        <f t="shared" si="257"/>
        <v>#VALUE!</v>
      </c>
    </row>
    <row r="1703" spans="1:29" x14ac:dyDescent="0.2">
      <c r="A1703" t="str">
        <f t="shared" si="258"/>
        <v/>
      </c>
      <c r="E1703" s="4"/>
      <c r="F1703" s="46"/>
      <c r="G1703" s="4"/>
      <c r="H1703" s="48"/>
      <c r="J1703" s="26" t="str">
        <f t="shared" si="259"/>
        <v/>
      </c>
      <c r="N1703" t="str">
        <f t="shared" si="260"/>
        <v/>
      </c>
      <c r="Q1703" t="str">
        <f t="shared" si="261"/>
        <v/>
      </c>
      <c r="S1703" t="str">
        <f>IF(A1703=1,MAX($S$2:$S1702)+1,IF(OR($I1703&lt;&gt;"",A1703="x"),$S1702,""))</f>
        <v/>
      </c>
      <c r="T1703" t="str">
        <f>IF(D1703=1,MAX($T$2:$T1702)+1,IF(S1703=S1702,$T1702,IF(D1703="x",T1702,IF(D1702="x","",""))))</f>
        <v/>
      </c>
      <c r="U1703" t="str">
        <f>IF(B1703=1,MAX($U$2:$U1702)+1,IF(AND($T1703&lt;&gt;"",$T1703=$T1702),$U1702,IF(B1703="x",U1702,"")))</f>
        <v/>
      </c>
      <c r="V1703" t="str">
        <f>IF(C1703=1,MAX($V$2:$V1702)+1,IF(AND($T1703&lt;&gt;"",$T1703=$T1702),$U1702,IF(C1703="x",V1702,"")))</f>
        <v/>
      </c>
      <c r="X1703" cm="1">
        <f t="array" ref="X1703">IF($I1703&lt;&gt;"",$I1703,INDEX($I$1:$I1703,ROW()-COUNTIFS($T$1:$T1703,"="&amp;$T1703,$S$1:$S1703,"&lt;"&amp;$S1703)))</f>
        <v>0</v>
      </c>
      <c r="Z1703" s="6">
        <f t="shared" si="254"/>
        <v>1</v>
      </c>
      <c r="AA1703" t="e">
        <f t="shared" si="255"/>
        <v>#VALUE!</v>
      </c>
      <c r="AB1703" t="str">
        <f t="shared" si="256"/>
        <v/>
      </c>
      <c r="AC1703" t="e">
        <f t="shared" si="257"/>
        <v>#VALUE!</v>
      </c>
    </row>
    <row r="1704" spans="1:29" x14ac:dyDescent="0.2">
      <c r="A1704" t="str">
        <f t="shared" si="258"/>
        <v/>
      </c>
      <c r="E1704" s="4"/>
      <c r="F1704" s="46"/>
      <c r="G1704" s="4"/>
      <c r="H1704" s="48"/>
      <c r="J1704" s="26" t="str">
        <f t="shared" si="259"/>
        <v/>
      </c>
      <c r="N1704" t="str">
        <f t="shared" si="260"/>
        <v/>
      </c>
      <c r="Q1704" t="str">
        <f t="shared" si="261"/>
        <v/>
      </c>
      <c r="S1704" t="str">
        <f>IF(A1704=1,MAX($S$2:$S1703)+1,IF(OR($I1704&lt;&gt;"",A1704="x"),$S1703,""))</f>
        <v/>
      </c>
      <c r="T1704" t="str">
        <f>IF(D1704=1,MAX($T$2:$T1703)+1,IF(S1704=S1703,$T1703,IF(D1704="x",T1703,IF(D1703="x","",""))))</f>
        <v/>
      </c>
      <c r="U1704" t="str">
        <f>IF(B1704=1,MAX($U$2:$U1703)+1,IF(AND($T1704&lt;&gt;"",$T1704=$T1703),$U1703,IF(B1704="x",U1703,"")))</f>
        <v/>
      </c>
      <c r="V1704" t="str">
        <f>IF(C1704=1,MAX($V$2:$V1703)+1,IF(AND($T1704&lt;&gt;"",$T1704=$T1703),$U1703,IF(C1704="x",V1703,"")))</f>
        <v/>
      </c>
      <c r="X1704" cm="1">
        <f t="array" ref="X1704">IF($I1704&lt;&gt;"",$I1704,INDEX($I$1:$I1704,ROW()-COUNTIFS($T$1:$T1704,"="&amp;$T1704,$S$1:$S1704,"&lt;"&amp;$S1704)))</f>
        <v>0</v>
      </c>
      <c r="Z1704" s="6">
        <f t="shared" si="254"/>
        <v>1</v>
      </c>
      <c r="AA1704" t="e">
        <f t="shared" si="255"/>
        <v>#VALUE!</v>
      </c>
      <c r="AB1704" t="str">
        <f t="shared" si="256"/>
        <v/>
      </c>
      <c r="AC1704" t="e">
        <f t="shared" si="257"/>
        <v>#VALUE!</v>
      </c>
    </row>
    <row r="1705" spans="1:29" x14ac:dyDescent="0.2">
      <c r="A1705" t="str">
        <f t="shared" si="258"/>
        <v/>
      </c>
      <c r="E1705" s="4"/>
      <c r="F1705" s="46"/>
      <c r="G1705" s="4"/>
      <c r="H1705" s="48"/>
      <c r="J1705" s="26" t="str">
        <f t="shared" si="259"/>
        <v/>
      </c>
      <c r="N1705" t="str">
        <f t="shared" si="260"/>
        <v/>
      </c>
      <c r="Q1705" t="str">
        <f t="shared" si="261"/>
        <v/>
      </c>
      <c r="S1705" t="str">
        <f>IF(A1705=1,MAX($S$2:$S1704)+1,IF(OR($I1705&lt;&gt;"",A1705="x"),$S1704,""))</f>
        <v/>
      </c>
      <c r="T1705" t="str">
        <f>IF(D1705=1,MAX($T$2:$T1704)+1,IF(S1705=S1704,$T1704,IF(D1705="x",T1704,IF(D1704="x","",""))))</f>
        <v/>
      </c>
      <c r="U1705" t="str">
        <f>IF(B1705=1,MAX($U$2:$U1704)+1,IF(AND($T1705&lt;&gt;"",$T1705=$T1704),$U1704,IF(B1705="x",U1704,"")))</f>
        <v/>
      </c>
      <c r="V1705" t="str">
        <f>IF(C1705=1,MAX($V$2:$V1704)+1,IF(AND($T1705&lt;&gt;"",$T1705=$T1704),$U1704,IF(C1705="x",V1704,"")))</f>
        <v/>
      </c>
      <c r="X1705" cm="1">
        <f t="array" ref="X1705">IF($I1705&lt;&gt;"",$I1705,INDEX($I$1:$I1705,ROW()-COUNTIFS($T$1:$T1705,"="&amp;$T1705,$S$1:$S1705,"&lt;"&amp;$S1705)))</f>
        <v>0</v>
      </c>
      <c r="Z1705" s="6">
        <f t="shared" si="254"/>
        <v>1</v>
      </c>
      <c r="AA1705" t="e">
        <f t="shared" si="255"/>
        <v>#VALUE!</v>
      </c>
      <c r="AB1705" t="str">
        <f t="shared" si="256"/>
        <v/>
      </c>
      <c r="AC1705" t="e">
        <f t="shared" si="257"/>
        <v>#VALUE!</v>
      </c>
    </row>
    <row r="1706" spans="1:29" x14ac:dyDescent="0.2">
      <c r="A1706" t="str">
        <f t="shared" si="258"/>
        <v/>
      </c>
      <c r="E1706" s="4"/>
      <c r="F1706" s="46"/>
      <c r="G1706" s="4"/>
      <c r="H1706" s="48"/>
      <c r="J1706" s="26" t="str">
        <f t="shared" si="259"/>
        <v/>
      </c>
      <c r="N1706" t="str">
        <f t="shared" si="260"/>
        <v/>
      </c>
      <c r="Q1706" t="str">
        <f t="shared" si="261"/>
        <v/>
      </c>
      <c r="S1706" t="str">
        <f>IF(A1706=1,MAX($S$2:$S1705)+1,IF(OR($I1706&lt;&gt;"",A1706="x"),$S1705,""))</f>
        <v/>
      </c>
      <c r="T1706" t="str">
        <f>IF(D1706=1,MAX($T$2:$T1705)+1,IF(S1706=S1705,$T1705,IF(D1706="x",T1705,IF(D1705="x","",""))))</f>
        <v/>
      </c>
      <c r="U1706" t="str">
        <f>IF(B1706=1,MAX($U$2:$U1705)+1,IF(AND($T1706&lt;&gt;"",$T1706=$T1705),$U1705,IF(B1706="x",U1705,"")))</f>
        <v/>
      </c>
      <c r="V1706" t="str">
        <f>IF(C1706=1,MAX($V$2:$V1705)+1,IF(AND($T1706&lt;&gt;"",$T1706=$T1705),$U1705,IF(C1706="x",V1705,"")))</f>
        <v/>
      </c>
      <c r="X1706" cm="1">
        <f t="array" ref="X1706">IF($I1706&lt;&gt;"",$I1706,INDEX($I$1:$I1706,ROW()-COUNTIFS($T$1:$T1706,"="&amp;$T1706,$S$1:$S1706,"&lt;"&amp;$S1706)))</f>
        <v>0</v>
      </c>
      <c r="Z1706" s="6">
        <f t="shared" si="254"/>
        <v>1</v>
      </c>
      <c r="AA1706" t="e">
        <f t="shared" si="255"/>
        <v>#VALUE!</v>
      </c>
      <c r="AB1706" t="str">
        <f t="shared" si="256"/>
        <v/>
      </c>
      <c r="AC1706" t="e">
        <f t="shared" si="257"/>
        <v>#VALUE!</v>
      </c>
    </row>
    <row r="1707" spans="1:29" x14ac:dyDescent="0.2">
      <c r="A1707" t="str">
        <f t="shared" si="258"/>
        <v/>
      </c>
      <c r="E1707" s="4"/>
      <c r="F1707" s="46"/>
      <c r="G1707" s="4"/>
      <c r="H1707" s="48"/>
      <c r="J1707" s="26" t="str">
        <f t="shared" si="259"/>
        <v/>
      </c>
      <c r="N1707" t="str">
        <f t="shared" si="260"/>
        <v/>
      </c>
      <c r="Q1707" t="str">
        <f t="shared" si="261"/>
        <v/>
      </c>
      <c r="S1707" t="str">
        <f>IF(A1707=1,MAX($S$2:$S1706)+1,IF(OR($I1707&lt;&gt;"",A1707="x"),$S1706,""))</f>
        <v/>
      </c>
      <c r="T1707" t="str">
        <f>IF(D1707=1,MAX($T$2:$T1706)+1,IF(S1707=S1706,$T1706,IF(D1707="x",T1706,IF(D1706="x","",""))))</f>
        <v/>
      </c>
      <c r="U1707" t="str">
        <f>IF(B1707=1,MAX($U$2:$U1706)+1,IF(AND($T1707&lt;&gt;"",$T1707=$T1706),$U1706,IF(B1707="x",U1706,"")))</f>
        <v/>
      </c>
      <c r="V1707" t="str">
        <f>IF(C1707=1,MAX($V$2:$V1706)+1,IF(AND($T1707&lt;&gt;"",$T1707=$T1706),$U1706,IF(C1707="x",V1706,"")))</f>
        <v/>
      </c>
      <c r="X1707" cm="1">
        <f t="array" ref="X1707">IF($I1707&lt;&gt;"",$I1707,INDEX($I$1:$I1707,ROW()-COUNTIFS($T$1:$T1707,"="&amp;$T1707,$S$1:$S1707,"&lt;"&amp;$S1707)))</f>
        <v>0</v>
      </c>
      <c r="Z1707" s="6">
        <f t="shared" si="254"/>
        <v>1</v>
      </c>
      <c r="AA1707" t="e">
        <f t="shared" si="255"/>
        <v>#VALUE!</v>
      </c>
      <c r="AB1707" t="str">
        <f t="shared" si="256"/>
        <v/>
      </c>
      <c r="AC1707" t="e">
        <f t="shared" si="257"/>
        <v>#VALUE!</v>
      </c>
    </row>
    <row r="1708" spans="1:29" x14ac:dyDescent="0.2">
      <c r="A1708" t="str">
        <f t="shared" si="258"/>
        <v/>
      </c>
      <c r="E1708" s="4"/>
      <c r="F1708" s="46"/>
      <c r="G1708" s="4"/>
      <c r="H1708" s="48"/>
      <c r="J1708" s="26" t="str">
        <f t="shared" si="259"/>
        <v/>
      </c>
      <c r="N1708" t="str">
        <f t="shared" si="260"/>
        <v/>
      </c>
      <c r="Q1708" t="str">
        <f t="shared" si="261"/>
        <v/>
      </c>
      <c r="S1708" t="str">
        <f>IF(A1708=1,MAX($S$2:$S1707)+1,IF(OR($I1708&lt;&gt;"",A1708="x"),$S1707,""))</f>
        <v/>
      </c>
      <c r="T1708" t="str">
        <f>IF(D1708=1,MAX($T$2:$T1707)+1,IF(S1708=S1707,$T1707,IF(D1708="x",T1707,IF(D1707="x","",""))))</f>
        <v/>
      </c>
      <c r="U1708" t="str">
        <f>IF(B1708=1,MAX($U$2:$U1707)+1,IF(AND($T1708&lt;&gt;"",$T1708=$T1707),$U1707,IF(B1708="x",U1707,"")))</f>
        <v/>
      </c>
      <c r="V1708" t="str">
        <f>IF(C1708=1,MAX($V$2:$V1707)+1,IF(AND($T1708&lt;&gt;"",$T1708=$T1707),$U1707,IF(C1708="x",V1707,"")))</f>
        <v/>
      </c>
      <c r="X1708" cm="1">
        <f t="array" ref="X1708">IF($I1708&lt;&gt;"",$I1708,INDEX($I$1:$I1708,ROW()-COUNTIFS($T$1:$T1708,"="&amp;$T1708,$S$1:$S1708,"&lt;"&amp;$S1708)))</f>
        <v>0</v>
      </c>
      <c r="Z1708" s="6">
        <f t="shared" si="254"/>
        <v>1</v>
      </c>
      <c r="AA1708" t="e">
        <f t="shared" si="255"/>
        <v>#VALUE!</v>
      </c>
      <c r="AB1708" t="str">
        <f t="shared" si="256"/>
        <v/>
      </c>
      <c r="AC1708" t="e">
        <f t="shared" si="257"/>
        <v>#VALUE!</v>
      </c>
    </row>
    <row r="1709" spans="1:29" x14ac:dyDescent="0.2">
      <c r="A1709" t="str">
        <f t="shared" si="258"/>
        <v/>
      </c>
      <c r="E1709" s="4"/>
      <c r="F1709" s="46"/>
      <c r="G1709" s="4"/>
      <c r="H1709" s="48"/>
      <c r="J1709" s="26" t="str">
        <f t="shared" si="259"/>
        <v/>
      </c>
      <c r="N1709" t="str">
        <f t="shared" si="260"/>
        <v/>
      </c>
      <c r="Q1709" t="str">
        <f t="shared" si="261"/>
        <v/>
      </c>
      <c r="S1709" t="str">
        <f>IF(A1709=1,MAX($S$2:$S1708)+1,IF(OR($I1709&lt;&gt;"",A1709="x"),$S1708,""))</f>
        <v/>
      </c>
      <c r="T1709" t="str">
        <f>IF(D1709=1,MAX($T$2:$T1708)+1,IF(S1709=S1708,$T1708,IF(D1709="x",T1708,IF(D1708="x","",""))))</f>
        <v/>
      </c>
      <c r="U1709" t="str">
        <f>IF(B1709=1,MAX($U$2:$U1708)+1,IF(AND($T1709&lt;&gt;"",$T1709=$T1708),$U1708,IF(B1709="x",U1708,"")))</f>
        <v/>
      </c>
      <c r="V1709" t="str">
        <f>IF(C1709=1,MAX($V$2:$V1708)+1,IF(AND($T1709&lt;&gt;"",$T1709=$T1708),$U1708,IF(C1709="x",V1708,"")))</f>
        <v/>
      </c>
      <c r="X1709" cm="1">
        <f t="array" ref="X1709">IF($I1709&lt;&gt;"",$I1709,INDEX($I$1:$I1709,ROW()-COUNTIFS($T$1:$T1709,"="&amp;$T1709,$S$1:$S1709,"&lt;"&amp;$S1709)))</f>
        <v>0</v>
      </c>
      <c r="Z1709" s="6">
        <f t="shared" si="254"/>
        <v>1</v>
      </c>
      <c r="AA1709" t="e">
        <f t="shared" si="255"/>
        <v>#VALUE!</v>
      </c>
      <c r="AB1709" t="str">
        <f t="shared" si="256"/>
        <v/>
      </c>
      <c r="AC1709" t="e">
        <f t="shared" si="257"/>
        <v>#VALUE!</v>
      </c>
    </row>
    <row r="1710" spans="1:29" x14ac:dyDescent="0.2">
      <c r="A1710" t="str">
        <f t="shared" si="258"/>
        <v/>
      </c>
      <c r="E1710" s="4"/>
      <c r="F1710" s="46"/>
      <c r="G1710" s="4"/>
      <c r="H1710" s="48"/>
      <c r="J1710" s="26" t="str">
        <f t="shared" si="259"/>
        <v/>
      </c>
      <c r="N1710" t="str">
        <f t="shared" si="260"/>
        <v/>
      </c>
      <c r="Q1710" t="str">
        <f t="shared" si="261"/>
        <v/>
      </c>
      <c r="S1710" t="str">
        <f>IF(A1710=1,MAX($S$2:$S1709)+1,IF(OR($I1710&lt;&gt;"",A1710="x"),$S1709,""))</f>
        <v/>
      </c>
      <c r="T1710" t="str">
        <f>IF(D1710=1,MAX($T$2:$T1709)+1,IF(S1710=S1709,$T1709,IF(D1710="x",T1709,IF(D1709="x","",""))))</f>
        <v/>
      </c>
      <c r="U1710" t="str">
        <f>IF(B1710=1,MAX($U$2:$U1709)+1,IF(AND($T1710&lt;&gt;"",$T1710=$T1709),$U1709,IF(B1710="x",U1709,"")))</f>
        <v/>
      </c>
      <c r="V1710" t="str">
        <f>IF(C1710=1,MAX($V$2:$V1709)+1,IF(AND($T1710&lt;&gt;"",$T1710=$T1709),$U1709,IF(C1710="x",V1709,"")))</f>
        <v/>
      </c>
      <c r="X1710" cm="1">
        <f t="array" ref="X1710">IF($I1710&lt;&gt;"",$I1710,INDEX($I$1:$I1710,ROW()-COUNTIFS($T$1:$T1710,"="&amp;$T1710,$S$1:$S1710,"&lt;"&amp;$S1710)))</f>
        <v>0</v>
      </c>
      <c r="Z1710" s="6">
        <f t="shared" si="254"/>
        <v>1</v>
      </c>
      <c r="AA1710" t="e">
        <f t="shared" si="255"/>
        <v>#VALUE!</v>
      </c>
      <c r="AB1710" t="str">
        <f t="shared" si="256"/>
        <v/>
      </c>
      <c r="AC1710" t="e">
        <f t="shared" si="257"/>
        <v>#VALUE!</v>
      </c>
    </row>
    <row r="1711" spans="1:29" x14ac:dyDescent="0.2">
      <c r="A1711" t="str">
        <f t="shared" si="258"/>
        <v/>
      </c>
      <c r="E1711" s="4"/>
      <c r="F1711" s="46"/>
      <c r="G1711" s="4"/>
      <c r="H1711" s="48"/>
      <c r="J1711" s="26" t="str">
        <f t="shared" si="259"/>
        <v/>
      </c>
      <c r="N1711" t="str">
        <f t="shared" si="260"/>
        <v/>
      </c>
      <c r="Q1711" t="str">
        <f t="shared" si="261"/>
        <v/>
      </c>
      <c r="S1711" t="str">
        <f>IF(A1711=1,MAX($S$2:$S1710)+1,IF(OR($I1711&lt;&gt;"",A1711="x"),$S1710,""))</f>
        <v/>
      </c>
      <c r="T1711" t="str">
        <f>IF(D1711=1,MAX($T$2:$T1710)+1,IF(S1711=S1710,$T1710,IF(D1711="x",T1710,IF(D1710="x","",""))))</f>
        <v/>
      </c>
      <c r="U1711" t="str">
        <f>IF(B1711=1,MAX($U$2:$U1710)+1,IF(AND($T1711&lt;&gt;"",$T1711=$T1710),$U1710,IF(B1711="x",U1710,"")))</f>
        <v/>
      </c>
      <c r="V1711" t="str">
        <f>IF(C1711=1,MAX($V$2:$V1710)+1,IF(AND($T1711&lt;&gt;"",$T1711=$T1710),$U1710,IF(C1711="x",V1710,"")))</f>
        <v/>
      </c>
      <c r="X1711" cm="1">
        <f t="array" ref="X1711">IF($I1711&lt;&gt;"",$I1711,INDEX($I$1:$I1711,ROW()-COUNTIFS($T$1:$T1711,"="&amp;$T1711,$S$1:$S1711,"&lt;"&amp;$S1711)))</f>
        <v>0</v>
      </c>
      <c r="Z1711" s="6">
        <f t="shared" si="254"/>
        <v>1</v>
      </c>
      <c r="AA1711" t="e">
        <f t="shared" si="255"/>
        <v>#VALUE!</v>
      </c>
      <c r="AB1711" t="str">
        <f t="shared" si="256"/>
        <v/>
      </c>
      <c r="AC1711" t="e">
        <f t="shared" si="257"/>
        <v>#VALUE!</v>
      </c>
    </row>
    <row r="1712" spans="1:29" x14ac:dyDescent="0.2">
      <c r="A1712" t="str">
        <f t="shared" si="258"/>
        <v/>
      </c>
      <c r="E1712" s="4"/>
      <c r="F1712" s="46"/>
      <c r="G1712" s="4"/>
      <c r="H1712" s="48"/>
      <c r="J1712" s="26" t="str">
        <f t="shared" si="259"/>
        <v/>
      </c>
      <c r="N1712" t="str">
        <f t="shared" si="260"/>
        <v/>
      </c>
      <c r="Q1712" t="str">
        <f t="shared" si="261"/>
        <v/>
      </c>
      <c r="S1712" t="str">
        <f>IF(A1712=1,MAX($S$2:$S1711)+1,IF(OR($I1712&lt;&gt;"",A1712="x"),$S1711,""))</f>
        <v/>
      </c>
      <c r="T1712" t="str">
        <f>IF(D1712=1,MAX($T$2:$T1711)+1,IF(S1712=S1711,$T1711,IF(D1712="x",T1711,IF(D1711="x","",""))))</f>
        <v/>
      </c>
      <c r="U1712" t="str">
        <f>IF(B1712=1,MAX($U$2:$U1711)+1,IF(AND($T1712&lt;&gt;"",$T1712=$T1711),$U1711,IF(B1712="x",U1711,"")))</f>
        <v/>
      </c>
      <c r="V1712" t="str">
        <f>IF(C1712=1,MAX($V$2:$V1711)+1,IF(AND($T1712&lt;&gt;"",$T1712=$T1711),$U1711,IF(C1712="x",V1711,"")))</f>
        <v/>
      </c>
      <c r="X1712" cm="1">
        <f t="array" ref="X1712">IF($I1712&lt;&gt;"",$I1712,INDEX($I$1:$I1712,ROW()-COUNTIFS($T$1:$T1712,"="&amp;$T1712,$S$1:$S1712,"&lt;"&amp;$S1712)))</f>
        <v>0</v>
      </c>
      <c r="Z1712" s="6">
        <f t="shared" si="254"/>
        <v>1</v>
      </c>
      <c r="AA1712" t="e">
        <f t="shared" si="255"/>
        <v>#VALUE!</v>
      </c>
      <c r="AB1712" t="str">
        <f t="shared" si="256"/>
        <v/>
      </c>
      <c r="AC1712" t="e">
        <f t="shared" si="257"/>
        <v>#VALUE!</v>
      </c>
    </row>
    <row r="1713" spans="1:29" x14ac:dyDescent="0.2">
      <c r="A1713" t="str">
        <f t="shared" si="258"/>
        <v/>
      </c>
      <c r="E1713" s="4"/>
      <c r="F1713" s="46"/>
      <c r="G1713" s="4"/>
      <c r="H1713" s="48"/>
      <c r="J1713" s="26" t="str">
        <f t="shared" si="259"/>
        <v/>
      </c>
      <c r="N1713" t="str">
        <f t="shared" si="260"/>
        <v/>
      </c>
      <c r="Q1713" t="str">
        <f t="shared" si="261"/>
        <v/>
      </c>
      <c r="S1713" t="str">
        <f>IF(A1713=1,MAX($S$2:$S1712)+1,IF(OR($I1713&lt;&gt;"",A1713="x"),$S1712,""))</f>
        <v/>
      </c>
      <c r="T1713" t="str">
        <f>IF(D1713=1,MAX($T$2:$T1712)+1,IF(S1713=S1712,$T1712,IF(D1713="x",T1712,IF(D1712="x","",""))))</f>
        <v/>
      </c>
      <c r="U1713" t="str">
        <f>IF(B1713=1,MAX($U$2:$U1712)+1,IF(AND($T1713&lt;&gt;"",$T1713=$T1712),$U1712,IF(B1713="x",U1712,"")))</f>
        <v/>
      </c>
      <c r="V1713" t="str">
        <f>IF(C1713=1,MAX($V$2:$V1712)+1,IF(AND($T1713&lt;&gt;"",$T1713=$T1712),$U1712,IF(C1713="x",V1712,"")))</f>
        <v/>
      </c>
      <c r="X1713" cm="1">
        <f t="array" ref="X1713">IF($I1713&lt;&gt;"",$I1713,INDEX($I$1:$I1713,ROW()-COUNTIFS($T$1:$T1713,"="&amp;$T1713,$S$1:$S1713,"&lt;"&amp;$S1713)))</f>
        <v>0</v>
      </c>
      <c r="Z1713" s="6">
        <f t="shared" si="254"/>
        <v>1</v>
      </c>
      <c r="AA1713" t="e">
        <f t="shared" si="255"/>
        <v>#VALUE!</v>
      </c>
      <c r="AB1713" t="str">
        <f t="shared" si="256"/>
        <v/>
      </c>
      <c r="AC1713" t="e">
        <f t="shared" si="257"/>
        <v>#VALUE!</v>
      </c>
    </row>
    <row r="1714" spans="1:29" x14ac:dyDescent="0.2">
      <c r="A1714" t="str">
        <f t="shared" si="258"/>
        <v/>
      </c>
      <c r="E1714" s="4"/>
      <c r="F1714" s="46"/>
      <c r="G1714" s="4"/>
      <c r="H1714" s="48"/>
      <c r="J1714" s="26" t="str">
        <f t="shared" si="259"/>
        <v/>
      </c>
      <c r="N1714" t="str">
        <f t="shared" si="260"/>
        <v/>
      </c>
      <c r="Q1714" t="str">
        <f t="shared" si="261"/>
        <v/>
      </c>
      <c r="S1714" t="str">
        <f>IF(A1714=1,MAX($S$2:$S1713)+1,IF(OR($I1714&lt;&gt;"",A1714="x"),$S1713,""))</f>
        <v/>
      </c>
      <c r="T1714" t="str">
        <f>IF(D1714=1,MAX($T$2:$T1713)+1,IF(S1714=S1713,$T1713,IF(D1714="x",T1713,IF(D1713="x","",""))))</f>
        <v/>
      </c>
      <c r="U1714" t="str">
        <f>IF(B1714=1,MAX($U$2:$U1713)+1,IF(AND($T1714&lt;&gt;"",$T1714=$T1713),$U1713,IF(B1714="x",U1713,"")))</f>
        <v/>
      </c>
      <c r="V1714" t="str">
        <f>IF(C1714=1,MAX($V$2:$V1713)+1,IF(AND($T1714&lt;&gt;"",$T1714=$T1713),$U1713,IF(C1714="x",V1713,"")))</f>
        <v/>
      </c>
      <c r="X1714" cm="1">
        <f t="array" ref="X1714">IF($I1714&lt;&gt;"",$I1714,INDEX($I$1:$I1714,ROW()-COUNTIFS($T$1:$T1714,"="&amp;$T1714,$S$1:$S1714,"&lt;"&amp;$S1714)))</f>
        <v>0</v>
      </c>
      <c r="Z1714" s="6">
        <f t="shared" si="254"/>
        <v>1</v>
      </c>
      <c r="AA1714" t="e">
        <f t="shared" si="255"/>
        <v>#VALUE!</v>
      </c>
      <c r="AB1714" t="str">
        <f t="shared" si="256"/>
        <v/>
      </c>
      <c r="AC1714" t="e">
        <f t="shared" si="257"/>
        <v>#VALUE!</v>
      </c>
    </row>
    <row r="1715" spans="1:29" x14ac:dyDescent="0.2">
      <c r="A1715" t="str">
        <f t="shared" si="258"/>
        <v/>
      </c>
      <c r="E1715" s="4"/>
      <c r="F1715" s="46"/>
      <c r="G1715" s="4"/>
      <c r="H1715" s="48"/>
      <c r="J1715" s="26" t="str">
        <f t="shared" si="259"/>
        <v/>
      </c>
      <c r="N1715" t="str">
        <f t="shared" si="260"/>
        <v/>
      </c>
      <c r="Q1715" t="str">
        <f t="shared" si="261"/>
        <v/>
      </c>
      <c r="S1715" t="str">
        <f>IF(A1715=1,MAX($S$2:$S1714)+1,IF(OR($I1715&lt;&gt;"",A1715="x"),$S1714,""))</f>
        <v/>
      </c>
      <c r="T1715" t="str">
        <f>IF(D1715=1,MAX($T$2:$T1714)+1,IF(S1715=S1714,$T1714,IF(D1715="x",T1714,IF(D1714="x","",""))))</f>
        <v/>
      </c>
      <c r="U1715" t="str">
        <f>IF(B1715=1,MAX($U$2:$U1714)+1,IF(AND($T1715&lt;&gt;"",$T1715=$T1714),$U1714,IF(B1715="x",U1714,"")))</f>
        <v/>
      </c>
      <c r="V1715" t="str">
        <f>IF(C1715=1,MAX($V$2:$V1714)+1,IF(AND($T1715&lt;&gt;"",$T1715=$T1714),$U1714,IF(C1715="x",V1714,"")))</f>
        <v/>
      </c>
      <c r="X1715" cm="1">
        <f t="array" ref="X1715">IF($I1715&lt;&gt;"",$I1715,INDEX($I$1:$I1715,ROW()-COUNTIFS($T$1:$T1715,"="&amp;$T1715,$S$1:$S1715,"&lt;"&amp;$S1715)))</f>
        <v>0</v>
      </c>
      <c r="Z1715" s="6">
        <f t="shared" si="254"/>
        <v>1</v>
      </c>
      <c r="AA1715" t="e">
        <f t="shared" si="255"/>
        <v>#VALUE!</v>
      </c>
      <c r="AB1715" t="str">
        <f t="shared" si="256"/>
        <v/>
      </c>
      <c r="AC1715" t="e">
        <f t="shared" si="257"/>
        <v>#VALUE!</v>
      </c>
    </row>
    <row r="1716" spans="1:29" x14ac:dyDescent="0.2">
      <c r="A1716" t="str">
        <f t="shared" si="258"/>
        <v/>
      </c>
      <c r="E1716" s="4"/>
      <c r="F1716" s="46"/>
      <c r="G1716" s="4"/>
      <c r="H1716" s="48"/>
      <c r="J1716" s="26" t="str">
        <f t="shared" si="259"/>
        <v/>
      </c>
      <c r="N1716" t="str">
        <f t="shared" si="260"/>
        <v/>
      </c>
      <c r="Q1716" t="str">
        <f t="shared" si="261"/>
        <v/>
      </c>
      <c r="S1716" t="str">
        <f>IF(A1716=1,MAX($S$2:$S1715)+1,IF(OR($I1716&lt;&gt;"",A1716="x"),$S1715,""))</f>
        <v/>
      </c>
      <c r="T1716" t="str">
        <f>IF(D1716=1,MAX($T$2:$T1715)+1,IF(S1716=S1715,$T1715,IF(D1716="x",T1715,IF(D1715="x","",""))))</f>
        <v/>
      </c>
      <c r="U1716" t="str">
        <f>IF(B1716=1,MAX($U$2:$U1715)+1,IF(AND($T1716&lt;&gt;"",$T1716=$T1715),$U1715,IF(B1716="x",U1715,"")))</f>
        <v/>
      </c>
      <c r="V1716" t="str">
        <f>IF(C1716=1,MAX($V$2:$V1715)+1,IF(AND($T1716&lt;&gt;"",$T1716=$T1715),$U1715,IF(C1716="x",V1715,"")))</f>
        <v/>
      </c>
      <c r="X1716" cm="1">
        <f t="array" ref="X1716">IF($I1716&lt;&gt;"",$I1716,INDEX($I$1:$I1716,ROW()-COUNTIFS($T$1:$T1716,"="&amp;$T1716,$S$1:$S1716,"&lt;"&amp;$S1716)))</f>
        <v>0</v>
      </c>
      <c r="Z1716" s="6">
        <f t="shared" si="254"/>
        <v>1</v>
      </c>
      <c r="AA1716" t="e">
        <f t="shared" si="255"/>
        <v>#VALUE!</v>
      </c>
      <c r="AB1716" t="str">
        <f t="shared" si="256"/>
        <v/>
      </c>
      <c r="AC1716" t="e">
        <f t="shared" si="257"/>
        <v>#VALUE!</v>
      </c>
    </row>
    <row r="1717" spans="1:29" x14ac:dyDescent="0.2">
      <c r="A1717" t="str">
        <f t="shared" si="258"/>
        <v/>
      </c>
      <c r="E1717" s="4"/>
      <c r="F1717" s="46"/>
      <c r="G1717" s="4"/>
      <c r="H1717" s="48"/>
      <c r="J1717" s="26" t="str">
        <f t="shared" si="259"/>
        <v/>
      </c>
      <c r="N1717" t="str">
        <f t="shared" si="260"/>
        <v/>
      </c>
      <c r="Q1717" t="str">
        <f t="shared" si="261"/>
        <v/>
      </c>
      <c r="S1717" t="str">
        <f>IF(A1717=1,MAX($S$2:$S1716)+1,IF(OR($I1717&lt;&gt;"",A1717="x"),$S1716,""))</f>
        <v/>
      </c>
      <c r="T1717" t="str">
        <f>IF(D1717=1,MAX($T$2:$T1716)+1,IF(S1717=S1716,$T1716,IF(D1717="x",T1716,IF(D1716="x","",""))))</f>
        <v/>
      </c>
      <c r="U1717" t="str">
        <f>IF(B1717=1,MAX($U$2:$U1716)+1,IF(AND($T1717&lt;&gt;"",$T1717=$T1716),$U1716,IF(B1717="x",U1716,"")))</f>
        <v/>
      </c>
      <c r="V1717" t="str">
        <f>IF(C1717=1,MAX($V$2:$V1716)+1,IF(AND($T1717&lt;&gt;"",$T1717=$T1716),$U1716,IF(C1717="x",V1716,"")))</f>
        <v/>
      </c>
      <c r="X1717" cm="1">
        <f t="array" ref="X1717">IF($I1717&lt;&gt;"",$I1717,INDEX($I$1:$I1717,ROW()-COUNTIFS($T$1:$T1717,"="&amp;$T1717,$S$1:$S1717,"&lt;"&amp;$S1717)))</f>
        <v>0</v>
      </c>
      <c r="Z1717" s="6">
        <f t="shared" si="254"/>
        <v>1</v>
      </c>
      <c r="AA1717" t="e">
        <f t="shared" si="255"/>
        <v>#VALUE!</v>
      </c>
      <c r="AB1717" t="str">
        <f t="shared" si="256"/>
        <v/>
      </c>
      <c r="AC1717" t="e">
        <f t="shared" si="257"/>
        <v>#VALUE!</v>
      </c>
    </row>
    <row r="1718" spans="1:29" x14ac:dyDescent="0.2">
      <c r="A1718" t="str">
        <f t="shared" si="258"/>
        <v/>
      </c>
      <c r="E1718" s="4"/>
      <c r="F1718" s="46"/>
      <c r="G1718" s="4"/>
      <c r="H1718" s="48"/>
      <c r="J1718" s="26" t="str">
        <f t="shared" si="259"/>
        <v/>
      </c>
      <c r="N1718" t="str">
        <f t="shared" si="260"/>
        <v/>
      </c>
      <c r="Q1718" t="str">
        <f t="shared" si="261"/>
        <v/>
      </c>
      <c r="S1718" t="str">
        <f>IF(A1718=1,MAX($S$2:$S1717)+1,IF(OR($I1718&lt;&gt;"",A1718="x"),$S1717,""))</f>
        <v/>
      </c>
      <c r="T1718" t="str">
        <f>IF(D1718=1,MAX($T$2:$T1717)+1,IF(S1718=S1717,$T1717,IF(D1718="x",T1717,IF(D1717="x","",""))))</f>
        <v/>
      </c>
      <c r="U1718" t="str">
        <f>IF(B1718=1,MAX($U$2:$U1717)+1,IF(AND($T1718&lt;&gt;"",$T1718=$T1717),$U1717,IF(B1718="x",U1717,"")))</f>
        <v/>
      </c>
      <c r="V1718" t="str">
        <f>IF(C1718=1,MAX($V$2:$V1717)+1,IF(AND($T1718&lt;&gt;"",$T1718=$T1717),$U1717,IF(C1718="x",V1717,"")))</f>
        <v/>
      </c>
      <c r="X1718" cm="1">
        <f t="array" ref="X1718">IF($I1718&lt;&gt;"",$I1718,INDEX($I$1:$I1718,ROW()-COUNTIFS($T$1:$T1718,"="&amp;$T1718,$S$1:$S1718,"&lt;"&amp;$S1718)))</f>
        <v>0</v>
      </c>
      <c r="Z1718" s="6">
        <f t="shared" si="254"/>
        <v>1</v>
      </c>
      <c r="AA1718" t="e">
        <f t="shared" si="255"/>
        <v>#VALUE!</v>
      </c>
      <c r="AB1718" t="str">
        <f t="shared" si="256"/>
        <v/>
      </c>
      <c r="AC1718" t="e">
        <f t="shared" si="257"/>
        <v>#VALUE!</v>
      </c>
    </row>
    <row r="1719" spans="1:29" x14ac:dyDescent="0.2">
      <c r="A1719" t="str">
        <f t="shared" si="258"/>
        <v/>
      </c>
      <c r="E1719" s="4"/>
      <c r="F1719" s="46"/>
      <c r="G1719" s="4"/>
      <c r="H1719" s="48"/>
      <c r="J1719" s="26" t="str">
        <f t="shared" si="259"/>
        <v/>
      </c>
      <c r="N1719" t="str">
        <f t="shared" si="260"/>
        <v/>
      </c>
      <c r="Q1719" t="str">
        <f t="shared" si="261"/>
        <v/>
      </c>
      <c r="S1719" t="str">
        <f>IF(A1719=1,MAX($S$2:$S1718)+1,IF(OR($I1719&lt;&gt;"",A1719="x"),$S1718,""))</f>
        <v/>
      </c>
      <c r="T1719" t="str">
        <f>IF(D1719=1,MAX($T$2:$T1718)+1,IF(S1719=S1718,$T1718,IF(D1719="x",T1718,IF(D1718="x","",""))))</f>
        <v/>
      </c>
      <c r="U1719" t="str">
        <f>IF(B1719=1,MAX($U$2:$U1718)+1,IF(AND($T1719&lt;&gt;"",$T1719=$T1718),$U1718,IF(B1719="x",U1718,"")))</f>
        <v/>
      </c>
      <c r="V1719" t="str">
        <f>IF(C1719=1,MAX($V$2:$V1718)+1,IF(AND($T1719&lt;&gt;"",$T1719=$T1718),$U1718,IF(C1719="x",V1718,"")))</f>
        <v/>
      </c>
      <c r="X1719" cm="1">
        <f t="array" ref="X1719">IF($I1719&lt;&gt;"",$I1719,INDEX($I$1:$I1719,ROW()-COUNTIFS($T$1:$T1719,"="&amp;$T1719,$S$1:$S1719,"&lt;"&amp;$S1719)))</f>
        <v>0</v>
      </c>
      <c r="Z1719" s="6">
        <f t="shared" si="254"/>
        <v>1</v>
      </c>
      <c r="AA1719" t="e">
        <f t="shared" si="255"/>
        <v>#VALUE!</v>
      </c>
      <c r="AB1719" t="str">
        <f t="shared" si="256"/>
        <v/>
      </c>
      <c r="AC1719" t="e">
        <f t="shared" si="257"/>
        <v>#VALUE!</v>
      </c>
    </row>
    <row r="1720" spans="1:29" x14ac:dyDescent="0.2">
      <c r="A1720" t="str">
        <f t="shared" si="258"/>
        <v/>
      </c>
      <c r="E1720" s="4"/>
      <c r="F1720" s="46"/>
      <c r="G1720" s="4"/>
      <c r="H1720" s="48"/>
      <c r="J1720" s="26" t="str">
        <f t="shared" si="259"/>
        <v/>
      </c>
      <c r="N1720" t="str">
        <f t="shared" si="260"/>
        <v/>
      </c>
      <c r="Q1720" t="str">
        <f t="shared" si="261"/>
        <v/>
      </c>
      <c r="S1720" t="str">
        <f>IF(A1720=1,MAX($S$2:$S1719)+1,IF(OR($I1720&lt;&gt;"",A1720="x"),$S1719,""))</f>
        <v/>
      </c>
      <c r="T1720" t="str">
        <f>IF(D1720=1,MAX($T$2:$T1719)+1,IF(S1720=S1719,$T1719,IF(D1720="x",T1719,IF(D1719="x","",""))))</f>
        <v/>
      </c>
      <c r="U1720" t="str">
        <f>IF(B1720=1,MAX($U$2:$U1719)+1,IF(AND($T1720&lt;&gt;"",$T1720=$T1719),$U1719,IF(B1720="x",U1719,"")))</f>
        <v/>
      </c>
      <c r="V1720" t="str">
        <f>IF(C1720=1,MAX($V$2:$V1719)+1,IF(AND($T1720&lt;&gt;"",$T1720=$T1719),$U1719,IF(C1720="x",V1719,"")))</f>
        <v/>
      </c>
      <c r="X1720" cm="1">
        <f t="array" ref="X1720">IF($I1720&lt;&gt;"",$I1720,INDEX($I$1:$I1720,ROW()-COUNTIFS($T$1:$T1720,"="&amp;$T1720,$S$1:$S1720,"&lt;"&amp;$S1720)))</f>
        <v>0</v>
      </c>
      <c r="Z1720" s="6">
        <f t="shared" si="254"/>
        <v>1</v>
      </c>
      <c r="AA1720" t="e">
        <f t="shared" si="255"/>
        <v>#VALUE!</v>
      </c>
      <c r="AB1720" t="str">
        <f t="shared" si="256"/>
        <v/>
      </c>
      <c r="AC1720" t="e">
        <f t="shared" si="257"/>
        <v>#VALUE!</v>
      </c>
    </row>
    <row r="1721" spans="1:29" x14ac:dyDescent="0.2">
      <c r="A1721" t="str">
        <f t="shared" si="258"/>
        <v/>
      </c>
      <c r="E1721" s="4"/>
      <c r="F1721" s="46"/>
      <c r="G1721" s="4"/>
      <c r="H1721" s="48"/>
      <c r="J1721" s="26" t="str">
        <f t="shared" si="259"/>
        <v/>
      </c>
      <c r="N1721" t="str">
        <f t="shared" si="260"/>
        <v/>
      </c>
      <c r="Q1721" t="str">
        <f t="shared" si="261"/>
        <v/>
      </c>
      <c r="S1721" t="str">
        <f>IF(A1721=1,MAX($S$2:$S1720)+1,IF(OR($I1721&lt;&gt;"",A1721="x"),$S1720,""))</f>
        <v/>
      </c>
      <c r="T1721" t="str">
        <f>IF(D1721=1,MAX($T$2:$T1720)+1,IF(S1721=S1720,$T1720,IF(D1721="x",T1720,IF(D1720="x","",""))))</f>
        <v/>
      </c>
      <c r="U1721" t="str">
        <f>IF(B1721=1,MAX($U$2:$U1720)+1,IF(AND($T1721&lt;&gt;"",$T1721=$T1720),$U1720,IF(B1721="x",U1720,"")))</f>
        <v/>
      </c>
      <c r="V1721" t="str">
        <f>IF(C1721=1,MAX($V$2:$V1720)+1,IF(AND($T1721&lt;&gt;"",$T1721=$T1720),$U1720,IF(C1721="x",V1720,"")))</f>
        <v/>
      </c>
      <c r="X1721" cm="1">
        <f t="array" ref="X1721">IF($I1721&lt;&gt;"",$I1721,INDEX($I$1:$I1721,ROW()-COUNTIFS($T$1:$T1721,"="&amp;$T1721,$S$1:$S1721,"&lt;"&amp;$S1721)))</f>
        <v>0</v>
      </c>
      <c r="Z1721" s="6">
        <f t="shared" si="254"/>
        <v>1</v>
      </c>
      <c r="AA1721" t="e">
        <f t="shared" si="255"/>
        <v>#VALUE!</v>
      </c>
      <c r="AB1721" t="str">
        <f t="shared" si="256"/>
        <v/>
      </c>
      <c r="AC1721" t="e">
        <f t="shared" si="257"/>
        <v>#VALUE!</v>
      </c>
    </row>
    <row r="1722" spans="1:29" x14ac:dyDescent="0.2">
      <c r="A1722" t="str">
        <f t="shared" si="258"/>
        <v/>
      </c>
      <c r="E1722" s="4"/>
      <c r="F1722" s="46"/>
      <c r="G1722" s="4"/>
      <c r="H1722" s="48"/>
      <c r="J1722" s="26" t="str">
        <f t="shared" si="259"/>
        <v/>
      </c>
      <c r="N1722" t="str">
        <f t="shared" si="260"/>
        <v/>
      </c>
      <c r="Q1722" t="str">
        <f t="shared" si="261"/>
        <v/>
      </c>
      <c r="S1722" t="str">
        <f>IF(A1722=1,MAX($S$2:$S1721)+1,IF(OR($I1722&lt;&gt;"",A1722="x"),$S1721,""))</f>
        <v/>
      </c>
      <c r="T1722" t="str">
        <f>IF(D1722=1,MAX($T$2:$T1721)+1,IF(S1722=S1721,$T1721,IF(D1722="x",T1721,IF(D1721="x","",""))))</f>
        <v/>
      </c>
      <c r="U1722" t="str">
        <f>IF(B1722=1,MAX($U$2:$U1721)+1,IF(AND($T1722&lt;&gt;"",$T1722=$T1721),$U1721,IF(B1722="x",U1721,"")))</f>
        <v/>
      </c>
      <c r="V1722" t="str">
        <f>IF(C1722=1,MAX($V$2:$V1721)+1,IF(AND($T1722&lt;&gt;"",$T1722=$T1721),$U1721,IF(C1722="x",V1721,"")))</f>
        <v/>
      </c>
      <c r="X1722" cm="1">
        <f t="array" ref="X1722">IF($I1722&lt;&gt;"",$I1722,INDEX($I$1:$I1722,ROW()-COUNTIFS($T$1:$T1722,"="&amp;$T1722,$S$1:$S1722,"&lt;"&amp;$S1722)))</f>
        <v>0</v>
      </c>
      <c r="Z1722" s="6">
        <f t="shared" si="254"/>
        <v>1</v>
      </c>
      <c r="AA1722" t="e">
        <f t="shared" si="255"/>
        <v>#VALUE!</v>
      </c>
      <c r="AB1722" t="str">
        <f t="shared" si="256"/>
        <v/>
      </c>
      <c r="AC1722" t="e">
        <f t="shared" si="257"/>
        <v>#VALUE!</v>
      </c>
    </row>
    <row r="1723" spans="1:29" x14ac:dyDescent="0.2">
      <c r="A1723" t="str">
        <f t="shared" si="258"/>
        <v/>
      </c>
      <c r="E1723" s="4"/>
      <c r="F1723" s="46"/>
      <c r="G1723" s="4"/>
      <c r="H1723" s="48"/>
      <c r="J1723" s="26" t="str">
        <f t="shared" si="259"/>
        <v/>
      </c>
      <c r="N1723" t="str">
        <f t="shared" si="260"/>
        <v/>
      </c>
      <c r="Q1723" t="str">
        <f t="shared" si="261"/>
        <v/>
      </c>
      <c r="S1723" t="str">
        <f>IF(A1723=1,MAX($S$2:$S1722)+1,IF(OR($I1723&lt;&gt;"",A1723="x"),$S1722,""))</f>
        <v/>
      </c>
      <c r="T1723" t="str">
        <f>IF(D1723=1,MAX($T$2:$T1722)+1,IF(S1723=S1722,$T1722,IF(D1723="x",T1722,IF(D1722="x","",""))))</f>
        <v/>
      </c>
      <c r="U1723" t="str">
        <f>IF(B1723=1,MAX($U$2:$U1722)+1,IF(AND($T1723&lt;&gt;"",$T1723=$T1722),$U1722,IF(B1723="x",U1722,"")))</f>
        <v/>
      </c>
      <c r="V1723" t="str">
        <f>IF(C1723=1,MAX($V$2:$V1722)+1,IF(AND($T1723&lt;&gt;"",$T1723=$T1722),$U1722,IF(C1723="x",V1722,"")))</f>
        <v/>
      </c>
      <c r="X1723" cm="1">
        <f t="array" ref="X1723">IF($I1723&lt;&gt;"",$I1723,INDEX($I$1:$I1723,ROW()-COUNTIFS($T$1:$T1723,"="&amp;$T1723,$S$1:$S1723,"&lt;"&amp;$S1723)))</f>
        <v>0</v>
      </c>
      <c r="Z1723" s="6">
        <f t="shared" si="254"/>
        <v>1</v>
      </c>
      <c r="AA1723" t="e">
        <f t="shared" si="255"/>
        <v>#VALUE!</v>
      </c>
      <c r="AB1723" t="str">
        <f t="shared" si="256"/>
        <v/>
      </c>
      <c r="AC1723" t="e">
        <f t="shared" si="257"/>
        <v>#VALUE!</v>
      </c>
    </row>
    <row r="1724" spans="1:29" x14ac:dyDescent="0.2">
      <c r="A1724" t="str">
        <f t="shared" si="258"/>
        <v/>
      </c>
      <c r="E1724" s="4"/>
      <c r="F1724" s="46"/>
      <c r="G1724" s="4"/>
      <c r="H1724" s="48"/>
      <c r="J1724" s="26" t="str">
        <f t="shared" si="259"/>
        <v/>
      </c>
      <c r="N1724" t="str">
        <f t="shared" si="260"/>
        <v/>
      </c>
      <c r="Q1724" t="str">
        <f t="shared" si="261"/>
        <v/>
      </c>
      <c r="S1724" t="str">
        <f>IF(A1724=1,MAX($S$2:$S1723)+1,IF(OR($I1724&lt;&gt;"",A1724="x"),$S1723,""))</f>
        <v/>
      </c>
      <c r="T1724" t="str">
        <f>IF(D1724=1,MAX($T$2:$T1723)+1,IF(S1724=S1723,$T1723,IF(D1724="x",T1723,IF(D1723="x","",""))))</f>
        <v/>
      </c>
      <c r="U1724" t="str">
        <f>IF(B1724=1,MAX($U$2:$U1723)+1,IF(AND($T1724&lt;&gt;"",$T1724=$T1723),$U1723,IF(B1724="x",U1723,"")))</f>
        <v/>
      </c>
      <c r="V1724" t="str">
        <f>IF(C1724=1,MAX($V$2:$V1723)+1,IF(AND($T1724&lt;&gt;"",$T1724=$T1723),$U1723,IF(C1724="x",V1723,"")))</f>
        <v/>
      </c>
      <c r="X1724" cm="1">
        <f t="array" ref="X1724">IF($I1724&lt;&gt;"",$I1724,INDEX($I$1:$I1724,ROW()-COUNTIFS($T$1:$T1724,"="&amp;$T1724,$S$1:$S1724,"&lt;"&amp;$S1724)))</f>
        <v>0</v>
      </c>
      <c r="Z1724" s="6">
        <f t="shared" si="254"/>
        <v>1</v>
      </c>
      <c r="AA1724" t="e">
        <f t="shared" si="255"/>
        <v>#VALUE!</v>
      </c>
      <c r="AB1724" t="str">
        <f t="shared" si="256"/>
        <v/>
      </c>
      <c r="AC1724" t="e">
        <f t="shared" si="257"/>
        <v>#VALUE!</v>
      </c>
    </row>
    <row r="1725" spans="1:29" x14ac:dyDescent="0.2">
      <c r="A1725" t="str">
        <f t="shared" si="258"/>
        <v/>
      </c>
      <c r="E1725" s="4"/>
      <c r="F1725" s="46"/>
      <c r="G1725" s="4"/>
      <c r="H1725" s="48"/>
      <c r="J1725" s="26" t="str">
        <f t="shared" si="259"/>
        <v/>
      </c>
      <c r="N1725" t="str">
        <f t="shared" si="260"/>
        <v/>
      </c>
      <c r="Q1725" t="str">
        <f t="shared" si="261"/>
        <v/>
      </c>
      <c r="S1725" t="str">
        <f>IF(A1725=1,MAX($S$2:$S1724)+1,IF(OR($I1725&lt;&gt;"",A1725="x"),$S1724,""))</f>
        <v/>
      </c>
      <c r="T1725" t="str">
        <f>IF(D1725=1,MAX($T$2:$T1724)+1,IF(S1725=S1724,$T1724,IF(D1725="x",T1724,IF(D1724="x","",""))))</f>
        <v/>
      </c>
      <c r="U1725" t="str">
        <f>IF(B1725=1,MAX($U$2:$U1724)+1,IF(AND($T1725&lt;&gt;"",$T1725=$T1724),$U1724,IF(B1725="x",U1724,"")))</f>
        <v/>
      </c>
      <c r="V1725" t="str">
        <f>IF(C1725=1,MAX($V$2:$V1724)+1,IF(AND($T1725&lt;&gt;"",$T1725=$T1724),$U1724,IF(C1725="x",V1724,"")))</f>
        <v/>
      </c>
      <c r="X1725" cm="1">
        <f t="array" ref="X1725">IF($I1725&lt;&gt;"",$I1725,INDEX($I$1:$I1725,ROW()-COUNTIFS($T$1:$T1725,"="&amp;$T1725,$S$1:$S1725,"&lt;"&amp;$S1725)))</f>
        <v>0</v>
      </c>
      <c r="Z1725" s="6">
        <f t="shared" si="254"/>
        <v>1</v>
      </c>
      <c r="AA1725" t="e">
        <f t="shared" si="255"/>
        <v>#VALUE!</v>
      </c>
      <c r="AB1725" t="str">
        <f t="shared" si="256"/>
        <v/>
      </c>
      <c r="AC1725" t="e">
        <f t="shared" si="257"/>
        <v>#VALUE!</v>
      </c>
    </row>
    <row r="1726" spans="1:29" x14ac:dyDescent="0.2">
      <c r="A1726" t="str">
        <f t="shared" si="258"/>
        <v/>
      </c>
      <c r="E1726" s="4"/>
      <c r="F1726" s="46"/>
      <c r="G1726" s="4"/>
      <c r="H1726" s="48"/>
      <c r="J1726" s="26" t="str">
        <f t="shared" si="259"/>
        <v/>
      </c>
      <c r="N1726" t="str">
        <f t="shared" si="260"/>
        <v/>
      </c>
      <c r="Q1726" t="str">
        <f t="shared" si="261"/>
        <v/>
      </c>
      <c r="S1726" t="str">
        <f>IF(A1726=1,MAX($S$2:$S1725)+1,IF(OR($I1726&lt;&gt;"",A1726="x"),$S1725,""))</f>
        <v/>
      </c>
      <c r="T1726" t="str">
        <f>IF(D1726=1,MAX($T$2:$T1725)+1,IF(S1726=S1725,$T1725,IF(D1726="x",T1725,IF(D1725="x","",""))))</f>
        <v/>
      </c>
      <c r="U1726" t="str">
        <f>IF(B1726=1,MAX($U$2:$U1725)+1,IF(AND($T1726&lt;&gt;"",$T1726=$T1725),$U1725,IF(B1726="x",U1725,"")))</f>
        <v/>
      </c>
      <c r="V1726" t="str">
        <f>IF(C1726=1,MAX($V$2:$V1725)+1,IF(AND($T1726&lt;&gt;"",$T1726=$T1725),$U1725,IF(C1726="x",V1725,"")))</f>
        <v/>
      </c>
      <c r="X1726" cm="1">
        <f t="array" ref="X1726">IF($I1726&lt;&gt;"",$I1726,INDEX($I$1:$I1726,ROW()-COUNTIFS($T$1:$T1726,"="&amp;$T1726,$S$1:$S1726,"&lt;"&amp;$S1726)))</f>
        <v>0</v>
      </c>
      <c r="Z1726" s="6">
        <f t="shared" si="254"/>
        <v>1</v>
      </c>
      <c r="AA1726" t="e">
        <f t="shared" si="255"/>
        <v>#VALUE!</v>
      </c>
      <c r="AB1726" t="str">
        <f t="shared" si="256"/>
        <v/>
      </c>
      <c r="AC1726" t="e">
        <f t="shared" si="257"/>
        <v>#VALUE!</v>
      </c>
    </row>
    <row r="1727" spans="1:29" x14ac:dyDescent="0.2">
      <c r="A1727" t="str">
        <f t="shared" si="258"/>
        <v/>
      </c>
      <c r="E1727" s="4"/>
      <c r="F1727" s="46"/>
      <c r="G1727" s="4"/>
      <c r="H1727" s="48"/>
      <c r="J1727" s="26" t="str">
        <f t="shared" si="259"/>
        <v/>
      </c>
      <c r="N1727" t="str">
        <f t="shared" si="260"/>
        <v/>
      </c>
      <c r="Q1727" t="str">
        <f t="shared" si="261"/>
        <v/>
      </c>
      <c r="S1727" t="str">
        <f>IF(A1727=1,MAX($S$2:$S1726)+1,IF(OR($I1727&lt;&gt;"",A1727="x"),$S1726,""))</f>
        <v/>
      </c>
      <c r="T1727" t="str">
        <f>IF(D1727=1,MAX($T$2:$T1726)+1,IF(S1727=S1726,$T1726,IF(D1727="x",T1726,IF(D1726="x","",""))))</f>
        <v/>
      </c>
      <c r="U1727" t="str">
        <f>IF(B1727=1,MAX($U$2:$U1726)+1,IF(AND($T1727&lt;&gt;"",$T1727=$T1726),$U1726,IF(B1727="x",U1726,"")))</f>
        <v/>
      </c>
      <c r="V1727" t="str">
        <f>IF(C1727=1,MAX($V$2:$V1726)+1,IF(AND($T1727&lt;&gt;"",$T1727=$T1726),$U1726,IF(C1727="x",V1726,"")))</f>
        <v/>
      </c>
      <c r="X1727" cm="1">
        <f t="array" ref="X1727">IF($I1727&lt;&gt;"",$I1727,INDEX($I$1:$I1727,ROW()-COUNTIFS($T$1:$T1727,"="&amp;$T1727,$S$1:$S1727,"&lt;"&amp;$S1727)))</f>
        <v>0</v>
      </c>
      <c r="Z1727" s="6">
        <f t="shared" si="254"/>
        <v>1</v>
      </c>
      <c r="AA1727" t="e">
        <f t="shared" si="255"/>
        <v>#VALUE!</v>
      </c>
      <c r="AB1727" t="str">
        <f t="shared" si="256"/>
        <v/>
      </c>
      <c r="AC1727" t="e">
        <f t="shared" si="257"/>
        <v>#VALUE!</v>
      </c>
    </row>
    <row r="1728" spans="1:29" x14ac:dyDescent="0.2">
      <c r="A1728" t="str">
        <f t="shared" si="258"/>
        <v/>
      </c>
      <c r="E1728" s="4"/>
      <c r="F1728" s="46"/>
      <c r="G1728" s="4"/>
      <c r="H1728" s="48"/>
      <c r="J1728" s="26" t="str">
        <f t="shared" si="259"/>
        <v/>
      </c>
      <c r="N1728" t="str">
        <f t="shared" si="260"/>
        <v/>
      </c>
      <c r="Q1728" t="str">
        <f t="shared" si="261"/>
        <v/>
      </c>
      <c r="S1728" t="str">
        <f>IF(A1728=1,MAX($S$2:$S1727)+1,IF(OR($I1728&lt;&gt;"",A1728="x"),$S1727,""))</f>
        <v/>
      </c>
      <c r="T1728" t="str">
        <f>IF(D1728=1,MAX($T$2:$T1727)+1,IF(S1728=S1727,$T1727,IF(D1728="x",T1727,IF(D1727="x","",""))))</f>
        <v/>
      </c>
      <c r="U1728" t="str">
        <f>IF(B1728=1,MAX($U$2:$U1727)+1,IF(AND($T1728&lt;&gt;"",$T1728=$T1727),$U1727,IF(B1728="x",U1727,"")))</f>
        <v/>
      </c>
      <c r="V1728" t="str">
        <f>IF(C1728=1,MAX($V$2:$V1727)+1,IF(AND($T1728&lt;&gt;"",$T1728=$T1727),$U1727,IF(C1728="x",V1727,"")))</f>
        <v/>
      </c>
      <c r="X1728" cm="1">
        <f t="array" ref="X1728">IF($I1728&lt;&gt;"",$I1728,INDEX($I$1:$I1728,ROW()-COUNTIFS($T$1:$T1728,"="&amp;$T1728,$S$1:$S1728,"&lt;"&amp;$S1728)))</f>
        <v>0</v>
      </c>
      <c r="Z1728" s="6">
        <f t="shared" si="254"/>
        <v>1</v>
      </c>
      <c r="AA1728" t="e">
        <f t="shared" si="255"/>
        <v>#VALUE!</v>
      </c>
      <c r="AB1728" t="str">
        <f t="shared" si="256"/>
        <v/>
      </c>
      <c r="AC1728" t="e">
        <f t="shared" si="257"/>
        <v>#VALUE!</v>
      </c>
    </row>
    <row r="1729" spans="1:29" x14ac:dyDescent="0.2">
      <c r="A1729" t="str">
        <f t="shared" si="258"/>
        <v/>
      </c>
      <c r="E1729" s="4"/>
      <c r="F1729" s="46"/>
      <c r="G1729" s="4"/>
      <c r="H1729" s="48"/>
      <c r="J1729" s="26" t="str">
        <f t="shared" si="259"/>
        <v/>
      </c>
      <c r="N1729" t="str">
        <f t="shared" si="260"/>
        <v/>
      </c>
      <c r="Q1729" t="str">
        <f t="shared" si="261"/>
        <v/>
      </c>
      <c r="S1729" t="str">
        <f>IF(A1729=1,MAX($S$2:$S1728)+1,IF(OR($I1729&lt;&gt;"",A1729="x"),$S1728,""))</f>
        <v/>
      </c>
      <c r="T1729" t="str">
        <f>IF(D1729=1,MAX($T$2:$T1728)+1,IF(S1729=S1728,$T1728,IF(D1729="x",T1728,IF(D1728="x","",""))))</f>
        <v/>
      </c>
      <c r="U1729" t="str">
        <f>IF(B1729=1,MAX($U$2:$U1728)+1,IF(AND($T1729&lt;&gt;"",$T1729=$T1728),$U1728,IF(B1729="x",U1728,"")))</f>
        <v/>
      </c>
      <c r="V1729" t="str">
        <f>IF(C1729=1,MAX($V$2:$V1728)+1,IF(AND($T1729&lt;&gt;"",$T1729=$T1728),$U1728,IF(C1729="x",V1728,"")))</f>
        <v/>
      </c>
      <c r="X1729" cm="1">
        <f t="array" ref="X1729">IF($I1729&lt;&gt;"",$I1729,INDEX($I$1:$I1729,ROW()-COUNTIFS($T$1:$T1729,"="&amp;$T1729,$S$1:$S1729,"&lt;"&amp;$S1729)))</f>
        <v>0</v>
      </c>
      <c r="Z1729" s="6">
        <f t="shared" si="254"/>
        <v>1</v>
      </c>
      <c r="AA1729" t="e">
        <f t="shared" si="255"/>
        <v>#VALUE!</v>
      </c>
      <c r="AB1729" t="str">
        <f t="shared" si="256"/>
        <v/>
      </c>
      <c r="AC1729" t="e">
        <f t="shared" si="257"/>
        <v>#VALUE!</v>
      </c>
    </row>
    <row r="1730" spans="1:29" x14ac:dyDescent="0.2">
      <c r="A1730" t="str">
        <f t="shared" si="258"/>
        <v/>
      </c>
      <c r="E1730" s="4"/>
      <c r="F1730" s="46"/>
      <c r="G1730" s="4"/>
      <c r="H1730" s="48"/>
      <c r="J1730" s="26" t="str">
        <f t="shared" si="259"/>
        <v/>
      </c>
      <c r="N1730" t="str">
        <f t="shared" si="260"/>
        <v/>
      </c>
      <c r="Q1730" t="str">
        <f t="shared" si="261"/>
        <v/>
      </c>
      <c r="S1730" t="str">
        <f>IF(A1730=1,MAX($S$2:$S1729)+1,IF(OR($I1730&lt;&gt;"",A1730="x"),$S1729,""))</f>
        <v/>
      </c>
      <c r="T1730" t="str">
        <f>IF(D1730=1,MAX($T$2:$T1729)+1,IF(S1730=S1729,$T1729,IF(D1730="x",T1729,IF(D1729="x","",""))))</f>
        <v/>
      </c>
      <c r="U1730" t="str">
        <f>IF(B1730=1,MAX($U$2:$U1729)+1,IF(AND($T1730&lt;&gt;"",$T1730=$T1729),$U1729,IF(B1730="x",U1729,"")))</f>
        <v/>
      </c>
      <c r="V1730" t="str">
        <f>IF(C1730=1,MAX($V$2:$V1729)+1,IF(AND($T1730&lt;&gt;"",$T1730=$T1729),$U1729,IF(C1730="x",V1729,"")))</f>
        <v/>
      </c>
      <c r="X1730" cm="1">
        <f t="array" ref="X1730">IF($I1730&lt;&gt;"",$I1730,INDEX($I$1:$I1730,ROW()-COUNTIFS($T$1:$T1730,"="&amp;$T1730,$S$1:$S1730,"&lt;"&amp;$S1730)))</f>
        <v>0</v>
      </c>
      <c r="Z1730" s="6">
        <f t="shared" si="254"/>
        <v>1</v>
      </c>
      <c r="AA1730" t="e">
        <f t="shared" si="255"/>
        <v>#VALUE!</v>
      </c>
      <c r="AB1730" t="str">
        <f t="shared" si="256"/>
        <v/>
      </c>
      <c r="AC1730" t="e">
        <f t="shared" si="257"/>
        <v>#VALUE!</v>
      </c>
    </row>
    <row r="1731" spans="1:29" x14ac:dyDescent="0.2">
      <c r="A1731" t="str">
        <f t="shared" si="258"/>
        <v/>
      </c>
      <c r="E1731" s="4"/>
      <c r="F1731" s="46"/>
      <c r="G1731" s="4"/>
      <c r="H1731" s="48"/>
      <c r="J1731" s="26" t="str">
        <f t="shared" si="259"/>
        <v/>
      </c>
      <c r="N1731" t="str">
        <f t="shared" si="260"/>
        <v/>
      </c>
      <c r="Q1731" t="str">
        <f t="shared" si="261"/>
        <v/>
      </c>
      <c r="S1731" t="str">
        <f>IF(A1731=1,MAX($S$2:$S1730)+1,IF(OR($I1731&lt;&gt;"",A1731="x"),$S1730,""))</f>
        <v/>
      </c>
      <c r="T1731" t="str">
        <f>IF(D1731=1,MAX($T$2:$T1730)+1,IF(S1731=S1730,$T1730,IF(D1731="x",T1730,IF(D1730="x","",""))))</f>
        <v/>
      </c>
      <c r="U1731" t="str">
        <f>IF(B1731=1,MAX($U$2:$U1730)+1,IF(AND($T1731&lt;&gt;"",$T1731=$T1730),$U1730,IF(B1731="x",U1730,"")))</f>
        <v/>
      </c>
      <c r="V1731" t="str">
        <f>IF(C1731=1,MAX($V$2:$V1730)+1,IF(AND($T1731&lt;&gt;"",$T1731=$T1730),$U1730,IF(C1731="x",V1730,"")))</f>
        <v/>
      </c>
      <c r="X1731" cm="1">
        <f t="array" ref="X1731">IF($I1731&lt;&gt;"",$I1731,INDEX($I$1:$I1731,ROW()-COUNTIFS($T$1:$T1731,"="&amp;$T1731,$S$1:$S1731,"&lt;"&amp;$S1731)))</f>
        <v>0</v>
      </c>
      <c r="Z1731" s="6">
        <f t="shared" si="254"/>
        <v>1</v>
      </c>
      <c r="AA1731" t="e">
        <f t="shared" si="255"/>
        <v>#VALUE!</v>
      </c>
      <c r="AB1731" t="str">
        <f t="shared" si="256"/>
        <v/>
      </c>
      <c r="AC1731" t="e">
        <f t="shared" si="257"/>
        <v>#VALUE!</v>
      </c>
    </row>
    <row r="1732" spans="1:29" x14ac:dyDescent="0.2">
      <c r="A1732" t="str">
        <f t="shared" si="258"/>
        <v/>
      </c>
      <c r="E1732" s="4"/>
      <c r="F1732" s="46"/>
      <c r="G1732" s="4"/>
      <c r="H1732" s="48"/>
      <c r="J1732" s="26" t="str">
        <f t="shared" si="259"/>
        <v/>
      </c>
      <c r="N1732" t="str">
        <f t="shared" si="260"/>
        <v/>
      </c>
      <c r="Q1732" t="str">
        <f t="shared" si="261"/>
        <v/>
      </c>
      <c r="S1732" t="str">
        <f>IF(A1732=1,MAX($S$2:$S1731)+1,IF(OR($I1732&lt;&gt;"",A1732="x"),$S1731,""))</f>
        <v/>
      </c>
      <c r="T1732" t="str">
        <f>IF(D1732=1,MAX($T$2:$T1731)+1,IF(S1732=S1731,$T1731,IF(D1732="x",T1731,IF(D1731="x","",""))))</f>
        <v/>
      </c>
      <c r="U1732" t="str">
        <f>IF(B1732=1,MAX($U$2:$U1731)+1,IF(AND($T1732&lt;&gt;"",$T1732=$T1731),$U1731,IF(B1732="x",U1731,"")))</f>
        <v/>
      </c>
      <c r="V1732" t="str">
        <f>IF(C1732=1,MAX($V$2:$V1731)+1,IF(AND($T1732&lt;&gt;"",$T1732=$T1731),$U1731,IF(C1732="x",V1731,"")))</f>
        <v/>
      </c>
      <c r="X1732" cm="1">
        <f t="array" ref="X1732">IF($I1732&lt;&gt;"",$I1732,INDEX($I$1:$I1732,ROW()-COUNTIFS($T$1:$T1732,"="&amp;$T1732,$S$1:$S1732,"&lt;"&amp;$S1732)))</f>
        <v>0</v>
      </c>
      <c r="Z1732" s="6">
        <f t="shared" si="254"/>
        <v>1</v>
      </c>
      <c r="AA1732" t="e">
        <f t="shared" si="255"/>
        <v>#VALUE!</v>
      </c>
      <c r="AB1732" t="str">
        <f t="shared" si="256"/>
        <v/>
      </c>
      <c r="AC1732" t="e">
        <f t="shared" si="257"/>
        <v>#VALUE!</v>
      </c>
    </row>
    <row r="1733" spans="1:29" x14ac:dyDescent="0.2">
      <c r="A1733" t="str">
        <f t="shared" si="258"/>
        <v/>
      </c>
      <c r="E1733" s="4"/>
      <c r="F1733" s="46"/>
      <c r="G1733" s="4"/>
      <c r="H1733" s="48"/>
      <c r="J1733" s="26" t="str">
        <f t="shared" si="259"/>
        <v/>
      </c>
      <c r="N1733" t="str">
        <f t="shared" si="260"/>
        <v/>
      </c>
      <c r="Q1733" t="str">
        <f t="shared" si="261"/>
        <v/>
      </c>
      <c r="S1733" t="str">
        <f>IF(A1733=1,MAX($S$2:$S1732)+1,IF(OR($I1733&lt;&gt;"",A1733="x"),$S1732,""))</f>
        <v/>
      </c>
      <c r="T1733" t="str">
        <f>IF(D1733=1,MAX($T$2:$T1732)+1,IF(S1733=S1732,$T1732,IF(D1733="x",T1732,IF(D1732="x","",""))))</f>
        <v/>
      </c>
      <c r="U1733" t="str">
        <f>IF(B1733=1,MAX($U$2:$U1732)+1,IF(AND($T1733&lt;&gt;"",$T1733=$T1732),$U1732,IF(B1733="x",U1732,"")))</f>
        <v/>
      </c>
      <c r="V1733" t="str">
        <f>IF(C1733=1,MAX($V$2:$V1732)+1,IF(AND($T1733&lt;&gt;"",$T1733=$T1732),$U1732,IF(C1733="x",V1732,"")))</f>
        <v/>
      </c>
      <c r="X1733" cm="1">
        <f t="array" ref="X1733">IF($I1733&lt;&gt;"",$I1733,INDEX($I$1:$I1733,ROW()-COUNTIFS($T$1:$T1733,"="&amp;$T1733,$S$1:$S1733,"&lt;"&amp;$S1733)))</f>
        <v>0</v>
      </c>
      <c r="Z1733" s="6">
        <f t="shared" ref="Z1733:Z1796" si="262">IF(K1733="Intermission",Z1732+1,Z1732)</f>
        <v>1</v>
      </c>
      <c r="AA1733" t="e">
        <f t="shared" ref="AA1733:AA1796" si="263">S1733+1000</f>
        <v>#VALUE!</v>
      </c>
      <c r="AB1733" t="str">
        <f t="shared" ref="AB1733:AB1796" si="264">IF(T1733&lt;&gt;"",9000+T1733,"")</f>
        <v/>
      </c>
      <c r="AC1733" t="e">
        <f t="shared" ref="AC1733:AC1796" si="265">IF(AB1733&lt;&gt;"",AB1733,S1733+1000)</f>
        <v>#VALUE!</v>
      </c>
    </row>
    <row r="1734" spans="1:29" x14ac:dyDescent="0.2">
      <c r="A1734" t="str">
        <f t="shared" si="258"/>
        <v/>
      </c>
      <c r="E1734" s="4"/>
      <c r="F1734" s="46"/>
      <c r="G1734" s="4"/>
      <c r="H1734" s="48"/>
      <c r="J1734" s="26" t="str">
        <f t="shared" si="259"/>
        <v/>
      </c>
      <c r="N1734" t="str">
        <f t="shared" si="260"/>
        <v/>
      </c>
      <c r="Q1734" t="str">
        <f t="shared" si="261"/>
        <v/>
      </c>
      <c r="S1734" t="str">
        <f>IF(A1734=1,MAX($S$2:$S1733)+1,IF(OR($I1734&lt;&gt;"",A1734="x"),$S1733,""))</f>
        <v/>
      </c>
      <c r="T1734" t="str">
        <f>IF(D1734=1,MAX($T$2:$T1733)+1,IF(S1734=S1733,$T1733,IF(D1734="x",T1733,IF(D1733="x","",""))))</f>
        <v/>
      </c>
      <c r="U1734" t="str">
        <f>IF(B1734=1,MAX($U$2:$U1733)+1,IF(AND($T1734&lt;&gt;"",$T1734=$T1733),$U1733,IF(B1734="x",U1733,"")))</f>
        <v/>
      </c>
      <c r="V1734" t="str">
        <f>IF(C1734=1,MAX($V$2:$V1733)+1,IF(AND($T1734&lt;&gt;"",$T1734=$T1733),$U1733,IF(C1734="x",V1733,"")))</f>
        <v/>
      </c>
      <c r="X1734" cm="1">
        <f t="array" ref="X1734">IF($I1734&lt;&gt;"",$I1734,INDEX($I$1:$I1734,ROW()-COUNTIFS($T$1:$T1734,"="&amp;$T1734,$S$1:$S1734,"&lt;"&amp;$S1734)))</f>
        <v>0</v>
      </c>
      <c r="Z1734" s="6">
        <f t="shared" si="262"/>
        <v>1</v>
      </c>
      <c r="AA1734" t="e">
        <f t="shared" si="263"/>
        <v>#VALUE!</v>
      </c>
      <c r="AB1734" t="str">
        <f t="shared" si="264"/>
        <v/>
      </c>
      <c r="AC1734" t="e">
        <f t="shared" si="265"/>
        <v>#VALUE!</v>
      </c>
    </row>
    <row r="1735" spans="1:29" x14ac:dyDescent="0.2">
      <c r="A1735" t="str">
        <f t="shared" si="258"/>
        <v/>
      </c>
      <c r="E1735" s="4"/>
      <c r="F1735" s="46"/>
      <c r="G1735" s="4"/>
      <c r="H1735" s="48"/>
      <c r="J1735" s="26" t="str">
        <f t="shared" si="259"/>
        <v/>
      </c>
      <c r="N1735" t="str">
        <f t="shared" si="260"/>
        <v/>
      </c>
      <c r="Q1735" t="str">
        <f t="shared" si="261"/>
        <v/>
      </c>
      <c r="S1735" t="str">
        <f>IF(A1735=1,MAX($S$2:$S1734)+1,IF(OR($I1735&lt;&gt;"",A1735="x"),$S1734,""))</f>
        <v/>
      </c>
      <c r="T1735" t="str">
        <f>IF(D1735=1,MAX($T$2:$T1734)+1,IF(S1735=S1734,$T1734,IF(D1735="x",T1734,IF(D1734="x","",""))))</f>
        <v/>
      </c>
      <c r="U1735" t="str">
        <f>IF(B1735=1,MAX($U$2:$U1734)+1,IF(AND($T1735&lt;&gt;"",$T1735=$T1734),$U1734,IF(B1735="x",U1734,"")))</f>
        <v/>
      </c>
      <c r="V1735" t="str">
        <f>IF(C1735=1,MAX($V$2:$V1734)+1,IF(AND($T1735&lt;&gt;"",$T1735=$T1734),$U1734,IF(C1735="x",V1734,"")))</f>
        <v/>
      </c>
      <c r="X1735" cm="1">
        <f t="array" ref="X1735">IF($I1735&lt;&gt;"",$I1735,INDEX($I$1:$I1735,ROW()-COUNTIFS($T$1:$T1735,"="&amp;$T1735,$S$1:$S1735,"&lt;"&amp;$S1735)))</f>
        <v>0</v>
      </c>
      <c r="Z1735" s="6">
        <f t="shared" si="262"/>
        <v>1</v>
      </c>
      <c r="AA1735" t="e">
        <f t="shared" si="263"/>
        <v>#VALUE!</v>
      </c>
      <c r="AB1735" t="str">
        <f t="shared" si="264"/>
        <v/>
      </c>
      <c r="AC1735" t="e">
        <f t="shared" si="265"/>
        <v>#VALUE!</v>
      </c>
    </row>
    <row r="1736" spans="1:29" x14ac:dyDescent="0.2">
      <c r="A1736" t="str">
        <f t="shared" si="258"/>
        <v/>
      </c>
      <c r="E1736" s="4"/>
      <c r="F1736" s="46"/>
      <c r="G1736" s="4"/>
      <c r="H1736" s="48"/>
      <c r="J1736" s="26" t="str">
        <f t="shared" si="259"/>
        <v/>
      </c>
      <c r="N1736" t="str">
        <f t="shared" si="260"/>
        <v/>
      </c>
      <c r="Q1736" t="str">
        <f t="shared" si="261"/>
        <v/>
      </c>
      <c r="S1736" t="str">
        <f>IF(A1736=1,MAX($S$2:$S1735)+1,IF(OR($I1736&lt;&gt;"",A1736="x"),$S1735,""))</f>
        <v/>
      </c>
      <c r="T1736" t="str">
        <f>IF(D1736=1,MAX($T$2:$T1735)+1,IF(S1736=S1735,$T1735,IF(D1736="x",T1735,IF(D1735="x","",""))))</f>
        <v/>
      </c>
      <c r="U1736" t="str">
        <f>IF(B1736=1,MAX($U$2:$U1735)+1,IF(AND($T1736&lt;&gt;"",$T1736=$T1735),$U1735,IF(B1736="x",U1735,"")))</f>
        <v/>
      </c>
      <c r="V1736" t="str">
        <f>IF(C1736=1,MAX($V$2:$V1735)+1,IF(AND($T1736&lt;&gt;"",$T1736=$T1735),$U1735,IF(C1736="x",V1735,"")))</f>
        <v/>
      </c>
      <c r="X1736" cm="1">
        <f t="array" ref="X1736">IF($I1736&lt;&gt;"",$I1736,INDEX($I$1:$I1736,ROW()-COUNTIFS($T$1:$T1736,"="&amp;$T1736,$S$1:$S1736,"&lt;"&amp;$S1736)))</f>
        <v>0</v>
      </c>
      <c r="Z1736" s="6">
        <f t="shared" si="262"/>
        <v>1</v>
      </c>
      <c r="AA1736" t="e">
        <f t="shared" si="263"/>
        <v>#VALUE!</v>
      </c>
      <c r="AB1736" t="str">
        <f t="shared" si="264"/>
        <v/>
      </c>
      <c r="AC1736" t="e">
        <f t="shared" si="265"/>
        <v>#VALUE!</v>
      </c>
    </row>
    <row r="1737" spans="1:29" x14ac:dyDescent="0.2">
      <c r="A1737" t="str">
        <f t="shared" si="258"/>
        <v/>
      </c>
      <c r="E1737" s="4"/>
      <c r="F1737" s="46"/>
      <c r="G1737" s="4"/>
      <c r="H1737" s="48"/>
      <c r="J1737" s="26" t="str">
        <f t="shared" si="259"/>
        <v/>
      </c>
      <c r="N1737" t="str">
        <f t="shared" si="260"/>
        <v/>
      </c>
      <c r="Q1737" t="str">
        <f t="shared" si="261"/>
        <v/>
      </c>
      <c r="S1737" t="str">
        <f>IF(A1737=1,MAX($S$2:$S1736)+1,IF(OR($I1737&lt;&gt;"",A1737="x"),$S1736,""))</f>
        <v/>
      </c>
      <c r="T1737" t="str">
        <f>IF(D1737=1,MAX($T$2:$T1736)+1,IF(S1737=S1736,$T1736,IF(D1737="x",T1736,IF(D1736="x","",""))))</f>
        <v/>
      </c>
      <c r="U1737" t="str">
        <f>IF(B1737=1,MAX($U$2:$U1736)+1,IF(AND($T1737&lt;&gt;"",$T1737=$T1736),$U1736,IF(B1737="x",U1736,"")))</f>
        <v/>
      </c>
      <c r="V1737" t="str">
        <f>IF(C1737=1,MAX($V$2:$V1736)+1,IF(AND($T1737&lt;&gt;"",$T1737=$T1736),$U1736,IF(C1737="x",V1736,"")))</f>
        <v/>
      </c>
      <c r="X1737" cm="1">
        <f t="array" ref="X1737">IF($I1737&lt;&gt;"",$I1737,INDEX($I$1:$I1737,ROW()-COUNTIFS($T$1:$T1737,"="&amp;$T1737,$S$1:$S1737,"&lt;"&amp;$S1737)))</f>
        <v>0</v>
      </c>
      <c r="Z1737" s="6">
        <f t="shared" si="262"/>
        <v>1</v>
      </c>
      <c r="AA1737" t="e">
        <f t="shared" si="263"/>
        <v>#VALUE!</v>
      </c>
      <c r="AB1737" t="str">
        <f t="shared" si="264"/>
        <v/>
      </c>
      <c r="AC1737" t="e">
        <f t="shared" si="265"/>
        <v>#VALUE!</v>
      </c>
    </row>
    <row r="1738" spans="1:29" x14ac:dyDescent="0.2">
      <c r="A1738" t="str">
        <f t="shared" si="258"/>
        <v/>
      </c>
      <c r="E1738" s="4"/>
      <c r="F1738" s="46"/>
      <c r="G1738" s="4"/>
      <c r="H1738" s="48"/>
      <c r="J1738" s="26" t="str">
        <f t="shared" si="259"/>
        <v/>
      </c>
      <c r="N1738" t="str">
        <f t="shared" si="260"/>
        <v/>
      </c>
      <c r="Q1738" t="str">
        <f t="shared" si="261"/>
        <v/>
      </c>
      <c r="S1738" t="str">
        <f>IF(A1738=1,MAX($S$2:$S1737)+1,IF(OR($I1738&lt;&gt;"",A1738="x"),$S1737,""))</f>
        <v/>
      </c>
      <c r="T1738" t="str">
        <f>IF(D1738=1,MAX($T$2:$T1737)+1,IF(S1738=S1737,$T1737,IF(D1738="x",T1737,IF(D1737="x","",""))))</f>
        <v/>
      </c>
      <c r="U1738" t="str">
        <f>IF(B1738=1,MAX($U$2:$U1737)+1,IF(AND($T1738&lt;&gt;"",$T1738=$T1737),$U1737,IF(B1738="x",U1737,"")))</f>
        <v/>
      </c>
      <c r="V1738" t="str">
        <f>IF(C1738=1,MAX($V$2:$V1737)+1,IF(AND($T1738&lt;&gt;"",$T1738=$T1737),$U1737,IF(C1738="x",V1737,"")))</f>
        <v/>
      </c>
      <c r="X1738" cm="1">
        <f t="array" ref="X1738">IF($I1738&lt;&gt;"",$I1738,INDEX($I$1:$I1738,ROW()-COUNTIFS($T$1:$T1738,"="&amp;$T1738,$S$1:$S1738,"&lt;"&amp;$S1738)))</f>
        <v>0</v>
      </c>
      <c r="Z1738" s="6">
        <f t="shared" si="262"/>
        <v>1</v>
      </c>
      <c r="AA1738" t="e">
        <f t="shared" si="263"/>
        <v>#VALUE!</v>
      </c>
      <c r="AB1738" t="str">
        <f t="shared" si="264"/>
        <v/>
      </c>
      <c r="AC1738" t="e">
        <f t="shared" si="265"/>
        <v>#VALUE!</v>
      </c>
    </row>
    <row r="1739" spans="1:29" x14ac:dyDescent="0.2">
      <c r="A1739" t="str">
        <f t="shared" si="258"/>
        <v/>
      </c>
      <c r="E1739" s="4"/>
      <c r="F1739" s="46"/>
      <c r="G1739" s="4"/>
      <c r="H1739" s="48"/>
      <c r="J1739" s="26" t="str">
        <f t="shared" si="259"/>
        <v/>
      </c>
      <c r="N1739" t="str">
        <f t="shared" si="260"/>
        <v/>
      </c>
      <c r="Q1739" t="str">
        <f t="shared" si="261"/>
        <v/>
      </c>
      <c r="S1739" t="str">
        <f>IF(A1739=1,MAX($S$2:$S1738)+1,IF(OR($I1739&lt;&gt;"",A1739="x"),$S1738,""))</f>
        <v/>
      </c>
      <c r="T1739" t="str">
        <f>IF(D1739=1,MAX($T$2:$T1738)+1,IF(S1739=S1738,$T1738,IF(D1739="x",T1738,IF(D1738="x","",""))))</f>
        <v/>
      </c>
      <c r="U1739" t="str">
        <f>IF(B1739=1,MAX($U$2:$U1738)+1,IF(AND($T1739&lt;&gt;"",$T1739=$T1738),$U1738,IF(B1739="x",U1738,"")))</f>
        <v/>
      </c>
      <c r="V1739" t="str">
        <f>IF(C1739=1,MAX($V$2:$V1738)+1,IF(AND($T1739&lt;&gt;"",$T1739=$T1738),$U1738,IF(C1739="x",V1738,"")))</f>
        <v/>
      </c>
      <c r="X1739" cm="1">
        <f t="array" ref="X1739">IF($I1739&lt;&gt;"",$I1739,INDEX($I$1:$I1739,ROW()-COUNTIFS($T$1:$T1739,"="&amp;$T1739,$S$1:$S1739,"&lt;"&amp;$S1739)))</f>
        <v>0</v>
      </c>
      <c r="Z1739" s="6">
        <f t="shared" si="262"/>
        <v>1</v>
      </c>
      <c r="AA1739" t="e">
        <f t="shared" si="263"/>
        <v>#VALUE!</v>
      </c>
      <c r="AB1739" t="str">
        <f t="shared" si="264"/>
        <v/>
      </c>
      <c r="AC1739" t="e">
        <f t="shared" si="265"/>
        <v>#VALUE!</v>
      </c>
    </row>
    <row r="1740" spans="1:29" x14ac:dyDescent="0.2">
      <c r="A1740" t="str">
        <f t="shared" si="258"/>
        <v/>
      </c>
      <c r="E1740" s="4"/>
      <c r="F1740" s="46"/>
      <c r="G1740" s="4"/>
      <c r="H1740" s="48"/>
      <c r="J1740" s="26" t="str">
        <f t="shared" si="259"/>
        <v/>
      </c>
      <c r="N1740" t="str">
        <f t="shared" si="260"/>
        <v/>
      </c>
      <c r="Q1740" t="str">
        <f t="shared" si="261"/>
        <v/>
      </c>
      <c r="S1740" t="str">
        <f>IF(A1740=1,MAX($S$2:$S1739)+1,IF(OR($I1740&lt;&gt;"",A1740="x"),$S1739,""))</f>
        <v/>
      </c>
      <c r="T1740" t="str">
        <f>IF(D1740=1,MAX($T$2:$T1739)+1,IF(S1740=S1739,$T1739,IF(D1740="x",T1739,IF(D1739="x","",""))))</f>
        <v/>
      </c>
      <c r="U1740" t="str">
        <f>IF(B1740=1,MAX($U$2:$U1739)+1,IF(AND($T1740&lt;&gt;"",$T1740=$T1739),$U1739,IF(B1740="x",U1739,"")))</f>
        <v/>
      </c>
      <c r="V1740" t="str">
        <f>IF(C1740=1,MAX($V$2:$V1739)+1,IF(AND($T1740&lt;&gt;"",$T1740=$T1739),$U1739,IF(C1740="x",V1739,"")))</f>
        <v/>
      </c>
      <c r="X1740" cm="1">
        <f t="array" ref="X1740">IF($I1740&lt;&gt;"",$I1740,INDEX($I$1:$I1740,ROW()-COUNTIFS($T$1:$T1740,"="&amp;$T1740,$S$1:$S1740,"&lt;"&amp;$S1740)))</f>
        <v>0</v>
      </c>
      <c r="Z1740" s="6">
        <f t="shared" si="262"/>
        <v>1</v>
      </c>
      <c r="AA1740" t="e">
        <f t="shared" si="263"/>
        <v>#VALUE!</v>
      </c>
      <c r="AB1740" t="str">
        <f t="shared" si="264"/>
        <v/>
      </c>
      <c r="AC1740" t="e">
        <f t="shared" si="265"/>
        <v>#VALUE!</v>
      </c>
    </row>
    <row r="1741" spans="1:29" x14ac:dyDescent="0.2">
      <c r="A1741" t="str">
        <f t="shared" si="258"/>
        <v/>
      </c>
      <c r="E1741" s="4"/>
      <c r="F1741" s="46"/>
      <c r="G1741" s="4"/>
      <c r="H1741" s="48"/>
      <c r="J1741" s="26" t="str">
        <f t="shared" si="259"/>
        <v/>
      </c>
      <c r="N1741" t="str">
        <f t="shared" si="260"/>
        <v/>
      </c>
      <c r="Q1741" t="str">
        <f t="shared" si="261"/>
        <v/>
      </c>
      <c r="S1741" t="str">
        <f>IF(A1741=1,MAX($S$2:$S1740)+1,IF(OR($I1741&lt;&gt;"",A1741="x"),$S1740,""))</f>
        <v/>
      </c>
      <c r="T1741" t="str">
        <f>IF(D1741=1,MAX($T$2:$T1740)+1,IF(S1741=S1740,$T1740,IF(D1741="x",T1740,IF(D1740="x","",""))))</f>
        <v/>
      </c>
      <c r="U1741" t="str">
        <f>IF(B1741=1,MAX($U$2:$U1740)+1,IF(AND($T1741&lt;&gt;"",$T1741=$T1740),$U1740,IF(B1741="x",U1740,"")))</f>
        <v/>
      </c>
      <c r="V1741" t="str">
        <f>IF(C1741=1,MAX($V$2:$V1740)+1,IF(AND($T1741&lt;&gt;"",$T1741=$T1740),$U1740,IF(C1741="x",V1740,"")))</f>
        <v/>
      </c>
      <c r="X1741" cm="1">
        <f t="array" ref="X1741">IF($I1741&lt;&gt;"",$I1741,INDEX($I$1:$I1741,ROW()-COUNTIFS($T$1:$T1741,"="&amp;$T1741,$S$1:$S1741,"&lt;"&amp;$S1741)))</f>
        <v>0</v>
      </c>
      <c r="Z1741" s="6">
        <f t="shared" si="262"/>
        <v>1</v>
      </c>
      <c r="AA1741" t="e">
        <f t="shared" si="263"/>
        <v>#VALUE!</v>
      </c>
      <c r="AB1741" t="str">
        <f t="shared" si="264"/>
        <v/>
      </c>
      <c r="AC1741" t="e">
        <f t="shared" si="265"/>
        <v>#VALUE!</v>
      </c>
    </row>
    <row r="1742" spans="1:29" x14ac:dyDescent="0.2">
      <c r="A1742" t="str">
        <f t="shared" si="258"/>
        <v/>
      </c>
      <c r="E1742" s="4"/>
      <c r="F1742" s="46"/>
      <c r="G1742" s="4"/>
      <c r="H1742" s="48"/>
      <c r="J1742" s="26" t="str">
        <f t="shared" si="259"/>
        <v/>
      </c>
      <c r="N1742" t="str">
        <f t="shared" si="260"/>
        <v/>
      </c>
      <c r="Q1742" t="str">
        <f t="shared" si="261"/>
        <v/>
      </c>
      <c r="S1742" t="str">
        <f>IF(A1742=1,MAX($S$2:$S1741)+1,IF(OR($I1742&lt;&gt;"",A1742="x"),$S1741,""))</f>
        <v/>
      </c>
      <c r="T1742" t="str">
        <f>IF(D1742=1,MAX($T$2:$T1741)+1,IF(S1742=S1741,$T1741,IF(D1742="x",T1741,IF(D1741="x","",""))))</f>
        <v/>
      </c>
      <c r="U1742" t="str">
        <f>IF(B1742=1,MAX($U$2:$U1741)+1,IF(AND($T1742&lt;&gt;"",$T1742=$T1741),$U1741,IF(B1742="x",U1741,"")))</f>
        <v/>
      </c>
      <c r="V1742" t="str">
        <f>IF(C1742=1,MAX($V$2:$V1741)+1,IF(AND($T1742&lt;&gt;"",$T1742=$T1741),$U1741,IF(C1742="x",V1741,"")))</f>
        <v/>
      </c>
      <c r="X1742" cm="1">
        <f t="array" ref="X1742">IF($I1742&lt;&gt;"",$I1742,INDEX($I$1:$I1742,ROW()-COUNTIFS($T$1:$T1742,"="&amp;$T1742,$S$1:$S1742,"&lt;"&amp;$S1742)))</f>
        <v>0</v>
      </c>
      <c r="Z1742" s="6">
        <f t="shared" si="262"/>
        <v>1</v>
      </c>
      <c r="AA1742" t="e">
        <f t="shared" si="263"/>
        <v>#VALUE!</v>
      </c>
      <c r="AB1742" t="str">
        <f t="shared" si="264"/>
        <v/>
      </c>
      <c r="AC1742" t="e">
        <f t="shared" si="265"/>
        <v>#VALUE!</v>
      </c>
    </row>
    <row r="1743" spans="1:29" x14ac:dyDescent="0.2">
      <c r="A1743" t="str">
        <f t="shared" si="258"/>
        <v/>
      </c>
      <c r="E1743" s="4"/>
      <c r="F1743" s="46"/>
      <c r="G1743" s="4"/>
      <c r="H1743" s="48"/>
      <c r="J1743" s="26" t="str">
        <f t="shared" si="259"/>
        <v/>
      </c>
      <c r="N1743" t="str">
        <f t="shared" si="260"/>
        <v/>
      </c>
      <c r="Q1743" t="str">
        <f t="shared" si="261"/>
        <v/>
      </c>
      <c r="S1743" t="str">
        <f>IF(A1743=1,MAX($S$2:$S1742)+1,IF(OR($I1743&lt;&gt;"",A1743="x"),$S1742,""))</f>
        <v/>
      </c>
      <c r="T1743" t="str">
        <f>IF(D1743=1,MAX($T$2:$T1742)+1,IF(S1743=S1742,$T1742,IF(D1743="x",T1742,IF(D1742="x","",""))))</f>
        <v/>
      </c>
      <c r="U1743" t="str">
        <f>IF(B1743=1,MAX($U$2:$U1742)+1,IF(AND($T1743&lt;&gt;"",$T1743=$T1742),$U1742,IF(B1743="x",U1742,"")))</f>
        <v/>
      </c>
      <c r="V1743" t="str">
        <f>IF(C1743=1,MAX($V$2:$V1742)+1,IF(AND($T1743&lt;&gt;"",$T1743=$T1742),$U1742,IF(C1743="x",V1742,"")))</f>
        <v/>
      </c>
      <c r="X1743" cm="1">
        <f t="array" ref="X1743">IF($I1743&lt;&gt;"",$I1743,INDEX($I$1:$I1743,ROW()-COUNTIFS($T$1:$T1743,"="&amp;$T1743,$S$1:$S1743,"&lt;"&amp;$S1743)))</f>
        <v>0</v>
      </c>
      <c r="Z1743" s="6">
        <f t="shared" si="262"/>
        <v>1</v>
      </c>
      <c r="AA1743" t="e">
        <f t="shared" si="263"/>
        <v>#VALUE!</v>
      </c>
      <c r="AB1743" t="str">
        <f t="shared" si="264"/>
        <v/>
      </c>
      <c r="AC1743" t="e">
        <f t="shared" si="265"/>
        <v>#VALUE!</v>
      </c>
    </row>
    <row r="1744" spans="1:29" x14ac:dyDescent="0.2">
      <c r="A1744" t="str">
        <f t="shared" si="258"/>
        <v/>
      </c>
      <c r="E1744" s="4"/>
      <c r="F1744" s="46"/>
      <c r="G1744" s="4"/>
      <c r="H1744" s="48"/>
      <c r="J1744" s="26" t="str">
        <f t="shared" si="259"/>
        <v/>
      </c>
      <c r="N1744" t="str">
        <f t="shared" si="260"/>
        <v/>
      </c>
      <c r="Q1744" t="str">
        <f t="shared" si="261"/>
        <v/>
      </c>
      <c r="S1744" t="str">
        <f>IF(A1744=1,MAX($S$2:$S1743)+1,IF(OR($I1744&lt;&gt;"",A1744="x"),$S1743,""))</f>
        <v/>
      </c>
      <c r="T1744" t="str">
        <f>IF(D1744=1,MAX($T$2:$T1743)+1,IF(S1744=S1743,$T1743,IF(D1744="x",T1743,IF(D1743="x","",""))))</f>
        <v/>
      </c>
      <c r="U1744" t="str">
        <f>IF(B1744=1,MAX($U$2:$U1743)+1,IF(AND($T1744&lt;&gt;"",$T1744=$T1743),$U1743,IF(B1744="x",U1743,"")))</f>
        <v/>
      </c>
      <c r="V1744" t="str">
        <f>IF(C1744=1,MAX($V$2:$V1743)+1,IF(AND($T1744&lt;&gt;"",$T1744=$T1743),$U1743,IF(C1744="x",V1743,"")))</f>
        <v/>
      </c>
      <c r="X1744" cm="1">
        <f t="array" ref="X1744">IF($I1744&lt;&gt;"",$I1744,INDEX($I$1:$I1744,ROW()-COUNTIFS($T$1:$T1744,"="&amp;$T1744,$S$1:$S1744,"&lt;"&amp;$S1744)))</f>
        <v>0</v>
      </c>
      <c r="Z1744" s="6">
        <f t="shared" si="262"/>
        <v>1</v>
      </c>
      <c r="AA1744" t="e">
        <f t="shared" si="263"/>
        <v>#VALUE!</v>
      </c>
      <c r="AB1744" t="str">
        <f t="shared" si="264"/>
        <v/>
      </c>
      <c r="AC1744" t="e">
        <f t="shared" si="265"/>
        <v>#VALUE!</v>
      </c>
    </row>
    <row r="1745" spans="1:29" x14ac:dyDescent="0.2">
      <c r="A1745" t="str">
        <f t="shared" si="258"/>
        <v/>
      </c>
      <c r="E1745" s="4"/>
      <c r="F1745" s="46"/>
      <c r="G1745" s="4"/>
      <c r="H1745" s="48"/>
      <c r="J1745" s="26" t="str">
        <f t="shared" si="259"/>
        <v/>
      </c>
      <c r="N1745" t="str">
        <f t="shared" si="260"/>
        <v/>
      </c>
      <c r="Q1745" t="str">
        <f t="shared" si="261"/>
        <v/>
      </c>
      <c r="S1745" t="str">
        <f>IF(A1745=1,MAX($S$2:$S1744)+1,IF(OR($I1745&lt;&gt;"",A1745="x"),$S1744,""))</f>
        <v/>
      </c>
      <c r="T1745" t="str">
        <f>IF(D1745=1,MAX($T$2:$T1744)+1,IF(S1745=S1744,$T1744,IF(D1745="x",T1744,IF(D1744="x","",""))))</f>
        <v/>
      </c>
      <c r="U1745" t="str">
        <f>IF(B1745=1,MAX($U$2:$U1744)+1,IF(AND($T1745&lt;&gt;"",$T1745=$T1744),$U1744,IF(B1745="x",U1744,"")))</f>
        <v/>
      </c>
      <c r="V1745" t="str">
        <f>IF(C1745=1,MAX($V$2:$V1744)+1,IF(AND($T1745&lt;&gt;"",$T1745=$T1744),$U1744,IF(C1745="x",V1744,"")))</f>
        <v/>
      </c>
      <c r="X1745" cm="1">
        <f t="array" ref="X1745">IF($I1745&lt;&gt;"",$I1745,INDEX($I$1:$I1745,ROW()-COUNTIFS($T$1:$T1745,"="&amp;$T1745,$S$1:$S1745,"&lt;"&amp;$S1745)))</f>
        <v>0</v>
      </c>
      <c r="Z1745" s="6">
        <f t="shared" si="262"/>
        <v>1</v>
      </c>
      <c r="AA1745" t="e">
        <f t="shared" si="263"/>
        <v>#VALUE!</v>
      </c>
      <c r="AB1745" t="str">
        <f t="shared" si="264"/>
        <v/>
      </c>
      <c r="AC1745" t="e">
        <f t="shared" si="265"/>
        <v>#VALUE!</v>
      </c>
    </row>
    <row r="1746" spans="1:29" x14ac:dyDescent="0.2">
      <c r="A1746" t="str">
        <f t="shared" si="258"/>
        <v/>
      </c>
      <c r="E1746" s="4"/>
      <c r="F1746" s="46"/>
      <c r="G1746" s="4"/>
      <c r="H1746" s="48"/>
      <c r="J1746" s="26" t="str">
        <f t="shared" si="259"/>
        <v/>
      </c>
      <c r="N1746" t="str">
        <f t="shared" si="260"/>
        <v/>
      </c>
      <c r="Q1746" t="str">
        <f t="shared" si="261"/>
        <v/>
      </c>
      <c r="S1746" t="str">
        <f>IF(A1746=1,MAX($S$2:$S1745)+1,IF(OR($I1746&lt;&gt;"",A1746="x"),$S1745,""))</f>
        <v/>
      </c>
      <c r="T1746" t="str">
        <f>IF(D1746=1,MAX($T$2:$T1745)+1,IF(S1746=S1745,$T1745,IF(D1746="x",T1745,IF(D1745="x","",""))))</f>
        <v/>
      </c>
      <c r="U1746" t="str">
        <f>IF(B1746=1,MAX($U$2:$U1745)+1,IF(AND($T1746&lt;&gt;"",$T1746=$T1745),$U1745,IF(B1746="x",U1745,"")))</f>
        <v/>
      </c>
      <c r="V1746" t="str">
        <f>IF(C1746=1,MAX($V$2:$V1745)+1,IF(AND($T1746&lt;&gt;"",$T1746=$T1745),$U1745,IF(C1746="x",V1745,"")))</f>
        <v/>
      </c>
      <c r="X1746" cm="1">
        <f t="array" ref="X1746">IF($I1746&lt;&gt;"",$I1746,INDEX($I$1:$I1746,ROW()-COUNTIFS($T$1:$T1746,"="&amp;$T1746,$S$1:$S1746,"&lt;"&amp;$S1746)))</f>
        <v>0</v>
      </c>
      <c r="Z1746" s="6">
        <f t="shared" si="262"/>
        <v>1</v>
      </c>
      <c r="AA1746" t="e">
        <f t="shared" si="263"/>
        <v>#VALUE!</v>
      </c>
      <c r="AB1746" t="str">
        <f t="shared" si="264"/>
        <v/>
      </c>
      <c r="AC1746" t="e">
        <f t="shared" si="265"/>
        <v>#VALUE!</v>
      </c>
    </row>
    <row r="1747" spans="1:29" x14ac:dyDescent="0.2">
      <c r="A1747" t="str">
        <f t="shared" ref="A1747:A1810" si="266">IF(K1747&lt;&gt;"",1,IF(D1747="x","x",""))</f>
        <v/>
      </c>
      <c r="E1747" s="4"/>
      <c r="F1747" s="46"/>
      <c r="G1747" s="4"/>
      <c r="H1747" s="48"/>
      <c r="J1747" s="26" t="str">
        <f t="shared" ref="J1747:J1810" si="267">IF(OR(K1747="Goal",K1747="Shot",L1747="Zone_Entry",M1747="Stoppage-Goal",M1746="Stoppage-Goal"),"o",IF(OR(K1747="Save",K1747="Rebound",L1747="Zone_Exit",M1747="Stoppage-GoalieStoppage",M1746="Stoppage-GoalieStoppage"),"d",IF(OR(L1747="Faceoff_AfterGoal",L1747="Faceoff_PeriodStart",698="Faceoff_GameStart",M1746="Stoppage-Goal"),"n","")))</f>
        <v/>
      </c>
      <c r="N1747" t="str">
        <f t="shared" ref="N1747:N1810" si="268">IF(K1747="","",IF(K1747="Goal","s",IF(AND(K1747="Zone_Entry_Exit",OR(ISNUMBER(SEARCH("fail",L1747)),ISNUMBER(SEARCH("FromExitClear",M1747)),ISNUMBER(SEARCH("miss",M1747)))),"u",IF(AND(K1747="Zone_Entry_Exit",OR(NOT(ISNUMBER(SEARCH("fail",L1747))),NOT(ISNUMBER(SEARCH("FromExitClear",M1747))),NOT(ISNUMBER(SEARCH("miss",M1747))))),"s",IF(AND(OR(K1747="Shot",K1747="Pass"),OR(ISNUMBER(SEARCH("complete",L1747)),ISNUMBER(SEARCH("goal",L1747)),ISNUMBER(SEARCH("OnNet",L1747)))),"s",IF(L1747="Turnover_Giveaway","u",IF(AND(OR(K1747="Shot",K1747="Pass"),OR(ISNUMBER(SEARCH("fail",L1747)),NOT(ISNUMBER(SEARCH("complete",L1747))),NOT(ISNUMBER(SEARCH("OnNet",L1747))))),"u","")))))))</f>
        <v/>
      </c>
      <c r="Q1747" t="str">
        <f t="shared" ref="Q1747:Q1810" si="269">IF(O1747="","",IF(AND(N1747&lt;&gt;"",OR(O1747&lt;&gt;"",P1747&lt;&gt;"")),N1747,IF(OR(ISNUMBER(SEARCH("attemp",O1747)),ISNUMBER(SEARCH("beat",O1747)),ISNUMBER(SEARCH("mis",O1747)),ISNUMBER(SEARCH("fail",O1747)),ISNUMBER(SEARCH("loss",O1747)),ISNUMBER(SEARCH("lost",O1747)),ISNUMBER(SEARCH("attemp",P1747)),ISNUMBER(SEARCH("mis",P1747)),ISNUMBER(SEARCH("fail",P1747)),ISNUMBER(SEARCH("loss",P1747)),ISNUMBER(SEARCH("beat",P1747)),ISNUMBER(SEARCH("lost",P1747))),"u","")))</f>
        <v/>
      </c>
      <c r="S1747" t="str">
        <f>IF(A1747=1,MAX($S$2:$S1746)+1,IF(OR($I1747&lt;&gt;"",A1747="x"),$S1746,""))</f>
        <v/>
      </c>
      <c r="T1747" t="str">
        <f>IF(D1747=1,MAX($T$2:$T1746)+1,IF(S1747=S1746,$T1746,IF(D1747="x",T1746,IF(D1746="x","",""))))</f>
        <v/>
      </c>
      <c r="U1747" t="str">
        <f>IF(B1747=1,MAX($U$2:$U1746)+1,IF(AND($T1747&lt;&gt;"",$T1747=$T1746),$U1746,IF(B1747="x",U1746,"")))</f>
        <v/>
      </c>
      <c r="V1747" t="str">
        <f>IF(C1747=1,MAX($V$2:$V1746)+1,IF(AND($T1747&lt;&gt;"",$T1747=$T1746),$U1746,IF(C1747="x",V1746,"")))</f>
        <v/>
      </c>
      <c r="X1747" cm="1">
        <f t="array" ref="X1747">IF($I1747&lt;&gt;"",$I1747,INDEX($I$1:$I1747,ROW()-COUNTIFS($T$1:$T1747,"="&amp;$T1747,$S$1:$S1747,"&lt;"&amp;$S1747)))</f>
        <v>0</v>
      </c>
      <c r="Z1747" s="6">
        <f t="shared" si="262"/>
        <v>1</v>
      </c>
      <c r="AA1747" t="e">
        <f t="shared" si="263"/>
        <v>#VALUE!</v>
      </c>
      <c r="AB1747" t="str">
        <f t="shared" si="264"/>
        <v/>
      </c>
      <c r="AC1747" t="e">
        <f t="shared" si="265"/>
        <v>#VALUE!</v>
      </c>
    </row>
    <row r="1748" spans="1:29" x14ac:dyDescent="0.2">
      <c r="A1748" t="str">
        <f t="shared" si="266"/>
        <v/>
      </c>
      <c r="E1748" s="4"/>
      <c r="F1748" s="46"/>
      <c r="G1748" s="4"/>
      <c r="H1748" s="48"/>
      <c r="J1748" s="26" t="str">
        <f t="shared" si="267"/>
        <v/>
      </c>
      <c r="N1748" t="str">
        <f t="shared" si="268"/>
        <v/>
      </c>
      <c r="Q1748" t="str">
        <f t="shared" si="269"/>
        <v/>
      </c>
      <c r="S1748" t="str">
        <f>IF(A1748=1,MAX($S$2:$S1747)+1,IF(OR($I1748&lt;&gt;"",A1748="x"),$S1747,""))</f>
        <v/>
      </c>
      <c r="T1748" t="str">
        <f>IF(D1748=1,MAX($T$2:$T1747)+1,IF(S1748=S1747,$T1747,IF(D1748="x",T1747,IF(D1747="x","",""))))</f>
        <v/>
      </c>
      <c r="U1748" t="str">
        <f>IF(B1748=1,MAX($U$2:$U1747)+1,IF(AND($T1748&lt;&gt;"",$T1748=$T1747),$U1747,IF(B1748="x",U1747,"")))</f>
        <v/>
      </c>
      <c r="V1748" t="str">
        <f>IF(C1748=1,MAX($V$2:$V1747)+1,IF(AND($T1748&lt;&gt;"",$T1748=$T1747),$U1747,IF(C1748="x",V1747,"")))</f>
        <v/>
      </c>
      <c r="X1748" cm="1">
        <f t="array" ref="X1748">IF($I1748&lt;&gt;"",$I1748,INDEX($I$1:$I1748,ROW()-COUNTIFS($T$1:$T1748,"="&amp;$T1748,$S$1:$S1748,"&lt;"&amp;$S1748)))</f>
        <v>0</v>
      </c>
      <c r="Z1748" s="6">
        <f t="shared" si="262"/>
        <v>1</v>
      </c>
      <c r="AA1748" t="e">
        <f t="shared" si="263"/>
        <v>#VALUE!</v>
      </c>
      <c r="AB1748" t="str">
        <f t="shared" si="264"/>
        <v/>
      </c>
      <c r="AC1748" t="e">
        <f t="shared" si="265"/>
        <v>#VALUE!</v>
      </c>
    </row>
    <row r="1749" spans="1:29" x14ac:dyDescent="0.2">
      <c r="A1749" t="str">
        <f t="shared" si="266"/>
        <v/>
      </c>
      <c r="E1749" s="4"/>
      <c r="F1749" s="46"/>
      <c r="G1749" s="4"/>
      <c r="H1749" s="48"/>
      <c r="J1749" s="26" t="str">
        <f t="shared" si="267"/>
        <v/>
      </c>
      <c r="N1749" t="str">
        <f t="shared" si="268"/>
        <v/>
      </c>
      <c r="Q1749" t="str">
        <f t="shared" si="269"/>
        <v/>
      </c>
      <c r="S1749" t="str">
        <f>IF(A1749=1,MAX($S$2:$S1748)+1,IF(OR($I1749&lt;&gt;"",A1749="x"),$S1748,""))</f>
        <v/>
      </c>
      <c r="T1749" t="str">
        <f>IF(D1749=1,MAX($T$2:$T1748)+1,IF(S1749=S1748,$T1748,IF(D1749="x",T1748,IF(D1748="x","",""))))</f>
        <v/>
      </c>
      <c r="U1749" t="str">
        <f>IF(B1749=1,MAX($U$2:$U1748)+1,IF(AND($T1749&lt;&gt;"",$T1749=$T1748),$U1748,IF(B1749="x",U1748,"")))</f>
        <v/>
      </c>
      <c r="V1749" t="str">
        <f>IF(C1749=1,MAX($V$2:$V1748)+1,IF(AND($T1749&lt;&gt;"",$T1749=$T1748),$U1748,IF(C1749="x",V1748,"")))</f>
        <v/>
      </c>
      <c r="X1749" cm="1">
        <f t="array" ref="X1749">IF($I1749&lt;&gt;"",$I1749,INDEX($I$1:$I1749,ROW()-COUNTIFS($T$1:$T1749,"="&amp;$T1749,$S$1:$S1749,"&lt;"&amp;$S1749)))</f>
        <v>0</v>
      </c>
      <c r="Z1749" s="6">
        <f t="shared" si="262"/>
        <v>1</v>
      </c>
      <c r="AA1749" t="e">
        <f t="shared" si="263"/>
        <v>#VALUE!</v>
      </c>
      <c r="AB1749" t="str">
        <f t="shared" si="264"/>
        <v/>
      </c>
      <c r="AC1749" t="e">
        <f t="shared" si="265"/>
        <v>#VALUE!</v>
      </c>
    </row>
    <row r="1750" spans="1:29" x14ac:dyDescent="0.2">
      <c r="A1750" t="str">
        <f t="shared" si="266"/>
        <v/>
      </c>
      <c r="E1750" s="4"/>
      <c r="F1750" s="46"/>
      <c r="G1750" s="4"/>
      <c r="H1750" s="48"/>
      <c r="J1750" s="26" t="str">
        <f t="shared" si="267"/>
        <v/>
      </c>
      <c r="N1750" t="str">
        <f t="shared" si="268"/>
        <v/>
      </c>
      <c r="Q1750" t="str">
        <f t="shared" si="269"/>
        <v/>
      </c>
      <c r="S1750" t="str">
        <f>IF(A1750=1,MAX($S$2:$S1749)+1,IF(OR($I1750&lt;&gt;"",A1750="x"),$S1749,""))</f>
        <v/>
      </c>
      <c r="T1750" t="str">
        <f>IF(D1750=1,MAX($T$2:$T1749)+1,IF(S1750=S1749,$T1749,IF(D1750="x",T1749,IF(D1749="x","",""))))</f>
        <v/>
      </c>
      <c r="U1750" t="str">
        <f>IF(B1750=1,MAX($U$2:$U1749)+1,IF(AND($T1750&lt;&gt;"",$T1750=$T1749),$U1749,IF(B1750="x",U1749,"")))</f>
        <v/>
      </c>
      <c r="V1750" t="str">
        <f>IF(C1750=1,MAX($V$2:$V1749)+1,IF(AND($T1750&lt;&gt;"",$T1750=$T1749),$U1749,IF(C1750="x",V1749,"")))</f>
        <v/>
      </c>
      <c r="X1750" cm="1">
        <f t="array" ref="X1750">IF($I1750&lt;&gt;"",$I1750,INDEX($I$1:$I1750,ROW()-COUNTIFS($T$1:$T1750,"="&amp;$T1750,$S$1:$S1750,"&lt;"&amp;$S1750)))</f>
        <v>0</v>
      </c>
      <c r="Z1750" s="6">
        <f t="shared" si="262"/>
        <v>1</v>
      </c>
      <c r="AA1750" t="e">
        <f t="shared" si="263"/>
        <v>#VALUE!</v>
      </c>
      <c r="AB1750" t="str">
        <f t="shared" si="264"/>
        <v/>
      </c>
      <c r="AC1750" t="e">
        <f t="shared" si="265"/>
        <v>#VALUE!</v>
      </c>
    </row>
    <row r="1751" spans="1:29" x14ac:dyDescent="0.2">
      <c r="A1751" t="str">
        <f t="shared" si="266"/>
        <v/>
      </c>
      <c r="E1751" s="4"/>
      <c r="F1751" s="46"/>
      <c r="G1751" s="4"/>
      <c r="H1751" s="48"/>
      <c r="J1751" s="26" t="str">
        <f t="shared" si="267"/>
        <v/>
      </c>
      <c r="N1751" t="str">
        <f t="shared" si="268"/>
        <v/>
      </c>
      <c r="Q1751" t="str">
        <f t="shared" si="269"/>
        <v/>
      </c>
      <c r="S1751" t="str">
        <f>IF(A1751=1,MAX($S$2:$S1750)+1,IF(OR($I1751&lt;&gt;"",A1751="x"),$S1750,""))</f>
        <v/>
      </c>
      <c r="T1751" t="str">
        <f>IF(D1751=1,MAX($T$2:$T1750)+1,IF(S1751=S1750,$T1750,IF(D1751="x",T1750,IF(D1750="x","",""))))</f>
        <v/>
      </c>
      <c r="U1751" t="str">
        <f>IF(B1751=1,MAX($U$2:$U1750)+1,IF(AND($T1751&lt;&gt;"",$T1751=$T1750),$U1750,IF(B1751="x",U1750,"")))</f>
        <v/>
      </c>
      <c r="V1751" t="str">
        <f>IF(C1751=1,MAX($V$2:$V1750)+1,IF(AND($T1751&lt;&gt;"",$T1751=$T1750),$U1750,IF(C1751="x",V1750,"")))</f>
        <v/>
      </c>
      <c r="X1751" cm="1">
        <f t="array" ref="X1751">IF($I1751&lt;&gt;"",$I1751,INDEX($I$1:$I1751,ROW()-COUNTIFS($T$1:$T1751,"="&amp;$T1751,$S$1:$S1751,"&lt;"&amp;$S1751)))</f>
        <v>0</v>
      </c>
      <c r="Z1751" s="6">
        <f t="shared" si="262"/>
        <v>1</v>
      </c>
      <c r="AA1751" t="e">
        <f t="shared" si="263"/>
        <v>#VALUE!</v>
      </c>
      <c r="AB1751" t="str">
        <f t="shared" si="264"/>
        <v/>
      </c>
      <c r="AC1751" t="e">
        <f t="shared" si="265"/>
        <v>#VALUE!</v>
      </c>
    </row>
    <row r="1752" spans="1:29" x14ac:dyDescent="0.2">
      <c r="A1752" t="str">
        <f t="shared" si="266"/>
        <v/>
      </c>
      <c r="E1752" s="4"/>
      <c r="F1752" s="46"/>
      <c r="G1752" s="4"/>
      <c r="H1752" s="48"/>
      <c r="J1752" s="26" t="str">
        <f t="shared" si="267"/>
        <v/>
      </c>
      <c r="N1752" t="str">
        <f t="shared" si="268"/>
        <v/>
      </c>
      <c r="Q1752" t="str">
        <f t="shared" si="269"/>
        <v/>
      </c>
      <c r="S1752" t="str">
        <f>IF(A1752=1,MAX($S$2:$S1751)+1,IF(OR($I1752&lt;&gt;"",A1752="x"),$S1751,""))</f>
        <v/>
      </c>
      <c r="T1752" t="str">
        <f>IF(D1752=1,MAX($T$2:$T1751)+1,IF(S1752=S1751,$T1751,IF(D1752="x",T1751,IF(D1751="x","",""))))</f>
        <v/>
      </c>
      <c r="U1752" t="str">
        <f>IF(B1752=1,MAX($U$2:$U1751)+1,IF(AND($T1752&lt;&gt;"",$T1752=$T1751),$U1751,IF(B1752="x",U1751,"")))</f>
        <v/>
      </c>
      <c r="V1752" t="str">
        <f>IF(C1752=1,MAX($V$2:$V1751)+1,IF(AND($T1752&lt;&gt;"",$T1752=$T1751),$U1751,IF(C1752="x",V1751,"")))</f>
        <v/>
      </c>
      <c r="X1752" cm="1">
        <f t="array" ref="X1752">IF($I1752&lt;&gt;"",$I1752,INDEX($I$1:$I1752,ROW()-COUNTIFS($T$1:$T1752,"="&amp;$T1752,$S$1:$S1752,"&lt;"&amp;$S1752)))</f>
        <v>0</v>
      </c>
      <c r="Z1752" s="6">
        <f t="shared" si="262"/>
        <v>1</v>
      </c>
      <c r="AA1752" t="e">
        <f t="shared" si="263"/>
        <v>#VALUE!</v>
      </c>
      <c r="AB1752" t="str">
        <f t="shared" si="264"/>
        <v/>
      </c>
      <c r="AC1752" t="e">
        <f t="shared" si="265"/>
        <v>#VALUE!</v>
      </c>
    </row>
    <row r="1753" spans="1:29" x14ac:dyDescent="0.2">
      <c r="A1753" t="str">
        <f t="shared" si="266"/>
        <v/>
      </c>
      <c r="E1753" s="4"/>
      <c r="F1753" s="46"/>
      <c r="G1753" s="4"/>
      <c r="H1753" s="48"/>
      <c r="J1753" s="26" t="str">
        <f t="shared" si="267"/>
        <v/>
      </c>
      <c r="N1753" t="str">
        <f t="shared" si="268"/>
        <v/>
      </c>
      <c r="Q1753" t="str">
        <f t="shared" si="269"/>
        <v/>
      </c>
      <c r="S1753" t="str">
        <f>IF(A1753=1,MAX($S$2:$S1752)+1,IF(OR($I1753&lt;&gt;"",A1753="x"),$S1752,""))</f>
        <v/>
      </c>
      <c r="T1753" t="str">
        <f>IF(D1753=1,MAX($T$2:$T1752)+1,IF(S1753=S1752,$T1752,IF(D1753="x",T1752,IF(D1752="x","",""))))</f>
        <v/>
      </c>
      <c r="U1753" t="str">
        <f>IF(B1753=1,MAX($U$2:$U1752)+1,IF(AND($T1753&lt;&gt;"",$T1753=$T1752),$U1752,IF(B1753="x",U1752,"")))</f>
        <v/>
      </c>
      <c r="V1753" t="str">
        <f>IF(C1753=1,MAX($V$2:$V1752)+1,IF(AND($T1753&lt;&gt;"",$T1753=$T1752),$U1752,IF(C1753="x",V1752,"")))</f>
        <v/>
      </c>
      <c r="X1753" cm="1">
        <f t="array" ref="X1753">IF($I1753&lt;&gt;"",$I1753,INDEX($I$1:$I1753,ROW()-COUNTIFS($T$1:$T1753,"="&amp;$T1753,$S$1:$S1753,"&lt;"&amp;$S1753)))</f>
        <v>0</v>
      </c>
      <c r="Z1753" s="6">
        <f t="shared" si="262"/>
        <v>1</v>
      </c>
      <c r="AA1753" t="e">
        <f t="shared" si="263"/>
        <v>#VALUE!</v>
      </c>
      <c r="AB1753" t="str">
        <f t="shared" si="264"/>
        <v/>
      </c>
      <c r="AC1753" t="e">
        <f t="shared" si="265"/>
        <v>#VALUE!</v>
      </c>
    </row>
    <row r="1754" spans="1:29" x14ac:dyDescent="0.2">
      <c r="A1754" t="str">
        <f t="shared" si="266"/>
        <v/>
      </c>
      <c r="E1754" s="4"/>
      <c r="F1754" s="46"/>
      <c r="G1754" s="4"/>
      <c r="H1754" s="48"/>
      <c r="J1754" s="26" t="str">
        <f t="shared" si="267"/>
        <v/>
      </c>
      <c r="N1754" t="str">
        <f t="shared" si="268"/>
        <v/>
      </c>
      <c r="Q1754" t="str">
        <f t="shared" si="269"/>
        <v/>
      </c>
      <c r="S1754" t="str">
        <f>IF(A1754=1,MAX($S$2:$S1753)+1,IF(OR($I1754&lt;&gt;"",A1754="x"),$S1753,""))</f>
        <v/>
      </c>
      <c r="T1754" t="str">
        <f>IF(D1754=1,MAX($T$2:$T1753)+1,IF(S1754=S1753,$T1753,IF(D1754="x",T1753,IF(D1753="x","",""))))</f>
        <v/>
      </c>
      <c r="U1754" t="str">
        <f>IF(B1754=1,MAX($U$2:$U1753)+1,IF(AND($T1754&lt;&gt;"",$T1754=$T1753),$U1753,IF(B1754="x",U1753,"")))</f>
        <v/>
      </c>
      <c r="V1754" t="str">
        <f>IF(C1754=1,MAX($V$2:$V1753)+1,IF(AND($T1754&lt;&gt;"",$T1754=$T1753),$U1753,IF(C1754="x",V1753,"")))</f>
        <v/>
      </c>
      <c r="X1754" cm="1">
        <f t="array" ref="X1754">IF($I1754&lt;&gt;"",$I1754,INDEX($I$1:$I1754,ROW()-COUNTIFS($T$1:$T1754,"="&amp;$T1754,$S$1:$S1754,"&lt;"&amp;$S1754)))</f>
        <v>0</v>
      </c>
      <c r="Z1754" s="6">
        <f t="shared" si="262"/>
        <v>1</v>
      </c>
      <c r="AA1754" t="e">
        <f t="shared" si="263"/>
        <v>#VALUE!</v>
      </c>
      <c r="AB1754" t="str">
        <f t="shared" si="264"/>
        <v/>
      </c>
      <c r="AC1754" t="e">
        <f t="shared" si="265"/>
        <v>#VALUE!</v>
      </c>
    </row>
    <row r="1755" spans="1:29" x14ac:dyDescent="0.2">
      <c r="A1755" t="str">
        <f t="shared" si="266"/>
        <v/>
      </c>
      <c r="E1755" s="4"/>
      <c r="F1755" s="46"/>
      <c r="G1755" s="4"/>
      <c r="H1755" s="48"/>
      <c r="J1755" s="26" t="str">
        <f t="shared" si="267"/>
        <v/>
      </c>
      <c r="N1755" t="str">
        <f t="shared" si="268"/>
        <v/>
      </c>
      <c r="Q1755" t="str">
        <f t="shared" si="269"/>
        <v/>
      </c>
      <c r="S1755" t="str">
        <f>IF(A1755=1,MAX($S$2:$S1754)+1,IF(OR($I1755&lt;&gt;"",A1755="x"),$S1754,""))</f>
        <v/>
      </c>
      <c r="T1755" t="str">
        <f>IF(D1755=1,MAX($T$2:$T1754)+1,IF(S1755=S1754,$T1754,IF(D1755="x",T1754,IF(D1754="x","",""))))</f>
        <v/>
      </c>
      <c r="U1755" t="str">
        <f>IF(B1755=1,MAX($U$2:$U1754)+1,IF(AND($T1755&lt;&gt;"",$T1755=$T1754),$U1754,IF(B1755="x",U1754,"")))</f>
        <v/>
      </c>
      <c r="V1755" t="str">
        <f>IF(C1755=1,MAX($V$2:$V1754)+1,IF(AND($T1755&lt;&gt;"",$T1755=$T1754),$U1754,IF(C1755="x",V1754,"")))</f>
        <v/>
      </c>
      <c r="X1755" cm="1">
        <f t="array" ref="X1755">IF($I1755&lt;&gt;"",$I1755,INDEX($I$1:$I1755,ROW()-COUNTIFS($T$1:$T1755,"="&amp;$T1755,$S$1:$S1755,"&lt;"&amp;$S1755)))</f>
        <v>0</v>
      </c>
      <c r="Z1755" s="6">
        <f t="shared" si="262"/>
        <v>1</v>
      </c>
      <c r="AA1755" t="e">
        <f t="shared" si="263"/>
        <v>#VALUE!</v>
      </c>
      <c r="AB1755" t="str">
        <f t="shared" si="264"/>
        <v/>
      </c>
      <c r="AC1755" t="e">
        <f t="shared" si="265"/>
        <v>#VALUE!</v>
      </c>
    </row>
    <row r="1756" spans="1:29" x14ac:dyDescent="0.2">
      <c r="A1756" t="str">
        <f t="shared" si="266"/>
        <v/>
      </c>
      <c r="E1756" s="4"/>
      <c r="F1756" s="46"/>
      <c r="G1756" s="4"/>
      <c r="H1756" s="48"/>
      <c r="J1756" s="26" t="str">
        <f t="shared" si="267"/>
        <v/>
      </c>
      <c r="N1756" t="str">
        <f t="shared" si="268"/>
        <v/>
      </c>
      <c r="Q1756" t="str">
        <f t="shared" si="269"/>
        <v/>
      </c>
      <c r="S1756" t="str">
        <f>IF(A1756=1,MAX($S$2:$S1755)+1,IF(OR($I1756&lt;&gt;"",A1756="x"),$S1755,""))</f>
        <v/>
      </c>
      <c r="T1756" t="str">
        <f>IF(D1756=1,MAX($T$2:$T1755)+1,IF(S1756=S1755,$T1755,IF(D1756="x",T1755,IF(D1755="x","",""))))</f>
        <v/>
      </c>
      <c r="U1756" t="str">
        <f>IF(B1756=1,MAX($U$2:$U1755)+1,IF(AND($T1756&lt;&gt;"",$T1756=$T1755),$U1755,IF(B1756="x",U1755,"")))</f>
        <v/>
      </c>
      <c r="V1756" t="str">
        <f>IF(C1756=1,MAX($V$2:$V1755)+1,IF(AND($T1756&lt;&gt;"",$T1756=$T1755),$U1755,IF(C1756="x",V1755,"")))</f>
        <v/>
      </c>
      <c r="X1756" cm="1">
        <f t="array" ref="X1756">IF($I1756&lt;&gt;"",$I1756,INDEX($I$1:$I1756,ROW()-COUNTIFS($T$1:$T1756,"="&amp;$T1756,$S$1:$S1756,"&lt;"&amp;$S1756)))</f>
        <v>0</v>
      </c>
      <c r="Z1756" s="6">
        <f t="shared" si="262"/>
        <v>1</v>
      </c>
      <c r="AA1756" t="e">
        <f t="shared" si="263"/>
        <v>#VALUE!</v>
      </c>
      <c r="AB1756" t="str">
        <f t="shared" si="264"/>
        <v/>
      </c>
      <c r="AC1756" t="e">
        <f t="shared" si="265"/>
        <v>#VALUE!</v>
      </c>
    </row>
    <row r="1757" spans="1:29" x14ac:dyDescent="0.2">
      <c r="A1757" t="str">
        <f t="shared" si="266"/>
        <v/>
      </c>
      <c r="E1757" s="4"/>
      <c r="F1757" s="46"/>
      <c r="G1757" s="4"/>
      <c r="H1757" s="48"/>
      <c r="J1757" s="26" t="str">
        <f t="shared" si="267"/>
        <v/>
      </c>
      <c r="N1757" t="str">
        <f t="shared" si="268"/>
        <v/>
      </c>
      <c r="Q1757" t="str">
        <f t="shared" si="269"/>
        <v/>
      </c>
      <c r="S1757" t="str">
        <f>IF(A1757=1,MAX($S$2:$S1756)+1,IF(OR($I1757&lt;&gt;"",A1757="x"),$S1756,""))</f>
        <v/>
      </c>
      <c r="T1757" t="str">
        <f>IF(D1757=1,MAX($T$2:$T1756)+1,IF(S1757=S1756,$T1756,IF(D1757="x",T1756,IF(D1756="x","",""))))</f>
        <v/>
      </c>
      <c r="U1757" t="str">
        <f>IF(B1757=1,MAX($U$2:$U1756)+1,IF(AND($T1757&lt;&gt;"",$T1757=$T1756),$U1756,IF(B1757="x",U1756,"")))</f>
        <v/>
      </c>
      <c r="V1757" t="str">
        <f>IF(C1757=1,MAX($V$2:$V1756)+1,IF(AND($T1757&lt;&gt;"",$T1757=$T1756),$U1756,IF(C1757="x",V1756,"")))</f>
        <v/>
      </c>
      <c r="X1757" cm="1">
        <f t="array" ref="X1757">IF($I1757&lt;&gt;"",$I1757,INDEX($I$1:$I1757,ROW()-COUNTIFS($T$1:$T1757,"="&amp;$T1757,$S$1:$S1757,"&lt;"&amp;$S1757)))</f>
        <v>0</v>
      </c>
      <c r="Z1757" s="6">
        <f t="shared" si="262"/>
        <v>1</v>
      </c>
      <c r="AA1757" t="e">
        <f t="shared" si="263"/>
        <v>#VALUE!</v>
      </c>
      <c r="AB1757" t="str">
        <f t="shared" si="264"/>
        <v/>
      </c>
      <c r="AC1757" t="e">
        <f t="shared" si="265"/>
        <v>#VALUE!</v>
      </c>
    </row>
    <row r="1758" spans="1:29" x14ac:dyDescent="0.2">
      <c r="A1758" t="str">
        <f t="shared" si="266"/>
        <v/>
      </c>
      <c r="E1758" s="4"/>
      <c r="F1758" s="46"/>
      <c r="G1758" s="4"/>
      <c r="H1758" s="48"/>
      <c r="J1758" s="26" t="str">
        <f t="shared" si="267"/>
        <v/>
      </c>
      <c r="N1758" t="str">
        <f t="shared" si="268"/>
        <v/>
      </c>
      <c r="Q1758" t="str">
        <f t="shared" si="269"/>
        <v/>
      </c>
      <c r="S1758" t="str">
        <f>IF(A1758=1,MAX($S$2:$S1757)+1,IF(OR($I1758&lt;&gt;"",A1758="x"),$S1757,""))</f>
        <v/>
      </c>
      <c r="T1758" t="str">
        <f>IF(D1758=1,MAX($T$2:$T1757)+1,IF(S1758=S1757,$T1757,IF(D1758="x",T1757,IF(D1757="x","",""))))</f>
        <v/>
      </c>
      <c r="U1758" t="str">
        <f>IF(B1758=1,MAX($U$2:$U1757)+1,IF(AND($T1758&lt;&gt;"",$T1758=$T1757),$U1757,IF(B1758="x",U1757,"")))</f>
        <v/>
      </c>
      <c r="V1758" t="str">
        <f>IF(C1758=1,MAX($V$2:$V1757)+1,IF(AND($T1758&lt;&gt;"",$T1758=$T1757),$U1757,IF(C1758="x",V1757,"")))</f>
        <v/>
      </c>
      <c r="X1758" cm="1">
        <f t="array" ref="X1758">IF($I1758&lt;&gt;"",$I1758,INDEX($I$1:$I1758,ROW()-COUNTIFS($T$1:$T1758,"="&amp;$T1758,$S$1:$S1758,"&lt;"&amp;$S1758)))</f>
        <v>0</v>
      </c>
      <c r="Z1758" s="6">
        <f t="shared" si="262"/>
        <v>1</v>
      </c>
      <c r="AA1758" t="e">
        <f t="shared" si="263"/>
        <v>#VALUE!</v>
      </c>
      <c r="AB1758" t="str">
        <f t="shared" si="264"/>
        <v/>
      </c>
      <c r="AC1758" t="e">
        <f t="shared" si="265"/>
        <v>#VALUE!</v>
      </c>
    </row>
    <row r="1759" spans="1:29" x14ac:dyDescent="0.2">
      <c r="A1759" t="str">
        <f t="shared" si="266"/>
        <v/>
      </c>
      <c r="E1759" s="4"/>
      <c r="F1759" s="46"/>
      <c r="G1759" s="4"/>
      <c r="H1759" s="48"/>
      <c r="J1759" s="26" t="str">
        <f t="shared" si="267"/>
        <v/>
      </c>
      <c r="N1759" t="str">
        <f t="shared" si="268"/>
        <v/>
      </c>
      <c r="Q1759" t="str">
        <f t="shared" si="269"/>
        <v/>
      </c>
      <c r="S1759" t="str">
        <f>IF(A1759=1,MAX($S$2:$S1758)+1,IF(OR($I1759&lt;&gt;"",A1759="x"),$S1758,""))</f>
        <v/>
      </c>
      <c r="T1759" t="str">
        <f>IF(D1759=1,MAX($T$2:$T1758)+1,IF(S1759=S1758,$T1758,IF(D1759="x",T1758,IF(D1758="x","",""))))</f>
        <v/>
      </c>
      <c r="U1759" t="str">
        <f>IF(B1759=1,MAX($U$2:$U1758)+1,IF(AND($T1759&lt;&gt;"",$T1759=$T1758),$U1758,IF(B1759="x",U1758,"")))</f>
        <v/>
      </c>
      <c r="V1759" t="str">
        <f>IF(C1759=1,MAX($V$2:$V1758)+1,IF(AND($T1759&lt;&gt;"",$T1759=$T1758),$U1758,IF(C1759="x",V1758,"")))</f>
        <v/>
      </c>
      <c r="X1759" cm="1">
        <f t="array" ref="X1759">IF($I1759&lt;&gt;"",$I1759,INDEX($I$1:$I1759,ROW()-COUNTIFS($T$1:$T1759,"="&amp;$T1759,$S$1:$S1759,"&lt;"&amp;$S1759)))</f>
        <v>0</v>
      </c>
      <c r="Z1759" s="6">
        <f t="shared" si="262"/>
        <v>1</v>
      </c>
      <c r="AA1759" t="e">
        <f t="shared" si="263"/>
        <v>#VALUE!</v>
      </c>
      <c r="AB1759" t="str">
        <f t="shared" si="264"/>
        <v/>
      </c>
      <c r="AC1759" t="e">
        <f t="shared" si="265"/>
        <v>#VALUE!</v>
      </c>
    </row>
    <row r="1760" spans="1:29" x14ac:dyDescent="0.2">
      <c r="A1760" t="str">
        <f t="shared" si="266"/>
        <v/>
      </c>
      <c r="E1760" s="4"/>
      <c r="F1760" s="46"/>
      <c r="G1760" s="4"/>
      <c r="H1760" s="48"/>
      <c r="J1760" s="26" t="str">
        <f t="shared" si="267"/>
        <v/>
      </c>
      <c r="N1760" t="str">
        <f t="shared" si="268"/>
        <v/>
      </c>
      <c r="Q1760" t="str">
        <f t="shared" si="269"/>
        <v/>
      </c>
      <c r="S1760" t="str">
        <f>IF(A1760=1,MAX($S$2:$S1759)+1,IF(OR($I1760&lt;&gt;"",A1760="x"),$S1759,""))</f>
        <v/>
      </c>
      <c r="T1760" t="str">
        <f>IF(D1760=1,MAX($T$2:$T1759)+1,IF(S1760=S1759,$T1759,IF(D1760="x",T1759,IF(D1759="x","",""))))</f>
        <v/>
      </c>
      <c r="U1760" t="str">
        <f>IF(B1760=1,MAX($U$2:$U1759)+1,IF(AND($T1760&lt;&gt;"",$T1760=$T1759),$U1759,IF(B1760="x",U1759,"")))</f>
        <v/>
      </c>
      <c r="V1760" t="str">
        <f>IF(C1760=1,MAX($V$2:$V1759)+1,IF(AND($T1760&lt;&gt;"",$T1760=$T1759),$U1759,IF(C1760="x",V1759,"")))</f>
        <v/>
      </c>
      <c r="X1760" cm="1">
        <f t="array" ref="X1760">IF($I1760&lt;&gt;"",$I1760,INDEX($I$1:$I1760,ROW()-COUNTIFS($T$1:$T1760,"="&amp;$T1760,$S$1:$S1760,"&lt;"&amp;$S1760)))</f>
        <v>0</v>
      </c>
      <c r="Z1760" s="6">
        <f t="shared" si="262"/>
        <v>1</v>
      </c>
      <c r="AA1760" t="e">
        <f t="shared" si="263"/>
        <v>#VALUE!</v>
      </c>
      <c r="AB1760" t="str">
        <f t="shared" si="264"/>
        <v/>
      </c>
      <c r="AC1760" t="e">
        <f t="shared" si="265"/>
        <v>#VALUE!</v>
      </c>
    </row>
    <row r="1761" spans="1:29" x14ac:dyDescent="0.2">
      <c r="A1761" t="str">
        <f t="shared" si="266"/>
        <v/>
      </c>
      <c r="E1761" s="4"/>
      <c r="F1761" s="46"/>
      <c r="G1761" s="4"/>
      <c r="H1761" s="48"/>
      <c r="J1761" s="26" t="str">
        <f t="shared" si="267"/>
        <v/>
      </c>
      <c r="N1761" t="str">
        <f t="shared" si="268"/>
        <v/>
      </c>
      <c r="Q1761" t="str">
        <f t="shared" si="269"/>
        <v/>
      </c>
      <c r="S1761" t="str">
        <f>IF(A1761=1,MAX($S$2:$S1760)+1,IF(OR($I1761&lt;&gt;"",A1761="x"),$S1760,""))</f>
        <v/>
      </c>
      <c r="T1761" t="str">
        <f>IF(D1761=1,MAX($T$2:$T1760)+1,IF(S1761=S1760,$T1760,IF(D1761="x",T1760,IF(D1760="x","",""))))</f>
        <v/>
      </c>
      <c r="U1761" t="str">
        <f>IF(B1761=1,MAX($U$2:$U1760)+1,IF(AND($T1761&lt;&gt;"",$T1761=$T1760),$U1760,IF(B1761="x",U1760,"")))</f>
        <v/>
      </c>
      <c r="V1761" t="str">
        <f>IF(C1761=1,MAX($V$2:$V1760)+1,IF(AND($T1761&lt;&gt;"",$T1761=$T1760),$U1760,IF(C1761="x",V1760,"")))</f>
        <v/>
      </c>
      <c r="X1761" cm="1">
        <f t="array" ref="X1761">IF($I1761&lt;&gt;"",$I1761,INDEX($I$1:$I1761,ROW()-COUNTIFS($T$1:$T1761,"="&amp;$T1761,$S$1:$S1761,"&lt;"&amp;$S1761)))</f>
        <v>0</v>
      </c>
      <c r="Z1761" s="6">
        <f t="shared" si="262"/>
        <v>1</v>
      </c>
      <c r="AA1761" t="e">
        <f t="shared" si="263"/>
        <v>#VALUE!</v>
      </c>
      <c r="AB1761" t="str">
        <f t="shared" si="264"/>
        <v/>
      </c>
      <c r="AC1761" t="e">
        <f t="shared" si="265"/>
        <v>#VALUE!</v>
      </c>
    </row>
    <row r="1762" spans="1:29" x14ac:dyDescent="0.2">
      <c r="A1762" t="str">
        <f t="shared" si="266"/>
        <v/>
      </c>
      <c r="E1762" s="4"/>
      <c r="F1762" s="46"/>
      <c r="G1762" s="4"/>
      <c r="H1762" s="48"/>
      <c r="J1762" s="26" t="str">
        <f t="shared" si="267"/>
        <v/>
      </c>
      <c r="N1762" t="str">
        <f t="shared" si="268"/>
        <v/>
      </c>
      <c r="Q1762" t="str">
        <f t="shared" si="269"/>
        <v/>
      </c>
      <c r="S1762" t="str">
        <f>IF(A1762=1,MAX($S$2:$S1761)+1,IF(OR($I1762&lt;&gt;"",A1762="x"),$S1761,""))</f>
        <v/>
      </c>
      <c r="T1762" t="str">
        <f>IF(D1762=1,MAX($T$2:$T1761)+1,IF(S1762=S1761,$T1761,IF(D1762="x",T1761,IF(D1761="x","",""))))</f>
        <v/>
      </c>
      <c r="U1762" t="str">
        <f>IF(B1762=1,MAX($U$2:$U1761)+1,IF(AND($T1762&lt;&gt;"",$T1762=$T1761),$U1761,IF(B1762="x",U1761,"")))</f>
        <v/>
      </c>
      <c r="V1762" t="str">
        <f>IF(C1762=1,MAX($V$2:$V1761)+1,IF(AND($T1762&lt;&gt;"",$T1762=$T1761),$U1761,IF(C1762="x",V1761,"")))</f>
        <v/>
      </c>
      <c r="X1762" cm="1">
        <f t="array" ref="X1762">IF($I1762&lt;&gt;"",$I1762,INDEX($I$1:$I1762,ROW()-COUNTIFS($T$1:$T1762,"="&amp;$T1762,$S$1:$S1762,"&lt;"&amp;$S1762)))</f>
        <v>0</v>
      </c>
      <c r="Z1762" s="6">
        <f t="shared" si="262"/>
        <v>1</v>
      </c>
      <c r="AA1762" t="e">
        <f t="shared" si="263"/>
        <v>#VALUE!</v>
      </c>
      <c r="AB1762" t="str">
        <f t="shared" si="264"/>
        <v/>
      </c>
      <c r="AC1762" t="e">
        <f t="shared" si="265"/>
        <v>#VALUE!</v>
      </c>
    </row>
    <row r="1763" spans="1:29" x14ac:dyDescent="0.2">
      <c r="A1763" t="str">
        <f t="shared" si="266"/>
        <v/>
      </c>
      <c r="E1763" s="4"/>
      <c r="F1763" s="46"/>
      <c r="G1763" s="4"/>
      <c r="H1763" s="48"/>
      <c r="J1763" s="26" t="str">
        <f t="shared" si="267"/>
        <v/>
      </c>
      <c r="N1763" t="str">
        <f t="shared" si="268"/>
        <v/>
      </c>
      <c r="Q1763" t="str">
        <f t="shared" si="269"/>
        <v/>
      </c>
      <c r="S1763" t="str">
        <f>IF(A1763=1,MAX($S$2:$S1762)+1,IF(OR($I1763&lt;&gt;"",A1763="x"),$S1762,""))</f>
        <v/>
      </c>
      <c r="T1763" t="str">
        <f>IF(D1763=1,MAX($T$2:$T1762)+1,IF(S1763=S1762,$T1762,IF(D1763="x",T1762,IF(D1762="x","",""))))</f>
        <v/>
      </c>
      <c r="U1763" t="str">
        <f>IF(B1763=1,MAX($U$2:$U1762)+1,IF(AND($T1763&lt;&gt;"",$T1763=$T1762),$U1762,IF(B1763="x",U1762,"")))</f>
        <v/>
      </c>
      <c r="V1763" t="str">
        <f>IF(C1763=1,MAX($V$2:$V1762)+1,IF(AND($T1763&lt;&gt;"",$T1763=$T1762),$U1762,IF(C1763="x",V1762,"")))</f>
        <v/>
      </c>
      <c r="X1763" cm="1">
        <f t="array" ref="X1763">IF($I1763&lt;&gt;"",$I1763,INDEX($I$1:$I1763,ROW()-COUNTIFS($T$1:$T1763,"="&amp;$T1763,$S$1:$S1763,"&lt;"&amp;$S1763)))</f>
        <v>0</v>
      </c>
      <c r="Z1763" s="6">
        <f t="shared" si="262"/>
        <v>1</v>
      </c>
      <c r="AA1763" t="e">
        <f t="shared" si="263"/>
        <v>#VALUE!</v>
      </c>
      <c r="AB1763" t="str">
        <f t="shared" si="264"/>
        <v/>
      </c>
      <c r="AC1763" t="e">
        <f t="shared" si="265"/>
        <v>#VALUE!</v>
      </c>
    </row>
    <row r="1764" spans="1:29" x14ac:dyDescent="0.2">
      <c r="A1764" t="str">
        <f t="shared" si="266"/>
        <v/>
      </c>
      <c r="E1764" s="4"/>
      <c r="F1764" s="46"/>
      <c r="G1764" s="4"/>
      <c r="H1764" s="48"/>
      <c r="J1764" s="26" t="str">
        <f t="shared" si="267"/>
        <v/>
      </c>
      <c r="N1764" t="str">
        <f t="shared" si="268"/>
        <v/>
      </c>
      <c r="Q1764" t="str">
        <f t="shared" si="269"/>
        <v/>
      </c>
      <c r="S1764" t="str">
        <f>IF(A1764=1,MAX($S$2:$S1763)+1,IF(OR($I1764&lt;&gt;"",A1764="x"),$S1763,""))</f>
        <v/>
      </c>
      <c r="T1764" t="str">
        <f>IF(D1764=1,MAX($T$2:$T1763)+1,IF(S1764=S1763,$T1763,IF(D1764="x",T1763,IF(D1763="x","",""))))</f>
        <v/>
      </c>
      <c r="U1764" t="str">
        <f>IF(B1764=1,MAX($U$2:$U1763)+1,IF(AND($T1764&lt;&gt;"",$T1764=$T1763),$U1763,IF(B1764="x",U1763,"")))</f>
        <v/>
      </c>
      <c r="V1764" t="str">
        <f>IF(C1764=1,MAX($V$2:$V1763)+1,IF(AND($T1764&lt;&gt;"",$T1764=$T1763),$U1763,IF(C1764="x",V1763,"")))</f>
        <v/>
      </c>
      <c r="X1764" cm="1">
        <f t="array" ref="X1764">IF($I1764&lt;&gt;"",$I1764,INDEX($I$1:$I1764,ROW()-COUNTIFS($T$1:$T1764,"="&amp;$T1764,$S$1:$S1764,"&lt;"&amp;$S1764)))</f>
        <v>0</v>
      </c>
      <c r="Z1764" s="6">
        <f t="shared" si="262"/>
        <v>1</v>
      </c>
      <c r="AA1764" t="e">
        <f t="shared" si="263"/>
        <v>#VALUE!</v>
      </c>
      <c r="AB1764" t="str">
        <f t="shared" si="264"/>
        <v/>
      </c>
      <c r="AC1764" t="e">
        <f t="shared" si="265"/>
        <v>#VALUE!</v>
      </c>
    </row>
    <row r="1765" spans="1:29" x14ac:dyDescent="0.2">
      <c r="A1765" t="str">
        <f t="shared" si="266"/>
        <v/>
      </c>
      <c r="E1765" s="4"/>
      <c r="F1765" s="46"/>
      <c r="G1765" s="4"/>
      <c r="H1765" s="48"/>
      <c r="J1765" s="26" t="str">
        <f t="shared" si="267"/>
        <v/>
      </c>
      <c r="N1765" t="str">
        <f t="shared" si="268"/>
        <v/>
      </c>
      <c r="Q1765" t="str">
        <f t="shared" si="269"/>
        <v/>
      </c>
      <c r="S1765" t="str">
        <f>IF(A1765=1,MAX($S$2:$S1764)+1,IF(OR($I1765&lt;&gt;"",A1765="x"),$S1764,""))</f>
        <v/>
      </c>
      <c r="T1765" t="str">
        <f>IF(D1765=1,MAX($T$2:$T1764)+1,IF(S1765=S1764,$T1764,IF(D1765="x",T1764,IF(D1764="x","",""))))</f>
        <v/>
      </c>
      <c r="U1765" t="str">
        <f>IF(B1765=1,MAX($U$2:$U1764)+1,IF(AND($T1765&lt;&gt;"",$T1765=$T1764),$U1764,IF(B1765="x",U1764,"")))</f>
        <v/>
      </c>
      <c r="V1765" t="str">
        <f>IF(C1765=1,MAX($V$2:$V1764)+1,IF(AND($T1765&lt;&gt;"",$T1765=$T1764),$U1764,IF(C1765="x",V1764,"")))</f>
        <v/>
      </c>
      <c r="X1765" cm="1">
        <f t="array" ref="X1765">IF($I1765&lt;&gt;"",$I1765,INDEX($I$1:$I1765,ROW()-COUNTIFS($T$1:$T1765,"="&amp;$T1765,$S$1:$S1765,"&lt;"&amp;$S1765)))</f>
        <v>0</v>
      </c>
      <c r="Z1765" s="6">
        <f t="shared" si="262"/>
        <v>1</v>
      </c>
      <c r="AA1765" t="e">
        <f t="shared" si="263"/>
        <v>#VALUE!</v>
      </c>
      <c r="AB1765" t="str">
        <f t="shared" si="264"/>
        <v/>
      </c>
      <c r="AC1765" t="e">
        <f t="shared" si="265"/>
        <v>#VALUE!</v>
      </c>
    </row>
    <row r="1766" spans="1:29" x14ac:dyDescent="0.2">
      <c r="A1766" t="str">
        <f t="shared" si="266"/>
        <v/>
      </c>
      <c r="E1766" s="4"/>
      <c r="F1766" s="46"/>
      <c r="G1766" s="4"/>
      <c r="H1766" s="48"/>
      <c r="J1766" s="26" t="str">
        <f t="shared" si="267"/>
        <v/>
      </c>
      <c r="N1766" t="str">
        <f t="shared" si="268"/>
        <v/>
      </c>
      <c r="Q1766" t="str">
        <f t="shared" si="269"/>
        <v/>
      </c>
      <c r="S1766" t="str">
        <f>IF(A1766=1,MAX($S$2:$S1765)+1,IF(OR($I1766&lt;&gt;"",A1766="x"),$S1765,""))</f>
        <v/>
      </c>
      <c r="T1766" t="str">
        <f>IF(D1766=1,MAX($T$2:$T1765)+1,IF(S1766=S1765,$T1765,IF(D1766="x",T1765,IF(D1765="x","",""))))</f>
        <v/>
      </c>
      <c r="U1766" t="str">
        <f>IF(B1766=1,MAX($U$2:$U1765)+1,IF(AND($T1766&lt;&gt;"",$T1766=$T1765),$U1765,IF(B1766="x",U1765,"")))</f>
        <v/>
      </c>
      <c r="V1766" t="str">
        <f>IF(C1766=1,MAX($V$2:$V1765)+1,IF(AND($T1766&lt;&gt;"",$T1766=$T1765),$U1765,IF(C1766="x",V1765,"")))</f>
        <v/>
      </c>
      <c r="X1766" cm="1">
        <f t="array" ref="X1766">IF($I1766&lt;&gt;"",$I1766,INDEX($I$1:$I1766,ROW()-COUNTIFS($T$1:$T1766,"="&amp;$T1766,$S$1:$S1766,"&lt;"&amp;$S1766)))</f>
        <v>0</v>
      </c>
      <c r="Z1766" s="6">
        <f t="shared" si="262"/>
        <v>1</v>
      </c>
      <c r="AA1766" t="e">
        <f t="shared" si="263"/>
        <v>#VALUE!</v>
      </c>
      <c r="AB1766" t="str">
        <f t="shared" si="264"/>
        <v/>
      </c>
      <c r="AC1766" t="e">
        <f t="shared" si="265"/>
        <v>#VALUE!</v>
      </c>
    </row>
    <row r="1767" spans="1:29" x14ac:dyDescent="0.2">
      <c r="A1767" t="str">
        <f t="shared" si="266"/>
        <v/>
      </c>
      <c r="E1767" s="4"/>
      <c r="F1767" s="46"/>
      <c r="G1767" s="4"/>
      <c r="H1767" s="48"/>
      <c r="J1767" s="26" t="str">
        <f t="shared" si="267"/>
        <v/>
      </c>
      <c r="N1767" t="str">
        <f t="shared" si="268"/>
        <v/>
      </c>
      <c r="Q1767" t="str">
        <f t="shared" si="269"/>
        <v/>
      </c>
      <c r="S1767" t="str">
        <f>IF(A1767=1,MAX($S$2:$S1766)+1,IF(OR($I1767&lt;&gt;"",A1767="x"),$S1766,""))</f>
        <v/>
      </c>
      <c r="T1767" t="str">
        <f>IF(D1767=1,MAX($T$2:$T1766)+1,IF(S1767=S1766,$T1766,IF(D1767="x",T1766,IF(D1766="x","",""))))</f>
        <v/>
      </c>
      <c r="U1767" t="str">
        <f>IF(B1767=1,MAX($U$2:$U1766)+1,IF(AND($T1767&lt;&gt;"",$T1767=$T1766),$U1766,IF(B1767="x",U1766,"")))</f>
        <v/>
      </c>
      <c r="V1767" t="str">
        <f>IF(C1767=1,MAX($V$2:$V1766)+1,IF(AND($T1767&lt;&gt;"",$T1767=$T1766),$U1766,IF(C1767="x",V1766,"")))</f>
        <v/>
      </c>
      <c r="X1767" cm="1">
        <f t="array" ref="X1767">IF($I1767&lt;&gt;"",$I1767,INDEX($I$1:$I1767,ROW()-COUNTIFS($T$1:$T1767,"="&amp;$T1767,$S$1:$S1767,"&lt;"&amp;$S1767)))</f>
        <v>0</v>
      </c>
      <c r="Z1767" s="6">
        <f t="shared" si="262"/>
        <v>1</v>
      </c>
      <c r="AA1767" t="e">
        <f t="shared" si="263"/>
        <v>#VALUE!</v>
      </c>
      <c r="AB1767" t="str">
        <f t="shared" si="264"/>
        <v/>
      </c>
      <c r="AC1767" t="e">
        <f t="shared" si="265"/>
        <v>#VALUE!</v>
      </c>
    </row>
    <row r="1768" spans="1:29" x14ac:dyDescent="0.2">
      <c r="A1768" t="str">
        <f t="shared" si="266"/>
        <v/>
      </c>
      <c r="E1768" s="4"/>
      <c r="F1768" s="46"/>
      <c r="G1768" s="4"/>
      <c r="H1768" s="48"/>
      <c r="J1768" s="26" t="str">
        <f t="shared" si="267"/>
        <v/>
      </c>
      <c r="N1768" t="str">
        <f t="shared" si="268"/>
        <v/>
      </c>
      <c r="Q1768" t="str">
        <f t="shared" si="269"/>
        <v/>
      </c>
      <c r="S1768" t="str">
        <f>IF(A1768=1,MAX($S$2:$S1767)+1,IF(OR($I1768&lt;&gt;"",A1768="x"),$S1767,""))</f>
        <v/>
      </c>
      <c r="T1768" t="str">
        <f>IF(D1768=1,MAX($T$2:$T1767)+1,IF(S1768=S1767,$T1767,IF(D1768="x",T1767,IF(D1767="x","",""))))</f>
        <v/>
      </c>
      <c r="U1768" t="str">
        <f>IF(B1768=1,MAX($U$2:$U1767)+1,IF(AND($T1768&lt;&gt;"",$T1768=$T1767),$U1767,IF(B1768="x",U1767,"")))</f>
        <v/>
      </c>
      <c r="V1768" t="str">
        <f>IF(C1768=1,MAX($V$2:$V1767)+1,IF(AND($T1768&lt;&gt;"",$T1768=$T1767),$U1767,IF(C1768="x",V1767,"")))</f>
        <v/>
      </c>
      <c r="X1768" cm="1">
        <f t="array" ref="X1768">IF($I1768&lt;&gt;"",$I1768,INDEX($I$1:$I1768,ROW()-COUNTIFS($T$1:$T1768,"="&amp;$T1768,$S$1:$S1768,"&lt;"&amp;$S1768)))</f>
        <v>0</v>
      </c>
      <c r="Z1768" s="6">
        <f t="shared" si="262"/>
        <v>1</v>
      </c>
      <c r="AA1768" t="e">
        <f t="shared" si="263"/>
        <v>#VALUE!</v>
      </c>
      <c r="AB1768" t="str">
        <f t="shared" si="264"/>
        <v/>
      </c>
      <c r="AC1768" t="e">
        <f t="shared" si="265"/>
        <v>#VALUE!</v>
      </c>
    </row>
    <row r="1769" spans="1:29" x14ac:dyDescent="0.2">
      <c r="A1769" t="str">
        <f t="shared" si="266"/>
        <v/>
      </c>
      <c r="E1769" s="4"/>
      <c r="F1769" s="46"/>
      <c r="G1769" s="4"/>
      <c r="H1769" s="48"/>
      <c r="J1769" s="26" t="str">
        <f t="shared" si="267"/>
        <v/>
      </c>
      <c r="N1769" t="str">
        <f t="shared" si="268"/>
        <v/>
      </c>
      <c r="Q1769" t="str">
        <f t="shared" si="269"/>
        <v/>
      </c>
      <c r="S1769" t="str">
        <f>IF(A1769=1,MAX($S$2:$S1768)+1,IF(OR($I1769&lt;&gt;"",A1769="x"),$S1768,""))</f>
        <v/>
      </c>
      <c r="T1769" t="str">
        <f>IF(D1769=1,MAX($T$2:$T1768)+1,IF(S1769=S1768,$T1768,IF(D1769="x",T1768,IF(D1768="x","",""))))</f>
        <v/>
      </c>
      <c r="U1769" t="str">
        <f>IF(B1769=1,MAX($U$2:$U1768)+1,IF(AND($T1769&lt;&gt;"",$T1769=$T1768),$U1768,IF(B1769="x",U1768,"")))</f>
        <v/>
      </c>
      <c r="V1769" t="str">
        <f>IF(C1769=1,MAX($V$2:$V1768)+1,IF(AND($T1769&lt;&gt;"",$T1769=$T1768),$U1768,IF(C1769="x",V1768,"")))</f>
        <v/>
      </c>
      <c r="X1769" cm="1">
        <f t="array" ref="X1769">IF($I1769&lt;&gt;"",$I1769,INDEX($I$1:$I1769,ROW()-COUNTIFS($T$1:$T1769,"="&amp;$T1769,$S$1:$S1769,"&lt;"&amp;$S1769)))</f>
        <v>0</v>
      </c>
      <c r="Z1769" s="6">
        <f t="shared" si="262"/>
        <v>1</v>
      </c>
      <c r="AA1769" t="e">
        <f t="shared" si="263"/>
        <v>#VALUE!</v>
      </c>
      <c r="AB1769" t="str">
        <f t="shared" si="264"/>
        <v/>
      </c>
      <c r="AC1769" t="e">
        <f t="shared" si="265"/>
        <v>#VALUE!</v>
      </c>
    </row>
    <row r="1770" spans="1:29" x14ac:dyDescent="0.2">
      <c r="A1770" t="str">
        <f t="shared" si="266"/>
        <v/>
      </c>
      <c r="E1770" s="4"/>
      <c r="F1770" s="46"/>
      <c r="G1770" s="4"/>
      <c r="H1770" s="48"/>
      <c r="J1770" s="26" t="str">
        <f t="shared" si="267"/>
        <v/>
      </c>
      <c r="N1770" t="str">
        <f t="shared" si="268"/>
        <v/>
      </c>
      <c r="Q1770" t="str">
        <f t="shared" si="269"/>
        <v/>
      </c>
      <c r="S1770" t="str">
        <f>IF(A1770=1,MAX($S$2:$S1769)+1,IF(OR($I1770&lt;&gt;"",A1770="x"),$S1769,""))</f>
        <v/>
      </c>
      <c r="T1770" t="str">
        <f>IF(D1770=1,MAX($T$2:$T1769)+1,IF(S1770=S1769,$T1769,IF(D1770="x",T1769,IF(D1769="x","",""))))</f>
        <v/>
      </c>
      <c r="U1770" t="str">
        <f>IF(B1770=1,MAX($U$2:$U1769)+1,IF(AND($T1770&lt;&gt;"",$T1770=$T1769),$U1769,IF(B1770="x",U1769,"")))</f>
        <v/>
      </c>
      <c r="V1770" t="str">
        <f>IF(C1770=1,MAX($V$2:$V1769)+1,IF(AND($T1770&lt;&gt;"",$T1770=$T1769),$U1769,IF(C1770="x",V1769,"")))</f>
        <v/>
      </c>
      <c r="X1770" cm="1">
        <f t="array" ref="X1770">IF($I1770&lt;&gt;"",$I1770,INDEX($I$1:$I1770,ROW()-COUNTIFS($T$1:$T1770,"="&amp;$T1770,$S$1:$S1770,"&lt;"&amp;$S1770)))</f>
        <v>0</v>
      </c>
      <c r="Z1770" s="6">
        <f t="shared" si="262"/>
        <v>1</v>
      </c>
      <c r="AA1770" t="e">
        <f t="shared" si="263"/>
        <v>#VALUE!</v>
      </c>
      <c r="AB1770" t="str">
        <f t="shared" si="264"/>
        <v/>
      </c>
      <c r="AC1770" t="e">
        <f t="shared" si="265"/>
        <v>#VALUE!</v>
      </c>
    </row>
    <row r="1771" spans="1:29" x14ac:dyDescent="0.2">
      <c r="A1771" t="str">
        <f t="shared" si="266"/>
        <v/>
      </c>
      <c r="E1771" s="4"/>
      <c r="F1771" s="46"/>
      <c r="G1771" s="4"/>
      <c r="H1771" s="48"/>
      <c r="J1771" s="26" t="str">
        <f t="shared" si="267"/>
        <v/>
      </c>
      <c r="N1771" t="str">
        <f t="shared" si="268"/>
        <v/>
      </c>
      <c r="Q1771" t="str">
        <f t="shared" si="269"/>
        <v/>
      </c>
      <c r="S1771" t="str">
        <f>IF(A1771=1,MAX($S$2:$S1770)+1,IF(OR($I1771&lt;&gt;"",A1771="x"),$S1770,""))</f>
        <v/>
      </c>
      <c r="T1771" t="str">
        <f>IF(D1771=1,MAX($T$2:$T1770)+1,IF(S1771=S1770,$T1770,IF(D1771="x",T1770,IF(D1770="x","",""))))</f>
        <v/>
      </c>
      <c r="U1771" t="str">
        <f>IF(B1771=1,MAX($U$2:$U1770)+1,IF(AND($T1771&lt;&gt;"",$T1771=$T1770),$U1770,IF(B1771="x",U1770,"")))</f>
        <v/>
      </c>
      <c r="V1771" t="str">
        <f>IF(C1771=1,MAX($V$2:$V1770)+1,IF(AND($T1771&lt;&gt;"",$T1771=$T1770),$U1770,IF(C1771="x",V1770,"")))</f>
        <v/>
      </c>
      <c r="X1771" cm="1">
        <f t="array" ref="X1771">IF($I1771&lt;&gt;"",$I1771,INDEX($I$1:$I1771,ROW()-COUNTIFS($T$1:$T1771,"="&amp;$T1771,$S$1:$S1771,"&lt;"&amp;$S1771)))</f>
        <v>0</v>
      </c>
      <c r="Z1771" s="6">
        <f t="shared" si="262"/>
        <v>1</v>
      </c>
      <c r="AA1771" t="e">
        <f t="shared" si="263"/>
        <v>#VALUE!</v>
      </c>
      <c r="AB1771" t="str">
        <f t="shared" si="264"/>
        <v/>
      </c>
      <c r="AC1771" t="e">
        <f t="shared" si="265"/>
        <v>#VALUE!</v>
      </c>
    </row>
    <row r="1772" spans="1:29" x14ac:dyDescent="0.2">
      <c r="A1772" t="str">
        <f t="shared" si="266"/>
        <v/>
      </c>
      <c r="E1772" s="4"/>
      <c r="F1772" s="46"/>
      <c r="G1772" s="4"/>
      <c r="H1772" s="48"/>
      <c r="J1772" s="26" t="str">
        <f t="shared" si="267"/>
        <v/>
      </c>
      <c r="N1772" t="str">
        <f t="shared" si="268"/>
        <v/>
      </c>
      <c r="Q1772" t="str">
        <f t="shared" si="269"/>
        <v/>
      </c>
      <c r="S1772" t="str">
        <f>IF(A1772=1,MAX($S$2:$S1771)+1,IF(OR($I1772&lt;&gt;"",A1772="x"),$S1771,""))</f>
        <v/>
      </c>
      <c r="T1772" t="str">
        <f>IF(D1772=1,MAX($T$2:$T1771)+1,IF(S1772=S1771,$T1771,IF(D1772="x",T1771,IF(D1771="x","",""))))</f>
        <v/>
      </c>
      <c r="U1772" t="str">
        <f>IF(B1772=1,MAX($U$2:$U1771)+1,IF(AND($T1772&lt;&gt;"",$T1772=$T1771),$U1771,IF(B1772="x",U1771,"")))</f>
        <v/>
      </c>
      <c r="V1772" t="str">
        <f>IF(C1772=1,MAX($V$2:$V1771)+1,IF(AND($T1772&lt;&gt;"",$T1772=$T1771),$U1771,IF(C1772="x",V1771,"")))</f>
        <v/>
      </c>
      <c r="X1772" cm="1">
        <f t="array" ref="X1772">IF($I1772&lt;&gt;"",$I1772,INDEX($I$1:$I1772,ROW()-COUNTIFS($T$1:$T1772,"="&amp;$T1772,$S$1:$S1772,"&lt;"&amp;$S1772)))</f>
        <v>0</v>
      </c>
      <c r="Z1772" s="6">
        <f t="shared" si="262"/>
        <v>1</v>
      </c>
      <c r="AA1772" t="e">
        <f t="shared" si="263"/>
        <v>#VALUE!</v>
      </c>
      <c r="AB1772" t="str">
        <f t="shared" si="264"/>
        <v/>
      </c>
      <c r="AC1772" t="e">
        <f t="shared" si="265"/>
        <v>#VALUE!</v>
      </c>
    </row>
    <row r="1773" spans="1:29" x14ac:dyDescent="0.2">
      <c r="A1773" t="str">
        <f t="shared" si="266"/>
        <v/>
      </c>
      <c r="E1773" s="4"/>
      <c r="F1773" s="46"/>
      <c r="G1773" s="4"/>
      <c r="H1773" s="48"/>
      <c r="J1773" s="26" t="str">
        <f t="shared" si="267"/>
        <v/>
      </c>
      <c r="N1773" t="str">
        <f t="shared" si="268"/>
        <v/>
      </c>
      <c r="Q1773" t="str">
        <f t="shared" si="269"/>
        <v/>
      </c>
      <c r="S1773" t="str">
        <f>IF(A1773=1,MAX($S$2:$S1772)+1,IF(OR($I1773&lt;&gt;"",A1773="x"),$S1772,""))</f>
        <v/>
      </c>
      <c r="T1773" t="str">
        <f>IF(D1773=1,MAX($T$2:$T1772)+1,IF(S1773=S1772,$T1772,IF(D1773="x",T1772,IF(D1772="x","",""))))</f>
        <v/>
      </c>
      <c r="U1773" t="str">
        <f>IF(B1773=1,MAX($U$2:$U1772)+1,IF(AND($T1773&lt;&gt;"",$T1773=$T1772),$U1772,IF(B1773="x",U1772,"")))</f>
        <v/>
      </c>
      <c r="V1773" t="str">
        <f>IF(C1773=1,MAX($V$2:$V1772)+1,IF(AND($T1773&lt;&gt;"",$T1773=$T1772),$U1772,IF(C1773="x",V1772,"")))</f>
        <v/>
      </c>
      <c r="X1773" cm="1">
        <f t="array" ref="X1773">IF($I1773&lt;&gt;"",$I1773,INDEX($I$1:$I1773,ROW()-COUNTIFS($T$1:$T1773,"="&amp;$T1773,$S$1:$S1773,"&lt;"&amp;$S1773)))</f>
        <v>0</v>
      </c>
      <c r="Z1773" s="6">
        <f t="shared" si="262"/>
        <v>1</v>
      </c>
      <c r="AA1773" t="e">
        <f t="shared" si="263"/>
        <v>#VALUE!</v>
      </c>
      <c r="AB1773" t="str">
        <f t="shared" si="264"/>
        <v/>
      </c>
      <c r="AC1773" t="e">
        <f t="shared" si="265"/>
        <v>#VALUE!</v>
      </c>
    </row>
    <row r="1774" spans="1:29" x14ac:dyDescent="0.2">
      <c r="A1774" t="str">
        <f t="shared" si="266"/>
        <v/>
      </c>
      <c r="E1774" s="4"/>
      <c r="F1774" s="46"/>
      <c r="G1774" s="4"/>
      <c r="H1774" s="48"/>
      <c r="J1774" s="26" t="str">
        <f t="shared" si="267"/>
        <v/>
      </c>
      <c r="N1774" t="str">
        <f t="shared" si="268"/>
        <v/>
      </c>
      <c r="Q1774" t="str">
        <f t="shared" si="269"/>
        <v/>
      </c>
      <c r="S1774" t="str">
        <f>IF(A1774=1,MAX($S$2:$S1773)+1,IF(OR($I1774&lt;&gt;"",A1774="x"),$S1773,""))</f>
        <v/>
      </c>
      <c r="T1774" t="str">
        <f>IF(D1774=1,MAX($T$2:$T1773)+1,IF(S1774=S1773,$T1773,IF(D1774="x",T1773,IF(D1773="x","",""))))</f>
        <v/>
      </c>
      <c r="U1774" t="str">
        <f>IF(B1774=1,MAX($U$2:$U1773)+1,IF(AND($T1774&lt;&gt;"",$T1774=$T1773),$U1773,IF(B1774="x",U1773,"")))</f>
        <v/>
      </c>
      <c r="V1774" t="str">
        <f>IF(C1774=1,MAX($V$2:$V1773)+1,IF(AND($T1774&lt;&gt;"",$T1774=$T1773),$U1773,IF(C1774="x",V1773,"")))</f>
        <v/>
      </c>
      <c r="X1774" cm="1">
        <f t="array" ref="X1774">IF($I1774&lt;&gt;"",$I1774,INDEX($I$1:$I1774,ROW()-COUNTIFS($T$1:$T1774,"="&amp;$T1774,$S$1:$S1774,"&lt;"&amp;$S1774)))</f>
        <v>0</v>
      </c>
      <c r="Z1774" s="6">
        <f t="shared" si="262"/>
        <v>1</v>
      </c>
      <c r="AA1774" t="e">
        <f t="shared" si="263"/>
        <v>#VALUE!</v>
      </c>
      <c r="AB1774" t="str">
        <f t="shared" si="264"/>
        <v/>
      </c>
      <c r="AC1774" t="e">
        <f t="shared" si="265"/>
        <v>#VALUE!</v>
      </c>
    </row>
    <row r="1775" spans="1:29" x14ac:dyDescent="0.2">
      <c r="A1775" t="str">
        <f t="shared" si="266"/>
        <v/>
      </c>
      <c r="E1775" s="4"/>
      <c r="F1775" s="46"/>
      <c r="G1775" s="4"/>
      <c r="H1775" s="48"/>
      <c r="J1775" s="26" t="str">
        <f t="shared" si="267"/>
        <v/>
      </c>
      <c r="N1775" t="str">
        <f t="shared" si="268"/>
        <v/>
      </c>
      <c r="Q1775" t="str">
        <f t="shared" si="269"/>
        <v/>
      </c>
      <c r="S1775" t="str">
        <f>IF(A1775=1,MAX($S$2:$S1774)+1,IF(OR($I1775&lt;&gt;"",A1775="x"),$S1774,""))</f>
        <v/>
      </c>
      <c r="T1775" t="str">
        <f>IF(D1775=1,MAX($T$2:$T1774)+1,IF(S1775=S1774,$T1774,IF(D1775="x",T1774,IF(D1774="x","",""))))</f>
        <v/>
      </c>
      <c r="U1775" t="str">
        <f>IF(B1775=1,MAX($U$2:$U1774)+1,IF(AND($T1775&lt;&gt;"",$T1775=$T1774),$U1774,IF(B1775="x",U1774,"")))</f>
        <v/>
      </c>
      <c r="V1775" t="str">
        <f>IF(C1775=1,MAX($V$2:$V1774)+1,IF(AND($T1775&lt;&gt;"",$T1775=$T1774),$U1774,IF(C1775="x",V1774,"")))</f>
        <v/>
      </c>
      <c r="X1775" cm="1">
        <f t="array" ref="X1775">IF($I1775&lt;&gt;"",$I1775,INDEX($I$1:$I1775,ROW()-COUNTIFS($T$1:$T1775,"="&amp;$T1775,$S$1:$S1775,"&lt;"&amp;$S1775)))</f>
        <v>0</v>
      </c>
      <c r="Z1775" s="6">
        <f t="shared" si="262"/>
        <v>1</v>
      </c>
      <c r="AA1775" t="e">
        <f t="shared" si="263"/>
        <v>#VALUE!</v>
      </c>
      <c r="AB1775" t="str">
        <f t="shared" si="264"/>
        <v/>
      </c>
      <c r="AC1775" t="e">
        <f t="shared" si="265"/>
        <v>#VALUE!</v>
      </c>
    </row>
    <row r="1776" spans="1:29" x14ac:dyDescent="0.2">
      <c r="A1776" t="str">
        <f t="shared" si="266"/>
        <v/>
      </c>
      <c r="E1776" s="4"/>
      <c r="F1776" s="46"/>
      <c r="G1776" s="4"/>
      <c r="H1776" s="48"/>
      <c r="J1776" s="26" t="str">
        <f t="shared" si="267"/>
        <v/>
      </c>
      <c r="N1776" t="str">
        <f t="shared" si="268"/>
        <v/>
      </c>
      <c r="Q1776" t="str">
        <f t="shared" si="269"/>
        <v/>
      </c>
      <c r="S1776" t="str">
        <f>IF(A1776=1,MAX($S$2:$S1775)+1,IF(OR($I1776&lt;&gt;"",A1776="x"),$S1775,""))</f>
        <v/>
      </c>
      <c r="T1776" t="str">
        <f>IF(D1776=1,MAX($T$2:$T1775)+1,IF(S1776=S1775,$T1775,IF(D1776="x",T1775,IF(D1775="x","",""))))</f>
        <v/>
      </c>
      <c r="U1776" t="str">
        <f>IF(B1776=1,MAX($U$2:$U1775)+1,IF(AND($T1776&lt;&gt;"",$T1776=$T1775),$U1775,IF(B1776="x",U1775,"")))</f>
        <v/>
      </c>
      <c r="V1776" t="str">
        <f>IF(C1776=1,MAX($V$2:$V1775)+1,IF(AND($T1776&lt;&gt;"",$T1776=$T1775),$U1775,IF(C1776="x",V1775,"")))</f>
        <v/>
      </c>
      <c r="X1776" cm="1">
        <f t="array" ref="X1776">IF($I1776&lt;&gt;"",$I1776,INDEX($I$1:$I1776,ROW()-COUNTIFS($T$1:$T1776,"="&amp;$T1776,$S$1:$S1776,"&lt;"&amp;$S1776)))</f>
        <v>0</v>
      </c>
      <c r="Z1776" s="6">
        <f t="shared" si="262"/>
        <v>1</v>
      </c>
      <c r="AA1776" t="e">
        <f t="shared" si="263"/>
        <v>#VALUE!</v>
      </c>
      <c r="AB1776" t="str">
        <f t="shared" si="264"/>
        <v/>
      </c>
      <c r="AC1776" t="e">
        <f t="shared" si="265"/>
        <v>#VALUE!</v>
      </c>
    </row>
    <row r="1777" spans="1:29" x14ac:dyDescent="0.2">
      <c r="A1777" t="str">
        <f t="shared" si="266"/>
        <v/>
      </c>
      <c r="E1777" s="4"/>
      <c r="F1777" s="46"/>
      <c r="G1777" s="4"/>
      <c r="H1777" s="48"/>
      <c r="J1777" s="26" t="str">
        <f t="shared" si="267"/>
        <v/>
      </c>
      <c r="N1777" t="str">
        <f t="shared" si="268"/>
        <v/>
      </c>
      <c r="Q1777" t="str">
        <f t="shared" si="269"/>
        <v/>
      </c>
      <c r="S1777" t="str">
        <f>IF(A1777=1,MAX($S$2:$S1776)+1,IF(OR($I1777&lt;&gt;"",A1777="x"),$S1776,""))</f>
        <v/>
      </c>
      <c r="T1777" t="str">
        <f>IF(D1777=1,MAX($T$2:$T1776)+1,IF(S1777=S1776,$T1776,IF(D1777="x",T1776,IF(D1776="x","",""))))</f>
        <v/>
      </c>
      <c r="U1777" t="str">
        <f>IF(B1777=1,MAX($U$2:$U1776)+1,IF(AND($T1777&lt;&gt;"",$T1777=$T1776),$U1776,IF(B1777="x",U1776,"")))</f>
        <v/>
      </c>
      <c r="V1777" t="str">
        <f>IF(C1777=1,MAX($V$2:$V1776)+1,IF(AND($T1777&lt;&gt;"",$T1777=$T1776),$U1776,IF(C1777="x",V1776,"")))</f>
        <v/>
      </c>
      <c r="X1777" cm="1">
        <f t="array" ref="X1777">IF($I1777&lt;&gt;"",$I1777,INDEX($I$1:$I1777,ROW()-COUNTIFS($T$1:$T1777,"="&amp;$T1777,$S$1:$S1777,"&lt;"&amp;$S1777)))</f>
        <v>0</v>
      </c>
      <c r="Z1777" s="6">
        <f t="shared" si="262"/>
        <v>1</v>
      </c>
      <c r="AA1777" t="e">
        <f t="shared" si="263"/>
        <v>#VALUE!</v>
      </c>
      <c r="AB1777" t="str">
        <f t="shared" si="264"/>
        <v/>
      </c>
      <c r="AC1777" t="e">
        <f t="shared" si="265"/>
        <v>#VALUE!</v>
      </c>
    </row>
    <row r="1778" spans="1:29" x14ac:dyDescent="0.2">
      <c r="A1778" t="str">
        <f t="shared" si="266"/>
        <v/>
      </c>
      <c r="E1778" s="4"/>
      <c r="F1778" s="46"/>
      <c r="G1778" s="4"/>
      <c r="H1778" s="48"/>
      <c r="J1778" s="26" t="str">
        <f t="shared" si="267"/>
        <v/>
      </c>
      <c r="N1778" t="str">
        <f t="shared" si="268"/>
        <v/>
      </c>
      <c r="Q1778" t="str">
        <f t="shared" si="269"/>
        <v/>
      </c>
      <c r="S1778" t="str">
        <f>IF(A1778=1,MAX($S$2:$S1777)+1,IF(OR($I1778&lt;&gt;"",A1778="x"),$S1777,""))</f>
        <v/>
      </c>
      <c r="T1778" t="str">
        <f>IF(D1778=1,MAX($T$2:$T1777)+1,IF(S1778=S1777,$T1777,IF(D1778="x",T1777,IF(D1777="x","",""))))</f>
        <v/>
      </c>
      <c r="U1778" t="str">
        <f>IF(B1778=1,MAX($U$2:$U1777)+1,IF(AND($T1778&lt;&gt;"",$T1778=$T1777),$U1777,IF(B1778="x",U1777,"")))</f>
        <v/>
      </c>
      <c r="V1778" t="str">
        <f>IF(C1778=1,MAX($V$2:$V1777)+1,IF(AND($T1778&lt;&gt;"",$T1778=$T1777),$U1777,IF(C1778="x",V1777,"")))</f>
        <v/>
      </c>
      <c r="X1778" cm="1">
        <f t="array" ref="X1778">IF($I1778&lt;&gt;"",$I1778,INDEX($I$1:$I1778,ROW()-COUNTIFS($T$1:$T1778,"="&amp;$T1778,$S$1:$S1778,"&lt;"&amp;$S1778)))</f>
        <v>0</v>
      </c>
      <c r="Z1778" s="6">
        <f t="shared" si="262"/>
        <v>1</v>
      </c>
      <c r="AA1778" t="e">
        <f t="shared" si="263"/>
        <v>#VALUE!</v>
      </c>
      <c r="AB1778" t="str">
        <f t="shared" si="264"/>
        <v/>
      </c>
      <c r="AC1778" t="e">
        <f t="shared" si="265"/>
        <v>#VALUE!</v>
      </c>
    </row>
    <row r="1779" spans="1:29" x14ac:dyDescent="0.2">
      <c r="A1779" t="str">
        <f t="shared" si="266"/>
        <v/>
      </c>
      <c r="E1779" s="4"/>
      <c r="F1779" s="46"/>
      <c r="G1779" s="4"/>
      <c r="H1779" s="48"/>
      <c r="J1779" s="26" t="str">
        <f t="shared" si="267"/>
        <v/>
      </c>
      <c r="N1779" t="str">
        <f t="shared" si="268"/>
        <v/>
      </c>
      <c r="Q1779" t="str">
        <f t="shared" si="269"/>
        <v/>
      </c>
      <c r="S1779" t="str">
        <f>IF(A1779=1,MAX($S$2:$S1778)+1,IF(OR($I1779&lt;&gt;"",A1779="x"),$S1778,""))</f>
        <v/>
      </c>
      <c r="T1779" t="str">
        <f>IF(D1779=1,MAX($T$2:$T1778)+1,IF(S1779=S1778,$T1778,IF(D1779="x",T1778,IF(D1778="x","",""))))</f>
        <v/>
      </c>
      <c r="U1779" t="str">
        <f>IF(B1779=1,MAX($U$2:$U1778)+1,IF(AND($T1779&lt;&gt;"",$T1779=$T1778),$U1778,IF(B1779="x",U1778,"")))</f>
        <v/>
      </c>
      <c r="V1779" t="str">
        <f>IF(C1779=1,MAX($V$2:$V1778)+1,IF(AND($T1779&lt;&gt;"",$T1779=$T1778),$U1778,IF(C1779="x",V1778,"")))</f>
        <v/>
      </c>
      <c r="X1779" cm="1">
        <f t="array" ref="X1779">IF($I1779&lt;&gt;"",$I1779,INDEX($I$1:$I1779,ROW()-COUNTIFS($T$1:$T1779,"="&amp;$T1779,$S$1:$S1779,"&lt;"&amp;$S1779)))</f>
        <v>0</v>
      </c>
      <c r="Z1779" s="6">
        <f t="shared" si="262"/>
        <v>1</v>
      </c>
      <c r="AA1779" t="e">
        <f t="shared" si="263"/>
        <v>#VALUE!</v>
      </c>
      <c r="AB1779" t="str">
        <f t="shared" si="264"/>
        <v/>
      </c>
      <c r="AC1779" t="e">
        <f t="shared" si="265"/>
        <v>#VALUE!</v>
      </c>
    </row>
    <row r="1780" spans="1:29" x14ac:dyDescent="0.2">
      <c r="A1780" t="str">
        <f t="shared" si="266"/>
        <v/>
      </c>
      <c r="E1780" s="4"/>
      <c r="F1780" s="46"/>
      <c r="G1780" s="4"/>
      <c r="H1780" s="48"/>
      <c r="J1780" s="26" t="str">
        <f t="shared" si="267"/>
        <v/>
      </c>
      <c r="N1780" t="str">
        <f t="shared" si="268"/>
        <v/>
      </c>
      <c r="Q1780" t="str">
        <f t="shared" si="269"/>
        <v/>
      </c>
      <c r="S1780" t="str">
        <f>IF(A1780=1,MAX($S$2:$S1779)+1,IF(OR($I1780&lt;&gt;"",A1780="x"),$S1779,""))</f>
        <v/>
      </c>
      <c r="T1780" t="str">
        <f>IF(D1780=1,MAX($T$2:$T1779)+1,IF(S1780=S1779,$T1779,IF(D1780="x",T1779,IF(D1779="x","",""))))</f>
        <v/>
      </c>
      <c r="U1780" t="str">
        <f>IF(B1780=1,MAX($U$2:$U1779)+1,IF(AND($T1780&lt;&gt;"",$T1780=$T1779),$U1779,IF(B1780="x",U1779,"")))</f>
        <v/>
      </c>
      <c r="V1780" t="str">
        <f>IF(C1780=1,MAX($V$2:$V1779)+1,IF(AND($T1780&lt;&gt;"",$T1780=$T1779),$U1779,IF(C1780="x",V1779,"")))</f>
        <v/>
      </c>
      <c r="X1780" cm="1">
        <f t="array" ref="X1780">IF($I1780&lt;&gt;"",$I1780,INDEX($I$1:$I1780,ROW()-COUNTIFS($T$1:$T1780,"="&amp;$T1780,$S$1:$S1780,"&lt;"&amp;$S1780)))</f>
        <v>0</v>
      </c>
      <c r="Z1780" s="6">
        <f t="shared" si="262"/>
        <v>1</v>
      </c>
      <c r="AA1780" t="e">
        <f t="shared" si="263"/>
        <v>#VALUE!</v>
      </c>
      <c r="AB1780" t="str">
        <f t="shared" si="264"/>
        <v/>
      </c>
      <c r="AC1780" t="e">
        <f t="shared" si="265"/>
        <v>#VALUE!</v>
      </c>
    </row>
    <row r="1781" spans="1:29" x14ac:dyDescent="0.2">
      <c r="A1781" t="str">
        <f t="shared" si="266"/>
        <v/>
      </c>
      <c r="E1781" s="4"/>
      <c r="F1781" s="46"/>
      <c r="G1781" s="4"/>
      <c r="H1781" s="48"/>
      <c r="J1781" s="26" t="str">
        <f t="shared" si="267"/>
        <v/>
      </c>
      <c r="N1781" t="str">
        <f t="shared" si="268"/>
        <v/>
      </c>
      <c r="Q1781" t="str">
        <f t="shared" si="269"/>
        <v/>
      </c>
      <c r="S1781" t="str">
        <f>IF(A1781=1,MAX($S$2:$S1780)+1,IF(OR($I1781&lt;&gt;"",A1781="x"),$S1780,""))</f>
        <v/>
      </c>
      <c r="T1781" t="str">
        <f>IF(D1781=1,MAX($T$2:$T1780)+1,IF(S1781=S1780,$T1780,IF(D1781="x",T1780,IF(D1780="x","",""))))</f>
        <v/>
      </c>
      <c r="U1781" t="str">
        <f>IF(B1781=1,MAX($U$2:$U1780)+1,IF(AND($T1781&lt;&gt;"",$T1781=$T1780),$U1780,IF(B1781="x",U1780,"")))</f>
        <v/>
      </c>
      <c r="V1781" t="str">
        <f>IF(C1781=1,MAX($V$2:$V1780)+1,IF(AND($T1781&lt;&gt;"",$T1781=$T1780),$U1780,IF(C1781="x",V1780,"")))</f>
        <v/>
      </c>
      <c r="X1781" cm="1">
        <f t="array" ref="X1781">IF($I1781&lt;&gt;"",$I1781,INDEX($I$1:$I1781,ROW()-COUNTIFS($T$1:$T1781,"="&amp;$T1781,$S$1:$S1781,"&lt;"&amp;$S1781)))</f>
        <v>0</v>
      </c>
      <c r="Z1781" s="6">
        <f t="shared" si="262"/>
        <v>1</v>
      </c>
      <c r="AA1781" t="e">
        <f t="shared" si="263"/>
        <v>#VALUE!</v>
      </c>
      <c r="AB1781" t="str">
        <f t="shared" si="264"/>
        <v/>
      </c>
      <c r="AC1781" t="e">
        <f t="shared" si="265"/>
        <v>#VALUE!</v>
      </c>
    </row>
    <row r="1782" spans="1:29" x14ac:dyDescent="0.2">
      <c r="A1782" t="str">
        <f t="shared" si="266"/>
        <v/>
      </c>
      <c r="E1782" s="4"/>
      <c r="F1782" s="46"/>
      <c r="G1782" s="4"/>
      <c r="H1782" s="48"/>
      <c r="J1782" s="26" t="str">
        <f t="shared" si="267"/>
        <v/>
      </c>
      <c r="N1782" t="str">
        <f t="shared" si="268"/>
        <v/>
      </c>
      <c r="Q1782" t="str">
        <f t="shared" si="269"/>
        <v/>
      </c>
      <c r="S1782" t="str">
        <f>IF(A1782=1,MAX($S$2:$S1781)+1,IF(OR($I1782&lt;&gt;"",A1782="x"),$S1781,""))</f>
        <v/>
      </c>
      <c r="T1782" t="str">
        <f>IF(D1782=1,MAX($T$2:$T1781)+1,IF(S1782=S1781,$T1781,IF(D1782="x",T1781,IF(D1781="x","",""))))</f>
        <v/>
      </c>
      <c r="U1782" t="str">
        <f>IF(B1782=1,MAX($U$2:$U1781)+1,IF(AND($T1782&lt;&gt;"",$T1782=$T1781),$U1781,IF(B1782="x",U1781,"")))</f>
        <v/>
      </c>
      <c r="V1782" t="str">
        <f>IF(C1782=1,MAX($V$2:$V1781)+1,IF(AND($T1782&lt;&gt;"",$T1782=$T1781),$U1781,IF(C1782="x",V1781,"")))</f>
        <v/>
      </c>
      <c r="X1782" cm="1">
        <f t="array" ref="X1782">IF($I1782&lt;&gt;"",$I1782,INDEX($I$1:$I1782,ROW()-COUNTIFS($T$1:$T1782,"="&amp;$T1782,$S$1:$S1782,"&lt;"&amp;$S1782)))</f>
        <v>0</v>
      </c>
      <c r="Z1782" s="6">
        <f t="shared" si="262"/>
        <v>1</v>
      </c>
      <c r="AA1782" t="e">
        <f t="shared" si="263"/>
        <v>#VALUE!</v>
      </c>
      <c r="AB1782" t="str">
        <f t="shared" si="264"/>
        <v/>
      </c>
      <c r="AC1782" t="e">
        <f t="shared" si="265"/>
        <v>#VALUE!</v>
      </c>
    </row>
    <row r="1783" spans="1:29" x14ac:dyDescent="0.2">
      <c r="A1783" t="str">
        <f t="shared" si="266"/>
        <v/>
      </c>
      <c r="E1783" s="4"/>
      <c r="F1783" s="46"/>
      <c r="G1783" s="4"/>
      <c r="H1783" s="48"/>
      <c r="J1783" s="26" t="str">
        <f t="shared" si="267"/>
        <v/>
      </c>
      <c r="N1783" t="str">
        <f t="shared" si="268"/>
        <v/>
      </c>
      <c r="Q1783" t="str">
        <f t="shared" si="269"/>
        <v/>
      </c>
      <c r="S1783" t="str">
        <f>IF(A1783=1,MAX($S$2:$S1782)+1,IF(OR($I1783&lt;&gt;"",A1783="x"),$S1782,""))</f>
        <v/>
      </c>
      <c r="T1783" t="str">
        <f>IF(D1783=1,MAX($T$2:$T1782)+1,IF(S1783=S1782,$T1782,IF(D1783="x",T1782,IF(D1782="x","",""))))</f>
        <v/>
      </c>
      <c r="U1783" t="str">
        <f>IF(B1783=1,MAX($U$2:$U1782)+1,IF(AND($T1783&lt;&gt;"",$T1783=$T1782),$U1782,IF(B1783="x",U1782,"")))</f>
        <v/>
      </c>
      <c r="V1783" t="str">
        <f>IF(C1783=1,MAX($V$2:$V1782)+1,IF(AND($T1783&lt;&gt;"",$T1783=$T1782),$U1782,IF(C1783="x",V1782,"")))</f>
        <v/>
      </c>
      <c r="X1783" cm="1">
        <f t="array" ref="X1783">IF($I1783&lt;&gt;"",$I1783,INDEX($I$1:$I1783,ROW()-COUNTIFS($T$1:$T1783,"="&amp;$T1783,$S$1:$S1783,"&lt;"&amp;$S1783)))</f>
        <v>0</v>
      </c>
      <c r="Z1783" s="6">
        <f t="shared" si="262"/>
        <v>1</v>
      </c>
      <c r="AA1783" t="e">
        <f t="shared" si="263"/>
        <v>#VALUE!</v>
      </c>
      <c r="AB1783" t="str">
        <f t="shared" si="264"/>
        <v/>
      </c>
      <c r="AC1783" t="e">
        <f t="shared" si="265"/>
        <v>#VALUE!</v>
      </c>
    </row>
    <row r="1784" spans="1:29" x14ac:dyDescent="0.2">
      <c r="A1784" t="str">
        <f t="shared" si="266"/>
        <v/>
      </c>
      <c r="E1784" s="4"/>
      <c r="F1784" s="46"/>
      <c r="G1784" s="4"/>
      <c r="H1784" s="48"/>
      <c r="J1784" s="26" t="str">
        <f t="shared" si="267"/>
        <v/>
      </c>
      <c r="N1784" t="str">
        <f t="shared" si="268"/>
        <v/>
      </c>
      <c r="Q1784" t="str">
        <f t="shared" si="269"/>
        <v/>
      </c>
      <c r="S1784" t="str">
        <f>IF(A1784=1,MAX($S$2:$S1783)+1,IF(OR($I1784&lt;&gt;"",A1784="x"),$S1783,""))</f>
        <v/>
      </c>
      <c r="T1784" t="str">
        <f>IF(D1784=1,MAX($T$2:$T1783)+1,IF(S1784=S1783,$T1783,IF(D1784="x",T1783,IF(D1783="x","",""))))</f>
        <v/>
      </c>
      <c r="U1784" t="str">
        <f>IF(B1784=1,MAX($U$2:$U1783)+1,IF(AND($T1784&lt;&gt;"",$T1784=$T1783),$U1783,IF(B1784="x",U1783,"")))</f>
        <v/>
      </c>
      <c r="V1784" t="str">
        <f>IF(C1784=1,MAX($V$2:$V1783)+1,IF(AND($T1784&lt;&gt;"",$T1784=$T1783),$U1783,IF(C1784="x",V1783,"")))</f>
        <v/>
      </c>
      <c r="X1784" cm="1">
        <f t="array" ref="X1784">IF($I1784&lt;&gt;"",$I1784,INDEX($I$1:$I1784,ROW()-COUNTIFS($T$1:$T1784,"="&amp;$T1784,$S$1:$S1784,"&lt;"&amp;$S1784)))</f>
        <v>0</v>
      </c>
      <c r="Z1784" s="6">
        <f t="shared" si="262"/>
        <v>1</v>
      </c>
      <c r="AA1784" t="e">
        <f t="shared" si="263"/>
        <v>#VALUE!</v>
      </c>
      <c r="AB1784" t="str">
        <f t="shared" si="264"/>
        <v/>
      </c>
      <c r="AC1784" t="e">
        <f t="shared" si="265"/>
        <v>#VALUE!</v>
      </c>
    </row>
    <row r="1785" spans="1:29" x14ac:dyDescent="0.2">
      <c r="A1785" t="str">
        <f t="shared" si="266"/>
        <v/>
      </c>
      <c r="E1785" s="4"/>
      <c r="F1785" s="46"/>
      <c r="G1785" s="4"/>
      <c r="H1785" s="48"/>
      <c r="J1785" s="26" t="str">
        <f t="shared" si="267"/>
        <v/>
      </c>
      <c r="N1785" t="str">
        <f t="shared" si="268"/>
        <v/>
      </c>
      <c r="Q1785" t="str">
        <f t="shared" si="269"/>
        <v/>
      </c>
      <c r="S1785" t="str">
        <f>IF(A1785=1,MAX($S$2:$S1784)+1,IF(OR($I1785&lt;&gt;"",A1785="x"),$S1784,""))</f>
        <v/>
      </c>
      <c r="T1785" t="str">
        <f>IF(D1785=1,MAX($T$2:$T1784)+1,IF(S1785=S1784,$T1784,IF(D1785="x",T1784,IF(D1784="x","",""))))</f>
        <v/>
      </c>
      <c r="U1785" t="str">
        <f>IF(B1785=1,MAX($U$2:$U1784)+1,IF(AND($T1785&lt;&gt;"",$T1785=$T1784),$U1784,IF(B1785="x",U1784,"")))</f>
        <v/>
      </c>
      <c r="V1785" t="str">
        <f>IF(C1785=1,MAX($V$2:$V1784)+1,IF(AND($T1785&lt;&gt;"",$T1785=$T1784),$U1784,IF(C1785="x",V1784,"")))</f>
        <v/>
      </c>
      <c r="X1785" cm="1">
        <f t="array" ref="X1785">IF($I1785&lt;&gt;"",$I1785,INDEX($I$1:$I1785,ROW()-COUNTIFS($T$1:$T1785,"="&amp;$T1785,$S$1:$S1785,"&lt;"&amp;$S1785)))</f>
        <v>0</v>
      </c>
      <c r="Z1785" s="6">
        <f t="shared" si="262"/>
        <v>1</v>
      </c>
      <c r="AA1785" t="e">
        <f t="shared" si="263"/>
        <v>#VALUE!</v>
      </c>
      <c r="AB1785" t="str">
        <f t="shared" si="264"/>
        <v/>
      </c>
      <c r="AC1785" t="e">
        <f t="shared" si="265"/>
        <v>#VALUE!</v>
      </c>
    </row>
    <row r="1786" spans="1:29" x14ac:dyDescent="0.2">
      <c r="A1786" t="str">
        <f t="shared" si="266"/>
        <v/>
      </c>
      <c r="E1786" s="4"/>
      <c r="F1786" s="46"/>
      <c r="G1786" s="4"/>
      <c r="H1786" s="48"/>
      <c r="J1786" s="26" t="str">
        <f t="shared" si="267"/>
        <v/>
      </c>
      <c r="N1786" t="str">
        <f t="shared" si="268"/>
        <v/>
      </c>
      <c r="Q1786" t="str">
        <f t="shared" si="269"/>
        <v/>
      </c>
      <c r="S1786" t="str">
        <f>IF(A1786=1,MAX($S$2:$S1785)+1,IF(OR($I1786&lt;&gt;"",A1786="x"),$S1785,""))</f>
        <v/>
      </c>
      <c r="T1786" t="str">
        <f>IF(D1786=1,MAX($T$2:$T1785)+1,IF(S1786=S1785,$T1785,IF(D1786="x",T1785,IF(D1785="x","",""))))</f>
        <v/>
      </c>
      <c r="U1786" t="str">
        <f>IF(B1786=1,MAX($U$2:$U1785)+1,IF(AND($T1786&lt;&gt;"",$T1786=$T1785),$U1785,IF(B1786="x",U1785,"")))</f>
        <v/>
      </c>
      <c r="V1786" t="str">
        <f>IF(C1786=1,MAX($V$2:$V1785)+1,IF(AND($T1786&lt;&gt;"",$T1786=$T1785),$U1785,IF(C1786="x",V1785,"")))</f>
        <v/>
      </c>
      <c r="X1786" cm="1">
        <f t="array" ref="X1786">IF($I1786&lt;&gt;"",$I1786,INDEX($I$1:$I1786,ROW()-COUNTIFS($T$1:$T1786,"="&amp;$T1786,$S$1:$S1786,"&lt;"&amp;$S1786)))</f>
        <v>0</v>
      </c>
      <c r="Z1786" s="6">
        <f t="shared" si="262"/>
        <v>1</v>
      </c>
      <c r="AA1786" t="e">
        <f t="shared" si="263"/>
        <v>#VALUE!</v>
      </c>
      <c r="AB1786" t="str">
        <f t="shared" si="264"/>
        <v/>
      </c>
      <c r="AC1786" t="e">
        <f t="shared" si="265"/>
        <v>#VALUE!</v>
      </c>
    </row>
    <row r="1787" spans="1:29" x14ac:dyDescent="0.2">
      <c r="A1787" t="str">
        <f t="shared" si="266"/>
        <v/>
      </c>
      <c r="E1787" s="4"/>
      <c r="F1787" s="46"/>
      <c r="G1787" s="4"/>
      <c r="H1787" s="48"/>
      <c r="J1787" s="26" t="str">
        <f t="shared" si="267"/>
        <v/>
      </c>
      <c r="N1787" t="str">
        <f t="shared" si="268"/>
        <v/>
      </c>
      <c r="Q1787" t="str">
        <f t="shared" si="269"/>
        <v/>
      </c>
      <c r="S1787" t="str">
        <f>IF(A1787=1,MAX($S$2:$S1786)+1,IF(OR($I1787&lt;&gt;"",A1787="x"),$S1786,""))</f>
        <v/>
      </c>
      <c r="T1787" t="str">
        <f>IF(D1787=1,MAX($T$2:$T1786)+1,IF(S1787=S1786,$T1786,IF(D1787="x",T1786,IF(D1786="x","",""))))</f>
        <v/>
      </c>
      <c r="U1787" t="str">
        <f>IF(B1787=1,MAX($U$2:$U1786)+1,IF(AND($T1787&lt;&gt;"",$T1787=$T1786),$U1786,IF(B1787="x",U1786,"")))</f>
        <v/>
      </c>
      <c r="V1787" t="str">
        <f>IF(C1787=1,MAX($V$2:$V1786)+1,IF(AND($T1787&lt;&gt;"",$T1787=$T1786),$U1786,IF(C1787="x",V1786,"")))</f>
        <v/>
      </c>
      <c r="X1787" cm="1">
        <f t="array" ref="X1787">IF($I1787&lt;&gt;"",$I1787,INDEX($I$1:$I1787,ROW()-COUNTIFS($T$1:$T1787,"="&amp;$T1787,$S$1:$S1787,"&lt;"&amp;$S1787)))</f>
        <v>0</v>
      </c>
      <c r="Z1787" s="6">
        <f t="shared" si="262"/>
        <v>1</v>
      </c>
      <c r="AA1787" t="e">
        <f t="shared" si="263"/>
        <v>#VALUE!</v>
      </c>
      <c r="AB1787" t="str">
        <f t="shared" si="264"/>
        <v/>
      </c>
      <c r="AC1787" t="e">
        <f t="shared" si="265"/>
        <v>#VALUE!</v>
      </c>
    </row>
    <row r="1788" spans="1:29" x14ac:dyDescent="0.2">
      <c r="A1788" t="str">
        <f t="shared" si="266"/>
        <v/>
      </c>
      <c r="E1788" s="4"/>
      <c r="F1788" s="46"/>
      <c r="G1788" s="4"/>
      <c r="H1788" s="48"/>
      <c r="J1788" s="26" t="str">
        <f t="shared" si="267"/>
        <v/>
      </c>
      <c r="N1788" t="str">
        <f t="shared" si="268"/>
        <v/>
      </c>
      <c r="Q1788" t="str">
        <f t="shared" si="269"/>
        <v/>
      </c>
      <c r="S1788" t="str">
        <f>IF(A1788=1,MAX($S$2:$S1787)+1,IF(OR($I1788&lt;&gt;"",A1788="x"),$S1787,""))</f>
        <v/>
      </c>
      <c r="T1788" t="str">
        <f>IF(D1788=1,MAX($T$2:$T1787)+1,IF(S1788=S1787,$T1787,IF(D1788="x",T1787,IF(D1787="x","",""))))</f>
        <v/>
      </c>
      <c r="U1788" t="str">
        <f>IF(B1788=1,MAX($U$2:$U1787)+1,IF(AND($T1788&lt;&gt;"",$T1788=$T1787),$U1787,IF(B1788="x",U1787,"")))</f>
        <v/>
      </c>
      <c r="V1788" t="str">
        <f>IF(C1788=1,MAX($V$2:$V1787)+1,IF(AND($T1788&lt;&gt;"",$T1788=$T1787),$U1787,IF(C1788="x",V1787,"")))</f>
        <v/>
      </c>
      <c r="X1788" cm="1">
        <f t="array" ref="X1788">IF($I1788&lt;&gt;"",$I1788,INDEX($I$1:$I1788,ROW()-COUNTIFS($T$1:$T1788,"="&amp;$T1788,$S$1:$S1788,"&lt;"&amp;$S1788)))</f>
        <v>0</v>
      </c>
      <c r="Z1788" s="6">
        <f t="shared" si="262"/>
        <v>1</v>
      </c>
      <c r="AA1788" t="e">
        <f t="shared" si="263"/>
        <v>#VALUE!</v>
      </c>
      <c r="AB1788" t="str">
        <f t="shared" si="264"/>
        <v/>
      </c>
      <c r="AC1788" t="e">
        <f t="shared" si="265"/>
        <v>#VALUE!</v>
      </c>
    </row>
    <row r="1789" spans="1:29" x14ac:dyDescent="0.2">
      <c r="A1789" t="str">
        <f t="shared" si="266"/>
        <v/>
      </c>
      <c r="E1789" s="4"/>
      <c r="F1789" s="46"/>
      <c r="G1789" s="4"/>
      <c r="H1789" s="48"/>
      <c r="J1789" s="26" t="str">
        <f t="shared" si="267"/>
        <v/>
      </c>
      <c r="N1789" t="str">
        <f t="shared" si="268"/>
        <v/>
      </c>
      <c r="Q1789" t="str">
        <f t="shared" si="269"/>
        <v/>
      </c>
      <c r="S1789" t="str">
        <f>IF(A1789=1,MAX($S$2:$S1788)+1,IF(OR($I1789&lt;&gt;"",A1789="x"),$S1788,""))</f>
        <v/>
      </c>
      <c r="T1789" t="str">
        <f>IF(D1789=1,MAX($T$2:$T1788)+1,IF(S1789=S1788,$T1788,IF(D1789="x",T1788,IF(D1788="x","",""))))</f>
        <v/>
      </c>
      <c r="U1789" t="str">
        <f>IF(B1789=1,MAX($U$2:$U1788)+1,IF(AND($T1789&lt;&gt;"",$T1789=$T1788),$U1788,IF(B1789="x",U1788,"")))</f>
        <v/>
      </c>
      <c r="V1789" t="str">
        <f>IF(C1789=1,MAX($V$2:$V1788)+1,IF(AND($T1789&lt;&gt;"",$T1789=$T1788),$U1788,IF(C1789="x",V1788,"")))</f>
        <v/>
      </c>
      <c r="X1789" cm="1">
        <f t="array" ref="X1789">IF($I1789&lt;&gt;"",$I1789,INDEX($I$1:$I1789,ROW()-COUNTIFS($T$1:$T1789,"="&amp;$T1789,$S$1:$S1789,"&lt;"&amp;$S1789)))</f>
        <v>0</v>
      </c>
      <c r="Z1789" s="6">
        <f t="shared" si="262"/>
        <v>1</v>
      </c>
      <c r="AA1789" t="e">
        <f t="shared" si="263"/>
        <v>#VALUE!</v>
      </c>
      <c r="AB1789" t="str">
        <f t="shared" si="264"/>
        <v/>
      </c>
      <c r="AC1789" t="e">
        <f t="shared" si="265"/>
        <v>#VALUE!</v>
      </c>
    </row>
    <row r="1790" spans="1:29" x14ac:dyDescent="0.2">
      <c r="A1790" t="str">
        <f t="shared" si="266"/>
        <v/>
      </c>
      <c r="E1790" s="4"/>
      <c r="F1790" s="46"/>
      <c r="G1790" s="4"/>
      <c r="H1790" s="48"/>
      <c r="J1790" s="26" t="str">
        <f t="shared" si="267"/>
        <v/>
      </c>
      <c r="N1790" t="str">
        <f t="shared" si="268"/>
        <v/>
      </c>
      <c r="Q1790" t="str">
        <f t="shared" si="269"/>
        <v/>
      </c>
      <c r="S1790" t="str">
        <f>IF(A1790=1,MAX($S$2:$S1789)+1,IF(OR($I1790&lt;&gt;"",A1790="x"),$S1789,""))</f>
        <v/>
      </c>
      <c r="T1790" t="str">
        <f>IF(D1790=1,MAX($T$2:$T1789)+1,IF(S1790=S1789,$T1789,IF(D1790="x",T1789,IF(D1789="x","",""))))</f>
        <v/>
      </c>
      <c r="U1790" t="str">
        <f>IF(B1790=1,MAX($U$2:$U1789)+1,IF(AND($T1790&lt;&gt;"",$T1790=$T1789),$U1789,IF(B1790="x",U1789,"")))</f>
        <v/>
      </c>
      <c r="V1790" t="str">
        <f>IF(C1790=1,MAX($V$2:$V1789)+1,IF(AND($T1790&lt;&gt;"",$T1790=$T1789),$U1789,IF(C1790="x",V1789,"")))</f>
        <v/>
      </c>
      <c r="X1790" cm="1">
        <f t="array" ref="X1790">IF($I1790&lt;&gt;"",$I1790,INDEX($I$1:$I1790,ROW()-COUNTIFS($T$1:$T1790,"="&amp;$T1790,$S$1:$S1790,"&lt;"&amp;$S1790)))</f>
        <v>0</v>
      </c>
      <c r="Z1790" s="6">
        <f t="shared" si="262"/>
        <v>1</v>
      </c>
      <c r="AA1790" t="e">
        <f t="shared" si="263"/>
        <v>#VALUE!</v>
      </c>
      <c r="AB1790" t="str">
        <f t="shared" si="264"/>
        <v/>
      </c>
      <c r="AC1790" t="e">
        <f t="shared" si="265"/>
        <v>#VALUE!</v>
      </c>
    </row>
    <row r="1791" spans="1:29" x14ac:dyDescent="0.2">
      <c r="A1791" t="str">
        <f t="shared" si="266"/>
        <v/>
      </c>
      <c r="E1791" s="4"/>
      <c r="F1791" s="46"/>
      <c r="G1791" s="4"/>
      <c r="H1791" s="48"/>
      <c r="J1791" s="26" t="str">
        <f t="shared" si="267"/>
        <v/>
      </c>
      <c r="N1791" t="str">
        <f t="shared" si="268"/>
        <v/>
      </c>
      <c r="Q1791" t="str">
        <f t="shared" si="269"/>
        <v/>
      </c>
      <c r="S1791" t="str">
        <f>IF(A1791=1,MAX($S$2:$S1790)+1,IF(OR($I1791&lt;&gt;"",A1791="x"),$S1790,""))</f>
        <v/>
      </c>
      <c r="T1791" t="str">
        <f>IF(D1791=1,MAX($T$2:$T1790)+1,IF(S1791=S1790,$T1790,IF(D1791="x",T1790,IF(D1790="x","",""))))</f>
        <v/>
      </c>
      <c r="U1791" t="str">
        <f>IF(B1791=1,MAX($U$2:$U1790)+1,IF(AND($T1791&lt;&gt;"",$T1791=$T1790),$U1790,IF(B1791="x",U1790,"")))</f>
        <v/>
      </c>
      <c r="V1791" t="str">
        <f>IF(C1791=1,MAX($V$2:$V1790)+1,IF(AND($T1791&lt;&gt;"",$T1791=$T1790),$U1790,IF(C1791="x",V1790,"")))</f>
        <v/>
      </c>
      <c r="X1791" cm="1">
        <f t="array" ref="X1791">IF($I1791&lt;&gt;"",$I1791,INDEX($I$1:$I1791,ROW()-COUNTIFS($T$1:$T1791,"="&amp;$T1791,$S$1:$S1791,"&lt;"&amp;$S1791)))</f>
        <v>0</v>
      </c>
      <c r="Z1791" s="6">
        <f t="shared" si="262"/>
        <v>1</v>
      </c>
      <c r="AA1791" t="e">
        <f t="shared" si="263"/>
        <v>#VALUE!</v>
      </c>
      <c r="AB1791" t="str">
        <f t="shared" si="264"/>
        <v/>
      </c>
      <c r="AC1791" t="e">
        <f t="shared" si="265"/>
        <v>#VALUE!</v>
      </c>
    </row>
    <row r="1792" spans="1:29" x14ac:dyDescent="0.2">
      <c r="A1792" t="str">
        <f t="shared" si="266"/>
        <v/>
      </c>
      <c r="E1792" s="4"/>
      <c r="F1792" s="46"/>
      <c r="G1792" s="4"/>
      <c r="H1792" s="48"/>
      <c r="J1792" s="26" t="str">
        <f t="shared" si="267"/>
        <v/>
      </c>
      <c r="N1792" t="str">
        <f t="shared" si="268"/>
        <v/>
      </c>
      <c r="Q1792" t="str">
        <f t="shared" si="269"/>
        <v/>
      </c>
      <c r="S1792" t="str">
        <f>IF(A1792=1,MAX($S$2:$S1791)+1,IF(OR($I1792&lt;&gt;"",A1792="x"),$S1791,""))</f>
        <v/>
      </c>
      <c r="T1792" t="str">
        <f>IF(D1792=1,MAX($T$2:$T1791)+1,IF(S1792=S1791,$T1791,IF(D1792="x",T1791,IF(D1791="x","",""))))</f>
        <v/>
      </c>
      <c r="U1792" t="str">
        <f>IF(B1792=1,MAX($U$2:$U1791)+1,IF(AND($T1792&lt;&gt;"",$T1792=$T1791),$U1791,IF(B1792="x",U1791,"")))</f>
        <v/>
      </c>
      <c r="V1792" t="str">
        <f>IF(C1792=1,MAX($V$2:$V1791)+1,IF(AND($T1792&lt;&gt;"",$T1792=$T1791),$U1791,IF(C1792="x",V1791,"")))</f>
        <v/>
      </c>
      <c r="X1792" cm="1">
        <f t="array" ref="X1792">IF($I1792&lt;&gt;"",$I1792,INDEX($I$1:$I1792,ROW()-COUNTIFS($T$1:$T1792,"="&amp;$T1792,$S$1:$S1792,"&lt;"&amp;$S1792)))</f>
        <v>0</v>
      </c>
      <c r="Z1792" s="6">
        <f t="shared" si="262"/>
        <v>1</v>
      </c>
      <c r="AA1792" t="e">
        <f t="shared" si="263"/>
        <v>#VALUE!</v>
      </c>
      <c r="AB1792" t="str">
        <f t="shared" si="264"/>
        <v/>
      </c>
      <c r="AC1792" t="e">
        <f t="shared" si="265"/>
        <v>#VALUE!</v>
      </c>
    </row>
    <row r="1793" spans="1:29" x14ac:dyDescent="0.2">
      <c r="A1793" t="str">
        <f t="shared" si="266"/>
        <v/>
      </c>
      <c r="E1793" s="4"/>
      <c r="F1793" s="46"/>
      <c r="G1793" s="4"/>
      <c r="H1793" s="48"/>
      <c r="J1793" s="26" t="str">
        <f t="shared" si="267"/>
        <v/>
      </c>
      <c r="N1793" t="str">
        <f t="shared" si="268"/>
        <v/>
      </c>
      <c r="Q1793" t="str">
        <f t="shared" si="269"/>
        <v/>
      </c>
      <c r="S1793" t="str">
        <f>IF(A1793=1,MAX($S$2:$S1792)+1,IF(OR($I1793&lt;&gt;"",A1793="x"),$S1792,""))</f>
        <v/>
      </c>
      <c r="T1793" t="str">
        <f>IF(D1793=1,MAX($T$2:$T1792)+1,IF(S1793=S1792,$T1792,IF(D1793="x",T1792,IF(D1792="x","",""))))</f>
        <v/>
      </c>
      <c r="U1793" t="str">
        <f>IF(B1793=1,MAX($U$2:$U1792)+1,IF(AND($T1793&lt;&gt;"",$T1793=$T1792),$U1792,IF(B1793="x",U1792,"")))</f>
        <v/>
      </c>
      <c r="V1793" t="str">
        <f>IF(C1793=1,MAX($V$2:$V1792)+1,IF(AND($T1793&lt;&gt;"",$T1793=$T1792),$U1792,IF(C1793="x",V1792,"")))</f>
        <v/>
      </c>
      <c r="X1793" cm="1">
        <f t="array" ref="X1793">IF($I1793&lt;&gt;"",$I1793,INDEX($I$1:$I1793,ROW()-COUNTIFS($T$1:$T1793,"="&amp;$T1793,$S$1:$S1793,"&lt;"&amp;$S1793)))</f>
        <v>0</v>
      </c>
      <c r="Z1793" s="6">
        <f t="shared" si="262"/>
        <v>1</v>
      </c>
      <c r="AA1793" t="e">
        <f t="shared" si="263"/>
        <v>#VALUE!</v>
      </c>
      <c r="AB1793" t="str">
        <f t="shared" si="264"/>
        <v/>
      </c>
      <c r="AC1793" t="e">
        <f t="shared" si="265"/>
        <v>#VALUE!</v>
      </c>
    </row>
    <row r="1794" spans="1:29" x14ac:dyDescent="0.2">
      <c r="A1794" t="str">
        <f t="shared" si="266"/>
        <v/>
      </c>
      <c r="E1794" s="4"/>
      <c r="F1794" s="46"/>
      <c r="G1794" s="4"/>
      <c r="H1794" s="48"/>
      <c r="J1794" s="26" t="str">
        <f t="shared" si="267"/>
        <v/>
      </c>
      <c r="N1794" t="str">
        <f t="shared" si="268"/>
        <v/>
      </c>
      <c r="Q1794" t="str">
        <f t="shared" si="269"/>
        <v/>
      </c>
      <c r="S1794" t="str">
        <f>IF(A1794=1,MAX($S$2:$S1793)+1,IF(OR($I1794&lt;&gt;"",A1794="x"),$S1793,""))</f>
        <v/>
      </c>
      <c r="T1794" t="str">
        <f>IF(D1794=1,MAX($T$2:$T1793)+1,IF(S1794=S1793,$T1793,IF(D1794="x",T1793,IF(D1793="x","",""))))</f>
        <v/>
      </c>
      <c r="U1794" t="str">
        <f>IF(B1794=1,MAX($U$2:$U1793)+1,IF(AND($T1794&lt;&gt;"",$T1794=$T1793),$U1793,IF(B1794="x",U1793,"")))</f>
        <v/>
      </c>
      <c r="V1794" t="str">
        <f>IF(C1794=1,MAX($V$2:$V1793)+1,IF(AND($T1794&lt;&gt;"",$T1794=$T1793),$U1793,IF(C1794="x",V1793,"")))</f>
        <v/>
      </c>
      <c r="X1794" cm="1">
        <f t="array" ref="X1794">IF($I1794&lt;&gt;"",$I1794,INDEX($I$1:$I1794,ROW()-COUNTIFS($T$1:$T1794,"="&amp;$T1794,$S$1:$S1794,"&lt;"&amp;$S1794)))</f>
        <v>0</v>
      </c>
      <c r="Z1794" s="6">
        <f t="shared" si="262"/>
        <v>1</v>
      </c>
      <c r="AA1794" t="e">
        <f t="shared" si="263"/>
        <v>#VALUE!</v>
      </c>
      <c r="AB1794" t="str">
        <f t="shared" si="264"/>
        <v/>
      </c>
      <c r="AC1794" t="e">
        <f t="shared" si="265"/>
        <v>#VALUE!</v>
      </c>
    </row>
    <row r="1795" spans="1:29" x14ac:dyDescent="0.2">
      <c r="A1795" t="str">
        <f t="shared" si="266"/>
        <v/>
      </c>
      <c r="E1795" s="4"/>
      <c r="F1795" s="46"/>
      <c r="G1795" s="4"/>
      <c r="H1795" s="48"/>
      <c r="J1795" s="26" t="str">
        <f t="shared" si="267"/>
        <v/>
      </c>
      <c r="N1795" t="str">
        <f t="shared" si="268"/>
        <v/>
      </c>
      <c r="Q1795" t="str">
        <f t="shared" si="269"/>
        <v/>
      </c>
      <c r="S1795" t="str">
        <f>IF(A1795=1,MAX($S$2:$S1794)+1,IF(OR($I1795&lt;&gt;"",A1795="x"),$S1794,""))</f>
        <v/>
      </c>
      <c r="T1795" t="str">
        <f>IF(D1795=1,MAX($T$2:$T1794)+1,IF(S1795=S1794,$T1794,IF(D1795="x",T1794,IF(D1794="x","",""))))</f>
        <v/>
      </c>
      <c r="U1795" t="str">
        <f>IF(B1795=1,MAX($U$2:$U1794)+1,IF(AND($T1795&lt;&gt;"",$T1795=$T1794),$U1794,IF(B1795="x",U1794,"")))</f>
        <v/>
      </c>
      <c r="V1795" t="str">
        <f>IF(C1795=1,MAX($V$2:$V1794)+1,IF(AND($T1795&lt;&gt;"",$T1795=$T1794),$U1794,IF(C1795="x",V1794,"")))</f>
        <v/>
      </c>
      <c r="X1795" cm="1">
        <f t="array" ref="X1795">IF($I1795&lt;&gt;"",$I1795,INDEX($I$1:$I1795,ROW()-COUNTIFS($T$1:$T1795,"="&amp;$T1795,$S$1:$S1795,"&lt;"&amp;$S1795)))</f>
        <v>0</v>
      </c>
      <c r="Z1795" s="6">
        <f t="shared" si="262"/>
        <v>1</v>
      </c>
      <c r="AA1795" t="e">
        <f t="shared" si="263"/>
        <v>#VALUE!</v>
      </c>
      <c r="AB1795" t="str">
        <f t="shared" si="264"/>
        <v/>
      </c>
      <c r="AC1795" t="e">
        <f t="shared" si="265"/>
        <v>#VALUE!</v>
      </c>
    </row>
    <row r="1796" spans="1:29" x14ac:dyDescent="0.2">
      <c r="A1796" t="str">
        <f t="shared" si="266"/>
        <v/>
      </c>
      <c r="E1796" s="4"/>
      <c r="F1796" s="46"/>
      <c r="G1796" s="4"/>
      <c r="H1796" s="48"/>
      <c r="J1796" s="26" t="str">
        <f t="shared" si="267"/>
        <v/>
      </c>
      <c r="N1796" t="str">
        <f t="shared" si="268"/>
        <v/>
      </c>
      <c r="Q1796" t="str">
        <f t="shared" si="269"/>
        <v/>
      </c>
      <c r="S1796" t="str">
        <f>IF(A1796=1,MAX($S$2:$S1795)+1,IF(OR($I1796&lt;&gt;"",A1796="x"),$S1795,""))</f>
        <v/>
      </c>
      <c r="T1796" t="str">
        <f>IF(D1796=1,MAX($T$2:$T1795)+1,IF(S1796=S1795,$T1795,IF(D1796="x",T1795,IF(D1795="x","",""))))</f>
        <v/>
      </c>
      <c r="U1796" t="str">
        <f>IF(B1796=1,MAX($U$2:$U1795)+1,IF(AND($T1796&lt;&gt;"",$T1796=$T1795),$U1795,IF(B1796="x",U1795,"")))</f>
        <v/>
      </c>
      <c r="V1796" t="str">
        <f>IF(C1796=1,MAX($V$2:$V1795)+1,IF(AND($T1796&lt;&gt;"",$T1796=$T1795),$U1795,IF(C1796="x",V1795,"")))</f>
        <v/>
      </c>
      <c r="X1796" cm="1">
        <f t="array" ref="X1796">IF($I1796&lt;&gt;"",$I1796,INDEX($I$1:$I1796,ROW()-COUNTIFS($T$1:$T1796,"="&amp;$T1796,$S$1:$S1796,"&lt;"&amp;$S1796)))</f>
        <v>0</v>
      </c>
      <c r="Z1796" s="6">
        <f t="shared" si="262"/>
        <v>1</v>
      </c>
      <c r="AA1796" t="e">
        <f t="shared" si="263"/>
        <v>#VALUE!</v>
      </c>
      <c r="AB1796" t="str">
        <f t="shared" si="264"/>
        <v/>
      </c>
      <c r="AC1796" t="e">
        <f t="shared" si="265"/>
        <v>#VALUE!</v>
      </c>
    </row>
    <row r="1797" spans="1:29" x14ac:dyDescent="0.2">
      <c r="A1797" t="str">
        <f t="shared" si="266"/>
        <v/>
      </c>
      <c r="E1797" s="4"/>
      <c r="F1797" s="46"/>
      <c r="G1797" s="4"/>
      <c r="H1797" s="48"/>
      <c r="J1797" s="26" t="str">
        <f t="shared" si="267"/>
        <v/>
      </c>
      <c r="N1797" t="str">
        <f t="shared" si="268"/>
        <v/>
      </c>
      <c r="Q1797" t="str">
        <f t="shared" si="269"/>
        <v/>
      </c>
      <c r="S1797" t="str">
        <f>IF(A1797=1,MAX($S$2:$S1796)+1,IF(OR($I1797&lt;&gt;"",A1797="x"),$S1796,""))</f>
        <v/>
      </c>
      <c r="T1797" t="str">
        <f>IF(D1797=1,MAX($T$2:$T1796)+1,IF(S1797=S1796,$T1796,IF(D1797="x",T1796,IF(D1796="x","",""))))</f>
        <v/>
      </c>
      <c r="U1797" t="str">
        <f>IF(B1797=1,MAX($U$2:$U1796)+1,IF(AND($T1797&lt;&gt;"",$T1797=$T1796),$U1796,IF(B1797="x",U1796,"")))</f>
        <v/>
      </c>
      <c r="V1797" t="str">
        <f>IF(C1797=1,MAX($V$2:$V1796)+1,IF(AND($T1797&lt;&gt;"",$T1797=$T1796),$U1796,IF(C1797="x",V1796,"")))</f>
        <v/>
      </c>
      <c r="X1797" cm="1">
        <f t="array" ref="X1797">IF($I1797&lt;&gt;"",$I1797,INDEX($I$1:$I1797,ROW()-COUNTIFS($T$1:$T1797,"="&amp;$T1797,$S$1:$S1797,"&lt;"&amp;$S1797)))</f>
        <v>0</v>
      </c>
      <c r="Z1797" s="6">
        <f t="shared" ref="Z1797:Z1860" si="270">IF(K1797="Intermission",Z1796+1,Z1796)</f>
        <v>1</v>
      </c>
      <c r="AA1797" t="e">
        <f t="shared" ref="AA1797:AA1860" si="271">S1797+1000</f>
        <v>#VALUE!</v>
      </c>
      <c r="AB1797" t="str">
        <f t="shared" ref="AB1797:AB1860" si="272">IF(T1797&lt;&gt;"",9000+T1797,"")</f>
        <v/>
      </c>
      <c r="AC1797" t="e">
        <f t="shared" ref="AC1797:AC1860" si="273">IF(AB1797&lt;&gt;"",AB1797,S1797+1000)</f>
        <v>#VALUE!</v>
      </c>
    </row>
    <row r="1798" spans="1:29" x14ac:dyDescent="0.2">
      <c r="A1798" t="str">
        <f t="shared" si="266"/>
        <v/>
      </c>
      <c r="E1798" s="4"/>
      <c r="F1798" s="46"/>
      <c r="G1798" s="4"/>
      <c r="H1798" s="48"/>
      <c r="J1798" s="26" t="str">
        <f t="shared" si="267"/>
        <v/>
      </c>
      <c r="N1798" t="str">
        <f t="shared" si="268"/>
        <v/>
      </c>
      <c r="Q1798" t="str">
        <f t="shared" si="269"/>
        <v/>
      </c>
      <c r="S1798" t="str">
        <f>IF(A1798=1,MAX($S$2:$S1797)+1,IF(OR($I1798&lt;&gt;"",A1798="x"),$S1797,""))</f>
        <v/>
      </c>
      <c r="T1798" t="str">
        <f>IF(D1798=1,MAX($T$2:$T1797)+1,IF(S1798=S1797,$T1797,IF(D1798="x",T1797,IF(D1797="x","",""))))</f>
        <v/>
      </c>
      <c r="U1798" t="str">
        <f>IF(B1798=1,MAX($U$2:$U1797)+1,IF(AND($T1798&lt;&gt;"",$T1798=$T1797),$U1797,IF(B1798="x",U1797,"")))</f>
        <v/>
      </c>
      <c r="V1798" t="str">
        <f>IF(C1798=1,MAX($V$2:$V1797)+1,IF(AND($T1798&lt;&gt;"",$T1798=$T1797),$U1797,IF(C1798="x",V1797,"")))</f>
        <v/>
      </c>
      <c r="X1798" cm="1">
        <f t="array" ref="X1798">IF($I1798&lt;&gt;"",$I1798,INDEX($I$1:$I1798,ROW()-COUNTIFS($T$1:$T1798,"="&amp;$T1798,$S$1:$S1798,"&lt;"&amp;$S1798)))</f>
        <v>0</v>
      </c>
      <c r="Z1798" s="6">
        <f t="shared" si="270"/>
        <v>1</v>
      </c>
      <c r="AA1798" t="e">
        <f t="shared" si="271"/>
        <v>#VALUE!</v>
      </c>
      <c r="AB1798" t="str">
        <f t="shared" si="272"/>
        <v/>
      </c>
      <c r="AC1798" t="e">
        <f t="shared" si="273"/>
        <v>#VALUE!</v>
      </c>
    </row>
    <row r="1799" spans="1:29" x14ac:dyDescent="0.2">
      <c r="A1799" t="str">
        <f t="shared" si="266"/>
        <v/>
      </c>
      <c r="E1799" s="4"/>
      <c r="F1799" s="46"/>
      <c r="G1799" s="4"/>
      <c r="H1799" s="48"/>
      <c r="J1799" s="26" t="str">
        <f t="shared" si="267"/>
        <v/>
      </c>
      <c r="N1799" t="str">
        <f t="shared" si="268"/>
        <v/>
      </c>
      <c r="Q1799" t="str">
        <f t="shared" si="269"/>
        <v/>
      </c>
      <c r="S1799" t="str">
        <f>IF(A1799=1,MAX($S$2:$S1798)+1,IF(OR($I1799&lt;&gt;"",A1799="x"),$S1798,""))</f>
        <v/>
      </c>
      <c r="T1799" t="str">
        <f>IF(D1799=1,MAX($T$2:$T1798)+1,IF(S1799=S1798,$T1798,IF(D1799="x",T1798,IF(D1798="x","",""))))</f>
        <v/>
      </c>
      <c r="U1799" t="str">
        <f>IF(B1799=1,MAX($U$2:$U1798)+1,IF(AND($T1799&lt;&gt;"",$T1799=$T1798),$U1798,IF(B1799="x",U1798,"")))</f>
        <v/>
      </c>
      <c r="V1799" t="str">
        <f>IF(C1799=1,MAX($V$2:$V1798)+1,IF(AND($T1799&lt;&gt;"",$T1799=$T1798),$U1798,IF(C1799="x",V1798,"")))</f>
        <v/>
      </c>
      <c r="X1799" cm="1">
        <f t="array" ref="X1799">IF($I1799&lt;&gt;"",$I1799,INDEX($I$1:$I1799,ROW()-COUNTIFS($T$1:$T1799,"="&amp;$T1799,$S$1:$S1799,"&lt;"&amp;$S1799)))</f>
        <v>0</v>
      </c>
      <c r="Z1799" s="6">
        <f t="shared" si="270"/>
        <v>1</v>
      </c>
      <c r="AA1799" t="e">
        <f t="shared" si="271"/>
        <v>#VALUE!</v>
      </c>
      <c r="AB1799" t="str">
        <f t="shared" si="272"/>
        <v/>
      </c>
      <c r="AC1799" t="e">
        <f t="shared" si="273"/>
        <v>#VALUE!</v>
      </c>
    </row>
    <row r="1800" spans="1:29" x14ac:dyDescent="0.2">
      <c r="A1800" t="str">
        <f t="shared" si="266"/>
        <v/>
      </c>
      <c r="E1800" s="4"/>
      <c r="F1800" s="46"/>
      <c r="G1800" s="4"/>
      <c r="H1800" s="48"/>
      <c r="J1800" s="26" t="str">
        <f t="shared" si="267"/>
        <v/>
      </c>
      <c r="N1800" t="str">
        <f t="shared" si="268"/>
        <v/>
      </c>
      <c r="Q1800" t="str">
        <f t="shared" si="269"/>
        <v/>
      </c>
      <c r="S1800" t="str">
        <f>IF(A1800=1,MAX($S$2:$S1799)+1,IF(OR($I1800&lt;&gt;"",A1800="x"),$S1799,""))</f>
        <v/>
      </c>
      <c r="T1800" t="str">
        <f>IF(D1800=1,MAX($T$2:$T1799)+1,IF(S1800=S1799,$T1799,IF(D1800="x",T1799,IF(D1799="x","",""))))</f>
        <v/>
      </c>
      <c r="U1800" t="str">
        <f>IF(B1800=1,MAX($U$2:$U1799)+1,IF(AND($T1800&lt;&gt;"",$T1800=$T1799),$U1799,IF(B1800="x",U1799,"")))</f>
        <v/>
      </c>
      <c r="V1800" t="str">
        <f>IF(C1800=1,MAX($V$2:$V1799)+1,IF(AND($T1800&lt;&gt;"",$T1800=$T1799),$U1799,IF(C1800="x",V1799,"")))</f>
        <v/>
      </c>
      <c r="X1800" cm="1">
        <f t="array" ref="X1800">IF($I1800&lt;&gt;"",$I1800,INDEX($I$1:$I1800,ROW()-COUNTIFS($T$1:$T1800,"="&amp;$T1800,$S$1:$S1800,"&lt;"&amp;$S1800)))</f>
        <v>0</v>
      </c>
      <c r="Z1800" s="6">
        <f t="shared" si="270"/>
        <v>1</v>
      </c>
      <c r="AA1800" t="e">
        <f t="shared" si="271"/>
        <v>#VALUE!</v>
      </c>
      <c r="AB1800" t="str">
        <f t="shared" si="272"/>
        <v/>
      </c>
      <c r="AC1800" t="e">
        <f t="shared" si="273"/>
        <v>#VALUE!</v>
      </c>
    </row>
    <row r="1801" spans="1:29" x14ac:dyDescent="0.2">
      <c r="A1801" t="str">
        <f t="shared" si="266"/>
        <v/>
      </c>
      <c r="E1801" s="4"/>
      <c r="F1801" s="46"/>
      <c r="G1801" s="4"/>
      <c r="H1801" s="48"/>
      <c r="J1801" s="26" t="str">
        <f t="shared" si="267"/>
        <v/>
      </c>
      <c r="N1801" t="str">
        <f t="shared" si="268"/>
        <v/>
      </c>
      <c r="Q1801" t="str">
        <f t="shared" si="269"/>
        <v/>
      </c>
      <c r="S1801" t="str">
        <f>IF(A1801=1,MAX($S$2:$S1800)+1,IF(OR($I1801&lt;&gt;"",A1801="x"),$S1800,""))</f>
        <v/>
      </c>
      <c r="T1801" t="str">
        <f>IF(D1801=1,MAX($T$2:$T1800)+1,IF(S1801=S1800,$T1800,IF(D1801="x",T1800,IF(D1800="x","",""))))</f>
        <v/>
      </c>
      <c r="U1801" t="str">
        <f>IF(B1801=1,MAX($U$2:$U1800)+1,IF(AND($T1801&lt;&gt;"",$T1801=$T1800),$U1800,IF(B1801="x",U1800,"")))</f>
        <v/>
      </c>
      <c r="V1801" t="str">
        <f>IF(C1801=1,MAX($V$2:$V1800)+1,IF(AND($T1801&lt;&gt;"",$T1801=$T1800),$U1800,IF(C1801="x",V1800,"")))</f>
        <v/>
      </c>
      <c r="X1801" cm="1">
        <f t="array" ref="X1801">IF($I1801&lt;&gt;"",$I1801,INDEX($I$1:$I1801,ROW()-COUNTIFS($T$1:$T1801,"="&amp;$T1801,$S$1:$S1801,"&lt;"&amp;$S1801)))</f>
        <v>0</v>
      </c>
      <c r="Z1801" s="6">
        <f t="shared" si="270"/>
        <v>1</v>
      </c>
      <c r="AA1801" t="e">
        <f t="shared" si="271"/>
        <v>#VALUE!</v>
      </c>
      <c r="AB1801" t="str">
        <f t="shared" si="272"/>
        <v/>
      </c>
      <c r="AC1801" t="e">
        <f t="shared" si="273"/>
        <v>#VALUE!</v>
      </c>
    </row>
    <row r="1802" spans="1:29" x14ac:dyDescent="0.2">
      <c r="A1802" t="str">
        <f t="shared" si="266"/>
        <v/>
      </c>
      <c r="E1802" s="4"/>
      <c r="F1802" s="46"/>
      <c r="G1802" s="4"/>
      <c r="H1802" s="48"/>
      <c r="J1802" s="26" t="str">
        <f t="shared" si="267"/>
        <v/>
      </c>
      <c r="N1802" t="str">
        <f t="shared" si="268"/>
        <v/>
      </c>
      <c r="Q1802" t="str">
        <f t="shared" si="269"/>
        <v/>
      </c>
      <c r="S1802" t="str">
        <f>IF(A1802=1,MAX($S$2:$S1801)+1,IF(OR($I1802&lt;&gt;"",A1802="x"),$S1801,""))</f>
        <v/>
      </c>
      <c r="T1802" t="str">
        <f>IF(D1802=1,MAX($T$2:$T1801)+1,IF(S1802=S1801,$T1801,IF(D1802="x",T1801,IF(D1801="x","",""))))</f>
        <v/>
      </c>
      <c r="U1802" t="str">
        <f>IF(B1802=1,MAX($U$2:$U1801)+1,IF(AND($T1802&lt;&gt;"",$T1802=$T1801),$U1801,IF(B1802="x",U1801,"")))</f>
        <v/>
      </c>
      <c r="V1802" t="str">
        <f>IF(C1802=1,MAX($V$2:$V1801)+1,IF(AND($T1802&lt;&gt;"",$T1802=$T1801),$U1801,IF(C1802="x",V1801,"")))</f>
        <v/>
      </c>
      <c r="X1802" cm="1">
        <f t="array" ref="X1802">IF($I1802&lt;&gt;"",$I1802,INDEX($I$1:$I1802,ROW()-COUNTIFS($T$1:$T1802,"="&amp;$T1802,$S$1:$S1802,"&lt;"&amp;$S1802)))</f>
        <v>0</v>
      </c>
      <c r="Z1802" s="6">
        <f t="shared" si="270"/>
        <v>1</v>
      </c>
      <c r="AA1802" t="e">
        <f t="shared" si="271"/>
        <v>#VALUE!</v>
      </c>
      <c r="AB1802" t="str">
        <f t="shared" si="272"/>
        <v/>
      </c>
      <c r="AC1802" t="e">
        <f t="shared" si="273"/>
        <v>#VALUE!</v>
      </c>
    </row>
    <row r="1803" spans="1:29" x14ac:dyDescent="0.2">
      <c r="A1803" t="str">
        <f t="shared" si="266"/>
        <v/>
      </c>
      <c r="E1803" s="4"/>
      <c r="F1803" s="46"/>
      <c r="G1803" s="4"/>
      <c r="H1803" s="48"/>
      <c r="J1803" s="26" t="str">
        <f t="shared" si="267"/>
        <v/>
      </c>
      <c r="N1803" t="str">
        <f t="shared" si="268"/>
        <v/>
      </c>
      <c r="Q1803" t="str">
        <f t="shared" si="269"/>
        <v/>
      </c>
      <c r="S1803" t="str">
        <f>IF(A1803=1,MAX($S$2:$S1802)+1,IF(OR($I1803&lt;&gt;"",A1803="x"),$S1802,""))</f>
        <v/>
      </c>
      <c r="T1803" t="str">
        <f>IF(D1803=1,MAX($T$2:$T1802)+1,IF(S1803=S1802,$T1802,IF(D1803="x",T1802,IF(D1802="x","",""))))</f>
        <v/>
      </c>
      <c r="U1803" t="str">
        <f>IF(B1803=1,MAX($U$2:$U1802)+1,IF(AND($T1803&lt;&gt;"",$T1803=$T1802),$U1802,IF(B1803="x",U1802,"")))</f>
        <v/>
      </c>
      <c r="V1803" t="str">
        <f>IF(C1803=1,MAX($V$2:$V1802)+1,IF(AND($T1803&lt;&gt;"",$T1803=$T1802),$U1802,IF(C1803="x",V1802,"")))</f>
        <v/>
      </c>
      <c r="X1803" cm="1">
        <f t="array" ref="X1803">IF($I1803&lt;&gt;"",$I1803,INDEX($I$1:$I1803,ROW()-COUNTIFS($T$1:$T1803,"="&amp;$T1803,$S$1:$S1803,"&lt;"&amp;$S1803)))</f>
        <v>0</v>
      </c>
      <c r="Z1803" s="6">
        <f t="shared" si="270"/>
        <v>1</v>
      </c>
      <c r="AA1803" t="e">
        <f t="shared" si="271"/>
        <v>#VALUE!</v>
      </c>
      <c r="AB1803" t="str">
        <f t="shared" si="272"/>
        <v/>
      </c>
      <c r="AC1803" t="e">
        <f t="shared" si="273"/>
        <v>#VALUE!</v>
      </c>
    </row>
    <row r="1804" spans="1:29" x14ac:dyDescent="0.2">
      <c r="A1804" t="str">
        <f t="shared" si="266"/>
        <v/>
      </c>
      <c r="E1804" s="4"/>
      <c r="F1804" s="46"/>
      <c r="G1804" s="4"/>
      <c r="H1804" s="48"/>
      <c r="J1804" s="26" t="str">
        <f t="shared" si="267"/>
        <v/>
      </c>
      <c r="N1804" t="str">
        <f t="shared" si="268"/>
        <v/>
      </c>
      <c r="Q1804" t="str">
        <f t="shared" si="269"/>
        <v/>
      </c>
      <c r="S1804" t="str">
        <f>IF(A1804=1,MAX($S$2:$S1803)+1,IF(OR($I1804&lt;&gt;"",A1804="x"),$S1803,""))</f>
        <v/>
      </c>
      <c r="T1804" t="str">
        <f>IF(D1804=1,MAX($T$2:$T1803)+1,IF(S1804=S1803,$T1803,IF(D1804="x",T1803,IF(D1803="x","",""))))</f>
        <v/>
      </c>
      <c r="U1804" t="str">
        <f>IF(B1804=1,MAX($U$2:$U1803)+1,IF(AND($T1804&lt;&gt;"",$T1804=$T1803),$U1803,IF(B1804="x",U1803,"")))</f>
        <v/>
      </c>
      <c r="V1804" t="str">
        <f>IF(C1804=1,MAX($V$2:$V1803)+1,IF(AND($T1804&lt;&gt;"",$T1804=$T1803),$U1803,IF(C1804="x",V1803,"")))</f>
        <v/>
      </c>
      <c r="X1804" cm="1">
        <f t="array" ref="X1804">IF($I1804&lt;&gt;"",$I1804,INDEX($I$1:$I1804,ROW()-COUNTIFS($T$1:$T1804,"="&amp;$T1804,$S$1:$S1804,"&lt;"&amp;$S1804)))</f>
        <v>0</v>
      </c>
      <c r="Z1804" s="6">
        <f t="shared" si="270"/>
        <v>1</v>
      </c>
      <c r="AA1804" t="e">
        <f t="shared" si="271"/>
        <v>#VALUE!</v>
      </c>
      <c r="AB1804" t="str">
        <f t="shared" si="272"/>
        <v/>
      </c>
      <c r="AC1804" t="e">
        <f t="shared" si="273"/>
        <v>#VALUE!</v>
      </c>
    </row>
    <row r="1805" spans="1:29" x14ac:dyDescent="0.2">
      <c r="A1805" t="str">
        <f t="shared" si="266"/>
        <v/>
      </c>
      <c r="E1805" s="4"/>
      <c r="F1805" s="46"/>
      <c r="G1805" s="4"/>
      <c r="H1805" s="48"/>
      <c r="J1805" s="26" t="str">
        <f t="shared" si="267"/>
        <v/>
      </c>
      <c r="N1805" t="str">
        <f t="shared" si="268"/>
        <v/>
      </c>
      <c r="Q1805" t="str">
        <f t="shared" si="269"/>
        <v/>
      </c>
      <c r="S1805" t="str">
        <f>IF(A1805=1,MAX($S$2:$S1804)+1,IF(OR($I1805&lt;&gt;"",A1805="x"),$S1804,""))</f>
        <v/>
      </c>
      <c r="T1805" t="str">
        <f>IF(D1805=1,MAX($T$2:$T1804)+1,IF(S1805=S1804,$T1804,IF(D1805="x",T1804,IF(D1804="x","",""))))</f>
        <v/>
      </c>
      <c r="U1805" t="str">
        <f>IF(B1805=1,MAX($U$2:$U1804)+1,IF(AND($T1805&lt;&gt;"",$T1805=$T1804),$U1804,IF(B1805="x",U1804,"")))</f>
        <v/>
      </c>
      <c r="V1805" t="str">
        <f>IF(C1805=1,MAX($V$2:$V1804)+1,IF(AND($T1805&lt;&gt;"",$T1805=$T1804),$U1804,IF(C1805="x",V1804,"")))</f>
        <v/>
      </c>
      <c r="X1805" cm="1">
        <f t="array" ref="X1805">IF($I1805&lt;&gt;"",$I1805,INDEX($I$1:$I1805,ROW()-COUNTIFS($T$1:$T1805,"="&amp;$T1805,$S$1:$S1805,"&lt;"&amp;$S1805)))</f>
        <v>0</v>
      </c>
      <c r="Z1805" s="6">
        <f t="shared" si="270"/>
        <v>1</v>
      </c>
      <c r="AA1805" t="e">
        <f t="shared" si="271"/>
        <v>#VALUE!</v>
      </c>
      <c r="AB1805" t="str">
        <f t="shared" si="272"/>
        <v/>
      </c>
      <c r="AC1805" t="e">
        <f t="shared" si="273"/>
        <v>#VALUE!</v>
      </c>
    </row>
    <row r="1806" spans="1:29" x14ac:dyDescent="0.2">
      <c r="A1806" t="str">
        <f t="shared" si="266"/>
        <v/>
      </c>
      <c r="E1806" s="4"/>
      <c r="F1806" s="46"/>
      <c r="G1806" s="4"/>
      <c r="H1806" s="48"/>
      <c r="J1806" s="26" t="str">
        <f t="shared" si="267"/>
        <v/>
      </c>
      <c r="N1806" t="str">
        <f t="shared" si="268"/>
        <v/>
      </c>
      <c r="Q1806" t="str">
        <f t="shared" si="269"/>
        <v/>
      </c>
      <c r="S1806" t="str">
        <f>IF(A1806=1,MAX($S$2:$S1805)+1,IF(OR($I1806&lt;&gt;"",A1806="x"),$S1805,""))</f>
        <v/>
      </c>
      <c r="T1806" t="str">
        <f>IF(D1806=1,MAX($T$2:$T1805)+1,IF(S1806=S1805,$T1805,IF(D1806="x",T1805,IF(D1805="x","",""))))</f>
        <v/>
      </c>
      <c r="U1806" t="str">
        <f>IF(B1806=1,MAX($U$2:$U1805)+1,IF(AND($T1806&lt;&gt;"",$T1806=$T1805),$U1805,IF(B1806="x",U1805,"")))</f>
        <v/>
      </c>
      <c r="V1806" t="str">
        <f>IF(C1806=1,MAX($V$2:$V1805)+1,IF(AND($T1806&lt;&gt;"",$T1806=$T1805),$U1805,IF(C1806="x",V1805,"")))</f>
        <v/>
      </c>
      <c r="X1806" cm="1">
        <f t="array" ref="X1806">IF($I1806&lt;&gt;"",$I1806,INDEX($I$1:$I1806,ROW()-COUNTIFS($T$1:$T1806,"="&amp;$T1806,$S$1:$S1806,"&lt;"&amp;$S1806)))</f>
        <v>0</v>
      </c>
      <c r="Z1806" s="6">
        <f t="shared" si="270"/>
        <v>1</v>
      </c>
      <c r="AA1806" t="e">
        <f t="shared" si="271"/>
        <v>#VALUE!</v>
      </c>
      <c r="AB1806" t="str">
        <f t="shared" si="272"/>
        <v/>
      </c>
      <c r="AC1806" t="e">
        <f t="shared" si="273"/>
        <v>#VALUE!</v>
      </c>
    </row>
    <row r="1807" spans="1:29" x14ac:dyDescent="0.2">
      <c r="A1807" t="str">
        <f t="shared" si="266"/>
        <v/>
      </c>
      <c r="E1807" s="4"/>
      <c r="F1807" s="46"/>
      <c r="G1807" s="4"/>
      <c r="H1807" s="48"/>
      <c r="J1807" s="26" t="str">
        <f t="shared" si="267"/>
        <v/>
      </c>
      <c r="N1807" t="str">
        <f t="shared" si="268"/>
        <v/>
      </c>
      <c r="Q1807" t="str">
        <f t="shared" si="269"/>
        <v/>
      </c>
      <c r="S1807" t="str">
        <f>IF(A1807=1,MAX($S$2:$S1806)+1,IF(OR($I1807&lt;&gt;"",A1807="x"),$S1806,""))</f>
        <v/>
      </c>
      <c r="T1807" t="str">
        <f>IF(D1807=1,MAX($T$2:$T1806)+1,IF(S1807=S1806,$T1806,IF(D1807="x",T1806,IF(D1806="x","",""))))</f>
        <v/>
      </c>
      <c r="U1807" t="str">
        <f>IF(B1807=1,MAX($U$2:$U1806)+1,IF(AND($T1807&lt;&gt;"",$T1807=$T1806),$U1806,IF(B1807="x",U1806,"")))</f>
        <v/>
      </c>
      <c r="V1807" t="str">
        <f>IF(C1807=1,MAX($V$2:$V1806)+1,IF(AND($T1807&lt;&gt;"",$T1807=$T1806),$U1806,IF(C1807="x",V1806,"")))</f>
        <v/>
      </c>
      <c r="X1807" cm="1">
        <f t="array" ref="X1807">IF($I1807&lt;&gt;"",$I1807,INDEX($I$1:$I1807,ROW()-COUNTIFS($T$1:$T1807,"="&amp;$T1807,$S$1:$S1807,"&lt;"&amp;$S1807)))</f>
        <v>0</v>
      </c>
      <c r="Z1807" s="6">
        <f t="shared" si="270"/>
        <v>1</v>
      </c>
      <c r="AA1807" t="e">
        <f t="shared" si="271"/>
        <v>#VALUE!</v>
      </c>
      <c r="AB1807" t="str">
        <f t="shared" si="272"/>
        <v/>
      </c>
      <c r="AC1807" t="e">
        <f t="shared" si="273"/>
        <v>#VALUE!</v>
      </c>
    </row>
    <row r="1808" spans="1:29" x14ac:dyDescent="0.2">
      <c r="A1808" t="str">
        <f t="shared" si="266"/>
        <v/>
      </c>
      <c r="E1808" s="4"/>
      <c r="F1808" s="46"/>
      <c r="G1808" s="4"/>
      <c r="H1808" s="48"/>
      <c r="J1808" s="26" t="str">
        <f t="shared" si="267"/>
        <v/>
      </c>
      <c r="N1808" t="str">
        <f t="shared" si="268"/>
        <v/>
      </c>
      <c r="Q1808" t="str">
        <f t="shared" si="269"/>
        <v/>
      </c>
      <c r="S1808" t="str">
        <f>IF(A1808=1,MAX($S$2:$S1807)+1,IF(OR($I1808&lt;&gt;"",A1808="x"),$S1807,""))</f>
        <v/>
      </c>
      <c r="T1808" t="str">
        <f>IF(D1808=1,MAX($T$2:$T1807)+1,IF(S1808=S1807,$T1807,IF(D1808="x",T1807,IF(D1807="x","",""))))</f>
        <v/>
      </c>
      <c r="U1808" t="str">
        <f>IF(B1808=1,MAX($U$2:$U1807)+1,IF(AND($T1808&lt;&gt;"",$T1808=$T1807),$U1807,IF(B1808="x",U1807,"")))</f>
        <v/>
      </c>
      <c r="V1808" t="str">
        <f>IF(C1808=1,MAX($V$2:$V1807)+1,IF(AND($T1808&lt;&gt;"",$T1808=$T1807),$U1807,IF(C1808="x",V1807,"")))</f>
        <v/>
      </c>
      <c r="X1808" cm="1">
        <f t="array" ref="X1808">IF($I1808&lt;&gt;"",$I1808,INDEX($I$1:$I1808,ROW()-COUNTIFS($T$1:$T1808,"="&amp;$T1808,$S$1:$S1808,"&lt;"&amp;$S1808)))</f>
        <v>0</v>
      </c>
      <c r="Z1808" s="6">
        <f t="shared" si="270"/>
        <v>1</v>
      </c>
      <c r="AA1808" t="e">
        <f t="shared" si="271"/>
        <v>#VALUE!</v>
      </c>
      <c r="AB1808" t="str">
        <f t="shared" si="272"/>
        <v/>
      </c>
      <c r="AC1808" t="e">
        <f t="shared" si="273"/>
        <v>#VALUE!</v>
      </c>
    </row>
    <row r="1809" spans="1:29" x14ac:dyDescent="0.2">
      <c r="A1809" t="str">
        <f t="shared" si="266"/>
        <v/>
      </c>
      <c r="E1809" s="4"/>
      <c r="F1809" s="46"/>
      <c r="G1809" s="4"/>
      <c r="H1809" s="48"/>
      <c r="J1809" s="26" t="str">
        <f t="shared" si="267"/>
        <v/>
      </c>
      <c r="N1809" t="str">
        <f t="shared" si="268"/>
        <v/>
      </c>
      <c r="Q1809" t="str">
        <f t="shared" si="269"/>
        <v/>
      </c>
      <c r="S1809" t="str">
        <f>IF(A1809=1,MAX($S$2:$S1808)+1,IF(OR($I1809&lt;&gt;"",A1809="x"),$S1808,""))</f>
        <v/>
      </c>
      <c r="T1809" t="str">
        <f>IF(D1809=1,MAX($T$2:$T1808)+1,IF(S1809=S1808,$T1808,IF(D1809="x",T1808,IF(D1808="x","",""))))</f>
        <v/>
      </c>
      <c r="U1809" t="str">
        <f>IF(B1809=1,MAX($U$2:$U1808)+1,IF(AND($T1809&lt;&gt;"",$T1809=$T1808),$U1808,IF(B1809="x",U1808,"")))</f>
        <v/>
      </c>
      <c r="V1809" t="str">
        <f>IF(C1809=1,MAX($V$2:$V1808)+1,IF(AND($T1809&lt;&gt;"",$T1809=$T1808),$U1808,IF(C1809="x",V1808,"")))</f>
        <v/>
      </c>
      <c r="X1809" cm="1">
        <f t="array" ref="X1809">IF($I1809&lt;&gt;"",$I1809,INDEX($I$1:$I1809,ROW()-COUNTIFS($T$1:$T1809,"="&amp;$T1809,$S$1:$S1809,"&lt;"&amp;$S1809)))</f>
        <v>0</v>
      </c>
      <c r="Z1809" s="6">
        <f t="shared" si="270"/>
        <v>1</v>
      </c>
      <c r="AA1809" t="e">
        <f t="shared" si="271"/>
        <v>#VALUE!</v>
      </c>
      <c r="AB1809" t="str">
        <f t="shared" si="272"/>
        <v/>
      </c>
      <c r="AC1809" t="e">
        <f t="shared" si="273"/>
        <v>#VALUE!</v>
      </c>
    </row>
    <row r="1810" spans="1:29" x14ac:dyDescent="0.2">
      <c r="A1810" t="str">
        <f t="shared" si="266"/>
        <v/>
      </c>
      <c r="E1810" s="4"/>
      <c r="F1810" s="46"/>
      <c r="G1810" s="4"/>
      <c r="H1810" s="48"/>
      <c r="J1810" s="26" t="str">
        <f t="shared" si="267"/>
        <v/>
      </c>
      <c r="N1810" t="str">
        <f t="shared" si="268"/>
        <v/>
      </c>
      <c r="Q1810" t="str">
        <f t="shared" si="269"/>
        <v/>
      </c>
      <c r="S1810" t="str">
        <f>IF(A1810=1,MAX($S$2:$S1809)+1,IF(OR($I1810&lt;&gt;"",A1810="x"),$S1809,""))</f>
        <v/>
      </c>
      <c r="T1810" t="str">
        <f>IF(D1810=1,MAX($T$2:$T1809)+1,IF(S1810=S1809,$T1809,IF(D1810="x",T1809,IF(D1809="x","",""))))</f>
        <v/>
      </c>
      <c r="U1810" t="str">
        <f>IF(B1810=1,MAX($U$2:$U1809)+1,IF(AND($T1810&lt;&gt;"",$T1810=$T1809),$U1809,IF(B1810="x",U1809,"")))</f>
        <v/>
      </c>
      <c r="V1810" t="str">
        <f>IF(C1810=1,MAX($V$2:$V1809)+1,IF(AND($T1810&lt;&gt;"",$T1810=$T1809),$U1809,IF(C1810="x",V1809,"")))</f>
        <v/>
      </c>
      <c r="X1810" cm="1">
        <f t="array" ref="X1810">IF($I1810&lt;&gt;"",$I1810,INDEX($I$1:$I1810,ROW()-COUNTIFS($T$1:$T1810,"="&amp;$T1810,$S$1:$S1810,"&lt;"&amp;$S1810)))</f>
        <v>0</v>
      </c>
      <c r="Z1810" s="6">
        <f t="shared" si="270"/>
        <v>1</v>
      </c>
      <c r="AA1810" t="e">
        <f t="shared" si="271"/>
        <v>#VALUE!</v>
      </c>
      <c r="AB1810" t="str">
        <f t="shared" si="272"/>
        <v/>
      </c>
      <c r="AC1810" t="e">
        <f t="shared" si="273"/>
        <v>#VALUE!</v>
      </c>
    </row>
    <row r="1811" spans="1:29" x14ac:dyDescent="0.2">
      <c r="A1811" t="str">
        <f t="shared" ref="A1811:A1874" si="274">IF(K1811&lt;&gt;"",1,IF(D1811="x","x",""))</f>
        <v/>
      </c>
      <c r="E1811" s="4"/>
      <c r="F1811" s="46"/>
      <c r="G1811" s="4"/>
      <c r="H1811" s="48"/>
      <c r="J1811" s="26" t="str">
        <f t="shared" ref="J1811:J1874" si="275">IF(OR(K1811="Goal",K1811="Shot",L1811="Zone_Entry",M1811="Stoppage-Goal",M1810="Stoppage-Goal"),"o",IF(OR(K1811="Save",K1811="Rebound",L1811="Zone_Exit",M1811="Stoppage-GoalieStoppage",M1810="Stoppage-GoalieStoppage"),"d",IF(OR(L1811="Faceoff_AfterGoal",L1811="Faceoff_PeriodStart",698="Faceoff_GameStart",M1810="Stoppage-Goal"),"n","")))</f>
        <v/>
      </c>
      <c r="N1811" t="str">
        <f t="shared" ref="N1811:N1874" si="276">IF(K1811="","",IF(K1811="Goal","s",IF(AND(K1811="Zone_Entry_Exit",OR(ISNUMBER(SEARCH("fail",L1811)),ISNUMBER(SEARCH("FromExitClear",M1811)),ISNUMBER(SEARCH("miss",M1811)))),"u",IF(AND(K1811="Zone_Entry_Exit",OR(NOT(ISNUMBER(SEARCH("fail",L1811))),NOT(ISNUMBER(SEARCH("FromExitClear",M1811))),NOT(ISNUMBER(SEARCH("miss",M1811))))),"s",IF(AND(OR(K1811="Shot",K1811="Pass"),OR(ISNUMBER(SEARCH("complete",L1811)),ISNUMBER(SEARCH("goal",L1811)),ISNUMBER(SEARCH("OnNet",L1811)))),"s",IF(L1811="Turnover_Giveaway","u",IF(AND(OR(K1811="Shot",K1811="Pass"),OR(ISNUMBER(SEARCH("fail",L1811)),NOT(ISNUMBER(SEARCH("complete",L1811))),NOT(ISNUMBER(SEARCH("OnNet",L1811))))),"u","")))))))</f>
        <v/>
      </c>
      <c r="Q1811" t="str">
        <f t="shared" ref="Q1811:Q1874" si="277">IF(O1811="","",IF(AND(N1811&lt;&gt;"",OR(O1811&lt;&gt;"",P1811&lt;&gt;"")),N1811,IF(OR(ISNUMBER(SEARCH("attemp",O1811)),ISNUMBER(SEARCH("beat",O1811)),ISNUMBER(SEARCH("mis",O1811)),ISNUMBER(SEARCH("fail",O1811)),ISNUMBER(SEARCH("loss",O1811)),ISNUMBER(SEARCH("lost",O1811)),ISNUMBER(SEARCH("attemp",P1811)),ISNUMBER(SEARCH("mis",P1811)),ISNUMBER(SEARCH("fail",P1811)),ISNUMBER(SEARCH("loss",P1811)),ISNUMBER(SEARCH("beat",P1811)),ISNUMBER(SEARCH("lost",P1811))),"u","")))</f>
        <v/>
      </c>
      <c r="S1811" t="str">
        <f>IF(A1811=1,MAX($S$2:$S1810)+1,IF(OR($I1811&lt;&gt;"",A1811="x"),$S1810,""))</f>
        <v/>
      </c>
      <c r="T1811" t="str">
        <f>IF(D1811=1,MAX($T$2:$T1810)+1,IF(S1811=S1810,$T1810,IF(D1811="x",T1810,IF(D1810="x","",""))))</f>
        <v/>
      </c>
      <c r="U1811" t="str">
        <f>IF(B1811=1,MAX($U$2:$U1810)+1,IF(AND($T1811&lt;&gt;"",$T1811=$T1810),$U1810,IF(B1811="x",U1810,"")))</f>
        <v/>
      </c>
      <c r="V1811" t="str">
        <f>IF(C1811=1,MAX($V$2:$V1810)+1,IF(AND($T1811&lt;&gt;"",$T1811=$T1810),$U1810,IF(C1811="x",V1810,"")))</f>
        <v/>
      </c>
      <c r="X1811" cm="1">
        <f t="array" ref="X1811">IF($I1811&lt;&gt;"",$I1811,INDEX($I$1:$I1811,ROW()-COUNTIFS($T$1:$T1811,"="&amp;$T1811,$S$1:$S1811,"&lt;"&amp;$S1811)))</f>
        <v>0</v>
      </c>
      <c r="Z1811" s="6">
        <f t="shared" si="270"/>
        <v>1</v>
      </c>
      <c r="AA1811" t="e">
        <f t="shared" si="271"/>
        <v>#VALUE!</v>
      </c>
      <c r="AB1811" t="str">
        <f t="shared" si="272"/>
        <v/>
      </c>
      <c r="AC1811" t="e">
        <f t="shared" si="273"/>
        <v>#VALUE!</v>
      </c>
    </row>
    <row r="1812" spans="1:29" x14ac:dyDescent="0.2">
      <c r="A1812" t="str">
        <f t="shared" si="274"/>
        <v/>
      </c>
      <c r="E1812" s="4"/>
      <c r="F1812" s="46"/>
      <c r="G1812" s="4"/>
      <c r="H1812" s="48"/>
      <c r="J1812" s="26" t="str">
        <f t="shared" si="275"/>
        <v/>
      </c>
      <c r="N1812" t="str">
        <f t="shared" si="276"/>
        <v/>
      </c>
      <c r="Q1812" t="str">
        <f t="shared" si="277"/>
        <v/>
      </c>
      <c r="S1812" t="str">
        <f>IF(A1812=1,MAX($S$2:$S1811)+1,IF(OR($I1812&lt;&gt;"",A1812="x"),$S1811,""))</f>
        <v/>
      </c>
      <c r="T1812" t="str">
        <f>IF(D1812=1,MAX($T$2:$T1811)+1,IF(S1812=S1811,$T1811,IF(D1812="x",T1811,IF(D1811="x","",""))))</f>
        <v/>
      </c>
      <c r="U1812" t="str">
        <f>IF(B1812=1,MAX($U$2:$U1811)+1,IF(AND($T1812&lt;&gt;"",$T1812=$T1811),$U1811,IF(B1812="x",U1811,"")))</f>
        <v/>
      </c>
      <c r="V1812" t="str">
        <f>IF(C1812=1,MAX($V$2:$V1811)+1,IF(AND($T1812&lt;&gt;"",$T1812=$T1811),$U1811,IF(C1812="x",V1811,"")))</f>
        <v/>
      </c>
      <c r="X1812" cm="1">
        <f t="array" ref="X1812">IF($I1812&lt;&gt;"",$I1812,INDEX($I$1:$I1812,ROW()-COUNTIFS($T$1:$T1812,"="&amp;$T1812,$S$1:$S1812,"&lt;"&amp;$S1812)))</f>
        <v>0</v>
      </c>
      <c r="Z1812" s="6">
        <f t="shared" si="270"/>
        <v>1</v>
      </c>
      <c r="AA1812" t="e">
        <f t="shared" si="271"/>
        <v>#VALUE!</v>
      </c>
      <c r="AB1812" t="str">
        <f t="shared" si="272"/>
        <v/>
      </c>
      <c r="AC1812" t="e">
        <f t="shared" si="273"/>
        <v>#VALUE!</v>
      </c>
    </row>
    <row r="1813" spans="1:29" x14ac:dyDescent="0.2">
      <c r="A1813" t="str">
        <f t="shared" si="274"/>
        <v/>
      </c>
      <c r="E1813" s="4"/>
      <c r="F1813" s="46"/>
      <c r="G1813" s="4"/>
      <c r="H1813" s="48"/>
      <c r="J1813" s="26" t="str">
        <f t="shared" si="275"/>
        <v/>
      </c>
      <c r="N1813" t="str">
        <f t="shared" si="276"/>
        <v/>
      </c>
      <c r="Q1813" t="str">
        <f t="shared" si="277"/>
        <v/>
      </c>
      <c r="S1813" t="str">
        <f>IF(A1813=1,MAX($S$2:$S1812)+1,IF(OR($I1813&lt;&gt;"",A1813="x"),$S1812,""))</f>
        <v/>
      </c>
      <c r="T1813" t="str">
        <f>IF(D1813=1,MAX($T$2:$T1812)+1,IF(S1813=S1812,$T1812,IF(D1813="x",T1812,IF(D1812="x","",""))))</f>
        <v/>
      </c>
      <c r="U1813" t="str">
        <f>IF(B1813=1,MAX($U$2:$U1812)+1,IF(AND($T1813&lt;&gt;"",$T1813=$T1812),$U1812,IF(B1813="x",U1812,"")))</f>
        <v/>
      </c>
      <c r="V1813" t="str">
        <f>IF(C1813=1,MAX($V$2:$V1812)+1,IF(AND($T1813&lt;&gt;"",$T1813=$T1812),$U1812,IF(C1813="x",V1812,"")))</f>
        <v/>
      </c>
      <c r="X1813" cm="1">
        <f t="array" ref="X1813">IF($I1813&lt;&gt;"",$I1813,INDEX($I$1:$I1813,ROW()-COUNTIFS($T$1:$T1813,"="&amp;$T1813,$S$1:$S1813,"&lt;"&amp;$S1813)))</f>
        <v>0</v>
      </c>
      <c r="Z1813" s="6">
        <f t="shared" si="270"/>
        <v>1</v>
      </c>
      <c r="AA1813" t="e">
        <f t="shared" si="271"/>
        <v>#VALUE!</v>
      </c>
      <c r="AB1813" t="str">
        <f t="shared" si="272"/>
        <v/>
      </c>
      <c r="AC1813" t="e">
        <f t="shared" si="273"/>
        <v>#VALUE!</v>
      </c>
    </row>
    <row r="1814" spans="1:29" x14ac:dyDescent="0.2">
      <c r="A1814" t="str">
        <f t="shared" si="274"/>
        <v/>
      </c>
      <c r="E1814" s="4"/>
      <c r="F1814" s="46"/>
      <c r="G1814" s="4"/>
      <c r="H1814" s="48"/>
      <c r="J1814" s="26" t="str">
        <f t="shared" si="275"/>
        <v/>
      </c>
      <c r="N1814" t="str">
        <f t="shared" si="276"/>
        <v/>
      </c>
      <c r="Q1814" t="str">
        <f t="shared" si="277"/>
        <v/>
      </c>
      <c r="S1814" t="str">
        <f>IF(A1814=1,MAX($S$2:$S1813)+1,IF(OR($I1814&lt;&gt;"",A1814="x"),$S1813,""))</f>
        <v/>
      </c>
      <c r="T1814" t="str">
        <f>IF(D1814=1,MAX($T$2:$T1813)+1,IF(S1814=S1813,$T1813,IF(D1814="x",T1813,IF(D1813="x","",""))))</f>
        <v/>
      </c>
      <c r="U1814" t="str">
        <f>IF(B1814=1,MAX($U$2:$U1813)+1,IF(AND($T1814&lt;&gt;"",$T1814=$T1813),$U1813,IF(B1814="x",U1813,"")))</f>
        <v/>
      </c>
      <c r="V1814" t="str">
        <f>IF(C1814=1,MAX($V$2:$V1813)+1,IF(AND($T1814&lt;&gt;"",$T1814=$T1813),$U1813,IF(C1814="x",V1813,"")))</f>
        <v/>
      </c>
      <c r="X1814" cm="1">
        <f t="array" ref="X1814">IF($I1814&lt;&gt;"",$I1814,INDEX($I$1:$I1814,ROW()-COUNTIFS($T$1:$T1814,"="&amp;$T1814,$S$1:$S1814,"&lt;"&amp;$S1814)))</f>
        <v>0</v>
      </c>
      <c r="Z1814" s="6">
        <f t="shared" si="270"/>
        <v>1</v>
      </c>
      <c r="AA1814" t="e">
        <f t="shared" si="271"/>
        <v>#VALUE!</v>
      </c>
      <c r="AB1814" t="str">
        <f t="shared" si="272"/>
        <v/>
      </c>
      <c r="AC1814" t="e">
        <f t="shared" si="273"/>
        <v>#VALUE!</v>
      </c>
    </row>
    <row r="1815" spans="1:29" x14ac:dyDescent="0.2">
      <c r="A1815" t="str">
        <f t="shared" si="274"/>
        <v/>
      </c>
      <c r="E1815" s="4"/>
      <c r="F1815" s="46"/>
      <c r="G1815" s="4"/>
      <c r="H1815" s="48"/>
      <c r="J1815" s="26" t="str">
        <f t="shared" si="275"/>
        <v/>
      </c>
      <c r="N1815" t="str">
        <f t="shared" si="276"/>
        <v/>
      </c>
      <c r="Q1815" t="str">
        <f t="shared" si="277"/>
        <v/>
      </c>
      <c r="S1815" t="str">
        <f>IF(A1815=1,MAX($S$2:$S1814)+1,IF(OR($I1815&lt;&gt;"",A1815="x"),$S1814,""))</f>
        <v/>
      </c>
      <c r="T1815" t="str">
        <f>IF(D1815=1,MAX($T$2:$T1814)+1,IF(S1815=S1814,$T1814,IF(D1815="x",T1814,IF(D1814="x","",""))))</f>
        <v/>
      </c>
      <c r="U1815" t="str">
        <f>IF(B1815=1,MAX($U$2:$U1814)+1,IF(AND($T1815&lt;&gt;"",$T1815=$T1814),$U1814,IF(B1815="x",U1814,"")))</f>
        <v/>
      </c>
      <c r="V1815" t="str">
        <f>IF(C1815=1,MAX($V$2:$V1814)+1,IF(AND($T1815&lt;&gt;"",$T1815=$T1814),$U1814,IF(C1815="x",V1814,"")))</f>
        <v/>
      </c>
      <c r="X1815" cm="1">
        <f t="array" ref="X1815">IF($I1815&lt;&gt;"",$I1815,INDEX($I$1:$I1815,ROW()-COUNTIFS($T$1:$T1815,"="&amp;$T1815,$S$1:$S1815,"&lt;"&amp;$S1815)))</f>
        <v>0</v>
      </c>
      <c r="Z1815" s="6">
        <f t="shared" si="270"/>
        <v>1</v>
      </c>
      <c r="AA1815" t="e">
        <f t="shared" si="271"/>
        <v>#VALUE!</v>
      </c>
      <c r="AB1815" t="str">
        <f t="shared" si="272"/>
        <v/>
      </c>
      <c r="AC1815" t="e">
        <f t="shared" si="273"/>
        <v>#VALUE!</v>
      </c>
    </row>
    <row r="1816" spans="1:29" x14ac:dyDescent="0.2">
      <c r="A1816" t="str">
        <f t="shared" si="274"/>
        <v/>
      </c>
      <c r="E1816" s="4"/>
      <c r="F1816" s="46"/>
      <c r="G1816" s="4"/>
      <c r="H1816" s="48"/>
      <c r="J1816" s="26" t="str">
        <f t="shared" si="275"/>
        <v/>
      </c>
      <c r="N1816" t="str">
        <f t="shared" si="276"/>
        <v/>
      </c>
      <c r="Q1816" t="str">
        <f t="shared" si="277"/>
        <v/>
      </c>
      <c r="S1816" t="str">
        <f>IF(A1816=1,MAX($S$2:$S1815)+1,IF(OR($I1816&lt;&gt;"",A1816="x"),$S1815,""))</f>
        <v/>
      </c>
      <c r="T1816" t="str">
        <f>IF(D1816=1,MAX($T$2:$T1815)+1,IF(S1816=S1815,$T1815,IF(D1816="x",T1815,IF(D1815="x","",""))))</f>
        <v/>
      </c>
      <c r="U1816" t="str">
        <f>IF(B1816=1,MAX($U$2:$U1815)+1,IF(AND($T1816&lt;&gt;"",$T1816=$T1815),$U1815,IF(B1816="x",U1815,"")))</f>
        <v/>
      </c>
      <c r="V1816" t="str">
        <f>IF(C1816=1,MAX($V$2:$V1815)+1,IF(AND($T1816&lt;&gt;"",$T1816=$T1815),$U1815,IF(C1816="x",V1815,"")))</f>
        <v/>
      </c>
      <c r="X1816" cm="1">
        <f t="array" ref="X1816">IF($I1816&lt;&gt;"",$I1816,INDEX($I$1:$I1816,ROW()-COUNTIFS($T$1:$T1816,"="&amp;$T1816,$S$1:$S1816,"&lt;"&amp;$S1816)))</f>
        <v>0</v>
      </c>
      <c r="Z1816" s="6">
        <f t="shared" si="270"/>
        <v>1</v>
      </c>
      <c r="AA1816" t="e">
        <f t="shared" si="271"/>
        <v>#VALUE!</v>
      </c>
      <c r="AB1816" t="str">
        <f t="shared" si="272"/>
        <v/>
      </c>
      <c r="AC1816" t="e">
        <f t="shared" si="273"/>
        <v>#VALUE!</v>
      </c>
    </row>
    <row r="1817" spans="1:29" x14ac:dyDescent="0.2">
      <c r="A1817" t="str">
        <f t="shared" si="274"/>
        <v/>
      </c>
      <c r="E1817" s="4"/>
      <c r="F1817" s="46"/>
      <c r="G1817" s="4"/>
      <c r="H1817" s="48"/>
      <c r="J1817" s="26" t="str">
        <f t="shared" si="275"/>
        <v/>
      </c>
      <c r="N1817" t="str">
        <f t="shared" si="276"/>
        <v/>
      </c>
      <c r="Q1817" t="str">
        <f t="shared" si="277"/>
        <v/>
      </c>
      <c r="S1817" t="str">
        <f>IF(A1817=1,MAX($S$2:$S1816)+1,IF(OR($I1817&lt;&gt;"",A1817="x"),$S1816,""))</f>
        <v/>
      </c>
      <c r="T1817" t="str">
        <f>IF(D1817=1,MAX($T$2:$T1816)+1,IF(S1817=S1816,$T1816,IF(D1817="x",T1816,IF(D1816="x","",""))))</f>
        <v/>
      </c>
      <c r="U1817" t="str">
        <f>IF(B1817=1,MAX($U$2:$U1816)+1,IF(AND($T1817&lt;&gt;"",$T1817=$T1816),$U1816,IF(B1817="x",U1816,"")))</f>
        <v/>
      </c>
      <c r="V1817" t="str">
        <f>IF(C1817=1,MAX($V$2:$V1816)+1,IF(AND($T1817&lt;&gt;"",$T1817=$T1816),$U1816,IF(C1817="x",V1816,"")))</f>
        <v/>
      </c>
      <c r="X1817" cm="1">
        <f t="array" ref="X1817">IF($I1817&lt;&gt;"",$I1817,INDEX($I$1:$I1817,ROW()-COUNTIFS($T$1:$T1817,"="&amp;$T1817,$S$1:$S1817,"&lt;"&amp;$S1817)))</f>
        <v>0</v>
      </c>
      <c r="Z1817" s="6">
        <f t="shared" si="270"/>
        <v>1</v>
      </c>
      <c r="AA1817" t="e">
        <f t="shared" si="271"/>
        <v>#VALUE!</v>
      </c>
      <c r="AB1817" t="str">
        <f t="shared" si="272"/>
        <v/>
      </c>
      <c r="AC1817" t="e">
        <f t="shared" si="273"/>
        <v>#VALUE!</v>
      </c>
    </row>
    <row r="1818" spans="1:29" x14ac:dyDescent="0.2">
      <c r="A1818" t="str">
        <f t="shared" si="274"/>
        <v/>
      </c>
      <c r="E1818" s="4"/>
      <c r="F1818" s="46"/>
      <c r="G1818" s="4"/>
      <c r="H1818" s="48"/>
      <c r="J1818" s="26" t="str">
        <f t="shared" si="275"/>
        <v/>
      </c>
      <c r="N1818" t="str">
        <f t="shared" si="276"/>
        <v/>
      </c>
      <c r="Q1818" t="str">
        <f t="shared" si="277"/>
        <v/>
      </c>
      <c r="S1818" t="str">
        <f>IF(A1818=1,MAX($S$2:$S1817)+1,IF(OR($I1818&lt;&gt;"",A1818="x"),$S1817,""))</f>
        <v/>
      </c>
      <c r="T1818" t="str">
        <f>IF(D1818=1,MAX($T$2:$T1817)+1,IF(S1818=S1817,$T1817,IF(D1818="x",T1817,IF(D1817="x","",""))))</f>
        <v/>
      </c>
      <c r="U1818" t="str">
        <f>IF(B1818=1,MAX($U$2:$U1817)+1,IF(AND($T1818&lt;&gt;"",$T1818=$T1817),$U1817,IF(B1818="x",U1817,"")))</f>
        <v/>
      </c>
      <c r="V1818" t="str">
        <f>IF(C1818=1,MAX($V$2:$V1817)+1,IF(AND($T1818&lt;&gt;"",$T1818=$T1817),$U1817,IF(C1818="x",V1817,"")))</f>
        <v/>
      </c>
      <c r="X1818" cm="1">
        <f t="array" ref="X1818">IF($I1818&lt;&gt;"",$I1818,INDEX($I$1:$I1818,ROW()-COUNTIFS($T$1:$T1818,"="&amp;$T1818,$S$1:$S1818,"&lt;"&amp;$S1818)))</f>
        <v>0</v>
      </c>
      <c r="Z1818" s="6">
        <f t="shared" si="270"/>
        <v>1</v>
      </c>
      <c r="AA1818" t="e">
        <f t="shared" si="271"/>
        <v>#VALUE!</v>
      </c>
      <c r="AB1818" t="str">
        <f t="shared" si="272"/>
        <v/>
      </c>
      <c r="AC1818" t="e">
        <f t="shared" si="273"/>
        <v>#VALUE!</v>
      </c>
    </row>
    <row r="1819" spans="1:29" x14ac:dyDescent="0.2">
      <c r="A1819" t="str">
        <f t="shared" si="274"/>
        <v/>
      </c>
      <c r="E1819" s="4"/>
      <c r="F1819" s="46"/>
      <c r="G1819" s="4"/>
      <c r="H1819" s="48"/>
      <c r="J1819" s="26" t="str">
        <f t="shared" si="275"/>
        <v/>
      </c>
      <c r="N1819" t="str">
        <f t="shared" si="276"/>
        <v/>
      </c>
      <c r="Q1819" t="str">
        <f t="shared" si="277"/>
        <v/>
      </c>
      <c r="S1819" t="str">
        <f>IF(A1819=1,MAX($S$2:$S1818)+1,IF(OR($I1819&lt;&gt;"",A1819="x"),$S1818,""))</f>
        <v/>
      </c>
      <c r="T1819" t="str">
        <f>IF(D1819=1,MAX($T$2:$T1818)+1,IF(S1819=S1818,$T1818,IF(D1819="x",T1818,IF(D1818="x","",""))))</f>
        <v/>
      </c>
      <c r="U1819" t="str">
        <f>IF(B1819=1,MAX($U$2:$U1818)+1,IF(AND($T1819&lt;&gt;"",$T1819=$T1818),$U1818,IF(B1819="x",U1818,"")))</f>
        <v/>
      </c>
      <c r="V1819" t="str">
        <f>IF(C1819=1,MAX($V$2:$V1818)+1,IF(AND($T1819&lt;&gt;"",$T1819=$T1818),$U1818,IF(C1819="x",V1818,"")))</f>
        <v/>
      </c>
      <c r="X1819" cm="1">
        <f t="array" ref="X1819">IF($I1819&lt;&gt;"",$I1819,INDEX($I$1:$I1819,ROW()-COUNTIFS($T$1:$T1819,"="&amp;$T1819,$S$1:$S1819,"&lt;"&amp;$S1819)))</f>
        <v>0</v>
      </c>
      <c r="Z1819" s="6">
        <f t="shared" si="270"/>
        <v>1</v>
      </c>
      <c r="AA1819" t="e">
        <f t="shared" si="271"/>
        <v>#VALUE!</v>
      </c>
      <c r="AB1819" t="str">
        <f t="shared" si="272"/>
        <v/>
      </c>
      <c r="AC1819" t="e">
        <f t="shared" si="273"/>
        <v>#VALUE!</v>
      </c>
    </row>
    <row r="1820" spans="1:29" x14ac:dyDescent="0.2">
      <c r="A1820" t="str">
        <f t="shared" si="274"/>
        <v/>
      </c>
      <c r="E1820" s="4"/>
      <c r="F1820" s="46"/>
      <c r="G1820" s="4"/>
      <c r="H1820" s="48"/>
      <c r="J1820" s="26" t="str">
        <f t="shared" si="275"/>
        <v/>
      </c>
      <c r="N1820" t="str">
        <f t="shared" si="276"/>
        <v/>
      </c>
      <c r="Q1820" t="str">
        <f t="shared" si="277"/>
        <v/>
      </c>
      <c r="S1820" t="str">
        <f>IF(A1820=1,MAX($S$2:$S1819)+1,IF(OR($I1820&lt;&gt;"",A1820="x"),$S1819,""))</f>
        <v/>
      </c>
      <c r="T1820" t="str">
        <f>IF(D1820=1,MAX($T$2:$T1819)+1,IF(S1820=S1819,$T1819,IF(D1820="x",T1819,IF(D1819="x","",""))))</f>
        <v/>
      </c>
      <c r="U1820" t="str">
        <f>IF(B1820=1,MAX($U$2:$U1819)+1,IF(AND($T1820&lt;&gt;"",$T1820=$T1819),$U1819,IF(B1820="x",U1819,"")))</f>
        <v/>
      </c>
      <c r="V1820" t="str">
        <f>IF(C1820=1,MAX($V$2:$V1819)+1,IF(AND($T1820&lt;&gt;"",$T1820=$T1819),$U1819,IF(C1820="x",V1819,"")))</f>
        <v/>
      </c>
      <c r="X1820" cm="1">
        <f t="array" ref="X1820">IF($I1820&lt;&gt;"",$I1820,INDEX($I$1:$I1820,ROW()-COUNTIFS($T$1:$T1820,"="&amp;$T1820,$S$1:$S1820,"&lt;"&amp;$S1820)))</f>
        <v>0</v>
      </c>
      <c r="Z1820" s="6">
        <f t="shared" si="270"/>
        <v>1</v>
      </c>
      <c r="AA1820" t="e">
        <f t="shared" si="271"/>
        <v>#VALUE!</v>
      </c>
      <c r="AB1820" t="str">
        <f t="shared" si="272"/>
        <v/>
      </c>
      <c r="AC1820" t="e">
        <f t="shared" si="273"/>
        <v>#VALUE!</v>
      </c>
    </row>
    <row r="1821" spans="1:29" x14ac:dyDescent="0.2">
      <c r="A1821" t="str">
        <f t="shared" si="274"/>
        <v/>
      </c>
      <c r="E1821" s="4"/>
      <c r="F1821" s="46"/>
      <c r="G1821" s="4"/>
      <c r="H1821" s="48"/>
      <c r="J1821" s="26" t="str">
        <f t="shared" si="275"/>
        <v/>
      </c>
      <c r="N1821" t="str">
        <f t="shared" si="276"/>
        <v/>
      </c>
      <c r="Q1821" t="str">
        <f t="shared" si="277"/>
        <v/>
      </c>
      <c r="S1821" t="str">
        <f>IF(A1821=1,MAX($S$2:$S1820)+1,IF(OR($I1821&lt;&gt;"",A1821="x"),$S1820,""))</f>
        <v/>
      </c>
      <c r="T1821" t="str">
        <f>IF(D1821=1,MAX($T$2:$T1820)+1,IF(S1821=S1820,$T1820,IF(D1821="x",T1820,IF(D1820="x","",""))))</f>
        <v/>
      </c>
      <c r="U1821" t="str">
        <f>IF(B1821=1,MAX($U$2:$U1820)+1,IF(AND($T1821&lt;&gt;"",$T1821=$T1820),$U1820,IF(B1821="x",U1820,"")))</f>
        <v/>
      </c>
      <c r="V1821" t="str">
        <f>IF(C1821=1,MAX($V$2:$V1820)+1,IF(AND($T1821&lt;&gt;"",$T1821=$T1820),$U1820,IF(C1821="x",V1820,"")))</f>
        <v/>
      </c>
      <c r="X1821" cm="1">
        <f t="array" ref="X1821">IF($I1821&lt;&gt;"",$I1821,INDEX($I$1:$I1821,ROW()-COUNTIFS($T$1:$T1821,"="&amp;$T1821,$S$1:$S1821,"&lt;"&amp;$S1821)))</f>
        <v>0</v>
      </c>
      <c r="Z1821" s="6">
        <f t="shared" si="270"/>
        <v>1</v>
      </c>
      <c r="AA1821" t="e">
        <f t="shared" si="271"/>
        <v>#VALUE!</v>
      </c>
      <c r="AB1821" t="str">
        <f t="shared" si="272"/>
        <v/>
      </c>
      <c r="AC1821" t="e">
        <f t="shared" si="273"/>
        <v>#VALUE!</v>
      </c>
    </row>
    <row r="1822" spans="1:29" x14ac:dyDescent="0.2">
      <c r="A1822" t="str">
        <f t="shared" si="274"/>
        <v/>
      </c>
      <c r="E1822" s="4"/>
      <c r="F1822" s="46"/>
      <c r="G1822" s="4"/>
      <c r="H1822" s="48"/>
      <c r="J1822" s="26" t="str">
        <f t="shared" si="275"/>
        <v/>
      </c>
      <c r="N1822" t="str">
        <f t="shared" si="276"/>
        <v/>
      </c>
      <c r="Q1822" t="str">
        <f t="shared" si="277"/>
        <v/>
      </c>
      <c r="S1822" t="str">
        <f>IF(A1822=1,MAX($S$2:$S1821)+1,IF(OR($I1822&lt;&gt;"",A1822="x"),$S1821,""))</f>
        <v/>
      </c>
      <c r="T1822" t="str">
        <f>IF(D1822=1,MAX($T$2:$T1821)+1,IF(S1822=S1821,$T1821,IF(D1822="x",T1821,IF(D1821="x","",""))))</f>
        <v/>
      </c>
      <c r="U1822" t="str">
        <f>IF(B1822=1,MAX($U$2:$U1821)+1,IF(AND($T1822&lt;&gt;"",$T1822=$T1821),$U1821,IF(B1822="x",U1821,"")))</f>
        <v/>
      </c>
      <c r="V1822" t="str">
        <f>IF(C1822=1,MAX($V$2:$V1821)+1,IF(AND($T1822&lt;&gt;"",$T1822=$T1821),$U1821,IF(C1822="x",V1821,"")))</f>
        <v/>
      </c>
      <c r="X1822" cm="1">
        <f t="array" ref="X1822">IF($I1822&lt;&gt;"",$I1822,INDEX($I$1:$I1822,ROW()-COUNTIFS($T$1:$T1822,"="&amp;$T1822,$S$1:$S1822,"&lt;"&amp;$S1822)))</f>
        <v>0</v>
      </c>
      <c r="Z1822" s="6">
        <f t="shared" si="270"/>
        <v>1</v>
      </c>
      <c r="AA1822" t="e">
        <f t="shared" si="271"/>
        <v>#VALUE!</v>
      </c>
      <c r="AB1822" t="str">
        <f t="shared" si="272"/>
        <v/>
      </c>
      <c r="AC1822" t="e">
        <f t="shared" si="273"/>
        <v>#VALUE!</v>
      </c>
    </row>
    <row r="1823" spans="1:29" x14ac:dyDescent="0.2">
      <c r="A1823" t="str">
        <f t="shared" si="274"/>
        <v/>
      </c>
      <c r="E1823" s="4"/>
      <c r="F1823" s="46"/>
      <c r="G1823" s="4"/>
      <c r="H1823" s="48"/>
      <c r="J1823" s="26" t="str">
        <f t="shared" si="275"/>
        <v/>
      </c>
      <c r="N1823" t="str">
        <f t="shared" si="276"/>
        <v/>
      </c>
      <c r="Q1823" t="str">
        <f t="shared" si="277"/>
        <v/>
      </c>
      <c r="S1823" t="str">
        <f>IF(A1823=1,MAX($S$2:$S1822)+1,IF(OR($I1823&lt;&gt;"",A1823="x"),$S1822,""))</f>
        <v/>
      </c>
      <c r="T1823" t="str">
        <f>IF(D1823=1,MAX($T$2:$T1822)+1,IF(S1823=S1822,$T1822,IF(D1823="x",T1822,IF(D1822="x","",""))))</f>
        <v/>
      </c>
      <c r="U1823" t="str">
        <f>IF(B1823=1,MAX($U$2:$U1822)+1,IF(AND($T1823&lt;&gt;"",$T1823=$T1822),$U1822,IF(B1823="x",U1822,"")))</f>
        <v/>
      </c>
      <c r="V1823" t="str">
        <f>IF(C1823=1,MAX($V$2:$V1822)+1,IF(AND($T1823&lt;&gt;"",$T1823=$T1822),$U1822,IF(C1823="x",V1822,"")))</f>
        <v/>
      </c>
      <c r="X1823" cm="1">
        <f t="array" ref="X1823">IF($I1823&lt;&gt;"",$I1823,INDEX($I$1:$I1823,ROW()-COUNTIFS($T$1:$T1823,"="&amp;$T1823,$S$1:$S1823,"&lt;"&amp;$S1823)))</f>
        <v>0</v>
      </c>
      <c r="Z1823" s="6">
        <f t="shared" si="270"/>
        <v>1</v>
      </c>
      <c r="AA1823" t="e">
        <f t="shared" si="271"/>
        <v>#VALUE!</v>
      </c>
      <c r="AB1823" t="str">
        <f t="shared" si="272"/>
        <v/>
      </c>
      <c r="AC1823" t="e">
        <f t="shared" si="273"/>
        <v>#VALUE!</v>
      </c>
    </row>
    <row r="1824" spans="1:29" x14ac:dyDescent="0.2">
      <c r="A1824" t="str">
        <f t="shared" si="274"/>
        <v/>
      </c>
      <c r="E1824" s="4"/>
      <c r="F1824" s="46"/>
      <c r="G1824" s="4"/>
      <c r="H1824" s="48"/>
      <c r="J1824" s="26" t="str">
        <f t="shared" si="275"/>
        <v/>
      </c>
      <c r="N1824" t="str">
        <f t="shared" si="276"/>
        <v/>
      </c>
      <c r="Q1824" t="str">
        <f t="shared" si="277"/>
        <v/>
      </c>
      <c r="S1824" t="str">
        <f>IF(A1824=1,MAX($S$2:$S1823)+1,IF(OR($I1824&lt;&gt;"",A1824="x"),$S1823,""))</f>
        <v/>
      </c>
      <c r="T1824" t="str">
        <f>IF(D1824=1,MAX($T$2:$T1823)+1,IF(S1824=S1823,$T1823,IF(D1824="x",T1823,IF(D1823="x","",""))))</f>
        <v/>
      </c>
      <c r="U1824" t="str">
        <f>IF(B1824=1,MAX($U$2:$U1823)+1,IF(AND($T1824&lt;&gt;"",$T1824=$T1823),$U1823,IF(B1824="x",U1823,"")))</f>
        <v/>
      </c>
      <c r="V1824" t="str">
        <f>IF(C1824=1,MAX($V$2:$V1823)+1,IF(AND($T1824&lt;&gt;"",$T1824=$T1823),$U1823,IF(C1824="x",V1823,"")))</f>
        <v/>
      </c>
      <c r="X1824" cm="1">
        <f t="array" ref="X1824">IF($I1824&lt;&gt;"",$I1824,INDEX($I$1:$I1824,ROW()-COUNTIFS($T$1:$T1824,"="&amp;$T1824,$S$1:$S1824,"&lt;"&amp;$S1824)))</f>
        <v>0</v>
      </c>
      <c r="Z1824" s="6">
        <f t="shared" si="270"/>
        <v>1</v>
      </c>
      <c r="AA1824" t="e">
        <f t="shared" si="271"/>
        <v>#VALUE!</v>
      </c>
      <c r="AB1824" t="str">
        <f t="shared" si="272"/>
        <v/>
      </c>
      <c r="AC1824" t="e">
        <f t="shared" si="273"/>
        <v>#VALUE!</v>
      </c>
    </row>
    <row r="1825" spans="1:29" x14ac:dyDescent="0.2">
      <c r="A1825" t="str">
        <f t="shared" si="274"/>
        <v/>
      </c>
      <c r="E1825" s="4"/>
      <c r="F1825" s="46"/>
      <c r="G1825" s="4"/>
      <c r="H1825" s="48"/>
      <c r="J1825" s="26" t="str">
        <f t="shared" si="275"/>
        <v/>
      </c>
      <c r="N1825" t="str">
        <f t="shared" si="276"/>
        <v/>
      </c>
      <c r="Q1825" t="str">
        <f t="shared" si="277"/>
        <v/>
      </c>
      <c r="S1825" t="str">
        <f>IF(A1825=1,MAX($S$2:$S1824)+1,IF(OR($I1825&lt;&gt;"",A1825="x"),$S1824,""))</f>
        <v/>
      </c>
      <c r="T1825" t="str">
        <f>IF(D1825=1,MAX($T$2:$T1824)+1,IF(S1825=S1824,$T1824,IF(D1825="x",T1824,IF(D1824="x","",""))))</f>
        <v/>
      </c>
      <c r="U1825" t="str">
        <f>IF(B1825=1,MAX($U$2:$U1824)+1,IF(AND($T1825&lt;&gt;"",$T1825=$T1824),$U1824,IF(B1825="x",U1824,"")))</f>
        <v/>
      </c>
      <c r="V1825" t="str">
        <f>IF(C1825=1,MAX($V$2:$V1824)+1,IF(AND($T1825&lt;&gt;"",$T1825=$T1824),$U1824,IF(C1825="x",V1824,"")))</f>
        <v/>
      </c>
      <c r="X1825" cm="1">
        <f t="array" ref="X1825">IF($I1825&lt;&gt;"",$I1825,INDEX($I$1:$I1825,ROW()-COUNTIFS($T$1:$T1825,"="&amp;$T1825,$S$1:$S1825,"&lt;"&amp;$S1825)))</f>
        <v>0</v>
      </c>
      <c r="Z1825" s="6">
        <f t="shared" si="270"/>
        <v>1</v>
      </c>
      <c r="AA1825" t="e">
        <f t="shared" si="271"/>
        <v>#VALUE!</v>
      </c>
      <c r="AB1825" t="str">
        <f t="shared" si="272"/>
        <v/>
      </c>
      <c r="AC1825" t="e">
        <f t="shared" si="273"/>
        <v>#VALUE!</v>
      </c>
    </row>
    <row r="1826" spans="1:29" x14ac:dyDescent="0.2">
      <c r="A1826" t="str">
        <f t="shared" si="274"/>
        <v/>
      </c>
      <c r="E1826" s="4"/>
      <c r="F1826" s="46"/>
      <c r="G1826" s="4"/>
      <c r="H1826" s="48"/>
      <c r="J1826" s="26" t="str">
        <f t="shared" si="275"/>
        <v/>
      </c>
      <c r="N1826" t="str">
        <f t="shared" si="276"/>
        <v/>
      </c>
      <c r="Q1826" t="str">
        <f t="shared" si="277"/>
        <v/>
      </c>
      <c r="S1826" t="str">
        <f>IF(A1826=1,MAX($S$2:$S1825)+1,IF(OR($I1826&lt;&gt;"",A1826="x"),$S1825,""))</f>
        <v/>
      </c>
      <c r="T1826" t="str">
        <f>IF(D1826=1,MAX($T$2:$T1825)+1,IF(S1826=S1825,$T1825,IF(D1826="x",T1825,IF(D1825="x","",""))))</f>
        <v/>
      </c>
      <c r="U1826" t="str">
        <f>IF(B1826=1,MAX($U$2:$U1825)+1,IF(AND($T1826&lt;&gt;"",$T1826=$T1825),$U1825,IF(B1826="x",U1825,"")))</f>
        <v/>
      </c>
      <c r="V1826" t="str">
        <f>IF(C1826=1,MAX($V$2:$V1825)+1,IF(AND($T1826&lt;&gt;"",$T1826=$T1825),$U1825,IF(C1826="x",V1825,"")))</f>
        <v/>
      </c>
      <c r="X1826" cm="1">
        <f t="array" ref="X1826">IF($I1826&lt;&gt;"",$I1826,INDEX($I$1:$I1826,ROW()-COUNTIFS($T$1:$T1826,"="&amp;$T1826,$S$1:$S1826,"&lt;"&amp;$S1826)))</f>
        <v>0</v>
      </c>
      <c r="Z1826" s="6">
        <f t="shared" si="270"/>
        <v>1</v>
      </c>
      <c r="AA1826" t="e">
        <f t="shared" si="271"/>
        <v>#VALUE!</v>
      </c>
      <c r="AB1826" t="str">
        <f t="shared" si="272"/>
        <v/>
      </c>
      <c r="AC1826" t="e">
        <f t="shared" si="273"/>
        <v>#VALUE!</v>
      </c>
    </row>
    <row r="1827" spans="1:29" x14ac:dyDescent="0.2">
      <c r="A1827" t="str">
        <f t="shared" si="274"/>
        <v/>
      </c>
      <c r="E1827" s="4"/>
      <c r="F1827" s="46"/>
      <c r="G1827" s="4"/>
      <c r="H1827" s="48"/>
      <c r="J1827" s="26" t="str">
        <f t="shared" si="275"/>
        <v/>
      </c>
      <c r="N1827" t="str">
        <f t="shared" si="276"/>
        <v/>
      </c>
      <c r="Q1827" t="str">
        <f t="shared" si="277"/>
        <v/>
      </c>
      <c r="S1827" t="str">
        <f>IF(A1827=1,MAX($S$2:$S1826)+1,IF(OR($I1827&lt;&gt;"",A1827="x"),$S1826,""))</f>
        <v/>
      </c>
      <c r="T1827" t="str">
        <f>IF(D1827=1,MAX($T$2:$T1826)+1,IF(S1827=S1826,$T1826,IF(D1827="x",T1826,IF(D1826="x","",""))))</f>
        <v/>
      </c>
      <c r="U1827" t="str">
        <f>IF(B1827=1,MAX($U$2:$U1826)+1,IF(AND($T1827&lt;&gt;"",$T1827=$T1826),$U1826,IF(B1827="x",U1826,"")))</f>
        <v/>
      </c>
      <c r="V1827" t="str">
        <f>IF(C1827=1,MAX($V$2:$V1826)+1,IF(AND($T1827&lt;&gt;"",$T1827=$T1826),$U1826,IF(C1827="x",V1826,"")))</f>
        <v/>
      </c>
      <c r="X1827" cm="1">
        <f t="array" ref="X1827">IF($I1827&lt;&gt;"",$I1827,INDEX($I$1:$I1827,ROW()-COUNTIFS($T$1:$T1827,"="&amp;$T1827,$S$1:$S1827,"&lt;"&amp;$S1827)))</f>
        <v>0</v>
      </c>
      <c r="Z1827" s="6">
        <f t="shared" si="270"/>
        <v>1</v>
      </c>
      <c r="AA1827" t="e">
        <f t="shared" si="271"/>
        <v>#VALUE!</v>
      </c>
      <c r="AB1827" t="str">
        <f t="shared" si="272"/>
        <v/>
      </c>
      <c r="AC1827" t="e">
        <f t="shared" si="273"/>
        <v>#VALUE!</v>
      </c>
    </row>
    <row r="1828" spans="1:29" x14ac:dyDescent="0.2">
      <c r="A1828" t="str">
        <f t="shared" si="274"/>
        <v/>
      </c>
      <c r="E1828" s="4"/>
      <c r="F1828" s="46"/>
      <c r="G1828" s="4"/>
      <c r="H1828" s="48"/>
      <c r="J1828" s="26" t="str">
        <f t="shared" si="275"/>
        <v/>
      </c>
      <c r="N1828" t="str">
        <f t="shared" si="276"/>
        <v/>
      </c>
      <c r="Q1828" t="str">
        <f t="shared" si="277"/>
        <v/>
      </c>
      <c r="S1828" t="str">
        <f>IF(A1828=1,MAX($S$2:$S1827)+1,IF(OR($I1828&lt;&gt;"",A1828="x"),$S1827,""))</f>
        <v/>
      </c>
      <c r="T1828" t="str">
        <f>IF(D1828=1,MAX($T$2:$T1827)+1,IF(S1828=S1827,$T1827,IF(D1828="x",T1827,IF(D1827="x","",""))))</f>
        <v/>
      </c>
      <c r="U1828" t="str">
        <f>IF(B1828=1,MAX($U$2:$U1827)+1,IF(AND($T1828&lt;&gt;"",$T1828=$T1827),$U1827,IF(B1828="x",U1827,"")))</f>
        <v/>
      </c>
      <c r="V1828" t="str">
        <f>IF(C1828=1,MAX($V$2:$V1827)+1,IF(AND($T1828&lt;&gt;"",$T1828=$T1827),$U1827,IF(C1828="x",V1827,"")))</f>
        <v/>
      </c>
      <c r="X1828" cm="1">
        <f t="array" ref="X1828">IF($I1828&lt;&gt;"",$I1828,INDEX($I$1:$I1828,ROW()-COUNTIFS($T$1:$T1828,"="&amp;$T1828,$S$1:$S1828,"&lt;"&amp;$S1828)))</f>
        <v>0</v>
      </c>
      <c r="Z1828" s="6">
        <f t="shared" si="270"/>
        <v>1</v>
      </c>
      <c r="AA1828" t="e">
        <f t="shared" si="271"/>
        <v>#VALUE!</v>
      </c>
      <c r="AB1828" t="str">
        <f t="shared" si="272"/>
        <v/>
      </c>
      <c r="AC1828" t="e">
        <f t="shared" si="273"/>
        <v>#VALUE!</v>
      </c>
    </row>
    <row r="1829" spans="1:29" x14ac:dyDescent="0.2">
      <c r="A1829" t="str">
        <f t="shared" si="274"/>
        <v/>
      </c>
      <c r="E1829" s="4"/>
      <c r="F1829" s="46"/>
      <c r="G1829" s="4"/>
      <c r="H1829" s="48"/>
      <c r="J1829" s="26" t="str">
        <f t="shared" si="275"/>
        <v/>
      </c>
      <c r="N1829" t="str">
        <f t="shared" si="276"/>
        <v/>
      </c>
      <c r="Q1829" t="str">
        <f t="shared" si="277"/>
        <v/>
      </c>
      <c r="S1829" t="str">
        <f>IF(A1829=1,MAX($S$2:$S1828)+1,IF(OR($I1829&lt;&gt;"",A1829="x"),$S1828,""))</f>
        <v/>
      </c>
      <c r="T1829" t="str">
        <f>IF(D1829=1,MAX($T$2:$T1828)+1,IF(S1829=S1828,$T1828,IF(D1829="x",T1828,IF(D1828="x","",""))))</f>
        <v/>
      </c>
      <c r="U1829" t="str">
        <f>IF(B1829=1,MAX($U$2:$U1828)+1,IF(AND($T1829&lt;&gt;"",$T1829=$T1828),$U1828,IF(B1829="x",U1828,"")))</f>
        <v/>
      </c>
      <c r="V1829" t="str">
        <f>IF(C1829=1,MAX($V$2:$V1828)+1,IF(AND($T1829&lt;&gt;"",$T1829=$T1828),$U1828,IF(C1829="x",V1828,"")))</f>
        <v/>
      </c>
      <c r="X1829" cm="1">
        <f t="array" ref="X1829">IF($I1829&lt;&gt;"",$I1829,INDEX($I$1:$I1829,ROW()-COUNTIFS($T$1:$T1829,"="&amp;$T1829,$S$1:$S1829,"&lt;"&amp;$S1829)))</f>
        <v>0</v>
      </c>
      <c r="Z1829" s="6">
        <f t="shared" si="270"/>
        <v>1</v>
      </c>
      <c r="AA1829" t="e">
        <f t="shared" si="271"/>
        <v>#VALUE!</v>
      </c>
      <c r="AB1829" t="str">
        <f t="shared" si="272"/>
        <v/>
      </c>
      <c r="AC1829" t="e">
        <f t="shared" si="273"/>
        <v>#VALUE!</v>
      </c>
    </row>
    <row r="1830" spans="1:29" x14ac:dyDescent="0.2">
      <c r="A1830" t="str">
        <f t="shared" si="274"/>
        <v/>
      </c>
      <c r="E1830" s="4"/>
      <c r="F1830" s="46"/>
      <c r="G1830" s="4"/>
      <c r="H1830" s="48"/>
      <c r="J1830" s="26" t="str">
        <f t="shared" si="275"/>
        <v/>
      </c>
      <c r="N1830" t="str">
        <f t="shared" si="276"/>
        <v/>
      </c>
      <c r="Q1830" t="str">
        <f t="shared" si="277"/>
        <v/>
      </c>
      <c r="S1830" t="str">
        <f>IF(A1830=1,MAX($S$2:$S1829)+1,IF(OR($I1830&lt;&gt;"",A1830="x"),$S1829,""))</f>
        <v/>
      </c>
      <c r="T1830" t="str">
        <f>IF(D1830=1,MAX($T$2:$T1829)+1,IF(S1830=S1829,$T1829,IF(D1830="x",T1829,IF(D1829="x","",""))))</f>
        <v/>
      </c>
      <c r="U1830" t="str">
        <f>IF(B1830=1,MAX($U$2:$U1829)+1,IF(AND($T1830&lt;&gt;"",$T1830=$T1829),$U1829,IF(B1830="x",U1829,"")))</f>
        <v/>
      </c>
      <c r="V1830" t="str">
        <f>IF(C1830=1,MAX($V$2:$V1829)+1,IF(AND($T1830&lt;&gt;"",$T1830=$T1829),$U1829,IF(C1830="x",V1829,"")))</f>
        <v/>
      </c>
      <c r="X1830" cm="1">
        <f t="array" ref="X1830">IF($I1830&lt;&gt;"",$I1830,INDEX($I$1:$I1830,ROW()-COUNTIFS($T$1:$T1830,"="&amp;$T1830,$S$1:$S1830,"&lt;"&amp;$S1830)))</f>
        <v>0</v>
      </c>
      <c r="Z1830" s="6">
        <f t="shared" si="270"/>
        <v>1</v>
      </c>
      <c r="AA1830" t="e">
        <f t="shared" si="271"/>
        <v>#VALUE!</v>
      </c>
      <c r="AB1830" t="str">
        <f t="shared" si="272"/>
        <v/>
      </c>
      <c r="AC1830" t="e">
        <f t="shared" si="273"/>
        <v>#VALUE!</v>
      </c>
    </row>
    <row r="1831" spans="1:29" x14ac:dyDescent="0.2">
      <c r="A1831" t="str">
        <f t="shared" si="274"/>
        <v/>
      </c>
      <c r="E1831" s="4"/>
      <c r="F1831" s="46"/>
      <c r="G1831" s="4"/>
      <c r="H1831" s="48"/>
      <c r="J1831" s="26" t="str">
        <f t="shared" si="275"/>
        <v/>
      </c>
      <c r="N1831" t="str">
        <f t="shared" si="276"/>
        <v/>
      </c>
      <c r="Q1831" t="str">
        <f t="shared" si="277"/>
        <v/>
      </c>
      <c r="S1831" t="str">
        <f>IF(A1831=1,MAX($S$2:$S1830)+1,IF(OR($I1831&lt;&gt;"",A1831="x"),$S1830,""))</f>
        <v/>
      </c>
      <c r="T1831" t="str">
        <f>IF(D1831=1,MAX($T$2:$T1830)+1,IF(S1831=S1830,$T1830,IF(D1831="x",T1830,IF(D1830="x","",""))))</f>
        <v/>
      </c>
      <c r="U1831" t="str">
        <f>IF(B1831=1,MAX($U$2:$U1830)+1,IF(AND($T1831&lt;&gt;"",$T1831=$T1830),$U1830,IF(B1831="x",U1830,"")))</f>
        <v/>
      </c>
      <c r="V1831" t="str">
        <f>IF(C1831=1,MAX($V$2:$V1830)+1,IF(AND($T1831&lt;&gt;"",$T1831=$T1830),$U1830,IF(C1831="x",V1830,"")))</f>
        <v/>
      </c>
      <c r="X1831" cm="1">
        <f t="array" ref="X1831">IF($I1831&lt;&gt;"",$I1831,INDEX($I$1:$I1831,ROW()-COUNTIFS($T$1:$T1831,"="&amp;$T1831,$S$1:$S1831,"&lt;"&amp;$S1831)))</f>
        <v>0</v>
      </c>
      <c r="Z1831" s="6">
        <f t="shared" si="270"/>
        <v>1</v>
      </c>
      <c r="AA1831" t="e">
        <f t="shared" si="271"/>
        <v>#VALUE!</v>
      </c>
      <c r="AB1831" t="str">
        <f t="shared" si="272"/>
        <v/>
      </c>
      <c r="AC1831" t="e">
        <f t="shared" si="273"/>
        <v>#VALUE!</v>
      </c>
    </row>
    <row r="1832" spans="1:29" x14ac:dyDescent="0.2">
      <c r="A1832" t="str">
        <f t="shared" si="274"/>
        <v/>
      </c>
      <c r="E1832" s="4"/>
      <c r="F1832" s="46"/>
      <c r="G1832" s="4"/>
      <c r="H1832" s="48"/>
      <c r="J1832" s="26" t="str">
        <f t="shared" si="275"/>
        <v/>
      </c>
      <c r="N1832" t="str">
        <f t="shared" si="276"/>
        <v/>
      </c>
      <c r="Q1832" t="str">
        <f t="shared" si="277"/>
        <v/>
      </c>
      <c r="S1832" t="str">
        <f>IF(A1832=1,MAX($S$2:$S1831)+1,IF(OR($I1832&lt;&gt;"",A1832="x"),$S1831,""))</f>
        <v/>
      </c>
      <c r="T1832" t="str">
        <f>IF(D1832=1,MAX($T$2:$T1831)+1,IF(S1832=S1831,$T1831,IF(D1832="x",T1831,IF(D1831="x","",""))))</f>
        <v/>
      </c>
      <c r="U1832" t="str">
        <f>IF(B1832=1,MAX($U$2:$U1831)+1,IF(AND($T1832&lt;&gt;"",$T1832=$T1831),$U1831,IF(B1832="x",U1831,"")))</f>
        <v/>
      </c>
      <c r="V1832" t="str">
        <f>IF(C1832=1,MAX($V$2:$V1831)+1,IF(AND($T1832&lt;&gt;"",$T1832=$T1831),$U1831,IF(C1832="x",V1831,"")))</f>
        <v/>
      </c>
      <c r="X1832" cm="1">
        <f t="array" ref="X1832">IF($I1832&lt;&gt;"",$I1832,INDEX($I$1:$I1832,ROW()-COUNTIFS($T$1:$T1832,"="&amp;$T1832,$S$1:$S1832,"&lt;"&amp;$S1832)))</f>
        <v>0</v>
      </c>
      <c r="Z1832" s="6">
        <f t="shared" si="270"/>
        <v>1</v>
      </c>
      <c r="AA1832" t="e">
        <f t="shared" si="271"/>
        <v>#VALUE!</v>
      </c>
      <c r="AB1832" t="str">
        <f t="shared" si="272"/>
        <v/>
      </c>
      <c r="AC1832" t="e">
        <f t="shared" si="273"/>
        <v>#VALUE!</v>
      </c>
    </row>
    <row r="1833" spans="1:29" x14ac:dyDescent="0.2">
      <c r="A1833" t="str">
        <f t="shared" si="274"/>
        <v/>
      </c>
      <c r="E1833" s="4"/>
      <c r="F1833" s="46"/>
      <c r="G1833" s="4"/>
      <c r="H1833" s="48"/>
      <c r="J1833" s="26" t="str">
        <f t="shared" si="275"/>
        <v/>
      </c>
      <c r="N1833" t="str">
        <f t="shared" si="276"/>
        <v/>
      </c>
      <c r="Q1833" t="str">
        <f t="shared" si="277"/>
        <v/>
      </c>
      <c r="S1833" t="str">
        <f>IF(A1833=1,MAX($S$2:$S1832)+1,IF(OR($I1833&lt;&gt;"",A1833="x"),$S1832,""))</f>
        <v/>
      </c>
      <c r="T1833" t="str">
        <f>IF(D1833=1,MAX($T$2:$T1832)+1,IF(S1833=S1832,$T1832,IF(D1833="x",T1832,IF(D1832="x","",""))))</f>
        <v/>
      </c>
      <c r="U1833" t="str">
        <f>IF(B1833=1,MAX($U$2:$U1832)+1,IF(AND($T1833&lt;&gt;"",$T1833=$T1832),$U1832,IF(B1833="x",U1832,"")))</f>
        <v/>
      </c>
      <c r="V1833" t="str">
        <f>IF(C1833=1,MAX($V$2:$V1832)+1,IF(AND($T1833&lt;&gt;"",$T1833=$T1832),$U1832,IF(C1833="x",V1832,"")))</f>
        <v/>
      </c>
      <c r="X1833" cm="1">
        <f t="array" ref="X1833">IF($I1833&lt;&gt;"",$I1833,INDEX($I$1:$I1833,ROW()-COUNTIFS($T$1:$T1833,"="&amp;$T1833,$S$1:$S1833,"&lt;"&amp;$S1833)))</f>
        <v>0</v>
      </c>
      <c r="Z1833" s="6">
        <f t="shared" si="270"/>
        <v>1</v>
      </c>
      <c r="AA1833" t="e">
        <f t="shared" si="271"/>
        <v>#VALUE!</v>
      </c>
      <c r="AB1833" t="str">
        <f t="shared" si="272"/>
        <v/>
      </c>
      <c r="AC1833" t="e">
        <f t="shared" si="273"/>
        <v>#VALUE!</v>
      </c>
    </row>
    <row r="1834" spans="1:29" x14ac:dyDescent="0.2">
      <c r="A1834" t="str">
        <f t="shared" si="274"/>
        <v/>
      </c>
      <c r="E1834" s="4"/>
      <c r="F1834" s="46"/>
      <c r="G1834" s="4"/>
      <c r="H1834" s="48"/>
      <c r="J1834" s="26" t="str">
        <f t="shared" si="275"/>
        <v/>
      </c>
      <c r="N1834" t="str">
        <f t="shared" si="276"/>
        <v/>
      </c>
      <c r="Q1834" t="str">
        <f t="shared" si="277"/>
        <v/>
      </c>
      <c r="S1834" t="str">
        <f>IF(A1834=1,MAX($S$2:$S1833)+1,IF(OR($I1834&lt;&gt;"",A1834="x"),$S1833,""))</f>
        <v/>
      </c>
      <c r="T1834" t="str">
        <f>IF(D1834=1,MAX($T$2:$T1833)+1,IF(S1834=S1833,$T1833,IF(D1834="x",T1833,IF(D1833="x","",""))))</f>
        <v/>
      </c>
      <c r="U1834" t="str">
        <f>IF(B1834=1,MAX($U$2:$U1833)+1,IF(AND($T1834&lt;&gt;"",$T1834=$T1833),$U1833,IF(B1834="x",U1833,"")))</f>
        <v/>
      </c>
      <c r="V1834" t="str">
        <f>IF(C1834=1,MAX($V$2:$V1833)+1,IF(AND($T1834&lt;&gt;"",$T1834=$T1833),$U1833,IF(C1834="x",V1833,"")))</f>
        <v/>
      </c>
      <c r="X1834" cm="1">
        <f t="array" ref="X1834">IF($I1834&lt;&gt;"",$I1834,INDEX($I$1:$I1834,ROW()-COUNTIFS($T$1:$T1834,"="&amp;$T1834,$S$1:$S1834,"&lt;"&amp;$S1834)))</f>
        <v>0</v>
      </c>
      <c r="Z1834" s="6">
        <f t="shared" si="270"/>
        <v>1</v>
      </c>
      <c r="AA1834" t="e">
        <f t="shared" si="271"/>
        <v>#VALUE!</v>
      </c>
      <c r="AB1834" t="str">
        <f t="shared" si="272"/>
        <v/>
      </c>
      <c r="AC1834" t="e">
        <f t="shared" si="273"/>
        <v>#VALUE!</v>
      </c>
    </row>
    <row r="1835" spans="1:29" x14ac:dyDescent="0.2">
      <c r="A1835" t="str">
        <f t="shared" si="274"/>
        <v/>
      </c>
      <c r="E1835" s="4"/>
      <c r="F1835" s="46"/>
      <c r="G1835" s="4"/>
      <c r="H1835" s="48"/>
      <c r="J1835" s="26" t="str">
        <f t="shared" si="275"/>
        <v/>
      </c>
      <c r="N1835" t="str">
        <f t="shared" si="276"/>
        <v/>
      </c>
      <c r="Q1835" t="str">
        <f t="shared" si="277"/>
        <v/>
      </c>
      <c r="S1835" t="str">
        <f>IF(A1835=1,MAX($S$2:$S1834)+1,IF(OR($I1835&lt;&gt;"",A1835="x"),$S1834,""))</f>
        <v/>
      </c>
      <c r="T1835" t="str">
        <f>IF(D1835=1,MAX($T$2:$T1834)+1,IF(S1835=S1834,$T1834,IF(D1835="x",T1834,IF(D1834="x","",""))))</f>
        <v/>
      </c>
      <c r="U1835" t="str">
        <f>IF(B1835=1,MAX($U$2:$U1834)+1,IF(AND($T1835&lt;&gt;"",$T1835=$T1834),$U1834,IF(B1835="x",U1834,"")))</f>
        <v/>
      </c>
      <c r="V1835" t="str">
        <f>IF(C1835=1,MAX($V$2:$V1834)+1,IF(AND($T1835&lt;&gt;"",$T1835=$T1834),$U1834,IF(C1835="x",V1834,"")))</f>
        <v/>
      </c>
      <c r="X1835" cm="1">
        <f t="array" ref="X1835">IF($I1835&lt;&gt;"",$I1835,INDEX($I$1:$I1835,ROW()-COUNTIFS($T$1:$T1835,"="&amp;$T1835,$S$1:$S1835,"&lt;"&amp;$S1835)))</f>
        <v>0</v>
      </c>
      <c r="Z1835" s="6">
        <f t="shared" si="270"/>
        <v>1</v>
      </c>
      <c r="AA1835" t="e">
        <f t="shared" si="271"/>
        <v>#VALUE!</v>
      </c>
      <c r="AB1835" t="str">
        <f t="shared" si="272"/>
        <v/>
      </c>
      <c r="AC1835" t="e">
        <f t="shared" si="273"/>
        <v>#VALUE!</v>
      </c>
    </row>
    <row r="1836" spans="1:29" x14ac:dyDescent="0.2">
      <c r="A1836" t="str">
        <f t="shared" si="274"/>
        <v/>
      </c>
      <c r="E1836" s="4"/>
      <c r="F1836" s="46"/>
      <c r="G1836" s="4"/>
      <c r="H1836" s="48"/>
      <c r="J1836" s="26" t="str">
        <f t="shared" si="275"/>
        <v/>
      </c>
      <c r="N1836" t="str">
        <f t="shared" si="276"/>
        <v/>
      </c>
      <c r="Q1836" t="str">
        <f t="shared" si="277"/>
        <v/>
      </c>
      <c r="S1836" t="str">
        <f>IF(A1836=1,MAX($S$2:$S1835)+1,IF(OR($I1836&lt;&gt;"",A1836="x"),$S1835,""))</f>
        <v/>
      </c>
      <c r="T1836" t="str">
        <f>IF(D1836=1,MAX($T$2:$T1835)+1,IF(S1836=S1835,$T1835,IF(D1836="x",T1835,IF(D1835="x","",""))))</f>
        <v/>
      </c>
      <c r="U1836" t="str">
        <f>IF(B1836=1,MAX($U$2:$U1835)+1,IF(AND($T1836&lt;&gt;"",$T1836=$T1835),$U1835,IF(B1836="x",U1835,"")))</f>
        <v/>
      </c>
      <c r="V1836" t="str">
        <f>IF(C1836=1,MAX($V$2:$V1835)+1,IF(AND($T1836&lt;&gt;"",$T1836=$T1835),$U1835,IF(C1836="x",V1835,"")))</f>
        <v/>
      </c>
      <c r="X1836" cm="1">
        <f t="array" ref="X1836">IF($I1836&lt;&gt;"",$I1836,INDEX($I$1:$I1836,ROW()-COUNTIFS($T$1:$T1836,"="&amp;$T1836,$S$1:$S1836,"&lt;"&amp;$S1836)))</f>
        <v>0</v>
      </c>
      <c r="Z1836" s="6">
        <f t="shared" si="270"/>
        <v>1</v>
      </c>
      <c r="AA1836" t="e">
        <f t="shared" si="271"/>
        <v>#VALUE!</v>
      </c>
      <c r="AB1836" t="str">
        <f t="shared" si="272"/>
        <v/>
      </c>
      <c r="AC1836" t="e">
        <f t="shared" si="273"/>
        <v>#VALUE!</v>
      </c>
    </row>
    <row r="1837" spans="1:29" x14ac:dyDescent="0.2">
      <c r="A1837" t="str">
        <f t="shared" si="274"/>
        <v/>
      </c>
      <c r="E1837" s="4"/>
      <c r="F1837" s="46"/>
      <c r="G1837" s="4"/>
      <c r="H1837" s="48"/>
      <c r="J1837" s="26" t="str">
        <f t="shared" si="275"/>
        <v/>
      </c>
      <c r="N1837" t="str">
        <f t="shared" si="276"/>
        <v/>
      </c>
      <c r="Q1837" t="str">
        <f t="shared" si="277"/>
        <v/>
      </c>
      <c r="S1837" t="str">
        <f>IF(A1837=1,MAX($S$2:$S1836)+1,IF(OR($I1837&lt;&gt;"",A1837="x"),$S1836,""))</f>
        <v/>
      </c>
      <c r="T1837" t="str">
        <f>IF(D1837=1,MAX($T$2:$T1836)+1,IF(S1837=S1836,$T1836,IF(D1837="x",T1836,IF(D1836="x","",""))))</f>
        <v/>
      </c>
      <c r="U1837" t="str">
        <f>IF(B1837=1,MAX($U$2:$U1836)+1,IF(AND($T1837&lt;&gt;"",$T1837=$T1836),$U1836,IF(B1837="x",U1836,"")))</f>
        <v/>
      </c>
      <c r="V1837" t="str">
        <f>IF(C1837=1,MAX($V$2:$V1836)+1,IF(AND($T1837&lt;&gt;"",$T1837=$T1836),$U1836,IF(C1837="x",V1836,"")))</f>
        <v/>
      </c>
      <c r="X1837" cm="1">
        <f t="array" ref="X1837">IF($I1837&lt;&gt;"",$I1837,INDEX($I$1:$I1837,ROW()-COUNTIFS($T$1:$T1837,"="&amp;$T1837,$S$1:$S1837,"&lt;"&amp;$S1837)))</f>
        <v>0</v>
      </c>
      <c r="Z1837" s="6">
        <f t="shared" si="270"/>
        <v>1</v>
      </c>
      <c r="AA1837" t="e">
        <f t="shared" si="271"/>
        <v>#VALUE!</v>
      </c>
      <c r="AB1837" t="str">
        <f t="shared" si="272"/>
        <v/>
      </c>
      <c r="AC1837" t="e">
        <f t="shared" si="273"/>
        <v>#VALUE!</v>
      </c>
    </row>
    <row r="1838" spans="1:29" x14ac:dyDescent="0.2">
      <c r="A1838" t="str">
        <f t="shared" si="274"/>
        <v/>
      </c>
      <c r="E1838" s="4"/>
      <c r="F1838" s="46"/>
      <c r="G1838" s="4"/>
      <c r="H1838" s="48"/>
      <c r="J1838" s="26" t="str">
        <f t="shared" si="275"/>
        <v/>
      </c>
      <c r="N1838" t="str">
        <f t="shared" si="276"/>
        <v/>
      </c>
      <c r="Q1838" t="str">
        <f t="shared" si="277"/>
        <v/>
      </c>
      <c r="S1838" t="str">
        <f>IF(A1838=1,MAX($S$2:$S1837)+1,IF(OR($I1838&lt;&gt;"",A1838="x"),$S1837,""))</f>
        <v/>
      </c>
      <c r="T1838" t="str">
        <f>IF(D1838=1,MAX($T$2:$T1837)+1,IF(S1838=S1837,$T1837,IF(D1838="x",T1837,IF(D1837="x","",""))))</f>
        <v/>
      </c>
      <c r="U1838" t="str">
        <f>IF(B1838=1,MAX($U$2:$U1837)+1,IF(AND($T1838&lt;&gt;"",$T1838=$T1837),$U1837,IF(B1838="x",U1837,"")))</f>
        <v/>
      </c>
      <c r="V1838" t="str">
        <f>IF(C1838=1,MAX($V$2:$V1837)+1,IF(AND($T1838&lt;&gt;"",$T1838=$T1837),$U1837,IF(C1838="x",V1837,"")))</f>
        <v/>
      </c>
      <c r="X1838" cm="1">
        <f t="array" ref="X1838">IF($I1838&lt;&gt;"",$I1838,INDEX($I$1:$I1838,ROW()-COUNTIFS($T$1:$T1838,"="&amp;$T1838,$S$1:$S1838,"&lt;"&amp;$S1838)))</f>
        <v>0</v>
      </c>
      <c r="Z1838" s="6">
        <f t="shared" si="270"/>
        <v>1</v>
      </c>
      <c r="AA1838" t="e">
        <f t="shared" si="271"/>
        <v>#VALUE!</v>
      </c>
      <c r="AB1838" t="str">
        <f t="shared" si="272"/>
        <v/>
      </c>
      <c r="AC1838" t="e">
        <f t="shared" si="273"/>
        <v>#VALUE!</v>
      </c>
    </row>
    <row r="1839" spans="1:29" x14ac:dyDescent="0.2">
      <c r="A1839" t="str">
        <f t="shared" si="274"/>
        <v/>
      </c>
      <c r="E1839" s="4"/>
      <c r="F1839" s="46"/>
      <c r="G1839" s="4"/>
      <c r="H1839" s="48"/>
      <c r="J1839" s="26" t="str">
        <f t="shared" si="275"/>
        <v/>
      </c>
      <c r="N1839" t="str">
        <f t="shared" si="276"/>
        <v/>
      </c>
      <c r="Q1839" t="str">
        <f t="shared" si="277"/>
        <v/>
      </c>
      <c r="S1839" t="str">
        <f>IF(A1839=1,MAX($S$2:$S1838)+1,IF(OR($I1839&lt;&gt;"",A1839="x"),$S1838,""))</f>
        <v/>
      </c>
      <c r="T1839" t="str">
        <f>IF(D1839=1,MAX($T$2:$T1838)+1,IF(S1839=S1838,$T1838,IF(D1839="x",T1838,IF(D1838="x","",""))))</f>
        <v/>
      </c>
      <c r="U1839" t="str">
        <f>IF(B1839=1,MAX($U$2:$U1838)+1,IF(AND($T1839&lt;&gt;"",$T1839=$T1838),$U1838,IF(B1839="x",U1838,"")))</f>
        <v/>
      </c>
      <c r="V1839" t="str">
        <f>IF(C1839=1,MAX($V$2:$V1838)+1,IF(AND($T1839&lt;&gt;"",$T1839=$T1838),$U1838,IF(C1839="x",V1838,"")))</f>
        <v/>
      </c>
      <c r="X1839" cm="1">
        <f t="array" ref="X1839">IF($I1839&lt;&gt;"",$I1839,INDEX($I$1:$I1839,ROW()-COUNTIFS($T$1:$T1839,"="&amp;$T1839,$S$1:$S1839,"&lt;"&amp;$S1839)))</f>
        <v>0</v>
      </c>
      <c r="Z1839" s="6">
        <f t="shared" si="270"/>
        <v>1</v>
      </c>
      <c r="AA1839" t="e">
        <f t="shared" si="271"/>
        <v>#VALUE!</v>
      </c>
      <c r="AB1839" t="str">
        <f t="shared" si="272"/>
        <v/>
      </c>
      <c r="AC1839" t="e">
        <f t="shared" si="273"/>
        <v>#VALUE!</v>
      </c>
    </row>
    <row r="1840" spans="1:29" x14ac:dyDescent="0.2">
      <c r="A1840" t="str">
        <f t="shared" si="274"/>
        <v/>
      </c>
      <c r="E1840" s="4"/>
      <c r="F1840" s="46"/>
      <c r="G1840" s="4"/>
      <c r="H1840" s="48"/>
      <c r="J1840" s="26" t="str">
        <f t="shared" si="275"/>
        <v/>
      </c>
      <c r="N1840" t="str">
        <f t="shared" si="276"/>
        <v/>
      </c>
      <c r="Q1840" t="str">
        <f t="shared" si="277"/>
        <v/>
      </c>
      <c r="S1840" t="str">
        <f>IF(A1840=1,MAX($S$2:$S1839)+1,IF(OR($I1840&lt;&gt;"",A1840="x"),$S1839,""))</f>
        <v/>
      </c>
      <c r="T1840" t="str">
        <f>IF(D1840=1,MAX($T$2:$T1839)+1,IF(S1840=S1839,$T1839,IF(D1840="x",T1839,IF(D1839="x","",""))))</f>
        <v/>
      </c>
      <c r="U1840" t="str">
        <f>IF(B1840=1,MAX($U$2:$U1839)+1,IF(AND($T1840&lt;&gt;"",$T1840=$T1839),$U1839,IF(B1840="x",U1839,"")))</f>
        <v/>
      </c>
      <c r="V1840" t="str">
        <f>IF(C1840=1,MAX($V$2:$V1839)+1,IF(AND($T1840&lt;&gt;"",$T1840=$T1839),$U1839,IF(C1840="x",V1839,"")))</f>
        <v/>
      </c>
      <c r="X1840" cm="1">
        <f t="array" ref="X1840">IF($I1840&lt;&gt;"",$I1840,INDEX($I$1:$I1840,ROW()-COUNTIFS($T$1:$T1840,"="&amp;$T1840,$S$1:$S1840,"&lt;"&amp;$S1840)))</f>
        <v>0</v>
      </c>
      <c r="Z1840" s="6">
        <f t="shared" si="270"/>
        <v>1</v>
      </c>
      <c r="AA1840" t="e">
        <f t="shared" si="271"/>
        <v>#VALUE!</v>
      </c>
      <c r="AB1840" t="str">
        <f t="shared" si="272"/>
        <v/>
      </c>
      <c r="AC1840" t="e">
        <f t="shared" si="273"/>
        <v>#VALUE!</v>
      </c>
    </row>
    <row r="1841" spans="1:29" x14ac:dyDescent="0.2">
      <c r="A1841" t="str">
        <f t="shared" si="274"/>
        <v/>
      </c>
      <c r="E1841" s="4"/>
      <c r="F1841" s="46"/>
      <c r="G1841" s="4"/>
      <c r="H1841" s="48"/>
      <c r="J1841" s="26" t="str">
        <f t="shared" si="275"/>
        <v/>
      </c>
      <c r="N1841" t="str">
        <f t="shared" si="276"/>
        <v/>
      </c>
      <c r="Q1841" t="str">
        <f t="shared" si="277"/>
        <v/>
      </c>
      <c r="S1841" t="str">
        <f>IF(A1841=1,MAX($S$2:$S1840)+1,IF(OR($I1841&lt;&gt;"",A1841="x"),$S1840,""))</f>
        <v/>
      </c>
      <c r="T1841" t="str">
        <f>IF(D1841=1,MAX($T$2:$T1840)+1,IF(S1841=S1840,$T1840,IF(D1841="x",T1840,IF(D1840="x","",""))))</f>
        <v/>
      </c>
      <c r="U1841" t="str">
        <f>IF(B1841=1,MAX($U$2:$U1840)+1,IF(AND($T1841&lt;&gt;"",$T1841=$T1840),$U1840,IF(B1841="x",U1840,"")))</f>
        <v/>
      </c>
      <c r="V1841" t="str">
        <f>IF(C1841=1,MAX($V$2:$V1840)+1,IF(AND($T1841&lt;&gt;"",$T1841=$T1840),$U1840,IF(C1841="x",V1840,"")))</f>
        <v/>
      </c>
      <c r="X1841" cm="1">
        <f t="array" ref="X1841">IF($I1841&lt;&gt;"",$I1841,INDEX($I$1:$I1841,ROW()-COUNTIFS($T$1:$T1841,"="&amp;$T1841,$S$1:$S1841,"&lt;"&amp;$S1841)))</f>
        <v>0</v>
      </c>
      <c r="Z1841" s="6">
        <f t="shared" si="270"/>
        <v>1</v>
      </c>
      <c r="AA1841" t="e">
        <f t="shared" si="271"/>
        <v>#VALUE!</v>
      </c>
      <c r="AB1841" t="str">
        <f t="shared" si="272"/>
        <v/>
      </c>
      <c r="AC1841" t="e">
        <f t="shared" si="273"/>
        <v>#VALUE!</v>
      </c>
    </row>
    <row r="1842" spans="1:29" x14ac:dyDescent="0.2">
      <c r="A1842" t="str">
        <f t="shared" si="274"/>
        <v/>
      </c>
      <c r="E1842" s="4"/>
      <c r="F1842" s="46"/>
      <c r="G1842" s="4"/>
      <c r="H1842" s="48"/>
      <c r="J1842" s="26" t="str">
        <f t="shared" si="275"/>
        <v/>
      </c>
      <c r="N1842" t="str">
        <f t="shared" si="276"/>
        <v/>
      </c>
      <c r="Q1842" t="str">
        <f t="shared" si="277"/>
        <v/>
      </c>
      <c r="S1842" t="str">
        <f>IF(A1842=1,MAX($S$2:$S1841)+1,IF(OR($I1842&lt;&gt;"",A1842="x"),$S1841,""))</f>
        <v/>
      </c>
      <c r="T1842" t="str">
        <f>IF(D1842=1,MAX($T$2:$T1841)+1,IF(S1842=S1841,$T1841,IF(D1842="x",T1841,IF(D1841="x","",""))))</f>
        <v/>
      </c>
      <c r="U1842" t="str">
        <f>IF(B1842=1,MAX($U$2:$U1841)+1,IF(AND($T1842&lt;&gt;"",$T1842=$T1841),$U1841,IF(B1842="x",U1841,"")))</f>
        <v/>
      </c>
      <c r="V1842" t="str">
        <f>IF(C1842=1,MAX($V$2:$V1841)+1,IF(AND($T1842&lt;&gt;"",$T1842=$T1841),$U1841,IF(C1842="x",V1841,"")))</f>
        <v/>
      </c>
      <c r="X1842" cm="1">
        <f t="array" ref="X1842">IF($I1842&lt;&gt;"",$I1842,INDEX($I$1:$I1842,ROW()-COUNTIFS($T$1:$T1842,"="&amp;$T1842,$S$1:$S1842,"&lt;"&amp;$S1842)))</f>
        <v>0</v>
      </c>
      <c r="Z1842" s="6">
        <f t="shared" si="270"/>
        <v>1</v>
      </c>
      <c r="AA1842" t="e">
        <f t="shared" si="271"/>
        <v>#VALUE!</v>
      </c>
      <c r="AB1842" t="str">
        <f t="shared" si="272"/>
        <v/>
      </c>
      <c r="AC1842" t="e">
        <f t="shared" si="273"/>
        <v>#VALUE!</v>
      </c>
    </row>
    <row r="1843" spans="1:29" x14ac:dyDescent="0.2">
      <c r="A1843" t="str">
        <f t="shared" si="274"/>
        <v/>
      </c>
      <c r="E1843" s="4"/>
      <c r="F1843" s="46"/>
      <c r="G1843" s="4"/>
      <c r="H1843" s="48"/>
      <c r="J1843" s="26" t="str">
        <f t="shared" si="275"/>
        <v/>
      </c>
      <c r="N1843" t="str">
        <f t="shared" si="276"/>
        <v/>
      </c>
      <c r="Q1843" t="str">
        <f t="shared" si="277"/>
        <v/>
      </c>
      <c r="S1843" t="str">
        <f>IF(A1843=1,MAX($S$2:$S1842)+1,IF(OR($I1843&lt;&gt;"",A1843="x"),$S1842,""))</f>
        <v/>
      </c>
      <c r="T1843" t="str">
        <f>IF(D1843=1,MAX($T$2:$T1842)+1,IF(S1843=S1842,$T1842,IF(D1843="x",T1842,IF(D1842="x","",""))))</f>
        <v/>
      </c>
      <c r="U1843" t="str">
        <f>IF(B1843=1,MAX($U$2:$U1842)+1,IF(AND($T1843&lt;&gt;"",$T1843=$T1842),$U1842,IF(B1843="x",U1842,"")))</f>
        <v/>
      </c>
      <c r="V1843" t="str">
        <f>IF(C1843=1,MAX($V$2:$V1842)+1,IF(AND($T1843&lt;&gt;"",$T1843=$T1842),$U1842,IF(C1843="x",V1842,"")))</f>
        <v/>
      </c>
      <c r="X1843" cm="1">
        <f t="array" ref="X1843">IF($I1843&lt;&gt;"",$I1843,INDEX($I$1:$I1843,ROW()-COUNTIFS($T$1:$T1843,"="&amp;$T1843,$S$1:$S1843,"&lt;"&amp;$S1843)))</f>
        <v>0</v>
      </c>
      <c r="Z1843" s="6">
        <f t="shared" si="270"/>
        <v>1</v>
      </c>
      <c r="AA1843" t="e">
        <f t="shared" si="271"/>
        <v>#VALUE!</v>
      </c>
      <c r="AB1843" t="str">
        <f t="shared" si="272"/>
        <v/>
      </c>
      <c r="AC1843" t="e">
        <f t="shared" si="273"/>
        <v>#VALUE!</v>
      </c>
    </row>
    <row r="1844" spans="1:29" x14ac:dyDescent="0.2">
      <c r="A1844" t="str">
        <f t="shared" si="274"/>
        <v/>
      </c>
      <c r="E1844" s="4"/>
      <c r="F1844" s="46"/>
      <c r="G1844" s="4"/>
      <c r="H1844" s="48"/>
      <c r="J1844" s="26" t="str">
        <f t="shared" si="275"/>
        <v/>
      </c>
      <c r="N1844" t="str">
        <f t="shared" si="276"/>
        <v/>
      </c>
      <c r="Q1844" t="str">
        <f t="shared" si="277"/>
        <v/>
      </c>
      <c r="S1844" t="str">
        <f>IF(A1844=1,MAX($S$2:$S1843)+1,IF(OR($I1844&lt;&gt;"",A1844="x"),$S1843,""))</f>
        <v/>
      </c>
      <c r="T1844" t="str">
        <f>IF(D1844=1,MAX($T$2:$T1843)+1,IF(S1844=S1843,$T1843,IF(D1844="x",T1843,IF(D1843="x","",""))))</f>
        <v/>
      </c>
      <c r="U1844" t="str">
        <f>IF(B1844=1,MAX($U$2:$U1843)+1,IF(AND($T1844&lt;&gt;"",$T1844=$T1843),$U1843,IF(B1844="x",U1843,"")))</f>
        <v/>
      </c>
      <c r="V1844" t="str">
        <f>IF(C1844=1,MAX($V$2:$V1843)+1,IF(AND($T1844&lt;&gt;"",$T1844=$T1843),$U1843,IF(C1844="x",V1843,"")))</f>
        <v/>
      </c>
      <c r="X1844" cm="1">
        <f t="array" ref="X1844">IF($I1844&lt;&gt;"",$I1844,INDEX($I$1:$I1844,ROW()-COUNTIFS($T$1:$T1844,"="&amp;$T1844,$S$1:$S1844,"&lt;"&amp;$S1844)))</f>
        <v>0</v>
      </c>
      <c r="Z1844" s="6">
        <f t="shared" si="270"/>
        <v>1</v>
      </c>
      <c r="AA1844" t="e">
        <f t="shared" si="271"/>
        <v>#VALUE!</v>
      </c>
      <c r="AB1844" t="str">
        <f t="shared" si="272"/>
        <v/>
      </c>
      <c r="AC1844" t="e">
        <f t="shared" si="273"/>
        <v>#VALUE!</v>
      </c>
    </row>
    <row r="1845" spans="1:29" x14ac:dyDescent="0.2">
      <c r="A1845" t="str">
        <f t="shared" si="274"/>
        <v/>
      </c>
      <c r="E1845" s="4"/>
      <c r="F1845" s="46"/>
      <c r="G1845" s="4"/>
      <c r="H1845" s="48"/>
      <c r="J1845" s="26" t="str">
        <f t="shared" si="275"/>
        <v/>
      </c>
      <c r="N1845" t="str">
        <f t="shared" si="276"/>
        <v/>
      </c>
      <c r="Q1845" t="str">
        <f t="shared" si="277"/>
        <v/>
      </c>
      <c r="S1845" t="str">
        <f>IF(A1845=1,MAX($S$2:$S1844)+1,IF(OR($I1845&lt;&gt;"",A1845="x"),$S1844,""))</f>
        <v/>
      </c>
      <c r="T1845" t="str">
        <f>IF(D1845=1,MAX($T$2:$T1844)+1,IF(S1845=S1844,$T1844,IF(D1845="x",T1844,IF(D1844="x","",""))))</f>
        <v/>
      </c>
      <c r="U1845" t="str">
        <f>IF(B1845=1,MAX($U$2:$U1844)+1,IF(AND($T1845&lt;&gt;"",$T1845=$T1844),$U1844,IF(B1845="x",U1844,"")))</f>
        <v/>
      </c>
      <c r="V1845" t="str">
        <f>IF(C1845=1,MAX($V$2:$V1844)+1,IF(AND($T1845&lt;&gt;"",$T1845=$T1844),$U1844,IF(C1845="x",V1844,"")))</f>
        <v/>
      </c>
      <c r="X1845" cm="1">
        <f t="array" ref="X1845">IF($I1845&lt;&gt;"",$I1845,INDEX($I$1:$I1845,ROW()-COUNTIFS($T$1:$T1845,"="&amp;$T1845,$S$1:$S1845,"&lt;"&amp;$S1845)))</f>
        <v>0</v>
      </c>
      <c r="Z1845" s="6">
        <f t="shared" si="270"/>
        <v>1</v>
      </c>
      <c r="AA1845" t="e">
        <f t="shared" si="271"/>
        <v>#VALUE!</v>
      </c>
      <c r="AB1845" t="str">
        <f t="shared" si="272"/>
        <v/>
      </c>
      <c r="AC1845" t="e">
        <f t="shared" si="273"/>
        <v>#VALUE!</v>
      </c>
    </row>
    <row r="1846" spans="1:29" x14ac:dyDescent="0.2">
      <c r="A1846" t="str">
        <f t="shared" si="274"/>
        <v/>
      </c>
      <c r="E1846" s="4"/>
      <c r="F1846" s="46"/>
      <c r="G1846" s="4"/>
      <c r="H1846" s="48"/>
      <c r="J1846" s="26" t="str">
        <f t="shared" si="275"/>
        <v/>
      </c>
      <c r="N1846" t="str">
        <f t="shared" si="276"/>
        <v/>
      </c>
      <c r="Q1846" t="str">
        <f t="shared" si="277"/>
        <v/>
      </c>
      <c r="S1846" t="str">
        <f>IF(A1846=1,MAX($S$2:$S1845)+1,IF(OR($I1846&lt;&gt;"",A1846="x"),$S1845,""))</f>
        <v/>
      </c>
      <c r="T1846" t="str">
        <f>IF(D1846=1,MAX($T$2:$T1845)+1,IF(S1846=S1845,$T1845,IF(D1846="x",T1845,IF(D1845="x","",""))))</f>
        <v/>
      </c>
      <c r="U1846" t="str">
        <f>IF(B1846=1,MAX($U$2:$U1845)+1,IF(AND($T1846&lt;&gt;"",$T1846=$T1845),$U1845,IF(B1846="x",U1845,"")))</f>
        <v/>
      </c>
      <c r="V1846" t="str">
        <f>IF(C1846=1,MAX($V$2:$V1845)+1,IF(AND($T1846&lt;&gt;"",$T1846=$T1845),$U1845,IF(C1846="x",V1845,"")))</f>
        <v/>
      </c>
      <c r="X1846" cm="1">
        <f t="array" ref="X1846">IF($I1846&lt;&gt;"",$I1846,INDEX($I$1:$I1846,ROW()-COUNTIFS($T$1:$T1846,"="&amp;$T1846,$S$1:$S1846,"&lt;"&amp;$S1846)))</f>
        <v>0</v>
      </c>
      <c r="Z1846" s="6">
        <f t="shared" si="270"/>
        <v>1</v>
      </c>
      <c r="AA1846" t="e">
        <f t="shared" si="271"/>
        <v>#VALUE!</v>
      </c>
      <c r="AB1846" t="str">
        <f t="shared" si="272"/>
        <v/>
      </c>
      <c r="AC1846" t="e">
        <f t="shared" si="273"/>
        <v>#VALUE!</v>
      </c>
    </row>
    <row r="1847" spans="1:29" x14ac:dyDescent="0.2">
      <c r="A1847" t="str">
        <f t="shared" si="274"/>
        <v/>
      </c>
      <c r="E1847" s="4"/>
      <c r="F1847" s="46"/>
      <c r="G1847" s="4"/>
      <c r="H1847" s="48"/>
      <c r="J1847" s="26" t="str">
        <f t="shared" si="275"/>
        <v/>
      </c>
      <c r="N1847" t="str">
        <f t="shared" si="276"/>
        <v/>
      </c>
      <c r="Q1847" t="str">
        <f t="shared" si="277"/>
        <v/>
      </c>
      <c r="S1847" t="str">
        <f>IF(A1847=1,MAX($S$2:$S1846)+1,IF(OR($I1847&lt;&gt;"",A1847="x"),$S1846,""))</f>
        <v/>
      </c>
      <c r="T1847" t="str">
        <f>IF(D1847=1,MAX($T$2:$T1846)+1,IF(S1847=S1846,$T1846,IF(D1847="x",T1846,IF(D1846="x","",""))))</f>
        <v/>
      </c>
      <c r="U1847" t="str">
        <f>IF(B1847=1,MAX($U$2:$U1846)+1,IF(AND($T1847&lt;&gt;"",$T1847=$T1846),$U1846,IF(B1847="x",U1846,"")))</f>
        <v/>
      </c>
      <c r="V1847" t="str">
        <f>IF(C1847=1,MAX($V$2:$V1846)+1,IF(AND($T1847&lt;&gt;"",$T1847=$T1846),$U1846,IF(C1847="x",V1846,"")))</f>
        <v/>
      </c>
      <c r="X1847" cm="1">
        <f t="array" ref="X1847">IF($I1847&lt;&gt;"",$I1847,INDEX($I$1:$I1847,ROW()-COUNTIFS($T$1:$T1847,"="&amp;$T1847,$S$1:$S1847,"&lt;"&amp;$S1847)))</f>
        <v>0</v>
      </c>
      <c r="Z1847" s="6">
        <f t="shared" si="270"/>
        <v>1</v>
      </c>
      <c r="AA1847" t="e">
        <f t="shared" si="271"/>
        <v>#VALUE!</v>
      </c>
      <c r="AB1847" t="str">
        <f t="shared" si="272"/>
        <v/>
      </c>
      <c r="AC1847" t="e">
        <f t="shared" si="273"/>
        <v>#VALUE!</v>
      </c>
    </row>
    <row r="1848" spans="1:29" x14ac:dyDescent="0.2">
      <c r="A1848" t="str">
        <f t="shared" si="274"/>
        <v/>
      </c>
      <c r="E1848" s="4"/>
      <c r="F1848" s="46"/>
      <c r="G1848" s="4"/>
      <c r="H1848" s="48"/>
      <c r="J1848" s="26" t="str">
        <f t="shared" si="275"/>
        <v/>
      </c>
      <c r="N1848" t="str">
        <f t="shared" si="276"/>
        <v/>
      </c>
      <c r="Q1848" t="str">
        <f t="shared" si="277"/>
        <v/>
      </c>
      <c r="S1848" t="str">
        <f>IF(A1848=1,MAX($S$2:$S1847)+1,IF(OR($I1848&lt;&gt;"",A1848="x"),$S1847,""))</f>
        <v/>
      </c>
      <c r="T1848" t="str">
        <f>IF(D1848=1,MAX($T$2:$T1847)+1,IF(S1848=S1847,$T1847,IF(D1848="x",T1847,IF(D1847="x","",""))))</f>
        <v/>
      </c>
      <c r="U1848" t="str">
        <f>IF(B1848=1,MAX($U$2:$U1847)+1,IF(AND($T1848&lt;&gt;"",$T1848=$T1847),$U1847,IF(B1848="x",U1847,"")))</f>
        <v/>
      </c>
      <c r="V1848" t="str">
        <f>IF(C1848=1,MAX($V$2:$V1847)+1,IF(AND($T1848&lt;&gt;"",$T1848=$T1847),$U1847,IF(C1848="x",V1847,"")))</f>
        <v/>
      </c>
      <c r="X1848" cm="1">
        <f t="array" ref="X1848">IF($I1848&lt;&gt;"",$I1848,INDEX($I$1:$I1848,ROW()-COUNTIFS($T$1:$T1848,"="&amp;$T1848,$S$1:$S1848,"&lt;"&amp;$S1848)))</f>
        <v>0</v>
      </c>
      <c r="Z1848" s="6">
        <f t="shared" si="270"/>
        <v>1</v>
      </c>
      <c r="AA1848" t="e">
        <f t="shared" si="271"/>
        <v>#VALUE!</v>
      </c>
      <c r="AB1848" t="str">
        <f t="shared" si="272"/>
        <v/>
      </c>
      <c r="AC1848" t="e">
        <f t="shared" si="273"/>
        <v>#VALUE!</v>
      </c>
    </row>
    <row r="1849" spans="1:29" x14ac:dyDescent="0.2">
      <c r="A1849" t="str">
        <f t="shared" si="274"/>
        <v/>
      </c>
      <c r="E1849" s="4"/>
      <c r="F1849" s="46"/>
      <c r="G1849" s="4"/>
      <c r="H1849" s="48"/>
      <c r="J1849" s="26" t="str">
        <f t="shared" si="275"/>
        <v/>
      </c>
      <c r="N1849" t="str">
        <f t="shared" si="276"/>
        <v/>
      </c>
      <c r="Q1849" t="str">
        <f t="shared" si="277"/>
        <v/>
      </c>
      <c r="S1849" t="str">
        <f>IF(A1849=1,MAX($S$2:$S1848)+1,IF(OR($I1849&lt;&gt;"",A1849="x"),$S1848,""))</f>
        <v/>
      </c>
      <c r="T1849" t="str">
        <f>IF(D1849=1,MAX($T$2:$T1848)+1,IF(S1849=S1848,$T1848,IF(D1849="x",T1848,IF(D1848="x","",""))))</f>
        <v/>
      </c>
      <c r="U1849" t="str">
        <f>IF(B1849=1,MAX($U$2:$U1848)+1,IF(AND($T1849&lt;&gt;"",$T1849=$T1848),$U1848,IF(B1849="x",U1848,"")))</f>
        <v/>
      </c>
      <c r="V1849" t="str">
        <f>IF(C1849=1,MAX($V$2:$V1848)+1,IF(AND($T1849&lt;&gt;"",$T1849=$T1848),$U1848,IF(C1849="x",V1848,"")))</f>
        <v/>
      </c>
      <c r="X1849" cm="1">
        <f t="array" ref="X1849">IF($I1849&lt;&gt;"",$I1849,INDEX($I$1:$I1849,ROW()-COUNTIFS($T$1:$T1849,"="&amp;$T1849,$S$1:$S1849,"&lt;"&amp;$S1849)))</f>
        <v>0</v>
      </c>
      <c r="Z1849" s="6">
        <f t="shared" si="270"/>
        <v>1</v>
      </c>
      <c r="AA1849" t="e">
        <f t="shared" si="271"/>
        <v>#VALUE!</v>
      </c>
      <c r="AB1849" t="str">
        <f t="shared" si="272"/>
        <v/>
      </c>
      <c r="AC1849" t="e">
        <f t="shared" si="273"/>
        <v>#VALUE!</v>
      </c>
    </row>
    <row r="1850" spans="1:29" x14ac:dyDescent="0.2">
      <c r="A1850" t="str">
        <f t="shared" si="274"/>
        <v/>
      </c>
      <c r="E1850" s="4"/>
      <c r="F1850" s="46"/>
      <c r="G1850" s="4"/>
      <c r="H1850" s="48"/>
      <c r="J1850" s="26" t="str">
        <f t="shared" si="275"/>
        <v/>
      </c>
      <c r="N1850" t="str">
        <f t="shared" si="276"/>
        <v/>
      </c>
      <c r="Q1850" t="str">
        <f t="shared" si="277"/>
        <v/>
      </c>
      <c r="S1850" t="str">
        <f>IF(A1850=1,MAX($S$2:$S1849)+1,IF(OR($I1850&lt;&gt;"",A1850="x"),$S1849,""))</f>
        <v/>
      </c>
      <c r="T1850" t="str">
        <f>IF(D1850=1,MAX($T$2:$T1849)+1,IF(S1850=S1849,$T1849,IF(D1850="x",T1849,IF(D1849="x","",""))))</f>
        <v/>
      </c>
      <c r="U1850" t="str">
        <f>IF(B1850=1,MAX($U$2:$U1849)+1,IF(AND($T1850&lt;&gt;"",$T1850=$T1849),$U1849,IF(B1850="x",U1849,"")))</f>
        <v/>
      </c>
      <c r="V1850" t="str">
        <f>IF(C1850=1,MAX($V$2:$V1849)+1,IF(AND($T1850&lt;&gt;"",$T1850=$T1849),$U1849,IF(C1850="x",V1849,"")))</f>
        <v/>
      </c>
      <c r="X1850" cm="1">
        <f t="array" ref="X1850">IF($I1850&lt;&gt;"",$I1850,INDEX($I$1:$I1850,ROW()-COUNTIFS($T$1:$T1850,"="&amp;$T1850,$S$1:$S1850,"&lt;"&amp;$S1850)))</f>
        <v>0</v>
      </c>
      <c r="Z1850" s="6">
        <f t="shared" si="270"/>
        <v>1</v>
      </c>
      <c r="AA1850" t="e">
        <f t="shared" si="271"/>
        <v>#VALUE!</v>
      </c>
      <c r="AB1850" t="str">
        <f t="shared" si="272"/>
        <v/>
      </c>
      <c r="AC1850" t="e">
        <f t="shared" si="273"/>
        <v>#VALUE!</v>
      </c>
    </row>
    <row r="1851" spans="1:29" x14ac:dyDescent="0.2">
      <c r="A1851" t="str">
        <f t="shared" si="274"/>
        <v/>
      </c>
      <c r="E1851" s="4"/>
      <c r="F1851" s="46"/>
      <c r="G1851" s="4"/>
      <c r="H1851" s="48"/>
      <c r="J1851" s="26" t="str">
        <f t="shared" si="275"/>
        <v/>
      </c>
      <c r="N1851" t="str">
        <f t="shared" si="276"/>
        <v/>
      </c>
      <c r="Q1851" t="str">
        <f t="shared" si="277"/>
        <v/>
      </c>
      <c r="S1851" t="str">
        <f>IF(A1851=1,MAX($S$2:$S1850)+1,IF(OR($I1851&lt;&gt;"",A1851="x"),$S1850,""))</f>
        <v/>
      </c>
      <c r="T1851" t="str">
        <f>IF(D1851=1,MAX($T$2:$T1850)+1,IF(S1851=S1850,$T1850,IF(D1851="x",T1850,IF(D1850="x","",""))))</f>
        <v/>
      </c>
      <c r="U1851" t="str">
        <f>IF(B1851=1,MAX($U$2:$U1850)+1,IF(AND($T1851&lt;&gt;"",$T1851=$T1850),$U1850,IF(B1851="x",U1850,"")))</f>
        <v/>
      </c>
      <c r="V1851" t="str">
        <f>IF(C1851=1,MAX($V$2:$V1850)+1,IF(AND($T1851&lt;&gt;"",$T1851=$T1850),$U1850,IF(C1851="x",V1850,"")))</f>
        <v/>
      </c>
      <c r="X1851" cm="1">
        <f t="array" ref="X1851">IF($I1851&lt;&gt;"",$I1851,INDEX($I$1:$I1851,ROW()-COUNTIFS($T$1:$T1851,"="&amp;$T1851,$S$1:$S1851,"&lt;"&amp;$S1851)))</f>
        <v>0</v>
      </c>
      <c r="Z1851" s="6">
        <f t="shared" si="270"/>
        <v>1</v>
      </c>
      <c r="AA1851" t="e">
        <f t="shared" si="271"/>
        <v>#VALUE!</v>
      </c>
      <c r="AB1851" t="str">
        <f t="shared" si="272"/>
        <v/>
      </c>
      <c r="AC1851" t="e">
        <f t="shared" si="273"/>
        <v>#VALUE!</v>
      </c>
    </row>
    <row r="1852" spans="1:29" x14ac:dyDescent="0.2">
      <c r="A1852" t="str">
        <f t="shared" si="274"/>
        <v/>
      </c>
      <c r="E1852" s="4"/>
      <c r="F1852" s="46"/>
      <c r="G1852" s="4"/>
      <c r="H1852" s="48"/>
      <c r="J1852" s="26" t="str">
        <f t="shared" si="275"/>
        <v/>
      </c>
      <c r="N1852" t="str">
        <f t="shared" si="276"/>
        <v/>
      </c>
      <c r="Q1852" t="str">
        <f t="shared" si="277"/>
        <v/>
      </c>
      <c r="S1852" t="str">
        <f>IF(A1852=1,MAX($S$2:$S1851)+1,IF(OR($I1852&lt;&gt;"",A1852="x"),$S1851,""))</f>
        <v/>
      </c>
      <c r="T1852" t="str">
        <f>IF(D1852=1,MAX($T$2:$T1851)+1,IF(S1852=S1851,$T1851,IF(D1852="x",T1851,IF(D1851="x","",""))))</f>
        <v/>
      </c>
      <c r="U1852" t="str">
        <f>IF(B1852=1,MAX($U$2:$U1851)+1,IF(AND($T1852&lt;&gt;"",$T1852=$T1851),$U1851,IF(B1852="x",U1851,"")))</f>
        <v/>
      </c>
      <c r="V1852" t="str">
        <f>IF(C1852=1,MAX($V$2:$V1851)+1,IF(AND($T1852&lt;&gt;"",$T1852=$T1851),$U1851,IF(C1852="x",V1851,"")))</f>
        <v/>
      </c>
      <c r="X1852" cm="1">
        <f t="array" ref="X1852">IF($I1852&lt;&gt;"",$I1852,INDEX($I$1:$I1852,ROW()-COUNTIFS($T$1:$T1852,"="&amp;$T1852,$S$1:$S1852,"&lt;"&amp;$S1852)))</f>
        <v>0</v>
      </c>
      <c r="Z1852" s="6">
        <f t="shared" si="270"/>
        <v>1</v>
      </c>
      <c r="AA1852" t="e">
        <f t="shared" si="271"/>
        <v>#VALUE!</v>
      </c>
      <c r="AB1852" t="str">
        <f t="shared" si="272"/>
        <v/>
      </c>
      <c r="AC1852" t="e">
        <f t="shared" si="273"/>
        <v>#VALUE!</v>
      </c>
    </row>
    <row r="1853" spans="1:29" x14ac:dyDescent="0.2">
      <c r="A1853" t="str">
        <f t="shared" si="274"/>
        <v/>
      </c>
      <c r="E1853" s="4"/>
      <c r="F1853" s="46"/>
      <c r="G1853" s="4"/>
      <c r="H1853" s="48"/>
      <c r="J1853" s="26" t="str">
        <f t="shared" si="275"/>
        <v/>
      </c>
      <c r="N1853" t="str">
        <f t="shared" si="276"/>
        <v/>
      </c>
      <c r="Q1853" t="str">
        <f t="shared" si="277"/>
        <v/>
      </c>
      <c r="S1853" t="str">
        <f>IF(A1853=1,MAX($S$2:$S1852)+1,IF(OR($I1853&lt;&gt;"",A1853="x"),$S1852,""))</f>
        <v/>
      </c>
      <c r="T1853" t="str">
        <f>IF(D1853=1,MAX($T$2:$T1852)+1,IF(S1853=S1852,$T1852,IF(D1853="x",T1852,IF(D1852="x","",""))))</f>
        <v/>
      </c>
      <c r="U1853" t="str">
        <f>IF(B1853=1,MAX($U$2:$U1852)+1,IF(AND($T1853&lt;&gt;"",$T1853=$T1852),$U1852,IF(B1853="x",U1852,"")))</f>
        <v/>
      </c>
      <c r="V1853" t="str">
        <f>IF(C1853=1,MAX($V$2:$V1852)+1,IF(AND($T1853&lt;&gt;"",$T1853=$T1852),$U1852,IF(C1853="x",V1852,"")))</f>
        <v/>
      </c>
      <c r="X1853" cm="1">
        <f t="array" ref="X1853">IF($I1853&lt;&gt;"",$I1853,INDEX($I$1:$I1853,ROW()-COUNTIFS($T$1:$T1853,"="&amp;$T1853,$S$1:$S1853,"&lt;"&amp;$S1853)))</f>
        <v>0</v>
      </c>
      <c r="Z1853" s="6">
        <f t="shared" si="270"/>
        <v>1</v>
      </c>
      <c r="AA1853" t="e">
        <f t="shared" si="271"/>
        <v>#VALUE!</v>
      </c>
      <c r="AB1853" t="str">
        <f t="shared" si="272"/>
        <v/>
      </c>
      <c r="AC1853" t="e">
        <f t="shared" si="273"/>
        <v>#VALUE!</v>
      </c>
    </row>
    <row r="1854" spans="1:29" x14ac:dyDescent="0.2">
      <c r="A1854" t="str">
        <f t="shared" si="274"/>
        <v/>
      </c>
      <c r="E1854" s="4"/>
      <c r="F1854" s="46"/>
      <c r="G1854" s="4"/>
      <c r="H1854" s="48"/>
      <c r="J1854" s="26" t="str">
        <f t="shared" si="275"/>
        <v/>
      </c>
      <c r="N1854" t="str">
        <f t="shared" si="276"/>
        <v/>
      </c>
      <c r="Q1854" t="str">
        <f t="shared" si="277"/>
        <v/>
      </c>
      <c r="S1854" t="str">
        <f>IF(A1854=1,MAX($S$2:$S1853)+1,IF(OR($I1854&lt;&gt;"",A1854="x"),$S1853,""))</f>
        <v/>
      </c>
      <c r="T1854" t="str">
        <f>IF(D1854=1,MAX($T$2:$T1853)+1,IF(S1854=S1853,$T1853,IF(D1854="x",T1853,IF(D1853="x","",""))))</f>
        <v/>
      </c>
      <c r="U1854" t="str">
        <f>IF(B1854=1,MAX($U$2:$U1853)+1,IF(AND($T1854&lt;&gt;"",$T1854=$T1853),$U1853,IF(B1854="x",U1853,"")))</f>
        <v/>
      </c>
      <c r="V1854" t="str">
        <f>IF(C1854=1,MAX($V$2:$V1853)+1,IF(AND($T1854&lt;&gt;"",$T1854=$T1853),$U1853,IF(C1854="x",V1853,"")))</f>
        <v/>
      </c>
      <c r="X1854" cm="1">
        <f t="array" ref="X1854">IF($I1854&lt;&gt;"",$I1854,INDEX($I$1:$I1854,ROW()-COUNTIFS($T$1:$T1854,"="&amp;$T1854,$S$1:$S1854,"&lt;"&amp;$S1854)))</f>
        <v>0</v>
      </c>
      <c r="Z1854" s="6">
        <f t="shared" si="270"/>
        <v>1</v>
      </c>
      <c r="AA1854" t="e">
        <f t="shared" si="271"/>
        <v>#VALUE!</v>
      </c>
      <c r="AB1854" t="str">
        <f t="shared" si="272"/>
        <v/>
      </c>
      <c r="AC1854" t="e">
        <f t="shared" si="273"/>
        <v>#VALUE!</v>
      </c>
    </row>
    <row r="1855" spans="1:29" x14ac:dyDescent="0.2">
      <c r="A1855" t="str">
        <f t="shared" si="274"/>
        <v/>
      </c>
      <c r="E1855" s="4"/>
      <c r="F1855" s="46"/>
      <c r="G1855" s="4"/>
      <c r="H1855" s="48"/>
      <c r="J1855" s="26" t="str">
        <f t="shared" si="275"/>
        <v/>
      </c>
      <c r="N1855" t="str">
        <f t="shared" si="276"/>
        <v/>
      </c>
      <c r="Q1855" t="str">
        <f t="shared" si="277"/>
        <v/>
      </c>
      <c r="S1855" t="str">
        <f>IF(A1855=1,MAX($S$2:$S1854)+1,IF(OR($I1855&lt;&gt;"",A1855="x"),$S1854,""))</f>
        <v/>
      </c>
      <c r="T1855" t="str">
        <f>IF(D1855=1,MAX($T$2:$T1854)+1,IF(S1855=S1854,$T1854,IF(D1855="x",T1854,IF(D1854="x","",""))))</f>
        <v/>
      </c>
      <c r="U1855" t="str">
        <f>IF(B1855=1,MAX($U$2:$U1854)+1,IF(AND($T1855&lt;&gt;"",$T1855=$T1854),$U1854,IF(B1855="x",U1854,"")))</f>
        <v/>
      </c>
      <c r="V1855" t="str">
        <f>IF(C1855=1,MAX($V$2:$V1854)+1,IF(AND($T1855&lt;&gt;"",$T1855=$T1854),$U1854,IF(C1855="x",V1854,"")))</f>
        <v/>
      </c>
      <c r="X1855" cm="1">
        <f t="array" ref="X1855">IF($I1855&lt;&gt;"",$I1855,INDEX($I$1:$I1855,ROW()-COUNTIFS($T$1:$T1855,"="&amp;$T1855,$S$1:$S1855,"&lt;"&amp;$S1855)))</f>
        <v>0</v>
      </c>
      <c r="Z1855" s="6">
        <f t="shared" si="270"/>
        <v>1</v>
      </c>
      <c r="AA1855" t="e">
        <f t="shared" si="271"/>
        <v>#VALUE!</v>
      </c>
      <c r="AB1855" t="str">
        <f t="shared" si="272"/>
        <v/>
      </c>
      <c r="AC1855" t="e">
        <f t="shared" si="273"/>
        <v>#VALUE!</v>
      </c>
    </row>
    <row r="1856" spans="1:29" x14ac:dyDescent="0.2">
      <c r="A1856" t="str">
        <f t="shared" si="274"/>
        <v/>
      </c>
      <c r="E1856" s="4"/>
      <c r="F1856" s="46"/>
      <c r="G1856" s="4"/>
      <c r="H1856" s="48"/>
      <c r="J1856" s="26" t="str">
        <f t="shared" si="275"/>
        <v/>
      </c>
      <c r="N1856" t="str">
        <f t="shared" si="276"/>
        <v/>
      </c>
      <c r="Q1856" t="str">
        <f t="shared" si="277"/>
        <v/>
      </c>
      <c r="S1856" t="str">
        <f>IF(A1856=1,MAX($S$2:$S1855)+1,IF(OR($I1856&lt;&gt;"",A1856="x"),$S1855,""))</f>
        <v/>
      </c>
      <c r="T1856" t="str">
        <f>IF(D1856=1,MAX($T$2:$T1855)+1,IF(S1856=S1855,$T1855,IF(D1856="x",T1855,IF(D1855="x","",""))))</f>
        <v/>
      </c>
      <c r="U1856" t="str">
        <f>IF(B1856=1,MAX($U$2:$U1855)+1,IF(AND($T1856&lt;&gt;"",$T1856=$T1855),$U1855,IF(B1856="x",U1855,"")))</f>
        <v/>
      </c>
      <c r="V1856" t="str">
        <f>IF(C1856=1,MAX($V$2:$V1855)+1,IF(AND($T1856&lt;&gt;"",$T1856=$T1855),$U1855,IF(C1856="x",V1855,"")))</f>
        <v/>
      </c>
      <c r="X1856" cm="1">
        <f t="array" ref="X1856">IF($I1856&lt;&gt;"",$I1856,INDEX($I$1:$I1856,ROW()-COUNTIFS($T$1:$T1856,"="&amp;$T1856,$S$1:$S1856,"&lt;"&amp;$S1856)))</f>
        <v>0</v>
      </c>
      <c r="Z1856" s="6">
        <f t="shared" si="270"/>
        <v>1</v>
      </c>
      <c r="AA1856" t="e">
        <f t="shared" si="271"/>
        <v>#VALUE!</v>
      </c>
      <c r="AB1856" t="str">
        <f t="shared" si="272"/>
        <v/>
      </c>
      <c r="AC1856" t="e">
        <f t="shared" si="273"/>
        <v>#VALUE!</v>
      </c>
    </row>
    <row r="1857" spans="1:29" x14ac:dyDescent="0.2">
      <c r="A1857" t="str">
        <f t="shared" si="274"/>
        <v/>
      </c>
      <c r="E1857" s="4"/>
      <c r="F1857" s="46"/>
      <c r="G1857" s="4"/>
      <c r="H1857" s="48"/>
      <c r="J1857" s="26" t="str">
        <f t="shared" si="275"/>
        <v/>
      </c>
      <c r="N1857" t="str">
        <f t="shared" si="276"/>
        <v/>
      </c>
      <c r="Q1857" t="str">
        <f t="shared" si="277"/>
        <v/>
      </c>
      <c r="S1857" t="str">
        <f>IF(A1857=1,MAX($S$2:$S1856)+1,IF(OR($I1857&lt;&gt;"",A1857="x"),$S1856,""))</f>
        <v/>
      </c>
      <c r="T1857" t="str">
        <f>IF(D1857=1,MAX($T$2:$T1856)+1,IF(S1857=S1856,$T1856,IF(D1857="x",T1856,IF(D1856="x","",""))))</f>
        <v/>
      </c>
      <c r="U1857" t="str">
        <f>IF(B1857=1,MAX($U$2:$U1856)+1,IF(AND($T1857&lt;&gt;"",$T1857=$T1856),$U1856,IF(B1857="x",U1856,"")))</f>
        <v/>
      </c>
      <c r="V1857" t="str">
        <f>IF(C1857=1,MAX($V$2:$V1856)+1,IF(AND($T1857&lt;&gt;"",$T1857=$T1856),$U1856,IF(C1857="x",V1856,"")))</f>
        <v/>
      </c>
      <c r="X1857" cm="1">
        <f t="array" ref="X1857">IF($I1857&lt;&gt;"",$I1857,INDEX($I$1:$I1857,ROW()-COUNTIFS($T$1:$T1857,"="&amp;$T1857,$S$1:$S1857,"&lt;"&amp;$S1857)))</f>
        <v>0</v>
      </c>
      <c r="Z1857" s="6">
        <f t="shared" si="270"/>
        <v>1</v>
      </c>
      <c r="AA1857" t="e">
        <f t="shared" si="271"/>
        <v>#VALUE!</v>
      </c>
      <c r="AB1857" t="str">
        <f t="shared" si="272"/>
        <v/>
      </c>
      <c r="AC1857" t="e">
        <f t="shared" si="273"/>
        <v>#VALUE!</v>
      </c>
    </row>
    <row r="1858" spans="1:29" x14ac:dyDescent="0.2">
      <c r="A1858" t="str">
        <f t="shared" si="274"/>
        <v/>
      </c>
      <c r="E1858" s="4"/>
      <c r="F1858" s="46"/>
      <c r="G1858" s="4"/>
      <c r="H1858" s="48"/>
      <c r="J1858" s="26" t="str">
        <f t="shared" si="275"/>
        <v/>
      </c>
      <c r="N1858" t="str">
        <f t="shared" si="276"/>
        <v/>
      </c>
      <c r="Q1858" t="str">
        <f t="shared" si="277"/>
        <v/>
      </c>
      <c r="S1858" t="str">
        <f>IF(A1858=1,MAX($S$2:$S1857)+1,IF(OR($I1858&lt;&gt;"",A1858="x"),$S1857,""))</f>
        <v/>
      </c>
      <c r="T1858" t="str">
        <f>IF(D1858=1,MAX($T$2:$T1857)+1,IF(S1858=S1857,$T1857,IF(D1858="x",T1857,IF(D1857="x","",""))))</f>
        <v/>
      </c>
      <c r="U1858" t="str">
        <f>IF(B1858=1,MAX($U$2:$U1857)+1,IF(AND($T1858&lt;&gt;"",$T1858=$T1857),$U1857,IF(B1858="x",U1857,"")))</f>
        <v/>
      </c>
      <c r="V1858" t="str">
        <f>IF(C1858=1,MAX($V$2:$V1857)+1,IF(AND($T1858&lt;&gt;"",$T1858=$T1857),$U1857,IF(C1858="x",V1857,"")))</f>
        <v/>
      </c>
      <c r="X1858" cm="1">
        <f t="array" ref="X1858">IF($I1858&lt;&gt;"",$I1858,INDEX($I$1:$I1858,ROW()-COUNTIFS($T$1:$T1858,"="&amp;$T1858,$S$1:$S1858,"&lt;"&amp;$S1858)))</f>
        <v>0</v>
      </c>
      <c r="Z1858" s="6">
        <f t="shared" si="270"/>
        <v>1</v>
      </c>
      <c r="AA1858" t="e">
        <f t="shared" si="271"/>
        <v>#VALUE!</v>
      </c>
      <c r="AB1858" t="str">
        <f t="shared" si="272"/>
        <v/>
      </c>
      <c r="AC1858" t="e">
        <f t="shared" si="273"/>
        <v>#VALUE!</v>
      </c>
    </row>
    <row r="1859" spans="1:29" x14ac:dyDescent="0.2">
      <c r="A1859" t="str">
        <f t="shared" si="274"/>
        <v/>
      </c>
      <c r="E1859" s="4"/>
      <c r="F1859" s="46"/>
      <c r="G1859" s="4"/>
      <c r="H1859" s="48"/>
      <c r="J1859" s="26" t="str">
        <f t="shared" si="275"/>
        <v/>
      </c>
      <c r="N1859" t="str">
        <f t="shared" si="276"/>
        <v/>
      </c>
      <c r="Q1859" t="str">
        <f t="shared" si="277"/>
        <v/>
      </c>
      <c r="S1859" t="str">
        <f>IF(A1859=1,MAX($S$2:$S1858)+1,IF(OR($I1859&lt;&gt;"",A1859="x"),$S1858,""))</f>
        <v/>
      </c>
      <c r="T1859" t="str">
        <f>IF(D1859=1,MAX($T$2:$T1858)+1,IF(S1859=S1858,$T1858,IF(D1859="x",T1858,IF(D1858="x","",""))))</f>
        <v/>
      </c>
      <c r="U1859" t="str">
        <f>IF(B1859=1,MAX($U$2:$U1858)+1,IF(AND($T1859&lt;&gt;"",$T1859=$T1858),$U1858,IF(B1859="x",U1858,"")))</f>
        <v/>
      </c>
      <c r="V1859" t="str">
        <f>IF(C1859=1,MAX($V$2:$V1858)+1,IF(AND($T1859&lt;&gt;"",$T1859=$T1858),$U1858,IF(C1859="x",V1858,"")))</f>
        <v/>
      </c>
      <c r="X1859" cm="1">
        <f t="array" ref="X1859">IF($I1859&lt;&gt;"",$I1859,INDEX($I$1:$I1859,ROW()-COUNTIFS($T$1:$T1859,"="&amp;$T1859,$S$1:$S1859,"&lt;"&amp;$S1859)))</f>
        <v>0</v>
      </c>
      <c r="Z1859" s="6">
        <f t="shared" si="270"/>
        <v>1</v>
      </c>
      <c r="AA1859" t="e">
        <f t="shared" si="271"/>
        <v>#VALUE!</v>
      </c>
      <c r="AB1859" t="str">
        <f t="shared" si="272"/>
        <v/>
      </c>
      <c r="AC1859" t="e">
        <f t="shared" si="273"/>
        <v>#VALUE!</v>
      </c>
    </row>
    <row r="1860" spans="1:29" x14ac:dyDescent="0.2">
      <c r="A1860" t="str">
        <f t="shared" si="274"/>
        <v/>
      </c>
      <c r="E1860" s="4"/>
      <c r="F1860" s="46"/>
      <c r="G1860" s="4"/>
      <c r="H1860" s="48"/>
      <c r="J1860" s="26" t="str">
        <f t="shared" si="275"/>
        <v/>
      </c>
      <c r="N1860" t="str">
        <f t="shared" si="276"/>
        <v/>
      </c>
      <c r="Q1860" t="str">
        <f t="shared" si="277"/>
        <v/>
      </c>
      <c r="S1860" t="str">
        <f>IF(A1860=1,MAX($S$2:$S1859)+1,IF(OR($I1860&lt;&gt;"",A1860="x"),$S1859,""))</f>
        <v/>
      </c>
      <c r="T1860" t="str">
        <f>IF(D1860=1,MAX($T$2:$T1859)+1,IF(S1860=S1859,$T1859,IF(D1860="x",T1859,IF(D1859="x","",""))))</f>
        <v/>
      </c>
      <c r="U1860" t="str">
        <f>IF(B1860=1,MAX($U$2:$U1859)+1,IF(AND($T1860&lt;&gt;"",$T1860=$T1859),$U1859,IF(B1860="x",U1859,"")))</f>
        <v/>
      </c>
      <c r="V1860" t="str">
        <f>IF(C1860=1,MAX($V$2:$V1859)+1,IF(AND($T1860&lt;&gt;"",$T1860=$T1859),$U1859,IF(C1860="x",V1859,"")))</f>
        <v/>
      </c>
      <c r="X1860" cm="1">
        <f t="array" ref="X1860">IF($I1860&lt;&gt;"",$I1860,INDEX($I$1:$I1860,ROW()-COUNTIFS($T$1:$T1860,"="&amp;$T1860,$S$1:$S1860,"&lt;"&amp;$S1860)))</f>
        <v>0</v>
      </c>
      <c r="Z1860" s="6">
        <f t="shared" si="270"/>
        <v>1</v>
      </c>
      <c r="AA1860" t="e">
        <f t="shared" si="271"/>
        <v>#VALUE!</v>
      </c>
      <c r="AB1860" t="str">
        <f t="shared" si="272"/>
        <v/>
      </c>
      <c r="AC1860" t="e">
        <f t="shared" si="273"/>
        <v>#VALUE!</v>
      </c>
    </row>
    <row r="1861" spans="1:29" x14ac:dyDescent="0.2">
      <c r="A1861" t="str">
        <f t="shared" si="274"/>
        <v/>
      </c>
      <c r="E1861" s="4"/>
      <c r="F1861" s="46"/>
      <c r="G1861" s="4"/>
      <c r="H1861" s="48"/>
      <c r="J1861" s="26" t="str">
        <f t="shared" si="275"/>
        <v/>
      </c>
      <c r="N1861" t="str">
        <f t="shared" si="276"/>
        <v/>
      </c>
      <c r="Q1861" t="str">
        <f t="shared" si="277"/>
        <v/>
      </c>
      <c r="S1861" t="str">
        <f>IF(A1861=1,MAX($S$2:$S1860)+1,IF(OR($I1861&lt;&gt;"",A1861="x"),$S1860,""))</f>
        <v/>
      </c>
      <c r="T1861" t="str">
        <f>IF(D1861=1,MAX($T$2:$T1860)+1,IF(S1861=S1860,$T1860,IF(D1861="x",T1860,IF(D1860="x","",""))))</f>
        <v/>
      </c>
      <c r="U1861" t="str">
        <f>IF(B1861=1,MAX($U$2:$U1860)+1,IF(AND($T1861&lt;&gt;"",$T1861=$T1860),$U1860,IF(B1861="x",U1860,"")))</f>
        <v/>
      </c>
      <c r="V1861" t="str">
        <f>IF(C1861=1,MAX($V$2:$V1860)+1,IF(AND($T1861&lt;&gt;"",$T1861=$T1860),$U1860,IF(C1861="x",V1860,"")))</f>
        <v/>
      </c>
      <c r="X1861" cm="1">
        <f t="array" ref="X1861">IF($I1861&lt;&gt;"",$I1861,INDEX($I$1:$I1861,ROW()-COUNTIFS($T$1:$T1861,"="&amp;$T1861,$S$1:$S1861,"&lt;"&amp;$S1861)))</f>
        <v>0</v>
      </c>
      <c r="Z1861" s="6">
        <f t="shared" ref="Z1861:Z1924" si="278">IF(K1861="Intermission",Z1860+1,Z1860)</f>
        <v>1</v>
      </c>
      <c r="AA1861" t="e">
        <f t="shared" ref="AA1861:AA1924" si="279">S1861+1000</f>
        <v>#VALUE!</v>
      </c>
      <c r="AB1861" t="str">
        <f t="shared" ref="AB1861:AB1924" si="280">IF(T1861&lt;&gt;"",9000+T1861,"")</f>
        <v/>
      </c>
      <c r="AC1861" t="e">
        <f t="shared" ref="AC1861:AC1924" si="281">IF(AB1861&lt;&gt;"",AB1861,S1861+1000)</f>
        <v>#VALUE!</v>
      </c>
    </row>
    <row r="1862" spans="1:29" x14ac:dyDescent="0.2">
      <c r="A1862" t="str">
        <f t="shared" si="274"/>
        <v/>
      </c>
      <c r="E1862" s="4"/>
      <c r="F1862" s="46"/>
      <c r="G1862" s="4"/>
      <c r="H1862" s="48"/>
      <c r="J1862" s="26" t="str">
        <f t="shared" si="275"/>
        <v/>
      </c>
      <c r="N1862" t="str">
        <f t="shared" si="276"/>
        <v/>
      </c>
      <c r="Q1862" t="str">
        <f t="shared" si="277"/>
        <v/>
      </c>
      <c r="S1862" t="str">
        <f>IF(A1862=1,MAX($S$2:$S1861)+1,IF(OR($I1862&lt;&gt;"",A1862="x"),$S1861,""))</f>
        <v/>
      </c>
      <c r="T1862" t="str">
        <f>IF(D1862=1,MAX($T$2:$T1861)+1,IF(S1862=S1861,$T1861,IF(D1862="x",T1861,IF(D1861="x","",""))))</f>
        <v/>
      </c>
      <c r="U1862" t="str">
        <f>IF(B1862=1,MAX($U$2:$U1861)+1,IF(AND($T1862&lt;&gt;"",$T1862=$T1861),$U1861,IF(B1862="x",U1861,"")))</f>
        <v/>
      </c>
      <c r="V1862" t="str">
        <f>IF(C1862=1,MAX($V$2:$V1861)+1,IF(AND($T1862&lt;&gt;"",$T1862=$T1861),$U1861,IF(C1862="x",V1861,"")))</f>
        <v/>
      </c>
      <c r="X1862" cm="1">
        <f t="array" ref="X1862">IF($I1862&lt;&gt;"",$I1862,INDEX($I$1:$I1862,ROW()-COUNTIFS($T$1:$T1862,"="&amp;$T1862,$S$1:$S1862,"&lt;"&amp;$S1862)))</f>
        <v>0</v>
      </c>
      <c r="Z1862" s="6">
        <f t="shared" si="278"/>
        <v>1</v>
      </c>
      <c r="AA1862" t="e">
        <f t="shared" si="279"/>
        <v>#VALUE!</v>
      </c>
      <c r="AB1862" t="str">
        <f t="shared" si="280"/>
        <v/>
      </c>
      <c r="AC1862" t="e">
        <f t="shared" si="281"/>
        <v>#VALUE!</v>
      </c>
    </row>
    <row r="1863" spans="1:29" x14ac:dyDescent="0.2">
      <c r="A1863" t="str">
        <f t="shared" si="274"/>
        <v/>
      </c>
      <c r="E1863" s="4"/>
      <c r="F1863" s="46"/>
      <c r="G1863" s="4"/>
      <c r="H1863" s="48"/>
      <c r="J1863" s="26" t="str">
        <f t="shared" si="275"/>
        <v/>
      </c>
      <c r="N1863" t="str">
        <f t="shared" si="276"/>
        <v/>
      </c>
      <c r="Q1863" t="str">
        <f t="shared" si="277"/>
        <v/>
      </c>
      <c r="S1863" t="str">
        <f>IF(A1863=1,MAX($S$2:$S1862)+1,IF(OR($I1863&lt;&gt;"",A1863="x"),$S1862,""))</f>
        <v/>
      </c>
      <c r="T1863" t="str">
        <f>IF(D1863=1,MAX($T$2:$T1862)+1,IF(S1863=S1862,$T1862,IF(D1863="x",T1862,IF(D1862="x","",""))))</f>
        <v/>
      </c>
      <c r="U1863" t="str">
        <f>IF(B1863=1,MAX($U$2:$U1862)+1,IF(AND($T1863&lt;&gt;"",$T1863=$T1862),$U1862,IF(B1863="x",U1862,"")))</f>
        <v/>
      </c>
      <c r="V1863" t="str">
        <f>IF(C1863=1,MAX($V$2:$V1862)+1,IF(AND($T1863&lt;&gt;"",$T1863=$T1862),$U1862,IF(C1863="x",V1862,"")))</f>
        <v/>
      </c>
      <c r="X1863" cm="1">
        <f t="array" ref="X1863">IF($I1863&lt;&gt;"",$I1863,INDEX($I$1:$I1863,ROW()-COUNTIFS($T$1:$T1863,"="&amp;$T1863,$S$1:$S1863,"&lt;"&amp;$S1863)))</f>
        <v>0</v>
      </c>
      <c r="Z1863" s="6">
        <f t="shared" si="278"/>
        <v>1</v>
      </c>
      <c r="AA1863" t="e">
        <f t="shared" si="279"/>
        <v>#VALUE!</v>
      </c>
      <c r="AB1863" t="str">
        <f t="shared" si="280"/>
        <v/>
      </c>
      <c r="AC1863" t="e">
        <f t="shared" si="281"/>
        <v>#VALUE!</v>
      </c>
    </row>
    <row r="1864" spans="1:29" x14ac:dyDescent="0.2">
      <c r="A1864" t="str">
        <f t="shared" si="274"/>
        <v/>
      </c>
      <c r="E1864" s="4"/>
      <c r="F1864" s="46"/>
      <c r="G1864" s="4"/>
      <c r="H1864" s="48"/>
      <c r="J1864" s="26" t="str">
        <f t="shared" si="275"/>
        <v/>
      </c>
      <c r="N1864" t="str">
        <f t="shared" si="276"/>
        <v/>
      </c>
      <c r="Q1864" t="str">
        <f t="shared" si="277"/>
        <v/>
      </c>
      <c r="S1864" t="str">
        <f>IF(A1864=1,MAX($S$2:$S1863)+1,IF(OR($I1864&lt;&gt;"",A1864="x"),$S1863,""))</f>
        <v/>
      </c>
      <c r="T1864" t="str">
        <f>IF(D1864=1,MAX($T$2:$T1863)+1,IF(S1864=S1863,$T1863,IF(D1864="x",T1863,IF(D1863="x","",""))))</f>
        <v/>
      </c>
      <c r="U1864" t="str">
        <f>IF(B1864=1,MAX($U$2:$U1863)+1,IF(AND($T1864&lt;&gt;"",$T1864=$T1863),$U1863,IF(B1864="x",U1863,"")))</f>
        <v/>
      </c>
      <c r="V1864" t="str">
        <f>IF(C1864=1,MAX($V$2:$V1863)+1,IF(AND($T1864&lt;&gt;"",$T1864=$T1863),$U1863,IF(C1864="x",V1863,"")))</f>
        <v/>
      </c>
      <c r="X1864" cm="1">
        <f t="array" ref="X1864">IF($I1864&lt;&gt;"",$I1864,INDEX($I$1:$I1864,ROW()-COUNTIFS($T$1:$T1864,"="&amp;$T1864,$S$1:$S1864,"&lt;"&amp;$S1864)))</f>
        <v>0</v>
      </c>
      <c r="Z1864" s="6">
        <f t="shared" si="278"/>
        <v>1</v>
      </c>
      <c r="AA1864" t="e">
        <f t="shared" si="279"/>
        <v>#VALUE!</v>
      </c>
      <c r="AB1864" t="str">
        <f t="shared" si="280"/>
        <v/>
      </c>
      <c r="AC1864" t="e">
        <f t="shared" si="281"/>
        <v>#VALUE!</v>
      </c>
    </row>
    <row r="1865" spans="1:29" x14ac:dyDescent="0.2">
      <c r="A1865" t="str">
        <f t="shared" si="274"/>
        <v/>
      </c>
      <c r="E1865" s="4"/>
      <c r="F1865" s="46"/>
      <c r="G1865" s="4"/>
      <c r="H1865" s="48"/>
      <c r="J1865" s="26" t="str">
        <f t="shared" si="275"/>
        <v/>
      </c>
      <c r="N1865" t="str">
        <f t="shared" si="276"/>
        <v/>
      </c>
      <c r="Q1865" t="str">
        <f t="shared" si="277"/>
        <v/>
      </c>
      <c r="S1865" t="str">
        <f>IF(A1865=1,MAX($S$2:$S1864)+1,IF(OR($I1865&lt;&gt;"",A1865="x"),$S1864,""))</f>
        <v/>
      </c>
      <c r="T1865" t="str">
        <f>IF(D1865=1,MAX($T$2:$T1864)+1,IF(S1865=S1864,$T1864,IF(D1865="x",T1864,IF(D1864="x","",""))))</f>
        <v/>
      </c>
      <c r="U1865" t="str">
        <f>IF(B1865=1,MAX($U$2:$U1864)+1,IF(AND($T1865&lt;&gt;"",$T1865=$T1864),$U1864,IF(B1865="x",U1864,"")))</f>
        <v/>
      </c>
      <c r="V1865" t="str">
        <f>IF(C1865=1,MAX($V$2:$V1864)+1,IF(AND($T1865&lt;&gt;"",$T1865=$T1864),$U1864,IF(C1865="x",V1864,"")))</f>
        <v/>
      </c>
      <c r="X1865" cm="1">
        <f t="array" ref="X1865">IF($I1865&lt;&gt;"",$I1865,INDEX($I$1:$I1865,ROW()-COUNTIFS($T$1:$T1865,"="&amp;$T1865,$S$1:$S1865,"&lt;"&amp;$S1865)))</f>
        <v>0</v>
      </c>
      <c r="Z1865" s="6">
        <f t="shared" si="278"/>
        <v>1</v>
      </c>
      <c r="AA1865" t="e">
        <f t="shared" si="279"/>
        <v>#VALUE!</v>
      </c>
      <c r="AB1865" t="str">
        <f t="shared" si="280"/>
        <v/>
      </c>
      <c r="AC1865" t="e">
        <f t="shared" si="281"/>
        <v>#VALUE!</v>
      </c>
    </row>
    <row r="1866" spans="1:29" x14ac:dyDescent="0.2">
      <c r="A1866" t="str">
        <f t="shared" si="274"/>
        <v/>
      </c>
      <c r="E1866" s="4"/>
      <c r="F1866" s="46"/>
      <c r="G1866" s="4"/>
      <c r="H1866" s="48"/>
      <c r="J1866" s="26" t="str">
        <f t="shared" si="275"/>
        <v/>
      </c>
      <c r="N1866" t="str">
        <f t="shared" si="276"/>
        <v/>
      </c>
      <c r="Q1866" t="str">
        <f t="shared" si="277"/>
        <v/>
      </c>
      <c r="S1866" t="str">
        <f>IF(A1866=1,MAX($S$2:$S1865)+1,IF(OR($I1866&lt;&gt;"",A1866="x"),$S1865,""))</f>
        <v/>
      </c>
      <c r="T1866" t="str">
        <f>IF(D1866=1,MAX($T$2:$T1865)+1,IF(S1866=S1865,$T1865,IF(D1866="x",T1865,IF(D1865="x","",""))))</f>
        <v/>
      </c>
      <c r="U1866" t="str">
        <f>IF(B1866=1,MAX($U$2:$U1865)+1,IF(AND($T1866&lt;&gt;"",$T1866=$T1865),$U1865,IF(B1866="x",U1865,"")))</f>
        <v/>
      </c>
      <c r="V1866" t="str">
        <f>IF(C1866=1,MAX($V$2:$V1865)+1,IF(AND($T1866&lt;&gt;"",$T1866=$T1865),$U1865,IF(C1866="x",V1865,"")))</f>
        <v/>
      </c>
      <c r="X1866" cm="1">
        <f t="array" ref="X1866">IF($I1866&lt;&gt;"",$I1866,INDEX($I$1:$I1866,ROW()-COUNTIFS($T$1:$T1866,"="&amp;$T1866,$S$1:$S1866,"&lt;"&amp;$S1866)))</f>
        <v>0</v>
      </c>
      <c r="Z1866" s="6">
        <f t="shared" si="278"/>
        <v>1</v>
      </c>
      <c r="AA1866" t="e">
        <f t="shared" si="279"/>
        <v>#VALUE!</v>
      </c>
      <c r="AB1866" t="str">
        <f t="shared" si="280"/>
        <v/>
      </c>
      <c r="AC1866" t="e">
        <f t="shared" si="281"/>
        <v>#VALUE!</v>
      </c>
    </row>
    <row r="1867" spans="1:29" x14ac:dyDescent="0.2">
      <c r="A1867" t="str">
        <f t="shared" si="274"/>
        <v/>
      </c>
      <c r="E1867" s="4"/>
      <c r="F1867" s="46"/>
      <c r="G1867" s="4"/>
      <c r="H1867" s="48"/>
      <c r="J1867" s="26" t="str">
        <f t="shared" si="275"/>
        <v/>
      </c>
      <c r="N1867" t="str">
        <f t="shared" si="276"/>
        <v/>
      </c>
      <c r="Q1867" t="str">
        <f t="shared" si="277"/>
        <v/>
      </c>
      <c r="S1867" t="str">
        <f>IF(A1867=1,MAX($S$2:$S1866)+1,IF(OR($I1867&lt;&gt;"",A1867="x"),$S1866,""))</f>
        <v/>
      </c>
      <c r="T1867" t="str">
        <f>IF(D1867=1,MAX($T$2:$T1866)+1,IF(S1867=S1866,$T1866,IF(D1867="x",T1866,IF(D1866="x","",""))))</f>
        <v/>
      </c>
      <c r="U1867" t="str">
        <f>IF(B1867=1,MAX($U$2:$U1866)+1,IF(AND($T1867&lt;&gt;"",$T1867=$T1866),$U1866,IF(B1867="x",U1866,"")))</f>
        <v/>
      </c>
      <c r="V1867" t="str">
        <f>IF(C1867=1,MAX($V$2:$V1866)+1,IF(AND($T1867&lt;&gt;"",$T1867=$T1866),$U1866,IF(C1867="x",V1866,"")))</f>
        <v/>
      </c>
      <c r="X1867" cm="1">
        <f t="array" ref="X1867">IF($I1867&lt;&gt;"",$I1867,INDEX($I$1:$I1867,ROW()-COUNTIFS($T$1:$T1867,"="&amp;$T1867,$S$1:$S1867,"&lt;"&amp;$S1867)))</f>
        <v>0</v>
      </c>
      <c r="Z1867" s="6">
        <f t="shared" si="278"/>
        <v>1</v>
      </c>
      <c r="AA1867" t="e">
        <f t="shared" si="279"/>
        <v>#VALUE!</v>
      </c>
      <c r="AB1867" t="str">
        <f t="shared" si="280"/>
        <v/>
      </c>
      <c r="AC1867" t="e">
        <f t="shared" si="281"/>
        <v>#VALUE!</v>
      </c>
    </row>
    <row r="1868" spans="1:29" x14ac:dyDescent="0.2">
      <c r="A1868" t="str">
        <f t="shared" si="274"/>
        <v/>
      </c>
      <c r="E1868" s="4"/>
      <c r="F1868" s="46"/>
      <c r="G1868" s="4"/>
      <c r="H1868" s="48"/>
      <c r="J1868" s="26" t="str">
        <f t="shared" si="275"/>
        <v/>
      </c>
      <c r="N1868" t="str">
        <f t="shared" si="276"/>
        <v/>
      </c>
      <c r="Q1868" t="str">
        <f t="shared" si="277"/>
        <v/>
      </c>
      <c r="S1868" t="str">
        <f>IF(A1868=1,MAX($S$2:$S1867)+1,IF(OR($I1868&lt;&gt;"",A1868="x"),$S1867,""))</f>
        <v/>
      </c>
      <c r="T1868" t="str">
        <f>IF(D1868=1,MAX($T$2:$T1867)+1,IF(S1868=S1867,$T1867,IF(D1868="x",T1867,IF(D1867="x","",""))))</f>
        <v/>
      </c>
      <c r="U1868" t="str">
        <f>IF(B1868=1,MAX($U$2:$U1867)+1,IF(AND($T1868&lt;&gt;"",$T1868=$T1867),$U1867,IF(B1868="x",U1867,"")))</f>
        <v/>
      </c>
      <c r="V1868" t="str">
        <f>IF(C1868=1,MAX($V$2:$V1867)+1,IF(AND($T1868&lt;&gt;"",$T1868=$T1867),$U1867,IF(C1868="x",V1867,"")))</f>
        <v/>
      </c>
      <c r="X1868" cm="1">
        <f t="array" ref="X1868">IF($I1868&lt;&gt;"",$I1868,INDEX($I$1:$I1868,ROW()-COUNTIFS($T$1:$T1868,"="&amp;$T1868,$S$1:$S1868,"&lt;"&amp;$S1868)))</f>
        <v>0</v>
      </c>
      <c r="Z1868" s="6">
        <f t="shared" si="278"/>
        <v>1</v>
      </c>
      <c r="AA1868" t="e">
        <f t="shared" si="279"/>
        <v>#VALUE!</v>
      </c>
      <c r="AB1868" t="str">
        <f t="shared" si="280"/>
        <v/>
      </c>
      <c r="AC1868" t="e">
        <f t="shared" si="281"/>
        <v>#VALUE!</v>
      </c>
    </row>
    <row r="1869" spans="1:29" x14ac:dyDescent="0.2">
      <c r="A1869" t="str">
        <f t="shared" si="274"/>
        <v/>
      </c>
      <c r="E1869" s="4"/>
      <c r="F1869" s="46"/>
      <c r="G1869" s="4"/>
      <c r="H1869" s="48"/>
      <c r="J1869" s="26" t="str">
        <f t="shared" si="275"/>
        <v/>
      </c>
      <c r="N1869" t="str">
        <f t="shared" si="276"/>
        <v/>
      </c>
      <c r="Q1869" t="str">
        <f t="shared" si="277"/>
        <v/>
      </c>
      <c r="S1869" t="str">
        <f>IF(A1869=1,MAX($S$2:$S1868)+1,IF(OR($I1869&lt;&gt;"",A1869="x"),$S1868,""))</f>
        <v/>
      </c>
      <c r="T1869" t="str">
        <f>IF(D1869=1,MAX($T$2:$T1868)+1,IF(S1869=S1868,$T1868,IF(D1869="x",T1868,IF(D1868="x","",""))))</f>
        <v/>
      </c>
      <c r="U1869" t="str">
        <f>IF(B1869=1,MAX($U$2:$U1868)+1,IF(AND($T1869&lt;&gt;"",$T1869=$T1868),$U1868,IF(B1869="x",U1868,"")))</f>
        <v/>
      </c>
      <c r="V1869" t="str">
        <f>IF(C1869=1,MAX($V$2:$V1868)+1,IF(AND($T1869&lt;&gt;"",$T1869=$T1868),$U1868,IF(C1869="x",V1868,"")))</f>
        <v/>
      </c>
      <c r="X1869" cm="1">
        <f t="array" ref="X1869">IF($I1869&lt;&gt;"",$I1869,INDEX($I$1:$I1869,ROW()-COUNTIFS($T$1:$T1869,"="&amp;$T1869,$S$1:$S1869,"&lt;"&amp;$S1869)))</f>
        <v>0</v>
      </c>
      <c r="Z1869" s="6">
        <f t="shared" si="278"/>
        <v>1</v>
      </c>
      <c r="AA1869" t="e">
        <f t="shared" si="279"/>
        <v>#VALUE!</v>
      </c>
      <c r="AB1869" t="str">
        <f t="shared" si="280"/>
        <v/>
      </c>
      <c r="AC1869" t="e">
        <f t="shared" si="281"/>
        <v>#VALUE!</v>
      </c>
    </row>
    <row r="1870" spans="1:29" x14ac:dyDescent="0.2">
      <c r="A1870" t="str">
        <f t="shared" si="274"/>
        <v/>
      </c>
      <c r="E1870" s="4"/>
      <c r="F1870" s="46"/>
      <c r="G1870" s="4"/>
      <c r="H1870" s="48"/>
      <c r="J1870" s="26" t="str">
        <f t="shared" si="275"/>
        <v/>
      </c>
      <c r="N1870" t="str">
        <f t="shared" si="276"/>
        <v/>
      </c>
      <c r="Q1870" t="str">
        <f t="shared" si="277"/>
        <v/>
      </c>
      <c r="S1870" t="str">
        <f>IF(A1870=1,MAX($S$2:$S1869)+1,IF(OR($I1870&lt;&gt;"",A1870="x"),$S1869,""))</f>
        <v/>
      </c>
      <c r="T1870" t="str">
        <f>IF(D1870=1,MAX($T$2:$T1869)+1,IF(S1870=S1869,$T1869,IF(D1870="x",T1869,IF(D1869="x","",""))))</f>
        <v/>
      </c>
      <c r="U1870" t="str">
        <f>IF(B1870=1,MAX($U$2:$U1869)+1,IF(AND($T1870&lt;&gt;"",$T1870=$T1869),$U1869,IF(B1870="x",U1869,"")))</f>
        <v/>
      </c>
      <c r="V1870" t="str">
        <f>IF(C1870=1,MAX($V$2:$V1869)+1,IF(AND($T1870&lt;&gt;"",$T1870=$T1869),$U1869,IF(C1870="x",V1869,"")))</f>
        <v/>
      </c>
      <c r="X1870" cm="1">
        <f t="array" ref="X1870">IF($I1870&lt;&gt;"",$I1870,INDEX($I$1:$I1870,ROW()-COUNTIFS($T$1:$T1870,"="&amp;$T1870,$S$1:$S1870,"&lt;"&amp;$S1870)))</f>
        <v>0</v>
      </c>
      <c r="Z1870" s="6">
        <f t="shared" si="278"/>
        <v>1</v>
      </c>
      <c r="AA1870" t="e">
        <f t="shared" si="279"/>
        <v>#VALUE!</v>
      </c>
      <c r="AB1870" t="str">
        <f t="shared" si="280"/>
        <v/>
      </c>
      <c r="AC1870" t="e">
        <f t="shared" si="281"/>
        <v>#VALUE!</v>
      </c>
    </row>
    <row r="1871" spans="1:29" x14ac:dyDescent="0.2">
      <c r="A1871" t="str">
        <f t="shared" si="274"/>
        <v/>
      </c>
      <c r="E1871" s="4"/>
      <c r="F1871" s="46"/>
      <c r="G1871" s="4"/>
      <c r="H1871" s="48"/>
      <c r="J1871" s="26" t="str">
        <f t="shared" si="275"/>
        <v/>
      </c>
      <c r="N1871" t="str">
        <f t="shared" si="276"/>
        <v/>
      </c>
      <c r="Q1871" t="str">
        <f t="shared" si="277"/>
        <v/>
      </c>
      <c r="S1871" t="str">
        <f>IF(A1871=1,MAX($S$2:$S1870)+1,IF(OR($I1871&lt;&gt;"",A1871="x"),$S1870,""))</f>
        <v/>
      </c>
      <c r="T1871" t="str">
        <f>IF(D1871=1,MAX($T$2:$T1870)+1,IF(S1871=S1870,$T1870,IF(D1871="x",T1870,IF(D1870="x","",""))))</f>
        <v/>
      </c>
      <c r="U1871" t="str">
        <f>IF(B1871=1,MAX($U$2:$U1870)+1,IF(AND($T1871&lt;&gt;"",$T1871=$T1870),$U1870,IF(B1871="x",U1870,"")))</f>
        <v/>
      </c>
      <c r="V1871" t="str">
        <f>IF(C1871=1,MAX($V$2:$V1870)+1,IF(AND($T1871&lt;&gt;"",$T1871=$T1870),$U1870,IF(C1871="x",V1870,"")))</f>
        <v/>
      </c>
      <c r="X1871" cm="1">
        <f t="array" ref="X1871">IF($I1871&lt;&gt;"",$I1871,INDEX($I$1:$I1871,ROW()-COUNTIFS($T$1:$T1871,"="&amp;$T1871,$S$1:$S1871,"&lt;"&amp;$S1871)))</f>
        <v>0</v>
      </c>
      <c r="Z1871" s="6">
        <f t="shared" si="278"/>
        <v>1</v>
      </c>
      <c r="AA1871" t="e">
        <f t="shared" si="279"/>
        <v>#VALUE!</v>
      </c>
      <c r="AB1871" t="str">
        <f t="shared" si="280"/>
        <v/>
      </c>
      <c r="AC1871" t="e">
        <f t="shared" si="281"/>
        <v>#VALUE!</v>
      </c>
    </row>
    <row r="1872" spans="1:29" x14ac:dyDescent="0.2">
      <c r="A1872" t="str">
        <f t="shared" si="274"/>
        <v/>
      </c>
      <c r="E1872" s="4"/>
      <c r="F1872" s="46"/>
      <c r="G1872" s="4"/>
      <c r="H1872" s="48"/>
      <c r="J1872" s="26" t="str">
        <f t="shared" si="275"/>
        <v/>
      </c>
      <c r="N1872" t="str">
        <f t="shared" si="276"/>
        <v/>
      </c>
      <c r="Q1872" t="str">
        <f t="shared" si="277"/>
        <v/>
      </c>
      <c r="S1872" t="str">
        <f>IF(A1872=1,MAX($S$2:$S1871)+1,IF(OR($I1872&lt;&gt;"",A1872="x"),$S1871,""))</f>
        <v/>
      </c>
      <c r="T1872" t="str">
        <f>IF(D1872=1,MAX($T$2:$T1871)+1,IF(S1872=S1871,$T1871,IF(D1872="x",T1871,IF(D1871="x","",""))))</f>
        <v/>
      </c>
      <c r="U1872" t="str">
        <f>IF(B1872=1,MAX($U$2:$U1871)+1,IF(AND($T1872&lt;&gt;"",$T1872=$T1871),$U1871,IF(B1872="x",U1871,"")))</f>
        <v/>
      </c>
      <c r="V1872" t="str">
        <f>IF(C1872=1,MAX($V$2:$V1871)+1,IF(AND($T1872&lt;&gt;"",$T1872=$T1871),$U1871,IF(C1872="x",V1871,"")))</f>
        <v/>
      </c>
      <c r="X1872" cm="1">
        <f t="array" ref="X1872">IF($I1872&lt;&gt;"",$I1872,INDEX($I$1:$I1872,ROW()-COUNTIFS($T$1:$T1872,"="&amp;$T1872,$S$1:$S1872,"&lt;"&amp;$S1872)))</f>
        <v>0</v>
      </c>
      <c r="Z1872" s="6">
        <f t="shared" si="278"/>
        <v>1</v>
      </c>
      <c r="AA1872" t="e">
        <f t="shared" si="279"/>
        <v>#VALUE!</v>
      </c>
      <c r="AB1872" t="str">
        <f t="shared" si="280"/>
        <v/>
      </c>
      <c r="AC1872" t="e">
        <f t="shared" si="281"/>
        <v>#VALUE!</v>
      </c>
    </row>
    <row r="1873" spans="1:29" x14ac:dyDescent="0.2">
      <c r="A1873" t="str">
        <f t="shared" si="274"/>
        <v/>
      </c>
      <c r="E1873" s="4"/>
      <c r="F1873" s="46"/>
      <c r="G1873" s="4"/>
      <c r="H1873" s="48"/>
      <c r="J1873" s="26" t="str">
        <f t="shared" si="275"/>
        <v/>
      </c>
      <c r="N1873" t="str">
        <f t="shared" si="276"/>
        <v/>
      </c>
      <c r="Q1873" t="str">
        <f t="shared" si="277"/>
        <v/>
      </c>
      <c r="S1873" t="str">
        <f>IF(A1873=1,MAX($S$2:$S1872)+1,IF(OR($I1873&lt;&gt;"",A1873="x"),$S1872,""))</f>
        <v/>
      </c>
      <c r="T1873" t="str">
        <f>IF(D1873=1,MAX($T$2:$T1872)+1,IF(S1873=S1872,$T1872,IF(D1873="x",T1872,IF(D1872="x","",""))))</f>
        <v/>
      </c>
      <c r="U1873" t="str">
        <f>IF(B1873=1,MAX($U$2:$U1872)+1,IF(AND($T1873&lt;&gt;"",$T1873=$T1872),$U1872,IF(B1873="x",U1872,"")))</f>
        <v/>
      </c>
      <c r="V1873" t="str">
        <f>IF(C1873=1,MAX($V$2:$V1872)+1,IF(AND($T1873&lt;&gt;"",$T1873=$T1872),$U1872,IF(C1873="x",V1872,"")))</f>
        <v/>
      </c>
      <c r="X1873" cm="1">
        <f t="array" ref="X1873">IF($I1873&lt;&gt;"",$I1873,INDEX($I$1:$I1873,ROW()-COUNTIFS($T$1:$T1873,"="&amp;$T1873,$S$1:$S1873,"&lt;"&amp;$S1873)))</f>
        <v>0</v>
      </c>
      <c r="Z1873" s="6">
        <f t="shared" si="278"/>
        <v>1</v>
      </c>
      <c r="AA1873" t="e">
        <f t="shared" si="279"/>
        <v>#VALUE!</v>
      </c>
      <c r="AB1873" t="str">
        <f t="shared" si="280"/>
        <v/>
      </c>
      <c r="AC1873" t="e">
        <f t="shared" si="281"/>
        <v>#VALUE!</v>
      </c>
    </row>
    <row r="1874" spans="1:29" x14ac:dyDescent="0.2">
      <c r="A1874" t="str">
        <f t="shared" si="274"/>
        <v/>
      </c>
      <c r="E1874" s="4"/>
      <c r="F1874" s="46"/>
      <c r="G1874" s="4"/>
      <c r="H1874" s="48"/>
      <c r="J1874" s="26" t="str">
        <f t="shared" si="275"/>
        <v/>
      </c>
      <c r="N1874" t="str">
        <f t="shared" si="276"/>
        <v/>
      </c>
      <c r="Q1874" t="str">
        <f t="shared" si="277"/>
        <v/>
      </c>
      <c r="S1874" t="str">
        <f>IF(A1874=1,MAX($S$2:$S1873)+1,IF(OR($I1874&lt;&gt;"",A1874="x"),$S1873,""))</f>
        <v/>
      </c>
      <c r="T1874" t="str">
        <f>IF(D1874=1,MAX($T$2:$T1873)+1,IF(S1874=S1873,$T1873,IF(D1874="x",T1873,IF(D1873="x","",""))))</f>
        <v/>
      </c>
      <c r="U1874" t="str">
        <f>IF(B1874=1,MAX($U$2:$U1873)+1,IF(AND($T1874&lt;&gt;"",$T1874=$T1873),$U1873,IF(B1874="x",U1873,"")))</f>
        <v/>
      </c>
      <c r="V1874" t="str">
        <f>IF(C1874=1,MAX($V$2:$V1873)+1,IF(AND($T1874&lt;&gt;"",$T1874=$T1873),$U1873,IF(C1874="x",V1873,"")))</f>
        <v/>
      </c>
      <c r="X1874" cm="1">
        <f t="array" ref="X1874">IF($I1874&lt;&gt;"",$I1874,INDEX($I$1:$I1874,ROW()-COUNTIFS($T$1:$T1874,"="&amp;$T1874,$S$1:$S1874,"&lt;"&amp;$S1874)))</f>
        <v>0</v>
      </c>
      <c r="Z1874" s="6">
        <f t="shared" si="278"/>
        <v>1</v>
      </c>
      <c r="AA1874" t="e">
        <f t="shared" si="279"/>
        <v>#VALUE!</v>
      </c>
      <c r="AB1874" t="str">
        <f t="shared" si="280"/>
        <v/>
      </c>
      <c r="AC1874" t="e">
        <f t="shared" si="281"/>
        <v>#VALUE!</v>
      </c>
    </row>
    <row r="1875" spans="1:29" x14ac:dyDescent="0.2">
      <c r="A1875" t="str">
        <f t="shared" ref="A1875:A1938" si="282">IF(K1875&lt;&gt;"",1,IF(D1875="x","x",""))</f>
        <v/>
      </c>
      <c r="E1875" s="4"/>
      <c r="F1875" s="46"/>
      <c r="G1875" s="4"/>
      <c r="H1875" s="48"/>
      <c r="J1875" s="26" t="str">
        <f t="shared" ref="J1875:J1938" si="283">IF(OR(K1875="Goal",K1875="Shot",L1875="Zone_Entry",M1875="Stoppage-Goal",M1874="Stoppage-Goal"),"o",IF(OR(K1875="Save",K1875="Rebound",L1875="Zone_Exit",M1875="Stoppage-GoalieStoppage",M1874="Stoppage-GoalieStoppage"),"d",IF(OR(L1875="Faceoff_AfterGoal",L1875="Faceoff_PeriodStart",698="Faceoff_GameStart",M1874="Stoppage-Goal"),"n","")))</f>
        <v/>
      </c>
      <c r="N1875" t="str">
        <f t="shared" ref="N1875:N1938" si="284">IF(K1875="","",IF(K1875="Goal","s",IF(AND(K1875="Zone_Entry_Exit",OR(ISNUMBER(SEARCH("fail",L1875)),ISNUMBER(SEARCH("FromExitClear",M1875)),ISNUMBER(SEARCH("miss",M1875)))),"u",IF(AND(K1875="Zone_Entry_Exit",OR(NOT(ISNUMBER(SEARCH("fail",L1875))),NOT(ISNUMBER(SEARCH("FromExitClear",M1875))),NOT(ISNUMBER(SEARCH("miss",M1875))))),"s",IF(AND(OR(K1875="Shot",K1875="Pass"),OR(ISNUMBER(SEARCH("complete",L1875)),ISNUMBER(SEARCH("goal",L1875)),ISNUMBER(SEARCH("OnNet",L1875)))),"s",IF(L1875="Turnover_Giveaway","u",IF(AND(OR(K1875="Shot",K1875="Pass"),OR(ISNUMBER(SEARCH("fail",L1875)),NOT(ISNUMBER(SEARCH("complete",L1875))),NOT(ISNUMBER(SEARCH("OnNet",L1875))))),"u","")))))))</f>
        <v/>
      </c>
      <c r="Q1875" t="str">
        <f t="shared" ref="Q1875:Q1938" si="285">IF(O1875="","",IF(AND(N1875&lt;&gt;"",OR(O1875&lt;&gt;"",P1875&lt;&gt;"")),N1875,IF(OR(ISNUMBER(SEARCH("attemp",O1875)),ISNUMBER(SEARCH("beat",O1875)),ISNUMBER(SEARCH("mis",O1875)),ISNUMBER(SEARCH("fail",O1875)),ISNUMBER(SEARCH("loss",O1875)),ISNUMBER(SEARCH("lost",O1875)),ISNUMBER(SEARCH("attemp",P1875)),ISNUMBER(SEARCH("mis",P1875)),ISNUMBER(SEARCH("fail",P1875)),ISNUMBER(SEARCH("loss",P1875)),ISNUMBER(SEARCH("beat",P1875)),ISNUMBER(SEARCH("lost",P1875))),"u","")))</f>
        <v/>
      </c>
      <c r="S1875" t="str">
        <f>IF(A1875=1,MAX($S$2:$S1874)+1,IF(OR($I1875&lt;&gt;"",A1875="x"),$S1874,""))</f>
        <v/>
      </c>
      <c r="T1875" t="str">
        <f>IF(D1875=1,MAX($T$2:$T1874)+1,IF(S1875=S1874,$T1874,IF(D1875="x",T1874,IF(D1874="x","",""))))</f>
        <v/>
      </c>
      <c r="U1875" t="str">
        <f>IF(B1875=1,MAX($U$2:$U1874)+1,IF(AND($T1875&lt;&gt;"",$T1875=$T1874),$U1874,IF(B1875="x",U1874,"")))</f>
        <v/>
      </c>
      <c r="V1875" t="str">
        <f>IF(C1875=1,MAX($V$2:$V1874)+1,IF(AND($T1875&lt;&gt;"",$T1875=$T1874),$U1874,IF(C1875="x",V1874,"")))</f>
        <v/>
      </c>
      <c r="X1875" cm="1">
        <f t="array" ref="X1875">IF($I1875&lt;&gt;"",$I1875,INDEX($I$1:$I1875,ROW()-COUNTIFS($T$1:$T1875,"="&amp;$T1875,$S$1:$S1875,"&lt;"&amp;$S1875)))</f>
        <v>0</v>
      </c>
      <c r="Z1875" s="6">
        <f t="shared" si="278"/>
        <v>1</v>
      </c>
      <c r="AA1875" t="e">
        <f t="shared" si="279"/>
        <v>#VALUE!</v>
      </c>
      <c r="AB1875" t="str">
        <f t="shared" si="280"/>
        <v/>
      </c>
      <c r="AC1875" t="e">
        <f t="shared" si="281"/>
        <v>#VALUE!</v>
      </c>
    </row>
    <row r="1876" spans="1:29" x14ac:dyDescent="0.2">
      <c r="A1876" t="str">
        <f t="shared" si="282"/>
        <v/>
      </c>
      <c r="E1876" s="4"/>
      <c r="F1876" s="46"/>
      <c r="G1876" s="4"/>
      <c r="H1876" s="48"/>
      <c r="J1876" s="26" t="str">
        <f t="shared" si="283"/>
        <v/>
      </c>
      <c r="N1876" t="str">
        <f t="shared" si="284"/>
        <v/>
      </c>
      <c r="Q1876" t="str">
        <f t="shared" si="285"/>
        <v/>
      </c>
      <c r="S1876" t="str">
        <f>IF(A1876=1,MAX($S$2:$S1875)+1,IF(OR($I1876&lt;&gt;"",A1876="x"),$S1875,""))</f>
        <v/>
      </c>
      <c r="T1876" t="str">
        <f>IF(D1876=1,MAX($T$2:$T1875)+1,IF(S1876=S1875,$T1875,IF(D1876="x",T1875,IF(D1875="x","",""))))</f>
        <v/>
      </c>
      <c r="U1876" t="str">
        <f>IF(B1876=1,MAX($U$2:$U1875)+1,IF(AND($T1876&lt;&gt;"",$T1876=$T1875),$U1875,IF(B1876="x",U1875,"")))</f>
        <v/>
      </c>
      <c r="V1876" t="str">
        <f>IF(C1876=1,MAX($V$2:$V1875)+1,IF(AND($T1876&lt;&gt;"",$T1876=$T1875),$U1875,IF(C1876="x",V1875,"")))</f>
        <v/>
      </c>
      <c r="X1876" cm="1">
        <f t="array" ref="X1876">IF($I1876&lt;&gt;"",$I1876,INDEX($I$1:$I1876,ROW()-COUNTIFS($T$1:$T1876,"="&amp;$T1876,$S$1:$S1876,"&lt;"&amp;$S1876)))</f>
        <v>0</v>
      </c>
      <c r="Z1876" s="6">
        <f t="shared" si="278"/>
        <v>1</v>
      </c>
      <c r="AA1876" t="e">
        <f t="shared" si="279"/>
        <v>#VALUE!</v>
      </c>
      <c r="AB1876" t="str">
        <f t="shared" si="280"/>
        <v/>
      </c>
      <c r="AC1876" t="e">
        <f t="shared" si="281"/>
        <v>#VALUE!</v>
      </c>
    </row>
    <row r="1877" spans="1:29" x14ac:dyDescent="0.2">
      <c r="A1877" t="str">
        <f t="shared" si="282"/>
        <v/>
      </c>
      <c r="E1877" s="4"/>
      <c r="F1877" s="46"/>
      <c r="G1877" s="4"/>
      <c r="H1877" s="48"/>
      <c r="J1877" s="26" t="str">
        <f t="shared" si="283"/>
        <v/>
      </c>
      <c r="N1877" t="str">
        <f t="shared" si="284"/>
        <v/>
      </c>
      <c r="Q1877" t="str">
        <f t="shared" si="285"/>
        <v/>
      </c>
      <c r="S1877" t="str">
        <f>IF(A1877=1,MAX($S$2:$S1876)+1,IF(OR($I1877&lt;&gt;"",A1877="x"),$S1876,""))</f>
        <v/>
      </c>
      <c r="T1877" t="str">
        <f>IF(D1877=1,MAX($T$2:$T1876)+1,IF(S1877=S1876,$T1876,IF(D1877="x",T1876,IF(D1876="x","",""))))</f>
        <v/>
      </c>
      <c r="U1877" t="str">
        <f>IF(B1877=1,MAX($U$2:$U1876)+1,IF(AND($T1877&lt;&gt;"",$T1877=$T1876),$U1876,IF(B1877="x",U1876,"")))</f>
        <v/>
      </c>
      <c r="V1877" t="str">
        <f>IF(C1877=1,MAX($V$2:$V1876)+1,IF(AND($T1877&lt;&gt;"",$T1877=$T1876),$U1876,IF(C1877="x",V1876,"")))</f>
        <v/>
      </c>
      <c r="X1877" cm="1">
        <f t="array" ref="X1877">IF($I1877&lt;&gt;"",$I1877,INDEX($I$1:$I1877,ROW()-COUNTIFS($T$1:$T1877,"="&amp;$T1877,$S$1:$S1877,"&lt;"&amp;$S1877)))</f>
        <v>0</v>
      </c>
      <c r="Z1877" s="6">
        <f t="shared" si="278"/>
        <v>1</v>
      </c>
      <c r="AA1877" t="e">
        <f t="shared" si="279"/>
        <v>#VALUE!</v>
      </c>
      <c r="AB1877" t="str">
        <f t="shared" si="280"/>
        <v/>
      </c>
      <c r="AC1877" t="e">
        <f t="shared" si="281"/>
        <v>#VALUE!</v>
      </c>
    </row>
    <row r="1878" spans="1:29" x14ac:dyDescent="0.2">
      <c r="A1878" t="str">
        <f t="shared" si="282"/>
        <v/>
      </c>
      <c r="E1878" s="4"/>
      <c r="F1878" s="46"/>
      <c r="G1878" s="4"/>
      <c r="H1878" s="48"/>
      <c r="J1878" s="26" t="str">
        <f t="shared" si="283"/>
        <v/>
      </c>
      <c r="N1878" t="str">
        <f t="shared" si="284"/>
        <v/>
      </c>
      <c r="Q1878" t="str">
        <f t="shared" si="285"/>
        <v/>
      </c>
      <c r="S1878" t="str">
        <f>IF(A1878=1,MAX($S$2:$S1877)+1,IF(OR($I1878&lt;&gt;"",A1878="x"),$S1877,""))</f>
        <v/>
      </c>
      <c r="T1878" t="str">
        <f>IF(D1878=1,MAX($T$2:$T1877)+1,IF(S1878=S1877,$T1877,IF(D1878="x",T1877,IF(D1877="x","",""))))</f>
        <v/>
      </c>
      <c r="U1878" t="str">
        <f>IF(B1878=1,MAX($U$2:$U1877)+1,IF(AND($T1878&lt;&gt;"",$T1878=$T1877),$U1877,IF(B1878="x",U1877,"")))</f>
        <v/>
      </c>
      <c r="V1878" t="str">
        <f>IF(C1878=1,MAX($V$2:$V1877)+1,IF(AND($T1878&lt;&gt;"",$T1878=$T1877),$U1877,IF(C1878="x",V1877,"")))</f>
        <v/>
      </c>
      <c r="X1878" cm="1">
        <f t="array" ref="X1878">IF($I1878&lt;&gt;"",$I1878,INDEX($I$1:$I1878,ROW()-COUNTIFS($T$1:$T1878,"="&amp;$T1878,$S$1:$S1878,"&lt;"&amp;$S1878)))</f>
        <v>0</v>
      </c>
      <c r="Z1878" s="6">
        <f t="shared" si="278"/>
        <v>1</v>
      </c>
      <c r="AA1878" t="e">
        <f t="shared" si="279"/>
        <v>#VALUE!</v>
      </c>
      <c r="AB1878" t="str">
        <f t="shared" si="280"/>
        <v/>
      </c>
      <c r="AC1878" t="e">
        <f t="shared" si="281"/>
        <v>#VALUE!</v>
      </c>
    </row>
    <row r="1879" spans="1:29" x14ac:dyDescent="0.2">
      <c r="A1879" t="str">
        <f t="shared" si="282"/>
        <v/>
      </c>
      <c r="E1879" s="4"/>
      <c r="F1879" s="46"/>
      <c r="G1879" s="4"/>
      <c r="H1879" s="48"/>
      <c r="J1879" s="26" t="str">
        <f t="shared" si="283"/>
        <v/>
      </c>
      <c r="N1879" t="str">
        <f t="shared" si="284"/>
        <v/>
      </c>
      <c r="Q1879" t="str">
        <f t="shared" si="285"/>
        <v/>
      </c>
      <c r="S1879" t="str">
        <f>IF(A1879=1,MAX($S$2:$S1878)+1,IF(OR($I1879&lt;&gt;"",A1879="x"),$S1878,""))</f>
        <v/>
      </c>
      <c r="T1879" t="str">
        <f>IF(D1879=1,MAX($T$2:$T1878)+1,IF(S1879=S1878,$T1878,IF(D1879="x",T1878,IF(D1878="x","",""))))</f>
        <v/>
      </c>
      <c r="U1879" t="str">
        <f>IF(B1879=1,MAX($U$2:$U1878)+1,IF(AND($T1879&lt;&gt;"",$T1879=$T1878),$U1878,IF(B1879="x",U1878,"")))</f>
        <v/>
      </c>
      <c r="V1879" t="str">
        <f>IF(C1879=1,MAX($V$2:$V1878)+1,IF(AND($T1879&lt;&gt;"",$T1879=$T1878),$U1878,IF(C1879="x",V1878,"")))</f>
        <v/>
      </c>
      <c r="X1879" cm="1">
        <f t="array" ref="X1879">IF($I1879&lt;&gt;"",$I1879,INDEX($I$1:$I1879,ROW()-COUNTIFS($T$1:$T1879,"="&amp;$T1879,$S$1:$S1879,"&lt;"&amp;$S1879)))</f>
        <v>0</v>
      </c>
      <c r="Z1879" s="6">
        <f t="shared" si="278"/>
        <v>1</v>
      </c>
      <c r="AA1879" t="e">
        <f t="shared" si="279"/>
        <v>#VALUE!</v>
      </c>
      <c r="AB1879" t="str">
        <f t="shared" si="280"/>
        <v/>
      </c>
      <c r="AC1879" t="e">
        <f t="shared" si="281"/>
        <v>#VALUE!</v>
      </c>
    </row>
    <row r="1880" spans="1:29" x14ac:dyDescent="0.2">
      <c r="A1880" t="str">
        <f t="shared" si="282"/>
        <v/>
      </c>
      <c r="E1880" s="4"/>
      <c r="F1880" s="46"/>
      <c r="G1880" s="4"/>
      <c r="H1880" s="48"/>
      <c r="J1880" s="26" t="str">
        <f t="shared" si="283"/>
        <v/>
      </c>
      <c r="N1880" t="str">
        <f t="shared" si="284"/>
        <v/>
      </c>
      <c r="Q1880" t="str">
        <f t="shared" si="285"/>
        <v/>
      </c>
      <c r="S1880" t="str">
        <f>IF(A1880=1,MAX($S$2:$S1879)+1,IF(OR($I1880&lt;&gt;"",A1880="x"),$S1879,""))</f>
        <v/>
      </c>
      <c r="T1880" t="str">
        <f>IF(D1880=1,MAX($T$2:$T1879)+1,IF(S1880=S1879,$T1879,IF(D1880="x",T1879,IF(D1879="x","",""))))</f>
        <v/>
      </c>
      <c r="U1880" t="str">
        <f>IF(B1880=1,MAX($U$2:$U1879)+1,IF(AND($T1880&lt;&gt;"",$T1880=$T1879),$U1879,IF(B1880="x",U1879,"")))</f>
        <v/>
      </c>
      <c r="V1880" t="str">
        <f>IF(C1880=1,MAX($V$2:$V1879)+1,IF(AND($T1880&lt;&gt;"",$T1880=$T1879),$U1879,IF(C1880="x",V1879,"")))</f>
        <v/>
      </c>
      <c r="X1880" cm="1">
        <f t="array" ref="X1880">IF($I1880&lt;&gt;"",$I1880,INDEX($I$1:$I1880,ROW()-COUNTIFS($T$1:$T1880,"="&amp;$T1880,$S$1:$S1880,"&lt;"&amp;$S1880)))</f>
        <v>0</v>
      </c>
      <c r="Z1880" s="6">
        <f t="shared" si="278"/>
        <v>1</v>
      </c>
      <c r="AA1880" t="e">
        <f t="shared" si="279"/>
        <v>#VALUE!</v>
      </c>
      <c r="AB1880" t="str">
        <f t="shared" si="280"/>
        <v/>
      </c>
      <c r="AC1880" t="e">
        <f t="shared" si="281"/>
        <v>#VALUE!</v>
      </c>
    </row>
    <row r="1881" spans="1:29" x14ac:dyDescent="0.2">
      <c r="A1881" t="str">
        <f t="shared" si="282"/>
        <v/>
      </c>
      <c r="E1881" s="4"/>
      <c r="F1881" s="46"/>
      <c r="G1881" s="4"/>
      <c r="H1881" s="48"/>
      <c r="J1881" s="26" t="str">
        <f t="shared" si="283"/>
        <v/>
      </c>
      <c r="N1881" t="str">
        <f t="shared" si="284"/>
        <v/>
      </c>
      <c r="Q1881" t="str">
        <f t="shared" si="285"/>
        <v/>
      </c>
      <c r="S1881" t="str">
        <f>IF(A1881=1,MAX($S$2:$S1880)+1,IF(OR($I1881&lt;&gt;"",A1881="x"),$S1880,""))</f>
        <v/>
      </c>
      <c r="T1881" t="str">
        <f>IF(D1881=1,MAX($T$2:$T1880)+1,IF(S1881=S1880,$T1880,IF(D1881="x",T1880,IF(D1880="x","",""))))</f>
        <v/>
      </c>
      <c r="U1881" t="str">
        <f>IF(B1881=1,MAX($U$2:$U1880)+1,IF(AND($T1881&lt;&gt;"",$T1881=$T1880),$U1880,IF(B1881="x",U1880,"")))</f>
        <v/>
      </c>
      <c r="V1881" t="str">
        <f>IF(C1881=1,MAX($V$2:$V1880)+1,IF(AND($T1881&lt;&gt;"",$T1881=$T1880),$U1880,IF(C1881="x",V1880,"")))</f>
        <v/>
      </c>
      <c r="X1881" cm="1">
        <f t="array" ref="X1881">IF($I1881&lt;&gt;"",$I1881,INDEX($I$1:$I1881,ROW()-COUNTIFS($T$1:$T1881,"="&amp;$T1881,$S$1:$S1881,"&lt;"&amp;$S1881)))</f>
        <v>0</v>
      </c>
      <c r="Z1881" s="6">
        <f t="shared" si="278"/>
        <v>1</v>
      </c>
      <c r="AA1881" t="e">
        <f t="shared" si="279"/>
        <v>#VALUE!</v>
      </c>
      <c r="AB1881" t="str">
        <f t="shared" si="280"/>
        <v/>
      </c>
      <c r="AC1881" t="e">
        <f t="shared" si="281"/>
        <v>#VALUE!</v>
      </c>
    </row>
    <row r="1882" spans="1:29" x14ac:dyDescent="0.2">
      <c r="A1882" t="str">
        <f t="shared" si="282"/>
        <v/>
      </c>
      <c r="E1882" s="4"/>
      <c r="F1882" s="46"/>
      <c r="G1882" s="4"/>
      <c r="H1882" s="48"/>
      <c r="J1882" s="26" t="str">
        <f t="shared" si="283"/>
        <v/>
      </c>
      <c r="N1882" t="str">
        <f t="shared" si="284"/>
        <v/>
      </c>
      <c r="Q1882" t="str">
        <f t="shared" si="285"/>
        <v/>
      </c>
      <c r="S1882" t="str">
        <f>IF(A1882=1,MAX($S$2:$S1881)+1,IF(OR($I1882&lt;&gt;"",A1882="x"),$S1881,""))</f>
        <v/>
      </c>
      <c r="T1882" t="str">
        <f>IF(D1882=1,MAX($T$2:$T1881)+1,IF(S1882=S1881,$T1881,IF(D1882="x",T1881,IF(D1881="x","",""))))</f>
        <v/>
      </c>
      <c r="U1882" t="str">
        <f>IF(B1882=1,MAX($U$2:$U1881)+1,IF(AND($T1882&lt;&gt;"",$T1882=$T1881),$U1881,IF(B1882="x",U1881,"")))</f>
        <v/>
      </c>
      <c r="V1882" t="str">
        <f>IF(C1882=1,MAX($V$2:$V1881)+1,IF(AND($T1882&lt;&gt;"",$T1882=$T1881),$U1881,IF(C1882="x",V1881,"")))</f>
        <v/>
      </c>
      <c r="X1882" cm="1">
        <f t="array" ref="X1882">IF($I1882&lt;&gt;"",$I1882,INDEX($I$1:$I1882,ROW()-COUNTIFS($T$1:$T1882,"="&amp;$T1882,$S$1:$S1882,"&lt;"&amp;$S1882)))</f>
        <v>0</v>
      </c>
      <c r="Z1882" s="6">
        <f t="shared" si="278"/>
        <v>1</v>
      </c>
      <c r="AA1882" t="e">
        <f t="shared" si="279"/>
        <v>#VALUE!</v>
      </c>
      <c r="AB1882" t="str">
        <f t="shared" si="280"/>
        <v/>
      </c>
      <c r="AC1882" t="e">
        <f t="shared" si="281"/>
        <v>#VALUE!</v>
      </c>
    </row>
    <row r="1883" spans="1:29" x14ac:dyDescent="0.2">
      <c r="A1883" t="str">
        <f t="shared" si="282"/>
        <v/>
      </c>
      <c r="E1883" s="4"/>
      <c r="F1883" s="46"/>
      <c r="G1883" s="4"/>
      <c r="H1883" s="48"/>
      <c r="J1883" s="26" t="str">
        <f t="shared" si="283"/>
        <v/>
      </c>
      <c r="N1883" t="str">
        <f t="shared" si="284"/>
        <v/>
      </c>
      <c r="Q1883" t="str">
        <f t="shared" si="285"/>
        <v/>
      </c>
      <c r="S1883" t="str">
        <f>IF(A1883=1,MAX($S$2:$S1882)+1,IF(OR($I1883&lt;&gt;"",A1883="x"),$S1882,""))</f>
        <v/>
      </c>
      <c r="T1883" t="str">
        <f>IF(D1883=1,MAX($T$2:$T1882)+1,IF(S1883=S1882,$T1882,IF(D1883="x",T1882,IF(D1882="x","",""))))</f>
        <v/>
      </c>
      <c r="U1883" t="str">
        <f>IF(B1883=1,MAX($U$2:$U1882)+1,IF(AND($T1883&lt;&gt;"",$T1883=$T1882),$U1882,IF(B1883="x",U1882,"")))</f>
        <v/>
      </c>
      <c r="V1883" t="str">
        <f>IF(C1883=1,MAX($V$2:$V1882)+1,IF(AND($T1883&lt;&gt;"",$T1883=$T1882),$U1882,IF(C1883="x",V1882,"")))</f>
        <v/>
      </c>
      <c r="X1883" cm="1">
        <f t="array" ref="X1883">IF($I1883&lt;&gt;"",$I1883,INDEX($I$1:$I1883,ROW()-COUNTIFS($T$1:$T1883,"="&amp;$T1883,$S$1:$S1883,"&lt;"&amp;$S1883)))</f>
        <v>0</v>
      </c>
      <c r="Z1883" s="6">
        <f t="shared" si="278"/>
        <v>1</v>
      </c>
      <c r="AA1883" t="e">
        <f t="shared" si="279"/>
        <v>#VALUE!</v>
      </c>
      <c r="AB1883" t="str">
        <f t="shared" si="280"/>
        <v/>
      </c>
      <c r="AC1883" t="e">
        <f t="shared" si="281"/>
        <v>#VALUE!</v>
      </c>
    </row>
    <row r="1884" spans="1:29" x14ac:dyDescent="0.2">
      <c r="A1884" t="str">
        <f t="shared" si="282"/>
        <v/>
      </c>
      <c r="E1884" s="4"/>
      <c r="F1884" s="46"/>
      <c r="G1884" s="4"/>
      <c r="H1884" s="48"/>
      <c r="J1884" s="26" t="str">
        <f t="shared" si="283"/>
        <v/>
      </c>
      <c r="N1884" t="str">
        <f t="shared" si="284"/>
        <v/>
      </c>
      <c r="Q1884" t="str">
        <f t="shared" si="285"/>
        <v/>
      </c>
      <c r="S1884" t="str">
        <f>IF(A1884=1,MAX($S$2:$S1883)+1,IF(OR($I1884&lt;&gt;"",A1884="x"),$S1883,""))</f>
        <v/>
      </c>
      <c r="T1884" t="str">
        <f>IF(D1884=1,MAX($T$2:$T1883)+1,IF(S1884=S1883,$T1883,IF(D1884="x",T1883,IF(D1883="x","",""))))</f>
        <v/>
      </c>
      <c r="U1884" t="str">
        <f>IF(B1884=1,MAX($U$2:$U1883)+1,IF(AND($T1884&lt;&gt;"",$T1884=$T1883),$U1883,IF(B1884="x",U1883,"")))</f>
        <v/>
      </c>
      <c r="V1884" t="str">
        <f>IF(C1884=1,MAX($V$2:$V1883)+1,IF(AND($T1884&lt;&gt;"",$T1884=$T1883),$U1883,IF(C1884="x",V1883,"")))</f>
        <v/>
      </c>
      <c r="X1884" cm="1">
        <f t="array" ref="X1884">IF($I1884&lt;&gt;"",$I1884,INDEX($I$1:$I1884,ROW()-COUNTIFS($T$1:$T1884,"="&amp;$T1884,$S$1:$S1884,"&lt;"&amp;$S1884)))</f>
        <v>0</v>
      </c>
      <c r="Z1884" s="6">
        <f t="shared" si="278"/>
        <v>1</v>
      </c>
      <c r="AA1884" t="e">
        <f t="shared" si="279"/>
        <v>#VALUE!</v>
      </c>
      <c r="AB1884" t="str">
        <f t="shared" si="280"/>
        <v/>
      </c>
      <c r="AC1884" t="e">
        <f t="shared" si="281"/>
        <v>#VALUE!</v>
      </c>
    </row>
    <row r="1885" spans="1:29" x14ac:dyDescent="0.2">
      <c r="A1885" t="str">
        <f t="shared" si="282"/>
        <v/>
      </c>
      <c r="E1885" s="4"/>
      <c r="F1885" s="46"/>
      <c r="G1885" s="4"/>
      <c r="H1885" s="48"/>
      <c r="J1885" s="26" t="str">
        <f t="shared" si="283"/>
        <v/>
      </c>
      <c r="N1885" t="str">
        <f t="shared" si="284"/>
        <v/>
      </c>
      <c r="Q1885" t="str">
        <f t="shared" si="285"/>
        <v/>
      </c>
      <c r="S1885" t="str">
        <f>IF(A1885=1,MAX($S$2:$S1884)+1,IF(OR($I1885&lt;&gt;"",A1885="x"),$S1884,""))</f>
        <v/>
      </c>
      <c r="T1885" t="str">
        <f>IF(D1885=1,MAX($T$2:$T1884)+1,IF(S1885=S1884,$T1884,IF(D1885="x",T1884,IF(D1884="x","",""))))</f>
        <v/>
      </c>
      <c r="U1885" t="str">
        <f>IF(B1885=1,MAX($U$2:$U1884)+1,IF(AND($T1885&lt;&gt;"",$T1885=$T1884),$U1884,IF(B1885="x",U1884,"")))</f>
        <v/>
      </c>
      <c r="V1885" t="str">
        <f>IF(C1885=1,MAX($V$2:$V1884)+1,IF(AND($T1885&lt;&gt;"",$T1885=$T1884),$U1884,IF(C1885="x",V1884,"")))</f>
        <v/>
      </c>
      <c r="X1885" cm="1">
        <f t="array" ref="X1885">IF($I1885&lt;&gt;"",$I1885,INDEX($I$1:$I1885,ROW()-COUNTIFS($T$1:$T1885,"="&amp;$T1885,$S$1:$S1885,"&lt;"&amp;$S1885)))</f>
        <v>0</v>
      </c>
      <c r="Z1885" s="6">
        <f t="shared" si="278"/>
        <v>1</v>
      </c>
      <c r="AA1885" t="e">
        <f t="shared" si="279"/>
        <v>#VALUE!</v>
      </c>
      <c r="AB1885" t="str">
        <f t="shared" si="280"/>
        <v/>
      </c>
      <c r="AC1885" t="e">
        <f t="shared" si="281"/>
        <v>#VALUE!</v>
      </c>
    </row>
    <row r="1886" spans="1:29" x14ac:dyDescent="0.2">
      <c r="A1886" t="str">
        <f t="shared" si="282"/>
        <v/>
      </c>
      <c r="E1886" s="4"/>
      <c r="F1886" s="46"/>
      <c r="G1886" s="4"/>
      <c r="H1886" s="48"/>
      <c r="J1886" s="26" t="str">
        <f t="shared" si="283"/>
        <v/>
      </c>
      <c r="N1886" t="str">
        <f t="shared" si="284"/>
        <v/>
      </c>
      <c r="Q1886" t="str">
        <f t="shared" si="285"/>
        <v/>
      </c>
      <c r="S1886" t="str">
        <f>IF(A1886=1,MAX($S$2:$S1885)+1,IF(OR($I1886&lt;&gt;"",A1886="x"),$S1885,""))</f>
        <v/>
      </c>
      <c r="T1886" t="str">
        <f>IF(D1886=1,MAX($T$2:$T1885)+1,IF(S1886=S1885,$T1885,IF(D1886="x",T1885,IF(D1885="x","",""))))</f>
        <v/>
      </c>
      <c r="U1886" t="str">
        <f>IF(B1886=1,MAX($U$2:$U1885)+1,IF(AND($T1886&lt;&gt;"",$T1886=$T1885),$U1885,IF(B1886="x",U1885,"")))</f>
        <v/>
      </c>
      <c r="V1886" t="str">
        <f>IF(C1886=1,MAX($V$2:$V1885)+1,IF(AND($T1886&lt;&gt;"",$T1886=$T1885),$U1885,IF(C1886="x",V1885,"")))</f>
        <v/>
      </c>
      <c r="X1886" cm="1">
        <f t="array" ref="X1886">IF($I1886&lt;&gt;"",$I1886,INDEX($I$1:$I1886,ROW()-COUNTIFS($T$1:$T1886,"="&amp;$T1886,$S$1:$S1886,"&lt;"&amp;$S1886)))</f>
        <v>0</v>
      </c>
      <c r="Z1886" s="6">
        <f t="shared" si="278"/>
        <v>1</v>
      </c>
      <c r="AA1886" t="e">
        <f t="shared" si="279"/>
        <v>#VALUE!</v>
      </c>
      <c r="AB1886" t="str">
        <f t="shared" si="280"/>
        <v/>
      </c>
      <c r="AC1886" t="e">
        <f t="shared" si="281"/>
        <v>#VALUE!</v>
      </c>
    </row>
    <row r="1887" spans="1:29" x14ac:dyDescent="0.2">
      <c r="A1887" t="str">
        <f t="shared" si="282"/>
        <v/>
      </c>
      <c r="E1887" s="4"/>
      <c r="F1887" s="46"/>
      <c r="G1887" s="4"/>
      <c r="H1887" s="48"/>
      <c r="J1887" s="26" t="str">
        <f t="shared" si="283"/>
        <v/>
      </c>
      <c r="N1887" t="str">
        <f t="shared" si="284"/>
        <v/>
      </c>
      <c r="Q1887" t="str">
        <f t="shared" si="285"/>
        <v/>
      </c>
      <c r="S1887" t="str">
        <f>IF(A1887=1,MAX($S$2:$S1886)+1,IF(OR($I1887&lt;&gt;"",A1887="x"),$S1886,""))</f>
        <v/>
      </c>
      <c r="T1887" t="str">
        <f>IF(D1887=1,MAX($T$2:$T1886)+1,IF(S1887=S1886,$T1886,IF(D1887="x",T1886,IF(D1886="x","",""))))</f>
        <v/>
      </c>
      <c r="U1887" t="str">
        <f>IF(B1887=1,MAX($U$2:$U1886)+1,IF(AND($T1887&lt;&gt;"",$T1887=$T1886),$U1886,IF(B1887="x",U1886,"")))</f>
        <v/>
      </c>
      <c r="V1887" t="str">
        <f>IF(C1887=1,MAX($V$2:$V1886)+1,IF(AND($T1887&lt;&gt;"",$T1887=$T1886),$U1886,IF(C1887="x",V1886,"")))</f>
        <v/>
      </c>
      <c r="X1887" cm="1">
        <f t="array" ref="X1887">IF($I1887&lt;&gt;"",$I1887,INDEX($I$1:$I1887,ROW()-COUNTIFS($T$1:$T1887,"="&amp;$T1887,$S$1:$S1887,"&lt;"&amp;$S1887)))</f>
        <v>0</v>
      </c>
      <c r="Z1887" s="6">
        <f t="shared" si="278"/>
        <v>1</v>
      </c>
      <c r="AA1887" t="e">
        <f t="shared" si="279"/>
        <v>#VALUE!</v>
      </c>
      <c r="AB1887" t="str">
        <f t="shared" si="280"/>
        <v/>
      </c>
      <c r="AC1887" t="e">
        <f t="shared" si="281"/>
        <v>#VALUE!</v>
      </c>
    </row>
    <row r="1888" spans="1:29" x14ac:dyDescent="0.2">
      <c r="A1888" t="str">
        <f t="shared" si="282"/>
        <v/>
      </c>
      <c r="E1888" s="4"/>
      <c r="F1888" s="46"/>
      <c r="G1888" s="4"/>
      <c r="H1888" s="48"/>
      <c r="J1888" s="26" t="str">
        <f t="shared" si="283"/>
        <v/>
      </c>
      <c r="N1888" t="str">
        <f t="shared" si="284"/>
        <v/>
      </c>
      <c r="Q1888" t="str">
        <f t="shared" si="285"/>
        <v/>
      </c>
      <c r="S1888" t="str">
        <f>IF(A1888=1,MAX($S$2:$S1887)+1,IF(OR($I1888&lt;&gt;"",A1888="x"),$S1887,""))</f>
        <v/>
      </c>
      <c r="T1888" t="str">
        <f>IF(D1888=1,MAX($T$2:$T1887)+1,IF(S1888=S1887,$T1887,IF(D1888="x",T1887,IF(D1887="x","",""))))</f>
        <v/>
      </c>
      <c r="U1888" t="str">
        <f>IF(B1888=1,MAX($U$2:$U1887)+1,IF(AND($T1888&lt;&gt;"",$T1888=$T1887),$U1887,IF(B1888="x",U1887,"")))</f>
        <v/>
      </c>
      <c r="V1888" t="str">
        <f>IF(C1888=1,MAX($V$2:$V1887)+1,IF(AND($T1888&lt;&gt;"",$T1888=$T1887),$U1887,IF(C1888="x",V1887,"")))</f>
        <v/>
      </c>
      <c r="X1888" cm="1">
        <f t="array" ref="X1888">IF($I1888&lt;&gt;"",$I1888,INDEX($I$1:$I1888,ROW()-COUNTIFS($T$1:$T1888,"="&amp;$T1888,$S$1:$S1888,"&lt;"&amp;$S1888)))</f>
        <v>0</v>
      </c>
      <c r="Z1888" s="6">
        <f t="shared" si="278"/>
        <v>1</v>
      </c>
      <c r="AA1888" t="e">
        <f t="shared" si="279"/>
        <v>#VALUE!</v>
      </c>
      <c r="AB1888" t="str">
        <f t="shared" si="280"/>
        <v/>
      </c>
      <c r="AC1888" t="e">
        <f t="shared" si="281"/>
        <v>#VALUE!</v>
      </c>
    </row>
    <row r="1889" spans="1:29" x14ac:dyDescent="0.2">
      <c r="A1889" t="str">
        <f t="shared" si="282"/>
        <v/>
      </c>
      <c r="E1889" s="4"/>
      <c r="F1889" s="46"/>
      <c r="G1889" s="4"/>
      <c r="H1889" s="48"/>
      <c r="J1889" s="26" t="str">
        <f t="shared" si="283"/>
        <v/>
      </c>
      <c r="N1889" t="str">
        <f t="shared" si="284"/>
        <v/>
      </c>
      <c r="Q1889" t="str">
        <f t="shared" si="285"/>
        <v/>
      </c>
      <c r="S1889" t="str">
        <f>IF(A1889=1,MAX($S$2:$S1888)+1,IF(OR($I1889&lt;&gt;"",A1889="x"),$S1888,""))</f>
        <v/>
      </c>
      <c r="T1889" t="str">
        <f>IF(D1889=1,MAX($T$2:$T1888)+1,IF(S1889=S1888,$T1888,IF(D1889="x",T1888,IF(D1888="x","",""))))</f>
        <v/>
      </c>
      <c r="U1889" t="str">
        <f>IF(B1889=1,MAX($U$2:$U1888)+1,IF(AND($T1889&lt;&gt;"",$T1889=$T1888),$U1888,IF(B1889="x",U1888,"")))</f>
        <v/>
      </c>
      <c r="V1889" t="str">
        <f>IF(C1889=1,MAX($V$2:$V1888)+1,IF(AND($T1889&lt;&gt;"",$T1889=$T1888),$U1888,IF(C1889="x",V1888,"")))</f>
        <v/>
      </c>
      <c r="X1889" cm="1">
        <f t="array" ref="X1889">IF($I1889&lt;&gt;"",$I1889,INDEX($I$1:$I1889,ROW()-COUNTIFS($T$1:$T1889,"="&amp;$T1889,$S$1:$S1889,"&lt;"&amp;$S1889)))</f>
        <v>0</v>
      </c>
      <c r="Z1889" s="6">
        <f t="shared" si="278"/>
        <v>1</v>
      </c>
      <c r="AA1889" t="e">
        <f t="shared" si="279"/>
        <v>#VALUE!</v>
      </c>
      <c r="AB1889" t="str">
        <f t="shared" si="280"/>
        <v/>
      </c>
      <c r="AC1889" t="e">
        <f t="shared" si="281"/>
        <v>#VALUE!</v>
      </c>
    </row>
    <row r="1890" spans="1:29" x14ac:dyDescent="0.2">
      <c r="A1890" t="str">
        <f t="shared" si="282"/>
        <v/>
      </c>
      <c r="E1890" s="4"/>
      <c r="F1890" s="46"/>
      <c r="G1890" s="4"/>
      <c r="H1890" s="48"/>
      <c r="J1890" s="26" t="str">
        <f t="shared" si="283"/>
        <v/>
      </c>
      <c r="N1890" t="str">
        <f t="shared" si="284"/>
        <v/>
      </c>
      <c r="Q1890" t="str">
        <f t="shared" si="285"/>
        <v/>
      </c>
      <c r="S1890" t="str">
        <f>IF(A1890=1,MAX($S$2:$S1889)+1,IF(OR($I1890&lt;&gt;"",A1890="x"),$S1889,""))</f>
        <v/>
      </c>
      <c r="T1890" t="str">
        <f>IF(D1890=1,MAX($T$2:$T1889)+1,IF(S1890=S1889,$T1889,IF(D1890="x",T1889,IF(D1889="x","",""))))</f>
        <v/>
      </c>
      <c r="U1890" t="str">
        <f>IF(B1890=1,MAX($U$2:$U1889)+1,IF(AND($T1890&lt;&gt;"",$T1890=$T1889),$U1889,IF(B1890="x",U1889,"")))</f>
        <v/>
      </c>
      <c r="V1890" t="str">
        <f>IF(C1890=1,MAX($V$2:$V1889)+1,IF(AND($T1890&lt;&gt;"",$T1890=$T1889),$U1889,IF(C1890="x",V1889,"")))</f>
        <v/>
      </c>
      <c r="X1890" cm="1">
        <f t="array" ref="X1890">IF($I1890&lt;&gt;"",$I1890,INDEX($I$1:$I1890,ROW()-COUNTIFS($T$1:$T1890,"="&amp;$T1890,$S$1:$S1890,"&lt;"&amp;$S1890)))</f>
        <v>0</v>
      </c>
      <c r="Z1890" s="6">
        <f t="shared" si="278"/>
        <v>1</v>
      </c>
      <c r="AA1890" t="e">
        <f t="shared" si="279"/>
        <v>#VALUE!</v>
      </c>
      <c r="AB1890" t="str">
        <f t="shared" si="280"/>
        <v/>
      </c>
      <c r="AC1890" t="e">
        <f t="shared" si="281"/>
        <v>#VALUE!</v>
      </c>
    </row>
    <row r="1891" spans="1:29" x14ac:dyDescent="0.2">
      <c r="A1891" t="str">
        <f t="shared" si="282"/>
        <v/>
      </c>
      <c r="E1891" s="4"/>
      <c r="F1891" s="46"/>
      <c r="G1891" s="4"/>
      <c r="H1891" s="48"/>
      <c r="J1891" s="26" t="str">
        <f t="shared" si="283"/>
        <v/>
      </c>
      <c r="N1891" t="str">
        <f t="shared" si="284"/>
        <v/>
      </c>
      <c r="Q1891" t="str">
        <f t="shared" si="285"/>
        <v/>
      </c>
      <c r="S1891" t="str">
        <f>IF(A1891=1,MAX($S$2:$S1890)+1,IF(OR($I1891&lt;&gt;"",A1891="x"),$S1890,""))</f>
        <v/>
      </c>
      <c r="T1891" t="str">
        <f>IF(D1891=1,MAX($T$2:$T1890)+1,IF(S1891=S1890,$T1890,IF(D1891="x",T1890,IF(D1890="x","",""))))</f>
        <v/>
      </c>
      <c r="U1891" t="str">
        <f>IF(B1891=1,MAX($U$2:$U1890)+1,IF(AND($T1891&lt;&gt;"",$T1891=$T1890),$U1890,IF(B1891="x",U1890,"")))</f>
        <v/>
      </c>
      <c r="V1891" t="str">
        <f>IF(C1891=1,MAX($V$2:$V1890)+1,IF(AND($T1891&lt;&gt;"",$T1891=$T1890),$U1890,IF(C1891="x",V1890,"")))</f>
        <v/>
      </c>
      <c r="X1891" cm="1">
        <f t="array" ref="X1891">IF($I1891&lt;&gt;"",$I1891,INDEX($I$1:$I1891,ROW()-COUNTIFS($T$1:$T1891,"="&amp;$T1891,$S$1:$S1891,"&lt;"&amp;$S1891)))</f>
        <v>0</v>
      </c>
      <c r="Z1891" s="6">
        <f t="shared" si="278"/>
        <v>1</v>
      </c>
      <c r="AA1891" t="e">
        <f t="shared" si="279"/>
        <v>#VALUE!</v>
      </c>
      <c r="AB1891" t="str">
        <f t="shared" si="280"/>
        <v/>
      </c>
      <c r="AC1891" t="e">
        <f t="shared" si="281"/>
        <v>#VALUE!</v>
      </c>
    </row>
    <row r="1892" spans="1:29" x14ac:dyDescent="0.2">
      <c r="A1892" t="str">
        <f t="shared" si="282"/>
        <v/>
      </c>
      <c r="E1892" s="4"/>
      <c r="F1892" s="46"/>
      <c r="G1892" s="4"/>
      <c r="H1892" s="48"/>
      <c r="J1892" s="26" t="str">
        <f t="shared" si="283"/>
        <v/>
      </c>
      <c r="N1892" t="str">
        <f t="shared" si="284"/>
        <v/>
      </c>
      <c r="Q1892" t="str">
        <f t="shared" si="285"/>
        <v/>
      </c>
      <c r="S1892" t="str">
        <f>IF(A1892=1,MAX($S$2:$S1891)+1,IF(OR($I1892&lt;&gt;"",A1892="x"),$S1891,""))</f>
        <v/>
      </c>
      <c r="T1892" t="str">
        <f>IF(D1892=1,MAX($T$2:$T1891)+1,IF(S1892=S1891,$T1891,IF(D1892="x",T1891,IF(D1891="x","",""))))</f>
        <v/>
      </c>
      <c r="U1892" t="str">
        <f>IF(B1892=1,MAX($U$2:$U1891)+1,IF(AND($T1892&lt;&gt;"",$T1892=$T1891),$U1891,IF(B1892="x",U1891,"")))</f>
        <v/>
      </c>
      <c r="V1892" t="str">
        <f>IF(C1892=1,MAX($V$2:$V1891)+1,IF(AND($T1892&lt;&gt;"",$T1892=$T1891),$U1891,IF(C1892="x",V1891,"")))</f>
        <v/>
      </c>
      <c r="X1892" cm="1">
        <f t="array" ref="X1892">IF($I1892&lt;&gt;"",$I1892,INDEX($I$1:$I1892,ROW()-COUNTIFS($T$1:$T1892,"="&amp;$T1892,$S$1:$S1892,"&lt;"&amp;$S1892)))</f>
        <v>0</v>
      </c>
      <c r="Z1892" s="6">
        <f t="shared" si="278"/>
        <v>1</v>
      </c>
      <c r="AA1892" t="e">
        <f t="shared" si="279"/>
        <v>#VALUE!</v>
      </c>
      <c r="AB1892" t="str">
        <f t="shared" si="280"/>
        <v/>
      </c>
      <c r="AC1892" t="e">
        <f t="shared" si="281"/>
        <v>#VALUE!</v>
      </c>
    </row>
    <row r="1893" spans="1:29" x14ac:dyDescent="0.2">
      <c r="A1893" t="str">
        <f t="shared" si="282"/>
        <v/>
      </c>
      <c r="E1893" s="4"/>
      <c r="F1893" s="46"/>
      <c r="G1893" s="4"/>
      <c r="H1893" s="48"/>
      <c r="J1893" s="26" t="str">
        <f t="shared" si="283"/>
        <v/>
      </c>
      <c r="N1893" t="str">
        <f t="shared" si="284"/>
        <v/>
      </c>
      <c r="Q1893" t="str">
        <f t="shared" si="285"/>
        <v/>
      </c>
      <c r="S1893" t="str">
        <f>IF(A1893=1,MAX($S$2:$S1892)+1,IF(OR($I1893&lt;&gt;"",A1893="x"),$S1892,""))</f>
        <v/>
      </c>
      <c r="T1893" t="str">
        <f>IF(D1893=1,MAX($T$2:$T1892)+1,IF(S1893=S1892,$T1892,IF(D1893="x",T1892,IF(D1892="x","",""))))</f>
        <v/>
      </c>
      <c r="U1893" t="str">
        <f>IF(B1893=1,MAX($U$2:$U1892)+1,IF(AND($T1893&lt;&gt;"",$T1893=$T1892),$U1892,IF(B1893="x",U1892,"")))</f>
        <v/>
      </c>
      <c r="V1893" t="str">
        <f>IF(C1893=1,MAX($V$2:$V1892)+1,IF(AND($T1893&lt;&gt;"",$T1893=$T1892),$U1892,IF(C1893="x",V1892,"")))</f>
        <v/>
      </c>
      <c r="X1893" cm="1">
        <f t="array" ref="X1893">IF($I1893&lt;&gt;"",$I1893,INDEX($I$1:$I1893,ROW()-COUNTIFS($T$1:$T1893,"="&amp;$T1893,$S$1:$S1893,"&lt;"&amp;$S1893)))</f>
        <v>0</v>
      </c>
      <c r="Z1893" s="6">
        <f t="shared" si="278"/>
        <v>1</v>
      </c>
      <c r="AA1893" t="e">
        <f t="shared" si="279"/>
        <v>#VALUE!</v>
      </c>
      <c r="AB1893" t="str">
        <f t="shared" si="280"/>
        <v/>
      </c>
      <c r="AC1893" t="e">
        <f t="shared" si="281"/>
        <v>#VALUE!</v>
      </c>
    </row>
    <row r="1894" spans="1:29" x14ac:dyDescent="0.2">
      <c r="A1894" t="str">
        <f t="shared" si="282"/>
        <v/>
      </c>
      <c r="E1894" s="4"/>
      <c r="F1894" s="46"/>
      <c r="G1894" s="4"/>
      <c r="H1894" s="48"/>
      <c r="J1894" s="26" t="str">
        <f t="shared" si="283"/>
        <v/>
      </c>
      <c r="N1894" t="str">
        <f t="shared" si="284"/>
        <v/>
      </c>
      <c r="Q1894" t="str">
        <f t="shared" si="285"/>
        <v/>
      </c>
      <c r="S1894" t="str">
        <f>IF(A1894=1,MAX($S$2:$S1893)+1,IF(OR($I1894&lt;&gt;"",A1894="x"),$S1893,""))</f>
        <v/>
      </c>
      <c r="T1894" t="str">
        <f>IF(D1894=1,MAX($T$2:$T1893)+1,IF(S1894=S1893,$T1893,IF(D1894="x",T1893,IF(D1893="x","",""))))</f>
        <v/>
      </c>
      <c r="U1894" t="str">
        <f>IF(B1894=1,MAX($U$2:$U1893)+1,IF(AND($T1894&lt;&gt;"",$T1894=$T1893),$U1893,IF(B1894="x",U1893,"")))</f>
        <v/>
      </c>
      <c r="V1894" t="str">
        <f>IF(C1894=1,MAX($V$2:$V1893)+1,IF(AND($T1894&lt;&gt;"",$T1894=$T1893),$U1893,IF(C1894="x",V1893,"")))</f>
        <v/>
      </c>
      <c r="X1894" cm="1">
        <f t="array" ref="X1894">IF($I1894&lt;&gt;"",$I1894,INDEX($I$1:$I1894,ROW()-COUNTIFS($T$1:$T1894,"="&amp;$T1894,$S$1:$S1894,"&lt;"&amp;$S1894)))</f>
        <v>0</v>
      </c>
      <c r="Z1894" s="6">
        <f t="shared" si="278"/>
        <v>1</v>
      </c>
      <c r="AA1894" t="e">
        <f t="shared" si="279"/>
        <v>#VALUE!</v>
      </c>
      <c r="AB1894" t="str">
        <f t="shared" si="280"/>
        <v/>
      </c>
      <c r="AC1894" t="e">
        <f t="shared" si="281"/>
        <v>#VALUE!</v>
      </c>
    </row>
    <row r="1895" spans="1:29" x14ac:dyDescent="0.2">
      <c r="A1895" t="str">
        <f t="shared" si="282"/>
        <v/>
      </c>
      <c r="E1895" s="4"/>
      <c r="F1895" s="46"/>
      <c r="G1895" s="4"/>
      <c r="H1895" s="48"/>
      <c r="J1895" s="26" t="str">
        <f t="shared" si="283"/>
        <v/>
      </c>
      <c r="N1895" t="str">
        <f t="shared" si="284"/>
        <v/>
      </c>
      <c r="Q1895" t="str">
        <f t="shared" si="285"/>
        <v/>
      </c>
      <c r="S1895" t="str">
        <f>IF(A1895=1,MAX($S$2:$S1894)+1,IF(OR($I1895&lt;&gt;"",A1895="x"),$S1894,""))</f>
        <v/>
      </c>
      <c r="T1895" t="str">
        <f>IF(D1895=1,MAX($T$2:$T1894)+1,IF(S1895=S1894,$T1894,IF(D1895="x",T1894,IF(D1894="x","",""))))</f>
        <v/>
      </c>
      <c r="U1895" t="str">
        <f>IF(B1895=1,MAX($U$2:$U1894)+1,IF(AND($T1895&lt;&gt;"",$T1895=$T1894),$U1894,IF(B1895="x",U1894,"")))</f>
        <v/>
      </c>
      <c r="V1895" t="str">
        <f>IF(C1895=1,MAX($V$2:$V1894)+1,IF(AND($T1895&lt;&gt;"",$T1895=$T1894),$U1894,IF(C1895="x",V1894,"")))</f>
        <v/>
      </c>
      <c r="X1895" cm="1">
        <f t="array" ref="X1895">IF($I1895&lt;&gt;"",$I1895,INDEX($I$1:$I1895,ROW()-COUNTIFS($T$1:$T1895,"="&amp;$T1895,$S$1:$S1895,"&lt;"&amp;$S1895)))</f>
        <v>0</v>
      </c>
      <c r="Z1895" s="6">
        <f t="shared" si="278"/>
        <v>1</v>
      </c>
      <c r="AA1895" t="e">
        <f t="shared" si="279"/>
        <v>#VALUE!</v>
      </c>
      <c r="AB1895" t="str">
        <f t="shared" si="280"/>
        <v/>
      </c>
      <c r="AC1895" t="e">
        <f t="shared" si="281"/>
        <v>#VALUE!</v>
      </c>
    </row>
    <row r="1896" spans="1:29" x14ac:dyDescent="0.2">
      <c r="A1896" t="str">
        <f t="shared" si="282"/>
        <v/>
      </c>
      <c r="E1896" s="4"/>
      <c r="F1896" s="46"/>
      <c r="G1896" s="4"/>
      <c r="H1896" s="48"/>
      <c r="J1896" s="26" t="str">
        <f t="shared" si="283"/>
        <v/>
      </c>
      <c r="N1896" t="str">
        <f t="shared" si="284"/>
        <v/>
      </c>
      <c r="Q1896" t="str">
        <f t="shared" si="285"/>
        <v/>
      </c>
      <c r="S1896" t="str">
        <f>IF(A1896=1,MAX($S$2:$S1895)+1,IF(OR($I1896&lt;&gt;"",A1896="x"),$S1895,""))</f>
        <v/>
      </c>
      <c r="T1896" t="str">
        <f>IF(D1896=1,MAX($T$2:$T1895)+1,IF(S1896=S1895,$T1895,IF(D1896="x",T1895,IF(D1895="x","",""))))</f>
        <v/>
      </c>
      <c r="U1896" t="str">
        <f>IF(B1896=1,MAX($U$2:$U1895)+1,IF(AND($T1896&lt;&gt;"",$T1896=$T1895),$U1895,IF(B1896="x",U1895,"")))</f>
        <v/>
      </c>
      <c r="V1896" t="str">
        <f>IF(C1896=1,MAX($V$2:$V1895)+1,IF(AND($T1896&lt;&gt;"",$T1896=$T1895),$U1895,IF(C1896="x",V1895,"")))</f>
        <v/>
      </c>
      <c r="X1896" cm="1">
        <f t="array" ref="X1896">IF($I1896&lt;&gt;"",$I1896,INDEX($I$1:$I1896,ROW()-COUNTIFS($T$1:$T1896,"="&amp;$T1896,$S$1:$S1896,"&lt;"&amp;$S1896)))</f>
        <v>0</v>
      </c>
      <c r="Z1896" s="6">
        <f t="shared" si="278"/>
        <v>1</v>
      </c>
      <c r="AA1896" t="e">
        <f t="shared" si="279"/>
        <v>#VALUE!</v>
      </c>
      <c r="AB1896" t="str">
        <f t="shared" si="280"/>
        <v/>
      </c>
      <c r="AC1896" t="e">
        <f t="shared" si="281"/>
        <v>#VALUE!</v>
      </c>
    </row>
    <row r="1897" spans="1:29" x14ac:dyDescent="0.2">
      <c r="A1897" t="str">
        <f t="shared" si="282"/>
        <v/>
      </c>
      <c r="E1897" s="4"/>
      <c r="F1897" s="46"/>
      <c r="G1897" s="4"/>
      <c r="H1897" s="48"/>
      <c r="J1897" s="26" t="str">
        <f t="shared" si="283"/>
        <v/>
      </c>
      <c r="N1897" t="str">
        <f t="shared" si="284"/>
        <v/>
      </c>
      <c r="Q1897" t="str">
        <f t="shared" si="285"/>
        <v/>
      </c>
      <c r="S1897" t="str">
        <f>IF(A1897=1,MAX($S$2:$S1896)+1,IF(OR($I1897&lt;&gt;"",A1897="x"),$S1896,""))</f>
        <v/>
      </c>
      <c r="T1897" t="str">
        <f>IF(D1897=1,MAX($T$2:$T1896)+1,IF(S1897=S1896,$T1896,IF(D1897="x",T1896,IF(D1896="x","",""))))</f>
        <v/>
      </c>
      <c r="U1897" t="str">
        <f>IF(B1897=1,MAX($U$2:$U1896)+1,IF(AND($T1897&lt;&gt;"",$T1897=$T1896),$U1896,IF(B1897="x",U1896,"")))</f>
        <v/>
      </c>
      <c r="V1897" t="str">
        <f>IF(C1897=1,MAX($V$2:$V1896)+1,IF(AND($T1897&lt;&gt;"",$T1897=$T1896),$U1896,IF(C1897="x",V1896,"")))</f>
        <v/>
      </c>
      <c r="X1897" cm="1">
        <f t="array" ref="X1897">IF($I1897&lt;&gt;"",$I1897,INDEX($I$1:$I1897,ROW()-COUNTIFS($T$1:$T1897,"="&amp;$T1897,$S$1:$S1897,"&lt;"&amp;$S1897)))</f>
        <v>0</v>
      </c>
      <c r="Z1897" s="6">
        <f t="shared" si="278"/>
        <v>1</v>
      </c>
      <c r="AA1897" t="e">
        <f t="shared" si="279"/>
        <v>#VALUE!</v>
      </c>
      <c r="AB1897" t="str">
        <f t="shared" si="280"/>
        <v/>
      </c>
      <c r="AC1897" t="e">
        <f t="shared" si="281"/>
        <v>#VALUE!</v>
      </c>
    </row>
    <row r="1898" spans="1:29" x14ac:dyDescent="0.2">
      <c r="A1898" t="str">
        <f t="shared" si="282"/>
        <v/>
      </c>
      <c r="E1898" s="4"/>
      <c r="F1898" s="46"/>
      <c r="G1898" s="4"/>
      <c r="H1898" s="48"/>
      <c r="J1898" s="26" t="str">
        <f t="shared" si="283"/>
        <v/>
      </c>
      <c r="N1898" t="str">
        <f t="shared" si="284"/>
        <v/>
      </c>
      <c r="Q1898" t="str">
        <f t="shared" si="285"/>
        <v/>
      </c>
      <c r="S1898" t="str">
        <f>IF(A1898=1,MAX($S$2:$S1897)+1,IF(OR($I1898&lt;&gt;"",A1898="x"),$S1897,""))</f>
        <v/>
      </c>
      <c r="T1898" t="str">
        <f>IF(D1898=1,MAX($T$2:$T1897)+1,IF(S1898=S1897,$T1897,IF(D1898="x",T1897,IF(D1897="x","",""))))</f>
        <v/>
      </c>
      <c r="U1898" t="str">
        <f>IF(B1898=1,MAX($U$2:$U1897)+1,IF(AND($T1898&lt;&gt;"",$T1898=$T1897),$U1897,IF(B1898="x",U1897,"")))</f>
        <v/>
      </c>
      <c r="V1898" t="str">
        <f>IF(C1898=1,MAX($V$2:$V1897)+1,IF(AND($T1898&lt;&gt;"",$T1898=$T1897),$U1897,IF(C1898="x",V1897,"")))</f>
        <v/>
      </c>
      <c r="X1898" cm="1">
        <f t="array" ref="X1898">IF($I1898&lt;&gt;"",$I1898,INDEX($I$1:$I1898,ROW()-COUNTIFS($T$1:$T1898,"="&amp;$T1898,$S$1:$S1898,"&lt;"&amp;$S1898)))</f>
        <v>0</v>
      </c>
      <c r="Z1898" s="6">
        <f t="shared" si="278"/>
        <v>1</v>
      </c>
      <c r="AA1898" t="e">
        <f t="shared" si="279"/>
        <v>#VALUE!</v>
      </c>
      <c r="AB1898" t="str">
        <f t="shared" si="280"/>
        <v/>
      </c>
      <c r="AC1898" t="e">
        <f t="shared" si="281"/>
        <v>#VALUE!</v>
      </c>
    </row>
    <row r="1899" spans="1:29" x14ac:dyDescent="0.2">
      <c r="A1899" t="str">
        <f t="shared" si="282"/>
        <v/>
      </c>
      <c r="E1899" s="4"/>
      <c r="F1899" s="46"/>
      <c r="G1899" s="4"/>
      <c r="H1899" s="48"/>
      <c r="J1899" s="26" t="str">
        <f t="shared" si="283"/>
        <v/>
      </c>
      <c r="N1899" t="str">
        <f t="shared" si="284"/>
        <v/>
      </c>
      <c r="Q1899" t="str">
        <f t="shared" si="285"/>
        <v/>
      </c>
      <c r="S1899" t="str">
        <f>IF(A1899=1,MAX($S$2:$S1898)+1,IF(OR($I1899&lt;&gt;"",A1899="x"),$S1898,""))</f>
        <v/>
      </c>
      <c r="T1899" t="str">
        <f>IF(D1899=1,MAX($T$2:$T1898)+1,IF(S1899=S1898,$T1898,IF(D1899="x",T1898,IF(D1898="x","",""))))</f>
        <v/>
      </c>
      <c r="U1899" t="str">
        <f>IF(B1899=1,MAX($U$2:$U1898)+1,IF(AND($T1899&lt;&gt;"",$T1899=$T1898),$U1898,IF(B1899="x",U1898,"")))</f>
        <v/>
      </c>
      <c r="V1899" t="str">
        <f>IF(C1899=1,MAX($V$2:$V1898)+1,IF(AND($T1899&lt;&gt;"",$T1899=$T1898),$U1898,IF(C1899="x",V1898,"")))</f>
        <v/>
      </c>
      <c r="X1899" cm="1">
        <f t="array" ref="X1899">IF($I1899&lt;&gt;"",$I1899,INDEX($I$1:$I1899,ROW()-COUNTIFS($T$1:$T1899,"="&amp;$T1899,$S$1:$S1899,"&lt;"&amp;$S1899)))</f>
        <v>0</v>
      </c>
      <c r="Z1899" s="6">
        <f t="shared" si="278"/>
        <v>1</v>
      </c>
      <c r="AA1899" t="e">
        <f t="shared" si="279"/>
        <v>#VALUE!</v>
      </c>
      <c r="AB1899" t="str">
        <f t="shared" si="280"/>
        <v/>
      </c>
      <c r="AC1899" t="e">
        <f t="shared" si="281"/>
        <v>#VALUE!</v>
      </c>
    </row>
    <row r="1900" spans="1:29" x14ac:dyDescent="0.2">
      <c r="A1900" t="str">
        <f t="shared" si="282"/>
        <v/>
      </c>
      <c r="E1900" s="4"/>
      <c r="F1900" s="46"/>
      <c r="G1900" s="4"/>
      <c r="H1900" s="48"/>
      <c r="J1900" s="26" t="str">
        <f t="shared" si="283"/>
        <v/>
      </c>
      <c r="N1900" t="str">
        <f t="shared" si="284"/>
        <v/>
      </c>
      <c r="Q1900" t="str">
        <f t="shared" si="285"/>
        <v/>
      </c>
      <c r="S1900" t="str">
        <f>IF(A1900=1,MAX($S$2:$S1899)+1,IF(OR($I1900&lt;&gt;"",A1900="x"),$S1899,""))</f>
        <v/>
      </c>
      <c r="T1900" t="str">
        <f>IF(D1900=1,MAX($T$2:$T1899)+1,IF(S1900=S1899,$T1899,IF(D1900="x",T1899,IF(D1899="x","",""))))</f>
        <v/>
      </c>
      <c r="U1900" t="str">
        <f>IF(B1900=1,MAX($U$2:$U1899)+1,IF(AND($T1900&lt;&gt;"",$T1900=$T1899),$U1899,IF(B1900="x",U1899,"")))</f>
        <v/>
      </c>
      <c r="V1900" t="str">
        <f>IF(C1900=1,MAX($V$2:$V1899)+1,IF(AND($T1900&lt;&gt;"",$T1900=$T1899),$U1899,IF(C1900="x",V1899,"")))</f>
        <v/>
      </c>
      <c r="X1900" cm="1">
        <f t="array" ref="X1900">IF($I1900&lt;&gt;"",$I1900,INDEX($I$1:$I1900,ROW()-COUNTIFS($T$1:$T1900,"="&amp;$T1900,$S$1:$S1900,"&lt;"&amp;$S1900)))</f>
        <v>0</v>
      </c>
      <c r="Z1900" s="6">
        <f t="shared" si="278"/>
        <v>1</v>
      </c>
      <c r="AA1900" t="e">
        <f t="shared" si="279"/>
        <v>#VALUE!</v>
      </c>
      <c r="AB1900" t="str">
        <f t="shared" si="280"/>
        <v/>
      </c>
      <c r="AC1900" t="e">
        <f t="shared" si="281"/>
        <v>#VALUE!</v>
      </c>
    </row>
    <row r="1901" spans="1:29" x14ac:dyDescent="0.2">
      <c r="A1901" t="str">
        <f t="shared" si="282"/>
        <v/>
      </c>
      <c r="E1901" s="4"/>
      <c r="F1901" s="46"/>
      <c r="G1901" s="4"/>
      <c r="H1901" s="48"/>
      <c r="J1901" s="26" t="str">
        <f t="shared" si="283"/>
        <v/>
      </c>
      <c r="N1901" t="str">
        <f t="shared" si="284"/>
        <v/>
      </c>
      <c r="Q1901" t="str">
        <f t="shared" si="285"/>
        <v/>
      </c>
      <c r="S1901" t="str">
        <f>IF(A1901=1,MAX($S$2:$S1900)+1,IF(OR($I1901&lt;&gt;"",A1901="x"),$S1900,""))</f>
        <v/>
      </c>
      <c r="T1901" t="str">
        <f>IF(D1901=1,MAX($T$2:$T1900)+1,IF(S1901=S1900,$T1900,IF(D1901="x",T1900,IF(D1900="x","",""))))</f>
        <v/>
      </c>
      <c r="U1901" t="str">
        <f>IF(B1901=1,MAX($U$2:$U1900)+1,IF(AND($T1901&lt;&gt;"",$T1901=$T1900),$U1900,IF(B1901="x",U1900,"")))</f>
        <v/>
      </c>
      <c r="V1901" t="str">
        <f>IF(C1901=1,MAX($V$2:$V1900)+1,IF(AND($T1901&lt;&gt;"",$T1901=$T1900),$U1900,IF(C1901="x",V1900,"")))</f>
        <v/>
      </c>
      <c r="X1901" cm="1">
        <f t="array" ref="X1901">IF($I1901&lt;&gt;"",$I1901,INDEX($I$1:$I1901,ROW()-COUNTIFS($T$1:$T1901,"="&amp;$T1901,$S$1:$S1901,"&lt;"&amp;$S1901)))</f>
        <v>0</v>
      </c>
      <c r="Z1901" s="6">
        <f t="shared" si="278"/>
        <v>1</v>
      </c>
      <c r="AA1901" t="e">
        <f t="shared" si="279"/>
        <v>#VALUE!</v>
      </c>
      <c r="AB1901" t="str">
        <f t="shared" si="280"/>
        <v/>
      </c>
      <c r="AC1901" t="e">
        <f t="shared" si="281"/>
        <v>#VALUE!</v>
      </c>
    </row>
    <row r="1902" spans="1:29" x14ac:dyDescent="0.2">
      <c r="A1902" t="str">
        <f t="shared" si="282"/>
        <v/>
      </c>
      <c r="E1902" s="4"/>
      <c r="F1902" s="46"/>
      <c r="G1902" s="4"/>
      <c r="H1902" s="48"/>
      <c r="J1902" s="26" t="str">
        <f t="shared" si="283"/>
        <v/>
      </c>
      <c r="N1902" t="str">
        <f t="shared" si="284"/>
        <v/>
      </c>
      <c r="Q1902" t="str">
        <f t="shared" si="285"/>
        <v/>
      </c>
      <c r="S1902" t="str">
        <f>IF(A1902=1,MAX($S$2:$S1901)+1,IF(OR($I1902&lt;&gt;"",A1902="x"),$S1901,""))</f>
        <v/>
      </c>
      <c r="T1902" t="str">
        <f>IF(D1902=1,MAX($T$2:$T1901)+1,IF(S1902=S1901,$T1901,IF(D1902="x",T1901,IF(D1901="x","",""))))</f>
        <v/>
      </c>
      <c r="U1902" t="str">
        <f>IF(B1902=1,MAX($U$2:$U1901)+1,IF(AND($T1902&lt;&gt;"",$T1902=$T1901),$U1901,IF(B1902="x",U1901,"")))</f>
        <v/>
      </c>
      <c r="V1902" t="str">
        <f>IF(C1902=1,MAX($V$2:$V1901)+1,IF(AND($T1902&lt;&gt;"",$T1902=$T1901),$U1901,IF(C1902="x",V1901,"")))</f>
        <v/>
      </c>
      <c r="X1902" cm="1">
        <f t="array" ref="X1902">IF($I1902&lt;&gt;"",$I1902,INDEX($I$1:$I1902,ROW()-COUNTIFS($T$1:$T1902,"="&amp;$T1902,$S$1:$S1902,"&lt;"&amp;$S1902)))</f>
        <v>0</v>
      </c>
      <c r="Z1902" s="6">
        <f t="shared" si="278"/>
        <v>1</v>
      </c>
      <c r="AA1902" t="e">
        <f t="shared" si="279"/>
        <v>#VALUE!</v>
      </c>
      <c r="AB1902" t="str">
        <f t="shared" si="280"/>
        <v/>
      </c>
      <c r="AC1902" t="e">
        <f t="shared" si="281"/>
        <v>#VALUE!</v>
      </c>
    </row>
    <row r="1903" spans="1:29" x14ac:dyDescent="0.2">
      <c r="A1903" t="str">
        <f t="shared" si="282"/>
        <v/>
      </c>
      <c r="E1903" s="4"/>
      <c r="F1903" s="46"/>
      <c r="G1903" s="4"/>
      <c r="H1903" s="48"/>
      <c r="J1903" s="26" t="str">
        <f t="shared" si="283"/>
        <v/>
      </c>
      <c r="N1903" t="str">
        <f t="shared" si="284"/>
        <v/>
      </c>
      <c r="Q1903" t="str">
        <f t="shared" si="285"/>
        <v/>
      </c>
      <c r="S1903" t="str">
        <f>IF(A1903=1,MAX($S$2:$S1902)+1,IF(OR($I1903&lt;&gt;"",A1903="x"),$S1902,""))</f>
        <v/>
      </c>
      <c r="T1903" t="str">
        <f>IF(D1903=1,MAX($T$2:$T1902)+1,IF(S1903=S1902,$T1902,IF(D1903="x",T1902,IF(D1902="x","",""))))</f>
        <v/>
      </c>
      <c r="U1903" t="str">
        <f>IF(B1903=1,MAX($U$2:$U1902)+1,IF(AND($T1903&lt;&gt;"",$T1903=$T1902),$U1902,IF(B1903="x",U1902,"")))</f>
        <v/>
      </c>
      <c r="V1903" t="str">
        <f>IF(C1903=1,MAX($V$2:$V1902)+1,IF(AND($T1903&lt;&gt;"",$T1903=$T1902),$U1902,IF(C1903="x",V1902,"")))</f>
        <v/>
      </c>
      <c r="X1903" cm="1">
        <f t="array" ref="X1903">IF($I1903&lt;&gt;"",$I1903,INDEX($I$1:$I1903,ROW()-COUNTIFS($T$1:$T1903,"="&amp;$T1903,$S$1:$S1903,"&lt;"&amp;$S1903)))</f>
        <v>0</v>
      </c>
      <c r="Z1903" s="6">
        <f t="shared" si="278"/>
        <v>1</v>
      </c>
      <c r="AA1903" t="e">
        <f t="shared" si="279"/>
        <v>#VALUE!</v>
      </c>
      <c r="AB1903" t="str">
        <f t="shared" si="280"/>
        <v/>
      </c>
      <c r="AC1903" t="e">
        <f t="shared" si="281"/>
        <v>#VALUE!</v>
      </c>
    </row>
    <row r="1904" spans="1:29" x14ac:dyDescent="0.2">
      <c r="A1904" t="str">
        <f t="shared" si="282"/>
        <v/>
      </c>
      <c r="E1904" s="4"/>
      <c r="F1904" s="46"/>
      <c r="G1904" s="4"/>
      <c r="H1904" s="48"/>
      <c r="J1904" s="26" t="str">
        <f t="shared" si="283"/>
        <v/>
      </c>
      <c r="N1904" t="str">
        <f t="shared" si="284"/>
        <v/>
      </c>
      <c r="Q1904" t="str">
        <f t="shared" si="285"/>
        <v/>
      </c>
      <c r="S1904" t="str">
        <f>IF(A1904=1,MAX($S$2:$S1903)+1,IF(OR($I1904&lt;&gt;"",A1904="x"),$S1903,""))</f>
        <v/>
      </c>
      <c r="T1904" t="str">
        <f>IF(D1904=1,MAX($T$2:$T1903)+1,IF(S1904=S1903,$T1903,IF(D1904="x",T1903,IF(D1903="x","",""))))</f>
        <v/>
      </c>
      <c r="U1904" t="str">
        <f>IF(B1904=1,MAX($U$2:$U1903)+1,IF(AND($T1904&lt;&gt;"",$T1904=$T1903),$U1903,IF(B1904="x",U1903,"")))</f>
        <v/>
      </c>
      <c r="V1904" t="str">
        <f>IF(C1904=1,MAX($V$2:$V1903)+1,IF(AND($T1904&lt;&gt;"",$T1904=$T1903),$U1903,IF(C1904="x",V1903,"")))</f>
        <v/>
      </c>
      <c r="X1904" cm="1">
        <f t="array" ref="X1904">IF($I1904&lt;&gt;"",$I1904,INDEX($I$1:$I1904,ROW()-COUNTIFS($T$1:$T1904,"="&amp;$T1904,$S$1:$S1904,"&lt;"&amp;$S1904)))</f>
        <v>0</v>
      </c>
      <c r="Z1904" s="6">
        <f t="shared" si="278"/>
        <v>1</v>
      </c>
      <c r="AA1904" t="e">
        <f t="shared" si="279"/>
        <v>#VALUE!</v>
      </c>
      <c r="AB1904" t="str">
        <f t="shared" si="280"/>
        <v/>
      </c>
      <c r="AC1904" t="e">
        <f t="shared" si="281"/>
        <v>#VALUE!</v>
      </c>
    </row>
    <row r="1905" spans="1:29" x14ac:dyDescent="0.2">
      <c r="A1905" t="str">
        <f t="shared" si="282"/>
        <v/>
      </c>
      <c r="E1905" s="4"/>
      <c r="F1905" s="46"/>
      <c r="G1905" s="4"/>
      <c r="H1905" s="48"/>
      <c r="J1905" s="26" t="str">
        <f t="shared" si="283"/>
        <v/>
      </c>
      <c r="N1905" t="str">
        <f t="shared" si="284"/>
        <v/>
      </c>
      <c r="Q1905" t="str">
        <f t="shared" si="285"/>
        <v/>
      </c>
      <c r="S1905" t="str">
        <f>IF(A1905=1,MAX($S$2:$S1904)+1,IF(OR($I1905&lt;&gt;"",A1905="x"),$S1904,""))</f>
        <v/>
      </c>
      <c r="T1905" t="str">
        <f>IF(D1905=1,MAX($T$2:$T1904)+1,IF(S1905=S1904,$T1904,IF(D1905="x",T1904,IF(D1904="x","",""))))</f>
        <v/>
      </c>
      <c r="U1905" t="str">
        <f>IF(B1905=1,MAX($U$2:$U1904)+1,IF(AND($T1905&lt;&gt;"",$T1905=$T1904),$U1904,IF(B1905="x",U1904,"")))</f>
        <v/>
      </c>
      <c r="V1905" t="str">
        <f>IF(C1905=1,MAX($V$2:$V1904)+1,IF(AND($T1905&lt;&gt;"",$T1905=$T1904),$U1904,IF(C1905="x",V1904,"")))</f>
        <v/>
      </c>
      <c r="X1905" cm="1">
        <f t="array" ref="X1905">IF($I1905&lt;&gt;"",$I1905,INDEX($I$1:$I1905,ROW()-COUNTIFS($T$1:$T1905,"="&amp;$T1905,$S$1:$S1905,"&lt;"&amp;$S1905)))</f>
        <v>0</v>
      </c>
      <c r="Z1905" s="6">
        <f t="shared" si="278"/>
        <v>1</v>
      </c>
      <c r="AA1905" t="e">
        <f t="shared" si="279"/>
        <v>#VALUE!</v>
      </c>
      <c r="AB1905" t="str">
        <f t="shared" si="280"/>
        <v/>
      </c>
      <c r="AC1905" t="e">
        <f t="shared" si="281"/>
        <v>#VALUE!</v>
      </c>
    </row>
    <row r="1906" spans="1:29" x14ac:dyDescent="0.2">
      <c r="A1906" t="str">
        <f t="shared" si="282"/>
        <v/>
      </c>
      <c r="E1906" s="4"/>
      <c r="F1906" s="46"/>
      <c r="G1906" s="4"/>
      <c r="H1906" s="48"/>
      <c r="J1906" s="26" t="str">
        <f t="shared" si="283"/>
        <v/>
      </c>
      <c r="N1906" t="str">
        <f t="shared" si="284"/>
        <v/>
      </c>
      <c r="Q1906" t="str">
        <f t="shared" si="285"/>
        <v/>
      </c>
      <c r="S1906" t="str">
        <f>IF(A1906=1,MAX($S$2:$S1905)+1,IF(OR($I1906&lt;&gt;"",A1906="x"),$S1905,""))</f>
        <v/>
      </c>
      <c r="T1906" t="str">
        <f>IF(D1906=1,MAX($T$2:$T1905)+1,IF(S1906=S1905,$T1905,IF(D1906="x",T1905,IF(D1905="x","",""))))</f>
        <v/>
      </c>
      <c r="U1906" t="str">
        <f>IF(B1906=1,MAX($U$2:$U1905)+1,IF(AND($T1906&lt;&gt;"",$T1906=$T1905),$U1905,IF(B1906="x",U1905,"")))</f>
        <v/>
      </c>
      <c r="V1906" t="str">
        <f>IF(C1906=1,MAX($V$2:$V1905)+1,IF(AND($T1906&lt;&gt;"",$T1906=$T1905),$U1905,IF(C1906="x",V1905,"")))</f>
        <v/>
      </c>
      <c r="X1906" cm="1">
        <f t="array" ref="X1906">IF($I1906&lt;&gt;"",$I1906,INDEX($I$1:$I1906,ROW()-COUNTIFS($T$1:$T1906,"="&amp;$T1906,$S$1:$S1906,"&lt;"&amp;$S1906)))</f>
        <v>0</v>
      </c>
      <c r="Z1906" s="6">
        <f t="shared" si="278"/>
        <v>1</v>
      </c>
      <c r="AA1906" t="e">
        <f t="shared" si="279"/>
        <v>#VALUE!</v>
      </c>
      <c r="AB1906" t="str">
        <f t="shared" si="280"/>
        <v/>
      </c>
      <c r="AC1906" t="e">
        <f t="shared" si="281"/>
        <v>#VALUE!</v>
      </c>
    </row>
    <row r="1907" spans="1:29" x14ac:dyDescent="0.2">
      <c r="A1907" t="str">
        <f t="shared" si="282"/>
        <v/>
      </c>
      <c r="E1907" s="4"/>
      <c r="F1907" s="46"/>
      <c r="G1907" s="4"/>
      <c r="H1907" s="48"/>
      <c r="J1907" s="26" t="str">
        <f t="shared" si="283"/>
        <v/>
      </c>
      <c r="N1907" t="str">
        <f t="shared" si="284"/>
        <v/>
      </c>
      <c r="Q1907" t="str">
        <f t="shared" si="285"/>
        <v/>
      </c>
      <c r="S1907" t="str">
        <f>IF(A1907=1,MAX($S$2:$S1906)+1,IF(OR($I1907&lt;&gt;"",A1907="x"),$S1906,""))</f>
        <v/>
      </c>
      <c r="T1907" t="str">
        <f>IF(D1907=1,MAX($T$2:$T1906)+1,IF(S1907=S1906,$T1906,IF(D1907="x",T1906,IF(D1906="x","",""))))</f>
        <v/>
      </c>
      <c r="U1907" t="str">
        <f>IF(B1907=1,MAX($U$2:$U1906)+1,IF(AND($T1907&lt;&gt;"",$T1907=$T1906),$U1906,IF(B1907="x",U1906,"")))</f>
        <v/>
      </c>
      <c r="V1907" t="str">
        <f>IF(C1907=1,MAX($V$2:$V1906)+1,IF(AND($T1907&lt;&gt;"",$T1907=$T1906),$U1906,IF(C1907="x",V1906,"")))</f>
        <v/>
      </c>
      <c r="X1907" cm="1">
        <f t="array" ref="X1907">IF($I1907&lt;&gt;"",$I1907,INDEX($I$1:$I1907,ROW()-COUNTIFS($T$1:$T1907,"="&amp;$T1907,$S$1:$S1907,"&lt;"&amp;$S1907)))</f>
        <v>0</v>
      </c>
      <c r="Z1907" s="6">
        <f t="shared" si="278"/>
        <v>1</v>
      </c>
      <c r="AA1907" t="e">
        <f t="shared" si="279"/>
        <v>#VALUE!</v>
      </c>
      <c r="AB1907" t="str">
        <f t="shared" si="280"/>
        <v/>
      </c>
      <c r="AC1907" t="e">
        <f t="shared" si="281"/>
        <v>#VALUE!</v>
      </c>
    </row>
    <row r="1908" spans="1:29" x14ac:dyDescent="0.2">
      <c r="A1908" t="str">
        <f t="shared" si="282"/>
        <v/>
      </c>
      <c r="E1908" s="4"/>
      <c r="F1908" s="46"/>
      <c r="G1908" s="4"/>
      <c r="H1908" s="48"/>
      <c r="J1908" s="26" t="str">
        <f t="shared" si="283"/>
        <v/>
      </c>
      <c r="N1908" t="str">
        <f t="shared" si="284"/>
        <v/>
      </c>
      <c r="Q1908" t="str">
        <f t="shared" si="285"/>
        <v/>
      </c>
      <c r="S1908" t="str">
        <f>IF(A1908=1,MAX($S$2:$S1907)+1,IF(OR($I1908&lt;&gt;"",A1908="x"),$S1907,""))</f>
        <v/>
      </c>
      <c r="T1908" t="str">
        <f>IF(D1908=1,MAX($T$2:$T1907)+1,IF(S1908=S1907,$T1907,IF(D1908="x",T1907,IF(D1907="x","",""))))</f>
        <v/>
      </c>
      <c r="U1908" t="str">
        <f>IF(B1908=1,MAX($U$2:$U1907)+1,IF(AND($T1908&lt;&gt;"",$T1908=$T1907),$U1907,IF(B1908="x",U1907,"")))</f>
        <v/>
      </c>
      <c r="V1908" t="str">
        <f>IF(C1908=1,MAX($V$2:$V1907)+1,IF(AND($T1908&lt;&gt;"",$T1908=$T1907),$U1907,IF(C1908="x",V1907,"")))</f>
        <v/>
      </c>
      <c r="X1908" cm="1">
        <f t="array" ref="X1908">IF($I1908&lt;&gt;"",$I1908,INDEX($I$1:$I1908,ROW()-COUNTIFS($T$1:$T1908,"="&amp;$T1908,$S$1:$S1908,"&lt;"&amp;$S1908)))</f>
        <v>0</v>
      </c>
      <c r="Z1908" s="6">
        <f t="shared" si="278"/>
        <v>1</v>
      </c>
      <c r="AA1908" t="e">
        <f t="shared" si="279"/>
        <v>#VALUE!</v>
      </c>
      <c r="AB1908" t="str">
        <f t="shared" si="280"/>
        <v/>
      </c>
      <c r="AC1908" t="e">
        <f t="shared" si="281"/>
        <v>#VALUE!</v>
      </c>
    </row>
    <row r="1909" spans="1:29" x14ac:dyDescent="0.2">
      <c r="A1909" t="str">
        <f t="shared" si="282"/>
        <v/>
      </c>
      <c r="E1909" s="4"/>
      <c r="F1909" s="46"/>
      <c r="G1909" s="4"/>
      <c r="H1909" s="48"/>
      <c r="J1909" s="26" t="str">
        <f t="shared" si="283"/>
        <v/>
      </c>
      <c r="N1909" t="str">
        <f t="shared" si="284"/>
        <v/>
      </c>
      <c r="Q1909" t="str">
        <f t="shared" si="285"/>
        <v/>
      </c>
      <c r="S1909" t="str">
        <f>IF(A1909=1,MAX($S$2:$S1908)+1,IF(OR($I1909&lt;&gt;"",A1909="x"),$S1908,""))</f>
        <v/>
      </c>
      <c r="T1909" t="str">
        <f>IF(D1909=1,MAX($T$2:$T1908)+1,IF(S1909=S1908,$T1908,IF(D1909="x",T1908,IF(D1908="x","",""))))</f>
        <v/>
      </c>
      <c r="U1909" t="str">
        <f>IF(B1909=1,MAX($U$2:$U1908)+1,IF(AND($T1909&lt;&gt;"",$T1909=$T1908),$U1908,IF(B1909="x",U1908,"")))</f>
        <v/>
      </c>
      <c r="V1909" t="str">
        <f>IF(C1909=1,MAX($V$2:$V1908)+1,IF(AND($T1909&lt;&gt;"",$T1909=$T1908),$U1908,IF(C1909="x",V1908,"")))</f>
        <v/>
      </c>
      <c r="X1909" cm="1">
        <f t="array" ref="X1909">IF($I1909&lt;&gt;"",$I1909,INDEX($I$1:$I1909,ROW()-COUNTIFS($T$1:$T1909,"="&amp;$T1909,$S$1:$S1909,"&lt;"&amp;$S1909)))</f>
        <v>0</v>
      </c>
      <c r="Z1909" s="6">
        <f t="shared" si="278"/>
        <v>1</v>
      </c>
      <c r="AA1909" t="e">
        <f t="shared" si="279"/>
        <v>#VALUE!</v>
      </c>
      <c r="AB1909" t="str">
        <f t="shared" si="280"/>
        <v/>
      </c>
      <c r="AC1909" t="e">
        <f t="shared" si="281"/>
        <v>#VALUE!</v>
      </c>
    </row>
    <row r="1910" spans="1:29" x14ac:dyDescent="0.2">
      <c r="A1910" t="str">
        <f t="shared" si="282"/>
        <v/>
      </c>
      <c r="E1910" s="4"/>
      <c r="F1910" s="46"/>
      <c r="G1910" s="4"/>
      <c r="H1910" s="48"/>
      <c r="J1910" s="26" t="str">
        <f t="shared" si="283"/>
        <v/>
      </c>
      <c r="N1910" t="str">
        <f t="shared" si="284"/>
        <v/>
      </c>
      <c r="Q1910" t="str">
        <f t="shared" si="285"/>
        <v/>
      </c>
      <c r="S1910" t="str">
        <f>IF(A1910=1,MAX($S$2:$S1909)+1,IF(OR($I1910&lt;&gt;"",A1910="x"),$S1909,""))</f>
        <v/>
      </c>
      <c r="T1910" t="str">
        <f>IF(D1910=1,MAX($T$2:$T1909)+1,IF(S1910=S1909,$T1909,IF(D1910="x",T1909,IF(D1909="x","",""))))</f>
        <v/>
      </c>
      <c r="U1910" t="str">
        <f>IF(B1910=1,MAX($U$2:$U1909)+1,IF(AND($T1910&lt;&gt;"",$T1910=$T1909),$U1909,IF(B1910="x",U1909,"")))</f>
        <v/>
      </c>
      <c r="V1910" t="str">
        <f>IF(C1910=1,MAX($V$2:$V1909)+1,IF(AND($T1910&lt;&gt;"",$T1910=$T1909),$U1909,IF(C1910="x",V1909,"")))</f>
        <v/>
      </c>
      <c r="X1910" cm="1">
        <f t="array" ref="X1910">IF($I1910&lt;&gt;"",$I1910,INDEX($I$1:$I1910,ROW()-COUNTIFS($T$1:$T1910,"="&amp;$T1910,$S$1:$S1910,"&lt;"&amp;$S1910)))</f>
        <v>0</v>
      </c>
      <c r="Z1910" s="6">
        <f t="shared" si="278"/>
        <v>1</v>
      </c>
      <c r="AA1910" t="e">
        <f t="shared" si="279"/>
        <v>#VALUE!</v>
      </c>
      <c r="AB1910" t="str">
        <f t="shared" si="280"/>
        <v/>
      </c>
      <c r="AC1910" t="e">
        <f t="shared" si="281"/>
        <v>#VALUE!</v>
      </c>
    </row>
    <row r="1911" spans="1:29" x14ac:dyDescent="0.2">
      <c r="A1911" t="str">
        <f t="shared" si="282"/>
        <v/>
      </c>
      <c r="E1911" s="4"/>
      <c r="F1911" s="46"/>
      <c r="G1911" s="4"/>
      <c r="H1911" s="48"/>
      <c r="J1911" s="26" t="str">
        <f t="shared" si="283"/>
        <v/>
      </c>
      <c r="N1911" t="str">
        <f t="shared" si="284"/>
        <v/>
      </c>
      <c r="Q1911" t="str">
        <f t="shared" si="285"/>
        <v/>
      </c>
      <c r="S1911" t="str">
        <f>IF(A1911=1,MAX($S$2:$S1910)+1,IF(OR($I1911&lt;&gt;"",A1911="x"),$S1910,""))</f>
        <v/>
      </c>
      <c r="T1911" t="str">
        <f>IF(D1911=1,MAX($T$2:$T1910)+1,IF(S1911=S1910,$T1910,IF(D1911="x",T1910,IF(D1910="x","",""))))</f>
        <v/>
      </c>
      <c r="U1911" t="str">
        <f>IF(B1911=1,MAX($U$2:$U1910)+1,IF(AND($T1911&lt;&gt;"",$T1911=$T1910),$U1910,IF(B1911="x",U1910,"")))</f>
        <v/>
      </c>
      <c r="V1911" t="str">
        <f>IF(C1911=1,MAX($V$2:$V1910)+1,IF(AND($T1911&lt;&gt;"",$T1911=$T1910),$U1910,IF(C1911="x",V1910,"")))</f>
        <v/>
      </c>
      <c r="X1911" cm="1">
        <f t="array" ref="X1911">IF($I1911&lt;&gt;"",$I1911,INDEX($I$1:$I1911,ROW()-COUNTIFS($T$1:$T1911,"="&amp;$T1911,$S$1:$S1911,"&lt;"&amp;$S1911)))</f>
        <v>0</v>
      </c>
      <c r="Z1911" s="6">
        <f t="shared" si="278"/>
        <v>1</v>
      </c>
      <c r="AA1911" t="e">
        <f t="shared" si="279"/>
        <v>#VALUE!</v>
      </c>
      <c r="AB1911" t="str">
        <f t="shared" si="280"/>
        <v/>
      </c>
      <c r="AC1911" t="e">
        <f t="shared" si="281"/>
        <v>#VALUE!</v>
      </c>
    </row>
    <row r="1912" spans="1:29" x14ac:dyDescent="0.2">
      <c r="A1912" t="str">
        <f t="shared" si="282"/>
        <v/>
      </c>
      <c r="E1912" s="4"/>
      <c r="F1912" s="46"/>
      <c r="G1912" s="4"/>
      <c r="H1912" s="48"/>
      <c r="J1912" s="26" t="str">
        <f t="shared" si="283"/>
        <v/>
      </c>
      <c r="N1912" t="str">
        <f t="shared" si="284"/>
        <v/>
      </c>
      <c r="Q1912" t="str">
        <f t="shared" si="285"/>
        <v/>
      </c>
      <c r="S1912" t="str">
        <f>IF(A1912=1,MAX($S$2:$S1911)+1,IF(OR($I1912&lt;&gt;"",A1912="x"),$S1911,""))</f>
        <v/>
      </c>
      <c r="T1912" t="str">
        <f>IF(D1912=1,MAX($T$2:$T1911)+1,IF(S1912=S1911,$T1911,IF(D1912="x",T1911,IF(D1911="x","",""))))</f>
        <v/>
      </c>
      <c r="U1912" t="str">
        <f>IF(B1912=1,MAX($U$2:$U1911)+1,IF(AND($T1912&lt;&gt;"",$T1912=$T1911),$U1911,IF(B1912="x",U1911,"")))</f>
        <v/>
      </c>
      <c r="V1912" t="str">
        <f>IF(C1912=1,MAX($V$2:$V1911)+1,IF(AND($T1912&lt;&gt;"",$T1912=$T1911),$U1911,IF(C1912="x",V1911,"")))</f>
        <v/>
      </c>
      <c r="X1912" cm="1">
        <f t="array" ref="X1912">IF($I1912&lt;&gt;"",$I1912,INDEX($I$1:$I1912,ROW()-COUNTIFS($T$1:$T1912,"="&amp;$T1912,$S$1:$S1912,"&lt;"&amp;$S1912)))</f>
        <v>0</v>
      </c>
      <c r="Z1912" s="6">
        <f t="shared" si="278"/>
        <v>1</v>
      </c>
      <c r="AA1912" t="e">
        <f t="shared" si="279"/>
        <v>#VALUE!</v>
      </c>
      <c r="AB1912" t="str">
        <f t="shared" si="280"/>
        <v/>
      </c>
      <c r="AC1912" t="e">
        <f t="shared" si="281"/>
        <v>#VALUE!</v>
      </c>
    </row>
    <row r="1913" spans="1:29" x14ac:dyDescent="0.2">
      <c r="A1913" t="str">
        <f t="shared" si="282"/>
        <v/>
      </c>
      <c r="E1913" s="4"/>
      <c r="F1913" s="46"/>
      <c r="G1913" s="4"/>
      <c r="H1913" s="48"/>
      <c r="J1913" s="26" t="str">
        <f t="shared" si="283"/>
        <v/>
      </c>
      <c r="N1913" t="str">
        <f t="shared" si="284"/>
        <v/>
      </c>
      <c r="Q1913" t="str">
        <f t="shared" si="285"/>
        <v/>
      </c>
      <c r="S1913" t="str">
        <f>IF(A1913=1,MAX($S$2:$S1912)+1,IF(OR($I1913&lt;&gt;"",A1913="x"),$S1912,""))</f>
        <v/>
      </c>
      <c r="T1913" t="str">
        <f>IF(D1913=1,MAX($T$2:$T1912)+1,IF(S1913=S1912,$T1912,IF(D1913="x",T1912,IF(D1912="x","",""))))</f>
        <v/>
      </c>
      <c r="U1913" t="str">
        <f>IF(B1913=1,MAX($U$2:$U1912)+1,IF(AND($T1913&lt;&gt;"",$T1913=$T1912),$U1912,IF(B1913="x",U1912,"")))</f>
        <v/>
      </c>
      <c r="V1913" t="str">
        <f>IF(C1913=1,MAX($V$2:$V1912)+1,IF(AND($T1913&lt;&gt;"",$T1913=$T1912),$U1912,IF(C1913="x",V1912,"")))</f>
        <v/>
      </c>
      <c r="X1913" cm="1">
        <f t="array" ref="X1913">IF($I1913&lt;&gt;"",$I1913,INDEX($I$1:$I1913,ROW()-COUNTIFS($T$1:$T1913,"="&amp;$T1913,$S$1:$S1913,"&lt;"&amp;$S1913)))</f>
        <v>0</v>
      </c>
      <c r="Z1913" s="6">
        <f t="shared" si="278"/>
        <v>1</v>
      </c>
      <c r="AA1913" t="e">
        <f t="shared" si="279"/>
        <v>#VALUE!</v>
      </c>
      <c r="AB1913" t="str">
        <f t="shared" si="280"/>
        <v/>
      </c>
      <c r="AC1913" t="e">
        <f t="shared" si="281"/>
        <v>#VALUE!</v>
      </c>
    </row>
    <row r="1914" spans="1:29" x14ac:dyDescent="0.2">
      <c r="A1914" t="str">
        <f t="shared" si="282"/>
        <v/>
      </c>
      <c r="E1914" s="4"/>
      <c r="F1914" s="46"/>
      <c r="G1914" s="4"/>
      <c r="H1914" s="48"/>
      <c r="J1914" s="26" t="str">
        <f t="shared" si="283"/>
        <v/>
      </c>
      <c r="N1914" t="str">
        <f t="shared" si="284"/>
        <v/>
      </c>
      <c r="Q1914" t="str">
        <f t="shared" si="285"/>
        <v/>
      </c>
      <c r="S1914" t="str">
        <f>IF(A1914=1,MAX($S$2:$S1913)+1,IF(OR($I1914&lt;&gt;"",A1914="x"),$S1913,""))</f>
        <v/>
      </c>
      <c r="T1914" t="str">
        <f>IF(D1914=1,MAX($T$2:$T1913)+1,IF(S1914=S1913,$T1913,IF(D1914="x",T1913,IF(D1913="x","",""))))</f>
        <v/>
      </c>
      <c r="U1914" t="str">
        <f>IF(B1914=1,MAX($U$2:$U1913)+1,IF(AND($T1914&lt;&gt;"",$T1914=$T1913),$U1913,IF(B1914="x",U1913,"")))</f>
        <v/>
      </c>
      <c r="V1914" t="str">
        <f>IF(C1914=1,MAX($V$2:$V1913)+1,IF(AND($T1914&lt;&gt;"",$T1914=$T1913),$U1913,IF(C1914="x",V1913,"")))</f>
        <v/>
      </c>
      <c r="X1914" cm="1">
        <f t="array" ref="X1914">IF($I1914&lt;&gt;"",$I1914,INDEX($I$1:$I1914,ROW()-COUNTIFS($T$1:$T1914,"="&amp;$T1914,$S$1:$S1914,"&lt;"&amp;$S1914)))</f>
        <v>0</v>
      </c>
      <c r="Z1914" s="6">
        <f t="shared" si="278"/>
        <v>1</v>
      </c>
      <c r="AA1914" t="e">
        <f t="shared" si="279"/>
        <v>#VALUE!</v>
      </c>
      <c r="AB1914" t="str">
        <f t="shared" si="280"/>
        <v/>
      </c>
      <c r="AC1914" t="e">
        <f t="shared" si="281"/>
        <v>#VALUE!</v>
      </c>
    </row>
    <row r="1915" spans="1:29" x14ac:dyDescent="0.2">
      <c r="A1915" t="str">
        <f t="shared" si="282"/>
        <v/>
      </c>
      <c r="E1915" s="4"/>
      <c r="F1915" s="46"/>
      <c r="G1915" s="4"/>
      <c r="H1915" s="48"/>
      <c r="J1915" s="26" t="str">
        <f t="shared" si="283"/>
        <v/>
      </c>
      <c r="N1915" t="str">
        <f t="shared" si="284"/>
        <v/>
      </c>
      <c r="Q1915" t="str">
        <f t="shared" si="285"/>
        <v/>
      </c>
      <c r="S1915" t="str">
        <f>IF(A1915=1,MAX($S$2:$S1914)+1,IF(OR($I1915&lt;&gt;"",A1915="x"),$S1914,""))</f>
        <v/>
      </c>
      <c r="T1915" t="str">
        <f>IF(D1915=1,MAX($T$2:$T1914)+1,IF(S1915=S1914,$T1914,IF(D1915="x",T1914,IF(D1914="x","",""))))</f>
        <v/>
      </c>
      <c r="U1915" t="str">
        <f>IF(B1915=1,MAX($U$2:$U1914)+1,IF(AND($T1915&lt;&gt;"",$T1915=$T1914),$U1914,IF(B1915="x",U1914,"")))</f>
        <v/>
      </c>
      <c r="V1915" t="str">
        <f>IF(C1915=1,MAX($V$2:$V1914)+1,IF(AND($T1915&lt;&gt;"",$T1915=$T1914),$U1914,IF(C1915="x",V1914,"")))</f>
        <v/>
      </c>
      <c r="X1915" cm="1">
        <f t="array" ref="X1915">IF($I1915&lt;&gt;"",$I1915,INDEX($I$1:$I1915,ROW()-COUNTIFS($T$1:$T1915,"="&amp;$T1915,$S$1:$S1915,"&lt;"&amp;$S1915)))</f>
        <v>0</v>
      </c>
      <c r="Z1915" s="6">
        <f t="shared" si="278"/>
        <v>1</v>
      </c>
      <c r="AA1915" t="e">
        <f t="shared" si="279"/>
        <v>#VALUE!</v>
      </c>
      <c r="AB1915" t="str">
        <f t="shared" si="280"/>
        <v/>
      </c>
      <c r="AC1915" t="e">
        <f t="shared" si="281"/>
        <v>#VALUE!</v>
      </c>
    </row>
    <row r="1916" spans="1:29" x14ac:dyDescent="0.2">
      <c r="A1916" t="str">
        <f t="shared" si="282"/>
        <v/>
      </c>
      <c r="E1916" s="4"/>
      <c r="F1916" s="46"/>
      <c r="G1916" s="4"/>
      <c r="H1916" s="48"/>
      <c r="J1916" s="26" t="str">
        <f t="shared" si="283"/>
        <v/>
      </c>
      <c r="N1916" t="str">
        <f t="shared" si="284"/>
        <v/>
      </c>
      <c r="Q1916" t="str">
        <f t="shared" si="285"/>
        <v/>
      </c>
      <c r="S1916" t="str">
        <f>IF(A1916=1,MAX($S$2:$S1915)+1,IF(OR($I1916&lt;&gt;"",A1916="x"),$S1915,""))</f>
        <v/>
      </c>
      <c r="T1916" t="str">
        <f>IF(D1916=1,MAX($T$2:$T1915)+1,IF(S1916=S1915,$T1915,IF(D1916="x",T1915,IF(D1915="x","",""))))</f>
        <v/>
      </c>
      <c r="U1916" t="str">
        <f>IF(B1916=1,MAX($U$2:$U1915)+1,IF(AND($T1916&lt;&gt;"",$T1916=$T1915),$U1915,IF(B1916="x",U1915,"")))</f>
        <v/>
      </c>
      <c r="V1916" t="str">
        <f>IF(C1916=1,MAX($V$2:$V1915)+1,IF(AND($T1916&lt;&gt;"",$T1916=$T1915),$U1915,IF(C1916="x",V1915,"")))</f>
        <v/>
      </c>
      <c r="X1916" cm="1">
        <f t="array" ref="X1916">IF($I1916&lt;&gt;"",$I1916,INDEX($I$1:$I1916,ROW()-COUNTIFS($T$1:$T1916,"="&amp;$T1916,$S$1:$S1916,"&lt;"&amp;$S1916)))</f>
        <v>0</v>
      </c>
      <c r="Z1916" s="6">
        <f t="shared" si="278"/>
        <v>1</v>
      </c>
      <c r="AA1916" t="e">
        <f t="shared" si="279"/>
        <v>#VALUE!</v>
      </c>
      <c r="AB1916" t="str">
        <f t="shared" si="280"/>
        <v/>
      </c>
      <c r="AC1916" t="e">
        <f t="shared" si="281"/>
        <v>#VALUE!</v>
      </c>
    </row>
    <row r="1917" spans="1:29" x14ac:dyDescent="0.2">
      <c r="A1917" t="str">
        <f t="shared" si="282"/>
        <v/>
      </c>
      <c r="E1917" s="4"/>
      <c r="F1917" s="46"/>
      <c r="G1917" s="4"/>
      <c r="H1917" s="48"/>
      <c r="J1917" s="26" t="str">
        <f t="shared" si="283"/>
        <v/>
      </c>
      <c r="N1917" t="str">
        <f t="shared" si="284"/>
        <v/>
      </c>
      <c r="Q1917" t="str">
        <f t="shared" si="285"/>
        <v/>
      </c>
      <c r="S1917" t="str">
        <f>IF(A1917=1,MAX($S$2:$S1916)+1,IF(OR($I1917&lt;&gt;"",A1917="x"),$S1916,""))</f>
        <v/>
      </c>
      <c r="T1917" t="str">
        <f>IF(D1917=1,MAX($T$2:$T1916)+1,IF(S1917=S1916,$T1916,IF(D1917="x",T1916,IF(D1916="x","",""))))</f>
        <v/>
      </c>
      <c r="U1917" t="str">
        <f>IF(B1917=1,MAX($U$2:$U1916)+1,IF(AND($T1917&lt;&gt;"",$T1917=$T1916),$U1916,IF(B1917="x",U1916,"")))</f>
        <v/>
      </c>
      <c r="V1917" t="str">
        <f>IF(C1917=1,MAX($V$2:$V1916)+1,IF(AND($T1917&lt;&gt;"",$T1917=$T1916),$U1916,IF(C1917="x",V1916,"")))</f>
        <v/>
      </c>
      <c r="X1917" cm="1">
        <f t="array" ref="X1917">IF($I1917&lt;&gt;"",$I1917,INDEX($I$1:$I1917,ROW()-COUNTIFS($T$1:$T1917,"="&amp;$T1917,$S$1:$S1917,"&lt;"&amp;$S1917)))</f>
        <v>0</v>
      </c>
      <c r="Z1917" s="6">
        <f t="shared" si="278"/>
        <v>1</v>
      </c>
      <c r="AA1917" t="e">
        <f t="shared" si="279"/>
        <v>#VALUE!</v>
      </c>
      <c r="AB1917" t="str">
        <f t="shared" si="280"/>
        <v/>
      </c>
      <c r="AC1917" t="e">
        <f t="shared" si="281"/>
        <v>#VALUE!</v>
      </c>
    </row>
    <row r="1918" spans="1:29" x14ac:dyDescent="0.2">
      <c r="A1918" t="str">
        <f t="shared" si="282"/>
        <v/>
      </c>
      <c r="E1918" s="4"/>
      <c r="F1918" s="46"/>
      <c r="G1918" s="4"/>
      <c r="H1918" s="48"/>
      <c r="J1918" s="26" t="str">
        <f t="shared" si="283"/>
        <v/>
      </c>
      <c r="N1918" t="str">
        <f t="shared" si="284"/>
        <v/>
      </c>
      <c r="Q1918" t="str">
        <f t="shared" si="285"/>
        <v/>
      </c>
      <c r="S1918" t="str">
        <f>IF(A1918=1,MAX($S$2:$S1917)+1,IF(OR($I1918&lt;&gt;"",A1918="x"),$S1917,""))</f>
        <v/>
      </c>
      <c r="T1918" t="str">
        <f>IF(D1918=1,MAX($T$2:$T1917)+1,IF(S1918=S1917,$T1917,IF(D1918="x",T1917,IF(D1917="x","",""))))</f>
        <v/>
      </c>
      <c r="U1918" t="str">
        <f>IF(B1918=1,MAX($U$2:$U1917)+1,IF(AND($T1918&lt;&gt;"",$T1918=$T1917),$U1917,IF(B1918="x",U1917,"")))</f>
        <v/>
      </c>
      <c r="V1918" t="str">
        <f>IF(C1918=1,MAX($V$2:$V1917)+1,IF(AND($T1918&lt;&gt;"",$T1918=$T1917),$U1917,IF(C1918="x",V1917,"")))</f>
        <v/>
      </c>
      <c r="X1918" cm="1">
        <f t="array" ref="X1918">IF($I1918&lt;&gt;"",$I1918,INDEX($I$1:$I1918,ROW()-COUNTIFS($T$1:$T1918,"="&amp;$T1918,$S$1:$S1918,"&lt;"&amp;$S1918)))</f>
        <v>0</v>
      </c>
      <c r="Z1918" s="6">
        <f t="shared" si="278"/>
        <v>1</v>
      </c>
      <c r="AA1918" t="e">
        <f t="shared" si="279"/>
        <v>#VALUE!</v>
      </c>
      <c r="AB1918" t="str">
        <f t="shared" si="280"/>
        <v/>
      </c>
      <c r="AC1918" t="e">
        <f t="shared" si="281"/>
        <v>#VALUE!</v>
      </c>
    </row>
    <row r="1919" spans="1:29" x14ac:dyDescent="0.2">
      <c r="A1919" t="str">
        <f t="shared" si="282"/>
        <v/>
      </c>
      <c r="E1919" s="4"/>
      <c r="F1919" s="46"/>
      <c r="G1919" s="4"/>
      <c r="H1919" s="48"/>
      <c r="J1919" s="26" t="str">
        <f t="shared" si="283"/>
        <v/>
      </c>
      <c r="N1919" t="str">
        <f t="shared" si="284"/>
        <v/>
      </c>
      <c r="Q1919" t="str">
        <f t="shared" si="285"/>
        <v/>
      </c>
      <c r="S1919" t="str">
        <f>IF(A1919=1,MAX($S$2:$S1918)+1,IF(OR($I1919&lt;&gt;"",A1919="x"),$S1918,""))</f>
        <v/>
      </c>
      <c r="T1919" t="str">
        <f>IF(D1919=1,MAX($T$2:$T1918)+1,IF(S1919=S1918,$T1918,IF(D1919="x",T1918,IF(D1918="x","",""))))</f>
        <v/>
      </c>
      <c r="U1919" t="str">
        <f>IF(B1919=1,MAX($U$2:$U1918)+1,IF(AND($T1919&lt;&gt;"",$T1919=$T1918),$U1918,IF(B1919="x",U1918,"")))</f>
        <v/>
      </c>
      <c r="V1919" t="str">
        <f>IF(C1919=1,MAX($V$2:$V1918)+1,IF(AND($T1919&lt;&gt;"",$T1919=$T1918),$U1918,IF(C1919="x",V1918,"")))</f>
        <v/>
      </c>
      <c r="X1919" cm="1">
        <f t="array" ref="X1919">IF($I1919&lt;&gt;"",$I1919,INDEX($I$1:$I1919,ROW()-COUNTIFS($T$1:$T1919,"="&amp;$T1919,$S$1:$S1919,"&lt;"&amp;$S1919)))</f>
        <v>0</v>
      </c>
      <c r="Z1919" s="6">
        <f t="shared" si="278"/>
        <v>1</v>
      </c>
      <c r="AA1919" t="e">
        <f t="shared" si="279"/>
        <v>#VALUE!</v>
      </c>
      <c r="AB1919" t="str">
        <f t="shared" si="280"/>
        <v/>
      </c>
      <c r="AC1919" t="e">
        <f t="shared" si="281"/>
        <v>#VALUE!</v>
      </c>
    </row>
    <row r="1920" spans="1:29" x14ac:dyDescent="0.2">
      <c r="A1920" t="str">
        <f t="shared" si="282"/>
        <v/>
      </c>
      <c r="E1920" s="4"/>
      <c r="F1920" s="46"/>
      <c r="G1920" s="4"/>
      <c r="H1920" s="48"/>
      <c r="J1920" s="26" t="str">
        <f t="shared" si="283"/>
        <v/>
      </c>
      <c r="N1920" t="str">
        <f t="shared" si="284"/>
        <v/>
      </c>
      <c r="Q1920" t="str">
        <f t="shared" si="285"/>
        <v/>
      </c>
      <c r="S1920" t="str">
        <f>IF(A1920=1,MAX($S$2:$S1919)+1,IF(OR($I1920&lt;&gt;"",A1920="x"),$S1919,""))</f>
        <v/>
      </c>
      <c r="T1920" t="str">
        <f>IF(D1920=1,MAX($T$2:$T1919)+1,IF(S1920=S1919,$T1919,IF(D1920="x",T1919,IF(D1919="x","",""))))</f>
        <v/>
      </c>
      <c r="U1920" t="str">
        <f>IF(B1920=1,MAX($U$2:$U1919)+1,IF(AND($T1920&lt;&gt;"",$T1920=$T1919),$U1919,IF(B1920="x",U1919,"")))</f>
        <v/>
      </c>
      <c r="V1920" t="str">
        <f>IF(C1920=1,MAX($V$2:$V1919)+1,IF(AND($T1920&lt;&gt;"",$T1920=$T1919),$U1919,IF(C1920="x",V1919,"")))</f>
        <v/>
      </c>
      <c r="X1920" cm="1">
        <f t="array" ref="X1920">IF($I1920&lt;&gt;"",$I1920,INDEX($I$1:$I1920,ROW()-COUNTIFS($T$1:$T1920,"="&amp;$T1920,$S$1:$S1920,"&lt;"&amp;$S1920)))</f>
        <v>0</v>
      </c>
      <c r="Z1920" s="6">
        <f t="shared" si="278"/>
        <v>1</v>
      </c>
      <c r="AA1920" t="e">
        <f t="shared" si="279"/>
        <v>#VALUE!</v>
      </c>
      <c r="AB1920" t="str">
        <f t="shared" si="280"/>
        <v/>
      </c>
      <c r="AC1920" t="e">
        <f t="shared" si="281"/>
        <v>#VALUE!</v>
      </c>
    </row>
    <row r="1921" spans="1:29" x14ac:dyDescent="0.2">
      <c r="A1921" t="str">
        <f t="shared" si="282"/>
        <v/>
      </c>
      <c r="E1921" s="4"/>
      <c r="F1921" s="46"/>
      <c r="G1921" s="4"/>
      <c r="H1921" s="48"/>
      <c r="J1921" s="26" t="str">
        <f t="shared" si="283"/>
        <v/>
      </c>
      <c r="N1921" t="str">
        <f t="shared" si="284"/>
        <v/>
      </c>
      <c r="Q1921" t="str">
        <f t="shared" si="285"/>
        <v/>
      </c>
      <c r="S1921" t="str">
        <f>IF(A1921=1,MAX($S$2:$S1920)+1,IF(OR($I1921&lt;&gt;"",A1921="x"),$S1920,""))</f>
        <v/>
      </c>
      <c r="T1921" t="str">
        <f>IF(D1921=1,MAX($T$2:$T1920)+1,IF(S1921=S1920,$T1920,IF(D1921="x",T1920,IF(D1920="x","",""))))</f>
        <v/>
      </c>
      <c r="U1921" t="str">
        <f>IF(B1921=1,MAX($U$2:$U1920)+1,IF(AND($T1921&lt;&gt;"",$T1921=$T1920),$U1920,IF(B1921="x",U1920,"")))</f>
        <v/>
      </c>
      <c r="V1921" t="str">
        <f>IF(C1921=1,MAX($V$2:$V1920)+1,IF(AND($T1921&lt;&gt;"",$T1921=$T1920),$U1920,IF(C1921="x",V1920,"")))</f>
        <v/>
      </c>
      <c r="X1921" cm="1">
        <f t="array" ref="X1921">IF($I1921&lt;&gt;"",$I1921,INDEX($I$1:$I1921,ROW()-COUNTIFS($T$1:$T1921,"="&amp;$T1921,$S$1:$S1921,"&lt;"&amp;$S1921)))</f>
        <v>0</v>
      </c>
      <c r="Z1921" s="6">
        <f t="shared" si="278"/>
        <v>1</v>
      </c>
      <c r="AA1921" t="e">
        <f t="shared" si="279"/>
        <v>#VALUE!</v>
      </c>
      <c r="AB1921" t="str">
        <f t="shared" si="280"/>
        <v/>
      </c>
      <c r="AC1921" t="e">
        <f t="shared" si="281"/>
        <v>#VALUE!</v>
      </c>
    </row>
    <row r="1922" spans="1:29" x14ac:dyDescent="0.2">
      <c r="A1922" t="str">
        <f t="shared" si="282"/>
        <v/>
      </c>
      <c r="E1922" s="4"/>
      <c r="F1922" s="46"/>
      <c r="G1922" s="4"/>
      <c r="H1922" s="48"/>
      <c r="J1922" s="26" t="str">
        <f t="shared" si="283"/>
        <v/>
      </c>
      <c r="N1922" t="str">
        <f t="shared" si="284"/>
        <v/>
      </c>
      <c r="Q1922" t="str">
        <f t="shared" si="285"/>
        <v/>
      </c>
      <c r="S1922" t="str">
        <f>IF(A1922=1,MAX($S$2:$S1921)+1,IF(OR($I1922&lt;&gt;"",A1922="x"),$S1921,""))</f>
        <v/>
      </c>
      <c r="T1922" t="str">
        <f>IF(D1922=1,MAX($T$2:$T1921)+1,IF(S1922=S1921,$T1921,IF(D1922="x",T1921,IF(D1921="x","",""))))</f>
        <v/>
      </c>
      <c r="U1922" t="str">
        <f>IF(B1922=1,MAX($U$2:$U1921)+1,IF(AND($T1922&lt;&gt;"",$T1922=$T1921),$U1921,IF(B1922="x",U1921,"")))</f>
        <v/>
      </c>
      <c r="V1922" t="str">
        <f>IF(C1922=1,MAX($V$2:$V1921)+1,IF(AND($T1922&lt;&gt;"",$T1922=$T1921),$U1921,IF(C1922="x",V1921,"")))</f>
        <v/>
      </c>
      <c r="X1922" cm="1">
        <f t="array" ref="X1922">IF($I1922&lt;&gt;"",$I1922,INDEX($I$1:$I1922,ROW()-COUNTIFS($T$1:$T1922,"="&amp;$T1922,$S$1:$S1922,"&lt;"&amp;$S1922)))</f>
        <v>0</v>
      </c>
      <c r="Z1922" s="6">
        <f t="shared" si="278"/>
        <v>1</v>
      </c>
      <c r="AA1922" t="e">
        <f t="shared" si="279"/>
        <v>#VALUE!</v>
      </c>
      <c r="AB1922" t="str">
        <f t="shared" si="280"/>
        <v/>
      </c>
      <c r="AC1922" t="e">
        <f t="shared" si="281"/>
        <v>#VALUE!</v>
      </c>
    </row>
    <row r="1923" spans="1:29" x14ac:dyDescent="0.2">
      <c r="A1923" t="str">
        <f t="shared" si="282"/>
        <v/>
      </c>
      <c r="E1923" s="4"/>
      <c r="F1923" s="46"/>
      <c r="G1923" s="4"/>
      <c r="H1923" s="48"/>
      <c r="J1923" s="26" t="str">
        <f t="shared" si="283"/>
        <v/>
      </c>
      <c r="N1923" t="str">
        <f t="shared" si="284"/>
        <v/>
      </c>
      <c r="Q1923" t="str">
        <f t="shared" si="285"/>
        <v/>
      </c>
      <c r="S1923" t="str">
        <f>IF(A1923=1,MAX($S$2:$S1922)+1,IF(OR($I1923&lt;&gt;"",A1923="x"),$S1922,""))</f>
        <v/>
      </c>
      <c r="T1923" t="str">
        <f>IF(D1923=1,MAX($T$2:$T1922)+1,IF(S1923=S1922,$T1922,IF(D1923="x",T1922,IF(D1922="x","",""))))</f>
        <v/>
      </c>
      <c r="U1923" t="str">
        <f>IF(B1923=1,MAX($U$2:$U1922)+1,IF(AND($T1923&lt;&gt;"",$T1923=$T1922),$U1922,IF(B1923="x",U1922,"")))</f>
        <v/>
      </c>
      <c r="V1923" t="str">
        <f>IF(C1923=1,MAX($V$2:$V1922)+1,IF(AND($T1923&lt;&gt;"",$T1923=$T1922),$U1922,IF(C1923="x",V1922,"")))</f>
        <v/>
      </c>
      <c r="X1923" cm="1">
        <f t="array" ref="X1923">IF($I1923&lt;&gt;"",$I1923,INDEX($I$1:$I1923,ROW()-COUNTIFS($T$1:$T1923,"="&amp;$T1923,$S$1:$S1923,"&lt;"&amp;$S1923)))</f>
        <v>0</v>
      </c>
      <c r="Z1923" s="6">
        <f t="shared" si="278"/>
        <v>1</v>
      </c>
      <c r="AA1923" t="e">
        <f t="shared" si="279"/>
        <v>#VALUE!</v>
      </c>
      <c r="AB1923" t="str">
        <f t="shared" si="280"/>
        <v/>
      </c>
      <c r="AC1923" t="e">
        <f t="shared" si="281"/>
        <v>#VALUE!</v>
      </c>
    </row>
    <row r="1924" spans="1:29" x14ac:dyDescent="0.2">
      <c r="A1924" t="str">
        <f t="shared" si="282"/>
        <v/>
      </c>
      <c r="E1924" s="4"/>
      <c r="F1924" s="46"/>
      <c r="G1924" s="4"/>
      <c r="H1924" s="48"/>
      <c r="J1924" s="26" t="str">
        <f t="shared" si="283"/>
        <v/>
      </c>
      <c r="N1924" t="str">
        <f t="shared" si="284"/>
        <v/>
      </c>
      <c r="Q1924" t="str">
        <f t="shared" si="285"/>
        <v/>
      </c>
      <c r="S1924" t="str">
        <f>IF(A1924=1,MAX($S$2:$S1923)+1,IF(OR($I1924&lt;&gt;"",A1924="x"),$S1923,""))</f>
        <v/>
      </c>
      <c r="T1924" t="str">
        <f>IF(D1924=1,MAX($T$2:$T1923)+1,IF(S1924=S1923,$T1923,IF(D1924="x",T1923,IF(D1923="x","",""))))</f>
        <v/>
      </c>
      <c r="U1924" t="str">
        <f>IF(B1924=1,MAX($U$2:$U1923)+1,IF(AND($T1924&lt;&gt;"",$T1924=$T1923),$U1923,IF(B1924="x",U1923,"")))</f>
        <v/>
      </c>
      <c r="V1924" t="str">
        <f>IF(C1924=1,MAX($V$2:$V1923)+1,IF(AND($T1924&lt;&gt;"",$T1924=$T1923),$U1923,IF(C1924="x",V1923,"")))</f>
        <v/>
      </c>
      <c r="X1924" cm="1">
        <f t="array" ref="X1924">IF($I1924&lt;&gt;"",$I1924,INDEX($I$1:$I1924,ROW()-COUNTIFS($T$1:$T1924,"="&amp;$T1924,$S$1:$S1924,"&lt;"&amp;$S1924)))</f>
        <v>0</v>
      </c>
      <c r="Z1924" s="6">
        <f t="shared" si="278"/>
        <v>1</v>
      </c>
      <c r="AA1924" t="e">
        <f t="shared" si="279"/>
        <v>#VALUE!</v>
      </c>
      <c r="AB1924" t="str">
        <f t="shared" si="280"/>
        <v/>
      </c>
      <c r="AC1924" t="e">
        <f t="shared" si="281"/>
        <v>#VALUE!</v>
      </c>
    </row>
    <row r="1925" spans="1:29" x14ac:dyDescent="0.2">
      <c r="A1925" t="str">
        <f t="shared" si="282"/>
        <v/>
      </c>
      <c r="E1925" s="4"/>
      <c r="F1925" s="46"/>
      <c r="G1925" s="4"/>
      <c r="H1925" s="48"/>
      <c r="J1925" s="26" t="str">
        <f t="shared" si="283"/>
        <v/>
      </c>
      <c r="N1925" t="str">
        <f t="shared" si="284"/>
        <v/>
      </c>
      <c r="Q1925" t="str">
        <f t="shared" si="285"/>
        <v/>
      </c>
      <c r="S1925" t="str">
        <f>IF(A1925=1,MAX($S$2:$S1924)+1,IF(OR($I1925&lt;&gt;"",A1925="x"),$S1924,""))</f>
        <v/>
      </c>
      <c r="T1925" t="str">
        <f>IF(D1925=1,MAX($T$2:$T1924)+1,IF(S1925=S1924,$T1924,IF(D1925="x",T1924,IF(D1924="x","",""))))</f>
        <v/>
      </c>
      <c r="U1925" t="str">
        <f>IF(B1925=1,MAX($U$2:$U1924)+1,IF(AND($T1925&lt;&gt;"",$T1925=$T1924),$U1924,IF(B1925="x",U1924,"")))</f>
        <v/>
      </c>
      <c r="V1925" t="str">
        <f>IF(C1925=1,MAX($V$2:$V1924)+1,IF(AND($T1925&lt;&gt;"",$T1925=$T1924),$U1924,IF(C1925="x",V1924,"")))</f>
        <v/>
      </c>
      <c r="X1925" cm="1">
        <f t="array" ref="X1925">IF($I1925&lt;&gt;"",$I1925,INDEX($I$1:$I1925,ROW()-COUNTIFS($T$1:$T1925,"="&amp;$T1925,$S$1:$S1925,"&lt;"&amp;$S1925)))</f>
        <v>0</v>
      </c>
      <c r="Z1925" s="6">
        <f t="shared" ref="Z1925:Z1988" si="286">IF(K1925="Intermission",Z1924+1,Z1924)</f>
        <v>1</v>
      </c>
      <c r="AA1925" t="e">
        <f t="shared" ref="AA1925:AA1988" si="287">S1925+1000</f>
        <v>#VALUE!</v>
      </c>
      <c r="AB1925" t="str">
        <f t="shared" ref="AB1925:AB1988" si="288">IF(T1925&lt;&gt;"",9000+T1925,"")</f>
        <v/>
      </c>
      <c r="AC1925" t="e">
        <f t="shared" ref="AC1925:AC1988" si="289">IF(AB1925&lt;&gt;"",AB1925,S1925+1000)</f>
        <v>#VALUE!</v>
      </c>
    </row>
    <row r="1926" spans="1:29" x14ac:dyDescent="0.2">
      <c r="A1926" t="str">
        <f t="shared" si="282"/>
        <v/>
      </c>
      <c r="E1926" s="4"/>
      <c r="F1926" s="46"/>
      <c r="G1926" s="4"/>
      <c r="H1926" s="48"/>
      <c r="J1926" s="26" t="str">
        <f t="shared" si="283"/>
        <v/>
      </c>
      <c r="N1926" t="str">
        <f t="shared" si="284"/>
        <v/>
      </c>
      <c r="Q1926" t="str">
        <f t="shared" si="285"/>
        <v/>
      </c>
      <c r="S1926" t="str">
        <f>IF(A1926=1,MAX($S$2:$S1925)+1,IF(OR($I1926&lt;&gt;"",A1926="x"),$S1925,""))</f>
        <v/>
      </c>
      <c r="T1926" t="str">
        <f>IF(D1926=1,MAX($T$2:$T1925)+1,IF(S1926=S1925,$T1925,IF(D1926="x",T1925,IF(D1925="x","",""))))</f>
        <v/>
      </c>
      <c r="U1926" t="str">
        <f>IF(B1926=1,MAX($U$2:$U1925)+1,IF(AND($T1926&lt;&gt;"",$T1926=$T1925),$U1925,IF(B1926="x",U1925,"")))</f>
        <v/>
      </c>
      <c r="V1926" t="str">
        <f>IF(C1926=1,MAX($V$2:$V1925)+1,IF(AND($T1926&lt;&gt;"",$T1926=$T1925),$U1925,IF(C1926="x",V1925,"")))</f>
        <v/>
      </c>
      <c r="X1926" cm="1">
        <f t="array" ref="X1926">IF($I1926&lt;&gt;"",$I1926,INDEX($I$1:$I1926,ROW()-COUNTIFS($T$1:$T1926,"="&amp;$T1926,$S$1:$S1926,"&lt;"&amp;$S1926)))</f>
        <v>0</v>
      </c>
      <c r="Z1926" s="6">
        <f t="shared" si="286"/>
        <v>1</v>
      </c>
      <c r="AA1926" t="e">
        <f t="shared" si="287"/>
        <v>#VALUE!</v>
      </c>
      <c r="AB1926" t="str">
        <f t="shared" si="288"/>
        <v/>
      </c>
      <c r="AC1926" t="e">
        <f t="shared" si="289"/>
        <v>#VALUE!</v>
      </c>
    </row>
    <row r="1927" spans="1:29" x14ac:dyDescent="0.2">
      <c r="A1927" t="str">
        <f t="shared" si="282"/>
        <v/>
      </c>
      <c r="E1927" s="4"/>
      <c r="F1927" s="46"/>
      <c r="G1927" s="4"/>
      <c r="H1927" s="48"/>
      <c r="J1927" s="26" t="str">
        <f t="shared" si="283"/>
        <v/>
      </c>
      <c r="N1927" t="str">
        <f t="shared" si="284"/>
        <v/>
      </c>
      <c r="Q1927" t="str">
        <f t="shared" si="285"/>
        <v/>
      </c>
      <c r="S1927" t="str">
        <f>IF(A1927=1,MAX($S$2:$S1926)+1,IF(OR($I1927&lt;&gt;"",A1927="x"),$S1926,""))</f>
        <v/>
      </c>
      <c r="T1927" t="str">
        <f>IF(D1927=1,MAX($T$2:$T1926)+1,IF(S1927=S1926,$T1926,IF(D1927="x",T1926,IF(D1926="x","",""))))</f>
        <v/>
      </c>
      <c r="U1927" t="str">
        <f>IF(B1927=1,MAX($U$2:$U1926)+1,IF(AND($T1927&lt;&gt;"",$T1927=$T1926),$U1926,IF(B1927="x",U1926,"")))</f>
        <v/>
      </c>
      <c r="V1927" t="str">
        <f>IF(C1927=1,MAX($V$2:$V1926)+1,IF(AND($T1927&lt;&gt;"",$T1927=$T1926),$U1926,IF(C1927="x",V1926,"")))</f>
        <v/>
      </c>
      <c r="X1927" cm="1">
        <f t="array" ref="X1927">IF($I1927&lt;&gt;"",$I1927,INDEX($I$1:$I1927,ROW()-COUNTIFS($T$1:$T1927,"="&amp;$T1927,$S$1:$S1927,"&lt;"&amp;$S1927)))</f>
        <v>0</v>
      </c>
      <c r="Z1927" s="6">
        <f t="shared" si="286"/>
        <v>1</v>
      </c>
      <c r="AA1927" t="e">
        <f t="shared" si="287"/>
        <v>#VALUE!</v>
      </c>
      <c r="AB1927" t="str">
        <f t="shared" si="288"/>
        <v/>
      </c>
      <c r="AC1927" t="e">
        <f t="shared" si="289"/>
        <v>#VALUE!</v>
      </c>
    </row>
    <row r="1928" spans="1:29" x14ac:dyDescent="0.2">
      <c r="A1928" t="str">
        <f t="shared" si="282"/>
        <v/>
      </c>
      <c r="E1928" s="4"/>
      <c r="F1928" s="46"/>
      <c r="G1928" s="4"/>
      <c r="H1928" s="48"/>
      <c r="J1928" s="26" t="str">
        <f t="shared" si="283"/>
        <v/>
      </c>
      <c r="N1928" t="str">
        <f t="shared" si="284"/>
        <v/>
      </c>
      <c r="Q1928" t="str">
        <f t="shared" si="285"/>
        <v/>
      </c>
      <c r="S1928" t="str">
        <f>IF(A1928=1,MAX($S$2:$S1927)+1,IF(OR($I1928&lt;&gt;"",A1928="x"),$S1927,""))</f>
        <v/>
      </c>
      <c r="T1928" t="str">
        <f>IF(D1928=1,MAX($T$2:$T1927)+1,IF(S1928=S1927,$T1927,IF(D1928="x",T1927,IF(D1927="x","",""))))</f>
        <v/>
      </c>
      <c r="U1928" t="str">
        <f>IF(B1928=1,MAX($U$2:$U1927)+1,IF(AND($T1928&lt;&gt;"",$T1928=$T1927),$U1927,IF(B1928="x",U1927,"")))</f>
        <v/>
      </c>
      <c r="V1928" t="str">
        <f>IF(C1928=1,MAX($V$2:$V1927)+1,IF(AND($T1928&lt;&gt;"",$T1928=$T1927),$U1927,IF(C1928="x",V1927,"")))</f>
        <v/>
      </c>
      <c r="X1928" cm="1">
        <f t="array" ref="X1928">IF($I1928&lt;&gt;"",$I1928,INDEX($I$1:$I1928,ROW()-COUNTIFS($T$1:$T1928,"="&amp;$T1928,$S$1:$S1928,"&lt;"&amp;$S1928)))</f>
        <v>0</v>
      </c>
      <c r="Z1928" s="6">
        <f t="shared" si="286"/>
        <v>1</v>
      </c>
      <c r="AA1928" t="e">
        <f t="shared" si="287"/>
        <v>#VALUE!</v>
      </c>
      <c r="AB1928" t="str">
        <f t="shared" si="288"/>
        <v/>
      </c>
      <c r="AC1928" t="e">
        <f t="shared" si="289"/>
        <v>#VALUE!</v>
      </c>
    </row>
    <row r="1929" spans="1:29" x14ac:dyDescent="0.2">
      <c r="A1929" t="str">
        <f t="shared" si="282"/>
        <v/>
      </c>
      <c r="E1929" s="4"/>
      <c r="F1929" s="46"/>
      <c r="G1929" s="4"/>
      <c r="H1929" s="48"/>
      <c r="J1929" s="26" t="str">
        <f t="shared" si="283"/>
        <v/>
      </c>
      <c r="N1929" t="str">
        <f t="shared" si="284"/>
        <v/>
      </c>
      <c r="Q1929" t="str">
        <f t="shared" si="285"/>
        <v/>
      </c>
      <c r="S1929" t="str">
        <f>IF(A1929=1,MAX($S$2:$S1928)+1,IF(OR($I1929&lt;&gt;"",A1929="x"),$S1928,""))</f>
        <v/>
      </c>
      <c r="T1929" t="str">
        <f>IF(D1929=1,MAX($T$2:$T1928)+1,IF(S1929=S1928,$T1928,IF(D1929="x",T1928,IF(D1928="x","",""))))</f>
        <v/>
      </c>
      <c r="U1929" t="str">
        <f>IF(B1929=1,MAX($U$2:$U1928)+1,IF(AND($T1929&lt;&gt;"",$T1929=$T1928),$U1928,IF(B1929="x",U1928,"")))</f>
        <v/>
      </c>
      <c r="V1929" t="str">
        <f>IF(C1929=1,MAX($V$2:$V1928)+1,IF(AND($T1929&lt;&gt;"",$T1929=$T1928),$U1928,IF(C1929="x",V1928,"")))</f>
        <v/>
      </c>
      <c r="X1929" cm="1">
        <f t="array" ref="X1929">IF($I1929&lt;&gt;"",$I1929,INDEX($I$1:$I1929,ROW()-COUNTIFS($T$1:$T1929,"="&amp;$T1929,$S$1:$S1929,"&lt;"&amp;$S1929)))</f>
        <v>0</v>
      </c>
      <c r="Z1929" s="6">
        <f t="shared" si="286"/>
        <v>1</v>
      </c>
      <c r="AA1929" t="e">
        <f t="shared" si="287"/>
        <v>#VALUE!</v>
      </c>
      <c r="AB1929" t="str">
        <f t="shared" si="288"/>
        <v/>
      </c>
      <c r="AC1929" t="e">
        <f t="shared" si="289"/>
        <v>#VALUE!</v>
      </c>
    </row>
    <row r="1930" spans="1:29" x14ac:dyDescent="0.2">
      <c r="A1930" t="str">
        <f t="shared" si="282"/>
        <v/>
      </c>
      <c r="E1930" s="4"/>
      <c r="F1930" s="46"/>
      <c r="G1930" s="4"/>
      <c r="H1930" s="48"/>
      <c r="J1930" s="26" t="str">
        <f t="shared" si="283"/>
        <v/>
      </c>
      <c r="N1930" t="str">
        <f t="shared" si="284"/>
        <v/>
      </c>
      <c r="Q1930" t="str">
        <f t="shared" si="285"/>
        <v/>
      </c>
      <c r="S1930" t="str">
        <f>IF(A1930=1,MAX($S$2:$S1929)+1,IF(OR($I1930&lt;&gt;"",A1930="x"),$S1929,""))</f>
        <v/>
      </c>
      <c r="T1930" t="str">
        <f>IF(D1930=1,MAX($T$2:$T1929)+1,IF(S1930=S1929,$T1929,IF(D1930="x",T1929,IF(D1929="x","",""))))</f>
        <v/>
      </c>
      <c r="U1930" t="str">
        <f>IF(B1930=1,MAX($U$2:$U1929)+1,IF(AND($T1930&lt;&gt;"",$T1930=$T1929),$U1929,IF(B1930="x",U1929,"")))</f>
        <v/>
      </c>
      <c r="V1930" t="str">
        <f>IF(C1930=1,MAX($V$2:$V1929)+1,IF(AND($T1930&lt;&gt;"",$T1930=$T1929),$U1929,IF(C1930="x",V1929,"")))</f>
        <v/>
      </c>
      <c r="X1930" cm="1">
        <f t="array" ref="X1930">IF($I1930&lt;&gt;"",$I1930,INDEX($I$1:$I1930,ROW()-COUNTIFS($T$1:$T1930,"="&amp;$T1930,$S$1:$S1930,"&lt;"&amp;$S1930)))</f>
        <v>0</v>
      </c>
      <c r="Z1930" s="6">
        <f t="shared" si="286"/>
        <v>1</v>
      </c>
      <c r="AA1930" t="e">
        <f t="shared" si="287"/>
        <v>#VALUE!</v>
      </c>
      <c r="AB1930" t="str">
        <f t="shared" si="288"/>
        <v/>
      </c>
      <c r="AC1930" t="e">
        <f t="shared" si="289"/>
        <v>#VALUE!</v>
      </c>
    </row>
    <row r="1931" spans="1:29" x14ac:dyDescent="0.2">
      <c r="A1931" t="str">
        <f t="shared" si="282"/>
        <v/>
      </c>
      <c r="E1931" s="4"/>
      <c r="F1931" s="46"/>
      <c r="G1931" s="4"/>
      <c r="H1931" s="48"/>
      <c r="J1931" s="26" t="str">
        <f t="shared" si="283"/>
        <v/>
      </c>
      <c r="N1931" t="str">
        <f t="shared" si="284"/>
        <v/>
      </c>
      <c r="Q1931" t="str">
        <f t="shared" si="285"/>
        <v/>
      </c>
      <c r="S1931" t="str">
        <f>IF(A1931=1,MAX($S$2:$S1930)+1,IF(OR($I1931&lt;&gt;"",A1931="x"),$S1930,""))</f>
        <v/>
      </c>
      <c r="T1931" t="str">
        <f>IF(D1931=1,MAX($T$2:$T1930)+1,IF(S1931=S1930,$T1930,IF(D1931="x",T1930,IF(D1930="x","",""))))</f>
        <v/>
      </c>
      <c r="U1931" t="str">
        <f>IF(B1931=1,MAX($U$2:$U1930)+1,IF(AND($T1931&lt;&gt;"",$T1931=$T1930),$U1930,IF(B1931="x",U1930,"")))</f>
        <v/>
      </c>
      <c r="V1931" t="str">
        <f>IF(C1931=1,MAX($V$2:$V1930)+1,IF(AND($T1931&lt;&gt;"",$T1931=$T1930),$U1930,IF(C1931="x",V1930,"")))</f>
        <v/>
      </c>
      <c r="X1931" cm="1">
        <f t="array" ref="X1931">IF($I1931&lt;&gt;"",$I1931,INDEX($I$1:$I1931,ROW()-COUNTIFS($T$1:$T1931,"="&amp;$T1931,$S$1:$S1931,"&lt;"&amp;$S1931)))</f>
        <v>0</v>
      </c>
      <c r="Z1931" s="6">
        <f t="shared" si="286"/>
        <v>1</v>
      </c>
      <c r="AA1931" t="e">
        <f t="shared" si="287"/>
        <v>#VALUE!</v>
      </c>
      <c r="AB1931" t="str">
        <f t="shared" si="288"/>
        <v/>
      </c>
      <c r="AC1931" t="e">
        <f t="shared" si="289"/>
        <v>#VALUE!</v>
      </c>
    </row>
    <row r="1932" spans="1:29" x14ac:dyDescent="0.2">
      <c r="A1932" t="str">
        <f t="shared" si="282"/>
        <v/>
      </c>
      <c r="E1932" s="4"/>
      <c r="F1932" s="46"/>
      <c r="G1932" s="4"/>
      <c r="H1932" s="48"/>
      <c r="J1932" s="26" t="str">
        <f t="shared" si="283"/>
        <v/>
      </c>
      <c r="N1932" t="str">
        <f t="shared" si="284"/>
        <v/>
      </c>
      <c r="Q1932" t="str">
        <f t="shared" si="285"/>
        <v/>
      </c>
      <c r="S1932" t="str">
        <f>IF(A1932=1,MAX($S$2:$S1931)+1,IF(OR($I1932&lt;&gt;"",A1932="x"),$S1931,""))</f>
        <v/>
      </c>
      <c r="T1932" t="str">
        <f>IF(D1932=1,MAX($T$2:$T1931)+1,IF(S1932=S1931,$T1931,IF(D1932="x",T1931,IF(D1931="x","",""))))</f>
        <v/>
      </c>
      <c r="U1932" t="str">
        <f>IF(B1932=1,MAX($U$2:$U1931)+1,IF(AND($T1932&lt;&gt;"",$T1932=$T1931),$U1931,IF(B1932="x",U1931,"")))</f>
        <v/>
      </c>
      <c r="V1932" t="str">
        <f>IF(C1932=1,MAX($V$2:$V1931)+1,IF(AND($T1932&lt;&gt;"",$T1932=$T1931),$U1931,IF(C1932="x",V1931,"")))</f>
        <v/>
      </c>
      <c r="X1932" cm="1">
        <f t="array" ref="X1932">IF($I1932&lt;&gt;"",$I1932,INDEX($I$1:$I1932,ROW()-COUNTIFS($T$1:$T1932,"="&amp;$T1932,$S$1:$S1932,"&lt;"&amp;$S1932)))</f>
        <v>0</v>
      </c>
      <c r="Z1932" s="6">
        <f t="shared" si="286"/>
        <v>1</v>
      </c>
      <c r="AA1932" t="e">
        <f t="shared" si="287"/>
        <v>#VALUE!</v>
      </c>
      <c r="AB1932" t="str">
        <f t="shared" si="288"/>
        <v/>
      </c>
      <c r="AC1932" t="e">
        <f t="shared" si="289"/>
        <v>#VALUE!</v>
      </c>
    </row>
    <row r="1933" spans="1:29" x14ac:dyDescent="0.2">
      <c r="A1933" t="str">
        <f t="shared" si="282"/>
        <v/>
      </c>
      <c r="E1933" s="4"/>
      <c r="F1933" s="46"/>
      <c r="G1933" s="4"/>
      <c r="H1933" s="48"/>
      <c r="J1933" s="26" t="str">
        <f t="shared" si="283"/>
        <v/>
      </c>
      <c r="N1933" t="str">
        <f t="shared" si="284"/>
        <v/>
      </c>
      <c r="Q1933" t="str">
        <f t="shared" si="285"/>
        <v/>
      </c>
      <c r="S1933" t="str">
        <f>IF(A1933=1,MAX($S$2:$S1932)+1,IF(OR($I1933&lt;&gt;"",A1933="x"),$S1932,""))</f>
        <v/>
      </c>
      <c r="T1933" t="str">
        <f>IF(D1933=1,MAX($T$2:$T1932)+1,IF(S1933=S1932,$T1932,IF(D1933="x",T1932,IF(D1932="x","",""))))</f>
        <v/>
      </c>
      <c r="U1933" t="str">
        <f>IF(B1933=1,MAX($U$2:$U1932)+1,IF(AND($T1933&lt;&gt;"",$T1933=$T1932),$U1932,IF(B1933="x",U1932,"")))</f>
        <v/>
      </c>
      <c r="V1933" t="str">
        <f>IF(C1933=1,MAX($V$2:$V1932)+1,IF(AND($T1933&lt;&gt;"",$T1933=$T1932),$U1932,IF(C1933="x",V1932,"")))</f>
        <v/>
      </c>
      <c r="X1933" cm="1">
        <f t="array" ref="X1933">IF($I1933&lt;&gt;"",$I1933,INDEX($I$1:$I1933,ROW()-COUNTIFS($T$1:$T1933,"="&amp;$T1933,$S$1:$S1933,"&lt;"&amp;$S1933)))</f>
        <v>0</v>
      </c>
      <c r="Z1933" s="6">
        <f t="shared" si="286"/>
        <v>1</v>
      </c>
      <c r="AA1933" t="e">
        <f t="shared" si="287"/>
        <v>#VALUE!</v>
      </c>
      <c r="AB1933" t="str">
        <f t="shared" si="288"/>
        <v/>
      </c>
      <c r="AC1933" t="e">
        <f t="shared" si="289"/>
        <v>#VALUE!</v>
      </c>
    </row>
    <row r="1934" spans="1:29" x14ac:dyDescent="0.2">
      <c r="A1934" t="str">
        <f t="shared" si="282"/>
        <v/>
      </c>
      <c r="E1934" s="4"/>
      <c r="F1934" s="46"/>
      <c r="G1934" s="4"/>
      <c r="H1934" s="48"/>
      <c r="J1934" s="26" t="str">
        <f t="shared" si="283"/>
        <v/>
      </c>
      <c r="N1934" t="str">
        <f t="shared" si="284"/>
        <v/>
      </c>
      <c r="Q1934" t="str">
        <f t="shared" si="285"/>
        <v/>
      </c>
      <c r="S1934" t="str">
        <f>IF(A1934=1,MAX($S$2:$S1933)+1,IF(OR($I1934&lt;&gt;"",A1934="x"),$S1933,""))</f>
        <v/>
      </c>
      <c r="T1934" t="str">
        <f>IF(D1934=1,MAX($T$2:$T1933)+1,IF(S1934=S1933,$T1933,IF(D1934="x",T1933,IF(D1933="x","",""))))</f>
        <v/>
      </c>
      <c r="U1934" t="str">
        <f>IF(B1934=1,MAX($U$2:$U1933)+1,IF(AND($T1934&lt;&gt;"",$T1934=$T1933),$U1933,IF(B1934="x",U1933,"")))</f>
        <v/>
      </c>
      <c r="V1934" t="str">
        <f>IF(C1934=1,MAX($V$2:$V1933)+1,IF(AND($T1934&lt;&gt;"",$T1934=$T1933),$U1933,IF(C1934="x",V1933,"")))</f>
        <v/>
      </c>
      <c r="X1934" cm="1">
        <f t="array" ref="X1934">IF($I1934&lt;&gt;"",$I1934,INDEX($I$1:$I1934,ROW()-COUNTIFS($T$1:$T1934,"="&amp;$T1934,$S$1:$S1934,"&lt;"&amp;$S1934)))</f>
        <v>0</v>
      </c>
      <c r="Z1934" s="6">
        <f t="shared" si="286"/>
        <v>1</v>
      </c>
      <c r="AA1934" t="e">
        <f t="shared" si="287"/>
        <v>#VALUE!</v>
      </c>
      <c r="AB1934" t="str">
        <f t="shared" si="288"/>
        <v/>
      </c>
      <c r="AC1934" t="e">
        <f t="shared" si="289"/>
        <v>#VALUE!</v>
      </c>
    </row>
    <row r="1935" spans="1:29" x14ac:dyDescent="0.2">
      <c r="A1935" t="str">
        <f t="shared" si="282"/>
        <v/>
      </c>
      <c r="E1935" s="4"/>
      <c r="F1935" s="46"/>
      <c r="G1935" s="4"/>
      <c r="H1935" s="48"/>
      <c r="J1935" s="26" t="str">
        <f t="shared" si="283"/>
        <v/>
      </c>
      <c r="N1935" t="str">
        <f t="shared" si="284"/>
        <v/>
      </c>
      <c r="Q1935" t="str">
        <f t="shared" si="285"/>
        <v/>
      </c>
      <c r="S1935" t="str">
        <f>IF(A1935=1,MAX($S$2:$S1934)+1,IF(OR($I1935&lt;&gt;"",A1935="x"),$S1934,""))</f>
        <v/>
      </c>
      <c r="T1935" t="str">
        <f>IF(D1935=1,MAX($T$2:$T1934)+1,IF(S1935=S1934,$T1934,IF(D1935="x",T1934,IF(D1934="x","",""))))</f>
        <v/>
      </c>
      <c r="U1935" t="str">
        <f>IF(B1935=1,MAX($U$2:$U1934)+1,IF(AND($T1935&lt;&gt;"",$T1935=$T1934),$U1934,IF(B1935="x",U1934,"")))</f>
        <v/>
      </c>
      <c r="V1935" t="str">
        <f>IF(C1935=1,MAX($V$2:$V1934)+1,IF(AND($T1935&lt;&gt;"",$T1935=$T1934),$U1934,IF(C1935="x",V1934,"")))</f>
        <v/>
      </c>
      <c r="X1935" cm="1">
        <f t="array" ref="X1935">IF($I1935&lt;&gt;"",$I1935,INDEX($I$1:$I1935,ROW()-COUNTIFS($T$1:$T1935,"="&amp;$T1935,$S$1:$S1935,"&lt;"&amp;$S1935)))</f>
        <v>0</v>
      </c>
      <c r="Z1935" s="6">
        <f t="shared" si="286"/>
        <v>1</v>
      </c>
      <c r="AA1935" t="e">
        <f t="shared" si="287"/>
        <v>#VALUE!</v>
      </c>
      <c r="AB1935" t="str">
        <f t="shared" si="288"/>
        <v/>
      </c>
      <c r="AC1935" t="e">
        <f t="shared" si="289"/>
        <v>#VALUE!</v>
      </c>
    </row>
    <row r="1936" spans="1:29" x14ac:dyDescent="0.2">
      <c r="A1936" t="str">
        <f t="shared" si="282"/>
        <v/>
      </c>
      <c r="E1936" s="4"/>
      <c r="F1936" s="46"/>
      <c r="G1936" s="4"/>
      <c r="H1936" s="48"/>
      <c r="J1936" s="26" t="str">
        <f t="shared" si="283"/>
        <v/>
      </c>
      <c r="N1936" t="str">
        <f t="shared" si="284"/>
        <v/>
      </c>
      <c r="Q1936" t="str">
        <f t="shared" si="285"/>
        <v/>
      </c>
      <c r="S1936" t="str">
        <f>IF(A1936=1,MAX($S$2:$S1935)+1,IF(OR($I1936&lt;&gt;"",A1936="x"),$S1935,""))</f>
        <v/>
      </c>
      <c r="T1936" t="str">
        <f>IF(D1936=1,MAX($T$2:$T1935)+1,IF(S1936=S1935,$T1935,IF(D1936="x",T1935,IF(D1935="x","",""))))</f>
        <v/>
      </c>
      <c r="U1936" t="str">
        <f>IF(B1936=1,MAX($U$2:$U1935)+1,IF(AND($T1936&lt;&gt;"",$T1936=$T1935),$U1935,IF(B1936="x",U1935,"")))</f>
        <v/>
      </c>
      <c r="V1936" t="str">
        <f>IF(C1936=1,MAX($V$2:$V1935)+1,IF(AND($T1936&lt;&gt;"",$T1936=$T1935),$U1935,IF(C1936="x",V1935,"")))</f>
        <v/>
      </c>
      <c r="X1936" cm="1">
        <f t="array" ref="X1936">IF($I1936&lt;&gt;"",$I1936,INDEX($I$1:$I1936,ROW()-COUNTIFS($T$1:$T1936,"="&amp;$T1936,$S$1:$S1936,"&lt;"&amp;$S1936)))</f>
        <v>0</v>
      </c>
      <c r="Z1936" s="6">
        <f t="shared" si="286"/>
        <v>1</v>
      </c>
      <c r="AA1936" t="e">
        <f t="shared" si="287"/>
        <v>#VALUE!</v>
      </c>
      <c r="AB1936" t="str">
        <f t="shared" si="288"/>
        <v/>
      </c>
      <c r="AC1936" t="e">
        <f t="shared" si="289"/>
        <v>#VALUE!</v>
      </c>
    </row>
    <row r="1937" spans="1:29" x14ac:dyDescent="0.2">
      <c r="A1937" t="str">
        <f t="shared" si="282"/>
        <v/>
      </c>
      <c r="E1937" s="4"/>
      <c r="F1937" s="46"/>
      <c r="G1937" s="4"/>
      <c r="H1937" s="48"/>
      <c r="J1937" s="26" t="str">
        <f t="shared" si="283"/>
        <v/>
      </c>
      <c r="N1937" t="str">
        <f t="shared" si="284"/>
        <v/>
      </c>
      <c r="Q1937" t="str">
        <f t="shared" si="285"/>
        <v/>
      </c>
      <c r="S1937" t="str">
        <f>IF(A1937=1,MAX($S$2:$S1936)+1,IF(OR($I1937&lt;&gt;"",A1937="x"),$S1936,""))</f>
        <v/>
      </c>
      <c r="T1937" t="str">
        <f>IF(D1937=1,MAX($T$2:$T1936)+1,IF(S1937=S1936,$T1936,IF(D1937="x",T1936,IF(D1936="x","",""))))</f>
        <v/>
      </c>
      <c r="U1937" t="str">
        <f>IF(B1937=1,MAX($U$2:$U1936)+1,IF(AND($T1937&lt;&gt;"",$T1937=$T1936),$U1936,IF(B1937="x",U1936,"")))</f>
        <v/>
      </c>
      <c r="V1937" t="str">
        <f>IF(C1937=1,MAX($V$2:$V1936)+1,IF(AND($T1937&lt;&gt;"",$T1937=$T1936),$U1936,IF(C1937="x",V1936,"")))</f>
        <v/>
      </c>
      <c r="X1937" cm="1">
        <f t="array" ref="X1937">IF($I1937&lt;&gt;"",$I1937,INDEX($I$1:$I1937,ROW()-COUNTIFS($T$1:$T1937,"="&amp;$T1937,$S$1:$S1937,"&lt;"&amp;$S1937)))</f>
        <v>0</v>
      </c>
      <c r="Z1937" s="6">
        <f t="shared" si="286"/>
        <v>1</v>
      </c>
      <c r="AA1937" t="e">
        <f t="shared" si="287"/>
        <v>#VALUE!</v>
      </c>
      <c r="AB1937" t="str">
        <f t="shared" si="288"/>
        <v/>
      </c>
      <c r="AC1937" t="e">
        <f t="shared" si="289"/>
        <v>#VALUE!</v>
      </c>
    </row>
    <row r="1938" spans="1:29" x14ac:dyDescent="0.2">
      <c r="A1938" t="str">
        <f t="shared" si="282"/>
        <v/>
      </c>
      <c r="E1938" s="4"/>
      <c r="F1938" s="46"/>
      <c r="G1938" s="4"/>
      <c r="H1938" s="48"/>
      <c r="J1938" s="26" t="str">
        <f t="shared" si="283"/>
        <v/>
      </c>
      <c r="N1938" t="str">
        <f t="shared" si="284"/>
        <v/>
      </c>
      <c r="Q1938" t="str">
        <f t="shared" si="285"/>
        <v/>
      </c>
      <c r="S1938" t="str">
        <f>IF(A1938=1,MAX($S$2:$S1937)+1,IF(OR($I1938&lt;&gt;"",A1938="x"),$S1937,""))</f>
        <v/>
      </c>
      <c r="T1938" t="str">
        <f>IF(D1938=1,MAX($T$2:$T1937)+1,IF(S1938=S1937,$T1937,IF(D1938="x",T1937,IF(D1937="x","",""))))</f>
        <v/>
      </c>
      <c r="U1938" t="str">
        <f>IF(B1938=1,MAX($U$2:$U1937)+1,IF(AND($T1938&lt;&gt;"",$T1938=$T1937),$U1937,IF(B1938="x",U1937,"")))</f>
        <v/>
      </c>
      <c r="V1938" t="str">
        <f>IF(C1938=1,MAX($V$2:$V1937)+1,IF(AND($T1938&lt;&gt;"",$T1938=$T1937),$U1937,IF(C1938="x",V1937,"")))</f>
        <v/>
      </c>
      <c r="X1938" cm="1">
        <f t="array" ref="X1938">IF($I1938&lt;&gt;"",$I1938,INDEX($I$1:$I1938,ROW()-COUNTIFS($T$1:$T1938,"="&amp;$T1938,$S$1:$S1938,"&lt;"&amp;$S1938)))</f>
        <v>0</v>
      </c>
      <c r="Z1938" s="6">
        <f t="shared" si="286"/>
        <v>1</v>
      </c>
      <c r="AA1938" t="e">
        <f t="shared" si="287"/>
        <v>#VALUE!</v>
      </c>
      <c r="AB1938" t="str">
        <f t="shared" si="288"/>
        <v/>
      </c>
      <c r="AC1938" t="e">
        <f t="shared" si="289"/>
        <v>#VALUE!</v>
      </c>
    </row>
    <row r="1939" spans="1:29" x14ac:dyDescent="0.2">
      <c r="A1939" t="str">
        <f t="shared" ref="A1939:A2002" si="290">IF(K1939&lt;&gt;"",1,IF(D1939="x","x",""))</f>
        <v/>
      </c>
      <c r="E1939" s="4"/>
      <c r="F1939" s="46"/>
      <c r="G1939" s="4"/>
      <c r="H1939" s="48"/>
      <c r="J1939" s="26" t="str">
        <f t="shared" ref="J1939:J2002" si="291">IF(OR(K1939="Goal",K1939="Shot",L1939="Zone_Entry",M1939="Stoppage-Goal",M1938="Stoppage-Goal"),"o",IF(OR(K1939="Save",K1939="Rebound",L1939="Zone_Exit",M1939="Stoppage-GoalieStoppage",M1938="Stoppage-GoalieStoppage"),"d",IF(OR(L1939="Faceoff_AfterGoal",L1939="Faceoff_PeriodStart",698="Faceoff_GameStart",M1938="Stoppage-Goal"),"n","")))</f>
        <v/>
      </c>
      <c r="N1939" t="str">
        <f t="shared" ref="N1939:N2002" si="292">IF(K1939="","",IF(K1939="Goal","s",IF(AND(K1939="Zone_Entry_Exit",OR(ISNUMBER(SEARCH("fail",L1939)),ISNUMBER(SEARCH("FromExitClear",M1939)),ISNUMBER(SEARCH("miss",M1939)))),"u",IF(AND(K1939="Zone_Entry_Exit",OR(NOT(ISNUMBER(SEARCH("fail",L1939))),NOT(ISNUMBER(SEARCH("FromExitClear",M1939))),NOT(ISNUMBER(SEARCH("miss",M1939))))),"s",IF(AND(OR(K1939="Shot",K1939="Pass"),OR(ISNUMBER(SEARCH("complete",L1939)),ISNUMBER(SEARCH("goal",L1939)),ISNUMBER(SEARCH("OnNet",L1939)))),"s",IF(L1939="Turnover_Giveaway","u",IF(AND(OR(K1939="Shot",K1939="Pass"),OR(ISNUMBER(SEARCH("fail",L1939)),NOT(ISNUMBER(SEARCH("complete",L1939))),NOT(ISNUMBER(SEARCH("OnNet",L1939))))),"u","")))))))</f>
        <v/>
      </c>
      <c r="Q1939" t="str">
        <f t="shared" ref="Q1939:Q2002" si="293">IF(O1939="","",IF(AND(N1939&lt;&gt;"",OR(O1939&lt;&gt;"",P1939&lt;&gt;"")),N1939,IF(OR(ISNUMBER(SEARCH("attemp",O1939)),ISNUMBER(SEARCH("beat",O1939)),ISNUMBER(SEARCH("mis",O1939)),ISNUMBER(SEARCH("fail",O1939)),ISNUMBER(SEARCH("loss",O1939)),ISNUMBER(SEARCH("lost",O1939)),ISNUMBER(SEARCH("attemp",P1939)),ISNUMBER(SEARCH("mis",P1939)),ISNUMBER(SEARCH("fail",P1939)),ISNUMBER(SEARCH("loss",P1939)),ISNUMBER(SEARCH("beat",P1939)),ISNUMBER(SEARCH("lost",P1939))),"u","")))</f>
        <v/>
      </c>
      <c r="S1939" t="str">
        <f>IF(A1939=1,MAX($S$2:$S1938)+1,IF(OR($I1939&lt;&gt;"",A1939="x"),$S1938,""))</f>
        <v/>
      </c>
      <c r="T1939" t="str">
        <f>IF(D1939=1,MAX($T$2:$T1938)+1,IF(S1939=S1938,$T1938,IF(D1939="x",T1938,IF(D1938="x","",""))))</f>
        <v/>
      </c>
      <c r="U1939" t="str">
        <f>IF(B1939=1,MAX($U$2:$U1938)+1,IF(AND($T1939&lt;&gt;"",$T1939=$T1938),$U1938,IF(B1939="x",U1938,"")))</f>
        <v/>
      </c>
      <c r="V1939" t="str">
        <f>IF(C1939=1,MAX($V$2:$V1938)+1,IF(AND($T1939&lt;&gt;"",$T1939=$T1938),$U1938,IF(C1939="x",V1938,"")))</f>
        <v/>
      </c>
      <c r="X1939" cm="1">
        <f t="array" ref="X1939">IF($I1939&lt;&gt;"",$I1939,INDEX($I$1:$I1939,ROW()-COUNTIFS($T$1:$T1939,"="&amp;$T1939,$S$1:$S1939,"&lt;"&amp;$S1939)))</f>
        <v>0</v>
      </c>
      <c r="Z1939" s="6">
        <f t="shared" si="286"/>
        <v>1</v>
      </c>
      <c r="AA1939" t="e">
        <f t="shared" si="287"/>
        <v>#VALUE!</v>
      </c>
      <c r="AB1939" t="str">
        <f t="shared" si="288"/>
        <v/>
      </c>
      <c r="AC1939" t="e">
        <f t="shared" si="289"/>
        <v>#VALUE!</v>
      </c>
    </row>
    <row r="1940" spans="1:29" x14ac:dyDescent="0.2">
      <c r="A1940" t="str">
        <f t="shared" si="290"/>
        <v/>
      </c>
      <c r="E1940" s="4"/>
      <c r="F1940" s="46"/>
      <c r="G1940" s="4"/>
      <c r="H1940" s="48"/>
      <c r="J1940" s="26" t="str">
        <f t="shared" si="291"/>
        <v/>
      </c>
      <c r="N1940" t="str">
        <f t="shared" si="292"/>
        <v/>
      </c>
      <c r="Q1940" t="str">
        <f t="shared" si="293"/>
        <v/>
      </c>
      <c r="S1940" t="str">
        <f>IF(A1940=1,MAX($S$2:$S1939)+1,IF(OR($I1940&lt;&gt;"",A1940="x"),$S1939,""))</f>
        <v/>
      </c>
      <c r="T1940" t="str">
        <f>IF(D1940=1,MAX($T$2:$T1939)+1,IF(S1940=S1939,$T1939,IF(D1940="x",T1939,IF(D1939="x","",""))))</f>
        <v/>
      </c>
      <c r="U1940" t="str">
        <f>IF(B1940=1,MAX($U$2:$U1939)+1,IF(AND($T1940&lt;&gt;"",$T1940=$T1939),$U1939,IF(B1940="x",U1939,"")))</f>
        <v/>
      </c>
      <c r="V1940" t="str">
        <f>IF(C1940=1,MAX($V$2:$V1939)+1,IF(AND($T1940&lt;&gt;"",$T1940=$T1939),$U1939,IF(C1940="x",V1939,"")))</f>
        <v/>
      </c>
      <c r="X1940" cm="1">
        <f t="array" ref="X1940">IF($I1940&lt;&gt;"",$I1940,INDEX($I$1:$I1940,ROW()-COUNTIFS($T$1:$T1940,"="&amp;$T1940,$S$1:$S1940,"&lt;"&amp;$S1940)))</f>
        <v>0</v>
      </c>
      <c r="Z1940" s="6">
        <f t="shared" si="286"/>
        <v>1</v>
      </c>
      <c r="AA1940" t="e">
        <f t="shared" si="287"/>
        <v>#VALUE!</v>
      </c>
      <c r="AB1940" t="str">
        <f t="shared" si="288"/>
        <v/>
      </c>
      <c r="AC1940" t="e">
        <f t="shared" si="289"/>
        <v>#VALUE!</v>
      </c>
    </row>
    <row r="1941" spans="1:29" x14ac:dyDescent="0.2">
      <c r="A1941" t="str">
        <f t="shared" si="290"/>
        <v/>
      </c>
      <c r="E1941" s="4"/>
      <c r="F1941" s="46"/>
      <c r="G1941" s="4"/>
      <c r="H1941" s="48"/>
      <c r="J1941" s="26" t="str">
        <f t="shared" si="291"/>
        <v/>
      </c>
      <c r="N1941" t="str">
        <f t="shared" si="292"/>
        <v/>
      </c>
      <c r="Q1941" t="str">
        <f t="shared" si="293"/>
        <v/>
      </c>
      <c r="S1941" t="str">
        <f>IF(A1941=1,MAX($S$2:$S1940)+1,IF(OR($I1941&lt;&gt;"",A1941="x"),$S1940,""))</f>
        <v/>
      </c>
      <c r="T1941" t="str">
        <f>IF(D1941=1,MAX($T$2:$T1940)+1,IF(S1941=S1940,$T1940,IF(D1941="x",T1940,IF(D1940="x","",""))))</f>
        <v/>
      </c>
      <c r="U1941" t="str">
        <f>IF(B1941=1,MAX($U$2:$U1940)+1,IF(AND($T1941&lt;&gt;"",$T1941=$T1940),$U1940,IF(B1941="x",U1940,"")))</f>
        <v/>
      </c>
      <c r="V1941" t="str">
        <f>IF(C1941=1,MAX($V$2:$V1940)+1,IF(AND($T1941&lt;&gt;"",$T1941=$T1940),$U1940,IF(C1941="x",V1940,"")))</f>
        <v/>
      </c>
      <c r="X1941" cm="1">
        <f t="array" ref="X1941">IF($I1941&lt;&gt;"",$I1941,INDEX($I$1:$I1941,ROW()-COUNTIFS($T$1:$T1941,"="&amp;$T1941,$S$1:$S1941,"&lt;"&amp;$S1941)))</f>
        <v>0</v>
      </c>
      <c r="Z1941" s="6">
        <f t="shared" si="286"/>
        <v>1</v>
      </c>
      <c r="AA1941" t="e">
        <f t="shared" si="287"/>
        <v>#VALUE!</v>
      </c>
      <c r="AB1941" t="str">
        <f t="shared" si="288"/>
        <v/>
      </c>
      <c r="AC1941" t="e">
        <f t="shared" si="289"/>
        <v>#VALUE!</v>
      </c>
    </row>
    <row r="1942" spans="1:29" x14ac:dyDescent="0.2">
      <c r="A1942" t="str">
        <f t="shared" si="290"/>
        <v/>
      </c>
      <c r="E1942" s="4"/>
      <c r="F1942" s="46"/>
      <c r="G1942" s="4"/>
      <c r="H1942" s="48"/>
      <c r="J1942" s="26" t="str">
        <f t="shared" si="291"/>
        <v/>
      </c>
      <c r="N1942" t="str">
        <f t="shared" si="292"/>
        <v/>
      </c>
      <c r="Q1942" t="str">
        <f t="shared" si="293"/>
        <v/>
      </c>
      <c r="S1942" t="str">
        <f>IF(A1942=1,MAX($S$2:$S1941)+1,IF(OR($I1942&lt;&gt;"",A1942="x"),$S1941,""))</f>
        <v/>
      </c>
      <c r="T1942" t="str">
        <f>IF(D1942=1,MAX($T$2:$T1941)+1,IF(S1942=S1941,$T1941,IF(D1942="x",T1941,IF(D1941="x","",""))))</f>
        <v/>
      </c>
      <c r="U1942" t="str">
        <f>IF(B1942=1,MAX($U$2:$U1941)+1,IF(AND($T1942&lt;&gt;"",$T1942=$T1941),$U1941,IF(B1942="x",U1941,"")))</f>
        <v/>
      </c>
      <c r="V1942" t="str">
        <f>IF(C1942=1,MAX($V$2:$V1941)+1,IF(AND($T1942&lt;&gt;"",$T1942=$T1941),$U1941,IF(C1942="x",V1941,"")))</f>
        <v/>
      </c>
      <c r="X1942" cm="1">
        <f t="array" ref="X1942">IF($I1942&lt;&gt;"",$I1942,INDEX($I$1:$I1942,ROW()-COUNTIFS($T$1:$T1942,"="&amp;$T1942,$S$1:$S1942,"&lt;"&amp;$S1942)))</f>
        <v>0</v>
      </c>
      <c r="Z1942" s="6">
        <f t="shared" si="286"/>
        <v>1</v>
      </c>
      <c r="AA1942" t="e">
        <f t="shared" si="287"/>
        <v>#VALUE!</v>
      </c>
      <c r="AB1942" t="str">
        <f t="shared" si="288"/>
        <v/>
      </c>
      <c r="AC1942" t="e">
        <f t="shared" si="289"/>
        <v>#VALUE!</v>
      </c>
    </row>
    <row r="1943" spans="1:29" x14ac:dyDescent="0.2">
      <c r="A1943" t="str">
        <f t="shared" si="290"/>
        <v/>
      </c>
      <c r="E1943" s="4"/>
      <c r="F1943" s="46"/>
      <c r="G1943" s="4"/>
      <c r="H1943" s="48"/>
      <c r="J1943" s="26" t="str">
        <f t="shared" si="291"/>
        <v/>
      </c>
      <c r="N1943" t="str">
        <f t="shared" si="292"/>
        <v/>
      </c>
      <c r="Q1943" t="str">
        <f t="shared" si="293"/>
        <v/>
      </c>
      <c r="S1943" t="str">
        <f>IF(A1943=1,MAX($S$2:$S1942)+1,IF(OR($I1943&lt;&gt;"",A1943="x"),$S1942,""))</f>
        <v/>
      </c>
      <c r="T1943" t="str">
        <f>IF(D1943=1,MAX($T$2:$T1942)+1,IF(S1943=S1942,$T1942,IF(D1943="x",T1942,IF(D1942="x","",""))))</f>
        <v/>
      </c>
      <c r="U1943" t="str">
        <f>IF(B1943=1,MAX($U$2:$U1942)+1,IF(AND($T1943&lt;&gt;"",$T1943=$T1942),$U1942,IF(B1943="x",U1942,"")))</f>
        <v/>
      </c>
      <c r="V1943" t="str">
        <f>IF(C1943=1,MAX($V$2:$V1942)+1,IF(AND($T1943&lt;&gt;"",$T1943=$T1942),$U1942,IF(C1943="x",V1942,"")))</f>
        <v/>
      </c>
      <c r="X1943" cm="1">
        <f t="array" ref="X1943">IF($I1943&lt;&gt;"",$I1943,INDEX($I$1:$I1943,ROW()-COUNTIFS($T$1:$T1943,"="&amp;$T1943,$S$1:$S1943,"&lt;"&amp;$S1943)))</f>
        <v>0</v>
      </c>
      <c r="Z1943" s="6">
        <f t="shared" si="286"/>
        <v>1</v>
      </c>
      <c r="AA1943" t="e">
        <f t="shared" si="287"/>
        <v>#VALUE!</v>
      </c>
      <c r="AB1943" t="str">
        <f t="shared" si="288"/>
        <v/>
      </c>
      <c r="AC1943" t="e">
        <f t="shared" si="289"/>
        <v>#VALUE!</v>
      </c>
    </row>
    <row r="1944" spans="1:29" x14ac:dyDescent="0.2">
      <c r="A1944" t="str">
        <f t="shared" si="290"/>
        <v/>
      </c>
      <c r="E1944" s="4"/>
      <c r="F1944" s="46"/>
      <c r="G1944" s="4"/>
      <c r="H1944" s="48"/>
      <c r="J1944" s="26" t="str">
        <f t="shared" si="291"/>
        <v/>
      </c>
      <c r="N1944" t="str">
        <f t="shared" si="292"/>
        <v/>
      </c>
      <c r="Q1944" t="str">
        <f t="shared" si="293"/>
        <v/>
      </c>
      <c r="S1944" t="str">
        <f>IF(A1944=1,MAX($S$2:$S1943)+1,IF(OR($I1944&lt;&gt;"",A1944="x"),$S1943,""))</f>
        <v/>
      </c>
      <c r="T1944" t="str">
        <f>IF(D1944=1,MAX($T$2:$T1943)+1,IF(S1944=S1943,$T1943,IF(D1944="x",T1943,IF(D1943="x","",""))))</f>
        <v/>
      </c>
      <c r="U1944" t="str">
        <f>IF(B1944=1,MAX($U$2:$U1943)+1,IF(AND($T1944&lt;&gt;"",$T1944=$T1943),$U1943,IF(B1944="x",U1943,"")))</f>
        <v/>
      </c>
      <c r="V1944" t="str">
        <f>IF(C1944=1,MAX($V$2:$V1943)+1,IF(AND($T1944&lt;&gt;"",$T1944=$T1943),$U1943,IF(C1944="x",V1943,"")))</f>
        <v/>
      </c>
      <c r="X1944" cm="1">
        <f t="array" ref="X1944">IF($I1944&lt;&gt;"",$I1944,INDEX($I$1:$I1944,ROW()-COUNTIFS($T$1:$T1944,"="&amp;$T1944,$S$1:$S1944,"&lt;"&amp;$S1944)))</f>
        <v>0</v>
      </c>
      <c r="Z1944" s="6">
        <f t="shared" si="286"/>
        <v>1</v>
      </c>
      <c r="AA1944" t="e">
        <f t="shared" si="287"/>
        <v>#VALUE!</v>
      </c>
      <c r="AB1944" t="str">
        <f t="shared" si="288"/>
        <v/>
      </c>
      <c r="AC1944" t="e">
        <f t="shared" si="289"/>
        <v>#VALUE!</v>
      </c>
    </row>
    <row r="1945" spans="1:29" x14ac:dyDescent="0.2">
      <c r="A1945" t="str">
        <f t="shared" si="290"/>
        <v/>
      </c>
      <c r="E1945" s="4"/>
      <c r="F1945" s="46"/>
      <c r="G1945" s="4"/>
      <c r="H1945" s="48"/>
      <c r="J1945" s="26" t="str">
        <f t="shared" si="291"/>
        <v/>
      </c>
      <c r="N1945" t="str">
        <f t="shared" si="292"/>
        <v/>
      </c>
      <c r="Q1945" t="str">
        <f t="shared" si="293"/>
        <v/>
      </c>
      <c r="S1945" t="str">
        <f>IF(A1945=1,MAX($S$2:$S1944)+1,IF(OR($I1945&lt;&gt;"",A1945="x"),$S1944,""))</f>
        <v/>
      </c>
      <c r="T1945" t="str">
        <f>IF(D1945=1,MAX($T$2:$T1944)+1,IF(S1945=S1944,$T1944,IF(D1945="x",T1944,IF(D1944="x","",""))))</f>
        <v/>
      </c>
      <c r="U1945" t="str">
        <f>IF(B1945=1,MAX($U$2:$U1944)+1,IF(AND($T1945&lt;&gt;"",$T1945=$T1944),$U1944,IF(B1945="x",U1944,"")))</f>
        <v/>
      </c>
      <c r="V1945" t="str">
        <f>IF(C1945=1,MAX($V$2:$V1944)+1,IF(AND($T1945&lt;&gt;"",$T1945=$T1944),$U1944,IF(C1945="x",V1944,"")))</f>
        <v/>
      </c>
      <c r="X1945" cm="1">
        <f t="array" ref="X1945">IF($I1945&lt;&gt;"",$I1945,INDEX($I$1:$I1945,ROW()-COUNTIFS($T$1:$T1945,"="&amp;$T1945,$S$1:$S1945,"&lt;"&amp;$S1945)))</f>
        <v>0</v>
      </c>
      <c r="Z1945" s="6">
        <f t="shared" si="286"/>
        <v>1</v>
      </c>
      <c r="AA1945" t="e">
        <f t="shared" si="287"/>
        <v>#VALUE!</v>
      </c>
      <c r="AB1945" t="str">
        <f t="shared" si="288"/>
        <v/>
      </c>
      <c r="AC1945" t="e">
        <f t="shared" si="289"/>
        <v>#VALUE!</v>
      </c>
    </row>
    <row r="1946" spans="1:29" x14ac:dyDescent="0.2">
      <c r="A1946" t="str">
        <f t="shared" si="290"/>
        <v/>
      </c>
      <c r="E1946" s="4"/>
      <c r="F1946" s="46"/>
      <c r="G1946" s="4"/>
      <c r="H1946" s="48"/>
      <c r="J1946" s="26" t="str">
        <f t="shared" si="291"/>
        <v/>
      </c>
      <c r="N1946" t="str">
        <f t="shared" si="292"/>
        <v/>
      </c>
      <c r="Q1946" t="str">
        <f t="shared" si="293"/>
        <v/>
      </c>
      <c r="S1946" t="str">
        <f>IF(A1946=1,MAX($S$2:$S1945)+1,IF(OR($I1946&lt;&gt;"",A1946="x"),$S1945,""))</f>
        <v/>
      </c>
      <c r="T1946" t="str">
        <f>IF(D1946=1,MAX($T$2:$T1945)+1,IF(S1946=S1945,$T1945,IF(D1946="x",T1945,IF(D1945="x","",""))))</f>
        <v/>
      </c>
      <c r="U1946" t="str">
        <f>IF(B1946=1,MAX($U$2:$U1945)+1,IF(AND($T1946&lt;&gt;"",$T1946=$T1945),$U1945,IF(B1946="x",U1945,"")))</f>
        <v/>
      </c>
      <c r="V1946" t="str">
        <f>IF(C1946=1,MAX($V$2:$V1945)+1,IF(AND($T1946&lt;&gt;"",$T1946=$T1945),$U1945,IF(C1946="x",V1945,"")))</f>
        <v/>
      </c>
      <c r="X1946" cm="1">
        <f t="array" ref="X1946">IF($I1946&lt;&gt;"",$I1946,INDEX($I$1:$I1946,ROW()-COUNTIFS($T$1:$T1946,"="&amp;$T1946,$S$1:$S1946,"&lt;"&amp;$S1946)))</f>
        <v>0</v>
      </c>
      <c r="Z1946" s="6">
        <f t="shared" si="286"/>
        <v>1</v>
      </c>
      <c r="AA1946" t="e">
        <f t="shared" si="287"/>
        <v>#VALUE!</v>
      </c>
      <c r="AB1946" t="str">
        <f t="shared" si="288"/>
        <v/>
      </c>
      <c r="AC1946" t="e">
        <f t="shared" si="289"/>
        <v>#VALUE!</v>
      </c>
    </row>
    <row r="1947" spans="1:29" x14ac:dyDescent="0.2">
      <c r="A1947" t="str">
        <f t="shared" si="290"/>
        <v/>
      </c>
      <c r="E1947" s="4"/>
      <c r="F1947" s="46"/>
      <c r="G1947" s="4"/>
      <c r="H1947" s="48"/>
      <c r="J1947" s="26" t="str">
        <f t="shared" si="291"/>
        <v/>
      </c>
      <c r="N1947" t="str">
        <f t="shared" si="292"/>
        <v/>
      </c>
      <c r="Q1947" t="str">
        <f t="shared" si="293"/>
        <v/>
      </c>
      <c r="S1947" t="str">
        <f>IF(A1947=1,MAX($S$2:$S1946)+1,IF(OR($I1947&lt;&gt;"",A1947="x"),$S1946,""))</f>
        <v/>
      </c>
      <c r="T1947" t="str">
        <f>IF(D1947=1,MAX($T$2:$T1946)+1,IF(S1947=S1946,$T1946,IF(D1947="x",T1946,IF(D1946="x","",""))))</f>
        <v/>
      </c>
      <c r="U1947" t="str">
        <f>IF(B1947=1,MAX($U$2:$U1946)+1,IF(AND($T1947&lt;&gt;"",$T1947=$T1946),$U1946,IF(B1947="x",U1946,"")))</f>
        <v/>
      </c>
      <c r="V1947" t="str">
        <f>IF(C1947=1,MAX($V$2:$V1946)+1,IF(AND($T1947&lt;&gt;"",$T1947=$T1946),$U1946,IF(C1947="x",V1946,"")))</f>
        <v/>
      </c>
      <c r="X1947" cm="1">
        <f t="array" ref="X1947">IF($I1947&lt;&gt;"",$I1947,INDEX($I$1:$I1947,ROW()-COUNTIFS($T$1:$T1947,"="&amp;$T1947,$S$1:$S1947,"&lt;"&amp;$S1947)))</f>
        <v>0</v>
      </c>
      <c r="Z1947" s="6">
        <f t="shared" si="286"/>
        <v>1</v>
      </c>
      <c r="AA1947" t="e">
        <f t="shared" si="287"/>
        <v>#VALUE!</v>
      </c>
      <c r="AB1947" t="str">
        <f t="shared" si="288"/>
        <v/>
      </c>
      <c r="AC1947" t="e">
        <f t="shared" si="289"/>
        <v>#VALUE!</v>
      </c>
    </row>
    <row r="1948" spans="1:29" x14ac:dyDescent="0.2">
      <c r="A1948" t="str">
        <f t="shared" si="290"/>
        <v/>
      </c>
      <c r="E1948" s="4"/>
      <c r="F1948" s="46"/>
      <c r="G1948" s="4"/>
      <c r="H1948" s="48"/>
      <c r="J1948" s="26" t="str">
        <f t="shared" si="291"/>
        <v/>
      </c>
      <c r="N1948" t="str">
        <f t="shared" si="292"/>
        <v/>
      </c>
      <c r="Q1948" t="str">
        <f t="shared" si="293"/>
        <v/>
      </c>
      <c r="S1948" t="str">
        <f>IF(A1948=1,MAX($S$2:$S1947)+1,IF(OR($I1948&lt;&gt;"",A1948="x"),$S1947,""))</f>
        <v/>
      </c>
      <c r="T1948" t="str">
        <f>IF(D1948=1,MAX($T$2:$T1947)+1,IF(S1948=S1947,$T1947,IF(D1948="x",T1947,IF(D1947="x","",""))))</f>
        <v/>
      </c>
      <c r="U1948" t="str">
        <f>IF(B1948=1,MAX($U$2:$U1947)+1,IF(AND($T1948&lt;&gt;"",$T1948=$T1947),$U1947,IF(B1948="x",U1947,"")))</f>
        <v/>
      </c>
      <c r="V1948" t="str">
        <f>IF(C1948=1,MAX($V$2:$V1947)+1,IF(AND($T1948&lt;&gt;"",$T1948=$T1947),$U1947,IF(C1948="x",V1947,"")))</f>
        <v/>
      </c>
      <c r="X1948" cm="1">
        <f t="array" ref="X1948">IF($I1948&lt;&gt;"",$I1948,INDEX($I$1:$I1948,ROW()-COUNTIFS($T$1:$T1948,"="&amp;$T1948,$S$1:$S1948,"&lt;"&amp;$S1948)))</f>
        <v>0</v>
      </c>
      <c r="Z1948" s="6">
        <f t="shared" si="286"/>
        <v>1</v>
      </c>
      <c r="AA1948" t="e">
        <f t="shared" si="287"/>
        <v>#VALUE!</v>
      </c>
      <c r="AB1948" t="str">
        <f t="shared" si="288"/>
        <v/>
      </c>
      <c r="AC1948" t="e">
        <f t="shared" si="289"/>
        <v>#VALUE!</v>
      </c>
    </row>
    <row r="1949" spans="1:29" x14ac:dyDescent="0.2">
      <c r="A1949" t="str">
        <f t="shared" si="290"/>
        <v/>
      </c>
      <c r="E1949" s="4"/>
      <c r="F1949" s="46"/>
      <c r="G1949" s="4"/>
      <c r="H1949" s="48"/>
      <c r="J1949" s="26" t="str">
        <f t="shared" si="291"/>
        <v/>
      </c>
      <c r="N1949" t="str">
        <f t="shared" si="292"/>
        <v/>
      </c>
      <c r="Q1949" t="str">
        <f t="shared" si="293"/>
        <v/>
      </c>
      <c r="S1949" t="str">
        <f>IF(A1949=1,MAX($S$2:$S1948)+1,IF(OR($I1949&lt;&gt;"",A1949="x"),$S1948,""))</f>
        <v/>
      </c>
      <c r="T1949" t="str">
        <f>IF(D1949=1,MAX($T$2:$T1948)+1,IF(S1949=S1948,$T1948,IF(D1949="x",T1948,IF(D1948="x","",""))))</f>
        <v/>
      </c>
      <c r="U1949" t="str">
        <f>IF(B1949=1,MAX($U$2:$U1948)+1,IF(AND($T1949&lt;&gt;"",$T1949=$T1948),$U1948,IF(B1949="x",U1948,"")))</f>
        <v/>
      </c>
      <c r="V1949" t="str">
        <f>IF(C1949=1,MAX($V$2:$V1948)+1,IF(AND($T1949&lt;&gt;"",$T1949=$T1948),$U1948,IF(C1949="x",V1948,"")))</f>
        <v/>
      </c>
      <c r="X1949" cm="1">
        <f t="array" ref="X1949">IF($I1949&lt;&gt;"",$I1949,INDEX($I$1:$I1949,ROW()-COUNTIFS($T$1:$T1949,"="&amp;$T1949,$S$1:$S1949,"&lt;"&amp;$S1949)))</f>
        <v>0</v>
      </c>
      <c r="Z1949" s="6">
        <f t="shared" si="286"/>
        <v>1</v>
      </c>
      <c r="AA1949" t="e">
        <f t="shared" si="287"/>
        <v>#VALUE!</v>
      </c>
      <c r="AB1949" t="str">
        <f t="shared" si="288"/>
        <v/>
      </c>
      <c r="AC1949" t="e">
        <f t="shared" si="289"/>
        <v>#VALUE!</v>
      </c>
    </row>
    <row r="1950" spans="1:29" x14ac:dyDescent="0.2">
      <c r="A1950" t="str">
        <f t="shared" si="290"/>
        <v/>
      </c>
      <c r="E1950" s="4"/>
      <c r="F1950" s="46"/>
      <c r="G1950" s="4"/>
      <c r="H1950" s="48"/>
      <c r="J1950" s="26" t="str">
        <f t="shared" si="291"/>
        <v/>
      </c>
      <c r="N1950" t="str">
        <f t="shared" si="292"/>
        <v/>
      </c>
      <c r="Q1950" t="str">
        <f t="shared" si="293"/>
        <v/>
      </c>
      <c r="S1950" t="str">
        <f>IF(A1950=1,MAX($S$2:$S1949)+1,IF(OR($I1950&lt;&gt;"",A1950="x"),$S1949,""))</f>
        <v/>
      </c>
      <c r="T1950" t="str">
        <f>IF(D1950=1,MAX($T$2:$T1949)+1,IF(S1950=S1949,$T1949,IF(D1950="x",T1949,IF(D1949="x","",""))))</f>
        <v/>
      </c>
      <c r="U1950" t="str">
        <f>IF(B1950=1,MAX($U$2:$U1949)+1,IF(AND($T1950&lt;&gt;"",$T1950=$T1949),$U1949,IF(B1950="x",U1949,"")))</f>
        <v/>
      </c>
      <c r="V1950" t="str">
        <f>IF(C1950=1,MAX($V$2:$V1949)+1,IF(AND($T1950&lt;&gt;"",$T1950=$T1949),$U1949,IF(C1950="x",V1949,"")))</f>
        <v/>
      </c>
      <c r="X1950" cm="1">
        <f t="array" ref="X1950">IF($I1950&lt;&gt;"",$I1950,INDEX($I$1:$I1950,ROW()-COUNTIFS($T$1:$T1950,"="&amp;$T1950,$S$1:$S1950,"&lt;"&amp;$S1950)))</f>
        <v>0</v>
      </c>
      <c r="Z1950" s="6">
        <f t="shared" si="286"/>
        <v>1</v>
      </c>
      <c r="AA1950" t="e">
        <f t="shared" si="287"/>
        <v>#VALUE!</v>
      </c>
      <c r="AB1950" t="str">
        <f t="shared" si="288"/>
        <v/>
      </c>
      <c r="AC1950" t="e">
        <f t="shared" si="289"/>
        <v>#VALUE!</v>
      </c>
    </row>
    <row r="1951" spans="1:29" x14ac:dyDescent="0.2">
      <c r="A1951" t="str">
        <f t="shared" si="290"/>
        <v/>
      </c>
      <c r="E1951" s="4"/>
      <c r="F1951" s="46"/>
      <c r="G1951" s="4"/>
      <c r="H1951" s="48"/>
      <c r="J1951" s="26" t="str">
        <f t="shared" si="291"/>
        <v/>
      </c>
      <c r="N1951" t="str">
        <f t="shared" si="292"/>
        <v/>
      </c>
      <c r="Q1951" t="str">
        <f t="shared" si="293"/>
        <v/>
      </c>
      <c r="S1951" t="str">
        <f>IF(A1951=1,MAX($S$2:$S1950)+1,IF(OR($I1951&lt;&gt;"",A1951="x"),$S1950,""))</f>
        <v/>
      </c>
      <c r="T1951" t="str">
        <f>IF(D1951=1,MAX($T$2:$T1950)+1,IF(S1951=S1950,$T1950,IF(D1951="x",T1950,IF(D1950="x","",""))))</f>
        <v/>
      </c>
      <c r="U1951" t="str">
        <f>IF(B1951=1,MAX($U$2:$U1950)+1,IF(AND($T1951&lt;&gt;"",$T1951=$T1950),$U1950,IF(B1951="x",U1950,"")))</f>
        <v/>
      </c>
      <c r="V1951" t="str">
        <f>IF(C1951=1,MAX($V$2:$V1950)+1,IF(AND($T1951&lt;&gt;"",$T1951=$T1950),$U1950,IF(C1951="x",V1950,"")))</f>
        <v/>
      </c>
      <c r="X1951" cm="1">
        <f t="array" ref="X1951">IF($I1951&lt;&gt;"",$I1951,INDEX($I$1:$I1951,ROW()-COUNTIFS($T$1:$T1951,"="&amp;$T1951,$S$1:$S1951,"&lt;"&amp;$S1951)))</f>
        <v>0</v>
      </c>
      <c r="Z1951" s="6">
        <f t="shared" si="286"/>
        <v>1</v>
      </c>
      <c r="AA1951" t="e">
        <f t="shared" si="287"/>
        <v>#VALUE!</v>
      </c>
      <c r="AB1951" t="str">
        <f t="shared" si="288"/>
        <v/>
      </c>
      <c r="AC1951" t="e">
        <f t="shared" si="289"/>
        <v>#VALUE!</v>
      </c>
    </row>
    <row r="1952" spans="1:29" x14ac:dyDescent="0.2">
      <c r="A1952" t="str">
        <f t="shared" si="290"/>
        <v/>
      </c>
      <c r="E1952" s="4"/>
      <c r="F1952" s="46"/>
      <c r="G1952" s="4"/>
      <c r="H1952" s="48"/>
      <c r="J1952" s="26" t="str">
        <f t="shared" si="291"/>
        <v/>
      </c>
      <c r="N1952" t="str">
        <f t="shared" si="292"/>
        <v/>
      </c>
      <c r="Q1952" t="str">
        <f t="shared" si="293"/>
        <v/>
      </c>
      <c r="S1952" t="str">
        <f>IF(A1952=1,MAX($S$2:$S1951)+1,IF(OR($I1952&lt;&gt;"",A1952="x"),$S1951,""))</f>
        <v/>
      </c>
      <c r="T1952" t="str">
        <f>IF(D1952=1,MAX($T$2:$T1951)+1,IF(S1952=S1951,$T1951,IF(D1952="x",T1951,IF(D1951="x","",""))))</f>
        <v/>
      </c>
      <c r="U1952" t="str">
        <f>IF(B1952=1,MAX($U$2:$U1951)+1,IF(AND($T1952&lt;&gt;"",$T1952=$T1951),$U1951,IF(B1952="x",U1951,"")))</f>
        <v/>
      </c>
      <c r="V1952" t="str">
        <f>IF(C1952=1,MAX($V$2:$V1951)+1,IF(AND($T1952&lt;&gt;"",$T1952=$T1951),$U1951,IF(C1952="x",V1951,"")))</f>
        <v/>
      </c>
      <c r="X1952" cm="1">
        <f t="array" ref="X1952">IF($I1952&lt;&gt;"",$I1952,INDEX($I$1:$I1952,ROW()-COUNTIFS($T$1:$T1952,"="&amp;$T1952,$S$1:$S1952,"&lt;"&amp;$S1952)))</f>
        <v>0</v>
      </c>
      <c r="Z1952" s="6">
        <f t="shared" si="286"/>
        <v>1</v>
      </c>
      <c r="AA1952" t="e">
        <f t="shared" si="287"/>
        <v>#VALUE!</v>
      </c>
      <c r="AB1952" t="str">
        <f t="shared" si="288"/>
        <v/>
      </c>
      <c r="AC1952" t="e">
        <f t="shared" si="289"/>
        <v>#VALUE!</v>
      </c>
    </row>
    <row r="1953" spans="1:29" x14ac:dyDescent="0.2">
      <c r="A1953" t="str">
        <f t="shared" si="290"/>
        <v/>
      </c>
      <c r="E1953" s="4"/>
      <c r="F1953" s="46"/>
      <c r="G1953" s="4"/>
      <c r="H1953" s="48"/>
      <c r="J1953" s="26" t="str">
        <f t="shared" si="291"/>
        <v/>
      </c>
      <c r="N1953" t="str">
        <f t="shared" si="292"/>
        <v/>
      </c>
      <c r="Q1953" t="str">
        <f t="shared" si="293"/>
        <v/>
      </c>
      <c r="S1953" t="str">
        <f>IF(A1953=1,MAX($S$2:$S1952)+1,IF(OR($I1953&lt;&gt;"",A1953="x"),$S1952,""))</f>
        <v/>
      </c>
      <c r="T1953" t="str">
        <f>IF(D1953=1,MAX($T$2:$T1952)+1,IF(S1953=S1952,$T1952,IF(D1953="x",T1952,IF(D1952="x","",""))))</f>
        <v/>
      </c>
      <c r="U1953" t="str">
        <f>IF(B1953=1,MAX($U$2:$U1952)+1,IF(AND($T1953&lt;&gt;"",$T1953=$T1952),$U1952,IF(B1953="x",U1952,"")))</f>
        <v/>
      </c>
      <c r="V1953" t="str">
        <f>IF(C1953=1,MAX($V$2:$V1952)+1,IF(AND($T1953&lt;&gt;"",$T1953=$T1952),$U1952,IF(C1953="x",V1952,"")))</f>
        <v/>
      </c>
      <c r="X1953" cm="1">
        <f t="array" ref="X1953">IF($I1953&lt;&gt;"",$I1953,INDEX($I$1:$I1953,ROW()-COUNTIFS($T$1:$T1953,"="&amp;$T1953,$S$1:$S1953,"&lt;"&amp;$S1953)))</f>
        <v>0</v>
      </c>
      <c r="Z1953" s="6">
        <f t="shared" si="286"/>
        <v>1</v>
      </c>
      <c r="AA1953" t="e">
        <f t="shared" si="287"/>
        <v>#VALUE!</v>
      </c>
      <c r="AB1953" t="str">
        <f t="shared" si="288"/>
        <v/>
      </c>
      <c r="AC1953" t="e">
        <f t="shared" si="289"/>
        <v>#VALUE!</v>
      </c>
    </row>
    <row r="1954" spans="1:29" x14ac:dyDescent="0.2">
      <c r="A1954" t="str">
        <f t="shared" si="290"/>
        <v/>
      </c>
      <c r="E1954" s="4"/>
      <c r="F1954" s="46"/>
      <c r="G1954" s="4"/>
      <c r="H1954" s="48"/>
      <c r="J1954" s="26" t="str">
        <f t="shared" si="291"/>
        <v/>
      </c>
      <c r="N1954" t="str">
        <f t="shared" si="292"/>
        <v/>
      </c>
      <c r="Q1954" t="str">
        <f t="shared" si="293"/>
        <v/>
      </c>
      <c r="S1954" t="str">
        <f>IF(A1954=1,MAX($S$2:$S1953)+1,IF(OR($I1954&lt;&gt;"",A1954="x"),$S1953,""))</f>
        <v/>
      </c>
      <c r="T1954" t="str">
        <f>IF(D1954=1,MAX($T$2:$T1953)+1,IF(S1954=S1953,$T1953,IF(D1954="x",T1953,IF(D1953="x","",""))))</f>
        <v/>
      </c>
      <c r="U1954" t="str">
        <f>IF(B1954=1,MAX($U$2:$U1953)+1,IF(AND($T1954&lt;&gt;"",$T1954=$T1953),$U1953,IF(B1954="x",U1953,"")))</f>
        <v/>
      </c>
      <c r="V1954" t="str">
        <f>IF(C1954=1,MAX($V$2:$V1953)+1,IF(AND($T1954&lt;&gt;"",$T1954=$T1953),$U1953,IF(C1954="x",V1953,"")))</f>
        <v/>
      </c>
      <c r="X1954" cm="1">
        <f t="array" ref="X1954">IF($I1954&lt;&gt;"",$I1954,INDEX($I$1:$I1954,ROW()-COUNTIFS($T$1:$T1954,"="&amp;$T1954,$S$1:$S1954,"&lt;"&amp;$S1954)))</f>
        <v>0</v>
      </c>
      <c r="Z1954" s="6">
        <f t="shared" si="286"/>
        <v>1</v>
      </c>
      <c r="AA1954" t="e">
        <f t="shared" si="287"/>
        <v>#VALUE!</v>
      </c>
      <c r="AB1954" t="str">
        <f t="shared" si="288"/>
        <v/>
      </c>
      <c r="AC1954" t="e">
        <f t="shared" si="289"/>
        <v>#VALUE!</v>
      </c>
    </row>
    <row r="1955" spans="1:29" x14ac:dyDescent="0.2">
      <c r="A1955" t="str">
        <f t="shared" si="290"/>
        <v/>
      </c>
      <c r="E1955" s="4"/>
      <c r="F1955" s="46"/>
      <c r="G1955" s="4"/>
      <c r="H1955" s="48"/>
      <c r="J1955" s="26" t="str">
        <f t="shared" si="291"/>
        <v/>
      </c>
      <c r="N1955" t="str">
        <f t="shared" si="292"/>
        <v/>
      </c>
      <c r="Q1955" t="str">
        <f t="shared" si="293"/>
        <v/>
      </c>
      <c r="S1955" t="str">
        <f>IF(A1955=1,MAX($S$2:$S1954)+1,IF(OR($I1955&lt;&gt;"",A1955="x"),$S1954,""))</f>
        <v/>
      </c>
      <c r="T1955" t="str">
        <f>IF(D1955=1,MAX($T$2:$T1954)+1,IF(S1955=S1954,$T1954,IF(D1955="x",T1954,IF(D1954="x","",""))))</f>
        <v/>
      </c>
      <c r="U1955" t="str">
        <f>IF(B1955=1,MAX($U$2:$U1954)+1,IF(AND($T1955&lt;&gt;"",$T1955=$T1954),$U1954,IF(B1955="x",U1954,"")))</f>
        <v/>
      </c>
      <c r="V1955" t="str">
        <f>IF(C1955=1,MAX($V$2:$V1954)+1,IF(AND($T1955&lt;&gt;"",$T1955=$T1954),$U1954,IF(C1955="x",V1954,"")))</f>
        <v/>
      </c>
      <c r="X1955" cm="1">
        <f t="array" ref="X1955">IF($I1955&lt;&gt;"",$I1955,INDEX($I$1:$I1955,ROW()-COUNTIFS($T$1:$T1955,"="&amp;$T1955,$S$1:$S1955,"&lt;"&amp;$S1955)))</f>
        <v>0</v>
      </c>
      <c r="Z1955" s="6">
        <f t="shared" si="286"/>
        <v>1</v>
      </c>
      <c r="AA1955" t="e">
        <f t="shared" si="287"/>
        <v>#VALUE!</v>
      </c>
      <c r="AB1955" t="str">
        <f t="shared" si="288"/>
        <v/>
      </c>
      <c r="AC1955" t="e">
        <f t="shared" si="289"/>
        <v>#VALUE!</v>
      </c>
    </row>
    <row r="1956" spans="1:29" x14ac:dyDescent="0.2">
      <c r="A1956" t="str">
        <f t="shared" si="290"/>
        <v/>
      </c>
      <c r="E1956" s="4"/>
      <c r="F1956" s="46"/>
      <c r="G1956" s="4"/>
      <c r="H1956" s="48"/>
      <c r="J1956" s="26" t="str">
        <f t="shared" si="291"/>
        <v/>
      </c>
      <c r="N1956" t="str">
        <f t="shared" si="292"/>
        <v/>
      </c>
      <c r="Q1956" t="str">
        <f t="shared" si="293"/>
        <v/>
      </c>
      <c r="S1956" t="str">
        <f>IF(A1956=1,MAX($S$2:$S1955)+1,IF(OR($I1956&lt;&gt;"",A1956="x"),$S1955,""))</f>
        <v/>
      </c>
      <c r="T1956" t="str">
        <f>IF(D1956=1,MAX($T$2:$T1955)+1,IF(S1956=S1955,$T1955,IF(D1956="x",T1955,IF(D1955="x","",""))))</f>
        <v/>
      </c>
      <c r="U1956" t="str">
        <f>IF(B1956=1,MAX($U$2:$U1955)+1,IF(AND($T1956&lt;&gt;"",$T1956=$T1955),$U1955,IF(B1956="x",U1955,"")))</f>
        <v/>
      </c>
      <c r="V1956" t="str">
        <f>IF(C1956=1,MAX($V$2:$V1955)+1,IF(AND($T1956&lt;&gt;"",$T1956=$T1955),$U1955,IF(C1956="x",V1955,"")))</f>
        <v/>
      </c>
      <c r="X1956" cm="1">
        <f t="array" ref="X1956">IF($I1956&lt;&gt;"",$I1956,INDEX($I$1:$I1956,ROW()-COUNTIFS($T$1:$T1956,"="&amp;$T1956,$S$1:$S1956,"&lt;"&amp;$S1956)))</f>
        <v>0</v>
      </c>
      <c r="Z1956" s="6">
        <f t="shared" si="286"/>
        <v>1</v>
      </c>
      <c r="AA1956" t="e">
        <f t="shared" si="287"/>
        <v>#VALUE!</v>
      </c>
      <c r="AB1956" t="str">
        <f t="shared" si="288"/>
        <v/>
      </c>
      <c r="AC1956" t="e">
        <f t="shared" si="289"/>
        <v>#VALUE!</v>
      </c>
    </row>
    <row r="1957" spans="1:29" x14ac:dyDescent="0.2">
      <c r="A1957" t="str">
        <f t="shared" si="290"/>
        <v/>
      </c>
      <c r="E1957" s="4"/>
      <c r="F1957" s="46"/>
      <c r="G1957" s="4"/>
      <c r="H1957" s="48"/>
      <c r="J1957" s="26" t="str">
        <f t="shared" si="291"/>
        <v/>
      </c>
      <c r="N1957" t="str">
        <f t="shared" si="292"/>
        <v/>
      </c>
      <c r="Q1957" t="str">
        <f t="shared" si="293"/>
        <v/>
      </c>
      <c r="S1957" t="str">
        <f>IF(A1957=1,MAX($S$2:$S1956)+1,IF(OR($I1957&lt;&gt;"",A1957="x"),$S1956,""))</f>
        <v/>
      </c>
      <c r="T1957" t="str">
        <f>IF(D1957=1,MAX($T$2:$T1956)+1,IF(S1957=S1956,$T1956,IF(D1957="x",T1956,IF(D1956="x","",""))))</f>
        <v/>
      </c>
      <c r="U1957" t="str">
        <f>IF(B1957=1,MAX($U$2:$U1956)+1,IF(AND($T1957&lt;&gt;"",$T1957=$T1956),$U1956,IF(B1957="x",U1956,"")))</f>
        <v/>
      </c>
      <c r="V1957" t="str">
        <f>IF(C1957=1,MAX($V$2:$V1956)+1,IF(AND($T1957&lt;&gt;"",$T1957=$T1956),$U1956,IF(C1957="x",V1956,"")))</f>
        <v/>
      </c>
      <c r="X1957" cm="1">
        <f t="array" ref="X1957">IF($I1957&lt;&gt;"",$I1957,INDEX($I$1:$I1957,ROW()-COUNTIFS($T$1:$T1957,"="&amp;$T1957,$S$1:$S1957,"&lt;"&amp;$S1957)))</f>
        <v>0</v>
      </c>
      <c r="Z1957" s="6">
        <f t="shared" si="286"/>
        <v>1</v>
      </c>
      <c r="AA1957" t="e">
        <f t="shared" si="287"/>
        <v>#VALUE!</v>
      </c>
      <c r="AB1957" t="str">
        <f t="shared" si="288"/>
        <v/>
      </c>
      <c r="AC1957" t="e">
        <f t="shared" si="289"/>
        <v>#VALUE!</v>
      </c>
    </row>
    <row r="1958" spans="1:29" x14ac:dyDescent="0.2">
      <c r="A1958" t="str">
        <f t="shared" si="290"/>
        <v/>
      </c>
      <c r="E1958" s="4"/>
      <c r="F1958" s="46"/>
      <c r="G1958" s="4"/>
      <c r="H1958" s="48"/>
      <c r="J1958" s="26" t="str">
        <f t="shared" si="291"/>
        <v/>
      </c>
      <c r="N1958" t="str">
        <f t="shared" si="292"/>
        <v/>
      </c>
      <c r="Q1958" t="str">
        <f t="shared" si="293"/>
        <v/>
      </c>
      <c r="S1958" t="str">
        <f>IF(A1958=1,MAX($S$2:$S1957)+1,IF(OR($I1958&lt;&gt;"",A1958="x"),$S1957,""))</f>
        <v/>
      </c>
      <c r="T1958" t="str">
        <f>IF(D1958=1,MAX($T$2:$T1957)+1,IF(S1958=S1957,$T1957,IF(D1958="x",T1957,IF(D1957="x","",""))))</f>
        <v/>
      </c>
      <c r="U1958" t="str">
        <f>IF(B1958=1,MAX($U$2:$U1957)+1,IF(AND($T1958&lt;&gt;"",$T1958=$T1957),$U1957,IF(B1958="x",U1957,"")))</f>
        <v/>
      </c>
      <c r="V1958" t="str">
        <f>IF(C1958=1,MAX($V$2:$V1957)+1,IF(AND($T1958&lt;&gt;"",$T1958=$T1957),$U1957,IF(C1958="x",V1957,"")))</f>
        <v/>
      </c>
      <c r="X1958" cm="1">
        <f t="array" ref="X1958">IF($I1958&lt;&gt;"",$I1958,INDEX($I$1:$I1958,ROW()-COUNTIFS($T$1:$T1958,"="&amp;$T1958,$S$1:$S1958,"&lt;"&amp;$S1958)))</f>
        <v>0</v>
      </c>
      <c r="Z1958" s="6">
        <f t="shared" si="286"/>
        <v>1</v>
      </c>
      <c r="AA1958" t="e">
        <f t="shared" si="287"/>
        <v>#VALUE!</v>
      </c>
      <c r="AB1958" t="str">
        <f t="shared" si="288"/>
        <v/>
      </c>
      <c r="AC1958" t="e">
        <f t="shared" si="289"/>
        <v>#VALUE!</v>
      </c>
    </row>
    <row r="1959" spans="1:29" x14ac:dyDescent="0.2">
      <c r="A1959" t="str">
        <f t="shared" si="290"/>
        <v/>
      </c>
      <c r="E1959" s="4"/>
      <c r="F1959" s="46"/>
      <c r="G1959" s="4"/>
      <c r="H1959" s="48"/>
      <c r="J1959" s="26" t="str">
        <f t="shared" si="291"/>
        <v/>
      </c>
      <c r="N1959" t="str">
        <f t="shared" si="292"/>
        <v/>
      </c>
      <c r="Q1959" t="str">
        <f t="shared" si="293"/>
        <v/>
      </c>
      <c r="S1959" t="str">
        <f>IF(A1959=1,MAX($S$2:$S1958)+1,IF(OR($I1959&lt;&gt;"",A1959="x"),$S1958,""))</f>
        <v/>
      </c>
      <c r="T1959" t="str">
        <f>IF(D1959=1,MAX($T$2:$T1958)+1,IF(S1959=S1958,$T1958,IF(D1959="x",T1958,IF(D1958="x","",""))))</f>
        <v/>
      </c>
      <c r="U1959" t="str">
        <f>IF(B1959=1,MAX($U$2:$U1958)+1,IF(AND($T1959&lt;&gt;"",$T1959=$T1958),$U1958,IF(B1959="x",U1958,"")))</f>
        <v/>
      </c>
      <c r="V1959" t="str">
        <f>IF(C1959=1,MAX($V$2:$V1958)+1,IF(AND($T1959&lt;&gt;"",$T1959=$T1958),$U1958,IF(C1959="x",V1958,"")))</f>
        <v/>
      </c>
      <c r="X1959" cm="1">
        <f t="array" ref="X1959">IF($I1959&lt;&gt;"",$I1959,INDEX($I$1:$I1959,ROW()-COUNTIFS($T$1:$T1959,"="&amp;$T1959,$S$1:$S1959,"&lt;"&amp;$S1959)))</f>
        <v>0</v>
      </c>
      <c r="Z1959" s="6">
        <f t="shared" si="286"/>
        <v>1</v>
      </c>
      <c r="AA1959" t="e">
        <f t="shared" si="287"/>
        <v>#VALUE!</v>
      </c>
      <c r="AB1959" t="str">
        <f t="shared" si="288"/>
        <v/>
      </c>
      <c r="AC1959" t="e">
        <f t="shared" si="289"/>
        <v>#VALUE!</v>
      </c>
    </row>
    <row r="1960" spans="1:29" x14ac:dyDescent="0.2">
      <c r="A1960" t="str">
        <f t="shared" si="290"/>
        <v/>
      </c>
      <c r="E1960" s="4"/>
      <c r="F1960" s="46"/>
      <c r="G1960" s="4"/>
      <c r="H1960" s="48"/>
      <c r="J1960" s="26" t="str">
        <f t="shared" si="291"/>
        <v/>
      </c>
      <c r="N1960" t="str">
        <f t="shared" si="292"/>
        <v/>
      </c>
      <c r="Q1960" t="str">
        <f t="shared" si="293"/>
        <v/>
      </c>
      <c r="S1960" t="str">
        <f>IF(A1960=1,MAX($S$2:$S1959)+1,IF(OR($I1960&lt;&gt;"",A1960="x"),$S1959,""))</f>
        <v/>
      </c>
      <c r="T1960" t="str">
        <f>IF(D1960=1,MAX($T$2:$T1959)+1,IF(S1960=S1959,$T1959,IF(D1960="x",T1959,IF(D1959="x","",""))))</f>
        <v/>
      </c>
      <c r="U1960" t="str">
        <f>IF(B1960=1,MAX($U$2:$U1959)+1,IF(AND($T1960&lt;&gt;"",$T1960=$T1959),$U1959,IF(B1960="x",U1959,"")))</f>
        <v/>
      </c>
      <c r="V1960" t="str">
        <f>IF(C1960=1,MAX($V$2:$V1959)+1,IF(AND($T1960&lt;&gt;"",$T1960=$T1959),$U1959,IF(C1960="x",V1959,"")))</f>
        <v/>
      </c>
      <c r="X1960" cm="1">
        <f t="array" ref="X1960">IF($I1960&lt;&gt;"",$I1960,INDEX($I$1:$I1960,ROW()-COUNTIFS($T$1:$T1960,"="&amp;$T1960,$S$1:$S1960,"&lt;"&amp;$S1960)))</f>
        <v>0</v>
      </c>
      <c r="Z1960" s="6">
        <f t="shared" si="286"/>
        <v>1</v>
      </c>
      <c r="AA1960" t="e">
        <f t="shared" si="287"/>
        <v>#VALUE!</v>
      </c>
      <c r="AB1960" t="str">
        <f t="shared" si="288"/>
        <v/>
      </c>
      <c r="AC1960" t="e">
        <f t="shared" si="289"/>
        <v>#VALUE!</v>
      </c>
    </row>
    <row r="1961" spans="1:29" x14ac:dyDescent="0.2">
      <c r="A1961" t="str">
        <f t="shared" si="290"/>
        <v/>
      </c>
      <c r="E1961" s="4"/>
      <c r="F1961" s="46"/>
      <c r="G1961" s="4"/>
      <c r="H1961" s="48"/>
      <c r="J1961" s="26" t="str">
        <f t="shared" si="291"/>
        <v/>
      </c>
      <c r="N1961" t="str">
        <f t="shared" si="292"/>
        <v/>
      </c>
      <c r="Q1961" t="str">
        <f t="shared" si="293"/>
        <v/>
      </c>
      <c r="S1961" t="str">
        <f>IF(A1961=1,MAX($S$2:$S1960)+1,IF(OR($I1961&lt;&gt;"",A1961="x"),$S1960,""))</f>
        <v/>
      </c>
      <c r="T1961" t="str">
        <f>IF(D1961=1,MAX($T$2:$T1960)+1,IF(S1961=S1960,$T1960,IF(D1961="x",T1960,IF(D1960="x","",""))))</f>
        <v/>
      </c>
      <c r="U1961" t="str">
        <f>IF(B1961=1,MAX($U$2:$U1960)+1,IF(AND($T1961&lt;&gt;"",$T1961=$T1960),$U1960,IF(B1961="x",U1960,"")))</f>
        <v/>
      </c>
      <c r="V1961" t="str">
        <f>IF(C1961=1,MAX($V$2:$V1960)+1,IF(AND($T1961&lt;&gt;"",$T1961=$T1960),$U1960,IF(C1961="x",V1960,"")))</f>
        <v/>
      </c>
      <c r="X1961" cm="1">
        <f t="array" ref="X1961">IF($I1961&lt;&gt;"",$I1961,INDEX($I$1:$I1961,ROW()-COUNTIFS($T$1:$T1961,"="&amp;$T1961,$S$1:$S1961,"&lt;"&amp;$S1961)))</f>
        <v>0</v>
      </c>
      <c r="Z1961" s="6">
        <f t="shared" si="286"/>
        <v>1</v>
      </c>
      <c r="AA1961" t="e">
        <f t="shared" si="287"/>
        <v>#VALUE!</v>
      </c>
      <c r="AB1961" t="str">
        <f t="shared" si="288"/>
        <v/>
      </c>
      <c r="AC1961" t="e">
        <f t="shared" si="289"/>
        <v>#VALUE!</v>
      </c>
    </row>
    <row r="1962" spans="1:29" x14ac:dyDescent="0.2">
      <c r="A1962" t="str">
        <f t="shared" si="290"/>
        <v/>
      </c>
      <c r="E1962" s="4"/>
      <c r="F1962" s="46"/>
      <c r="G1962" s="4"/>
      <c r="H1962" s="48"/>
      <c r="J1962" s="26" t="str">
        <f t="shared" si="291"/>
        <v/>
      </c>
      <c r="N1962" t="str">
        <f t="shared" si="292"/>
        <v/>
      </c>
      <c r="Q1962" t="str">
        <f t="shared" si="293"/>
        <v/>
      </c>
      <c r="S1962" t="str">
        <f>IF(A1962=1,MAX($S$2:$S1961)+1,IF(OR($I1962&lt;&gt;"",A1962="x"),$S1961,""))</f>
        <v/>
      </c>
      <c r="T1962" t="str">
        <f>IF(D1962=1,MAX($T$2:$T1961)+1,IF(S1962=S1961,$T1961,IF(D1962="x",T1961,IF(D1961="x","",""))))</f>
        <v/>
      </c>
      <c r="U1962" t="str">
        <f>IF(B1962=1,MAX($U$2:$U1961)+1,IF(AND($T1962&lt;&gt;"",$T1962=$T1961),$U1961,IF(B1962="x",U1961,"")))</f>
        <v/>
      </c>
      <c r="V1962" t="str">
        <f>IF(C1962=1,MAX($V$2:$V1961)+1,IF(AND($T1962&lt;&gt;"",$T1962=$T1961),$U1961,IF(C1962="x",V1961,"")))</f>
        <v/>
      </c>
      <c r="X1962" cm="1">
        <f t="array" ref="X1962">IF($I1962&lt;&gt;"",$I1962,INDEX($I$1:$I1962,ROW()-COUNTIFS($T$1:$T1962,"="&amp;$T1962,$S$1:$S1962,"&lt;"&amp;$S1962)))</f>
        <v>0</v>
      </c>
      <c r="Z1962" s="6">
        <f t="shared" si="286"/>
        <v>1</v>
      </c>
      <c r="AA1962" t="e">
        <f t="shared" si="287"/>
        <v>#VALUE!</v>
      </c>
      <c r="AB1962" t="str">
        <f t="shared" si="288"/>
        <v/>
      </c>
      <c r="AC1962" t="e">
        <f t="shared" si="289"/>
        <v>#VALUE!</v>
      </c>
    </row>
    <row r="1963" spans="1:29" x14ac:dyDescent="0.2">
      <c r="A1963" t="str">
        <f t="shared" si="290"/>
        <v/>
      </c>
      <c r="E1963" s="4"/>
      <c r="F1963" s="46"/>
      <c r="G1963" s="4"/>
      <c r="H1963" s="48"/>
      <c r="J1963" s="26" t="str">
        <f t="shared" si="291"/>
        <v/>
      </c>
      <c r="N1963" t="str">
        <f t="shared" si="292"/>
        <v/>
      </c>
      <c r="Q1963" t="str">
        <f t="shared" si="293"/>
        <v/>
      </c>
      <c r="S1963" t="str">
        <f>IF(A1963=1,MAX($S$2:$S1962)+1,IF(OR($I1963&lt;&gt;"",A1963="x"),$S1962,""))</f>
        <v/>
      </c>
      <c r="T1963" t="str">
        <f>IF(D1963=1,MAX($T$2:$T1962)+1,IF(S1963=S1962,$T1962,IF(D1963="x",T1962,IF(D1962="x","",""))))</f>
        <v/>
      </c>
      <c r="U1963" t="str">
        <f>IF(B1963=1,MAX($U$2:$U1962)+1,IF(AND($T1963&lt;&gt;"",$T1963=$T1962),$U1962,IF(B1963="x",U1962,"")))</f>
        <v/>
      </c>
      <c r="V1963" t="str">
        <f>IF(C1963=1,MAX($V$2:$V1962)+1,IF(AND($T1963&lt;&gt;"",$T1963=$T1962),$U1962,IF(C1963="x",V1962,"")))</f>
        <v/>
      </c>
      <c r="X1963" cm="1">
        <f t="array" ref="X1963">IF($I1963&lt;&gt;"",$I1963,INDEX($I$1:$I1963,ROW()-COUNTIFS($T$1:$T1963,"="&amp;$T1963,$S$1:$S1963,"&lt;"&amp;$S1963)))</f>
        <v>0</v>
      </c>
      <c r="Z1963" s="6">
        <f t="shared" si="286"/>
        <v>1</v>
      </c>
      <c r="AA1963" t="e">
        <f t="shared" si="287"/>
        <v>#VALUE!</v>
      </c>
      <c r="AB1963" t="str">
        <f t="shared" si="288"/>
        <v/>
      </c>
      <c r="AC1963" t="e">
        <f t="shared" si="289"/>
        <v>#VALUE!</v>
      </c>
    </row>
    <row r="1964" spans="1:29" x14ac:dyDescent="0.2">
      <c r="A1964" t="str">
        <f t="shared" si="290"/>
        <v/>
      </c>
      <c r="E1964" s="4"/>
      <c r="F1964" s="46"/>
      <c r="G1964" s="4"/>
      <c r="H1964" s="48"/>
      <c r="J1964" s="26" t="str">
        <f t="shared" si="291"/>
        <v/>
      </c>
      <c r="N1964" t="str">
        <f t="shared" si="292"/>
        <v/>
      </c>
      <c r="Q1964" t="str">
        <f t="shared" si="293"/>
        <v/>
      </c>
      <c r="S1964" t="str">
        <f>IF(A1964=1,MAX($S$2:$S1963)+1,IF(OR($I1964&lt;&gt;"",A1964="x"),$S1963,""))</f>
        <v/>
      </c>
      <c r="T1964" t="str">
        <f>IF(D1964=1,MAX($T$2:$T1963)+1,IF(S1964=S1963,$T1963,IF(D1964="x",T1963,IF(D1963="x","",""))))</f>
        <v/>
      </c>
      <c r="U1964" t="str">
        <f>IF(B1964=1,MAX($U$2:$U1963)+1,IF(AND($T1964&lt;&gt;"",$T1964=$T1963),$U1963,IF(B1964="x",U1963,"")))</f>
        <v/>
      </c>
      <c r="V1964" t="str">
        <f>IF(C1964=1,MAX($V$2:$V1963)+1,IF(AND($T1964&lt;&gt;"",$T1964=$T1963),$U1963,IF(C1964="x",V1963,"")))</f>
        <v/>
      </c>
      <c r="X1964" cm="1">
        <f t="array" ref="X1964">IF($I1964&lt;&gt;"",$I1964,INDEX($I$1:$I1964,ROW()-COUNTIFS($T$1:$T1964,"="&amp;$T1964,$S$1:$S1964,"&lt;"&amp;$S1964)))</f>
        <v>0</v>
      </c>
      <c r="Z1964" s="6">
        <f t="shared" si="286"/>
        <v>1</v>
      </c>
      <c r="AA1964" t="e">
        <f t="shared" si="287"/>
        <v>#VALUE!</v>
      </c>
      <c r="AB1964" t="str">
        <f t="shared" si="288"/>
        <v/>
      </c>
      <c r="AC1964" t="e">
        <f t="shared" si="289"/>
        <v>#VALUE!</v>
      </c>
    </row>
    <row r="1965" spans="1:29" x14ac:dyDescent="0.2">
      <c r="A1965" t="str">
        <f t="shared" si="290"/>
        <v/>
      </c>
      <c r="E1965" s="4"/>
      <c r="F1965" s="46"/>
      <c r="G1965" s="4"/>
      <c r="H1965" s="48"/>
      <c r="J1965" s="26" t="str">
        <f t="shared" si="291"/>
        <v/>
      </c>
      <c r="N1965" t="str">
        <f t="shared" si="292"/>
        <v/>
      </c>
      <c r="Q1965" t="str">
        <f t="shared" si="293"/>
        <v/>
      </c>
      <c r="S1965" t="str">
        <f>IF(A1965=1,MAX($S$2:$S1964)+1,IF(OR($I1965&lt;&gt;"",A1965="x"),$S1964,""))</f>
        <v/>
      </c>
      <c r="T1965" t="str">
        <f>IF(D1965=1,MAX($T$2:$T1964)+1,IF(S1965=S1964,$T1964,IF(D1965="x",T1964,IF(D1964="x","",""))))</f>
        <v/>
      </c>
      <c r="U1965" t="str">
        <f>IF(B1965=1,MAX($U$2:$U1964)+1,IF(AND($T1965&lt;&gt;"",$T1965=$T1964),$U1964,IF(B1965="x",U1964,"")))</f>
        <v/>
      </c>
      <c r="V1965" t="str">
        <f>IF(C1965=1,MAX($V$2:$V1964)+1,IF(AND($T1965&lt;&gt;"",$T1965=$T1964),$U1964,IF(C1965="x",V1964,"")))</f>
        <v/>
      </c>
      <c r="X1965" cm="1">
        <f t="array" ref="X1965">IF($I1965&lt;&gt;"",$I1965,INDEX($I$1:$I1965,ROW()-COUNTIFS($T$1:$T1965,"="&amp;$T1965,$S$1:$S1965,"&lt;"&amp;$S1965)))</f>
        <v>0</v>
      </c>
      <c r="Z1965" s="6">
        <f t="shared" si="286"/>
        <v>1</v>
      </c>
      <c r="AA1965" t="e">
        <f t="shared" si="287"/>
        <v>#VALUE!</v>
      </c>
      <c r="AB1965" t="str">
        <f t="shared" si="288"/>
        <v/>
      </c>
      <c r="AC1965" t="e">
        <f t="shared" si="289"/>
        <v>#VALUE!</v>
      </c>
    </row>
    <row r="1966" spans="1:29" x14ac:dyDescent="0.2">
      <c r="A1966" t="str">
        <f t="shared" si="290"/>
        <v/>
      </c>
      <c r="E1966" s="4"/>
      <c r="F1966" s="46"/>
      <c r="G1966" s="4"/>
      <c r="H1966" s="48"/>
      <c r="J1966" s="26" t="str">
        <f t="shared" si="291"/>
        <v/>
      </c>
      <c r="N1966" t="str">
        <f t="shared" si="292"/>
        <v/>
      </c>
      <c r="Q1966" t="str">
        <f t="shared" si="293"/>
        <v/>
      </c>
      <c r="S1966" t="str">
        <f>IF(A1966=1,MAX($S$2:$S1965)+1,IF(OR($I1966&lt;&gt;"",A1966="x"),$S1965,""))</f>
        <v/>
      </c>
      <c r="T1966" t="str">
        <f>IF(D1966=1,MAX($T$2:$T1965)+1,IF(S1966=S1965,$T1965,IF(D1966="x",T1965,IF(D1965="x","",""))))</f>
        <v/>
      </c>
      <c r="U1966" t="str">
        <f>IF(B1966=1,MAX($U$2:$U1965)+1,IF(AND($T1966&lt;&gt;"",$T1966=$T1965),$U1965,IF(B1966="x",U1965,"")))</f>
        <v/>
      </c>
      <c r="V1966" t="str">
        <f>IF(C1966=1,MAX($V$2:$V1965)+1,IF(AND($T1966&lt;&gt;"",$T1966=$T1965),$U1965,IF(C1966="x",V1965,"")))</f>
        <v/>
      </c>
      <c r="X1966" cm="1">
        <f t="array" ref="X1966">IF($I1966&lt;&gt;"",$I1966,INDEX($I$1:$I1966,ROW()-COUNTIFS($T$1:$T1966,"="&amp;$T1966,$S$1:$S1966,"&lt;"&amp;$S1966)))</f>
        <v>0</v>
      </c>
      <c r="Z1966" s="6">
        <f t="shared" si="286"/>
        <v>1</v>
      </c>
      <c r="AA1966" t="e">
        <f t="shared" si="287"/>
        <v>#VALUE!</v>
      </c>
      <c r="AB1966" t="str">
        <f t="shared" si="288"/>
        <v/>
      </c>
      <c r="AC1966" t="e">
        <f t="shared" si="289"/>
        <v>#VALUE!</v>
      </c>
    </row>
    <row r="1967" spans="1:29" x14ac:dyDescent="0.2">
      <c r="A1967" t="str">
        <f t="shared" si="290"/>
        <v/>
      </c>
      <c r="E1967" s="4"/>
      <c r="F1967" s="46"/>
      <c r="G1967" s="4"/>
      <c r="H1967" s="48"/>
      <c r="J1967" s="26" t="str">
        <f t="shared" si="291"/>
        <v/>
      </c>
      <c r="N1967" t="str">
        <f t="shared" si="292"/>
        <v/>
      </c>
      <c r="Q1967" t="str">
        <f t="shared" si="293"/>
        <v/>
      </c>
      <c r="S1967" t="str">
        <f>IF(A1967=1,MAX($S$2:$S1966)+1,IF(OR($I1967&lt;&gt;"",A1967="x"),$S1966,""))</f>
        <v/>
      </c>
      <c r="T1967" t="str">
        <f>IF(D1967=1,MAX($T$2:$T1966)+1,IF(S1967=S1966,$T1966,IF(D1967="x",T1966,IF(D1966="x","",""))))</f>
        <v/>
      </c>
      <c r="U1967" t="str">
        <f>IF(B1967=1,MAX($U$2:$U1966)+1,IF(AND($T1967&lt;&gt;"",$T1967=$T1966),$U1966,IF(B1967="x",U1966,"")))</f>
        <v/>
      </c>
      <c r="V1967" t="str">
        <f>IF(C1967=1,MAX($V$2:$V1966)+1,IF(AND($T1967&lt;&gt;"",$T1967=$T1966),$U1966,IF(C1967="x",V1966,"")))</f>
        <v/>
      </c>
      <c r="X1967" cm="1">
        <f t="array" ref="X1967">IF($I1967&lt;&gt;"",$I1967,INDEX($I$1:$I1967,ROW()-COUNTIFS($T$1:$T1967,"="&amp;$T1967,$S$1:$S1967,"&lt;"&amp;$S1967)))</f>
        <v>0</v>
      </c>
      <c r="Z1967" s="6">
        <f t="shared" si="286"/>
        <v>1</v>
      </c>
      <c r="AA1967" t="e">
        <f t="shared" si="287"/>
        <v>#VALUE!</v>
      </c>
      <c r="AB1967" t="str">
        <f t="shared" si="288"/>
        <v/>
      </c>
      <c r="AC1967" t="e">
        <f t="shared" si="289"/>
        <v>#VALUE!</v>
      </c>
    </row>
    <row r="1968" spans="1:29" x14ac:dyDescent="0.2">
      <c r="A1968" t="str">
        <f t="shared" si="290"/>
        <v/>
      </c>
      <c r="E1968" s="4"/>
      <c r="F1968" s="46"/>
      <c r="G1968" s="4"/>
      <c r="H1968" s="48"/>
      <c r="J1968" s="26" t="str">
        <f t="shared" si="291"/>
        <v/>
      </c>
      <c r="N1968" t="str">
        <f t="shared" si="292"/>
        <v/>
      </c>
      <c r="Q1968" t="str">
        <f t="shared" si="293"/>
        <v/>
      </c>
      <c r="S1968" t="str">
        <f>IF(A1968=1,MAX($S$2:$S1967)+1,IF(OR($I1968&lt;&gt;"",A1968="x"),$S1967,""))</f>
        <v/>
      </c>
      <c r="T1968" t="str">
        <f>IF(D1968=1,MAX($T$2:$T1967)+1,IF(S1968=S1967,$T1967,IF(D1968="x",T1967,IF(D1967="x","",""))))</f>
        <v/>
      </c>
      <c r="U1968" t="str">
        <f>IF(B1968=1,MAX($U$2:$U1967)+1,IF(AND($T1968&lt;&gt;"",$T1968=$T1967),$U1967,IF(B1968="x",U1967,"")))</f>
        <v/>
      </c>
      <c r="V1968" t="str">
        <f>IF(C1968=1,MAX($V$2:$V1967)+1,IF(AND($T1968&lt;&gt;"",$T1968=$T1967),$U1967,IF(C1968="x",V1967,"")))</f>
        <v/>
      </c>
      <c r="X1968" cm="1">
        <f t="array" ref="X1968">IF($I1968&lt;&gt;"",$I1968,INDEX($I$1:$I1968,ROW()-COUNTIFS($T$1:$T1968,"="&amp;$T1968,$S$1:$S1968,"&lt;"&amp;$S1968)))</f>
        <v>0</v>
      </c>
      <c r="Z1968" s="6">
        <f t="shared" si="286"/>
        <v>1</v>
      </c>
      <c r="AA1968" t="e">
        <f t="shared" si="287"/>
        <v>#VALUE!</v>
      </c>
      <c r="AB1968" t="str">
        <f t="shared" si="288"/>
        <v/>
      </c>
      <c r="AC1968" t="e">
        <f t="shared" si="289"/>
        <v>#VALUE!</v>
      </c>
    </row>
    <row r="1969" spans="1:29" x14ac:dyDescent="0.2">
      <c r="A1969" t="str">
        <f t="shared" si="290"/>
        <v/>
      </c>
      <c r="E1969" s="4"/>
      <c r="F1969" s="46"/>
      <c r="G1969" s="4"/>
      <c r="H1969" s="48"/>
      <c r="J1969" s="26" t="str">
        <f t="shared" si="291"/>
        <v/>
      </c>
      <c r="N1969" t="str">
        <f t="shared" si="292"/>
        <v/>
      </c>
      <c r="Q1969" t="str">
        <f t="shared" si="293"/>
        <v/>
      </c>
      <c r="S1969" t="str">
        <f>IF(A1969=1,MAX($S$2:$S1968)+1,IF(OR($I1969&lt;&gt;"",A1969="x"),$S1968,""))</f>
        <v/>
      </c>
      <c r="T1969" t="str">
        <f>IF(D1969=1,MAX($T$2:$T1968)+1,IF(S1969=S1968,$T1968,IF(D1969="x",T1968,IF(D1968="x","",""))))</f>
        <v/>
      </c>
      <c r="U1969" t="str">
        <f>IF(B1969=1,MAX($U$2:$U1968)+1,IF(AND($T1969&lt;&gt;"",$T1969=$T1968),$U1968,IF(B1969="x",U1968,"")))</f>
        <v/>
      </c>
      <c r="V1969" t="str">
        <f>IF(C1969=1,MAX($V$2:$V1968)+1,IF(AND($T1969&lt;&gt;"",$T1969=$T1968),$U1968,IF(C1969="x",V1968,"")))</f>
        <v/>
      </c>
      <c r="X1969" cm="1">
        <f t="array" ref="X1969">IF($I1969&lt;&gt;"",$I1969,INDEX($I$1:$I1969,ROW()-COUNTIFS($T$1:$T1969,"="&amp;$T1969,$S$1:$S1969,"&lt;"&amp;$S1969)))</f>
        <v>0</v>
      </c>
      <c r="Z1969" s="6">
        <f t="shared" si="286"/>
        <v>1</v>
      </c>
      <c r="AA1969" t="e">
        <f t="shared" si="287"/>
        <v>#VALUE!</v>
      </c>
      <c r="AB1969" t="str">
        <f t="shared" si="288"/>
        <v/>
      </c>
      <c r="AC1969" t="e">
        <f t="shared" si="289"/>
        <v>#VALUE!</v>
      </c>
    </row>
    <row r="1970" spans="1:29" x14ac:dyDescent="0.2">
      <c r="A1970" t="str">
        <f t="shared" si="290"/>
        <v/>
      </c>
      <c r="E1970" s="4"/>
      <c r="F1970" s="46"/>
      <c r="G1970" s="4"/>
      <c r="H1970" s="48"/>
      <c r="J1970" s="26" t="str">
        <f t="shared" si="291"/>
        <v/>
      </c>
      <c r="N1970" t="str">
        <f t="shared" si="292"/>
        <v/>
      </c>
      <c r="Q1970" t="str">
        <f t="shared" si="293"/>
        <v/>
      </c>
      <c r="S1970" t="str">
        <f>IF(A1970=1,MAX($S$2:$S1969)+1,IF(OR($I1970&lt;&gt;"",A1970="x"),$S1969,""))</f>
        <v/>
      </c>
      <c r="T1970" t="str">
        <f>IF(D1970=1,MAX($T$2:$T1969)+1,IF(S1970=S1969,$T1969,IF(D1970="x",T1969,IF(D1969="x","",""))))</f>
        <v/>
      </c>
      <c r="U1970" t="str">
        <f>IF(B1970=1,MAX($U$2:$U1969)+1,IF(AND($T1970&lt;&gt;"",$T1970=$T1969),$U1969,IF(B1970="x",U1969,"")))</f>
        <v/>
      </c>
      <c r="V1970" t="str">
        <f>IF(C1970=1,MAX($V$2:$V1969)+1,IF(AND($T1970&lt;&gt;"",$T1970=$T1969),$U1969,IF(C1970="x",V1969,"")))</f>
        <v/>
      </c>
      <c r="X1970" cm="1">
        <f t="array" ref="X1970">IF($I1970&lt;&gt;"",$I1970,INDEX($I$1:$I1970,ROW()-COUNTIFS($T$1:$T1970,"="&amp;$T1970,$S$1:$S1970,"&lt;"&amp;$S1970)))</f>
        <v>0</v>
      </c>
      <c r="Z1970" s="6">
        <f t="shared" si="286"/>
        <v>1</v>
      </c>
      <c r="AA1970" t="e">
        <f t="shared" si="287"/>
        <v>#VALUE!</v>
      </c>
      <c r="AB1970" t="str">
        <f t="shared" si="288"/>
        <v/>
      </c>
      <c r="AC1970" t="e">
        <f t="shared" si="289"/>
        <v>#VALUE!</v>
      </c>
    </row>
    <row r="1971" spans="1:29" x14ac:dyDescent="0.2">
      <c r="A1971" t="str">
        <f t="shared" si="290"/>
        <v/>
      </c>
      <c r="E1971" s="4"/>
      <c r="F1971" s="46"/>
      <c r="G1971" s="4"/>
      <c r="H1971" s="48"/>
      <c r="J1971" s="26" t="str">
        <f t="shared" si="291"/>
        <v/>
      </c>
      <c r="N1971" t="str">
        <f t="shared" si="292"/>
        <v/>
      </c>
      <c r="Q1971" t="str">
        <f t="shared" si="293"/>
        <v/>
      </c>
      <c r="S1971" t="str">
        <f>IF(A1971=1,MAX($S$2:$S1970)+1,IF(OR($I1971&lt;&gt;"",A1971="x"),$S1970,""))</f>
        <v/>
      </c>
      <c r="T1971" t="str">
        <f>IF(D1971=1,MAX($T$2:$T1970)+1,IF(S1971=S1970,$T1970,IF(D1971="x",T1970,IF(D1970="x","",""))))</f>
        <v/>
      </c>
      <c r="U1971" t="str">
        <f>IF(B1971=1,MAX($U$2:$U1970)+1,IF(AND($T1971&lt;&gt;"",$T1971=$T1970),$U1970,IF(B1971="x",U1970,"")))</f>
        <v/>
      </c>
      <c r="V1971" t="str">
        <f>IF(C1971=1,MAX($V$2:$V1970)+1,IF(AND($T1971&lt;&gt;"",$T1971=$T1970),$U1970,IF(C1971="x",V1970,"")))</f>
        <v/>
      </c>
      <c r="X1971" cm="1">
        <f t="array" ref="X1971">IF($I1971&lt;&gt;"",$I1971,INDEX($I$1:$I1971,ROW()-COUNTIFS($T$1:$T1971,"="&amp;$T1971,$S$1:$S1971,"&lt;"&amp;$S1971)))</f>
        <v>0</v>
      </c>
      <c r="Z1971" s="6">
        <f t="shared" si="286"/>
        <v>1</v>
      </c>
      <c r="AA1971" t="e">
        <f t="shared" si="287"/>
        <v>#VALUE!</v>
      </c>
      <c r="AB1971" t="str">
        <f t="shared" si="288"/>
        <v/>
      </c>
      <c r="AC1971" t="e">
        <f t="shared" si="289"/>
        <v>#VALUE!</v>
      </c>
    </row>
    <row r="1972" spans="1:29" x14ac:dyDescent="0.2">
      <c r="A1972" t="str">
        <f t="shared" si="290"/>
        <v/>
      </c>
      <c r="E1972" s="4"/>
      <c r="F1972" s="46"/>
      <c r="G1972" s="4"/>
      <c r="H1972" s="48"/>
      <c r="J1972" s="26" t="str">
        <f t="shared" si="291"/>
        <v/>
      </c>
      <c r="N1972" t="str">
        <f t="shared" si="292"/>
        <v/>
      </c>
      <c r="Q1972" t="str">
        <f t="shared" si="293"/>
        <v/>
      </c>
      <c r="S1972" t="str">
        <f>IF(A1972=1,MAX($S$2:$S1971)+1,IF(OR($I1972&lt;&gt;"",A1972="x"),$S1971,""))</f>
        <v/>
      </c>
      <c r="T1972" t="str">
        <f>IF(D1972=1,MAX($T$2:$T1971)+1,IF(S1972=S1971,$T1971,IF(D1972="x",T1971,IF(D1971="x","",""))))</f>
        <v/>
      </c>
      <c r="U1972" t="str">
        <f>IF(B1972=1,MAX($U$2:$U1971)+1,IF(AND($T1972&lt;&gt;"",$T1972=$T1971),$U1971,IF(B1972="x",U1971,"")))</f>
        <v/>
      </c>
      <c r="V1972" t="str">
        <f>IF(C1972=1,MAX($V$2:$V1971)+1,IF(AND($T1972&lt;&gt;"",$T1972=$T1971),$U1971,IF(C1972="x",V1971,"")))</f>
        <v/>
      </c>
      <c r="X1972" cm="1">
        <f t="array" ref="X1972">IF($I1972&lt;&gt;"",$I1972,INDEX($I$1:$I1972,ROW()-COUNTIFS($T$1:$T1972,"="&amp;$T1972,$S$1:$S1972,"&lt;"&amp;$S1972)))</f>
        <v>0</v>
      </c>
      <c r="Z1972" s="6">
        <f t="shared" si="286"/>
        <v>1</v>
      </c>
      <c r="AA1972" t="e">
        <f t="shared" si="287"/>
        <v>#VALUE!</v>
      </c>
      <c r="AB1972" t="str">
        <f t="shared" si="288"/>
        <v/>
      </c>
      <c r="AC1972" t="e">
        <f t="shared" si="289"/>
        <v>#VALUE!</v>
      </c>
    </row>
    <row r="1973" spans="1:29" x14ac:dyDescent="0.2">
      <c r="A1973" t="str">
        <f t="shared" si="290"/>
        <v/>
      </c>
      <c r="E1973" s="4"/>
      <c r="F1973" s="46"/>
      <c r="G1973" s="4"/>
      <c r="H1973" s="48"/>
      <c r="J1973" s="26" t="str">
        <f t="shared" si="291"/>
        <v/>
      </c>
      <c r="N1973" t="str">
        <f t="shared" si="292"/>
        <v/>
      </c>
      <c r="Q1973" t="str">
        <f t="shared" si="293"/>
        <v/>
      </c>
      <c r="S1973" t="str">
        <f>IF(A1973=1,MAX($S$2:$S1972)+1,IF(OR($I1973&lt;&gt;"",A1973="x"),$S1972,""))</f>
        <v/>
      </c>
      <c r="T1973" t="str">
        <f>IF(D1973=1,MAX($T$2:$T1972)+1,IF(S1973=S1972,$T1972,IF(D1973="x",T1972,IF(D1972="x","",""))))</f>
        <v/>
      </c>
      <c r="U1973" t="str">
        <f>IF(B1973=1,MAX($U$2:$U1972)+1,IF(AND($T1973&lt;&gt;"",$T1973=$T1972),$U1972,IF(B1973="x",U1972,"")))</f>
        <v/>
      </c>
      <c r="V1973" t="str">
        <f>IF(C1973=1,MAX($V$2:$V1972)+1,IF(AND($T1973&lt;&gt;"",$T1973=$T1972),$U1972,IF(C1973="x",V1972,"")))</f>
        <v/>
      </c>
      <c r="X1973" cm="1">
        <f t="array" ref="X1973">IF($I1973&lt;&gt;"",$I1973,INDEX($I$1:$I1973,ROW()-COUNTIFS($T$1:$T1973,"="&amp;$T1973,$S$1:$S1973,"&lt;"&amp;$S1973)))</f>
        <v>0</v>
      </c>
      <c r="Z1973" s="6">
        <f t="shared" si="286"/>
        <v>1</v>
      </c>
      <c r="AA1973" t="e">
        <f t="shared" si="287"/>
        <v>#VALUE!</v>
      </c>
      <c r="AB1973" t="str">
        <f t="shared" si="288"/>
        <v/>
      </c>
      <c r="AC1973" t="e">
        <f t="shared" si="289"/>
        <v>#VALUE!</v>
      </c>
    </row>
    <row r="1974" spans="1:29" x14ac:dyDescent="0.2">
      <c r="A1974" t="str">
        <f t="shared" si="290"/>
        <v/>
      </c>
      <c r="E1974" s="4"/>
      <c r="F1974" s="46"/>
      <c r="G1974" s="4"/>
      <c r="H1974" s="48"/>
      <c r="J1974" s="26" t="str">
        <f t="shared" si="291"/>
        <v/>
      </c>
      <c r="N1974" t="str">
        <f t="shared" si="292"/>
        <v/>
      </c>
      <c r="Q1974" t="str">
        <f t="shared" si="293"/>
        <v/>
      </c>
      <c r="S1974" t="str">
        <f>IF(A1974=1,MAX($S$2:$S1973)+1,IF(OR($I1974&lt;&gt;"",A1974="x"),$S1973,""))</f>
        <v/>
      </c>
      <c r="T1974" t="str">
        <f>IF(D1974=1,MAX($T$2:$T1973)+1,IF(S1974=S1973,$T1973,IF(D1974="x",T1973,IF(D1973="x","",""))))</f>
        <v/>
      </c>
      <c r="U1974" t="str">
        <f>IF(B1974=1,MAX($U$2:$U1973)+1,IF(AND($T1974&lt;&gt;"",$T1974=$T1973),$U1973,IF(B1974="x",U1973,"")))</f>
        <v/>
      </c>
      <c r="V1974" t="str">
        <f>IF(C1974=1,MAX($V$2:$V1973)+1,IF(AND($T1974&lt;&gt;"",$T1974=$T1973),$U1973,IF(C1974="x",V1973,"")))</f>
        <v/>
      </c>
      <c r="X1974" cm="1">
        <f t="array" ref="X1974">IF($I1974&lt;&gt;"",$I1974,INDEX($I$1:$I1974,ROW()-COUNTIFS($T$1:$T1974,"="&amp;$T1974,$S$1:$S1974,"&lt;"&amp;$S1974)))</f>
        <v>0</v>
      </c>
      <c r="Z1974" s="6">
        <f t="shared" si="286"/>
        <v>1</v>
      </c>
      <c r="AA1974" t="e">
        <f t="shared" si="287"/>
        <v>#VALUE!</v>
      </c>
      <c r="AB1974" t="str">
        <f t="shared" si="288"/>
        <v/>
      </c>
      <c r="AC1974" t="e">
        <f t="shared" si="289"/>
        <v>#VALUE!</v>
      </c>
    </row>
    <row r="1975" spans="1:29" x14ac:dyDescent="0.2">
      <c r="A1975" t="str">
        <f t="shared" si="290"/>
        <v/>
      </c>
      <c r="E1975" s="4"/>
      <c r="F1975" s="46"/>
      <c r="G1975" s="4"/>
      <c r="H1975" s="48"/>
      <c r="J1975" s="26" t="str">
        <f t="shared" si="291"/>
        <v/>
      </c>
      <c r="N1975" t="str">
        <f t="shared" si="292"/>
        <v/>
      </c>
      <c r="Q1975" t="str">
        <f t="shared" si="293"/>
        <v/>
      </c>
      <c r="S1975" t="str">
        <f>IF(A1975=1,MAX($S$2:$S1974)+1,IF(OR($I1975&lt;&gt;"",A1975="x"),$S1974,""))</f>
        <v/>
      </c>
      <c r="T1975" t="str">
        <f>IF(D1975=1,MAX($T$2:$T1974)+1,IF(S1975=S1974,$T1974,IF(D1975="x",T1974,IF(D1974="x","",""))))</f>
        <v/>
      </c>
      <c r="U1975" t="str">
        <f>IF(B1975=1,MAX($U$2:$U1974)+1,IF(AND($T1975&lt;&gt;"",$T1975=$T1974),$U1974,IF(B1975="x",U1974,"")))</f>
        <v/>
      </c>
      <c r="V1975" t="str">
        <f>IF(C1975=1,MAX($V$2:$V1974)+1,IF(AND($T1975&lt;&gt;"",$T1975=$T1974),$U1974,IF(C1975="x",V1974,"")))</f>
        <v/>
      </c>
      <c r="X1975" cm="1">
        <f t="array" ref="X1975">IF($I1975&lt;&gt;"",$I1975,INDEX($I$1:$I1975,ROW()-COUNTIFS($T$1:$T1975,"="&amp;$T1975,$S$1:$S1975,"&lt;"&amp;$S1975)))</f>
        <v>0</v>
      </c>
      <c r="Z1975" s="6">
        <f t="shared" si="286"/>
        <v>1</v>
      </c>
      <c r="AA1975" t="e">
        <f t="shared" si="287"/>
        <v>#VALUE!</v>
      </c>
      <c r="AB1975" t="str">
        <f t="shared" si="288"/>
        <v/>
      </c>
      <c r="AC1975" t="e">
        <f t="shared" si="289"/>
        <v>#VALUE!</v>
      </c>
    </row>
    <row r="1976" spans="1:29" x14ac:dyDescent="0.2">
      <c r="A1976" t="str">
        <f t="shared" si="290"/>
        <v/>
      </c>
      <c r="E1976" s="4"/>
      <c r="F1976" s="46"/>
      <c r="G1976" s="4"/>
      <c r="H1976" s="48"/>
      <c r="J1976" s="26" t="str">
        <f t="shared" si="291"/>
        <v/>
      </c>
      <c r="N1976" t="str">
        <f t="shared" si="292"/>
        <v/>
      </c>
      <c r="Q1976" t="str">
        <f t="shared" si="293"/>
        <v/>
      </c>
      <c r="S1976" t="str">
        <f>IF(A1976=1,MAX($S$2:$S1975)+1,IF(OR($I1976&lt;&gt;"",A1976="x"),$S1975,""))</f>
        <v/>
      </c>
      <c r="T1976" t="str">
        <f>IF(D1976=1,MAX($T$2:$T1975)+1,IF(S1976=S1975,$T1975,IF(D1976="x",T1975,IF(D1975="x","",""))))</f>
        <v/>
      </c>
      <c r="U1976" t="str">
        <f>IF(B1976=1,MAX($U$2:$U1975)+1,IF(AND($T1976&lt;&gt;"",$T1976=$T1975),$U1975,IF(B1976="x",U1975,"")))</f>
        <v/>
      </c>
      <c r="V1976" t="str">
        <f>IF(C1976=1,MAX($V$2:$V1975)+1,IF(AND($T1976&lt;&gt;"",$T1976=$T1975),$U1975,IF(C1976="x",V1975,"")))</f>
        <v/>
      </c>
      <c r="X1976" cm="1">
        <f t="array" ref="X1976">IF($I1976&lt;&gt;"",$I1976,INDEX($I$1:$I1976,ROW()-COUNTIFS($T$1:$T1976,"="&amp;$T1976,$S$1:$S1976,"&lt;"&amp;$S1976)))</f>
        <v>0</v>
      </c>
      <c r="Z1976" s="6">
        <f t="shared" si="286"/>
        <v>1</v>
      </c>
      <c r="AA1976" t="e">
        <f t="shared" si="287"/>
        <v>#VALUE!</v>
      </c>
      <c r="AB1976" t="str">
        <f t="shared" si="288"/>
        <v/>
      </c>
      <c r="AC1976" t="e">
        <f t="shared" si="289"/>
        <v>#VALUE!</v>
      </c>
    </row>
    <row r="1977" spans="1:29" x14ac:dyDescent="0.2">
      <c r="A1977" t="str">
        <f t="shared" si="290"/>
        <v/>
      </c>
      <c r="E1977" s="4"/>
      <c r="F1977" s="46"/>
      <c r="G1977" s="4"/>
      <c r="H1977" s="48"/>
      <c r="J1977" s="26" t="str">
        <f t="shared" si="291"/>
        <v/>
      </c>
      <c r="N1977" t="str">
        <f t="shared" si="292"/>
        <v/>
      </c>
      <c r="Q1977" t="str">
        <f t="shared" si="293"/>
        <v/>
      </c>
      <c r="S1977" t="str">
        <f>IF(A1977=1,MAX($S$2:$S1976)+1,IF(OR($I1977&lt;&gt;"",A1977="x"),$S1976,""))</f>
        <v/>
      </c>
      <c r="T1977" t="str">
        <f>IF(D1977=1,MAX($T$2:$T1976)+1,IF(S1977=S1976,$T1976,IF(D1977="x",T1976,IF(D1976="x","",""))))</f>
        <v/>
      </c>
      <c r="U1977" t="str">
        <f>IF(B1977=1,MAX($U$2:$U1976)+1,IF(AND($T1977&lt;&gt;"",$T1977=$T1976),$U1976,IF(B1977="x",U1976,"")))</f>
        <v/>
      </c>
      <c r="V1977" t="str">
        <f>IF(C1977=1,MAX($V$2:$V1976)+1,IF(AND($T1977&lt;&gt;"",$T1977=$T1976),$U1976,IF(C1977="x",V1976,"")))</f>
        <v/>
      </c>
      <c r="X1977" cm="1">
        <f t="array" ref="X1977">IF($I1977&lt;&gt;"",$I1977,INDEX($I$1:$I1977,ROW()-COUNTIFS($T$1:$T1977,"="&amp;$T1977,$S$1:$S1977,"&lt;"&amp;$S1977)))</f>
        <v>0</v>
      </c>
      <c r="Z1977" s="6">
        <f t="shared" si="286"/>
        <v>1</v>
      </c>
      <c r="AA1977" t="e">
        <f t="shared" si="287"/>
        <v>#VALUE!</v>
      </c>
      <c r="AB1977" t="str">
        <f t="shared" si="288"/>
        <v/>
      </c>
      <c r="AC1977" t="e">
        <f t="shared" si="289"/>
        <v>#VALUE!</v>
      </c>
    </row>
    <row r="1978" spans="1:29" x14ac:dyDescent="0.2">
      <c r="A1978" t="str">
        <f t="shared" si="290"/>
        <v/>
      </c>
      <c r="E1978" s="4"/>
      <c r="F1978" s="46"/>
      <c r="G1978" s="4"/>
      <c r="H1978" s="48"/>
      <c r="J1978" s="26" t="str">
        <f t="shared" si="291"/>
        <v/>
      </c>
      <c r="N1978" t="str">
        <f t="shared" si="292"/>
        <v/>
      </c>
      <c r="Q1978" t="str">
        <f t="shared" si="293"/>
        <v/>
      </c>
      <c r="S1978" t="str">
        <f>IF(A1978=1,MAX($S$2:$S1977)+1,IF(OR($I1978&lt;&gt;"",A1978="x"),$S1977,""))</f>
        <v/>
      </c>
      <c r="T1978" t="str">
        <f>IF(D1978=1,MAX($T$2:$T1977)+1,IF(S1978=S1977,$T1977,IF(D1978="x",T1977,IF(D1977="x","",""))))</f>
        <v/>
      </c>
      <c r="U1978" t="str">
        <f>IF(B1978=1,MAX($U$2:$U1977)+1,IF(AND($T1978&lt;&gt;"",$T1978=$T1977),$U1977,IF(B1978="x",U1977,"")))</f>
        <v/>
      </c>
      <c r="V1978" t="str">
        <f>IF(C1978=1,MAX($V$2:$V1977)+1,IF(AND($T1978&lt;&gt;"",$T1978=$T1977),$U1977,IF(C1978="x",V1977,"")))</f>
        <v/>
      </c>
      <c r="X1978" cm="1">
        <f t="array" ref="X1978">IF($I1978&lt;&gt;"",$I1978,INDEX($I$1:$I1978,ROW()-COUNTIFS($T$1:$T1978,"="&amp;$T1978,$S$1:$S1978,"&lt;"&amp;$S1978)))</f>
        <v>0</v>
      </c>
      <c r="Z1978" s="6">
        <f t="shared" si="286"/>
        <v>1</v>
      </c>
      <c r="AA1978" t="e">
        <f t="shared" si="287"/>
        <v>#VALUE!</v>
      </c>
      <c r="AB1978" t="str">
        <f t="shared" si="288"/>
        <v/>
      </c>
      <c r="AC1978" t="e">
        <f t="shared" si="289"/>
        <v>#VALUE!</v>
      </c>
    </row>
    <row r="1979" spans="1:29" x14ac:dyDescent="0.2">
      <c r="A1979" t="str">
        <f t="shared" si="290"/>
        <v/>
      </c>
      <c r="E1979" s="4"/>
      <c r="F1979" s="46"/>
      <c r="G1979" s="4"/>
      <c r="H1979" s="48"/>
      <c r="J1979" s="26" t="str">
        <f t="shared" si="291"/>
        <v/>
      </c>
      <c r="N1979" t="str">
        <f t="shared" si="292"/>
        <v/>
      </c>
      <c r="Q1979" t="str">
        <f t="shared" si="293"/>
        <v/>
      </c>
      <c r="S1979" t="str">
        <f>IF(A1979=1,MAX($S$2:$S1978)+1,IF(OR($I1979&lt;&gt;"",A1979="x"),$S1978,""))</f>
        <v/>
      </c>
      <c r="T1979" t="str">
        <f>IF(D1979=1,MAX($T$2:$T1978)+1,IF(S1979=S1978,$T1978,IF(D1979="x",T1978,IF(D1978="x","",""))))</f>
        <v/>
      </c>
      <c r="U1979" t="str">
        <f>IF(B1979=1,MAX($U$2:$U1978)+1,IF(AND($T1979&lt;&gt;"",$T1979=$T1978),$U1978,IF(B1979="x",U1978,"")))</f>
        <v/>
      </c>
      <c r="V1979" t="str">
        <f>IF(C1979=1,MAX($V$2:$V1978)+1,IF(AND($T1979&lt;&gt;"",$T1979=$T1978),$U1978,IF(C1979="x",V1978,"")))</f>
        <v/>
      </c>
      <c r="X1979" cm="1">
        <f t="array" ref="X1979">IF($I1979&lt;&gt;"",$I1979,INDEX($I$1:$I1979,ROW()-COUNTIFS($T$1:$T1979,"="&amp;$T1979,$S$1:$S1979,"&lt;"&amp;$S1979)))</f>
        <v>0</v>
      </c>
      <c r="Z1979" s="6">
        <f t="shared" si="286"/>
        <v>1</v>
      </c>
      <c r="AA1979" t="e">
        <f t="shared" si="287"/>
        <v>#VALUE!</v>
      </c>
      <c r="AB1979" t="str">
        <f t="shared" si="288"/>
        <v/>
      </c>
      <c r="AC1979" t="e">
        <f t="shared" si="289"/>
        <v>#VALUE!</v>
      </c>
    </row>
    <row r="1980" spans="1:29" x14ac:dyDescent="0.2">
      <c r="A1980" t="str">
        <f t="shared" si="290"/>
        <v/>
      </c>
      <c r="E1980" s="4"/>
      <c r="F1980" s="46"/>
      <c r="G1980" s="4"/>
      <c r="H1980" s="48"/>
      <c r="J1980" s="26" t="str">
        <f t="shared" si="291"/>
        <v/>
      </c>
      <c r="N1980" t="str">
        <f t="shared" si="292"/>
        <v/>
      </c>
      <c r="Q1980" t="str">
        <f t="shared" si="293"/>
        <v/>
      </c>
      <c r="S1980" t="str">
        <f>IF(A1980=1,MAX($S$2:$S1979)+1,IF(OR($I1980&lt;&gt;"",A1980="x"),$S1979,""))</f>
        <v/>
      </c>
      <c r="T1980" t="str">
        <f>IF(D1980=1,MAX($T$2:$T1979)+1,IF(S1980=S1979,$T1979,IF(D1980="x",T1979,IF(D1979="x","",""))))</f>
        <v/>
      </c>
      <c r="U1980" t="str">
        <f>IF(B1980=1,MAX($U$2:$U1979)+1,IF(AND($T1980&lt;&gt;"",$T1980=$T1979),$U1979,IF(B1980="x",U1979,"")))</f>
        <v/>
      </c>
      <c r="V1980" t="str">
        <f>IF(C1980=1,MAX($V$2:$V1979)+1,IF(AND($T1980&lt;&gt;"",$T1980=$T1979),$U1979,IF(C1980="x",V1979,"")))</f>
        <v/>
      </c>
      <c r="X1980" cm="1">
        <f t="array" ref="X1980">IF($I1980&lt;&gt;"",$I1980,INDEX($I$1:$I1980,ROW()-COUNTIFS($T$1:$T1980,"="&amp;$T1980,$S$1:$S1980,"&lt;"&amp;$S1980)))</f>
        <v>0</v>
      </c>
      <c r="Z1980" s="6">
        <f t="shared" si="286"/>
        <v>1</v>
      </c>
      <c r="AA1980" t="e">
        <f t="shared" si="287"/>
        <v>#VALUE!</v>
      </c>
      <c r="AB1980" t="str">
        <f t="shared" si="288"/>
        <v/>
      </c>
      <c r="AC1980" t="e">
        <f t="shared" si="289"/>
        <v>#VALUE!</v>
      </c>
    </row>
    <row r="1981" spans="1:29" x14ac:dyDescent="0.2">
      <c r="A1981" t="str">
        <f t="shared" si="290"/>
        <v/>
      </c>
      <c r="E1981" s="4"/>
      <c r="F1981" s="46"/>
      <c r="G1981" s="4"/>
      <c r="H1981" s="48"/>
      <c r="J1981" s="26" t="str">
        <f t="shared" si="291"/>
        <v/>
      </c>
      <c r="N1981" t="str">
        <f t="shared" si="292"/>
        <v/>
      </c>
      <c r="Q1981" t="str">
        <f t="shared" si="293"/>
        <v/>
      </c>
      <c r="S1981" t="str">
        <f>IF(A1981=1,MAX($S$2:$S1980)+1,IF(OR($I1981&lt;&gt;"",A1981="x"),$S1980,""))</f>
        <v/>
      </c>
      <c r="T1981" t="str">
        <f>IF(D1981=1,MAX($T$2:$T1980)+1,IF(S1981=S1980,$T1980,IF(D1981="x",T1980,IF(D1980="x","",""))))</f>
        <v/>
      </c>
      <c r="U1981" t="str">
        <f>IF(B1981=1,MAX($U$2:$U1980)+1,IF(AND($T1981&lt;&gt;"",$T1981=$T1980),$U1980,IF(B1981="x",U1980,"")))</f>
        <v/>
      </c>
      <c r="V1981" t="str">
        <f>IF(C1981=1,MAX($V$2:$V1980)+1,IF(AND($T1981&lt;&gt;"",$T1981=$T1980),$U1980,IF(C1981="x",V1980,"")))</f>
        <v/>
      </c>
      <c r="X1981" cm="1">
        <f t="array" ref="X1981">IF($I1981&lt;&gt;"",$I1981,INDEX($I$1:$I1981,ROW()-COUNTIFS($T$1:$T1981,"="&amp;$T1981,$S$1:$S1981,"&lt;"&amp;$S1981)))</f>
        <v>0</v>
      </c>
      <c r="Z1981" s="6">
        <f t="shared" si="286"/>
        <v>1</v>
      </c>
      <c r="AA1981" t="e">
        <f t="shared" si="287"/>
        <v>#VALUE!</v>
      </c>
      <c r="AB1981" t="str">
        <f t="shared" si="288"/>
        <v/>
      </c>
      <c r="AC1981" t="e">
        <f t="shared" si="289"/>
        <v>#VALUE!</v>
      </c>
    </row>
    <row r="1982" spans="1:29" x14ac:dyDescent="0.2">
      <c r="A1982" t="str">
        <f t="shared" si="290"/>
        <v/>
      </c>
      <c r="E1982" s="4"/>
      <c r="F1982" s="46"/>
      <c r="G1982" s="4"/>
      <c r="H1982" s="48"/>
      <c r="J1982" s="26" t="str">
        <f t="shared" si="291"/>
        <v/>
      </c>
      <c r="N1982" t="str">
        <f t="shared" si="292"/>
        <v/>
      </c>
      <c r="Q1982" t="str">
        <f t="shared" si="293"/>
        <v/>
      </c>
      <c r="S1982" t="str">
        <f>IF(A1982=1,MAX($S$2:$S1981)+1,IF(OR($I1982&lt;&gt;"",A1982="x"),$S1981,""))</f>
        <v/>
      </c>
      <c r="T1982" t="str">
        <f>IF(D1982=1,MAX($T$2:$T1981)+1,IF(S1982=S1981,$T1981,IF(D1982="x",T1981,IF(D1981="x","",""))))</f>
        <v/>
      </c>
      <c r="U1982" t="str">
        <f>IF(B1982=1,MAX($U$2:$U1981)+1,IF(AND($T1982&lt;&gt;"",$T1982=$T1981),$U1981,IF(B1982="x",U1981,"")))</f>
        <v/>
      </c>
      <c r="V1982" t="str">
        <f>IF(C1982=1,MAX($V$2:$V1981)+1,IF(AND($T1982&lt;&gt;"",$T1982=$T1981),$U1981,IF(C1982="x",V1981,"")))</f>
        <v/>
      </c>
      <c r="X1982" cm="1">
        <f t="array" ref="X1982">IF($I1982&lt;&gt;"",$I1982,INDEX($I$1:$I1982,ROW()-COUNTIFS($T$1:$T1982,"="&amp;$T1982,$S$1:$S1982,"&lt;"&amp;$S1982)))</f>
        <v>0</v>
      </c>
      <c r="Z1982" s="6">
        <f t="shared" si="286"/>
        <v>1</v>
      </c>
      <c r="AA1982" t="e">
        <f t="shared" si="287"/>
        <v>#VALUE!</v>
      </c>
      <c r="AB1982" t="str">
        <f t="shared" si="288"/>
        <v/>
      </c>
      <c r="AC1982" t="e">
        <f t="shared" si="289"/>
        <v>#VALUE!</v>
      </c>
    </row>
    <row r="1983" spans="1:29" x14ac:dyDescent="0.2">
      <c r="A1983" t="str">
        <f t="shared" si="290"/>
        <v/>
      </c>
      <c r="E1983" s="4"/>
      <c r="F1983" s="46"/>
      <c r="G1983" s="4"/>
      <c r="H1983" s="48"/>
      <c r="J1983" s="26" t="str">
        <f t="shared" si="291"/>
        <v/>
      </c>
      <c r="N1983" t="str">
        <f t="shared" si="292"/>
        <v/>
      </c>
      <c r="Q1983" t="str">
        <f t="shared" si="293"/>
        <v/>
      </c>
      <c r="S1983" t="str">
        <f>IF(A1983=1,MAX($S$2:$S1982)+1,IF(OR($I1983&lt;&gt;"",A1983="x"),$S1982,""))</f>
        <v/>
      </c>
      <c r="T1983" t="str">
        <f>IF(D1983=1,MAX($T$2:$T1982)+1,IF(S1983=S1982,$T1982,IF(D1983="x",T1982,IF(D1982="x","",""))))</f>
        <v/>
      </c>
      <c r="U1983" t="str">
        <f>IF(B1983=1,MAX($U$2:$U1982)+1,IF(AND($T1983&lt;&gt;"",$T1983=$T1982),$U1982,IF(B1983="x",U1982,"")))</f>
        <v/>
      </c>
      <c r="V1983" t="str">
        <f>IF(C1983=1,MAX($V$2:$V1982)+1,IF(AND($T1983&lt;&gt;"",$T1983=$T1982),$U1982,IF(C1983="x",V1982,"")))</f>
        <v/>
      </c>
      <c r="X1983" cm="1">
        <f t="array" ref="X1983">IF($I1983&lt;&gt;"",$I1983,INDEX($I$1:$I1983,ROW()-COUNTIFS($T$1:$T1983,"="&amp;$T1983,$S$1:$S1983,"&lt;"&amp;$S1983)))</f>
        <v>0</v>
      </c>
      <c r="Z1983" s="6">
        <f t="shared" si="286"/>
        <v>1</v>
      </c>
      <c r="AA1983" t="e">
        <f t="shared" si="287"/>
        <v>#VALUE!</v>
      </c>
      <c r="AB1983" t="str">
        <f t="shared" si="288"/>
        <v/>
      </c>
      <c r="AC1983" t="e">
        <f t="shared" si="289"/>
        <v>#VALUE!</v>
      </c>
    </row>
    <row r="1984" spans="1:29" x14ac:dyDescent="0.2">
      <c r="A1984" t="str">
        <f t="shared" si="290"/>
        <v/>
      </c>
      <c r="E1984" s="4"/>
      <c r="F1984" s="46"/>
      <c r="G1984" s="4"/>
      <c r="H1984" s="48"/>
      <c r="J1984" s="26" t="str">
        <f t="shared" si="291"/>
        <v/>
      </c>
      <c r="N1984" t="str">
        <f t="shared" si="292"/>
        <v/>
      </c>
      <c r="Q1984" t="str">
        <f t="shared" si="293"/>
        <v/>
      </c>
      <c r="S1984" t="str">
        <f>IF(A1984=1,MAX($S$2:$S1983)+1,IF(OR($I1984&lt;&gt;"",A1984="x"),$S1983,""))</f>
        <v/>
      </c>
      <c r="T1984" t="str">
        <f>IF(D1984=1,MAX($T$2:$T1983)+1,IF(S1984=S1983,$T1983,IF(D1984="x",T1983,IF(D1983="x","",""))))</f>
        <v/>
      </c>
      <c r="U1984" t="str">
        <f>IF(B1984=1,MAX($U$2:$U1983)+1,IF(AND($T1984&lt;&gt;"",$T1984=$T1983),$U1983,IF(B1984="x",U1983,"")))</f>
        <v/>
      </c>
      <c r="V1984" t="str">
        <f>IF(C1984=1,MAX($V$2:$V1983)+1,IF(AND($T1984&lt;&gt;"",$T1984=$T1983),$U1983,IF(C1984="x",V1983,"")))</f>
        <v/>
      </c>
      <c r="X1984" cm="1">
        <f t="array" ref="X1984">IF($I1984&lt;&gt;"",$I1984,INDEX($I$1:$I1984,ROW()-COUNTIFS($T$1:$T1984,"="&amp;$T1984,$S$1:$S1984,"&lt;"&amp;$S1984)))</f>
        <v>0</v>
      </c>
      <c r="Z1984" s="6">
        <f t="shared" si="286"/>
        <v>1</v>
      </c>
      <c r="AA1984" t="e">
        <f t="shared" si="287"/>
        <v>#VALUE!</v>
      </c>
      <c r="AB1984" t="str">
        <f t="shared" si="288"/>
        <v/>
      </c>
      <c r="AC1984" t="e">
        <f t="shared" si="289"/>
        <v>#VALUE!</v>
      </c>
    </row>
    <row r="1985" spans="1:29" x14ac:dyDescent="0.2">
      <c r="A1985" t="str">
        <f t="shared" si="290"/>
        <v/>
      </c>
      <c r="E1985" s="4"/>
      <c r="F1985" s="46"/>
      <c r="G1985" s="4"/>
      <c r="H1985" s="48"/>
      <c r="J1985" s="26" t="str">
        <f t="shared" si="291"/>
        <v/>
      </c>
      <c r="N1985" t="str">
        <f t="shared" si="292"/>
        <v/>
      </c>
      <c r="Q1985" t="str">
        <f t="shared" si="293"/>
        <v/>
      </c>
      <c r="S1985" t="str">
        <f>IF(A1985=1,MAX($S$2:$S1984)+1,IF(OR($I1985&lt;&gt;"",A1985="x"),$S1984,""))</f>
        <v/>
      </c>
      <c r="T1985" t="str">
        <f>IF(D1985=1,MAX($T$2:$T1984)+1,IF(S1985=S1984,$T1984,IF(D1985="x",T1984,IF(D1984="x","",""))))</f>
        <v/>
      </c>
      <c r="U1985" t="str">
        <f>IF(B1985=1,MAX($U$2:$U1984)+1,IF(AND($T1985&lt;&gt;"",$T1985=$T1984),$U1984,IF(B1985="x",U1984,"")))</f>
        <v/>
      </c>
      <c r="V1985" t="str">
        <f>IF(C1985=1,MAX($V$2:$V1984)+1,IF(AND($T1985&lt;&gt;"",$T1985=$T1984),$U1984,IF(C1985="x",V1984,"")))</f>
        <v/>
      </c>
      <c r="X1985" cm="1">
        <f t="array" ref="X1985">IF($I1985&lt;&gt;"",$I1985,INDEX($I$1:$I1985,ROW()-COUNTIFS($T$1:$T1985,"="&amp;$T1985,$S$1:$S1985,"&lt;"&amp;$S1985)))</f>
        <v>0</v>
      </c>
      <c r="Z1985" s="6">
        <f t="shared" si="286"/>
        <v>1</v>
      </c>
      <c r="AA1985" t="e">
        <f t="shared" si="287"/>
        <v>#VALUE!</v>
      </c>
      <c r="AB1985" t="str">
        <f t="shared" si="288"/>
        <v/>
      </c>
      <c r="AC1985" t="e">
        <f t="shared" si="289"/>
        <v>#VALUE!</v>
      </c>
    </row>
    <row r="1986" spans="1:29" x14ac:dyDescent="0.2">
      <c r="A1986" t="str">
        <f t="shared" si="290"/>
        <v/>
      </c>
      <c r="E1986" s="4"/>
      <c r="F1986" s="46"/>
      <c r="G1986" s="4"/>
      <c r="H1986" s="48"/>
      <c r="J1986" s="26" t="str">
        <f t="shared" si="291"/>
        <v/>
      </c>
      <c r="N1986" t="str">
        <f t="shared" si="292"/>
        <v/>
      </c>
      <c r="Q1986" t="str">
        <f t="shared" si="293"/>
        <v/>
      </c>
      <c r="S1986" t="str">
        <f>IF(A1986=1,MAX($S$2:$S1985)+1,IF(OR($I1986&lt;&gt;"",A1986="x"),$S1985,""))</f>
        <v/>
      </c>
      <c r="T1986" t="str">
        <f>IF(D1986=1,MAX($T$2:$T1985)+1,IF(S1986=S1985,$T1985,IF(D1986="x",T1985,IF(D1985="x","",""))))</f>
        <v/>
      </c>
      <c r="U1986" t="str">
        <f>IF(B1986=1,MAX($U$2:$U1985)+1,IF(AND($T1986&lt;&gt;"",$T1986=$T1985),$U1985,IF(B1986="x",U1985,"")))</f>
        <v/>
      </c>
      <c r="V1986" t="str">
        <f>IF(C1986=1,MAX($V$2:$V1985)+1,IF(AND($T1986&lt;&gt;"",$T1986=$T1985),$U1985,IF(C1986="x",V1985,"")))</f>
        <v/>
      </c>
      <c r="X1986" cm="1">
        <f t="array" ref="X1986">IF($I1986&lt;&gt;"",$I1986,INDEX($I$1:$I1986,ROW()-COUNTIFS($T$1:$T1986,"="&amp;$T1986,$S$1:$S1986,"&lt;"&amp;$S1986)))</f>
        <v>0</v>
      </c>
      <c r="Z1986" s="6">
        <f t="shared" si="286"/>
        <v>1</v>
      </c>
      <c r="AA1986" t="e">
        <f t="shared" si="287"/>
        <v>#VALUE!</v>
      </c>
      <c r="AB1986" t="str">
        <f t="shared" si="288"/>
        <v/>
      </c>
      <c r="AC1986" t="e">
        <f t="shared" si="289"/>
        <v>#VALUE!</v>
      </c>
    </row>
    <row r="1987" spans="1:29" x14ac:dyDescent="0.2">
      <c r="A1987" t="str">
        <f t="shared" si="290"/>
        <v/>
      </c>
      <c r="E1987" s="4"/>
      <c r="F1987" s="46"/>
      <c r="G1987" s="4"/>
      <c r="H1987" s="48"/>
      <c r="J1987" s="26" t="str">
        <f t="shared" si="291"/>
        <v/>
      </c>
      <c r="N1987" t="str">
        <f t="shared" si="292"/>
        <v/>
      </c>
      <c r="Q1987" t="str">
        <f t="shared" si="293"/>
        <v/>
      </c>
      <c r="S1987" t="str">
        <f>IF(A1987=1,MAX($S$2:$S1986)+1,IF(OR($I1987&lt;&gt;"",A1987="x"),$S1986,""))</f>
        <v/>
      </c>
      <c r="T1987" t="str">
        <f>IF(D1987=1,MAX($T$2:$T1986)+1,IF(S1987=S1986,$T1986,IF(D1987="x",T1986,IF(D1986="x","",""))))</f>
        <v/>
      </c>
      <c r="U1987" t="str">
        <f>IF(B1987=1,MAX($U$2:$U1986)+1,IF(AND($T1987&lt;&gt;"",$T1987=$T1986),$U1986,IF(B1987="x",U1986,"")))</f>
        <v/>
      </c>
      <c r="V1987" t="str">
        <f>IF(C1987=1,MAX($V$2:$V1986)+1,IF(AND($T1987&lt;&gt;"",$T1987=$T1986),$U1986,IF(C1987="x",V1986,"")))</f>
        <v/>
      </c>
      <c r="X1987" cm="1">
        <f t="array" ref="X1987">IF($I1987&lt;&gt;"",$I1987,INDEX($I$1:$I1987,ROW()-COUNTIFS($T$1:$T1987,"="&amp;$T1987,$S$1:$S1987,"&lt;"&amp;$S1987)))</f>
        <v>0</v>
      </c>
      <c r="Z1987" s="6">
        <f t="shared" si="286"/>
        <v>1</v>
      </c>
      <c r="AA1987" t="e">
        <f t="shared" si="287"/>
        <v>#VALUE!</v>
      </c>
      <c r="AB1987" t="str">
        <f t="shared" si="288"/>
        <v/>
      </c>
      <c r="AC1987" t="e">
        <f t="shared" si="289"/>
        <v>#VALUE!</v>
      </c>
    </row>
    <row r="1988" spans="1:29" x14ac:dyDescent="0.2">
      <c r="A1988" t="str">
        <f t="shared" si="290"/>
        <v/>
      </c>
      <c r="E1988" s="4"/>
      <c r="F1988" s="46"/>
      <c r="G1988" s="4"/>
      <c r="H1988" s="48"/>
      <c r="J1988" s="26" t="str">
        <f t="shared" si="291"/>
        <v/>
      </c>
      <c r="N1988" t="str">
        <f t="shared" si="292"/>
        <v/>
      </c>
      <c r="Q1988" t="str">
        <f t="shared" si="293"/>
        <v/>
      </c>
      <c r="S1988" t="str">
        <f>IF(A1988=1,MAX($S$2:$S1987)+1,IF(OR($I1988&lt;&gt;"",A1988="x"),$S1987,""))</f>
        <v/>
      </c>
      <c r="T1988" t="str">
        <f>IF(D1988=1,MAX($T$2:$T1987)+1,IF(S1988=S1987,$T1987,IF(D1988="x",T1987,IF(D1987="x","",""))))</f>
        <v/>
      </c>
      <c r="U1988" t="str">
        <f>IF(B1988=1,MAX($U$2:$U1987)+1,IF(AND($T1988&lt;&gt;"",$T1988=$T1987),$U1987,IF(B1988="x",U1987,"")))</f>
        <v/>
      </c>
      <c r="V1988" t="str">
        <f>IF(C1988=1,MAX($V$2:$V1987)+1,IF(AND($T1988&lt;&gt;"",$T1988=$T1987),$U1987,IF(C1988="x",V1987,"")))</f>
        <v/>
      </c>
      <c r="X1988" cm="1">
        <f t="array" ref="X1988">IF($I1988&lt;&gt;"",$I1988,INDEX($I$1:$I1988,ROW()-COUNTIFS($T$1:$T1988,"="&amp;$T1988,$S$1:$S1988,"&lt;"&amp;$S1988)))</f>
        <v>0</v>
      </c>
      <c r="Z1988" s="6">
        <f t="shared" si="286"/>
        <v>1</v>
      </c>
      <c r="AA1988" t="e">
        <f t="shared" si="287"/>
        <v>#VALUE!</v>
      </c>
      <c r="AB1988" t="str">
        <f t="shared" si="288"/>
        <v/>
      </c>
      <c r="AC1988" t="e">
        <f t="shared" si="289"/>
        <v>#VALUE!</v>
      </c>
    </row>
    <row r="1989" spans="1:29" x14ac:dyDescent="0.2">
      <c r="A1989" t="str">
        <f t="shared" si="290"/>
        <v/>
      </c>
      <c r="E1989" s="4"/>
      <c r="F1989" s="46"/>
      <c r="G1989" s="4"/>
      <c r="H1989" s="48"/>
      <c r="J1989" s="26" t="str">
        <f t="shared" si="291"/>
        <v/>
      </c>
      <c r="N1989" t="str">
        <f t="shared" si="292"/>
        <v/>
      </c>
      <c r="Q1989" t="str">
        <f t="shared" si="293"/>
        <v/>
      </c>
      <c r="S1989" t="str">
        <f>IF(A1989=1,MAX($S$2:$S1988)+1,IF(OR($I1989&lt;&gt;"",A1989="x"),$S1988,""))</f>
        <v/>
      </c>
      <c r="T1989" t="str">
        <f>IF(D1989=1,MAX($T$2:$T1988)+1,IF(S1989=S1988,$T1988,IF(D1989="x",T1988,IF(D1988="x","",""))))</f>
        <v/>
      </c>
      <c r="U1989" t="str">
        <f>IF(B1989=1,MAX($U$2:$U1988)+1,IF(AND($T1989&lt;&gt;"",$T1989=$T1988),$U1988,IF(B1989="x",U1988,"")))</f>
        <v/>
      </c>
      <c r="V1989" t="str">
        <f>IF(C1989=1,MAX($V$2:$V1988)+1,IF(AND($T1989&lt;&gt;"",$T1989=$T1988),$U1988,IF(C1989="x",V1988,"")))</f>
        <v/>
      </c>
      <c r="X1989" cm="1">
        <f t="array" ref="X1989">IF($I1989&lt;&gt;"",$I1989,INDEX($I$1:$I1989,ROW()-COUNTIFS($T$1:$T1989,"="&amp;$T1989,$S$1:$S1989,"&lt;"&amp;$S1989)))</f>
        <v>0</v>
      </c>
      <c r="Z1989" s="6">
        <f t="shared" ref="Z1989:Z2052" si="294">IF(K1989="Intermission",Z1988+1,Z1988)</f>
        <v>1</v>
      </c>
      <c r="AA1989" t="e">
        <f t="shared" ref="AA1989:AA2052" si="295">S1989+1000</f>
        <v>#VALUE!</v>
      </c>
      <c r="AB1989" t="str">
        <f t="shared" ref="AB1989:AB2052" si="296">IF(T1989&lt;&gt;"",9000+T1989,"")</f>
        <v/>
      </c>
      <c r="AC1989" t="e">
        <f t="shared" ref="AC1989:AC2052" si="297">IF(AB1989&lt;&gt;"",AB1989,S1989+1000)</f>
        <v>#VALUE!</v>
      </c>
    </row>
    <row r="1990" spans="1:29" x14ac:dyDescent="0.2">
      <c r="A1990" t="str">
        <f t="shared" si="290"/>
        <v/>
      </c>
      <c r="E1990" s="4"/>
      <c r="F1990" s="46"/>
      <c r="G1990" s="4"/>
      <c r="H1990" s="48"/>
      <c r="J1990" s="26" t="str">
        <f t="shared" si="291"/>
        <v/>
      </c>
      <c r="N1990" t="str">
        <f t="shared" si="292"/>
        <v/>
      </c>
      <c r="Q1990" t="str">
        <f t="shared" si="293"/>
        <v/>
      </c>
      <c r="S1990" t="str">
        <f>IF(A1990=1,MAX($S$2:$S1989)+1,IF(OR($I1990&lt;&gt;"",A1990="x"),$S1989,""))</f>
        <v/>
      </c>
      <c r="T1990" t="str">
        <f>IF(D1990=1,MAX($T$2:$T1989)+1,IF(S1990=S1989,$T1989,IF(D1990="x",T1989,IF(D1989="x","",""))))</f>
        <v/>
      </c>
      <c r="U1990" t="str">
        <f>IF(B1990=1,MAX($U$2:$U1989)+1,IF(AND($T1990&lt;&gt;"",$T1990=$T1989),$U1989,IF(B1990="x",U1989,"")))</f>
        <v/>
      </c>
      <c r="V1990" t="str">
        <f>IF(C1990=1,MAX($V$2:$V1989)+1,IF(AND($T1990&lt;&gt;"",$T1990=$T1989),$U1989,IF(C1990="x",V1989,"")))</f>
        <v/>
      </c>
      <c r="X1990" cm="1">
        <f t="array" ref="X1990">IF($I1990&lt;&gt;"",$I1990,INDEX($I$1:$I1990,ROW()-COUNTIFS($T$1:$T1990,"="&amp;$T1990,$S$1:$S1990,"&lt;"&amp;$S1990)))</f>
        <v>0</v>
      </c>
      <c r="Z1990" s="6">
        <f t="shared" si="294"/>
        <v>1</v>
      </c>
      <c r="AA1990" t="e">
        <f t="shared" si="295"/>
        <v>#VALUE!</v>
      </c>
      <c r="AB1990" t="str">
        <f t="shared" si="296"/>
        <v/>
      </c>
      <c r="AC1990" t="e">
        <f t="shared" si="297"/>
        <v>#VALUE!</v>
      </c>
    </row>
    <row r="1991" spans="1:29" x14ac:dyDescent="0.2">
      <c r="A1991" t="str">
        <f t="shared" si="290"/>
        <v/>
      </c>
      <c r="E1991" s="4"/>
      <c r="F1991" s="46"/>
      <c r="G1991" s="4"/>
      <c r="H1991" s="48"/>
      <c r="J1991" s="26" t="str">
        <f t="shared" si="291"/>
        <v/>
      </c>
      <c r="N1991" t="str">
        <f t="shared" si="292"/>
        <v/>
      </c>
      <c r="Q1991" t="str">
        <f t="shared" si="293"/>
        <v/>
      </c>
      <c r="S1991" t="str">
        <f>IF(A1991=1,MAX($S$2:$S1990)+1,IF(OR($I1991&lt;&gt;"",A1991="x"),$S1990,""))</f>
        <v/>
      </c>
      <c r="T1991" t="str">
        <f>IF(D1991=1,MAX($T$2:$T1990)+1,IF(S1991=S1990,$T1990,IF(D1991="x",T1990,IF(D1990="x","",""))))</f>
        <v/>
      </c>
      <c r="U1991" t="str">
        <f>IF(B1991=1,MAX($U$2:$U1990)+1,IF(AND($T1991&lt;&gt;"",$T1991=$T1990),$U1990,IF(B1991="x",U1990,"")))</f>
        <v/>
      </c>
      <c r="V1991" t="str">
        <f>IF(C1991=1,MAX($V$2:$V1990)+1,IF(AND($T1991&lt;&gt;"",$T1991=$T1990),$U1990,IF(C1991="x",V1990,"")))</f>
        <v/>
      </c>
      <c r="X1991" cm="1">
        <f t="array" ref="X1991">IF($I1991&lt;&gt;"",$I1991,INDEX($I$1:$I1991,ROW()-COUNTIFS($T$1:$T1991,"="&amp;$T1991,$S$1:$S1991,"&lt;"&amp;$S1991)))</f>
        <v>0</v>
      </c>
      <c r="Z1991" s="6">
        <f t="shared" si="294"/>
        <v>1</v>
      </c>
      <c r="AA1991" t="e">
        <f t="shared" si="295"/>
        <v>#VALUE!</v>
      </c>
      <c r="AB1991" t="str">
        <f t="shared" si="296"/>
        <v/>
      </c>
      <c r="AC1991" t="e">
        <f t="shared" si="297"/>
        <v>#VALUE!</v>
      </c>
    </row>
    <row r="1992" spans="1:29" x14ac:dyDescent="0.2">
      <c r="A1992" t="str">
        <f t="shared" si="290"/>
        <v/>
      </c>
      <c r="E1992" s="4"/>
      <c r="F1992" s="46"/>
      <c r="G1992" s="4"/>
      <c r="H1992" s="48"/>
      <c r="J1992" s="26" t="str">
        <f t="shared" si="291"/>
        <v/>
      </c>
      <c r="N1992" t="str">
        <f t="shared" si="292"/>
        <v/>
      </c>
      <c r="Q1992" t="str">
        <f t="shared" si="293"/>
        <v/>
      </c>
      <c r="S1992" t="str">
        <f>IF(A1992=1,MAX($S$2:$S1991)+1,IF(OR($I1992&lt;&gt;"",A1992="x"),$S1991,""))</f>
        <v/>
      </c>
      <c r="T1992" t="str">
        <f>IF(D1992=1,MAX($T$2:$T1991)+1,IF(S1992=S1991,$T1991,IF(D1992="x",T1991,IF(D1991="x","",""))))</f>
        <v/>
      </c>
      <c r="U1992" t="str">
        <f>IF(B1992=1,MAX($U$2:$U1991)+1,IF(AND($T1992&lt;&gt;"",$T1992=$T1991),$U1991,IF(B1992="x",U1991,"")))</f>
        <v/>
      </c>
      <c r="V1992" t="str">
        <f>IF(C1992=1,MAX($V$2:$V1991)+1,IF(AND($T1992&lt;&gt;"",$T1992=$T1991),$U1991,IF(C1992="x",V1991,"")))</f>
        <v/>
      </c>
      <c r="X1992" cm="1">
        <f t="array" ref="X1992">IF($I1992&lt;&gt;"",$I1992,INDEX($I$1:$I1992,ROW()-COUNTIFS($T$1:$T1992,"="&amp;$T1992,$S$1:$S1992,"&lt;"&amp;$S1992)))</f>
        <v>0</v>
      </c>
      <c r="Z1992" s="6">
        <f t="shared" si="294"/>
        <v>1</v>
      </c>
      <c r="AA1992" t="e">
        <f t="shared" si="295"/>
        <v>#VALUE!</v>
      </c>
      <c r="AB1992" t="str">
        <f t="shared" si="296"/>
        <v/>
      </c>
      <c r="AC1992" t="e">
        <f t="shared" si="297"/>
        <v>#VALUE!</v>
      </c>
    </row>
    <row r="1993" spans="1:29" x14ac:dyDescent="0.2">
      <c r="A1993" t="str">
        <f t="shared" si="290"/>
        <v/>
      </c>
      <c r="E1993" s="4"/>
      <c r="F1993" s="46"/>
      <c r="G1993" s="4"/>
      <c r="H1993" s="48"/>
      <c r="J1993" s="26" t="str">
        <f t="shared" si="291"/>
        <v/>
      </c>
      <c r="N1993" t="str">
        <f t="shared" si="292"/>
        <v/>
      </c>
      <c r="Q1993" t="str">
        <f t="shared" si="293"/>
        <v/>
      </c>
      <c r="S1993" t="str">
        <f>IF(A1993=1,MAX($S$2:$S1992)+1,IF(OR($I1993&lt;&gt;"",A1993="x"),$S1992,""))</f>
        <v/>
      </c>
      <c r="T1993" t="str">
        <f>IF(D1993=1,MAX($T$2:$T1992)+1,IF(S1993=S1992,$T1992,IF(D1993="x",T1992,IF(D1992="x","",""))))</f>
        <v/>
      </c>
      <c r="U1993" t="str">
        <f>IF(B1993=1,MAX($U$2:$U1992)+1,IF(AND($T1993&lt;&gt;"",$T1993=$T1992),$U1992,IF(B1993="x",U1992,"")))</f>
        <v/>
      </c>
      <c r="V1993" t="str">
        <f>IF(C1993=1,MAX($V$2:$V1992)+1,IF(AND($T1993&lt;&gt;"",$T1993=$T1992),$U1992,IF(C1993="x",V1992,"")))</f>
        <v/>
      </c>
      <c r="X1993" cm="1">
        <f t="array" ref="X1993">IF($I1993&lt;&gt;"",$I1993,INDEX($I$1:$I1993,ROW()-COUNTIFS($T$1:$T1993,"="&amp;$T1993,$S$1:$S1993,"&lt;"&amp;$S1993)))</f>
        <v>0</v>
      </c>
      <c r="Z1993" s="6">
        <f t="shared" si="294"/>
        <v>1</v>
      </c>
      <c r="AA1993" t="e">
        <f t="shared" si="295"/>
        <v>#VALUE!</v>
      </c>
      <c r="AB1993" t="str">
        <f t="shared" si="296"/>
        <v/>
      </c>
      <c r="AC1993" t="e">
        <f t="shared" si="297"/>
        <v>#VALUE!</v>
      </c>
    </row>
    <row r="1994" spans="1:29" x14ac:dyDescent="0.2">
      <c r="A1994" t="str">
        <f t="shared" si="290"/>
        <v/>
      </c>
      <c r="E1994" s="4"/>
      <c r="F1994" s="46"/>
      <c r="G1994" s="4"/>
      <c r="H1994" s="48"/>
      <c r="J1994" s="26" t="str">
        <f t="shared" si="291"/>
        <v/>
      </c>
      <c r="N1994" t="str">
        <f t="shared" si="292"/>
        <v/>
      </c>
      <c r="Q1994" t="str">
        <f t="shared" si="293"/>
        <v/>
      </c>
      <c r="S1994" t="str">
        <f>IF(A1994=1,MAX($S$2:$S1993)+1,IF(OR($I1994&lt;&gt;"",A1994="x"),$S1993,""))</f>
        <v/>
      </c>
      <c r="T1994" t="str">
        <f>IF(D1994=1,MAX($T$2:$T1993)+1,IF(S1994=S1993,$T1993,IF(D1994="x",T1993,IF(D1993="x","",""))))</f>
        <v/>
      </c>
      <c r="U1994" t="str">
        <f>IF(B1994=1,MAX($U$2:$U1993)+1,IF(AND($T1994&lt;&gt;"",$T1994=$T1993),$U1993,IF(B1994="x",U1993,"")))</f>
        <v/>
      </c>
      <c r="V1994" t="str">
        <f>IF(C1994=1,MAX($V$2:$V1993)+1,IF(AND($T1994&lt;&gt;"",$T1994=$T1993),$U1993,IF(C1994="x",V1993,"")))</f>
        <v/>
      </c>
      <c r="X1994" cm="1">
        <f t="array" ref="X1994">IF($I1994&lt;&gt;"",$I1994,INDEX($I$1:$I1994,ROW()-COUNTIFS($T$1:$T1994,"="&amp;$T1994,$S$1:$S1994,"&lt;"&amp;$S1994)))</f>
        <v>0</v>
      </c>
      <c r="Z1994" s="6">
        <f t="shared" si="294"/>
        <v>1</v>
      </c>
      <c r="AA1994" t="e">
        <f t="shared" si="295"/>
        <v>#VALUE!</v>
      </c>
      <c r="AB1994" t="str">
        <f t="shared" si="296"/>
        <v/>
      </c>
      <c r="AC1994" t="e">
        <f t="shared" si="297"/>
        <v>#VALUE!</v>
      </c>
    </row>
    <row r="1995" spans="1:29" x14ac:dyDescent="0.2">
      <c r="A1995" t="str">
        <f t="shared" si="290"/>
        <v/>
      </c>
      <c r="E1995" s="4"/>
      <c r="F1995" s="46"/>
      <c r="G1995" s="4"/>
      <c r="H1995" s="48"/>
      <c r="J1995" s="26" t="str">
        <f t="shared" si="291"/>
        <v/>
      </c>
      <c r="N1995" t="str">
        <f t="shared" si="292"/>
        <v/>
      </c>
      <c r="Q1995" t="str">
        <f t="shared" si="293"/>
        <v/>
      </c>
      <c r="S1995" t="str">
        <f>IF(A1995=1,MAX($S$2:$S1994)+1,IF(OR($I1995&lt;&gt;"",A1995="x"),$S1994,""))</f>
        <v/>
      </c>
      <c r="T1995" t="str">
        <f>IF(D1995=1,MAX($T$2:$T1994)+1,IF(S1995=S1994,$T1994,IF(D1995="x",T1994,IF(D1994="x","",""))))</f>
        <v/>
      </c>
      <c r="U1995" t="str">
        <f>IF(B1995=1,MAX($U$2:$U1994)+1,IF(AND($T1995&lt;&gt;"",$T1995=$T1994),$U1994,IF(B1995="x",U1994,"")))</f>
        <v/>
      </c>
      <c r="V1995" t="str">
        <f>IF(C1995=1,MAX($V$2:$V1994)+1,IF(AND($T1995&lt;&gt;"",$T1995=$T1994),$U1994,IF(C1995="x",V1994,"")))</f>
        <v/>
      </c>
      <c r="X1995" cm="1">
        <f t="array" ref="X1995">IF($I1995&lt;&gt;"",$I1995,INDEX($I$1:$I1995,ROW()-COUNTIFS($T$1:$T1995,"="&amp;$T1995,$S$1:$S1995,"&lt;"&amp;$S1995)))</f>
        <v>0</v>
      </c>
      <c r="Z1995" s="6">
        <f t="shared" si="294"/>
        <v>1</v>
      </c>
      <c r="AA1995" t="e">
        <f t="shared" si="295"/>
        <v>#VALUE!</v>
      </c>
      <c r="AB1995" t="str">
        <f t="shared" si="296"/>
        <v/>
      </c>
      <c r="AC1995" t="e">
        <f t="shared" si="297"/>
        <v>#VALUE!</v>
      </c>
    </row>
    <row r="1996" spans="1:29" x14ac:dyDescent="0.2">
      <c r="A1996" t="str">
        <f t="shared" si="290"/>
        <v/>
      </c>
      <c r="E1996" s="4"/>
      <c r="F1996" s="46"/>
      <c r="G1996" s="4"/>
      <c r="H1996" s="48"/>
      <c r="J1996" s="26" t="str">
        <f t="shared" si="291"/>
        <v/>
      </c>
      <c r="N1996" t="str">
        <f t="shared" si="292"/>
        <v/>
      </c>
      <c r="Q1996" t="str">
        <f t="shared" si="293"/>
        <v/>
      </c>
      <c r="S1996" t="str">
        <f>IF(A1996=1,MAX($S$2:$S1995)+1,IF(OR($I1996&lt;&gt;"",A1996="x"),$S1995,""))</f>
        <v/>
      </c>
      <c r="T1996" t="str">
        <f>IF(D1996=1,MAX($T$2:$T1995)+1,IF(S1996=S1995,$T1995,IF(D1996="x",T1995,IF(D1995="x","",""))))</f>
        <v/>
      </c>
      <c r="U1996" t="str">
        <f>IF(B1996=1,MAX($U$2:$U1995)+1,IF(AND($T1996&lt;&gt;"",$T1996=$T1995),$U1995,IF(B1996="x",U1995,"")))</f>
        <v/>
      </c>
      <c r="V1996" t="str">
        <f>IF(C1996=1,MAX($V$2:$V1995)+1,IF(AND($T1996&lt;&gt;"",$T1996=$T1995),$U1995,IF(C1996="x",V1995,"")))</f>
        <v/>
      </c>
      <c r="X1996" cm="1">
        <f t="array" ref="X1996">IF($I1996&lt;&gt;"",$I1996,INDEX($I$1:$I1996,ROW()-COUNTIFS($T$1:$T1996,"="&amp;$T1996,$S$1:$S1996,"&lt;"&amp;$S1996)))</f>
        <v>0</v>
      </c>
      <c r="Z1996" s="6">
        <f t="shared" si="294"/>
        <v>1</v>
      </c>
      <c r="AA1996" t="e">
        <f t="shared" si="295"/>
        <v>#VALUE!</v>
      </c>
      <c r="AB1996" t="str">
        <f t="shared" si="296"/>
        <v/>
      </c>
      <c r="AC1996" t="e">
        <f t="shared" si="297"/>
        <v>#VALUE!</v>
      </c>
    </row>
    <row r="1997" spans="1:29" x14ac:dyDescent="0.2">
      <c r="A1997" t="str">
        <f t="shared" si="290"/>
        <v/>
      </c>
      <c r="E1997" s="4"/>
      <c r="F1997" s="46"/>
      <c r="G1997" s="4"/>
      <c r="H1997" s="48"/>
      <c r="J1997" s="26" t="str">
        <f t="shared" si="291"/>
        <v/>
      </c>
      <c r="N1997" t="str">
        <f t="shared" si="292"/>
        <v/>
      </c>
      <c r="Q1997" t="str">
        <f t="shared" si="293"/>
        <v/>
      </c>
      <c r="S1997" t="str">
        <f>IF(A1997=1,MAX($S$2:$S1996)+1,IF(OR($I1997&lt;&gt;"",A1997="x"),$S1996,""))</f>
        <v/>
      </c>
      <c r="T1997" t="str">
        <f>IF(D1997=1,MAX($T$2:$T1996)+1,IF(S1997=S1996,$T1996,IF(D1997="x",T1996,IF(D1996="x","",""))))</f>
        <v/>
      </c>
      <c r="U1997" t="str">
        <f>IF(B1997=1,MAX($U$2:$U1996)+1,IF(AND($T1997&lt;&gt;"",$T1997=$T1996),$U1996,IF(B1997="x",U1996,"")))</f>
        <v/>
      </c>
      <c r="V1997" t="str">
        <f>IF(C1997=1,MAX($V$2:$V1996)+1,IF(AND($T1997&lt;&gt;"",$T1997=$T1996),$U1996,IF(C1997="x",V1996,"")))</f>
        <v/>
      </c>
      <c r="X1997" cm="1">
        <f t="array" ref="X1997">IF($I1997&lt;&gt;"",$I1997,INDEX($I$1:$I1997,ROW()-COUNTIFS($T$1:$T1997,"="&amp;$T1997,$S$1:$S1997,"&lt;"&amp;$S1997)))</f>
        <v>0</v>
      </c>
      <c r="Z1997" s="6">
        <f t="shared" si="294"/>
        <v>1</v>
      </c>
      <c r="AA1997" t="e">
        <f t="shared" si="295"/>
        <v>#VALUE!</v>
      </c>
      <c r="AB1997" t="str">
        <f t="shared" si="296"/>
        <v/>
      </c>
      <c r="AC1997" t="e">
        <f t="shared" si="297"/>
        <v>#VALUE!</v>
      </c>
    </row>
    <row r="1998" spans="1:29" x14ac:dyDescent="0.2">
      <c r="A1998" t="str">
        <f t="shared" si="290"/>
        <v/>
      </c>
      <c r="E1998" s="4"/>
      <c r="F1998" s="46"/>
      <c r="G1998" s="4"/>
      <c r="H1998" s="48"/>
      <c r="J1998" s="26" t="str">
        <f t="shared" si="291"/>
        <v/>
      </c>
      <c r="N1998" t="str">
        <f t="shared" si="292"/>
        <v/>
      </c>
      <c r="Q1998" t="str">
        <f t="shared" si="293"/>
        <v/>
      </c>
      <c r="S1998" t="str">
        <f>IF(A1998=1,MAX($S$2:$S1997)+1,IF(OR($I1998&lt;&gt;"",A1998="x"),$S1997,""))</f>
        <v/>
      </c>
      <c r="T1998" t="str">
        <f>IF(D1998=1,MAX($T$2:$T1997)+1,IF(S1998=S1997,$T1997,IF(D1998="x",T1997,IF(D1997="x","",""))))</f>
        <v/>
      </c>
      <c r="U1998" t="str">
        <f>IF(B1998=1,MAX($U$2:$U1997)+1,IF(AND($T1998&lt;&gt;"",$T1998=$T1997),$U1997,IF(B1998="x",U1997,"")))</f>
        <v/>
      </c>
      <c r="V1998" t="str">
        <f>IF(C1998=1,MAX($V$2:$V1997)+1,IF(AND($T1998&lt;&gt;"",$T1998=$T1997),$U1997,IF(C1998="x",V1997,"")))</f>
        <v/>
      </c>
      <c r="X1998" cm="1">
        <f t="array" ref="X1998">IF($I1998&lt;&gt;"",$I1998,INDEX($I$1:$I1998,ROW()-COUNTIFS($T$1:$T1998,"="&amp;$T1998,$S$1:$S1998,"&lt;"&amp;$S1998)))</f>
        <v>0</v>
      </c>
      <c r="Z1998" s="6">
        <f t="shared" si="294"/>
        <v>1</v>
      </c>
      <c r="AA1998" t="e">
        <f t="shared" si="295"/>
        <v>#VALUE!</v>
      </c>
      <c r="AB1998" t="str">
        <f t="shared" si="296"/>
        <v/>
      </c>
      <c r="AC1998" t="e">
        <f t="shared" si="297"/>
        <v>#VALUE!</v>
      </c>
    </row>
    <row r="1999" spans="1:29" x14ac:dyDescent="0.2">
      <c r="A1999" t="str">
        <f t="shared" si="290"/>
        <v/>
      </c>
      <c r="E1999" s="4"/>
      <c r="F1999" s="46"/>
      <c r="G1999" s="4"/>
      <c r="H1999" s="48"/>
      <c r="J1999" s="26" t="str">
        <f t="shared" si="291"/>
        <v/>
      </c>
      <c r="N1999" t="str">
        <f t="shared" si="292"/>
        <v/>
      </c>
      <c r="Q1999" t="str">
        <f t="shared" si="293"/>
        <v/>
      </c>
      <c r="S1999" t="str">
        <f>IF(A1999=1,MAX($S$2:$S1998)+1,IF(OR($I1999&lt;&gt;"",A1999="x"),$S1998,""))</f>
        <v/>
      </c>
      <c r="T1999" t="str">
        <f>IF(D1999=1,MAX($T$2:$T1998)+1,IF(S1999=S1998,$T1998,IF(D1999="x",T1998,IF(D1998="x","",""))))</f>
        <v/>
      </c>
      <c r="U1999" t="str">
        <f>IF(B1999=1,MAX($U$2:$U1998)+1,IF(AND($T1999&lt;&gt;"",$T1999=$T1998),$U1998,IF(B1999="x",U1998,"")))</f>
        <v/>
      </c>
      <c r="V1999" t="str">
        <f>IF(C1999=1,MAX($V$2:$V1998)+1,IF(AND($T1999&lt;&gt;"",$T1999=$T1998),$U1998,IF(C1999="x",V1998,"")))</f>
        <v/>
      </c>
      <c r="X1999" cm="1">
        <f t="array" ref="X1999">IF($I1999&lt;&gt;"",$I1999,INDEX($I$1:$I1999,ROW()-COUNTIFS($T$1:$T1999,"="&amp;$T1999,$S$1:$S1999,"&lt;"&amp;$S1999)))</f>
        <v>0</v>
      </c>
      <c r="Z1999" s="6">
        <f t="shared" si="294"/>
        <v>1</v>
      </c>
      <c r="AA1999" t="e">
        <f t="shared" si="295"/>
        <v>#VALUE!</v>
      </c>
      <c r="AB1999" t="str">
        <f t="shared" si="296"/>
        <v/>
      </c>
      <c r="AC1999" t="e">
        <f t="shared" si="297"/>
        <v>#VALUE!</v>
      </c>
    </row>
    <row r="2000" spans="1:29" x14ac:dyDescent="0.2">
      <c r="A2000" t="str">
        <f t="shared" si="290"/>
        <v/>
      </c>
      <c r="E2000" s="4"/>
      <c r="F2000" s="46"/>
      <c r="G2000" s="4"/>
      <c r="H2000" s="48"/>
      <c r="J2000" s="26" t="str">
        <f t="shared" si="291"/>
        <v/>
      </c>
      <c r="N2000" t="str">
        <f t="shared" si="292"/>
        <v/>
      </c>
      <c r="Q2000" t="str">
        <f t="shared" si="293"/>
        <v/>
      </c>
      <c r="S2000" t="str">
        <f>IF(A2000=1,MAX($S$2:$S1999)+1,IF(OR($I2000&lt;&gt;"",A2000="x"),$S1999,""))</f>
        <v/>
      </c>
      <c r="T2000" t="str">
        <f>IF(D2000=1,MAX($T$2:$T1999)+1,IF(S2000=S1999,$T1999,IF(D2000="x",T1999,IF(D1999="x","",""))))</f>
        <v/>
      </c>
      <c r="U2000" t="str">
        <f>IF(B2000=1,MAX($U$2:$U1999)+1,IF(AND($T2000&lt;&gt;"",$T2000=$T1999),$U1999,IF(B2000="x",U1999,"")))</f>
        <v/>
      </c>
      <c r="V2000" t="str">
        <f>IF(C2000=1,MAX($V$2:$V1999)+1,IF(AND($T2000&lt;&gt;"",$T2000=$T1999),$U1999,IF(C2000="x",V1999,"")))</f>
        <v/>
      </c>
      <c r="X2000" cm="1">
        <f t="array" ref="X2000">IF($I2000&lt;&gt;"",$I2000,INDEX($I$1:$I2000,ROW()-COUNTIFS($T$1:$T2000,"="&amp;$T2000,$S$1:$S2000,"&lt;"&amp;$S2000)))</f>
        <v>0</v>
      </c>
      <c r="Z2000" s="6">
        <f t="shared" si="294"/>
        <v>1</v>
      </c>
      <c r="AA2000" t="e">
        <f t="shared" si="295"/>
        <v>#VALUE!</v>
      </c>
      <c r="AB2000" t="str">
        <f t="shared" si="296"/>
        <v/>
      </c>
      <c r="AC2000" t="e">
        <f t="shared" si="297"/>
        <v>#VALUE!</v>
      </c>
    </row>
    <row r="2001" spans="1:29" x14ac:dyDescent="0.2">
      <c r="A2001" t="str">
        <f t="shared" si="290"/>
        <v/>
      </c>
      <c r="E2001" s="4"/>
      <c r="F2001" s="46"/>
      <c r="G2001" s="4"/>
      <c r="H2001" s="48"/>
      <c r="J2001" s="26" t="str">
        <f t="shared" si="291"/>
        <v/>
      </c>
      <c r="N2001" t="str">
        <f t="shared" si="292"/>
        <v/>
      </c>
      <c r="Q2001" t="str">
        <f t="shared" si="293"/>
        <v/>
      </c>
      <c r="S2001" t="str">
        <f>IF(A2001=1,MAX($S$2:$S2000)+1,IF(OR($I2001&lt;&gt;"",A2001="x"),$S2000,""))</f>
        <v/>
      </c>
      <c r="T2001" t="str">
        <f>IF(D2001=1,MAX($T$2:$T2000)+1,IF(S2001=S2000,$T2000,IF(D2001="x",T2000,IF(D2000="x","",""))))</f>
        <v/>
      </c>
      <c r="U2001" t="str">
        <f>IF(B2001=1,MAX($U$2:$U2000)+1,IF(AND($T2001&lt;&gt;"",$T2001=$T2000),$U2000,IF(B2001="x",U2000,"")))</f>
        <v/>
      </c>
      <c r="V2001" t="str">
        <f>IF(C2001=1,MAX($V$2:$V2000)+1,IF(AND($T2001&lt;&gt;"",$T2001=$T2000),$U2000,IF(C2001="x",V2000,"")))</f>
        <v/>
      </c>
      <c r="X2001" cm="1">
        <f t="array" ref="X2001">IF($I2001&lt;&gt;"",$I2001,INDEX($I$1:$I2001,ROW()-COUNTIFS($T$1:$T2001,"="&amp;$T2001,$S$1:$S2001,"&lt;"&amp;$S2001)))</f>
        <v>0</v>
      </c>
      <c r="Z2001" s="6">
        <f t="shared" si="294"/>
        <v>1</v>
      </c>
      <c r="AA2001" t="e">
        <f t="shared" si="295"/>
        <v>#VALUE!</v>
      </c>
      <c r="AB2001" t="str">
        <f t="shared" si="296"/>
        <v/>
      </c>
      <c r="AC2001" t="e">
        <f t="shared" si="297"/>
        <v>#VALUE!</v>
      </c>
    </row>
    <row r="2002" spans="1:29" x14ac:dyDescent="0.2">
      <c r="A2002" t="str">
        <f t="shared" si="290"/>
        <v/>
      </c>
      <c r="E2002" s="4"/>
      <c r="F2002" s="46"/>
      <c r="G2002" s="4"/>
      <c r="H2002" s="48"/>
      <c r="J2002" s="26" t="str">
        <f t="shared" si="291"/>
        <v/>
      </c>
      <c r="N2002" t="str">
        <f t="shared" si="292"/>
        <v/>
      </c>
      <c r="Q2002" t="str">
        <f t="shared" si="293"/>
        <v/>
      </c>
      <c r="S2002" t="str">
        <f>IF(A2002=1,MAX($S$2:$S2001)+1,IF(OR($I2002&lt;&gt;"",A2002="x"),$S2001,""))</f>
        <v/>
      </c>
      <c r="T2002" t="str">
        <f>IF(D2002=1,MAX($T$2:$T2001)+1,IF(S2002=S2001,$T2001,IF(D2002="x",T2001,IF(D2001="x","",""))))</f>
        <v/>
      </c>
      <c r="U2002" t="str">
        <f>IF(B2002=1,MAX($U$2:$U2001)+1,IF(AND($T2002&lt;&gt;"",$T2002=$T2001),$U2001,IF(B2002="x",U2001,"")))</f>
        <v/>
      </c>
      <c r="V2002" t="str">
        <f>IF(C2002=1,MAX($V$2:$V2001)+1,IF(AND($T2002&lt;&gt;"",$T2002=$T2001),$U2001,IF(C2002="x",V2001,"")))</f>
        <v/>
      </c>
      <c r="X2002" cm="1">
        <f t="array" ref="X2002">IF($I2002&lt;&gt;"",$I2002,INDEX($I$1:$I2002,ROW()-COUNTIFS($T$1:$T2002,"="&amp;$T2002,$S$1:$S2002,"&lt;"&amp;$S2002)))</f>
        <v>0</v>
      </c>
      <c r="Z2002" s="6">
        <f t="shared" si="294"/>
        <v>1</v>
      </c>
      <c r="AA2002" t="e">
        <f t="shared" si="295"/>
        <v>#VALUE!</v>
      </c>
      <c r="AB2002" t="str">
        <f t="shared" si="296"/>
        <v/>
      </c>
      <c r="AC2002" t="e">
        <f t="shared" si="297"/>
        <v>#VALUE!</v>
      </c>
    </row>
    <row r="2003" spans="1:29" x14ac:dyDescent="0.2">
      <c r="A2003" t="str">
        <f t="shared" ref="A2003:A2066" si="298">IF(K2003&lt;&gt;"",1,IF(D2003="x","x",""))</f>
        <v/>
      </c>
      <c r="E2003" s="4"/>
      <c r="F2003" s="46"/>
      <c r="G2003" s="4"/>
      <c r="H2003" s="48"/>
      <c r="J2003" s="26" t="str">
        <f t="shared" ref="J2003:J2066" si="299">IF(OR(K2003="Goal",K2003="Shot",L2003="Zone_Entry",M2003="Stoppage-Goal",M2002="Stoppage-Goal"),"o",IF(OR(K2003="Save",K2003="Rebound",L2003="Zone_Exit",M2003="Stoppage-GoalieStoppage",M2002="Stoppage-GoalieStoppage"),"d",IF(OR(L2003="Faceoff_AfterGoal",L2003="Faceoff_PeriodStart",698="Faceoff_GameStart",M2002="Stoppage-Goal"),"n","")))</f>
        <v/>
      </c>
      <c r="N2003" t="str">
        <f t="shared" ref="N2003:N2066" si="300">IF(K2003="","",IF(K2003="Goal","s",IF(AND(K2003="Zone_Entry_Exit",OR(ISNUMBER(SEARCH("fail",L2003)),ISNUMBER(SEARCH("FromExitClear",M2003)),ISNUMBER(SEARCH("miss",M2003)))),"u",IF(AND(K2003="Zone_Entry_Exit",OR(NOT(ISNUMBER(SEARCH("fail",L2003))),NOT(ISNUMBER(SEARCH("FromExitClear",M2003))),NOT(ISNUMBER(SEARCH("miss",M2003))))),"s",IF(AND(OR(K2003="Shot",K2003="Pass"),OR(ISNUMBER(SEARCH("complete",L2003)),ISNUMBER(SEARCH("goal",L2003)),ISNUMBER(SEARCH("OnNet",L2003)))),"s",IF(L2003="Turnover_Giveaway","u",IF(AND(OR(K2003="Shot",K2003="Pass"),OR(ISNUMBER(SEARCH("fail",L2003)),NOT(ISNUMBER(SEARCH("complete",L2003))),NOT(ISNUMBER(SEARCH("OnNet",L2003))))),"u","")))))))</f>
        <v/>
      </c>
      <c r="Q2003" t="str">
        <f t="shared" ref="Q2003:Q2066" si="301">IF(O2003="","",IF(AND(N2003&lt;&gt;"",OR(O2003&lt;&gt;"",P2003&lt;&gt;"")),N2003,IF(OR(ISNUMBER(SEARCH("attemp",O2003)),ISNUMBER(SEARCH("beat",O2003)),ISNUMBER(SEARCH("mis",O2003)),ISNUMBER(SEARCH("fail",O2003)),ISNUMBER(SEARCH("loss",O2003)),ISNUMBER(SEARCH("lost",O2003)),ISNUMBER(SEARCH("attemp",P2003)),ISNUMBER(SEARCH("mis",P2003)),ISNUMBER(SEARCH("fail",P2003)),ISNUMBER(SEARCH("loss",P2003)),ISNUMBER(SEARCH("beat",P2003)),ISNUMBER(SEARCH("lost",P2003))),"u","")))</f>
        <v/>
      </c>
      <c r="S2003" t="str">
        <f>IF(A2003=1,MAX($S$2:$S2002)+1,IF(OR($I2003&lt;&gt;"",A2003="x"),$S2002,""))</f>
        <v/>
      </c>
      <c r="T2003" t="str">
        <f>IF(D2003=1,MAX($T$2:$T2002)+1,IF(S2003=S2002,$T2002,IF(D2003="x",T2002,IF(D2002="x","",""))))</f>
        <v/>
      </c>
      <c r="U2003" t="str">
        <f>IF(B2003=1,MAX($U$2:$U2002)+1,IF(AND($T2003&lt;&gt;"",$T2003=$T2002),$U2002,IF(B2003="x",U2002,"")))</f>
        <v/>
      </c>
      <c r="V2003" t="str">
        <f>IF(C2003=1,MAX($V$2:$V2002)+1,IF(AND($T2003&lt;&gt;"",$T2003=$T2002),$U2002,IF(C2003="x",V2002,"")))</f>
        <v/>
      </c>
      <c r="X2003" cm="1">
        <f t="array" ref="X2003">IF($I2003&lt;&gt;"",$I2003,INDEX($I$1:$I2003,ROW()-COUNTIFS($T$1:$T2003,"="&amp;$T2003,$S$1:$S2003,"&lt;"&amp;$S2003)))</f>
        <v>0</v>
      </c>
      <c r="Z2003" s="6">
        <f t="shared" si="294"/>
        <v>1</v>
      </c>
      <c r="AA2003" t="e">
        <f t="shared" si="295"/>
        <v>#VALUE!</v>
      </c>
      <c r="AB2003" t="str">
        <f t="shared" si="296"/>
        <v/>
      </c>
      <c r="AC2003" t="e">
        <f t="shared" si="297"/>
        <v>#VALUE!</v>
      </c>
    </row>
    <row r="2004" spans="1:29" x14ac:dyDescent="0.2">
      <c r="A2004" t="str">
        <f t="shared" si="298"/>
        <v/>
      </c>
      <c r="E2004" s="4"/>
      <c r="F2004" s="46"/>
      <c r="G2004" s="4"/>
      <c r="H2004" s="48"/>
      <c r="J2004" s="26" t="str">
        <f t="shared" si="299"/>
        <v/>
      </c>
      <c r="N2004" t="str">
        <f t="shared" si="300"/>
        <v/>
      </c>
      <c r="Q2004" t="str">
        <f t="shared" si="301"/>
        <v/>
      </c>
      <c r="S2004" t="str">
        <f>IF(A2004=1,MAX($S$2:$S2003)+1,IF(OR($I2004&lt;&gt;"",A2004="x"),$S2003,""))</f>
        <v/>
      </c>
      <c r="T2004" t="str">
        <f>IF(D2004=1,MAX($T$2:$T2003)+1,IF(S2004=S2003,$T2003,IF(D2004="x",T2003,IF(D2003="x","",""))))</f>
        <v/>
      </c>
      <c r="U2004" t="str">
        <f>IF(B2004=1,MAX($U$2:$U2003)+1,IF(AND($T2004&lt;&gt;"",$T2004=$T2003),$U2003,IF(B2004="x",U2003,"")))</f>
        <v/>
      </c>
      <c r="V2004" t="str">
        <f>IF(C2004=1,MAX($V$2:$V2003)+1,IF(AND($T2004&lt;&gt;"",$T2004=$T2003),$U2003,IF(C2004="x",V2003,"")))</f>
        <v/>
      </c>
      <c r="X2004" cm="1">
        <f t="array" ref="X2004">IF($I2004&lt;&gt;"",$I2004,INDEX($I$1:$I2004,ROW()-COUNTIFS($T$1:$T2004,"="&amp;$T2004,$S$1:$S2004,"&lt;"&amp;$S2004)))</f>
        <v>0</v>
      </c>
      <c r="Z2004" s="6">
        <f t="shared" si="294"/>
        <v>1</v>
      </c>
      <c r="AA2004" t="e">
        <f t="shared" si="295"/>
        <v>#VALUE!</v>
      </c>
      <c r="AB2004" t="str">
        <f t="shared" si="296"/>
        <v/>
      </c>
      <c r="AC2004" t="e">
        <f t="shared" si="297"/>
        <v>#VALUE!</v>
      </c>
    </row>
    <row r="2005" spans="1:29" x14ac:dyDescent="0.2">
      <c r="A2005" t="str">
        <f t="shared" si="298"/>
        <v/>
      </c>
      <c r="E2005" s="4"/>
      <c r="F2005" s="46"/>
      <c r="G2005" s="4"/>
      <c r="H2005" s="48"/>
      <c r="J2005" s="26" t="str">
        <f t="shared" si="299"/>
        <v/>
      </c>
      <c r="N2005" t="str">
        <f t="shared" si="300"/>
        <v/>
      </c>
      <c r="Q2005" t="str">
        <f t="shared" si="301"/>
        <v/>
      </c>
      <c r="S2005" t="str">
        <f>IF(A2005=1,MAX($S$2:$S2004)+1,IF(OR($I2005&lt;&gt;"",A2005="x"),$S2004,""))</f>
        <v/>
      </c>
      <c r="T2005" t="str">
        <f>IF(D2005=1,MAX($T$2:$T2004)+1,IF(S2005=S2004,$T2004,IF(D2005="x",T2004,IF(D2004="x","",""))))</f>
        <v/>
      </c>
      <c r="U2005" t="str">
        <f>IF(B2005=1,MAX($U$2:$U2004)+1,IF(AND($T2005&lt;&gt;"",$T2005=$T2004),$U2004,IF(B2005="x",U2004,"")))</f>
        <v/>
      </c>
      <c r="V2005" t="str">
        <f>IF(C2005=1,MAX($V$2:$V2004)+1,IF(AND($T2005&lt;&gt;"",$T2005=$T2004),$U2004,IF(C2005="x",V2004,"")))</f>
        <v/>
      </c>
      <c r="X2005" cm="1">
        <f t="array" ref="X2005">IF($I2005&lt;&gt;"",$I2005,INDEX($I$1:$I2005,ROW()-COUNTIFS($T$1:$T2005,"="&amp;$T2005,$S$1:$S2005,"&lt;"&amp;$S2005)))</f>
        <v>0</v>
      </c>
      <c r="Z2005" s="6">
        <f t="shared" si="294"/>
        <v>1</v>
      </c>
      <c r="AA2005" t="e">
        <f t="shared" si="295"/>
        <v>#VALUE!</v>
      </c>
      <c r="AB2005" t="str">
        <f t="shared" si="296"/>
        <v/>
      </c>
      <c r="AC2005" t="e">
        <f t="shared" si="297"/>
        <v>#VALUE!</v>
      </c>
    </row>
    <row r="2006" spans="1:29" x14ac:dyDescent="0.2">
      <c r="A2006" t="str">
        <f t="shared" si="298"/>
        <v/>
      </c>
      <c r="E2006" s="4"/>
      <c r="F2006" s="46"/>
      <c r="G2006" s="4"/>
      <c r="H2006" s="48"/>
      <c r="J2006" s="26" t="str">
        <f t="shared" si="299"/>
        <v/>
      </c>
      <c r="N2006" t="str">
        <f t="shared" si="300"/>
        <v/>
      </c>
      <c r="Q2006" t="str">
        <f t="shared" si="301"/>
        <v/>
      </c>
      <c r="S2006" t="str">
        <f>IF(A2006=1,MAX($S$2:$S2005)+1,IF(OR($I2006&lt;&gt;"",A2006="x"),$S2005,""))</f>
        <v/>
      </c>
      <c r="T2006" t="str">
        <f>IF(D2006=1,MAX($T$2:$T2005)+1,IF(S2006=S2005,$T2005,IF(D2006="x",T2005,IF(D2005="x","",""))))</f>
        <v/>
      </c>
      <c r="U2006" t="str">
        <f>IF(B2006=1,MAX($U$2:$U2005)+1,IF(AND($T2006&lt;&gt;"",$T2006=$T2005),$U2005,IF(B2006="x",U2005,"")))</f>
        <v/>
      </c>
      <c r="V2006" t="str">
        <f>IF(C2006=1,MAX($V$2:$V2005)+1,IF(AND($T2006&lt;&gt;"",$T2006=$T2005),$U2005,IF(C2006="x",V2005,"")))</f>
        <v/>
      </c>
      <c r="X2006" cm="1">
        <f t="array" ref="X2006">IF($I2006&lt;&gt;"",$I2006,INDEX($I$1:$I2006,ROW()-COUNTIFS($T$1:$T2006,"="&amp;$T2006,$S$1:$S2006,"&lt;"&amp;$S2006)))</f>
        <v>0</v>
      </c>
      <c r="Z2006" s="6">
        <f t="shared" si="294"/>
        <v>1</v>
      </c>
      <c r="AA2006" t="e">
        <f t="shared" si="295"/>
        <v>#VALUE!</v>
      </c>
      <c r="AB2006" t="str">
        <f t="shared" si="296"/>
        <v/>
      </c>
      <c r="AC2006" t="e">
        <f t="shared" si="297"/>
        <v>#VALUE!</v>
      </c>
    </row>
    <row r="2007" spans="1:29" x14ac:dyDescent="0.2">
      <c r="A2007" t="str">
        <f t="shared" si="298"/>
        <v/>
      </c>
      <c r="E2007" s="4"/>
      <c r="F2007" s="46"/>
      <c r="G2007" s="4"/>
      <c r="H2007" s="48"/>
      <c r="J2007" s="26" t="str">
        <f t="shared" si="299"/>
        <v/>
      </c>
      <c r="N2007" t="str">
        <f t="shared" si="300"/>
        <v/>
      </c>
      <c r="Q2007" t="str">
        <f t="shared" si="301"/>
        <v/>
      </c>
      <c r="S2007" t="str">
        <f>IF(A2007=1,MAX($S$2:$S2006)+1,IF(OR($I2007&lt;&gt;"",A2007="x"),$S2006,""))</f>
        <v/>
      </c>
      <c r="T2007" t="str">
        <f>IF(D2007=1,MAX($T$2:$T2006)+1,IF(S2007=S2006,$T2006,IF(D2007="x",T2006,IF(D2006="x","",""))))</f>
        <v/>
      </c>
      <c r="U2007" t="str">
        <f>IF(B2007=1,MAX($U$2:$U2006)+1,IF(AND($T2007&lt;&gt;"",$T2007=$T2006),$U2006,IF(B2007="x",U2006,"")))</f>
        <v/>
      </c>
      <c r="V2007" t="str">
        <f>IF(C2007=1,MAX($V$2:$V2006)+1,IF(AND($T2007&lt;&gt;"",$T2007=$T2006),$U2006,IF(C2007="x",V2006,"")))</f>
        <v/>
      </c>
      <c r="X2007" cm="1">
        <f t="array" ref="X2007">IF($I2007&lt;&gt;"",$I2007,INDEX($I$1:$I2007,ROW()-COUNTIFS($T$1:$T2007,"="&amp;$T2007,$S$1:$S2007,"&lt;"&amp;$S2007)))</f>
        <v>0</v>
      </c>
      <c r="Z2007" s="6">
        <f t="shared" si="294"/>
        <v>1</v>
      </c>
      <c r="AA2007" t="e">
        <f t="shared" si="295"/>
        <v>#VALUE!</v>
      </c>
      <c r="AB2007" t="str">
        <f t="shared" si="296"/>
        <v/>
      </c>
      <c r="AC2007" t="e">
        <f t="shared" si="297"/>
        <v>#VALUE!</v>
      </c>
    </row>
    <row r="2008" spans="1:29" x14ac:dyDescent="0.2">
      <c r="A2008" t="str">
        <f t="shared" si="298"/>
        <v/>
      </c>
      <c r="E2008" s="4"/>
      <c r="F2008" s="46"/>
      <c r="G2008" s="4"/>
      <c r="H2008" s="48"/>
      <c r="J2008" s="26" t="str">
        <f t="shared" si="299"/>
        <v/>
      </c>
      <c r="N2008" t="str">
        <f t="shared" si="300"/>
        <v/>
      </c>
      <c r="Q2008" t="str">
        <f t="shared" si="301"/>
        <v/>
      </c>
      <c r="S2008" t="str">
        <f>IF(A2008=1,MAX($S$2:$S2007)+1,IF(OR($I2008&lt;&gt;"",A2008="x"),$S2007,""))</f>
        <v/>
      </c>
      <c r="T2008" t="str">
        <f>IF(D2008=1,MAX($T$2:$T2007)+1,IF(S2008=S2007,$T2007,IF(D2008="x",T2007,IF(D2007="x","",""))))</f>
        <v/>
      </c>
      <c r="U2008" t="str">
        <f>IF(B2008=1,MAX($U$2:$U2007)+1,IF(AND($T2008&lt;&gt;"",$T2008=$T2007),$U2007,IF(B2008="x",U2007,"")))</f>
        <v/>
      </c>
      <c r="V2008" t="str">
        <f>IF(C2008=1,MAX($V$2:$V2007)+1,IF(AND($T2008&lt;&gt;"",$T2008=$T2007),$U2007,IF(C2008="x",V2007,"")))</f>
        <v/>
      </c>
      <c r="X2008" cm="1">
        <f t="array" ref="X2008">IF($I2008&lt;&gt;"",$I2008,INDEX($I$1:$I2008,ROW()-COUNTIFS($T$1:$T2008,"="&amp;$T2008,$S$1:$S2008,"&lt;"&amp;$S2008)))</f>
        <v>0</v>
      </c>
      <c r="Z2008" s="6">
        <f t="shared" si="294"/>
        <v>1</v>
      </c>
      <c r="AA2008" t="e">
        <f t="shared" si="295"/>
        <v>#VALUE!</v>
      </c>
      <c r="AB2008" t="str">
        <f t="shared" si="296"/>
        <v/>
      </c>
      <c r="AC2008" t="e">
        <f t="shared" si="297"/>
        <v>#VALUE!</v>
      </c>
    </row>
    <row r="2009" spans="1:29" x14ac:dyDescent="0.2">
      <c r="A2009" t="str">
        <f t="shared" si="298"/>
        <v/>
      </c>
      <c r="E2009" s="4"/>
      <c r="F2009" s="46"/>
      <c r="G2009" s="4"/>
      <c r="H2009" s="48"/>
      <c r="J2009" s="26" t="str">
        <f t="shared" si="299"/>
        <v/>
      </c>
      <c r="N2009" t="str">
        <f t="shared" si="300"/>
        <v/>
      </c>
      <c r="Q2009" t="str">
        <f t="shared" si="301"/>
        <v/>
      </c>
      <c r="S2009" t="str">
        <f>IF(A2009=1,MAX($S$2:$S2008)+1,IF(OR($I2009&lt;&gt;"",A2009="x"),$S2008,""))</f>
        <v/>
      </c>
      <c r="T2009" t="str">
        <f>IF(D2009=1,MAX($T$2:$T2008)+1,IF(S2009=S2008,$T2008,IF(D2009="x",T2008,IF(D2008="x","",""))))</f>
        <v/>
      </c>
      <c r="U2009" t="str">
        <f>IF(B2009=1,MAX($U$2:$U2008)+1,IF(AND($T2009&lt;&gt;"",$T2009=$T2008),$U2008,IF(B2009="x",U2008,"")))</f>
        <v/>
      </c>
      <c r="V2009" t="str">
        <f>IF(C2009=1,MAX($V$2:$V2008)+1,IF(AND($T2009&lt;&gt;"",$T2009=$T2008),$U2008,IF(C2009="x",V2008,"")))</f>
        <v/>
      </c>
      <c r="X2009" cm="1">
        <f t="array" ref="X2009">IF($I2009&lt;&gt;"",$I2009,INDEX($I$1:$I2009,ROW()-COUNTIFS($T$1:$T2009,"="&amp;$T2009,$S$1:$S2009,"&lt;"&amp;$S2009)))</f>
        <v>0</v>
      </c>
      <c r="Z2009" s="6">
        <f t="shared" si="294"/>
        <v>1</v>
      </c>
      <c r="AA2009" t="e">
        <f t="shared" si="295"/>
        <v>#VALUE!</v>
      </c>
      <c r="AB2009" t="str">
        <f t="shared" si="296"/>
        <v/>
      </c>
      <c r="AC2009" t="e">
        <f t="shared" si="297"/>
        <v>#VALUE!</v>
      </c>
    </row>
    <row r="2010" spans="1:29" x14ac:dyDescent="0.2">
      <c r="A2010" t="str">
        <f t="shared" si="298"/>
        <v/>
      </c>
      <c r="E2010" s="4"/>
      <c r="F2010" s="46"/>
      <c r="G2010" s="4"/>
      <c r="H2010" s="48"/>
      <c r="J2010" s="26" t="str">
        <f t="shared" si="299"/>
        <v/>
      </c>
      <c r="N2010" t="str">
        <f t="shared" si="300"/>
        <v/>
      </c>
      <c r="Q2010" t="str">
        <f t="shared" si="301"/>
        <v/>
      </c>
      <c r="S2010" t="str">
        <f>IF(A2010=1,MAX($S$2:$S2009)+1,IF(OR($I2010&lt;&gt;"",A2010="x"),$S2009,""))</f>
        <v/>
      </c>
      <c r="T2010" t="str">
        <f>IF(D2010=1,MAX($T$2:$T2009)+1,IF(S2010=S2009,$T2009,IF(D2010="x",T2009,IF(D2009="x","",""))))</f>
        <v/>
      </c>
      <c r="U2010" t="str">
        <f>IF(B2010=1,MAX($U$2:$U2009)+1,IF(AND($T2010&lt;&gt;"",$T2010=$T2009),$U2009,IF(B2010="x",U2009,"")))</f>
        <v/>
      </c>
      <c r="V2010" t="str">
        <f>IF(C2010=1,MAX($V$2:$V2009)+1,IF(AND($T2010&lt;&gt;"",$T2010=$T2009),$U2009,IF(C2010="x",V2009,"")))</f>
        <v/>
      </c>
      <c r="X2010" cm="1">
        <f t="array" ref="X2010">IF($I2010&lt;&gt;"",$I2010,INDEX($I$1:$I2010,ROW()-COUNTIFS($T$1:$T2010,"="&amp;$T2010,$S$1:$S2010,"&lt;"&amp;$S2010)))</f>
        <v>0</v>
      </c>
      <c r="Z2010" s="6">
        <f t="shared" si="294"/>
        <v>1</v>
      </c>
      <c r="AA2010" t="e">
        <f t="shared" si="295"/>
        <v>#VALUE!</v>
      </c>
      <c r="AB2010" t="str">
        <f t="shared" si="296"/>
        <v/>
      </c>
      <c r="AC2010" t="e">
        <f t="shared" si="297"/>
        <v>#VALUE!</v>
      </c>
    </row>
    <row r="2011" spans="1:29" x14ac:dyDescent="0.2">
      <c r="A2011" t="str">
        <f t="shared" si="298"/>
        <v/>
      </c>
      <c r="E2011" s="4"/>
      <c r="F2011" s="46"/>
      <c r="G2011" s="4"/>
      <c r="H2011" s="48"/>
      <c r="J2011" s="26" t="str">
        <f t="shared" si="299"/>
        <v/>
      </c>
      <c r="N2011" t="str">
        <f t="shared" si="300"/>
        <v/>
      </c>
      <c r="Q2011" t="str">
        <f t="shared" si="301"/>
        <v/>
      </c>
      <c r="S2011" t="str">
        <f>IF(A2011=1,MAX($S$2:$S2010)+1,IF(OR($I2011&lt;&gt;"",A2011="x"),$S2010,""))</f>
        <v/>
      </c>
      <c r="T2011" t="str">
        <f>IF(D2011=1,MAX($T$2:$T2010)+1,IF(S2011=S2010,$T2010,IF(D2011="x",T2010,IF(D2010="x","",""))))</f>
        <v/>
      </c>
      <c r="U2011" t="str">
        <f>IF(B2011=1,MAX($U$2:$U2010)+1,IF(AND($T2011&lt;&gt;"",$T2011=$T2010),$U2010,IF(B2011="x",U2010,"")))</f>
        <v/>
      </c>
      <c r="V2011" t="str">
        <f>IF(C2011=1,MAX($V$2:$V2010)+1,IF(AND($T2011&lt;&gt;"",$T2011=$T2010),$U2010,IF(C2011="x",V2010,"")))</f>
        <v/>
      </c>
      <c r="X2011" cm="1">
        <f t="array" ref="X2011">IF($I2011&lt;&gt;"",$I2011,INDEX($I$1:$I2011,ROW()-COUNTIFS($T$1:$T2011,"="&amp;$T2011,$S$1:$S2011,"&lt;"&amp;$S2011)))</f>
        <v>0</v>
      </c>
      <c r="Z2011" s="6">
        <f t="shared" si="294"/>
        <v>1</v>
      </c>
      <c r="AA2011" t="e">
        <f t="shared" si="295"/>
        <v>#VALUE!</v>
      </c>
      <c r="AB2011" t="str">
        <f t="shared" si="296"/>
        <v/>
      </c>
      <c r="AC2011" t="e">
        <f t="shared" si="297"/>
        <v>#VALUE!</v>
      </c>
    </row>
    <row r="2012" spans="1:29" x14ac:dyDescent="0.2">
      <c r="A2012" t="str">
        <f t="shared" si="298"/>
        <v/>
      </c>
      <c r="E2012" s="4"/>
      <c r="F2012" s="46"/>
      <c r="G2012" s="4"/>
      <c r="H2012" s="48"/>
      <c r="J2012" s="26" t="str">
        <f t="shared" si="299"/>
        <v/>
      </c>
      <c r="N2012" t="str">
        <f t="shared" si="300"/>
        <v/>
      </c>
      <c r="Q2012" t="str">
        <f t="shared" si="301"/>
        <v/>
      </c>
      <c r="S2012" t="str">
        <f>IF(A2012=1,MAX($S$2:$S2011)+1,IF(OR($I2012&lt;&gt;"",A2012="x"),$S2011,""))</f>
        <v/>
      </c>
      <c r="T2012" t="str">
        <f>IF(D2012=1,MAX($T$2:$T2011)+1,IF(S2012=S2011,$T2011,IF(D2012="x",T2011,IF(D2011="x","",""))))</f>
        <v/>
      </c>
      <c r="U2012" t="str">
        <f>IF(B2012=1,MAX($U$2:$U2011)+1,IF(AND($T2012&lt;&gt;"",$T2012=$T2011),$U2011,IF(B2012="x",U2011,"")))</f>
        <v/>
      </c>
      <c r="V2012" t="str">
        <f>IF(C2012=1,MAX($V$2:$V2011)+1,IF(AND($T2012&lt;&gt;"",$T2012=$T2011),$U2011,IF(C2012="x",V2011,"")))</f>
        <v/>
      </c>
      <c r="X2012" cm="1">
        <f t="array" ref="X2012">IF($I2012&lt;&gt;"",$I2012,INDEX($I$1:$I2012,ROW()-COUNTIFS($T$1:$T2012,"="&amp;$T2012,$S$1:$S2012,"&lt;"&amp;$S2012)))</f>
        <v>0</v>
      </c>
      <c r="Z2012" s="6">
        <f t="shared" si="294"/>
        <v>1</v>
      </c>
      <c r="AA2012" t="e">
        <f t="shared" si="295"/>
        <v>#VALUE!</v>
      </c>
      <c r="AB2012" t="str">
        <f t="shared" si="296"/>
        <v/>
      </c>
      <c r="AC2012" t="e">
        <f t="shared" si="297"/>
        <v>#VALUE!</v>
      </c>
    </row>
    <row r="2013" spans="1:29" x14ac:dyDescent="0.2">
      <c r="A2013" t="str">
        <f t="shared" si="298"/>
        <v/>
      </c>
      <c r="E2013" s="4"/>
      <c r="F2013" s="46"/>
      <c r="G2013" s="4"/>
      <c r="H2013" s="48"/>
      <c r="J2013" s="26" t="str">
        <f t="shared" si="299"/>
        <v/>
      </c>
      <c r="N2013" t="str">
        <f t="shared" si="300"/>
        <v/>
      </c>
      <c r="Q2013" t="str">
        <f t="shared" si="301"/>
        <v/>
      </c>
      <c r="S2013" t="str">
        <f>IF(A2013=1,MAX($S$2:$S2012)+1,IF(OR($I2013&lt;&gt;"",A2013="x"),$S2012,""))</f>
        <v/>
      </c>
      <c r="T2013" t="str">
        <f>IF(D2013=1,MAX($T$2:$T2012)+1,IF(S2013=S2012,$T2012,IF(D2013="x",T2012,IF(D2012="x","",""))))</f>
        <v/>
      </c>
      <c r="U2013" t="str">
        <f>IF(B2013=1,MAX($U$2:$U2012)+1,IF(AND($T2013&lt;&gt;"",$T2013=$T2012),$U2012,IF(B2013="x",U2012,"")))</f>
        <v/>
      </c>
      <c r="V2013" t="str">
        <f>IF(C2013=1,MAX($V$2:$V2012)+1,IF(AND($T2013&lt;&gt;"",$T2013=$T2012),$U2012,IF(C2013="x",V2012,"")))</f>
        <v/>
      </c>
      <c r="X2013" cm="1">
        <f t="array" ref="X2013">IF($I2013&lt;&gt;"",$I2013,INDEX($I$1:$I2013,ROW()-COUNTIFS($T$1:$T2013,"="&amp;$T2013,$S$1:$S2013,"&lt;"&amp;$S2013)))</f>
        <v>0</v>
      </c>
      <c r="Z2013" s="6">
        <f t="shared" si="294"/>
        <v>1</v>
      </c>
      <c r="AA2013" t="e">
        <f t="shared" si="295"/>
        <v>#VALUE!</v>
      </c>
      <c r="AB2013" t="str">
        <f t="shared" si="296"/>
        <v/>
      </c>
      <c r="AC2013" t="e">
        <f t="shared" si="297"/>
        <v>#VALUE!</v>
      </c>
    </row>
    <row r="2014" spans="1:29" x14ac:dyDescent="0.2">
      <c r="A2014" t="str">
        <f t="shared" si="298"/>
        <v/>
      </c>
      <c r="E2014" s="4"/>
      <c r="F2014" s="46"/>
      <c r="G2014" s="4"/>
      <c r="H2014" s="48"/>
      <c r="J2014" s="26" t="str">
        <f t="shared" si="299"/>
        <v/>
      </c>
      <c r="N2014" t="str">
        <f t="shared" si="300"/>
        <v/>
      </c>
      <c r="Q2014" t="str">
        <f t="shared" si="301"/>
        <v/>
      </c>
      <c r="S2014" t="str">
        <f>IF(A2014=1,MAX($S$2:$S2013)+1,IF(OR($I2014&lt;&gt;"",A2014="x"),$S2013,""))</f>
        <v/>
      </c>
      <c r="T2014" t="str">
        <f>IF(D2014=1,MAX($T$2:$T2013)+1,IF(S2014=S2013,$T2013,IF(D2014="x",T2013,IF(D2013="x","",""))))</f>
        <v/>
      </c>
      <c r="U2014" t="str">
        <f>IF(B2014=1,MAX($U$2:$U2013)+1,IF(AND($T2014&lt;&gt;"",$T2014=$T2013),$U2013,IF(B2014="x",U2013,"")))</f>
        <v/>
      </c>
      <c r="V2014" t="str">
        <f>IF(C2014=1,MAX($V$2:$V2013)+1,IF(AND($T2014&lt;&gt;"",$T2014=$T2013),$U2013,IF(C2014="x",V2013,"")))</f>
        <v/>
      </c>
      <c r="X2014" cm="1">
        <f t="array" ref="X2014">IF($I2014&lt;&gt;"",$I2014,INDEX($I$1:$I2014,ROW()-COUNTIFS($T$1:$T2014,"="&amp;$T2014,$S$1:$S2014,"&lt;"&amp;$S2014)))</f>
        <v>0</v>
      </c>
      <c r="Z2014" s="6">
        <f t="shared" si="294"/>
        <v>1</v>
      </c>
      <c r="AA2014" t="e">
        <f t="shared" si="295"/>
        <v>#VALUE!</v>
      </c>
      <c r="AB2014" t="str">
        <f t="shared" si="296"/>
        <v/>
      </c>
      <c r="AC2014" t="e">
        <f t="shared" si="297"/>
        <v>#VALUE!</v>
      </c>
    </row>
    <row r="2015" spans="1:29" x14ac:dyDescent="0.2">
      <c r="A2015" t="str">
        <f t="shared" si="298"/>
        <v/>
      </c>
      <c r="E2015" s="4"/>
      <c r="F2015" s="46"/>
      <c r="G2015" s="4"/>
      <c r="H2015" s="48"/>
      <c r="J2015" s="26" t="str">
        <f t="shared" si="299"/>
        <v/>
      </c>
      <c r="N2015" t="str">
        <f t="shared" si="300"/>
        <v/>
      </c>
      <c r="Q2015" t="str">
        <f t="shared" si="301"/>
        <v/>
      </c>
      <c r="S2015" t="str">
        <f>IF(A2015=1,MAX($S$2:$S2014)+1,IF(OR($I2015&lt;&gt;"",A2015="x"),$S2014,""))</f>
        <v/>
      </c>
      <c r="T2015" t="str">
        <f>IF(D2015=1,MAX($T$2:$T2014)+1,IF(S2015=S2014,$T2014,IF(D2015="x",T2014,IF(D2014="x","",""))))</f>
        <v/>
      </c>
      <c r="U2015" t="str">
        <f>IF(B2015=1,MAX($U$2:$U2014)+1,IF(AND($T2015&lt;&gt;"",$T2015=$T2014),$U2014,IF(B2015="x",U2014,"")))</f>
        <v/>
      </c>
      <c r="V2015" t="str">
        <f>IF(C2015=1,MAX($V$2:$V2014)+1,IF(AND($T2015&lt;&gt;"",$T2015=$T2014),$U2014,IF(C2015="x",V2014,"")))</f>
        <v/>
      </c>
      <c r="X2015" cm="1">
        <f t="array" ref="X2015">IF($I2015&lt;&gt;"",$I2015,INDEX($I$1:$I2015,ROW()-COUNTIFS($T$1:$T2015,"="&amp;$T2015,$S$1:$S2015,"&lt;"&amp;$S2015)))</f>
        <v>0</v>
      </c>
      <c r="Z2015" s="6">
        <f t="shared" si="294"/>
        <v>1</v>
      </c>
      <c r="AA2015" t="e">
        <f t="shared" si="295"/>
        <v>#VALUE!</v>
      </c>
      <c r="AB2015" t="str">
        <f t="shared" si="296"/>
        <v/>
      </c>
      <c r="AC2015" t="e">
        <f t="shared" si="297"/>
        <v>#VALUE!</v>
      </c>
    </row>
    <row r="2016" spans="1:29" x14ac:dyDescent="0.2">
      <c r="A2016" t="str">
        <f t="shared" si="298"/>
        <v/>
      </c>
      <c r="E2016" s="4"/>
      <c r="F2016" s="46"/>
      <c r="G2016" s="4"/>
      <c r="H2016" s="48"/>
      <c r="J2016" s="26" t="str">
        <f t="shared" si="299"/>
        <v/>
      </c>
      <c r="N2016" t="str">
        <f t="shared" si="300"/>
        <v/>
      </c>
      <c r="Q2016" t="str">
        <f t="shared" si="301"/>
        <v/>
      </c>
      <c r="S2016" t="str">
        <f>IF(A2016=1,MAX($S$2:$S2015)+1,IF(OR($I2016&lt;&gt;"",A2016="x"),$S2015,""))</f>
        <v/>
      </c>
      <c r="T2016" t="str">
        <f>IF(D2016=1,MAX($T$2:$T2015)+1,IF(S2016=S2015,$T2015,IF(D2016="x",T2015,IF(D2015="x","",""))))</f>
        <v/>
      </c>
      <c r="U2016" t="str">
        <f>IF(B2016=1,MAX($U$2:$U2015)+1,IF(AND($T2016&lt;&gt;"",$T2016=$T2015),$U2015,IF(B2016="x",U2015,"")))</f>
        <v/>
      </c>
      <c r="V2016" t="str">
        <f>IF(C2016=1,MAX($V$2:$V2015)+1,IF(AND($T2016&lt;&gt;"",$T2016=$T2015),$U2015,IF(C2016="x",V2015,"")))</f>
        <v/>
      </c>
      <c r="X2016" cm="1">
        <f t="array" ref="X2016">IF($I2016&lt;&gt;"",$I2016,INDEX($I$1:$I2016,ROW()-COUNTIFS($T$1:$T2016,"="&amp;$T2016,$S$1:$S2016,"&lt;"&amp;$S2016)))</f>
        <v>0</v>
      </c>
      <c r="Z2016" s="6">
        <f t="shared" si="294"/>
        <v>1</v>
      </c>
      <c r="AA2016" t="e">
        <f t="shared" si="295"/>
        <v>#VALUE!</v>
      </c>
      <c r="AB2016" t="str">
        <f t="shared" si="296"/>
        <v/>
      </c>
      <c r="AC2016" t="e">
        <f t="shared" si="297"/>
        <v>#VALUE!</v>
      </c>
    </row>
    <row r="2017" spans="1:29" x14ac:dyDescent="0.2">
      <c r="A2017" t="str">
        <f t="shared" si="298"/>
        <v/>
      </c>
      <c r="E2017" s="4"/>
      <c r="F2017" s="46"/>
      <c r="G2017" s="4"/>
      <c r="H2017" s="48"/>
      <c r="J2017" s="26" t="str">
        <f t="shared" si="299"/>
        <v/>
      </c>
      <c r="N2017" t="str">
        <f t="shared" si="300"/>
        <v/>
      </c>
      <c r="Q2017" t="str">
        <f t="shared" si="301"/>
        <v/>
      </c>
      <c r="S2017" t="str">
        <f>IF(A2017=1,MAX($S$2:$S2016)+1,IF(OR($I2017&lt;&gt;"",A2017="x"),$S2016,""))</f>
        <v/>
      </c>
      <c r="T2017" t="str">
        <f>IF(D2017=1,MAX($T$2:$T2016)+1,IF(S2017=S2016,$T2016,IF(D2017="x",T2016,IF(D2016="x","",""))))</f>
        <v/>
      </c>
      <c r="U2017" t="str">
        <f>IF(B2017=1,MAX($U$2:$U2016)+1,IF(AND($T2017&lt;&gt;"",$T2017=$T2016),$U2016,IF(B2017="x",U2016,"")))</f>
        <v/>
      </c>
      <c r="V2017" t="str">
        <f>IF(C2017=1,MAX($V$2:$V2016)+1,IF(AND($T2017&lt;&gt;"",$T2017=$T2016),$U2016,IF(C2017="x",V2016,"")))</f>
        <v/>
      </c>
      <c r="X2017" cm="1">
        <f t="array" ref="X2017">IF($I2017&lt;&gt;"",$I2017,INDEX($I$1:$I2017,ROW()-COUNTIFS($T$1:$T2017,"="&amp;$T2017,$S$1:$S2017,"&lt;"&amp;$S2017)))</f>
        <v>0</v>
      </c>
      <c r="Z2017" s="6">
        <f t="shared" si="294"/>
        <v>1</v>
      </c>
      <c r="AA2017" t="e">
        <f t="shared" si="295"/>
        <v>#VALUE!</v>
      </c>
      <c r="AB2017" t="str">
        <f t="shared" si="296"/>
        <v/>
      </c>
      <c r="AC2017" t="e">
        <f t="shared" si="297"/>
        <v>#VALUE!</v>
      </c>
    </row>
    <row r="2018" spans="1:29" x14ac:dyDescent="0.2">
      <c r="A2018" t="str">
        <f t="shared" si="298"/>
        <v/>
      </c>
      <c r="E2018" s="4"/>
      <c r="F2018" s="46"/>
      <c r="G2018" s="4"/>
      <c r="H2018" s="48"/>
      <c r="J2018" s="26" t="str">
        <f t="shared" si="299"/>
        <v/>
      </c>
      <c r="N2018" t="str">
        <f t="shared" si="300"/>
        <v/>
      </c>
      <c r="Q2018" t="str">
        <f t="shared" si="301"/>
        <v/>
      </c>
      <c r="S2018" t="str">
        <f>IF(A2018=1,MAX($S$2:$S2017)+1,IF(OR($I2018&lt;&gt;"",A2018="x"),$S2017,""))</f>
        <v/>
      </c>
      <c r="T2018" t="str">
        <f>IF(D2018=1,MAX($T$2:$T2017)+1,IF(S2018=S2017,$T2017,IF(D2018="x",T2017,IF(D2017="x","",""))))</f>
        <v/>
      </c>
      <c r="U2018" t="str">
        <f>IF(B2018=1,MAX($U$2:$U2017)+1,IF(AND($T2018&lt;&gt;"",$T2018=$T2017),$U2017,IF(B2018="x",U2017,"")))</f>
        <v/>
      </c>
      <c r="V2018" t="str">
        <f>IF(C2018=1,MAX($V$2:$V2017)+1,IF(AND($T2018&lt;&gt;"",$T2018=$T2017),$U2017,IF(C2018="x",V2017,"")))</f>
        <v/>
      </c>
      <c r="X2018" cm="1">
        <f t="array" ref="X2018">IF($I2018&lt;&gt;"",$I2018,INDEX($I$1:$I2018,ROW()-COUNTIFS($T$1:$T2018,"="&amp;$T2018,$S$1:$S2018,"&lt;"&amp;$S2018)))</f>
        <v>0</v>
      </c>
      <c r="Z2018" s="6">
        <f t="shared" si="294"/>
        <v>1</v>
      </c>
      <c r="AA2018" t="e">
        <f t="shared" si="295"/>
        <v>#VALUE!</v>
      </c>
      <c r="AB2018" t="str">
        <f t="shared" si="296"/>
        <v/>
      </c>
      <c r="AC2018" t="e">
        <f t="shared" si="297"/>
        <v>#VALUE!</v>
      </c>
    </row>
    <row r="2019" spans="1:29" x14ac:dyDescent="0.2">
      <c r="A2019" t="str">
        <f t="shared" si="298"/>
        <v/>
      </c>
      <c r="E2019" s="4"/>
      <c r="F2019" s="46"/>
      <c r="G2019" s="4"/>
      <c r="H2019" s="48"/>
      <c r="J2019" s="26" t="str">
        <f t="shared" si="299"/>
        <v/>
      </c>
      <c r="N2019" t="str">
        <f t="shared" si="300"/>
        <v/>
      </c>
      <c r="Q2019" t="str">
        <f t="shared" si="301"/>
        <v/>
      </c>
      <c r="S2019" t="str">
        <f>IF(A2019=1,MAX($S$2:$S2018)+1,IF(OR($I2019&lt;&gt;"",A2019="x"),$S2018,""))</f>
        <v/>
      </c>
      <c r="T2019" t="str">
        <f>IF(D2019=1,MAX($T$2:$T2018)+1,IF(S2019=S2018,$T2018,IF(D2019="x",T2018,IF(D2018="x","",""))))</f>
        <v/>
      </c>
      <c r="U2019" t="str">
        <f>IF(B2019=1,MAX($U$2:$U2018)+1,IF(AND($T2019&lt;&gt;"",$T2019=$T2018),$U2018,IF(B2019="x",U2018,"")))</f>
        <v/>
      </c>
      <c r="V2019" t="str">
        <f>IF(C2019=1,MAX($V$2:$V2018)+1,IF(AND($T2019&lt;&gt;"",$T2019=$T2018),$U2018,IF(C2019="x",V2018,"")))</f>
        <v/>
      </c>
      <c r="X2019" cm="1">
        <f t="array" ref="X2019">IF($I2019&lt;&gt;"",$I2019,INDEX($I$1:$I2019,ROW()-COUNTIFS($T$1:$T2019,"="&amp;$T2019,$S$1:$S2019,"&lt;"&amp;$S2019)))</f>
        <v>0</v>
      </c>
      <c r="Z2019" s="6">
        <f t="shared" si="294"/>
        <v>1</v>
      </c>
      <c r="AA2019" t="e">
        <f t="shared" si="295"/>
        <v>#VALUE!</v>
      </c>
      <c r="AB2019" t="str">
        <f t="shared" si="296"/>
        <v/>
      </c>
      <c r="AC2019" t="e">
        <f t="shared" si="297"/>
        <v>#VALUE!</v>
      </c>
    </row>
    <row r="2020" spans="1:29" x14ac:dyDescent="0.2">
      <c r="A2020" t="str">
        <f t="shared" si="298"/>
        <v/>
      </c>
      <c r="E2020" s="4"/>
      <c r="F2020" s="46"/>
      <c r="G2020" s="4"/>
      <c r="H2020" s="48"/>
      <c r="J2020" s="26" t="str">
        <f t="shared" si="299"/>
        <v/>
      </c>
      <c r="N2020" t="str">
        <f t="shared" si="300"/>
        <v/>
      </c>
      <c r="Q2020" t="str">
        <f t="shared" si="301"/>
        <v/>
      </c>
      <c r="S2020" t="str">
        <f>IF(A2020=1,MAX($S$2:$S2019)+1,IF(OR($I2020&lt;&gt;"",A2020="x"),$S2019,""))</f>
        <v/>
      </c>
      <c r="T2020" t="str">
        <f>IF(D2020=1,MAX($T$2:$T2019)+1,IF(S2020=S2019,$T2019,IF(D2020="x",T2019,IF(D2019="x","",""))))</f>
        <v/>
      </c>
      <c r="U2020" t="str">
        <f>IF(B2020=1,MAX($U$2:$U2019)+1,IF(AND($T2020&lt;&gt;"",$T2020=$T2019),$U2019,IF(B2020="x",U2019,"")))</f>
        <v/>
      </c>
      <c r="V2020" t="str">
        <f>IF(C2020=1,MAX($V$2:$V2019)+1,IF(AND($T2020&lt;&gt;"",$T2020=$T2019),$U2019,IF(C2020="x",V2019,"")))</f>
        <v/>
      </c>
      <c r="X2020" cm="1">
        <f t="array" ref="X2020">IF($I2020&lt;&gt;"",$I2020,INDEX($I$1:$I2020,ROW()-COUNTIFS($T$1:$T2020,"="&amp;$T2020,$S$1:$S2020,"&lt;"&amp;$S2020)))</f>
        <v>0</v>
      </c>
      <c r="Z2020" s="6">
        <f t="shared" si="294"/>
        <v>1</v>
      </c>
      <c r="AA2020" t="e">
        <f t="shared" si="295"/>
        <v>#VALUE!</v>
      </c>
      <c r="AB2020" t="str">
        <f t="shared" si="296"/>
        <v/>
      </c>
      <c r="AC2020" t="e">
        <f t="shared" si="297"/>
        <v>#VALUE!</v>
      </c>
    </row>
    <row r="2021" spans="1:29" x14ac:dyDescent="0.2">
      <c r="A2021" t="str">
        <f t="shared" si="298"/>
        <v/>
      </c>
      <c r="E2021" s="4"/>
      <c r="F2021" s="46"/>
      <c r="G2021" s="4"/>
      <c r="H2021" s="48"/>
      <c r="J2021" s="26" t="str">
        <f t="shared" si="299"/>
        <v/>
      </c>
      <c r="N2021" t="str">
        <f t="shared" si="300"/>
        <v/>
      </c>
      <c r="Q2021" t="str">
        <f t="shared" si="301"/>
        <v/>
      </c>
      <c r="S2021" t="str">
        <f>IF(A2021=1,MAX($S$2:$S2020)+1,IF(OR($I2021&lt;&gt;"",A2021="x"),$S2020,""))</f>
        <v/>
      </c>
      <c r="T2021" t="str">
        <f>IF(D2021=1,MAX($T$2:$T2020)+1,IF(S2021=S2020,$T2020,IF(D2021="x",T2020,IF(D2020="x","",""))))</f>
        <v/>
      </c>
      <c r="U2021" t="str">
        <f>IF(B2021=1,MAX($U$2:$U2020)+1,IF(AND($T2021&lt;&gt;"",$T2021=$T2020),$U2020,IF(B2021="x",U2020,"")))</f>
        <v/>
      </c>
      <c r="V2021" t="str">
        <f>IF(C2021=1,MAX($V$2:$V2020)+1,IF(AND($T2021&lt;&gt;"",$T2021=$T2020),$U2020,IF(C2021="x",V2020,"")))</f>
        <v/>
      </c>
      <c r="X2021" cm="1">
        <f t="array" ref="X2021">IF($I2021&lt;&gt;"",$I2021,INDEX($I$1:$I2021,ROW()-COUNTIFS($T$1:$T2021,"="&amp;$T2021,$S$1:$S2021,"&lt;"&amp;$S2021)))</f>
        <v>0</v>
      </c>
      <c r="Z2021" s="6">
        <f t="shared" si="294"/>
        <v>1</v>
      </c>
      <c r="AA2021" t="e">
        <f t="shared" si="295"/>
        <v>#VALUE!</v>
      </c>
      <c r="AB2021" t="str">
        <f t="shared" si="296"/>
        <v/>
      </c>
      <c r="AC2021" t="e">
        <f t="shared" si="297"/>
        <v>#VALUE!</v>
      </c>
    </row>
    <row r="2022" spans="1:29" x14ac:dyDescent="0.2">
      <c r="A2022" t="str">
        <f t="shared" si="298"/>
        <v/>
      </c>
      <c r="E2022" s="4"/>
      <c r="F2022" s="46"/>
      <c r="G2022" s="4"/>
      <c r="H2022" s="48"/>
      <c r="J2022" s="26" t="str">
        <f t="shared" si="299"/>
        <v/>
      </c>
      <c r="N2022" t="str">
        <f t="shared" si="300"/>
        <v/>
      </c>
      <c r="Q2022" t="str">
        <f t="shared" si="301"/>
        <v/>
      </c>
      <c r="S2022" t="str">
        <f>IF(A2022=1,MAX($S$2:$S2021)+1,IF(OR($I2022&lt;&gt;"",A2022="x"),$S2021,""))</f>
        <v/>
      </c>
      <c r="T2022" t="str">
        <f>IF(D2022=1,MAX($T$2:$T2021)+1,IF(S2022=S2021,$T2021,IF(D2022="x",T2021,IF(D2021="x","",""))))</f>
        <v/>
      </c>
      <c r="U2022" t="str">
        <f>IF(B2022=1,MAX($U$2:$U2021)+1,IF(AND($T2022&lt;&gt;"",$T2022=$T2021),$U2021,IF(B2022="x",U2021,"")))</f>
        <v/>
      </c>
      <c r="V2022" t="str">
        <f>IF(C2022=1,MAX($V$2:$V2021)+1,IF(AND($T2022&lt;&gt;"",$T2022=$T2021),$U2021,IF(C2022="x",V2021,"")))</f>
        <v/>
      </c>
      <c r="X2022" cm="1">
        <f t="array" ref="X2022">IF($I2022&lt;&gt;"",$I2022,INDEX($I$1:$I2022,ROW()-COUNTIFS($T$1:$T2022,"="&amp;$T2022,$S$1:$S2022,"&lt;"&amp;$S2022)))</f>
        <v>0</v>
      </c>
      <c r="Z2022" s="6">
        <f t="shared" si="294"/>
        <v>1</v>
      </c>
      <c r="AA2022" t="e">
        <f t="shared" si="295"/>
        <v>#VALUE!</v>
      </c>
      <c r="AB2022" t="str">
        <f t="shared" si="296"/>
        <v/>
      </c>
      <c r="AC2022" t="e">
        <f t="shared" si="297"/>
        <v>#VALUE!</v>
      </c>
    </row>
    <row r="2023" spans="1:29" x14ac:dyDescent="0.2">
      <c r="A2023" t="str">
        <f t="shared" si="298"/>
        <v/>
      </c>
      <c r="E2023" s="4"/>
      <c r="F2023" s="46"/>
      <c r="G2023" s="4"/>
      <c r="H2023" s="48"/>
      <c r="J2023" s="26" t="str">
        <f t="shared" si="299"/>
        <v/>
      </c>
      <c r="N2023" t="str">
        <f t="shared" si="300"/>
        <v/>
      </c>
      <c r="Q2023" t="str">
        <f t="shared" si="301"/>
        <v/>
      </c>
      <c r="S2023" t="str">
        <f>IF(A2023=1,MAX($S$2:$S2022)+1,IF(OR($I2023&lt;&gt;"",A2023="x"),$S2022,""))</f>
        <v/>
      </c>
      <c r="T2023" t="str">
        <f>IF(D2023=1,MAX($T$2:$T2022)+1,IF(S2023=S2022,$T2022,IF(D2023="x",T2022,IF(D2022="x","",""))))</f>
        <v/>
      </c>
      <c r="U2023" t="str">
        <f>IF(B2023=1,MAX($U$2:$U2022)+1,IF(AND($T2023&lt;&gt;"",$T2023=$T2022),$U2022,IF(B2023="x",U2022,"")))</f>
        <v/>
      </c>
      <c r="V2023" t="str">
        <f>IF(C2023=1,MAX($V$2:$V2022)+1,IF(AND($T2023&lt;&gt;"",$T2023=$T2022),$U2022,IF(C2023="x",V2022,"")))</f>
        <v/>
      </c>
      <c r="X2023" cm="1">
        <f t="array" ref="X2023">IF($I2023&lt;&gt;"",$I2023,INDEX($I$1:$I2023,ROW()-COUNTIFS($T$1:$T2023,"="&amp;$T2023,$S$1:$S2023,"&lt;"&amp;$S2023)))</f>
        <v>0</v>
      </c>
      <c r="Z2023" s="6">
        <f t="shared" si="294"/>
        <v>1</v>
      </c>
      <c r="AA2023" t="e">
        <f t="shared" si="295"/>
        <v>#VALUE!</v>
      </c>
      <c r="AB2023" t="str">
        <f t="shared" si="296"/>
        <v/>
      </c>
      <c r="AC2023" t="e">
        <f t="shared" si="297"/>
        <v>#VALUE!</v>
      </c>
    </row>
    <row r="2024" spans="1:29" x14ac:dyDescent="0.2">
      <c r="A2024" t="str">
        <f t="shared" si="298"/>
        <v/>
      </c>
      <c r="E2024" s="4"/>
      <c r="F2024" s="46"/>
      <c r="G2024" s="4"/>
      <c r="H2024" s="48"/>
      <c r="J2024" s="26" t="str">
        <f t="shared" si="299"/>
        <v/>
      </c>
      <c r="N2024" t="str">
        <f t="shared" si="300"/>
        <v/>
      </c>
      <c r="Q2024" t="str">
        <f t="shared" si="301"/>
        <v/>
      </c>
      <c r="S2024" t="str">
        <f>IF(A2024=1,MAX($S$2:$S2023)+1,IF(OR($I2024&lt;&gt;"",A2024="x"),$S2023,""))</f>
        <v/>
      </c>
      <c r="T2024" t="str">
        <f>IF(D2024=1,MAX($T$2:$T2023)+1,IF(S2024=S2023,$T2023,IF(D2024="x",T2023,IF(D2023="x","",""))))</f>
        <v/>
      </c>
      <c r="U2024" t="str">
        <f>IF(B2024=1,MAX($U$2:$U2023)+1,IF(AND($T2024&lt;&gt;"",$T2024=$T2023),$U2023,IF(B2024="x",U2023,"")))</f>
        <v/>
      </c>
      <c r="V2024" t="str">
        <f>IF(C2024=1,MAX($V$2:$V2023)+1,IF(AND($T2024&lt;&gt;"",$T2024=$T2023),$U2023,IF(C2024="x",V2023,"")))</f>
        <v/>
      </c>
      <c r="X2024" cm="1">
        <f t="array" ref="X2024">IF($I2024&lt;&gt;"",$I2024,INDEX($I$1:$I2024,ROW()-COUNTIFS($T$1:$T2024,"="&amp;$T2024,$S$1:$S2024,"&lt;"&amp;$S2024)))</f>
        <v>0</v>
      </c>
      <c r="Z2024" s="6">
        <f t="shared" si="294"/>
        <v>1</v>
      </c>
      <c r="AA2024" t="e">
        <f t="shared" si="295"/>
        <v>#VALUE!</v>
      </c>
      <c r="AB2024" t="str">
        <f t="shared" si="296"/>
        <v/>
      </c>
      <c r="AC2024" t="e">
        <f t="shared" si="297"/>
        <v>#VALUE!</v>
      </c>
    </row>
    <row r="2025" spans="1:29" x14ac:dyDescent="0.2">
      <c r="A2025" t="str">
        <f t="shared" si="298"/>
        <v/>
      </c>
      <c r="E2025" s="4"/>
      <c r="F2025" s="46"/>
      <c r="G2025" s="4"/>
      <c r="H2025" s="48"/>
      <c r="J2025" s="26" t="str">
        <f t="shared" si="299"/>
        <v/>
      </c>
      <c r="N2025" t="str">
        <f t="shared" si="300"/>
        <v/>
      </c>
      <c r="Q2025" t="str">
        <f t="shared" si="301"/>
        <v/>
      </c>
      <c r="S2025" t="str">
        <f>IF(A2025=1,MAX($S$2:$S2024)+1,IF(OR($I2025&lt;&gt;"",A2025="x"),$S2024,""))</f>
        <v/>
      </c>
      <c r="T2025" t="str">
        <f>IF(D2025=1,MAX($T$2:$T2024)+1,IF(S2025=S2024,$T2024,IF(D2025="x",T2024,IF(D2024="x","",""))))</f>
        <v/>
      </c>
      <c r="U2025" t="str">
        <f>IF(B2025=1,MAX($U$2:$U2024)+1,IF(AND($T2025&lt;&gt;"",$T2025=$T2024),$U2024,IF(B2025="x",U2024,"")))</f>
        <v/>
      </c>
      <c r="V2025" t="str">
        <f>IF(C2025=1,MAX($V$2:$V2024)+1,IF(AND($T2025&lt;&gt;"",$T2025=$T2024),$U2024,IF(C2025="x",V2024,"")))</f>
        <v/>
      </c>
      <c r="X2025" cm="1">
        <f t="array" ref="X2025">IF($I2025&lt;&gt;"",$I2025,INDEX($I$1:$I2025,ROW()-COUNTIFS($T$1:$T2025,"="&amp;$T2025,$S$1:$S2025,"&lt;"&amp;$S2025)))</f>
        <v>0</v>
      </c>
      <c r="Z2025" s="6">
        <f t="shared" si="294"/>
        <v>1</v>
      </c>
      <c r="AA2025" t="e">
        <f t="shared" si="295"/>
        <v>#VALUE!</v>
      </c>
      <c r="AB2025" t="str">
        <f t="shared" si="296"/>
        <v/>
      </c>
      <c r="AC2025" t="e">
        <f t="shared" si="297"/>
        <v>#VALUE!</v>
      </c>
    </row>
    <row r="2026" spans="1:29" x14ac:dyDescent="0.2">
      <c r="A2026" t="str">
        <f t="shared" si="298"/>
        <v/>
      </c>
      <c r="E2026" s="4"/>
      <c r="F2026" s="46"/>
      <c r="G2026" s="4"/>
      <c r="H2026" s="48"/>
      <c r="J2026" s="26" t="str">
        <f t="shared" si="299"/>
        <v/>
      </c>
      <c r="N2026" t="str">
        <f t="shared" si="300"/>
        <v/>
      </c>
      <c r="Q2026" t="str">
        <f t="shared" si="301"/>
        <v/>
      </c>
      <c r="S2026" t="str">
        <f>IF(A2026=1,MAX($S$2:$S2025)+1,IF(OR($I2026&lt;&gt;"",A2026="x"),$S2025,""))</f>
        <v/>
      </c>
      <c r="T2026" t="str">
        <f>IF(D2026=1,MAX($T$2:$T2025)+1,IF(S2026=S2025,$T2025,IF(D2026="x",T2025,IF(D2025="x","",""))))</f>
        <v/>
      </c>
      <c r="U2026" t="str">
        <f>IF(B2026=1,MAX($U$2:$U2025)+1,IF(AND($T2026&lt;&gt;"",$T2026=$T2025),$U2025,IF(B2026="x",U2025,"")))</f>
        <v/>
      </c>
      <c r="V2026" t="str">
        <f>IF(C2026=1,MAX($V$2:$V2025)+1,IF(AND($T2026&lt;&gt;"",$T2026=$T2025),$U2025,IF(C2026="x",V2025,"")))</f>
        <v/>
      </c>
      <c r="X2026" cm="1">
        <f t="array" ref="X2026">IF($I2026&lt;&gt;"",$I2026,INDEX($I$1:$I2026,ROW()-COUNTIFS($T$1:$T2026,"="&amp;$T2026,$S$1:$S2026,"&lt;"&amp;$S2026)))</f>
        <v>0</v>
      </c>
      <c r="Z2026" s="6">
        <f t="shared" si="294"/>
        <v>1</v>
      </c>
      <c r="AA2026" t="e">
        <f t="shared" si="295"/>
        <v>#VALUE!</v>
      </c>
      <c r="AB2026" t="str">
        <f t="shared" si="296"/>
        <v/>
      </c>
      <c r="AC2026" t="e">
        <f t="shared" si="297"/>
        <v>#VALUE!</v>
      </c>
    </row>
    <row r="2027" spans="1:29" x14ac:dyDescent="0.2">
      <c r="A2027" t="str">
        <f t="shared" si="298"/>
        <v/>
      </c>
      <c r="E2027" s="4"/>
      <c r="F2027" s="46"/>
      <c r="G2027" s="4"/>
      <c r="H2027" s="48"/>
      <c r="J2027" s="26" t="str">
        <f t="shared" si="299"/>
        <v/>
      </c>
      <c r="N2027" t="str">
        <f t="shared" si="300"/>
        <v/>
      </c>
      <c r="Q2027" t="str">
        <f t="shared" si="301"/>
        <v/>
      </c>
      <c r="S2027" t="str">
        <f>IF(A2027=1,MAX($S$2:$S2026)+1,IF(OR($I2027&lt;&gt;"",A2027="x"),$S2026,""))</f>
        <v/>
      </c>
      <c r="T2027" t="str">
        <f>IF(D2027=1,MAX($T$2:$T2026)+1,IF(S2027=S2026,$T2026,IF(D2027="x",T2026,IF(D2026="x","",""))))</f>
        <v/>
      </c>
      <c r="U2027" t="str">
        <f>IF(B2027=1,MAX($U$2:$U2026)+1,IF(AND($T2027&lt;&gt;"",$T2027=$T2026),$U2026,IF(B2027="x",U2026,"")))</f>
        <v/>
      </c>
      <c r="V2027" t="str">
        <f>IF(C2027=1,MAX($V$2:$V2026)+1,IF(AND($T2027&lt;&gt;"",$T2027=$T2026),$U2026,IF(C2027="x",V2026,"")))</f>
        <v/>
      </c>
      <c r="X2027" cm="1">
        <f t="array" ref="X2027">IF($I2027&lt;&gt;"",$I2027,INDEX($I$1:$I2027,ROW()-COUNTIFS($T$1:$T2027,"="&amp;$T2027,$S$1:$S2027,"&lt;"&amp;$S2027)))</f>
        <v>0</v>
      </c>
      <c r="Z2027" s="6">
        <f t="shared" si="294"/>
        <v>1</v>
      </c>
      <c r="AA2027" t="e">
        <f t="shared" si="295"/>
        <v>#VALUE!</v>
      </c>
      <c r="AB2027" t="str">
        <f t="shared" si="296"/>
        <v/>
      </c>
      <c r="AC2027" t="e">
        <f t="shared" si="297"/>
        <v>#VALUE!</v>
      </c>
    </row>
    <row r="2028" spans="1:29" x14ac:dyDescent="0.2">
      <c r="A2028" t="str">
        <f t="shared" si="298"/>
        <v/>
      </c>
      <c r="E2028" s="4"/>
      <c r="F2028" s="46"/>
      <c r="G2028" s="4"/>
      <c r="H2028" s="48"/>
      <c r="J2028" s="26" t="str">
        <f t="shared" si="299"/>
        <v/>
      </c>
      <c r="N2028" t="str">
        <f t="shared" si="300"/>
        <v/>
      </c>
      <c r="Q2028" t="str">
        <f t="shared" si="301"/>
        <v/>
      </c>
      <c r="S2028" t="str">
        <f>IF(A2028=1,MAX($S$2:$S2027)+1,IF(OR($I2028&lt;&gt;"",A2028="x"),$S2027,""))</f>
        <v/>
      </c>
      <c r="T2028" t="str">
        <f>IF(D2028=1,MAX($T$2:$T2027)+1,IF(S2028=S2027,$T2027,IF(D2028="x",T2027,IF(D2027="x","",""))))</f>
        <v/>
      </c>
      <c r="U2028" t="str">
        <f>IF(B2028=1,MAX($U$2:$U2027)+1,IF(AND($T2028&lt;&gt;"",$T2028=$T2027),$U2027,IF(B2028="x",U2027,"")))</f>
        <v/>
      </c>
      <c r="V2028" t="str">
        <f>IF(C2028=1,MAX($V$2:$V2027)+1,IF(AND($T2028&lt;&gt;"",$T2028=$T2027),$U2027,IF(C2028="x",V2027,"")))</f>
        <v/>
      </c>
      <c r="X2028" cm="1">
        <f t="array" ref="X2028">IF($I2028&lt;&gt;"",$I2028,INDEX($I$1:$I2028,ROW()-COUNTIFS($T$1:$T2028,"="&amp;$T2028,$S$1:$S2028,"&lt;"&amp;$S2028)))</f>
        <v>0</v>
      </c>
      <c r="Z2028" s="6">
        <f t="shared" si="294"/>
        <v>1</v>
      </c>
      <c r="AA2028" t="e">
        <f t="shared" si="295"/>
        <v>#VALUE!</v>
      </c>
      <c r="AB2028" t="str">
        <f t="shared" si="296"/>
        <v/>
      </c>
      <c r="AC2028" t="e">
        <f t="shared" si="297"/>
        <v>#VALUE!</v>
      </c>
    </row>
    <row r="2029" spans="1:29" x14ac:dyDescent="0.2">
      <c r="A2029" t="str">
        <f t="shared" si="298"/>
        <v/>
      </c>
      <c r="E2029" s="4"/>
      <c r="F2029" s="46"/>
      <c r="G2029" s="4"/>
      <c r="H2029" s="48"/>
      <c r="J2029" s="26" t="str">
        <f t="shared" si="299"/>
        <v/>
      </c>
      <c r="N2029" t="str">
        <f t="shared" si="300"/>
        <v/>
      </c>
      <c r="Q2029" t="str">
        <f t="shared" si="301"/>
        <v/>
      </c>
      <c r="S2029" t="str">
        <f>IF(A2029=1,MAX($S$2:$S2028)+1,IF(OR($I2029&lt;&gt;"",A2029="x"),$S2028,""))</f>
        <v/>
      </c>
      <c r="T2029" t="str">
        <f>IF(D2029=1,MAX($T$2:$T2028)+1,IF(S2029=S2028,$T2028,IF(D2029="x",T2028,IF(D2028="x","",""))))</f>
        <v/>
      </c>
      <c r="U2029" t="str">
        <f>IF(B2029=1,MAX($U$2:$U2028)+1,IF(AND($T2029&lt;&gt;"",$T2029=$T2028),$U2028,IF(B2029="x",U2028,"")))</f>
        <v/>
      </c>
      <c r="V2029" t="str">
        <f>IF(C2029=1,MAX($V$2:$V2028)+1,IF(AND($T2029&lt;&gt;"",$T2029=$T2028),$U2028,IF(C2029="x",V2028,"")))</f>
        <v/>
      </c>
      <c r="X2029" cm="1">
        <f t="array" ref="X2029">IF($I2029&lt;&gt;"",$I2029,INDEX($I$1:$I2029,ROW()-COUNTIFS($T$1:$T2029,"="&amp;$T2029,$S$1:$S2029,"&lt;"&amp;$S2029)))</f>
        <v>0</v>
      </c>
      <c r="Z2029" s="6">
        <f t="shared" si="294"/>
        <v>1</v>
      </c>
      <c r="AA2029" t="e">
        <f t="shared" si="295"/>
        <v>#VALUE!</v>
      </c>
      <c r="AB2029" t="str">
        <f t="shared" si="296"/>
        <v/>
      </c>
      <c r="AC2029" t="e">
        <f t="shared" si="297"/>
        <v>#VALUE!</v>
      </c>
    </row>
    <row r="2030" spans="1:29" x14ac:dyDescent="0.2">
      <c r="A2030" t="str">
        <f t="shared" si="298"/>
        <v/>
      </c>
      <c r="E2030" s="4"/>
      <c r="F2030" s="46"/>
      <c r="G2030" s="4"/>
      <c r="H2030" s="48"/>
      <c r="J2030" s="26" t="str">
        <f t="shared" si="299"/>
        <v/>
      </c>
      <c r="N2030" t="str">
        <f t="shared" si="300"/>
        <v/>
      </c>
      <c r="Q2030" t="str">
        <f t="shared" si="301"/>
        <v/>
      </c>
      <c r="S2030" t="str">
        <f>IF(A2030=1,MAX($S$2:$S2029)+1,IF(OR($I2030&lt;&gt;"",A2030="x"),$S2029,""))</f>
        <v/>
      </c>
      <c r="T2030" t="str">
        <f>IF(D2030=1,MAX($T$2:$T2029)+1,IF(S2030=S2029,$T2029,IF(D2030="x",T2029,IF(D2029="x","",""))))</f>
        <v/>
      </c>
      <c r="U2030" t="str">
        <f>IF(B2030=1,MAX($U$2:$U2029)+1,IF(AND($T2030&lt;&gt;"",$T2030=$T2029),$U2029,IF(B2030="x",U2029,"")))</f>
        <v/>
      </c>
      <c r="V2030" t="str">
        <f>IF(C2030=1,MAX($V$2:$V2029)+1,IF(AND($T2030&lt;&gt;"",$T2030=$T2029),$U2029,IF(C2030="x",V2029,"")))</f>
        <v/>
      </c>
      <c r="X2030" cm="1">
        <f t="array" ref="X2030">IF($I2030&lt;&gt;"",$I2030,INDEX($I$1:$I2030,ROW()-COUNTIFS($T$1:$T2030,"="&amp;$T2030,$S$1:$S2030,"&lt;"&amp;$S2030)))</f>
        <v>0</v>
      </c>
      <c r="Z2030" s="6">
        <f t="shared" si="294"/>
        <v>1</v>
      </c>
      <c r="AA2030" t="e">
        <f t="shared" si="295"/>
        <v>#VALUE!</v>
      </c>
      <c r="AB2030" t="str">
        <f t="shared" si="296"/>
        <v/>
      </c>
      <c r="AC2030" t="e">
        <f t="shared" si="297"/>
        <v>#VALUE!</v>
      </c>
    </row>
    <row r="2031" spans="1:29" x14ac:dyDescent="0.2">
      <c r="A2031" t="str">
        <f t="shared" si="298"/>
        <v/>
      </c>
      <c r="E2031" s="4"/>
      <c r="F2031" s="46"/>
      <c r="G2031" s="4"/>
      <c r="H2031" s="48"/>
      <c r="J2031" s="26" t="str">
        <f t="shared" si="299"/>
        <v/>
      </c>
      <c r="N2031" t="str">
        <f t="shared" si="300"/>
        <v/>
      </c>
      <c r="Q2031" t="str">
        <f t="shared" si="301"/>
        <v/>
      </c>
      <c r="S2031" t="str">
        <f>IF(A2031=1,MAX($S$2:$S2030)+1,IF(OR($I2031&lt;&gt;"",A2031="x"),$S2030,""))</f>
        <v/>
      </c>
      <c r="T2031" t="str">
        <f>IF(D2031=1,MAX($T$2:$T2030)+1,IF(S2031=S2030,$T2030,IF(D2031="x",T2030,IF(D2030="x","",""))))</f>
        <v/>
      </c>
      <c r="U2031" t="str">
        <f>IF(B2031=1,MAX($U$2:$U2030)+1,IF(AND($T2031&lt;&gt;"",$T2031=$T2030),$U2030,IF(B2031="x",U2030,"")))</f>
        <v/>
      </c>
      <c r="V2031" t="str">
        <f>IF(C2031=1,MAX($V$2:$V2030)+1,IF(AND($T2031&lt;&gt;"",$T2031=$T2030),$U2030,IF(C2031="x",V2030,"")))</f>
        <v/>
      </c>
      <c r="X2031" cm="1">
        <f t="array" ref="X2031">IF($I2031&lt;&gt;"",$I2031,INDEX($I$1:$I2031,ROW()-COUNTIFS($T$1:$T2031,"="&amp;$T2031,$S$1:$S2031,"&lt;"&amp;$S2031)))</f>
        <v>0</v>
      </c>
      <c r="Z2031" s="6">
        <f t="shared" si="294"/>
        <v>1</v>
      </c>
      <c r="AA2031" t="e">
        <f t="shared" si="295"/>
        <v>#VALUE!</v>
      </c>
      <c r="AB2031" t="str">
        <f t="shared" si="296"/>
        <v/>
      </c>
      <c r="AC2031" t="e">
        <f t="shared" si="297"/>
        <v>#VALUE!</v>
      </c>
    </row>
    <row r="2032" spans="1:29" x14ac:dyDescent="0.2">
      <c r="A2032" t="str">
        <f t="shared" si="298"/>
        <v/>
      </c>
      <c r="E2032" s="4"/>
      <c r="F2032" s="46"/>
      <c r="G2032" s="4"/>
      <c r="H2032" s="48"/>
      <c r="J2032" s="26" t="str">
        <f t="shared" si="299"/>
        <v/>
      </c>
      <c r="N2032" t="str">
        <f t="shared" si="300"/>
        <v/>
      </c>
      <c r="Q2032" t="str">
        <f t="shared" si="301"/>
        <v/>
      </c>
      <c r="S2032" t="str">
        <f>IF(A2032=1,MAX($S$2:$S2031)+1,IF(OR($I2032&lt;&gt;"",A2032="x"),$S2031,""))</f>
        <v/>
      </c>
      <c r="T2032" t="str">
        <f>IF(D2032=1,MAX($T$2:$T2031)+1,IF(S2032=S2031,$T2031,IF(D2032="x",T2031,IF(D2031="x","",""))))</f>
        <v/>
      </c>
      <c r="U2032" t="str">
        <f>IF(B2032=1,MAX($U$2:$U2031)+1,IF(AND($T2032&lt;&gt;"",$T2032=$T2031),$U2031,IF(B2032="x",U2031,"")))</f>
        <v/>
      </c>
      <c r="V2032" t="str">
        <f>IF(C2032=1,MAX($V$2:$V2031)+1,IF(AND($T2032&lt;&gt;"",$T2032=$T2031),$U2031,IF(C2032="x",V2031,"")))</f>
        <v/>
      </c>
      <c r="X2032" cm="1">
        <f t="array" ref="X2032">IF($I2032&lt;&gt;"",$I2032,INDEX($I$1:$I2032,ROW()-COUNTIFS($T$1:$T2032,"="&amp;$T2032,$S$1:$S2032,"&lt;"&amp;$S2032)))</f>
        <v>0</v>
      </c>
      <c r="Z2032" s="6">
        <f t="shared" si="294"/>
        <v>1</v>
      </c>
      <c r="AA2032" t="e">
        <f t="shared" si="295"/>
        <v>#VALUE!</v>
      </c>
      <c r="AB2032" t="str">
        <f t="shared" si="296"/>
        <v/>
      </c>
      <c r="AC2032" t="e">
        <f t="shared" si="297"/>
        <v>#VALUE!</v>
      </c>
    </row>
    <row r="2033" spans="1:29" x14ac:dyDescent="0.2">
      <c r="A2033" t="str">
        <f t="shared" si="298"/>
        <v/>
      </c>
      <c r="E2033" s="4"/>
      <c r="F2033" s="46"/>
      <c r="G2033" s="4"/>
      <c r="H2033" s="48"/>
      <c r="J2033" s="26" t="str">
        <f t="shared" si="299"/>
        <v/>
      </c>
      <c r="N2033" t="str">
        <f t="shared" si="300"/>
        <v/>
      </c>
      <c r="Q2033" t="str">
        <f t="shared" si="301"/>
        <v/>
      </c>
      <c r="S2033" t="str">
        <f>IF(A2033=1,MAX($S$2:$S2032)+1,IF(OR($I2033&lt;&gt;"",A2033="x"),$S2032,""))</f>
        <v/>
      </c>
      <c r="T2033" t="str">
        <f>IF(D2033=1,MAX($T$2:$T2032)+1,IF(S2033=S2032,$T2032,IF(D2033="x",T2032,IF(D2032="x","",""))))</f>
        <v/>
      </c>
      <c r="U2033" t="str">
        <f>IF(B2033=1,MAX($U$2:$U2032)+1,IF(AND($T2033&lt;&gt;"",$T2033=$T2032),$U2032,IF(B2033="x",U2032,"")))</f>
        <v/>
      </c>
      <c r="V2033" t="str">
        <f>IF(C2033=1,MAX($V$2:$V2032)+1,IF(AND($T2033&lt;&gt;"",$T2033=$T2032),$U2032,IF(C2033="x",V2032,"")))</f>
        <v/>
      </c>
      <c r="X2033" cm="1">
        <f t="array" ref="X2033">IF($I2033&lt;&gt;"",$I2033,INDEX($I$1:$I2033,ROW()-COUNTIFS($T$1:$T2033,"="&amp;$T2033,$S$1:$S2033,"&lt;"&amp;$S2033)))</f>
        <v>0</v>
      </c>
      <c r="Z2033" s="6">
        <f t="shared" si="294"/>
        <v>1</v>
      </c>
      <c r="AA2033" t="e">
        <f t="shared" si="295"/>
        <v>#VALUE!</v>
      </c>
      <c r="AB2033" t="str">
        <f t="shared" si="296"/>
        <v/>
      </c>
      <c r="AC2033" t="e">
        <f t="shared" si="297"/>
        <v>#VALUE!</v>
      </c>
    </row>
    <row r="2034" spans="1:29" x14ac:dyDescent="0.2">
      <c r="A2034" t="str">
        <f t="shared" si="298"/>
        <v/>
      </c>
      <c r="E2034" s="4"/>
      <c r="F2034" s="46"/>
      <c r="G2034" s="4"/>
      <c r="H2034" s="48"/>
      <c r="J2034" s="26" t="str">
        <f t="shared" si="299"/>
        <v/>
      </c>
      <c r="N2034" t="str">
        <f t="shared" si="300"/>
        <v/>
      </c>
      <c r="Q2034" t="str">
        <f t="shared" si="301"/>
        <v/>
      </c>
      <c r="S2034" t="str">
        <f>IF(A2034=1,MAX($S$2:$S2033)+1,IF(OR($I2034&lt;&gt;"",A2034="x"),$S2033,""))</f>
        <v/>
      </c>
      <c r="T2034" t="str">
        <f>IF(D2034=1,MAX($T$2:$T2033)+1,IF(S2034=S2033,$T2033,IF(D2034="x",T2033,IF(D2033="x","",""))))</f>
        <v/>
      </c>
      <c r="U2034" t="str">
        <f>IF(B2034=1,MAX($U$2:$U2033)+1,IF(AND($T2034&lt;&gt;"",$T2034=$T2033),$U2033,IF(B2034="x",U2033,"")))</f>
        <v/>
      </c>
      <c r="V2034" t="str">
        <f>IF(C2034=1,MAX($V$2:$V2033)+1,IF(AND($T2034&lt;&gt;"",$T2034=$T2033),$U2033,IF(C2034="x",V2033,"")))</f>
        <v/>
      </c>
      <c r="X2034" cm="1">
        <f t="array" ref="X2034">IF($I2034&lt;&gt;"",$I2034,INDEX($I$1:$I2034,ROW()-COUNTIFS($T$1:$T2034,"="&amp;$T2034,$S$1:$S2034,"&lt;"&amp;$S2034)))</f>
        <v>0</v>
      </c>
      <c r="Z2034" s="6">
        <f t="shared" si="294"/>
        <v>1</v>
      </c>
      <c r="AA2034" t="e">
        <f t="shared" si="295"/>
        <v>#VALUE!</v>
      </c>
      <c r="AB2034" t="str">
        <f t="shared" si="296"/>
        <v/>
      </c>
      <c r="AC2034" t="e">
        <f t="shared" si="297"/>
        <v>#VALUE!</v>
      </c>
    </row>
    <row r="2035" spans="1:29" x14ac:dyDescent="0.2">
      <c r="A2035" t="str">
        <f t="shared" si="298"/>
        <v/>
      </c>
      <c r="E2035" s="4"/>
      <c r="F2035" s="46"/>
      <c r="G2035" s="4"/>
      <c r="H2035" s="48"/>
      <c r="J2035" s="26" t="str">
        <f t="shared" si="299"/>
        <v/>
      </c>
      <c r="N2035" t="str">
        <f t="shared" si="300"/>
        <v/>
      </c>
      <c r="Q2035" t="str">
        <f t="shared" si="301"/>
        <v/>
      </c>
      <c r="S2035" t="str">
        <f>IF(A2035=1,MAX($S$2:$S2034)+1,IF(OR($I2035&lt;&gt;"",A2035="x"),$S2034,""))</f>
        <v/>
      </c>
      <c r="T2035" t="str">
        <f>IF(D2035=1,MAX($T$2:$T2034)+1,IF(S2035=S2034,$T2034,IF(D2035="x",T2034,IF(D2034="x","",""))))</f>
        <v/>
      </c>
      <c r="U2035" t="str">
        <f>IF(B2035=1,MAX($U$2:$U2034)+1,IF(AND($T2035&lt;&gt;"",$T2035=$T2034),$U2034,IF(B2035="x",U2034,"")))</f>
        <v/>
      </c>
      <c r="V2035" t="str">
        <f>IF(C2035=1,MAX($V$2:$V2034)+1,IF(AND($T2035&lt;&gt;"",$T2035=$T2034),$U2034,IF(C2035="x",V2034,"")))</f>
        <v/>
      </c>
      <c r="X2035" cm="1">
        <f t="array" ref="X2035">IF($I2035&lt;&gt;"",$I2035,INDEX($I$1:$I2035,ROW()-COUNTIFS($T$1:$T2035,"="&amp;$T2035,$S$1:$S2035,"&lt;"&amp;$S2035)))</f>
        <v>0</v>
      </c>
      <c r="Z2035" s="6">
        <f t="shared" si="294"/>
        <v>1</v>
      </c>
      <c r="AA2035" t="e">
        <f t="shared" si="295"/>
        <v>#VALUE!</v>
      </c>
      <c r="AB2035" t="str">
        <f t="shared" si="296"/>
        <v/>
      </c>
      <c r="AC2035" t="e">
        <f t="shared" si="297"/>
        <v>#VALUE!</v>
      </c>
    </row>
    <row r="2036" spans="1:29" x14ac:dyDescent="0.2">
      <c r="A2036" t="str">
        <f t="shared" si="298"/>
        <v/>
      </c>
      <c r="E2036" s="4"/>
      <c r="F2036" s="46"/>
      <c r="G2036" s="4"/>
      <c r="H2036" s="48"/>
      <c r="J2036" s="26" t="str">
        <f t="shared" si="299"/>
        <v/>
      </c>
      <c r="N2036" t="str">
        <f t="shared" si="300"/>
        <v/>
      </c>
      <c r="Q2036" t="str">
        <f t="shared" si="301"/>
        <v/>
      </c>
      <c r="S2036" t="str">
        <f>IF(A2036=1,MAX($S$2:$S2035)+1,IF(OR($I2036&lt;&gt;"",A2036="x"),$S2035,""))</f>
        <v/>
      </c>
      <c r="T2036" t="str">
        <f>IF(D2036=1,MAX($T$2:$T2035)+1,IF(S2036=S2035,$T2035,IF(D2036="x",T2035,IF(D2035="x","",""))))</f>
        <v/>
      </c>
      <c r="U2036" t="str">
        <f>IF(B2036=1,MAX($U$2:$U2035)+1,IF(AND($T2036&lt;&gt;"",$T2036=$T2035),$U2035,IF(B2036="x",U2035,"")))</f>
        <v/>
      </c>
      <c r="V2036" t="str">
        <f>IF(C2036=1,MAX($V$2:$V2035)+1,IF(AND($T2036&lt;&gt;"",$T2036=$T2035),$U2035,IF(C2036="x",V2035,"")))</f>
        <v/>
      </c>
      <c r="X2036" cm="1">
        <f t="array" ref="X2036">IF($I2036&lt;&gt;"",$I2036,INDEX($I$1:$I2036,ROW()-COUNTIFS($T$1:$T2036,"="&amp;$T2036,$S$1:$S2036,"&lt;"&amp;$S2036)))</f>
        <v>0</v>
      </c>
      <c r="Z2036" s="6">
        <f t="shared" si="294"/>
        <v>1</v>
      </c>
      <c r="AA2036" t="e">
        <f t="shared" si="295"/>
        <v>#VALUE!</v>
      </c>
      <c r="AB2036" t="str">
        <f t="shared" si="296"/>
        <v/>
      </c>
      <c r="AC2036" t="e">
        <f t="shared" si="297"/>
        <v>#VALUE!</v>
      </c>
    </row>
    <row r="2037" spans="1:29" x14ac:dyDescent="0.2">
      <c r="A2037" t="str">
        <f t="shared" si="298"/>
        <v/>
      </c>
      <c r="E2037" s="4"/>
      <c r="F2037" s="46"/>
      <c r="G2037" s="4"/>
      <c r="H2037" s="48"/>
      <c r="J2037" s="26" t="str">
        <f t="shared" si="299"/>
        <v/>
      </c>
      <c r="N2037" t="str">
        <f t="shared" si="300"/>
        <v/>
      </c>
      <c r="Q2037" t="str">
        <f t="shared" si="301"/>
        <v/>
      </c>
      <c r="S2037" t="str">
        <f>IF(A2037=1,MAX($S$2:$S2036)+1,IF(OR($I2037&lt;&gt;"",A2037="x"),$S2036,""))</f>
        <v/>
      </c>
      <c r="T2037" t="str">
        <f>IF(D2037=1,MAX($T$2:$T2036)+1,IF(S2037=S2036,$T2036,IF(D2037="x",T2036,IF(D2036="x","",""))))</f>
        <v/>
      </c>
      <c r="U2037" t="str">
        <f>IF(B2037=1,MAX($U$2:$U2036)+1,IF(AND($T2037&lt;&gt;"",$T2037=$T2036),$U2036,IF(B2037="x",U2036,"")))</f>
        <v/>
      </c>
      <c r="V2037" t="str">
        <f>IF(C2037=1,MAX($V$2:$V2036)+1,IF(AND($T2037&lt;&gt;"",$T2037=$T2036),$U2036,IF(C2037="x",V2036,"")))</f>
        <v/>
      </c>
      <c r="X2037" cm="1">
        <f t="array" ref="X2037">IF($I2037&lt;&gt;"",$I2037,INDEX($I$1:$I2037,ROW()-COUNTIFS($T$1:$T2037,"="&amp;$T2037,$S$1:$S2037,"&lt;"&amp;$S2037)))</f>
        <v>0</v>
      </c>
      <c r="Z2037" s="6">
        <f t="shared" si="294"/>
        <v>1</v>
      </c>
      <c r="AA2037" t="e">
        <f t="shared" si="295"/>
        <v>#VALUE!</v>
      </c>
      <c r="AB2037" t="str">
        <f t="shared" si="296"/>
        <v/>
      </c>
      <c r="AC2037" t="e">
        <f t="shared" si="297"/>
        <v>#VALUE!</v>
      </c>
    </row>
    <row r="2038" spans="1:29" x14ac:dyDescent="0.2">
      <c r="A2038" t="str">
        <f t="shared" si="298"/>
        <v/>
      </c>
      <c r="E2038" s="4"/>
      <c r="F2038" s="46"/>
      <c r="G2038" s="4"/>
      <c r="H2038" s="48"/>
      <c r="J2038" s="26" t="str">
        <f t="shared" si="299"/>
        <v/>
      </c>
      <c r="N2038" t="str">
        <f t="shared" si="300"/>
        <v/>
      </c>
      <c r="Q2038" t="str">
        <f t="shared" si="301"/>
        <v/>
      </c>
      <c r="S2038" t="str">
        <f>IF(A2038=1,MAX($S$2:$S2037)+1,IF(OR($I2038&lt;&gt;"",A2038="x"),$S2037,""))</f>
        <v/>
      </c>
      <c r="T2038" t="str">
        <f>IF(D2038=1,MAX($T$2:$T2037)+1,IF(S2038=S2037,$T2037,IF(D2038="x",T2037,IF(D2037="x","",""))))</f>
        <v/>
      </c>
      <c r="U2038" t="str">
        <f>IF(B2038=1,MAX($U$2:$U2037)+1,IF(AND($T2038&lt;&gt;"",$T2038=$T2037),$U2037,IF(B2038="x",U2037,"")))</f>
        <v/>
      </c>
      <c r="V2038" t="str">
        <f>IF(C2038=1,MAX($V$2:$V2037)+1,IF(AND($T2038&lt;&gt;"",$T2038=$T2037),$U2037,IF(C2038="x",V2037,"")))</f>
        <v/>
      </c>
      <c r="X2038" cm="1">
        <f t="array" ref="X2038">IF($I2038&lt;&gt;"",$I2038,INDEX($I$1:$I2038,ROW()-COUNTIFS($T$1:$T2038,"="&amp;$T2038,$S$1:$S2038,"&lt;"&amp;$S2038)))</f>
        <v>0</v>
      </c>
      <c r="Z2038" s="6">
        <f t="shared" si="294"/>
        <v>1</v>
      </c>
      <c r="AA2038" t="e">
        <f t="shared" si="295"/>
        <v>#VALUE!</v>
      </c>
      <c r="AB2038" t="str">
        <f t="shared" si="296"/>
        <v/>
      </c>
      <c r="AC2038" t="e">
        <f t="shared" si="297"/>
        <v>#VALUE!</v>
      </c>
    </row>
    <row r="2039" spans="1:29" x14ac:dyDescent="0.2">
      <c r="A2039" t="str">
        <f t="shared" si="298"/>
        <v/>
      </c>
      <c r="E2039" s="4"/>
      <c r="F2039" s="46"/>
      <c r="G2039" s="4"/>
      <c r="H2039" s="48"/>
      <c r="J2039" s="26" t="str">
        <f t="shared" si="299"/>
        <v/>
      </c>
      <c r="N2039" t="str">
        <f t="shared" si="300"/>
        <v/>
      </c>
      <c r="Q2039" t="str">
        <f t="shared" si="301"/>
        <v/>
      </c>
      <c r="S2039" t="str">
        <f>IF(A2039=1,MAX($S$2:$S2038)+1,IF(OR($I2039&lt;&gt;"",A2039="x"),$S2038,""))</f>
        <v/>
      </c>
      <c r="T2039" t="str">
        <f>IF(D2039=1,MAX($T$2:$T2038)+1,IF(S2039=S2038,$T2038,IF(D2039="x",T2038,IF(D2038="x","",""))))</f>
        <v/>
      </c>
      <c r="U2039" t="str">
        <f>IF(B2039=1,MAX($U$2:$U2038)+1,IF(AND($T2039&lt;&gt;"",$T2039=$T2038),$U2038,IF(B2039="x",U2038,"")))</f>
        <v/>
      </c>
      <c r="V2039" t="str">
        <f>IF(C2039=1,MAX($V$2:$V2038)+1,IF(AND($T2039&lt;&gt;"",$T2039=$T2038),$U2038,IF(C2039="x",V2038,"")))</f>
        <v/>
      </c>
      <c r="X2039" cm="1">
        <f t="array" ref="X2039">IF($I2039&lt;&gt;"",$I2039,INDEX($I$1:$I2039,ROW()-COUNTIFS($T$1:$T2039,"="&amp;$T2039,$S$1:$S2039,"&lt;"&amp;$S2039)))</f>
        <v>0</v>
      </c>
      <c r="Z2039" s="6">
        <f t="shared" si="294"/>
        <v>1</v>
      </c>
      <c r="AA2039" t="e">
        <f t="shared" si="295"/>
        <v>#VALUE!</v>
      </c>
      <c r="AB2039" t="str">
        <f t="shared" si="296"/>
        <v/>
      </c>
      <c r="AC2039" t="e">
        <f t="shared" si="297"/>
        <v>#VALUE!</v>
      </c>
    </row>
    <row r="2040" spans="1:29" x14ac:dyDescent="0.2">
      <c r="A2040" t="str">
        <f t="shared" si="298"/>
        <v/>
      </c>
      <c r="E2040" s="4"/>
      <c r="F2040" s="46"/>
      <c r="G2040" s="4"/>
      <c r="H2040" s="48"/>
      <c r="J2040" s="26" t="str">
        <f t="shared" si="299"/>
        <v/>
      </c>
      <c r="N2040" t="str">
        <f t="shared" si="300"/>
        <v/>
      </c>
      <c r="Q2040" t="str">
        <f t="shared" si="301"/>
        <v/>
      </c>
      <c r="S2040" t="str">
        <f>IF(A2040=1,MAX($S$2:$S2039)+1,IF(OR($I2040&lt;&gt;"",A2040="x"),$S2039,""))</f>
        <v/>
      </c>
      <c r="T2040" t="str">
        <f>IF(D2040=1,MAX($T$2:$T2039)+1,IF(S2040=S2039,$T2039,IF(D2040="x",T2039,IF(D2039="x","",""))))</f>
        <v/>
      </c>
      <c r="U2040" t="str">
        <f>IF(B2040=1,MAX($U$2:$U2039)+1,IF(AND($T2040&lt;&gt;"",$T2040=$T2039),$U2039,IF(B2040="x",U2039,"")))</f>
        <v/>
      </c>
      <c r="V2040" t="str">
        <f>IF(C2040=1,MAX($V$2:$V2039)+1,IF(AND($T2040&lt;&gt;"",$T2040=$T2039),$U2039,IF(C2040="x",V2039,"")))</f>
        <v/>
      </c>
      <c r="X2040" cm="1">
        <f t="array" ref="X2040">IF($I2040&lt;&gt;"",$I2040,INDEX($I$1:$I2040,ROW()-COUNTIFS($T$1:$T2040,"="&amp;$T2040,$S$1:$S2040,"&lt;"&amp;$S2040)))</f>
        <v>0</v>
      </c>
      <c r="Z2040" s="6">
        <f t="shared" si="294"/>
        <v>1</v>
      </c>
      <c r="AA2040" t="e">
        <f t="shared" si="295"/>
        <v>#VALUE!</v>
      </c>
      <c r="AB2040" t="str">
        <f t="shared" si="296"/>
        <v/>
      </c>
      <c r="AC2040" t="e">
        <f t="shared" si="297"/>
        <v>#VALUE!</v>
      </c>
    </row>
    <row r="2041" spans="1:29" x14ac:dyDescent="0.2">
      <c r="A2041" t="str">
        <f t="shared" si="298"/>
        <v/>
      </c>
      <c r="E2041" s="4"/>
      <c r="F2041" s="46"/>
      <c r="G2041" s="4"/>
      <c r="H2041" s="48"/>
      <c r="J2041" s="26" t="str">
        <f t="shared" si="299"/>
        <v/>
      </c>
      <c r="N2041" t="str">
        <f t="shared" si="300"/>
        <v/>
      </c>
      <c r="Q2041" t="str">
        <f t="shared" si="301"/>
        <v/>
      </c>
      <c r="S2041" t="str">
        <f>IF(A2041=1,MAX($S$2:$S2040)+1,IF(OR($I2041&lt;&gt;"",A2041="x"),$S2040,""))</f>
        <v/>
      </c>
      <c r="T2041" t="str">
        <f>IF(D2041=1,MAX($T$2:$T2040)+1,IF(S2041=S2040,$T2040,IF(D2041="x",T2040,IF(D2040="x","",""))))</f>
        <v/>
      </c>
      <c r="U2041" t="str">
        <f>IF(B2041=1,MAX($U$2:$U2040)+1,IF(AND($T2041&lt;&gt;"",$T2041=$T2040),$U2040,IF(B2041="x",U2040,"")))</f>
        <v/>
      </c>
      <c r="V2041" t="str">
        <f>IF(C2041=1,MAX($V$2:$V2040)+1,IF(AND($T2041&lt;&gt;"",$T2041=$T2040),$U2040,IF(C2041="x",V2040,"")))</f>
        <v/>
      </c>
      <c r="X2041" cm="1">
        <f t="array" ref="X2041">IF($I2041&lt;&gt;"",$I2041,INDEX($I$1:$I2041,ROW()-COUNTIFS($T$1:$T2041,"="&amp;$T2041,$S$1:$S2041,"&lt;"&amp;$S2041)))</f>
        <v>0</v>
      </c>
      <c r="Z2041" s="6">
        <f t="shared" si="294"/>
        <v>1</v>
      </c>
      <c r="AA2041" t="e">
        <f t="shared" si="295"/>
        <v>#VALUE!</v>
      </c>
      <c r="AB2041" t="str">
        <f t="shared" si="296"/>
        <v/>
      </c>
      <c r="AC2041" t="e">
        <f t="shared" si="297"/>
        <v>#VALUE!</v>
      </c>
    </row>
    <row r="2042" spans="1:29" x14ac:dyDescent="0.2">
      <c r="A2042" t="str">
        <f t="shared" si="298"/>
        <v/>
      </c>
      <c r="E2042" s="4"/>
      <c r="F2042" s="46"/>
      <c r="G2042" s="4"/>
      <c r="H2042" s="48"/>
      <c r="J2042" s="26" t="str">
        <f t="shared" si="299"/>
        <v/>
      </c>
      <c r="N2042" t="str">
        <f t="shared" si="300"/>
        <v/>
      </c>
      <c r="Q2042" t="str">
        <f t="shared" si="301"/>
        <v/>
      </c>
      <c r="S2042" t="str">
        <f>IF(A2042=1,MAX($S$2:$S2041)+1,IF(OR($I2042&lt;&gt;"",A2042="x"),$S2041,""))</f>
        <v/>
      </c>
      <c r="T2042" t="str">
        <f>IF(D2042=1,MAX($T$2:$T2041)+1,IF(S2042=S2041,$T2041,IF(D2042="x",T2041,IF(D2041="x","",""))))</f>
        <v/>
      </c>
      <c r="U2042" t="str">
        <f>IF(B2042=1,MAX($U$2:$U2041)+1,IF(AND($T2042&lt;&gt;"",$T2042=$T2041),$U2041,IF(B2042="x",U2041,"")))</f>
        <v/>
      </c>
      <c r="V2042" t="str">
        <f>IF(C2042=1,MAX($V$2:$V2041)+1,IF(AND($T2042&lt;&gt;"",$T2042=$T2041),$U2041,IF(C2042="x",V2041,"")))</f>
        <v/>
      </c>
      <c r="X2042" cm="1">
        <f t="array" ref="X2042">IF($I2042&lt;&gt;"",$I2042,INDEX($I$1:$I2042,ROW()-COUNTIFS($T$1:$T2042,"="&amp;$T2042,$S$1:$S2042,"&lt;"&amp;$S2042)))</f>
        <v>0</v>
      </c>
      <c r="Z2042" s="6">
        <f t="shared" si="294"/>
        <v>1</v>
      </c>
      <c r="AA2042" t="e">
        <f t="shared" si="295"/>
        <v>#VALUE!</v>
      </c>
      <c r="AB2042" t="str">
        <f t="shared" si="296"/>
        <v/>
      </c>
      <c r="AC2042" t="e">
        <f t="shared" si="297"/>
        <v>#VALUE!</v>
      </c>
    </row>
    <row r="2043" spans="1:29" x14ac:dyDescent="0.2">
      <c r="A2043" t="str">
        <f t="shared" si="298"/>
        <v/>
      </c>
      <c r="E2043" s="4"/>
      <c r="F2043" s="46"/>
      <c r="G2043" s="4"/>
      <c r="H2043" s="48"/>
      <c r="J2043" s="26" t="str">
        <f t="shared" si="299"/>
        <v/>
      </c>
      <c r="N2043" t="str">
        <f t="shared" si="300"/>
        <v/>
      </c>
      <c r="Q2043" t="str">
        <f t="shared" si="301"/>
        <v/>
      </c>
      <c r="S2043" t="str">
        <f>IF(A2043=1,MAX($S$2:$S2042)+1,IF(OR($I2043&lt;&gt;"",A2043="x"),$S2042,""))</f>
        <v/>
      </c>
      <c r="T2043" t="str">
        <f>IF(D2043=1,MAX($T$2:$T2042)+1,IF(S2043=S2042,$T2042,IF(D2043="x",T2042,IF(D2042="x","",""))))</f>
        <v/>
      </c>
      <c r="U2043" t="str">
        <f>IF(B2043=1,MAX($U$2:$U2042)+1,IF(AND($T2043&lt;&gt;"",$T2043=$T2042),$U2042,IF(B2043="x",U2042,"")))</f>
        <v/>
      </c>
      <c r="V2043" t="str">
        <f>IF(C2043=1,MAX($V$2:$V2042)+1,IF(AND($T2043&lt;&gt;"",$T2043=$T2042),$U2042,IF(C2043="x",V2042,"")))</f>
        <v/>
      </c>
      <c r="X2043" cm="1">
        <f t="array" ref="X2043">IF($I2043&lt;&gt;"",$I2043,INDEX($I$1:$I2043,ROW()-COUNTIFS($T$1:$T2043,"="&amp;$T2043,$S$1:$S2043,"&lt;"&amp;$S2043)))</f>
        <v>0</v>
      </c>
      <c r="Z2043" s="6">
        <f t="shared" si="294"/>
        <v>1</v>
      </c>
      <c r="AA2043" t="e">
        <f t="shared" si="295"/>
        <v>#VALUE!</v>
      </c>
      <c r="AB2043" t="str">
        <f t="shared" si="296"/>
        <v/>
      </c>
      <c r="AC2043" t="e">
        <f t="shared" si="297"/>
        <v>#VALUE!</v>
      </c>
    </row>
    <row r="2044" spans="1:29" x14ac:dyDescent="0.2">
      <c r="A2044" t="str">
        <f t="shared" si="298"/>
        <v/>
      </c>
      <c r="E2044" s="4"/>
      <c r="F2044" s="46"/>
      <c r="G2044" s="4"/>
      <c r="H2044" s="48"/>
      <c r="J2044" s="26" t="str">
        <f t="shared" si="299"/>
        <v/>
      </c>
      <c r="N2044" t="str">
        <f t="shared" si="300"/>
        <v/>
      </c>
      <c r="Q2044" t="str">
        <f t="shared" si="301"/>
        <v/>
      </c>
      <c r="S2044" t="str">
        <f>IF(A2044=1,MAX($S$2:$S2043)+1,IF(OR($I2044&lt;&gt;"",A2044="x"),$S2043,""))</f>
        <v/>
      </c>
      <c r="T2044" t="str">
        <f>IF(D2044=1,MAX($T$2:$T2043)+1,IF(S2044=S2043,$T2043,IF(D2044="x",T2043,IF(D2043="x","",""))))</f>
        <v/>
      </c>
      <c r="U2044" t="str">
        <f>IF(B2044=1,MAX($U$2:$U2043)+1,IF(AND($T2044&lt;&gt;"",$T2044=$T2043),$U2043,IF(B2044="x",U2043,"")))</f>
        <v/>
      </c>
      <c r="V2044" t="str">
        <f>IF(C2044=1,MAX($V$2:$V2043)+1,IF(AND($T2044&lt;&gt;"",$T2044=$T2043),$U2043,IF(C2044="x",V2043,"")))</f>
        <v/>
      </c>
      <c r="X2044" cm="1">
        <f t="array" ref="X2044">IF($I2044&lt;&gt;"",$I2044,INDEX($I$1:$I2044,ROW()-COUNTIFS($T$1:$T2044,"="&amp;$T2044,$S$1:$S2044,"&lt;"&amp;$S2044)))</f>
        <v>0</v>
      </c>
      <c r="Z2044" s="6">
        <f t="shared" si="294"/>
        <v>1</v>
      </c>
      <c r="AA2044" t="e">
        <f t="shared" si="295"/>
        <v>#VALUE!</v>
      </c>
      <c r="AB2044" t="str">
        <f t="shared" si="296"/>
        <v/>
      </c>
      <c r="AC2044" t="e">
        <f t="shared" si="297"/>
        <v>#VALUE!</v>
      </c>
    </row>
    <row r="2045" spans="1:29" x14ac:dyDescent="0.2">
      <c r="A2045" t="str">
        <f t="shared" si="298"/>
        <v/>
      </c>
      <c r="E2045" s="4"/>
      <c r="F2045" s="46"/>
      <c r="G2045" s="4"/>
      <c r="H2045" s="48"/>
      <c r="J2045" s="26" t="str">
        <f t="shared" si="299"/>
        <v/>
      </c>
      <c r="N2045" t="str">
        <f t="shared" si="300"/>
        <v/>
      </c>
      <c r="Q2045" t="str">
        <f t="shared" si="301"/>
        <v/>
      </c>
      <c r="S2045" t="str">
        <f>IF(A2045=1,MAX($S$2:$S2044)+1,IF(OR($I2045&lt;&gt;"",A2045="x"),$S2044,""))</f>
        <v/>
      </c>
      <c r="T2045" t="str">
        <f>IF(D2045=1,MAX($T$2:$T2044)+1,IF(S2045=S2044,$T2044,IF(D2045="x",T2044,IF(D2044="x","",""))))</f>
        <v/>
      </c>
      <c r="U2045" t="str">
        <f>IF(B2045=1,MAX($U$2:$U2044)+1,IF(AND($T2045&lt;&gt;"",$T2045=$T2044),$U2044,IF(B2045="x",U2044,"")))</f>
        <v/>
      </c>
      <c r="V2045" t="str">
        <f>IF(C2045=1,MAX($V$2:$V2044)+1,IF(AND($T2045&lt;&gt;"",$T2045=$T2044),$U2044,IF(C2045="x",V2044,"")))</f>
        <v/>
      </c>
      <c r="X2045" cm="1">
        <f t="array" ref="X2045">IF($I2045&lt;&gt;"",$I2045,INDEX($I$1:$I2045,ROW()-COUNTIFS($T$1:$T2045,"="&amp;$T2045,$S$1:$S2045,"&lt;"&amp;$S2045)))</f>
        <v>0</v>
      </c>
      <c r="Z2045" s="6">
        <f t="shared" si="294"/>
        <v>1</v>
      </c>
      <c r="AA2045" t="e">
        <f t="shared" si="295"/>
        <v>#VALUE!</v>
      </c>
      <c r="AB2045" t="str">
        <f t="shared" si="296"/>
        <v/>
      </c>
      <c r="AC2045" t="e">
        <f t="shared" si="297"/>
        <v>#VALUE!</v>
      </c>
    </row>
    <row r="2046" spans="1:29" x14ac:dyDescent="0.2">
      <c r="A2046" t="str">
        <f t="shared" si="298"/>
        <v/>
      </c>
      <c r="E2046" s="4"/>
      <c r="F2046" s="46"/>
      <c r="G2046" s="4"/>
      <c r="H2046" s="48"/>
      <c r="J2046" s="26" t="str">
        <f t="shared" si="299"/>
        <v/>
      </c>
      <c r="N2046" t="str">
        <f t="shared" si="300"/>
        <v/>
      </c>
      <c r="Q2046" t="str">
        <f t="shared" si="301"/>
        <v/>
      </c>
      <c r="S2046" t="str">
        <f>IF(A2046=1,MAX($S$2:$S2045)+1,IF(OR($I2046&lt;&gt;"",A2046="x"),$S2045,""))</f>
        <v/>
      </c>
      <c r="T2046" t="str">
        <f>IF(D2046=1,MAX($T$2:$T2045)+1,IF(S2046=S2045,$T2045,IF(D2046="x",T2045,IF(D2045="x","",""))))</f>
        <v/>
      </c>
      <c r="U2046" t="str">
        <f>IF(B2046=1,MAX($U$2:$U2045)+1,IF(AND($T2046&lt;&gt;"",$T2046=$T2045),$U2045,IF(B2046="x",U2045,"")))</f>
        <v/>
      </c>
      <c r="V2046" t="str">
        <f>IF(C2046=1,MAX($V$2:$V2045)+1,IF(AND($T2046&lt;&gt;"",$T2046=$T2045),$U2045,IF(C2046="x",V2045,"")))</f>
        <v/>
      </c>
      <c r="X2046" cm="1">
        <f t="array" ref="X2046">IF($I2046&lt;&gt;"",$I2046,INDEX($I$1:$I2046,ROW()-COUNTIFS($T$1:$T2046,"="&amp;$T2046,$S$1:$S2046,"&lt;"&amp;$S2046)))</f>
        <v>0</v>
      </c>
      <c r="Z2046" s="6">
        <f t="shared" si="294"/>
        <v>1</v>
      </c>
      <c r="AA2046" t="e">
        <f t="shared" si="295"/>
        <v>#VALUE!</v>
      </c>
      <c r="AB2046" t="str">
        <f t="shared" si="296"/>
        <v/>
      </c>
      <c r="AC2046" t="e">
        <f t="shared" si="297"/>
        <v>#VALUE!</v>
      </c>
    </row>
    <row r="2047" spans="1:29" x14ac:dyDescent="0.2">
      <c r="A2047" t="str">
        <f t="shared" si="298"/>
        <v/>
      </c>
      <c r="E2047" s="4"/>
      <c r="F2047" s="46"/>
      <c r="G2047" s="4"/>
      <c r="H2047" s="48"/>
      <c r="J2047" s="26" t="str">
        <f t="shared" si="299"/>
        <v/>
      </c>
      <c r="N2047" t="str">
        <f t="shared" si="300"/>
        <v/>
      </c>
      <c r="Q2047" t="str">
        <f t="shared" si="301"/>
        <v/>
      </c>
      <c r="S2047" t="str">
        <f>IF(A2047=1,MAX($S$2:$S2046)+1,IF(OR($I2047&lt;&gt;"",A2047="x"),$S2046,""))</f>
        <v/>
      </c>
      <c r="T2047" t="str">
        <f>IF(D2047=1,MAX($T$2:$T2046)+1,IF(S2047=S2046,$T2046,IF(D2047="x",T2046,IF(D2046="x","",""))))</f>
        <v/>
      </c>
      <c r="U2047" t="str">
        <f>IF(B2047=1,MAX($U$2:$U2046)+1,IF(AND($T2047&lt;&gt;"",$T2047=$T2046),$U2046,IF(B2047="x",U2046,"")))</f>
        <v/>
      </c>
      <c r="V2047" t="str">
        <f>IF(C2047=1,MAX($V$2:$V2046)+1,IF(AND($T2047&lt;&gt;"",$T2047=$T2046),$U2046,IF(C2047="x",V2046,"")))</f>
        <v/>
      </c>
      <c r="X2047" cm="1">
        <f t="array" ref="X2047">IF($I2047&lt;&gt;"",$I2047,INDEX($I$1:$I2047,ROW()-COUNTIFS($T$1:$T2047,"="&amp;$T2047,$S$1:$S2047,"&lt;"&amp;$S2047)))</f>
        <v>0</v>
      </c>
      <c r="Z2047" s="6">
        <f t="shared" si="294"/>
        <v>1</v>
      </c>
      <c r="AA2047" t="e">
        <f t="shared" si="295"/>
        <v>#VALUE!</v>
      </c>
      <c r="AB2047" t="str">
        <f t="shared" si="296"/>
        <v/>
      </c>
      <c r="AC2047" t="e">
        <f t="shared" si="297"/>
        <v>#VALUE!</v>
      </c>
    </row>
    <row r="2048" spans="1:29" x14ac:dyDescent="0.2">
      <c r="A2048" t="str">
        <f t="shared" si="298"/>
        <v/>
      </c>
      <c r="E2048" s="4"/>
      <c r="F2048" s="46"/>
      <c r="G2048" s="4"/>
      <c r="H2048" s="48"/>
      <c r="J2048" s="26" t="str">
        <f t="shared" si="299"/>
        <v/>
      </c>
      <c r="N2048" t="str">
        <f t="shared" si="300"/>
        <v/>
      </c>
      <c r="Q2048" t="str">
        <f t="shared" si="301"/>
        <v/>
      </c>
      <c r="S2048" t="str">
        <f>IF(A2048=1,MAX($S$2:$S2047)+1,IF(OR($I2048&lt;&gt;"",A2048="x"),$S2047,""))</f>
        <v/>
      </c>
      <c r="T2048" t="str">
        <f>IF(D2048=1,MAX($T$2:$T2047)+1,IF(S2048=S2047,$T2047,IF(D2048="x",T2047,IF(D2047="x","",""))))</f>
        <v/>
      </c>
      <c r="U2048" t="str">
        <f>IF(B2048=1,MAX($U$2:$U2047)+1,IF(AND($T2048&lt;&gt;"",$T2048=$T2047),$U2047,IF(B2048="x",U2047,"")))</f>
        <v/>
      </c>
      <c r="V2048" t="str">
        <f>IF(C2048=1,MAX($V$2:$V2047)+1,IF(AND($T2048&lt;&gt;"",$T2048=$T2047),$U2047,IF(C2048="x",V2047,"")))</f>
        <v/>
      </c>
      <c r="X2048" cm="1">
        <f t="array" ref="X2048">IF($I2048&lt;&gt;"",$I2048,INDEX($I$1:$I2048,ROW()-COUNTIFS($T$1:$T2048,"="&amp;$T2048,$S$1:$S2048,"&lt;"&amp;$S2048)))</f>
        <v>0</v>
      </c>
      <c r="Z2048" s="6">
        <f t="shared" si="294"/>
        <v>1</v>
      </c>
      <c r="AA2048" t="e">
        <f t="shared" si="295"/>
        <v>#VALUE!</v>
      </c>
      <c r="AB2048" t="str">
        <f t="shared" si="296"/>
        <v/>
      </c>
      <c r="AC2048" t="e">
        <f t="shared" si="297"/>
        <v>#VALUE!</v>
      </c>
    </row>
    <row r="2049" spans="1:29" x14ac:dyDescent="0.2">
      <c r="A2049" t="str">
        <f t="shared" si="298"/>
        <v/>
      </c>
      <c r="E2049" s="4"/>
      <c r="F2049" s="46"/>
      <c r="G2049" s="4"/>
      <c r="H2049" s="48"/>
      <c r="J2049" s="26" t="str">
        <f t="shared" si="299"/>
        <v/>
      </c>
      <c r="N2049" t="str">
        <f t="shared" si="300"/>
        <v/>
      </c>
      <c r="Q2049" t="str">
        <f t="shared" si="301"/>
        <v/>
      </c>
      <c r="S2049" t="str">
        <f>IF(A2049=1,MAX($S$2:$S2048)+1,IF(OR($I2049&lt;&gt;"",A2049="x"),$S2048,""))</f>
        <v/>
      </c>
      <c r="T2049" t="str">
        <f>IF(D2049=1,MAX($T$2:$T2048)+1,IF(S2049=S2048,$T2048,IF(D2049="x",T2048,IF(D2048="x","",""))))</f>
        <v/>
      </c>
      <c r="U2049" t="str">
        <f>IF(B2049=1,MAX($U$2:$U2048)+1,IF(AND($T2049&lt;&gt;"",$T2049=$T2048),$U2048,IF(B2049="x",U2048,"")))</f>
        <v/>
      </c>
      <c r="V2049" t="str">
        <f>IF(C2049=1,MAX($V$2:$V2048)+1,IF(AND($T2049&lt;&gt;"",$T2049=$T2048),$U2048,IF(C2049="x",V2048,"")))</f>
        <v/>
      </c>
      <c r="X2049" cm="1">
        <f t="array" ref="X2049">IF($I2049&lt;&gt;"",$I2049,INDEX($I$1:$I2049,ROW()-COUNTIFS($T$1:$T2049,"="&amp;$T2049,$S$1:$S2049,"&lt;"&amp;$S2049)))</f>
        <v>0</v>
      </c>
      <c r="Z2049" s="6">
        <f t="shared" si="294"/>
        <v>1</v>
      </c>
      <c r="AA2049" t="e">
        <f t="shared" si="295"/>
        <v>#VALUE!</v>
      </c>
      <c r="AB2049" t="str">
        <f t="shared" si="296"/>
        <v/>
      </c>
      <c r="AC2049" t="e">
        <f t="shared" si="297"/>
        <v>#VALUE!</v>
      </c>
    </row>
    <row r="2050" spans="1:29" x14ac:dyDescent="0.2">
      <c r="A2050" t="str">
        <f t="shared" si="298"/>
        <v/>
      </c>
      <c r="E2050" s="4"/>
      <c r="F2050" s="46"/>
      <c r="G2050" s="4"/>
      <c r="H2050" s="48"/>
      <c r="J2050" s="26" t="str">
        <f t="shared" si="299"/>
        <v/>
      </c>
      <c r="N2050" t="str">
        <f t="shared" si="300"/>
        <v/>
      </c>
      <c r="Q2050" t="str">
        <f t="shared" si="301"/>
        <v/>
      </c>
      <c r="S2050" t="str">
        <f>IF(A2050=1,MAX($S$2:$S2049)+1,IF(OR($I2050&lt;&gt;"",A2050="x"),$S2049,""))</f>
        <v/>
      </c>
      <c r="T2050" t="str">
        <f>IF(D2050=1,MAX($T$2:$T2049)+1,IF(S2050=S2049,$T2049,IF(D2050="x",T2049,IF(D2049="x","",""))))</f>
        <v/>
      </c>
      <c r="U2050" t="str">
        <f>IF(B2050=1,MAX($U$2:$U2049)+1,IF(AND($T2050&lt;&gt;"",$T2050=$T2049),$U2049,IF(B2050="x",U2049,"")))</f>
        <v/>
      </c>
      <c r="V2050" t="str">
        <f>IF(C2050=1,MAX($V$2:$V2049)+1,IF(AND($T2050&lt;&gt;"",$T2050=$T2049),$U2049,IF(C2050="x",V2049,"")))</f>
        <v/>
      </c>
      <c r="X2050" cm="1">
        <f t="array" ref="X2050">IF($I2050&lt;&gt;"",$I2050,INDEX($I$1:$I2050,ROW()-COUNTIFS($T$1:$T2050,"="&amp;$T2050,$S$1:$S2050,"&lt;"&amp;$S2050)))</f>
        <v>0</v>
      </c>
      <c r="Z2050" s="6">
        <f t="shared" si="294"/>
        <v>1</v>
      </c>
      <c r="AA2050" t="e">
        <f t="shared" si="295"/>
        <v>#VALUE!</v>
      </c>
      <c r="AB2050" t="str">
        <f t="shared" si="296"/>
        <v/>
      </c>
      <c r="AC2050" t="e">
        <f t="shared" si="297"/>
        <v>#VALUE!</v>
      </c>
    </row>
    <row r="2051" spans="1:29" x14ac:dyDescent="0.2">
      <c r="A2051" t="str">
        <f t="shared" si="298"/>
        <v/>
      </c>
      <c r="E2051" s="4"/>
      <c r="F2051" s="46"/>
      <c r="G2051" s="4"/>
      <c r="H2051" s="48"/>
      <c r="J2051" s="26" t="str">
        <f t="shared" si="299"/>
        <v/>
      </c>
      <c r="N2051" t="str">
        <f t="shared" si="300"/>
        <v/>
      </c>
      <c r="Q2051" t="str">
        <f t="shared" si="301"/>
        <v/>
      </c>
      <c r="S2051" t="str">
        <f>IF(A2051=1,MAX($S$2:$S2050)+1,IF(OR($I2051&lt;&gt;"",A2051="x"),$S2050,""))</f>
        <v/>
      </c>
      <c r="T2051" t="str">
        <f>IF(D2051=1,MAX($T$2:$T2050)+1,IF(S2051=S2050,$T2050,IF(D2051="x",T2050,IF(D2050="x","",""))))</f>
        <v/>
      </c>
      <c r="U2051" t="str">
        <f>IF(B2051=1,MAX($U$2:$U2050)+1,IF(AND($T2051&lt;&gt;"",$T2051=$T2050),$U2050,IF(B2051="x",U2050,"")))</f>
        <v/>
      </c>
      <c r="V2051" t="str">
        <f>IF(C2051=1,MAX($V$2:$V2050)+1,IF(AND($T2051&lt;&gt;"",$T2051=$T2050),$U2050,IF(C2051="x",V2050,"")))</f>
        <v/>
      </c>
      <c r="X2051" cm="1">
        <f t="array" ref="X2051">IF($I2051&lt;&gt;"",$I2051,INDEX($I$1:$I2051,ROW()-COUNTIFS($T$1:$T2051,"="&amp;$T2051,$S$1:$S2051,"&lt;"&amp;$S2051)))</f>
        <v>0</v>
      </c>
      <c r="Z2051" s="6">
        <f t="shared" si="294"/>
        <v>1</v>
      </c>
      <c r="AA2051" t="e">
        <f t="shared" si="295"/>
        <v>#VALUE!</v>
      </c>
      <c r="AB2051" t="str">
        <f t="shared" si="296"/>
        <v/>
      </c>
      <c r="AC2051" t="e">
        <f t="shared" si="297"/>
        <v>#VALUE!</v>
      </c>
    </row>
    <row r="2052" spans="1:29" x14ac:dyDescent="0.2">
      <c r="A2052" t="str">
        <f t="shared" si="298"/>
        <v/>
      </c>
      <c r="E2052" s="4"/>
      <c r="F2052" s="46"/>
      <c r="G2052" s="4"/>
      <c r="H2052" s="48"/>
      <c r="J2052" s="26" t="str">
        <f t="shared" si="299"/>
        <v/>
      </c>
      <c r="N2052" t="str">
        <f t="shared" si="300"/>
        <v/>
      </c>
      <c r="Q2052" t="str">
        <f t="shared" si="301"/>
        <v/>
      </c>
      <c r="S2052" t="str">
        <f>IF(A2052=1,MAX($S$2:$S2051)+1,IF(OR($I2052&lt;&gt;"",A2052="x"),$S2051,""))</f>
        <v/>
      </c>
      <c r="T2052" t="str">
        <f>IF(D2052=1,MAX($T$2:$T2051)+1,IF(S2052=S2051,$T2051,IF(D2052="x",T2051,IF(D2051="x","",""))))</f>
        <v/>
      </c>
      <c r="U2052" t="str">
        <f>IF(B2052=1,MAX($U$2:$U2051)+1,IF(AND($T2052&lt;&gt;"",$T2052=$T2051),$U2051,IF(B2052="x",U2051,"")))</f>
        <v/>
      </c>
      <c r="V2052" t="str">
        <f>IF(C2052=1,MAX($V$2:$V2051)+1,IF(AND($T2052&lt;&gt;"",$T2052=$T2051),$U2051,IF(C2052="x",V2051,"")))</f>
        <v/>
      </c>
      <c r="X2052" cm="1">
        <f t="array" ref="X2052">IF($I2052&lt;&gt;"",$I2052,INDEX($I$1:$I2052,ROW()-COUNTIFS($T$1:$T2052,"="&amp;$T2052,$S$1:$S2052,"&lt;"&amp;$S2052)))</f>
        <v>0</v>
      </c>
      <c r="Z2052" s="6">
        <f t="shared" si="294"/>
        <v>1</v>
      </c>
      <c r="AA2052" t="e">
        <f t="shared" si="295"/>
        <v>#VALUE!</v>
      </c>
      <c r="AB2052" t="str">
        <f t="shared" si="296"/>
        <v/>
      </c>
      <c r="AC2052" t="e">
        <f t="shared" si="297"/>
        <v>#VALUE!</v>
      </c>
    </row>
    <row r="2053" spans="1:29" x14ac:dyDescent="0.2">
      <c r="A2053" t="str">
        <f t="shared" si="298"/>
        <v/>
      </c>
      <c r="E2053" s="4"/>
      <c r="F2053" s="46"/>
      <c r="G2053" s="4"/>
      <c r="H2053" s="48"/>
      <c r="J2053" s="26" t="str">
        <f t="shared" si="299"/>
        <v/>
      </c>
      <c r="N2053" t="str">
        <f t="shared" si="300"/>
        <v/>
      </c>
      <c r="Q2053" t="str">
        <f t="shared" si="301"/>
        <v/>
      </c>
      <c r="S2053" t="str">
        <f>IF(A2053=1,MAX($S$2:$S2052)+1,IF(OR($I2053&lt;&gt;"",A2053="x"),$S2052,""))</f>
        <v/>
      </c>
      <c r="T2053" t="str">
        <f>IF(D2053=1,MAX($T$2:$T2052)+1,IF(S2053=S2052,$T2052,IF(D2053="x",T2052,IF(D2052="x","",""))))</f>
        <v/>
      </c>
      <c r="U2053" t="str">
        <f>IF(B2053=1,MAX($U$2:$U2052)+1,IF(AND($T2053&lt;&gt;"",$T2053=$T2052),$U2052,IF(B2053="x",U2052,"")))</f>
        <v/>
      </c>
      <c r="V2053" t="str">
        <f>IF(C2053=1,MAX($V$2:$V2052)+1,IF(AND($T2053&lt;&gt;"",$T2053=$T2052),$U2052,IF(C2053="x",V2052,"")))</f>
        <v/>
      </c>
      <c r="X2053" cm="1">
        <f t="array" ref="X2053">IF($I2053&lt;&gt;"",$I2053,INDEX($I$1:$I2053,ROW()-COUNTIFS($T$1:$T2053,"="&amp;$T2053,$S$1:$S2053,"&lt;"&amp;$S2053)))</f>
        <v>0</v>
      </c>
      <c r="Z2053" s="6">
        <f t="shared" ref="Z2053:Z2116" si="302">IF(K2053="Intermission",Z2052+1,Z2052)</f>
        <v>1</v>
      </c>
      <c r="AA2053" t="e">
        <f t="shared" ref="AA2053:AA2116" si="303">S2053+1000</f>
        <v>#VALUE!</v>
      </c>
      <c r="AB2053" t="str">
        <f t="shared" ref="AB2053:AB2116" si="304">IF(T2053&lt;&gt;"",9000+T2053,"")</f>
        <v/>
      </c>
      <c r="AC2053" t="e">
        <f t="shared" ref="AC2053:AC2116" si="305">IF(AB2053&lt;&gt;"",AB2053,S2053+1000)</f>
        <v>#VALUE!</v>
      </c>
    </row>
    <row r="2054" spans="1:29" x14ac:dyDescent="0.2">
      <c r="A2054" t="str">
        <f t="shared" si="298"/>
        <v/>
      </c>
      <c r="E2054" s="4"/>
      <c r="F2054" s="46"/>
      <c r="G2054" s="4"/>
      <c r="H2054" s="48"/>
      <c r="J2054" s="26" t="str">
        <f t="shared" si="299"/>
        <v/>
      </c>
      <c r="N2054" t="str">
        <f t="shared" si="300"/>
        <v/>
      </c>
      <c r="Q2054" t="str">
        <f t="shared" si="301"/>
        <v/>
      </c>
      <c r="S2054" t="str">
        <f>IF(A2054=1,MAX($S$2:$S2053)+1,IF(OR($I2054&lt;&gt;"",A2054="x"),$S2053,""))</f>
        <v/>
      </c>
      <c r="T2054" t="str">
        <f>IF(D2054=1,MAX($T$2:$T2053)+1,IF(S2054=S2053,$T2053,IF(D2054="x",T2053,IF(D2053="x","",""))))</f>
        <v/>
      </c>
      <c r="U2054" t="str">
        <f>IF(B2054=1,MAX($U$2:$U2053)+1,IF(AND($T2054&lt;&gt;"",$T2054=$T2053),$U2053,IF(B2054="x",U2053,"")))</f>
        <v/>
      </c>
      <c r="V2054" t="str">
        <f>IF(C2054=1,MAX($V$2:$V2053)+1,IF(AND($T2054&lt;&gt;"",$T2054=$T2053),$U2053,IF(C2054="x",V2053,"")))</f>
        <v/>
      </c>
      <c r="X2054" cm="1">
        <f t="array" ref="X2054">IF($I2054&lt;&gt;"",$I2054,INDEX($I$1:$I2054,ROW()-COUNTIFS($T$1:$T2054,"="&amp;$T2054,$S$1:$S2054,"&lt;"&amp;$S2054)))</f>
        <v>0</v>
      </c>
      <c r="Z2054" s="6">
        <f t="shared" si="302"/>
        <v>1</v>
      </c>
      <c r="AA2054" t="e">
        <f t="shared" si="303"/>
        <v>#VALUE!</v>
      </c>
      <c r="AB2054" t="str">
        <f t="shared" si="304"/>
        <v/>
      </c>
      <c r="AC2054" t="e">
        <f t="shared" si="305"/>
        <v>#VALUE!</v>
      </c>
    </row>
    <row r="2055" spans="1:29" x14ac:dyDescent="0.2">
      <c r="A2055" t="str">
        <f t="shared" si="298"/>
        <v/>
      </c>
      <c r="E2055" s="4"/>
      <c r="F2055" s="46"/>
      <c r="G2055" s="4"/>
      <c r="H2055" s="48"/>
      <c r="J2055" s="26" t="str">
        <f t="shared" si="299"/>
        <v/>
      </c>
      <c r="N2055" t="str">
        <f t="shared" si="300"/>
        <v/>
      </c>
      <c r="Q2055" t="str">
        <f t="shared" si="301"/>
        <v/>
      </c>
      <c r="S2055" t="str">
        <f>IF(A2055=1,MAX($S$2:$S2054)+1,IF(OR($I2055&lt;&gt;"",A2055="x"),$S2054,""))</f>
        <v/>
      </c>
      <c r="T2055" t="str">
        <f>IF(D2055=1,MAX($T$2:$T2054)+1,IF(S2055=S2054,$T2054,IF(D2055="x",T2054,IF(D2054="x","",""))))</f>
        <v/>
      </c>
      <c r="U2055" t="str">
        <f>IF(B2055=1,MAX($U$2:$U2054)+1,IF(AND($T2055&lt;&gt;"",$T2055=$T2054),$U2054,IF(B2055="x",U2054,"")))</f>
        <v/>
      </c>
      <c r="V2055" t="str">
        <f>IF(C2055=1,MAX($V$2:$V2054)+1,IF(AND($T2055&lt;&gt;"",$T2055=$T2054),$U2054,IF(C2055="x",V2054,"")))</f>
        <v/>
      </c>
      <c r="X2055" cm="1">
        <f t="array" ref="X2055">IF($I2055&lt;&gt;"",$I2055,INDEX($I$1:$I2055,ROW()-COUNTIFS($T$1:$T2055,"="&amp;$T2055,$S$1:$S2055,"&lt;"&amp;$S2055)))</f>
        <v>0</v>
      </c>
      <c r="Z2055" s="6">
        <f t="shared" si="302"/>
        <v>1</v>
      </c>
      <c r="AA2055" t="e">
        <f t="shared" si="303"/>
        <v>#VALUE!</v>
      </c>
      <c r="AB2055" t="str">
        <f t="shared" si="304"/>
        <v/>
      </c>
      <c r="AC2055" t="e">
        <f t="shared" si="305"/>
        <v>#VALUE!</v>
      </c>
    </row>
    <row r="2056" spans="1:29" x14ac:dyDescent="0.2">
      <c r="A2056" t="str">
        <f t="shared" si="298"/>
        <v/>
      </c>
      <c r="E2056" s="4"/>
      <c r="F2056" s="46"/>
      <c r="G2056" s="4"/>
      <c r="H2056" s="48"/>
      <c r="J2056" s="26" t="str">
        <f t="shared" si="299"/>
        <v/>
      </c>
      <c r="N2056" t="str">
        <f t="shared" si="300"/>
        <v/>
      </c>
      <c r="Q2056" t="str">
        <f t="shared" si="301"/>
        <v/>
      </c>
      <c r="S2056" t="str">
        <f>IF(A2056=1,MAX($S$2:$S2055)+1,IF(OR($I2056&lt;&gt;"",A2056="x"),$S2055,""))</f>
        <v/>
      </c>
      <c r="T2056" t="str">
        <f>IF(D2056=1,MAX($T$2:$T2055)+1,IF(S2056=S2055,$T2055,IF(D2056="x",T2055,IF(D2055="x","",""))))</f>
        <v/>
      </c>
      <c r="U2056" t="str">
        <f>IF(B2056=1,MAX($U$2:$U2055)+1,IF(AND($T2056&lt;&gt;"",$T2056=$T2055),$U2055,IF(B2056="x",U2055,"")))</f>
        <v/>
      </c>
      <c r="V2056" t="str">
        <f>IF(C2056=1,MAX($V$2:$V2055)+1,IF(AND($T2056&lt;&gt;"",$T2056=$T2055),$U2055,IF(C2056="x",V2055,"")))</f>
        <v/>
      </c>
      <c r="X2056" cm="1">
        <f t="array" ref="X2056">IF($I2056&lt;&gt;"",$I2056,INDEX($I$1:$I2056,ROW()-COUNTIFS($T$1:$T2056,"="&amp;$T2056,$S$1:$S2056,"&lt;"&amp;$S2056)))</f>
        <v>0</v>
      </c>
      <c r="Z2056" s="6">
        <f t="shared" si="302"/>
        <v>1</v>
      </c>
      <c r="AA2056" t="e">
        <f t="shared" si="303"/>
        <v>#VALUE!</v>
      </c>
      <c r="AB2056" t="str">
        <f t="shared" si="304"/>
        <v/>
      </c>
      <c r="AC2056" t="e">
        <f t="shared" si="305"/>
        <v>#VALUE!</v>
      </c>
    </row>
    <row r="2057" spans="1:29" x14ac:dyDescent="0.2">
      <c r="A2057" t="str">
        <f t="shared" si="298"/>
        <v/>
      </c>
      <c r="E2057" s="4"/>
      <c r="F2057" s="46"/>
      <c r="G2057" s="4"/>
      <c r="H2057" s="48"/>
      <c r="J2057" s="26" t="str">
        <f t="shared" si="299"/>
        <v/>
      </c>
      <c r="N2057" t="str">
        <f t="shared" si="300"/>
        <v/>
      </c>
      <c r="Q2057" t="str">
        <f t="shared" si="301"/>
        <v/>
      </c>
      <c r="S2057" t="str">
        <f>IF(A2057=1,MAX($S$2:$S2056)+1,IF(OR($I2057&lt;&gt;"",A2057="x"),$S2056,""))</f>
        <v/>
      </c>
      <c r="T2057" t="str">
        <f>IF(D2057=1,MAX($T$2:$T2056)+1,IF(S2057=S2056,$T2056,IF(D2057="x",T2056,IF(D2056="x","",""))))</f>
        <v/>
      </c>
      <c r="U2057" t="str">
        <f>IF(B2057=1,MAX($U$2:$U2056)+1,IF(AND($T2057&lt;&gt;"",$T2057=$T2056),$U2056,IF(B2057="x",U2056,"")))</f>
        <v/>
      </c>
      <c r="V2057" t="str">
        <f>IF(C2057=1,MAX($V$2:$V2056)+1,IF(AND($T2057&lt;&gt;"",$T2057=$T2056),$U2056,IF(C2057="x",V2056,"")))</f>
        <v/>
      </c>
      <c r="X2057" cm="1">
        <f t="array" ref="X2057">IF($I2057&lt;&gt;"",$I2057,INDEX($I$1:$I2057,ROW()-COUNTIFS($T$1:$T2057,"="&amp;$T2057,$S$1:$S2057,"&lt;"&amp;$S2057)))</f>
        <v>0</v>
      </c>
      <c r="Z2057" s="6">
        <f t="shared" si="302"/>
        <v>1</v>
      </c>
      <c r="AA2057" t="e">
        <f t="shared" si="303"/>
        <v>#VALUE!</v>
      </c>
      <c r="AB2057" t="str">
        <f t="shared" si="304"/>
        <v/>
      </c>
      <c r="AC2057" t="e">
        <f t="shared" si="305"/>
        <v>#VALUE!</v>
      </c>
    </row>
    <row r="2058" spans="1:29" x14ac:dyDescent="0.2">
      <c r="A2058" t="str">
        <f t="shared" si="298"/>
        <v/>
      </c>
      <c r="E2058" s="4"/>
      <c r="F2058" s="46"/>
      <c r="G2058" s="4"/>
      <c r="H2058" s="48"/>
      <c r="J2058" s="26" t="str">
        <f t="shared" si="299"/>
        <v/>
      </c>
      <c r="N2058" t="str">
        <f t="shared" si="300"/>
        <v/>
      </c>
      <c r="Q2058" t="str">
        <f t="shared" si="301"/>
        <v/>
      </c>
      <c r="S2058" t="str">
        <f>IF(A2058=1,MAX($S$2:$S2057)+1,IF(OR($I2058&lt;&gt;"",A2058="x"),$S2057,""))</f>
        <v/>
      </c>
      <c r="T2058" t="str">
        <f>IF(D2058=1,MAX($T$2:$T2057)+1,IF(S2058=S2057,$T2057,IF(D2058="x",T2057,IF(D2057="x","",""))))</f>
        <v/>
      </c>
      <c r="U2058" t="str">
        <f>IF(B2058=1,MAX($U$2:$U2057)+1,IF(AND($T2058&lt;&gt;"",$T2058=$T2057),$U2057,IF(B2058="x",U2057,"")))</f>
        <v/>
      </c>
      <c r="V2058" t="str">
        <f>IF(C2058=1,MAX($V$2:$V2057)+1,IF(AND($T2058&lt;&gt;"",$T2058=$T2057),$U2057,IF(C2058="x",V2057,"")))</f>
        <v/>
      </c>
      <c r="X2058" cm="1">
        <f t="array" ref="X2058">IF($I2058&lt;&gt;"",$I2058,INDEX($I$1:$I2058,ROW()-COUNTIFS($T$1:$T2058,"="&amp;$T2058,$S$1:$S2058,"&lt;"&amp;$S2058)))</f>
        <v>0</v>
      </c>
      <c r="Z2058" s="6">
        <f t="shared" si="302"/>
        <v>1</v>
      </c>
      <c r="AA2058" t="e">
        <f t="shared" si="303"/>
        <v>#VALUE!</v>
      </c>
      <c r="AB2058" t="str">
        <f t="shared" si="304"/>
        <v/>
      </c>
      <c r="AC2058" t="e">
        <f t="shared" si="305"/>
        <v>#VALUE!</v>
      </c>
    </row>
    <row r="2059" spans="1:29" x14ac:dyDescent="0.2">
      <c r="A2059" t="str">
        <f t="shared" si="298"/>
        <v/>
      </c>
      <c r="E2059" s="4"/>
      <c r="F2059" s="46"/>
      <c r="G2059" s="4"/>
      <c r="H2059" s="48"/>
      <c r="J2059" s="26" t="str">
        <f t="shared" si="299"/>
        <v/>
      </c>
      <c r="N2059" t="str">
        <f t="shared" si="300"/>
        <v/>
      </c>
      <c r="Q2059" t="str">
        <f t="shared" si="301"/>
        <v/>
      </c>
      <c r="S2059" t="str">
        <f>IF(A2059=1,MAX($S$2:$S2058)+1,IF(OR($I2059&lt;&gt;"",A2059="x"),$S2058,""))</f>
        <v/>
      </c>
      <c r="T2059" t="str">
        <f>IF(D2059=1,MAX($T$2:$T2058)+1,IF(S2059=S2058,$T2058,IF(D2059="x",T2058,IF(D2058="x","",""))))</f>
        <v/>
      </c>
      <c r="U2059" t="str">
        <f>IF(B2059=1,MAX($U$2:$U2058)+1,IF(AND($T2059&lt;&gt;"",$T2059=$T2058),$U2058,IF(B2059="x",U2058,"")))</f>
        <v/>
      </c>
      <c r="V2059" t="str">
        <f>IF(C2059=1,MAX($V$2:$V2058)+1,IF(AND($T2059&lt;&gt;"",$T2059=$T2058),$U2058,IF(C2059="x",V2058,"")))</f>
        <v/>
      </c>
      <c r="X2059" cm="1">
        <f t="array" ref="X2059">IF($I2059&lt;&gt;"",$I2059,INDEX($I$1:$I2059,ROW()-COUNTIFS($T$1:$T2059,"="&amp;$T2059,$S$1:$S2059,"&lt;"&amp;$S2059)))</f>
        <v>0</v>
      </c>
      <c r="Z2059" s="6">
        <f t="shared" si="302"/>
        <v>1</v>
      </c>
      <c r="AA2059" t="e">
        <f t="shared" si="303"/>
        <v>#VALUE!</v>
      </c>
      <c r="AB2059" t="str">
        <f t="shared" si="304"/>
        <v/>
      </c>
      <c r="AC2059" t="e">
        <f t="shared" si="305"/>
        <v>#VALUE!</v>
      </c>
    </row>
    <row r="2060" spans="1:29" x14ac:dyDescent="0.2">
      <c r="A2060" t="str">
        <f t="shared" si="298"/>
        <v/>
      </c>
      <c r="E2060" s="4"/>
      <c r="F2060" s="46"/>
      <c r="G2060" s="4"/>
      <c r="H2060" s="48"/>
      <c r="J2060" s="26" t="str">
        <f t="shared" si="299"/>
        <v/>
      </c>
      <c r="N2060" t="str">
        <f t="shared" si="300"/>
        <v/>
      </c>
      <c r="Q2060" t="str">
        <f t="shared" si="301"/>
        <v/>
      </c>
      <c r="S2060" t="str">
        <f>IF(A2060=1,MAX($S$2:$S2059)+1,IF(OR($I2060&lt;&gt;"",A2060="x"),$S2059,""))</f>
        <v/>
      </c>
      <c r="T2060" t="str">
        <f>IF(D2060=1,MAX($T$2:$T2059)+1,IF(S2060=S2059,$T2059,IF(D2060="x",T2059,IF(D2059="x","",""))))</f>
        <v/>
      </c>
      <c r="U2060" t="str">
        <f>IF(B2060=1,MAX($U$2:$U2059)+1,IF(AND($T2060&lt;&gt;"",$T2060=$T2059),$U2059,IF(B2060="x",U2059,"")))</f>
        <v/>
      </c>
      <c r="V2060" t="str">
        <f>IF(C2060=1,MAX($V$2:$V2059)+1,IF(AND($T2060&lt;&gt;"",$T2060=$T2059),$U2059,IF(C2060="x",V2059,"")))</f>
        <v/>
      </c>
      <c r="X2060" cm="1">
        <f t="array" ref="X2060">IF($I2060&lt;&gt;"",$I2060,INDEX($I$1:$I2060,ROW()-COUNTIFS($T$1:$T2060,"="&amp;$T2060,$S$1:$S2060,"&lt;"&amp;$S2060)))</f>
        <v>0</v>
      </c>
      <c r="Z2060" s="6">
        <f t="shared" si="302"/>
        <v>1</v>
      </c>
      <c r="AA2060" t="e">
        <f t="shared" si="303"/>
        <v>#VALUE!</v>
      </c>
      <c r="AB2060" t="str">
        <f t="shared" si="304"/>
        <v/>
      </c>
      <c r="AC2060" t="e">
        <f t="shared" si="305"/>
        <v>#VALUE!</v>
      </c>
    </row>
    <row r="2061" spans="1:29" x14ac:dyDescent="0.2">
      <c r="A2061" t="str">
        <f t="shared" si="298"/>
        <v/>
      </c>
      <c r="E2061" s="4"/>
      <c r="F2061" s="46"/>
      <c r="G2061" s="4"/>
      <c r="H2061" s="48"/>
      <c r="J2061" s="26" t="str">
        <f t="shared" si="299"/>
        <v/>
      </c>
      <c r="N2061" t="str">
        <f t="shared" si="300"/>
        <v/>
      </c>
      <c r="Q2061" t="str">
        <f t="shared" si="301"/>
        <v/>
      </c>
      <c r="S2061" t="str">
        <f>IF(A2061=1,MAX($S$2:$S2060)+1,IF(OR($I2061&lt;&gt;"",A2061="x"),$S2060,""))</f>
        <v/>
      </c>
      <c r="T2061" t="str">
        <f>IF(D2061=1,MAX($T$2:$T2060)+1,IF(S2061=S2060,$T2060,IF(D2061="x",T2060,IF(D2060="x","",""))))</f>
        <v/>
      </c>
      <c r="U2061" t="str">
        <f>IF(B2061=1,MAX($U$2:$U2060)+1,IF(AND($T2061&lt;&gt;"",$T2061=$T2060),$U2060,IF(B2061="x",U2060,"")))</f>
        <v/>
      </c>
      <c r="V2061" t="str">
        <f>IF(C2061=1,MAX($V$2:$V2060)+1,IF(AND($T2061&lt;&gt;"",$T2061=$T2060),$U2060,IF(C2061="x",V2060,"")))</f>
        <v/>
      </c>
      <c r="X2061" cm="1">
        <f t="array" ref="X2061">IF($I2061&lt;&gt;"",$I2061,INDEX($I$1:$I2061,ROW()-COUNTIFS($T$1:$T2061,"="&amp;$T2061,$S$1:$S2061,"&lt;"&amp;$S2061)))</f>
        <v>0</v>
      </c>
      <c r="Z2061" s="6">
        <f t="shared" si="302"/>
        <v>1</v>
      </c>
      <c r="AA2061" t="e">
        <f t="shared" si="303"/>
        <v>#VALUE!</v>
      </c>
      <c r="AB2061" t="str">
        <f t="shared" si="304"/>
        <v/>
      </c>
      <c r="AC2061" t="e">
        <f t="shared" si="305"/>
        <v>#VALUE!</v>
      </c>
    </row>
    <row r="2062" spans="1:29" x14ac:dyDescent="0.2">
      <c r="A2062" t="str">
        <f t="shared" si="298"/>
        <v/>
      </c>
      <c r="E2062" s="4"/>
      <c r="F2062" s="46"/>
      <c r="G2062" s="4"/>
      <c r="H2062" s="48"/>
      <c r="J2062" s="26" t="str">
        <f t="shared" si="299"/>
        <v/>
      </c>
      <c r="N2062" t="str">
        <f t="shared" si="300"/>
        <v/>
      </c>
      <c r="Q2062" t="str">
        <f t="shared" si="301"/>
        <v/>
      </c>
      <c r="S2062" t="str">
        <f>IF(A2062=1,MAX($S$2:$S2061)+1,IF(OR($I2062&lt;&gt;"",A2062="x"),$S2061,""))</f>
        <v/>
      </c>
      <c r="T2062" t="str">
        <f>IF(D2062=1,MAX($T$2:$T2061)+1,IF(S2062=S2061,$T2061,IF(D2062="x",T2061,IF(D2061="x","",""))))</f>
        <v/>
      </c>
      <c r="U2062" t="str">
        <f>IF(B2062=1,MAX($U$2:$U2061)+1,IF(AND($T2062&lt;&gt;"",$T2062=$T2061),$U2061,IF(B2062="x",U2061,"")))</f>
        <v/>
      </c>
      <c r="V2062" t="str">
        <f>IF(C2062=1,MAX($V$2:$V2061)+1,IF(AND($T2062&lt;&gt;"",$T2062=$T2061),$U2061,IF(C2062="x",V2061,"")))</f>
        <v/>
      </c>
      <c r="X2062" cm="1">
        <f t="array" ref="X2062">IF($I2062&lt;&gt;"",$I2062,INDEX($I$1:$I2062,ROW()-COUNTIFS($T$1:$T2062,"="&amp;$T2062,$S$1:$S2062,"&lt;"&amp;$S2062)))</f>
        <v>0</v>
      </c>
      <c r="Z2062" s="6">
        <f t="shared" si="302"/>
        <v>1</v>
      </c>
      <c r="AA2062" t="e">
        <f t="shared" si="303"/>
        <v>#VALUE!</v>
      </c>
      <c r="AB2062" t="str">
        <f t="shared" si="304"/>
        <v/>
      </c>
      <c r="AC2062" t="e">
        <f t="shared" si="305"/>
        <v>#VALUE!</v>
      </c>
    </row>
    <row r="2063" spans="1:29" x14ac:dyDescent="0.2">
      <c r="A2063" t="str">
        <f t="shared" si="298"/>
        <v/>
      </c>
      <c r="E2063" s="4"/>
      <c r="F2063" s="46"/>
      <c r="G2063" s="4"/>
      <c r="H2063" s="48"/>
      <c r="J2063" s="26" t="str">
        <f t="shared" si="299"/>
        <v/>
      </c>
      <c r="N2063" t="str">
        <f t="shared" si="300"/>
        <v/>
      </c>
      <c r="Q2063" t="str">
        <f t="shared" si="301"/>
        <v/>
      </c>
      <c r="S2063" t="str">
        <f>IF(A2063=1,MAX($S$2:$S2062)+1,IF(OR($I2063&lt;&gt;"",A2063="x"),$S2062,""))</f>
        <v/>
      </c>
      <c r="T2063" t="str">
        <f>IF(D2063=1,MAX($T$2:$T2062)+1,IF(S2063=S2062,$T2062,IF(D2063="x",T2062,IF(D2062="x","",""))))</f>
        <v/>
      </c>
      <c r="U2063" t="str">
        <f>IF(B2063=1,MAX($U$2:$U2062)+1,IF(AND($T2063&lt;&gt;"",$T2063=$T2062),$U2062,IF(B2063="x",U2062,"")))</f>
        <v/>
      </c>
      <c r="V2063" t="str">
        <f>IF(C2063=1,MAX($V$2:$V2062)+1,IF(AND($T2063&lt;&gt;"",$T2063=$T2062),$U2062,IF(C2063="x",V2062,"")))</f>
        <v/>
      </c>
      <c r="X2063" cm="1">
        <f t="array" ref="X2063">IF($I2063&lt;&gt;"",$I2063,INDEX($I$1:$I2063,ROW()-COUNTIFS($T$1:$T2063,"="&amp;$T2063,$S$1:$S2063,"&lt;"&amp;$S2063)))</f>
        <v>0</v>
      </c>
      <c r="Z2063" s="6">
        <f t="shared" si="302"/>
        <v>1</v>
      </c>
      <c r="AA2063" t="e">
        <f t="shared" si="303"/>
        <v>#VALUE!</v>
      </c>
      <c r="AB2063" t="str">
        <f t="shared" si="304"/>
        <v/>
      </c>
      <c r="AC2063" t="e">
        <f t="shared" si="305"/>
        <v>#VALUE!</v>
      </c>
    </row>
    <row r="2064" spans="1:29" x14ac:dyDescent="0.2">
      <c r="A2064" t="str">
        <f t="shared" si="298"/>
        <v/>
      </c>
      <c r="E2064" s="4"/>
      <c r="F2064" s="46"/>
      <c r="G2064" s="4"/>
      <c r="H2064" s="48"/>
      <c r="J2064" s="26" t="str">
        <f t="shared" si="299"/>
        <v/>
      </c>
      <c r="N2064" t="str">
        <f t="shared" si="300"/>
        <v/>
      </c>
      <c r="Q2064" t="str">
        <f t="shared" si="301"/>
        <v/>
      </c>
      <c r="S2064" t="str">
        <f>IF(A2064=1,MAX($S$2:$S2063)+1,IF(OR($I2064&lt;&gt;"",A2064="x"),$S2063,""))</f>
        <v/>
      </c>
      <c r="T2064" t="str">
        <f>IF(D2064=1,MAX($T$2:$T2063)+1,IF(S2064=S2063,$T2063,IF(D2064="x",T2063,IF(D2063="x","",""))))</f>
        <v/>
      </c>
      <c r="U2064" t="str">
        <f>IF(B2064=1,MAX($U$2:$U2063)+1,IF(AND($T2064&lt;&gt;"",$T2064=$T2063),$U2063,IF(B2064="x",U2063,"")))</f>
        <v/>
      </c>
      <c r="V2064" t="str">
        <f>IF(C2064=1,MAX($V$2:$V2063)+1,IF(AND($T2064&lt;&gt;"",$T2064=$T2063),$U2063,IF(C2064="x",V2063,"")))</f>
        <v/>
      </c>
      <c r="X2064" cm="1">
        <f t="array" ref="X2064">IF($I2064&lt;&gt;"",$I2064,INDEX($I$1:$I2064,ROW()-COUNTIFS($T$1:$T2064,"="&amp;$T2064,$S$1:$S2064,"&lt;"&amp;$S2064)))</f>
        <v>0</v>
      </c>
      <c r="Z2064" s="6">
        <f t="shared" si="302"/>
        <v>1</v>
      </c>
      <c r="AA2064" t="e">
        <f t="shared" si="303"/>
        <v>#VALUE!</v>
      </c>
      <c r="AB2064" t="str">
        <f t="shared" si="304"/>
        <v/>
      </c>
      <c r="AC2064" t="e">
        <f t="shared" si="305"/>
        <v>#VALUE!</v>
      </c>
    </row>
    <row r="2065" spans="1:29" x14ac:dyDescent="0.2">
      <c r="A2065" t="str">
        <f t="shared" si="298"/>
        <v/>
      </c>
      <c r="E2065" s="4"/>
      <c r="F2065" s="46"/>
      <c r="G2065" s="4"/>
      <c r="H2065" s="48"/>
      <c r="J2065" s="26" t="str">
        <f t="shared" si="299"/>
        <v/>
      </c>
      <c r="N2065" t="str">
        <f t="shared" si="300"/>
        <v/>
      </c>
      <c r="Q2065" t="str">
        <f t="shared" si="301"/>
        <v/>
      </c>
      <c r="S2065" t="str">
        <f>IF(A2065=1,MAX($S$2:$S2064)+1,IF(OR($I2065&lt;&gt;"",A2065="x"),$S2064,""))</f>
        <v/>
      </c>
      <c r="T2065" t="str">
        <f>IF(D2065=1,MAX($T$2:$T2064)+1,IF(S2065=S2064,$T2064,IF(D2065="x",T2064,IF(D2064="x","",""))))</f>
        <v/>
      </c>
      <c r="U2065" t="str">
        <f>IF(B2065=1,MAX($U$2:$U2064)+1,IF(AND($T2065&lt;&gt;"",$T2065=$T2064),$U2064,IF(B2065="x",U2064,"")))</f>
        <v/>
      </c>
      <c r="V2065" t="str">
        <f>IF(C2065=1,MAX($V$2:$V2064)+1,IF(AND($T2065&lt;&gt;"",$T2065=$T2064),$U2064,IF(C2065="x",V2064,"")))</f>
        <v/>
      </c>
      <c r="X2065" cm="1">
        <f t="array" ref="X2065">IF($I2065&lt;&gt;"",$I2065,INDEX($I$1:$I2065,ROW()-COUNTIFS($T$1:$T2065,"="&amp;$T2065,$S$1:$S2065,"&lt;"&amp;$S2065)))</f>
        <v>0</v>
      </c>
      <c r="Z2065" s="6">
        <f t="shared" si="302"/>
        <v>1</v>
      </c>
      <c r="AA2065" t="e">
        <f t="shared" si="303"/>
        <v>#VALUE!</v>
      </c>
      <c r="AB2065" t="str">
        <f t="shared" si="304"/>
        <v/>
      </c>
      <c r="AC2065" t="e">
        <f t="shared" si="305"/>
        <v>#VALUE!</v>
      </c>
    </row>
    <row r="2066" spans="1:29" x14ac:dyDescent="0.2">
      <c r="A2066" t="str">
        <f t="shared" si="298"/>
        <v/>
      </c>
      <c r="E2066" s="4"/>
      <c r="F2066" s="46"/>
      <c r="G2066" s="4"/>
      <c r="H2066" s="48"/>
      <c r="J2066" s="26" t="str">
        <f t="shared" si="299"/>
        <v/>
      </c>
      <c r="N2066" t="str">
        <f t="shared" si="300"/>
        <v/>
      </c>
      <c r="Q2066" t="str">
        <f t="shared" si="301"/>
        <v/>
      </c>
      <c r="S2066" t="str">
        <f>IF(A2066=1,MAX($S$2:$S2065)+1,IF(OR($I2066&lt;&gt;"",A2066="x"),$S2065,""))</f>
        <v/>
      </c>
      <c r="T2066" t="str">
        <f>IF(D2066=1,MAX($T$2:$T2065)+1,IF(S2066=S2065,$T2065,IF(D2066="x",T2065,IF(D2065="x","",""))))</f>
        <v/>
      </c>
      <c r="U2066" t="str">
        <f>IF(B2066=1,MAX($U$2:$U2065)+1,IF(AND($T2066&lt;&gt;"",$T2066=$T2065),$U2065,IF(B2066="x",U2065,"")))</f>
        <v/>
      </c>
      <c r="V2066" t="str">
        <f>IF(C2066=1,MAX($V$2:$V2065)+1,IF(AND($T2066&lt;&gt;"",$T2066=$T2065),$U2065,IF(C2066="x",V2065,"")))</f>
        <v/>
      </c>
      <c r="X2066" cm="1">
        <f t="array" ref="X2066">IF($I2066&lt;&gt;"",$I2066,INDEX($I$1:$I2066,ROW()-COUNTIFS($T$1:$T2066,"="&amp;$T2066,$S$1:$S2066,"&lt;"&amp;$S2066)))</f>
        <v>0</v>
      </c>
      <c r="Z2066" s="6">
        <f t="shared" si="302"/>
        <v>1</v>
      </c>
      <c r="AA2066" t="e">
        <f t="shared" si="303"/>
        <v>#VALUE!</v>
      </c>
      <c r="AB2066" t="str">
        <f t="shared" si="304"/>
        <v/>
      </c>
      <c r="AC2066" t="e">
        <f t="shared" si="305"/>
        <v>#VALUE!</v>
      </c>
    </row>
    <row r="2067" spans="1:29" x14ac:dyDescent="0.2">
      <c r="A2067" t="str">
        <f t="shared" ref="A2067:A2130" si="306">IF(K2067&lt;&gt;"",1,IF(D2067="x","x",""))</f>
        <v/>
      </c>
      <c r="E2067" s="4"/>
      <c r="F2067" s="46"/>
      <c r="G2067" s="4"/>
      <c r="H2067" s="48"/>
      <c r="J2067" s="26" t="str">
        <f t="shared" ref="J2067:J2130" si="307">IF(OR(K2067="Goal",K2067="Shot",L2067="Zone_Entry",M2067="Stoppage-Goal",M2066="Stoppage-Goal"),"o",IF(OR(K2067="Save",K2067="Rebound",L2067="Zone_Exit",M2067="Stoppage-GoalieStoppage",M2066="Stoppage-GoalieStoppage"),"d",IF(OR(L2067="Faceoff_AfterGoal",L2067="Faceoff_PeriodStart",698="Faceoff_GameStart",M2066="Stoppage-Goal"),"n","")))</f>
        <v/>
      </c>
      <c r="N2067" t="str">
        <f t="shared" ref="N2067:N2130" si="308">IF(K2067="","",IF(K2067="Goal","s",IF(AND(K2067="Zone_Entry_Exit",OR(ISNUMBER(SEARCH("fail",L2067)),ISNUMBER(SEARCH("FromExitClear",M2067)),ISNUMBER(SEARCH("miss",M2067)))),"u",IF(AND(K2067="Zone_Entry_Exit",OR(NOT(ISNUMBER(SEARCH("fail",L2067))),NOT(ISNUMBER(SEARCH("FromExitClear",M2067))),NOT(ISNUMBER(SEARCH("miss",M2067))))),"s",IF(AND(OR(K2067="Shot",K2067="Pass"),OR(ISNUMBER(SEARCH("complete",L2067)),ISNUMBER(SEARCH("goal",L2067)),ISNUMBER(SEARCH("OnNet",L2067)))),"s",IF(L2067="Turnover_Giveaway","u",IF(AND(OR(K2067="Shot",K2067="Pass"),OR(ISNUMBER(SEARCH("fail",L2067)),NOT(ISNUMBER(SEARCH("complete",L2067))),NOT(ISNUMBER(SEARCH("OnNet",L2067))))),"u","")))))))</f>
        <v/>
      </c>
      <c r="Q2067" t="str">
        <f t="shared" ref="Q2067:Q2130" si="309">IF(O2067="","",IF(AND(N2067&lt;&gt;"",OR(O2067&lt;&gt;"",P2067&lt;&gt;"")),N2067,IF(OR(ISNUMBER(SEARCH("attemp",O2067)),ISNUMBER(SEARCH("beat",O2067)),ISNUMBER(SEARCH("mis",O2067)),ISNUMBER(SEARCH("fail",O2067)),ISNUMBER(SEARCH("loss",O2067)),ISNUMBER(SEARCH("lost",O2067)),ISNUMBER(SEARCH("attemp",P2067)),ISNUMBER(SEARCH("mis",P2067)),ISNUMBER(SEARCH("fail",P2067)),ISNUMBER(SEARCH("loss",P2067)),ISNUMBER(SEARCH("beat",P2067)),ISNUMBER(SEARCH("lost",P2067))),"u","")))</f>
        <v/>
      </c>
      <c r="S2067" t="str">
        <f>IF(A2067=1,MAX($S$2:$S2066)+1,IF(OR($I2067&lt;&gt;"",A2067="x"),$S2066,""))</f>
        <v/>
      </c>
      <c r="T2067" t="str">
        <f>IF(D2067=1,MAX($T$2:$T2066)+1,IF(S2067=S2066,$T2066,IF(D2067="x",T2066,IF(D2066="x","",""))))</f>
        <v/>
      </c>
      <c r="U2067" t="str">
        <f>IF(B2067=1,MAX($U$2:$U2066)+1,IF(AND($T2067&lt;&gt;"",$T2067=$T2066),$U2066,IF(B2067="x",U2066,"")))</f>
        <v/>
      </c>
      <c r="V2067" t="str">
        <f>IF(C2067=1,MAX($V$2:$V2066)+1,IF(AND($T2067&lt;&gt;"",$T2067=$T2066),$U2066,IF(C2067="x",V2066,"")))</f>
        <v/>
      </c>
      <c r="X2067" cm="1">
        <f t="array" ref="X2067">IF($I2067&lt;&gt;"",$I2067,INDEX($I$1:$I2067,ROW()-COUNTIFS($T$1:$T2067,"="&amp;$T2067,$S$1:$S2067,"&lt;"&amp;$S2067)))</f>
        <v>0</v>
      </c>
      <c r="Z2067" s="6">
        <f t="shared" si="302"/>
        <v>1</v>
      </c>
      <c r="AA2067" t="e">
        <f t="shared" si="303"/>
        <v>#VALUE!</v>
      </c>
      <c r="AB2067" t="str">
        <f t="shared" si="304"/>
        <v/>
      </c>
      <c r="AC2067" t="e">
        <f t="shared" si="305"/>
        <v>#VALUE!</v>
      </c>
    </row>
    <row r="2068" spans="1:29" x14ac:dyDescent="0.2">
      <c r="A2068" t="str">
        <f t="shared" si="306"/>
        <v/>
      </c>
      <c r="E2068" s="4"/>
      <c r="F2068" s="46"/>
      <c r="G2068" s="4"/>
      <c r="H2068" s="48"/>
      <c r="J2068" s="26" t="str">
        <f t="shared" si="307"/>
        <v/>
      </c>
      <c r="N2068" t="str">
        <f t="shared" si="308"/>
        <v/>
      </c>
      <c r="Q2068" t="str">
        <f t="shared" si="309"/>
        <v/>
      </c>
      <c r="S2068" t="str">
        <f>IF(A2068=1,MAX($S$2:$S2067)+1,IF(OR($I2068&lt;&gt;"",A2068="x"),$S2067,""))</f>
        <v/>
      </c>
      <c r="T2068" t="str">
        <f>IF(D2068=1,MAX($T$2:$T2067)+1,IF(S2068=S2067,$T2067,IF(D2068="x",T2067,IF(D2067="x","",""))))</f>
        <v/>
      </c>
      <c r="U2068" t="str">
        <f>IF(B2068=1,MAX($U$2:$U2067)+1,IF(AND($T2068&lt;&gt;"",$T2068=$T2067),$U2067,IF(B2068="x",U2067,"")))</f>
        <v/>
      </c>
      <c r="V2068" t="str">
        <f>IF(C2068=1,MAX($V$2:$V2067)+1,IF(AND($T2068&lt;&gt;"",$T2068=$T2067),$U2067,IF(C2068="x",V2067,"")))</f>
        <v/>
      </c>
      <c r="X2068" cm="1">
        <f t="array" ref="X2068">IF($I2068&lt;&gt;"",$I2068,INDEX($I$1:$I2068,ROW()-COUNTIFS($T$1:$T2068,"="&amp;$T2068,$S$1:$S2068,"&lt;"&amp;$S2068)))</f>
        <v>0</v>
      </c>
      <c r="Z2068" s="6">
        <f t="shared" si="302"/>
        <v>1</v>
      </c>
      <c r="AA2068" t="e">
        <f t="shared" si="303"/>
        <v>#VALUE!</v>
      </c>
      <c r="AB2068" t="str">
        <f t="shared" si="304"/>
        <v/>
      </c>
      <c r="AC2068" t="e">
        <f t="shared" si="305"/>
        <v>#VALUE!</v>
      </c>
    </row>
    <row r="2069" spans="1:29" x14ac:dyDescent="0.2">
      <c r="A2069" t="str">
        <f t="shared" si="306"/>
        <v/>
      </c>
      <c r="E2069" s="4"/>
      <c r="F2069" s="46"/>
      <c r="G2069" s="4"/>
      <c r="H2069" s="48"/>
      <c r="J2069" s="26" t="str">
        <f t="shared" si="307"/>
        <v/>
      </c>
      <c r="N2069" t="str">
        <f t="shared" si="308"/>
        <v/>
      </c>
      <c r="Q2069" t="str">
        <f t="shared" si="309"/>
        <v/>
      </c>
      <c r="S2069" t="str">
        <f>IF(A2069=1,MAX($S$2:$S2068)+1,IF(OR($I2069&lt;&gt;"",A2069="x"),$S2068,""))</f>
        <v/>
      </c>
      <c r="T2069" t="str">
        <f>IF(D2069=1,MAX($T$2:$T2068)+1,IF(S2069=S2068,$T2068,IF(D2069="x",T2068,IF(D2068="x","",""))))</f>
        <v/>
      </c>
      <c r="U2069" t="str">
        <f>IF(B2069=1,MAX($U$2:$U2068)+1,IF(AND($T2069&lt;&gt;"",$T2069=$T2068),$U2068,IF(B2069="x",U2068,"")))</f>
        <v/>
      </c>
      <c r="V2069" t="str">
        <f>IF(C2069=1,MAX($V$2:$V2068)+1,IF(AND($T2069&lt;&gt;"",$T2069=$T2068),$U2068,IF(C2069="x",V2068,"")))</f>
        <v/>
      </c>
      <c r="X2069" cm="1">
        <f t="array" ref="X2069">IF($I2069&lt;&gt;"",$I2069,INDEX($I$1:$I2069,ROW()-COUNTIFS($T$1:$T2069,"="&amp;$T2069,$S$1:$S2069,"&lt;"&amp;$S2069)))</f>
        <v>0</v>
      </c>
      <c r="Z2069" s="6">
        <f t="shared" si="302"/>
        <v>1</v>
      </c>
      <c r="AA2069" t="e">
        <f t="shared" si="303"/>
        <v>#VALUE!</v>
      </c>
      <c r="AB2069" t="str">
        <f t="shared" si="304"/>
        <v/>
      </c>
      <c r="AC2069" t="e">
        <f t="shared" si="305"/>
        <v>#VALUE!</v>
      </c>
    </row>
    <row r="2070" spans="1:29" x14ac:dyDescent="0.2">
      <c r="A2070" t="str">
        <f t="shared" si="306"/>
        <v/>
      </c>
      <c r="E2070" s="4"/>
      <c r="F2070" s="46"/>
      <c r="G2070" s="4"/>
      <c r="H2070" s="48"/>
      <c r="J2070" s="26" t="str">
        <f t="shared" si="307"/>
        <v/>
      </c>
      <c r="N2070" t="str">
        <f t="shared" si="308"/>
        <v/>
      </c>
      <c r="Q2070" t="str">
        <f t="shared" si="309"/>
        <v/>
      </c>
      <c r="S2070" t="str">
        <f>IF(A2070=1,MAX($S$2:$S2069)+1,IF(OR($I2070&lt;&gt;"",A2070="x"),$S2069,""))</f>
        <v/>
      </c>
      <c r="T2070" t="str">
        <f>IF(D2070=1,MAX($T$2:$T2069)+1,IF(S2070=S2069,$T2069,IF(D2070="x",T2069,IF(D2069="x","",""))))</f>
        <v/>
      </c>
      <c r="U2070" t="str">
        <f>IF(B2070=1,MAX($U$2:$U2069)+1,IF(AND($T2070&lt;&gt;"",$T2070=$T2069),$U2069,IF(B2070="x",U2069,"")))</f>
        <v/>
      </c>
      <c r="V2070" t="str">
        <f>IF(C2070=1,MAX($V$2:$V2069)+1,IF(AND($T2070&lt;&gt;"",$T2070=$T2069),$U2069,IF(C2070="x",V2069,"")))</f>
        <v/>
      </c>
      <c r="X2070" cm="1">
        <f t="array" ref="X2070">IF($I2070&lt;&gt;"",$I2070,INDEX($I$1:$I2070,ROW()-COUNTIFS($T$1:$T2070,"="&amp;$T2070,$S$1:$S2070,"&lt;"&amp;$S2070)))</f>
        <v>0</v>
      </c>
      <c r="Z2070" s="6">
        <f t="shared" si="302"/>
        <v>1</v>
      </c>
      <c r="AA2070" t="e">
        <f t="shared" si="303"/>
        <v>#VALUE!</v>
      </c>
      <c r="AB2070" t="str">
        <f t="shared" si="304"/>
        <v/>
      </c>
      <c r="AC2070" t="e">
        <f t="shared" si="305"/>
        <v>#VALUE!</v>
      </c>
    </row>
    <row r="2071" spans="1:29" x14ac:dyDescent="0.2">
      <c r="A2071" t="str">
        <f t="shared" si="306"/>
        <v/>
      </c>
      <c r="E2071" s="4"/>
      <c r="F2071" s="46"/>
      <c r="G2071" s="4"/>
      <c r="H2071" s="48"/>
      <c r="J2071" s="26" t="str">
        <f t="shared" si="307"/>
        <v/>
      </c>
      <c r="N2071" t="str">
        <f t="shared" si="308"/>
        <v/>
      </c>
      <c r="Q2071" t="str">
        <f t="shared" si="309"/>
        <v/>
      </c>
      <c r="S2071" t="str">
        <f>IF(A2071=1,MAX($S$2:$S2070)+1,IF(OR($I2071&lt;&gt;"",A2071="x"),$S2070,""))</f>
        <v/>
      </c>
      <c r="T2071" t="str">
        <f>IF(D2071=1,MAX($T$2:$T2070)+1,IF(S2071=S2070,$T2070,IF(D2071="x",T2070,IF(D2070="x","",""))))</f>
        <v/>
      </c>
      <c r="U2071" t="str">
        <f>IF(B2071=1,MAX($U$2:$U2070)+1,IF(AND($T2071&lt;&gt;"",$T2071=$T2070),$U2070,IF(B2071="x",U2070,"")))</f>
        <v/>
      </c>
      <c r="V2071" t="str">
        <f>IF(C2071=1,MAX($V$2:$V2070)+1,IF(AND($T2071&lt;&gt;"",$T2071=$T2070),$U2070,IF(C2071="x",V2070,"")))</f>
        <v/>
      </c>
      <c r="X2071" cm="1">
        <f t="array" ref="X2071">IF($I2071&lt;&gt;"",$I2071,INDEX($I$1:$I2071,ROW()-COUNTIFS($T$1:$T2071,"="&amp;$T2071,$S$1:$S2071,"&lt;"&amp;$S2071)))</f>
        <v>0</v>
      </c>
      <c r="Z2071" s="6">
        <f t="shared" si="302"/>
        <v>1</v>
      </c>
      <c r="AA2071" t="e">
        <f t="shared" si="303"/>
        <v>#VALUE!</v>
      </c>
      <c r="AB2071" t="str">
        <f t="shared" si="304"/>
        <v/>
      </c>
      <c r="AC2071" t="e">
        <f t="shared" si="305"/>
        <v>#VALUE!</v>
      </c>
    </row>
    <row r="2072" spans="1:29" x14ac:dyDescent="0.2">
      <c r="A2072" t="str">
        <f t="shared" si="306"/>
        <v/>
      </c>
      <c r="E2072" s="4"/>
      <c r="F2072" s="46"/>
      <c r="G2072" s="4"/>
      <c r="H2072" s="48"/>
      <c r="J2072" s="26" t="str">
        <f t="shared" si="307"/>
        <v/>
      </c>
      <c r="N2072" t="str">
        <f t="shared" si="308"/>
        <v/>
      </c>
      <c r="Q2072" t="str">
        <f t="shared" si="309"/>
        <v/>
      </c>
      <c r="S2072" t="str">
        <f>IF(A2072=1,MAX($S$2:$S2071)+1,IF(OR($I2072&lt;&gt;"",A2072="x"),$S2071,""))</f>
        <v/>
      </c>
      <c r="T2072" t="str">
        <f>IF(D2072=1,MAX($T$2:$T2071)+1,IF(S2072=S2071,$T2071,IF(D2072="x",T2071,IF(D2071="x","",""))))</f>
        <v/>
      </c>
      <c r="U2072" t="str">
        <f>IF(B2072=1,MAX($U$2:$U2071)+1,IF(AND($T2072&lt;&gt;"",$T2072=$T2071),$U2071,IF(B2072="x",U2071,"")))</f>
        <v/>
      </c>
      <c r="V2072" t="str">
        <f>IF(C2072=1,MAX($V$2:$V2071)+1,IF(AND($T2072&lt;&gt;"",$T2072=$T2071),$U2071,IF(C2072="x",V2071,"")))</f>
        <v/>
      </c>
      <c r="X2072" cm="1">
        <f t="array" ref="X2072">IF($I2072&lt;&gt;"",$I2072,INDEX($I$1:$I2072,ROW()-COUNTIFS($T$1:$T2072,"="&amp;$T2072,$S$1:$S2072,"&lt;"&amp;$S2072)))</f>
        <v>0</v>
      </c>
      <c r="Z2072" s="6">
        <f t="shared" si="302"/>
        <v>1</v>
      </c>
      <c r="AA2072" t="e">
        <f t="shared" si="303"/>
        <v>#VALUE!</v>
      </c>
      <c r="AB2072" t="str">
        <f t="shared" si="304"/>
        <v/>
      </c>
      <c r="AC2072" t="e">
        <f t="shared" si="305"/>
        <v>#VALUE!</v>
      </c>
    </row>
    <row r="2073" spans="1:29" x14ac:dyDescent="0.2">
      <c r="A2073" t="str">
        <f t="shared" si="306"/>
        <v/>
      </c>
      <c r="E2073" s="4"/>
      <c r="F2073" s="46"/>
      <c r="G2073" s="4"/>
      <c r="H2073" s="48"/>
      <c r="J2073" s="26" t="str">
        <f t="shared" si="307"/>
        <v/>
      </c>
      <c r="N2073" t="str">
        <f t="shared" si="308"/>
        <v/>
      </c>
      <c r="Q2073" t="str">
        <f t="shared" si="309"/>
        <v/>
      </c>
      <c r="S2073" t="str">
        <f>IF(A2073=1,MAX($S$2:$S2072)+1,IF(OR($I2073&lt;&gt;"",A2073="x"),$S2072,""))</f>
        <v/>
      </c>
      <c r="T2073" t="str">
        <f>IF(D2073=1,MAX($T$2:$T2072)+1,IF(S2073=S2072,$T2072,IF(D2073="x",T2072,IF(D2072="x","",""))))</f>
        <v/>
      </c>
      <c r="U2073" t="str">
        <f>IF(B2073=1,MAX($U$2:$U2072)+1,IF(AND($T2073&lt;&gt;"",$T2073=$T2072),$U2072,IF(B2073="x",U2072,"")))</f>
        <v/>
      </c>
      <c r="V2073" t="str">
        <f>IF(C2073=1,MAX($V$2:$V2072)+1,IF(AND($T2073&lt;&gt;"",$T2073=$T2072),$U2072,IF(C2073="x",V2072,"")))</f>
        <v/>
      </c>
      <c r="X2073" cm="1">
        <f t="array" ref="X2073">IF($I2073&lt;&gt;"",$I2073,INDEX($I$1:$I2073,ROW()-COUNTIFS($T$1:$T2073,"="&amp;$T2073,$S$1:$S2073,"&lt;"&amp;$S2073)))</f>
        <v>0</v>
      </c>
      <c r="Z2073" s="6">
        <f t="shared" si="302"/>
        <v>1</v>
      </c>
      <c r="AA2073" t="e">
        <f t="shared" si="303"/>
        <v>#VALUE!</v>
      </c>
      <c r="AB2073" t="str">
        <f t="shared" si="304"/>
        <v/>
      </c>
      <c r="AC2073" t="e">
        <f t="shared" si="305"/>
        <v>#VALUE!</v>
      </c>
    </row>
    <row r="2074" spans="1:29" x14ac:dyDescent="0.2">
      <c r="A2074" t="str">
        <f t="shared" si="306"/>
        <v/>
      </c>
      <c r="E2074" s="4"/>
      <c r="F2074" s="46"/>
      <c r="G2074" s="4"/>
      <c r="H2074" s="48"/>
      <c r="J2074" s="26" t="str">
        <f t="shared" si="307"/>
        <v/>
      </c>
      <c r="N2074" t="str">
        <f t="shared" si="308"/>
        <v/>
      </c>
      <c r="Q2074" t="str">
        <f t="shared" si="309"/>
        <v/>
      </c>
      <c r="S2074" t="str">
        <f>IF(A2074=1,MAX($S$2:$S2073)+1,IF(OR($I2074&lt;&gt;"",A2074="x"),$S2073,""))</f>
        <v/>
      </c>
      <c r="T2074" t="str">
        <f>IF(D2074=1,MAX($T$2:$T2073)+1,IF(S2074=S2073,$T2073,IF(D2074="x",T2073,IF(D2073="x","",""))))</f>
        <v/>
      </c>
      <c r="U2074" t="str">
        <f>IF(B2074=1,MAX($U$2:$U2073)+1,IF(AND($T2074&lt;&gt;"",$T2074=$T2073),$U2073,IF(B2074="x",U2073,"")))</f>
        <v/>
      </c>
      <c r="V2074" t="str">
        <f>IF(C2074=1,MAX($V$2:$V2073)+1,IF(AND($T2074&lt;&gt;"",$T2074=$T2073),$U2073,IF(C2074="x",V2073,"")))</f>
        <v/>
      </c>
      <c r="X2074" cm="1">
        <f t="array" ref="X2074">IF($I2074&lt;&gt;"",$I2074,INDEX($I$1:$I2074,ROW()-COUNTIFS($T$1:$T2074,"="&amp;$T2074,$S$1:$S2074,"&lt;"&amp;$S2074)))</f>
        <v>0</v>
      </c>
      <c r="Z2074" s="6">
        <f t="shared" si="302"/>
        <v>1</v>
      </c>
      <c r="AA2074" t="e">
        <f t="shared" si="303"/>
        <v>#VALUE!</v>
      </c>
      <c r="AB2074" t="str">
        <f t="shared" si="304"/>
        <v/>
      </c>
      <c r="AC2074" t="e">
        <f t="shared" si="305"/>
        <v>#VALUE!</v>
      </c>
    </row>
    <row r="2075" spans="1:29" x14ac:dyDescent="0.2">
      <c r="A2075" t="str">
        <f t="shared" si="306"/>
        <v/>
      </c>
      <c r="E2075" s="4"/>
      <c r="F2075" s="46"/>
      <c r="G2075" s="4"/>
      <c r="H2075" s="48"/>
      <c r="J2075" s="26" t="str">
        <f t="shared" si="307"/>
        <v/>
      </c>
      <c r="N2075" t="str">
        <f t="shared" si="308"/>
        <v/>
      </c>
      <c r="Q2075" t="str">
        <f t="shared" si="309"/>
        <v/>
      </c>
      <c r="S2075" t="str">
        <f>IF(A2075=1,MAX($S$2:$S2074)+1,IF(OR($I2075&lt;&gt;"",A2075="x"),$S2074,""))</f>
        <v/>
      </c>
      <c r="T2075" t="str">
        <f>IF(D2075=1,MAX($T$2:$T2074)+1,IF(S2075=S2074,$T2074,IF(D2075="x",T2074,IF(D2074="x","",""))))</f>
        <v/>
      </c>
      <c r="U2075" t="str">
        <f>IF(B2075=1,MAX($U$2:$U2074)+1,IF(AND($T2075&lt;&gt;"",$T2075=$T2074),$U2074,IF(B2075="x",U2074,"")))</f>
        <v/>
      </c>
      <c r="V2075" t="str">
        <f>IF(C2075=1,MAX($V$2:$V2074)+1,IF(AND($T2075&lt;&gt;"",$T2075=$T2074),$U2074,IF(C2075="x",V2074,"")))</f>
        <v/>
      </c>
      <c r="X2075" cm="1">
        <f t="array" ref="X2075">IF($I2075&lt;&gt;"",$I2075,INDEX($I$1:$I2075,ROW()-COUNTIFS($T$1:$T2075,"="&amp;$T2075,$S$1:$S2075,"&lt;"&amp;$S2075)))</f>
        <v>0</v>
      </c>
      <c r="Z2075" s="6">
        <f t="shared" si="302"/>
        <v>1</v>
      </c>
      <c r="AA2075" t="e">
        <f t="shared" si="303"/>
        <v>#VALUE!</v>
      </c>
      <c r="AB2075" t="str">
        <f t="shared" si="304"/>
        <v/>
      </c>
      <c r="AC2075" t="e">
        <f t="shared" si="305"/>
        <v>#VALUE!</v>
      </c>
    </row>
    <row r="2076" spans="1:29" x14ac:dyDescent="0.2">
      <c r="A2076" t="str">
        <f t="shared" si="306"/>
        <v/>
      </c>
      <c r="E2076" s="4"/>
      <c r="F2076" s="46"/>
      <c r="G2076" s="4"/>
      <c r="H2076" s="48"/>
      <c r="J2076" s="26" t="str">
        <f t="shared" si="307"/>
        <v/>
      </c>
      <c r="N2076" t="str">
        <f t="shared" si="308"/>
        <v/>
      </c>
      <c r="Q2076" t="str">
        <f t="shared" si="309"/>
        <v/>
      </c>
      <c r="S2076" t="str">
        <f>IF(A2076=1,MAX($S$2:$S2075)+1,IF(OR($I2076&lt;&gt;"",A2076="x"),$S2075,""))</f>
        <v/>
      </c>
      <c r="T2076" t="str">
        <f>IF(D2076=1,MAX($T$2:$T2075)+1,IF(S2076=S2075,$T2075,IF(D2076="x",T2075,IF(D2075="x","",""))))</f>
        <v/>
      </c>
      <c r="U2076" t="str">
        <f>IF(B2076=1,MAX($U$2:$U2075)+1,IF(AND($T2076&lt;&gt;"",$T2076=$T2075),$U2075,IF(B2076="x",U2075,"")))</f>
        <v/>
      </c>
      <c r="V2076" t="str">
        <f>IF(C2076=1,MAX($V$2:$V2075)+1,IF(AND($T2076&lt;&gt;"",$T2076=$T2075),$U2075,IF(C2076="x",V2075,"")))</f>
        <v/>
      </c>
      <c r="X2076" cm="1">
        <f t="array" ref="X2076">IF($I2076&lt;&gt;"",$I2076,INDEX($I$1:$I2076,ROW()-COUNTIFS($T$1:$T2076,"="&amp;$T2076,$S$1:$S2076,"&lt;"&amp;$S2076)))</f>
        <v>0</v>
      </c>
      <c r="Z2076" s="6">
        <f t="shared" si="302"/>
        <v>1</v>
      </c>
      <c r="AA2076" t="e">
        <f t="shared" si="303"/>
        <v>#VALUE!</v>
      </c>
      <c r="AB2076" t="str">
        <f t="shared" si="304"/>
        <v/>
      </c>
      <c r="AC2076" t="e">
        <f t="shared" si="305"/>
        <v>#VALUE!</v>
      </c>
    </row>
    <row r="2077" spans="1:29" x14ac:dyDescent="0.2">
      <c r="A2077" t="str">
        <f t="shared" si="306"/>
        <v/>
      </c>
      <c r="E2077" s="4"/>
      <c r="F2077" s="46"/>
      <c r="G2077" s="4"/>
      <c r="H2077" s="48"/>
      <c r="J2077" s="26" t="str">
        <f t="shared" si="307"/>
        <v/>
      </c>
      <c r="N2077" t="str">
        <f t="shared" si="308"/>
        <v/>
      </c>
      <c r="Q2077" t="str">
        <f t="shared" si="309"/>
        <v/>
      </c>
      <c r="S2077" t="str">
        <f>IF(A2077=1,MAX($S$2:$S2076)+1,IF(OR($I2077&lt;&gt;"",A2077="x"),$S2076,""))</f>
        <v/>
      </c>
      <c r="T2077" t="str">
        <f>IF(D2077=1,MAX($T$2:$T2076)+1,IF(S2077=S2076,$T2076,IF(D2077="x",T2076,IF(D2076="x","",""))))</f>
        <v/>
      </c>
      <c r="U2077" t="str">
        <f>IF(B2077=1,MAX($U$2:$U2076)+1,IF(AND($T2077&lt;&gt;"",$T2077=$T2076),$U2076,IF(B2077="x",U2076,"")))</f>
        <v/>
      </c>
      <c r="V2077" t="str">
        <f>IF(C2077=1,MAX($V$2:$V2076)+1,IF(AND($T2077&lt;&gt;"",$T2077=$T2076),$U2076,IF(C2077="x",V2076,"")))</f>
        <v/>
      </c>
      <c r="X2077" cm="1">
        <f t="array" ref="X2077">IF($I2077&lt;&gt;"",$I2077,INDEX($I$1:$I2077,ROW()-COUNTIFS($T$1:$T2077,"="&amp;$T2077,$S$1:$S2077,"&lt;"&amp;$S2077)))</f>
        <v>0</v>
      </c>
      <c r="Z2077" s="6">
        <f t="shared" si="302"/>
        <v>1</v>
      </c>
      <c r="AA2077" t="e">
        <f t="shared" si="303"/>
        <v>#VALUE!</v>
      </c>
      <c r="AB2077" t="str">
        <f t="shared" si="304"/>
        <v/>
      </c>
      <c r="AC2077" t="e">
        <f t="shared" si="305"/>
        <v>#VALUE!</v>
      </c>
    </row>
    <row r="2078" spans="1:29" x14ac:dyDescent="0.2">
      <c r="A2078" t="str">
        <f t="shared" si="306"/>
        <v/>
      </c>
      <c r="E2078" s="4"/>
      <c r="F2078" s="46"/>
      <c r="G2078" s="4"/>
      <c r="H2078" s="48"/>
      <c r="J2078" s="26" t="str">
        <f t="shared" si="307"/>
        <v/>
      </c>
      <c r="N2078" t="str">
        <f t="shared" si="308"/>
        <v/>
      </c>
      <c r="Q2078" t="str">
        <f t="shared" si="309"/>
        <v/>
      </c>
      <c r="S2078" t="str">
        <f>IF(A2078=1,MAX($S$2:$S2077)+1,IF(OR($I2078&lt;&gt;"",A2078="x"),$S2077,""))</f>
        <v/>
      </c>
      <c r="T2078" t="str">
        <f>IF(D2078=1,MAX($T$2:$T2077)+1,IF(S2078=S2077,$T2077,IF(D2078="x",T2077,IF(D2077="x","",""))))</f>
        <v/>
      </c>
      <c r="U2078" t="str">
        <f>IF(B2078=1,MAX($U$2:$U2077)+1,IF(AND($T2078&lt;&gt;"",$T2078=$T2077),$U2077,IF(B2078="x",U2077,"")))</f>
        <v/>
      </c>
      <c r="V2078" t="str">
        <f>IF(C2078=1,MAX($V$2:$V2077)+1,IF(AND($T2078&lt;&gt;"",$T2078=$T2077),$U2077,IF(C2078="x",V2077,"")))</f>
        <v/>
      </c>
      <c r="X2078" cm="1">
        <f t="array" ref="X2078">IF($I2078&lt;&gt;"",$I2078,INDEX($I$1:$I2078,ROW()-COUNTIFS($T$1:$T2078,"="&amp;$T2078,$S$1:$S2078,"&lt;"&amp;$S2078)))</f>
        <v>0</v>
      </c>
      <c r="Z2078" s="6">
        <f t="shared" si="302"/>
        <v>1</v>
      </c>
      <c r="AA2078" t="e">
        <f t="shared" si="303"/>
        <v>#VALUE!</v>
      </c>
      <c r="AB2078" t="str">
        <f t="shared" si="304"/>
        <v/>
      </c>
      <c r="AC2078" t="e">
        <f t="shared" si="305"/>
        <v>#VALUE!</v>
      </c>
    </row>
    <row r="2079" spans="1:29" x14ac:dyDescent="0.2">
      <c r="A2079" t="str">
        <f t="shared" si="306"/>
        <v/>
      </c>
      <c r="E2079" s="4"/>
      <c r="F2079" s="46"/>
      <c r="G2079" s="4"/>
      <c r="H2079" s="48"/>
      <c r="J2079" s="26" t="str">
        <f t="shared" si="307"/>
        <v/>
      </c>
      <c r="N2079" t="str">
        <f t="shared" si="308"/>
        <v/>
      </c>
      <c r="Q2079" t="str">
        <f t="shared" si="309"/>
        <v/>
      </c>
      <c r="S2079" t="str">
        <f>IF(A2079=1,MAX($S$2:$S2078)+1,IF(OR($I2079&lt;&gt;"",A2079="x"),$S2078,""))</f>
        <v/>
      </c>
      <c r="T2079" t="str">
        <f>IF(D2079=1,MAX($T$2:$T2078)+1,IF(S2079=S2078,$T2078,IF(D2079="x",T2078,IF(D2078="x","",""))))</f>
        <v/>
      </c>
      <c r="U2079" t="str">
        <f>IF(B2079=1,MAX($U$2:$U2078)+1,IF(AND($T2079&lt;&gt;"",$T2079=$T2078),$U2078,IF(B2079="x",U2078,"")))</f>
        <v/>
      </c>
      <c r="V2079" t="str">
        <f>IF(C2079=1,MAX($V$2:$V2078)+1,IF(AND($T2079&lt;&gt;"",$T2079=$T2078),$U2078,IF(C2079="x",V2078,"")))</f>
        <v/>
      </c>
      <c r="X2079" cm="1">
        <f t="array" ref="X2079">IF($I2079&lt;&gt;"",$I2079,INDEX($I$1:$I2079,ROW()-COUNTIFS($T$1:$T2079,"="&amp;$T2079,$S$1:$S2079,"&lt;"&amp;$S2079)))</f>
        <v>0</v>
      </c>
      <c r="Z2079" s="6">
        <f t="shared" si="302"/>
        <v>1</v>
      </c>
      <c r="AA2079" t="e">
        <f t="shared" si="303"/>
        <v>#VALUE!</v>
      </c>
      <c r="AB2079" t="str">
        <f t="shared" si="304"/>
        <v/>
      </c>
      <c r="AC2079" t="e">
        <f t="shared" si="305"/>
        <v>#VALUE!</v>
      </c>
    </row>
    <row r="2080" spans="1:29" x14ac:dyDescent="0.2">
      <c r="A2080" t="str">
        <f t="shared" si="306"/>
        <v/>
      </c>
      <c r="E2080" s="4"/>
      <c r="F2080" s="46"/>
      <c r="G2080" s="4"/>
      <c r="H2080" s="48"/>
      <c r="J2080" s="26" t="str">
        <f t="shared" si="307"/>
        <v/>
      </c>
      <c r="N2080" t="str">
        <f t="shared" si="308"/>
        <v/>
      </c>
      <c r="Q2080" t="str">
        <f t="shared" si="309"/>
        <v/>
      </c>
      <c r="S2080" t="str">
        <f>IF(A2080=1,MAX($S$2:$S2079)+1,IF(OR($I2080&lt;&gt;"",A2080="x"),$S2079,""))</f>
        <v/>
      </c>
      <c r="T2080" t="str">
        <f>IF(D2080=1,MAX($T$2:$T2079)+1,IF(S2080=S2079,$T2079,IF(D2080="x",T2079,IF(D2079="x","",""))))</f>
        <v/>
      </c>
      <c r="U2080" t="str">
        <f>IF(B2080=1,MAX($U$2:$U2079)+1,IF(AND($T2080&lt;&gt;"",$T2080=$T2079),$U2079,IF(B2080="x",U2079,"")))</f>
        <v/>
      </c>
      <c r="V2080" t="str">
        <f>IF(C2080=1,MAX($V$2:$V2079)+1,IF(AND($T2080&lt;&gt;"",$T2080=$T2079),$U2079,IF(C2080="x",V2079,"")))</f>
        <v/>
      </c>
      <c r="X2080" cm="1">
        <f t="array" ref="X2080">IF($I2080&lt;&gt;"",$I2080,INDEX($I$1:$I2080,ROW()-COUNTIFS($T$1:$T2080,"="&amp;$T2080,$S$1:$S2080,"&lt;"&amp;$S2080)))</f>
        <v>0</v>
      </c>
      <c r="Z2080" s="6">
        <f t="shared" si="302"/>
        <v>1</v>
      </c>
      <c r="AA2080" t="e">
        <f t="shared" si="303"/>
        <v>#VALUE!</v>
      </c>
      <c r="AB2080" t="str">
        <f t="shared" si="304"/>
        <v/>
      </c>
      <c r="AC2080" t="e">
        <f t="shared" si="305"/>
        <v>#VALUE!</v>
      </c>
    </row>
    <row r="2081" spans="1:29" x14ac:dyDescent="0.2">
      <c r="A2081" t="str">
        <f t="shared" si="306"/>
        <v/>
      </c>
      <c r="E2081" s="4"/>
      <c r="F2081" s="46"/>
      <c r="G2081" s="4"/>
      <c r="H2081" s="48"/>
      <c r="J2081" s="26" t="str">
        <f t="shared" si="307"/>
        <v/>
      </c>
      <c r="N2081" t="str">
        <f t="shared" si="308"/>
        <v/>
      </c>
      <c r="Q2081" t="str">
        <f t="shared" si="309"/>
        <v/>
      </c>
      <c r="S2081" t="str">
        <f>IF(A2081=1,MAX($S$2:$S2080)+1,IF(OR($I2081&lt;&gt;"",A2081="x"),$S2080,""))</f>
        <v/>
      </c>
      <c r="T2081" t="str">
        <f>IF(D2081=1,MAX($T$2:$T2080)+1,IF(S2081=S2080,$T2080,IF(D2081="x",T2080,IF(D2080="x","",""))))</f>
        <v/>
      </c>
      <c r="U2081" t="str">
        <f>IF(B2081=1,MAX($U$2:$U2080)+1,IF(AND($T2081&lt;&gt;"",$T2081=$T2080),$U2080,IF(B2081="x",U2080,"")))</f>
        <v/>
      </c>
      <c r="V2081" t="str">
        <f>IF(C2081=1,MAX($V$2:$V2080)+1,IF(AND($T2081&lt;&gt;"",$T2081=$T2080),$U2080,IF(C2081="x",V2080,"")))</f>
        <v/>
      </c>
      <c r="X2081" cm="1">
        <f t="array" ref="X2081">IF($I2081&lt;&gt;"",$I2081,INDEX($I$1:$I2081,ROW()-COUNTIFS($T$1:$T2081,"="&amp;$T2081,$S$1:$S2081,"&lt;"&amp;$S2081)))</f>
        <v>0</v>
      </c>
      <c r="Z2081" s="6">
        <f t="shared" si="302"/>
        <v>1</v>
      </c>
      <c r="AA2081" t="e">
        <f t="shared" si="303"/>
        <v>#VALUE!</v>
      </c>
      <c r="AB2081" t="str">
        <f t="shared" si="304"/>
        <v/>
      </c>
      <c r="AC2081" t="e">
        <f t="shared" si="305"/>
        <v>#VALUE!</v>
      </c>
    </row>
    <row r="2082" spans="1:29" x14ac:dyDescent="0.2">
      <c r="A2082" t="str">
        <f t="shared" si="306"/>
        <v/>
      </c>
      <c r="E2082" s="4"/>
      <c r="F2082" s="46"/>
      <c r="G2082" s="4"/>
      <c r="H2082" s="48"/>
      <c r="J2082" s="26" t="str">
        <f t="shared" si="307"/>
        <v/>
      </c>
      <c r="N2082" t="str">
        <f t="shared" si="308"/>
        <v/>
      </c>
      <c r="Q2082" t="str">
        <f t="shared" si="309"/>
        <v/>
      </c>
      <c r="S2082" t="str">
        <f>IF(A2082=1,MAX($S$2:$S2081)+1,IF(OR($I2082&lt;&gt;"",A2082="x"),$S2081,""))</f>
        <v/>
      </c>
      <c r="T2082" t="str">
        <f>IF(D2082=1,MAX($T$2:$T2081)+1,IF(S2082=S2081,$T2081,IF(D2082="x",T2081,IF(D2081="x","",""))))</f>
        <v/>
      </c>
      <c r="U2082" t="str">
        <f>IF(B2082=1,MAX($U$2:$U2081)+1,IF(AND($T2082&lt;&gt;"",$T2082=$T2081),$U2081,IF(B2082="x",U2081,"")))</f>
        <v/>
      </c>
      <c r="V2082" t="str">
        <f>IF(C2082=1,MAX($V$2:$V2081)+1,IF(AND($T2082&lt;&gt;"",$T2082=$T2081),$U2081,IF(C2082="x",V2081,"")))</f>
        <v/>
      </c>
      <c r="X2082" cm="1">
        <f t="array" ref="X2082">IF($I2082&lt;&gt;"",$I2082,INDEX($I$1:$I2082,ROW()-COUNTIFS($T$1:$T2082,"="&amp;$T2082,$S$1:$S2082,"&lt;"&amp;$S2082)))</f>
        <v>0</v>
      </c>
      <c r="Z2082" s="6">
        <f t="shared" si="302"/>
        <v>1</v>
      </c>
      <c r="AA2082" t="e">
        <f t="shared" si="303"/>
        <v>#VALUE!</v>
      </c>
      <c r="AB2082" t="str">
        <f t="shared" si="304"/>
        <v/>
      </c>
      <c r="AC2082" t="e">
        <f t="shared" si="305"/>
        <v>#VALUE!</v>
      </c>
    </row>
    <row r="2083" spans="1:29" x14ac:dyDescent="0.2">
      <c r="A2083" t="str">
        <f t="shared" si="306"/>
        <v/>
      </c>
      <c r="E2083" s="4"/>
      <c r="F2083" s="46"/>
      <c r="G2083" s="4"/>
      <c r="H2083" s="48"/>
      <c r="J2083" s="26" t="str">
        <f t="shared" si="307"/>
        <v/>
      </c>
      <c r="N2083" t="str">
        <f t="shared" si="308"/>
        <v/>
      </c>
      <c r="Q2083" t="str">
        <f t="shared" si="309"/>
        <v/>
      </c>
      <c r="S2083" t="str">
        <f>IF(A2083=1,MAX($S$2:$S2082)+1,IF(OR($I2083&lt;&gt;"",A2083="x"),$S2082,""))</f>
        <v/>
      </c>
      <c r="T2083" t="str">
        <f>IF(D2083=1,MAX($T$2:$T2082)+1,IF(S2083=S2082,$T2082,IF(D2083="x",T2082,IF(D2082="x","",""))))</f>
        <v/>
      </c>
      <c r="U2083" t="str">
        <f>IF(B2083=1,MAX($U$2:$U2082)+1,IF(AND($T2083&lt;&gt;"",$T2083=$T2082),$U2082,IF(B2083="x",U2082,"")))</f>
        <v/>
      </c>
      <c r="V2083" t="str">
        <f>IF(C2083=1,MAX($V$2:$V2082)+1,IF(AND($T2083&lt;&gt;"",$T2083=$T2082),$U2082,IF(C2083="x",V2082,"")))</f>
        <v/>
      </c>
      <c r="X2083" cm="1">
        <f t="array" ref="X2083">IF($I2083&lt;&gt;"",$I2083,INDEX($I$1:$I2083,ROW()-COUNTIFS($T$1:$T2083,"="&amp;$T2083,$S$1:$S2083,"&lt;"&amp;$S2083)))</f>
        <v>0</v>
      </c>
      <c r="Z2083" s="6">
        <f t="shared" si="302"/>
        <v>1</v>
      </c>
      <c r="AA2083" t="e">
        <f t="shared" si="303"/>
        <v>#VALUE!</v>
      </c>
      <c r="AB2083" t="str">
        <f t="shared" si="304"/>
        <v/>
      </c>
      <c r="AC2083" t="e">
        <f t="shared" si="305"/>
        <v>#VALUE!</v>
      </c>
    </row>
    <row r="2084" spans="1:29" x14ac:dyDescent="0.2">
      <c r="A2084" t="str">
        <f t="shared" si="306"/>
        <v/>
      </c>
      <c r="E2084" s="4"/>
      <c r="F2084" s="46"/>
      <c r="G2084" s="4"/>
      <c r="H2084" s="48"/>
      <c r="J2084" s="26" t="str">
        <f t="shared" si="307"/>
        <v/>
      </c>
      <c r="N2084" t="str">
        <f t="shared" si="308"/>
        <v/>
      </c>
      <c r="Q2084" t="str">
        <f t="shared" si="309"/>
        <v/>
      </c>
      <c r="S2084" t="str">
        <f>IF(A2084=1,MAX($S$2:$S2083)+1,IF(OR($I2084&lt;&gt;"",A2084="x"),$S2083,""))</f>
        <v/>
      </c>
      <c r="T2084" t="str">
        <f>IF(D2084=1,MAX($T$2:$T2083)+1,IF(S2084=S2083,$T2083,IF(D2084="x",T2083,IF(D2083="x","",""))))</f>
        <v/>
      </c>
      <c r="U2084" t="str">
        <f>IF(B2084=1,MAX($U$2:$U2083)+1,IF(AND($T2084&lt;&gt;"",$T2084=$T2083),$U2083,IF(B2084="x",U2083,"")))</f>
        <v/>
      </c>
      <c r="V2084" t="str">
        <f>IF(C2084=1,MAX($V$2:$V2083)+1,IF(AND($T2084&lt;&gt;"",$T2084=$T2083),$U2083,IF(C2084="x",V2083,"")))</f>
        <v/>
      </c>
      <c r="X2084" cm="1">
        <f t="array" ref="X2084">IF($I2084&lt;&gt;"",$I2084,INDEX($I$1:$I2084,ROW()-COUNTIFS($T$1:$T2084,"="&amp;$T2084,$S$1:$S2084,"&lt;"&amp;$S2084)))</f>
        <v>0</v>
      </c>
      <c r="Z2084" s="6">
        <f t="shared" si="302"/>
        <v>1</v>
      </c>
      <c r="AA2084" t="e">
        <f t="shared" si="303"/>
        <v>#VALUE!</v>
      </c>
      <c r="AB2084" t="str">
        <f t="shared" si="304"/>
        <v/>
      </c>
      <c r="AC2084" t="e">
        <f t="shared" si="305"/>
        <v>#VALUE!</v>
      </c>
    </row>
    <row r="2085" spans="1:29" x14ac:dyDescent="0.2">
      <c r="A2085" t="str">
        <f t="shared" si="306"/>
        <v/>
      </c>
      <c r="E2085" s="4"/>
      <c r="F2085" s="46"/>
      <c r="G2085" s="4"/>
      <c r="H2085" s="48"/>
      <c r="J2085" s="26" t="str">
        <f t="shared" si="307"/>
        <v/>
      </c>
      <c r="N2085" t="str">
        <f t="shared" si="308"/>
        <v/>
      </c>
      <c r="Q2085" t="str">
        <f t="shared" si="309"/>
        <v/>
      </c>
      <c r="S2085" t="str">
        <f>IF(A2085=1,MAX($S$2:$S2084)+1,IF(OR($I2085&lt;&gt;"",A2085="x"),$S2084,""))</f>
        <v/>
      </c>
      <c r="T2085" t="str">
        <f>IF(D2085=1,MAX($T$2:$T2084)+1,IF(S2085=S2084,$T2084,IF(D2085="x",T2084,IF(D2084="x","",""))))</f>
        <v/>
      </c>
      <c r="U2085" t="str">
        <f>IF(B2085=1,MAX($U$2:$U2084)+1,IF(AND($T2085&lt;&gt;"",$T2085=$T2084),$U2084,IF(B2085="x",U2084,"")))</f>
        <v/>
      </c>
      <c r="V2085" t="str">
        <f>IF(C2085=1,MAX($V$2:$V2084)+1,IF(AND($T2085&lt;&gt;"",$T2085=$T2084),$U2084,IF(C2085="x",V2084,"")))</f>
        <v/>
      </c>
      <c r="X2085" cm="1">
        <f t="array" ref="X2085">IF($I2085&lt;&gt;"",$I2085,INDEX($I$1:$I2085,ROW()-COUNTIFS($T$1:$T2085,"="&amp;$T2085,$S$1:$S2085,"&lt;"&amp;$S2085)))</f>
        <v>0</v>
      </c>
      <c r="Z2085" s="6">
        <f t="shared" si="302"/>
        <v>1</v>
      </c>
      <c r="AA2085" t="e">
        <f t="shared" si="303"/>
        <v>#VALUE!</v>
      </c>
      <c r="AB2085" t="str">
        <f t="shared" si="304"/>
        <v/>
      </c>
      <c r="AC2085" t="e">
        <f t="shared" si="305"/>
        <v>#VALUE!</v>
      </c>
    </row>
    <row r="2086" spans="1:29" x14ac:dyDescent="0.2">
      <c r="A2086" t="str">
        <f t="shared" si="306"/>
        <v/>
      </c>
      <c r="E2086" s="4"/>
      <c r="F2086" s="46"/>
      <c r="G2086" s="4"/>
      <c r="H2086" s="48"/>
      <c r="J2086" s="26" t="str">
        <f t="shared" si="307"/>
        <v/>
      </c>
      <c r="N2086" t="str">
        <f t="shared" si="308"/>
        <v/>
      </c>
      <c r="Q2086" t="str">
        <f t="shared" si="309"/>
        <v/>
      </c>
      <c r="S2086" t="str">
        <f>IF(A2086=1,MAX($S$2:$S2085)+1,IF(OR($I2086&lt;&gt;"",A2086="x"),$S2085,""))</f>
        <v/>
      </c>
      <c r="T2086" t="str">
        <f>IF(D2086=1,MAX($T$2:$T2085)+1,IF(S2086=S2085,$T2085,IF(D2086="x",T2085,IF(D2085="x","",""))))</f>
        <v/>
      </c>
      <c r="U2086" t="str">
        <f>IF(B2086=1,MAX($U$2:$U2085)+1,IF(AND($T2086&lt;&gt;"",$T2086=$T2085),$U2085,IF(B2086="x",U2085,"")))</f>
        <v/>
      </c>
      <c r="V2086" t="str">
        <f>IF(C2086=1,MAX($V$2:$V2085)+1,IF(AND($T2086&lt;&gt;"",$T2086=$T2085),$U2085,IF(C2086="x",V2085,"")))</f>
        <v/>
      </c>
      <c r="X2086" cm="1">
        <f t="array" ref="X2086">IF($I2086&lt;&gt;"",$I2086,INDEX($I$1:$I2086,ROW()-COUNTIFS($T$1:$T2086,"="&amp;$T2086,$S$1:$S2086,"&lt;"&amp;$S2086)))</f>
        <v>0</v>
      </c>
      <c r="Z2086" s="6">
        <f t="shared" si="302"/>
        <v>1</v>
      </c>
      <c r="AA2086" t="e">
        <f t="shared" si="303"/>
        <v>#VALUE!</v>
      </c>
      <c r="AB2086" t="str">
        <f t="shared" si="304"/>
        <v/>
      </c>
      <c r="AC2086" t="e">
        <f t="shared" si="305"/>
        <v>#VALUE!</v>
      </c>
    </row>
    <row r="2087" spans="1:29" x14ac:dyDescent="0.2">
      <c r="A2087" t="str">
        <f t="shared" si="306"/>
        <v/>
      </c>
      <c r="E2087" s="4"/>
      <c r="F2087" s="46"/>
      <c r="G2087" s="4"/>
      <c r="H2087" s="48"/>
      <c r="J2087" s="26" t="str">
        <f t="shared" si="307"/>
        <v/>
      </c>
      <c r="N2087" t="str">
        <f t="shared" si="308"/>
        <v/>
      </c>
      <c r="Q2087" t="str">
        <f t="shared" si="309"/>
        <v/>
      </c>
      <c r="S2087" t="str">
        <f>IF(A2087=1,MAX($S$2:$S2086)+1,IF(OR($I2087&lt;&gt;"",A2087="x"),$S2086,""))</f>
        <v/>
      </c>
      <c r="T2087" t="str">
        <f>IF(D2087=1,MAX($T$2:$T2086)+1,IF(S2087=S2086,$T2086,IF(D2087="x",T2086,IF(D2086="x","",""))))</f>
        <v/>
      </c>
      <c r="U2087" t="str">
        <f>IF(B2087=1,MAX($U$2:$U2086)+1,IF(AND($T2087&lt;&gt;"",$T2087=$T2086),$U2086,IF(B2087="x",U2086,"")))</f>
        <v/>
      </c>
      <c r="V2087" t="str">
        <f>IF(C2087=1,MAX($V$2:$V2086)+1,IF(AND($T2087&lt;&gt;"",$T2087=$T2086),$U2086,IF(C2087="x",V2086,"")))</f>
        <v/>
      </c>
      <c r="X2087" cm="1">
        <f t="array" ref="X2087">IF($I2087&lt;&gt;"",$I2087,INDEX($I$1:$I2087,ROW()-COUNTIFS($T$1:$T2087,"="&amp;$T2087,$S$1:$S2087,"&lt;"&amp;$S2087)))</f>
        <v>0</v>
      </c>
      <c r="Z2087" s="6">
        <f t="shared" si="302"/>
        <v>1</v>
      </c>
      <c r="AA2087" t="e">
        <f t="shared" si="303"/>
        <v>#VALUE!</v>
      </c>
      <c r="AB2087" t="str">
        <f t="shared" si="304"/>
        <v/>
      </c>
      <c r="AC2087" t="e">
        <f t="shared" si="305"/>
        <v>#VALUE!</v>
      </c>
    </row>
    <row r="2088" spans="1:29" x14ac:dyDescent="0.2">
      <c r="A2088" t="str">
        <f t="shared" si="306"/>
        <v/>
      </c>
      <c r="E2088" s="4"/>
      <c r="F2088" s="46"/>
      <c r="G2088" s="4"/>
      <c r="H2088" s="48"/>
      <c r="J2088" s="26" t="str">
        <f t="shared" si="307"/>
        <v/>
      </c>
      <c r="N2088" t="str">
        <f t="shared" si="308"/>
        <v/>
      </c>
      <c r="Q2088" t="str">
        <f t="shared" si="309"/>
        <v/>
      </c>
      <c r="S2088" t="str">
        <f>IF(A2088=1,MAX($S$2:$S2087)+1,IF(OR($I2088&lt;&gt;"",A2088="x"),$S2087,""))</f>
        <v/>
      </c>
      <c r="T2088" t="str">
        <f>IF(D2088=1,MAX($T$2:$T2087)+1,IF(S2088=S2087,$T2087,IF(D2088="x",T2087,IF(D2087="x","",""))))</f>
        <v/>
      </c>
      <c r="U2088" t="str">
        <f>IF(B2088=1,MAX($U$2:$U2087)+1,IF(AND($T2088&lt;&gt;"",$T2088=$T2087),$U2087,IF(B2088="x",U2087,"")))</f>
        <v/>
      </c>
      <c r="V2088" t="str">
        <f>IF(C2088=1,MAX($V$2:$V2087)+1,IF(AND($T2088&lt;&gt;"",$T2088=$T2087),$U2087,IF(C2088="x",V2087,"")))</f>
        <v/>
      </c>
      <c r="X2088" cm="1">
        <f t="array" ref="X2088">IF($I2088&lt;&gt;"",$I2088,INDEX($I$1:$I2088,ROW()-COUNTIFS($T$1:$T2088,"="&amp;$T2088,$S$1:$S2088,"&lt;"&amp;$S2088)))</f>
        <v>0</v>
      </c>
      <c r="Z2088" s="6">
        <f t="shared" si="302"/>
        <v>1</v>
      </c>
      <c r="AA2088" t="e">
        <f t="shared" si="303"/>
        <v>#VALUE!</v>
      </c>
      <c r="AB2088" t="str">
        <f t="shared" si="304"/>
        <v/>
      </c>
      <c r="AC2088" t="e">
        <f t="shared" si="305"/>
        <v>#VALUE!</v>
      </c>
    </row>
    <row r="2089" spans="1:29" x14ac:dyDescent="0.2">
      <c r="A2089" t="str">
        <f t="shared" si="306"/>
        <v/>
      </c>
      <c r="E2089" s="4"/>
      <c r="F2089" s="46"/>
      <c r="G2089" s="4"/>
      <c r="H2089" s="48"/>
      <c r="J2089" s="26" t="str">
        <f t="shared" si="307"/>
        <v/>
      </c>
      <c r="N2089" t="str">
        <f t="shared" si="308"/>
        <v/>
      </c>
      <c r="Q2089" t="str">
        <f t="shared" si="309"/>
        <v/>
      </c>
      <c r="S2089" t="str">
        <f>IF(A2089=1,MAX($S$2:$S2088)+1,IF(OR($I2089&lt;&gt;"",A2089="x"),$S2088,""))</f>
        <v/>
      </c>
      <c r="T2089" t="str">
        <f>IF(D2089=1,MAX($T$2:$T2088)+1,IF(S2089=S2088,$T2088,IF(D2089="x",T2088,IF(D2088="x","",""))))</f>
        <v/>
      </c>
      <c r="U2089" t="str">
        <f>IF(B2089=1,MAX($U$2:$U2088)+1,IF(AND($T2089&lt;&gt;"",$T2089=$T2088),$U2088,IF(B2089="x",U2088,"")))</f>
        <v/>
      </c>
      <c r="V2089" t="str">
        <f>IF(C2089=1,MAX($V$2:$V2088)+1,IF(AND($T2089&lt;&gt;"",$T2089=$T2088),$U2088,IF(C2089="x",V2088,"")))</f>
        <v/>
      </c>
      <c r="X2089" cm="1">
        <f t="array" ref="X2089">IF($I2089&lt;&gt;"",$I2089,INDEX($I$1:$I2089,ROW()-COUNTIFS($T$1:$T2089,"="&amp;$T2089,$S$1:$S2089,"&lt;"&amp;$S2089)))</f>
        <v>0</v>
      </c>
      <c r="Z2089" s="6">
        <f t="shared" si="302"/>
        <v>1</v>
      </c>
      <c r="AA2089" t="e">
        <f t="shared" si="303"/>
        <v>#VALUE!</v>
      </c>
      <c r="AB2089" t="str">
        <f t="shared" si="304"/>
        <v/>
      </c>
      <c r="AC2089" t="e">
        <f t="shared" si="305"/>
        <v>#VALUE!</v>
      </c>
    </row>
    <row r="2090" spans="1:29" x14ac:dyDescent="0.2">
      <c r="A2090" t="str">
        <f t="shared" si="306"/>
        <v/>
      </c>
      <c r="E2090" s="4"/>
      <c r="F2090" s="46"/>
      <c r="G2090" s="4"/>
      <c r="H2090" s="48"/>
      <c r="J2090" s="26" t="str">
        <f t="shared" si="307"/>
        <v/>
      </c>
      <c r="N2090" t="str">
        <f t="shared" si="308"/>
        <v/>
      </c>
      <c r="Q2090" t="str">
        <f t="shared" si="309"/>
        <v/>
      </c>
      <c r="S2090" t="str">
        <f>IF(A2090=1,MAX($S$2:$S2089)+1,IF(OR($I2090&lt;&gt;"",A2090="x"),$S2089,""))</f>
        <v/>
      </c>
      <c r="T2090" t="str">
        <f>IF(D2090=1,MAX($T$2:$T2089)+1,IF(S2090=S2089,$T2089,IF(D2090="x",T2089,IF(D2089="x","",""))))</f>
        <v/>
      </c>
      <c r="U2090" t="str">
        <f>IF(B2090=1,MAX($U$2:$U2089)+1,IF(AND($T2090&lt;&gt;"",$T2090=$T2089),$U2089,IF(B2090="x",U2089,"")))</f>
        <v/>
      </c>
      <c r="V2090" t="str">
        <f>IF(C2090=1,MAX($V$2:$V2089)+1,IF(AND($T2090&lt;&gt;"",$T2090=$T2089),$U2089,IF(C2090="x",V2089,"")))</f>
        <v/>
      </c>
      <c r="X2090" cm="1">
        <f t="array" ref="X2090">IF($I2090&lt;&gt;"",$I2090,INDEX($I$1:$I2090,ROW()-COUNTIFS($T$1:$T2090,"="&amp;$T2090,$S$1:$S2090,"&lt;"&amp;$S2090)))</f>
        <v>0</v>
      </c>
      <c r="Z2090" s="6">
        <f t="shared" si="302"/>
        <v>1</v>
      </c>
      <c r="AA2090" t="e">
        <f t="shared" si="303"/>
        <v>#VALUE!</v>
      </c>
      <c r="AB2090" t="str">
        <f t="shared" si="304"/>
        <v/>
      </c>
      <c r="AC2090" t="e">
        <f t="shared" si="305"/>
        <v>#VALUE!</v>
      </c>
    </row>
    <row r="2091" spans="1:29" x14ac:dyDescent="0.2">
      <c r="A2091" t="str">
        <f t="shared" si="306"/>
        <v/>
      </c>
      <c r="E2091" s="4"/>
      <c r="F2091" s="46"/>
      <c r="G2091" s="4"/>
      <c r="H2091" s="48"/>
      <c r="J2091" s="26" t="str">
        <f t="shared" si="307"/>
        <v/>
      </c>
      <c r="N2091" t="str">
        <f t="shared" si="308"/>
        <v/>
      </c>
      <c r="Q2091" t="str">
        <f t="shared" si="309"/>
        <v/>
      </c>
      <c r="S2091" t="str">
        <f>IF(A2091=1,MAX($S$2:$S2090)+1,IF(OR($I2091&lt;&gt;"",A2091="x"),$S2090,""))</f>
        <v/>
      </c>
      <c r="T2091" t="str">
        <f>IF(D2091=1,MAX($T$2:$T2090)+1,IF(S2091=S2090,$T2090,IF(D2091="x",T2090,IF(D2090="x","",""))))</f>
        <v/>
      </c>
      <c r="U2091" t="str">
        <f>IF(B2091=1,MAX($U$2:$U2090)+1,IF(AND($T2091&lt;&gt;"",$T2091=$T2090),$U2090,IF(B2091="x",U2090,"")))</f>
        <v/>
      </c>
      <c r="V2091" t="str">
        <f>IF(C2091=1,MAX($V$2:$V2090)+1,IF(AND($T2091&lt;&gt;"",$T2091=$T2090),$U2090,IF(C2091="x",V2090,"")))</f>
        <v/>
      </c>
      <c r="X2091" cm="1">
        <f t="array" ref="X2091">IF($I2091&lt;&gt;"",$I2091,INDEX($I$1:$I2091,ROW()-COUNTIFS($T$1:$T2091,"="&amp;$T2091,$S$1:$S2091,"&lt;"&amp;$S2091)))</f>
        <v>0</v>
      </c>
      <c r="Z2091" s="6">
        <f t="shared" si="302"/>
        <v>1</v>
      </c>
      <c r="AA2091" t="e">
        <f t="shared" si="303"/>
        <v>#VALUE!</v>
      </c>
      <c r="AB2091" t="str">
        <f t="shared" si="304"/>
        <v/>
      </c>
      <c r="AC2091" t="e">
        <f t="shared" si="305"/>
        <v>#VALUE!</v>
      </c>
    </row>
    <row r="2092" spans="1:29" x14ac:dyDescent="0.2">
      <c r="A2092" t="str">
        <f t="shared" si="306"/>
        <v/>
      </c>
      <c r="E2092" s="4"/>
      <c r="F2092" s="46"/>
      <c r="G2092" s="4"/>
      <c r="H2092" s="48"/>
      <c r="J2092" s="26" t="str">
        <f t="shared" si="307"/>
        <v/>
      </c>
      <c r="N2092" t="str">
        <f t="shared" si="308"/>
        <v/>
      </c>
      <c r="Q2092" t="str">
        <f t="shared" si="309"/>
        <v/>
      </c>
      <c r="S2092" t="str">
        <f>IF(A2092=1,MAX($S$2:$S2091)+1,IF(OR($I2092&lt;&gt;"",A2092="x"),$S2091,""))</f>
        <v/>
      </c>
      <c r="T2092" t="str">
        <f>IF(D2092=1,MAX($T$2:$T2091)+1,IF(S2092=S2091,$T2091,IF(D2092="x",T2091,IF(D2091="x","",""))))</f>
        <v/>
      </c>
      <c r="U2092" t="str">
        <f>IF(B2092=1,MAX($U$2:$U2091)+1,IF(AND($T2092&lt;&gt;"",$T2092=$T2091),$U2091,IF(B2092="x",U2091,"")))</f>
        <v/>
      </c>
      <c r="V2092" t="str">
        <f>IF(C2092=1,MAX($V$2:$V2091)+1,IF(AND($T2092&lt;&gt;"",$T2092=$T2091),$U2091,IF(C2092="x",V2091,"")))</f>
        <v/>
      </c>
      <c r="X2092" cm="1">
        <f t="array" ref="X2092">IF($I2092&lt;&gt;"",$I2092,INDEX($I$1:$I2092,ROW()-COUNTIFS($T$1:$T2092,"="&amp;$T2092,$S$1:$S2092,"&lt;"&amp;$S2092)))</f>
        <v>0</v>
      </c>
      <c r="Z2092" s="6">
        <f t="shared" si="302"/>
        <v>1</v>
      </c>
      <c r="AA2092" t="e">
        <f t="shared" si="303"/>
        <v>#VALUE!</v>
      </c>
      <c r="AB2092" t="str">
        <f t="shared" si="304"/>
        <v/>
      </c>
      <c r="AC2092" t="e">
        <f t="shared" si="305"/>
        <v>#VALUE!</v>
      </c>
    </row>
    <row r="2093" spans="1:29" x14ac:dyDescent="0.2">
      <c r="A2093" t="str">
        <f t="shared" si="306"/>
        <v/>
      </c>
      <c r="E2093" s="4"/>
      <c r="F2093" s="46"/>
      <c r="G2093" s="4"/>
      <c r="H2093" s="48"/>
      <c r="J2093" s="26" t="str">
        <f t="shared" si="307"/>
        <v/>
      </c>
      <c r="N2093" t="str">
        <f t="shared" si="308"/>
        <v/>
      </c>
      <c r="Q2093" t="str">
        <f t="shared" si="309"/>
        <v/>
      </c>
      <c r="S2093" t="str">
        <f>IF(A2093=1,MAX($S$2:$S2092)+1,IF(OR($I2093&lt;&gt;"",A2093="x"),$S2092,""))</f>
        <v/>
      </c>
      <c r="T2093" t="str">
        <f>IF(D2093=1,MAX($T$2:$T2092)+1,IF(S2093=S2092,$T2092,IF(D2093="x",T2092,IF(D2092="x","",""))))</f>
        <v/>
      </c>
      <c r="U2093" t="str">
        <f>IF(B2093=1,MAX($U$2:$U2092)+1,IF(AND($T2093&lt;&gt;"",$T2093=$T2092),$U2092,IF(B2093="x",U2092,"")))</f>
        <v/>
      </c>
      <c r="V2093" t="str">
        <f>IF(C2093=1,MAX($V$2:$V2092)+1,IF(AND($T2093&lt;&gt;"",$T2093=$T2092),$U2092,IF(C2093="x",V2092,"")))</f>
        <v/>
      </c>
      <c r="X2093" cm="1">
        <f t="array" ref="X2093">IF($I2093&lt;&gt;"",$I2093,INDEX($I$1:$I2093,ROW()-COUNTIFS($T$1:$T2093,"="&amp;$T2093,$S$1:$S2093,"&lt;"&amp;$S2093)))</f>
        <v>0</v>
      </c>
      <c r="Z2093" s="6">
        <f t="shared" si="302"/>
        <v>1</v>
      </c>
      <c r="AA2093" t="e">
        <f t="shared" si="303"/>
        <v>#VALUE!</v>
      </c>
      <c r="AB2093" t="str">
        <f t="shared" si="304"/>
        <v/>
      </c>
      <c r="AC2093" t="e">
        <f t="shared" si="305"/>
        <v>#VALUE!</v>
      </c>
    </row>
    <row r="2094" spans="1:29" x14ac:dyDescent="0.2">
      <c r="A2094" t="str">
        <f t="shared" si="306"/>
        <v/>
      </c>
      <c r="E2094" s="4"/>
      <c r="F2094" s="46"/>
      <c r="G2094" s="4"/>
      <c r="H2094" s="48"/>
      <c r="J2094" s="26" t="str">
        <f t="shared" si="307"/>
        <v/>
      </c>
      <c r="N2094" t="str">
        <f t="shared" si="308"/>
        <v/>
      </c>
      <c r="Q2094" t="str">
        <f t="shared" si="309"/>
        <v/>
      </c>
      <c r="S2094" t="str">
        <f>IF(A2094=1,MAX($S$2:$S2093)+1,IF(OR($I2094&lt;&gt;"",A2094="x"),$S2093,""))</f>
        <v/>
      </c>
      <c r="T2094" t="str">
        <f>IF(D2094=1,MAX($T$2:$T2093)+1,IF(S2094=S2093,$T2093,IF(D2094="x",T2093,IF(D2093="x","",""))))</f>
        <v/>
      </c>
      <c r="U2094" t="str">
        <f>IF(B2094=1,MAX($U$2:$U2093)+1,IF(AND($T2094&lt;&gt;"",$T2094=$T2093),$U2093,IF(B2094="x",U2093,"")))</f>
        <v/>
      </c>
      <c r="V2094" t="str">
        <f>IF(C2094=1,MAX($V$2:$V2093)+1,IF(AND($T2094&lt;&gt;"",$T2094=$T2093),$U2093,IF(C2094="x",V2093,"")))</f>
        <v/>
      </c>
      <c r="X2094" cm="1">
        <f t="array" ref="X2094">IF($I2094&lt;&gt;"",$I2094,INDEX($I$1:$I2094,ROW()-COUNTIFS($T$1:$T2094,"="&amp;$T2094,$S$1:$S2094,"&lt;"&amp;$S2094)))</f>
        <v>0</v>
      </c>
      <c r="Z2094" s="6">
        <f t="shared" si="302"/>
        <v>1</v>
      </c>
      <c r="AA2094" t="e">
        <f t="shared" si="303"/>
        <v>#VALUE!</v>
      </c>
      <c r="AB2094" t="str">
        <f t="shared" si="304"/>
        <v/>
      </c>
      <c r="AC2094" t="e">
        <f t="shared" si="305"/>
        <v>#VALUE!</v>
      </c>
    </row>
    <row r="2095" spans="1:29" x14ac:dyDescent="0.2">
      <c r="A2095" t="str">
        <f t="shared" si="306"/>
        <v/>
      </c>
      <c r="E2095" s="4"/>
      <c r="F2095" s="46"/>
      <c r="G2095" s="4"/>
      <c r="H2095" s="48"/>
      <c r="J2095" s="26" t="str">
        <f t="shared" si="307"/>
        <v/>
      </c>
      <c r="N2095" t="str">
        <f t="shared" si="308"/>
        <v/>
      </c>
      <c r="Q2095" t="str">
        <f t="shared" si="309"/>
        <v/>
      </c>
      <c r="S2095" t="str">
        <f>IF(A2095=1,MAX($S$2:$S2094)+1,IF(OR($I2095&lt;&gt;"",A2095="x"),$S2094,""))</f>
        <v/>
      </c>
      <c r="T2095" t="str">
        <f>IF(D2095=1,MAX($T$2:$T2094)+1,IF(S2095=S2094,$T2094,IF(D2095="x",T2094,IF(D2094="x","",""))))</f>
        <v/>
      </c>
      <c r="U2095" t="str">
        <f>IF(B2095=1,MAX($U$2:$U2094)+1,IF(AND($T2095&lt;&gt;"",$T2095=$T2094),$U2094,IF(B2095="x",U2094,"")))</f>
        <v/>
      </c>
      <c r="V2095" t="str">
        <f>IF(C2095=1,MAX($V$2:$V2094)+1,IF(AND($T2095&lt;&gt;"",$T2095=$T2094),$U2094,IF(C2095="x",V2094,"")))</f>
        <v/>
      </c>
      <c r="X2095" cm="1">
        <f t="array" ref="X2095">IF($I2095&lt;&gt;"",$I2095,INDEX($I$1:$I2095,ROW()-COUNTIFS($T$1:$T2095,"="&amp;$T2095,$S$1:$S2095,"&lt;"&amp;$S2095)))</f>
        <v>0</v>
      </c>
      <c r="Z2095" s="6">
        <f t="shared" si="302"/>
        <v>1</v>
      </c>
      <c r="AA2095" t="e">
        <f t="shared" si="303"/>
        <v>#VALUE!</v>
      </c>
      <c r="AB2095" t="str">
        <f t="shared" si="304"/>
        <v/>
      </c>
      <c r="AC2095" t="e">
        <f t="shared" si="305"/>
        <v>#VALUE!</v>
      </c>
    </row>
    <row r="2096" spans="1:29" x14ac:dyDescent="0.2">
      <c r="A2096" t="str">
        <f t="shared" si="306"/>
        <v/>
      </c>
      <c r="E2096" s="4"/>
      <c r="F2096" s="46"/>
      <c r="G2096" s="4"/>
      <c r="H2096" s="48"/>
      <c r="J2096" s="26" t="str">
        <f t="shared" si="307"/>
        <v/>
      </c>
      <c r="N2096" t="str">
        <f t="shared" si="308"/>
        <v/>
      </c>
      <c r="Q2096" t="str">
        <f t="shared" si="309"/>
        <v/>
      </c>
      <c r="S2096" t="str">
        <f>IF(A2096=1,MAX($S$2:$S2095)+1,IF(OR($I2096&lt;&gt;"",A2096="x"),$S2095,""))</f>
        <v/>
      </c>
      <c r="T2096" t="str">
        <f>IF(D2096=1,MAX($T$2:$T2095)+1,IF(S2096=S2095,$T2095,IF(D2096="x",T2095,IF(D2095="x","",""))))</f>
        <v/>
      </c>
      <c r="U2096" t="str">
        <f>IF(B2096=1,MAX($U$2:$U2095)+1,IF(AND($T2096&lt;&gt;"",$T2096=$T2095),$U2095,IF(B2096="x",U2095,"")))</f>
        <v/>
      </c>
      <c r="V2096" t="str">
        <f>IF(C2096=1,MAX($V$2:$V2095)+1,IF(AND($T2096&lt;&gt;"",$T2096=$T2095),$U2095,IF(C2096="x",V2095,"")))</f>
        <v/>
      </c>
      <c r="X2096" cm="1">
        <f t="array" ref="X2096">IF($I2096&lt;&gt;"",$I2096,INDEX($I$1:$I2096,ROW()-COUNTIFS($T$1:$T2096,"="&amp;$T2096,$S$1:$S2096,"&lt;"&amp;$S2096)))</f>
        <v>0</v>
      </c>
      <c r="Z2096" s="6">
        <f t="shared" si="302"/>
        <v>1</v>
      </c>
      <c r="AA2096" t="e">
        <f t="shared" si="303"/>
        <v>#VALUE!</v>
      </c>
      <c r="AB2096" t="str">
        <f t="shared" si="304"/>
        <v/>
      </c>
      <c r="AC2096" t="e">
        <f t="shared" si="305"/>
        <v>#VALUE!</v>
      </c>
    </row>
    <row r="2097" spans="1:29" x14ac:dyDescent="0.2">
      <c r="A2097" t="str">
        <f t="shared" si="306"/>
        <v/>
      </c>
      <c r="E2097" s="4"/>
      <c r="F2097" s="46"/>
      <c r="G2097" s="4"/>
      <c r="H2097" s="48"/>
      <c r="J2097" s="26" t="str">
        <f t="shared" si="307"/>
        <v/>
      </c>
      <c r="N2097" t="str">
        <f t="shared" si="308"/>
        <v/>
      </c>
      <c r="Q2097" t="str">
        <f t="shared" si="309"/>
        <v/>
      </c>
      <c r="S2097" t="str">
        <f>IF(A2097=1,MAX($S$2:$S2096)+1,IF(OR($I2097&lt;&gt;"",A2097="x"),$S2096,""))</f>
        <v/>
      </c>
      <c r="T2097" t="str">
        <f>IF(D2097=1,MAX($T$2:$T2096)+1,IF(S2097=S2096,$T2096,IF(D2097="x",T2096,IF(D2096="x","",""))))</f>
        <v/>
      </c>
      <c r="U2097" t="str">
        <f>IF(B2097=1,MAX($U$2:$U2096)+1,IF(AND($T2097&lt;&gt;"",$T2097=$T2096),$U2096,IF(B2097="x",U2096,"")))</f>
        <v/>
      </c>
      <c r="V2097" t="str">
        <f>IF(C2097=1,MAX($V$2:$V2096)+1,IF(AND($T2097&lt;&gt;"",$T2097=$T2096),$U2096,IF(C2097="x",V2096,"")))</f>
        <v/>
      </c>
      <c r="X2097" cm="1">
        <f t="array" ref="X2097">IF($I2097&lt;&gt;"",$I2097,INDEX($I$1:$I2097,ROW()-COUNTIFS($T$1:$T2097,"="&amp;$T2097,$S$1:$S2097,"&lt;"&amp;$S2097)))</f>
        <v>0</v>
      </c>
      <c r="Z2097" s="6">
        <f t="shared" si="302"/>
        <v>1</v>
      </c>
      <c r="AA2097" t="e">
        <f t="shared" si="303"/>
        <v>#VALUE!</v>
      </c>
      <c r="AB2097" t="str">
        <f t="shared" si="304"/>
        <v/>
      </c>
      <c r="AC2097" t="e">
        <f t="shared" si="305"/>
        <v>#VALUE!</v>
      </c>
    </row>
    <row r="2098" spans="1:29" x14ac:dyDescent="0.2">
      <c r="A2098" t="str">
        <f t="shared" si="306"/>
        <v/>
      </c>
      <c r="E2098" s="4"/>
      <c r="F2098" s="46"/>
      <c r="G2098" s="4"/>
      <c r="H2098" s="48"/>
      <c r="J2098" s="26" t="str">
        <f t="shared" si="307"/>
        <v/>
      </c>
      <c r="N2098" t="str">
        <f t="shared" si="308"/>
        <v/>
      </c>
      <c r="Q2098" t="str">
        <f t="shared" si="309"/>
        <v/>
      </c>
      <c r="S2098" t="str">
        <f>IF(A2098=1,MAX($S$2:$S2097)+1,IF(OR($I2098&lt;&gt;"",A2098="x"),$S2097,""))</f>
        <v/>
      </c>
      <c r="T2098" t="str">
        <f>IF(D2098=1,MAX($T$2:$T2097)+1,IF(S2098=S2097,$T2097,IF(D2098="x",T2097,IF(D2097="x","",""))))</f>
        <v/>
      </c>
      <c r="U2098" t="str">
        <f>IF(B2098=1,MAX($U$2:$U2097)+1,IF(AND($T2098&lt;&gt;"",$T2098=$T2097),$U2097,IF(B2098="x",U2097,"")))</f>
        <v/>
      </c>
      <c r="V2098" t="str">
        <f>IF(C2098=1,MAX($V$2:$V2097)+1,IF(AND($T2098&lt;&gt;"",$T2098=$T2097),$U2097,IF(C2098="x",V2097,"")))</f>
        <v/>
      </c>
      <c r="X2098" cm="1">
        <f t="array" ref="X2098">IF($I2098&lt;&gt;"",$I2098,INDEX($I$1:$I2098,ROW()-COUNTIFS($T$1:$T2098,"="&amp;$T2098,$S$1:$S2098,"&lt;"&amp;$S2098)))</f>
        <v>0</v>
      </c>
      <c r="Z2098" s="6">
        <f t="shared" si="302"/>
        <v>1</v>
      </c>
      <c r="AA2098" t="e">
        <f t="shared" si="303"/>
        <v>#VALUE!</v>
      </c>
      <c r="AB2098" t="str">
        <f t="shared" si="304"/>
        <v/>
      </c>
      <c r="AC2098" t="e">
        <f t="shared" si="305"/>
        <v>#VALUE!</v>
      </c>
    </row>
    <row r="2099" spans="1:29" x14ac:dyDescent="0.2">
      <c r="A2099" t="str">
        <f t="shared" si="306"/>
        <v/>
      </c>
      <c r="E2099" s="4"/>
      <c r="F2099" s="46"/>
      <c r="G2099" s="4"/>
      <c r="H2099" s="48"/>
      <c r="J2099" s="26" t="str">
        <f t="shared" si="307"/>
        <v/>
      </c>
      <c r="N2099" t="str">
        <f t="shared" si="308"/>
        <v/>
      </c>
      <c r="Q2099" t="str">
        <f t="shared" si="309"/>
        <v/>
      </c>
      <c r="S2099" t="str">
        <f>IF(A2099=1,MAX($S$2:$S2098)+1,IF(OR($I2099&lt;&gt;"",A2099="x"),$S2098,""))</f>
        <v/>
      </c>
      <c r="T2099" t="str">
        <f>IF(D2099=1,MAX($T$2:$T2098)+1,IF(S2099=S2098,$T2098,IF(D2099="x",T2098,IF(D2098="x","",""))))</f>
        <v/>
      </c>
      <c r="U2099" t="str">
        <f>IF(B2099=1,MAX($U$2:$U2098)+1,IF(AND($T2099&lt;&gt;"",$T2099=$T2098),$U2098,IF(B2099="x",U2098,"")))</f>
        <v/>
      </c>
      <c r="V2099" t="str">
        <f>IF(C2099=1,MAX($V$2:$V2098)+1,IF(AND($T2099&lt;&gt;"",$T2099=$T2098),$U2098,IF(C2099="x",V2098,"")))</f>
        <v/>
      </c>
      <c r="X2099" cm="1">
        <f t="array" ref="X2099">IF($I2099&lt;&gt;"",$I2099,INDEX($I$1:$I2099,ROW()-COUNTIFS($T$1:$T2099,"="&amp;$T2099,$S$1:$S2099,"&lt;"&amp;$S2099)))</f>
        <v>0</v>
      </c>
      <c r="Z2099" s="6">
        <f t="shared" si="302"/>
        <v>1</v>
      </c>
      <c r="AA2099" t="e">
        <f t="shared" si="303"/>
        <v>#VALUE!</v>
      </c>
      <c r="AB2099" t="str">
        <f t="shared" si="304"/>
        <v/>
      </c>
      <c r="AC2099" t="e">
        <f t="shared" si="305"/>
        <v>#VALUE!</v>
      </c>
    </row>
    <row r="2100" spans="1:29" x14ac:dyDescent="0.2">
      <c r="A2100" t="str">
        <f t="shared" si="306"/>
        <v/>
      </c>
      <c r="E2100" s="4"/>
      <c r="F2100" s="46"/>
      <c r="G2100" s="4"/>
      <c r="H2100" s="48"/>
      <c r="J2100" s="26" t="str">
        <f t="shared" si="307"/>
        <v/>
      </c>
      <c r="N2100" t="str">
        <f t="shared" si="308"/>
        <v/>
      </c>
      <c r="Q2100" t="str">
        <f t="shared" si="309"/>
        <v/>
      </c>
      <c r="S2100" t="str">
        <f>IF(A2100=1,MAX($S$2:$S2099)+1,IF(OR($I2100&lt;&gt;"",A2100="x"),$S2099,""))</f>
        <v/>
      </c>
      <c r="T2100" t="str">
        <f>IF(D2100=1,MAX($T$2:$T2099)+1,IF(S2100=S2099,$T2099,IF(D2100="x",T2099,IF(D2099="x","",""))))</f>
        <v/>
      </c>
      <c r="U2100" t="str">
        <f>IF(B2100=1,MAX($U$2:$U2099)+1,IF(AND($T2100&lt;&gt;"",$T2100=$T2099),$U2099,IF(B2100="x",U2099,"")))</f>
        <v/>
      </c>
      <c r="V2100" t="str">
        <f>IF(C2100=1,MAX($V$2:$V2099)+1,IF(AND($T2100&lt;&gt;"",$T2100=$T2099),$U2099,IF(C2100="x",V2099,"")))</f>
        <v/>
      </c>
      <c r="X2100" cm="1">
        <f t="array" ref="X2100">IF($I2100&lt;&gt;"",$I2100,INDEX($I$1:$I2100,ROW()-COUNTIFS($T$1:$T2100,"="&amp;$T2100,$S$1:$S2100,"&lt;"&amp;$S2100)))</f>
        <v>0</v>
      </c>
      <c r="Z2100" s="6">
        <f t="shared" si="302"/>
        <v>1</v>
      </c>
      <c r="AA2100" t="e">
        <f t="shared" si="303"/>
        <v>#VALUE!</v>
      </c>
      <c r="AB2100" t="str">
        <f t="shared" si="304"/>
        <v/>
      </c>
      <c r="AC2100" t="e">
        <f t="shared" si="305"/>
        <v>#VALUE!</v>
      </c>
    </row>
    <row r="2101" spans="1:29" x14ac:dyDescent="0.2">
      <c r="A2101" t="str">
        <f t="shared" si="306"/>
        <v/>
      </c>
      <c r="E2101" s="4"/>
      <c r="F2101" s="46"/>
      <c r="G2101" s="4"/>
      <c r="H2101" s="48"/>
      <c r="J2101" s="26" t="str">
        <f t="shared" si="307"/>
        <v/>
      </c>
      <c r="N2101" t="str">
        <f t="shared" si="308"/>
        <v/>
      </c>
      <c r="Q2101" t="str">
        <f t="shared" si="309"/>
        <v/>
      </c>
      <c r="S2101" t="str">
        <f>IF(A2101=1,MAX($S$2:$S2100)+1,IF(OR($I2101&lt;&gt;"",A2101="x"),$S2100,""))</f>
        <v/>
      </c>
      <c r="T2101" t="str">
        <f>IF(D2101=1,MAX($T$2:$T2100)+1,IF(S2101=S2100,$T2100,IF(D2101="x",T2100,IF(D2100="x","",""))))</f>
        <v/>
      </c>
      <c r="U2101" t="str">
        <f>IF(B2101=1,MAX($U$2:$U2100)+1,IF(AND($T2101&lt;&gt;"",$T2101=$T2100),$U2100,IF(B2101="x",U2100,"")))</f>
        <v/>
      </c>
      <c r="V2101" t="str">
        <f>IF(C2101=1,MAX($V$2:$V2100)+1,IF(AND($T2101&lt;&gt;"",$T2101=$T2100),$U2100,IF(C2101="x",V2100,"")))</f>
        <v/>
      </c>
      <c r="X2101" cm="1">
        <f t="array" ref="X2101">IF($I2101&lt;&gt;"",$I2101,INDEX($I$1:$I2101,ROW()-COUNTIFS($T$1:$T2101,"="&amp;$T2101,$S$1:$S2101,"&lt;"&amp;$S2101)))</f>
        <v>0</v>
      </c>
      <c r="Z2101" s="6">
        <f t="shared" si="302"/>
        <v>1</v>
      </c>
      <c r="AA2101" t="e">
        <f t="shared" si="303"/>
        <v>#VALUE!</v>
      </c>
      <c r="AB2101" t="str">
        <f t="shared" si="304"/>
        <v/>
      </c>
      <c r="AC2101" t="e">
        <f t="shared" si="305"/>
        <v>#VALUE!</v>
      </c>
    </row>
    <row r="2102" spans="1:29" x14ac:dyDescent="0.2">
      <c r="A2102" t="str">
        <f t="shared" si="306"/>
        <v/>
      </c>
      <c r="E2102" s="4"/>
      <c r="F2102" s="46"/>
      <c r="G2102" s="4"/>
      <c r="H2102" s="48"/>
      <c r="J2102" s="26" t="str">
        <f t="shared" si="307"/>
        <v/>
      </c>
      <c r="N2102" t="str">
        <f t="shared" si="308"/>
        <v/>
      </c>
      <c r="Q2102" t="str">
        <f t="shared" si="309"/>
        <v/>
      </c>
      <c r="S2102" t="str">
        <f>IF(A2102=1,MAX($S$2:$S2101)+1,IF(OR($I2102&lt;&gt;"",A2102="x"),$S2101,""))</f>
        <v/>
      </c>
      <c r="T2102" t="str">
        <f>IF(D2102=1,MAX($T$2:$T2101)+1,IF(S2102=S2101,$T2101,IF(D2102="x",T2101,IF(D2101="x","",""))))</f>
        <v/>
      </c>
      <c r="U2102" t="str">
        <f>IF(B2102=1,MAX($U$2:$U2101)+1,IF(AND($T2102&lt;&gt;"",$T2102=$T2101),$U2101,IF(B2102="x",U2101,"")))</f>
        <v/>
      </c>
      <c r="V2102" t="str">
        <f>IF(C2102=1,MAX($V$2:$V2101)+1,IF(AND($T2102&lt;&gt;"",$T2102=$T2101),$U2101,IF(C2102="x",V2101,"")))</f>
        <v/>
      </c>
      <c r="X2102" cm="1">
        <f t="array" ref="X2102">IF($I2102&lt;&gt;"",$I2102,INDEX($I$1:$I2102,ROW()-COUNTIFS($T$1:$T2102,"="&amp;$T2102,$S$1:$S2102,"&lt;"&amp;$S2102)))</f>
        <v>0</v>
      </c>
      <c r="Z2102" s="6">
        <f t="shared" si="302"/>
        <v>1</v>
      </c>
      <c r="AA2102" t="e">
        <f t="shared" si="303"/>
        <v>#VALUE!</v>
      </c>
      <c r="AB2102" t="str">
        <f t="shared" si="304"/>
        <v/>
      </c>
      <c r="AC2102" t="e">
        <f t="shared" si="305"/>
        <v>#VALUE!</v>
      </c>
    </row>
    <row r="2103" spans="1:29" x14ac:dyDescent="0.2">
      <c r="A2103" t="str">
        <f t="shared" si="306"/>
        <v/>
      </c>
      <c r="E2103" s="4"/>
      <c r="F2103" s="46"/>
      <c r="G2103" s="4"/>
      <c r="H2103" s="48"/>
      <c r="J2103" s="26" t="str">
        <f t="shared" si="307"/>
        <v/>
      </c>
      <c r="N2103" t="str">
        <f t="shared" si="308"/>
        <v/>
      </c>
      <c r="Q2103" t="str">
        <f t="shared" si="309"/>
        <v/>
      </c>
      <c r="S2103" t="str">
        <f>IF(A2103=1,MAX($S$2:$S2102)+1,IF(OR($I2103&lt;&gt;"",A2103="x"),$S2102,""))</f>
        <v/>
      </c>
      <c r="T2103" t="str">
        <f>IF(D2103=1,MAX($T$2:$T2102)+1,IF(S2103=S2102,$T2102,IF(D2103="x",T2102,IF(D2102="x","",""))))</f>
        <v/>
      </c>
      <c r="U2103" t="str">
        <f>IF(B2103=1,MAX($U$2:$U2102)+1,IF(AND($T2103&lt;&gt;"",$T2103=$T2102),$U2102,IF(B2103="x",U2102,"")))</f>
        <v/>
      </c>
      <c r="V2103" t="str">
        <f>IF(C2103=1,MAX($V$2:$V2102)+1,IF(AND($T2103&lt;&gt;"",$T2103=$T2102),$U2102,IF(C2103="x",V2102,"")))</f>
        <v/>
      </c>
      <c r="X2103" cm="1">
        <f t="array" ref="X2103">IF($I2103&lt;&gt;"",$I2103,INDEX($I$1:$I2103,ROW()-COUNTIFS($T$1:$T2103,"="&amp;$T2103,$S$1:$S2103,"&lt;"&amp;$S2103)))</f>
        <v>0</v>
      </c>
      <c r="Z2103" s="6">
        <f t="shared" si="302"/>
        <v>1</v>
      </c>
      <c r="AA2103" t="e">
        <f t="shared" si="303"/>
        <v>#VALUE!</v>
      </c>
      <c r="AB2103" t="str">
        <f t="shared" si="304"/>
        <v/>
      </c>
      <c r="AC2103" t="e">
        <f t="shared" si="305"/>
        <v>#VALUE!</v>
      </c>
    </row>
    <row r="2104" spans="1:29" x14ac:dyDescent="0.2">
      <c r="A2104" t="str">
        <f t="shared" si="306"/>
        <v/>
      </c>
      <c r="E2104" s="4"/>
      <c r="F2104" s="46"/>
      <c r="G2104" s="4"/>
      <c r="H2104" s="48"/>
      <c r="J2104" s="26" t="str">
        <f t="shared" si="307"/>
        <v/>
      </c>
      <c r="N2104" t="str">
        <f t="shared" si="308"/>
        <v/>
      </c>
      <c r="Q2104" t="str">
        <f t="shared" si="309"/>
        <v/>
      </c>
      <c r="S2104" t="str">
        <f>IF(A2104=1,MAX($S$2:$S2103)+1,IF(OR($I2104&lt;&gt;"",A2104="x"),$S2103,""))</f>
        <v/>
      </c>
      <c r="T2104" t="str">
        <f>IF(D2104=1,MAX($T$2:$T2103)+1,IF(S2104=S2103,$T2103,IF(D2104="x",T2103,IF(D2103="x","",""))))</f>
        <v/>
      </c>
      <c r="U2104" t="str">
        <f>IF(B2104=1,MAX($U$2:$U2103)+1,IF(AND($T2104&lt;&gt;"",$T2104=$T2103),$U2103,IF(B2104="x",U2103,"")))</f>
        <v/>
      </c>
      <c r="V2104" t="str">
        <f>IF(C2104=1,MAX($V$2:$V2103)+1,IF(AND($T2104&lt;&gt;"",$T2104=$T2103),$U2103,IF(C2104="x",V2103,"")))</f>
        <v/>
      </c>
      <c r="X2104" cm="1">
        <f t="array" ref="X2104">IF($I2104&lt;&gt;"",$I2104,INDEX($I$1:$I2104,ROW()-COUNTIFS($T$1:$T2104,"="&amp;$T2104,$S$1:$S2104,"&lt;"&amp;$S2104)))</f>
        <v>0</v>
      </c>
      <c r="Z2104" s="6">
        <f t="shared" si="302"/>
        <v>1</v>
      </c>
      <c r="AA2104" t="e">
        <f t="shared" si="303"/>
        <v>#VALUE!</v>
      </c>
      <c r="AB2104" t="str">
        <f t="shared" si="304"/>
        <v/>
      </c>
      <c r="AC2104" t="e">
        <f t="shared" si="305"/>
        <v>#VALUE!</v>
      </c>
    </row>
    <row r="2105" spans="1:29" x14ac:dyDescent="0.2">
      <c r="A2105" t="str">
        <f t="shared" si="306"/>
        <v/>
      </c>
      <c r="E2105" s="4"/>
      <c r="F2105" s="46"/>
      <c r="G2105" s="4"/>
      <c r="H2105" s="48"/>
      <c r="J2105" s="26" t="str">
        <f t="shared" si="307"/>
        <v/>
      </c>
      <c r="N2105" t="str">
        <f t="shared" si="308"/>
        <v/>
      </c>
      <c r="Q2105" t="str">
        <f t="shared" si="309"/>
        <v/>
      </c>
      <c r="S2105" t="str">
        <f>IF(A2105=1,MAX($S$2:$S2104)+1,IF(OR($I2105&lt;&gt;"",A2105="x"),$S2104,""))</f>
        <v/>
      </c>
      <c r="T2105" t="str">
        <f>IF(D2105=1,MAX($T$2:$T2104)+1,IF(S2105=S2104,$T2104,IF(D2105="x",T2104,IF(D2104="x","",""))))</f>
        <v/>
      </c>
      <c r="U2105" t="str">
        <f>IF(B2105=1,MAX($U$2:$U2104)+1,IF(AND($T2105&lt;&gt;"",$T2105=$T2104),$U2104,IF(B2105="x",U2104,"")))</f>
        <v/>
      </c>
      <c r="V2105" t="str">
        <f>IF(C2105=1,MAX($V$2:$V2104)+1,IF(AND($T2105&lt;&gt;"",$T2105=$T2104),$U2104,IF(C2105="x",V2104,"")))</f>
        <v/>
      </c>
      <c r="X2105" cm="1">
        <f t="array" ref="X2105">IF($I2105&lt;&gt;"",$I2105,INDEX($I$1:$I2105,ROW()-COUNTIFS($T$1:$T2105,"="&amp;$T2105,$S$1:$S2105,"&lt;"&amp;$S2105)))</f>
        <v>0</v>
      </c>
      <c r="Z2105" s="6">
        <f t="shared" si="302"/>
        <v>1</v>
      </c>
      <c r="AA2105" t="e">
        <f t="shared" si="303"/>
        <v>#VALUE!</v>
      </c>
      <c r="AB2105" t="str">
        <f t="shared" si="304"/>
        <v/>
      </c>
      <c r="AC2105" t="e">
        <f t="shared" si="305"/>
        <v>#VALUE!</v>
      </c>
    </row>
    <row r="2106" spans="1:29" x14ac:dyDescent="0.2">
      <c r="A2106" t="str">
        <f t="shared" si="306"/>
        <v/>
      </c>
      <c r="E2106" s="4"/>
      <c r="F2106" s="46"/>
      <c r="G2106" s="4"/>
      <c r="H2106" s="48"/>
      <c r="J2106" s="26" t="str">
        <f t="shared" si="307"/>
        <v/>
      </c>
      <c r="N2106" t="str">
        <f t="shared" si="308"/>
        <v/>
      </c>
      <c r="Q2106" t="str">
        <f t="shared" si="309"/>
        <v/>
      </c>
      <c r="S2106" t="str">
        <f>IF(A2106=1,MAX($S$2:$S2105)+1,IF(OR($I2106&lt;&gt;"",A2106="x"),$S2105,""))</f>
        <v/>
      </c>
      <c r="T2106" t="str">
        <f>IF(D2106=1,MAX($T$2:$T2105)+1,IF(S2106=S2105,$T2105,IF(D2106="x",T2105,IF(D2105="x","",""))))</f>
        <v/>
      </c>
      <c r="U2106" t="str">
        <f>IF(B2106=1,MAX($U$2:$U2105)+1,IF(AND($T2106&lt;&gt;"",$T2106=$T2105),$U2105,IF(B2106="x",U2105,"")))</f>
        <v/>
      </c>
      <c r="V2106" t="str">
        <f>IF(C2106=1,MAX($V$2:$V2105)+1,IF(AND($T2106&lt;&gt;"",$T2106=$T2105),$U2105,IF(C2106="x",V2105,"")))</f>
        <v/>
      </c>
      <c r="X2106" cm="1">
        <f t="array" ref="X2106">IF($I2106&lt;&gt;"",$I2106,INDEX($I$1:$I2106,ROW()-COUNTIFS($T$1:$T2106,"="&amp;$T2106,$S$1:$S2106,"&lt;"&amp;$S2106)))</f>
        <v>0</v>
      </c>
      <c r="Z2106" s="6">
        <f t="shared" si="302"/>
        <v>1</v>
      </c>
      <c r="AA2106" t="e">
        <f t="shared" si="303"/>
        <v>#VALUE!</v>
      </c>
      <c r="AB2106" t="str">
        <f t="shared" si="304"/>
        <v/>
      </c>
      <c r="AC2106" t="e">
        <f t="shared" si="305"/>
        <v>#VALUE!</v>
      </c>
    </row>
    <row r="2107" spans="1:29" x14ac:dyDescent="0.2">
      <c r="A2107" t="str">
        <f t="shared" si="306"/>
        <v/>
      </c>
      <c r="E2107" s="4"/>
      <c r="F2107" s="46"/>
      <c r="G2107" s="4"/>
      <c r="H2107" s="48"/>
      <c r="J2107" s="26" t="str">
        <f t="shared" si="307"/>
        <v/>
      </c>
      <c r="N2107" t="str">
        <f t="shared" si="308"/>
        <v/>
      </c>
      <c r="Q2107" t="str">
        <f t="shared" si="309"/>
        <v/>
      </c>
      <c r="S2107" t="str">
        <f>IF(A2107=1,MAX($S$2:$S2106)+1,IF(OR($I2107&lt;&gt;"",A2107="x"),$S2106,""))</f>
        <v/>
      </c>
      <c r="T2107" t="str">
        <f>IF(D2107=1,MAX($T$2:$T2106)+1,IF(S2107=S2106,$T2106,IF(D2107="x",T2106,IF(D2106="x","",""))))</f>
        <v/>
      </c>
      <c r="U2107" t="str">
        <f>IF(B2107=1,MAX($U$2:$U2106)+1,IF(AND($T2107&lt;&gt;"",$T2107=$T2106),$U2106,IF(B2107="x",U2106,"")))</f>
        <v/>
      </c>
      <c r="V2107" t="str">
        <f>IF(C2107=1,MAX($V$2:$V2106)+1,IF(AND($T2107&lt;&gt;"",$T2107=$T2106),$U2106,IF(C2107="x",V2106,"")))</f>
        <v/>
      </c>
      <c r="X2107" cm="1">
        <f t="array" ref="X2107">IF($I2107&lt;&gt;"",$I2107,INDEX($I$1:$I2107,ROW()-COUNTIFS($T$1:$T2107,"="&amp;$T2107,$S$1:$S2107,"&lt;"&amp;$S2107)))</f>
        <v>0</v>
      </c>
      <c r="Z2107" s="6">
        <f t="shared" si="302"/>
        <v>1</v>
      </c>
      <c r="AA2107" t="e">
        <f t="shared" si="303"/>
        <v>#VALUE!</v>
      </c>
      <c r="AB2107" t="str">
        <f t="shared" si="304"/>
        <v/>
      </c>
      <c r="AC2107" t="e">
        <f t="shared" si="305"/>
        <v>#VALUE!</v>
      </c>
    </row>
    <row r="2108" spans="1:29" x14ac:dyDescent="0.2">
      <c r="A2108" t="str">
        <f t="shared" si="306"/>
        <v/>
      </c>
      <c r="E2108" s="4"/>
      <c r="F2108" s="46"/>
      <c r="G2108" s="4"/>
      <c r="H2108" s="48"/>
      <c r="J2108" s="26" t="str">
        <f t="shared" si="307"/>
        <v/>
      </c>
      <c r="N2108" t="str">
        <f t="shared" si="308"/>
        <v/>
      </c>
      <c r="Q2108" t="str">
        <f t="shared" si="309"/>
        <v/>
      </c>
      <c r="S2108" t="str">
        <f>IF(A2108=1,MAX($S$2:$S2107)+1,IF(OR($I2108&lt;&gt;"",A2108="x"),$S2107,""))</f>
        <v/>
      </c>
      <c r="T2108" t="str">
        <f>IF(D2108=1,MAX($T$2:$T2107)+1,IF(S2108=S2107,$T2107,IF(D2108="x",T2107,IF(D2107="x","",""))))</f>
        <v/>
      </c>
      <c r="U2108" t="str">
        <f>IF(B2108=1,MAX($U$2:$U2107)+1,IF(AND($T2108&lt;&gt;"",$T2108=$T2107),$U2107,IF(B2108="x",U2107,"")))</f>
        <v/>
      </c>
      <c r="V2108" t="str">
        <f>IF(C2108=1,MAX($V$2:$V2107)+1,IF(AND($T2108&lt;&gt;"",$T2108=$T2107),$U2107,IF(C2108="x",V2107,"")))</f>
        <v/>
      </c>
      <c r="X2108" cm="1">
        <f t="array" ref="X2108">IF($I2108&lt;&gt;"",$I2108,INDEX($I$1:$I2108,ROW()-COUNTIFS($T$1:$T2108,"="&amp;$T2108,$S$1:$S2108,"&lt;"&amp;$S2108)))</f>
        <v>0</v>
      </c>
      <c r="Z2108" s="6">
        <f t="shared" si="302"/>
        <v>1</v>
      </c>
      <c r="AA2108" t="e">
        <f t="shared" si="303"/>
        <v>#VALUE!</v>
      </c>
      <c r="AB2108" t="str">
        <f t="shared" si="304"/>
        <v/>
      </c>
      <c r="AC2108" t="e">
        <f t="shared" si="305"/>
        <v>#VALUE!</v>
      </c>
    </row>
    <row r="2109" spans="1:29" x14ac:dyDescent="0.2">
      <c r="A2109" t="str">
        <f t="shared" si="306"/>
        <v/>
      </c>
      <c r="E2109" s="4"/>
      <c r="F2109" s="46"/>
      <c r="G2109" s="4"/>
      <c r="H2109" s="48"/>
      <c r="J2109" s="26" t="str">
        <f t="shared" si="307"/>
        <v/>
      </c>
      <c r="N2109" t="str">
        <f t="shared" si="308"/>
        <v/>
      </c>
      <c r="Q2109" t="str">
        <f t="shared" si="309"/>
        <v/>
      </c>
      <c r="S2109" t="str">
        <f>IF(A2109=1,MAX($S$2:$S2108)+1,IF(OR($I2109&lt;&gt;"",A2109="x"),$S2108,""))</f>
        <v/>
      </c>
      <c r="T2109" t="str">
        <f>IF(D2109=1,MAX($T$2:$T2108)+1,IF(S2109=S2108,$T2108,IF(D2109="x",T2108,IF(D2108="x","",""))))</f>
        <v/>
      </c>
      <c r="U2109" t="str">
        <f>IF(B2109=1,MAX($U$2:$U2108)+1,IF(AND($T2109&lt;&gt;"",$T2109=$T2108),$U2108,IF(B2109="x",U2108,"")))</f>
        <v/>
      </c>
      <c r="V2109" t="str">
        <f>IF(C2109=1,MAX($V$2:$V2108)+1,IF(AND($T2109&lt;&gt;"",$T2109=$T2108),$U2108,IF(C2109="x",V2108,"")))</f>
        <v/>
      </c>
      <c r="X2109" cm="1">
        <f t="array" ref="X2109">IF($I2109&lt;&gt;"",$I2109,INDEX($I$1:$I2109,ROW()-COUNTIFS($T$1:$T2109,"="&amp;$T2109,$S$1:$S2109,"&lt;"&amp;$S2109)))</f>
        <v>0</v>
      </c>
      <c r="Z2109" s="6">
        <f t="shared" si="302"/>
        <v>1</v>
      </c>
      <c r="AA2109" t="e">
        <f t="shared" si="303"/>
        <v>#VALUE!</v>
      </c>
      <c r="AB2109" t="str">
        <f t="shared" si="304"/>
        <v/>
      </c>
      <c r="AC2109" t="e">
        <f t="shared" si="305"/>
        <v>#VALUE!</v>
      </c>
    </row>
    <row r="2110" spans="1:29" x14ac:dyDescent="0.2">
      <c r="A2110" t="str">
        <f t="shared" si="306"/>
        <v/>
      </c>
      <c r="E2110" s="4"/>
      <c r="F2110" s="46"/>
      <c r="G2110" s="4"/>
      <c r="H2110" s="48"/>
      <c r="J2110" s="26" t="str">
        <f t="shared" si="307"/>
        <v/>
      </c>
      <c r="N2110" t="str">
        <f t="shared" si="308"/>
        <v/>
      </c>
      <c r="Q2110" t="str">
        <f t="shared" si="309"/>
        <v/>
      </c>
      <c r="S2110" t="str">
        <f>IF(A2110=1,MAX($S$2:$S2109)+1,IF(OR($I2110&lt;&gt;"",A2110="x"),$S2109,""))</f>
        <v/>
      </c>
      <c r="T2110" t="str">
        <f>IF(D2110=1,MAX($T$2:$T2109)+1,IF(S2110=S2109,$T2109,IF(D2110="x",T2109,IF(D2109="x","",""))))</f>
        <v/>
      </c>
      <c r="U2110" t="str">
        <f>IF(B2110=1,MAX($U$2:$U2109)+1,IF(AND($T2110&lt;&gt;"",$T2110=$T2109),$U2109,IF(B2110="x",U2109,"")))</f>
        <v/>
      </c>
      <c r="V2110" t="str">
        <f>IF(C2110=1,MAX($V$2:$V2109)+1,IF(AND($T2110&lt;&gt;"",$T2110=$T2109),$U2109,IF(C2110="x",V2109,"")))</f>
        <v/>
      </c>
      <c r="X2110" cm="1">
        <f t="array" ref="X2110">IF($I2110&lt;&gt;"",$I2110,INDEX($I$1:$I2110,ROW()-COUNTIFS($T$1:$T2110,"="&amp;$T2110,$S$1:$S2110,"&lt;"&amp;$S2110)))</f>
        <v>0</v>
      </c>
      <c r="Z2110" s="6">
        <f t="shared" si="302"/>
        <v>1</v>
      </c>
      <c r="AA2110" t="e">
        <f t="shared" si="303"/>
        <v>#VALUE!</v>
      </c>
      <c r="AB2110" t="str">
        <f t="shared" si="304"/>
        <v/>
      </c>
      <c r="AC2110" t="e">
        <f t="shared" si="305"/>
        <v>#VALUE!</v>
      </c>
    </row>
    <row r="2111" spans="1:29" x14ac:dyDescent="0.2">
      <c r="A2111" t="str">
        <f t="shared" si="306"/>
        <v/>
      </c>
      <c r="E2111" s="4"/>
      <c r="F2111" s="46"/>
      <c r="G2111" s="4"/>
      <c r="H2111" s="48"/>
      <c r="J2111" s="26" t="str">
        <f t="shared" si="307"/>
        <v/>
      </c>
      <c r="N2111" t="str">
        <f t="shared" si="308"/>
        <v/>
      </c>
      <c r="Q2111" t="str">
        <f t="shared" si="309"/>
        <v/>
      </c>
      <c r="S2111" t="str">
        <f>IF(A2111=1,MAX($S$2:$S2110)+1,IF(OR($I2111&lt;&gt;"",A2111="x"),$S2110,""))</f>
        <v/>
      </c>
      <c r="T2111" t="str">
        <f>IF(D2111=1,MAX($T$2:$T2110)+1,IF(S2111=S2110,$T2110,IF(D2111="x",T2110,IF(D2110="x","",""))))</f>
        <v/>
      </c>
      <c r="U2111" t="str">
        <f>IF(B2111=1,MAX($U$2:$U2110)+1,IF(AND($T2111&lt;&gt;"",$T2111=$T2110),$U2110,IF(B2111="x",U2110,"")))</f>
        <v/>
      </c>
      <c r="V2111" t="str">
        <f>IF(C2111=1,MAX($V$2:$V2110)+1,IF(AND($T2111&lt;&gt;"",$T2111=$T2110),$U2110,IF(C2111="x",V2110,"")))</f>
        <v/>
      </c>
      <c r="X2111" cm="1">
        <f t="array" ref="X2111">IF($I2111&lt;&gt;"",$I2111,INDEX($I$1:$I2111,ROW()-COUNTIFS($T$1:$T2111,"="&amp;$T2111,$S$1:$S2111,"&lt;"&amp;$S2111)))</f>
        <v>0</v>
      </c>
      <c r="Z2111" s="6">
        <f t="shared" si="302"/>
        <v>1</v>
      </c>
      <c r="AA2111" t="e">
        <f t="shared" si="303"/>
        <v>#VALUE!</v>
      </c>
      <c r="AB2111" t="str">
        <f t="shared" si="304"/>
        <v/>
      </c>
      <c r="AC2111" t="e">
        <f t="shared" si="305"/>
        <v>#VALUE!</v>
      </c>
    </row>
    <row r="2112" spans="1:29" x14ac:dyDescent="0.2">
      <c r="A2112" t="str">
        <f t="shared" si="306"/>
        <v/>
      </c>
      <c r="E2112" s="4"/>
      <c r="F2112" s="46"/>
      <c r="G2112" s="4"/>
      <c r="H2112" s="48"/>
      <c r="J2112" s="26" t="str">
        <f t="shared" si="307"/>
        <v/>
      </c>
      <c r="N2112" t="str">
        <f t="shared" si="308"/>
        <v/>
      </c>
      <c r="Q2112" t="str">
        <f t="shared" si="309"/>
        <v/>
      </c>
      <c r="S2112" t="str">
        <f>IF(A2112=1,MAX($S$2:$S2111)+1,IF(OR($I2112&lt;&gt;"",A2112="x"),$S2111,""))</f>
        <v/>
      </c>
      <c r="T2112" t="str">
        <f>IF(D2112=1,MAX($T$2:$T2111)+1,IF(S2112=S2111,$T2111,IF(D2112="x",T2111,IF(D2111="x","",""))))</f>
        <v/>
      </c>
      <c r="U2112" t="str">
        <f>IF(B2112=1,MAX($U$2:$U2111)+1,IF(AND($T2112&lt;&gt;"",$T2112=$T2111),$U2111,IF(B2112="x",U2111,"")))</f>
        <v/>
      </c>
      <c r="V2112" t="str">
        <f>IF(C2112=1,MAX($V$2:$V2111)+1,IF(AND($T2112&lt;&gt;"",$T2112=$T2111),$U2111,IF(C2112="x",V2111,"")))</f>
        <v/>
      </c>
      <c r="X2112" cm="1">
        <f t="array" ref="X2112">IF($I2112&lt;&gt;"",$I2112,INDEX($I$1:$I2112,ROW()-COUNTIFS($T$1:$T2112,"="&amp;$T2112,$S$1:$S2112,"&lt;"&amp;$S2112)))</f>
        <v>0</v>
      </c>
      <c r="Z2112" s="6">
        <f t="shared" si="302"/>
        <v>1</v>
      </c>
      <c r="AA2112" t="e">
        <f t="shared" si="303"/>
        <v>#VALUE!</v>
      </c>
      <c r="AB2112" t="str">
        <f t="shared" si="304"/>
        <v/>
      </c>
      <c r="AC2112" t="e">
        <f t="shared" si="305"/>
        <v>#VALUE!</v>
      </c>
    </row>
    <row r="2113" spans="1:29" x14ac:dyDescent="0.2">
      <c r="A2113" t="str">
        <f t="shared" si="306"/>
        <v/>
      </c>
      <c r="E2113" s="4"/>
      <c r="F2113" s="46"/>
      <c r="G2113" s="4"/>
      <c r="H2113" s="48"/>
      <c r="J2113" s="26" t="str">
        <f t="shared" si="307"/>
        <v/>
      </c>
      <c r="N2113" t="str">
        <f t="shared" si="308"/>
        <v/>
      </c>
      <c r="Q2113" t="str">
        <f t="shared" si="309"/>
        <v/>
      </c>
      <c r="S2113" t="str">
        <f>IF(A2113=1,MAX($S$2:$S2112)+1,IF(OR($I2113&lt;&gt;"",A2113="x"),$S2112,""))</f>
        <v/>
      </c>
      <c r="T2113" t="str">
        <f>IF(D2113=1,MAX($T$2:$T2112)+1,IF(S2113=S2112,$T2112,IF(D2113="x",T2112,IF(D2112="x","",""))))</f>
        <v/>
      </c>
      <c r="U2113" t="str">
        <f>IF(B2113=1,MAX($U$2:$U2112)+1,IF(AND($T2113&lt;&gt;"",$T2113=$T2112),$U2112,IF(B2113="x",U2112,"")))</f>
        <v/>
      </c>
      <c r="V2113" t="str">
        <f>IF(C2113=1,MAX($V$2:$V2112)+1,IF(AND($T2113&lt;&gt;"",$T2113=$T2112),$U2112,IF(C2113="x",V2112,"")))</f>
        <v/>
      </c>
      <c r="X2113" cm="1">
        <f t="array" ref="X2113">IF($I2113&lt;&gt;"",$I2113,INDEX($I$1:$I2113,ROW()-COUNTIFS($T$1:$T2113,"="&amp;$T2113,$S$1:$S2113,"&lt;"&amp;$S2113)))</f>
        <v>0</v>
      </c>
      <c r="Z2113" s="6">
        <f t="shared" si="302"/>
        <v>1</v>
      </c>
      <c r="AA2113" t="e">
        <f t="shared" si="303"/>
        <v>#VALUE!</v>
      </c>
      <c r="AB2113" t="str">
        <f t="shared" si="304"/>
        <v/>
      </c>
      <c r="AC2113" t="e">
        <f t="shared" si="305"/>
        <v>#VALUE!</v>
      </c>
    </row>
    <row r="2114" spans="1:29" x14ac:dyDescent="0.2">
      <c r="A2114" t="str">
        <f t="shared" si="306"/>
        <v/>
      </c>
      <c r="E2114" s="4"/>
      <c r="F2114" s="46"/>
      <c r="G2114" s="4"/>
      <c r="H2114" s="48"/>
      <c r="J2114" s="26" t="str">
        <f t="shared" si="307"/>
        <v/>
      </c>
      <c r="N2114" t="str">
        <f t="shared" si="308"/>
        <v/>
      </c>
      <c r="Q2114" t="str">
        <f t="shared" si="309"/>
        <v/>
      </c>
      <c r="S2114" t="str">
        <f>IF(A2114=1,MAX($S$2:$S2113)+1,IF(OR($I2114&lt;&gt;"",A2114="x"),$S2113,""))</f>
        <v/>
      </c>
      <c r="T2114" t="str">
        <f>IF(D2114=1,MAX($T$2:$T2113)+1,IF(S2114=S2113,$T2113,IF(D2114="x",T2113,IF(D2113="x","",""))))</f>
        <v/>
      </c>
      <c r="U2114" t="str">
        <f>IF(B2114=1,MAX($U$2:$U2113)+1,IF(AND($T2114&lt;&gt;"",$T2114=$T2113),$U2113,IF(B2114="x",U2113,"")))</f>
        <v/>
      </c>
      <c r="V2114" t="str">
        <f>IF(C2114=1,MAX($V$2:$V2113)+1,IF(AND($T2114&lt;&gt;"",$T2114=$T2113),$U2113,IF(C2114="x",V2113,"")))</f>
        <v/>
      </c>
      <c r="X2114" cm="1">
        <f t="array" ref="X2114">IF($I2114&lt;&gt;"",$I2114,INDEX($I$1:$I2114,ROW()-COUNTIFS($T$1:$T2114,"="&amp;$T2114,$S$1:$S2114,"&lt;"&amp;$S2114)))</f>
        <v>0</v>
      </c>
      <c r="Z2114" s="6">
        <f t="shared" si="302"/>
        <v>1</v>
      </c>
      <c r="AA2114" t="e">
        <f t="shared" si="303"/>
        <v>#VALUE!</v>
      </c>
      <c r="AB2114" t="str">
        <f t="shared" si="304"/>
        <v/>
      </c>
      <c r="AC2114" t="e">
        <f t="shared" si="305"/>
        <v>#VALUE!</v>
      </c>
    </row>
    <row r="2115" spans="1:29" x14ac:dyDescent="0.2">
      <c r="A2115" t="str">
        <f t="shared" si="306"/>
        <v/>
      </c>
      <c r="E2115" s="4"/>
      <c r="F2115" s="46"/>
      <c r="G2115" s="4"/>
      <c r="H2115" s="48"/>
      <c r="J2115" s="26" t="str">
        <f t="shared" si="307"/>
        <v/>
      </c>
      <c r="N2115" t="str">
        <f t="shared" si="308"/>
        <v/>
      </c>
      <c r="Q2115" t="str">
        <f t="shared" si="309"/>
        <v/>
      </c>
      <c r="S2115" t="str">
        <f>IF(A2115=1,MAX($S$2:$S2114)+1,IF(OR($I2115&lt;&gt;"",A2115="x"),$S2114,""))</f>
        <v/>
      </c>
      <c r="T2115" t="str">
        <f>IF(D2115=1,MAX($T$2:$T2114)+1,IF(S2115=S2114,$T2114,IF(D2115="x",T2114,IF(D2114="x","",""))))</f>
        <v/>
      </c>
      <c r="U2115" t="str">
        <f>IF(B2115=1,MAX($U$2:$U2114)+1,IF(AND($T2115&lt;&gt;"",$T2115=$T2114),$U2114,IF(B2115="x",U2114,"")))</f>
        <v/>
      </c>
      <c r="V2115" t="str">
        <f>IF(C2115=1,MAX($V$2:$V2114)+1,IF(AND($T2115&lt;&gt;"",$T2115=$T2114),$U2114,IF(C2115="x",V2114,"")))</f>
        <v/>
      </c>
      <c r="X2115" cm="1">
        <f t="array" ref="X2115">IF($I2115&lt;&gt;"",$I2115,INDEX($I$1:$I2115,ROW()-COUNTIFS($T$1:$T2115,"="&amp;$T2115,$S$1:$S2115,"&lt;"&amp;$S2115)))</f>
        <v>0</v>
      </c>
      <c r="Z2115" s="6">
        <f t="shared" si="302"/>
        <v>1</v>
      </c>
      <c r="AA2115" t="e">
        <f t="shared" si="303"/>
        <v>#VALUE!</v>
      </c>
      <c r="AB2115" t="str">
        <f t="shared" si="304"/>
        <v/>
      </c>
      <c r="AC2115" t="e">
        <f t="shared" si="305"/>
        <v>#VALUE!</v>
      </c>
    </row>
    <row r="2116" spans="1:29" x14ac:dyDescent="0.2">
      <c r="A2116" t="str">
        <f t="shared" si="306"/>
        <v/>
      </c>
      <c r="E2116" s="4"/>
      <c r="F2116" s="46"/>
      <c r="G2116" s="4"/>
      <c r="H2116" s="48"/>
      <c r="J2116" s="26" t="str">
        <f t="shared" si="307"/>
        <v/>
      </c>
      <c r="N2116" t="str">
        <f t="shared" si="308"/>
        <v/>
      </c>
      <c r="Q2116" t="str">
        <f t="shared" si="309"/>
        <v/>
      </c>
      <c r="S2116" t="str">
        <f>IF(A2116=1,MAX($S$2:$S2115)+1,IF(OR($I2116&lt;&gt;"",A2116="x"),$S2115,""))</f>
        <v/>
      </c>
      <c r="T2116" t="str">
        <f>IF(D2116=1,MAX($T$2:$T2115)+1,IF(S2116=S2115,$T2115,IF(D2116="x",T2115,IF(D2115="x","",""))))</f>
        <v/>
      </c>
      <c r="U2116" t="str">
        <f>IF(B2116=1,MAX($U$2:$U2115)+1,IF(AND($T2116&lt;&gt;"",$T2116=$T2115),$U2115,IF(B2116="x",U2115,"")))</f>
        <v/>
      </c>
      <c r="V2116" t="str">
        <f>IF(C2116=1,MAX($V$2:$V2115)+1,IF(AND($T2116&lt;&gt;"",$T2116=$T2115),$U2115,IF(C2116="x",V2115,"")))</f>
        <v/>
      </c>
      <c r="X2116" cm="1">
        <f t="array" ref="X2116">IF($I2116&lt;&gt;"",$I2116,INDEX($I$1:$I2116,ROW()-COUNTIFS($T$1:$T2116,"="&amp;$T2116,$S$1:$S2116,"&lt;"&amp;$S2116)))</f>
        <v>0</v>
      </c>
      <c r="Z2116" s="6">
        <f t="shared" si="302"/>
        <v>1</v>
      </c>
      <c r="AA2116" t="e">
        <f t="shared" si="303"/>
        <v>#VALUE!</v>
      </c>
      <c r="AB2116" t="str">
        <f t="shared" si="304"/>
        <v/>
      </c>
      <c r="AC2116" t="e">
        <f t="shared" si="305"/>
        <v>#VALUE!</v>
      </c>
    </row>
    <row r="2117" spans="1:29" x14ac:dyDescent="0.2">
      <c r="A2117" t="str">
        <f t="shared" si="306"/>
        <v/>
      </c>
      <c r="E2117" s="4"/>
      <c r="F2117" s="46"/>
      <c r="G2117" s="4"/>
      <c r="H2117" s="48"/>
      <c r="J2117" s="26" t="str">
        <f t="shared" si="307"/>
        <v/>
      </c>
      <c r="N2117" t="str">
        <f t="shared" si="308"/>
        <v/>
      </c>
      <c r="Q2117" t="str">
        <f t="shared" si="309"/>
        <v/>
      </c>
      <c r="S2117" t="str">
        <f>IF(A2117=1,MAX($S$2:$S2116)+1,IF(OR($I2117&lt;&gt;"",A2117="x"),$S2116,""))</f>
        <v/>
      </c>
      <c r="T2117" t="str">
        <f>IF(D2117=1,MAX($T$2:$T2116)+1,IF(S2117=S2116,$T2116,IF(D2117="x",T2116,IF(D2116="x","",""))))</f>
        <v/>
      </c>
      <c r="U2117" t="str">
        <f>IF(B2117=1,MAX($U$2:$U2116)+1,IF(AND($T2117&lt;&gt;"",$T2117=$T2116),$U2116,IF(B2117="x",U2116,"")))</f>
        <v/>
      </c>
      <c r="V2117" t="str">
        <f>IF(C2117=1,MAX($V$2:$V2116)+1,IF(AND($T2117&lt;&gt;"",$T2117=$T2116),$U2116,IF(C2117="x",V2116,"")))</f>
        <v/>
      </c>
      <c r="X2117" cm="1">
        <f t="array" ref="X2117">IF($I2117&lt;&gt;"",$I2117,INDEX($I$1:$I2117,ROW()-COUNTIFS($T$1:$T2117,"="&amp;$T2117,$S$1:$S2117,"&lt;"&amp;$S2117)))</f>
        <v>0</v>
      </c>
      <c r="Z2117" s="6">
        <f t="shared" ref="Z2117:Z2180" si="310">IF(K2117="Intermission",Z2116+1,Z2116)</f>
        <v>1</v>
      </c>
      <c r="AA2117" t="e">
        <f t="shared" ref="AA2117:AA2180" si="311">S2117+1000</f>
        <v>#VALUE!</v>
      </c>
      <c r="AB2117" t="str">
        <f t="shared" ref="AB2117:AB2180" si="312">IF(T2117&lt;&gt;"",9000+T2117,"")</f>
        <v/>
      </c>
      <c r="AC2117" t="e">
        <f t="shared" ref="AC2117:AC2180" si="313">IF(AB2117&lt;&gt;"",AB2117,S2117+1000)</f>
        <v>#VALUE!</v>
      </c>
    </row>
    <row r="2118" spans="1:29" x14ac:dyDescent="0.2">
      <c r="A2118" t="str">
        <f t="shared" si="306"/>
        <v/>
      </c>
      <c r="E2118" s="4"/>
      <c r="F2118" s="46"/>
      <c r="G2118" s="4"/>
      <c r="H2118" s="48"/>
      <c r="J2118" s="26" t="str">
        <f t="shared" si="307"/>
        <v/>
      </c>
      <c r="N2118" t="str">
        <f t="shared" si="308"/>
        <v/>
      </c>
      <c r="Q2118" t="str">
        <f t="shared" si="309"/>
        <v/>
      </c>
      <c r="S2118" t="str">
        <f>IF(A2118=1,MAX($S$2:$S2117)+1,IF(OR($I2118&lt;&gt;"",A2118="x"),$S2117,""))</f>
        <v/>
      </c>
      <c r="T2118" t="str">
        <f>IF(D2118=1,MAX($T$2:$T2117)+1,IF(S2118=S2117,$T2117,IF(D2118="x",T2117,IF(D2117="x","",""))))</f>
        <v/>
      </c>
      <c r="U2118" t="str">
        <f>IF(B2118=1,MAX($U$2:$U2117)+1,IF(AND($T2118&lt;&gt;"",$T2118=$T2117),$U2117,IF(B2118="x",U2117,"")))</f>
        <v/>
      </c>
      <c r="V2118" t="str">
        <f>IF(C2118=1,MAX($V$2:$V2117)+1,IF(AND($T2118&lt;&gt;"",$T2118=$T2117),$U2117,IF(C2118="x",V2117,"")))</f>
        <v/>
      </c>
      <c r="X2118" cm="1">
        <f t="array" ref="X2118">IF($I2118&lt;&gt;"",$I2118,INDEX($I$1:$I2118,ROW()-COUNTIFS($T$1:$T2118,"="&amp;$T2118,$S$1:$S2118,"&lt;"&amp;$S2118)))</f>
        <v>0</v>
      </c>
      <c r="Z2118" s="6">
        <f t="shared" si="310"/>
        <v>1</v>
      </c>
      <c r="AA2118" t="e">
        <f t="shared" si="311"/>
        <v>#VALUE!</v>
      </c>
      <c r="AB2118" t="str">
        <f t="shared" si="312"/>
        <v/>
      </c>
      <c r="AC2118" t="e">
        <f t="shared" si="313"/>
        <v>#VALUE!</v>
      </c>
    </row>
    <row r="2119" spans="1:29" x14ac:dyDescent="0.2">
      <c r="A2119" t="str">
        <f t="shared" si="306"/>
        <v/>
      </c>
      <c r="E2119" s="4"/>
      <c r="F2119" s="46"/>
      <c r="G2119" s="4"/>
      <c r="H2119" s="48"/>
      <c r="J2119" s="26" t="str">
        <f t="shared" si="307"/>
        <v/>
      </c>
      <c r="N2119" t="str">
        <f t="shared" si="308"/>
        <v/>
      </c>
      <c r="Q2119" t="str">
        <f t="shared" si="309"/>
        <v/>
      </c>
      <c r="S2119" t="str">
        <f>IF(A2119=1,MAX($S$2:$S2118)+1,IF(OR($I2119&lt;&gt;"",A2119="x"),$S2118,""))</f>
        <v/>
      </c>
      <c r="T2119" t="str">
        <f>IF(D2119=1,MAX($T$2:$T2118)+1,IF(S2119=S2118,$T2118,IF(D2119="x",T2118,IF(D2118="x","",""))))</f>
        <v/>
      </c>
      <c r="U2119" t="str">
        <f>IF(B2119=1,MAX($U$2:$U2118)+1,IF(AND($T2119&lt;&gt;"",$T2119=$T2118),$U2118,IF(B2119="x",U2118,"")))</f>
        <v/>
      </c>
      <c r="V2119" t="str">
        <f>IF(C2119=1,MAX($V$2:$V2118)+1,IF(AND($T2119&lt;&gt;"",$T2119=$T2118),$U2118,IF(C2119="x",V2118,"")))</f>
        <v/>
      </c>
      <c r="X2119" cm="1">
        <f t="array" ref="X2119">IF($I2119&lt;&gt;"",$I2119,INDEX($I$1:$I2119,ROW()-COUNTIFS($T$1:$T2119,"="&amp;$T2119,$S$1:$S2119,"&lt;"&amp;$S2119)))</f>
        <v>0</v>
      </c>
      <c r="Z2119" s="6">
        <f t="shared" si="310"/>
        <v>1</v>
      </c>
      <c r="AA2119" t="e">
        <f t="shared" si="311"/>
        <v>#VALUE!</v>
      </c>
      <c r="AB2119" t="str">
        <f t="shared" si="312"/>
        <v/>
      </c>
      <c r="AC2119" t="e">
        <f t="shared" si="313"/>
        <v>#VALUE!</v>
      </c>
    </row>
    <row r="2120" spans="1:29" x14ac:dyDescent="0.2">
      <c r="A2120" t="str">
        <f t="shared" si="306"/>
        <v/>
      </c>
      <c r="E2120" s="4"/>
      <c r="F2120" s="46"/>
      <c r="G2120" s="4"/>
      <c r="H2120" s="48"/>
      <c r="J2120" s="26" t="str">
        <f t="shared" si="307"/>
        <v/>
      </c>
      <c r="N2120" t="str">
        <f t="shared" si="308"/>
        <v/>
      </c>
      <c r="Q2120" t="str">
        <f t="shared" si="309"/>
        <v/>
      </c>
      <c r="S2120" t="str">
        <f>IF(A2120=1,MAX($S$2:$S2119)+1,IF(OR($I2120&lt;&gt;"",A2120="x"),$S2119,""))</f>
        <v/>
      </c>
      <c r="T2120" t="str">
        <f>IF(D2120=1,MAX($T$2:$T2119)+1,IF(S2120=S2119,$T2119,IF(D2120="x",T2119,IF(D2119="x","",""))))</f>
        <v/>
      </c>
      <c r="U2120" t="str">
        <f>IF(B2120=1,MAX($U$2:$U2119)+1,IF(AND($T2120&lt;&gt;"",$T2120=$T2119),$U2119,IF(B2120="x",U2119,"")))</f>
        <v/>
      </c>
      <c r="V2120" t="str">
        <f>IF(C2120=1,MAX($V$2:$V2119)+1,IF(AND($T2120&lt;&gt;"",$T2120=$T2119),$U2119,IF(C2120="x",V2119,"")))</f>
        <v/>
      </c>
      <c r="X2120" cm="1">
        <f t="array" ref="X2120">IF($I2120&lt;&gt;"",$I2120,INDEX($I$1:$I2120,ROW()-COUNTIFS($T$1:$T2120,"="&amp;$T2120,$S$1:$S2120,"&lt;"&amp;$S2120)))</f>
        <v>0</v>
      </c>
      <c r="Z2120" s="6">
        <f t="shared" si="310"/>
        <v>1</v>
      </c>
      <c r="AA2120" t="e">
        <f t="shared" si="311"/>
        <v>#VALUE!</v>
      </c>
      <c r="AB2120" t="str">
        <f t="shared" si="312"/>
        <v/>
      </c>
      <c r="AC2120" t="e">
        <f t="shared" si="313"/>
        <v>#VALUE!</v>
      </c>
    </row>
    <row r="2121" spans="1:29" x14ac:dyDescent="0.2">
      <c r="A2121" t="str">
        <f t="shared" si="306"/>
        <v/>
      </c>
      <c r="E2121" s="4"/>
      <c r="F2121" s="46"/>
      <c r="G2121" s="4"/>
      <c r="H2121" s="48"/>
      <c r="J2121" s="26" t="str">
        <f t="shared" si="307"/>
        <v/>
      </c>
      <c r="N2121" t="str">
        <f t="shared" si="308"/>
        <v/>
      </c>
      <c r="Q2121" t="str">
        <f t="shared" si="309"/>
        <v/>
      </c>
      <c r="S2121" t="str">
        <f>IF(A2121=1,MAX($S$2:$S2120)+1,IF(OR($I2121&lt;&gt;"",A2121="x"),$S2120,""))</f>
        <v/>
      </c>
      <c r="T2121" t="str">
        <f>IF(D2121=1,MAX($T$2:$T2120)+1,IF(S2121=S2120,$T2120,IF(D2121="x",T2120,IF(D2120="x","",""))))</f>
        <v/>
      </c>
      <c r="U2121" t="str">
        <f>IF(B2121=1,MAX($U$2:$U2120)+1,IF(AND($T2121&lt;&gt;"",$T2121=$T2120),$U2120,IF(B2121="x",U2120,"")))</f>
        <v/>
      </c>
      <c r="V2121" t="str">
        <f>IF(C2121=1,MAX($V$2:$V2120)+1,IF(AND($T2121&lt;&gt;"",$T2121=$T2120),$U2120,IF(C2121="x",V2120,"")))</f>
        <v/>
      </c>
      <c r="X2121" cm="1">
        <f t="array" ref="X2121">IF($I2121&lt;&gt;"",$I2121,INDEX($I$1:$I2121,ROW()-COUNTIFS($T$1:$T2121,"="&amp;$T2121,$S$1:$S2121,"&lt;"&amp;$S2121)))</f>
        <v>0</v>
      </c>
      <c r="Z2121" s="6">
        <f t="shared" si="310"/>
        <v>1</v>
      </c>
      <c r="AA2121" t="e">
        <f t="shared" si="311"/>
        <v>#VALUE!</v>
      </c>
      <c r="AB2121" t="str">
        <f t="shared" si="312"/>
        <v/>
      </c>
      <c r="AC2121" t="e">
        <f t="shared" si="313"/>
        <v>#VALUE!</v>
      </c>
    </row>
    <row r="2122" spans="1:29" x14ac:dyDescent="0.2">
      <c r="A2122" t="str">
        <f t="shared" si="306"/>
        <v/>
      </c>
      <c r="E2122" s="4"/>
      <c r="F2122" s="46"/>
      <c r="G2122" s="4"/>
      <c r="H2122" s="48"/>
      <c r="J2122" s="26" t="str">
        <f t="shared" si="307"/>
        <v/>
      </c>
      <c r="N2122" t="str">
        <f t="shared" si="308"/>
        <v/>
      </c>
      <c r="Q2122" t="str">
        <f t="shared" si="309"/>
        <v/>
      </c>
      <c r="S2122" t="str">
        <f>IF(A2122=1,MAX($S$2:$S2121)+1,IF(OR($I2122&lt;&gt;"",A2122="x"),$S2121,""))</f>
        <v/>
      </c>
      <c r="T2122" t="str">
        <f>IF(D2122=1,MAX($T$2:$T2121)+1,IF(S2122=S2121,$T2121,IF(D2122="x",T2121,IF(D2121="x","",""))))</f>
        <v/>
      </c>
      <c r="U2122" t="str">
        <f>IF(B2122=1,MAX($U$2:$U2121)+1,IF(AND($T2122&lt;&gt;"",$T2122=$T2121),$U2121,IF(B2122="x",U2121,"")))</f>
        <v/>
      </c>
      <c r="V2122" t="str">
        <f>IF(C2122=1,MAX($V$2:$V2121)+1,IF(AND($T2122&lt;&gt;"",$T2122=$T2121),$U2121,IF(C2122="x",V2121,"")))</f>
        <v/>
      </c>
      <c r="X2122" cm="1">
        <f t="array" ref="X2122">IF($I2122&lt;&gt;"",$I2122,INDEX($I$1:$I2122,ROW()-COUNTIFS($T$1:$T2122,"="&amp;$T2122,$S$1:$S2122,"&lt;"&amp;$S2122)))</f>
        <v>0</v>
      </c>
      <c r="Z2122" s="6">
        <f t="shared" si="310"/>
        <v>1</v>
      </c>
      <c r="AA2122" t="e">
        <f t="shared" si="311"/>
        <v>#VALUE!</v>
      </c>
      <c r="AB2122" t="str">
        <f t="shared" si="312"/>
        <v/>
      </c>
      <c r="AC2122" t="e">
        <f t="shared" si="313"/>
        <v>#VALUE!</v>
      </c>
    </row>
    <row r="2123" spans="1:29" x14ac:dyDescent="0.2">
      <c r="A2123" t="str">
        <f t="shared" si="306"/>
        <v/>
      </c>
      <c r="E2123" s="4"/>
      <c r="F2123" s="46"/>
      <c r="G2123" s="4"/>
      <c r="H2123" s="48"/>
      <c r="J2123" s="26" t="str">
        <f t="shared" si="307"/>
        <v/>
      </c>
      <c r="N2123" t="str">
        <f t="shared" si="308"/>
        <v/>
      </c>
      <c r="Q2123" t="str">
        <f t="shared" si="309"/>
        <v/>
      </c>
      <c r="S2123" t="str">
        <f>IF(A2123=1,MAX($S$2:$S2122)+1,IF(OR($I2123&lt;&gt;"",A2123="x"),$S2122,""))</f>
        <v/>
      </c>
      <c r="T2123" t="str">
        <f>IF(D2123=1,MAX($T$2:$T2122)+1,IF(S2123=S2122,$T2122,IF(D2123="x",T2122,IF(D2122="x","",""))))</f>
        <v/>
      </c>
      <c r="U2123" t="str">
        <f>IF(B2123=1,MAX($U$2:$U2122)+1,IF(AND($T2123&lt;&gt;"",$T2123=$T2122),$U2122,IF(B2123="x",U2122,"")))</f>
        <v/>
      </c>
      <c r="V2123" t="str">
        <f>IF(C2123=1,MAX($V$2:$V2122)+1,IF(AND($T2123&lt;&gt;"",$T2123=$T2122),$U2122,IF(C2123="x",V2122,"")))</f>
        <v/>
      </c>
      <c r="X2123" cm="1">
        <f t="array" ref="X2123">IF($I2123&lt;&gt;"",$I2123,INDEX($I$1:$I2123,ROW()-COUNTIFS($T$1:$T2123,"="&amp;$T2123,$S$1:$S2123,"&lt;"&amp;$S2123)))</f>
        <v>0</v>
      </c>
      <c r="Z2123" s="6">
        <f t="shared" si="310"/>
        <v>1</v>
      </c>
      <c r="AA2123" t="e">
        <f t="shared" si="311"/>
        <v>#VALUE!</v>
      </c>
      <c r="AB2123" t="str">
        <f t="shared" si="312"/>
        <v/>
      </c>
      <c r="AC2123" t="e">
        <f t="shared" si="313"/>
        <v>#VALUE!</v>
      </c>
    </row>
    <row r="2124" spans="1:29" x14ac:dyDescent="0.2">
      <c r="A2124" t="str">
        <f t="shared" si="306"/>
        <v/>
      </c>
      <c r="E2124" s="4"/>
      <c r="F2124" s="46"/>
      <c r="G2124" s="4"/>
      <c r="H2124" s="48"/>
      <c r="J2124" s="26" t="str">
        <f t="shared" si="307"/>
        <v/>
      </c>
      <c r="N2124" t="str">
        <f t="shared" si="308"/>
        <v/>
      </c>
      <c r="Q2124" t="str">
        <f t="shared" si="309"/>
        <v/>
      </c>
      <c r="S2124" t="str">
        <f>IF(A2124=1,MAX($S$2:$S2123)+1,IF(OR($I2124&lt;&gt;"",A2124="x"),$S2123,""))</f>
        <v/>
      </c>
      <c r="T2124" t="str">
        <f>IF(D2124=1,MAX($T$2:$T2123)+1,IF(S2124=S2123,$T2123,IF(D2124="x",T2123,IF(D2123="x","",""))))</f>
        <v/>
      </c>
      <c r="U2124" t="str">
        <f>IF(B2124=1,MAX($U$2:$U2123)+1,IF(AND($T2124&lt;&gt;"",$T2124=$T2123),$U2123,IF(B2124="x",U2123,"")))</f>
        <v/>
      </c>
      <c r="V2124" t="str">
        <f>IF(C2124=1,MAX($V$2:$V2123)+1,IF(AND($T2124&lt;&gt;"",$T2124=$T2123),$U2123,IF(C2124="x",V2123,"")))</f>
        <v/>
      </c>
      <c r="X2124" cm="1">
        <f t="array" ref="X2124">IF($I2124&lt;&gt;"",$I2124,INDEX($I$1:$I2124,ROW()-COUNTIFS($T$1:$T2124,"="&amp;$T2124,$S$1:$S2124,"&lt;"&amp;$S2124)))</f>
        <v>0</v>
      </c>
      <c r="Z2124" s="6">
        <f t="shared" si="310"/>
        <v>1</v>
      </c>
      <c r="AA2124" t="e">
        <f t="shared" si="311"/>
        <v>#VALUE!</v>
      </c>
      <c r="AB2124" t="str">
        <f t="shared" si="312"/>
        <v/>
      </c>
      <c r="AC2124" t="e">
        <f t="shared" si="313"/>
        <v>#VALUE!</v>
      </c>
    </row>
    <row r="2125" spans="1:29" x14ac:dyDescent="0.2">
      <c r="A2125" t="str">
        <f t="shared" si="306"/>
        <v/>
      </c>
      <c r="E2125" s="4"/>
      <c r="F2125" s="46"/>
      <c r="G2125" s="4"/>
      <c r="H2125" s="48"/>
      <c r="J2125" s="26" t="str">
        <f t="shared" si="307"/>
        <v/>
      </c>
      <c r="N2125" t="str">
        <f t="shared" si="308"/>
        <v/>
      </c>
      <c r="Q2125" t="str">
        <f t="shared" si="309"/>
        <v/>
      </c>
      <c r="S2125" t="str">
        <f>IF(A2125=1,MAX($S$2:$S2124)+1,IF(OR($I2125&lt;&gt;"",A2125="x"),$S2124,""))</f>
        <v/>
      </c>
      <c r="T2125" t="str">
        <f>IF(D2125=1,MAX($T$2:$T2124)+1,IF(S2125=S2124,$T2124,IF(D2125="x",T2124,IF(D2124="x","",""))))</f>
        <v/>
      </c>
      <c r="U2125" t="str">
        <f>IF(B2125=1,MAX($U$2:$U2124)+1,IF(AND($T2125&lt;&gt;"",$T2125=$T2124),$U2124,IF(B2125="x",U2124,"")))</f>
        <v/>
      </c>
      <c r="V2125" t="str">
        <f>IF(C2125=1,MAX($V$2:$V2124)+1,IF(AND($T2125&lt;&gt;"",$T2125=$T2124),$U2124,IF(C2125="x",V2124,"")))</f>
        <v/>
      </c>
      <c r="X2125" cm="1">
        <f t="array" ref="X2125">IF($I2125&lt;&gt;"",$I2125,INDEX($I$1:$I2125,ROW()-COUNTIFS($T$1:$T2125,"="&amp;$T2125,$S$1:$S2125,"&lt;"&amp;$S2125)))</f>
        <v>0</v>
      </c>
      <c r="Z2125" s="6">
        <f t="shared" si="310"/>
        <v>1</v>
      </c>
      <c r="AA2125" t="e">
        <f t="shared" si="311"/>
        <v>#VALUE!</v>
      </c>
      <c r="AB2125" t="str">
        <f t="shared" si="312"/>
        <v/>
      </c>
      <c r="AC2125" t="e">
        <f t="shared" si="313"/>
        <v>#VALUE!</v>
      </c>
    </row>
    <row r="2126" spans="1:29" x14ac:dyDescent="0.2">
      <c r="A2126" t="str">
        <f t="shared" si="306"/>
        <v/>
      </c>
      <c r="E2126" s="4"/>
      <c r="F2126" s="46"/>
      <c r="G2126" s="4"/>
      <c r="H2126" s="48"/>
      <c r="J2126" s="26" t="str">
        <f t="shared" si="307"/>
        <v/>
      </c>
      <c r="N2126" t="str">
        <f t="shared" si="308"/>
        <v/>
      </c>
      <c r="Q2126" t="str">
        <f t="shared" si="309"/>
        <v/>
      </c>
      <c r="S2126" t="str">
        <f>IF(A2126=1,MAX($S$2:$S2125)+1,IF(OR($I2126&lt;&gt;"",A2126="x"),$S2125,""))</f>
        <v/>
      </c>
      <c r="T2126" t="str">
        <f>IF(D2126=1,MAX($T$2:$T2125)+1,IF(S2126=S2125,$T2125,IF(D2126="x",T2125,IF(D2125="x","",""))))</f>
        <v/>
      </c>
      <c r="U2126" t="str">
        <f>IF(B2126=1,MAX($U$2:$U2125)+1,IF(AND($T2126&lt;&gt;"",$T2126=$T2125),$U2125,IF(B2126="x",U2125,"")))</f>
        <v/>
      </c>
      <c r="V2126" t="str">
        <f>IF(C2126=1,MAX($V$2:$V2125)+1,IF(AND($T2126&lt;&gt;"",$T2126=$T2125),$U2125,IF(C2126="x",V2125,"")))</f>
        <v/>
      </c>
      <c r="X2126" cm="1">
        <f t="array" ref="X2126">IF($I2126&lt;&gt;"",$I2126,INDEX($I$1:$I2126,ROW()-COUNTIFS($T$1:$T2126,"="&amp;$T2126,$S$1:$S2126,"&lt;"&amp;$S2126)))</f>
        <v>0</v>
      </c>
      <c r="Z2126" s="6">
        <f t="shared" si="310"/>
        <v>1</v>
      </c>
      <c r="AA2126" t="e">
        <f t="shared" si="311"/>
        <v>#VALUE!</v>
      </c>
      <c r="AB2126" t="str">
        <f t="shared" si="312"/>
        <v/>
      </c>
      <c r="AC2126" t="e">
        <f t="shared" si="313"/>
        <v>#VALUE!</v>
      </c>
    </row>
    <row r="2127" spans="1:29" x14ac:dyDescent="0.2">
      <c r="A2127" t="str">
        <f t="shared" si="306"/>
        <v/>
      </c>
      <c r="E2127" s="4"/>
      <c r="F2127" s="46"/>
      <c r="G2127" s="4"/>
      <c r="H2127" s="48"/>
      <c r="J2127" s="26" t="str">
        <f t="shared" si="307"/>
        <v/>
      </c>
      <c r="N2127" t="str">
        <f t="shared" si="308"/>
        <v/>
      </c>
      <c r="Q2127" t="str">
        <f t="shared" si="309"/>
        <v/>
      </c>
      <c r="S2127" t="str">
        <f>IF(A2127=1,MAX($S$2:$S2126)+1,IF(OR($I2127&lt;&gt;"",A2127="x"),$S2126,""))</f>
        <v/>
      </c>
      <c r="T2127" t="str">
        <f>IF(D2127=1,MAX($T$2:$T2126)+1,IF(S2127=S2126,$T2126,IF(D2127="x",T2126,IF(D2126="x","",""))))</f>
        <v/>
      </c>
      <c r="U2127" t="str">
        <f>IF(B2127=1,MAX($U$2:$U2126)+1,IF(AND($T2127&lt;&gt;"",$T2127=$T2126),$U2126,IF(B2127="x",U2126,"")))</f>
        <v/>
      </c>
      <c r="V2127" t="str">
        <f>IF(C2127=1,MAX($V$2:$V2126)+1,IF(AND($T2127&lt;&gt;"",$T2127=$T2126),$U2126,IF(C2127="x",V2126,"")))</f>
        <v/>
      </c>
      <c r="X2127" cm="1">
        <f t="array" ref="X2127">IF($I2127&lt;&gt;"",$I2127,INDEX($I$1:$I2127,ROW()-COUNTIFS($T$1:$T2127,"="&amp;$T2127,$S$1:$S2127,"&lt;"&amp;$S2127)))</f>
        <v>0</v>
      </c>
      <c r="Z2127" s="6">
        <f t="shared" si="310"/>
        <v>1</v>
      </c>
      <c r="AA2127" t="e">
        <f t="shared" si="311"/>
        <v>#VALUE!</v>
      </c>
      <c r="AB2127" t="str">
        <f t="shared" si="312"/>
        <v/>
      </c>
      <c r="AC2127" t="e">
        <f t="shared" si="313"/>
        <v>#VALUE!</v>
      </c>
    </row>
    <row r="2128" spans="1:29" x14ac:dyDescent="0.2">
      <c r="A2128" t="str">
        <f t="shared" si="306"/>
        <v/>
      </c>
      <c r="E2128" s="4"/>
      <c r="F2128" s="46"/>
      <c r="G2128" s="4"/>
      <c r="H2128" s="48"/>
      <c r="J2128" s="26" t="str">
        <f t="shared" si="307"/>
        <v/>
      </c>
      <c r="N2128" t="str">
        <f t="shared" si="308"/>
        <v/>
      </c>
      <c r="Q2128" t="str">
        <f t="shared" si="309"/>
        <v/>
      </c>
      <c r="S2128" t="str">
        <f>IF(A2128=1,MAX($S$2:$S2127)+1,IF(OR($I2128&lt;&gt;"",A2128="x"),$S2127,""))</f>
        <v/>
      </c>
      <c r="T2128" t="str">
        <f>IF(D2128=1,MAX($T$2:$T2127)+1,IF(S2128=S2127,$T2127,IF(D2128="x",T2127,IF(D2127="x","",""))))</f>
        <v/>
      </c>
      <c r="U2128" t="str">
        <f>IF(B2128=1,MAX($U$2:$U2127)+1,IF(AND($T2128&lt;&gt;"",$T2128=$T2127),$U2127,IF(B2128="x",U2127,"")))</f>
        <v/>
      </c>
      <c r="V2128" t="str">
        <f>IF(C2128=1,MAX($V$2:$V2127)+1,IF(AND($T2128&lt;&gt;"",$T2128=$T2127),$U2127,IF(C2128="x",V2127,"")))</f>
        <v/>
      </c>
      <c r="X2128" cm="1">
        <f t="array" ref="X2128">IF($I2128&lt;&gt;"",$I2128,INDEX($I$1:$I2128,ROW()-COUNTIFS($T$1:$T2128,"="&amp;$T2128,$S$1:$S2128,"&lt;"&amp;$S2128)))</f>
        <v>0</v>
      </c>
      <c r="Z2128" s="6">
        <f t="shared" si="310"/>
        <v>1</v>
      </c>
      <c r="AA2128" t="e">
        <f t="shared" si="311"/>
        <v>#VALUE!</v>
      </c>
      <c r="AB2128" t="str">
        <f t="shared" si="312"/>
        <v/>
      </c>
      <c r="AC2128" t="e">
        <f t="shared" si="313"/>
        <v>#VALUE!</v>
      </c>
    </row>
    <row r="2129" spans="1:29" x14ac:dyDescent="0.2">
      <c r="A2129" t="str">
        <f t="shared" si="306"/>
        <v/>
      </c>
      <c r="E2129" s="4"/>
      <c r="F2129" s="46"/>
      <c r="G2129" s="4"/>
      <c r="H2129" s="48"/>
      <c r="J2129" s="26" t="str">
        <f t="shared" si="307"/>
        <v/>
      </c>
      <c r="N2129" t="str">
        <f t="shared" si="308"/>
        <v/>
      </c>
      <c r="Q2129" t="str">
        <f t="shared" si="309"/>
        <v/>
      </c>
      <c r="S2129" t="str">
        <f>IF(A2129=1,MAX($S$2:$S2128)+1,IF(OR($I2129&lt;&gt;"",A2129="x"),$S2128,""))</f>
        <v/>
      </c>
      <c r="T2129" t="str">
        <f>IF(D2129=1,MAX($T$2:$T2128)+1,IF(S2129=S2128,$T2128,IF(D2129="x",T2128,IF(D2128="x","",""))))</f>
        <v/>
      </c>
      <c r="U2129" t="str">
        <f>IF(B2129=1,MAX($U$2:$U2128)+1,IF(AND($T2129&lt;&gt;"",$T2129=$T2128),$U2128,IF(B2129="x",U2128,"")))</f>
        <v/>
      </c>
      <c r="V2129" t="str">
        <f>IF(C2129=1,MAX($V$2:$V2128)+1,IF(AND($T2129&lt;&gt;"",$T2129=$T2128),$U2128,IF(C2129="x",V2128,"")))</f>
        <v/>
      </c>
      <c r="X2129" cm="1">
        <f t="array" ref="X2129">IF($I2129&lt;&gt;"",$I2129,INDEX($I$1:$I2129,ROW()-COUNTIFS($T$1:$T2129,"="&amp;$T2129,$S$1:$S2129,"&lt;"&amp;$S2129)))</f>
        <v>0</v>
      </c>
      <c r="Z2129" s="6">
        <f t="shared" si="310"/>
        <v>1</v>
      </c>
      <c r="AA2129" t="e">
        <f t="shared" si="311"/>
        <v>#VALUE!</v>
      </c>
      <c r="AB2129" t="str">
        <f t="shared" si="312"/>
        <v/>
      </c>
      <c r="AC2129" t="e">
        <f t="shared" si="313"/>
        <v>#VALUE!</v>
      </c>
    </row>
    <row r="2130" spans="1:29" x14ac:dyDescent="0.2">
      <c r="A2130" t="str">
        <f t="shared" si="306"/>
        <v/>
      </c>
      <c r="E2130" s="4"/>
      <c r="F2130" s="46"/>
      <c r="G2130" s="4"/>
      <c r="H2130" s="48"/>
      <c r="J2130" s="26" t="str">
        <f t="shared" si="307"/>
        <v/>
      </c>
      <c r="N2130" t="str">
        <f t="shared" si="308"/>
        <v/>
      </c>
      <c r="Q2130" t="str">
        <f t="shared" si="309"/>
        <v/>
      </c>
      <c r="S2130" t="str">
        <f>IF(A2130=1,MAX($S$2:$S2129)+1,IF(OR($I2130&lt;&gt;"",A2130="x"),$S2129,""))</f>
        <v/>
      </c>
      <c r="T2130" t="str">
        <f>IF(D2130=1,MAX($T$2:$T2129)+1,IF(S2130=S2129,$T2129,IF(D2130="x",T2129,IF(D2129="x","",""))))</f>
        <v/>
      </c>
      <c r="U2130" t="str">
        <f>IF(B2130=1,MAX($U$2:$U2129)+1,IF(AND($T2130&lt;&gt;"",$T2130=$T2129),$U2129,IF(B2130="x",U2129,"")))</f>
        <v/>
      </c>
      <c r="V2130" t="str">
        <f>IF(C2130=1,MAX($V$2:$V2129)+1,IF(AND($T2130&lt;&gt;"",$T2130=$T2129),$U2129,IF(C2130="x",V2129,"")))</f>
        <v/>
      </c>
      <c r="X2130" cm="1">
        <f t="array" ref="X2130">IF($I2130&lt;&gt;"",$I2130,INDEX($I$1:$I2130,ROW()-COUNTIFS($T$1:$T2130,"="&amp;$T2130,$S$1:$S2130,"&lt;"&amp;$S2130)))</f>
        <v>0</v>
      </c>
      <c r="Z2130" s="6">
        <f t="shared" si="310"/>
        <v>1</v>
      </c>
      <c r="AA2130" t="e">
        <f t="shared" si="311"/>
        <v>#VALUE!</v>
      </c>
      <c r="AB2130" t="str">
        <f t="shared" si="312"/>
        <v/>
      </c>
      <c r="AC2130" t="e">
        <f t="shared" si="313"/>
        <v>#VALUE!</v>
      </c>
    </row>
    <row r="2131" spans="1:29" x14ac:dyDescent="0.2">
      <c r="A2131" t="str">
        <f t="shared" ref="A2131:A2194" si="314">IF(K2131&lt;&gt;"",1,IF(D2131="x","x",""))</f>
        <v/>
      </c>
      <c r="E2131" s="4"/>
      <c r="F2131" s="46"/>
      <c r="G2131" s="4"/>
      <c r="H2131" s="48"/>
      <c r="J2131" s="26" t="str">
        <f t="shared" ref="J2131:J2194" si="315">IF(OR(K2131="Goal",K2131="Shot",L2131="Zone_Entry",M2131="Stoppage-Goal",M2130="Stoppage-Goal"),"o",IF(OR(K2131="Save",K2131="Rebound",L2131="Zone_Exit",M2131="Stoppage-GoalieStoppage",M2130="Stoppage-GoalieStoppage"),"d",IF(OR(L2131="Faceoff_AfterGoal",L2131="Faceoff_PeriodStart",698="Faceoff_GameStart",M2130="Stoppage-Goal"),"n","")))</f>
        <v/>
      </c>
      <c r="N2131" t="str">
        <f t="shared" ref="N2131:N2194" si="316">IF(K2131="","",IF(K2131="Goal","s",IF(AND(K2131="Zone_Entry_Exit",OR(ISNUMBER(SEARCH("fail",L2131)),ISNUMBER(SEARCH("FromExitClear",M2131)),ISNUMBER(SEARCH("miss",M2131)))),"u",IF(AND(K2131="Zone_Entry_Exit",OR(NOT(ISNUMBER(SEARCH("fail",L2131))),NOT(ISNUMBER(SEARCH("FromExitClear",M2131))),NOT(ISNUMBER(SEARCH("miss",M2131))))),"s",IF(AND(OR(K2131="Shot",K2131="Pass"),OR(ISNUMBER(SEARCH("complete",L2131)),ISNUMBER(SEARCH("goal",L2131)),ISNUMBER(SEARCH("OnNet",L2131)))),"s",IF(L2131="Turnover_Giveaway","u",IF(AND(OR(K2131="Shot",K2131="Pass"),OR(ISNUMBER(SEARCH("fail",L2131)),NOT(ISNUMBER(SEARCH("complete",L2131))),NOT(ISNUMBER(SEARCH("OnNet",L2131))))),"u","")))))))</f>
        <v/>
      </c>
      <c r="Q2131" t="str">
        <f t="shared" ref="Q2131:Q2194" si="317">IF(O2131="","",IF(AND(N2131&lt;&gt;"",OR(O2131&lt;&gt;"",P2131&lt;&gt;"")),N2131,IF(OR(ISNUMBER(SEARCH("attemp",O2131)),ISNUMBER(SEARCH("beat",O2131)),ISNUMBER(SEARCH("mis",O2131)),ISNUMBER(SEARCH("fail",O2131)),ISNUMBER(SEARCH("loss",O2131)),ISNUMBER(SEARCH("lost",O2131)),ISNUMBER(SEARCH("attemp",P2131)),ISNUMBER(SEARCH("mis",P2131)),ISNUMBER(SEARCH("fail",P2131)),ISNUMBER(SEARCH("loss",P2131)),ISNUMBER(SEARCH("beat",P2131)),ISNUMBER(SEARCH("lost",P2131))),"u","")))</f>
        <v/>
      </c>
      <c r="S2131" t="str">
        <f>IF(A2131=1,MAX($S$2:$S2130)+1,IF(OR($I2131&lt;&gt;"",A2131="x"),$S2130,""))</f>
        <v/>
      </c>
      <c r="T2131" t="str">
        <f>IF(D2131=1,MAX($T$2:$T2130)+1,IF(S2131=S2130,$T2130,IF(D2131="x",T2130,IF(D2130="x","",""))))</f>
        <v/>
      </c>
      <c r="U2131" t="str">
        <f>IF(B2131=1,MAX($U$2:$U2130)+1,IF(AND($T2131&lt;&gt;"",$T2131=$T2130),$U2130,IF(B2131="x",U2130,"")))</f>
        <v/>
      </c>
      <c r="V2131" t="str">
        <f>IF(C2131=1,MAX($V$2:$V2130)+1,IF(AND($T2131&lt;&gt;"",$T2131=$T2130),$U2130,IF(C2131="x",V2130,"")))</f>
        <v/>
      </c>
      <c r="X2131" cm="1">
        <f t="array" ref="X2131">IF($I2131&lt;&gt;"",$I2131,INDEX($I$1:$I2131,ROW()-COUNTIFS($T$1:$T2131,"="&amp;$T2131,$S$1:$S2131,"&lt;"&amp;$S2131)))</f>
        <v>0</v>
      </c>
      <c r="Z2131" s="6">
        <f t="shared" si="310"/>
        <v>1</v>
      </c>
      <c r="AA2131" t="e">
        <f t="shared" si="311"/>
        <v>#VALUE!</v>
      </c>
      <c r="AB2131" t="str">
        <f t="shared" si="312"/>
        <v/>
      </c>
      <c r="AC2131" t="e">
        <f t="shared" si="313"/>
        <v>#VALUE!</v>
      </c>
    </row>
    <row r="2132" spans="1:29" x14ac:dyDescent="0.2">
      <c r="A2132" t="str">
        <f t="shared" si="314"/>
        <v/>
      </c>
      <c r="E2132" s="4"/>
      <c r="F2132" s="46"/>
      <c r="G2132" s="4"/>
      <c r="H2132" s="48"/>
      <c r="J2132" s="26" t="str">
        <f t="shared" si="315"/>
        <v/>
      </c>
      <c r="N2132" t="str">
        <f t="shared" si="316"/>
        <v/>
      </c>
      <c r="Q2132" t="str">
        <f t="shared" si="317"/>
        <v/>
      </c>
      <c r="S2132" t="str">
        <f>IF(A2132=1,MAX($S$2:$S2131)+1,IF(OR($I2132&lt;&gt;"",A2132="x"),$S2131,""))</f>
        <v/>
      </c>
      <c r="T2132" t="str">
        <f>IF(D2132=1,MAX($T$2:$T2131)+1,IF(S2132=S2131,$T2131,IF(D2132="x",T2131,IF(D2131="x","",""))))</f>
        <v/>
      </c>
      <c r="U2132" t="str">
        <f>IF(B2132=1,MAX($U$2:$U2131)+1,IF(AND($T2132&lt;&gt;"",$T2132=$T2131),$U2131,IF(B2132="x",U2131,"")))</f>
        <v/>
      </c>
      <c r="V2132" t="str">
        <f>IF(C2132=1,MAX($V$2:$V2131)+1,IF(AND($T2132&lt;&gt;"",$T2132=$T2131),$U2131,IF(C2132="x",V2131,"")))</f>
        <v/>
      </c>
      <c r="X2132" cm="1">
        <f t="array" ref="X2132">IF($I2132&lt;&gt;"",$I2132,INDEX($I$1:$I2132,ROW()-COUNTIFS($T$1:$T2132,"="&amp;$T2132,$S$1:$S2132,"&lt;"&amp;$S2132)))</f>
        <v>0</v>
      </c>
      <c r="Z2132" s="6">
        <f t="shared" si="310"/>
        <v>1</v>
      </c>
      <c r="AA2132" t="e">
        <f t="shared" si="311"/>
        <v>#VALUE!</v>
      </c>
      <c r="AB2132" t="str">
        <f t="shared" si="312"/>
        <v/>
      </c>
      <c r="AC2132" t="e">
        <f t="shared" si="313"/>
        <v>#VALUE!</v>
      </c>
    </row>
    <row r="2133" spans="1:29" x14ac:dyDescent="0.2">
      <c r="A2133" t="str">
        <f t="shared" si="314"/>
        <v/>
      </c>
      <c r="E2133" s="4"/>
      <c r="F2133" s="46"/>
      <c r="G2133" s="4"/>
      <c r="H2133" s="48"/>
      <c r="J2133" s="26" t="str">
        <f t="shared" si="315"/>
        <v/>
      </c>
      <c r="N2133" t="str">
        <f t="shared" si="316"/>
        <v/>
      </c>
      <c r="Q2133" t="str">
        <f t="shared" si="317"/>
        <v/>
      </c>
      <c r="S2133" t="str">
        <f>IF(A2133=1,MAX($S$2:$S2132)+1,IF(OR($I2133&lt;&gt;"",A2133="x"),$S2132,""))</f>
        <v/>
      </c>
      <c r="T2133" t="str">
        <f>IF(D2133=1,MAX($T$2:$T2132)+1,IF(S2133=S2132,$T2132,IF(D2133="x",T2132,IF(D2132="x","",""))))</f>
        <v/>
      </c>
      <c r="U2133" t="str">
        <f>IF(B2133=1,MAX($U$2:$U2132)+1,IF(AND($T2133&lt;&gt;"",$T2133=$T2132),$U2132,IF(B2133="x",U2132,"")))</f>
        <v/>
      </c>
      <c r="V2133" t="str">
        <f>IF(C2133=1,MAX($V$2:$V2132)+1,IF(AND($T2133&lt;&gt;"",$T2133=$T2132),$U2132,IF(C2133="x",V2132,"")))</f>
        <v/>
      </c>
      <c r="X2133" cm="1">
        <f t="array" ref="X2133">IF($I2133&lt;&gt;"",$I2133,INDEX($I$1:$I2133,ROW()-COUNTIFS($T$1:$T2133,"="&amp;$T2133,$S$1:$S2133,"&lt;"&amp;$S2133)))</f>
        <v>0</v>
      </c>
      <c r="Z2133" s="6">
        <f t="shared" si="310"/>
        <v>1</v>
      </c>
      <c r="AA2133" t="e">
        <f t="shared" si="311"/>
        <v>#VALUE!</v>
      </c>
      <c r="AB2133" t="str">
        <f t="shared" si="312"/>
        <v/>
      </c>
      <c r="AC2133" t="e">
        <f t="shared" si="313"/>
        <v>#VALUE!</v>
      </c>
    </row>
    <row r="2134" spans="1:29" x14ac:dyDescent="0.2">
      <c r="A2134" t="str">
        <f t="shared" si="314"/>
        <v/>
      </c>
      <c r="E2134" s="4"/>
      <c r="F2134" s="46"/>
      <c r="G2134" s="4"/>
      <c r="H2134" s="48"/>
      <c r="J2134" s="26" t="str">
        <f t="shared" si="315"/>
        <v/>
      </c>
      <c r="N2134" t="str">
        <f t="shared" si="316"/>
        <v/>
      </c>
      <c r="Q2134" t="str">
        <f t="shared" si="317"/>
        <v/>
      </c>
      <c r="S2134" t="str">
        <f>IF(A2134=1,MAX($S$2:$S2133)+1,IF(OR($I2134&lt;&gt;"",A2134="x"),$S2133,""))</f>
        <v/>
      </c>
      <c r="T2134" t="str">
        <f>IF(D2134=1,MAX($T$2:$T2133)+1,IF(S2134=S2133,$T2133,IF(D2134="x",T2133,IF(D2133="x","",""))))</f>
        <v/>
      </c>
      <c r="U2134" t="str">
        <f>IF(B2134=1,MAX($U$2:$U2133)+1,IF(AND($T2134&lt;&gt;"",$T2134=$T2133),$U2133,IF(B2134="x",U2133,"")))</f>
        <v/>
      </c>
      <c r="V2134" t="str">
        <f>IF(C2134=1,MAX($V$2:$V2133)+1,IF(AND($T2134&lt;&gt;"",$T2134=$T2133),$U2133,IF(C2134="x",V2133,"")))</f>
        <v/>
      </c>
      <c r="X2134" cm="1">
        <f t="array" ref="X2134">IF($I2134&lt;&gt;"",$I2134,INDEX($I$1:$I2134,ROW()-COUNTIFS($T$1:$T2134,"="&amp;$T2134,$S$1:$S2134,"&lt;"&amp;$S2134)))</f>
        <v>0</v>
      </c>
      <c r="Z2134" s="6">
        <f t="shared" si="310"/>
        <v>1</v>
      </c>
      <c r="AA2134" t="e">
        <f t="shared" si="311"/>
        <v>#VALUE!</v>
      </c>
      <c r="AB2134" t="str">
        <f t="shared" si="312"/>
        <v/>
      </c>
      <c r="AC2134" t="e">
        <f t="shared" si="313"/>
        <v>#VALUE!</v>
      </c>
    </row>
    <row r="2135" spans="1:29" x14ac:dyDescent="0.2">
      <c r="A2135" t="str">
        <f t="shared" si="314"/>
        <v/>
      </c>
      <c r="E2135" s="4"/>
      <c r="F2135" s="46"/>
      <c r="G2135" s="4"/>
      <c r="H2135" s="48"/>
      <c r="J2135" s="26" t="str">
        <f t="shared" si="315"/>
        <v/>
      </c>
      <c r="N2135" t="str">
        <f t="shared" si="316"/>
        <v/>
      </c>
      <c r="Q2135" t="str">
        <f t="shared" si="317"/>
        <v/>
      </c>
      <c r="S2135" t="str">
        <f>IF(A2135=1,MAX($S$2:$S2134)+1,IF(OR($I2135&lt;&gt;"",A2135="x"),$S2134,""))</f>
        <v/>
      </c>
      <c r="T2135" t="str">
        <f>IF(D2135=1,MAX($T$2:$T2134)+1,IF(S2135=S2134,$T2134,IF(D2135="x",T2134,IF(D2134="x","",""))))</f>
        <v/>
      </c>
      <c r="U2135" t="str">
        <f>IF(B2135=1,MAX($U$2:$U2134)+1,IF(AND($T2135&lt;&gt;"",$T2135=$T2134),$U2134,IF(B2135="x",U2134,"")))</f>
        <v/>
      </c>
      <c r="V2135" t="str">
        <f>IF(C2135=1,MAX($V$2:$V2134)+1,IF(AND($T2135&lt;&gt;"",$T2135=$T2134),$U2134,IF(C2135="x",V2134,"")))</f>
        <v/>
      </c>
      <c r="X2135" cm="1">
        <f t="array" ref="X2135">IF($I2135&lt;&gt;"",$I2135,INDEX($I$1:$I2135,ROW()-COUNTIFS($T$1:$T2135,"="&amp;$T2135,$S$1:$S2135,"&lt;"&amp;$S2135)))</f>
        <v>0</v>
      </c>
      <c r="Z2135" s="6">
        <f t="shared" si="310"/>
        <v>1</v>
      </c>
      <c r="AA2135" t="e">
        <f t="shared" si="311"/>
        <v>#VALUE!</v>
      </c>
      <c r="AB2135" t="str">
        <f t="shared" si="312"/>
        <v/>
      </c>
      <c r="AC2135" t="e">
        <f t="shared" si="313"/>
        <v>#VALUE!</v>
      </c>
    </row>
    <row r="2136" spans="1:29" x14ac:dyDescent="0.2">
      <c r="A2136" t="str">
        <f t="shared" si="314"/>
        <v/>
      </c>
      <c r="E2136" s="4"/>
      <c r="F2136" s="46"/>
      <c r="G2136" s="4"/>
      <c r="H2136" s="48"/>
      <c r="J2136" s="26" t="str">
        <f t="shared" si="315"/>
        <v/>
      </c>
      <c r="N2136" t="str">
        <f t="shared" si="316"/>
        <v/>
      </c>
      <c r="Q2136" t="str">
        <f t="shared" si="317"/>
        <v/>
      </c>
      <c r="S2136" t="str">
        <f>IF(A2136=1,MAX($S$2:$S2135)+1,IF(OR($I2136&lt;&gt;"",A2136="x"),$S2135,""))</f>
        <v/>
      </c>
      <c r="T2136" t="str">
        <f>IF(D2136=1,MAX($T$2:$T2135)+1,IF(S2136=S2135,$T2135,IF(D2136="x",T2135,IF(D2135="x","",""))))</f>
        <v/>
      </c>
      <c r="U2136" t="str">
        <f>IF(B2136=1,MAX($U$2:$U2135)+1,IF(AND($T2136&lt;&gt;"",$T2136=$T2135),$U2135,IF(B2136="x",U2135,"")))</f>
        <v/>
      </c>
      <c r="V2136" t="str">
        <f>IF(C2136=1,MAX($V$2:$V2135)+1,IF(AND($T2136&lt;&gt;"",$T2136=$T2135),$U2135,IF(C2136="x",V2135,"")))</f>
        <v/>
      </c>
      <c r="X2136" cm="1">
        <f t="array" ref="X2136">IF($I2136&lt;&gt;"",$I2136,INDEX($I$1:$I2136,ROW()-COUNTIFS($T$1:$T2136,"="&amp;$T2136,$S$1:$S2136,"&lt;"&amp;$S2136)))</f>
        <v>0</v>
      </c>
      <c r="Z2136" s="6">
        <f t="shared" si="310"/>
        <v>1</v>
      </c>
      <c r="AA2136" t="e">
        <f t="shared" si="311"/>
        <v>#VALUE!</v>
      </c>
      <c r="AB2136" t="str">
        <f t="shared" si="312"/>
        <v/>
      </c>
      <c r="AC2136" t="e">
        <f t="shared" si="313"/>
        <v>#VALUE!</v>
      </c>
    </row>
    <row r="2137" spans="1:29" x14ac:dyDescent="0.2">
      <c r="A2137" t="str">
        <f t="shared" si="314"/>
        <v/>
      </c>
      <c r="E2137" s="4"/>
      <c r="F2137" s="46"/>
      <c r="G2137" s="4"/>
      <c r="H2137" s="48"/>
      <c r="J2137" s="26" t="str">
        <f t="shared" si="315"/>
        <v/>
      </c>
      <c r="N2137" t="str">
        <f t="shared" si="316"/>
        <v/>
      </c>
      <c r="Q2137" t="str">
        <f t="shared" si="317"/>
        <v/>
      </c>
      <c r="S2137" t="str">
        <f>IF(A2137=1,MAX($S$2:$S2136)+1,IF(OR($I2137&lt;&gt;"",A2137="x"),$S2136,""))</f>
        <v/>
      </c>
      <c r="T2137" t="str">
        <f>IF(D2137=1,MAX($T$2:$T2136)+1,IF(S2137=S2136,$T2136,IF(D2137="x",T2136,IF(D2136="x","",""))))</f>
        <v/>
      </c>
      <c r="U2137" t="str">
        <f>IF(B2137=1,MAX($U$2:$U2136)+1,IF(AND($T2137&lt;&gt;"",$T2137=$T2136),$U2136,IF(B2137="x",U2136,"")))</f>
        <v/>
      </c>
      <c r="V2137" t="str">
        <f>IF(C2137=1,MAX($V$2:$V2136)+1,IF(AND($T2137&lt;&gt;"",$T2137=$T2136),$U2136,IF(C2137="x",V2136,"")))</f>
        <v/>
      </c>
      <c r="X2137" cm="1">
        <f t="array" ref="X2137">IF($I2137&lt;&gt;"",$I2137,INDEX($I$1:$I2137,ROW()-COUNTIFS($T$1:$T2137,"="&amp;$T2137,$S$1:$S2137,"&lt;"&amp;$S2137)))</f>
        <v>0</v>
      </c>
      <c r="Z2137" s="6">
        <f t="shared" si="310"/>
        <v>1</v>
      </c>
      <c r="AA2137" t="e">
        <f t="shared" si="311"/>
        <v>#VALUE!</v>
      </c>
      <c r="AB2137" t="str">
        <f t="shared" si="312"/>
        <v/>
      </c>
      <c r="AC2137" t="e">
        <f t="shared" si="313"/>
        <v>#VALUE!</v>
      </c>
    </row>
    <row r="2138" spans="1:29" x14ac:dyDescent="0.2">
      <c r="A2138" t="str">
        <f t="shared" si="314"/>
        <v/>
      </c>
      <c r="E2138" s="4"/>
      <c r="F2138" s="46"/>
      <c r="G2138" s="4"/>
      <c r="H2138" s="48"/>
      <c r="J2138" s="26" t="str">
        <f t="shared" si="315"/>
        <v/>
      </c>
      <c r="N2138" t="str">
        <f t="shared" si="316"/>
        <v/>
      </c>
      <c r="Q2138" t="str">
        <f t="shared" si="317"/>
        <v/>
      </c>
      <c r="S2138" t="str">
        <f>IF(A2138=1,MAX($S$2:$S2137)+1,IF(OR($I2138&lt;&gt;"",A2138="x"),$S2137,""))</f>
        <v/>
      </c>
      <c r="T2138" t="str">
        <f>IF(D2138=1,MAX($T$2:$T2137)+1,IF(S2138=S2137,$T2137,IF(D2138="x",T2137,IF(D2137="x","",""))))</f>
        <v/>
      </c>
      <c r="U2138" t="str">
        <f>IF(B2138=1,MAX($U$2:$U2137)+1,IF(AND($T2138&lt;&gt;"",$T2138=$T2137),$U2137,IF(B2138="x",U2137,"")))</f>
        <v/>
      </c>
      <c r="V2138" t="str">
        <f>IF(C2138=1,MAX($V$2:$V2137)+1,IF(AND($T2138&lt;&gt;"",$T2138=$T2137),$U2137,IF(C2138="x",V2137,"")))</f>
        <v/>
      </c>
      <c r="X2138" cm="1">
        <f t="array" ref="X2138">IF($I2138&lt;&gt;"",$I2138,INDEX($I$1:$I2138,ROW()-COUNTIFS($T$1:$T2138,"="&amp;$T2138,$S$1:$S2138,"&lt;"&amp;$S2138)))</f>
        <v>0</v>
      </c>
      <c r="Z2138" s="6">
        <f t="shared" si="310"/>
        <v>1</v>
      </c>
      <c r="AA2138" t="e">
        <f t="shared" si="311"/>
        <v>#VALUE!</v>
      </c>
      <c r="AB2138" t="str">
        <f t="shared" si="312"/>
        <v/>
      </c>
      <c r="AC2138" t="e">
        <f t="shared" si="313"/>
        <v>#VALUE!</v>
      </c>
    </row>
    <row r="2139" spans="1:29" x14ac:dyDescent="0.2">
      <c r="A2139" t="str">
        <f t="shared" si="314"/>
        <v/>
      </c>
      <c r="E2139" s="4"/>
      <c r="F2139" s="46"/>
      <c r="G2139" s="4"/>
      <c r="H2139" s="48"/>
      <c r="J2139" s="26" t="str">
        <f t="shared" si="315"/>
        <v/>
      </c>
      <c r="N2139" t="str">
        <f t="shared" si="316"/>
        <v/>
      </c>
      <c r="Q2139" t="str">
        <f t="shared" si="317"/>
        <v/>
      </c>
      <c r="S2139" t="str">
        <f>IF(A2139=1,MAX($S$2:$S2138)+1,IF(OR($I2139&lt;&gt;"",A2139="x"),$S2138,""))</f>
        <v/>
      </c>
      <c r="T2139" t="str">
        <f>IF(D2139=1,MAX($T$2:$T2138)+1,IF(S2139=S2138,$T2138,IF(D2139="x",T2138,IF(D2138="x","",""))))</f>
        <v/>
      </c>
      <c r="U2139" t="str">
        <f>IF(B2139=1,MAX($U$2:$U2138)+1,IF(AND($T2139&lt;&gt;"",$T2139=$T2138),$U2138,IF(B2139="x",U2138,"")))</f>
        <v/>
      </c>
      <c r="V2139" t="str">
        <f>IF(C2139=1,MAX($V$2:$V2138)+1,IF(AND($T2139&lt;&gt;"",$T2139=$T2138),$U2138,IF(C2139="x",V2138,"")))</f>
        <v/>
      </c>
      <c r="X2139" cm="1">
        <f t="array" ref="X2139">IF($I2139&lt;&gt;"",$I2139,INDEX($I$1:$I2139,ROW()-COUNTIFS($T$1:$T2139,"="&amp;$T2139,$S$1:$S2139,"&lt;"&amp;$S2139)))</f>
        <v>0</v>
      </c>
      <c r="Z2139" s="6">
        <f t="shared" si="310"/>
        <v>1</v>
      </c>
      <c r="AA2139" t="e">
        <f t="shared" si="311"/>
        <v>#VALUE!</v>
      </c>
      <c r="AB2139" t="str">
        <f t="shared" si="312"/>
        <v/>
      </c>
      <c r="AC2139" t="e">
        <f t="shared" si="313"/>
        <v>#VALUE!</v>
      </c>
    </row>
    <row r="2140" spans="1:29" x14ac:dyDescent="0.2">
      <c r="A2140" t="str">
        <f t="shared" si="314"/>
        <v/>
      </c>
      <c r="E2140" s="4"/>
      <c r="F2140" s="46"/>
      <c r="G2140" s="4"/>
      <c r="H2140" s="48"/>
      <c r="J2140" s="26" t="str">
        <f t="shared" si="315"/>
        <v/>
      </c>
      <c r="N2140" t="str">
        <f t="shared" si="316"/>
        <v/>
      </c>
      <c r="Q2140" t="str">
        <f t="shared" si="317"/>
        <v/>
      </c>
      <c r="S2140" t="str">
        <f>IF(A2140=1,MAX($S$2:$S2139)+1,IF(OR($I2140&lt;&gt;"",A2140="x"),$S2139,""))</f>
        <v/>
      </c>
      <c r="T2140" t="str">
        <f>IF(D2140=1,MAX($T$2:$T2139)+1,IF(S2140=S2139,$T2139,IF(D2140="x",T2139,IF(D2139="x","",""))))</f>
        <v/>
      </c>
      <c r="U2140" t="str">
        <f>IF(B2140=1,MAX($U$2:$U2139)+1,IF(AND($T2140&lt;&gt;"",$T2140=$T2139),$U2139,IF(B2140="x",U2139,"")))</f>
        <v/>
      </c>
      <c r="V2140" t="str">
        <f>IF(C2140=1,MAX($V$2:$V2139)+1,IF(AND($T2140&lt;&gt;"",$T2140=$T2139),$U2139,IF(C2140="x",V2139,"")))</f>
        <v/>
      </c>
      <c r="X2140" cm="1">
        <f t="array" ref="X2140">IF($I2140&lt;&gt;"",$I2140,INDEX($I$1:$I2140,ROW()-COUNTIFS($T$1:$T2140,"="&amp;$T2140,$S$1:$S2140,"&lt;"&amp;$S2140)))</f>
        <v>0</v>
      </c>
      <c r="Z2140" s="6">
        <f t="shared" si="310"/>
        <v>1</v>
      </c>
      <c r="AA2140" t="e">
        <f t="shared" si="311"/>
        <v>#VALUE!</v>
      </c>
      <c r="AB2140" t="str">
        <f t="shared" si="312"/>
        <v/>
      </c>
      <c r="AC2140" t="e">
        <f t="shared" si="313"/>
        <v>#VALUE!</v>
      </c>
    </row>
    <row r="2141" spans="1:29" x14ac:dyDescent="0.2">
      <c r="A2141" t="str">
        <f t="shared" si="314"/>
        <v/>
      </c>
      <c r="E2141" s="4"/>
      <c r="F2141" s="46"/>
      <c r="G2141" s="4"/>
      <c r="H2141" s="48"/>
      <c r="J2141" s="26" t="str">
        <f t="shared" si="315"/>
        <v/>
      </c>
      <c r="N2141" t="str">
        <f t="shared" si="316"/>
        <v/>
      </c>
      <c r="Q2141" t="str">
        <f t="shared" si="317"/>
        <v/>
      </c>
      <c r="S2141" t="str">
        <f>IF(A2141=1,MAX($S$2:$S2140)+1,IF(OR($I2141&lt;&gt;"",A2141="x"),$S2140,""))</f>
        <v/>
      </c>
      <c r="T2141" t="str">
        <f>IF(D2141=1,MAX($T$2:$T2140)+1,IF(S2141=S2140,$T2140,IF(D2141="x",T2140,IF(D2140="x","",""))))</f>
        <v/>
      </c>
      <c r="U2141" t="str">
        <f>IF(B2141=1,MAX($U$2:$U2140)+1,IF(AND($T2141&lt;&gt;"",$T2141=$T2140),$U2140,IF(B2141="x",U2140,"")))</f>
        <v/>
      </c>
      <c r="V2141" t="str">
        <f>IF(C2141=1,MAX($V$2:$V2140)+1,IF(AND($T2141&lt;&gt;"",$T2141=$T2140),$U2140,IF(C2141="x",V2140,"")))</f>
        <v/>
      </c>
      <c r="X2141" cm="1">
        <f t="array" ref="X2141">IF($I2141&lt;&gt;"",$I2141,INDEX($I$1:$I2141,ROW()-COUNTIFS($T$1:$T2141,"="&amp;$T2141,$S$1:$S2141,"&lt;"&amp;$S2141)))</f>
        <v>0</v>
      </c>
      <c r="Z2141" s="6">
        <f t="shared" si="310"/>
        <v>1</v>
      </c>
      <c r="AA2141" t="e">
        <f t="shared" si="311"/>
        <v>#VALUE!</v>
      </c>
      <c r="AB2141" t="str">
        <f t="shared" si="312"/>
        <v/>
      </c>
      <c r="AC2141" t="e">
        <f t="shared" si="313"/>
        <v>#VALUE!</v>
      </c>
    </row>
    <row r="2142" spans="1:29" x14ac:dyDescent="0.2">
      <c r="A2142" t="str">
        <f t="shared" si="314"/>
        <v/>
      </c>
      <c r="E2142" s="4"/>
      <c r="F2142" s="46"/>
      <c r="G2142" s="4"/>
      <c r="H2142" s="48"/>
      <c r="J2142" s="26" t="str">
        <f t="shared" si="315"/>
        <v/>
      </c>
      <c r="N2142" t="str">
        <f t="shared" si="316"/>
        <v/>
      </c>
      <c r="Q2142" t="str">
        <f t="shared" si="317"/>
        <v/>
      </c>
      <c r="S2142" t="str">
        <f>IF(A2142=1,MAX($S$2:$S2141)+1,IF(OR($I2142&lt;&gt;"",A2142="x"),$S2141,""))</f>
        <v/>
      </c>
      <c r="T2142" t="str">
        <f>IF(D2142=1,MAX($T$2:$T2141)+1,IF(S2142=S2141,$T2141,IF(D2142="x",T2141,IF(D2141="x","",""))))</f>
        <v/>
      </c>
      <c r="U2142" t="str">
        <f>IF(B2142=1,MAX($U$2:$U2141)+1,IF(AND($T2142&lt;&gt;"",$T2142=$T2141),$U2141,IF(B2142="x",U2141,"")))</f>
        <v/>
      </c>
      <c r="V2142" t="str">
        <f>IF(C2142=1,MAX($V$2:$V2141)+1,IF(AND($T2142&lt;&gt;"",$T2142=$T2141),$U2141,IF(C2142="x",V2141,"")))</f>
        <v/>
      </c>
      <c r="X2142" cm="1">
        <f t="array" ref="X2142">IF($I2142&lt;&gt;"",$I2142,INDEX($I$1:$I2142,ROW()-COUNTIFS($T$1:$T2142,"="&amp;$T2142,$S$1:$S2142,"&lt;"&amp;$S2142)))</f>
        <v>0</v>
      </c>
      <c r="Z2142" s="6">
        <f t="shared" si="310"/>
        <v>1</v>
      </c>
      <c r="AA2142" t="e">
        <f t="shared" si="311"/>
        <v>#VALUE!</v>
      </c>
      <c r="AB2142" t="str">
        <f t="shared" si="312"/>
        <v/>
      </c>
      <c r="AC2142" t="e">
        <f t="shared" si="313"/>
        <v>#VALUE!</v>
      </c>
    </row>
    <row r="2143" spans="1:29" x14ac:dyDescent="0.2">
      <c r="A2143" t="str">
        <f t="shared" si="314"/>
        <v/>
      </c>
      <c r="E2143" s="4"/>
      <c r="F2143" s="46"/>
      <c r="G2143" s="4"/>
      <c r="H2143" s="48"/>
      <c r="J2143" s="26" t="str">
        <f t="shared" si="315"/>
        <v/>
      </c>
      <c r="N2143" t="str">
        <f t="shared" si="316"/>
        <v/>
      </c>
      <c r="Q2143" t="str">
        <f t="shared" si="317"/>
        <v/>
      </c>
      <c r="S2143" t="str">
        <f>IF(A2143=1,MAX($S$2:$S2142)+1,IF(OR($I2143&lt;&gt;"",A2143="x"),$S2142,""))</f>
        <v/>
      </c>
      <c r="T2143" t="str">
        <f>IF(D2143=1,MAX($T$2:$T2142)+1,IF(S2143=S2142,$T2142,IF(D2143="x",T2142,IF(D2142="x","",""))))</f>
        <v/>
      </c>
      <c r="U2143" t="str">
        <f>IF(B2143=1,MAX($U$2:$U2142)+1,IF(AND($T2143&lt;&gt;"",$T2143=$T2142),$U2142,IF(B2143="x",U2142,"")))</f>
        <v/>
      </c>
      <c r="V2143" t="str">
        <f>IF(C2143=1,MAX($V$2:$V2142)+1,IF(AND($T2143&lt;&gt;"",$T2143=$T2142),$U2142,IF(C2143="x",V2142,"")))</f>
        <v/>
      </c>
      <c r="X2143" cm="1">
        <f t="array" ref="X2143">IF($I2143&lt;&gt;"",$I2143,INDEX($I$1:$I2143,ROW()-COUNTIFS($T$1:$T2143,"="&amp;$T2143,$S$1:$S2143,"&lt;"&amp;$S2143)))</f>
        <v>0</v>
      </c>
      <c r="Z2143" s="6">
        <f t="shared" si="310"/>
        <v>1</v>
      </c>
      <c r="AA2143" t="e">
        <f t="shared" si="311"/>
        <v>#VALUE!</v>
      </c>
      <c r="AB2143" t="str">
        <f t="shared" si="312"/>
        <v/>
      </c>
      <c r="AC2143" t="e">
        <f t="shared" si="313"/>
        <v>#VALUE!</v>
      </c>
    </row>
    <row r="2144" spans="1:29" x14ac:dyDescent="0.2">
      <c r="A2144" t="str">
        <f t="shared" si="314"/>
        <v/>
      </c>
      <c r="E2144" s="4"/>
      <c r="F2144" s="46"/>
      <c r="G2144" s="4"/>
      <c r="H2144" s="48"/>
      <c r="J2144" s="26" t="str">
        <f t="shared" si="315"/>
        <v/>
      </c>
      <c r="N2144" t="str">
        <f t="shared" si="316"/>
        <v/>
      </c>
      <c r="Q2144" t="str">
        <f t="shared" si="317"/>
        <v/>
      </c>
      <c r="S2144" t="str">
        <f>IF(A2144=1,MAX($S$2:$S2143)+1,IF(OR($I2144&lt;&gt;"",A2144="x"),$S2143,""))</f>
        <v/>
      </c>
      <c r="T2144" t="str">
        <f>IF(D2144=1,MAX($T$2:$T2143)+1,IF(S2144=S2143,$T2143,IF(D2144="x",T2143,IF(D2143="x","",""))))</f>
        <v/>
      </c>
      <c r="U2144" t="str">
        <f>IF(B2144=1,MAX($U$2:$U2143)+1,IF(AND($T2144&lt;&gt;"",$T2144=$T2143),$U2143,IF(B2144="x",U2143,"")))</f>
        <v/>
      </c>
      <c r="V2144" t="str">
        <f>IF(C2144=1,MAX($V$2:$V2143)+1,IF(AND($T2144&lt;&gt;"",$T2144=$T2143),$U2143,IF(C2144="x",V2143,"")))</f>
        <v/>
      </c>
      <c r="X2144" cm="1">
        <f t="array" ref="X2144">IF($I2144&lt;&gt;"",$I2144,INDEX($I$1:$I2144,ROW()-COUNTIFS($T$1:$T2144,"="&amp;$T2144,$S$1:$S2144,"&lt;"&amp;$S2144)))</f>
        <v>0</v>
      </c>
      <c r="Z2144" s="6">
        <f t="shared" si="310"/>
        <v>1</v>
      </c>
      <c r="AA2144" t="e">
        <f t="shared" si="311"/>
        <v>#VALUE!</v>
      </c>
      <c r="AB2144" t="str">
        <f t="shared" si="312"/>
        <v/>
      </c>
      <c r="AC2144" t="e">
        <f t="shared" si="313"/>
        <v>#VALUE!</v>
      </c>
    </row>
    <row r="2145" spans="1:29" x14ac:dyDescent="0.2">
      <c r="A2145" t="str">
        <f t="shared" si="314"/>
        <v/>
      </c>
      <c r="E2145" s="4"/>
      <c r="F2145" s="46"/>
      <c r="G2145" s="4"/>
      <c r="H2145" s="48"/>
      <c r="J2145" s="26" t="str">
        <f t="shared" si="315"/>
        <v/>
      </c>
      <c r="N2145" t="str">
        <f t="shared" si="316"/>
        <v/>
      </c>
      <c r="Q2145" t="str">
        <f t="shared" si="317"/>
        <v/>
      </c>
      <c r="S2145" t="str">
        <f>IF(A2145=1,MAX($S$2:$S2144)+1,IF(OR($I2145&lt;&gt;"",A2145="x"),$S2144,""))</f>
        <v/>
      </c>
      <c r="T2145" t="str">
        <f>IF(D2145=1,MAX($T$2:$T2144)+1,IF(S2145=S2144,$T2144,IF(D2145="x",T2144,IF(D2144="x","",""))))</f>
        <v/>
      </c>
      <c r="U2145" t="str">
        <f>IF(B2145=1,MAX($U$2:$U2144)+1,IF(AND($T2145&lt;&gt;"",$T2145=$T2144),$U2144,IF(B2145="x",U2144,"")))</f>
        <v/>
      </c>
      <c r="V2145" t="str">
        <f>IF(C2145=1,MAX($V$2:$V2144)+1,IF(AND($T2145&lt;&gt;"",$T2145=$T2144),$U2144,IF(C2145="x",V2144,"")))</f>
        <v/>
      </c>
      <c r="X2145" cm="1">
        <f t="array" ref="X2145">IF($I2145&lt;&gt;"",$I2145,INDEX($I$1:$I2145,ROW()-COUNTIFS($T$1:$T2145,"="&amp;$T2145,$S$1:$S2145,"&lt;"&amp;$S2145)))</f>
        <v>0</v>
      </c>
      <c r="Z2145" s="6">
        <f t="shared" si="310"/>
        <v>1</v>
      </c>
      <c r="AA2145" t="e">
        <f t="shared" si="311"/>
        <v>#VALUE!</v>
      </c>
      <c r="AB2145" t="str">
        <f t="shared" si="312"/>
        <v/>
      </c>
      <c r="AC2145" t="e">
        <f t="shared" si="313"/>
        <v>#VALUE!</v>
      </c>
    </row>
    <row r="2146" spans="1:29" x14ac:dyDescent="0.2">
      <c r="A2146" t="str">
        <f t="shared" si="314"/>
        <v/>
      </c>
      <c r="E2146" s="4"/>
      <c r="F2146" s="46"/>
      <c r="G2146" s="4"/>
      <c r="H2146" s="48"/>
      <c r="J2146" s="26" t="str">
        <f t="shared" si="315"/>
        <v/>
      </c>
      <c r="N2146" t="str">
        <f t="shared" si="316"/>
        <v/>
      </c>
      <c r="Q2146" t="str">
        <f t="shared" si="317"/>
        <v/>
      </c>
      <c r="S2146" t="str">
        <f>IF(A2146=1,MAX($S$2:$S2145)+1,IF(OR($I2146&lt;&gt;"",A2146="x"),$S2145,""))</f>
        <v/>
      </c>
      <c r="T2146" t="str">
        <f>IF(D2146=1,MAX($T$2:$T2145)+1,IF(S2146=S2145,$T2145,IF(D2146="x",T2145,IF(D2145="x","",""))))</f>
        <v/>
      </c>
      <c r="U2146" t="str">
        <f>IF(B2146=1,MAX($U$2:$U2145)+1,IF(AND($T2146&lt;&gt;"",$T2146=$T2145),$U2145,IF(B2146="x",U2145,"")))</f>
        <v/>
      </c>
      <c r="V2146" t="str">
        <f>IF(C2146=1,MAX($V$2:$V2145)+1,IF(AND($T2146&lt;&gt;"",$T2146=$T2145),$U2145,IF(C2146="x",V2145,"")))</f>
        <v/>
      </c>
      <c r="X2146" cm="1">
        <f t="array" ref="X2146">IF($I2146&lt;&gt;"",$I2146,INDEX($I$1:$I2146,ROW()-COUNTIFS($T$1:$T2146,"="&amp;$T2146,$S$1:$S2146,"&lt;"&amp;$S2146)))</f>
        <v>0</v>
      </c>
      <c r="Z2146" s="6">
        <f t="shared" si="310"/>
        <v>1</v>
      </c>
      <c r="AA2146" t="e">
        <f t="shared" si="311"/>
        <v>#VALUE!</v>
      </c>
      <c r="AB2146" t="str">
        <f t="shared" si="312"/>
        <v/>
      </c>
      <c r="AC2146" t="e">
        <f t="shared" si="313"/>
        <v>#VALUE!</v>
      </c>
    </row>
    <row r="2147" spans="1:29" x14ac:dyDescent="0.2">
      <c r="A2147" t="str">
        <f t="shared" si="314"/>
        <v/>
      </c>
      <c r="E2147" s="4"/>
      <c r="F2147" s="46"/>
      <c r="G2147" s="4"/>
      <c r="H2147" s="48"/>
      <c r="J2147" s="26" t="str">
        <f t="shared" si="315"/>
        <v/>
      </c>
      <c r="N2147" t="str">
        <f t="shared" si="316"/>
        <v/>
      </c>
      <c r="Q2147" t="str">
        <f t="shared" si="317"/>
        <v/>
      </c>
      <c r="S2147" t="str">
        <f>IF(A2147=1,MAX($S$2:$S2146)+1,IF(OR($I2147&lt;&gt;"",A2147="x"),$S2146,""))</f>
        <v/>
      </c>
      <c r="T2147" t="str">
        <f>IF(D2147=1,MAX($T$2:$T2146)+1,IF(S2147=S2146,$T2146,IF(D2147="x",T2146,IF(D2146="x","",""))))</f>
        <v/>
      </c>
      <c r="U2147" t="str">
        <f>IF(B2147=1,MAX($U$2:$U2146)+1,IF(AND($T2147&lt;&gt;"",$T2147=$T2146),$U2146,IF(B2147="x",U2146,"")))</f>
        <v/>
      </c>
      <c r="V2147" t="str">
        <f>IF(C2147=1,MAX($V$2:$V2146)+1,IF(AND($T2147&lt;&gt;"",$T2147=$T2146),$U2146,IF(C2147="x",V2146,"")))</f>
        <v/>
      </c>
      <c r="X2147" cm="1">
        <f t="array" ref="X2147">IF($I2147&lt;&gt;"",$I2147,INDEX($I$1:$I2147,ROW()-COUNTIFS($T$1:$T2147,"="&amp;$T2147,$S$1:$S2147,"&lt;"&amp;$S2147)))</f>
        <v>0</v>
      </c>
      <c r="Z2147" s="6">
        <f t="shared" si="310"/>
        <v>1</v>
      </c>
      <c r="AA2147" t="e">
        <f t="shared" si="311"/>
        <v>#VALUE!</v>
      </c>
      <c r="AB2147" t="str">
        <f t="shared" si="312"/>
        <v/>
      </c>
      <c r="AC2147" t="e">
        <f t="shared" si="313"/>
        <v>#VALUE!</v>
      </c>
    </row>
    <row r="2148" spans="1:29" x14ac:dyDescent="0.2">
      <c r="A2148" t="str">
        <f t="shared" si="314"/>
        <v/>
      </c>
      <c r="E2148" s="4"/>
      <c r="F2148" s="46"/>
      <c r="G2148" s="4"/>
      <c r="H2148" s="48"/>
      <c r="J2148" s="26" t="str">
        <f t="shared" si="315"/>
        <v/>
      </c>
      <c r="N2148" t="str">
        <f t="shared" si="316"/>
        <v/>
      </c>
      <c r="Q2148" t="str">
        <f t="shared" si="317"/>
        <v/>
      </c>
      <c r="S2148" t="str">
        <f>IF(A2148=1,MAX($S$2:$S2147)+1,IF(OR($I2148&lt;&gt;"",A2148="x"),$S2147,""))</f>
        <v/>
      </c>
      <c r="T2148" t="str">
        <f>IF(D2148=1,MAX($T$2:$T2147)+1,IF(S2148=S2147,$T2147,IF(D2148="x",T2147,IF(D2147="x","",""))))</f>
        <v/>
      </c>
      <c r="U2148" t="str">
        <f>IF(B2148=1,MAX($U$2:$U2147)+1,IF(AND($T2148&lt;&gt;"",$T2148=$T2147),$U2147,IF(B2148="x",U2147,"")))</f>
        <v/>
      </c>
      <c r="V2148" t="str">
        <f>IF(C2148=1,MAX($V$2:$V2147)+1,IF(AND($T2148&lt;&gt;"",$T2148=$T2147),$U2147,IF(C2148="x",V2147,"")))</f>
        <v/>
      </c>
      <c r="X2148" cm="1">
        <f t="array" ref="X2148">IF($I2148&lt;&gt;"",$I2148,INDEX($I$1:$I2148,ROW()-COUNTIFS($T$1:$T2148,"="&amp;$T2148,$S$1:$S2148,"&lt;"&amp;$S2148)))</f>
        <v>0</v>
      </c>
      <c r="Z2148" s="6">
        <f t="shared" si="310"/>
        <v>1</v>
      </c>
      <c r="AA2148" t="e">
        <f t="shared" si="311"/>
        <v>#VALUE!</v>
      </c>
      <c r="AB2148" t="str">
        <f t="shared" si="312"/>
        <v/>
      </c>
      <c r="AC2148" t="e">
        <f t="shared" si="313"/>
        <v>#VALUE!</v>
      </c>
    </row>
    <row r="2149" spans="1:29" x14ac:dyDescent="0.2">
      <c r="A2149" t="str">
        <f t="shared" si="314"/>
        <v/>
      </c>
      <c r="E2149" s="4"/>
      <c r="F2149" s="46"/>
      <c r="G2149" s="4"/>
      <c r="H2149" s="48"/>
      <c r="J2149" s="26" t="str">
        <f t="shared" si="315"/>
        <v/>
      </c>
      <c r="N2149" t="str">
        <f t="shared" si="316"/>
        <v/>
      </c>
      <c r="Q2149" t="str">
        <f t="shared" si="317"/>
        <v/>
      </c>
      <c r="S2149" t="str">
        <f>IF(A2149=1,MAX($S$2:$S2148)+1,IF(OR($I2149&lt;&gt;"",A2149="x"),$S2148,""))</f>
        <v/>
      </c>
      <c r="T2149" t="str">
        <f>IF(D2149=1,MAX($T$2:$T2148)+1,IF(S2149=S2148,$T2148,IF(D2149="x",T2148,IF(D2148="x","",""))))</f>
        <v/>
      </c>
      <c r="U2149" t="str">
        <f>IF(B2149=1,MAX($U$2:$U2148)+1,IF(AND($T2149&lt;&gt;"",$T2149=$T2148),$U2148,IF(B2149="x",U2148,"")))</f>
        <v/>
      </c>
      <c r="V2149" t="str">
        <f>IF(C2149=1,MAX($V$2:$V2148)+1,IF(AND($T2149&lt;&gt;"",$T2149=$T2148),$U2148,IF(C2149="x",V2148,"")))</f>
        <v/>
      </c>
      <c r="X2149" cm="1">
        <f t="array" ref="X2149">IF($I2149&lt;&gt;"",$I2149,INDEX($I$1:$I2149,ROW()-COUNTIFS($T$1:$T2149,"="&amp;$T2149,$S$1:$S2149,"&lt;"&amp;$S2149)))</f>
        <v>0</v>
      </c>
      <c r="Z2149" s="6">
        <f t="shared" si="310"/>
        <v>1</v>
      </c>
      <c r="AA2149" t="e">
        <f t="shared" si="311"/>
        <v>#VALUE!</v>
      </c>
      <c r="AB2149" t="str">
        <f t="shared" si="312"/>
        <v/>
      </c>
      <c r="AC2149" t="e">
        <f t="shared" si="313"/>
        <v>#VALUE!</v>
      </c>
    </row>
    <row r="2150" spans="1:29" x14ac:dyDescent="0.2">
      <c r="A2150" t="str">
        <f t="shared" si="314"/>
        <v/>
      </c>
      <c r="E2150" s="4"/>
      <c r="F2150" s="46"/>
      <c r="G2150" s="4"/>
      <c r="H2150" s="48"/>
      <c r="J2150" s="26" t="str">
        <f t="shared" si="315"/>
        <v/>
      </c>
      <c r="N2150" t="str">
        <f t="shared" si="316"/>
        <v/>
      </c>
      <c r="Q2150" t="str">
        <f t="shared" si="317"/>
        <v/>
      </c>
      <c r="S2150" t="str">
        <f>IF(A2150=1,MAX($S$2:$S2149)+1,IF(OR($I2150&lt;&gt;"",A2150="x"),$S2149,""))</f>
        <v/>
      </c>
      <c r="T2150" t="str">
        <f>IF(D2150=1,MAX($T$2:$T2149)+1,IF(S2150=S2149,$T2149,IF(D2150="x",T2149,IF(D2149="x","",""))))</f>
        <v/>
      </c>
      <c r="U2150" t="str">
        <f>IF(B2150=1,MAX($U$2:$U2149)+1,IF(AND($T2150&lt;&gt;"",$T2150=$T2149),$U2149,IF(B2150="x",U2149,"")))</f>
        <v/>
      </c>
      <c r="V2150" t="str">
        <f>IF(C2150=1,MAX($V$2:$V2149)+1,IF(AND($T2150&lt;&gt;"",$T2150=$T2149),$U2149,IF(C2150="x",V2149,"")))</f>
        <v/>
      </c>
      <c r="X2150" cm="1">
        <f t="array" ref="X2150">IF($I2150&lt;&gt;"",$I2150,INDEX($I$1:$I2150,ROW()-COUNTIFS($T$1:$T2150,"="&amp;$T2150,$S$1:$S2150,"&lt;"&amp;$S2150)))</f>
        <v>0</v>
      </c>
      <c r="Z2150" s="6">
        <f t="shared" si="310"/>
        <v>1</v>
      </c>
      <c r="AA2150" t="e">
        <f t="shared" si="311"/>
        <v>#VALUE!</v>
      </c>
      <c r="AB2150" t="str">
        <f t="shared" si="312"/>
        <v/>
      </c>
      <c r="AC2150" t="e">
        <f t="shared" si="313"/>
        <v>#VALUE!</v>
      </c>
    </row>
    <row r="2151" spans="1:29" x14ac:dyDescent="0.2">
      <c r="A2151" t="str">
        <f t="shared" si="314"/>
        <v/>
      </c>
      <c r="E2151" s="4"/>
      <c r="F2151" s="46"/>
      <c r="G2151" s="4"/>
      <c r="H2151" s="48"/>
      <c r="J2151" s="26" t="str">
        <f t="shared" si="315"/>
        <v/>
      </c>
      <c r="N2151" t="str">
        <f t="shared" si="316"/>
        <v/>
      </c>
      <c r="Q2151" t="str">
        <f t="shared" si="317"/>
        <v/>
      </c>
      <c r="S2151" t="str">
        <f>IF(A2151=1,MAX($S$2:$S2150)+1,IF(OR($I2151&lt;&gt;"",A2151="x"),$S2150,""))</f>
        <v/>
      </c>
      <c r="T2151" t="str">
        <f>IF(D2151=1,MAX($T$2:$T2150)+1,IF(S2151=S2150,$T2150,IF(D2151="x",T2150,IF(D2150="x","",""))))</f>
        <v/>
      </c>
      <c r="U2151" t="str">
        <f>IF(B2151=1,MAX($U$2:$U2150)+1,IF(AND($T2151&lt;&gt;"",$T2151=$T2150),$U2150,IF(B2151="x",U2150,"")))</f>
        <v/>
      </c>
      <c r="V2151" t="str">
        <f>IF(C2151=1,MAX($V$2:$V2150)+1,IF(AND($T2151&lt;&gt;"",$T2151=$T2150),$U2150,IF(C2151="x",V2150,"")))</f>
        <v/>
      </c>
      <c r="X2151" cm="1">
        <f t="array" ref="X2151">IF($I2151&lt;&gt;"",$I2151,INDEX($I$1:$I2151,ROW()-COUNTIFS($T$1:$T2151,"="&amp;$T2151,$S$1:$S2151,"&lt;"&amp;$S2151)))</f>
        <v>0</v>
      </c>
      <c r="Z2151" s="6">
        <f t="shared" si="310"/>
        <v>1</v>
      </c>
      <c r="AA2151" t="e">
        <f t="shared" si="311"/>
        <v>#VALUE!</v>
      </c>
      <c r="AB2151" t="str">
        <f t="shared" si="312"/>
        <v/>
      </c>
      <c r="AC2151" t="e">
        <f t="shared" si="313"/>
        <v>#VALUE!</v>
      </c>
    </row>
    <row r="2152" spans="1:29" x14ac:dyDescent="0.2">
      <c r="A2152" t="str">
        <f t="shared" si="314"/>
        <v/>
      </c>
      <c r="E2152" s="4"/>
      <c r="F2152" s="46"/>
      <c r="G2152" s="4"/>
      <c r="H2152" s="48"/>
      <c r="J2152" s="26" t="str">
        <f t="shared" si="315"/>
        <v/>
      </c>
      <c r="N2152" t="str">
        <f t="shared" si="316"/>
        <v/>
      </c>
      <c r="Q2152" t="str">
        <f t="shared" si="317"/>
        <v/>
      </c>
      <c r="S2152" t="str">
        <f>IF(A2152=1,MAX($S$2:$S2151)+1,IF(OR($I2152&lt;&gt;"",A2152="x"),$S2151,""))</f>
        <v/>
      </c>
      <c r="T2152" t="str">
        <f>IF(D2152=1,MAX($T$2:$T2151)+1,IF(S2152=S2151,$T2151,IF(D2152="x",T2151,IF(D2151="x","",""))))</f>
        <v/>
      </c>
      <c r="U2152" t="str">
        <f>IF(B2152=1,MAX($U$2:$U2151)+1,IF(AND($T2152&lt;&gt;"",$T2152=$T2151),$U2151,IF(B2152="x",U2151,"")))</f>
        <v/>
      </c>
      <c r="V2152" t="str">
        <f>IF(C2152=1,MAX($V$2:$V2151)+1,IF(AND($T2152&lt;&gt;"",$T2152=$T2151),$U2151,IF(C2152="x",V2151,"")))</f>
        <v/>
      </c>
      <c r="X2152" cm="1">
        <f t="array" ref="X2152">IF($I2152&lt;&gt;"",$I2152,INDEX($I$1:$I2152,ROW()-COUNTIFS($T$1:$T2152,"="&amp;$T2152,$S$1:$S2152,"&lt;"&amp;$S2152)))</f>
        <v>0</v>
      </c>
      <c r="Z2152" s="6">
        <f t="shared" si="310"/>
        <v>1</v>
      </c>
      <c r="AA2152" t="e">
        <f t="shared" si="311"/>
        <v>#VALUE!</v>
      </c>
      <c r="AB2152" t="str">
        <f t="shared" si="312"/>
        <v/>
      </c>
      <c r="AC2152" t="e">
        <f t="shared" si="313"/>
        <v>#VALUE!</v>
      </c>
    </row>
    <row r="2153" spans="1:29" x14ac:dyDescent="0.2">
      <c r="A2153" t="str">
        <f t="shared" si="314"/>
        <v/>
      </c>
      <c r="E2153" s="4"/>
      <c r="F2153" s="46"/>
      <c r="G2153" s="4"/>
      <c r="H2153" s="48"/>
      <c r="J2153" s="26" t="str">
        <f t="shared" si="315"/>
        <v/>
      </c>
      <c r="N2153" t="str">
        <f t="shared" si="316"/>
        <v/>
      </c>
      <c r="Q2153" t="str">
        <f t="shared" si="317"/>
        <v/>
      </c>
      <c r="S2153" t="str">
        <f>IF(A2153=1,MAX($S$2:$S2152)+1,IF(OR($I2153&lt;&gt;"",A2153="x"),$S2152,""))</f>
        <v/>
      </c>
      <c r="T2153" t="str">
        <f>IF(D2153=1,MAX($T$2:$T2152)+1,IF(S2153=S2152,$T2152,IF(D2153="x",T2152,IF(D2152="x","",""))))</f>
        <v/>
      </c>
      <c r="U2153" t="str">
        <f>IF(B2153=1,MAX($U$2:$U2152)+1,IF(AND($T2153&lt;&gt;"",$T2153=$T2152),$U2152,IF(B2153="x",U2152,"")))</f>
        <v/>
      </c>
      <c r="V2153" t="str">
        <f>IF(C2153=1,MAX($V$2:$V2152)+1,IF(AND($T2153&lt;&gt;"",$T2153=$T2152),$U2152,IF(C2153="x",V2152,"")))</f>
        <v/>
      </c>
      <c r="X2153" cm="1">
        <f t="array" ref="X2153">IF($I2153&lt;&gt;"",$I2153,INDEX($I$1:$I2153,ROW()-COUNTIFS($T$1:$T2153,"="&amp;$T2153,$S$1:$S2153,"&lt;"&amp;$S2153)))</f>
        <v>0</v>
      </c>
      <c r="Z2153" s="6">
        <f t="shared" si="310"/>
        <v>1</v>
      </c>
      <c r="AA2153" t="e">
        <f t="shared" si="311"/>
        <v>#VALUE!</v>
      </c>
      <c r="AB2153" t="str">
        <f t="shared" si="312"/>
        <v/>
      </c>
      <c r="AC2153" t="e">
        <f t="shared" si="313"/>
        <v>#VALUE!</v>
      </c>
    </row>
    <row r="2154" spans="1:29" x14ac:dyDescent="0.2">
      <c r="A2154" t="str">
        <f t="shared" si="314"/>
        <v/>
      </c>
      <c r="E2154" s="4"/>
      <c r="F2154" s="46"/>
      <c r="G2154" s="4"/>
      <c r="H2154" s="48"/>
      <c r="J2154" s="26" t="str">
        <f t="shared" si="315"/>
        <v/>
      </c>
      <c r="N2154" t="str">
        <f t="shared" si="316"/>
        <v/>
      </c>
      <c r="Q2154" t="str">
        <f t="shared" si="317"/>
        <v/>
      </c>
      <c r="S2154" t="str">
        <f>IF(A2154=1,MAX($S$2:$S2153)+1,IF(OR($I2154&lt;&gt;"",A2154="x"),$S2153,""))</f>
        <v/>
      </c>
      <c r="T2154" t="str">
        <f>IF(D2154=1,MAX($T$2:$T2153)+1,IF(S2154=S2153,$T2153,IF(D2154="x",T2153,IF(D2153="x","",""))))</f>
        <v/>
      </c>
      <c r="U2154" t="str">
        <f>IF(B2154=1,MAX($U$2:$U2153)+1,IF(AND($T2154&lt;&gt;"",$T2154=$T2153),$U2153,IF(B2154="x",U2153,"")))</f>
        <v/>
      </c>
      <c r="V2154" t="str">
        <f>IF(C2154=1,MAX($V$2:$V2153)+1,IF(AND($T2154&lt;&gt;"",$T2154=$T2153),$U2153,IF(C2154="x",V2153,"")))</f>
        <v/>
      </c>
      <c r="X2154" cm="1">
        <f t="array" ref="X2154">IF($I2154&lt;&gt;"",$I2154,INDEX($I$1:$I2154,ROW()-COUNTIFS($T$1:$T2154,"="&amp;$T2154,$S$1:$S2154,"&lt;"&amp;$S2154)))</f>
        <v>0</v>
      </c>
      <c r="Z2154" s="6">
        <f t="shared" si="310"/>
        <v>1</v>
      </c>
      <c r="AA2154" t="e">
        <f t="shared" si="311"/>
        <v>#VALUE!</v>
      </c>
      <c r="AB2154" t="str">
        <f t="shared" si="312"/>
        <v/>
      </c>
      <c r="AC2154" t="e">
        <f t="shared" si="313"/>
        <v>#VALUE!</v>
      </c>
    </row>
    <row r="2155" spans="1:29" x14ac:dyDescent="0.2">
      <c r="A2155" t="str">
        <f t="shared" si="314"/>
        <v/>
      </c>
      <c r="E2155" s="4"/>
      <c r="F2155" s="46"/>
      <c r="G2155" s="4"/>
      <c r="H2155" s="48"/>
      <c r="J2155" s="26" t="str">
        <f t="shared" si="315"/>
        <v/>
      </c>
      <c r="N2155" t="str">
        <f t="shared" si="316"/>
        <v/>
      </c>
      <c r="Q2155" t="str">
        <f t="shared" si="317"/>
        <v/>
      </c>
      <c r="S2155" t="str">
        <f>IF(A2155=1,MAX($S$2:$S2154)+1,IF(OR($I2155&lt;&gt;"",A2155="x"),$S2154,""))</f>
        <v/>
      </c>
      <c r="T2155" t="str">
        <f>IF(D2155=1,MAX($T$2:$T2154)+1,IF(S2155=S2154,$T2154,IF(D2155="x",T2154,IF(D2154="x","",""))))</f>
        <v/>
      </c>
      <c r="U2155" t="str">
        <f>IF(B2155=1,MAX($U$2:$U2154)+1,IF(AND($T2155&lt;&gt;"",$T2155=$T2154),$U2154,IF(B2155="x",U2154,"")))</f>
        <v/>
      </c>
      <c r="V2155" t="str">
        <f>IF(C2155=1,MAX($V$2:$V2154)+1,IF(AND($T2155&lt;&gt;"",$T2155=$T2154),$U2154,IF(C2155="x",V2154,"")))</f>
        <v/>
      </c>
      <c r="X2155" cm="1">
        <f t="array" ref="X2155">IF($I2155&lt;&gt;"",$I2155,INDEX($I$1:$I2155,ROW()-COUNTIFS($T$1:$T2155,"="&amp;$T2155,$S$1:$S2155,"&lt;"&amp;$S2155)))</f>
        <v>0</v>
      </c>
      <c r="Z2155" s="6">
        <f t="shared" si="310"/>
        <v>1</v>
      </c>
      <c r="AA2155" t="e">
        <f t="shared" si="311"/>
        <v>#VALUE!</v>
      </c>
      <c r="AB2155" t="str">
        <f t="shared" si="312"/>
        <v/>
      </c>
      <c r="AC2155" t="e">
        <f t="shared" si="313"/>
        <v>#VALUE!</v>
      </c>
    </row>
    <row r="2156" spans="1:29" x14ac:dyDescent="0.2">
      <c r="A2156" t="str">
        <f t="shared" si="314"/>
        <v/>
      </c>
      <c r="E2156" s="4"/>
      <c r="F2156" s="46"/>
      <c r="G2156" s="4"/>
      <c r="H2156" s="48"/>
      <c r="J2156" s="26" t="str">
        <f t="shared" si="315"/>
        <v/>
      </c>
      <c r="N2156" t="str">
        <f t="shared" si="316"/>
        <v/>
      </c>
      <c r="Q2156" t="str">
        <f t="shared" si="317"/>
        <v/>
      </c>
      <c r="S2156" t="str">
        <f>IF(A2156=1,MAX($S$2:$S2155)+1,IF(OR($I2156&lt;&gt;"",A2156="x"),$S2155,""))</f>
        <v/>
      </c>
      <c r="T2156" t="str">
        <f>IF(D2156=1,MAX($T$2:$T2155)+1,IF(S2156=S2155,$T2155,IF(D2156="x",T2155,IF(D2155="x","",""))))</f>
        <v/>
      </c>
      <c r="U2156" t="str">
        <f>IF(B2156=1,MAX($U$2:$U2155)+1,IF(AND($T2156&lt;&gt;"",$T2156=$T2155),$U2155,IF(B2156="x",U2155,"")))</f>
        <v/>
      </c>
      <c r="V2156" t="str">
        <f>IF(C2156=1,MAX($V$2:$V2155)+1,IF(AND($T2156&lt;&gt;"",$T2156=$T2155),$U2155,IF(C2156="x",V2155,"")))</f>
        <v/>
      </c>
      <c r="X2156" cm="1">
        <f t="array" ref="X2156">IF($I2156&lt;&gt;"",$I2156,INDEX($I$1:$I2156,ROW()-COUNTIFS($T$1:$T2156,"="&amp;$T2156,$S$1:$S2156,"&lt;"&amp;$S2156)))</f>
        <v>0</v>
      </c>
      <c r="Z2156" s="6">
        <f t="shared" si="310"/>
        <v>1</v>
      </c>
      <c r="AA2156" t="e">
        <f t="shared" si="311"/>
        <v>#VALUE!</v>
      </c>
      <c r="AB2156" t="str">
        <f t="shared" si="312"/>
        <v/>
      </c>
      <c r="AC2156" t="e">
        <f t="shared" si="313"/>
        <v>#VALUE!</v>
      </c>
    </row>
    <row r="2157" spans="1:29" x14ac:dyDescent="0.2">
      <c r="A2157" t="str">
        <f t="shared" si="314"/>
        <v/>
      </c>
      <c r="E2157" s="4"/>
      <c r="F2157" s="46"/>
      <c r="G2157" s="4"/>
      <c r="H2157" s="48"/>
      <c r="J2157" s="26" t="str">
        <f t="shared" si="315"/>
        <v/>
      </c>
      <c r="N2157" t="str">
        <f t="shared" si="316"/>
        <v/>
      </c>
      <c r="Q2157" t="str">
        <f t="shared" si="317"/>
        <v/>
      </c>
      <c r="S2157" t="str">
        <f>IF(A2157=1,MAX($S$2:$S2156)+1,IF(OR($I2157&lt;&gt;"",A2157="x"),$S2156,""))</f>
        <v/>
      </c>
      <c r="T2157" t="str">
        <f>IF(D2157=1,MAX($T$2:$T2156)+1,IF(S2157=S2156,$T2156,IF(D2157="x",T2156,IF(D2156="x","",""))))</f>
        <v/>
      </c>
      <c r="U2157" t="str">
        <f>IF(B2157=1,MAX($U$2:$U2156)+1,IF(AND($T2157&lt;&gt;"",$T2157=$T2156),$U2156,IF(B2157="x",U2156,"")))</f>
        <v/>
      </c>
      <c r="V2157" t="str">
        <f>IF(C2157=1,MAX($V$2:$V2156)+1,IF(AND($T2157&lt;&gt;"",$T2157=$T2156),$U2156,IF(C2157="x",V2156,"")))</f>
        <v/>
      </c>
      <c r="X2157" cm="1">
        <f t="array" ref="X2157">IF($I2157&lt;&gt;"",$I2157,INDEX($I$1:$I2157,ROW()-COUNTIFS($T$1:$T2157,"="&amp;$T2157,$S$1:$S2157,"&lt;"&amp;$S2157)))</f>
        <v>0</v>
      </c>
      <c r="Z2157" s="6">
        <f t="shared" si="310"/>
        <v>1</v>
      </c>
      <c r="AA2157" t="e">
        <f t="shared" si="311"/>
        <v>#VALUE!</v>
      </c>
      <c r="AB2157" t="str">
        <f t="shared" si="312"/>
        <v/>
      </c>
      <c r="AC2157" t="e">
        <f t="shared" si="313"/>
        <v>#VALUE!</v>
      </c>
    </row>
    <row r="2158" spans="1:29" x14ac:dyDescent="0.2">
      <c r="A2158" t="str">
        <f t="shared" si="314"/>
        <v/>
      </c>
      <c r="E2158" s="4"/>
      <c r="F2158" s="46"/>
      <c r="G2158" s="4"/>
      <c r="H2158" s="48"/>
      <c r="J2158" s="26" t="str">
        <f t="shared" si="315"/>
        <v/>
      </c>
      <c r="N2158" t="str">
        <f t="shared" si="316"/>
        <v/>
      </c>
      <c r="Q2158" t="str">
        <f t="shared" si="317"/>
        <v/>
      </c>
      <c r="S2158" t="str">
        <f>IF(A2158=1,MAX($S$2:$S2157)+1,IF(OR($I2158&lt;&gt;"",A2158="x"),$S2157,""))</f>
        <v/>
      </c>
      <c r="T2158" t="str">
        <f>IF(D2158=1,MAX($T$2:$T2157)+1,IF(S2158=S2157,$T2157,IF(D2158="x",T2157,IF(D2157="x","",""))))</f>
        <v/>
      </c>
      <c r="U2158" t="str">
        <f>IF(B2158=1,MAX($U$2:$U2157)+1,IF(AND($T2158&lt;&gt;"",$T2158=$T2157),$U2157,IF(B2158="x",U2157,"")))</f>
        <v/>
      </c>
      <c r="V2158" t="str">
        <f>IF(C2158=1,MAX($V$2:$V2157)+1,IF(AND($T2158&lt;&gt;"",$T2158=$T2157),$U2157,IF(C2158="x",V2157,"")))</f>
        <v/>
      </c>
      <c r="X2158" cm="1">
        <f t="array" ref="X2158">IF($I2158&lt;&gt;"",$I2158,INDEX($I$1:$I2158,ROW()-COUNTIFS($T$1:$T2158,"="&amp;$T2158,$S$1:$S2158,"&lt;"&amp;$S2158)))</f>
        <v>0</v>
      </c>
      <c r="Z2158" s="6">
        <f t="shared" si="310"/>
        <v>1</v>
      </c>
      <c r="AA2158" t="e">
        <f t="shared" si="311"/>
        <v>#VALUE!</v>
      </c>
      <c r="AB2158" t="str">
        <f t="shared" si="312"/>
        <v/>
      </c>
      <c r="AC2158" t="e">
        <f t="shared" si="313"/>
        <v>#VALUE!</v>
      </c>
    </row>
    <row r="2159" spans="1:29" x14ac:dyDescent="0.2">
      <c r="A2159" t="str">
        <f t="shared" si="314"/>
        <v/>
      </c>
      <c r="E2159" s="4"/>
      <c r="F2159" s="46"/>
      <c r="G2159" s="4"/>
      <c r="H2159" s="48"/>
      <c r="J2159" s="26" t="str">
        <f t="shared" si="315"/>
        <v/>
      </c>
      <c r="N2159" t="str">
        <f t="shared" si="316"/>
        <v/>
      </c>
      <c r="Q2159" t="str">
        <f t="shared" si="317"/>
        <v/>
      </c>
      <c r="S2159" t="str">
        <f>IF(A2159=1,MAX($S$2:$S2158)+1,IF(OR($I2159&lt;&gt;"",A2159="x"),$S2158,""))</f>
        <v/>
      </c>
      <c r="T2159" t="str">
        <f>IF(D2159=1,MAX($T$2:$T2158)+1,IF(S2159=S2158,$T2158,IF(D2159="x",T2158,IF(D2158="x","",""))))</f>
        <v/>
      </c>
      <c r="U2159" t="str">
        <f>IF(B2159=1,MAX($U$2:$U2158)+1,IF(AND($T2159&lt;&gt;"",$T2159=$T2158),$U2158,IF(B2159="x",U2158,"")))</f>
        <v/>
      </c>
      <c r="V2159" t="str">
        <f>IF(C2159=1,MAX($V$2:$V2158)+1,IF(AND($T2159&lt;&gt;"",$T2159=$T2158),$U2158,IF(C2159="x",V2158,"")))</f>
        <v/>
      </c>
      <c r="X2159" cm="1">
        <f t="array" ref="X2159">IF($I2159&lt;&gt;"",$I2159,INDEX($I$1:$I2159,ROW()-COUNTIFS($T$1:$T2159,"="&amp;$T2159,$S$1:$S2159,"&lt;"&amp;$S2159)))</f>
        <v>0</v>
      </c>
      <c r="Z2159" s="6">
        <f t="shared" si="310"/>
        <v>1</v>
      </c>
      <c r="AA2159" t="e">
        <f t="shared" si="311"/>
        <v>#VALUE!</v>
      </c>
      <c r="AB2159" t="str">
        <f t="shared" si="312"/>
        <v/>
      </c>
      <c r="AC2159" t="e">
        <f t="shared" si="313"/>
        <v>#VALUE!</v>
      </c>
    </row>
    <row r="2160" spans="1:29" x14ac:dyDescent="0.2">
      <c r="A2160" t="str">
        <f t="shared" si="314"/>
        <v/>
      </c>
      <c r="E2160" s="4"/>
      <c r="F2160" s="46"/>
      <c r="G2160" s="4"/>
      <c r="H2160" s="48"/>
      <c r="J2160" s="26" t="str">
        <f t="shared" si="315"/>
        <v/>
      </c>
      <c r="N2160" t="str">
        <f t="shared" si="316"/>
        <v/>
      </c>
      <c r="Q2160" t="str">
        <f t="shared" si="317"/>
        <v/>
      </c>
      <c r="S2160" t="str">
        <f>IF(A2160=1,MAX($S$2:$S2159)+1,IF(OR($I2160&lt;&gt;"",A2160="x"),$S2159,""))</f>
        <v/>
      </c>
      <c r="T2160" t="str">
        <f>IF(D2160=1,MAX($T$2:$T2159)+1,IF(S2160=S2159,$T2159,IF(D2160="x",T2159,IF(D2159="x","",""))))</f>
        <v/>
      </c>
      <c r="U2160" t="str">
        <f>IF(B2160=1,MAX($U$2:$U2159)+1,IF(AND($T2160&lt;&gt;"",$T2160=$T2159),$U2159,IF(B2160="x",U2159,"")))</f>
        <v/>
      </c>
      <c r="V2160" t="str">
        <f>IF(C2160=1,MAX($V$2:$V2159)+1,IF(AND($T2160&lt;&gt;"",$T2160=$T2159),$U2159,IF(C2160="x",V2159,"")))</f>
        <v/>
      </c>
      <c r="X2160" cm="1">
        <f t="array" ref="X2160">IF($I2160&lt;&gt;"",$I2160,INDEX($I$1:$I2160,ROW()-COUNTIFS($T$1:$T2160,"="&amp;$T2160,$S$1:$S2160,"&lt;"&amp;$S2160)))</f>
        <v>0</v>
      </c>
      <c r="Z2160" s="6">
        <f t="shared" si="310"/>
        <v>1</v>
      </c>
      <c r="AA2160" t="e">
        <f t="shared" si="311"/>
        <v>#VALUE!</v>
      </c>
      <c r="AB2160" t="str">
        <f t="shared" si="312"/>
        <v/>
      </c>
      <c r="AC2160" t="e">
        <f t="shared" si="313"/>
        <v>#VALUE!</v>
      </c>
    </row>
    <row r="2161" spans="1:29" x14ac:dyDescent="0.2">
      <c r="A2161" t="str">
        <f t="shared" si="314"/>
        <v/>
      </c>
      <c r="E2161" s="4"/>
      <c r="F2161" s="46"/>
      <c r="G2161" s="4"/>
      <c r="H2161" s="48"/>
      <c r="J2161" s="26" t="str">
        <f t="shared" si="315"/>
        <v/>
      </c>
      <c r="N2161" t="str">
        <f t="shared" si="316"/>
        <v/>
      </c>
      <c r="Q2161" t="str">
        <f t="shared" si="317"/>
        <v/>
      </c>
      <c r="S2161" t="str">
        <f>IF(A2161=1,MAX($S$2:$S2160)+1,IF(OR($I2161&lt;&gt;"",A2161="x"),$S2160,""))</f>
        <v/>
      </c>
      <c r="T2161" t="str">
        <f>IF(D2161=1,MAX($T$2:$T2160)+1,IF(S2161=S2160,$T2160,IF(D2161="x",T2160,IF(D2160="x","",""))))</f>
        <v/>
      </c>
      <c r="U2161" t="str">
        <f>IF(B2161=1,MAX($U$2:$U2160)+1,IF(AND($T2161&lt;&gt;"",$T2161=$T2160),$U2160,IF(B2161="x",U2160,"")))</f>
        <v/>
      </c>
      <c r="V2161" t="str">
        <f>IF(C2161=1,MAX($V$2:$V2160)+1,IF(AND($T2161&lt;&gt;"",$T2161=$T2160),$U2160,IF(C2161="x",V2160,"")))</f>
        <v/>
      </c>
      <c r="X2161" cm="1">
        <f t="array" ref="X2161">IF($I2161&lt;&gt;"",$I2161,INDEX($I$1:$I2161,ROW()-COUNTIFS($T$1:$T2161,"="&amp;$T2161,$S$1:$S2161,"&lt;"&amp;$S2161)))</f>
        <v>0</v>
      </c>
      <c r="Z2161" s="6">
        <f t="shared" si="310"/>
        <v>1</v>
      </c>
      <c r="AA2161" t="e">
        <f t="shared" si="311"/>
        <v>#VALUE!</v>
      </c>
      <c r="AB2161" t="str">
        <f t="shared" si="312"/>
        <v/>
      </c>
      <c r="AC2161" t="e">
        <f t="shared" si="313"/>
        <v>#VALUE!</v>
      </c>
    </row>
    <row r="2162" spans="1:29" x14ac:dyDescent="0.2">
      <c r="A2162" t="str">
        <f t="shared" si="314"/>
        <v/>
      </c>
      <c r="E2162" s="4"/>
      <c r="F2162" s="46"/>
      <c r="G2162" s="4"/>
      <c r="H2162" s="48"/>
      <c r="J2162" s="26" t="str">
        <f t="shared" si="315"/>
        <v/>
      </c>
      <c r="N2162" t="str">
        <f t="shared" si="316"/>
        <v/>
      </c>
      <c r="Q2162" t="str">
        <f t="shared" si="317"/>
        <v/>
      </c>
      <c r="S2162" t="str">
        <f>IF(A2162=1,MAX($S$2:$S2161)+1,IF(OR($I2162&lt;&gt;"",A2162="x"),$S2161,""))</f>
        <v/>
      </c>
      <c r="T2162" t="str">
        <f>IF(D2162=1,MAX($T$2:$T2161)+1,IF(S2162=S2161,$T2161,IF(D2162="x",T2161,IF(D2161="x","",""))))</f>
        <v/>
      </c>
      <c r="U2162" t="str">
        <f>IF(B2162=1,MAX($U$2:$U2161)+1,IF(AND($T2162&lt;&gt;"",$T2162=$T2161),$U2161,IF(B2162="x",U2161,"")))</f>
        <v/>
      </c>
      <c r="V2162" t="str">
        <f>IF(C2162=1,MAX($V$2:$V2161)+1,IF(AND($T2162&lt;&gt;"",$T2162=$T2161),$U2161,IF(C2162="x",V2161,"")))</f>
        <v/>
      </c>
      <c r="X2162" cm="1">
        <f t="array" ref="X2162">IF($I2162&lt;&gt;"",$I2162,INDEX($I$1:$I2162,ROW()-COUNTIFS($T$1:$T2162,"="&amp;$T2162,$S$1:$S2162,"&lt;"&amp;$S2162)))</f>
        <v>0</v>
      </c>
      <c r="Z2162" s="6">
        <f t="shared" si="310"/>
        <v>1</v>
      </c>
      <c r="AA2162" t="e">
        <f t="shared" si="311"/>
        <v>#VALUE!</v>
      </c>
      <c r="AB2162" t="str">
        <f t="shared" si="312"/>
        <v/>
      </c>
      <c r="AC2162" t="e">
        <f t="shared" si="313"/>
        <v>#VALUE!</v>
      </c>
    </row>
    <row r="2163" spans="1:29" x14ac:dyDescent="0.2">
      <c r="A2163" t="str">
        <f t="shared" si="314"/>
        <v/>
      </c>
      <c r="E2163" s="4"/>
      <c r="F2163" s="46"/>
      <c r="G2163" s="4"/>
      <c r="H2163" s="48"/>
      <c r="J2163" s="26" t="str">
        <f t="shared" si="315"/>
        <v/>
      </c>
      <c r="N2163" t="str">
        <f t="shared" si="316"/>
        <v/>
      </c>
      <c r="Q2163" t="str">
        <f t="shared" si="317"/>
        <v/>
      </c>
      <c r="S2163" t="str">
        <f>IF(A2163=1,MAX($S$2:$S2162)+1,IF(OR($I2163&lt;&gt;"",A2163="x"),$S2162,""))</f>
        <v/>
      </c>
      <c r="T2163" t="str">
        <f>IF(D2163=1,MAX($T$2:$T2162)+1,IF(S2163=S2162,$T2162,IF(D2163="x",T2162,IF(D2162="x","",""))))</f>
        <v/>
      </c>
      <c r="U2163" t="str">
        <f>IF(B2163=1,MAX($U$2:$U2162)+1,IF(AND($T2163&lt;&gt;"",$T2163=$T2162),$U2162,IF(B2163="x",U2162,"")))</f>
        <v/>
      </c>
      <c r="V2163" t="str">
        <f>IF(C2163=1,MAX($V$2:$V2162)+1,IF(AND($T2163&lt;&gt;"",$T2163=$T2162),$U2162,IF(C2163="x",V2162,"")))</f>
        <v/>
      </c>
      <c r="X2163" cm="1">
        <f t="array" ref="X2163">IF($I2163&lt;&gt;"",$I2163,INDEX($I$1:$I2163,ROW()-COUNTIFS($T$1:$T2163,"="&amp;$T2163,$S$1:$S2163,"&lt;"&amp;$S2163)))</f>
        <v>0</v>
      </c>
      <c r="Z2163" s="6">
        <f t="shared" si="310"/>
        <v>1</v>
      </c>
      <c r="AA2163" t="e">
        <f t="shared" si="311"/>
        <v>#VALUE!</v>
      </c>
      <c r="AB2163" t="str">
        <f t="shared" si="312"/>
        <v/>
      </c>
      <c r="AC2163" t="e">
        <f t="shared" si="313"/>
        <v>#VALUE!</v>
      </c>
    </row>
    <row r="2164" spans="1:29" x14ac:dyDescent="0.2">
      <c r="A2164" t="str">
        <f t="shared" si="314"/>
        <v/>
      </c>
      <c r="E2164" s="4"/>
      <c r="F2164" s="46"/>
      <c r="G2164" s="4"/>
      <c r="H2164" s="48"/>
      <c r="J2164" s="26" t="str">
        <f t="shared" si="315"/>
        <v/>
      </c>
      <c r="N2164" t="str">
        <f t="shared" si="316"/>
        <v/>
      </c>
      <c r="Q2164" t="str">
        <f t="shared" si="317"/>
        <v/>
      </c>
      <c r="S2164" t="str">
        <f>IF(A2164=1,MAX($S$2:$S2163)+1,IF(OR($I2164&lt;&gt;"",A2164="x"),$S2163,""))</f>
        <v/>
      </c>
      <c r="T2164" t="str">
        <f>IF(D2164=1,MAX($T$2:$T2163)+1,IF(S2164=S2163,$T2163,IF(D2164="x",T2163,IF(D2163="x","",""))))</f>
        <v/>
      </c>
      <c r="U2164" t="str">
        <f>IF(B2164=1,MAX($U$2:$U2163)+1,IF(AND($T2164&lt;&gt;"",$T2164=$T2163),$U2163,IF(B2164="x",U2163,"")))</f>
        <v/>
      </c>
      <c r="V2164" t="str">
        <f>IF(C2164=1,MAX($V$2:$V2163)+1,IF(AND($T2164&lt;&gt;"",$T2164=$T2163),$U2163,IF(C2164="x",V2163,"")))</f>
        <v/>
      </c>
      <c r="X2164" cm="1">
        <f t="array" ref="X2164">IF($I2164&lt;&gt;"",$I2164,INDEX($I$1:$I2164,ROW()-COUNTIFS($T$1:$T2164,"="&amp;$T2164,$S$1:$S2164,"&lt;"&amp;$S2164)))</f>
        <v>0</v>
      </c>
      <c r="Z2164" s="6">
        <f t="shared" si="310"/>
        <v>1</v>
      </c>
      <c r="AA2164" t="e">
        <f t="shared" si="311"/>
        <v>#VALUE!</v>
      </c>
      <c r="AB2164" t="str">
        <f t="shared" si="312"/>
        <v/>
      </c>
      <c r="AC2164" t="e">
        <f t="shared" si="313"/>
        <v>#VALUE!</v>
      </c>
    </row>
    <row r="2165" spans="1:29" x14ac:dyDescent="0.2">
      <c r="A2165" t="str">
        <f t="shared" si="314"/>
        <v/>
      </c>
      <c r="E2165" s="4"/>
      <c r="F2165" s="46"/>
      <c r="G2165" s="4"/>
      <c r="H2165" s="48"/>
      <c r="J2165" s="26" t="str">
        <f t="shared" si="315"/>
        <v/>
      </c>
      <c r="N2165" t="str">
        <f t="shared" si="316"/>
        <v/>
      </c>
      <c r="Q2165" t="str">
        <f t="shared" si="317"/>
        <v/>
      </c>
      <c r="S2165" t="str">
        <f>IF(A2165=1,MAX($S$2:$S2164)+1,IF(OR($I2165&lt;&gt;"",A2165="x"),$S2164,""))</f>
        <v/>
      </c>
      <c r="T2165" t="str">
        <f>IF(D2165=1,MAX($T$2:$T2164)+1,IF(S2165=S2164,$T2164,IF(D2165="x",T2164,IF(D2164="x","",""))))</f>
        <v/>
      </c>
      <c r="U2165" t="str">
        <f>IF(B2165=1,MAX($U$2:$U2164)+1,IF(AND($T2165&lt;&gt;"",$T2165=$T2164),$U2164,IF(B2165="x",U2164,"")))</f>
        <v/>
      </c>
      <c r="V2165" t="str">
        <f>IF(C2165=1,MAX($V$2:$V2164)+1,IF(AND($T2165&lt;&gt;"",$T2165=$T2164),$U2164,IF(C2165="x",V2164,"")))</f>
        <v/>
      </c>
      <c r="X2165" cm="1">
        <f t="array" ref="X2165">IF($I2165&lt;&gt;"",$I2165,INDEX($I$1:$I2165,ROW()-COUNTIFS($T$1:$T2165,"="&amp;$T2165,$S$1:$S2165,"&lt;"&amp;$S2165)))</f>
        <v>0</v>
      </c>
      <c r="Z2165" s="6">
        <f t="shared" si="310"/>
        <v>1</v>
      </c>
      <c r="AA2165" t="e">
        <f t="shared" si="311"/>
        <v>#VALUE!</v>
      </c>
      <c r="AB2165" t="str">
        <f t="shared" si="312"/>
        <v/>
      </c>
      <c r="AC2165" t="e">
        <f t="shared" si="313"/>
        <v>#VALUE!</v>
      </c>
    </row>
    <row r="2166" spans="1:29" x14ac:dyDescent="0.2">
      <c r="A2166" t="str">
        <f t="shared" si="314"/>
        <v/>
      </c>
      <c r="E2166" s="4"/>
      <c r="F2166" s="46"/>
      <c r="G2166" s="4"/>
      <c r="H2166" s="48"/>
      <c r="J2166" s="26" t="str">
        <f t="shared" si="315"/>
        <v/>
      </c>
      <c r="N2166" t="str">
        <f t="shared" si="316"/>
        <v/>
      </c>
      <c r="Q2166" t="str">
        <f t="shared" si="317"/>
        <v/>
      </c>
      <c r="S2166" t="str">
        <f>IF(A2166=1,MAX($S$2:$S2165)+1,IF(OR($I2166&lt;&gt;"",A2166="x"),$S2165,""))</f>
        <v/>
      </c>
      <c r="T2166" t="str">
        <f>IF(D2166=1,MAX($T$2:$T2165)+1,IF(S2166=S2165,$T2165,IF(D2166="x",T2165,IF(D2165="x","",""))))</f>
        <v/>
      </c>
      <c r="U2166" t="str">
        <f>IF(B2166=1,MAX($U$2:$U2165)+1,IF(AND($T2166&lt;&gt;"",$T2166=$T2165),$U2165,IF(B2166="x",U2165,"")))</f>
        <v/>
      </c>
      <c r="V2166" t="str">
        <f>IF(C2166=1,MAX($V$2:$V2165)+1,IF(AND($T2166&lt;&gt;"",$T2166=$T2165),$U2165,IF(C2166="x",V2165,"")))</f>
        <v/>
      </c>
      <c r="X2166" cm="1">
        <f t="array" ref="X2166">IF($I2166&lt;&gt;"",$I2166,INDEX($I$1:$I2166,ROW()-COUNTIFS($T$1:$T2166,"="&amp;$T2166,$S$1:$S2166,"&lt;"&amp;$S2166)))</f>
        <v>0</v>
      </c>
      <c r="Z2166" s="6">
        <f t="shared" si="310"/>
        <v>1</v>
      </c>
      <c r="AA2166" t="e">
        <f t="shared" si="311"/>
        <v>#VALUE!</v>
      </c>
      <c r="AB2166" t="str">
        <f t="shared" si="312"/>
        <v/>
      </c>
      <c r="AC2166" t="e">
        <f t="shared" si="313"/>
        <v>#VALUE!</v>
      </c>
    </row>
    <row r="2167" spans="1:29" x14ac:dyDescent="0.2">
      <c r="A2167" t="str">
        <f t="shared" si="314"/>
        <v/>
      </c>
      <c r="E2167" s="4"/>
      <c r="F2167" s="46"/>
      <c r="G2167" s="4"/>
      <c r="H2167" s="48"/>
      <c r="J2167" s="26" t="str">
        <f t="shared" si="315"/>
        <v/>
      </c>
      <c r="N2167" t="str">
        <f t="shared" si="316"/>
        <v/>
      </c>
      <c r="Q2167" t="str">
        <f t="shared" si="317"/>
        <v/>
      </c>
      <c r="S2167" t="str">
        <f>IF(A2167=1,MAX($S$2:$S2166)+1,IF(OR($I2167&lt;&gt;"",A2167="x"),$S2166,""))</f>
        <v/>
      </c>
      <c r="T2167" t="str">
        <f>IF(D2167=1,MAX($T$2:$T2166)+1,IF(S2167=S2166,$T2166,IF(D2167="x",T2166,IF(D2166="x","",""))))</f>
        <v/>
      </c>
      <c r="U2167" t="str">
        <f>IF(B2167=1,MAX($U$2:$U2166)+1,IF(AND($T2167&lt;&gt;"",$T2167=$T2166),$U2166,IF(B2167="x",U2166,"")))</f>
        <v/>
      </c>
      <c r="V2167" t="str">
        <f>IF(C2167=1,MAX($V$2:$V2166)+1,IF(AND($T2167&lt;&gt;"",$T2167=$T2166),$U2166,IF(C2167="x",V2166,"")))</f>
        <v/>
      </c>
      <c r="X2167" cm="1">
        <f t="array" ref="X2167">IF($I2167&lt;&gt;"",$I2167,INDEX($I$1:$I2167,ROW()-COUNTIFS($T$1:$T2167,"="&amp;$T2167,$S$1:$S2167,"&lt;"&amp;$S2167)))</f>
        <v>0</v>
      </c>
      <c r="Z2167" s="6">
        <f t="shared" si="310"/>
        <v>1</v>
      </c>
      <c r="AA2167" t="e">
        <f t="shared" si="311"/>
        <v>#VALUE!</v>
      </c>
      <c r="AB2167" t="str">
        <f t="shared" si="312"/>
        <v/>
      </c>
      <c r="AC2167" t="e">
        <f t="shared" si="313"/>
        <v>#VALUE!</v>
      </c>
    </row>
    <row r="2168" spans="1:29" x14ac:dyDescent="0.2">
      <c r="A2168" t="str">
        <f t="shared" si="314"/>
        <v/>
      </c>
      <c r="E2168" s="4"/>
      <c r="F2168" s="46"/>
      <c r="G2168" s="4"/>
      <c r="H2168" s="48"/>
      <c r="J2168" s="26" t="str">
        <f t="shared" si="315"/>
        <v/>
      </c>
      <c r="N2168" t="str">
        <f t="shared" si="316"/>
        <v/>
      </c>
      <c r="Q2168" t="str">
        <f t="shared" si="317"/>
        <v/>
      </c>
      <c r="S2168" t="str">
        <f>IF(A2168=1,MAX($S$2:$S2167)+1,IF(OR($I2168&lt;&gt;"",A2168="x"),$S2167,""))</f>
        <v/>
      </c>
      <c r="T2168" t="str">
        <f>IF(D2168=1,MAX($T$2:$T2167)+1,IF(S2168=S2167,$T2167,IF(D2168="x",T2167,IF(D2167="x","",""))))</f>
        <v/>
      </c>
      <c r="U2168" t="str">
        <f>IF(B2168=1,MAX($U$2:$U2167)+1,IF(AND($T2168&lt;&gt;"",$T2168=$T2167),$U2167,IF(B2168="x",U2167,"")))</f>
        <v/>
      </c>
      <c r="V2168" t="str">
        <f>IF(C2168=1,MAX($V$2:$V2167)+1,IF(AND($T2168&lt;&gt;"",$T2168=$T2167),$U2167,IF(C2168="x",V2167,"")))</f>
        <v/>
      </c>
      <c r="X2168" cm="1">
        <f t="array" ref="X2168">IF($I2168&lt;&gt;"",$I2168,INDEX($I$1:$I2168,ROW()-COUNTIFS($T$1:$T2168,"="&amp;$T2168,$S$1:$S2168,"&lt;"&amp;$S2168)))</f>
        <v>0</v>
      </c>
      <c r="Z2168" s="6">
        <f t="shared" si="310"/>
        <v>1</v>
      </c>
      <c r="AA2168" t="e">
        <f t="shared" si="311"/>
        <v>#VALUE!</v>
      </c>
      <c r="AB2168" t="str">
        <f t="shared" si="312"/>
        <v/>
      </c>
      <c r="AC2168" t="e">
        <f t="shared" si="313"/>
        <v>#VALUE!</v>
      </c>
    </row>
    <row r="2169" spans="1:29" x14ac:dyDescent="0.2">
      <c r="A2169" t="str">
        <f t="shared" si="314"/>
        <v/>
      </c>
      <c r="E2169" s="4"/>
      <c r="F2169" s="46"/>
      <c r="G2169" s="4"/>
      <c r="H2169" s="48"/>
      <c r="J2169" s="26" t="str">
        <f t="shared" si="315"/>
        <v/>
      </c>
      <c r="N2169" t="str">
        <f t="shared" si="316"/>
        <v/>
      </c>
      <c r="Q2169" t="str">
        <f t="shared" si="317"/>
        <v/>
      </c>
      <c r="S2169" t="str">
        <f>IF(A2169=1,MAX($S$2:$S2168)+1,IF(OR($I2169&lt;&gt;"",A2169="x"),$S2168,""))</f>
        <v/>
      </c>
      <c r="T2169" t="str">
        <f>IF(D2169=1,MAX($T$2:$T2168)+1,IF(S2169=S2168,$T2168,IF(D2169="x",T2168,IF(D2168="x","",""))))</f>
        <v/>
      </c>
      <c r="U2169" t="str">
        <f>IF(B2169=1,MAX($U$2:$U2168)+1,IF(AND($T2169&lt;&gt;"",$T2169=$T2168),$U2168,IF(B2169="x",U2168,"")))</f>
        <v/>
      </c>
      <c r="V2169" t="str">
        <f>IF(C2169=1,MAX($V$2:$V2168)+1,IF(AND($T2169&lt;&gt;"",$T2169=$T2168),$U2168,IF(C2169="x",V2168,"")))</f>
        <v/>
      </c>
      <c r="X2169" cm="1">
        <f t="array" ref="X2169">IF($I2169&lt;&gt;"",$I2169,INDEX($I$1:$I2169,ROW()-COUNTIFS($T$1:$T2169,"="&amp;$T2169,$S$1:$S2169,"&lt;"&amp;$S2169)))</f>
        <v>0</v>
      </c>
      <c r="Z2169" s="6">
        <f t="shared" si="310"/>
        <v>1</v>
      </c>
      <c r="AA2169" t="e">
        <f t="shared" si="311"/>
        <v>#VALUE!</v>
      </c>
      <c r="AB2169" t="str">
        <f t="shared" si="312"/>
        <v/>
      </c>
      <c r="AC2169" t="e">
        <f t="shared" si="313"/>
        <v>#VALUE!</v>
      </c>
    </row>
    <row r="2170" spans="1:29" x14ac:dyDescent="0.2">
      <c r="A2170" t="str">
        <f t="shared" si="314"/>
        <v/>
      </c>
      <c r="E2170" s="4"/>
      <c r="F2170" s="46"/>
      <c r="G2170" s="4"/>
      <c r="H2170" s="48"/>
      <c r="J2170" s="26" t="str">
        <f t="shared" si="315"/>
        <v/>
      </c>
      <c r="N2170" t="str">
        <f t="shared" si="316"/>
        <v/>
      </c>
      <c r="Q2170" t="str">
        <f t="shared" si="317"/>
        <v/>
      </c>
      <c r="S2170" t="str">
        <f>IF(A2170=1,MAX($S$2:$S2169)+1,IF(OR($I2170&lt;&gt;"",A2170="x"),$S2169,""))</f>
        <v/>
      </c>
      <c r="T2170" t="str">
        <f>IF(D2170=1,MAX($T$2:$T2169)+1,IF(S2170=S2169,$T2169,IF(D2170="x",T2169,IF(D2169="x","",""))))</f>
        <v/>
      </c>
      <c r="U2170" t="str">
        <f>IF(B2170=1,MAX($U$2:$U2169)+1,IF(AND($T2170&lt;&gt;"",$T2170=$T2169),$U2169,IF(B2170="x",U2169,"")))</f>
        <v/>
      </c>
      <c r="V2170" t="str">
        <f>IF(C2170=1,MAX($V$2:$V2169)+1,IF(AND($T2170&lt;&gt;"",$T2170=$T2169),$U2169,IF(C2170="x",V2169,"")))</f>
        <v/>
      </c>
      <c r="X2170" cm="1">
        <f t="array" ref="X2170">IF($I2170&lt;&gt;"",$I2170,INDEX($I$1:$I2170,ROW()-COUNTIFS($T$1:$T2170,"="&amp;$T2170,$S$1:$S2170,"&lt;"&amp;$S2170)))</f>
        <v>0</v>
      </c>
      <c r="Z2170" s="6">
        <f t="shared" si="310"/>
        <v>1</v>
      </c>
      <c r="AA2170" t="e">
        <f t="shared" si="311"/>
        <v>#VALUE!</v>
      </c>
      <c r="AB2170" t="str">
        <f t="shared" si="312"/>
        <v/>
      </c>
      <c r="AC2170" t="e">
        <f t="shared" si="313"/>
        <v>#VALUE!</v>
      </c>
    </row>
    <row r="2171" spans="1:29" x14ac:dyDescent="0.2">
      <c r="A2171" t="str">
        <f t="shared" si="314"/>
        <v/>
      </c>
      <c r="E2171" s="4"/>
      <c r="F2171" s="46"/>
      <c r="G2171" s="4"/>
      <c r="H2171" s="48"/>
      <c r="J2171" s="26" t="str">
        <f t="shared" si="315"/>
        <v/>
      </c>
      <c r="N2171" t="str">
        <f t="shared" si="316"/>
        <v/>
      </c>
      <c r="Q2171" t="str">
        <f t="shared" si="317"/>
        <v/>
      </c>
      <c r="S2171" t="str">
        <f>IF(A2171=1,MAX($S$2:$S2170)+1,IF(OR($I2171&lt;&gt;"",A2171="x"),$S2170,""))</f>
        <v/>
      </c>
      <c r="T2171" t="str">
        <f>IF(D2171=1,MAX($T$2:$T2170)+1,IF(S2171=S2170,$T2170,IF(D2171="x",T2170,IF(D2170="x","",""))))</f>
        <v/>
      </c>
      <c r="U2171" t="str">
        <f>IF(B2171=1,MAX($U$2:$U2170)+1,IF(AND($T2171&lt;&gt;"",$T2171=$T2170),$U2170,IF(B2171="x",U2170,"")))</f>
        <v/>
      </c>
      <c r="V2171" t="str">
        <f>IF(C2171=1,MAX($V$2:$V2170)+1,IF(AND($T2171&lt;&gt;"",$T2171=$T2170),$U2170,IF(C2171="x",V2170,"")))</f>
        <v/>
      </c>
      <c r="X2171" cm="1">
        <f t="array" ref="X2171">IF($I2171&lt;&gt;"",$I2171,INDEX($I$1:$I2171,ROW()-COUNTIFS($T$1:$T2171,"="&amp;$T2171,$S$1:$S2171,"&lt;"&amp;$S2171)))</f>
        <v>0</v>
      </c>
      <c r="Z2171" s="6">
        <f t="shared" si="310"/>
        <v>1</v>
      </c>
      <c r="AA2171" t="e">
        <f t="shared" si="311"/>
        <v>#VALUE!</v>
      </c>
      <c r="AB2171" t="str">
        <f t="shared" si="312"/>
        <v/>
      </c>
      <c r="AC2171" t="e">
        <f t="shared" si="313"/>
        <v>#VALUE!</v>
      </c>
    </row>
    <row r="2172" spans="1:29" x14ac:dyDescent="0.2">
      <c r="A2172" t="str">
        <f t="shared" si="314"/>
        <v/>
      </c>
      <c r="E2172" s="4"/>
      <c r="F2172" s="46"/>
      <c r="G2172" s="4"/>
      <c r="H2172" s="48"/>
      <c r="J2172" s="26" t="str">
        <f t="shared" si="315"/>
        <v/>
      </c>
      <c r="N2172" t="str">
        <f t="shared" si="316"/>
        <v/>
      </c>
      <c r="Q2172" t="str">
        <f t="shared" si="317"/>
        <v/>
      </c>
      <c r="S2172" t="str">
        <f>IF(A2172=1,MAX($S$2:$S2171)+1,IF(OR($I2172&lt;&gt;"",A2172="x"),$S2171,""))</f>
        <v/>
      </c>
      <c r="T2172" t="str">
        <f>IF(D2172=1,MAX($T$2:$T2171)+1,IF(S2172=S2171,$T2171,IF(D2172="x",T2171,IF(D2171="x","",""))))</f>
        <v/>
      </c>
      <c r="U2172" t="str">
        <f>IF(B2172=1,MAX($U$2:$U2171)+1,IF(AND($T2172&lt;&gt;"",$T2172=$T2171),$U2171,IF(B2172="x",U2171,"")))</f>
        <v/>
      </c>
      <c r="V2172" t="str">
        <f>IF(C2172=1,MAX($V$2:$V2171)+1,IF(AND($T2172&lt;&gt;"",$T2172=$T2171),$U2171,IF(C2172="x",V2171,"")))</f>
        <v/>
      </c>
      <c r="X2172" cm="1">
        <f t="array" ref="X2172">IF($I2172&lt;&gt;"",$I2172,INDEX($I$1:$I2172,ROW()-COUNTIFS($T$1:$T2172,"="&amp;$T2172,$S$1:$S2172,"&lt;"&amp;$S2172)))</f>
        <v>0</v>
      </c>
      <c r="Z2172" s="6">
        <f t="shared" si="310"/>
        <v>1</v>
      </c>
      <c r="AA2172" t="e">
        <f t="shared" si="311"/>
        <v>#VALUE!</v>
      </c>
      <c r="AB2172" t="str">
        <f t="shared" si="312"/>
        <v/>
      </c>
      <c r="AC2172" t="e">
        <f t="shared" si="313"/>
        <v>#VALUE!</v>
      </c>
    </row>
    <row r="2173" spans="1:29" x14ac:dyDescent="0.2">
      <c r="A2173" t="str">
        <f t="shared" si="314"/>
        <v/>
      </c>
      <c r="E2173" s="4"/>
      <c r="F2173" s="46"/>
      <c r="G2173" s="4"/>
      <c r="H2173" s="48"/>
      <c r="J2173" s="26" t="str">
        <f t="shared" si="315"/>
        <v/>
      </c>
      <c r="N2173" t="str">
        <f t="shared" si="316"/>
        <v/>
      </c>
      <c r="Q2173" t="str">
        <f t="shared" si="317"/>
        <v/>
      </c>
      <c r="S2173" t="str">
        <f>IF(A2173=1,MAX($S$2:$S2172)+1,IF(OR($I2173&lt;&gt;"",A2173="x"),$S2172,""))</f>
        <v/>
      </c>
      <c r="T2173" t="str">
        <f>IF(D2173=1,MAX($T$2:$T2172)+1,IF(S2173=S2172,$T2172,IF(D2173="x",T2172,IF(D2172="x","",""))))</f>
        <v/>
      </c>
      <c r="U2173" t="str">
        <f>IF(B2173=1,MAX($U$2:$U2172)+1,IF(AND($T2173&lt;&gt;"",$T2173=$T2172),$U2172,IF(B2173="x",U2172,"")))</f>
        <v/>
      </c>
      <c r="V2173" t="str">
        <f>IF(C2173=1,MAX($V$2:$V2172)+1,IF(AND($T2173&lt;&gt;"",$T2173=$T2172),$U2172,IF(C2173="x",V2172,"")))</f>
        <v/>
      </c>
      <c r="X2173" cm="1">
        <f t="array" ref="X2173">IF($I2173&lt;&gt;"",$I2173,INDEX($I$1:$I2173,ROW()-COUNTIFS($T$1:$T2173,"="&amp;$T2173,$S$1:$S2173,"&lt;"&amp;$S2173)))</f>
        <v>0</v>
      </c>
      <c r="Z2173" s="6">
        <f t="shared" si="310"/>
        <v>1</v>
      </c>
      <c r="AA2173" t="e">
        <f t="shared" si="311"/>
        <v>#VALUE!</v>
      </c>
      <c r="AB2173" t="str">
        <f t="shared" si="312"/>
        <v/>
      </c>
      <c r="AC2173" t="e">
        <f t="shared" si="313"/>
        <v>#VALUE!</v>
      </c>
    </row>
    <row r="2174" spans="1:29" x14ac:dyDescent="0.2">
      <c r="A2174" t="str">
        <f t="shared" si="314"/>
        <v/>
      </c>
      <c r="E2174" s="4"/>
      <c r="F2174" s="46"/>
      <c r="G2174" s="4"/>
      <c r="H2174" s="48"/>
      <c r="J2174" s="26" t="str">
        <f t="shared" si="315"/>
        <v/>
      </c>
      <c r="N2174" t="str">
        <f t="shared" si="316"/>
        <v/>
      </c>
      <c r="Q2174" t="str">
        <f t="shared" si="317"/>
        <v/>
      </c>
      <c r="S2174" t="str">
        <f>IF(A2174=1,MAX($S$2:$S2173)+1,IF(OR($I2174&lt;&gt;"",A2174="x"),$S2173,""))</f>
        <v/>
      </c>
      <c r="T2174" t="str">
        <f>IF(D2174=1,MAX($T$2:$T2173)+1,IF(S2174=S2173,$T2173,IF(D2174="x",T2173,IF(D2173="x","",""))))</f>
        <v/>
      </c>
      <c r="U2174" t="str">
        <f>IF(B2174=1,MAX($U$2:$U2173)+1,IF(AND($T2174&lt;&gt;"",$T2174=$T2173),$U2173,IF(B2174="x",U2173,"")))</f>
        <v/>
      </c>
      <c r="V2174" t="str">
        <f>IF(C2174=1,MAX($V$2:$V2173)+1,IF(AND($T2174&lt;&gt;"",$T2174=$T2173),$U2173,IF(C2174="x",V2173,"")))</f>
        <v/>
      </c>
      <c r="X2174" cm="1">
        <f t="array" ref="X2174">IF($I2174&lt;&gt;"",$I2174,INDEX($I$1:$I2174,ROW()-COUNTIFS($T$1:$T2174,"="&amp;$T2174,$S$1:$S2174,"&lt;"&amp;$S2174)))</f>
        <v>0</v>
      </c>
      <c r="Z2174" s="6">
        <f t="shared" si="310"/>
        <v>1</v>
      </c>
      <c r="AA2174" t="e">
        <f t="shared" si="311"/>
        <v>#VALUE!</v>
      </c>
      <c r="AB2174" t="str">
        <f t="shared" si="312"/>
        <v/>
      </c>
      <c r="AC2174" t="e">
        <f t="shared" si="313"/>
        <v>#VALUE!</v>
      </c>
    </row>
    <row r="2175" spans="1:29" x14ac:dyDescent="0.2">
      <c r="A2175" t="str">
        <f t="shared" si="314"/>
        <v/>
      </c>
      <c r="E2175" s="4"/>
      <c r="F2175" s="46"/>
      <c r="G2175" s="4"/>
      <c r="H2175" s="48"/>
      <c r="J2175" s="26" t="str">
        <f t="shared" si="315"/>
        <v/>
      </c>
      <c r="N2175" t="str">
        <f t="shared" si="316"/>
        <v/>
      </c>
      <c r="Q2175" t="str">
        <f t="shared" si="317"/>
        <v/>
      </c>
      <c r="S2175" t="str">
        <f>IF(A2175=1,MAX($S$2:$S2174)+1,IF(OR($I2175&lt;&gt;"",A2175="x"),$S2174,""))</f>
        <v/>
      </c>
      <c r="T2175" t="str">
        <f>IF(D2175=1,MAX($T$2:$T2174)+1,IF(S2175=S2174,$T2174,IF(D2175="x",T2174,IF(D2174="x","",""))))</f>
        <v/>
      </c>
      <c r="U2175" t="str">
        <f>IF(B2175=1,MAX($U$2:$U2174)+1,IF(AND($T2175&lt;&gt;"",$T2175=$T2174),$U2174,IF(B2175="x",U2174,"")))</f>
        <v/>
      </c>
      <c r="V2175" t="str">
        <f>IF(C2175=1,MAX($V$2:$V2174)+1,IF(AND($T2175&lt;&gt;"",$T2175=$T2174),$U2174,IF(C2175="x",V2174,"")))</f>
        <v/>
      </c>
      <c r="X2175" cm="1">
        <f t="array" ref="X2175">IF($I2175&lt;&gt;"",$I2175,INDEX($I$1:$I2175,ROW()-COUNTIFS($T$1:$T2175,"="&amp;$T2175,$S$1:$S2175,"&lt;"&amp;$S2175)))</f>
        <v>0</v>
      </c>
      <c r="Z2175" s="6">
        <f t="shared" si="310"/>
        <v>1</v>
      </c>
      <c r="AA2175" t="e">
        <f t="shared" si="311"/>
        <v>#VALUE!</v>
      </c>
      <c r="AB2175" t="str">
        <f t="shared" si="312"/>
        <v/>
      </c>
      <c r="AC2175" t="e">
        <f t="shared" si="313"/>
        <v>#VALUE!</v>
      </c>
    </row>
    <row r="2176" spans="1:29" x14ac:dyDescent="0.2">
      <c r="A2176" t="str">
        <f t="shared" si="314"/>
        <v/>
      </c>
      <c r="E2176" s="4"/>
      <c r="F2176" s="46"/>
      <c r="G2176" s="4"/>
      <c r="H2176" s="48"/>
      <c r="J2176" s="26" t="str">
        <f t="shared" si="315"/>
        <v/>
      </c>
      <c r="N2176" t="str">
        <f t="shared" si="316"/>
        <v/>
      </c>
      <c r="Q2176" t="str">
        <f t="shared" si="317"/>
        <v/>
      </c>
      <c r="S2176" t="str">
        <f>IF(A2176=1,MAX($S$2:$S2175)+1,IF(OR($I2176&lt;&gt;"",A2176="x"),$S2175,""))</f>
        <v/>
      </c>
      <c r="T2176" t="str">
        <f>IF(D2176=1,MAX($T$2:$T2175)+1,IF(S2176=S2175,$T2175,IF(D2176="x",T2175,IF(D2175="x","",""))))</f>
        <v/>
      </c>
      <c r="U2176" t="str">
        <f>IF(B2176=1,MAX($U$2:$U2175)+1,IF(AND($T2176&lt;&gt;"",$T2176=$T2175),$U2175,IF(B2176="x",U2175,"")))</f>
        <v/>
      </c>
      <c r="V2176" t="str">
        <f>IF(C2176=1,MAX($V$2:$V2175)+1,IF(AND($T2176&lt;&gt;"",$T2176=$T2175),$U2175,IF(C2176="x",V2175,"")))</f>
        <v/>
      </c>
      <c r="X2176" cm="1">
        <f t="array" ref="X2176">IF($I2176&lt;&gt;"",$I2176,INDEX($I$1:$I2176,ROW()-COUNTIFS($T$1:$T2176,"="&amp;$T2176,$S$1:$S2176,"&lt;"&amp;$S2176)))</f>
        <v>0</v>
      </c>
      <c r="Z2176" s="6">
        <f t="shared" si="310"/>
        <v>1</v>
      </c>
      <c r="AA2176" t="e">
        <f t="shared" si="311"/>
        <v>#VALUE!</v>
      </c>
      <c r="AB2176" t="str">
        <f t="shared" si="312"/>
        <v/>
      </c>
      <c r="AC2176" t="e">
        <f t="shared" si="313"/>
        <v>#VALUE!</v>
      </c>
    </row>
    <row r="2177" spans="1:29" x14ac:dyDescent="0.2">
      <c r="A2177" t="str">
        <f t="shared" si="314"/>
        <v/>
      </c>
      <c r="E2177" s="4"/>
      <c r="F2177" s="46"/>
      <c r="G2177" s="4"/>
      <c r="H2177" s="48"/>
      <c r="J2177" s="26" t="str">
        <f t="shared" si="315"/>
        <v/>
      </c>
      <c r="N2177" t="str">
        <f t="shared" si="316"/>
        <v/>
      </c>
      <c r="Q2177" t="str">
        <f t="shared" si="317"/>
        <v/>
      </c>
      <c r="S2177" t="str">
        <f>IF(A2177=1,MAX($S$2:$S2176)+1,IF(OR($I2177&lt;&gt;"",A2177="x"),$S2176,""))</f>
        <v/>
      </c>
      <c r="T2177" t="str">
        <f>IF(D2177=1,MAX($T$2:$T2176)+1,IF(S2177=S2176,$T2176,IF(D2177="x",T2176,IF(D2176="x","",""))))</f>
        <v/>
      </c>
      <c r="U2177" t="str">
        <f>IF(B2177=1,MAX($U$2:$U2176)+1,IF(AND($T2177&lt;&gt;"",$T2177=$T2176),$U2176,IF(B2177="x",U2176,"")))</f>
        <v/>
      </c>
      <c r="V2177" t="str">
        <f>IF(C2177=1,MAX($V$2:$V2176)+1,IF(AND($T2177&lt;&gt;"",$T2177=$T2176),$U2176,IF(C2177="x",V2176,"")))</f>
        <v/>
      </c>
      <c r="X2177" cm="1">
        <f t="array" ref="X2177">IF($I2177&lt;&gt;"",$I2177,INDEX($I$1:$I2177,ROW()-COUNTIFS($T$1:$T2177,"="&amp;$T2177,$S$1:$S2177,"&lt;"&amp;$S2177)))</f>
        <v>0</v>
      </c>
      <c r="Z2177" s="6">
        <f t="shared" si="310"/>
        <v>1</v>
      </c>
      <c r="AA2177" t="e">
        <f t="shared" si="311"/>
        <v>#VALUE!</v>
      </c>
      <c r="AB2177" t="str">
        <f t="shared" si="312"/>
        <v/>
      </c>
      <c r="AC2177" t="e">
        <f t="shared" si="313"/>
        <v>#VALUE!</v>
      </c>
    </row>
    <row r="2178" spans="1:29" x14ac:dyDescent="0.2">
      <c r="A2178" t="str">
        <f t="shared" si="314"/>
        <v/>
      </c>
      <c r="E2178" s="4"/>
      <c r="F2178" s="46"/>
      <c r="G2178" s="4"/>
      <c r="H2178" s="48"/>
      <c r="J2178" s="26" t="str">
        <f t="shared" si="315"/>
        <v/>
      </c>
      <c r="N2178" t="str">
        <f t="shared" si="316"/>
        <v/>
      </c>
      <c r="Q2178" t="str">
        <f t="shared" si="317"/>
        <v/>
      </c>
      <c r="S2178" t="str">
        <f>IF(A2178=1,MAX($S$2:$S2177)+1,IF(OR($I2178&lt;&gt;"",A2178="x"),$S2177,""))</f>
        <v/>
      </c>
      <c r="T2178" t="str">
        <f>IF(D2178=1,MAX($T$2:$T2177)+1,IF(S2178=S2177,$T2177,IF(D2178="x",T2177,IF(D2177="x","",""))))</f>
        <v/>
      </c>
      <c r="U2178" t="str">
        <f>IF(B2178=1,MAX($U$2:$U2177)+1,IF(AND($T2178&lt;&gt;"",$T2178=$T2177),$U2177,IF(B2178="x",U2177,"")))</f>
        <v/>
      </c>
      <c r="V2178" t="str">
        <f>IF(C2178=1,MAX($V$2:$V2177)+1,IF(AND($T2178&lt;&gt;"",$T2178=$T2177),$U2177,IF(C2178="x",V2177,"")))</f>
        <v/>
      </c>
      <c r="X2178" cm="1">
        <f t="array" ref="X2178">IF($I2178&lt;&gt;"",$I2178,INDEX($I$1:$I2178,ROW()-COUNTIFS($T$1:$T2178,"="&amp;$T2178,$S$1:$S2178,"&lt;"&amp;$S2178)))</f>
        <v>0</v>
      </c>
      <c r="Z2178" s="6">
        <f t="shared" si="310"/>
        <v>1</v>
      </c>
      <c r="AA2178" t="e">
        <f t="shared" si="311"/>
        <v>#VALUE!</v>
      </c>
      <c r="AB2178" t="str">
        <f t="shared" si="312"/>
        <v/>
      </c>
      <c r="AC2178" t="e">
        <f t="shared" si="313"/>
        <v>#VALUE!</v>
      </c>
    </row>
    <row r="2179" spans="1:29" x14ac:dyDescent="0.2">
      <c r="A2179" t="str">
        <f t="shared" si="314"/>
        <v/>
      </c>
      <c r="E2179" s="4"/>
      <c r="F2179" s="46"/>
      <c r="G2179" s="4"/>
      <c r="H2179" s="48"/>
      <c r="J2179" s="26" t="str">
        <f t="shared" si="315"/>
        <v/>
      </c>
      <c r="N2179" t="str">
        <f t="shared" si="316"/>
        <v/>
      </c>
      <c r="Q2179" t="str">
        <f t="shared" si="317"/>
        <v/>
      </c>
      <c r="S2179" t="str">
        <f>IF(A2179=1,MAX($S$2:$S2178)+1,IF(OR($I2179&lt;&gt;"",A2179="x"),$S2178,""))</f>
        <v/>
      </c>
      <c r="T2179" t="str">
        <f>IF(D2179=1,MAX($T$2:$T2178)+1,IF(S2179=S2178,$T2178,IF(D2179="x",T2178,IF(D2178="x","",""))))</f>
        <v/>
      </c>
      <c r="U2179" t="str">
        <f>IF(B2179=1,MAX($U$2:$U2178)+1,IF(AND($T2179&lt;&gt;"",$T2179=$T2178),$U2178,IF(B2179="x",U2178,"")))</f>
        <v/>
      </c>
      <c r="V2179" t="str">
        <f>IF(C2179=1,MAX($V$2:$V2178)+1,IF(AND($T2179&lt;&gt;"",$T2179=$T2178),$U2178,IF(C2179="x",V2178,"")))</f>
        <v/>
      </c>
      <c r="X2179" cm="1">
        <f t="array" ref="X2179">IF($I2179&lt;&gt;"",$I2179,INDEX($I$1:$I2179,ROW()-COUNTIFS($T$1:$T2179,"="&amp;$T2179,$S$1:$S2179,"&lt;"&amp;$S2179)))</f>
        <v>0</v>
      </c>
      <c r="Z2179" s="6">
        <f t="shared" si="310"/>
        <v>1</v>
      </c>
      <c r="AA2179" t="e">
        <f t="shared" si="311"/>
        <v>#VALUE!</v>
      </c>
      <c r="AB2179" t="str">
        <f t="shared" si="312"/>
        <v/>
      </c>
      <c r="AC2179" t="e">
        <f t="shared" si="313"/>
        <v>#VALUE!</v>
      </c>
    </row>
    <row r="2180" spans="1:29" x14ac:dyDescent="0.2">
      <c r="A2180" t="str">
        <f t="shared" si="314"/>
        <v/>
      </c>
      <c r="E2180" s="4"/>
      <c r="F2180" s="46"/>
      <c r="G2180" s="4"/>
      <c r="H2180" s="48"/>
      <c r="J2180" s="26" t="str">
        <f t="shared" si="315"/>
        <v/>
      </c>
      <c r="N2180" t="str">
        <f t="shared" si="316"/>
        <v/>
      </c>
      <c r="Q2180" t="str">
        <f t="shared" si="317"/>
        <v/>
      </c>
      <c r="S2180" t="str">
        <f>IF(A2180=1,MAX($S$2:$S2179)+1,IF(OR($I2180&lt;&gt;"",A2180="x"),$S2179,""))</f>
        <v/>
      </c>
      <c r="T2180" t="str">
        <f>IF(D2180=1,MAX($T$2:$T2179)+1,IF(S2180=S2179,$T2179,IF(D2180="x",T2179,IF(D2179="x","",""))))</f>
        <v/>
      </c>
      <c r="U2180" t="str">
        <f>IF(B2180=1,MAX($U$2:$U2179)+1,IF(AND($T2180&lt;&gt;"",$T2180=$T2179),$U2179,IF(B2180="x",U2179,"")))</f>
        <v/>
      </c>
      <c r="V2180" t="str">
        <f>IF(C2180=1,MAX($V$2:$V2179)+1,IF(AND($T2180&lt;&gt;"",$T2180=$T2179),$U2179,IF(C2180="x",V2179,"")))</f>
        <v/>
      </c>
      <c r="X2180" cm="1">
        <f t="array" ref="X2180">IF($I2180&lt;&gt;"",$I2180,INDEX($I$1:$I2180,ROW()-COUNTIFS($T$1:$T2180,"="&amp;$T2180,$S$1:$S2180,"&lt;"&amp;$S2180)))</f>
        <v>0</v>
      </c>
      <c r="Z2180" s="6">
        <f t="shared" si="310"/>
        <v>1</v>
      </c>
      <c r="AA2180" t="e">
        <f t="shared" si="311"/>
        <v>#VALUE!</v>
      </c>
      <c r="AB2180" t="str">
        <f t="shared" si="312"/>
        <v/>
      </c>
      <c r="AC2180" t="e">
        <f t="shared" si="313"/>
        <v>#VALUE!</v>
      </c>
    </row>
    <row r="2181" spans="1:29" x14ac:dyDescent="0.2">
      <c r="A2181" t="str">
        <f t="shared" si="314"/>
        <v/>
      </c>
      <c r="E2181" s="4"/>
      <c r="F2181" s="46"/>
      <c r="G2181" s="4"/>
      <c r="H2181" s="48"/>
      <c r="J2181" s="26" t="str">
        <f t="shared" si="315"/>
        <v/>
      </c>
      <c r="N2181" t="str">
        <f t="shared" si="316"/>
        <v/>
      </c>
      <c r="Q2181" t="str">
        <f t="shared" si="317"/>
        <v/>
      </c>
      <c r="S2181" t="str">
        <f>IF(A2181=1,MAX($S$2:$S2180)+1,IF(OR($I2181&lt;&gt;"",A2181="x"),$S2180,""))</f>
        <v/>
      </c>
      <c r="T2181" t="str">
        <f>IF(D2181=1,MAX($T$2:$T2180)+1,IF(S2181=S2180,$T2180,IF(D2181="x",T2180,IF(D2180="x","",""))))</f>
        <v/>
      </c>
      <c r="U2181" t="str">
        <f>IF(B2181=1,MAX($U$2:$U2180)+1,IF(AND($T2181&lt;&gt;"",$T2181=$T2180),$U2180,IF(B2181="x",U2180,"")))</f>
        <v/>
      </c>
      <c r="V2181" t="str">
        <f>IF(C2181=1,MAX($V$2:$V2180)+1,IF(AND($T2181&lt;&gt;"",$T2181=$T2180),$U2180,IF(C2181="x",V2180,"")))</f>
        <v/>
      </c>
      <c r="X2181" cm="1">
        <f t="array" ref="X2181">IF($I2181&lt;&gt;"",$I2181,INDEX($I$1:$I2181,ROW()-COUNTIFS($T$1:$T2181,"="&amp;$T2181,$S$1:$S2181,"&lt;"&amp;$S2181)))</f>
        <v>0</v>
      </c>
      <c r="Z2181" s="6">
        <f t="shared" ref="Z2181:Z2244" si="318">IF(K2181="Intermission",Z2180+1,Z2180)</f>
        <v>1</v>
      </c>
      <c r="AA2181" t="e">
        <f t="shared" ref="AA2181:AA2244" si="319">S2181+1000</f>
        <v>#VALUE!</v>
      </c>
      <c r="AB2181" t="str">
        <f t="shared" ref="AB2181:AB2244" si="320">IF(T2181&lt;&gt;"",9000+T2181,"")</f>
        <v/>
      </c>
      <c r="AC2181" t="e">
        <f t="shared" ref="AC2181:AC2244" si="321">IF(AB2181&lt;&gt;"",AB2181,S2181+1000)</f>
        <v>#VALUE!</v>
      </c>
    </row>
    <row r="2182" spans="1:29" x14ac:dyDescent="0.2">
      <c r="A2182" t="str">
        <f t="shared" si="314"/>
        <v/>
      </c>
      <c r="E2182" s="4"/>
      <c r="F2182" s="46"/>
      <c r="G2182" s="4"/>
      <c r="H2182" s="48"/>
      <c r="J2182" s="26" t="str">
        <f t="shared" si="315"/>
        <v/>
      </c>
      <c r="N2182" t="str">
        <f t="shared" si="316"/>
        <v/>
      </c>
      <c r="Q2182" t="str">
        <f t="shared" si="317"/>
        <v/>
      </c>
      <c r="S2182" t="str">
        <f>IF(A2182=1,MAX($S$2:$S2181)+1,IF(OR($I2182&lt;&gt;"",A2182="x"),$S2181,""))</f>
        <v/>
      </c>
      <c r="T2182" t="str">
        <f>IF(D2182=1,MAX($T$2:$T2181)+1,IF(S2182=S2181,$T2181,IF(D2182="x",T2181,IF(D2181="x","",""))))</f>
        <v/>
      </c>
      <c r="U2182" t="str">
        <f>IF(B2182=1,MAX($U$2:$U2181)+1,IF(AND($T2182&lt;&gt;"",$T2182=$T2181),$U2181,IF(B2182="x",U2181,"")))</f>
        <v/>
      </c>
      <c r="V2182" t="str">
        <f>IF(C2182=1,MAX($V$2:$V2181)+1,IF(AND($T2182&lt;&gt;"",$T2182=$T2181),$U2181,IF(C2182="x",V2181,"")))</f>
        <v/>
      </c>
      <c r="X2182" cm="1">
        <f t="array" ref="X2182">IF($I2182&lt;&gt;"",$I2182,INDEX($I$1:$I2182,ROW()-COUNTIFS($T$1:$T2182,"="&amp;$T2182,$S$1:$S2182,"&lt;"&amp;$S2182)))</f>
        <v>0</v>
      </c>
      <c r="Z2182" s="6">
        <f t="shared" si="318"/>
        <v>1</v>
      </c>
      <c r="AA2182" t="e">
        <f t="shared" si="319"/>
        <v>#VALUE!</v>
      </c>
      <c r="AB2182" t="str">
        <f t="shared" si="320"/>
        <v/>
      </c>
      <c r="AC2182" t="e">
        <f t="shared" si="321"/>
        <v>#VALUE!</v>
      </c>
    </row>
    <row r="2183" spans="1:29" x14ac:dyDescent="0.2">
      <c r="A2183" t="str">
        <f t="shared" si="314"/>
        <v/>
      </c>
      <c r="E2183" s="4"/>
      <c r="F2183" s="46"/>
      <c r="G2183" s="4"/>
      <c r="H2183" s="48"/>
      <c r="J2183" s="26" t="str">
        <f t="shared" si="315"/>
        <v/>
      </c>
      <c r="N2183" t="str">
        <f t="shared" si="316"/>
        <v/>
      </c>
      <c r="Q2183" t="str">
        <f t="shared" si="317"/>
        <v/>
      </c>
      <c r="S2183" t="str">
        <f>IF(A2183=1,MAX($S$2:$S2182)+1,IF(OR($I2183&lt;&gt;"",A2183="x"),$S2182,""))</f>
        <v/>
      </c>
      <c r="T2183" t="str">
        <f>IF(D2183=1,MAX($T$2:$T2182)+1,IF(S2183=S2182,$T2182,IF(D2183="x",T2182,IF(D2182="x","",""))))</f>
        <v/>
      </c>
      <c r="U2183" t="str">
        <f>IF(B2183=1,MAX($U$2:$U2182)+1,IF(AND($T2183&lt;&gt;"",$T2183=$T2182),$U2182,IF(B2183="x",U2182,"")))</f>
        <v/>
      </c>
      <c r="V2183" t="str">
        <f>IF(C2183=1,MAX($V$2:$V2182)+1,IF(AND($T2183&lt;&gt;"",$T2183=$T2182),$U2182,IF(C2183="x",V2182,"")))</f>
        <v/>
      </c>
      <c r="X2183" cm="1">
        <f t="array" ref="X2183">IF($I2183&lt;&gt;"",$I2183,INDEX($I$1:$I2183,ROW()-COUNTIFS($T$1:$T2183,"="&amp;$T2183,$S$1:$S2183,"&lt;"&amp;$S2183)))</f>
        <v>0</v>
      </c>
      <c r="Z2183" s="6">
        <f t="shared" si="318"/>
        <v>1</v>
      </c>
      <c r="AA2183" t="e">
        <f t="shared" si="319"/>
        <v>#VALUE!</v>
      </c>
      <c r="AB2183" t="str">
        <f t="shared" si="320"/>
        <v/>
      </c>
      <c r="AC2183" t="e">
        <f t="shared" si="321"/>
        <v>#VALUE!</v>
      </c>
    </row>
    <row r="2184" spans="1:29" x14ac:dyDescent="0.2">
      <c r="A2184" t="str">
        <f t="shared" si="314"/>
        <v/>
      </c>
      <c r="E2184" s="4"/>
      <c r="F2184" s="46"/>
      <c r="G2184" s="4"/>
      <c r="H2184" s="48"/>
      <c r="J2184" s="26" t="str">
        <f t="shared" si="315"/>
        <v/>
      </c>
      <c r="N2184" t="str">
        <f t="shared" si="316"/>
        <v/>
      </c>
      <c r="Q2184" t="str">
        <f t="shared" si="317"/>
        <v/>
      </c>
      <c r="S2184" t="str">
        <f>IF(A2184=1,MAX($S$2:$S2183)+1,IF(OR($I2184&lt;&gt;"",A2184="x"),$S2183,""))</f>
        <v/>
      </c>
      <c r="T2184" t="str">
        <f>IF(D2184=1,MAX($T$2:$T2183)+1,IF(S2184=S2183,$T2183,IF(D2184="x",T2183,IF(D2183="x","",""))))</f>
        <v/>
      </c>
      <c r="U2184" t="str">
        <f>IF(B2184=1,MAX($U$2:$U2183)+1,IF(AND($T2184&lt;&gt;"",$T2184=$T2183),$U2183,IF(B2184="x",U2183,"")))</f>
        <v/>
      </c>
      <c r="V2184" t="str">
        <f>IF(C2184=1,MAX($V$2:$V2183)+1,IF(AND($T2184&lt;&gt;"",$T2184=$T2183),$U2183,IF(C2184="x",V2183,"")))</f>
        <v/>
      </c>
      <c r="X2184" cm="1">
        <f t="array" ref="X2184">IF($I2184&lt;&gt;"",$I2184,INDEX($I$1:$I2184,ROW()-COUNTIFS($T$1:$T2184,"="&amp;$T2184,$S$1:$S2184,"&lt;"&amp;$S2184)))</f>
        <v>0</v>
      </c>
      <c r="Z2184" s="6">
        <f t="shared" si="318"/>
        <v>1</v>
      </c>
      <c r="AA2184" t="e">
        <f t="shared" si="319"/>
        <v>#VALUE!</v>
      </c>
      <c r="AB2184" t="str">
        <f t="shared" si="320"/>
        <v/>
      </c>
      <c r="AC2184" t="e">
        <f t="shared" si="321"/>
        <v>#VALUE!</v>
      </c>
    </row>
    <row r="2185" spans="1:29" x14ac:dyDescent="0.2">
      <c r="A2185" t="str">
        <f t="shared" si="314"/>
        <v/>
      </c>
      <c r="E2185" s="4"/>
      <c r="F2185" s="46"/>
      <c r="G2185" s="4"/>
      <c r="H2185" s="48"/>
      <c r="J2185" s="26" t="str">
        <f t="shared" si="315"/>
        <v/>
      </c>
      <c r="N2185" t="str">
        <f t="shared" si="316"/>
        <v/>
      </c>
      <c r="Q2185" t="str">
        <f t="shared" si="317"/>
        <v/>
      </c>
      <c r="S2185" t="str">
        <f>IF(A2185=1,MAX($S$2:$S2184)+1,IF(OR($I2185&lt;&gt;"",A2185="x"),$S2184,""))</f>
        <v/>
      </c>
      <c r="T2185" t="str">
        <f>IF(D2185=1,MAX($T$2:$T2184)+1,IF(S2185=S2184,$T2184,IF(D2185="x",T2184,IF(D2184="x","",""))))</f>
        <v/>
      </c>
      <c r="U2185" t="str">
        <f>IF(B2185=1,MAX($U$2:$U2184)+1,IF(AND($T2185&lt;&gt;"",$T2185=$T2184),$U2184,IF(B2185="x",U2184,"")))</f>
        <v/>
      </c>
      <c r="V2185" t="str">
        <f>IF(C2185=1,MAX($V$2:$V2184)+1,IF(AND($T2185&lt;&gt;"",$T2185=$T2184),$U2184,IF(C2185="x",V2184,"")))</f>
        <v/>
      </c>
      <c r="X2185" cm="1">
        <f t="array" ref="X2185">IF($I2185&lt;&gt;"",$I2185,INDEX($I$1:$I2185,ROW()-COUNTIFS($T$1:$T2185,"="&amp;$T2185,$S$1:$S2185,"&lt;"&amp;$S2185)))</f>
        <v>0</v>
      </c>
      <c r="Z2185" s="6">
        <f t="shared" si="318"/>
        <v>1</v>
      </c>
      <c r="AA2185" t="e">
        <f t="shared" si="319"/>
        <v>#VALUE!</v>
      </c>
      <c r="AB2185" t="str">
        <f t="shared" si="320"/>
        <v/>
      </c>
      <c r="AC2185" t="e">
        <f t="shared" si="321"/>
        <v>#VALUE!</v>
      </c>
    </row>
    <row r="2186" spans="1:29" x14ac:dyDescent="0.2">
      <c r="A2186" t="str">
        <f t="shared" si="314"/>
        <v/>
      </c>
      <c r="E2186" s="4"/>
      <c r="F2186" s="46"/>
      <c r="G2186" s="4"/>
      <c r="H2186" s="48"/>
      <c r="J2186" s="26" t="str">
        <f t="shared" si="315"/>
        <v/>
      </c>
      <c r="N2186" t="str">
        <f t="shared" si="316"/>
        <v/>
      </c>
      <c r="Q2186" t="str">
        <f t="shared" si="317"/>
        <v/>
      </c>
      <c r="S2186" t="str">
        <f>IF(A2186=1,MAX($S$2:$S2185)+1,IF(OR($I2186&lt;&gt;"",A2186="x"),$S2185,""))</f>
        <v/>
      </c>
      <c r="T2186" t="str">
        <f>IF(D2186=1,MAX($T$2:$T2185)+1,IF(S2186=S2185,$T2185,IF(D2186="x",T2185,IF(D2185="x","",""))))</f>
        <v/>
      </c>
      <c r="U2186" t="str">
        <f>IF(B2186=1,MAX($U$2:$U2185)+1,IF(AND($T2186&lt;&gt;"",$T2186=$T2185),$U2185,IF(B2186="x",U2185,"")))</f>
        <v/>
      </c>
      <c r="V2186" t="str">
        <f>IF(C2186=1,MAX($V$2:$V2185)+1,IF(AND($T2186&lt;&gt;"",$T2186=$T2185),$U2185,IF(C2186="x",V2185,"")))</f>
        <v/>
      </c>
      <c r="X2186" cm="1">
        <f t="array" ref="X2186">IF($I2186&lt;&gt;"",$I2186,INDEX($I$1:$I2186,ROW()-COUNTIFS($T$1:$T2186,"="&amp;$T2186,$S$1:$S2186,"&lt;"&amp;$S2186)))</f>
        <v>0</v>
      </c>
      <c r="Z2186" s="6">
        <f t="shared" si="318"/>
        <v>1</v>
      </c>
      <c r="AA2186" t="e">
        <f t="shared" si="319"/>
        <v>#VALUE!</v>
      </c>
      <c r="AB2186" t="str">
        <f t="shared" si="320"/>
        <v/>
      </c>
      <c r="AC2186" t="e">
        <f t="shared" si="321"/>
        <v>#VALUE!</v>
      </c>
    </row>
    <row r="2187" spans="1:29" x14ac:dyDescent="0.2">
      <c r="A2187" t="str">
        <f t="shared" si="314"/>
        <v/>
      </c>
      <c r="E2187" s="4"/>
      <c r="F2187" s="46"/>
      <c r="G2187" s="4"/>
      <c r="H2187" s="48"/>
      <c r="J2187" s="26" t="str">
        <f t="shared" si="315"/>
        <v/>
      </c>
      <c r="N2187" t="str">
        <f t="shared" si="316"/>
        <v/>
      </c>
      <c r="Q2187" t="str">
        <f t="shared" si="317"/>
        <v/>
      </c>
      <c r="S2187" t="str">
        <f>IF(A2187=1,MAX($S$2:$S2186)+1,IF(OR($I2187&lt;&gt;"",A2187="x"),$S2186,""))</f>
        <v/>
      </c>
      <c r="T2187" t="str">
        <f>IF(D2187=1,MAX($T$2:$T2186)+1,IF(S2187=S2186,$T2186,IF(D2187="x",T2186,IF(D2186="x","",""))))</f>
        <v/>
      </c>
      <c r="U2187" t="str">
        <f>IF(B2187=1,MAX($U$2:$U2186)+1,IF(AND($T2187&lt;&gt;"",$T2187=$T2186),$U2186,IF(B2187="x",U2186,"")))</f>
        <v/>
      </c>
      <c r="V2187" t="str">
        <f>IF(C2187=1,MAX($V$2:$V2186)+1,IF(AND($T2187&lt;&gt;"",$T2187=$T2186),$U2186,IF(C2187="x",V2186,"")))</f>
        <v/>
      </c>
      <c r="X2187" cm="1">
        <f t="array" ref="X2187">IF($I2187&lt;&gt;"",$I2187,INDEX($I$1:$I2187,ROW()-COUNTIFS($T$1:$T2187,"="&amp;$T2187,$S$1:$S2187,"&lt;"&amp;$S2187)))</f>
        <v>0</v>
      </c>
      <c r="Z2187" s="6">
        <f t="shared" si="318"/>
        <v>1</v>
      </c>
      <c r="AA2187" t="e">
        <f t="shared" si="319"/>
        <v>#VALUE!</v>
      </c>
      <c r="AB2187" t="str">
        <f t="shared" si="320"/>
        <v/>
      </c>
      <c r="AC2187" t="e">
        <f t="shared" si="321"/>
        <v>#VALUE!</v>
      </c>
    </row>
    <row r="2188" spans="1:29" x14ac:dyDescent="0.2">
      <c r="A2188" t="str">
        <f t="shared" si="314"/>
        <v/>
      </c>
      <c r="E2188" s="4"/>
      <c r="F2188" s="46"/>
      <c r="G2188" s="4"/>
      <c r="H2188" s="48"/>
      <c r="J2188" s="26" t="str">
        <f t="shared" si="315"/>
        <v/>
      </c>
      <c r="N2188" t="str">
        <f t="shared" si="316"/>
        <v/>
      </c>
      <c r="Q2188" t="str">
        <f t="shared" si="317"/>
        <v/>
      </c>
      <c r="S2188" t="str">
        <f>IF(A2188=1,MAX($S$2:$S2187)+1,IF(OR($I2188&lt;&gt;"",A2188="x"),$S2187,""))</f>
        <v/>
      </c>
      <c r="T2188" t="str">
        <f>IF(D2188=1,MAX($T$2:$T2187)+1,IF(S2188=S2187,$T2187,IF(D2188="x",T2187,IF(D2187="x","",""))))</f>
        <v/>
      </c>
      <c r="U2188" t="str">
        <f>IF(B2188=1,MAX($U$2:$U2187)+1,IF(AND($T2188&lt;&gt;"",$T2188=$T2187),$U2187,IF(B2188="x",U2187,"")))</f>
        <v/>
      </c>
      <c r="V2188" t="str">
        <f>IF(C2188=1,MAX($V$2:$V2187)+1,IF(AND($T2188&lt;&gt;"",$T2188=$T2187),$U2187,IF(C2188="x",V2187,"")))</f>
        <v/>
      </c>
      <c r="X2188" cm="1">
        <f t="array" ref="X2188">IF($I2188&lt;&gt;"",$I2188,INDEX($I$1:$I2188,ROW()-COUNTIFS($T$1:$T2188,"="&amp;$T2188,$S$1:$S2188,"&lt;"&amp;$S2188)))</f>
        <v>0</v>
      </c>
      <c r="Z2188" s="6">
        <f t="shared" si="318"/>
        <v>1</v>
      </c>
      <c r="AA2188" t="e">
        <f t="shared" si="319"/>
        <v>#VALUE!</v>
      </c>
      <c r="AB2188" t="str">
        <f t="shared" si="320"/>
        <v/>
      </c>
      <c r="AC2188" t="e">
        <f t="shared" si="321"/>
        <v>#VALUE!</v>
      </c>
    </row>
    <row r="2189" spans="1:29" x14ac:dyDescent="0.2">
      <c r="A2189" t="str">
        <f t="shared" si="314"/>
        <v/>
      </c>
      <c r="E2189" s="4"/>
      <c r="F2189" s="46"/>
      <c r="G2189" s="4"/>
      <c r="H2189" s="48"/>
      <c r="J2189" s="26" t="str">
        <f t="shared" si="315"/>
        <v/>
      </c>
      <c r="N2189" t="str">
        <f t="shared" si="316"/>
        <v/>
      </c>
      <c r="Q2189" t="str">
        <f t="shared" si="317"/>
        <v/>
      </c>
      <c r="S2189" t="str">
        <f>IF(A2189=1,MAX($S$2:$S2188)+1,IF(OR($I2189&lt;&gt;"",A2189="x"),$S2188,""))</f>
        <v/>
      </c>
      <c r="T2189" t="str">
        <f>IF(D2189=1,MAX($T$2:$T2188)+1,IF(S2189=S2188,$T2188,IF(D2189="x",T2188,IF(D2188="x","",""))))</f>
        <v/>
      </c>
      <c r="U2189" t="str">
        <f>IF(B2189=1,MAX($U$2:$U2188)+1,IF(AND($T2189&lt;&gt;"",$T2189=$T2188),$U2188,IF(B2189="x",U2188,"")))</f>
        <v/>
      </c>
      <c r="V2189" t="str">
        <f>IF(C2189=1,MAX($V$2:$V2188)+1,IF(AND($T2189&lt;&gt;"",$T2189=$T2188),$U2188,IF(C2189="x",V2188,"")))</f>
        <v/>
      </c>
      <c r="X2189" cm="1">
        <f t="array" ref="X2189">IF($I2189&lt;&gt;"",$I2189,INDEX($I$1:$I2189,ROW()-COUNTIFS($T$1:$T2189,"="&amp;$T2189,$S$1:$S2189,"&lt;"&amp;$S2189)))</f>
        <v>0</v>
      </c>
      <c r="Z2189" s="6">
        <f t="shared" si="318"/>
        <v>1</v>
      </c>
      <c r="AA2189" t="e">
        <f t="shared" si="319"/>
        <v>#VALUE!</v>
      </c>
      <c r="AB2189" t="str">
        <f t="shared" si="320"/>
        <v/>
      </c>
      <c r="AC2189" t="e">
        <f t="shared" si="321"/>
        <v>#VALUE!</v>
      </c>
    </row>
    <row r="2190" spans="1:29" x14ac:dyDescent="0.2">
      <c r="A2190" t="str">
        <f t="shared" si="314"/>
        <v/>
      </c>
      <c r="E2190" s="4"/>
      <c r="F2190" s="46"/>
      <c r="G2190" s="4"/>
      <c r="H2190" s="48"/>
      <c r="J2190" s="26" t="str">
        <f t="shared" si="315"/>
        <v/>
      </c>
      <c r="N2190" t="str">
        <f t="shared" si="316"/>
        <v/>
      </c>
      <c r="Q2190" t="str">
        <f t="shared" si="317"/>
        <v/>
      </c>
      <c r="S2190" t="str">
        <f>IF(A2190=1,MAX($S$2:$S2189)+1,IF(OR($I2190&lt;&gt;"",A2190="x"),$S2189,""))</f>
        <v/>
      </c>
      <c r="T2190" t="str">
        <f>IF(D2190=1,MAX($T$2:$T2189)+1,IF(S2190=S2189,$T2189,IF(D2190="x",T2189,IF(D2189="x","",""))))</f>
        <v/>
      </c>
      <c r="U2190" t="str">
        <f>IF(B2190=1,MAX($U$2:$U2189)+1,IF(AND($T2190&lt;&gt;"",$T2190=$T2189),$U2189,IF(B2190="x",U2189,"")))</f>
        <v/>
      </c>
      <c r="V2190" t="str">
        <f>IF(C2190=1,MAX($V$2:$V2189)+1,IF(AND($T2190&lt;&gt;"",$T2190=$T2189),$U2189,IF(C2190="x",V2189,"")))</f>
        <v/>
      </c>
      <c r="X2190" cm="1">
        <f t="array" ref="X2190">IF($I2190&lt;&gt;"",$I2190,INDEX($I$1:$I2190,ROW()-COUNTIFS($T$1:$T2190,"="&amp;$T2190,$S$1:$S2190,"&lt;"&amp;$S2190)))</f>
        <v>0</v>
      </c>
      <c r="Z2190" s="6">
        <f t="shared" si="318"/>
        <v>1</v>
      </c>
      <c r="AA2190" t="e">
        <f t="shared" si="319"/>
        <v>#VALUE!</v>
      </c>
      <c r="AB2190" t="str">
        <f t="shared" si="320"/>
        <v/>
      </c>
      <c r="AC2190" t="e">
        <f t="shared" si="321"/>
        <v>#VALUE!</v>
      </c>
    </row>
    <row r="2191" spans="1:29" x14ac:dyDescent="0.2">
      <c r="A2191" t="str">
        <f t="shared" si="314"/>
        <v/>
      </c>
      <c r="E2191" s="4"/>
      <c r="F2191" s="46"/>
      <c r="G2191" s="4"/>
      <c r="H2191" s="48"/>
      <c r="J2191" s="26" t="str">
        <f t="shared" si="315"/>
        <v/>
      </c>
      <c r="N2191" t="str">
        <f t="shared" si="316"/>
        <v/>
      </c>
      <c r="Q2191" t="str">
        <f t="shared" si="317"/>
        <v/>
      </c>
      <c r="S2191" t="str">
        <f>IF(A2191=1,MAX($S$2:$S2190)+1,IF(OR($I2191&lt;&gt;"",A2191="x"),$S2190,""))</f>
        <v/>
      </c>
      <c r="T2191" t="str">
        <f>IF(D2191=1,MAX($T$2:$T2190)+1,IF(S2191=S2190,$T2190,IF(D2191="x",T2190,IF(D2190="x","",""))))</f>
        <v/>
      </c>
      <c r="U2191" t="str">
        <f>IF(B2191=1,MAX($U$2:$U2190)+1,IF(AND($T2191&lt;&gt;"",$T2191=$T2190),$U2190,IF(B2191="x",U2190,"")))</f>
        <v/>
      </c>
      <c r="V2191" t="str">
        <f>IF(C2191=1,MAX($V$2:$V2190)+1,IF(AND($T2191&lt;&gt;"",$T2191=$T2190),$U2190,IF(C2191="x",V2190,"")))</f>
        <v/>
      </c>
      <c r="X2191" cm="1">
        <f t="array" ref="X2191">IF($I2191&lt;&gt;"",$I2191,INDEX($I$1:$I2191,ROW()-COUNTIFS($T$1:$T2191,"="&amp;$T2191,$S$1:$S2191,"&lt;"&amp;$S2191)))</f>
        <v>0</v>
      </c>
      <c r="Z2191" s="6">
        <f t="shared" si="318"/>
        <v>1</v>
      </c>
      <c r="AA2191" t="e">
        <f t="shared" si="319"/>
        <v>#VALUE!</v>
      </c>
      <c r="AB2191" t="str">
        <f t="shared" si="320"/>
        <v/>
      </c>
      <c r="AC2191" t="e">
        <f t="shared" si="321"/>
        <v>#VALUE!</v>
      </c>
    </row>
    <row r="2192" spans="1:29" x14ac:dyDescent="0.2">
      <c r="A2192" t="str">
        <f t="shared" si="314"/>
        <v/>
      </c>
      <c r="E2192" s="4"/>
      <c r="F2192" s="46"/>
      <c r="G2192" s="4"/>
      <c r="H2192" s="48"/>
      <c r="J2192" s="26" t="str">
        <f t="shared" si="315"/>
        <v/>
      </c>
      <c r="N2192" t="str">
        <f t="shared" si="316"/>
        <v/>
      </c>
      <c r="Q2192" t="str">
        <f t="shared" si="317"/>
        <v/>
      </c>
      <c r="S2192" t="str">
        <f>IF(A2192=1,MAX($S$2:$S2191)+1,IF(OR($I2192&lt;&gt;"",A2192="x"),$S2191,""))</f>
        <v/>
      </c>
      <c r="T2192" t="str">
        <f>IF(D2192=1,MAX($T$2:$T2191)+1,IF(S2192=S2191,$T2191,IF(D2192="x",T2191,IF(D2191="x","",""))))</f>
        <v/>
      </c>
      <c r="U2192" t="str">
        <f>IF(B2192=1,MAX($U$2:$U2191)+1,IF(AND($T2192&lt;&gt;"",$T2192=$T2191),$U2191,IF(B2192="x",U2191,"")))</f>
        <v/>
      </c>
      <c r="V2192" t="str">
        <f>IF(C2192=1,MAX($V$2:$V2191)+1,IF(AND($T2192&lt;&gt;"",$T2192=$T2191),$U2191,IF(C2192="x",V2191,"")))</f>
        <v/>
      </c>
      <c r="X2192" cm="1">
        <f t="array" ref="X2192">IF($I2192&lt;&gt;"",$I2192,INDEX($I$1:$I2192,ROW()-COUNTIFS($T$1:$T2192,"="&amp;$T2192,$S$1:$S2192,"&lt;"&amp;$S2192)))</f>
        <v>0</v>
      </c>
      <c r="Z2192" s="6">
        <f t="shared" si="318"/>
        <v>1</v>
      </c>
      <c r="AA2192" t="e">
        <f t="shared" si="319"/>
        <v>#VALUE!</v>
      </c>
      <c r="AB2192" t="str">
        <f t="shared" si="320"/>
        <v/>
      </c>
      <c r="AC2192" t="e">
        <f t="shared" si="321"/>
        <v>#VALUE!</v>
      </c>
    </row>
    <row r="2193" spans="1:29" x14ac:dyDescent="0.2">
      <c r="A2193" t="str">
        <f t="shared" si="314"/>
        <v/>
      </c>
      <c r="E2193" s="4"/>
      <c r="F2193" s="46"/>
      <c r="G2193" s="4"/>
      <c r="H2193" s="48"/>
      <c r="J2193" s="26" t="str">
        <f t="shared" si="315"/>
        <v/>
      </c>
      <c r="N2193" t="str">
        <f t="shared" si="316"/>
        <v/>
      </c>
      <c r="Q2193" t="str">
        <f t="shared" si="317"/>
        <v/>
      </c>
      <c r="S2193" t="str">
        <f>IF(A2193=1,MAX($S$2:$S2192)+1,IF(OR($I2193&lt;&gt;"",A2193="x"),$S2192,""))</f>
        <v/>
      </c>
      <c r="T2193" t="str">
        <f>IF(D2193=1,MAX($T$2:$T2192)+1,IF(S2193=S2192,$T2192,IF(D2193="x",T2192,IF(D2192="x","",""))))</f>
        <v/>
      </c>
      <c r="U2193" t="str">
        <f>IF(B2193=1,MAX($U$2:$U2192)+1,IF(AND($T2193&lt;&gt;"",$T2193=$T2192),$U2192,IF(B2193="x",U2192,"")))</f>
        <v/>
      </c>
      <c r="V2193" t="str">
        <f>IF(C2193=1,MAX($V$2:$V2192)+1,IF(AND($T2193&lt;&gt;"",$T2193=$T2192),$U2192,IF(C2193="x",V2192,"")))</f>
        <v/>
      </c>
      <c r="X2193" cm="1">
        <f t="array" ref="X2193">IF($I2193&lt;&gt;"",$I2193,INDEX($I$1:$I2193,ROW()-COUNTIFS($T$1:$T2193,"="&amp;$T2193,$S$1:$S2193,"&lt;"&amp;$S2193)))</f>
        <v>0</v>
      </c>
      <c r="Z2193" s="6">
        <f t="shared" si="318"/>
        <v>1</v>
      </c>
      <c r="AA2193" t="e">
        <f t="shared" si="319"/>
        <v>#VALUE!</v>
      </c>
      <c r="AB2193" t="str">
        <f t="shared" si="320"/>
        <v/>
      </c>
      <c r="AC2193" t="e">
        <f t="shared" si="321"/>
        <v>#VALUE!</v>
      </c>
    </row>
    <row r="2194" spans="1:29" x14ac:dyDescent="0.2">
      <c r="A2194" t="str">
        <f t="shared" si="314"/>
        <v/>
      </c>
      <c r="E2194" s="4"/>
      <c r="F2194" s="46"/>
      <c r="G2194" s="4"/>
      <c r="H2194" s="48"/>
      <c r="J2194" s="26" t="str">
        <f t="shared" si="315"/>
        <v/>
      </c>
      <c r="N2194" t="str">
        <f t="shared" si="316"/>
        <v/>
      </c>
      <c r="Q2194" t="str">
        <f t="shared" si="317"/>
        <v/>
      </c>
      <c r="S2194" t="str">
        <f>IF(A2194=1,MAX($S$2:$S2193)+1,IF(OR($I2194&lt;&gt;"",A2194="x"),$S2193,""))</f>
        <v/>
      </c>
      <c r="T2194" t="str">
        <f>IF(D2194=1,MAX($T$2:$T2193)+1,IF(S2194=S2193,$T2193,IF(D2194="x",T2193,IF(D2193="x","",""))))</f>
        <v/>
      </c>
      <c r="U2194" t="str">
        <f>IF(B2194=1,MAX($U$2:$U2193)+1,IF(AND($T2194&lt;&gt;"",$T2194=$T2193),$U2193,IF(B2194="x",U2193,"")))</f>
        <v/>
      </c>
      <c r="V2194" t="str">
        <f>IF(C2194=1,MAX($V$2:$V2193)+1,IF(AND($T2194&lt;&gt;"",$T2194=$T2193),$U2193,IF(C2194="x",V2193,"")))</f>
        <v/>
      </c>
      <c r="X2194" cm="1">
        <f t="array" ref="X2194">IF($I2194&lt;&gt;"",$I2194,INDEX($I$1:$I2194,ROW()-COUNTIFS($T$1:$T2194,"="&amp;$T2194,$S$1:$S2194,"&lt;"&amp;$S2194)))</f>
        <v>0</v>
      </c>
      <c r="Z2194" s="6">
        <f t="shared" si="318"/>
        <v>1</v>
      </c>
      <c r="AA2194" t="e">
        <f t="shared" si="319"/>
        <v>#VALUE!</v>
      </c>
      <c r="AB2194" t="str">
        <f t="shared" si="320"/>
        <v/>
      </c>
      <c r="AC2194" t="e">
        <f t="shared" si="321"/>
        <v>#VALUE!</v>
      </c>
    </row>
    <row r="2195" spans="1:29" x14ac:dyDescent="0.2">
      <c r="A2195" t="str">
        <f t="shared" ref="A2195:A2258" si="322">IF(K2195&lt;&gt;"",1,IF(D2195="x","x",""))</f>
        <v/>
      </c>
      <c r="E2195" s="4"/>
      <c r="F2195" s="46"/>
      <c r="G2195" s="4"/>
      <c r="H2195" s="48"/>
      <c r="J2195" s="26" t="str">
        <f t="shared" ref="J2195:J2258" si="323">IF(OR(K2195="Goal",K2195="Shot",L2195="Zone_Entry",M2195="Stoppage-Goal",M2194="Stoppage-Goal"),"o",IF(OR(K2195="Save",K2195="Rebound",L2195="Zone_Exit",M2195="Stoppage-GoalieStoppage",M2194="Stoppage-GoalieStoppage"),"d",IF(OR(L2195="Faceoff_AfterGoal",L2195="Faceoff_PeriodStart",698="Faceoff_GameStart",M2194="Stoppage-Goal"),"n","")))</f>
        <v/>
      </c>
      <c r="N2195" t="str">
        <f t="shared" ref="N2195:N2258" si="324">IF(K2195="","",IF(K2195="Goal","s",IF(AND(K2195="Zone_Entry_Exit",OR(ISNUMBER(SEARCH("fail",L2195)),ISNUMBER(SEARCH("FromExitClear",M2195)),ISNUMBER(SEARCH("miss",M2195)))),"u",IF(AND(K2195="Zone_Entry_Exit",OR(NOT(ISNUMBER(SEARCH("fail",L2195))),NOT(ISNUMBER(SEARCH("FromExitClear",M2195))),NOT(ISNUMBER(SEARCH("miss",M2195))))),"s",IF(AND(OR(K2195="Shot",K2195="Pass"),OR(ISNUMBER(SEARCH("complete",L2195)),ISNUMBER(SEARCH("goal",L2195)),ISNUMBER(SEARCH("OnNet",L2195)))),"s",IF(L2195="Turnover_Giveaway","u",IF(AND(OR(K2195="Shot",K2195="Pass"),OR(ISNUMBER(SEARCH("fail",L2195)),NOT(ISNUMBER(SEARCH("complete",L2195))),NOT(ISNUMBER(SEARCH("OnNet",L2195))))),"u","")))))))</f>
        <v/>
      </c>
      <c r="Q2195" t="str">
        <f t="shared" ref="Q2195:Q2258" si="325">IF(O2195="","",IF(AND(N2195&lt;&gt;"",OR(O2195&lt;&gt;"",P2195&lt;&gt;"")),N2195,IF(OR(ISNUMBER(SEARCH("attemp",O2195)),ISNUMBER(SEARCH("beat",O2195)),ISNUMBER(SEARCH("mis",O2195)),ISNUMBER(SEARCH("fail",O2195)),ISNUMBER(SEARCH("loss",O2195)),ISNUMBER(SEARCH("lost",O2195)),ISNUMBER(SEARCH("attemp",P2195)),ISNUMBER(SEARCH("mis",P2195)),ISNUMBER(SEARCH("fail",P2195)),ISNUMBER(SEARCH("loss",P2195)),ISNUMBER(SEARCH("beat",P2195)),ISNUMBER(SEARCH("lost",P2195))),"u","")))</f>
        <v/>
      </c>
      <c r="S2195" t="str">
        <f>IF(A2195=1,MAX($S$2:$S2194)+1,IF(OR($I2195&lt;&gt;"",A2195="x"),$S2194,""))</f>
        <v/>
      </c>
      <c r="T2195" t="str">
        <f>IF(D2195=1,MAX($T$2:$T2194)+1,IF(S2195=S2194,$T2194,IF(D2195="x",T2194,IF(D2194="x","",""))))</f>
        <v/>
      </c>
      <c r="U2195" t="str">
        <f>IF(B2195=1,MAX($U$2:$U2194)+1,IF(AND($T2195&lt;&gt;"",$T2195=$T2194),$U2194,IF(B2195="x",U2194,"")))</f>
        <v/>
      </c>
      <c r="V2195" t="str">
        <f>IF(C2195=1,MAX($V$2:$V2194)+1,IF(AND($T2195&lt;&gt;"",$T2195=$T2194),$U2194,IF(C2195="x",V2194,"")))</f>
        <v/>
      </c>
      <c r="X2195" cm="1">
        <f t="array" ref="X2195">IF($I2195&lt;&gt;"",$I2195,INDEX($I$1:$I2195,ROW()-COUNTIFS($T$1:$T2195,"="&amp;$T2195,$S$1:$S2195,"&lt;"&amp;$S2195)))</f>
        <v>0</v>
      </c>
      <c r="Z2195" s="6">
        <f t="shared" si="318"/>
        <v>1</v>
      </c>
      <c r="AA2195" t="e">
        <f t="shared" si="319"/>
        <v>#VALUE!</v>
      </c>
      <c r="AB2195" t="str">
        <f t="shared" si="320"/>
        <v/>
      </c>
      <c r="AC2195" t="e">
        <f t="shared" si="321"/>
        <v>#VALUE!</v>
      </c>
    </row>
    <row r="2196" spans="1:29" x14ac:dyDescent="0.2">
      <c r="A2196" t="str">
        <f t="shared" si="322"/>
        <v/>
      </c>
      <c r="E2196" s="4"/>
      <c r="F2196" s="46"/>
      <c r="G2196" s="4"/>
      <c r="H2196" s="48"/>
      <c r="J2196" s="26" t="str">
        <f t="shared" si="323"/>
        <v/>
      </c>
      <c r="N2196" t="str">
        <f t="shared" si="324"/>
        <v/>
      </c>
      <c r="Q2196" t="str">
        <f t="shared" si="325"/>
        <v/>
      </c>
      <c r="S2196" t="str">
        <f>IF(A2196=1,MAX($S$2:$S2195)+1,IF(OR($I2196&lt;&gt;"",A2196="x"),$S2195,""))</f>
        <v/>
      </c>
      <c r="T2196" t="str">
        <f>IF(D2196=1,MAX($T$2:$T2195)+1,IF(S2196=S2195,$T2195,IF(D2196="x",T2195,IF(D2195="x","",""))))</f>
        <v/>
      </c>
      <c r="U2196" t="str">
        <f>IF(B2196=1,MAX($U$2:$U2195)+1,IF(AND($T2196&lt;&gt;"",$T2196=$T2195),$U2195,IF(B2196="x",U2195,"")))</f>
        <v/>
      </c>
      <c r="V2196" t="str">
        <f>IF(C2196=1,MAX($V$2:$V2195)+1,IF(AND($T2196&lt;&gt;"",$T2196=$T2195),$U2195,IF(C2196="x",V2195,"")))</f>
        <v/>
      </c>
      <c r="X2196" cm="1">
        <f t="array" ref="X2196">IF($I2196&lt;&gt;"",$I2196,INDEX($I$1:$I2196,ROW()-COUNTIFS($T$1:$T2196,"="&amp;$T2196,$S$1:$S2196,"&lt;"&amp;$S2196)))</f>
        <v>0</v>
      </c>
      <c r="Z2196" s="6">
        <f t="shared" si="318"/>
        <v>1</v>
      </c>
      <c r="AA2196" t="e">
        <f t="shared" si="319"/>
        <v>#VALUE!</v>
      </c>
      <c r="AB2196" t="str">
        <f t="shared" si="320"/>
        <v/>
      </c>
      <c r="AC2196" t="e">
        <f t="shared" si="321"/>
        <v>#VALUE!</v>
      </c>
    </row>
    <row r="2197" spans="1:29" x14ac:dyDescent="0.2">
      <c r="A2197" t="str">
        <f t="shared" si="322"/>
        <v/>
      </c>
      <c r="E2197" s="4"/>
      <c r="F2197" s="46"/>
      <c r="G2197" s="4"/>
      <c r="H2197" s="48"/>
      <c r="J2197" s="26" t="str">
        <f t="shared" si="323"/>
        <v/>
      </c>
      <c r="N2197" t="str">
        <f t="shared" si="324"/>
        <v/>
      </c>
      <c r="Q2197" t="str">
        <f t="shared" si="325"/>
        <v/>
      </c>
      <c r="S2197" t="str">
        <f>IF(A2197=1,MAX($S$2:$S2196)+1,IF(OR($I2197&lt;&gt;"",A2197="x"),$S2196,""))</f>
        <v/>
      </c>
      <c r="T2197" t="str">
        <f>IF(D2197=1,MAX($T$2:$T2196)+1,IF(S2197=S2196,$T2196,IF(D2197="x",T2196,IF(D2196="x","",""))))</f>
        <v/>
      </c>
      <c r="U2197" t="str">
        <f>IF(B2197=1,MAX($U$2:$U2196)+1,IF(AND($T2197&lt;&gt;"",$T2197=$T2196),$U2196,IF(B2197="x",U2196,"")))</f>
        <v/>
      </c>
      <c r="V2197" t="str">
        <f>IF(C2197=1,MAX($V$2:$V2196)+1,IF(AND($T2197&lt;&gt;"",$T2197=$T2196),$U2196,IF(C2197="x",V2196,"")))</f>
        <v/>
      </c>
      <c r="X2197" cm="1">
        <f t="array" ref="X2197">IF($I2197&lt;&gt;"",$I2197,INDEX($I$1:$I2197,ROW()-COUNTIFS($T$1:$T2197,"="&amp;$T2197,$S$1:$S2197,"&lt;"&amp;$S2197)))</f>
        <v>0</v>
      </c>
      <c r="Z2197" s="6">
        <f t="shared" si="318"/>
        <v>1</v>
      </c>
      <c r="AA2197" t="e">
        <f t="shared" si="319"/>
        <v>#VALUE!</v>
      </c>
      <c r="AB2197" t="str">
        <f t="shared" si="320"/>
        <v/>
      </c>
      <c r="AC2197" t="e">
        <f t="shared" si="321"/>
        <v>#VALUE!</v>
      </c>
    </row>
    <row r="2198" spans="1:29" x14ac:dyDescent="0.2">
      <c r="A2198" t="str">
        <f t="shared" si="322"/>
        <v/>
      </c>
      <c r="E2198" s="4"/>
      <c r="F2198" s="46"/>
      <c r="G2198" s="4"/>
      <c r="H2198" s="48"/>
      <c r="J2198" s="26" t="str">
        <f t="shared" si="323"/>
        <v/>
      </c>
      <c r="N2198" t="str">
        <f t="shared" si="324"/>
        <v/>
      </c>
      <c r="Q2198" t="str">
        <f t="shared" si="325"/>
        <v/>
      </c>
      <c r="S2198" t="str">
        <f>IF(A2198=1,MAX($S$2:$S2197)+1,IF(OR($I2198&lt;&gt;"",A2198="x"),$S2197,""))</f>
        <v/>
      </c>
      <c r="T2198" t="str">
        <f>IF(D2198=1,MAX($T$2:$T2197)+1,IF(S2198=S2197,$T2197,IF(D2198="x",T2197,IF(D2197="x","",""))))</f>
        <v/>
      </c>
      <c r="U2198" t="str">
        <f>IF(B2198=1,MAX($U$2:$U2197)+1,IF(AND($T2198&lt;&gt;"",$T2198=$T2197),$U2197,IF(B2198="x",U2197,"")))</f>
        <v/>
      </c>
      <c r="V2198" t="str">
        <f>IF(C2198=1,MAX($V$2:$V2197)+1,IF(AND($T2198&lt;&gt;"",$T2198=$T2197),$U2197,IF(C2198="x",V2197,"")))</f>
        <v/>
      </c>
      <c r="X2198" cm="1">
        <f t="array" ref="X2198">IF($I2198&lt;&gt;"",$I2198,INDEX($I$1:$I2198,ROW()-COUNTIFS($T$1:$T2198,"="&amp;$T2198,$S$1:$S2198,"&lt;"&amp;$S2198)))</f>
        <v>0</v>
      </c>
      <c r="Z2198" s="6">
        <f t="shared" si="318"/>
        <v>1</v>
      </c>
      <c r="AA2198" t="e">
        <f t="shared" si="319"/>
        <v>#VALUE!</v>
      </c>
      <c r="AB2198" t="str">
        <f t="shared" si="320"/>
        <v/>
      </c>
      <c r="AC2198" t="e">
        <f t="shared" si="321"/>
        <v>#VALUE!</v>
      </c>
    </row>
    <row r="2199" spans="1:29" x14ac:dyDescent="0.2">
      <c r="A2199" t="str">
        <f t="shared" si="322"/>
        <v/>
      </c>
      <c r="E2199" s="4"/>
      <c r="F2199" s="46"/>
      <c r="G2199" s="4"/>
      <c r="H2199" s="48"/>
      <c r="J2199" s="26" t="str">
        <f t="shared" si="323"/>
        <v/>
      </c>
      <c r="N2199" t="str">
        <f t="shared" si="324"/>
        <v/>
      </c>
      <c r="Q2199" t="str">
        <f t="shared" si="325"/>
        <v/>
      </c>
      <c r="S2199" t="str">
        <f>IF(A2199=1,MAX($S$2:$S2198)+1,IF(OR($I2199&lt;&gt;"",A2199="x"),$S2198,""))</f>
        <v/>
      </c>
      <c r="T2199" t="str">
        <f>IF(D2199=1,MAX($T$2:$T2198)+1,IF(S2199=S2198,$T2198,IF(D2199="x",T2198,IF(D2198="x","",""))))</f>
        <v/>
      </c>
      <c r="U2199" t="str">
        <f>IF(B2199=1,MAX($U$2:$U2198)+1,IF(AND($T2199&lt;&gt;"",$T2199=$T2198),$U2198,IF(B2199="x",U2198,"")))</f>
        <v/>
      </c>
      <c r="V2199" t="str">
        <f>IF(C2199=1,MAX($V$2:$V2198)+1,IF(AND($T2199&lt;&gt;"",$T2199=$T2198),$U2198,IF(C2199="x",V2198,"")))</f>
        <v/>
      </c>
      <c r="X2199" cm="1">
        <f t="array" ref="X2199">IF($I2199&lt;&gt;"",$I2199,INDEX($I$1:$I2199,ROW()-COUNTIFS($T$1:$T2199,"="&amp;$T2199,$S$1:$S2199,"&lt;"&amp;$S2199)))</f>
        <v>0</v>
      </c>
      <c r="Z2199" s="6">
        <f t="shared" si="318"/>
        <v>1</v>
      </c>
      <c r="AA2199" t="e">
        <f t="shared" si="319"/>
        <v>#VALUE!</v>
      </c>
      <c r="AB2199" t="str">
        <f t="shared" si="320"/>
        <v/>
      </c>
      <c r="AC2199" t="e">
        <f t="shared" si="321"/>
        <v>#VALUE!</v>
      </c>
    </row>
    <row r="2200" spans="1:29" x14ac:dyDescent="0.2">
      <c r="A2200" t="str">
        <f t="shared" si="322"/>
        <v/>
      </c>
      <c r="E2200" s="4"/>
      <c r="F2200" s="46"/>
      <c r="G2200" s="4"/>
      <c r="H2200" s="48"/>
      <c r="J2200" s="26" t="str">
        <f t="shared" si="323"/>
        <v/>
      </c>
      <c r="N2200" t="str">
        <f t="shared" si="324"/>
        <v/>
      </c>
      <c r="Q2200" t="str">
        <f t="shared" si="325"/>
        <v/>
      </c>
      <c r="S2200" t="str">
        <f>IF(A2200=1,MAX($S$2:$S2199)+1,IF(OR($I2200&lt;&gt;"",A2200="x"),$S2199,""))</f>
        <v/>
      </c>
      <c r="T2200" t="str">
        <f>IF(D2200=1,MAX($T$2:$T2199)+1,IF(S2200=S2199,$T2199,IF(D2200="x",T2199,IF(D2199="x","",""))))</f>
        <v/>
      </c>
      <c r="U2200" t="str">
        <f>IF(B2200=1,MAX($U$2:$U2199)+1,IF(AND($T2200&lt;&gt;"",$T2200=$T2199),$U2199,IF(B2200="x",U2199,"")))</f>
        <v/>
      </c>
      <c r="V2200" t="str">
        <f>IF(C2200=1,MAX($V$2:$V2199)+1,IF(AND($T2200&lt;&gt;"",$T2200=$T2199),$U2199,IF(C2200="x",V2199,"")))</f>
        <v/>
      </c>
      <c r="X2200" cm="1">
        <f t="array" ref="X2200">IF($I2200&lt;&gt;"",$I2200,INDEX($I$1:$I2200,ROW()-COUNTIFS($T$1:$T2200,"="&amp;$T2200,$S$1:$S2200,"&lt;"&amp;$S2200)))</f>
        <v>0</v>
      </c>
      <c r="Z2200" s="6">
        <f t="shared" si="318"/>
        <v>1</v>
      </c>
      <c r="AA2200" t="e">
        <f t="shared" si="319"/>
        <v>#VALUE!</v>
      </c>
      <c r="AB2200" t="str">
        <f t="shared" si="320"/>
        <v/>
      </c>
      <c r="AC2200" t="e">
        <f t="shared" si="321"/>
        <v>#VALUE!</v>
      </c>
    </row>
    <row r="2201" spans="1:29" x14ac:dyDescent="0.2">
      <c r="A2201" t="str">
        <f t="shared" si="322"/>
        <v/>
      </c>
      <c r="E2201" s="4"/>
      <c r="F2201" s="46"/>
      <c r="G2201" s="4"/>
      <c r="H2201" s="48"/>
      <c r="J2201" s="26" t="str">
        <f t="shared" si="323"/>
        <v/>
      </c>
      <c r="N2201" t="str">
        <f t="shared" si="324"/>
        <v/>
      </c>
      <c r="Q2201" t="str">
        <f t="shared" si="325"/>
        <v/>
      </c>
      <c r="S2201" t="str">
        <f>IF(A2201=1,MAX($S$2:$S2200)+1,IF(OR($I2201&lt;&gt;"",A2201="x"),$S2200,""))</f>
        <v/>
      </c>
      <c r="T2201" t="str">
        <f>IF(D2201=1,MAX($T$2:$T2200)+1,IF(S2201=S2200,$T2200,IF(D2201="x",T2200,IF(D2200="x","",""))))</f>
        <v/>
      </c>
      <c r="U2201" t="str">
        <f>IF(B2201=1,MAX($U$2:$U2200)+1,IF(AND($T2201&lt;&gt;"",$T2201=$T2200),$U2200,IF(B2201="x",U2200,"")))</f>
        <v/>
      </c>
      <c r="V2201" t="str">
        <f>IF(C2201=1,MAX($V$2:$V2200)+1,IF(AND($T2201&lt;&gt;"",$T2201=$T2200),$U2200,IF(C2201="x",V2200,"")))</f>
        <v/>
      </c>
      <c r="X2201" cm="1">
        <f t="array" ref="X2201">IF($I2201&lt;&gt;"",$I2201,INDEX($I$1:$I2201,ROW()-COUNTIFS($T$1:$T2201,"="&amp;$T2201,$S$1:$S2201,"&lt;"&amp;$S2201)))</f>
        <v>0</v>
      </c>
      <c r="Z2201" s="6">
        <f t="shared" si="318"/>
        <v>1</v>
      </c>
      <c r="AA2201" t="e">
        <f t="shared" si="319"/>
        <v>#VALUE!</v>
      </c>
      <c r="AB2201" t="str">
        <f t="shared" si="320"/>
        <v/>
      </c>
      <c r="AC2201" t="e">
        <f t="shared" si="321"/>
        <v>#VALUE!</v>
      </c>
    </row>
    <row r="2202" spans="1:29" x14ac:dyDescent="0.2">
      <c r="A2202" t="str">
        <f t="shared" si="322"/>
        <v/>
      </c>
      <c r="E2202" s="4"/>
      <c r="F2202" s="46"/>
      <c r="G2202" s="4"/>
      <c r="H2202" s="48"/>
      <c r="J2202" s="26" t="str">
        <f t="shared" si="323"/>
        <v/>
      </c>
      <c r="N2202" t="str">
        <f t="shared" si="324"/>
        <v/>
      </c>
      <c r="Q2202" t="str">
        <f t="shared" si="325"/>
        <v/>
      </c>
      <c r="S2202" t="str">
        <f>IF(A2202=1,MAX($S$2:$S2201)+1,IF(OR($I2202&lt;&gt;"",A2202="x"),$S2201,""))</f>
        <v/>
      </c>
      <c r="T2202" t="str">
        <f>IF(D2202=1,MAX($T$2:$T2201)+1,IF(S2202=S2201,$T2201,IF(D2202="x",T2201,IF(D2201="x","",""))))</f>
        <v/>
      </c>
      <c r="U2202" t="str">
        <f>IF(B2202=1,MAX($U$2:$U2201)+1,IF(AND($T2202&lt;&gt;"",$T2202=$T2201),$U2201,IF(B2202="x",U2201,"")))</f>
        <v/>
      </c>
      <c r="V2202" t="str">
        <f>IF(C2202=1,MAX($V$2:$V2201)+1,IF(AND($T2202&lt;&gt;"",$T2202=$T2201),$U2201,IF(C2202="x",V2201,"")))</f>
        <v/>
      </c>
      <c r="X2202" cm="1">
        <f t="array" ref="X2202">IF($I2202&lt;&gt;"",$I2202,INDEX($I$1:$I2202,ROW()-COUNTIFS($T$1:$T2202,"="&amp;$T2202,$S$1:$S2202,"&lt;"&amp;$S2202)))</f>
        <v>0</v>
      </c>
      <c r="Z2202" s="6">
        <f t="shared" si="318"/>
        <v>1</v>
      </c>
      <c r="AA2202" t="e">
        <f t="shared" si="319"/>
        <v>#VALUE!</v>
      </c>
      <c r="AB2202" t="str">
        <f t="shared" si="320"/>
        <v/>
      </c>
      <c r="AC2202" t="e">
        <f t="shared" si="321"/>
        <v>#VALUE!</v>
      </c>
    </row>
    <row r="2203" spans="1:29" x14ac:dyDescent="0.2">
      <c r="A2203" t="str">
        <f t="shared" si="322"/>
        <v/>
      </c>
      <c r="E2203" s="4"/>
      <c r="F2203" s="46"/>
      <c r="G2203" s="4"/>
      <c r="H2203" s="48"/>
      <c r="J2203" s="26" t="str">
        <f t="shared" si="323"/>
        <v/>
      </c>
      <c r="N2203" t="str">
        <f t="shared" si="324"/>
        <v/>
      </c>
      <c r="Q2203" t="str">
        <f t="shared" si="325"/>
        <v/>
      </c>
      <c r="S2203" t="str">
        <f>IF(A2203=1,MAX($S$2:$S2202)+1,IF(OR($I2203&lt;&gt;"",A2203="x"),$S2202,""))</f>
        <v/>
      </c>
      <c r="T2203" t="str">
        <f>IF(D2203=1,MAX($T$2:$T2202)+1,IF(S2203=S2202,$T2202,IF(D2203="x",T2202,IF(D2202="x","",""))))</f>
        <v/>
      </c>
      <c r="U2203" t="str">
        <f>IF(B2203=1,MAX($U$2:$U2202)+1,IF(AND($T2203&lt;&gt;"",$T2203=$T2202),$U2202,IF(B2203="x",U2202,"")))</f>
        <v/>
      </c>
      <c r="V2203" t="str">
        <f>IF(C2203=1,MAX($V$2:$V2202)+1,IF(AND($T2203&lt;&gt;"",$T2203=$T2202),$U2202,IF(C2203="x",V2202,"")))</f>
        <v/>
      </c>
      <c r="X2203" cm="1">
        <f t="array" ref="X2203">IF($I2203&lt;&gt;"",$I2203,INDEX($I$1:$I2203,ROW()-COUNTIFS($T$1:$T2203,"="&amp;$T2203,$S$1:$S2203,"&lt;"&amp;$S2203)))</f>
        <v>0</v>
      </c>
      <c r="Z2203" s="6">
        <f t="shared" si="318"/>
        <v>1</v>
      </c>
      <c r="AA2203" t="e">
        <f t="shared" si="319"/>
        <v>#VALUE!</v>
      </c>
      <c r="AB2203" t="str">
        <f t="shared" si="320"/>
        <v/>
      </c>
      <c r="AC2203" t="e">
        <f t="shared" si="321"/>
        <v>#VALUE!</v>
      </c>
    </row>
    <row r="2204" spans="1:29" x14ac:dyDescent="0.2">
      <c r="A2204" t="str">
        <f t="shared" si="322"/>
        <v/>
      </c>
      <c r="E2204" s="4"/>
      <c r="F2204" s="46"/>
      <c r="G2204" s="4"/>
      <c r="H2204" s="48"/>
      <c r="J2204" s="26" t="str">
        <f t="shared" si="323"/>
        <v/>
      </c>
      <c r="N2204" t="str">
        <f t="shared" si="324"/>
        <v/>
      </c>
      <c r="Q2204" t="str">
        <f t="shared" si="325"/>
        <v/>
      </c>
      <c r="S2204" t="str">
        <f>IF(A2204=1,MAX($S$2:$S2203)+1,IF(OR($I2204&lt;&gt;"",A2204="x"),$S2203,""))</f>
        <v/>
      </c>
      <c r="T2204" t="str">
        <f>IF(D2204=1,MAX($T$2:$T2203)+1,IF(S2204=S2203,$T2203,IF(D2204="x",T2203,IF(D2203="x","",""))))</f>
        <v/>
      </c>
      <c r="U2204" t="str">
        <f>IF(B2204=1,MAX($U$2:$U2203)+1,IF(AND($T2204&lt;&gt;"",$T2204=$T2203),$U2203,IF(B2204="x",U2203,"")))</f>
        <v/>
      </c>
      <c r="V2204" t="str">
        <f>IF(C2204=1,MAX($V$2:$V2203)+1,IF(AND($T2204&lt;&gt;"",$T2204=$T2203),$U2203,IF(C2204="x",V2203,"")))</f>
        <v/>
      </c>
      <c r="X2204" cm="1">
        <f t="array" ref="X2204">IF($I2204&lt;&gt;"",$I2204,INDEX($I$1:$I2204,ROW()-COUNTIFS($T$1:$T2204,"="&amp;$T2204,$S$1:$S2204,"&lt;"&amp;$S2204)))</f>
        <v>0</v>
      </c>
      <c r="Z2204" s="6">
        <f t="shared" si="318"/>
        <v>1</v>
      </c>
      <c r="AA2204" t="e">
        <f t="shared" si="319"/>
        <v>#VALUE!</v>
      </c>
      <c r="AB2204" t="str">
        <f t="shared" si="320"/>
        <v/>
      </c>
      <c r="AC2204" t="e">
        <f t="shared" si="321"/>
        <v>#VALUE!</v>
      </c>
    </row>
    <row r="2205" spans="1:29" x14ac:dyDescent="0.2">
      <c r="A2205" t="str">
        <f t="shared" si="322"/>
        <v/>
      </c>
      <c r="E2205" s="4"/>
      <c r="F2205" s="46"/>
      <c r="G2205" s="4"/>
      <c r="H2205" s="48"/>
      <c r="J2205" s="26" t="str">
        <f t="shared" si="323"/>
        <v/>
      </c>
      <c r="N2205" t="str">
        <f t="shared" si="324"/>
        <v/>
      </c>
      <c r="Q2205" t="str">
        <f t="shared" si="325"/>
        <v/>
      </c>
      <c r="S2205" t="str">
        <f>IF(A2205=1,MAX($S$2:$S2204)+1,IF(OR($I2205&lt;&gt;"",A2205="x"),$S2204,""))</f>
        <v/>
      </c>
      <c r="T2205" t="str">
        <f>IF(D2205=1,MAX($T$2:$T2204)+1,IF(S2205=S2204,$T2204,IF(D2205="x",T2204,IF(D2204="x","",""))))</f>
        <v/>
      </c>
      <c r="U2205" t="str">
        <f>IF(B2205=1,MAX($U$2:$U2204)+1,IF(AND($T2205&lt;&gt;"",$T2205=$T2204),$U2204,IF(B2205="x",U2204,"")))</f>
        <v/>
      </c>
      <c r="V2205" t="str">
        <f>IF(C2205=1,MAX($V$2:$V2204)+1,IF(AND($T2205&lt;&gt;"",$T2205=$T2204),$U2204,IF(C2205="x",V2204,"")))</f>
        <v/>
      </c>
      <c r="X2205" cm="1">
        <f t="array" ref="X2205">IF($I2205&lt;&gt;"",$I2205,INDEX($I$1:$I2205,ROW()-COUNTIFS($T$1:$T2205,"="&amp;$T2205,$S$1:$S2205,"&lt;"&amp;$S2205)))</f>
        <v>0</v>
      </c>
      <c r="Z2205" s="6">
        <f t="shared" si="318"/>
        <v>1</v>
      </c>
      <c r="AA2205" t="e">
        <f t="shared" si="319"/>
        <v>#VALUE!</v>
      </c>
      <c r="AB2205" t="str">
        <f t="shared" si="320"/>
        <v/>
      </c>
      <c r="AC2205" t="e">
        <f t="shared" si="321"/>
        <v>#VALUE!</v>
      </c>
    </row>
    <row r="2206" spans="1:29" x14ac:dyDescent="0.2">
      <c r="A2206" t="str">
        <f t="shared" si="322"/>
        <v/>
      </c>
      <c r="E2206" s="4"/>
      <c r="F2206" s="46"/>
      <c r="G2206" s="4"/>
      <c r="H2206" s="48"/>
      <c r="J2206" s="26" t="str">
        <f t="shared" si="323"/>
        <v/>
      </c>
      <c r="N2206" t="str">
        <f t="shared" si="324"/>
        <v/>
      </c>
      <c r="Q2206" t="str">
        <f t="shared" si="325"/>
        <v/>
      </c>
      <c r="S2206" t="str">
        <f>IF(A2206=1,MAX($S$2:$S2205)+1,IF(OR($I2206&lt;&gt;"",A2206="x"),$S2205,""))</f>
        <v/>
      </c>
      <c r="T2206" t="str">
        <f>IF(D2206=1,MAX($T$2:$T2205)+1,IF(S2206=S2205,$T2205,IF(D2206="x",T2205,IF(D2205="x","",""))))</f>
        <v/>
      </c>
      <c r="U2206" t="str">
        <f>IF(B2206=1,MAX($U$2:$U2205)+1,IF(AND($T2206&lt;&gt;"",$T2206=$T2205),$U2205,IF(B2206="x",U2205,"")))</f>
        <v/>
      </c>
      <c r="V2206" t="str">
        <f>IF(C2206=1,MAX($V$2:$V2205)+1,IF(AND($T2206&lt;&gt;"",$T2206=$T2205),$U2205,IF(C2206="x",V2205,"")))</f>
        <v/>
      </c>
      <c r="X2206" cm="1">
        <f t="array" ref="X2206">IF($I2206&lt;&gt;"",$I2206,INDEX($I$1:$I2206,ROW()-COUNTIFS($T$1:$T2206,"="&amp;$T2206,$S$1:$S2206,"&lt;"&amp;$S2206)))</f>
        <v>0</v>
      </c>
      <c r="Z2206" s="6">
        <f t="shared" si="318"/>
        <v>1</v>
      </c>
      <c r="AA2206" t="e">
        <f t="shared" si="319"/>
        <v>#VALUE!</v>
      </c>
      <c r="AB2206" t="str">
        <f t="shared" si="320"/>
        <v/>
      </c>
      <c r="AC2206" t="e">
        <f t="shared" si="321"/>
        <v>#VALUE!</v>
      </c>
    </row>
    <row r="2207" spans="1:29" x14ac:dyDescent="0.2">
      <c r="A2207" t="str">
        <f t="shared" si="322"/>
        <v/>
      </c>
      <c r="E2207" s="4"/>
      <c r="F2207" s="46"/>
      <c r="G2207" s="4"/>
      <c r="H2207" s="48"/>
      <c r="J2207" s="26" t="str">
        <f t="shared" si="323"/>
        <v/>
      </c>
      <c r="N2207" t="str">
        <f t="shared" si="324"/>
        <v/>
      </c>
      <c r="Q2207" t="str">
        <f t="shared" si="325"/>
        <v/>
      </c>
      <c r="S2207" t="str">
        <f>IF(A2207=1,MAX($S$2:$S2206)+1,IF(OR($I2207&lt;&gt;"",A2207="x"),$S2206,""))</f>
        <v/>
      </c>
      <c r="T2207" t="str">
        <f>IF(D2207=1,MAX($T$2:$T2206)+1,IF(S2207=S2206,$T2206,IF(D2207="x",T2206,IF(D2206="x","",""))))</f>
        <v/>
      </c>
      <c r="U2207" t="str">
        <f>IF(B2207=1,MAX($U$2:$U2206)+1,IF(AND($T2207&lt;&gt;"",$T2207=$T2206),$U2206,IF(B2207="x",U2206,"")))</f>
        <v/>
      </c>
      <c r="V2207" t="str">
        <f>IF(C2207=1,MAX($V$2:$V2206)+1,IF(AND($T2207&lt;&gt;"",$T2207=$T2206),$U2206,IF(C2207="x",V2206,"")))</f>
        <v/>
      </c>
      <c r="X2207" cm="1">
        <f t="array" ref="X2207">IF($I2207&lt;&gt;"",$I2207,INDEX($I$1:$I2207,ROW()-COUNTIFS($T$1:$T2207,"="&amp;$T2207,$S$1:$S2207,"&lt;"&amp;$S2207)))</f>
        <v>0</v>
      </c>
      <c r="Z2207" s="6">
        <f t="shared" si="318"/>
        <v>1</v>
      </c>
      <c r="AA2207" t="e">
        <f t="shared" si="319"/>
        <v>#VALUE!</v>
      </c>
      <c r="AB2207" t="str">
        <f t="shared" si="320"/>
        <v/>
      </c>
      <c r="AC2207" t="e">
        <f t="shared" si="321"/>
        <v>#VALUE!</v>
      </c>
    </row>
    <row r="2208" spans="1:29" x14ac:dyDescent="0.2">
      <c r="A2208" t="str">
        <f t="shared" si="322"/>
        <v/>
      </c>
      <c r="E2208" s="4"/>
      <c r="F2208" s="46"/>
      <c r="G2208" s="4"/>
      <c r="H2208" s="48"/>
      <c r="J2208" s="26" t="str">
        <f t="shared" si="323"/>
        <v/>
      </c>
      <c r="N2208" t="str">
        <f t="shared" si="324"/>
        <v/>
      </c>
      <c r="Q2208" t="str">
        <f t="shared" si="325"/>
        <v/>
      </c>
      <c r="S2208" t="str">
        <f>IF(A2208=1,MAX($S$2:$S2207)+1,IF(OR($I2208&lt;&gt;"",A2208="x"),$S2207,""))</f>
        <v/>
      </c>
      <c r="T2208" t="str">
        <f>IF(D2208=1,MAX($T$2:$T2207)+1,IF(S2208=S2207,$T2207,IF(D2208="x",T2207,IF(D2207="x","",""))))</f>
        <v/>
      </c>
      <c r="U2208" t="str">
        <f>IF(B2208=1,MAX($U$2:$U2207)+1,IF(AND($T2208&lt;&gt;"",$T2208=$T2207),$U2207,IF(B2208="x",U2207,"")))</f>
        <v/>
      </c>
      <c r="V2208" t="str">
        <f>IF(C2208=1,MAX($V$2:$V2207)+1,IF(AND($T2208&lt;&gt;"",$T2208=$T2207),$U2207,IF(C2208="x",V2207,"")))</f>
        <v/>
      </c>
      <c r="X2208" cm="1">
        <f t="array" ref="X2208">IF($I2208&lt;&gt;"",$I2208,INDEX($I$1:$I2208,ROW()-COUNTIFS($T$1:$T2208,"="&amp;$T2208,$S$1:$S2208,"&lt;"&amp;$S2208)))</f>
        <v>0</v>
      </c>
      <c r="Z2208" s="6">
        <f t="shared" si="318"/>
        <v>1</v>
      </c>
      <c r="AA2208" t="e">
        <f t="shared" si="319"/>
        <v>#VALUE!</v>
      </c>
      <c r="AB2208" t="str">
        <f t="shared" si="320"/>
        <v/>
      </c>
      <c r="AC2208" t="e">
        <f t="shared" si="321"/>
        <v>#VALUE!</v>
      </c>
    </row>
    <row r="2209" spans="1:29" x14ac:dyDescent="0.2">
      <c r="A2209" t="str">
        <f t="shared" si="322"/>
        <v/>
      </c>
      <c r="E2209" s="4"/>
      <c r="F2209" s="46"/>
      <c r="G2209" s="4"/>
      <c r="H2209" s="48"/>
      <c r="J2209" s="26" t="str">
        <f t="shared" si="323"/>
        <v/>
      </c>
      <c r="N2209" t="str">
        <f t="shared" si="324"/>
        <v/>
      </c>
      <c r="Q2209" t="str">
        <f t="shared" si="325"/>
        <v/>
      </c>
      <c r="S2209" t="str">
        <f>IF(A2209=1,MAX($S$2:$S2208)+1,IF(OR($I2209&lt;&gt;"",A2209="x"),$S2208,""))</f>
        <v/>
      </c>
      <c r="T2209" t="str">
        <f>IF(D2209=1,MAX($T$2:$T2208)+1,IF(S2209=S2208,$T2208,IF(D2209="x",T2208,IF(D2208="x","",""))))</f>
        <v/>
      </c>
      <c r="U2209" t="str">
        <f>IF(B2209=1,MAX($U$2:$U2208)+1,IF(AND($T2209&lt;&gt;"",$T2209=$T2208),$U2208,IF(B2209="x",U2208,"")))</f>
        <v/>
      </c>
      <c r="V2209" t="str">
        <f>IF(C2209=1,MAX($V$2:$V2208)+1,IF(AND($T2209&lt;&gt;"",$T2209=$T2208),$U2208,IF(C2209="x",V2208,"")))</f>
        <v/>
      </c>
      <c r="X2209" cm="1">
        <f t="array" ref="X2209">IF($I2209&lt;&gt;"",$I2209,INDEX($I$1:$I2209,ROW()-COUNTIFS($T$1:$T2209,"="&amp;$T2209,$S$1:$S2209,"&lt;"&amp;$S2209)))</f>
        <v>0</v>
      </c>
      <c r="Z2209" s="6">
        <f t="shared" si="318"/>
        <v>1</v>
      </c>
      <c r="AA2209" t="e">
        <f t="shared" si="319"/>
        <v>#VALUE!</v>
      </c>
      <c r="AB2209" t="str">
        <f t="shared" si="320"/>
        <v/>
      </c>
      <c r="AC2209" t="e">
        <f t="shared" si="321"/>
        <v>#VALUE!</v>
      </c>
    </row>
    <row r="2210" spans="1:29" x14ac:dyDescent="0.2">
      <c r="A2210" t="str">
        <f t="shared" si="322"/>
        <v/>
      </c>
      <c r="E2210" s="4"/>
      <c r="F2210" s="46"/>
      <c r="G2210" s="4"/>
      <c r="H2210" s="48"/>
      <c r="J2210" s="26" t="str">
        <f t="shared" si="323"/>
        <v/>
      </c>
      <c r="N2210" t="str">
        <f t="shared" si="324"/>
        <v/>
      </c>
      <c r="Q2210" t="str">
        <f t="shared" si="325"/>
        <v/>
      </c>
      <c r="S2210" t="str">
        <f>IF(A2210=1,MAX($S$2:$S2209)+1,IF(OR($I2210&lt;&gt;"",A2210="x"),$S2209,""))</f>
        <v/>
      </c>
      <c r="T2210" t="str">
        <f>IF(D2210=1,MAX($T$2:$T2209)+1,IF(S2210=S2209,$T2209,IF(D2210="x",T2209,IF(D2209="x","",""))))</f>
        <v/>
      </c>
      <c r="U2210" t="str">
        <f>IF(B2210=1,MAX($U$2:$U2209)+1,IF(AND($T2210&lt;&gt;"",$T2210=$T2209),$U2209,IF(B2210="x",U2209,"")))</f>
        <v/>
      </c>
      <c r="V2210" t="str">
        <f>IF(C2210=1,MAX($V$2:$V2209)+1,IF(AND($T2210&lt;&gt;"",$T2210=$T2209),$U2209,IF(C2210="x",V2209,"")))</f>
        <v/>
      </c>
      <c r="X2210" cm="1">
        <f t="array" ref="X2210">IF($I2210&lt;&gt;"",$I2210,INDEX($I$1:$I2210,ROW()-COUNTIFS($T$1:$T2210,"="&amp;$T2210,$S$1:$S2210,"&lt;"&amp;$S2210)))</f>
        <v>0</v>
      </c>
      <c r="Z2210" s="6">
        <f t="shared" si="318"/>
        <v>1</v>
      </c>
      <c r="AA2210" t="e">
        <f t="shared" si="319"/>
        <v>#VALUE!</v>
      </c>
      <c r="AB2210" t="str">
        <f t="shared" si="320"/>
        <v/>
      </c>
      <c r="AC2210" t="e">
        <f t="shared" si="321"/>
        <v>#VALUE!</v>
      </c>
    </row>
    <row r="2211" spans="1:29" x14ac:dyDescent="0.2">
      <c r="A2211" t="str">
        <f t="shared" si="322"/>
        <v/>
      </c>
      <c r="E2211" s="4"/>
      <c r="F2211" s="46"/>
      <c r="G2211" s="4"/>
      <c r="H2211" s="48"/>
      <c r="J2211" s="26" t="str">
        <f t="shared" si="323"/>
        <v/>
      </c>
      <c r="N2211" t="str">
        <f t="shared" si="324"/>
        <v/>
      </c>
      <c r="Q2211" t="str">
        <f t="shared" si="325"/>
        <v/>
      </c>
      <c r="S2211" t="str">
        <f>IF(A2211=1,MAX($S$2:$S2210)+1,IF(OR($I2211&lt;&gt;"",A2211="x"),$S2210,""))</f>
        <v/>
      </c>
      <c r="T2211" t="str">
        <f>IF(D2211=1,MAX($T$2:$T2210)+1,IF(S2211=S2210,$T2210,IF(D2211="x",T2210,IF(D2210="x","",""))))</f>
        <v/>
      </c>
      <c r="U2211" t="str">
        <f>IF(B2211=1,MAX($U$2:$U2210)+1,IF(AND($T2211&lt;&gt;"",$T2211=$T2210),$U2210,IF(B2211="x",U2210,"")))</f>
        <v/>
      </c>
      <c r="V2211" t="str">
        <f>IF(C2211=1,MAX($V$2:$V2210)+1,IF(AND($T2211&lt;&gt;"",$T2211=$T2210),$U2210,IF(C2211="x",V2210,"")))</f>
        <v/>
      </c>
      <c r="X2211" cm="1">
        <f t="array" ref="X2211">IF($I2211&lt;&gt;"",$I2211,INDEX($I$1:$I2211,ROW()-COUNTIFS($T$1:$T2211,"="&amp;$T2211,$S$1:$S2211,"&lt;"&amp;$S2211)))</f>
        <v>0</v>
      </c>
      <c r="Z2211" s="6">
        <f t="shared" si="318"/>
        <v>1</v>
      </c>
      <c r="AA2211" t="e">
        <f t="shared" si="319"/>
        <v>#VALUE!</v>
      </c>
      <c r="AB2211" t="str">
        <f t="shared" si="320"/>
        <v/>
      </c>
      <c r="AC2211" t="e">
        <f t="shared" si="321"/>
        <v>#VALUE!</v>
      </c>
    </row>
    <row r="2212" spans="1:29" x14ac:dyDescent="0.2">
      <c r="A2212" t="str">
        <f t="shared" si="322"/>
        <v/>
      </c>
      <c r="E2212" s="4"/>
      <c r="F2212" s="46"/>
      <c r="G2212" s="4"/>
      <c r="H2212" s="48"/>
      <c r="J2212" s="26" t="str">
        <f t="shared" si="323"/>
        <v/>
      </c>
      <c r="N2212" t="str">
        <f t="shared" si="324"/>
        <v/>
      </c>
      <c r="Q2212" t="str">
        <f t="shared" si="325"/>
        <v/>
      </c>
      <c r="S2212" t="str">
        <f>IF(A2212=1,MAX($S$2:$S2211)+1,IF(OR($I2212&lt;&gt;"",A2212="x"),$S2211,""))</f>
        <v/>
      </c>
      <c r="T2212" t="str">
        <f>IF(D2212=1,MAX($T$2:$T2211)+1,IF(S2212=S2211,$T2211,IF(D2212="x",T2211,IF(D2211="x","",""))))</f>
        <v/>
      </c>
      <c r="U2212" t="str">
        <f>IF(B2212=1,MAX($U$2:$U2211)+1,IF(AND($T2212&lt;&gt;"",$T2212=$T2211),$U2211,IF(B2212="x",U2211,"")))</f>
        <v/>
      </c>
      <c r="V2212" t="str">
        <f>IF(C2212=1,MAX($V$2:$V2211)+1,IF(AND($T2212&lt;&gt;"",$T2212=$T2211),$U2211,IF(C2212="x",V2211,"")))</f>
        <v/>
      </c>
      <c r="X2212" cm="1">
        <f t="array" ref="X2212">IF($I2212&lt;&gt;"",$I2212,INDEX($I$1:$I2212,ROW()-COUNTIFS($T$1:$T2212,"="&amp;$T2212,$S$1:$S2212,"&lt;"&amp;$S2212)))</f>
        <v>0</v>
      </c>
      <c r="Z2212" s="6">
        <f t="shared" si="318"/>
        <v>1</v>
      </c>
      <c r="AA2212" t="e">
        <f t="shared" si="319"/>
        <v>#VALUE!</v>
      </c>
      <c r="AB2212" t="str">
        <f t="shared" si="320"/>
        <v/>
      </c>
      <c r="AC2212" t="e">
        <f t="shared" si="321"/>
        <v>#VALUE!</v>
      </c>
    </row>
    <row r="2213" spans="1:29" x14ac:dyDescent="0.2">
      <c r="A2213" t="str">
        <f t="shared" si="322"/>
        <v/>
      </c>
      <c r="E2213" s="4"/>
      <c r="F2213" s="46"/>
      <c r="G2213" s="4"/>
      <c r="H2213" s="48"/>
      <c r="J2213" s="26" t="str">
        <f t="shared" si="323"/>
        <v/>
      </c>
      <c r="N2213" t="str">
        <f t="shared" si="324"/>
        <v/>
      </c>
      <c r="Q2213" t="str">
        <f t="shared" si="325"/>
        <v/>
      </c>
      <c r="S2213" t="str">
        <f>IF(A2213=1,MAX($S$2:$S2212)+1,IF(OR($I2213&lt;&gt;"",A2213="x"),$S2212,""))</f>
        <v/>
      </c>
      <c r="T2213" t="str">
        <f>IF(D2213=1,MAX($T$2:$T2212)+1,IF(S2213=S2212,$T2212,IF(D2213="x",T2212,IF(D2212="x","",""))))</f>
        <v/>
      </c>
      <c r="U2213" t="str">
        <f>IF(B2213=1,MAX($U$2:$U2212)+1,IF(AND($T2213&lt;&gt;"",$T2213=$T2212),$U2212,IF(B2213="x",U2212,"")))</f>
        <v/>
      </c>
      <c r="V2213" t="str">
        <f>IF(C2213=1,MAX($V$2:$V2212)+1,IF(AND($T2213&lt;&gt;"",$T2213=$T2212),$U2212,IF(C2213="x",V2212,"")))</f>
        <v/>
      </c>
      <c r="X2213" cm="1">
        <f t="array" ref="X2213">IF($I2213&lt;&gt;"",$I2213,INDEX($I$1:$I2213,ROW()-COUNTIFS($T$1:$T2213,"="&amp;$T2213,$S$1:$S2213,"&lt;"&amp;$S2213)))</f>
        <v>0</v>
      </c>
      <c r="Z2213" s="6">
        <f t="shared" si="318"/>
        <v>1</v>
      </c>
      <c r="AA2213" t="e">
        <f t="shared" si="319"/>
        <v>#VALUE!</v>
      </c>
      <c r="AB2213" t="str">
        <f t="shared" si="320"/>
        <v/>
      </c>
      <c r="AC2213" t="e">
        <f t="shared" si="321"/>
        <v>#VALUE!</v>
      </c>
    </row>
    <row r="2214" spans="1:29" x14ac:dyDescent="0.2">
      <c r="A2214" t="str">
        <f t="shared" si="322"/>
        <v/>
      </c>
      <c r="E2214" s="4"/>
      <c r="F2214" s="46"/>
      <c r="G2214" s="4"/>
      <c r="H2214" s="48"/>
      <c r="J2214" s="26" t="str">
        <f t="shared" si="323"/>
        <v/>
      </c>
      <c r="N2214" t="str">
        <f t="shared" si="324"/>
        <v/>
      </c>
      <c r="Q2214" t="str">
        <f t="shared" si="325"/>
        <v/>
      </c>
      <c r="S2214" t="str">
        <f>IF(A2214=1,MAX($S$2:$S2213)+1,IF(OR($I2214&lt;&gt;"",A2214="x"),$S2213,""))</f>
        <v/>
      </c>
      <c r="T2214" t="str">
        <f>IF(D2214=1,MAX($T$2:$T2213)+1,IF(S2214=S2213,$T2213,IF(D2214="x",T2213,IF(D2213="x","",""))))</f>
        <v/>
      </c>
      <c r="U2214" t="str">
        <f>IF(B2214=1,MAX($U$2:$U2213)+1,IF(AND($T2214&lt;&gt;"",$T2214=$T2213),$U2213,IF(B2214="x",U2213,"")))</f>
        <v/>
      </c>
      <c r="V2214" t="str">
        <f>IF(C2214=1,MAX($V$2:$V2213)+1,IF(AND($T2214&lt;&gt;"",$T2214=$T2213),$U2213,IF(C2214="x",V2213,"")))</f>
        <v/>
      </c>
      <c r="X2214" cm="1">
        <f t="array" ref="X2214">IF($I2214&lt;&gt;"",$I2214,INDEX($I$1:$I2214,ROW()-COUNTIFS($T$1:$T2214,"="&amp;$T2214,$S$1:$S2214,"&lt;"&amp;$S2214)))</f>
        <v>0</v>
      </c>
      <c r="Z2214" s="6">
        <f t="shared" si="318"/>
        <v>1</v>
      </c>
      <c r="AA2214" t="e">
        <f t="shared" si="319"/>
        <v>#VALUE!</v>
      </c>
      <c r="AB2214" t="str">
        <f t="shared" si="320"/>
        <v/>
      </c>
      <c r="AC2214" t="e">
        <f t="shared" si="321"/>
        <v>#VALUE!</v>
      </c>
    </row>
    <row r="2215" spans="1:29" x14ac:dyDescent="0.2">
      <c r="A2215" t="str">
        <f t="shared" si="322"/>
        <v/>
      </c>
      <c r="E2215" s="4"/>
      <c r="F2215" s="46"/>
      <c r="G2215" s="4"/>
      <c r="H2215" s="48"/>
      <c r="J2215" s="26" t="str">
        <f t="shared" si="323"/>
        <v/>
      </c>
      <c r="N2215" t="str">
        <f t="shared" si="324"/>
        <v/>
      </c>
      <c r="Q2215" t="str">
        <f t="shared" si="325"/>
        <v/>
      </c>
      <c r="S2215" t="str">
        <f>IF(A2215=1,MAX($S$2:$S2214)+1,IF(OR($I2215&lt;&gt;"",A2215="x"),$S2214,""))</f>
        <v/>
      </c>
      <c r="T2215" t="str">
        <f>IF(D2215=1,MAX($T$2:$T2214)+1,IF(S2215=S2214,$T2214,IF(D2215="x",T2214,IF(D2214="x","",""))))</f>
        <v/>
      </c>
      <c r="U2215" t="str">
        <f>IF(B2215=1,MAX($U$2:$U2214)+1,IF(AND($T2215&lt;&gt;"",$T2215=$T2214),$U2214,IF(B2215="x",U2214,"")))</f>
        <v/>
      </c>
      <c r="V2215" t="str">
        <f>IF(C2215=1,MAX($V$2:$V2214)+1,IF(AND($T2215&lt;&gt;"",$T2215=$T2214),$U2214,IF(C2215="x",V2214,"")))</f>
        <v/>
      </c>
      <c r="X2215" cm="1">
        <f t="array" ref="X2215">IF($I2215&lt;&gt;"",$I2215,INDEX($I$1:$I2215,ROW()-COUNTIFS($T$1:$T2215,"="&amp;$T2215,$S$1:$S2215,"&lt;"&amp;$S2215)))</f>
        <v>0</v>
      </c>
      <c r="Z2215" s="6">
        <f t="shared" si="318"/>
        <v>1</v>
      </c>
      <c r="AA2215" t="e">
        <f t="shared" si="319"/>
        <v>#VALUE!</v>
      </c>
      <c r="AB2215" t="str">
        <f t="shared" si="320"/>
        <v/>
      </c>
      <c r="AC2215" t="e">
        <f t="shared" si="321"/>
        <v>#VALUE!</v>
      </c>
    </row>
    <row r="2216" spans="1:29" x14ac:dyDescent="0.2">
      <c r="A2216" t="str">
        <f t="shared" si="322"/>
        <v/>
      </c>
      <c r="E2216" s="4"/>
      <c r="F2216" s="46"/>
      <c r="G2216" s="4"/>
      <c r="H2216" s="48"/>
      <c r="J2216" s="26" t="str">
        <f t="shared" si="323"/>
        <v/>
      </c>
      <c r="N2216" t="str">
        <f t="shared" si="324"/>
        <v/>
      </c>
      <c r="Q2216" t="str">
        <f t="shared" si="325"/>
        <v/>
      </c>
      <c r="S2216" t="str">
        <f>IF(A2216=1,MAX($S$2:$S2215)+1,IF(OR($I2216&lt;&gt;"",A2216="x"),$S2215,""))</f>
        <v/>
      </c>
      <c r="T2216" t="str">
        <f>IF(D2216=1,MAX($T$2:$T2215)+1,IF(S2216=S2215,$T2215,IF(D2216="x",T2215,IF(D2215="x","",""))))</f>
        <v/>
      </c>
      <c r="U2216" t="str">
        <f>IF(B2216=1,MAX($U$2:$U2215)+1,IF(AND($T2216&lt;&gt;"",$T2216=$T2215),$U2215,IF(B2216="x",U2215,"")))</f>
        <v/>
      </c>
      <c r="V2216" t="str">
        <f>IF(C2216=1,MAX($V$2:$V2215)+1,IF(AND($T2216&lt;&gt;"",$T2216=$T2215),$U2215,IF(C2216="x",V2215,"")))</f>
        <v/>
      </c>
      <c r="X2216" cm="1">
        <f t="array" ref="X2216">IF($I2216&lt;&gt;"",$I2216,INDEX($I$1:$I2216,ROW()-COUNTIFS($T$1:$T2216,"="&amp;$T2216,$S$1:$S2216,"&lt;"&amp;$S2216)))</f>
        <v>0</v>
      </c>
      <c r="Z2216" s="6">
        <f t="shared" si="318"/>
        <v>1</v>
      </c>
      <c r="AA2216" t="e">
        <f t="shared" si="319"/>
        <v>#VALUE!</v>
      </c>
      <c r="AB2216" t="str">
        <f t="shared" si="320"/>
        <v/>
      </c>
      <c r="AC2216" t="e">
        <f t="shared" si="321"/>
        <v>#VALUE!</v>
      </c>
    </row>
    <row r="2217" spans="1:29" x14ac:dyDescent="0.2">
      <c r="A2217" t="str">
        <f t="shared" si="322"/>
        <v/>
      </c>
      <c r="E2217" s="4"/>
      <c r="F2217" s="46"/>
      <c r="G2217" s="4"/>
      <c r="H2217" s="48"/>
      <c r="J2217" s="26" t="str">
        <f t="shared" si="323"/>
        <v/>
      </c>
      <c r="N2217" t="str">
        <f t="shared" si="324"/>
        <v/>
      </c>
      <c r="Q2217" t="str">
        <f t="shared" si="325"/>
        <v/>
      </c>
      <c r="S2217" t="str">
        <f>IF(A2217=1,MAX($S$2:$S2216)+1,IF(OR($I2217&lt;&gt;"",A2217="x"),$S2216,""))</f>
        <v/>
      </c>
      <c r="T2217" t="str">
        <f>IF(D2217=1,MAX($T$2:$T2216)+1,IF(S2217=S2216,$T2216,IF(D2217="x",T2216,IF(D2216="x","",""))))</f>
        <v/>
      </c>
      <c r="U2217" t="str">
        <f>IF(B2217=1,MAX($U$2:$U2216)+1,IF(AND($T2217&lt;&gt;"",$T2217=$T2216),$U2216,IF(B2217="x",U2216,"")))</f>
        <v/>
      </c>
      <c r="V2217" t="str">
        <f>IF(C2217=1,MAX($V$2:$V2216)+1,IF(AND($T2217&lt;&gt;"",$T2217=$T2216),$U2216,IF(C2217="x",V2216,"")))</f>
        <v/>
      </c>
      <c r="X2217" cm="1">
        <f t="array" ref="X2217">IF($I2217&lt;&gt;"",$I2217,INDEX($I$1:$I2217,ROW()-COUNTIFS($T$1:$T2217,"="&amp;$T2217,$S$1:$S2217,"&lt;"&amp;$S2217)))</f>
        <v>0</v>
      </c>
      <c r="Z2217" s="6">
        <f t="shared" si="318"/>
        <v>1</v>
      </c>
      <c r="AA2217" t="e">
        <f t="shared" si="319"/>
        <v>#VALUE!</v>
      </c>
      <c r="AB2217" t="str">
        <f t="shared" si="320"/>
        <v/>
      </c>
      <c r="AC2217" t="e">
        <f t="shared" si="321"/>
        <v>#VALUE!</v>
      </c>
    </row>
    <row r="2218" spans="1:29" x14ac:dyDescent="0.2">
      <c r="A2218" t="str">
        <f t="shared" si="322"/>
        <v/>
      </c>
      <c r="E2218" s="4"/>
      <c r="F2218" s="46"/>
      <c r="G2218" s="4"/>
      <c r="H2218" s="48"/>
      <c r="J2218" s="26" t="str">
        <f t="shared" si="323"/>
        <v/>
      </c>
      <c r="N2218" t="str">
        <f t="shared" si="324"/>
        <v/>
      </c>
      <c r="Q2218" t="str">
        <f t="shared" si="325"/>
        <v/>
      </c>
      <c r="S2218" t="str">
        <f>IF(A2218=1,MAX($S$2:$S2217)+1,IF(OR($I2218&lt;&gt;"",A2218="x"),$S2217,""))</f>
        <v/>
      </c>
      <c r="T2218" t="str">
        <f>IF(D2218=1,MAX($T$2:$T2217)+1,IF(S2218=S2217,$T2217,IF(D2218="x",T2217,IF(D2217="x","",""))))</f>
        <v/>
      </c>
      <c r="U2218" t="str">
        <f>IF(B2218=1,MAX($U$2:$U2217)+1,IF(AND($T2218&lt;&gt;"",$T2218=$T2217),$U2217,IF(B2218="x",U2217,"")))</f>
        <v/>
      </c>
      <c r="V2218" t="str">
        <f>IF(C2218=1,MAX($V$2:$V2217)+1,IF(AND($T2218&lt;&gt;"",$T2218=$T2217),$U2217,IF(C2218="x",V2217,"")))</f>
        <v/>
      </c>
      <c r="X2218" cm="1">
        <f t="array" ref="X2218">IF($I2218&lt;&gt;"",$I2218,INDEX($I$1:$I2218,ROW()-COUNTIFS($T$1:$T2218,"="&amp;$T2218,$S$1:$S2218,"&lt;"&amp;$S2218)))</f>
        <v>0</v>
      </c>
      <c r="Z2218" s="6">
        <f t="shared" si="318"/>
        <v>1</v>
      </c>
      <c r="AA2218" t="e">
        <f t="shared" si="319"/>
        <v>#VALUE!</v>
      </c>
      <c r="AB2218" t="str">
        <f t="shared" si="320"/>
        <v/>
      </c>
      <c r="AC2218" t="e">
        <f t="shared" si="321"/>
        <v>#VALUE!</v>
      </c>
    </row>
    <row r="2219" spans="1:29" x14ac:dyDescent="0.2">
      <c r="A2219" t="str">
        <f t="shared" si="322"/>
        <v/>
      </c>
      <c r="E2219" s="4"/>
      <c r="F2219" s="46"/>
      <c r="G2219" s="4"/>
      <c r="H2219" s="48"/>
      <c r="J2219" s="26" t="str">
        <f t="shared" si="323"/>
        <v/>
      </c>
      <c r="N2219" t="str">
        <f t="shared" si="324"/>
        <v/>
      </c>
      <c r="Q2219" t="str">
        <f t="shared" si="325"/>
        <v/>
      </c>
      <c r="S2219" t="str">
        <f>IF(A2219=1,MAX($S$2:$S2218)+1,IF(OR($I2219&lt;&gt;"",A2219="x"),$S2218,""))</f>
        <v/>
      </c>
      <c r="T2219" t="str">
        <f>IF(D2219=1,MAX($T$2:$T2218)+1,IF(S2219=S2218,$T2218,IF(D2219="x",T2218,IF(D2218="x","",""))))</f>
        <v/>
      </c>
      <c r="U2219" t="str">
        <f>IF(B2219=1,MAX($U$2:$U2218)+1,IF(AND($T2219&lt;&gt;"",$T2219=$T2218),$U2218,IF(B2219="x",U2218,"")))</f>
        <v/>
      </c>
      <c r="V2219" t="str">
        <f>IF(C2219=1,MAX($V$2:$V2218)+1,IF(AND($T2219&lt;&gt;"",$T2219=$T2218),$U2218,IF(C2219="x",V2218,"")))</f>
        <v/>
      </c>
      <c r="X2219" cm="1">
        <f t="array" ref="X2219">IF($I2219&lt;&gt;"",$I2219,INDEX($I$1:$I2219,ROW()-COUNTIFS($T$1:$T2219,"="&amp;$T2219,$S$1:$S2219,"&lt;"&amp;$S2219)))</f>
        <v>0</v>
      </c>
      <c r="Z2219" s="6">
        <f t="shared" si="318"/>
        <v>1</v>
      </c>
      <c r="AA2219" t="e">
        <f t="shared" si="319"/>
        <v>#VALUE!</v>
      </c>
      <c r="AB2219" t="str">
        <f t="shared" si="320"/>
        <v/>
      </c>
      <c r="AC2219" t="e">
        <f t="shared" si="321"/>
        <v>#VALUE!</v>
      </c>
    </row>
    <row r="2220" spans="1:29" x14ac:dyDescent="0.2">
      <c r="A2220" t="str">
        <f t="shared" si="322"/>
        <v/>
      </c>
      <c r="E2220" s="4"/>
      <c r="F2220" s="46"/>
      <c r="G2220" s="4"/>
      <c r="H2220" s="48"/>
      <c r="J2220" s="26" t="str">
        <f t="shared" si="323"/>
        <v/>
      </c>
      <c r="N2220" t="str">
        <f t="shared" si="324"/>
        <v/>
      </c>
      <c r="Q2220" t="str">
        <f t="shared" si="325"/>
        <v/>
      </c>
      <c r="S2220" t="str">
        <f>IF(A2220=1,MAX($S$2:$S2219)+1,IF(OR($I2220&lt;&gt;"",A2220="x"),$S2219,""))</f>
        <v/>
      </c>
      <c r="T2220" t="str">
        <f>IF(D2220=1,MAX($T$2:$T2219)+1,IF(S2220=S2219,$T2219,IF(D2220="x",T2219,IF(D2219="x","",""))))</f>
        <v/>
      </c>
      <c r="U2220" t="str">
        <f>IF(B2220=1,MAX($U$2:$U2219)+1,IF(AND($T2220&lt;&gt;"",$T2220=$T2219),$U2219,IF(B2220="x",U2219,"")))</f>
        <v/>
      </c>
      <c r="V2220" t="str">
        <f>IF(C2220=1,MAX($V$2:$V2219)+1,IF(AND($T2220&lt;&gt;"",$T2220=$T2219),$U2219,IF(C2220="x",V2219,"")))</f>
        <v/>
      </c>
      <c r="X2220" cm="1">
        <f t="array" ref="X2220">IF($I2220&lt;&gt;"",$I2220,INDEX($I$1:$I2220,ROW()-COUNTIFS($T$1:$T2220,"="&amp;$T2220,$S$1:$S2220,"&lt;"&amp;$S2220)))</f>
        <v>0</v>
      </c>
      <c r="Z2220" s="6">
        <f t="shared" si="318"/>
        <v>1</v>
      </c>
      <c r="AA2220" t="e">
        <f t="shared" si="319"/>
        <v>#VALUE!</v>
      </c>
      <c r="AB2220" t="str">
        <f t="shared" si="320"/>
        <v/>
      </c>
      <c r="AC2220" t="e">
        <f t="shared" si="321"/>
        <v>#VALUE!</v>
      </c>
    </row>
    <row r="2221" spans="1:29" x14ac:dyDescent="0.2">
      <c r="A2221" t="str">
        <f t="shared" si="322"/>
        <v/>
      </c>
      <c r="E2221" s="4"/>
      <c r="F2221" s="46"/>
      <c r="G2221" s="4"/>
      <c r="H2221" s="48"/>
      <c r="J2221" s="26" t="str">
        <f t="shared" si="323"/>
        <v/>
      </c>
      <c r="N2221" t="str">
        <f t="shared" si="324"/>
        <v/>
      </c>
      <c r="Q2221" t="str">
        <f t="shared" si="325"/>
        <v/>
      </c>
      <c r="S2221" t="str">
        <f>IF(A2221=1,MAX($S$2:$S2220)+1,IF(OR($I2221&lt;&gt;"",A2221="x"),$S2220,""))</f>
        <v/>
      </c>
      <c r="T2221" t="str">
        <f>IF(D2221=1,MAX($T$2:$T2220)+1,IF(S2221=S2220,$T2220,IF(D2221="x",T2220,IF(D2220="x","",""))))</f>
        <v/>
      </c>
      <c r="U2221" t="str">
        <f>IF(B2221=1,MAX($U$2:$U2220)+1,IF(AND($T2221&lt;&gt;"",$T2221=$T2220),$U2220,IF(B2221="x",U2220,"")))</f>
        <v/>
      </c>
      <c r="V2221" t="str">
        <f>IF(C2221=1,MAX($V$2:$V2220)+1,IF(AND($T2221&lt;&gt;"",$T2221=$T2220),$U2220,IF(C2221="x",V2220,"")))</f>
        <v/>
      </c>
      <c r="X2221" cm="1">
        <f t="array" ref="X2221">IF($I2221&lt;&gt;"",$I2221,INDEX($I$1:$I2221,ROW()-COUNTIFS($T$1:$T2221,"="&amp;$T2221,$S$1:$S2221,"&lt;"&amp;$S2221)))</f>
        <v>0</v>
      </c>
      <c r="Z2221" s="6">
        <f t="shared" si="318"/>
        <v>1</v>
      </c>
      <c r="AA2221" t="e">
        <f t="shared" si="319"/>
        <v>#VALUE!</v>
      </c>
      <c r="AB2221" t="str">
        <f t="shared" si="320"/>
        <v/>
      </c>
      <c r="AC2221" t="e">
        <f t="shared" si="321"/>
        <v>#VALUE!</v>
      </c>
    </row>
    <row r="2222" spans="1:29" x14ac:dyDescent="0.2">
      <c r="A2222" t="str">
        <f t="shared" si="322"/>
        <v/>
      </c>
      <c r="E2222" s="4"/>
      <c r="F2222" s="46"/>
      <c r="G2222" s="4"/>
      <c r="H2222" s="48"/>
      <c r="J2222" s="26" t="str">
        <f t="shared" si="323"/>
        <v/>
      </c>
      <c r="N2222" t="str">
        <f t="shared" si="324"/>
        <v/>
      </c>
      <c r="Q2222" t="str">
        <f t="shared" si="325"/>
        <v/>
      </c>
      <c r="S2222" t="str">
        <f>IF(A2222=1,MAX($S$2:$S2221)+1,IF(OR($I2222&lt;&gt;"",A2222="x"),$S2221,""))</f>
        <v/>
      </c>
      <c r="T2222" t="str">
        <f>IF(D2222=1,MAX($T$2:$T2221)+1,IF(S2222=S2221,$T2221,IF(D2222="x",T2221,IF(D2221="x","",""))))</f>
        <v/>
      </c>
      <c r="U2222" t="str">
        <f>IF(B2222=1,MAX($U$2:$U2221)+1,IF(AND($T2222&lt;&gt;"",$T2222=$T2221),$U2221,IF(B2222="x",U2221,"")))</f>
        <v/>
      </c>
      <c r="V2222" t="str">
        <f>IF(C2222=1,MAX($V$2:$V2221)+1,IF(AND($T2222&lt;&gt;"",$T2222=$T2221),$U2221,IF(C2222="x",V2221,"")))</f>
        <v/>
      </c>
      <c r="X2222" cm="1">
        <f t="array" ref="X2222">IF($I2222&lt;&gt;"",$I2222,INDEX($I$1:$I2222,ROW()-COUNTIFS($T$1:$T2222,"="&amp;$T2222,$S$1:$S2222,"&lt;"&amp;$S2222)))</f>
        <v>0</v>
      </c>
      <c r="Z2222" s="6">
        <f t="shared" si="318"/>
        <v>1</v>
      </c>
      <c r="AA2222" t="e">
        <f t="shared" si="319"/>
        <v>#VALUE!</v>
      </c>
      <c r="AB2222" t="str">
        <f t="shared" si="320"/>
        <v/>
      </c>
      <c r="AC2222" t="e">
        <f t="shared" si="321"/>
        <v>#VALUE!</v>
      </c>
    </row>
    <row r="2223" spans="1:29" x14ac:dyDescent="0.2">
      <c r="A2223" t="str">
        <f t="shared" si="322"/>
        <v/>
      </c>
      <c r="E2223" s="4"/>
      <c r="F2223" s="46"/>
      <c r="G2223" s="4"/>
      <c r="H2223" s="48"/>
      <c r="J2223" s="26" t="str">
        <f t="shared" si="323"/>
        <v/>
      </c>
      <c r="N2223" t="str">
        <f t="shared" si="324"/>
        <v/>
      </c>
      <c r="Q2223" t="str">
        <f t="shared" si="325"/>
        <v/>
      </c>
      <c r="S2223" t="str">
        <f>IF(A2223=1,MAX($S$2:$S2222)+1,IF(OR($I2223&lt;&gt;"",A2223="x"),$S2222,""))</f>
        <v/>
      </c>
      <c r="T2223" t="str">
        <f>IF(D2223=1,MAX($T$2:$T2222)+1,IF(S2223=S2222,$T2222,IF(D2223="x",T2222,IF(D2222="x","",""))))</f>
        <v/>
      </c>
      <c r="U2223" t="str">
        <f>IF(B2223=1,MAX($U$2:$U2222)+1,IF(AND($T2223&lt;&gt;"",$T2223=$T2222),$U2222,IF(B2223="x",U2222,"")))</f>
        <v/>
      </c>
      <c r="V2223" t="str">
        <f>IF(C2223=1,MAX($V$2:$V2222)+1,IF(AND($T2223&lt;&gt;"",$T2223=$T2222),$U2222,IF(C2223="x",V2222,"")))</f>
        <v/>
      </c>
      <c r="X2223" cm="1">
        <f t="array" ref="X2223">IF($I2223&lt;&gt;"",$I2223,INDEX($I$1:$I2223,ROW()-COUNTIFS($T$1:$T2223,"="&amp;$T2223,$S$1:$S2223,"&lt;"&amp;$S2223)))</f>
        <v>0</v>
      </c>
      <c r="Z2223" s="6">
        <f t="shared" si="318"/>
        <v>1</v>
      </c>
      <c r="AA2223" t="e">
        <f t="shared" si="319"/>
        <v>#VALUE!</v>
      </c>
      <c r="AB2223" t="str">
        <f t="shared" si="320"/>
        <v/>
      </c>
      <c r="AC2223" t="e">
        <f t="shared" si="321"/>
        <v>#VALUE!</v>
      </c>
    </row>
    <row r="2224" spans="1:29" x14ac:dyDescent="0.2">
      <c r="A2224" t="str">
        <f t="shared" si="322"/>
        <v/>
      </c>
      <c r="E2224" s="4"/>
      <c r="F2224" s="46"/>
      <c r="G2224" s="4"/>
      <c r="H2224" s="48"/>
      <c r="J2224" s="26" t="str">
        <f t="shared" si="323"/>
        <v/>
      </c>
      <c r="N2224" t="str">
        <f t="shared" si="324"/>
        <v/>
      </c>
      <c r="Q2224" t="str">
        <f t="shared" si="325"/>
        <v/>
      </c>
      <c r="S2224" t="str">
        <f>IF(A2224=1,MAX($S$2:$S2223)+1,IF(OR($I2224&lt;&gt;"",A2224="x"),$S2223,""))</f>
        <v/>
      </c>
      <c r="T2224" t="str">
        <f>IF(D2224=1,MAX($T$2:$T2223)+1,IF(S2224=S2223,$T2223,IF(D2224="x",T2223,IF(D2223="x","",""))))</f>
        <v/>
      </c>
      <c r="U2224" t="str">
        <f>IF(B2224=1,MAX($U$2:$U2223)+1,IF(AND($T2224&lt;&gt;"",$T2224=$T2223),$U2223,IF(B2224="x",U2223,"")))</f>
        <v/>
      </c>
      <c r="V2224" t="str">
        <f>IF(C2224=1,MAX($V$2:$V2223)+1,IF(AND($T2224&lt;&gt;"",$T2224=$T2223),$U2223,IF(C2224="x",V2223,"")))</f>
        <v/>
      </c>
      <c r="X2224" cm="1">
        <f t="array" ref="X2224">IF($I2224&lt;&gt;"",$I2224,INDEX($I$1:$I2224,ROW()-COUNTIFS($T$1:$T2224,"="&amp;$T2224,$S$1:$S2224,"&lt;"&amp;$S2224)))</f>
        <v>0</v>
      </c>
      <c r="Z2224" s="6">
        <f t="shared" si="318"/>
        <v>1</v>
      </c>
      <c r="AA2224" t="e">
        <f t="shared" si="319"/>
        <v>#VALUE!</v>
      </c>
      <c r="AB2224" t="str">
        <f t="shared" si="320"/>
        <v/>
      </c>
      <c r="AC2224" t="e">
        <f t="shared" si="321"/>
        <v>#VALUE!</v>
      </c>
    </row>
    <row r="2225" spans="1:29" x14ac:dyDescent="0.2">
      <c r="A2225" t="str">
        <f t="shared" si="322"/>
        <v/>
      </c>
      <c r="E2225" s="4"/>
      <c r="F2225" s="46"/>
      <c r="G2225" s="4"/>
      <c r="H2225" s="48"/>
      <c r="J2225" s="26" t="str">
        <f t="shared" si="323"/>
        <v/>
      </c>
      <c r="N2225" t="str">
        <f t="shared" si="324"/>
        <v/>
      </c>
      <c r="Q2225" t="str">
        <f t="shared" si="325"/>
        <v/>
      </c>
      <c r="S2225" t="str">
        <f>IF(A2225=1,MAX($S$2:$S2224)+1,IF(OR($I2225&lt;&gt;"",A2225="x"),$S2224,""))</f>
        <v/>
      </c>
      <c r="T2225" t="str">
        <f>IF(D2225=1,MAX($T$2:$T2224)+1,IF(S2225=S2224,$T2224,IF(D2225="x",T2224,IF(D2224="x","",""))))</f>
        <v/>
      </c>
      <c r="U2225" t="str">
        <f>IF(B2225=1,MAX($U$2:$U2224)+1,IF(AND($T2225&lt;&gt;"",$T2225=$T2224),$U2224,IF(B2225="x",U2224,"")))</f>
        <v/>
      </c>
      <c r="V2225" t="str">
        <f>IF(C2225=1,MAX($V$2:$V2224)+1,IF(AND($T2225&lt;&gt;"",$T2225=$T2224),$U2224,IF(C2225="x",V2224,"")))</f>
        <v/>
      </c>
      <c r="X2225" cm="1">
        <f t="array" ref="X2225">IF($I2225&lt;&gt;"",$I2225,INDEX($I$1:$I2225,ROW()-COUNTIFS($T$1:$T2225,"="&amp;$T2225,$S$1:$S2225,"&lt;"&amp;$S2225)))</f>
        <v>0</v>
      </c>
      <c r="Z2225" s="6">
        <f t="shared" si="318"/>
        <v>1</v>
      </c>
      <c r="AA2225" t="e">
        <f t="shared" si="319"/>
        <v>#VALUE!</v>
      </c>
      <c r="AB2225" t="str">
        <f t="shared" si="320"/>
        <v/>
      </c>
      <c r="AC2225" t="e">
        <f t="shared" si="321"/>
        <v>#VALUE!</v>
      </c>
    </row>
    <row r="2226" spans="1:29" x14ac:dyDescent="0.2">
      <c r="A2226" t="str">
        <f t="shared" si="322"/>
        <v/>
      </c>
      <c r="E2226" s="4"/>
      <c r="F2226" s="46"/>
      <c r="G2226" s="4"/>
      <c r="H2226" s="48"/>
      <c r="J2226" s="26" t="str">
        <f t="shared" si="323"/>
        <v/>
      </c>
      <c r="N2226" t="str">
        <f t="shared" si="324"/>
        <v/>
      </c>
      <c r="Q2226" t="str">
        <f t="shared" si="325"/>
        <v/>
      </c>
      <c r="S2226" t="str">
        <f>IF(A2226=1,MAX($S$2:$S2225)+1,IF(OR($I2226&lt;&gt;"",A2226="x"),$S2225,""))</f>
        <v/>
      </c>
      <c r="T2226" t="str">
        <f>IF(D2226=1,MAX($T$2:$T2225)+1,IF(S2226=S2225,$T2225,IF(D2226="x",T2225,IF(D2225="x","",""))))</f>
        <v/>
      </c>
      <c r="U2226" t="str">
        <f>IF(B2226=1,MAX($U$2:$U2225)+1,IF(AND($T2226&lt;&gt;"",$T2226=$T2225),$U2225,IF(B2226="x",U2225,"")))</f>
        <v/>
      </c>
      <c r="V2226" t="str">
        <f>IF(C2226=1,MAX($V$2:$V2225)+1,IF(AND($T2226&lt;&gt;"",$T2226=$T2225),$U2225,IF(C2226="x",V2225,"")))</f>
        <v/>
      </c>
      <c r="X2226" cm="1">
        <f t="array" ref="X2226">IF($I2226&lt;&gt;"",$I2226,INDEX($I$1:$I2226,ROW()-COUNTIFS($T$1:$T2226,"="&amp;$T2226,$S$1:$S2226,"&lt;"&amp;$S2226)))</f>
        <v>0</v>
      </c>
      <c r="Z2226" s="6">
        <f t="shared" si="318"/>
        <v>1</v>
      </c>
      <c r="AA2226" t="e">
        <f t="shared" si="319"/>
        <v>#VALUE!</v>
      </c>
      <c r="AB2226" t="str">
        <f t="shared" si="320"/>
        <v/>
      </c>
      <c r="AC2226" t="e">
        <f t="shared" si="321"/>
        <v>#VALUE!</v>
      </c>
    </row>
    <row r="2227" spans="1:29" x14ac:dyDescent="0.2">
      <c r="A2227" t="str">
        <f t="shared" si="322"/>
        <v/>
      </c>
      <c r="E2227" s="4"/>
      <c r="F2227" s="46"/>
      <c r="G2227" s="4"/>
      <c r="H2227" s="48"/>
      <c r="J2227" s="26" t="str">
        <f t="shared" si="323"/>
        <v/>
      </c>
      <c r="N2227" t="str">
        <f t="shared" si="324"/>
        <v/>
      </c>
      <c r="Q2227" t="str">
        <f t="shared" si="325"/>
        <v/>
      </c>
      <c r="S2227" t="str">
        <f>IF(A2227=1,MAX($S$2:$S2226)+1,IF(OR($I2227&lt;&gt;"",A2227="x"),$S2226,""))</f>
        <v/>
      </c>
      <c r="T2227" t="str">
        <f>IF(D2227=1,MAX($T$2:$T2226)+1,IF(S2227=S2226,$T2226,IF(D2227="x",T2226,IF(D2226="x","",""))))</f>
        <v/>
      </c>
      <c r="U2227" t="str">
        <f>IF(B2227=1,MAX($U$2:$U2226)+1,IF(AND($T2227&lt;&gt;"",$T2227=$T2226),$U2226,IF(B2227="x",U2226,"")))</f>
        <v/>
      </c>
      <c r="V2227" t="str">
        <f>IF(C2227=1,MAX($V$2:$V2226)+1,IF(AND($T2227&lt;&gt;"",$T2227=$T2226),$U2226,IF(C2227="x",V2226,"")))</f>
        <v/>
      </c>
      <c r="X2227" cm="1">
        <f t="array" ref="X2227">IF($I2227&lt;&gt;"",$I2227,INDEX($I$1:$I2227,ROW()-COUNTIFS($T$1:$T2227,"="&amp;$T2227,$S$1:$S2227,"&lt;"&amp;$S2227)))</f>
        <v>0</v>
      </c>
      <c r="Z2227" s="6">
        <f t="shared" si="318"/>
        <v>1</v>
      </c>
      <c r="AA2227" t="e">
        <f t="shared" si="319"/>
        <v>#VALUE!</v>
      </c>
      <c r="AB2227" t="str">
        <f t="shared" si="320"/>
        <v/>
      </c>
      <c r="AC2227" t="e">
        <f t="shared" si="321"/>
        <v>#VALUE!</v>
      </c>
    </row>
    <row r="2228" spans="1:29" x14ac:dyDescent="0.2">
      <c r="A2228" t="str">
        <f t="shared" si="322"/>
        <v/>
      </c>
      <c r="E2228" s="4"/>
      <c r="F2228" s="46"/>
      <c r="G2228" s="4"/>
      <c r="H2228" s="48"/>
      <c r="J2228" s="26" t="str">
        <f t="shared" si="323"/>
        <v/>
      </c>
      <c r="N2228" t="str">
        <f t="shared" si="324"/>
        <v/>
      </c>
      <c r="Q2228" t="str">
        <f t="shared" si="325"/>
        <v/>
      </c>
      <c r="S2228" t="str">
        <f>IF(A2228=1,MAX($S$2:$S2227)+1,IF(OR($I2228&lt;&gt;"",A2228="x"),$S2227,""))</f>
        <v/>
      </c>
      <c r="T2228" t="str">
        <f>IF(D2228=1,MAX($T$2:$T2227)+1,IF(S2228=S2227,$T2227,IF(D2228="x",T2227,IF(D2227="x","",""))))</f>
        <v/>
      </c>
      <c r="U2228" t="str">
        <f>IF(B2228=1,MAX($U$2:$U2227)+1,IF(AND($T2228&lt;&gt;"",$T2228=$T2227),$U2227,IF(B2228="x",U2227,"")))</f>
        <v/>
      </c>
      <c r="V2228" t="str">
        <f>IF(C2228=1,MAX($V$2:$V2227)+1,IF(AND($T2228&lt;&gt;"",$T2228=$T2227),$U2227,IF(C2228="x",V2227,"")))</f>
        <v/>
      </c>
      <c r="X2228" cm="1">
        <f t="array" ref="X2228">IF($I2228&lt;&gt;"",$I2228,INDEX($I$1:$I2228,ROW()-COUNTIFS($T$1:$T2228,"="&amp;$T2228,$S$1:$S2228,"&lt;"&amp;$S2228)))</f>
        <v>0</v>
      </c>
      <c r="Z2228" s="6">
        <f t="shared" si="318"/>
        <v>1</v>
      </c>
      <c r="AA2228" t="e">
        <f t="shared" si="319"/>
        <v>#VALUE!</v>
      </c>
      <c r="AB2228" t="str">
        <f t="shared" si="320"/>
        <v/>
      </c>
      <c r="AC2228" t="e">
        <f t="shared" si="321"/>
        <v>#VALUE!</v>
      </c>
    </row>
    <row r="2229" spans="1:29" x14ac:dyDescent="0.2">
      <c r="A2229" t="str">
        <f t="shared" si="322"/>
        <v/>
      </c>
      <c r="E2229" s="4"/>
      <c r="F2229" s="46"/>
      <c r="G2229" s="4"/>
      <c r="H2229" s="48"/>
      <c r="J2229" s="26" t="str">
        <f t="shared" si="323"/>
        <v/>
      </c>
      <c r="N2229" t="str">
        <f t="shared" si="324"/>
        <v/>
      </c>
      <c r="Q2229" t="str">
        <f t="shared" si="325"/>
        <v/>
      </c>
      <c r="S2229" t="str">
        <f>IF(A2229=1,MAX($S$2:$S2228)+1,IF(OR($I2229&lt;&gt;"",A2229="x"),$S2228,""))</f>
        <v/>
      </c>
      <c r="T2229" t="str">
        <f>IF(D2229=1,MAX($T$2:$T2228)+1,IF(S2229=S2228,$T2228,IF(D2229="x",T2228,IF(D2228="x","",""))))</f>
        <v/>
      </c>
      <c r="U2229" t="str">
        <f>IF(B2229=1,MAX($U$2:$U2228)+1,IF(AND($T2229&lt;&gt;"",$T2229=$T2228),$U2228,IF(B2229="x",U2228,"")))</f>
        <v/>
      </c>
      <c r="V2229" t="str">
        <f>IF(C2229=1,MAX($V$2:$V2228)+1,IF(AND($T2229&lt;&gt;"",$T2229=$T2228),$U2228,IF(C2229="x",V2228,"")))</f>
        <v/>
      </c>
      <c r="X2229" cm="1">
        <f t="array" ref="X2229">IF($I2229&lt;&gt;"",$I2229,INDEX($I$1:$I2229,ROW()-COUNTIFS($T$1:$T2229,"="&amp;$T2229,$S$1:$S2229,"&lt;"&amp;$S2229)))</f>
        <v>0</v>
      </c>
      <c r="Z2229" s="6">
        <f t="shared" si="318"/>
        <v>1</v>
      </c>
      <c r="AA2229" t="e">
        <f t="shared" si="319"/>
        <v>#VALUE!</v>
      </c>
      <c r="AB2229" t="str">
        <f t="shared" si="320"/>
        <v/>
      </c>
      <c r="AC2229" t="e">
        <f t="shared" si="321"/>
        <v>#VALUE!</v>
      </c>
    </row>
    <row r="2230" spans="1:29" x14ac:dyDescent="0.2">
      <c r="A2230" t="str">
        <f t="shared" si="322"/>
        <v/>
      </c>
      <c r="E2230" s="4"/>
      <c r="F2230" s="46"/>
      <c r="G2230" s="4"/>
      <c r="H2230" s="48"/>
      <c r="J2230" s="26" t="str">
        <f t="shared" si="323"/>
        <v/>
      </c>
      <c r="N2230" t="str">
        <f t="shared" si="324"/>
        <v/>
      </c>
      <c r="Q2230" t="str">
        <f t="shared" si="325"/>
        <v/>
      </c>
      <c r="S2230" t="str">
        <f>IF(A2230=1,MAX($S$2:$S2229)+1,IF(OR($I2230&lt;&gt;"",A2230="x"),$S2229,""))</f>
        <v/>
      </c>
      <c r="T2230" t="str">
        <f>IF(D2230=1,MAX($T$2:$T2229)+1,IF(S2230=S2229,$T2229,IF(D2230="x",T2229,IF(D2229="x","",""))))</f>
        <v/>
      </c>
      <c r="U2230" t="str">
        <f>IF(B2230=1,MAX($U$2:$U2229)+1,IF(AND($T2230&lt;&gt;"",$T2230=$T2229),$U2229,IF(B2230="x",U2229,"")))</f>
        <v/>
      </c>
      <c r="V2230" t="str">
        <f>IF(C2230=1,MAX($V$2:$V2229)+1,IF(AND($T2230&lt;&gt;"",$T2230=$T2229),$U2229,IF(C2230="x",V2229,"")))</f>
        <v/>
      </c>
      <c r="X2230" cm="1">
        <f t="array" ref="X2230">IF($I2230&lt;&gt;"",$I2230,INDEX($I$1:$I2230,ROW()-COUNTIFS($T$1:$T2230,"="&amp;$T2230,$S$1:$S2230,"&lt;"&amp;$S2230)))</f>
        <v>0</v>
      </c>
      <c r="Z2230" s="6">
        <f t="shared" si="318"/>
        <v>1</v>
      </c>
      <c r="AA2230" t="e">
        <f t="shared" si="319"/>
        <v>#VALUE!</v>
      </c>
      <c r="AB2230" t="str">
        <f t="shared" si="320"/>
        <v/>
      </c>
      <c r="AC2230" t="e">
        <f t="shared" si="321"/>
        <v>#VALUE!</v>
      </c>
    </row>
    <row r="2231" spans="1:29" x14ac:dyDescent="0.2">
      <c r="A2231" t="str">
        <f t="shared" si="322"/>
        <v/>
      </c>
      <c r="E2231" s="4"/>
      <c r="F2231" s="46"/>
      <c r="G2231" s="4"/>
      <c r="H2231" s="48"/>
      <c r="J2231" s="26" t="str">
        <f t="shared" si="323"/>
        <v/>
      </c>
      <c r="N2231" t="str">
        <f t="shared" si="324"/>
        <v/>
      </c>
      <c r="Q2231" t="str">
        <f t="shared" si="325"/>
        <v/>
      </c>
      <c r="S2231" t="str">
        <f>IF(A2231=1,MAX($S$2:$S2230)+1,IF(OR($I2231&lt;&gt;"",A2231="x"),$S2230,""))</f>
        <v/>
      </c>
      <c r="T2231" t="str">
        <f>IF(D2231=1,MAX($T$2:$T2230)+1,IF(S2231=S2230,$T2230,IF(D2231="x",T2230,IF(D2230="x","",""))))</f>
        <v/>
      </c>
      <c r="U2231" t="str">
        <f>IF(B2231=1,MAX($U$2:$U2230)+1,IF(AND($T2231&lt;&gt;"",$T2231=$T2230),$U2230,IF(B2231="x",U2230,"")))</f>
        <v/>
      </c>
      <c r="V2231" t="str">
        <f>IF(C2231=1,MAX($V$2:$V2230)+1,IF(AND($T2231&lt;&gt;"",$T2231=$T2230),$U2230,IF(C2231="x",V2230,"")))</f>
        <v/>
      </c>
      <c r="X2231" cm="1">
        <f t="array" ref="X2231">IF($I2231&lt;&gt;"",$I2231,INDEX($I$1:$I2231,ROW()-COUNTIFS($T$1:$T2231,"="&amp;$T2231,$S$1:$S2231,"&lt;"&amp;$S2231)))</f>
        <v>0</v>
      </c>
      <c r="Z2231" s="6">
        <f t="shared" si="318"/>
        <v>1</v>
      </c>
      <c r="AA2231" t="e">
        <f t="shared" si="319"/>
        <v>#VALUE!</v>
      </c>
      <c r="AB2231" t="str">
        <f t="shared" si="320"/>
        <v/>
      </c>
      <c r="AC2231" t="e">
        <f t="shared" si="321"/>
        <v>#VALUE!</v>
      </c>
    </row>
    <row r="2232" spans="1:29" x14ac:dyDescent="0.2">
      <c r="A2232" t="str">
        <f t="shared" si="322"/>
        <v/>
      </c>
      <c r="E2232" s="4"/>
      <c r="F2232" s="46"/>
      <c r="G2232" s="4"/>
      <c r="H2232" s="48"/>
      <c r="J2232" s="26" t="str">
        <f t="shared" si="323"/>
        <v/>
      </c>
      <c r="N2232" t="str">
        <f t="shared" si="324"/>
        <v/>
      </c>
      <c r="Q2232" t="str">
        <f t="shared" si="325"/>
        <v/>
      </c>
      <c r="S2232" t="str">
        <f>IF(A2232=1,MAX($S$2:$S2231)+1,IF(OR($I2232&lt;&gt;"",A2232="x"),$S2231,""))</f>
        <v/>
      </c>
      <c r="T2232" t="str">
        <f>IF(D2232=1,MAX($T$2:$T2231)+1,IF(S2232=S2231,$T2231,IF(D2232="x",T2231,IF(D2231="x","",""))))</f>
        <v/>
      </c>
      <c r="U2232" t="str">
        <f>IF(B2232=1,MAX($U$2:$U2231)+1,IF(AND($T2232&lt;&gt;"",$T2232=$T2231),$U2231,IF(B2232="x",U2231,"")))</f>
        <v/>
      </c>
      <c r="V2232" t="str">
        <f>IF(C2232=1,MAX($V$2:$V2231)+1,IF(AND($T2232&lt;&gt;"",$T2232=$T2231),$U2231,IF(C2232="x",V2231,"")))</f>
        <v/>
      </c>
      <c r="X2232" cm="1">
        <f t="array" ref="X2232">IF($I2232&lt;&gt;"",$I2232,INDEX($I$1:$I2232,ROW()-COUNTIFS($T$1:$T2232,"="&amp;$T2232,$S$1:$S2232,"&lt;"&amp;$S2232)))</f>
        <v>0</v>
      </c>
      <c r="Z2232" s="6">
        <f t="shared" si="318"/>
        <v>1</v>
      </c>
      <c r="AA2232" t="e">
        <f t="shared" si="319"/>
        <v>#VALUE!</v>
      </c>
      <c r="AB2232" t="str">
        <f t="shared" si="320"/>
        <v/>
      </c>
      <c r="AC2232" t="e">
        <f t="shared" si="321"/>
        <v>#VALUE!</v>
      </c>
    </row>
    <row r="2233" spans="1:29" x14ac:dyDescent="0.2">
      <c r="A2233" t="str">
        <f t="shared" si="322"/>
        <v/>
      </c>
      <c r="E2233" s="4"/>
      <c r="F2233" s="46"/>
      <c r="G2233" s="4"/>
      <c r="H2233" s="48"/>
      <c r="J2233" s="26" t="str">
        <f t="shared" si="323"/>
        <v/>
      </c>
      <c r="N2233" t="str">
        <f t="shared" si="324"/>
        <v/>
      </c>
      <c r="Q2233" t="str">
        <f t="shared" si="325"/>
        <v/>
      </c>
      <c r="S2233" t="str">
        <f>IF(A2233=1,MAX($S$2:$S2232)+1,IF(OR($I2233&lt;&gt;"",A2233="x"),$S2232,""))</f>
        <v/>
      </c>
      <c r="T2233" t="str">
        <f>IF(D2233=1,MAX($T$2:$T2232)+1,IF(S2233=S2232,$T2232,IF(D2233="x",T2232,IF(D2232="x","",""))))</f>
        <v/>
      </c>
      <c r="U2233" t="str">
        <f>IF(B2233=1,MAX($U$2:$U2232)+1,IF(AND($T2233&lt;&gt;"",$T2233=$T2232),$U2232,IF(B2233="x",U2232,"")))</f>
        <v/>
      </c>
      <c r="V2233" t="str">
        <f>IF(C2233=1,MAX($V$2:$V2232)+1,IF(AND($T2233&lt;&gt;"",$T2233=$T2232),$U2232,IF(C2233="x",V2232,"")))</f>
        <v/>
      </c>
      <c r="X2233" cm="1">
        <f t="array" ref="X2233">IF($I2233&lt;&gt;"",$I2233,INDEX($I$1:$I2233,ROW()-COUNTIFS($T$1:$T2233,"="&amp;$T2233,$S$1:$S2233,"&lt;"&amp;$S2233)))</f>
        <v>0</v>
      </c>
      <c r="Z2233" s="6">
        <f t="shared" si="318"/>
        <v>1</v>
      </c>
      <c r="AA2233" t="e">
        <f t="shared" si="319"/>
        <v>#VALUE!</v>
      </c>
      <c r="AB2233" t="str">
        <f t="shared" si="320"/>
        <v/>
      </c>
      <c r="AC2233" t="e">
        <f t="shared" si="321"/>
        <v>#VALUE!</v>
      </c>
    </row>
    <row r="2234" spans="1:29" x14ac:dyDescent="0.2">
      <c r="A2234" t="str">
        <f t="shared" si="322"/>
        <v/>
      </c>
      <c r="E2234" s="4"/>
      <c r="F2234" s="46"/>
      <c r="G2234" s="4"/>
      <c r="H2234" s="48"/>
      <c r="J2234" s="26" t="str">
        <f t="shared" si="323"/>
        <v/>
      </c>
      <c r="N2234" t="str">
        <f t="shared" si="324"/>
        <v/>
      </c>
      <c r="Q2234" t="str">
        <f t="shared" si="325"/>
        <v/>
      </c>
      <c r="S2234" t="str">
        <f>IF(A2234=1,MAX($S$2:$S2233)+1,IF(OR($I2234&lt;&gt;"",A2234="x"),$S2233,""))</f>
        <v/>
      </c>
      <c r="T2234" t="str">
        <f>IF(D2234=1,MAX($T$2:$T2233)+1,IF(S2234=S2233,$T2233,IF(D2234="x",T2233,IF(D2233="x","",""))))</f>
        <v/>
      </c>
      <c r="U2234" t="str">
        <f>IF(B2234=1,MAX($U$2:$U2233)+1,IF(AND($T2234&lt;&gt;"",$T2234=$T2233),$U2233,IF(B2234="x",U2233,"")))</f>
        <v/>
      </c>
      <c r="V2234" t="str">
        <f>IF(C2234=1,MAX($V$2:$V2233)+1,IF(AND($T2234&lt;&gt;"",$T2234=$T2233),$U2233,IF(C2234="x",V2233,"")))</f>
        <v/>
      </c>
      <c r="X2234" cm="1">
        <f t="array" ref="X2234">IF($I2234&lt;&gt;"",$I2234,INDEX($I$1:$I2234,ROW()-COUNTIFS($T$1:$T2234,"="&amp;$T2234,$S$1:$S2234,"&lt;"&amp;$S2234)))</f>
        <v>0</v>
      </c>
      <c r="Z2234" s="6">
        <f t="shared" si="318"/>
        <v>1</v>
      </c>
      <c r="AA2234" t="e">
        <f t="shared" si="319"/>
        <v>#VALUE!</v>
      </c>
      <c r="AB2234" t="str">
        <f t="shared" si="320"/>
        <v/>
      </c>
      <c r="AC2234" t="e">
        <f t="shared" si="321"/>
        <v>#VALUE!</v>
      </c>
    </row>
    <row r="2235" spans="1:29" x14ac:dyDescent="0.2">
      <c r="A2235" t="str">
        <f t="shared" si="322"/>
        <v/>
      </c>
      <c r="E2235" s="4"/>
      <c r="F2235" s="46"/>
      <c r="G2235" s="4"/>
      <c r="H2235" s="48"/>
      <c r="J2235" s="26" t="str">
        <f t="shared" si="323"/>
        <v/>
      </c>
      <c r="N2235" t="str">
        <f t="shared" si="324"/>
        <v/>
      </c>
      <c r="Q2235" t="str">
        <f t="shared" si="325"/>
        <v/>
      </c>
      <c r="S2235" t="str">
        <f>IF(A2235=1,MAX($S$2:$S2234)+1,IF(OR($I2235&lt;&gt;"",A2235="x"),$S2234,""))</f>
        <v/>
      </c>
      <c r="T2235" t="str">
        <f>IF(D2235=1,MAX($T$2:$T2234)+1,IF(S2235=S2234,$T2234,IF(D2235="x",T2234,IF(D2234="x","",""))))</f>
        <v/>
      </c>
      <c r="U2235" t="str">
        <f>IF(B2235=1,MAX($U$2:$U2234)+1,IF(AND($T2235&lt;&gt;"",$T2235=$T2234),$U2234,IF(B2235="x",U2234,"")))</f>
        <v/>
      </c>
      <c r="V2235" t="str">
        <f>IF(C2235=1,MAX($V$2:$V2234)+1,IF(AND($T2235&lt;&gt;"",$T2235=$T2234),$U2234,IF(C2235="x",V2234,"")))</f>
        <v/>
      </c>
      <c r="X2235" cm="1">
        <f t="array" ref="X2235">IF($I2235&lt;&gt;"",$I2235,INDEX($I$1:$I2235,ROW()-COUNTIFS($T$1:$T2235,"="&amp;$T2235,$S$1:$S2235,"&lt;"&amp;$S2235)))</f>
        <v>0</v>
      </c>
      <c r="Z2235" s="6">
        <f t="shared" si="318"/>
        <v>1</v>
      </c>
      <c r="AA2235" t="e">
        <f t="shared" si="319"/>
        <v>#VALUE!</v>
      </c>
      <c r="AB2235" t="str">
        <f t="shared" si="320"/>
        <v/>
      </c>
      <c r="AC2235" t="e">
        <f t="shared" si="321"/>
        <v>#VALUE!</v>
      </c>
    </row>
    <row r="2236" spans="1:29" x14ac:dyDescent="0.2">
      <c r="A2236" t="str">
        <f t="shared" si="322"/>
        <v/>
      </c>
      <c r="E2236" s="4"/>
      <c r="F2236" s="46"/>
      <c r="G2236" s="4"/>
      <c r="H2236" s="48"/>
      <c r="J2236" s="26" t="str">
        <f t="shared" si="323"/>
        <v/>
      </c>
      <c r="N2236" t="str">
        <f t="shared" si="324"/>
        <v/>
      </c>
      <c r="Q2236" t="str">
        <f t="shared" si="325"/>
        <v/>
      </c>
      <c r="S2236" t="str">
        <f>IF(A2236=1,MAX($S$2:$S2235)+1,IF(OR($I2236&lt;&gt;"",A2236="x"),$S2235,""))</f>
        <v/>
      </c>
      <c r="T2236" t="str">
        <f>IF(D2236=1,MAX($T$2:$T2235)+1,IF(S2236=S2235,$T2235,IF(D2236="x",T2235,IF(D2235="x","",""))))</f>
        <v/>
      </c>
      <c r="U2236" t="str">
        <f>IF(B2236=1,MAX($U$2:$U2235)+1,IF(AND($T2236&lt;&gt;"",$T2236=$T2235),$U2235,IF(B2236="x",U2235,"")))</f>
        <v/>
      </c>
      <c r="V2236" t="str">
        <f>IF(C2236=1,MAX($V$2:$V2235)+1,IF(AND($T2236&lt;&gt;"",$T2236=$T2235),$U2235,IF(C2236="x",V2235,"")))</f>
        <v/>
      </c>
      <c r="X2236" cm="1">
        <f t="array" ref="X2236">IF($I2236&lt;&gt;"",$I2236,INDEX($I$1:$I2236,ROW()-COUNTIFS($T$1:$T2236,"="&amp;$T2236,$S$1:$S2236,"&lt;"&amp;$S2236)))</f>
        <v>0</v>
      </c>
      <c r="Z2236" s="6">
        <f t="shared" si="318"/>
        <v>1</v>
      </c>
      <c r="AA2236" t="e">
        <f t="shared" si="319"/>
        <v>#VALUE!</v>
      </c>
      <c r="AB2236" t="str">
        <f t="shared" si="320"/>
        <v/>
      </c>
      <c r="AC2236" t="e">
        <f t="shared" si="321"/>
        <v>#VALUE!</v>
      </c>
    </row>
    <row r="2237" spans="1:29" x14ac:dyDescent="0.2">
      <c r="A2237" t="str">
        <f t="shared" si="322"/>
        <v/>
      </c>
      <c r="E2237" s="4"/>
      <c r="F2237" s="46"/>
      <c r="G2237" s="4"/>
      <c r="H2237" s="48"/>
      <c r="J2237" s="26" t="str">
        <f t="shared" si="323"/>
        <v/>
      </c>
      <c r="N2237" t="str">
        <f t="shared" si="324"/>
        <v/>
      </c>
      <c r="Q2237" t="str">
        <f t="shared" si="325"/>
        <v/>
      </c>
      <c r="S2237" t="str">
        <f>IF(A2237=1,MAX($S$2:$S2236)+1,IF(OR($I2237&lt;&gt;"",A2237="x"),$S2236,""))</f>
        <v/>
      </c>
      <c r="T2237" t="str">
        <f>IF(D2237=1,MAX($T$2:$T2236)+1,IF(S2237=S2236,$T2236,IF(D2237="x",T2236,IF(D2236="x","",""))))</f>
        <v/>
      </c>
      <c r="U2237" t="str">
        <f>IF(B2237=1,MAX($U$2:$U2236)+1,IF(AND($T2237&lt;&gt;"",$T2237=$T2236),$U2236,IF(B2237="x",U2236,"")))</f>
        <v/>
      </c>
      <c r="V2237" t="str">
        <f>IF(C2237=1,MAX($V$2:$V2236)+1,IF(AND($T2237&lt;&gt;"",$T2237=$T2236),$U2236,IF(C2237="x",V2236,"")))</f>
        <v/>
      </c>
      <c r="X2237" cm="1">
        <f t="array" ref="X2237">IF($I2237&lt;&gt;"",$I2237,INDEX($I$1:$I2237,ROW()-COUNTIFS($T$1:$T2237,"="&amp;$T2237,$S$1:$S2237,"&lt;"&amp;$S2237)))</f>
        <v>0</v>
      </c>
      <c r="Z2237" s="6">
        <f t="shared" si="318"/>
        <v>1</v>
      </c>
      <c r="AA2237" t="e">
        <f t="shared" si="319"/>
        <v>#VALUE!</v>
      </c>
      <c r="AB2237" t="str">
        <f t="shared" si="320"/>
        <v/>
      </c>
      <c r="AC2237" t="e">
        <f t="shared" si="321"/>
        <v>#VALUE!</v>
      </c>
    </row>
    <row r="2238" spans="1:29" x14ac:dyDescent="0.2">
      <c r="A2238" t="str">
        <f t="shared" si="322"/>
        <v/>
      </c>
      <c r="E2238" s="4"/>
      <c r="F2238" s="46"/>
      <c r="G2238" s="4"/>
      <c r="H2238" s="48"/>
      <c r="J2238" s="26" t="str">
        <f t="shared" si="323"/>
        <v/>
      </c>
      <c r="N2238" t="str">
        <f t="shared" si="324"/>
        <v/>
      </c>
      <c r="Q2238" t="str">
        <f t="shared" si="325"/>
        <v/>
      </c>
      <c r="S2238" t="str">
        <f>IF(A2238=1,MAX($S$2:$S2237)+1,IF(OR($I2238&lt;&gt;"",A2238="x"),$S2237,""))</f>
        <v/>
      </c>
      <c r="T2238" t="str">
        <f>IF(D2238=1,MAX($T$2:$T2237)+1,IF(S2238=S2237,$T2237,IF(D2238="x",T2237,IF(D2237="x","",""))))</f>
        <v/>
      </c>
      <c r="U2238" t="str">
        <f>IF(B2238=1,MAX($U$2:$U2237)+1,IF(AND($T2238&lt;&gt;"",$T2238=$T2237),$U2237,IF(B2238="x",U2237,"")))</f>
        <v/>
      </c>
      <c r="V2238" t="str">
        <f>IF(C2238=1,MAX($V$2:$V2237)+1,IF(AND($T2238&lt;&gt;"",$T2238=$T2237),$U2237,IF(C2238="x",V2237,"")))</f>
        <v/>
      </c>
      <c r="X2238" cm="1">
        <f t="array" ref="X2238">IF($I2238&lt;&gt;"",$I2238,INDEX($I$1:$I2238,ROW()-COUNTIFS($T$1:$T2238,"="&amp;$T2238,$S$1:$S2238,"&lt;"&amp;$S2238)))</f>
        <v>0</v>
      </c>
      <c r="Z2238" s="6">
        <f t="shared" si="318"/>
        <v>1</v>
      </c>
      <c r="AA2238" t="e">
        <f t="shared" si="319"/>
        <v>#VALUE!</v>
      </c>
      <c r="AB2238" t="str">
        <f t="shared" si="320"/>
        <v/>
      </c>
      <c r="AC2238" t="e">
        <f t="shared" si="321"/>
        <v>#VALUE!</v>
      </c>
    </row>
    <row r="2239" spans="1:29" x14ac:dyDescent="0.2">
      <c r="A2239" t="str">
        <f t="shared" si="322"/>
        <v/>
      </c>
      <c r="E2239" s="4"/>
      <c r="F2239" s="46"/>
      <c r="G2239" s="4"/>
      <c r="H2239" s="48"/>
      <c r="J2239" s="26" t="str">
        <f t="shared" si="323"/>
        <v/>
      </c>
      <c r="N2239" t="str">
        <f t="shared" si="324"/>
        <v/>
      </c>
      <c r="Q2239" t="str">
        <f t="shared" si="325"/>
        <v/>
      </c>
      <c r="S2239" t="str">
        <f>IF(A2239=1,MAX($S$2:$S2238)+1,IF(OR($I2239&lt;&gt;"",A2239="x"),$S2238,""))</f>
        <v/>
      </c>
      <c r="T2239" t="str">
        <f>IF(D2239=1,MAX($T$2:$T2238)+1,IF(S2239=S2238,$T2238,IF(D2239="x",T2238,IF(D2238="x","",""))))</f>
        <v/>
      </c>
      <c r="U2239" t="str">
        <f>IF(B2239=1,MAX($U$2:$U2238)+1,IF(AND($T2239&lt;&gt;"",$T2239=$T2238),$U2238,IF(B2239="x",U2238,"")))</f>
        <v/>
      </c>
      <c r="V2239" t="str">
        <f>IF(C2239=1,MAX($V$2:$V2238)+1,IF(AND($T2239&lt;&gt;"",$T2239=$T2238),$U2238,IF(C2239="x",V2238,"")))</f>
        <v/>
      </c>
      <c r="X2239" cm="1">
        <f t="array" ref="X2239">IF($I2239&lt;&gt;"",$I2239,INDEX($I$1:$I2239,ROW()-COUNTIFS($T$1:$T2239,"="&amp;$T2239,$S$1:$S2239,"&lt;"&amp;$S2239)))</f>
        <v>0</v>
      </c>
      <c r="Z2239" s="6">
        <f t="shared" si="318"/>
        <v>1</v>
      </c>
      <c r="AA2239" t="e">
        <f t="shared" si="319"/>
        <v>#VALUE!</v>
      </c>
      <c r="AB2239" t="str">
        <f t="shared" si="320"/>
        <v/>
      </c>
      <c r="AC2239" t="e">
        <f t="shared" si="321"/>
        <v>#VALUE!</v>
      </c>
    </row>
    <row r="2240" spans="1:29" x14ac:dyDescent="0.2">
      <c r="A2240" t="str">
        <f t="shared" si="322"/>
        <v/>
      </c>
      <c r="E2240" s="4"/>
      <c r="F2240" s="46"/>
      <c r="G2240" s="4"/>
      <c r="H2240" s="48"/>
      <c r="J2240" s="26" t="str">
        <f t="shared" si="323"/>
        <v/>
      </c>
      <c r="N2240" t="str">
        <f t="shared" si="324"/>
        <v/>
      </c>
      <c r="Q2240" t="str">
        <f t="shared" si="325"/>
        <v/>
      </c>
      <c r="S2240" t="str">
        <f>IF(A2240=1,MAX($S$2:$S2239)+1,IF(OR($I2240&lt;&gt;"",A2240="x"),$S2239,""))</f>
        <v/>
      </c>
      <c r="T2240" t="str">
        <f>IF(D2240=1,MAX($T$2:$T2239)+1,IF(S2240=S2239,$T2239,IF(D2240="x",T2239,IF(D2239="x","",""))))</f>
        <v/>
      </c>
      <c r="U2240" t="str">
        <f>IF(B2240=1,MAX($U$2:$U2239)+1,IF(AND($T2240&lt;&gt;"",$T2240=$T2239),$U2239,IF(B2240="x",U2239,"")))</f>
        <v/>
      </c>
      <c r="V2240" t="str">
        <f>IF(C2240=1,MAX($V$2:$V2239)+1,IF(AND($T2240&lt;&gt;"",$T2240=$T2239),$U2239,IF(C2240="x",V2239,"")))</f>
        <v/>
      </c>
      <c r="X2240" cm="1">
        <f t="array" ref="X2240">IF($I2240&lt;&gt;"",$I2240,INDEX($I$1:$I2240,ROW()-COUNTIFS($T$1:$T2240,"="&amp;$T2240,$S$1:$S2240,"&lt;"&amp;$S2240)))</f>
        <v>0</v>
      </c>
      <c r="Z2240" s="6">
        <f t="shared" si="318"/>
        <v>1</v>
      </c>
      <c r="AA2240" t="e">
        <f t="shared" si="319"/>
        <v>#VALUE!</v>
      </c>
      <c r="AB2240" t="str">
        <f t="shared" si="320"/>
        <v/>
      </c>
      <c r="AC2240" t="e">
        <f t="shared" si="321"/>
        <v>#VALUE!</v>
      </c>
    </row>
    <row r="2241" spans="1:29" x14ac:dyDescent="0.2">
      <c r="A2241" t="str">
        <f t="shared" si="322"/>
        <v/>
      </c>
      <c r="E2241" s="4"/>
      <c r="F2241" s="46"/>
      <c r="G2241" s="4"/>
      <c r="H2241" s="48"/>
      <c r="J2241" s="26" t="str">
        <f t="shared" si="323"/>
        <v/>
      </c>
      <c r="N2241" t="str">
        <f t="shared" si="324"/>
        <v/>
      </c>
      <c r="Q2241" t="str">
        <f t="shared" si="325"/>
        <v/>
      </c>
      <c r="S2241" t="str">
        <f>IF(A2241=1,MAX($S$2:$S2240)+1,IF(OR($I2241&lt;&gt;"",A2241="x"),$S2240,""))</f>
        <v/>
      </c>
      <c r="T2241" t="str">
        <f>IF(D2241=1,MAX($T$2:$T2240)+1,IF(S2241=S2240,$T2240,IF(D2241="x",T2240,IF(D2240="x","",""))))</f>
        <v/>
      </c>
      <c r="U2241" t="str">
        <f>IF(B2241=1,MAX($U$2:$U2240)+1,IF(AND($T2241&lt;&gt;"",$T2241=$T2240),$U2240,IF(B2241="x",U2240,"")))</f>
        <v/>
      </c>
      <c r="V2241" t="str">
        <f>IF(C2241=1,MAX($V$2:$V2240)+1,IF(AND($T2241&lt;&gt;"",$T2241=$T2240),$U2240,IF(C2241="x",V2240,"")))</f>
        <v/>
      </c>
      <c r="X2241" cm="1">
        <f t="array" ref="X2241">IF($I2241&lt;&gt;"",$I2241,INDEX($I$1:$I2241,ROW()-COUNTIFS($T$1:$T2241,"="&amp;$T2241,$S$1:$S2241,"&lt;"&amp;$S2241)))</f>
        <v>0</v>
      </c>
      <c r="Z2241" s="6">
        <f t="shared" si="318"/>
        <v>1</v>
      </c>
      <c r="AA2241" t="e">
        <f t="shared" si="319"/>
        <v>#VALUE!</v>
      </c>
      <c r="AB2241" t="str">
        <f t="shared" si="320"/>
        <v/>
      </c>
      <c r="AC2241" t="e">
        <f t="shared" si="321"/>
        <v>#VALUE!</v>
      </c>
    </row>
    <row r="2242" spans="1:29" x14ac:dyDescent="0.2">
      <c r="A2242" t="str">
        <f t="shared" si="322"/>
        <v/>
      </c>
      <c r="E2242" s="4"/>
      <c r="F2242" s="46"/>
      <c r="G2242" s="4"/>
      <c r="H2242" s="48"/>
      <c r="J2242" s="26" t="str">
        <f t="shared" si="323"/>
        <v/>
      </c>
      <c r="N2242" t="str">
        <f t="shared" si="324"/>
        <v/>
      </c>
      <c r="Q2242" t="str">
        <f t="shared" si="325"/>
        <v/>
      </c>
      <c r="S2242" t="str">
        <f>IF(A2242=1,MAX($S$2:$S2241)+1,IF(OR($I2242&lt;&gt;"",A2242="x"),$S2241,""))</f>
        <v/>
      </c>
      <c r="T2242" t="str">
        <f>IF(D2242=1,MAX($T$2:$T2241)+1,IF(S2242=S2241,$T2241,IF(D2242="x",T2241,IF(D2241="x","",""))))</f>
        <v/>
      </c>
      <c r="U2242" t="str">
        <f>IF(B2242=1,MAX($U$2:$U2241)+1,IF(AND($T2242&lt;&gt;"",$T2242=$T2241),$U2241,IF(B2242="x",U2241,"")))</f>
        <v/>
      </c>
      <c r="V2242" t="str">
        <f>IF(C2242=1,MAX($V$2:$V2241)+1,IF(AND($T2242&lt;&gt;"",$T2242=$T2241),$U2241,IF(C2242="x",V2241,"")))</f>
        <v/>
      </c>
      <c r="X2242" cm="1">
        <f t="array" ref="X2242">IF($I2242&lt;&gt;"",$I2242,INDEX($I$1:$I2242,ROW()-COUNTIFS($T$1:$T2242,"="&amp;$T2242,$S$1:$S2242,"&lt;"&amp;$S2242)))</f>
        <v>0</v>
      </c>
      <c r="Z2242" s="6">
        <f t="shared" si="318"/>
        <v>1</v>
      </c>
      <c r="AA2242" t="e">
        <f t="shared" si="319"/>
        <v>#VALUE!</v>
      </c>
      <c r="AB2242" t="str">
        <f t="shared" si="320"/>
        <v/>
      </c>
      <c r="AC2242" t="e">
        <f t="shared" si="321"/>
        <v>#VALUE!</v>
      </c>
    </row>
    <row r="2243" spans="1:29" x14ac:dyDescent="0.2">
      <c r="A2243" t="str">
        <f t="shared" si="322"/>
        <v/>
      </c>
      <c r="E2243" s="4"/>
      <c r="F2243" s="46"/>
      <c r="G2243" s="4"/>
      <c r="H2243" s="48"/>
      <c r="J2243" s="26" t="str">
        <f t="shared" si="323"/>
        <v/>
      </c>
      <c r="N2243" t="str">
        <f t="shared" si="324"/>
        <v/>
      </c>
      <c r="Q2243" t="str">
        <f t="shared" si="325"/>
        <v/>
      </c>
      <c r="S2243" t="str">
        <f>IF(A2243=1,MAX($S$2:$S2242)+1,IF(OR($I2243&lt;&gt;"",A2243="x"),$S2242,""))</f>
        <v/>
      </c>
      <c r="T2243" t="str">
        <f>IF(D2243=1,MAX($T$2:$T2242)+1,IF(S2243=S2242,$T2242,IF(D2243="x",T2242,IF(D2242="x","",""))))</f>
        <v/>
      </c>
      <c r="U2243" t="str">
        <f>IF(B2243=1,MAX($U$2:$U2242)+1,IF(AND($T2243&lt;&gt;"",$T2243=$T2242),$U2242,IF(B2243="x",U2242,"")))</f>
        <v/>
      </c>
      <c r="V2243" t="str">
        <f>IF(C2243=1,MAX($V$2:$V2242)+1,IF(AND($T2243&lt;&gt;"",$T2243=$T2242),$U2242,IF(C2243="x",V2242,"")))</f>
        <v/>
      </c>
      <c r="X2243" cm="1">
        <f t="array" ref="X2243">IF($I2243&lt;&gt;"",$I2243,INDEX($I$1:$I2243,ROW()-COUNTIFS($T$1:$T2243,"="&amp;$T2243,$S$1:$S2243,"&lt;"&amp;$S2243)))</f>
        <v>0</v>
      </c>
      <c r="Z2243" s="6">
        <f t="shared" si="318"/>
        <v>1</v>
      </c>
      <c r="AA2243" t="e">
        <f t="shared" si="319"/>
        <v>#VALUE!</v>
      </c>
      <c r="AB2243" t="str">
        <f t="shared" si="320"/>
        <v/>
      </c>
      <c r="AC2243" t="e">
        <f t="shared" si="321"/>
        <v>#VALUE!</v>
      </c>
    </row>
    <row r="2244" spans="1:29" x14ac:dyDescent="0.2">
      <c r="A2244" t="str">
        <f t="shared" si="322"/>
        <v/>
      </c>
      <c r="E2244" s="4"/>
      <c r="F2244" s="46"/>
      <c r="G2244" s="4"/>
      <c r="H2244" s="48"/>
      <c r="J2244" s="26" t="str">
        <f t="shared" si="323"/>
        <v/>
      </c>
      <c r="N2244" t="str">
        <f t="shared" si="324"/>
        <v/>
      </c>
      <c r="Q2244" t="str">
        <f t="shared" si="325"/>
        <v/>
      </c>
      <c r="S2244" t="str">
        <f>IF(A2244=1,MAX($S$2:$S2243)+1,IF(OR($I2244&lt;&gt;"",A2244="x"),$S2243,""))</f>
        <v/>
      </c>
      <c r="T2244" t="str">
        <f>IF(D2244=1,MAX($T$2:$T2243)+1,IF(S2244=S2243,$T2243,IF(D2244="x",T2243,IF(D2243="x","",""))))</f>
        <v/>
      </c>
      <c r="U2244" t="str">
        <f>IF(B2244=1,MAX($U$2:$U2243)+1,IF(AND($T2244&lt;&gt;"",$T2244=$T2243),$U2243,IF(B2244="x",U2243,"")))</f>
        <v/>
      </c>
      <c r="V2244" t="str">
        <f>IF(C2244=1,MAX($V$2:$V2243)+1,IF(AND($T2244&lt;&gt;"",$T2244=$T2243),$U2243,IF(C2244="x",V2243,"")))</f>
        <v/>
      </c>
      <c r="X2244" cm="1">
        <f t="array" ref="X2244">IF($I2244&lt;&gt;"",$I2244,INDEX($I$1:$I2244,ROW()-COUNTIFS($T$1:$T2244,"="&amp;$T2244,$S$1:$S2244,"&lt;"&amp;$S2244)))</f>
        <v>0</v>
      </c>
      <c r="Z2244" s="6">
        <f t="shared" si="318"/>
        <v>1</v>
      </c>
      <c r="AA2244" t="e">
        <f t="shared" si="319"/>
        <v>#VALUE!</v>
      </c>
      <c r="AB2244" t="str">
        <f t="shared" si="320"/>
        <v/>
      </c>
      <c r="AC2244" t="e">
        <f t="shared" si="321"/>
        <v>#VALUE!</v>
      </c>
    </row>
    <row r="2245" spans="1:29" x14ac:dyDescent="0.2">
      <c r="A2245" t="str">
        <f t="shared" si="322"/>
        <v/>
      </c>
      <c r="E2245" s="4"/>
      <c r="F2245" s="46"/>
      <c r="G2245" s="4"/>
      <c r="H2245" s="48"/>
      <c r="J2245" s="26" t="str">
        <f t="shared" si="323"/>
        <v/>
      </c>
      <c r="N2245" t="str">
        <f t="shared" si="324"/>
        <v/>
      </c>
      <c r="Q2245" t="str">
        <f t="shared" si="325"/>
        <v/>
      </c>
      <c r="S2245" t="str">
        <f>IF(A2245=1,MAX($S$2:$S2244)+1,IF(OR($I2245&lt;&gt;"",A2245="x"),$S2244,""))</f>
        <v/>
      </c>
      <c r="T2245" t="str">
        <f>IF(D2245=1,MAX($T$2:$T2244)+1,IF(S2245=S2244,$T2244,IF(D2245="x",T2244,IF(D2244="x","",""))))</f>
        <v/>
      </c>
      <c r="U2245" t="str">
        <f>IF(B2245=1,MAX($U$2:$U2244)+1,IF(AND($T2245&lt;&gt;"",$T2245=$T2244),$U2244,IF(B2245="x",U2244,"")))</f>
        <v/>
      </c>
      <c r="V2245" t="str">
        <f>IF(C2245=1,MAX($V$2:$V2244)+1,IF(AND($T2245&lt;&gt;"",$T2245=$T2244),$U2244,IF(C2245="x",V2244,"")))</f>
        <v/>
      </c>
      <c r="X2245" cm="1">
        <f t="array" ref="X2245">IF($I2245&lt;&gt;"",$I2245,INDEX($I$1:$I2245,ROW()-COUNTIFS($T$1:$T2245,"="&amp;$T2245,$S$1:$S2245,"&lt;"&amp;$S2245)))</f>
        <v>0</v>
      </c>
      <c r="Z2245" s="6">
        <f t="shared" ref="Z2245:Z2308" si="326">IF(K2245="Intermission",Z2244+1,Z2244)</f>
        <v>1</v>
      </c>
      <c r="AA2245" t="e">
        <f t="shared" ref="AA2245:AA2308" si="327">S2245+1000</f>
        <v>#VALUE!</v>
      </c>
      <c r="AB2245" t="str">
        <f t="shared" ref="AB2245:AB2308" si="328">IF(T2245&lt;&gt;"",9000+T2245,"")</f>
        <v/>
      </c>
      <c r="AC2245" t="e">
        <f t="shared" ref="AC2245:AC2308" si="329">IF(AB2245&lt;&gt;"",AB2245,S2245+1000)</f>
        <v>#VALUE!</v>
      </c>
    </row>
    <row r="2246" spans="1:29" x14ac:dyDescent="0.2">
      <c r="A2246" t="str">
        <f t="shared" si="322"/>
        <v/>
      </c>
      <c r="E2246" s="4"/>
      <c r="F2246" s="46"/>
      <c r="G2246" s="4"/>
      <c r="H2246" s="48"/>
      <c r="J2246" s="26" t="str">
        <f t="shared" si="323"/>
        <v/>
      </c>
      <c r="N2246" t="str">
        <f t="shared" si="324"/>
        <v/>
      </c>
      <c r="Q2246" t="str">
        <f t="shared" si="325"/>
        <v/>
      </c>
      <c r="S2246" t="str">
        <f>IF(A2246=1,MAX($S$2:$S2245)+1,IF(OR($I2246&lt;&gt;"",A2246="x"),$S2245,""))</f>
        <v/>
      </c>
      <c r="T2246" t="str">
        <f>IF(D2246=1,MAX($T$2:$T2245)+1,IF(S2246=S2245,$T2245,IF(D2246="x",T2245,IF(D2245="x","",""))))</f>
        <v/>
      </c>
      <c r="U2246" t="str">
        <f>IF(B2246=1,MAX($U$2:$U2245)+1,IF(AND($T2246&lt;&gt;"",$T2246=$T2245),$U2245,IF(B2246="x",U2245,"")))</f>
        <v/>
      </c>
      <c r="V2246" t="str">
        <f>IF(C2246=1,MAX($V$2:$V2245)+1,IF(AND($T2246&lt;&gt;"",$T2246=$T2245),$U2245,IF(C2246="x",V2245,"")))</f>
        <v/>
      </c>
      <c r="X2246" cm="1">
        <f t="array" ref="X2246">IF($I2246&lt;&gt;"",$I2246,INDEX($I$1:$I2246,ROW()-COUNTIFS($T$1:$T2246,"="&amp;$T2246,$S$1:$S2246,"&lt;"&amp;$S2246)))</f>
        <v>0</v>
      </c>
      <c r="Z2246" s="6">
        <f t="shared" si="326"/>
        <v>1</v>
      </c>
      <c r="AA2246" t="e">
        <f t="shared" si="327"/>
        <v>#VALUE!</v>
      </c>
      <c r="AB2246" t="str">
        <f t="shared" si="328"/>
        <v/>
      </c>
      <c r="AC2246" t="e">
        <f t="shared" si="329"/>
        <v>#VALUE!</v>
      </c>
    </row>
    <row r="2247" spans="1:29" x14ac:dyDescent="0.2">
      <c r="A2247" t="str">
        <f t="shared" si="322"/>
        <v/>
      </c>
      <c r="E2247" s="4"/>
      <c r="F2247" s="46"/>
      <c r="G2247" s="4"/>
      <c r="H2247" s="48"/>
      <c r="J2247" s="26" t="str">
        <f t="shared" si="323"/>
        <v/>
      </c>
      <c r="N2247" t="str">
        <f t="shared" si="324"/>
        <v/>
      </c>
      <c r="Q2247" t="str">
        <f t="shared" si="325"/>
        <v/>
      </c>
      <c r="S2247" t="str">
        <f>IF(A2247=1,MAX($S$2:$S2246)+1,IF(OR($I2247&lt;&gt;"",A2247="x"),$S2246,""))</f>
        <v/>
      </c>
      <c r="T2247" t="str">
        <f>IF(D2247=1,MAX($T$2:$T2246)+1,IF(S2247=S2246,$T2246,IF(D2247="x",T2246,IF(D2246="x","",""))))</f>
        <v/>
      </c>
      <c r="U2247" t="str">
        <f>IF(B2247=1,MAX($U$2:$U2246)+1,IF(AND($T2247&lt;&gt;"",$T2247=$T2246),$U2246,IF(B2247="x",U2246,"")))</f>
        <v/>
      </c>
      <c r="V2247" t="str">
        <f>IF(C2247=1,MAX($V$2:$V2246)+1,IF(AND($T2247&lt;&gt;"",$T2247=$T2246),$U2246,IF(C2247="x",V2246,"")))</f>
        <v/>
      </c>
      <c r="X2247" cm="1">
        <f t="array" ref="X2247">IF($I2247&lt;&gt;"",$I2247,INDEX($I$1:$I2247,ROW()-COUNTIFS($T$1:$T2247,"="&amp;$T2247,$S$1:$S2247,"&lt;"&amp;$S2247)))</f>
        <v>0</v>
      </c>
      <c r="Z2247" s="6">
        <f t="shared" si="326"/>
        <v>1</v>
      </c>
      <c r="AA2247" t="e">
        <f t="shared" si="327"/>
        <v>#VALUE!</v>
      </c>
      <c r="AB2247" t="str">
        <f t="shared" si="328"/>
        <v/>
      </c>
      <c r="AC2247" t="e">
        <f t="shared" si="329"/>
        <v>#VALUE!</v>
      </c>
    </row>
    <row r="2248" spans="1:29" x14ac:dyDescent="0.2">
      <c r="A2248" t="str">
        <f t="shared" si="322"/>
        <v/>
      </c>
      <c r="E2248" s="4"/>
      <c r="F2248" s="46"/>
      <c r="G2248" s="4"/>
      <c r="H2248" s="48"/>
      <c r="J2248" s="26" t="str">
        <f t="shared" si="323"/>
        <v/>
      </c>
      <c r="N2248" t="str">
        <f t="shared" si="324"/>
        <v/>
      </c>
      <c r="Q2248" t="str">
        <f t="shared" si="325"/>
        <v/>
      </c>
      <c r="S2248" t="str">
        <f>IF(A2248=1,MAX($S$2:$S2247)+1,IF(OR($I2248&lt;&gt;"",A2248="x"),$S2247,""))</f>
        <v/>
      </c>
      <c r="T2248" t="str">
        <f>IF(D2248=1,MAX($T$2:$T2247)+1,IF(S2248=S2247,$T2247,IF(D2248="x",T2247,IF(D2247="x","",""))))</f>
        <v/>
      </c>
      <c r="U2248" t="str">
        <f>IF(B2248=1,MAX($U$2:$U2247)+1,IF(AND($T2248&lt;&gt;"",$T2248=$T2247),$U2247,IF(B2248="x",U2247,"")))</f>
        <v/>
      </c>
      <c r="V2248" t="str">
        <f>IF(C2248=1,MAX($V$2:$V2247)+1,IF(AND($T2248&lt;&gt;"",$T2248=$T2247),$U2247,IF(C2248="x",V2247,"")))</f>
        <v/>
      </c>
      <c r="X2248" cm="1">
        <f t="array" ref="X2248">IF($I2248&lt;&gt;"",$I2248,INDEX($I$1:$I2248,ROW()-COUNTIFS($T$1:$T2248,"="&amp;$T2248,$S$1:$S2248,"&lt;"&amp;$S2248)))</f>
        <v>0</v>
      </c>
      <c r="Z2248" s="6">
        <f t="shared" si="326"/>
        <v>1</v>
      </c>
      <c r="AA2248" t="e">
        <f t="shared" si="327"/>
        <v>#VALUE!</v>
      </c>
      <c r="AB2248" t="str">
        <f t="shared" si="328"/>
        <v/>
      </c>
      <c r="AC2248" t="e">
        <f t="shared" si="329"/>
        <v>#VALUE!</v>
      </c>
    </row>
    <row r="2249" spans="1:29" x14ac:dyDescent="0.2">
      <c r="A2249" t="str">
        <f t="shared" si="322"/>
        <v/>
      </c>
      <c r="E2249" s="4"/>
      <c r="F2249" s="46"/>
      <c r="G2249" s="4"/>
      <c r="H2249" s="48"/>
      <c r="J2249" s="26" t="str">
        <f t="shared" si="323"/>
        <v/>
      </c>
      <c r="N2249" t="str">
        <f t="shared" si="324"/>
        <v/>
      </c>
      <c r="Q2249" t="str">
        <f t="shared" si="325"/>
        <v/>
      </c>
      <c r="S2249" t="str">
        <f>IF(A2249=1,MAX($S$2:$S2248)+1,IF(OR($I2249&lt;&gt;"",A2249="x"),$S2248,""))</f>
        <v/>
      </c>
      <c r="T2249" t="str">
        <f>IF(D2249=1,MAX($T$2:$T2248)+1,IF(S2249=S2248,$T2248,IF(D2249="x",T2248,IF(D2248="x","",""))))</f>
        <v/>
      </c>
      <c r="U2249" t="str">
        <f>IF(B2249=1,MAX($U$2:$U2248)+1,IF(AND($T2249&lt;&gt;"",$T2249=$T2248),$U2248,IF(B2249="x",U2248,"")))</f>
        <v/>
      </c>
      <c r="V2249" t="str">
        <f>IF(C2249=1,MAX($V$2:$V2248)+1,IF(AND($T2249&lt;&gt;"",$T2249=$T2248),$U2248,IF(C2249="x",V2248,"")))</f>
        <v/>
      </c>
      <c r="X2249" cm="1">
        <f t="array" ref="X2249">IF($I2249&lt;&gt;"",$I2249,INDEX($I$1:$I2249,ROW()-COUNTIFS($T$1:$T2249,"="&amp;$T2249,$S$1:$S2249,"&lt;"&amp;$S2249)))</f>
        <v>0</v>
      </c>
      <c r="Z2249" s="6">
        <f t="shared" si="326"/>
        <v>1</v>
      </c>
      <c r="AA2249" t="e">
        <f t="shared" si="327"/>
        <v>#VALUE!</v>
      </c>
      <c r="AB2249" t="str">
        <f t="shared" si="328"/>
        <v/>
      </c>
      <c r="AC2249" t="e">
        <f t="shared" si="329"/>
        <v>#VALUE!</v>
      </c>
    </row>
    <row r="2250" spans="1:29" x14ac:dyDescent="0.2">
      <c r="A2250" t="str">
        <f t="shared" si="322"/>
        <v/>
      </c>
      <c r="E2250" s="4"/>
      <c r="F2250" s="46"/>
      <c r="G2250" s="4"/>
      <c r="H2250" s="48"/>
      <c r="J2250" s="26" t="str">
        <f t="shared" si="323"/>
        <v/>
      </c>
      <c r="N2250" t="str">
        <f t="shared" si="324"/>
        <v/>
      </c>
      <c r="Q2250" t="str">
        <f t="shared" si="325"/>
        <v/>
      </c>
      <c r="S2250" t="str">
        <f>IF(A2250=1,MAX($S$2:$S2249)+1,IF(OR($I2250&lt;&gt;"",A2250="x"),$S2249,""))</f>
        <v/>
      </c>
      <c r="T2250" t="str">
        <f>IF(D2250=1,MAX($T$2:$T2249)+1,IF(S2250=S2249,$T2249,IF(D2250="x",T2249,IF(D2249="x","",""))))</f>
        <v/>
      </c>
      <c r="U2250" t="str">
        <f>IF(B2250=1,MAX($U$2:$U2249)+1,IF(AND($T2250&lt;&gt;"",$T2250=$T2249),$U2249,IF(B2250="x",U2249,"")))</f>
        <v/>
      </c>
      <c r="V2250" t="str">
        <f>IF(C2250=1,MAX($V$2:$V2249)+1,IF(AND($T2250&lt;&gt;"",$T2250=$T2249),$U2249,IF(C2250="x",V2249,"")))</f>
        <v/>
      </c>
      <c r="X2250" cm="1">
        <f t="array" ref="X2250">IF($I2250&lt;&gt;"",$I2250,INDEX($I$1:$I2250,ROW()-COUNTIFS($T$1:$T2250,"="&amp;$T2250,$S$1:$S2250,"&lt;"&amp;$S2250)))</f>
        <v>0</v>
      </c>
      <c r="Z2250" s="6">
        <f t="shared" si="326"/>
        <v>1</v>
      </c>
      <c r="AA2250" t="e">
        <f t="shared" si="327"/>
        <v>#VALUE!</v>
      </c>
      <c r="AB2250" t="str">
        <f t="shared" si="328"/>
        <v/>
      </c>
      <c r="AC2250" t="e">
        <f t="shared" si="329"/>
        <v>#VALUE!</v>
      </c>
    </row>
    <row r="2251" spans="1:29" x14ac:dyDescent="0.2">
      <c r="A2251" t="str">
        <f t="shared" si="322"/>
        <v/>
      </c>
      <c r="E2251" s="4"/>
      <c r="F2251" s="46"/>
      <c r="G2251" s="4"/>
      <c r="H2251" s="48"/>
      <c r="J2251" s="26" t="str">
        <f t="shared" si="323"/>
        <v/>
      </c>
      <c r="N2251" t="str">
        <f t="shared" si="324"/>
        <v/>
      </c>
      <c r="Q2251" t="str">
        <f t="shared" si="325"/>
        <v/>
      </c>
      <c r="S2251" t="str">
        <f>IF(A2251=1,MAX($S$2:$S2250)+1,IF(OR($I2251&lt;&gt;"",A2251="x"),$S2250,""))</f>
        <v/>
      </c>
      <c r="T2251" t="str">
        <f>IF(D2251=1,MAX($T$2:$T2250)+1,IF(S2251=S2250,$T2250,IF(D2251="x",T2250,IF(D2250="x","",""))))</f>
        <v/>
      </c>
      <c r="U2251" t="str">
        <f>IF(B2251=1,MAX($U$2:$U2250)+1,IF(AND($T2251&lt;&gt;"",$T2251=$T2250),$U2250,IF(B2251="x",U2250,"")))</f>
        <v/>
      </c>
      <c r="V2251" t="str">
        <f>IF(C2251=1,MAX($V$2:$V2250)+1,IF(AND($T2251&lt;&gt;"",$T2251=$T2250),$U2250,IF(C2251="x",V2250,"")))</f>
        <v/>
      </c>
      <c r="X2251" cm="1">
        <f t="array" ref="X2251">IF($I2251&lt;&gt;"",$I2251,INDEX($I$1:$I2251,ROW()-COUNTIFS($T$1:$T2251,"="&amp;$T2251,$S$1:$S2251,"&lt;"&amp;$S2251)))</f>
        <v>0</v>
      </c>
      <c r="Z2251" s="6">
        <f t="shared" si="326"/>
        <v>1</v>
      </c>
      <c r="AA2251" t="e">
        <f t="shared" si="327"/>
        <v>#VALUE!</v>
      </c>
      <c r="AB2251" t="str">
        <f t="shared" si="328"/>
        <v/>
      </c>
      <c r="AC2251" t="e">
        <f t="shared" si="329"/>
        <v>#VALUE!</v>
      </c>
    </row>
    <row r="2252" spans="1:29" x14ac:dyDescent="0.2">
      <c r="A2252" t="str">
        <f t="shared" si="322"/>
        <v/>
      </c>
      <c r="E2252" s="4"/>
      <c r="F2252" s="46"/>
      <c r="G2252" s="4"/>
      <c r="H2252" s="48"/>
      <c r="J2252" s="26" t="str">
        <f t="shared" si="323"/>
        <v/>
      </c>
      <c r="N2252" t="str">
        <f t="shared" si="324"/>
        <v/>
      </c>
      <c r="Q2252" t="str">
        <f t="shared" si="325"/>
        <v/>
      </c>
      <c r="S2252" t="str">
        <f>IF(A2252=1,MAX($S$2:$S2251)+1,IF(OR($I2252&lt;&gt;"",A2252="x"),$S2251,""))</f>
        <v/>
      </c>
      <c r="T2252" t="str">
        <f>IF(D2252=1,MAX($T$2:$T2251)+1,IF(S2252=S2251,$T2251,IF(D2252="x",T2251,IF(D2251="x","",""))))</f>
        <v/>
      </c>
      <c r="U2252" t="str">
        <f>IF(B2252=1,MAX($U$2:$U2251)+1,IF(AND($T2252&lt;&gt;"",$T2252=$T2251),$U2251,IF(B2252="x",U2251,"")))</f>
        <v/>
      </c>
      <c r="V2252" t="str">
        <f>IF(C2252=1,MAX($V$2:$V2251)+1,IF(AND($T2252&lt;&gt;"",$T2252=$T2251),$U2251,IF(C2252="x",V2251,"")))</f>
        <v/>
      </c>
      <c r="X2252" cm="1">
        <f t="array" ref="X2252">IF($I2252&lt;&gt;"",$I2252,INDEX($I$1:$I2252,ROW()-COUNTIFS($T$1:$T2252,"="&amp;$T2252,$S$1:$S2252,"&lt;"&amp;$S2252)))</f>
        <v>0</v>
      </c>
      <c r="Z2252" s="6">
        <f t="shared" si="326"/>
        <v>1</v>
      </c>
      <c r="AA2252" t="e">
        <f t="shared" si="327"/>
        <v>#VALUE!</v>
      </c>
      <c r="AB2252" t="str">
        <f t="shared" si="328"/>
        <v/>
      </c>
      <c r="AC2252" t="e">
        <f t="shared" si="329"/>
        <v>#VALUE!</v>
      </c>
    </row>
    <row r="2253" spans="1:29" x14ac:dyDescent="0.2">
      <c r="A2253" t="str">
        <f t="shared" si="322"/>
        <v/>
      </c>
      <c r="E2253" s="4"/>
      <c r="F2253" s="46"/>
      <c r="G2253" s="4"/>
      <c r="H2253" s="48"/>
      <c r="J2253" s="26" t="str">
        <f t="shared" si="323"/>
        <v/>
      </c>
      <c r="N2253" t="str">
        <f t="shared" si="324"/>
        <v/>
      </c>
      <c r="Q2253" t="str">
        <f t="shared" si="325"/>
        <v/>
      </c>
      <c r="S2253" t="str">
        <f>IF(A2253=1,MAX($S$2:$S2252)+1,IF(OR($I2253&lt;&gt;"",A2253="x"),$S2252,""))</f>
        <v/>
      </c>
      <c r="T2253" t="str">
        <f>IF(D2253=1,MAX($T$2:$T2252)+1,IF(S2253=S2252,$T2252,IF(D2253="x",T2252,IF(D2252="x","",""))))</f>
        <v/>
      </c>
      <c r="U2253" t="str">
        <f>IF(B2253=1,MAX($U$2:$U2252)+1,IF(AND($T2253&lt;&gt;"",$T2253=$T2252),$U2252,IF(B2253="x",U2252,"")))</f>
        <v/>
      </c>
      <c r="V2253" t="str">
        <f>IF(C2253=1,MAX($V$2:$V2252)+1,IF(AND($T2253&lt;&gt;"",$T2253=$T2252),$U2252,IF(C2253="x",V2252,"")))</f>
        <v/>
      </c>
      <c r="X2253" cm="1">
        <f t="array" ref="X2253">IF($I2253&lt;&gt;"",$I2253,INDEX($I$1:$I2253,ROW()-COUNTIFS($T$1:$T2253,"="&amp;$T2253,$S$1:$S2253,"&lt;"&amp;$S2253)))</f>
        <v>0</v>
      </c>
      <c r="Z2253" s="6">
        <f t="shared" si="326"/>
        <v>1</v>
      </c>
      <c r="AA2253" t="e">
        <f t="shared" si="327"/>
        <v>#VALUE!</v>
      </c>
      <c r="AB2253" t="str">
        <f t="shared" si="328"/>
        <v/>
      </c>
      <c r="AC2253" t="e">
        <f t="shared" si="329"/>
        <v>#VALUE!</v>
      </c>
    </row>
    <row r="2254" spans="1:29" x14ac:dyDescent="0.2">
      <c r="A2254" t="str">
        <f t="shared" si="322"/>
        <v/>
      </c>
      <c r="E2254" s="4"/>
      <c r="F2254" s="46"/>
      <c r="G2254" s="4"/>
      <c r="H2254" s="48"/>
      <c r="J2254" s="26" t="str">
        <f t="shared" si="323"/>
        <v/>
      </c>
      <c r="N2254" t="str">
        <f t="shared" si="324"/>
        <v/>
      </c>
      <c r="Q2254" t="str">
        <f t="shared" si="325"/>
        <v/>
      </c>
      <c r="S2254" t="str">
        <f>IF(A2254=1,MAX($S$2:$S2253)+1,IF(OR($I2254&lt;&gt;"",A2254="x"),$S2253,""))</f>
        <v/>
      </c>
      <c r="T2254" t="str">
        <f>IF(D2254=1,MAX($T$2:$T2253)+1,IF(S2254=S2253,$T2253,IF(D2254="x",T2253,IF(D2253="x","",""))))</f>
        <v/>
      </c>
      <c r="U2254" t="str">
        <f>IF(B2254=1,MAX($U$2:$U2253)+1,IF(AND($T2254&lt;&gt;"",$T2254=$T2253),$U2253,IF(B2254="x",U2253,"")))</f>
        <v/>
      </c>
      <c r="V2254" t="str">
        <f>IF(C2254=1,MAX($V$2:$V2253)+1,IF(AND($T2254&lt;&gt;"",$T2254=$T2253),$U2253,IF(C2254="x",V2253,"")))</f>
        <v/>
      </c>
      <c r="X2254" cm="1">
        <f t="array" ref="X2254">IF($I2254&lt;&gt;"",$I2254,INDEX($I$1:$I2254,ROW()-COUNTIFS($T$1:$T2254,"="&amp;$T2254,$S$1:$S2254,"&lt;"&amp;$S2254)))</f>
        <v>0</v>
      </c>
      <c r="Z2254" s="6">
        <f t="shared" si="326"/>
        <v>1</v>
      </c>
      <c r="AA2254" t="e">
        <f t="shared" si="327"/>
        <v>#VALUE!</v>
      </c>
      <c r="AB2254" t="str">
        <f t="shared" si="328"/>
        <v/>
      </c>
      <c r="AC2254" t="e">
        <f t="shared" si="329"/>
        <v>#VALUE!</v>
      </c>
    </row>
    <row r="2255" spans="1:29" x14ac:dyDescent="0.2">
      <c r="A2255" t="str">
        <f t="shared" si="322"/>
        <v/>
      </c>
      <c r="E2255" s="4"/>
      <c r="F2255" s="46"/>
      <c r="G2255" s="4"/>
      <c r="H2255" s="48"/>
      <c r="J2255" s="26" t="str">
        <f t="shared" si="323"/>
        <v/>
      </c>
      <c r="N2255" t="str">
        <f t="shared" si="324"/>
        <v/>
      </c>
      <c r="Q2255" t="str">
        <f t="shared" si="325"/>
        <v/>
      </c>
      <c r="S2255" t="str">
        <f>IF(A2255=1,MAX($S$2:$S2254)+1,IF(OR($I2255&lt;&gt;"",A2255="x"),$S2254,""))</f>
        <v/>
      </c>
      <c r="T2255" t="str">
        <f>IF(D2255=1,MAX($T$2:$T2254)+1,IF(S2255=S2254,$T2254,IF(D2255="x",T2254,IF(D2254="x","",""))))</f>
        <v/>
      </c>
      <c r="U2255" t="str">
        <f>IF(B2255=1,MAX($U$2:$U2254)+1,IF(AND($T2255&lt;&gt;"",$T2255=$T2254),$U2254,IF(B2255="x",U2254,"")))</f>
        <v/>
      </c>
      <c r="V2255" t="str">
        <f>IF(C2255=1,MAX($V$2:$V2254)+1,IF(AND($T2255&lt;&gt;"",$T2255=$T2254),$U2254,IF(C2255="x",V2254,"")))</f>
        <v/>
      </c>
      <c r="X2255" cm="1">
        <f t="array" ref="X2255">IF($I2255&lt;&gt;"",$I2255,INDEX($I$1:$I2255,ROW()-COUNTIFS($T$1:$T2255,"="&amp;$T2255,$S$1:$S2255,"&lt;"&amp;$S2255)))</f>
        <v>0</v>
      </c>
      <c r="Z2255" s="6">
        <f t="shared" si="326"/>
        <v>1</v>
      </c>
      <c r="AA2255" t="e">
        <f t="shared" si="327"/>
        <v>#VALUE!</v>
      </c>
      <c r="AB2255" t="str">
        <f t="shared" si="328"/>
        <v/>
      </c>
      <c r="AC2255" t="e">
        <f t="shared" si="329"/>
        <v>#VALUE!</v>
      </c>
    </row>
    <row r="2256" spans="1:29" x14ac:dyDescent="0.2">
      <c r="A2256" t="str">
        <f t="shared" si="322"/>
        <v/>
      </c>
      <c r="E2256" s="4"/>
      <c r="F2256" s="46"/>
      <c r="G2256" s="4"/>
      <c r="H2256" s="48"/>
      <c r="J2256" s="26" t="str">
        <f t="shared" si="323"/>
        <v/>
      </c>
      <c r="N2256" t="str">
        <f t="shared" si="324"/>
        <v/>
      </c>
      <c r="Q2256" t="str">
        <f t="shared" si="325"/>
        <v/>
      </c>
      <c r="S2256" t="str">
        <f>IF(A2256=1,MAX($S$2:$S2255)+1,IF(OR($I2256&lt;&gt;"",A2256="x"),$S2255,""))</f>
        <v/>
      </c>
      <c r="T2256" t="str">
        <f>IF(D2256=1,MAX($T$2:$T2255)+1,IF(S2256=S2255,$T2255,IF(D2256="x",T2255,IF(D2255="x","",""))))</f>
        <v/>
      </c>
      <c r="U2256" t="str">
        <f>IF(B2256=1,MAX($U$2:$U2255)+1,IF(AND($T2256&lt;&gt;"",$T2256=$T2255),$U2255,IF(B2256="x",U2255,"")))</f>
        <v/>
      </c>
      <c r="V2256" t="str">
        <f>IF(C2256=1,MAX($V$2:$V2255)+1,IF(AND($T2256&lt;&gt;"",$T2256=$T2255),$U2255,IF(C2256="x",V2255,"")))</f>
        <v/>
      </c>
      <c r="X2256" cm="1">
        <f t="array" ref="X2256">IF($I2256&lt;&gt;"",$I2256,INDEX($I$1:$I2256,ROW()-COUNTIFS($T$1:$T2256,"="&amp;$T2256,$S$1:$S2256,"&lt;"&amp;$S2256)))</f>
        <v>0</v>
      </c>
      <c r="Z2256" s="6">
        <f t="shared" si="326"/>
        <v>1</v>
      </c>
      <c r="AA2256" t="e">
        <f t="shared" si="327"/>
        <v>#VALUE!</v>
      </c>
      <c r="AB2256" t="str">
        <f t="shared" si="328"/>
        <v/>
      </c>
      <c r="AC2256" t="e">
        <f t="shared" si="329"/>
        <v>#VALUE!</v>
      </c>
    </row>
    <row r="2257" spans="1:29" x14ac:dyDescent="0.2">
      <c r="A2257" t="str">
        <f t="shared" si="322"/>
        <v/>
      </c>
      <c r="E2257" s="4"/>
      <c r="F2257" s="46"/>
      <c r="G2257" s="4"/>
      <c r="H2257" s="48"/>
      <c r="J2257" s="26" t="str">
        <f t="shared" si="323"/>
        <v/>
      </c>
      <c r="N2257" t="str">
        <f t="shared" si="324"/>
        <v/>
      </c>
      <c r="Q2257" t="str">
        <f t="shared" si="325"/>
        <v/>
      </c>
      <c r="S2257" t="str">
        <f>IF(A2257=1,MAX($S$2:$S2256)+1,IF(OR($I2257&lt;&gt;"",A2257="x"),$S2256,""))</f>
        <v/>
      </c>
      <c r="T2257" t="str">
        <f>IF(D2257=1,MAX($T$2:$T2256)+1,IF(S2257=S2256,$T2256,IF(D2257="x",T2256,IF(D2256="x","",""))))</f>
        <v/>
      </c>
      <c r="U2257" t="str">
        <f>IF(B2257=1,MAX($U$2:$U2256)+1,IF(AND($T2257&lt;&gt;"",$T2257=$T2256),$U2256,IF(B2257="x",U2256,"")))</f>
        <v/>
      </c>
      <c r="V2257" t="str">
        <f>IF(C2257=1,MAX($V$2:$V2256)+1,IF(AND($T2257&lt;&gt;"",$T2257=$T2256),$U2256,IF(C2257="x",V2256,"")))</f>
        <v/>
      </c>
      <c r="X2257" cm="1">
        <f t="array" ref="X2257">IF($I2257&lt;&gt;"",$I2257,INDEX($I$1:$I2257,ROW()-COUNTIFS($T$1:$T2257,"="&amp;$T2257,$S$1:$S2257,"&lt;"&amp;$S2257)))</f>
        <v>0</v>
      </c>
      <c r="Z2257" s="6">
        <f t="shared" si="326"/>
        <v>1</v>
      </c>
      <c r="AA2257" t="e">
        <f t="shared" si="327"/>
        <v>#VALUE!</v>
      </c>
      <c r="AB2257" t="str">
        <f t="shared" si="328"/>
        <v/>
      </c>
      <c r="AC2257" t="e">
        <f t="shared" si="329"/>
        <v>#VALUE!</v>
      </c>
    </row>
    <row r="2258" spans="1:29" x14ac:dyDescent="0.2">
      <c r="A2258" t="str">
        <f t="shared" si="322"/>
        <v/>
      </c>
      <c r="E2258" s="4"/>
      <c r="F2258" s="46"/>
      <c r="G2258" s="4"/>
      <c r="H2258" s="48"/>
      <c r="J2258" s="26" t="str">
        <f t="shared" si="323"/>
        <v/>
      </c>
      <c r="N2258" t="str">
        <f t="shared" si="324"/>
        <v/>
      </c>
      <c r="Q2258" t="str">
        <f t="shared" si="325"/>
        <v/>
      </c>
      <c r="S2258" t="str">
        <f>IF(A2258=1,MAX($S$2:$S2257)+1,IF(OR($I2258&lt;&gt;"",A2258="x"),$S2257,""))</f>
        <v/>
      </c>
      <c r="T2258" t="str">
        <f>IF(D2258=1,MAX($T$2:$T2257)+1,IF(S2258=S2257,$T2257,IF(D2258="x",T2257,IF(D2257="x","",""))))</f>
        <v/>
      </c>
      <c r="U2258" t="str">
        <f>IF(B2258=1,MAX($U$2:$U2257)+1,IF(AND($T2258&lt;&gt;"",$T2258=$T2257),$U2257,IF(B2258="x",U2257,"")))</f>
        <v/>
      </c>
      <c r="V2258" t="str">
        <f>IF(C2258=1,MAX($V$2:$V2257)+1,IF(AND($T2258&lt;&gt;"",$T2258=$T2257),$U2257,IF(C2258="x",V2257,"")))</f>
        <v/>
      </c>
      <c r="X2258" cm="1">
        <f t="array" ref="X2258">IF($I2258&lt;&gt;"",$I2258,INDEX($I$1:$I2258,ROW()-COUNTIFS($T$1:$T2258,"="&amp;$T2258,$S$1:$S2258,"&lt;"&amp;$S2258)))</f>
        <v>0</v>
      </c>
      <c r="Z2258" s="6">
        <f t="shared" si="326"/>
        <v>1</v>
      </c>
      <c r="AA2258" t="e">
        <f t="shared" si="327"/>
        <v>#VALUE!</v>
      </c>
      <c r="AB2258" t="str">
        <f t="shared" si="328"/>
        <v/>
      </c>
      <c r="AC2258" t="e">
        <f t="shared" si="329"/>
        <v>#VALUE!</v>
      </c>
    </row>
    <row r="2259" spans="1:29" x14ac:dyDescent="0.2">
      <c r="A2259" t="str">
        <f t="shared" ref="A2259:A2322" si="330">IF(K2259&lt;&gt;"",1,IF(D2259="x","x",""))</f>
        <v/>
      </c>
      <c r="E2259" s="4"/>
      <c r="F2259" s="46"/>
      <c r="G2259" s="4"/>
      <c r="H2259" s="48"/>
      <c r="J2259" s="26" t="str">
        <f t="shared" ref="J2259:J2322" si="331">IF(OR(K2259="Goal",K2259="Shot",L2259="Zone_Entry",M2259="Stoppage-Goal",M2258="Stoppage-Goal"),"o",IF(OR(K2259="Save",K2259="Rebound",L2259="Zone_Exit",M2259="Stoppage-GoalieStoppage",M2258="Stoppage-GoalieStoppage"),"d",IF(OR(L2259="Faceoff_AfterGoal",L2259="Faceoff_PeriodStart",698="Faceoff_GameStart",M2258="Stoppage-Goal"),"n","")))</f>
        <v/>
      </c>
      <c r="N2259" t="str">
        <f t="shared" ref="N2259:N2322" si="332">IF(K2259="","",IF(K2259="Goal","s",IF(AND(K2259="Zone_Entry_Exit",OR(ISNUMBER(SEARCH("fail",L2259)),ISNUMBER(SEARCH("FromExitClear",M2259)),ISNUMBER(SEARCH("miss",M2259)))),"u",IF(AND(K2259="Zone_Entry_Exit",OR(NOT(ISNUMBER(SEARCH("fail",L2259))),NOT(ISNUMBER(SEARCH("FromExitClear",M2259))),NOT(ISNUMBER(SEARCH("miss",M2259))))),"s",IF(AND(OR(K2259="Shot",K2259="Pass"),OR(ISNUMBER(SEARCH("complete",L2259)),ISNUMBER(SEARCH("goal",L2259)),ISNUMBER(SEARCH("OnNet",L2259)))),"s",IF(L2259="Turnover_Giveaway","u",IF(AND(OR(K2259="Shot",K2259="Pass"),OR(ISNUMBER(SEARCH("fail",L2259)),NOT(ISNUMBER(SEARCH("complete",L2259))),NOT(ISNUMBER(SEARCH("OnNet",L2259))))),"u","")))))))</f>
        <v/>
      </c>
      <c r="Q2259" t="str">
        <f t="shared" ref="Q2259:Q2322" si="333">IF(O2259="","",IF(AND(N2259&lt;&gt;"",OR(O2259&lt;&gt;"",P2259&lt;&gt;"")),N2259,IF(OR(ISNUMBER(SEARCH("attemp",O2259)),ISNUMBER(SEARCH("beat",O2259)),ISNUMBER(SEARCH("mis",O2259)),ISNUMBER(SEARCH("fail",O2259)),ISNUMBER(SEARCH("loss",O2259)),ISNUMBER(SEARCH("lost",O2259)),ISNUMBER(SEARCH("attemp",P2259)),ISNUMBER(SEARCH("mis",P2259)),ISNUMBER(SEARCH("fail",P2259)),ISNUMBER(SEARCH("loss",P2259)),ISNUMBER(SEARCH("beat",P2259)),ISNUMBER(SEARCH("lost",P2259))),"u","")))</f>
        <v/>
      </c>
      <c r="S2259" t="str">
        <f>IF(A2259=1,MAX($S$2:$S2258)+1,IF(OR($I2259&lt;&gt;"",A2259="x"),$S2258,""))</f>
        <v/>
      </c>
      <c r="T2259" t="str">
        <f>IF(D2259=1,MAX($T$2:$T2258)+1,IF(S2259=S2258,$T2258,IF(D2259="x",T2258,IF(D2258="x","",""))))</f>
        <v/>
      </c>
      <c r="U2259" t="str">
        <f>IF(B2259=1,MAX($U$2:$U2258)+1,IF(AND($T2259&lt;&gt;"",$T2259=$T2258),$U2258,IF(B2259="x",U2258,"")))</f>
        <v/>
      </c>
      <c r="V2259" t="str">
        <f>IF(C2259=1,MAX($V$2:$V2258)+1,IF(AND($T2259&lt;&gt;"",$T2259=$T2258),$U2258,IF(C2259="x",V2258,"")))</f>
        <v/>
      </c>
      <c r="X2259" cm="1">
        <f t="array" ref="X2259">IF($I2259&lt;&gt;"",$I2259,INDEX($I$1:$I2259,ROW()-COUNTIFS($T$1:$T2259,"="&amp;$T2259,$S$1:$S2259,"&lt;"&amp;$S2259)))</f>
        <v>0</v>
      </c>
      <c r="Z2259" s="6">
        <f t="shared" si="326"/>
        <v>1</v>
      </c>
      <c r="AA2259" t="e">
        <f t="shared" si="327"/>
        <v>#VALUE!</v>
      </c>
      <c r="AB2259" t="str">
        <f t="shared" si="328"/>
        <v/>
      </c>
      <c r="AC2259" t="e">
        <f t="shared" si="329"/>
        <v>#VALUE!</v>
      </c>
    </row>
    <row r="2260" spans="1:29" x14ac:dyDescent="0.2">
      <c r="A2260" t="str">
        <f t="shared" si="330"/>
        <v/>
      </c>
      <c r="E2260" s="4"/>
      <c r="F2260" s="46"/>
      <c r="G2260" s="4"/>
      <c r="H2260" s="48"/>
      <c r="J2260" s="26" t="str">
        <f t="shared" si="331"/>
        <v/>
      </c>
      <c r="N2260" t="str">
        <f t="shared" si="332"/>
        <v/>
      </c>
      <c r="Q2260" t="str">
        <f t="shared" si="333"/>
        <v/>
      </c>
      <c r="S2260" t="str">
        <f>IF(A2260=1,MAX($S$2:$S2259)+1,IF(OR($I2260&lt;&gt;"",A2260="x"),$S2259,""))</f>
        <v/>
      </c>
      <c r="T2260" t="str">
        <f>IF(D2260=1,MAX($T$2:$T2259)+1,IF(S2260=S2259,$T2259,IF(D2260="x",T2259,IF(D2259="x","",""))))</f>
        <v/>
      </c>
      <c r="U2260" t="str">
        <f>IF(B2260=1,MAX($U$2:$U2259)+1,IF(AND($T2260&lt;&gt;"",$T2260=$T2259),$U2259,IF(B2260="x",U2259,"")))</f>
        <v/>
      </c>
      <c r="V2260" t="str">
        <f>IF(C2260=1,MAX($V$2:$V2259)+1,IF(AND($T2260&lt;&gt;"",$T2260=$T2259),$U2259,IF(C2260="x",V2259,"")))</f>
        <v/>
      </c>
      <c r="X2260" cm="1">
        <f t="array" ref="X2260">IF($I2260&lt;&gt;"",$I2260,INDEX($I$1:$I2260,ROW()-COUNTIFS($T$1:$T2260,"="&amp;$T2260,$S$1:$S2260,"&lt;"&amp;$S2260)))</f>
        <v>0</v>
      </c>
      <c r="Z2260" s="6">
        <f t="shared" si="326"/>
        <v>1</v>
      </c>
      <c r="AA2260" t="e">
        <f t="shared" si="327"/>
        <v>#VALUE!</v>
      </c>
      <c r="AB2260" t="str">
        <f t="shared" si="328"/>
        <v/>
      </c>
      <c r="AC2260" t="e">
        <f t="shared" si="329"/>
        <v>#VALUE!</v>
      </c>
    </row>
    <row r="2261" spans="1:29" x14ac:dyDescent="0.2">
      <c r="A2261" t="str">
        <f t="shared" si="330"/>
        <v/>
      </c>
      <c r="E2261" s="4"/>
      <c r="F2261" s="46"/>
      <c r="G2261" s="4"/>
      <c r="H2261" s="48"/>
      <c r="J2261" s="26" t="str">
        <f t="shared" si="331"/>
        <v/>
      </c>
      <c r="N2261" t="str">
        <f t="shared" si="332"/>
        <v/>
      </c>
      <c r="Q2261" t="str">
        <f t="shared" si="333"/>
        <v/>
      </c>
      <c r="S2261" t="str">
        <f>IF(A2261=1,MAX($S$2:$S2260)+1,IF(OR($I2261&lt;&gt;"",A2261="x"),$S2260,""))</f>
        <v/>
      </c>
      <c r="T2261" t="str">
        <f>IF(D2261=1,MAX($T$2:$T2260)+1,IF(S2261=S2260,$T2260,IF(D2261="x",T2260,IF(D2260="x","",""))))</f>
        <v/>
      </c>
      <c r="U2261" t="str">
        <f>IF(B2261=1,MAX($U$2:$U2260)+1,IF(AND($T2261&lt;&gt;"",$T2261=$T2260),$U2260,IF(B2261="x",U2260,"")))</f>
        <v/>
      </c>
      <c r="V2261" t="str">
        <f>IF(C2261=1,MAX($V$2:$V2260)+1,IF(AND($T2261&lt;&gt;"",$T2261=$T2260),$U2260,IF(C2261="x",V2260,"")))</f>
        <v/>
      </c>
      <c r="X2261" cm="1">
        <f t="array" ref="X2261">IF($I2261&lt;&gt;"",$I2261,INDEX($I$1:$I2261,ROW()-COUNTIFS($T$1:$T2261,"="&amp;$T2261,$S$1:$S2261,"&lt;"&amp;$S2261)))</f>
        <v>0</v>
      </c>
      <c r="Z2261" s="6">
        <f t="shared" si="326"/>
        <v>1</v>
      </c>
      <c r="AA2261" t="e">
        <f t="shared" si="327"/>
        <v>#VALUE!</v>
      </c>
      <c r="AB2261" t="str">
        <f t="shared" si="328"/>
        <v/>
      </c>
      <c r="AC2261" t="e">
        <f t="shared" si="329"/>
        <v>#VALUE!</v>
      </c>
    </row>
    <row r="2262" spans="1:29" x14ac:dyDescent="0.2">
      <c r="A2262" t="str">
        <f t="shared" si="330"/>
        <v/>
      </c>
      <c r="E2262" s="4"/>
      <c r="F2262" s="46"/>
      <c r="G2262" s="4"/>
      <c r="H2262" s="48"/>
      <c r="J2262" s="26" t="str">
        <f t="shared" si="331"/>
        <v/>
      </c>
      <c r="N2262" t="str">
        <f t="shared" si="332"/>
        <v/>
      </c>
      <c r="Q2262" t="str">
        <f t="shared" si="333"/>
        <v/>
      </c>
      <c r="S2262" t="str">
        <f>IF(A2262=1,MAX($S$2:$S2261)+1,IF(OR($I2262&lt;&gt;"",A2262="x"),$S2261,""))</f>
        <v/>
      </c>
      <c r="T2262" t="str">
        <f>IF(D2262=1,MAX($T$2:$T2261)+1,IF(S2262=S2261,$T2261,IF(D2262="x",T2261,IF(D2261="x","",""))))</f>
        <v/>
      </c>
      <c r="U2262" t="str">
        <f>IF(B2262=1,MAX($U$2:$U2261)+1,IF(AND($T2262&lt;&gt;"",$T2262=$T2261),$U2261,IF(B2262="x",U2261,"")))</f>
        <v/>
      </c>
      <c r="V2262" t="str">
        <f>IF(C2262=1,MAX($V$2:$V2261)+1,IF(AND($T2262&lt;&gt;"",$T2262=$T2261),$U2261,IF(C2262="x",V2261,"")))</f>
        <v/>
      </c>
      <c r="X2262" cm="1">
        <f t="array" ref="X2262">IF($I2262&lt;&gt;"",$I2262,INDEX($I$1:$I2262,ROW()-COUNTIFS($T$1:$T2262,"="&amp;$T2262,$S$1:$S2262,"&lt;"&amp;$S2262)))</f>
        <v>0</v>
      </c>
      <c r="Z2262" s="6">
        <f t="shared" si="326"/>
        <v>1</v>
      </c>
      <c r="AA2262" t="e">
        <f t="shared" si="327"/>
        <v>#VALUE!</v>
      </c>
      <c r="AB2262" t="str">
        <f t="shared" si="328"/>
        <v/>
      </c>
      <c r="AC2262" t="e">
        <f t="shared" si="329"/>
        <v>#VALUE!</v>
      </c>
    </row>
    <row r="2263" spans="1:29" x14ac:dyDescent="0.2">
      <c r="A2263" t="str">
        <f t="shared" si="330"/>
        <v/>
      </c>
      <c r="E2263" s="4"/>
      <c r="F2263" s="46"/>
      <c r="G2263" s="4"/>
      <c r="H2263" s="48"/>
      <c r="J2263" s="26" t="str">
        <f t="shared" si="331"/>
        <v/>
      </c>
      <c r="N2263" t="str">
        <f t="shared" si="332"/>
        <v/>
      </c>
      <c r="Q2263" t="str">
        <f t="shared" si="333"/>
        <v/>
      </c>
      <c r="S2263" t="str">
        <f>IF(A2263=1,MAX($S$2:$S2262)+1,IF(OR($I2263&lt;&gt;"",A2263="x"),$S2262,""))</f>
        <v/>
      </c>
      <c r="T2263" t="str">
        <f>IF(D2263=1,MAX($T$2:$T2262)+1,IF(S2263=S2262,$T2262,IF(D2263="x",T2262,IF(D2262="x","",""))))</f>
        <v/>
      </c>
      <c r="U2263" t="str">
        <f>IF(B2263=1,MAX($U$2:$U2262)+1,IF(AND($T2263&lt;&gt;"",$T2263=$T2262),$U2262,IF(B2263="x",U2262,"")))</f>
        <v/>
      </c>
      <c r="V2263" t="str">
        <f>IF(C2263=1,MAX($V$2:$V2262)+1,IF(AND($T2263&lt;&gt;"",$T2263=$T2262),$U2262,IF(C2263="x",V2262,"")))</f>
        <v/>
      </c>
      <c r="X2263" cm="1">
        <f t="array" ref="X2263">IF($I2263&lt;&gt;"",$I2263,INDEX($I$1:$I2263,ROW()-COUNTIFS($T$1:$T2263,"="&amp;$T2263,$S$1:$S2263,"&lt;"&amp;$S2263)))</f>
        <v>0</v>
      </c>
      <c r="Z2263" s="6">
        <f t="shared" si="326"/>
        <v>1</v>
      </c>
      <c r="AA2263" t="e">
        <f t="shared" si="327"/>
        <v>#VALUE!</v>
      </c>
      <c r="AB2263" t="str">
        <f t="shared" si="328"/>
        <v/>
      </c>
      <c r="AC2263" t="e">
        <f t="shared" si="329"/>
        <v>#VALUE!</v>
      </c>
    </row>
    <row r="2264" spans="1:29" x14ac:dyDescent="0.2">
      <c r="A2264" t="str">
        <f t="shared" si="330"/>
        <v/>
      </c>
      <c r="E2264" s="4"/>
      <c r="F2264" s="46"/>
      <c r="G2264" s="4"/>
      <c r="H2264" s="48"/>
      <c r="J2264" s="26" t="str">
        <f t="shared" si="331"/>
        <v/>
      </c>
      <c r="N2264" t="str">
        <f t="shared" si="332"/>
        <v/>
      </c>
      <c r="Q2264" t="str">
        <f t="shared" si="333"/>
        <v/>
      </c>
      <c r="S2264" t="str">
        <f>IF(A2264=1,MAX($S$2:$S2263)+1,IF(OR($I2264&lt;&gt;"",A2264="x"),$S2263,""))</f>
        <v/>
      </c>
      <c r="T2264" t="str">
        <f>IF(D2264=1,MAX($T$2:$T2263)+1,IF(S2264=S2263,$T2263,IF(D2264="x",T2263,IF(D2263="x","",""))))</f>
        <v/>
      </c>
      <c r="U2264" t="str">
        <f>IF(B2264=1,MAX($U$2:$U2263)+1,IF(AND($T2264&lt;&gt;"",$T2264=$T2263),$U2263,IF(B2264="x",U2263,"")))</f>
        <v/>
      </c>
      <c r="V2264" t="str">
        <f>IF(C2264=1,MAX($V$2:$V2263)+1,IF(AND($T2264&lt;&gt;"",$T2264=$T2263),$U2263,IF(C2264="x",V2263,"")))</f>
        <v/>
      </c>
      <c r="X2264" cm="1">
        <f t="array" ref="X2264">IF($I2264&lt;&gt;"",$I2264,INDEX($I$1:$I2264,ROW()-COUNTIFS($T$1:$T2264,"="&amp;$T2264,$S$1:$S2264,"&lt;"&amp;$S2264)))</f>
        <v>0</v>
      </c>
      <c r="Z2264" s="6">
        <f t="shared" si="326"/>
        <v>1</v>
      </c>
      <c r="AA2264" t="e">
        <f t="shared" si="327"/>
        <v>#VALUE!</v>
      </c>
      <c r="AB2264" t="str">
        <f t="shared" si="328"/>
        <v/>
      </c>
      <c r="AC2264" t="e">
        <f t="shared" si="329"/>
        <v>#VALUE!</v>
      </c>
    </row>
    <row r="2265" spans="1:29" x14ac:dyDescent="0.2">
      <c r="A2265" t="str">
        <f t="shared" si="330"/>
        <v/>
      </c>
      <c r="E2265" s="4"/>
      <c r="F2265" s="46"/>
      <c r="G2265" s="4"/>
      <c r="H2265" s="48"/>
      <c r="J2265" s="26" t="str">
        <f t="shared" si="331"/>
        <v/>
      </c>
      <c r="N2265" t="str">
        <f t="shared" si="332"/>
        <v/>
      </c>
      <c r="Q2265" t="str">
        <f t="shared" si="333"/>
        <v/>
      </c>
      <c r="S2265" t="str">
        <f>IF(A2265=1,MAX($S$2:$S2264)+1,IF(OR($I2265&lt;&gt;"",A2265="x"),$S2264,""))</f>
        <v/>
      </c>
      <c r="T2265" t="str">
        <f>IF(D2265=1,MAX($T$2:$T2264)+1,IF(S2265=S2264,$T2264,IF(D2265="x",T2264,IF(D2264="x","",""))))</f>
        <v/>
      </c>
      <c r="U2265" t="str">
        <f>IF(B2265=1,MAX($U$2:$U2264)+1,IF(AND($T2265&lt;&gt;"",$T2265=$T2264),$U2264,IF(B2265="x",U2264,"")))</f>
        <v/>
      </c>
      <c r="V2265" t="str">
        <f>IF(C2265=1,MAX($V$2:$V2264)+1,IF(AND($T2265&lt;&gt;"",$T2265=$T2264),$U2264,IF(C2265="x",V2264,"")))</f>
        <v/>
      </c>
      <c r="X2265" cm="1">
        <f t="array" ref="X2265">IF($I2265&lt;&gt;"",$I2265,INDEX($I$1:$I2265,ROW()-COUNTIFS($T$1:$T2265,"="&amp;$T2265,$S$1:$S2265,"&lt;"&amp;$S2265)))</f>
        <v>0</v>
      </c>
      <c r="Z2265" s="6">
        <f t="shared" si="326"/>
        <v>1</v>
      </c>
      <c r="AA2265" t="e">
        <f t="shared" si="327"/>
        <v>#VALUE!</v>
      </c>
      <c r="AB2265" t="str">
        <f t="shared" si="328"/>
        <v/>
      </c>
      <c r="AC2265" t="e">
        <f t="shared" si="329"/>
        <v>#VALUE!</v>
      </c>
    </row>
    <row r="2266" spans="1:29" x14ac:dyDescent="0.2">
      <c r="A2266" t="str">
        <f t="shared" si="330"/>
        <v/>
      </c>
      <c r="E2266" s="4"/>
      <c r="F2266" s="46"/>
      <c r="G2266" s="4"/>
      <c r="H2266" s="48"/>
      <c r="J2266" s="26" t="str">
        <f t="shared" si="331"/>
        <v/>
      </c>
      <c r="N2266" t="str">
        <f t="shared" si="332"/>
        <v/>
      </c>
      <c r="Q2266" t="str">
        <f t="shared" si="333"/>
        <v/>
      </c>
      <c r="S2266" t="str">
        <f>IF(A2266=1,MAX($S$2:$S2265)+1,IF(OR($I2266&lt;&gt;"",A2266="x"),$S2265,""))</f>
        <v/>
      </c>
      <c r="T2266" t="str">
        <f>IF(D2266=1,MAX($T$2:$T2265)+1,IF(S2266=S2265,$T2265,IF(D2266="x",T2265,IF(D2265="x","",""))))</f>
        <v/>
      </c>
      <c r="U2266" t="str">
        <f>IF(B2266=1,MAX($U$2:$U2265)+1,IF(AND($T2266&lt;&gt;"",$T2266=$T2265),$U2265,IF(B2266="x",U2265,"")))</f>
        <v/>
      </c>
      <c r="V2266" t="str">
        <f>IF(C2266=1,MAX($V$2:$V2265)+1,IF(AND($T2266&lt;&gt;"",$T2266=$T2265),$U2265,IF(C2266="x",V2265,"")))</f>
        <v/>
      </c>
      <c r="X2266" cm="1">
        <f t="array" ref="X2266">IF($I2266&lt;&gt;"",$I2266,INDEX($I$1:$I2266,ROW()-COUNTIFS($T$1:$T2266,"="&amp;$T2266,$S$1:$S2266,"&lt;"&amp;$S2266)))</f>
        <v>0</v>
      </c>
      <c r="Z2266" s="6">
        <f t="shared" si="326"/>
        <v>1</v>
      </c>
      <c r="AA2266" t="e">
        <f t="shared" si="327"/>
        <v>#VALUE!</v>
      </c>
      <c r="AB2266" t="str">
        <f t="shared" si="328"/>
        <v/>
      </c>
      <c r="AC2266" t="e">
        <f t="shared" si="329"/>
        <v>#VALUE!</v>
      </c>
    </row>
    <row r="2267" spans="1:29" x14ac:dyDescent="0.2">
      <c r="A2267" t="str">
        <f t="shared" si="330"/>
        <v/>
      </c>
      <c r="E2267" s="4"/>
      <c r="F2267" s="46"/>
      <c r="G2267" s="4"/>
      <c r="H2267" s="48"/>
      <c r="J2267" s="26" t="str">
        <f t="shared" si="331"/>
        <v/>
      </c>
      <c r="N2267" t="str">
        <f t="shared" si="332"/>
        <v/>
      </c>
      <c r="Q2267" t="str">
        <f t="shared" si="333"/>
        <v/>
      </c>
      <c r="S2267" t="str">
        <f>IF(A2267=1,MAX($S$2:$S2266)+1,IF(OR($I2267&lt;&gt;"",A2267="x"),$S2266,""))</f>
        <v/>
      </c>
      <c r="T2267" t="str">
        <f>IF(D2267=1,MAX($T$2:$T2266)+1,IF(S2267=S2266,$T2266,IF(D2267="x",T2266,IF(D2266="x","",""))))</f>
        <v/>
      </c>
      <c r="U2267" t="str">
        <f>IF(B2267=1,MAX($U$2:$U2266)+1,IF(AND($T2267&lt;&gt;"",$T2267=$T2266),$U2266,IF(B2267="x",U2266,"")))</f>
        <v/>
      </c>
      <c r="V2267" t="str">
        <f>IF(C2267=1,MAX($V$2:$V2266)+1,IF(AND($T2267&lt;&gt;"",$T2267=$T2266),$U2266,IF(C2267="x",V2266,"")))</f>
        <v/>
      </c>
      <c r="X2267" cm="1">
        <f t="array" ref="X2267">IF($I2267&lt;&gt;"",$I2267,INDEX($I$1:$I2267,ROW()-COUNTIFS($T$1:$T2267,"="&amp;$T2267,$S$1:$S2267,"&lt;"&amp;$S2267)))</f>
        <v>0</v>
      </c>
      <c r="Z2267" s="6">
        <f t="shared" si="326"/>
        <v>1</v>
      </c>
      <c r="AA2267" t="e">
        <f t="shared" si="327"/>
        <v>#VALUE!</v>
      </c>
      <c r="AB2267" t="str">
        <f t="shared" si="328"/>
        <v/>
      </c>
      <c r="AC2267" t="e">
        <f t="shared" si="329"/>
        <v>#VALUE!</v>
      </c>
    </row>
    <row r="2268" spans="1:29" x14ac:dyDescent="0.2">
      <c r="A2268" t="str">
        <f t="shared" si="330"/>
        <v/>
      </c>
      <c r="E2268" s="4"/>
      <c r="F2268" s="46"/>
      <c r="G2268" s="4"/>
      <c r="H2268" s="48"/>
      <c r="J2268" s="26" t="str">
        <f t="shared" si="331"/>
        <v/>
      </c>
      <c r="N2268" t="str">
        <f t="shared" si="332"/>
        <v/>
      </c>
      <c r="Q2268" t="str">
        <f t="shared" si="333"/>
        <v/>
      </c>
      <c r="S2268" t="str">
        <f>IF(A2268=1,MAX($S$2:$S2267)+1,IF(OR($I2268&lt;&gt;"",A2268="x"),$S2267,""))</f>
        <v/>
      </c>
      <c r="T2268" t="str">
        <f>IF(D2268=1,MAX($T$2:$T2267)+1,IF(S2268=S2267,$T2267,IF(D2268="x",T2267,IF(D2267="x","",""))))</f>
        <v/>
      </c>
      <c r="U2268" t="str">
        <f>IF(B2268=1,MAX($U$2:$U2267)+1,IF(AND($T2268&lt;&gt;"",$T2268=$T2267),$U2267,IF(B2268="x",U2267,"")))</f>
        <v/>
      </c>
      <c r="V2268" t="str">
        <f>IF(C2268=1,MAX($V$2:$V2267)+1,IF(AND($T2268&lt;&gt;"",$T2268=$T2267),$U2267,IF(C2268="x",V2267,"")))</f>
        <v/>
      </c>
      <c r="X2268" cm="1">
        <f t="array" ref="X2268">IF($I2268&lt;&gt;"",$I2268,INDEX($I$1:$I2268,ROW()-COUNTIFS($T$1:$T2268,"="&amp;$T2268,$S$1:$S2268,"&lt;"&amp;$S2268)))</f>
        <v>0</v>
      </c>
      <c r="Z2268" s="6">
        <f t="shared" si="326"/>
        <v>1</v>
      </c>
      <c r="AA2268" t="e">
        <f t="shared" si="327"/>
        <v>#VALUE!</v>
      </c>
      <c r="AB2268" t="str">
        <f t="shared" si="328"/>
        <v/>
      </c>
      <c r="AC2268" t="e">
        <f t="shared" si="329"/>
        <v>#VALUE!</v>
      </c>
    </row>
    <row r="2269" spans="1:29" x14ac:dyDescent="0.2">
      <c r="A2269" t="str">
        <f t="shared" si="330"/>
        <v/>
      </c>
      <c r="E2269" s="4"/>
      <c r="F2269" s="46"/>
      <c r="G2269" s="4"/>
      <c r="H2269" s="48"/>
      <c r="J2269" s="26" t="str">
        <f t="shared" si="331"/>
        <v/>
      </c>
      <c r="N2269" t="str">
        <f t="shared" si="332"/>
        <v/>
      </c>
      <c r="Q2269" t="str">
        <f t="shared" si="333"/>
        <v/>
      </c>
      <c r="S2269" t="str">
        <f>IF(A2269=1,MAX($S$2:$S2268)+1,IF(OR($I2269&lt;&gt;"",A2269="x"),$S2268,""))</f>
        <v/>
      </c>
      <c r="T2269" t="str">
        <f>IF(D2269=1,MAX($T$2:$T2268)+1,IF(S2269=S2268,$T2268,IF(D2269="x",T2268,IF(D2268="x","",""))))</f>
        <v/>
      </c>
      <c r="U2269" t="str">
        <f>IF(B2269=1,MAX($U$2:$U2268)+1,IF(AND($T2269&lt;&gt;"",$T2269=$T2268),$U2268,IF(B2269="x",U2268,"")))</f>
        <v/>
      </c>
      <c r="V2269" t="str">
        <f>IF(C2269=1,MAX($V$2:$V2268)+1,IF(AND($T2269&lt;&gt;"",$T2269=$T2268),$U2268,IF(C2269="x",V2268,"")))</f>
        <v/>
      </c>
      <c r="X2269" cm="1">
        <f t="array" ref="X2269">IF($I2269&lt;&gt;"",$I2269,INDEX($I$1:$I2269,ROW()-COUNTIFS($T$1:$T2269,"="&amp;$T2269,$S$1:$S2269,"&lt;"&amp;$S2269)))</f>
        <v>0</v>
      </c>
      <c r="Z2269" s="6">
        <f t="shared" si="326"/>
        <v>1</v>
      </c>
      <c r="AA2269" t="e">
        <f t="shared" si="327"/>
        <v>#VALUE!</v>
      </c>
      <c r="AB2269" t="str">
        <f t="shared" si="328"/>
        <v/>
      </c>
      <c r="AC2269" t="e">
        <f t="shared" si="329"/>
        <v>#VALUE!</v>
      </c>
    </row>
    <row r="2270" spans="1:29" x14ac:dyDescent="0.2">
      <c r="A2270" t="str">
        <f t="shared" si="330"/>
        <v/>
      </c>
      <c r="E2270" s="4"/>
      <c r="F2270" s="46"/>
      <c r="G2270" s="4"/>
      <c r="H2270" s="48"/>
      <c r="J2270" s="26" t="str">
        <f t="shared" si="331"/>
        <v/>
      </c>
      <c r="N2270" t="str">
        <f t="shared" si="332"/>
        <v/>
      </c>
      <c r="Q2270" t="str">
        <f t="shared" si="333"/>
        <v/>
      </c>
      <c r="S2270" t="str">
        <f>IF(A2270=1,MAX($S$2:$S2269)+1,IF(OR($I2270&lt;&gt;"",A2270="x"),$S2269,""))</f>
        <v/>
      </c>
      <c r="T2270" t="str">
        <f>IF(D2270=1,MAX($T$2:$T2269)+1,IF(S2270=S2269,$T2269,IF(D2270="x",T2269,IF(D2269="x","",""))))</f>
        <v/>
      </c>
      <c r="U2270" t="str">
        <f>IF(B2270=1,MAX($U$2:$U2269)+1,IF(AND($T2270&lt;&gt;"",$T2270=$T2269),$U2269,IF(B2270="x",U2269,"")))</f>
        <v/>
      </c>
      <c r="V2270" t="str">
        <f>IF(C2270=1,MAX($V$2:$V2269)+1,IF(AND($T2270&lt;&gt;"",$T2270=$T2269),$U2269,IF(C2270="x",V2269,"")))</f>
        <v/>
      </c>
      <c r="X2270" cm="1">
        <f t="array" ref="X2270">IF($I2270&lt;&gt;"",$I2270,INDEX($I$1:$I2270,ROW()-COUNTIFS($T$1:$T2270,"="&amp;$T2270,$S$1:$S2270,"&lt;"&amp;$S2270)))</f>
        <v>0</v>
      </c>
      <c r="Z2270" s="6">
        <f t="shared" si="326"/>
        <v>1</v>
      </c>
      <c r="AA2270" t="e">
        <f t="shared" si="327"/>
        <v>#VALUE!</v>
      </c>
      <c r="AB2270" t="str">
        <f t="shared" si="328"/>
        <v/>
      </c>
      <c r="AC2270" t="e">
        <f t="shared" si="329"/>
        <v>#VALUE!</v>
      </c>
    </row>
    <row r="2271" spans="1:29" x14ac:dyDescent="0.2">
      <c r="A2271" t="str">
        <f t="shared" si="330"/>
        <v/>
      </c>
      <c r="E2271" s="4"/>
      <c r="F2271" s="46"/>
      <c r="G2271" s="4"/>
      <c r="H2271" s="48"/>
      <c r="J2271" s="26" t="str">
        <f t="shared" si="331"/>
        <v/>
      </c>
      <c r="N2271" t="str">
        <f t="shared" si="332"/>
        <v/>
      </c>
      <c r="Q2271" t="str">
        <f t="shared" si="333"/>
        <v/>
      </c>
      <c r="S2271" t="str">
        <f>IF(A2271=1,MAX($S$2:$S2270)+1,IF(OR($I2271&lt;&gt;"",A2271="x"),$S2270,""))</f>
        <v/>
      </c>
      <c r="T2271" t="str">
        <f>IF(D2271=1,MAX($T$2:$T2270)+1,IF(S2271=S2270,$T2270,IF(D2271="x",T2270,IF(D2270="x","",""))))</f>
        <v/>
      </c>
      <c r="U2271" t="str">
        <f>IF(B2271=1,MAX($U$2:$U2270)+1,IF(AND($T2271&lt;&gt;"",$T2271=$T2270),$U2270,IF(B2271="x",U2270,"")))</f>
        <v/>
      </c>
      <c r="V2271" t="str">
        <f>IF(C2271=1,MAX($V$2:$V2270)+1,IF(AND($T2271&lt;&gt;"",$T2271=$T2270),$U2270,IF(C2271="x",V2270,"")))</f>
        <v/>
      </c>
      <c r="X2271" cm="1">
        <f t="array" ref="X2271">IF($I2271&lt;&gt;"",$I2271,INDEX($I$1:$I2271,ROW()-COUNTIFS($T$1:$T2271,"="&amp;$T2271,$S$1:$S2271,"&lt;"&amp;$S2271)))</f>
        <v>0</v>
      </c>
      <c r="Z2271" s="6">
        <f t="shared" si="326"/>
        <v>1</v>
      </c>
      <c r="AA2271" t="e">
        <f t="shared" si="327"/>
        <v>#VALUE!</v>
      </c>
      <c r="AB2271" t="str">
        <f t="shared" si="328"/>
        <v/>
      </c>
      <c r="AC2271" t="e">
        <f t="shared" si="329"/>
        <v>#VALUE!</v>
      </c>
    </row>
    <row r="2272" spans="1:29" x14ac:dyDescent="0.2">
      <c r="A2272" t="str">
        <f t="shared" si="330"/>
        <v/>
      </c>
      <c r="E2272" s="4"/>
      <c r="F2272" s="46"/>
      <c r="G2272" s="4"/>
      <c r="H2272" s="48"/>
      <c r="J2272" s="26" t="str">
        <f t="shared" si="331"/>
        <v/>
      </c>
      <c r="N2272" t="str">
        <f t="shared" si="332"/>
        <v/>
      </c>
      <c r="Q2272" t="str">
        <f t="shared" si="333"/>
        <v/>
      </c>
      <c r="S2272" t="str">
        <f>IF(A2272=1,MAX($S$2:$S2271)+1,IF(OR($I2272&lt;&gt;"",A2272="x"),$S2271,""))</f>
        <v/>
      </c>
      <c r="T2272" t="str">
        <f>IF(D2272=1,MAX($T$2:$T2271)+1,IF(S2272=S2271,$T2271,IF(D2272="x",T2271,IF(D2271="x","",""))))</f>
        <v/>
      </c>
      <c r="U2272" t="str">
        <f>IF(B2272=1,MAX($U$2:$U2271)+1,IF(AND($T2272&lt;&gt;"",$T2272=$T2271),$U2271,IF(B2272="x",U2271,"")))</f>
        <v/>
      </c>
      <c r="V2272" t="str">
        <f>IF(C2272=1,MAX($V$2:$V2271)+1,IF(AND($T2272&lt;&gt;"",$T2272=$T2271),$U2271,IF(C2272="x",V2271,"")))</f>
        <v/>
      </c>
      <c r="X2272" cm="1">
        <f t="array" ref="X2272">IF($I2272&lt;&gt;"",$I2272,INDEX($I$1:$I2272,ROW()-COUNTIFS($T$1:$T2272,"="&amp;$T2272,$S$1:$S2272,"&lt;"&amp;$S2272)))</f>
        <v>0</v>
      </c>
      <c r="Z2272" s="6">
        <f t="shared" si="326"/>
        <v>1</v>
      </c>
      <c r="AA2272" t="e">
        <f t="shared" si="327"/>
        <v>#VALUE!</v>
      </c>
      <c r="AB2272" t="str">
        <f t="shared" si="328"/>
        <v/>
      </c>
      <c r="AC2272" t="e">
        <f t="shared" si="329"/>
        <v>#VALUE!</v>
      </c>
    </row>
    <row r="2273" spans="1:29" x14ac:dyDescent="0.2">
      <c r="A2273" t="str">
        <f t="shared" si="330"/>
        <v/>
      </c>
      <c r="E2273" s="4"/>
      <c r="F2273" s="46"/>
      <c r="G2273" s="4"/>
      <c r="H2273" s="48"/>
      <c r="J2273" s="26" t="str">
        <f t="shared" si="331"/>
        <v/>
      </c>
      <c r="N2273" t="str">
        <f t="shared" si="332"/>
        <v/>
      </c>
      <c r="Q2273" t="str">
        <f t="shared" si="333"/>
        <v/>
      </c>
      <c r="S2273" t="str">
        <f>IF(A2273=1,MAX($S$2:$S2272)+1,IF(OR($I2273&lt;&gt;"",A2273="x"),$S2272,""))</f>
        <v/>
      </c>
      <c r="T2273" t="str">
        <f>IF(D2273=1,MAX($T$2:$T2272)+1,IF(S2273=S2272,$T2272,IF(D2273="x",T2272,IF(D2272="x","",""))))</f>
        <v/>
      </c>
      <c r="U2273" t="str">
        <f>IF(B2273=1,MAX($U$2:$U2272)+1,IF(AND($T2273&lt;&gt;"",$T2273=$T2272),$U2272,IF(B2273="x",U2272,"")))</f>
        <v/>
      </c>
      <c r="V2273" t="str">
        <f>IF(C2273=1,MAX($V$2:$V2272)+1,IF(AND($T2273&lt;&gt;"",$T2273=$T2272),$U2272,IF(C2273="x",V2272,"")))</f>
        <v/>
      </c>
      <c r="X2273" cm="1">
        <f t="array" ref="X2273">IF($I2273&lt;&gt;"",$I2273,INDEX($I$1:$I2273,ROW()-COUNTIFS($T$1:$T2273,"="&amp;$T2273,$S$1:$S2273,"&lt;"&amp;$S2273)))</f>
        <v>0</v>
      </c>
      <c r="Z2273" s="6">
        <f t="shared" si="326"/>
        <v>1</v>
      </c>
      <c r="AA2273" t="e">
        <f t="shared" si="327"/>
        <v>#VALUE!</v>
      </c>
      <c r="AB2273" t="str">
        <f t="shared" si="328"/>
        <v/>
      </c>
      <c r="AC2273" t="e">
        <f t="shared" si="329"/>
        <v>#VALUE!</v>
      </c>
    </row>
    <row r="2274" spans="1:29" x14ac:dyDescent="0.2">
      <c r="A2274" t="str">
        <f t="shared" si="330"/>
        <v/>
      </c>
      <c r="E2274" s="4"/>
      <c r="F2274" s="46"/>
      <c r="G2274" s="4"/>
      <c r="H2274" s="48"/>
      <c r="J2274" s="26" t="str">
        <f t="shared" si="331"/>
        <v/>
      </c>
      <c r="N2274" t="str">
        <f t="shared" si="332"/>
        <v/>
      </c>
      <c r="Q2274" t="str">
        <f t="shared" si="333"/>
        <v/>
      </c>
      <c r="S2274" t="str">
        <f>IF(A2274=1,MAX($S$2:$S2273)+1,IF(OR($I2274&lt;&gt;"",A2274="x"),$S2273,""))</f>
        <v/>
      </c>
      <c r="T2274" t="str">
        <f>IF(D2274=1,MAX($T$2:$T2273)+1,IF(S2274=S2273,$T2273,IF(D2274="x",T2273,IF(D2273="x","",""))))</f>
        <v/>
      </c>
      <c r="U2274" t="str">
        <f>IF(B2274=1,MAX($U$2:$U2273)+1,IF(AND($T2274&lt;&gt;"",$T2274=$T2273),$U2273,IF(B2274="x",U2273,"")))</f>
        <v/>
      </c>
      <c r="V2274" t="str">
        <f>IF(C2274=1,MAX($V$2:$V2273)+1,IF(AND($T2274&lt;&gt;"",$T2274=$T2273),$U2273,IF(C2274="x",V2273,"")))</f>
        <v/>
      </c>
      <c r="X2274" cm="1">
        <f t="array" ref="X2274">IF($I2274&lt;&gt;"",$I2274,INDEX($I$1:$I2274,ROW()-COUNTIFS($T$1:$T2274,"="&amp;$T2274,$S$1:$S2274,"&lt;"&amp;$S2274)))</f>
        <v>0</v>
      </c>
      <c r="Z2274" s="6">
        <f t="shared" si="326"/>
        <v>1</v>
      </c>
      <c r="AA2274" t="e">
        <f t="shared" si="327"/>
        <v>#VALUE!</v>
      </c>
      <c r="AB2274" t="str">
        <f t="shared" si="328"/>
        <v/>
      </c>
      <c r="AC2274" t="e">
        <f t="shared" si="329"/>
        <v>#VALUE!</v>
      </c>
    </row>
    <row r="2275" spans="1:29" x14ac:dyDescent="0.2">
      <c r="A2275" t="str">
        <f t="shared" si="330"/>
        <v/>
      </c>
      <c r="E2275" s="4"/>
      <c r="F2275" s="46"/>
      <c r="G2275" s="4"/>
      <c r="H2275" s="48"/>
      <c r="J2275" s="26" t="str">
        <f t="shared" si="331"/>
        <v/>
      </c>
      <c r="N2275" t="str">
        <f t="shared" si="332"/>
        <v/>
      </c>
      <c r="Q2275" t="str">
        <f t="shared" si="333"/>
        <v/>
      </c>
      <c r="S2275" t="str">
        <f>IF(A2275=1,MAX($S$2:$S2274)+1,IF(OR($I2275&lt;&gt;"",A2275="x"),$S2274,""))</f>
        <v/>
      </c>
      <c r="T2275" t="str">
        <f>IF(D2275=1,MAX($T$2:$T2274)+1,IF(S2275=S2274,$T2274,IF(D2275="x",T2274,IF(D2274="x","",""))))</f>
        <v/>
      </c>
      <c r="U2275" t="str">
        <f>IF(B2275=1,MAX($U$2:$U2274)+1,IF(AND($T2275&lt;&gt;"",$T2275=$T2274),$U2274,IF(B2275="x",U2274,"")))</f>
        <v/>
      </c>
      <c r="V2275" t="str">
        <f>IF(C2275=1,MAX($V$2:$V2274)+1,IF(AND($T2275&lt;&gt;"",$T2275=$T2274),$U2274,IF(C2275="x",V2274,"")))</f>
        <v/>
      </c>
      <c r="X2275" cm="1">
        <f t="array" ref="X2275">IF($I2275&lt;&gt;"",$I2275,INDEX($I$1:$I2275,ROW()-COUNTIFS($T$1:$T2275,"="&amp;$T2275,$S$1:$S2275,"&lt;"&amp;$S2275)))</f>
        <v>0</v>
      </c>
      <c r="Z2275" s="6">
        <f t="shared" si="326"/>
        <v>1</v>
      </c>
      <c r="AA2275" t="e">
        <f t="shared" si="327"/>
        <v>#VALUE!</v>
      </c>
      <c r="AB2275" t="str">
        <f t="shared" si="328"/>
        <v/>
      </c>
      <c r="AC2275" t="e">
        <f t="shared" si="329"/>
        <v>#VALUE!</v>
      </c>
    </row>
    <row r="2276" spans="1:29" x14ac:dyDescent="0.2">
      <c r="A2276" t="str">
        <f t="shared" si="330"/>
        <v/>
      </c>
      <c r="E2276" s="4"/>
      <c r="F2276" s="46"/>
      <c r="G2276" s="4"/>
      <c r="H2276" s="48"/>
      <c r="J2276" s="26" t="str">
        <f t="shared" si="331"/>
        <v/>
      </c>
      <c r="N2276" t="str">
        <f t="shared" si="332"/>
        <v/>
      </c>
      <c r="Q2276" t="str">
        <f t="shared" si="333"/>
        <v/>
      </c>
      <c r="S2276" t="str">
        <f>IF(A2276=1,MAX($S$2:$S2275)+1,IF(OR($I2276&lt;&gt;"",A2276="x"),$S2275,""))</f>
        <v/>
      </c>
      <c r="T2276" t="str">
        <f>IF(D2276=1,MAX($T$2:$T2275)+1,IF(S2276=S2275,$T2275,IF(D2276="x",T2275,IF(D2275="x","",""))))</f>
        <v/>
      </c>
      <c r="U2276" t="str">
        <f>IF(B2276=1,MAX($U$2:$U2275)+1,IF(AND($T2276&lt;&gt;"",$T2276=$T2275),$U2275,IF(B2276="x",U2275,"")))</f>
        <v/>
      </c>
      <c r="V2276" t="str">
        <f>IF(C2276=1,MAX($V$2:$V2275)+1,IF(AND($T2276&lt;&gt;"",$T2276=$T2275),$U2275,IF(C2276="x",V2275,"")))</f>
        <v/>
      </c>
      <c r="X2276" cm="1">
        <f t="array" ref="X2276">IF($I2276&lt;&gt;"",$I2276,INDEX($I$1:$I2276,ROW()-COUNTIFS($T$1:$T2276,"="&amp;$T2276,$S$1:$S2276,"&lt;"&amp;$S2276)))</f>
        <v>0</v>
      </c>
      <c r="Z2276" s="6">
        <f t="shared" si="326"/>
        <v>1</v>
      </c>
      <c r="AA2276" t="e">
        <f t="shared" si="327"/>
        <v>#VALUE!</v>
      </c>
      <c r="AB2276" t="str">
        <f t="shared" si="328"/>
        <v/>
      </c>
      <c r="AC2276" t="e">
        <f t="shared" si="329"/>
        <v>#VALUE!</v>
      </c>
    </row>
    <row r="2277" spans="1:29" x14ac:dyDescent="0.2">
      <c r="A2277" t="str">
        <f t="shared" si="330"/>
        <v/>
      </c>
      <c r="E2277" s="4"/>
      <c r="F2277" s="46"/>
      <c r="G2277" s="4"/>
      <c r="H2277" s="48"/>
      <c r="J2277" s="26" t="str">
        <f t="shared" si="331"/>
        <v/>
      </c>
      <c r="N2277" t="str">
        <f t="shared" si="332"/>
        <v/>
      </c>
      <c r="Q2277" t="str">
        <f t="shared" si="333"/>
        <v/>
      </c>
      <c r="S2277" t="str">
        <f>IF(A2277=1,MAX($S$2:$S2276)+1,IF(OR($I2277&lt;&gt;"",A2277="x"),$S2276,""))</f>
        <v/>
      </c>
      <c r="T2277" t="str">
        <f>IF(D2277=1,MAX($T$2:$T2276)+1,IF(S2277=S2276,$T2276,IF(D2277="x",T2276,IF(D2276="x","",""))))</f>
        <v/>
      </c>
      <c r="U2277" t="str">
        <f>IF(B2277=1,MAX($U$2:$U2276)+1,IF(AND($T2277&lt;&gt;"",$T2277=$T2276),$U2276,IF(B2277="x",U2276,"")))</f>
        <v/>
      </c>
      <c r="V2277" t="str">
        <f>IF(C2277=1,MAX($V$2:$V2276)+1,IF(AND($T2277&lt;&gt;"",$T2277=$T2276),$U2276,IF(C2277="x",V2276,"")))</f>
        <v/>
      </c>
      <c r="X2277" cm="1">
        <f t="array" ref="X2277">IF($I2277&lt;&gt;"",$I2277,INDEX($I$1:$I2277,ROW()-COUNTIFS($T$1:$T2277,"="&amp;$T2277,$S$1:$S2277,"&lt;"&amp;$S2277)))</f>
        <v>0</v>
      </c>
      <c r="Z2277" s="6">
        <f t="shared" si="326"/>
        <v>1</v>
      </c>
      <c r="AA2277" t="e">
        <f t="shared" si="327"/>
        <v>#VALUE!</v>
      </c>
      <c r="AB2277" t="str">
        <f t="shared" si="328"/>
        <v/>
      </c>
      <c r="AC2277" t="e">
        <f t="shared" si="329"/>
        <v>#VALUE!</v>
      </c>
    </row>
    <row r="2278" spans="1:29" x14ac:dyDescent="0.2">
      <c r="A2278" t="str">
        <f t="shared" si="330"/>
        <v/>
      </c>
      <c r="E2278" s="4"/>
      <c r="F2278" s="46"/>
      <c r="G2278" s="4"/>
      <c r="H2278" s="48"/>
      <c r="J2278" s="26" t="str">
        <f t="shared" si="331"/>
        <v/>
      </c>
      <c r="N2278" t="str">
        <f t="shared" si="332"/>
        <v/>
      </c>
      <c r="Q2278" t="str">
        <f t="shared" si="333"/>
        <v/>
      </c>
      <c r="S2278" t="str">
        <f>IF(A2278=1,MAX($S$2:$S2277)+1,IF(OR($I2278&lt;&gt;"",A2278="x"),$S2277,""))</f>
        <v/>
      </c>
      <c r="T2278" t="str">
        <f>IF(D2278=1,MAX($T$2:$T2277)+1,IF(S2278=S2277,$T2277,IF(D2278="x",T2277,IF(D2277="x","",""))))</f>
        <v/>
      </c>
      <c r="U2278" t="str">
        <f>IF(B2278=1,MAX($U$2:$U2277)+1,IF(AND($T2278&lt;&gt;"",$T2278=$T2277),$U2277,IF(B2278="x",U2277,"")))</f>
        <v/>
      </c>
      <c r="V2278" t="str">
        <f>IF(C2278=1,MAX($V$2:$V2277)+1,IF(AND($T2278&lt;&gt;"",$T2278=$T2277),$U2277,IF(C2278="x",V2277,"")))</f>
        <v/>
      </c>
      <c r="X2278" cm="1">
        <f t="array" ref="X2278">IF($I2278&lt;&gt;"",$I2278,INDEX($I$1:$I2278,ROW()-COUNTIFS($T$1:$T2278,"="&amp;$T2278,$S$1:$S2278,"&lt;"&amp;$S2278)))</f>
        <v>0</v>
      </c>
      <c r="Z2278" s="6">
        <f t="shared" si="326"/>
        <v>1</v>
      </c>
      <c r="AA2278" t="e">
        <f t="shared" si="327"/>
        <v>#VALUE!</v>
      </c>
      <c r="AB2278" t="str">
        <f t="shared" si="328"/>
        <v/>
      </c>
      <c r="AC2278" t="e">
        <f t="shared" si="329"/>
        <v>#VALUE!</v>
      </c>
    </row>
    <row r="2279" spans="1:29" x14ac:dyDescent="0.2">
      <c r="A2279" t="str">
        <f t="shared" si="330"/>
        <v/>
      </c>
      <c r="E2279" s="4"/>
      <c r="F2279" s="46"/>
      <c r="G2279" s="4"/>
      <c r="H2279" s="48"/>
      <c r="J2279" s="26" t="str">
        <f t="shared" si="331"/>
        <v/>
      </c>
      <c r="N2279" t="str">
        <f t="shared" si="332"/>
        <v/>
      </c>
      <c r="Q2279" t="str">
        <f t="shared" si="333"/>
        <v/>
      </c>
      <c r="S2279" t="str">
        <f>IF(A2279=1,MAX($S$2:$S2278)+1,IF(OR($I2279&lt;&gt;"",A2279="x"),$S2278,""))</f>
        <v/>
      </c>
      <c r="T2279" t="str">
        <f>IF(D2279=1,MAX($T$2:$T2278)+1,IF(S2279=S2278,$T2278,IF(D2279="x",T2278,IF(D2278="x","",""))))</f>
        <v/>
      </c>
      <c r="U2279" t="str">
        <f>IF(B2279=1,MAX($U$2:$U2278)+1,IF(AND($T2279&lt;&gt;"",$T2279=$T2278),$U2278,IF(B2279="x",U2278,"")))</f>
        <v/>
      </c>
      <c r="V2279" t="str">
        <f>IF(C2279=1,MAX($V$2:$V2278)+1,IF(AND($T2279&lt;&gt;"",$T2279=$T2278),$U2278,IF(C2279="x",V2278,"")))</f>
        <v/>
      </c>
      <c r="X2279" cm="1">
        <f t="array" ref="X2279">IF($I2279&lt;&gt;"",$I2279,INDEX($I$1:$I2279,ROW()-COUNTIFS($T$1:$T2279,"="&amp;$T2279,$S$1:$S2279,"&lt;"&amp;$S2279)))</f>
        <v>0</v>
      </c>
      <c r="Z2279" s="6">
        <f t="shared" si="326"/>
        <v>1</v>
      </c>
      <c r="AA2279" t="e">
        <f t="shared" si="327"/>
        <v>#VALUE!</v>
      </c>
      <c r="AB2279" t="str">
        <f t="shared" si="328"/>
        <v/>
      </c>
      <c r="AC2279" t="e">
        <f t="shared" si="329"/>
        <v>#VALUE!</v>
      </c>
    </row>
    <row r="2280" spans="1:29" x14ac:dyDescent="0.2">
      <c r="A2280" t="str">
        <f t="shared" si="330"/>
        <v/>
      </c>
      <c r="E2280" s="4"/>
      <c r="F2280" s="46"/>
      <c r="G2280" s="4"/>
      <c r="H2280" s="48"/>
      <c r="J2280" s="26" t="str">
        <f t="shared" si="331"/>
        <v/>
      </c>
      <c r="N2280" t="str">
        <f t="shared" si="332"/>
        <v/>
      </c>
      <c r="Q2280" t="str">
        <f t="shared" si="333"/>
        <v/>
      </c>
      <c r="S2280" t="str">
        <f>IF(A2280=1,MAX($S$2:$S2279)+1,IF(OR($I2280&lt;&gt;"",A2280="x"),$S2279,""))</f>
        <v/>
      </c>
      <c r="T2280" t="str">
        <f>IF(D2280=1,MAX($T$2:$T2279)+1,IF(S2280=S2279,$T2279,IF(D2280="x",T2279,IF(D2279="x","",""))))</f>
        <v/>
      </c>
      <c r="U2280" t="str">
        <f>IF(B2280=1,MAX($U$2:$U2279)+1,IF(AND($T2280&lt;&gt;"",$T2280=$T2279),$U2279,IF(B2280="x",U2279,"")))</f>
        <v/>
      </c>
      <c r="V2280" t="str">
        <f>IF(C2280=1,MAX($V$2:$V2279)+1,IF(AND($T2280&lt;&gt;"",$T2280=$T2279),$U2279,IF(C2280="x",V2279,"")))</f>
        <v/>
      </c>
      <c r="X2280" cm="1">
        <f t="array" ref="X2280">IF($I2280&lt;&gt;"",$I2280,INDEX($I$1:$I2280,ROW()-COUNTIFS($T$1:$T2280,"="&amp;$T2280,$S$1:$S2280,"&lt;"&amp;$S2280)))</f>
        <v>0</v>
      </c>
      <c r="Z2280" s="6">
        <f t="shared" si="326"/>
        <v>1</v>
      </c>
      <c r="AA2280" t="e">
        <f t="shared" si="327"/>
        <v>#VALUE!</v>
      </c>
      <c r="AB2280" t="str">
        <f t="shared" si="328"/>
        <v/>
      </c>
      <c r="AC2280" t="e">
        <f t="shared" si="329"/>
        <v>#VALUE!</v>
      </c>
    </row>
    <row r="2281" spans="1:29" x14ac:dyDescent="0.2">
      <c r="A2281" t="str">
        <f t="shared" si="330"/>
        <v/>
      </c>
      <c r="E2281" s="4"/>
      <c r="F2281" s="46"/>
      <c r="G2281" s="4"/>
      <c r="H2281" s="48"/>
      <c r="J2281" s="26" t="str">
        <f t="shared" si="331"/>
        <v/>
      </c>
      <c r="N2281" t="str">
        <f t="shared" si="332"/>
        <v/>
      </c>
      <c r="Q2281" t="str">
        <f t="shared" si="333"/>
        <v/>
      </c>
      <c r="S2281" t="str">
        <f>IF(A2281=1,MAX($S$2:$S2280)+1,IF(OR($I2281&lt;&gt;"",A2281="x"),$S2280,""))</f>
        <v/>
      </c>
      <c r="T2281" t="str">
        <f>IF(D2281=1,MAX($T$2:$T2280)+1,IF(S2281=S2280,$T2280,IF(D2281="x",T2280,IF(D2280="x","",""))))</f>
        <v/>
      </c>
      <c r="U2281" t="str">
        <f>IF(B2281=1,MAX($U$2:$U2280)+1,IF(AND($T2281&lt;&gt;"",$T2281=$T2280),$U2280,IF(B2281="x",U2280,"")))</f>
        <v/>
      </c>
      <c r="V2281" t="str">
        <f>IF(C2281=1,MAX($V$2:$V2280)+1,IF(AND($T2281&lt;&gt;"",$T2281=$T2280),$U2280,IF(C2281="x",V2280,"")))</f>
        <v/>
      </c>
      <c r="X2281" cm="1">
        <f t="array" ref="X2281">IF($I2281&lt;&gt;"",$I2281,INDEX($I$1:$I2281,ROW()-COUNTIFS($T$1:$T2281,"="&amp;$T2281,$S$1:$S2281,"&lt;"&amp;$S2281)))</f>
        <v>0</v>
      </c>
      <c r="Z2281" s="6">
        <f t="shared" si="326"/>
        <v>1</v>
      </c>
      <c r="AA2281" t="e">
        <f t="shared" si="327"/>
        <v>#VALUE!</v>
      </c>
      <c r="AB2281" t="str">
        <f t="shared" si="328"/>
        <v/>
      </c>
      <c r="AC2281" t="e">
        <f t="shared" si="329"/>
        <v>#VALUE!</v>
      </c>
    </row>
    <row r="2282" spans="1:29" x14ac:dyDescent="0.2">
      <c r="A2282" t="str">
        <f t="shared" si="330"/>
        <v/>
      </c>
      <c r="E2282" s="4"/>
      <c r="F2282" s="46"/>
      <c r="G2282" s="4"/>
      <c r="H2282" s="48"/>
      <c r="J2282" s="26" t="str">
        <f t="shared" si="331"/>
        <v/>
      </c>
      <c r="N2282" t="str">
        <f t="shared" si="332"/>
        <v/>
      </c>
      <c r="Q2282" t="str">
        <f t="shared" si="333"/>
        <v/>
      </c>
      <c r="S2282" t="str">
        <f>IF(A2282=1,MAX($S$2:$S2281)+1,IF(OR($I2282&lt;&gt;"",A2282="x"),$S2281,""))</f>
        <v/>
      </c>
      <c r="T2282" t="str">
        <f>IF(D2282=1,MAX($T$2:$T2281)+1,IF(S2282=S2281,$T2281,IF(D2282="x",T2281,IF(D2281="x","",""))))</f>
        <v/>
      </c>
      <c r="U2282" t="str">
        <f>IF(B2282=1,MAX($U$2:$U2281)+1,IF(AND($T2282&lt;&gt;"",$T2282=$T2281),$U2281,IF(B2282="x",U2281,"")))</f>
        <v/>
      </c>
      <c r="V2282" t="str">
        <f>IF(C2282=1,MAX($V$2:$V2281)+1,IF(AND($T2282&lt;&gt;"",$T2282=$T2281),$U2281,IF(C2282="x",V2281,"")))</f>
        <v/>
      </c>
      <c r="X2282" cm="1">
        <f t="array" ref="X2282">IF($I2282&lt;&gt;"",$I2282,INDEX($I$1:$I2282,ROW()-COUNTIFS($T$1:$T2282,"="&amp;$T2282,$S$1:$S2282,"&lt;"&amp;$S2282)))</f>
        <v>0</v>
      </c>
      <c r="Z2282" s="6">
        <f t="shared" si="326"/>
        <v>1</v>
      </c>
      <c r="AA2282" t="e">
        <f t="shared" si="327"/>
        <v>#VALUE!</v>
      </c>
      <c r="AB2282" t="str">
        <f t="shared" si="328"/>
        <v/>
      </c>
      <c r="AC2282" t="e">
        <f t="shared" si="329"/>
        <v>#VALUE!</v>
      </c>
    </row>
    <row r="2283" spans="1:29" x14ac:dyDescent="0.2">
      <c r="A2283" t="str">
        <f t="shared" si="330"/>
        <v/>
      </c>
      <c r="E2283" s="4"/>
      <c r="F2283" s="46"/>
      <c r="G2283" s="4"/>
      <c r="H2283" s="48"/>
      <c r="J2283" s="26" t="str">
        <f t="shared" si="331"/>
        <v/>
      </c>
      <c r="N2283" t="str">
        <f t="shared" si="332"/>
        <v/>
      </c>
      <c r="Q2283" t="str">
        <f t="shared" si="333"/>
        <v/>
      </c>
      <c r="S2283" t="str">
        <f>IF(A2283=1,MAX($S$2:$S2282)+1,IF(OR($I2283&lt;&gt;"",A2283="x"),$S2282,""))</f>
        <v/>
      </c>
      <c r="T2283" t="str">
        <f>IF(D2283=1,MAX($T$2:$T2282)+1,IF(S2283=S2282,$T2282,IF(D2283="x",T2282,IF(D2282="x","",""))))</f>
        <v/>
      </c>
      <c r="U2283" t="str">
        <f>IF(B2283=1,MAX($U$2:$U2282)+1,IF(AND($T2283&lt;&gt;"",$T2283=$T2282),$U2282,IF(B2283="x",U2282,"")))</f>
        <v/>
      </c>
      <c r="V2283" t="str">
        <f>IF(C2283=1,MAX($V$2:$V2282)+1,IF(AND($T2283&lt;&gt;"",$T2283=$T2282),$U2282,IF(C2283="x",V2282,"")))</f>
        <v/>
      </c>
      <c r="X2283" cm="1">
        <f t="array" ref="X2283">IF($I2283&lt;&gt;"",$I2283,INDEX($I$1:$I2283,ROW()-COUNTIFS($T$1:$T2283,"="&amp;$T2283,$S$1:$S2283,"&lt;"&amp;$S2283)))</f>
        <v>0</v>
      </c>
      <c r="Z2283" s="6">
        <f t="shared" si="326"/>
        <v>1</v>
      </c>
      <c r="AA2283" t="e">
        <f t="shared" si="327"/>
        <v>#VALUE!</v>
      </c>
      <c r="AB2283" t="str">
        <f t="shared" si="328"/>
        <v/>
      </c>
      <c r="AC2283" t="e">
        <f t="shared" si="329"/>
        <v>#VALUE!</v>
      </c>
    </row>
    <row r="2284" spans="1:29" x14ac:dyDescent="0.2">
      <c r="A2284" t="str">
        <f t="shared" si="330"/>
        <v/>
      </c>
      <c r="E2284" s="4"/>
      <c r="F2284" s="46"/>
      <c r="G2284" s="4"/>
      <c r="H2284" s="48"/>
      <c r="J2284" s="26" t="str">
        <f t="shared" si="331"/>
        <v/>
      </c>
      <c r="N2284" t="str">
        <f t="shared" si="332"/>
        <v/>
      </c>
      <c r="Q2284" t="str">
        <f t="shared" si="333"/>
        <v/>
      </c>
      <c r="S2284" t="str">
        <f>IF(A2284=1,MAX($S$2:$S2283)+1,IF(OR($I2284&lt;&gt;"",A2284="x"),$S2283,""))</f>
        <v/>
      </c>
      <c r="T2284" t="str">
        <f>IF(D2284=1,MAX($T$2:$T2283)+1,IF(S2284=S2283,$T2283,IF(D2284="x",T2283,IF(D2283="x","",""))))</f>
        <v/>
      </c>
      <c r="U2284" t="str">
        <f>IF(B2284=1,MAX($U$2:$U2283)+1,IF(AND($T2284&lt;&gt;"",$T2284=$T2283),$U2283,IF(B2284="x",U2283,"")))</f>
        <v/>
      </c>
      <c r="V2284" t="str">
        <f>IF(C2284=1,MAX($V$2:$V2283)+1,IF(AND($T2284&lt;&gt;"",$T2284=$T2283),$U2283,IF(C2284="x",V2283,"")))</f>
        <v/>
      </c>
      <c r="X2284" cm="1">
        <f t="array" ref="X2284">IF($I2284&lt;&gt;"",$I2284,INDEX($I$1:$I2284,ROW()-COUNTIFS($T$1:$T2284,"="&amp;$T2284,$S$1:$S2284,"&lt;"&amp;$S2284)))</f>
        <v>0</v>
      </c>
      <c r="Z2284" s="6">
        <f t="shared" si="326"/>
        <v>1</v>
      </c>
      <c r="AA2284" t="e">
        <f t="shared" si="327"/>
        <v>#VALUE!</v>
      </c>
      <c r="AB2284" t="str">
        <f t="shared" si="328"/>
        <v/>
      </c>
      <c r="AC2284" t="e">
        <f t="shared" si="329"/>
        <v>#VALUE!</v>
      </c>
    </row>
    <row r="2285" spans="1:29" x14ac:dyDescent="0.2">
      <c r="A2285" t="str">
        <f t="shared" si="330"/>
        <v/>
      </c>
      <c r="E2285" s="4"/>
      <c r="F2285" s="46"/>
      <c r="G2285" s="4"/>
      <c r="H2285" s="48"/>
      <c r="J2285" s="26" t="str">
        <f t="shared" si="331"/>
        <v/>
      </c>
      <c r="N2285" t="str">
        <f t="shared" si="332"/>
        <v/>
      </c>
      <c r="Q2285" t="str">
        <f t="shared" si="333"/>
        <v/>
      </c>
      <c r="S2285" t="str">
        <f>IF(A2285=1,MAX($S$2:$S2284)+1,IF(OR($I2285&lt;&gt;"",A2285="x"),$S2284,""))</f>
        <v/>
      </c>
      <c r="T2285" t="str">
        <f>IF(D2285=1,MAX($T$2:$T2284)+1,IF(S2285=S2284,$T2284,IF(D2285="x",T2284,IF(D2284="x","",""))))</f>
        <v/>
      </c>
      <c r="U2285" t="str">
        <f>IF(B2285=1,MAX($U$2:$U2284)+1,IF(AND($T2285&lt;&gt;"",$T2285=$T2284),$U2284,IF(B2285="x",U2284,"")))</f>
        <v/>
      </c>
      <c r="V2285" t="str">
        <f>IF(C2285=1,MAX($V$2:$V2284)+1,IF(AND($T2285&lt;&gt;"",$T2285=$T2284),$U2284,IF(C2285="x",V2284,"")))</f>
        <v/>
      </c>
      <c r="X2285" cm="1">
        <f t="array" ref="X2285">IF($I2285&lt;&gt;"",$I2285,INDEX($I$1:$I2285,ROW()-COUNTIFS($T$1:$T2285,"="&amp;$T2285,$S$1:$S2285,"&lt;"&amp;$S2285)))</f>
        <v>0</v>
      </c>
      <c r="Z2285" s="6">
        <f t="shared" si="326"/>
        <v>1</v>
      </c>
      <c r="AA2285" t="e">
        <f t="shared" si="327"/>
        <v>#VALUE!</v>
      </c>
      <c r="AB2285" t="str">
        <f t="shared" si="328"/>
        <v/>
      </c>
      <c r="AC2285" t="e">
        <f t="shared" si="329"/>
        <v>#VALUE!</v>
      </c>
    </row>
    <row r="2286" spans="1:29" x14ac:dyDescent="0.2">
      <c r="A2286" t="str">
        <f t="shared" si="330"/>
        <v/>
      </c>
      <c r="E2286" s="4"/>
      <c r="F2286" s="46"/>
      <c r="G2286" s="4"/>
      <c r="H2286" s="48"/>
      <c r="J2286" s="26" t="str">
        <f t="shared" si="331"/>
        <v/>
      </c>
      <c r="N2286" t="str">
        <f t="shared" si="332"/>
        <v/>
      </c>
      <c r="Q2286" t="str">
        <f t="shared" si="333"/>
        <v/>
      </c>
      <c r="S2286" t="str">
        <f>IF(A2286=1,MAX($S$2:$S2285)+1,IF(OR($I2286&lt;&gt;"",A2286="x"),$S2285,""))</f>
        <v/>
      </c>
      <c r="T2286" t="str">
        <f>IF(D2286=1,MAX($T$2:$T2285)+1,IF(S2286=S2285,$T2285,IF(D2286="x",T2285,IF(D2285="x","",""))))</f>
        <v/>
      </c>
      <c r="U2286" t="str">
        <f>IF(B2286=1,MAX($U$2:$U2285)+1,IF(AND($T2286&lt;&gt;"",$T2286=$T2285),$U2285,IF(B2286="x",U2285,"")))</f>
        <v/>
      </c>
      <c r="V2286" t="str">
        <f>IF(C2286=1,MAX($V$2:$V2285)+1,IF(AND($T2286&lt;&gt;"",$T2286=$T2285),$U2285,IF(C2286="x",V2285,"")))</f>
        <v/>
      </c>
      <c r="X2286" cm="1">
        <f t="array" ref="X2286">IF($I2286&lt;&gt;"",$I2286,INDEX($I$1:$I2286,ROW()-COUNTIFS($T$1:$T2286,"="&amp;$T2286,$S$1:$S2286,"&lt;"&amp;$S2286)))</f>
        <v>0</v>
      </c>
      <c r="Z2286" s="6">
        <f t="shared" si="326"/>
        <v>1</v>
      </c>
      <c r="AA2286" t="e">
        <f t="shared" si="327"/>
        <v>#VALUE!</v>
      </c>
      <c r="AB2286" t="str">
        <f t="shared" si="328"/>
        <v/>
      </c>
      <c r="AC2286" t="e">
        <f t="shared" si="329"/>
        <v>#VALUE!</v>
      </c>
    </row>
    <row r="2287" spans="1:29" x14ac:dyDescent="0.2">
      <c r="A2287" t="str">
        <f t="shared" si="330"/>
        <v/>
      </c>
      <c r="E2287" s="4"/>
      <c r="F2287" s="46"/>
      <c r="G2287" s="4"/>
      <c r="H2287" s="48"/>
      <c r="J2287" s="26" t="str">
        <f t="shared" si="331"/>
        <v/>
      </c>
      <c r="N2287" t="str">
        <f t="shared" si="332"/>
        <v/>
      </c>
      <c r="Q2287" t="str">
        <f t="shared" si="333"/>
        <v/>
      </c>
      <c r="S2287" t="str">
        <f>IF(A2287=1,MAX($S$2:$S2286)+1,IF(OR($I2287&lt;&gt;"",A2287="x"),$S2286,""))</f>
        <v/>
      </c>
      <c r="T2287" t="str">
        <f>IF(D2287=1,MAX($T$2:$T2286)+1,IF(S2287=S2286,$T2286,IF(D2287="x",T2286,IF(D2286="x","",""))))</f>
        <v/>
      </c>
      <c r="U2287" t="str">
        <f>IF(B2287=1,MAX($U$2:$U2286)+1,IF(AND($T2287&lt;&gt;"",$T2287=$T2286),$U2286,IF(B2287="x",U2286,"")))</f>
        <v/>
      </c>
      <c r="V2287" t="str">
        <f>IF(C2287=1,MAX($V$2:$V2286)+1,IF(AND($T2287&lt;&gt;"",$T2287=$T2286),$U2286,IF(C2287="x",V2286,"")))</f>
        <v/>
      </c>
      <c r="X2287" cm="1">
        <f t="array" ref="X2287">IF($I2287&lt;&gt;"",$I2287,INDEX($I$1:$I2287,ROW()-COUNTIFS($T$1:$T2287,"="&amp;$T2287,$S$1:$S2287,"&lt;"&amp;$S2287)))</f>
        <v>0</v>
      </c>
      <c r="Z2287" s="6">
        <f t="shared" si="326"/>
        <v>1</v>
      </c>
      <c r="AA2287" t="e">
        <f t="shared" si="327"/>
        <v>#VALUE!</v>
      </c>
      <c r="AB2287" t="str">
        <f t="shared" si="328"/>
        <v/>
      </c>
      <c r="AC2287" t="e">
        <f t="shared" si="329"/>
        <v>#VALUE!</v>
      </c>
    </row>
    <row r="2288" spans="1:29" x14ac:dyDescent="0.2">
      <c r="A2288" t="str">
        <f t="shared" si="330"/>
        <v/>
      </c>
      <c r="E2288" s="4"/>
      <c r="F2288" s="46"/>
      <c r="G2288" s="4"/>
      <c r="H2288" s="48"/>
      <c r="J2288" s="26" t="str">
        <f t="shared" si="331"/>
        <v/>
      </c>
      <c r="N2288" t="str">
        <f t="shared" si="332"/>
        <v/>
      </c>
      <c r="Q2288" t="str">
        <f t="shared" si="333"/>
        <v/>
      </c>
      <c r="S2288" t="str">
        <f>IF(A2288=1,MAX($S$2:$S2287)+1,IF(OR($I2288&lt;&gt;"",A2288="x"),$S2287,""))</f>
        <v/>
      </c>
      <c r="T2288" t="str">
        <f>IF(D2288=1,MAX($T$2:$T2287)+1,IF(S2288=S2287,$T2287,IF(D2288="x",T2287,IF(D2287="x","",""))))</f>
        <v/>
      </c>
      <c r="U2288" t="str">
        <f>IF(B2288=1,MAX($U$2:$U2287)+1,IF(AND($T2288&lt;&gt;"",$T2288=$T2287),$U2287,IF(B2288="x",U2287,"")))</f>
        <v/>
      </c>
      <c r="V2288" t="str">
        <f>IF(C2288=1,MAX($V$2:$V2287)+1,IF(AND($T2288&lt;&gt;"",$T2288=$T2287),$U2287,IF(C2288="x",V2287,"")))</f>
        <v/>
      </c>
      <c r="X2288" cm="1">
        <f t="array" ref="X2288">IF($I2288&lt;&gt;"",$I2288,INDEX($I$1:$I2288,ROW()-COUNTIFS($T$1:$T2288,"="&amp;$T2288,$S$1:$S2288,"&lt;"&amp;$S2288)))</f>
        <v>0</v>
      </c>
      <c r="Z2288" s="6">
        <f t="shared" si="326"/>
        <v>1</v>
      </c>
      <c r="AA2288" t="e">
        <f t="shared" si="327"/>
        <v>#VALUE!</v>
      </c>
      <c r="AB2288" t="str">
        <f t="shared" si="328"/>
        <v/>
      </c>
      <c r="AC2288" t="e">
        <f t="shared" si="329"/>
        <v>#VALUE!</v>
      </c>
    </row>
    <row r="2289" spans="1:29" x14ac:dyDescent="0.2">
      <c r="A2289" t="str">
        <f t="shared" si="330"/>
        <v/>
      </c>
      <c r="E2289" s="4"/>
      <c r="F2289" s="46"/>
      <c r="G2289" s="4"/>
      <c r="H2289" s="48"/>
      <c r="J2289" s="26" t="str">
        <f t="shared" si="331"/>
        <v/>
      </c>
      <c r="N2289" t="str">
        <f t="shared" si="332"/>
        <v/>
      </c>
      <c r="Q2289" t="str">
        <f t="shared" si="333"/>
        <v/>
      </c>
      <c r="S2289" t="str">
        <f>IF(A2289=1,MAX($S$2:$S2288)+1,IF(OR($I2289&lt;&gt;"",A2289="x"),$S2288,""))</f>
        <v/>
      </c>
      <c r="T2289" t="str">
        <f>IF(D2289=1,MAX($T$2:$T2288)+1,IF(S2289=S2288,$T2288,IF(D2289="x",T2288,IF(D2288="x","",""))))</f>
        <v/>
      </c>
      <c r="U2289" t="str">
        <f>IF(B2289=1,MAX($U$2:$U2288)+1,IF(AND($T2289&lt;&gt;"",$T2289=$T2288),$U2288,IF(B2289="x",U2288,"")))</f>
        <v/>
      </c>
      <c r="V2289" t="str">
        <f>IF(C2289=1,MAX($V$2:$V2288)+1,IF(AND($T2289&lt;&gt;"",$T2289=$T2288),$U2288,IF(C2289="x",V2288,"")))</f>
        <v/>
      </c>
      <c r="X2289" cm="1">
        <f t="array" ref="X2289">IF($I2289&lt;&gt;"",$I2289,INDEX($I$1:$I2289,ROW()-COUNTIFS($T$1:$T2289,"="&amp;$T2289,$S$1:$S2289,"&lt;"&amp;$S2289)))</f>
        <v>0</v>
      </c>
      <c r="Z2289" s="6">
        <f t="shared" si="326"/>
        <v>1</v>
      </c>
      <c r="AA2289" t="e">
        <f t="shared" si="327"/>
        <v>#VALUE!</v>
      </c>
      <c r="AB2289" t="str">
        <f t="shared" si="328"/>
        <v/>
      </c>
      <c r="AC2289" t="e">
        <f t="shared" si="329"/>
        <v>#VALUE!</v>
      </c>
    </row>
    <row r="2290" spans="1:29" x14ac:dyDescent="0.2">
      <c r="A2290" t="str">
        <f t="shared" si="330"/>
        <v/>
      </c>
      <c r="E2290" s="4"/>
      <c r="F2290" s="46"/>
      <c r="G2290" s="4"/>
      <c r="H2290" s="48"/>
      <c r="J2290" s="26" t="str">
        <f t="shared" si="331"/>
        <v/>
      </c>
      <c r="N2290" t="str">
        <f t="shared" si="332"/>
        <v/>
      </c>
      <c r="Q2290" t="str">
        <f t="shared" si="333"/>
        <v/>
      </c>
      <c r="S2290" t="str">
        <f>IF(A2290=1,MAX($S$2:$S2289)+1,IF(OR($I2290&lt;&gt;"",A2290="x"),$S2289,""))</f>
        <v/>
      </c>
      <c r="T2290" t="str">
        <f>IF(D2290=1,MAX($T$2:$T2289)+1,IF(S2290=S2289,$T2289,IF(D2290="x",T2289,IF(D2289="x","",""))))</f>
        <v/>
      </c>
      <c r="U2290" t="str">
        <f>IF(B2290=1,MAX($U$2:$U2289)+1,IF(AND($T2290&lt;&gt;"",$T2290=$T2289),$U2289,IF(B2290="x",U2289,"")))</f>
        <v/>
      </c>
      <c r="V2290" t="str">
        <f>IF(C2290=1,MAX($V$2:$V2289)+1,IF(AND($T2290&lt;&gt;"",$T2290=$T2289),$U2289,IF(C2290="x",V2289,"")))</f>
        <v/>
      </c>
      <c r="X2290" cm="1">
        <f t="array" ref="X2290">IF($I2290&lt;&gt;"",$I2290,INDEX($I$1:$I2290,ROW()-COUNTIFS($T$1:$T2290,"="&amp;$T2290,$S$1:$S2290,"&lt;"&amp;$S2290)))</f>
        <v>0</v>
      </c>
      <c r="Z2290" s="6">
        <f t="shared" si="326"/>
        <v>1</v>
      </c>
      <c r="AA2290" t="e">
        <f t="shared" si="327"/>
        <v>#VALUE!</v>
      </c>
      <c r="AB2290" t="str">
        <f t="shared" si="328"/>
        <v/>
      </c>
      <c r="AC2290" t="e">
        <f t="shared" si="329"/>
        <v>#VALUE!</v>
      </c>
    </row>
    <row r="2291" spans="1:29" x14ac:dyDescent="0.2">
      <c r="A2291" t="str">
        <f t="shared" si="330"/>
        <v/>
      </c>
      <c r="E2291" s="4"/>
      <c r="F2291" s="46"/>
      <c r="G2291" s="4"/>
      <c r="H2291" s="48"/>
      <c r="J2291" s="26" t="str">
        <f t="shared" si="331"/>
        <v/>
      </c>
      <c r="N2291" t="str">
        <f t="shared" si="332"/>
        <v/>
      </c>
      <c r="Q2291" t="str">
        <f t="shared" si="333"/>
        <v/>
      </c>
      <c r="S2291" t="str">
        <f>IF(A2291=1,MAX($S$2:$S2290)+1,IF(OR($I2291&lt;&gt;"",A2291="x"),$S2290,""))</f>
        <v/>
      </c>
      <c r="T2291" t="str">
        <f>IF(D2291=1,MAX($T$2:$T2290)+1,IF(S2291=S2290,$T2290,IF(D2291="x",T2290,IF(D2290="x","",""))))</f>
        <v/>
      </c>
      <c r="U2291" t="str">
        <f>IF(B2291=1,MAX($U$2:$U2290)+1,IF(AND($T2291&lt;&gt;"",$T2291=$T2290),$U2290,IF(B2291="x",U2290,"")))</f>
        <v/>
      </c>
      <c r="V2291" t="str">
        <f>IF(C2291=1,MAX($V$2:$V2290)+1,IF(AND($T2291&lt;&gt;"",$T2291=$T2290),$U2290,IF(C2291="x",V2290,"")))</f>
        <v/>
      </c>
      <c r="X2291" cm="1">
        <f t="array" ref="X2291">IF($I2291&lt;&gt;"",$I2291,INDEX($I$1:$I2291,ROW()-COUNTIFS($T$1:$T2291,"="&amp;$T2291,$S$1:$S2291,"&lt;"&amp;$S2291)))</f>
        <v>0</v>
      </c>
      <c r="Z2291" s="6">
        <f t="shared" si="326"/>
        <v>1</v>
      </c>
      <c r="AA2291" t="e">
        <f t="shared" si="327"/>
        <v>#VALUE!</v>
      </c>
      <c r="AB2291" t="str">
        <f t="shared" si="328"/>
        <v/>
      </c>
      <c r="AC2291" t="e">
        <f t="shared" si="329"/>
        <v>#VALUE!</v>
      </c>
    </row>
    <row r="2292" spans="1:29" x14ac:dyDescent="0.2">
      <c r="A2292" t="str">
        <f t="shared" si="330"/>
        <v/>
      </c>
      <c r="E2292" s="4"/>
      <c r="F2292" s="46"/>
      <c r="G2292" s="4"/>
      <c r="H2292" s="48"/>
      <c r="J2292" s="26" t="str">
        <f t="shared" si="331"/>
        <v/>
      </c>
      <c r="N2292" t="str">
        <f t="shared" si="332"/>
        <v/>
      </c>
      <c r="Q2292" t="str">
        <f t="shared" si="333"/>
        <v/>
      </c>
      <c r="S2292" t="str">
        <f>IF(A2292=1,MAX($S$2:$S2291)+1,IF(OR($I2292&lt;&gt;"",A2292="x"),$S2291,""))</f>
        <v/>
      </c>
      <c r="T2292" t="str">
        <f>IF(D2292=1,MAX($T$2:$T2291)+1,IF(S2292=S2291,$T2291,IF(D2292="x",T2291,IF(D2291="x","",""))))</f>
        <v/>
      </c>
      <c r="U2292" t="str">
        <f>IF(B2292=1,MAX($U$2:$U2291)+1,IF(AND($T2292&lt;&gt;"",$T2292=$T2291),$U2291,IF(B2292="x",U2291,"")))</f>
        <v/>
      </c>
      <c r="V2292" t="str">
        <f>IF(C2292=1,MAX($V$2:$V2291)+1,IF(AND($T2292&lt;&gt;"",$T2292=$T2291),$U2291,IF(C2292="x",V2291,"")))</f>
        <v/>
      </c>
      <c r="X2292" cm="1">
        <f t="array" ref="X2292">IF($I2292&lt;&gt;"",$I2292,INDEX($I$1:$I2292,ROW()-COUNTIFS($T$1:$T2292,"="&amp;$T2292,$S$1:$S2292,"&lt;"&amp;$S2292)))</f>
        <v>0</v>
      </c>
      <c r="Z2292" s="6">
        <f t="shared" si="326"/>
        <v>1</v>
      </c>
      <c r="AA2292" t="e">
        <f t="shared" si="327"/>
        <v>#VALUE!</v>
      </c>
      <c r="AB2292" t="str">
        <f t="shared" si="328"/>
        <v/>
      </c>
      <c r="AC2292" t="e">
        <f t="shared" si="329"/>
        <v>#VALUE!</v>
      </c>
    </row>
    <row r="2293" spans="1:29" x14ac:dyDescent="0.2">
      <c r="A2293" t="str">
        <f t="shared" si="330"/>
        <v/>
      </c>
      <c r="E2293" s="4"/>
      <c r="F2293" s="46"/>
      <c r="G2293" s="4"/>
      <c r="H2293" s="48"/>
      <c r="J2293" s="26" t="str">
        <f t="shared" si="331"/>
        <v/>
      </c>
      <c r="N2293" t="str">
        <f t="shared" si="332"/>
        <v/>
      </c>
      <c r="Q2293" t="str">
        <f t="shared" si="333"/>
        <v/>
      </c>
      <c r="S2293" t="str">
        <f>IF(A2293=1,MAX($S$2:$S2292)+1,IF(OR($I2293&lt;&gt;"",A2293="x"),$S2292,""))</f>
        <v/>
      </c>
      <c r="T2293" t="str">
        <f>IF(D2293=1,MAX($T$2:$T2292)+1,IF(S2293=S2292,$T2292,IF(D2293="x",T2292,IF(D2292="x","",""))))</f>
        <v/>
      </c>
      <c r="U2293" t="str">
        <f>IF(B2293=1,MAX($U$2:$U2292)+1,IF(AND($T2293&lt;&gt;"",$T2293=$T2292),$U2292,IF(B2293="x",U2292,"")))</f>
        <v/>
      </c>
      <c r="V2293" t="str">
        <f>IF(C2293=1,MAX($V$2:$V2292)+1,IF(AND($T2293&lt;&gt;"",$T2293=$T2292),$U2292,IF(C2293="x",V2292,"")))</f>
        <v/>
      </c>
      <c r="X2293" cm="1">
        <f t="array" ref="X2293">IF($I2293&lt;&gt;"",$I2293,INDEX($I$1:$I2293,ROW()-COUNTIFS($T$1:$T2293,"="&amp;$T2293,$S$1:$S2293,"&lt;"&amp;$S2293)))</f>
        <v>0</v>
      </c>
      <c r="Z2293" s="6">
        <f t="shared" si="326"/>
        <v>1</v>
      </c>
      <c r="AA2293" t="e">
        <f t="shared" si="327"/>
        <v>#VALUE!</v>
      </c>
      <c r="AB2293" t="str">
        <f t="shared" si="328"/>
        <v/>
      </c>
      <c r="AC2293" t="e">
        <f t="shared" si="329"/>
        <v>#VALUE!</v>
      </c>
    </row>
    <row r="2294" spans="1:29" x14ac:dyDescent="0.2">
      <c r="A2294" t="str">
        <f t="shared" si="330"/>
        <v/>
      </c>
      <c r="E2294" s="4"/>
      <c r="F2294" s="46"/>
      <c r="G2294" s="4"/>
      <c r="H2294" s="48"/>
      <c r="J2294" s="26" t="str">
        <f t="shared" si="331"/>
        <v/>
      </c>
      <c r="N2294" t="str">
        <f t="shared" si="332"/>
        <v/>
      </c>
      <c r="Q2294" t="str">
        <f t="shared" si="333"/>
        <v/>
      </c>
      <c r="S2294" t="str">
        <f>IF(A2294=1,MAX($S$2:$S2293)+1,IF(OR($I2294&lt;&gt;"",A2294="x"),$S2293,""))</f>
        <v/>
      </c>
      <c r="T2294" t="str">
        <f>IF(D2294=1,MAX($T$2:$T2293)+1,IF(S2294=S2293,$T2293,IF(D2294="x",T2293,IF(D2293="x","",""))))</f>
        <v/>
      </c>
      <c r="U2294" t="str">
        <f>IF(B2294=1,MAX($U$2:$U2293)+1,IF(AND($T2294&lt;&gt;"",$T2294=$T2293),$U2293,IF(B2294="x",U2293,"")))</f>
        <v/>
      </c>
      <c r="V2294" t="str">
        <f>IF(C2294=1,MAX($V$2:$V2293)+1,IF(AND($T2294&lt;&gt;"",$T2294=$T2293),$U2293,IF(C2294="x",V2293,"")))</f>
        <v/>
      </c>
      <c r="X2294" cm="1">
        <f t="array" ref="X2294">IF($I2294&lt;&gt;"",$I2294,INDEX($I$1:$I2294,ROW()-COUNTIFS($T$1:$T2294,"="&amp;$T2294,$S$1:$S2294,"&lt;"&amp;$S2294)))</f>
        <v>0</v>
      </c>
      <c r="Z2294" s="6">
        <f t="shared" si="326"/>
        <v>1</v>
      </c>
      <c r="AA2294" t="e">
        <f t="shared" si="327"/>
        <v>#VALUE!</v>
      </c>
      <c r="AB2294" t="str">
        <f t="shared" si="328"/>
        <v/>
      </c>
      <c r="AC2294" t="e">
        <f t="shared" si="329"/>
        <v>#VALUE!</v>
      </c>
    </row>
    <row r="2295" spans="1:29" x14ac:dyDescent="0.2">
      <c r="A2295" t="str">
        <f t="shared" si="330"/>
        <v/>
      </c>
      <c r="E2295" s="4"/>
      <c r="F2295" s="46"/>
      <c r="G2295" s="4"/>
      <c r="H2295" s="48"/>
      <c r="J2295" s="26" t="str">
        <f t="shared" si="331"/>
        <v/>
      </c>
      <c r="N2295" t="str">
        <f t="shared" si="332"/>
        <v/>
      </c>
      <c r="Q2295" t="str">
        <f t="shared" si="333"/>
        <v/>
      </c>
      <c r="S2295" t="str">
        <f>IF(A2295=1,MAX($S$2:$S2294)+1,IF(OR($I2295&lt;&gt;"",A2295="x"),$S2294,""))</f>
        <v/>
      </c>
      <c r="T2295" t="str">
        <f>IF(D2295=1,MAX($T$2:$T2294)+1,IF(S2295=S2294,$T2294,IF(D2295="x",T2294,IF(D2294="x","",""))))</f>
        <v/>
      </c>
      <c r="U2295" t="str">
        <f>IF(B2295=1,MAX($U$2:$U2294)+1,IF(AND($T2295&lt;&gt;"",$T2295=$T2294),$U2294,IF(B2295="x",U2294,"")))</f>
        <v/>
      </c>
      <c r="V2295" t="str">
        <f>IF(C2295=1,MAX($V$2:$V2294)+1,IF(AND($T2295&lt;&gt;"",$T2295=$T2294),$U2294,IF(C2295="x",V2294,"")))</f>
        <v/>
      </c>
      <c r="X2295" cm="1">
        <f t="array" ref="X2295">IF($I2295&lt;&gt;"",$I2295,INDEX($I$1:$I2295,ROW()-COUNTIFS($T$1:$T2295,"="&amp;$T2295,$S$1:$S2295,"&lt;"&amp;$S2295)))</f>
        <v>0</v>
      </c>
      <c r="Z2295" s="6">
        <f t="shared" si="326"/>
        <v>1</v>
      </c>
      <c r="AA2295" t="e">
        <f t="shared" si="327"/>
        <v>#VALUE!</v>
      </c>
      <c r="AB2295" t="str">
        <f t="shared" si="328"/>
        <v/>
      </c>
      <c r="AC2295" t="e">
        <f t="shared" si="329"/>
        <v>#VALUE!</v>
      </c>
    </row>
    <row r="2296" spans="1:29" x14ac:dyDescent="0.2">
      <c r="A2296" t="str">
        <f t="shared" si="330"/>
        <v/>
      </c>
      <c r="E2296" s="4"/>
      <c r="F2296" s="46"/>
      <c r="G2296" s="4"/>
      <c r="H2296" s="48"/>
      <c r="J2296" s="26" t="str">
        <f t="shared" si="331"/>
        <v/>
      </c>
      <c r="N2296" t="str">
        <f t="shared" si="332"/>
        <v/>
      </c>
      <c r="Q2296" t="str">
        <f t="shared" si="333"/>
        <v/>
      </c>
      <c r="S2296" t="str">
        <f>IF(A2296=1,MAX($S$2:$S2295)+1,IF(OR($I2296&lt;&gt;"",A2296="x"),$S2295,""))</f>
        <v/>
      </c>
      <c r="T2296" t="str">
        <f>IF(D2296=1,MAX($T$2:$T2295)+1,IF(S2296=S2295,$T2295,IF(D2296="x",T2295,IF(D2295="x","",""))))</f>
        <v/>
      </c>
      <c r="U2296" t="str">
        <f>IF(B2296=1,MAX($U$2:$U2295)+1,IF(AND($T2296&lt;&gt;"",$T2296=$T2295),$U2295,IF(B2296="x",U2295,"")))</f>
        <v/>
      </c>
      <c r="V2296" t="str">
        <f>IF(C2296=1,MAX($V$2:$V2295)+1,IF(AND($T2296&lt;&gt;"",$T2296=$T2295),$U2295,IF(C2296="x",V2295,"")))</f>
        <v/>
      </c>
      <c r="X2296" cm="1">
        <f t="array" ref="X2296">IF($I2296&lt;&gt;"",$I2296,INDEX($I$1:$I2296,ROW()-COUNTIFS($T$1:$T2296,"="&amp;$T2296,$S$1:$S2296,"&lt;"&amp;$S2296)))</f>
        <v>0</v>
      </c>
      <c r="Z2296" s="6">
        <f t="shared" si="326"/>
        <v>1</v>
      </c>
      <c r="AA2296" t="e">
        <f t="shared" si="327"/>
        <v>#VALUE!</v>
      </c>
      <c r="AB2296" t="str">
        <f t="shared" si="328"/>
        <v/>
      </c>
      <c r="AC2296" t="e">
        <f t="shared" si="329"/>
        <v>#VALUE!</v>
      </c>
    </row>
    <row r="2297" spans="1:29" x14ac:dyDescent="0.2">
      <c r="A2297" t="str">
        <f t="shared" si="330"/>
        <v/>
      </c>
      <c r="E2297" s="4"/>
      <c r="F2297" s="46"/>
      <c r="G2297" s="4"/>
      <c r="H2297" s="48"/>
      <c r="J2297" s="26" t="str">
        <f t="shared" si="331"/>
        <v/>
      </c>
      <c r="N2297" t="str">
        <f t="shared" si="332"/>
        <v/>
      </c>
      <c r="Q2297" t="str">
        <f t="shared" si="333"/>
        <v/>
      </c>
      <c r="S2297" t="str">
        <f>IF(A2297=1,MAX($S$2:$S2296)+1,IF(OR($I2297&lt;&gt;"",A2297="x"),$S2296,""))</f>
        <v/>
      </c>
      <c r="T2297" t="str">
        <f>IF(D2297=1,MAX($T$2:$T2296)+1,IF(S2297=S2296,$T2296,IF(D2297="x",T2296,IF(D2296="x","",""))))</f>
        <v/>
      </c>
      <c r="U2297" t="str">
        <f>IF(B2297=1,MAX($U$2:$U2296)+1,IF(AND($T2297&lt;&gt;"",$T2297=$T2296),$U2296,IF(B2297="x",U2296,"")))</f>
        <v/>
      </c>
      <c r="V2297" t="str">
        <f>IF(C2297=1,MAX($V$2:$V2296)+1,IF(AND($T2297&lt;&gt;"",$T2297=$T2296),$U2296,IF(C2297="x",V2296,"")))</f>
        <v/>
      </c>
      <c r="X2297" cm="1">
        <f t="array" ref="X2297">IF($I2297&lt;&gt;"",$I2297,INDEX($I$1:$I2297,ROW()-COUNTIFS($T$1:$T2297,"="&amp;$T2297,$S$1:$S2297,"&lt;"&amp;$S2297)))</f>
        <v>0</v>
      </c>
      <c r="Z2297" s="6">
        <f t="shared" si="326"/>
        <v>1</v>
      </c>
      <c r="AA2297" t="e">
        <f t="shared" si="327"/>
        <v>#VALUE!</v>
      </c>
      <c r="AB2297" t="str">
        <f t="shared" si="328"/>
        <v/>
      </c>
      <c r="AC2297" t="e">
        <f t="shared" si="329"/>
        <v>#VALUE!</v>
      </c>
    </row>
    <row r="2298" spans="1:29" x14ac:dyDescent="0.2">
      <c r="A2298" t="str">
        <f t="shared" si="330"/>
        <v/>
      </c>
      <c r="E2298" s="4"/>
      <c r="F2298" s="46"/>
      <c r="G2298" s="4"/>
      <c r="H2298" s="48"/>
      <c r="J2298" s="26" t="str">
        <f t="shared" si="331"/>
        <v/>
      </c>
      <c r="N2298" t="str">
        <f t="shared" si="332"/>
        <v/>
      </c>
      <c r="Q2298" t="str">
        <f t="shared" si="333"/>
        <v/>
      </c>
      <c r="S2298" t="str">
        <f>IF(A2298=1,MAX($S$2:$S2297)+1,IF(OR($I2298&lt;&gt;"",A2298="x"),$S2297,""))</f>
        <v/>
      </c>
      <c r="T2298" t="str">
        <f>IF(D2298=1,MAX($T$2:$T2297)+1,IF(S2298=S2297,$T2297,IF(D2298="x",T2297,IF(D2297="x","",""))))</f>
        <v/>
      </c>
      <c r="U2298" t="str">
        <f>IF(B2298=1,MAX($U$2:$U2297)+1,IF(AND($T2298&lt;&gt;"",$T2298=$T2297),$U2297,IF(B2298="x",U2297,"")))</f>
        <v/>
      </c>
      <c r="V2298" t="str">
        <f>IF(C2298=1,MAX($V$2:$V2297)+1,IF(AND($T2298&lt;&gt;"",$T2298=$T2297),$U2297,IF(C2298="x",V2297,"")))</f>
        <v/>
      </c>
      <c r="X2298" cm="1">
        <f t="array" ref="X2298">IF($I2298&lt;&gt;"",$I2298,INDEX($I$1:$I2298,ROW()-COUNTIFS($T$1:$T2298,"="&amp;$T2298,$S$1:$S2298,"&lt;"&amp;$S2298)))</f>
        <v>0</v>
      </c>
      <c r="Z2298" s="6">
        <f t="shared" si="326"/>
        <v>1</v>
      </c>
      <c r="AA2298" t="e">
        <f t="shared" si="327"/>
        <v>#VALUE!</v>
      </c>
      <c r="AB2298" t="str">
        <f t="shared" si="328"/>
        <v/>
      </c>
      <c r="AC2298" t="e">
        <f t="shared" si="329"/>
        <v>#VALUE!</v>
      </c>
    </row>
    <row r="2299" spans="1:29" x14ac:dyDescent="0.2">
      <c r="A2299" t="str">
        <f t="shared" si="330"/>
        <v/>
      </c>
      <c r="E2299" s="4"/>
      <c r="F2299" s="46"/>
      <c r="G2299" s="4"/>
      <c r="H2299" s="48"/>
      <c r="J2299" s="26" t="str">
        <f t="shared" si="331"/>
        <v/>
      </c>
      <c r="N2299" t="str">
        <f t="shared" si="332"/>
        <v/>
      </c>
      <c r="Q2299" t="str">
        <f t="shared" si="333"/>
        <v/>
      </c>
      <c r="S2299" t="str">
        <f>IF(A2299=1,MAX($S$2:$S2298)+1,IF(OR($I2299&lt;&gt;"",A2299="x"),$S2298,""))</f>
        <v/>
      </c>
      <c r="T2299" t="str">
        <f>IF(D2299=1,MAX($T$2:$T2298)+1,IF(S2299=S2298,$T2298,IF(D2299="x",T2298,IF(D2298="x","",""))))</f>
        <v/>
      </c>
      <c r="U2299" t="str">
        <f>IF(B2299=1,MAX($U$2:$U2298)+1,IF(AND($T2299&lt;&gt;"",$T2299=$T2298),$U2298,IF(B2299="x",U2298,"")))</f>
        <v/>
      </c>
      <c r="V2299" t="str">
        <f>IF(C2299=1,MAX($V$2:$V2298)+1,IF(AND($T2299&lt;&gt;"",$T2299=$T2298),$U2298,IF(C2299="x",V2298,"")))</f>
        <v/>
      </c>
      <c r="X2299" cm="1">
        <f t="array" ref="X2299">IF($I2299&lt;&gt;"",$I2299,INDEX($I$1:$I2299,ROW()-COUNTIFS($T$1:$T2299,"="&amp;$T2299,$S$1:$S2299,"&lt;"&amp;$S2299)))</f>
        <v>0</v>
      </c>
      <c r="Z2299" s="6">
        <f t="shared" si="326"/>
        <v>1</v>
      </c>
      <c r="AA2299" t="e">
        <f t="shared" si="327"/>
        <v>#VALUE!</v>
      </c>
      <c r="AB2299" t="str">
        <f t="shared" si="328"/>
        <v/>
      </c>
      <c r="AC2299" t="e">
        <f t="shared" si="329"/>
        <v>#VALUE!</v>
      </c>
    </row>
    <row r="2300" spans="1:29" x14ac:dyDescent="0.2">
      <c r="A2300" t="str">
        <f t="shared" si="330"/>
        <v/>
      </c>
      <c r="E2300" s="4"/>
      <c r="F2300" s="46"/>
      <c r="G2300" s="4"/>
      <c r="H2300" s="48"/>
      <c r="J2300" s="26" t="str">
        <f t="shared" si="331"/>
        <v/>
      </c>
      <c r="N2300" t="str">
        <f t="shared" si="332"/>
        <v/>
      </c>
      <c r="Q2300" t="str">
        <f t="shared" si="333"/>
        <v/>
      </c>
      <c r="S2300" t="str">
        <f>IF(A2300=1,MAX($S$2:$S2299)+1,IF(OR($I2300&lt;&gt;"",A2300="x"),$S2299,""))</f>
        <v/>
      </c>
      <c r="T2300" t="str">
        <f>IF(D2300=1,MAX($T$2:$T2299)+1,IF(S2300=S2299,$T2299,IF(D2300="x",T2299,IF(D2299="x","",""))))</f>
        <v/>
      </c>
      <c r="U2300" t="str">
        <f>IF(B2300=1,MAX($U$2:$U2299)+1,IF(AND($T2300&lt;&gt;"",$T2300=$T2299),$U2299,IF(B2300="x",U2299,"")))</f>
        <v/>
      </c>
      <c r="V2300" t="str">
        <f>IF(C2300=1,MAX($V$2:$V2299)+1,IF(AND($T2300&lt;&gt;"",$T2300=$T2299),$U2299,IF(C2300="x",V2299,"")))</f>
        <v/>
      </c>
      <c r="X2300" cm="1">
        <f t="array" ref="X2300">IF($I2300&lt;&gt;"",$I2300,INDEX($I$1:$I2300,ROW()-COUNTIFS($T$1:$T2300,"="&amp;$T2300,$S$1:$S2300,"&lt;"&amp;$S2300)))</f>
        <v>0</v>
      </c>
      <c r="Z2300" s="6">
        <f t="shared" si="326"/>
        <v>1</v>
      </c>
      <c r="AA2300" t="e">
        <f t="shared" si="327"/>
        <v>#VALUE!</v>
      </c>
      <c r="AB2300" t="str">
        <f t="shared" si="328"/>
        <v/>
      </c>
      <c r="AC2300" t="e">
        <f t="shared" si="329"/>
        <v>#VALUE!</v>
      </c>
    </row>
    <row r="2301" spans="1:29" x14ac:dyDescent="0.2">
      <c r="A2301" t="str">
        <f t="shared" si="330"/>
        <v/>
      </c>
      <c r="E2301" s="4"/>
      <c r="F2301" s="46"/>
      <c r="G2301" s="4"/>
      <c r="H2301" s="48"/>
      <c r="J2301" s="26" t="str">
        <f t="shared" si="331"/>
        <v/>
      </c>
      <c r="N2301" t="str">
        <f t="shared" si="332"/>
        <v/>
      </c>
      <c r="Q2301" t="str">
        <f t="shared" si="333"/>
        <v/>
      </c>
      <c r="S2301" t="str">
        <f>IF(A2301=1,MAX($S$2:$S2300)+1,IF(OR($I2301&lt;&gt;"",A2301="x"),$S2300,""))</f>
        <v/>
      </c>
      <c r="T2301" t="str">
        <f>IF(D2301=1,MAX($T$2:$T2300)+1,IF(S2301=S2300,$T2300,IF(D2301="x",T2300,IF(D2300="x","",""))))</f>
        <v/>
      </c>
      <c r="U2301" t="str">
        <f>IF(B2301=1,MAX($U$2:$U2300)+1,IF(AND($T2301&lt;&gt;"",$T2301=$T2300),$U2300,IF(B2301="x",U2300,"")))</f>
        <v/>
      </c>
      <c r="V2301" t="str">
        <f>IF(C2301=1,MAX($V$2:$V2300)+1,IF(AND($T2301&lt;&gt;"",$T2301=$T2300),$U2300,IF(C2301="x",V2300,"")))</f>
        <v/>
      </c>
      <c r="X2301" cm="1">
        <f t="array" ref="X2301">IF($I2301&lt;&gt;"",$I2301,INDEX($I$1:$I2301,ROW()-COUNTIFS($T$1:$T2301,"="&amp;$T2301,$S$1:$S2301,"&lt;"&amp;$S2301)))</f>
        <v>0</v>
      </c>
      <c r="Z2301" s="6">
        <f t="shared" si="326"/>
        <v>1</v>
      </c>
      <c r="AA2301" t="e">
        <f t="shared" si="327"/>
        <v>#VALUE!</v>
      </c>
      <c r="AB2301" t="str">
        <f t="shared" si="328"/>
        <v/>
      </c>
      <c r="AC2301" t="e">
        <f t="shared" si="329"/>
        <v>#VALUE!</v>
      </c>
    </row>
    <row r="2302" spans="1:29" x14ac:dyDescent="0.2">
      <c r="A2302" t="str">
        <f t="shared" si="330"/>
        <v/>
      </c>
      <c r="E2302" s="4"/>
      <c r="F2302" s="46"/>
      <c r="G2302" s="4"/>
      <c r="H2302" s="48"/>
      <c r="J2302" s="26" t="str">
        <f t="shared" si="331"/>
        <v/>
      </c>
      <c r="N2302" t="str">
        <f t="shared" si="332"/>
        <v/>
      </c>
      <c r="Q2302" t="str">
        <f t="shared" si="333"/>
        <v/>
      </c>
      <c r="S2302" t="str">
        <f>IF(A2302=1,MAX($S$2:$S2301)+1,IF(OR($I2302&lt;&gt;"",A2302="x"),$S2301,""))</f>
        <v/>
      </c>
      <c r="T2302" t="str">
        <f>IF(D2302=1,MAX($T$2:$T2301)+1,IF(S2302=S2301,$T2301,IF(D2302="x",T2301,IF(D2301="x","",""))))</f>
        <v/>
      </c>
      <c r="U2302" t="str">
        <f>IF(B2302=1,MAX($U$2:$U2301)+1,IF(AND($T2302&lt;&gt;"",$T2302=$T2301),$U2301,IF(B2302="x",U2301,"")))</f>
        <v/>
      </c>
      <c r="V2302" t="str">
        <f>IF(C2302=1,MAX($V$2:$V2301)+1,IF(AND($T2302&lt;&gt;"",$T2302=$T2301),$U2301,IF(C2302="x",V2301,"")))</f>
        <v/>
      </c>
      <c r="X2302" cm="1">
        <f t="array" ref="X2302">IF($I2302&lt;&gt;"",$I2302,INDEX($I$1:$I2302,ROW()-COUNTIFS($T$1:$T2302,"="&amp;$T2302,$S$1:$S2302,"&lt;"&amp;$S2302)))</f>
        <v>0</v>
      </c>
      <c r="Z2302" s="6">
        <f t="shared" si="326"/>
        <v>1</v>
      </c>
      <c r="AA2302" t="e">
        <f t="shared" si="327"/>
        <v>#VALUE!</v>
      </c>
      <c r="AB2302" t="str">
        <f t="shared" si="328"/>
        <v/>
      </c>
      <c r="AC2302" t="e">
        <f t="shared" si="329"/>
        <v>#VALUE!</v>
      </c>
    </row>
    <row r="2303" spans="1:29" x14ac:dyDescent="0.2">
      <c r="A2303" t="str">
        <f t="shared" si="330"/>
        <v/>
      </c>
      <c r="E2303" s="4"/>
      <c r="F2303" s="46"/>
      <c r="G2303" s="4"/>
      <c r="H2303" s="48"/>
      <c r="J2303" s="26" t="str">
        <f t="shared" si="331"/>
        <v/>
      </c>
      <c r="N2303" t="str">
        <f t="shared" si="332"/>
        <v/>
      </c>
      <c r="Q2303" t="str">
        <f t="shared" si="333"/>
        <v/>
      </c>
      <c r="S2303" t="str">
        <f>IF(A2303=1,MAX($S$2:$S2302)+1,IF(OR($I2303&lt;&gt;"",A2303="x"),$S2302,""))</f>
        <v/>
      </c>
      <c r="T2303" t="str">
        <f>IF(D2303=1,MAX($T$2:$T2302)+1,IF(S2303=S2302,$T2302,IF(D2303="x",T2302,IF(D2302="x","",""))))</f>
        <v/>
      </c>
      <c r="U2303" t="str">
        <f>IF(B2303=1,MAX($U$2:$U2302)+1,IF(AND($T2303&lt;&gt;"",$T2303=$T2302),$U2302,IF(B2303="x",U2302,"")))</f>
        <v/>
      </c>
      <c r="V2303" t="str">
        <f>IF(C2303=1,MAX($V$2:$V2302)+1,IF(AND($T2303&lt;&gt;"",$T2303=$T2302),$U2302,IF(C2303="x",V2302,"")))</f>
        <v/>
      </c>
      <c r="X2303" cm="1">
        <f t="array" ref="X2303">IF($I2303&lt;&gt;"",$I2303,INDEX($I$1:$I2303,ROW()-COUNTIFS($T$1:$T2303,"="&amp;$T2303,$S$1:$S2303,"&lt;"&amp;$S2303)))</f>
        <v>0</v>
      </c>
      <c r="Z2303" s="6">
        <f t="shared" si="326"/>
        <v>1</v>
      </c>
      <c r="AA2303" t="e">
        <f t="shared" si="327"/>
        <v>#VALUE!</v>
      </c>
      <c r="AB2303" t="str">
        <f t="shared" si="328"/>
        <v/>
      </c>
      <c r="AC2303" t="e">
        <f t="shared" si="329"/>
        <v>#VALUE!</v>
      </c>
    </row>
    <row r="2304" spans="1:29" x14ac:dyDescent="0.2">
      <c r="A2304" t="str">
        <f t="shared" si="330"/>
        <v/>
      </c>
      <c r="E2304" s="4"/>
      <c r="F2304" s="46"/>
      <c r="G2304" s="4"/>
      <c r="H2304" s="48"/>
      <c r="J2304" s="26" t="str">
        <f t="shared" si="331"/>
        <v/>
      </c>
      <c r="N2304" t="str">
        <f t="shared" si="332"/>
        <v/>
      </c>
      <c r="Q2304" t="str">
        <f t="shared" si="333"/>
        <v/>
      </c>
      <c r="S2304" t="str">
        <f>IF(A2304=1,MAX($S$2:$S2303)+1,IF(OR($I2304&lt;&gt;"",A2304="x"),$S2303,""))</f>
        <v/>
      </c>
      <c r="T2304" t="str">
        <f>IF(D2304=1,MAX($T$2:$T2303)+1,IF(S2304=S2303,$T2303,IF(D2304="x",T2303,IF(D2303="x","",""))))</f>
        <v/>
      </c>
      <c r="U2304" t="str">
        <f>IF(B2304=1,MAX($U$2:$U2303)+1,IF(AND($T2304&lt;&gt;"",$T2304=$T2303),$U2303,IF(B2304="x",U2303,"")))</f>
        <v/>
      </c>
      <c r="V2304" t="str">
        <f>IF(C2304=1,MAX($V$2:$V2303)+1,IF(AND($T2304&lt;&gt;"",$T2304=$T2303),$U2303,IF(C2304="x",V2303,"")))</f>
        <v/>
      </c>
      <c r="X2304" cm="1">
        <f t="array" ref="X2304">IF($I2304&lt;&gt;"",$I2304,INDEX($I$1:$I2304,ROW()-COUNTIFS($T$1:$T2304,"="&amp;$T2304,$S$1:$S2304,"&lt;"&amp;$S2304)))</f>
        <v>0</v>
      </c>
      <c r="Z2304" s="6">
        <f t="shared" si="326"/>
        <v>1</v>
      </c>
      <c r="AA2304" t="e">
        <f t="shared" si="327"/>
        <v>#VALUE!</v>
      </c>
      <c r="AB2304" t="str">
        <f t="shared" si="328"/>
        <v/>
      </c>
      <c r="AC2304" t="e">
        <f t="shared" si="329"/>
        <v>#VALUE!</v>
      </c>
    </row>
    <row r="2305" spans="1:29" x14ac:dyDescent="0.2">
      <c r="A2305" t="str">
        <f t="shared" si="330"/>
        <v/>
      </c>
      <c r="E2305" s="4"/>
      <c r="F2305" s="46"/>
      <c r="G2305" s="4"/>
      <c r="H2305" s="48"/>
      <c r="J2305" s="26" t="str">
        <f t="shared" si="331"/>
        <v/>
      </c>
      <c r="N2305" t="str">
        <f t="shared" si="332"/>
        <v/>
      </c>
      <c r="Q2305" t="str">
        <f t="shared" si="333"/>
        <v/>
      </c>
      <c r="S2305" t="str">
        <f>IF(A2305=1,MAX($S$2:$S2304)+1,IF(OR($I2305&lt;&gt;"",A2305="x"),$S2304,""))</f>
        <v/>
      </c>
      <c r="T2305" t="str">
        <f>IF(D2305=1,MAX($T$2:$T2304)+1,IF(S2305=S2304,$T2304,IF(D2305="x",T2304,IF(D2304="x","",""))))</f>
        <v/>
      </c>
      <c r="U2305" t="str">
        <f>IF(B2305=1,MAX($U$2:$U2304)+1,IF(AND($T2305&lt;&gt;"",$T2305=$T2304),$U2304,IF(B2305="x",U2304,"")))</f>
        <v/>
      </c>
      <c r="V2305" t="str">
        <f>IF(C2305=1,MAX($V$2:$V2304)+1,IF(AND($T2305&lt;&gt;"",$T2305=$T2304),$U2304,IF(C2305="x",V2304,"")))</f>
        <v/>
      </c>
      <c r="X2305" cm="1">
        <f t="array" ref="X2305">IF($I2305&lt;&gt;"",$I2305,INDEX($I$1:$I2305,ROW()-COUNTIFS($T$1:$T2305,"="&amp;$T2305,$S$1:$S2305,"&lt;"&amp;$S2305)))</f>
        <v>0</v>
      </c>
      <c r="Z2305" s="6">
        <f t="shared" si="326"/>
        <v>1</v>
      </c>
      <c r="AA2305" t="e">
        <f t="shared" si="327"/>
        <v>#VALUE!</v>
      </c>
      <c r="AB2305" t="str">
        <f t="shared" si="328"/>
        <v/>
      </c>
      <c r="AC2305" t="e">
        <f t="shared" si="329"/>
        <v>#VALUE!</v>
      </c>
    </row>
    <row r="2306" spans="1:29" x14ac:dyDescent="0.2">
      <c r="A2306" t="str">
        <f t="shared" si="330"/>
        <v/>
      </c>
      <c r="E2306" s="4"/>
      <c r="F2306" s="46"/>
      <c r="G2306" s="4"/>
      <c r="H2306" s="48"/>
      <c r="J2306" s="26" t="str">
        <f t="shared" si="331"/>
        <v/>
      </c>
      <c r="N2306" t="str">
        <f t="shared" si="332"/>
        <v/>
      </c>
      <c r="Q2306" t="str">
        <f t="shared" si="333"/>
        <v/>
      </c>
      <c r="S2306" t="str">
        <f>IF(A2306=1,MAX($S$2:$S2305)+1,IF(OR($I2306&lt;&gt;"",A2306="x"),$S2305,""))</f>
        <v/>
      </c>
      <c r="T2306" t="str">
        <f>IF(D2306=1,MAX($T$2:$T2305)+1,IF(S2306=S2305,$T2305,IF(D2306="x",T2305,IF(D2305="x","",""))))</f>
        <v/>
      </c>
      <c r="U2306" t="str">
        <f>IF(B2306=1,MAX($U$2:$U2305)+1,IF(AND($T2306&lt;&gt;"",$T2306=$T2305),$U2305,IF(B2306="x",U2305,"")))</f>
        <v/>
      </c>
      <c r="V2306" t="str">
        <f>IF(C2306=1,MAX($V$2:$V2305)+1,IF(AND($T2306&lt;&gt;"",$T2306=$T2305),$U2305,IF(C2306="x",V2305,"")))</f>
        <v/>
      </c>
      <c r="X2306" cm="1">
        <f t="array" ref="X2306">IF($I2306&lt;&gt;"",$I2306,INDEX($I$1:$I2306,ROW()-COUNTIFS($T$1:$T2306,"="&amp;$T2306,$S$1:$S2306,"&lt;"&amp;$S2306)))</f>
        <v>0</v>
      </c>
      <c r="Z2306" s="6">
        <f t="shared" si="326"/>
        <v>1</v>
      </c>
      <c r="AA2306" t="e">
        <f t="shared" si="327"/>
        <v>#VALUE!</v>
      </c>
      <c r="AB2306" t="str">
        <f t="shared" si="328"/>
        <v/>
      </c>
      <c r="AC2306" t="e">
        <f t="shared" si="329"/>
        <v>#VALUE!</v>
      </c>
    </row>
    <row r="2307" spans="1:29" x14ac:dyDescent="0.2">
      <c r="A2307" t="str">
        <f t="shared" si="330"/>
        <v/>
      </c>
      <c r="E2307" s="4"/>
      <c r="F2307" s="46"/>
      <c r="G2307" s="4"/>
      <c r="H2307" s="48"/>
      <c r="J2307" s="26" t="str">
        <f t="shared" si="331"/>
        <v/>
      </c>
      <c r="N2307" t="str">
        <f t="shared" si="332"/>
        <v/>
      </c>
      <c r="Q2307" t="str">
        <f t="shared" si="333"/>
        <v/>
      </c>
      <c r="S2307" t="str">
        <f>IF(A2307=1,MAX($S$2:$S2306)+1,IF(OR($I2307&lt;&gt;"",A2307="x"),$S2306,""))</f>
        <v/>
      </c>
      <c r="T2307" t="str">
        <f>IF(D2307=1,MAX($T$2:$T2306)+1,IF(S2307=S2306,$T2306,IF(D2307="x",T2306,IF(D2306="x","",""))))</f>
        <v/>
      </c>
      <c r="U2307" t="str">
        <f>IF(B2307=1,MAX($U$2:$U2306)+1,IF(AND($T2307&lt;&gt;"",$T2307=$T2306),$U2306,IF(B2307="x",U2306,"")))</f>
        <v/>
      </c>
      <c r="V2307" t="str">
        <f>IF(C2307=1,MAX($V$2:$V2306)+1,IF(AND($T2307&lt;&gt;"",$T2307=$T2306),$U2306,IF(C2307="x",V2306,"")))</f>
        <v/>
      </c>
      <c r="X2307" cm="1">
        <f t="array" ref="X2307">IF($I2307&lt;&gt;"",$I2307,INDEX($I$1:$I2307,ROW()-COUNTIFS($T$1:$T2307,"="&amp;$T2307,$S$1:$S2307,"&lt;"&amp;$S2307)))</f>
        <v>0</v>
      </c>
      <c r="Z2307" s="6">
        <f t="shared" si="326"/>
        <v>1</v>
      </c>
      <c r="AA2307" t="e">
        <f t="shared" si="327"/>
        <v>#VALUE!</v>
      </c>
      <c r="AB2307" t="str">
        <f t="shared" si="328"/>
        <v/>
      </c>
      <c r="AC2307" t="e">
        <f t="shared" si="329"/>
        <v>#VALUE!</v>
      </c>
    </row>
    <row r="2308" spans="1:29" x14ac:dyDescent="0.2">
      <c r="A2308" t="str">
        <f t="shared" si="330"/>
        <v/>
      </c>
      <c r="E2308" s="4"/>
      <c r="F2308" s="46"/>
      <c r="G2308" s="4"/>
      <c r="H2308" s="48"/>
      <c r="J2308" s="26" t="str">
        <f t="shared" si="331"/>
        <v/>
      </c>
      <c r="N2308" t="str">
        <f t="shared" si="332"/>
        <v/>
      </c>
      <c r="Q2308" t="str">
        <f t="shared" si="333"/>
        <v/>
      </c>
      <c r="S2308" t="str">
        <f>IF(A2308=1,MAX($S$2:$S2307)+1,IF(OR($I2308&lt;&gt;"",A2308="x"),$S2307,""))</f>
        <v/>
      </c>
      <c r="T2308" t="str">
        <f>IF(D2308=1,MAX($T$2:$T2307)+1,IF(S2308=S2307,$T2307,IF(D2308="x",T2307,IF(D2307="x","",""))))</f>
        <v/>
      </c>
      <c r="U2308" t="str">
        <f>IF(B2308=1,MAX($U$2:$U2307)+1,IF(AND($T2308&lt;&gt;"",$T2308=$T2307),$U2307,IF(B2308="x",U2307,"")))</f>
        <v/>
      </c>
      <c r="V2308" t="str">
        <f>IF(C2308=1,MAX($V$2:$V2307)+1,IF(AND($T2308&lt;&gt;"",$T2308=$T2307),$U2307,IF(C2308="x",V2307,"")))</f>
        <v/>
      </c>
      <c r="X2308" cm="1">
        <f t="array" ref="X2308">IF($I2308&lt;&gt;"",$I2308,INDEX($I$1:$I2308,ROW()-COUNTIFS($T$1:$T2308,"="&amp;$T2308,$S$1:$S2308,"&lt;"&amp;$S2308)))</f>
        <v>0</v>
      </c>
      <c r="Z2308" s="6">
        <f t="shared" si="326"/>
        <v>1</v>
      </c>
      <c r="AA2308" t="e">
        <f t="shared" si="327"/>
        <v>#VALUE!</v>
      </c>
      <c r="AB2308" t="str">
        <f t="shared" si="328"/>
        <v/>
      </c>
      <c r="AC2308" t="e">
        <f t="shared" si="329"/>
        <v>#VALUE!</v>
      </c>
    </row>
    <row r="2309" spans="1:29" x14ac:dyDescent="0.2">
      <c r="A2309" t="str">
        <f t="shared" si="330"/>
        <v/>
      </c>
      <c r="E2309" s="4"/>
      <c r="F2309" s="46"/>
      <c r="G2309" s="4"/>
      <c r="H2309" s="48"/>
      <c r="J2309" s="26" t="str">
        <f t="shared" si="331"/>
        <v/>
      </c>
      <c r="N2309" t="str">
        <f t="shared" si="332"/>
        <v/>
      </c>
      <c r="Q2309" t="str">
        <f t="shared" si="333"/>
        <v/>
      </c>
      <c r="S2309" t="str">
        <f>IF(A2309=1,MAX($S$2:$S2308)+1,IF(OR($I2309&lt;&gt;"",A2309="x"),$S2308,""))</f>
        <v/>
      </c>
      <c r="T2309" t="str">
        <f>IF(D2309=1,MAX($T$2:$T2308)+1,IF(S2309=S2308,$T2308,IF(D2309="x",T2308,IF(D2308="x","",""))))</f>
        <v/>
      </c>
      <c r="U2309" t="str">
        <f>IF(B2309=1,MAX($U$2:$U2308)+1,IF(AND($T2309&lt;&gt;"",$T2309=$T2308),$U2308,IF(B2309="x",U2308,"")))</f>
        <v/>
      </c>
      <c r="V2309" t="str">
        <f>IF(C2309=1,MAX($V$2:$V2308)+1,IF(AND($T2309&lt;&gt;"",$T2309=$T2308),$U2308,IF(C2309="x",V2308,"")))</f>
        <v/>
      </c>
      <c r="X2309" cm="1">
        <f t="array" ref="X2309">IF($I2309&lt;&gt;"",$I2309,INDEX($I$1:$I2309,ROW()-COUNTIFS($T$1:$T2309,"="&amp;$T2309,$S$1:$S2309,"&lt;"&amp;$S2309)))</f>
        <v>0</v>
      </c>
      <c r="Z2309" s="6">
        <f t="shared" ref="Z2309:Z2372" si="334">IF(K2309="Intermission",Z2308+1,Z2308)</f>
        <v>1</v>
      </c>
      <c r="AA2309" t="e">
        <f t="shared" ref="AA2309:AA2372" si="335">S2309+1000</f>
        <v>#VALUE!</v>
      </c>
      <c r="AB2309" t="str">
        <f t="shared" ref="AB2309:AB2372" si="336">IF(T2309&lt;&gt;"",9000+T2309,"")</f>
        <v/>
      </c>
      <c r="AC2309" t="e">
        <f t="shared" ref="AC2309:AC2372" si="337">IF(AB2309&lt;&gt;"",AB2309,S2309+1000)</f>
        <v>#VALUE!</v>
      </c>
    </row>
    <row r="2310" spans="1:29" x14ac:dyDescent="0.2">
      <c r="A2310" t="str">
        <f t="shared" si="330"/>
        <v/>
      </c>
      <c r="E2310" s="4"/>
      <c r="F2310" s="46"/>
      <c r="G2310" s="4"/>
      <c r="H2310" s="48"/>
      <c r="J2310" s="26" t="str">
        <f t="shared" si="331"/>
        <v/>
      </c>
      <c r="N2310" t="str">
        <f t="shared" si="332"/>
        <v/>
      </c>
      <c r="Q2310" t="str">
        <f t="shared" si="333"/>
        <v/>
      </c>
      <c r="S2310" t="str">
        <f>IF(A2310=1,MAX($S$2:$S2309)+1,IF(OR($I2310&lt;&gt;"",A2310="x"),$S2309,""))</f>
        <v/>
      </c>
      <c r="T2310" t="str">
        <f>IF(D2310=1,MAX($T$2:$T2309)+1,IF(S2310=S2309,$T2309,IF(D2310="x",T2309,IF(D2309="x","",""))))</f>
        <v/>
      </c>
      <c r="U2310" t="str">
        <f>IF(B2310=1,MAX($U$2:$U2309)+1,IF(AND($T2310&lt;&gt;"",$T2310=$T2309),$U2309,IF(B2310="x",U2309,"")))</f>
        <v/>
      </c>
      <c r="V2310" t="str">
        <f>IF(C2310=1,MAX($V$2:$V2309)+1,IF(AND($T2310&lt;&gt;"",$T2310=$T2309),$U2309,IF(C2310="x",V2309,"")))</f>
        <v/>
      </c>
      <c r="X2310" cm="1">
        <f t="array" ref="X2310">IF($I2310&lt;&gt;"",$I2310,INDEX($I$1:$I2310,ROW()-COUNTIFS($T$1:$T2310,"="&amp;$T2310,$S$1:$S2310,"&lt;"&amp;$S2310)))</f>
        <v>0</v>
      </c>
      <c r="Z2310" s="6">
        <f t="shared" si="334"/>
        <v>1</v>
      </c>
      <c r="AA2310" t="e">
        <f t="shared" si="335"/>
        <v>#VALUE!</v>
      </c>
      <c r="AB2310" t="str">
        <f t="shared" si="336"/>
        <v/>
      </c>
      <c r="AC2310" t="e">
        <f t="shared" si="337"/>
        <v>#VALUE!</v>
      </c>
    </row>
    <row r="2311" spans="1:29" x14ac:dyDescent="0.2">
      <c r="A2311" t="str">
        <f t="shared" si="330"/>
        <v/>
      </c>
      <c r="E2311" s="4"/>
      <c r="F2311" s="46"/>
      <c r="G2311" s="4"/>
      <c r="H2311" s="48"/>
      <c r="J2311" s="26" t="str">
        <f t="shared" si="331"/>
        <v/>
      </c>
      <c r="N2311" t="str">
        <f t="shared" si="332"/>
        <v/>
      </c>
      <c r="Q2311" t="str">
        <f t="shared" si="333"/>
        <v/>
      </c>
      <c r="S2311" t="str">
        <f>IF(A2311=1,MAX($S$2:$S2310)+1,IF(OR($I2311&lt;&gt;"",A2311="x"),$S2310,""))</f>
        <v/>
      </c>
      <c r="T2311" t="str">
        <f>IF(D2311=1,MAX($T$2:$T2310)+1,IF(S2311=S2310,$T2310,IF(D2311="x",T2310,IF(D2310="x","",""))))</f>
        <v/>
      </c>
      <c r="U2311" t="str">
        <f>IF(B2311=1,MAX($U$2:$U2310)+1,IF(AND($T2311&lt;&gt;"",$T2311=$T2310),$U2310,IF(B2311="x",U2310,"")))</f>
        <v/>
      </c>
      <c r="V2311" t="str">
        <f>IF(C2311=1,MAX($V$2:$V2310)+1,IF(AND($T2311&lt;&gt;"",$T2311=$T2310),$U2310,IF(C2311="x",V2310,"")))</f>
        <v/>
      </c>
      <c r="X2311" cm="1">
        <f t="array" ref="X2311">IF($I2311&lt;&gt;"",$I2311,INDEX($I$1:$I2311,ROW()-COUNTIFS($T$1:$T2311,"="&amp;$T2311,$S$1:$S2311,"&lt;"&amp;$S2311)))</f>
        <v>0</v>
      </c>
      <c r="Z2311" s="6">
        <f t="shared" si="334"/>
        <v>1</v>
      </c>
      <c r="AA2311" t="e">
        <f t="shared" si="335"/>
        <v>#VALUE!</v>
      </c>
      <c r="AB2311" t="str">
        <f t="shared" si="336"/>
        <v/>
      </c>
      <c r="AC2311" t="e">
        <f t="shared" si="337"/>
        <v>#VALUE!</v>
      </c>
    </row>
    <row r="2312" spans="1:29" x14ac:dyDescent="0.2">
      <c r="A2312" t="str">
        <f t="shared" si="330"/>
        <v/>
      </c>
      <c r="E2312" s="4"/>
      <c r="F2312" s="46"/>
      <c r="G2312" s="4"/>
      <c r="H2312" s="48"/>
      <c r="J2312" s="26" t="str">
        <f t="shared" si="331"/>
        <v/>
      </c>
      <c r="N2312" t="str">
        <f t="shared" si="332"/>
        <v/>
      </c>
      <c r="Q2312" t="str">
        <f t="shared" si="333"/>
        <v/>
      </c>
      <c r="S2312" t="str">
        <f>IF(A2312=1,MAX($S$2:$S2311)+1,IF(OR($I2312&lt;&gt;"",A2312="x"),$S2311,""))</f>
        <v/>
      </c>
      <c r="T2312" t="str">
        <f>IF(D2312=1,MAX($T$2:$T2311)+1,IF(S2312=S2311,$T2311,IF(D2312="x",T2311,IF(D2311="x","",""))))</f>
        <v/>
      </c>
      <c r="U2312" t="str">
        <f>IF(B2312=1,MAX($U$2:$U2311)+1,IF(AND($T2312&lt;&gt;"",$T2312=$T2311),$U2311,IF(B2312="x",U2311,"")))</f>
        <v/>
      </c>
      <c r="V2312" t="str">
        <f>IF(C2312=1,MAX($V$2:$V2311)+1,IF(AND($T2312&lt;&gt;"",$T2312=$T2311),$U2311,IF(C2312="x",V2311,"")))</f>
        <v/>
      </c>
      <c r="X2312" cm="1">
        <f t="array" ref="X2312">IF($I2312&lt;&gt;"",$I2312,INDEX($I$1:$I2312,ROW()-COUNTIFS($T$1:$T2312,"="&amp;$T2312,$S$1:$S2312,"&lt;"&amp;$S2312)))</f>
        <v>0</v>
      </c>
      <c r="Z2312" s="6">
        <f t="shared" si="334"/>
        <v>1</v>
      </c>
      <c r="AA2312" t="e">
        <f t="shared" si="335"/>
        <v>#VALUE!</v>
      </c>
      <c r="AB2312" t="str">
        <f t="shared" si="336"/>
        <v/>
      </c>
      <c r="AC2312" t="e">
        <f t="shared" si="337"/>
        <v>#VALUE!</v>
      </c>
    </row>
    <row r="2313" spans="1:29" x14ac:dyDescent="0.2">
      <c r="A2313" t="str">
        <f t="shared" si="330"/>
        <v/>
      </c>
      <c r="E2313" s="4"/>
      <c r="F2313" s="46"/>
      <c r="G2313" s="4"/>
      <c r="H2313" s="48"/>
      <c r="J2313" s="26" t="str">
        <f t="shared" si="331"/>
        <v/>
      </c>
      <c r="N2313" t="str">
        <f t="shared" si="332"/>
        <v/>
      </c>
      <c r="Q2313" t="str">
        <f t="shared" si="333"/>
        <v/>
      </c>
      <c r="S2313" t="str">
        <f>IF(A2313=1,MAX($S$2:$S2312)+1,IF(OR($I2313&lt;&gt;"",A2313="x"),$S2312,""))</f>
        <v/>
      </c>
      <c r="T2313" t="str">
        <f>IF(D2313=1,MAX($T$2:$T2312)+1,IF(S2313=S2312,$T2312,IF(D2313="x",T2312,IF(D2312="x","",""))))</f>
        <v/>
      </c>
      <c r="U2313" t="str">
        <f>IF(B2313=1,MAX($U$2:$U2312)+1,IF(AND($T2313&lt;&gt;"",$T2313=$T2312),$U2312,IF(B2313="x",U2312,"")))</f>
        <v/>
      </c>
      <c r="V2313" t="str">
        <f>IF(C2313=1,MAX($V$2:$V2312)+1,IF(AND($T2313&lt;&gt;"",$T2313=$T2312),$U2312,IF(C2313="x",V2312,"")))</f>
        <v/>
      </c>
      <c r="X2313" cm="1">
        <f t="array" ref="X2313">IF($I2313&lt;&gt;"",$I2313,INDEX($I$1:$I2313,ROW()-COUNTIFS($T$1:$T2313,"="&amp;$T2313,$S$1:$S2313,"&lt;"&amp;$S2313)))</f>
        <v>0</v>
      </c>
      <c r="Z2313" s="6">
        <f t="shared" si="334"/>
        <v>1</v>
      </c>
      <c r="AA2313" t="e">
        <f t="shared" si="335"/>
        <v>#VALUE!</v>
      </c>
      <c r="AB2313" t="str">
        <f t="shared" si="336"/>
        <v/>
      </c>
      <c r="AC2313" t="e">
        <f t="shared" si="337"/>
        <v>#VALUE!</v>
      </c>
    </row>
    <row r="2314" spans="1:29" x14ac:dyDescent="0.2">
      <c r="A2314" t="str">
        <f t="shared" si="330"/>
        <v/>
      </c>
      <c r="E2314" s="4"/>
      <c r="F2314" s="46"/>
      <c r="G2314" s="4"/>
      <c r="H2314" s="48"/>
      <c r="J2314" s="26" t="str">
        <f t="shared" si="331"/>
        <v/>
      </c>
      <c r="N2314" t="str">
        <f t="shared" si="332"/>
        <v/>
      </c>
      <c r="Q2314" t="str">
        <f t="shared" si="333"/>
        <v/>
      </c>
      <c r="S2314" t="str">
        <f>IF(A2314=1,MAX($S$2:$S2313)+1,IF(OR($I2314&lt;&gt;"",A2314="x"),$S2313,""))</f>
        <v/>
      </c>
      <c r="T2314" t="str">
        <f>IF(D2314=1,MAX($T$2:$T2313)+1,IF(S2314=S2313,$T2313,IF(D2314="x",T2313,IF(D2313="x","",""))))</f>
        <v/>
      </c>
      <c r="U2314" t="str">
        <f>IF(B2314=1,MAX($U$2:$U2313)+1,IF(AND($T2314&lt;&gt;"",$T2314=$T2313),$U2313,IF(B2314="x",U2313,"")))</f>
        <v/>
      </c>
      <c r="V2314" t="str">
        <f>IF(C2314=1,MAX($V$2:$V2313)+1,IF(AND($T2314&lt;&gt;"",$T2314=$T2313),$U2313,IF(C2314="x",V2313,"")))</f>
        <v/>
      </c>
      <c r="X2314" cm="1">
        <f t="array" ref="X2314">IF($I2314&lt;&gt;"",$I2314,INDEX($I$1:$I2314,ROW()-COUNTIFS($T$1:$T2314,"="&amp;$T2314,$S$1:$S2314,"&lt;"&amp;$S2314)))</f>
        <v>0</v>
      </c>
      <c r="Z2314" s="6">
        <f t="shared" si="334"/>
        <v>1</v>
      </c>
      <c r="AA2314" t="e">
        <f t="shared" si="335"/>
        <v>#VALUE!</v>
      </c>
      <c r="AB2314" t="str">
        <f t="shared" si="336"/>
        <v/>
      </c>
      <c r="AC2314" t="e">
        <f t="shared" si="337"/>
        <v>#VALUE!</v>
      </c>
    </row>
    <row r="2315" spans="1:29" x14ac:dyDescent="0.2">
      <c r="A2315" t="str">
        <f t="shared" si="330"/>
        <v/>
      </c>
      <c r="E2315" s="4"/>
      <c r="F2315" s="46"/>
      <c r="G2315" s="4"/>
      <c r="H2315" s="48"/>
      <c r="J2315" s="26" t="str">
        <f t="shared" si="331"/>
        <v/>
      </c>
      <c r="N2315" t="str">
        <f t="shared" si="332"/>
        <v/>
      </c>
      <c r="Q2315" t="str">
        <f t="shared" si="333"/>
        <v/>
      </c>
      <c r="S2315" t="str">
        <f>IF(A2315=1,MAX($S$2:$S2314)+1,IF(OR($I2315&lt;&gt;"",A2315="x"),$S2314,""))</f>
        <v/>
      </c>
      <c r="T2315" t="str">
        <f>IF(D2315=1,MAX($T$2:$T2314)+1,IF(S2315=S2314,$T2314,IF(D2315="x",T2314,IF(D2314="x","",""))))</f>
        <v/>
      </c>
      <c r="U2315" t="str">
        <f>IF(B2315=1,MAX($U$2:$U2314)+1,IF(AND($T2315&lt;&gt;"",$T2315=$T2314),$U2314,IF(B2315="x",U2314,"")))</f>
        <v/>
      </c>
      <c r="V2315" t="str">
        <f>IF(C2315=1,MAX($V$2:$V2314)+1,IF(AND($T2315&lt;&gt;"",$T2315=$T2314),$U2314,IF(C2315="x",V2314,"")))</f>
        <v/>
      </c>
      <c r="X2315" cm="1">
        <f t="array" ref="X2315">IF($I2315&lt;&gt;"",$I2315,INDEX($I$1:$I2315,ROW()-COUNTIFS($T$1:$T2315,"="&amp;$T2315,$S$1:$S2315,"&lt;"&amp;$S2315)))</f>
        <v>0</v>
      </c>
      <c r="Z2315" s="6">
        <f t="shared" si="334"/>
        <v>1</v>
      </c>
      <c r="AA2315" t="e">
        <f t="shared" si="335"/>
        <v>#VALUE!</v>
      </c>
      <c r="AB2315" t="str">
        <f t="shared" si="336"/>
        <v/>
      </c>
      <c r="AC2315" t="e">
        <f t="shared" si="337"/>
        <v>#VALUE!</v>
      </c>
    </row>
    <row r="2316" spans="1:29" x14ac:dyDescent="0.2">
      <c r="A2316" t="str">
        <f t="shared" si="330"/>
        <v/>
      </c>
      <c r="E2316" s="4"/>
      <c r="F2316" s="46"/>
      <c r="G2316" s="4"/>
      <c r="H2316" s="48"/>
      <c r="J2316" s="26" t="str">
        <f t="shared" si="331"/>
        <v/>
      </c>
      <c r="N2316" t="str">
        <f t="shared" si="332"/>
        <v/>
      </c>
      <c r="Q2316" t="str">
        <f t="shared" si="333"/>
        <v/>
      </c>
      <c r="S2316" t="str">
        <f>IF(A2316=1,MAX($S$2:$S2315)+1,IF(OR($I2316&lt;&gt;"",A2316="x"),$S2315,""))</f>
        <v/>
      </c>
      <c r="T2316" t="str">
        <f>IF(D2316=1,MAX($T$2:$T2315)+1,IF(S2316=S2315,$T2315,IF(D2316="x",T2315,IF(D2315="x","",""))))</f>
        <v/>
      </c>
      <c r="U2316" t="str">
        <f>IF(B2316=1,MAX($U$2:$U2315)+1,IF(AND($T2316&lt;&gt;"",$T2316=$T2315),$U2315,IF(B2316="x",U2315,"")))</f>
        <v/>
      </c>
      <c r="V2316" t="str">
        <f>IF(C2316=1,MAX($V$2:$V2315)+1,IF(AND($T2316&lt;&gt;"",$T2316=$T2315),$U2315,IF(C2316="x",V2315,"")))</f>
        <v/>
      </c>
      <c r="X2316" cm="1">
        <f t="array" ref="X2316">IF($I2316&lt;&gt;"",$I2316,INDEX($I$1:$I2316,ROW()-COUNTIFS($T$1:$T2316,"="&amp;$T2316,$S$1:$S2316,"&lt;"&amp;$S2316)))</f>
        <v>0</v>
      </c>
      <c r="Z2316" s="6">
        <f t="shared" si="334"/>
        <v>1</v>
      </c>
      <c r="AA2316" t="e">
        <f t="shared" si="335"/>
        <v>#VALUE!</v>
      </c>
      <c r="AB2316" t="str">
        <f t="shared" si="336"/>
        <v/>
      </c>
      <c r="AC2316" t="e">
        <f t="shared" si="337"/>
        <v>#VALUE!</v>
      </c>
    </row>
    <row r="2317" spans="1:29" x14ac:dyDescent="0.2">
      <c r="A2317" t="str">
        <f t="shared" si="330"/>
        <v/>
      </c>
      <c r="E2317" s="4"/>
      <c r="F2317" s="46"/>
      <c r="G2317" s="4"/>
      <c r="H2317" s="48"/>
      <c r="J2317" s="26" t="str">
        <f t="shared" si="331"/>
        <v/>
      </c>
      <c r="N2317" t="str">
        <f t="shared" si="332"/>
        <v/>
      </c>
      <c r="Q2317" t="str">
        <f t="shared" si="333"/>
        <v/>
      </c>
      <c r="S2317" t="str">
        <f>IF(A2317=1,MAX($S$2:$S2316)+1,IF(OR($I2317&lt;&gt;"",A2317="x"),$S2316,""))</f>
        <v/>
      </c>
      <c r="T2317" t="str">
        <f>IF(D2317=1,MAX($T$2:$T2316)+1,IF(S2317=S2316,$T2316,IF(D2317="x",T2316,IF(D2316="x","",""))))</f>
        <v/>
      </c>
      <c r="U2317" t="str">
        <f>IF(B2317=1,MAX($U$2:$U2316)+1,IF(AND($T2317&lt;&gt;"",$T2317=$T2316),$U2316,IF(B2317="x",U2316,"")))</f>
        <v/>
      </c>
      <c r="V2317" t="str">
        <f>IF(C2317=1,MAX($V$2:$V2316)+1,IF(AND($T2317&lt;&gt;"",$T2317=$T2316),$U2316,IF(C2317="x",V2316,"")))</f>
        <v/>
      </c>
      <c r="X2317" cm="1">
        <f t="array" ref="X2317">IF($I2317&lt;&gt;"",$I2317,INDEX($I$1:$I2317,ROW()-COUNTIFS($T$1:$T2317,"="&amp;$T2317,$S$1:$S2317,"&lt;"&amp;$S2317)))</f>
        <v>0</v>
      </c>
      <c r="Z2317" s="6">
        <f t="shared" si="334"/>
        <v>1</v>
      </c>
      <c r="AA2317" t="e">
        <f t="shared" si="335"/>
        <v>#VALUE!</v>
      </c>
      <c r="AB2317" t="str">
        <f t="shared" si="336"/>
        <v/>
      </c>
      <c r="AC2317" t="e">
        <f t="shared" si="337"/>
        <v>#VALUE!</v>
      </c>
    </row>
    <row r="2318" spans="1:29" x14ac:dyDescent="0.2">
      <c r="A2318" t="str">
        <f t="shared" si="330"/>
        <v/>
      </c>
      <c r="E2318" s="4"/>
      <c r="F2318" s="46"/>
      <c r="G2318" s="4"/>
      <c r="H2318" s="48"/>
      <c r="J2318" s="26" t="str">
        <f t="shared" si="331"/>
        <v/>
      </c>
      <c r="N2318" t="str">
        <f t="shared" si="332"/>
        <v/>
      </c>
      <c r="Q2318" t="str">
        <f t="shared" si="333"/>
        <v/>
      </c>
      <c r="S2318" t="str">
        <f>IF(A2318=1,MAX($S$2:$S2317)+1,IF(OR($I2318&lt;&gt;"",A2318="x"),$S2317,""))</f>
        <v/>
      </c>
      <c r="T2318" t="str">
        <f>IF(D2318=1,MAX($T$2:$T2317)+1,IF(S2318=S2317,$T2317,IF(D2318="x",T2317,IF(D2317="x","",""))))</f>
        <v/>
      </c>
      <c r="U2318" t="str">
        <f>IF(B2318=1,MAX($U$2:$U2317)+1,IF(AND($T2318&lt;&gt;"",$T2318=$T2317),$U2317,IF(B2318="x",U2317,"")))</f>
        <v/>
      </c>
      <c r="V2318" t="str">
        <f>IF(C2318=1,MAX($V$2:$V2317)+1,IF(AND($T2318&lt;&gt;"",$T2318=$T2317),$U2317,IF(C2318="x",V2317,"")))</f>
        <v/>
      </c>
      <c r="X2318" cm="1">
        <f t="array" ref="X2318">IF($I2318&lt;&gt;"",$I2318,INDEX($I$1:$I2318,ROW()-COUNTIFS($T$1:$T2318,"="&amp;$T2318,$S$1:$S2318,"&lt;"&amp;$S2318)))</f>
        <v>0</v>
      </c>
      <c r="Z2318" s="6">
        <f t="shared" si="334"/>
        <v>1</v>
      </c>
      <c r="AA2318" t="e">
        <f t="shared" si="335"/>
        <v>#VALUE!</v>
      </c>
      <c r="AB2318" t="str">
        <f t="shared" si="336"/>
        <v/>
      </c>
      <c r="AC2318" t="e">
        <f t="shared" si="337"/>
        <v>#VALUE!</v>
      </c>
    </row>
    <row r="2319" spans="1:29" x14ac:dyDescent="0.2">
      <c r="A2319" t="str">
        <f t="shared" si="330"/>
        <v/>
      </c>
      <c r="E2319" s="4"/>
      <c r="F2319" s="46"/>
      <c r="G2319" s="4"/>
      <c r="H2319" s="48"/>
      <c r="J2319" s="26" t="str">
        <f t="shared" si="331"/>
        <v/>
      </c>
      <c r="N2319" t="str">
        <f t="shared" si="332"/>
        <v/>
      </c>
      <c r="Q2319" t="str">
        <f t="shared" si="333"/>
        <v/>
      </c>
      <c r="S2319" t="str">
        <f>IF(A2319=1,MAX($S$2:$S2318)+1,IF(OR($I2319&lt;&gt;"",A2319="x"),$S2318,""))</f>
        <v/>
      </c>
      <c r="T2319" t="str">
        <f>IF(D2319=1,MAX($T$2:$T2318)+1,IF(S2319=S2318,$T2318,IF(D2319="x",T2318,IF(D2318="x","",""))))</f>
        <v/>
      </c>
      <c r="U2319" t="str">
        <f>IF(B2319=1,MAX($U$2:$U2318)+1,IF(AND($T2319&lt;&gt;"",$T2319=$T2318),$U2318,IF(B2319="x",U2318,"")))</f>
        <v/>
      </c>
      <c r="V2319" t="str">
        <f>IF(C2319=1,MAX($V$2:$V2318)+1,IF(AND($T2319&lt;&gt;"",$T2319=$T2318),$U2318,IF(C2319="x",V2318,"")))</f>
        <v/>
      </c>
      <c r="X2319" cm="1">
        <f t="array" ref="X2319">IF($I2319&lt;&gt;"",$I2319,INDEX($I$1:$I2319,ROW()-COUNTIFS($T$1:$T2319,"="&amp;$T2319,$S$1:$S2319,"&lt;"&amp;$S2319)))</f>
        <v>0</v>
      </c>
      <c r="Z2319" s="6">
        <f t="shared" si="334"/>
        <v>1</v>
      </c>
      <c r="AA2319" t="e">
        <f t="shared" si="335"/>
        <v>#VALUE!</v>
      </c>
      <c r="AB2319" t="str">
        <f t="shared" si="336"/>
        <v/>
      </c>
      <c r="AC2319" t="e">
        <f t="shared" si="337"/>
        <v>#VALUE!</v>
      </c>
    </row>
    <row r="2320" spans="1:29" x14ac:dyDescent="0.2">
      <c r="A2320" t="str">
        <f t="shared" si="330"/>
        <v/>
      </c>
      <c r="E2320" s="4"/>
      <c r="F2320" s="46"/>
      <c r="G2320" s="4"/>
      <c r="H2320" s="48"/>
      <c r="J2320" s="26" t="str">
        <f t="shared" si="331"/>
        <v/>
      </c>
      <c r="N2320" t="str">
        <f t="shared" si="332"/>
        <v/>
      </c>
      <c r="Q2320" t="str">
        <f t="shared" si="333"/>
        <v/>
      </c>
      <c r="S2320" t="str">
        <f>IF(A2320=1,MAX($S$2:$S2319)+1,IF(OR($I2320&lt;&gt;"",A2320="x"),$S2319,""))</f>
        <v/>
      </c>
      <c r="T2320" t="str">
        <f>IF(D2320=1,MAX($T$2:$T2319)+1,IF(S2320=S2319,$T2319,IF(D2320="x",T2319,IF(D2319="x","",""))))</f>
        <v/>
      </c>
      <c r="U2320" t="str">
        <f>IF(B2320=1,MAX($U$2:$U2319)+1,IF(AND($T2320&lt;&gt;"",$T2320=$T2319),$U2319,IF(B2320="x",U2319,"")))</f>
        <v/>
      </c>
      <c r="V2320" t="str">
        <f>IF(C2320=1,MAX($V$2:$V2319)+1,IF(AND($T2320&lt;&gt;"",$T2320=$T2319),$U2319,IF(C2320="x",V2319,"")))</f>
        <v/>
      </c>
      <c r="X2320" cm="1">
        <f t="array" ref="X2320">IF($I2320&lt;&gt;"",$I2320,INDEX($I$1:$I2320,ROW()-COUNTIFS($T$1:$T2320,"="&amp;$T2320,$S$1:$S2320,"&lt;"&amp;$S2320)))</f>
        <v>0</v>
      </c>
      <c r="Z2320" s="6">
        <f t="shared" si="334"/>
        <v>1</v>
      </c>
      <c r="AA2320" t="e">
        <f t="shared" si="335"/>
        <v>#VALUE!</v>
      </c>
      <c r="AB2320" t="str">
        <f t="shared" si="336"/>
        <v/>
      </c>
      <c r="AC2320" t="e">
        <f t="shared" si="337"/>
        <v>#VALUE!</v>
      </c>
    </row>
    <row r="2321" spans="1:29" x14ac:dyDescent="0.2">
      <c r="A2321" t="str">
        <f t="shared" si="330"/>
        <v/>
      </c>
      <c r="E2321" s="4"/>
      <c r="F2321" s="46"/>
      <c r="G2321" s="4"/>
      <c r="H2321" s="48"/>
      <c r="J2321" s="26" t="str">
        <f t="shared" si="331"/>
        <v/>
      </c>
      <c r="N2321" t="str">
        <f t="shared" si="332"/>
        <v/>
      </c>
      <c r="Q2321" t="str">
        <f t="shared" si="333"/>
        <v/>
      </c>
      <c r="S2321" t="str">
        <f>IF(A2321=1,MAX($S$2:$S2320)+1,IF(OR($I2321&lt;&gt;"",A2321="x"),$S2320,""))</f>
        <v/>
      </c>
      <c r="T2321" t="str">
        <f>IF(D2321=1,MAX($T$2:$T2320)+1,IF(S2321=S2320,$T2320,IF(D2321="x",T2320,IF(D2320="x","",""))))</f>
        <v/>
      </c>
      <c r="U2321" t="str">
        <f>IF(B2321=1,MAX($U$2:$U2320)+1,IF(AND($T2321&lt;&gt;"",$T2321=$T2320),$U2320,IF(B2321="x",U2320,"")))</f>
        <v/>
      </c>
      <c r="V2321" t="str">
        <f>IF(C2321=1,MAX($V$2:$V2320)+1,IF(AND($T2321&lt;&gt;"",$T2321=$T2320),$U2320,IF(C2321="x",V2320,"")))</f>
        <v/>
      </c>
      <c r="X2321" cm="1">
        <f t="array" ref="X2321">IF($I2321&lt;&gt;"",$I2321,INDEX($I$1:$I2321,ROW()-COUNTIFS($T$1:$T2321,"="&amp;$T2321,$S$1:$S2321,"&lt;"&amp;$S2321)))</f>
        <v>0</v>
      </c>
      <c r="Z2321" s="6">
        <f t="shared" si="334"/>
        <v>1</v>
      </c>
      <c r="AA2321" t="e">
        <f t="shared" si="335"/>
        <v>#VALUE!</v>
      </c>
      <c r="AB2321" t="str">
        <f t="shared" si="336"/>
        <v/>
      </c>
      <c r="AC2321" t="e">
        <f t="shared" si="337"/>
        <v>#VALUE!</v>
      </c>
    </row>
    <row r="2322" spans="1:29" x14ac:dyDescent="0.2">
      <c r="A2322" t="str">
        <f t="shared" si="330"/>
        <v/>
      </c>
      <c r="E2322" s="4"/>
      <c r="F2322" s="46"/>
      <c r="G2322" s="4"/>
      <c r="H2322" s="48"/>
      <c r="J2322" s="26" t="str">
        <f t="shared" si="331"/>
        <v/>
      </c>
      <c r="N2322" t="str">
        <f t="shared" si="332"/>
        <v/>
      </c>
      <c r="Q2322" t="str">
        <f t="shared" si="333"/>
        <v/>
      </c>
      <c r="S2322" t="str">
        <f>IF(A2322=1,MAX($S$2:$S2321)+1,IF(OR($I2322&lt;&gt;"",A2322="x"),$S2321,""))</f>
        <v/>
      </c>
      <c r="T2322" t="str">
        <f>IF(D2322=1,MAX($T$2:$T2321)+1,IF(S2322=S2321,$T2321,IF(D2322="x",T2321,IF(D2321="x","",""))))</f>
        <v/>
      </c>
      <c r="U2322" t="str">
        <f>IF(B2322=1,MAX($U$2:$U2321)+1,IF(AND($T2322&lt;&gt;"",$T2322=$T2321),$U2321,IF(B2322="x",U2321,"")))</f>
        <v/>
      </c>
      <c r="V2322" t="str">
        <f>IF(C2322=1,MAX($V$2:$V2321)+1,IF(AND($T2322&lt;&gt;"",$T2322=$T2321),$U2321,IF(C2322="x",V2321,"")))</f>
        <v/>
      </c>
      <c r="X2322" cm="1">
        <f t="array" ref="X2322">IF($I2322&lt;&gt;"",$I2322,INDEX($I$1:$I2322,ROW()-COUNTIFS($T$1:$T2322,"="&amp;$T2322,$S$1:$S2322,"&lt;"&amp;$S2322)))</f>
        <v>0</v>
      </c>
      <c r="Z2322" s="6">
        <f t="shared" si="334"/>
        <v>1</v>
      </c>
      <c r="AA2322" t="e">
        <f t="shared" si="335"/>
        <v>#VALUE!</v>
      </c>
      <c r="AB2322" t="str">
        <f t="shared" si="336"/>
        <v/>
      </c>
      <c r="AC2322" t="e">
        <f t="shared" si="337"/>
        <v>#VALUE!</v>
      </c>
    </row>
    <row r="2323" spans="1:29" x14ac:dyDescent="0.2">
      <c r="A2323" t="str">
        <f t="shared" ref="A2323:A2386" si="338">IF(K2323&lt;&gt;"",1,IF(D2323="x","x",""))</f>
        <v/>
      </c>
      <c r="E2323" s="4"/>
      <c r="F2323" s="46"/>
      <c r="G2323" s="4"/>
      <c r="H2323" s="48"/>
      <c r="J2323" s="26" t="str">
        <f t="shared" ref="J2323:J2386" si="339">IF(OR(K2323="Goal",K2323="Shot",L2323="Zone_Entry",M2323="Stoppage-Goal",M2322="Stoppage-Goal"),"o",IF(OR(K2323="Save",K2323="Rebound",L2323="Zone_Exit",M2323="Stoppage-GoalieStoppage",M2322="Stoppage-GoalieStoppage"),"d",IF(OR(L2323="Faceoff_AfterGoal",L2323="Faceoff_PeriodStart",698="Faceoff_GameStart",M2322="Stoppage-Goal"),"n","")))</f>
        <v/>
      </c>
      <c r="N2323" t="str">
        <f t="shared" ref="N2323:N2386" si="340">IF(K2323="","",IF(K2323="Goal","s",IF(AND(K2323="Zone_Entry_Exit",OR(ISNUMBER(SEARCH("fail",L2323)),ISNUMBER(SEARCH("FromExitClear",M2323)),ISNUMBER(SEARCH("miss",M2323)))),"u",IF(AND(K2323="Zone_Entry_Exit",OR(NOT(ISNUMBER(SEARCH("fail",L2323))),NOT(ISNUMBER(SEARCH("FromExitClear",M2323))),NOT(ISNUMBER(SEARCH("miss",M2323))))),"s",IF(AND(OR(K2323="Shot",K2323="Pass"),OR(ISNUMBER(SEARCH("complete",L2323)),ISNUMBER(SEARCH("goal",L2323)),ISNUMBER(SEARCH("OnNet",L2323)))),"s",IF(L2323="Turnover_Giveaway","u",IF(AND(OR(K2323="Shot",K2323="Pass"),OR(ISNUMBER(SEARCH("fail",L2323)),NOT(ISNUMBER(SEARCH("complete",L2323))),NOT(ISNUMBER(SEARCH("OnNet",L2323))))),"u","")))))))</f>
        <v/>
      </c>
      <c r="Q2323" t="str">
        <f t="shared" ref="Q2323:Q2386" si="341">IF(O2323="","",IF(AND(N2323&lt;&gt;"",OR(O2323&lt;&gt;"",P2323&lt;&gt;"")),N2323,IF(OR(ISNUMBER(SEARCH("attemp",O2323)),ISNUMBER(SEARCH("beat",O2323)),ISNUMBER(SEARCH("mis",O2323)),ISNUMBER(SEARCH("fail",O2323)),ISNUMBER(SEARCH("loss",O2323)),ISNUMBER(SEARCH("lost",O2323)),ISNUMBER(SEARCH("attemp",P2323)),ISNUMBER(SEARCH("mis",P2323)),ISNUMBER(SEARCH("fail",P2323)),ISNUMBER(SEARCH("loss",P2323)),ISNUMBER(SEARCH("beat",P2323)),ISNUMBER(SEARCH("lost",P2323))),"u","")))</f>
        <v/>
      </c>
      <c r="S2323" t="str">
        <f>IF(A2323=1,MAX($S$2:$S2322)+1,IF(OR($I2323&lt;&gt;"",A2323="x"),$S2322,""))</f>
        <v/>
      </c>
      <c r="T2323" t="str">
        <f>IF(D2323=1,MAX($T$2:$T2322)+1,IF(S2323=S2322,$T2322,IF(D2323="x",T2322,IF(D2322="x","",""))))</f>
        <v/>
      </c>
      <c r="U2323" t="str">
        <f>IF(B2323=1,MAX($U$2:$U2322)+1,IF(AND($T2323&lt;&gt;"",$T2323=$T2322),$U2322,IF(B2323="x",U2322,"")))</f>
        <v/>
      </c>
      <c r="V2323" t="str">
        <f>IF(C2323=1,MAX($V$2:$V2322)+1,IF(AND($T2323&lt;&gt;"",$T2323=$T2322),$U2322,IF(C2323="x",V2322,"")))</f>
        <v/>
      </c>
      <c r="X2323" cm="1">
        <f t="array" ref="X2323">IF($I2323&lt;&gt;"",$I2323,INDEX($I$1:$I2323,ROW()-COUNTIFS($T$1:$T2323,"="&amp;$T2323,$S$1:$S2323,"&lt;"&amp;$S2323)))</f>
        <v>0</v>
      </c>
      <c r="Z2323" s="6">
        <f t="shared" si="334"/>
        <v>1</v>
      </c>
      <c r="AA2323" t="e">
        <f t="shared" si="335"/>
        <v>#VALUE!</v>
      </c>
      <c r="AB2323" t="str">
        <f t="shared" si="336"/>
        <v/>
      </c>
      <c r="AC2323" t="e">
        <f t="shared" si="337"/>
        <v>#VALUE!</v>
      </c>
    </row>
    <row r="2324" spans="1:29" x14ac:dyDescent="0.2">
      <c r="A2324" t="str">
        <f t="shared" si="338"/>
        <v/>
      </c>
      <c r="E2324" s="4"/>
      <c r="F2324" s="46"/>
      <c r="G2324" s="4"/>
      <c r="H2324" s="48"/>
      <c r="J2324" s="26" t="str">
        <f t="shared" si="339"/>
        <v/>
      </c>
      <c r="N2324" t="str">
        <f t="shared" si="340"/>
        <v/>
      </c>
      <c r="Q2324" t="str">
        <f t="shared" si="341"/>
        <v/>
      </c>
      <c r="S2324" t="str">
        <f>IF(A2324=1,MAX($S$2:$S2323)+1,IF(OR($I2324&lt;&gt;"",A2324="x"),$S2323,""))</f>
        <v/>
      </c>
      <c r="T2324" t="str">
        <f>IF(D2324=1,MAX($T$2:$T2323)+1,IF(S2324=S2323,$T2323,IF(D2324="x",T2323,IF(D2323="x","",""))))</f>
        <v/>
      </c>
      <c r="U2324" t="str">
        <f>IF(B2324=1,MAX($U$2:$U2323)+1,IF(AND($T2324&lt;&gt;"",$T2324=$T2323),$U2323,IF(B2324="x",U2323,"")))</f>
        <v/>
      </c>
      <c r="V2324" t="str">
        <f>IF(C2324=1,MAX($V$2:$V2323)+1,IF(AND($T2324&lt;&gt;"",$T2324=$T2323),$U2323,IF(C2324="x",V2323,"")))</f>
        <v/>
      </c>
      <c r="X2324" cm="1">
        <f t="array" ref="X2324">IF($I2324&lt;&gt;"",$I2324,INDEX($I$1:$I2324,ROW()-COUNTIFS($T$1:$T2324,"="&amp;$T2324,$S$1:$S2324,"&lt;"&amp;$S2324)))</f>
        <v>0</v>
      </c>
      <c r="Z2324" s="6">
        <f t="shared" si="334"/>
        <v>1</v>
      </c>
      <c r="AA2324" t="e">
        <f t="shared" si="335"/>
        <v>#VALUE!</v>
      </c>
      <c r="AB2324" t="str">
        <f t="shared" si="336"/>
        <v/>
      </c>
      <c r="AC2324" t="e">
        <f t="shared" si="337"/>
        <v>#VALUE!</v>
      </c>
    </row>
    <row r="2325" spans="1:29" x14ac:dyDescent="0.2">
      <c r="A2325" t="str">
        <f t="shared" si="338"/>
        <v/>
      </c>
      <c r="E2325" s="4"/>
      <c r="F2325" s="46"/>
      <c r="G2325" s="4"/>
      <c r="H2325" s="48"/>
      <c r="J2325" s="26" t="str">
        <f t="shared" si="339"/>
        <v/>
      </c>
      <c r="N2325" t="str">
        <f t="shared" si="340"/>
        <v/>
      </c>
      <c r="Q2325" t="str">
        <f t="shared" si="341"/>
        <v/>
      </c>
      <c r="S2325" t="str">
        <f>IF(A2325=1,MAX($S$2:$S2324)+1,IF(OR($I2325&lt;&gt;"",A2325="x"),$S2324,""))</f>
        <v/>
      </c>
      <c r="T2325" t="str">
        <f>IF(D2325=1,MAX($T$2:$T2324)+1,IF(S2325=S2324,$T2324,IF(D2325="x",T2324,IF(D2324="x","",""))))</f>
        <v/>
      </c>
      <c r="U2325" t="str">
        <f>IF(B2325=1,MAX($U$2:$U2324)+1,IF(AND($T2325&lt;&gt;"",$T2325=$T2324),$U2324,IF(B2325="x",U2324,"")))</f>
        <v/>
      </c>
      <c r="V2325" t="str">
        <f>IF(C2325=1,MAX($V$2:$V2324)+1,IF(AND($T2325&lt;&gt;"",$T2325=$T2324),$U2324,IF(C2325="x",V2324,"")))</f>
        <v/>
      </c>
      <c r="X2325" cm="1">
        <f t="array" ref="X2325">IF($I2325&lt;&gt;"",$I2325,INDEX($I$1:$I2325,ROW()-COUNTIFS($T$1:$T2325,"="&amp;$T2325,$S$1:$S2325,"&lt;"&amp;$S2325)))</f>
        <v>0</v>
      </c>
      <c r="Z2325" s="6">
        <f t="shared" si="334"/>
        <v>1</v>
      </c>
      <c r="AA2325" t="e">
        <f t="shared" si="335"/>
        <v>#VALUE!</v>
      </c>
      <c r="AB2325" t="str">
        <f t="shared" si="336"/>
        <v/>
      </c>
      <c r="AC2325" t="e">
        <f t="shared" si="337"/>
        <v>#VALUE!</v>
      </c>
    </row>
    <row r="2326" spans="1:29" x14ac:dyDescent="0.2">
      <c r="A2326" t="str">
        <f t="shared" si="338"/>
        <v/>
      </c>
      <c r="E2326" s="4"/>
      <c r="F2326" s="46"/>
      <c r="G2326" s="4"/>
      <c r="H2326" s="48"/>
      <c r="J2326" s="26" t="str">
        <f t="shared" si="339"/>
        <v/>
      </c>
      <c r="N2326" t="str">
        <f t="shared" si="340"/>
        <v/>
      </c>
      <c r="Q2326" t="str">
        <f t="shared" si="341"/>
        <v/>
      </c>
      <c r="S2326" t="str">
        <f>IF(A2326=1,MAX($S$2:$S2325)+1,IF(OR($I2326&lt;&gt;"",A2326="x"),$S2325,""))</f>
        <v/>
      </c>
      <c r="T2326" t="str">
        <f>IF(D2326=1,MAX($T$2:$T2325)+1,IF(S2326=S2325,$T2325,IF(D2326="x",T2325,IF(D2325="x","",""))))</f>
        <v/>
      </c>
      <c r="U2326" t="str">
        <f>IF(B2326=1,MAX($U$2:$U2325)+1,IF(AND($T2326&lt;&gt;"",$T2326=$T2325),$U2325,IF(B2326="x",U2325,"")))</f>
        <v/>
      </c>
      <c r="V2326" t="str">
        <f>IF(C2326=1,MAX($V$2:$V2325)+1,IF(AND($T2326&lt;&gt;"",$T2326=$T2325),$U2325,IF(C2326="x",V2325,"")))</f>
        <v/>
      </c>
      <c r="X2326" cm="1">
        <f t="array" ref="X2326">IF($I2326&lt;&gt;"",$I2326,INDEX($I$1:$I2326,ROW()-COUNTIFS($T$1:$T2326,"="&amp;$T2326,$S$1:$S2326,"&lt;"&amp;$S2326)))</f>
        <v>0</v>
      </c>
      <c r="Z2326" s="6">
        <f t="shared" si="334"/>
        <v>1</v>
      </c>
      <c r="AA2326" t="e">
        <f t="shared" si="335"/>
        <v>#VALUE!</v>
      </c>
      <c r="AB2326" t="str">
        <f t="shared" si="336"/>
        <v/>
      </c>
      <c r="AC2326" t="e">
        <f t="shared" si="337"/>
        <v>#VALUE!</v>
      </c>
    </row>
    <row r="2327" spans="1:29" x14ac:dyDescent="0.2">
      <c r="A2327" t="str">
        <f t="shared" si="338"/>
        <v/>
      </c>
      <c r="E2327" s="4"/>
      <c r="F2327" s="46"/>
      <c r="G2327" s="4"/>
      <c r="H2327" s="48"/>
      <c r="J2327" s="26" t="str">
        <f t="shared" si="339"/>
        <v/>
      </c>
      <c r="N2327" t="str">
        <f t="shared" si="340"/>
        <v/>
      </c>
      <c r="Q2327" t="str">
        <f t="shared" si="341"/>
        <v/>
      </c>
      <c r="S2327" t="str">
        <f>IF(A2327=1,MAX($S$2:$S2326)+1,IF(OR($I2327&lt;&gt;"",A2327="x"),$S2326,""))</f>
        <v/>
      </c>
      <c r="T2327" t="str">
        <f>IF(D2327=1,MAX($T$2:$T2326)+1,IF(S2327=S2326,$T2326,IF(D2327="x",T2326,IF(D2326="x","",""))))</f>
        <v/>
      </c>
      <c r="U2327" t="str">
        <f>IF(B2327=1,MAX($U$2:$U2326)+1,IF(AND($T2327&lt;&gt;"",$T2327=$T2326),$U2326,IF(B2327="x",U2326,"")))</f>
        <v/>
      </c>
      <c r="V2327" t="str">
        <f>IF(C2327=1,MAX($V$2:$V2326)+1,IF(AND($T2327&lt;&gt;"",$T2327=$T2326),$U2326,IF(C2327="x",V2326,"")))</f>
        <v/>
      </c>
      <c r="X2327" cm="1">
        <f t="array" ref="X2327">IF($I2327&lt;&gt;"",$I2327,INDEX($I$1:$I2327,ROW()-COUNTIFS($T$1:$T2327,"="&amp;$T2327,$S$1:$S2327,"&lt;"&amp;$S2327)))</f>
        <v>0</v>
      </c>
      <c r="Z2327" s="6">
        <f t="shared" si="334"/>
        <v>1</v>
      </c>
      <c r="AA2327" t="e">
        <f t="shared" si="335"/>
        <v>#VALUE!</v>
      </c>
      <c r="AB2327" t="str">
        <f t="shared" si="336"/>
        <v/>
      </c>
      <c r="AC2327" t="e">
        <f t="shared" si="337"/>
        <v>#VALUE!</v>
      </c>
    </row>
    <row r="2328" spans="1:29" x14ac:dyDescent="0.2">
      <c r="A2328" t="str">
        <f t="shared" si="338"/>
        <v/>
      </c>
      <c r="E2328" s="4"/>
      <c r="F2328" s="46"/>
      <c r="G2328" s="4"/>
      <c r="H2328" s="48"/>
      <c r="J2328" s="26" t="str">
        <f t="shared" si="339"/>
        <v/>
      </c>
      <c r="N2328" t="str">
        <f t="shared" si="340"/>
        <v/>
      </c>
      <c r="Q2328" t="str">
        <f t="shared" si="341"/>
        <v/>
      </c>
      <c r="S2328" t="str">
        <f>IF(A2328=1,MAX($S$2:$S2327)+1,IF(OR($I2328&lt;&gt;"",A2328="x"),$S2327,""))</f>
        <v/>
      </c>
      <c r="T2328" t="str">
        <f>IF(D2328=1,MAX($T$2:$T2327)+1,IF(S2328=S2327,$T2327,IF(D2328="x",T2327,IF(D2327="x","",""))))</f>
        <v/>
      </c>
      <c r="U2328" t="str">
        <f>IF(B2328=1,MAX($U$2:$U2327)+1,IF(AND($T2328&lt;&gt;"",$T2328=$T2327),$U2327,IF(B2328="x",U2327,"")))</f>
        <v/>
      </c>
      <c r="V2328" t="str">
        <f>IF(C2328=1,MAX($V$2:$V2327)+1,IF(AND($T2328&lt;&gt;"",$T2328=$T2327),$U2327,IF(C2328="x",V2327,"")))</f>
        <v/>
      </c>
      <c r="X2328" cm="1">
        <f t="array" ref="X2328">IF($I2328&lt;&gt;"",$I2328,INDEX($I$1:$I2328,ROW()-COUNTIFS($T$1:$T2328,"="&amp;$T2328,$S$1:$S2328,"&lt;"&amp;$S2328)))</f>
        <v>0</v>
      </c>
      <c r="Z2328" s="6">
        <f t="shared" si="334"/>
        <v>1</v>
      </c>
      <c r="AA2328" t="e">
        <f t="shared" si="335"/>
        <v>#VALUE!</v>
      </c>
      <c r="AB2328" t="str">
        <f t="shared" si="336"/>
        <v/>
      </c>
      <c r="AC2328" t="e">
        <f t="shared" si="337"/>
        <v>#VALUE!</v>
      </c>
    </row>
    <row r="2329" spans="1:29" x14ac:dyDescent="0.2">
      <c r="A2329" t="str">
        <f t="shared" si="338"/>
        <v/>
      </c>
      <c r="E2329" s="4"/>
      <c r="F2329" s="46"/>
      <c r="G2329" s="4"/>
      <c r="H2329" s="48"/>
      <c r="J2329" s="26" t="str">
        <f t="shared" si="339"/>
        <v/>
      </c>
      <c r="N2329" t="str">
        <f t="shared" si="340"/>
        <v/>
      </c>
      <c r="Q2329" t="str">
        <f t="shared" si="341"/>
        <v/>
      </c>
      <c r="S2329" t="str">
        <f>IF(A2329=1,MAX($S$2:$S2328)+1,IF(OR($I2329&lt;&gt;"",A2329="x"),$S2328,""))</f>
        <v/>
      </c>
      <c r="T2329" t="str">
        <f>IF(D2329=1,MAX($T$2:$T2328)+1,IF(S2329=S2328,$T2328,IF(D2329="x",T2328,IF(D2328="x","",""))))</f>
        <v/>
      </c>
      <c r="U2329" t="str">
        <f>IF(B2329=1,MAX($U$2:$U2328)+1,IF(AND($T2329&lt;&gt;"",$T2329=$T2328),$U2328,IF(B2329="x",U2328,"")))</f>
        <v/>
      </c>
      <c r="V2329" t="str">
        <f>IF(C2329=1,MAX($V$2:$V2328)+1,IF(AND($T2329&lt;&gt;"",$T2329=$T2328),$U2328,IF(C2329="x",V2328,"")))</f>
        <v/>
      </c>
      <c r="X2329" cm="1">
        <f t="array" ref="X2329">IF($I2329&lt;&gt;"",$I2329,INDEX($I$1:$I2329,ROW()-COUNTIFS($T$1:$T2329,"="&amp;$T2329,$S$1:$S2329,"&lt;"&amp;$S2329)))</f>
        <v>0</v>
      </c>
      <c r="Z2329" s="6">
        <f t="shared" si="334"/>
        <v>1</v>
      </c>
      <c r="AA2329" t="e">
        <f t="shared" si="335"/>
        <v>#VALUE!</v>
      </c>
      <c r="AB2329" t="str">
        <f t="shared" si="336"/>
        <v/>
      </c>
      <c r="AC2329" t="e">
        <f t="shared" si="337"/>
        <v>#VALUE!</v>
      </c>
    </row>
    <row r="2330" spans="1:29" x14ac:dyDescent="0.2">
      <c r="A2330" t="str">
        <f t="shared" si="338"/>
        <v/>
      </c>
      <c r="E2330" s="4"/>
      <c r="F2330" s="46"/>
      <c r="G2330" s="4"/>
      <c r="H2330" s="48"/>
      <c r="J2330" s="26" t="str">
        <f t="shared" si="339"/>
        <v/>
      </c>
      <c r="N2330" t="str">
        <f t="shared" si="340"/>
        <v/>
      </c>
      <c r="Q2330" t="str">
        <f t="shared" si="341"/>
        <v/>
      </c>
      <c r="S2330" t="str">
        <f>IF(A2330=1,MAX($S$2:$S2329)+1,IF(OR($I2330&lt;&gt;"",A2330="x"),$S2329,""))</f>
        <v/>
      </c>
      <c r="T2330" t="str">
        <f>IF(D2330=1,MAX($T$2:$T2329)+1,IF(S2330=S2329,$T2329,IF(D2330="x",T2329,IF(D2329="x","",""))))</f>
        <v/>
      </c>
      <c r="U2330" t="str">
        <f>IF(B2330=1,MAX($U$2:$U2329)+1,IF(AND($T2330&lt;&gt;"",$T2330=$T2329),$U2329,IF(B2330="x",U2329,"")))</f>
        <v/>
      </c>
      <c r="V2330" t="str">
        <f>IF(C2330=1,MAX($V$2:$V2329)+1,IF(AND($T2330&lt;&gt;"",$T2330=$T2329),$U2329,IF(C2330="x",V2329,"")))</f>
        <v/>
      </c>
      <c r="X2330" cm="1">
        <f t="array" ref="X2330">IF($I2330&lt;&gt;"",$I2330,INDEX($I$1:$I2330,ROW()-COUNTIFS($T$1:$T2330,"="&amp;$T2330,$S$1:$S2330,"&lt;"&amp;$S2330)))</f>
        <v>0</v>
      </c>
      <c r="Z2330" s="6">
        <f t="shared" si="334"/>
        <v>1</v>
      </c>
      <c r="AA2330" t="e">
        <f t="shared" si="335"/>
        <v>#VALUE!</v>
      </c>
      <c r="AB2330" t="str">
        <f t="shared" si="336"/>
        <v/>
      </c>
      <c r="AC2330" t="e">
        <f t="shared" si="337"/>
        <v>#VALUE!</v>
      </c>
    </row>
    <row r="2331" spans="1:29" x14ac:dyDescent="0.2">
      <c r="A2331" t="str">
        <f t="shared" si="338"/>
        <v/>
      </c>
      <c r="E2331" s="4"/>
      <c r="F2331" s="46"/>
      <c r="G2331" s="4"/>
      <c r="H2331" s="48"/>
      <c r="J2331" s="26" t="str">
        <f t="shared" si="339"/>
        <v/>
      </c>
      <c r="N2331" t="str">
        <f t="shared" si="340"/>
        <v/>
      </c>
      <c r="Q2331" t="str">
        <f t="shared" si="341"/>
        <v/>
      </c>
      <c r="S2331" t="str">
        <f>IF(A2331=1,MAX($S$2:$S2330)+1,IF(OR($I2331&lt;&gt;"",A2331="x"),$S2330,""))</f>
        <v/>
      </c>
      <c r="T2331" t="str">
        <f>IF(D2331=1,MAX($T$2:$T2330)+1,IF(S2331=S2330,$T2330,IF(D2331="x",T2330,IF(D2330="x","",""))))</f>
        <v/>
      </c>
      <c r="U2331" t="str">
        <f>IF(B2331=1,MAX($U$2:$U2330)+1,IF(AND($T2331&lt;&gt;"",$T2331=$T2330),$U2330,IF(B2331="x",U2330,"")))</f>
        <v/>
      </c>
      <c r="V2331" t="str">
        <f>IF(C2331=1,MAX($V$2:$V2330)+1,IF(AND($T2331&lt;&gt;"",$T2331=$T2330),$U2330,IF(C2331="x",V2330,"")))</f>
        <v/>
      </c>
      <c r="X2331" cm="1">
        <f t="array" ref="X2331">IF($I2331&lt;&gt;"",$I2331,INDEX($I$1:$I2331,ROW()-COUNTIFS($T$1:$T2331,"="&amp;$T2331,$S$1:$S2331,"&lt;"&amp;$S2331)))</f>
        <v>0</v>
      </c>
      <c r="Z2331" s="6">
        <f t="shared" si="334"/>
        <v>1</v>
      </c>
      <c r="AA2331" t="e">
        <f t="shared" si="335"/>
        <v>#VALUE!</v>
      </c>
      <c r="AB2331" t="str">
        <f t="shared" si="336"/>
        <v/>
      </c>
      <c r="AC2331" t="e">
        <f t="shared" si="337"/>
        <v>#VALUE!</v>
      </c>
    </row>
    <row r="2332" spans="1:29" x14ac:dyDescent="0.2">
      <c r="A2332" t="str">
        <f t="shared" si="338"/>
        <v/>
      </c>
      <c r="E2332" s="4"/>
      <c r="F2332" s="46"/>
      <c r="G2332" s="4"/>
      <c r="H2332" s="48"/>
      <c r="J2332" s="26" t="str">
        <f t="shared" si="339"/>
        <v/>
      </c>
      <c r="N2332" t="str">
        <f t="shared" si="340"/>
        <v/>
      </c>
      <c r="Q2332" t="str">
        <f t="shared" si="341"/>
        <v/>
      </c>
      <c r="S2332" t="str">
        <f>IF(A2332=1,MAX($S$2:$S2331)+1,IF(OR($I2332&lt;&gt;"",A2332="x"),$S2331,""))</f>
        <v/>
      </c>
      <c r="T2332" t="str">
        <f>IF(D2332=1,MAX($T$2:$T2331)+1,IF(S2332=S2331,$T2331,IF(D2332="x",T2331,IF(D2331="x","",""))))</f>
        <v/>
      </c>
      <c r="U2332" t="str">
        <f>IF(B2332=1,MAX($U$2:$U2331)+1,IF(AND($T2332&lt;&gt;"",$T2332=$T2331),$U2331,IF(B2332="x",U2331,"")))</f>
        <v/>
      </c>
      <c r="V2332" t="str">
        <f>IF(C2332=1,MAX($V$2:$V2331)+1,IF(AND($T2332&lt;&gt;"",$T2332=$T2331),$U2331,IF(C2332="x",V2331,"")))</f>
        <v/>
      </c>
      <c r="X2332" cm="1">
        <f t="array" ref="X2332">IF($I2332&lt;&gt;"",$I2332,INDEX($I$1:$I2332,ROW()-COUNTIFS($T$1:$T2332,"="&amp;$T2332,$S$1:$S2332,"&lt;"&amp;$S2332)))</f>
        <v>0</v>
      </c>
      <c r="Z2332" s="6">
        <f t="shared" si="334"/>
        <v>1</v>
      </c>
      <c r="AA2332" t="e">
        <f t="shared" si="335"/>
        <v>#VALUE!</v>
      </c>
      <c r="AB2332" t="str">
        <f t="shared" si="336"/>
        <v/>
      </c>
      <c r="AC2332" t="e">
        <f t="shared" si="337"/>
        <v>#VALUE!</v>
      </c>
    </row>
    <row r="2333" spans="1:29" x14ac:dyDescent="0.2">
      <c r="A2333" t="str">
        <f t="shared" si="338"/>
        <v/>
      </c>
      <c r="E2333" s="4"/>
      <c r="F2333" s="46"/>
      <c r="G2333" s="4"/>
      <c r="H2333" s="48"/>
      <c r="J2333" s="26" t="str">
        <f t="shared" si="339"/>
        <v/>
      </c>
      <c r="N2333" t="str">
        <f t="shared" si="340"/>
        <v/>
      </c>
      <c r="Q2333" t="str">
        <f t="shared" si="341"/>
        <v/>
      </c>
      <c r="S2333" t="str">
        <f>IF(A2333=1,MAX($S$2:$S2332)+1,IF(OR($I2333&lt;&gt;"",A2333="x"),$S2332,""))</f>
        <v/>
      </c>
      <c r="T2333" t="str">
        <f>IF(D2333=1,MAX($T$2:$T2332)+1,IF(S2333=S2332,$T2332,IF(D2333="x",T2332,IF(D2332="x","",""))))</f>
        <v/>
      </c>
      <c r="U2333" t="str">
        <f>IF(B2333=1,MAX($U$2:$U2332)+1,IF(AND($T2333&lt;&gt;"",$T2333=$T2332),$U2332,IF(B2333="x",U2332,"")))</f>
        <v/>
      </c>
      <c r="V2333" t="str">
        <f>IF(C2333=1,MAX($V$2:$V2332)+1,IF(AND($T2333&lt;&gt;"",$T2333=$T2332),$U2332,IF(C2333="x",V2332,"")))</f>
        <v/>
      </c>
      <c r="X2333" cm="1">
        <f t="array" ref="X2333">IF($I2333&lt;&gt;"",$I2333,INDEX($I$1:$I2333,ROW()-COUNTIFS($T$1:$T2333,"="&amp;$T2333,$S$1:$S2333,"&lt;"&amp;$S2333)))</f>
        <v>0</v>
      </c>
      <c r="Z2333" s="6">
        <f t="shared" si="334"/>
        <v>1</v>
      </c>
      <c r="AA2333" t="e">
        <f t="shared" si="335"/>
        <v>#VALUE!</v>
      </c>
      <c r="AB2333" t="str">
        <f t="shared" si="336"/>
        <v/>
      </c>
      <c r="AC2333" t="e">
        <f t="shared" si="337"/>
        <v>#VALUE!</v>
      </c>
    </row>
    <row r="2334" spans="1:29" x14ac:dyDescent="0.2">
      <c r="A2334" t="str">
        <f t="shared" si="338"/>
        <v/>
      </c>
      <c r="E2334" s="4"/>
      <c r="F2334" s="46"/>
      <c r="G2334" s="4"/>
      <c r="H2334" s="48"/>
      <c r="J2334" s="26" t="str">
        <f t="shared" si="339"/>
        <v/>
      </c>
      <c r="N2334" t="str">
        <f t="shared" si="340"/>
        <v/>
      </c>
      <c r="Q2334" t="str">
        <f t="shared" si="341"/>
        <v/>
      </c>
      <c r="S2334" t="str">
        <f>IF(A2334=1,MAX($S$2:$S2333)+1,IF(OR($I2334&lt;&gt;"",A2334="x"),$S2333,""))</f>
        <v/>
      </c>
      <c r="T2334" t="str">
        <f>IF(D2334=1,MAX($T$2:$T2333)+1,IF(S2334=S2333,$T2333,IF(D2334="x",T2333,IF(D2333="x","",""))))</f>
        <v/>
      </c>
      <c r="U2334" t="str">
        <f>IF(B2334=1,MAX($U$2:$U2333)+1,IF(AND($T2334&lt;&gt;"",$T2334=$T2333),$U2333,IF(B2334="x",U2333,"")))</f>
        <v/>
      </c>
      <c r="V2334" t="str">
        <f>IF(C2334=1,MAX($V$2:$V2333)+1,IF(AND($T2334&lt;&gt;"",$T2334=$T2333),$U2333,IF(C2334="x",V2333,"")))</f>
        <v/>
      </c>
      <c r="X2334" cm="1">
        <f t="array" ref="X2334">IF($I2334&lt;&gt;"",$I2334,INDEX($I$1:$I2334,ROW()-COUNTIFS($T$1:$T2334,"="&amp;$T2334,$S$1:$S2334,"&lt;"&amp;$S2334)))</f>
        <v>0</v>
      </c>
      <c r="Z2334" s="6">
        <f t="shared" si="334"/>
        <v>1</v>
      </c>
      <c r="AA2334" t="e">
        <f t="shared" si="335"/>
        <v>#VALUE!</v>
      </c>
      <c r="AB2334" t="str">
        <f t="shared" si="336"/>
        <v/>
      </c>
      <c r="AC2334" t="e">
        <f t="shared" si="337"/>
        <v>#VALUE!</v>
      </c>
    </row>
    <row r="2335" spans="1:29" x14ac:dyDescent="0.2">
      <c r="A2335" t="str">
        <f t="shared" si="338"/>
        <v/>
      </c>
      <c r="E2335" s="4"/>
      <c r="F2335" s="46"/>
      <c r="G2335" s="4"/>
      <c r="H2335" s="48"/>
      <c r="J2335" s="26" t="str">
        <f t="shared" si="339"/>
        <v/>
      </c>
      <c r="N2335" t="str">
        <f t="shared" si="340"/>
        <v/>
      </c>
      <c r="Q2335" t="str">
        <f t="shared" si="341"/>
        <v/>
      </c>
      <c r="S2335" t="str">
        <f>IF(A2335=1,MAX($S$2:$S2334)+1,IF(OR($I2335&lt;&gt;"",A2335="x"),$S2334,""))</f>
        <v/>
      </c>
      <c r="T2335" t="str">
        <f>IF(D2335=1,MAX($T$2:$T2334)+1,IF(S2335=S2334,$T2334,IF(D2335="x",T2334,IF(D2334="x","",""))))</f>
        <v/>
      </c>
      <c r="U2335" t="str">
        <f>IF(B2335=1,MAX($U$2:$U2334)+1,IF(AND($T2335&lt;&gt;"",$T2335=$T2334),$U2334,IF(B2335="x",U2334,"")))</f>
        <v/>
      </c>
      <c r="V2335" t="str">
        <f>IF(C2335=1,MAX($V$2:$V2334)+1,IF(AND($T2335&lt;&gt;"",$T2335=$T2334),$U2334,IF(C2335="x",V2334,"")))</f>
        <v/>
      </c>
      <c r="X2335" cm="1">
        <f t="array" ref="X2335">IF($I2335&lt;&gt;"",$I2335,INDEX($I$1:$I2335,ROW()-COUNTIFS($T$1:$T2335,"="&amp;$T2335,$S$1:$S2335,"&lt;"&amp;$S2335)))</f>
        <v>0</v>
      </c>
      <c r="Z2335" s="6">
        <f t="shared" si="334"/>
        <v>1</v>
      </c>
      <c r="AA2335" t="e">
        <f t="shared" si="335"/>
        <v>#VALUE!</v>
      </c>
      <c r="AB2335" t="str">
        <f t="shared" si="336"/>
        <v/>
      </c>
      <c r="AC2335" t="e">
        <f t="shared" si="337"/>
        <v>#VALUE!</v>
      </c>
    </row>
    <row r="2336" spans="1:29" x14ac:dyDescent="0.2">
      <c r="A2336" t="str">
        <f t="shared" si="338"/>
        <v/>
      </c>
      <c r="E2336" s="4"/>
      <c r="F2336" s="46"/>
      <c r="G2336" s="4"/>
      <c r="H2336" s="48"/>
      <c r="J2336" s="26" t="str">
        <f t="shared" si="339"/>
        <v/>
      </c>
      <c r="N2336" t="str">
        <f t="shared" si="340"/>
        <v/>
      </c>
      <c r="Q2336" t="str">
        <f t="shared" si="341"/>
        <v/>
      </c>
      <c r="S2336" t="str">
        <f>IF(A2336=1,MAX($S$2:$S2335)+1,IF(OR($I2336&lt;&gt;"",A2336="x"),$S2335,""))</f>
        <v/>
      </c>
      <c r="T2336" t="str">
        <f>IF(D2336=1,MAX($T$2:$T2335)+1,IF(S2336=S2335,$T2335,IF(D2336="x",T2335,IF(D2335="x","",""))))</f>
        <v/>
      </c>
      <c r="U2336" t="str">
        <f>IF(B2336=1,MAX($U$2:$U2335)+1,IF(AND($T2336&lt;&gt;"",$T2336=$T2335),$U2335,IF(B2336="x",U2335,"")))</f>
        <v/>
      </c>
      <c r="V2336" t="str">
        <f>IF(C2336=1,MAX($V$2:$V2335)+1,IF(AND($T2336&lt;&gt;"",$T2336=$T2335),$U2335,IF(C2336="x",V2335,"")))</f>
        <v/>
      </c>
      <c r="X2336" cm="1">
        <f t="array" ref="X2336">IF($I2336&lt;&gt;"",$I2336,INDEX($I$1:$I2336,ROW()-COUNTIFS($T$1:$T2336,"="&amp;$T2336,$S$1:$S2336,"&lt;"&amp;$S2336)))</f>
        <v>0</v>
      </c>
      <c r="Z2336" s="6">
        <f t="shared" si="334"/>
        <v>1</v>
      </c>
      <c r="AA2336" t="e">
        <f t="shared" si="335"/>
        <v>#VALUE!</v>
      </c>
      <c r="AB2336" t="str">
        <f t="shared" si="336"/>
        <v/>
      </c>
      <c r="AC2336" t="e">
        <f t="shared" si="337"/>
        <v>#VALUE!</v>
      </c>
    </row>
    <row r="2337" spans="1:29" x14ac:dyDescent="0.2">
      <c r="A2337" t="str">
        <f t="shared" si="338"/>
        <v/>
      </c>
      <c r="E2337" s="4"/>
      <c r="F2337" s="46"/>
      <c r="G2337" s="4"/>
      <c r="H2337" s="48"/>
      <c r="J2337" s="26" t="str">
        <f t="shared" si="339"/>
        <v/>
      </c>
      <c r="N2337" t="str">
        <f t="shared" si="340"/>
        <v/>
      </c>
      <c r="Q2337" t="str">
        <f t="shared" si="341"/>
        <v/>
      </c>
      <c r="S2337" t="str">
        <f>IF(A2337=1,MAX($S$2:$S2336)+1,IF(OR($I2337&lt;&gt;"",A2337="x"),$S2336,""))</f>
        <v/>
      </c>
      <c r="T2337" t="str">
        <f>IF(D2337=1,MAX($T$2:$T2336)+1,IF(S2337=S2336,$T2336,IF(D2337="x",T2336,IF(D2336="x","",""))))</f>
        <v/>
      </c>
      <c r="U2337" t="str">
        <f>IF(B2337=1,MAX($U$2:$U2336)+1,IF(AND($T2337&lt;&gt;"",$T2337=$T2336),$U2336,IF(B2337="x",U2336,"")))</f>
        <v/>
      </c>
      <c r="V2337" t="str">
        <f>IF(C2337=1,MAX($V$2:$V2336)+1,IF(AND($T2337&lt;&gt;"",$T2337=$T2336),$U2336,IF(C2337="x",V2336,"")))</f>
        <v/>
      </c>
      <c r="X2337" cm="1">
        <f t="array" ref="X2337">IF($I2337&lt;&gt;"",$I2337,INDEX($I$1:$I2337,ROW()-COUNTIFS($T$1:$T2337,"="&amp;$T2337,$S$1:$S2337,"&lt;"&amp;$S2337)))</f>
        <v>0</v>
      </c>
      <c r="Z2337" s="6">
        <f t="shared" si="334"/>
        <v>1</v>
      </c>
      <c r="AA2337" t="e">
        <f t="shared" si="335"/>
        <v>#VALUE!</v>
      </c>
      <c r="AB2337" t="str">
        <f t="shared" si="336"/>
        <v/>
      </c>
      <c r="AC2337" t="e">
        <f t="shared" si="337"/>
        <v>#VALUE!</v>
      </c>
    </row>
    <row r="2338" spans="1:29" x14ac:dyDescent="0.2">
      <c r="A2338" t="str">
        <f t="shared" si="338"/>
        <v/>
      </c>
      <c r="E2338" s="4"/>
      <c r="F2338" s="46"/>
      <c r="G2338" s="4"/>
      <c r="H2338" s="48"/>
      <c r="J2338" s="26" t="str">
        <f t="shared" si="339"/>
        <v/>
      </c>
      <c r="N2338" t="str">
        <f t="shared" si="340"/>
        <v/>
      </c>
      <c r="Q2338" t="str">
        <f t="shared" si="341"/>
        <v/>
      </c>
      <c r="S2338" t="str">
        <f>IF(A2338=1,MAX($S$2:$S2337)+1,IF(OR($I2338&lt;&gt;"",A2338="x"),$S2337,""))</f>
        <v/>
      </c>
      <c r="T2338" t="str">
        <f>IF(D2338=1,MAX($T$2:$T2337)+1,IF(S2338=S2337,$T2337,IF(D2338="x",T2337,IF(D2337="x","",""))))</f>
        <v/>
      </c>
      <c r="U2338" t="str">
        <f>IF(B2338=1,MAX($U$2:$U2337)+1,IF(AND($T2338&lt;&gt;"",$T2338=$T2337),$U2337,IF(B2338="x",U2337,"")))</f>
        <v/>
      </c>
      <c r="V2338" t="str">
        <f>IF(C2338=1,MAX($V$2:$V2337)+1,IF(AND($T2338&lt;&gt;"",$T2338=$T2337),$U2337,IF(C2338="x",V2337,"")))</f>
        <v/>
      </c>
      <c r="X2338" cm="1">
        <f t="array" ref="X2338">IF($I2338&lt;&gt;"",$I2338,INDEX($I$1:$I2338,ROW()-COUNTIFS($T$1:$T2338,"="&amp;$T2338,$S$1:$S2338,"&lt;"&amp;$S2338)))</f>
        <v>0</v>
      </c>
      <c r="Z2338" s="6">
        <f t="shared" si="334"/>
        <v>1</v>
      </c>
      <c r="AA2338" t="e">
        <f t="shared" si="335"/>
        <v>#VALUE!</v>
      </c>
      <c r="AB2338" t="str">
        <f t="shared" si="336"/>
        <v/>
      </c>
      <c r="AC2338" t="e">
        <f t="shared" si="337"/>
        <v>#VALUE!</v>
      </c>
    </row>
    <row r="2339" spans="1:29" x14ac:dyDescent="0.2">
      <c r="A2339" t="str">
        <f t="shared" si="338"/>
        <v/>
      </c>
      <c r="E2339" s="4"/>
      <c r="F2339" s="46"/>
      <c r="G2339" s="4"/>
      <c r="H2339" s="48"/>
      <c r="J2339" s="26" t="str">
        <f t="shared" si="339"/>
        <v/>
      </c>
      <c r="N2339" t="str">
        <f t="shared" si="340"/>
        <v/>
      </c>
      <c r="Q2339" t="str">
        <f t="shared" si="341"/>
        <v/>
      </c>
      <c r="S2339" t="str">
        <f>IF(A2339=1,MAX($S$2:$S2338)+1,IF(OR($I2339&lt;&gt;"",A2339="x"),$S2338,""))</f>
        <v/>
      </c>
      <c r="T2339" t="str">
        <f>IF(D2339=1,MAX($T$2:$T2338)+1,IF(S2339=S2338,$T2338,IF(D2339="x",T2338,IF(D2338="x","",""))))</f>
        <v/>
      </c>
      <c r="U2339" t="str">
        <f>IF(B2339=1,MAX($U$2:$U2338)+1,IF(AND($T2339&lt;&gt;"",$T2339=$T2338),$U2338,IF(B2339="x",U2338,"")))</f>
        <v/>
      </c>
      <c r="V2339" t="str">
        <f>IF(C2339=1,MAX($V$2:$V2338)+1,IF(AND($T2339&lt;&gt;"",$T2339=$T2338),$U2338,IF(C2339="x",V2338,"")))</f>
        <v/>
      </c>
      <c r="X2339" cm="1">
        <f t="array" ref="X2339">IF($I2339&lt;&gt;"",$I2339,INDEX($I$1:$I2339,ROW()-COUNTIFS($T$1:$T2339,"="&amp;$T2339,$S$1:$S2339,"&lt;"&amp;$S2339)))</f>
        <v>0</v>
      </c>
      <c r="Z2339" s="6">
        <f t="shared" si="334"/>
        <v>1</v>
      </c>
      <c r="AA2339" t="e">
        <f t="shared" si="335"/>
        <v>#VALUE!</v>
      </c>
      <c r="AB2339" t="str">
        <f t="shared" si="336"/>
        <v/>
      </c>
      <c r="AC2339" t="e">
        <f t="shared" si="337"/>
        <v>#VALUE!</v>
      </c>
    </row>
    <row r="2340" spans="1:29" x14ac:dyDescent="0.2">
      <c r="A2340" t="str">
        <f t="shared" si="338"/>
        <v/>
      </c>
      <c r="E2340" s="4"/>
      <c r="F2340" s="46"/>
      <c r="G2340" s="4"/>
      <c r="H2340" s="48"/>
      <c r="J2340" s="26" t="str">
        <f t="shared" si="339"/>
        <v/>
      </c>
      <c r="N2340" t="str">
        <f t="shared" si="340"/>
        <v/>
      </c>
      <c r="Q2340" t="str">
        <f t="shared" si="341"/>
        <v/>
      </c>
      <c r="S2340" t="str">
        <f>IF(A2340=1,MAX($S$2:$S2339)+1,IF(OR($I2340&lt;&gt;"",A2340="x"),$S2339,""))</f>
        <v/>
      </c>
      <c r="T2340" t="str">
        <f>IF(D2340=1,MAX($T$2:$T2339)+1,IF(S2340=S2339,$T2339,IF(D2340="x",T2339,IF(D2339="x","",""))))</f>
        <v/>
      </c>
      <c r="U2340" t="str">
        <f>IF(B2340=1,MAX($U$2:$U2339)+1,IF(AND($T2340&lt;&gt;"",$T2340=$T2339),$U2339,IF(B2340="x",U2339,"")))</f>
        <v/>
      </c>
      <c r="V2340" t="str">
        <f>IF(C2340=1,MAX($V$2:$V2339)+1,IF(AND($T2340&lt;&gt;"",$T2340=$T2339),$U2339,IF(C2340="x",V2339,"")))</f>
        <v/>
      </c>
      <c r="X2340" cm="1">
        <f t="array" ref="X2340">IF($I2340&lt;&gt;"",$I2340,INDEX($I$1:$I2340,ROW()-COUNTIFS($T$1:$T2340,"="&amp;$T2340,$S$1:$S2340,"&lt;"&amp;$S2340)))</f>
        <v>0</v>
      </c>
      <c r="Z2340" s="6">
        <f t="shared" si="334"/>
        <v>1</v>
      </c>
      <c r="AA2340" t="e">
        <f t="shared" si="335"/>
        <v>#VALUE!</v>
      </c>
      <c r="AB2340" t="str">
        <f t="shared" si="336"/>
        <v/>
      </c>
      <c r="AC2340" t="e">
        <f t="shared" si="337"/>
        <v>#VALUE!</v>
      </c>
    </row>
    <row r="2341" spans="1:29" x14ac:dyDescent="0.2">
      <c r="A2341" t="str">
        <f t="shared" si="338"/>
        <v/>
      </c>
      <c r="E2341" s="4"/>
      <c r="F2341" s="46"/>
      <c r="G2341" s="4"/>
      <c r="H2341" s="48"/>
      <c r="J2341" s="26" t="str">
        <f t="shared" si="339"/>
        <v/>
      </c>
      <c r="N2341" t="str">
        <f t="shared" si="340"/>
        <v/>
      </c>
      <c r="Q2341" t="str">
        <f t="shared" si="341"/>
        <v/>
      </c>
      <c r="S2341" t="str">
        <f>IF(A2341=1,MAX($S$2:$S2340)+1,IF(OR($I2341&lt;&gt;"",A2341="x"),$S2340,""))</f>
        <v/>
      </c>
      <c r="T2341" t="str">
        <f>IF(D2341=1,MAX($T$2:$T2340)+1,IF(S2341=S2340,$T2340,IF(D2341="x",T2340,IF(D2340="x","",""))))</f>
        <v/>
      </c>
      <c r="U2341" t="str">
        <f>IF(B2341=1,MAX($U$2:$U2340)+1,IF(AND($T2341&lt;&gt;"",$T2341=$T2340),$U2340,IF(B2341="x",U2340,"")))</f>
        <v/>
      </c>
      <c r="V2341" t="str">
        <f>IF(C2341=1,MAX($V$2:$V2340)+1,IF(AND($T2341&lt;&gt;"",$T2341=$T2340),$U2340,IF(C2341="x",V2340,"")))</f>
        <v/>
      </c>
      <c r="X2341" cm="1">
        <f t="array" ref="X2341">IF($I2341&lt;&gt;"",$I2341,INDEX($I$1:$I2341,ROW()-COUNTIFS($T$1:$T2341,"="&amp;$T2341,$S$1:$S2341,"&lt;"&amp;$S2341)))</f>
        <v>0</v>
      </c>
      <c r="Z2341" s="6">
        <f t="shared" si="334"/>
        <v>1</v>
      </c>
      <c r="AA2341" t="e">
        <f t="shared" si="335"/>
        <v>#VALUE!</v>
      </c>
      <c r="AB2341" t="str">
        <f t="shared" si="336"/>
        <v/>
      </c>
      <c r="AC2341" t="e">
        <f t="shared" si="337"/>
        <v>#VALUE!</v>
      </c>
    </row>
    <row r="2342" spans="1:29" x14ac:dyDescent="0.2">
      <c r="A2342" t="str">
        <f t="shared" si="338"/>
        <v/>
      </c>
      <c r="E2342" s="4"/>
      <c r="F2342" s="46"/>
      <c r="G2342" s="4"/>
      <c r="H2342" s="48"/>
      <c r="J2342" s="26" t="str">
        <f t="shared" si="339"/>
        <v/>
      </c>
      <c r="N2342" t="str">
        <f t="shared" si="340"/>
        <v/>
      </c>
      <c r="Q2342" t="str">
        <f t="shared" si="341"/>
        <v/>
      </c>
      <c r="S2342" t="str">
        <f>IF(A2342=1,MAX($S$2:$S2341)+1,IF(OR($I2342&lt;&gt;"",A2342="x"),$S2341,""))</f>
        <v/>
      </c>
      <c r="T2342" t="str">
        <f>IF(D2342=1,MAX($T$2:$T2341)+1,IF(S2342=S2341,$T2341,IF(D2342="x",T2341,IF(D2341="x","",""))))</f>
        <v/>
      </c>
      <c r="U2342" t="str">
        <f>IF(B2342=1,MAX($U$2:$U2341)+1,IF(AND($T2342&lt;&gt;"",$T2342=$T2341),$U2341,IF(B2342="x",U2341,"")))</f>
        <v/>
      </c>
      <c r="V2342" t="str">
        <f>IF(C2342=1,MAX($V$2:$V2341)+1,IF(AND($T2342&lt;&gt;"",$T2342=$T2341),$U2341,IF(C2342="x",V2341,"")))</f>
        <v/>
      </c>
      <c r="X2342" cm="1">
        <f t="array" ref="X2342">IF($I2342&lt;&gt;"",$I2342,INDEX($I$1:$I2342,ROW()-COUNTIFS($T$1:$T2342,"="&amp;$T2342,$S$1:$S2342,"&lt;"&amp;$S2342)))</f>
        <v>0</v>
      </c>
      <c r="Z2342" s="6">
        <f t="shared" si="334"/>
        <v>1</v>
      </c>
      <c r="AA2342" t="e">
        <f t="shared" si="335"/>
        <v>#VALUE!</v>
      </c>
      <c r="AB2342" t="str">
        <f t="shared" si="336"/>
        <v/>
      </c>
      <c r="AC2342" t="e">
        <f t="shared" si="337"/>
        <v>#VALUE!</v>
      </c>
    </row>
    <row r="2343" spans="1:29" x14ac:dyDescent="0.2">
      <c r="A2343" t="str">
        <f t="shared" si="338"/>
        <v/>
      </c>
      <c r="E2343" s="4"/>
      <c r="F2343" s="46"/>
      <c r="G2343" s="4"/>
      <c r="H2343" s="48"/>
      <c r="J2343" s="26" t="str">
        <f t="shared" si="339"/>
        <v/>
      </c>
      <c r="N2343" t="str">
        <f t="shared" si="340"/>
        <v/>
      </c>
      <c r="Q2343" t="str">
        <f t="shared" si="341"/>
        <v/>
      </c>
      <c r="S2343" t="str">
        <f>IF(A2343=1,MAX($S$2:$S2342)+1,IF(OR($I2343&lt;&gt;"",A2343="x"),$S2342,""))</f>
        <v/>
      </c>
      <c r="T2343" t="str">
        <f>IF(D2343=1,MAX($T$2:$T2342)+1,IF(S2343=S2342,$T2342,IF(D2343="x",T2342,IF(D2342="x","",""))))</f>
        <v/>
      </c>
      <c r="U2343" t="str">
        <f>IF(B2343=1,MAX($U$2:$U2342)+1,IF(AND($T2343&lt;&gt;"",$T2343=$T2342),$U2342,IF(B2343="x",U2342,"")))</f>
        <v/>
      </c>
      <c r="V2343" t="str">
        <f>IF(C2343=1,MAX($V$2:$V2342)+1,IF(AND($T2343&lt;&gt;"",$T2343=$T2342),$U2342,IF(C2343="x",V2342,"")))</f>
        <v/>
      </c>
      <c r="X2343" cm="1">
        <f t="array" ref="X2343">IF($I2343&lt;&gt;"",$I2343,INDEX($I$1:$I2343,ROW()-COUNTIFS($T$1:$T2343,"="&amp;$T2343,$S$1:$S2343,"&lt;"&amp;$S2343)))</f>
        <v>0</v>
      </c>
      <c r="Z2343" s="6">
        <f t="shared" si="334"/>
        <v>1</v>
      </c>
      <c r="AA2343" t="e">
        <f t="shared" si="335"/>
        <v>#VALUE!</v>
      </c>
      <c r="AB2343" t="str">
        <f t="shared" si="336"/>
        <v/>
      </c>
      <c r="AC2343" t="e">
        <f t="shared" si="337"/>
        <v>#VALUE!</v>
      </c>
    </row>
    <row r="2344" spans="1:29" x14ac:dyDescent="0.2">
      <c r="A2344" t="str">
        <f t="shared" si="338"/>
        <v/>
      </c>
      <c r="E2344" s="4"/>
      <c r="F2344" s="46"/>
      <c r="G2344" s="4"/>
      <c r="H2344" s="48"/>
      <c r="J2344" s="26" t="str">
        <f t="shared" si="339"/>
        <v/>
      </c>
      <c r="N2344" t="str">
        <f t="shared" si="340"/>
        <v/>
      </c>
      <c r="Q2344" t="str">
        <f t="shared" si="341"/>
        <v/>
      </c>
      <c r="S2344" t="str">
        <f>IF(A2344=1,MAX($S$2:$S2343)+1,IF(OR($I2344&lt;&gt;"",A2344="x"),$S2343,""))</f>
        <v/>
      </c>
      <c r="T2344" t="str">
        <f>IF(D2344=1,MAX($T$2:$T2343)+1,IF(S2344=S2343,$T2343,IF(D2344="x",T2343,IF(D2343="x","",""))))</f>
        <v/>
      </c>
      <c r="U2344" t="str">
        <f>IF(B2344=1,MAX($U$2:$U2343)+1,IF(AND($T2344&lt;&gt;"",$T2344=$T2343),$U2343,IF(B2344="x",U2343,"")))</f>
        <v/>
      </c>
      <c r="V2344" t="str">
        <f>IF(C2344=1,MAX($V$2:$V2343)+1,IF(AND($T2344&lt;&gt;"",$T2344=$T2343),$U2343,IF(C2344="x",V2343,"")))</f>
        <v/>
      </c>
      <c r="X2344" cm="1">
        <f t="array" ref="X2344">IF($I2344&lt;&gt;"",$I2344,INDEX($I$1:$I2344,ROW()-COUNTIFS($T$1:$T2344,"="&amp;$T2344,$S$1:$S2344,"&lt;"&amp;$S2344)))</f>
        <v>0</v>
      </c>
      <c r="Z2344" s="6">
        <f t="shared" si="334"/>
        <v>1</v>
      </c>
      <c r="AA2344" t="e">
        <f t="shared" si="335"/>
        <v>#VALUE!</v>
      </c>
      <c r="AB2344" t="str">
        <f t="shared" si="336"/>
        <v/>
      </c>
      <c r="AC2344" t="e">
        <f t="shared" si="337"/>
        <v>#VALUE!</v>
      </c>
    </row>
    <row r="2345" spans="1:29" x14ac:dyDescent="0.2">
      <c r="A2345" t="str">
        <f t="shared" si="338"/>
        <v/>
      </c>
      <c r="E2345" s="4"/>
      <c r="F2345" s="46"/>
      <c r="G2345" s="4"/>
      <c r="H2345" s="48"/>
      <c r="J2345" s="26" t="str">
        <f t="shared" si="339"/>
        <v/>
      </c>
      <c r="N2345" t="str">
        <f t="shared" si="340"/>
        <v/>
      </c>
      <c r="Q2345" t="str">
        <f t="shared" si="341"/>
        <v/>
      </c>
      <c r="S2345" t="str">
        <f>IF(A2345=1,MAX($S$2:$S2344)+1,IF(OR($I2345&lt;&gt;"",A2345="x"),$S2344,""))</f>
        <v/>
      </c>
      <c r="T2345" t="str">
        <f>IF(D2345=1,MAX($T$2:$T2344)+1,IF(S2345=S2344,$T2344,IF(D2345="x",T2344,IF(D2344="x","",""))))</f>
        <v/>
      </c>
      <c r="U2345" t="str">
        <f>IF(B2345=1,MAX($U$2:$U2344)+1,IF(AND($T2345&lt;&gt;"",$T2345=$T2344),$U2344,IF(B2345="x",U2344,"")))</f>
        <v/>
      </c>
      <c r="V2345" t="str">
        <f>IF(C2345=1,MAX($V$2:$V2344)+1,IF(AND($T2345&lt;&gt;"",$T2345=$T2344),$U2344,IF(C2345="x",V2344,"")))</f>
        <v/>
      </c>
      <c r="X2345" cm="1">
        <f t="array" ref="X2345">IF($I2345&lt;&gt;"",$I2345,INDEX($I$1:$I2345,ROW()-COUNTIFS($T$1:$T2345,"="&amp;$T2345,$S$1:$S2345,"&lt;"&amp;$S2345)))</f>
        <v>0</v>
      </c>
      <c r="Z2345" s="6">
        <f t="shared" si="334"/>
        <v>1</v>
      </c>
      <c r="AA2345" t="e">
        <f t="shared" si="335"/>
        <v>#VALUE!</v>
      </c>
      <c r="AB2345" t="str">
        <f t="shared" si="336"/>
        <v/>
      </c>
      <c r="AC2345" t="e">
        <f t="shared" si="337"/>
        <v>#VALUE!</v>
      </c>
    </row>
    <row r="2346" spans="1:29" x14ac:dyDescent="0.2">
      <c r="A2346" t="str">
        <f t="shared" si="338"/>
        <v/>
      </c>
      <c r="E2346" s="4"/>
      <c r="F2346" s="46"/>
      <c r="G2346" s="4"/>
      <c r="H2346" s="48"/>
      <c r="J2346" s="26" t="str">
        <f t="shared" si="339"/>
        <v/>
      </c>
      <c r="N2346" t="str">
        <f t="shared" si="340"/>
        <v/>
      </c>
      <c r="Q2346" t="str">
        <f t="shared" si="341"/>
        <v/>
      </c>
      <c r="S2346" t="str">
        <f>IF(A2346=1,MAX($S$2:$S2345)+1,IF(OR($I2346&lt;&gt;"",A2346="x"),$S2345,""))</f>
        <v/>
      </c>
      <c r="T2346" t="str">
        <f>IF(D2346=1,MAX($T$2:$T2345)+1,IF(S2346=S2345,$T2345,IF(D2346="x",T2345,IF(D2345="x","",""))))</f>
        <v/>
      </c>
      <c r="U2346" t="str">
        <f>IF(B2346=1,MAX($U$2:$U2345)+1,IF(AND($T2346&lt;&gt;"",$T2346=$T2345),$U2345,IF(B2346="x",U2345,"")))</f>
        <v/>
      </c>
      <c r="V2346" t="str">
        <f>IF(C2346=1,MAX($V$2:$V2345)+1,IF(AND($T2346&lt;&gt;"",$T2346=$T2345),$U2345,IF(C2346="x",V2345,"")))</f>
        <v/>
      </c>
      <c r="X2346" cm="1">
        <f t="array" ref="X2346">IF($I2346&lt;&gt;"",$I2346,INDEX($I$1:$I2346,ROW()-COUNTIFS($T$1:$T2346,"="&amp;$T2346,$S$1:$S2346,"&lt;"&amp;$S2346)))</f>
        <v>0</v>
      </c>
      <c r="Z2346" s="6">
        <f t="shared" si="334"/>
        <v>1</v>
      </c>
      <c r="AA2346" t="e">
        <f t="shared" si="335"/>
        <v>#VALUE!</v>
      </c>
      <c r="AB2346" t="str">
        <f t="shared" si="336"/>
        <v/>
      </c>
      <c r="AC2346" t="e">
        <f t="shared" si="337"/>
        <v>#VALUE!</v>
      </c>
    </row>
    <row r="2347" spans="1:29" x14ac:dyDescent="0.2">
      <c r="A2347" t="str">
        <f t="shared" si="338"/>
        <v/>
      </c>
      <c r="E2347" s="4"/>
      <c r="F2347" s="46"/>
      <c r="G2347" s="4"/>
      <c r="H2347" s="48"/>
      <c r="J2347" s="26" t="str">
        <f t="shared" si="339"/>
        <v/>
      </c>
      <c r="N2347" t="str">
        <f t="shared" si="340"/>
        <v/>
      </c>
      <c r="Q2347" t="str">
        <f t="shared" si="341"/>
        <v/>
      </c>
      <c r="S2347" t="str">
        <f>IF(A2347=1,MAX($S$2:$S2346)+1,IF(OR($I2347&lt;&gt;"",A2347="x"),$S2346,""))</f>
        <v/>
      </c>
      <c r="T2347" t="str">
        <f>IF(D2347=1,MAX($T$2:$T2346)+1,IF(S2347=S2346,$T2346,IF(D2347="x",T2346,IF(D2346="x","",""))))</f>
        <v/>
      </c>
      <c r="U2347" t="str">
        <f>IF(B2347=1,MAX($U$2:$U2346)+1,IF(AND($T2347&lt;&gt;"",$T2347=$T2346),$U2346,IF(B2347="x",U2346,"")))</f>
        <v/>
      </c>
      <c r="V2347" t="str">
        <f>IF(C2347=1,MAX($V$2:$V2346)+1,IF(AND($T2347&lt;&gt;"",$T2347=$T2346),$U2346,IF(C2347="x",V2346,"")))</f>
        <v/>
      </c>
      <c r="X2347" cm="1">
        <f t="array" ref="X2347">IF($I2347&lt;&gt;"",$I2347,INDEX($I$1:$I2347,ROW()-COUNTIFS($T$1:$T2347,"="&amp;$T2347,$S$1:$S2347,"&lt;"&amp;$S2347)))</f>
        <v>0</v>
      </c>
      <c r="Z2347" s="6">
        <f t="shared" si="334"/>
        <v>1</v>
      </c>
      <c r="AA2347" t="e">
        <f t="shared" si="335"/>
        <v>#VALUE!</v>
      </c>
      <c r="AB2347" t="str">
        <f t="shared" si="336"/>
        <v/>
      </c>
      <c r="AC2347" t="e">
        <f t="shared" si="337"/>
        <v>#VALUE!</v>
      </c>
    </row>
    <row r="2348" spans="1:29" x14ac:dyDescent="0.2">
      <c r="A2348" t="str">
        <f t="shared" si="338"/>
        <v/>
      </c>
      <c r="E2348" s="4"/>
      <c r="F2348" s="46"/>
      <c r="G2348" s="4"/>
      <c r="H2348" s="48"/>
      <c r="J2348" s="26" t="str">
        <f t="shared" si="339"/>
        <v/>
      </c>
      <c r="N2348" t="str">
        <f t="shared" si="340"/>
        <v/>
      </c>
      <c r="Q2348" t="str">
        <f t="shared" si="341"/>
        <v/>
      </c>
      <c r="S2348" t="str">
        <f>IF(A2348=1,MAX($S$2:$S2347)+1,IF(OR($I2348&lt;&gt;"",A2348="x"),$S2347,""))</f>
        <v/>
      </c>
      <c r="T2348" t="str">
        <f>IF(D2348=1,MAX($T$2:$T2347)+1,IF(S2348=S2347,$T2347,IF(D2348="x",T2347,IF(D2347="x","",""))))</f>
        <v/>
      </c>
      <c r="U2348" t="str">
        <f>IF(B2348=1,MAX($U$2:$U2347)+1,IF(AND($T2348&lt;&gt;"",$T2348=$T2347),$U2347,IF(B2348="x",U2347,"")))</f>
        <v/>
      </c>
      <c r="V2348" t="str">
        <f>IF(C2348=1,MAX($V$2:$V2347)+1,IF(AND($T2348&lt;&gt;"",$T2348=$T2347),$U2347,IF(C2348="x",V2347,"")))</f>
        <v/>
      </c>
      <c r="X2348" cm="1">
        <f t="array" ref="X2348">IF($I2348&lt;&gt;"",$I2348,INDEX($I$1:$I2348,ROW()-COUNTIFS($T$1:$T2348,"="&amp;$T2348,$S$1:$S2348,"&lt;"&amp;$S2348)))</f>
        <v>0</v>
      </c>
      <c r="Z2348" s="6">
        <f t="shared" si="334"/>
        <v>1</v>
      </c>
      <c r="AA2348" t="e">
        <f t="shared" si="335"/>
        <v>#VALUE!</v>
      </c>
      <c r="AB2348" t="str">
        <f t="shared" si="336"/>
        <v/>
      </c>
      <c r="AC2348" t="e">
        <f t="shared" si="337"/>
        <v>#VALUE!</v>
      </c>
    </row>
    <row r="2349" spans="1:29" x14ac:dyDescent="0.2">
      <c r="A2349" t="str">
        <f t="shared" si="338"/>
        <v/>
      </c>
      <c r="E2349" s="4"/>
      <c r="F2349" s="46"/>
      <c r="G2349" s="4"/>
      <c r="H2349" s="48"/>
      <c r="J2349" s="26" t="str">
        <f t="shared" si="339"/>
        <v/>
      </c>
      <c r="N2349" t="str">
        <f t="shared" si="340"/>
        <v/>
      </c>
      <c r="Q2349" t="str">
        <f t="shared" si="341"/>
        <v/>
      </c>
      <c r="S2349" t="str">
        <f>IF(A2349=1,MAX($S$2:$S2348)+1,IF(OR($I2349&lt;&gt;"",A2349="x"),$S2348,""))</f>
        <v/>
      </c>
      <c r="T2349" t="str">
        <f>IF(D2349=1,MAX($T$2:$T2348)+1,IF(S2349=S2348,$T2348,IF(D2349="x",T2348,IF(D2348="x","",""))))</f>
        <v/>
      </c>
      <c r="U2349" t="str">
        <f>IF(B2349=1,MAX($U$2:$U2348)+1,IF(AND($T2349&lt;&gt;"",$T2349=$T2348),$U2348,IF(B2349="x",U2348,"")))</f>
        <v/>
      </c>
      <c r="V2349" t="str">
        <f>IF(C2349=1,MAX($V$2:$V2348)+1,IF(AND($T2349&lt;&gt;"",$T2349=$T2348),$U2348,IF(C2349="x",V2348,"")))</f>
        <v/>
      </c>
      <c r="X2349" cm="1">
        <f t="array" ref="X2349">IF($I2349&lt;&gt;"",$I2349,INDEX($I$1:$I2349,ROW()-COUNTIFS($T$1:$T2349,"="&amp;$T2349,$S$1:$S2349,"&lt;"&amp;$S2349)))</f>
        <v>0</v>
      </c>
      <c r="Z2349" s="6">
        <f t="shared" si="334"/>
        <v>1</v>
      </c>
      <c r="AA2349" t="e">
        <f t="shared" si="335"/>
        <v>#VALUE!</v>
      </c>
      <c r="AB2349" t="str">
        <f t="shared" si="336"/>
        <v/>
      </c>
      <c r="AC2349" t="e">
        <f t="shared" si="337"/>
        <v>#VALUE!</v>
      </c>
    </row>
    <row r="2350" spans="1:29" x14ac:dyDescent="0.2">
      <c r="A2350" t="str">
        <f t="shared" si="338"/>
        <v/>
      </c>
      <c r="E2350" s="4"/>
      <c r="F2350" s="46"/>
      <c r="G2350" s="4"/>
      <c r="H2350" s="48"/>
      <c r="J2350" s="26" t="str">
        <f t="shared" si="339"/>
        <v/>
      </c>
      <c r="N2350" t="str">
        <f t="shared" si="340"/>
        <v/>
      </c>
      <c r="Q2350" t="str">
        <f t="shared" si="341"/>
        <v/>
      </c>
      <c r="S2350" t="str">
        <f>IF(A2350=1,MAX($S$2:$S2349)+1,IF(OR($I2350&lt;&gt;"",A2350="x"),$S2349,""))</f>
        <v/>
      </c>
      <c r="T2350" t="str">
        <f>IF(D2350=1,MAX($T$2:$T2349)+1,IF(S2350=S2349,$T2349,IF(D2350="x",T2349,IF(D2349="x","",""))))</f>
        <v/>
      </c>
      <c r="U2350" t="str">
        <f>IF(B2350=1,MAX($U$2:$U2349)+1,IF(AND($T2350&lt;&gt;"",$T2350=$T2349),$U2349,IF(B2350="x",U2349,"")))</f>
        <v/>
      </c>
      <c r="V2350" t="str">
        <f>IF(C2350=1,MAX($V$2:$V2349)+1,IF(AND($T2350&lt;&gt;"",$T2350=$T2349),$U2349,IF(C2350="x",V2349,"")))</f>
        <v/>
      </c>
      <c r="X2350" cm="1">
        <f t="array" ref="X2350">IF($I2350&lt;&gt;"",$I2350,INDEX($I$1:$I2350,ROW()-COUNTIFS($T$1:$T2350,"="&amp;$T2350,$S$1:$S2350,"&lt;"&amp;$S2350)))</f>
        <v>0</v>
      </c>
      <c r="Z2350" s="6">
        <f t="shared" si="334"/>
        <v>1</v>
      </c>
      <c r="AA2350" t="e">
        <f t="shared" si="335"/>
        <v>#VALUE!</v>
      </c>
      <c r="AB2350" t="str">
        <f t="shared" si="336"/>
        <v/>
      </c>
      <c r="AC2350" t="e">
        <f t="shared" si="337"/>
        <v>#VALUE!</v>
      </c>
    </row>
    <row r="2351" spans="1:29" x14ac:dyDescent="0.2">
      <c r="A2351" t="str">
        <f t="shared" si="338"/>
        <v/>
      </c>
      <c r="E2351" s="4"/>
      <c r="F2351" s="46"/>
      <c r="G2351" s="4"/>
      <c r="H2351" s="48"/>
      <c r="J2351" s="26" t="str">
        <f t="shared" si="339"/>
        <v/>
      </c>
      <c r="N2351" t="str">
        <f t="shared" si="340"/>
        <v/>
      </c>
      <c r="Q2351" t="str">
        <f t="shared" si="341"/>
        <v/>
      </c>
      <c r="S2351" t="str">
        <f>IF(A2351=1,MAX($S$2:$S2350)+1,IF(OR($I2351&lt;&gt;"",A2351="x"),$S2350,""))</f>
        <v/>
      </c>
      <c r="T2351" t="str">
        <f>IF(D2351=1,MAX($T$2:$T2350)+1,IF(S2351=S2350,$T2350,IF(D2351="x",T2350,IF(D2350="x","",""))))</f>
        <v/>
      </c>
      <c r="U2351" t="str">
        <f>IF(B2351=1,MAX($U$2:$U2350)+1,IF(AND($T2351&lt;&gt;"",$T2351=$T2350),$U2350,IF(B2351="x",U2350,"")))</f>
        <v/>
      </c>
      <c r="V2351" t="str">
        <f>IF(C2351=1,MAX($V$2:$V2350)+1,IF(AND($T2351&lt;&gt;"",$T2351=$T2350),$U2350,IF(C2351="x",V2350,"")))</f>
        <v/>
      </c>
      <c r="X2351" cm="1">
        <f t="array" ref="X2351">IF($I2351&lt;&gt;"",$I2351,INDEX($I$1:$I2351,ROW()-COUNTIFS($T$1:$T2351,"="&amp;$T2351,$S$1:$S2351,"&lt;"&amp;$S2351)))</f>
        <v>0</v>
      </c>
      <c r="Z2351" s="6">
        <f t="shared" si="334"/>
        <v>1</v>
      </c>
      <c r="AA2351" t="e">
        <f t="shared" si="335"/>
        <v>#VALUE!</v>
      </c>
      <c r="AB2351" t="str">
        <f t="shared" si="336"/>
        <v/>
      </c>
      <c r="AC2351" t="e">
        <f t="shared" si="337"/>
        <v>#VALUE!</v>
      </c>
    </row>
    <row r="2352" spans="1:29" x14ac:dyDescent="0.2">
      <c r="A2352" t="str">
        <f t="shared" si="338"/>
        <v/>
      </c>
      <c r="E2352" s="4"/>
      <c r="F2352" s="46"/>
      <c r="G2352" s="4"/>
      <c r="H2352" s="48"/>
      <c r="J2352" s="26" t="str">
        <f t="shared" si="339"/>
        <v/>
      </c>
      <c r="N2352" t="str">
        <f t="shared" si="340"/>
        <v/>
      </c>
      <c r="Q2352" t="str">
        <f t="shared" si="341"/>
        <v/>
      </c>
      <c r="S2352" t="str">
        <f>IF(A2352=1,MAX($S$2:$S2351)+1,IF(OR($I2352&lt;&gt;"",A2352="x"),$S2351,""))</f>
        <v/>
      </c>
      <c r="T2352" t="str">
        <f>IF(D2352=1,MAX($T$2:$T2351)+1,IF(S2352=S2351,$T2351,IF(D2352="x",T2351,IF(D2351="x","",""))))</f>
        <v/>
      </c>
      <c r="U2352" t="str">
        <f>IF(B2352=1,MAX($U$2:$U2351)+1,IF(AND($T2352&lt;&gt;"",$T2352=$T2351),$U2351,IF(B2352="x",U2351,"")))</f>
        <v/>
      </c>
      <c r="V2352" t="str">
        <f>IF(C2352=1,MAX($V$2:$V2351)+1,IF(AND($T2352&lt;&gt;"",$T2352=$T2351),$U2351,IF(C2352="x",V2351,"")))</f>
        <v/>
      </c>
      <c r="X2352" cm="1">
        <f t="array" ref="X2352">IF($I2352&lt;&gt;"",$I2352,INDEX($I$1:$I2352,ROW()-COUNTIFS($T$1:$T2352,"="&amp;$T2352,$S$1:$S2352,"&lt;"&amp;$S2352)))</f>
        <v>0</v>
      </c>
      <c r="Z2352" s="6">
        <f t="shared" si="334"/>
        <v>1</v>
      </c>
      <c r="AA2352" t="e">
        <f t="shared" si="335"/>
        <v>#VALUE!</v>
      </c>
      <c r="AB2352" t="str">
        <f t="shared" si="336"/>
        <v/>
      </c>
      <c r="AC2352" t="e">
        <f t="shared" si="337"/>
        <v>#VALUE!</v>
      </c>
    </row>
    <row r="2353" spans="1:29" x14ac:dyDescent="0.2">
      <c r="A2353" t="str">
        <f t="shared" si="338"/>
        <v/>
      </c>
      <c r="E2353" s="4"/>
      <c r="F2353" s="46"/>
      <c r="G2353" s="4"/>
      <c r="H2353" s="48"/>
      <c r="J2353" s="26" t="str">
        <f t="shared" si="339"/>
        <v/>
      </c>
      <c r="N2353" t="str">
        <f t="shared" si="340"/>
        <v/>
      </c>
      <c r="Q2353" t="str">
        <f t="shared" si="341"/>
        <v/>
      </c>
      <c r="S2353" t="str">
        <f>IF(A2353=1,MAX($S$2:$S2352)+1,IF(OR($I2353&lt;&gt;"",A2353="x"),$S2352,""))</f>
        <v/>
      </c>
      <c r="T2353" t="str">
        <f>IF(D2353=1,MAX($T$2:$T2352)+1,IF(S2353=S2352,$T2352,IF(D2353="x",T2352,IF(D2352="x","",""))))</f>
        <v/>
      </c>
      <c r="U2353" t="str">
        <f>IF(B2353=1,MAX($U$2:$U2352)+1,IF(AND($T2353&lt;&gt;"",$T2353=$T2352),$U2352,IF(B2353="x",U2352,"")))</f>
        <v/>
      </c>
      <c r="V2353" t="str">
        <f>IF(C2353=1,MAX($V$2:$V2352)+1,IF(AND($T2353&lt;&gt;"",$T2353=$T2352),$U2352,IF(C2353="x",V2352,"")))</f>
        <v/>
      </c>
      <c r="X2353" cm="1">
        <f t="array" ref="X2353">IF($I2353&lt;&gt;"",$I2353,INDEX($I$1:$I2353,ROW()-COUNTIFS($T$1:$T2353,"="&amp;$T2353,$S$1:$S2353,"&lt;"&amp;$S2353)))</f>
        <v>0</v>
      </c>
      <c r="Z2353" s="6">
        <f t="shared" si="334"/>
        <v>1</v>
      </c>
      <c r="AA2353" t="e">
        <f t="shared" si="335"/>
        <v>#VALUE!</v>
      </c>
      <c r="AB2353" t="str">
        <f t="shared" si="336"/>
        <v/>
      </c>
      <c r="AC2353" t="e">
        <f t="shared" si="337"/>
        <v>#VALUE!</v>
      </c>
    </row>
    <row r="2354" spans="1:29" x14ac:dyDescent="0.2">
      <c r="A2354" t="str">
        <f t="shared" si="338"/>
        <v/>
      </c>
      <c r="E2354" s="4"/>
      <c r="F2354" s="46"/>
      <c r="G2354" s="4"/>
      <c r="H2354" s="48"/>
      <c r="J2354" s="26" t="str">
        <f t="shared" si="339"/>
        <v/>
      </c>
      <c r="N2354" t="str">
        <f t="shared" si="340"/>
        <v/>
      </c>
      <c r="Q2354" t="str">
        <f t="shared" si="341"/>
        <v/>
      </c>
      <c r="S2354" t="str">
        <f>IF(A2354=1,MAX($S$2:$S2353)+1,IF(OR($I2354&lt;&gt;"",A2354="x"),$S2353,""))</f>
        <v/>
      </c>
      <c r="T2354" t="str">
        <f>IF(D2354=1,MAX($T$2:$T2353)+1,IF(S2354=S2353,$T2353,IF(D2354="x",T2353,IF(D2353="x","",""))))</f>
        <v/>
      </c>
      <c r="U2354" t="str">
        <f>IF(B2354=1,MAX($U$2:$U2353)+1,IF(AND($T2354&lt;&gt;"",$T2354=$T2353),$U2353,IF(B2354="x",U2353,"")))</f>
        <v/>
      </c>
      <c r="V2354" t="str">
        <f>IF(C2354=1,MAX($V$2:$V2353)+1,IF(AND($T2354&lt;&gt;"",$T2354=$T2353),$U2353,IF(C2354="x",V2353,"")))</f>
        <v/>
      </c>
      <c r="X2354" cm="1">
        <f t="array" ref="X2354">IF($I2354&lt;&gt;"",$I2354,INDEX($I$1:$I2354,ROW()-COUNTIFS($T$1:$T2354,"="&amp;$T2354,$S$1:$S2354,"&lt;"&amp;$S2354)))</f>
        <v>0</v>
      </c>
      <c r="Z2354" s="6">
        <f t="shared" si="334"/>
        <v>1</v>
      </c>
      <c r="AA2354" t="e">
        <f t="shared" si="335"/>
        <v>#VALUE!</v>
      </c>
      <c r="AB2354" t="str">
        <f t="shared" si="336"/>
        <v/>
      </c>
      <c r="AC2354" t="e">
        <f t="shared" si="337"/>
        <v>#VALUE!</v>
      </c>
    </row>
    <row r="2355" spans="1:29" x14ac:dyDescent="0.2">
      <c r="A2355" t="str">
        <f t="shared" si="338"/>
        <v/>
      </c>
      <c r="E2355" s="4"/>
      <c r="F2355" s="46"/>
      <c r="G2355" s="4"/>
      <c r="H2355" s="48"/>
      <c r="J2355" s="26" t="str">
        <f t="shared" si="339"/>
        <v/>
      </c>
      <c r="N2355" t="str">
        <f t="shared" si="340"/>
        <v/>
      </c>
      <c r="Q2355" t="str">
        <f t="shared" si="341"/>
        <v/>
      </c>
      <c r="S2355" t="str">
        <f>IF(A2355=1,MAX($S$2:$S2354)+1,IF(OR($I2355&lt;&gt;"",A2355="x"),$S2354,""))</f>
        <v/>
      </c>
      <c r="T2355" t="str">
        <f>IF(D2355=1,MAX($T$2:$T2354)+1,IF(S2355=S2354,$T2354,IF(D2355="x",T2354,IF(D2354="x","",""))))</f>
        <v/>
      </c>
      <c r="U2355" t="str">
        <f>IF(B2355=1,MAX($U$2:$U2354)+1,IF(AND($T2355&lt;&gt;"",$T2355=$T2354),$U2354,IF(B2355="x",U2354,"")))</f>
        <v/>
      </c>
      <c r="V2355" t="str">
        <f>IF(C2355=1,MAX($V$2:$V2354)+1,IF(AND($T2355&lt;&gt;"",$T2355=$T2354),$U2354,IF(C2355="x",V2354,"")))</f>
        <v/>
      </c>
      <c r="X2355" cm="1">
        <f t="array" ref="X2355">IF($I2355&lt;&gt;"",$I2355,INDEX($I$1:$I2355,ROW()-COUNTIFS($T$1:$T2355,"="&amp;$T2355,$S$1:$S2355,"&lt;"&amp;$S2355)))</f>
        <v>0</v>
      </c>
      <c r="Z2355" s="6">
        <f t="shared" si="334"/>
        <v>1</v>
      </c>
      <c r="AA2355" t="e">
        <f t="shared" si="335"/>
        <v>#VALUE!</v>
      </c>
      <c r="AB2355" t="str">
        <f t="shared" si="336"/>
        <v/>
      </c>
      <c r="AC2355" t="e">
        <f t="shared" si="337"/>
        <v>#VALUE!</v>
      </c>
    </row>
    <row r="2356" spans="1:29" x14ac:dyDescent="0.2">
      <c r="A2356" t="str">
        <f t="shared" si="338"/>
        <v/>
      </c>
      <c r="E2356" s="4"/>
      <c r="F2356" s="46"/>
      <c r="G2356" s="4"/>
      <c r="H2356" s="48"/>
      <c r="J2356" s="26" t="str">
        <f t="shared" si="339"/>
        <v/>
      </c>
      <c r="N2356" t="str">
        <f t="shared" si="340"/>
        <v/>
      </c>
      <c r="Q2356" t="str">
        <f t="shared" si="341"/>
        <v/>
      </c>
      <c r="S2356" t="str">
        <f>IF(A2356=1,MAX($S$2:$S2355)+1,IF(OR($I2356&lt;&gt;"",A2356="x"),$S2355,""))</f>
        <v/>
      </c>
      <c r="T2356" t="str">
        <f>IF(D2356=1,MAX($T$2:$T2355)+1,IF(S2356=S2355,$T2355,IF(D2356="x",T2355,IF(D2355="x","",""))))</f>
        <v/>
      </c>
      <c r="U2356" t="str">
        <f>IF(B2356=1,MAX($U$2:$U2355)+1,IF(AND($T2356&lt;&gt;"",$T2356=$T2355),$U2355,IF(B2356="x",U2355,"")))</f>
        <v/>
      </c>
      <c r="V2356" t="str">
        <f>IF(C2356=1,MAX($V$2:$V2355)+1,IF(AND($T2356&lt;&gt;"",$T2356=$T2355),$U2355,IF(C2356="x",V2355,"")))</f>
        <v/>
      </c>
      <c r="X2356" cm="1">
        <f t="array" ref="X2356">IF($I2356&lt;&gt;"",$I2356,INDEX($I$1:$I2356,ROW()-COUNTIFS($T$1:$T2356,"="&amp;$T2356,$S$1:$S2356,"&lt;"&amp;$S2356)))</f>
        <v>0</v>
      </c>
      <c r="Z2356" s="6">
        <f t="shared" si="334"/>
        <v>1</v>
      </c>
      <c r="AA2356" t="e">
        <f t="shared" si="335"/>
        <v>#VALUE!</v>
      </c>
      <c r="AB2356" t="str">
        <f t="shared" si="336"/>
        <v/>
      </c>
      <c r="AC2356" t="e">
        <f t="shared" si="337"/>
        <v>#VALUE!</v>
      </c>
    </row>
    <row r="2357" spans="1:29" x14ac:dyDescent="0.2">
      <c r="A2357" t="str">
        <f t="shared" si="338"/>
        <v/>
      </c>
      <c r="E2357" s="4"/>
      <c r="F2357" s="46"/>
      <c r="G2357" s="4"/>
      <c r="H2357" s="48"/>
      <c r="J2357" s="26" t="str">
        <f t="shared" si="339"/>
        <v/>
      </c>
      <c r="N2357" t="str">
        <f t="shared" si="340"/>
        <v/>
      </c>
      <c r="Q2357" t="str">
        <f t="shared" si="341"/>
        <v/>
      </c>
      <c r="S2357" t="str">
        <f>IF(A2357=1,MAX($S$2:$S2356)+1,IF(OR($I2357&lt;&gt;"",A2357="x"),$S2356,""))</f>
        <v/>
      </c>
      <c r="T2357" t="str">
        <f>IF(D2357=1,MAX($T$2:$T2356)+1,IF(S2357=S2356,$T2356,IF(D2357="x",T2356,IF(D2356="x","",""))))</f>
        <v/>
      </c>
      <c r="U2357" t="str">
        <f>IF(B2357=1,MAX($U$2:$U2356)+1,IF(AND($T2357&lt;&gt;"",$T2357=$T2356),$U2356,IF(B2357="x",U2356,"")))</f>
        <v/>
      </c>
      <c r="V2357" t="str">
        <f>IF(C2357=1,MAX($V$2:$V2356)+1,IF(AND($T2357&lt;&gt;"",$T2357=$T2356),$U2356,IF(C2357="x",V2356,"")))</f>
        <v/>
      </c>
      <c r="X2357" cm="1">
        <f t="array" ref="X2357">IF($I2357&lt;&gt;"",$I2357,INDEX($I$1:$I2357,ROW()-COUNTIFS($T$1:$T2357,"="&amp;$T2357,$S$1:$S2357,"&lt;"&amp;$S2357)))</f>
        <v>0</v>
      </c>
      <c r="Z2357" s="6">
        <f t="shared" si="334"/>
        <v>1</v>
      </c>
      <c r="AA2357" t="e">
        <f t="shared" si="335"/>
        <v>#VALUE!</v>
      </c>
      <c r="AB2357" t="str">
        <f t="shared" si="336"/>
        <v/>
      </c>
      <c r="AC2357" t="e">
        <f t="shared" si="337"/>
        <v>#VALUE!</v>
      </c>
    </row>
    <row r="2358" spans="1:29" x14ac:dyDescent="0.2">
      <c r="A2358" t="str">
        <f t="shared" si="338"/>
        <v/>
      </c>
      <c r="E2358" s="4"/>
      <c r="F2358" s="46"/>
      <c r="G2358" s="4"/>
      <c r="H2358" s="48"/>
      <c r="J2358" s="26" t="str">
        <f t="shared" si="339"/>
        <v/>
      </c>
      <c r="N2358" t="str">
        <f t="shared" si="340"/>
        <v/>
      </c>
      <c r="Q2358" t="str">
        <f t="shared" si="341"/>
        <v/>
      </c>
      <c r="S2358" t="str">
        <f>IF(A2358=1,MAX($S$2:$S2357)+1,IF(OR($I2358&lt;&gt;"",A2358="x"),$S2357,""))</f>
        <v/>
      </c>
      <c r="T2358" t="str">
        <f>IF(D2358=1,MAX($T$2:$T2357)+1,IF(S2358=S2357,$T2357,IF(D2358="x",T2357,IF(D2357="x","",""))))</f>
        <v/>
      </c>
      <c r="U2358" t="str">
        <f>IF(B2358=1,MAX($U$2:$U2357)+1,IF(AND($T2358&lt;&gt;"",$T2358=$T2357),$U2357,IF(B2358="x",U2357,"")))</f>
        <v/>
      </c>
      <c r="V2358" t="str">
        <f>IF(C2358=1,MAX($V$2:$V2357)+1,IF(AND($T2358&lt;&gt;"",$T2358=$T2357),$U2357,IF(C2358="x",V2357,"")))</f>
        <v/>
      </c>
      <c r="X2358" cm="1">
        <f t="array" ref="X2358">IF($I2358&lt;&gt;"",$I2358,INDEX($I$1:$I2358,ROW()-COUNTIFS($T$1:$T2358,"="&amp;$T2358,$S$1:$S2358,"&lt;"&amp;$S2358)))</f>
        <v>0</v>
      </c>
      <c r="Z2358" s="6">
        <f t="shared" si="334"/>
        <v>1</v>
      </c>
      <c r="AA2358" t="e">
        <f t="shared" si="335"/>
        <v>#VALUE!</v>
      </c>
      <c r="AB2358" t="str">
        <f t="shared" si="336"/>
        <v/>
      </c>
      <c r="AC2358" t="e">
        <f t="shared" si="337"/>
        <v>#VALUE!</v>
      </c>
    </row>
    <row r="2359" spans="1:29" x14ac:dyDescent="0.2">
      <c r="A2359" t="str">
        <f t="shared" si="338"/>
        <v/>
      </c>
      <c r="E2359" s="4"/>
      <c r="F2359" s="46"/>
      <c r="G2359" s="4"/>
      <c r="H2359" s="48"/>
      <c r="J2359" s="26" t="str">
        <f t="shared" si="339"/>
        <v/>
      </c>
      <c r="N2359" t="str">
        <f t="shared" si="340"/>
        <v/>
      </c>
      <c r="Q2359" t="str">
        <f t="shared" si="341"/>
        <v/>
      </c>
      <c r="S2359" t="str">
        <f>IF(A2359=1,MAX($S$2:$S2358)+1,IF(OR($I2359&lt;&gt;"",A2359="x"),$S2358,""))</f>
        <v/>
      </c>
      <c r="T2359" t="str">
        <f>IF(D2359=1,MAX($T$2:$T2358)+1,IF(S2359=S2358,$T2358,IF(D2359="x",T2358,IF(D2358="x","",""))))</f>
        <v/>
      </c>
      <c r="U2359" t="str">
        <f>IF(B2359=1,MAX($U$2:$U2358)+1,IF(AND($T2359&lt;&gt;"",$T2359=$T2358),$U2358,IF(B2359="x",U2358,"")))</f>
        <v/>
      </c>
      <c r="V2359" t="str">
        <f>IF(C2359=1,MAX($V$2:$V2358)+1,IF(AND($T2359&lt;&gt;"",$T2359=$T2358),$U2358,IF(C2359="x",V2358,"")))</f>
        <v/>
      </c>
      <c r="X2359" cm="1">
        <f t="array" ref="X2359">IF($I2359&lt;&gt;"",$I2359,INDEX($I$1:$I2359,ROW()-COUNTIFS($T$1:$T2359,"="&amp;$T2359,$S$1:$S2359,"&lt;"&amp;$S2359)))</f>
        <v>0</v>
      </c>
      <c r="Z2359" s="6">
        <f t="shared" si="334"/>
        <v>1</v>
      </c>
      <c r="AA2359" t="e">
        <f t="shared" si="335"/>
        <v>#VALUE!</v>
      </c>
      <c r="AB2359" t="str">
        <f t="shared" si="336"/>
        <v/>
      </c>
      <c r="AC2359" t="e">
        <f t="shared" si="337"/>
        <v>#VALUE!</v>
      </c>
    </row>
    <row r="2360" spans="1:29" x14ac:dyDescent="0.2">
      <c r="A2360" t="str">
        <f t="shared" si="338"/>
        <v/>
      </c>
      <c r="E2360" s="4"/>
      <c r="F2360" s="46"/>
      <c r="G2360" s="4"/>
      <c r="H2360" s="48"/>
      <c r="J2360" s="26" t="str">
        <f t="shared" si="339"/>
        <v/>
      </c>
      <c r="N2360" t="str">
        <f t="shared" si="340"/>
        <v/>
      </c>
      <c r="Q2360" t="str">
        <f t="shared" si="341"/>
        <v/>
      </c>
      <c r="S2360" t="str">
        <f>IF(A2360=1,MAX($S$2:$S2359)+1,IF(OR($I2360&lt;&gt;"",A2360="x"),$S2359,""))</f>
        <v/>
      </c>
      <c r="T2360" t="str">
        <f>IF(D2360=1,MAX($T$2:$T2359)+1,IF(S2360=S2359,$T2359,IF(D2360="x",T2359,IF(D2359="x","",""))))</f>
        <v/>
      </c>
      <c r="U2360" t="str">
        <f>IF(B2360=1,MAX($U$2:$U2359)+1,IF(AND($T2360&lt;&gt;"",$T2360=$T2359),$U2359,IF(B2360="x",U2359,"")))</f>
        <v/>
      </c>
      <c r="V2360" t="str">
        <f>IF(C2360=1,MAX($V$2:$V2359)+1,IF(AND($T2360&lt;&gt;"",$T2360=$T2359),$U2359,IF(C2360="x",V2359,"")))</f>
        <v/>
      </c>
      <c r="X2360" cm="1">
        <f t="array" ref="X2360">IF($I2360&lt;&gt;"",$I2360,INDEX($I$1:$I2360,ROW()-COUNTIFS($T$1:$T2360,"="&amp;$T2360,$S$1:$S2360,"&lt;"&amp;$S2360)))</f>
        <v>0</v>
      </c>
      <c r="Z2360" s="6">
        <f t="shared" si="334"/>
        <v>1</v>
      </c>
      <c r="AA2360" t="e">
        <f t="shared" si="335"/>
        <v>#VALUE!</v>
      </c>
      <c r="AB2360" t="str">
        <f t="shared" si="336"/>
        <v/>
      </c>
      <c r="AC2360" t="e">
        <f t="shared" si="337"/>
        <v>#VALUE!</v>
      </c>
    </row>
    <row r="2361" spans="1:29" x14ac:dyDescent="0.2">
      <c r="A2361" t="str">
        <f t="shared" si="338"/>
        <v/>
      </c>
      <c r="E2361" s="4"/>
      <c r="F2361" s="46"/>
      <c r="G2361" s="4"/>
      <c r="H2361" s="48"/>
      <c r="J2361" s="26" t="str">
        <f t="shared" si="339"/>
        <v/>
      </c>
      <c r="N2361" t="str">
        <f t="shared" si="340"/>
        <v/>
      </c>
      <c r="Q2361" t="str">
        <f t="shared" si="341"/>
        <v/>
      </c>
      <c r="S2361" t="str">
        <f>IF(A2361=1,MAX($S$2:$S2360)+1,IF(OR($I2361&lt;&gt;"",A2361="x"),$S2360,""))</f>
        <v/>
      </c>
      <c r="T2361" t="str">
        <f>IF(D2361=1,MAX($T$2:$T2360)+1,IF(S2361=S2360,$T2360,IF(D2361="x",T2360,IF(D2360="x","",""))))</f>
        <v/>
      </c>
      <c r="U2361" t="str">
        <f>IF(B2361=1,MAX($U$2:$U2360)+1,IF(AND($T2361&lt;&gt;"",$T2361=$T2360),$U2360,IF(B2361="x",U2360,"")))</f>
        <v/>
      </c>
      <c r="V2361" t="str">
        <f>IF(C2361=1,MAX($V$2:$V2360)+1,IF(AND($T2361&lt;&gt;"",$T2361=$T2360),$U2360,IF(C2361="x",V2360,"")))</f>
        <v/>
      </c>
      <c r="X2361" cm="1">
        <f t="array" ref="X2361">IF($I2361&lt;&gt;"",$I2361,INDEX($I$1:$I2361,ROW()-COUNTIFS($T$1:$T2361,"="&amp;$T2361,$S$1:$S2361,"&lt;"&amp;$S2361)))</f>
        <v>0</v>
      </c>
      <c r="Z2361" s="6">
        <f t="shared" si="334"/>
        <v>1</v>
      </c>
      <c r="AA2361" t="e">
        <f t="shared" si="335"/>
        <v>#VALUE!</v>
      </c>
      <c r="AB2361" t="str">
        <f t="shared" si="336"/>
        <v/>
      </c>
      <c r="AC2361" t="e">
        <f t="shared" si="337"/>
        <v>#VALUE!</v>
      </c>
    </row>
    <row r="2362" spans="1:29" x14ac:dyDescent="0.2">
      <c r="A2362" t="str">
        <f t="shared" si="338"/>
        <v/>
      </c>
      <c r="E2362" s="4"/>
      <c r="F2362" s="46"/>
      <c r="G2362" s="4"/>
      <c r="H2362" s="48"/>
      <c r="J2362" s="26" t="str">
        <f t="shared" si="339"/>
        <v/>
      </c>
      <c r="N2362" t="str">
        <f t="shared" si="340"/>
        <v/>
      </c>
      <c r="Q2362" t="str">
        <f t="shared" si="341"/>
        <v/>
      </c>
      <c r="S2362" t="str">
        <f>IF(A2362=1,MAX($S$2:$S2361)+1,IF(OR($I2362&lt;&gt;"",A2362="x"),$S2361,""))</f>
        <v/>
      </c>
      <c r="T2362" t="str">
        <f>IF(D2362=1,MAX($T$2:$T2361)+1,IF(S2362=S2361,$T2361,IF(D2362="x",T2361,IF(D2361="x","",""))))</f>
        <v/>
      </c>
      <c r="U2362" t="str">
        <f>IF(B2362=1,MAX($U$2:$U2361)+1,IF(AND($T2362&lt;&gt;"",$T2362=$T2361),$U2361,IF(B2362="x",U2361,"")))</f>
        <v/>
      </c>
      <c r="V2362" t="str">
        <f>IF(C2362=1,MAX($V$2:$V2361)+1,IF(AND($T2362&lt;&gt;"",$T2362=$T2361),$U2361,IF(C2362="x",V2361,"")))</f>
        <v/>
      </c>
      <c r="X2362" cm="1">
        <f t="array" ref="X2362">IF($I2362&lt;&gt;"",$I2362,INDEX($I$1:$I2362,ROW()-COUNTIFS($T$1:$T2362,"="&amp;$T2362,$S$1:$S2362,"&lt;"&amp;$S2362)))</f>
        <v>0</v>
      </c>
      <c r="Z2362" s="6">
        <f t="shared" si="334"/>
        <v>1</v>
      </c>
      <c r="AA2362" t="e">
        <f t="shared" si="335"/>
        <v>#VALUE!</v>
      </c>
      <c r="AB2362" t="str">
        <f t="shared" si="336"/>
        <v/>
      </c>
      <c r="AC2362" t="e">
        <f t="shared" si="337"/>
        <v>#VALUE!</v>
      </c>
    </row>
    <row r="2363" spans="1:29" x14ac:dyDescent="0.2">
      <c r="A2363" t="str">
        <f t="shared" si="338"/>
        <v/>
      </c>
      <c r="E2363" s="4"/>
      <c r="F2363" s="46"/>
      <c r="G2363" s="4"/>
      <c r="H2363" s="48"/>
      <c r="J2363" s="26" t="str">
        <f t="shared" si="339"/>
        <v/>
      </c>
      <c r="N2363" t="str">
        <f t="shared" si="340"/>
        <v/>
      </c>
      <c r="Q2363" t="str">
        <f t="shared" si="341"/>
        <v/>
      </c>
      <c r="S2363" t="str">
        <f>IF(A2363=1,MAX($S$2:$S2362)+1,IF(OR($I2363&lt;&gt;"",A2363="x"),$S2362,""))</f>
        <v/>
      </c>
      <c r="T2363" t="str">
        <f>IF(D2363=1,MAX($T$2:$T2362)+1,IF(S2363=S2362,$T2362,IF(D2363="x",T2362,IF(D2362="x","",""))))</f>
        <v/>
      </c>
      <c r="U2363" t="str">
        <f>IF(B2363=1,MAX($U$2:$U2362)+1,IF(AND($T2363&lt;&gt;"",$T2363=$T2362),$U2362,IF(B2363="x",U2362,"")))</f>
        <v/>
      </c>
      <c r="V2363" t="str">
        <f>IF(C2363=1,MAX($V$2:$V2362)+1,IF(AND($T2363&lt;&gt;"",$T2363=$T2362),$U2362,IF(C2363="x",V2362,"")))</f>
        <v/>
      </c>
      <c r="X2363" cm="1">
        <f t="array" ref="X2363">IF($I2363&lt;&gt;"",$I2363,INDEX($I$1:$I2363,ROW()-COUNTIFS($T$1:$T2363,"="&amp;$T2363,$S$1:$S2363,"&lt;"&amp;$S2363)))</f>
        <v>0</v>
      </c>
      <c r="Z2363" s="6">
        <f t="shared" si="334"/>
        <v>1</v>
      </c>
      <c r="AA2363" t="e">
        <f t="shared" si="335"/>
        <v>#VALUE!</v>
      </c>
      <c r="AB2363" t="str">
        <f t="shared" si="336"/>
        <v/>
      </c>
      <c r="AC2363" t="e">
        <f t="shared" si="337"/>
        <v>#VALUE!</v>
      </c>
    </row>
    <row r="2364" spans="1:29" x14ac:dyDescent="0.2">
      <c r="A2364" t="str">
        <f t="shared" si="338"/>
        <v/>
      </c>
      <c r="E2364" s="4"/>
      <c r="F2364" s="46"/>
      <c r="G2364" s="4"/>
      <c r="H2364" s="48"/>
      <c r="J2364" s="26" t="str">
        <f t="shared" si="339"/>
        <v/>
      </c>
      <c r="N2364" t="str">
        <f t="shared" si="340"/>
        <v/>
      </c>
      <c r="Q2364" t="str">
        <f t="shared" si="341"/>
        <v/>
      </c>
      <c r="S2364" t="str">
        <f>IF(A2364=1,MAX($S$2:$S2363)+1,IF(OR($I2364&lt;&gt;"",A2364="x"),$S2363,""))</f>
        <v/>
      </c>
      <c r="T2364" t="str">
        <f>IF(D2364=1,MAX($T$2:$T2363)+1,IF(S2364=S2363,$T2363,IF(D2364="x",T2363,IF(D2363="x","",""))))</f>
        <v/>
      </c>
      <c r="U2364" t="str">
        <f>IF(B2364=1,MAX($U$2:$U2363)+1,IF(AND($T2364&lt;&gt;"",$T2364=$T2363),$U2363,IF(B2364="x",U2363,"")))</f>
        <v/>
      </c>
      <c r="V2364" t="str">
        <f>IF(C2364=1,MAX($V$2:$V2363)+1,IF(AND($T2364&lt;&gt;"",$T2364=$T2363),$U2363,IF(C2364="x",V2363,"")))</f>
        <v/>
      </c>
      <c r="X2364" cm="1">
        <f t="array" ref="X2364">IF($I2364&lt;&gt;"",$I2364,INDEX($I$1:$I2364,ROW()-COUNTIFS($T$1:$T2364,"="&amp;$T2364,$S$1:$S2364,"&lt;"&amp;$S2364)))</f>
        <v>0</v>
      </c>
      <c r="Z2364" s="6">
        <f t="shared" si="334"/>
        <v>1</v>
      </c>
      <c r="AA2364" t="e">
        <f t="shared" si="335"/>
        <v>#VALUE!</v>
      </c>
      <c r="AB2364" t="str">
        <f t="shared" si="336"/>
        <v/>
      </c>
      <c r="AC2364" t="e">
        <f t="shared" si="337"/>
        <v>#VALUE!</v>
      </c>
    </row>
    <row r="2365" spans="1:29" x14ac:dyDescent="0.2">
      <c r="A2365" t="str">
        <f t="shared" si="338"/>
        <v/>
      </c>
      <c r="E2365" s="4"/>
      <c r="F2365" s="46"/>
      <c r="G2365" s="4"/>
      <c r="H2365" s="48"/>
      <c r="J2365" s="26" t="str">
        <f t="shared" si="339"/>
        <v/>
      </c>
      <c r="N2365" t="str">
        <f t="shared" si="340"/>
        <v/>
      </c>
      <c r="Q2365" t="str">
        <f t="shared" si="341"/>
        <v/>
      </c>
      <c r="S2365" t="str">
        <f>IF(A2365=1,MAX($S$2:$S2364)+1,IF(OR($I2365&lt;&gt;"",A2365="x"),$S2364,""))</f>
        <v/>
      </c>
      <c r="T2365" t="str">
        <f>IF(D2365=1,MAX($T$2:$T2364)+1,IF(S2365=S2364,$T2364,IF(D2365="x",T2364,IF(D2364="x","",""))))</f>
        <v/>
      </c>
      <c r="U2365" t="str">
        <f>IF(B2365=1,MAX($U$2:$U2364)+1,IF(AND($T2365&lt;&gt;"",$T2365=$T2364),$U2364,IF(B2365="x",U2364,"")))</f>
        <v/>
      </c>
      <c r="V2365" t="str">
        <f>IF(C2365=1,MAX($V$2:$V2364)+1,IF(AND($T2365&lt;&gt;"",$T2365=$T2364),$U2364,IF(C2365="x",V2364,"")))</f>
        <v/>
      </c>
      <c r="X2365" cm="1">
        <f t="array" ref="X2365">IF($I2365&lt;&gt;"",$I2365,INDEX($I$1:$I2365,ROW()-COUNTIFS($T$1:$T2365,"="&amp;$T2365,$S$1:$S2365,"&lt;"&amp;$S2365)))</f>
        <v>0</v>
      </c>
      <c r="Z2365" s="6">
        <f t="shared" si="334"/>
        <v>1</v>
      </c>
      <c r="AA2365" t="e">
        <f t="shared" si="335"/>
        <v>#VALUE!</v>
      </c>
      <c r="AB2365" t="str">
        <f t="shared" si="336"/>
        <v/>
      </c>
      <c r="AC2365" t="e">
        <f t="shared" si="337"/>
        <v>#VALUE!</v>
      </c>
    </row>
    <row r="2366" spans="1:29" x14ac:dyDescent="0.2">
      <c r="A2366" t="str">
        <f t="shared" si="338"/>
        <v/>
      </c>
      <c r="E2366" s="4"/>
      <c r="F2366" s="46"/>
      <c r="G2366" s="4"/>
      <c r="H2366" s="48"/>
      <c r="J2366" s="26" t="str">
        <f t="shared" si="339"/>
        <v/>
      </c>
      <c r="N2366" t="str">
        <f t="shared" si="340"/>
        <v/>
      </c>
      <c r="Q2366" t="str">
        <f t="shared" si="341"/>
        <v/>
      </c>
      <c r="S2366" t="str">
        <f>IF(A2366=1,MAX($S$2:$S2365)+1,IF(OR($I2366&lt;&gt;"",A2366="x"),$S2365,""))</f>
        <v/>
      </c>
      <c r="T2366" t="str">
        <f>IF(D2366=1,MAX($T$2:$T2365)+1,IF(S2366=S2365,$T2365,IF(D2366="x",T2365,IF(D2365="x","",""))))</f>
        <v/>
      </c>
      <c r="U2366" t="str">
        <f>IF(B2366=1,MAX($U$2:$U2365)+1,IF(AND($T2366&lt;&gt;"",$T2366=$T2365),$U2365,IF(B2366="x",U2365,"")))</f>
        <v/>
      </c>
      <c r="V2366" t="str">
        <f>IF(C2366=1,MAX($V$2:$V2365)+1,IF(AND($T2366&lt;&gt;"",$T2366=$T2365),$U2365,IF(C2366="x",V2365,"")))</f>
        <v/>
      </c>
      <c r="X2366" cm="1">
        <f t="array" ref="X2366">IF($I2366&lt;&gt;"",$I2366,INDEX($I$1:$I2366,ROW()-COUNTIFS($T$1:$T2366,"="&amp;$T2366,$S$1:$S2366,"&lt;"&amp;$S2366)))</f>
        <v>0</v>
      </c>
      <c r="Z2366" s="6">
        <f t="shared" si="334"/>
        <v>1</v>
      </c>
      <c r="AA2366" t="e">
        <f t="shared" si="335"/>
        <v>#VALUE!</v>
      </c>
      <c r="AB2366" t="str">
        <f t="shared" si="336"/>
        <v/>
      </c>
      <c r="AC2366" t="e">
        <f t="shared" si="337"/>
        <v>#VALUE!</v>
      </c>
    </row>
    <row r="2367" spans="1:29" x14ac:dyDescent="0.2">
      <c r="A2367" t="str">
        <f t="shared" si="338"/>
        <v/>
      </c>
      <c r="E2367" s="4"/>
      <c r="F2367" s="46"/>
      <c r="G2367" s="4"/>
      <c r="H2367" s="48"/>
      <c r="J2367" s="26" t="str">
        <f t="shared" si="339"/>
        <v/>
      </c>
      <c r="N2367" t="str">
        <f t="shared" si="340"/>
        <v/>
      </c>
      <c r="Q2367" t="str">
        <f t="shared" si="341"/>
        <v/>
      </c>
      <c r="S2367" t="str">
        <f>IF(A2367=1,MAX($S$2:$S2366)+1,IF(OR($I2367&lt;&gt;"",A2367="x"),$S2366,""))</f>
        <v/>
      </c>
      <c r="T2367" t="str">
        <f>IF(D2367=1,MAX($T$2:$T2366)+1,IF(S2367=S2366,$T2366,IF(D2367="x",T2366,IF(D2366="x","",""))))</f>
        <v/>
      </c>
      <c r="U2367" t="str">
        <f>IF(B2367=1,MAX($U$2:$U2366)+1,IF(AND($T2367&lt;&gt;"",$T2367=$T2366),$U2366,IF(B2367="x",U2366,"")))</f>
        <v/>
      </c>
      <c r="V2367" t="str">
        <f>IF(C2367=1,MAX($V$2:$V2366)+1,IF(AND($T2367&lt;&gt;"",$T2367=$T2366),$U2366,IF(C2367="x",V2366,"")))</f>
        <v/>
      </c>
      <c r="X2367" cm="1">
        <f t="array" ref="X2367">IF($I2367&lt;&gt;"",$I2367,INDEX($I$1:$I2367,ROW()-COUNTIFS($T$1:$T2367,"="&amp;$T2367,$S$1:$S2367,"&lt;"&amp;$S2367)))</f>
        <v>0</v>
      </c>
      <c r="Z2367" s="6">
        <f t="shared" si="334"/>
        <v>1</v>
      </c>
      <c r="AA2367" t="e">
        <f t="shared" si="335"/>
        <v>#VALUE!</v>
      </c>
      <c r="AB2367" t="str">
        <f t="shared" si="336"/>
        <v/>
      </c>
      <c r="AC2367" t="e">
        <f t="shared" si="337"/>
        <v>#VALUE!</v>
      </c>
    </row>
    <row r="2368" spans="1:29" x14ac:dyDescent="0.2">
      <c r="A2368" t="str">
        <f t="shared" si="338"/>
        <v/>
      </c>
      <c r="E2368" s="4"/>
      <c r="F2368" s="46"/>
      <c r="G2368" s="4"/>
      <c r="H2368" s="48"/>
      <c r="J2368" s="26" t="str">
        <f t="shared" si="339"/>
        <v/>
      </c>
      <c r="N2368" t="str">
        <f t="shared" si="340"/>
        <v/>
      </c>
      <c r="Q2368" t="str">
        <f t="shared" si="341"/>
        <v/>
      </c>
      <c r="S2368" t="str">
        <f>IF(A2368=1,MAX($S$2:$S2367)+1,IF(OR($I2368&lt;&gt;"",A2368="x"),$S2367,""))</f>
        <v/>
      </c>
      <c r="T2368" t="str">
        <f>IF(D2368=1,MAX($T$2:$T2367)+1,IF(S2368=S2367,$T2367,IF(D2368="x",T2367,IF(D2367="x","",""))))</f>
        <v/>
      </c>
      <c r="U2368" t="str">
        <f>IF(B2368=1,MAX($U$2:$U2367)+1,IF(AND($T2368&lt;&gt;"",$T2368=$T2367),$U2367,IF(B2368="x",U2367,"")))</f>
        <v/>
      </c>
      <c r="V2368" t="str">
        <f>IF(C2368=1,MAX($V$2:$V2367)+1,IF(AND($T2368&lt;&gt;"",$T2368=$T2367),$U2367,IF(C2368="x",V2367,"")))</f>
        <v/>
      </c>
      <c r="X2368" cm="1">
        <f t="array" ref="X2368">IF($I2368&lt;&gt;"",$I2368,INDEX($I$1:$I2368,ROW()-COUNTIFS($T$1:$T2368,"="&amp;$T2368,$S$1:$S2368,"&lt;"&amp;$S2368)))</f>
        <v>0</v>
      </c>
      <c r="Z2368" s="6">
        <f t="shared" si="334"/>
        <v>1</v>
      </c>
      <c r="AA2368" t="e">
        <f t="shared" si="335"/>
        <v>#VALUE!</v>
      </c>
      <c r="AB2368" t="str">
        <f t="shared" si="336"/>
        <v/>
      </c>
      <c r="AC2368" t="e">
        <f t="shared" si="337"/>
        <v>#VALUE!</v>
      </c>
    </row>
    <row r="2369" spans="1:29" x14ac:dyDescent="0.2">
      <c r="A2369" t="str">
        <f t="shared" si="338"/>
        <v/>
      </c>
      <c r="E2369" s="4"/>
      <c r="F2369" s="46"/>
      <c r="G2369" s="4"/>
      <c r="H2369" s="48"/>
      <c r="J2369" s="26" t="str">
        <f t="shared" si="339"/>
        <v/>
      </c>
      <c r="N2369" t="str">
        <f t="shared" si="340"/>
        <v/>
      </c>
      <c r="Q2369" t="str">
        <f t="shared" si="341"/>
        <v/>
      </c>
      <c r="S2369" t="str">
        <f>IF(A2369=1,MAX($S$2:$S2368)+1,IF(OR($I2369&lt;&gt;"",A2369="x"),$S2368,""))</f>
        <v/>
      </c>
      <c r="T2369" t="str">
        <f>IF(D2369=1,MAX($T$2:$T2368)+1,IF(S2369=S2368,$T2368,IF(D2369="x",T2368,IF(D2368="x","",""))))</f>
        <v/>
      </c>
      <c r="U2369" t="str">
        <f>IF(B2369=1,MAX($U$2:$U2368)+1,IF(AND($T2369&lt;&gt;"",$T2369=$T2368),$U2368,IF(B2369="x",U2368,"")))</f>
        <v/>
      </c>
      <c r="V2369" t="str">
        <f>IF(C2369=1,MAX($V$2:$V2368)+1,IF(AND($T2369&lt;&gt;"",$T2369=$T2368),$U2368,IF(C2369="x",V2368,"")))</f>
        <v/>
      </c>
      <c r="X2369" cm="1">
        <f t="array" ref="X2369">IF($I2369&lt;&gt;"",$I2369,INDEX($I$1:$I2369,ROW()-COUNTIFS($T$1:$T2369,"="&amp;$T2369,$S$1:$S2369,"&lt;"&amp;$S2369)))</f>
        <v>0</v>
      </c>
      <c r="Z2369" s="6">
        <f t="shared" si="334"/>
        <v>1</v>
      </c>
      <c r="AA2369" t="e">
        <f t="shared" si="335"/>
        <v>#VALUE!</v>
      </c>
      <c r="AB2369" t="str">
        <f t="shared" si="336"/>
        <v/>
      </c>
      <c r="AC2369" t="e">
        <f t="shared" si="337"/>
        <v>#VALUE!</v>
      </c>
    </row>
    <row r="2370" spans="1:29" x14ac:dyDescent="0.2">
      <c r="A2370" t="str">
        <f t="shared" si="338"/>
        <v/>
      </c>
      <c r="E2370" s="4"/>
      <c r="F2370" s="46"/>
      <c r="G2370" s="4"/>
      <c r="H2370" s="48"/>
      <c r="J2370" s="26" t="str">
        <f t="shared" si="339"/>
        <v/>
      </c>
      <c r="N2370" t="str">
        <f t="shared" si="340"/>
        <v/>
      </c>
      <c r="Q2370" t="str">
        <f t="shared" si="341"/>
        <v/>
      </c>
      <c r="S2370" t="str">
        <f>IF(A2370=1,MAX($S$2:$S2369)+1,IF(OR($I2370&lt;&gt;"",A2370="x"),$S2369,""))</f>
        <v/>
      </c>
      <c r="T2370" t="str">
        <f>IF(D2370=1,MAX($T$2:$T2369)+1,IF(S2370=S2369,$T2369,IF(D2370="x",T2369,IF(D2369="x","",""))))</f>
        <v/>
      </c>
      <c r="U2370" t="str">
        <f>IF(B2370=1,MAX($U$2:$U2369)+1,IF(AND($T2370&lt;&gt;"",$T2370=$T2369),$U2369,IF(B2370="x",U2369,"")))</f>
        <v/>
      </c>
      <c r="V2370" t="str">
        <f>IF(C2370=1,MAX($V$2:$V2369)+1,IF(AND($T2370&lt;&gt;"",$T2370=$T2369),$U2369,IF(C2370="x",V2369,"")))</f>
        <v/>
      </c>
      <c r="X2370" cm="1">
        <f t="array" ref="X2370">IF($I2370&lt;&gt;"",$I2370,INDEX($I$1:$I2370,ROW()-COUNTIFS($T$1:$T2370,"="&amp;$T2370,$S$1:$S2370,"&lt;"&amp;$S2370)))</f>
        <v>0</v>
      </c>
      <c r="Z2370" s="6">
        <f t="shared" si="334"/>
        <v>1</v>
      </c>
      <c r="AA2370" t="e">
        <f t="shared" si="335"/>
        <v>#VALUE!</v>
      </c>
      <c r="AB2370" t="str">
        <f t="shared" si="336"/>
        <v/>
      </c>
      <c r="AC2370" t="e">
        <f t="shared" si="337"/>
        <v>#VALUE!</v>
      </c>
    </row>
    <row r="2371" spans="1:29" x14ac:dyDescent="0.2">
      <c r="A2371" t="str">
        <f t="shared" si="338"/>
        <v/>
      </c>
      <c r="E2371" s="4"/>
      <c r="F2371" s="46"/>
      <c r="G2371" s="4"/>
      <c r="H2371" s="48"/>
      <c r="J2371" s="26" t="str">
        <f t="shared" si="339"/>
        <v/>
      </c>
      <c r="N2371" t="str">
        <f t="shared" si="340"/>
        <v/>
      </c>
      <c r="Q2371" t="str">
        <f t="shared" si="341"/>
        <v/>
      </c>
      <c r="S2371" t="str">
        <f>IF(A2371=1,MAX($S$2:$S2370)+1,IF(OR($I2371&lt;&gt;"",A2371="x"),$S2370,""))</f>
        <v/>
      </c>
      <c r="T2371" t="str">
        <f>IF(D2371=1,MAX($T$2:$T2370)+1,IF(S2371=S2370,$T2370,IF(D2371="x",T2370,IF(D2370="x","",""))))</f>
        <v/>
      </c>
      <c r="U2371" t="str">
        <f>IF(B2371=1,MAX($U$2:$U2370)+1,IF(AND($T2371&lt;&gt;"",$T2371=$T2370),$U2370,IF(B2371="x",U2370,"")))</f>
        <v/>
      </c>
      <c r="V2371" t="str">
        <f>IF(C2371=1,MAX($V$2:$V2370)+1,IF(AND($T2371&lt;&gt;"",$T2371=$T2370),$U2370,IF(C2371="x",V2370,"")))</f>
        <v/>
      </c>
      <c r="X2371" cm="1">
        <f t="array" ref="X2371">IF($I2371&lt;&gt;"",$I2371,INDEX($I$1:$I2371,ROW()-COUNTIFS($T$1:$T2371,"="&amp;$T2371,$S$1:$S2371,"&lt;"&amp;$S2371)))</f>
        <v>0</v>
      </c>
      <c r="Z2371" s="6">
        <f t="shared" si="334"/>
        <v>1</v>
      </c>
      <c r="AA2371" t="e">
        <f t="shared" si="335"/>
        <v>#VALUE!</v>
      </c>
      <c r="AB2371" t="str">
        <f t="shared" si="336"/>
        <v/>
      </c>
      <c r="AC2371" t="e">
        <f t="shared" si="337"/>
        <v>#VALUE!</v>
      </c>
    </row>
    <row r="2372" spans="1:29" x14ac:dyDescent="0.2">
      <c r="A2372" t="str">
        <f t="shared" si="338"/>
        <v/>
      </c>
      <c r="E2372" s="4"/>
      <c r="F2372" s="46"/>
      <c r="G2372" s="4"/>
      <c r="H2372" s="48"/>
      <c r="J2372" s="26" t="str">
        <f t="shared" si="339"/>
        <v/>
      </c>
      <c r="N2372" t="str">
        <f t="shared" si="340"/>
        <v/>
      </c>
      <c r="Q2372" t="str">
        <f t="shared" si="341"/>
        <v/>
      </c>
      <c r="S2372" t="str">
        <f>IF(A2372=1,MAX($S$2:$S2371)+1,IF(OR($I2372&lt;&gt;"",A2372="x"),$S2371,""))</f>
        <v/>
      </c>
      <c r="T2372" t="str">
        <f>IF(D2372=1,MAX($T$2:$T2371)+1,IF(S2372=S2371,$T2371,IF(D2372="x",T2371,IF(D2371="x","",""))))</f>
        <v/>
      </c>
      <c r="U2372" t="str">
        <f>IF(B2372=1,MAX($U$2:$U2371)+1,IF(AND($T2372&lt;&gt;"",$T2372=$T2371),$U2371,IF(B2372="x",U2371,"")))</f>
        <v/>
      </c>
      <c r="V2372" t="str">
        <f>IF(C2372=1,MAX($V$2:$V2371)+1,IF(AND($T2372&lt;&gt;"",$T2372=$T2371),$U2371,IF(C2372="x",V2371,"")))</f>
        <v/>
      </c>
      <c r="X2372" cm="1">
        <f t="array" ref="X2372">IF($I2372&lt;&gt;"",$I2372,INDEX($I$1:$I2372,ROW()-COUNTIFS($T$1:$T2372,"="&amp;$T2372,$S$1:$S2372,"&lt;"&amp;$S2372)))</f>
        <v>0</v>
      </c>
      <c r="Z2372" s="6">
        <f t="shared" si="334"/>
        <v>1</v>
      </c>
      <c r="AA2372" t="e">
        <f t="shared" si="335"/>
        <v>#VALUE!</v>
      </c>
      <c r="AB2372" t="str">
        <f t="shared" si="336"/>
        <v/>
      </c>
      <c r="AC2372" t="e">
        <f t="shared" si="337"/>
        <v>#VALUE!</v>
      </c>
    </row>
    <row r="2373" spans="1:29" x14ac:dyDescent="0.2">
      <c r="A2373" t="str">
        <f t="shared" si="338"/>
        <v/>
      </c>
      <c r="E2373" s="4"/>
      <c r="F2373" s="46"/>
      <c r="G2373" s="4"/>
      <c r="H2373" s="48"/>
      <c r="J2373" s="26" t="str">
        <f t="shared" si="339"/>
        <v/>
      </c>
      <c r="N2373" t="str">
        <f t="shared" si="340"/>
        <v/>
      </c>
      <c r="Q2373" t="str">
        <f t="shared" si="341"/>
        <v/>
      </c>
      <c r="S2373" t="str">
        <f>IF(A2373=1,MAX($S$2:$S2372)+1,IF(OR($I2373&lt;&gt;"",A2373="x"),$S2372,""))</f>
        <v/>
      </c>
      <c r="T2373" t="str">
        <f>IF(D2373=1,MAX($T$2:$T2372)+1,IF(S2373=S2372,$T2372,IF(D2373="x",T2372,IF(D2372="x","",""))))</f>
        <v/>
      </c>
      <c r="U2373" t="str">
        <f>IF(B2373=1,MAX($U$2:$U2372)+1,IF(AND($T2373&lt;&gt;"",$T2373=$T2372),$U2372,IF(B2373="x",U2372,"")))</f>
        <v/>
      </c>
      <c r="V2373" t="str">
        <f>IF(C2373=1,MAX($V$2:$V2372)+1,IF(AND($T2373&lt;&gt;"",$T2373=$T2372),$U2372,IF(C2373="x",V2372,"")))</f>
        <v/>
      </c>
      <c r="X2373" cm="1">
        <f t="array" ref="X2373">IF($I2373&lt;&gt;"",$I2373,INDEX($I$1:$I2373,ROW()-COUNTIFS($T$1:$T2373,"="&amp;$T2373,$S$1:$S2373,"&lt;"&amp;$S2373)))</f>
        <v>0</v>
      </c>
      <c r="Z2373" s="6">
        <f t="shared" ref="Z2373:Z2436" si="342">IF(K2373="Intermission",Z2372+1,Z2372)</f>
        <v>1</v>
      </c>
      <c r="AA2373" t="e">
        <f t="shared" ref="AA2373:AA2436" si="343">S2373+1000</f>
        <v>#VALUE!</v>
      </c>
      <c r="AB2373" t="str">
        <f t="shared" ref="AB2373:AB2436" si="344">IF(T2373&lt;&gt;"",9000+T2373,"")</f>
        <v/>
      </c>
      <c r="AC2373" t="e">
        <f t="shared" ref="AC2373:AC2436" si="345">IF(AB2373&lt;&gt;"",AB2373,S2373+1000)</f>
        <v>#VALUE!</v>
      </c>
    </row>
    <row r="2374" spans="1:29" x14ac:dyDescent="0.2">
      <c r="A2374" t="str">
        <f t="shared" si="338"/>
        <v/>
      </c>
      <c r="E2374" s="4"/>
      <c r="F2374" s="46"/>
      <c r="G2374" s="4"/>
      <c r="H2374" s="48"/>
      <c r="J2374" s="26" t="str">
        <f t="shared" si="339"/>
        <v/>
      </c>
      <c r="N2374" t="str">
        <f t="shared" si="340"/>
        <v/>
      </c>
      <c r="Q2374" t="str">
        <f t="shared" si="341"/>
        <v/>
      </c>
      <c r="S2374" t="str">
        <f>IF(A2374=1,MAX($S$2:$S2373)+1,IF(OR($I2374&lt;&gt;"",A2374="x"),$S2373,""))</f>
        <v/>
      </c>
      <c r="T2374" t="str">
        <f>IF(D2374=1,MAX($T$2:$T2373)+1,IF(S2374=S2373,$T2373,IF(D2374="x",T2373,IF(D2373="x","",""))))</f>
        <v/>
      </c>
      <c r="U2374" t="str">
        <f>IF(B2374=1,MAX($U$2:$U2373)+1,IF(AND($T2374&lt;&gt;"",$T2374=$T2373),$U2373,IF(B2374="x",U2373,"")))</f>
        <v/>
      </c>
      <c r="V2374" t="str">
        <f>IF(C2374=1,MAX($V$2:$V2373)+1,IF(AND($T2374&lt;&gt;"",$T2374=$T2373),$U2373,IF(C2374="x",V2373,"")))</f>
        <v/>
      </c>
      <c r="X2374" cm="1">
        <f t="array" ref="X2374">IF($I2374&lt;&gt;"",$I2374,INDEX($I$1:$I2374,ROW()-COUNTIFS($T$1:$T2374,"="&amp;$T2374,$S$1:$S2374,"&lt;"&amp;$S2374)))</f>
        <v>0</v>
      </c>
      <c r="Z2374" s="6">
        <f t="shared" si="342"/>
        <v>1</v>
      </c>
      <c r="AA2374" t="e">
        <f t="shared" si="343"/>
        <v>#VALUE!</v>
      </c>
      <c r="AB2374" t="str">
        <f t="shared" si="344"/>
        <v/>
      </c>
      <c r="AC2374" t="e">
        <f t="shared" si="345"/>
        <v>#VALUE!</v>
      </c>
    </row>
    <row r="2375" spans="1:29" x14ac:dyDescent="0.2">
      <c r="A2375" t="str">
        <f t="shared" si="338"/>
        <v/>
      </c>
      <c r="E2375" s="4"/>
      <c r="F2375" s="46"/>
      <c r="G2375" s="4"/>
      <c r="H2375" s="48"/>
      <c r="J2375" s="26" t="str">
        <f t="shared" si="339"/>
        <v/>
      </c>
      <c r="N2375" t="str">
        <f t="shared" si="340"/>
        <v/>
      </c>
      <c r="Q2375" t="str">
        <f t="shared" si="341"/>
        <v/>
      </c>
      <c r="S2375" t="str">
        <f>IF(A2375=1,MAX($S$2:$S2374)+1,IF(OR($I2375&lt;&gt;"",A2375="x"),$S2374,""))</f>
        <v/>
      </c>
      <c r="T2375" t="str">
        <f>IF(D2375=1,MAX($T$2:$T2374)+1,IF(S2375=S2374,$T2374,IF(D2375="x",T2374,IF(D2374="x","",""))))</f>
        <v/>
      </c>
      <c r="U2375" t="str">
        <f>IF(B2375=1,MAX($U$2:$U2374)+1,IF(AND($T2375&lt;&gt;"",$T2375=$T2374),$U2374,IF(B2375="x",U2374,"")))</f>
        <v/>
      </c>
      <c r="V2375" t="str">
        <f>IF(C2375=1,MAX($V$2:$V2374)+1,IF(AND($T2375&lt;&gt;"",$T2375=$T2374),$U2374,IF(C2375="x",V2374,"")))</f>
        <v/>
      </c>
      <c r="X2375" cm="1">
        <f t="array" ref="X2375">IF($I2375&lt;&gt;"",$I2375,INDEX($I$1:$I2375,ROW()-COUNTIFS($T$1:$T2375,"="&amp;$T2375,$S$1:$S2375,"&lt;"&amp;$S2375)))</f>
        <v>0</v>
      </c>
      <c r="Z2375" s="6">
        <f t="shared" si="342"/>
        <v>1</v>
      </c>
      <c r="AA2375" t="e">
        <f t="shared" si="343"/>
        <v>#VALUE!</v>
      </c>
      <c r="AB2375" t="str">
        <f t="shared" si="344"/>
        <v/>
      </c>
      <c r="AC2375" t="e">
        <f t="shared" si="345"/>
        <v>#VALUE!</v>
      </c>
    </row>
    <row r="2376" spans="1:29" x14ac:dyDescent="0.2">
      <c r="A2376" t="str">
        <f t="shared" si="338"/>
        <v/>
      </c>
      <c r="E2376" s="4"/>
      <c r="F2376" s="46"/>
      <c r="G2376" s="4"/>
      <c r="H2376" s="48"/>
      <c r="J2376" s="26" t="str">
        <f t="shared" si="339"/>
        <v/>
      </c>
      <c r="N2376" t="str">
        <f t="shared" si="340"/>
        <v/>
      </c>
      <c r="Q2376" t="str">
        <f t="shared" si="341"/>
        <v/>
      </c>
      <c r="S2376" t="str">
        <f>IF(A2376=1,MAX($S$2:$S2375)+1,IF(OR($I2376&lt;&gt;"",A2376="x"),$S2375,""))</f>
        <v/>
      </c>
      <c r="T2376" t="str">
        <f>IF(D2376=1,MAX($T$2:$T2375)+1,IF(S2376=S2375,$T2375,IF(D2376="x",T2375,IF(D2375="x","",""))))</f>
        <v/>
      </c>
      <c r="U2376" t="str">
        <f>IF(B2376=1,MAX($U$2:$U2375)+1,IF(AND($T2376&lt;&gt;"",$T2376=$T2375),$U2375,IF(B2376="x",U2375,"")))</f>
        <v/>
      </c>
      <c r="V2376" t="str">
        <f>IF(C2376=1,MAX($V$2:$V2375)+1,IF(AND($T2376&lt;&gt;"",$T2376=$T2375),$U2375,IF(C2376="x",V2375,"")))</f>
        <v/>
      </c>
      <c r="X2376" cm="1">
        <f t="array" ref="X2376">IF($I2376&lt;&gt;"",$I2376,INDEX($I$1:$I2376,ROW()-COUNTIFS($T$1:$T2376,"="&amp;$T2376,$S$1:$S2376,"&lt;"&amp;$S2376)))</f>
        <v>0</v>
      </c>
      <c r="Z2376" s="6">
        <f t="shared" si="342"/>
        <v>1</v>
      </c>
      <c r="AA2376" t="e">
        <f t="shared" si="343"/>
        <v>#VALUE!</v>
      </c>
      <c r="AB2376" t="str">
        <f t="shared" si="344"/>
        <v/>
      </c>
      <c r="AC2376" t="e">
        <f t="shared" si="345"/>
        <v>#VALUE!</v>
      </c>
    </row>
    <row r="2377" spans="1:29" x14ac:dyDescent="0.2">
      <c r="A2377" t="str">
        <f t="shared" si="338"/>
        <v/>
      </c>
      <c r="E2377" s="4"/>
      <c r="F2377" s="46"/>
      <c r="G2377" s="4"/>
      <c r="H2377" s="48"/>
      <c r="J2377" s="26" t="str">
        <f t="shared" si="339"/>
        <v/>
      </c>
      <c r="N2377" t="str">
        <f t="shared" si="340"/>
        <v/>
      </c>
      <c r="Q2377" t="str">
        <f t="shared" si="341"/>
        <v/>
      </c>
      <c r="S2377" t="str">
        <f>IF(A2377=1,MAX($S$2:$S2376)+1,IF(OR($I2377&lt;&gt;"",A2377="x"),$S2376,""))</f>
        <v/>
      </c>
      <c r="T2377" t="str">
        <f>IF(D2377=1,MAX($T$2:$T2376)+1,IF(S2377=S2376,$T2376,IF(D2377="x",T2376,IF(D2376="x","",""))))</f>
        <v/>
      </c>
      <c r="U2377" t="str">
        <f>IF(B2377=1,MAX($U$2:$U2376)+1,IF(AND($T2377&lt;&gt;"",$T2377=$T2376),$U2376,IF(B2377="x",U2376,"")))</f>
        <v/>
      </c>
      <c r="V2377" t="str">
        <f>IF(C2377=1,MAX($V$2:$V2376)+1,IF(AND($T2377&lt;&gt;"",$T2377=$T2376),$U2376,IF(C2377="x",V2376,"")))</f>
        <v/>
      </c>
      <c r="X2377" cm="1">
        <f t="array" ref="X2377">IF($I2377&lt;&gt;"",$I2377,INDEX($I$1:$I2377,ROW()-COUNTIFS($T$1:$T2377,"="&amp;$T2377,$S$1:$S2377,"&lt;"&amp;$S2377)))</f>
        <v>0</v>
      </c>
      <c r="Z2377" s="6">
        <f t="shared" si="342"/>
        <v>1</v>
      </c>
      <c r="AA2377" t="e">
        <f t="shared" si="343"/>
        <v>#VALUE!</v>
      </c>
      <c r="AB2377" t="str">
        <f t="shared" si="344"/>
        <v/>
      </c>
      <c r="AC2377" t="e">
        <f t="shared" si="345"/>
        <v>#VALUE!</v>
      </c>
    </row>
    <row r="2378" spans="1:29" x14ac:dyDescent="0.2">
      <c r="A2378" t="str">
        <f t="shared" si="338"/>
        <v/>
      </c>
      <c r="E2378" s="4"/>
      <c r="F2378" s="46"/>
      <c r="G2378" s="4"/>
      <c r="H2378" s="48"/>
      <c r="J2378" s="26" t="str">
        <f t="shared" si="339"/>
        <v/>
      </c>
      <c r="N2378" t="str">
        <f t="shared" si="340"/>
        <v/>
      </c>
      <c r="Q2378" t="str">
        <f t="shared" si="341"/>
        <v/>
      </c>
      <c r="S2378" t="str">
        <f>IF(A2378=1,MAX($S$2:$S2377)+1,IF(OR($I2378&lt;&gt;"",A2378="x"),$S2377,""))</f>
        <v/>
      </c>
      <c r="T2378" t="str">
        <f>IF(D2378=1,MAX($T$2:$T2377)+1,IF(S2378=S2377,$T2377,IF(D2378="x",T2377,IF(D2377="x","",""))))</f>
        <v/>
      </c>
      <c r="U2378" t="str">
        <f>IF(B2378=1,MAX($U$2:$U2377)+1,IF(AND($T2378&lt;&gt;"",$T2378=$T2377),$U2377,IF(B2378="x",U2377,"")))</f>
        <v/>
      </c>
      <c r="V2378" t="str">
        <f>IF(C2378=1,MAX($V$2:$V2377)+1,IF(AND($T2378&lt;&gt;"",$T2378=$T2377),$U2377,IF(C2378="x",V2377,"")))</f>
        <v/>
      </c>
      <c r="X2378" cm="1">
        <f t="array" ref="X2378">IF($I2378&lt;&gt;"",$I2378,INDEX($I$1:$I2378,ROW()-COUNTIFS($T$1:$T2378,"="&amp;$T2378,$S$1:$S2378,"&lt;"&amp;$S2378)))</f>
        <v>0</v>
      </c>
      <c r="Z2378" s="6">
        <f t="shared" si="342"/>
        <v>1</v>
      </c>
      <c r="AA2378" t="e">
        <f t="shared" si="343"/>
        <v>#VALUE!</v>
      </c>
      <c r="AB2378" t="str">
        <f t="shared" si="344"/>
        <v/>
      </c>
      <c r="AC2378" t="e">
        <f t="shared" si="345"/>
        <v>#VALUE!</v>
      </c>
    </row>
    <row r="2379" spans="1:29" x14ac:dyDescent="0.2">
      <c r="A2379" t="str">
        <f t="shared" si="338"/>
        <v/>
      </c>
      <c r="E2379" s="4"/>
      <c r="F2379" s="46"/>
      <c r="G2379" s="4"/>
      <c r="H2379" s="48"/>
      <c r="J2379" s="26" t="str">
        <f t="shared" si="339"/>
        <v/>
      </c>
      <c r="N2379" t="str">
        <f t="shared" si="340"/>
        <v/>
      </c>
      <c r="Q2379" t="str">
        <f t="shared" si="341"/>
        <v/>
      </c>
      <c r="S2379" t="str">
        <f>IF(A2379=1,MAX($S$2:$S2378)+1,IF(OR($I2379&lt;&gt;"",A2379="x"),$S2378,""))</f>
        <v/>
      </c>
      <c r="T2379" t="str">
        <f>IF(D2379=1,MAX($T$2:$T2378)+1,IF(S2379=S2378,$T2378,IF(D2379="x",T2378,IF(D2378="x","",""))))</f>
        <v/>
      </c>
      <c r="U2379" t="str">
        <f>IF(B2379=1,MAX($U$2:$U2378)+1,IF(AND($T2379&lt;&gt;"",$T2379=$T2378),$U2378,IF(B2379="x",U2378,"")))</f>
        <v/>
      </c>
      <c r="V2379" t="str">
        <f>IF(C2379=1,MAX($V$2:$V2378)+1,IF(AND($T2379&lt;&gt;"",$T2379=$T2378),$U2378,IF(C2379="x",V2378,"")))</f>
        <v/>
      </c>
      <c r="X2379" cm="1">
        <f t="array" ref="X2379">IF($I2379&lt;&gt;"",$I2379,INDEX($I$1:$I2379,ROW()-COUNTIFS($T$1:$T2379,"="&amp;$T2379,$S$1:$S2379,"&lt;"&amp;$S2379)))</f>
        <v>0</v>
      </c>
      <c r="Z2379" s="6">
        <f t="shared" si="342"/>
        <v>1</v>
      </c>
      <c r="AA2379" t="e">
        <f t="shared" si="343"/>
        <v>#VALUE!</v>
      </c>
      <c r="AB2379" t="str">
        <f t="shared" si="344"/>
        <v/>
      </c>
      <c r="AC2379" t="e">
        <f t="shared" si="345"/>
        <v>#VALUE!</v>
      </c>
    </row>
    <row r="2380" spans="1:29" x14ac:dyDescent="0.2">
      <c r="A2380" t="str">
        <f t="shared" si="338"/>
        <v/>
      </c>
      <c r="E2380" s="4"/>
      <c r="F2380" s="46"/>
      <c r="G2380" s="4"/>
      <c r="H2380" s="48"/>
      <c r="J2380" s="26" t="str">
        <f t="shared" si="339"/>
        <v/>
      </c>
      <c r="N2380" t="str">
        <f t="shared" si="340"/>
        <v/>
      </c>
      <c r="Q2380" t="str">
        <f t="shared" si="341"/>
        <v/>
      </c>
      <c r="S2380" t="str">
        <f>IF(A2380=1,MAX($S$2:$S2379)+1,IF(OR($I2380&lt;&gt;"",A2380="x"),$S2379,""))</f>
        <v/>
      </c>
      <c r="T2380" t="str">
        <f>IF(D2380=1,MAX($T$2:$T2379)+1,IF(S2380=S2379,$T2379,IF(D2380="x",T2379,IF(D2379="x","",""))))</f>
        <v/>
      </c>
      <c r="U2380" t="str">
        <f>IF(B2380=1,MAX($U$2:$U2379)+1,IF(AND($T2380&lt;&gt;"",$T2380=$T2379),$U2379,IF(B2380="x",U2379,"")))</f>
        <v/>
      </c>
      <c r="V2380" t="str">
        <f>IF(C2380=1,MAX($V$2:$V2379)+1,IF(AND($T2380&lt;&gt;"",$T2380=$T2379),$U2379,IF(C2380="x",V2379,"")))</f>
        <v/>
      </c>
      <c r="X2380" cm="1">
        <f t="array" ref="X2380">IF($I2380&lt;&gt;"",$I2380,INDEX($I$1:$I2380,ROW()-COUNTIFS($T$1:$T2380,"="&amp;$T2380,$S$1:$S2380,"&lt;"&amp;$S2380)))</f>
        <v>0</v>
      </c>
      <c r="Z2380" s="6">
        <f t="shared" si="342"/>
        <v>1</v>
      </c>
      <c r="AA2380" t="e">
        <f t="shared" si="343"/>
        <v>#VALUE!</v>
      </c>
      <c r="AB2380" t="str">
        <f t="shared" si="344"/>
        <v/>
      </c>
      <c r="AC2380" t="e">
        <f t="shared" si="345"/>
        <v>#VALUE!</v>
      </c>
    </row>
    <row r="2381" spans="1:29" x14ac:dyDescent="0.2">
      <c r="A2381" t="str">
        <f t="shared" si="338"/>
        <v/>
      </c>
      <c r="E2381" s="4"/>
      <c r="F2381" s="46"/>
      <c r="G2381" s="4"/>
      <c r="H2381" s="48"/>
      <c r="J2381" s="26" t="str">
        <f t="shared" si="339"/>
        <v/>
      </c>
      <c r="N2381" t="str">
        <f t="shared" si="340"/>
        <v/>
      </c>
      <c r="Q2381" t="str">
        <f t="shared" si="341"/>
        <v/>
      </c>
      <c r="S2381" t="str">
        <f>IF(A2381=1,MAX($S$2:$S2380)+1,IF(OR($I2381&lt;&gt;"",A2381="x"),$S2380,""))</f>
        <v/>
      </c>
      <c r="T2381" t="str">
        <f>IF(D2381=1,MAX($T$2:$T2380)+1,IF(S2381=S2380,$T2380,IF(D2381="x",T2380,IF(D2380="x","",""))))</f>
        <v/>
      </c>
      <c r="U2381" t="str">
        <f>IF(B2381=1,MAX($U$2:$U2380)+1,IF(AND($T2381&lt;&gt;"",$T2381=$T2380),$U2380,IF(B2381="x",U2380,"")))</f>
        <v/>
      </c>
      <c r="V2381" t="str">
        <f>IF(C2381=1,MAX($V$2:$V2380)+1,IF(AND($T2381&lt;&gt;"",$T2381=$T2380),$U2380,IF(C2381="x",V2380,"")))</f>
        <v/>
      </c>
      <c r="X2381" cm="1">
        <f t="array" ref="X2381">IF($I2381&lt;&gt;"",$I2381,INDEX($I$1:$I2381,ROW()-COUNTIFS($T$1:$T2381,"="&amp;$T2381,$S$1:$S2381,"&lt;"&amp;$S2381)))</f>
        <v>0</v>
      </c>
      <c r="Z2381" s="6">
        <f t="shared" si="342"/>
        <v>1</v>
      </c>
      <c r="AA2381" t="e">
        <f t="shared" si="343"/>
        <v>#VALUE!</v>
      </c>
      <c r="AB2381" t="str">
        <f t="shared" si="344"/>
        <v/>
      </c>
      <c r="AC2381" t="e">
        <f t="shared" si="345"/>
        <v>#VALUE!</v>
      </c>
    </row>
    <row r="2382" spans="1:29" x14ac:dyDescent="0.2">
      <c r="A2382" t="str">
        <f t="shared" si="338"/>
        <v/>
      </c>
      <c r="E2382" s="4"/>
      <c r="F2382" s="46"/>
      <c r="G2382" s="4"/>
      <c r="H2382" s="48"/>
      <c r="J2382" s="26" t="str">
        <f t="shared" si="339"/>
        <v/>
      </c>
      <c r="N2382" t="str">
        <f t="shared" si="340"/>
        <v/>
      </c>
      <c r="Q2382" t="str">
        <f t="shared" si="341"/>
        <v/>
      </c>
      <c r="S2382" t="str">
        <f>IF(A2382=1,MAX($S$2:$S2381)+1,IF(OR($I2382&lt;&gt;"",A2382="x"),$S2381,""))</f>
        <v/>
      </c>
      <c r="T2382" t="str">
        <f>IF(D2382=1,MAX($T$2:$T2381)+1,IF(S2382=S2381,$T2381,IF(D2382="x",T2381,IF(D2381="x","",""))))</f>
        <v/>
      </c>
      <c r="U2382" t="str">
        <f>IF(B2382=1,MAX($U$2:$U2381)+1,IF(AND($T2382&lt;&gt;"",$T2382=$T2381),$U2381,IF(B2382="x",U2381,"")))</f>
        <v/>
      </c>
      <c r="V2382" t="str">
        <f>IF(C2382=1,MAX($V$2:$V2381)+1,IF(AND($T2382&lt;&gt;"",$T2382=$T2381),$U2381,IF(C2382="x",V2381,"")))</f>
        <v/>
      </c>
      <c r="X2382" cm="1">
        <f t="array" ref="X2382">IF($I2382&lt;&gt;"",$I2382,INDEX($I$1:$I2382,ROW()-COUNTIFS($T$1:$T2382,"="&amp;$T2382,$S$1:$S2382,"&lt;"&amp;$S2382)))</f>
        <v>0</v>
      </c>
      <c r="Z2382" s="6">
        <f t="shared" si="342"/>
        <v>1</v>
      </c>
      <c r="AA2382" t="e">
        <f t="shared" si="343"/>
        <v>#VALUE!</v>
      </c>
      <c r="AB2382" t="str">
        <f t="shared" si="344"/>
        <v/>
      </c>
      <c r="AC2382" t="e">
        <f t="shared" si="345"/>
        <v>#VALUE!</v>
      </c>
    </row>
    <row r="2383" spans="1:29" x14ac:dyDescent="0.2">
      <c r="A2383" t="str">
        <f t="shared" si="338"/>
        <v/>
      </c>
      <c r="E2383" s="4"/>
      <c r="F2383" s="46"/>
      <c r="G2383" s="4"/>
      <c r="H2383" s="48"/>
      <c r="J2383" s="26" t="str">
        <f t="shared" si="339"/>
        <v/>
      </c>
      <c r="N2383" t="str">
        <f t="shared" si="340"/>
        <v/>
      </c>
      <c r="Q2383" t="str">
        <f t="shared" si="341"/>
        <v/>
      </c>
      <c r="S2383" t="str">
        <f>IF(A2383=1,MAX($S$2:$S2382)+1,IF(OR($I2383&lt;&gt;"",A2383="x"),$S2382,""))</f>
        <v/>
      </c>
      <c r="T2383" t="str">
        <f>IF(D2383=1,MAX($T$2:$T2382)+1,IF(S2383=S2382,$T2382,IF(D2383="x",T2382,IF(D2382="x","",""))))</f>
        <v/>
      </c>
      <c r="U2383" t="str">
        <f>IF(B2383=1,MAX($U$2:$U2382)+1,IF(AND($T2383&lt;&gt;"",$T2383=$T2382),$U2382,IF(B2383="x",U2382,"")))</f>
        <v/>
      </c>
      <c r="V2383" t="str">
        <f>IF(C2383=1,MAX($V$2:$V2382)+1,IF(AND($T2383&lt;&gt;"",$T2383=$T2382),$U2382,IF(C2383="x",V2382,"")))</f>
        <v/>
      </c>
      <c r="X2383" cm="1">
        <f t="array" ref="X2383">IF($I2383&lt;&gt;"",$I2383,INDEX($I$1:$I2383,ROW()-COUNTIFS($T$1:$T2383,"="&amp;$T2383,$S$1:$S2383,"&lt;"&amp;$S2383)))</f>
        <v>0</v>
      </c>
      <c r="Z2383" s="6">
        <f t="shared" si="342"/>
        <v>1</v>
      </c>
      <c r="AA2383" t="e">
        <f t="shared" si="343"/>
        <v>#VALUE!</v>
      </c>
      <c r="AB2383" t="str">
        <f t="shared" si="344"/>
        <v/>
      </c>
      <c r="AC2383" t="e">
        <f t="shared" si="345"/>
        <v>#VALUE!</v>
      </c>
    </row>
    <row r="2384" spans="1:29" x14ac:dyDescent="0.2">
      <c r="A2384" t="str">
        <f t="shared" si="338"/>
        <v/>
      </c>
      <c r="E2384" s="4"/>
      <c r="F2384" s="46"/>
      <c r="G2384" s="4"/>
      <c r="H2384" s="48"/>
      <c r="J2384" s="26" t="str">
        <f t="shared" si="339"/>
        <v/>
      </c>
      <c r="N2384" t="str">
        <f t="shared" si="340"/>
        <v/>
      </c>
      <c r="Q2384" t="str">
        <f t="shared" si="341"/>
        <v/>
      </c>
      <c r="S2384" t="str">
        <f>IF(A2384=1,MAX($S$2:$S2383)+1,IF(OR($I2384&lt;&gt;"",A2384="x"),$S2383,""))</f>
        <v/>
      </c>
      <c r="T2384" t="str">
        <f>IF(D2384=1,MAX($T$2:$T2383)+1,IF(S2384=S2383,$T2383,IF(D2384="x",T2383,IF(D2383="x","",""))))</f>
        <v/>
      </c>
      <c r="U2384" t="str">
        <f>IF(B2384=1,MAX($U$2:$U2383)+1,IF(AND($T2384&lt;&gt;"",$T2384=$T2383),$U2383,IF(B2384="x",U2383,"")))</f>
        <v/>
      </c>
      <c r="V2384" t="str">
        <f>IF(C2384=1,MAX($V$2:$V2383)+1,IF(AND($T2384&lt;&gt;"",$T2384=$T2383),$U2383,IF(C2384="x",V2383,"")))</f>
        <v/>
      </c>
      <c r="X2384" cm="1">
        <f t="array" ref="X2384">IF($I2384&lt;&gt;"",$I2384,INDEX($I$1:$I2384,ROW()-COUNTIFS($T$1:$T2384,"="&amp;$T2384,$S$1:$S2384,"&lt;"&amp;$S2384)))</f>
        <v>0</v>
      </c>
      <c r="Z2384" s="6">
        <f t="shared" si="342"/>
        <v>1</v>
      </c>
      <c r="AA2384" t="e">
        <f t="shared" si="343"/>
        <v>#VALUE!</v>
      </c>
      <c r="AB2384" t="str">
        <f t="shared" si="344"/>
        <v/>
      </c>
      <c r="AC2384" t="e">
        <f t="shared" si="345"/>
        <v>#VALUE!</v>
      </c>
    </row>
    <row r="2385" spans="1:29" x14ac:dyDescent="0.2">
      <c r="A2385" t="str">
        <f t="shared" si="338"/>
        <v/>
      </c>
      <c r="E2385" s="4"/>
      <c r="F2385" s="46"/>
      <c r="G2385" s="4"/>
      <c r="H2385" s="48"/>
      <c r="J2385" s="26" t="str">
        <f t="shared" si="339"/>
        <v/>
      </c>
      <c r="N2385" t="str">
        <f t="shared" si="340"/>
        <v/>
      </c>
      <c r="Q2385" t="str">
        <f t="shared" si="341"/>
        <v/>
      </c>
      <c r="S2385" t="str">
        <f>IF(A2385=1,MAX($S$2:$S2384)+1,IF(OR($I2385&lt;&gt;"",A2385="x"),$S2384,""))</f>
        <v/>
      </c>
      <c r="T2385" t="str">
        <f>IF(D2385=1,MAX($T$2:$T2384)+1,IF(S2385=S2384,$T2384,IF(D2385="x",T2384,IF(D2384="x","",""))))</f>
        <v/>
      </c>
      <c r="U2385" t="str">
        <f>IF(B2385=1,MAX($U$2:$U2384)+1,IF(AND($T2385&lt;&gt;"",$T2385=$T2384),$U2384,IF(B2385="x",U2384,"")))</f>
        <v/>
      </c>
      <c r="V2385" t="str">
        <f>IF(C2385=1,MAX($V$2:$V2384)+1,IF(AND($T2385&lt;&gt;"",$T2385=$T2384),$U2384,IF(C2385="x",V2384,"")))</f>
        <v/>
      </c>
      <c r="X2385" cm="1">
        <f t="array" ref="X2385">IF($I2385&lt;&gt;"",$I2385,INDEX($I$1:$I2385,ROW()-COUNTIFS($T$1:$T2385,"="&amp;$T2385,$S$1:$S2385,"&lt;"&amp;$S2385)))</f>
        <v>0</v>
      </c>
      <c r="Z2385" s="6">
        <f t="shared" si="342"/>
        <v>1</v>
      </c>
      <c r="AA2385" t="e">
        <f t="shared" si="343"/>
        <v>#VALUE!</v>
      </c>
      <c r="AB2385" t="str">
        <f t="shared" si="344"/>
        <v/>
      </c>
      <c r="AC2385" t="e">
        <f t="shared" si="345"/>
        <v>#VALUE!</v>
      </c>
    </row>
    <row r="2386" spans="1:29" x14ac:dyDescent="0.2">
      <c r="A2386" t="str">
        <f t="shared" si="338"/>
        <v/>
      </c>
      <c r="E2386" s="4"/>
      <c r="F2386" s="46"/>
      <c r="G2386" s="4"/>
      <c r="H2386" s="48"/>
      <c r="J2386" s="26" t="str">
        <f t="shared" si="339"/>
        <v/>
      </c>
      <c r="N2386" t="str">
        <f t="shared" si="340"/>
        <v/>
      </c>
      <c r="Q2386" t="str">
        <f t="shared" si="341"/>
        <v/>
      </c>
      <c r="S2386" t="str">
        <f>IF(A2386=1,MAX($S$2:$S2385)+1,IF(OR($I2386&lt;&gt;"",A2386="x"),$S2385,""))</f>
        <v/>
      </c>
      <c r="T2386" t="str">
        <f>IF(D2386=1,MAX($T$2:$T2385)+1,IF(S2386=S2385,$T2385,IF(D2386="x",T2385,IF(D2385="x","",""))))</f>
        <v/>
      </c>
      <c r="U2386" t="str">
        <f>IF(B2386=1,MAX($U$2:$U2385)+1,IF(AND($T2386&lt;&gt;"",$T2386=$T2385),$U2385,IF(B2386="x",U2385,"")))</f>
        <v/>
      </c>
      <c r="V2386" t="str">
        <f>IF(C2386=1,MAX($V$2:$V2385)+1,IF(AND($T2386&lt;&gt;"",$T2386=$T2385),$U2385,IF(C2386="x",V2385,"")))</f>
        <v/>
      </c>
      <c r="X2386" cm="1">
        <f t="array" ref="X2386">IF($I2386&lt;&gt;"",$I2386,INDEX($I$1:$I2386,ROW()-COUNTIFS($T$1:$T2386,"="&amp;$T2386,$S$1:$S2386,"&lt;"&amp;$S2386)))</f>
        <v>0</v>
      </c>
      <c r="Z2386" s="6">
        <f t="shared" si="342"/>
        <v>1</v>
      </c>
      <c r="AA2386" t="e">
        <f t="shared" si="343"/>
        <v>#VALUE!</v>
      </c>
      <c r="AB2386" t="str">
        <f t="shared" si="344"/>
        <v/>
      </c>
      <c r="AC2386" t="e">
        <f t="shared" si="345"/>
        <v>#VALUE!</v>
      </c>
    </row>
    <row r="2387" spans="1:29" x14ac:dyDescent="0.2">
      <c r="A2387" t="str">
        <f t="shared" ref="A2387:A2450" si="346">IF(K2387&lt;&gt;"",1,IF(D2387="x","x",""))</f>
        <v/>
      </c>
      <c r="E2387" s="4"/>
      <c r="F2387" s="46"/>
      <c r="G2387" s="4"/>
      <c r="H2387" s="48"/>
      <c r="J2387" s="26" t="str">
        <f t="shared" ref="J2387:J2450" si="347">IF(OR(K2387="Goal",K2387="Shot",L2387="Zone_Entry",M2387="Stoppage-Goal",M2386="Stoppage-Goal"),"o",IF(OR(K2387="Save",K2387="Rebound",L2387="Zone_Exit",M2387="Stoppage-GoalieStoppage",M2386="Stoppage-GoalieStoppage"),"d",IF(OR(L2387="Faceoff_AfterGoal",L2387="Faceoff_PeriodStart",698="Faceoff_GameStart",M2386="Stoppage-Goal"),"n","")))</f>
        <v/>
      </c>
      <c r="N2387" t="str">
        <f t="shared" ref="N2387:N2450" si="348">IF(K2387="","",IF(K2387="Goal","s",IF(AND(K2387="Zone_Entry_Exit",OR(ISNUMBER(SEARCH("fail",L2387)),ISNUMBER(SEARCH("FromExitClear",M2387)),ISNUMBER(SEARCH("miss",M2387)))),"u",IF(AND(K2387="Zone_Entry_Exit",OR(NOT(ISNUMBER(SEARCH("fail",L2387))),NOT(ISNUMBER(SEARCH("FromExitClear",M2387))),NOT(ISNUMBER(SEARCH("miss",M2387))))),"s",IF(AND(OR(K2387="Shot",K2387="Pass"),OR(ISNUMBER(SEARCH("complete",L2387)),ISNUMBER(SEARCH("goal",L2387)),ISNUMBER(SEARCH("OnNet",L2387)))),"s",IF(L2387="Turnover_Giveaway","u",IF(AND(OR(K2387="Shot",K2387="Pass"),OR(ISNUMBER(SEARCH("fail",L2387)),NOT(ISNUMBER(SEARCH("complete",L2387))),NOT(ISNUMBER(SEARCH("OnNet",L2387))))),"u","")))))))</f>
        <v/>
      </c>
      <c r="Q2387" t="str">
        <f t="shared" ref="Q2387:Q2450" si="349">IF(O2387="","",IF(AND(N2387&lt;&gt;"",OR(O2387&lt;&gt;"",P2387&lt;&gt;"")),N2387,IF(OR(ISNUMBER(SEARCH("attemp",O2387)),ISNUMBER(SEARCH("beat",O2387)),ISNUMBER(SEARCH("mis",O2387)),ISNUMBER(SEARCH("fail",O2387)),ISNUMBER(SEARCH("loss",O2387)),ISNUMBER(SEARCH("lost",O2387)),ISNUMBER(SEARCH("attemp",P2387)),ISNUMBER(SEARCH("mis",P2387)),ISNUMBER(SEARCH("fail",P2387)),ISNUMBER(SEARCH("loss",P2387)),ISNUMBER(SEARCH("beat",P2387)),ISNUMBER(SEARCH("lost",P2387))),"u","")))</f>
        <v/>
      </c>
      <c r="S2387" t="str">
        <f>IF(A2387=1,MAX($S$2:$S2386)+1,IF(OR($I2387&lt;&gt;"",A2387="x"),$S2386,""))</f>
        <v/>
      </c>
      <c r="T2387" t="str">
        <f>IF(D2387=1,MAX($T$2:$T2386)+1,IF(S2387=S2386,$T2386,IF(D2387="x",T2386,IF(D2386="x","",""))))</f>
        <v/>
      </c>
      <c r="U2387" t="str">
        <f>IF(B2387=1,MAX($U$2:$U2386)+1,IF(AND($T2387&lt;&gt;"",$T2387=$T2386),$U2386,IF(B2387="x",U2386,"")))</f>
        <v/>
      </c>
      <c r="V2387" t="str">
        <f>IF(C2387=1,MAX($V$2:$V2386)+1,IF(AND($T2387&lt;&gt;"",$T2387=$T2386),$U2386,IF(C2387="x",V2386,"")))</f>
        <v/>
      </c>
      <c r="X2387" cm="1">
        <f t="array" ref="X2387">IF($I2387&lt;&gt;"",$I2387,INDEX($I$1:$I2387,ROW()-COUNTIFS($T$1:$T2387,"="&amp;$T2387,$S$1:$S2387,"&lt;"&amp;$S2387)))</f>
        <v>0</v>
      </c>
      <c r="Z2387" s="6">
        <f t="shared" si="342"/>
        <v>1</v>
      </c>
      <c r="AA2387" t="e">
        <f t="shared" si="343"/>
        <v>#VALUE!</v>
      </c>
      <c r="AB2387" t="str">
        <f t="shared" si="344"/>
        <v/>
      </c>
      <c r="AC2387" t="e">
        <f t="shared" si="345"/>
        <v>#VALUE!</v>
      </c>
    </row>
    <row r="2388" spans="1:29" x14ac:dyDescent="0.2">
      <c r="A2388" t="str">
        <f t="shared" si="346"/>
        <v/>
      </c>
      <c r="E2388" s="4"/>
      <c r="F2388" s="46"/>
      <c r="G2388" s="4"/>
      <c r="H2388" s="48"/>
      <c r="J2388" s="26" t="str">
        <f t="shared" si="347"/>
        <v/>
      </c>
      <c r="N2388" t="str">
        <f t="shared" si="348"/>
        <v/>
      </c>
      <c r="Q2388" t="str">
        <f t="shared" si="349"/>
        <v/>
      </c>
      <c r="S2388" t="str">
        <f>IF(A2388=1,MAX($S$2:$S2387)+1,IF(OR($I2388&lt;&gt;"",A2388="x"),$S2387,""))</f>
        <v/>
      </c>
      <c r="T2388" t="str">
        <f>IF(D2388=1,MAX($T$2:$T2387)+1,IF(S2388=S2387,$T2387,IF(D2388="x",T2387,IF(D2387="x","",""))))</f>
        <v/>
      </c>
      <c r="U2388" t="str">
        <f>IF(B2388=1,MAX($U$2:$U2387)+1,IF(AND($T2388&lt;&gt;"",$T2388=$T2387),$U2387,IF(B2388="x",U2387,"")))</f>
        <v/>
      </c>
      <c r="V2388" t="str">
        <f>IF(C2388=1,MAX($V$2:$V2387)+1,IF(AND($T2388&lt;&gt;"",$T2388=$T2387),$U2387,IF(C2388="x",V2387,"")))</f>
        <v/>
      </c>
      <c r="X2388" cm="1">
        <f t="array" ref="X2388">IF($I2388&lt;&gt;"",$I2388,INDEX($I$1:$I2388,ROW()-COUNTIFS($T$1:$T2388,"="&amp;$T2388,$S$1:$S2388,"&lt;"&amp;$S2388)))</f>
        <v>0</v>
      </c>
      <c r="Z2388" s="6">
        <f t="shared" si="342"/>
        <v>1</v>
      </c>
      <c r="AA2388" t="e">
        <f t="shared" si="343"/>
        <v>#VALUE!</v>
      </c>
      <c r="AB2388" t="str">
        <f t="shared" si="344"/>
        <v/>
      </c>
      <c r="AC2388" t="e">
        <f t="shared" si="345"/>
        <v>#VALUE!</v>
      </c>
    </row>
    <row r="2389" spans="1:29" x14ac:dyDescent="0.2">
      <c r="A2389" t="str">
        <f t="shared" si="346"/>
        <v/>
      </c>
      <c r="E2389" s="4"/>
      <c r="F2389" s="46"/>
      <c r="G2389" s="4"/>
      <c r="H2389" s="48"/>
      <c r="J2389" s="26" t="str">
        <f t="shared" si="347"/>
        <v/>
      </c>
      <c r="N2389" t="str">
        <f t="shared" si="348"/>
        <v/>
      </c>
      <c r="Q2389" t="str">
        <f t="shared" si="349"/>
        <v/>
      </c>
      <c r="S2389" t="str">
        <f>IF(A2389=1,MAX($S$2:$S2388)+1,IF(OR($I2389&lt;&gt;"",A2389="x"),$S2388,""))</f>
        <v/>
      </c>
      <c r="T2389" t="str">
        <f>IF(D2389=1,MAX($T$2:$T2388)+1,IF(S2389=S2388,$T2388,IF(D2389="x",T2388,IF(D2388="x","",""))))</f>
        <v/>
      </c>
      <c r="U2389" t="str">
        <f>IF(B2389=1,MAX($U$2:$U2388)+1,IF(AND($T2389&lt;&gt;"",$T2389=$T2388),$U2388,IF(B2389="x",U2388,"")))</f>
        <v/>
      </c>
      <c r="V2389" t="str">
        <f>IF(C2389=1,MAX($V$2:$V2388)+1,IF(AND($T2389&lt;&gt;"",$T2389=$T2388),$U2388,IF(C2389="x",V2388,"")))</f>
        <v/>
      </c>
      <c r="X2389" cm="1">
        <f t="array" ref="X2389">IF($I2389&lt;&gt;"",$I2389,INDEX($I$1:$I2389,ROW()-COUNTIFS($T$1:$T2389,"="&amp;$T2389,$S$1:$S2389,"&lt;"&amp;$S2389)))</f>
        <v>0</v>
      </c>
      <c r="Z2389" s="6">
        <f t="shared" si="342"/>
        <v>1</v>
      </c>
      <c r="AA2389" t="e">
        <f t="shared" si="343"/>
        <v>#VALUE!</v>
      </c>
      <c r="AB2389" t="str">
        <f t="shared" si="344"/>
        <v/>
      </c>
      <c r="AC2389" t="e">
        <f t="shared" si="345"/>
        <v>#VALUE!</v>
      </c>
    </row>
    <row r="2390" spans="1:29" x14ac:dyDescent="0.2">
      <c r="A2390" t="str">
        <f t="shared" si="346"/>
        <v/>
      </c>
      <c r="E2390" s="4"/>
      <c r="F2390" s="46"/>
      <c r="G2390" s="4"/>
      <c r="H2390" s="48"/>
      <c r="J2390" s="26" t="str">
        <f t="shared" si="347"/>
        <v/>
      </c>
      <c r="N2390" t="str">
        <f t="shared" si="348"/>
        <v/>
      </c>
      <c r="Q2390" t="str">
        <f t="shared" si="349"/>
        <v/>
      </c>
      <c r="S2390" t="str">
        <f>IF(A2390=1,MAX($S$2:$S2389)+1,IF(OR($I2390&lt;&gt;"",A2390="x"),$S2389,""))</f>
        <v/>
      </c>
      <c r="T2390" t="str">
        <f>IF(D2390=1,MAX($T$2:$T2389)+1,IF(S2390=S2389,$T2389,IF(D2390="x",T2389,IF(D2389="x","",""))))</f>
        <v/>
      </c>
      <c r="U2390" t="str">
        <f>IF(B2390=1,MAX($U$2:$U2389)+1,IF(AND($T2390&lt;&gt;"",$T2390=$T2389),$U2389,IF(B2390="x",U2389,"")))</f>
        <v/>
      </c>
      <c r="V2390" t="str">
        <f>IF(C2390=1,MAX($V$2:$V2389)+1,IF(AND($T2390&lt;&gt;"",$T2390=$T2389),$U2389,IF(C2390="x",V2389,"")))</f>
        <v/>
      </c>
      <c r="X2390" cm="1">
        <f t="array" ref="X2390">IF($I2390&lt;&gt;"",$I2390,INDEX($I$1:$I2390,ROW()-COUNTIFS($T$1:$T2390,"="&amp;$T2390,$S$1:$S2390,"&lt;"&amp;$S2390)))</f>
        <v>0</v>
      </c>
      <c r="Z2390" s="6">
        <f t="shared" si="342"/>
        <v>1</v>
      </c>
      <c r="AA2390" t="e">
        <f t="shared" si="343"/>
        <v>#VALUE!</v>
      </c>
      <c r="AB2390" t="str">
        <f t="shared" si="344"/>
        <v/>
      </c>
      <c r="AC2390" t="e">
        <f t="shared" si="345"/>
        <v>#VALUE!</v>
      </c>
    </row>
    <row r="2391" spans="1:29" x14ac:dyDescent="0.2">
      <c r="A2391" t="str">
        <f t="shared" si="346"/>
        <v/>
      </c>
      <c r="E2391" s="4"/>
      <c r="F2391" s="46"/>
      <c r="G2391" s="4"/>
      <c r="H2391" s="48"/>
      <c r="J2391" s="26" t="str">
        <f t="shared" si="347"/>
        <v/>
      </c>
      <c r="N2391" t="str">
        <f t="shared" si="348"/>
        <v/>
      </c>
      <c r="Q2391" t="str">
        <f t="shared" si="349"/>
        <v/>
      </c>
      <c r="S2391" t="str">
        <f>IF(A2391=1,MAX($S$2:$S2390)+1,IF(OR($I2391&lt;&gt;"",A2391="x"),$S2390,""))</f>
        <v/>
      </c>
      <c r="T2391" t="str">
        <f>IF(D2391=1,MAX($T$2:$T2390)+1,IF(S2391=S2390,$T2390,IF(D2391="x",T2390,IF(D2390="x","",""))))</f>
        <v/>
      </c>
      <c r="U2391" t="str">
        <f>IF(B2391=1,MAX($U$2:$U2390)+1,IF(AND($T2391&lt;&gt;"",$T2391=$T2390),$U2390,IF(B2391="x",U2390,"")))</f>
        <v/>
      </c>
      <c r="V2391" t="str">
        <f>IF(C2391=1,MAX($V$2:$V2390)+1,IF(AND($T2391&lt;&gt;"",$T2391=$T2390),$U2390,IF(C2391="x",V2390,"")))</f>
        <v/>
      </c>
      <c r="X2391" cm="1">
        <f t="array" ref="X2391">IF($I2391&lt;&gt;"",$I2391,INDEX($I$1:$I2391,ROW()-COUNTIFS($T$1:$T2391,"="&amp;$T2391,$S$1:$S2391,"&lt;"&amp;$S2391)))</f>
        <v>0</v>
      </c>
      <c r="Z2391" s="6">
        <f t="shared" si="342"/>
        <v>1</v>
      </c>
      <c r="AA2391" t="e">
        <f t="shared" si="343"/>
        <v>#VALUE!</v>
      </c>
      <c r="AB2391" t="str">
        <f t="shared" si="344"/>
        <v/>
      </c>
      <c r="AC2391" t="e">
        <f t="shared" si="345"/>
        <v>#VALUE!</v>
      </c>
    </row>
    <row r="2392" spans="1:29" x14ac:dyDescent="0.2">
      <c r="A2392" t="str">
        <f t="shared" si="346"/>
        <v/>
      </c>
      <c r="E2392" s="4"/>
      <c r="F2392" s="46"/>
      <c r="G2392" s="4"/>
      <c r="H2392" s="48"/>
      <c r="J2392" s="26" t="str">
        <f t="shared" si="347"/>
        <v/>
      </c>
      <c r="N2392" t="str">
        <f t="shared" si="348"/>
        <v/>
      </c>
      <c r="Q2392" t="str">
        <f t="shared" si="349"/>
        <v/>
      </c>
      <c r="S2392" t="str">
        <f>IF(A2392=1,MAX($S$2:$S2391)+1,IF(OR($I2392&lt;&gt;"",A2392="x"),$S2391,""))</f>
        <v/>
      </c>
      <c r="T2392" t="str">
        <f>IF(D2392=1,MAX($T$2:$T2391)+1,IF(S2392=S2391,$T2391,IF(D2392="x",T2391,IF(D2391="x","",""))))</f>
        <v/>
      </c>
      <c r="U2392" t="str">
        <f>IF(B2392=1,MAX($U$2:$U2391)+1,IF(AND($T2392&lt;&gt;"",$T2392=$T2391),$U2391,IF(B2392="x",U2391,"")))</f>
        <v/>
      </c>
      <c r="V2392" t="str">
        <f>IF(C2392=1,MAX($V$2:$V2391)+1,IF(AND($T2392&lt;&gt;"",$T2392=$T2391),$U2391,IF(C2392="x",V2391,"")))</f>
        <v/>
      </c>
      <c r="X2392" cm="1">
        <f t="array" ref="X2392">IF($I2392&lt;&gt;"",$I2392,INDEX($I$1:$I2392,ROW()-COUNTIFS($T$1:$T2392,"="&amp;$T2392,$S$1:$S2392,"&lt;"&amp;$S2392)))</f>
        <v>0</v>
      </c>
      <c r="Z2392" s="6">
        <f t="shared" si="342"/>
        <v>1</v>
      </c>
      <c r="AA2392" t="e">
        <f t="shared" si="343"/>
        <v>#VALUE!</v>
      </c>
      <c r="AB2392" t="str">
        <f t="shared" si="344"/>
        <v/>
      </c>
      <c r="AC2392" t="e">
        <f t="shared" si="345"/>
        <v>#VALUE!</v>
      </c>
    </row>
    <row r="2393" spans="1:29" x14ac:dyDescent="0.2">
      <c r="A2393" t="str">
        <f t="shared" si="346"/>
        <v/>
      </c>
      <c r="E2393" s="4"/>
      <c r="F2393" s="46"/>
      <c r="G2393" s="4"/>
      <c r="H2393" s="48"/>
      <c r="J2393" s="26" t="str">
        <f t="shared" si="347"/>
        <v/>
      </c>
      <c r="N2393" t="str">
        <f t="shared" si="348"/>
        <v/>
      </c>
      <c r="Q2393" t="str">
        <f t="shared" si="349"/>
        <v/>
      </c>
      <c r="S2393" t="str">
        <f>IF(A2393=1,MAX($S$2:$S2392)+1,IF(OR($I2393&lt;&gt;"",A2393="x"),$S2392,""))</f>
        <v/>
      </c>
      <c r="T2393" t="str">
        <f>IF(D2393=1,MAX($T$2:$T2392)+1,IF(S2393=S2392,$T2392,IF(D2393="x",T2392,IF(D2392="x","",""))))</f>
        <v/>
      </c>
      <c r="U2393" t="str">
        <f>IF(B2393=1,MAX($U$2:$U2392)+1,IF(AND($T2393&lt;&gt;"",$T2393=$T2392),$U2392,IF(B2393="x",U2392,"")))</f>
        <v/>
      </c>
      <c r="V2393" t="str">
        <f>IF(C2393=1,MAX($V$2:$V2392)+1,IF(AND($T2393&lt;&gt;"",$T2393=$T2392),$U2392,IF(C2393="x",V2392,"")))</f>
        <v/>
      </c>
      <c r="X2393" cm="1">
        <f t="array" ref="X2393">IF($I2393&lt;&gt;"",$I2393,INDEX($I$1:$I2393,ROW()-COUNTIFS($T$1:$T2393,"="&amp;$T2393,$S$1:$S2393,"&lt;"&amp;$S2393)))</f>
        <v>0</v>
      </c>
      <c r="Z2393" s="6">
        <f t="shared" si="342"/>
        <v>1</v>
      </c>
      <c r="AA2393" t="e">
        <f t="shared" si="343"/>
        <v>#VALUE!</v>
      </c>
      <c r="AB2393" t="str">
        <f t="shared" si="344"/>
        <v/>
      </c>
      <c r="AC2393" t="e">
        <f t="shared" si="345"/>
        <v>#VALUE!</v>
      </c>
    </row>
    <row r="2394" spans="1:29" x14ac:dyDescent="0.2">
      <c r="A2394" t="str">
        <f t="shared" si="346"/>
        <v/>
      </c>
      <c r="E2394" s="4"/>
      <c r="F2394" s="46"/>
      <c r="G2394" s="4"/>
      <c r="H2394" s="48"/>
      <c r="J2394" s="26" t="str">
        <f t="shared" si="347"/>
        <v/>
      </c>
      <c r="N2394" t="str">
        <f t="shared" si="348"/>
        <v/>
      </c>
      <c r="Q2394" t="str">
        <f t="shared" si="349"/>
        <v/>
      </c>
      <c r="S2394" t="str">
        <f>IF(A2394=1,MAX($S$2:$S2393)+1,IF(OR($I2394&lt;&gt;"",A2394="x"),$S2393,""))</f>
        <v/>
      </c>
      <c r="T2394" t="str">
        <f>IF(D2394=1,MAX($T$2:$T2393)+1,IF(S2394=S2393,$T2393,IF(D2394="x",T2393,IF(D2393="x","",""))))</f>
        <v/>
      </c>
      <c r="U2394" t="str">
        <f>IF(B2394=1,MAX($U$2:$U2393)+1,IF(AND($T2394&lt;&gt;"",$T2394=$T2393),$U2393,IF(B2394="x",U2393,"")))</f>
        <v/>
      </c>
      <c r="V2394" t="str">
        <f>IF(C2394=1,MAX($V$2:$V2393)+1,IF(AND($T2394&lt;&gt;"",$T2394=$T2393),$U2393,IF(C2394="x",V2393,"")))</f>
        <v/>
      </c>
      <c r="X2394" cm="1">
        <f t="array" ref="X2394">IF($I2394&lt;&gt;"",$I2394,INDEX($I$1:$I2394,ROW()-COUNTIFS($T$1:$T2394,"="&amp;$T2394,$S$1:$S2394,"&lt;"&amp;$S2394)))</f>
        <v>0</v>
      </c>
      <c r="Z2394" s="6">
        <f t="shared" si="342"/>
        <v>1</v>
      </c>
      <c r="AA2394" t="e">
        <f t="shared" si="343"/>
        <v>#VALUE!</v>
      </c>
      <c r="AB2394" t="str">
        <f t="shared" si="344"/>
        <v/>
      </c>
      <c r="AC2394" t="e">
        <f t="shared" si="345"/>
        <v>#VALUE!</v>
      </c>
    </row>
    <row r="2395" spans="1:29" x14ac:dyDescent="0.2">
      <c r="A2395" t="str">
        <f t="shared" si="346"/>
        <v/>
      </c>
      <c r="E2395" s="4"/>
      <c r="F2395" s="46"/>
      <c r="G2395" s="4"/>
      <c r="H2395" s="48"/>
      <c r="J2395" s="26" t="str">
        <f t="shared" si="347"/>
        <v/>
      </c>
      <c r="N2395" t="str">
        <f t="shared" si="348"/>
        <v/>
      </c>
      <c r="Q2395" t="str">
        <f t="shared" si="349"/>
        <v/>
      </c>
      <c r="S2395" t="str">
        <f>IF(A2395=1,MAX($S$2:$S2394)+1,IF(OR($I2395&lt;&gt;"",A2395="x"),$S2394,""))</f>
        <v/>
      </c>
      <c r="T2395" t="str">
        <f>IF(D2395=1,MAX($T$2:$T2394)+1,IF(S2395=S2394,$T2394,IF(D2395="x",T2394,IF(D2394="x","",""))))</f>
        <v/>
      </c>
      <c r="U2395" t="str">
        <f>IF(B2395=1,MAX($U$2:$U2394)+1,IF(AND($T2395&lt;&gt;"",$T2395=$T2394),$U2394,IF(B2395="x",U2394,"")))</f>
        <v/>
      </c>
      <c r="V2395" t="str">
        <f>IF(C2395=1,MAX($V$2:$V2394)+1,IF(AND($T2395&lt;&gt;"",$T2395=$T2394),$U2394,IF(C2395="x",V2394,"")))</f>
        <v/>
      </c>
      <c r="X2395" cm="1">
        <f t="array" ref="X2395">IF($I2395&lt;&gt;"",$I2395,INDEX($I$1:$I2395,ROW()-COUNTIFS($T$1:$T2395,"="&amp;$T2395,$S$1:$S2395,"&lt;"&amp;$S2395)))</f>
        <v>0</v>
      </c>
      <c r="Z2395" s="6">
        <f t="shared" si="342"/>
        <v>1</v>
      </c>
      <c r="AA2395" t="e">
        <f t="shared" si="343"/>
        <v>#VALUE!</v>
      </c>
      <c r="AB2395" t="str">
        <f t="shared" si="344"/>
        <v/>
      </c>
      <c r="AC2395" t="e">
        <f t="shared" si="345"/>
        <v>#VALUE!</v>
      </c>
    </row>
    <row r="2396" spans="1:29" x14ac:dyDescent="0.2">
      <c r="A2396" t="str">
        <f t="shared" si="346"/>
        <v/>
      </c>
      <c r="E2396" s="4"/>
      <c r="F2396" s="46"/>
      <c r="G2396" s="4"/>
      <c r="H2396" s="48"/>
      <c r="J2396" s="26" t="str">
        <f t="shared" si="347"/>
        <v/>
      </c>
      <c r="N2396" t="str">
        <f t="shared" si="348"/>
        <v/>
      </c>
      <c r="Q2396" t="str">
        <f t="shared" si="349"/>
        <v/>
      </c>
      <c r="S2396" t="str">
        <f>IF(A2396=1,MAX($S$2:$S2395)+1,IF(OR($I2396&lt;&gt;"",A2396="x"),$S2395,""))</f>
        <v/>
      </c>
      <c r="T2396" t="str">
        <f>IF(D2396=1,MAX($T$2:$T2395)+1,IF(S2396=S2395,$T2395,IF(D2396="x",T2395,IF(D2395="x","",""))))</f>
        <v/>
      </c>
      <c r="U2396" t="str">
        <f>IF(B2396=1,MAX($U$2:$U2395)+1,IF(AND($T2396&lt;&gt;"",$T2396=$T2395),$U2395,IF(B2396="x",U2395,"")))</f>
        <v/>
      </c>
      <c r="V2396" t="str">
        <f>IF(C2396=1,MAX($V$2:$V2395)+1,IF(AND($T2396&lt;&gt;"",$T2396=$T2395),$U2395,IF(C2396="x",V2395,"")))</f>
        <v/>
      </c>
      <c r="X2396" cm="1">
        <f t="array" ref="X2396">IF($I2396&lt;&gt;"",$I2396,INDEX($I$1:$I2396,ROW()-COUNTIFS($T$1:$T2396,"="&amp;$T2396,$S$1:$S2396,"&lt;"&amp;$S2396)))</f>
        <v>0</v>
      </c>
      <c r="Z2396" s="6">
        <f t="shared" si="342"/>
        <v>1</v>
      </c>
      <c r="AA2396" t="e">
        <f t="shared" si="343"/>
        <v>#VALUE!</v>
      </c>
      <c r="AB2396" t="str">
        <f t="shared" si="344"/>
        <v/>
      </c>
      <c r="AC2396" t="e">
        <f t="shared" si="345"/>
        <v>#VALUE!</v>
      </c>
    </row>
    <row r="2397" spans="1:29" x14ac:dyDescent="0.2">
      <c r="A2397" t="str">
        <f t="shared" si="346"/>
        <v/>
      </c>
      <c r="E2397" s="4"/>
      <c r="F2397" s="46"/>
      <c r="G2397" s="4"/>
      <c r="H2397" s="48"/>
      <c r="J2397" s="26" t="str">
        <f t="shared" si="347"/>
        <v/>
      </c>
      <c r="N2397" t="str">
        <f t="shared" si="348"/>
        <v/>
      </c>
      <c r="Q2397" t="str">
        <f t="shared" si="349"/>
        <v/>
      </c>
      <c r="S2397" t="str">
        <f>IF(A2397=1,MAX($S$2:$S2396)+1,IF(OR($I2397&lt;&gt;"",A2397="x"),$S2396,""))</f>
        <v/>
      </c>
      <c r="T2397" t="str">
        <f>IF(D2397=1,MAX($T$2:$T2396)+1,IF(S2397=S2396,$T2396,IF(D2397="x",T2396,IF(D2396="x","",""))))</f>
        <v/>
      </c>
      <c r="U2397" t="str">
        <f>IF(B2397=1,MAX($U$2:$U2396)+1,IF(AND($T2397&lt;&gt;"",$T2397=$T2396),$U2396,IF(B2397="x",U2396,"")))</f>
        <v/>
      </c>
      <c r="V2397" t="str">
        <f>IF(C2397=1,MAX($V$2:$V2396)+1,IF(AND($T2397&lt;&gt;"",$T2397=$T2396),$U2396,IF(C2397="x",V2396,"")))</f>
        <v/>
      </c>
      <c r="X2397" cm="1">
        <f t="array" ref="X2397">IF($I2397&lt;&gt;"",$I2397,INDEX($I$1:$I2397,ROW()-COUNTIFS($T$1:$T2397,"="&amp;$T2397,$S$1:$S2397,"&lt;"&amp;$S2397)))</f>
        <v>0</v>
      </c>
      <c r="Z2397" s="6">
        <f t="shared" si="342"/>
        <v>1</v>
      </c>
      <c r="AA2397" t="e">
        <f t="shared" si="343"/>
        <v>#VALUE!</v>
      </c>
      <c r="AB2397" t="str">
        <f t="shared" si="344"/>
        <v/>
      </c>
      <c r="AC2397" t="e">
        <f t="shared" si="345"/>
        <v>#VALUE!</v>
      </c>
    </row>
    <row r="2398" spans="1:29" x14ac:dyDescent="0.2">
      <c r="A2398" t="str">
        <f t="shared" si="346"/>
        <v/>
      </c>
      <c r="E2398" s="4"/>
      <c r="F2398" s="46"/>
      <c r="G2398" s="4"/>
      <c r="H2398" s="48"/>
      <c r="J2398" s="26" t="str">
        <f t="shared" si="347"/>
        <v/>
      </c>
      <c r="N2398" t="str">
        <f t="shared" si="348"/>
        <v/>
      </c>
      <c r="Q2398" t="str">
        <f t="shared" si="349"/>
        <v/>
      </c>
      <c r="S2398" t="str">
        <f>IF(A2398=1,MAX($S$2:$S2397)+1,IF(OR($I2398&lt;&gt;"",A2398="x"),$S2397,""))</f>
        <v/>
      </c>
      <c r="T2398" t="str">
        <f>IF(D2398=1,MAX($T$2:$T2397)+1,IF(S2398=S2397,$T2397,IF(D2398="x",T2397,IF(D2397="x","",""))))</f>
        <v/>
      </c>
      <c r="U2398" t="str">
        <f>IF(B2398=1,MAX($U$2:$U2397)+1,IF(AND($T2398&lt;&gt;"",$T2398=$T2397),$U2397,IF(B2398="x",U2397,"")))</f>
        <v/>
      </c>
      <c r="V2398" t="str">
        <f>IF(C2398=1,MAX($V$2:$V2397)+1,IF(AND($T2398&lt;&gt;"",$T2398=$T2397),$U2397,IF(C2398="x",V2397,"")))</f>
        <v/>
      </c>
      <c r="X2398" cm="1">
        <f t="array" ref="X2398">IF($I2398&lt;&gt;"",$I2398,INDEX($I$1:$I2398,ROW()-COUNTIFS($T$1:$T2398,"="&amp;$T2398,$S$1:$S2398,"&lt;"&amp;$S2398)))</f>
        <v>0</v>
      </c>
      <c r="Z2398" s="6">
        <f t="shared" si="342"/>
        <v>1</v>
      </c>
      <c r="AA2398" t="e">
        <f t="shared" si="343"/>
        <v>#VALUE!</v>
      </c>
      <c r="AB2398" t="str">
        <f t="shared" si="344"/>
        <v/>
      </c>
      <c r="AC2398" t="e">
        <f t="shared" si="345"/>
        <v>#VALUE!</v>
      </c>
    </row>
    <row r="2399" spans="1:29" x14ac:dyDescent="0.2">
      <c r="A2399" t="str">
        <f t="shared" si="346"/>
        <v/>
      </c>
      <c r="E2399" s="4"/>
      <c r="F2399" s="46"/>
      <c r="G2399" s="4"/>
      <c r="H2399" s="48"/>
      <c r="J2399" s="26" t="str">
        <f t="shared" si="347"/>
        <v/>
      </c>
      <c r="N2399" t="str">
        <f t="shared" si="348"/>
        <v/>
      </c>
      <c r="Q2399" t="str">
        <f t="shared" si="349"/>
        <v/>
      </c>
      <c r="S2399" t="str">
        <f>IF(A2399=1,MAX($S$2:$S2398)+1,IF(OR($I2399&lt;&gt;"",A2399="x"),$S2398,""))</f>
        <v/>
      </c>
      <c r="T2399" t="str">
        <f>IF(D2399=1,MAX($T$2:$T2398)+1,IF(S2399=S2398,$T2398,IF(D2399="x",T2398,IF(D2398="x","",""))))</f>
        <v/>
      </c>
      <c r="U2399" t="str">
        <f>IF(B2399=1,MAX($U$2:$U2398)+1,IF(AND($T2399&lt;&gt;"",$T2399=$T2398),$U2398,IF(B2399="x",U2398,"")))</f>
        <v/>
      </c>
      <c r="V2399" t="str">
        <f>IF(C2399=1,MAX($V$2:$V2398)+1,IF(AND($T2399&lt;&gt;"",$T2399=$T2398),$U2398,IF(C2399="x",V2398,"")))</f>
        <v/>
      </c>
      <c r="X2399" cm="1">
        <f t="array" ref="X2399">IF($I2399&lt;&gt;"",$I2399,INDEX($I$1:$I2399,ROW()-COUNTIFS($T$1:$T2399,"="&amp;$T2399,$S$1:$S2399,"&lt;"&amp;$S2399)))</f>
        <v>0</v>
      </c>
      <c r="Z2399" s="6">
        <f t="shared" si="342"/>
        <v>1</v>
      </c>
      <c r="AA2399" t="e">
        <f t="shared" si="343"/>
        <v>#VALUE!</v>
      </c>
      <c r="AB2399" t="str">
        <f t="shared" si="344"/>
        <v/>
      </c>
      <c r="AC2399" t="e">
        <f t="shared" si="345"/>
        <v>#VALUE!</v>
      </c>
    </row>
    <row r="2400" spans="1:29" x14ac:dyDescent="0.2">
      <c r="A2400" t="str">
        <f t="shared" si="346"/>
        <v/>
      </c>
      <c r="E2400" s="4"/>
      <c r="F2400" s="46"/>
      <c r="G2400" s="4"/>
      <c r="H2400" s="48"/>
      <c r="J2400" s="26" t="str">
        <f t="shared" si="347"/>
        <v/>
      </c>
      <c r="N2400" t="str">
        <f t="shared" si="348"/>
        <v/>
      </c>
      <c r="Q2400" t="str">
        <f t="shared" si="349"/>
        <v/>
      </c>
      <c r="S2400" t="str">
        <f>IF(A2400=1,MAX($S$2:$S2399)+1,IF(OR($I2400&lt;&gt;"",A2400="x"),$S2399,""))</f>
        <v/>
      </c>
      <c r="T2400" t="str">
        <f>IF(D2400=1,MAX($T$2:$T2399)+1,IF(S2400=S2399,$T2399,IF(D2400="x",T2399,IF(D2399="x","",""))))</f>
        <v/>
      </c>
      <c r="U2400" t="str">
        <f>IF(B2400=1,MAX($U$2:$U2399)+1,IF(AND($T2400&lt;&gt;"",$T2400=$T2399),$U2399,IF(B2400="x",U2399,"")))</f>
        <v/>
      </c>
      <c r="V2400" t="str">
        <f>IF(C2400=1,MAX($V$2:$V2399)+1,IF(AND($T2400&lt;&gt;"",$T2400=$T2399),$U2399,IF(C2400="x",V2399,"")))</f>
        <v/>
      </c>
      <c r="X2400" cm="1">
        <f t="array" ref="X2400">IF($I2400&lt;&gt;"",$I2400,INDEX($I$1:$I2400,ROW()-COUNTIFS($T$1:$T2400,"="&amp;$T2400,$S$1:$S2400,"&lt;"&amp;$S2400)))</f>
        <v>0</v>
      </c>
      <c r="Z2400" s="6">
        <f t="shared" si="342"/>
        <v>1</v>
      </c>
      <c r="AA2400" t="e">
        <f t="shared" si="343"/>
        <v>#VALUE!</v>
      </c>
      <c r="AB2400" t="str">
        <f t="shared" si="344"/>
        <v/>
      </c>
      <c r="AC2400" t="e">
        <f t="shared" si="345"/>
        <v>#VALUE!</v>
      </c>
    </row>
    <row r="2401" spans="1:29" x14ac:dyDescent="0.2">
      <c r="A2401" t="str">
        <f t="shared" si="346"/>
        <v/>
      </c>
      <c r="E2401" s="4"/>
      <c r="F2401" s="46"/>
      <c r="G2401" s="4"/>
      <c r="H2401" s="48"/>
      <c r="J2401" s="26" t="str">
        <f t="shared" si="347"/>
        <v/>
      </c>
      <c r="N2401" t="str">
        <f t="shared" si="348"/>
        <v/>
      </c>
      <c r="Q2401" t="str">
        <f t="shared" si="349"/>
        <v/>
      </c>
      <c r="S2401" t="str">
        <f>IF(A2401=1,MAX($S$2:$S2400)+1,IF(OR($I2401&lt;&gt;"",A2401="x"),$S2400,""))</f>
        <v/>
      </c>
      <c r="T2401" t="str">
        <f>IF(D2401=1,MAX($T$2:$T2400)+1,IF(S2401=S2400,$T2400,IF(D2401="x",T2400,IF(D2400="x","",""))))</f>
        <v/>
      </c>
      <c r="U2401" t="str">
        <f>IF(B2401=1,MAX($U$2:$U2400)+1,IF(AND($T2401&lt;&gt;"",$T2401=$T2400),$U2400,IF(B2401="x",U2400,"")))</f>
        <v/>
      </c>
      <c r="V2401" t="str">
        <f>IF(C2401=1,MAX($V$2:$V2400)+1,IF(AND($T2401&lt;&gt;"",$T2401=$T2400),$U2400,IF(C2401="x",V2400,"")))</f>
        <v/>
      </c>
      <c r="X2401" cm="1">
        <f t="array" ref="X2401">IF($I2401&lt;&gt;"",$I2401,INDEX($I$1:$I2401,ROW()-COUNTIFS($T$1:$T2401,"="&amp;$T2401,$S$1:$S2401,"&lt;"&amp;$S2401)))</f>
        <v>0</v>
      </c>
      <c r="Z2401" s="6">
        <f t="shared" si="342"/>
        <v>1</v>
      </c>
      <c r="AA2401" t="e">
        <f t="shared" si="343"/>
        <v>#VALUE!</v>
      </c>
      <c r="AB2401" t="str">
        <f t="shared" si="344"/>
        <v/>
      </c>
      <c r="AC2401" t="e">
        <f t="shared" si="345"/>
        <v>#VALUE!</v>
      </c>
    </row>
    <row r="2402" spans="1:29" x14ac:dyDescent="0.2">
      <c r="A2402" t="str">
        <f t="shared" si="346"/>
        <v/>
      </c>
      <c r="E2402" s="4"/>
      <c r="F2402" s="46"/>
      <c r="G2402" s="4"/>
      <c r="H2402" s="48"/>
      <c r="J2402" s="26" t="str">
        <f t="shared" si="347"/>
        <v/>
      </c>
      <c r="N2402" t="str">
        <f t="shared" si="348"/>
        <v/>
      </c>
      <c r="Q2402" t="str">
        <f t="shared" si="349"/>
        <v/>
      </c>
      <c r="S2402" t="str">
        <f>IF(A2402=1,MAX($S$2:$S2401)+1,IF(OR($I2402&lt;&gt;"",A2402="x"),$S2401,""))</f>
        <v/>
      </c>
      <c r="T2402" t="str">
        <f>IF(D2402=1,MAX($T$2:$T2401)+1,IF(S2402=S2401,$T2401,IF(D2402="x",T2401,IF(D2401="x","",""))))</f>
        <v/>
      </c>
      <c r="U2402" t="str">
        <f>IF(B2402=1,MAX($U$2:$U2401)+1,IF(AND($T2402&lt;&gt;"",$T2402=$T2401),$U2401,IF(B2402="x",U2401,"")))</f>
        <v/>
      </c>
      <c r="V2402" t="str">
        <f>IF(C2402=1,MAX($V$2:$V2401)+1,IF(AND($T2402&lt;&gt;"",$T2402=$T2401),$U2401,IF(C2402="x",V2401,"")))</f>
        <v/>
      </c>
      <c r="X2402" cm="1">
        <f t="array" ref="X2402">IF($I2402&lt;&gt;"",$I2402,INDEX($I$1:$I2402,ROW()-COUNTIFS($T$1:$T2402,"="&amp;$T2402,$S$1:$S2402,"&lt;"&amp;$S2402)))</f>
        <v>0</v>
      </c>
      <c r="Z2402" s="6">
        <f t="shared" si="342"/>
        <v>1</v>
      </c>
      <c r="AA2402" t="e">
        <f t="shared" si="343"/>
        <v>#VALUE!</v>
      </c>
      <c r="AB2402" t="str">
        <f t="shared" si="344"/>
        <v/>
      </c>
      <c r="AC2402" t="e">
        <f t="shared" si="345"/>
        <v>#VALUE!</v>
      </c>
    </row>
    <row r="2403" spans="1:29" x14ac:dyDescent="0.2">
      <c r="A2403" t="str">
        <f t="shared" si="346"/>
        <v/>
      </c>
      <c r="E2403" s="4"/>
      <c r="F2403" s="46"/>
      <c r="G2403" s="4"/>
      <c r="H2403" s="48"/>
      <c r="J2403" s="26" t="str">
        <f t="shared" si="347"/>
        <v/>
      </c>
      <c r="N2403" t="str">
        <f t="shared" si="348"/>
        <v/>
      </c>
      <c r="Q2403" t="str">
        <f t="shared" si="349"/>
        <v/>
      </c>
      <c r="S2403" t="str">
        <f>IF(A2403=1,MAX($S$2:$S2402)+1,IF(OR($I2403&lt;&gt;"",A2403="x"),$S2402,""))</f>
        <v/>
      </c>
      <c r="T2403" t="str">
        <f>IF(D2403=1,MAX($T$2:$T2402)+1,IF(S2403=S2402,$T2402,IF(D2403="x",T2402,IF(D2402="x","",""))))</f>
        <v/>
      </c>
      <c r="U2403" t="str">
        <f>IF(B2403=1,MAX($U$2:$U2402)+1,IF(AND($T2403&lt;&gt;"",$T2403=$T2402),$U2402,IF(B2403="x",U2402,"")))</f>
        <v/>
      </c>
      <c r="V2403" t="str">
        <f>IF(C2403=1,MAX($V$2:$V2402)+1,IF(AND($T2403&lt;&gt;"",$T2403=$T2402),$U2402,IF(C2403="x",V2402,"")))</f>
        <v/>
      </c>
      <c r="X2403" cm="1">
        <f t="array" ref="X2403">IF($I2403&lt;&gt;"",$I2403,INDEX($I$1:$I2403,ROW()-COUNTIFS($T$1:$T2403,"="&amp;$T2403,$S$1:$S2403,"&lt;"&amp;$S2403)))</f>
        <v>0</v>
      </c>
      <c r="Z2403" s="6">
        <f t="shared" si="342"/>
        <v>1</v>
      </c>
      <c r="AA2403" t="e">
        <f t="shared" si="343"/>
        <v>#VALUE!</v>
      </c>
      <c r="AB2403" t="str">
        <f t="shared" si="344"/>
        <v/>
      </c>
      <c r="AC2403" t="e">
        <f t="shared" si="345"/>
        <v>#VALUE!</v>
      </c>
    </row>
    <row r="2404" spans="1:29" x14ac:dyDescent="0.2">
      <c r="A2404" t="str">
        <f t="shared" si="346"/>
        <v/>
      </c>
      <c r="E2404" s="4"/>
      <c r="F2404" s="46"/>
      <c r="G2404" s="4"/>
      <c r="H2404" s="48"/>
      <c r="J2404" s="26" t="str">
        <f t="shared" si="347"/>
        <v/>
      </c>
      <c r="N2404" t="str">
        <f t="shared" si="348"/>
        <v/>
      </c>
      <c r="Q2404" t="str">
        <f t="shared" si="349"/>
        <v/>
      </c>
      <c r="S2404" t="str">
        <f>IF(A2404=1,MAX($S$2:$S2403)+1,IF(OR($I2404&lt;&gt;"",A2404="x"),$S2403,""))</f>
        <v/>
      </c>
      <c r="T2404" t="str">
        <f>IF(D2404=1,MAX($T$2:$T2403)+1,IF(S2404=S2403,$T2403,IF(D2404="x",T2403,IF(D2403="x","",""))))</f>
        <v/>
      </c>
      <c r="U2404" t="str">
        <f>IF(B2404=1,MAX($U$2:$U2403)+1,IF(AND($T2404&lt;&gt;"",$T2404=$T2403),$U2403,IF(B2404="x",U2403,"")))</f>
        <v/>
      </c>
      <c r="V2404" t="str">
        <f>IF(C2404=1,MAX($V$2:$V2403)+1,IF(AND($T2404&lt;&gt;"",$T2404=$T2403),$U2403,IF(C2404="x",V2403,"")))</f>
        <v/>
      </c>
      <c r="X2404" cm="1">
        <f t="array" ref="X2404">IF($I2404&lt;&gt;"",$I2404,INDEX($I$1:$I2404,ROW()-COUNTIFS($T$1:$T2404,"="&amp;$T2404,$S$1:$S2404,"&lt;"&amp;$S2404)))</f>
        <v>0</v>
      </c>
      <c r="Z2404" s="6">
        <f t="shared" si="342"/>
        <v>1</v>
      </c>
      <c r="AA2404" t="e">
        <f t="shared" si="343"/>
        <v>#VALUE!</v>
      </c>
      <c r="AB2404" t="str">
        <f t="shared" si="344"/>
        <v/>
      </c>
      <c r="AC2404" t="e">
        <f t="shared" si="345"/>
        <v>#VALUE!</v>
      </c>
    </row>
    <row r="2405" spans="1:29" x14ac:dyDescent="0.2">
      <c r="A2405" t="str">
        <f t="shared" si="346"/>
        <v/>
      </c>
      <c r="E2405" s="4"/>
      <c r="F2405" s="46"/>
      <c r="G2405" s="4"/>
      <c r="H2405" s="48"/>
      <c r="J2405" s="26" t="str">
        <f t="shared" si="347"/>
        <v/>
      </c>
      <c r="N2405" t="str">
        <f t="shared" si="348"/>
        <v/>
      </c>
      <c r="Q2405" t="str">
        <f t="shared" si="349"/>
        <v/>
      </c>
      <c r="S2405" t="str">
        <f>IF(A2405=1,MAX($S$2:$S2404)+1,IF(OR($I2405&lt;&gt;"",A2405="x"),$S2404,""))</f>
        <v/>
      </c>
      <c r="T2405" t="str">
        <f>IF(D2405=1,MAX($T$2:$T2404)+1,IF(S2405=S2404,$T2404,IF(D2405="x",T2404,IF(D2404="x","",""))))</f>
        <v/>
      </c>
      <c r="U2405" t="str">
        <f>IF(B2405=1,MAX($U$2:$U2404)+1,IF(AND($T2405&lt;&gt;"",$T2405=$T2404),$U2404,IF(B2405="x",U2404,"")))</f>
        <v/>
      </c>
      <c r="V2405" t="str">
        <f>IF(C2405=1,MAX($V$2:$V2404)+1,IF(AND($T2405&lt;&gt;"",$T2405=$T2404),$U2404,IF(C2405="x",V2404,"")))</f>
        <v/>
      </c>
      <c r="X2405" cm="1">
        <f t="array" ref="X2405">IF($I2405&lt;&gt;"",$I2405,INDEX($I$1:$I2405,ROW()-COUNTIFS($T$1:$T2405,"="&amp;$T2405,$S$1:$S2405,"&lt;"&amp;$S2405)))</f>
        <v>0</v>
      </c>
      <c r="Z2405" s="6">
        <f t="shared" si="342"/>
        <v>1</v>
      </c>
      <c r="AA2405" t="e">
        <f t="shared" si="343"/>
        <v>#VALUE!</v>
      </c>
      <c r="AB2405" t="str">
        <f t="shared" si="344"/>
        <v/>
      </c>
      <c r="AC2405" t="e">
        <f t="shared" si="345"/>
        <v>#VALUE!</v>
      </c>
    </row>
    <row r="2406" spans="1:29" x14ac:dyDescent="0.2">
      <c r="A2406" t="str">
        <f t="shared" si="346"/>
        <v/>
      </c>
      <c r="E2406" s="4"/>
      <c r="F2406" s="46"/>
      <c r="G2406" s="4"/>
      <c r="H2406" s="48"/>
      <c r="J2406" s="26" t="str">
        <f t="shared" si="347"/>
        <v/>
      </c>
      <c r="N2406" t="str">
        <f t="shared" si="348"/>
        <v/>
      </c>
      <c r="Q2406" t="str">
        <f t="shared" si="349"/>
        <v/>
      </c>
      <c r="S2406" t="str">
        <f>IF(A2406=1,MAX($S$2:$S2405)+1,IF(OR($I2406&lt;&gt;"",A2406="x"),$S2405,""))</f>
        <v/>
      </c>
      <c r="T2406" t="str">
        <f>IF(D2406=1,MAX($T$2:$T2405)+1,IF(S2406=S2405,$T2405,IF(D2406="x",T2405,IF(D2405="x","",""))))</f>
        <v/>
      </c>
      <c r="U2406" t="str">
        <f>IF(B2406=1,MAX($U$2:$U2405)+1,IF(AND($T2406&lt;&gt;"",$T2406=$T2405),$U2405,IF(B2406="x",U2405,"")))</f>
        <v/>
      </c>
      <c r="V2406" t="str">
        <f>IF(C2406=1,MAX($V$2:$V2405)+1,IF(AND($T2406&lt;&gt;"",$T2406=$T2405),$U2405,IF(C2406="x",V2405,"")))</f>
        <v/>
      </c>
      <c r="X2406" cm="1">
        <f t="array" ref="X2406">IF($I2406&lt;&gt;"",$I2406,INDEX($I$1:$I2406,ROW()-COUNTIFS($T$1:$T2406,"="&amp;$T2406,$S$1:$S2406,"&lt;"&amp;$S2406)))</f>
        <v>0</v>
      </c>
      <c r="Z2406" s="6">
        <f t="shared" si="342"/>
        <v>1</v>
      </c>
      <c r="AA2406" t="e">
        <f t="shared" si="343"/>
        <v>#VALUE!</v>
      </c>
      <c r="AB2406" t="str">
        <f t="shared" si="344"/>
        <v/>
      </c>
      <c r="AC2406" t="e">
        <f t="shared" si="345"/>
        <v>#VALUE!</v>
      </c>
    </row>
    <row r="2407" spans="1:29" x14ac:dyDescent="0.2">
      <c r="A2407" t="str">
        <f t="shared" si="346"/>
        <v/>
      </c>
      <c r="E2407" s="4"/>
      <c r="F2407" s="46"/>
      <c r="G2407" s="4"/>
      <c r="H2407" s="48"/>
      <c r="J2407" s="26" t="str">
        <f t="shared" si="347"/>
        <v/>
      </c>
      <c r="N2407" t="str">
        <f t="shared" si="348"/>
        <v/>
      </c>
      <c r="Q2407" t="str">
        <f t="shared" si="349"/>
        <v/>
      </c>
      <c r="S2407" t="str">
        <f>IF(A2407=1,MAX($S$2:$S2406)+1,IF(OR($I2407&lt;&gt;"",A2407="x"),$S2406,""))</f>
        <v/>
      </c>
      <c r="T2407" t="str">
        <f>IF(D2407=1,MAX($T$2:$T2406)+1,IF(S2407=S2406,$T2406,IF(D2407="x",T2406,IF(D2406="x","",""))))</f>
        <v/>
      </c>
      <c r="U2407" t="str">
        <f>IF(B2407=1,MAX($U$2:$U2406)+1,IF(AND($T2407&lt;&gt;"",$T2407=$T2406),$U2406,IF(B2407="x",U2406,"")))</f>
        <v/>
      </c>
      <c r="V2407" t="str">
        <f>IF(C2407=1,MAX($V$2:$V2406)+1,IF(AND($T2407&lt;&gt;"",$T2407=$T2406),$U2406,IF(C2407="x",V2406,"")))</f>
        <v/>
      </c>
      <c r="X2407" cm="1">
        <f t="array" ref="X2407">IF($I2407&lt;&gt;"",$I2407,INDEX($I$1:$I2407,ROW()-COUNTIFS($T$1:$T2407,"="&amp;$T2407,$S$1:$S2407,"&lt;"&amp;$S2407)))</f>
        <v>0</v>
      </c>
      <c r="Z2407" s="6">
        <f t="shared" si="342"/>
        <v>1</v>
      </c>
      <c r="AA2407" t="e">
        <f t="shared" si="343"/>
        <v>#VALUE!</v>
      </c>
      <c r="AB2407" t="str">
        <f t="shared" si="344"/>
        <v/>
      </c>
      <c r="AC2407" t="e">
        <f t="shared" si="345"/>
        <v>#VALUE!</v>
      </c>
    </row>
    <row r="2408" spans="1:29" x14ac:dyDescent="0.2">
      <c r="A2408" t="str">
        <f t="shared" si="346"/>
        <v/>
      </c>
      <c r="E2408" s="4"/>
      <c r="F2408" s="46"/>
      <c r="G2408" s="4"/>
      <c r="H2408" s="48"/>
      <c r="J2408" s="26" t="str">
        <f t="shared" si="347"/>
        <v/>
      </c>
      <c r="N2408" t="str">
        <f t="shared" si="348"/>
        <v/>
      </c>
      <c r="Q2408" t="str">
        <f t="shared" si="349"/>
        <v/>
      </c>
      <c r="S2408" t="str">
        <f>IF(A2408=1,MAX($S$2:$S2407)+1,IF(OR($I2408&lt;&gt;"",A2408="x"),$S2407,""))</f>
        <v/>
      </c>
      <c r="T2408" t="str">
        <f>IF(D2408=1,MAX($T$2:$T2407)+1,IF(S2408=S2407,$T2407,IF(D2408="x",T2407,IF(D2407="x","",""))))</f>
        <v/>
      </c>
      <c r="U2408" t="str">
        <f>IF(B2408=1,MAX($U$2:$U2407)+1,IF(AND($T2408&lt;&gt;"",$T2408=$T2407),$U2407,IF(B2408="x",U2407,"")))</f>
        <v/>
      </c>
      <c r="V2408" t="str">
        <f>IF(C2408=1,MAX($V$2:$V2407)+1,IF(AND($T2408&lt;&gt;"",$T2408=$T2407),$U2407,IF(C2408="x",V2407,"")))</f>
        <v/>
      </c>
      <c r="X2408" cm="1">
        <f t="array" ref="X2408">IF($I2408&lt;&gt;"",$I2408,INDEX($I$1:$I2408,ROW()-COUNTIFS($T$1:$T2408,"="&amp;$T2408,$S$1:$S2408,"&lt;"&amp;$S2408)))</f>
        <v>0</v>
      </c>
      <c r="Z2408" s="6">
        <f t="shared" si="342"/>
        <v>1</v>
      </c>
      <c r="AA2408" t="e">
        <f t="shared" si="343"/>
        <v>#VALUE!</v>
      </c>
      <c r="AB2408" t="str">
        <f t="shared" si="344"/>
        <v/>
      </c>
      <c r="AC2408" t="e">
        <f t="shared" si="345"/>
        <v>#VALUE!</v>
      </c>
    </row>
    <row r="2409" spans="1:29" x14ac:dyDescent="0.2">
      <c r="A2409" t="str">
        <f t="shared" si="346"/>
        <v/>
      </c>
      <c r="E2409" s="4"/>
      <c r="F2409" s="46"/>
      <c r="G2409" s="4"/>
      <c r="H2409" s="48"/>
      <c r="J2409" s="26" t="str">
        <f t="shared" si="347"/>
        <v/>
      </c>
      <c r="N2409" t="str">
        <f t="shared" si="348"/>
        <v/>
      </c>
      <c r="Q2409" t="str">
        <f t="shared" si="349"/>
        <v/>
      </c>
      <c r="S2409" t="str">
        <f>IF(A2409=1,MAX($S$2:$S2408)+1,IF(OR($I2409&lt;&gt;"",A2409="x"),$S2408,""))</f>
        <v/>
      </c>
      <c r="T2409" t="str">
        <f>IF(D2409=1,MAX($T$2:$T2408)+1,IF(S2409=S2408,$T2408,IF(D2409="x",T2408,IF(D2408="x","",""))))</f>
        <v/>
      </c>
      <c r="U2409" t="str">
        <f>IF(B2409=1,MAX($U$2:$U2408)+1,IF(AND($T2409&lt;&gt;"",$T2409=$T2408),$U2408,IF(B2409="x",U2408,"")))</f>
        <v/>
      </c>
      <c r="V2409" t="str">
        <f>IF(C2409=1,MAX($V$2:$V2408)+1,IF(AND($T2409&lt;&gt;"",$T2409=$T2408),$U2408,IF(C2409="x",V2408,"")))</f>
        <v/>
      </c>
      <c r="X2409" cm="1">
        <f t="array" ref="X2409">IF($I2409&lt;&gt;"",$I2409,INDEX($I$1:$I2409,ROW()-COUNTIFS($T$1:$T2409,"="&amp;$T2409,$S$1:$S2409,"&lt;"&amp;$S2409)))</f>
        <v>0</v>
      </c>
      <c r="Z2409" s="6">
        <f t="shared" si="342"/>
        <v>1</v>
      </c>
      <c r="AA2409" t="e">
        <f t="shared" si="343"/>
        <v>#VALUE!</v>
      </c>
      <c r="AB2409" t="str">
        <f t="shared" si="344"/>
        <v/>
      </c>
      <c r="AC2409" t="e">
        <f t="shared" si="345"/>
        <v>#VALUE!</v>
      </c>
    </row>
    <row r="2410" spans="1:29" x14ac:dyDescent="0.2">
      <c r="A2410" t="str">
        <f t="shared" si="346"/>
        <v/>
      </c>
      <c r="E2410" s="4"/>
      <c r="F2410" s="46"/>
      <c r="G2410" s="4"/>
      <c r="H2410" s="48"/>
      <c r="J2410" s="26" t="str">
        <f t="shared" si="347"/>
        <v/>
      </c>
      <c r="N2410" t="str">
        <f t="shared" si="348"/>
        <v/>
      </c>
      <c r="Q2410" t="str">
        <f t="shared" si="349"/>
        <v/>
      </c>
      <c r="S2410" t="str">
        <f>IF(A2410=1,MAX($S$2:$S2409)+1,IF(OR($I2410&lt;&gt;"",A2410="x"),$S2409,""))</f>
        <v/>
      </c>
      <c r="T2410" t="str">
        <f>IF(D2410=1,MAX($T$2:$T2409)+1,IF(S2410=S2409,$T2409,IF(D2410="x",T2409,IF(D2409="x","",""))))</f>
        <v/>
      </c>
      <c r="U2410" t="str">
        <f>IF(B2410=1,MAX($U$2:$U2409)+1,IF(AND($T2410&lt;&gt;"",$T2410=$T2409),$U2409,IF(B2410="x",U2409,"")))</f>
        <v/>
      </c>
      <c r="V2410" t="str">
        <f>IF(C2410=1,MAX($V$2:$V2409)+1,IF(AND($T2410&lt;&gt;"",$T2410=$T2409),$U2409,IF(C2410="x",V2409,"")))</f>
        <v/>
      </c>
      <c r="X2410" cm="1">
        <f t="array" ref="X2410">IF($I2410&lt;&gt;"",$I2410,INDEX($I$1:$I2410,ROW()-COUNTIFS($T$1:$T2410,"="&amp;$T2410,$S$1:$S2410,"&lt;"&amp;$S2410)))</f>
        <v>0</v>
      </c>
      <c r="Z2410" s="6">
        <f t="shared" si="342"/>
        <v>1</v>
      </c>
      <c r="AA2410" t="e">
        <f t="shared" si="343"/>
        <v>#VALUE!</v>
      </c>
      <c r="AB2410" t="str">
        <f t="shared" si="344"/>
        <v/>
      </c>
      <c r="AC2410" t="e">
        <f t="shared" si="345"/>
        <v>#VALUE!</v>
      </c>
    </row>
    <row r="2411" spans="1:29" x14ac:dyDescent="0.2">
      <c r="A2411" t="str">
        <f t="shared" si="346"/>
        <v/>
      </c>
      <c r="E2411" s="4"/>
      <c r="F2411" s="46"/>
      <c r="G2411" s="4"/>
      <c r="H2411" s="48"/>
      <c r="J2411" s="26" t="str">
        <f t="shared" si="347"/>
        <v/>
      </c>
      <c r="N2411" t="str">
        <f t="shared" si="348"/>
        <v/>
      </c>
      <c r="Q2411" t="str">
        <f t="shared" si="349"/>
        <v/>
      </c>
      <c r="S2411" t="str">
        <f>IF(A2411=1,MAX($S$2:$S2410)+1,IF(OR($I2411&lt;&gt;"",A2411="x"),$S2410,""))</f>
        <v/>
      </c>
      <c r="T2411" t="str">
        <f>IF(D2411=1,MAX($T$2:$T2410)+1,IF(S2411=S2410,$T2410,IF(D2411="x",T2410,IF(D2410="x","",""))))</f>
        <v/>
      </c>
      <c r="U2411" t="str">
        <f>IF(B2411=1,MAX($U$2:$U2410)+1,IF(AND($T2411&lt;&gt;"",$T2411=$T2410),$U2410,IF(B2411="x",U2410,"")))</f>
        <v/>
      </c>
      <c r="V2411" t="str">
        <f>IF(C2411=1,MAX($V$2:$V2410)+1,IF(AND($T2411&lt;&gt;"",$T2411=$T2410),$U2410,IF(C2411="x",V2410,"")))</f>
        <v/>
      </c>
      <c r="X2411" cm="1">
        <f t="array" ref="X2411">IF($I2411&lt;&gt;"",$I2411,INDEX($I$1:$I2411,ROW()-COUNTIFS($T$1:$T2411,"="&amp;$T2411,$S$1:$S2411,"&lt;"&amp;$S2411)))</f>
        <v>0</v>
      </c>
      <c r="Z2411" s="6">
        <f t="shared" si="342"/>
        <v>1</v>
      </c>
      <c r="AA2411" t="e">
        <f t="shared" si="343"/>
        <v>#VALUE!</v>
      </c>
      <c r="AB2411" t="str">
        <f t="shared" si="344"/>
        <v/>
      </c>
      <c r="AC2411" t="e">
        <f t="shared" si="345"/>
        <v>#VALUE!</v>
      </c>
    </row>
    <row r="2412" spans="1:29" x14ac:dyDescent="0.2">
      <c r="A2412" t="str">
        <f t="shared" si="346"/>
        <v/>
      </c>
      <c r="E2412" s="4"/>
      <c r="F2412" s="46"/>
      <c r="G2412" s="4"/>
      <c r="H2412" s="48"/>
      <c r="J2412" s="26" t="str">
        <f t="shared" si="347"/>
        <v/>
      </c>
      <c r="N2412" t="str">
        <f t="shared" si="348"/>
        <v/>
      </c>
      <c r="Q2412" t="str">
        <f t="shared" si="349"/>
        <v/>
      </c>
      <c r="S2412" t="str">
        <f>IF(A2412=1,MAX($S$2:$S2411)+1,IF(OR($I2412&lt;&gt;"",A2412="x"),$S2411,""))</f>
        <v/>
      </c>
      <c r="T2412" t="str">
        <f>IF(D2412=1,MAX($T$2:$T2411)+1,IF(S2412=S2411,$T2411,IF(D2412="x",T2411,IF(D2411="x","",""))))</f>
        <v/>
      </c>
      <c r="U2412" t="str">
        <f>IF(B2412=1,MAX($U$2:$U2411)+1,IF(AND($T2412&lt;&gt;"",$T2412=$T2411),$U2411,IF(B2412="x",U2411,"")))</f>
        <v/>
      </c>
      <c r="V2412" t="str">
        <f>IF(C2412=1,MAX($V$2:$V2411)+1,IF(AND($T2412&lt;&gt;"",$T2412=$T2411),$U2411,IF(C2412="x",V2411,"")))</f>
        <v/>
      </c>
      <c r="X2412" cm="1">
        <f t="array" ref="X2412">IF($I2412&lt;&gt;"",$I2412,INDEX($I$1:$I2412,ROW()-COUNTIFS($T$1:$T2412,"="&amp;$T2412,$S$1:$S2412,"&lt;"&amp;$S2412)))</f>
        <v>0</v>
      </c>
      <c r="Z2412" s="6">
        <f t="shared" si="342"/>
        <v>1</v>
      </c>
      <c r="AA2412" t="e">
        <f t="shared" si="343"/>
        <v>#VALUE!</v>
      </c>
      <c r="AB2412" t="str">
        <f t="shared" si="344"/>
        <v/>
      </c>
      <c r="AC2412" t="e">
        <f t="shared" si="345"/>
        <v>#VALUE!</v>
      </c>
    </row>
    <row r="2413" spans="1:29" x14ac:dyDescent="0.2">
      <c r="A2413" t="str">
        <f t="shared" si="346"/>
        <v/>
      </c>
      <c r="E2413" s="4"/>
      <c r="F2413" s="46"/>
      <c r="G2413" s="4"/>
      <c r="H2413" s="48"/>
      <c r="J2413" s="26" t="str">
        <f t="shared" si="347"/>
        <v/>
      </c>
      <c r="N2413" t="str">
        <f t="shared" si="348"/>
        <v/>
      </c>
      <c r="Q2413" t="str">
        <f t="shared" si="349"/>
        <v/>
      </c>
      <c r="S2413" t="str">
        <f>IF(A2413=1,MAX($S$2:$S2412)+1,IF(OR($I2413&lt;&gt;"",A2413="x"),$S2412,""))</f>
        <v/>
      </c>
      <c r="T2413" t="str">
        <f>IF(D2413=1,MAX($T$2:$T2412)+1,IF(S2413=S2412,$T2412,IF(D2413="x",T2412,IF(D2412="x","",""))))</f>
        <v/>
      </c>
      <c r="U2413" t="str">
        <f>IF(B2413=1,MAX($U$2:$U2412)+1,IF(AND($T2413&lt;&gt;"",$T2413=$T2412),$U2412,IF(B2413="x",U2412,"")))</f>
        <v/>
      </c>
      <c r="V2413" t="str">
        <f>IF(C2413=1,MAX($V$2:$V2412)+1,IF(AND($T2413&lt;&gt;"",$T2413=$T2412),$U2412,IF(C2413="x",V2412,"")))</f>
        <v/>
      </c>
      <c r="X2413" cm="1">
        <f t="array" ref="X2413">IF($I2413&lt;&gt;"",$I2413,INDEX($I$1:$I2413,ROW()-COUNTIFS($T$1:$T2413,"="&amp;$T2413,$S$1:$S2413,"&lt;"&amp;$S2413)))</f>
        <v>0</v>
      </c>
      <c r="Z2413" s="6">
        <f t="shared" si="342"/>
        <v>1</v>
      </c>
      <c r="AA2413" t="e">
        <f t="shared" si="343"/>
        <v>#VALUE!</v>
      </c>
      <c r="AB2413" t="str">
        <f t="shared" si="344"/>
        <v/>
      </c>
      <c r="AC2413" t="e">
        <f t="shared" si="345"/>
        <v>#VALUE!</v>
      </c>
    </row>
    <row r="2414" spans="1:29" x14ac:dyDescent="0.2">
      <c r="A2414" t="str">
        <f t="shared" si="346"/>
        <v/>
      </c>
      <c r="E2414" s="4"/>
      <c r="F2414" s="46"/>
      <c r="G2414" s="4"/>
      <c r="H2414" s="48"/>
      <c r="J2414" s="26" t="str">
        <f t="shared" si="347"/>
        <v/>
      </c>
      <c r="N2414" t="str">
        <f t="shared" si="348"/>
        <v/>
      </c>
      <c r="Q2414" t="str">
        <f t="shared" si="349"/>
        <v/>
      </c>
      <c r="S2414" t="str">
        <f>IF(A2414=1,MAX($S$2:$S2413)+1,IF(OR($I2414&lt;&gt;"",A2414="x"),$S2413,""))</f>
        <v/>
      </c>
      <c r="T2414" t="str">
        <f>IF(D2414=1,MAX($T$2:$T2413)+1,IF(S2414=S2413,$T2413,IF(D2414="x",T2413,IF(D2413="x","",""))))</f>
        <v/>
      </c>
      <c r="U2414" t="str">
        <f>IF(B2414=1,MAX($U$2:$U2413)+1,IF(AND($T2414&lt;&gt;"",$T2414=$T2413),$U2413,IF(B2414="x",U2413,"")))</f>
        <v/>
      </c>
      <c r="V2414" t="str">
        <f>IF(C2414=1,MAX($V$2:$V2413)+1,IF(AND($T2414&lt;&gt;"",$T2414=$T2413),$U2413,IF(C2414="x",V2413,"")))</f>
        <v/>
      </c>
      <c r="X2414" cm="1">
        <f t="array" ref="X2414">IF($I2414&lt;&gt;"",$I2414,INDEX($I$1:$I2414,ROW()-COUNTIFS($T$1:$T2414,"="&amp;$T2414,$S$1:$S2414,"&lt;"&amp;$S2414)))</f>
        <v>0</v>
      </c>
      <c r="Z2414" s="6">
        <f t="shared" si="342"/>
        <v>1</v>
      </c>
      <c r="AA2414" t="e">
        <f t="shared" si="343"/>
        <v>#VALUE!</v>
      </c>
      <c r="AB2414" t="str">
        <f t="shared" si="344"/>
        <v/>
      </c>
      <c r="AC2414" t="e">
        <f t="shared" si="345"/>
        <v>#VALUE!</v>
      </c>
    </row>
    <row r="2415" spans="1:29" x14ac:dyDescent="0.2">
      <c r="A2415" t="str">
        <f t="shared" si="346"/>
        <v/>
      </c>
      <c r="E2415" s="4"/>
      <c r="F2415" s="46"/>
      <c r="G2415" s="4"/>
      <c r="H2415" s="48"/>
      <c r="J2415" s="26" t="str">
        <f t="shared" si="347"/>
        <v/>
      </c>
      <c r="N2415" t="str">
        <f t="shared" si="348"/>
        <v/>
      </c>
      <c r="Q2415" t="str">
        <f t="shared" si="349"/>
        <v/>
      </c>
      <c r="S2415" t="str">
        <f>IF(A2415=1,MAX($S$2:$S2414)+1,IF(OR($I2415&lt;&gt;"",A2415="x"),$S2414,""))</f>
        <v/>
      </c>
      <c r="T2415" t="str">
        <f>IF(D2415=1,MAX($T$2:$T2414)+1,IF(S2415=S2414,$T2414,IF(D2415="x",T2414,IF(D2414="x","",""))))</f>
        <v/>
      </c>
      <c r="U2415" t="str">
        <f>IF(B2415=1,MAX($U$2:$U2414)+1,IF(AND($T2415&lt;&gt;"",$T2415=$T2414),$U2414,IF(B2415="x",U2414,"")))</f>
        <v/>
      </c>
      <c r="V2415" t="str">
        <f>IF(C2415=1,MAX($V$2:$V2414)+1,IF(AND($T2415&lt;&gt;"",$T2415=$T2414),$U2414,IF(C2415="x",V2414,"")))</f>
        <v/>
      </c>
      <c r="X2415" cm="1">
        <f t="array" ref="X2415">IF($I2415&lt;&gt;"",$I2415,INDEX($I$1:$I2415,ROW()-COUNTIFS($T$1:$T2415,"="&amp;$T2415,$S$1:$S2415,"&lt;"&amp;$S2415)))</f>
        <v>0</v>
      </c>
      <c r="Z2415" s="6">
        <f t="shared" si="342"/>
        <v>1</v>
      </c>
      <c r="AA2415" t="e">
        <f t="shared" si="343"/>
        <v>#VALUE!</v>
      </c>
      <c r="AB2415" t="str">
        <f t="shared" si="344"/>
        <v/>
      </c>
      <c r="AC2415" t="e">
        <f t="shared" si="345"/>
        <v>#VALUE!</v>
      </c>
    </row>
    <row r="2416" spans="1:29" x14ac:dyDescent="0.2">
      <c r="A2416" t="str">
        <f t="shared" si="346"/>
        <v/>
      </c>
      <c r="E2416" s="4"/>
      <c r="F2416" s="46"/>
      <c r="G2416" s="4"/>
      <c r="H2416" s="48"/>
      <c r="J2416" s="26" t="str">
        <f t="shared" si="347"/>
        <v/>
      </c>
      <c r="N2416" t="str">
        <f t="shared" si="348"/>
        <v/>
      </c>
      <c r="Q2416" t="str">
        <f t="shared" si="349"/>
        <v/>
      </c>
      <c r="S2416" t="str">
        <f>IF(A2416=1,MAX($S$2:$S2415)+1,IF(OR($I2416&lt;&gt;"",A2416="x"),$S2415,""))</f>
        <v/>
      </c>
      <c r="T2416" t="str">
        <f>IF(D2416=1,MAX($T$2:$T2415)+1,IF(S2416=S2415,$T2415,IF(D2416="x",T2415,IF(D2415="x","",""))))</f>
        <v/>
      </c>
      <c r="U2416" t="str">
        <f>IF(B2416=1,MAX($U$2:$U2415)+1,IF(AND($T2416&lt;&gt;"",$T2416=$T2415),$U2415,IF(B2416="x",U2415,"")))</f>
        <v/>
      </c>
      <c r="V2416" t="str">
        <f>IF(C2416=1,MAX($V$2:$V2415)+1,IF(AND($T2416&lt;&gt;"",$T2416=$T2415),$U2415,IF(C2416="x",V2415,"")))</f>
        <v/>
      </c>
      <c r="X2416" cm="1">
        <f t="array" ref="X2416">IF($I2416&lt;&gt;"",$I2416,INDEX($I$1:$I2416,ROW()-COUNTIFS($T$1:$T2416,"="&amp;$T2416,$S$1:$S2416,"&lt;"&amp;$S2416)))</f>
        <v>0</v>
      </c>
      <c r="Z2416" s="6">
        <f t="shared" si="342"/>
        <v>1</v>
      </c>
      <c r="AA2416" t="e">
        <f t="shared" si="343"/>
        <v>#VALUE!</v>
      </c>
      <c r="AB2416" t="str">
        <f t="shared" si="344"/>
        <v/>
      </c>
      <c r="AC2416" t="e">
        <f t="shared" si="345"/>
        <v>#VALUE!</v>
      </c>
    </row>
    <row r="2417" spans="1:29" x14ac:dyDescent="0.2">
      <c r="A2417" t="str">
        <f t="shared" si="346"/>
        <v/>
      </c>
      <c r="E2417" s="4"/>
      <c r="F2417" s="46"/>
      <c r="G2417" s="4"/>
      <c r="H2417" s="48"/>
      <c r="J2417" s="26" t="str">
        <f t="shared" si="347"/>
        <v/>
      </c>
      <c r="N2417" t="str">
        <f t="shared" si="348"/>
        <v/>
      </c>
      <c r="Q2417" t="str">
        <f t="shared" si="349"/>
        <v/>
      </c>
      <c r="S2417" t="str">
        <f>IF(A2417=1,MAX($S$2:$S2416)+1,IF(OR($I2417&lt;&gt;"",A2417="x"),$S2416,""))</f>
        <v/>
      </c>
      <c r="T2417" t="str">
        <f>IF(D2417=1,MAX($T$2:$T2416)+1,IF(S2417=S2416,$T2416,IF(D2417="x",T2416,IF(D2416="x","",""))))</f>
        <v/>
      </c>
      <c r="U2417" t="str">
        <f>IF(B2417=1,MAX($U$2:$U2416)+1,IF(AND($T2417&lt;&gt;"",$T2417=$T2416),$U2416,IF(B2417="x",U2416,"")))</f>
        <v/>
      </c>
      <c r="V2417" t="str">
        <f>IF(C2417=1,MAX($V$2:$V2416)+1,IF(AND($T2417&lt;&gt;"",$T2417=$T2416),$U2416,IF(C2417="x",V2416,"")))</f>
        <v/>
      </c>
      <c r="X2417" cm="1">
        <f t="array" ref="X2417">IF($I2417&lt;&gt;"",$I2417,INDEX($I$1:$I2417,ROW()-COUNTIFS($T$1:$T2417,"="&amp;$T2417,$S$1:$S2417,"&lt;"&amp;$S2417)))</f>
        <v>0</v>
      </c>
      <c r="Z2417" s="6">
        <f t="shared" si="342"/>
        <v>1</v>
      </c>
      <c r="AA2417" t="e">
        <f t="shared" si="343"/>
        <v>#VALUE!</v>
      </c>
      <c r="AB2417" t="str">
        <f t="shared" si="344"/>
        <v/>
      </c>
      <c r="AC2417" t="e">
        <f t="shared" si="345"/>
        <v>#VALUE!</v>
      </c>
    </row>
    <row r="2418" spans="1:29" x14ac:dyDescent="0.2">
      <c r="A2418" t="str">
        <f t="shared" si="346"/>
        <v/>
      </c>
      <c r="E2418" s="4"/>
      <c r="F2418" s="46"/>
      <c r="G2418" s="4"/>
      <c r="H2418" s="48"/>
      <c r="J2418" s="26" t="str">
        <f t="shared" si="347"/>
        <v/>
      </c>
      <c r="N2418" t="str">
        <f t="shared" si="348"/>
        <v/>
      </c>
      <c r="Q2418" t="str">
        <f t="shared" si="349"/>
        <v/>
      </c>
      <c r="S2418" t="str">
        <f>IF(A2418=1,MAX($S$2:$S2417)+1,IF(OR($I2418&lt;&gt;"",A2418="x"),$S2417,""))</f>
        <v/>
      </c>
      <c r="T2418" t="str">
        <f>IF(D2418=1,MAX($T$2:$T2417)+1,IF(S2418=S2417,$T2417,IF(D2418="x",T2417,IF(D2417="x","",""))))</f>
        <v/>
      </c>
      <c r="U2418" t="str">
        <f>IF(B2418=1,MAX($U$2:$U2417)+1,IF(AND($T2418&lt;&gt;"",$T2418=$T2417),$U2417,IF(B2418="x",U2417,"")))</f>
        <v/>
      </c>
      <c r="V2418" t="str">
        <f>IF(C2418=1,MAX($V$2:$V2417)+1,IF(AND($T2418&lt;&gt;"",$T2418=$T2417),$U2417,IF(C2418="x",V2417,"")))</f>
        <v/>
      </c>
      <c r="X2418" cm="1">
        <f t="array" ref="X2418">IF($I2418&lt;&gt;"",$I2418,INDEX($I$1:$I2418,ROW()-COUNTIFS($T$1:$T2418,"="&amp;$T2418,$S$1:$S2418,"&lt;"&amp;$S2418)))</f>
        <v>0</v>
      </c>
      <c r="Z2418" s="6">
        <f t="shared" si="342"/>
        <v>1</v>
      </c>
      <c r="AA2418" t="e">
        <f t="shared" si="343"/>
        <v>#VALUE!</v>
      </c>
      <c r="AB2418" t="str">
        <f t="shared" si="344"/>
        <v/>
      </c>
      <c r="AC2418" t="e">
        <f t="shared" si="345"/>
        <v>#VALUE!</v>
      </c>
    </row>
    <row r="2419" spans="1:29" x14ac:dyDescent="0.2">
      <c r="A2419" t="str">
        <f t="shared" si="346"/>
        <v/>
      </c>
      <c r="E2419" s="4"/>
      <c r="F2419" s="46"/>
      <c r="G2419" s="4"/>
      <c r="H2419" s="48"/>
      <c r="J2419" s="26" t="str">
        <f t="shared" si="347"/>
        <v/>
      </c>
      <c r="N2419" t="str">
        <f t="shared" si="348"/>
        <v/>
      </c>
      <c r="Q2419" t="str">
        <f t="shared" si="349"/>
        <v/>
      </c>
      <c r="S2419" t="str">
        <f>IF(A2419=1,MAX($S$2:$S2418)+1,IF(OR($I2419&lt;&gt;"",A2419="x"),$S2418,""))</f>
        <v/>
      </c>
      <c r="T2419" t="str">
        <f>IF(D2419=1,MAX($T$2:$T2418)+1,IF(S2419=S2418,$T2418,IF(D2419="x",T2418,IF(D2418="x","",""))))</f>
        <v/>
      </c>
      <c r="U2419" t="str">
        <f>IF(B2419=1,MAX($U$2:$U2418)+1,IF(AND($T2419&lt;&gt;"",$T2419=$T2418),$U2418,IF(B2419="x",U2418,"")))</f>
        <v/>
      </c>
      <c r="V2419" t="str">
        <f>IF(C2419=1,MAX($V$2:$V2418)+1,IF(AND($T2419&lt;&gt;"",$T2419=$T2418),$U2418,IF(C2419="x",V2418,"")))</f>
        <v/>
      </c>
      <c r="X2419" cm="1">
        <f t="array" ref="X2419">IF($I2419&lt;&gt;"",$I2419,INDEX($I$1:$I2419,ROW()-COUNTIFS($T$1:$T2419,"="&amp;$T2419,$S$1:$S2419,"&lt;"&amp;$S2419)))</f>
        <v>0</v>
      </c>
      <c r="Z2419" s="6">
        <f t="shared" si="342"/>
        <v>1</v>
      </c>
      <c r="AA2419" t="e">
        <f t="shared" si="343"/>
        <v>#VALUE!</v>
      </c>
      <c r="AB2419" t="str">
        <f t="shared" si="344"/>
        <v/>
      </c>
      <c r="AC2419" t="e">
        <f t="shared" si="345"/>
        <v>#VALUE!</v>
      </c>
    </row>
    <row r="2420" spans="1:29" x14ac:dyDescent="0.2">
      <c r="A2420" t="str">
        <f t="shared" si="346"/>
        <v/>
      </c>
      <c r="E2420" s="4"/>
      <c r="F2420" s="46"/>
      <c r="G2420" s="4"/>
      <c r="H2420" s="48"/>
      <c r="J2420" s="26" t="str">
        <f t="shared" si="347"/>
        <v/>
      </c>
      <c r="N2420" t="str">
        <f t="shared" si="348"/>
        <v/>
      </c>
      <c r="Q2420" t="str">
        <f t="shared" si="349"/>
        <v/>
      </c>
      <c r="S2420" t="str">
        <f>IF(A2420=1,MAX($S$2:$S2419)+1,IF(OR($I2420&lt;&gt;"",A2420="x"),$S2419,""))</f>
        <v/>
      </c>
      <c r="T2420" t="str">
        <f>IF(D2420=1,MAX($T$2:$T2419)+1,IF(S2420=S2419,$T2419,IF(D2420="x",T2419,IF(D2419="x","",""))))</f>
        <v/>
      </c>
      <c r="U2420" t="str">
        <f>IF(B2420=1,MAX($U$2:$U2419)+1,IF(AND($T2420&lt;&gt;"",$T2420=$T2419),$U2419,IF(B2420="x",U2419,"")))</f>
        <v/>
      </c>
      <c r="V2420" t="str">
        <f>IF(C2420=1,MAX($V$2:$V2419)+1,IF(AND($T2420&lt;&gt;"",$T2420=$T2419),$U2419,IF(C2420="x",V2419,"")))</f>
        <v/>
      </c>
      <c r="X2420" cm="1">
        <f t="array" ref="X2420">IF($I2420&lt;&gt;"",$I2420,INDEX($I$1:$I2420,ROW()-COUNTIFS($T$1:$T2420,"="&amp;$T2420,$S$1:$S2420,"&lt;"&amp;$S2420)))</f>
        <v>0</v>
      </c>
      <c r="Z2420" s="6">
        <f t="shared" si="342"/>
        <v>1</v>
      </c>
      <c r="AA2420" t="e">
        <f t="shared" si="343"/>
        <v>#VALUE!</v>
      </c>
      <c r="AB2420" t="str">
        <f t="shared" si="344"/>
        <v/>
      </c>
      <c r="AC2420" t="e">
        <f t="shared" si="345"/>
        <v>#VALUE!</v>
      </c>
    </row>
    <row r="2421" spans="1:29" x14ac:dyDescent="0.2">
      <c r="A2421" t="str">
        <f t="shared" si="346"/>
        <v/>
      </c>
      <c r="E2421" s="4"/>
      <c r="F2421" s="46"/>
      <c r="G2421" s="4"/>
      <c r="H2421" s="48"/>
      <c r="J2421" s="26" t="str">
        <f t="shared" si="347"/>
        <v/>
      </c>
      <c r="N2421" t="str">
        <f t="shared" si="348"/>
        <v/>
      </c>
      <c r="Q2421" t="str">
        <f t="shared" si="349"/>
        <v/>
      </c>
      <c r="S2421" t="str">
        <f>IF(A2421=1,MAX($S$2:$S2420)+1,IF(OR($I2421&lt;&gt;"",A2421="x"),$S2420,""))</f>
        <v/>
      </c>
      <c r="T2421" t="str">
        <f>IF(D2421=1,MAX($T$2:$T2420)+1,IF(S2421=S2420,$T2420,IF(D2421="x",T2420,IF(D2420="x","",""))))</f>
        <v/>
      </c>
      <c r="U2421" t="str">
        <f>IF(B2421=1,MAX($U$2:$U2420)+1,IF(AND($T2421&lt;&gt;"",$T2421=$T2420),$U2420,IF(B2421="x",U2420,"")))</f>
        <v/>
      </c>
      <c r="V2421" t="str">
        <f>IF(C2421=1,MAX($V$2:$V2420)+1,IF(AND($T2421&lt;&gt;"",$T2421=$T2420),$U2420,IF(C2421="x",V2420,"")))</f>
        <v/>
      </c>
      <c r="X2421" cm="1">
        <f t="array" ref="X2421">IF($I2421&lt;&gt;"",$I2421,INDEX($I$1:$I2421,ROW()-COUNTIFS($T$1:$T2421,"="&amp;$T2421,$S$1:$S2421,"&lt;"&amp;$S2421)))</f>
        <v>0</v>
      </c>
      <c r="Z2421" s="6">
        <f t="shared" si="342"/>
        <v>1</v>
      </c>
      <c r="AA2421" t="e">
        <f t="shared" si="343"/>
        <v>#VALUE!</v>
      </c>
      <c r="AB2421" t="str">
        <f t="shared" si="344"/>
        <v/>
      </c>
      <c r="AC2421" t="e">
        <f t="shared" si="345"/>
        <v>#VALUE!</v>
      </c>
    </row>
    <row r="2422" spans="1:29" x14ac:dyDescent="0.2">
      <c r="A2422" t="str">
        <f t="shared" si="346"/>
        <v/>
      </c>
      <c r="E2422" s="4"/>
      <c r="F2422" s="46"/>
      <c r="G2422" s="4"/>
      <c r="H2422" s="48"/>
      <c r="J2422" s="26" t="str">
        <f t="shared" si="347"/>
        <v/>
      </c>
      <c r="N2422" t="str">
        <f t="shared" si="348"/>
        <v/>
      </c>
      <c r="Q2422" t="str">
        <f t="shared" si="349"/>
        <v/>
      </c>
      <c r="S2422" t="str">
        <f>IF(A2422=1,MAX($S$2:$S2421)+1,IF(OR($I2422&lt;&gt;"",A2422="x"),$S2421,""))</f>
        <v/>
      </c>
      <c r="T2422" t="str">
        <f>IF(D2422=1,MAX($T$2:$T2421)+1,IF(S2422=S2421,$T2421,IF(D2422="x",T2421,IF(D2421="x","",""))))</f>
        <v/>
      </c>
      <c r="U2422" t="str">
        <f>IF(B2422=1,MAX($U$2:$U2421)+1,IF(AND($T2422&lt;&gt;"",$T2422=$T2421),$U2421,IF(B2422="x",U2421,"")))</f>
        <v/>
      </c>
      <c r="V2422" t="str">
        <f>IF(C2422=1,MAX($V$2:$V2421)+1,IF(AND($T2422&lt;&gt;"",$T2422=$T2421),$U2421,IF(C2422="x",V2421,"")))</f>
        <v/>
      </c>
      <c r="X2422" cm="1">
        <f t="array" ref="X2422">IF($I2422&lt;&gt;"",$I2422,INDEX($I$1:$I2422,ROW()-COUNTIFS($T$1:$T2422,"="&amp;$T2422,$S$1:$S2422,"&lt;"&amp;$S2422)))</f>
        <v>0</v>
      </c>
      <c r="Z2422" s="6">
        <f t="shared" si="342"/>
        <v>1</v>
      </c>
      <c r="AA2422" t="e">
        <f t="shared" si="343"/>
        <v>#VALUE!</v>
      </c>
      <c r="AB2422" t="str">
        <f t="shared" si="344"/>
        <v/>
      </c>
      <c r="AC2422" t="e">
        <f t="shared" si="345"/>
        <v>#VALUE!</v>
      </c>
    </row>
    <row r="2423" spans="1:29" x14ac:dyDescent="0.2">
      <c r="A2423" t="str">
        <f t="shared" si="346"/>
        <v/>
      </c>
      <c r="E2423" s="4"/>
      <c r="F2423" s="46"/>
      <c r="G2423" s="4"/>
      <c r="H2423" s="48"/>
      <c r="J2423" s="26" t="str">
        <f t="shared" si="347"/>
        <v/>
      </c>
      <c r="N2423" t="str">
        <f t="shared" si="348"/>
        <v/>
      </c>
      <c r="Q2423" t="str">
        <f t="shared" si="349"/>
        <v/>
      </c>
      <c r="S2423" t="str">
        <f>IF(A2423=1,MAX($S$2:$S2422)+1,IF(OR($I2423&lt;&gt;"",A2423="x"),$S2422,""))</f>
        <v/>
      </c>
      <c r="T2423" t="str">
        <f>IF(D2423=1,MAX($T$2:$T2422)+1,IF(S2423=S2422,$T2422,IF(D2423="x",T2422,IF(D2422="x","",""))))</f>
        <v/>
      </c>
      <c r="U2423" t="str">
        <f>IF(B2423=1,MAX($U$2:$U2422)+1,IF(AND($T2423&lt;&gt;"",$T2423=$T2422),$U2422,IF(B2423="x",U2422,"")))</f>
        <v/>
      </c>
      <c r="V2423" t="str">
        <f>IF(C2423=1,MAX($V$2:$V2422)+1,IF(AND($T2423&lt;&gt;"",$T2423=$T2422),$U2422,IF(C2423="x",V2422,"")))</f>
        <v/>
      </c>
      <c r="X2423" cm="1">
        <f t="array" ref="X2423">IF($I2423&lt;&gt;"",$I2423,INDEX($I$1:$I2423,ROW()-COUNTIFS($T$1:$T2423,"="&amp;$T2423,$S$1:$S2423,"&lt;"&amp;$S2423)))</f>
        <v>0</v>
      </c>
      <c r="Z2423" s="6">
        <f t="shared" si="342"/>
        <v>1</v>
      </c>
      <c r="AA2423" t="e">
        <f t="shared" si="343"/>
        <v>#VALUE!</v>
      </c>
      <c r="AB2423" t="str">
        <f t="shared" si="344"/>
        <v/>
      </c>
      <c r="AC2423" t="e">
        <f t="shared" si="345"/>
        <v>#VALUE!</v>
      </c>
    </row>
    <row r="2424" spans="1:29" x14ac:dyDescent="0.2">
      <c r="A2424" t="str">
        <f t="shared" si="346"/>
        <v/>
      </c>
      <c r="E2424" s="4"/>
      <c r="F2424" s="46"/>
      <c r="G2424" s="4"/>
      <c r="H2424" s="48"/>
      <c r="J2424" s="26" t="str">
        <f t="shared" si="347"/>
        <v/>
      </c>
      <c r="N2424" t="str">
        <f t="shared" si="348"/>
        <v/>
      </c>
      <c r="Q2424" t="str">
        <f t="shared" si="349"/>
        <v/>
      </c>
      <c r="S2424" t="str">
        <f>IF(A2424=1,MAX($S$2:$S2423)+1,IF(OR($I2424&lt;&gt;"",A2424="x"),$S2423,""))</f>
        <v/>
      </c>
      <c r="T2424" t="str">
        <f>IF(D2424=1,MAX($T$2:$T2423)+1,IF(S2424=S2423,$T2423,IF(D2424="x",T2423,IF(D2423="x","",""))))</f>
        <v/>
      </c>
      <c r="U2424" t="str">
        <f>IF(B2424=1,MAX($U$2:$U2423)+1,IF(AND($T2424&lt;&gt;"",$T2424=$T2423),$U2423,IF(B2424="x",U2423,"")))</f>
        <v/>
      </c>
      <c r="V2424" t="str">
        <f>IF(C2424=1,MAX($V$2:$V2423)+1,IF(AND($T2424&lt;&gt;"",$T2424=$T2423),$U2423,IF(C2424="x",V2423,"")))</f>
        <v/>
      </c>
      <c r="X2424" cm="1">
        <f t="array" ref="X2424">IF($I2424&lt;&gt;"",$I2424,INDEX($I$1:$I2424,ROW()-COUNTIFS($T$1:$T2424,"="&amp;$T2424,$S$1:$S2424,"&lt;"&amp;$S2424)))</f>
        <v>0</v>
      </c>
      <c r="Z2424" s="6">
        <f t="shared" si="342"/>
        <v>1</v>
      </c>
      <c r="AA2424" t="e">
        <f t="shared" si="343"/>
        <v>#VALUE!</v>
      </c>
      <c r="AB2424" t="str">
        <f t="shared" si="344"/>
        <v/>
      </c>
      <c r="AC2424" t="e">
        <f t="shared" si="345"/>
        <v>#VALUE!</v>
      </c>
    </row>
    <row r="2425" spans="1:29" x14ac:dyDescent="0.2">
      <c r="A2425" t="str">
        <f t="shared" si="346"/>
        <v/>
      </c>
      <c r="E2425" s="4"/>
      <c r="F2425" s="46"/>
      <c r="G2425" s="4"/>
      <c r="H2425" s="48"/>
      <c r="J2425" s="26" t="str">
        <f t="shared" si="347"/>
        <v/>
      </c>
      <c r="N2425" t="str">
        <f t="shared" si="348"/>
        <v/>
      </c>
      <c r="Q2425" t="str">
        <f t="shared" si="349"/>
        <v/>
      </c>
      <c r="S2425" t="str">
        <f>IF(A2425=1,MAX($S$2:$S2424)+1,IF(OR($I2425&lt;&gt;"",A2425="x"),$S2424,""))</f>
        <v/>
      </c>
      <c r="T2425" t="str">
        <f>IF(D2425=1,MAX($T$2:$T2424)+1,IF(S2425=S2424,$T2424,IF(D2425="x",T2424,IF(D2424="x","",""))))</f>
        <v/>
      </c>
      <c r="U2425" t="str">
        <f>IF(B2425=1,MAX($U$2:$U2424)+1,IF(AND($T2425&lt;&gt;"",$T2425=$T2424),$U2424,IF(B2425="x",U2424,"")))</f>
        <v/>
      </c>
      <c r="V2425" t="str">
        <f>IF(C2425=1,MAX($V$2:$V2424)+1,IF(AND($T2425&lt;&gt;"",$T2425=$T2424),$U2424,IF(C2425="x",V2424,"")))</f>
        <v/>
      </c>
      <c r="X2425" cm="1">
        <f t="array" ref="X2425">IF($I2425&lt;&gt;"",$I2425,INDEX($I$1:$I2425,ROW()-COUNTIFS($T$1:$T2425,"="&amp;$T2425,$S$1:$S2425,"&lt;"&amp;$S2425)))</f>
        <v>0</v>
      </c>
      <c r="Z2425" s="6">
        <f t="shared" si="342"/>
        <v>1</v>
      </c>
      <c r="AA2425" t="e">
        <f t="shared" si="343"/>
        <v>#VALUE!</v>
      </c>
      <c r="AB2425" t="str">
        <f t="shared" si="344"/>
        <v/>
      </c>
      <c r="AC2425" t="e">
        <f t="shared" si="345"/>
        <v>#VALUE!</v>
      </c>
    </row>
    <row r="2426" spans="1:29" x14ac:dyDescent="0.2">
      <c r="A2426" t="str">
        <f t="shared" si="346"/>
        <v/>
      </c>
      <c r="E2426" s="4"/>
      <c r="F2426" s="46"/>
      <c r="G2426" s="4"/>
      <c r="H2426" s="48"/>
      <c r="J2426" s="26" t="str">
        <f t="shared" si="347"/>
        <v/>
      </c>
      <c r="N2426" t="str">
        <f t="shared" si="348"/>
        <v/>
      </c>
      <c r="Q2426" t="str">
        <f t="shared" si="349"/>
        <v/>
      </c>
      <c r="S2426" t="str">
        <f>IF(A2426=1,MAX($S$2:$S2425)+1,IF(OR($I2426&lt;&gt;"",A2426="x"),$S2425,""))</f>
        <v/>
      </c>
      <c r="T2426" t="str">
        <f>IF(D2426=1,MAX($T$2:$T2425)+1,IF(S2426=S2425,$T2425,IF(D2426="x",T2425,IF(D2425="x","",""))))</f>
        <v/>
      </c>
      <c r="U2426" t="str">
        <f>IF(B2426=1,MAX($U$2:$U2425)+1,IF(AND($T2426&lt;&gt;"",$T2426=$T2425),$U2425,IF(B2426="x",U2425,"")))</f>
        <v/>
      </c>
      <c r="V2426" t="str">
        <f>IF(C2426=1,MAX($V$2:$V2425)+1,IF(AND($T2426&lt;&gt;"",$T2426=$T2425),$U2425,IF(C2426="x",V2425,"")))</f>
        <v/>
      </c>
      <c r="X2426" cm="1">
        <f t="array" ref="X2426">IF($I2426&lt;&gt;"",$I2426,INDEX($I$1:$I2426,ROW()-COUNTIFS($T$1:$T2426,"="&amp;$T2426,$S$1:$S2426,"&lt;"&amp;$S2426)))</f>
        <v>0</v>
      </c>
      <c r="Z2426" s="6">
        <f t="shared" si="342"/>
        <v>1</v>
      </c>
      <c r="AA2426" t="e">
        <f t="shared" si="343"/>
        <v>#VALUE!</v>
      </c>
      <c r="AB2426" t="str">
        <f t="shared" si="344"/>
        <v/>
      </c>
      <c r="AC2426" t="e">
        <f t="shared" si="345"/>
        <v>#VALUE!</v>
      </c>
    </row>
    <row r="2427" spans="1:29" x14ac:dyDescent="0.2">
      <c r="A2427" t="str">
        <f t="shared" si="346"/>
        <v/>
      </c>
      <c r="E2427" s="4"/>
      <c r="F2427" s="46"/>
      <c r="G2427" s="4"/>
      <c r="H2427" s="48"/>
      <c r="J2427" s="26" t="str">
        <f t="shared" si="347"/>
        <v/>
      </c>
      <c r="N2427" t="str">
        <f t="shared" si="348"/>
        <v/>
      </c>
      <c r="Q2427" t="str">
        <f t="shared" si="349"/>
        <v/>
      </c>
      <c r="S2427" t="str">
        <f>IF(A2427=1,MAX($S$2:$S2426)+1,IF(OR($I2427&lt;&gt;"",A2427="x"),$S2426,""))</f>
        <v/>
      </c>
      <c r="T2427" t="str">
        <f>IF(D2427=1,MAX($T$2:$T2426)+1,IF(S2427=S2426,$T2426,IF(D2427="x",T2426,IF(D2426="x","",""))))</f>
        <v/>
      </c>
      <c r="U2427" t="str">
        <f>IF(B2427=1,MAX($U$2:$U2426)+1,IF(AND($T2427&lt;&gt;"",$T2427=$T2426),$U2426,IF(B2427="x",U2426,"")))</f>
        <v/>
      </c>
      <c r="V2427" t="str">
        <f>IF(C2427=1,MAX($V$2:$V2426)+1,IF(AND($T2427&lt;&gt;"",$T2427=$T2426),$U2426,IF(C2427="x",V2426,"")))</f>
        <v/>
      </c>
      <c r="X2427" cm="1">
        <f t="array" ref="X2427">IF($I2427&lt;&gt;"",$I2427,INDEX($I$1:$I2427,ROW()-COUNTIFS($T$1:$T2427,"="&amp;$T2427,$S$1:$S2427,"&lt;"&amp;$S2427)))</f>
        <v>0</v>
      </c>
      <c r="Z2427" s="6">
        <f t="shared" si="342"/>
        <v>1</v>
      </c>
      <c r="AA2427" t="e">
        <f t="shared" si="343"/>
        <v>#VALUE!</v>
      </c>
      <c r="AB2427" t="str">
        <f t="shared" si="344"/>
        <v/>
      </c>
      <c r="AC2427" t="e">
        <f t="shared" si="345"/>
        <v>#VALUE!</v>
      </c>
    </row>
    <row r="2428" spans="1:29" x14ac:dyDescent="0.2">
      <c r="A2428" t="str">
        <f t="shared" si="346"/>
        <v/>
      </c>
      <c r="E2428" s="4"/>
      <c r="F2428" s="46"/>
      <c r="G2428" s="4"/>
      <c r="H2428" s="48"/>
      <c r="J2428" s="26" t="str">
        <f t="shared" si="347"/>
        <v/>
      </c>
      <c r="N2428" t="str">
        <f t="shared" si="348"/>
        <v/>
      </c>
      <c r="Q2428" t="str">
        <f t="shared" si="349"/>
        <v/>
      </c>
      <c r="S2428" t="str">
        <f>IF(A2428=1,MAX($S$2:$S2427)+1,IF(OR($I2428&lt;&gt;"",A2428="x"),$S2427,""))</f>
        <v/>
      </c>
      <c r="T2428" t="str">
        <f>IF(D2428=1,MAX($T$2:$T2427)+1,IF(S2428=S2427,$T2427,IF(D2428="x",T2427,IF(D2427="x","",""))))</f>
        <v/>
      </c>
      <c r="U2428" t="str">
        <f>IF(B2428=1,MAX($U$2:$U2427)+1,IF(AND($T2428&lt;&gt;"",$T2428=$T2427),$U2427,IF(B2428="x",U2427,"")))</f>
        <v/>
      </c>
      <c r="V2428" t="str">
        <f>IF(C2428=1,MAX($V$2:$V2427)+1,IF(AND($T2428&lt;&gt;"",$T2428=$T2427),$U2427,IF(C2428="x",V2427,"")))</f>
        <v/>
      </c>
      <c r="X2428" cm="1">
        <f t="array" ref="X2428">IF($I2428&lt;&gt;"",$I2428,INDEX($I$1:$I2428,ROW()-COUNTIFS($T$1:$T2428,"="&amp;$T2428,$S$1:$S2428,"&lt;"&amp;$S2428)))</f>
        <v>0</v>
      </c>
      <c r="Z2428" s="6">
        <f t="shared" si="342"/>
        <v>1</v>
      </c>
      <c r="AA2428" t="e">
        <f t="shared" si="343"/>
        <v>#VALUE!</v>
      </c>
      <c r="AB2428" t="str">
        <f t="shared" si="344"/>
        <v/>
      </c>
      <c r="AC2428" t="e">
        <f t="shared" si="345"/>
        <v>#VALUE!</v>
      </c>
    </row>
    <row r="2429" spans="1:29" x14ac:dyDescent="0.2">
      <c r="A2429" t="str">
        <f t="shared" si="346"/>
        <v/>
      </c>
      <c r="E2429" s="4"/>
      <c r="F2429" s="46"/>
      <c r="G2429" s="4"/>
      <c r="H2429" s="48"/>
      <c r="J2429" s="26" t="str">
        <f t="shared" si="347"/>
        <v/>
      </c>
      <c r="N2429" t="str">
        <f t="shared" si="348"/>
        <v/>
      </c>
      <c r="Q2429" t="str">
        <f t="shared" si="349"/>
        <v/>
      </c>
      <c r="S2429" t="str">
        <f>IF(A2429=1,MAX($S$2:$S2428)+1,IF(OR($I2429&lt;&gt;"",A2429="x"),$S2428,""))</f>
        <v/>
      </c>
      <c r="T2429" t="str">
        <f>IF(D2429=1,MAX($T$2:$T2428)+1,IF(S2429=S2428,$T2428,IF(D2429="x",T2428,IF(D2428="x","",""))))</f>
        <v/>
      </c>
      <c r="U2429" t="str">
        <f>IF(B2429=1,MAX($U$2:$U2428)+1,IF(AND($T2429&lt;&gt;"",$T2429=$T2428),$U2428,IF(B2429="x",U2428,"")))</f>
        <v/>
      </c>
      <c r="V2429" t="str">
        <f>IF(C2429=1,MAX($V$2:$V2428)+1,IF(AND($T2429&lt;&gt;"",$T2429=$T2428),$U2428,IF(C2429="x",V2428,"")))</f>
        <v/>
      </c>
      <c r="X2429" cm="1">
        <f t="array" ref="X2429">IF($I2429&lt;&gt;"",$I2429,INDEX($I$1:$I2429,ROW()-COUNTIFS($T$1:$T2429,"="&amp;$T2429,$S$1:$S2429,"&lt;"&amp;$S2429)))</f>
        <v>0</v>
      </c>
      <c r="Z2429" s="6">
        <f t="shared" si="342"/>
        <v>1</v>
      </c>
      <c r="AA2429" t="e">
        <f t="shared" si="343"/>
        <v>#VALUE!</v>
      </c>
      <c r="AB2429" t="str">
        <f t="shared" si="344"/>
        <v/>
      </c>
      <c r="AC2429" t="e">
        <f t="shared" si="345"/>
        <v>#VALUE!</v>
      </c>
    </row>
    <row r="2430" spans="1:29" x14ac:dyDescent="0.2">
      <c r="A2430" t="str">
        <f t="shared" si="346"/>
        <v/>
      </c>
      <c r="E2430" s="4"/>
      <c r="F2430" s="46"/>
      <c r="G2430" s="4"/>
      <c r="H2430" s="48"/>
      <c r="J2430" s="26" t="str">
        <f t="shared" si="347"/>
        <v/>
      </c>
      <c r="N2430" t="str">
        <f t="shared" si="348"/>
        <v/>
      </c>
      <c r="Q2430" t="str">
        <f t="shared" si="349"/>
        <v/>
      </c>
      <c r="S2430" t="str">
        <f>IF(A2430=1,MAX($S$2:$S2429)+1,IF(OR($I2430&lt;&gt;"",A2430="x"),$S2429,""))</f>
        <v/>
      </c>
      <c r="T2430" t="str">
        <f>IF(D2430=1,MAX($T$2:$T2429)+1,IF(S2430=S2429,$T2429,IF(D2430="x",T2429,IF(D2429="x","",""))))</f>
        <v/>
      </c>
      <c r="U2430" t="str">
        <f>IF(B2430=1,MAX($U$2:$U2429)+1,IF(AND($T2430&lt;&gt;"",$T2430=$T2429),$U2429,IF(B2430="x",U2429,"")))</f>
        <v/>
      </c>
      <c r="V2430" t="str">
        <f>IF(C2430=1,MAX($V$2:$V2429)+1,IF(AND($T2430&lt;&gt;"",$T2430=$T2429),$U2429,IF(C2430="x",V2429,"")))</f>
        <v/>
      </c>
      <c r="X2430" cm="1">
        <f t="array" ref="X2430">IF($I2430&lt;&gt;"",$I2430,INDEX($I$1:$I2430,ROW()-COUNTIFS($T$1:$T2430,"="&amp;$T2430,$S$1:$S2430,"&lt;"&amp;$S2430)))</f>
        <v>0</v>
      </c>
      <c r="Z2430" s="6">
        <f t="shared" si="342"/>
        <v>1</v>
      </c>
      <c r="AA2430" t="e">
        <f t="shared" si="343"/>
        <v>#VALUE!</v>
      </c>
      <c r="AB2430" t="str">
        <f t="shared" si="344"/>
        <v/>
      </c>
      <c r="AC2430" t="e">
        <f t="shared" si="345"/>
        <v>#VALUE!</v>
      </c>
    </row>
    <row r="2431" spans="1:29" x14ac:dyDescent="0.2">
      <c r="A2431" t="str">
        <f t="shared" si="346"/>
        <v/>
      </c>
      <c r="E2431" s="4"/>
      <c r="F2431" s="46"/>
      <c r="G2431" s="4"/>
      <c r="H2431" s="48"/>
      <c r="J2431" s="26" t="str">
        <f t="shared" si="347"/>
        <v/>
      </c>
      <c r="N2431" t="str">
        <f t="shared" si="348"/>
        <v/>
      </c>
      <c r="Q2431" t="str">
        <f t="shared" si="349"/>
        <v/>
      </c>
      <c r="S2431" t="str">
        <f>IF(A2431=1,MAX($S$2:$S2430)+1,IF(OR($I2431&lt;&gt;"",A2431="x"),$S2430,""))</f>
        <v/>
      </c>
      <c r="T2431" t="str">
        <f>IF(D2431=1,MAX($T$2:$T2430)+1,IF(S2431=S2430,$T2430,IF(D2431="x",T2430,IF(D2430="x","",""))))</f>
        <v/>
      </c>
      <c r="U2431" t="str">
        <f>IF(B2431=1,MAX($U$2:$U2430)+1,IF(AND($T2431&lt;&gt;"",$T2431=$T2430),$U2430,IF(B2431="x",U2430,"")))</f>
        <v/>
      </c>
      <c r="V2431" t="str">
        <f>IF(C2431=1,MAX($V$2:$V2430)+1,IF(AND($T2431&lt;&gt;"",$T2431=$T2430),$U2430,IF(C2431="x",V2430,"")))</f>
        <v/>
      </c>
      <c r="X2431" cm="1">
        <f t="array" ref="X2431">IF($I2431&lt;&gt;"",$I2431,INDEX($I$1:$I2431,ROW()-COUNTIFS($T$1:$T2431,"="&amp;$T2431,$S$1:$S2431,"&lt;"&amp;$S2431)))</f>
        <v>0</v>
      </c>
      <c r="Z2431" s="6">
        <f t="shared" si="342"/>
        <v>1</v>
      </c>
      <c r="AA2431" t="e">
        <f t="shared" si="343"/>
        <v>#VALUE!</v>
      </c>
      <c r="AB2431" t="str">
        <f t="shared" si="344"/>
        <v/>
      </c>
      <c r="AC2431" t="e">
        <f t="shared" si="345"/>
        <v>#VALUE!</v>
      </c>
    </row>
    <row r="2432" spans="1:29" x14ac:dyDescent="0.2">
      <c r="A2432" t="str">
        <f t="shared" si="346"/>
        <v/>
      </c>
      <c r="E2432" s="4"/>
      <c r="F2432" s="46"/>
      <c r="G2432" s="4"/>
      <c r="H2432" s="48"/>
      <c r="J2432" s="26" t="str">
        <f t="shared" si="347"/>
        <v/>
      </c>
      <c r="N2432" t="str">
        <f t="shared" si="348"/>
        <v/>
      </c>
      <c r="Q2432" t="str">
        <f t="shared" si="349"/>
        <v/>
      </c>
      <c r="S2432" t="str">
        <f>IF(A2432=1,MAX($S$2:$S2431)+1,IF(OR($I2432&lt;&gt;"",A2432="x"),$S2431,""))</f>
        <v/>
      </c>
      <c r="T2432" t="str">
        <f>IF(D2432=1,MAX($T$2:$T2431)+1,IF(S2432=S2431,$T2431,IF(D2432="x",T2431,IF(D2431="x","",""))))</f>
        <v/>
      </c>
      <c r="U2432" t="str">
        <f>IF(B2432=1,MAX($U$2:$U2431)+1,IF(AND($T2432&lt;&gt;"",$T2432=$T2431),$U2431,IF(B2432="x",U2431,"")))</f>
        <v/>
      </c>
      <c r="V2432" t="str">
        <f>IF(C2432=1,MAX($V$2:$V2431)+1,IF(AND($T2432&lt;&gt;"",$T2432=$T2431),$U2431,IF(C2432="x",V2431,"")))</f>
        <v/>
      </c>
      <c r="X2432" cm="1">
        <f t="array" ref="X2432">IF($I2432&lt;&gt;"",$I2432,INDEX($I$1:$I2432,ROW()-COUNTIFS($T$1:$T2432,"="&amp;$T2432,$S$1:$S2432,"&lt;"&amp;$S2432)))</f>
        <v>0</v>
      </c>
      <c r="Z2432" s="6">
        <f t="shared" si="342"/>
        <v>1</v>
      </c>
      <c r="AA2432" t="e">
        <f t="shared" si="343"/>
        <v>#VALUE!</v>
      </c>
      <c r="AB2432" t="str">
        <f t="shared" si="344"/>
        <v/>
      </c>
      <c r="AC2432" t="e">
        <f t="shared" si="345"/>
        <v>#VALUE!</v>
      </c>
    </row>
    <row r="2433" spans="1:29" x14ac:dyDescent="0.2">
      <c r="A2433" t="str">
        <f t="shared" si="346"/>
        <v/>
      </c>
      <c r="E2433" s="4"/>
      <c r="F2433" s="46"/>
      <c r="G2433" s="4"/>
      <c r="H2433" s="48"/>
      <c r="J2433" s="26" t="str">
        <f t="shared" si="347"/>
        <v/>
      </c>
      <c r="N2433" t="str">
        <f t="shared" si="348"/>
        <v/>
      </c>
      <c r="Q2433" t="str">
        <f t="shared" si="349"/>
        <v/>
      </c>
      <c r="S2433" t="str">
        <f>IF(A2433=1,MAX($S$2:$S2432)+1,IF(OR($I2433&lt;&gt;"",A2433="x"),$S2432,""))</f>
        <v/>
      </c>
      <c r="T2433" t="str">
        <f>IF(D2433=1,MAX($T$2:$T2432)+1,IF(S2433=S2432,$T2432,IF(D2433="x",T2432,IF(D2432="x","",""))))</f>
        <v/>
      </c>
      <c r="U2433" t="str">
        <f>IF(B2433=1,MAX($U$2:$U2432)+1,IF(AND($T2433&lt;&gt;"",$T2433=$T2432),$U2432,IF(B2433="x",U2432,"")))</f>
        <v/>
      </c>
      <c r="V2433" t="str">
        <f>IF(C2433=1,MAX($V$2:$V2432)+1,IF(AND($T2433&lt;&gt;"",$T2433=$T2432),$U2432,IF(C2433="x",V2432,"")))</f>
        <v/>
      </c>
      <c r="X2433" cm="1">
        <f t="array" ref="X2433">IF($I2433&lt;&gt;"",$I2433,INDEX($I$1:$I2433,ROW()-COUNTIFS($T$1:$T2433,"="&amp;$T2433,$S$1:$S2433,"&lt;"&amp;$S2433)))</f>
        <v>0</v>
      </c>
      <c r="Z2433" s="6">
        <f t="shared" si="342"/>
        <v>1</v>
      </c>
      <c r="AA2433" t="e">
        <f t="shared" si="343"/>
        <v>#VALUE!</v>
      </c>
      <c r="AB2433" t="str">
        <f t="shared" si="344"/>
        <v/>
      </c>
      <c r="AC2433" t="e">
        <f t="shared" si="345"/>
        <v>#VALUE!</v>
      </c>
    </row>
    <row r="2434" spans="1:29" x14ac:dyDescent="0.2">
      <c r="A2434" t="str">
        <f t="shared" si="346"/>
        <v/>
      </c>
      <c r="E2434" s="4"/>
      <c r="F2434" s="46"/>
      <c r="G2434" s="4"/>
      <c r="H2434" s="48"/>
      <c r="J2434" s="26" t="str">
        <f t="shared" si="347"/>
        <v/>
      </c>
      <c r="N2434" t="str">
        <f t="shared" si="348"/>
        <v/>
      </c>
      <c r="Q2434" t="str">
        <f t="shared" si="349"/>
        <v/>
      </c>
      <c r="S2434" t="str">
        <f>IF(A2434=1,MAX($S$2:$S2433)+1,IF(OR($I2434&lt;&gt;"",A2434="x"),$S2433,""))</f>
        <v/>
      </c>
      <c r="T2434" t="str">
        <f>IF(D2434=1,MAX($T$2:$T2433)+1,IF(S2434=S2433,$T2433,IF(D2434="x",T2433,IF(D2433="x","",""))))</f>
        <v/>
      </c>
      <c r="U2434" t="str">
        <f>IF(B2434=1,MAX($U$2:$U2433)+1,IF(AND($T2434&lt;&gt;"",$T2434=$T2433),$U2433,IF(B2434="x",U2433,"")))</f>
        <v/>
      </c>
      <c r="V2434" t="str">
        <f>IF(C2434=1,MAX($V$2:$V2433)+1,IF(AND($T2434&lt;&gt;"",$T2434=$T2433),$U2433,IF(C2434="x",V2433,"")))</f>
        <v/>
      </c>
      <c r="X2434" cm="1">
        <f t="array" ref="X2434">IF($I2434&lt;&gt;"",$I2434,INDEX($I$1:$I2434,ROW()-COUNTIFS($T$1:$T2434,"="&amp;$T2434,$S$1:$S2434,"&lt;"&amp;$S2434)))</f>
        <v>0</v>
      </c>
      <c r="Z2434" s="6">
        <f t="shared" si="342"/>
        <v>1</v>
      </c>
      <c r="AA2434" t="e">
        <f t="shared" si="343"/>
        <v>#VALUE!</v>
      </c>
      <c r="AB2434" t="str">
        <f t="shared" si="344"/>
        <v/>
      </c>
      <c r="AC2434" t="e">
        <f t="shared" si="345"/>
        <v>#VALUE!</v>
      </c>
    </row>
    <row r="2435" spans="1:29" x14ac:dyDescent="0.2">
      <c r="A2435" t="str">
        <f t="shared" si="346"/>
        <v/>
      </c>
      <c r="E2435" s="4"/>
      <c r="F2435" s="46"/>
      <c r="G2435" s="4"/>
      <c r="H2435" s="48"/>
      <c r="J2435" s="26" t="str">
        <f t="shared" si="347"/>
        <v/>
      </c>
      <c r="N2435" t="str">
        <f t="shared" si="348"/>
        <v/>
      </c>
      <c r="Q2435" t="str">
        <f t="shared" si="349"/>
        <v/>
      </c>
      <c r="S2435" t="str">
        <f>IF(A2435=1,MAX($S$2:$S2434)+1,IF(OR($I2435&lt;&gt;"",A2435="x"),$S2434,""))</f>
        <v/>
      </c>
      <c r="T2435" t="str">
        <f>IF(D2435=1,MAX($T$2:$T2434)+1,IF(S2435=S2434,$T2434,IF(D2435="x",T2434,IF(D2434="x","",""))))</f>
        <v/>
      </c>
      <c r="U2435" t="str">
        <f>IF(B2435=1,MAX($U$2:$U2434)+1,IF(AND($T2435&lt;&gt;"",$T2435=$T2434),$U2434,IF(B2435="x",U2434,"")))</f>
        <v/>
      </c>
      <c r="V2435" t="str">
        <f>IF(C2435=1,MAX($V$2:$V2434)+1,IF(AND($T2435&lt;&gt;"",$T2435=$T2434),$U2434,IF(C2435="x",V2434,"")))</f>
        <v/>
      </c>
      <c r="X2435" cm="1">
        <f t="array" ref="X2435">IF($I2435&lt;&gt;"",$I2435,INDEX($I$1:$I2435,ROW()-COUNTIFS($T$1:$T2435,"="&amp;$T2435,$S$1:$S2435,"&lt;"&amp;$S2435)))</f>
        <v>0</v>
      </c>
      <c r="Z2435" s="6">
        <f t="shared" si="342"/>
        <v>1</v>
      </c>
      <c r="AA2435" t="e">
        <f t="shared" si="343"/>
        <v>#VALUE!</v>
      </c>
      <c r="AB2435" t="str">
        <f t="shared" si="344"/>
        <v/>
      </c>
      <c r="AC2435" t="e">
        <f t="shared" si="345"/>
        <v>#VALUE!</v>
      </c>
    </row>
    <row r="2436" spans="1:29" x14ac:dyDescent="0.2">
      <c r="A2436" t="str">
        <f t="shared" si="346"/>
        <v/>
      </c>
      <c r="E2436" s="4"/>
      <c r="F2436" s="46"/>
      <c r="G2436" s="4"/>
      <c r="H2436" s="48"/>
      <c r="J2436" s="26" t="str">
        <f t="shared" si="347"/>
        <v/>
      </c>
      <c r="N2436" t="str">
        <f t="shared" si="348"/>
        <v/>
      </c>
      <c r="Q2436" t="str">
        <f t="shared" si="349"/>
        <v/>
      </c>
      <c r="S2436" t="str">
        <f>IF(A2436=1,MAX($S$2:$S2435)+1,IF(OR($I2436&lt;&gt;"",A2436="x"),$S2435,""))</f>
        <v/>
      </c>
      <c r="T2436" t="str">
        <f>IF(D2436=1,MAX($T$2:$T2435)+1,IF(S2436=S2435,$T2435,IF(D2436="x",T2435,IF(D2435="x","",""))))</f>
        <v/>
      </c>
      <c r="U2436" t="str">
        <f>IF(B2436=1,MAX($U$2:$U2435)+1,IF(AND($T2436&lt;&gt;"",$T2436=$T2435),$U2435,IF(B2436="x",U2435,"")))</f>
        <v/>
      </c>
      <c r="V2436" t="str">
        <f>IF(C2436=1,MAX($V$2:$V2435)+1,IF(AND($T2436&lt;&gt;"",$T2436=$T2435),$U2435,IF(C2436="x",V2435,"")))</f>
        <v/>
      </c>
      <c r="X2436" cm="1">
        <f t="array" ref="X2436">IF($I2436&lt;&gt;"",$I2436,INDEX($I$1:$I2436,ROW()-COUNTIFS($T$1:$T2436,"="&amp;$T2436,$S$1:$S2436,"&lt;"&amp;$S2436)))</f>
        <v>0</v>
      </c>
      <c r="Z2436" s="6">
        <f t="shared" si="342"/>
        <v>1</v>
      </c>
      <c r="AA2436" t="e">
        <f t="shared" si="343"/>
        <v>#VALUE!</v>
      </c>
      <c r="AB2436" t="str">
        <f t="shared" si="344"/>
        <v/>
      </c>
      <c r="AC2436" t="e">
        <f t="shared" si="345"/>
        <v>#VALUE!</v>
      </c>
    </row>
    <row r="2437" spans="1:29" x14ac:dyDescent="0.2">
      <c r="A2437" t="str">
        <f t="shared" si="346"/>
        <v/>
      </c>
      <c r="E2437" s="4"/>
      <c r="F2437" s="46"/>
      <c r="G2437" s="4"/>
      <c r="H2437" s="48"/>
      <c r="J2437" s="26" t="str">
        <f t="shared" si="347"/>
        <v/>
      </c>
      <c r="N2437" t="str">
        <f t="shared" si="348"/>
        <v/>
      </c>
      <c r="Q2437" t="str">
        <f t="shared" si="349"/>
        <v/>
      </c>
      <c r="S2437" t="str">
        <f>IF(A2437=1,MAX($S$2:$S2436)+1,IF(OR($I2437&lt;&gt;"",A2437="x"),$S2436,""))</f>
        <v/>
      </c>
      <c r="T2437" t="str">
        <f>IF(D2437=1,MAX($T$2:$T2436)+1,IF(S2437=S2436,$T2436,IF(D2437="x",T2436,IF(D2436="x","",""))))</f>
        <v/>
      </c>
      <c r="U2437" t="str">
        <f>IF(B2437=1,MAX($U$2:$U2436)+1,IF(AND($T2437&lt;&gt;"",$T2437=$T2436),$U2436,IF(B2437="x",U2436,"")))</f>
        <v/>
      </c>
      <c r="V2437" t="str">
        <f>IF(C2437=1,MAX($V$2:$V2436)+1,IF(AND($T2437&lt;&gt;"",$T2437=$T2436),$U2436,IF(C2437="x",V2436,"")))</f>
        <v/>
      </c>
      <c r="X2437" cm="1">
        <f t="array" ref="X2437">IF($I2437&lt;&gt;"",$I2437,INDEX($I$1:$I2437,ROW()-COUNTIFS($T$1:$T2437,"="&amp;$T2437,$S$1:$S2437,"&lt;"&amp;$S2437)))</f>
        <v>0</v>
      </c>
      <c r="Z2437" s="6">
        <f t="shared" ref="Z2437:Z2500" si="350">IF(K2437="Intermission",Z2436+1,Z2436)</f>
        <v>1</v>
      </c>
      <c r="AA2437" t="e">
        <f t="shared" ref="AA2437:AA2500" si="351">S2437+1000</f>
        <v>#VALUE!</v>
      </c>
      <c r="AB2437" t="str">
        <f t="shared" ref="AB2437:AB2500" si="352">IF(T2437&lt;&gt;"",9000+T2437,"")</f>
        <v/>
      </c>
      <c r="AC2437" t="e">
        <f t="shared" ref="AC2437:AC2500" si="353">IF(AB2437&lt;&gt;"",AB2437,S2437+1000)</f>
        <v>#VALUE!</v>
      </c>
    </row>
    <row r="2438" spans="1:29" x14ac:dyDescent="0.2">
      <c r="A2438" t="str">
        <f t="shared" si="346"/>
        <v/>
      </c>
      <c r="E2438" s="4"/>
      <c r="F2438" s="46"/>
      <c r="G2438" s="4"/>
      <c r="H2438" s="48"/>
      <c r="J2438" s="26" t="str">
        <f t="shared" si="347"/>
        <v/>
      </c>
      <c r="N2438" t="str">
        <f t="shared" si="348"/>
        <v/>
      </c>
      <c r="Q2438" t="str">
        <f t="shared" si="349"/>
        <v/>
      </c>
      <c r="S2438" t="str">
        <f>IF(A2438=1,MAX($S$2:$S2437)+1,IF(OR($I2438&lt;&gt;"",A2438="x"),$S2437,""))</f>
        <v/>
      </c>
      <c r="T2438" t="str">
        <f>IF(D2438=1,MAX($T$2:$T2437)+1,IF(S2438=S2437,$T2437,IF(D2438="x",T2437,IF(D2437="x","",""))))</f>
        <v/>
      </c>
      <c r="U2438" t="str">
        <f>IF(B2438=1,MAX($U$2:$U2437)+1,IF(AND($T2438&lt;&gt;"",$T2438=$T2437),$U2437,IF(B2438="x",U2437,"")))</f>
        <v/>
      </c>
      <c r="V2438" t="str">
        <f>IF(C2438=1,MAX($V$2:$V2437)+1,IF(AND($T2438&lt;&gt;"",$T2438=$T2437),$U2437,IF(C2438="x",V2437,"")))</f>
        <v/>
      </c>
      <c r="X2438" cm="1">
        <f t="array" ref="X2438">IF($I2438&lt;&gt;"",$I2438,INDEX($I$1:$I2438,ROW()-COUNTIFS($T$1:$T2438,"="&amp;$T2438,$S$1:$S2438,"&lt;"&amp;$S2438)))</f>
        <v>0</v>
      </c>
      <c r="Z2438" s="6">
        <f t="shared" si="350"/>
        <v>1</v>
      </c>
      <c r="AA2438" t="e">
        <f t="shared" si="351"/>
        <v>#VALUE!</v>
      </c>
      <c r="AB2438" t="str">
        <f t="shared" si="352"/>
        <v/>
      </c>
      <c r="AC2438" t="e">
        <f t="shared" si="353"/>
        <v>#VALUE!</v>
      </c>
    </row>
    <row r="2439" spans="1:29" x14ac:dyDescent="0.2">
      <c r="A2439" t="str">
        <f t="shared" si="346"/>
        <v/>
      </c>
      <c r="E2439" s="4"/>
      <c r="F2439" s="46"/>
      <c r="G2439" s="4"/>
      <c r="H2439" s="48"/>
      <c r="J2439" s="26" t="str">
        <f t="shared" si="347"/>
        <v/>
      </c>
      <c r="N2439" t="str">
        <f t="shared" si="348"/>
        <v/>
      </c>
      <c r="Q2439" t="str">
        <f t="shared" si="349"/>
        <v/>
      </c>
      <c r="S2439" t="str">
        <f>IF(A2439=1,MAX($S$2:$S2438)+1,IF(OR($I2439&lt;&gt;"",A2439="x"),$S2438,""))</f>
        <v/>
      </c>
      <c r="T2439" t="str">
        <f>IF(D2439=1,MAX($T$2:$T2438)+1,IF(S2439=S2438,$T2438,IF(D2439="x",T2438,IF(D2438="x","",""))))</f>
        <v/>
      </c>
      <c r="U2439" t="str">
        <f>IF(B2439=1,MAX($U$2:$U2438)+1,IF(AND($T2439&lt;&gt;"",$T2439=$T2438),$U2438,IF(B2439="x",U2438,"")))</f>
        <v/>
      </c>
      <c r="V2439" t="str">
        <f>IF(C2439=1,MAX($V$2:$V2438)+1,IF(AND($T2439&lt;&gt;"",$T2439=$T2438),$U2438,IF(C2439="x",V2438,"")))</f>
        <v/>
      </c>
      <c r="X2439" cm="1">
        <f t="array" ref="X2439">IF($I2439&lt;&gt;"",$I2439,INDEX($I$1:$I2439,ROW()-COUNTIFS($T$1:$T2439,"="&amp;$T2439,$S$1:$S2439,"&lt;"&amp;$S2439)))</f>
        <v>0</v>
      </c>
      <c r="Z2439" s="6">
        <f t="shared" si="350"/>
        <v>1</v>
      </c>
      <c r="AA2439" t="e">
        <f t="shared" si="351"/>
        <v>#VALUE!</v>
      </c>
      <c r="AB2439" t="str">
        <f t="shared" si="352"/>
        <v/>
      </c>
      <c r="AC2439" t="e">
        <f t="shared" si="353"/>
        <v>#VALUE!</v>
      </c>
    </row>
    <row r="2440" spans="1:29" x14ac:dyDescent="0.2">
      <c r="A2440" t="str">
        <f t="shared" si="346"/>
        <v/>
      </c>
      <c r="E2440" s="4"/>
      <c r="F2440" s="46"/>
      <c r="G2440" s="4"/>
      <c r="H2440" s="48"/>
      <c r="J2440" s="26" t="str">
        <f t="shared" si="347"/>
        <v/>
      </c>
      <c r="N2440" t="str">
        <f t="shared" si="348"/>
        <v/>
      </c>
      <c r="Q2440" t="str">
        <f t="shared" si="349"/>
        <v/>
      </c>
      <c r="S2440" t="str">
        <f>IF(A2440=1,MAX($S$2:$S2439)+1,IF(OR($I2440&lt;&gt;"",A2440="x"),$S2439,""))</f>
        <v/>
      </c>
      <c r="T2440" t="str">
        <f>IF(D2440=1,MAX($T$2:$T2439)+1,IF(S2440=S2439,$T2439,IF(D2440="x",T2439,IF(D2439="x","",""))))</f>
        <v/>
      </c>
      <c r="U2440" t="str">
        <f>IF(B2440=1,MAX($U$2:$U2439)+1,IF(AND($T2440&lt;&gt;"",$T2440=$T2439),$U2439,IF(B2440="x",U2439,"")))</f>
        <v/>
      </c>
      <c r="V2440" t="str">
        <f>IF(C2440=1,MAX($V$2:$V2439)+1,IF(AND($T2440&lt;&gt;"",$T2440=$T2439),$U2439,IF(C2440="x",V2439,"")))</f>
        <v/>
      </c>
      <c r="X2440" cm="1">
        <f t="array" ref="X2440">IF($I2440&lt;&gt;"",$I2440,INDEX($I$1:$I2440,ROW()-COUNTIFS($T$1:$T2440,"="&amp;$T2440,$S$1:$S2440,"&lt;"&amp;$S2440)))</f>
        <v>0</v>
      </c>
      <c r="Z2440" s="6">
        <f t="shared" si="350"/>
        <v>1</v>
      </c>
      <c r="AA2440" t="e">
        <f t="shared" si="351"/>
        <v>#VALUE!</v>
      </c>
      <c r="AB2440" t="str">
        <f t="shared" si="352"/>
        <v/>
      </c>
      <c r="AC2440" t="e">
        <f t="shared" si="353"/>
        <v>#VALUE!</v>
      </c>
    </row>
    <row r="2441" spans="1:29" x14ac:dyDescent="0.2">
      <c r="A2441" t="str">
        <f t="shared" si="346"/>
        <v/>
      </c>
      <c r="E2441" s="4"/>
      <c r="F2441" s="46"/>
      <c r="G2441" s="4"/>
      <c r="H2441" s="48"/>
      <c r="J2441" s="26" t="str">
        <f t="shared" si="347"/>
        <v/>
      </c>
      <c r="N2441" t="str">
        <f t="shared" si="348"/>
        <v/>
      </c>
      <c r="Q2441" t="str">
        <f t="shared" si="349"/>
        <v/>
      </c>
      <c r="S2441" t="str">
        <f>IF(A2441=1,MAX($S$2:$S2440)+1,IF(OR($I2441&lt;&gt;"",A2441="x"),$S2440,""))</f>
        <v/>
      </c>
      <c r="T2441" t="str">
        <f>IF(D2441=1,MAX($T$2:$T2440)+1,IF(S2441=S2440,$T2440,IF(D2441="x",T2440,IF(D2440="x","",""))))</f>
        <v/>
      </c>
      <c r="U2441" t="str">
        <f>IF(B2441=1,MAX($U$2:$U2440)+1,IF(AND($T2441&lt;&gt;"",$T2441=$T2440),$U2440,IF(B2441="x",U2440,"")))</f>
        <v/>
      </c>
      <c r="V2441" t="str">
        <f>IF(C2441=1,MAX($V$2:$V2440)+1,IF(AND($T2441&lt;&gt;"",$T2441=$T2440),$U2440,IF(C2441="x",V2440,"")))</f>
        <v/>
      </c>
      <c r="X2441" cm="1">
        <f t="array" ref="X2441">IF($I2441&lt;&gt;"",$I2441,INDEX($I$1:$I2441,ROW()-COUNTIFS($T$1:$T2441,"="&amp;$T2441,$S$1:$S2441,"&lt;"&amp;$S2441)))</f>
        <v>0</v>
      </c>
      <c r="Z2441" s="6">
        <f t="shared" si="350"/>
        <v>1</v>
      </c>
      <c r="AA2441" t="e">
        <f t="shared" si="351"/>
        <v>#VALUE!</v>
      </c>
      <c r="AB2441" t="str">
        <f t="shared" si="352"/>
        <v/>
      </c>
      <c r="AC2441" t="e">
        <f t="shared" si="353"/>
        <v>#VALUE!</v>
      </c>
    </row>
    <row r="2442" spans="1:29" x14ac:dyDescent="0.2">
      <c r="A2442" t="str">
        <f t="shared" si="346"/>
        <v/>
      </c>
      <c r="E2442" s="4"/>
      <c r="F2442" s="46"/>
      <c r="G2442" s="4"/>
      <c r="H2442" s="48"/>
      <c r="J2442" s="26" t="str">
        <f t="shared" si="347"/>
        <v/>
      </c>
      <c r="N2442" t="str">
        <f t="shared" si="348"/>
        <v/>
      </c>
      <c r="Q2442" t="str">
        <f t="shared" si="349"/>
        <v/>
      </c>
      <c r="S2442" t="str">
        <f>IF(A2442=1,MAX($S$2:$S2441)+1,IF(OR($I2442&lt;&gt;"",A2442="x"),$S2441,""))</f>
        <v/>
      </c>
      <c r="T2442" t="str">
        <f>IF(D2442=1,MAX($T$2:$T2441)+1,IF(S2442=S2441,$T2441,IF(D2442="x",T2441,IF(D2441="x","",""))))</f>
        <v/>
      </c>
      <c r="U2442" t="str">
        <f>IF(B2442=1,MAX($U$2:$U2441)+1,IF(AND($T2442&lt;&gt;"",$T2442=$T2441),$U2441,IF(B2442="x",U2441,"")))</f>
        <v/>
      </c>
      <c r="V2442" t="str">
        <f>IF(C2442=1,MAX($V$2:$V2441)+1,IF(AND($T2442&lt;&gt;"",$T2442=$T2441),$U2441,IF(C2442="x",V2441,"")))</f>
        <v/>
      </c>
      <c r="X2442" cm="1">
        <f t="array" ref="X2442">IF($I2442&lt;&gt;"",$I2442,INDEX($I$1:$I2442,ROW()-COUNTIFS($T$1:$T2442,"="&amp;$T2442,$S$1:$S2442,"&lt;"&amp;$S2442)))</f>
        <v>0</v>
      </c>
      <c r="Z2442" s="6">
        <f t="shared" si="350"/>
        <v>1</v>
      </c>
      <c r="AA2442" t="e">
        <f t="shared" si="351"/>
        <v>#VALUE!</v>
      </c>
      <c r="AB2442" t="str">
        <f t="shared" si="352"/>
        <v/>
      </c>
      <c r="AC2442" t="e">
        <f t="shared" si="353"/>
        <v>#VALUE!</v>
      </c>
    </row>
    <row r="2443" spans="1:29" x14ac:dyDescent="0.2">
      <c r="A2443" t="str">
        <f t="shared" si="346"/>
        <v/>
      </c>
      <c r="E2443" s="4"/>
      <c r="F2443" s="46"/>
      <c r="G2443" s="4"/>
      <c r="H2443" s="48"/>
      <c r="J2443" s="26" t="str">
        <f t="shared" si="347"/>
        <v/>
      </c>
      <c r="N2443" t="str">
        <f t="shared" si="348"/>
        <v/>
      </c>
      <c r="Q2443" t="str">
        <f t="shared" si="349"/>
        <v/>
      </c>
      <c r="S2443" t="str">
        <f>IF(A2443=1,MAX($S$2:$S2442)+1,IF(OR($I2443&lt;&gt;"",A2443="x"),$S2442,""))</f>
        <v/>
      </c>
      <c r="T2443" t="str">
        <f>IF(D2443=1,MAX($T$2:$T2442)+1,IF(S2443=S2442,$T2442,IF(D2443="x",T2442,IF(D2442="x","",""))))</f>
        <v/>
      </c>
      <c r="U2443" t="str">
        <f>IF(B2443=1,MAX($U$2:$U2442)+1,IF(AND($T2443&lt;&gt;"",$T2443=$T2442),$U2442,IF(B2443="x",U2442,"")))</f>
        <v/>
      </c>
      <c r="V2443" t="str">
        <f>IF(C2443=1,MAX($V$2:$V2442)+1,IF(AND($T2443&lt;&gt;"",$T2443=$T2442),$U2442,IF(C2443="x",V2442,"")))</f>
        <v/>
      </c>
      <c r="X2443" cm="1">
        <f t="array" ref="X2443">IF($I2443&lt;&gt;"",$I2443,INDEX($I$1:$I2443,ROW()-COUNTIFS($T$1:$T2443,"="&amp;$T2443,$S$1:$S2443,"&lt;"&amp;$S2443)))</f>
        <v>0</v>
      </c>
      <c r="Z2443" s="6">
        <f t="shared" si="350"/>
        <v>1</v>
      </c>
      <c r="AA2443" t="e">
        <f t="shared" si="351"/>
        <v>#VALUE!</v>
      </c>
      <c r="AB2443" t="str">
        <f t="shared" si="352"/>
        <v/>
      </c>
      <c r="AC2443" t="e">
        <f t="shared" si="353"/>
        <v>#VALUE!</v>
      </c>
    </row>
    <row r="2444" spans="1:29" x14ac:dyDescent="0.2">
      <c r="A2444" t="str">
        <f t="shared" si="346"/>
        <v/>
      </c>
      <c r="E2444" s="4"/>
      <c r="F2444" s="46"/>
      <c r="G2444" s="4"/>
      <c r="H2444" s="48"/>
      <c r="J2444" s="26" t="str">
        <f t="shared" si="347"/>
        <v/>
      </c>
      <c r="N2444" t="str">
        <f t="shared" si="348"/>
        <v/>
      </c>
      <c r="Q2444" t="str">
        <f t="shared" si="349"/>
        <v/>
      </c>
      <c r="S2444" t="str">
        <f>IF(A2444=1,MAX($S$2:$S2443)+1,IF(OR($I2444&lt;&gt;"",A2444="x"),$S2443,""))</f>
        <v/>
      </c>
      <c r="T2444" t="str">
        <f>IF(D2444=1,MAX($T$2:$T2443)+1,IF(S2444=S2443,$T2443,IF(D2444="x",T2443,IF(D2443="x","",""))))</f>
        <v/>
      </c>
      <c r="U2444" t="str">
        <f>IF(B2444=1,MAX($U$2:$U2443)+1,IF(AND($T2444&lt;&gt;"",$T2444=$T2443),$U2443,IF(B2444="x",U2443,"")))</f>
        <v/>
      </c>
      <c r="V2444" t="str">
        <f>IF(C2444=1,MAX($V$2:$V2443)+1,IF(AND($T2444&lt;&gt;"",$T2444=$T2443),$U2443,IF(C2444="x",V2443,"")))</f>
        <v/>
      </c>
      <c r="X2444" cm="1">
        <f t="array" ref="X2444">IF($I2444&lt;&gt;"",$I2444,INDEX($I$1:$I2444,ROW()-COUNTIFS($T$1:$T2444,"="&amp;$T2444,$S$1:$S2444,"&lt;"&amp;$S2444)))</f>
        <v>0</v>
      </c>
      <c r="Z2444" s="6">
        <f t="shared" si="350"/>
        <v>1</v>
      </c>
      <c r="AA2444" t="e">
        <f t="shared" si="351"/>
        <v>#VALUE!</v>
      </c>
      <c r="AB2444" t="str">
        <f t="shared" si="352"/>
        <v/>
      </c>
      <c r="AC2444" t="e">
        <f t="shared" si="353"/>
        <v>#VALUE!</v>
      </c>
    </row>
    <row r="2445" spans="1:29" x14ac:dyDescent="0.2">
      <c r="A2445" t="str">
        <f t="shared" si="346"/>
        <v/>
      </c>
      <c r="E2445" s="4"/>
      <c r="F2445" s="46"/>
      <c r="G2445" s="4"/>
      <c r="H2445" s="48"/>
      <c r="J2445" s="26" t="str">
        <f t="shared" si="347"/>
        <v/>
      </c>
      <c r="N2445" t="str">
        <f t="shared" si="348"/>
        <v/>
      </c>
      <c r="Q2445" t="str">
        <f t="shared" si="349"/>
        <v/>
      </c>
      <c r="S2445" t="str">
        <f>IF(A2445=1,MAX($S$2:$S2444)+1,IF(OR($I2445&lt;&gt;"",A2445="x"),$S2444,""))</f>
        <v/>
      </c>
      <c r="T2445" t="str">
        <f>IF(D2445=1,MAX($T$2:$T2444)+1,IF(S2445=S2444,$T2444,IF(D2445="x",T2444,IF(D2444="x","",""))))</f>
        <v/>
      </c>
      <c r="U2445" t="str">
        <f>IF(B2445=1,MAX($U$2:$U2444)+1,IF(AND($T2445&lt;&gt;"",$T2445=$T2444),$U2444,IF(B2445="x",U2444,"")))</f>
        <v/>
      </c>
      <c r="V2445" t="str">
        <f>IF(C2445=1,MAX($V$2:$V2444)+1,IF(AND($T2445&lt;&gt;"",$T2445=$T2444),$U2444,IF(C2445="x",V2444,"")))</f>
        <v/>
      </c>
      <c r="X2445" cm="1">
        <f t="array" ref="X2445">IF($I2445&lt;&gt;"",$I2445,INDEX($I$1:$I2445,ROW()-COUNTIFS($T$1:$T2445,"="&amp;$T2445,$S$1:$S2445,"&lt;"&amp;$S2445)))</f>
        <v>0</v>
      </c>
      <c r="Z2445" s="6">
        <f t="shared" si="350"/>
        <v>1</v>
      </c>
      <c r="AA2445" t="e">
        <f t="shared" si="351"/>
        <v>#VALUE!</v>
      </c>
      <c r="AB2445" t="str">
        <f t="shared" si="352"/>
        <v/>
      </c>
      <c r="AC2445" t="e">
        <f t="shared" si="353"/>
        <v>#VALUE!</v>
      </c>
    </row>
    <row r="2446" spans="1:29" x14ac:dyDescent="0.2">
      <c r="A2446" t="str">
        <f t="shared" si="346"/>
        <v/>
      </c>
      <c r="E2446" s="4"/>
      <c r="F2446" s="46"/>
      <c r="G2446" s="4"/>
      <c r="H2446" s="48"/>
      <c r="J2446" s="26" t="str">
        <f t="shared" si="347"/>
        <v/>
      </c>
      <c r="N2446" t="str">
        <f t="shared" si="348"/>
        <v/>
      </c>
      <c r="Q2446" t="str">
        <f t="shared" si="349"/>
        <v/>
      </c>
      <c r="S2446" t="str">
        <f>IF(A2446=1,MAX($S$2:$S2445)+1,IF(OR($I2446&lt;&gt;"",A2446="x"),$S2445,""))</f>
        <v/>
      </c>
      <c r="T2446" t="str">
        <f>IF(D2446=1,MAX($T$2:$T2445)+1,IF(S2446=S2445,$T2445,IF(D2446="x",T2445,IF(D2445="x","",""))))</f>
        <v/>
      </c>
      <c r="U2446" t="str">
        <f>IF(B2446=1,MAX($U$2:$U2445)+1,IF(AND($T2446&lt;&gt;"",$T2446=$T2445),$U2445,IF(B2446="x",U2445,"")))</f>
        <v/>
      </c>
      <c r="V2446" t="str">
        <f>IF(C2446=1,MAX($V$2:$V2445)+1,IF(AND($T2446&lt;&gt;"",$T2446=$T2445),$U2445,IF(C2446="x",V2445,"")))</f>
        <v/>
      </c>
      <c r="X2446" cm="1">
        <f t="array" ref="X2446">IF($I2446&lt;&gt;"",$I2446,INDEX($I$1:$I2446,ROW()-COUNTIFS($T$1:$T2446,"="&amp;$T2446,$S$1:$S2446,"&lt;"&amp;$S2446)))</f>
        <v>0</v>
      </c>
      <c r="Z2446" s="6">
        <f t="shared" si="350"/>
        <v>1</v>
      </c>
      <c r="AA2446" t="e">
        <f t="shared" si="351"/>
        <v>#VALUE!</v>
      </c>
      <c r="AB2446" t="str">
        <f t="shared" si="352"/>
        <v/>
      </c>
      <c r="AC2446" t="e">
        <f t="shared" si="353"/>
        <v>#VALUE!</v>
      </c>
    </row>
    <row r="2447" spans="1:29" x14ac:dyDescent="0.2">
      <c r="A2447" t="str">
        <f t="shared" si="346"/>
        <v/>
      </c>
      <c r="E2447" s="4"/>
      <c r="F2447" s="46"/>
      <c r="G2447" s="4"/>
      <c r="H2447" s="48"/>
      <c r="J2447" s="26" t="str">
        <f t="shared" si="347"/>
        <v/>
      </c>
      <c r="N2447" t="str">
        <f t="shared" si="348"/>
        <v/>
      </c>
      <c r="Q2447" t="str">
        <f t="shared" si="349"/>
        <v/>
      </c>
      <c r="S2447" t="str">
        <f>IF(A2447=1,MAX($S$2:$S2446)+1,IF(OR($I2447&lt;&gt;"",A2447="x"),$S2446,""))</f>
        <v/>
      </c>
      <c r="T2447" t="str">
        <f>IF(D2447=1,MAX($T$2:$T2446)+1,IF(S2447=S2446,$T2446,IF(D2447="x",T2446,IF(D2446="x","",""))))</f>
        <v/>
      </c>
      <c r="U2447" t="str">
        <f>IF(B2447=1,MAX($U$2:$U2446)+1,IF(AND($T2447&lt;&gt;"",$T2447=$T2446),$U2446,IF(B2447="x",U2446,"")))</f>
        <v/>
      </c>
      <c r="V2447" t="str">
        <f>IF(C2447=1,MAX($V$2:$V2446)+1,IF(AND($T2447&lt;&gt;"",$T2447=$T2446),$U2446,IF(C2447="x",V2446,"")))</f>
        <v/>
      </c>
      <c r="X2447" cm="1">
        <f t="array" ref="X2447">IF($I2447&lt;&gt;"",$I2447,INDEX($I$1:$I2447,ROW()-COUNTIFS($T$1:$T2447,"="&amp;$T2447,$S$1:$S2447,"&lt;"&amp;$S2447)))</f>
        <v>0</v>
      </c>
      <c r="Z2447" s="6">
        <f t="shared" si="350"/>
        <v>1</v>
      </c>
      <c r="AA2447" t="e">
        <f t="shared" si="351"/>
        <v>#VALUE!</v>
      </c>
      <c r="AB2447" t="str">
        <f t="shared" si="352"/>
        <v/>
      </c>
      <c r="AC2447" t="e">
        <f t="shared" si="353"/>
        <v>#VALUE!</v>
      </c>
    </row>
    <row r="2448" spans="1:29" x14ac:dyDescent="0.2">
      <c r="A2448" t="str">
        <f t="shared" si="346"/>
        <v/>
      </c>
      <c r="E2448" s="4"/>
      <c r="F2448" s="46"/>
      <c r="G2448" s="4"/>
      <c r="H2448" s="48"/>
      <c r="J2448" s="26" t="str">
        <f t="shared" si="347"/>
        <v/>
      </c>
      <c r="N2448" t="str">
        <f t="shared" si="348"/>
        <v/>
      </c>
      <c r="Q2448" t="str">
        <f t="shared" si="349"/>
        <v/>
      </c>
      <c r="S2448" t="str">
        <f>IF(A2448=1,MAX($S$2:$S2447)+1,IF(OR($I2448&lt;&gt;"",A2448="x"),$S2447,""))</f>
        <v/>
      </c>
      <c r="T2448" t="str">
        <f>IF(D2448=1,MAX($T$2:$T2447)+1,IF(S2448=S2447,$T2447,IF(D2448="x",T2447,IF(D2447="x","",""))))</f>
        <v/>
      </c>
      <c r="U2448" t="str">
        <f>IF(B2448=1,MAX($U$2:$U2447)+1,IF(AND($T2448&lt;&gt;"",$T2448=$T2447),$U2447,IF(B2448="x",U2447,"")))</f>
        <v/>
      </c>
      <c r="V2448" t="str">
        <f>IF(C2448=1,MAX($V$2:$V2447)+1,IF(AND($T2448&lt;&gt;"",$T2448=$T2447),$U2447,IF(C2448="x",V2447,"")))</f>
        <v/>
      </c>
      <c r="X2448" cm="1">
        <f t="array" ref="X2448">IF($I2448&lt;&gt;"",$I2448,INDEX($I$1:$I2448,ROW()-COUNTIFS($T$1:$T2448,"="&amp;$T2448,$S$1:$S2448,"&lt;"&amp;$S2448)))</f>
        <v>0</v>
      </c>
      <c r="Z2448" s="6">
        <f t="shared" si="350"/>
        <v>1</v>
      </c>
      <c r="AA2448" t="e">
        <f t="shared" si="351"/>
        <v>#VALUE!</v>
      </c>
      <c r="AB2448" t="str">
        <f t="shared" si="352"/>
        <v/>
      </c>
      <c r="AC2448" t="e">
        <f t="shared" si="353"/>
        <v>#VALUE!</v>
      </c>
    </row>
    <row r="2449" spans="1:29" x14ac:dyDescent="0.2">
      <c r="A2449" t="str">
        <f t="shared" si="346"/>
        <v/>
      </c>
      <c r="E2449" s="4"/>
      <c r="F2449" s="46"/>
      <c r="G2449" s="4"/>
      <c r="H2449" s="48"/>
      <c r="J2449" s="26" t="str">
        <f t="shared" si="347"/>
        <v/>
      </c>
      <c r="N2449" t="str">
        <f t="shared" si="348"/>
        <v/>
      </c>
      <c r="Q2449" t="str">
        <f t="shared" si="349"/>
        <v/>
      </c>
      <c r="S2449" t="str">
        <f>IF(A2449=1,MAX($S$2:$S2448)+1,IF(OR($I2449&lt;&gt;"",A2449="x"),$S2448,""))</f>
        <v/>
      </c>
      <c r="T2449" t="str">
        <f>IF(D2449=1,MAX($T$2:$T2448)+1,IF(S2449=S2448,$T2448,IF(D2449="x",T2448,IF(D2448="x","",""))))</f>
        <v/>
      </c>
      <c r="U2449" t="str">
        <f>IF(B2449=1,MAX($U$2:$U2448)+1,IF(AND($T2449&lt;&gt;"",$T2449=$T2448),$U2448,IF(B2449="x",U2448,"")))</f>
        <v/>
      </c>
      <c r="V2449" t="str">
        <f>IF(C2449=1,MAX($V$2:$V2448)+1,IF(AND($T2449&lt;&gt;"",$T2449=$T2448),$U2448,IF(C2449="x",V2448,"")))</f>
        <v/>
      </c>
      <c r="X2449" cm="1">
        <f t="array" ref="X2449">IF($I2449&lt;&gt;"",$I2449,INDEX($I$1:$I2449,ROW()-COUNTIFS($T$1:$T2449,"="&amp;$T2449,$S$1:$S2449,"&lt;"&amp;$S2449)))</f>
        <v>0</v>
      </c>
      <c r="Z2449" s="6">
        <f t="shared" si="350"/>
        <v>1</v>
      </c>
      <c r="AA2449" t="e">
        <f t="shared" si="351"/>
        <v>#VALUE!</v>
      </c>
      <c r="AB2449" t="str">
        <f t="shared" si="352"/>
        <v/>
      </c>
      <c r="AC2449" t="e">
        <f t="shared" si="353"/>
        <v>#VALUE!</v>
      </c>
    </row>
    <row r="2450" spans="1:29" x14ac:dyDescent="0.2">
      <c r="A2450" t="str">
        <f t="shared" si="346"/>
        <v/>
      </c>
      <c r="E2450" s="4"/>
      <c r="F2450" s="46"/>
      <c r="G2450" s="4"/>
      <c r="H2450" s="48"/>
      <c r="J2450" s="26" t="str">
        <f t="shared" si="347"/>
        <v/>
      </c>
      <c r="N2450" t="str">
        <f t="shared" si="348"/>
        <v/>
      </c>
      <c r="Q2450" t="str">
        <f t="shared" si="349"/>
        <v/>
      </c>
      <c r="S2450" t="str">
        <f>IF(A2450=1,MAX($S$2:$S2449)+1,IF(OR($I2450&lt;&gt;"",A2450="x"),$S2449,""))</f>
        <v/>
      </c>
      <c r="T2450" t="str">
        <f>IF(D2450=1,MAX($T$2:$T2449)+1,IF(S2450=S2449,$T2449,IF(D2450="x",T2449,IF(D2449="x","",""))))</f>
        <v/>
      </c>
      <c r="U2450" t="str">
        <f>IF(B2450=1,MAX($U$2:$U2449)+1,IF(AND($T2450&lt;&gt;"",$T2450=$T2449),$U2449,IF(B2450="x",U2449,"")))</f>
        <v/>
      </c>
      <c r="V2450" t="str">
        <f>IF(C2450=1,MAX($V$2:$V2449)+1,IF(AND($T2450&lt;&gt;"",$T2450=$T2449),$U2449,IF(C2450="x",V2449,"")))</f>
        <v/>
      </c>
      <c r="X2450" cm="1">
        <f t="array" ref="X2450">IF($I2450&lt;&gt;"",$I2450,INDEX($I$1:$I2450,ROW()-COUNTIFS($T$1:$T2450,"="&amp;$T2450,$S$1:$S2450,"&lt;"&amp;$S2450)))</f>
        <v>0</v>
      </c>
      <c r="Z2450" s="6">
        <f t="shared" si="350"/>
        <v>1</v>
      </c>
      <c r="AA2450" t="e">
        <f t="shared" si="351"/>
        <v>#VALUE!</v>
      </c>
      <c r="AB2450" t="str">
        <f t="shared" si="352"/>
        <v/>
      </c>
      <c r="AC2450" t="e">
        <f t="shared" si="353"/>
        <v>#VALUE!</v>
      </c>
    </row>
    <row r="2451" spans="1:29" x14ac:dyDescent="0.2">
      <c r="A2451" t="str">
        <f t="shared" ref="A2451:A2514" si="354">IF(K2451&lt;&gt;"",1,IF(D2451="x","x",""))</f>
        <v/>
      </c>
      <c r="E2451" s="4"/>
      <c r="F2451" s="46"/>
      <c r="G2451" s="4"/>
      <c r="H2451" s="48"/>
      <c r="J2451" s="26" t="str">
        <f t="shared" ref="J2451:J2514" si="355">IF(OR(K2451="Goal",K2451="Shot",L2451="Zone_Entry",M2451="Stoppage-Goal",M2450="Stoppage-Goal"),"o",IF(OR(K2451="Save",K2451="Rebound",L2451="Zone_Exit",M2451="Stoppage-GoalieStoppage",M2450="Stoppage-GoalieStoppage"),"d",IF(OR(L2451="Faceoff_AfterGoal",L2451="Faceoff_PeriodStart",698="Faceoff_GameStart",M2450="Stoppage-Goal"),"n","")))</f>
        <v/>
      </c>
      <c r="N2451" t="str">
        <f t="shared" ref="N2451:N2514" si="356">IF(K2451="","",IF(K2451="Goal","s",IF(AND(K2451="Zone_Entry_Exit",OR(ISNUMBER(SEARCH("fail",L2451)),ISNUMBER(SEARCH("FromExitClear",M2451)),ISNUMBER(SEARCH("miss",M2451)))),"u",IF(AND(K2451="Zone_Entry_Exit",OR(NOT(ISNUMBER(SEARCH("fail",L2451))),NOT(ISNUMBER(SEARCH("FromExitClear",M2451))),NOT(ISNUMBER(SEARCH("miss",M2451))))),"s",IF(AND(OR(K2451="Shot",K2451="Pass"),OR(ISNUMBER(SEARCH("complete",L2451)),ISNUMBER(SEARCH("goal",L2451)),ISNUMBER(SEARCH("OnNet",L2451)))),"s",IF(L2451="Turnover_Giveaway","u",IF(AND(OR(K2451="Shot",K2451="Pass"),OR(ISNUMBER(SEARCH("fail",L2451)),NOT(ISNUMBER(SEARCH("complete",L2451))),NOT(ISNUMBER(SEARCH("OnNet",L2451))))),"u","")))))))</f>
        <v/>
      </c>
      <c r="Q2451" t="str">
        <f t="shared" ref="Q2451:Q2514" si="357">IF(O2451="","",IF(AND(N2451&lt;&gt;"",OR(O2451&lt;&gt;"",P2451&lt;&gt;"")),N2451,IF(OR(ISNUMBER(SEARCH("attemp",O2451)),ISNUMBER(SEARCH("beat",O2451)),ISNUMBER(SEARCH("mis",O2451)),ISNUMBER(SEARCH("fail",O2451)),ISNUMBER(SEARCH("loss",O2451)),ISNUMBER(SEARCH("lost",O2451)),ISNUMBER(SEARCH("attemp",P2451)),ISNUMBER(SEARCH("mis",P2451)),ISNUMBER(SEARCH("fail",P2451)),ISNUMBER(SEARCH("loss",P2451)),ISNUMBER(SEARCH("beat",P2451)),ISNUMBER(SEARCH("lost",P2451))),"u","")))</f>
        <v/>
      </c>
      <c r="S2451" t="str">
        <f>IF(A2451=1,MAX($S$2:$S2450)+1,IF(OR($I2451&lt;&gt;"",A2451="x"),$S2450,""))</f>
        <v/>
      </c>
      <c r="T2451" t="str">
        <f>IF(D2451=1,MAX($T$2:$T2450)+1,IF(S2451=S2450,$T2450,IF(D2451="x",T2450,IF(D2450="x","",""))))</f>
        <v/>
      </c>
      <c r="U2451" t="str">
        <f>IF(B2451=1,MAX($U$2:$U2450)+1,IF(AND($T2451&lt;&gt;"",$T2451=$T2450),$U2450,IF(B2451="x",U2450,"")))</f>
        <v/>
      </c>
      <c r="V2451" t="str">
        <f>IF(C2451=1,MAX($V$2:$V2450)+1,IF(AND($T2451&lt;&gt;"",$T2451=$T2450),$U2450,IF(C2451="x",V2450,"")))</f>
        <v/>
      </c>
      <c r="X2451" cm="1">
        <f t="array" ref="X2451">IF($I2451&lt;&gt;"",$I2451,INDEX($I$1:$I2451,ROW()-COUNTIFS($T$1:$T2451,"="&amp;$T2451,$S$1:$S2451,"&lt;"&amp;$S2451)))</f>
        <v>0</v>
      </c>
      <c r="Z2451" s="6">
        <f t="shared" si="350"/>
        <v>1</v>
      </c>
      <c r="AA2451" t="e">
        <f t="shared" si="351"/>
        <v>#VALUE!</v>
      </c>
      <c r="AB2451" t="str">
        <f t="shared" si="352"/>
        <v/>
      </c>
      <c r="AC2451" t="e">
        <f t="shared" si="353"/>
        <v>#VALUE!</v>
      </c>
    </row>
    <row r="2452" spans="1:29" x14ac:dyDescent="0.2">
      <c r="A2452" t="str">
        <f t="shared" si="354"/>
        <v/>
      </c>
      <c r="E2452" s="4"/>
      <c r="F2452" s="46"/>
      <c r="G2452" s="4"/>
      <c r="H2452" s="48"/>
      <c r="J2452" s="26" t="str">
        <f t="shared" si="355"/>
        <v/>
      </c>
      <c r="N2452" t="str">
        <f t="shared" si="356"/>
        <v/>
      </c>
      <c r="Q2452" t="str">
        <f t="shared" si="357"/>
        <v/>
      </c>
      <c r="S2452" t="str">
        <f>IF(A2452=1,MAX($S$2:$S2451)+1,IF(OR($I2452&lt;&gt;"",A2452="x"),$S2451,""))</f>
        <v/>
      </c>
      <c r="T2452" t="str">
        <f>IF(D2452=1,MAX($T$2:$T2451)+1,IF(S2452=S2451,$T2451,IF(D2452="x",T2451,IF(D2451="x","",""))))</f>
        <v/>
      </c>
      <c r="U2452" t="str">
        <f>IF(B2452=1,MAX($U$2:$U2451)+1,IF(AND($T2452&lt;&gt;"",$T2452=$T2451),$U2451,IF(B2452="x",U2451,"")))</f>
        <v/>
      </c>
      <c r="V2452" t="str">
        <f>IF(C2452=1,MAX($V$2:$V2451)+1,IF(AND($T2452&lt;&gt;"",$T2452=$T2451),$U2451,IF(C2452="x",V2451,"")))</f>
        <v/>
      </c>
      <c r="X2452" cm="1">
        <f t="array" ref="X2452">IF($I2452&lt;&gt;"",$I2452,INDEX($I$1:$I2452,ROW()-COUNTIFS($T$1:$T2452,"="&amp;$T2452,$S$1:$S2452,"&lt;"&amp;$S2452)))</f>
        <v>0</v>
      </c>
      <c r="Z2452" s="6">
        <f t="shared" si="350"/>
        <v>1</v>
      </c>
      <c r="AA2452" t="e">
        <f t="shared" si="351"/>
        <v>#VALUE!</v>
      </c>
      <c r="AB2452" t="str">
        <f t="shared" si="352"/>
        <v/>
      </c>
      <c r="AC2452" t="e">
        <f t="shared" si="353"/>
        <v>#VALUE!</v>
      </c>
    </row>
    <row r="2453" spans="1:29" x14ac:dyDescent="0.2">
      <c r="A2453" t="str">
        <f t="shared" si="354"/>
        <v/>
      </c>
      <c r="E2453" s="4"/>
      <c r="F2453" s="46"/>
      <c r="G2453" s="4"/>
      <c r="H2453" s="48"/>
      <c r="J2453" s="26" t="str">
        <f t="shared" si="355"/>
        <v/>
      </c>
      <c r="N2453" t="str">
        <f t="shared" si="356"/>
        <v/>
      </c>
      <c r="Q2453" t="str">
        <f t="shared" si="357"/>
        <v/>
      </c>
      <c r="S2453" t="str">
        <f>IF(A2453=1,MAX($S$2:$S2452)+1,IF(OR($I2453&lt;&gt;"",A2453="x"),$S2452,""))</f>
        <v/>
      </c>
      <c r="T2453" t="str">
        <f>IF(D2453=1,MAX($T$2:$T2452)+1,IF(S2453=S2452,$T2452,IF(D2453="x",T2452,IF(D2452="x","",""))))</f>
        <v/>
      </c>
      <c r="U2453" t="str">
        <f>IF(B2453=1,MAX($U$2:$U2452)+1,IF(AND($T2453&lt;&gt;"",$T2453=$T2452),$U2452,IF(B2453="x",U2452,"")))</f>
        <v/>
      </c>
      <c r="V2453" t="str">
        <f>IF(C2453=1,MAX($V$2:$V2452)+1,IF(AND($T2453&lt;&gt;"",$T2453=$T2452),$U2452,IF(C2453="x",V2452,"")))</f>
        <v/>
      </c>
      <c r="X2453" cm="1">
        <f t="array" ref="X2453">IF($I2453&lt;&gt;"",$I2453,INDEX($I$1:$I2453,ROW()-COUNTIFS($T$1:$T2453,"="&amp;$T2453,$S$1:$S2453,"&lt;"&amp;$S2453)))</f>
        <v>0</v>
      </c>
      <c r="Z2453" s="6">
        <f t="shared" si="350"/>
        <v>1</v>
      </c>
      <c r="AA2453" t="e">
        <f t="shared" si="351"/>
        <v>#VALUE!</v>
      </c>
      <c r="AB2453" t="str">
        <f t="shared" si="352"/>
        <v/>
      </c>
      <c r="AC2453" t="e">
        <f t="shared" si="353"/>
        <v>#VALUE!</v>
      </c>
    </row>
    <row r="2454" spans="1:29" x14ac:dyDescent="0.2">
      <c r="A2454" t="str">
        <f t="shared" si="354"/>
        <v/>
      </c>
      <c r="E2454" s="4"/>
      <c r="F2454" s="46"/>
      <c r="G2454" s="4"/>
      <c r="H2454" s="48"/>
      <c r="J2454" s="26" t="str">
        <f t="shared" si="355"/>
        <v/>
      </c>
      <c r="N2454" t="str">
        <f t="shared" si="356"/>
        <v/>
      </c>
      <c r="Q2454" t="str">
        <f t="shared" si="357"/>
        <v/>
      </c>
      <c r="S2454" t="str">
        <f>IF(A2454=1,MAX($S$2:$S2453)+1,IF(OR($I2454&lt;&gt;"",A2454="x"),$S2453,""))</f>
        <v/>
      </c>
      <c r="T2454" t="str">
        <f>IF(D2454=1,MAX($T$2:$T2453)+1,IF(S2454=S2453,$T2453,IF(D2454="x",T2453,IF(D2453="x","",""))))</f>
        <v/>
      </c>
      <c r="U2454" t="str">
        <f>IF(B2454=1,MAX($U$2:$U2453)+1,IF(AND($T2454&lt;&gt;"",$T2454=$T2453),$U2453,IF(B2454="x",U2453,"")))</f>
        <v/>
      </c>
      <c r="V2454" t="str">
        <f>IF(C2454=1,MAX($V$2:$V2453)+1,IF(AND($T2454&lt;&gt;"",$T2454=$T2453),$U2453,IF(C2454="x",V2453,"")))</f>
        <v/>
      </c>
      <c r="X2454" cm="1">
        <f t="array" ref="X2454">IF($I2454&lt;&gt;"",$I2454,INDEX($I$1:$I2454,ROW()-COUNTIFS($T$1:$T2454,"="&amp;$T2454,$S$1:$S2454,"&lt;"&amp;$S2454)))</f>
        <v>0</v>
      </c>
      <c r="Z2454" s="6">
        <f t="shared" si="350"/>
        <v>1</v>
      </c>
      <c r="AA2454" t="e">
        <f t="shared" si="351"/>
        <v>#VALUE!</v>
      </c>
      <c r="AB2454" t="str">
        <f t="shared" si="352"/>
        <v/>
      </c>
      <c r="AC2454" t="e">
        <f t="shared" si="353"/>
        <v>#VALUE!</v>
      </c>
    </row>
    <row r="2455" spans="1:29" x14ac:dyDescent="0.2">
      <c r="A2455" t="str">
        <f t="shared" si="354"/>
        <v/>
      </c>
      <c r="E2455" s="4"/>
      <c r="F2455" s="46"/>
      <c r="G2455" s="4"/>
      <c r="H2455" s="48"/>
      <c r="J2455" s="26" t="str">
        <f t="shared" si="355"/>
        <v/>
      </c>
      <c r="N2455" t="str">
        <f t="shared" si="356"/>
        <v/>
      </c>
      <c r="Q2455" t="str">
        <f t="shared" si="357"/>
        <v/>
      </c>
      <c r="S2455" t="str">
        <f>IF(A2455=1,MAX($S$2:$S2454)+1,IF(OR($I2455&lt;&gt;"",A2455="x"),$S2454,""))</f>
        <v/>
      </c>
      <c r="T2455" t="str">
        <f>IF(D2455=1,MAX($T$2:$T2454)+1,IF(S2455=S2454,$T2454,IF(D2455="x",T2454,IF(D2454="x","",""))))</f>
        <v/>
      </c>
      <c r="U2455" t="str">
        <f>IF(B2455=1,MAX($U$2:$U2454)+1,IF(AND($T2455&lt;&gt;"",$T2455=$T2454),$U2454,IF(B2455="x",U2454,"")))</f>
        <v/>
      </c>
      <c r="V2455" t="str">
        <f>IF(C2455=1,MAX($V$2:$V2454)+1,IF(AND($T2455&lt;&gt;"",$T2455=$T2454),$U2454,IF(C2455="x",V2454,"")))</f>
        <v/>
      </c>
      <c r="X2455" cm="1">
        <f t="array" ref="X2455">IF($I2455&lt;&gt;"",$I2455,INDEX($I$1:$I2455,ROW()-COUNTIFS($T$1:$T2455,"="&amp;$T2455,$S$1:$S2455,"&lt;"&amp;$S2455)))</f>
        <v>0</v>
      </c>
      <c r="Z2455" s="6">
        <f t="shared" si="350"/>
        <v>1</v>
      </c>
      <c r="AA2455" t="e">
        <f t="shared" si="351"/>
        <v>#VALUE!</v>
      </c>
      <c r="AB2455" t="str">
        <f t="shared" si="352"/>
        <v/>
      </c>
      <c r="AC2455" t="e">
        <f t="shared" si="353"/>
        <v>#VALUE!</v>
      </c>
    </row>
    <row r="2456" spans="1:29" x14ac:dyDescent="0.2">
      <c r="A2456" t="str">
        <f t="shared" si="354"/>
        <v/>
      </c>
      <c r="E2456" s="4"/>
      <c r="F2456" s="46"/>
      <c r="G2456" s="4"/>
      <c r="H2456" s="48"/>
      <c r="J2456" s="26" t="str">
        <f t="shared" si="355"/>
        <v/>
      </c>
      <c r="N2456" t="str">
        <f t="shared" si="356"/>
        <v/>
      </c>
      <c r="Q2456" t="str">
        <f t="shared" si="357"/>
        <v/>
      </c>
      <c r="S2456" t="str">
        <f>IF(A2456=1,MAX($S$2:$S2455)+1,IF(OR($I2456&lt;&gt;"",A2456="x"),$S2455,""))</f>
        <v/>
      </c>
      <c r="T2456" t="str">
        <f>IF(D2456=1,MAX($T$2:$T2455)+1,IF(S2456=S2455,$T2455,IF(D2456="x",T2455,IF(D2455="x","",""))))</f>
        <v/>
      </c>
      <c r="U2456" t="str">
        <f>IF(B2456=1,MAX($U$2:$U2455)+1,IF(AND($T2456&lt;&gt;"",$T2456=$T2455),$U2455,IF(B2456="x",U2455,"")))</f>
        <v/>
      </c>
      <c r="V2456" t="str">
        <f>IF(C2456=1,MAX($V$2:$V2455)+1,IF(AND($T2456&lt;&gt;"",$T2456=$T2455),$U2455,IF(C2456="x",V2455,"")))</f>
        <v/>
      </c>
      <c r="X2456" cm="1">
        <f t="array" ref="X2456">IF($I2456&lt;&gt;"",$I2456,INDEX($I$1:$I2456,ROW()-COUNTIFS($T$1:$T2456,"="&amp;$T2456,$S$1:$S2456,"&lt;"&amp;$S2456)))</f>
        <v>0</v>
      </c>
      <c r="Z2456" s="6">
        <f t="shared" si="350"/>
        <v>1</v>
      </c>
      <c r="AA2456" t="e">
        <f t="shared" si="351"/>
        <v>#VALUE!</v>
      </c>
      <c r="AB2456" t="str">
        <f t="shared" si="352"/>
        <v/>
      </c>
      <c r="AC2456" t="e">
        <f t="shared" si="353"/>
        <v>#VALUE!</v>
      </c>
    </row>
    <row r="2457" spans="1:29" x14ac:dyDescent="0.2">
      <c r="A2457" t="str">
        <f t="shared" si="354"/>
        <v/>
      </c>
      <c r="E2457" s="4"/>
      <c r="F2457" s="46"/>
      <c r="G2457" s="4"/>
      <c r="H2457" s="48"/>
      <c r="J2457" s="26" t="str">
        <f t="shared" si="355"/>
        <v/>
      </c>
      <c r="N2457" t="str">
        <f t="shared" si="356"/>
        <v/>
      </c>
      <c r="Q2457" t="str">
        <f t="shared" si="357"/>
        <v/>
      </c>
      <c r="S2457" t="str">
        <f>IF(A2457=1,MAX($S$2:$S2456)+1,IF(OR($I2457&lt;&gt;"",A2457="x"),$S2456,""))</f>
        <v/>
      </c>
      <c r="T2457" t="str">
        <f>IF(D2457=1,MAX($T$2:$T2456)+1,IF(S2457=S2456,$T2456,IF(D2457="x",T2456,IF(D2456="x","",""))))</f>
        <v/>
      </c>
      <c r="U2457" t="str">
        <f>IF(B2457=1,MAX($U$2:$U2456)+1,IF(AND($T2457&lt;&gt;"",$T2457=$T2456),$U2456,IF(B2457="x",U2456,"")))</f>
        <v/>
      </c>
      <c r="V2457" t="str">
        <f>IF(C2457=1,MAX($V$2:$V2456)+1,IF(AND($T2457&lt;&gt;"",$T2457=$T2456),$U2456,IF(C2457="x",V2456,"")))</f>
        <v/>
      </c>
      <c r="X2457" cm="1">
        <f t="array" ref="X2457">IF($I2457&lt;&gt;"",$I2457,INDEX($I$1:$I2457,ROW()-COUNTIFS($T$1:$T2457,"="&amp;$T2457,$S$1:$S2457,"&lt;"&amp;$S2457)))</f>
        <v>0</v>
      </c>
      <c r="Z2457" s="6">
        <f t="shared" si="350"/>
        <v>1</v>
      </c>
      <c r="AA2457" t="e">
        <f t="shared" si="351"/>
        <v>#VALUE!</v>
      </c>
      <c r="AB2457" t="str">
        <f t="shared" si="352"/>
        <v/>
      </c>
      <c r="AC2457" t="e">
        <f t="shared" si="353"/>
        <v>#VALUE!</v>
      </c>
    </row>
    <row r="2458" spans="1:29" x14ac:dyDescent="0.2">
      <c r="A2458" t="str">
        <f t="shared" si="354"/>
        <v/>
      </c>
      <c r="E2458" s="4"/>
      <c r="F2458" s="46"/>
      <c r="G2458" s="4"/>
      <c r="H2458" s="48"/>
      <c r="J2458" s="26" t="str">
        <f t="shared" si="355"/>
        <v/>
      </c>
      <c r="N2458" t="str">
        <f t="shared" si="356"/>
        <v/>
      </c>
      <c r="Q2458" t="str">
        <f t="shared" si="357"/>
        <v/>
      </c>
      <c r="S2458" t="str">
        <f>IF(A2458=1,MAX($S$2:$S2457)+1,IF(OR($I2458&lt;&gt;"",A2458="x"),$S2457,""))</f>
        <v/>
      </c>
      <c r="T2458" t="str">
        <f>IF(D2458=1,MAX($T$2:$T2457)+1,IF(S2458=S2457,$T2457,IF(D2458="x",T2457,IF(D2457="x","",""))))</f>
        <v/>
      </c>
      <c r="U2458" t="str">
        <f>IF(B2458=1,MAX($U$2:$U2457)+1,IF(AND($T2458&lt;&gt;"",$T2458=$T2457),$U2457,IF(B2458="x",U2457,"")))</f>
        <v/>
      </c>
      <c r="V2458" t="str">
        <f>IF(C2458=1,MAX($V$2:$V2457)+1,IF(AND($T2458&lt;&gt;"",$T2458=$T2457),$U2457,IF(C2458="x",V2457,"")))</f>
        <v/>
      </c>
      <c r="X2458" cm="1">
        <f t="array" ref="X2458">IF($I2458&lt;&gt;"",$I2458,INDEX($I$1:$I2458,ROW()-COUNTIFS($T$1:$T2458,"="&amp;$T2458,$S$1:$S2458,"&lt;"&amp;$S2458)))</f>
        <v>0</v>
      </c>
      <c r="Z2458" s="6">
        <f t="shared" si="350"/>
        <v>1</v>
      </c>
      <c r="AA2458" t="e">
        <f t="shared" si="351"/>
        <v>#VALUE!</v>
      </c>
      <c r="AB2458" t="str">
        <f t="shared" si="352"/>
        <v/>
      </c>
      <c r="AC2458" t="e">
        <f t="shared" si="353"/>
        <v>#VALUE!</v>
      </c>
    </row>
    <row r="2459" spans="1:29" x14ac:dyDescent="0.2">
      <c r="A2459" t="str">
        <f t="shared" si="354"/>
        <v/>
      </c>
      <c r="E2459" s="4"/>
      <c r="F2459" s="46"/>
      <c r="G2459" s="4"/>
      <c r="H2459" s="48"/>
      <c r="J2459" s="26" t="str">
        <f t="shared" si="355"/>
        <v/>
      </c>
      <c r="N2459" t="str">
        <f t="shared" si="356"/>
        <v/>
      </c>
      <c r="Q2459" t="str">
        <f t="shared" si="357"/>
        <v/>
      </c>
      <c r="S2459" t="str">
        <f>IF(A2459=1,MAX($S$2:$S2458)+1,IF(OR($I2459&lt;&gt;"",A2459="x"),$S2458,""))</f>
        <v/>
      </c>
      <c r="T2459" t="str">
        <f>IF(D2459=1,MAX($T$2:$T2458)+1,IF(S2459=S2458,$T2458,IF(D2459="x",T2458,IF(D2458="x","",""))))</f>
        <v/>
      </c>
      <c r="U2459" t="str">
        <f>IF(B2459=1,MAX($U$2:$U2458)+1,IF(AND($T2459&lt;&gt;"",$T2459=$T2458),$U2458,IF(B2459="x",U2458,"")))</f>
        <v/>
      </c>
      <c r="V2459" t="str">
        <f>IF(C2459=1,MAX($V$2:$V2458)+1,IF(AND($T2459&lt;&gt;"",$T2459=$T2458),$U2458,IF(C2459="x",V2458,"")))</f>
        <v/>
      </c>
      <c r="X2459" cm="1">
        <f t="array" ref="X2459">IF($I2459&lt;&gt;"",$I2459,INDEX($I$1:$I2459,ROW()-COUNTIFS($T$1:$T2459,"="&amp;$T2459,$S$1:$S2459,"&lt;"&amp;$S2459)))</f>
        <v>0</v>
      </c>
      <c r="Z2459" s="6">
        <f t="shared" si="350"/>
        <v>1</v>
      </c>
      <c r="AA2459" t="e">
        <f t="shared" si="351"/>
        <v>#VALUE!</v>
      </c>
      <c r="AB2459" t="str">
        <f t="shared" si="352"/>
        <v/>
      </c>
      <c r="AC2459" t="e">
        <f t="shared" si="353"/>
        <v>#VALUE!</v>
      </c>
    </row>
    <row r="2460" spans="1:29" x14ac:dyDescent="0.2">
      <c r="A2460" t="str">
        <f t="shared" si="354"/>
        <v/>
      </c>
      <c r="E2460" s="4"/>
      <c r="F2460" s="46"/>
      <c r="G2460" s="4"/>
      <c r="H2460" s="48"/>
      <c r="J2460" s="26" t="str">
        <f t="shared" si="355"/>
        <v/>
      </c>
      <c r="N2460" t="str">
        <f t="shared" si="356"/>
        <v/>
      </c>
      <c r="Q2460" t="str">
        <f t="shared" si="357"/>
        <v/>
      </c>
      <c r="S2460" t="str">
        <f>IF(A2460=1,MAX($S$2:$S2459)+1,IF(OR($I2460&lt;&gt;"",A2460="x"),$S2459,""))</f>
        <v/>
      </c>
      <c r="T2460" t="str">
        <f>IF(D2460=1,MAX($T$2:$T2459)+1,IF(S2460=S2459,$T2459,IF(D2460="x",T2459,IF(D2459="x","",""))))</f>
        <v/>
      </c>
      <c r="U2460" t="str">
        <f>IF(B2460=1,MAX($U$2:$U2459)+1,IF(AND($T2460&lt;&gt;"",$T2460=$T2459),$U2459,IF(B2460="x",U2459,"")))</f>
        <v/>
      </c>
      <c r="V2460" t="str">
        <f>IF(C2460=1,MAX($V$2:$V2459)+1,IF(AND($T2460&lt;&gt;"",$T2460=$T2459),$U2459,IF(C2460="x",V2459,"")))</f>
        <v/>
      </c>
      <c r="X2460" cm="1">
        <f t="array" ref="X2460">IF($I2460&lt;&gt;"",$I2460,INDEX($I$1:$I2460,ROW()-COUNTIFS($T$1:$T2460,"="&amp;$T2460,$S$1:$S2460,"&lt;"&amp;$S2460)))</f>
        <v>0</v>
      </c>
      <c r="Z2460" s="6">
        <f t="shared" si="350"/>
        <v>1</v>
      </c>
      <c r="AA2460" t="e">
        <f t="shared" si="351"/>
        <v>#VALUE!</v>
      </c>
      <c r="AB2460" t="str">
        <f t="shared" si="352"/>
        <v/>
      </c>
      <c r="AC2460" t="e">
        <f t="shared" si="353"/>
        <v>#VALUE!</v>
      </c>
    </row>
    <row r="2461" spans="1:29" x14ac:dyDescent="0.2">
      <c r="A2461" t="str">
        <f t="shared" si="354"/>
        <v/>
      </c>
      <c r="E2461" s="4"/>
      <c r="F2461" s="46"/>
      <c r="G2461" s="4"/>
      <c r="H2461" s="48"/>
      <c r="J2461" s="26" t="str">
        <f t="shared" si="355"/>
        <v/>
      </c>
      <c r="N2461" t="str">
        <f t="shared" si="356"/>
        <v/>
      </c>
      <c r="Q2461" t="str">
        <f t="shared" si="357"/>
        <v/>
      </c>
      <c r="S2461" t="str">
        <f>IF(A2461=1,MAX($S$2:$S2460)+1,IF(OR($I2461&lt;&gt;"",A2461="x"),$S2460,""))</f>
        <v/>
      </c>
      <c r="T2461" t="str">
        <f>IF(D2461=1,MAX($T$2:$T2460)+1,IF(S2461=S2460,$T2460,IF(D2461="x",T2460,IF(D2460="x","",""))))</f>
        <v/>
      </c>
      <c r="U2461" t="str">
        <f>IF(B2461=1,MAX($U$2:$U2460)+1,IF(AND($T2461&lt;&gt;"",$T2461=$T2460),$U2460,IF(B2461="x",U2460,"")))</f>
        <v/>
      </c>
      <c r="V2461" t="str">
        <f>IF(C2461=1,MAX($V$2:$V2460)+1,IF(AND($T2461&lt;&gt;"",$T2461=$T2460),$U2460,IF(C2461="x",V2460,"")))</f>
        <v/>
      </c>
      <c r="X2461" cm="1">
        <f t="array" ref="X2461">IF($I2461&lt;&gt;"",$I2461,INDEX($I$1:$I2461,ROW()-COUNTIFS($T$1:$T2461,"="&amp;$T2461,$S$1:$S2461,"&lt;"&amp;$S2461)))</f>
        <v>0</v>
      </c>
      <c r="Z2461" s="6">
        <f t="shared" si="350"/>
        <v>1</v>
      </c>
      <c r="AA2461" t="e">
        <f t="shared" si="351"/>
        <v>#VALUE!</v>
      </c>
      <c r="AB2461" t="str">
        <f t="shared" si="352"/>
        <v/>
      </c>
      <c r="AC2461" t="e">
        <f t="shared" si="353"/>
        <v>#VALUE!</v>
      </c>
    </row>
    <row r="2462" spans="1:29" x14ac:dyDescent="0.2">
      <c r="A2462" t="str">
        <f t="shared" si="354"/>
        <v/>
      </c>
      <c r="E2462" s="4"/>
      <c r="F2462" s="46"/>
      <c r="G2462" s="4"/>
      <c r="H2462" s="48"/>
      <c r="J2462" s="26" t="str">
        <f t="shared" si="355"/>
        <v/>
      </c>
      <c r="N2462" t="str">
        <f t="shared" si="356"/>
        <v/>
      </c>
      <c r="Q2462" t="str">
        <f t="shared" si="357"/>
        <v/>
      </c>
      <c r="S2462" t="str">
        <f>IF(A2462=1,MAX($S$2:$S2461)+1,IF(OR($I2462&lt;&gt;"",A2462="x"),$S2461,""))</f>
        <v/>
      </c>
      <c r="T2462" t="str">
        <f>IF(D2462=1,MAX($T$2:$T2461)+1,IF(S2462=S2461,$T2461,IF(D2462="x",T2461,IF(D2461="x","",""))))</f>
        <v/>
      </c>
      <c r="U2462" t="str">
        <f>IF(B2462=1,MAX($U$2:$U2461)+1,IF(AND($T2462&lt;&gt;"",$T2462=$T2461),$U2461,IF(B2462="x",U2461,"")))</f>
        <v/>
      </c>
      <c r="V2462" t="str">
        <f>IF(C2462=1,MAX($V$2:$V2461)+1,IF(AND($T2462&lt;&gt;"",$T2462=$T2461),$U2461,IF(C2462="x",V2461,"")))</f>
        <v/>
      </c>
      <c r="X2462" cm="1">
        <f t="array" ref="X2462">IF($I2462&lt;&gt;"",$I2462,INDEX($I$1:$I2462,ROW()-COUNTIFS($T$1:$T2462,"="&amp;$T2462,$S$1:$S2462,"&lt;"&amp;$S2462)))</f>
        <v>0</v>
      </c>
      <c r="Z2462" s="6">
        <f t="shared" si="350"/>
        <v>1</v>
      </c>
      <c r="AA2462" t="e">
        <f t="shared" si="351"/>
        <v>#VALUE!</v>
      </c>
      <c r="AB2462" t="str">
        <f t="shared" si="352"/>
        <v/>
      </c>
      <c r="AC2462" t="e">
        <f t="shared" si="353"/>
        <v>#VALUE!</v>
      </c>
    </row>
    <row r="2463" spans="1:29" x14ac:dyDescent="0.2">
      <c r="A2463" t="str">
        <f t="shared" si="354"/>
        <v/>
      </c>
      <c r="E2463" s="4"/>
      <c r="F2463" s="46"/>
      <c r="G2463" s="4"/>
      <c r="H2463" s="48"/>
      <c r="J2463" s="26" t="str">
        <f t="shared" si="355"/>
        <v/>
      </c>
      <c r="N2463" t="str">
        <f t="shared" si="356"/>
        <v/>
      </c>
      <c r="Q2463" t="str">
        <f t="shared" si="357"/>
        <v/>
      </c>
      <c r="S2463" t="str">
        <f>IF(A2463=1,MAX($S$2:$S2462)+1,IF(OR($I2463&lt;&gt;"",A2463="x"),$S2462,""))</f>
        <v/>
      </c>
      <c r="T2463" t="str">
        <f>IF(D2463=1,MAX($T$2:$T2462)+1,IF(S2463=S2462,$T2462,IF(D2463="x",T2462,IF(D2462="x","",""))))</f>
        <v/>
      </c>
      <c r="U2463" t="str">
        <f>IF(B2463=1,MAX($U$2:$U2462)+1,IF(AND($T2463&lt;&gt;"",$T2463=$T2462),$U2462,IF(B2463="x",U2462,"")))</f>
        <v/>
      </c>
      <c r="V2463" t="str">
        <f>IF(C2463=1,MAX($V$2:$V2462)+1,IF(AND($T2463&lt;&gt;"",$T2463=$T2462),$U2462,IF(C2463="x",V2462,"")))</f>
        <v/>
      </c>
      <c r="X2463" cm="1">
        <f t="array" ref="X2463">IF($I2463&lt;&gt;"",$I2463,INDEX($I$1:$I2463,ROW()-COUNTIFS($T$1:$T2463,"="&amp;$T2463,$S$1:$S2463,"&lt;"&amp;$S2463)))</f>
        <v>0</v>
      </c>
      <c r="Z2463" s="6">
        <f t="shared" si="350"/>
        <v>1</v>
      </c>
      <c r="AA2463" t="e">
        <f t="shared" si="351"/>
        <v>#VALUE!</v>
      </c>
      <c r="AB2463" t="str">
        <f t="shared" si="352"/>
        <v/>
      </c>
      <c r="AC2463" t="e">
        <f t="shared" si="353"/>
        <v>#VALUE!</v>
      </c>
    </row>
    <row r="2464" spans="1:29" x14ac:dyDescent="0.2">
      <c r="A2464" t="str">
        <f t="shared" si="354"/>
        <v/>
      </c>
      <c r="E2464" s="4"/>
      <c r="F2464" s="46"/>
      <c r="G2464" s="4"/>
      <c r="H2464" s="48"/>
      <c r="J2464" s="26" t="str">
        <f t="shared" si="355"/>
        <v/>
      </c>
      <c r="N2464" t="str">
        <f t="shared" si="356"/>
        <v/>
      </c>
      <c r="Q2464" t="str">
        <f t="shared" si="357"/>
        <v/>
      </c>
      <c r="S2464" t="str">
        <f>IF(A2464=1,MAX($S$2:$S2463)+1,IF(OR($I2464&lt;&gt;"",A2464="x"),$S2463,""))</f>
        <v/>
      </c>
      <c r="T2464" t="str">
        <f>IF(D2464=1,MAX($T$2:$T2463)+1,IF(S2464=S2463,$T2463,IF(D2464="x",T2463,IF(D2463="x","",""))))</f>
        <v/>
      </c>
      <c r="U2464" t="str">
        <f>IF(B2464=1,MAX($U$2:$U2463)+1,IF(AND($T2464&lt;&gt;"",$T2464=$T2463),$U2463,IF(B2464="x",U2463,"")))</f>
        <v/>
      </c>
      <c r="V2464" t="str">
        <f>IF(C2464=1,MAX($V$2:$V2463)+1,IF(AND($T2464&lt;&gt;"",$T2464=$T2463),$U2463,IF(C2464="x",V2463,"")))</f>
        <v/>
      </c>
      <c r="X2464" cm="1">
        <f t="array" ref="X2464">IF($I2464&lt;&gt;"",$I2464,INDEX($I$1:$I2464,ROW()-COUNTIFS($T$1:$T2464,"="&amp;$T2464,$S$1:$S2464,"&lt;"&amp;$S2464)))</f>
        <v>0</v>
      </c>
      <c r="Z2464" s="6">
        <f t="shared" si="350"/>
        <v>1</v>
      </c>
      <c r="AA2464" t="e">
        <f t="shared" si="351"/>
        <v>#VALUE!</v>
      </c>
      <c r="AB2464" t="str">
        <f t="shared" si="352"/>
        <v/>
      </c>
      <c r="AC2464" t="e">
        <f t="shared" si="353"/>
        <v>#VALUE!</v>
      </c>
    </row>
    <row r="2465" spans="1:29" x14ac:dyDescent="0.2">
      <c r="A2465" t="str">
        <f t="shared" si="354"/>
        <v/>
      </c>
      <c r="E2465" s="4"/>
      <c r="F2465" s="46"/>
      <c r="G2465" s="4"/>
      <c r="H2465" s="48"/>
      <c r="J2465" s="26" t="str">
        <f t="shared" si="355"/>
        <v/>
      </c>
      <c r="N2465" t="str">
        <f t="shared" si="356"/>
        <v/>
      </c>
      <c r="Q2465" t="str">
        <f t="shared" si="357"/>
        <v/>
      </c>
      <c r="S2465" t="str">
        <f>IF(A2465=1,MAX($S$2:$S2464)+1,IF(OR($I2465&lt;&gt;"",A2465="x"),$S2464,""))</f>
        <v/>
      </c>
      <c r="T2465" t="str">
        <f>IF(D2465=1,MAX($T$2:$T2464)+1,IF(S2465=S2464,$T2464,IF(D2465="x",T2464,IF(D2464="x","",""))))</f>
        <v/>
      </c>
      <c r="U2465" t="str">
        <f>IF(B2465=1,MAX($U$2:$U2464)+1,IF(AND($T2465&lt;&gt;"",$T2465=$T2464),$U2464,IF(B2465="x",U2464,"")))</f>
        <v/>
      </c>
      <c r="V2465" t="str">
        <f>IF(C2465=1,MAX($V$2:$V2464)+1,IF(AND($T2465&lt;&gt;"",$T2465=$T2464),$U2464,IF(C2465="x",V2464,"")))</f>
        <v/>
      </c>
      <c r="X2465" cm="1">
        <f t="array" ref="X2465">IF($I2465&lt;&gt;"",$I2465,INDEX($I$1:$I2465,ROW()-COUNTIFS($T$1:$T2465,"="&amp;$T2465,$S$1:$S2465,"&lt;"&amp;$S2465)))</f>
        <v>0</v>
      </c>
      <c r="Z2465" s="6">
        <f t="shared" si="350"/>
        <v>1</v>
      </c>
      <c r="AA2465" t="e">
        <f t="shared" si="351"/>
        <v>#VALUE!</v>
      </c>
      <c r="AB2465" t="str">
        <f t="shared" si="352"/>
        <v/>
      </c>
      <c r="AC2465" t="e">
        <f t="shared" si="353"/>
        <v>#VALUE!</v>
      </c>
    </row>
    <row r="2466" spans="1:29" x14ac:dyDescent="0.2">
      <c r="A2466" t="str">
        <f t="shared" si="354"/>
        <v/>
      </c>
      <c r="E2466" s="4"/>
      <c r="F2466" s="46"/>
      <c r="G2466" s="4"/>
      <c r="H2466" s="48"/>
      <c r="J2466" s="26" t="str">
        <f t="shared" si="355"/>
        <v/>
      </c>
      <c r="N2466" t="str">
        <f t="shared" si="356"/>
        <v/>
      </c>
      <c r="Q2466" t="str">
        <f t="shared" si="357"/>
        <v/>
      </c>
      <c r="S2466" t="str">
        <f>IF(A2466=1,MAX($S$2:$S2465)+1,IF(OR($I2466&lt;&gt;"",A2466="x"),$S2465,""))</f>
        <v/>
      </c>
      <c r="T2466" t="str">
        <f>IF(D2466=1,MAX($T$2:$T2465)+1,IF(S2466=S2465,$T2465,IF(D2466="x",T2465,IF(D2465="x","",""))))</f>
        <v/>
      </c>
      <c r="U2466" t="str">
        <f>IF(B2466=1,MAX($U$2:$U2465)+1,IF(AND($T2466&lt;&gt;"",$T2466=$T2465),$U2465,IF(B2466="x",U2465,"")))</f>
        <v/>
      </c>
      <c r="V2466" t="str">
        <f>IF(C2466=1,MAX($V$2:$V2465)+1,IF(AND($T2466&lt;&gt;"",$T2466=$T2465),$U2465,IF(C2466="x",V2465,"")))</f>
        <v/>
      </c>
      <c r="X2466" cm="1">
        <f t="array" ref="X2466">IF($I2466&lt;&gt;"",$I2466,INDEX($I$1:$I2466,ROW()-COUNTIFS($T$1:$T2466,"="&amp;$T2466,$S$1:$S2466,"&lt;"&amp;$S2466)))</f>
        <v>0</v>
      </c>
      <c r="Z2466" s="6">
        <f t="shared" si="350"/>
        <v>1</v>
      </c>
      <c r="AA2466" t="e">
        <f t="shared" si="351"/>
        <v>#VALUE!</v>
      </c>
      <c r="AB2466" t="str">
        <f t="shared" si="352"/>
        <v/>
      </c>
      <c r="AC2466" t="e">
        <f t="shared" si="353"/>
        <v>#VALUE!</v>
      </c>
    </row>
    <row r="2467" spans="1:29" x14ac:dyDescent="0.2">
      <c r="A2467" t="str">
        <f t="shared" si="354"/>
        <v/>
      </c>
      <c r="E2467" s="4"/>
      <c r="F2467" s="46"/>
      <c r="G2467" s="4"/>
      <c r="H2467" s="48"/>
      <c r="J2467" s="26" t="str">
        <f t="shared" si="355"/>
        <v/>
      </c>
      <c r="N2467" t="str">
        <f t="shared" si="356"/>
        <v/>
      </c>
      <c r="Q2467" t="str">
        <f t="shared" si="357"/>
        <v/>
      </c>
      <c r="S2467" t="str">
        <f>IF(A2467=1,MAX($S$2:$S2466)+1,IF(OR($I2467&lt;&gt;"",A2467="x"),$S2466,""))</f>
        <v/>
      </c>
      <c r="T2467" t="str">
        <f>IF(D2467=1,MAX($T$2:$T2466)+1,IF(S2467=S2466,$T2466,IF(D2467="x",T2466,IF(D2466="x","",""))))</f>
        <v/>
      </c>
      <c r="U2467" t="str">
        <f>IF(B2467=1,MAX($U$2:$U2466)+1,IF(AND($T2467&lt;&gt;"",$T2467=$T2466),$U2466,IF(B2467="x",U2466,"")))</f>
        <v/>
      </c>
      <c r="V2467" t="str">
        <f>IF(C2467=1,MAX($V$2:$V2466)+1,IF(AND($T2467&lt;&gt;"",$T2467=$T2466),$U2466,IF(C2467="x",V2466,"")))</f>
        <v/>
      </c>
      <c r="X2467" cm="1">
        <f t="array" ref="X2467">IF($I2467&lt;&gt;"",$I2467,INDEX($I$1:$I2467,ROW()-COUNTIFS($T$1:$T2467,"="&amp;$T2467,$S$1:$S2467,"&lt;"&amp;$S2467)))</f>
        <v>0</v>
      </c>
      <c r="Z2467" s="6">
        <f t="shared" si="350"/>
        <v>1</v>
      </c>
      <c r="AA2467" t="e">
        <f t="shared" si="351"/>
        <v>#VALUE!</v>
      </c>
      <c r="AB2467" t="str">
        <f t="shared" si="352"/>
        <v/>
      </c>
      <c r="AC2467" t="e">
        <f t="shared" si="353"/>
        <v>#VALUE!</v>
      </c>
    </row>
    <row r="2468" spans="1:29" x14ac:dyDescent="0.2">
      <c r="A2468" t="str">
        <f t="shared" si="354"/>
        <v/>
      </c>
      <c r="E2468" s="4"/>
      <c r="F2468" s="46"/>
      <c r="G2468" s="4"/>
      <c r="H2468" s="48"/>
      <c r="J2468" s="26" t="str">
        <f t="shared" si="355"/>
        <v/>
      </c>
      <c r="N2468" t="str">
        <f t="shared" si="356"/>
        <v/>
      </c>
      <c r="Q2468" t="str">
        <f t="shared" si="357"/>
        <v/>
      </c>
      <c r="S2468" t="str">
        <f>IF(A2468=1,MAX($S$2:$S2467)+1,IF(OR($I2468&lt;&gt;"",A2468="x"),$S2467,""))</f>
        <v/>
      </c>
      <c r="T2468" t="str">
        <f>IF(D2468=1,MAX($T$2:$T2467)+1,IF(S2468=S2467,$T2467,IF(D2468="x",T2467,IF(D2467="x","",""))))</f>
        <v/>
      </c>
      <c r="U2468" t="str">
        <f>IF(B2468=1,MAX($U$2:$U2467)+1,IF(AND($T2468&lt;&gt;"",$T2468=$T2467),$U2467,IF(B2468="x",U2467,"")))</f>
        <v/>
      </c>
      <c r="V2468" t="str">
        <f>IF(C2468=1,MAX($V$2:$V2467)+1,IF(AND($T2468&lt;&gt;"",$T2468=$T2467),$U2467,IF(C2468="x",V2467,"")))</f>
        <v/>
      </c>
      <c r="X2468" cm="1">
        <f t="array" ref="X2468">IF($I2468&lt;&gt;"",$I2468,INDEX($I$1:$I2468,ROW()-COUNTIFS($T$1:$T2468,"="&amp;$T2468,$S$1:$S2468,"&lt;"&amp;$S2468)))</f>
        <v>0</v>
      </c>
      <c r="Z2468" s="6">
        <f t="shared" si="350"/>
        <v>1</v>
      </c>
      <c r="AA2468" t="e">
        <f t="shared" si="351"/>
        <v>#VALUE!</v>
      </c>
      <c r="AB2468" t="str">
        <f t="shared" si="352"/>
        <v/>
      </c>
      <c r="AC2468" t="e">
        <f t="shared" si="353"/>
        <v>#VALUE!</v>
      </c>
    </row>
    <row r="2469" spans="1:29" x14ac:dyDescent="0.2">
      <c r="A2469" t="str">
        <f t="shared" si="354"/>
        <v/>
      </c>
      <c r="E2469" s="4"/>
      <c r="F2469" s="46"/>
      <c r="G2469" s="4"/>
      <c r="H2469" s="48"/>
      <c r="J2469" s="26" t="str">
        <f t="shared" si="355"/>
        <v/>
      </c>
      <c r="N2469" t="str">
        <f t="shared" si="356"/>
        <v/>
      </c>
      <c r="Q2469" t="str">
        <f t="shared" si="357"/>
        <v/>
      </c>
      <c r="S2469" t="str">
        <f>IF(A2469=1,MAX($S$2:$S2468)+1,IF(OR($I2469&lt;&gt;"",A2469="x"),$S2468,""))</f>
        <v/>
      </c>
      <c r="T2469" t="str">
        <f>IF(D2469=1,MAX($T$2:$T2468)+1,IF(S2469=S2468,$T2468,IF(D2469="x",T2468,IF(D2468="x","",""))))</f>
        <v/>
      </c>
      <c r="U2469" t="str">
        <f>IF(B2469=1,MAX($U$2:$U2468)+1,IF(AND($T2469&lt;&gt;"",$T2469=$T2468),$U2468,IF(B2469="x",U2468,"")))</f>
        <v/>
      </c>
      <c r="V2469" t="str">
        <f>IF(C2469=1,MAX($V$2:$V2468)+1,IF(AND($T2469&lt;&gt;"",$T2469=$T2468),$U2468,IF(C2469="x",V2468,"")))</f>
        <v/>
      </c>
      <c r="X2469" cm="1">
        <f t="array" ref="X2469">IF($I2469&lt;&gt;"",$I2469,INDEX($I$1:$I2469,ROW()-COUNTIFS($T$1:$T2469,"="&amp;$T2469,$S$1:$S2469,"&lt;"&amp;$S2469)))</f>
        <v>0</v>
      </c>
      <c r="Z2469" s="6">
        <f t="shared" si="350"/>
        <v>1</v>
      </c>
      <c r="AA2469" t="e">
        <f t="shared" si="351"/>
        <v>#VALUE!</v>
      </c>
      <c r="AB2469" t="str">
        <f t="shared" si="352"/>
        <v/>
      </c>
      <c r="AC2469" t="e">
        <f t="shared" si="353"/>
        <v>#VALUE!</v>
      </c>
    </row>
    <row r="2470" spans="1:29" x14ac:dyDescent="0.2">
      <c r="A2470" t="str">
        <f t="shared" si="354"/>
        <v/>
      </c>
      <c r="E2470" s="4"/>
      <c r="F2470" s="46"/>
      <c r="G2470" s="4"/>
      <c r="H2470" s="48"/>
      <c r="J2470" s="26" t="str">
        <f t="shared" si="355"/>
        <v/>
      </c>
      <c r="N2470" t="str">
        <f t="shared" si="356"/>
        <v/>
      </c>
      <c r="Q2470" t="str">
        <f t="shared" si="357"/>
        <v/>
      </c>
      <c r="S2470" t="str">
        <f>IF(A2470=1,MAX($S$2:$S2469)+1,IF(OR($I2470&lt;&gt;"",A2470="x"),$S2469,""))</f>
        <v/>
      </c>
      <c r="T2470" t="str">
        <f>IF(D2470=1,MAX($T$2:$T2469)+1,IF(S2470=S2469,$T2469,IF(D2470="x",T2469,IF(D2469="x","",""))))</f>
        <v/>
      </c>
      <c r="U2470" t="str">
        <f>IF(B2470=1,MAX($U$2:$U2469)+1,IF(AND($T2470&lt;&gt;"",$T2470=$T2469),$U2469,IF(B2470="x",U2469,"")))</f>
        <v/>
      </c>
      <c r="V2470" t="str">
        <f>IF(C2470=1,MAX($V$2:$V2469)+1,IF(AND($T2470&lt;&gt;"",$T2470=$T2469),$U2469,IF(C2470="x",V2469,"")))</f>
        <v/>
      </c>
      <c r="X2470" cm="1">
        <f t="array" ref="X2470">IF($I2470&lt;&gt;"",$I2470,INDEX($I$1:$I2470,ROW()-COUNTIFS($T$1:$T2470,"="&amp;$T2470,$S$1:$S2470,"&lt;"&amp;$S2470)))</f>
        <v>0</v>
      </c>
      <c r="Z2470" s="6">
        <f t="shared" si="350"/>
        <v>1</v>
      </c>
      <c r="AA2470" t="e">
        <f t="shared" si="351"/>
        <v>#VALUE!</v>
      </c>
      <c r="AB2470" t="str">
        <f t="shared" si="352"/>
        <v/>
      </c>
      <c r="AC2470" t="e">
        <f t="shared" si="353"/>
        <v>#VALUE!</v>
      </c>
    </row>
    <row r="2471" spans="1:29" x14ac:dyDescent="0.2">
      <c r="A2471" t="str">
        <f t="shared" si="354"/>
        <v/>
      </c>
      <c r="E2471" s="4"/>
      <c r="F2471" s="46"/>
      <c r="G2471" s="4"/>
      <c r="H2471" s="48"/>
      <c r="J2471" s="26" t="str">
        <f t="shared" si="355"/>
        <v/>
      </c>
      <c r="N2471" t="str">
        <f t="shared" si="356"/>
        <v/>
      </c>
      <c r="Q2471" t="str">
        <f t="shared" si="357"/>
        <v/>
      </c>
      <c r="S2471" t="str">
        <f>IF(A2471=1,MAX($S$2:$S2470)+1,IF(OR($I2471&lt;&gt;"",A2471="x"),$S2470,""))</f>
        <v/>
      </c>
      <c r="T2471" t="str">
        <f>IF(D2471=1,MAX($T$2:$T2470)+1,IF(S2471=S2470,$T2470,IF(D2471="x",T2470,IF(D2470="x","",""))))</f>
        <v/>
      </c>
      <c r="U2471" t="str">
        <f>IF(B2471=1,MAX($U$2:$U2470)+1,IF(AND($T2471&lt;&gt;"",$T2471=$T2470),$U2470,IF(B2471="x",U2470,"")))</f>
        <v/>
      </c>
      <c r="V2471" t="str">
        <f>IF(C2471=1,MAX($V$2:$V2470)+1,IF(AND($T2471&lt;&gt;"",$T2471=$T2470),$U2470,IF(C2471="x",V2470,"")))</f>
        <v/>
      </c>
      <c r="X2471" cm="1">
        <f t="array" ref="X2471">IF($I2471&lt;&gt;"",$I2471,INDEX($I$1:$I2471,ROW()-COUNTIFS($T$1:$T2471,"="&amp;$T2471,$S$1:$S2471,"&lt;"&amp;$S2471)))</f>
        <v>0</v>
      </c>
      <c r="Z2471" s="6">
        <f t="shared" si="350"/>
        <v>1</v>
      </c>
      <c r="AA2471" t="e">
        <f t="shared" si="351"/>
        <v>#VALUE!</v>
      </c>
      <c r="AB2471" t="str">
        <f t="shared" si="352"/>
        <v/>
      </c>
      <c r="AC2471" t="e">
        <f t="shared" si="353"/>
        <v>#VALUE!</v>
      </c>
    </row>
    <row r="2472" spans="1:29" x14ac:dyDescent="0.2">
      <c r="A2472" t="str">
        <f t="shared" si="354"/>
        <v/>
      </c>
      <c r="E2472" s="4"/>
      <c r="F2472" s="46"/>
      <c r="G2472" s="4"/>
      <c r="H2472" s="48"/>
      <c r="J2472" s="26" t="str">
        <f t="shared" si="355"/>
        <v/>
      </c>
      <c r="N2472" t="str">
        <f t="shared" si="356"/>
        <v/>
      </c>
      <c r="Q2472" t="str">
        <f t="shared" si="357"/>
        <v/>
      </c>
      <c r="S2472" t="str">
        <f>IF(A2472=1,MAX($S$2:$S2471)+1,IF(OR($I2472&lt;&gt;"",A2472="x"),$S2471,""))</f>
        <v/>
      </c>
      <c r="T2472" t="str">
        <f>IF(D2472=1,MAX($T$2:$T2471)+1,IF(S2472=S2471,$T2471,IF(D2472="x",T2471,IF(D2471="x","",""))))</f>
        <v/>
      </c>
      <c r="U2472" t="str">
        <f>IF(B2472=1,MAX($U$2:$U2471)+1,IF(AND($T2472&lt;&gt;"",$T2472=$T2471),$U2471,IF(B2472="x",U2471,"")))</f>
        <v/>
      </c>
      <c r="V2472" t="str">
        <f>IF(C2472=1,MAX($V$2:$V2471)+1,IF(AND($T2472&lt;&gt;"",$T2472=$T2471),$U2471,IF(C2472="x",V2471,"")))</f>
        <v/>
      </c>
      <c r="X2472" cm="1">
        <f t="array" ref="X2472">IF($I2472&lt;&gt;"",$I2472,INDEX($I$1:$I2472,ROW()-COUNTIFS($T$1:$T2472,"="&amp;$T2472,$S$1:$S2472,"&lt;"&amp;$S2472)))</f>
        <v>0</v>
      </c>
      <c r="Z2472" s="6">
        <f t="shared" si="350"/>
        <v>1</v>
      </c>
      <c r="AA2472" t="e">
        <f t="shared" si="351"/>
        <v>#VALUE!</v>
      </c>
      <c r="AB2472" t="str">
        <f t="shared" si="352"/>
        <v/>
      </c>
      <c r="AC2472" t="e">
        <f t="shared" si="353"/>
        <v>#VALUE!</v>
      </c>
    </row>
    <row r="2473" spans="1:29" x14ac:dyDescent="0.2">
      <c r="A2473" t="str">
        <f t="shared" si="354"/>
        <v/>
      </c>
      <c r="E2473" s="4"/>
      <c r="F2473" s="46"/>
      <c r="G2473" s="4"/>
      <c r="H2473" s="48"/>
      <c r="J2473" s="26" t="str">
        <f t="shared" si="355"/>
        <v/>
      </c>
      <c r="N2473" t="str">
        <f t="shared" si="356"/>
        <v/>
      </c>
      <c r="Q2473" t="str">
        <f t="shared" si="357"/>
        <v/>
      </c>
      <c r="S2473" t="str">
        <f>IF(A2473=1,MAX($S$2:$S2472)+1,IF(OR($I2473&lt;&gt;"",A2473="x"),$S2472,""))</f>
        <v/>
      </c>
      <c r="T2473" t="str">
        <f>IF(D2473=1,MAX($T$2:$T2472)+1,IF(S2473=S2472,$T2472,IF(D2473="x",T2472,IF(D2472="x","",""))))</f>
        <v/>
      </c>
      <c r="U2473" t="str">
        <f>IF(B2473=1,MAX($U$2:$U2472)+1,IF(AND($T2473&lt;&gt;"",$T2473=$T2472),$U2472,IF(B2473="x",U2472,"")))</f>
        <v/>
      </c>
      <c r="V2473" t="str">
        <f>IF(C2473=1,MAX($V$2:$V2472)+1,IF(AND($T2473&lt;&gt;"",$T2473=$T2472),$U2472,IF(C2473="x",V2472,"")))</f>
        <v/>
      </c>
      <c r="X2473" cm="1">
        <f t="array" ref="X2473">IF($I2473&lt;&gt;"",$I2473,INDEX($I$1:$I2473,ROW()-COUNTIFS($T$1:$T2473,"="&amp;$T2473,$S$1:$S2473,"&lt;"&amp;$S2473)))</f>
        <v>0</v>
      </c>
      <c r="Z2473" s="6">
        <f t="shared" si="350"/>
        <v>1</v>
      </c>
      <c r="AA2473" t="e">
        <f t="shared" si="351"/>
        <v>#VALUE!</v>
      </c>
      <c r="AB2473" t="str">
        <f t="shared" si="352"/>
        <v/>
      </c>
      <c r="AC2473" t="e">
        <f t="shared" si="353"/>
        <v>#VALUE!</v>
      </c>
    </row>
    <row r="2474" spans="1:29" x14ac:dyDescent="0.2">
      <c r="A2474" t="str">
        <f t="shared" si="354"/>
        <v/>
      </c>
      <c r="E2474" s="4"/>
      <c r="F2474" s="46"/>
      <c r="G2474" s="4"/>
      <c r="H2474" s="48"/>
      <c r="J2474" s="26" t="str">
        <f t="shared" si="355"/>
        <v/>
      </c>
      <c r="N2474" t="str">
        <f t="shared" si="356"/>
        <v/>
      </c>
      <c r="Q2474" t="str">
        <f t="shared" si="357"/>
        <v/>
      </c>
      <c r="S2474" t="str">
        <f>IF(A2474=1,MAX($S$2:$S2473)+1,IF(OR($I2474&lt;&gt;"",A2474="x"),$S2473,""))</f>
        <v/>
      </c>
      <c r="T2474" t="str">
        <f>IF(D2474=1,MAX($T$2:$T2473)+1,IF(S2474=S2473,$T2473,IF(D2474="x",T2473,IF(D2473="x","",""))))</f>
        <v/>
      </c>
      <c r="U2474" t="str">
        <f>IF(B2474=1,MAX($U$2:$U2473)+1,IF(AND($T2474&lt;&gt;"",$T2474=$T2473),$U2473,IF(B2474="x",U2473,"")))</f>
        <v/>
      </c>
      <c r="V2474" t="str">
        <f>IF(C2474=1,MAX($V$2:$V2473)+1,IF(AND($T2474&lt;&gt;"",$T2474=$T2473),$U2473,IF(C2474="x",V2473,"")))</f>
        <v/>
      </c>
      <c r="X2474" cm="1">
        <f t="array" ref="X2474">IF($I2474&lt;&gt;"",$I2474,INDEX($I$1:$I2474,ROW()-COUNTIFS($T$1:$T2474,"="&amp;$T2474,$S$1:$S2474,"&lt;"&amp;$S2474)))</f>
        <v>0</v>
      </c>
      <c r="Z2474" s="6">
        <f t="shared" si="350"/>
        <v>1</v>
      </c>
      <c r="AA2474" t="e">
        <f t="shared" si="351"/>
        <v>#VALUE!</v>
      </c>
      <c r="AB2474" t="str">
        <f t="shared" si="352"/>
        <v/>
      </c>
      <c r="AC2474" t="e">
        <f t="shared" si="353"/>
        <v>#VALUE!</v>
      </c>
    </row>
    <row r="2475" spans="1:29" x14ac:dyDescent="0.2">
      <c r="A2475" t="str">
        <f t="shared" si="354"/>
        <v/>
      </c>
      <c r="E2475" s="4"/>
      <c r="F2475" s="46"/>
      <c r="G2475" s="4"/>
      <c r="H2475" s="48"/>
      <c r="J2475" s="26" t="str">
        <f t="shared" si="355"/>
        <v/>
      </c>
      <c r="N2475" t="str">
        <f t="shared" si="356"/>
        <v/>
      </c>
      <c r="Q2475" t="str">
        <f t="shared" si="357"/>
        <v/>
      </c>
      <c r="S2475" t="str">
        <f>IF(A2475=1,MAX($S$2:$S2474)+1,IF(OR($I2475&lt;&gt;"",A2475="x"),$S2474,""))</f>
        <v/>
      </c>
      <c r="T2475" t="str">
        <f>IF(D2475=1,MAX($T$2:$T2474)+1,IF(S2475=S2474,$T2474,IF(D2475="x",T2474,IF(D2474="x","",""))))</f>
        <v/>
      </c>
      <c r="U2475" t="str">
        <f>IF(B2475=1,MAX($U$2:$U2474)+1,IF(AND($T2475&lt;&gt;"",$T2475=$T2474),$U2474,IF(B2475="x",U2474,"")))</f>
        <v/>
      </c>
      <c r="V2475" t="str">
        <f>IF(C2475=1,MAX($V$2:$V2474)+1,IF(AND($T2475&lt;&gt;"",$T2475=$T2474),$U2474,IF(C2475="x",V2474,"")))</f>
        <v/>
      </c>
      <c r="X2475" cm="1">
        <f t="array" ref="X2475">IF($I2475&lt;&gt;"",$I2475,INDEX($I$1:$I2475,ROW()-COUNTIFS($T$1:$T2475,"="&amp;$T2475,$S$1:$S2475,"&lt;"&amp;$S2475)))</f>
        <v>0</v>
      </c>
      <c r="Z2475" s="6">
        <f t="shared" si="350"/>
        <v>1</v>
      </c>
      <c r="AA2475" t="e">
        <f t="shared" si="351"/>
        <v>#VALUE!</v>
      </c>
      <c r="AB2475" t="str">
        <f t="shared" si="352"/>
        <v/>
      </c>
      <c r="AC2475" t="e">
        <f t="shared" si="353"/>
        <v>#VALUE!</v>
      </c>
    </row>
    <row r="2476" spans="1:29" x14ac:dyDescent="0.2">
      <c r="A2476" t="str">
        <f t="shared" si="354"/>
        <v/>
      </c>
      <c r="E2476" s="4"/>
      <c r="F2476" s="46"/>
      <c r="G2476" s="4"/>
      <c r="H2476" s="48"/>
      <c r="J2476" s="26" t="str">
        <f t="shared" si="355"/>
        <v/>
      </c>
      <c r="N2476" t="str">
        <f t="shared" si="356"/>
        <v/>
      </c>
      <c r="Q2476" t="str">
        <f t="shared" si="357"/>
        <v/>
      </c>
      <c r="S2476" t="str">
        <f>IF(A2476=1,MAX($S$2:$S2475)+1,IF(OR($I2476&lt;&gt;"",A2476="x"),$S2475,""))</f>
        <v/>
      </c>
      <c r="T2476" t="str">
        <f>IF(D2476=1,MAX($T$2:$T2475)+1,IF(S2476=S2475,$T2475,IF(D2476="x",T2475,IF(D2475="x","",""))))</f>
        <v/>
      </c>
      <c r="U2476" t="str">
        <f>IF(B2476=1,MAX($U$2:$U2475)+1,IF(AND($T2476&lt;&gt;"",$T2476=$T2475),$U2475,IF(B2476="x",U2475,"")))</f>
        <v/>
      </c>
      <c r="V2476" t="str">
        <f>IF(C2476=1,MAX($V$2:$V2475)+1,IF(AND($T2476&lt;&gt;"",$T2476=$T2475),$U2475,IF(C2476="x",V2475,"")))</f>
        <v/>
      </c>
      <c r="X2476" cm="1">
        <f t="array" ref="X2476">IF($I2476&lt;&gt;"",$I2476,INDEX($I$1:$I2476,ROW()-COUNTIFS($T$1:$T2476,"="&amp;$T2476,$S$1:$S2476,"&lt;"&amp;$S2476)))</f>
        <v>0</v>
      </c>
      <c r="Z2476" s="6">
        <f t="shared" si="350"/>
        <v>1</v>
      </c>
      <c r="AA2476" t="e">
        <f t="shared" si="351"/>
        <v>#VALUE!</v>
      </c>
      <c r="AB2476" t="str">
        <f t="shared" si="352"/>
        <v/>
      </c>
      <c r="AC2476" t="e">
        <f t="shared" si="353"/>
        <v>#VALUE!</v>
      </c>
    </row>
    <row r="2477" spans="1:29" x14ac:dyDescent="0.2">
      <c r="A2477" t="str">
        <f t="shared" si="354"/>
        <v/>
      </c>
      <c r="E2477" s="4"/>
      <c r="F2477" s="46"/>
      <c r="G2477" s="4"/>
      <c r="H2477" s="48"/>
      <c r="J2477" s="26" t="str">
        <f t="shared" si="355"/>
        <v/>
      </c>
      <c r="N2477" t="str">
        <f t="shared" si="356"/>
        <v/>
      </c>
      <c r="Q2477" t="str">
        <f t="shared" si="357"/>
        <v/>
      </c>
      <c r="S2477" t="str">
        <f>IF(A2477=1,MAX($S$2:$S2476)+1,IF(OR($I2477&lt;&gt;"",A2477="x"),$S2476,""))</f>
        <v/>
      </c>
      <c r="T2477" t="str">
        <f>IF(D2477=1,MAX($T$2:$T2476)+1,IF(S2477=S2476,$T2476,IF(D2477="x",T2476,IF(D2476="x","",""))))</f>
        <v/>
      </c>
      <c r="U2477" t="str">
        <f>IF(B2477=1,MAX($U$2:$U2476)+1,IF(AND($T2477&lt;&gt;"",$T2477=$T2476),$U2476,IF(B2477="x",U2476,"")))</f>
        <v/>
      </c>
      <c r="V2477" t="str">
        <f>IF(C2477=1,MAX($V$2:$V2476)+1,IF(AND($T2477&lt;&gt;"",$T2477=$T2476),$U2476,IF(C2477="x",V2476,"")))</f>
        <v/>
      </c>
      <c r="X2477" cm="1">
        <f t="array" ref="X2477">IF($I2477&lt;&gt;"",$I2477,INDEX($I$1:$I2477,ROW()-COUNTIFS($T$1:$T2477,"="&amp;$T2477,$S$1:$S2477,"&lt;"&amp;$S2477)))</f>
        <v>0</v>
      </c>
      <c r="Z2477" s="6">
        <f t="shared" si="350"/>
        <v>1</v>
      </c>
      <c r="AA2477" t="e">
        <f t="shared" si="351"/>
        <v>#VALUE!</v>
      </c>
      <c r="AB2477" t="str">
        <f t="shared" si="352"/>
        <v/>
      </c>
      <c r="AC2477" t="e">
        <f t="shared" si="353"/>
        <v>#VALUE!</v>
      </c>
    </row>
    <row r="2478" spans="1:29" x14ac:dyDescent="0.2">
      <c r="A2478" t="str">
        <f t="shared" si="354"/>
        <v/>
      </c>
      <c r="E2478" s="4"/>
      <c r="F2478" s="46"/>
      <c r="G2478" s="4"/>
      <c r="H2478" s="48"/>
      <c r="J2478" s="26" t="str">
        <f t="shared" si="355"/>
        <v/>
      </c>
      <c r="N2478" t="str">
        <f t="shared" si="356"/>
        <v/>
      </c>
      <c r="Q2478" t="str">
        <f t="shared" si="357"/>
        <v/>
      </c>
      <c r="S2478" t="str">
        <f>IF(A2478=1,MAX($S$2:$S2477)+1,IF(OR($I2478&lt;&gt;"",A2478="x"),$S2477,""))</f>
        <v/>
      </c>
      <c r="T2478" t="str">
        <f>IF(D2478=1,MAX($T$2:$T2477)+1,IF(S2478=S2477,$T2477,IF(D2478="x",T2477,IF(D2477="x","",""))))</f>
        <v/>
      </c>
      <c r="U2478" t="str">
        <f>IF(B2478=1,MAX($U$2:$U2477)+1,IF(AND($T2478&lt;&gt;"",$T2478=$T2477),$U2477,IF(B2478="x",U2477,"")))</f>
        <v/>
      </c>
      <c r="V2478" t="str">
        <f>IF(C2478=1,MAX($V$2:$V2477)+1,IF(AND($T2478&lt;&gt;"",$T2478=$T2477),$U2477,IF(C2478="x",V2477,"")))</f>
        <v/>
      </c>
      <c r="X2478" cm="1">
        <f t="array" ref="X2478">IF($I2478&lt;&gt;"",$I2478,INDEX($I$1:$I2478,ROW()-COUNTIFS($T$1:$T2478,"="&amp;$T2478,$S$1:$S2478,"&lt;"&amp;$S2478)))</f>
        <v>0</v>
      </c>
      <c r="Z2478" s="6">
        <f t="shared" si="350"/>
        <v>1</v>
      </c>
      <c r="AA2478" t="e">
        <f t="shared" si="351"/>
        <v>#VALUE!</v>
      </c>
      <c r="AB2478" t="str">
        <f t="shared" si="352"/>
        <v/>
      </c>
      <c r="AC2478" t="e">
        <f t="shared" si="353"/>
        <v>#VALUE!</v>
      </c>
    </row>
    <row r="2479" spans="1:29" x14ac:dyDescent="0.2">
      <c r="A2479" t="str">
        <f t="shared" si="354"/>
        <v/>
      </c>
      <c r="E2479" s="4"/>
      <c r="F2479" s="46"/>
      <c r="G2479" s="4"/>
      <c r="H2479" s="48"/>
      <c r="J2479" s="26" t="str">
        <f t="shared" si="355"/>
        <v/>
      </c>
      <c r="N2479" t="str">
        <f t="shared" si="356"/>
        <v/>
      </c>
      <c r="Q2479" t="str">
        <f t="shared" si="357"/>
        <v/>
      </c>
      <c r="S2479" t="str">
        <f>IF(A2479=1,MAX($S$2:$S2478)+1,IF(OR($I2479&lt;&gt;"",A2479="x"),$S2478,""))</f>
        <v/>
      </c>
      <c r="T2479" t="str">
        <f>IF(D2479=1,MAX($T$2:$T2478)+1,IF(S2479=S2478,$T2478,IF(D2479="x",T2478,IF(D2478="x","",""))))</f>
        <v/>
      </c>
      <c r="U2479" t="str">
        <f>IF(B2479=1,MAX($U$2:$U2478)+1,IF(AND($T2479&lt;&gt;"",$T2479=$T2478),$U2478,IF(B2479="x",U2478,"")))</f>
        <v/>
      </c>
      <c r="V2479" t="str">
        <f>IF(C2479=1,MAX($V$2:$V2478)+1,IF(AND($T2479&lt;&gt;"",$T2479=$T2478),$U2478,IF(C2479="x",V2478,"")))</f>
        <v/>
      </c>
      <c r="X2479" cm="1">
        <f t="array" ref="X2479">IF($I2479&lt;&gt;"",$I2479,INDEX($I$1:$I2479,ROW()-COUNTIFS($T$1:$T2479,"="&amp;$T2479,$S$1:$S2479,"&lt;"&amp;$S2479)))</f>
        <v>0</v>
      </c>
      <c r="Z2479" s="6">
        <f t="shared" si="350"/>
        <v>1</v>
      </c>
      <c r="AA2479" t="e">
        <f t="shared" si="351"/>
        <v>#VALUE!</v>
      </c>
      <c r="AB2479" t="str">
        <f t="shared" si="352"/>
        <v/>
      </c>
      <c r="AC2479" t="e">
        <f t="shared" si="353"/>
        <v>#VALUE!</v>
      </c>
    </row>
    <row r="2480" spans="1:29" x14ac:dyDescent="0.2">
      <c r="A2480" t="str">
        <f t="shared" si="354"/>
        <v/>
      </c>
      <c r="E2480" s="4"/>
      <c r="F2480" s="46"/>
      <c r="G2480" s="4"/>
      <c r="H2480" s="48"/>
      <c r="J2480" s="26" t="str">
        <f t="shared" si="355"/>
        <v/>
      </c>
      <c r="N2480" t="str">
        <f t="shared" si="356"/>
        <v/>
      </c>
      <c r="Q2480" t="str">
        <f t="shared" si="357"/>
        <v/>
      </c>
      <c r="S2480" t="str">
        <f>IF(A2480=1,MAX($S$2:$S2479)+1,IF(OR($I2480&lt;&gt;"",A2480="x"),$S2479,""))</f>
        <v/>
      </c>
      <c r="T2480" t="str">
        <f>IF(D2480=1,MAX($T$2:$T2479)+1,IF(S2480=S2479,$T2479,IF(D2480="x",T2479,IF(D2479="x","",""))))</f>
        <v/>
      </c>
      <c r="U2480" t="str">
        <f>IF(B2480=1,MAX($U$2:$U2479)+1,IF(AND($T2480&lt;&gt;"",$T2480=$T2479),$U2479,IF(B2480="x",U2479,"")))</f>
        <v/>
      </c>
      <c r="V2480" t="str">
        <f>IF(C2480=1,MAX($V$2:$V2479)+1,IF(AND($T2480&lt;&gt;"",$T2480=$T2479),$U2479,IF(C2480="x",V2479,"")))</f>
        <v/>
      </c>
      <c r="X2480" cm="1">
        <f t="array" ref="X2480">IF($I2480&lt;&gt;"",$I2480,INDEX($I$1:$I2480,ROW()-COUNTIFS($T$1:$T2480,"="&amp;$T2480,$S$1:$S2480,"&lt;"&amp;$S2480)))</f>
        <v>0</v>
      </c>
      <c r="Z2480" s="6">
        <f t="shared" si="350"/>
        <v>1</v>
      </c>
      <c r="AA2480" t="e">
        <f t="shared" si="351"/>
        <v>#VALUE!</v>
      </c>
      <c r="AB2480" t="str">
        <f t="shared" si="352"/>
        <v/>
      </c>
      <c r="AC2480" t="e">
        <f t="shared" si="353"/>
        <v>#VALUE!</v>
      </c>
    </row>
    <row r="2481" spans="1:29" x14ac:dyDescent="0.2">
      <c r="A2481" t="str">
        <f t="shared" si="354"/>
        <v/>
      </c>
      <c r="E2481" s="4"/>
      <c r="F2481" s="46"/>
      <c r="G2481" s="4"/>
      <c r="H2481" s="48"/>
      <c r="J2481" s="26" t="str">
        <f t="shared" si="355"/>
        <v/>
      </c>
      <c r="N2481" t="str">
        <f t="shared" si="356"/>
        <v/>
      </c>
      <c r="Q2481" t="str">
        <f t="shared" si="357"/>
        <v/>
      </c>
      <c r="S2481" t="str">
        <f>IF(A2481=1,MAX($S$2:$S2480)+1,IF(OR($I2481&lt;&gt;"",A2481="x"),$S2480,""))</f>
        <v/>
      </c>
      <c r="T2481" t="str">
        <f>IF(D2481=1,MAX($T$2:$T2480)+1,IF(S2481=S2480,$T2480,IF(D2481="x",T2480,IF(D2480="x","",""))))</f>
        <v/>
      </c>
      <c r="U2481" t="str">
        <f>IF(B2481=1,MAX($U$2:$U2480)+1,IF(AND($T2481&lt;&gt;"",$T2481=$T2480),$U2480,IF(B2481="x",U2480,"")))</f>
        <v/>
      </c>
      <c r="V2481" t="str">
        <f>IF(C2481=1,MAX($V$2:$V2480)+1,IF(AND($T2481&lt;&gt;"",$T2481=$T2480),$U2480,IF(C2481="x",V2480,"")))</f>
        <v/>
      </c>
      <c r="X2481" cm="1">
        <f t="array" ref="X2481">IF($I2481&lt;&gt;"",$I2481,INDEX($I$1:$I2481,ROW()-COUNTIFS($T$1:$T2481,"="&amp;$T2481,$S$1:$S2481,"&lt;"&amp;$S2481)))</f>
        <v>0</v>
      </c>
      <c r="Z2481" s="6">
        <f t="shared" si="350"/>
        <v>1</v>
      </c>
      <c r="AA2481" t="e">
        <f t="shared" si="351"/>
        <v>#VALUE!</v>
      </c>
      <c r="AB2481" t="str">
        <f t="shared" si="352"/>
        <v/>
      </c>
      <c r="AC2481" t="e">
        <f t="shared" si="353"/>
        <v>#VALUE!</v>
      </c>
    </row>
    <row r="2482" spans="1:29" x14ac:dyDescent="0.2">
      <c r="A2482" t="str">
        <f t="shared" si="354"/>
        <v/>
      </c>
      <c r="E2482" s="4"/>
      <c r="F2482" s="46"/>
      <c r="G2482" s="4"/>
      <c r="H2482" s="48"/>
      <c r="J2482" s="26" t="str">
        <f t="shared" si="355"/>
        <v/>
      </c>
      <c r="N2482" t="str">
        <f t="shared" si="356"/>
        <v/>
      </c>
      <c r="Q2482" t="str">
        <f t="shared" si="357"/>
        <v/>
      </c>
      <c r="S2482" t="str">
        <f>IF(A2482=1,MAX($S$2:$S2481)+1,IF(OR($I2482&lt;&gt;"",A2482="x"),$S2481,""))</f>
        <v/>
      </c>
      <c r="T2482" t="str">
        <f>IF(D2482=1,MAX($T$2:$T2481)+1,IF(S2482=S2481,$T2481,IF(D2482="x",T2481,IF(D2481="x","",""))))</f>
        <v/>
      </c>
      <c r="U2482" t="str">
        <f>IF(B2482=1,MAX($U$2:$U2481)+1,IF(AND($T2482&lt;&gt;"",$T2482=$T2481),$U2481,IF(B2482="x",U2481,"")))</f>
        <v/>
      </c>
      <c r="V2482" t="str">
        <f>IF(C2482=1,MAX($V$2:$V2481)+1,IF(AND($T2482&lt;&gt;"",$T2482=$T2481),$U2481,IF(C2482="x",V2481,"")))</f>
        <v/>
      </c>
      <c r="X2482" cm="1">
        <f t="array" ref="X2482">IF($I2482&lt;&gt;"",$I2482,INDEX($I$1:$I2482,ROW()-COUNTIFS($T$1:$T2482,"="&amp;$T2482,$S$1:$S2482,"&lt;"&amp;$S2482)))</f>
        <v>0</v>
      </c>
      <c r="Z2482" s="6">
        <f t="shared" si="350"/>
        <v>1</v>
      </c>
      <c r="AA2482" t="e">
        <f t="shared" si="351"/>
        <v>#VALUE!</v>
      </c>
      <c r="AB2482" t="str">
        <f t="shared" si="352"/>
        <v/>
      </c>
      <c r="AC2482" t="e">
        <f t="shared" si="353"/>
        <v>#VALUE!</v>
      </c>
    </row>
    <row r="2483" spans="1:29" x14ac:dyDescent="0.2">
      <c r="A2483" t="str">
        <f t="shared" si="354"/>
        <v/>
      </c>
      <c r="E2483" s="4"/>
      <c r="F2483" s="46"/>
      <c r="G2483" s="4"/>
      <c r="H2483" s="48"/>
      <c r="J2483" s="26" t="str">
        <f t="shared" si="355"/>
        <v/>
      </c>
      <c r="N2483" t="str">
        <f t="shared" si="356"/>
        <v/>
      </c>
      <c r="Q2483" t="str">
        <f t="shared" si="357"/>
        <v/>
      </c>
      <c r="S2483" t="str">
        <f>IF(A2483=1,MAX($S$2:$S2482)+1,IF(OR($I2483&lt;&gt;"",A2483="x"),$S2482,""))</f>
        <v/>
      </c>
      <c r="T2483" t="str">
        <f>IF(D2483=1,MAX($T$2:$T2482)+1,IF(S2483=S2482,$T2482,IF(D2483="x",T2482,IF(D2482="x","",""))))</f>
        <v/>
      </c>
      <c r="U2483" t="str">
        <f>IF(B2483=1,MAX($U$2:$U2482)+1,IF(AND($T2483&lt;&gt;"",$T2483=$T2482),$U2482,IF(B2483="x",U2482,"")))</f>
        <v/>
      </c>
      <c r="V2483" t="str">
        <f>IF(C2483=1,MAX($V$2:$V2482)+1,IF(AND($T2483&lt;&gt;"",$T2483=$T2482),$U2482,IF(C2483="x",V2482,"")))</f>
        <v/>
      </c>
      <c r="X2483" cm="1">
        <f t="array" ref="X2483">IF($I2483&lt;&gt;"",$I2483,INDEX($I$1:$I2483,ROW()-COUNTIFS($T$1:$T2483,"="&amp;$T2483,$S$1:$S2483,"&lt;"&amp;$S2483)))</f>
        <v>0</v>
      </c>
      <c r="Z2483" s="6">
        <f t="shared" si="350"/>
        <v>1</v>
      </c>
      <c r="AA2483" t="e">
        <f t="shared" si="351"/>
        <v>#VALUE!</v>
      </c>
      <c r="AB2483" t="str">
        <f t="shared" si="352"/>
        <v/>
      </c>
      <c r="AC2483" t="e">
        <f t="shared" si="353"/>
        <v>#VALUE!</v>
      </c>
    </row>
    <row r="2484" spans="1:29" x14ac:dyDescent="0.2">
      <c r="A2484" t="str">
        <f t="shared" si="354"/>
        <v/>
      </c>
      <c r="E2484" s="4"/>
      <c r="F2484" s="46"/>
      <c r="G2484" s="4"/>
      <c r="H2484" s="48"/>
      <c r="J2484" s="26" t="str">
        <f t="shared" si="355"/>
        <v/>
      </c>
      <c r="N2484" t="str">
        <f t="shared" si="356"/>
        <v/>
      </c>
      <c r="Q2484" t="str">
        <f t="shared" si="357"/>
        <v/>
      </c>
      <c r="S2484" t="str">
        <f>IF(A2484=1,MAX($S$2:$S2483)+1,IF(OR($I2484&lt;&gt;"",A2484="x"),$S2483,""))</f>
        <v/>
      </c>
      <c r="T2484" t="str">
        <f>IF(D2484=1,MAX($T$2:$T2483)+1,IF(S2484=S2483,$T2483,IF(D2484="x",T2483,IF(D2483="x","",""))))</f>
        <v/>
      </c>
      <c r="U2484" t="str">
        <f>IF(B2484=1,MAX($U$2:$U2483)+1,IF(AND($T2484&lt;&gt;"",$T2484=$T2483),$U2483,IF(B2484="x",U2483,"")))</f>
        <v/>
      </c>
      <c r="V2484" t="str">
        <f>IF(C2484=1,MAX($V$2:$V2483)+1,IF(AND($T2484&lt;&gt;"",$T2484=$T2483),$U2483,IF(C2484="x",V2483,"")))</f>
        <v/>
      </c>
      <c r="X2484" cm="1">
        <f t="array" ref="X2484">IF($I2484&lt;&gt;"",$I2484,INDEX($I$1:$I2484,ROW()-COUNTIFS($T$1:$T2484,"="&amp;$T2484,$S$1:$S2484,"&lt;"&amp;$S2484)))</f>
        <v>0</v>
      </c>
      <c r="Z2484" s="6">
        <f t="shared" si="350"/>
        <v>1</v>
      </c>
      <c r="AA2484" t="e">
        <f t="shared" si="351"/>
        <v>#VALUE!</v>
      </c>
      <c r="AB2484" t="str">
        <f t="shared" si="352"/>
        <v/>
      </c>
      <c r="AC2484" t="e">
        <f t="shared" si="353"/>
        <v>#VALUE!</v>
      </c>
    </row>
    <row r="2485" spans="1:29" x14ac:dyDescent="0.2">
      <c r="A2485" t="str">
        <f t="shared" si="354"/>
        <v/>
      </c>
      <c r="E2485" s="4"/>
      <c r="F2485" s="46"/>
      <c r="G2485" s="4"/>
      <c r="H2485" s="48"/>
      <c r="J2485" s="26" t="str">
        <f t="shared" si="355"/>
        <v/>
      </c>
      <c r="N2485" t="str">
        <f t="shared" si="356"/>
        <v/>
      </c>
      <c r="Q2485" t="str">
        <f t="shared" si="357"/>
        <v/>
      </c>
      <c r="S2485" t="str">
        <f>IF(A2485=1,MAX($S$2:$S2484)+1,IF(OR($I2485&lt;&gt;"",A2485="x"),$S2484,""))</f>
        <v/>
      </c>
      <c r="T2485" t="str">
        <f>IF(D2485=1,MAX($T$2:$T2484)+1,IF(S2485=S2484,$T2484,IF(D2485="x",T2484,IF(D2484="x","",""))))</f>
        <v/>
      </c>
      <c r="U2485" t="str">
        <f>IF(B2485=1,MAX($U$2:$U2484)+1,IF(AND($T2485&lt;&gt;"",$T2485=$T2484),$U2484,IF(B2485="x",U2484,"")))</f>
        <v/>
      </c>
      <c r="V2485" t="str">
        <f>IF(C2485=1,MAX($V$2:$V2484)+1,IF(AND($T2485&lt;&gt;"",$T2485=$T2484),$U2484,IF(C2485="x",V2484,"")))</f>
        <v/>
      </c>
      <c r="X2485" cm="1">
        <f t="array" ref="X2485">IF($I2485&lt;&gt;"",$I2485,INDEX($I$1:$I2485,ROW()-COUNTIFS($T$1:$T2485,"="&amp;$T2485,$S$1:$S2485,"&lt;"&amp;$S2485)))</f>
        <v>0</v>
      </c>
      <c r="Z2485" s="6">
        <f t="shared" si="350"/>
        <v>1</v>
      </c>
      <c r="AA2485" t="e">
        <f t="shared" si="351"/>
        <v>#VALUE!</v>
      </c>
      <c r="AB2485" t="str">
        <f t="shared" si="352"/>
        <v/>
      </c>
      <c r="AC2485" t="e">
        <f t="shared" si="353"/>
        <v>#VALUE!</v>
      </c>
    </row>
    <row r="2486" spans="1:29" x14ac:dyDescent="0.2">
      <c r="A2486" t="str">
        <f t="shared" si="354"/>
        <v/>
      </c>
      <c r="E2486" s="4"/>
      <c r="F2486" s="46"/>
      <c r="G2486" s="4"/>
      <c r="H2486" s="48"/>
      <c r="J2486" s="26" t="str">
        <f t="shared" si="355"/>
        <v/>
      </c>
      <c r="N2486" t="str">
        <f t="shared" si="356"/>
        <v/>
      </c>
      <c r="Q2486" t="str">
        <f t="shared" si="357"/>
        <v/>
      </c>
      <c r="S2486" t="str">
        <f>IF(A2486=1,MAX($S$2:$S2485)+1,IF(OR($I2486&lt;&gt;"",A2486="x"),$S2485,""))</f>
        <v/>
      </c>
      <c r="T2486" t="str">
        <f>IF(D2486=1,MAX($T$2:$T2485)+1,IF(S2486=S2485,$T2485,IF(D2486="x",T2485,IF(D2485="x","",""))))</f>
        <v/>
      </c>
      <c r="U2486" t="str">
        <f>IF(B2486=1,MAX($U$2:$U2485)+1,IF(AND($T2486&lt;&gt;"",$T2486=$T2485),$U2485,IF(B2486="x",U2485,"")))</f>
        <v/>
      </c>
      <c r="V2486" t="str">
        <f>IF(C2486=1,MAX($V$2:$V2485)+1,IF(AND($T2486&lt;&gt;"",$T2486=$T2485),$U2485,IF(C2486="x",V2485,"")))</f>
        <v/>
      </c>
      <c r="X2486" cm="1">
        <f t="array" ref="X2486">IF($I2486&lt;&gt;"",$I2486,INDEX($I$1:$I2486,ROW()-COUNTIFS($T$1:$T2486,"="&amp;$T2486,$S$1:$S2486,"&lt;"&amp;$S2486)))</f>
        <v>0</v>
      </c>
      <c r="Z2486" s="6">
        <f t="shared" si="350"/>
        <v>1</v>
      </c>
      <c r="AA2486" t="e">
        <f t="shared" si="351"/>
        <v>#VALUE!</v>
      </c>
      <c r="AB2486" t="str">
        <f t="shared" si="352"/>
        <v/>
      </c>
      <c r="AC2486" t="e">
        <f t="shared" si="353"/>
        <v>#VALUE!</v>
      </c>
    </row>
    <row r="2487" spans="1:29" x14ac:dyDescent="0.2">
      <c r="A2487" t="str">
        <f t="shared" si="354"/>
        <v/>
      </c>
      <c r="E2487" s="4"/>
      <c r="F2487" s="46"/>
      <c r="G2487" s="4"/>
      <c r="H2487" s="48"/>
      <c r="J2487" s="26" t="str">
        <f t="shared" si="355"/>
        <v/>
      </c>
      <c r="N2487" t="str">
        <f t="shared" si="356"/>
        <v/>
      </c>
      <c r="Q2487" t="str">
        <f t="shared" si="357"/>
        <v/>
      </c>
      <c r="S2487" t="str">
        <f>IF(A2487=1,MAX($S$2:$S2486)+1,IF(OR($I2487&lt;&gt;"",A2487="x"),$S2486,""))</f>
        <v/>
      </c>
      <c r="T2487" t="str">
        <f>IF(D2487=1,MAX($T$2:$T2486)+1,IF(S2487=S2486,$T2486,IF(D2487="x",T2486,IF(D2486="x","",""))))</f>
        <v/>
      </c>
      <c r="U2487" t="str">
        <f>IF(B2487=1,MAX($U$2:$U2486)+1,IF(AND($T2487&lt;&gt;"",$T2487=$T2486),$U2486,IF(B2487="x",U2486,"")))</f>
        <v/>
      </c>
      <c r="V2487" t="str">
        <f>IF(C2487=1,MAX($V$2:$V2486)+1,IF(AND($T2487&lt;&gt;"",$T2487=$T2486),$U2486,IF(C2487="x",V2486,"")))</f>
        <v/>
      </c>
      <c r="X2487" cm="1">
        <f t="array" ref="X2487">IF($I2487&lt;&gt;"",$I2487,INDEX($I$1:$I2487,ROW()-COUNTIFS($T$1:$T2487,"="&amp;$T2487,$S$1:$S2487,"&lt;"&amp;$S2487)))</f>
        <v>0</v>
      </c>
      <c r="Z2487" s="6">
        <f t="shared" si="350"/>
        <v>1</v>
      </c>
      <c r="AA2487" t="e">
        <f t="shared" si="351"/>
        <v>#VALUE!</v>
      </c>
      <c r="AB2487" t="str">
        <f t="shared" si="352"/>
        <v/>
      </c>
      <c r="AC2487" t="e">
        <f t="shared" si="353"/>
        <v>#VALUE!</v>
      </c>
    </row>
    <row r="2488" spans="1:29" x14ac:dyDescent="0.2">
      <c r="A2488" t="str">
        <f t="shared" si="354"/>
        <v/>
      </c>
      <c r="E2488" s="4"/>
      <c r="F2488" s="46"/>
      <c r="G2488" s="4"/>
      <c r="H2488" s="48"/>
      <c r="J2488" s="26" t="str">
        <f t="shared" si="355"/>
        <v/>
      </c>
      <c r="N2488" t="str">
        <f t="shared" si="356"/>
        <v/>
      </c>
      <c r="Q2488" t="str">
        <f t="shared" si="357"/>
        <v/>
      </c>
      <c r="S2488" t="str">
        <f>IF(A2488=1,MAX($S$2:$S2487)+1,IF(OR($I2488&lt;&gt;"",A2488="x"),$S2487,""))</f>
        <v/>
      </c>
      <c r="T2488" t="str">
        <f>IF(D2488=1,MAX($T$2:$T2487)+1,IF(S2488=S2487,$T2487,IF(D2488="x",T2487,IF(D2487="x","",""))))</f>
        <v/>
      </c>
      <c r="U2488" t="str">
        <f>IF(B2488=1,MAX($U$2:$U2487)+1,IF(AND($T2488&lt;&gt;"",$T2488=$T2487),$U2487,IF(B2488="x",U2487,"")))</f>
        <v/>
      </c>
      <c r="V2488" t="str">
        <f>IF(C2488=1,MAX($V$2:$V2487)+1,IF(AND($T2488&lt;&gt;"",$T2488=$T2487),$U2487,IF(C2488="x",V2487,"")))</f>
        <v/>
      </c>
      <c r="X2488" cm="1">
        <f t="array" ref="X2488">IF($I2488&lt;&gt;"",$I2488,INDEX($I$1:$I2488,ROW()-COUNTIFS($T$1:$T2488,"="&amp;$T2488,$S$1:$S2488,"&lt;"&amp;$S2488)))</f>
        <v>0</v>
      </c>
      <c r="Z2488" s="6">
        <f t="shared" si="350"/>
        <v>1</v>
      </c>
      <c r="AA2488" t="e">
        <f t="shared" si="351"/>
        <v>#VALUE!</v>
      </c>
      <c r="AB2488" t="str">
        <f t="shared" si="352"/>
        <v/>
      </c>
      <c r="AC2488" t="e">
        <f t="shared" si="353"/>
        <v>#VALUE!</v>
      </c>
    </row>
    <row r="2489" spans="1:29" x14ac:dyDescent="0.2">
      <c r="A2489" t="str">
        <f t="shared" si="354"/>
        <v/>
      </c>
      <c r="E2489" s="4"/>
      <c r="F2489" s="46"/>
      <c r="G2489" s="4"/>
      <c r="H2489" s="48"/>
      <c r="J2489" s="26" t="str">
        <f t="shared" si="355"/>
        <v/>
      </c>
      <c r="N2489" t="str">
        <f t="shared" si="356"/>
        <v/>
      </c>
      <c r="Q2489" t="str">
        <f t="shared" si="357"/>
        <v/>
      </c>
      <c r="S2489" t="str">
        <f>IF(A2489=1,MAX($S$2:$S2488)+1,IF(OR($I2489&lt;&gt;"",A2489="x"),$S2488,""))</f>
        <v/>
      </c>
      <c r="T2489" t="str">
        <f>IF(D2489=1,MAX($T$2:$T2488)+1,IF(S2489=S2488,$T2488,IF(D2489="x",T2488,IF(D2488="x","",""))))</f>
        <v/>
      </c>
      <c r="U2489" t="str">
        <f>IF(B2489=1,MAX($U$2:$U2488)+1,IF(AND($T2489&lt;&gt;"",$T2489=$T2488),$U2488,IF(B2489="x",U2488,"")))</f>
        <v/>
      </c>
      <c r="V2489" t="str">
        <f>IF(C2489=1,MAX($V$2:$V2488)+1,IF(AND($T2489&lt;&gt;"",$T2489=$T2488),$U2488,IF(C2489="x",V2488,"")))</f>
        <v/>
      </c>
      <c r="X2489" cm="1">
        <f t="array" ref="X2489">IF($I2489&lt;&gt;"",$I2489,INDEX($I$1:$I2489,ROW()-COUNTIFS($T$1:$T2489,"="&amp;$T2489,$S$1:$S2489,"&lt;"&amp;$S2489)))</f>
        <v>0</v>
      </c>
      <c r="Z2489" s="6">
        <f t="shared" si="350"/>
        <v>1</v>
      </c>
      <c r="AA2489" t="e">
        <f t="shared" si="351"/>
        <v>#VALUE!</v>
      </c>
      <c r="AB2489" t="str">
        <f t="shared" si="352"/>
        <v/>
      </c>
      <c r="AC2489" t="e">
        <f t="shared" si="353"/>
        <v>#VALUE!</v>
      </c>
    </row>
    <row r="2490" spans="1:29" x14ac:dyDescent="0.2">
      <c r="A2490" t="str">
        <f t="shared" si="354"/>
        <v/>
      </c>
      <c r="E2490" s="4"/>
      <c r="F2490" s="46"/>
      <c r="G2490" s="4"/>
      <c r="H2490" s="48"/>
      <c r="J2490" s="26" t="str">
        <f t="shared" si="355"/>
        <v/>
      </c>
      <c r="N2490" t="str">
        <f t="shared" si="356"/>
        <v/>
      </c>
      <c r="Q2490" t="str">
        <f t="shared" si="357"/>
        <v/>
      </c>
      <c r="S2490" t="str">
        <f>IF(A2490=1,MAX($S$2:$S2489)+1,IF(OR($I2490&lt;&gt;"",A2490="x"),$S2489,""))</f>
        <v/>
      </c>
      <c r="T2490" t="str">
        <f>IF(D2490=1,MAX($T$2:$T2489)+1,IF(S2490=S2489,$T2489,IF(D2490="x",T2489,IF(D2489="x","",""))))</f>
        <v/>
      </c>
      <c r="U2490" t="str">
        <f>IF(B2490=1,MAX($U$2:$U2489)+1,IF(AND($T2490&lt;&gt;"",$T2490=$T2489),$U2489,IF(B2490="x",U2489,"")))</f>
        <v/>
      </c>
      <c r="V2490" t="str">
        <f>IF(C2490=1,MAX($V$2:$V2489)+1,IF(AND($T2490&lt;&gt;"",$T2490=$T2489),$U2489,IF(C2490="x",V2489,"")))</f>
        <v/>
      </c>
      <c r="X2490" cm="1">
        <f t="array" ref="X2490">IF($I2490&lt;&gt;"",$I2490,INDEX($I$1:$I2490,ROW()-COUNTIFS($T$1:$T2490,"="&amp;$T2490,$S$1:$S2490,"&lt;"&amp;$S2490)))</f>
        <v>0</v>
      </c>
      <c r="Z2490" s="6">
        <f t="shared" si="350"/>
        <v>1</v>
      </c>
      <c r="AA2490" t="e">
        <f t="shared" si="351"/>
        <v>#VALUE!</v>
      </c>
      <c r="AB2490" t="str">
        <f t="shared" si="352"/>
        <v/>
      </c>
      <c r="AC2490" t="e">
        <f t="shared" si="353"/>
        <v>#VALUE!</v>
      </c>
    </row>
    <row r="2491" spans="1:29" x14ac:dyDescent="0.2">
      <c r="A2491" t="str">
        <f t="shared" si="354"/>
        <v/>
      </c>
      <c r="E2491" s="4"/>
      <c r="F2491" s="46"/>
      <c r="G2491" s="4"/>
      <c r="H2491" s="48"/>
      <c r="J2491" s="26" t="str">
        <f t="shared" si="355"/>
        <v/>
      </c>
      <c r="N2491" t="str">
        <f t="shared" si="356"/>
        <v/>
      </c>
      <c r="Q2491" t="str">
        <f t="shared" si="357"/>
        <v/>
      </c>
      <c r="S2491" t="str">
        <f>IF(A2491=1,MAX($S$2:$S2490)+1,IF(OR($I2491&lt;&gt;"",A2491="x"),$S2490,""))</f>
        <v/>
      </c>
      <c r="T2491" t="str">
        <f>IF(D2491=1,MAX($T$2:$T2490)+1,IF(S2491=S2490,$T2490,IF(D2491="x",T2490,IF(D2490="x","",""))))</f>
        <v/>
      </c>
      <c r="U2491" t="str">
        <f>IF(B2491=1,MAX($U$2:$U2490)+1,IF(AND($T2491&lt;&gt;"",$T2491=$T2490),$U2490,IF(B2491="x",U2490,"")))</f>
        <v/>
      </c>
      <c r="V2491" t="str">
        <f>IF(C2491=1,MAX($V$2:$V2490)+1,IF(AND($T2491&lt;&gt;"",$T2491=$T2490),$U2490,IF(C2491="x",V2490,"")))</f>
        <v/>
      </c>
      <c r="X2491" cm="1">
        <f t="array" ref="X2491">IF($I2491&lt;&gt;"",$I2491,INDEX($I$1:$I2491,ROW()-COUNTIFS($T$1:$T2491,"="&amp;$T2491,$S$1:$S2491,"&lt;"&amp;$S2491)))</f>
        <v>0</v>
      </c>
      <c r="Z2491" s="6">
        <f t="shared" si="350"/>
        <v>1</v>
      </c>
      <c r="AA2491" t="e">
        <f t="shared" si="351"/>
        <v>#VALUE!</v>
      </c>
      <c r="AB2491" t="str">
        <f t="shared" si="352"/>
        <v/>
      </c>
      <c r="AC2491" t="e">
        <f t="shared" si="353"/>
        <v>#VALUE!</v>
      </c>
    </row>
    <row r="2492" spans="1:29" x14ac:dyDescent="0.2">
      <c r="A2492" t="str">
        <f t="shared" si="354"/>
        <v/>
      </c>
      <c r="E2492" s="4"/>
      <c r="F2492" s="46"/>
      <c r="G2492" s="4"/>
      <c r="H2492" s="48"/>
      <c r="J2492" s="26" t="str">
        <f t="shared" si="355"/>
        <v/>
      </c>
      <c r="N2492" t="str">
        <f t="shared" si="356"/>
        <v/>
      </c>
      <c r="Q2492" t="str">
        <f t="shared" si="357"/>
        <v/>
      </c>
      <c r="S2492" t="str">
        <f>IF(A2492=1,MAX($S$2:$S2491)+1,IF(OR($I2492&lt;&gt;"",A2492="x"),$S2491,""))</f>
        <v/>
      </c>
      <c r="T2492" t="str">
        <f>IF(D2492=1,MAX($T$2:$T2491)+1,IF(S2492=S2491,$T2491,IF(D2492="x",T2491,IF(D2491="x","",""))))</f>
        <v/>
      </c>
      <c r="U2492" t="str">
        <f>IF(B2492=1,MAX($U$2:$U2491)+1,IF(AND($T2492&lt;&gt;"",$T2492=$T2491),$U2491,IF(B2492="x",U2491,"")))</f>
        <v/>
      </c>
      <c r="V2492" t="str">
        <f>IF(C2492=1,MAX($V$2:$V2491)+1,IF(AND($T2492&lt;&gt;"",$T2492=$T2491),$U2491,IF(C2492="x",V2491,"")))</f>
        <v/>
      </c>
      <c r="X2492" cm="1">
        <f t="array" ref="X2492">IF($I2492&lt;&gt;"",$I2492,INDEX($I$1:$I2492,ROW()-COUNTIFS($T$1:$T2492,"="&amp;$T2492,$S$1:$S2492,"&lt;"&amp;$S2492)))</f>
        <v>0</v>
      </c>
      <c r="Z2492" s="6">
        <f t="shared" si="350"/>
        <v>1</v>
      </c>
      <c r="AA2492" t="e">
        <f t="shared" si="351"/>
        <v>#VALUE!</v>
      </c>
      <c r="AB2492" t="str">
        <f t="shared" si="352"/>
        <v/>
      </c>
      <c r="AC2492" t="e">
        <f t="shared" si="353"/>
        <v>#VALUE!</v>
      </c>
    </row>
    <row r="2493" spans="1:29" x14ac:dyDescent="0.2">
      <c r="A2493" t="str">
        <f t="shared" si="354"/>
        <v/>
      </c>
      <c r="E2493" s="4"/>
      <c r="F2493" s="46"/>
      <c r="G2493" s="4"/>
      <c r="H2493" s="48"/>
      <c r="J2493" s="26" t="str">
        <f t="shared" si="355"/>
        <v/>
      </c>
      <c r="N2493" t="str">
        <f t="shared" si="356"/>
        <v/>
      </c>
      <c r="Q2493" t="str">
        <f t="shared" si="357"/>
        <v/>
      </c>
      <c r="S2493" t="str">
        <f>IF(A2493=1,MAX($S$2:$S2492)+1,IF(OR($I2493&lt;&gt;"",A2493="x"),$S2492,""))</f>
        <v/>
      </c>
      <c r="T2493" t="str">
        <f>IF(D2493=1,MAX($T$2:$T2492)+1,IF(S2493=S2492,$T2492,IF(D2493="x",T2492,IF(D2492="x","",""))))</f>
        <v/>
      </c>
      <c r="U2493" t="str">
        <f>IF(B2493=1,MAX($U$2:$U2492)+1,IF(AND($T2493&lt;&gt;"",$T2493=$T2492),$U2492,IF(B2493="x",U2492,"")))</f>
        <v/>
      </c>
      <c r="V2493" t="str">
        <f>IF(C2493=1,MAX($V$2:$V2492)+1,IF(AND($T2493&lt;&gt;"",$T2493=$T2492),$U2492,IF(C2493="x",V2492,"")))</f>
        <v/>
      </c>
      <c r="X2493" cm="1">
        <f t="array" ref="X2493">IF($I2493&lt;&gt;"",$I2493,INDEX($I$1:$I2493,ROW()-COUNTIFS($T$1:$T2493,"="&amp;$T2493,$S$1:$S2493,"&lt;"&amp;$S2493)))</f>
        <v>0</v>
      </c>
      <c r="Z2493" s="6">
        <f t="shared" si="350"/>
        <v>1</v>
      </c>
      <c r="AA2493" t="e">
        <f t="shared" si="351"/>
        <v>#VALUE!</v>
      </c>
      <c r="AB2493" t="str">
        <f t="shared" si="352"/>
        <v/>
      </c>
      <c r="AC2493" t="e">
        <f t="shared" si="353"/>
        <v>#VALUE!</v>
      </c>
    </row>
    <row r="2494" spans="1:29" x14ac:dyDescent="0.2">
      <c r="A2494" t="str">
        <f t="shared" si="354"/>
        <v/>
      </c>
      <c r="E2494" s="4"/>
      <c r="F2494" s="46"/>
      <c r="G2494" s="4"/>
      <c r="H2494" s="48"/>
      <c r="J2494" s="26" t="str">
        <f t="shared" si="355"/>
        <v/>
      </c>
      <c r="N2494" t="str">
        <f t="shared" si="356"/>
        <v/>
      </c>
      <c r="Q2494" t="str">
        <f t="shared" si="357"/>
        <v/>
      </c>
      <c r="S2494" t="str">
        <f>IF(A2494=1,MAX($S$2:$S2493)+1,IF(OR($I2494&lt;&gt;"",A2494="x"),$S2493,""))</f>
        <v/>
      </c>
      <c r="T2494" t="str">
        <f>IF(D2494=1,MAX($T$2:$T2493)+1,IF(S2494=S2493,$T2493,IF(D2494="x",T2493,IF(D2493="x","",""))))</f>
        <v/>
      </c>
      <c r="U2494" t="str">
        <f>IF(B2494=1,MAX($U$2:$U2493)+1,IF(AND($T2494&lt;&gt;"",$T2494=$T2493),$U2493,IF(B2494="x",U2493,"")))</f>
        <v/>
      </c>
      <c r="V2494" t="str">
        <f>IF(C2494=1,MAX($V$2:$V2493)+1,IF(AND($T2494&lt;&gt;"",$T2494=$T2493),$U2493,IF(C2494="x",V2493,"")))</f>
        <v/>
      </c>
      <c r="X2494" cm="1">
        <f t="array" ref="X2494">IF($I2494&lt;&gt;"",$I2494,INDEX($I$1:$I2494,ROW()-COUNTIFS($T$1:$T2494,"="&amp;$T2494,$S$1:$S2494,"&lt;"&amp;$S2494)))</f>
        <v>0</v>
      </c>
      <c r="Z2494" s="6">
        <f t="shared" si="350"/>
        <v>1</v>
      </c>
      <c r="AA2494" t="e">
        <f t="shared" si="351"/>
        <v>#VALUE!</v>
      </c>
      <c r="AB2494" t="str">
        <f t="shared" si="352"/>
        <v/>
      </c>
      <c r="AC2494" t="e">
        <f t="shared" si="353"/>
        <v>#VALUE!</v>
      </c>
    </row>
    <row r="2495" spans="1:29" x14ac:dyDescent="0.2">
      <c r="A2495" t="str">
        <f t="shared" si="354"/>
        <v/>
      </c>
      <c r="E2495" s="4"/>
      <c r="F2495" s="46"/>
      <c r="G2495" s="4"/>
      <c r="H2495" s="48"/>
      <c r="J2495" s="26" t="str">
        <f t="shared" si="355"/>
        <v/>
      </c>
      <c r="N2495" t="str">
        <f t="shared" si="356"/>
        <v/>
      </c>
      <c r="Q2495" t="str">
        <f t="shared" si="357"/>
        <v/>
      </c>
      <c r="S2495" t="str">
        <f>IF(A2495=1,MAX($S$2:$S2494)+1,IF(OR($I2495&lt;&gt;"",A2495="x"),$S2494,""))</f>
        <v/>
      </c>
      <c r="T2495" t="str">
        <f>IF(D2495=1,MAX($T$2:$T2494)+1,IF(S2495=S2494,$T2494,IF(D2495="x",T2494,IF(D2494="x","",""))))</f>
        <v/>
      </c>
      <c r="U2495" t="str">
        <f>IF(B2495=1,MAX($U$2:$U2494)+1,IF(AND($T2495&lt;&gt;"",$T2495=$T2494),$U2494,IF(B2495="x",U2494,"")))</f>
        <v/>
      </c>
      <c r="V2495" t="str">
        <f>IF(C2495=1,MAX($V$2:$V2494)+1,IF(AND($T2495&lt;&gt;"",$T2495=$T2494),$U2494,IF(C2495="x",V2494,"")))</f>
        <v/>
      </c>
      <c r="X2495" cm="1">
        <f t="array" ref="X2495">IF($I2495&lt;&gt;"",$I2495,INDEX($I$1:$I2495,ROW()-COUNTIFS($T$1:$T2495,"="&amp;$T2495,$S$1:$S2495,"&lt;"&amp;$S2495)))</f>
        <v>0</v>
      </c>
      <c r="Z2495" s="6">
        <f t="shared" si="350"/>
        <v>1</v>
      </c>
      <c r="AA2495" t="e">
        <f t="shared" si="351"/>
        <v>#VALUE!</v>
      </c>
      <c r="AB2495" t="str">
        <f t="shared" si="352"/>
        <v/>
      </c>
      <c r="AC2495" t="e">
        <f t="shared" si="353"/>
        <v>#VALUE!</v>
      </c>
    </row>
    <row r="2496" spans="1:29" x14ac:dyDescent="0.2">
      <c r="A2496" t="str">
        <f t="shared" si="354"/>
        <v/>
      </c>
      <c r="E2496" s="4"/>
      <c r="F2496" s="46"/>
      <c r="G2496" s="4"/>
      <c r="H2496" s="48"/>
      <c r="J2496" s="26" t="str">
        <f t="shared" si="355"/>
        <v/>
      </c>
      <c r="N2496" t="str">
        <f t="shared" si="356"/>
        <v/>
      </c>
      <c r="Q2496" t="str">
        <f t="shared" si="357"/>
        <v/>
      </c>
      <c r="S2496" t="str">
        <f>IF(A2496=1,MAX($S$2:$S2495)+1,IF(OR($I2496&lt;&gt;"",A2496="x"),$S2495,""))</f>
        <v/>
      </c>
      <c r="T2496" t="str">
        <f>IF(D2496=1,MAX($T$2:$T2495)+1,IF(S2496=S2495,$T2495,IF(D2496="x",T2495,IF(D2495="x","",""))))</f>
        <v/>
      </c>
      <c r="U2496" t="str">
        <f>IF(B2496=1,MAX($U$2:$U2495)+1,IF(AND($T2496&lt;&gt;"",$T2496=$T2495),$U2495,IF(B2496="x",U2495,"")))</f>
        <v/>
      </c>
      <c r="V2496" t="str">
        <f>IF(C2496=1,MAX($V$2:$V2495)+1,IF(AND($T2496&lt;&gt;"",$T2496=$T2495),$U2495,IF(C2496="x",V2495,"")))</f>
        <v/>
      </c>
      <c r="X2496" cm="1">
        <f t="array" ref="X2496">IF($I2496&lt;&gt;"",$I2496,INDEX($I$1:$I2496,ROW()-COUNTIFS($T$1:$T2496,"="&amp;$T2496,$S$1:$S2496,"&lt;"&amp;$S2496)))</f>
        <v>0</v>
      </c>
      <c r="Z2496" s="6">
        <f t="shared" si="350"/>
        <v>1</v>
      </c>
      <c r="AA2496" t="e">
        <f t="shared" si="351"/>
        <v>#VALUE!</v>
      </c>
      <c r="AB2496" t="str">
        <f t="shared" si="352"/>
        <v/>
      </c>
      <c r="AC2496" t="e">
        <f t="shared" si="353"/>
        <v>#VALUE!</v>
      </c>
    </row>
    <row r="2497" spans="1:29" x14ac:dyDescent="0.2">
      <c r="A2497" t="str">
        <f t="shared" si="354"/>
        <v/>
      </c>
      <c r="E2497" s="4"/>
      <c r="F2497" s="46"/>
      <c r="G2497" s="4"/>
      <c r="H2497" s="48"/>
      <c r="J2497" s="26" t="str">
        <f t="shared" si="355"/>
        <v/>
      </c>
      <c r="N2497" t="str">
        <f t="shared" si="356"/>
        <v/>
      </c>
      <c r="Q2497" t="str">
        <f t="shared" si="357"/>
        <v/>
      </c>
      <c r="S2497" t="str">
        <f>IF(A2497=1,MAX($S$2:$S2496)+1,IF(OR($I2497&lt;&gt;"",A2497="x"),$S2496,""))</f>
        <v/>
      </c>
      <c r="T2497" t="str">
        <f>IF(D2497=1,MAX($T$2:$T2496)+1,IF(S2497=S2496,$T2496,IF(D2497="x",T2496,IF(D2496="x","",""))))</f>
        <v/>
      </c>
      <c r="U2497" t="str">
        <f>IF(B2497=1,MAX($U$2:$U2496)+1,IF(AND($T2497&lt;&gt;"",$T2497=$T2496),$U2496,IF(B2497="x",U2496,"")))</f>
        <v/>
      </c>
      <c r="V2497" t="str">
        <f>IF(C2497=1,MAX($V$2:$V2496)+1,IF(AND($T2497&lt;&gt;"",$T2497=$T2496),$U2496,IF(C2497="x",V2496,"")))</f>
        <v/>
      </c>
      <c r="X2497" cm="1">
        <f t="array" ref="X2497">IF($I2497&lt;&gt;"",$I2497,INDEX($I$1:$I2497,ROW()-COUNTIFS($T$1:$T2497,"="&amp;$T2497,$S$1:$S2497,"&lt;"&amp;$S2497)))</f>
        <v>0</v>
      </c>
      <c r="Z2497" s="6">
        <f t="shared" si="350"/>
        <v>1</v>
      </c>
      <c r="AA2497" t="e">
        <f t="shared" si="351"/>
        <v>#VALUE!</v>
      </c>
      <c r="AB2497" t="str">
        <f t="shared" si="352"/>
        <v/>
      </c>
      <c r="AC2497" t="e">
        <f t="shared" si="353"/>
        <v>#VALUE!</v>
      </c>
    </row>
    <row r="2498" spans="1:29" x14ac:dyDescent="0.2">
      <c r="A2498" t="str">
        <f t="shared" si="354"/>
        <v/>
      </c>
      <c r="E2498" s="4"/>
      <c r="F2498" s="46"/>
      <c r="G2498" s="4"/>
      <c r="H2498" s="48"/>
      <c r="J2498" s="26" t="str">
        <f t="shared" si="355"/>
        <v/>
      </c>
      <c r="N2498" t="str">
        <f t="shared" si="356"/>
        <v/>
      </c>
      <c r="Q2498" t="str">
        <f t="shared" si="357"/>
        <v/>
      </c>
      <c r="S2498" t="str">
        <f>IF(A2498=1,MAX($S$2:$S2497)+1,IF(OR($I2498&lt;&gt;"",A2498="x"),$S2497,""))</f>
        <v/>
      </c>
      <c r="T2498" t="str">
        <f>IF(D2498=1,MAX($T$2:$T2497)+1,IF(S2498=S2497,$T2497,IF(D2498="x",T2497,IF(D2497="x","",""))))</f>
        <v/>
      </c>
      <c r="U2498" t="str">
        <f>IF(B2498=1,MAX($U$2:$U2497)+1,IF(AND($T2498&lt;&gt;"",$T2498=$T2497),$U2497,IF(B2498="x",U2497,"")))</f>
        <v/>
      </c>
      <c r="V2498" t="str">
        <f>IF(C2498=1,MAX($V$2:$V2497)+1,IF(AND($T2498&lt;&gt;"",$T2498=$T2497),$U2497,IF(C2498="x",V2497,"")))</f>
        <v/>
      </c>
      <c r="X2498" cm="1">
        <f t="array" ref="X2498">IF($I2498&lt;&gt;"",$I2498,INDEX($I$1:$I2498,ROW()-COUNTIFS($T$1:$T2498,"="&amp;$T2498,$S$1:$S2498,"&lt;"&amp;$S2498)))</f>
        <v>0</v>
      </c>
      <c r="Z2498" s="6">
        <f t="shared" si="350"/>
        <v>1</v>
      </c>
      <c r="AA2498" t="e">
        <f t="shared" si="351"/>
        <v>#VALUE!</v>
      </c>
      <c r="AB2498" t="str">
        <f t="shared" si="352"/>
        <v/>
      </c>
      <c r="AC2498" t="e">
        <f t="shared" si="353"/>
        <v>#VALUE!</v>
      </c>
    </row>
    <row r="2499" spans="1:29" x14ac:dyDescent="0.2">
      <c r="A2499" t="str">
        <f t="shared" si="354"/>
        <v/>
      </c>
      <c r="E2499" s="4"/>
      <c r="F2499" s="46"/>
      <c r="G2499" s="4"/>
      <c r="H2499" s="48"/>
      <c r="J2499" s="26" t="str">
        <f t="shared" si="355"/>
        <v/>
      </c>
      <c r="N2499" t="str">
        <f t="shared" si="356"/>
        <v/>
      </c>
      <c r="Q2499" t="str">
        <f t="shared" si="357"/>
        <v/>
      </c>
      <c r="S2499" t="str">
        <f>IF(A2499=1,MAX($S$2:$S2498)+1,IF(OR($I2499&lt;&gt;"",A2499="x"),$S2498,""))</f>
        <v/>
      </c>
      <c r="T2499" t="str">
        <f>IF(D2499=1,MAX($T$2:$T2498)+1,IF(S2499=S2498,$T2498,IF(D2499="x",T2498,IF(D2498="x","",""))))</f>
        <v/>
      </c>
      <c r="U2499" t="str">
        <f>IF(B2499=1,MAX($U$2:$U2498)+1,IF(AND($T2499&lt;&gt;"",$T2499=$T2498),$U2498,IF(B2499="x",U2498,"")))</f>
        <v/>
      </c>
      <c r="V2499" t="str">
        <f>IF(C2499=1,MAX($V$2:$V2498)+1,IF(AND($T2499&lt;&gt;"",$T2499=$T2498),$U2498,IF(C2499="x",V2498,"")))</f>
        <v/>
      </c>
      <c r="X2499" cm="1">
        <f t="array" ref="X2499">IF($I2499&lt;&gt;"",$I2499,INDEX($I$1:$I2499,ROW()-COUNTIFS($T$1:$T2499,"="&amp;$T2499,$S$1:$S2499,"&lt;"&amp;$S2499)))</f>
        <v>0</v>
      </c>
      <c r="Z2499" s="6">
        <f t="shared" si="350"/>
        <v>1</v>
      </c>
      <c r="AA2499" t="e">
        <f t="shared" si="351"/>
        <v>#VALUE!</v>
      </c>
      <c r="AB2499" t="str">
        <f t="shared" si="352"/>
        <v/>
      </c>
      <c r="AC2499" t="e">
        <f t="shared" si="353"/>
        <v>#VALUE!</v>
      </c>
    </row>
    <row r="2500" spans="1:29" x14ac:dyDescent="0.2">
      <c r="A2500" t="str">
        <f t="shared" si="354"/>
        <v/>
      </c>
      <c r="E2500" s="4"/>
      <c r="F2500" s="46"/>
      <c r="G2500" s="4"/>
      <c r="H2500" s="48"/>
      <c r="J2500" s="26" t="str">
        <f t="shared" si="355"/>
        <v/>
      </c>
      <c r="N2500" t="str">
        <f t="shared" si="356"/>
        <v/>
      </c>
      <c r="Q2500" t="str">
        <f t="shared" si="357"/>
        <v/>
      </c>
      <c r="S2500" t="str">
        <f>IF(A2500=1,MAX($S$2:$S2499)+1,IF(OR($I2500&lt;&gt;"",A2500="x"),$S2499,""))</f>
        <v/>
      </c>
      <c r="T2500" t="str">
        <f>IF(D2500=1,MAX($T$2:$T2499)+1,IF(S2500=S2499,$T2499,IF(D2500="x",T2499,IF(D2499="x","",""))))</f>
        <v/>
      </c>
      <c r="U2500" t="str">
        <f>IF(B2500=1,MAX($U$2:$U2499)+1,IF(AND($T2500&lt;&gt;"",$T2500=$T2499),$U2499,IF(B2500="x",U2499,"")))</f>
        <v/>
      </c>
      <c r="V2500" t="str">
        <f>IF(C2500=1,MAX($V$2:$V2499)+1,IF(AND($T2500&lt;&gt;"",$T2500=$T2499),$U2499,IF(C2500="x",V2499,"")))</f>
        <v/>
      </c>
      <c r="X2500" cm="1">
        <f t="array" ref="X2500">IF($I2500&lt;&gt;"",$I2500,INDEX($I$1:$I2500,ROW()-COUNTIFS($T$1:$T2500,"="&amp;$T2500,$S$1:$S2500,"&lt;"&amp;$S2500)))</f>
        <v>0</v>
      </c>
      <c r="Z2500" s="6">
        <f t="shared" si="350"/>
        <v>1</v>
      </c>
      <c r="AA2500" t="e">
        <f t="shared" si="351"/>
        <v>#VALUE!</v>
      </c>
      <c r="AB2500" t="str">
        <f t="shared" si="352"/>
        <v/>
      </c>
      <c r="AC2500" t="e">
        <f t="shared" si="353"/>
        <v>#VALUE!</v>
      </c>
    </row>
    <row r="2501" spans="1:29" x14ac:dyDescent="0.2">
      <c r="A2501" t="str">
        <f t="shared" si="354"/>
        <v/>
      </c>
      <c r="E2501" s="4"/>
      <c r="F2501" s="46"/>
      <c r="G2501" s="4"/>
      <c r="H2501" s="48"/>
      <c r="J2501" s="26" t="str">
        <f t="shared" si="355"/>
        <v/>
      </c>
      <c r="N2501" t="str">
        <f t="shared" si="356"/>
        <v/>
      </c>
      <c r="Q2501" t="str">
        <f t="shared" si="357"/>
        <v/>
      </c>
      <c r="S2501" t="str">
        <f>IF(A2501=1,MAX($S$2:$S2500)+1,IF(OR($I2501&lt;&gt;"",A2501="x"),$S2500,""))</f>
        <v/>
      </c>
      <c r="T2501" t="str">
        <f>IF(D2501=1,MAX($T$2:$T2500)+1,IF(S2501=S2500,$T2500,IF(D2501="x",T2500,IF(D2500="x","",""))))</f>
        <v/>
      </c>
      <c r="U2501" t="str">
        <f>IF(B2501=1,MAX($U$2:$U2500)+1,IF(AND($T2501&lt;&gt;"",$T2501=$T2500),$U2500,IF(B2501="x",U2500,"")))</f>
        <v/>
      </c>
      <c r="V2501" t="str">
        <f>IF(C2501=1,MAX($V$2:$V2500)+1,IF(AND($T2501&lt;&gt;"",$T2501=$T2500),$U2500,IF(C2501="x",V2500,"")))</f>
        <v/>
      </c>
      <c r="X2501" cm="1">
        <f t="array" ref="X2501">IF($I2501&lt;&gt;"",$I2501,INDEX($I$1:$I2501,ROW()-COUNTIFS($T$1:$T2501,"="&amp;$T2501,$S$1:$S2501,"&lt;"&amp;$S2501)))</f>
        <v>0</v>
      </c>
      <c r="Z2501" s="6">
        <f t="shared" ref="Z2501:Z2564" si="358">IF(K2501="Intermission",Z2500+1,Z2500)</f>
        <v>1</v>
      </c>
      <c r="AA2501" t="e">
        <f t="shared" ref="AA2501:AA2564" si="359">S2501+1000</f>
        <v>#VALUE!</v>
      </c>
      <c r="AB2501" t="str">
        <f t="shared" ref="AB2501:AB2564" si="360">IF(T2501&lt;&gt;"",9000+T2501,"")</f>
        <v/>
      </c>
      <c r="AC2501" t="e">
        <f t="shared" ref="AC2501:AC2564" si="361">IF(AB2501&lt;&gt;"",AB2501,S2501+1000)</f>
        <v>#VALUE!</v>
      </c>
    </row>
    <row r="2502" spans="1:29" x14ac:dyDescent="0.2">
      <c r="A2502" t="str">
        <f t="shared" si="354"/>
        <v/>
      </c>
      <c r="E2502" s="4"/>
      <c r="F2502" s="46"/>
      <c r="G2502" s="4"/>
      <c r="H2502" s="48"/>
      <c r="J2502" s="26" t="str">
        <f t="shared" si="355"/>
        <v/>
      </c>
      <c r="N2502" t="str">
        <f t="shared" si="356"/>
        <v/>
      </c>
      <c r="Q2502" t="str">
        <f t="shared" si="357"/>
        <v/>
      </c>
      <c r="S2502" t="str">
        <f>IF(A2502=1,MAX($S$2:$S2501)+1,IF(OR($I2502&lt;&gt;"",A2502="x"),$S2501,""))</f>
        <v/>
      </c>
      <c r="T2502" t="str">
        <f>IF(D2502=1,MAX($T$2:$T2501)+1,IF(S2502=S2501,$T2501,IF(D2502="x",T2501,IF(D2501="x","",""))))</f>
        <v/>
      </c>
      <c r="U2502" t="str">
        <f>IF(B2502=1,MAX($U$2:$U2501)+1,IF(AND($T2502&lt;&gt;"",$T2502=$T2501),$U2501,IF(B2502="x",U2501,"")))</f>
        <v/>
      </c>
      <c r="V2502" t="str">
        <f>IF(C2502=1,MAX($V$2:$V2501)+1,IF(AND($T2502&lt;&gt;"",$T2502=$T2501),$U2501,IF(C2502="x",V2501,"")))</f>
        <v/>
      </c>
      <c r="X2502" cm="1">
        <f t="array" ref="X2502">IF($I2502&lt;&gt;"",$I2502,INDEX($I$1:$I2502,ROW()-COUNTIFS($T$1:$T2502,"="&amp;$T2502,$S$1:$S2502,"&lt;"&amp;$S2502)))</f>
        <v>0</v>
      </c>
      <c r="Z2502" s="6">
        <f t="shared" si="358"/>
        <v>1</v>
      </c>
      <c r="AA2502" t="e">
        <f t="shared" si="359"/>
        <v>#VALUE!</v>
      </c>
      <c r="AB2502" t="str">
        <f t="shared" si="360"/>
        <v/>
      </c>
      <c r="AC2502" t="e">
        <f t="shared" si="361"/>
        <v>#VALUE!</v>
      </c>
    </row>
    <row r="2503" spans="1:29" x14ac:dyDescent="0.2">
      <c r="A2503" t="str">
        <f t="shared" si="354"/>
        <v/>
      </c>
      <c r="E2503" s="4"/>
      <c r="F2503" s="46"/>
      <c r="G2503" s="4"/>
      <c r="H2503" s="48"/>
      <c r="J2503" s="26" t="str">
        <f t="shared" si="355"/>
        <v/>
      </c>
      <c r="N2503" t="str">
        <f t="shared" si="356"/>
        <v/>
      </c>
      <c r="Q2503" t="str">
        <f t="shared" si="357"/>
        <v/>
      </c>
      <c r="S2503" t="str">
        <f>IF(A2503=1,MAX($S$2:$S2502)+1,IF(OR($I2503&lt;&gt;"",A2503="x"),$S2502,""))</f>
        <v/>
      </c>
      <c r="T2503" t="str">
        <f>IF(D2503=1,MAX($T$2:$T2502)+1,IF(S2503=S2502,$T2502,IF(D2503="x",T2502,IF(D2502="x","",""))))</f>
        <v/>
      </c>
      <c r="U2503" t="str">
        <f>IF(B2503=1,MAX($U$2:$U2502)+1,IF(AND($T2503&lt;&gt;"",$T2503=$T2502),$U2502,IF(B2503="x",U2502,"")))</f>
        <v/>
      </c>
      <c r="V2503" t="str">
        <f>IF(C2503=1,MAX($V$2:$V2502)+1,IF(AND($T2503&lt;&gt;"",$T2503=$T2502),$U2502,IF(C2503="x",V2502,"")))</f>
        <v/>
      </c>
      <c r="X2503" cm="1">
        <f t="array" ref="X2503">IF($I2503&lt;&gt;"",$I2503,INDEX($I$1:$I2503,ROW()-COUNTIFS($T$1:$T2503,"="&amp;$T2503,$S$1:$S2503,"&lt;"&amp;$S2503)))</f>
        <v>0</v>
      </c>
      <c r="Z2503" s="6">
        <f t="shared" si="358"/>
        <v>1</v>
      </c>
      <c r="AA2503" t="e">
        <f t="shared" si="359"/>
        <v>#VALUE!</v>
      </c>
      <c r="AB2503" t="str">
        <f t="shared" si="360"/>
        <v/>
      </c>
      <c r="AC2503" t="e">
        <f t="shared" si="361"/>
        <v>#VALUE!</v>
      </c>
    </row>
    <row r="2504" spans="1:29" x14ac:dyDescent="0.2">
      <c r="A2504" t="str">
        <f t="shared" si="354"/>
        <v/>
      </c>
      <c r="E2504" s="4"/>
      <c r="F2504" s="46"/>
      <c r="G2504" s="4"/>
      <c r="H2504" s="48"/>
      <c r="J2504" s="26" t="str">
        <f t="shared" si="355"/>
        <v/>
      </c>
      <c r="N2504" t="str">
        <f t="shared" si="356"/>
        <v/>
      </c>
      <c r="Q2504" t="str">
        <f t="shared" si="357"/>
        <v/>
      </c>
      <c r="S2504" t="str">
        <f>IF(A2504=1,MAX($S$2:$S2503)+1,IF(OR($I2504&lt;&gt;"",A2504="x"),$S2503,""))</f>
        <v/>
      </c>
      <c r="T2504" t="str">
        <f>IF(D2504=1,MAX($T$2:$T2503)+1,IF(S2504=S2503,$T2503,IF(D2504="x",T2503,IF(D2503="x","",""))))</f>
        <v/>
      </c>
      <c r="U2504" t="str">
        <f>IF(B2504=1,MAX($U$2:$U2503)+1,IF(AND($T2504&lt;&gt;"",$T2504=$T2503),$U2503,IF(B2504="x",U2503,"")))</f>
        <v/>
      </c>
      <c r="V2504" t="str">
        <f>IF(C2504=1,MAX($V$2:$V2503)+1,IF(AND($T2504&lt;&gt;"",$T2504=$T2503),$U2503,IF(C2504="x",V2503,"")))</f>
        <v/>
      </c>
      <c r="X2504" cm="1">
        <f t="array" ref="X2504">IF($I2504&lt;&gt;"",$I2504,INDEX($I$1:$I2504,ROW()-COUNTIFS($T$1:$T2504,"="&amp;$T2504,$S$1:$S2504,"&lt;"&amp;$S2504)))</f>
        <v>0</v>
      </c>
      <c r="Z2504" s="6">
        <f t="shared" si="358"/>
        <v>1</v>
      </c>
      <c r="AA2504" t="e">
        <f t="shared" si="359"/>
        <v>#VALUE!</v>
      </c>
      <c r="AB2504" t="str">
        <f t="shared" si="360"/>
        <v/>
      </c>
      <c r="AC2504" t="e">
        <f t="shared" si="361"/>
        <v>#VALUE!</v>
      </c>
    </row>
    <row r="2505" spans="1:29" x14ac:dyDescent="0.2">
      <c r="A2505" t="str">
        <f t="shared" si="354"/>
        <v/>
      </c>
      <c r="E2505" s="4"/>
      <c r="F2505" s="46"/>
      <c r="G2505" s="4"/>
      <c r="H2505" s="48"/>
      <c r="J2505" s="26" t="str">
        <f t="shared" si="355"/>
        <v/>
      </c>
      <c r="N2505" t="str">
        <f t="shared" si="356"/>
        <v/>
      </c>
      <c r="Q2505" t="str">
        <f t="shared" si="357"/>
        <v/>
      </c>
      <c r="S2505" t="str">
        <f>IF(A2505=1,MAX($S$2:$S2504)+1,IF(OR($I2505&lt;&gt;"",A2505="x"),$S2504,""))</f>
        <v/>
      </c>
      <c r="T2505" t="str">
        <f>IF(D2505=1,MAX($T$2:$T2504)+1,IF(S2505=S2504,$T2504,IF(D2505="x",T2504,IF(D2504="x","",""))))</f>
        <v/>
      </c>
      <c r="U2505" t="str">
        <f>IF(B2505=1,MAX($U$2:$U2504)+1,IF(AND($T2505&lt;&gt;"",$T2505=$T2504),$U2504,IF(B2505="x",U2504,"")))</f>
        <v/>
      </c>
      <c r="V2505" t="str">
        <f>IF(C2505=1,MAX($V$2:$V2504)+1,IF(AND($T2505&lt;&gt;"",$T2505=$T2504),$U2504,IF(C2505="x",V2504,"")))</f>
        <v/>
      </c>
      <c r="X2505" cm="1">
        <f t="array" ref="X2505">IF($I2505&lt;&gt;"",$I2505,INDEX($I$1:$I2505,ROW()-COUNTIFS($T$1:$T2505,"="&amp;$T2505,$S$1:$S2505,"&lt;"&amp;$S2505)))</f>
        <v>0</v>
      </c>
      <c r="Z2505" s="6">
        <f t="shared" si="358"/>
        <v>1</v>
      </c>
      <c r="AA2505" t="e">
        <f t="shared" si="359"/>
        <v>#VALUE!</v>
      </c>
      <c r="AB2505" t="str">
        <f t="shared" si="360"/>
        <v/>
      </c>
      <c r="AC2505" t="e">
        <f t="shared" si="361"/>
        <v>#VALUE!</v>
      </c>
    </row>
    <row r="2506" spans="1:29" x14ac:dyDescent="0.2">
      <c r="A2506" t="str">
        <f t="shared" si="354"/>
        <v/>
      </c>
      <c r="E2506" s="4"/>
      <c r="F2506" s="46"/>
      <c r="G2506" s="4"/>
      <c r="H2506" s="48"/>
      <c r="J2506" s="26" t="str">
        <f t="shared" si="355"/>
        <v/>
      </c>
      <c r="N2506" t="str">
        <f t="shared" si="356"/>
        <v/>
      </c>
      <c r="Q2506" t="str">
        <f t="shared" si="357"/>
        <v/>
      </c>
      <c r="S2506" t="str">
        <f>IF(A2506=1,MAX($S$2:$S2505)+1,IF(OR($I2506&lt;&gt;"",A2506="x"),$S2505,""))</f>
        <v/>
      </c>
      <c r="T2506" t="str">
        <f>IF(D2506=1,MAX($T$2:$T2505)+1,IF(S2506=S2505,$T2505,IF(D2506="x",T2505,IF(D2505="x","",""))))</f>
        <v/>
      </c>
      <c r="U2506" t="str">
        <f>IF(B2506=1,MAX($U$2:$U2505)+1,IF(AND($T2506&lt;&gt;"",$T2506=$T2505),$U2505,IF(B2506="x",U2505,"")))</f>
        <v/>
      </c>
      <c r="V2506" t="str">
        <f>IF(C2506=1,MAX($V$2:$V2505)+1,IF(AND($T2506&lt;&gt;"",$T2506=$T2505),$U2505,IF(C2506="x",V2505,"")))</f>
        <v/>
      </c>
      <c r="X2506" cm="1">
        <f t="array" ref="X2506">IF($I2506&lt;&gt;"",$I2506,INDEX($I$1:$I2506,ROW()-COUNTIFS($T$1:$T2506,"="&amp;$T2506,$S$1:$S2506,"&lt;"&amp;$S2506)))</f>
        <v>0</v>
      </c>
      <c r="Z2506" s="6">
        <f t="shared" si="358"/>
        <v>1</v>
      </c>
      <c r="AA2506" t="e">
        <f t="shared" si="359"/>
        <v>#VALUE!</v>
      </c>
      <c r="AB2506" t="str">
        <f t="shared" si="360"/>
        <v/>
      </c>
      <c r="AC2506" t="e">
        <f t="shared" si="361"/>
        <v>#VALUE!</v>
      </c>
    </row>
    <row r="2507" spans="1:29" x14ac:dyDescent="0.2">
      <c r="A2507" t="str">
        <f t="shared" si="354"/>
        <v/>
      </c>
      <c r="E2507" s="4"/>
      <c r="F2507" s="46"/>
      <c r="G2507" s="4"/>
      <c r="H2507" s="48"/>
      <c r="J2507" s="26" t="str">
        <f t="shared" si="355"/>
        <v/>
      </c>
      <c r="N2507" t="str">
        <f t="shared" si="356"/>
        <v/>
      </c>
      <c r="Q2507" t="str">
        <f t="shared" si="357"/>
        <v/>
      </c>
      <c r="S2507" t="str">
        <f>IF(A2507=1,MAX($S$2:$S2506)+1,IF(OR($I2507&lt;&gt;"",A2507="x"),$S2506,""))</f>
        <v/>
      </c>
      <c r="T2507" t="str">
        <f>IF(D2507=1,MAX($T$2:$T2506)+1,IF(S2507=S2506,$T2506,IF(D2507="x",T2506,IF(D2506="x","",""))))</f>
        <v/>
      </c>
      <c r="U2507" t="str">
        <f>IF(B2507=1,MAX($U$2:$U2506)+1,IF(AND($T2507&lt;&gt;"",$T2507=$T2506),$U2506,IF(B2507="x",U2506,"")))</f>
        <v/>
      </c>
      <c r="V2507" t="str">
        <f>IF(C2507=1,MAX($V$2:$V2506)+1,IF(AND($T2507&lt;&gt;"",$T2507=$T2506),$U2506,IF(C2507="x",V2506,"")))</f>
        <v/>
      </c>
      <c r="X2507" cm="1">
        <f t="array" ref="X2507">IF($I2507&lt;&gt;"",$I2507,INDEX($I$1:$I2507,ROW()-COUNTIFS($T$1:$T2507,"="&amp;$T2507,$S$1:$S2507,"&lt;"&amp;$S2507)))</f>
        <v>0</v>
      </c>
      <c r="Z2507" s="6">
        <f t="shared" si="358"/>
        <v>1</v>
      </c>
      <c r="AA2507" t="e">
        <f t="shared" si="359"/>
        <v>#VALUE!</v>
      </c>
      <c r="AB2507" t="str">
        <f t="shared" si="360"/>
        <v/>
      </c>
      <c r="AC2507" t="e">
        <f t="shared" si="361"/>
        <v>#VALUE!</v>
      </c>
    </row>
    <row r="2508" spans="1:29" x14ac:dyDescent="0.2">
      <c r="A2508" t="str">
        <f t="shared" si="354"/>
        <v/>
      </c>
      <c r="E2508" s="4"/>
      <c r="F2508" s="46"/>
      <c r="G2508" s="4"/>
      <c r="H2508" s="48"/>
      <c r="J2508" s="26" t="str">
        <f t="shared" si="355"/>
        <v/>
      </c>
      <c r="N2508" t="str">
        <f t="shared" si="356"/>
        <v/>
      </c>
      <c r="Q2508" t="str">
        <f t="shared" si="357"/>
        <v/>
      </c>
      <c r="S2508" t="str">
        <f>IF(A2508=1,MAX($S$2:$S2507)+1,IF(OR($I2508&lt;&gt;"",A2508="x"),$S2507,""))</f>
        <v/>
      </c>
      <c r="T2508" t="str">
        <f>IF(D2508=1,MAX($T$2:$T2507)+1,IF(S2508=S2507,$T2507,IF(D2508="x",T2507,IF(D2507="x","",""))))</f>
        <v/>
      </c>
      <c r="U2508" t="str">
        <f>IF(B2508=1,MAX($U$2:$U2507)+1,IF(AND($T2508&lt;&gt;"",$T2508=$T2507),$U2507,IF(B2508="x",U2507,"")))</f>
        <v/>
      </c>
      <c r="V2508" t="str">
        <f>IF(C2508=1,MAX($V$2:$V2507)+1,IF(AND($T2508&lt;&gt;"",$T2508=$T2507),$U2507,IF(C2508="x",V2507,"")))</f>
        <v/>
      </c>
      <c r="X2508" cm="1">
        <f t="array" ref="X2508">IF($I2508&lt;&gt;"",$I2508,INDEX($I$1:$I2508,ROW()-COUNTIFS($T$1:$T2508,"="&amp;$T2508,$S$1:$S2508,"&lt;"&amp;$S2508)))</f>
        <v>0</v>
      </c>
      <c r="Z2508" s="6">
        <f t="shared" si="358"/>
        <v>1</v>
      </c>
      <c r="AA2508" t="e">
        <f t="shared" si="359"/>
        <v>#VALUE!</v>
      </c>
      <c r="AB2508" t="str">
        <f t="shared" si="360"/>
        <v/>
      </c>
      <c r="AC2508" t="e">
        <f t="shared" si="361"/>
        <v>#VALUE!</v>
      </c>
    </row>
    <row r="2509" spans="1:29" x14ac:dyDescent="0.2">
      <c r="A2509" t="str">
        <f t="shared" si="354"/>
        <v/>
      </c>
      <c r="E2509" s="4"/>
      <c r="F2509" s="46"/>
      <c r="G2509" s="4"/>
      <c r="H2509" s="48"/>
      <c r="J2509" s="26" t="str">
        <f t="shared" si="355"/>
        <v/>
      </c>
      <c r="N2509" t="str">
        <f t="shared" si="356"/>
        <v/>
      </c>
      <c r="Q2509" t="str">
        <f t="shared" si="357"/>
        <v/>
      </c>
      <c r="S2509" t="str">
        <f>IF(A2509=1,MAX($S$2:$S2508)+1,IF(OR($I2509&lt;&gt;"",A2509="x"),$S2508,""))</f>
        <v/>
      </c>
      <c r="T2509" t="str">
        <f>IF(D2509=1,MAX($T$2:$T2508)+1,IF(S2509=S2508,$T2508,IF(D2509="x",T2508,IF(D2508="x","",""))))</f>
        <v/>
      </c>
      <c r="U2509" t="str">
        <f>IF(B2509=1,MAX($U$2:$U2508)+1,IF(AND($T2509&lt;&gt;"",$T2509=$T2508),$U2508,IF(B2509="x",U2508,"")))</f>
        <v/>
      </c>
      <c r="V2509" t="str">
        <f>IF(C2509=1,MAX($V$2:$V2508)+1,IF(AND($T2509&lt;&gt;"",$T2509=$T2508),$U2508,IF(C2509="x",V2508,"")))</f>
        <v/>
      </c>
      <c r="X2509" cm="1">
        <f t="array" ref="X2509">IF($I2509&lt;&gt;"",$I2509,INDEX($I$1:$I2509,ROW()-COUNTIFS($T$1:$T2509,"="&amp;$T2509,$S$1:$S2509,"&lt;"&amp;$S2509)))</f>
        <v>0</v>
      </c>
      <c r="Z2509" s="6">
        <f t="shared" si="358"/>
        <v>1</v>
      </c>
      <c r="AA2509" t="e">
        <f t="shared" si="359"/>
        <v>#VALUE!</v>
      </c>
      <c r="AB2509" t="str">
        <f t="shared" si="360"/>
        <v/>
      </c>
      <c r="AC2509" t="e">
        <f t="shared" si="361"/>
        <v>#VALUE!</v>
      </c>
    </row>
    <row r="2510" spans="1:29" x14ac:dyDescent="0.2">
      <c r="A2510" t="str">
        <f t="shared" si="354"/>
        <v/>
      </c>
      <c r="E2510" s="4"/>
      <c r="F2510" s="46"/>
      <c r="G2510" s="4"/>
      <c r="H2510" s="48"/>
      <c r="J2510" s="26" t="str">
        <f t="shared" si="355"/>
        <v/>
      </c>
      <c r="N2510" t="str">
        <f t="shared" si="356"/>
        <v/>
      </c>
      <c r="Q2510" t="str">
        <f t="shared" si="357"/>
        <v/>
      </c>
      <c r="S2510" t="str">
        <f>IF(A2510=1,MAX($S$2:$S2509)+1,IF(OR($I2510&lt;&gt;"",A2510="x"),$S2509,""))</f>
        <v/>
      </c>
      <c r="T2510" t="str">
        <f>IF(D2510=1,MAX($T$2:$T2509)+1,IF(S2510=S2509,$T2509,IF(D2510="x",T2509,IF(D2509="x","",""))))</f>
        <v/>
      </c>
      <c r="U2510" t="str">
        <f>IF(B2510=1,MAX($U$2:$U2509)+1,IF(AND($T2510&lt;&gt;"",$T2510=$T2509),$U2509,IF(B2510="x",U2509,"")))</f>
        <v/>
      </c>
      <c r="V2510" t="str">
        <f>IF(C2510=1,MAX($V$2:$V2509)+1,IF(AND($T2510&lt;&gt;"",$T2510=$T2509),$U2509,IF(C2510="x",V2509,"")))</f>
        <v/>
      </c>
      <c r="X2510" cm="1">
        <f t="array" ref="X2510">IF($I2510&lt;&gt;"",$I2510,INDEX($I$1:$I2510,ROW()-COUNTIFS($T$1:$T2510,"="&amp;$T2510,$S$1:$S2510,"&lt;"&amp;$S2510)))</f>
        <v>0</v>
      </c>
      <c r="Z2510" s="6">
        <f t="shared" si="358"/>
        <v>1</v>
      </c>
      <c r="AA2510" t="e">
        <f t="shared" si="359"/>
        <v>#VALUE!</v>
      </c>
      <c r="AB2510" t="str">
        <f t="shared" si="360"/>
        <v/>
      </c>
      <c r="AC2510" t="e">
        <f t="shared" si="361"/>
        <v>#VALUE!</v>
      </c>
    </row>
    <row r="2511" spans="1:29" x14ac:dyDescent="0.2">
      <c r="A2511" t="str">
        <f t="shared" si="354"/>
        <v/>
      </c>
      <c r="E2511" s="4"/>
      <c r="F2511" s="46"/>
      <c r="G2511" s="4"/>
      <c r="H2511" s="48"/>
      <c r="J2511" s="26" t="str">
        <f t="shared" si="355"/>
        <v/>
      </c>
      <c r="N2511" t="str">
        <f t="shared" si="356"/>
        <v/>
      </c>
      <c r="Q2511" t="str">
        <f t="shared" si="357"/>
        <v/>
      </c>
      <c r="S2511" t="str">
        <f>IF(A2511=1,MAX($S$2:$S2510)+1,IF(OR($I2511&lt;&gt;"",A2511="x"),$S2510,""))</f>
        <v/>
      </c>
      <c r="T2511" t="str">
        <f>IF(D2511=1,MAX($T$2:$T2510)+1,IF(S2511=S2510,$T2510,IF(D2511="x",T2510,IF(D2510="x","",""))))</f>
        <v/>
      </c>
      <c r="U2511" t="str">
        <f>IF(B2511=1,MAX($U$2:$U2510)+1,IF(AND($T2511&lt;&gt;"",$T2511=$T2510),$U2510,IF(B2511="x",U2510,"")))</f>
        <v/>
      </c>
      <c r="V2511" t="str">
        <f>IF(C2511=1,MAX($V$2:$V2510)+1,IF(AND($T2511&lt;&gt;"",$T2511=$T2510),$U2510,IF(C2511="x",V2510,"")))</f>
        <v/>
      </c>
      <c r="X2511" cm="1">
        <f t="array" ref="X2511">IF($I2511&lt;&gt;"",$I2511,INDEX($I$1:$I2511,ROW()-COUNTIFS($T$1:$T2511,"="&amp;$T2511,$S$1:$S2511,"&lt;"&amp;$S2511)))</f>
        <v>0</v>
      </c>
      <c r="Z2511" s="6">
        <f t="shared" si="358"/>
        <v>1</v>
      </c>
      <c r="AA2511" t="e">
        <f t="shared" si="359"/>
        <v>#VALUE!</v>
      </c>
      <c r="AB2511" t="str">
        <f t="shared" si="360"/>
        <v/>
      </c>
      <c r="AC2511" t="e">
        <f t="shared" si="361"/>
        <v>#VALUE!</v>
      </c>
    </row>
    <row r="2512" spans="1:29" x14ac:dyDescent="0.2">
      <c r="A2512" t="str">
        <f t="shared" si="354"/>
        <v/>
      </c>
      <c r="E2512" s="4"/>
      <c r="F2512" s="46"/>
      <c r="G2512" s="4"/>
      <c r="H2512" s="48"/>
      <c r="J2512" s="26" t="str">
        <f t="shared" si="355"/>
        <v/>
      </c>
      <c r="N2512" t="str">
        <f t="shared" si="356"/>
        <v/>
      </c>
      <c r="Q2512" t="str">
        <f t="shared" si="357"/>
        <v/>
      </c>
      <c r="S2512" t="str">
        <f>IF(A2512=1,MAX($S$2:$S2511)+1,IF(OR($I2512&lt;&gt;"",A2512="x"),$S2511,""))</f>
        <v/>
      </c>
      <c r="T2512" t="str">
        <f>IF(D2512=1,MAX($T$2:$T2511)+1,IF(S2512=S2511,$T2511,IF(D2512="x",T2511,IF(D2511="x","",""))))</f>
        <v/>
      </c>
      <c r="U2512" t="str">
        <f>IF(B2512=1,MAX($U$2:$U2511)+1,IF(AND($T2512&lt;&gt;"",$T2512=$T2511),$U2511,IF(B2512="x",U2511,"")))</f>
        <v/>
      </c>
      <c r="V2512" t="str">
        <f>IF(C2512=1,MAX($V$2:$V2511)+1,IF(AND($T2512&lt;&gt;"",$T2512=$T2511),$U2511,IF(C2512="x",V2511,"")))</f>
        <v/>
      </c>
      <c r="X2512" cm="1">
        <f t="array" ref="X2512">IF($I2512&lt;&gt;"",$I2512,INDEX($I$1:$I2512,ROW()-COUNTIFS($T$1:$T2512,"="&amp;$T2512,$S$1:$S2512,"&lt;"&amp;$S2512)))</f>
        <v>0</v>
      </c>
      <c r="Z2512" s="6">
        <f t="shared" si="358"/>
        <v>1</v>
      </c>
      <c r="AA2512" t="e">
        <f t="shared" si="359"/>
        <v>#VALUE!</v>
      </c>
      <c r="AB2512" t="str">
        <f t="shared" si="360"/>
        <v/>
      </c>
      <c r="AC2512" t="e">
        <f t="shared" si="361"/>
        <v>#VALUE!</v>
      </c>
    </row>
    <row r="2513" spans="1:29" x14ac:dyDescent="0.2">
      <c r="A2513" t="str">
        <f t="shared" si="354"/>
        <v/>
      </c>
      <c r="E2513" s="4"/>
      <c r="F2513" s="46"/>
      <c r="G2513" s="4"/>
      <c r="H2513" s="48"/>
      <c r="J2513" s="26" t="str">
        <f t="shared" si="355"/>
        <v/>
      </c>
      <c r="N2513" t="str">
        <f t="shared" si="356"/>
        <v/>
      </c>
      <c r="Q2513" t="str">
        <f t="shared" si="357"/>
        <v/>
      </c>
      <c r="S2513" t="str">
        <f>IF(A2513=1,MAX($S$2:$S2512)+1,IF(OR($I2513&lt;&gt;"",A2513="x"),$S2512,""))</f>
        <v/>
      </c>
      <c r="T2513" t="str">
        <f>IF(D2513=1,MAX($T$2:$T2512)+1,IF(S2513=S2512,$T2512,IF(D2513="x",T2512,IF(D2512="x","",""))))</f>
        <v/>
      </c>
      <c r="U2513" t="str">
        <f>IF(B2513=1,MAX($U$2:$U2512)+1,IF(AND($T2513&lt;&gt;"",$T2513=$T2512),$U2512,IF(B2513="x",U2512,"")))</f>
        <v/>
      </c>
      <c r="V2513" t="str">
        <f>IF(C2513=1,MAX($V$2:$V2512)+1,IF(AND($T2513&lt;&gt;"",$T2513=$T2512),$U2512,IF(C2513="x",V2512,"")))</f>
        <v/>
      </c>
      <c r="X2513" cm="1">
        <f t="array" ref="X2513">IF($I2513&lt;&gt;"",$I2513,INDEX($I$1:$I2513,ROW()-COUNTIFS($T$1:$T2513,"="&amp;$T2513,$S$1:$S2513,"&lt;"&amp;$S2513)))</f>
        <v>0</v>
      </c>
      <c r="Z2513" s="6">
        <f t="shared" si="358"/>
        <v>1</v>
      </c>
      <c r="AA2513" t="e">
        <f t="shared" si="359"/>
        <v>#VALUE!</v>
      </c>
      <c r="AB2513" t="str">
        <f t="shared" si="360"/>
        <v/>
      </c>
      <c r="AC2513" t="e">
        <f t="shared" si="361"/>
        <v>#VALUE!</v>
      </c>
    </row>
    <row r="2514" spans="1:29" x14ac:dyDescent="0.2">
      <c r="A2514" t="str">
        <f t="shared" si="354"/>
        <v/>
      </c>
      <c r="E2514" s="4"/>
      <c r="F2514" s="46"/>
      <c r="G2514" s="4"/>
      <c r="H2514" s="48"/>
      <c r="J2514" s="26" t="str">
        <f t="shared" si="355"/>
        <v/>
      </c>
      <c r="N2514" t="str">
        <f t="shared" si="356"/>
        <v/>
      </c>
      <c r="Q2514" t="str">
        <f t="shared" si="357"/>
        <v/>
      </c>
      <c r="S2514" t="str">
        <f>IF(A2514=1,MAX($S$2:$S2513)+1,IF(OR($I2514&lt;&gt;"",A2514="x"),$S2513,""))</f>
        <v/>
      </c>
      <c r="T2514" t="str">
        <f>IF(D2514=1,MAX($T$2:$T2513)+1,IF(S2514=S2513,$T2513,IF(D2514="x",T2513,IF(D2513="x","",""))))</f>
        <v/>
      </c>
      <c r="U2514" t="str">
        <f>IF(B2514=1,MAX($U$2:$U2513)+1,IF(AND($T2514&lt;&gt;"",$T2514=$T2513),$U2513,IF(B2514="x",U2513,"")))</f>
        <v/>
      </c>
      <c r="V2514" t="str">
        <f>IF(C2514=1,MAX($V$2:$V2513)+1,IF(AND($T2514&lt;&gt;"",$T2514=$T2513),$U2513,IF(C2514="x",V2513,"")))</f>
        <v/>
      </c>
      <c r="X2514" cm="1">
        <f t="array" ref="X2514">IF($I2514&lt;&gt;"",$I2514,INDEX($I$1:$I2514,ROW()-COUNTIFS($T$1:$T2514,"="&amp;$T2514,$S$1:$S2514,"&lt;"&amp;$S2514)))</f>
        <v>0</v>
      </c>
      <c r="Z2514" s="6">
        <f t="shared" si="358"/>
        <v>1</v>
      </c>
      <c r="AA2514" t="e">
        <f t="shared" si="359"/>
        <v>#VALUE!</v>
      </c>
      <c r="AB2514" t="str">
        <f t="shared" si="360"/>
        <v/>
      </c>
      <c r="AC2514" t="e">
        <f t="shared" si="361"/>
        <v>#VALUE!</v>
      </c>
    </row>
    <row r="2515" spans="1:29" x14ac:dyDescent="0.2">
      <c r="A2515" t="str">
        <f t="shared" ref="A2515:A2578" si="362">IF(K2515&lt;&gt;"",1,IF(D2515="x","x",""))</f>
        <v/>
      </c>
      <c r="E2515" s="4"/>
      <c r="F2515" s="46"/>
      <c r="G2515" s="4"/>
      <c r="H2515" s="48"/>
      <c r="J2515" s="26" t="str">
        <f t="shared" ref="J2515:J2578" si="363">IF(OR(K2515="Goal",K2515="Shot",L2515="Zone_Entry",M2515="Stoppage-Goal",M2514="Stoppage-Goal"),"o",IF(OR(K2515="Save",K2515="Rebound",L2515="Zone_Exit",M2515="Stoppage-GoalieStoppage",M2514="Stoppage-GoalieStoppage"),"d",IF(OR(L2515="Faceoff_AfterGoal",L2515="Faceoff_PeriodStart",698="Faceoff_GameStart",M2514="Stoppage-Goal"),"n","")))</f>
        <v/>
      </c>
      <c r="N2515" t="str">
        <f t="shared" ref="N2515:N2578" si="364">IF(K2515="","",IF(K2515="Goal","s",IF(AND(K2515="Zone_Entry_Exit",OR(ISNUMBER(SEARCH("fail",L2515)),ISNUMBER(SEARCH("FromExitClear",M2515)),ISNUMBER(SEARCH("miss",M2515)))),"u",IF(AND(K2515="Zone_Entry_Exit",OR(NOT(ISNUMBER(SEARCH("fail",L2515))),NOT(ISNUMBER(SEARCH("FromExitClear",M2515))),NOT(ISNUMBER(SEARCH("miss",M2515))))),"s",IF(AND(OR(K2515="Shot",K2515="Pass"),OR(ISNUMBER(SEARCH("complete",L2515)),ISNUMBER(SEARCH("goal",L2515)),ISNUMBER(SEARCH("OnNet",L2515)))),"s",IF(L2515="Turnover_Giveaway","u",IF(AND(OR(K2515="Shot",K2515="Pass"),OR(ISNUMBER(SEARCH("fail",L2515)),NOT(ISNUMBER(SEARCH("complete",L2515))),NOT(ISNUMBER(SEARCH("OnNet",L2515))))),"u","")))))))</f>
        <v/>
      </c>
      <c r="Q2515" t="str">
        <f t="shared" ref="Q2515:Q2578" si="365">IF(O2515="","",IF(AND(N2515&lt;&gt;"",OR(O2515&lt;&gt;"",P2515&lt;&gt;"")),N2515,IF(OR(ISNUMBER(SEARCH("attemp",O2515)),ISNUMBER(SEARCH("beat",O2515)),ISNUMBER(SEARCH("mis",O2515)),ISNUMBER(SEARCH("fail",O2515)),ISNUMBER(SEARCH("loss",O2515)),ISNUMBER(SEARCH("lost",O2515)),ISNUMBER(SEARCH("attemp",P2515)),ISNUMBER(SEARCH("mis",P2515)),ISNUMBER(SEARCH("fail",P2515)),ISNUMBER(SEARCH("loss",P2515)),ISNUMBER(SEARCH("beat",P2515)),ISNUMBER(SEARCH("lost",P2515))),"u","")))</f>
        <v/>
      </c>
      <c r="S2515" t="str">
        <f>IF(A2515=1,MAX($S$2:$S2514)+1,IF(OR($I2515&lt;&gt;"",A2515="x"),$S2514,""))</f>
        <v/>
      </c>
      <c r="T2515" t="str">
        <f>IF(D2515=1,MAX($T$2:$T2514)+1,IF(S2515=S2514,$T2514,IF(D2515="x",T2514,IF(D2514="x","",""))))</f>
        <v/>
      </c>
      <c r="U2515" t="str">
        <f>IF(B2515=1,MAX($U$2:$U2514)+1,IF(AND($T2515&lt;&gt;"",$T2515=$T2514),$U2514,IF(B2515="x",U2514,"")))</f>
        <v/>
      </c>
      <c r="V2515" t="str">
        <f>IF(C2515=1,MAX($V$2:$V2514)+1,IF(AND($T2515&lt;&gt;"",$T2515=$T2514),$U2514,IF(C2515="x",V2514,"")))</f>
        <v/>
      </c>
      <c r="X2515" cm="1">
        <f t="array" ref="X2515">IF($I2515&lt;&gt;"",$I2515,INDEX($I$1:$I2515,ROW()-COUNTIFS($T$1:$T2515,"="&amp;$T2515,$S$1:$S2515,"&lt;"&amp;$S2515)))</f>
        <v>0</v>
      </c>
      <c r="Z2515" s="6">
        <f t="shared" si="358"/>
        <v>1</v>
      </c>
      <c r="AA2515" t="e">
        <f t="shared" si="359"/>
        <v>#VALUE!</v>
      </c>
      <c r="AB2515" t="str">
        <f t="shared" si="360"/>
        <v/>
      </c>
      <c r="AC2515" t="e">
        <f t="shared" si="361"/>
        <v>#VALUE!</v>
      </c>
    </row>
    <row r="2516" spans="1:29" x14ac:dyDescent="0.2">
      <c r="A2516" t="str">
        <f t="shared" si="362"/>
        <v/>
      </c>
      <c r="E2516" s="4"/>
      <c r="F2516" s="46"/>
      <c r="G2516" s="4"/>
      <c r="H2516" s="48"/>
      <c r="J2516" s="26" t="str">
        <f t="shared" si="363"/>
        <v/>
      </c>
      <c r="N2516" t="str">
        <f t="shared" si="364"/>
        <v/>
      </c>
      <c r="Q2516" t="str">
        <f t="shared" si="365"/>
        <v/>
      </c>
      <c r="S2516" t="str">
        <f>IF(A2516=1,MAX($S$2:$S2515)+1,IF(OR($I2516&lt;&gt;"",A2516="x"),$S2515,""))</f>
        <v/>
      </c>
      <c r="T2516" t="str">
        <f>IF(D2516=1,MAX($T$2:$T2515)+1,IF(S2516=S2515,$T2515,IF(D2516="x",T2515,IF(D2515="x","",""))))</f>
        <v/>
      </c>
      <c r="U2516" t="str">
        <f>IF(B2516=1,MAX($U$2:$U2515)+1,IF(AND($T2516&lt;&gt;"",$T2516=$T2515),$U2515,IF(B2516="x",U2515,"")))</f>
        <v/>
      </c>
      <c r="V2516" t="str">
        <f>IF(C2516=1,MAX($V$2:$V2515)+1,IF(AND($T2516&lt;&gt;"",$T2516=$T2515),$U2515,IF(C2516="x",V2515,"")))</f>
        <v/>
      </c>
      <c r="X2516" cm="1">
        <f t="array" ref="X2516">IF($I2516&lt;&gt;"",$I2516,INDEX($I$1:$I2516,ROW()-COUNTIFS($T$1:$T2516,"="&amp;$T2516,$S$1:$S2516,"&lt;"&amp;$S2516)))</f>
        <v>0</v>
      </c>
      <c r="Z2516" s="6">
        <f t="shared" si="358"/>
        <v>1</v>
      </c>
      <c r="AA2516" t="e">
        <f t="shared" si="359"/>
        <v>#VALUE!</v>
      </c>
      <c r="AB2516" t="str">
        <f t="shared" si="360"/>
        <v/>
      </c>
      <c r="AC2516" t="e">
        <f t="shared" si="361"/>
        <v>#VALUE!</v>
      </c>
    </row>
    <row r="2517" spans="1:29" x14ac:dyDescent="0.2">
      <c r="A2517" t="str">
        <f t="shared" si="362"/>
        <v/>
      </c>
      <c r="E2517" s="4"/>
      <c r="F2517" s="46"/>
      <c r="G2517" s="4"/>
      <c r="H2517" s="48"/>
      <c r="J2517" s="26" t="str">
        <f t="shared" si="363"/>
        <v/>
      </c>
      <c r="N2517" t="str">
        <f t="shared" si="364"/>
        <v/>
      </c>
      <c r="Q2517" t="str">
        <f t="shared" si="365"/>
        <v/>
      </c>
      <c r="S2517" t="str">
        <f>IF(A2517=1,MAX($S$2:$S2516)+1,IF(OR($I2517&lt;&gt;"",A2517="x"),$S2516,""))</f>
        <v/>
      </c>
      <c r="T2517" t="str">
        <f>IF(D2517=1,MAX($T$2:$T2516)+1,IF(S2517=S2516,$T2516,IF(D2517="x",T2516,IF(D2516="x","",""))))</f>
        <v/>
      </c>
      <c r="U2517" t="str">
        <f>IF(B2517=1,MAX($U$2:$U2516)+1,IF(AND($T2517&lt;&gt;"",$T2517=$T2516),$U2516,IF(B2517="x",U2516,"")))</f>
        <v/>
      </c>
      <c r="V2517" t="str">
        <f>IF(C2517=1,MAX($V$2:$V2516)+1,IF(AND($T2517&lt;&gt;"",$T2517=$T2516),$U2516,IF(C2517="x",V2516,"")))</f>
        <v/>
      </c>
      <c r="X2517" cm="1">
        <f t="array" ref="X2517">IF($I2517&lt;&gt;"",$I2517,INDEX($I$1:$I2517,ROW()-COUNTIFS($T$1:$T2517,"="&amp;$T2517,$S$1:$S2517,"&lt;"&amp;$S2517)))</f>
        <v>0</v>
      </c>
      <c r="Z2517" s="6">
        <f t="shared" si="358"/>
        <v>1</v>
      </c>
      <c r="AA2517" t="e">
        <f t="shared" si="359"/>
        <v>#VALUE!</v>
      </c>
      <c r="AB2517" t="str">
        <f t="shared" si="360"/>
        <v/>
      </c>
      <c r="AC2517" t="e">
        <f t="shared" si="361"/>
        <v>#VALUE!</v>
      </c>
    </row>
    <row r="2518" spans="1:29" x14ac:dyDescent="0.2">
      <c r="A2518" t="str">
        <f t="shared" si="362"/>
        <v/>
      </c>
      <c r="E2518" s="4"/>
      <c r="F2518" s="46"/>
      <c r="G2518" s="4"/>
      <c r="H2518" s="48"/>
      <c r="J2518" s="26" t="str">
        <f t="shared" si="363"/>
        <v/>
      </c>
      <c r="N2518" t="str">
        <f t="shared" si="364"/>
        <v/>
      </c>
      <c r="Q2518" t="str">
        <f t="shared" si="365"/>
        <v/>
      </c>
      <c r="S2518" t="str">
        <f>IF(A2518=1,MAX($S$2:$S2517)+1,IF(OR($I2518&lt;&gt;"",A2518="x"),$S2517,""))</f>
        <v/>
      </c>
      <c r="T2518" t="str">
        <f>IF(D2518=1,MAX($T$2:$T2517)+1,IF(S2518=S2517,$T2517,IF(D2518="x",T2517,IF(D2517="x","",""))))</f>
        <v/>
      </c>
      <c r="U2518" t="str">
        <f>IF(B2518=1,MAX($U$2:$U2517)+1,IF(AND($T2518&lt;&gt;"",$T2518=$T2517),$U2517,IF(B2518="x",U2517,"")))</f>
        <v/>
      </c>
      <c r="V2518" t="str">
        <f>IF(C2518=1,MAX($V$2:$V2517)+1,IF(AND($T2518&lt;&gt;"",$T2518=$T2517),$U2517,IF(C2518="x",V2517,"")))</f>
        <v/>
      </c>
      <c r="X2518" cm="1">
        <f t="array" ref="X2518">IF($I2518&lt;&gt;"",$I2518,INDEX($I$1:$I2518,ROW()-COUNTIFS($T$1:$T2518,"="&amp;$T2518,$S$1:$S2518,"&lt;"&amp;$S2518)))</f>
        <v>0</v>
      </c>
      <c r="Z2518" s="6">
        <f t="shared" si="358"/>
        <v>1</v>
      </c>
      <c r="AA2518" t="e">
        <f t="shared" si="359"/>
        <v>#VALUE!</v>
      </c>
      <c r="AB2518" t="str">
        <f t="shared" si="360"/>
        <v/>
      </c>
      <c r="AC2518" t="e">
        <f t="shared" si="361"/>
        <v>#VALUE!</v>
      </c>
    </row>
    <row r="2519" spans="1:29" x14ac:dyDescent="0.2">
      <c r="A2519" t="str">
        <f t="shared" si="362"/>
        <v/>
      </c>
      <c r="E2519" s="4"/>
      <c r="F2519" s="46"/>
      <c r="G2519" s="4"/>
      <c r="H2519" s="48"/>
      <c r="J2519" s="26" t="str">
        <f t="shared" si="363"/>
        <v/>
      </c>
      <c r="N2519" t="str">
        <f t="shared" si="364"/>
        <v/>
      </c>
      <c r="Q2519" t="str">
        <f t="shared" si="365"/>
        <v/>
      </c>
      <c r="S2519" t="str">
        <f>IF(A2519=1,MAX($S$2:$S2518)+1,IF(OR($I2519&lt;&gt;"",A2519="x"),$S2518,""))</f>
        <v/>
      </c>
      <c r="T2519" t="str">
        <f>IF(D2519=1,MAX($T$2:$T2518)+1,IF(S2519=S2518,$T2518,IF(D2519="x",T2518,IF(D2518="x","",""))))</f>
        <v/>
      </c>
      <c r="U2519" t="str">
        <f>IF(B2519=1,MAX($U$2:$U2518)+1,IF(AND($T2519&lt;&gt;"",$T2519=$T2518),$U2518,IF(B2519="x",U2518,"")))</f>
        <v/>
      </c>
      <c r="V2519" t="str">
        <f>IF(C2519=1,MAX($V$2:$V2518)+1,IF(AND($T2519&lt;&gt;"",$T2519=$T2518),$U2518,IF(C2519="x",V2518,"")))</f>
        <v/>
      </c>
      <c r="X2519" cm="1">
        <f t="array" ref="X2519">IF($I2519&lt;&gt;"",$I2519,INDEX($I$1:$I2519,ROW()-COUNTIFS($T$1:$T2519,"="&amp;$T2519,$S$1:$S2519,"&lt;"&amp;$S2519)))</f>
        <v>0</v>
      </c>
      <c r="Z2519" s="6">
        <f t="shared" si="358"/>
        <v>1</v>
      </c>
      <c r="AA2519" t="e">
        <f t="shared" si="359"/>
        <v>#VALUE!</v>
      </c>
      <c r="AB2519" t="str">
        <f t="shared" si="360"/>
        <v/>
      </c>
      <c r="AC2519" t="e">
        <f t="shared" si="361"/>
        <v>#VALUE!</v>
      </c>
    </row>
    <row r="2520" spans="1:29" x14ac:dyDescent="0.2">
      <c r="A2520" t="str">
        <f t="shared" si="362"/>
        <v/>
      </c>
      <c r="E2520" s="4"/>
      <c r="F2520" s="46"/>
      <c r="G2520" s="4"/>
      <c r="H2520" s="48"/>
      <c r="J2520" s="26" t="str">
        <f t="shared" si="363"/>
        <v/>
      </c>
      <c r="N2520" t="str">
        <f t="shared" si="364"/>
        <v/>
      </c>
      <c r="Q2520" t="str">
        <f t="shared" si="365"/>
        <v/>
      </c>
      <c r="S2520" t="str">
        <f>IF(A2520=1,MAX($S$2:$S2519)+1,IF(OR($I2520&lt;&gt;"",A2520="x"),$S2519,""))</f>
        <v/>
      </c>
      <c r="T2520" t="str">
        <f>IF(D2520=1,MAX($T$2:$T2519)+1,IF(S2520=S2519,$T2519,IF(D2520="x",T2519,IF(D2519="x","",""))))</f>
        <v/>
      </c>
      <c r="U2520" t="str">
        <f>IF(B2520=1,MAX($U$2:$U2519)+1,IF(AND($T2520&lt;&gt;"",$T2520=$T2519),$U2519,IF(B2520="x",U2519,"")))</f>
        <v/>
      </c>
      <c r="V2520" t="str">
        <f>IF(C2520=1,MAX($V$2:$V2519)+1,IF(AND($T2520&lt;&gt;"",$T2520=$T2519),$U2519,IF(C2520="x",V2519,"")))</f>
        <v/>
      </c>
      <c r="X2520" cm="1">
        <f t="array" ref="X2520">IF($I2520&lt;&gt;"",$I2520,INDEX($I$1:$I2520,ROW()-COUNTIFS($T$1:$T2520,"="&amp;$T2520,$S$1:$S2520,"&lt;"&amp;$S2520)))</f>
        <v>0</v>
      </c>
      <c r="Z2520" s="6">
        <f t="shared" si="358"/>
        <v>1</v>
      </c>
      <c r="AA2520" t="e">
        <f t="shared" si="359"/>
        <v>#VALUE!</v>
      </c>
      <c r="AB2520" t="str">
        <f t="shared" si="360"/>
        <v/>
      </c>
      <c r="AC2520" t="e">
        <f t="shared" si="361"/>
        <v>#VALUE!</v>
      </c>
    </row>
    <row r="2521" spans="1:29" x14ac:dyDescent="0.2">
      <c r="A2521" t="str">
        <f t="shared" si="362"/>
        <v/>
      </c>
      <c r="E2521" s="4"/>
      <c r="F2521" s="46"/>
      <c r="G2521" s="4"/>
      <c r="H2521" s="48"/>
      <c r="J2521" s="26" t="str">
        <f t="shared" si="363"/>
        <v/>
      </c>
      <c r="N2521" t="str">
        <f t="shared" si="364"/>
        <v/>
      </c>
      <c r="Q2521" t="str">
        <f t="shared" si="365"/>
        <v/>
      </c>
      <c r="S2521" t="str">
        <f>IF(A2521=1,MAX($S$2:$S2520)+1,IF(OR($I2521&lt;&gt;"",A2521="x"),$S2520,""))</f>
        <v/>
      </c>
      <c r="T2521" t="str">
        <f>IF(D2521=1,MAX($T$2:$T2520)+1,IF(S2521=S2520,$T2520,IF(D2521="x",T2520,IF(D2520="x","",""))))</f>
        <v/>
      </c>
      <c r="U2521" t="str">
        <f>IF(B2521=1,MAX($U$2:$U2520)+1,IF(AND($T2521&lt;&gt;"",$T2521=$T2520),$U2520,IF(B2521="x",U2520,"")))</f>
        <v/>
      </c>
      <c r="V2521" t="str">
        <f>IF(C2521=1,MAX($V$2:$V2520)+1,IF(AND($T2521&lt;&gt;"",$T2521=$T2520),$U2520,IF(C2521="x",V2520,"")))</f>
        <v/>
      </c>
      <c r="X2521" cm="1">
        <f t="array" ref="X2521">IF($I2521&lt;&gt;"",$I2521,INDEX($I$1:$I2521,ROW()-COUNTIFS($T$1:$T2521,"="&amp;$T2521,$S$1:$S2521,"&lt;"&amp;$S2521)))</f>
        <v>0</v>
      </c>
      <c r="Z2521" s="6">
        <f t="shared" si="358"/>
        <v>1</v>
      </c>
      <c r="AA2521" t="e">
        <f t="shared" si="359"/>
        <v>#VALUE!</v>
      </c>
      <c r="AB2521" t="str">
        <f t="shared" si="360"/>
        <v/>
      </c>
      <c r="AC2521" t="e">
        <f t="shared" si="361"/>
        <v>#VALUE!</v>
      </c>
    </row>
    <row r="2522" spans="1:29" x14ac:dyDescent="0.2">
      <c r="A2522" t="str">
        <f t="shared" si="362"/>
        <v/>
      </c>
      <c r="E2522" s="4"/>
      <c r="F2522" s="46"/>
      <c r="G2522" s="4"/>
      <c r="H2522" s="48"/>
      <c r="J2522" s="26" t="str">
        <f t="shared" si="363"/>
        <v/>
      </c>
      <c r="N2522" t="str">
        <f t="shared" si="364"/>
        <v/>
      </c>
      <c r="Q2522" t="str">
        <f t="shared" si="365"/>
        <v/>
      </c>
      <c r="S2522" t="str">
        <f>IF(A2522=1,MAX($S$2:$S2521)+1,IF(OR($I2522&lt;&gt;"",A2522="x"),$S2521,""))</f>
        <v/>
      </c>
      <c r="T2522" t="str">
        <f>IF(D2522=1,MAX($T$2:$T2521)+1,IF(S2522=S2521,$T2521,IF(D2522="x",T2521,IF(D2521="x","",""))))</f>
        <v/>
      </c>
      <c r="U2522" t="str">
        <f>IF(B2522=1,MAX($U$2:$U2521)+1,IF(AND($T2522&lt;&gt;"",$T2522=$T2521),$U2521,IF(B2522="x",U2521,"")))</f>
        <v/>
      </c>
      <c r="V2522" t="str">
        <f>IF(C2522=1,MAX($V$2:$V2521)+1,IF(AND($T2522&lt;&gt;"",$T2522=$T2521),$U2521,IF(C2522="x",V2521,"")))</f>
        <v/>
      </c>
      <c r="X2522" cm="1">
        <f t="array" ref="X2522">IF($I2522&lt;&gt;"",$I2522,INDEX($I$1:$I2522,ROW()-COUNTIFS($T$1:$T2522,"="&amp;$T2522,$S$1:$S2522,"&lt;"&amp;$S2522)))</f>
        <v>0</v>
      </c>
      <c r="Z2522" s="6">
        <f t="shared" si="358"/>
        <v>1</v>
      </c>
      <c r="AA2522" t="e">
        <f t="shared" si="359"/>
        <v>#VALUE!</v>
      </c>
      <c r="AB2522" t="str">
        <f t="shared" si="360"/>
        <v/>
      </c>
      <c r="AC2522" t="e">
        <f t="shared" si="361"/>
        <v>#VALUE!</v>
      </c>
    </row>
    <row r="2523" spans="1:29" x14ac:dyDescent="0.2">
      <c r="A2523" t="str">
        <f t="shared" si="362"/>
        <v/>
      </c>
      <c r="E2523" s="4"/>
      <c r="F2523" s="46"/>
      <c r="G2523" s="4"/>
      <c r="H2523" s="48"/>
      <c r="J2523" s="26" t="str">
        <f t="shared" si="363"/>
        <v/>
      </c>
      <c r="N2523" t="str">
        <f t="shared" si="364"/>
        <v/>
      </c>
      <c r="Q2523" t="str">
        <f t="shared" si="365"/>
        <v/>
      </c>
      <c r="S2523" t="str">
        <f>IF(A2523=1,MAX($S$2:$S2522)+1,IF(OR($I2523&lt;&gt;"",A2523="x"),$S2522,""))</f>
        <v/>
      </c>
      <c r="T2523" t="str">
        <f>IF(D2523=1,MAX($T$2:$T2522)+1,IF(S2523=S2522,$T2522,IF(D2523="x",T2522,IF(D2522="x","",""))))</f>
        <v/>
      </c>
      <c r="U2523" t="str">
        <f>IF(B2523=1,MAX($U$2:$U2522)+1,IF(AND($T2523&lt;&gt;"",$T2523=$T2522),$U2522,IF(B2523="x",U2522,"")))</f>
        <v/>
      </c>
      <c r="V2523" t="str">
        <f>IF(C2523=1,MAX($V$2:$V2522)+1,IF(AND($T2523&lt;&gt;"",$T2523=$T2522),$U2522,IF(C2523="x",V2522,"")))</f>
        <v/>
      </c>
      <c r="X2523" cm="1">
        <f t="array" ref="X2523">IF($I2523&lt;&gt;"",$I2523,INDEX($I$1:$I2523,ROW()-COUNTIFS($T$1:$T2523,"="&amp;$T2523,$S$1:$S2523,"&lt;"&amp;$S2523)))</f>
        <v>0</v>
      </c>
      <c r="Z2523" s="6">
        <f t="shared" si="358"/>
        <v>1</v>
      </c>
      <c r="AA2523" t="e">
        <f t="shared" si="359"/>
        <v>#VALUE!</v>
      </c>
      <c r="AB2523" t="str">
        <f t="shared" si="360"/>
        <v/>
      </c>
      <c r="AC2523" t="e">
        <f t="shared" si="361"/>
        <v>#VALUE!</v>
      </c>
    </row>
    <row r="2524" spans="1:29" x14ac:dyDescent="0.2">
      <c r="A2524" t="str">
        <f t="shared" si="362"/>
        <v/>
      </c>
      <c r="E2524" s="4"/>
      <c r="F2524" s="46"/>
      <c r="G2524" s="4"/>
      <c r="H2524" s="48"/>
      <c r="J2524" s="26" t="str">
        <f t="shared" si="363"/>
        <v/>
      </c>
      <c r="N2524" t="str">
        <f t="shared" si="364"/>
        <v/>
      </c>
      <c r="Q2524" t="str">
        <f t="shared" si="365"/>
        <v/>
      </c>
      <c r="S2524" t="str">
        <f>IF(A2524=1,MAX($S$2:$S2523)+1,IF(OR($I2524&lt;&gt;"",A2524="x"),$S2523,""))</f>
        <v/>
      </c>
      <c r="T2524" t="str">
        <f>IF(D2524=1,MAX($T$2:$T2523)+1,IF(S2524=S2523,$T2523,IF(D2524="x",T2523,IF(D2523="x","",""))))</f>
        <v/>
      </c>
      <c r="U2524" t="str">
        <f>IF(B2524=1,MAX($U$2:$U2523)+1,IF(AND($T2524&lt;&gt;"",$T2524=$T2523),$U2523,IF(B2524="x",U2523,"")))</f>
        <v/>
      </c>
      <c r="V2524" t="str">
        <f>IF(C2524=1,MAX($V$2:$V2523)+1,IF(AND($T2524&lt;&gt;"",$T2524=$T2523),$U2523,IF(C2524="x",V2523,"")))</f>
        <v/>
      </c>
      <c r="X2524" cm="1">
        <f t="array" ref="X2524">IF($I2524&lt;&gt;"",$I2524,INDEX($I$1:$I2524,ROW()-COUNTIFS($T$1:$T2524,"="&amp;$T2524,$S$1:$S2524,"&lt;"&amp;$S2524)))</f>
        <v>0</v>
      </c>
      <c r="Z2524" s="6">
        <f t="shared" si="358"/>
        <v>1</v>
      </c>
      <c r="AA2524" t="e">
        <f t="shared" si="359"/>
        <v>#VALUE!</v>
      </c>
      <c r="AB2524" t="str">
        <f t="shared" si="360"/>
        <v/>
      </c>
      <c r="AC2524" t="e">
        <f t="shared" si="361"/>
        <v>#VALUE!</v>
      </c>
    </row>
    <row r="2525" spans="1:29" x14ac:dyDescent="0.2">
      <c r="A2525" t="str">
        <f t="shared" si="362"/>
        <v/>
      </c>
      <c r="E2525" s="4"/>
      <c r="F2525" s="46"/>
      <c r="G2525" s="4"/>
      <c r="H2525" s="48"/>
      <c r="J2525" s="26" t="str">
        <f t="shared" si="363"/>
        <v/>
      </c>
      <c r="N2525" t="str">
        <f t="shared" si="364"/>
        <v/>
      </c>
      <c r="Q2525" t="str">
        <f t="shared" si="365"/>
        <v/>
      </c>
      <c r="S2525" t="str">
        <f>IF(A2525=1,MAX($S$2:$S2524)+1,IF(OR($I2525&lt;&gt;"",A2525="x"),$S2524,""))</f>
        <v/>
      </c>
      <c r="T2525" t="str">
        <f>IF(D2525=1,MAX($T$2:$T2524)+1,IF(S2525=S2524,$T2524,IF(D2525="x",T2524,IF(D2524="x","",""))))</f>
        <v/>
      </c>
      <c r="U2525" t="str">
        <f>IF(B2525=1,MAX($U$2:$U2524)+1,IF(AND($T2525&lt;&gt;"",$T2525=$T2524),$U2524,IF(B2525="x",U2524,"")))</f>
        <v/>
      </c>
      <c r="V2525" t="str">
        <f>IF(C2525=1,MAX($V$2:$V2524)+1,IF(AND($T2525&lt;&gt;"",$T2525=$T2524),$U2524,IF(C2525="x",V2524,"")))</f>
        <v/>
      </c>
      <c r="X2525" cm="1">
        <f t="array" ref="X2525">IF($I2525&lt;&gt;"",$I2525,INDEX($I$1:$I2525,ROW()-COUNTIFS($T$1:$T2525,"="&amp;$T2525,$S$1:$S2525,"&lt;"&amp;$S2525)))</f>
        <v>0</v>
      </c>
      <c r="Z2525" s="6">
        <f t="shared" si="358"/>
        <v>1</v>
      </c>
      <c r="AA2525" t="e">
        <f t="shared" si="359"/>
        <v>#VALUE!</v>
      </c>
      <c r="AB2525" t="str">
        <f t="shared" si="360"/>
        <v/>
      </c>
      <c r="AC2525" t="e">
        <f t="shared" si="361"/>
        <v>#VALUE!</v>
      </c>
    </row>
    <row r="2526" spans="1:29" x14ac:dyDescent="0.2">
      <c r="A2526" t="str">
        <f t="shared" si="362"/>
        <v/>
      </c>
      <c r="E2526" s="4"/>
      <c r="F2526" s="46"/>
      <c r="G2526" s="4"/>
      <c r="H2526" s="48"/>
      <c r="J2526" s="26" t="str">
        <f t="shared" si="363"/>
        <v/>
      </c>
      <c r="N2526" t="str">
        <f t="shared" si="364"/>
        <v/>
      </c>
      <c r="Q2526" t="str">
        <f t="shared" si="365"/>
        <v/>
      </c>
      <c r="S2526" t="str">
        <f>IF(A2526=1,MAX($S$2:$S2525)+1,IF(OR($I2526&lt;&gt;"",A2526="x"),$S2525,""))</f>
        <v/>
      </c>
      <c r="T2526" t="str">
        <f>IF(D2526=1,MAX($T$2:$T2525)+1,IF(S2526=S2525,$T2525,IF(D2526="x",T2525,IF(D2525="x","",""))))</f>
        <v/>
      </c>
      <c r="U2526" t="str">
        <f>IF(B2526=1,MAX($U$2:$U2525)+1,IF(AND($T2526&lt;&gt;"",$T2526=$T2525),$U2525,IF(B2526="x",U2525,"")))</f>
        <v/>
      </c>
      <c r="V2526" t="str">
        <f>IF(C2526=1,MAX($V$2:$V2525)+1,IF(AND($T2526&lt;&gt;"",$T2526=$T2525),$U2525,IF(C2526="x",V2525,"")))</f>
        <v/>
      </c>
      <c r="X2526" cm="1">
        <f t="array" ref="X2526">IF($I2526&lt;&gt;"",$I2526,INDEX($I$1:$I2526,ROW()-COUNTIFS($T$1:$T2526,"="&amp;$T2526,$S$1:$S2526,"&lt;"&amp;$S2526)))</f>
        <v>0</v>
      </c>
      <c r="Z2526" s="6">
        <f t="shared" si="358"/>
        <v>1</v>
      </c>
      <c r="AA2526" t="e">
        <f t="shared" si="359"/>
        <v>#VALUE!</v>
      </c>
      <c r="AB2526" t="str">
        <f t="shared" si="360"/>
        <v/>
      </c>
      <c r="AC2526" t="e">
        <f t="shared" si="361"/>
        <v>#VALUE!</v>
      </c>
    </row>
    <row r="2527" spans="1:29" x14ac:dyDescent="0.2">
      <c r="A2527" t="str">
        <f t="shared" si="362"/>
        <v/>
      </c>
      <c r="E2527" s="4"/>
      <c r="F2527" s="46"/>
      <c r="G2527" s="4"/>
      <c r="H2527" s="48"/>
      <c r="J2527" s="26" t="str">
        <f t="shared" si="363"/>
        <v/>
      </c>
      <c r="N2527" t="str">
        <f t="shared" si="364"/>
        <v/>
      </c>
      <c r="Q2527" t="str">
        <f t="shared" si="365"/>
        <v/>
      </c>
      <c r="S2527" t="str">
        <f>IF(A2527=1,MAX($S$2:$S2526)+1,IF(OR($I2527&lt;&gt;"",A2527="x"),$S2526,""))</f>
        <v/>
      </c>
      <c r="T2527" t="str">
        <f>IF(D2527=1,MAX($T$2:$T2526)+1,IF(S2527=S2526,$T2526,IF(D2527="x",T2526,IF(D2526="x","",""))))</f>
        <v/>
      </c>
      <c r="U2527" t="str">
        <f>IF(B2527=1,MAX($U$2:$U2526)+1,IF(AND($T2527&lt;&gt;"",$T2527=$T2526),$U2526,IF(B2527="x",U2526,"")))</f>
        <v/>
      </c>
      <c r="V2527" t="str">
        <f>IF(C2527=1,MAX($V$2:$V2526)+1,IF(AND($T2527&lt;&gt;"",$T2527=$T2526),$U2526,IF(C2527="x",V2526,"")))</f>
        <v/>
      </c>
      <c r="X2527" cm="1">
        <f t="array" ref="X2527">IF($I2527&lt;&gt;"",$I2527,INDEX($I$1:$I2527,ROW()-COUNTIFS($T$1:$T2527,"="&amp;$T2527,$S$1:$S2527,"&lt;"&amp;$S2527)))</f>
        <v>0</v>
      </c>
      <c r="Z2527" s="6">
        <f t="shared" si="358"/>
        <v>1</v>
      </c>
      <c r="AA2527" t="e">
        <f t="shared" si="359"/>
        <v>#VALUE!</v>
      </c>
      <c r="AB2527" t="str">
        <f t="shared" si="360"/>
        <v/>
      </c>
      <c r="AC2527" t="e">
        <f t="shared" si="361"/>
        <v>#VALUE!</v>
      </c>
    </row>
    <row r="2528" spans="1:29" x14ac:dyDescent="0.2">
      <c r="A2528" t="str">
        <f t="shared" si="362"/>
        <v/>
      </c>
      <c r="E2528" s="4"/>
      <c r="F2528" s="46"/>
      <c r="G2528" s="4"/>
      <c r="H2528" s="48"/>
      <c r="J2528" s="26" t="str">
        <f t="shared" si="363"/>
        <v/>
      </c>
      <c r="N2528" t="str">
        <f t="shared" si="364"/>
        <v/>
      </c>
      <c r="Q2528" t="str">
        <f t="shared" si="365"/>
        <v/>
      </c>
      <c r="S2528" t="str">
        <f>IF(A2528=1,MAX($S$2:$S2527)+1,IF(OR($I2528&lt;&gt;"",A2528="x"),$S2527,""))</f>
        <v/>
      </c>
      <c r="T2528" t="str">
        <f>IF(D2528=1,MAX($T$2:$T2527)+1,IF(S2528=S2527,$T2527,IF(D2528="x",T2527,IF(D2527="x","",""))))</f>
        <v/>
      </c>
      <c r="U2528" t="str">
        <f>IF(B2528=1,MAX($U$2:$U2527)+1,IF(AND($T2528&lt;&gt;"",$T2528=$T2527),$U2527,IF(B2528="x",U2527,"")))</f>
        <v/>
      </c>
      <c r="V2528" t="str">
        <f>IF(C2528=1,MAX($V$2:$V2527)+1,IF(AND($T2528&lt;&gt;"",$T2528=$T2527),$U2527,IF(C2528="x",V2527,"")))</f>
        <v/>
      </c>
      <c r="X2528" cm="1">
        <f t="array" ref="X2528">IF($I2528&lt;&gt;"",$I2528,INDEX($I$1:$I2528,ROW()-COUNTIFS($T$1:$T2528,"="&amp;$T2528,$S$1:$S2528,"&lt;"&amp;$S2528)))</f>
        <v>0</v>
      </c>
      <c r="Z2528" s="6">
        <f t="shared" si="358"/>
        <v>1</v>
      </c>
      <c r="AA2528" t="e">
        <f t="shared" si="359"/>
        <v>#VALUE!</v>
      </c>
      <c r="AB2528" t="str">
        <f t="shared" si="360"/>
        <v/>
      </c>
      <c r="AC2528" t="e">
        <f t="shared" si="361"/>
        <v>#VALUE!</v>
      </c>
    </row>
    <row r="2529" spans="1:29" x14ac:dyDescent="0.2">
      <c r="A2529" t="str">
        <f t="shared" si="362"/>
        <v/>
      </c>
      <c r="E2529" s="4"/>
      <c r="F2529" s="46"/>
      <c r="G2529" s="4"/>
      <c r="H2529" s="48"/>
      <c r="J2529" s="26" t="str">
        <f t="shared" si="363"/>
        <v/>
      </c>
      <c r="N2529" t="str">
        <f t="shared" si="364"/>
        <v/>
      </c>
      <c r="Q2529" t="str">
        <f t="shared" si="365"/>
        <v/>
      </c>
      <c r="S2529" t="str">
        <f>IF(A2529=1,MAX($S$2:$S2528)+1,IF(OR($I2529&lt;&gt;"",A2529="x"),$S2528,""))</f>
        <v/>
      </c>
      <c r="T2529" t="str">
        <f>IF(D2529=1,MAX($T$2:$T2528)+1,IF(S2529=S2528,$T2528,IF(D2529="x",T2528,IF(D2528="x","",""))))</f>
        <v/>
      </c>
      <c r="U2529" t="str">
        <f>IF(B2529=1,MAX($U$2:$U2528)+1,IF(AND($T2529&lt;&gt;"",$T2529=$T2528),$U2528,IF(B2529="x",U2528,"")))</f>
        <v/>
      </c>
      <c r="V2529" t="str">
        <f>IF(C2529=1,MAX($V$2:$V2528)+1,IF(AND($T2529&lt;&gt;"",$T2529=$T2528),$U2528,IF(C2529="x",V2528,"")))</f>
        <v/>
      </c>
      <c r="X2529" cm="1">
        <f t="array" ref="X2529">IF($I2529&lt;&gt;"",$I2529,INDEX($I$1:$I2529,ROW()-COUNTIFS($T$1:$T2529,"="&amp;$T2529,$S$1:$S2529,"&lt;"&amp;$S2529)))</f>
        <v>0</v>
      </c>
      <c r="Z2529" s="6">
        <f t="shared" si="358"/>
        <v>1</v>
      </c>
      <c r="AA2529" t="e">
        <f t="shared" si="359"/>
        <v>#VALUE!</v>
      </c>
      <c r="AB2529" t="str">
        <f t="shared" si="360"/>
        <v/>
      </c>
      <c r="AC2529" t="e">
        <f t="shared" si="361"/>
        <v>#VALUE!</v>
      </c>
    </row>
    <row r="2530" spans="1:29" x14ac:dyDescent="0.2">
      <c r="A2530" t="str">
        <f t="shared" si="362"/>
        <v/>
      </c>
      <c r="E2530" s="4"/>
      <c r="F2530" s="46"/>
      <c r="G2530" s="4"/>
      <c r="H2530" s="48"/>
      <c r="J2530" s="26" t="str">
        <f t="shared" si="363"/>
        <v/>
      </c>
      <c r="N2530" t="str">
        <f t="shared" si="364"/>
        <v/>
      </c>
      <c r="Q2530" t="str">
        <f t="shared" si="365"/>
        <v/>
      </c>
      <c r="S2530" t="str">
        <f>IF(A2530=1,MAX($S$2:$S2529)+1,IF(OR($I2530&lt;&gt;"",A2530="x"),$S2529,""))</f>
        <v/>
      </c>
      <c r="T2530" t="str">
        <f>IF(D2530=1,MAX($T$2:$T2529)+1,IF(S2530=S2529,$T2529,IF(D2530="x",T2529,IF(D2529="x","",""))))</f>
        <v/>
      </c>
      <c r="U2530" t="str">
        <f>IF(B2530=1,MAX($U$2:$U2529)+1,IF(AND($T2530&lt;&gt;"",$T2530=$T2529),$U2529,IF(B2530="x",U2529,"")))</f>
        <v/>
      </c>
      <c r="V2530" t="str">
        <f>IF(C2530=1,MAX($V$2:$V2529)+1,IF(AND($T2530&lt;&gt;"",$T2530=$T2529),$U2529,IF(C2530="x",V2529,"")))</f>
        <v/>
      </c>
      <c r="X2530" cm="1">
        <f t="array" ref="X2530">IF($I2530&lt;&gt;"",$I2530,INDEX($I$1:$I2530,ROW()-COUNTIFS($T$1:$T2530,"="&amp;$T2530,$S$1:$S2530,"&lt;"&amp;$S2530)))</f>
        <v>0</v>
      </c>
      <c r="Z2530" s="6">
        <f t="shared" si="358"/>
        <v>1</v>
      </c>
      <c r="AA2530" t="e">
        <f t="shared" si="359"/>
        <v>#VALUE!</v>
      </c>
      <c r="AB2530" t="str">
        <f t="shared" si="360"/>
        <v/>
      </c>
      <c r="AC2530" t="e">
        <f t="shared" si="361"/>
        <v>#VALUE!</v>
      </c>
    </row>
    <row r="2531" spans="1:29" x14ac:dyDescent="0.2">
      <c r="A2531" t="str">
        <f t="shared" si="362"/>
        <v/>
      </c>
      <c r="E2531" s="4"/>
      <c r="F2531" s="46"/>
      <c r="G2531" s="4"/>
      <c r="H2531" s="48"/>
      <c r="J2531" s="26" t="str">
        <f t="shared" si="363"/>
        <v/>
      </c>
      <c r="N2531" t="str">
        <f t="shared" si="364"/>
        <v/>
      </c>
      <c r="Q2531" t="str">
        <f t="shared" si="365"/>
        <v/>
      </c>
      <c r="S2531" t="str">
        <f>IF(A2531=1,MAX($S$2:$S2530)+1,IF(OR($I2531&lt;&gt;"",A2531="x"),$S2530,""))</f>
        <v/>
      </c>
      <c r="T2531" t="str">
        <f>IF(D2531=1,MAX($T$2:$T2530)+1,IF(S2531=S2530,$T2530,IF(D2531="x",T2530,IF(D2530="x","",""))))</f>
        <v/>
      </c>
      <c r="U2531" t="str">
        <f>IF(B2531=1,MAX($U$2:$U2530)+1,IF(AND($T2531&lt;&gt;"",$T2531=$T2530),$U2530,IF(B2531="x",U2530,"")))</f>
        <v/>
      </c>
      <c r="V2531" t="str">
        <f>IF(C2531=1,MAX($V$2:$V2530)+1,IF(AND($T2531&lt;&gt;"",$T2531=$T2530),$U2530,IF(C2531="x",V2530,"")))</f>
        <v/>
      </c>
      <c r="X2531" cm="1">
        <f t="array" ref="X2531">IF($I2531&lt;&gt;"",$I2531,INDEX($I$1:$I2531,ROW()-COUNTIFS($T$1:$T2531,"="&amp;$T2531,$S$1:$S2531,"&lt;"&amp;$S2531)))</f>
        <v>0</v>
      </c>
      <c r="Z2531" s="6">
        <f t="shared" si="358"/>
        <v>1</v>
      </c>
      <c r="AA2531" t="e">
        <f t="shared" si="359"/>
        <v>#VALUE!</v>
      </c>
      <c r="AB2531" t="str">
        <f t="shared" si="360"/>
        <v/>
      </c>
      <c r="AC2531" t="e">
        <f t="shared" si="361"/>
        <v>#VALUE!</v>
      </c>
    </row>
    <row r="2532" spans="1:29" x14ac:dyDescent="0.2">
      <c r="A2532" t="str">
        <f t="shared" si="362"/>
        <v/>
      </c>
      <c r="E2532" s="4"/>
      <c r="F2532" s="46"/>
      <c r="G2532" s="4"/>
      <c r="H2532" s="48"/>
      <c r="J2532" s="26" t="str">
        <f t="shared" si="363"/>
        <v/>
      </c>
      <c r="N2532" t="str">
        <f t="shared" si="364"/>
        <v/>
      </c>
      <c r="Q2532" t="str">
        <f t="shared" si="365"/>
        <v/>
      </c>
      <c r="S2532" t="str">
        <f>IF(A2532=1,MAX($S$2:$S2531)+1,IF(OR($I2532&lt;&gt;"",A2532="x"),$S2531,""))</f>
        <v/>
      </c>
      <c r="T2532" t="str">
        <f>IF(D2532=1,MAX($T$2:$T2531)+1,IF(S2532=S2531,$T2531,IF(D2532="x",T2531,IF(D2531="x","",""))))</f>
        <v/>
      </c>
      <c r="U2532" t="str">
        <f>IF(B2532=1,MAX($U$2:$U2531)+1,IF(AND($T2532&lt;&gt;"",$T2532=$T2531),$U2531,IF(B2532="x",U2531,"")))</f>
        <v/>
      </c>
      <c r="V2532" t="str">
        <f>IF(C2532=1,MAX($V$2:$V2531)+1,IF(AND($T2532&lt;&gt;"",$T2532=$T2531),$U2531,IF(C2532="x",V2531,"")))</f>
        <v/>
      </c>
      <c r="X2532" cm="1">
        <f t="array" ref="X2532">IF($I2532&lt;&gt;"",$I2532,INDEX($I$1:$I2532,ROW()-COUNTIFS($T$1:$T2532,"="&amp;$T2532,$S$1:$S2532,"&lt;"&amp;$S2532)))</f>
        <v>0</v>
      </c>
      <c r="Z2532" s="6">
        <f t="shared" si="358"/>
        <v>1</v>
      </c>
      <c r="AA2532" t="e">
        <f t="shared" si="359"/>
        <v>#VALUE!</v>
      </c>
      <c r="AB2532" t="str">
        <f t="shared" si="360"/>
        <v/>
      </c>
      <c r="AC2532" t="e">
        <f t="shared" si="361"/>
        <v>#VALUE!</v>
      </c>
    </row>
    <row r="2533" spans="1:29" x14ac:dyDescent="0.2">
      <c r="A2533" t="str">
        <f t="shared" si="362"/>
        <v/>
      </c>
      <c r="E2533" s="4"/>
      <c r="F2533" s="46"/>
      <c r="G2533" s="4"/>
      <c r="H2533" s="48"/>
      <c r="J2533" s="26" t="str">
        <f t="shared" si="363"/>
        <v/>
      </c>
      <c r="N2533" t="str">
        <f t="shared" si="364"/>
        <v/>
      </c>
      <c r="Q2533" t="str">
        <f t="shared" si="365"/>
        <v/>
      </c>
      <c r="S2533" t="str">
        <f>IF(A2533=1,MAX($S$2:$S2532)+1,IF(OR($I2533&lt;&gt;"",A2533="x"),$S2532,""))</f>
        <v/>
      </c>
      <c r="T2533" t="str">
        <f>IF(D2533=1,MAX($T$2:$T2532)+1,IF(S2533=S2532,$T2532,IF(D2533="x",T2532,IF(D2532="x","",""))))</f>
        <v/>
      </c>
      <c r="U2533" t="str">
        <f>IF(B2533=1,MAX($U$2:$U2532)+1,IF(AND($T2533&lt;&gt;"",$T2533=$T2532),$U2532,IF(B2533="x",U2532,"")))</f>
        <v/>
      </c>
      <c r="V2533" t="str">
        <f>IF(C2533=1,MAX($V$2:$V2532)+1,IF(AND($T2533&lt;&gt;"",$T2533=$T2532),$U2532,IF(C2533="x",V2532,"")))</f>
        <v/>
      </c>
      <c r="X2533" cm="1">
        <f t="array" ref="X2533">IF($I2533&lt;&gt;"",$I2533,INDEX($I$1:$I2533,ROW()-COUNTIFS($T$1:$T2533,"="&amp;$T2533,$S$1:$S2533,"&lt;"&amp;$S2533)))</f>
        <v>0</v>
      </c>
      <c r="Z2533" s="6">
        <f t="shared" si="358"/>
        <v>1</v>
      </c>
      <c r="AA2533" t="e">
        <f t="shared" si="359"/>
        <v>#VALUE!</v>
      </c>
      <c r="AB2533" t="str">
        <f t="shared" si="360"/>
        <v/>
      </c>
      <c r="AC2533" t="e">
        <f t="shared" si="361"/>
        <v>#VALUE!</v>
      </c>
    </row>
    <row r="2534" spans="1:29" x14ac:dyDescent="0.2">
      <c r="A2534" t="str">
        <f t="shared" si="362"/>
        <v/>
      </c>
      <c r="E2534" s="4"/>
      <c r="F2534" s="46"/>
      <c r="G2534" s="4"/>
      <c r="H2534" s="48"/>
      <c r="J2534" s="26" t="str">
        <f t="shared" si="363"/>
        <v/>
      </c>
      <c r="N2534" t="str">
        <f t="shared" si="364"/>
        <v/>
      </c>
      <c r="Q2534" t="str">
        <f t="shared" si="365"/>
        <v/>
      </c>
      <c r="S2534" t="str">
        <f>IF(A2534=1,MAX($S$2:$S2533)+1,IF(OR($I2534&lt;&gt;"",A2534="x"),$S2533,""))</f>
        <v/>
      </c>
      <c r="T2534" t="str">
        <f>IF(D2534=1,MAX($T$2:$T2533)+1,IF(S2534=S2533,$T2533,IF(D2534="x",T2533,IF(D2533="x","",""))))</f>
        <v/>
      </c>
      <c r="U2534" t="str">
        <f>IF(B2534=1,MAX($U$2:$U2533)+1,IF(AND($T2534&lt;&gt;"",$T2534=$T2533),$U2533,IF(B2534="x",U2533,"")))</f>
        <v/>
      </c>
      <c r="V2534" t="str">
        <f>IF(C2534=1,MAX($V$2:$V2533)+1,IF(AND($T2534&lt;&gt;"",$T2534=$T2533),$U2533,IF(C2534="x",V2533,"")))</f>
        <v/>
      </c>
      <c r="X2534" cm="1">
        <f t="array" ref="X2534">IF($I2534&lt;&gt;"",$I2534,INDEX($I$1:$I2534,ROW()-COUNTIFS($T$1:$T2534,"="&amp;$T2534,$S$1:$S2534,"&lt;"&amp;$S2534)))</f>
        <v>0</v>
      </c>
      <c r="Z2534" s="6">
        <f t="shared" si="358"/>
        <v>1</v>
      </c>
      <c r="AA2534" t="e">
        <f t="shared" si="359"/>
        <v>#VALUE!</v>
      </c>
      <c r="AB2534" t="str">
        <f t="shared" si="360"/>
        <v/>
      </c>
      <c r="AC2534" t="e">
        <f t="shared" si="361"/>
        <v>#VALUE!</v>
      </c>
    </row>
    <row r="2535" spans="1:29" x14ac:dyDescent="0.2">
      <c r="A2535" t="str">
        <f t="shared" si="362"/>
        <v/>
      </c>
      <c r="E2535" s="4"/>
      <c r="F2535" s="46"/>
      <c r="G2535" s="4"/>
      <c r="H2535" s="48"/>
      <c r="J2535" s="26" t="str">
        <f t="shared" si="363"/>
        <v/>
      </c>
      <c r="N2535" t="str">
        <f t="shared" si="364"/>
        <v/>
      </c>
      <c r="Q2535" t="str">
        <f t="shared" si="365"/>
        <v/>
      </c>
      <c r="S2535" t="str">
        <f>IF(A2535=1,MAX($S$2:$S2534)+1,IF(OR($I2535&lt;&gt;"",A2535="x"),$S2534,""))</f>
        <v/>
      </c>
      <c r="T2535" t="str">
        <f>IF(D2535=1,MAX($T$2:$T2534)+1,IF(S2535=S2534,$T2534,IF(D2535="x",T2534,IF(D2534="x","",""))))</f>
        <v/>
      </c>
      <c r="U2535" t="str">
        <f>IF(B2535=1,MAX($U$2:$U2534)+1,IF(AND($T2535&lt;&gt;"",$T2535=$T2534),$U2534,IF(B2535="x",U2534,"")))</f>
        <v/>
      </c>
      <c r="V2535" t="str">
        <f>IF(C2535=1,MAX($V$2:$V2534)+1,IF(AND($T2535&lt;&gt;"",$T2535=$T2534),$U2534,IF(C2535="x",V2534,"")))</f>
        <v/>
      </c>
      <c r="X2535" cm="1">
        <f t="array" ref="X2535">IF($I2535&lt;&gt;"",$I2535,INDEX($I$1:$I2535,ROW()-COUNTIFS($T$1:$T2535,"="&amp;$T2535,$S$1:$S2535,"&lt;"&amp;$S2535)))</f>
        <v>0</v>
      </c>
      <c r="Z2535" s="6">
        <f t="shared" si="358"/>
        <v>1</v>
      </c>
      <c r="AA2535" t="e">
        <f t="shared" si="359"/>
        <v>#VALUE!</v>
      </c>
      <c r="AB2535" t="str">
        <f t="shared" si="360"/>
        <v/>
      </c>
      <c r="AC2535" t="e">
        <f t="shared" si="361"/>
        <v>#VALUE!</v>
      </c>
    </row>
    <row r="2536" spans="1:29" x14ac:dyDescent="0.2">
      <c r="A2536" t="str">
        <f t="shared" si="362"/>
        <v/>
      </c>
      <c r="E2536" s="4"/>
      <c r="F2536" s="46"/>
      <c r="G2536" s="4"/>
      <c r="H2536" s="48"/>
      <c r="J2536" s="26" t="str">
        <f t="shared" si="363"/>
        <v/>
      </c>
      <c r="N2536" t="str">
        <f t="shared" si="364"/>
        <v/>
      </c>
      <c r="Q2536" t="str">
        <f t="shared" si="365"/>
        <v/>
      </c>
      <c r="S2536" t="str">
        <f>IF(A2536=1,MAX($S$2:$S2535)+1,IF(OR($I2536&lt;&gt;"",A2536="x"),$S2535,""))</f>
        <v/>
      </c>
      <c r="T2536" t="str">
        <f>IF(D2536=1,MAX($T$2:$T2535)+1,IF(S2536=S2535,$T2535,IF(D2536="x",T2535,IF(D2535="x","",""))))</f>
        <v/>
      </c>
      <c r="U2536" t="str">
        <f>IF(B2536=1,MAX($U$2:$U2535)+1,IF(AND($T2536&lt;&gt;"",$T2536=$T2535),$U2535,IF(B2536="x",U2535,"")))</f>
        <v/>
      </c>
      <c r="V2536" t="str">
        <f>IF(C2536=1,MAX($V$2:$V2535)+1,IF(AND($T2536&lt;&gt;"",$T2536=$T2535),$U2535,IF(C2536="x",V2535,"")))</f>
        <v/>
      </c>
      <c r="X2536" cm="1">
        <f t="array" ref="X2536">IF($I2536&lt;&gt;"",$I2536,INDEX($I$1:$I2536,ROW()-COUNTIFS($T$1:$T2536,"="&amp;$T2536,$S$1:$S2536,"&lt;"&amp;$S2536)))</f>
        <v>0</v>
      </c>
      <c r="Z2536" s="6">
        <f t="shared" si="358"/>
        <v>1</v>
      </c>
      <c r="AA2536" t="e">
        <f t="shared" si="359"/>
        <v>#VALUE!</v>
      </c>
      <c r="AB2536" t="str">
        <f t="shared" si="360"/>
        <v/>
      </c>
      <c r="AC2536" t="e">
        <f t="shared" si="361"/>
        <v>#VALUE!</v>
      </c>
    </row>
    <row r="2537" spans="1:29" x14ac:dyDescent="0.2">
      <c r="A2537" t="str">
        <f t="shared" si="362"/>
        <v/>
      </c>
      <c r="E2537" s="4"/>
      <c r="F2537" s="46"/>
      <c r="G2537" s="4"/>
      <c r="H2537" s="48"/>
      <c r="J2537" s="26" t="str">
        <f t="shared" si="363"/>
        <v/>
      </c>
      <c r="N2537" t="str">
        <f t="shared" si="364"/>
        <v/>
      </c>
      <c r="Q2537" t="str">
        <f t="shared" si="365"/>
        <v/>
      </c>
      <c r="S2537" t="str">
        <f>IF(A2537=1,MAX($S$2:$S2536)+1,IF(OR($I2537&lt;&gt;"",A2537="x"),$S2536,""))</f>
        <v/>
      </c>
      <c r="T2537" t="str">
        <f>IF(D2537=1,MAX($T$2:$T2536)+1,IF(S2537=S2536,$T2536,IF(D2537="x",T2536,IF(D2536="x","",""))))</f>
        <v/>
      </c>
      <c r="U2537" t="str">
        <f>IF(B2537=1,MAX($U$2:$U2536)+1,IF(AND($T2537&lt;&gt;"",$T2537=$T2536),$U2536,IF(B2537="x",U2536,"")))</f>
        <v/>
      </c>
      <c r="V2537" t="str">
        <f>IF(C2537=1,MAX($V$2:$V2536)+1,IF(AND($T2537&lt;&gt;"",$T2537=$T2536),$U2536,IF(C2537="x",V2536,"")))</f>
        <v/>
      </c>
      <c r="X2537" cm="1">
        <f t="array" ref="X2537">IF($I2537&lt;&gt;"",$I2537,INDEX($I$1:$I2537,ROW()-COUNTIFS($T$1:$T2537,"="&amp;$T2537,$S$1:$S2537,"&lt;"&amp;$S2537)))</f>
        <v>0</v>
      </c>
      <c r="Z2537" s="6">
        <f t="shared" si="358"/>
        <v>1</v>
      </c>
      <c r="AA2537" t="e">
        <f t="shared" si="359"/>
        <v>#VALUE!</v>
      </c>
      <c r="AB2537" t="str">
        <f t="shared" si="360"/>
        <v/>
      </c>
      <c r="AC2537" t="e">
        <f t="shared" si="361"/>
        <v>#VALUE!</v>
      </c>
    </row>
    <row r="2538" spans="1:29" x14ac:dyDescent="0.2">
      <c r="A2538" t="str">
        <f t="shared" si="362"/>
        <v/>
      </c>
      <c r="E2538" s="4"/>
      <c r="F2538" s="46"/>
      <c r="G2538" s="4"/>
      <c r="H2538" s="48"/>
      <c r="J2538" s="26" t="str">
        <f t="shared" si="363"/>
        <v/>
      </c>
      <c r="N2538" t="str">
        <f t="shared" si="364"/>
        <v/>
      </c>
      <c r="Q2538" t="str">
        <f t="shared" si="365"/>
        <v/>
      </c>
      <c r="S2538" t="str">
        <f>IF(A2538=1,MAX($S$2:$S2537)+1,IF(OR($I2538&lt;&gt;"",A2538="x"),$S2537,""))</f>
        <v/>
      </c>
      <c r="T2538" t="str">
        <f>IF(D2538=1,MAX($T$2:$T2537)+1,IF(S2538=S2537,$T2537,IF(D2538="x",T2537,IF(D2537="x","",""))))</f>
        <v/>
      </c>
      <c r="U2538" t="str">
        <f>IF(B2538=1,MAX($U$2:$U2537)+1,IF(AND($T2538&lt;&gt;"",$T2538=$T2537),$U2537,IF(B2538="x",U2537,"")))</f>
        <v/>
      </c>
      <c r="V2538" t="str">
        <f>IF(C2538=1,MAX($V$2:$V2537)+1,IF(AND($T2538&lt;&gt;"",$T2538=$T2537),$U2537,IF(C2538="x",V2537,"")))</f>
        <v/>
      </c>
      <c r="X2538" cm="1">
        <f t="array" ref="X2538">IF($I2538&lt;&gt;"",$I2538,INDEX($I$1:$I2538,ROW()-COUNTIFS($T$1:$T2538,"="&amp;$T2538,$S$1:$S2538,"&lt;"&amp;$S2538)))</f>
        <v>0</v>
      </c>
      <c r="Z2538" s="6">
        <f t="shared" si="358"/>
        <v>1</v>
      </c>
      <c r="AA2538" t="e">
        <f t="shared" si="359"/>
        <v>#VALUE!</v>
      </c>
      <c r="AB2538" t="str">
        <f t="shared" si="360"/>
        <v/>
      </c>
      <c r="AC2538" t="e">
        <f t="shared" si="361"/>
        <v>#VALUE!</v>
      </c>
    </row>
    <row r="2539" spans="1:29" x14ac:dyDescent="0.2">
      <c r="A2539" t="str">
        <f t="shared" si="362"/>
        <v/>
      </c>
      <c r="E2539" s="4"/>
      <c r="F2539" s="46"/>
      <c r="G2539" s="4"/>
      <c r="H2539" s="48"/>
      <c r="J2539" s="26" t="str">
        <f t="shared" si="363"/>
        <v/>
      </c>
      <c r="N2539" t="str">
        <f t="shared" si="364"/>
        <v/>
      </c>
      <c r="Q2539" t="str">
        <f t="shared" si="365"/>
        <v/>
      </c>
      <c r="S2539" t="str">
        <f>IF(A2539=1,MAX($S$2:$S2538)+1,IF(OR($I2539&lt;&gt;"",A2539="x"),$S2538,""))</f>
        <v/>
      </c>
      <c r="T2539" t="str">
        <f>IF(D2539=1,MAX($T$2:$T2538)+1,IF(S2539=S2538,$T2538,IF(D2539="x",T2538,IF(D2538="x","",""))))</f>
        <v/>
      </c>
      <c r="U2539" t="str">
        <f>IF(B2539=1,MAX($U$2:$U2538)+1,IF(AND($T2539&lt;&gt;"",$T2539=$T2538),$U2538,IF(B2539="x",U2538,"")))</f>
        <v/>
      </c>
      <c r="V2539" t="str">
        <f>IF(C2539=1,MAX($V$2:$V2538)+1,IF(AND($T2539&lt;&gt;"",$T2539=$T2538),$U2538,IF(C2539="x",V2538,"")))</f>
        <v/>
      </c>
      <c r="X2539" cm="1">
        <f t="array" ref="X2539">IF($I2539&lt;&gt;"",$I2539,INDEX($I$1:$I2539,ROW()-COUNTIFS($T$1:$T2539,"="&amp;$T2539,$S$1:$S2539,"&lt;"&amp;$S2539)))</f>
        <v>0</v>
      </c>
      <c r="Z2539" s="6">
        <f t="shared" si="358"/>
        <v>1</v>
      </c>
      <c r="AA2539" t="e">
        <f t="shared" si="359"/>
        <v>#VALUE!</v>
      </c>
      <c r="AB2539" t="str">
        <f t="shared" si="360"/>
        <v/>
      </c>
      <c r="AC2539" t="e">
        <f t="shared" si="361"/>
        <v>#VALUE!</v>
      </c>
    </row>
    <row r="2540" spans="1:29" x14ac:dyDescent="0.2">
      <c r="A2540" t="str">
        <f t="shared" si="362"/>
        <v/>
      </c>
      <c r="E2540" s="4"/>
      <c r="F2540" s="46"/>
      <c r="G2540" s="4"/>
      <c r="H2540" s="48"/>
      <c r="J2540" s="26" t="str">
        <f t="shared" si="363"/>
        <v/>
      </c>
      <c r="N2540" t="str">
        <f t="shared" si="364"/>
        <v/>
      </c>
      <c r="Q2540" t="str">
        <f t="shared" si="365"/>
        <v/>
      </c>
      <c r="S2540" t="str">
        <f>IF(A2540=1,MAX($S$2:$S2539)+1,IF(OR($I2540&lt;&gt;"",A2540="x"),$S2539,""))</f>
        <v/>
      </c>
      <c r="T2540" t="str">
        <f>IF(D2540=1,MAX($T$2:$T2539)+1,IF(S2540=S2539,$T2539,IF(D2540="x",T2539,IF(D2539="x","",""))))</f>
        <v/>
      </c>
      <c r="U2540" t="str">
        <f>IF(B2540=1,MAX($U$2:$U2539)+1,IF(AND($T2540&lt;&gt;"",$T2540=$T2539),$U2539,IF(B2540="x",U2539,"")))</f>
        <v/>
      </c>
      <c r="V2540" t="str">
        <f>IF(C2540=1,MAX($V$2:$V2539)+1,IF(AND($T2540&lt;&gt;"",$T2540=$T2539),$U2539,IF(C2540="x",V2539,"")))</f>
        <v/>
      </c>
      <c r="X2540" cm="1">
        <f t="array" ref="X2540">IF($I2540&lt;&gt;"",$I2540,INDEX($I$1:$I2540,ROW()-COUNTIFS($T$1:$T2540,"="&amp;$T2540,$S$1:$S2540,"&lt;"&amp;$S2540)))</f>
        <v>0</v>
      </c>
      <c r="Z2540" s="6">
        <f t="shared" si="358"/>
        <v>1</v>
      </c>
      <c r="AA2540" t="e">
        <f t="shared" si="359"/>
        <v>#VALUE!</v>
      </c>
      <c r="AB2540" t="str">
        <f t="shared" si="360"/>
        <v/>
      </c>
      <c r="AC2540" t="e">
        <f t="shared" si="361"/>
        <v>#VALUE!</v>
      </c>
    </row>
    <row r="2541" spans="1:29" x14ac:dyDescent="0.2">
      <c r="A2541" t="str">
        <f t="shared" si="362"/>
        <v/>
      </c>
      <c r="E2541" s="4"/>
      <c r="F2541" s="46"/>
      <c r="G2541" s="4"/>
      <c r="H2541" s="48"/>
      <c r="J2541" s="26" t="str">
        <f t="shared" si="363"/>
        <v/>
      </c>
      <c r="N2541" t="str">
        <f t="shared" si="364"/>
        <v/>
      </c>
      <c r="Q2541" t="str">
        <f t="shared" si="365"/>
        <v/>
      </c>
      <c r="S2541" t="str">
        <f>IF(A2541=1,MAX($S$2:$S2540)+1,IF(OR($I2541&lt;&gt;"",A2541="x"),$S2540,""))</f>
        <v/>
      </c>
      <c r="T2541" t="str">
        <f>IF(D2541=1,MAX($T$2:$T2540)+1,IF(S2541=S2540,$T2540,IF(D2541="x",T2540,IF(D2540="x","",""))))</f>
        <v/>
      </c>
      <c r="U2541" t="str">
        <f>IF(B2541=1,MAX($U$2:$U2540)+1,IF(AND($T2541&lt;&gt;"",$T2541=$T2540),$U2540,IF(B2541="x",U2540,"")))</f>
        <v/>
      </c>
      <c r="V2541" t="str">
        <f>IF(C2541=1,MAX($V$2:$V2540)+1,IF(AND($T2541&lt;&gt;"",$T2541=$T2540),$U2540,IF(C2541="x",V2540,"")))</f>
        <v/>
      </c>
      <c r="X2541" cm="1">
        <f t="array" ref="X2541">IF($I2541&lt;&gt;"",$I2541,INDEX($I$1:$I2541,ROW()-COUNTIFS($T$1:$T2541,"="&amp;$T2541,$S$1:$S2541,"&lt;"&amp;$S2541)))</f>
        <v>0</v>
      </c>
      <c r="Z2541" s="6">
        <f t="shared" si="358"/>
        <v>1</v>
      </c>
      <c r="AA2541" t="e">
        <f t="shared" si="359"/>
        <v>#VALUE!</v>
      </c>
      <c r="AB2541" t="str">
        <f t="shared" si="360"/>
        <v/>
      </c>
      <c r="AC2541" t="e">
        <f t="shared" si="361"/>
        <v>#VALUE!</v>
      </c>
    </row>
    <row r="2542" spans="1:29" x14ac:dyDescent="0.2">
      <c r="A2542" t="str">
        <f t="shared" si="362"/>
        <v/>
      </c>
      <c r="E2542" s="4"/>
      <c r="F2542" s="46"/>
      <c r="G2542" s="4"/>
      <c r="H2542" s="48"/>
      <c r="J2542" s="26" t="str">
        <f t="shared" si="363"/>
        <v/>
      </c>
      <c r="N2542" t="str">
        <f t="shared" si="364"/>
        <v/>
      </c>
      <c r="Q2542" t="str">
        <f t="shared" si="365"/>
        <v/>
      </c>
      <c r="S2542" t="str">
        <f>IF(A2542=1,MAX($S$2:$S2541)+1,IF(OR($I2542&lt;&gt;"",A2542="x"),$S2541,""))</f>
        <v/>
      </c>
      <c r="T2542" t="str">
        <f>IF(D2542=1,MAX($T$2:$T2541)+1,IF(S2542=S2541,$T2541,IF(D2542="x",T2541,IF(D2541="x","",""))))</f>
        <v/>
      </c>
      <c r="U2542" t="str">
        <f>IF(B2542=1,MAX($U$2:$U2541)+1,IF(AND($T2542&lt;&gt;"",$T2542=$T2541),$U2541,IF(B2542="x",U2541,"")))</f>
        <v/>
      </c>
      <c r="V2542" t="str">
        <f>IF(C2542=1,MAX($V$2:$V2541)+1,IF(AND($T2542&lt;&gt;"",$T2542=$T2541),$U2541,IF(C2542="x",V2541,"")))</f>
        <v/>
      </c>
      <c r="X2542" cm="1">
        <f t="array" ref="X2542">IF($I2542&lt;&gt;"",$I2542,INDEX($I$1:$I2542,ROW()-COUNTIFS($T$1:$T2542,"="&amp;$T2542,$S$1:$S2542,"&lt;"&amp;$S2542)))</f>
        <v>0</v>
      </c>
      <c r="Z2542" s="6">
        <f t="shared" si="358"/>
        <v>1</v>
      </c>
      <c r="AA2542" t="e">
        <f t="shared" si="359"/>
        <v>#VALUE!</v>
      </c>
      <c r="AB2542" t="str">
        <f t="shared" si="360"/>
        <v/>
      </c>
      <c r="AC2542" t="e">
        <f t="shared" si="361"/>
        <v>#VALUE!</v>
      </c>
    </row>
    <row r="2543" spans="1:29" x14ac:dyDescent="0.2">
      <c r="A2543" t="str">
        <f t="shared" si="362"/>
        <v/>
      </c>
      <c r="E2543" s="4"/>
      <c r="F2543" s="46"/>
      <c r="G2543" s="4"/>
      <c r="H2543" s="48"/>
      <c r="J2543" s="26" t="str">
        <f t="shared" si="363"/>
        <v/>
      </c>
      <c r="N2543" t="str">
        <f t="shared" si="364"/>
        <v/>
      </c>
      <c r="Q2543" t="str">
        <f t="shared" si="365"/>
        <v/>
      </c>
      <c r="S2543" t="str">
        <f>IF(A2543=1,MAX($S$2:$S2542)+1,IF(OR($I2543&lt;&gt;"",A2543="x"),$S2542,""))</f>
        <v/>
      </c>
      <c r="T2543" t="str">
        <f>IF(D2543=1,MAX($T$2:$T2542)+1,IF(S2543=S2542,$T2542,IF(D2543="x",T2542,IF(D2542="x","",""))))</f>
        <v/>
      </c>
      <c r="U2543" t="str">
        <f>IF(B2543=1,MAX($U$2:$U2542)+1,IF(AND($T2543&lt;&gt;"",$T2543=$T2542),$U2542,IF(B2543="x",U2542,"")))</f>
        <v/>
      </c>
      <c r="V2543" t="str">
        <f>IF(C2543=1,MAX($V$2:$V2542)+1,IF(AND($T2543&lt;&gt;"",$T2543=$T2542),$U2542,IF(C2543="x",V2542,"")))</f>
        <v/>
      </c>
      <c r="X2543" cm="1">
        <f t="array" ref="X2543">IF($I2543&lt;&gt;"",$I2543,INDEX($I$1:$I2543,ROW()-COUNTIFS($T$1:$T2543,"="&amp;$T2543,$S$1:$S2543,"&lt;"&amp;$S2543)))</f>
        <v>0</v>
      </c>
      <c r="Z2543" s="6">
        <f t="shared" si="358"/>
        <v>1</v>
      </c>
      <c r="AA2543" t="e">
        <f t="shared" si="359"/>
        <v>#VALUE!</v>
      </c>
      <c r="AB2543" t="str">
        <f t="shared" si="360"/>
        <v/>
      </c>
      <c r="AC2543" t="e">
        <f t="shared" si="361"/>
        <v>#VALUE!</v>
      </c>
    </row>
    <row r="2544" spans="1:29" x14ac:dyDescent="0.2">
      <c r="A2544" t="str">
        <f t="shared" si="362"/>
        <v/>
      </c>
      <c r="E2544" s="4"/>
      <c r="F2544" s="46"/>
      <c r="G2544" s="4"/>
      <c r="H2544" s="48"/>
      <c r="J2544" s="26" t="str">
        <f t="shared" si="363"/>
        <v/>
      </c>
      <c r="N2544" t="str">
        <f t="shared" si="364"/>
        <v/>
      </c>
      <c r="Q2544" t="str">
        <f t="shared" si="365"/>
        <v/>
      </c>
      <c r="S2544" t="str">
        <f>IF(A2544=1,MAX($S$2:$S2543)+1,IF(OR($I2544&lt;&gt;"",A2544="x"),$S2543,""))</f>
        <v/>
      </c>
      <c r="T2544" t="str">
        <f>IF(D2544=1,MAX($T$2:$T2543)+1,IF(S2544=S2543,$T2543,IF(D2544="x",T2543,IF(D2543="x","",""))))</f>
        <v/>
      </c>
      <c r="U2544" t="str">
        <f>IF(B2544=1,MAX($U$2:$U2543)+1,IF(AND($T2544&lt;&gt;"",$T2544=$T2543),$U2543,IF(B2544="x",U2543,"")))</f>
        <v/>
      </c>
      <c r="V2544" t="str">
        <f>IF(C2544=1,MAX($V$2:$V2543)+1,IF(AND($T2544&lt;&gt;"",$T2544=$T2543),$U2543,IF(C2544="x",V2543,"")))</f>
        <v/>
      </c>
      <c r="X2544" cm="1">
        <f t="array" ref="X2544">IF($I2544&lt;&gt;"",$I2544,INDEX($I$1:$I2544,ROW()-COUNTIFS($T$1:$T2544,"="&amp;$T2544,$S$1:$S2544,"&lt;"&amp;$S2544)))</f>
        <v>0</v>
      </c>
      <c r="Z2544" s="6">
        <f t="shared" si="358"/>
        <v>1</v>
      </c>
      <c r="AA2544" t="e">
        <f t="shared" si="359"/>
        <v>#VALUE!</v>
      </c>
      <c r="AB2544" t="str">
        <f t="shared" si="360"/>
        <v/>
      </c>
      <c r="AC2544" t="e">
        <f t="shared" si="361"/>
        <v>#VALUE!</v>
      </c>
    </row>
    <row r="2545" spans="1:29" x14ac:dyDescent="0.2">
      <c r="A2545" t="str">
        <f t="shared" si="362"/>
        <v/>
      </c>
      <c r="E2545" s="4"/>
      <c r="F2545" s="46"/>
      <c r="G2545" s="4"/>
      <c r="H2545" s="48"/>
      <c r="J2545" s="26" t="str">
        <f t="shared" si="363"/>
        <v/>
      </c>
      <c r="N2545" t="str">
        <f t="shared" si="364"/>
        <v/>
      </c>
      <c r="Q2545" t="str">
        <f t="shared" si="365"/>
        <v/>
      </c>
      <c r="S2545" t="str">
        <f>IF(A2545=1,MAX($S$2:$S2544)+1,IF(OR($I2545&lt;&gt;"",A2545="x"),$S2544,""))</f>
        <v/>
      </c>
      <c r="T2545" t="str">
        <f>IF(D2545=1,MAX($T$2:$T2544)+1,IF(S2545=S2544,$T2544,IF(D2545="x",T2544,IF(D2544="x","",""))))</f>
        <v/>
      </c>
      <c r="U2545" t="str">
        <f>IF(B2545=1,MAX($U$2:$U2544)+1,IF(AND($T2545&lt;&gt;"",$T2545=$T2544),$U2544,IF(B2545="x",U2544,"")))</f>
        <v/>
      </c>
      <c r="V2545" t="str">
        <f>IF(C2545=1,MAX($V$2:$V2544)+1,IF(AND($T2545&lt;&gt;"",$T2545=$T2544),$U2544,IF(C2545="x",V2544,"")))</f>
        <v/>
      </c>
      <c r="X2545" cm="1">
        <f t="array" ref="X2545">IF($I2545&lt;&gt;"",$I2545,INDEX($I$1:$I2545,ROW()-COUNTIFS($T$1:$T2545,"="&amp;$T2545,$S$1:$S2545,"&lt;"&amp;$S2545)))</f>
        <v>0</v>
      </c>
      <c r="Z2545" s="6">
        <f t="shared" si="358"/>
        <v>1</v>
      </c>
      <c r="AA2545" t="e">
        <f t="shared" si="359"/>
        <v>#VALUE!</v>
      </c>
      <c r="AB2545" t="str">
        <f t="shared" si="360"/>
        <v/>
      </c>
      <c r="AC2545" t="e">
        <f t="shared" si="361"/>
        <v>#VALUE!</v>
      </c>
    </row>
    <row r="2546" spans="1:29" x14ac:dyDescent="0.2">
      <c r="A2546" t="str">
        <f t="shared" si="362"/>
        <v/>
      </c>
      <c r="E2546" s="4"/>
      <c r="F2546" s="46"/>
      <c r="G2546" s="4"/>
      <c r="H2546" s="48"/>
      <c r="J2546" s="26" t="str">
        <f t="shared" si="363"/>
        <v/>
      </c>
      <c r="N2546" t="str">
        <f t="shared" si="364"/>
        <v/>
      </c>
      <c r="Q2546" t="str">
        <f t="shared" si="365"/>
        <v/>
      </c>
      <c r="S2546" t="str">
        <f>IF(A2546=1,MAX($S$2:$S2545)+1,IF(OR($I2546&lt;&gt;"",A2546="x"),$S2545,""))</f>
        <v/>
      </c>
      <c r="T2546" t="str">
        <f>IF(D2546=1,MAX($T$2:$T2545)+1,IF(S2546=S2545,$T2545,IF(D2546="x",T2545,IF(D2545="x","",""))))</f>
        <v/>
      </c>
      <c r="U2546" t="str">
        <f>IF(B2546=1,MAX($U$2:$U2545)+1,IF(AND($T2546&lt;&gt;"",$T2546=$T2545),$U2545,IF(B2546="x",U2545,"")))</f>
        <v/>
      </c>
      <c r="V2546" t="str">
        <f>IF(C2546=1,MAX($V$2:$V2545)+1,IF(AND($T2546&lt;&gt;"",$T2546=$T2545),$U2545,IF(C2546="x",V2545,"")))</f>
        <v/>
      </c>
      <c r="X2546" cm="1">
        <f t="array" ref="X2546">IF($I2546&lt;&gt;"",$I2546,INDEX($I$1:$I2546,ROW()-COUNTIFS($T$1:$T2546,"="&amp;$T2546,$S$1:$S2546,"&lt;"&amp;$S2546)))</f>
        <v>0</v>
      </c>
      <c r="Z2546" s="6">
        <f t="shared" si="358"/>
        <v>1</v>
      </c>
      <c r="AA2546" t="e">
        <f t="shared" si="359"/>
        <v>#VALUE!</v>
      </c>
      <c r="AB2546" t="str">
        <f t="shared" si="360"/>
        <v/>
      </c>
      <c r="AC2546" t="e">
        <f t="shared" si="361"/>
        <v>#VALUE!</v>
      </c>
    </row>
    <row r="2547" spans="1:29" x14ac:dyDescent="0.2">
      <c r="A2547" t="str">
        <f t="shared" si="362"/>
        <v/>
      </c>
      <c r="E2547" s="4"/>
      <c r="F2547" s="46"/>
      <c r="G2547" s="4"/>
      <c r="H2547" s="48"/>
      <c r="J2547" s="26" t="str">
        <f t="shared" si="363"/>
        <v/>
      </c>
      <c r="N2547" t="str">
        <f t="shared" si="364"/>
        <v/>
      </c>
      <c r="Q2547" t="str">
        <f t="shared" si="365"/>
        <v/>
      </c>
      <c r="S2547" t="str">
        <f>IF(A2547=1,MAX($S$2:$S2546)+1,IF(OR($I2547&lt;&gt;"",A2547="x"),$S2546,""))</f>
        <v/>
      </c>
      <c r="T2547" t="str">
        <f>IF(D2547=1,MAX($T$2:$T2546)+1,IF(S2547=S2546,$T2546,IF(D2547="x",T2546,IF(D2546="x","",""))))</f>
        <v/>
      </c>
      <c r="U2547" t="str">
        <f>IF(B2547=1,MAX($U$2:$U2546)+1,IF(AND($T2547&lt;&gt;"",$T2547=$T2546),$U2546,IF(B2547="x",U2546,"")))</f>
        <v/>
      </c>
      <c r="V2547" t="str">
        <f>IF(C2547=1,MAX($V$2:$V2546)+1,IF(AND($T2547&lt;&gt;"",$T2547=$T2546),$U2546,IF(C2547="x",V2546,"")))</f>
        <v/>
      </c>
      <c r="X2547" cm="1">
        <f t="array" ref="X2547">IF($I2547&lt;&gt;"",$I2547,INDEX($I$1:$I2547,ROW()-COUNTIFS($T$1:$T2547,"="&amp;$T2547,$S$1:$S2547,"&lt;"&amp;$S2547)))</f>
        <v>0</v>
      </c>
      <c r="Z2547" s="6">
        <f t="shared" si="358"/>
        <v>1</v>
      </c>
      <c r="AA2547" t="e">
        <f t="shared" si="359"/>
        <v>#VALUE!</v>
      </c>
      <c r="AB2547" t="str">
        <f t="shared" si="360"/>
        <v/>
      </c>
      <c r="AC2547" t="e">
        <f t="shared" si="361"/>
        <v>#VALUE!</v>
      </c>
    </row>
    <row r="2548" spans="1:29" x14ac:dyDescent="0.2">
      <c r="A2548" t="str">
        <f t="shared" si="362"/>
        <v/>
      </c>
      <c r="E2548" s="4"/>
      <c r="F2548" s="46"/>
      <c r="G2548" s="4"/>
      <c r="H2548" s="48"/>
      <c r="J2548" s="26" t="str">
        <f t="shared" si="363"/>
        <v/>
      </c>
      <c r="N2548" t="str">
        <f t="shared" si="364"/>
        <v/>
      </c>
      <c r="Q2548" t="str">
        <f t="shared" si="365"/>
        <v/>
      </c>
      <c r="S2548" t="str">
        <f>IF(A2548=1,MAX($S$2:$S2547)+1,IF(OR($I2548&lt;&gt;"",A2548="x"),$S2547,""))</f>
        <v/>
      </c>
      <c r="T2548" t="str">
        <f>IF(D2548=1,MAX($T$2:$T2547)+1,IF(S2548=S2547,$T2547,IF(D2548="x",T2547,IF(D2547="x","",""))))</f>
        <v/>
      </c>
      <c r="U2548" t="str">
        <f>IF(B2548=1,MAX($U$2:$U2547)+1,IF(AND($T2548&lt;&gt;"",$T2548=$T2547),$U2547,IF(B2548="x",U2547,"")))</f>
        <v/>
      </c>
      <c r="V2548" t="str">
        <f>IF(C2548=1,MAX($V$2:$V2547)+1,IF(AND($T2548&lt;&gt;"",$T2548=$T2547),$U2547,IF(C2548="x",V2547,"")))</f>
        <v/>
      </c>
      <c r="X2548" cm="1">
        <f t="array" ref="X2548">IF($I2548&lt;&gt;"",$I2548,INDEX($I$1:$I2548,ROW()-COUNTIFS($T$1:$T2548,"="&amp;$T2548,$S$1:$S2548,"&lt;"&amp;$S2548)))</f>
        <v>0</v>
      </c>
      <c r="Z2548" s="6">
        <f t="shared" si="358"/>
        <v>1</v>
      </c>
      <c r="AA2548" t="e">
        <f t="shared" si="359"/>
        <v>#VALUE!</v>
      </c>
      <c r="AB2548" t="str">
        <f t="shared" si="360"/>
        <v/>
      </c>
      <c r="AC2548" t="e">
        <f t="shared" si="361"/>
        <v>#VALUE!</v>
      </c>
    </row>
    <row r="2549" spans="1:29" x14ac:dyDescent="0.2">
      <c r="A2549" t="str">
        <f t="shared" si="362"/>
        <v/>
      </c>
      <c r="E2549" s="4"/>
      <c r="F2549" s="46"/>
      <c r="G2549" s="4"/>
      <c r="H2549" s="48"/>
      <c r="J2549" s="26" t="str">
        <f t="shared" si="363"/>
        <v/>
      </c>
      <c r="N2549" t="str">
        <f t="shared" si="364"/>
        <v/>
      </c>
      <c r="Q2549" t="str">
        <f t="shared" si="365"/>
        <v/>
      </c>
      <c r="S2549" t="str">
        <f>IF(A2549=1,MAX($S$2:$S2548)+1,IF(OR($I2549&lt;&gt;"",A2549="x"),$S2548,""))</f>
        <v/>
      </c>
      <c r="T2549" t="str">
        <f>IF(D2549=1,MAX($T$2:$T2548)+1,IF(S2549=S2548,$T2548,IF(D2549="x",T2548,IF(D2548="x","",""))))</f>
        <v/>
      </c>
      <c r="U2549" t="str">
        <f>IF(B2549=1,MAX($U$2:$U2548)+1,IF(AND($T2549&lt;&gt;"",$T2549=$T2548),$U2548,IF(B2549="x",U2548,"")))</f>
        <v/>
      </c>
      <c r="V2549" t="str">
        <f>IF(C2549=1,MAX($V$2:$V2548)+1,IF(AND($T2549&lt;&gt;"",$T2549=$T2548),$U2548,IF(C2549="x",V2548,"")))</f>
        <v/>
      </c>
      <c r="X2549" cm="1">
        <f t="array" ref="X2549">IF($I2549&lt;&gt;"",$I2549,INDEX($I$1:$I2549,ROW()-COUNTIFS($T$1:$T2549,"="&amp;$T2549,$S$1:$S2549,"&lt;"&amp;$S2549)))</f>
        <v>0</v>
      </c>
      <c r="Z2549" s="6">
        <f t="shared" si="358"/>
        <v>1</v>
      </c>
      <c r="AA2549" t="e">
        <f t="shared" si="359"/>
        <v>#VALUE!</v>
      </c>
      <c r="AB2549" t="str">
        <f t="shared" si="360"/>
        <v/>
      </c>
      <c r="AC2549" t="e">
        <f t="shared" si="361"/>
        <v>#VALUE!</v>
      </c>
    </row>
    <row r="2550" spans="1:29" x14ac:dyDescent="0.2">
      <c r="A2550" t="str">
        <f t="shared" si="362"/>
        <v/>
      </c>
      <c r="E2550" s="4"/>
      <c r="F2550" s="46"/>
      <c r="G2550" s="4"/>
      <c r="H2550" s="48"/>
      <c r="J2550" s="26" t="str">
        <f t="shared" si="363"/>
        <v/>
      </c>
      <c r="N2550" t="str">
        <f t="shared" si="364"/>
        <v/>
      </c>
      <c r="Q2550" t="str">
        <f t="shared" si="365"/>
        <v/>
      </c>
      <c r="S2550" t="str">
        <f>IF(A2550=1,MAX($S$2:$S2549)+1,IF(OR($I2550&lt;&gt;"",A2550="x"),$S2549,""))</f>
        <v/>
      </c>
      <c r="T2550" t="str">
        <f>IF(D2550=1,MAX($T$2:$T2549)+1,IF(S2550=S2549,$T2549,IF(D2550="x",T2549,IF(D2549="x","",""))))</f>
        <v/>
      </c>
      <c r="U2550" t="str">
        <f>IF(B2550=1,MAX($U$2:$U2549)+1,IF(AND($T2550&lt;&gt;"",$T2550=$T2549),$U2549,IF(B2550="x",U2549,"")))</f>
        <v/>
      </c>
      <c r="V2550" t="str">
        <f>IF(C2550=1,MAX($V$2:$V2549)+1,IF(AND($T2550&lt;&gt;"",$T2550=$T2549),$U2549,IF(C2550="x",V2549,"")))</f>
        <v/>
      </c>
      <c r="X2550" cm="1">
        <f t="array" ref="X2550">IF($I2550&lt;&gt;"",$I2550,INDEX($I$1:$I2550,ROW()-COUNTIFS($T$1:$T2550,"="&amp;$T2550,$S$1:$S2550,"&lt;"&amp;$S2550)))</f>
        <v>0</v>
      </c>
      <c r="Z2550" s="6">
        <f t="shared" si="358"/>
        <v>1</v>
      </c>
      <c r="AA2550" t="e">
        <f t="shared" si="359"/>
        <v>#VALUE!</v>
      </c>
      <c r="AB2550" t="str">
        <f t="shared" si="360"/>
        <v/>
      </c>
      <c r="AC2550" t="e">
        <f t="shared" si="361"/>
        <v>#VALUE!</v>
      </c>
    </row>
    <row r="2551" spans="1:29" x14ac:dyDescent="0.2">
      <c r="A2551" t="str">
        <f t="shared" si="362"/>
        <v/>
      </c>
      <c r="E2551" s="4"/>
      <c r="F2551" s="46"/>
      <c r="G2551" s="4"/>
      <c r="H2551" s="48"/>
      <c r="J2551" s="26" t="str">
        <f t="shared" si="363"/>
        <v/>
      </c>
      <c r="N2551" t="str">
        <f t="shared" si="364"/>
        <v/>
      </c>
      <c r="Q2551" t="str">
        <f t="shared" si="365"/>
        <v/>
      </c>
      <c r="S2551" t="str">
        <f>IF(A2551=1,MAX($S$2:$S2550)+1,IF(OR($I2551&lt;&gt;"",A2551="x"),$S2550,""))</f>
        <v/>
      </c>
      <c r="T2551" t="str">
        <f>IF(D2551=1,MAX($T$2:$T2550)+1,IF(S2551=S2550,$T2550,IF(D2551="x",T2550,IF(D2550="x","",""))))</f>
        <v/>
      </c>
      <c r="U2551" t="str">
        <f>IF(B2551=1,MAX($U$2:$U2550)+1,IF(AND($T2551&lt;&gt;"",$T2551=$T2550),$U2550,IF(B2551="x",U2550,"")))</f>
        <v/>
      </c>
      <c r="V2551" t="str">
        <f>IF(C2551=1,MAX($V$2:$V2550)+1,IF(AND($T2551&lt;&gt;"",$T2551=$T2550),$U2550,IF(C2551="x",V2550,"")))</f>
        <v/>
      </c>
      <c r="X2551" cm="1">
        <f t="array" ref="X2551">IF($I2551&lt;&gt;"",$I2551,INDEX($I$1:$I2551,ROW()-COUNTIFS($T$1:$T2551,"="&amp;$T2551,$S$1:$S2551,"&lt;"&amp;$S2551)))</f>
        <v>0</v>
      </c>
      <c r="Z2551" s="6">
        <f t="shared" si="358"/>
        <v>1</v>
      </c>
      <c r="AA2551" t="e">
        <f t="shared" si="359"/>
        <v>#VALUE!</v>
      </c>
      <c r="AB2551" t="str">
        <f t="shared" si="360"/>
        <v/>
      </c>
      <c r="AC2551" t="e">
        <f t="shared" si="361"/>
        <v>#VALUE!</v>
      </c>
    </row>
    <row r="2552" spans="1:29" x14ac:dyDescent="0.2">
      <c r="A2552" t="str">
        <f t="shared" si="362"/>
        <v/>
      </c>
      <c r="E2552" s="4"/>
      <c r="F2552" s="46"/>
      <c r="G2552" s="4"/>
      <c r="H2552" s="48"/>
      <c r="J2552" s="26" t="str">
        <f t="shared" si="363"/>
        <v/>
      </c>
      <c r="N2552" t="str">
        <f t="shared" si="364"/>
        <v/>
      </c>
      <c r="Q2552" t="str">
        <f t="shared" si="365"/>
        <v/>
      </c>
      <c r="S2552" t="str">
        <f>IF(A2552=1,MAX($S$2:$S2551)+1,IF(OR($I2552&lt;&gt;"",A2552="x"),$S2551,""))</f>
        <v/>
      </c>
      <c r="T2552" t="str">
        <f>IF(D2552=1,MAX($T$2:$T2551)+1,IF(S2552=S2551,$T2551,IF(D2552="x",T2551,IF(D2551="x","",""))))</f>
        <v/>
      </c>
      <c r="U2552" t="str">
        <f>IF(B2552=1,MAX($U$2:$U2551)+1,IF(AND($T2552&lt;&gt;"",$T2552=$T2551),$U2551,IF(B2552="x",U2551,"")))</f>
        <v/>
      </c>
      <c r="V2552" t="str">
        <f>IF(C2552=1,MAX($V$2:$V2551)+1,IF(AND($T2552&lt;&gt;"",$T2552=$T2551),$U2551,IF(C2552="x",V2551,"")))</f>
        <v/>
      </c>
      <c r="X2552" cm="1">
        <f t="array" ref="X2552">IF($I2552&lt;&gt;"",$I2552,INDEX($I$1:$I2552,ROW()-COUNTIFS($T$1:$T2552,"="&amp;$T2552,$S$1:$S2552,"&lt;"&amp;$S2552)))</f>
        <v>0</v>
      </c>
      <c r="Z2552" s="6">
        <f t="shared" si="358"/>
        <v>1</v>
      </c>
      <c r="AA2552" t="e">
        <f t="shared" si="359"/>
        <v>#VALUE!</v>
      </c>
      <c r="AB2552" t="str">
        <f t="shared" si="360"/>
        <v/>
      </c>
      <c r="AC2552" t="e">
        <f t="shared" si="361"/>
        <v>#VALUE!</v>
      </c>
    </row>
    <row r="2553" spans="1:29" x14ac:dyDescent="0.2">
      <c r="A2553" t="str">
        <f t="shared" si="362"/>
        <v/>
      </c>
      <c r="E2553" s="4"/>
      <c r="F2553" s="46"/>
      <c r="G2553" s="4"/>
      <c r="H2553" s="48"/>
      <c r="J2553" s="26" t="str">
        <f t="shared" si="363"/>
        <v/>
      </c>
      <c r="N2553" t="str">
        <f t="shared" si="364"/>
        <v/>
      </c>
      <c r="Q2553" t="str">
        <f t="shared" si="365"/>
        <v/>
      </c>
      <c r="S2553" t="str">
        <f>IF(A2553=1,MAX($S$2:$S2552)+1,IF(OR($I2553&lt;&gt;"",A2553="x"),$S2552,""))</f>
        <v/>
      </c>
      <c r="T2553" t="str">
        <f>IF(D2553=1,MAX($T$2:$T2552)+1,IF(S2553=S2552,$T2552,IF(D2553="x",T2552,IF(D2552="x","",""))))</f>
        <v/>
      </c>
      <c r="U2553" t="str">
        <f>IF(B2553=1,MAX($U$2:$U2552)+1,IF(AND($T2553&lt;&gt;"",$T2553=$T2552),$U2552,IF(B2553="x",U2552,"")))</f>
        <v/>
      </c>
      <c r="V2553" t="str">
        <f>IF(C2553=1,MAX($V$2:$V2552)+1,IF(AND($T2553&lt;&gt;"",$T2553=$T2552),$U2552,IF(C2553="x",V2552,"")))</f>
        <v/>
      </c>
      <c r="X2553" cm="1">
        <f t="array" ref="X2553">IF($I2553&lt;&gt;"",$I2553,INDEX($I$1:$I2553,ROW()-COUNTIFS($T$1:$T2553,"="&amp;$T2553,$S$1:$S2553,"&lt;"&amp;$S2553)))</f>
        <v>0</v>
      </c>
      <c r="Z2553" s="6">
        <f t="shared" si="358"/>
        <v>1</v>
      </c>
      <c r="AA2553" t="e">
        <f t="shared" si="359"/>
        <v>#VALUE!</v>
      </c>
      <c r="AB2553" t="str">
        <f t="shared" si="360"/>
        <v/>
      </c>
      <c r="AC2553" t="e">
        <f t="shared" si="361"/>
        <v>#VALUE!</v>
      </c>
    </row>
    <row r="2554" spans="1:29" x14ac:dyDescent="0.2">
      <c r="A2554" t="str">
        <f t="shared" si="362"/>
        <v/>
      </c>
      <c r="E2554" s="4"/>
      <c r="F2554" s="46"/>
      <c r="G2554" s="4"/>
      <c r="H2554" s="48"/>
      <c r="J2554" s="26" t="str">
        <f t="shared" si="363"/>
        <v/>
      </c>
      <c r="N2554" t="str">
        <f t="shared" si="364"/>
        <v/>
      </c>
      <c r="Q2554" t="str">
        <f t="shared" si="365"/>
        <v/>
      </c>
      <c r="S2554" t="str">
        <f>IF(A2554=1,MAX($S$2:$S2553)+1,IF(OR($I2554&lt;&gt;"",A2554="x"),$S2553,""))</f>
        <v/>
      </c>
      <c r="T2554" t="str">
        <f>IF(D2554=1,MAX($T$2:$T2553)+1,IF(S2554=S2553,$T2553,IF(D2554="x",T2553,IF(D2553="x","",""))))</f>
        <v/>
      </c>
      <c r="U2554" t="str">
        <f>IF(B2554=1,MAX($U$2:$U2553)+1,IF(AND($T2554&lt;&gt;"",$T2554=$T2553),$U2553,IF(B2554="x",U2553,"")))</f>
        <v/>
      </c>
      <c r="V2554" t="str">
        <f>IF(C2554=1,MAX($V$2:$V2553)+1,IF(AND($T2554&lt;&gt;"",$T2554=$T2553),$U2553,IF(C2554="x",V2553,"")))</f>
        <v/>
      </c>
      <c r="X2554" cm="1">
        <f t="array" ref="X2554">IF($I2554&lt;&gt;"",$I2554,INDEX($I$1:$I2554,ROW()-COUNTIFS($T$1:$T2554,"="&amp;$T2554,$S$1:$S2554,"&lt;"&amp;$S2554)))</f>
        <v>0</v>
      </c>
      <c r="Z2554" s="6">
        <f t="shared" si="358"/>
        <v>1</v>
      </c>
      <c r="AA2554" t="e">
        <f t="shared" si="359"/>
        <v>#VALUE!</v>
      </c>
      <c r="AB2554" t="str">
        <f t="shared" si="360"/>
        <v/>
      </c>
      <c r="AC2554" t="e">
        <f t="shared" si="361"/>
        <v>#VALUE!</v>
      </c>
    </row>
    <row r="2555" spans="1:29" x14ac:dyDescent="0.2">
      <c r="A2555" t="str">
        <f t="shared" si="362"/>
        <v/>
      </c>
      <c r="E2555" s="4"/>
      <c r="F2555" s="46"/>
      <c r="G2555" s="4"/>
      <c r="H2555" s="48"/>
      <c r="J2555" s="26" t="str">
        <f t="shared" si="363"/>
        <v/>
      </c>
      <c r="N2555" t="str">
        <f t="shared" si="364"/>
        <v/>
      </c>
      <c r="Q2555" t="str">
        <f t="shared" si="365"/>
        <v/>
      </c>
      <c r="S2555" t="str">
        <f>IF(A2555=1,MAX($S$2:$S2554)+1,IF(OR($I2555&lt;&gt;"",A2555="x"),$S2554,""))</f>
        <v/>
      </c>
      <c r="T2555" t="str">
        <f>IF(D2555=1,MAX($T$2:$T2554)+1,IF(S2555=S2554,$T2554,IF(D2555="x",T2554,IF(D2554="x","",""))))</f>
        <v/>
      </c>
      <c r="U2555" t="str">
        <f>IF(B2555=1,MAX($U$2:$U2554)+1,IF(AND($T2555&lt;&gt;"",$T2555=$T2554),$U2554,IF(B2555="x",U2554,"")))</f>
        <v/>
      </c>
      <c r="V2555" t="str">
        <f>IF(C2555=1,MAX($V$2:$V2554)+1,IF(AND($T2555&lt;&gt;"",$T2555=$T2554),$U2554,IF(C2555="x",V2554,"")))</f>
        <v/>
      </c>
      <c r="X2555" cm="1">
        <f t="array" ref="X2555">IF($I2555&lt;&gt;"",$I2555,INDEX($I$1:$I2555,ROW()-COUNTIFS($T$1:$T2555,"="&amp;$T2555,$S$1:$S2555,"&lt;"&amp;$S2555)))</f>
        <v>0</v>
      </c>
      <c r="Z2555" s="6">
        <f t="shared" si="358"/>
        <v>1</v>
      </c>
      <c r="AA2555" t="e">
        <f t="shared" si="359"/>
        <v>#VALUE!</v>
      </c>
      <c r="AB2555" t="str">
        <f t="shared" si="360"/>
        <v/>
      </c>
      <c r="AC2555" t="e">
        <f t="shared" si="361"/>
        <v>#VALUE!</v>
      </c>
    </row>
    <row r="2556" spans="1:29" x14ac:dyDescent="0.2">
      <c r="A2556" t="str">
        <f t="shared" si="362"/>
        <v/>
      </c>
      <c r="E2556" s="4"/>
      <c r="F2556" s="46"/>
      <c r="G2556" s="4"/>
      <c r="H2556" s="48"/>
      <c r="J2556" s="26" t="str">
        <f t="shared" si="363"/>
        <v/>
      </c>
      <c r="N2556" t="str">
        <f t="shared" si="364"/>
        <v/>
      </c>
      <c r="Q2556" t="str">
        <f t="shared" si="365"/>
        <v/>
      </c>
      <c r="S2556" t="str">
        <f>IF(A2556=1,MAX($S$2:$S2555)+1,IF(OR($I2556&lt;&gt;"",A2556="x"),$S2555,""))</f>
        <v/>
      </c>
      <c r="T2556" t="str">
        <f>IF(D2556=1,MAX($T$2:$T2555)+1,IF(S2556=S2555,$T2555,IF(D2556="x",T2555,IF(D2555="x","",""))))</f>
        <v/>
      </c>
      <c r="U2556" t="str">
        <f>IF(B2556=1,MAX($U$2:$U2555)+1,IF(AND($T2556&lt;&gt;"",$T2556=$T2555),$U2555,IF(B2556="x",U2555,"")))</f>
        <v/>
      </c>
      <c r="V2556" t="str">
        <f>IF(C2556=1,MAX($V$2:$V2555)+1,IF(AND($T2556&lt;&gt;"",$T2556=$T2555),$U2555,IF(C2556="x",V2555,"")))</f>
        <v/>
      </c>
      <c r="X2556" cm="1">
        <f t="array" ref="X2556">IF($I2556&lt;&gt;"",$I2556,INDEX($I$1:$I2556,ROW()-COUNTIFS($T$1:$T2556,"="&amp;$T2556,$S$1:$S2556,"&lt;"&amp;$S2556)))</f>
        <v>0</v>
      </c>
      <c r="Z2556" s="6">
        <f t="shared" si="358"/>
        <v>1</v>
      </c>
      <c r="AA2556" t="e">
        <f t="shared" si="359"/>
        <v>#VALUE!</v>
      </c>
      <c r="AB2556" t="str">
        <f t="shared" si="360"/>
        <v/>
      </c>
      <c r="AC2556" t="e">
        <f t="shared" si="361"/>
        <v>#VALUE!</v>
      </c>
    </row>
    <row r="2557" spans="1:29" x14ac:dyDescent="0.2">
      <c r="A2557" t="str">
        <f t="shared" si="362"/>
        <v/>
      </c>
      <c r="E2557" s="4"/>
      <c r="F2557" s="46"/>
      <c r="G2557" s="4"/>
      <c r="H2557" s="48"/>
      <c r="J2557" s="26" t="str">
        <f t="shared" si="363"/>
        <v/>
      </c>
      <c r="N2557" t="str">
        <f t="shared" si="364"/>
        <v/>
      </c>
      <c r="Q2557" t="str">
        <f t="shared" si="365"/>
        <v/>
      </c>
      <c r="S2557" t="str">
        <f>IF(A2557=1,MAX($S$2:$S2556)+1,IF(OR($I2557&lt;&gt;"",A2557="x"),$S2556,""))</f>
        <v/>
      </c>
      <c r="T2557" t="str">
        <f>IF(D2557=1,MAX($T$2:$T2556)+1,IF(S2557=S2556,$T2556,IF(D2557="x",T2556,IF(D2556="x","",""))))</f>
        <v/>
      </c>
      <c r="U2557" t="str">
        <f>IF(B2557=1,MAX($U$2:$U2556)+1,IF(AND($T2557&lt;&gt;"",$T2557=$T2556),$U2556,IF(B2557="x",U2556,"")))</f>
        <v/>
      </c>
      <c r="V2557" t="str">
        <f>IF(C2557=1,MAX($V$2:$V2556)+1,IF(AND($T2557&lt;&gt;"",$T2557=$T2556),$U2556,IF(C2557="x",V2556,"")))</f>
        <v/>
      </c>
      <c r="X2557" cm="1">
        <f t="array" ref="X2557">IF($I2557&lt;&gt;"",$I2557,INDEX($I$1:$I2557,ROW()-COUNTIFS($T$1:$T2557,"="&amp;$T2557,$S$1:$S2557,"&lt;"&amp;$S2557)))</f>
        <v>0</v>
      </c>
      <c r="Z2557" s="6">
        <f t="shared" si="358"/>
        <v>1</v>
      </c>
      <c r="AA2557" t="e">
        <f t="shared" si="359"/>
        <v>#VALUE!</v>
      </c>
      <c r="AB2557" t="str">
        <f t="shared" si="360"/>
        <v/>
      </c>
      <c r="AC2557" t="e">
        <f t="shared" si="361"/>
        <v>#VALUE!</v>
      </c>
    </row>
    <row r="2558" spans="1:29" x14ac:dyDescent="0.2">
      <c r="A2558" t="str">
        <f t="shared" si="362"/>
        <v/>
      </c>
      <c r="E2558" s="4"/>
      <c r="F2558" s="46"/>
      <c r="G2558" s="4"/>
      <c r="H2558" s="48"/>
      <c r="J2558" s="26" t="str">
        <f t="shared" si="363"/>
        <v/>
      </c>
      <c r="N2558" t="str">
        <f t="shared" si="364"/>
        <v/>
      </c>
      <c r="Q2558" t="str">
        <f t="shared" si="365"/>
        <v/>
      </c>
      <c r="S2558" t="str">
        <f>IF(A2558=1,MAX($S$2:$S2557)+1,IF(OR($I2558&lt;&gt;"",A2558="x"),$S2557,""))</f>
        <v/>
      </c>
      <c r="T2558" t="str">
        <f>IF(D2558=1,MAX($T$2:$T2557)+1,IF(S2558=S2557,$T2557,IF(D2558="x",T2557,IF(D2557="x","",""))))</f>
        <v/>
      </c>
      <c r="U2558" t="str">
        <f>IF(B2558=1,MAX($U$2:$U2557)+1,IF(AND($T2558&lt;&gt;"",$T2558=$T2557),$U2557,IF(B2558="x",U2557,"")))</f>
        <v/>
      </c>
      <c r="V2558" t="str">
        <f>IF(C2558=1,MAX($V$2:$V2557)+1,IF(AND($T2558&lt;&gt;"",$T2558=$T2557),$U2557,IF(C2558="x",V2557,"")))</f>
        <v/>
      </c>
      <c r="X2558" cm="1">
        <f t="array" ref="X2558">IF($I2558&lt;&gt;"",$I2558,INDEX($I$1:$I2558,ROW()-COUNTIFS($T$1:$T2558,"="&amp;$T2558,$S$1:$S2558,"&lt;"&amp;$S2558)))</f>
        <v>0</v>
      </c>
      <c r="Z2558" s="6">
        <f t="shared" si="358"/>
        <v>1</v>
      </c>
      <c r="AA2558" t="e">
        <f t="shared" si="359"/>
        <v>#VALUE!</v>
      </c>
      <c r="AB2558" t="str">
        <f t="shared" si="360"/>
        <v/>
      </c>
      <c r="AC2558" t="e">
        <f t="shared" si="361"/>
        <v>#VALUE!</v>
      </c>
    </row>
    <row r="2559" spans="1:29" x14ac:dyDescent="0.2">
      <c r="A2559" t="str">
        <f t="shared" si="362"/>
        <v/>
      </c>
      <c r="E2559" s="4"/>
      <c r="F2559" s="46"/>
      <c r="G2559" s="4"/>
      <c r="H2559" s="48"/>
      <c r="J2559" s="26" t="str">
        <f t="shared" si="363"/>
        <v/>
      </c>
      <c r="N2559" t="str">
        <f t="shared" si="364"/>
        <v/>
      </c>
      <c r="Q2559" t="str">
        <f t="shared" si="365"/>
        <v/>
      </c>
      <c r="S2559" t="str">
        <f>IF(A2559=1,MAX($S$2:$S2558)+1,IF(OR($I2559&lt;&gt;"",A2559="x"),$S2558,""))</f>
        <v/>
      </c>
      <c r="T2559" t="str">
        <f>IF(D2559=1,MAX($T$2:$T2558)+1,IF(S2559=S2558,$T2558,IF(D2559="x",T2558,IF(D2558="x","",""))))</f>
        <v/>
      </c>
      <c r="U2559" t="str">
        <f>IF(B2559=1,MAX($U$2:$U2558)+1,IF(AND($T2559&lt;&gt;"",$T2559=$T2558),$U2558,IF(B2559="x",U2558,"")))</f>
        <v/>
      </c>
      <c r="V2559" t="str">
        <f>IF(C2559=1,MAX($V$2:$V2558)+1,IF(AND($T2559&lt;&gt;"",$T2559=$T2558),$U2558,IF(C2559="x",V2558,"")))</f>
        <v/>
      </c>
      <c r="X2559" cm="1">
        <f t="array" ref="X2559">IF($I2559&lt;&gt;"",$I2559,INDEX($I$1:$I2559,ROW()-COUNTIFS($T$1:$T2559,"="&amp;$T2559,$S$1:$S2559,"&lt;"&amp;$S2559)))</f>
        <v>0</v>
      </c>
      <c r="Z2559" s="6">
        <f t="shared" si="358"/>
        <v>1</v>
      </c>
      <c r="AA2559" t="e">
        <f t="shared" si="359"/>
        <v>#VALUE!</v>
      </c>
      <c r="AB2559" t="str">
        <f t="shared" si="360"/>
        <v/>
      </c>
      <c r="AC2559" t="e">
        <f t="shared" si="361"/>
        <v>#VALUE!</v>
      </c>
    </row>
    <row r="2560" spans="1:29" x14ac:dyDescent="0.2">
      <c r="A2560" t="str">
        <f t="shared" si="362"/>
        <v/>
      </c>
      <c r="E2560" s="4"/>
      <c r="F2560" s="46"/>
      <c r="G2560" s="4"/>
      <c r="H2560" s="48"/>
      <c r="J2560" s="26" t="str">
        <f t="shared" si="363"/>
        <v/>
      </c>
      <c r="N2560" t="str">
        <f t="shared" si="364"/>
        <v/>
      </c>
      <c r="Q2560" t="str">
        <f t="shared" si="365"/>
        <v/>
      </c>
      <c r="S2560" t="str">
        <f>IF(A2560=1,MAX($S$2:$S2559)+1,IF(OR($I2560&lt;&gt;"",A2560="x"),$S2559,""))</f>
        <v/>
      </c>
      <c r="T2560" t="str">
        <f>IF(D2560=1,MAX($T$2:$T2559)+1,IF(S2560=S2559,$T2559,IF(D2560="x",T2559,IF(D2559="x","",""))))</f>
        <v/>
      </c>
      <c r="U2560" t="str">
        <f>IF(B2560=1,MAX($U$2:$U2559)+1,IF(AND($T2560&lt;&gt;"",$T2560=$T2559),$U2559,IF(B2560="x",U2559,"")))</f>
        <v/>
      </c>
      <c r="V2560" t="str">
        <f>IF(C2560=1,MAX($V$2:$V2559)+1,IF(AND($T2560&lt;&gt;"",$T2560=$T2559),$U2559,IF(C2560="x",V2559,"")))</f>
        <v/>
      </c>
      <c r="X2560" cm="1">
        <f t="array" ref="X2560">IF($I2560&lt;&gt;"",$I2560,INDEX($I$1:$I2560,ROW()-COUNTIFS($T$1:$T2560,"="&amp;$T2560,$S$1:$S2560,"&lt;"&amp;$S2560)))</f>
        <v>0</v>
      </c>
      <c r="Z2560" s="6">
        <f t="shared" si="358"/>
        <v>1</v>
      </c>
      <c r="AA2560" t="e">
        <f t="shared" si="359"/>
        <v>#VALUE!</v>
      </c>
      <c r="AB2560" t="str">
        <f t="shared" si="360"/>
        <v/>
      </c>
      <c r="AC2560" t="e">
        <f t="shared" si="361"/>
        <v>#VALUE!</v>
      </c>
    </row>
    <row r="2561" spans="1:29" x14ac:dyDescent="0.2">
      <c r="A2561" t="str">
        <f t="shared" si="362"/>
        <v/>
      </c>
      <c r="E2561" s="4"/>
      <c r="F2561" s="46"/>
      <c r="G2561" s="4"/>
      <c r="H2561" s="48"/>
      <c r="J2561" s="26" t="str">
        <f t="shared" si="363"/>
        <v/>
      </c>
      <c r="N2561" t="str">
        <f t="shared" si="364"/>
        <v/>
      </c>
      <c r="Q2561" t="str">
        <f t="shared" si="365"/>
        <v/>
      </c>
      <c r="S2561" t="str">
        <f>IF(A2561=1,MAX($S$2:$S2560)+1,IF(OR($I2561&lt;&gt;"",A2561="x"),$S2560,""))</f>
        <v/>
      </c>
      <c r="T2561" t="str">
        <f>IF(D2561=1,MAX($T$2:$T2560)+1,IF(S2561=S2560,$T2560,IF(D2561="x",T2560,IF(D2560="x","",""))))</f>
        <v/>
      </c>
      <c r="U2561" t="str">
        <f>IF(B2561=1,MAX($U$2:$U2560)+1,IF(AND($T2561&lt;&gt;"",$T2561=$T2560),$U2560,IF(B2561="x",U2560,"")))</f>
        <v/>
      </c>
      <c r="V2561" t="str">
        <f>IF(C2561=1,MAX($V$2:$V2560)+1,IF(AND($T2561&lt;&gt;"",$T2561=$T2560),$U2560,IF(C2561="x",V2560,"")))</f>
        <v/>
      </c>
      <c r="X2561" cm="1">
        <f t="array" ref="X2561">IF($I2561&lt;&gt;"",$I2561,INDEX($I$1:$I2561,ROW()-COUNTIFS($T$1:$T2561,"="&amp;$T2561,$S$1:$S2561,"&lt;"&amp;$S2561)))</f>
        <v>0</v>
      </c>
      <c r="Z2561" s="6">
        <f t="shared" si="358"/>
        <v>1</v>
      </c>
      <c r="AA2561" t="e">
        <f t="shared" si="359"/>
        <v>#VALUE!</v>
      </c>
      <c r="AB2561" t="str">
        <f t="shared" si="360"/>
        <v/>
      </c>
      <c r="AC2561" t="e">
        <f t="shared" si="361"/>
        <v>#VALUE!</v>
      </c>
    </row>
    <row r="2562" spans="1:29" x14ac:dyDescent="0.2">
      <c r="A2562" t="str">
        <f t="shared" si="362"/>
        <v/>
      </c>
      <c r="E2562" s="4"/>
      <c r="F2562" s="46"/>
      <c r="G2562" s="4"/>
      <c r="H2562" s="48"/>
      <c r="J2562" s="26" t="str">
        <f t="shared" si="363"/>
        <v/>
      </c>
      <c r="N2562" t="str">
        <f t="shared" si="364"/>
        <v/>
      </c>
      <c r="Q2562" t="str">
        <f t="shared" si="365"/>
        <v/>
      </c>
      <c r="S2562" t="str">
        <f>IF(A2562=1,MAX($S$2:$S2561)+1,IF(OR($I2562&lt;&gt;"",A2562="x"),$S2561,""))</f>
        <v/>
      </c>
      <c r="T2562" t="str">
        <f>IF(D2562=1,MAX($T$2:$T2561)+1,IF(S2562=S2561,$T2561,IF(D2562="x",T2561,IF(D2561="x","",""))))</f>
        <v/>
      </c>
      <c r="U2562" t="str">
        <f>IF(B2562=1,MAX($U$2:$U2561)+1,IF(AND($T2562&lt;&gt;"",$T2562=$T2561),$U2561,IF(B2562="x",U2561,"")))</f>
        <v/>
      </c>
      <c r="V2562" t="str">
        <f>IF(C2562=1,MAX($V$2:$V2561)+1,IF(AND($T2562&lt;&gt;"",$T2562=$T2561),$U2561,IF(C2562="x",V2561,"")))</f>
        <v/>
      </c>
      <c r="X2562" cm="1">
        <f t="array" ref="X2562">IF($I2562&lt;&gt;"",$I2562,INDEX($I$1:$I2562,ROW()-COUNTIFS($T$1:$T2562,"="&amp;$T2562,$S$1:$S2562,"&lt;"&amp;$S2562)))</f>
        <v>0</v>
      </c>
      <c r="Z2562" s="6">
        <f t="shared" si="358"/>
        <v>1</v>
      </c>
      <c r="AA2562" t="e">
        <f t="shared" si="359"/>
        <v>#VALUE!</v>
      </c>
      <c r="AB2562" t="str">
        <f t="shared" si="360"/>
        <v/>
      </c>
      <c r="AC2562" t="e">
        <f t="shared" si="361"/>
        <v>#VALUE!</v>
      </c>
    </row>
    <row r="2563" spans="1:29" x14ac:dyDescent="0.2">
      <c r="A2563" t="str">
        <f t="shared" si="362"/>
        <v/>
      </c>
      <c r="E2563" s="4"/>
      <c r="F2563" s="46"/>
      <c r="G2563" s="4"/>
      <c r="H2563" s="48"/>
      <c r="J2563" s="26" t="str">
        <f t="shared" si="363"/>
        <v/>
      </c>
      <c r="N2563" t="str">
        <f t="shared" si="364"/>
        <v/>
      </c>
      <c r="Q2563" t="str">
        <f t="shared" si="365"/>
        <v/>
      </c>
      <c r="S2563" t="str">
        <f>IF(A2563=1,MAX($S$2:$S2562)+1,IF(OR($I2563&lt;&gt;"",A2563="x"),$S2562,""))</f>
        <v/>
      </c>
      <c r="T2563" t="str">
        <f>IF(D2563=1,MAX($T$2:$T2562)+1,IF(S2563=S2562,$T2562,IF(D2563="x",T2562,IF(D2562="x","",""))))</f>
        <v/>
      </c>
      <c r="U2563" t="str">
        <f>IF(B2563=1,MAX($U$2:$U2562)+1,IF(AND($T2563&lt;&gt;"",$T2563=$T2562),$U2562,IF(B2563="x",U2562,"")))</f>
        <v/>
      </c>
      <c r="V2563" t="str">
        <f>IF(C2563=1,MAX($V$2:$V2562)+1,IF(AND($T2563&lt;&gt;"",$T2563=$T2562),$U2562,IF(C2563="x",V2562,"")))</f>
        <v/>
      </c>
      <c r="X2563" cm="1">
        <f t="array" ref="X2563">IF($I2563&lt;&gt;"",$I2563,INDEX($I$1:$I2563,ROW()-COUNTIFS($T$1:$T2563,"="&amp;$T2563,$S$1:$S2563,"&lt;"&amp;$S2563)))</f>
        <v>0</v>
      </c>
      <c r="Z2563" s="6">
        <f t="shared" si="358"/>
        <v>1</v>
      </c>
      <c r="AA2563" t="e">
        <f t="shared" si="359"/>
        <v>#VALUE!</v>
      </c>
      <c r="AB2563" t="str">
        <f t="shared" si="360"/>
        <v/>
      </c>
      <c r="AC2563" t="e">
        <f t="shared" si="361"/>
        <v>#VALUE!</v>
      </c>
    </row>
    <row r="2564" spans="1:29" x14ac:dyDescent="0.2">
      <c r="A2564" t="str">
        <f t="shared" si="362"/>
        <v/>
      </c>
      <c r="E2564" s="4"/>
      <c r="F2564" s="46"/>
      <c r="G2564" s="4"/>
      <c r="H2564" s="48"/>
      <c r="J2564" s="26" t="str">
        <f t="shared" si="363"/>
        <v/>
      </c>
      <c r="N2564" t="str">
        <f t="shared" si="364"/>
        <v/>
      </c>
      <c r="Q2564" t="str">
        <f t="shared" si="365"/>
        <v/>
      </c>
      <c r="S2564" t="str">
        <f>IF(A2564=1,MAX($S$2:$S2563)+1,IF(OR($I2564&lt;&gt;"",A2564="x"),$S2563,""))</f>
        <v/>
      </c>
      <c r="T2564" t="str">
        <f>IF(D2564=1,MAX($T$2:$T2563)+1,IF(S2564=S2563,$T2563,IF(D2564="x",T2563,IF(D2563="x","",""))))</f>
        <v/>
      </c>
      <c r="U2564" t="str">
        <f>IF(B2564=1,MAX($U$2:$U2563)+1,IF(AND($T2564&lt;&gt;"",$T2564=$T2563),$U2563,IF(B2564="x",U2563,"")))</f>
        <v/>
      </c>
      <c r="V2564" t="str">
        <f>IF(C2564=1,MAX($V$2:$V2563)+1,IF(AND($T2564&lt;&gt;"",$T2564=$T2563),$U2563,IF(C2564="x",V2563,"")))</f>
        <v/>
      </c>
      <c r="X2564" cm="1">
        <f t="array" ref="X2564">IF($I2564&lt;&gt;"",$I2564,INDEX($I$1:$I2564,ROW()-COUNTIFS($T$1:$T2564,"="&amp;$T2564,$S$1:$S2564,"&lt;"&amp;$S2564)))</f>
        <v>0</v>
      </c>
      <c r="Z2564" s="6">
        <f t="shared" si="358"/>
        <v>1</v>
      </c>
      <c r="AA2564" t="e">
        <f t="shared" si="359"/>
        <v>#VALUE!</v>
      </c>
      <c r="AB2564" t="str">
        <f t="shared" si="360"/>
        <v/>
      </c>
      <c r="AC2564" t="e">
        <f t="shared" si="361"/>
        <v>#VALUE!</v>
      </c>
    </row>
    <row r="2565" spans="1:29" x14ac:dyDescent="0.2">
      <c r="A2565" t="str">
        <f t="shared" si="362"/>
        <v/>
      </c>
      <c r="E2565" s="4"/>
      <c r="F2565" s="46"/>
      <c r="G2565" s="4"/>
      <c r="H2565" s="48"/>
      <c r="J2565" s="26" t="str">
        <f t="shared" si="363"/>
        <v/>
      </c>
      <c r="N2565" t="str">
        <f t="shared" si="364"/>
        <v/>
      </c>
      <c r="Q2565" t="str">
        <f t="shared" si="365"/>
        <v/>
      </c>
      <c r="S2565" t="str">
        <f>IF(A2565=1,MAX($S$2:$S2564)+1,IF(OR($I2565&lt;&gt;"",A2565="x"),$S2564,""))</f>
        <v/>
      </c>
      <c r="T2565" t="str">
        <f>IF(D2565=1,MAX($T$2:$T2564)+1,IF(S2565=S2564,$T2564,IF(D2565="x",T2564,IF(D2564="x","",""))))</f>
        <v/>
      </c>
      <c r="U2565" t="str">
        <f>IF(B2565=1,MAX($U$2:$U2564)+1,IF(AND($T2565&lt;&gt;"",$T2565=$T2564),$U2564,IF(B2565="x",U2564,"")))</f>
        <v/>
      </c>
      <c r="V2565" t="str">
        <f>IF(C2565=1,MAX($V$2:$V2564)+1,IF(AND($T2565&lt;&gt;"",$T2565=$T2564),$U2564,IF(C2565="x",V2564,"")))</f>
        <v/>
      </c>
      <c r="X2565" cm="1">
        <f t="array" ref="X2565">IF($I2565&lt;&gt;"",$I2565,INDEX($I$1:$I2565,ROW()-COUNTIFS($T$1:$T2565,"="&amp;$T2565,$S$1:$S2565,"&lt;"&amp;$S2565)))</f>
        <v>0</v>
      </c>
      <c r="Z2565" s="6">
        <f t="shared" ref="Z2565:Z2628" si="366">IF(K2565="Intermission",Z2564+1,Z2564)</f>
        <v>1</v>
      </c>
      <c r="AA2565" t="e">
        <f t="shared" ref="AA2565:AA2628" si="367">S2565+1000</f>
        <v>#VALUE!</v>
      </c>
      <c r="AB2565" t="str">
        <f t="shared" ref="AB2565:AB2628" si="368">IF(T2565&lt;&gt;"",9000+T2565,"")</f>
        <v/>
      </c>
      <c r="AC2565" t="e">
        <f t="shared" ref="AC2565:AC2628" si="369">IF(AB2565&lt;&gt;"",AB2565,S2565+1000)</f>
        <v>#VALUE!</v>
      </c>
    </row>
    <row r="2566" spans="1:29" x14ac:dyDescent="0.2">
      <c r="A2566" t="str">
        <f t="shared" si="362"/>
        <v/>
      </c>
      <c r="E2566" s="4"/>
      <c r="F2566" s="46"/>
      <c r="G2566" s="4"/>
      <c r="H2566" s="48"/>
      <c r="J2566" s="26" t="str">
        <f t="shared" si="363"/>
        <v/>
      </c>
      <c r="N2566" t="str">
        <f t="shared" si="364"/>
        <v/>
      </c>
      <c r="Q2566" t="str">
        <f t="shared" si="365"/>
        <v/>
      </c>
      <c r="S2566" t="str">
        <f>IF(A2566=1,MAX($S$2:$S2565)+1,IF(OR($I2566&lt;&gt;"",A2566="x"),$S2565,""))</f>
        <v/>
      </c>
      <c r="T2566" t="str">
        <f>IF(D2566=1,MAX($T$2:$T2565)+1,IF(S2566=S2565,$T2565,IF(D2566="x",T2565,IF(D2565="x","",""))))</f>
        <v/>
      </c>
      <c r="U2566" t="str">
        <f>IF(B2566=1,MAX($U$2:$U2565)+1,IF(AND($T2566&lt;&gt;"",$T2566=$T2565),$U2565,IF(B2566="x",U2565,"")))</f>
        <v/>
      </c>
      <c r="V2566" t="str">
        <f>IF(C2566=1,MAX($V$2:$V2565)+1,IF(AND($T2566&lt;&gt;"",$T2566=$T2565),$U2565,IF(C2566="x",V2565,"")))</f>
        <v/>
      </c>
      <c r="X2566" cm="1">
        <f t="array" ref="X2566">IF($I2566&lt;&gt;"",$I2566,INDEX($I$1:$I2566,ROW()-COUNTIFS($T$1:$T2566,"="&amp;$T2566,$S$1:$S2566,"&lt;"&amp;$S2566)))</f>
        <v>0</v>
      </c>
      <c r="Z2566" s="6">
        <f t="shared" si="366"/>
        <v>1</v>
      </c>
      <c r="AA2566" t="e">
        <f t="shared" si="367"/>
        <v>#VALUE!</v>
      </c>
      <c r="AB2566" t="str">
        <f t="shared" si="368"/>
        <v/>
      </c>
      <c r="AC2566" t="e">
        <f t="shared" si="369"/>
        <v>#VALUE!</v>
      </c>
    </row>
    <row r="2567" spans="1:29" x14ac:dyDescent="0.2">
      <c r="A2567" t="str">
        <f t="shared" si="362"/>
        <v/>
      </c>
      <c r="E2567" s="4"/>
      <c r="F2567" s="46"/>
      <c r="G2567" s="4"/>
      <c r="H2567" s="48"/>
      <c r="J2567" s="26" t="str">
        <f t="shared" si="363"/>
        <v/>
      </c>
      <c r="N2567" t="str">
        <f t="shared" si="364"/>
        <v/>
      </c>
      <c r="Q2567" t="str">
        <f t="shared" si="365"/>
        <v/>
      </c>
      <c r="S2567" t="str">
        <f>IF(A2567=1,MAX($S$2:$S2566)+1,IF(OR($I2567&lt;&gt;"",A2567="x"),$S2566,""))</f>
        <v/>
      </c>
      <c r="T2567" t="str">
        <f>IF(D2567=1,MAX($T$2:$T2566)+1,IF(S2567=S2566,$T2566,IF(D2567="x",T2566,IF(D2566="x","",""))))</f>
        <v/>
      </c>
      <c r="U2567" t="str">
        <f>IF(B2567=1,MAX($U$2:$U2566)+1,IF(AND($T2567&lt;&gt;"",$T2567=$T2566),$U2566,IF(B2567="x",U2566,"")))</f>
        <v/>
      </c>
      <c r="V2567" t="str">
        <f>IF(C2567=1,MAX($V$2:$V2566)+1,IF(AND($T2567&lt;&gt;"",$T2567=$T2566),$U2566,IF(C2567="x",V2566,"")))</f>
        <v/>
      </c>
      <c r="X2567" cm="1">
        <f t="array" ref="X2567">IF($I2567&lt;&gt;"",$I2567,INDEX($I$1:$I2567,ROW()-COUNTIFS($T$1:$T2567,"="&amp;$T2567,$S$1:$S2567,"&lt;"&amp;$S2567)))</f>
        <v>0</v>
      </c>
      <c r="Z2567" s="6">
        <f t="shared" si="366"/>
        <v>1</v>
      </c>
      <c r="AA2567" t="e">
        <f t="shared" si="367"/>
        <v>#VALUE!</v>
      </c>
      <c r="AB2567" t="str">
        <f t="shared" si="368"/>
        <v/>
      </c>
      <c r="AC2567" t="e">
        <f t="shared" si="369"/>
        <v>#VALUE!</v>
      </c>
    </row>
    <row r="2568" spans="1:29" x14ac:dyDescent="0.2">
      <c r="A2568" t="str">
        <f t="shared" si="362"/>
        <v/>
      </c>
      <c r="E2568" s="4"/>
      <c r="F2568" s="46"/>
      <c r="G2568" s="4"/>
      <c r="H2568" s="48"/>
      <c r="J2568" s="26" t="str">
        <f t="shared" si="363"/>
        <v/>
      </c>
      <c r="N2568" t="str">
        <f t="shared" si="364"/>
        <v/>
      </c>
      <c r="Q2568" t="str">
        <f t="shared" si="365"/>
        <v/>
      </c>
      <c r="S2568" t="str">
        <f>IF(A2568=1,MAX($S$2:$S2567)+1,IF(OR($I2568&lt;&gt;"",A2568="x"),$S2567,""))</f>
        <v/>
      </c>
      <c r="T2568" t="str">
        <f>IF(D2568=1,MAX($T$2:$T2567)+1,IF(S2568=S2567,$T2567,IF(D2568="x",T2567,IF(D2567="x","",""))))</f>
        <v/>
      </c>
      <c r="U2568" t="str">
        <f>IF(B2568=1,MAX($U$2:$U2567)+1,IF(AND($T2568&lt;&gt;"",$T2568=$T2567),$U2567,IF(B2568="x",U2567,"")))</f>
        <v/>
      </c>
      <c r="V2568" t="str">
        <f>IF(C2568=1,MAX($V$2:$V2567)+1,IF(AND($T2568&lt;&gt;"",$T2568=$T2567),$U2567,IF(C2568="x",V2567,"")))</f>
        <v/>
      </c>
      <c r="X2568" cm="1">
        <f t="array" ref="X2568">IF($I2568&lt;&gt;"",$I2568,INDEX($I$1:$I2568,ROW()-COUNTIFS($T$1:$T2568,"="&amp;$T2568,$S$1:$S2568,"&lt;"&amp;$S2568)))</f>
        <v>0</v>
      </c>
      <c r="Z2568" s="6">
        <f t="shared" si="366"/>
        <v>1</v>
      </c>
      <c r="AA2568" t="e">
        <f t="shared" si="367"/>
        <v>#VALUE!</v>
      </c>
      <c r="AB2568" t="str">
        <f t="shared" si="368"/>
        <v/>
      </c>
      <c r="AC2568" t="e">
        <f t="shared" si="369"/>
        <v>#VALUE!</v>
      </c>
    </row>
    <row r="2569" spans="1:29" x14ac:dyDescent="0.2">
      <c r="A2569" t="str">
        <f t="shared" si="362"/>
        <v/>
      </c>
      <c r="E2569" s="4"/>
      <c r="F2569" s="46"/>
      <c r="G2569" s="4"/>
      <c r="H2569" s="48"/>
      <c r="J2569" s="26" t="str">
        <f t="shared" si="363"/>
        <v/>
      </c>
      <c r="N2569" t="str">
        <f t="shared" si="364"/>
        <v/>
      </c>
      <c r="Q2569" t="str">
        <f t="shared" si="365"/>
        <v/>
      </c>
      <c r="S2569" t="str">
        <f>IF(A2569=1,MAX($S$2:$S2568)+1,IF(OR($I2569&lt;&gt;"",A2569="x"),$S2568,""))</f>
        <v/>
      </c>
      <c r="T2569" t="str">
        <f>IF(D2569=1,MAX($T$2:$T2568)+1,IF(S2569=S2568,$T2568,IF(D2569="x",T2568,IF(D2568="x","",""))))</f>
        <v/>
      </c>
      <c r="U2569" t="str">
        <f>IF(B2569=1,MAX($U$2:$U2568)+1,IF(AND($T2569&lt;&gt;"",$T2569=$T2568),$U2568,IF(B2569="x",U2568,"")))</f>
        <v/>
      </c>
      <c r="V2569" t="str">
        <f>IF(C2569=1,MAX($V$2:$V2568)+1,IF(AND($T2569&lt;&gt;"",$T2569=$T2568),$U2568,IF(C2569="x",V2568,"")))</f>
        <v/>
      </c>
      <c r="X2569" cm="1">
        <f t="array" ref="X2569">IF($I2569&lt;&gt;"",$I2569,INDEX($I$1:$I2569,ROW()-COUNTIFS($T$1:$T2569,"="&amp;$T2569,$S$1:$S2569,"&lt;"&amp;$S2569)))</f>
        <v>0</v>
      </c>
      <c r="Z2569" s="6">
        <f t="shared" si="366"/>
        <v>1</v>
      </c>
      <c r="AA2569" t="e">
        <f t="shared" si="367"/>
        <v>#VALUE!</v>
      </c>
      <c r="AB2569" t="str">
        <f t="shared" si="368"/>
        <v/>
      </c>
      <c r="AC2569" t="e">
        <f t="shared" si="369"/>
        <v>#VALUE!</v>
      </c>
    </row>
    <row r="2570" spans="1:29" x14ac:dyDescent="0.2">
      <c r="A2570" t="str">
        <f t="shared" si="362"/>
        <v/>
      </c>
      <c r="E2570" s="4"/>
      <c r="F2570" s="46"/>
      <c r="G2570" s="4"/>
      <c r="H2570" s="48"/>
      <c r="J2570" s="26" t="str">
        <f t="shared" si="363"/>
        <v/>
      </c>
      <c r="N2570" t="str">
        <f t="shared" si="364"/>
        <v/>
      </c>
      <c r="Q2570" t="str">
        <f t="shared" si="365"/>
        <v/>
      </c>
      <c r="S2570" t="str">
        <f>IF(A2570=1,MAX($S$2:$S2569)+1,IF(OR($I2570&lt;&gt;"",A2570="x"),$S2569,""))</f>
        <v/>
      </c>
      <c r="T2570" t="str">
        <f>IF(D2570=1,MAX($T$2:$T2569)+1,IF(S2570=S2569,$T2569,IF(D2570="x",T2569,IF(D2569="x","",""))))</f>
        <v/>
      </c>
      <c r="U2570" t="str">
        <f>IF(B2570=1,MAX($U$2:$U2569)+1,IF(AND($T2570&lt;&gt;"",$T2570=$T2569),$U2569,IF(B2570="x",U2569,"")))</f>
        <v/>
      </c>
      <c r="V2570" t="str">
        <f>IF(C2570=1,MAX($V$2:$V2569)+1,IF(AND($T2570&lt;&gt;"",$T2570=$T2569),$U2569,IF(C2570="x",V2569,"")))</f>
        <v/>
      </c>
      <c r="X2570" cm="1">
        <f t="array" ref="X2570">IF($I2570&lt;&gt;"",$I2570,INDEX($I$1:$I2570,ROW()-COUNTIFS($T$1:$T2570,"="&amp;$T2570,$S$1:$S2570,"&lt;"&amp;$S2570)))</f>
        <v>0</v>
      </c>
      <c r="Z2570" s="6">
        <f t="shared" si="366"/>
        <v>1</v>
      </c>
      <c r="AA2570" t="e">
        <f t="shared" si="367"/>
        <v>#VALUE!</v>
      </c>
      <c r="AB2570" t="str">
        <f t="shared" si="368"/>
        <v/>
      </c>
      <c r="AC2570" t="e">
        <f t="shared" si="369"/>
        <v>#VALUE!</v>
      </c>
    </row>
    <row r="2571" spans="1:29" x14ac:dyDescent="0.2">
      <c r="A2571" t="str">
        <f t="shared" si="362"/>
        <v/>
      </c>
      <c r="E2571" s="4"/>
      <c r="F2571" s="46"/>
      <c r="G2571" s="4"/>
      <c r="H2571" s="48"/>
      <c r="J2571" s="26" t="str">
        <f t="shared" si="363"/>
        <v/>
      </c>
      <c r="N2571" t="str">
        <f t="shared" si="364"/>
        <v/>
      </c>
      <c r="Q2571" t="str">
        <f t="shared" si="365"/>
        <v/>
      </c>
      <c r="S2571" t="str">
        <f>IF(A2571=1,MAX($S$2:$S2570)+1,IF(OR($I2571&lt;&gt;"",A2571="x"),$S2570,""))</f>
        <v/>
      </c>
      <c r="T2571" t="str">
        <f>IF(D2571=1,MAX($T$2:$T2570)+1,IF(S2571=S2570,$T2570,IF(D2571="x",T2570,IF(D2570="x","",""))))</f>
        <v/>
      </c>
      <c r="U2571" t="str">
        <f>IF(B2571=1,MAX($U$2:$U2570)+1,IF(AND($T2571&lt;&gt;"",$T2571=$T2570),$U2570,IF(B2571="x",U2570,"")))</f>
        <v/>
      </c>
      <c r="V2571" t="str">
        <f>IF(C2571=1,MAX($V$2:$V2570)+1,IF(AND($T2571&lt;&gt;"",$T2571=$T2570),$U2570,IF(C2571="x",V2570,"")))</f>
        <v/>
      </c>
      <c r="X2571" cm="1">
        <f t="array" ref="X2571">IF($I2571&lt;&gt;"",$I2571,INDEX($I$1:$I2571,ROW()-COUNTIFS($T$1:$T2571,"="&amp;$T2571,$S$1:$S2571,"&lt;"&amp;$S2571)))</f>
        <v>0</v>
      </c>
      <c r="Z2571" s="6">
        <f t="shared" si="366"/>
        <v>1</v>
      </c>
      <c r="AA2571" t="e">
        <f t="shared" si="367"/>
        <v>#VALUE!</v>
      </c>
      <c r="AB2571" t="str">
        <f t="shared" si="368"/>
        <v/>
      </c>
      <c r="AC2571" t="e">
        <f t="shared" si="369"/>
        <v>#VALUE!</v>
      </c>
    </row>
    <row r="2572" spans="1:29" x14ac:dyDescent="0.2">
      <c r="A2572" t="str">
        <f t="shared" si="362"/>
        <v/>
      </c>
      <c r="E2572" s="4"/>
      <c r="F2572" s="46"/>
      <c r="G2572" s="4"/>
      <c r="H2572" s="48"/>
      <c r="J2572" s="26" t="str">
        <f t="shared" si="363"/>
        <v/>
      </c>
      <c r="N2572" t="str">
        <f t="shared" si="364"/>
        <v/>
      </c>
      <c r="Q2572" t="str">
        <f t="shared" si="365"/>
        <v/>
      </c>
      <c r="S2572" t="str">
        <f>IF(A2572=1,MAX($S$2:$S2571)+1,IF(OR($I2572&lt;&gt;"",A2572="x"),$S2571,""))</f>
        <v/>
      </c>
      <c r="T2572" t="str">
        <f>IF(D2572=1,MAX($T$2:$T2571)+1,IF(S2572=S2571,$T2571,IF(D2572="x",T2571,IF(D2571="x","",""))))</f>
        <v/>
      </c>
      <c r="U2572" t="str">
        <f>IF(B2572=1,MAX($U$2:$U2571)+1,IF(AND($T2572&lt;&gt;"",$T2572=$T2571),$U2571,IF(B2572="x",U2571,"")))</f>
        <v/>
      </c>
      <c r="V2572" t="str">
        <f>IF(C2572=1,MAX($V$2:$V2571)+1,IF(AND($T2572&lt;&gt;"",$T2572=$T2571),$U2571,IF(C2572="x",V2571,"")))</f>
        <v/>
      </c>
      <c r="X2572" cm="1">
        <f t="array" ref="X2572">IF($I2572&lt;&gt;"",$I2572,INDEX($I$1:$I2572,ROW()-COUNTIFS($T$1:$T2572,"="&amp;$T2572,$S$1:$S2572,"&lt;"&amp;$S2572)))</f>
        <v>0</v>
      </c>
      <c r="Z2572" s="6">
        <f t="shared" si="366"/>
        <v>1</v>
      </c>
      <c r="AA2572" t="e">
        <f t="shared" si="367"/>
        <v>#VALUE!</v>
      </c>
      <c r="AB2572" t="str">
        <f t="shared" si="368"/>
        <v/>
      </c>
      <c r="AC2572" t="e">
        <f t="shared" si="369"/>
        <v>#VALUE!</v>
      </c>
    </row>
    <row r="2573" spans="1:29" x14ac:dyDescent="0.2">
      <c r="A2573" t="str">
        <f t="shared" si="362"/>
        <v/>
      </c>
      <c r="E2573" s="4"/>
      <c r="F2573" s="46"/>
      <c r="G2573" s="4"/>
      <c r="H2573" s="48"/>
      <c r="J2573" s="26" t="str">
        <f t="shared" si="363"/>
        <v/>
      </c>
      <c r="N2573" t="str">
        <f t="shared" si="364"/>
        <v/>
      </c>
      <c r="Q2573" t="str">
        <f t="shared" si="365"/>
        <v/>
      </c>
      <c r="S2573" t="str">
        <f>IF(A2573=1,MAX($S$2:$S2572)+1,IF(OR($I2573&lt;&gt;"",A2573="x"),$S2572,""))</f>
        <v/>
      </c>
      <c r="T2573" t="str">
        <f>IF(D2573=1,MAX($T$2:$T2572)+1,IF(S2573=S2572,$T2572,IF(D2573="x",T2572,IF(D2572="x","",""))))</f>
        <v/>
      </c>
      <c r="U2573" t="str">
        <f>IF(B2573=1,MAX($U$2:$U2572)+1,IF(AND($T2573&lt;&gt;"",$T2573=$T2572),$U2572,IF(B2573="x",U2572,"")))</f>
        <v/>
      </c>
      <c r="V2573" t="str">
        <f>IF(C2573=1,MAX($V$2:$V2572)+1,IF(AND($T2573&lt;&gt;"",$T2573=$T2572),$U2572,IF(C2573="x",V2572,"")))</f>
        <v/>
      </c>
      <c r="X2573" cm="1">
        <f t="array" ref="X2573">IF($I2573&lt;&gt;"",$I2573,INDEX($I$1:$I2573,ROW()-COUNTIFS($T$1:$T2573,"="&amp;$T2573,$S$1:$S2573,"&lt;"&amp;$S2573)))</f>
        <v>0</v>
      </c>
      <c r="Z2573" s="6">
        <f t="shared" si="366"/>
        <v>1</v>
      </c>
      <c r="AA2573" t="e">
        <f t="shared" si="367"/>
        <v>#VALUE!</v>
      </c>
      <c r="AB2573" t="str">
        <f t="shared" si="368"/>
        <v/>
      </c>
      <c r="AC2573" t="e">
        <f t="shared" si="369"/>
        <v>#VALUE!</v>
      </c>
    </row>
    <row r="2574" spans="1:29" x14ac:dyDescent="0.2">
      <c r="A2574" t="str">
        <f t="shared" si="362"/>
        <v/>
      </c>
      <c r="E2574" s="4"/>
      <c r="F2574" s="46"/>
      <c r="G2574" s="4"/>
      <c r="H2574" s="48"/>
      <c r="J2574" s="26" t="str">
        <f t="shared" si="363"/>
        <v/>
      </c>
      <c r="N2574" t="str">
        <f t="shared" si="364"/>
        <v/>
      </c>
      <c r="Q2574" t="str">
        <f t="shared" si="365"/>
        <v/>
      </c>
      <c r="S2574" t="str">
        <f>IF(A2574=1,MAX($S$2:$S2573)+1,IF(OR($I2574&lt;&gt;"",A2574="x"),$S2573,""))</f>
        <v/>
      </c>
      <c r="T2574" t="str">
        <f>IF(D2574=1,MAX($T$2:$T2573)+1,IF(S2574=S2573,$T2573,IF(D2574="x",T2573,IF(D2573="x","",""))))</f>
        <v/>
      </c>
      <c r="U2574" t="str">
        <f>IF(B2574=1,MAX($U$2:$U2573)+1,IF(AND($T2574&lt;&gt;"",$T2574=$T2573),$U2573,IF(B2574="x",U2573,"")))</f>
        <v/>
      </c>
      <c r="V2574" t="str">
        <f>IF(C2574=1,MAX($V$2:$V2573)+1,IF(AND($T2574&lt;&gt;"",$T2574=$T2573),$U2573,IF(C2574="x",V2573,"")))</f>
        <v/>
      </c>
      <c r="X2574" cm="1">
        <f t="array" ref="X2574">IF($I2574&lt;&gt;"",$I2574,INDEX($I$1:$I2574,ROW()-COUNTIFS($T$1:$T2574,"="&amp;$T2574,$S$1:$S2574,"&lt;"&amp;$S2574)))</f>
        <v>0</v>
      </c>
      <c r="Z2574" s="6">
        <f t="shared" si="366"/>
        <v>1</v>
      </c>
      <c r="AA2574" t="e">
        <f t="shared" si="367"/>
        <v>#VALUE!</v>
      </c>
      <c r="AB2574" t="str">
        <f t="shared" si="368"/>
        <v/>
      </c>
      <c r="AC2574" t="e">
        <f t="shared" si="369"/>
        <v>#VALUE!</v>
      </c>
    </row>
    <row r="2575" spans="1:29" x14ac:dyDescent="0.2">
      <c r="A2575" t="str">
        <f t="shared" si="362"/>
        <v/>
      </c>
      <c r="E2575" s="4"/>
      <c r="F2575" s="46"/>
      <c r="G2575" s="4"/>
      <c r="H2575" s="48"/>
      <c r="J2575" s="26" t="str">
        <f t="shared" si="363"/>
        <v/>
      </c>
      <c r="N2575" t="str">
        <f t="shared" si="364"/>
        <v/>
      </c>
      <c r="Q2575" t="str">
        <f t="shared" si="365"/>
        <v/>
      </c>
      <c r="S2575" t="str">
        <f>IF(A2575=1,MAX($S$2:$S2574)+1,IF(OR($I2575&lt;&gt;"",A2575="x"),$S2574,""))</f>
        <v/>
      </c>
      <c r="T2575" t="str">
        <f>IF(D2575=1,MAX($T$2:$T2574)+1,IF(S2575=S2574,$T2574,IF(D2575="x",T2574,IF(D2574="x","",""))))</f>
        <v/>
      </c>
      <c r="U2575" t="str">
        <f>IF(B2575=1,MAX($U$2:$U2574)+1,IF(AND($T2575&lt;&gt;"",$T2575=$T2574),$U2574,IF(B2575="x",U2574,"")))</f>
        <v/>
      </c>
      <c r="V2575" t="str">
        <f>IF(C2575=1,MAX($V$2:$V2574)+1,IF(AND($T2575&lt;&gt;"",$T2575=$T2574),$U2574,IF(C2575="x",V2574,"")))</f>
        <v/>
      </c>
      <c r="X2575" cm="1">
        <f t="array" ref="X2575">IF($I2575&lt;&gt;"",$I2575,INDEX($I$1:$I2575,ROW()-COUNTIFS($T$1:$T2575,"="&amp;$T2575,$S$1:$S2575,"&lt;"&amp;$S2575)))</f>
        <v>0</v>
      </c>
      <c r="Z2575" s="6">
        <f t="shared" si="366"/>
        <v>1</v>
      </c>
      <c r="AA2575" t="e">
        <f t="shared" si="367"/>
        <v>#VALUE!</v>
      </c>
      <c r="AB2575" t="str">
        <f t="shared" si="368"/>
        <v/>
      </c>
      <c r="AC2575" t="e">
        <f t="shared" si="369"/>
        <v>#VALUE!</v>
      </c>
    </row>
    <row r="2576" spans="1:29" x14ac:dyDescent="0.2">
      <c r="A2576" t="str">
        <f t="shared" si="362"/>
        <v/>
      </c>
      <c r="E2576" s="4"/>
      <c r="F2576" s="46"/>
      <c r="G2576" s="4"/>
      <c r="H2576" s="48"/>
      <c r="J2576" s="26" t="str">
        <f t="shared" si="363"/>
        <v/>
      </c>
      <c r="N2576" t="str">
        <f t="shared" si="364"/>
        <v/>
      </c>
      <c r="Q2576" t="str">
        <f t="shared" si="365"/>
        <v/>
      </c>
      <c r="S2576" t="str">
        <f>IF(A2576=1,MAX($S$2:$S2575)+1,IF(OR($I2576&lt;&gt;"",A2576="x"),$S2575,""))</f>
        <v/>
      </c>
      <c r="T2576" t="str">
        <f>IF(D2576=1,MAX($T$2:$T2575)+1,IF(S2576=S2575,$T2575,IF(D2576="x",T2575,IF(D2575="x","",""))))</f>
        <v/>
      </c>
      <c r="U2576" t="str">
        <f>IF(B2576=1,MAX($U$2:$U2575)+1,IF(AND($T2576&lt;&gt;"",$T2576=$T2575),$U2575,IF(B2576="x",U2575,"")))</f>
        <v/>
      </c>
      <c r="V2576" t="str">
        <f>IF(C2576=1,MAX($V$2:$V2575)+1,IF(AND($T2576&lt;&gt;"",$T2576=$T2575),$U2575,IF(C2576="x",V2575,"")))</f>
        <v/>
      </c>
      <c r="X2576" cm="1">
        <f t="array" ref="X2576">IF($I2576&lt;&gt;"",$I2576,INDEX($I$1:$I2576,ROW()-COUNTIFS($T$1:$T2576,"="&amp;$T2576,$S$1:$S2576,"&lt;"&amp;$S2576)))</f>
        <v>0</v>
      </c>
      <c r="Z2576" s="6">
        <f t="shared" si="366"/>
        <v>1</v>
      </c>
      <c r="AA2576" t="e">
        <f t="shared" si="367"/>
        <v>#VALUE!</v>
      </c>
      <c r="AB2576" t="str">
        <f t="shared" si="368"/>
        <v/>
      </c>
      <c r="AC2576" t="e">
        <f t="shared" si="369"/>
        <v>#VALUE!</v>
      </c>
    </row>
    <row r="2577" spans="1:29" x14ac:dyDescent="0.2">
      <c r="A2577" t="str">
        <f t="shared" si="362"/>
        <v/>
      </c>
      <c r="E2577" s="4"/>
      <c r="F2577" s="46"/>
      <c r="G2577" s="4"/>
      <c r="H2577" s="48"/>
      <c r="J2577" s="26" t="str">
        <f t="shared" si="363"/>
        <v/>
      </c>
      <c r="N2577" t="str">
        <f t="shared" si="364"/>
        <v/>
      </c>
      <c r="Q2577" t="str">
        <f t="shared" si="365"/>
        <v/>
      </c>
      <c r="S2577" t="str">
        <f>IF(A2577=1,MAX($S$2:$S2576)+1,IF(OR($I2577&lt;&gt;"",A2577="x"),$S2576,""))</f>
        <v/>
      </c>
      <c r="T2577" t="str">
        <f>IF(D2577=1,MAX($T$2:$T2576)+1,IF(S2577=S2576,$T2576,IF(D2577="x",T2576,IF(D2576="x","",""))))</f>
        <v/>
      </c>
      <c r="U2577" t="str">
        <f>IF(B2577=1,MAX($U$2:$U2576)+1,IF(AND($T2577&lt;&gt;"",$T2577=$T2576),$U2576,IF(B2577="x",U2576,"")))</f>
        <v/>
      </c>
      <c r="V2577" t="str">
        <f>IF(C2577=1,MAX($V$2:$V2576)+1,IF(AND($T2577&lt;&gt;"",$T2577=$T2576),$U2576,IF(C2577="x",V2576,"")))</f>
        <v/>
      </c>
      <c r="X2577" cm="1">
        <f t="array" ref="X2577">IF($I2577&lt;&gt;"",$I2577,INDEX($I$1:$I2577,ROW()-COUNTIFS($T$1:$T2577,"="&amp;$T2577,$S$1:$S2577,"&lt;"&amp;$S2577)))</f>
        <v>0</v>
      </c>
      <c r="Z2577" s="6">
        <f t="shared" si="366"/>
        <v>1</v>
      </c>
      <c r="AA2577" t="e">
        <f t="shared" si="367"/>
        <v>#VALUE!</v>
      </c>
      <c r="AB2577" t="str">
        <f t="shared" si="368"/>
        <v/>
      </c>
      <c r="AC2577" t="e">
        <f t="shared" si="369"/>
        <v>#VALUE!</v>
      </c>
    </row>
    <row r="2578" spans="1:29" x14ac:dyDescent="0.2">
      <c r="A2578" t="str">
        <f t="shared" si="362"/>
        <v/>
      </c>
      <c r="E2578" s="4"/>
      <c r="F2578" s="46"/>
      <c r="G2578" s="4"/>
      <c r="H2578" s="48"/>
      <c r="J2578" s="26" t="str">
        <f t="shared" si="363"/>
        <v/>
      </c>
      <c r="N2578" t="str">
        <f t="shared" si="364"/>
        <v/>
      </c>
      <c r="Q2578" t="str">
        <f t="shared" si="365"/>
        <v/>
      </c>
      <c r="S2578" t="str">
        <f>IF(A2578=1,MAX($S$2:$S2577)+1,IF(OR($I2578&lt;&gt;"",A2578="x"),$S2577,""))</f>
        <v/>
      </c>
      <c r="T2578" t="str">
        <f>IF(D2578=1,MAX($T$2:$T2577)+1,IF(S2578=S2577,$T2577,IF(D2578="x",T2577,IF(D2577="x","",""))))</f>
        <v/>
      </c>
      <c r="U2578" t="str">
        <f>IF(B2578=1,MAX($U$2:$U2577)+1,IF(AND($T2578&lt;&gt;"",$T2578=$T2577),$U2577,IF(B2578="x",U2577,"")))</f>
        <v/>
      </c>
      <c r="V2578" t="str">
        <f>IF(C2578=1,MAX($V$2:$V2577)+1,IF(AND($T2578&lt;&gt;"",$T2578=$T2577),$U2577,IF(C2578="x",V2577,"")))</f>
        <v/>
      </c>
      <c r="X2578" cm="1">
        <f t="array" ref="X2578">IF($I2578&lt;&gt;"",$I2578,INDEX($I$1:$I2578,ROW()-COUNTIFS($T$1:$T2578,"="&amp;$T2578,$S$1:$S2578,"&lt;"&amp;$S2578)))</f>
        <v>0</v>
      </c>
      <c r="Z2578" s="6">
        <f t="shared" si="366"/>
        <v>1</v>
      </c>
      <c r="AA2578" t="e">
        <f t="shared" si="367"/>
        <v>#VALUE!</v>
      </c>
      <c r="AB2578" t="str">
        <f t="shared" si="368"/>
        <v/>
      </c>
      <c r="AC2578" t="e">
        <f t="shared" si="369"/>
        <v>#VALUE!</v>
      </c>
    </row>
    <row r="2579" spans="1:29" x14ac:dyDescent="0.2">
      <c r="A2579" t="str">
        <f t="shared" ref="A2579:A2642" si="370">IF(K2579&lt;&gt;"",1,IF(D2579="x","x",""))</f>
        <v/>
      </c>
      <c r="E2579" s="4"/>
      <c r="F2579" s="46"/>
      <c r="G2579" s="4"/>
      <c r="H2579" s="48"/>
      <c r="J2579" s="26" t="str">
        <f t="shared" ref="J2579:J2642" si="371">IF(OR(K2579="Goal",K2579="Shot",L2579="Zone_Entry",M2579="Stoppage-Goal",M2578="Stoppage-Goal"),"o",IF(OR(K2579="Save",K2579="Rebound",L2579="Zone_Exit",M2579="Stoppage-GoalieStoppage",M2578="Stoppage-GoalieStoppage"),"d",IF(OR(L2579="Faceoff_AfterGoal",L2579="Faceoff_PeriodStart",698="Faceoff_GameStart",M2578="Stoppage-Goal"),"n","")))</f>
        <v/>
      </c>
      <c r="N2579" t="str">
        <f t="shared" ref="N2579:N2642" si="372">IF(K2579="","",IF(K2579="Goal","s",IF(AND(K2579="Zone_Entry_Exit",OR(ISNUMBER(SEARCH("fail",L2579)),ISNUMBER(SEARCH("FromExitClear",M2579)),ISNUMBER(SEARCH("miss",M2579)))),"u",IF(AND(K2579="Zone_Entry_Exit",OR(NOT(ISNUMBER(SEARCH("fail",L2579))),NOT(ISNUMBER(SEARCH("FromExitClear",M2579))),NOT(ISNUMBER(SEARCH("miss",M2579))))),"s",IF(AND(OR(K2579="Shot",K2579="Pass"),OR(ISNUMBER(SEARCH("complete",L2579)),ISNUMBER(SEARCH("goal",L2579)),ISNUMBER(SEARCH("OnNet",L2579)))),"s",IF(L2579="Turnover_Giveaway","u",IF(AND(OR(K2579="Shot",K2579="Pass"),OR(ISNUMBER(SEARCH("fail",L2579)),NOT(ISNUMBER(SEARCH("complete",L2579))),NOT(ISNUMBER(SEARCH("OnNet",L2579))))),"u","")))))))</f>
        <v/>
      </c>
      <c r="Q2579" t="str">
        <f t="shared" ref="Q2579:Q2642" si="373">IF(O2579="","",IF(AND(N2579&lt;&gt;"",OR(O2579&lt;&gt;"",P2579&lt;&gt;"")),N2579,IF(OR(ISNUMBER(SEARCH("attemp",O2579)),ISNUMBER(SEARCH("beat",O2579)),ISNUMBER(SEARCH("mis",O2579)),ISNUMBER(SEARCH("fail",O2579)),ISNUMBER(SEARCH("loss",O2579)),ISNUMBER(SEARCH("lost",O2579)),ISNUMBER(SEARCH("attemp",P2579)),ISNUMBER(SEARCH("mis",P2579)),ISNUMBER(SEARCH("fail",P2579)),ISNUMBER(SEARCH("loss",P2579)),ISNUMBER(SEARCH("beat",P2579)),ISNUMBER(SEARCH("lost",P2579))),"u","")))</f>
        <v/>
      </c>
      <c r="S2579" t="str">
        <f>IF(A2579=1,MAX($S$2:$S2578)+1,IF(OR($I2579&lt;&gt;"",A2579="x"),$S2578,""))</f>
        <v/>
      </c>
      <c r="T2579" t="str">
        <f>IF(D2579=1,MAX($T$2:$T2578)+1,IF(S2579=S2578,$T2578,IF(D2579="x",T2578,IF(D2578="x","",""))))</f>
        <v/>
      </c>
      <c r="U2579" t="str">
        <f>IF(B2579=1,MAX($U$2:$U2578)+1,IF(AND($T2579&lt;&gt;"",$T2579=$T2578),$U2578,IF(B2579="x",U2578,"")))</f>
        <v/>
      </c>
      <c r="V2579" t="str">
        <f>IF(C2579=1,MAX($V$2:$V2578)+1,IF(AND($T2579&lt;&gt;"",$T2579=$T2578),$U2578,IF(C2579="x",V2578,"")))</f>
        <v/>
      </c>
      <c r="X2579" cm="1">
        <f t="array" ref="X2579">IF($I2579&lt;&gt;"",$I2579,INDEX($I$1:$I2579,ROW()-COUNTIFS($T$1:$T2579,"="&amp;$T2579,$S$1:$S2579,"&lt;"&amp;$S2579)))</f>
        <v>0</v>
      </c>
      <c r="Z2579" s="6">
        <f t="shared" si="366"/>
        <v>1</v>
      </c>
      <c r="AA2579" t="e">
        <f t="shared" si="367"/>
        <v>#VALUE!</v>
      </c>
      <c r="AB2579" t="str">
        <f t="shared" si="368"/>
        <v/>
      </c>
      <c r="AC2579" t="e">
        <f t="shared" si="369"/>
        <v>#VALUE!</v>
      </c>
    </row>
    <row r="2580" spans="1:29" x14ac:dyDescent="0.2">
      <c r="A2580" t="str">
        <f t="shared" si="370"/>
        <v/>
      </c>
      <c r="E2580" s="4"/>
      <c r="F2580" s="46"/>
      <c r="G2580" s="4"/>
      <c r="H2580" s="48"/>
      <c r="J2580" s="26" t="str">
        <f t="shared" si="371"/>
        <v/>
      </c>
      <c r="N2580" t="str">
        <f t="shared" si="372"/>
        <v/>
      </c>
      <c r="Q2580" t="str">
        <f t="shared" si="373"/>
        <v/>
      </c>
      <c r="S2580" t="str">
        <f>IF(A2580=1,MAX($S$2:$S2579)+1,IF(OR($I2580&lt;&gt;"",A2580="x"),$S2579,""))</f>
        <v/>
      </c>
      <c r="T2580" t="str">
        <f>IF(D2580=1,MAX($T$2:$T2579)+1,IF(S2580=S2579,$T2579,IF(D2580="x",T2579,IF(D2579="x","",""))))</f>
        <v/>
      </c>
      <c r="U2580" t="str">
        <f>IF(B2580=1,MAX($U$2:$U2579)+1,IF(AND($T2580&lt;&gt;"",$T2580=$T2579),$U2579,IF(B2580="x",U2579,"")))</f>
        <v/>
      </c>
      <c r="V2580" t="str">
        <f>IF(C2580=1,MAX($V$2:$V2579)+1,IF(AND($T2580&lt;&gt;"",$T2580=$T2579),$U2579,IF(C2580="x",V2579,"")))</f>
        <v/>
      </c>
      <c r="X2580" cm="1">
        <f t="array" ref="X2580">IF($I2580&lt;&gt;"",$I2580,INDEX($I$1:$I2580,ROW()-COUNTIFS($T$1:$T2580,"="&amp;$T2580,$S$1:$S2580,"&lt;"&amp;$S2580)))</f>
        <v>0</v>
      </c>
      <c r="Z2580" s="6">
        <f t="shared" si="366"/>
        <v>1</v>
      </c>
      <c r="AA2580" t="e">
        <f t="shared" si="367"/>
        <v>#VALUE!</v>
      </c>
      <c r="AB2580" t="str">
        <f t="shared" si="368"/>
        <v/>
      </c>
      <c r="AC2580" t="e">
        <f t="shared" si="369"/>
        <v>#VALUE!</v>
      </c>
    </row>
    <row r="2581" spans="1:29" x14ac:dyDescent="0.2">
      <c r="A2581" t="str">
        <f t="shared" si="370"/>
        <v/>
      </c>
      <c r="E2581" s="4"/>
      <c r="F2581" s="46"/>
      <c r="G2581" s="4"/>
      <c r="H2581" s="48"/>
      <c r="J2581" s="26" t="str">
        <f t="shared" si="371"/>
        <v/>
      </c>
      <c r="N2581" t="str">
        <f t="shared" si="372"/>
        <v/>
      </c>
      <c r="Q2581" t="str">
        <f t="shared" si="373"/>
        <v/>
      </c>
      <c r="S2581" t="str">
        <f>IF(A2581=1,MAX($S$2:$S2580)+1,IF(OR($I2581&lt;&gt;"",A2581="x"),$S2580,""))</f>
        <v/>
      </c>
      <c r="T2581" t="str">
        <f>IF(D2581=1,MAX($T$2:$T2580)+1,IF(S2581=S2580,$T2580,IF(D2581="x",T2580,IF(D2580="x","",""))))</f>
        <v/>
      </c>
      <c r="U2581" t="str">
        <f>IF(B2581=1,MAX($U$2:$U2580)+1,IF(AND($T2581&lt;&gt;"",$T2581=$T2580),$U2580,IF(B2581="x",U2580,"")))</f>
        <v/>
      </c>
      <c r="V2581" t="str">
        <f>IF(C2581=1,MAX($V$2:$V2580)+1,IF(AND($T2581&lt;&gt;"",$T2581=$T2580),$U2580,IF(C2581="x",V2580,"")))</f>
        <v/>
      </c>
      <c r="X2581" cm="1">
        <f t="array" ref="X2581">IF($I2581&lt;&gt;"",$I2581,INDEX($I$1:$I2581,ROW()-COUNTIFS($T$1:$T2581,"="&amp;$T2581,$S$1:$S2581,"&lt;"&amp;$S2581)))</f>
        <v>0</v>
      </c>
      <c r="Z2581" s="6">
        <f t="shared" si="366"/>
        <v>1</v>
      </c>
      <c r="AA2581" t="e">
        <f t="shared" si="367"/>
        <v>#VALUE!</v>
      </c>
      <c r="AB2581" t="str">
        <f t="shared" si="368"/>
        <v/>
      </c>
      <c r="AC2581" t="e">
        <f t="shared" si="369"/>
        <v>#VALUE!</v>
      </c>
    </row>
    <row r="2582" spans="1:29" x14ac:dyDescent="0.2">
      <c r="A2582" t="str">
        <f t="shared" si="370"/>
        <v/>
      </c>
      <c r="E2582" s="4"/>
      <c r="F2582" s="46"/>
      <c r="G2582" s="4"/>
      <c r="H2582" s="48"/>
      <c r="J2582" s="26" t="str">
        <f t="shared" si="371"/>
        <v/>
      </c>
      <c r="N2582" t="str">
        <f t="shared" si="372"/>
        <v/>
      </c>
      <c r="Q2582" t="str">
        <f t="shared" si="373"/>
        <v/>
      </c>
      <c r="S2582" t="str">
        <f>IF(A2582=1,MAX($S$2:$S2581)+1,IF(OR($I2582&lt;&gt;"",A2582="x"),$S2581,""))</f>
        <v/>
      </c>
      <c r="T2582" t="str">
        <f>IF(D2582=1,MAX($T$2:$T2581)+1,IF(S2582=S2581,$T2581,IF(D2582="x",T2581,IF(D2581="x","",""))))</f>
        <v/>
      </c>
      <c r="U2582" t="str">
        <f>IF(B2582=1,MAX($U$2:$U2581)+1,IF(AND($T2582&lt;&gt;"",$T2582=$T2581),$U2581,IF(B2582="x",U2581,"")))</f>
        <v/>
      </c>
      <c r="V2582" t="str">
        <f>IF(C2582=1,MAX($V$2:$V2581)+1,IF(AND($T2582&lt;&gt;"",$T2582=$T2581),$U2581,IF(C2582="x",V2581,"")))</f>
        <v/>
      </c>
      <c r="X2582" cm="1">
        <f t="array" ref="X2582">IF($I2582&lt;&gt;"",$I2582,INDEX($I$1:$I2582,ROW()-COUNTIFS($T$1:$T2582,"="&amp;$T2582,$S$1:$S2582,"&lt;"&amp;$S2582)))</f>
        <v>0</v>
      </c>
      <c r="Z2582" s="6">
        <f t="shared" si="366"/>
        <v>1</v>
      </c>
      <c r="AA2582" t="e">
        <f t="shared" si="367"/>
        <v>#VALUE!</v>
      </c>
      <c r="AB2582" t="str">
        <f t="shared" si="368"/>
        <v/>
      </c>
      <c r="AC2582" t="e">
        <f t="shared" si="369"/>
        <v>#VALUE!</v>
      </c>
    </row>
    <row r="2583" spans="1:29" x14ac:dyDescent="0.2">
      <c r="A2583" t="str">
        <f t="shared" si="370"/>
        <v/>
      </c>
      <c r="E2583" s="4"/>
      <c r="F2583" s="46"/>
      <c r="G2583" s="4"/>
      <c r="H2583" s="48"/>
      <c r="J2583" s="26" t="str">
        <f t="shared" si="371"/>
        <v/>
      </c>
      <c r="N2583" t="str">
        <f t="shared" si="372"/>
        <v/>
      </c>
      <c r="Q2583" t="str">
        <f t="shared" si="373"/>
        <v/>
      </c>
      <c r="S2583" t="str">
        <f>IF(A2583=1,MAX($S$2:$S2582)+1,IF(OR($I2583&lt;&gt;"",A2583="x"),$S2582,""))</f>
        <v/>
      </c>
      <c r="T2583" t="str">
        <f>IF(D2583=1,MAX($T$2:$T2582)+1,IF(S2583=S2582,$T2582,IF(D2583="x",T2582,IF(D2582="x","",""))))</f>
        <v/>
      </c>
      <c r="U2583" t="str">
        <f>IF(B2583=1,MAX($U$2:$U2582)+1,IF(AND($T2583&lt;&gt;"",$T2583=$T2582),$U2582,IF(B2583="x",U2582,"")))</f>
        <v/>
      </c>
      <c r="V2583" t="str">
        <f>IF(C2583=1,MAX($V$2:$V2582)+1,IF(AND($T2583&lt;&gt;"",$T2583=$T2582),$U2582,IF(C2583="x",V2582,"")))</f>
        <v/>
      </c>
      <c r="X2583" cm="1">
        <f t="array" ref="X2583">IF($I2583&lt;&gt;"",$I2583,INDEX($I$1:$I2583,ROW()-COUNTIFS($T$1:$T2583,"="&amp;$T2583,$S$1:$S2583,"&lt;"&amp;$S2583)))</f>
        <v>0</v>
      </c>
      <c r="Z2583" s="6">
        <f t="shared" si="366"/>
        <v>1</v>
      </c>
      <c r="AA2583" t="e">
        <f t="shared" si="367"/>
        <v>#VALUE!</v>
      </c>
      <c r="AB2583" t="str">
        <f t="shared" si="368"/>
        <v/>
      </c>
      <c r="AC2583" t="e">
        <f t="shared" si="369"/>
        <v>#VALUE!</v>
      </c>
    </row>
    <row r="2584" spans="1:29" x14ac:dyDescent="0.2">
      <c r="A2584" t="str">
        <f t="shared" si="370"/>
        <v/>
      </c>
      <c r="E2584" s="4"/>
      <c r="F2584" s="46"/>
      <c r="G2584" s="4"/>
      <c r="H2584" s="48"/>
      <c r="J2584" s="26" t="str">
        <f t="shared" si="371"/>
        <v/>
      </c>
      <c r="N2584" t="str">
        <f t="shared" si="372"/>
        <v/>
      </c>
      <c r="Q2584" t="str">
        <f t="shared" si="373"/>
        <v/>
      </c>
      <c r="S2584" t="str">
        <f>IF(A2584=1,MAX($S$2:$S2583)+1,IF(OR($I2584&lt;&gt;"",A2584="x"),$S2583,""))</f>
        <v/>
      </c>
      <c r="T2584" t="str">
        <f>IF(D2584=1,MAX($T$2:$T2583)+1,IF(S2584=S2583,$T2583,IF(D2584="x",T2583,IF(D2583="x","",""))))</f>
        <v/>
      </c>
      <c r="U2584" t="str">
        <f>IF(B2584=1,MAX($U$2:$U2583)+1,IF(AND($T2584&lt;&gt;"",$T2584=$T2583),$U2583,IF(B2584="x",U2583,"")))</f>
        <v/>
      </c>
      <c r="V2584" t="str">
        <f>IF(C2584=1,MAX($V$2:$V2583)+1,IF(AND($T2584&lt;&gt;"",$T2584=$T2583),$U2583,IF(C2584="x",V2583,"")))</f>
        <v/>
      </c>
      <c r="X2584" cm="1">
        <f t="array" ref="X2584">IF($I2584&lt;&gt;"",$I2584,INDEX($I$1:$I2584,ROW()-COUNTIFS($T$1:$T2584,"="&amp;$T2584,$S$1:$S2584,"&lt;"&amp;$S2584)))</f>
        <v>0</v>
      </c>
      <c r="Z2584" s="6">
        <f t="shared" si="366"/>
        <v>1</v>
      </c>
      <c r="AA2584" t="e">
        <f t="shared" si="367"/>
        <v>#VALUE!</v>
      </c>
      <c r="AB2584" t="str">
        <f t="shared" si="368"/>
        <v/>
      </c>
      <c r="AC2584" t="e">
        <f t="shared" si="369"/>
        <v>#VALUE!</v>
      </c>
    </row>
    <row r="2585" spans="1:29" x14ac:dyDescent="0.2">
      <c r="A2585" t="str">
        <f t="shared" si="370"/>
        <v/>
      </c>
      <c r="E2585" s="4"/>
      <c r="F2585" s="46"/>
      <c r="G2585" s="4"/>
      <c r="H2585" s="48"/>
      <c r="J2585" s="26" t="str">
        <f t="shared" si="371"/>
        <v/>
      </c>
      <c r="N2585" t="str">
        <f t="shared" si="372"/>
        <v/>
      </c>
      <c r="Q2585" t="str">
        <f t="shared" si="373"/>
        <v/>
      </c>
      <c r="S2585" t="str">
        <f>IF(A2585=1,MAX($S$2:$S2584)+1,IF(OR($I2585&lt;&gt;"",A2585="x"),$S2584,""))</f>
        <v/>
      </c>
      <c r="T2585" t="str">
        <f>IF(D2585=1,MAX($T$2:$T2584)+1,IF(S2585=S2584,$T2584,IF(D2585="x",T2584,IF(D2584="x","",""))))</f>
        <v/>
      </c>
      <c r="U2585" t="str">
        <f>IF(B2585=1,MAX($U$2:$U2584)+1,IF(AND($T2585&lt;&gt;"",$T2585=$T2584),$U2584,IF(B2585="x",U2584,"")))</f>
        <v/>
      </c>
      <c r="V2585" t="str">
        <f>IF(C2585=1,MAX($V$2:$V2584)+1,IF(AND($T2585&lt;&gt;"",$T2585=$T2584),$U2584,IF(C2585="x",V2584,"")))</f>
        <v/>
      </c>
      <c r="X2585" cm="1">
        <f t="array" ref="X2585">IF($I2585&lt;&gt;"",$I2585,INDEX($I$1:$I2585,ROW()-COUNTIFS($T$1:$T2585,"="&amp;$T2585,$S$1:$S2585,"&lt;"&amp;$S2585)))</f>
        <v>0</v>
      </c>
      <c r="Z2585" s="6">
        <f t="shared" si="366"/>
        <v>1</v>
      </c>
      <c r="AA2585" t="e">
        <f t="shared" si="367"/>
        <v>#VALUE!</v>
      </c>
      <c r="AB2585" t="str">
        <f t="shared" si="368"/>
        <v/>
      </c>
      <c r="AC2585" t="e">
        <f t="shared" si="369"/>
        <v>#VALUE!</v>
      </c>
    </row>
    <row r="2586" spans="1:29" x14ac:dyDescent="0.2">
      <c r="A2586" t="str">
        <f t="shared" si="370"/>
        <v/>
      </c>
      <c r="E2586" s="4"/>
      <c r="F2586" s="46"/>
      <c r="G2586" s="4"/>
      <c r="H2586" s="48"/>
      <c r="J2586" s="26" t="str">
        <f t="shared" si="371"/>
        <v/>
      </c>
      <c r="N2586" t="str">
        <f t="shared" si="372"/>
        <v/>
      </c>
      <c r="Q2586" t="str">
        <f t="shared" si="373"/>
        <v/>
      </c>
      <c r="S2586" t="str">
        <f>IF(A2586=1,MAX($S$2:$S2585)+1,IF(OR($I2586&lt;&gt;"",A2586="x"),$S2585,""))</f>
        <v/>
      </c>
      <c r="T2586" t="str">
        <f>IF(D2586=1,MAX($T$2:$T2585)+1,IF(S2586=S2585,$T2585,IF(D2586="x",T2585,IF(D2585="x","",""))))</f>
        <v/>
      </c>
      <c r="U2586" t="str">
        <f>IF(B2586=1,MAX($U$2:$U2585)+1,IF(AND($T2586&lt;&gt;"",$T2586=$T2585),$U2585,IF(B2586="x",U2585,"")))</f>
        <v/>
      </c>
      <c r="V2586" t="str">
        <f>IF(C2586=1,MAX($V$2:$V2585)+1,IF(AND($T2586&lt;&gt;"",$T2586=$T2585),$U2585,IF(C2586="x",V2585,"")))</f>
        <v/>
      </c>
      <c r="X2586" cm="1">
        <f t="array" ref="X2586">IF($I2586&lt;&gt;"",$I2586,INDEX($I$1:$I2586,ROW()-COUNTIFS($T$1:$T2586,"="&amp;$T2586,$S$1:$S2586,"&lt;"&amp;$S2586)))</f>
        <v>0</v>
      </c>
      <c r="Z2586" s="6">
        <f t="shared" si="366"/>
        <v>1</v>
      </c>
      <c r="AA2586" t="e">
        <f t="shared" si="367"/>
        <v>#VALUE!</v>
      </c>
      <c r="AB2586" t="str">
        <f t="shared" si="368"/>
        <v/>
      </c>
      <c r="AC2586" t="e">
        <f t="shared" si="369"/>
        <v>#VALUE!</v>
      </c>
    </row>
    <row r="2587" spans="1:29" x14ac:dyDescent="0.2">
      <c r="A2587" t="str">
        <f t="shared" si="370"/>
        <v/>
      </c>
      <c r="E2587" s="4"/>
      <c r="F2587" s="46"/>
      <c r="G2587" s="4"/>
      <c r="H2587" s="48"/>
      <c r="J2587" s="26" t="str">
        <f t="shared" si="371"/>
        <v/>
      </c>
      <c r="N2587" t="str">
        <f t="shared" si="372"/>
        <v/>
      </c>
      <c r="Q2587" t="str">
        <f t="shared" si="373"/>
        <v/>
      </c>
      <c r="S2587" t="str">
        <f>IF(A2587=1,MAX($S$2:$S2586)+1,IF(OR($I2587&lt;&gt;"",A2587="x"),$S2586,""))</f>
        <v/>
      </c>
      <c r="T2587" t="str">
        <f>IF(D2587=1,MAX($T$2:$T2586)+1,IF(S2587=S2586,$T2586,IF(D2587="x",T2586,IF(D2586="x","",""))))</f>
        <v/>
      </c>
      <c r="U2587" t="str">
        <f>IF(B2587=1,MAX($U$2:$U2586)+1,IF(AND($T2587&lt;&gt;"",$T2587=$T2586),$U2586,IF(B2587="x",U2586,"")))</f>
        <v/>
      </c>
      <c r="V2587" t="str">
        <f>IF(C2587=1,MAX($V$2:$V2586)+1,IF(AND($T2587&lt;&gt;"",$T2587=$T2586),$U2586,IF(C2587="x",V2586,"")))</f>
        <v/>
      </c>
      <c r="X2587" cm="1">
        <f t="array" ref="X2587">IF($I2587&lt;&gt;"",$I2587,INDEX($I$1:$I2587,ROW()-COUNTIFS($T$1:$T2587,"="&amp;$T2587,$S$1:$S2587,"&lt;"&amp;$S2587)))</f>
        <v>0</v>
      </c>
      <c r="Z2587" s="6">
        <f t="shared" si="366"/>
        <v>1</v>
      </c>
      <c r="AA2587" t="e">
        <f t="shared" si="367"/>
        <v>#VALUE!</v>
      </c>
      <c r="AB2587" t="str">
        <f t="shared" si="368"/>
        <v/>
      </c>
      <c r="AC2587" t="e">
        <f t="shared" si="369"/>
        <v>#VALUE!</v>
      </c>
    </row>
    <row r="2588" spans="1:29" x14ac:dyDescent="0.2">
      <c r="A2588" t="str">
        <f t="shared" si="370"/>
        <v/>
      </c>
      <c r="E2588" s="4"/>
      <c r="F2588" s="46"/>
      <c r="G2588" s="4"/>
      <c r="H2588" s="48"/>
      <c r="J2588" s="26" t="str">
        <f t="shared" si="371"/>
        <v/>
      </c>
      <c r="N2588" t="str">
        <f t="shared" si="372"/>
        <v/>
      </c>
      <c r="Q2588" t="str">
        <f t="shared" si="373"/>
        <v/>
      </c>
      <c r="S2588" t="str">
        <f>IF(A2588=1,MAX($S$2:$S2587)+1,IF(OR($I2588&lt;&gt;"",A2588="x"),$S2587,""))</f>
        <v/>
      </c>
      <c r="T2588" t="str">
        <f>IF(D2588=1,MAX($T$2:$T2587)+1,IF(S2588=S2587,$T2587,IF(D2588="x",T2587,IF(D2587="x","",""))))</f>
        <v/>
      </c>
      <c r="U2588" t="str">
        <f>IF(B2588=1,MAX($U$2:$U2587)+1,IF(AND($T2588&lt;&gt;"",$T2588=$T2587),$U2587,IF(B2588="x",U2587,"")))</f>
        <v/>
      </c>
      <c r="V2588" t="str">
        <f>IF(C2588=1,MAX($V$2:$V2587)+1,IF(AND($T2588&lt;&gt;"",$T2588=$T2587),$U2587,IF(C2588="x",V2587,"")))</f>
        <v/>
      </c>
      <c r="X2588" cm="1">
        <f t="array" ref="X2588">IF($I2588&lt;&gt;"",$I2588,INDEX($I$1:$I2588,ROW()-COUNTIFS($T$1:$T2588,"="&amp;$T2588,$S$1:$S2588,"&lt;"&amp;$S2588)))</f>
        <v>0</v>
      </c>
      <c r="Z2588" s="6">
        <f t="shared" si="366"/>
        <v>1</v>
      </c>
      <c r="AA2588" t="e">
        <f t="shared" si="367"/>
        <v>#VALUE!</v>
      </c>
      <c r="AB2588" t="str">
        <f t="shared" si="368"/>
        <v/>
      </c>
      <c r="AC2588" t="e">
        <f t="shared" si="369"/>
        <v>#VALUE!</v>
      </c>
    </row>
    <row r="2589" spans="1:29" x14ac:dyDescent="0.2">
      <c r="A2589" t="str">
        <f t="shared" si="370"/>
        <v/>
      </c>
      <c r="E2589" s="4"/>
      <c r="F2589" s="46"/>
      <c r="G2589" s="4"/>
      <c r="H2589" s="48"/>
      <c r="J2589" s="26" t="str">
        <f t="shared" si="371"/>
        <v/>
      </c>
      <c r="N2589" t="str">
        <f t="shared" si="372"/>
        <v/>
      </c>
      <c r="Q2589" t="str">
        <f t="shared" si="373"/>
        <v/>
      </c>
      <c r="S2589" t="str">
        <f>IF(A2589=1,MAX($S$2:$S2588)+1,IF(OR($I2589&lt;&gt;"",A2589="x"),$S2588,""))</f>
        <v/>
      </c>
      <c r="T2589" t="str">
        <f>IF(D2589=1,MAX($T$2:$T2588)+1,IF(S2589=S2588,$T2588,IF(D2589="x",T2588,IF(D2588="x","",""))))</f>
        <v/>
      </c>
      <c r="U2589" t="str">
        <f>IF(B2589=1,MAX($U$2:$U2588)+1,IF(AND($T2589&lt;&gt;"",$T2589=$T2588),$U2588,IF(B2589="x",U2588,"")))</f>
        <v/>
      </c>
      <c r="V2589" t="str">
        <f>IF(C2589=1,MAX($V$2:$V2588)+1,IF(AND($T2589&lt;&gt;"",$T2589=$T2588),$U2588,IF(C2589="x",V2588,"")))</f>
        <v/>
      </c>
      <c r="X2589" cm="1">
        <f t="array" ref="X2589">IF($I2589&lt;&gt;"",$I2589,INDEX($I$1:$I2589,ROW()-COUNTIFS($T$1:$T2589,"="&amp;$T2589,$S$1:$S2589,"&lt;"&amp;$S2589)))</f>
        <v>0</v>
      </c>
      <c r="Z2589" s="6">
        <f t="shared" si="366"/>
        <v>1</v>
      </c>
      <c r="AA2589" t="e">
        <f t="shared" si="367"/>
        <v>#VALUE!</v>
      </c>
      <c r="AB2589" t="str">
        <f t="shared" si="368"/>
        <v/>
      </c>
      <c r="AC2589" t="e">
        <f t="shared" si="369"/>
        <v>#VALUE!</v>
      </c>
    </row>
    <row r="2590" spans="1:29" x14ac:dyDescent="0.2">
      <c r="A2590" t="str">
        <f t="shared" si="370"/>
        <v/>
      </c>
      <c r="E2590" s="4"/>
      <c r="F2590" s="46"/>
      <c r="G2590" s="4"/>
      <c r="H2590" s="48"/>
      <c r="J2590" s="26" t="str">
        <f t="shared" si="371"/>
        <v/>
      </c>
      <c r="N2590" t="str">
        <f t="shared" si="372"/>
        <v/>
      </c>
      <c r="Q2590" t="str">
        <f t="shared" si="373"/>
        <v/>
      </c>
      <c r="S2590" t="str">
        <f>IF(A2590=1,MAX($S$2:$S2589)+1,IF(OR($I2590&lt;&gt;"",A2590="x"),$S2589,""))</f>
        <v/>
      </c>
      <c r="T2590" t="str">
        <f>IF(D2590=1,MAX($T$2:$T2589)+1,IF(S2590=S2589,$T2589,IF(D2590="x",T2589,IF(D2589="x","",""))))</f>
        <v/>
      </c>
      <c r="U2590" t="str">
        <f>IF(B2590=1,MAX($U$2:$U2589)+1,IF(AND($T2590&lt;&gt;"",$T2590=$T2589),$U2589,IF(B2590="x",U2589,"")))</f>
        <v/>
      </c>
      <c r="V2590" t="str">
        <f>IF(C2590=1,MAX($V$2:$V2589)+1,IF(AND($T2590&lt;&gt;"",$T2590=$T2589),$U2589,IF(C2590="x",V2589,"")))</f>
        <v/>
      </c>
      <c r="X2590" cm="1">
        <f t="array" ref="X2590">IF($I2590&lt;&gt;"",$I2590,INDEX($I$1:$I2590,ROW()-COUNTIFS($T$1:$T2590,"="&amp;$T2590,$S$1:$S2590,"&lt;"&amp;$S2590)))</f>
        <v>0</v>
      </c>
      <c r="Z2590" s="6">
        <f t="shared" si="366"/>
        <v>1</v>
      </c>
      <c r="AA2590" t="e">
        <f t="shared" si="367"/>
        <v>#VALUE!</v>
      </c>
      <c r="AB2590" t="str">
        <f t="shared" si="368"/>
        <v/>
      </c>
      <c r="AC2590" t="e">
        <f t="shared" si="369"/>
        <v>#VALUE!</v>
      </c>
    </row>
    <row r="2591" spans="1:29" x14ac:dyDescent="0.2">
      <c r="A2591" t="str">
        <f t="shared" si="370"/>
        <v/>
      </c>
      <c r="E2591" s="4"/>
      <c r="F2591" s="46"/>
      <c r="G2591" s="4"/>
      <c r="H2591" s="48"/>
      <c r="J2591" s="26" t="str">
        <f t="shared" si="371"/>
        <v/>
      </c>
      <c r="N2591" t="str">
        <f t="shared" si="372"/>
        <v/>
      </c>
      <c r="Q2591" t="str">
        <f t="shared" si="373"/>
        <v/>
      </c>
      <c r="S2591" t="str">
        <f>IF(A2591=1,MAX($S$2:$S2590)+1,IF(OR($I2591&lt;&gt;"",A2591="x"),$S2590,""))</f>
        <v/>
      </c>
      <c r="T2591" t="str">
        <f>IF(D2591=1,MAX($T$2:$T2590)+1,IF(S2591=S2590,$T2590,IF(D2591="x",T2590,IF(D2590="x","",""))))</f>
        <v/>
      </c>
      <c r="U2591" t="str">
        <f>IF(B2591=1,MAX($U$2:$U2590)+1,IF(AND($T2591&lt;&gt;"",$T2591=$T2590),$U2590,IF(B2591="x",U2590,"")))</f>
        <v/>
      </c>
      <c r="V2591" t="str">
        <f>IF(C2591=1,MAX($V$2:$V2590)+1,IF(AND($T2591&lt;&gt;"",$T2591=$T2590),$U2590,IF(C2591="x",V2590,"")))</f>
        <v/>
      </c>
      <c r="X2591" cm="1">
        <f t="array" ref="X2591">IF($I2591&lt;&gt;"",$I2591,INDEX($I$1:$I2591,ROW()-COUNTIFS($T$1:$T2591,"="&amp;$T2591,$S$1:$S2591,"&lt;"&amp;$S2591)))</f>
        <v>0</v>
      </c>
      <c r="Z2591" s="6">
        <f t="shared" si="366"/>
        <v>1</v>
      </c>
      <c r="AA2591" t="e">
        <f t="shared" si="367"/>
        <v>#VALUE!</v>
      </c>
      <c r="AB2591" t="str">
        <f t="shared" si="368"/>
        <v/>
      </c>
      <c r="AC2591" t="e">
        <f t="shared" si="369"/>
        <v>#VALUE!</v>
      </c>
    </row>
    <row r="2592" spans="1:29" x14ac:dyDescent="0.2">
      <c r="A2592" t="str">
        <f t="shared" si="370"/>
        <v/>
      </c>
      <c r="E2592" s="4"/>
      <c r="F2592" s="46"/>
      <c r="G2592" s="4"/>
      <c r="H2592" s="48"/>
      <c r="J2592" s="26" t="str">
        <f t="shared" si="371"/>
        <v/>
      </c>
      <c r="N2592" t="str">
        <f t="shared" si="372"/>
        <v/>
      </c>
      <c r="Q2592" t="str">
        <f t="shared" si="373"/>
        <v/>
      </c>
      <c r="S2592" t="str">
        <f>IF(A2592=1,MAX($S$2:$S2591)+1,IF(OR($I2592&lt;&gt;"",A2592="x"),$S2591,""))</f>
        <v/>
      </c>
      <c r="T2592" t="str">
        <f>IF(D2592=1,MAX($T$2:$T2591)+1,IF(S2592=S2591,$T2591,IF(D2592="x",T2591,IF(D2591="x","",""))))</f>
        <v/>
      </c>
      <c r="U2592" t="str">
        <f>IF(B2592=1,MAX($U$2:$U2591)+1,IF(AND($T2592&lt;&gt;"",$T2592=$T2591),$U2591,IF(B2592="x",U2591,"")))</f>
        <v/>
      </c>
      <c r="V2592" t="str">
        <f>IF(C2592=1,MAX($V$2:$V2591)+1,IF(AND($T2592&lt;&gt;"",$T2592=$T2591),$U2591,IF(C2592="x",V2591,"")))</f>
        <v/>
      </c>
      <c r="X2592" cm="1">
        <f t="array" ref="X2592">IF($I2592&lt;&gt;"",$I2592,INDEX($I$1:$I2592,ROW()-COUNTIFS($T$1:$T2592,"="&amp;$T2592,$S$1:$S2592,"&lt;"&amp;$S2592)))</f>
        <v>0</v>
      </c>
      <c r="Z2592" s="6">
        <f t="shared" si="366"/>
        <v>1</v>
      </c>
      <c r="AA2592" t="e">
        <f t="shared" si="367"/>
        <v>#VALUE!</v>
      </c>
      <c r="AB2592" t="str">
        <f t="shared" si="368"/>
        <v/>
      </c>
      <c r="AC2592" t="e">
        <f t="shared" si="369"/>
        <v>#VALUE!</v>
      </c>
    </row>
    <row r="2593" spans="1:29" x14ac:dyDescent="0.2">
      <c r="A2593" t="str">
        <f t="shared" si="370"/>
        <v/>
      </c>
      <c r="E2593" s="4"/>
      <c r="F2593" s="46"/>
      <c r="G2593" s="4"/>
      <c r="H2593" s="48"/>
      <c r="J2593" s="26" t="str">
        <f t="shared" si="371"/>
        <v/>
      </c>
      <c r="N2593" t="str">
        <f t="shared" si="372"/>
        <v/>
      </c>
      <c r="Q2593" t="str">
        <f t="shared" si="373"/>
        <v/>
      </c>
      <c r="S2593" t="str">
        <f>IF(A2593=1,MAX($S$2:$S2592)+1,IF(OR($I2593&lt;&gt;"",A2593="x"),$S2592,""))</f>
        <v/>
      </c>
      <c r="T2593" t="str">
        <f>IF(D2593=1,MAX($T$2:$T2592)+1,IF(S2593=S2592,$T2592,IF(D2593="x",T2592,IF(D2592="x","",""))))</f>
        <v/>
      </c>
      <c r="U2593" t="str">
        <f>IF(B2593=1,MAX($U$2:$U2592)+1,IF(AND($T2593&lt;&gt;"",$T2593=$T2592),$U2592,IF(B2593="x",U2592,"")))</f>
        <v/>
      </c>
      <c r="V2593" t="str">
        <f>IF(C2593=1,MAX($V$2:$V2592)+1,IF(AND($T2593&lt;&gt;"",$T2593=$T2592),$U2592,IF(C2593="x",V2592,"")))</f>
        <v/>
      </c>
      <c r="X2593" cm="1">
        <f t="array" ref="X2593">IF($I2593&lt;&gt;"",$I2593,INDEX($I$1:$I2593,ROW()-COUNTIFS($T$1:$T2593,"="&amp;$T2593,$S$1:$S2593,"&lt;"&amp;$S2593)))</f>
        <v>0</v>
      </c>
      <c r="Z2593" s="6">
        <f t="shared" si="366"/>
        <v>1</v>
      </c>
      <c r="AA2593" t="e">
        <f t="shared" si="367"/>
        <v>#VALUE!</v>
      </c>
      <c r="AB2593" t="str">
        <f t="shared" si="368"/>
        <v/>
      </c>
      <c r="AC2593" t="e">
        <f t="shared" si="369"/>
        <v>#VALUE!</v>
      </c>
    </row>
    <row r="2594" spans="1:29" x14ac:dyDescent="0.2">
      <c r="A2594" t="str">
        <f t="shared" si="370"/>
        <v/>
      </c>
      <c r="E2594" s="4"/>
      <c r="F2594" s="46"/>
      <c r="G2594" s="4"/>
      <c r="H2594" s="48"/>
      <c r="J2594" s="26" t="str">
        <f t="shared" si="371"/>
        <v/>
      </c>
      <c r="N2594" t="str">
        <f t="shared" si="372"/>
        <v/>
      </c>
      <c r="Q2594" t="str">
        <f t="shared" si="373"/>
        <v/>
      </c>
      <c r="S2594" t="str">
        <f>IF(A2594=1,MAX($S$2:$S2593)+1,IF(OR($I2594&lt;&gt;"",A2594="x"),$S2593,""))</f>
        <v/>
      </c>
      <c r="T2594" t="str">
        <f>IF(D2594=1,MAX($T$2:$T2593)+1,IF(S2594=S2593,$T2593,IF(D2594="x",T2593,IF(D2593="x","",""))))</f>
        <v/>
      </c>
      <c r="U2594" t="str">
        <f>IF(B2594=1,MAX($U$2:$U2593)+1,IF(AND($T2594&lt;&gt;"",$T2594=$T2593),$U2593,IF(B2594="x",U2593,"")))</f>
        <v/>
      </c>
      <c r="V2594" t="str">
        <f>IF(C2594=1,MAX($V$2:$V2593)+1,IF(AND($T2594&lt;&gt;"",$T2594=$T2593),$U2593,IF(C2594="x",V2593,"")))</f>
        <v/>
      </c>
      <c r="X2594" cm="1">
        <f t="array" ref="X2594">IF($I2594&lt;&gt;"",$I2594,INDEX($I$1:$I2594,ROW()-COUNTIFS($T$1:$T2594,"="&amp;$T2594,$S$1:$S2594,"&lt;"&amp;$S2594)))</f>
        <v>0</v>
      </c>
      <c r="Z2594" s="6">
        <f t="shared" si="366"/>
        <v>1</v>
      </c>
      <c r="AA2594" t="e">
        <f t="shared" si="367"/>
        <v>#VALUE!</v>
      </c>
      <c r="AB2594" t="str">
        <f t="shared" si="368"/>
        <v/>
      </c>
      <c r="AC2594" t="e">
        <f t="shared" si="369"/>
        <v>#VALUE!</v>
      </c>
    </row>
    <row r="2595" spans="1:29" x14ac:dyDescent="0.2">
      <c r="A2595" t="str">
        <f t="shared" si="370"/>
        <v/>
      </c>
      <c r="E2595" s="4"/>
      <c r="F2595" s="46"/>
      <c r="G2595" s="4"/>
      <c r="H2595" s="48"/>
      <c r="J2595" s="26" t="str">
        <f t="shared" si="371"/>
        <v/>
      </c>
      <c r="N2595" t="str">
        <f t="shared" si="372"/>
        <v/>
      </c>
      <c r="Q2595" t="str">
        <f t="shared" si="373"/>
        <v/>
      </c>
      <c r="S2595" t="str">
        <f>IF(A2595=1,MAX($S$2:$S2594)+1,IF(OR($I2595&lt;&gt;"",A2595="x"),$S2594,""))</f>
        <v/>
      </c>
      <c r="T2595" t="str">
        <f>IF(D2595=1,MAX($T$2:$T2594)+1,IF(S2595=S2594,$T2594,IF(D2595="x",T2594,IF(D2594="x","",""))))</f>
        <v/>
      </c>
      <c r="U2595" t="str">
        <f>IF(B2595=1,MAX($U$2:$U2594)+1,IF(AND($T2595&lt;&gt;"",$T2595=$T2594),$U2594,IF(B2595="x",U2594,"")))</f>
        <v/>
      </c>
      <c r="V2595" t="str">
        <f>IF(C2595=1,MAX($V$2:$V2594)+1,IF(AND($T2595&lt;&gt;"",$T2595=$T2594),$U2594,IF(C2595="x",V2594,"")))</f>
        <v/>
      </c>
      <c r="X2595" cm="1">
        <f t="array" ref="X2595">IF($I2595&lt;&gt;"",$I2595,INDEX($I$1:$I2595,ROW()-COUNTIFS($T$1:$T2595,"="&amp;$T2595,$S$1:$S2595,"&lt;"&amp;$S2595)))</f>
        <v>0</v>
      </c>
      <c r="Z2595" s="6">
        <f t="shared" si="366"/>
        <v>1</v>
      </c>
      <c r="AA2595" t="e">
        <f t="shared" si="367"/>
        <v>#VALUE!</v>
      </c>
      <c r="AB2595" t="str">
        <f t="shared" si="368"/>
        <v/>
      </c>
      <c r="AC2595" t="e">
        <f t="shared" si="369"/>
        <v>#VALUE!</v>
      </c>
    </row>
    <row r="2596" spans="1:29" x14ac:dyDescent="0.2">
      <c r="A2596" t="str">
        <f t="shared" si="370"/>
        <v/>
      </c>
      <c r="E2596" s="4"/>
      <c r="F2596" s="46"/>
      <c r="G2596" s="4"/>
      <c r="H2596" s="48"/>
      <c r="J2596" s="26" t="str">
        <f t="shared" si="371"/>
        <v/>
      </c>
      <c r="N2596" t="str">
        <f t="shared" si="372"/>
        <v/>
      </c>
      <c r="Q2596" t="str">
        <f t="shared" si="373"/>
        <v/>
      </c>
      <c r="S2596" t="str">
        <f>IF(A2596=1,MAX($S$2:$S2595)+1,IF(OR($I2596&lt;&gt;"",A2596="x"),$S2595,""))</f>
        <v/>
      </c>
      <c r="T2596" t="str">
        <f>IF(D2596=1,MAX($T$2:$T2595)+1,IF(S2596=S2595,$T2595,IF(D2596="x",T2595,IF(D2595="x","",""))))</f>
        <v/>
      </c>
      <c r="U2596" t="str">
        <f>IF(B2596=1,MAX($U$2:$U2595)+1,IF(AND($T2596&lt;&gt;"",$T2596=$T2595),$U2595,IF(B2596="x",U2595,"")))</f>
        <v/>
      </c>
      <c r="V2596" t="str">
        <f>IF(C2596=1,MAX($V$2:$V2595)+1,IF(AND($T2596&lt;&gt;"",$T2596=$T2595),$U2595,IF(C2596="x",V2595,"")))</f>
        <v/>
      </c>
      <c r="X2596" cm="1">
        <f t="array" ref="X2596">IF($I2596&lt;&gt;"",$I2596,INDEX($I$1:$I2596,ROW()-COUNTIFS($T$1:$T2596,"="&amp;$T2596,$S$1:$S2596,"&lt;"&amp;$S2596)))</f>
        <v>0</v>
      </c>
      <c r="Z2596" s="6">
        <f t="shared" si="366"/>
        <v>1</v>
      </c>
      <c r="AA2596" t="e">
        <f t="shared" si="367"/>
        <v>#VALUE!</v>
      </c>
      <c r="AB2596" t="str">
        <f t="shared" si="368"/>
        <v/>
      </c>
      <c r="AC2596" t="e">
        <f t="shared" si="369"/>
        <v>#VALUE!</v>
      </c>
    </row>
    <row r="2597" spans="1:29" x14ac:dyDescent="0.2">
      <c r="A2597" t="str">
        <f t="shared" si="370"/>
        <v/>
      </c>
      <c r="E2597" s="4"/>
      <c r="F2597" s="46"/>
      <c r="G2597" s="4"/>
      <c r="H2597" s="48"/>
      <c r="J2597" s="26" t="str">
        <f t="shared" si="371"/>
        <v/>
      </c>
      <c r="N2597" t="str">
        <f t="shared" si="372"/>
        <v/>
      </c>
      <c r="Q2597" t="str">
        <f t="shared" si="373"/>
        <v/>
      </c>
      <c r="S2597" t="str">
        <f>IF(A2597=1,MAX($S$2:$S2596)+1,IF(OR($I2597&lt;&gt;"",A2597="x"),$S2596,""))</f>
        <v/>
      </c>
      <c r="T2597" t="str">
        <f>IF(D2597=1,MAX($T$2:$T2596)+1,IF(S2597=S2596,$T2596,IF(D2597="x",T2596,IF(D2596="x","",""))))</f>
        <v/>
      </c>
      <c r="U2597" t="str">
        <f>IF(B2597=1,MAX($U$2:$U2596)+1,IF(AND($T2597&lt;&gt;"",$T2597=$T2596),$U2596,IF(B2597="x",U2596,"")))</f>
        <v/>
      </c>
      <c r="V2597" t="str">
        <f>IF(C2597=1,MAX($V$2:$V2596)+1,IF(AND($T2597&lt;&gt;"",$T2597=$T2596),$U2596,IF(C2597="x",V2596,"")))</f>
        <v/>
      </c>
      <c r="X2597" cm="1">
        <f t="array" ref="X2597">IF($I2597&lt;&gt;"",$I2597,INDEX($I$1:$I2597,ROW()-COUNTIFS($T$1:$T2597,"="&amp;$T2597,$S$1:$S2597,"&lt;"&amp;$S2597)))</f>
        <v>0</v>
      </c>
      <c r="Z2597" s="6">
        <f t="shared" si="366"/>
        <v>1</v>
      </c>
      <c r="AA2597" t="e">
        <f t="shared" si="367"/>
        <v>#VALUE!</v>
      </c>
      <c r="AB2597" t="str">
        <f t="shared" si="368"/>
        <v/>
      </c>
      <c r="AC2597" t="e">
        <f t="shared" si="369"/>
        <v>#VALUE!</v>
      </c>
    </row>
    <row r="2598" spans="1:29" x14ac:dyDescent="0.2">
      <c r="A2598" t="str">
        <f t="shared" si="370"/>
        <v/>
      </c>
      <c r="E2598" s="4"/>
      <c r="F2598" s="46"/>
      <c r="G2598" s="4"/>
      <c r="H2598" s="48"/>
      <c r="J2598" s="26" t="str">
        <f t="shared" si="371"/>
        <v/>
      </c>
      <c r="N2598" t="str">
        <f t="shared" si="372"/>
        <v/>
      </c>
      <c r="Q2598" t="str">
        <f t="shared" si="373"/>
        <v/>
      </c>
      <c r="S2598" t="str">
        <f>IF(A2598=1,MAX($S$2:$S2597)+1,IF(OR($I2598&lt;&gt;"",A2598="x"),$S2597,""))</f>
        <v/>
      </c>
      <c r="T2598" t="str">
        <f>IF(D2598=1,MAX($T$2:$T2597)+1,IF(S2598=S2597,$T2597,IF(D2598="x",T2597,IF(D2597="x","",""))))</f>
        <v/>
      </c>
      <c r="U2598" t="str">
        <f>IF(B2598=1,MAX($U$2:$U2597)+1,IF(AND($T2598&lt;&gt;"",$T2598=$T2597),$U2597,IF(B2598="x",U2597,"")))</f>
        <v/>
      </c>
      <c r="V2598" t="str">
        <f>IF(C2598=1,MAX($V$2:$V2597)+1,IF(AND($T2598&lt;&gt;"",$T2598=$T2597),$U2597,IF(C2598="x",V2597,"")))</f>
        <v/>
      </c>
      <c r="X2598" cm="1">
        <f t="array" ref="X2598">IF($I2598&lt;&gt;"",$I2598,INDEX($I$1:$I2598,ROW()-COUNTIFS($T$1:$T2598,"="&amp;$T2598,$S$1:$S2598,"&lt;"&amp;$S2598)))</f>
        <v>0</v>
      </c>
      <c r="Z2598" s="6">
        <f t="shared" si="366"/>
        <v>1</v>
      </c>
      <c r="AA2598" t="e">
        <f t="shared" si="367"/>
        <v>#VALUE!</v>
      </c>
      <c r="AB2598" t="str">
        <f t="shared" si="368"/>
        <v/>
      </c>
      <c r="AC2598" t="e">
        <f t="shared" si="369"/>
        <v>#VALUE!</v>
      </c>
    </row>
    <row r="2599" spans="1:29" x14ac:dyDescent="0.2">
      <c r="A2599" t="str">
        <f t="shared" si="370"/>
        <v/>
      </c>
      <c r="E2599" s="4"/>
      <c r="F2599" s="46"/>
      <c r="G2599" s="4"/>
      <c r="H2599" s="48"/>
      <c r="J2599" s="26" t="str">
        <f t="shared" si="371"/>
        <v/>
      </c>
      <c r="N2599" t="str">
        <f t="shared" si="372"/>
        <v/>
      </c>
      <c r="Q2599" t="str">
        <f t="shared" si="373"/>
        <v/>
      </c>
      <c r="S2599" t="str">
        <f>IF(A2599=1,MAX($S$2:$S2598)+1,IF(OR($I2599&lt;&gt;"",A2599="x"),$S2598,""))</f>
        <v/>
      </c>
      <c r="T2599" t="str">
        <f>IF(D2599=1,MAX($T$2:$T2598)+1,IF(S2599=S2598,$T2598,IF(D2599="x",T2598,IF(D2598="x","",""))))</f>
        <v/>
      </c>
      <c r="U2599" t="str">
        <f>IF(B2599=1,MAX($U$2:$U2598)+1,IF(AND($T2599&lt;&gt;"",$T2599=$T2598),$U2598,IF(B2599="x",U2598,"")))</f>
        <v/>
      </c>
      <c r="V2599" t="str">
        <f>IF(C2599=1,MAX($V$2:$V2598)+1,IF(AND($T2599&lt;&gt;"",$T2599=$T2598),$U2598,IF(C2599="x",V2598,"")))</f>
        <v/>
      </c>
      <c r="X2599" cm="1">
        <f t="array" ref="X2599">IF($I2599&lt;&gt;"",$I2599,INDEX($I$1:$I2599,ROW()-COUNTIFS($T$1:$T2599,"="&amp;$T2599,$S$1:$S2599,"&lt;"&amp;$S2599)))</f>
        <v>0</v>
      </c>
      <c r="Z2599" s="6">
        <f t="shared" si="366"/>
        <v>1</v>
      </c>
      <c r="AA2599" t="e">
        <f t="shared" si="367"/>
        <v>#VALUE!</v>
      </c>
      <c r="AB2599" t="str">
        <f t="shared" si="368"/>
        <v/>
      </c>
      <c r="AC2599" t="e">
        <f t="shared" si="369"/>
        <v>#VALUE!</v>
      </c>
    </row>
    <row r="2600" spans="1:29" x14ac:dyDescent="0.2">
      <c r="A2600" t="str">
        <f t="shared" si="370"/>
        <v/>
      </c>
      <c r="E2600" s="4"/>
      <c r="F2600" s="46"/>
      <c r="G2600" s="4"/>
      <c r="H2600" s="48"/>
      <c r="J2600" s="26" t="str">
        <f t="shared" si="371"/>
        <v/>
      </c>
      <c r="N2600" t="str">
        <f t="shared" si="372"/>
        <v/>
      </c>
      <c r="Q2600" t="str">
        <f t="shared" si="373"/>
        <v/>
      </c>
      <c r="S2600" t="str">
        <f>IF(A2600=1,MAX($S$2:$S2599)+1,IF(OR($I2600&lt;&gt;"",A2600="x"),$S2599,""))</f>
        <v/>
      </c>
      <c r="T2600" t="str">
        <f>IF(D2600=1,MAX($T$2:$T2599)+1,IF(S2600=S2599,$T2599,IF(D2600="x",T2599,IF(D2599="x","",""))))</f>
        <v/>
      </c>
      <c r="U2600" t="str">
        <f>IF(B2600=1,MAX($U$2:$U2599)+1,IF(AND($T2600&lt;&gt;"",$T2600=$T2599),$U2599,IF(B2600="x",U2599,"")))</f>
        <v/>
      </c>
      <c r="V2600" t="str">
        <f>IF(C2600=1,MAX($V$2:$V2599)+1,IF(AND($T2600&lt;&gt;"",$T2600=$T2599),$U2599,IF(C2600="x",V2599,"")))</f>
        <v/>
      </c>
      <c r="X2600" cm="1">
        <f t="array" ref="X2600">IF($I2600&lt;&gt;"",$I2600,INDEX($I$1:$I2600,ROW()-COUNTIFS($T$1:$T2600,"="&amp;$T2600,$S$1:$S2600,"&lt;"&amp;$S2600)))</f>
        <v>0</v>
      </c>
      <c r="Z2600" s="6">
        <f t="shared" si="366"/>
        <v>1</v>
      </c>
      <c r="AA2600" t="e">
        <f t="shared" si="367"/>
        <v>#VALUE!</v>
      </c>
      <c r="AB2600" t="str">
        <f t="shared" si="368"/>
        <v/>
      </c>
      <c r="AC2600" t="e">
        <f t="shared" si="369"/>
        <v>#VALUE!</v>
      </c>
    </row>
    <row r="2601" spans="1:29" x14ac:dyDescent="0.2">
      <c r="A2601" t="str">
        <f t="shared" si="370"/>
        <v/>
      </c>
      <c r="E2601" s="4"/>
      <c r="F2601" s="46"/>
      <c r="G2601" s="4"/>
      <c r="H2601" s="48"/>
      <c r="J2601" s="26" t="str">
        <f t="shared" si="371"/>
        <v/>
      </c>
      <c r="N2601" t="str">
        <f t="shared" si="372"/>
        <v/>
      </c>
      <c r="Q2601" t="str">
        <f t="shared" si="373"/>
        <v/>
      </c>
      <c r="S2601" t="str">
        <f>IF(A2601=1,MAX($S$2:$S2600)+1,IF(OR($I2601&lt;&gt;"",A2601="x"),$S2600,""))</f>
        <v/>
      </c>
      <c r="T2601" t="str">
        <f>IF(D2601=1,MAX($T$2:$T2600)+1,IF(S2601=S2600,$T2600,IF(D2601="x",T2600,IF(D2600="x","",""))))</f>
        <v/>
      </c>
      <c r="U2601" t="str">
        <f>IF(B2601=1,MAX($U$2:$U2600)+1,IF(AND($T2601&lt;&gt;"",$T2601=$T2600),$U2600,IF(B2601="x",U2600,"")))</f>
        <v/>
      </c>
      <c r="V2601" t="str">
        <f>IF(C2601=1,MAX($V$2:$V2600)+1,IF(AND($T2601&lt;&gt;"",$T2601=$T2600),$U2600,IF(C2601="x",V2600,"")))</f>
        <v/>
      </c>
      <c r="X2601" cm="1">
        <f t="array" ref="X2601">IF($I2601&lt;&gt;"",$I2601,INDEX($I$1:$I2601,ROW()-COUNTIFS($T$1:$T2601,"="&amp;$T2601,$S$1:$S2601,"&lt;"&amp;$S2601)))</f>
        <v>0</v>
      </c>
      <c r="Z2601" s="6">
        <f t="shared" si="366"/>
        <v>1</v>
      </c>
      <c r="AA2601" t="e">
        <f t="shared" si="367"/>
        <v>#VALUE!</v>
      </c>
      <c r="AB2601" t="str">
        <f t="shared" si="368"/>
        <v/>
      </c>
      <c r="AC2601" t="e">
        <f t="shared" si="369"/>
        <v>#VALUE!</v>
      </c>
    </row>
    <row r="2602" spans="1:29" x14ac:dyDescent="0.2">
      <c r="A2602" t="str">
        <f t="shared" si="370"/>
        <v/>
      </c>
      <c r="E2602" s="4"/>
      <c r="F2602" s="46"/>
      <c r="G2602" s="4"/>
      <c r="H2602" s="48"/>
      <c r="J2602" s="26" t="str">
        <f t="shared" si="371"/>
        <v/>
      </c>
      <c r="N2602" t="str">
        <f t="shared" si="372"/>
        <v/>
      </c>
      <c r="Q2602" t="str">
        <f t="shared" si="373"/>
        <v/>
      </c>
      <c r="S2602" t="str">
        <f>IF(A2602=1,MAX($S$2:$S2601)+1,IF(OR($I2602&lt;&gt;"",A2602="x"),$S2601,""))</f>
        <v/>
      </c>
      <c r="T2602" t="str">
        <f>IF(D2602=1,MAX($T$2:$T2601)+1,IF(S2602=S2601,$T2601,IF(D2602="x",T2601,IF(D2601="x","",""))))</f>
        <v/>
      </c>
      <c r="U2602" t="str">
        <f>IF(B2602=1,MAX($U$2:$U2601)+1,IF(AND($T2602&lt;&gt;"",$T2602=$T2601),$U2601,IF(B2602="x",U2601,"")))</f>
        <v/>
      </c>
      <c r="V2602" t="str">
        <f>IF(C2602=1,MAX($V$2:$V2601)+1,IF(AND($T2602&lt;&gt;"",$T2602=$T2601),$U2601,IF(C2602="x",V2601,"")))</f>
        <v/>
      </c>
      <c r="X2602" cm="1">
        <f t="array" ref="X2602">IF($I2602&lt;&gt;"",$I2602,INDEX($I$1:$I2602,ROW()-COUNTIFS($T$1:$T2602,"="&amp;$T2602,$S$1:$S2602,"&lt;"&amp;$S2602)))</f>
        <v>0</v>
      </c>
      <c r="Z2602" s="6">
        <f t="shared" si="366"/>
        <v>1</v>
      </c>
      <c r="AA2602" t="e">
        <f t="shared" si="367"/>
        <v>#VALUE!</v>
      </c>
      <c r="AB2602" t="str">
        <f t="shared" si="368"/>
        <v/>
      </c>
      <c r="AC2602" t="e">
        <f t="shared" si="369"/>
        <v>#VALUE!</v>
      </c>
    </row>
    <row r="2603" spans="1:29" x14ac:dyDescent="0.2">
      <c r="A2603" t="str">
        <f t="shared" si="370"/>
        <v/>
      </c>
      <c r="E2603" s="4"/>
      <c r="F2603" s="46"/>
      <c r="G2603" s="4"/>
      <c r="H2603" s="48"/>
      <c r="J2603" s="26" t="str">
        <f t="shared" si="371"/>
        <v/>
      </c>
      <c r="N2603" t="str">
        <f t="shared" si="372"/>
        <v/>
      </c>
      <c r="Q2603" t="str">
        <f t="shared" si="373"/>
        <v/>
      </c>
      <c r="S2603" t="str">
        <f>IF(A2603=1,MAX($S$2:$S2602)+1,IF(OR($I2603&lt;&gt;"",A2603="x"),$S2602,""))</f>
        <v/>
      </c>
      <c r="T2603" t="str">
        <f>IF(D2603=1,MAX($T$2:$T2602)+1,IF(S2603=S2602,$T2602,IF(D2603="x",T2602,IF(D2602="x","",""))))</f>
        <v/>
      </c>
      <c r="U2603" t="str">
        <f>IF(B2603=1,MAX($U$2:$U2602)+1,IF(AND($T2603&lt;&gt;"",$T2603=$T2602),$U2602,IF(B2603="x",U2602,"")))</f>
        <v/>
      </c>
      <c r="V2603" t="str">
        <f>IF(C2603=1,MAX($V$2:$V2602)+1,IF(AND($T2603&lt;&gt;"",$T2603=$T2602),$U2602,IF(C2603="x",V2602,"")))</f>
        <v/>
      </c>
      <c r="X2603" cm="1">
        <f t="array" ref="X2603">IF($I2603&lt;&gt;"",$I2603,INDEX($I$1:$I2603,ROW()-COUNTIFS($T$1:$T2603,"="&amp;$T2603,$S$1:$S2603,"&lt;"&amp;$S2603)))</f>
        <v>0</v>
      </c>
      <c r="Z2603" s="6">
        <f t="shared" si="366"/>
        <v>1</v>
      </c>
      <c r="AA2603" t="e">
        <f t="shared" si="367"/>
        <v>#VALUE!</v>
      </c>
      <c r="AB2603" t="str">
        <f t="shared" si="368"/>
        <v/>
      </c>
      <c r="AC2603" t="e">
        <f t="shared" si="369"/>
        <v>#VALUE!</v>
      </c>
    </row>
    <row r="2604" spans="1:29" x14ac:dyDescent="0.2">
      <c r="A2604" t="str">
        <f t="shared" si="370"/>
        <v/>
      </c>
      <c r="E2604" s="4"/>
      <c r="F2604" s="46"/>
      <c r="G2604" s="4"/>
      <c r="H2604" s="48"/>
      <c r="J2604" s="26" t="str">
        <f t="shared" si="371"/>
        <v/>
      </c>
      <c r="N2604" t="str">
        <f t="shared" si="372"/>
        <v/>
      </c>
      <c r="Q2604" t="str">
        <f t="shared" si="373"/>
        <v/>
      </c>
      <c r="S2604" t="str">
        <f>IF(A2604=1,MAX($S$2:$S2603)+1,IF(OR($I2604&lt;&gt;"",A2604="x"),$S2603,""))</f>
        <v/>
      </c>
      <c r="T2604" t="str">
        <f>IF(D2604=1,MAX($T$2:$T2603)+1,IF(S2604=S2603,$T2603,IF(D2604="x",T2603,IF(D2603="x","",""))))</f>
        <v/>
      </c>
      <c r="U2604" t="str">
        <f>IF(B2604=1,MAX($U$2:$U2603)+1,IF(AND($T2604&lt;&gt;"",$T2604=$T2603),$U2603,IF(B2604="x",U2603,"")))</f>
        <v/>
      </c>
      <c r="V2604" t="str">
        <f>IF(C2604=1,MAX($V$2:$V2603)+1,IF(AND($T2604&lt;&gt;"",$T2604=$T2603),$U2603,IF(C2604="x",V2603,"")))</f>
        <v/>
      </c>
      <c r="X2604" cm="1">
        <f t="array" ref="X2604">IF($I2604&lt;&gt;"",$I2604,INDEX($I$1:$I2604,ROW()-COUNTIFS($T$1:$T2604,"="&amp;$T2604,$S$1:$S2604,"&lt;"&amp;$S2604)))</f>
        <v>0</v>
      </c>
      <c r="Z2604" s="6">
        <f t="shared" si="366"/>
        <v>1</v>
      </c>
      <c r="AA2604" t="e">
        <f t="shared" si="367"/>
        <v>#VALUE!</v>
      </c>
      <c r="AB2604" t="str">
        <f t="shared" si="368"/>
        <v/>
      </c>
      <c r="AC2604" t="e">
        <f t="shared" si="369"/>
        <v>#VALUE!</v>
      </c>
    </row>
    <row r="2605" spans="1:29" x14ac:dyDescent="0.2">
      <c r="A2605" t="str">
        <f t="shared" si="370"/>
        <v/>
      </c>
      <c r="E2605" s="4"/>
      <c r="F2605" s="46"/>
      <c r="G2605" s="4"/>
      <c r="H2605" s="48"/>
      <c r="J2605" s="26" t="str">
        <f t="shared" si="371"/>
        <v/>
      </c>
      <c r="N2605" t="str">
        <f t="shared" si="372"/>
        <v/>
      </c>
      <c r="Q2605" t="str">
        <f t="shared" si="373"/>
        <v/>
      </c>
      <c r="S2605" t="str">
        <f>IF(A2605=1,MAX($S$2:$S2604)+1,IF(OR($I2605&lt;&gt;"",A2605="x"),$S2604,""))</f>
        <v/>
      </c>
      <c r="T2605" t="str">
        <f>IF(D2605=1,MAX($T$2:$T2604)+1,IF(S2605=S2604,$T2604,IF(D2605="x",T2604,IF(D2604="x","",""))))</f>
        <v/>
      </c>
      <c r="U2605" t="str">
        <f>IF(B2605=1,MAX($U$2:$U2604)+1,IF(AND($T2605&lt;&gt;"",$T2605=$T2604),$U2604,IF(B2605="x",U2604,"")))</f>
        <v/>
      </c>
      <c r="V2605" t="str">
        <f>IF(C2605=1,MAX($V$2:$V2604)+1,IF(AND($T2605&lt;&gt;"",$T2605=$T2604),$U2604,IF(C2605="x",V2604,"")))</f>
        <v/>
      </c>
      <c r="X2605" cm="1">
        <f t="array" ref="X2605">IF($I2605&lt;&gt;"",$I2605,INDEX($I$1:$I2605,ROW()-COUNTIFS($T$1:$T2605,"="&amp;$T2605,$S$1:$S2605,"&lt;"&amp;$S2605)))</f>
        <v>0</v>
      </c>
      <c r="Z2605" s="6">
        <f t="shared" si="366"/>
        <v>1</v>
      </c>
      <c r="AA2605" t="e">
        <f t="shared" si="367"/>
        <v>#VALUE!</v>
      </c>
      <c r="AB2605" t="str">
        <f t="shared" si="368"/>
        <v/>
      </c>
      <c r="AC2605" t="e">
        <f t="shared" si="369"/>
        <v>#VALUE!</v>
      </c>
    </row>
    <row r="2606" spans="1:29" x14ac:dyDescent="0.2">
      <c r="A2606" t="str">
        <f t="shared" si="370"/>
        <v/>
      </c>
      <c r="E2606" s="4"/>
      <c r="F2606" s="46"/>
      <c r="G2606" s="4"/>
      <c r="H2606" s="48"/>
      <c r="J2606" s="26" t="str">
        <f t="shared" si="371"/>
        <v/>
      </c>
      <c r="N2606" t="str">
        <f t="shared" si="372"/>
        <v/>
      </c>
      <c r="Q2606" t="str">
        <f t="shared" si="373"/>
        <v/>
      </c>
      <c r="S2606" t="str">
        <f>IF(A2606=1,MAX($S$2:$S2605)+1,IF(OR($I2606&lt;&gt;"",A2606="x"),$S2605,""))</f>
        <v/>
      </c>
      <c r="T2606" t="str">
        <f>IF(D2606=1,MAX($T$2:$T2605)+1,IF(S2606=S2605,$T2605,IF(D2606="x",T2605,IF(D2605="x","",""))))</f>
        <v/>
      </c>
      <c r="U2606" t="str">
        <f>IF(B2606=1,MAX($U$2:$U2605)+1,IF(AND($T2606&lt;&gt;"",$T2606=$T2605),$U2605,IF(B2606="x",U2605,"")))</f>
        <v/>
      </c>
      <c r="V2606" t="str">
        <f>IF(C2606=1,MAX($V$2:$V2605)+1,IF(AND($T2606&lt;&gt;"",$T2606=$T2605),$U2605,IF(C2606="x",V2605,"")))</f>
        <v/>
      </c>
      <c r="X2606" cm="1">
        <f t="array" ref="X2606">IF($I2606&lt;&gt;"",$I2606,INDEX($I$1:$I2606,ROW()-COUNTIFS($T$1:$T2606,"="&amp;$T2606,$S$1:$S2606,"&lt;"&amp;$S2606)))</f>
        <v>0</v>
      </c>
      <c r="Z2606" s="6">
        <f t="shared" si="366"/>
        <v>1</v>
      </c>
      <c r="AA2606" t="e">
        <f t="shared" si="367"/>
        <v>#VALUE!</v>
      </c>
      <c r="AB2606" t="str">
        <f t="shared" si="368"/>
        <v/>
      </c>
      <c r="AC2606" t="e">
        <f t="shared" si="369"/>
        <v>#VALUE!</v>
      </c>
    </row>
    <row r="2607" spans="1:29" x14ac:dyDescent="0.2">
      <c r="A2607" t="str">
        <f t="shared" si="370"/>
        <v/>
      </c>
      <c r="E2607" s="4"/>
      <c r="F2607" s="46"/>
      <c r="G2607" s="4"/>
      <c r="H2607" s="48"/>
      <c r="J2607" s="26" t="str">
        <f t="shared" si="371"/>
        <v/>
      </c>
      <c r="N2607" t="str">
        <f t="shared" si="372"/>
        <v/>
      </c>
      <c r="Q2607" t="str">
        <f t="shared" si="373"/>
        <v/>
      </c>
      <c r="S2607" t="str">
        <f>IF(A2607=1,MAX($S$2:$S2606)+1,IF(OR($I2607&lt;&gt;"",A2607="x"),$S2606,""))</f>
        <v/>
      </c>
      <c r="T2607" t="str">
        <f>IF(D2607=1,MAX($T$2:$T2606)+1,IF(S2607=S2606,$T2606,IF(D2607="x",T2606,IF(D2606="x","",""))))</f>
        <v/>
      </c>
      <c r="U2607" t="str">
        <f>IF(B2607=1,MAX($U$2:$U2606)+1,IF(AND($T2607&lt;&gt;"",$T2607=$T2606),$U2606,IF(B2607="x",U2606,"")))</f>
        <v/>
      </c>
      <c r="V2607" t="str">
        <f>IF(C2607=1,MAX($V$2:$V2606)+1,IF(AND($T2607&lt;&gt;"",$T2607=$T2606),$U2606,IF(C2607="x",V2606,"")))</f>
        <v/>
      </c>
      <c r="X2607" cm="1">
        <f t="array" ref="X2607">IF($I2607&lt;&gt;"",$I2607,INDEX($I$1:$I2607,ROW()-COUNTIFS($T$1:$T2607,"="&amp;$T2607,$S$1:$S2607,"&lt;"&amp;$S2607)))</f>
        <v>0</v>
      </c>
      <c r="Z2607" s="6">
        <f t="shared" si="366"/>
        <v>1</v>
      </c>
      <c r="AA2607" t="e">
        <f t="shared" si="367"/>
        <v>#VALUE!</v>
      </c>
      <c r="AB2607" t="str">
        <f t="shared" si="368"/>
        <v/>
      </c>
      <c r="AC2607" t="e">
        <f t="shared" si="369"/>
        <v>#VALUE!</v>
      </c>
    </row>
    <row r="2608" spans="1:29" x14ac:dyDescent="0.2">
      <c r="A2608" t="str">
        <f t="shared" si="370"/>
        <v/>
      </c>
      <c r="E2608" s="4"/>
      <c r="F2608" s="46"/>
      <c r="G2608" s="4"/>
      <c r="H2608" s="48"/>
      <c r="J2608" s="26" t="str">
        <f t="shared" si="371"/>
        <v/>
      </c>
      <c r="N2608" t="str">
        <f t="shared" si="372"/>
        <v/>
      </c>
      <c r="Q2608" t="str">
        <f t="shared" si="373"/>
        <v/>
      </c>
      <c r="S2608" t="str">
        <f>IF(A2608=1,MAX($S$2:$S2607)+1,IF(OR($I2608&lt;&gt;"",A2608="x"),$S2607,""))</f>
        <v/>
      </c>
      <c r="T2608" t="str">
        <f>IF(D2608=1,MAX($T$2:$T2607)+1,IF(S2608=S2607,$T2607,IF(D2608="x",T2607,IF(D2607="x","",""))))</f>
        <v/>
      </c>
      <c r="U2608" t="str">
        <f>IF(B2608=1,MAX($U$2:$U2607)+1,IF(AND($T2608&lt;&gt;"",$T2608=$T2607),$U2607,IF(B2608="x",U2607,"")))</f>
        <v/>
      </c>
      <c r="V2608" t="str">
        <f>IF(C2608=1,MAX($V$2:$V2607)+1,IF(AND($T2608&lt;&gt;"",$T2608=$T2607),$U2607,IF(C2608="x",V2607,"")))</f>
        <v/>
      </c>
      <c r="X2608" cm="1">
        <f t="array" ref="X2608">IF($I2608&lt;&gt;"",$I2608,INDEX($I$1:$I2608,ROW()-COUNTIFS($T$1:$T2608,"="&amp;$T2608,$S$1:$S2608,"&lt;"&amp;$S2608)))</f>
        <v>0</v>
      </c>
      <c r="Z2608" s="6">
        <f t="shared" si="366"/>
        <v>1</v>
      </c>
      <c r="AA2608" t="e">
        <f t="shared" si="367"/>
        <v>#VALUE!</v>
      </c>
      <c r="AB2608" t="str">
        <f t="shared" si="368"/>
        <v/>
      </c>
      <c r="AC2608" t="e">
        <f t="shared" si="369"/>
        <v>#VALUE!</v>
      </c>
    </row>
    <row r="2609" spans="1:29" x14ac:dyDescent="0.2">
      <c r="A2609" t="str">
        <f t="shared" si="370"/>
        <v/>
      </c>
      <c r="E2609" s="4"/>
      <c r="F2609" s="46"/>
      <c r="G2609" s="4"/>
      <c r="H2609" s="48"/>
      <c r="J2609" s="26" t="str">
        <f t="shared" si="371"/>
        <v/>
      </c>
      <c r="N2609" t="str">
        <f t="shared" si="372"/>
        <v/>
      </c>
      <c r="Q2609" t="str">
        <f t="shared" si="373"/>
        <v/>
      </c>
      <c r="S2609" t="str">
        <f>IF(A2609=1,MAX($S$2:$S2608)+1,IF(OR($I2609&lt;&gt;"",A2609="x"),$S2608,""))</f>
        <v/>
      </c>
      <c r="T2609" t="str">
        <f>IF(D2609=1,MAX($T$2:$T2608)+1,IF(S2609=S2608,$T2608,IF(D2609="x",T2608,IF(D2608="x","",""))))</f>
        <v/>
      </c>
      <c r="U2609" t="str">
        <f>IF(B2609=1,MAX($U$2:$U2608)+1,IF(AND($T2609&lt;&gt;"",$T2609=$T2608),$U2608,IF(B2609="x",U2608,"")))</f>
        <v/>
      </c>
      <c r="V2609" t="str">
        <f>IF(C2609=1,MAX($V$2:$V2608)+1,IF(AND($T2609&lt;&gt;"",$T2609=$T2608),$U2608,IF(C2609="x",V2608,"")))</f>
        <v/>
      </c>
      <c r="X2609" cm="1">
        <f t="array" ref="X2609">IF($I2609&lt;&gt;"",$I2609,INDEX($I$1:$I2609,ROW()-COUNTIFS($T$1:$T2609,"="&amp;$T2609,$S$1:$S2609,"&lt;"&amp;$S2609)))</f>
        <v>0</v>
      </c>
      <c r="Z2609" s="6">
        <f t="shared" si="366"/>
        <v>1</v>
      </c>
      <c r="AA2609" t="e">
        <f t="shared" si="367"/>
        <v>#VALUE!</v>
      </c>
      <c r="AB2609" t="str">
        <f t="shared" si="368"/>
        <v/>
      </c>
      <c r="AC2609" t="e">
        <f t="shared" si="369"/>
        <v>#VALUE!</v>
      </c>
    </row>
    <row r="2610" spans="1:29" x14ac:dyDescent="0.2">
      <c r="A2610" t="str">
        <f t="shared" si="370"/>
        <v/>
      </c>
      <c r="E2610" s="4"/>
      <c r="F2610" s="46"/>
      <c r="G2610" s="4"/>
      <c r="H2610" s="48"/>
      <c r="J2610" s="26" t="str">
        <f t="shared" si="371"/>
        <v/>
      </c>
      <c r="N2610" t="str">
        <f t="shared" si="372"/>
        <v/>
      </c>
      <c r="Q2610" t="str">
        <f t="shared" si="373"/>
        <v/>
      </c>
      <c r="S2610" t="str">
        <f>IF(A2610=1,MAX($S$2:$S2609)+1,IF(OR($I2610&lt;&gt;"",A2610="x"),$S2609,""))</f>
        <v/>
      </c>
      <c r="T2610" t="str">
        <f>IF(D2610=1,MAX($T$2:$T2609)+1,IF(S2610=S2609,$T2609,IF(D2610="x",T2609,IF(D2609="x","",""))))</f>
        <v/>
      </c>
      <c r="U2610" t="str">
        <f>IF(B2610=1,MAX($U$2:$U2609)+1,IF(AND($T2610&lt;&gt;"",$T2610=$T2609),$U2609,IF(B2610="x",U2609,"")))</f>
        <v/>
      </c>
      <c r="V2610" t="str">
        <f>IF(C2610=1,MAX($V$2:$V2609)+1,IF(AND($T2610&lt;&gt;"",$T2610=$T2609),$U2609,IF(C2610="x",V2609,"")))</f>
        <v/>
      </c>
      <c r="X2610" cm="1">
        <f t="array" ref="X2610">IF($I2610&lt;&gt;"",$I2610,INDEX($I$1:$I2610,ROW()-COUNTIFS($T$1:$T2610,"="&amp;$T2610,$S$1:$S2610,"&lt;"&amp;$S2610)))</f>
        <v>0</v>
      </c>
      <c r="Z2610" s="6">
        <f t="shared" si="366"/>
        <v>1</v>
      </c>
      <c r="AA2610" t="e">
        <f t="shared" si="367"/>
        <v>#VALUE!</v>
      </c>
      <c r="AB2610" t="str">
        <f t="shared" si="368"/>
        <v/>
      </c>
      <c r="AC2610" t="e">
        <f t="shared" si="369"/>
        <v>#VALUE!</v>
      </c>
    </row>
    <row r="2611" spans="1:29" x14ac:dyDescent="0.2">
      <c r="A2611" t="str">
        <f t="shared" si="370"/>
        <v/>
      </c>
      <c r="E2611" s="4"/>
      <c r="F2611" s="46"/>
      <c r="G2611" s="4"/>
      <c r="H2611" s="48"/>
      <c r="J2611" s="26" t="str">
        <f t="shared" si="371"/>
        <v/>
      </c>
      <c r="N2611" t="str">
        <f t="shared" si="372"/>
        <v/>
      </c>
      <c r="Q2611" t="str">
        <f t="shared" si="373"/>
        <v/>
      </c>
      <c r="S2611" t="str">
        <f>IF(A2611=1,MAX($S$2:$S2610)+1,IF(OR($I2611&lt;&gt;"",A2611="x"),$S2610,""))</f>
        <v/>
      </c>
      <c r="T2611" t="str">
        <f>IF(D2611=1,MAX($T$2:$T2610)+1,IF(S2611=S2610,$T2610,IF(D2611="x",T2610,IF(D2610="x","",""))))</f>
        <v/>
      </c>
      <c r="U2611" t="str">
        <f>IF(B2611=1,MAX($U$2:$U2610)+1,IF(AND($T2611&lt;&gt;"",$T2611=$T2610),$U2610,IF(B2611="x",U2610,"")))</f>
        <v/>
      </c>
      <c r="V2611" t="str">
        <f>IF(C2611=1,MAX($V$2:$V2610)+1,IF(AND($T2611&lt;&gt;"",$T2611=$T2610),$U2610,IF(C2611="x",V2610,"")))</f>
        <v/>
      </c>
      <c r="X2611" cm="1">
        <f t="array" ref="X2611">IF($I2611&lt;&gt;"",$I2611,INDEX($I$1:$I2611,ROW()-COUNTIFS($T$1:$T2611,"="&amp;$T2611,$S$1:$S2611,"&lt;"&amp;$S2611)))</f>
        <v>0</v>
      </c>
      <c r="Z2611" s="6">
        <f t="shared" si="366"/>
        <v>1</v>
      </c>
      <c r="AA2611" t="e">
        <f t="shared" si="367"/>
        <v>#VALUE!</v>
      </c>
      <c r="AB2611" t="str">
        <f t="shared" si="368"/>
        <v/>
      </c>
      <c r="AC2611" t="e">
        <f t="shared" si="369"/>
        <v>#VALUE!</v>
      </c>
    </row>
    <row r="2612" spans="1:29" x14ac:dyDescent="0.2">
      <c r="A2612" t="str">
        <f t="shared" si="370"/>
        <v/>
      </c>
      <c r="E2612" s="4"/>
      <c r="F2612" s="46"/>
      <c r="G2612" s="4"/>
      <c r="H2612" s="48"/>
      <c r="J2612" s="26" t="str">
        <f t="shared" si="371"/>
        <v/>
      </c>
      <c r="N2612" t="str">
        <f t="shared" si="372"/>
        <v/>
      </c>
      <c r="Q2612" t="str">
        <f t="shared" si="373"/>
        <v/>
      </c>
      <c r="S2612" t="str">
        <f>IF(A2612=1,MAX($S$2:$S2611)+1,IF(OR($I2612&lt;&gt;"",A2612="x"),$S2611,""))</f>
        <v/>
      </c>
      <c r="T2612" t="str">
        <f>IF(D2612=1,MAX($T$2:$T2611)+1,IF(S2612=S2611,$T2611,IF(D2612="x",T2611,IF(D2611="x","",""))))</f>
        <v/>
      </c>
      <c r="U2612" t="str">
        <f>IF(B2612=1,MAX($U$2:$U2611)+1,IF(AND($T2612&lt;&gt;"",$T2612=$T2611),$U2611,IF(B2612="x",U2611,"")))</f>
        <v/>
      </c>
      <c r="V2612" t="str">
        <f>IF(C2612=1,MAX($V$2:$V2611)+1,IF(AND($T2612&lt;&gt;"",$T2612=$T2611),$U2611,IF(C2612="x",V2611,"")))</f>
        <v/>
      </c>
      <c r="X2612" cm="1">
        <f t="array" ref="X2612">IF($I2612&lt;&gt;"",$I2612,INDEX($I$1:$I2612,ROW()-COUNTIFS($T$1:$T2612,"="&amp;$T2612,$S$1:$S2612,"&lt;"&amp;$S2612)))</f>
        <v>0</v>
      </c>
      <c r="Z2612" s="6">
        <f t="shared" si="366"/>
        <v>1</v>
      </c>
      <c r="AA2612" t="e">
        <f t="shared" si="367"/>
        <v>#VALUE!</v>
      </c>
      <c r="AB2612" t="str">
        <f t="shared" si="368"/>
        <v/>
      </c>
      <c r="AC2612" t="e">
        <f t="shared" si="369"/>
        <v>#VALUE!</v>
      </c>
    </row>
    <row r="2613" spans="1:29" x14ac:dyDescent="0.2">
      <c r="A2613" t="str">
        <f t="shared" si="370"/>
        <v/>
      </c>
      <c r="E2613" s="4"/>
      <c r="F2613" s="46"/>
      <c r="G2613" s="4"/>
      <c r="H2613" s="48"/>
      <c r="J2613" s="26" t="str">
        <f t="shared" si="371"/>
        <v/>
      </c>
      <c r="N2613" t="str">
        <f t="shared" si="372"/>
        <v/>
      </c>
      <c r="Q2613" t="str">
        <f t="shared" si="373"/>
        <v/>
      </c>
      <c r="S2613" t="str">
        <f>IF(A2613=1,MAX($S$2:$S2612)+1,IF(OR($I2613&lt;&gt;"",A2613="x"),$S2612,""))</f>
        <v/>
      </c>
      <c r="T2613" t="str">
        <f>IF(D2613=1,MAX($T$2:$T2612)+1,IF(S2613=S2612,$T2612,IF(D2613="x",T2612,IF(D2612="x","",""))))</f>
        <v/>
      </c>
      <c r="U2613" t="str">
        <f>IF(B2613=1,MAX($U$2:$U2612)+1,IF(AND($T2613&lt;&gt;"",$T2613=$T2612),$U2612,IF(B2613="x",U2612,"")))</f>
        <v/>
      </c>
      <c r="V2613" t="str">
        <f>IF(C2613=1,MAX($V$2:$V2612)+1,IF(AND($T2613&lt;&gt;"",$T2613=$T2612),$U2612,IF(C2613="x",V2612,"")))</f>
        <v/>
      </c>
      <c r="X2613" cm="1">
        <f t="array" ref="X2613">IF($I2613&lt;&gt;"",$I2613,INDEX($I$1:$I2613,ROW()-COUNTIFS($T$1:$T2613,"="&amp;$T2613,$S$1:$S2613,"&lt;"&amp;$S2613)))</f>
        <v>0</v>
      </c>
      <c r="Z2613" s="6">
        <f t="shared" si="366"/>
        <v>1</v>
      </c>
      <c r="AA2613" t="e">
        <f t="shared" si="367"/>
        <v>#VALUE!</v>
      </c>
      <c r="AB2613" t="str">
        <f t="shared" si="368"/>
        <v/>
      </c>
      <c r="AC2613" t="e">
        <f t="shared" si="369"/>
        <v>#VALUE!</v>
      </c>
    </row>
    <row r="2614" spans="1:29" x14ac:dyDescent="0.2">
      <c r="A2614" t="str">
        <f t="shared" si="370"/>
        <v/>
      </c>
      <c r="E2614" s="4"/>
      <c r="F2614" s="46"/>
      <c r="G2614" s="4"/>
      <c r="H2614" s="48"/>
      <c r="J2614" s="26" t="str">
        <f t="shared" si="371"/>
        <v/>
      </c>
      <c r="N2614" t="str">
        <f t="shared" si="372"/>
        <v/>
      </c>
      <c r="Q2614" t="str">
        <f t="shared" si="373"/>
        <v/>
      </c>
      <c r="S2614" t="str">
        <f>IF(A2614=1,MAX($S$2:$S2613)+1,IF(OR($I2614&lt;&gt;"",A2614="x"),$S2613,""))</f>
        <v/>
      </c>
      <c r="T2614" t="str">
        <f>IF(D2614=1,MAX($T$2:$T2613)+1,IF(S2614=S2613,$T2613,IF(D2614="x",T2613,IF(D2613="x","",""))))</f>
        <v/>
      </c>
      <c r="U2614" t="str">
        <f>IF(B2614=1,MAX($U$2:$U2613)+1,IF(AND($T2614&lt;&gt;"",$T2614=$T2613),$U2613,IF(B2614="x",U2613,"")))</f>
        <v/>
      </c>
      <c r="V2614" t="str">
        <f>IF(C2614=1,MAX($V$2:$V2613)+1,IF(AND($T2614&lt;&gt;"",$T2614=$T2613),$U2613,IF(C2614="x",V2613,"")))</f>
        <v/>
      </c>
      <c r="X2614" cm="1">
        <f t="array" ref="X2614">IF($I2614&lt;&gt;"",$I2614,INDEX($I$1:$I2614,ROW()-COUNTIFS($T$1:$T2614,"="&amp;$T2614,$S$1:$S2614,"&lt;"&amp;$S2614)))</f>
        <v>0</v>
      </c>
      <c r="Z2614" s="6">
        <f t="shared" si="366"/>
        <v>1</v>
      </c>
      <c r="AA2614" t="e">
        <f t="shared" si="367"/>
        <v>#VALUE!</v>
      </c>
      <c r="AB2614" t="str">
        <f t="shared" si="368"/>
        <v/>
      </c>
      <c r="AC2614" t="e">
        <f t="shared" si="369"/>
        <v>#VALUE!</v>
      </c>
    </row>
    <row r="2615" spans="1:29" x14ac:dyDescent="0.2">
      <c r="A2615" t="str">
        <f t="shared" si="370"/>
        <v/>
      </c>
      <c r="E2615" s="4"/>
      <c r="F2615" s="46"/>
      <c r="G2615" s="4"/>
      <c r="H2615" s="48"/>
      <c r="J2615" s="26" t="str">
        <f t="shared" si="371"/>
        <v/>
      </c>
      <c r="N2615" t="str">
        <f t="shared" si="372"/>
        <v/>
      </c>
      <c r="Q2615" t="str">
        <f t="shared" si="373"/>
        <v/>
      </c>
      <c r="S2615" t="str">
        <f>IF(A2615=1,MAX($S$2:$S2614)+1,IF(OR($I2615&lt;&gt;"",A2615="x"),$S2614,""))</f>
        <v/>
      </c>
      <c r="T2615" t="str">
        <f>IF(D2615=1,MAX($T$2:$T2614)+1,IF(S2615=S2614,$T2614,IF(D2615="x",T2614,IF(D2614="x","",""))))</f>
        <v/>
      </c>
      <c r="U2615" t="str">
        <f>IF(B2615=1,MAX($U$2:$U2614)+1,IF(AND($T2615&lt;&gt;"",$T2615=$T2614),$U2614,IF(B2615="x",U2614,"")))</f>
        <v/>
      </c>
      <c r="V2615" t="str">
        <f>IF(C2615=1,MAX($V$2:$V2614)+1,IF(AND($T2615&lt;&gt;"",$T2615=$T2614),$U2614,IF(C2615="x",V2614,"")))</f>
        <v/>
      </c>
      <c r="X2615" cm="1">
        <f t="array" ref="X2615">IF($I2615&lt;&gt;"",$I2615,INDEX($I$1:$I2615,ROW()-COUNTIFS($T$1:$T2615,"="&amp;$T2615,$S$1:$S2615,"&lt;"&amp;$S2615)))</f>
        <v>0</v>
      </c>
      <c r="Z2615" s="6">
        <f t="shared" si="366"/>
        <v>1</v>
      </c>
      <c r="AA2615" t="e">
        <f t="shared" si="367"/>
        <v>#VALUE!</v>
      </c>
      <c r="AB2615" t="str">
        <f t="shared" si="368"/>
        <v/>
      </c>
      <c r="AC2615" t="e">
        <f t="shared" si="369"/>
        <v>#VALUE!</v>
      </c>
    </row>
    <row r="2616" spans="1:29" x14ac:dyDescent="0.2">
      <c r="A2616" t="str">
        <f t="shared" si="370"/>
        <v/>
      </c>
      <c r="E2616" s="4"/>
      <c r="F2616" s="46"/>
      <c r="G2616" s="4"/>
      <c r="H2616" s="48"/>
      <c r="J2616" s="26" t="str">
        <f t="shared" si="371"/>
        <v/>
      </c>
      <c r="N2616" t="str">
        <f t="shared" si="372"/>
        <v/>
      </c>
      <c r="Q2616" t="str">
        <f t="shared" si="373"/>
        <v/>
      </c>
      <c r="S2616" t="str">
        <f>IF(A2616=1,MAX($S$2:$S2615)+1,IF(OR($I2616&lt;&gt;"",A2616="x"),$S2615,""))</f>
        <v/>
      </c>
      <c r="T2616" t="str">
        <f>IF(D2616=1,MAX($T$2:$T2615)+1,IF(S2616=S2615,$T2615,IF(D2616="x",T2615,IF(D2615="x","",""))))</f>
        <v/>
      </c>
      <c r="U2616" t="str">
        <f>IF(B2616=1,MAX($U$2:$U2615)+1,IF(AND($T2616&lt;&gt;"",$T2616=$T2615),$U2615,IF(B2616="x",U2615,"")))</f>
        <v/>
      </c>
      <c r="V2616" t="str">
        <f>IF(C2616=1,MAX($V$2:$V2615)+1,IF(AND($T2616&lt;&gt;"",$T2616=$T2615),$U2615,IF(C2616="x",V2615,"")))</f>
        <v/>
      </c>
      <c r="X2616" cm="1">
        <f t="array" ref="X2616">IF($I2616&lt;&gt;"",$I2616,INDEX($I$1:$I2616,ROW()-COUNTIFS($T$1:$T2616,"="&amp;$T2616,$S$1:$S2616,"&lt;"&amp;$S2616)))</f>
        <v>0</v>
      </c>
      <c r="Z2616" s="6">
        <f t="shared" si="366"/>
        <v>1</v>
      </c>
      <c r="AA2616" t="e">
        <f t="shared" si="367"/>
        <v>#VALUE!</v>
      </c>
      <c r="AB2616" t="str">
        <f t="shared" si="368"/>
        <v/>
      </c>
      <c r="AC2616" t="e">
        <f t="shared" si="369"/>
        <v>#VALUE!</v>
      </c>
    </row>
    <row r="2617" spans="1:29" x14ac:dyDescent="0.2">
      <c r="A2617" t="str">
        <f t="shared" si="370"/>
        <v/>
      </c>
      <c r="E2617" s="4"/>
      <c r="F2617" s="46"/>
      <c r="G2617" s="4"/>
      <c r="H2617" s="48"/>
      <c r="J2617" s="26" t="str">
        <f t="shared" si="371"/>
        <v/>
      </c>
      <c r="N2617" t="str">
        <f t="shared" si="372"/>
        <v/>
      </c>
      <c r="Q2617" t="str">
        <f t="shared" si="373"/>
        <v/>
      </c>
      <c r="S2617" t="str">
        <f>IF(A2617=1,MAX($S$2:$S2616)+1,IF(OR($I2617&lt;&gt;"",A2617="x"),$S2616,""))</f>
        <v/>
      </c>
      <c r="T2617" t="str">
        <f>IF(D2617=1,MAX($T$2:$T2616)+1,IF(S2617=S2616,$T2616,IF(D2617="x",T2616,IF(D2616="x","",""))))</f>
        <v/>
      </c>
      <c r="U2617" t="str">
        <f>IF(B2617=1,MAX($U$2:$U2616)+1,IF(AND($T2617&lt;&gt;"",$T2617=$T2616),$U2616,IF(B2617="x",U2616,"")))</f>
        <v/>
      </c>
      <c r="V2617" t="str">
        <f>IF(C2617=1,MAX($V$2:$V2616)+1,IF(AND($T2617&lt;&gt;"",$T2617=$T2616),$U2616,IF(C2617="x",V2616,"")))</f>
        <v/>
      </c>
      <c r="X2617" cm="1">
        <f t="array" ref="X2617">IF($I2617&lt;&gt;"",$I2617,INDEX($I$1:$I2617,ROW()-COUNTIFS($T$1:$T2617,"="&amp;$T2617,$S$1:$S2617,"&lt;"&amp;$S2617)))</f>
        <v>0</v>
      </c>
      <c r="Z2617" s="6">
        <f t="shared" si="366"/>
        <v>1</v>
      </c>
      <c r="AA2617" t="e">
        <f t="shared" si="367"/>
        <v>#VALUE!</v>
      </c>
      <c r="AB2617" t="str">
        <f t="shared" si="368"/>
        <v/>
      </c>
      <c r="AC2617" t="e">
        <f t="shared" si="369"/>
        <v>#VALUE!</v>
      </c>
    </row>
    <row r="2618" spans="1:29" x14ac:dyDescent="0.2">
      <c r="A2618" t="str">
        <f t="shared" si="370"/>
        <v/>
      </c>
      <c r="E2618" s="4"/>
      <c r="F2618" s="46"/>
      <c r="G2618" s="4"/>
      <c r="H2618" s="48"/>
      <c r="J2618" s="26" t="str">
        <f t="shared" si="371"/>
        <v/>
      </c>
      <c r="N2618" t="str">
        <f t="shared" si="372"/>
        <v/>
      </c>
      <c r="Q2618" t="str">
        <f t="shared" si="373"/>
        <v/>
      </c>
      <c r="S2618" t="str">
        <f>IF(A2618=1,MAX($S$2:$S2617)+1,IF(OR($I2618&lt;&gt;"",A2618="x"),$S2617,""))</f>
        <v/>
      </c>
      <c r="T2618" t="str">
        <f>IF(D2618=1,MAX($T$2:$T2617)+1,IF(S2618=S2617,$T2617,IF(D2618="x",T2617,IF(D2617="x","",""))))</f>
        <v/>
      </c>
      <c r="U2618" t="str">
        <f>IF(B2618=1,MAX($U$2:$U2617)+1,IF(AND($T2618&lt;&gt;"",$T2618=$T2617),$U2617,IF(B2618="x",U2617,"")))</f>
        <v/>
      </c>
      <c r="V2618" t="str">
        <f>IF(C2618=1,MAX($V$2:$V2617)+1,IF(AND($T2618&lt;&gt;"",$T2618=$T2617),$U2617,IF(C2618="x",V2617,"")))</f>
        <v/>
      </c>
      <c r="X2618" cm="1">
        <f t="array" ref="X2618">IF($I2618&lt;&gt;"",$I2618,INDEX($I$1:$I2618,ROW()-COUNTIFS($T$1:$T2618,"="&amp;$T2618,$S$1:$S2618,"&lt;"&amp;$S2618)))</f>
        <v>0</v>
      </c>
      <c r="Z2618" s="6">
        <f t="shared" si="366"/>
        <v>1</v>
      </c>
      <c r="AA2618" t="e">
        <f t="shared" si="367"/>
        <v>#VALUE!</v>
      </c>
      <c r="AB2618" t="str">
        <f t="shared" si="368"/>
        <v/>
      </c>
      <c r="AC2618" t="e">
        <f t="shared" si="369"/>
        <v>#VALUE!</v>
      </c>
    </row>
    <row r="2619" spans="1:29" x14ac:dyDescent="0.2">
      <c r="A2619" t="str">
        <f t="shared" si="370"/>
        <v/>
      </c>
      <c r="E2619" s="4"/>
      <c r="F2619" s="46"/>
      <c r="G2619" s="4"/>
      <c r="H2619" s="48"/>
      <c r="J2619" s="26" t="str">
        <f t="shared" si="371"/>
        <v/>
      </c>
      <c r="N2619" t="str">
        <f t="shared" si="372"/>
        <v/>
      </c>
      <c r="Q2619" t="str">
        <f t="shared" si="373"/>
        <v/>
      </c>
      <c r="S2619" t="str">
        <f>IF(A2619=1,MAX($S$2:$S2618)+1,IF(OR($I2619&lt;&gt;"",A2619="x"),$S2618,""))</f>
        <v/>
      </c>
      <c r="T2619" t="str">
        <f>IF(D2619=1,MAX($T$2:$T2618)+1,IF(S2619=S2618,$T2618,IF(D2619="x",T2618,IF(D2618="x","",""))))</f>
        <v/>
      </c>
      <c r="U2619" t="str">
        <f>IF(B2619=1,MAX($U$2:$U2618)+1,IF(AND($T2619&lt;&gt;"",$T2619=$T2618),$U2618,IF(B2619="x",U2618,"")))</f>
        <v/>
      </c>
      <c r="V2619" t="str">
        <f>IF(C2619=1,MAX($V$2:$V2618)+1,IF(AND($T2619&lt;&gt;"",$T2619=$T2618),$U2618,IF(C2619="x",V2618,"")))</f>
        <v/>
      </c>
      <c r="X2619" cm="1">
        <f t="array" ref="X2619">IF($I2619&lt;&gt;"",$I2619,INDEX($I$1:$I2619,ROW()-COUNTIFS($T$1:$T2619,"="&amp;$T2619,$S$1:$S2619,"&lt;"&amp;$S2619)))</f>
        <v>0</v>
      </c>
      <c r="Z2619" s="6">
        <f t="shared" si="366"/>
        <v>1</v>
      </c>
      <c r="AA2619" t="e">
        <f t="shared" si="367"/>
        <v>#VALUE!</v>
      </c>
      <c r="AB2619" t="str">
        <f t="shared" si="368"/>
        <v/>
      </c>
      <c r="AC2619" t="e">
        <f t="shared" si="369"/>
        <v>#VALUE!</v>
      </c>
    </row>
    <row r="2620" spans="1:29" x14ac:dyDescent="0.2">
      <c r="A2620" t="str">
        <f t="shared" si="370"/>
        <v/>
      </c>
      <c r="E2620" s="4"/>
      <c r="F2620" s="46"/>
      <c r="G2620" s="4"/>
      <c r="H2620" s="48"/>
      <c r="J2620" s="26" t="str">
        <f t="shared" si="371"/>
        <v/>
      </c>
      <c r="N2620" t="str">
        <f t="shared" si="372"/>
        <v/>
      </c>
      <c r="Q2620" t="str">
        <f t="shared" si="373"/>
        <v/>
      </c>
      <c r="S2620" t="str">
        <f>IF(A2620=1,MAX($S$2:$S2619)+1,IF(OR($I2620&lt;&gt;"",A2620="x"),$S2619,""))</f>
        <v/>
      </c>
      <c r="T2620" t="str">
        <f>IF(D2620=1,MAX($T$2:$T2619)+1,IF(S2620=S2619,$T2619,IF(D2620="x",T2619,IF(D2619="x","",""))))</f>
        <v/>
      </c>
      <c r="U2620" t="str">
        <f>IF(B2620=1,MAX($U$2:$U2619)+1,IF(AND($T2620&lt;&gt;"",$T2620=$T2619),$U2619,IF(B2620="x",U2619,"")))</f>
        <v/>
      </c>
      <c r="V2620" t="str">
        <f>IF(C2620=1,MAX($V$2:$V2619)+1,IF(AND($T2620&lt;&gt;"",$T2620=$T2619),$U2619,IF(C2620="x",V2619,"")))</f>
        <v/>
      </c>
      <c r="X2620" cm="1">
        <f t="array" ref="X2620">IF($I2620&lt;&gt;"",$I2620,INDEX($I$1:$I2620,ROW()-COUNTIFS($T$1:$T2620,"="&amp;$T2620,$S$1:$S2620,"&lt;"&amp;$S2620)))</f>
        <v>0</v>
      </c>
      <c r="Z2620" s="6">
        <f t="shared" si="366"/>
        <v>1</v>
      </c>
      <c r="AA2620" t="e">
        <f t="shared" si="367"/>
        <v>#VALUE!</v>
      </c>
      <c r="AB2620" t="str">
        <f t="shared" si="368"/>
        <v/>
      </c>
      <c r="AC2620" t="e">
        <f t="shared" si="369"/>
        <v>#VALUE!</v>
      </c>
    </row>
    <row r="2621" spans="1:29" x14ac:dyDescent="0.2">
      <c r="A2621" t="str">
        <f t="shared" si="370"/>
        <v/>
      </c>
      <c r="E2621" s="4"/>
      <c r="F2621" s="46"/>
      <c r="G2621" s="4"/>
      <c r="H2621" s="48"/>
      <c r="J2621" s="26" t="str">
        <f t="shared" si="371"/>
        <v/>
      </c>
      <c r="N2621" t="str">
        <f t="shared" si="372"/>
        <v/>
      </c>
      <c r="Q2621" t="str">
        <f t="shared" si="373"/>
        <v/>
      </c>
      <c r="S2621" t="str">
        <f>IF(A2621=1,MAX($S$2:$S2620)+1,IF(OR($I2621&lt;&gt;"",A2621="x"),$S2620,""))</f>
        <v/>
      </c>
      <c r="T2621" t="str">
        <f>IF(D2621=1,MAX($T$2:$T2620)+1,IF(S2621=S2620,$T2620,IF(D2621="x",T2620,IF(D2620="x","",""))))</f>
        <v/>
      </c>
      <c r="U2621" t="str">
        <f>IF(B2621=1,MAX($U$2:$U2620)+1,IF(AND($T2621&lt;&gt;"",$T2621=$T2620),$U2620,IF(B2621="x",U2620,"")))</f>
        <v/>
      </c>
      <c r="V2621" t="str">
        <f>IF(C2621=1,MAX($V$2:$V2620)+1,IF(AND($T2621&lt;&gt;"",$T2621=$T2620),$U2620,IF(C2621="x",V2620,"")))</f>
        <v/>
      </c>
      <c r="X2621" cm="1">
        <f t="array" ref="X2621">IF($I2621&lt;&gt;"",$I2621,INDEX($I$1:$I2621,ROW()-COUNTIFS($T$1:$T2621,"="&amp;$T2621,$S$1:$S2621,"&lt;"&amp;$S2621)))</f>
        <v>0</v>
      </c>
      <c r="Z2621" s="6">
        <f t="shared" si="366"/>
        <v>1</v>
      </c>
      <c r="AA2621" t="e">
        <f t="shared" si="367"/>
        <v>#VALUE!</v>
      </c>
      <c r="AB2621" t="str">
        <f t="shared" si="368"/>
        <v/>
      </c>
      <c r="AC2621" t="e">
        <f t="shared" si="369"/>
        <v>#VALUE!</v>
      </c>
    </row>
    <row r="2622" spans="1:29" x14ac:dyDescent="0.2">
      <c r="A2622" t="str">
        <f t="shared" si="370"/>
        <v/>
      </c>
      <c r="E2622" s="4"/>
      <c r="F2622" s="46"/>
      <c r="G2622" s="4"/>
      <c r="H2622" s="48"/>
      <c r="J2622" s="26" t="str">
        <f t="shared" si="371"/>
        <v/>
      </c>
      <c r="N2622" t="str">
        <f t="shared" si="372"/>
        <v/>
      </c>
      <c r="Q2622" t="str">
        <f t="shared" si="373"/>
        <v/>
      </c>
      <c r="S2622" t="str">
        <f>IF(A2622=1,MAX($S$2:$S2621)+1,IF(OR($I2622&lt;&gt;"",A2622="x"),$S2621,""))</f>
        <v/>
      </c>
      <c r="T2622" t="str">
        <f>IF(D2622=1,MAX($T$2:$T2621)+1,IF(S2622=S2621,$T2621,IF(D2622="x",T2621,IF(D2621="x","",""))))</f>
        <v/>
      </c>
      <c r="U2622" t="str">
        <f>IF(B2622=1,MAX($U$2:$U2621)+1,IF(AND($T2622&lt;&gt;"",$T2622=$T2621),$U2621,IF(B2622="x",U2621,"")))</f>
        <v/>
      </c>
      <c r="V2622" t="str">
        <f>IF(C2622=1,MAX($V$2:$V2621)+1,IF(AND($T2622&lt;&gt;"",$T2622=$T2621),$U2621,IF(C2622="x",V2621,"")))</f>
        <v/>
      </c>
      <c r="X2622" cm="1">
        <f t="array" ref="X2622">IF($I2622&lt;&gt;"",$I2622,INDEX($I$1:$I2622,ROW()-COUNTIFS($T$1:$T2622,"="&amp;$T2622,$S$1:$S2622,"&lt;"&amp;$S2622)))</f>
        <v>0</v>
      </c>
      <c r="Z2622" s="6">
        <f t="shared" si="366"/>
        <v>1</v>
      </c>
      <c r="AA2622" t="e">
        <f t="shared" si="367"/>
        <v>#VALUE!</v>
      </c>
      <c r="AB2622" t="str">
        <f t="shared" si="368"/>
        <v/>
      </c>
      <c r="AC2622" t="e">
        <f t="shared" si="369"/>
        <v>#VALUE!</v>
      </c>
    </row>
    <row r="2623" spans="1:29" x14ac:dyDescent="0.2">
      <c r="A2623" t="str">
        <f t="shared" si="370"/>
        <v/>
      </c>
      <c r="E2623" s="4"/>
      <c r="F2623" s="46"/>
      <c r="G2623" s="4"/>
      <c r="H2623" s="48"/>
      <c r="J2623" s="26" t="str">
        <f t="shared" si="371"/>
        <v/>
      </c>
      <c r="N2623" t="str">
        <f t="shared" si="372"/>
        <v/>
      </c>
      <c r="Q2623" t="str">
        <f t="shared" si="373"/>
        <v/>
      </c>
      <c r="S2623" t="str">
        <f>IF(A2623=1,MAX($S$2:$S2622)+1,IF(OR($I2623&lt;&gt;"",A2623="x"),$S2622,""))</f>
        <v/>
      </c>
      <c r="T2623" t="str">
        <f>IF(D2623=1,MAX($T$2:$T2622)+1,IF(S2623=S2622,$T2622,IF(D2623="x",T2622,IF(D2622="x","",""))))</f>
        <v/>
      </c>
      <c r="U2623" t="str">
        <f>IF(B2623=1,MAX($U$2:$U2622)+1,IF(AND($T2623&lt;&gt;"",$T2623=$T2622),$U2622,IF(B2623="x",U2622,"")))</f>
        <v/>
      </c>
      <c r="V2623" t="str">
        <f>IF(C2623=1,MAX($V$2:$V2622)+1,IF(AND($T2623&lt;&gt;"",$T2623=$T2622),$U2622,IF(C2623="x",V2622,"")))</f>
        <v/>
      </c>
      <c r="X2623" cm="1">
        <f t="array" ref="X2623">IF($I2623&lt;&gt;"",$I2623,INDEX($I$1:$I2623,ROW()-COUNTIFS($T$1:$T2623,"="&amp;$T2623,$S$1:$S2623,"&lt;"&amp;$S2623)))</f>
        <v>0</v>
      </c>
      <c r="Z2623" s="6">
        <f t="shared" si="366"/>
        <v>1</v>
      </c>
      <c r="AA2623" t="e">
        <f t="shared" si="367"/>
        <v>#VALUE!</v>
      </c>
      <c r="AB2623" t="str">
        <f t="shared" si="368"/>
        <v/>
      </c>
      <c r="AC2623" t="e">
        <f t="shared" si="369"/>
        <v>#VALUE!</v>
      </c>
    </row>
    <row r="2624" spans="1:29" x14ac:dyDescent="0.2">
      <c r="A2624" t="str">
        <f t="shared" si="370"/>
        <v/>
      </c>
      <c r="E2624" s="4"/>
      <c r="F2624" s="46"/>
      <c r="G2624" s="4"/>
      <c r="H2624" s="48"/>
      <c r="J2624" s="26" t="str">
        <f t="shared" si="371"/>
        <v/>
      </c>
      <c r="N2624" t="str">
        <f t="shared" si="372"/>
        <v/>
      </c>
      <c r="Q2624" t="str">
        <f t="shared" si="373"/>
        <v/>
      </c>
      <c r="S2624" t="str">
        <f>IF(A2624=1,MAX($S$2:$S2623)+1,IF(OR($I2624&lt;&gt;"",A2624="x"),$S2623,""))</f>
        <v/>
      </c>
      <c r="T2624" t="str">
        <f>IF(D2624=1,MAX($T$2:$T2623)+1,IF(S2624=S2623,$T2623,IF(D2624="x",T2623,IF(D2623="x","",""))))</f>
        <v/>
      </c>
      <c r="U2624" t="str">
        <f>IF(B2624=1,MAX($U$2:$U2623)+1,IF(AND($T2624&lt;&gt;"",$T2624=$T2623),$U2623,IF(B2624="x",U2623,"")))</f>
        <v/>
      </c>
      <c r="V2624" t="str">
        <f>IF(C2624=1,MAX($V$2:$V2623)+1,IF(AND($T2624&lt;&gt;"",$T2624=$T2623),$U2623,IF(C2624="x",V2623,"")))</f>
        <v/>
      </c>
      <c r="X2624" cm="1">
        <f t="array" ref="X2624">IF($I2624&lt;&gt;"",$I2624,INDEX($I$1:$I2624,ROW()-COUNTIFS($T$1:$T2624,"="&amp;$T2624,$S$1:$S2624,"&lt;"&amp;$S2624)))</f>
        <v>0</v>
      </c>
      <c r="Z2624" s="6">
        <f t="shared" si="366"/>
        <v>1</v>
      </c>
      <c r="AA2624" t="e">
        <f t="shared" si="367"/>
        <v>#VALUE!</v>
      </c>
      <c r="AB2624" t="str">
        <f t="shared" si="368"/>
        <v/>
      </c>
      <c r="AC2624" t="e">
        <f t="shared" si="369"/>
        <v>#VALUE!</v>
      </c>
    </row>
    <row r="2625" spans="1:29" x14ac:dyDescent="0.2">
      <c r="A2625" t="str">
        <f t="shared" si="370"/>
        <v/>
      </c>
      <c r="E2625" s="4"/>
      <c r="F2625" s="46"/>
      <c r="G2625" s="4"/>
      <c r="H2625" s="48"/>
      <c r="J2625" s="26" t="str">
        <f t="shared" si="371"/>
        <v/>
      </c>
      <c r="N2625" t="str">
        <f t="shared" si="372"/>
        <v/>
      </c>
      <c r="Q2625" t="str">
        <f t="shared" si="373"/>
        <v/>
      </c>
      <c r="S2625" t="str">
        <f>IF(A2625=1,MAX($S$2:$S2624)+1,IF(OR($I2625&lt;&gt;"",A2625="x"),$S2624,""))</f>
        <v/>
      </c>
      <c r="T2625" t="str">
        <f>IF(D2625=1,MAX($T$2:$T2624)+1,IF(S2625=S2624,$T2624,IF(D2625="x",T2624,IF(D2624="x","",""))))</f>
        <v/>
      </c>
      <c r="U2625" t="str">
        <f>IF(B2625=1,MAX($U$2:$U2624)+1,IF(AND($T2625&lt;&gt;"",$T2625=$T2624),$U2624,IF(B2625="x",U2624,"")))</f>
        <v/>
      </c>
      <c r="V2625" t="str">
        <f>IF(C2625=1,MAX($V$2:$V2624)+1,IF(AND($T2625&lt;&gt;"",$T2625=$T2624),$U2624,IF(C2625="x",V2624,"")))</f>
        <v/>
      </c>
      <c r="X2625" cm="1">
        <f t="array" ref="X2625">IF($I2625&lt;&gt;"",$I2625,INDEX($I$1:$I2625,ROW()-COUNTIFS($T$1:$T2625,"="&amp;$T2625,$S$1:$S2625,"&lt;"&amp;$S2625)))</f>
        <v>0</v>
      </c>
      <c r="Z2625" s="6">
        <f t="shared" si="366"/>
        <v>1</v>
      </c>
      <c r="AA2625" t="e">
        <f t="shared" si="367"/>
        <v>#VALUE!</v>
      </c>
      <c r="AB2625" t="str">
        <f t="shared" si="368"/>
        <v/>
      </c>
      <c r="AC2625" t="e">
        <f t="shared" si="369"/>
        <v>#VALUE!</v>
      </c>
    </row>
    <row r="2626" spans="1:29" x14ac:dyDescent="0.2">
      <c r="A2626" t="str">
        <f t="shared" si="370"/>
        <v/>
      </c>
      <c r="E2626" s="4"/>
      <c r="F2626" s="46"/>
      <c r="G2626" s="4"/>
      <c r="H2626" s="48"/>
      <c r="J2626" s="26" t="str">
        <f t="shared" si="371"/>
        <v/>
      </c>
      <c r="N2626" t="str">
        <f t="shared" si="372"/>
        <v/>
      </c>
      <c r="Q2626" t="str">
        <f t="shared" si="373"/>
        <v/>
      </c>
      <c r="S2626" t="str">
        <f>IF(A2626=1,MAX($S$2:$S2625)+1,IF(OR($I2626&lt;&gt;"",A2626="x"),$S2625,""))</f>
        <v/>
      </c>
      <c r="T2626" t="str">
        <f>IF(D2626=1,MAX($T$2:$T2625)+1,IF(S2626=S2625,$T2625,IF(D2626="x",T2625,IF(D2625="x","",""))))</f>
        <v/>
      </c>
      <c r="U2626" t="str">
        <f>IF(B2626=1,MAX($U$2:$U2625)+1,IF(AND($T2626&lt;&gt;"",$T2626=$T2625),$U2625,IF(B2626="x",U2625,"")))</f>
        <v/>
      </c>
      <c r="V2626" t="str">
        <f>IF(C2626=1,MAX($V$2:$V2625)+1,IF(AND($T2626&lt;&gt;"",$T2626=$T2625),$U2625,IF(C2626="x",V2625,"")))</f>
        <v/>
      </c>
      <c r="X2626" cm="1">
        <f t="array" ref="X2626">IF($I2626&lt;&gt;"",$I2626,INDEX($I$1:$I2626,ROW()-COUNTIFS($T$1:$T2626,"="&amp;$T2626,$S$1:$S2626,"&lt;"&amp;$S2626)))</f>
        <v>0</v>
      </c>
      <c r="Z2626" s="6">
        <f t="shared" si="366"/>
        <v>1</v>
      </c>
      <c r="AA2626" t="e">
        <f t="shared" si="367"/>
        <v>#VALUE!</v>
      </c>
      <c r="AB2626" t="str">
        <f t="shared" si="368"/>
        <v/>
      </c>
      <c r="AC2626" t="e">
        <f t="shared" si="369"/>
        <v>#VALUE!</v>
      </c>
    </row>
    <row r="2627" spans="1:29" x14ac:dyDescent="0.2">
      <c r="A2627" t="str">
        <f t="shared" si="370"/>
        <v/>
      </c>
      <c r="E2627" s="4"/>
      <c r="F2627" s="46"/>
      <c r="G2627" s="4"/>
      <c r="H2627" s="48"/>
      <c r="J2627" s="26" t="str">
        <f t="shared" si="371"/>
        <v/>
      </c>
      <c r="N2627" t="str">
        <f t="shared" si="372"/>
        <v/>
      </c>
      <c r="Q2627" t="str">
        <f t="shared" si="373"/>
        <v/>
      </c>
      <c r="S2627" t="str">
        <f>IF(A2627=1,MAX($S$2:$S2626)+1,IF(OR($I2627&lt;&gt;"",A2627="x"),$S2626,""))</f>
        <v/>
      </c>
      <c r="T2627" t="str">
        <f>IF(D2627=1,MAX($T$2:$T2626)+1,IF(S2627=S2626,$T2626,IF(D2627="x",T2626,IF(D2626="x","",""))))</f>
        <v/>
      </c>
      <c r="U2627" t="str">
        <f>IF(B2627=1,MAX($U$2:$U2626)+1,IF(AND($T2627&lt;&gt;"",$T2627=$T2626),$U2626,IF(B2627="x",U2626,"")))</f>
        <v/>
      </c>
      <c r="V2627" t="str">
        <f>IF(C2627=1,MAX($V$2:$V2626)+1,IF(AND($T2627&lt;&gt;"",$T2627=$T2626),$U2626,IF(C2627="x",V2626,"")))</f>
        <v/>
      </c>
      <c r="X2627" cm="1">
        <f t="array" ref="X2627">IF($I2627&lt;&gt;"",$I2627,INDEX($I$1:$I2627,ROW()-COUNTIFS($T$1:$T2627,"="&amp;$T2627,$S$1:$S2627,"&lt;"&amp;$S2627)))</f>
        <v>0</v>
      </c>
      <c r="Z2627" s="6">
        <f t="shared" si="366"/>
        <v>1</v>
      </c>
      <c r="AA2627" t="e">
        <f t="shared" si="367"/>
        <v>#VALUE!</v>
      </c>
      <c r="AB2627" t="str">
        <f t="shared" si="368"/>
        <v/>
      </c>
      <c r="AC2627" t="e">
        <f t="shared" si="369"/>
        <v>#VALUE!</v>
      </c>
    </row>
    <row r="2628" spans="1:29" x14ac:dyDescent="0.2">
      <c r="A2628" t="str">
        <f t="shared" si="370"/>
        <v/>
      </c>
      <c r="E2628" s="4"/>
      <c r="F2628" s="46"/>
      <c r="G2628" s="4"/>
      <c r="H2628" s="48"/>
      <c r="J2628" s="26" t="str">
        <f t="shared" si="371"/>
        <v/>
      </c>
      <c r="N2628" t="str">
        <f t="shared" si="372"/>
        <v/>
      </c>
      <c r="Q2628" t="str">
        <f t="shared" si="373"/>
        <v/>
      </c>
      <c r="S2628" t="str">
        <f>IF(A2628=1,MAX($S$2:$S2627)+1,IF(OR($I2628&lt;&gt;"",A2628="x"),$S2627,""))</f>
        <v/>
      </c>
      <c r="T2628" t="str">
        <f>IF(D2628=1,MAX($T$2:$T2627)+1,IF(S2628=S2627,$T2627,IF(D2628="x",T2627,IF(D2627="x","",""))))</f>
        <v/>
      </c>
      <c r="U2628" t="str">
        <f>IF(B2628=1,MAX($U$2:$U2627)+1,IF(AND($T2628&lt;&gt;"",$T2628=$T2627),$U2627,IF(B2628="x",U2627,"")))</f>
        <v/>
      </c>
      <c r="V2628" t="str">
        <f>IF(C2628=1,MAX($V$2:$V2627)+1,IF(AND($T2628&lt;&gt;"",$T2628=$T2627),$U2627,IF(C2628="x",V2627,"")))</f>
        <v/>
      </c>
      <c r="X2628" cm="1">
        <f t="array" ref="X2628">IF($I2628&lt;&gt;"",$I2628,INDEX($I$1:$I2628,ROW()-COUNTIFS($T$1:$T2628,"="&amp;$T2628,$S$1:$S2628,"&lt;"&amp;$S2628)))</f>
        <v>0</v>
      </c>
      <c r="Z2628" s="6">
        <f t="shared" si="366"/>
        <v>1</v>
      </c>
      <c r="AA2628" t="e">
        <f t="shared" si="367"/>
        <v>#VALUE!</v>
      </c>
      <c r="AB2628" t="str">
        <f t="shared" si="368"/>
        <v/>
      </c>
      <c r="AC2628" t="e">
        <f t="shared" si="369"/>
        <v>#VALUE!</v>
      </c>
    </row>
    <row r="2629" spans="1:29" x14ac:dyDescent="0.2">
      <c r="A2629" t="str">
        <f t="shared" si="370"/>
        <v/>
      </c>
      <c r="E2629" s="4"/>
      <c r="F2629" s="46"/>
      <c r="G2629" s="4"/>
      <c r="H2629" s="48"/>
      <c r="J2629" s="26" t="str">
        <f t="shared" si="371"/>
        <v/>
      </c>
      <c r="N2629" t="str">
        <f t="shared" si="372"/>
        <v/>
      </c>
      <c r="Q2629" t="str">
        <f t="shared" si="373"/>
        <v/>
      </c>
      <c r="S2629" t="str">
        <f>IF(A2629=1,MAX($S$2:$S2628)+1,IF(OR($I2629&lt;&gt;"",A2629="x"),$S2628,""))</f>
        <v/>
      </c>
      <c r="T2629" t="str">
        <f>IF(D2629=1,MAX($T$2:$T2628)+1,IF(S2629=S2628,$T2628,IF(D2629="x",T2628,IF(D2628="x","",""))))</f>
        <v/>
      </c>
      <c r="U2629" t="str">
        <f>IF(B2629=1,MAX($U$2:$U2628)+1,IF(AND($T2629&lt;&gt;"",$T2629=$T2628),$U2628,IF(B2629="x",U2628,"")))</f>
        <v/>
      </c>
      <c r="V2629" t="str">
        <f>IF(C2629=1,MAX($V$2:$V2628)+1,IF(AND($T2629&lt;&gt;"",$T2629=$T2628),$U2628,IF(C2629="x",V2628,"")))</f>
        <v/>
      </c>
      <c r="X2629" cm="1">
        <f t="array" ref="X2629">IF($I2629&lt;&gt;"",$I2629,INDEX($I$1:$I2629,ROW()-COUNTIFS($T$1:$T2629,"="&amp;$T2629,$S$1:$S2629,"&lt;"&amp;$S2629)))</f>
        <v>0</v>
      </c>
      <c r="Z2629" s="6">
        <f t="shared" ref="Z2629:Z2692" si="374">IF(K2629="Intermission",Z2628+1,Z2628)</f>
        <v>1</v>
      </c>
      <c r="AA2629" t="e">
        <f t="shared" ref="AA2629:AA2692" si="375">S2629+1000</f>
        <v>#VALUE!</v>
      </c>
      <c r="AB2629" t="str">
        <f t="shared" ref="AB2629:AB2692" si="376">IF(T2629&lt;&gt;"",9000+T2629,"")</f>
        <v/>
      </c>
      <c r="AC2629" t="e">
        <f t="shared" ref="AC2629:AC2692" si="377">IF(AB2629&lt;&gt;"",AB2629,S2629+1000)</f>
        <v>#VALUE!</v>
      </c>
    </row>
    <row r="2630" spans="1:29" x14ac:dyDescent="0.2">
      <c r="A2630" t="str">
        <f t="shared" si="370"/>
        <v/>
      </c>
      <c r="E2630" s="4"/>
      <c r="F2630" s="46"/>
      <c r="G2630" s="4"/>
      <c r="H2630" s="48"/>
      <c r="J2630" s="26" t="str">
        <f t="shared" si="371"/>
        <v/>
      </c>
      <c r="N2630" t="str">
        <f t="shared" si="372"/>
        <v/>
      </c>
      <c r="Q2630" t="str">
        <f t="shared" si="373"/>
        <v/>
      </c>
      <c r="S2630" t="str">
        <f>IF(A2630=1,MAX($S$2:$S2629)+1,IF(OR($I2630&lt;&gt;"",A2630="x"),$S2629,""))</f>
        <v/>
      </c>
      <c r="T2630" t="str">
        <f>IF(D2630=1,MAX($T$2:$T2629)+1,IF(S2630=S2629,$T2629,IF(D2630="x",T2629,IF(D2629="x","",""))))</f>
        <v/>
      </c>
      <c r="U2630" t="str">
        <f>IF(B2630=1,MAX($U$2:$U2629)+1,IF(AND($T2630&lt;&gt;"",$T2630=$T2629),$U2629,IF(B2630="x",U2629,"")))</f>
        <v/>
      </c>
      <c r="V2630" t="str">
        <f>IF(C2630=1,MAX($V$2:$V2629)+1,IF(AND($T2630&lt;&gt;"",$T2630=$T2629),$U2629,IF(C2630="x",V2629,"")))</f>
        <v/>
      </c>
      <c r="X2630" cm="1">
        <f t="array" ref="X2630">IF($I2630&lt;&gt;"",$I2630,INDEX($I$1:$I2630,ROW()-COUNTIFS($T$1:$T2630,"="&amp;$T2630,$S$1:$S2630,"&lt;"&amp;$S2630)))</f>
        <v>0</v>
      </c>
      <c r="Z2630" s="6">
        <f t="shared" si="374"/>
        <v>1</v>
      </c>
      <c r="AA2630" t="e">
        <f t="shared" si="375"/>
        <v>#VALUE!</v>
      </c>
      <c r="AB2630" t="str">
        <f t="shared" si="376"/>
        <v/>
      </c>
      <c r="AC2630" t="e">
        <f t="shared" si="377"/>
        <v>#VALUE!</v>
      </c>
    </row>
    <row r="2631" spans="1:29" x14ac:dyDescent="0.2">
      <c r="A2631" t="str">
        <f t="shared" si="370"/>
        <v/>
      </c>
      <c r="E2631" s="4"/>
      <c r="F2631" s="46"/>
      <c r="G2631" s="4"/>
      <c r="H2631" s="48"/>
      <c r="J2631" s="26" t="str">
        <f t="shared" si="371"/>
        <v/>
      </c>
      <c r="N2631" t="str">
        <f t="shared" si="372"/>
        <v/>
      </c>
      <c r="Q2631" t="str">
        <f t="shared" si="373"/>
        <v/>
      </c>
      <c r="S2631" t="str">
        <f>IF(A2631=1,MAX($S$2:$S2630)+1,IF(OR($I2631&lt;&gt;"",A2631="x"),$S2630,""))</f>
        <v/>
      </c>
      <c r="T2631" t="str">
        <f>IF(D2631=1,MAX($T$2:$T2630)+1,IF(S2631=S2630,$T2630,IF(D2631="x",T2630,IF(D2630="x","",""))))</f>
        <v/>
      </c>
      <c r="U2631" t="str">
        <f>IF(B2631=1,MAX($U$2:$U2630)+1,IF(AND($T2631&lt;&gt;"",$T2631=$T2630),$U2630,IF(B2631="x",U2630,"")))</f>
        <v/>
      </c>
      <c r="V2631" t="str">
        <f>IF(C2631=1,MAX($V$2:$V2630)+1,IF(AND($T2631&lt;&gt;"",$T2631=$T2630),$U2630,IF(C2631="x",V2630,"")))</f>
        <v/>
      </c>
      <c r="X2631" cm="1">
        <f t="array" ref="X2631">IF($I2631&lt;&gt;"",$I2631,INDEX($I$1:$I2631,ROW()-COUNTIFS($T$1:$T2631,"="&amp;$T2631,$S$1:$S2631,"&lt;"&amp;$S2631)))</f>
        <v>0</v>
      </c>
      <c r="Z2631" s="6">
        <f t="shared" si="374"/>
        <v>1</v>
      </c>
      <c r="AA2631" t="e">
        <f t="shared" si="375"/>
        <v>#VALUE!</v>
      </c>
      <c r="AB2631" t="str">
        <f t="shared" si="376"/>
        <v/>
      </c>
      <c r="AC2631" t="e">
        <f t="shared" si="377"/>
        <v>#VALUE!</v>
      </c>
    </row>
    <row r="2632" spans="1:29" x14ac:dyDescent="0.2">
      <c r="A2632" t="str">
        <f t="shared" si="370"/>
        <v/>
      </c>
      <c r="E2632" s="4"/>
      <c r="F2632" s="46"/>
      <c r="G2632" s="4"/>
      <c r="H2632" s="48"/>
      <c r="J2632" s="26" t="str">
        <f t="shared" si="371"/>
        <v/>
      </c>
      <c r="N2632" t="str">
        <f t="shared" si="372"/>
        <v/>
      </c>
      <c r="Q2632" t="str">
        <f t="shared" si="373"/>
        <v/>
      </c>
      <c r="S2632" t="str">
        <f>IF(A2632=1,MAX($S$2:$S2631)+1,IF(OR($I2632&lt;&gt;"",A2632="x"),$S2631,""))</f>
        <v/>
      </c>
      <c r="T2632" t="str">
        <f>IF(D2632=1,MAX($T$2:$T2631)+1,IF(S2632=S2631,$T2631,IF(D2632="x",T2631,IF(D2631="x","",""))))</f>
        <v/>
      </c>
      <c r="U2632" t="str">
        <f>IF(B2632=1,MAX($U$2:$U2631)+1,IF(AND($T2632&lt;&gt;"",$T2632=$T2631),$U2631,IF(B2632="x",U2631,"")))</f>
        <v/>
      </c>
      <c r="V2632" t="str">
        <f>IF(C2632=1,MAX($V$2:$V2631)+1,IF(AND($T2632&lt;&gt;"",$T2632=$T2631),$U2631,IF(C2632="x",V2631,"")))</f>
        <v/>
      </c>
      <c r="X2632" cm="1">
        <f t="array" ref="X2632">IF($I2632&lt;&gt;"",$I2632,INDEX($I$1:$I2632,ROW()-COUNTIFS($T$1:$T2632,"="&amp;$T2632,$S$1:$S2632,"&lt;"&amp;$S2632)))</f>
        <v>0</v>
      </c>
      <c r="Z2632" s="6">
        <f t="shared" si="374"/>
        <v>1</v>
      </c>
      <c r="AA2632" t="e">
        <f t="shared" si="375"/>
        <v>#VALUE!</v>
      </c>
      <c r="AB2632" t="str">
        <f t="shared" si="376"/>
        <v/>
      </c>
      <c r="AC2632" t="e">
        <f t="shared" si="377"/>
        <v>#VALUE!</v>
      </c>
    </row>
    <row r="2633" spans="1:29" x14ac:dyDescent="0.2">
      <c r="A2633" t="str">
        <f t="shared" si="370"/>
        <v/>
      </c>
      <c r="E2633" s="4"/>
      <c r="F2633" s="46"/>
      <c r="G2633" s="4"/>
      <c r="H2633" s="48"/>
      <c r="J2633" s="26" t="str">
        <f t="shared" si="371"/>
        <v/>
      </c>
      <c r="N2633" t="str">
        <f t="shared" si="372"/>
        <v/>
      </c>
      <c r="Q2633" t="str">
        <f t="shared" si="373"/>
        <v/>
      </c>
      <c r="S2633" t="str">
        <f>IF(A2633=1,MAX($S$2:$S2632)+1,IF(OR($I2633&lt;&gt;"",A2633="x"),$S2632,""))</f>
        <v/>
      </c>
      <c r="T2633" t="str">
        <f>IF(D2633=1,MAX($T$2:$T2632)+1,IF(S2633=S2632,$T2632,IF(D2633="x",T2632,IF(D2632="x","",""))))</f>
        <v/>
      </c>
      <c r="U2633" t="str">
        <f>IF(B2633=1,MAX($U$2:$U2632)+1,IF(AND($T2633&lt;&gt;"",$T2633=$T2632),$U2632,IF(B2633="x",U2632,"")))</f>
        <v/>
      </c>
      <c r="V2633" t="str">
        <f>IF(C2633=1,MAX($V$2:$V2632)+1,IF(AND($T2633&lt;&gt;"",$T2633=$T2632),$U2632,IF(C2633="x",V2632,"")))</f>
        <v/>
      </c>
      <c r="X2633" cm="1">
        <f t="array" ref="X2633">IF($I2633&lt;&gt;"",$I2633,INDEX($I$1:$I2633,ROW()-COUNTIFS($T$1:$T2633,"="&amp;$T2633,$S$1:$S2633,"&lt;"&amp;$S2633)))</f>
        <v>0</v>
      </c>
      <c r="Z2633" s="6">
        <f t="shared" si="374"/>
        <v>1</v>
      </c>
      <c r="AA2633" t="e">
        <f t="shared" si="375"/>
        <v>#VALUE!</v>
      </c>
      <c r="AB2633" t="str">
        <f t="shared" si="376"/>
        <v/>
      </c>
      <c r="AC2633" t="e">
        <f t="shared" si="377"/>
        <v>#VALUE!</v>
      </c>
    </row>
    <row r="2634" spans="1:29" x14ac:dyDescent="0.2">
      <c r="A2634" t="str">
        <f t="shared" si="370"/>
        <v/>
      </c>
      <c r="E2634" s="4"/>
      <c r="F2634" s="46"/>
      <c r="G2634" s="4"/>
      <c r="H2634" s="48"/>
      <c r="J2634" s="26" t="str">
        <f t="shared" si="371"/>
        <v/>
      </c>
      <c r="N2634" t="str">
        <f t="shared" si="372"/>
        <v/>
      </c>
      <c r="Q2634" t="str">
        <f t="shared" si="373"/>
        <v/>
      </c>
      <c r="S2634" t="str">
        <f>IF(A2634=1,MAX($S$2:$S2633)+1,IF(OR($I2634&lt;&gt;"",A2634="x"),$S2633,""))</f>
        <v/>
      </c>
      <c r="T2634" t="str">
        <f>IF(D2634=1,MAX($T$2:$T2633)+1,IF(S2634=S2633,$T2633,IF(D2634="x",T2633,IF(D2633="x","",""))))</f>
        <v/>
      </c>
      <c r="U2634" t="str">
        <f>IF(B2634=1,MAX($U$2:$U2633)+1,IF(AND($T2634&lt;&gt;"",$T2634=$T2633),$U2633,IF(B2634="x",U2633,"")))</f>
        <v/>
      </c>
      <c r="V2634" t="str">
        <f>IF(C2634=1,MAX($V$2:$V2633)+1,IF(AND($T2634&lt;&gt;"",$T2634=$T2633),$U2633,IF(C2634="x",V2633,"")))</f>
        <v/>
      </c>
      <c r="X2634" cm="1">
        <f t="array" ref="X2634">IF($I2634&lt;&gt;"",$I2634,INDEX($I$1:$I2634,ROW()-COUNTIFS($T$1:$T2634,"="&amp;$T2634,$S$1:$S2634,"&lt;"&amp;$S2634)))</f>
        <v>0</v>
      </c>
      <c r="Z2634" s="6">
        <f t="shared" si="374"/>
        <v>1</v>
      </c>
      <c r="AA2634" t="e">
        <f t="shared" si="375"/>
        <v>#VALUE!</v>
      </c>
      <c r="AB2634" t="str">
        <f t="shared" si="376"/>
        <v/>
      </c>
      <c r="AC2634" t="e">
        <f t="shared" si="377"/>
        <v>#VALUE!</v>
      </c>
    </row>
    <row r="2635" spans="1:29" x14ac:dyDescent="0.2">
      <c r="A2635" t="str">
        <f t="shared" si="370"/>
        <v/>
      </c>
      <c r="E2635" s="4"/>
      <c r="F2635" s="46"/>
      <c r="G2635" s="4"/>
      <c r="H2635" s="48"/>
      <c r="J2635" s="26" t="str">
        <f t="shared" si="371"/>
        <v/>
      </c>
      <c r="N2635" t="str">
        <f t="shared" si="372"/>
        <v/>
      </c>
      <c r="Q2635" t="str">
        <f t="shared" si="373"/>
        <v/>
      </c>
      <c r="S2635" t="str">
        <f>IF(A2635=1,MAX($S$2:$S2634)+1,IF(OR($I2635&lt;&gt;"",A2635="x"),$S2634,""))</f>
        <v/>
      </c>
      <c r="T2635" t="str">
        <f>IF(D2635=1,MAX($T$2:$T2634)+1,IF(S2635=S2634,$T2634,IF(D2635="x",T2634,IF(D2634="x","",""))))</f>
        <v/>
      </c>
      <c r="U2635" t="str">
        <f>IF(B2635=1,MAX($U$2:$U2634)+1,IF(AND($T2635&lt;&gt;"",$T2635=$T2634),$U2634,IF(B2635="x",U2634,"")))</f>
        <v/>
      </c>
      <c r="V2635" t="str">
        <f>IF(C2635=1,MAX($V$2:$V2634)+1,IF(AND($T2635&lt;&gt;"",$T2635=$T2634),$U2634,IF(C2635="x",V2634,"")))</f>
        <v/>
      </c>
      <c r="X2635" cm="1">
        <f t="array" ref="X2635">IF($I2635&lt;&gt;"",$I2635,INDEX($I$1:$I2635,ROW()-COUNTIFS($T$1:$T2635,"="&amp;$T2635,$S$1:$S2635,"&lt;"&amp;$S2635)))</f>
        <v>0</v>
      </c>
      <c r="Z2635" s="6">
        <f t="shared" si="374"/>
        <v>1</v>
      </c>
      <c r="AA2635" t="e">
        <f t="shared" si="375"/>
        <v>#VALUE!</v>
      </c>
      <c r="AB2635" t="str">
        <f t="shared" si="376"/>
        <v/>
      </c>
      <c r="AC2635" t="e">
        <f t="shared" si="377"/>
        <v>#VALUE!</v>
      </c>
    </row>
    <row r="2636" spans="1:29" x14ac:dyDescent="0.2">
      <c r="A2636" t="str">
        <f t="shared" si="370"/>
        <v/>
      </c>
      <c r="E2636" s="4"/>
      <c r="F2636" s="46"/>
      <c r="G2636" s="4"/>
      <c r="H2636" s="48"/>
      <c r="J2636" s="26" t="str">
        <f t="shared" si="371"/>
        <v/>
      </c>
      <c r="N2636" t="str">
        <f t="shared" si="372"/>
        <v/>
      </c>
      <c r="Q2636" t="str">
        <f t="shared" si="373"/>
        <v/>
      </c>
      <c r="S2636" t="str">
        <f>IF(A2636=1,MAX($S$2:$S2635)+1,IF(OR($I2636&lt;&gt;"",A2636="x"),$S2635,""))</f>
        <v/>
      </c>
      <c r="T2636" t="str">
        <f>IF(D2636=1,MAX($T$2:$T2635)+1,IF(S2636=S2635,$T2635,IF(D2636="x",T2635,IF(D2635="x","",""))))</f>
        <v/>
      </c>
      <c r="U2636" t="str">
        <f>IF(B2636=1,MAX($U$2:$U2635)+1,IF(AND($T2636&lt;&gt;"",$T2636=$T2635),$U2635,IF(B2636="x",U2635,"")))</f>
        <v/>
      </c>
      <c r="V2636" t="str">
        <f>IF(C2636=1,MAX($V$2:$V2635)+1,IF(AND($T2636&lt;&gt;"",$T2636=$T2635),$U2635,IF(C2636="x",V2635,"")))</f>
        <v/>
      </c>
      <c r="X2636" cm="1">
        <f t="array" ref="X2636">IF($I2636&lt;&gt;"",$I2636,INDEX($I$1:$I2636,ROW()-COUNTIFS($T$1:$T2636,"="&amp;$T2636,$S$1:$S2636,"&lt;"&amp;$S2636)))</f>
        <v>0</v>
      </c>
      <c r="Z2636" s="6">
        <f t="shared" si="374"/>
        <v>1</v>
      </c>
      <c r="AA2636" t="e">
        <f t="shared" si="375"/>
        <v>#VALUE!</v>
      </c>
      <c r="AB2636" t="str">
        <f t="shared" si="376"/>
        <v/>
      </c>
      <c r="AC2636" t="e">
        <f t="shared" si="377"/>
        <v>#VALUE!</v>
      </c>
    </row>
    <row r="2637" spans="1:29" x14ac:dyDescent="0.2">
      <c r="A2637" t="str">
        <f t="shared" si="370"/>
        <v/>
      </c>
      <c r="E2637" s="4"/>
      <c r="F2637" s="46"/>
      <c r="G2637" s="4"/>
      <c r="H2637" s="48"/>
      <c r="J2637" s="26" t="str">
        <f t="shared" si="371"/>
        <v/>
      </c>
      <c r="N2637" t="str">
        <f t="shared" si="372"/>
        <v/>
      </c>
      <c r="Q2637" t="str">
        <f t="shared" si="373"/>
        <v/>
      </c>
      <c r="S2637" t="str">
        <f>IF(A2637=1,MAX($S$2:$S2636)+1,IF(OR($I2637&lt;&gt;"",A2637="x"),$S2636,""))</f>
        <v/>
      </c>
      <c r="T2637" t="str">
        <f>IF(D2637=1,MAX($T$2:$T2636)+1,IF(S2637=S2636,$T2636,IF(D2637="x",T2636,IF(D2636="x","",""))))</f>
        <v/>
      </c>
      <c r="U2637" t="str">
        <f>IF(B2637=1,MAX($U$2:$U2636)+1,IF(AND($T2637&lt;&gt;"",$T2637=$T2636),$U2636,IF(B2637="x",U2636,"")))</f>
        <v/>
      </c>
      <c r="V2637" t="str">
        <f>IF(C2637=1,MAX($V$2:$V2636)+1,IF(AND($T2637&lt;&gt;"",$T2637=$T2636),$U2636,IF(C2637="x",V2636,"")))</f>
        <v/>
      </c>
      <c r="X2637" cm="1">
        <f t="array" ref="X2637">IF($I2637&lt;&gt;"",$I2637,INDEX($I$1:$I2637,ROW()-COUNTIFS($T$1:$T2637,"="&amp;$T2637,$S$1:$S2637,"&lt;"&amp;$S2637)))</f>
        <v>0</v>
      </c>
      <c r="Z2637" s="6">
        <f t="shared" si="374"/>
        <v>1</v>
      </c>
      <c r="AA2637" t="e">
        <f t="shared" si="375"/>
        <v>#VALUE!</v>
      </c>
      <c r="AB2637" t="str">
        <f t="shared" si="376"/>
        <v/>
      </c>
      <c r="AC2637" t="e">
        <f t="shared" si="377"/>
        <v>#VALUE!</v>
      </c>
    </row>
    <row r="2638" spans="1:29" x14ac:dyDescent="0.2">
      <c r="A2638" t="str">
        <f t="shared" si="370"/>
        <v/>
      </c>
      <c r="E2638" s="4"/>
      <c r="F2638" s="46"/>
      <c r="G2638" s="4"/>
      <c r="H2638" s="48"/>
      <c r="J2638" s="26" t="str">
        <f t="shared" si="371"/>
        <v/>
      </c>
      <c r="N2638" t="str">
        <f t="shared" si="372"/>
        <v/>
      </c>
      <c r="Q2638" t="str">
        <f t="shared" si="373"/>
        <v/>
      </c>
      <c r="S2638" t="str">
        <f>IF(A2638=1,MAX($S$2:$S2637)+1,IF(OR($I2638&lt;&gt;"",A2638="x"),$S2637,""))</f>
        <v/>
      </c>
      <c r="T2638" t="str">
        <f>IF(D2638=1,MAX($T$2:$T2637)+1,IF(S2638=S2637,$T2637,IF(D2638="x",T2637,IF(D2637="x","",""))))</f>
        <v/>
      </c>
      <c r="U2638" t="str">
        <f>IF(B2638=1,MAX($U$2:$U2637)+1,IF(AND($T2638&lt;&gt;"",$T2638=$T2637),$U2637,IF(B2638="x",U2637,"")))</f>
        <v/>
      </c>
      <c r="V2638" t="str">
        <f>IF(C2638=1,MAX($V$2:$V2637)+1,IF(AND($T2638&lt;&gt;"",$T2638=$T2637),$U2637,IF(C2638="x",V2637,"")))</f>
        <v/>
      </c>
      <c r="X2638" cm="1">
        <f t="array" ref="X2638">IF($I2638&lt;&gt;"",$I2638,INDEX($I$1:$I2638,ROW()-COUNTIFS($T$1:$T2638,"="&amp;$T2638,$S$1:$S2638,"&lt;"&amp;$S2638)))</f>
        <v>0</v>
      </c>
      <c r="Z2638" s="6">
        <f t="shared" si="374"/>
        <v>1</v>
      </c>
      <c r="AA2638" t="e">
        <f t="shared" si="375"/>
        <v>#VALUE!</v>
      </c>
      <c r="AB2638" t="str">
        <f t="shared" si="376"/>
        <v/>
      </c>
      <c r="AC2638" t="e">
        <f t="shared" si="377"/>
        <v>#VALUE!</v>
      </c>
    </row>
    <row r="2639" spans="1:29" x14ac:dyDescent="0.2">
      <c r="A2639" t="str">
        <f t="shared" si="370"/>
        <v/>
      </c>
      <c r="E2639" s="4"/>
      <c r="F2639" s="46"/>
      <c r="G2639" s="4"/>
      <c r="H2639" s="48"/>
      <c r="J2639" s="26" t="str">
        <f t="shared" si="371"/>
        <v/>
      </c>
      <c r="N2639" t="str">
        <f t="shared" si="372"/>
        <v/>
      </c>
      <c r="Q2639" t="str">
        <f t="shared" si="373"/>
        <v/>
      </c>
      <c r="S2639" t="str">
        <f>IF(A2639=1,MAX($S$2:$S2638)+1,IF(OR($I2639&lt;&gt;"",A2639="x"),$S2638,""))</f>
        <v/>
      </c>
      <c r="T2639" t="str">
        <f>IF(D2639=1,MAX($T$2:$T2638)+1,IF(S2639=S2638,$T2638,IF(D2639="x",T2638,IF(D2638="x","",""))))</f>
        <v/>
      </c>
      <c r="U2639" t="str">
        <f>IF(B2639=1,MAX($U$2:$U2638)+1,IF(AND($T2639&lt;&gt;"",$T2639=$T2638),$U2638,IF(B2639="x",U2638,"")))</f>
        <v/>
      </c>
      <c r="V2639" t="str">
        <f>IF(C2639=1,MAX($V$2:$V2638)+1,IF(AND($T2639&lt;&gt;"",$T2639=$T2638),$U2638,IF(C2639="x",V2638,"")))</f>
        <v/>
      </c>
      <c r="X2639" cm="1">
        <f t="array" ref="X2639">IF($I2639&lt;&gt;"",$I2639,INDEX($I$1:$I2639,ROW()-COUNTIFS($T$1:$T2639,"="&amp;$T2639,$S$1:$S2639,"&lt;"&amp;$S2639)))</f>
        <v>0</v>
      </c>
      <c r="Z2639" s="6">
        <f t="shared" si="374"/>
        <v>1</v>
      </c>
      <c r="AA2639" t="e">
        <f t="shared" si="375"/>
        <v>#VALUE!</v>
      </c>
      <c r="AB2639" t="str">
        <f t="shared" si="376"/>
        <v/>
      </c>
      <c r="AC2639" t="e">
        <f t="shared" si="377"/>
        <v>#VALUE!</v>
      </c>
    </row>
    <row r="2640" spans="1:29" x14ac:dyDescent="0.2">
      <c r="A2640" t="str">
        <f t="shared" si="370"/>
        <v/>
      </c>
      <c r="E2640" s="4"/>
      <c r="F2640" s="46"/>
      <c r="G2640" s="4"/>
      <c r="H2640" s="48"/>
      <c r="J2640" s="26" t="str">
        <f t="shared" si="371"/>
        <v/>
      </c>
      <c r="N2640" t="str">
        <f t="shared" si="372"/>
        <v/>
      </c>
      <c r="Q2640" t="str">
        <f t="shared" si="373"/>
        <v/>
      </c>
      <c r="S2640" t="str">
        <f>IF(A2640=1,MAX($S$2:$S2639)+1,IF(OR($I2640&lt;&gt;"",A2640="x"),$S2639,""))</f>
        <v/>
      </c>
      <c r="T2640" t="str">
        <f>IF(D2640=1,MAX($T$2:$T2639)+1,IF(S2640=S2639,$T2639,IF(D2640="x",T2639,IF(D2639="x","",""))))</f>
        <v/>
      </c>
      <c r="U2640" t="str">
        <f>IF(B2640=1,MAX($U$2:$U2639)+1,IF(AND($T2640&lt;&gt;"",$T2640=$T2639),$U2639,IF(B2640="x",U2639,"")))</f>
        <v/>
      </c>
      <c r="V2640" t="str">
        <f>IF(C2640=1,MAX($V$2:$V2639)+1,IF(AND($T2640&lt;&gt;"",$T2640=$T2639),$U2639,IF(C2640="x",V2639,"")))</f>
        <v/>
      </c>
      <c r="X2640" cm="1">
        <f t="array" ref="X2640">IF($I2640&lt;&gt;"",$I2640,INDEX($I$1:$I2640,ROW()-COUNTIFS($T$1:$T2640,"="&amp;$T2640,$S$1:$S2640,"&lt;"&amp;$S2640)))</f>
        <v>0</v>
      </c>
      <c r="Z2640" s="6">
        <f t="shared" si="374"/>
        <v>1</v>
      </c>
      <c r="AA2640" t="e">
        <f t="shared" si="375"/>
        <v>#VALUE!</v>
      </c>
      <c r="AB2640" t="str">
        <f t="shared" si="376"/>
        <v/>
      </c>
      <c r="AC2640" t="e">
        <f t="shared" si="377"/>
        <v>#VALUE!</v>
      </c>
    </row>
    <row r="2641" spans="1:29" x14ac:dyDescent="0.2">
      <c r="A2641" t="str">
        <f t="shared" si="370"/>
        <v/>
      </c>
      <c r="E2641" s="4"/>
      <c r="F2641" s="46"/>
      <c r="G2641" s="4"/>
      <c r="H2641" s="48"/>
      <c r="J2641" s="26" t="str">
        <f t="shared" si="371"/>
        <v/>
      </c>
      <c r="N2641" t="str">
        <f t="shared" si="372"/>
        <v/>
      </c>
      <c r="Q2641" t="str">
        <f t="shared" si="373"/>
        <v/>
      </c>
      <c r="S2641" t="str">
        <f>IF(A2641=1,MAX($S$2:$S2640)+1,IF(OR($I2641&lt;&gt;"",A2641="x"),$S2640,""))</f>
        <v/>
      </c>
      <c r="T2641" t="str">
        <f>IF(D2641=1,MAX($T$2:$T2640)+1,IF(S2641=S2640,$T2640,IF(D2641="x",T2640,IF(D2640="x","",""))))</f>
        <v/>
      </c>
      <c r="U2641" t="str">
        <f>IF(B2641=1,MAX($U$2:$U2640)+1,IF(AND($T2641&lt;&gt;"",$T2641=$T2640),$U2640,IF(B2641="x",U2640,"")))</f>
        <v/>
      </c>
      <c r="V2641" t="str">
        <f>IF(C2641=1,MAX($V$2:$V2640)+1,IF(AND($T2641&lt;&gt;"",$T2641=$T2640),$U2640,IF(C2641="x",V2640,"")))</f>
        <v/>
      </c>
      <c r="X2641" cm="1">
        <f t="array" ref="X2641">IF($I2641&lt;&gt;"",$I2641,INDEX($I$1:$I2641,ROW()-COUNTIFS($T$1:$T2641,"="&amp;$T2641,$S$1:$S2641,"&lt;"&amp;$S2641)))</f>
        <v>0</v>
      </c>
      <c r="Z2641" s="6">
        <f t="shared" si="374"/>
        <v>1</v>
      </c>
      <c r="AA2641" t="e">
        <f t="shared" si="375"/>
        <v>#VALUE!</v>
      </c>
      <c r="AB2641" t="str">
        <f t="shared" si="376"/>
        <v/>
      </c>
      <c r="AC2641" t="e">
        <f t="shared" si="377"/>
        <v>#VALUE!</v>
      </c>
    </row>
    <row r="2642" spans="1:29" x14ac:dyDescent="0.2">
      <c r="A2642" t="str">
        <f t="shared" si="370"/>
        <v/>
      </c>
      <c r="E2642" s="4"/>
      <c r="F2642" s="46"/>
      <c r="G2642" s="4"/>
      <c r="H2642" s="48"/>
      <c r="J2642" s="26" t="str">
        <f t="shared" si="371"/>
        <v/>
      </c>
      <c r="N2642" t="str">
        <f t="shared" si="372"/>
        <v/>
      </c>
      <c r="Q2642" t="str">
        <f t="shared" si="373"/>
        <v/>
      </c>
      <c r="S2642" t="str">
        <f>IF(A2642=1,MAX($S$2:$S2641)+1,IF(OR($I2642&lt;&gt;"",A2642="x"),$S2641,""))</f>
        <v/>
      </c>
      <c r="T2642" t="str">
        <f>IF(D2642=1,MAX($T$2:$T2641)+1,IF(S2642=S2641,$T2641,IF(D2642="x",T2641,IF(D2641="x","",""))))</f>
        <v/>
      </c>
      <c r="U2642" t="str">
        <f>IF(B2642=1,MAX($U$2:$U2641)+1,IF(AND($T2642&lt;&gt;"",$T2642=$T2641),$U2641,IF(B2642="x",U2641,"")))</f>
        <v/>
      </c>
      <c r="V2642" t="str">
        <f>IF(C2642=1,MAX($V$2:$V2641)+1,IF(AND($T2642&lt;&gt;"",$T2642=$T2641),$U2641,IF(C2642="x",V2641,"")))</f>
        <v/>
      </c>
      <c r="X2642" cm="1">
        <f t="array" ref="X2642">IF($I2642&lt;&gt;"",$I2642,INDEX($I$1:$I2642,ROW()-COUNTIFS($T$1:$T2642,"="&amp;$T2642,$S$1:$S2642,"&lt;"&amp;$S2642)))</f>
        <v>0</v>
      </c>
      <c r="Z2642" s="6">
        <f t="shared" si="374"/>
        <v>1</v>
      </c>
      <c r="AA2642" t="e">
        <f t="shared" si="375"/>
        <v>#VALUE!</v>
      </c>
      <c r="AB2642" t="str">
        <f t="shared" si="376"/>
        <v/>
      </c>
      <c r="AC2642" t="e">
        <f t="shared" si="377"/>
        <v>#VALUE!</v>
      </c>
    </row>
    <row r="2643" spans="1:29" x14ac:dyDescent="0.2">
      <c r="A2643" t="str">
        <f t="shared" ref="A2643:A2706" si="378">IF(K2643&lt;&gt;"",1,IF(D2643="x","x",""))</f>
        <v/>
      </c>
      <c r="E2643" s="4"/>
      <c r="F2643" s="46"/>
      <c r="G2643" s="4"/>
      <c r="H2643" s="48"/>
      <c r="J2643" s="26" t="str">
        <f t="shared" ref="J2643:J2706" si="379">IF(OR(K2643="Goal",K2643="Shot",L2643="Zone_Entry",M2643="Stoppage-Goal",M2642="Stoppage-Goal"),"o",IF(OR(K2643="Save",K2643="Rebound",L2643="Zone_Exit",M2643="Stoppage-GoalieStoppage",M2642="Stoppage-GoalieStoppage"),"d",IF(OR(L2643="Faceoff_AfterGoal",L2643="Faceoff_PeriodStart",698="Faceoff_GameStart",M2642="Stoppage-Goal"),"n","")))</f>
        <v/>
      </c>
      <c r="N2643" t="str">
        <f t="shared" ref="N2643:N2706" si="380">IF(K2643="","",IF(K2643="Goal","s",IF(AND(K2643="Zone_Entry_Exit",OR(ISNUMBER(SEARCH("fail",L2643)),ISNUMBER(SEARCH("FromExitClear",M2643)),ISNUMBER(SEARCH("miss",M2643)))),"u",IF(AND(K2643="Zone_Entry_Exit",OR(NOT(ISNUMBER(SEARCH("fail",L2643))),NOT(ISNUMBER(SEARCH("FromExitClear",M2643))),NOT(ISNUMBER(SEARCH("miss",M2643))))),"s",IF(AND(OR(K2643="Shot",K2643="Pass"),OR(ISNUMBER(SEARCH("complete",L2643)),ISNUMBER(SEARCH("goal",L2643)),ISNUMBER(SEARCH("OnNet",L2643)))),"s",IF(L2643="Turnover_Giveaway","u",IF(AND(OR(K2643="Shot",K2643="Pass"),OR(ISNUMBER(SEARCH("fail",L2643)),NOT(ISNUMBER(SEARCH("complete",L2643))),NOT(ISNUMBER(SEARCH("OnNet",L2643))))),"u","")))))))</f>
        <v/>
      </c>
      <c r="Q2643" t="str">
        <f t="shared" ref="Q2643:Q2706" si="381">IF(O2643="","",IF(AND(N2643&lt;&gt;"",OR(O2643&lt;&gt;"",P2643&lt;&gt;"")),N2643,IF(OR(ISNUMBER(SEARCH("attemp",O2643)),ISNUMBER(SEARCH("beat",O2643)),ISNUMBER(SEARCH("mis",O2643)),ISNUMBER(SEARCH("fail",O2643)),ISNUMBER(SEARCH("loss",O2643)),ISNUMBER(SEARCH("lost",O2643)),ISNUMBER(SEARCH("attemp",P2643)),ISNUMBER(SEARCH("mis",P2643)),ISNUMBER(SEARCH("fail",P2643)),ISNUMBER(SEARCH("loss",P2643)),ISNUMBER(SEARCH("beat",P2643)),ISNUMBER(SEARCH("lost",P2643))),"u","")))</f>
        <v/>
      </c>
      <c r="S2643" t="str">
        <f>IF(A2643=1,MAX($S$2:$S2642)+1,IF(OR($I2643&lt;&gt;"",A2643="x"),$S2642,""))</f>
        <v/>
      </c>
      <c r="T2643" t="str">
        <f>IF(D2643=1,MAX($T$2:$T2642)+1,IF(S2643=S2642,$T2642,IF(D2643="x",T2642,IF(D2642="x","",""))))</f>
        <v/>
      </c>
      <c r="U2643" t="str">
        <f>IF(B2643=1,MAX($U$2:$U2642)+1,IF(AND($T2643&lt;&gt;"",$T2643=$T2642),$U2642,IF(B2643="x",U2642,"")))</f>
        <v/>
      </c>
      <c r="V2643" t="str">
        <f>IF(C2643=1,MAX($V$2:$V2642)+1,IF(AND($T2643&lt;&gt;"",$T2643=$T2642),$U2642,IF(C2643="x",V2642,"")))</f>
        <v/>
      </c>
      <c r="X2643" cm="1">
        <f t="array" ref="X2643">IF($I2643&lt;&gt;"",$I2643,INDEX($I$1:$I2643,ROW()-COUNTIFS($T$1:$T2643,"="&amp;$T2643,$S$1:$S2643,"&lt;"&amp;$S2643)))</f>
        <v>0</v>
      </c>
      <c r="Z2643" s="6">
        <f t="shared" si="374"/>
        <v>1</v>
      </c>
      <c r="AA2643" t="e">
        <f t="shared" si="375"/>
        <v>#VALUE!</v>
      </c>
      <c r="AB2643" t="str">
        <f t="shared" si="376"/>
        <v/>
      </c>
      <c r="AC2643" t="e">
        <f t="shared" si="377"/>
        <v>#VALUE!</v>
      </c>
    </row>
    <row r="2644" spans="1:29" x14ac:dyDescent="0.2">
      <c r="A2644" t="str">
        <f t="shared" si="378"/>
        <v/>
      </c>
      <c r="E2644" s="4"/>
      <c r="F2644" s="46"/>
      <c r="G2644" s="4"/>
      <c r="H2644" s="48"/>
      <c r="J2644" s="26" t="str">
        <f t="shared" si="379"/>
        <v/>
      </c>
      <c r="N2644" t="str">
        <f t="shared" si="380"/>
        <v/>
      </c>
      <c r="Q2644" t="str">
        <f t="shared" si="381"/>
        <v/>
      </c>
      <c r="S2644" t="str">
        <f>IF(A2644=1,MAX($S$2:$S2643)+1,IF(OR($I2644&lt;&gt;"",A2644="x"),$S2643,""))</f>
        <v/>
      </c>
      <c r="T2644" t="str">
        <f>IF(D2644=1,MAX($T$2:$T2643)+1,IF(S2644=S2643,$T2643,IF(D2644="x",T2643,IF(D2643="x","",""))))</f>
        <v/>
      </c>
      <c r="U2644" t="str">
        <f>IF(B2644=1,MAX($U$2:$U2643)+1,IF(AND($T2644&lt;&gt;"",$T2644=$T2643),$U2643,IF(B2644="x",U2643,"")))</f>
        <v/>
      </c>
      <c r="V2644" t="str">
        <f>IF(C2644=1,MAX($V$2:$V2643)+1,IF(AND($T2644&lt;&gt;"",$T2644=$T2643),$U2643,IF(C2644="x",V2643,"")))</f>
        <v/>
      </c>
      <c r="X2644" cm="1">
        <f t="array" ref="X2644">IF($I2644&lt;&gt;"",$I2644,INDEX($I$1:$I2644,ROW()-COUNTIFS($T$1:$T2644,"="&amp;$T2644,$S$1:$S2644,"&lt;"&amp;$S2644)))</f>
        <v>0</v>
      </c>
      <c r="Z2644" s="6">
        <f t="shared" si="374"/>
        <v>1</v>
      </c>
      <c r="AA2644" t="e">
        <f t="shared" si="375"/>
        <v>#VALUE!</v>
      </c>
      <c r="AB2644" t="str">
        <f t="shared" si="376"/>
        <v/>
      </c>
      <c r="AC2644" t="e">
        <f t="shared" si="377"/>
        <v>#VALUE!</v>
      </c>
    </row>
    <row r="2645" spans="1:29" x14ac:dyDescent="0.2">
      <c r="A2645" t="str">
        <f t="shared" si="378"/>
        <v/>
      </c>
      <c r="E2645" s="4"/>
      <c r="F2645" s="46"/>
      <c r="G2645" s="4"/>
      <c r="H2645" s="48"/>
      <c r="J2645" s="26" t="str">
        <f t="shared" si="379"/>
        <v/>
      </c>
      <c r="N2645" t="str">
        <f t="shared" si="380"/>
        <v/>
      </c>
      <c r="Q2645" t="str">
        <f t="shared" si="381"/>
        <v/>
      </c>
      <c r="S2645" t="str">
        <f>IF(A2645=1,MAX($S$2:$S2644)+1,IF(OR($I2645&lt;&gt;"",A2645="x"),$S2644,""))</f>
        <v/>
      </c>
      <c r="T2645" t="str">
        <f>IF(D2645=1,MAX($T$2:$T2644)+1,IF(S2645=S2644,$T2644,IF(D2645="x",T2644,IF(D2644="x","",""))))</f>
        <v/>
      </c>
      <c r="U2645" t="str">
        <f>IF(B2645=1,MAX($U$2:$U2644)+1,IF(AND($T2645&lt;&gt;"",$T2645=$T2644),$U2644,IF(B2645="x",U2644,"")))</f>
        <v/>
      </c>
      <c r="V2645" t="str">
        <f>IF(C2645=1,MAX($V$2:$V2644)+1,IF(AND($T2645&lt;&gt;"",$T2645=$T2644),$U2644,IF(C2645="x",V2644,"")))</f>
        <v/>
      </c>
      <c r="X2645" cm="1">
        <f t="array" ref="X2645">IF($I2645&lt;&gt;"",$I2645,INDEX($I$1:$I2645,ROW()-COUNTIFS($T$1:$T2645,"="&amp;$T2645,$S$1:$S2645,"&lt;"&amp;$S2645)))</f>
        <v>0</v>
      </c>
      <c r="Z2645" s="6">
        <f t="shared" si="374"/>
        <v>1</v>
      </c>
      <c r="AA2645" t="e">
        <f t="shared" si="375"/>
        <v>#VALUE!</v>
      </c>
      <c r="AB2645" t="str">
        <f t="shared" si="376"/>
        <v/>
      </c>
      <c r="AC2645" t="e">
        <f t="shared" si="377"/>
        <v>#VALUE!</v>
      </c>
    </row>
    <row r="2646" spans="1:29" x14ac:dyDescent="0.2">
      <c r="A2646" t="str">
        <f t="shared" si="378"/>
        <v/>
      </c>
      <c r="E2646" s="4"/>
      <c r="F2646" s="46"/>
      <c r="G2646" s="4"/>
      <c r="H2646" s="48"/>
      <c r="J2646" s="26" t="str">
        <f t="shared" si="379"/>
        <v/>
      </c>
      <c r="N2646" t="str">
        <f t="shared" si="380"/>
        <v/>
      </c>
      <c r="Q2646" t="str">
        <f t="shared" si="381"/>
        <v/>
      </c>
      <c r="S2646" t="str">
        <f>IF(A2646=1,MAX($S$2:$S2645)+1,IF(OR($I2646&lt;&gt;"",A2646="x"),$S2645,""))</f>
        <v/>
      </c>
      <c r="T2646" t="str">
        <f>IF(D2646=1,MAX($T$2:$T2645)+1,IF(S2646=S2645,$T2645,IF(D2646="x",T2645,IF(D2645="x","",""))))</f>
        <v/>
      </c>
      <c r="U2646" t="str">
        <f>IF(B2646=1,MAX($U$2:$U2645)+1,IF(AND($T2646&lt;&gt;"",$T2646=$T2645),$U2645,IF(B2646="x",U2645,"")))</f>
        <v/>
      </c>
      <c r="V2646" t="str">
        <f>IF(C2646=1,MAX($V$2:$V2645)+1,IF(AND($T2646&lt;&gt;"",$T2646=$T2645),$U2645,IF(C2646="x",V2645,"")))</f>
        <v/>
      </c>
      <c r="X2646" cm="1">
        <f t="array" ref="X2646">IF($I2646&lt;&gt;"",$I2646,INDEX($I$1:$I2646,ROW()-COUNTIFS($T$1:$T2646,"="&amp;$T2646,$S$1:$S2646,"&lt;"&amp;$S2646)))</f>
        <v>0</v>
      </c>
      <c r="Z2646" s="6">
        <f t="shared" si="374"/>
        <v>1</v>
      </c>
      <c r="AA2646" t="e">
        <f t="shared" si="375"/>
        <v>#VALUE!</v>
      </c>
      <c r="AB2646" t="str">
        <f t="shared" si="376"/>
        <v/>
      </c>
      <c r="AC2646" t="e">
        <f t="shared" si="377"/>
        <v>#VALUE!</v>
      </c>
    </row>
    <row r="2647" spans="1:29" x14ac:dyDescent="0.2">
      <c r="A2647" t="str">
        <f t="shared" si="378"/>
        <v/>
      </c>
      <c r="E2647" s="4"/>
      <c r="F2647" s="46"/>
      <c r="G2647" s="4"/>
      <c r="H2647" s="48"/>
      <c r="J2647" s="26" t="str">
        <f t="shared" si="379"/>
        <v/>
      </c>
      <c r="N2647" t="str">
        <f t="shared" si="380"/>
        <v/>
      </c>
      <c r="Q2647" t="str">
        <f t="shared" si="381"/>
        <v/>
      </c>
      <c r="S2647" t="str">
        <f>IF(A2647=1,MAX($S$2:$S2646)+1,IF(OR($I2647&lt;&gt;"",A2647="x"),$S2646,""))</f>
        <v/>
      </c>
      <c r="T2647" t="str">
        <f>IF(D2647=1,MAX($T$2:$T2646)+1,IF(S2647=S2646,$T2646,IF(D2647="x",T2646,IF(D2646="x","",""))))</f>
        <v/>
      </c>
      <c r="U2647" t="str">
        <f>IF(B2647=1,MAX($U$2:$U2646)+1,IF(AND($T2647&lt;&gt;"",$T2647=$T2646),$U2646,IF(B2647="x",U2646,"")))</f>
        <v/>
      </c>
      <c r="V2647" t="str">
        <f>IF(C2647=1,MAX($V$2:$V2646)+1,IF(AND($T2647&lt;&gt;"",$T2647=$T2646),$U2646,IF(C2647="x",V2646,"")))</f>
        <v/>
      </c>
      <c r="X2647" cm="1">
        <f t="array" ref="X2647">IF($I2647&lt;&gt;"",$I2647,INDEX($I$1:$I2647,ROW()-COUNTIFS($T$1:$T2647,"="&amp;$T2647,$S$1:$S2647,"&lt;"&amp;$S2647)))</f>
        <v>0</v>
      </c>
      <c r="Z2647" s="6">
        <f t="shared" si="374"/>
        <v>1</v>
      </c>
      <c r="AA2647" t="e">
        <f t="shared" si="375"/>
        <v>#VALUE!</v>
      </c>
      <c r="AB2647" t="str">
        <f t="shared" si="376"/>
        <v/>
      </c>
      <c r="AC2647" t="e">
        <f t="shared" si="377"/>
        <v>#VALUE!</v>
      </c>
    </row>
    <row r="2648" spans="1:29" x14ac:dyDescent="0.2">
      <c r="A2648" t="str">
        <f t="shared" si="378"/>
        <v/>
      </c>
      <c r="E2648" s="4"/>
      <c r="F2648" s="46"/>
      <c r="G2648" s="4"/>
      <c r="H2648" s="48"/>
      <c r="J2648" s="26" t="str">
        <f t="shared" si="379"/>
        <v/>
      </c>
      <c r="N2648" t="str">
        <f t="shared" si="380"/>
        <v/>
      </c>
      <c r="Q2648" t="str">
        <f t="shared" si="381"/>
        <v/>
      </c>
      <c r="S2648" t="str">
        <f>IF(A2648=1,MAX($S$2:$S2647)+1,IF(OR($I2648&lt;&gt;"",A2648="x"),$S2647,""))</f>
        <v/>
      </c>
      <c r="T2648" t="str">
        <f>IF(D2648=1,MAX($T$2:$T2647)+1,IF(S2648=S2647,$T2647,IF(D2648="x",T2647,IF(D2647="x","",""))))</f>
        <v/>
      </c>
      <c r="U2648" t="str">
        <f>IF(B2648=1,MAX($U$2:$U2647)+1,IF(AND($T2648&lt;&gt;"",$T2648=$T2647),$U2647,IF(B2648="x",U2647,"")))</f>
        <v/>
      </c>
      <c r="V2648" t="str">
        <f>IF(C2648=1,MAX($V$2:$V2647)+1,IF(AND($T2648&lt;&gt;"",$T2648=$T2647),$U2647,IF(C2648="x",V2647,"")))</f>
        <v/>
      </c>
      <c r="X2648" cm="1">
        <f t="array" ref="X2648">IF($I2648&lt;&gt;"",$I2648,INDEX($I$1:$I2648,ROW()-COUNTIFS($T$1:$T2648,"="&amp;$T2648,$S$1:$S2648,"&lt;"&amp;$S2648)))</f>
        <v>0</v>
      </c>
      <c r="Z2648" s="6">
        <f t="shared" si="374"/>
        <v>1</v>
      </c>
      <c r="AA2648" t="e">
        <f t="shared" si="375"/>
        <v>#VALUE!</v>
      </c>
      <c r="AB2648" t="str">
        <f t="shared" si="376"/>
        <v/>
      </c>
      <c r="AC2648" t="e">
        <f t="shared" si="377"/>
        <v>#VALUE!</v>
      </c>
    </row>
    <row r="2649" spans="1:29" x14ac:dyDescent="0.2">
      <c r="A2649" t="str">
        <f t="shared" si="378"/>
        <v/>
      </c>
      <c r="E2649" s="4"/>
      <c r="F2649" s="46"/>
      <c r="G2649" s="4"/>
      <c r="H2649" s="48"/>
      <c r="J2649" s="26" t="str">
        <f t="shared" si="379"/>
        <v/>
      </c>
      <c r="N2649" t="str">
        <f t="shared" si="380"/>
        <v/>
      </c>
      <c r="Q2649" t="str">
        <f t="shared" si="381"/>
        <v/>
      </c>
      <c r="S2649" t="str">
        <f>IF(A2649=1,MAX($S$2:$S2648)+1,IF(OR($I2649&lt;&gt;"",A2649="x"),$S2648,""))</f>
        <v/>
      </c>
      <c r="T2649" t="str">
        <f>IF(D2649=1,MAX($T$2:$T2648)+1,IF(S2649=S2648,$T2648,IF(D2649="x",T2648,IF(D2648="x","",""))))</f>
        <v/>
      </c>
      <c r="U2649" t="str">
        <f>IF(B2649=1,MAX($U$2:$U2648)+1,IF(AND($T2649&lt;&gt;"",$T2649=$T2648),$U2648,IF(B2649="x",U2648,"")))</f>
        <v/>
      </c>
      <c r="V2649" t="str">
        <f>IF(C2649=1,MAX($V$2:$V2648)+1,IF(AND($T2649&lt;&gt;"",$T2649=$T2648),$U2648,IF(C2649="x",V2648,"")))</f>
        <v/>
      </c>
      <c r="X2649" cm="1">
        <f t="array" ref="X2649">IF($I2649&lt;&gt;"",$I2649,INDEX($I$1:$I2649,ROW()-COUNTIFS($T$1:$T2649,"="&amp;$T2649,$S$1:$S2649,"&lt;"&amp;$S2649)))</f>
        <v>0</v>
      </c>
      <c r="Z2649" s="6">
        <f t="shared" si="374"/>
        <v>1</v>
      </c>
      <c r="AA2649" t="e">
        <f t="shared" si="375"/>
        <v>#VALUE!</v>
      </c>
      <c r="AB2649" t="str">
        <f t="shared" si="376"/>
        <v/>
      </c>
      <c r="AC2649" t="e">
        <f t="shared" si="377"/>
        <v>#VALUE!</v>
      </c>
    </row>
    <row r="2650" spans="1:29" x14ac:dyDescent="0.2">
      <c r="A2650" t="str">
        <f t="shared" si="378"/>
        <v/>
      </c>
      <c r="E2650" s="4"/>
      <c r="F2650" s="46"/>
      <c r="G2650" s="4"/>
      <c r="H2650" s="48"/>
      <c r="J2650" s="26" t="str">
        <f t="shared" si="379"/>
        <v/>
      </c>
      <c r="N2650" t="str">
        <f t="shared" si="380"/>
        <v/>
      </c>
      <c r="Q2650" t="str">
        <f t="shared" si="381"/>
        <v/>
      </c>
      <c r="S2650" t="str">
        <f>IF(A2650=1,MAX($S$2:$S2649)+1,IF(OR($I2650&lt;&gt;"",A2650="x"),$S2649,""))</f>
        <v/>
      </c>
      <c r="T2650" t="str">
        <f>IF(D2650=1,MAX($T$2:$T2649)+1,IF(S2650=S2649,$T2649,IF(D2650="x",T2649,IF(D2649="x","",""))))</f>
        <v/>
      </c>
      <c r="U2650" t="str">
        <f>IF(B2650=1,MAX($U$2:$U2649)+1,IF(AND($T2650&lt;&gt;"",$T2650=$T2649),$U2649,IF(B2650="x",U2649,"")))</f>
        <v/>
      </c>
      <c r="V2650" t="str">
        <f>IF(C2650=1,MAX($V$2:$V2649)+1,IF(AND($T2650&lt;&gt;"",$T2650=$T2649),$U2649,IF(C2650="x",V2649,"")))</f>
        <v/>
      </c>
      <c r="X2650" cm="1">
        <f t="array" ref="X2650">IF($I2650&lt;&gt;"",$I2650,INDEX($I$1:$I2650,ROW()-COUNTIFS($T$1:$T2650,"="&amp;$T2650,$S$1:$S2650,"&lt;"&amp;$S2650)))</f>
        <v>0</v>
      </c>
      <c r="Z2650" s="6">
        <f t="shared" si="374"/>
        <v>1</v>
      </c>
      <c r="AA2650" t="e">
        <f t="shared" si="375"/>
        <v>#VALUE!</v>
      </c>
      <c r="AB2650" t="str">
        <f t="shared" si="376"/>
        <v/>
      </c>
      <c r="AC2650" t="e">
        <f t="shared" si="377"/>
        <v>#VALUE!</v>
      </c>
    </row>
    <row r="2651" spans="1:29" x14ac:dyDescent="0.2">
      <c r="A2651" t="str">
        <f t="shared" si="378"/>
        <v/>
      </c>
      <c r="E2651" s="4"/>
      <c r="F2651" s="46"/>
      <c r="G2651" s="4"/>
      <c r="H2651" s="48"/>
      <c r="J2651" s="26" t="str">
        <f t="shared" si="379"/>
        <v/>
      </c>
      <c r="N2651" t="str">
        <f t="shared" si="380"/>
        <v/>
      </c>
      <c r="Q2651" t="str">
        <f t="shared" si="381"/>
        <v/>
      </c>
      <c r="S2651" t="str">
        <f>IF(A2651=1,MAX($S$2:$S2650)+1,IF(OR($I2651&lt;&gt;"",A2651="x"),$S2650,""))</f>
        <v/>
      </c>
      <c r="T2651" t="str">
        <f>IF(D2651=1,MAX($T$2:$T2650)+1,IF(S2651=S2650,$T2650,IF(D2651="x",T2650,IF(D2650="x","",""))))</f>
        <v/>
      </c>
      <c r="U2651" t="str">
        <f>IF(B2651=1,MAX($U$2:$U2650)+1,IF(AND($T2651&lt;&gt;"",$T2651=$T2650),$U2650,IF(B2651="x",U2650,"")))</f>
        <v/>
      </c>
      <c r="V2651" t="str">
        <f>IF(C2651=1,MAX($V$2:$V2650)+1,IF(AND($T2651&lt;&gt;"",$T2651=$T2650),$U2650,IF(C2651="x",V2650,"")))</f>
        <v/>
      </c>
      <c r="X2651" cm="1">
        <f t="array" ref="X2651">IF($I2651&lt;&gt;"",$I2651,INDEX($I$1:$I2651,ROW()-COUNTIFS($T$1:$T2651,"="&amp;$T2651,$S$1:$S2651,"&lt;"&amp;$S2651)))</f>
        <v>0</v>
      </c>
      <c r="Z2651" s="6">
        <f t="shared" si="374"/>
        <v>1</v>
      </c>
      <c r="AA2651" t="e">
        <f t="shared" si="375"/>
        <v>#VALUE!</v>
      </c>
      <c r="AB2651" t="str">
        <f t="shared" si="376"/>
        <v/>
      </c>
      <c r="AC2651" t="e">
        <f t="shared" si="377"/>
        <v>#VALUE!</v>
      </c>
    </row>
    <row r="2652" spans="1:29" x14ac:dyDescent="0.2">
      <c r="A2652" t="str">
        <f t="shared" si="378"/>
        <v/>
      </c>
      <c r="E2652" s="4"/>
      <c r="F2652" s="46"/>
      <c r="G2652" s="4"/>
      <c r="H2652" s="48"/>
      <c r="J2652" s="26" t="str">
        <f t="shared" si="379"/>
        <v/>
      </c>
      <c r="N2652" t="str">
        <f t="shared" si="380"/>
        <v/>
      </c>
      <c r="Q2652" t="str">
        <f t="shared" si="381"/>
        <v/>
      </c>
      <c r="S2652" t="str">
        <f>IF(A2652=1,MAX($S$2:$S2651)+1,IF(OR($I2652&lt;&gt;"",A2652="x"),$S2651,""))</f>
        <v/>
      </c>
      <c r="T2652" t="str">
        <f>IF(D2652=1,MAX($T$2:$T2651)+1,IF(S2652=S2651,$T2651,IF(D2652="x",T2651,IF(D2651="x","",""))))</f>
        <v/>
      </c>
      <c r="U2652" t="str">
        <f>IF(B2652=1,MAX($U$2:$U2651)+1,IF(AND($T2652&lt;&gt;"",$T2652=$T2651),$U2651,IF(B2652="x",U2651,"")))</f>
        <v/>
      </c>
      <c r="V2652" t="str">
        <f>IF(C2652=1,MAX($V$2:$V2651)+1,IF(AND($T2652&lt;&gt;"",$T2652=$T2651),$U2651,IF(C2652="x",V2651,"")))</f>
        <v/>
      </c>
      <c r="X2652" cm="1">
        <f t="array" ref="X2652">IF($I2652&lt;&gt;"",$I2652,INDEX($I$1:$I2652,ROW()-COUNTIFS($T$1:$T2652,"="&amp;$T2652,$S$1:$S2652,"&lt;"&amp;$S2652)))</f>
        <v>0</v>
      </c>
      <c r="Z2652" s="6">
        <f t="shared" si="374"/>
        <v>1</v>
      </c>
      <c r="AA2652" t="e">
        <f t="shared" si="375"/>
        <v>#VALUE!</v>
      </c>
      <c r="AB2652" t="str">
        <f t="shared" si="376"/>
        <v/>
      </c>
      <c r="AC2652" t="e">
        <f t="shared" si="377"/>
        <v>#VALUE!</v>
      </c>
    </row>
    <row r="2653" spans="1:29" x14ac:dyDescent="0.2">
      <c r="A2653" t="str">
        <f t="shared" si="378"/>
        <v/>
      </c>
      <c r="E2653" s="4"/>
      <c r="F2653" s="46"/>
      <c r="G2653" s="4"/>
      <c r="H2653" s="48"/>
      <c r="J2653" s="26" t="str">
        <f t="shared" si="379"/>
        <v/>
      </c>
      <c r="N2653" t="str">
        <f t="shared" si="380"/>
        <v/>
      </c>
      <c r="Q2653" t="str">
        <f t="shared" si="381"/>
        <v/>
      </c>
      <c r="S2653" t="str">
        <f>IF(A2653=1,MAX($S$2:$S2652)+1,IF(OR($I2653&lt;&gt;"",A2653="x"),$S2652,""))</f>
        <v/>
      </c>
      <c r="T2653" t="str">
        <f>IF(D2653=1,MAX($T$2:$T2652)+1,IF(S2653=S2652,$T2652,IF(D2653="x",T2652,IF(D2652="x","",""))))</f>
        <v/>
      </c>
      <c r="U2653" t="str">
        <f>IF(B2653=1,MAX($U$2:$U2652)+1,IF(AND($T2653&lt;&gt;"",$T2653=$T2652),$U2652,IF(B2653="x",U2652,"")))</f>
        <v/>
      </c>
      <c r="V2653" t="str">
        <f>IF(C2653=1,MAX($V$2:$V2652)+1,IF(AND($T2653&lt;&gt;"",$T2653=$T2652),$U2652,IF(C2653="x",V2652,"")))</f>
        <v/>
      </c>
      <c r="X2653" cm="1">
        <f t="array" ref="X2653">IF($I2653&lt;&gt;"",$I2653,INDEX($I$1:$I2653,ROW()-COUNTIFS($T$1:$T2653,"="&amp;$T2653,$S$1:$S2653,"&lt;"&amp;$S2653)))</f>
        <v>0</v>
      </c>
      <c r="Z2653" s="6">
        <f t="shared" si="374"/>
        <v>1</v>
      </c>
      <c r="AA2653" t="e">
        <f t="shared" si="375"/>
        <v>#VALUE!</v>
      </c>
      <c r="AB2653" t="str">
        <f t="shared" si="376"/>
        <v/>
      </c>
      <c r="AC2653" t="e">
        <f t="shared" si="377"/>
        <v>#VALUE!</v>
      </c>
    </row>
    <row r="2654" spans="1:29" x14ac:dyDescent="0.2">
      <c r="A2654" t="str">
        <f t="shared" si="378"/>
        <v/>
      </c>
      <c r="E2654" s="4"/>
      <c r="F2654" s="46"/>
      <c r="G2654" s="4"/>
      <c r="H2654" s="48"/>
      <c r="J2654" s="26" t="str">
        <f t="shared" si="379"/>
        <v/>
      </c>
      <c r="N2654" t="str">
        <f t="shared" si="380"/>
        <v/>
      </c>
      <c r="Q2654" t="str">
        <f t="shared" si="381"/>
        <v/>
      </c>
      <c r="S2654" t="str">
        <f>IF(A2654=1,MAX($S$2:$S2653)+1,IF(OR($I2654&lt;&gt;"",A2654="x"),$S2653,""))</f>
        <v/>
      </c>
      <c r="T2654" t="str">
        <f>IF(D2654=1,MAX($T$2:$T2653)+1,IF(S2654=S2653,$T2653,IF(D2654="x",T2653,IF(D2653="x","",""))))</f>
        <v/>
      </c>
      <c r="U2654" t="str">
        <f>IF(B2654=1,MAX($U$2:$U2653)+1,IF(AND($T2654&lt;&gt;"",$T2654=$T2653),$U2653,IF(B2654="x",U2653,"")))</f>
        <v/>
      </c>
      <c r="V2654" t="str">
        <f>IF(C2654=1,MAX($V$2:$V2653)+1,IF(AND($T2654&lt;&gt;"",$T2654=$T2653),$U2653,IF(C2654="x",V2653,"")))</f>
        <v/>
      </c>
      <c r="X2654" cm="1">
        <f t="array" ref="X2654">IF($I2654&lt;&gt;"",$I2654,INDEX($I$1:$I2654,ROW()-COUNTIFS($T$1:$T2654,"="&amp;$T2654,$S$1:$S2654,"&lt;"&amp;$S2654)))</f>
        <v>0</v>
      </c>
      <c r="Z2654" s="6">
        <f t="shared" si="374"/>
        <v>1</v>
      </c>
      <c r="AA2654" t="e">
        <f t="shared" si="375"/>
        <v>#VALUE!</v>
      </c>
      <c r="AB2654" t="str">
        <f t="shared" si="376"/>
        <v/>
      </c>
      <c r="AC2654" t="e">
        <f t="shared" si="377"/>
        <v>#VALUE!</v>
      </c>
    </row>
    <row r="2655" spans="1:29" x14ac:dyDescent="0.2">
      <c r="A2655" t="str">
        <f t="shared" si="378"/>
        <v/>
      </c>
      <c r="E2655" s="4"/>
      <c r="F2655" s="46"/>
      <c r="G2655" s="4"/>
      <c r="H2655" s="48"/>
      <c r="J2655" s="26" t="str">
        <f t="shared" si="379"/>
        <v/>
      </c>
      <c r="N2655" t="str">
        <f t="shared" si="380"/>
        <v/>
      </c>
      <c r="Q2655" t="str">
        <f t="shared" si="381"/>
        <v/>
      </c>
      <c r="S2655" t="str">
        <f>IF(A2655=1,MAX($S$2:$S2654)+1,IF(OR($I2655&lt;&gt;"",A2655="x"),$S2654,""))</f>
        <v/>
      </c>
      <c r="T2655" t="str">
        <f>IF(D2655=1,MAX($T$2:$T2654)+1,IF(S2655=S2654,$T2654,IF(D2655="x",T2654,IF(D2654="x","",""))))</f>
        <v/>
      </c>
      <c r="U2655" t="str">
        <f>IF(B2655=1,MAX($U$2:$U2654)+1,IF(AND($T2655&lt;&gt;"",$T2655=$T2654),$U2654,IF(B2655="x",U2654,"")))</f>
        <v/>
      </c>
      <c r="V2655" t="str">
        <f>IF(C2655=1,MAX($V$2:$V2654)+1,IF(AND($T2655&lt;&gt;"",$T2655=$T2654),$U2654,IF(C2655="x",V2654,"")))</f>
        <v/>
      </c>
      <c r="X2655" cm="1">
        <f t="array" ref="X2655">IF($I2655&lt;&gt;"",$I2655,INDEX($I$1:$I2655,ROW()-COUNTIFS($T$1:$T2655,"="&amp;$T2655,$S$1:$S2655,"&lt;"&amp;$S2655)))</f>
        <v>0</v>
      </c>
      <c r="Z2655" s="6">
        <f t="shared" si="374"/>
        <v>1</v>
      </c>
      <c r="AA2655" t="e">
        <f t="shared" si="375"/>
        <v>#VALUE!</v>
      </c>
      <c r="AB2655" t="str">
        <f t="shared" si="376"/>
        <v/>
      </c>
      <c r="AC2655" t="e">
        <f t="shared" si="377"/>
        <v>#VALUE!</v>
      </c>
    </row>
    <row r="2656" spans="1:29" x14ac:dyDescent="0.2">
      <c r="A2656" t="str">
        <f t="shared" si="378"/>
        <v/>
      </c>
      <c r="E2656" s="4"/>
      <c r="F2656" s="46"/>
      <c r="G2656" s="4"/>
      <c r="H2656" s="48"/>
      <c r="J2656" s="26" t="str">
        <f t="shared" si="379"/>
        <v/>
      </c>
      <c r="N2656" t="str">
        <f t="shared" si="380"/>
        <v/>
      </c>
      <c r="Q2656" t="str">
        <f t="shared" si="381"/>
        <v/>
      </c>
      <c r="S2656" t="str">
        <f>IF(A2656=1,MAX($S$2:$S2655)+1,IF(OR($I2656&lt;&gt;"",A2656="x"),$S2655,""))</f>
        <v/>
      </c>
      <c r="T2656" t="str">
        <f>IF(D2656=1,MAX($T$2:$T2655)+1,IF(S2656=S2655,$T2655,IF(D2656="x",T2655,IF(D2655="x","",""))))</f>
        <v/>
      </c>
      <c r="U2656" t="str">
        <f>IF(B2656=1,MAX($U$2:$U2655)+1,IF(AND($T2656&lt;&gt;"",$T2656=$T2655),$U2655,IF(B2656="x",U2655,"")))</f>
        <v/>
      </c>
      <c r="V2656" t="str">
        <f>IF(C2656=1,MAX($V$2:$V2655)+1,IF(AND($T2656&lt;&gt;"",$T2656=$T2655),$U2655,IF(C2656="x",V2655,"")))</f>
        <v/>
      </c>
      <c r="X2656" cm="1">
        <f t="array" ref="X2656">IF($I2656&lt;&gt;"",$I2656,INDEX($I$1:$I2656,ROW()-COUNTIFS($T$1:$T2656,"="&amp;$T2656,$S$1:$S2656,"&lt;"&amp;$S2656)))</f>
        <v>0</v>
      </c>
      <c r="Z2656" s="6">
        <f t="shared" si="374"/>
        <v>1</v>
      </c>
      <c r="AA2656" t="e">
        <f t="shared" si="375"/>
        <v>#VALUE!</v>
      </c>
      <c r="AB2656" t="str">
        <f t="shared" si="376"/>
        <v/>
      </c>
      <c r="AC2656" t="e">
        <f t="shared" si="377"/>
        <v>#VALUE!</v>
      </c>
    </row>
    <row r="2657" spans="1:29" x14ac:dyDescent="0.2">
      <c r="A2657" t="str">
        <f t="shared" si="378"/>
        <v/>
      </c>
      <c r="E2657" s="4"/>
      <c r="F2657" s="46"/>
      <c r="G2657" s="4"/>
      <c r="H2657" s="48"/>
      <c r="J2657" s="26" t="str">
        <f t="shared" si="379"/>
        <v/>
      </c>
      <c r="N2657" t="str">
        <f t="shared" si="380"/>
        <v/>
      </c>
      <c r="Q2657" t="str">
        <f t="shared" si="381"/>
        <v/>
      </c>
      <c r="S2657" t="str">
        <f>IF(A2657=1,MAX($S$2:$S2656)+1,IF(OR($I2657&lt;&gt;"",A2657="x"),$S2656,""))</f>
        <v/>
      </c>
      <c r="T2657" t="str">
        <f>IF(D2657=1,MAX($T$2:$T2656)+1,IF(S2657=S2656,$T2656,IF(D2657="x",T2656,IF(D2656="x","",""))))</f>
        <v/>
      </c>
      <c r="U2657" t="str">
        <f>IF(B2657=1,MAX($U$2:$U2656)+1,IF(AND($T2657&lt;&gt;"",$T2657=$T2656),$U2656,IF(B2657="x",U2656,"")))</f>
        <v/>
      </c>
      <c r="V2657" t="str">
        <f>IF(C2657=1,MAX($V$2:$V2656)+1,IF(AND($T2657&lt;&gt;"",$T2657=$T2656),$U2656,IF(C2657="x",V2656,"")))</f>
        <v/>
      </c>
      <c r="X2657" cm="1">
        <f t="array" ref="X2657">IF($I2657&lt;&gt;"",$I2657,INDEX($I$1:$I2657,ROW()-COUNTIFS($T$1:$T2657,"="&amp;$T2657,$S$1:$S2657,"&lt;"&amp;$S2657)))</f>
        <v>0</v>
      </c>
      <c r="Z2657" s="6">
        <f t="shared" si="374"/>
        <v>1</v>
      </c>
      <c r="AA2657" t="e">
        <f t="shared" si="375"/>
        <v>#VALUE!</v>
      </c>
      <c r="AB2657" t="str">
        <f t="shared" si="376"/>
        <v/>
      </c>
      <c r="AC2657" t="e">
        <f t="shared" si="377"/>
        <v>#VALUE!</v>
      </c>
    </row>
    <row r="2658" spans="1:29" x14ac:dyDescent="0.2">
      <c r="A2658" t="str">
        <f t="shared" si="378"/>
        <v/>
      </c>
      <c r="E2658" s="4"/>
      <c r="F2658" s="46"/>
      <c r="G2658" s="4"/>
      <c r="H2658" s="48"/>
      <c r="J2658" s="26" t="str">
        <f t="shared" si="379"/>
        <v/>
      </c>
      <c r="N2658" t="str">
        <f t="shared" si="380"/>
        <v/>
      </c>
      <c r="Q2658" t="str">
        <f t="shared" si="381"/>
        <v/>
      </c>
      <c r="S2658" t="str">
        <f>IF(A2658=1,MAX($S$2:$S2657)+1,IF(OR($I2658&lt;&gt;"",A2658="x"),$S2657,""))</f>
        <v/>
      </c>
      <c r="T2658" t="str">
        <f>IF(D2658=1,MAX($T$2:$T2657)+1,IF(S2658=S2657,$T2657,IF(D2658="x",T2657,IF(D2657="x","",""))))</f>
        <v/>
      </c>
      <c r="U2658" t="str">
        <f>IF(B2658=1,MAX($U$2:$U2657)+1,IF(AND($T2658&lt;&gt;"",$T2658=$T2657),$U2657,IF(B2658="x",U2657,"")))</f>
        <v/>
      </c>
      <c r="V2658" t="str">
        <f>IF(C2658=1,MAX($V$2:$V2657)+1,IF(AND($T2658&lt;&gt;"",$T2658=$T2657),$U2657,IF(C2658="x",V2657,"")))</f>
        <v/>
      </c>
      <c r="X2658" cm="1">
        <f t="array" ref="X2658">IF($I2658&lt;&gt;"",$I2658,INDEX($I$1:$I2658,ROW()-COUNTIFS($T$1:$T2658,"="&amp;$T2658,$S$1:$S2658,"&lt;"&amp;$S2658)))</f>
        <v>0</v>
      </c>
      <c r="Z2658" s="6">
        <f t="shared" si="374"/>
        <v>1</v>
      </c>
      <c r="AA2658" t="e">
        <f t="shared" si="375"/>
        <v>#VALUE!</v>
      </c>
      <c r="AB2658" t="str">
        <f t="shared" si="376"/>
        <v/>
      </c>
      <c r="AC2658" t="e">
        <f t="shared" si="377"/>
        <v>#VALUE!</v>
      </c>
    </row>
    <row r="2659" spans="1:29" x14ac:dyDescent="0.2">
      <c r="A2659" t="str">
        <f t="shared" si="378"/>
        <v/>
      </c>
      <c r="E2659" s="4"/>
      <c r="F2659" s="46"/>
      <c r="G2659" s="4"/>
      <c r="H2659" s="48"/>
      <c r="J2659" s="26" t="str">
        <f t="shared" si="379"/>
        <v/>
      </c>
      <c r="N2659" t="str">
        <f t="shared" si="380"/>
        <v/>
      </c>
      <c r="Q2659" t="str">
        <f t="shared" si="381"/>
        <v/>
      </c>
      <c r="S2659" t="str">
        <f>IF(A2659=1,MAX($S$2:$S2658)+1,IF(OR($I2659&lt;&gt;"",A2659="x"),$S2658,""))</f>
        <v/>
      </c>
      <c r="T2659" t="str">
        <f>IF(D2659=1,MAX($T$2:$T2658)+1,IF(S2659=S2658,$T2658,IF(D2659="x",T2658,IF(D2658="x","",""))))</f>
        <v/>
      </c>
      <c r="U2659" t="str">
        <f>IF(B2659=1,MAX($U$2:$U2658)+1,IF(AND($T2659&lt;&gt;"",$T2659=$T2658),$U2658,IF(B2659="x",U2658,"")))</f>
        <v/>
      </c>
      <c r="V2659" t="str">
        <f>IF(C2659=1,MAX($V$2:$V2658)+1,IF(AND($T2659&lt;&gt;"",$T2659=$T2658),$U2658,IF(C2659="x",V2658,"")))</f>
        <v/>
      </c>
      <c r="X2659" cm="1">
        <f t="array" ref="X2659">IF($I2659&lt;&gt;"",$I2659,INDEX($I$1:$I2659,ROW()-COUNTIFS($T$1:$T2659,"="&amp;$T2659,$S$1:$S2659,"&lt;"&amp;$S2659)))</f>
        <v>0</v>
      </c>
      <c r="Z2659" s="6">
        <f t="shared" si="374"/>
        <v>1</v>
      </c>
      <c r="AA2659" t="e">
        <f t="shared" si="375"/>
        <v>#VALUE!</v>
      </c>
      <c r="AB2659" t="str">
        <f t="shared" si="376"/>
        <v/>
      </c>
      <c r="AC2659" t="e">
        <f t="shared" si="377"/>
        <v>#VALUE!</v>
      </c>
    </row>
    <row r="2660" spans="1:29" x14ac:dyDescent="0.2">
      <c r="A2660" t="str">
        <f t="shared" si="378"/>
        <v/>
      </c>
      <c r="E2660" s="4"/>
      <c r="F2660" s="46"/>
      <c r="G2660" s="4"/>
      <c r="H2660" s="48"/>
      <c r="J2660" s="26" t="str">
        <f t="shared" si="379"/>
        <v/>
      </c>
      <c r="N2660" t="str">
        <f t="shared" si="380"/>
        <v/>
      </c>
      <c r="Q2660" t="str">
        <f t="shared" si="381"/>
        <v/>
      </c>
      <c r="S2660" t="str">
        <f>IF(A2660=1,MAX($S$2:$S2659)+1,IF(OR($I2660&lt;&gt;"",A2660="x"),$S2659,""))</f>
        <v/>
      </c>
      <c r="T2660" t="str">
        <f>IF(D2660=1,MAX($T$2:$T2659)+1,IF(S2660=S2659,$T2659,IF(D2660="x",T2659,IF(D2659="x","",""))))</f>
        <v/>
      </c>
      <c r="U2660" t="str">
        <f>IF(B2660=1,MAX($U$2:$U2659)+1,IF(AND($T2660&lt;&gt;"",$T2660=$T2659),$U2659,IF(B2660="x",U2659,"")))</f>
        <v/>
      </c>
      <c r="V2660" t="str">
        <f>IF(C2660=1,MAX($V$2:$V2659)+1,IF(AND($T2660&lt;&gt;"",$T2660=$T2659),$U2659,IF(C2660="x",V2659,"")))</f>
        <v/>
      </c>
      <c r="X2660" cm="1">
        <f t="array" ref="X2660">IF($I2660&lt;&gt;"",$I2660,INDEX($I$1:$I2660,ROW()-COUNTIFS($T$1:$T2660,"="&amp;$T2660,$S$1:$S2660,"&lt;"&amp;$S2660)))</f>
        <v>0</v>
      </c>
      <c r="Z2660" s="6">
        <f t="shared" si="374"/>
        <v>1</v>
      </c>
      <c r="AA2660" t="e">
        <f t="shared" si="375"/>
        <v>#VALUE!</v>
      </c>
      <c r="AB2660" t="str">
        <f t="shared" si="376"/>
        <v/>
      </c>
      <c r="AC2660" t="e">
        <f t="shared" si="377"/>
        <v>#VALUE!</v>
      </c>
    </row>
    <row r="2661" spans="1:29" x14ac:dyDescent="0.2">
      <c r="A2661" t="str">
        <f t="shared" si="378"/>
        <v/>
      </c>
      <c r="E2661" s="4"/>
      <c r="F2661" s="46"/>
      <c r="G2661" s="4"/>
      <c r="H2661" s="48"/>
      <c r="J2661" s="26" t="str">
        <f t="shared" si="379"/>
        <v/>
      </c>
      <c r="N2661" t="str">
        <f t="shared" si="380"/>
        <v/>
      </c>
      <c r="Q2661" t="str">
        <f t="shared" si="381"/>
        <v/>
      </c>
      <c r="S2661" t="str">
        <f>IF(A2661=1,MAX($S$2:$S2660)+1,IF(OR($I2661&lt;&gt;"",A2661="x"),$S2660,""))</f>
        <v/>
      </c>
      <c r="T2661" t="str">
        <f>IF(D2661=1,MAX($T$2:$T2660)+1,IF(S2661=S2660,$T2660,IF(D2661="x",T2660,IF(D2660="x","",""))))</f>
        <v/>
      </c>
      <c r="U2661" t="str">
        <f>IF(B2661=1,MAX($U$2:$U2660)+1,IF(AND($T2661&lt;&gt;"",$T2661=$T2660),$U2660,IF(B2661="x",U2660,"")))</f>
        <v/>
      </c>
      <c r="V2661" t="str">
        <f>IF(C2661=1,MAX($V$2:$V2660)+1,IF(AND($T2661&lt;&gt;"",$T2661=$T2660),$U2660,IF(C2661="x",V2660,"")))</f>
        <v/>
      </c>
      <c r="X2661" cm="1">
        <f t="array" ref="X2661">IF($I2661&lt;&gt;"",$I2661,INDEX($I$1:$I2661,ROW()-COUNTIFS($T$1:$T2661,"="&amp;$T2661,$S$1:$S2661,"&lt;"&amp;$S2661)))</f>
        <v>0</v>
      </c>
      <c r="Z2661" s="6">
        <f t="shared" si="374"/>
        <v>1</v>
      </c>
      <c r="AA2661" t="e">
        <f t="shared" si="375"/>
        <v>#VALUE!</v>
      </c>
      <c r="AB2661" t="str">
        <f t="shared" si="376"/>
        <v/>
      </c>
      <c r="AC2661" t="e">
        <f t="shared" si="377"/>
        <v>#VALUE!</v>
      </c>
    </row>
    <row r="2662" spans="1:29" x14ac:dyDescent="0.2">
      <c r="A2662" t="str">
        <f t="shared" si="378"/>
        <v/>
      </c>
      <c r="E2662" s="4"/>
      <c r="F2662" s="46"/>
      <c r="G2662" s="4"/>
      <c r="H2662" s="48"/>
      <c r="J2662" s="26" t="str">
        <f t="shared" si="379"/>
        <v/>
      </c>
      <c r="N2662" t="str">
        <f t="shared" si="380"/>
        <v/>
      </c>
      <c r="Q2662" t="str">
        <f t="shared" si="381"/>
        <v/>
      </c>
      <c r="S2662" t="str">
        <f>IF(A2662=1,MAX($S$2:$S2661)+1,IF(OR($I2662&lt;&gt;"",A2662="x"),$S2661,""))</f>
        <v/>
      </c>
      <c r="T2662" t="str">
        <f>IF(D2662=1,MAX($T$2:$T2661)+1,IF(S2662=S2661,$T2661,IF(D2662="x",T2661,IF(D2661="x","",""))))</f>
        <v/>
      </c>
      <c r="U2662" t="str">
        <f>IF(B2662=1,MAX($U$2:$U2661)+1,IF(AND($T2662&lt;&gt;"",$T2662=$T2661),$U2661,IF(B2662="x",U2661,"")))</f>
        <v/>
      </c>
      <c r="V2662" t="str">
        <f>IF(C2662=1,MAX($V$2:$V2661)+1,IF(AND($T2662&lt;&gt;"",$T2662=$T2661),$U2661,IF(C2662="x",V2661,"")))</f>
        <v/>
      </c>
      <c r="X2662" cm="1">
        <f t="array" ref="X2662">IF($I2662&lt;&gt;"",$I2662,INDEX($I$1:$I2662,ROW()-COUNTIFS($T$1:$T2662,"="&amp;$T2662,$S$1:$S2662,"&lt;"&amp;$S2662)))</f>
        <v>0</v>
      </c>
      <c r="Z2662" s="6">
        <f t="shared" si="374"/>
        <v>1</v>
      </c>
      <c r="AA2662" t="e">
        <f t="shared" si="375"/>
        <v>#VALUE!</v>
      </c>
      <c r="AB2662" t="str">
        <f t="shared" si="376"/>
        <v/>
      </c>
      <c r="AC2662" t="e">
        <f t="shared" si="377"/>
        <v>#VALUE!</v>
      </c>
    </row>
    <row r="2663" spans="1:29" x14ac:dyDescent="0.2">
      <c r="A2663" t="str">
        <f t="shared" si="378"/>
        <v/>
      </c>
      <c r="E2663" s="4"/>
      <c r="F2663" s="46"/>
      <c r="G2663" s="4"/>
      <c r="H2663" s="48"/>
      <c r="J2663" s="26" t="str">
        <f t="shared" si="379"/>
        <v/>
      </c>
      <c r="N2663" t="str">
        <f t="shared" si="380"/>
        <v/>
      </c>
      <c r="Q2663" t="str">
        <f t="shared" si="381"/>
        <v/>
      </c>
      <c r="S2663" t="str">
        <f>IF(A2663=1,MAX($S$2:$S2662)+1,IF(OR($I2663&lt;&gt;"",A2663="x"),$S2662,""))</f>
        <v/>
      </c>
      <c r="T2663" t="str">
        <f>IF(D2663=1,MAX($T$2:$T2662)+1,IF(S2663=S2662,$T2662,IF(D2663="x",T2662,IF(D2662="x","",""))))</f>
        <v/>
      </c>
      <c r="U2663" t="str">
        <f>IF(B2663=1,MAX($U$2:$U2662)+1,IF(AND($T2663&lt;&gt;"",$T2663=$T2662),$U2662,IF(B2663="x",U2662,"")))</f>
        <v/>
      </c>
      <c r="V2663" t="str">
        <f>IF(C2663=1,MAX($V$2:$V2662)+1,IF(AND($T2663&lt;&gt;"",$T2663=$T2662),$U2662,IF(C2663="x",V2662,"")))</f>
        <v/>
      </c>
      <c r="X2663" cm="1">
        <f t="array" ref="X2663">IF($I2663&lt;&gt;"",$I2663,INDEX($I$1:$I2663,ROW()-COUNTIFS($T$1:$T2663,"="&amp;$T2663,$S$1:$S2663,"&lt;"&amp;$S2663)))</f>
        <v>0</v>
      </c>
      <c r="Z2663" s="6">
        <f t="shared" si="374"/>
        <v>1</v>
      </c>
      <c r="AA2663" t="e">
        <f t="shared" si="375"/>
        <v>#VALUE!</v>
      </c>
      <c r="AB2663" t="str">
        <f t="shared" si="376"/>
        <v/>
      </c>
      <c r="AC2663" t="e">
        <f t="shared" si="377"/>
        <v>#VALUE!</v>
      </c>
    </row>
    <row r="2664" spans="1:29" x14ac:dyDescent="0.2">
      <c r="A2664" t="str">
        <f t="shared" si="378"/>
        <v/>
      </c>
      <c r="E2664" s="4"/>
      <c r="F2664" s="46"/>
      <c r="G2664" s="4"/>
      <c r="H2664" s="48"/>
      <c r="J2664" s="26" t="str">
        <f t="shared" si="379"/>
        <v/>
      </c>
      <c r="N2664" t="str">
        <f t="shared" si="380"/>
        <v/>
      </c>
      <c r="Q2664" t="str">
        <f t="shared" si="381"/>
        <v/>
      </c>
      <c r="S2664" t="str">
        <f>IF(A2664=1,MAX($S$2:$S2663)+1,IF(OR($I2664&lt;&gt;"",A2664="x"),$S2663,""))</f>
        <v/>
      </c>
      <c r="T2664" t="str">
        <f>IF(D2664=1,MAX($T$2:$T2663)+1,IF(S2664=S2663,$T2663,IF(D2664="x",T2663,IF(D2663="x","",""))))</f>
        <v/>
      </c>
      <c r="U2664" t="str">
        <f>IF(B2664=1,MAX($U$2:$U2663)+1,IF(AND($T2664&lt;&gt;"",$T2664=$T2663),$U2663,IF(B2664="x",U2663,"")))</f>
        <v/>
      </c>
      <c r="V2664" t="str">
        <f>IF(C2664=1,MAX($V$2:$V2663)+1,IF(AND($T2664&lt;&gt;"",$T2664=$T2663),$U2663,IF(C2664="x",V2663,"")))</f>
        <v/>
      </c>
      <c r="X2664" cm="1">
        <f t="array" ref="X2664">IF($I2664&lt;&gt;"",$I2664,INDEX($I$1:$I2664,ROW()-COUNTIFS($T$1:$T2664,"="&amp;$T2664,$S$1:$S2664,"&lt;"&amp;$S2664)))</f>
        <v>0</v>
      </c>
      <c r="Z2664" s="6">
        <f t="shared" si="374"/>
        <v>1</v>
      </c>
      <c r="AA2664" t="e">
        <f t="shared" si="375"/>
        <v>#VALUE!</v>
      </c>
      <c r="AB2664" t="str">
        <f t="shared" si="376"/>
        <v/>
      </c>
      <c r="AC2664" t="e">
        <f t="shared" si="377"/>
        <v>#VALUE!</v>
      </c>
    </row>
    <row r="2665" spans="1:29" x14ac:dyDescent="0.2">
      <c r="A2665" t="str">
        <f t="shared" si="378"/>
        <v/>
      </c>
      <c r="E2665" s="4"/>
      <c r="F2665" s="46"/>
      <c r="G2665" s="4"/>
      <c r="H2665" s="48"/>
      <c r="J2665" s="26" t="str">
        <f t="shared" si="379"/>
        <v/>
      </c>
      <c r="N2665" t="str">
        <f t="shared" si="380"/>
        <v/>
      </c>
      <c r="Q2665" t="str">
        <f t="shared" si="381"/>
        <v/>
      </c>
      <c r="S2665" t="str">
        <f>IF(A2665=1,MAX($S$2:$S2664)+1,IF(OR($I2665&lt;&gt;"",A2665="x"),$S2664,""))</f>
        <v/>
      </c>
      <c r="T2665" t="str">
        <f>IF(D2665=1,MAX($T$2:$T2664)+1,IF(S2665=S2664,$T2664,IF(D2665="x",T2664,IF(D2664="x","",""))))</f>
        <v/>
      </c>
      <c r="U2665" t="str">
        <f>IF(B2665=1,MAX($U$2:$U2664)+1,IF(AND($T2665&lt;&gt;"",$T2665=$T2664),$U2664,IF(B2665="x",U2664,"")))</f>
        <v/>
      </c>
      <c r="V2665" t="str">
        <f>IF(C2665=1,MAX($V$2:$V2664)+1,IF(AND($T2665&lt;&gt;"",$T2665=$T2664),$U2664,IF(C2665="x",V2664,"")))</f>
        <v/>
      </c>
      <c r="X2665" cm="1">
        <f t="array" ref="X2665">IF($I2665&lt;&gt;"",$I2665,INDEX($I$1:$I2665,ROW()-COUNTIFS($T$1:$T2665,"="&amp;$T2665,$S$1:$S2665,"&lt;"&amp;$S2665)))</f>
        <v>0</v>
      </c>
      <c r="Z2665" s="6">
        <f t="shared" si="374"/>
        <v>1</v>
      </c>
      <c r="AA2665" t="e">
        <f t="shared" si="375"/>
        <v>#VALUE!</v>
      </c>
      <c r="AB2665" t="str">
        <f t="shared" si="376"/>
        <v/>
      </c>
      <c r="AC2665" t="e">
        <f t="shared" si="377"/>
        <v>#VALUE!</v>
      </c>
    </row>
    <row r="2666" spans="1:29" x14ac:dyDescent="0.2">
      <c r="A2666" t="str">
        <f t="shared" si="378"/>
        <v/>
      </c>
      <c r="E2666" s="4"/>
      <c r="F2666" s="46"/>
      <c r="G2666" s="4"/>
      <c r="H2666" s="48"/>
      <c r="J2666" s="26" t="str">
        <f t="shared" si="379"/>
        <v/>
      </c>
      <c r="N2666" t="str">
        <f t="shared" si="380"/>
        <v/>
      </c>
      <c r="Q2666" t="str">
        <f t="shared" si="381"/>
        <v/>
      </c>
      <c r="S2666" t="str">
        <f>IF(A2666=1,MAX($S$2:$S2665)+1,IF(OR($I2666&lt;&gt;"",A2666="x"),$S2665,""))</f>
        <v/>
      </c>
      <c r="T2666" t="str">
        <f>IF(D2666=1,MAX($T$2:$T2665)+1,IF(S2666=S2665,$T2665,IF(D2666="x",T2665,IF(D2665="x","",""))))</f>
        <v/>
      </c>
      <c r="U2666" t="str">
        <f>IF(B2666=1,MAX($U$2:$U2665)+1,IF(AND($T2666&lt;&gt;"",$T2666=$T2665),$U2665,IF(B2666="x",U2665,"")))</f>
        <v/>
      </c>
      <c r="V2666" t="str">
        <f>IF(C2666=1,MAX($V$2:$V2665)+1,IF(AND($T2666&lt;&gt;"",$T2666=$T2665),$U2665,IF(C2666="x",V2665,"")))</f>
        <v/>
      </c>
      <c r="X2666" cm="1">
        <f t="array" ref="X2666">IF($I2666&lt;&gt;"",$I2666,INDEX($I$1:$I2666,ROW()-COUNTIFS($T$1:$T2666,"="&amp;$T2666,$S$1:$S2666,"&lt;"&amp;$S2666)))</f>
        <v>0</v>
      </c>
      <c r="Z2666" s="6">
        <f t="shared" si="374"/>
        <v>1</v>
      </c>
      <c r="AA2666" t="e">
        <f t="shared" si="375"/>
        <v>#VALUE!</v>
      </c>
      <c r="AB2666" t="str">
        <f t="shared" si="376"/>
        <v/>
      </c>
      <c r="AC2666" t="e">
        <f t="shared" si="377"/>
        <v>#VALUE!</v>
      </c>
    </row>
    <row r="2667" spans="1:29" x14ac:dyDescent="0.2">
      <c r="A2667" t="str">
        <f t="shared" si="378"/>
        <v/>
      </c>
      <c r="E2667" s="4"/>
      <c r="F2667" s="46"/>
      <c r="G2667" s="4"/>
      <c r="H2667" s="48"/>
      <c r="J2667" s="26" t="str">
        <f t="shared" si="379"/>
        <v/>
      </c>
      <c r="N2667" t="str">
        <f t="shared" si="380"/>
        <v/>
      </c>
      <c r="Q2667" t="str">
        <f t="shared" si="381"/>
        <v/>
      </c>
      <c r="S2667" t="str">
        <f>IF(A2667=1,MAX($S$2:$S2666)+1,IF(OR($I2667&lt;&gt;"",A2667="x"),$S2666,""))</f>
        <v/>
      </c>
      <c r="T2667" t="str">
        <f>IF(D2667=1,MAX($T$2:$T2666)+1,IF(S2667=S2666,$T2666,IF(D2667="x",T2666,IF(D2666="x","",""))))</f>
        <v/>
      </c>
      <c r="U2667" t="str">
        <f>IF(B2667=1,MAX($U$2:$U2666)+1,IF(AND($T2667&lt;&gt;"",$T2667=$T2666),$U2666,IF(B2667="x",U2666,"")))</f>
        <v/>
      </c>
      <c r="V2667" t="str">
        <f>IF(C2667=1,MAX($V$2:$V2666)+1,IF(AND($T2667&lt;&gt;"",$T2667=$T2666),$U2666,IF(C2667="x",V2666,"")))</f>
        <v/>
      </c>
      <c r="X2667" cm="1">
        <f t="array" ref="X2667">IF($I2667&lt;&gt;"",$I2667,INDEX($I$1:$I2667,ROW()-COUNTIFS($T$1:$T2667,"="&amp;$T2667,$S$1:$S2667,"&lt;"&amp;$S2667)))</f>
        <v>0</v>
      </c>
      <c r="Z2667" s="6">
        <f t="shared" si="374"/>
        <v>1</v>
      </c>
      <c r="AA2667" t="e">
        <f t="shared" si="375"/>
        <v>#VALUE!</v>
      </c>
      <c r="AB2667" t="str">
        <f t="shared" si="376"/>
        <v/>
      </c>
      <c r="AC2667" t="e">
        <f t="shared" si="377"/>
        <v>#VALUE!</v>
      </c>
    </row>
    <row r="2668" spans="1:29" x14ac:dyDescent="0.2">
      <c r="A2668" t="str">
        <f t="shared" si="378"/>
        <v/>
      </c>
      <c r="E2668" s="4"/>
      <c r="F2668" s="46"/>
      <c r="G2668" s="4"/>
      <c r="H2668" s="48"/>
      <c r="J2668" s="26" t="str">
        <f t="shared" si="379"/>
        <v/>
      </c>
      <c r="N2668" t="str">
        <f t="shared" si="380"/>
        <v/>
      </c>
      <c r="Q2668" t="str">
        <f t="shared" si="381"/>
        <v/>
      </c>
      <c r="S2668" t="str">
        <f>IF(A2668=1,MAX($S$2:$S2667)+1,IF(OR($I2668&lt;&gt;"",A2668="x"),$S2667,""))</f>
        <v/>
      </c>
      <c r="T2668" t="str">
        <f>IF(D2668=1,MAX($T$2:$T2667)+1,IF(S2668=S2667,$T2667,IF(D2668="x",T2667,IF(D2667="x","",""))))</f>
        <v/>
      </c>
      <c r="U2668" t="str">
        <f>IF(B2668=1,MAX($U$2:$U2667)+1,IF(AND($T2668&lt;&gt;"",$T2668=$T2667),$U2667,IF(B2668="x",U2667,"")))</f>
        <v/>
      </c>
      <c r="V2668" t="str">
        <f>IF(C2668=1,MAX($V$2:$V2667)+1,IF(AND($T2668&lt;&gt;"",$T2668=$T2667),$U2667,IF(C2668="x",V2667,"")))</f>
        <v/>
      </c>
      <c r="X2668" cm="1">
        <f t="array" ref="X2668">IF($I2668&lt;&gt;"",$I2668,INDEX($I$1:$I2668,ROW()-COUNTIFS($T$1:$T2668,"="&amp;$T2668,$S$1:$S2668,"&lt;"&amp;$S2668)))</f>
        <v>0</v>
      </c>
      <c r="Z2668" s="6">
        <f t="shared" si="374"/>
        <v>1</v>
      </c>
      <c r="AA2668" t="e">
        <f t="shared" si="375"/>
        <v>#VALUE!</v>
      </c>
      <c r="AB2668" t="str">
        <f t="shared" si="376"/>
        <v/>
      </c>
      <c r="AC2668" t="e">
        <f t="shared" si="377"/>
        <v>#VALUE!</v>
      </c>
    </row>
    <row r="2669" spans="1:29" x14ac:dyDescent="0.2">
      <c r="A2669" t="str">
        <f t="shared" si="378"/>
        <v/>
      </c>
      <c r="E2669" s="4"/>
      <c r="F2669" s="46"/>
      <c r="G2669" s="4"/>
      <c r="H2669" s="48"/>
      <c r="J2669" s="26" t="str">
        <f t="shared" si="379"/>
        <v/>
      </c>
      <c r="N2669" t="str">
        <f t="shared" si="380"/>
        <v/>
      </c>
      <c r="Q2669" t="str">
        <f t="shared" si="381"/>
        <v/>
      </c>
      <c r="S2669" t="str">
        <f>IF(A2669=1,MAX($S$2:$S2668)+1,IF(OR($I2669&lt;&gt;"",A2669="x"),$S2668,""))</f>
        <v/>
      </c>
      <c r="T2669" t="str">
        <f>IF(D2669=1,MAX($T$2:$T2668)+1,IF(S2669=S2668,$T2668,IF(D2669="x",T2668,IF(D2668="x","",""))))</f>
        <v/>
      </c>
      <c r="U2669" t="str">
        <f>IF(B2669=1,MAX($U$2:$U2668)+1,IF(AND($T2669&lt;&gt;"",$T2669=$T2668),$U2668,IF(B2669="x",U2668,"")))</f>
        <v/>
      </c>
      <c r="V2669" t="str">
        <f>IF(C2669=1,MAX($V$2:$V2668)+1,IF(AND($T2669&lt;&gt;"",$T2669=$T2668),$U2668,IF(C2669="x",V2668,"")))</f>
        <v/>
      </c>
      <c r="X2669" cm="1">
        <f t="array" ref="X2669">IF($I2669&lt;&gt;"",$I2669,INDEX($I$1:$I2669,ROW()-COUNTIFS($T$1:$T2669,"="&amp;$T2669,$S$1:$S2669,"&lt;"&amp;$S2669)))</f>
        <v>0</v>
      </c>
      <c r="Z2669" s="6">
        <f t="shared" si="374"/>
        <v>1</v>
      </c>
      <c r="AA2669" t="e">
        <f t="shared" si="375"/>
        <v>#VALUE!</v>
      </c>
      <c r="AB2669" t="str">
        <f t="shared" si="376"/>
        <v/>
      </c>
      <c r="AC2669" t="e">
        <f t="shared" si="377"/>
        <v>#VALUE!</v>
      </c>
    </row>
    <row r="2670" spans="1:29" x14ac:dyDescent="0.2">
      <c r="A2670" t="str">
        <f t="shared" si="378"/>
        <v/>
      </c>
      <c r="E2670" s="4"/>
      <c r="F2670" s="46"/>
      <c r="G2670" s="4"/>
      <c r="H2670" s="48"/>
      <c r="J2670" s="26" t="str">
        <f t="shared" si="379"/>
        <v/>
      </c>
      <c r="N2670" t="str">
        <f t="shared" si="380"/>
        <v/>
      </c>
      <c r="Q2670" t="str">
        <f t="shared" si="381"/>
        <v/>
      </c>
      <c r="S2670" t="str">
        <f>IF(A2670=1,MAX($S$2:$S2669)+1,IF(OR($I2670&lt;&gt;"",A2670="x"),$S2669,""))</f>
        <v/>
      </c>
      <c r="T2670" t="str">
        <f>IF(D2670=1,MAX($T$2:$T2669)+1,IF(S2670=S2669,$T2669,IF(D2670="x",T2669,IF(D2669="x","",""))))</f>
        <v/>
      </c>
      <c r="U2670" t="str">
        <f>IF(B2670=1,MAX($U$2:$U2669)+1,IF(AND($T2670&lt;&gt;"",$T2670=$T2669),$U2669,IF(B2670="x",U2669,"")))</f>
        <v/>
      </c>
      <c r="V2670" t="str">
        <f>IF(C2670=1,MAX($V$2:$V2669)+1,IF(AND($T2670&lt;&gt;"",$T2670=$T2669),$U2669,IF(C2670="x",V2669,"")))</f>
        <v/>
      </c>
      <c r="X2670" cm="1">
        <f t="array" ref="X2670">IF($I2670&lt;&gt;"",$I2670,INDEX($I$1:$I2670,ROW()-COUNTIFS($T$1:$T2670,"="&amp;$T2670,$S$1:$S2670,"&lt;"&amp;$S2670)))</f>
        <v>0</v>
      </c>
      <c r="Z2670" s="6">
        <f t="shared" si="374"/>
        <v>1</v>
      </c>
      <c r="AA2670" t="e">
        <f t="shared" si="375"/>
        <v>#VALUE!</v>
      </c>
      <c r="AB2670" t="str">
        <f t="shared" si="376"/>
        <v/>
      </c>
      <c r="AC2670" t="e">
        <f t="shared" si="377"/>
        <v>#VALUE!</v>
      </c>
    </row>
    <row r="2671" spans="1:29" x14ac:dyDescent="0.2">
      <c r="A2671" t="str">
        <f t="shared" si="378"/>
        <v/>
      </c>
      <c r="E2671" s="4"/>
      <c r="F2671" s="46"/>
      <c r="G2671" s="4"/>
      <c r="H2671" s="48"/>
      <c r="J2671" s="26" t="str">
        <f t="shared" si="379"/>
        <v/>
      </c>
      <c r="N2671" t="str">
        <f t="shared" si="380"/>
        <v/>
      </c>
      <c r="Q2671" t="str">
        <f t="shared" si="381"/>
        <v/>
      </c>
      <c r="S2671" t="str">
        <f>IF(A2671=1,MAX($S$2:$S2670)+1,IF(OR($I2671&lt;&gt;"",A2671="x"),$S2670,""))</f>
        <v/>
      </c>
      <c r="T2671" t="str">
        <f>IF(D2671=1,MAX($T$2:$T2670)+1,IF(S2671=S2670,$T2670,IF(D2671="x",T2670,IF(D2670="x","",""))))</f>
        <v/>
      </c>
      <c r="U2671" t="str">
        <f>IF(B2671=1,MAX($U$2:$U2670)+1,IF(AND($T2671&lt;&gt;"",$T2671=$T2670),$U2670,IF(B2671="x",U2670,"")))</f>
        <v/>
      </c>
      <c r="V2671" t="str">
        <f>IF(C2671=1,MAX($V$2:$V2670)+1,IF(AND($T2671&lt;&gt;"",$T2671=$T2670),$U2670,IF(C2671="x",V2670,"")))</f>
        <v/>
      </c>
      <c r="X2671" cm="1">
        <f t="array" ref="X2671">IF($I2671&lt;&gt;"",$I2671,INDEX($I$1:$I2671,ROW()-COUNTIFS($T$1:$T2671,"="&amp;$T2671,$S$1:$S2671,"&lt;"&amp;$S2671)))</f>
        <v>0</v>
      </c>
      <c r="Z2671" s="6">
        <f t="shared" si="374"/>
        <v>1</v>
      </c>
      <c r="AA2671" t="e">
        <f t="shared" si="375"/>
        <v>#VALUE!</v>
      </c>
      <c r="AB2671" t="str">
        <f t="shared" si="376"/>
        <v/>
      </c>
      <c r="AC2671" t="e">
        <f t="shared" si="377"/>
        <v>#VALUE!</v>
      </c>
    </row>
    <row r="2672" spans="1:29" x14ac:dyDescent="0.2">
      <c r="A2672" t="str">
        <f t="shared" si="378"/>
        <v/>
      </c>
      <c r="E2672" s="4"/>
      <c r="F2672" s="46"/>
      <c r="G2672" s="4"/>
      <c r="H2672" s="48"/>
      <c r="J2672" s="26" t="str">
        <f t="shared" si="379"/>
        <v/>
      </c>
      <c r="N2672" t="str">
        <f t="shared" si="380"/>
        <v/>
      </c>
      <c r="Q2672" t="str">
        <f t="shared" si="381"/>
        <v/>
      </c>
      <c r="S2672" t="str">
        <f>IF(A2672=1,MAX($S$2:$S2671)+1,IF(OR($I2672&lt;&gt;"",A2672="x"),$S2671,""))</f>
        <v/>
      </c>
      <c r="T2672" t="str">
        <f>IF(D2672=1,MAX($T$2:$T2671)+1,IF(S2672=S2671,$T2671,IF(D2672="x",T2671,IF(D2671="x","",""))))</f>
        <v/>
      </c>
      <c r="U2672" t="str">
        <f>IF(B2672=1,MAX($U$2:$U2671)+1,IF(AND($T2672&lt;&gt;"",$T2672=$T2671),$U2671,IF(B2672="x",U2671,"")))</f>
        <v/>
      </c>
      <c r="V2672" t="str">
        <f>IF(C2672=1,MAX($V$2:$V2671)+1,IF(AND($T2672&lt;&gt;"",$T2672=$T2671),$U2671,IF(C2672="x",V2671,"")))</f>
        <v/>
      </c>
      <c r="X2672" cm="1">
        <f t="array" ref="X2672">IF($I2672&lt;&gt;"",$I2672,INDEX($I$1:$I2672,ROW()-COUNTIFS($T$1:$T2672,"="&amp;$T2672,$S$1:$S2672,"&lt;"&amp;$S2672)))</f>
        <v>0</v>
      </c>
      <c r="Z2672" s="6">
        <f t="shared" si="374"/>
        <v>1</v>
      </c>
      <c r="AA2672" t="e">
        <f t="shared" si="375"/>
        <v>#VALUE!</v>
      </c>
      <c r="AB2672" t="str">
        <f t="shared" si="376"/>
        <v/>
      </c>
      <c r="AC2672" t="e">
        <f t="shared" si="377"/>
        <v>#VALUE!</v>
      </c>
    </row>
    <row r="2673" spans="1:29" x14ac:dyDescent="0.2">
      <c r="A2673" t="str">
        <f t="shared" si="378"/>
        <v/>
      </c>
      <c r="E2673" s="4"/>
      <c r="F2673" s="46"/>
      <c r="G2673" s="4"/>
      <c r="H2673" s="48"/>
      <c r="J2673" s="26" t="str">
        <f t="shared" si="379"/>
        <v/>
      </c>
      <c r="N2673" t="str">
        <f t="shared" si="380"/>
        <v/>
      </c>
      <c r="Q2673" t="str">
        <f t="shared" si="381"/>
        <v/>
      </c>
      <c r="S2673" t="str">
        <f>IF(A2673=1,MAX($S$2:$S2672)+1,IF(OR($I2673&lt;&gt;"",A2673="x"),$S2672,""))</f>
        <v/>
      </c>
      <c r="T2673" t="str">
        <f>IF(D2673=1,MAX($T$2:$T2672)+1,IF(S2673=S2672,$T2672,IF(D2673="x",T2672,IF(D2672="x","",""))))</f>
        <v/>
      </c>
      <c r="U2673" t="str">
        <f>IF(B2673=1,MAX($U$2:$U2672)+1,IF(AND($T2673&lt;&gt;"",$T2673=$T2672),$U2672,IF(B2673="x",U2672,"")))</f>
        <v/>
      </c>
      <c r="V2673" t="str">
        <f>IF(C2673=1,MAX($V$2:$V2672)+1,IF(AND($T2673&lt;&gt;"",$T2673=$T2672),$U2672,IF(C2673="x",V2672,"")))</f>
        <v/>
      </c>
      <c r="X2673" cm="1">
        <f t="array" ref="X2673">IF($I2673&lt;&gt;"",$I2673,INDEX($I$1:$I2673,ROW()-COUNTIFS($T$1:$T2673,"="&amp;$T2673,$S$1:$S2673,"&lt;"&amp;$S2673)))</f>
        <v>0</v>
      </c>
      <c r="Z2673" s="6">
        <f t="shared" si="374"/>
        <v>1</v>
      </c>
      <c r="AA2673" t="e">
        <f t="shared" si="375"/>
        <v>#VALUE!</v>
      </c>
      <c r="AB2673" t="str">
        <f t="shared" si="376"/>
        <v/>
      </c>
      <c r="AC2673" t="e">
        <f t="shared" si="377"/>
        <v>#VALUE!</v>
      </c>
    </row>
    <row r="2674" spans="1:29" x14ac:dyDescent="0.2">
      <c r="A2674" t="str">
        <f t="shared" si="378"/>
        <v/>
      </c>
      <c r="E2674" s="4"/>
      <c r="F2674" s="46"/>
      <c r="G2674" s="4"/>
      <c r="H2674" s="48"/>
      <c r="J2674" s="26" t="str">
        <f t="shared" si="379"/>
        <v/>
      </c>
      <c r="N2674" t="str">
        <f t="shared" si="380"/>
        <v/>
      </c>
      <c r="Q2674" t="str">
        <f t="shared" si="381"/>
        <v/>
      </c>
      <c r="S2674" t="str">
        <f>IF(A2674=1,MAX($S$2:$S2673)+1,IF(OR($I2674&lt;&gt;"",A2674="x"),$S2673,""))</f>
        <v/>
      </c>
      <c r="T2674" t="str">
        <f>IF(D2674=1,MAX($T$2:$T2673)+1,IF(S2674=S2673,$T2673,IF(D2674="x",T2673,IF(D2673="x","",""))))</f>
        <v/>
      </c>
      <c r="U2674" t="str">
        <f>IF(B2674=1,MAX($U$2:$U2673)+1,IF(AND($T2674&lt;&gt;"",$T2674=$T2673),$U2673,IF(B2674="x",U2673,"")))</f>
        <v/>
      </c>
      <c r="V2674" t="str">
        <f>IF(C2674=1,MAX($V$2:$V2673)+1,IF(AND($T2674&lt;&gt;"",$T2674=$T2673),$U2673,IF(C2674="x",V2673,"")))</f>
        <v/>
      </c>
      <c r="X2674" cm="1">
        <f t="array" ref="X2674">IF($I2674&lt;&gt;"",$I2674,INDEX($I$1:$I2674,ROW()-COUNTIFS($T$1:$T2674,"="&amp;$T2674,$S$1:$S2674,"&lt;"&amp;$S2674)))</f>
        <v>0</v>
      </c>
      <c r="Z2674" s="6">
        <f t="shared" si="374"/>
        <v>1</v>
      </c>
      <c r="AA2674" t="e">
        <f t="shared" si="375"/>
        <v>#VALUE!</v>
      </c>
      <c r="AB2674" t="str">
        <f t="shared" si="376"/>
        <v/>
      </c>
      <c r="AC2674" t="e">
        <f t="shared" si="377"/>
        <v>#VALUE!</v>
      </c>
    </row>
    <row r="2675" spans="1:29" x14ac:dyDescent="0.2">
      <c r="A2675" t="str">
        <f t="shared" si="378"/>
        <v/>
      </c>
      <c r="E2675" s="4"/>
      <c r="F2675" s="46"/>
      <c r="G2675" s="4"/>
      <c r="H2675" s="48"/>
      <c r="J2675" s="26" t="str">
        <f t="shared" si="379"/>
        <v/>
      </c>
      <c r="N2675" t="str">
        <f t="shared" si="380"/>
        <v/>
      </c>
      <c r="Q2675" t="str">
        <f t="shared" si="381"/>
        <v/>
      </c>
      <c r="S2675" t="str">
        <f>IF(A2675=1,MAX($S$2:$S2674)+1,IF(OR($I2675&lt;&gt;"",A2675="x"),$S2674,""))</f>
        <v/>
      </c>
      <c r="T2675" t="str">
        <f>IF(D2675=1,MAX($T$2:$T2674)+1,IF(S2675=S2674,$T2674,IF(D2675="x",T2674,IF(D2674="x","",""))))</f>
        <v/>
      </c>
      <c r="U2675" t="str">
        <f>IF(B2675=1,MAX($U$2:$U2674)+1,IF(AND($T2675&lt;&gt;"",$T2675=$T2674),$U2674,IF(B2675="x",U2674,"")))</f>
        <v/>
      </c>
      <c r="V2675" t="str">
        <f>IF(C2675=1,MAX($V$2:$V2674)+1,IF(AND($T2675&lt;&gt;"",$T2675=$T2674),$U2674,IF(C2675="x",V2674,"")))</f>
        <v/>
      </c>
      <c r="X2675" cm="1">
        <f t="array" ref="X2675">IF($I2675&lt;&gt;"",$I2675,INDEX($I$1:$I2675,ROW()-COUNTIFS($T$1:$T2675,"="&amp;$T2675,$S$1:$S2675,"&lt;"&amp;$S2675)))</f>
        <v>0</v>
      </c>
      <c r="Z2675" s="6">
        <f t="shared" si="374"/>
        <v>1</v>
      </c>
      <c r="AA2675" t="e">
        <f t="shared" si="375"/>
        <v>#VALUE!</v>
      </c>
      <c r="AB2675" t="str">
        <f t="shared" si="376"/>
        <v/>
      </c>
      <c r="AC2675" t="e">
        <f t="shared" si="377"/>
        <v>#VALUE!</v>
      </c>
    </row>
    <row r="2676" spans="1:29" x14ac:dyDescent="0.2">
      <c r="A2676" t="str">
        <f t="shared" si="378"/>
        <v/>
      </c>
      <c r="E2676" s="4"/>
      <c r="F2676" s="46"/>
      <c r="G2676" s="4"/>
      <c r="H2676" s="48"/>
      <c r="J2676" s="26" t="str">
        <f t="shared" si="379"/>
        <v/>
      </c>
      <c r="N2676" t="str">
        <f t="shared" si="380"/>
        <v/>
      </c>
      <c r="Q2676" t="str">
        <f t="shared" si="381"/>
        <v/>
      </c>
      <c r="S2676" t="str">
        <f>IF(A2676=1,MAX($S$2:$S2675)+1,IF(OR($I2676&lt;&gt;"",A2676="x"),$S2675,""))</f>
        <v/>
      </c>
      <c r="T2676" t="str">
        <f>IF(D2676=1,MAX($T$2:$T2675)+1,IF(S2676=S2675,$T2675,IF(D2676="x",T2675,IF(D2675="x","",""))))</f>
        <v/>
      </c>
      <c r="U2676" t="str">
        <f>IF(B2676=1,MAX($U$2:$U2675)+1,IF(AND($T2676&lt;&gt;"",$T2676=$T2675),$U2675,IF(B2676="x",U2675,"")))</f>
        <v/>
      </c>
      <c r="V2676" t="str">
        <f>IF(C2676=1,MAX($V$2:$V2675)+1,IF(AND($T2676&lt;&gt;"",$T2676=$T2675),$U2675,IF(C2676="x",V2675,"")))</f>
        <v/>
      </c>
      <c r="X2676" cm="1">
        <f t="array" ref="X2676">IF($I2676&lt;&gt;"",$I2676,INDEX($I$1:$I2676,ROW()-COUNTIFS($T$1:$T2676,"="&amp;$T2676,$S$1:$S2676,"&lt;"&amp;$S2676)))</f>
        <v>0</v>
      </c>
      <c r="Z2676" s="6">
        <f t="shared" si="374"/>
        <v>1</v>
      </c>
      <c r="AA2676" t="e">
        <f t="shared" si="375"/>
        <v>#VALUE!</v>
      </c>
      <c r="AB2676" t="str">
        <f t="shared" si="376"/>
        <v/>
      </c>
      <c r="AC2676" t="e">
        <f t="shared" si="377"/>
        <v>#VALUE!</v>
      </c>
    </row>
    <row r="2677" spans="1:29" x14ac:dyDescent="0.2">
      <c r="A2677" t="str">
        <f t="shared" si="378"/>
        <v/>
      </c>
      <c r="E2677" s="4"/>
      <c r="F2677" s="46"/>
      <c r="G2677" s="4"/>
      <c r="H2677" s="48"/>
      <c r="J2677" s="26" t="str">
        <f t="shared" si="379"/>
        <v/>
      </c>
      <c r="N2677" t="str">
        <f t="shared" si="380"/>
        <v/>
      </c>
      <c r="Q2677" t="str">
        <f t="shared" si="381"/>
        <v/>
      </c>
      <c r="S2677" t="str">
        <f>IF(A2677=1,MAX($S$2:$S2676)+1,IF(OR($I2677&lt;&gt;"",A2677="x"),$S2676,""))</f>
        <v/>
      </c>
      <c r="T2677" t="str">
        <f>IF(D2677=1,MAX($T$2:$T2676)+1,IF(S2677=S2676,$T2676,IF(D2677="x",T2676,IF(D2676="x","",""))))</f>
        <v/>
      </c>
      <c r="U2677" t="str">
        <f>IF(B2677=1,MAX($U$2:$U2676)+1,IF(AND($T2677&lt;&gt;"",$T2677=$T2676),$U2676,IF(B2677="x",U2676,"")))</f>
        <v/>
      </c>
      <c r="V2677" t="str">
        <f>IF(C2677=1,MAX($V$2:$V2676)+1,IF(AND($T2677&lt;&gt;"",$T2677=$T2676),$U2676,IF(C2677="x",V2676,"")))</f>
        <v/>
      </c>
      <c r="X2677" cm="1">
        <f t="array" ref="X2677">IF($I2677&lt;&gt;"",$I2677,INDEX($I$1:$I2677,ROW()-COUNTIFS($T$1:$T2677,"="&amp;$T2677,$S$1:$S2677,"&lt;"&amp;$S2677)))</f>
        <v>0</v>
      </c>
      <c r="Z2677" s="6">
        <f t="shared" si="374"/>
        <v>1</v>
      </c>
      <c r="AA2677" t="e">
        <f t="shared" si="375"/>
        <v>#VALUE!</v>
      </c>
      <c r="AB2677" t="str">
        <f t="shared" si="376"/>
        <v/>
      </c>
      <c r="AC2677" t="e">
        <f t="shared" si="377"/>
        <v>#VALUE!</v>
      </c>
    </row>
    <row r="2678" spans="1:29" x14ac:dyDescent="0.2">
      <c r="A2678" t="str">
        <f t="shared" si="378"/>
        <v/>
      </c>
      <c r="E2678" s="4"/>
      <c r="F2678" s="46"/>
      <c r="G2678" s="4"/>
      <c r="H2678" s="48"/>
      <c r="J2678" s="26" t="str">
        <f t="shared" si="379"/>
        <v/>
      </c>
      <c r="N2678" t="str">
        <f t="shared" si="380"/>
        <v/>
      </c>
      <c r="Q2678" t="str">
        <f t="shared" si="381"/>
        <v/>
      </c>
      <c r="S2678" t="str">
        <f>IF(A2678=1,MAX($S$2:$S2677)+1,IF(OR($I2678&lt;&gt;"",A2678="x"),$S2677,""))</f>
        <v/>
      </c>
      <c r="T2678" t="str">
        <f>IF(D2678=1,MAX($T$2:$T2677)+1,IF(S2678=S2677,$T2677,IF(D2678="x",T2677,IF(D2677="x","",""))))</f>
        <v/>
      </c>
      <c r="U2678" t="str">
        <f>IF(B2678=1,MAX($U$2:$U2677)+1,IF(AND($T2678&lt;&gt;"",$T2678=$T2677),$U2677,IF(B2678="x",U2677,"")))</f>
        <v/>
      </c>
      <c r="V2678" t="str">
        <f>IF(C2678=1,MAX($V$2:$V2677)+1,IF(AND($T2678&lt;&gt;"",$T2678=$T2677),$U2677,IF(C2678="x",V2677,"")))</f>
        <v/>
      </c>
      <c r="X2678" cm="1">
        <f t="array" ref="X2678">IF($I2678&lt;&gt;"",$I2678,INDEX($I$1:$I2678,ROW()-COUNTIFS($T$1:$T2678,"="&amp;$T2678,$S$1:$S2678,"&lt;"&amp;$S2678)))</f>
        <v>0</v>
      </c>
      <c r="Z2678" s="6">
        <f t="shared" si="374"/>
        <v>1</v>
      </c>
      <c r="AA2678" t="e">
        <f t="shared" si="375"/>
        <v>#VALUE!</v>
      </c>
      <c r="AB2678" t="str">
        <f t="shared" si="376"/>
        <v/>
      </c>
      <c r="AC2678" t="e">
        <f t="shared" si="377"/>
        <v>#VALUE!</v>
      </c>
    </row>
    <row r="2679" spans="1:29" x14ac:dyDescent="0.2">
      <c r="A2679" t="str">
        <f t="shared" si="378"/>
        <v/>
      </c>
      <c r="E2679" s="4"/>
      <c r="F2679" s="46"/>
      <c r="G2679" s="4"/>
      <c r="H2679" s="48"/>
      <c r="J2679" s="26" t="str">
        <f t="shared" si="379"/>
        <v/>
      </c>
      <c r="N2679" t="str">
        <f t="shared" si="380"/>
        <v/>
      </c>
      <c r="Q2679" t="str">
        <f t="shared" si="381"/>
        <v/>
      </c>
      <c r="S2679" t="str">
        <f>IF(A2679=1,MAX($S$2:$S2678)+1,IF(OR($I2679&lt;&gt;"",A2679="x"),$S2678,""))</f>
        <v/>
      </c>
      <c r="T2679" t="str">
        <f>IF(D2679=1,MAX($T$2:$T2678)+1,IF(S2679=S2678,$T2678,IF(D2679="x",T2678,IF(D2678="x","",""))))</f>
        <v/>
      </c>
      <c r="U2679" t="str">
        <f>IF(B2679=1,MAX($U$2:$U2678)+1,IF(AND($T2679&lt;&gt;"",$T2679=$T2678),$U2678,IF(B2679="x",U2678,"")))</f>
        <v/>
      </c>
      <c r="V2679" t="str">
        <f>IF(C2679=1,MAX($V$2:$V2678)+1,IF(AND($T2679&lt;&gt;"",$T2679=$T2678),$U2678,IF(C2679="x",V2678,"")))</f>
        <v/>
      </c>
      <c r="X2679" cm="1">
        <f t="array" ref="X2679">IF($I2679&lt;&gt;"",$I2679,INDEX($I$1:$I2679,ROW()-COUNTIFS($T$1:$T2679,"="&amp;$T2679,$S$1:$S2679,"&lt;"&amp;$S2679)))</f>
        <v>0</v>
      </c>
      <c r="Z2679" s="6">
        <f t="shared" si="374"/>
        <v>1</v>
      </c>
      <c r="AA2679" t="e">
        <f t="shared" si="375"/>
        <v>#VALUE!</v>
      </c>
      <c r="AB2679" t="str">
        <f t="shared" si="376"/>
        <v/>
      </c>
      <c r="AC2679" t="e">
        <f t="shared" si="377"/>
        <v>#VALUE!</v>
      </c>
    </row>
    <row r="2680" spans="1:29" x14ac:dyDescent="0.2">
      <c r="A2680" t="str">
        <f t="shared" si="378"/>
        <v/>
      </c>
      <c r="E2680" s="4"/>
      <c r="F2680" s="46"/>
      <c r="G2680" s="4"/>
      <c r="H2680" s="48"/>
      <c r="J2680" s="26" t="str">
        <f t="shared" si="379"/>
        <v/>
      </c>
      <c r="N2680" t="str">
        <f t="shared" si="380"/>
        <v/>
      </c>
      <c r="Q2680" t="str">
        <f t="shared" si="381"/>
        <v/>
      </c>
      <c r="S2680" t="str">
        <f>IF(A2680=1,MAX($S$2:$S2679)+1,IF(OR($I2680&lt;&gt;"",A2680="x"),$S2679,""))</f>
        <v/>
      </c>
      <c r="T2680" t="str">
        <f>IF(D2680=1,MAX($T$2:$T2679)+1,IF(S2680=S2679,$T2679,IF(D2680="x",T2679,IF(D2679="x","",""))))</f>
        <v/>
      </c>
      <c r="U2680" t="str">
        <f>IF(B2680=1,MAX($U$2:$U2679)+1,IF(AND($T2680&lt;&gt;"",$T2680=$T2679),$U2679,IF(B2680="x",U2679,"")))</f>
        <v/>
      </c>
      <c r="V2680" t="str">
        <f>IF(C2680=1,MAX($V$2:$V2679)+1,IF(AND($T2680&lt;&gt;"",$T2680=$T2679),$U2679,IF(C2680="x",V2679,"")))</f>
        <v/>
      </c>
      <c r="X2680" cm="1">
        <f t="array" ref="X2680">IF($I2680&lt;&gt;"",$I2680,INDEX($I$1:$I2680,ROW()-COUNTIFS($T$1:$T2680,"="&amp;$T2680,$S$1:$S2680,"&lt;"&amp;$S2680)))</f>
        <v>0</v>
      </c>
      <c r="Z2680" s="6">
        <f t="shared" si="374"/>
        <v>1</v>
      </c>
      <c r="AA2680" t="e">
        <f t="shared" si="375"/>
        <v>#VALUE!</v>
      </c>
      <c r="AB2680" t="str">
        <f t="shared" si="376"/>
        <v/>
      </c>
      <c r="AC2680" t="e">
        <f t="shared" si="377"/>
        <v>#VALUE!</v>
      </c>
    </row>
    <row r="2681" spans="1:29" x14ac:dyDescent="0.2">
      <c r="A2681" t="str">
        <f t="shared" si="378"/>
        <v/>
      </c>
      <c r="E2681" s="4"/>
      <c r="F2681" s="46"/>
      <c r="G2681" s="4"/>
      <c r="H2681" s="48"/>
      <c r="J2681" s="26" t="str">
        <f t="shared" si="379"/>
        <v/>
      </c>
      <c r="N2681" t="str">
        <f t="shared" si="380"/>
        <v/>
      </c>
      <c r="Q2681" t="str">
        <f t="shared" si="381"/>
        <v/>
      </c>
      <c r="S2681" t="str">
        <f>IF(A2681=1,MAX($S$2:$S2680)+1,IF(OR($I2681&lt;&gt;"",A2681="x"),$S2680,""))</f>
        <v/>
      </c>
      <c r="T2681" t="str">
        <f>IF(D2681=1,MAX($T$2:$T2680)+1,IF(S2681=S2680,$T2680,IF(D2681="x",T2680,IF(D2680="x","",""))))</f>
        <v/>
      </c>
      <c r="U2681" t="str">
        <f>IF(B2681=1,MAX($U$2:$U2680)+1,IF(AND($T2681&lt;&gt;"",$T2681=$T2680),$U2680,IF(B2681="x",U2680,"")))</f>
        <v/>
      </c>
      <c r="V2681" t="str">
        <f>IF(C2681=1,MAX($V$2:$V2680)+1,IF(AND($T2681&lt;&gt;"",$T2681=$T2680),$U2680,IF(C2681="x",V2680,"")))</f>
        <v/>
      </c>
      <c r="X2681" cm="1">
        <f t="array" ref="X2681">IF($I2681&lt;&gt;"",$I2681,INDEX($I$1:$I2681,ROW()-COUNTIFS($T$1:$T2681,"="&amp;$T2681,$S$1:$S2681,"&lt;"&amp;$S2681)))</f>
        <v>0</v>
      </c>
      <c r="Z2681" s="6">
        <f t="shared" si="374"/>
        <v>1</v>
      </c>
      <c r="AA2681" t="e">
        <f t="shared" si="375"/>
        <v>#VALUE!</v>
      </c>
      <c r="AB2681" t="str">
        <f t="shared" si="376"/>
        <v/>
      </c>
      <c r="AC2681" t="e">
        <f t="shared" si="377"/>
        <v>#VALUE!</v>
      </c>
    </row>
    <row r="2682" spans="1:29" x14ac:dyDescent="0.2">
      <c r="A2682" t="str">
        <f t="shared" si="378"/>
        <v/>
      </c>
      <c r="E2682" s="4"/>
      <c r="F2682" s="46"/>
      <c r="G2682" s="4"/>
      <c r="H2682" s="48"/>
      <c r="J2682" s="26" t="str">
        <f t="shared" si="379"/>
        <v/>
      </c>
      <c r="N2682" t="str">
        <f t="shared" si="380"/>
        <v/>
      </c>
      <c r="Q2682" t="str">
        <f t="shared" si="381"/>
        <v/>
      </c>
      <c r="S2682" t="str">
        <f>IF(A2682=1,MAX($S$2:$S2681)+1,IF(OR($I2682&lt;&gt;"",A2682="x"),$S2681,""))</f>
        <v/>
      </c>
      <c r="T2682" t="str">
        <f>IF(D2682=1,MAX($T$2:$T2681)+1,IF(S2682=S2681,$T2681,IF(D2682="x",T2681,IF(D2681="x","",""))))</f>
        <v/>
      </c>
      <c r="U2682" t="str">
        <f>IF(B2682=1,MAX($U$2:$U2681)+1,IF(AND($T2682&lt;&gt;"",$T2682=$T2681),$U2681,IF(B2682="x",U2681,"")))</f>
        <v/>
      </c>
      <c r="V2682" t="str">
        <f>IF(C2682=1,MAX($V$2:$V2681)+1,IF(AND($T2682&lt;&gt;"",$T2682=$T2681),$U2681,IF(C2682="x",V2681,"")))</f>
        <v/>
      </c>
      <c r="X2682" cm="1">
        <f t="array" ref="X2682">IF($I2682&lt;&gt;"",$I2682,INDEX($I$1:$I2682,ROW()-COUNTIFS($T$1:$T2682,"="&amp;$T2682,$S$1:$S2682,"&lt;"&amp;$S2682)))</f>
        <v>0</v>
      </c>
      <c r="Z2682" s="6">
        <f t="shared" si="374"/>
        <v>1</v>
      </c>
      <c r="AA2682" t="e">
        <f t="shared" si="375"/>
        <v>#VALUE!</v>
      </c>
      <c r="AB2682" t="str">
        <f t="shared" si="376"/>
        <v/>
      </c>
      <c r="AC2682" t="e">
        <f t="shared" si="377"/>
        <v>#VALUE!</v>
      </c>
    </row>
    <row r="2683" spans="1:29" x14ac:dyDescent="0.2">
      <c r="A2683" t="str">
        <f t="shared" si="378"/>
        <v/>
      </c>
      <c r="E2683" s="4"/>
      <c r="F2683" s="46"/>
      <c r="G2683" s="4"/>
      <c r="H2683" s="48"/>
      <c r="J2683" s="26" t="str">
        <f t="shared" si="379"/>
        <v/>
      </c>
      <c r="N2683" t="str">
        <f t="shared" si="380"/>
        <v/>
      </c>
      <c r="Q2683" t="str">
        <f t="shared" si="381"/>
        <v/>
      </c>
      <c r="S2683" t="str">
        <f>IF(A2683=1,MAX($S$2:$S2682)+1,IF(OR($I2683&lt;&gt;"",A2683="x"),$S2682,""))</f>
        <v/>
      </c>
      <c r="T2683" t="str">
        <f>IF(D2683=1,MAX($T$2:$T2682)+1,IF(S2683=S2682,$T2682,IF(D2683="x",T2682,IF(D2682="x","",""))))</f>
        <v/>
      </c>
      <c r="U2683" t="str">
        <f>IF(B2683=1,MAX($U$2:$U2682)+1,IF(AND($T2683&lt;&gt;"",$T2683=$T2682),$U2682,IF(B2683="x",U2682,"")))</f>
        <v/>
      </c>
      <c r="V2683" t="str">
        <f>IF(C2683=1,MAX($V$2:$V2682)+1,IF(AND($T2683&lt;&gt;"",$T2683=$T2682),$U2682,IF(C2683="x",V2682,"")))</f>
        <v/>
      </c>
      <c r="X2683" cm="1">
        <f t="array" ref="X2683">IF($I2683&lt;&gt;"",$I2683,INDEX($I$1:$I2683,ROW()-COUNTIFS($T$1:$T2683,"="&amp;$T2683,$S$1:$S2683,"&lt;"&amp;$S2683)))</f>
        <v>0</v>
      </c>
      <c r="Z2683" s="6">
        <f t="shared" si="374"/>
        <v>1</v>
      </c>
      <c r="AA2683" t="e">
        <f t="shared" si="375"/>
        <v>#VALUE!</v>
      </c>
      <c r="AB2683" t="str">
        <f t="shared" si="376"/>
        <v/>
      </c>
      <c r="AC2683" t="e">
        <f t="shared" si="377"/>
        <v>#VALUE!</v>
      </c>
    </row>
    <row r="2684" spans="1:29" x14ac:dyDescent="0.2">
      <c r="A2684" t="str">
        <f t="shared" si="378"/>
        <v/>
      </c>
      <c r="E2684" s="4"/>
      <c r="F2684" s="46"/>
      <c r="G2684" s="4"/>
      <c r="H2684" s="48"/>
      <c r="J2684" s="26" t="str">
        <f t="shared" si="379"/>
        <v/>
      </c>
      <c r="N2684" t="str">
        <f t="shared" si="380"/>
        <v/>
      </c>
      <c r="Q2684" t="str">
        <f t="shared" si="381"/>
        <v/>
      </c>
      <c r="S2684" t="str">
        <f>IF(A2684=1,MAX($S$2:$S2683)+1,IF(OR($I2684&lt;&gt;"",A2684="x"),$S2683,""))</f>
        <v/>
      </c>
      <c r="T2684" t="str">
        <f>IF(D2684=1,MAX($T$2:$T2683)+1,IF(S2684=S2683,$T2683,IF(D2684="x",T2683,IF(D2683="x","",""))))</f>
        <v/>
      </c>
      <c r="U2684" t="str">
        <f>IF(B2684=1,MAX($U$2:$U2683)+1,IF(AND($T2684&lt;&gt;"",$T2684=$T2683),$U2683,IF(B2684="x",U2683,"")))</f>
        <v/>
      </c>
      <c r="V2684" t="str">
        <f>IF(C2684=1,MAX($V$2:$V2683)+1,IF(AND($T2684&lt;&gt;"",$T2684=$T2683),$U2683,IF(C2684="x",V2683,"")))</f>
        <v/>
      </c>
      <c r="X2684" cm="1">
        <f t="array" ref="X2684">IF($I2684&lt;&gt;"",$I2684,INDEX($I$1:$I2684,ROW()-COUNTIFS($T$1:$T2684,"="&amp;$T2684,$S$1:$S2684,"&lt;"&amp;$S2684)))</f>
        <v>0</v>
      </c>
      <c r="Z2684" s="6">
        <f t="shared" si="374"/>
        <v>1</v>
      </c>
      <c r="AA2684" t="e">
        <f t="shared" si="375"/>
        <v>#VALUE!</v>
      </c>
      <c r="AB2684" t="str">
        <f t="shared" si="376"/>
        <v/>
      </c>
      <c r="AC2684" t="e">
        <f t="shared" si="377"/>
        <v>#VALUE!</v>
      </c>
    </row>
    <row r="2685" spans="1:29" x14ac:dyDescent="0.2">
      <c r="A2685" t="str">
        <f t="shared" si="378"/>
        <v/>
      </c>
      <c r="E2685" s="4"/>
      <c r="F2685" s="46"/>
      <c r="G2685" s="4"/>
      <c r="H2685" s="48"/>
      <c r="J2685" s="26" t="str">
        <f t="shared" si="379"/>
        <v/>
      </c>
      <c r="N2685" t="str">
        <f t="shared" si="380"/>
        <v/>
      </c>
      <c r="Q2685" t="str">
        <f t="shared" si="381"/>
        <v/>
      </c>
      <c r="S2685" t="str">
        <f>IF(A2685=1,MAX($S$2:$S2684)+1,IF(OR($I2685&lt;&gt;"",A2685="x"),$S2684,""))</f>
        <v/>
      </c>
      <c r="T2685" t="str">
        <f>IF(D2685=1,MAX($T$2:$T2684)+1,IF(S2685=S2684,$T2684,IF(D2685="x",T2684,IF(D2684="x","",""))))</f>
        <v/>
      </c>
      <c r="U2685" t="str">
        <f>IF(B2685=1,MAX($U$2:$U2684)+1,IF(AND($T2685&lt;&gt;"",$T2685=$T2684),$U2684,IF(B2685="x",U2684,"")))</f>
        <v/>
      </c>
      <c r="V2685" t="str">
        <f>IF(C2685=1,MAX($V$2:$V2684)+1,IF(AND($T2685&lt;&gt;"",$T2685=$T2684),$U2684,IF(C2685="x",V2684,"")))</f>
        <v/>
      </c>
      <c r="X2685" cm="1">
        <f t="array" ref="X2685">IF($I2685&lt;&gt;"",$I2685,INDEX($I$1:$I2685,ROW()-COUNTIFS($T$1:$T2685,"="&amp;$T2685,$S$1:$S2685,"&lt;"&amp;$S2685)))</f>
        <v>0</v>
      </c>
      <c r="Z2685" s="6">
        <f t="shared" si="374"/>
        <v>1</v>
      </c>
      <c r="AA2685" t="e">
        <f t="shared" si="375"/>
        <v>#VALUE!</v>
      </c>
      <c r="AB2685" t="str">
        <f t="shared" si="376"/>
        <v/>
      </c>
      <c r="AC2685" t="e">
        <f t="shared" si="377"/>
        <v>#VALUE!</v>
      </c>
    </row>
    <row r="2686" spans="1:29" x14ac:dyDescent="0.2">
      <c r="A2686" t="str">
        <f t="shared" si="378"/>
        <v/>
      </c>
      <c r="E2686" s="4"/>
      <c r="F2686" s="46"/>
      <c r="G2686" s="4"/>
      <c r="H2686" s="48"/>
      <c r="J2686" s="26" t="str">
        <f t="shared" si="379"/>
        <v/>
      </c>
      <c r="N2686" t="str">
        <f t="shared" si="380"/>
        <v/>
      </c>
      <c r="Q2686" t="str">
        <f t="shared" si="381"/>
        <v/>
      </c>
      <c r="S2686" t="str">
        <f>IF(A2686=1,MAX($S$2:$S2685)+1,IF(OR($I2686&lt;&gt;"",A2686="x"),$S2685,""))</f>
        <v/>
      </c>
      <c r="T2686" t="str">
        <f>IF(D2686=1,MAX($T$2:$T2685)+1,IF(S2686=S2685,$T2685,IF(D2686="x",T2685,IF(D2685="x","",""))))</f>
        <v/>
      </c>
      <c r="U2686" t="str">
        <f>IF(B2686=1,MAX($U$2:$U2685)+1,IF(AND($T2686&lt;&gt;"",$T2686=$T2685),$U2685,IF(B2686="x",U2685,"")))</f>
        <v/>
      </c>
      <c r="V2686" t="str">
        <f>IF(C2686=1,MAX($V$2:$V2685)+1,IF(AND($T2686&lt;&gt;"",$T2686=$T2685),$U2685,IF(C2686="x",V2685,"")))</f>
        <v/>
      </c>
      <c r="X2686" cm="1">
        <f t="array" ref="X2686">IF($I2686&lt;&gt;"",$I2686,INDEX($I$1:$I2686,ROW()-COUNTIFS($T$1:$T2686,"="&amp;$T2686,$S$1:$S2686,"&lt;"&amp;$S2686)))</f>
        <v>0</v>
      </c>
      <c r="Z2686" s="6">
        <f t="shared" si="374"/>
        <v>1</v>
      </c>
      <c r="AA2686" t="e">
        <f t="shared" si="375"/>
        <v>#VALUE!</v>
      </c>
      <c r="AB2686" t="str">
        <f t="shared" si="376"/>
        <v/>
      </c>
      <c r="AC2686" t="e">
        <f t="shared" si="377"/>
        <v>#VALUE!</v>
      </c>
    </row>
    <row r="2687" spans="1:29" x14ac:dyDescent="0.2">
      <c r="A2687" t="str">
        <f t="shared" si="378"/>
        <v/>
      </c>
      <c r="E2687" s="4"/>
      <c r="F2687" s="46"/>
      <c r="G2687" s="4"/>
      <c r="H2687" s="48"/>
      <c r="J2687" s="26" t="str">
        <f t="shared" si="379"/>
        <v/>
      </c>
      <c r="N2687" t="str">
        <f t="shared" si="380"/>
        <v/>
      </c>
      <c r="Q2687" t="str">
        <f t="shared" si="381"/>
        <v/>
      </c>
      <c r="S2687" t="str">
        <f>IF(A2687=1,MAX($S$2:$S2686)+1,IF(OR($I2687&lt;&gt;"",A2687="x"),$S2686,""))</f>
        <v/>
      </c>
      <c r="T2687" t="str">
        <f>IF(D2687=1,MAX($T$2:$T2686)+1,IF(S2687=S2686,$T2686,IF(D2687="x",T2686,IF(D2686="x","",""))))</f>
        <v/>
      </c>
      <c r="U2687" t="str">
        <f>IF(B2687=1,MAX($U$2:$U2686)+1,IF(AND($T2687&lt;&gt;"",$T2687=$T2686),$U2686,IF(B2687="x",U2686,"")))</f>
        <v/>
      </c>
      <c r="V2687" t="str">
        <f>IF(C2687=1,MAX($V$2:$V2686)+1,IF(AND($T2687&lt;&gt;"",$T2687=$T2686),$U2686,IF(C2687="x",V2686,"")))</f>
        <v/>
      </c>
      <c r="X2687" cm="1">
        <f t="array" ref="X2687">IF($I2687&lt;&gt;"",$I2687,INDEX($I$1:$I2687,ROW()-COUNTIFS($T$1:$T2687,"="&amp;$T2687,$S$1:$S2687,"&lt;"&amp;$S2687)))</f>
        <v>0</v>
      </c>
      <c r="Z2687" s="6">
        <f t="shared" si="374"/>
        <v>1</v>
      </c>
      <c r="AA2687" t="e">
        <f t="shared" si="375"/>
        <v>#VALUE!</v>
      </c>
      <c r="AB2687" t="str">
        <f t="shared" si="376"/>
        <v/>
      </c>
      <c r="AC2687" t="e">
        <f t="shared" si="377"/>
        <v>#VALUE!</v>
      </c>
    </row>
    <row r="2688" spans="1:29" x14ac:dyDescent="0.2">
      <c r="A2688" t="str">
        <f t="shared" si="378"/>
        <v/>
      </c>
      <c r="E2688" s="4"/>
      <c r="F2688" s="46"/>
      <c r="G2688" s="4"/>
      <c r="H2688" s="48"/>
      <c r="J2688" s="26" t="str">
        <f t="shared" si="379"/>
        <v/>
      </c>
      <c r="N2688" t="str">
        <f t="shared" si="380"/>
        <v/>
      </c>
      <c r="Q2688" t="str">
        <f t="shared" si="381"/>
        <v/>
      </c>
      <c r="S2688" t="str">
        <f>IF(A2688=1,MAX($S$2:$S2687)+1,IF(OR($I2688&lt;&gt;"",A2688="x"),$S2687,""))</f>
        <v/>
      </c>
      <c r="T2688" t="str">
        <f>IF(D2688=1,MAX($T$2:$T2687)+1,IF(S2688=S2687,$T2687,IF(D2688="x",T2687,IF(D2687="x","",""))))</f>
        <v/>
      </c>
      <c r="U2688" t="str">
        <f>IF(B2688=1,MAX($U$2:$U2687)+1,IF(AND($T2688&lt;&gt;"",$T2688=$T2687),$U2687,IF(B2688="x",U2687,"")))</f>
        <v/>
      </c>
      <c r="V2688" t="str">
        <f>IF(C2688=1,MAX($V$2:$V2687)+1,IF(AND($T2688&lt;&gt;"",$T2688=$T2687),$U2687,IF(C2688="x",V2687,"")))</f>
        <v/>
      </c>
      <c r="X2688" cm="1">
        <f t="array" ref="X2688">IF($I2688&lt;&gt;"",$I2688,INDEX($I$1:$I2688,ROW()-COUNTIFS($T$1:$T2688,"="&amp;$T2688,$S$1:$S2688,"&lt;"&amp;$S2688)))</f>
        <v>0</v>
      </c>
      <c r="Z2688" s="6">
        <f t="shared" si="374"/>
        <v>1</v>
      </c>
      <c r="AA2688" t="e">
        <f t="shared" si="375"/>
        <v>#VALUE!</v>
      </c>
      <c r="AB2688" t="str">
        <f t="shared" si="376"/>
        <v/>
      </c>
      <c r="AC2688" t="e">
        <f t="shared" si="377"/>
        <v>#VALUE!</v>
      </c>
    </row>
    <row r="2689" spans="1:29" x14ac:dyDescent="0.2">
      <c r="A2689" t="str">
        <f t="shared" si="378"/>
        <v/>
      </c>
      <c r="E2689" s="4"/>
      <c r="F2689" s="46"/>
      <c r="G2689" s="4"/>
      <c r="H2689" s="48"/>
      <c r="J2689" s="26" t="str">
        <f t="shared" si="379"/>
        <v/>
      </c>
      <c r="N2689" t="str">
        <f t="shared" si="380"/>
        <v/>
      </c>
      <c r="Q2689" t="str">
        <f t="shared" si="381"/>
        <v/>
      </c>
      <c r="S2689" t="str">
        <f>IF(A2689=1,MAX($S$2:$S2688)+1,IF(OR($I2689&lt;&gt;"",A2689="x"),$S2688,""))</f>
        <v/>
      </c>
      <c r="T2689" t="str">
        <f>IF(D2689=1,MAX($T$2:$T2688)+1,IF(S2689=S2688,$T2688,IF(D2689="x",T2688,IF(D2688="x","",""))))</f>
        <v/>
      </c>
      <c r="U2689" t="str">
        <f>IF(B2689=1,MAX($U$2:$U2688)+1,IF(AND($T2689&lt;&gt;"",$T2689=$T2688),$U2688,IF(B2689="x",U2688,"")))</f>
        <v/>
      </c>
      <c r="V2689" t="str">
        <f>IF(C2689=1,MAX($V$2:$V2688)+1,IF(AND($T2689&lt;&gt;"",$T2689=$T2688),$U2688,IF(C2689="x",V2688,"")))</f>
        <v/>
      </c>
      <c r="X2689" cm="1">
        <f t="array" ref="X2689">IF($I2689&lt;&gt;"",$I2689,INDEX($I$1:$I2689,ROW()-COUNTIFS($T$1:$T2689,"="&amp;$T2689,$S$1:$S2689,"&lt;"&amp;$S2689)))</f>
        <v>0</v>
      </c>
      <c r="Z2689" s="6">
        <f t="shared" si="374"/>
        <v>1</v>
      </c>
      <c r="AA2689" t="e">
        <f t="shared" si="375"/>
        <v>#VALUE!</v>
      </c>
      <c r="AB2689" t="str">
        <f t="shared" si="376"/>
        <v/>
      </c>
      <c r="AC2689" t="e">
        <f t="shared" si="377"/>
        <v>#VALUE!</v>
      </c>
    </row>
    <row r="2690" spans="1:29" x14ac:dyDescent="0.2">
      <c r="A2690" t="str">
        <f t="shared" si="378"/>
        <v/>
      </c>
      <c r="E2690" s="4"/>
      <c r="F2690" s="46"/>
      <c r="G2690" s="4"/>
      <c r="H2690" s="48"/>
      <c r="J2690" s="26" t="str">
        <f t="shared" si="379"/>
        <v/>
      </c>
      <c r="N2690" t="str">
        <f t="shared" si="380"/>
        <v/>
      </c>
      <c r="Q2690" t="str">
        <f t="shared" si="381"/>
        <v/>
      </c>
      <c r="S2690" t="str">
        <f>IF(A2690=1,MAX($S$2:$S2689)+1,IF(OR($I2690&lt;&gt;"",A2690="x"),$S2689,""))</f>
        <v/>
      </c>
      <c r="T2690" t="str">
        <f>IF(D2690=1,MAX($T$2:$T2689)+1,IF(S2690=S2689,$T2689,IF(D2690="x",T2689,IF(D2689="x","",""))))</f>
        <v/>
      </c>
      <c r="U2690" t="str">
        <f>IF(B2690=1,MAX($U$2:$U2689)+1,IF(AND($T2690&lt;&gt;"",$T2690=$T2689),$U2689,IF(B2690="x",U2689,"")))</f>
        <v/>
      </c>
      <c r="V2690" t="str">
        <f>IF(C2690=1,MAX($V$2:$V2689)+1,IF(AND($T2690&lt;&gt;"",$T2690=$T2689),$U2689,IF(C2690="x",V2689,"")))</f>
        <v/>
      </c>
      <c r="X2690" cm="1">
        <f t="array" ref="X2690">IF($I2690&lt;&gt;"",$I2690,INDEX($I$1:$I2690,ROW()-COUNTIFS($T$1:$T2690,"="&amp;$T2690,$S$1:$S2690,"&lt;"&amp;$S2690)))</f>
        <v>0</v>
      </c>
      <c r="Z2690" s="6">
        <f t="shared" si="374"/>
        <v>1</v>
      </c>
      <c r="AA2690" t="e">
        <f t="shared" si="375"/>
        <v>#VALUE!</v>
      </c>
      <c r="AB2690" t="str">
        <f t="shared" si="376"/>
        <v/>
      </c>
      <c r="AC2690" t="e">
        <f t="shared" si="377"/>
        <v>#VALUE!</v>
      </c>
    </row>
    <row r="2691" spans="1:29" x14ac:dyDescent="0.2">
      <c r="A2691" t="str">
        <f t="shared" si="378"/>
        <v/>
      </c>
      <c r="E2691" s="4"/>
      <c r="F2691" s="46"/>
      <c r="G2691" s="4"/>
      <c r="H2691" s="48"/>
      <c r="J2691" s="26" t="str">
        <f t="shared" si="379"/>
        <v/>
      </c>
      <c r="N2691" t="str">
        <f t="shared" si="380"/>
        <v/>
      </c>
      <c r="Q2691" t="str">
        <f t="shared" si="381"/>
        <v/>
      </c>
      <c r="S2691" t="str">
        <f>IF(A2691=1,MAX($S$2:$S2690)+1,IF(OR($I2691&lt;&gt;"",A2691="x"),$S2690,""))</f>
        <v/>
      </c>
      <c r="T2691" t="str">
        <f>IF(D2691=1,MAX($T$2:$T2690)+1,IF(S2691=S2690,$T2690,IF(D2691="x",T2690,IF(D2690="x","",""))))</f>
        <v/>
      </c>
      <c r="U2691" t="str">
        <f>IF(B2691=1,MAX($U$2:$U2690)+1,IF(AND($T2691&lt;&gt;"",$T2691=$T2690),$U2690,IF(B2691="x",U2690,"")))</f>
        <v/>
      </c>
      <c r="V2691" t="str">
        <f>IF(C2691=1,MAX($V$2:$V2690)+1,IF(AND($T2691&lt;&gt;"",$T2691=$T2690),$U2690,IF(C2691="x",V2690,"")))</f>
        <v/>
      </c>
      <c r="X2691" cm="1">
        <f t="array" ref="X2691">IF($I2691&lt;&gt;"",$I2691,INDEX($I$1:$I2691,ROW()-COUNTIFS($T$1:$T2691,"="&amp;$T2691,$S$1:$S2691,"&lt;"&amp;$S2691)))</f>
        <v>0</v>
      </c>
      <c r="Z2691" s="6">
        <f t="shared" si="374"/>
        <v>1</v>
      </c>
      <c r="AA2691" t="e">
        <f t="shared" si="375"/>
        <v>#VALUE!</v>
      </c>
      <c r="AB2691" t="str">
        <f t="shared" si="376"/>
        <v/>
      </c>
      <c r="AC2691" t="e">
        <f t="shared" si="377"/>
        <v>#VALUE!</v>
      </c>
    </row>
    <row r="2692" spans="1:29" x14ac:dyDescent="0.2">
      <c r="A2692" t="str">
        <f t="shared" si="378"/>
        <v/>
      </c>
      <c r="E2692" s="4"/>
      <c r="F2692" s="46"/>
      <c r="G2692" s="4"/>
      <c r="H2692" s="48"/>
      <c r="J2692" s="26" t="str">
        <f t="shared" si="379"/>
        <v/>
      </c>
      <c r="N2692" t="str">
        <f t="shared" si="380"/>
        <v/>
      </c>
      <c r="Q2692" t="str">
        <f t="shared" si="381"/>
        <v/>
      </c>
      <c r="S2692" t="str">
        <f>IF(A2692=1,MAX($S$2:$S2691)+1,IF(OR($I2692&lt;&gt;"",A2692="x"),$S2691,""))</f>
        <v/>
      </c>
      <c r="T2692" t="str">
        <f>IF(D2692=1,MAX($T$2:$T2691)+1,IF(S2692=S2691,$T2691,IF(D2692="x",T2691,IF(D2691="x","",""))))</f>
        <v/>
      </c>
      <c r="U2692" t="str">
        <f>IF(B2692=1,MAX($U$2:$U2691)+1,IF(AND($T2692&lt;&gt;"",$T2692=$T2691),$U2691,IF(B2692="x",U2691,"")))</f>
        <v/>
      </c>
      <c r="V2692" t="str">
        <f>IF(C2692=1,MAX($V$2:$V2691)+1,IF(AND($T2692&lt;&gt;"",$T2692=$T2691),$U2691,IF(C2692="x",V2691,"")))</f>
        <v/>
      </c>
      <c r="X2692" cm="1">
        <f t="array" ref="X2692">IF($I2692&lt;&gt;"",$I2692,INDEX($I$1:$I2692,ROW()-COUNTIFS($T$1:$T2692,"="&amp;$T2692,$S$1:$S2692,"&lt;"&amp;$S2692)))</f>
        <v>0</v>
      </c>
      <c r="Z2692" s="6">
        <f t="shared" si="374"/>
        <v>1</v>
      </c>
      <c r="AA2692" t="e">
        <f t="shared" si="375"/>
        <v>#VALUE!</v>
      </c>
      <c r="AB2692" t="str">
        <f t="shared" si="376"/>
        <v/>
      </c>
      <c r="AC2692" t="e">
        <f t="shared" si="377"/>
        <v>#VALUE!</v>
      </c>
    </row>
    <row r="2693" spans="1:29" x14ac:dyDescent="0.2">
      <c r="A2693" t="str">
        <f t="shared" si="378"/>
        <v/>
      </c>
      <c r="E2693" s="4"/>
      <c r="F2693" s="46"/>
      <c r="G2693" s="4"/>
      <c r="H2693" s="48"/>
      <c r="J2693" s="26" t="str">
        <f t="shared" si="379"/>
        <v/>
      </c>
      <c r="N2693" t="str">
        <f t="shared" si="380"/>
        <v/>
      </c>
      <c r="Q2693" t="str">
        <f t="shared" si="381"/>
        <v/>
      </c>
      <c r="S2693" t="str">
        <f>IF(A2693=1,MAX($S$2:$S2692)+1,IF(OR($I2693&lt;&gt;"",A2693="x"),$S2692,""))</f>
        <v/>
      </c>
      <c r="T2693" t="str">
        <f>IF(D2693=1,MAX($T$2:$T2692)+1,IF(S2693=S2692,$T2692,IF(D2693="x",T2692,IF(D2692="x","",""))))</f>
        <v/>
      </c>
      <c r="U2693" t="str">
        <f>IF(B2693=1,MAX($U$2:$U2692)+1,IF(AND($T2693&lt;&gt;"",$T2693=$T2692),$U2692,IF(B2693="x",U2692,"")))</f>
        <v/>
      </c>
      <c r="V2693" t="str">
        <f>IF(C2693=1,MAX($V$2:$V2692)+1,IF(AND($T2693&lt;&gt;"",$T2693=$T2692),$U2692,IF(C2693="x",V2692,"")))</f>
        <v/>
      </c>
      <c r="X2693" cm="1">
        <f t="array" ref="X2693">IF($I2693&lt;&gt;"",$I2693,INDEX($I$1:$I2693,ROW()-COUNTIFS($T$1:$T2693,"="&amp;$T2693,$S$1:$S2693,"&lt;"&amp;$S2693)))</f>
        <v>0</v>
      </c>
      <c r="Z2693" s="6">
        <f t="shared" ref="Z2693:Z2756" si="382">IF(K2693="Intermission",Z2692+1,Z2692)</f>
        <v>1</v>
      </c>
      <c r="AA2693" t="e">
        <f t="shared" ref="AA2693:AA2756" si="383">S2693+1000</f>
        <v>#VALUE!</v>
      </c>
      <c r="AB2693" t="str">
        <f t="shared" ref="AB2693:AB2756" si="384">IF(T2693&lt;&gt;"",9000+T2693,"")</f>
        <v/>
      </c>
      <c r="AC2693" t="e">
        <f t="shared" ref="AC2693:AC2756" si="385">IF(AB2693&lt;&gt;"",AB2693,S2693+1000)</f>
        <v>#VALUE!</v>
      </c>
    </row>
    <row r="2694" spans="1:29" x14ac:dyDescent="0.2">
      <c r="A2694" t="str">
        <f t="shared" si="378"/>
        <v/>
      </c>
      <c r="E2694" s="4"/>
      <c r="F2694" s="46"/>
      <c r="G2694" s="4"/>
      <c r="H2694" s="48"/>
      <c r="J2694" s="26" t="str">
        <f t="shared" si="379"/>
        <v/>
      </c>
      <c r="N2694" t="str">
        <f t="shared" si="380"/>
        <v/>
      </c>
      <c r="Q2694" t="str">
        <f t="shared" si="381"/>
        <v/>
      </c>
      <c r="S2694" t="str">
        <f>IF(A2694=1,MAX($S$2:$S2693)+1,IF(OR($I2694&lt;&gt;"",A2694="x"),$S2693,""))</f>
        <v/>
      </c>
      <c r="T2694" t="str">
        <f>IF(D2694=1,MAX($T$2:$T2693)+1,IF(S2694=S2693,$T2693,IF(D2694="x",T2693,IF(D2693="x","",""))))</f>
        <v/>
      </c>
      <c r="U2694" t="str">
        <f>IF(B2694=1,MAX($U$2:$U2693)+1,IF(AND($T2694&lt;&gt;"",$T2694=$T2693),$U2693,IF(B2694="x",U2693,"")))</f>
        <v/>
      </c>
      <c r="V2694" t="str">
        <f>IF(C2694=1,MAX($V$2:$V2693)+1,IF(AND($T2694&lt;&gt;"",$T2694=$T2693),$U2693,IF(C2694="x",V2693,"")))</f>
        <v/>
      </c>
      <c r="X2694" cm="1">
        <f t="array" ref="X2694">IF($I2694&lt;&gt;"",$I2694,INDEX($I$1:$I2694,ROW()-COUNTIFS($T$1:$T2694,"="&amp;$T2694,$S$1:$S2694,"&lt;"&amp;$S2694)))</f>
        <v>0</v>
      </c>
      <c r="Z2694" s="6">
        <f t="shared" si="382"/>
        <v>1</v>
      </c>
      <c r="AA2694" t="e">
        <f t="shared" si="383"/>
        <v>#VALUE!</v>
      </c>
      <c r="AB2694" t="str">
        <f t="shared" si="384"/>
        <v/>
      </c>
      <c r="AC2694" t="e">
        <f t="shared" si="385"/>
        <v>#VALUE!</v>
      </c>
    </row>
    <row r="2695" spans="1:29" x14ac:dyDescent="0.2">
      <c r="A2695" t="str">
        <f t="shared" si="378"/>
        <v/>
      </c>
      <c r="E2695" s="4"/>
      <c r="F2695" s="46"/>
      <c r="G2695" s="4"/>
      <c r="H2695" s="48"/>
      <c r="J2695" s="26" t="str">
        <f t="shared" si="379"/>
        <v/>
      </c>
      <c r="N2695" t="str">
        <f t="shared" si="380"/>
        <v/>
      </c>
      <c r="Q2695" t="str">
        <f t="shared" si="381"/>
        <v/>
      </c>
      <c r="S2695" t="str">
        <f>IF(A2695=1,MAX($S$2:$S2694)+1,IF(OR($I2695&lt;&gt;"",A2695="x"),$S2694,""))</f>
        <v/>
      </c>
      <c r="T2695" t="str">
        <f>IF(D2695=1,MAX($T$2:$T2694)+1,IF(S2695=S2694,$T2694,IF(D2695="x",T2694,IF(D2694="x","",""))))</f>
        <v/>
      </c>
      <c r="U2695" t="str">
        <f>IF(B2695=1,MAX($U$2:$U2694)+1,IF(AND($T2695&lt;&gt;"",$T2695=$T2694),$U2694,IF(B2695="x",U2694,"")))</f>
        <v/>
      </c>
      <c r="V2695" t="str">
        <f>IF(C2695=1,MAX($V$2:$V2694)+1,IF(AND($T2695&lt;&gt;"",$T2695=$T2694),$U2694,IF(C2695="x",V2694,"")))</f>
        <v/>
      </c>
      <c r="X2695" cm="1">
        <f t="array" ref="X2695">IF($I2695&lt;&gt;"",$I2695,INDEX($I$1:$I2695,ROW()-COUNTIFS($T$1:$T2695,"="&amp;$T2695,$S$1:$S2695,"&lt;"&amp;$S2695)))</f>
        <v>0</v>
      </c>
      <c r="Z2695" s="6">
        <f t="shared" si="382"/>
        <v>1</v>
      </c>
      <c r="AA2695" t="e">
        <f t="shared" si="383"/>
        <v>#VALUE!</v>
      </c>
      <c r="AB2695" t="str">
        <f t="shared" si="384"/>
        <v/>
      </c>
      <c r="AC2695" t="e">
        <f t="shared" si="385"/>
        <v>#VALUE!</v>
      </c>
    </row>
    <row r="2696" spans="1:29" x14ac:dyDescent="0.2">
      <c r="A2696" t="str">
        <f t="shared" si="378"/>
        <v/>
      </c>
      <c r="E2696" s="4"/>
      <c r="F2696" s="46"/>
      <c r="G2696" s="4"/>
      <c r="H2696" s="48"/>
      <c r="J2696" s="26" t="str">
        <f t="shared" si="379"/>
        <v/>
      </c>
      <c r="N2696" t="str">
        <f t="shared" si="380"/>
        <v/>
      </c>
      <c r="Q2696" t="str">
        <f t="shared" si="381"/>
        <v/>
      </c>
      <c r="S2696" t="str">
        <f>IF(A2696=1,MAX($S$2:$S2695)+1,IF(OR($I2696&lt;&gt;"",A2696="x"),$S2695,""))</f>
        <v/>
      </c>
      <c r="T2696" t="str">
        <f>IF(D2696=1,MAX($T$2:$T2695)+1,IF(S2696=S2695,$T2695,IF(D2696="x",T2695,IF(D2695="x","",""))))</f>
        <v/>
      </c>
      <c r="U2696" t="str">
        <f>IF(B2696=1,MAX($U$2:$U2695)+1,IF(AND($T2696&lt;&gt;"",$T2696=$T2695),$U2695,IF(B2696="x",U2695,"")))</f>
        <v/>
      </c>
      <c r="V2696" t="str">
        <f>IF(C2696=1,MAX($V$2:$V2695)+1,IF(AND($T2696&lt;&gt;"",$T2696=$T2695),$U2695,IF(C2696="x",V2695,"")))</f>
        <v/>
      </c>
      <c r="X2696" cm="1">
        <f t="array" ref="X2696">IF($I2696&lt;&gt;"",$I2696,INDEX($I$1:$I2696,ROW()-COUNTIFS($T$1:$T2696,"="&amp;$T2696,$S$1:$S2696,"&lt;"&amp;$S2696)))</f>
        <v>0</v>
      </c>
      <c r="Z2696" s="6">
        <f t="shared" si="382"/>
        <v>1</v>
      </c>
      <c r="AA2696" t="e">
        <f t="shared" si="383"/>
        <v>#VALUE!</v>
      </c>
      <c r="AB2696" t="str">
        <f t="shared" si="384"/>
        <v/>
      </c>
      <c r="AC2696" t="e">
        <f t="shared" si="385"/>
        <v>#VALUE!</v>
      </c>
    </row>
    <row r="2697" spans="1:29" x14ac:dyDescent="0.2">
      <c r="A2697" t="str">
        <f t="shared" si="378"/>
        <v/>
      </c>
      <c r="E2697" s="4"/>
      <c r="F2697" s="46"/>
      <c r="G2697" s="4"/>
      <c r="H2697" s="48"/>
      <c r="J2697" s="26" t="str">
        <f t="shared" si="379"/>
        <v/>
      </c>
      <c r="N2697" t="str">
        <f t="shared" si="380"/>
        <v/>
      </c>
      <c r="Q2697" t="str">
        <f t="shared" si="381"/>
        <v/>
      </c>
      <c r="S2697" t="str">
        <f>IF(A2697=1,MAX($S$2:$S2696)+1,IF(OR($I2697&lt;&gt;"",A2697="x"),$S2696,""))</f>
        <v/>
      </c>
      <c r="T2697" t="str">
        <f>IF(D2697=1,MAX($T$2:$T2696)+1,IF(S2697=S2696,$T2696,IF(D2697="x",T2696,IF(D2696="x","",""))))</f>
        <v/>
      </c>
      <c r="U2697" t="str">
        <f>IF(B2697=1,MAX($U$2:$U2696)+1,IF(AND($T2697&lt;&gt;"",$T2697=$T2696),$U2696,IF(B2697="x",U2696,"")))</f>
        <v/>
      </c>
      <c r="V2697" t="str">
        <f>IF(C2697=1,MAX($V$2:$V2696)+1,IF(AND($T2697&lt;&gt;"",$T2697=$T2696),$U2696,IF(C2697="x",V2696,"")))</f>
        <v/>
      </c>
      <c r="X2697" cm="1">
        <f t="array" ref="X2697">IF($I2697&lt;&gt;"",$I2697,INDEX($I$1:$I2697,ROW()-COUNTIFS($T$1:$T2697,"="&amp;$T2697,$S$1:$S2697,"&lt;"&amp;$S2697)))</f>
        <v>0</v>
      </c>
      <c r="Z2697" s="6">
        <f t="shared" si="382"/>
        <v>1</v>
      </c>
      <c r="AA2697" t="e">
        <f t="shared" si="383"/>
        <v>#VALUE!</v>
      </c>
      <c r="AB2697" t="str">
        <f t="shared" si="384"/>
        <v/>
      </c>
      <c r="AC2697" t="e">
        <f t="shared" si="385"/>
        <v>#VALUE!</v>
      </c>
    </row>
    <row r="2698" spans="1:29" x14ac:dyDescent="0.2">
      <c r="A2698" t="str">
        <f t="shared" si="378"/>
        <v/>
      </c>
      <c r="E2698" s="4"/>
      <c r="F2698" s="46"/>
      <c r="G2698" s="4"/>
      <c r="H2698" s="48"/>
      <c r="J2698" s="26" t="str">
        <f t="shared" si="379"/>
        <v/>
      </c>
      <c r="N2698" t="str">
        <f t="shared" si="380"/>
        <v/>
      </c>
      <c r="Q2698" t="str">
        <f t="shared" si="381"/>
        <v/>
      </c>
      <c r="S2698" t="str">
        <f>IF(A2698=1,MAX($S$2:$S2697)+1,IF(OR($I2698&lt;&gt;"",A2698="x"),$S2697,""))</f>
        <v/>
      </c>
      <c r="T2698" t="str">
        <f>IF(D2698=1,MAX($T$2:$T2697)+1,IF(S2698=S2697,$T2697,IF(D2698="x",T2697,IF(D2697="x","",""))))</f>
        <v/>
      </c>
      <c r="U2698" t="str">
        <f>IF(B2698=1,MAX($U$2:$U2697)+1,IF(AND($T2698&lt;&gt;"",$T2698=$T2697),$U2697,IF(B2698="x",U2697,"")))</f>
        <v/>
      </c>
      <c r="V2698" t="str">
        <f>IF(C2698=1,MAX($V$2:$V2697)+1,IF(AND($T2698&lt;&gt;"",$T2698=$T2697),$U2697,IF(C2698="x",V2697,"")))</f>
        <v/>
      </c>
      <c r="X2698" cm="1">
        <f t="array" ref="X2698">IF($I2698&lt;&gt;"",$I2698,INDEX($I$1:$I2698,ROW()-COUNTIFS($T$1:$T2698,"="&amp;$T2698,$S$1:$S2698,"&lt;"&amp;$S2698)))</f>
        <v>0</v>
      </c>
      <c r="Z2698" s="6">
        <f t="shared" si="382"/>
        <v>1</v>
      </c>
      <c r="AA2698" t="e">
        <f t="shared" si="383"/>
        <v>#VALUE!</v>
      </c>
      <c r="AB2698" t="str">
        <f t="shared" si="384"/>
        <v/>
      </c>
      <c r="AC2698" t="e">
        <f t="shared" si="385"/>
        <v>#VALUE!</v>
      </c>
    </row>
    <row r="2699" spans="1:29" x14ac:dyDescent="0.2">
      <c r="A2699" t="str">
        <f t="shared" si="378"/>
        <v/>
      </c>
      <c r="E2699" s="4"/>
      <c r="F2699" s="46"/>
      <c r="G2699" s="4"/>
      <c r="H2699" s="48"/>
      <c r="J2699" s="26" t="str">
        <f t="shared" si="379"/>
        <v/>
      </c>
      <c r="N2699" t="str">
        <f t="shared" si="380"/>
        <v/>
      </c>
      <c r="Q2699" t="str">
        <f t="shared" si="381"/>
        <v/>
      </c>
      <c r="S2699" t="str">
        <f>IF(A2699=1,MAX($S$2:$S2698)+1,IF(OR($I2699&lt;&gt;"",A2699="x"),$S2698,""))</f>
        <v/>
      </c>
      <c r="T2699" t="str">
        <f>IF(D2699=1,MAX($T$2:$T2698)+1,IF(S2699=S2698,$T2698,IF(D2699="x",T2698,IF(D2698="x","",""))))</f>
        <v/>
      </c>
      <c r="U2699" t="str">
        <f>IF(B2699=1,MAX($U$2:$U2698)+1,IF(AND($T2699&lt;&gt;"",$T2699=$T2698),$U2698,IF(B2699="x",U2698,"")))</f>
        <v/>
      </c>
      <c r="V2699" t="str">
        <f>IF(C2699=1,MAX($V$2:$V2698)+1,IF(AND($T2699&lt;&gt;"",$T2699=$T2698),$U2698,IF(C2699="x",V2698,"")))</f>
        <v/>
      </c>
      <c r="X2699" cm="1">
        <f t="array" ref="X2699">IF($I2699&lt;&gt;"",$I2699,INDEX($I$1:$I2699,ROW()-COUNTIFS($T$1:$T2699,"="&amp;$T2699,$S$1:$S2699,"&lt;"&amp;$S2699)))</f>
        <v>0</v>
      </c>
      <c r="Z2699" s="6">
        <f t="shared" si="382"/>
        <v>1</v>
      </c>
      <c r="AA2699" t="e">
        <f t="shared" si="383"/>
        <v>#VALUE!</v>
      </c>
      <c r="AB2699" t="str">
        <f t="shared" si="384"/>
        <v/>
      </c>
      <c r="AC2699" t="e">
        <f t="shared" si="385"/>
        <v>#VALUE!</v>
      </c>
    </row>
    <row r="2700" spans="1:29" x14ac:dyDescent="0.2">
      <c r="A2700" t="str">
        <f t="shared" si="378"/>
        <v/>
      </c>
      <c r="E2700" s="4"/>
      <c r="F2700" s="46"/>
      <c r="G2700" s="4"/>
      <c r="H2700" s="48"/>
      <c r="J2700" s="26" t="str">
        <f t="shared" si="379"/>
        <v/>
      </c>
      <c r="N2700" t="str">
        <f t="shared" si="380"/>
        <v/>
      </c>
      <c r="Q2700" t="str">
        <f t="shared" si="381"/>
        <v/>
      </c>
      <c r="S2700" t="str">
        <f>IF(A2700=1,MAX($S$2:$S2699)+1,IF(OR($I2700&lt;&gt;"",A2700="x"),$S2699,""))</f>
        <v/>
      </c>
      <c r="T2700" t="str">
        <f>IF(D2700=1,MAX($T$2:$T2699)+1,IF(S2700=S2699,$T2699,IF(D2700="x",T2699,IF(D2699="x","",""))))</f>
        <v/>
      </c>
      <c r="U2700" t="str">
        <f>IF(B2700=1,MAX($U$2:$U2699)+1,IF(AND($T2700&lt;&gt;"",$T2700=$T2699),$U2699,IF(B2700="x",U2699,"")))</f>
        <v/>
      </c>
      <c r="V2700" t="str">
        <f>IF(C2700=1,MAX($V$2:$V2699)+1,IF(AND($T2700&lt;&gt;"",$T2700=$T2699),$U2699,IF(C2700="x",V2699,"")))</f>
        <v/>
      </c>
      <c r="X2700" cm="1">
        <f t="array" ref="X2700">IF($I2700&lt;&gt;"",$I2700,INDEX($I$1:$I2700,ROW()-COUNTIFS($T$1:$T2700,"="&amp;$T2700,$S$1:$S2700,"&lt;"&amp;$S2700)))</f>
        <v>0</v>
      </c>
      <c r="Z2700" s="6">
        <f t="shared" si="382"/>
        <v>1</v>
      </c>
      <c r="AA2700" t="e">
        <f t="shared" si="383"/>
        <v>#VALUE!</v>
      </c>
      <c r="AB2700" t="str">
        <f t="shared" si="384"/>
        <v/>
      </c>
      <c r="AC2700" t="e">
        <f t="shared" si="385"/>
        <v>#VALUE!</v>
      </c>
    </row>
    <row r="2701" spans="1:29" x14ac:dyDescent="0.2">
      <c r="A2701" t="str">
        <f t="shared" si="378"/>
        <v/>
      </c>
      <c r="E2701" s="4"/>
      <c r="F2701" s="46"/>
      <c r="G2701" s="4"/>
      <c r="H2701" s="48"/>
      <c r="J2701" s="26" t="str">
        <f t="shared" si="379"/>
        <v/>
      </c>
      <c r="N2701" t="str">
        <f t="shared" si="380"/>
        <v/>
      </c>
      <c r="Q2701" t="str">
        <f t="shared" si="381"/>
        <v/>
      </c>
      <c r="S2701" t="str">
        <f>IF(A2701=1,MAX($S$2:$S2700)+1,IF(OR($I2701&lt;&gt;"",A2701="x"),$S2700,""))</f>
        <v/>
      </c>
      <c r="T2701" t="str">
        <f>IF(D2701=1,MAX($T$2:$T2700)+1,IF(S2701=S2700,$T2700,IF(D2701="x",T2700,IF(D2700="x","",""))))</f>
        <v/>
      </c>
      <c r="U2701" t="str">
        <f>IF(B2701=1,MAX($U$2:$U2700)+1,IF(AND($T2701&lt;&gt;"",$T2701=$T2700),$U2700,IF(B2701="x",U2700,"")))</f>
        <v/>
      </c>
      <c r="V2701" t="str">
        <f>IF(C2701=1,MAX($V$2:$V2700)+1,IF(AND($T2701&lt;&gt;"",$T2701=$T2700),$U2700,IF(C2701="x",V2700,"")))</f>
        <v/>
      </c>
      <c r="X2701" cm="1">
        <f t="array" ref="X2701">IF($I2701&lt;&gt;"",$I2701,INDEX($I$1:$I2701,ROW()-COUNTIFS($T$1:$T2701,"="&amp;$T2701,$S$1:$S2701,"&lt;"&amp;$S2701)))</f>
        <v>0</v>
      </c>
      <c r="Z2701" s="6">
        <f t="shared" si="382"/>
        <v>1</v>
      </c>
      <c r="AA2701" t="e">
        <f t="shared" si="383"/>
        <v>#VALUE!</v>
      </c>
      <c r="AB2701" t="str">
        <f t="shared" si="384"/>
        <v/>
      </c>
      <c r="AC2701" t="e">
        <f t="shared" si="385"/>
        <v>#VALUE!</v>
      </c>
    </row>
    <row r="2702" spans="1:29" x14ac:dyDescent="0.2">
      <c r="A2702" t="str">
        <f t="shared" si="378"/>
        <v/>
      </c>
      <c r="E2702" s="4"/>
      <c r="F2702" s="46"/>
      <c r="G2702" s="4"/>
      <c r="H2702" s="48"/>
      <c r="J2702" s="26" t="str">
        <f t="shared" si="379"/>
        <v/>
      </c>
      <c r="N2702" t="str">
        <f t="shared" si="380"/>
        <v/>
      </c>
      <c r="Q2702" t="str">
        <f t="shared" si="381"/>
        <v/>
      </c>
      <c r="S2702" t="str">
        <f>IF(A2702=1,MAX($S$2:$S2701)+1,IF(OR($I2702&lt;&gt;"",A2702="x"),$S2701,""))</f>
        <v/>
      </c>
      <c r="T2702" t="str">
        <f>IF(D2702=1,MAX($T$2:$T2701)+1,IF(S2702=S2701,$T2701,IF(D2702="x",T2701,IF(D2701="x","",""))))</f>
        <v/>
      </c>
      <c r="U2702" t="str">
        <f>IF(B2702=1,MAX($U$2:$U2701)+1,IF(AND($T2702&lt;&gt;"",$T2702=$T2701),$U2701,IF(B2702="x",U2701,"")))</f>
        <v/>
      </c>
      <c r="V2702" t="str">
        <f>IF(C2702=1,MAX($V$2:$V2701)+1,IF(AND($T2702&lt;&gt;"",$T2702=$T2701),$U2701,IF(C2702="x",V2701,"")))</f>
        <v/>
      </c>
      <c r="X2702" cm="1">
        <f t="array" ref="X2702">IF($I2702&lt;&gt;"",$I2702,INDEX($I$1:$I2702,ROW()-COUNTIFS($T$1:$T2702,"="&amp;$T2702,$S$1:$S2702,"&lt;"&amp;$S2702)))</f>
        <v>0</v>
      </c>
      <c r="Z2702" s="6">
        <f t="shared" si="382"/>
        <v>1</v>
      </c>
      <c r="AA2702" t="e">
        <f t="shared" si="383"/>
        <v>#VALUE!</v>
      </c>
      <c r="AB2702" t="str">
        <f t="shared" si="384"/>
        <v/>
      </c>
      <c r="AC2702" t="e">
        <f t="shared" si="385"/>
        <v>#VALUE!</v>
      </c>
    </row>
    <row r="2703" spans="1:29" x14ac:dyDescent="0.2">
      <c r="A2703" t="str">
        <f t="shared" si="378"/>
        <v/>
      </c>
      <c r="E2703" s="4"/>
      <c r="F2703" s="46"/>
      <c r="G2703" s="4"/>
      <c r="H2703" s="48"/>
      <c r="J2703" s="26" t="str">
        <f t="shared" si="379"/>
        <v/>
      </c>
      <c r="N2703" t="str">
        <f t="shared" si="380"/>
        <v/>
      </c>
      <c r="Q2703" t="str">
        <f t="shared" si="381"/>
        <v/>
      </c>
      <c r="S2703" t="str">
        <f>IF(A2703=1,MAX($S$2:$S2702)+1,IF(OR($I2703&lt;&gt;"",A2703="x"),$S2702,""))</f>
        <v/>
      </c>
      <c r="T2703" t="str">
        <f>IF(D2703=1,MAX($T$2:$T2702)+1,IF(S2703=S2702,$T2702,IF(D2703="x",T2702,IF(D2702="x","",""))))</f>
        <v/>
      </c>
      <c r="U2703" t="str">
        <f>IF(B2703=1,MAX($U$2:$U2702)+1,IF(AND($T2703&lt;&gt;"",$T2703=$T2702),$U2702,IF(B2703="x",U2702,"")))</f>
        <v/>
      </c>
      <c r="V2703" t="str">
        <f>IF(C2703=1,MAX($V$2:$V2702)+1,IF(AND($T2703&lt;&gt;"",$T2703=$T2702),$U2702,IF(C2703="x",V2702,"")))</f>
        <v/>
      </c>
      <c r="X2703" cm="1">
        <f t="array" ref="X2703">IF($I2703&lt;&gt;"",$I2703,INDEX($I$1:$I2703,ROW()-COUNTIFS($T$1:$T2703,"="&amp;$T2703,$S$1:$S2703,"&lt;"&amp;$S2703)))</f>
        <v>0</v>
      </c>
      <c r="Z2703" s="6">
        <f t="shared" si="382"/>
        <v>1</v>
      </c>
      <c r="AA2703" t="e">
        <f t="shared" si="383"/>
        <v>#VALUE!</v>
      </c>
      <c r="AB2703" t="str">
        <f t="shared" si="384"/>
        <v/>
      </c>
      <c r="AC2703" t="e">
        <f t="shared" si="385"/>
        <v>#VALUE!</v>
      </c>
    </row>
    <row r="2704" spans="1:29" x14ac:dyDescent="0.2">
      <c r="A2704" t="str">
        <f t="shared" si="378"/>
        <v/>
      </c>
      <c r="E2704" s="4"/>
      <c r="F2704" s="46"/>
      <c r="G2704" s="4"/>
      <c r="H2704" s="48"/>
      <c r="J2704" s="26" t="str">
        <f t="shared" si="379"/>
        <v/>
      </c>
      <c r="N2704" t="str">
        <f t="shared" si="380"/>
        <v/>
      </c>
      <c r="Q2704" t="str">
        <f t="shared" si="381"/>
        <v/>
      </c>
      <c r="S2704" t="str">
        <f>IF(A2704=1,MAX($S$2:$S2703)+1,IF(OR($I2704&lt;&gt;"",A2704="x"),$S2703,""))</f>
        <v/>
      </c>
      <c r="T2704" t="str">
        <f>IF(D2704=1,MAX($T$2:$T2703)+1,IF(S2704=S2703,$T2703,IF(D2704="x",T2703,IF(D2703="x","",""))))</f>
        <v/>
      </c>
      <c r="U2704" t="str">
        <f>IF(B2704=1,MAX($U$2:$U2703)+1,IF(AND($T2704&lt;&gt;"",$T2704=$T2703),$U2703,IF(B2704="x",U2703,"")))</f>
        <v/>
      </c>
      <c r="V2704" t="str">
        <f>IF(C2704=1,MAX($V$2:$V2703)+1,IF(AND($T2704&lt;&gt;"",$T2704=$T2703),$U2703,IF(C2704="x",V2703,"")))</f>
        <v/>
      </c>
      <c r="X2704" cm="1">
        <f t="array" ref="X2704">IF($I2704&lt;&gt;"",$I2704,INDEX($I$1:$I2704,ROW()-COUNTIFS($T$1:$T2704,"="&amp;$T2704,$S$1:$S2704,"&lt;"&amp;$S2704)))</f>
        <v>0</v>
      </c>
      <c r="Z2704" s="6">
        <f t="shared" si="382"/>
        <v>1</v>
      </c>
      <c r="AA2704" t="e">
        <f t="shared" si="383"/>
        <v>#VALUE!</v>
      </c>
      <c r="AB2704" t="str">
        <f t="shared" si="384"/>
        <v/>
      </c>
      <c r="AC2704" t="e">
        <f t="shared" si="385"/>
        <v>#VALUE!</v>
      </c>
    </row>
    <row r="2705" spans="1:29" x14ac:dyDescent="0.2">
      <c r="A2705" t="str">
        <f t="shared" si="378"/>
        <v/>
      </c>
      <c r="E2705" s="4"/>
      <c r="F2705" s="46"/>
      <c r="G2705" s="4"/>
      <c r="H2705" s="48"/>
      <c r="J2705" s="26" t="str">
        <f t="shared" si="379"/>
        <v/>
      </c>
      <c r="N2705" t="str">
        <f t="shared" si="380"/>
        <v/>
      </c>
      <c r="Q2705" t="str">
        <f t="shared" si="381"/>
        <v/>
      </c>
      <c r="S2705" t="str">
        <f>IF(A2705=1,MAX($S$2:$S2704)+1,IF(OR($I2705&lt;&gt;"",A2705="x"),$S2704,""))</f>
        <v/>
      </c>
      <c r="T2705" t="str">
        <f>IF(D2705=1,MAX($T$2:$T2704)+1,IF(S2705=S2704,$T2704,IF(D2705="x",T2704,IF(D2704="x","",""))))</f>
        <v/>
      </c>
      <c r="U2705" t="str">
        <f>IF(B2705=1,MAX($U$2:$U2704)+1,IF(AND($T2705&lt;&gt;"",$T2705=$T2704),$U2704,IF(B2705="x",U2704,"")))</f>
        <v/>
      </c>
      <c r="V2705" t="str">
        <f>IF(C2705=1,MAX($V$2:$V2704)+1,IF(AND($T2705&lt;&gt;"",$T2705=$T2704),$U2704,IF(C2705="x",V2704,"")))</f>
        <v/>
      </c>
      <c r="X2705" cm="1">
        <f t="array" ref="X2705">IF($I2705&lt;&gt;"",$I2705,INDEX($I$1:$I2705,ROW()-COUNTIFS($T$1:$T2705,"="&amp;$T2705,$S$1:$S2705,"&lt;"&amp;$S2705)))</f>
        <v>0</v>
      </c>
      <c r="Z2705" s="6">
        <f t="shared" si="382"/>
        <v>1</v>
      </c>
      <c r="AA2705" t="e">
        <f t="shared" si="383"/>
        <v>#VALUE!</v>
      </c>
      <c r="AB2705" t="str">
        <f t="shared" si="384"/>
        <v/>
      </c>
      <c r="AC2705" t="e">
        <f t="shared" si="385"/>
        <v>#VALUE!</v>
      </c>
    </row>
    <row r="2706" spans="1:29" x14ac:dyDescent="0.2">
      <c r="A2706" t="str">
        <f t="shared" si="378"/>
        <v/>
      </c>
      <c r="E2706" s="4"/>
      <c r="F2706" s="46"/>
      <c r="G2706" s="4"/>
      <c r="H2706" s="48"/>
      <c r="J2706" s="26" t="str">
        <f t="shared" si="379"/>
        <v/>
      </c>
      <c r="N2706" t="str">
        <f t="shared" si="380"/>
        <v/>
      </c>
      <c r="Q2706" t="str">
        <f t="shared" si="381"/>
        <v/>
      </c>
      <c r="S2706" t="str">
        <f>IF(A2706=1,MAX($S$2:$S2705)+1,IF(OR($I2706&lt;&gt;"",A2706="x"),$S2705,""))</f>
        <v/>
      </c>
      <c r="T2706" t="str">
        <f>IF(D2706=1,MAX($T$2:$T2705)+1,IF(S2706=S2705,$T2705,IF(D2706="x",T2705,IF(D2705="x","",""))))</f>
        <v/>
      </c>
      <c r="U2706" t="str">
        <f>IF(B2706=1,MAX($U$2:$U2705)+1,IF(AND($T2706&lt;&gt;"",$T2706=$T2705),$U2705,IF(B2706="x",U2705,"")))</f>
        <v/>
      </c>
      <c r="V2706" t="str">
        <f>IF(C2706=1,MAX($V$2:$V2705)+1,IF(AND($T2706&lt;&gt;"",$T2706=$T2705),$U2705,IF(C2706="x",V2705,"")))</f>
        <v/>
      </c>
      <c r="X2706" cm="1">
        <f t="array" ref="X2706">IF($I2706&lt;&gt;"",$I2706,INDEX($I$1:$I2706,ROW()-COUNTIFS($T$1:$T2706,"="&amp;$T2706,$S$1:$S2706,"&lt;"&amp;$S2706)))</f>
        <v>0</v>
      </c>
      <c r="Z2706" s="6">
        <f t="shared" si="382"/>
        <v>1</v>
      </c>
      <c r="AA2706" t="e">
        <f t="shared" si="383"/>
        <v>#VALUE!</v>
      </c>
      <c r="AB2706" t="str">
        <f t="shared" si="384"/>
        <v/>
      </c>
      <c r="AC2706" t="e">
        <f t="shared" si="385"/>
        <v>#VALUE!</v>
      </c>
    </row>
    <row r="2707" spans="1:29" x14ac:dyDescent="0.2">
      <c r="A2707" t="str">
        <f t="shared" ref="A2707:A2770" si="386">IF(K2707&lt;&gt;"",1,IF(D2707="x","x",""))</f>
        <v/>
      </c>
      <c r="E2707" s="4"/>
      <c r="F2707" s="46"/>
      <c r="G2707" s="4"/>
      <c r="H2707" s="48"/>
      <c r="J2707" s="26" t="str">
        <f t="shared" ref="J2707:J2770" si="387">IF(OR(K2707="Goal",K2707="Shot",L2707="Zone_Entry",M2707="Stoppage-Goal",M2706="Stoppage-Goal"),"o",IF(OR(K2707="Save",K2707="Rebound",L2707="Zone_Exit",M2707="Stoppage-GoalieStoppage",M2706="Stoppage-GoalieStoppage"),"d",IF(OR(L2707="Faceoff_AfterGoal",L2707="Faceoff_PeriodStart",698="Faceoff_GameStart",M2706="Stoppage-Goal"),"n","")))</f>
        <v/>
      </c>
      <c r="N2707" t="str">
        <f t="shared" ref="N2707:N2770" si="388">IF(K2707="","",IF(K2707="Goal","s",IF(AND(K2707="Zone_Entry_Exit",OR(ISNUMBER(SEARCH("fail",L2707)),ISNUMBER(SEARCH("FromExitClear",M2707)),ISNUMBER(SEARCH("miss",M2707)))),"u",IF(AND(K2707="Zone_Entry_Exit",OR(NOT(ISNUMBER(SEARCH("fail",L2707))),NOT(ISNUMBER(SEARCH("FromExitClear",M2707))),NOT(ISNUMBER(SEARCH("miss",M2707))))),"s",IF(AND(OR(K2707="Shot",K2707="Pass"),OR(ISNUMBER(SEARCH("complete",L2707)),ISNUMBER(SEARCH("goal",L2707)),ISNUMBER(SEARCH("OnNet",L2707)))),"s",IF(L2707="Turnover_Giveaway","u",IF(AND(OR(K2707="Shot",K2707="Pass"),OR(ISNUMBER(SEARCH("fail",L2707)),NOT(ISNUMBER(SEARCH("complete",L2707))),NOT(ISNUMBER(SEARCH("OnNet",L2707))))),"u","")))))))</f>
        <v/>
      </c>
      <c r="Q2707" t="str">
        <f t="shared" ref="Q2707:Q2770" si="389">IF(O2707="","",IF(AND(N2707&lt;&gt;"",OR(O2707&lt;&gt;"",P2707&lt;&gt;"")),N2707,IF(OR(ISNUMBER(SEARCH("attemp",O2707)),ISNUMBER(SEARCH("beat",O2707)),ISNUMBER(SEARCH("mis",O2707)),ISNUMBER(SEARCH("fail",O2707)),ISNUMBER(SEARCH("loss",O2707)),ISNUMBER(SEARCH("lost",O2707)),ISNUMBER(SEARCH("attemp",P2707)),ISNUMBER(SEARCH("mis",P2707)),ISNUMBER(SEARCH("fail",P2707)),ISNUMBER(SEARCH("loss",P2707)),ISNUMBER(SEARCH("beat",P2707)),ISNUMBER(SEARCH("lost",P2707))),"u","")))</f>
        <v/>
      </c>
      <c r="S2707" t="str">
        <f>IF(A2707=1,MAX($S$2:$S2706)+1,IF(OR($I2707&lt;&gt;"",A2707="x"),$S2706,""))</f>
        <v/>
      </c>
      <c r="T2707" t="str">
        <f>IF(D2707=1,MAX($T$2:$T2706)+1,IF(S2707=S2706,$T2706,IF(D2707="x",T2706,IF(D2706="x","",""))))</f>
        <v/>
      </c>
      <c r="U2707" t="str">
        <f>IF(B2707=1,MAX($U$2:$U2706)+1,IF(AND($T2707&lt;&gt;"",$T2707=$T2706),$U2706,IF(B2707="x",U2706,"")))</f>
        <v/>
      </c>
      <c r="V2707" t="str">
        <f>IF(C2707=1,MAX($V$2:$V2706)+1,IF(AND($T2707&lt;&gt;"",$T2707=$T2706),$U2706,IF(C2707="x",V2706,"")))</f>
        <v/>
      </c>
      <c r="X2707" cm="1">
        <f t="array" ref="X2707">IF($I2707&lt;&gt;"",$I2707,INDEX($I$1:$I2707,ROW()-COUNTIFS($T$1:$T2707,"="&amp;$T2707,$S$1:$S2707,"&lt;"&amp;$S2707)))</f>
        <v>0</v>
      </c>
      <c r="Z2707" s="6">
        <f t="shared" si="382"/>
        <v>1</v>
      </c>
      <c r="AA2707" t="e">
        <f t="shared" si="383"/>
        <v>#VALUE!</v>
      </c>
      <c r="AB2707" t="str">
        <f t="shared" si="384"/>
        <v/>
      </c>
      <c r="AC2707" t="e">
        <f t="shared" si="385"/>
        <v>#VALUE!</v>
      </c>
    </row>
    <row r="2708" spans="1:29" x14ac:dyDescent="0.2">
      <c r="A2708" t="str">
        <f t="shared" si="386"/>
        <v/>
      </c>
      <c r="E2708" s="4"/>
      <c r="F2708" s="46"/>
      <c r="G2708" s="4"/>
      <c r="H2708" s="48"/>
      <c r="J2708" s="26" t="str">
        <f t="shared" si="387"/>
        <v/>
      </c>
      <c r="N2708" t="str">
        <f t="shared" si="388"/>
        <v/>
      </c>
      <c r="Q2708" t="str">
        <f t="shared" si="389"/>
        <v/>
      </c>
      <c r="S2708" t="str">
        <f>IF(A2708=1,MAX($S$2:$S2707)+1,IF(OR($I2708&lt;&gt;"",A2708="x"),$S2707,""))</f>
        <v/>
      </c>
      <c r="T2708" t="str">
        <f>IF(D2708=1,MAX($T$2:$T2707)+1,IF(S2708=S2707,$T2707,IF(D2708="x",T2707,IF(D2707="x","",""))))</f>
        <v/>
      </c>
      <c r="U2708" t="str">
        <f>IF(B2708=1,MAX($U$2:$U2707)+1,IF(AND($T2708&lt;&gt;"",$T2708=$T2707),$U2707,IF(B2708="x",U2707,"")))</f>
        <v/>
      </c>
      <c r="V2708" t="str">
        <f>IF(C2708=1,MAX($V$2:$V2707)+1,IF(AND($T2708&lt;&gt;"",$T2708=$T2707),$U2707,IF(C2708="x",V2707,"")))</f>
        <v/>
      </c>
      <c r="X2708" cm="1">
        <f t="array" ref="X2708">IF($I2708&lt;&gt;"",$I2708,INDEX($I$1:$I2708,ROW()-COUNTIFS($T$1:$T2708,"="&amp;$T2708,$S$1:$S2708,"&lt;"&amp;$S2708)))</f>
        <v>0</v>
      </c>
      <c r="Z2708" s="6">
        <f t="shared" si="382"/>
        <v>1</v>
      </c>
      <c r="AA2708" t="e">
        <f t="shared" si="383"/>
        <v>#VALUE!</v>
      </c>
      <c r="AB2708" t="str">
        <f t="shared" si="384"/>
        <v/>
      </c>
      <c r="AC2708" t="e">
        <f t="shared" si="385"/>
        <v>#VALUE!</v>
      </c>
    </row>
    <row r="2709" spans="1:29" x14ac:dyDescent="0.2">
      <c r="A2709" t="str">
        <f t="shared" si="386"/>
        <v/>
      </c>
      <c r="E2709" s="4"/>
      <c r="F2709" s="46"/>
      <c r="G2709" s="4"/>
      <c r="H2709" s="48"/>
      <c r="J2709" s="26" t="str">
        <f t="shared" si="387"/>
        <v/>
      </c>
      <c r="N2709" t="str">
        <f t="shared" si="388"/>
        <v/>
      </c>
      <c r="Q2709" t="str">
        <f t="shared" si="389"/>
        <v/>
      </c>
      <c r="S2709" t="str">
        <f>IF(A2709=1,MAX($S$2:$S2708)+1,IF(OR($I2709&lt;&gt;"",A2709="x"),$S2708,""))</f>
        <v/>
      </c>
      <c r="T2709" t="str">
        <f>IF(D2709=1,MAX($T$2:$T2708)+1,IF(S2709=S2708,$T2708,IF(D2709="x",T2708,IF(D2708="x","",""))))</f>
        <v/>
      </c>
      <c r="U2709" t="str">
        <f>IF(B2709=1,MAX($U$2:$U2708)+1,IF(AND($T2709&lt;&gt;"",$T2709=$T2708),$U2708,IF(B2709="x",U2708,"")))</f>
        <v/>
      </c>
      <c r="V2709" t="str">
        <f>IF(C2709=1,MAX($V$2:$V2708)+1,IF(AND($T2709&lt;&gt;"",$T2709=$T2708),$U2708,IF(C2709="x",V2708,"")))</f>
        <v/>
      </c>
      <c r="X2709" cm="1">
        <f t="array" ref="X2709">IF($I2709&lt;&gt;"",$I2709,INDEX($I$1:$I2709,ROW()-COUNTIFS($T$1:$T2709,"="&amp;$T2709,$S$1:$S2709,"&lt;"&amp;$S2709)))</f>
        <v>0</v>
      </c>
      <c r="Z2709" s="6">
        <f t="shared" si="382"/>
        <v>1</v>
      </c>
      <c r="AA2709" t="e">
        <f t="shared" si="383"/>
        <v>#VALUE!</v>
      </c>
      <c r="AB2709" t="str">
        <f t="shared" si="384"/>
        <v/>
      </c>
      <c r="AC2709" t="e">
        <f t="shared" si="385"/>
        <v>#VALUE!</v>
      </c>
    </row>
    <row r="2710" spans="1:29" x14ac:dyDescent="0.2">
      <c r="A2710" t="str">
        <f t="shared" si="386"/>
        <v/>
      </c>
      <c r="E2710" s="4"/>
      <c r="F2710" s="46"/>
      <c r="G2710" s="4"/>
      <c r="H2710" s="48"/>
      <c r="J2710" s="26" t="str">
        <f t="shared" si="387"/>
        <v/>
      </c>
      <c r="N2710" t="str">
        <f t="shared" si="388"/>
        <v/>
      </c>
      <c r="Q2710" t="str">
        <f t="shared" si="389"/>
        <v/>
      </c>
      <c r="S2710" t="str">
        <f>IF(A2710=1,MAX($S$2:$S2709)+1,IF(OR($I2710&lt;&gt;"",A2710="x"),$S2709,""))</f>
        <v/>
      </c>
      <c r="T2710" t="str">
        <f>IF(D2710=1,MAX($T$2:$T2709)+1,IF(S2710=S2709,$T2709,IF(D2710="x",T2709,IF(D2709="x","",""))))</f>
        <v/>
      </c>
      <c r="U2710" t="str">
        <f>IF(B2710=1,MAX($U$2:$U2709)+1,IF(AND($T2710&lt;&gt;"",$T2710=$T2709),$U2709,IF(B2710="x",U2709,"")))</f>
        <v/>
      </c>
      <c r="V2710" t="str">
        <f>IF(C2710=1,MAX($V$2:$V2709)+1,IF(AND($T2710&lt;&gt;"",$T2710=$T2709),$U2709,IF(C2710="x",V2709,"")))</f>
        <v/>
      </c>
      <c r="X2710" cm="1">
        <f t="array" ref="X2710">IF($I2710&lt;&gt;"",$I2710,INDEX($I$1:$I2710,ROW()-COUNTIFS($T$1:$T2710,"="&amp;$T2710,$S$1:$S2710,"&lt;"&amp;$S2710)))</f>
        <v>0</v>
      </c>
      <c r="Z2710" s="6">
        <f t="shared" si="382"/>
        <v>1</v>
      </c>
      <c r="AA2710" t="e">
        <f t="shared" si="383"/>
        <v>#VALUE!</v>
      </c>
      <c r="AB2710" t="str">
        <f t="shared" si="384"/>
        <v/>
      </c>
      <c r="AC2710" t="e">
        <f t="shared" si="385"/>
        <v>#VALUE!</v>
      </c>
    </row>
    <row r="2711" spans="1:29" x14ac:dyDescent="0.2">
      <c r="A2711" t="str">
        <f t="shared" si="386"/>
        <v/>
      </c>
      <c r="E2711" s="4"/>
      <c r="F2711" s="46"/>
      <c r="G2711" s="4"/>
      <c r="H2711" s="48"/>
      <c r="J2711" s="26" t="str">
        <f t="shared" si="387"/>
        <v/>
      </c>
      <c r="N2711" t="str">
        <f t="shared" si="388"/>
        <v/>
      </c>
      <c r="Q2711" t="str">
        <f t="shared" si="389"/>
        <v/>
      </c>
      <c r="S2711" t="str">
        <f>IF(A2711=1,MAX($S$2:$S2710)+1,IF(OR($I2711&lt;&gt;"",A2711="x"),$S2710,""))</f>
        <v/>
      </c>
      <c r="T2711" t="str">
        <f>IF(D2711=1,MAX($T$2:$T2710)+1,IF(S2711=S2710,$T2710,IF(D2711="x",T2710,IF(D2710="x","",""))))</f>
        <v/>
      </c>
      <c r="U2711" t="str">
        <f>IF(B2711=1,MAX($U$2:$U2710)+1,IF(AND($T2711&lt;&gt;"",$T2711=$T2710),$U2710,IF(B2711="x",U2710,"")))</f>
        <v/>
      </c>
      <c r="V2711" t="str">
        <f>IF(C2711=1,MAX($V$2:$V2710)+1,IF(AND($T2711&lt;&gt;"",$T2711=$T2710),$U2710,IF(C2711="x",V2710,"")))</f>
        <v/>
      </c>
      <c r="X2711" cm="1">
        <f t="array" ref="X2711">IF($I2711&lt;&gt;"",$I2711,INDEX($I$1:$I2711,ROW()-COUNTIFS($T$1:$T2711,"="&amp;$T2711,$S$1:$S2711,"&lt;"&amp;$S2711)))</f>
        <v>0</v>
      </c>
      <c r="Z2711" s="6">
        <f t="shared" si="382"/>
        <v>1</v>
      </c>
      <c r="AA2711" t="e">
        <f t="shared" si="383"/>
        <v>#VALUE!</v>
      </c>
      <c r="AB2711" t="str">
        <f t="shared" si="384"/>
        <v/>
      </c>
      <c r="AC2711" t="e">
        <f t="shared" si="385"/>
        <v>#VALUE!</v>
      </c>
    </row>
    <row r="2712" spans="1:29" x14ac:dyDescent="0.2">
      <c r="A2712" t="str">
        <f t="shared" si="386"/>
        <v/>
      </c>
      <c r="E2712" s="4"/>
      <c r="F2712" s="46"/>
      <c r="G2712" s="4"/>
      <c r="H2712" s="48"/>
      <c r="J2712" s="26" t="str">
        <f t="shared" si="387"/>
        <v/>
      </c>
      <c r="N2712" t="str">
        <f t="shared" si="388"/>
        <v/>
      </c>
      <c r="Q2712" t="str">
        <f t="shared" si="389"/>
        <v/>
      </c>
      <c r="S2712" t="str">
        <f>IF(A2712=1,MAX($S$2:$S2711)+1,IF(OR($I2712&lt;&gt;"",A2712="x"),$S2711,""))</f>
        <v/>
      </c>
      <c r="T2712" t="str">
        <f>IF(D2712=1,MAX($T$2:$T2711)+1,IF(S2712=S2711,$T2711,IF(D2712="x",T2711,IF(D2711="x","",""))))</f>
        <v/>
      </c>
      <c r="U2712" t="str">
        <f>IF(B2712=1,MAX($U$2:$U2711)+1,IF(AND($T2712&lt;&gt;"",$T2712=$T2711),$U2711,IF(B2712="x",U2711,"")))</f>
        <v/>
      </c>
      <c r="V2712" t="str">
        <f>IF(C2712=1,MAX($V$2:$V2711)+1,IF(AND($T2712&lt;&gt;"",$T2712=$T2711),$U2711,IF(C2712="x",V2711,"")))</f>
        <v/>
      </c>
      <c r="X2712" cm="1">
        <f t="array" ref="X2712">IF($I2712&lt;&gt;"",$I2712,INDEX($I$1:$I2712,ROW()-COUNTIFS($T$1:$T2712,"="&amp;$T2712,$S$1:$S2712,"&lt;"&amp;$S2712)))</f>
        <v>0</v>
      </c>
      <c r="Z2712" s="6">
        <f t="shared" si="382"/>
        <v>1</v>
      </c>
      <c r="AA2712" t="e">
        <f t="shared" si="383"/>
        <v>#VALUE!</v>
      </c>
      <c r="AB2712" t="str">
        <f t="shared" si="384"/>
        <v/>
      </c>
      <c r="AC2712" t="e">
        <f t="shared" si="385"/>
        <v>#VALUE!</v>
      </c>
    </row>
    <row r="2713" spans="1:29" x14ac:dyDescent="0.2">
      <c r="A2713" t="str">
        <f t="shared" si="386"/>
        <v/>
      </c>
      <c r="E2713" s="4"/>
      <c r="F2713" s="46"/>
      <c r="G2713" s="4"/>
      <c r="H2713" s="48"/>
      <c r="J2713" s="26" t="str">
        <f t="shared" si="387"/>
        <v/>
      </c>
      <c r="N2713" t="str">
        <f t="shared" si="388"/>
        <v/>
      </c>
      <c r="Q2713" t="str">
        <f t="shared" si="389"/>
        <v/>
      </c>
      <c r="S2713" t="str">
        <f>IF(A2713=1,MAX($S$2:$S2712)+1,IF(OR($I2713&lt;&gt;"",A2713="x"),$S2712,""))</f>
        <v/>
      </c>
      <c r="T2713" t="str">
        <f>IF(D2713=1,MAX($T$2:$T2712)+1,IF(S2713=S2712,$T2712,IF(D2713="x",T2712,IF(D2712="x","",""))))</f>
        <v/>
      </c>
      <c r="U2713" t="str">
        <f>IF(B2713=1,MAX($U$2:$U2712)+1,IF(AND($T2713&lt;&gt;"",$T2713=$T2712),$U2712,IF(B2713="x",U2712,"")))</f>
        <v/>
      </c>
      <c r="V2713" t="str">
        <f>IF(C2713=1,MAX($V$2:$V2712)+1,IF(AND($T2713&lt;&gt;"",$T2713=$T2712),$U2712,IF(C2713="x",V2712,"")))</f>
        <v/>
      </c>
      <c r="X2713" cm="1">
        <f t="array" ref="X2713">IF($I2713&lt;&gt;"",$I2713,INDEX($I$1:$I2713,ROW()-COUNTIFS($T$1:$T2713,"="&amp;$T2713,$S$1:$S2713,"&lt;"&amp;$S2713)))</f>
        <v>0</v>
      </c>
      <c r="Z2713" s="6">
        <f t="shared" si="382"/>
        <v>1</v>
      </c>
      <c r="AA2713" t="e">
        <f t="shared" si="383"/>
        <v>#VALUE!</v>
      </c>
      <c r="AB2713" t="str">
        <f t="shared" si="384"/>
        <v/>
      </c>
      <c r="AC2713" t="e">
        <f t="shared" si="385"/>
        <v>#VALUE!</v>
      </c>
    </row>
    <row r="2714" spans="1:29" x14ac:dyDescent="0.2">
      <c r="A2714" t="str">
        <f t="shared" si="386"/>
        <v/>
      </c>
      <c r="E2714" s="4"/>
      <c r="F2714" s="46"/>
      <c r="G2714" s="4"/>
      <c r="H2714" s="48"/>
      <c r="J2714" s="26" t="str">
        <f t="shared" si="387"/>
        <v/>
      </c>
      <c r="N2714" t="str">
        <f t="shared" si="388"/>
        <v/>
      </c>
      <c r="Q2714" t="str">
        <f t="shared" si="389"/>
        <v/>
      </c>
      <c r="S2714" t="str">
        <f>IF(A2714=1,MAX($S$2:$S2713)+1,IF(OR($I2714&lt;&gt;"",A2714="x"),$S2713,""))</f>
        <v/>
      </c>
      <c r="T2714" t="str">
        <f>IF(D2714=1,MAX($T$2:$T2713)+1,IF(S2714=S2713,$T2713,IF(D2714="x",T2713,IF(D2713="x","",""))))</f>
        <v/>
      </c>
      <c r="U2714" t="str">
        <f>IF(B2714=1,MAX($U$2:$U2713)+1,IF(AND($T2714&lt;&gt;"",$T2714=$T2713),$U2713,IF(B2714="x",U2713,"")))</f>
        <v/>
      </c>
      <c r="V2714" t="str">
        <f>IF(C2714=1,MAX($V$2:$V2713)+1,IF(AND($T2714&lt;&gt;"",$T2714=$T2713),$U2713,IF(C2714="x",V2713,"")))</f>
        <v/>
      </c>
      <c r="X2714" cm="1">
        <f t="array" ref="X2714">IF($I2714&lt;&gt;"",$I2714,INDEX($I$1:$I2714,ROW()-COUNTIFS($T$1:$T2714,"="&amp;$T2714,$S$1:$S2714,"&lt;"&amp;$S2714)))</f>
        <v>0</v>
      </c>
      <c r="Z2714" s="6">
        <f t="shared" si="382"/>
        <v>1</v>
      </c>
      <c r="AA2714" t="e">
        <f t="shared" si="383"/>
        <v>#VALUE!</v>
      </c>
      <c r="AB2714" t="str">
        <f t="shared" si="384"/>
        <v/>
      </c>
      <c r="AC2714" t="e">
        <f t="shared" si="385"/>
        <v>#VALUE!</v>
      </c>
    </row>
    <row r="2715" spans="1:29" x14ac:dyDescent="0.2">
      <c r="A2715" t="str">
        <f t="shared" si="386"/>
        <v/>
      </c>
      <c r="E2715" s="4"/>
      <c r="F2715" s="46"/>
      <c r="G2715" s="4"/>
      <c r="H2715" s="48"/>
      <c r="J2715" s="26" t="str">
        <f t="shared" si="387"/>
        <v/>
      </c>
      <c r="N2715" t="str">
        <f t="shared" si="388"/>
        <v/>
      </c>
      <c r="Q2715" t="str">
        <f t="shared" si="389"/>
        <v/>
      </c>
      <c r="S2715" t="str">
        <f>IF(A2715=1,MAX($S$2:$S2714)+1,IF(OR($I2715&lt;&gt;"",A2715="x"),$S2714,""))</f>
        <v/>
      </c>
      <c r="T2715" t="str">
        <f>IF(D2715=1,MAX($T$2:$T2714)+1,IF(S2715=S2714,$T2714,IF(D2715="x",T2714,IF(D2714="x","",""))))</f>
        <v/>
      </c>
      <c r="U2715" t="str">
        <f>IF(B2715=1,MAX($U$2:$U2714)+1,IF(AND($T2715&lt;&gt;"",$T2715=$T2714),$U2714,IF(B2715="x",U2714,"")))</f>
        <v/>
      </c>
      <c r="V2715" t="str">
        <f>IF(C2715=1,MAX($V$2:$V2714)+1,IF(AND($T2715&lt;&gt;"",$T2715=$T2714),$U2714,IF(C2715="x",V2714,"")))</f>
        <v/>
      </c>
      <c r="X2715" cm="1">
        <f t="array" ref="X2715">IF($I2715&lt;&gt;"",$I2715,INDEX($I$1:$I2715,ROW()-COUNTIFS($T$1:$T2715,"="&amp;$T2715,$S$1:$S2715,"&lt;"&amp;$S2715)))</f>
        <v>0</v>
      </c>
      <c r="Z2715" s="6">
        <f t="shared" si="382"/>
        <v>1</v>
      </c>
      <c r="AA2715" t="e">
        <f t="shared" si="383"/>
        <v>#VALUE!</v>
      </c>
      <c r="AB2715" t="str">
        <f t="shared" si="384"/>
        <v/>
      </c>
      <c r="AC2715" t="e">
        <f t="shared" si="385"/>
        <v>#VALUE!</v>
      </c>
    </row>
    <row r="2716" spans="1:29" x14ac:dyDescent="0.2">
      <c r="A2716" t="str">
        <f t="shared" si="386"/>
        <v/>
      </c>
      <c r="E2716" s="4"/>
      <c r="F2716" s="46"/>
      <c r="G2716" s="4"/>
      <c r="H2716" s="48"/>
      <c r="J2716" s="26" t="str">
        <f t="shared" si="387"/>
        <v/>
      </c>
      <c r="N2716" t="str">
        <f t="shared" si="388"/>
        <v/>
      </c>
      <c r="Q2716" t="str">
        <f t="shared" si="389"/>
        <v/>
      </c>
      <c r="S2716" t="str">
        <f>IF(A2716=1,MAX($S$2:$S2715)+1,IF(OR($I2716&lt;&gt;"",A2716="x"),$S2715,""))</f>
        <v/>
      </c>
      <c r="T2716" t="str">
        <f>IF(D2716=1,MAX($T$2:$T2715)+1,IF(S2716=S2715,$T2715,IF(D2716="x",T2715,IF(D2715="x","",""))))</f>
        <v/>
      </c>
      <c r="U2716" t="str">
        <f>IF(B2716=1,MAX($U$2:$U2715)+1,IF(AND($T2716&lt;&gt;"",$T2716=$T2715),$U2715,IF(B2716="x",U2715,"")))</f>
        <v/>
      </c>
      <c r="V2716" t="str">
        <f>IF(C2716=1,MAX($V$2:$V2715)+1,IF(AND($T2716&lt;&gt;"",$T2716=$T2715),$U2715,IF(C2716="x",V2715,"")))</f>
        <v/>
      </c>
      <c r="X2716" cm="1">
        <f t="array" ref="X2716">IF($I2716&lt;&gt;"",$I2716,INDEX($I$1:$I2716,ROW()-COUNTIFS($T$1:$T2716,"="&amp;$T2716,$S$1:$S2716,"&lt;"&amp;$S2716)))</f>
        <v>0</v>
      </c>
      <c r="Z2716" s="6">
        <f t="shared" si="382"/>
        <v>1</v>
      </c>
      <c r="AA2716" t="e">
        <f t="shared" si="383"/>
        <v>#VALUE!</v>
      </c>
      <c r="AB2716" t="str">
        <f t="shared" si="384"/>
        <v/>
      </c>
      <c r="AC2716" t="e">
        <f t="shared" si="385"/>
        <v>#VALUE!</v>
      </c>
    </row>
    <row r="2717" spans="1:29" x14ac:dyDescent="0.2">
      <c r="A2717" t="str">
        <f t="shared" si="386"/>
        <v/>
      </c>
      <c r="E2717" s="4"/>
      <c r="F2717" s="46"/>
      <c r="G2717" s="4"/>
      <c r="H2717" s="48"/>
      <c r="J2717" s="26" t="str">
        <f t="shared" si="387"/>
        <v/>
      </c>
      <c r="N2717" t="str">
        <f t="shared" si="388"/>
        <v/>
      </c>
      <c r="Q2717" t="str">
        <f t="shared" si="389"/>
        <v/>
      </c>
      <c r="S2717" t="str">
        <f>IF(A2717=1,MAX($S$2:$S2716)+1,IF(OR($I2717&lt;&gt;"",A2717="x"),$S2716,""))</f>
        <v/>
      </c>
      <c r="T2717" t="str">
        <f>IF(D2717=1,MAX($T$2:$T2716)+1,IF(S2717=S2716,$T2716,IF(D2717="x",T2716,IF(D2716="x","",""))))</f>
        <v/>
      </c>
      <c r="U2717" t="str">
        <f>IF(B2717=1,MAX($U$2:$U2716)+1,IF(AND($T2717&lt;&gt;"",$T2717=$T2716),$U2716,IF(B2717="x",U2716,"")))</f>
        <v/>
      </c>
      <c r="V2717" t="str">
        <f>IF(C2717=1,MAX($V$2:$V2716)+1,IF(AND($T2717&lt;&gt;"",$T2717=$T2716),$U2716,IF(C2717="x",V2716,"")))</f>
        <v/>
      </c>
      <c r="X2717" cm="1">
        <f t="array" ref="X2717">IF($I2717&lt;&gt;"",$I2717,INDEX($I$1:$I2717,ROW()-COUNTIFS($T$1:$T2717,"="&amp;$T2717,$S$1:$S2717,"&lt;"&amp;$S2717)))</f>
        <v>0</v>
      </c>
      <c r="Z2717" s="6">
        <f t="shared" si="382"/>
        <v>1</v>
      </c>
      <c r="AA2717" t="e">
        <f t="shared" si="383"/>
        <v>#VALUE!</v>
      </c>
      <c r="AB2717" t="str">
        <f t="shared" si="384"/>
        <v/>
      </c>
      <c r="AC2717" t="e">
        <f t="shared" si="385"/>
        <v>#VALUE!</v>
      </c>
    </row>
    <row r="2718" spans="1:29" x14ac:dyDescent="0.2">
      <c r="A2718" t="str">
        <f t="shared" si="386"/>
        <v/>
      </c>
      <c r="E2718" s="4"/>
      <c r="F2718" s="46"/>
      <c r="G2718" s="4"/>
      <c r="H2718" s="48"/>
      <c r="J2718" s="26" t="str">
        <f t="shared" si="387"/>
        <v/>
      </c>
      <c r="N2718" t="str">
        <f t="shared" si="388"/>
        <v/>
      </c>
      <c r="Q2718" t="str">
        <f t="shared" si="389"/>
        <v/>
      </c>
      <c r="S2718" t="str">
        <f>IF(A2718=1,MAX($S$2:$S2717)+1,IF(OR($I2718&lt;&gt;"",A2718="x"),$S2717,""))</f>
        <v/>
      </c>
      <c r="T2718" t="str">
        <f>IF(D2718=1,MAX($T$2:$T2717)+1,IF(S2718=S2717,$T2717,IF(D2718="x",T2717,IF(D2717="x","",""))))</f>
        <v/>
      </c>
      <c r="U2718" t="str">
        <f>IF(B2718=1,MAX($U$2:$U2717)+1,IF(AND($T2718&lt;&gt;"",$T2718=$T2717),$U2717,IF(B2718="x",U2717,"")))</f>
        <v/>
      </c>
      <c r="V2718" t="str">
        <f>IF(C2718=1,MAX($V$2:$V2717)+1,IF(AND($T2718&lt;&gt;"",$T2718=$T2717),$U2717,IF(C2718="x",V2717,"")))</f>
        <v/>
      </c>
      <c r="X2718" cm="1">
        <f t="array" ref="X2718">IF($I2718&lt;&gt;"",$I2718,INDEX($I$1:$I2718,ROW()-COUNTIFS($T$1:$T2718,"="&amp;$T2718,$S$1:$S2718,"&lt;"&amp;$S2718)))</f>
        <v>0</v>
      </c>
      <c r="Z2718" s="6">
        <f t="shared" si="382"/>
        <v>1</v>
      </c>
      <c r="AA2718" t="e">
        <f t="shared" si="383"/>
        <v>#VALUE!</v>
      </c>
      <c r="AB2718" t="str">
        <f t="shared" si="384"/>
        <v/>
      </c>
      <c r="AC2718" t="e">
        <f t="shared" si="385"/>
        <v>#VALUE!</v>
      </c>
    </row>
    <row r="2719" spans="1:29" x14ac:dyDescent="0.2">
      <c r="A2719" t="str">
        <f t="shared" si="386"/>
        <v/>
      </c>
      <c r="E2719" s="4"/>
      <c r="F2719" s="46"/>
      <c r="G2719" s="4"/>
      <c r="H2719" s="48"/>
      <c r="J2719" s="26" t="str">
        <f t="shared" si="387"/>
        <v/>
      </c>
      <c r="N2719" t="str">
        <f t="shared" si="388"/>
        <v/>
      </c>
      <c r="Q2719" t="str">
        <f t="shared" si="389"/>
        <v/>
      </c>
      <c r="S2719" t="str">
        <f>IF(A2719=1,MAX($S$2:$S2718)+1,IF(OR($I2719&lt;&gt;"",A2719="x"),$S2718,""))</f>
        <v/>
      </c>
      <c r="T2719" t="str">
        <f>IF(D2719=1,MAX($T$2:$T2718)+1,IF(S2719=S2718,$T2718,IF(D2719="x",T2718,IF(D2718="x","",""))))</f>
        <v/>
      </c>
      <c r="U2719" t="str">
        <f>IF(B2719=1,MAX($U$2:$U2718)+1,IF(AND($T2719&lt;&gt;"",$T2719=$T2718),$U2718,IF(B2719="x",U2718,"")))</f>
        <v/>
      </c>
      <c r="V2719" t="str">
        <f>IF(C2719=1,MAX($V$2:$V2718)+1,IF(AND($T2719&lt;&gt;"",$T2719=$T2718),$U2718,IF(C2719="x",V2718,"")))</f>
        <v/>
      </c>
      <c r="X2719" cm="1">
        <f t="array" ref="X2719">IF($I2719&lt;&gt;"",$I2719,INDEX($I$1:$I2719,ROW()-COUNTIFS($T$1:$T2719,"="&amp;$T2719,$S$1:$S2719,"&lt;"&amp;$S2719)))</f>
        <v>0</v>
      </c>
      <c r="Z2719" s="6">
        <f t="shared" si="382"/>
        <v>1</v>
      </c>
      <c r="AA2719" t="e">
        <f t="shared" si="383"/>
        <v>#VALUE!</v>
      </c>
      <c r="AB2719" t="str">
        <f t="shared" si="384"/>
        <v/>
      </c>
      <c r="AC2719" t="e">
        <f t="shared" si="385"/>
        <v>#VALUE!</v>
      </c>
    </row>
    <row r="2720" spans="1:29" x14ac:dyDescent="0.2">
      <c r="A2720" t="str">
        <f t="shared" si="386"/>
        <v/>
      </c>
      <c r="E2720" s="4"/>
      <c r="F2720" s="46"/>
      <c r="G2720" s="4"/>
      <c r="H2720" s="48"/>
      <c r="J2720" s="26" t="str">
        <f t="shared" si="387"/>
        <v/>
      </c>
      <c r="N2720" t="str">
        <f t="shared" si="388"/>
        <v/>
      </c>
      <c r="Q2720" t="str">
        <f t="shared" si="389"/>
        <v/>
      </c>
      <c r="S2720" t="str">
        <f>IF(A2720=1,MAX($S$2:$S2719)+1,IF(OR($I2720&lt;&gt;"",A2720="x"),$S2719,""))</f>
        <v/>
      </c>
      <c r="T2720" t="str">
        <f>IF(D2720=1,MAX($T$2:$T2719)+1,IF(S2720=S2719,$T2719,IF(D2720="x",T2719,IF(D2719="x","",""))))</f>
        <v/>
      </c>
      <c r="U2720" t="str">
        <f>IF(B2720=1,MAX($U$2:$U2719)+1,IF(AND($T2720&lt;&gt;"",$T2720=$T2719),$U2719,IF(B2720="x",U2719,"")))</f>
        <v/>
      </c>
      <c r="V2720" t="str">
        <f>IF(C2720=1,MAX($V$2:$V2719)+1,IF(AND($T2720&lt;&gt;"",$T2720=$T2719),$U2719,IF(C2720="x",V2719,"")))</f>
        <v/>
      </c>
      <c r="X2720" cm="1">
        <f t="array" ref="X2720">IF($I2720&lt;&gt;"",$I2720,INDEX($I$1:$I2720,ROW()-COUNTIFS($T$1:$T2720,"="&amp;$T2720,$S$1:$S2720,"&lt;"&amp;$S2720)))</f>
        <v>0</v>
      </c>
      <c r="Z2720" s="6">
        <f t="shared" si="382"/>
        <v>1</v>
      </c>
      <c r="AA2720" t="e">
        <f t="shared" si="383"/>
        <v>#VALUE!</v>
      </c>
      <c r="AB2720" t="str">
        <f t="shared" si="384"/>
        <v/>
      </c>
      <c r="AC2720" t="e">
        <f t="shared" si="385"/>
        <v>#VALUE!</v>
      </c>
    </row>
    <row r="2721" spans="1:29" x14ac:dyDescent="0.2">
      <c r="A2721" t="str">
        <f t="shared" si="386"/>
        <v/>
      </c>
      <c r="E2721" s="4"/>
      <c r="F2721" s="46"/>
      <c r="G2721" s="4"/>
      <c r="H2721" s="48"/>
      <c r="J2721" s="26" t="str">
        <f t="shared" si="387"/>
        <v/>
      </c>
      <c r="N2721" t="str">
        <f t="shared" si="388"/>
        <v/>
      </c>
      <c r="Q2721" t="str">
        <f t="shared" si="389"/>
        <v/>
      </c>
      <c r="S2721" t="str">
        <f>IF(A2721=1,MAX($S$2:$S2720)+1,IF(OR($I2721&lt;&gt;"",A2721="x"),$S2720,""))</f>
        <v/>
      </c>
      <c r="T2721" t="str">
        <f>IF(D2721=1,MAX($T$2:$T2720)+1,IF(S2721=S2720,$T2720,IF(D2721="x",T2720,IF(D2720="x","",""))))</f>
        <v/>
      </c>
      <c r="U2721" t="str">
        <f>IF(B2721=1,MAX($U$2:$U2720)+1,IF(AND($T2721&lt;&gt;"",$T2721=$T2720),$U2720,IF(B2721="x",U2720,"")))</f>
        <v/>
      </c>
      <c r="V2721" t="str">
        <f>IF(C2721=1,MAX($V$2:$V2720)+1,IF(AND($T2721&lt;&gt;"",$T2721=$T2720),$U2720,IF(C2721="x",V2720,"")))</f>
        <v/>
      </c>
      <c r="X2721" cm="1">
        <f t="array" ref="X2721">IF($I2721&lt;&gt;"",$I2721,INDEX($I$1:$I2721,ROW()-COUNTIFS($T$1:$T2721,"="&amp;$T2721,$S$1:$S2721,"&lt;"&amp;$S2721)))</f>
        <v>0</v>
      </c>
      <c r="Z2721" s="6">
        <f t="shared" si="382"/>
        <v>1</v>
      </c>
      <c r="AA2721" t="e">
        <f t="shared" si="383"/>
        <v>#VALUE!</v>
      </c>
      <c r="AB2721" t="str">
        <f t="shared" si="384"/>
        <v/>
      </c>
      <c r="AC2721" t="e">
        <f t="shared" si="385"/>
        <v>#VALUE!</v>
      </c>
    </row>
    <row r="2722" spans="1:29" x14ac:dyDescent="0.2">
      <c r="A2722" t="str">
        <f t="shared" si="386"/>
        <v/>
      </c>
      <c r="E2722" s="4"/>
      <c r="F2722" s="46"/>
      <c r="G2722" s="4"/>
      <c r="H2722" s="48"/>
      <c r="J2722" s="26" t="str">
        <f t="shared" si="387"/>
        <v/>
      </c>
      <c r="N2722" t="str">
        <f t="shared" si="388"/>
        <v/>
      </c>
      <c r="Q2722" t="str">
        <f t="shared" si="389"/>
        <v/>
      </c>
      <c r="S2722" t="str">
        <f>IF(A2722=1,MAX($S$2:$S2721)+1,IF(OR($I2722&lt;&gt;"",A2722="x"),$S2721,""))</f>
        <v/>
      </c>
      <c r="T2722" t="str">
        <f>IF(D2722=1,MAX($T$2:$T2721)+1,IF(S2722=S2721,$T2721,IF(D2722="x",T2721,IF(D2721="x","",""))))</f>
        <v/>
      </c>
      <c r="U2722" t="str">
        <f>IF(B2722=1,MAX($U$2:$U2721)+1,IF(AND($T2722&lt;&gt;"",$T2722=$T2721),$U2721,IF(B2722="x",U2721,"")))</f>
        <v/>
      </c>
      <c r="V2722" t="str">
        <f>IF(C2722=1,MAX($V$2:$V2721)+1,IF(AND($T2722&lt;&gt;"",$T2722=$T2721),$U2721,IF(C2722="x",V2721,"")))</f>
        <v/>
      </c>
      <c r="X2722" cm="1">
        <f t="array" ref="X2722">IF($I2722&lt;&gt;"",$I2722,INDEX($I$1:$I2722,ROW()-COUNTIFS($T$1:$T2722,"="&amp;$T2722,$S$1:$S2722,"&lt;"&amp;$S2722)))</f>
        <v>0</v>
      </c>
      <c r="Z2722" s="6">
        <f t="shared" si="382"/>
        <v>1</v>
      </c>
      <c r="AA2722" t="e">
        <f t="shared" si="383"/>
        <v>#VALUE!</v>
      </c>
      <c r="AB2722" t="str">
        <f t="shared" si="384"/>
        <v/>
      </c>
      <c r="AC2722" t="e">
        <f t="shared" si="385"/>
        <v>#VALUE!</v>
      </c>
    </row>
    <row r="2723" spans="1:29" x14ac:dyDescent="0.2">
      <c r="A2723" t="str">
        <f t="shared" si="386"/>
        <v/>
      </c>
      <c r="E2723" s="4"/>
      <c r="F2723" s="46"/>
      <c r="G2723" s="4"/>
      <c r="H2723" s="48"/>
      <c r="J2723" s="26" t="str">
        <f t="shared" si="387"/>
        <v/>
      </c>
      <c r="N2723" t="str">
        <f t="shared" si="388"/>
        <v/>
      </c>
      <c r="Q2723" t="str">
        <f t="shared" si="389"/>
        <v/>
      </c>
      <c r="S2723" t="str">
        <f>IF(A2723=1,MAX($S$2:$S2722)+1,IF(OR($I2723&lt;&gt;"",A2723="x"),$S2722,""))</f>
        <v/>
      </c>
      <c r="T2723" t="str">
        <f>IF(D2723=1,MAX($T$2:$T2722)+1,IF(S2723=S2722,$T2722,IF(D2723="x",T2722,IF(D2722="x","",""))))</f>
        <v/>
      </c>
      <c r="U2723" t="str">
        <f>IF(B2723=1,MAX($U$2:$U2722)+1,IF(AND($T2723&lt;&gt;"",$T2723=$T2722),$U2722,IF(B2723="x",U2722,"")))</f>
        <v/>
      </c>
      <c r="V2723" t="str">
        <f>IF(C2723=1,MAX($V$2:$V2722)+1,IF(AND($T2723&lt;&gt;"",$T2723=$T2722),$U2722,IF(C2723="x",V2722,"")))</f>
        <v/>
      </c>
      <c r="X2723" cm="1">
        <f t="array" ref="X2723">IF($I2723&lt;&gt;"",$I2723,INDEX($I$1:$I2723,ROW()-COUNTIFS($T$1:$T2723,"="&amp;$T2723,$S$1:$S2723,"&lt;"&amp;$S2723)))</f>
        <v>0</v>
      </c>
      <c r="Z2723" s="6">
        <f t="shared" si="382"/>
        <v>1</v>
      </c>
      <c r="AA2723" t="e">
        <f t="shared" si="383"/>
        <v>#VALUE!</v>
      </c>
      <c r="AB2723" t="str">
        <f t="shared" si="384"/>
        <v/>
      </c>
      <c r="AC2723" t="e">
        <f t="shared" si="385"/>
        <v>#VALUE!</v>
      </c>
    </row>
    <row r="2724" spans="1:29" x14ac:dyDescent="0.2">
      <c r="A2724" t="str">
        <f t="shared" si="386"/>
        <v/>
      </c>
      <c r="E2724" s="4"/>
      <c r="F2724" s="46"/>
      <c r="G2724" s="4"/>
      <c r="H2724" s="48"/>
      <c r="J2724" s="26" t="str">
        <f t="shared" si="387"/>
        <v/>
      </c>
      <c r="N2724" t="str">
        <f t="shared" si="388"/>
        <v/>
      </c>
      <c r="Q2724" t="str">
        <f t="shared" si="389"/>
        <v/>
      </c>
      <c r="S2724" t="str">
        <f>IF(A2724=1,MAX($S$2:$S2723)+1,IF(OR($I2724&lt;&gt;"",A2724="x"),$S2723,""))</f>
        <v/>
      </c>
      <c r="T2724" t="str">
        <f>IF(D2724=1,MAX($T$2:$T2723)+1,IF(S2724=S2723,$T2723,IF(D2724="x",T2723,IF(D2723="x","",""))))</f>
        <v/>
      </c>
      <c r="U2724" t="str">
        <f>IF(B2724=1,MAX($U$2:$U2723)+1,IF(AND($T2724&lt;&gt;"",$T2724=$T2723),$U2723,IF(B2724="x",U2723,"")))</f>
        <v/>
      </c>
      <c r="V2724" t="str">
        <f>IF(C2724=1,MAX($V$2:$V2723)+1,IF(AND($T2724&lt;&gt;"",$T2724=$T2723),$U2723,IF(C2724="x",V2723,"")))</f>
        <v/>
      </c>
      <c r="X2724" cm="1">
        <f t="array" ref="X2724">IF($I2724&lt;&gt;"",$I2724,INDEX($I$1:$I2724,ROW()-COUNTIFS($T$1:$T2724,"="&amp;$T2724,$S$1:$S2724,"&lt;"&amp;$S2724)))</f>
        <v>0</v>
      </c>
      <c r="Z2724" s="6">
        <f t="shared" si="382"/>
        <v>1</v>
      </c>
      <c r="AA2724" t="e">
        <f t="shared" si="383"/>
        <v>#VALUE!</v>
      </c>
      <c r="AB2724" t="str">
        <f t="shared" si="384"/>
        <v/>
      </c>
      <c r="AC2724" t="e">
        <f t="shared" si="385"/>
        <v>#VALUE!</v>
      </c>
    </row>
    <row r="2725" spans="1:29" x14ac:dyDescent="0.2">
      <c r="A2725" t="str">
        <f t="shared" si="386"/>
        <v/>
      </c>
      <c r="E2725" s="4"/>
      <c r="F2725" s="46"/>
      <c r="G2725" s="4"/>
      <c r="H2725" s="48"/>
      <c r="J2725" s="26" t="str">
        <f t="shared" si="387"/>
        <v/>
      </c>
      <c r="N2725" t="str">
        <f t="shared" si="388"/>
        <v/>
      </c>
      <c r="Q2725" t="str">
        <f t="shared" si="389"/>
        <v/>
      </c>
      <c r="S2725" t="str">
        <f>IF(A2725=1,MAX($S$2:$S2724)+1,IF(OR($I2725&lt;&gt;"",A2725="x"),$S2724,""))</f>
        <v/>
      </c>
      <c r="T2725" t="str">
        <f>IF(D2725=1,MAX($T$2:$T2724)+1,IF(S2725=S2724,$T2724,IF(D2725="x",T2724,IF(D2724="x","",""))))</f>
        <v/>
      </c>
      <c r="U2725" t="str">
        <f>IF(B2725=1,MAX($U$2:$U2724)+1,IF(AND($T2725&lt;&gt;"",$T2725=$T2724),$U2724,IF(B2725="x",U2724,"")))</f>
        <v/>
      </c>
      <c r="V2725" t="str">
        <f>IF(C2725=1,MAX($V$2:$V2724)+1,IF(AND($T2725&lt;&gt;"",$T2725=$T2724),$U2724,IF(C2725="x",V2724,"")))</f>
        <v/>
      </c>
      <c r="X2725" cm="1">
        <f t="array" ref="X2725">IF($I2725&lt;&gt;"",$I2725,INDEX($I$1:$I2725,ROW()-COUNTIFS($T$1:$T2725,"="&amp;$T2725,$S$1:$S2725,"&lt;"&amp;$S2725)))</f>
        <v>0</v>
      </c>
      <c r="Z2725" s="6">
        <f t="shared" si="382"/>
        <v>1</v>
      </c>
      <c r="AA2725" t="e">
        <f t="shared" si="383"/>
        <v>#VALUE!</v>
      </c>
      <c r="AB2725" t="str">
        <f t="shared" si="384"/>
        <v/>
      </c>
      <c r="AC2725" t="e">
        <f t="shared" si="385"/>
        <v>#VALUE!</v>
      </c>
    </row>
    <row r="2726" spans="1:29" x14ac:dyDescent="0.2">
      <c r="A2726" t="str">
        <f t="shared" si="386"/>
        <v/>
      </c>
      <c r="E2726" s="4"/>
      <c r="F2726" s="46"/>
      <c r="G2726" s="4"/>
      <c r="H2726" s="48"/>
      <c r="J2726" s="26" t="str">
        <f t="shared" si="387"/>
        <v/>
      </c>
      <c r="N2726" t="str">
        <f t="shared" si="388"/>
        <v/>
      </c>
      <c r="Q2726" t="str">
        <f t="shared" si="389"/>
        <v/>
      </c>
      <c r="S2726" t="str">
        <f>IF(A2726=1,MAX($S$2:$S2725)+1,IF(OR($I2726&lt;&gt;"",A2726="x"),$S2725,""))</f>
        <v/>
      </c>
      <c r="T2726" t="str">
        <f>IF(D2726=1,MAX($T$2:$T2725)+1,IF(S2726=S2725,$T2725,IF(D2726="x",T2725,IF(D2725="x","",""))))</f>
        <v/>
      </c>
      <c r="U2726" t="str">
        <f>IF(B2726=1,MAX($U$2:$U2725)+1,IF(AND($T2726&lt;&gt;"",$T2726=$T2725),$U2725,IF(B2726="x",U2725,"")))</f>
        <v/>
      </c>
      <c r="V2726" t="str">
        <f>IF(C2726=1,MAX($V$2:$V2725)+1,IF(AND($T2726&lt;&gt;"",$T2726=$T2725),$U2725,IF(C2726="x",V2725,"")))</f>
        <v/>
      </c>
      <c r="X2726" cm="1">
        <f t="array" ref="X2726">IF($I2726&lt;&gt;"",$I2726,INDEX($I$1:$I2726,ROW()-COUNTIFS($T$1:$T2726,"="&amp;$T2726,$S$1:$S2726,"&lt;"&amp;$S2726)))</f>
        <v>0</v>
      </c>
      <c r="Z2726" s="6">
        <f t="shared" si="382"/>
        <v>1</v>
      </c>
      <c r="AA2726" t="e">
        <f t="shared" si="383"/>
        <v>#VALUE!</v>
      </c>
      <c r="AB2726" t="str">
        <f t="shared" si="384"/>
        <v/>
      </c>
      <c r="AC2726" t="e">
        <f t="shared" si="385"/>
        <v>#VALUE!</v>
      </c>
    </row>
    <row r="2727" spans="1:29" x14ac:dyDescent="0.2">
      <c r="A2727" t="str">
        <f t="shared" si="386"/>
        <v/>
      </c>
      <c r="E2727" s="4"/>
      <c r="F2727" s="46"/>
      <c r="G2727" s="4"/>
      <c r="H2727" s="48"/>
      <c r="J2727" s="26" t="str">
        <f t="shared" si="387"/>
        <v/>
      </c>
      <c r="N2727" t="str">
        <f t="shared" si="388"/>
        <v/>
      </c>
      <c r="Q2727" t="str">
        <f t="shared" si="389"/>
        <v/>
      </c>
      <c r="S2727" t="str">
        <f>IF(A2727=1,MAX($S$2:$S2726)+1,IF(OR($I2727&lt;&gt;"",A2727="x"),$S2726,""))</f>
        <v/>
      </c>
      <c r="T2727" t="str">
        <f>IF(D2727=1,MAX($T$2:$T2726)+1,IF(S2727=S2726,$T2726,IF(D2727="x",T2726,IF(D2726="x","",""))))</f>
        <v/>
      </c>
      <c r="U2727" t="str">
        <f>IF(B2727=1,MAX($U$2:$U2726)+1,IF(AND($T2727&lt;&gt;"",$T2727=$T2726),$U2726,IF(B2727="x",U2726,"")))</f>
        <v/>
      </c>
      <c r="V2727" t="str">
        <f>IF(C2727=1,MAX($V$2:$V2726)+1,IF(AND($T2727&lt;&gt;"",$T2727=$T2726),$U2726,IF(C2727="x",V2726,"")))</f>
        <v/>
      </c>
      <c r="X2727" cm="1">
        <f t="array" ref="X2727">IF($I2727&lt;&gt;"",$I2727,INDEX($I$1:$I2727,ROW()-COUNTIFS($T$1:$T2727,"="&amp;$T2727,$S$1:$S2727,"&lt;"&amp;$S2727)))</f>
        <v>0</v>
      </c>
      <c r="Z2727" s="6">
        <f t="shared" si="382"/>
        <v>1</v>
      </c>
      <c r="AA2727" t="e">
        <f t="shared" si="383"/>
        <v>#VALUE!</v>
      </c>
      <c r="AB2727" t="str">
        <f t="shared" si="384"/>
        <v/>
      </c>
      <c r="AC2727" t="e">
        <f t="shared" si="385"/>
        <v>#VALUE!</v>
      </c>
    </row>
    <row r="2728" spans="1:29" x14ac:dyDescent="0.2">
      <c r="A2728" t="str">
        <f t="shared" si="386"/>
        <v/>
      </c>
      <c r="E2728" s="4"/>
      <c r="F2728" s="46"/>
      <c r="G2728" s="4"/>
      <c r="H2728" s="48"/>
      <c r="J2728" s="26" t="str">
        <f t="shared" si="387"/>
        <v/>
      </c>
      <c r="N2728" t="str">
        <f t="shared" si="388"/>
        <v/>
      </c>
      <c r="Q2728" t="str">
        <f t="shared" si="389"/>
        <v/>
      </c>
      <c r="S2728" t="str">
        <f>IF(A2728=1,MAX($S$2:$S2727)+1,IF(OR($I2728&lt;&gt;"",A2728="x"),$S2727,""))</f>
        <v/>
      </c>
      <c r="T2728" t="str">
        <f>IF(D2728=1,MAX($T$2:$T2727)+1,IF(S2728=S2727,$T2727,IF(D2728="x",T2727,IF(D2727="x","",""))))</f>
        <v/>
      </c>
      <c r="U2728" t="str">
        <f>IF(B2728=1,MAX($U$2:$U2727)+1,IF(AND($T2728&lt;&gt;"",$T2728=$T2727),$U2727,IF(B2728="x",U2727,"")))</f>
        <v/>
      </c>
      <c r="V2728" t="str">
        <f>IF(C2728=1,MAX($V$2:$V2727)+1,IF(AND($T2728&lt;&gt;"",$T2728=$T2727),$U2727,IF(C2728="x",V2727,"")))</f>
        <v/>
      </c>
      <c r="X2728" cm="1">
        <f t="array" ref="X2728">IF($I2728&lt;&gt;"",$I2728,INDEX($I$1:$I2728,ROW()-COUNTIFS($T$1:$T2728,"="&amp;$T2728,$S$1:$S2728,"&lt;"&amp;$S2728)))</f>
        <v>0</v>
      </c>
      <c r="Z2728" s="6">
        <f t="shared" si="382"/>
        <v>1</v>
      </c>
      <c r="AA2728" t="e">
        <f t="shared" si="383"/>
        <v>#VALUE!</v>
      </c>
      <c r="AB2728" t="str">
        <f t="shared" si="384"/>
        <v/>
      </c>
      <c r="AC2728" t="e">
        <f t="shared" si="385"/>
        <v>#VALUE!</v>
      </c>
    </row>
    <row r="2729" spans="1:29" x14ac:dyDescent="0.2">
      <c r="A2729" t="str">
        <f t="shared" si="386"/>
        <v/>
      </c>
      <c r="E2729" s="4"/>
      <c r="F2729" s="46"/>
      <c r="G2729" s="4"/>
      <c r="H2729" s="48"/>
      <c r="J2729" s="26" t="str">
        <f t="shared" si="387"/>
        <v/>
      </c>
      <c r="N2729" t="str">
        <f t="shared" si="388"/>
        <v/>
      </c>
      <c r="Q2729" t="str">
        <f t="shared" si="389"/>
        <v/>
      </c>
      <c r="S2729" t="str">
        <f>IF(A2729=1,MAX($S$2:$S2728)+1,IF(OR($I2729&lt;&gt;"",A2729="x"),$S2728,""))</f>
        <v/>
      </c>
      <c r="T2729" t="str">
        <f>IF(D2729=1,MAX($T$2:$T2728)+1,IF(S2729=S2728,$T2728,IF(D2729="x",T2728,IF(D2728="x","",""))))</f>
        <v/>
      </c>
      <c r="U2729" t="str">
        <f>IF(B2729=1,MAX($U$2:$U2728)+1,IF(AND($T2729&lt;&gt;"",$T2729=$T2728),$U2728,IF(B2729="x",U2728,"")))</f>
        <v/>
      </c>
      <c r="V2729" t="str">
        <f>IF(C2729=1,MAX($V$2:$V2728)+1,IF(AND($T2729&lt;&gt;"",$T2729=$T2728),$U2728,IF(C2729="x",V2728,"")))</f>
        <v/>
      </c>
      <c r="X2729" cm="1">
        <f t="array" ref="X2729">IF($I2729&lt;&gt;"",$I2729,INDEX($I$1:$I2729,ROW()-COUNTIFS($T$1:$T2729,"="&amp;$T2729,$S$1:$S2729,"&lt;"&amp;$S2729)))</f>
        <v>0</v>
      </c>
      <c r="Z2729" s="6">
        <f t="shared" si="382"/>
        <v>1</v>
      </c>
      <c r="AA2729" t="e">
        <f t="shared" si="383"/>
        <v>#VALUE!</v>
      </c>
      <c r="AB2729" t="str">
        <f t="shared" si="384"/>
        <v/>
      </c>
      <c r="AC2729" t="e">
        <f t="shared" si="385"/>
        <v>#VALUE!</v>
      </c>
    </row>
    <row r="2730" spans="1:29" x14ac:dyDescent="0.2">
      <c r="A2730" t="str">
        <f t="shared" si="386"/>
        <v/>
      </c>
      <c r="E2730" s="4"/>
      <c r="F2730" s="46"/>
      <c r="G2730" s="4"/>
      <c r="H2730" s="48"/>
      <c r="J2730" s="26" t="str">
        <f t="shared" si="387"/>
        <v/>
      </c>
      <c r="N2730" t="str">
        <f t="shared" si="388"/>
        <v/>
      </c>
      <c r="Q2730" t="str">
        <f t="shared" si="389"/>
        <v/>
      </c>
      <c r="S2730" t="str">
        <f>IF(A2730=1,MAX($S$2:$S2729)+1,IF(OR($I2730&lt;&gt;"",A2730="x"),$S2729,""))</f>
        <v/>
      </c>
      <c r="T2730" t="str">
        <f>IF(D2730=1,MAX($T$2:$T2729)+1,IF(S2730=S2729,$T2729,IF(D2730="x",T2729,IF(D2729="x","",""))))</f>
        <v/>
      </c>
      <c r="U2730" t="str">
        <f>IF(B2730=1,MAX($U$2:$U2729)+1,IF(AND($T2730&lt;&gt;"",$T2730=$T2729),$U2729,IF(B2730="x",U2729,"")))</f>
        <v/>
      </c>
      <c r="V2730" t="str">
        <f>IF(C2730=1,MAX($V$2:$V2729)+1,IF(AND($T2730&lt;&gt;"",$T2730=$T2729),$U2729,IF(C2730="x",V2729,"")))</f>
        <v/>
      </c>
      <c r="X2730" cm="1">
        <f t="array" ref="X2730">IF($I2730&lt;&gt;"",$I2730,INDEX($I$1:$I2730,ROW()-COUNTIFS($T$1:$T2730,"="&amp;$T2730,$S$1:$S2730,"&lt;"&amp;$S2730)))</f>
        <v>0</v>
      </c>
      <c r="Z2730" s="6">
        <f t="shared" si="382"/>
        <v>1</v>
      </c>
      <c r="AA2730" t="e">
        <f t="shared" si="383"/>
        <v>#VALUE!</v>
      </c>
      <c r="AB2730" t="str">
        <f t="shared" si="384"/>
        <v/>
      </c>
      <c r="AC2730" t="e">
        <f t="shared" si="385"/>
        <v>#VALUE!</v>
      </c>
    </row>
    <row r="2731" spans="1:29" x14ac:dyDescent="0.2">
      <c r="A2731" t="str">
        <f t="shared" si="386"/>
        <v/>
      </c>
      <c r="E2731" s="4"/>
      <c r="F2731" s="46"/>
      <c r="G2731" s="4"/>
      <c r="H2731" s="48"/>
      <c r="J2731" s="26" t="str">
        <f t="shared" si="387"/>
        <v/>
      </c>
      <c r="N2731" t="str">
        <f t="shared" si="388"/>
        <v/>
      </c>
      <c r="Q2731" t="str">
        <f t="shared" si="389"/>
        <v/>
      </c>
      <c r="S2731" t="str">
        <f>IF(A2731=1,MAX($S$2:$S2730)+1,IF(OR($I2731&lt;&gt;"",A2731="x"),$S2730,""))</f>
        <v/>
      </c>
      <c r="T2731" t="str">
        <f>IF(D2731=1,MAX($T$2:$T2730)+1,IF(S2731=S2730,$T2730,IF(D2731="x",T2730,IF(D2730="x","",""))))</f>
        <v/>
      </c>
      <c r="U2731" t="str">
        <f>IF(B2731=1,MAX($U$2:$U2730)+1,IF(AND($T2731&lt;&gt;"",$T2731=$T2730),$U2730,IF(B2731="x",U2730,"")))</f>
        <v/>
      </c>
      <c r="V2731" t="str">
        <f>IF(C2731=1,MAX($V$2:$V2730)+1,IF(AND($T2731&lt;&gt;"",$T2731=$T2730),$U2730,IF(C2731="x",V2730,"")))</f>
        <v/>
      </c>
      <c r="X2731" cm="1">
        <f t="array" ref="X2731">IF($I2731&lt;&gt;"",$I2731,INDEX($I$1:$I2731,ROW()-COUNTIFS($T$1:$T2731,"="&amp;$T2731,$S$1:$S2731,"&lt;"&amp;$S2731)))</f>
        <v>0</v>
      </c>
      <c r="Z2731" s="6">
        <f t="shared" si="382"/>
        <v>1</v>
      </c>
      <c r="AA2731" t="e">
        <f t="shared" si="383"/>
        <v>#VALUE!</v>
      </c>
      <c r="AB2731" t="str">
        <f t="shared" si="384"/>
        <v/>
      </c>
      <c r="AC2731" t="e">
        <f t="shared" si="385"/>
        <v>#VALUE!</v>
      </c>
    </row>
    <row r="2732" spans="1:29" x14ac:dyDescent="0.2">
      <c r="A2732" t="str">
        <f t="shared" si="386"/>
        <v/>
      </c>
      <c r="E2732" s="4"/>
      <c r="F2732" s="46"/>
      <c r="G2732" s="4"/>
      <c r="H2732" s="48"/>
      <c r="J2732" s="26" t="str">
        <f t="shared" si="387"/>
        <v/>
      </c>
      <c r="N2732" t="str">
        <f t="shared" si="388"/>
        <v/>
      </c>
      <c r="Q2732" t="str">
        <f t="shared" si="389"/>
        <v/>
      </c>
      <c r="S2732" t="str">
        <f>IF(A2732=1,MAX($S$2:$S2731)+1,IF(OR($I2732&lt;&gt;"",A2732="x"),$S2731,""))</f>
        <v/>
      </c>
      <c r="T2732" t="str">
        <f>IF(D2732=1,MAX($T$2:$T2731)+1,IF(S2732=S2731,$T2731,IF(D2732="x",T2731,IF(D2731="x","",""))))</f>
        <v/>
      </c>
      <c r="U2732" t="str">
        <f>IF(B2732=1,MAX($U$2:$U2731)+1,IF(AND($T2732&lt;&gt;"",$T2732=$T2731),$U2731,IF(B2732="x",U2731,"")))</f>
        <v/>
      </c>
      <c r="V2732" t="str">
        <f>IF(C2732=1,MAX($V$2:$V2731)+1,IF(AND($T2732&lt;&gt;"",$T2732=$T2731),$U2731,IF(C2732="x",V2731,"")))</f>
        <v/>
      </c>
      <c r="X2732" cm="1">
        <f t="array" ref="X2732">IF($I2732&lt;&gt;"",$I2732,INDEX($I$1:$I2732,ROW()-COUNTIFS($T$1:$T2732,"="&amp;$T2732,$S$1:$S2732,"&lt;"&amp;$S2732)))</f>
        <v>0</v>
      </c>
      <c r="Z2732" s="6">
        <f t="shared" si="382"/>
        <v>1</v>
      </c>
      <c r="AA2732" t="e">
        <f t="shared" si="383"/>
        <v>#VALUE!</v>
      </c>
      <c r="AB2732" t="str">
        <f t="shared" si="384"/>
        <v/>
      </c>
      <c r="AC2732" t="e">
        <f t="shared" si="385"/>
        <v>#VALUE!</v>
      </c>
    </row>
    <row r="2733" spans="1:29" x14ac:dyDescent="0.2">
      <c r="A2733" t="str">
        <f t="shared" si="386"/>
        <v/>
      </c>
      <c r="E2733" s="4"/>
      <c r="F2733" s="46"/>
      <c r="G2733" s="4"/>
      <c r="H2733" s="48"/>
      <c r="J2733" s="26" t="str">
        <f t="shared" si="387"/>
        <v/>
      </c>
      <c r="N2733" t="str">
        <f t="shared" si="388"/>
        <v/>
      </c>
      <c r="Q2733" t="str">
        <f t="shared" si="389"/>
        <v/>
      </c>
      <c r="S2733" t="str">
        <f>IF(A2733=1,MAX($S$2:$S2732)+1,IF(OR($I2733&lt;&gt;"",A2733="x"),$S2732,""))</f>
        <v/>
      </c>
      <c r="T2733" t="str">
        <f>IF(D2733=1,MAX($T$2:$T2732)+1,IF(S2733=S2732,$T2732,IF(D2733="x",T2732,IF(D2732="x","",""))))</f>
        <v/>
      </c>
      <c r="U2733" t="str">
        <f>IF(B2733=1,MAX($U$2:$U2732)+1,IF(AND($T2733&lt;&gt;"",$T2733=$T2732),$U2732,IF(B2733="x",U2732,"")))</f>
        <v/>
      </c>
      <c r="V2733" t="str">
        <f>IF(C2733=1,MAX($V$2:$V2732)+1,IF(AND($T2733&lt;&gt;"",$T2733=$T2732),$U2732,IF(C2733="x",V2732,"")))</f>
        <v/>
      </c>
      <c r="X2733" cm="1">
        <f t="array" ref="X2733">IF($I2733&lt;&gt;"",$I2733,INDEX($I$1:$I2733,ROW()-COUNTIFS($T$1:$T2733,"="&amp;$T2733,$S$1:$S2733,"&lt;"&amp;$S2733)))</f>
        <v>0</v>
      </c>
      <c r="Z2733" s="6">
        <f t="shared" si="382"/>
        <v>1</v>
      </c>
      <c r="AA2733" t="e">
        <f t="shared" si="383"/>
        <v>#VALUE!</v>
      </c>
      <c r="AB2733" t="str">
        <f t="shared" si="384"/>
        <v/>
      </c>
      <c r="AC2733" t="e">
        <f t="shared" si="385"/>
        <v>#VALUE!</v>
      </c>
    </row>
    <row r="2734" spans="1:29" x14ac:dyDescent="0.2">
      <c r="A2734" t="str">
        <f t="shared" si="386"/>
        <v/>
      </c>
      <c r="E2734" s="4"/>
      <c r="F2734" s="46"/>
      <c r="G2734" s="4"/>
      <c r="H2734" s="48"/>
      <c r="J2734" s="26" t="str">
        <f t="shared" si="387"/>
        <v/>
      </c>
      <c r="N2734" t="str">
        <f t="shared" si="388"/>
        <v/>
      </c>
      <c r="Q2734" t="str">
        <f t="shared" si="389"/>
        <v/>
      </c>
      <c r="S2734" t="str">
        <f>IF(A2734=1,MAX($S$2:$S2733)+1,IF(OR($I2734&lt;&gt;"",A2734="x"),$S2733,""))</f>
        <v/>
      </c>
      <c r="T2734" t="str">
        <f>IF(D2734=1,MAX($T$2:$T2733)+1,IF(S2734=S2733,$T2733,IF(D2734="x",T2733,IF(D2733="x","",""))))</f>
        <v/>
      </c>
      <c r="U2734" t="str">
        <f>IF(B2734=1,MAX($U$2:$U2733)+1,IF(AND($T2734&lt;&gt;"",$T2734=$T2733),$U2733,IF(B2734="x",U2733,"")))</f>
        <v/>
      </c>
      <c r="V2734" t="str">
        <f>IF(C2734=1,MAX($V$2:$V2733)+1,IF(AND($T2734&lt;&gt;"",$T2734=$T2733),$U2733,IF(C2734="x",V2733,"")))</f>
        <v/>
      </c>
      <c r="X2734" cm="1">
        <f t="array" ref="X2734">IF($I2734&lt;&gt;"",$I2734,INDEX($I$1:$I2734,ROW()-COUNTIFS($T$1:$T2734,"="&amp;$T2734,$S$1:$S2734,"&lt;"&amp;$S2734)))</f>
        <v>0</v>
      </c>
      <c r="Z2734" s="6">
        <f t="shared" si="382"/>
        <v>1</v>
      </c>
      <c r="AA2734" t="e">
        <f t="shared" si="383"/>
        <v>#VALUE!</v>
      </c>
      <c r="AB2734" t="str">
        <f t="shared" si="384"/>
        <v/>
      </c>
      <c r="AC2734" t="e">
        <f t="shared" si="385"/>
        <v>#VALUE!</v>
      </c>
    </row>
    <row r="2735" spans="1:29" x14ac:dyDescent="0.2">
      <c r="A2735" t="str">
        <f t="shared" si="386"/>
        <v/>
      </c>
      <c r="E2735" s="4"/>
      <c r="F2735" s="46"/>
      <c r="G2735" s="4"/>
      <c r="H2735" s="48"/>
      <c r="J2735" s="26" t="str">
        <f t="shared" si="387"/>
        <v/>
      </c>
      <c r="N2735" t="str">
        <f t="shared" si="388"/>
        <v/>
      </c>
      <c r="Q2735" t="str">
        <f t="shared" si="389"/>
        <v/>
      </c>
      <c r="S2735" t="str">
        <f>IF(A2735=1,MAX($S$2:$S2734)+1,IF(OR($I2735&lt;&gt;"",A2735="x"),$S2734,""))</f>
        <v/>
      </c>
      <c r="T2735" t="str">
        <f>IF(D2735=1,MAX($T$2:$T2734)+1,IF(S2735=S2734,$T2734,IF(D2735="x",T2734,IF(D2734="x","",""))))</f>
        <v/>
      </c>
      <c r="U2735" t="str">
        <f>IF(B2735=1,MAX($U$2:$U2734)+1,IF(AND($T2735&lt;&gt;"",$T2735=$T2734),$U2734,IF(B2735="x",U2734,"")))</f>
        <v/>
      </c>
      <c r="V2735" t="str">
        <f>IF(C2735=1,MAX($V$2:$V2734)+1,IF(AND($T2735&lt;&gt;"",$T2735=$T2734),$U2734,IF(C2735="x",V2734,"")))</f>
        <v/>
      </c>
      <c r="X2735" cm="1">
        <f t="array" ref="X2735">IF($I2735&lt;&gt;"",$I2735,INDEX($I$1:$I2735,ROW()-COUNTIFS($T$1:$T2735,"="&amp;$T2735,$S$1:$S2735,"&lt;"&amp;$S2735)))</f>
        <v>0</v>
      </c>
      <c r="Z2735" s="6">
        <f t="shared" si="382"/>
        <v>1</v>
      </c>
      <c r="AA2735" t="e">
        <f t="shared" si="383"/>
        <v>#VALUE!</v>
      </c>
      <c r="AB2735" t="str">
        <f t="shared" si="384"/>
        <v/>
      </c>
      <c r="AC2735" t="e">
        <f t="shared" si="385"/>
        <v>#VALUE!</v>
      </c>
    </row>
    <row r="2736" spans="1:29" x14ac:dyDescent="0.2">
      <c r="A2736" t="str">
        <f t="shared" si="386"/>
        <v/>
      </c>
      <c r="E2736" s="4"/>
      <c r="F2736" s="46"/>
      <c r="G2736" s="4"/>
      <c r="H2736" s="48"/>
      <c r="J2736" s="26" t="str">
        <f t="shared" si="387"/>
        <v/>
      </c>
      <c r="N2736" t="str">
        <f t="shared" si="388"/>
        <v/>
      </c>
      <c r="Q2736" t="str">
        <f t="shared" si="389"/>
        <v/>
      </c>
      <c r="S2736" t="str">
        <f>IF(A2736=1,MAX($S$2:$S2735)+1,IF(OR($I2736&lt;&gt;"",A2736="x"),$S2735,""))</f>
        <v/>
      </c>
      <c r="T2736" t="str">
        <f>IF(D2736=1,MAX($T$2:$T2735)+1,IF(S2736=S2735,$T2735,IF(D2736="x",T2735,IF(D2735="x","",""))))</f>
        <v/>
      </c>
      <c r="U2736" t="str">
        <f>IF(B2736=1,MAX($U$2:$U2735)+1,IF(AND($T2736&lt;&gt;"",$T2736=$T2735),$U2735,IF(B2736="x",U2735,"")))</f>
        <v/>
      </c>
      <c r="V2736" t="str">
        <f>IF(C2736=1,MAX($V$2:$V2735)+1,IF(AND($T2736&lt;&gt;"",$T2736=$T2735),$U2735,IF(C2736="x",V2735,"")))</f>
        <v/>
      </c>
      <c r="X2736" cm="1">
        <f t="array" ref="X2736">IF($I2736&lt;&gt;"",$I2736,INDEX($I$1:$I2736,ROW()-COUNTIFS($T$1:$T2736,"="&amp;$T2736,$S$1:$S2736,"&lt;"&amp;$S2736)))</f>
        <v>0</v>
      </c>
      <c r="Z2736" s="6">
        <f t="shared" si="382"/>
        <v>1</v>
      </c>
      <c r="AA2736" t="e">
        <f t="shared" si="383"/>
        <v>#VALUE!</v>
      </c>
      <c r="AB2736" t="str">
        <f t="shared" si="384"/>
        <v/>
      </c>
      <c r="AC2736" t="e">
        <f t="shared" si="385"/>
        <v>#VALUE!</v>
      </c>
    </row>
    <row r="2737" spans="1:29" x14ac:dyDescent="0.2">
      <c r="A2737" t="str">
        <f t="shared" si="386"/>
        <v/>
      </c>
      <c r="E2737" s="4"/>
      <c r="F2737" s="46"/>
      <c r="G2737" s="4"/>
      <c r="H2737" s="48"/>
      <c r="J2737" s="26" t="str">
        <f t="shared" si="387"/>
        <v/>
      </c>
      <c r="N2737" t="str">
        <f t="shared" si="388"/>
        <v/>
      </c>
      <c r="Q2737" t="str">
        <f t="shared" si="389"/>
        <v/>
      </c>
      <c r="S2737" t="str">
        <f>IF(A2737=1,MAX($S$2:$S2736)+1,IF(OR($I2737&lt;&gt;"",A2737="x"),$S2736,""))</f>
        <v/>
      </c>
      <c r="T2737" t="str">
        <f>IF(D2737=1,MAX($T$2:$T2736)+1,IF(S2737=S2736,$T2736,IF(D2737="x",T2736,IF(D2736="x","",""))))</f>
        <v/>
      </c>
      <c r="U2737" t="str">
        <f>IF(B2737=1,MAX($U$2:$U2736)+1,IF(AND($T2737&lt;&gt;"",$T2737=$T2736),$U2736,IF(B2737="x",U2736,"")))</f>
        <v/>
      </c>
      <c r="V2737" t="str">
        <f>IF(C2737=1,MAX($V$2:$V2736)+1,IF(AND($T2737&lt;&gt;"",$T2737=$T2736),$U2736,IF(C2737="x",V2736,"")))</f>
        <v/>
      </c>
      <c r="X2737" cm="1">
        <f t="array" ref="X2737">IF($I2737&lt;&gt;"",$I2737,INDEX($I$1:$I2737,ROW()-COUNTIFS($T$1:$T2737,"="&amp;$T2737,$S$1:$S2737,"&lt;"&amp;$S2737)))</f>
        <v>0</v>
      </c>
      <c r="Z2737" s="6">
        <f t="shared" si="382"/>
        <v>1</v>
      </c>
      <c r="AA2737" t="e">
        <f t="shared" si="383"/>
        <v>#VALUE!</v>
      </c>
      <c r="AB2737" t="str">
        <f t="shared" si="384"/>
        <v/>
      </c>
      <c r="AC2737" t="e">
        <f t="shared" si="385"/>
        <v>#VALUE!</v>
      </c>
    </row>
    <row r="2738" spans="1:29" x14ac:dyDescent="0.2">
      <c r="A2738" t="str">
        <f t="shared" si="386"/>
        <v/>
      </c>
      <c r="E2738" s="4"/>
      <c r="F2738" s="46"/>
      <c r="G2738" s="4"/>
      <c r="H2738" s="48"/>
      <c r="J2738" s="26" t="str">
        <f t="shared" si="387"/>
        <v/>
      </c>
      <c r="N2738" t="str">
        <f t="shared" si="388"/>
        <v/>
      </c>
      <c r="Q2738" t="str">
        <f t="shared" si="389"/>
        <v/>
      </c>
      <c r="S2738" t="str">
        <f>IF(A2738=1,MAX($S$2:$S2737)+1,IF(OR($I2738&lt;&gt;"",A2738="x"),$S2737,""))</f>
        <v/>
      </c>
      <c r="T2738" t="str">
        <f>IF(D2738=1,MAX($T$2:$T2737)+1,IF(S2738=S2737,$T2737,IF(D2738="x",T2737,IF(D2737="x","",""))))</f>
        <v/>
      </c>
      <c r="U2738" t="str">
        <f>IF(B2738=1,MAX($U$2:$U2737)+1,IF(AND($T2738&lt;&gt;"",$T2738=$T2737),$U2737,IF(B2738="x",U2737,"")))</f>
        <v/>
      </c>
      <c r="V2738" t="str">
        <f>IF(C2738=1,MAX($V$2:$V2737)+1,IF(AND($T2738&lt;&gt;"",$T2738=$T2737),$U2737,IF(C2738="x",V2737,"")))</f>
        <v/>
      </c>
      <c r="X2738" cm="1">
        <f t="array" ref="X2738">IF($I2738&lt;&gt;"",$I2738,INDEX($I$1:$I2738,ROW()-COUNTIFS($T$1:$T2738,"="&amp;$T2738,$S$1:$S2738,"&lt;"&amp;$S2738)))</f>
        <v>0</v>
      </c>
      <c r="Z2738" s="6">
        <f t="shared" si="382"/>
        <v>1</v>
      </c>
      <c r="AA2738" t="e">
        <f t="shared" si="383"/>
        <v>#VALUE!</v>
      </c>
      <c r="AB2738" t="str">
        <f t="shared" si="384"/>
        <v/>
      </c>
      <c r="AC2738" t="e">
        <f t="shared" si="385"/>
        <v>#VALUE!</v>
      </c>
    </row>
    <row r="2739" spans="1:29" x14ac:dyDescent="0.2">
      <c r="A2739" t="str">
        <f t="shared" si="386"/>
        <v/>
      </c>
      <c r="E2739" s="4"/>
      <c r="F2739" s="46"/>
      <c r="G2739" s="4"/>
      <c r="H2739" s="48"/>
      <c r="J2739" s="26" t="str">
        <f t="shared" si="387"/>
        <v/>
      </c>
      <c r="N2739" t="str">
        <f t="shared" si="388"/>
        <v/>
      </c>
      <c r="Q2739" t="str">
        <f t="shared" si="389"/>
        <v/>
      </c>
      <c r="S2739" t="str">
        <f>IF(A2739=1,MAX($S$2:$S2738)+1,IF(OR($I2739&lt;&gt;"",A2739="x"),$S2738,""))</f>
        <v/>
      </c>
      <c r="T2739" t="str">
        <f>IF(D2739=1,MAX($T$2:$T2738)+1,IF(S2739=S2738,$T2738,IF(D2739="x",T2738,IF(D2738="x","",""))))</f>
        <v/>
      </c>
      <c r="U2739" t="str">
        <f>IF(B2739=1,MAX($U$2:$U2738)+1,IF(AND($T2739&lt;&gt;"",$T2739=$T2738),$U2738,IF(B2739="x",U2738,"")))</f>
        <v/>
      </c>
      <c r="V2739" t="str">
        <f>IF(C2739=1,MAX($V$2:$V2738)+1,IF(AND($T2739&lt;&gt;"",$T2739=$T2738),$U2738,IF(C2739="x",V2738,"")))</f>
        <v/>
      </c>
      <c r="X2739" cm="1">
        <f t="array" ref="X2739">IF($I2739&lt;&gt;"",$I2739,INDEX($I$1:$I2739,ROW()-COUNTIFS($T$1:$T2739,"="&amp;$T2739,$S$1:$S2739,"&lt;"&amp;$S2739)))</f>
        <v>0</v>
      </c>
      <c r="Z2739" s="6">
        <f t="shared" si="382"/>
        <v>1</v>
      </c>
      <c r="AA2739" t="e">
        <f t="shared" si="383"/>
        <v>#VALUE!</v>
      </c>
      <c r="AB2739" t="str">
        <f t="shared" si="384"/>
        <v/>
      </c>
      <c r="AC2739" t="e">
        <f t="shared" si="385"/>
        <v>#VALUE!</v>
      </c>
    </row>
    <row r="2740" spans="1:29" x14ac:dyDescent="0.2">
      <c r="A2740" t="str">
        <f t="shared" si="386"/>
        <v/>
      </c>
      <c r="E2740" s="4"/>
      <c r="F2740" s="46"/>
      <c r="G2740" s="4"/>
      <c r="H2740" s="48"/>
      <c r="J2740" s="26" t="str">
        <f t="shared" si="387"/>
        <v/>
      </c>
      <c r="N2740" t="str">
        <f t="shared" si="388"/>
        <v/>
      </c>
      <c r="Q2740" t="str">
        <f t="shared" si="389"/>
        <v/>
      </c>
      <c r="S2740" t="str">
        <f>IF(A2740=1,MAX($S$2:$S2739)+1,IF(OR($I2740&lt;&gt;"",A2740="x"),$S2739,""))</f>
        <v/>
      </c>
      <c r="T2740" t="str">
        <f>IF(D2740=1,MAX($T$2:$T2739)+1,IF(S2740=S2739,$T2739,IF(D2740="x",T2739,IF(D2739="x","",""))))</f>
        <v/>
      </c>
      <c r="U2740" t="str">
        <f>IF(B2740=1,MAX($U$2:$U2739)+1,IF(AND($T2740&lt;&gt;"",$T2740=$T2739),$U2739,IF(B2740="x",U2739,"")))</f>
        <v/>
      </c>
      <c r="V2740" t="str">
        <f>IF(C2740=1,MAX($V$2:$V2739)+1,IF(AND($T2740&lt;&gt;"",$T2740=$T2739),$U2739,IF(C2740="x",V2739,"")))</f>
        <v/>
      </c>
      <c r="X2740" cm="1">
        <f t="array" ref="X2740">IF($I2740&lt;&gt;"",$I2740,INDEX($I$1:$I2740,ROW()-COUNTIFS($T$1:$T2740,"="&amp;$T2740,$S$1:$S2740,"&lt;"&amp;$S2740)))</f>
        <v>0</v>
      </c>
      <c r="Z2740" s="6">
        <f t="shared" si="382"/>
        <v>1</v>
      </c>
      <c r="AA2740" t="e">
        <f t="shared" si="383"/>
        <v>#VALUE!</v>
      </c>
      <c r="AB2740" t="str">
        <f t="shared" si="384"/>
        <v/>
      </c>
      <c r="AC2740" t="e">
        <f t="shared" si="385"/>
        <v>#VALUE!</v>
      </c>
    </row>
    <row r="2741" spans="1:29" x14ac:dyDescent="0.2">
      <c r="A2741" t="str">
        <f t="shared" si="386"/>
        <v/>
      </c>
      <c r="E2741" s="4"/>
      <c r="F2741" s="46"/>
      <c r="G2741" s="4"/>
      <c r="H2741" s="48"/>
      <c r="J2741" s="26" t="str">
        <f t="shared" si="387"/>
        <v/>
      </c>
      <c r="N2741" t="str">
        <f t="shared" si="388"/>
        <v/>
      </c>
      <c r="Q2741" t="str">
        <f t="shared" si="389"/>
        <v/>
      </c>
      <c r="S2741" t="str">
        <f>IF(A2741=1,MAX($S$2:$S2740)+1,IF(OR($I2741&lt;&gt;"",A2741="x"),$S2740,""))</f>
        <v/>
      </c>
      <c r="T2741" t="str">
        <f>IF(D2741=1,MAX($T$2:$T2740)+1,IF(S2741=S2740,$T2740,IF(D2741="x",T2740,IF(D2740="x","",""))))</f>
        <v/>
      </c>
      <c r="U2741" t="str">
        <f>IF(B2741=1,MAX($U$2:$U2740)+1,IF(AND($T2741&lt;&gt;"",$T2741=$T2740),$U2740,IF(B2741="x",U2740,"")))</f>
        <v/>
      </c>
      <c r="V2741" t="str">
        <f>IF(C2741=1,MAX($V$2:$V2740)+1,IF(AND($T2741&lt;&gt;"",$T2741=$T2740),$U2740,IF(C2741="x",V2740,"")))</f>
        <v/>
      </c>
      <c r="X2741" cm="1">
        <f t="array" ref="X2741">IF($I2741&lt;&gt;"",$I2741,INDEX($I$1:$I2741,ROW()-COUNTIFS($T$1:$T2741,"="&amp;$T2741,$S$1:$S2741,"&lt;"&amp;$S2741)))</f>
        <v>0</v>
      </c>
      <c r="Z2741" s="6">
        <f t="shared" si="382"/>
        <v>1</v>
      </c>
      <c r="AA2741" t="e">
        <f t="shared" si="383"/>
        <v>#VALUE!</v>
      </c>
      <c r="AB2741" t="str">
        <f t="shared" si="384"/>
        <v/>
      </c>
      <c r="AC2741" t="e">
        <f t="shared" si="385"/>
        <v>#VALUE!</v>
      </c>
    </row>
    <row r="2742" spans="1:29" x14ac:dyDescent="0.2">
      <c r="A2742" t="str">
        <f t="shared" si="386"/>
        <v/>
      </c>
      <c r="E2742" s="4"/>
      <c r="F2742" s="46"/>
      <c r="G2742" s="4"/>
      <c r="H2742" s="48"/>
      <c r="J2742" s="26" t="str">
        <f t="shared" si="387"/>
        <v/>
      </c>
      <c r="N2742" t="str">
        <f t="shared" si="388"/>
        <v/>
      </c>
      <c r="Q2742" t="str">
        <f t="shared" si="389"/>
        <v/>
      </c>
      <c r="S2742" t="str">
        <f>IF(A2742=1,MAX($S$2:$S2741)+1,IF(OR($I2742&lt;&gt;"",A2742="x"),$S2741,""))</f>
        <v/>
      </c>
      <c r="T2742" t="str">
        <f>IF(D2742=1,MAX($T$2:$T2741)+1,IF(S2742=S2741,$T2741,IF(D2742="x",T2741,IF(D2741="x","",""))))</f>
        <v/>
      </c>
      <c r="U2742" t="str">
        <f>IF(B2742=1,MAX($U$2:$U2741)+1,IF(AND($T2742&lt;&gt;"",$T2742=$T2741),$U2741,IF(B2742="x",U2741,"")))</f>
        <v/>
      </c>
      <c r="V2742" t="str">
        <f>IF(C2742=1,MAX($V$2:$V2741)+1,IF(AND($T2742&lt;&gt;"",$T2742=$T2741),$U2741,IF(C2742="x",V2741,"")))</f>
        <v/>
      </c>
      <c r="X2742" cm="1">
        <f t="array" ref="X2742">IF($I2742&lt;&gt;"",$I2742,INDEX($I$1:$I2742,ROW()-COUNTIFS($T$1:$T2742,"="&amp;$T2742,$S$1:$S2742,"&lt;"&amp;$S2742)))</f>
        <v>0</v>
      </c>
      <c r="Z2742" s="6">
        <f t="shared" si="382"/>
        <v>1</v>
      </c>
      <c r="AA2742" t="e">
        <f t="shared" si="383"/>
        <v>#VALUE!</v>
      </c>
      <c r="AB2742" t="str">
        <f t="shared" si="384"/>
        <v/>
      </c>
      <c r="AC2742" t="e">
        <f t="shared" si="385"/>
        <v>#VALUE!</v>
      </c>
    </row>
    <row r="2743" spans="1:29" x14ac:dyDescent="0.2">
      <c r="A2743" t="str">
        <f t="shared" si="386"/>
        <v/>
      </c>
      <c r="E2743" s="4"/>
      <c r="F2743" s="46"/>
      <c r="G2743" s="4"/>
      <c r="H2743" s="48"/>
      <c r="J2743" s="26" t="str">
        <f t="shared" si="387"/>
        <v/>
      </c>
      <c r="N2743" t="str">
        <f t="shared" si="388"/>
        <v/>
      </c>
      <c r="Q2743" t="str">
        <f t="shared" si="389"/>
        <v/>
      </c>
      <c r="S2743" t="str">
        <f>IF(A2743=1,MAX($S$2:$S2742)+1,IF(OR($I2743&lt;&gt;"",A2743="x"),$S2742,""))</f>
        <v/>
      </c>
      <c r="T2743" t="str">
        <f>IF(D2743=1,MAX($T$2:$T2742)+1,IF(S2743=S2742,$T2742,IF(D2743="x",T2742,IF(D2742="x","",""))))</f>
        <v/>
      </c>
      <c r="U2743" t="str">
        <f>IF(B2743=1,MAX($U$2:$U2742)+1,IF(AND($T2743&lt;&gt;"",$T2743=$T2742),$U2742,IF(B2743="x",U2742,"")))</f>
        <v/>
      </c>
      <c r="V2743" t="str">
        <f>IF(C2743=1,MAX($V$2:$V2742)+1,IF(AND($T2743&lt;&gt;"",$T2743=$T2742),$U2742,IF(C2743="x",V2742,"")))</f>
        <v/>
      </c>
      <c r="X2743" cm="1">
        <f t="array" ref="X2743">IF($I2743&lt;&gt;"",$I2743,INDEX($I$1:$I2743,ROW()-COUNTIFS($T$1:$T2743,"="&amp;$T2743,$S$1:$S2743,"&lt;"&amp;$S2743)))</f>
        <v>0</v>
      </c>
      <c r="Z2743" s="6">
        <f t="shared" si="382"/>
        <v>1</v>
      </c>
      <c r="AA2743" t="e">
        <f t="shared" si="383"/>
        <v>#VALUE!</v>
      </c>
      <c r="AB2743" t="str">
        <f t="shared" si="384"/>
        <v/>
      </c>
      <c r="AC2743" t="e">
        <f t="shared" si="385"/>
        <v>#VALUE!</v>
      </c>
    </row>
    <row r="2744" spans="1:29" x14ac:dyDescent="0.2">
      <c r="A2744" t="str">
        <f t="shared" si="386"/>
        <v/>
      </c>
      <c r="E2744" s="4"/>
      <c r="F2744" s="46"/>
      <c r="G2744" s="4"/>
      <c r="H2744" s="48"/>
      <c r="J2744" s="26" t="str">
        <f t="shared" si="387"/>
        <v/>
      </c>
      <c r="N2744" t="str">
        <f t="shared" si="388"/>
        <v/>
      </c>
      <c r="Q2744" t="str">
        <f t="shared" si="389"/>
        <v/>
      </c>
      <c r="S2744" t="str">
        <f>IF(A2744=1,MAX($S$2:$S2743)+1,IF(OR($I2744&lt;&gt;"",A2744="x"),$S2743,""))</f>
        <v/>
      </c>
      <c r="T2744" t="str">
        <f>IF(D2744=1,MAX($T$2:$T2743)+1,IF(S2744=S2743,$T2743,IF(D2744="x",T2743,IF(D2743="x","",""))))</f>
        <v/>
      </c>
      <c r="U2744" t="str">
        <f>IF(B2744=1,MAX($U$2:$U2743)+1,IF(AND($T2744&lt;&gt;"",$T2744=$T2743),$U2743,IF(B2744="x",U2743,"")))</f>
        <v/>
      </c>
      <c r="V2744" t="str">
        <f>IF(C2744=1,MAX($V$2:$V2743)+1,IF(AND($T2744&lt;&gt;"",$T2744=$T2743),$U2743,IF(C2744="x",V2743,"")))</f>
        <v/>
      </c>
      <c r="X2744" cm="1">
        <f t="array" ref="X2744">IF($I2744&lt;&gt;"",$I2744,INDEX($I$1:$I2744,ROW()-COUNTIFS($T$1:$T2744,"="&amp;$T2744,$S$1:$S2744,"&lt;"&amp;$S2744)))</f>
        <v>0</v>
      </c>
      <c r="Z2744" s="6">
        <f t="shared" si="382"/>
        <v>1</v>
      </c>
      <c r="AA2744" t="e">
        <f t="shared" si="383"/>
        <v>#VALUE!</v>
      </c>
      <c r="AB2744" t="str">
        <f t="shared" si="384"/>
        <v/>
      </c>
      <c r="AC2744" t="e">
        <f t="shared" si="385"/>
        <v>#VALUE!</v>
      </c>
    </row>
    <row r="2745" spans="1:29" x14ac:dyDescent="0.2">
      <c r="A2745" t="str">
        <f t="shared" si="386"/>
        <v/>
      </c>
      <c r="E2745" s="4"/>
      <c r="F2745" s="46"/>
      <c r="G2745" s="4"/>
      <c r="H2745" s="48"/>
      <c r="J2745" s="26" t="str">
        <f t="shared" si="387"/>
        <v/>
      </c>
      <c r="N2745" t="str">
        <f t="shared" si="388"/>
        <v/>
      </c>
      <c r="Q2745" t="str">
        <f t="shared" si="389"/>
        <v/>
      </c>
      <c r="S2745" t="str">
        <f>IF(A2745=1,MAX($S$2:$S2744)+1,IF(OR($I2745&lt;&gt;"",A2745="x"),$S2744,""))</f>
        <v/>
      </c>
      <c r="T2745" t="str">
        <f>IF(D2745=1,MAX($T$2:$T2744)+1,IF(S2745=S2744,$T2744,IF(D2745="x",T2744,IF(D2744="x","",""))))</f>
        <v/>
      </c>
      <c r="U2745" t="str">
        <f>IF(B2745=1,MAX($U$2:$U2744)+1,IF(AND($T2745&lt;&gt;"",$T2745=$T2744),$U2744,IF(B2745="x",U2744,"")))</f>
        <v/>
      </c>
      <c r="V2745" t="str">
        <f>IF(C2745=1,MAX($V$2:$V2744)+1,IF(AND($T2745&lt;&gt;"",$T2745=$T2744),$U2744,IF(C2745="x",V2744,"")))</f>
        <v/>
      </c>
      <c r="X2745" cm="1">
        <f t="array" ref="X2745">IF($I2745&lt;&gt;"",$I2745,INDEX($I$1:$I2745,ROW()-COUNTIFS($T$1:$T2745,"="&amp;$T2745,$S$1:$S2745,"&lt;"&amp;$S2745)))</f>
        <v>0</v>
      </c>
      <c r="Z2745" s="6">
        <f t="shared" si="382"/>
        <v>1</v>
      </c>
      <c r="AA2745" t="e">
        <f t="shared" si="383"/>
        <v>#VALUE!</v>
      </c>
      <c r="AB2745" t="str">
        <f t="shared" si="384"/>
        <v/>
      </c>
      <c r="AC2745" t="e">
        <f t="shared" si="385"/>
        <v>#VALUE!</v>
      </c>
    </row>
    <row r="2746" spans="1:29" x14ac:dyDescent="0.2">
      <c r="A2746" t="str">
        <f t="shared" si="386"/>
        <v/>
      </c>
      <c r="E2746" s="4"/>
      <c r="F2746" s="46"/>
      <c r="G2746" s="4"/>
      <c r="H2746" s="48"/>
      <c r="J2746" s="26" t="str">
        <f t="shared" si="387"/>
        <v/>
      </c>
      <c r="N2746" t="str">
        <f t="shared" si="388"/>
        <v/>
      </c>
      <c r="Q2746" t="str">
        <f t="shared" si="389"/>
        <v/>
      </c>
      <c r="S2746" t="str">
        <f>IF(A2746=1,MAX($S$2:$S2745)+1,IF(OR($I2746&lt;&gt;"",A2746="x"),$S2745,""))</f>
        <v/>
      </c>
      <c r="T2746" t="str">
        <f>IF(D2746=1,MAX($T$2:$T2745)+1,IF(S2746=S2745,$T2745,IF(D2746="x",T2745,IF(D2745="x","",""))))</f>
        <v/>
      </c>
      <c r="U2746" t="str">
        <f>IF(B2746=1,MAX($U$2:$U2745)+1,IF(AND($T2746&lt;&gt;"",$T2746=$T2745),$U2745,IF(B2746="x",U2745,"")))</f>
        <v/>
      </c>
      <c r="V2746" t="str">
        <f>IF(C2746=1,MAX($V$2:$V2745)+1,IF(AND($T2746&lt;&gt;"",$T2746=$T2745),$U2745,IF(C2746="x",V2745,"")))</f>
        <v/>
      </c>
      <c r="X2746" cm="1">
        <f t="array" ref="X2746">IF($I2746&lt;&gt;"",$I2746,INDEX($I$1:$I2746,ROW()-COUNTIFS($T$1:$T2746,"="&amp;$T2746,$S$1:$S2746,"&lt;"&amp;$S2746)))</f>
        <v>0</v>
      </c>
      <c r="Z2746" s="6">
        <f t="shared" si="382"/>
        <v>1</v>
      </c>
      <c r="AA2746" t="e">
        <f t="shared" si="383"/>
        <v>#VALUE!</v>
      </c>
      <c r="AB2746" t="str">
        <f t="shared" si="384"/>
        <v/>
      </c>
      <c r="AC2746" t="e">
        <f t="shared" si="385"/>
        <v>#VALUE!</v>
      </c>
    </row>
    <row r="2747" spans="1:29" x14ac:dyDescent="0.2">
      <c r="A2747" t="str">
        <f t="shared" si="386"/>
        <v/>
      </c>
      <c r="E2747" s="4"/>
      <c r="F2747" s="46"/>
      <c r="G2747" s="4"/>
      <c r="H2747" s="48"/>
      <c r="J2747" s="26" t="str">
        <f t="shared" si="387"/>
        <v/>
      </c>
      <c r="N2747" t="str">
        <f t="shared" si="388"/>
        <v/>
      </c>
      <c r="Q2747" t="str">
        <f t="shared" si="389"/>
        <v/>
      </c>
      <c r="S2747" t="str">
        <f>IF(A2747=1,MAX($S$2:$S2746)+1,IF(OR($I2747&lt;&gt;"",A2747="x"),$S2746,""))</f>
        <v/>
      </c>
      <c r="T2747" t="str">
        <f>IF(D2747=1,MAX($T$2:$T2746)+1,IF(S2747=S2746,$T2746,IF(D2747="x",T2746,IF(D2746="x","",""))))</f>
        <v/>
      </c>
      <c r="U2747" t="str">
        <f>IF(B2747=1,MAX($U$2:$U2746)+1,IF(AND($T2747&lt;&gt;"",$T2747=$T2746),$U2746,IF(B2747="x",U2746,"")))</f>
        <v/>
      </c>
      <c r="V2747" t="str">
        <f>IF(C2747=1,MAX($V$2:$V2746)+1,IF(AND($T2747&lt;&gt;"",$T2747=$T2746),$U2746,IF(C2747="x",V2746,"")))</f>
        <v/>
      </c>
      <c r="X2747" cm="1">
        <f t="array" ref="X2747">IF($I2747&lt;&gt;"",$I2747,INDEX($I$1:$I2747,ROW()-COUNTIFS($T$1:$T2747,"="&amp;$T2747,$S$1:$S2747,"&lt;"&amp;$S2747)))</f>
        <v>0</v>
      </c>
      <c r="Z2747" s="6">
        <f t="shared" si="382"/>
        <v>1</v>
      </c>
      <c r="AA2747" t="e">
        <f t="shared" si="383"/>
        <v>#VALUE!</v>
      </c>
      <c r="AB2747" t="str">
        <f t="shared" si="384"/>
        <v/>
      </c>
      <c r="AC2747" t="e">
        <f t="shared" si="385"/>
        <v>#VALUE!</v>
      </c>
    </row>
    <row r="2748" spans="1:29" x14ac:dyDescent="0.2">
      <c r="A2748" t="str">
        <f t="shared" si="386"/>
        <v/>
      </c>
      <c r="E2748" s="4"/>
      <c r="F2748" s="46"/>
      <c r="G2748" s="4"/>
      <c r="H2748" s="48"/>
      <c r="J2748" s="26" t="str">
        <f t="shared" si="387"/>
        <v/>
      </c>
      <c r="N2748" t="str">
        <f t="shared" si="388"/>
        <v/>
      </c>
      <c r="Q2748" t="str">
        <f t="shared" si="389"/>
        <v/>
      </c>
      <c r="S2748" t="str">
        <f>IF(A2748=1,MAX($S$2:$S2747)+1,IF(OR($I2748&lt;&gt;"",A2748="x"),$S2747,""))</f>
        <v/>
      </c>
      <c r="T2748" t="str">
        <f>IF(D2748=1,MAX($T$2:$T2747)+1,IF(S2748=S2747,$T2747,IF(D2748="x",T2747,IF(D2747="x","",""))))</f>
        <v/>
      </c>
      <c r="U2748" t="str">
        <f>IF(B2748=1,MAX($U$2:$U2747)+1,IF(AND($T2748&lt;&gt;"",$T2748=$T2747),$U2747,IF(B2748="x",U2747,"")))</f>
        <v/>
      </c>
      <c r="V2748" t="str">
        <f>IF(C2748=1,MAX($V$2:$V2747)+1,IF(AND($T2748&lt;&gt;"",$T2748=$T2747),$U2747,IF(C2748="x",V2747,"")))</f>
        <v/>
      </c>
      <c r="X2748" cm="1">
        <f t="array" ref="X2748">IF($I2748&lt;&gt;"",$I2748,INDEX($I$1:$I2748,ROW()-COUNTIFS($T$1:$T2748,"="&amp;$T2748,$S$1:$S2748,"&lt;"&amp;$S2748)))</f>
        <v>0</v>
      </c>
      <c r="Z2748" s="6">
        <f t="shared" si="382"/>
        <v>1</v>
      </c>
      <c r="AA2748" t="e">
        <f t="shared" si="383"/>
        <v>#VALUE!</v>
      </c>
      <c r="AB2748" t="str">
        <f t="shared" si="384"/>
        <v/>
      </c>
      <c r="AC2748" t="e">
        <f t="shared" si="385"/>
        <v>#VALUE!</v>
      </c>
    </row>
    <row r="2749" spans="1:29" x14ac:dyDescent="0.2">
      <c r="A2749" t="str">
        <f t="shared" si="386"/>
        <v/>
      </c>
      <c r="E2749" s="4"/>
      <c r="F2749" s="46"/>
      <c r="G2749" s="4"/>
      <c r="H2749" s="48"/>
      <c r="J2749" s="26" t="str">
        <f t="shared" si="387"/>
        <v/>
      </c>
      <c r="N2749" t="str">
        <f t="shared" si="388"/>
        <v/>
      </c>
      <c r="Q2749" t="str">
        <f t="shared" si="389"/>
        <v/>
      </c>
      <c r="S2749" t="str">
        <f>IF(A2749=1,MAX($S$2:$S2748)+1,IF(OR($I2749&lt;&gt;"",A2749="x"),$S2748,""))</f>
        <v/>
      </c>
      <c r="T2749" t="str">
        <f>IF(D2749=1,MAX($T$2:$T2748)+1,IF(S2749=S2748,$T2748,IF(D2749="x",T2748,IF(D2748="x","",""))))</f>
        <v/>
      </c>
      <c r="U2749" t="str">
        <f>IF(B2749=1,MAX($U$2:$U2748)+1,IF(AND($T2749&lt;&gt;"",$T2749=$T2748),$U2748,IF(B2749="x",U2748,"")))</f>
        <v/>
      </c>
      <c r="V2749" t="str">
        <f>IF(C2749=1,MAX($V$2:$V2748)+1,IF(AND($T2749&lt;&gt;"",$T2749=$T2748),$U2748,IF(C2749="x",V2748,"")))</f>
        <v/>
      </c>
      <c r="X2749" cm="1">
        <f t="array" ref="X2749">IF($I2749&lt;&gt;"",$I2749,INDEX($I$1:$I2749,ROW()-COUNTIFS($T$1:$T2749,"="&amp;$T2749,$S$1:$S2749,"&lt;"&amp;$S2749)))</f>
        <v>0</v>
      </c>
      <c r="Z2749" s="6">
        <f t="shared" si="382"/>
        <v>1</v>
      </c>
      <c r="AA2749" t="e">
        <f t="shared" si="383"/>
        <v>#VALUE!</v>
      </c>
      <c r="AB2749" t="str">
        <f t="shared" si="384"/>
        <v/>
      </c>
      <c r="AC2749" t="e">
        <f t="shared" si="385"/>
        <v>#VALUE!</v>
      </c>
    </row>
    <row r="2750" spans="1:29" x14ac:dyDescent="0.2">
      <c r="A2750" t="str">
        <f t="shared" si="386"/>
        <v/>
      </c>
      <c r="E2750" s="4"/>
      <c r="F2750" s="46"/>
      <c r="G2750" s="4"/>
      <c r="H2750" s="48"/>
      <c r="J2750" s="26" t="str">
        <f t="shared" si="387"/>
        <v/>
      </c>
      <c r="N2750" t="str">
        <f t="shared" si="388"/>
        <v/>
      </c>
      <c r="Q2750" t="str">
        <f t="shared" si="389"/>
        <v/>
      </c>
      <c r="S2750" t="str">
        <f>IF(A2750=1,MAX($S$2:$S2749)+1,IF(OR($I2750&lt;&gt;"",A2750="x"),$S2749,""))</f>
        <v/>
      </c>
      <c r="T2750" t="str">
        <f>IF(D2750=1,MAX($T$2:$T2749)+1,IF(S2750=S2749,$T2749,IF(D2750="x",T2749,IF(D2749="x","",""))))</f>
        <v/>
      </c>
      <c r="U2750" t="str">
        <f>IF(B2750=1,MAX($U$2:$U2749)+1,IF(AND($T2750&lt;&gt;"",$T2750=$T2749),$U2749,IF(B2750="x",U2749,"")))</f>
        <v/>
      </c>
      <c r="V2750" t="str">
        <f>IF(C2750=1,MAX($V$2:$V2749)+1,IF(AND($T2750&lt;&gt;"",$T2750=$T2749),$U2749,IF(C2750="x",V2749,"")))</f>
        <v/>
      </c>
      <c r="X2750" cm="1">
        <f t="array" ref="X2750">IF($I2750&lt;&gt;"",$I2750,INDEX($I$1:$I2750,ROW()-COUNTIFS($T$1:$T2750,"="&amp;$T2750,$S$1:$S2750,"&lt;"&amp;$S2750)))</f>
        <v>0</v>
      </c>
      <c r="Z2750" s="6">
        <f t="shared" si="382"/>
        <v>1</v>
      </c>
      <c r="AA2750" t="e">
        <f t="shared" si="383"/>
        <v>#VALUE!</v>
      </c>
      <c r="AB2750" t="str">
        <f t="shared" si="384"/>
        <v/>
      </c>
      <c r="AC2750" t="e">
        <f t="shared" si="385"/>
        <v>#VALUE!</v>
      </c>
    </row>
    <row r="2751" spans="1:29" x14ac:dyDescent="0.2">
      <c r="A2751" t="str">
        <f t="shared" si="386"/>
        <v/>
      </c>
      <c r="E2751" s="4"/>
      <c r="F2751" s="46"/>
      <c r="G2751" s="4"/>
      <c r="H2751" s="48"/>
      <c r="J2751" s="26" t="str">
        <f t="shared" si="387"/>
        <v/>
      </c>
      <c r="N2751" t="str">
        <f t="shared" si="388"/>
        <v/>
      </c>
      <c r="Q2751" t="str">
        <f t="shared" si="389"/>
        <v/>
      </c>
      <c r="S2751" t="str">
        <f>IF(A2751=1,MAX($S$2:$S2750)+1,IF(OR($I2751&lt;&gt;"",A2751="x"),$S2750,""))</f>
        <v/>
      </c>
      <c r="T2751" t="str">
        <f>IF(D2751=1,MAX($T$2:$T2750)+1,IF(S2751=S2750,$T2750,IF(D2751="x",T2750,IF(D2750="x","",""))))</f>
        <v/>
      </c>
      <c r="U2751" t="str">
        <f>IF(B2751=1,MAX($U$2:$U2750)+1,IF(AND($T2751&lt;&gt;"",$T2751=$T2750),$U2750,IF(B2751="x",U2750,"")))</f>
        <v/>
      </c>
      <c r="V2751" t="str">
        <f>IF(C2751=1,MAX($V$2:$V2750)+1,IF(AND($T2751&lt;&gt;"",$T2751=$T2750),$U2750,IF(C2751="x",V2750,"")))</f>
        <v/>
      </c>
      <c r="X2751" cm="1">
        <f t="array" ref="X2751">IF($I2751&lt;&gt;"",$I2751,INDEX($I$1:$I2751,ROW()-COUNTIFS($T$1:$T2751,"="&amp;$T2751,$S$1:$S2751,"&lt;"&amp;$S2751)))</f>
        <v>0</v>
      </c>
      <c r="Z2751" s="6">
        <f t="shared" si="382"/>
        <v>1</v>
      </c>
      <c r="AA2751" t="e">
        <f t="shared" si="383"/>
        <v>#VALUE!</v>
      </c>
      <c r="AB2751" t="str">
        <f t="shared" si="384"/>
        <v/>
      </c>
      <c r="AC2751" t="e">
        <f t="shared" si="385"/>
        <v>#VALUE!</v>
      </c>
    </row>
    <row r="2752" spans="1:29" x14ac:dyDescent="0.2">
      <c r="A2752" t="str">
        <f t="shared" si="386"/>
        <v/>
      </c>
      <c r="E2752" s="4"/>
      <c r="F2752" s="46"/>
      <c r="G2752" s="4"/>
      <c r="H2752" s="48"/>
      <c r="J2752" s="26" t="str">
        <f t="shared" si="387"/>
        <v/>
      </c>
      <c r="N2752" t="str">
        <f t="shared" si="388"/>
        <v/>
      </c>
      <c r="Q2752" t="str">
        <f t="shared" si="389"/>
        <v/>
      </c>
      <c r="S2752" t="str">
        <f>IF(A2752=1,MAX($S$2:$S2751)+1,IF(OR($I2752&lt;&gt;"",A2752="x"),$S2751,""))</f>
        <v/>
      </c>
      <c r="T2752" t="str">
        <f>IF(D2752=1,MAX($T$2:$T2751)+1,IF(S2752=S2751,$T2751,IF(D2752="x",T2751,IF(D2751="x","",""))))</f>
        <v/>
      </c>
      <c r="U2752" t="str">
        <f>IF(B2752=1,MAX($U$2:$U2751)+1,IF(AND($T2752&lt;&gt;"",$T2752=$T2751),$U2751,IF(B2752="x",U2751,"")))</f>
        <v/>
      </c>
      <c r="V2752" t="str">
        <f>IF(C2752=1,MAX($V$2:$V2751)+1,IF(AND($T2752&lt;&gt;"",$T2752=$T2751),$U2751,IF(C2752="x",V2751,"")))</f>
        <v/>
      </c>
      <c r="X2752" cm="1">
        <f t="array" ref="X2752">IF($I2752&lt;&gt;"",$I2752,INDEX($I$1:$I2752,ROW()-COUNTIFS($T$1:$T2752,"="&amp;$T2752,$S$1:$S2752,"&lt;"&amp;$S2752)))</f>
        <v>0</v>
      </c>
      <c r="Z2752" s="6">
        <f t="shared" si="382"/>
        <v>1</v>
      </c>
      <c r="AA2752" t="e">
        <f t="shared" si="383"/>
        <v>#VALUE!</v>
      </c>
      <c r="AB2752" t="str">
        <f t="shared" si="384"/>
        <v/>
      </c>
      <c r="AC2752" t="e">
        <f t="shared" si="385"/>
        <v>#VALUE!</v>
      </c>
    </row>
    <row r="2753" spans="1:29" x14ac:dyDescent="0.2">
      <c r="A2753" t="str">
        <f t="shared" si="386"/>
        <v/>
      </c>
      <c r="E2753" s="4"/>
      <c r="F2753" s="46"/>
      <c r="G2753" s="4"/>
      <c r="H2753" s="48"/>
      <c r="J2753" s="26" t="str">
        <f t="shared" si="387"/>
        <v/>
      </c>
      <c r="N2753" t="str">
        <f t="shared" si="388"/>
        <v/>
      </c>
      <c r="Q2753" t="str">
        <f t="shared" si="389"/>
        <v/>
      </c>
      <c r="S2753" t="str">
        <f>IF(A2753=1,MAX($S$2:$S2752)+1,IF(OR($I2753&lt;&gt;"",A2753="x"),$S2752,""))</f>
        <v/>
      </c>
      <c r="T2753" t="str">
        <f>IF(D2753=1,MAX($T$2:$T2752)+1,IF(S2753=S2752,$T2752,IF(D2753="x",T2752,IF(D2752="x","",""))))</f>
        <v/>
      </c>
      <c r="U2753" t="str">
        <f>IF(B2753=1,MAX($U$2:$U2752)+1,IF(AND($T2753&lt;&gt;"",$T2753=$T2752),$U2752,IF(B2753="x",U2752,"")))</f>
        <v/>
      </c>
      <c r="V2753" t="str">
        <f>IF(C2753=1,MAX($V$2:$V2752)+1,IF(AND($T2753&lt;&gt;"",$T2753=$T2752),$U2752,IF(C2753="x",V2752,"")))</f>
        <v/>
      </c>
      <c r="X2753" cm="1">
        <f t="array" ref="X2753">IF($I2753&lt;&gt;"",$I2753,INDEX($I$1:$I2753,ROW()-COUNTIFS($T$1:$T2753,"="&amp;$T2753,$S$1:$S2753,"&lt;"&amp;$S2753)))</f>
        <v>0</v>
      </c>
      <c r="Z2753" s="6">
        <f t="shared" si="382"/>
        <v>1</v>
      </c>
      <c r="AA2753" t="e">
        <f t="shared" si="383"/>
        <v>#VALUE!</v>
      </c>
      <c r="AB2753" t="str">
        <f t="shared" si="384"/>
        <v/>
      </c>
      <c r="AC2753" t="e">
        <f t="shared" si="385"/>
        <v>#VALUE!</v>
      </c>
    </row>
    <row r="2754" spans="1:29" x14ac:dyDescent="0.2">
      <c r="A2754" t="str">
        <f t="shared" si="386"/>
        <v/>
      </c>
      <c r="E2754" s="4"/>
      <c r="F2754" s="46"/>
      <c r="G2754" s="4"/>
      <c r="H2754" s="48"/>
      <c r="J2754" s="26" t="str">
        <f t="shared" si="387"/>
        <v/>
      </c>
      <c r="N2754" t="str">
        <f t="shared" si="388"/>
        <v/>
      </c>
      <c r="Q2754" t="str">
        <f t="shared" si="389"/>
        <v/>
      </c>
      <c r="S2754" t="str">
        <f>IF(A2754=1,MAX($S$2:$S2753)+1,IF(OR($I2754&lt;&gt;"",A2754="x"),$S2753,""))</f>
        <v/>
      </c>
      <c r="T2754" t="str">
        <f>IF(D2754=1,MAX($T$2:$T2753)+1,IF(S2754=S2753,$T2753,IF(D2754="x",T2753,IF(D2753="x","",""))))</f>
        <v/>
      </c>
      <c r="U2754" t="str">
        <f>IF(B2754=1,MAX($U$2:$U2753)+1,IF(AND($T2754&lt;&gt;"",$T2754=$T2753),$U2753,IF(B2754="x",U2753,"")))</f>
        <v/>
      </c>
      <c r="V2754" t="str">
        <f>IF(C2754=1,MAX($V$2:$V2753)+1,IF(AND($T2754&lt;&gt;"",$T2754=$T2753),$U2753,IF(C2754="x",V2753,"")))</f>
        <v/>
      </c>
      <c r="X2754" cm="1">
        <f t="array" ref="X2754">IF($I2754&lt;&gt;"",$I2754,INDEX($I$1:$I2754,ROW()-COUNTIFS($T$1:$T2754,"="&amp;$T2754,$S$1:$S2754,"&lt;"&amp;$S2754)))</f>
        <v>0</v>
      </c>
      <c r="Z2754" s="6">
        <f t="shared" si="382"/>
        <v>1</v>
      </c>
      <c r="AA2754" t="e">
        <f t="shared" si="383"/>
        <v>#VALUE!</v>
      </c>
      <c r="AB2754" t="str">
        <f t="shared" si="384"/>
        <v/>
      </c>
      <c r="AC2754" t="e">
        <f t="shared" si="385"/>
        <v>#VALUE!</v>
      </c>
    </row>
    <row r="2755" spans="1:29" x14ac:dyDescent="0.2">
      <c r="A2755" t="str">
        <f t="shared" si="386"/>
        <v/>
      </c>
      <c r="E2755" s="4"/>
      <c r="F2755" s="46"/>
      <c r="G2755" s="4"/>
      <c r="H2755" s="48"/>
      <c r="J2755" s="26" t="str">
        <f t="shared" si="387"/>
        <v/>
      </c>
      <c r="N2755" t="str">
        <f t="shared" si="388"/>
        <v/>
      </c>
      <c r="Q2755" t="str">
        <f t="shared" si="389"/>
        <v/>
      </c>
      <c r="S2755" t="str">
        <f>IF(A2755=1,MAX($S$2:$S2754)+1,IF(OR($I2755&lt;&gt;"",A2755="x"),$S2754,""))</f>
        <v/>
      </c>
      <c r="T2755" t="str">
        <f>IF(D2755=1,MAX($T$2:$T2754)+1,IF(S2755=S2754,$T2754,IF(D2755="x",T2754,IF(D2754="x","",""))))</f>
        <v/>
      </c>
      <c r="U2755" t="str">
        <f>IF(B2755=1,MAX($U$2:$U2754)+1,IF(AND($T2755&lt;&gt;"",$T2755=$T2754),$U2754,IF(B2755="x",U2754,"")))</f>
        <v/>
      </c>
      <c r="V2755" t="str">
        <f>IF(C2755=1,MAX($V$2:$V2754)+1,IF(AND($T2755&lt;&gt;"",$T2755=$T2754),$U2754,IF(C2755="x",V2754,"")))</f>
        <v/>
      </c>
      <c r="X2755" cm="1">
        <f t="array" ref="X2755">IF($I2755&lt;&gt;"",$I2755,INDEX($I$1:$I2755,ROW()-COUNTIFS($T$1:$T2755,"="&amp;$T2755,$S$1:$S2755,"&lt;"&amp;$S2755)))</f>
        <v>0</v>
      </c>
      <c r="Z2755" s="6">
        <f t="shared" si="382"/>
        <v>1</v>
      </c>
      <c r="AA2755" t="e">
        <f t="shared" si="383"/>
        <v>#VALUE!</v>
      </c>
      <c r="AB2755" t="str">
        <f t="shared" si="384"/>
        <v/>
      </c>
      <c r="AC2755" t="e">
        <f t="shared" si="385"/>
        <v>#VALUE!</v>
      </c>
    </row>
    <row r="2756" spans="1:29" x14ac:dyDescent="0.2">
      <c r="A2756" t="str">
        <f t="shared" si="386"/>
        <v/>
      </c>
      <c r="E2756" s="4"/>
      <c r="F2756" s="46"/>
      <c r="G2756" s="4"/>
      <c r="H2756" s="48"/>
      <c r="J2756" s="26" t="str">
        <f t="shared" si="387"/>
        <v/>
      </c>
      <c r="N2756" t="str">
        <f t="shared" si="388"/>
        <v/>
      </c>
      <c r="Q2756" t="str">
        <f t="shared" si="389"/>
        <v/>
      </c>
      <c r="S2756" t="str">
        <f>IF(A2756=1,MAX($S$2:$S2755)+1,IF(OR($I2756&lt;&gt;"",A2756="x"),$S2755,""))</f>
        <v/>
      </c>
      <c r="T2756" t="str">
        <f>IF(D2756=1,MAX($T$2:$T2755)+1,IF(S2756=S2755,$T2755,IF(D2756="x",T2755,IF(D2755="x","",""))))</f>
        <v/>
      </c>
      <c r="U2756" t="str">
        <f>IF(B2756=1,MAX($U$2:$U2755)+1,IF(AND($T2756&lt;&gt;"",$T2756=$T2755),$U2755,IF(B2756="x",U2755,"")))</f>
        <v/>
      </c>
      <c r="V2756" t="str">
        <f>IF(C2756=1,MAX($V$2:$V2755)+1,IF(AND($T2756&lt;&gt;"",$T2756=$T2755),$U2755,IF(C2756="x",V2755,"")))</f>
        <v/>
      </c>
      <c r="X2756" cm="1">
        <f t="array" ref="X2756">IF($I2756&lt;&gt;"",$I2756,INDEX($I$1:$I2756,ROW()-COUNTIFS($T$1:$T2756,"="&amp;$T2756,$S$1:$S2756,"&lt;"&amp;$S2756)))</f>
        <v>0</v>
      </c>
      <c r="Z2756" s="6">
        <f t="shared" si="382"/>
        <v>1</v>
      </c>
      <c r="AA2756" t="e">
        <f t="shared" si="383"/>
        <v>#VALUE!</v>
      </c>
      <c r="AB2756" t="str">
        <f t="shared" si="384"/>
        <v/>
      </c>
      <c r="AC2756" t="e">
        <f t="shared" si="385"/>
        <v>#VALUE!</v>
      </c>
    </row>
    <row r="2757" spans="1:29" x14ac:dyDescent="0.2">
      <c r="A2757" t="str">
        <f t="shared" si="386"/>
        <v/>
      </c>
      <c r="E2757" s="4"/>
      <c r="F2757" s="46"/>
      <c r="G2757" s="4"/>
      <c r="H2757" s="48"/>
      <c r="J2757" s="26" t="str">
        <f t="shared" si="387"/>
        <v/>
      </c>
      <c r="N2757" t="str">
        <f t="shared" si="388"/>
        <v/>
      </c>
      <c r="Q2757" t="str">
        <f t="shared" si="389"/>
        <v/>
      </c>
      <c r="S2757" t="str">
        <f>IF(A2757=1,MAX($S$2:$S2756)+1,IF(OR($I2757&lt;&gt;"",A2757="x"),$S2756,""))</f>
        <v/>
      </c>
      <c r="T2757" t="str">
        <f>IF(D2757=1,MAX($T$2:$T2756)+1,IF(S2757=S2756,$T2756,IF(D2757="x",T2756,IF(D2756="x","",""))))</f>
        <v/>
      </c>
      <c r="U2757" t="str">
        <f>IF(B2757=1,MAX($U$2:$U2756)+1,IF(AND($T2757&lt;&gt;"",$T2757=$T2756),$U2756,IF(B2757="x",U2756,"")))</f>
        <v/>
      </c>
      <c r="V2757" t="str">
        <f>IF(C2757=1,MAX($V$2:$V2756)+1,IF(AND($T2757&lt;&gt;"",$T2757=$T2756),$U2756,IF(C2757="x",V2756,"")))</f>
        <v/>
      </c>
      <c r="X2757" cm="1">
        <f t="array" ref="X2757">IF($I2757&lt;&gt;"",$I2757,INDEX($I$1:$I2757,ROW()-COUNTIFS($T$1:$T2757,"="&amp;$T2757,$S$1:$S2757,"&lt;"&amp;$S2757)))</f>
        <v>0</v>
      </c>
      <c r="Z2757" s="6">
        <f t="shared" ref="Z2757:Z2820" si="390">IF(K2757="Intermission",Z2756+1,Z2756)</f>
        <v>1</v>
      </c>
      <c r="AA2757" t="e">
        <f t="shared" ref="AA2757:AA2820" si="391">S2757+1000</f>
        <v>#VALUE!</v>
      </c>
      <c r="AB2757" t="str">
        <f t="shared" ref="AB2757:AB2820" si="392">IF(T2757&lt;&gt;"",9000+T2757,"")</f>
        <v/>
      </c>
      <c r="AC2757" t="e">
        <f t="shared" ref="AC2757:AC2820" si="393">IF(AB2757&lt;&gt;"",AB2757,S2757+1000)</f>
        <v>#VALUE!</v>
      </c>
    </row>
    <row r="2758" spans="1:29" x14ac:dyDescent="0.2">
      <c r="A2758" t="str">
        <f t="shared" si="386"/>
        <v/>
      </c>
      <c r="E2758" s="4"/>
      <c r="F2758" s="46"/>
      <c r="G2758" s="4"/>
      <c r="H2758" s="48"/>
      <c r="J2758" s="26" t="str">
        <f t="shared" si="387"/>
        <v/>
      </c>
      <c r="N2758" t="str">
        <f t="shared" si="388"/>
        <v/>
      </c>
      <c r="Q2758" t="str">
        <f t="shared" si="389"/>
        <v/>
      </c>
      <c r="S2758" t="str">
        <f>IF(A2758=1,MAX($S$2:$S2757)+1,IF(OR($I2758&lt;&gt;"",A2758="x"),$S2757,""))</f>
        <v/>
      </c>
      <c r="T2758" t="str">
        <f>IF(D2758=1,MAX($T$2:$T2757)+1,IF(S2758=S2757,$T2757,IF(D2758="x",T2757,IF(D2757="x","",""))))</f>
        <v/>
      </c>
      <c r="U2758" t="str">
        <f>IF(B2758=1,MAX($U$2:$U2757)+1,IF(AND($T2758&lt;&gt;"",$T2758=$T2757),$U2757,IF(B2758="x",U2757,"")))</f>
        <v/>
      </c>
      <c r="V2758" t="str">
        <f>IF(C2758=1,MAX($V$2:$V2757)+1,IF(AND($T2758&lt;&gt;"",$T2758=$T2757),$U2757,IF(C2758="x",V2757,"")))</f>
        <v/>
      </c>
      <c r="X2758" cm="1">
        <f t="array" ref="X2758">IF($I2758&lt;&gt;"",$I2758,INDEX($I$1:$I2758,ROW()-COUNTIFS($T$1:$T2758,"="&amp;$T2758,$S$1:$S2758,"&lt;"&amp;$S2758)))</f>
        <v>0</v>
      </c>
      <c r="Z2758" s="6">
        <f t="shared" si="390"/>
        <v>1</v>
      </c>
      <c r="AA2758" t="e">
        <f t="shared" si="391"/>
        <v>#VALUE!</v>
      </c>
      <c r="AB2758" t="str">
        <f t="shared" si="392"/>
        <v/>
      </c>
      <c r="AC2758" t="e">
        <f t="shared" si="393"/>
        <v>#VALUE!</v>
      </c>
    </row>
    <row r="2759" spans="1:29" x14ac:dyDescent="0.2">
      <c r="A2759" t="str">
        <f t="shared" si="386"/>
        <v/>
      </c>
      <c r="E2759" s="4"/>
      <c r="F2759" s="46"/>
      <c r="G2759" s="4"/>
      <c r="H2759" s="48"/>
      <c r="J2759" s="26" t="str">
        <f t="shared" si="387"/>
        <v/>
      </c>
      <c r="N2759" t="str">
        <f t="shared" si="388"/>
        <v/>
      </c>
      <c r="Q2759" t="str">
        <f t="shared" si="389"/>
        <v/>
      </c>
      <c r="S2759" t="str">
        <f>IF(A2759=1,MAX($S$2:$S2758)+1,IF(OR($I2759&lt;&gt;"",A2759="x"),$S2758,""))</f>
        <v/>
      </c>
      <c r="T2759" t="str">
        <f>IF(D2759=1,MAX($T$2:$T2758)+1,IF(S2759=S2758,$T2758,IF(D2759="x",T2758,IF(D2758="x","",""))))</f>
        <v/>
      </c>
      <c r="U2759" t="str">
        <f>IF(B2759=1,MAX($U$2:$U2758)+1,IF(AND($T2759&lt;&gt;"",$T2759=$T2758),$U2758,IF(B2759="x",U2758,"")))</f>
        <v/>
      </c>
      <c r="V2759" t="str">
        <f>IF(C2759=1,MAX($V$2:$V2758)+1,IF(AND($T2759&lt;&gt;"",$T2759=$T2758),$U2758,IF(C2759="x",V2758,"")))</f>
        <v/>
      </c>
      <c r="X2759" cm="1">
        <f t="array" ref="X2759">IF($I2759&lt;&gt;"",$I2759,INDEX($I$1:$I2759,ROW()-COUNTIFS($T$1:$T2759,"="&amp;$T2759,$S$1:$S2759,"&lt;"&amp;$S2759)))</f>
        <v>0</v>
      </c>
      <c r="Z2759" s="6">
        <f t="shared" si="390"/>
        <v>1</v>
      </c>
      <c r="AA2759" t="e">
        <f t="shared" si="391"/>
        <v>#VALUE!</v>
      </c>
      <c r="AB2759" t="str">
        <f t="shared" si="392"/>
        <v/>
      </c>
      <c r="AC2759" t="e">
        <f t="shared" si="393"/>
        <v>#VALUE!</v>
      </c>
    </row>
    <row r="2760" spans="1:29" x14ac:dyDescent="0.2">
      <c r="A2760" t="str">
        <f t="shared" si="386"/>
        <v/>
      </c>
      <c r="E2760" s="4"/>
      <c r="F2760" s="46"/>
      <c r="G2760" s="4"/>
      <c r="H2760" s="48"/>
      <c r="J2760" s="26" t="str">
        <f t="shared" si="387"/>
        <v/>
      </c>
      <c r="N2760" t="str">
        <f t="shared" si="388"/>
        <v/>
      </c>
      <c r="Q2760" t="str">
        <f t="shared" si="389"/>
        <v/>
      </c>
      <c r="S2760" t="str">
        <f>IF(A2760=1,MAX($S$2:$S2759)+1,IF(OR($I2760&lt;&gt;"",A2760="x"),$S2759,""))</f>
        <v/>
      </c>
      <c r="T2760" t="str">
        <f>IF(D2760=1,MAX($T$2:$T2759)+1,IF(S2760=S2759,$T2759,IF(D2760="x",T2759,IF(D2759="x","",""))))</f>
        <v/>
      </c>
      <c r="U2760" t="str">
        <f>IF(B2760=1,MAX($U$2:$U2759)+1,IF(AND($T2760&lt;&gt;"",$T2760=$T2759),$U2759,IF(B2760="x",U2759,"")))</f>
        <v/>
      </c>
      <c r="V2760" t="str">
        <f>IF(C2760=1,MAX($V$2:$V2759)+1,IF(AND($T2760&lt;&gt;"",$T2760=$T2759),$U2759,IF(C2760="x",V2759,"")))</f>
        <v/>
      </c>
      <c r="X2760" cm="1">
        <f t="array" ref="X2760">IF($I2760&lt;&gt;"",$I2760,INDEX($I$1:$I2760,ROW()-COUNTIFS($T$1:$T2760,"="&amp;$T2760,$S$1:$S2760,"&lt;"&amp;$S2760)))</f>
        <v>0</v>
      </c>
      <c r="Z2760" s="6">
        <f t="shared" si="390"/>
        <v>1</v>
      </c>
      <c r="AA2760" t="e">
        <f t="shared" si="391"/>
        <v>#VALUE!</v>
      </c>
      <c r="AB2760" t="str">
        <f t="shared" si="392"/>
        <v/>
      </c>
      <c r="AC2760" t="e">
        <f t="shared" si="393"/>
        <v>#VALUE!</v>
      </c>
    </row>
    <row r="2761" spans="1:29" x14ac:dyDescent="0.2">
      <c r="A2761" t="str">
        <f t="shared" si="386"/>
        <v/>
      </c>
      <c r="E2761" s="4"/>
      <c r="F2761" s="46"/>
      <c r="G2761" s="4"/>
      <c r="H2761" s="48"/>
      <c r="J2761" s="26" t="str">
        <f t="shared" si="387"/>
        <v/>
      </c>
      <c r="N2761" t="str">
        <f t="shared" si="388"/>
        <v/>
      </c>
      <c r="Q2761" t="str">
        <f t="shared" si="389"/>
        <v/>
      </c>
      <c r="S2761" t="str">
        <f>IF(A2761=1,MAX($S$2:$S2760)+1,IF(OR($I2761&lt;&gt;"",A2761="x"),$S2760,""))</f>
        <v/>
      </c>
      <c r="T2761" t="str">
        <f>IF(D2761=1,MAX($T$2:$T2760)+1,IF(S2761=S2760,$T2760,IF(D2761="x",T2760,IF(D2760="x","",""))))</f>
        <v/>
      </c>
      <c r="U2761" t="str">
        <f>IF(B2761=1,MAX($U$2:$U2760)+1,IF(AND($T2761&lt;&gt;"",$T2761=$T2760),$U2760,IF(B2761="x",U2760,"")))</f>
        <v/>
      </c>
      <c r="V2761" t="str">
        <f>IF(C2761=1,MAX($V$2:$V2760)+1,IF(AND($T2761&lt;&gt;"",$T2761=$T2760),$U2760,IF(C2761="x",V2760,"")))</f>
        <v/>
      </c>
      <c r="X2761" cm="1">
        <f t="array" ref="X2761">IF($I2761&lt;&gt;"",$I2761,INDEX($I$1:$I2761,ROW()-COUNTIFS($T$1:$T2761,"="&amp;$T2761,$S$1:$S2761,"&lt;"&amp;$S2761)))</f>
        <v>0</v>
      </c>
      <c r="Z2761" s="6">
        <f t="shared" si="390"/>
        <v>1</v>
      </c>
      <c r="AA2761" t="e">
        <f t="shared" si="391"/>
        <v>#VALUE!</v>
      </c>
      <c r="AB2761" t="str">
        <f t="shared" si="392"/>
        <v/>
      </c>
      <c r="AC2761" t="e">
        <f t="shared" si="393"/>
        <v>#VALUE!</v>
      </c>
    </row>
    <row r="2762" spans="1:29" x14ac:dyDescent="0.2">
      <c r="A2762" t="str">
        <f t="shared" si="386"/>
        <v/>
      </c>
      <c r="E2762" s="4"/>
      <c r="F2762" s="46"/>
      <c r="G2762" s="4"/>
      <c r="H2762" s="48"/>
      <c r="J2762" s="26" t="str">
        <f t="shared" si="387"/>
        <v/>
      </c>
      <c r="N2762" t="str">
        <f t="shared" si="388"/>
        <v/>
      </c>
      <c r="Q2762" t="str">
        <f t="shared" si="389"/>
        <v/>
      </c>
      <c r="S2762" t="str">
        <f>IF(A2762=1,MAX($S$2:$S2761)+1,IF(OR($I2762&lt;&gt;"",A2762="x"),$S2761,""))</f>
        <v/>
      </c>
      <c r="T2762" t="str">
        <f>IF(D2762=1,MAX($T$2:$T2761)+1,IF(S2762=S2761,$T2761,IF(D2762="x",T2761,IF(D2761="x","",""))))</f>
        <v/>
      </c>
      <c r="U2762" t="str">
        <f>IF(B2762=1,MAX($U$2:$U2761)+1,IF(AND($T2762&lt;&gt;"",$T2762=$T2761),$U2761,IF(B2762="x",U2761,"")))</f>
        <v/>
      </c>
      <c r="V2762" t="str">
        <f>IF(C2762=1,MAX($V$2:$V2761)+1,IF(AND($T2762&lt;&gt;"",$T2762=$T2761),$U2761,IF(C2762="x",V2761,"")))</f>
        <v/>
      </c>
      <c r="X2762" cm="1">
        <f t="array" ref="X2762">IF($I2762&lt;&gt;"",$I2762,INDEX($I$1:$I2762,ROW()-COUNTIFS($T$1:$T2762,"="&amp;$T2762,$S$1:$S2762,"&lt;"&amp;$S2762)))</f>
        <v>0</v>
      </c>
      <c r="Z2762" s="6">
        <f t="shared" si="390"/>
        <v>1</v>
      </c>
      <c r="AA2762" t="e">
        <f t="shared" si="391"/>
        <v>#VALUE!</v>
      </c>
      <c r="AB2762" t="str">
        <f t="shared" si="392"/>
        <v/>
      </c>
      <c r="AC2762" t="e">
        <f t="shared" si="393"/>
        <v>#VALUE!</v>
      </c>
    </row>
    <row r="2763" spans="1:29" x14ac:dyDescent="0.2">
      <c r="A2763" t="str">
        <f t="shared" si="386"/>
        <v/>
      </c>
      <c r="E2763" s="4"/>
      <c r="F2763" s="46"/>
      <c r="G2763" s="4"/>
      <c r="H2763" s="48"/>
      <c r="J2763" s="26" t="str">
        <f t="shared" si="387"/>
        <v/>
      </c>
      <c r="N2763" t="str">
        <f t="shared" si="388"/>
        <v/>
      </c>
      <c r="Q2763" t="str">
        <f t="shared" si="389"/>
        <v/>
      </c>
      <c r="S2763" t="str">
        <f>IF(A2763=1,MAX($S$2:$S2762)+1,IF(OR($I2763&lt;&gt;"",A2763="x"),$S2762,""))</f>
        <v/>
      </c>
      <c r="T2763" t="str">
        <f>IF(D2763=1,MAX($T$2:$T2762)+1,IF(S2763=S2762,$T2762,IF(D2763="x",T2762,IF(D2762="x","",""))))</f>
        <v/>
      </c>
      <c r="U2763" t="str">
        <f>IF(B2763=1,MAX($U$2:$U2762)+1,IF(AND($T2763&lt;&gt;"",$T2763=$T2762),$U2762,IF(B2763="x",U2762,"")))</f>
        <v/>
      </c>
      <c r="V2763" t="str">
        <f>IF(C2763=1,MAX($V$2:$V2762)+1,IF(AND($T2763&lt;&gt;"",$T2763=$T2762),$U2762,IF(C2763="x",V2762,"")))</f>
        <v/>
      </c>
      <c r="X2763" cm="1">
        <f t="array" ref="X2763">IF($I2763&lt;&gt;"",$I2763,INDEX($I$1:$I2763,ROW()-COUNTIFS($T$1:$T2763,"="&amp;$T2763,$S$1:$S2763,"&lt;"&amp;$S2763)))</f>
        <v>0</v>
      </c>
      <c r="Z2763" s="6">
        <f t="shared" si="390"/>
        <v>1</v>
      </c>
      <c r="AA2763" t="e">
        <f t="shared" si="391"/>
        <v>#VALUE!</v>
      </c>
      <c r="AB2763" t="str">
        <f t="shared" si="392"/>
        <v/>
      </c>
      <c r="AC2763" t="e">
        <f t="shared" si="393"/>
        <v>#VALUE!</v>
      </c>
    </row>
    <row r="2764" spans="1:29" x14ac:dyDescent="0.2">
      <c r="A2764" t="str">
        <f t="shared" si="386"/>
        <v/>
      </c>
      <c r="E2764" s="4"/>
      <c r="F2764" s="46"/>
      <c r="G2764" s="4"/>
      <c r="H2764" s="48"/>
      <c r="J2764" s="26" t="str">
        <f t="shared" si="387"/>
        <v/>
      </c>
      <c r="N2764" t="str">
        <f t="shared" si="388"/>
        <v/>
      </c>
      <c r="Q2764" t="str">
        <f t="shared" si="389"/>
        <v/>
      </c>
      <c r="S2764" t="str">
        <f>IF(A2764=1,MAX($S$2:$S2763)+1,IF(OR($I2764&lt;&gt;"",A2764="x"),$S2763,""))</f>
        <v/>
      </c>
      <c r="T2764" t="str">
        <f>IF(D2764=1,MAX($T$2:$T2763)+1,IF(S2764=S2763,$T2763,IF(D2764="x",T2763,IF(D2763="x","",""))))</f>
        <v/>
      </c>
      <c r="U2764" t="str">
        <f>IF(B2764=1,MAX($U$2:$U2763)+1,IF(AND($T2764&lt;&gt;"",$T2764=$T2763),$U2763,IF(B2764="x",U2763,"")))</f>
        <v/>
      </c>
      <c r="V2764" t="str">
        <f>IF(C2764=1,MAX($V$2:$V2763)+1,IF(AND($T2764&lt;&gt;"",$T2764=$T2763),$U2763,IF(C2764="x",V2763,"")))</f>
        <v/>
      </c>
      <c r="X2764" cm="1">
        <f t="array" ref="X2764">IF($I2764&lt;&gt;"",$I2764,INDEX($I$1:$I2764,ROW()-COUNTIFS($T$1:$T2764,"="&amp;$T2764,$S$1:$S2764,"&lt;"&amp;$S2764)))</f>
        <v>0</v>
      </c>
      <c r="Z2764" s="6">
        <f t="shared" si="390"/>
        <v>1</v>
      </c>
      <c r="AA2764" t="e">
        <f t="shared" si="391"/>
        <v>#VALUE!</v>
      </c>
      <c r="AB2764" t="str">
        <f t="shared" si="392"/>
        <v/>
      </c>
      <c r="AC2764" t="e">
        <f t="shared" si="393"/>
        <v>#VALUE!</v>
      </c>
    </row>
    <row r="2765" spans="1:29" x14ac:dyDescent="0.2">
      <c r="A2765" t="str">
        <f t="shared" si="386"/>
        <v/>
      </c>
      <c r="E2765" s="4"/>
      <c r="F2765" s="46"/>
      <c r="G2765" s="4"/>
      <c r="H2765" s="48"/>
      <c r="J2765" s="26" t="str">
        <f t="shared" si="387"/>
        <v/>
      </c>
      <c r="N2765" t="str">
        <f t="shared" si="388"/>
        <v/>
      </c>
      <c r="Q2765" t="str">
        <f t="shared" si="389"/>
        <v/>
      </c>
      <c r="S2765" t="str">
        <f>IF(A2765=1,MAX($S$2:$S2764)+1,IF(OR($I2765&lt;&gt;"",A2765="x"),$S2764,""))</f>
        <v/>
      </c>
      <c r="T2765" t="str">
        <f>IF(D2765=1,MAX($T$2:$T2764)+1,IF(S2765=S2764,$T2764,IF(D2765="x",T2764,IF(D2764="x","",""))))</f>
        <v/>
      </c>
      <c r="U2765" t="str">
        <f>IF(B2765=1,MAX($U$2:$U2764)+1,IF(AND($T2765&lt;&gt;"",$T2765=$T2764),$U2764,IF(B2765="x",U2764,"")))</f>
        <v/>
      </c>
      <c r="V2765" t="str">
        <f>IF(C2765=1,MAX($V$2:$V2764)+1,IF(AND($T2765&lt;&gt;"",$T2765=$T2764),$U2764,IF(C2765="x",V2764,"")))</f>
        <v/>
      </c>
      <c r="X2765" cm="1">
        <f t="array" ref="X2765">IF($I2765&lt;&gt;"",$I2765,INDEX($I$1:$I2765,ROW()-COUNTIFS($T$1:$T2765,"="&amp;$T2765,$S$1:$S2765,"&lt;"&amp;$S2765)))</f>
        <v>0</v>
      </c>
      <c r="Z2765" s="6">
        <f t="shared" si="390"/>
        <v>1</v>
      </c>
      <c r="AA2765" t="e">
        <f t="shared" si="391"/>
        <v>#VALUE!</v>
      </c>
      <c r="AB2765" t="str">
        <f t="shared" si="392"/>
        <v/>
      </c>
      <c r="AC2765" t="e">
        <f t="shared" si="393"/>
        <v>#VALUE!</v>
      </c>
    </row>
    <row r="2766" spans="1:29" x14ac:dyDescent="0.2">
      <c r="A2766" t="str">
        <f t="shared" si="386"/>
        <v/>
      </c>
      <c r="E2766" s="4"/>
      <c r="F2766" s="46"/>
      <c r="G2766" s="4"/>
      <c r="H2766" s="48"/>
      <c r="J2766" s="26" t="str">
        <f t="shared" si="387"/>
        <v/>
      </c>
      <c r="N2766" t="str">
        <f t="shared" si="388"/>
        <v/>
      </c>
      <c r="Q2766" t="str">
        <f t="shared" si="389"/>
        <v/>
      </c>
      <c r="S2766" t="str">
        <f>IF(A2766=1,MAX($S$2:$S2765)+1,IF(OR($I2766&lt;&gt;"",A2766="x"),$S2765,""))</f>
        <v/>
      </c>
      <c r="T2766" t="str">
        <f>IF(D2766=1,MAX($T$2:$T2765)+1,IF(S2766=S2765,$T2765,IF(D2766="x",T2765,IF(D2765="x","",""))))</f>
        <v/>
      </c>
      <c r="U2766" t="str">
        <f>IF(B2766=1,MAX($U$2:$U2765)+1,IF(AND($T2766&lt;&gt;"",$T2766=$T2765),$U2765,IF(B2766="x",U2765,"")))</f>
        <v/>
      </c>
      <c r="V2766" t="str">
        <f>IF(C2766=1,MAX($V$2:$V2765)+1,IF(AND($T2766&lt;&gt;"",$T2766=$T2765),$U2765,IF(C2766="x",V2765,"")))</f>
        <v/>
      </c>
      <c r="X2766" cm="1">
        <f t="array" ref="X2766">IF($I2766&lt;&gt;"",$I2766,INDEX($I$1:$I2766,ROW()-COUNTIFS($T$1:$T2766,"="&amp;$T2766,$S$1:$S2766,"&lt;"&amp;$S2766)))</f>
        <v>0</v>
      </c>
      <c r="Z2766" s="6">
        <f t="shared" si="390"/>
        <v>1</v>
      </c>
      <c r="AA2766" t="e">
        <f t="shared" si="391"/>
        <v>#VALUE!</v>
      </c>
      <c r="AB2766" t="str">
        <f t="shared" si="392"/>
        <v/>
      </c>
      <c r="AC2766" t="e">
        <f t="shared" si="393"/>
        <v>#VALUE!</v>
      </c>
    </row>
    <row r="2767" spans="1:29" x14ac:dyDescent="0.2">
      <c r="A2767" t="str">
        <f t="shared" si="386"/>
        <v/>
      </c>
      <c r="E2767" s="4"/>
      <c r="F2767" s="46"/>
      <c r="G2767" s="4"/>
      <c r="H2767" s="48"/>
      <c r="J2767" s="26" t="str">
        <f t="shared" si="387"/>
        <v/>
      </c>
      <c r="N2767" t="str">
        <f t="shared" si="388"/>
        <v/>
      </c>
      <c r="Q2767" t="str">
        <f t="shared" si="389"/>
        <v/>
      </c>
      <c r="S2767" t="str">
        <f>IF(A2767=1,MAX($S$2:$S2766)+1,IF(OR($I2767&lt;&gt;"",A2767="x"),$S2766,""))</f>
        <v/>
      </c>
      <c r="T2767" t="str">
        <f>IF(D2767=1,MAX($T$2:$T2766)+1,IF(S2767=S2766,$T2766,IF(D2767="x",T2766,IF(D2766="x","",""))))</f>
        <v/>
      </c>
      <c r="U2767" t="str">
        <f>IF(B2767=1,MAX($U$2:$U2766)+1,IF(AND($T2767&lt;&gt;"",$T2767=$T2766),$U2766,IF(B2767="x",U2766,"")))</f>
        <v/>
      </c>
      <c r="V2767" t="str">
        <f>IF(C2767=1,MAX($V$2:$V2766)+1,IF(AND($T2767&lt;&gt;"",$T2767=$T2766),$U2766,IF(C2767="x",V2766,"")))</f>
        <v/>
      </c>
      <c r="X2767" cm="1">
        <f t="array" ref="X2767">IF($I2767&lt;&gt;"",$I2767,INDEX($I$1:$I2767,ROW()-COUNTIFS($T$1:$T2767,"="&amp;$T2767,$S$1:$S2767,"&lt;"&amp;$S2767)))</f>
        <v>0</v>
      </c>
      <c r="Z2767" s="6">
        <f t="shared" si="390"/>
        <v>1</v>
      </c>
      <c r="AA2767" t="e">
        <f t="shared" si="391"/>
        <v>#VALUE!</v>
      </c>
      <c r="AB2767" t="str">
        <f t="shared" si="392"/>
        <v/>
      </c>
      <c r="AC2767" t="e">
        <f t="shared" si="393"/>
        <v>#VALUE!</v>
      </c>
    </row>
    <row r="2768" spans="1:29" x14ac:dyDescent="0.2">
      <c r="A2768" t="str">
        <f t="shared" si="386"/>
        <v/>
      </c>
      <c r="E2768" s="4"/>
      <c r="F2768" s="46"/>
      <c r="G2768" s="4"/>
      <c r="H2768" s="48"/>
      <c r="J2768" s="26" t="str">
        <f t="shared" si="387"/>
        <v/>
      </c>
      <c r="N2768" t="str">
        <f t="shared" si="388"/>
        <v/>
      </c>
      <c r="Q2768" t="str">
        <f t="shared" si="389"/>
        <v/>
      </c>
      <c r="S2768" t="str">
        <f>IF(A2768=1,MAX($S$2:$S2767)+1,IF(OR($I2768&lt;&gt;"",A2768="x"),$S2767,""))</f>
        <v/>
      </c>
      <c r="T2768" t="str">
        <f>IF(D2768=1,MAX($T$2:$T2767)+1,IF(S2768=S2767,$T2767,IF(D2768="x",T2767,IF(D2767="x","",""))))</f>
        <v/>
      </c>
      <c r="U2768" t="str">
        <f>IF(B2768=1,MAX($U$2:$U2767)+1,IF(AND($T2768&lt;&gt;"",$T2768=$T2767),$U2767,IF(B2768="x",U2767,"")))</f>
        <v/>
      </c>
      <c r="V2768" t="str">
        <f>IF(C2768=1,MAX($V$2:$V2767)+1,IF(AND($T2768&lt;&gt;"",$T2768=$T2767),$U2767,IF(C2768="x",V2767,"")))</f>
        <v/>
      </c>
      <c r="X2768" cm="1">
        <f t="array" ref="X2768">IF($I2768&lt;&gt;"",$I2768,INDEX($I$1:$I2768,ROW()-COUNTIFS($T$1:$T2768,"="&amp;$T2768,$S$1:$S2768,"&lt;"&amp;$S2768)))</f>
        <v>0</v>
      </c>
      <c r="Z2768" s="6">
        <f t="shared" si="390"/>
        <v>1</v>
      </c>
      <c r="AA2768" t="e">
        <f t="shared" si="391"/>
        <v>#VALUE!</v>
      </c>
      <c r="AB2768" t="str">
        <f t="shared" si="392"/>
        <v/>
      </c>
      <c r="AC2768" t="e">
        <f t="shared" si="393"/>
        <v>#VALUE!</v>
      </c>
    </row>
    <row r="2769" spans="1:29" x14ac:dyDescent="0.2">
      <c r="A2769" t="str">
        <f t="shared" si="386"/>
        <v/>
      </c>
      <c r="E2769" s="4"/>
      <c r="F2769" s="46"/>
      <c r="G2769" s="4"/>
      <c r="H2769" s="48"/>
      <c r="J2769" s="26" t="str">
        <f t="shared" si="387"/>
        <v/>
      </c>
      <c r="N2769" t="str">
        <f t="shared" si="388"/>
        <v/>
      </c>
      <c r="Q2769" t="str">
        <f t="shared" si="389"/>
        <v/>
      </c>
      <c r="S2769" t="str">
        <f>IF(A2769=1,MAX($S$2:$S2768)+1,IF(OR($I2769&lt;&gt;"",A2769="x"),$S2768,""))</f>
        <v/>
      </c>
      <c r="T2769" t="str">
        <f>IF(D2769=1,MAX($T$2:$T2768)+1,IF(S2769=S2768,$T2768,IF(D2769="x",T2768,IF(D2768="x","",""))))</f>
        <v/>
      </c>
      <c r="U2769" t="str">
        <f>IF(B2769=1,MAX($U$2:$U2768)+1,IF(AND($T2769&lt;&gt;"",$T2769=$T2768),$U2768,IF(B2769="x",U2768,"")))</f>
        <v/>
      </c>
      <c r="V2769" t="str">
        <f>IF(C2769=1,MAX($V$2:$V2768)+1,IF(AND($T2769&lt;&gt;"",$T2769=$T2768),$U2768,IF(C2769="x",V2768,"")))</f>
        <v/>
      </c>
      <c r="X2769" cm="1">
        <f t="array" ref="X2769">IF($I2769&lt;&gt;"",$I2769,INDEX($I$1:$I2769,ROW()-COUNTIFS($T$1:$T2769,"="&amp;$T2769,$S$1:$S2769,"&lt;"&amp;$S2769)))</f>
        <v>0</v>
      </c>
      <c r="Z2769" s="6">
        <f t="shared" si="390"/>
        <v>1</v>
      </c>
      <c r="AA2769" t="e">
        <f t="shared" si="391"/>
        <v>#VALUE!</v>
      </c>
      <c r="AB2769" t="str">
        <f t="shared" si="392"/>
        <v/>
      </c>
      <c r="AC2769" t="e">
        <f t="shared" si="393"/>
        <v>#VALUE!</v>
      </c>
    </row>
    <row r="2770" spans="1:29" x14ac:dyDescent="0.2">
      <c r="A2770" t="str">
        <f t="shared" si="386"/>
        <v/>
      </c>
      <c r="E2770" s="4"/>
      <c r="F2770" s="46"/>
      <c r="G2770" s="4"/>
      <c r="H2770" s="48"/>
      <c r="J2770" s="26" t="str">
        <f t="shared" si="387"/>
        <v/>
      </c>
      <c r="N2770" t="str">
        <f t="shared" si="388"/>
        <v/>
      </c>
      <c r="Q2770" t="str">
        <f t="shared" si="389"/>
        <v/>
      </c>
      <c r="S2770" t="str">
        <f>IF(A2770=1,MAX($S$2:$S2769)+1,IF(OR($I2770&lt;&gt;"",A2770="x"),$S2769,""))</f>
        <v/>
      </c>
      <c r="T2770" t="str">
        <f>IF(D2770=1,MAX($T$2:$T2769)+1,IF(S2770=S2769,$T2769,IF(D2770="x",T2769,IF(D2769="x","",""))))</f>
        <v/>
      </c>
      <c r="U2770" t="str">
        <f>IF(B2770=1,MAX($U$2:$U2769)+1,IF(AND($T2770&lt;&gt;"",$T2770=$T2769),$U2769,IF(B2770="x",U2769,"")))</f>
        <v/>
      </c>
      <c r="V2770" t="str">
        <f>IF(C2770=1,MAX($V$2:$V2769)+1,IF(AND($T2770&lt;&gt;"",$T2770=$T2769),$U2769,IF(C2770="x",V2769,"")))</f>
        <v/>
      </c>
      <c r="X2770" cm="1">
        <f t="array" ref="X2770">IF($I2770&lt;&gt;"",$I2770,INDEX($I$1:$I2770,ROW()-COUNTIFS($T$1:$T2770,"="&amp;$T2770,$S$1:$S2770,"&lt;"&amp;$S2770)))</f>
        <v>0</v>
      </c>
      <c r="Z2770" s="6">
        <f t="shared" si="390"/>
        <v>1</v>
      </c>
      <c r="AA2770" t="e">
        <f t="shared" si="391"/>
        <v>#VALUE!</v>
      </c>
      <c r="AB2770" t="str">
        <f t="shared" si="392"/>
        <v/>
      </c>
      <c r="AC2770" t="e">
        <f t="shared" si="393"/>
        <v>#VALUE!</v>
      </c>
    </row>
    <row r="2771" spans="1:29" x14ac:dyDescent="0.2">
      <c r="A2771" t="str">
        <f t="shared" ref="A2771:A2834" si="394">IF(K2771&lt;&gt;"",1,IF(D2771="x","x",""))</f>
        <v/>
      </c>
      <c r="E2771" s="4"/>
      <c r="F2771" s="46"/>
      <c r="G2771" s="4"/>
      <c r="H2771" s="48"/>
      <c r="J2771" s="26" t="str">
        <f t="shared" ref="J2771:J2834" si="395">IF(OR(K2771="Goal",K2771="Shot",L2771="Zone_Entry",M2771="Stoppage-Goal",M2770="Stoppage-Goal"),"o",IF(OR(K2771="Save",K2771="Rebound",L2771="Zone_Exit",M2771="Stoppage-GoalieStoppage",M2770="Stoppage-GoalieStoppage"),"d",IF(OR(L2771="Faceoff_AfterGoal",L2771="Faceoff_PeriodStart",698="Faceoff_GameStart",M2770="Stoppage-Goal"),"n","")))</f>
        <v/>
      </c>
      <c r="N2771" t="str">
        <f t="shared" ref="N2771:N2834" si="396">IF(K2771="","",IF(K2771="Goal","s",IF(AND(K2771="Zone_Entry_Exit",OR(ISNUMBER(SEARCH("fail",L2771)),ISNUMBER(SEARCH("FromExitClear",M2771)),ISNUMBER(SEARCH("miss",M2771)))),"u",IF(AND(K2771="Zone_Entry_Exit",OR(NOT(ISNUMBER(SEARCH("fail",L2771))),NOT(ISNUMBER(SEARCH("FromExitClear",M2771))),NOT(ISNUMBER(SEARCH("miss",M2771))))),"s",IF(AND(OR(K2771="Shot",K2771="Pass"),OR(ISNUMBER(SEARCH("complete",L2771)),ISNUMBER(SEARCH("goal",L2771)),ISNUMBER(SEARCH("OnNet",L2771)))),"s",IF(L2771="Turnover_Giveaway","u",IF(AND(OR(K2771="Shot",K2771="Pass"),OR(ISNUMBER(SEARCH("fail",L2771)),NOT(ISNUMBER(SEARCH("complete",L2771))),NOT(ISNUMBER(SEARCH("OnNet",L2771))))),"u","")))))))</f>
        <v/>
      </c>
      <c r="Q2771" t="str">
        <f t="shared" ref="Q2771:Q2834" si="397">IF(O2771="","",IF(AND(N2771&lt;&gt;"",OR(O2771&lt;&gt;"",P2771&lt;&gt;"")),N2771,IF(OR(ISNUMBER(SEARCH("attemp",O2771)),ISNUMBER(SEARCH("beat",O2771)),ISNUMBER(SEARCH("mis",O2771)),ISNUMBER(SEARCH("fail",O2771)),ISNUMBER(SEARCH("loss",O2771)),ISNUMBER(SEARCH("lost",O2771)),ISNUMBER(SEARCH("attemp",P2771)),ISNUMBER(SEARCH("mis",P2771)),ISNUMBER(SEARCH("fail",P2771)),ISNUMBER(SEARCH("loss",P2771)),ISNUMBER(SEARCH("beat",P2771)),ISNUMBER(SEARCH("lost",P2771))),"u","")))</f>
        <v/>
      </c>
      <c r="S2771" t="str">
        <f>IF(A2771=1,MAX($S$2:$S2770)+1,IF(OR($I2771&lt;&gt;"",A2771="x"),$S2770,""))</f>
        <v/>
      </c>
      <c r="T2771" t="str">
        <f>IF(D2771=1,MAX($T$2:$T2770)+1,IF(S2771=S2770,$T2770,IF(D2771="x",T2770,IF(D2770="x","",""))))</f>
        <v/>
      </c>
      <c r="U2771" t="str">
        <f>IF(B2771=1,MAX($U$2:$U2770)+1,IF(AND($T2771&lt;&gt;"",$T2771=$T2770),$U2770,IF(B2771="x",U2770,"")))</f>
        <v/>
      </c>
      <c r="V2771" t="str">
        <f>IF(C2771=1,MAX($V$2:$V2770)+1,IF(AND($T2771&lt;&gt;"",$T2771=$T2770),$U2770,IF(C2771="x",V2770,"")))</f>
        <v/>
      </c>
      <c r="X2771" cm="1">
        <f t="array" ref="X2771">IF($I2771&lt;&gt;"",$I2771,INDEX($I$1:$I2771,ROW()-COUNTIFS($T$1:$T2771,"="&amp;$T2771,$S$1:$S2771,"&lt;"&amp;$S2771)))</f>
        <v>0</v>
      </c>
      <c r="Z2771" s="6">
        <f t="shared" si="390"/>
        <v>1</v>
      </c>
      <c r="AA2771" t="e">
        <f t="shared" si="391"/>
        <v>#VALUE!</v>
      </c>
      <c r="AB2771" t="str">
        <f t="shared" si="392"/>
        <v/>
      </c>
      <c r="AC2771" t="e">
        <f t="shared" si="393"/>
        <v>#VALUE!</v>
      </c>
    </row>
    <row r="2772" spans="1:29" x14ac:dyDescent="0.2">
      <c r="A2772" t="str">
        <f t="shared" si="394"/>
        <v/>
      </c>
      <c r="E2772" s="4"/>
      <c r="F2772" s="46"/>
      <c r="G2772" s="4"/>
      <c r="H2772" s="48"/>
      <c r="J2772" s="26" t="str">
        <f t="shared" si="395"/>
        <v/>
      </c>
      <c r="N2772" t="str">
        <f t="shared" si="396"/>
        <v/>
      </c>
      <c r="Q2772" t="str">
        <f t="shared" si="397"/>
        <v/>
      </c>
      <c r="S2772" t="str">
        <f>IF(A2772=1,MAX($S$2:$S2771)+1,IF(OR($I2772&lt;&gt;"",A2772="x"),$S2771,""))</f>
        <v/>
      </c>
      <c r="T2772" t="str">
        <f>IF(D2772=1,MAX($T$2:$T2771)+1,IF(S2772=S2771,$T2771,IF(D2772="x",T2771,IF(D2771="x","",""))))</f>
        <v/>
      </c>
      <c r="U2772" t="str">
        <f>IF(B2772=1,MAX($U$2:$U2771)+1,IF(AND($T2772&lt;&gt;"",$T2772=$T2771),$U2771,IF(B2772="x",U2771,"")))</f>
        <v/>
      </c>
      <c r="V2772" t="str">
        <f>IF(C2772=1,MAX($V$2:$V2771)+1,IF(AND($T2772&lt;&gt;"",$T2772=$T2771),$U2771,IF(C2772="x",V2771,"")))</f>
        <v/>
      </c>
      <c r="X2772" cm="1">
        <f t="array" ref="X2772">IF($I2772&lt;&gt;"",$I2772,INDEX($I$1:$I2772,ROW()-COUNTIFS($T$1:$T2772,"="&amp;$T2772,$S$1:$S2772,"&lt;"&amp;$S2772)))</f>
        <v>0</v>
      </c>
      <c r="Z2772" s="6">
        <f t="shared" si="390"/>
        <v>1</v>
      </c>
      <c r="AA2772" t="e">
        <f t="shared" si="391"/>
        <v>#VALUE!</v>
      </c>
      <c r="AB2772" t="str">
        <f t="shared" si="392"/>
        <v/>
      </c>
      <c r="AC2772" t="e">
        <f t="shared" si="393"/>
        <v>#VALUE!</v>
      </c>
    </row>
    <row r="2773" spans="1:29" x14ac:dyDescent="0.2">
      <c r="A2773" t="str">
        <f t="shared" si="394"/>
        <v/>
      </c>
      <c r="E2773" s="4"/>
      <c r="F2773" s="46"/>
      <c r="G2773" s="4"/>
      <c r="H2773" s="48"/>
      <c r="J2773" s="26" t="str">
        <f t="shared" si="395"/>
        <v/>
      </c>
      <c r="N2773" t="str">
        <f t="shared" si="396"/>
        <v/>
      </c>
      <c r="Q2773" t="str">
        <f t="shared" si="397"/>
        <v/>
      </c>
      <c r="S2773" t="str">
        <f>IF(A2773=1,MAX($S$2:$S2772)+1,IF(OR($I2773&lt;&gt;"",A2773="x"),$S2772,""))</f>
        <v/>
      </c>
      <c r="T2773" t="str">
        <f>IF(D2773=1,MAX($T$2:$T2772)+1,IF(S2773=S2772,$T2772,IF(D2773="x",T2772,IF(D2772="x","",""))))</f>
        <v/>
      </c>
      <c r="U2773" t="str">
        <f>IF(B2773=1,MAX($U$2:$U2772)+1,IF(AND($T2773&lt;&gt;"",$T2773=$T2772),$U2772,IF(B2773="x",U2772,"")))</f>
        <v/>
      </c>
      <c r="V2773" t="str">
        <f>IF(C2773=1,MAX($V$2:$V2772)+1,IF(AND($T2773&lt;&gt;"",$T2773=$T2772),$U2772,IF(C2773="x",V2772,"")))</f>
        <v/>
      </c>
      <c r="X2773" cm="1">
        <f t="array" ref="X2773">IF($I2773&lt;&gt;"",$I2773,INDEX($I$1:$I2773,ROW()-COUNTIFS($T$1:$T2773,"="&amp;$T2773,$S$1:$S2773,"&lt;"&amp;$S2773)))</f>
        <v>0</v>
      </c>
      <c r="Z2773" s="6">
        <f t="shared" si="390"/>
        <v>1</v>
      </c>
      <c r="AA2773" t="e">
        <f t="shared" si="391"/>
        <v>#VALUE!</v>
      </c>
      <c r="AB2773" t="str">
        <f t="shared" si="392"/>
        <v/>
      </c>
      <c r="AC2773" t="e">
        <f t="shared" si="393"/>
        <v>#VALUE!</v>
      </c>
    </row>
    <row r="2774" spans="1:29" x14ac:dyDescent="0.2">
      <c r="A2774" t="str">
        <f t="shared" si="394"/>
        <v/>
      </c>
      <c r="E2774" s="4"/>
      <c r="F2774" s="46"/>
      <c r="G2774" s="4"/>
      <c r="H2774" s="48"/>
      <c r="J2774" s="26" t="str">
        <f t="shared" si="395"/>
        <v/>
      </c>
      <c r="N2774" t="str">
        <f t="shared" si="396"/>
        <v/>
      </c>
      <c r="Q2774" t="str">
        <f t="shared" si="397"/>
        <v/>
      </c>
      <c r="S2774" t="str">
        <f>IF(A2774=1,MAX($S$2:$S2773)+1,IF(OR($I2774&lt;&gt;"",A2774="x"),$S2773,""))</f>
        <v/>
      </c>
      <c r="T2774" t="str">
        <f>IF(D2774=1,MAX($T$2:$T2773)+1,IF(S2774=S2773,$T2773,IF(D2774="x",T2773,IF(D2773="x","",""))))</f>
        <v/>
      </c>
      <c r="U2774" t="str">
        <f>IF(B2774=1,MAX($U$2:$U2773)+1,IF(AND($T2774&lt;&gt;"",$T2774=$T2773),$U2773,IF(B2774="x",U2773,"")))</f>
        <v/>
      </c>
      <c r="V2774" t="str">
        <f>IF(C2774=1,MAX($V$2:$V2773)+1,IF(AND($T2774&lt;&gt;"",$T2774=$T2773),$U2773,IF(C2774="x",V2773,"")))</f>
        <v/>
      </c>
      <c r="X2774" cm="1">
        <f t="array" ref="X2774">IF($I2774&lt;&gt;"",$I2774,INDEX($I$1:$I2774,ROW()-COUNTIFS($T$1:$T2774,"="&amp;$T2774,$S$1:$S2774,"&lt;"&amp;$S2774)))</f>
        <v>0</v>
      </c>
      <c r="Z2774" s="6">
        <f t="shared" si="390"/>
        <v>1</v>
      </c>
      <c r="AA2774" t="e">
        <f t="shared" si="391"/>
        <v>#VALUE!</v>
      </c>
      <c r="AB2774" t="str">
        <f t="shared" si="392"/>
        <v/>
      </c>
      <c r="AC2774" t="e">
        <f t="shared" si="393"/>
        <v>#VALUE!</v>
      </c>
    </row>
    <row r="2775" spans="1:29" x14ac:dyDescent="0.2">
      <c r="A2775" t="str">
        <f t="shared" si="394"/>
        <v/>
      </c>
      <c r="E2775" s="4"/>
      <c r="F2775" s="46"/>
      <c r="G2775" s="4"/>
      <c r="H2775" s="48"/>
      <c r="J2775" s="26" t="str">
        <f t="shared" si="395"/>
        <v/>
      </c>
      <c r="N2775" t="str">
        <f t="shared" si="396"/>
        <v/>
      </c>
      <c r="Q2775" t="str">
        <f t="shared" si="397"/>
        <v/>
      </c>
      <c r="S2775" t="str">
        <f>IF(A2775=1,MAX($S$2:$S2774)+1,IF(OR($I2775&lt;&gt;"",A2775="x"),$S2774,""))</f>
        <v/>
      </c>
      <c r="T2775" t="str">
        <f>IF(D2775=1,MAX($T$2:$T2774)+1,IF(S2775=S2774,$T2774,IF(D2775="x",T2774,IF(D2774="x","",""))))</f>
        <v/>
      </c>
      <c r="U2775" t="str">
        <f>IF(B2775=1,MAX($U$2:$U2774)+1,IF(AND($T2775&lt;&gt;"",$T2775=$T2774),$U2774,IF(B2775="x",U2774,"")))</f>
        <v/>
      </c>
      <c r="V2775" t="str">
        <f>IF(C2775=1,MAX($V$2:$V2774)+1,IF(AND($T2775&lt;&gt;"",$T2775=$T2774),$U2774,IF(C2775="x",V2774,"")))</f>
        <v/>
      </c>
      <c r="X2775" cm="1">
        <f t="array" ref="X2775">IF($I2775&lt;&gt;"",$I2775,INDEX($I$1:$I2775,ROW()-COUNTIFS($T$1:$T2775,"="&amp;$T2775,$S$1:$S2775,"&lt;"&amp;$S2775)))</f>
        <v>0</v>
      </c>
      <c r="Z2775" s="6">
        <f t="shared" si="390"/>
        <v>1</v>
      </c>
      <c r="AA2775" t="e">
        <f t="shared" si="391"/>
        <v>#VALUE!</v>
      </c>
      <c r="AB2775" t="str">
        <f t="shared" si="392"/>
        <v/>
      </c>
      <c r="AC2775" t="e">
        <f t="shared" si="393"/>
        <v>#VALUE!</v>
      </c>
    </row>
    <row r="2776" spans="1:29" x14ac:dyDescent="0.2">
      <c r="A2776" t="str">
        <f t="shared" si="394"/>
        <v/>
      </c>
      <c r="E2776" s="4"/>
      <c r="F2776" s="46"/>
      <c r="G2776" s="4"/>
      <c r="H2776" s="48"/>
      <c r="J2776" s="26" t="str">
        <f t="shared" si="395"/>
        <v/>
      </c>
      <c r="N2776" t="str">
        <f t="shared" si="396"/>
        <v/>
      </c>
      <c r="Q2776" t="str">
        <f t="shared" si="397"/>
        <v/>
      </c>
      <c r="S2776" t="str">
        <f>IF(A2776=1,MAX($S$2:$S2775)+1,IF(OR($I2776&lt;&gt;"",A2776="x"),$S2775,""))</f>
        <v/>
      </c>
      <c r="T2776" t="str">
        <f>IF(D2776=1,MAX($T$2:$T2775)+1,IF(S2776=S2775,$T2775,IF(D2776="x",T2775,IF(D2775="x","",""))))</f>
        <v/>
      </c>
      <c r="U2776" t="str">
        <f>IF(B2776=1,MAX($U$2:$U2775)+1,IF(AND($T2776&lt;&gt;"",$T2776=$T2775),$U2775,IF(B2776="x",U2775,"")))</f>
        <v/>
      </c>
      <c r="V2776" t="str">
        <f>IF(C2776=1,MAX($V$2:$V2775)+1,IF(AND($T2776&lt;&gt;"",$T2776=$T2775),$U2775,IF(C2776="x",V2775,"")))</f>
        <v/>
      </c>
      <c r="X2776" cm="1">
        <f t="array" ref="X2776">IF($I2776&lt;&gt;"",$I2776,INDEX($I$1:$I2776,ROW()-COUNTIFS($T$1:$T2776,"="&amp;$T2776,$S$1:$S2776,"&lt;"&amp;$S2776)))</f>
        <v>0</v>
      </c>
      <c r="Z2776" s="6">
        <f t="shared" si="390"/>
        <v>1</v>
      </c>
      <c r="AA2776" t="e">
        <f t="shared" si="391"/>
        <v>#VALUE!</v>
      </c>
      <c r="AB2776" t="str">
        <f t="shared" si="392"/>
        <v/>
      </c>
      <c r="AC2776" t="e">
        <f t="shared" si="393"/>
        <v>#VALUE!</v>
      </c>
    </row>
    <row r="2777" spans="1:29" x14ac:dyDescent="0.2">
      <c r="A2777" t="str">
        <f t="shared" si="394"/>
        <v/>
      </c>
      <c r="E2777" s="4"/>
      <c r="F2777" s="46"/>
      <c r="G2777" s="4"/>
      <c r="H2777" s="48"/>
      <c r="J2777" s="26" t="str">
        <f t="shared" si="395"/>
        <v/>
      </c>
      <c r="N2777" t="str">
        <f t="shared" si="396"/>
        <v/>
      </c>
      <c r="Q2777" t="str">
        <f t="shared" si="397"/>
        <v/>
      </c>
      <c r="S2777" t="str">
        <f>IF(A2777=1,MAX($S$2:$S2776)+1,IF(OR($I2777&lt;&gt;"",A2777="x"),$S2776,""))</f>
        <v/>
      </c>
      <c r="T2777" t="str">
        <f>IF(D2777=1,MAX($T$2:$T2776)+1,IF(S2777=S2776,$T2776,IF(D2777="x",T2776,IF(D2776="x","",""))))</f>
        <v/>
      </c>
      <c r="U2777" t="str">
        <f>IF(B2777=1,MAX($U$2:$U2776)+1,IF(AND($T2777&lt;&gt;"",$T2777=$T2776),$U2776,IF(B2777="x",U2776,"")))</f>
        <v/>
      </c>
      <c r="V2777" t="str">
        <f>IF(C2777=1,MAX($V$2:$V2776)+1,IF(AND($T2777&lt;&gt;"",$T2777=$T2776),$U2776,IF(C2777="x",V2776,"")))</f>
        <v/>
      </c>
      <c r="X2777" cm="1">
        <f t="array" ref="X2777">IF($I2777&lt;&gt;"",$I2777,INDEX($I$1:$I2777,ROW()-COUNTIFS($T$1:$T2777,"="&amp;$T2777,$S$1:$S2777,"&lt;"&amp;$S2777)))</f>
        <v>0</v>
      </c>
      <c r="Z2777" s="6">
        <f t="shared" si="390"/>
        <v>1</v>
      </c>
      <c r="AA2777" t="e">
        <f t="shared" si="391"/>
        <v>#VALUE!</v>
      </c>
      <c r="AB2777" t="str">
        <f t="shared" si="392"/>
        <v/>
      </c>
      <c r="AC2777" t="e">
        <f t="shared" si="393"/>
        <v>#VALUE!</v>
      </c>
    </row>
    <row r="2778" spans="1:29" x14ac:dyDescent="0.2">
      <c r="A2778" t="str">
        <f t="shared" si="394"/>
        <v/>
      </c>
      <c r="E2778" s="4"/>
      <c r="F2778" s="46"/>
      <c r="G2778" s="4"/>
      <c r="H2778" s="48"/>
      <c r="J2778" s="26" t="str">
        <f t="shared" si="395"/>
        <v/>
      </c>
      <c r="N2778" t="str">
        <f t="shared" si="396"/>
        <v/>
      </c>
      <c r="Q2778" t="str">
        <f t="shared" si="397"/>
        <v/>
      </c>
      <c r="S2778" t="str">
        <f>IF(A2778=1,MAX($S$2:$S2777)+1,IF(OR($I2778&lt;&gt;"",A2778="x"),$S2777,""))</f>
        <v/>
      </c>
      <c r="T2778" t="str">
        <f>IF(D2778=1,MAX($T$2:$T2777)+1,IF(S2778=S2777,$T2777,IF(D2778="x",T2777,IF(D2777="x","",""))))</f>
        <v/>
      </c>
      <c r="U2778" t="str">
        <f>IF(B2778=1,MAX($U$2:$U2777)+1,IF(AND($T2778&lt;&gt;"",$T2778=$T2777),$U2777,IF(B2778="x",U2777,"")))</f>
        <v/>
      </c>
      <c r="V2778" t="str">
        <f>IF(C2778=1,MAX($V$2:$V2777)+1,IF(AND($T2778&lt;&gt;"",$T2778=$T2777),$U2777,IF(C2778="x",V2777,"")))</f>
        <v/>
      </c>
      <c r="X2778" cm="1">
        <f t="array" ref="X2778">IF($I2778&lt;&gt;"",$I2778,INDEX($I$1:$I2778,ROW()-COUNTIFS($T$1:$T2778,"="&amp;$T2778,$S$1:$S2778,"&lt;"&amp;$S2778)))</f>
        <v>0</v>
      </c>
      <c r="Z2778" s="6">
        <f t="shared" si="390"/>
        <v>1</v>
      </c>
      <c r="AA2778" t="e">
        <f t="shared" si="391"/>
        <v>#VALUE!</v>
      </c>
      <c r="AB2778" t="str">
        <f t="shared" si="392"/>
        <v/>
      </c>
      <c r="AC2778" t="e">
        <f t="shared" si="393"/>
        <v>#VALUE!</v>
      </c>
    </row>
    <row r="2779" spans="1:29" x14ac:dyDescent="0.2">
      <c r="A2779" t="str">
        <f t="shared" si="394"/>
        <v/>
      </c>
      <c r="E2779" s="4"/>
      <c r="F2779" s="46"/>
      <c r="G2779" s="4"/>
      <c r="H2779" s="48"/>
      <c r="J2779" s="26" t="str">
        <f t="shared" si="395"/>
        <v/>
      </c>
      <c r="N2779" t="str">
        <f t="shared" si="396"/>
        <v/>
      </c>
      <c r="Q2779" t="str">
        <f t="shared" si="397"/>
        <v/>
      </c>
      <c r="S2779" t="str">
        <f>IF(A2779=1,MAX($S$2:$S2778)+1,IF(OR($I2779&lt;&gt;"",A2779="x"),$S2778,""))</f>
        <v/>
      </c>
      <c r="T2779" t="str">
        <f>IF(D2779=1,MAX($T$2:$T2778)+1,IF(S2779=S2778,$T2778,IF(D2779="x",T2778,IF(D2778="x","",""))))</f>
        <v/>
      </c>
      <c r="U2779" t="str">
        <f>IF(B2779=1,MAX($U$2:$U2778)+1,IF(AND($T2779&lt;&gt;"",$T2779=$T2778),$U2778,IF(B2779="x",U2778,"")))</f>
        <v/>
      </c>
      <c r="V2779" t="str">
        <f>IF(C2779=1,MAX($V$2:$V2778)+1,IF(AND($T2779&lt;&gt;"",$T2779=$T2778),$U2778,IF(C2779="x",V2778,"")))</f>
        <v/>
      </c>
      <c r="X2779" cm="1">
        <f t="array" ref="X2779">IF($I2779&lt;&gt;"",$I2779,INDEX($I$1:$I2779,ROW()-COUNTIFS($T$1:$T2779,"="&amp;$T2779,$S$1:$S2779,"&lt;"&amp;$S2779)))</f>
        <v>0</v>
      </c>
      <c r="Z2779" s="6">
        <f t="shared" si="390"/>
        <v>1</v>
      </c>
      <c r="AA2779" t="e">
        <f t="shared" si="391"/>
        <v>#VALUE!</v>
      </c>
      <c r="AB2779" t="str">
        <f t="shared" si="392"/>
        <v/>
      </c>
      <c r="AC2779" t="e">
        <f t="shared" si="393"/>
        <v>#VALUE!</v>
      </c>
    </row>
    <row r="2780" spans="1:29" x14ac:dyDescent="0.2">
      <c r="A2780" t="str">
        <f t="shared" si="394"/>
        <v/>
      </c>
      <c r="E2780" s="4"/>
      <c r="F2780" s="46"/>
      <c r="G2780" s="4"/>
      <c r="H2780" s="48"/>
      <c r="J2780" s="26" t="str">
        <f t="shared" si="395"/>
        <v/>
      </c>
      <c r="N2780" t="str">
        <f t="shared" si="396"/>
        <v/>
      </c>
      <c r="Q2780" t="str">
        <f t="shared" si="397"/>
        <v/>
      </c>
      <c r="S2780" t="str">
        <f>IF(A2780=1,MAX($S$2:$S2779)+1,IF(OR($I2780&lt;&gt;"",A2780="x"),$S2779,""))</f>
        <v/>
      </c>
      <c r="T2780" t="str">
        <f>IF(D2780=1,MAX($T$2:$T2779)+1,IF(S2780=S2779,$T2779,IF(D2780="x",T2779,IF(D2779="x","",""))))</f>
        <v/>
      </c>
      <c r="U2780" t="str">
        <f>IF(B2780=1,MAX($U$2:$U2779)+1,IF(AND($T2780&lt;&gt;"",$T2780=$T2779),$U2779,IF(B2780="x",U2779,"")))</f>
        <v/>
      </c>
      <c r="V2780" t="str">
        <f>IF(C2780=1,MAX($V$2:$V2779)+1,IF(AND($T2780&lt;&gt;"",$T2780=$T2779),$U2779,IF(C2780="x",V2779,"")))</f>
        <v/>
      </c>
      <c r="X2780" cm="1">
        <f t="array" ref="X2780">IF($I2780&lt;&gt;"",$I2780,INDEX($I$1:$I2780,ROW()-COUNTIFS($T$1:$T2780,"="&amp;$T2780,$S$1:$S2780,"&lt;"&amp;$S2780)))</f>
        <v>0</v>
      </c>
      <c r="Z2780" s="6">
        <f t="shared" si="390"/>
        <v>1</v>
      </c>
      <c r="AA2780" t="e">
        <f t="shared" si="391"/>
        <v>#VALUE!</v>
      </c>
      <c r="AB2780" t="str">
        <f t="shared" si="392"/>
        <v/>
      </c>
      <c r="AC2780" t="e">
        <f t="shared" si="393"/>
        <v>#VALUE!</v>
      </c>
    </row>
    <row r="2781" spans="1:29" x14ac:dyDescent="0.2">
      <c r="A2781" t="str">
        <f t="shared" si="394"/>
        <v/>
      </c>
      <c r="E2781" s="4"/>
      <c r="F2781" s="46"/>
      <c r="G2781" s="4"/>
      <c r="H2781" s="48"/>
      <c r="J2781" s="26" t="str">
        <f t="shared" si="395"/>
        <v/>
      </c>
      <c r="N2781" t="str">
        <f t="shared" si="396"/>
        <v/>
      </c>
      <c r="Q2781" t="str">
        <f t="shared" si="397"/>
        <v/>
      </c>
      <c r="S2781" t="str">
        <f>IF(A2781=1,MAX($S$2:$S2780)+1,IF(OR($I2781&lt;&gt;"",A2781="x"),$S2780,""))</f>
        <v/>
      </c>
      <c r="T2781" t="str">
        <f>IF(D2781=1,MAX($T$2:$T2780)+1,IF(S2781=S2780,$T2780,IF(D2781="x",T2780,IF(D2780="x","",""))))</f>
        <v/>
      </c>
      <c r="U2781" t="str">
        <f>IF(B2781=1,MAX($U$2:$U2780)+1,IF(AND($T2781&lt;&gt;"",$T2781=$T2780),$U2780,IF(B2781="x",U2780,"")))</f>
        <v/>
      </c>
      <c r="V2781" t="str">
        <f>IF(C2781=1,MAX($V$2:$V2780)+1,IF(AND($T2781&lt;&gt;"",$T2781=$T2780),$U2780,IF(C2781="x",V2780,"")))</f>
        <v/>
      </c>
      <c r="X2781" cm="1">
        <f t="array" ref="X2781">IF($I2781&lt;&gt;"",$I2781,INDEX($I$1:$I2781,ROW()-COUNTIFS($T$1:$T2781,"="&amp;$T2781,$S$1:$S2781,"&lt;"&amp;$S2781)))</f>
        <v>0</v>
      </c>
      <c r="Z2781" s="6">
        <f t="shared" si="390"/>
        <v>1</v>
      </c>
      <c r="AA2781" t="e">
        <f t="shared" si="391"/>
        <v>#VALUE!</v>
      </c>
      <c r="AB2781" t="str">
        <f t="shared" si="392"/>
        <v/>
      </c>
      <c r="AC2781" t="e">
        <f t="shared" si="393"/>
        <v>#VALUE!</v>
      </c>
    </row>
    <row r="2782" spans="1:29" x14ac:dyDescent="0.2">
      <c r="A2782" t="str">
        <f t="shared" si="394"/>
        <v/>
      </c>
      <c r="E2782" s="4"/>
      <c r="F2782" s="46"/>
      <c r="G2782" s="4"/>
      <c r="H2782" s="48"/>
      <c r="J2782" s="26" t="str">
        <f t="shared" si="395"/>
        <v/>
      </c>
      <c r="N2782" t="str">
        <f t="shared" si="396"/>
        <v/>
      </c>
      <c r="Q2782" t="str">
        <f t="shared" si="397"/>
        <v/>
      </c>
      <c r="S2782" t="str">
        <f>IF(A2782=1,MAX($S$2:$S2781)+1,IF(OR($I2782&lt;&gt;"",A2782="x"),$S2781,""))</f>
        <v/>
      </c>
      <c r="T2782" t="str">
        <f>IF(D2782=1,MAX($T$2:$T2781)+1,IF(S2782=S2781,$T2781,IF(D2782="x",T2781,IF(D2781="x","",""))))</f>
        <v/>
      </c>
      <c r="U2782" t="str">
        <f>IF(B2782=1,MAX($U$2:$U2781)+1,IF(AND($T2782&lt;&gt;"",$T2782=$T2781),$U2781,IF(B2782="x",U2781,"")))</f>
        <v/>
      </c>
      <c r="V2782" t="str">
        <f>IF(C2782=1,MAX($V$2:$V2781)+1,IF(AND($T2782&lt;&gt;"",$T2782=$T2781),$U2781,IF(C2782="x",V2781,"")))</f>
        <v/>
      </c>
      <c r="X2782" cm="1">
        <f t="array" ref="X2782">IF($I2782&lt;&gt;"",$I2782,INDEX($I$1:$I2782,ROW()-COUNTIFS($T$1:$T2782,"="&amp;$T2782,$S$1:$S2782,"&lt;"&amp;$S2782)))</f>
        <v>0</v>
      </c>
      <c r="Z2782" s="6">
        <f t="shared" si="390"/>
        <v>1</v>
      </c>
      <c r="AA2782" t="e">
        <f t="shared" si="391"/>
        <v>#VALUE!</v>
      </c>
      <c r="AB2782" t="str">
        <f t="shared" si="392"/>
        <v/>
      </c>
      <c r="AC2782" t="e">
        <f t="shared" si="393"/>
        <v>#VALUE!</v>
      </c>
    </row>
    <row r="2783" spans="1:29" x14ac:dyDescent="0.2">
      <c r="A2783" t="str">
        <f t="shared" si="394"/>
        <v/>
      </c>
      <c r="E2783" s="4"/>
      <c r="F2783" s="46"/>
      <c r="G2783" s="4"/>
      <c r="H2783" s="48"/>
      <c r="J2783" s="26" t="str">
        <f t="shared" si="395"/>
        <v/>
      </c>
      <c r="N2783" t="str">
        <f t="shared" si="396"/>
        <v/>
      </c>
      <c r="Q2783" t="str">
        <f t="shared" si="397"/>
        <v/>
      </c>
      <c r="S2783" t="str">
        <f>IF(A2783=1,MAX($S$2:$S2782)+1,IF(OR($I2783&lt;&gt;"",A2783="x"),$S2782,""))</f>
        <v/>
      </c>
      <c r="T2783" t="str">
        <f>IF(D2783=1,MAX($T$2:$T2782)+1,IF(S2783=S2782,$T2782,IF(D2783="x",T2782,IF(D2782="x","",""))))</f>
        <v/>
      </c>
      <c r="U2783" t="str">
        <f>IF(B2783=1,MAX($U$2:$U2782)+1,IF(AND($T2783&lt;&gt;"",$T2783=$T2782),$U2782,IF(B2783="x",U2782,"")))</f>
        <v/>
      </c>
      <c r="V2783" t="str">
        <f>IF(C2783=1,MAX($V$2:$V2782)+1,IF(AND($T2783&lt;&gt;"",$T2783=$T2782),$U2782,IF(C2783="x",V2782,"")))</f>
        <v/>
      </c>
      <c r="X2783" cm="1">
        <f t="array" ref="X2783">IF($I2783&lt;&gt;"",$I2783,INDEX($I$1:$I2783,ROW()-COUNTIFS($T$1:$T2783,"="&amp;$T2783,$S$1:$S2783,"&lt;"&amp;$S2783)))</f>
        <v>0</v>
      </c>
      <c r="Z2783" s="6">
        <f t="shared" si="390"/>
        <v>1</v>
      </c>
      <c r="AA2783" t="e">
        <f t="shared" si="391"/>
        <v>#VALUE!</v>
      </c>
      <c r="AB2783" t="str">
        <f t="shared" si="392"/>
        <v/>
      </c>
      <c r="AC2783" t="e">
        <f t="shared" si="393"/>
        <v>#VALUE!</v>
      </c>
    </row>
    <row r="2784" spans="1:29" x14ac:dyDescent="0.2">
      <c r="A2784" t="str">
        <f t="shared" si="394"/>
        <v/>
      </c>
      <c r="E2784" s="4"/>
      <c r="F2784" s="46"/>
      <c r="G2784" s="4"/>
      <c r="H2784" s="48"/>
      <c r="J2784" s="26" t="str">
        <f t="shared" si="395"/>
        <v/>
      </c>
      <c r="N2784" t="str">
        <f t="shared" si="396"/>
        <v/>
      </c>
      <c r="Q2784" t="str">
        <f t="shared" si="397"/>
        <v/>
      </c>
      <c r="S2784" t="str">
        <f>IF(A2784=1,MAX($S$2:$S2783)+1,IF(OR($I2784&lt;&gt;"",A2784="x"),$S2783,""))</f>
        <v/>
      </c>
      <c r="T2784" t="str">
        <f>IF(D2784=1,MAX($T$2:$T2783)+1,IF(S2784=S2783,$T2783,IF(D2784="x",T2783,IF(D2783="x","",""))))</f>
        <v/>
      </c>
      <c r="U2784" t="str">
        <f>IF(B2784=1,MAX($U$2:$U2783)+1,IF(AND($T2784&lt;&gt;"",$T2784=$T2783),$U2783,IF(B2784="x",U2783,"")))</f>
        <v/>
      </c>
      <c r="V2784" t="str">
        <f>IF(C2784=1,MAX($V$2:$V2783)+1,IF(AND($T2784&lt;&gt;"",$T2784=$T2783),$U2783,IF(C2784="x",V2783,"")))</f>
        <v/>
      </c>
      <c r="X2784" cm="1">
        <f t="array" ref="X2784">IF($I2784&lt;&gt;"",$I2784,INDEX($I$1:$I2784,ROW()-COUNTIFS($T$1:$T2784,"="&amp;$T2784,$S$1:$S2784,"&lt;"&amp;$S2784)))</f>
        <v>0</v>
      </c>
      <c r="Z2784" s="6">
        <f t="shared" si="390"/>
        <v>1</v>
      </c>
      <c r="AA2784" t="e">
        <f t="shared" si="391"/>
        <v>#VALUE!</v>
      </c>
      <c r="AB2784" t="str">
        <f t="shared" si="392"/>
        <v/>
      </c>
      <c r="AC2784" t="e">
        <f t="shared" si="393"/>
        <v>#VALUE!</v>
      </c>
    </row>
    <row r="2785" spans="1:29" x14ac:dyDescent="0.2">
      <c r="A2785" t="str">
        <f t="shared" si="394"/>
        <v/>
      </c>
      <c r="E2785" s="4"/>
      <c r="F2785" s="46"/>
      <c r="G2785" s="4"/>
      <c r="H2785" s="48"/>
      <c r="J2785" s="26" t="str">
        <f t="shared" si="395"/>
        <v/>
      </c>
      <c r="N2785" t="str">
        <f t="shared" si="396"/>
        <v/>
      </c>
      <c r="Q2785" t="str">
        <f t="shared" si="397"/>
        <v/>
      </c>
      <c r="S2785" t="str">
        <f>IF(A2785=1,MAX($S$2:$S2784)+1,IF(OR($I2785&lt;&gt;"",A2785="x"),$S2784,""))</f>
        <v/>
      </c>
      <c r="T2785" t="str">
        <f>IF(D2785=1,MAX($T$2:$T2784)+1,IF(S2785=S2784,$T2784,IF(D2785="x",T2784,IF(D2784="x","",""))))</f>
        <v/>
      </c>
      <c r="U2785" t="str">
        <f>IF(B2785=1,MAX($U$2:$U2784)+1,IF(AND($T2785&lt;&gt;"",$T2785=$T2784),$U2784,IF(B2785="x",U2784,"")))</f>
        <v/>
      </c>
      <c r="V2785" t="str">
        <f>IF(C2785=1,MAX($V$2:$V2784)+1,IF(AND($T2785&lt;&gt;"",$T2785=$T2784),$U2784,IF(C2785="x",V2784,"")))</f>
        <v/>
      </c>
      <c r="X2785" cm="1">
        <f t="array" ref="X2785">IF($I2785&lt;&gt;"",$I2785,INDEX($I$1:$I2785,ROW()-COUNTIFS($T$1:$T2785,"="&amp;$T2785,$S$1:$S2785,"&lt;"&amp;$S2785)))</f>
        <v>0</v>
      </c>
      <c r="Z2785" s="6">
        <f t="shared" si="390"/>
        <v>1</v>
      </c>
      <c r="AA2785" t="e">
        <f t="shared" si="391"/>
        <v>#VALUE!</v>
      </c>
      <c r="AB2785" t="str">
        <f t="shared" si="392"/>
        <v/>
      </c>
      <c r="AC2785" t="e">
        <f t="shared" si="393"/>
        <v>#VALUE!</v>
      </c>
    </row>
    <row r="2786" spans="1:29" x14ac:dyDescent="0.2">
      <c r="A2786" t="str">
        <f t="shared" si="394"/>
        <v/>
      </c>
      <c r="E2786" s="4"/>
      <c r="F2786" s="46"/>
      <c r="G2786" s="4"/>
      <c r="H2786" s="48"/>
      <c r="J2786" s="26" t="str">
        <f t="shared" si="395"/>
        <v/>
      </c>
      <c r="N2786" t="str">
        <f t="shared" si="396"/>
        <v/>
      </c>
      <c r="Q2786" t="str">
        <f t="shared" si="397"/>
        <v/>
      </c>
      <c r="S2786" t="str">
        <f>IF(A2786=1,MAX($S$2:$S2785)+1,IF(OR($I2786&lt;&gt;"",A2786="x"),$S2785,""))</f>
        <v/>
      </c>
      <c r="T2786" t="str">
        <f>IF(D2786=1,MAX($T$2:$T2785)+1,IF(S2786=S2785,$T2785,IF(D2786="x",T2785,IF(D2785="x","",""))))</f>
        <v/>
      </c>
      <c r="U2786" t="str">
        <f>IF(B2786=1,MAX($U$2:$U2785)+1,IF(AND($T2786&lt;&gt;"",$T2786=$T2785),$U2785,IF(B2786="x",U2785,"")))</f>
        <v/>
      </c>
      <c r="V2786" t="str">
        <f>IF(C2786=1,MAX($V$2:$V2785)+1,IF(AND($T2786&lt;&gt;"",$T2786=$T2785),$U2785,IF(C2786="x",V2785,"")))</f>
        <v/>
      </c>
      <c r="X2786" cm="1">
        <f t="array" ref="X2786">IF($I2786&lt;&gt;"",$I2786,INDEX($I$1:$I2786,ROW()-COUNTIFS($T$1:$T2786,"="&amp;$T2786,$S$1:$S2786,"&lt;"&amp;$S2786)))</f>
        <v>0</v>
      </c>
      <c r="Z2786" s="6">
        <f t="shared" si="390"/>
        <v>1</v>
      </c>
      <c r="AA2786" t="e">
        <f t="shared" si="391"/>
        <v>#VALUE!</v>
      </c>
      <c r="AB2786" t="str">
        <f t="shared" si="392"/>
        <v/>
      </c>
      <c r="AC2786" t="e">
        <f t="shared" si="393"/>
        <v>#VALUE!</v>
      </c>
    </row>
    <row r="2787" spans="1:29" x14ac:dyDescent="0.2">
      <c r="A2787" t="str">
        <f t="shared" si="394"/>
        <v/>
      </c>
      <c r="E2787" s="4"/>
      <c r="F2787" s="46"/>
      <c r="G2787" s="4"/>
      <c r="H2787" s="48"/>
      <c r="J2787" s="26" t="str">
        <f t="shared" si="395"/>
        <v/>
      </c>
      <c r="N2787" t="str">
        <f t="shared" si="396"/>
        <v/>
      </c>
      <c r="Q2787" t="str">
        <f t="shared" si="397"/>
        <v/>
      </c>
      <c r="S2787" t="str">
        <f>IF(A2787=1,MAX($S$2:$S2786)+1,IF(OR($I2787&lt;&gt;"",A2787="x"),$S2786,""))</f>
        <v/>
      </c>
      <c r="T2787" t="str">
        <f>IF(D2787=1,MAX($T$2:$T2786)+1,IF(S2787=S2786,$T2786,IF(D2787="x",T2786,IF(D2786="x","",""))))</f>
        <v/>
      </c>
      <c r="U2787" t="str">
        <f>IF(B2787=1,MAX($U$2:$U2786)+1,IF(AND($T2787&lt;&gt;"",$T2787=$T2786),$U2786,IF(B2787="x",U2786,"")))</f>
        <v/>
      </c>
      <c r="V2787" t="str">
        <f>IF(C2787=1,MAX($V$2:$V2786)+1,IF(AND($T2787&lt;&gt;"",$T2787=$T2786),$U2786,IF(C2787="x",V2786,"")))</f>
        <v/>
      </c>
      <c r="X2787" cm="1">
        <f t="array" ref="X2787">IF($I2787&lt;&gt;"",$I2787,INDEX($I$1:$I2787,ROW()-COUNTIFS($T$1:$T2787,"="&amp;$T2787,$S$1:$S2787,"&lt;"&amp;$S2787)))</f>
        <v>0</v>
      </c>
      <c r="Z2787" s="6">
        <f t="shared" si="390"/>
        <v>1</v>
      </c>
      <c r="AA2787" t="e">
        <f t="shared" si="391"/>
        <v>#VALUE!</v>
      </c>
      <c r="AB2787" t="str">
        <f t="shared" si="392"/>
        <v/>
      </c>
      <c r="AC2787" t="e">
        <f t="shared" si="393"/>
        <v>#VALUE!</v>
      </c>
    </row>
    <row r="2788" spans="1:29" x14ac:dyDescent="0.2">
      <c r="A2788" t="str">
        <f t="shared" si="394"/>
        <v/>
      </c>
      <c r="E2788" s="4"/>
      <c r="F2788" s="46"/>
      <c r="G2788" s="4"/>
      <c r="H2788" s="48"/>
      <c r="J2788" s="26" t="str">
        <f t="shared" si="395"/>
        <v/>
      </c>
      <c r="N2788" t="str">
        <f t="shared" si="396"/>
        <v/>
      </c>
      <c r="Q2788" t="str">
        <f t="shared" si="397"/>
        <v/>
      </c>
      <c r="S2788" t="str">
        <f>IF(A2788=1,MAX($S$2:$S2787)+1,IF(OR($I2788&lt;&gt;"",A2788="x"),$S2787,""))</f>
        <v/>
      </c>
      <c r="T2788" t="str">
        <f>IF(D2788=1,MAX($T$2:$T2787)+1,IF(S2788=S2787,$T2787,IF(D2788="x",T2787,IF(D2787="x","",""))))</f>
        <v/>
      </c>
      <c r="U2788" t="str">
        <f>IF(B2788=1,MAX($U$2:$U2787)+1,IF(AND($T2788&lt;&gt;"",$T2788=$T2787),$U2787,IF(B2788="x",U2787,"")))</f>
        <v/>
      </c>
      <c r="V2788" t="str">
        <f>IF(C2788=1,MAX($V$2:$V2787)+1,IF(AND($T2788&lt;&gt;"",$T2788=$T2787),$U2787,IF(C2788="x",V2787,"")))</f>
        <v/>
      </c>
      <c r="X2788" cm="1">
        <f t="array" ref="X2788">IF($I2788&lt;&gt;"",$I2788,INDEX($I$1:$I2788,ROW()-COUNTIFS($T$1:$T2788,"="&amp;$T2788,$S$1:$S2788,"&lt;"&amp;$S2788)))</f>
        <v>0</v>
      </c>
      <c r="Z2788" s="6">
        <f t="shared" si="390"/>
        <v>1</v>
      </c>
      <c r="AA2788" t="e">
        <f t="shared" si="391"/>
        <v>#VALUE!</v>
      </c>
      <c r="AB2788" t="str">
        <f t="shared" si="392"/>
        <v/>
      </c>
      <c r="AC2788" t="e">
        <f t="shared" si="393"/>
        <v>#VALUE!</v>
      </c>
    </row>
    <row r="2789" spans="1:29" x14ac:dyDescent="0.2">
      <c r="A2789" t="str">
        <f t="shared" si="394"/>
        <v/>
      </c>
      <c r="E2789" s="4"/>
      <c r="F2789" s="46"/>
      <c r="G2789" s="4"/>
      <c r="H2789" s="48"/>
      <c r="J2789" s="26" t="str">
        <f t="shared" si="395"/>
        <v/>
      </c>
      <c r="N2789" t="str">
        <f t="shared" si="396"/>
        <v/>
      </c>
      <c r="Q2789" t="str">
        <f t="shared" si="397"/>
        <v/>
      </c>
      <c r="S2789" t="str">
        <f>IF(A2789=1,MAX($S$2:$S2788)+1,IF(OR($I2789&lt;&gt;"",A2789="x"),$S2788,""))</f>
        <v/>
      </c>
      <c r="T2789" t="str">
        <f>IF(D2789=1,MAX($T$2:$T2788)+1,IF(S2789=S2788,$T2788,IF(D2789="x",T2788,IF(D2788="x","",""))))</f>
        <v/>
      </c>
      <c r="U2789" t="str">
        <f>IF(B2789=1,MAX($U$2:$U2788)+1,IF(AND($T2789&lt;&gt;"",$T2789=$T2788),$U2788,IF(B2789="x",U2788,"")))</f>
        <v/>
      </c>
      <c r="V2789" t="str">
        <f>IF(C2789=1,MAX($V$2:$V2788)+1,IF(AND($T2789&lt;&gt;"",$T2789=$T2788),$U2788,IF(C2789="x",V2788,"")))</f>
        <v/>
      </c>
      <c r="X2789" cm="1">
        <f t="array" ref="X2789">IF($I2789&lt;&gt;"",$I2789,INDEX($I$1:$I2789,ROW()-COUNTIFS($T$1:$T2789,"="&amp;$T2789,$S$1:$S2789,"&lt;"&amp;$S2789)))</f>
        <v>0</v>
      </c>
      <c r="Z2789" s="6">
        <f t="shared" si="390"/>
        <v>1</v>
      </c>
      <c r="AA2789" t="e">
        <f t="shared" si="391"/>
        <v>#VALUE!</v>
      </c>
      <c r="AB2789" t="str">
        <f t="shared" si="392"/>
        <v/>
      </c>
      <c r="AC2789" t="e">
        <f t="shared" si="393"/>
        <v>#VALUE!</v>
      </c>
    </row>
    <row r="2790" spans="1:29" x14ac:dyDescent="0.2">
      <c r="A2790" t="str">
        <f t="shared" si="394"/>
        <v/>
      </c>
      <c r="E2790" s="4"/>
      <c r="F2790" s="46"/>
      <c r="G2790" s="4"/>
      <c r="H2790" s="48"/>
      <c r="J2790" s="26" t="str">
        <f t="shared" si="395"/>
        <v/>
      </c>
      <c r="N2790" t="str">
        <f t="shared" si="396"/>
        <v/>
      </c>
      <c r="Q2790" t="str">
        <f t="shared" si="397"/>
        <v/>
      </c>
      <c r="S2790" t="str">
        <f>IF(A2790=1,MAX($S$2:$S2789)+1,IF(OR($I2790&lt;&gt;"",A2790="x"),$S2789,""))</f>
        <v/>
      </c>
      <c r="T2790" t="str">
        <f>IF(D2790=1,MAX($T$2:$T2789)+1,IF(S2790=S2789,$T2789,IF(D2790="x",T2789,IF(D2789="x","",""))))</f>
        <v/>
      </c>
      <c r="U2790" t="str">
        <f>IF(B2790=1,MAX($U$2:$U2789)+1,IF(AND($T2790&lt;&gt;"",$T2790=$T2789),$U2789,IF(B2790="x",U2789,"")))</f>
        <v/>
      </c>
      <c r="V2790" t="str">
        <f>IF(C2790=1,MAX($V$2:$V2789)+1,IF(AND($T2790&lt;&gt;"",$T2790=$T2789),$U2789,IF(C2790="x",V2789,"")))</f>
        <v/>
      </c>
      <c r="X2790" cm="1">
        <f t="array" ref="X2790">IF($I2790&lt;&gt;"",$I2790,INDEX($I$1:$I2790,ROW()-COUNTIFS($T$1:$T2790,"="&amp;$T2790,$S$1:$S2790,"&lt;"&amp;$S2790)))</f>
        <v>0</v>
      </c>
      <c r="Z2790" s="6">
        <f t="shared" si="390"/>
        <v>1</v>
      </c>
      <c r="AA2790" t="e">
        <f t="shared" si="391"/>
        <v>#VALUE!</v>
      </c>
      <c r="AB2790" t="str">
        <f t="shared" si="392"/>
        <v/>
      </c>
      <c r="AC2790" t="e">
        <f t="shared" si="393"/>
        <v>#VALUE!</v>
      </c>
    </row>
    <row r="2791" spans="1:29" x14ac:dyDescent="0.2">
      <c r="A2791" t="str">
        <f t="shared" si="394"/>
        <v/>
      </c>
      <c r="E2791" s="4"/>
      <c r="F2791" s="46"/>
      <c r="G2791" s="4"/>
      <c r="H2791" s="48"/>
      <c r="J2791" s="26" t="str">
        <f t="shared" si="395"/>
        <v/>
      </c>
      <c r="N2791" t="str">
        <f t="shared" si="396"/>
        <v/>
      </c>
      <c r="Q2791" t="str">
        <f t="shared" si="397"/>
        <v/>
      </c>
      <c r="S2791" t="str">
        <f>IF(A2791=1,MAX($S$2:$S2790)+1,IF(OR($I2791&lt;&gt;"",A2791="x"),$S2790,""))</f>
        <v/>
      </c>
      <c r="T2791" t="str">
        <f>IF(D2791=1,MAX($T$2:$T2790)+1,IF(S2791=S2790,$T2790,IF(D2791="x",T2790,IF(D2790="x","",""))))</f>
        <v/>
      </c>
      <c r="U2791" t="str">
        <f>IF(B2791=1,MAX($U$2:$U2790)+1,IF(AND($T2791&lt;&gt;"",$T2791=$T2790),$U2790,IF(B2791="x",U2790,"")))</f>
        <v/>
      </c>
      <c r="V2791" t="str">
        <f>IF(C2791=1,MAX($V$2:$V2790)+1,IF(AND($T2791&lt;&gt;"",$T2791=$T2790),$U2790,IF(C2791="x",V2790,"")))</f>
        <v/>
      </c>
      <c r="X2791" cm="1">
        <f t="array" ref="X2791">IF($I2791&lt;&gt;"",$I2791,INDEX($I$1:$I2791,ROW()-COUNTIFS($T$1:$T2791,"="&amp;$T2791,$S$1:$S2791,"&lt;"&amp;$S2791)))</f>
        <v>0</v>
      </c>
      <c r="Z2791" s="6">
        <f t="shared" si="390"/>
        <v>1</v>
      </c>
      <c r="AA2791" t="e">
        <f t="shared" si="391"/>
        <v>#VALUE!</v>
      </c>
      <c r="AB2791" t="str">
        <f t="shared" si="392"/>
        <v/>
      </c>
      <c r="AC2791" t="e">
        <f t="shared" si="393"/>
        <v>#VALUE!</v>
      </c>
    </row>
    <row r="2792" spans="1:29" x14ac:dyDescent="0.2">
      <c r="A2792" t="str">
        <f t="shared" si="394"/>
        <v/>
      </c>
      <c r="E2792" s="4"/>
      <c r="F2792" s="46"/>
      <c r="G2792" s="4"/>
      <c r="H2792" s="48"/>
      <c r="J2792" s="26" t="str">
        <f t="shared" si="395"/>
        <v/>
      </c>
      <c r="N2792" t="str">
        <f t="shared" si="396"/>
        <v/>
      </c>
      <c r="Q2792" t="str">
        <f t="shared" si="397"/>
        <v/>
      </c>
      <c r="S2792" t="str">
        <f>IF(A2792=1,MAX($S$2:$S2791)+1,IF(OR($I2792&lt;&gt;"",A2792="x"),$S2791,""))</f>
        <v/>
      </c>
      <c r="T2792" t="str">
        <f>IF(D2792=1,MAX($T$2:$T2791)+1,IF(S2792=S2791,$T2791,IF(D2792="x",T2791,IF(D2791="x","",""))))</f>
        <v/>
      </c>
      <c r="U2792" t="str">
        <f>IF(B2792=1,MAX($U$2:$U2791)+1,IF(AND($T2792&lt;&gt;"",$T2792=$T2791),$U2791,IF(B2792="x",U2791,"")))</f>
        <v/>
      </c>
      <c r="V2792" t="str">
        <f>IF(C2792=1,MAX($V$2:$V2791)+1,IF(AND($T2792&lt;&gt;"",$T2792=$T2791),$U2791,IF(C2792="x",V2791,"")))</f>
        <v/>
      </c>
      <c r="X2792" cm="1">
        <f t="array" ref="X2792">IF($I2792&lt;&gt;"",$I2792,INDEX($I$1:$I2792,ROW()-COUNTIFS($T$1:$T2792,"="&amp;$T2792,$S$1:$S2792,"&lt;"&amp;$S2792)))</f>
        <v>0</v>
      </c>
      <c r="Z2792" s="6">
        <f t="shared" si="390"/>
        <v>1</v>
      </c>
      <c r="AA2792" t="e">
        <f t="shared" si="391"/>
        <v>#VALUE!</v>
      </c>
      <c r="AB2792" t="str">
        <f t="shared" si="392"/>
        <v/>
      </c>
      <c r="AC2792" t="e">
        <f t="shared" si="393"/>
        <v>#VALUE!</v>
      </c>
    </row>
    <row r="2793" spans="1:29" x14ac:dyDescent="0.2">
      <c r="A2793" t="str">
        <f t="shared" si="394"/>
        <v/>
      </c>
      <c r="E2793" s="4"/>
      <c r="F2793" s="46"/>
      <c r="G2793" s="4"/>
      <c r="H2793" s="48"/>
      <c r="J2793" s="26" t="str">
        <f t="shared" si="395"/>
        <v/>
      </c>
      <c r="N2793" t="str">
        <f t="shared" si="396"/>
        <v/>
      </c>
      <c r="Q2793" t="str">
        <f t="shared" si="397"/>
        <v/>
      </c>
      <c r="S2793" t="str">
        <f>IF(A2793=1,MAX($S$2:$S2792)+1,IF(OR($I2793&lt;&gt;"",A2793="x"),$S2792,""))</f>
        <v/>
      </c>
      <c r="T2793" t="str">
        <f>IF(D2793=1,MAX($T$2:$T2792)+1,IF(S2793=S2792,$T2792,IF(D2793="x",T2792,IF(D2792="x","",""))))</f>
        <v/>
      </c>
      <c r="U2793" t="str">
        <f>IF(B2793=1,MAX($U$2:$U2792)+1,IF(AND($T2793&lt;&gt;"",$T2793=$T2792),$U2792,IF(B2793="x",U2792,"")))</f>
        <v/>
      </c>
      <c r="V2793" t="str">
        <f>IF(C2793=1,MAX($V$2:$V2792)+1,IF(AND($T2793&lt;&gt;"",$T2793=$T2792),$U2792,IF(C2793="x",V2792,"")))</f>
        <v/>
      </c>
      <c r="X2793" cm="1">
        <f t="array" ref="X2793">IF($I2793&lt;&gt;"",$I2793,INDEX($I$1:$I2793,ROW()-COUNTIFS($T$1:$T2793,"="&amp;$T2793,$S$1:$S2793,"&lt;"&amp;$S2793)))</f>
        <v>0</v>
      </c>
      <c r="Z2793" s="6">
        <f t="shared" si="390"/>
        <v>1</v>
      </c>
      <c r="AA2793" t="e">
        <f t="shared" si="391"/>
        <v>#VALUE!</v>
      </c>
      <c r="AB2793" t="str">
        <f t="shared" si="392"/>
        <v/>
      </c>
      <c r="AC2793" t="e">
        <f t="shared" si="393"/>
        <v>#VALUE!</v>
      </c>
    </row>
    <row r="2794" spans="1:29" x14ac:dyDescent="0.2">
      <c r="A2794" t="str">
        <f t="shared" si="394"/>
        <v/>
      </c>
      <c r="E2794" s="4"/>
      <c r="F2794" s="46"/>
      <c r="G2794" s="4"/>
      <c r="H2794" s="48"/>
      <c r="J2794" s="26" t="str">
        <f t="shared" si="395"/>
        <v/>
      </c>
      <c r="N2794" t="str">
        <f t="shared" si="396"/>
        <v/>
      </c>
      <c r="Q2794" t="str">
        <f t="shared" si="397"/>
        <v/>
      </c>
      <c r="S2794" t="str">
        <f>IF(A2794=1,MAX($S$2:$S2793)+1,IF(OR($I2794&lt;&gt;"",A2794="x"),$S2793,""))</f>
        <v/>
      </c>
      <c r="T2794" t="str">
        <f>IF(D2794=1,MAX($T$2:$T2793)+1,IF(S2794=S2793,$T2793,IF(D2794="x",T2793,IF(D2793="x","",""))))</f>
        <v/>
      </c>
      <c r="U2794" t="str">
        <f>IF(B2794=1,MAX($U$2:$U2793)+1,IF(AND($T2794&lt;&gt;"",$T2794=$T2793),$U2793,IF(B2794="x",U2793,"")))</f>
        <v/>
      </c>
      <c r="V2794" t="str">
        <f>IF(C2794=1,MAX($V$2:$V2793)+1,IF(AND($T2794&lt;&gt;"",$T2794=$T2793),$U2793,IF(C2794="x",V2793,"")))</f>
        <v/>
      </c>
      <c r="X2794" cm="1">
        <f t="array" ref="X2794">IF($I2794&lt;&gt;"",$I2794,INDEX($I$1:$I2794,ROW()-COUNTIFS($T$1:$T2794,"="&amp;$T2794,$S$1:$S2794,"&lt;"&amp;$S2794)))</f>
        <v>0</v>
      </c>
      <c r="Z2794" s="6">
        <f t="shared" si="390"/>
        <v>1</v>
      </c>
      <c r="AA2794" t="e">
        <f t="shared" si="391"/>
        <v>#VALUE!</v>
      </c>
      <c r="AB2794" t="str">
        <f t="shared" si="392"/>
        <v/>
      </c>
      <c r="AC2794" t="e">
        <f t="shared" si="393"/>
        <v>#VALUE!</v>
      </c>
    </row>
    <row r="2795" spans="1:29" x14ac:dyDescent="0.2">
      <c r="A2795" t="str">
        <f t="shared" si="394"/>
        <v/>
      </c>
      <c r="E2795" s="4"/>
      <c r="F2795" s="46"/>
      <c r="G2795" s="4"/>
      <c r="H2795" s="48"/>
      <c r="J2795" s="26" t="str">
        <f t="shared" si="395"/>
        <v/>
      </c>
      <c r="N2795" t="str">
        <f t="shared" si="396"/>
        <v/>
      </c>
      <c r="Q2795" t="str">
        <f t="shared" si="397"/>
        <v/>
      </c>
      <c r="S2795" t="str">
        <f>IF(A2795=1,MAX($S$2:$S2794)+1,IF(OR($I2795&lt;&gt;"",A2795="x"),$S2794,""))</f>
        <v/>
      </c>
      <c r="T2795" t="str">
        <f>IF(D2795=1,MAX($T$2:$T2794)+1,IF(S2795=S2794,$T2794,IF(D2795="x",T2794,IF(D2794="x","",""))))</f>
        <v/>
      </c>
      <c r="U2795" t="str">
        <f>IF(B2795=1,MAX($U$2:$U2794)+1,IF(AND($T2795&lt;&gt;"",$T2795=$T2794),$U2794,IF(B2795="x",U2794,"")))</f>
        <v/>
      </c>
      <c r="V2795" t="str">
        <f>IF(C2795=1,MAX($V$2:$V2794)+1,IF(AND($T2795&lt;&gt;"",$T2795=$T2794),$U2794,IF(C2795="x",V2794,"")))</f>
        <v/>
      </c>
      <c r="X2795" cm="1">
        <f t="array" ref="X2795">IF($I2795&lt;&gt;"",$I2795,INDEX($I$1:$I2795,ROW()-COUNTIFS($T$1:$T2795,"="&amp;$T2795,$S$1:$S2795,"&lt;"&amp;$S2795)))</f>
        <v>0</v>
      </c>
      <c r="Z2795" s="6">
        <f t="shared" si="390"/>
        <v>1</v>
      </c>
      <c r="AA2795" t="e">
        <f t="shared" si="391"/>
        <v>#VALUE!</v>
      </c>
      <c r="AB2795" t="str">
        <f t="shared" si="392"/>
        <v/>
      </c>
      <c r="AC2795" t="e">
        <f t="shared" si="393"/>
        <v>#VALUE!</v>
      </c>
    </row>
    <row r="2796" spans="1:29" x14ac:dyDescent="0.2">
      <c r="A2796" t="str">
        <f t="shared" si="394"/>
        <v/>
      </c>
      <c r="E2796" s="4"/>
      <c r="F2796" s="46"/>
      <c r="G2796" s="4"/>
      <c r="H2796" s="48"/>
      <c r="J2796" s="26" t="str">
        <f t="shared" si="395"/>
        <v/>
      </c>
      <c r="N2796" t="str">
        <f t="shared" si="396"/>
        <v/>
      </c>
      <c r="Q2796" t="str">
        <f t="shared" si="397"/>
        <v/>
      </c>
      <c r="S2796" t="str">
        <f>IF(A2796=1,MAX($S$2:$S2795)+1,IF(OR($I2796&lt;&gt;"",A2796="x"),$S2795,""))</f>
        <v/>
      </c>
      <c r="T2796" t="str">
        <f>IF(D2796=1,MAX($T$2:$T2795)+1,IF(S2796=S2795,$T2795,IF(D2796="x",T2795,IF(D2795="x","",""))))</f>
        <v/>
      </c>
      <c r="U2796" t="str">
        <f>IF(B2796=1,MAX($U$2:$U2795)+1,IF(AND($T2796&lt;&gt;"",$T2796=$T2795),$U2795,IF(B2796="x",U2795,"")))</f>
        <v/>
      </c>
      <c r="V2796" t="str">
        <f>IF(C2796=1,MAX($V$2:$V2795)+1,IF(AND($T2796&lt;&gt;"",$T2796=$T2795),$U2795,IF(C2796="x",V2795,"")))</f>
        <v/>
      </c>
      <c r="X2796" cm="1">
        <f t="array" ref="X2796">IF($I2796&lt;&gt;"",$I2796,INDEX($I$1:$I2796,ROW()-COUNTIFS($T$1:$T2796,"="&amp;$T2796,$S$1:$S2796,"&lt;"&amp;$S2796)))</f>
        <v>0</v>
      </c>
      <c r="Z2796" s="6">
        <f t="shared" si="390"/>
        <v>1</v>
      </c>
      <c r="AA2796" t="e">
        <f t="shared" si="391"/>
        <v>#VALUE!</v>
      </c>
      <c r="AB2796" t="str">
        <f t="shared" si="392"/>
        <v/>
      </c>
      <c r="AC2796" t="e">
        <f t="shared" si="393"/>
        <v>#VALUE!</v>
      </c>
    </row>
    <row r="2797" spans="1:29" x14ac:dyDescent="0.2">
      <c r="A2797" t="str">
        <f t="shared" si="394"/>
        <v/>
      </c>
      <c r="E2797" s="4"/>
      <c r="F2797" s="46"/>
      <c r="G2797" s="4"/>
      <c r="H2797" s="48"/>
      <c r="J2797" s="26" t="str">
        <f t="shared" si="395"/>
        <v/>
      </c>
      <c r="N2797" t="str">
        <f t="shared" si="396"/>
        <v/>
      </c>
      <c r="Q2797" t="str">
        <f t="shared" si="397"/>
        <v/>
      </c>
      <c r="S2797" t="str">
        <f>IF(A2797=1,MAX($S$2:$S2796)+1,IF(OR($I2797&lt;&gt;"",A2797="x"),$S2796,""))</f>
        <v/>
      </c>
      <c r="T2797" t="str">
        <f>IF(D2797=1,MAX($T$2:$T2796)+1,IF(S2797=S2796,$T2796,IF(D2797="x",T2796,IF(D2796="x","",""))))</f>
        <v/>
      </c>
      <c r="U2797" t="str">
        <f>IF(B2797=1,MAX($U$2:$U2796)+1,IF(AND($T2797&lt;&gt;"",$T2797=$T2796),$U2796,IF(B2797="x",U2796,"")))</f>
        <v/>
      </c>
      <c r="V2797" t="str">
        <f>IF(C2797=1,MAX($V$2:$V2796)+1,IF(AND($T2797&lt;&gt;"",$T2797=$T2796),$U2796,IF(C2797="x",V2796,"")))</f>
        <v/>
      </c>
      <c r="X2797" cm="1">
        <f t="array" ref="X2797">IF($I2797&lt;&gt;"",$I2797,INDEX($I$1:$I2797,ROW()-COUNTIFS($T$1:$T2797,"="&amp;$T2797,$S$1:$S2797,"&lt;"&amp;$S2797)))</f>
        <v>0</v>
      </c>
      <c r="Z2797" s="6">
        <f t="shared" si="390"/>
        <v>1</v>
      </c>
      <c r="AA2797" t="e">
        <f t="shared" si="391"/>
        <v>#VALUE!</v>
      </c>
      <c r="AB2797" t="str">
        <f t="shared" si="392"/>
        <v/>
      </c>
      <c r="AC2797" t="e">
        <f t="shared" si="393"/>
        <v>#VALUE!</v>
      </c>
    </row>
    <row r="2798" spans="1:29" x14ac:dyDescent="0.2">
      <c r="A2798" t="str">
        <f t="shared" si="394"/>
        <v/>
      </c>
      <c r="E2798" s="4"/>
      <c r="F2798" s="46"/>
      <c r="G2798" s="4"/>
      <c r="H2798" s="48"/>
      <c r="J2798" s="26" t="str">
        <f t="shared" si="395"/>
        <v/>
      </c>
      <c r="N2798" t="str">
        <f t="shared" si="396"/>
        <v/>
      </c>
      <c r="Q2798" t="str">
        <f t="shared" si="397"/>
        <v/>
      </c>
      <c r="S2798" t="str">
        <f>IF(A2798=1,MAX($S$2:$S2797)+1,IF(OR($I2798&lt;&gt;"",A2798="x"),$S2797,""))</f>
        <v/>
      </c>
      <c r="T2798" t="str">
        <f>IF(D2798=1,MAX($T$2:$T2797)+1,IF(S2798=S2797,$T2797,IF(D2798="x",T2797,IF(D2797="x","",""))))</f>
        <v/>
      </c>
      <c r="U2798" t="str">
        <f>IF(B2798=1,MAX($U$2:$U2797)+1,IF(AND($T2798&lt;&gt;"",$T2798=$T2797),$U2797,IF(B2798="x",U2797,"")))</f>
        <v/>
      </c>
      <c r="V2798" t="str">
        <f>IF(C2798=1,MAX($V$2:$V2797)+1,IF(AND($T2798&lt;&gt;"",$T2798=$T2797),$U2797,IF(C2798="x",V2797,"")))</f>
        <v/>
      </c>
      <c r="X2798" cm="1">
        <f t="array" ref="X2798">IF($I2798&lt;&gt;"",$I2798,INDEX($I$1:$I2798,ROW()-COUNTIFS($T$1:$T2798,"="&amp;$T2798,$S$1:$S2798,"&lt;"&amp;$S2798)))</f>
        <v>0</v>
      </c>
      <c r="Z2798" s="6">
        <f t="shared" si="390"/>
        <v>1</v>
      </c>
      <c r="AA2798" t="e">
        <f t="shared" si="391"/>
        <v>#VALUE!</v>
      </c>
      <c r="AB2798" t="str">
        <f t="shared" si="392"/>
        <v/>
      </c>
      <c r="AC2798" t="e">
        <f t="shared" si="393"/>
        <v>#VALUE!</v>
      </c>
    </row>
    <row r="2799" spans="1:29" x14ac:dyDescent="0.2">
      <c r="A2799" t="str">
        <f t="shared" si="394"/>
        <v/>
      </c>
      <c r="E2799" s="4"/>
      <c r="F2799" s="46"/>
      <c r="G2799" s="4"/>
      <c r="H2799" s="48"/>
      <c r="J2799" s="26" t="str">
        <f t="shared" si="395"/>
        <v/>
      </c>
      <c r="N2799" t="str">
        <f t="shared" si="396"/>
        <v/>
      </c>
      <c r="Q2799" t="str">
        <f t="shared" si="397"/>
        <v/>
      </c>
      <c r="S2799" t="str">
        <f>IF(A2799=1,MAX($S$2:$S2798)+1,IF(OR($I2799&lt;&gt;"",A2799="x"),$S2798,""))</f>
        <v/>
      </c>
      <c r="T2799" t="str">
        <f>IF(D2799=1,MAX($T$2:$T2798)+1,IF(S2799=S2798,$T2798,IF(D2799="x",T2798,IF(D2798="x","",""))))</f>
        <v/>
      </c>
      <c r="U2799" t="str">
        <f>IF(B2799=1,MAX($U$2:$U2798)+1,IF(AND($T2799&lt;&gt;"",$T2799=$T2798),$U2798,IF(B2799="x",U2798,"")))</f>
        <v/>
      </c>
      <c r="V2799" t="str">
        <f>IF(C2799=1,MAX($V$2:$V2798)+1,IF(AND($T2799&lt;&gt;"",$T2799=$T2798),$U2798,IF(C2799="x",V2798,"")))</f>
        <v/>
      </c>
      <c r="X2799" cm="1">
        <f t="array" ref="X2799">IF($I2799&lt;&gt;"",$I2799,INDEX($I$1:$I2799,ROW()-COUNTIFS($T$1:$T2799,"="&amp;$T2799,$S$1:$S2799,"&lt;"&amp;$S2799)))</f>
        <v>0</v>
      </c>
      <c r="Z2799" s="6">
        <f t="shared" si="390"/>
        <v>1</v>
      </c>
      <c r="AA2799" t="e">
        <f t="shared" si="391"/>
        <v>#VALUE!</v>
      </c>
      <c r="AB2799" t="str">
        <f t="shared" si="392"/>
        <v/>
      </c>
      <c r="AC2799" t="e">
        <f t="shared" si="393"/>
        <v>#VALUE!</v>
      </c>
    </row>
    <row r="2800" spans="1:29" x14ac:dyDescent="0.2">
      <c r="A2800" t="str">
        <f t="shared" si="394"/>
        <v/>
      </c>
      <c r="E2800" s="4"/>
      <c r="F2800" s="46"/>
      <c r="G2800" s="4"/>
      <c r="H2800" s="48"/>
      <c r="J2800" s="26" t="str">
        <f t="shared" si="395"/>
        <v/>
      </c>
      <c r="N2800" t="str">
        <f t="shared" si="396"/>
        <v/>
      </c>
      <c r="Q2800" t="str">
        <f t="shared" si="397"/>
        <v/>
      </c>
      <c r="S2800" t="str">
        <f>IF(A2800=1,MAX($S$2:$S2799)+1,IF(OR($I2800&lt;&gt;"",A2800="x"),$S2799,""))</f>
        <v/>
      </c>
      <c r="T2800" t="str">
        <f>IF(D2800=1,MAX($T$2:$T2799)+1,IF(S2800=S2799,$T2799,IF(D2800="x",T2799,IF(D2799="x","",""))))</f>
        <v/>
      </c>
      <c r="U2800" t="str">
        <f>IF(B2800=1,MAX($U$2:$U2799)+1,IF(AND($T2800&lt;&gt;"",$T2800=$T2799),$U2799,IF(B2800="x",U2799,"")))</f>
        <v/>
      </c>
      <c r="V2800" t="str">
        <f>IF(C2800=1,MAX($V$2:$V2799)+1,IF(AND($T2800&lt;&gt;"",$T2800=$T2799),$U2799,IF(C2800="x",V2799,"")))</f>
        <v/>
      </c>
      <c r="X2800" cm="1">
        <f t="array" ref="X2800">IF($I2800&lt;&gt;"",$I2800,INDEX($I$1:$I2800,ROW()-COUNTIFS($T$1:$T2800,"="&amp;$T2800,$S$1:$S2800,"&lt;"&amp;$S2800)))</f>
        <v>0</v>
      </c>
      <c r="Z2800" s="6">
        <f t="shared" si="390"/>
        <v>1</v>
      </c>
      <c r="AA2800" t="e">
        <f t="shared" si="391"/>
        <v>#VALUE!</v>
      </c>
      <c r="AB2800" t="str">
        <f t="shared" si="392"/>
        <v/>
      </c>
      <c r="AC2800" t="e">
        <f t="shared" si="393"/>
        <v>#VALUE!</v>
      </c>
    </row>
    <row r="2801" spans="1:29" x14ac:dyDescent="0.2">
      <c r="A2801" t="str">
        <f t="shared" si="394"/>
        <v/>
      </c>
      <c r="E2801" s="4"/>
      <c r="F2801" s="46"/>
      <c r="G2801" s="4"/>
      <c r="H2801" s="48"/>
      <c r="J2801" s="26" t="str">
        <f t="shared" si="395"/>
        <v/>
      </c>
      <c r="N2801" t="str">
        <f t="shared" si="396"/>
        <v/>
      </c>
      <c r="Q2801" t="str">
        <f t="shared" si="397"/>
        <v/>
      </c>
      <c r="S2801" t="str">
        <f>IF(A2801=1,MAX($S$2:$S2800)+1,IF(OR($I2801&lt;&gt;"",A2801="x"),$S2800,""))</f>
        <v/>
      </c>
      <c r="T2801" t="str">
        <f>IF(D2801=1,MAX($T$2:$T2800)+1,IF(S2801=S2800,$T2800,IF(D2801="x",T2800,IF(D2800="x","",""))))</f>
        <v/>
      </c>
      <c r="U2801" t="str">
        <f>IF(B2801=1,MAX($U$2:$U2800)+1,IF(AND($T2801&lt;&gt;"",$T2801=$T2800),$U2800,IF(B2801="x",U2800,"")))</f>
        <v/>
      </c>
      <c r="V2801" t="str">
        <f>IF(C2801=1,MAX($V$2:$V2800)+1,IF(AND($T2801&lt;&gt;"",$T2801=$T2800),$U2800,IF(C2801="x",V2800,"")))</f>
        <v/>
      </c>
      <c r="X2801" cm="1">
        <f t="array" ref="X2801">IF($I2801&lt;&gt;"",$I2801,INDEX($I$1:$I2801,ROW()-COUNTIFS($T$1:$T2801,"="&amp;$T2801,$S$1:$S2801,"&lt;"&amp;$S2801)))</f>
        <v>0</v>
      </c>
      <c r="Z2801" s="6">
        <f t="shared" si="390"/>
        <v>1</v>
      </c>
      <c r="AA2801" t="e">
        <f t="shared" si="391"/>
        <v>#VALUE!</v>
      </c>
      <c r="AB2801" t="str">
        <f t="shared" si="392"/>
        <v/>
      </c>
      <c r="AC2801" t="e">
        <f t="shared" si="393"/>
        <v>#VALUE!</v>
      </c>
    </row>
    <row r="2802" spans="1:29" x14ac:dyDescent="0.2">
      <c r="A2802" t="str">
        <f t="shared" si="394"/>
        <v/>
      </c>
      <c r="E2802" s="4"/>
      <c r="F2802" s="46"/>
      <c r="G2802" s="4"/>
      <c r="H2802" s="48"/>
      <c r="J2802" s="26" t="str">
        <f t="shared" si="395"/>
        <v/>
      </c>
      <c r="N2802" t="str">
        <f t="shared" si="396"/>
        <v/>
      </c>
      <c r="Q2802" t="str">
        <f t="shared" si="397"/>
        <v/>
      </c>
      <c r="S2802" t="str">
        <f>IF(A2802=1,MAX($S$2:$S2801)+1,IF(OR($I2802&lt;&gt;"",A2802="x"),$S2801,""))</f>
        <v/>
      </c>
      <c r="T2802" t="str">
        <f>IF(D2802=1,MAX($T$2:$T2801)+1,IF(S2802=S2801,$T2801,IF(D2802="x",T2801,IF(D2801="x","",""))))</f>
        <v/>
      </c>
      <c r="U2802" t="str">
        <f>IF(B2802=1,MAX($U$2:$U2801)+1,IF(AND($T2802&lt;&gt;"",$T2802=$T2801),$U2801,IF(B2802="x",U2801,"")))</f>
        <v/>
      </c>
      <c r="V2802" t="str">
        <f>IF(C2802=1,MAX($V$2:$V2801)+1,IF(AND($T2802&lt;&gt;"",$T2802=$T2801),$U2801,IF(C2802="x",V2801,"")))</f>
        <v/>
      </c>
      <c r="X2802" cm="1">
        <f t="array" ref="X2802">IF($I2802&lt;&gt;"",$I2802,INDEX($I$1:$I2802,ROW()-COUNTIFS($T$1:$T2802,"="&amp;$T2802,$S$1:$S2802,"&lt;"&amp;$S2802)))</f>
        <v>0</v>
      </c>
      <c r="Z2802" s="6">
        <f t="shared" si="390"/>
        <v>1</v>
      </c>
      <c r="AA2802" t="e">
        <f t="shared" si="391"/>
        <v>#VALUE!</v>
      </c>
      <c r="AB2802" t="str">
        <f t="shared" si="392"/>
        <v/>
      </c>
      <c r="AC2802" t="e">
        <f t="shared" si="393"/>
        <v>#VALUE!</v>
      </c>
    </row>
    <row r="2803" spans="1:29" x14ac:dyDescent="0.2">
      <c r="A2803" t="str">
        <f t="shared" si="394"/>
        <v/>
      </c>
      <c r="E2803" s="4"/>
      <c r="F2803" s="46"/>
      <c r="G2803" s="4"/>
      <c r="H2803" s="48"/>
      <c r="J2803" s="26" t="str">
        <f t="shared" si="395"/>
        <v/>
      </c>
      <c r="N2803" t="str">
        <f t="shared" si="396"/>
        <v/>
      </c>
      <c r="Q2803" t="str">
        <f t="shared" si="397"/>
        <v/>
      </c>
      <c r="S2803" t="str">
        <f>IF(A2803=1,MAX($S$2:$S2802)+1,IF(OR($I2803&lt;&gt;"",A2803="x"),$S2802,""))</f>
        <v/>
      </c>
      <c r="T2803" t="str">
        <f>IF(D2803=1,MAX($T$2:$T2802)+1,IF(S2803=S2802,$T2802,IF(D2803="x",T2802,IF(D2802="x","",""))))</f>
        <v/>
      </c>
      <c r="U2803" t="str">
        <f>IF(B2803=1,MAX($U$2:$U2802)+1,IF(AND($T2803&lt;&gt;"",$T2803=$T2802),$U2802,IF(B2803="x",U2802,"")))</f>
        <v/>
      </c>
      <c r="V2803" t="str">
        <f>IF(C2803=1,MAX($V$2:$V2802)+1,IF(AND($T2803&lt;&gt;"",$T2803=$T2802),$U2802,IF(C2803="x",V2802,"")))</f>
        <v/>
      </c>
      <c r="X2803" cm="1">
        <f t="array" ref="X2803">IF($I2803&lt;&gt;"",$I2803,INDEX($I$1:$I2803,ROW()-COUNTIFS($T$1:$T2803,"="&amp;$T2803,$S$1:$S2803,"&lt;"&amp;$S2803)))</f>
        <v>0</v>
      </c>
      <c r="Z2803" s="6">
        <f t="shared" si="390"/>
        <v>1</v>
      </c>
      <c r="AA2803" t="e">
        <f t="shared" si="391"/>
        <v>#VALUE!</v>
      </c>
      <c r="AB2803" t="str">
        <f t="shared" si="392"/>
        <v/>
      </c>
      <c r="AC2803" t="e">
        <f t="shared" si="393"/>
        <v>#VALUE!</v>
      </c>
    </row>
    <row r="2804" spans="1:29" x14ac:dyDescent="0.2">
      <c r="A2804" t="str">
        <f t="shared" si="394"/>
        <v/>
      </c>
      <c r="E2804" s="4"/>
      <c r="F2804" s="46"/>
      <c r="G2804" s="4"/>
      <c r="H2804" s="48"/>
      <c r="J2804" s="26" t="str">
        <f t="shared" si="395"/>
        <v/>
      </c>
      <c r="N2804" t="str">
        <f t="shared" si="396"/>
        <v/>
      </c>
      <c r="Q2804" t="str">
        <f t="shared" si="397"/>
        <v/>
      </c>
      <c r="S2804" t="str">
        <f>IF(A2804=1,MAX($S$2:$S2803)+1,IF(OR($I2804&lt;&gt;"",A2804="x"),$S2803,""))</f>
        <v/>
      </c>
      <c r="T2804" t="str">
        <f>IF(D2804=1,MAX($T$2:$T2803)+1,IF(S2804=S2803,$T2803,IF(D2804="x",T2803,IF(D2803="x","",""))))</f>
        <v/>
      </c>
      <c r="U2804" t="str">
        <f>IF(B2804=1,MAX($U$2:$U2803)+1,IF(AND($T2804&lt;&gt;"",$T2804=$T2803),$U2803,IF(B2804="x",U2803,"")))</f>
        <v/>
      </c>
      <c r="V2804" t="str">
        <f>IF(C2804=1,MAX($V$2:$V2803)+1,IF(AND($T2804&lt;&gt;"",$T2804=$T2803),$U2803,IF(C2804="x",V2803,"")))</f>
        <v/>
      </c>
      <c r="X2804" cm="1">
        <f t="array" ref="X2804">IF($I2804&lt;&gt;"",$I2804,INDEX($I$1:$I2804,ROW()-COUNTIFS($T$1:$T2804,"="&amp;$T2804,$S$1:$S2804,"&lt;"&amp;$S2804)))</f>
        <v>0</v>
      </c>
      <c r="Z2804" s="6">
        <f t="shared" si="390"/>
        <v>1</v>
      </c>
      <c r="AA2804" t="e">
        <f t="shared" si="391"/>
        <v>#VALUE!</v>
      </c>
      <c r="AB2804" t="str">
        <f t="shared" si="392"/>
        <v/>
      </c>
      <c r="AC2804" t="e">
        <f t="shared" si="393"/>
        <v>#VALUE!</v>
      </c>
    </row>
    <row r="2805" spans="1:29" x14ac:dyDescent="0.2">
      <c r="A2805" t="str">
        <f t="shared" si="394"/>
        <v/>
      </c>
      <c r="E2805" s="4"/>
      <c r="F2805" s="46"/>
      <c r="G2805" s="4"/>
      <c r="H2805" s="48"/>
      <c r="J2805" s="26" t="str">
        <f t="shared" si="395"/>
        <v/>
      </c>
      <c r="N2805" t="str">
        <f t="shared" si="396"/>
        <v/>
      </c>
      <c r="Q2805" t="str">
        <f t="shared" si="397"/>
        <v/>
      </c>
      <c r="S2805" t="str">
        <f>IF(A2805=1,MAX($S$2:$S2804)+1,IF(OR($I2805&lt;&gt;"",A2805="x"),$S2804,""))</f>
        <v/>
      </c>
      <c r="T2805" t="str">
        <f>IF(D2805=1,MAX($T$2:$T2804)+1,IF(S2805=S2804,$T2804,IF(D2805="x",T2804,IF(D2804="x","",""))))</f>
        <v/>
      </c>
      <c r="U2805" t="str">
        <f>IF(B2805=1,MAX($U$2:$U2804)+1,IF(AND($T2805&lt;&gt;"",$T2805=$T2804),$U2804,IF(B2805="x",U2804,"")))</f>
        <v/>
      </c>
      <c r="V2805" t="str">
        <f>IF(C2805=1,MAX($V$2:$V2804)+1,IF(AND($T2805&lt;&gt;"",$T2805=$T2804),$U2804,IF(C2805="x",V2804,"")))</f>
        <v/>
      </c>
      <c r="X2805" cm="1">
        <f t="array" ref="X2805">IF($I2805&lt;&gt;"",$I2805,INDEX($I$1:$I2805,ROW()-COUNTIFS($T$1:$T2805,"="&amp;$T2805,$S$1:$S2805,"&lt;"&amp;$S2805)))</f>
        <v>0</v>
      </c>
      <c r="Z2805" s="6">
        <f t="shared" si="390"/>
        <v>1</v>
      </c>
      <c r="AA2805" t="e">
        <f t="shared" si="391"/>
        <v>#VALUE!</v>
      </c>
      <c r="AB2805" t="str">
        <f t="shared" si="392"/>
        <v/>
      </c>
      <c r="AC2805" t="e">
        <f t="shared" si="393"/>
        <v>#VALUE!</v>
      </c>
    </row>
    <row r="2806" spans="1:29" x14ac:dyDescent="0.2">
      <c r="A2806" t="str">
        <f t="shared" si="394"/>
        <v/>
      </c>
      <c r="E2806" s="4"/>
      <c r="F2806" s="46"/>
      <c r="G2806" s="4"/>
      <c r="H2806" s="48"/>
      <c r="J2806" s="26" t="str">
        <f t="shared" si="395"/>
        <v/>
      </c>
      <c r="N2806" t="str">
        <f t="shared" si="396"/>
        <v/>
      </c>
      <c r="Q2806" t="str">
        <f t="shared" si="397"/>
        <v/>
      </c>
      <c r="S2806" t="str">
        <f>IF(A2806=1,MAX($S$2:$S2805)+1,IF(OR($I2806&lt;&gt;"",A2806="x"),$S2805,""))</f>
        <v/>
      </c>
      <c r="T2806" t="str">
        <f>IF(D2806=1,MAX($T$2:$T2805)+1,IF(S2806=S2805,$T2805,IF(D2806="x",T2805,IF(D2805="x","",""))))</f>
        <v/>
      </c>
      <c r="U2806" t="str">
        <f>IF(B2806=1,MAX($U$2:$U2805)+1,IF(AND($T2806&lt;&gt;"",$T2806=$T2805),$U2805,IF(B2806="x",U2805,"")))</f>
        <v/>
      </c>
      <c r="V2806" t="str">
        <f>IF(C2806=1,MAX($V$2:$V2805)+1,IF(AND($T2806&lt;&gt;"",$T2806=$T2805),$U2805,IF(C2806="x",V2805,"")))</f>
        <v/>
      </c>
      <c r="X2806" cm="1">
        <f t="array" ref="X2806">IF($I2806&lt;&gt;"",$I2806,INDEX($I$1:$I2806,ROW()-COUNTIFS($T$1:$T2806,"="&amp;$T2806,$S$1:$S2806,"&lt;"&amp;$S2806)))</f>
        <v>0</v>
      </c>
      <c r="Z2806" s="6">
        <f t="shared" si="390"/>
        <v>1</v>
      </c>
      <c r="AA2806" t="e">
        <f t="shared" si="391"/>
        <v>#VALUE!</v>
      </c>
      <c r="AB2806" t="str">
        <f t="shared" si="392"/>
        <v/>
      </c>
      <c r="AC2806" t="e">
        <f t="shared" si="393"/>
        <v>#VALUE!</v>
      </c>
    </row>
    <row r="2807" spans="1:29" x14ac:dyDescent="0.2">
      <c r="A2807" t="str">
        <f t="shared" si="394"/>
        <v/>
      </c>
      <c r="E2807" s="4"/>
      <c r="F2807" s="46"/>
      <c r="G2807" s="4"/>
      <c r="H2807" s="48"/>
      <c r="J2807" s="26" t="str">
        <f t="shared" si="395"/>
        <v/>
      </c>
      <c r="N2807" t="str">
        <f t="shared" si="396"/>
        <v/>
      </c>
      <c r="Q2807" t="str">
        <f t="shared" si="397"/>
        <v/>
      </c>
      <c r="S2807" t="str">
        <f>IF(A2807=1,MAX($S$2:$S2806)+1,IF(OR($I2807&lt;&gt;"",A2807="x"),$S2806,""))</f>
        <v/>
      </c>
      <c r="T2807" t="str">
        <f>IF(D2807=1,MAX($T$2:$T2806)+1,IF(S2807=S2806,$T2806,IF(D2807="x",T2806,IF(D2806="x","",""))))</f>
        <v/>
      </c>
      <c r="U2807" t="str">
        <f>IF(B2807=1,MAX($U$2:$U2806)+1,IF(AND($T2807&lt;&gt;"",$T2807=$T2806),$U2806,IF(B2807="x",U2806,"")))</f>
        <v/>
      </c>
      <c r="V2807" t="str">
        <f>IF(C2807=1,MAX($V$2:$V2806)+1,IF(AND($T2807&lt;&gt;"",$T2807=$T2806),$U2806,IF(C2807="x",V2806,"")))</f>
        <v/>
      </c>
      <c r="X2807" cm="1">
        <f t="array" ref="X2807">IF($I2807&lt;&gt;"",$I2807,INDEX($I$1:$I2807,ROW()-COUNTIFS($T$1:$T2807,"="&amp;$T2807,$S$1:$S2807,"&lt;"&amp;$S2807)))</f>
        <v>0</v>
      </c>
      <c r="Z2807" s="6">
        <f t="shared" si="390"/>
        <v>1</v>
      </c>
      <c r="AA2807" t="e">
        <f t="shared" si="391"/>
        <v>#VALUE!</v>
      </c>
      <c r="AB2807" t="str">
        <f t="shared" si="392"/>
        <v/>
      </c>
      <c r="AC2807" t="e">
        <f t="shared" si="393"/>
        <v>#VALUE!</v>
      </c>
    </row>
    <row r="2808" spans="1:29" x14ac:dyDescent="0.2">
      <c r="A2808" t="str">
        <f t="shared" si="394"/>
        <v/>
      </c>
      <c r="E2808" s="4"/>
      <c r="F2808" s="46"/>
      <c r="G2808" s="4"/>
      <c r="H2808" s="48"/>
      <c r="J2808" s="26" t="str">
        <f t="shared" si="395"/>
        <v/>
      </c>
      <c r="N2808" t="str">
        <f t="shared" si="396"/>
        <v/>
      </c>
      <c r="Q2808" t="str">
        <f t="shared" si="397"/>
        <v/>
      </c>
      <c r="S2808" t="str">
        <f>IF(A2808=1,MAX($S$2:$S2807)+1,IF(OR($I2808&lt;&gt;"",A2808="x"),$S2807,""))</f>
        <v/>
      </c>
      <c r="T2808" t="str">
        <f>IF(D2808=1,MAX($T$2:$T2807)+1,IF(S2808=S2807,$T2807,IF(D2808="x",T2807,IF(D2807="x","",""))))</f>
        <v/>
      </c>
      <c r="U2808" t="str">
        <f>IF(B2808=1,MAX($U$2:$U2807)+1,IF(AND($T2808&lt;&gt;"",$T2808=$T2807),$U2807,IF(B2808="x",U2807,"")))</f>
        <v/>
      </c>
      <c r="V2808" t="str">
        <f>IF(C2808=1,MAX($V$2:$V2807)+1,IF(AND($T2808&lt;&gt;"",$T2808=$T2807),$U2807,IF(C2808="x",V2807,"")))</f>
        <v/>
      </c>
      <c r="X2808" cm="1">
        <f t="array" ref="X2808">IF($I2808&lt;&gt;"",$I2808,INDEX($I$1:$I2808,ROW()-COUNTIFS($T$1:$T2808,"="&amp;$T2808,$S$1:$S2808,"&lt;"&amp;$S2808)))</f>
        <v>0</v>
      </c>
      <c r="Z2808" s="6">
        <f t="shared" si="390"/>
        <v>1</v>
      </c>
      <c r="AA2808" t="e">
        <f t="shared" si="391"/>
        <v>#VALUE!</v>
      </c>
      <c r="AB2808" t="str">
        <f t="shared" si="392"/>
        <v/>
      </c>
      <c r="AC2808" t="e">
        <f t="shared" si="393"/>
        <v>#VALUE!</v>
      </c>
    </row>
    <row r="2809" spans="1:29" x14ac:dyDescent="0.2">
      <c r="A2809" t="str">
        <f t="shared" si="394"/>
        <v/>
      </c>
      <c r="E2809" s="4"/>
      <c r="F2809" s="46"/>
      <c r="G2809" s="4"/>
      <c r="H2809" s="48"/>
      <c r="J2809" s="26" t="str">
        <f t="shared" si="395"/>
        <v/>
      </c>
      <c r="N2809" t="str">
        <f t="shared" si="396"/>
        <v/>
      </c>
      <c r="Q2809" t="str">
        <f t="shared" si="397"/>
        <v/>
      </c>
      <c r="S2809" t="str">
        <f>IF(A2809=1,MAX($S$2:$S2808)+1,IF(OR($I2809&lt;&gt;"",A2809="x"),$S2808,""))</f>
        <v/>
      </c>
      <c r="T2809" t="str">
        <f>IF(D2809=1,MAX($T$2:$T2808)+1,IF(S2809=S2808,$T2808,IF(D2809="x",T2808,IF(D2808="x","",""))))</f>
        <v/>
      </c>
      <c r="U2809" t="str">
        <f>IF(B2809=1,MAX($U$2:$U2808)+1,IF(AND($T2809&lt;&gt;"",$T2809=$T2808),$U2808,IF(B2809="x",U2808,"")))</f>
        <v/>
      </c>
      <c r="V2809" t="str">
        <f>IF(C2809=1,MAX($V$2:$V2808)+1,IF(AND($T2809&lt;&gt;"",$T2809=$T2808),$U2808,IF(C2809="x",V2808,"")))</f>
        <v/>
      </c>
      <c r="X2809" cm="1">
        <f t="array" ref="X2809">IF($I2809&lt;&gt;"",$I2809,INDEX($I$1:$I2809,ROW()-COUNTIFS($T$1:$T2809,"="&amp;$T2809,$S$1:$S2809,"&lt;"&amp;$S2809)))</f>
        <v>0</v>
      </c>
      <c r="Z2809" s="6">
        <f t="shared" si="390"/>
        <v>1</v>
      </c>
      <c r="AA2809" t="e">
        <f t="shared" si="391"/>
        <v>#VALUE!</v>
      </c>
      <c r="AB2809" t="str">
        <f t="shared" si="392"/>
        <v/>
      </c>
      <c r="AC2809" t="e">
        <f t="shared" si="393"/>
        <v>#VALUE!</v>
      </c>
    </row>
    <row r="2810" spans="1:29" x14ac:dyDescent="0.2">
      <c r="A2810" t="str">
        <f t="shared" si="394"/>
        <v/>
      </c>
      <c r="E2810" s="4"/>
      <c r="F2810" s="46"/>
      <c r="G2810" s="4"/>
      <c r="H2810" s="48"/>
      <c r="J2810" s="26" t="str">
        <f t="shared" si="395"/>
        <v/>
      </c>
      <c r="N2810" t="str">
        <f t="shared" si="396"/>
        <v/>
      </c>
      <c r="Q2810" t="str">
        <f t="shared" si="397"/>
        <v/>
      </c>
      <c r="S2810" t="str">
        <f>IF(A2810=1,MAX($S$2:$S2809)+1,IF(OR($I2810&lt;&gt;"",A2810="x"),$S2809,""))</f>
        <v/>
      </c>
      <c r="T2810" t="str">
        <f>IF(D2810=1,MAX($T$2:$T2809)+1,IF(S2810=S2809,$T2809,IF(D2810="x",T2809,IF(D2809="x","",""))))</f>
        <v/>
      </c>
      <c r="U2810" t="str">
        <f>IF(B2810=1,MAX($U$2:$U2809)+1,IF(AND($T2810&lt;&gt;"",$T2810=$T2809),$U2809,IF(B2810="x",U2809,"")))</f>
        <v/>
      </c>
      <c r="V2810" t="str">
        <f>IF(C2810=1,MAX($V$2:$V2809)+1,IF(AND($T2810&lt;&gt;"",$T2810=$T2809),$U2809,IF(C2810="x",V2809,"")))</f>
        <v/>
      </c>
      <c r="X2810" cm="1">
        <f t="array" ref="X2810">IF($I2810&lt;&gt;"",$I2810,INDEX($I$1:$I2810,ROW()-COUNTIFS($T$1:$T2810,"="&amp;$T2810,$S$1:$S2810,"&lt;"&amp;$S2810)))</f>
        <v>0</v>
      </c>
      <c r="Z2810" s="6">
        <f t="shared" si="390"/>
        <v>1</v>
      </c>
      <c r="AA2810" t="e">
        <f t="shared" si="391"/>
        <v>#VALUE!</v>
      </c>
      <c r="AB2810" t="str">
        <f t="shared" si="392"/>
        <v/>
      </c>
      <c r="AC2810" t="e">
        <f t="shared" si="393"/>
        <v>#VALUE!</v>
      </c>
    </row>
    <row r="2811" spans="1:29" x14ac:dyDescent="0.2">
      <c r="A2811" t="str">
        <f t="shared" si="394"/>
        <v/>
      </c>
      <c r="E2811" s="4"/>
      <c r="F2811" s="46"/>
      <c r="G2811" s="4"/>
      <c r="H2811" s="48"/>
      <c r="J2811" s="26" t="str">
        <f t="shared" si="395"/>
        <v/>
      </c>
      <c r="N2811" t="str">
        <f t="shared" si="396"/>
        <v/>
      </c>
      <c r="Q2811" t="str">
        <f t="shared" si="397"/>
        <v/>
      </c>
      <c r="S2811" t="str">
        <f>IF(A2811=1,MAX($S$2:$S2810)+1,IF(OR($I2811&lt;&gt;"",A2811="x"),$S2810,""))</f>
        <v/>
      </c>
      <c r="T2811" t="str">
        <f>IF(D2811=1,MAX($T$2:$T2810)+1,IF(S2811=S2810,$T2810,IF(D2811="x",T2810,IF(D2810="x","",""))))</f>
        <v/>
      </c>
      <c r="U2811" t="str">
        <f>IF(B2811=1,MAX($U$2:$U2810)+1,IF(AND($T2811&lt;&gt;"",$T2811=$T2810),$U2810,IF(B2811="x",U2810,"")))</f>
        <v/>
      </c>
      <c r="V2811" t="str">
        <f>IF(C2811=1,MAX($V$2:$V2810)+1,IF(AND($T2811&lt;&gt;"",$T2811=$T2810),$U2810,IF(C2811="x",V2810,"")))</f>
        <v/>
      </c>
      <c r="X2811" cm="1">
        <f t="array" ref="X2811">IF($I2811&lt;&gt;"",$I2811,INDEX($I$1:$I2811,ROW()-COUNTIFS($T$1:$T2811,"="&amp;$T2811,$S$1:$S2811,"&lt;"&amp;$S2811)))</f>
        <v>0</v>
      </c>
      <c r="Z2811" s="6">
        <f t="shared" si="390"/>
        <v>1</v>
      </c>
      <c r="AA2811" t="e">
        <f t="shared" si="391"/>
        <v>#VALUE!</v>
      </c>
      <c r="AB2811" t="str">
        <f t="shared" si="392"/>
        <v/>
      </c>
      <c r="AC2811" t="e">
        <f t="shared" si="393"/>
        <v>#VALUE!</v>
      </c>
    </row>
    <row r="2812" spans="1:29" x14ac:dyDescent="0.2">
      <c r="A2812" t="str">
        <f t="shared" si="394"/>
        <v/>
      </c>
      <c r="E2812" s="4"/>
      <c r="F2812" s="46"/>
      <c r="G2812" s="4"/>
      <c r="H2812" s="48"/>
      <c r="J2812" s="26" t="str">
        <f t="shared" si="395"/>
        <v/>
      </c>
      <c r="N2812" t="str">
        <f t="shared" si="396"/>
        <v/>
      </c>
      <c r="Q2812" t="str">
        <f t="shared" si="397"/>
        <v/>
      </c>
      <c r="S2812" t="str">
        <f>IF(A2812=1,MAX($S$2:$S2811)+1,IF(OR($I2812&lt;&gt;"",A2812="x"),$S2811,""))</f>
        <v/>
      </c>
      <c r="T2812" t="str">
        <f>IF(D2812=1,MAX($T$2:$T2811)+1,IF(S2812=S2811,$T2811,IF(D2812="x",T2811,IF(D2811="x","",""))))</f>
        <v/>
      </c>
      <c r="U2812" t="str">
        <f>IF(B2812=1,MAX($U$2:$U2811)+1,IF(AND($T2812&lt;&gt;"",$T2812=$T2811),$U2811,IF(B2812="x",U2811,"")))</f>
        <v/>
      </c>
      <c r="V2812" t="str">
        <f>IF(C2812=1,MAX($V$2:$V2811)+1,IF(AND($T2812&lt;&gt;"",$T2812=$T2811),$U2811,IF(C2812="x",V2811,"")))</f>
        <v/>
      </c>
      <c r="X2812" cm="1">
        <f t="array" ref="X2812">IF($I2812&lt;&gt;"",$I2812,INDEX($I$1:$I2812,ROW()-COUNTIFS($T$1:$T2812,"="&amp;$T2812,$S$1:$S2812,"&lt;"&amp;$S2812)))</f>
        <v>0</v>
      </c>
      <c r="Z2812" s="6">
        <f t="shared" si="390"/>
        <v>1</v>
      </c>
      <c r="AA2812" t="e">
        <f t="shared" si="391"/>
        <v>#VALUE!</v>
      </c>
      <c r="AB2812" t="str">
        <f t="shared" si="392"/>
        <v/>
      </c>
      <c r="AC2812" t="e">
        <f t="shared" si="393"/>
        <v>#VALUE!</v>
      </c>
    </row>
    <row r="2813" spans="1:29" x14ac:dyDescent="0.2">
      <c r="A2813" t="str">
        <f t="shared" si="394"/>
        <v/>
      </c>
      <c r="E2813" s="4"/>
      <c r="F2813" s="46"/>
      <c r="G2813" s="4"/>
      <c r="H2813" s="48"/>
      <c r="J2813" s="26" t="str">
        <f t="shared" si="395"/>
        <v/>
      </c>
      <c r="N2813" t="str">
        <f t="shared" si="396"/>
        <v/>
      </c>
      <c r="Q2813" t="str">
        <f t="shared" si="397"/>
        <v/>
      </c>
      <c r="S2813" t="str">
        <f>IF(A2813=1,MAX($S$2:$S2812)+1,IF(OR($I2813&lt;&gt;"",A2813="x"),$S2812,""))</f>
        <v/>
      </c>
      <c r="T2813" t="str">
        <f>IF(D2813=1,MAX($T$2:$T2812)+1,IF(S2813=S2812,$T2812,IF(D2813="x",T2812,IF(D2812="x","",""))))</f>
        <v/>
      </c>
      <c r="U2813" t="str">
        <f>IF(B2813=1,MAX($U$2:$U2812)+1,IF(AND($T2813&lt;&gt;"",$T2813=$T2812),$U2812,IF(B2813="x",U2812,"")))</f>
        <v/>
      </c>
      <c r="V2813" t="str">
        <f>IF(C2813=1,MAX($V$2:$V2812)+1,IF(AND($T2813&lt;&gt;"",$T2813=$T2812),$U2812,IF(C2813="x",V2812,"")))</f>
        <v/>
      </c>
      <c r="X2813" cm="1">
        <f t="array" ref="X2813">IF($I2813&lt;&gt;"",$I2813,INDEX($I$1:$I2813,ROW()-COUNTIFS($T$1:$T2813,"="&amp;$T2813,$S$1:$S2813,"&lt;"&amp;$S2813)))</f>
        <v>0</v>
      </c>
      <c r="Z2813" s="6">
        <f t="shared" si="390"/>
        <v>1</v>
      </c>
      <c r="AA2813" t="e">
        <f t="shared" si="391"/>
        <v>#VALUE!</v>
      </c>
      <c r="AB2813" t="str">
        <f t="shared" si="392"/>
        <v/>
      </c>
      <c r="AC2813" t="e">
        <f t="shared" si="393"/>
        <v>#VALUE!</v>
      </c>
    </row>
    <row r="2814" spans="1:29" x14ac:dyDescent="0.2">
      <c r="A2814" t="str">
        <f t="shared" si="394"/>
        <v/>
      </c>
      <c r="E2814" s="4"/>
      <c r="F2814" s="46"/>
      <c r="G2814" s="4"/>
      <c r="H2814" s="48"/>
      <c r="J2814" s="26" t="str">
        <f t="shared" si="395"/>
        <v/>
      </c>
      <c r="N2814" t="str">
        <f t="shared" si="396"/>
        <v/>
      </c>
      <c r="Q2814" t="str">
        <f t="shared" si="397"/>
        <v/>
      </c>
      <c r="S2814" t="str">
        <f>IF(A2814=1,MAX($S$2:$S2813)+1,IF(OR($I2814&lt;&gt;"",A2814="x"),$S2813,""))</f>
        <v/>
      </c>
      <c r="T2814" t="str">
        <f>IF(D2814=1,MAX($T$2:$T2813)+1,IF(S2814=S2813,$T2813,IF(D2814="x",T2813,IF(D2813="x","",""))))</f>
        <v/>
      </c>
      <c r="U2814" t="str">
        <f>IF(B2814=1,MAX($U$2:$U2813)+1,IF(AND($T2814&lt;&gt;"",$T2814=$T2813),$U2813,IF(B2814="x",U2813,"")))</f>
        <v/>
      </c>
      <c r="V2814" t="str">
        <f>IF(C2814=1,MAX($V$2:$V2813)+1,IF(AND($T2814&lt;&gt;"",$T2814=$T2813),$U2813,IF(C2814="x",V2813,"")))</f>
        <v/>
      </c>
      <c r="X2814" cm="1">
        <f t="array" ref="X2814">IF($I2814&lt;&gt;"",$I2814,INDEX($I$1:$I2814,ROW()-COUNTIFS($T$1:$T2814,"="&amp;$T2814,$S$1:$S2814,"&lt;"&amp;$S2814)))</f>
        <v>0</v>
      </c>
      <c r="Z2814" s="6">
        <f t="shared" si="390"/>
        <v>1</v>
      </c>
      <c r="AA2814" t="e">
        <f t="shared" si="391"/>
        <v>#VALUE!</v>
      </c>
      <c r="AB2814" t="str">
        <f t="shared" si="392"/>
        <v/>
      </c>
      <c r="AC2814" t="e">
        <f t="shared" si="393"/>
        <v>#VALUE!</v>
      </c>
    </row>
    <row r="2815" spans="1:29" x14ac:dyDescent="0.2">
      <c r="A2815" t="str">
        <f t="shared" si="394"/>
        <v/>
      </c>
      <c r="E2815" s="4"/>
      <c r="F2815" s="46"/>
      <c r="G2815" s="4"/>
      <c r="H2815" s="48"/>
      <c r="J2815" s="26" t="str">
        <f t="shared" si="395"/>
        <v/>
      </c>
      <c r="N2815" t="str">
        <f t="shared" si="396"/>
        <v/>
      </c>
      <c r="Q2815" t="str">
        <f t="shared" si="397"/>
        <v/>
      </c>
      <c r="S2815" t="str">
        <f>IF(A2815=1,MAX($S$2:$S2814)+1,IF(OR($I2815&lt;&gt;"",A2815="x"),$S2814,""))</f>
        <v/>
      </c>
      <c r="T2815" t="str">
        <f>IF(D2815=1,MAX($T$2:$T2814)+1,IF(S2815=S2814,$T2814,IF(D2815="x",T2814,IF(D2814="x","",""))))</f>
        <v/>
      </c>
      <c r="U2815" t="str">
        <f>IF(B2815=1,MAX($U$2:$U2814)+1,IF(AND($T2815&lt;&gt;"",$T2815=$T2814),$U2814,IF(B2815="x",U2814,"")))</f>
        <v/>
      </c>
      <c r="V2815" t="str">
        <f>IF(C2815=1,MAX($V$2:$V2814)+1,IF(AND($T2815&lt;&gt;"",$T2815=$T2814),$U2814,IF(C2815="x",V2814,"")))</f>
        <v/>
      </c>
      <c r="X2815" cm="1">
        <f t="array" ref="X2815">IF($I2815&lt;&gt;"",$I2815,INDEX($I$1:$I2815,ROW()-COUNTIFS($T$1:$T2815,"="&amp;$T2815,$S$1:$S2815,"&lt;"&amp;$S2815)))</f>
        <v>0</v>
      </c>
      <c r="Z2815" s="6">
        <f t="shared" si="390"/>
        <v>1</v>
      </c>
      <c r="AA2815" t="e">
        <f t="shared" si="391"/>
        <v>#VALUE!</v>
      </c>
      <c r="AB2815" t="str">
        <f t="shared" si="392"/>
        <v/>
      </c>
      <c r="AC2815" t="e">
        <f t="shared" si="393"/>
        <v>#VALUE!</v>
      </c>
    </row>
    <row r="2816" spans="1:29" x14ac:dyDescent="0.2">
      <c r="A2816" t="str">
        <f t="shared" si="394"/>
        <v/>
      </c>
      <c r="E2816" s="4"/>
      <c r="F2816" s="46"/>
      <c r="G2816" s="4"/>
      <c r="H2816" s="48"/>
      <c r="J2816" s="26" t="str">
        <f t="shared" si="395"/>
        <v/>
      </c>
      <c r="N2816" t="str">
        <f t="shared" si="396"/>
        <v/>
      </c>
      <c r="Q2816" t="str">
        <f t="shared" si="397"/>
        <v/>
      </c>
      <c r="S2816" t="str">
        <f>IF(A2816=1,MAX($S$2:$S2815)+1,IF(OR($I2816&lt;&gt;"",A2816="x"),$S2815,""))</f>
        <v/>
      </c>
      <c r="T2816" t="str">
        <f>IF(D2816=1,MAX($T$2:$T2815)+1,IF(S2816=S2815,$T2815,IF(D2816="x",T2815,IF(D2815="x","",""))))</f>
        <v/>
      </c>
      <c r="U2816" t="str">
        <f>IF(B2816=1,MAX($U$2:$U2815)+1,IF(AND($T2816&lt;&gt;"",$T2816=$T2815),$U2815,IF(B2816="x",U2815,"")))</f>
        <v/>
      </c>
      <c r="V2816" t="str">
        <f>IF(C2816=1,MAX($V$2:$V2815)+1,IF(AND($T2816&lt;&gt;"",$T2816=$T2815),$U2815,IF(C2816="x",V2815,"")))</f>
        <v/>
      </c>
      <c r="X2816" cm="1">
        <f t="array" ref="X2816">IF($I2816&lt;&gt;"",$I2816,INDEX($I$1:$I2816,ROW()-COUNTIFS($T$1:$T2816,"="&amp;$T2816,$S$1:$S2816,"&lt;"&amp;$S2816)))</f>
        <v>0</v>
      </c>
      <c r="Z2816" s="6">
        <f t="shared" si="390"/>
        <v>1</v>
      </c>
      <c r="AA2816" t="e">
        <f t="shared" si="391"/>
        <v>#VALUE!</v>
      </c>
      <c r="AB2816" t="str">
        <f t="shared" si="392"/>
        <v/>
      </c>
      <c r="AC2816" t="e">
        <f t="shared" si="393"/>
        <v>#VALUE!</v>
      </c>
    </row>
    <row r="2817" spans="1:29" x14ac:dyDescent="0.2">
      <c r="A2817" t="str">
        <f t="shared" si="394"/>
        <v/>
      </c>
      <c r="E2817" s="4"/>
      <c r="F2817" s="46"/>
      <c r="G2817" s="4"/>
      <c r="H2817" s="48"/>
      <c r="J2817" s="26" t="str">
        <f t="shared" si="395"/>
        <v/>
      </c>
      <c r="N2817" t="str">
        <f t="shared" si="396"/>
        <v/>
      </c>
      <c r="Q2817" t="str">
        <f t="shared" si="397"/>
        <v/>
      </c>
      <c r="S2817" t="str">
        <f>IF(A2817=1,MAX($S$2:$S2816)+1,IF(OR($I2817&lt;&gt;"",A2817="x"),$S2816,""))</f>
        <v/>
      </c>
      <c r="T2817" t="str">
        <f>IF(D2817=1,MAX($T$2:$T2816)+1,IF(S2817=S2816,$T2816,IF(D2817="x",T2816,IF(D2816="x","",""))))</f>
        <v/>
      </c>
      <c r="U2817" t="str">
        <f>IF(B2817=1,MAX($U$2:$U2816)+1,IF(AND($T2817&lt;&gt;"",$T2817=$T2816),$U2816,IF(B2817="x",U2816,"")))</f>
        <v/>
      </c>
      <c r="V2817" t="str">
        <f>IF(C2817=1,MAX($V$2:$V2816)+1,IF(AND($T2817&lt;&gt;"",$T2817=$T2816),$U2816,IF(C2817="x",V2816,"")))</f>
        <v/>
      </c>
      <c r="X2817" cm="1">
        <f t="array" ref="X2817">IF($I2817&lt;&gt;"",$I2817,INDEX($I$1:$I2817,ROW()-COUNTIFS($T$1:$T2817,"="&amp;$T2817,$S$1:$S2817,"&lt;"&amp;$S2817)))</f>
        <v>0</v>
      </c>
      <c r="Z2817" s="6">
        <f t="shared" si="390"/>
        <v>1</v>
      </c>
      <c r="AA2817" t="e">
        <f t="shared" si="391"/>
        <v>#VALUE!</v>
      </c>
      <c r="AB2817" t="str">
        <f t="shared" si="392"/>
        <v/>
      </c>
      <c r="AC2817" t="e">
        <f t="shared" si="393"/>
        <v>#VALUE!</v>
      </c>
    </row>
    <row r="2818" spans="1:29" x14ac:dyDescent="0.2">
      <c r="A2818" t="str">
        <f t="shared" si="394"/>
        <v/>
      </c>
      <c r="E2818" s="4"/>
      <c r="F2818" s="46"/>
      <c r="G2818" s="4"/>
      <c r="H2818" s="48"/>
      <c r="J2818" s="26" t="str">
        <f t="shared" si="395"/>
        <v/>
      </c>
      <c r="N2818" t="str">
        <f t="shared" si="396"/>
        <v/>
      </c>
      <c r="Q2818" t="str">
        <f t="shared" si="397"/>
        <v/>
      </c>
      <c r="S2818" t="str">
        <f>IF(A2818=1,MAX($S$2:$S2817)+1,IF(OR($I2818&lt;&gt;"",A2818="x"),$S2817,""))</f>
        <v/>
      </c>
      <c r="T2818" t="str">
        <f>IF(D2818=1,MAX($T$2:$T2817)+1,IF(S2818=S2817,$T2817,IF(D2818="x",T2817,IF(D2817="x","",""))))</f>
        <v/>
      </c>
      <c r="U2818" t="str">
        <f>IF(B2818=1,MAX($U$2:$U2817)+1,IF(AND($T2818&lt;&gt;"",$T2818=$T2817),$U2817,IF(B2818="x",U2817,"")))</f>
        <v/>
      </c>
      <c r="V2818" t="str">
        <f>IF(C2818=1,MAX($V$2:$V2817)+1,IF(AND($T2818&lt;&gt;"",$T2818=$T2817),$U2817,IF(C2818="x",V2817,"")))</f>
        <v/>
      </c>
      <c r="X2818" cm="1">
        <f t="array" ref="X2818">IF($I2818&lt;&gt;"",$I2818,INDEX($I$1:$I2818,ROW()-COUNTIFS($T$1:$T2818,"="&amp;$T2818,$S$1:$S2818,"&lt;"&amp;$S2818)))</f>
        <v>0</v>
      </c>
      <c r="Z2818" s="6">
        <f t="shared" si="390"/>
        <v>1</v>
      </c>
      <c r="AA2818" t="e">
        <f t="shared" si="391"/>
        <v>#VALUE!</v>
      </c>
      <c r="AB2818" t="str">
        <f t="shared" si="392"/>
        <v/>
      </c>
      <c r="AC2818" t="e">
        <f t="shared" si="393"/>
        <v>#VALUE!</v>
      </c>
    </row>
    <row r="2819" spans="1:29" x14ac:dyDescent="0.2">
      <c r="A2819" t="str">
        <f t="shared" si="394"/>
        <v/>
      </c>
      <c r="E2819" s="4"/>
      <c r="F2819" s="46"/>
      <c r="G2819" s="4"/>
      <c r="H2819" s="48"/>
      <c r="J2819" s="26" t="str">
        <f t="shared" si="395"/>
        <v/>
      </c>
      <c r="N2819" t="str">
        <f t="shared" si="396"/>
        <v/>
      </c>
      <c r="Q2819" t="str">
        <f t="shared" si="397"/>
        <v/>
      </c>
      <c r="S2819" t="str">
        <f>IF(A2819=1,MAX($S$2:$S2818)+1,IF(OR($I2819&lt;&gt;"",A2819="x"),$S2818,""))</f>
        <v/>
      </c>
      <c r="T2819" t="str">
        <f>IF(D2819=1,MAX($T$2:$T2818)+1,IF(S2819=S2818,$T2818,IF(D2819="x",T2818,IF(D2818="x","",""))))</f>
        <v/>
      </c>
      <c r="U2819" t="str">
        <f>IF(B2819=1,MAX($U$2:$U2818)+1,IF(AND($T2819&lt;&gt;"",$T2819=$T2818),$U2818,IF(B2819="x",U2818,"")))</f>
        <v/>
      </c>
      <c r="V2819" t="str">
        <f>IF(C2819=1,MAX($V$2:$V2818)+1,IF(AND($T2819&lt;&gt;"",$T2819=$T2818),$U2818,IF(C2819="x",V2818,"")))</f>
        <v/>
      </c>
      <c r="X2819" cm="1">
        <f t="array" ref="X2819">IF($I2819&lt;&gt;"",$I2819,INDEX($I$1:$I2819,ROW()-COUNTIFS($T$1:$T2819,"="&amp;$T2819,$S$1:$S2819,"&lt;"&amp;$S2819)))</f>
        <v>0</v>
      </c>
      <c r="Z2819" s="6">
        <f t="shared" si="390"/>
        <v>1</v>
      </c>
      <c r="AA2819" t="e">
        <f t="shared" si="391"/>
        <v>#VALUE!</v>
      </c>
      <c r="AB2819" t="str">
        <f t="shared" si="392"/>
        <v/>
      </c>
      <c r="AC2819" t="e">
        <f t="shared" si="393"/>
        <v>#VALUE!</v>
      </c>
    </row>
    <row r="2820" spans="1:29" x14ac:dyDescent="0.2">
      <c r="A2820" t="str">
        <f t="shared" si="394"/>
        <v/>
      </c>
      <c r="E2820" s="4"/>
      <c r="F2820" s="46"/>
      <c r="G2820" s="4"/>
      <c r="H2820" s="48"/>
      <c r="J2820" s="26" t="str">
        <f t="shared" si="395"/>
        <v/>
      </c>
      <c r="N2820" t="str">
        <f t="shared" si="396"/>
        <v/>
      </c>
      <c r="Q2820" t="str">
        <f t="shared" si="397"/>
        <v/>
      </c>
      <c r="S2820" t="str">
        <f>IF(A2820=1,MAX($S$2:$S2819)+1,IF(OR($I2820&lt;&gt;"",A2820="x"),$S2819,""))</f>
        <v/>
      </c>
      <c r="T2820" t="str">
        <f>IF(D2820=1,MAX($T$2:$T2819)+1,IF(S2820=S2819,$T2819,IF(D2820="x",T2819,IF(D2819="x","",""))))</f>
        <v/>
      </c>
      <c r="U2820" t="str">
        <f>IF(B2820=1,MAX($U$2:$U2819)+1,IF(AND($T2820&lt;&gt;"",$T2820=$T2819),$U2819,IF(B2820="x",U2819,"")))</f>
        <v/>
      </c>
      <c r="V2820" t="str">
        <f>IF(C2820=1,MAX($V$2:$V2819)+1,IF(AND($T2820&lt;&gt;"",$T2820=$T2819),$U2819,IF(C2820="x",V2819,"")))</f>
        <v/>
      </c>
      <c r="X2820" cm="1">
        <f t="array" ref="X2820">IF($I2820&lt;&gt;"",$I2820,INDEX($I$1:$I2820,ROW()-COUNTIFS($T$1:$T2820,"="&amp;$T2820,$S$1:$S2820,"&lt;"&amp;$S2820)))</f>
        <v>0</v>
      </c>
      <c r="Z2820" s="6">
        <f t="shared" si="390"/>
        <v>1</v>
      </c>
      <c r="AA2820" t="e">
        <f t="shared" si="391"/>
        <v>#VALUE!</v>
      </c>
      <c r="AB2820" t="str">
        <f t="shared" si="392"/>
        <v/>
      </c>
      <c r="AC2820" t="e">
        <f t="shared" si="393"/>
        <v>#VALUE!</v>
      </c>
    </row>
    <row r="2821" spans="1:29" x14ac:dyDescent="0.2">
      <c r="A2821" t="str">
        <f t="shared" si="394"/>
        <v/>
      </c>
      <c r="E2821" s="4"/>
      <c r="F2821" s="46"/>
      <c r="G2821" s="4"/>
      <c r="H2821" s="48"/>
      <c r="J2821" s="26" t="str">
        <f t="shared" si="395"/>
        <v/>
      </c>
      <c r="N2821" t="str">
        <f t="shared" si="396"/>
        <v/>
      </c>
      <c r="Q2821" t="str">
        <f t="shared" si="397"/>
        <v/>
      </c>
      <c r="S2821" t="str">
        <f>IF(A2821=1,MAX($S$2:$S2820)+1,IF(OR($I2821&lt;&gt;"",A2821="x"),$S2820,""))</f>
        <v/>
      </c>
      <c r="T2821" t="str">
        <f>IF(D2821=1,MAX($T$2:$T2820)+1,IF(S2821=S2820,$T2820,IF(D2821="x",T2820,IF(D2820="x","",""))))</f>
        <v/>
      </c>
      <c r="U2821" t="str">
        <f>IF(B2821=1,MAX($U$2:$U2820)+1,IF(AND($T2821&lt;&gt;"",$T2821=$T2820),$U2820,IF(B2821="x",U2820,"")))</f>
        <v/>
      </c>
      <c r="V2821" t="str">
        <f>IF(C2821=1,MAX($V$2:$V2820)+1,IF(AND($T2821&lt;&gt;"",$T2821=$T2820),$U2820,IF(C2821="x",V2820,"")))</f>
        <v/>
      </c>
      <c r="X2821" cm="1">
        <f t="array" ref="X2821">IF($I2821&lt;&gt;"",$I2821,INDEX($I$1:$I2821,ROW()-COUNTIFS($T$1:$T2821,"="&amp;$T2821,$S$1:$S2821,"&lt;"&amp;$S2821)))</f>
        <v>0</v>
      </c>
      <c r="Z2821" s="6">
        <f t="shared" ref="Z2821:Z2884" si="398">IF(K2821="Intermission",Z2820+1,Z2820)</f>
        <v>1</v>
      </c>
      <c r="AA2821" t="e">
        <f t="shared" ref="AA2821:AA2884" si="399">S2821+1000</f>
        <v>#VALUE!</v>
      </c>
      <c r="AB2821" t="str">
        <f t="shared" ref="AB2821:AB2884" si="400">IF(T2821&lt;&gt;"",9000+T2821,"")</f>
        <v/>
      </c>
      <c r="AC2821" t="e">
        <f t="shared" ref="AC2821:AC2884" si="401">IF(AB2821&lt;&gt;"",AB2821,S2821+1000)</f>
        <v>#VALUE!</v>
      </c>
    </row>
    <row r="2822" spans="1:29" x14ac:dyDescent="0.2">
      <c r="A2822" t="str">
        <f t="shared" si="394"/>
        <v/>
      </c>
      <c r="E2822" s="4"/>
      <c r="F2822" s="46"/>
      <c r="G2822" s="4"/>
      <c r="H2822" s="48"/>
      <c r="J2822" s="26" t="str">
        <f t="shared" si="395"/>
        <v/>
      </c>
      <c r="N2822" t="str">
        <f t="shared" si="396"/>
        <v/>
      </c>
      <c r="Q2822" t="str">
        <f t="shared" si="397"/>
        <v/>
      </c>
      <c r="S2822" t="str">
        <f>IF(A2822=1,MAX($S$2:$S2821)+1,IF(OR($I2822&lt;&gt;"",A2822="x"),$S2821,""))</f>
        <v/>
      </c>
      <c r="T2822" t="str">
        <f>IF(D2822=1,MAX($T$2:$T2821)+1,IF(S2822=S2821,$T2821,IF(D2822="x",T2821,IF(D2821="x","",""))))</f>
        <v/>
      </c>
      <c r="U2822" t="str">
        <f>IF(B2822=1,MAX($U$2:$U2821)+1,IF(AND($T2822&lt;&gt;"",$T2822=$T2821),$U2821,IF(B2822="x",U2821,"")))</f>
        <v/>
      </c>
      <c r="V2822" t="str">
        <f>IF(C2822=1,MAX($V$2:$V2821)+1,IF(AND($T2822&lt;&gt;"",$T2822=$T2821),$U2821,IF(C2822="x",V2821,"")))</f>
        <v/>
      </c>
      <c r="X2822" cm="1">
        <f t="array" ref="X2822">IF($I2822&lt;&gt;"",$I2822,INDEX($I$1:$I2822,ROW()-COUNTIFS($T$1:$T2822,"="&amp;$T2822,$S$1:$S2822,"&lt;"&amp;$S2822)))</f>
        <v>0</v>
      </c>
      <c r="Z2822" s="6">
        <f t="shared" si="398"/>
        <v>1</v>
      </c>
      <c r="AA2822" t="e">
        <f t="shared" si="399"/>
        <v>#VALUE!</v>
      </c>
      <c r="AB2822" t="str">
        <f t="shared" si="400"/>
        <v/>
      </c>
      <c r="AC2822" t="e">
        <f t="shared" si="401"/>
        <v>#VALUE!</v>
      </c>
    </row>
    <row r="2823" spans="1:29" x14ac:dyDescent="0.2">
      <c r="A2823" t="str">
        <f t="shared" si="394"/>
        <v/>
      </c>
      <c r="E2823" s="4"/>
      <c r="F2823" s="46"/>
      <c r="G2823" s="4"/>
      <c r="H2823" s="48"/>
      <c r="J2823" s="26" t="str">
        <f t="shared" si="395"/>
        <v/>
      </c>
      <c r="N2823" t="str">
        <f t="shared" si="396"/>
        <v/>
      </c>
      <c r="Q2823" t="str">
        <f t="shared" si="397"/>
        <v/>
      </c>
      <c r="S2823" t="str">
        <f>IF(A2823=1,MAX($S$2:$S2822)+1,IF(OR($I2823&lt;&gt;"",A2823="x"),$S2822,""))</f>
        <v/>
      </c>
      <c r="T2823" t="str">
        <f>IF(D2823=1,MAX($T$2:$T2822)+1,IF(S2823=S2822,$T2822,IF(D2823="x",T2822,IF(D2822="x","",""))))</f>
        <v/>
      </c>
      <c r="U2823" t="str">
        <f>IF(B2823=1,MAX($U$2:$U2822)+1,IF(AND($T2823&lt;&gt;"",$T2823=$T2822),$U2822,IF(B2823="x",U2822,"")))</f>
        <v/>
      </c>
      <c r="V2823" t="str">
        <f>IF(C2823=1,MAX($V$2:$V2822)+1,IF(AND($T2823&lt;&gt;"",$T2823=$T2822),$U2822,IF(C2823="x",V2822,"")))</f>
        <v/>
      </c>
      <c r="X2823" cm="1">
        <f t="array" ref="X2823">IF($I2823&lt;&gt;"",$I2823,INDEX($I$1:$I2823,ROW()-COUNTIFS($T$1:$T2823,"="&amp;$T2823,$S$1:$S2823,"&lt;"&amp;$S2823)))</f>
        <v>0</v>
      </c>
      <c r="Z2823" s="6">
        <f t="shared" si="398"/>
        <v>1</v>
      </c>
      <c r="AA2823" t="e">
        <f t="shared" si="399"/>
        <v>#VALUE!</v>
      </c>
      <c r="AB2823" t="str">
        <f t="shared" si="400"/>
        <v/>
      </c>
      <c r="AC2823" t="e">
        <f t="shared" si="401"/>
        <v>#VALUE!</v>
      </c>
    </row>
    <row r="2824" spans="1:29" x14ac:dyDescent="0.2">
      <c r="A2824" t="str">
        <f t="shared" si="394"/>
        <v/>
      </c>
      <c r="E2824" s="4"/>
      <c r="F2824" s="46"/>
      <c r="G2824" s="4"/>
      <c r="H2824" s="48"/>
      <c r="J2824" s="26" t="str">
        <f t="shared" si="395"/>
        <v/>
      </c>
      <c r="N2824" t="str">
        <f t="shared" si="396"/>
        <v/>
      </c>
      <c r="Q2824" t="str">
        <f t="shared" si="397"/>
        <v/>
      </c>
      <c r="S2824" t="str">
        <f>IF(A2824=1,MAX($S$2:$S2823)+1,IF(OR($I2824&lt;&gt;"",A2824="x"),$S2823,""))</f>
        <v/>
      </c>
      <c r="T2824" t="str">
        <f>IF(D2824=1,MAX($T$2:$T2823)+1,IF(S2824=S2823,$T2823,IF(D2824="x",T2823,IF(D2823="x","",""))))</f>
        <v/>
      </c>
      <c r="U2824" t="str">
        <f>IF(B2824=1,MAX($U$2:$U2823)+1,IF(AND($T2824&lt;&gt;"",$T2824=$T2823),$U2823,IF(B2824="x",U2823,"")))</f>
        <v/>
      </c>
      <c r="V2824" t="str">
        <f>IF(C2824=1,MAX($V$2:$V2823)+1,IF(AND($T2824&lt;&gt;"",$T2824=$T2823),$U2823,IF(C2824="x",V2823,"")))</f>
        <v/>
      </c>
      <c r="X2824" cm="1">
        <f t="array" ref="X2824">IF($I2824&lt;&gt;"",$I2824,INDEX($I$1:$I2824,ROW()-COUNTIFS($T$1:$T2824,"="&amp;$T2824,$S$1:$S2824,"&lt;"&amp;$S2824)))</f>
        <v>0</v>
      </c>
      <c r="Z2824" s="6">
        <f t="shared" si="398"/>
        <v>1</v>
      </c>
      <c r="AA2824" t="e">
        <f t="shared" si="399"/>
        <v>#VALUE!</v>
      </c>
      <c r="AB2824" t="str">
        <f t="shared" si="400"/>
        <v/>
      </c>
      <c r="AC2824" t="e">
        <f t="shared" si="401"/>
        <v>#VALUE!</v>
      </c>
    </row>
    <row r="2825" spans="1:29" x14ac:dyDescent="0.2">
      <c r="A2825" t="str">
        <f t="shared" si="394"/>
        <v/>
      </c>
      <c r="E2825" s="4"/>
      <c r="F2825" s="46"/>
      <c r="G2825" s="4"/>
      <c r="H2825" s="48"/>
      <c r="J2825" s="26" t="str">
        <f t="shared" si="395"/>
        <v/>
      </c>
      <c r="N2825" t="str">
        <f t="shared" si="396"/>
        <v/>
      </c>
      <c r="Q2825" t="str">
        <f t="shared" si="397"/>
        <v/>
      </c>
      <c r="S2825" t="str">
        <f>IF(A2825=1,MAX($S$2:$S2824)+1,IF(OR($I2825&lt;&gt;"",A2825="x"),$S2824,""))</f>
        <v/>
      </c>
      <c r="T2825" t="str">
        <f>IF(D2825=1,MAX($T$2:$T2824)+1,IF(S2825=S2824,$T2824,IF(D2825="x",T2824,IF(D2824="x","",""))))</f>
        <v/>
      </c>
      <c r="U2825" t="str">
        <f>IF(B2825=1,MAX($U$2:$U2824)+1,IF(AND($T2825&lt;&gt;"",$T2825=$T2824),$U2824,IF(B2825="x",U2824,"")))</f>
        <v/>
      </c>
      <c r="V2825" t="str">
        <f>IF(C2825=1,MAX($V$2:$V2824)+1,IF(AND($T2825&lt;&gt;"",$T2825=$T2824),$U2824,IF(C2825="x",V2824,"")))</f>
        <v/>
      </c>
      <c r="X2825" cm="1">
        <f t="array" ref="X2825">IF($I2825&lt;&gt;"",$I2825,INDEX($I$1:$I2825,ROW()-COUNTIFS($T$1:$T2825,"="&amp;$T2825,$S$1:$S2825,"&lt;"&amp;$S2825)))</f>
        <v>0</v>
      </c>
      <c r="Z2825" s="6">
        <f t="shared" si="398"/>
        <v>1</v>
      </c>
      <c r="AA2825" t="e">
        <f t="shared" si="399"/>
        <v>#VALUE!</v>
      </c>
      <c r="AB2825" t="str">
        <f t="shared" si="400"/>
        <v/>
      </c>
      <c r="AC2825" t="e">
        <f t="shared" si="401"/>
        <v>#VALUE!</v>
      </c>
    </row>
    <row r="2826" spans="1:29" x14ac:dyDescent="0.2">
      <c r="A2826" t="str">
        <f t="shared" si="394"/>
        <v/>
      </c>
      <c r="E2826" s="4"/>
      <c r="F2826" s="46"/>
      <c r="G2826" s="4"/>
      <c r="H2826" s="48"/>
      <c r="J2826" s="26" t="str">
        <f t="shared" si="395"/>
        <v/>
      </c>
      <c r="N2826" t="str">
        <f t="shared" si="396"/>
        <v/>
      </c>
      <c r="Q2826" t="str">
        <f t="shared" si="397"/>
        <v/>
      </c>
      <c r="S2826" t="str">
        <f>IF(A2826=1,MAX($S$2:$S2825)+1,IF(OR($I2826&lt;&gt;"",A2826="x"),$S2825,""))</f>
        <v/>
      </c>
      <c r="T2826" t="str">
        <f>IF(D2826=1,MAX($T$2:$T2825)+1,IF(S2826=S2825,$T2825,IF(D2826="x",T2825,IF(D2825="x","",""))))</f>
        <v/>
      </c>
      <c r="U2826" t="str">
        <f>IF(B2826=1,MAX($U$2:$U2825)+1,IF(AND($T2826&lt;&gt;"",$T2826=$T2825),$U2825,IF(B2826="x",U2825,"")))</f>
        <v/>
      </c>
      <c r="V2826" t="str">
        <f>IF(C2826=1,MAX($V$2:$V2825)+1,IF(AND($T2826&lt;&gt;"",$T2826=$T2825),$U2825,IF(C2826="x",V2825,"")))</f>
        <v/>
      </c>
      <c r="X2826" cm="1">
        <f t="array" ref="X2826">IF($I2826&lt;&gt;"",$I2826,INDEX($I$1:$I2826,ROW()-COUNTIFS($T$1:$T2826,"="&amp;$T2826,$S$1:$S2826,"&lt;"&amp;$S2826)))</f>
        <v>0</v>
      </c>
      <c r="Z2826" s="6">
        <f t="shared" si="398"/>
        <v>1</v>
      </c>
      <c r="AA2826" t="e">
        <f t="shared" si="399"/>
        <v>#VALUE!</v>
      </c>
      <c r="AB2826" t="str">
        <f t="shared" si="400"/>
        <v/>
      </c>
      <c r="AC2826" t="e">
        <f t="shared" si="401"/>
        <v>#VALUE!</v>
      </c>
    </row>
    <row r="2827" spans="1:29" x14ac:dyDescent="0.2">
      <c r="A2827" t="str">
        <f t="shared" si="394"/>
        <v/>
      </c>
      <c r="E2827" s="4"/>
      <c r="F2827" s="46"/>
      <c r="G2827" s="4"/>
      <c r="H2827" s="48"/>
      <c r="J2827" s="26" t="str">
        <f t="shared" si="395"/>
        <v/>
      </c>
      <c r="N2827" t="str">
        <f t="shared" si="396"/>
        <v/>
      </c>
      <c r="Q2827" t="str">
        <f t="shared" si="397"/>
        <v/>
      </c>
      <c r="S2827" t="str">
        <f>IF(A2827=1,MAX($S$2:$S2826)+1,IF(OR($I2827&lt;&gt;"",A2827="x"),$S2826,""))</f>
        <v/>
      </c>
      <c r="T2827" t="str">
        <f>IF(D2827=1,MAX($T$2:$T2826)+1,IF(S2827=S2826,$T2826,IF(D2827="x",T2826,IF(D2826="x","",""))))</f>
        <v/>
      </c>
      <c r="U2827" t="str">
        <f>IF(B2827=1,MAX($U$2:$U2826)+1,IF(AND($T2827&lt;&gt;"",$T2827=$T2826),$U2826,IF(B2827="x",U2826,"")))</f>
        <v/>
      </c>
      <c r="V2827" t="str">
        <f>IF(C2827=1,MAX($V$2:$V2826)+1,IF(AND($T2827&lt;&gt;"",$T2827=$T2826),$U2826,IF(C2827="x",V2826,"")))</f>
        <v/>
      </c>
      <c r="X2827" cm="1">
        <f t="array" ref="X2827">IF($I2827&lt;&gt;"",$I2827,INDEX($I$1:$I2827,ROW()-COUNTIFS($T$1:$T2827,"="&amp;$T2827,$S$1:$S2827,"&lt;"&amp;$S2827)))</f>
        <v>0</v>
      </c>
      <c r="Z2827" s="6">
        <f t="shared" si="398"/>
        <v>1</v>
      </c>
      <c r="AA2827" t="e">
        <f t="shared" si="399"/>
        <v>#VALUE!</v>
      </c>
      <c r="AB2827" t="str">
        <f t="shared" si="400"/>
        <v/>
      </c>
      <c r="AC2827" t="e">
        <f t="shared" si="401"/>
        <v>#VALUE!</v>
      </c>
    </row>
    <row r="2828" spans="1:29" x14ac:dyDescent="0.2">
      <c r="A2828" t="str">
        <f t="shared" si="394"/>
        <v/>
      </c>
      <c r="E2828" s="4"/>
      <c r="F2828" s="46"/>
      <c r="G2828" s="4"/>
      <c r="H2828" s="48"/>
      <c r="J2828" s="26" t="str">
        <f t="shared" si="395"/>
        <v/>
      </c>
      <c r="N2828" t="str">
        <f t="shared" si="396"/>
        <v/>
      </c>
      <c r="Q2828" t="str">
        <f t="shared" si="397"/>
        <v/>
      </c>
      <c r="S2828" t="str">
        <f>IF(A2828=1,MAX($S$2:$S2827)+1,IF(OR($I2828&lt;&gt;"",A2828="x"),$S2827,""))</f>
        <v/>
      </c>
      <c r="T2828" t="str">
        <f>IF(D2828=1,MAX($T$2:$T2827)+1,IF(S2828=S2827,$T2827,IF(D2828="x",T2827,IF(D2827="x","",""))))</f>
        <v/>
      </c>
      <c r="U2828" t="str">
        <f>IF(B2828=1,MAX($U$2:$U2827)+1,IF(AND($T2828&lt;&gt;"",$T2828=$T2827),$U2827,IF(B2828="x",U2827,"")))</f>
        <v/>
      </c>
      <c r="V2828" t="str">
        <f>IF(C2828=1,MAX($V$2:$V2827)+1,IF(AND($T2828&lt;&gt;"",$T2828=$T2827),$U2827,IF(C2828="x",V2827,"")))</f>
        <v/>
      </c>
      <c r="X2828" cm="1">
        <f t="array" ref="X2828">IF($I2828&lt;&gt;"",$I2828,INDEX($I$1:$I2828,ROW()-COUNTIFS($T$1:$T2828,"="&amp;$T2828,$S$1:$S2828,"&lt;"&amp;$S2828)))</f>
        <v>0</v>
      </c>
      <c r="Z2828" s="6">
        <f t="shared" si="398"/>
        <v>1</v>
      </c>
      <c r="AA2828" t="e">
        <f t="shared" si="399"/>
        <v>#VALUE!</v>
      </c>
      <c r="AB2828" t="str">
        <f t="shared" si="400"/>
        <v/>
      </c>
      <c r="AC2828" t="e">
        <f t="shared" si="401"/>
        <v>#VALUE!</v>
      </c>
    </row>
    <row r="2829" spans="1:29" x14ac:dyDescent="0.2">
      <c r="A2829" t="str">
        <f t="shared" si="394"/>
        <v/>
      </c>
      <c r="E2829" s="4"/>
      <c r="F2829" s="46"/>
      <c r="G2829" s="4"/>
      <c r="H2829" s="48"/>
      <c r="J2829" s="26" t="str">
        <f t="shared" si="395"/>
        <v/>
      </c>
      <c r="N2829" t="str">
        <f t="shared" si="396"/>
        <v/>
      </c>
      <c r="Q2829" t="str">
        <f t="shared" si="397"/>
        <v/>
      </c>
      <c r="S2829" t="str">
        <f>IF(A2829=1,MAX($S$2:$S2828)+1,IF(OR($I2829&lt;&gt;"",A2829="x"),$S2828,""))</f>
        <v/>
      </c>
      <c r="T2829" t="str">
        <f>IF(D2829=1,MAX($T$2:$T2828)+1,IF(S2829=S2828,$T2828,IF(D2829="x",T2828,IF(D2828="x","",""))))</f>
        <v/>
      </c>
      <c r="U2829" t="str">
        <f>IF(B2829=1,MAX($U$2:$U2828)+1,IF(AND($T2829&lt;&gt;"",$T2829=$T2828),$U2828,IF(B2829="x",U2828,"")))</f>
        <v/>
      </c>
      <c r="V2829" t="str">
        <f>IF(C2829=1,MAX($V$2:$V2828)+1,IF(AND($T2829&lt;&gt;"",$T2829=$T2828),$U2828,IF(C2829="x",V2828,"")))</f>
        <v/>
      </c>
      <c r="X2829" cm="1">
        <f t="array" ref="X2829">IF($I2829&lt;&gt;"",$I2829,INDEX($I$1:$I2829,ROW()-COUNTIFS($T$1:$T2829,"="&amp;$T2829,$S$1:$S2829,"&lt;"&amp;$S2829)))</f>
        <v>0</v>
      </c>
      <c r="Z2829" s="6">
        <f t="shared" si="398"/>
        <v>1</v>
      </c>
      <c r="AA2829" t="e">
        <f t="shared" si="399"/>
        <v>#VALUE!</v>
      </c>
      <c r="AB2829" t="str">
        <f t="shared" si="400"/>
        <v/>
      </c>
      <c r="AC2829" t="e">
        <f t="shared" si="401"/>
        <v>#VALUE!</v>
      </c>
    </row>
    <row r="2830" spans="1:29" x14ac:dyDescent="0.2">
      <c r="A2830" t="str">
        <f t="shared" si="394"/>
        <v/>
      </c>
      <c r="E2830" s="4"/>
      <c r="F2830" s="46"/>
      <c r="G2830" s="4"/>
      <c r="H2830" s="48"/>
      <c r="J2830" s="26" t="str">
        <f t="shared" si="395"/>
        <v/>
      </c>
      <c r="N2830" t="str">
        <f t="shared" si="396"/>
        <v/>
      </c>
      <c r="Q2830" t="str">
        <f t="shared" si="397"/>
        <v/>
      </c>
      <c r="S2830" t="str">
        <f>IF(A2830=1,MAX($S$2:$S2829)+1,IF(OR($I2830&lt;&gt;"",A2830="x"),$S2829,""))</f>
        <v/>
      </c>
      <c r="T2830" t="str">
        <f>IF(D2830=1,MAX($T$2:$T2829)+1,IF(S2830=S2829,$T2829,IF(D2830="x",T2829,IF(D2829="x","",""))))</f>
        <v/>
      </c>
      <c r="U2830" t="str">
        <f>IF(B2830=1,MAX($U$2:$U2829)+1,IF(AND($T2830&lt;&gt;"",$T2830=$T2829),$U2829,IF(B2830="x",U2829,"")))</f>
        <v/>
      </c>
      <c r="V2830" t="str">
        <f>IF(C2830=1,MAX($V$2:$V2829)+1,IF(AND($T2830&lt;&gt;"",$T2830=$T2829),$U2829,IF(C2830="x",V2829,"")))</f>
        <v/>
      </c>
      <c r="X2830" cm="1">
        <f t="array" ref="X2830">IF($I2830&lt;&gt;"",$I2830,INDEX($I$1:$I2830,ROW()-COUNTIFS($T$1:$T2830,"="&amp;$T2830,$S$1:$S2830,"&lt;"&amp;$S2830)))</f>
        <v>0</v>
      </c>
      <c r="Z2830" s="6">
        <f t="shared" si="398"/>
        <v>1</v>
      </c>
      <c r="AA2830" t="e">
        <f t="shared" si="399"/>
        <v>#VALUE!</v>
      </c>
      <c r="AB2830" t="str">
        <f t="shared" si="400"/>
        <v/>
      </c>
      <c r="AC2830" t="e">
        <f t="shared" si="401"/>
        <v>#VALUE!</v>
      </c>
    </row>
    <row r="2831" spans="1:29" x14ac:dyDescent="0.2">
      <c r="A2831" t="str">
        <f t="shared" si="394"/>
        <v/>
      </c>
      <c r="E2831" s="4"/>
      <c r="F2831" s="46"/>
      <c r="G2831" s="4"/>
      <c r="H2831" s="48"/>
      <c r="J2831" s="26" t="str">
        <f t="shared" si="395"/>
        <v/>
      </c>
      <c r="N2831" t="str">
        <f t="shared" si="396"/>
        <v/>
      </c>
      <c r="Q2831" t="str">
        <f t="shared" si="397"/>
        <v/>
      </c>
      <c r="S2831" t="str">
        <f>IF(A2831=1,MAX($S$2:$S2830)+1,IF(OR($I2831&lt;&gt;"",A2831="x"),$S2830,""))</f>
        <v/>
      </c>
      <c r="T2831" t="str">
        <f>IF(D2831=1,MAX($T$2:$T2830)+1,IF(S2831=S2830,$T2830,IF(D2831="x",T2830,IF(D2830="x","",""))))</f>
        <v/>
      </c>
      <c r="U2831" t="str">
        <f>IF(B2831=1,MAX($U$2:$U2830)+1,IF(AND($T2831&lt;&gt;"",$T2831=$T2830),$U2830,IF(B2831="x",U2830,"")))</f>
        <v/>
      </c>
      <c r="V2831" t="str">
        <f>IF(C2831=1,MAX($V$2:$V2830)+1,IF(AND($T2831&lt;&gt;"",$T2831=$T2830),$U2830,IF(C2831="x",V2830,"")))</f>
        <v/>
      </c>
      <c r="X2831" cm="1">
        <f t="array" ref="X2831">IF($I2831&lt;&gt;"",$I2831,INDEX($I$1:$I2831,ROW()-COUNTIFS($T$1:$T2831,"="&amp;$T2831,$S$1:$S2831,"&lt;"&amp;$S2831)))</f>
        <v>0</v>
      </c>
      <c r="Z2831" s="6">
        <f t="shared" si="398"/>
        <v>1</v>
      </c>
      <c r="AA2831" t="e">
        <f t="shared" si="399"/>
        <v>#VALUE!</v>
      </c>
      <c r="AB2831" t="str">
        <f t="shared" si="400"/>
        <v/>
      </c>
      <c r="AC2831" t="e">
        <f t="shared" si="401"/>
        <v>#VALUE!</v>
      </c>
    </row>
    <row r="2832" spans="1:29" x14ac:dyDescent="0.2">
      <c r="A2832" t="str">
        <f t="shared" si="394"/>
        <v/>
      </c>
      <c r="E2832" s="4"/>
      <c r="F2832" s="46"/>
      <c r="G2832" s="4"/>
      <c r="H2832" s="48"/>
      <c r="J2832" s="26" t="str">
        <f t="shared" si="395"/>
        <v/>
      </c>
      <c r="N2832" t="str">
        <f t="shared" si="396"/>
        <v/>
      </c>
      <c r="Q2832" t="str">
        <f t="shared" si="397"/>
        <v/>
      </c>
      <c r="S2832" t="str">
        <f>IF(A2832=1,MAX($S$2:$S2831)+1,IF(OR($I2832&lt;&gt;"",A2832="x"),$S2831,""))</f>
        <v/>
      </c>
      <c r="T2832" t="str">
        <f>IF(D2832=1,MAX($T$2:$T2831)+1,IF(S2832=S2831,$T2831,IF(D2832="x",T2831,IF(D2831="x","",""))))</f>
        <v/>
      </c>
      <c r="U2832" t="str">
        <f>IF(B2832=1,MAX($U$2:$U2831)+1,IF(AND($T2832&lt;&gt;"",$T2832=$T2831),$U2831,IF(B2832="x",U2831,"")))</f>
        <v/>
      </c>
      <c r="V2832" t="str">
        <f>IF(C2832=1,MAX($V$2:$V2831)+1,IF(AND($T2832&lt;&gt;"",$T2832=$T2831),$U2831,IF(C2832="x",V2831,"")))</f>
        <v/>
      </c>
      <c r="X2832" cm="1">
        <f t="array" ref="X2832">IF($I2832&lt;&gt;"",$I2832,INDEX($I$1:$I2832,ROW()-COUNTIFS($T$1:$T2832,"="&amp;$T2832,$S$1:$S2832,"&lt;"&amp;$S2832)))</f>
        <v>0</v>
      </c>
      <c r="Z2832" s="6">
        <f t="shared" si="398"/>
        <v>1</v>
      </c>
      <c r="AA2832" t="e">
        <f t="shared" si="399"/>
        <v>#VALUE!</v>
      </c>
      <c r="AB2832" t="str">
        <f t="shared" si="400"/>
        <v/>
      </c>
      <c r="AC2832" t="e">
        <f t="shared" si="401"/>
        <v>#VALUE!</v>
      </c>
    </row>
    <row r="2833" spans="1:29" x14ac:dyDescent="0.2">
      <c r="A2833" t="str">
        <f t="shared" si="394"/>
        <v/>
      </c>
      <c r="E2833" s="4"/>
      <c r="F2833" s="46"/>
      <c r="G2833" s="4"/>
      <c r="H2833" s="48"/>
      <c r="J2833" s="26" t="str">
        <f t="shared" si="395"/>
        <v/>
      </c>
      <c r="N2833" t="str">
        <f t="shared" si="396"/>
        <v/>
      </c>
      <c r="Q2833" t="str">
        <f t="shared" si="397"/>
        <v/>
      </c>
      <c r="S2833" t="str">
        <f>IF(A2833=1,MAX($S$2:$S2832)+1,IF(OR($I2833&lt;&gt;"",A2833="x"),$S2832,""))</f>
        <v/>
      </c>
      <c r="T2833" t="str">
        <f>IF(D2833=1,MAX($T$2:$T2832)+1,IF(S2833=S2832,$T2832,IF(D2833="x",T2832,IF(D2832="x","",""))))</f>
        <v/>
      </c>
      <c r="U2833" t="str">
        <f>IF(B2833=1,MAX($U$2:$U2832)+1,IF(AND($T2833&lt;&gt;"",$T2833=$T2832),$U2832,IF(B2833="x",U2832,"")))</f>
        <v/>
      </c>
      <c r="V2833" t="str">
        <f>IF(C2833=1,MAX($V$2:$V2832)+1,IF(AND($T2833&lt;&gt;"",$T2833=$T2832),$U2832,IF(C2833="x",V2832,"")))</f>
        <v/>
      </c>
      <c r="X2833" cm="1">
        <f t="array" ref="X2833">IF($I2833&lt;&gt;"",$I2833,INDEX($I$1:$I2833,ROW()-COUNTIFS($T$1:$T2833,"="&amp;$T2833,$S$1:$S2833,"&lt;"&amp;$S2833)))</f>
        <v>0</v>
      </c>
      <c r="Z2833" s="6">
        <f t="shared" si="398"/>
        <v>1</v>
      </c>
      <c r="AA2833" t="e">
        <f t="shared" si="399"/>
        <v>#VALUE!</v>
      </c>
      <c r="AB2833" t="str">
        <f t="shared" si="400"/>
        <v/>
      </c>
      <c r="AC2833" t="e">
        <f t="shared" si="401"/>
        <v>#VALUE!</v>
      </c>
    </row>
    <row r="2834" spans="1:29" x14ac:dyDescent="0.2">
      <c r="A2834" t="str">
        <f t="shared" si="394"/>
        <v/>
      </c>
      <c r="E2834" s="4"/>
      <c r="F2834" s="46"/>
      <c r="G2834" s="4"/>
      <c r="H2834" s="48"/>
      <c r="J2834" s="26" t="str">
        <f t="shared" si="395"/>
        <v/>
      </c>
      <c r="N2834" t="str">
        <f t="shared" si="396"/>
        <v/>
      </c>
      <c r="Q2834" t="str">
        <f t="shared" si="397"/>
        <v/>
      </c>
      <c r="S2834" t="str">
        <f>IF(A2834=1,MAX($S$2:$S2833)+1,IF(OR($I2834&lt;&gt;"",A2834="x"),$S2833,""))</f>
        <v/>
      </c>
      <c r="T2834" t="str">
        <f>IF(D2834=1,MAX($T$2:$T2833)+1,IF(S2834=S2833,$T2833,IF(D2834="x",T2833,IF(D2833="x","",""))))</f>
        <v/>
      </c>
      <c r="U2834" t="str">
        <f>IF(B2834=1,MAX($U$2:$U2833)+1,IF(AND($T2834&lt;&gt;"",$T2834=$T2833),$U2833,IF(B2834="x",U2833,"")))</f>
        <v/>
      </c>
      <c r="V2834" t="str">
        <f>IF(C2834=1,MAX($V$2:$V2833)+1,IF(AND($T2834&lt;&gt;"",$T2834=$T2833),$U2833,IF(C2834="x",V2833,"")))</f>
        <v/>
      </c>
      <c r="X2834" cm="1">
        <f t="array" ref="X2834">IF($I2834&lt;&gt;"",$I2834,INDEX($I$1:$I2834,ROW()-COUNTIFS($T$1:$T2834,"="&amp;$T2834,$S$1:$S2834,"&lt;"&amp;$S2834)))</f>
        <v>0</v>
      </c>
      <c r="Z2834" s="6">
        <f t="shared" si="398"/>
        <v>1</v>
      </c>
      <c r="AA2834" t="e">
        <f t="shared" si="399"/>
        <v>#VALUE!</v>
      </c>
      <c r="AB2834" t="str">
        <f t="shared" si="400"/>
        <v/>
      </c>
      <c r="AC2834" t="e">
        <f t="shared" si="401"/>
        <v>#VALUE!</v>
      </c>
    </row>
    <row r="2835" spans="1:29" x14ac:dyDescent="0.2">
      <c r="A2835" t="str">
        <f t="shared" ref="A2835:A2898" si="402">IF(K2835&lt;&gt;"",1,IF(D2835="x","x",""))</f>
        <v/>
      </c>
      <c r="E2835" s="4"/>
      <c r="F2835" s="46"/>
      <c r="G2835" s="4"/>
      <c r="H2835" s="48"/>
      <c r="J2835" s="26" t="str">
        <f t="shared" ref="J2835:J2898" si="403">IF(OR(K2835="Goal",K2835="Shot",L2835="Zone_Entry",M2835="Stoppage-Goal",M2834="Stoppage-Goal"),"o",IF(OR(K2835="Save",K2835="Rebound",L2835="Zone_Exit",M2835="Stoppage-GoalieStoppage",M2834="Stoppage-GoalieStoppage"),"d",IF(OR(L2835="Faceoff_AfterGoal",L2835="Faceoff_PeriodStart",698="Faceoff_GameStart",M2834="Stoppage-Goal"),"n","")))</f>
        <v/>
      </c>
      <c r="N2835" t="str">
        <f t="shared" ref="N2835:N2898" si="404">IF(K2835="","",IF(K2835="Goal","s",IF(AND(K2835="Zone_Entry_Exit",OR(ISNUMBER(SEARCH("fail",L2835)),ISNUMBER(SEARCH("FromExitClear",M2835)),ISNUMBER(SEARCH("miss",M2835)))),"u",IF(AND(K2835="Zone_Entry_Exit",OR(NOT(ISNUMBER(SEARCH("fail",L2835))),NOT(ISNUMBER(SEARCH("FromExitClear",M2835))),NOT(ISNUMBER(SEARCH("miss",M2835))))),"s",IF(AND(OR(K2835="Shot",K2835="Pass"),OR(ISNUMBER(SEARCH("complete",L2835)),ISNUMBER(SEARCH("goal",L2835)),ISNUMBER(SEARCH("OnNet",L2835)))),"s",IF(L2835="Turnover_Giveaway","u",IF(AND(OR(K2835="Shot",K2835="Pass"),OR(ISNUMBER(SEARCH("fail",L2835)),NOT(ISNUMBER(SEARCH("complete",L2835))),NOT(ISNUMBER(SEARCH("OnNet",L2835))))),"u","")))))))</f>
        <v/>
      </c>
      <c r="Q2835" t="str">
        <f t="shared" ref="Q2835:Q2898" si="405">IF(O2835="","",IF(AND(N2835&lt;&gt;"",OR(O2835&lt;&gt;"",P2835&lt;&gt;"")),N2835,IF(OR(ISNUMBER(SEARCH("attemp",O2835)),ISNUMBER(SEARCH("beat",O2835)),ISNUMBER(SEARCH("mis",O2835)),ISNUMBER(SEARCH("fail",O2835)),ISNUMBER(SEARCH("loss",O2835)),ISNUMBER(SEARCH("lost",O2835)),ISNUMBER(SEARCH("attemp",P2835)),ISNUMBER(SEARCH("mis",P2835)),ISNUMBER(SEARCH("fail",P2835)),ISNUMBER(SEARCH("loss",P2835)),ISNUMBER(SEARCH("beat",P2835)),ISNUMBER(SEARCH("lost",P2835))),"u","")))</f>
        <v/>
      </c>
      <c r="S2835" t="str">
        <f>IF(A2835=1,MAX($S$2:$S2834)+1,IF(OR($I2835&lt;&gt;"",A2835="x"),$S2834,""))</f>
        <v/>
      </c>
      <c r="T2835" t="str">
        <f>IF(D2835=1,MAX($T$2:$T2834)+1,IF(S2835=S2834,$T2834,IF(D2835="x",T2834,IF(D2834="x","",""))))</f>
        <v/>
      </c>
      <c r="U2835" t="str">
        <f>IF(B2835=1,MAX($U$2:$U2834)+1,IF(AND($T2835&lt;&gt;"",$T2835=$T2834),$U2834,IF(B2835="x",U2834,"")))</f>
        <v/>
      </c>
      <c r="V2835" t="str">
        <f>IF(C2835=1,MAX($V$2:$V2834)+1,IF(AND($T2835&lt;&gt;"",$T2835=$T2834),$U2834,IF(C2835="x",V2834,"")))</f>
        <v/>
      </c>
      <c r="X2835" cm="1">
        <f t="array" ref="X2835">IF($I2835&lt;&gt;"",$I2835,INDEX($I$1:$I2835,ROW()-COUNTIFS($T$1:$T2835,"="&amp;$T2835,$S$1:$S2835,"&lt;"&amp;$S2835)))</f>
        <v>0</v>
      </c>
      <c r="Z2835" s="6">
        <f t="shared" si="398"/>
        <v>1</v>
      </c>
      <c r="AA2835" t="e">
        <f t="shared" si="399"/>
        <v>#VALUE!</v>
      </c>
      <c r="AB2835" t="str">
        <f t="shared" si="400"/>
        <v/>
      </c>
      <c r="AC2835" t="e">
        <f t="shared" si="401"/>
        <v>#VALUE!</v>
      </c>
    </row>
    <row r="2836" spans="1:29" x14ac:dyDescent="0.2">
      <c r="A2836" t="str">
        <f t="shared" si="402"/>
        <v/>
      </c>
      <c r="E2836" s="4"/>
      <c r="F2836" s="46"/>
      <c r="G2836" s="4"/>
      <c r="H2836" s="48"/>
      <c r="J2836" s="26" t="str">
        <f t="shared" si="403"/>
        <v/>
      </c>
      <c r="N2836" t="str">
        <f t="shared" si="404"/>
        <v/>
      </c>
      <c r="Q2836" t="str">
        <f t="shared" si="405"/>
        <v/>
      </c>
      <c r="S2836" t="str">
        <f>IF(A2836=1,MAX($S$2:$S2835)+1,IF(OR($I2836&lt;&gt;"",A2836="x"),$S2835,""))</f>
        <v/>
      </c>
      <c r="T2836" t="str">
        <f>IF(D2836=1,MAX($T$2:$T2835)+1,IF(S2836=S2835,$T2835,IF(D2836="x",T2835,IF(D2835="x","",""))))</f>
        <v/>
      </c>
      <c r="U2836" t="str">
        <f>IF(B2836=1,MAX($U$2:$U2835)+1,IF(AND($T2836&lt;&gt;"",$T2836=$T2835),$U2835,IF(B2836="x",U2835,"")))</f>
        <v/>
      </c>
      <c r="V2836" t="str">
        <f>IF(C2836=1,MAX($V$2:$V2835)+1,IF(AND($T2836&lt;&gt;"",$T2836=$T2835),$U2835,IF(C2836="x",V2835,"")))</f>
        <v/>
      </c>
      <c r="X2836" cm="1">
        <f t="array" ref="X2836">IF($I2836&lt;&gt;"",$I2836,INDEX($I$1:$I2836,ROW()-COUNTIFS($T$1:$T2836,"="&amp;$T2836,$S$1:$S2836,"&lt;"&amp;$S2836)))</f>
        <v>0</v>
      </c>
      <c r="Z2836" s="6">
        <f t="shared" si="398"/>
        <v>1</v>
      </c>
      <c r="AA2836" t="e">
        <f t="shared" si="399"/>
        <v>#VALUE!</v>
      </c>
      <c r="AB2836" t="str">
        <f t="shared" si="400"/>
        <v/>
      </c>
      <c r="AC2836" t="e">
        <f t="shared" si="401"/>
        <v>#VALUE!</v>
      </c>
    </row>
    <row r="2837" spans="1:29" x14ac:dyDescent="0.2">
      <c r="A2837" t="str">
        <f t="shared" si="402"/>
        <v/>
      </c>
      <c r="E2837" s="4"/>
      <c r="F2837" s="46"/>
      <c r="G2837" s="4"/>
      <c r="H2837" s="48"/>
      <c r="J2837" s="26" t="str">
        <f t="shared" si="403"/>
        <v/>
      </c>
      <c r="N2837" t="str">
        <f t="shared" si="404"/>
        <v/>
      </c>
      <c r="Q2837" t="str">
        <f t="shared" si="405"/>
        <v/>
      </c>
      <c r="S2837" t="str">
        <f>IF(A2837=1,MAX($S$2:$S2836)+1,IF(OR($I2837&lt;&gt;"",A2837="x"),$S2836,""))</f>
        <v/>
      </c>
      <c r="T2837" t="str">
        <f>IF(D2837=1,MAX($T$2:$T2836)+1,IF(S2837=S2836,$T2836,IF(D2837="x",T2836,IF(D2836="x","",""))))</f>
        <v/>
      </c>
      <c r="U2837" t="str">
        <f>IF(B2837=1,MAX($U$2:$U2836)+1,IF(AND($T2837&lt;&gt;"",$T2837=$T2836),$U2836,IF(B2837="x",U2836,"")))</f>
        <v/>
      </c>
      <c r="V2837" t="str">
        <f>IF(C2837=1,MAX($V$2:$V2836)+1,IF(AND($T2837&lt;&gt;"",$T2837=$T2836),$U2836,IF(C2837="x",V2836,"")))</f>
        <v/>
      </c>
      <c r="X2837" cm="1">
        <f t="array" ref="X2837">IF($I2837&lt;&gt;"",$I2837,INDEX($I$1:$I2837,ROW()-COUNTIFS($T$1:$T2837,"="&amp;$T2837,$S$1:$S2837,"&lt;"&amp;$S2837)))</f>
        <v>0</v>
      </c>
      <c r="Z2837" s="6">
        <f t="shared" si="398"/>
        <v>1</v>
      </c>
      <c r="AA2837" t="e">
        <f t="shared" si="399"/>
        <v>#VALUE!</v>
      </c>
      <c r="AB2837" t="str">
        <f t="shared" si="400"/>
        <v/>
      </c>
      <c r="AC2837" t="e">
        <f t="shared" si="401"/>
        <v>#VALUE!</v>
      </c>
    </row>
    <row r="2838" spans="1:29" x14ac:dyDescent="0.2">
      <c r="A2838" t="str">
        <f t="shared" si="402"/>
        <v/>
      </c>
      <c r="E2838" s="4"/>
      <c r="F2838" s="46"/>
      <c r="G2838" s="4"/>
      <c r="H2838" s="48"/>
      <c r="J2838" s="26" t="str">
        <f t="shared" si="403"/>
        <v/>
      </c>
      <c r="N2838" t="str">
        <f t="shared" si="404"/>
        <v/>
      </c>
      <c r="Q2838" t="str">
        <f t="shared" si="405"/>
        <v/>
      </c>
      <c r="S2838" t="str">
        <f>IF(A2838=1,MAX($S$2:$S2837)+1,IF(OR($I2838&lt;&gt;"",A2838="x"),$S2837,""))</f>
        <v/>
      </c>
      <c r="T2838" t="str">
        <f>IF(D2838=1,MAX($T$2:$T2837)+1,IF(S2838=S2837,$T2837,IF(D2838="x",T2837,IF(D2837="x","",""))))</f>
        <v/>
      </c>
      <c r="U2838" t="str">
        <f>IF(B2838=1,MAX($U$2:$U2837)+1,IF(AND($T2838&lt;&gt;"",$T2838=$T2837),$U2837,IF(B2838="x",U2837,"")))</f>
        <v/>
      </c>
      <c r="V2838" t="str">
        <f>IF(C2838=1,MAX($V$2:$V2837)+1,IF(AND($T2838&lt;&gt;"",$T2838=$T2837),$U2837,IF(C2838="x",V2837,"")))</f>
        <v/>
      </c>
      <c r="X2838" cm="1">
        <f t="array" ref="X2838">IF($I2838&lt;&gt;"",$I2838,INDEX($I$1:$I2838,ROW()-COUNTIFS($T$1:$T2838,"="&amp;$T2838,$S$1:$S2838,"&lt;"&amp;$S2838)))</f>
        <v>0</v>
      </c>
      <c r="Z2838" s="6">
        <f t="shared" si="398"/>
        <v>1</v>
      </c>
      <c r="AA2838" t="e">
        <f t="shared" si="399"/>
        <v>#VALUE!</v>
      </c>
      <c r="AB2838" t="str">
        <f t="shared" si="400"/>
        <v/>
      </c>
      <c r="AC2838" t="e">
        <f t="shared" si="401"/>
        <v>#VALUE!</v>
      </c>
    </row>
    <row r="2839" spans="1:29" x14ac:dyDescent="0.2">
      <c r="A2839" t="str">
        <f t="shared" si="402"/>
        <v/>
      </c>
      <c r="E2839" s="4"/>
      <c r="F2839" s="46"/>
      <c r="G2839" s="4"/>
      <c r="H2839" s="48"/>
      <c r="J2839" s="26" t="str">
        <f t="shared" si="403"/>
        <v/>
      </c>
      <c r="N2839" t="str">
        <f t="shared" si="404"/>
        <v/>
      </c>
      <c r="Q2839" t="str">
        <f t="shared" si="405"/>
        <v/>
      </c>
      <c r="S2839" t="str">
        <f>IF(A2839=1,MAX($S$2:$S2838)+1,IF(OR($I2839&lt;&gt;"",A2839="x"),$S2838,""))</f>
        <v/>
      </c>
      <c r="T2839" t="str">
        <f>IF(D2839=1,MAX($T$2:$T2838)+1,IF(S2839=S2838,$T2838,IF(D2839="x",T2838,IF(D2838="x","",""))))</f>
        <v/>
      </c>
      <c r="U2839" t="str">
        <f>IF(B2839=1,MAX($U$2:$U2838)+1,IF(AND($T2839&lt;&gt;"",$T2839=$T2838),$U2838,IF(B2839="x",U2838,"")))</f>
        <v/>
      </c>
      <c r="V2839" t="str">
        <f>IF(C2839=1,MAX($V$2:$V2838)+1,IF(AND($T2839&lt;&gt;"",$T2839=$T2838),$U2838,IF(C2839="x",V2838,"")))</f>
        <v/>
      </c>
      <c r="X2839" cm="1">
        <f t="array" ref="X2839">IF($I2839&lt;&gt;"",$I2839,INDEX($I$1:$I2839,ROW()-COUNTIFS($T$1:$T2839,"="&amp;$T2839,$S$1:$S2839,"&lt;"&amp;$S2839)))</f>
        <v>0</v>
      </c>
      <c r="Z2839" s="6">
        <f t="shared" si="398"/>
        <v>1</v>
      </c>
      <c r="AA2839" t="e">
        <f t="shared" si="399"/>
        <v>#VALUE!</v>
      </c>
      <c r="AB2839" t="str">
        <f t="shared" si="400"/>
        <v/>
      </c>
      <c r="AC2839" t="e">
        <f t="shared" si="401"/>
        <v>#VALUE!</v>
      </c>
    </row>
    <row r="2840" spans="1:29" x14ac:dyDescent="0.2">
      <c r="A2840" t="str">
        <f t="shared" si="402"/>
        <v/>
      </c>
      <c r="E2840" s="4"/>
      <c r="F2840" s="46"/>
      <c r="G2840" s="4"/>
      <c r="H2840" s="48"/>
      <c r="J2840" s="26" t="str">
        <f t="shared" si="403"/>
        <v/>
      </c>
      <c r="N2840" t="str">
        <f t="shared" si="404"/>
        <v/>
      </c>
      <c r="Q2840" t="str">
        <f t="shared" si="405"/>
        <v/>
      </c>
      <c r="S2840" t="str">
        <f>IF(A2840=1,MAX($S$2:$S2839)+1,IF(OR($I2840&lt;&gt;"",A2840="x"),$S2839,""))</f>
        <v/>
      </c>
      <c r="T2840" t="str">
        <f>IF(D2840=1,MAX($T$2:$T2839)+1,IF(S2840=S2839,$T2839,IF(D2840="x",T2839,IF(D2839="x","",""))))</f>
        <v/>
      </c>
      <c r="U2840" t="str">
        <f>IF(B2840=1,MAX($U$2:$U2839)+1,IF(AND($T2840&lt;&gt;"",$T2840=$T2839),$U2839,IF(B2840="x",U2839,"")))</f>
        <v/>
      </c>
      <c r="V2840" t="str">
        <f>IF(C2840=1,MAX($V$2:$V2839)+1,IF(AND($T2840&lt;&gt;"",$T2840=$T2839),$U2839,IF(C2840="x",V2839,"")))</f>
        <v/>
      </c>
      <c r="X2840" cm="1">
        <f t="array" ref="X2840">IF($I2840&lt;&gt;"",$I2840,INDEX($I$1:$I2840,ROW()-COUNTIFS($T$1:$T2840,"="&amp;$T2840,$S$1:$S2840,"&lt;"&amp;$S2840)))</f>
        <v>0</v>
      </c>
      <c r="Z2840" s="6">
        <f t="shared" si="398"/>
        <v>1</v>
      </c>
      <c r="AA2840" t="e">
        <f t="shared" si="399"/>
        <v>#VALUE!</v>
      </c>
      <c r="AB2840" t="str">
        <f t="shared" si="400"/>
        <v/>
      </c>
      <c r="AC2840" t="e">
        <f t="shared" si="401"/>
        <v>#VALUE!</v>
      </c>
    </row>
    <row r="2841" spans="1:29" x14ac:dyDescent="0.2">
      <c r="A2841" t="str">
        <f t="shared" si="402"/>
        <v/>
      </c>
      <c r="E2841" s="4"/>
      <c r="F2841" s="46"/>
      <c r="G2841" s="4"/>
      <c r="H2841" s="48"/>
      <c r="J2841" s="26" t="str">
        <f t="shared" si="403"/>
        <v/>
      </c>
      <c r="N2841" t="str">
        <f t="shared" si="404"/>
        <v/>
      </c>
      <c r="Q2841" t="str">
        <f t="shared" si="405"/>
        <v/>
      </c>
      <c r="S2841" t="str">
        <f>IF(A2841=1,MAX($S$2:$S2840)+1,IF(OR($I2841&lt;&gt;"",A2841="x"),$S2840,""))</f>
        <v/>
      </c>
      <c r="T2841" t="str">
        <f>IF(D2841=1,MAX($T$2:$T2840)+1,IF(S2841=S2840,$T2840,IF(D2841="x",T2840,IF(D2840="x","",""))))</f>
        <v/>
      </c>
      <c r="U2841" t="str">
        <f>IF(B2841=1,MAX($U$2:$U2840)+1,IF(AND($T2841&lt;&gt;"",$T2841=$T2840),$U2840,IF(B2841="x",U2840,"")))</f>
        <v/>
      </c>
      <c r="V2841" t="str">
        <f>IF(C2841=1,MAX($V$2:$V2840)+1,IF(AND($T2841&lt;&gt;"",$T2841=$T2840),$U2840,IF(C2841="x",V2840,"")))</f>
        <v/>
      </c>
      <c r="X2841" cm="1">
        <f t="array" ref="X2841">IF($I2841&lt;&gt;"",$I2841,INDEX($I$1:$I2841,ROW()-COUNTIFS($T$1:$T2841,"="&amp;$T2841,$S$1:$S2841,"&lt;"&amp;$S2841)))</f>
        <v>0</v>
      </c>
      <c r="Z2841" s="6">
        <f t="shared" si="398"/>
        <v>1</v>
      </c>
      <c r="AA2841" t="e">
        <f t="shared" si="399"/>
        <v>#VALUE!</v>
      </c>
      <c r="AB2841" t="str">
        <f t="shared" si="400"/>
        <v/>
      </c>
      <c r="AC2841" t="e">
        <f t="shared" si="401"/>
        <v>#VALUE!</v>
      </c>
    </row>
    <row r="2842" spans="1:29" x14ac:dyDescent="0.2">
      <c r="A2842" t="str">
        <f t="shared" si="402"/>
        <v/>
      </c>
      <c r="E2842" s="4"/>
      <c r="F2842" s="46"/>
      <c r="G2842" s="4"/>
      <c r="H2842" s="48"/>
      <c r="J2842" s="26" t="str">
        <f t="shared" si="403"/>
        <v/>
      </c>
      <c r="N2842" t="str">
        <f t="shared" si="404"/>
        <v/>
      </c>
      <c r="Q2842" t="str">
        <f t="shared" si="405"/>
        <v/>
      </c>
      <c r="S2842" t="str">
        <f>IF(A2842=1,MAX($S$2:$S2841)+1,IF(OR($I2842&lt;&gt;"",A2842="x"),$S2841,""))</f>
        <v/>
      </c>
      <c r="T2842" t="str">
        <f>IF(D2842=1,MAX($T$2:$T2841)+1,IF(S2842=S2841,$T2841,IF(D2842="x",T2841,IF(D2841="x","",""))))</f>
        <v/>
      </c>
      <c r="U2842" t="str">
        <f>IF(B2842=1,MAX($U$2:$U2841)+1,IF(AND($T2842&lt;&gt;"",$T2842=$T2841),$U2841,IF(B2842="x",U2841,"")))</f>
        <v/>
      </c>
      <c r="V2842" t="str">
        <f>IF(C2842=1,MAX($V$2:$V2841)+1,IF(AND($T2842&lt;&gt;"",$T2842=$T2841),$U2841,IF(C2842="x",V2841,"")))</f>
        <v/>
      </c>
      <c r="X2842" cm="1">
        <f t="array" ref="X2842">IF($I2842&lt;&gt;"",$I2842,INDEX($I$1:$I2842,ROW()-COUNTIFS($T$1:$T2842,"="&amp;$T2842,$S$1:$S2842,"&lt;"&amp;$S2842)))</f>
        <v>0</v>
      </c>
      <c r="Z2842" s="6">
        <f t="shared" si="398"/>
        <v>1</v>
      </c>
      <c r="AA2842" t="e">
        <f t="shared" si="399"/>
        <v>#VALUE!</v>
      </c>
      <c r="AB2842" t="str">
        <f t="shared" si="400"/>
        <v/>
      </c>
      <c r="AC2842" t="e">
        <f t="shared" si="401"/>
        <v>#VALUE!</v>
      </c>
    </row>
    <row r="2843" spans="1:29" x14ac:dyDescent="0.2">
      <c r="A2843" t="str">
        <f t="shared" si="402"/>
        <v/>
      </c>
      <c r="E2843" s="4"/>
      <c r="F2843" s="46"/>
      <c r="G2843" s="4"/>
      <c r="H2843" s="48"/>
      <c r="J2843" s="26" t="str">
        <f t="shared" si="403"/>
        <v/>
      </c>
      <c r="N2843" t="str">
        <f t="shared" si="404"/>
        <v/>
      </c>
      <c r="Q2843" t="str">
        <f t="shared" si="405"/>
        <v/>
      </c>
      <c r="S2843" t="str">
        <f>IF(A2843=1,MAX($S$2:$S2842)+1,IF(OR($I2843&lt;&gt;"",A2843="x"),$S2842,""))</f>
        <v/>
      </c>
      <c r="T2843" t="str">
        <f>IF(D2843=1,MAX($T$2:$T2842)+1,IF(S2843=S2842,$T2842,IF(D2843="x",T2842,IF(D2842="x","",""))))</f>
        <v/>
      </c>
      <c r="U2843" t="str">
        <f>IF(B2843=1,MAX($U$2:$U2842)+1,IF(AND($T2843&lt;&gt;"",$T2843=$T2842),$U2842,IF(B2843="x",U2842,"")))</f>
        <v/>
      </c>
      <c r="V2843" t="str">
        <f>IF(C2843=1,MAX($V$2:$V2842)+1,IF(AND($T2843&lt;&gt;"",$T2843=$T2842),$U2842,IF(C2843="x",V2842,"")))</f>
        <v/>
      </c>
      <c r="X2843" cm="1">
        <f t="array" ref="X2843">IF($I2843&lt;&gt;"",$I2843,INDEX($I$1:$I2843,ROW()-COUNTIFS($T$1:$T2843,"="&amp;$T2843,$S$1:$S2843,"&lt;"&amp;$S2843)))</f>
        <v>0</v>
      </c>
      <c r="Z2843" s="6">
        <f t="shared" si="398"/>
        <v>1</v>
      </c>
      <c r="AA2843" t="e">
        <f t="shared" si="399"/>
        <v>#VALUE!</v>
      </c>
      <c r="AB2843" t="str">
        <f t="shared" si="400"/>
        <v/>
      </c>
      <c r="AC2843" t="e">
        <f t="shared" si="401"/>
        <v>#VALUE!</v>
      </c>
    </row>
    <row r="2844" spans="1:29" x14ac:dyDescent="0.2">
      <c r="A2844" t="str">
        <f t="shared" si="402"/>
        <v/>
      </c>
      <c r="E2844" s="4"/>
      <c r="F2844" s="46"/>
      <c r="G2844" s="4"/>
      <c r="H2844" s="48"/>
      <c r="J2844" s="26" t="str">
        <f t="shared" si="403"/>
        <v/>
      </c>
      <c r="N2844" t="str">
        <f t="shared" si="404"/>
        <v/>
      </c>
      <c r="Q2844" t="str">
        <f t="shared" si="405"/>
        <v/>
      </c>
      <c r="S2844" t="str">
        <f>IF(A2844=1,MAX($S$2:$S2843)+1,IF(OR($I2844&lt;&gt;"",A2844="x"),$S2843,""))</f>
        <v/>
      </c>
      <c r="T2844" t="str">
        <f>IF(D2844=1,MAX($T$2:$T2843)+1,IF(S2844=S2843,$T2843,IF(D2844="x",T2843,IF(D2843="x","",""))))</f>
        <v/>
      </c>
      <c r="U2844" t="str">
        <f>IF(B2844=1,MAX($U$2:$U2843)+1,IF(AND($T2844&lt;&gt;"",$T2844=$T2843),$U2843,IF(B2844="x",U2843,"")))</f>
        <v/>
      </c>
      <c r="V2844" t="str">
        <f>IF(C2844=1,MAX($V$2:$V2843)+1,IF(AND($T2844&lt;&gt;"",$T2844=$T2843),$U2843,IF(C2844="x",V2843,"")))</f>
        <v/>
      </c>
      <c r="X2844" cm="1">
        <f t="array" ref="X2844">IF($I2844&lt;&gt;"",$I2844,INDEX($I$1:$I2844,ROW()-COUNTIFS($T$1:$T2844,"="&amp;$T2844,$S$1:$S2844,"&lt;"&amp;$S2844)))</f>
        <v>0</v>
      </c>
      <c r="Z2844" s="6">
        <f t="shared" si="398"/>
        <v>1</v>
      </c>
      <c r="AA2844" t="e">
        <f t="shared" si="399"/>
        <v>#VALUE!</v>
      </c>
      <c r="AB2844" t="str">
        <f t="shared" si="400"/>
        <v/>
      </c>
      <c r="AC2844" t="e">
        <f t="shared" si="401"/>
        <v>#VALUE!</v>
      </c>
    </row>
    <row r="2845" spans="1:29" x14ac:dyDescent="0.2">
      <c r="A2845" t="str">
        <f t="shared" si="402"/>
        <v/>
      </c>
      <c r="E2845" s="4"/>
      <c r="F2845" s="46"/>
      <c r="G2845" s="4"/>
      <c r="H2845" s="48"/>
      <c r="J2845" s="26" t="str">
        <f t="shared" si="403"/>
        <v/>
      </c>
      <c r="N2845" t="str">
        <f t="shared" si="404"/>
        <v/>
      </c>
      <c r="Q2845" t="str">
        <f t="shared" si="405"/>
        <v/>
      </c>
      <c r="S2845" t="str">
        <f>IF(A2845=1,MAX($S$2:$S2844)+1,IF(OR($I2845&lt;&gt;"",A2845="x"),$S2844,""))</f>
        <v/>
      </c>
      <c r="T2845" t="str">
        <f>IF(D2845=1,MAX($T$2:$T2844)+1,IF(S2845=S2844,$T2844,IF(D2845="x",T2844,IF(D2844="x","",""))))</f>
        <v/>
      </c>
      <c r="U2845" t="str">
        <f>IF(B2845=1,MAX($U$2:$U2844)+1,IF(AND($T2845&lt;&gt;"",$T2845=$T2844),$U2844,IF(B2845="x",U2844,"")))</f>
        <v/>
      </c>
      <c r="V2845" t="str">
        <f>IF(C2845=1,MAX($V$2:$V2844)+1,IF(AND($T2845&lt;&gt;"",$T2845=$T2844),$U2844,IF(C2845="x",V2844,"")))</f>
        <v/>
      </c>
      <c r="X2845" cm="1">
        <f t="array" ref="X2845">IF($I2845&lt;&gt;"",$I2845,INDEX($I$1:$I2845,ROW()-COUNTIFS($T$1:$T2845,"="&amp;$T2845,$S$1:$S2845,"&lt;"&amp;$S2845)))</f>
        <v>0</v>
      </c>
      <c r="Z2845" s="6">
        <f t="shared" si="398"/>
        <v>1</v>
      </c>
      <c r="AA2845" t="e">
        <f t="shared" si="399"/>
        <v>#VALUE!</v>
      </c>
      <c r="AB2845" t="str">
        <f t="shared" si="400"/>
        <v/>
      </c>
      <c r="AC2845" t="e">
        <f t="shared" si="401"/>
        <v>#VALUE!</v>
      </c>
    </row>
    <row r="2846" spans="1:29" x14ac:dyDescent="0.2">
      <c r="A2846" t="str">
        <f t="shared" si="402"/>
        <v/>
      </c>
      <c r="E2846" s="4"/>
      <c r="F2846" s="46"/>
      <c r="G2846" s="4"/>
      <c r="H2846" s="48"/>
      <c r="J2846" s="26" t="str">
        <f t="shared" si="403"/>
        <v/>
      </c>
      <c r="N2846" t="str">
        <f t="shared" si="404"/>
        <v/>
      </c>
      <c r="Q2846" t="str">
        <f t="shared" si="405"/>
        <v/>
      </c>
      <c r="S2846" t="str">
        <f>IF(A2846=1,MAX($S$2:$S2845)+1,IF(OR($I2846&lt;&gt;"",A2846="x"),$S2845,""))</f>
        <v/>
      </c>
      <c r="T2846" t="str">
        <f>IF(D2846=1,MAX($T$2:$T2845)+1,IF(S2846=S2845,$T2845,IF(D2846="x",T2845,IF(D2845="x","",""))))</f>
        <v/>
      </c>
      <c r="U2846" t="str">
        <f>IF(B2846=1,MAX($U$2:$U2845)+1,IF(AND($T2846&lt;&gt;"",$T2846=$T2845),$U2845,IF(B2846="x",U2845,"")))</f>
        <v/>
      </c>
      <c r="V2846" t="str">
        <f>IF(C2846=1,MAX($V$2:$V2845)+1,IF(AND($T2846&lt;&gt;"",$T2846=$T2845),$U2845,IF(C2846="x",V2845,"")))</f>
        <v/>
      </c>
      <c r="X2846" cm="1">
        <f t="array" ref="X2846">IF($I2846&lt;&gt;"",$I2846,INDEX($I$1:$I2846,ROW()-COUNTIFS($T$1:$T2846,"="&amp;$T2846,$S$1:$S2846,"&lt;"&amp;$S2846)))</f>
        <v>0</v>
      </c>
      <c r="Z2846" s="6">
        <f t="shared" si="398"/>
        <v>1</v>
      </c>
      <c r="AA2846" t="e">
        <f t="shared" si="399"/>
        <v>#VALUE!</v>
      </c>
      <c r="AB2846" t="str">
        <f t="shared" si="400"/>
        <v/>
      </c>
      <c r="AC2846" t="e">
        <f t="shared" si="401"/>
        <v>#VALUE!</v>
      </c>
    </row>
    <row r="2847" spans="1:29" x14ac:dyDescent="0.2">
      <c r="A2847" t="str">
        <f t="shared" si="402"/>
        <v/>
      </c>
      <c r="E2847" s="4"/>
      <c r="F2847" s="46"/>
      <c r="G2847" s="4"/>
      <c r="H2847" s="48"/>
      <c r="J2847" s="26" t="str">
        <f t="shared" si="403"/>
        <v/>
      </c>
      <c r="N2847" t="str">
        <f t="shared" si="404"/>
        <v/>
      </c>
      <c r="Q2847" t="str">
        <f t="shared" si="405"/>
        <v/>
      </c>
      <c r="S2847" t="str">
        <f>IF(A2847=1,MAX($S$2:$S2846)+1,IF(OR($I2847&lt;&gt;"",A2847="x"),$S2846,""))</f>
        <v/>
      </c>
      <c r="T2847" t="str">
        <f>IF(D2847=1,MAX($T$2:$T2846)+1,IF(S2847=S2846,$T2846,IF(D2847="x",T2846,IF(D2846="x","",""))))</f>
        <v/>
      </c>
      <c r="U2847" t="str">
        <f>IF(B2847=1,MAX($U$2:$U2846)+1,IF(AND($T2847&lt;&gt;"",$T2847=$T2846),$U2846,IF(B2847="x",U2846,"")))</f>
        <v/>
      </c>
      <c r="V2847" t="str">
        <f>IF(C2847=1,MAX($V$2:$V2846)+1,IF(AND($T2847&lt;&gt;"",$T2847=$T2846),$U2846,IF(C2847="x",V2846,"")))</f>
        <v/>
      </c>
      <c r="X2847" cm="1">
        <f t="array" ref="X2847">IF($I2847&lt;&gt;"",$I2847,INDEX($I$1:$I2847,ROW()-COUNTIFS($T$1:$T2847,"="&amp;$T2847,$S$1:$S2847,"&lt;"&amp;$S2847)))</f>
        <v>0</v>
      </c>
      <c r="Z2847" s="6">
        <f t="shared" si="398"/>
        <v>1</v>
      </c>
      <c r="AA2847" t="e">
        <f t="shared" si="399"/>
        <v>#VALUE!</v>
      </c>
      <c r="AB2847" t="str">
        <f t="shared" si="400"/>
        <v/>
      </c>
      <c r="AC2847" t="e">
        <f t="shared" si="401"/>
        <v>#VALUE!</v>
      </c>
    </row>
    <row r="2848" spans="1:29" x14ac:dyDescent="0.2">
      <c r="A2848" t="str">
        <f t="shared" si="402"/>
        <v/>
      </c>
      <c r="E2848" s="4"/>
      <c r="F2848" s="46"/>
      <c r="G2848" s="4"/>
      <c r="H2848" s="48"/>
      <c r="J2848" s="26" t="str">
        <f t="shared" si="403"/>
        <v/>
      </c>
      <c r="N2848" t="str">
        <f t="shared" si="404"/>
        <v/>
      </c>
      <c r="Q2848" t="str">
        <f t="shared" si="405"/>
        <v/>
      </c>
      <c r="S2848" t="str">
        <f>IF(A2848=1,MAX($S$2:$S2847)+1,IF(OR($I2848&lt;&gt;"",A2848="x"),$S2847,""))</f>
        <v/>
      </c>
      <c r="T2848" t="str">
        <f>IF(D2848=1,MAX($T$2:$T2847)+1,IF(S2848=S2847,$T2847,IF(D2848="x",T2847,IF(D2847="x","",""))))</f>
        <v/>
      </c>
      <c r="U2848" t="str">
        <f>IF(B2848=1,MAX($U$2:$U2847)+1,IF(AND($T2848&lt;&gt;"",$T2848=$T2847),$U2847,IF(B2848="x",U2847,"")))</f>
        <v/>
      </c>
      <c r="V2848" t="str">
        <f>IF(C2848=1,MAX($V$2:$V2847)+1,IF(AND($T2848&lt;&gt;"",$T2848=$T2847),$U2847,IF(C2848="x",V2847,"")))</f>
        <v/>
      </c>
      <c r="X2848" cm="1">
        <f t="array" ref="X2848">IF($I2848&lt;&gt;"",$I2848,INDEX($I$1:$I2848,ROW()-COUNTIFS($T$1:$T2848,"="&amp;$T2848,$S$1:$S2848,"&lt;"&amp;$S2848)))</f>
        <v>0</v>
      </c>
      <c r="Z2848" s="6">
        <f t="shared" si="398"/>
        <v>1</v>
      </c>
      <c r="AA2848" t="e">
        <f t="shared" si="399"/>
        <v>#VALUE!</v>
      </c>
      <c r="AB2848" t="str">
        <f t="shared" si="400"/>
        <v/>
      </c>
      <c r="AC2848" t="e">
        <f t="shared" si="401"/>
        <v>#VALUE!</v>
      </c>
    </row>
    <row r="2849" spans="1:29" x14ac:dyDescent="0.2">
      <c r="A2849" t="str">
        <f t="shared" si="402"/>
        <v/>
      </c>
      <c r="E2849" s="4"/>
      <c r="F2849" s="46"/>
      <c r="G2849" s="4"/>
      <c r="H2849" s="48"/>
      <c r="J2849" s="26" t="str">
        <f t="shared" si="403"/>
        <v/>
      </c>
      <c r="N2849" t="str">
        <f t="shared" si="404"/>
        <v/>
      </c>
      <c r="Q2849" t="str">
        <f t="shared" si="405"/>
        <v/>
      </c>
      <c r="S2849" t="str">
        <f>IF(A2849=1,MAX($S$2:$S2848)+1,IF(OR($I2849&lt;&gt;"",A2849="x"),$S2848,""))</f>
        <v/>
      </c>
      <c r="T2849" t="str">
        <f>IF(D2849=1,MAX($T$2:$T2848)+1,IF(S2849=S2848,$T2848,IF(D2849="x",T2848,IF(D2848="x","",""))))</f>
        <v/>
      </c>
      <c r="U2849" t="str">
        <f>IF(B2849=1,MAX($U$2:$U2848)+1,IF(AND($T2849&lt;&gt;"",$T2849=$T2848),$U2848,IF(B2849="x",U2848,"")))</f>
        <v/>
      </c>
      <c r="V2849" t="str">
        <f>IF(C2849=1,MAX($V$2:$V2848)+1,IF(AND($T2849&lt;&gt;"",$T2849=$T2848),$U2848,IF(C2849="x",V2848,"")))</f>
        <v/>
      </c>
      <c r="X2849" cm="1">
        <f t="array" ref="X2849">IF($I2849&lt;&gt;"",$I2849,INDEX($I$1:$I2849,ROW()-COUNTIFS($T$1:$T2849,"="&amp;$T2849,$S$1:$S2849,"&lt;"&amp;$S2849)))</f>
        <v>0</v>
      </c>
      <c r="Z2849" s="6">
        <f t="shared" si="398"/>
        <v>1</v>
      </c>
      <c r="AA2849" t="e">
        <f t="shared" si="399"/>
        <v>#VALUE!</v>
      </c>
      <c r="AB2849" t="str">
        <f t="shared" si="400"/>
        <v/>
      </c>
      <c r="AC2849" t="e">
        <f t="shared" si="401"/>
        <v>#VALUE!</v>
      </c>
    </row>
    <row r="2850" spans="1:29" x14ac:dyDescent="0.2">
      <c r="A2850" t="str">
        <f t="shared" si="402"/>
        <v/>
      </c>
      <c r="E2850" s="4"/>
      <c r="F2850" s="46"/>
      <c r="G2850" s="4"/>
      <c r="H2850" s="48"/>
      <c r="J2850" s="26" t="str">
        <f t="shared" si="403"/>
        <v/>
      </c>
      <c r="N2850" t="str">
        <f t="shared" si="404"/>
        <v/>
      </c>
      <c r="Q2850" t="str">
        <f t="shared" si="405"/>
        <v/>
      </c>
      <c r="S2850" t="str">
        <f>IF(A2850=1,MAX($S$2:$S2849)+1,IF(OR($I2850&lt;&gt;"",A2850="x"),$S2849,""))</f>
        <v/>
      </c>
      <c r="T2850" t="str">
        <f>IF(D2850=1,MAX($T$2:$T2849)+1,IF(S2850=S2849,$T2849,IF(D2850="x",T2849,IF(D2849="x","",""))))</f>
        <v/>
      </c>
      <c r="U2850" t="str">
        <f>IF(B2850=1,MAX($U$2:$U2849)+1,IF(AND($T2850&lt;&gt;"",$T2850=$T2849),$U2849,IF(B2850="x",U2849,"")))</f>
        <v/>
      </c>
      <c r="V2850" t="str">
        <f>IF(C2850=1,MAX($V$2:$V2849)+1,IF(AND($T2850&lt;&gt;"",$T2850=$T2849),$U2849,IF(C2850="x",V2849,"")))</f>
        <v/>
      </c>
      <c r="X2850" cm="1">
        <f t="array" ref="X2850">IF($I2850&lt;&gt;"",$I2850,INDEX($I$1:$I2850,ROW()-COUNTIFS($T$1:$T2850,"="&amp;$T2850,$S$1:$S2850,"&lt;"&amp;$S2850)))</f>
        <v>0</v>
      </c>
      <c r="Z2850" s="6">
        <f t="shared" si="398"/>
        <v>1</v>
      </c>
      <c r="AA2850" t="e">
        <f t="shared" si="399"/>
        <v>#VALUE!</v>
      </c>
      <c r="AB2850" t="str">
        <f t="shared" si="400"/>
        <v/>
      </c>
      <c r="AC2850" t="e">
        <f t="shared" si="401"/>
        <v>#VALUE!</v>
      </c>
    </row>
    <row r="2851" spans="1:29" x14ac:dyDescent="0.2">
      <c r="A2851" t="str">
        <f t="shared" si="402"/>
        <v/>
      </c>
      <c r="E2851" s="4"/>
      <c r="F2851" s="46"/>
      <c r="G2851" s="4"/>
      <c r="H2851" s="48"/>
      <c r="J2851" s="26" t="str">
        <f t="shared" si="403"/>
        <v/>
      </c>
      <c r="N2851" t="str">
        <f t="shared" si="404"/>
        <v/>
      </c>
      <c r="Q2851" t="str">
        <f t="shared" si="405"/>
        <v/>
      </c>
      <c r="S2851" t="str">
        <f>IF(A2851=1,MAX($S$2:$S2850)+1,IF(OR($I2851&lt;&gt;"",A2851="x"),$S2850,""))</f>
        <v/>
      </c>
      <c r="T2851" t="str">
        <f>IF(D2851=1,MAX($T$2:$T2850)+1,IF(S2851=S2850,$T2850,IF(D2851="x",T2850,IF(D2850="x","",""))))</f>
        <v/>
      </c>
      <c r="U2851" t="str">
        <f>IF(B2851=1,MAX($U$2:$U2850)+1,IF(AND($T2851&lt;&gt;"",$T2851=$T2850),$U2850,IF(B2851="x",U2850,"")))</f>
        <v/>
      </c>
      <c r="V2851" t="str">
        <f>IF(C2851=1,MAX($V$2:$V2850)+1,IF(AND($T2851&lt;&gt;"",$T2851=$T2850),$U2850,IF(C2851="x",V2850,"")))</f>
        <v/>
      </c>
      <c r="X2851" cm="1">
        <f t="array" ref="X2851">IF($I2851&lt;&gt;"",$I2851,INDEX($I$1:$I2851,ROW()-COUNTIFS($T$1:$T2851,"="&amp;$T2851,$S$1:$S2851,"&lt;"&amp;$S2851)))</f>
        <v>0</v>
      </c>
      <c r="Z2851" s="6">
        <f t="shared" si="398"/>
        <v>1</v>
      </c>
      <c r="AA2851" t="e">
        <f t="shared" si="399"/>
        <v>#VALUE!</v>
      </c>
      <c r="AB2851" t="str">
        <f t="shared" si="400"/>
        <v/>
      </c>
      <c r="AC2851" t="e">
        <f t="shared" si="401"/>
        <v>#VALUE!</v>
      </c>
    </row>
    <row r="2852" spans="1:29" x14ac:dyDescent="0.2">
      <c r="A2852" t="str">
        <f t="shared" si="402"/>
        <v/>
      </c>
      <c r="E2852" s="4"/>
      <c r="F2852" s="46"/>
      <c r="G2852" s="4"/>
      <c r="H2852" s="48"/>
      <c r="J2852" s="26" t="str">
        <f t="shared" si="403"/>
        <v/>
      </c>
      <c r="N2852" t="str">
        <f t="shared" si="404"/>
        <v/>
      </c>
      <c r="Q2852" t="str">
        <f t="shared" si="405"/>
        <v/>
      </c>
      <c r="S2852" t="str">
        <f>IF(A2852=1,MAX($S$2:$S2851)+1,IF(OR($I2852&lt;&gt;"",A2852="x"),$S2851,""))</f>
        <v/>
      </c>
      <c r="T2852" t="str">
        <f>IF(D2852=1,MAX($T$2:$T2851)+1,IF(S2852=S2851,$T2851,IF(D2852="x",T2851,IF(D2851="x","",""))))</f>
        <v/>
      </c>
      <c r="U2852" t="str">
        <f>IF(B2852=1,MAX($U$2:$U2851)+1,IF(AND($T2852&lt;&gt;"",$T2852=$T2851),$U2851,IF(B2852="x",U2851,"")))</f>
        <v/>
      </c>
      <c r="V2852" t="str">
        <f>IF(C2852=1,MAX($V$2:$V2851)+1,IF(AND($T2852&lt;&gt;"",$T2852=$T2851),$U2851,IF(C2852="x",V2851,"")))</f>
        <v/>
      </c>
      <c r="X2852" cm="1">
        <f t="array" ref="X2852">IF($I2852&lt;&gt;"",$I2852,INDEX($I$1:$I2852,ROW()-COUNTIFS($T$1:$T2852,"="&amp;$T2852,$S$1:$S2852,"&lt;"&amp;$S2852)))</f>
        <v>0</v>
      </c>
      <c r="Z2852" s="6">
        <f t="shared" si="398"/>
        <v>1</v>
      </c>
      <c r="AA2852" t="e">
        <f t="shared" si="399"/>
        <v>#VALUE!</v>
      </c>
      <c r="AB2852" t="str">
        <f t="shared" si="400"/>
        <v/>
      </c>
      <c r="AC2852" t="e">
        <f t="shared" si="401"/>
        <v>#VALUE!</v>
      </c>
    </row>
    <row r="2853" spans="1:29" x14ac:dyDescent="0.2">
      <c r="A2853" t="str">
        <f t="shared" si="402"/>
        <v/>
      </c>
      <c r="E2853" s="4"/>
      <c r="F2853" s="46"/>
      <c r="G2853" s="4"/>
      <c r="H2853" s="48"/>
      <c r="J2853" s="26" t="str">
        <f t="shared" si="403"/>
        <v/>
      </c>
      <c r="N2853" t="str">
        <f t="shared" si="404"/>
        <v/>
      </c>
      <c r="Q2853" t="str">
        <f t="shared" si="405"/>
        <v/>
      </c>
      <c r="S2853" t="str">
        <f>IF(A2853=1,MAX($S$2:$S2852)+1,IF(OR($I2853&lt;&gt;"",A2853="x"),$S2852,""))</f>
        <v/>
      </c>
      <c r="T2853" t="str">
        <f>IF(D2853=1,MAX($T$2:$T2852)+1,IF(S2853=S2852,$T2852,IF(D2853="x",T2852,IF(D2852="x","",""))))</f>
        <v/>
      </c>
      <c r="U2853" t="str">
        <f>IF(B2853=1,MAX($U$2:$U2852)+1,IF(AND($T2853&lt;&gt;"",$T2853=$T2852),$U2852,IF(B2853="x",U2852,"")))</f>
        <v/>
      </c>
      <c r="V2853" t="str">
        <f>IF(C2853=1,MAX($V$2:$V2852)+1,IF(AND($T2853&lt;&gt;"",$T2853=$T2852),$U2852,IF(C2853="x",V2852,"")))</f>
        <v/>
      </c>
      <c r="X2853" cm="1">
        <f t="array" ref="X2853">IF($I2853&lt;&gt;"",$I2853,INDEX($I$1:$I2853,ROW()-COUNTIFS($T$1:$T2853,"="&amp;$T2853,$S$1:$S2853,"&lt;"&amp;$S2853)))</f>
        <v>0</v>
      </c>
      <c r="Z2853" s="6">
        <f t="shared" si="398"/>
        <v>1</v>
      </c>
      <c r="AA2853" t="e">
        <f t="shared" si="399"/>
        <v>#VALUE!</v>
      </c>
      <c r="AB2853" t="str">
        <f t="shared" si="400"/>
        <v/>
      </c>
      <c r="AC2853" t="e">
        <f t="shared" si="401"/>
        <v>#VALUE!</v>
      </c>
    </row>
    <row r="2854" spans="1:29" x14ac:dyDescent="0.2">
      <c r="A2854" t="str">
        <f t="shared" si="402"/>
        <v/>
      </c>
      <c r="E2854" s="4"/>
      <c r="F2854" s="46"/>
      <c r="G2854" s="4"/>
      <c r="H2854" s="48"/>
      <c r="J2854" s="26" t="str">
        <f t="shared" si="403"/>
        <v/>
      </c>
      <c r="N2854" t="str">
        <f t="shared" si="404"/>
        <v/>
      </c>
      <c r="Q2854" t="str">
        <f t="shared" si="405"/>
        <v/>
      </c>
      <c r="S2854" t="str">
        <f>IF(A2854=1,MAX($S$2:$S2853)+1,IF(OR($I2854&lt;&gt;"",A2854="x"),$S2853,""))</f>
        <v/>
      </c>
      <c r="T2854" t="str">
        <f>IF(D2854=1,MAX($T$2:$T2853)+1,IF(S2854=S2853,$T2853,IF(D2854="x",T2853,IF(D2853="x","",""))))</f>
        <v/>
      </c>
      <c r="U2854" t="str">
        <f>IF(B2854=1,MAX($U$2:$U2853)+1,IF(AND($T2854&lt;&gt;"",$T2854=$T2853),$U2853,IF(B2854="x",U2853,"")))</f>
        <v/>
      </c>
      <c r="V2854" t="str">
        <f>IF(C2854=1,MAX($V$2:$V2853)+1,IF(AND($T2854&lt;&gt;"",$T2854=$T2853),$U2853,IF(C2854="x",V2853,"")))</f>
        <v/>
      </c>
      <c r="X2854" cm="1">
        <f t="array" ref="X2854">IF($I2854&lt;&gt;"",$I2854,INDEX($I$1:$I2854,ROW()-COUNTIFS($T$1:$T2854,"="&amp;$T2854,$S$1:$S2854,"&lt;"&amp;$S2854)))</f>
        <v>0</v>
      </c>
      <c r="Z2854" s="6">
        <f t="shared" si="398"/>
        <v>1</v>
      </c>
      <c r="AA2854" t="e">
        <f t="shared" si="399"/>
        <v>#VALUE!</v>
      </c>
      <c r="AB2854" t="str">
        <f t="shared" si="400"/>
        <v/>
      </c>
      <c r="AC2854" t="e">
        <f t="shared" si="401"/>
        <v>#VALUE!</v>
      </c>
    </row>
    <row r="2855" spans="1:29" x14ac:dyDescent="0.2">
      <c r="A2855" t="str">
        <f t="shared" si="402"/>
        <v/>
      </c>
      <c r="E2855" s="4"/>
      <c r="F2855" s="46"/>
      <c r="G2855" s="4"/>
      <c r="H2855" s="48"/>
      <c r="J2855" s="26" t="str">
        <f t="shared" si="403"/>
        <v/>
      </c>
      <c r="N2855" t="str">
        <f t="shared" si="404"/>
        <v/>
      </c>
      <c r="Q2855" t="str">
        <f t="shared" si="405"/>
        <v/>
      </c>
      <c r="S2855" t="str">
        <f>IF(A2855=1,MAX($S$2:$S2854)+1,IF(OR($I2855&lt;&gt;"",A2855="x"),$S2854,""))</f>
        <v/>
      </c>
      <c r="T2855" t="str">
        <f>IF(D2855=1,MAX($T$2:$T2854)+1,IF(S2855=S2854,$T2854,IF(D2855="x",T2854,IF(D2854="x","",""))))</f>
        <v/>
      </c>
      <c r="U2855" t="str">
        <f>IF(B2855=1,MAX($U$2:$U2854)+1,IF(AND($T2855&lt;&gt;"",$T2855=$T2854),$U2854,IF(B2855="x",U2854,"")))</f>
        <v/>
      </c>
      <c r="V2855" t="str">
        <f>IF(C2855=1,MAX($V$2:$V2854)+1,IF(AND($T2855&lt;&gt;"",$T2855=$T2854),$U2854,IF(C2855="x",V2854,"")))</f>
        <v/>
      </c>
      <c r="X2855" cm="1">
        <f t="array" ref="X2855">IF($I2855&lt;&gt;"",$I2855,INDEX($I$1:$I2855,ROW()-COUNTIFS($T$1:$T2855,"="&amp;$T2855,$S$1:$S2855,"&lt;"&amp;$S2855)))</f>
        <v>0</v>
      </c>
      <c r="Z2855" s="6">
        <f t="shared" si="398"/>
        <v>1</v>
      </c>
      <c r="AA2855" t="e">
        <f t="shared" si="399"/>
        <v>#VALUE!</v>
      </c>
      <c r="AB2855" t="str">
        <f t="shared" si="400"/>
        <v/>
      </c>
      <c r="AC2855" t="e">
        <f t="shared" si="401"/>
        <v>#VALUE!</v>
      </c>
    </row>
    <row r="2856" spans="1:29" x14ac:dyDescent="0.2">
      <c r="A2856" t="str">
        <f t="shared" si="402"/>
        <v/>
      </c>
      <c r="E2856" s="4"/>
      <c r="F2856" s="46"/>
      <c r="G2856" s="4"/>
      <c r="H2856" s="48"/>
      <c r="J2856" s="26" t="str">
        <f t="shared" si="403"/>
        <v/>
      </c>
      <c r="N2856" t="str">
        <f t="shared" si="404"/>
        <v/>
      </c>
      <c r="Q2856" t="str">
        <f t="shared" si="405"/>
        <v/>
      </c>
      <c r="S2856" t="str">
        <f>IF(A2856=1,MAX($S$2:$S2855)+1,IF(OR($I2856&lt;&gt;"",A2856="x"),$S2855,""))</f>
        <v/>
      </c>
      <c r="T2856" t="str">
        <f>IF(D2856=1,MAX($T$2:$T2855)+1,IF(S2856=S2855,$T2855,IF(D2856="x",T2855,IF(D2855="x","",""))))</f>
        <v/>
      </c>
      <c r="U2856" t="str">
        <f>IF(B2856=1,MAX($U$2:$U2855)+1,IF(AND($T2856&lt;&gt;"",$T2856=$T2855),$U2855,IF(B2856="x",U2855,"")))</f>
        <v/>
      </c>
      <c r="V2856" t="str">
        <f>IF(C2856=1,MAX($V$2:$V2855)+1,IF(AND($T2856&lt;&gt;"",$T2856=$T2855),$U2855,IF(C2856="x",V2855,"")))</f>
        <v/>
      </c>
      <c r="X2856" cm="1">
        <f t="array" ref="X2856">IF($I2856&lt;&gt;"",$I2856,INDEX($I$1:$I2856,ROW()-COUNTIFS($T$1:$T2856,"="&amp;$T2856,$S$1:$S2856,"&lt;"&amp;$S2856)))</f>
        <v>0</v>
      </c>
      <c r="Z2856" s="6">
        <f t="shared" si="398"/>
        <v>1</v>
      </c>
      <c r="AA2856" t="e">
        <f t="shared" si="399"/>
        <v>#VALUE!</v>
      </c>
      <c r="AB2856" t="str">
        <f t="shared" si="400"/>
        <v/>
      </c>
      <c r="AC2856" t="e">
        <f t="shared" si="401"/>
        <v>#VALUE!</v>
      </c>
    </row>
    <row r="2857" spans="1:29" x14ac:dyDescent="0.2">
      <c r="A2857" t="str">
        <f t="shared" si="402"/>
        <v/>
      </c>
      <c r="E2857" s="4"/>
      <c r="F2857" s="46"/>
      <c r="G2857" s="4"/>
      <c r="H2857" s="48"/>
      <c r="J2857" s="26" t="str">
        <f t="shared" si="403"/>
        <v/>
      </c>
      <c r="N2857" t="str">
        <f t="shared" si="404"/>
        <v/>
      </c>
      <c r="Q2857" t="str">
        <f t="shared" si="405"/>
        <v/>
      </c>
      <c r="S2857" t="str">
        <f>IF(A2857=1,MAX($S$2:$S2856)+1,IF(OR($I2857&lt;&gt;"",A2857="x"),$S2856,""))</f>
        <v/>
      </c>
      <c r="T2857" t="str">
        <f>IF(D2857=1,MAX($T$2:$T2856)+1,IF(S2857=S2856,$T2856,IF(D2857="x",T2856,IF(D2856="x","",""))))</f>
        <v/>
      </c>
      <c r="U2857" t="str">
        <f>IF(B2857=1,MAX($U$2:$U2856)+1,IF(AND($T2857&lt;&gt;"",$T2857=$T2856),$U2856,IF(B2857="x",U2856,"")))</f>
        <v/>
      </c>
      <c r="V2857" t="str">
        <f>IF(C2857=1,MAX($V$2:$V2856)+1,IF(AND($T2857&lt;&gt;"",$T2857=$T2856),$U2856,IF(C2857="x",V2856,"")))</f>
        <v/>
      </c>
      <c r="X2857" cm="1">
        <f t="array" ref="X2857">IF($I2857&lt;&gt;"",$I2857,INDEX($I$1:$I2857,ROW()-COUNTIFS($T$1:$T2857,"="&amp;$T2857,$S$1:$S2857,"&lt;"&amp;$S2857)))</f>
        <v>0</v>
      </c>
      <c r="Z2857" s="6">
        <f t="shared" si="398"/>
        <v>1</v>
      </c>
      <c r="AA2857" t="e">
        <f t="shared" si="399"/>
        <v>#VALUE!</v>
      </c>
      <c r="AB2857" t="str">
        <f t="shared" si="400"/>
        <v/>
      </c>
      <c r="AC2857" t="e">
        <f t="shared" si="401"/>
        <v>#VALUE!</v>
      </c>
    </row>
    <row r="2858" spans="1:29" x14ac:dyDescent="0.2">
      <c r="A2858" t="str">
        <f t="shared" si="402"/>
        <v/>
      </c>
      <c r="E2858" s="4"/>
      <c r="F2858" s="46"/>
      <c r="G2858" s="4"/>
      <c r="H2858" s="48"/>
      <c r="J2858" s="26" t="str">
        <f t="shared" si="403"/>
        <v/>
      </c>
      <c r="N2858" t="str">
        <f t="shared" si="404"/>
        <v/>
      </c>
      <c r="Q2858" t="str">
        <f t="shared" si="405"/>
        <v/>
      </c>
      <c r="S2858" t="str">
        <f>IF(A2858=1,MAX($S$2:$S2857)+1,IF(OR($I2858&lt;&gt;"",A2858="x"),$S2857,""))</f>
        <v/>
      </c>
      <c r="T2858" t="str">
        <f>IF(D2858=1,MAX($T$2:$T2857)+1,IF(S2858=S2857,$T2857,IF(D2858="x",T2857,IF(D2857="x","",""))))</f>
        <v/>
      </c>
      <c r="U2858" t="str">
        <f>IF(B2858=1,MAX($U$2:$U2857)+1,IF(AND($T2858&lt;&gt;"",$T2858=$T2857),$U2857,IF(B2858="x",U2857,"")))</f>
        <v/>
      </c>
      <c r="V2858" t="str">
        <f>IF(C2858=1,MAX($V$2:$V2857)+1,IF(AND($T2858&lt;&gt;"",$T2858=$T2857),$U2857,IF(C2858="x",V2857,"")))</f>
        <v/>
      </c>
      <c r="X2858" cm="1">
        <f t="array" ref="X2858">IF($I2858&lt;&gt;"",$I2858,INDEX($I$1:$I2858,ROW()-COUNTIFS($T$1:$T2858,"="&amp;$T2858,$S$1:$S2858,"&lt;"&amp;$S2858)))</f>
        <v>0</v>
      </c>
      <c r="Z2858" s="6">
        <f t="shared" si="398"/>
        <v>1</v>
      </c>
      <c r="AA2858" t="e">
        <f t="shared" si="399"/>
        <v>#VALUE!</v>
      </c>
      <c r="AB2858" t="str">
        <f t="shared" si="400"/>
        <v/>
      </c>
      <c r="AC2858" t="e">
        <f t="shared" si="401"/>
        <v>#VALUE!</v>
      </c>
    </row>
    <row r="2859" spans="1:29" x14ac:dyDescent="0.2">
      <c r="A2859" t="str">
        <f t="shared" si="402"/>
        <v/>
      </c>
      <c r="E2859" s="4"/>
      <c r="F2859" s="46"/>
      <c r="G2859" s="4"/>
      <c r="H2859" s="48"/>
      <c r="J2859" s="26" t="str">
        <f t="shared" si="403"/>
        <v/>
      </c>
      <c r="N2859" t="str">
        <f t="shared" si="404"/>
        <v/>
      </c>
      <c r="Q2859" t="str">
        <f t="shared" si="405"/>
        <v/>
      </c>
      <c r="S2859" t="str">
        <f>IF(A2859=1,MAX($S$2:$S2858)+1,IF(OR($I2859&lt;&gt;"",A2859="x"),$S2858,""))</f>
        <v/>
      </c>
      <c r="T2859" t="str">
        <f>IF(D2859=1,MAX($T$2:$T2858)+1,IF(S2859=S2858,$T2858,IF(D2859="x",T2858,IF(D2858="x","",""))))</f>
        <v/>
      </c>
      <c r="U2859" t="str">
        <f>IF(B2859=1,MAX($U$2:$U2858)+1,IF(AND($T2859&lt;&gt;"",$T2859=$T2858),$U2858,IF(B2859="x",U2858,"")))</f>
        <v/>
      </c>
      <c r="V2859" t="str">
        <f>IF(C2859=1,MAX($V$2:$V2858)+1,IF(AND($T2859&lt;&gt;"",$T2859=$T2858),$U2858,IF(C2859="x",V2858,"")))</f>
        <v/>
      </c>
      <c r="X2859" cm="1">
        <f t="array" ref="X2859">IF($I2859&lt;&gt;"",$I2859,INDEX($I$1:$I2859,ROW()-COUNTIFS($T$1:$T2859,"="&amp;$T2859,$S$1:$S2859,"&lt;"&amp;$S2859)))</f>
        <v>0</v>
      </c>
      <c r="Z2859" s="6">
        <f t="shared" si="398"/>
        <v>1</v>
      </c>
      <c r="AA2859" t="e">
        <f t="shared" si="399"/>
        <v>#VALUE!</v>
      </c>
      <c r="AB2859" t="str">
        <f t="shared" si="400"/>
        <v/>
      </c>
      <c r="AC2859" t="e">
        <f t="shared" si="401"/>
        <v>#VALUE!</v>
      </c>
    </row>
    <row r="2860" spans="1:29" x14ac:dyDescent="0.2">
      <c r="A2860" t="str">
        <f t="shared" si="402"/>
        <v/>
      </c>
      <c r="E2860" s="4"/>
      <c r="F2860" s="46"/>
      <c r="G2860" s="4"/>
      <c r="H2860" s="48"/>
      <c r="J2860" s="26" t="str">
        <f t="shared" si="403"/>
        <v/>
      </c>
      <c r="N2860" t="str">
        <f t="shared" si="404"/>
        <v/>
      </c>
      <c r="Q2860" t="str">
        <f t="shared" si="405"/>
        <v/>
      </c>
      <c r="S2860" t="str">
        <f>IF(A2860=1,MAX($S$2:$S2859)+1,IF(OR($I2860&lt;&gt;"",A2860="x"),$S2859,""))</f>
        <v/>
      </c>
      <c r="T2860" t="str">
        <f>IF(D2860=1,MAX($T$2:$T2859)+1,IF(S2860=S2859,$T2859,IF(D2860="x",T2859,IF(D2859="x","",""))))</f>
        <v/>
      </c>
      <c r="U2860" t="str">
        <f>IF(B2860=1,MAX($U$2:$U2859)+1,IF(AND($T2860&lt;&gt;"",$T2860=$T2859),$U2859,IF(B2860="x",U2859,"")))</f>
        <v/>
      </c>
      <c r="V2860" t="str">
        <f>IF(C2860=1,MAX($V$2:$V2859)+1,IF(AND($T2860&lt;&gt;"",$T2860=$T2859),$U2859,IF(C2860="x",V2859,"")))</f>
        <v/>
      </c>
      <c r="X2860" cm="1">
        <f t="array" ref="X2860">IF($I2860&lt;&gt;"",$I2860,INDEX($I$1:$I2860,ROW()-COUNTIFS($T$1:$T2860,"="&amp;$T2860,$S$1:$S2860,"&lt;"&amp;$S2860)))</f>
        <v>0</v>
      </c>
      <c r="Z2860" s="6">
        <f t="shared" si="398"/>
        <v>1</v>
      </c>
      <c r="AA2860" t="e">
        <f t="shared" si="399"/>
        <v>#VALUE!</v>
      </c>
      <c r="AB2860" t="str">
        <f t="shared" si="400"/>
        <v/>
      </c>
      <c r="AC2860" t="e">
        <f t="shared" si="401"/>
        <v>#VALUE!</v>
      </c>
    </row>
    <row r="2861" spans="1:29" x14ac:dyDescent="0.2">
      <c r="A2861" t="str">
        <f t="shared" si="402"/>
        <v/>
      </c>
      <c r="E2861" s="4"/>
      <c r="F2861" s="46"/>
      <c r="G2861" s="4"/>
      <c r="H2861" s="48"/>
      <c r="J2861" s="26" t="str">
        <f t="shared" si="403"/>
        <v/>
      </c>
      <c r="N2861" t="str">
        <f t="shared" si="404"/>
        <v/>
      </c>
      <c r="Q2861" t="str">
        <f t="shared" si="405"/>
        <v/>
      </c>
      <c r="S2861" t="str">
        <f>IF(A2861=1,MAX($S$2:$S2860)+1,IF(OR($I2861&lt;&gt;"",A2861="x"),$S2860,""))</f>
        <v/>
      </c>
      <c r="T2861" t="str">
        <f>IF(D2861=1,MAX($T$2:$T2860)+1,IF(S2861=S2860,$T2860,IF(D2861="x",T2860,IF(D2860="x","",""))))</f>
        <v/>
      </c>
      <c r="U2861" t="str">
        <f>IF(B2861=1,MAX($U$2:$U2860)+1,IF(AND($T2861&lt;&gt;"",$T2861=$T2860),$U2860,IF(B2861="x",U2860,"")))</f>
        <v/>
      </c>
      <c r="V2861" t="str">
        <f>IF(C2861=1,MAX($V$2:$V2860)+1,IF(AND($T2861&lt;&gt;"",$T2861=$T2860),$U2860,IF(C2861="x",V2860,"")))</f>
        <v/>
      </c>
      <c r="X2861" cm="1">
        <f t="array" ref="X2861">IF($I2861&lt;&gt;"",$I2861,INDEX($I$1:$I2861,ROW()-COUNTIFS($T$1:$T2861,"="&amp;$T2861,$S$1:$S2861,"&lt;"&amp;$S2861)))</f>
        <v>0</v>
      </c>
      <c r="Z2861" s="6">
        <f t="shared" si="398"/>
        <v>1</v>
      </c>
      <c r="AA2861" t="e">
        <f t="shared" si="399"/>
        <v>#VALUE!</v>
      </c>
      <c r="AB2861" t="str">
        <f t="shared" si="400"/>
        <v/>
      </c>
      <c r="AC2861" t="e">
        <f t="shared" si="401"/>
        <v>#VALUE!</v>
      </c>
    </row>
    <row r="2862" spans="1:29" x14ac:dyDescent="0.2">
      <c r="A2862" t="str">
        <f t="shared" si="402"/>
        <v/>
      </c>
      <c r="E2862" s="4"/>
      <c r="F2862" s="46"/>
      <c r="G2862" s="4"/>
      <c r="H2862" s="48"/>
      <c r="J2862" s="26" t="str">
        <f t="shared" si="403"/>
        <v/>
      </c>
      <c r="N2862" t="str">
        <f t="shared" si="404"/>
        <v/>
      </c>
      <c r="Q2862" t="str">
        <f t="shared" si="405"/>
        <v/>
      </c>
      <c r="S2862" t="str">
        <f>IF(A2862=1,MAX($S$2:$S2861)+1,IF(OR($I2862&lt;&gt;"",A2862="x"),$S2861,""))</f>
        <v/>
      </c>
      <c r="T2862" t="str">
        <f>IF(D2862=1,MAX($T$2:$T2861)+1,IF(S2862=S2861,$T2861,IF(D2862="x",T2861,IF(D2861="x","",""))))</f>
        <v/>
      </c>
      <c r="U2862" t="str">
        <f>IF(B2862=1,MAX($U$2:$U2861)+1,IF(AND($T2862&lt;&gt;"",$T2862=$T2861),$U2861,IF(B2862="x",U2861,"")))</f>
        <v/>
      </c>
      <c r="V2862" t="str">
        <f>IF(C2862=1,MAX($V$2:$V2861)+1,IF(AND($T2862&lt;&gt;"",$T2862=$T2861),$U2861,IF(C2862="x",V2861,"")))</f>
        <v/>
      </c>
      <c r="X2862" cm="1">
        <f t="array" ref="X2862">IF($I2862&lt;&gt;"",$I2862,INDEX($I$1:$I2862,ROW()-COUNTIFS($T$1:$T2862,"="&amp;$T2862,$S$1:$S2862,"&lt;"&amp;$S2862)))</f>
        <v>0</v>
      </c>
      <c r="Z2862" s="6">
        <f t="shared" si="398"/>
        <v>1</v>
      </c>
      <c r="AA2862" t="e">
        <f t="shared" si="399"/>
        <v>#VALUE!</v>
      </c>
      <c r="AB2862" t="str">
        <f t="shared" si="400"/>
        <v/>
      </c>
      <c r="AC2862" t="e">
        <f t="shared" si="401"/>
        <v>#VALUE!</v>
      </c>
    </row>
    <row r="2863" spans="1:29" x14ac:dyDescent="0.2">
      <c r="A2863" t="str">
        <f t="shared" si="402"/>
        <v/>
      </c>
      <c r="E2863" s="4"/>
      <c r="F2863" s="46"/>
      <c r="G2863" s="4"/>
      <c r="H2863" s="48"/>
      <c r="J2863" s="26" t="str">
        <f t="shared" si="403"/>
        <v/>
      </c>
      <c r="N2863" t="str">
        <f t="shared" si="404"/>
        <v/>
      </c>
      <c r="Q2863" t="str">
        <f t="shared" si="405"/>
        <v/>
      </c>
      <c r="S2863" t="str">
        <f>IF(A2863=1,MAX($S$2:$S2862)+1,IF(OR($I2863&lt;&gt;"",A2863="x"),$S2862,""))</f>
        <v/>
      </c>
      <c r="T2863" t="str">
        <f>IF(D2863=1,MAX($T$2:$T2862)+1,IF(S2863=S2862,$T2862,IF(D2863="x",T2862,IF(D2862="x","",""))))</f>
        <v/>
      </c>
      <c r="U2863" t="str">
        <f>IF(B2863=1,MAX($U$2:$U2862)+1,IF(AND($T2863&lt;&gt;"",$T2863=$T2862),$U2862,IF(B2863="x",U2862,"")))</f>
        <v/>
      </c>
      <c r="V2863" t="str">
        <f>IF(C2863=1,MAX($V$2:$V2862)+1,IF(AND($T2863&lt;&gt;"",$T2863=$T2862),$U2862,IF(C2863="x",V2862,"")))</f>
        <v/>
      </c>
      <c r="X2863" cm="1">
        <f t="array" ref="X2863">IF($I2863&lt;&gt;"",$I2863,INDEX($I$1:$I2863,ROW()-COUNTIFS($T$1:$T2863,"="&amp;$T2863,$S$1:$S2863,"&lt;"&amp;$S2863)))</f>
        <v>0</v>
      </c>
      <c r="Z2863" s="6">
        <f t="shared" si="398"/>
        <v>1</v>
      </c>
      <c r="AA2863" t="e">
        <f t="shared" si="399"/>
        <v>#VALUE!</v>
      </c>
      <c r="AB2863" t="str">
        <f t="shared" si="400"/>
        <v/>
      </c>
      <c r="AC2863" t="e">
        <f t="shared" si="401"/>
        <v>#VALUE!</v>
      </c>
    </row>
    <row r="2864" spans="1:29" x14ac:dyDescent="0.2">
      <c r="A2864" t="str">
        <f t="shared" si="402"/>
        <v/>
      </c>
      <c r="E2864" s="4"/>
      <c r="F2864" s="46"/>
      <c r="G2864" s="4"/>
      <c r="H2864" s="48"/>
      <c r="J2864" s="26" t="str">
        <f t="shared" si="403"/>
        <v/>
      </c>
      <c r="N2864" t="str">
        <f t="shared" si="404"/>
        <v/>
      </c>
      <c r="Q2864" t="str">
        <f t="shared" si="405"/>
        <v/>
      </c>
      <c r="S2864" t="str">
        <f>IF(A2864=1,MAX($S$2:$S2863)+1,IF(OR($I2864&lt;&gt;"",A2864="x"),$S2863,""))</f>
        <v/>
      </c>
      <c r="T2864" t="str">
        <f>IF(D2864=1,MAX($T$2:$T2863)+1,IF(S2864=S2863,$T2863,IF(D2864="x",T2863,IF(D2863="x","",""))))</f>
        <v/>
      </c>
      <c r="U2864" t="str">
        <f>IF(B2864=1,MAX($U$2:$U2863)+1,IF(AND($T2864&lt;&gt;"",$T2864=$T2863),$U2863,IF(B2864="x",U2863,"")))</f>
        <v/>
      </c>
      <c r="V2864" t="str">
        <f>IF(C2864=1,MAX($V$2:$V2863)+1,IF(AND($T2864&lt;&gt;"",$T2864=$T2863),$U2863,IF(C2864="x",V2863,"")))</f>
        <v/>
      </c>
      <c r="X2864" cm="1">
        <f t="array" ref="X2864">IF($I2864&lt;&gt;"",$I2864,INDEX($I$1:$I2864,ROW()-COUNTIFS($T$1:$T2864,"="&amp;$T2864,$S$1:$S2864,"&lt;"&amp;$S2864)))</f>
        <v>0</v>
      </c>
      <c r="Z2864" s="6">
        <f t="shared" si="398"/>
        <v>1</v>
      </c>
      <c r="AA2864" t="e">
        <f t="shared" si="399"/>
        <v>#VALUE!</v>
      </c>
      <c r="AB2864" t="str">
        <f t="shared" si="400"/>
        <v/>
      </c>
      <c r="AC2864" t="e">
        <f t="shared" si="401"/>
        <v>#VALUE!</v>
      </c>
    </row>
    <row r="2865" spans="1:29" x14ac:dyDescent="0.2">
      <c r="A2865" t="str">
        <f t="shared" si="402"/>
        <v/>
      </c>
      <c r="E2865" s="4"/>
      <c r="F2865" s="46"/>
      <c r="G2865" s="4"/>
      <c r="H2865" s="48"/>
      <c r="J2865" s="26" t="str">
        <f t="shared" si="403"/>
        <v/>
      </c>
      <c r="N2865" t="str">
        <f t="shared" si="404"/>
        <v/>
      </c>
      <c r="Q2865" t="str">
        <f t="shared" si="405"/>
        <v/>
      </c>
      <c r="S2865" t="str">
        <f>IF(A2865=1,MAX($S$2:$S2864)+1,IF(OR($I2865&lt;&gt;"",A2865="x"),$S2864,""))</f>
        <v/>
      </c>
      <c r="T2865" t="str">
        <f>IF(D2865=1,MAX($T$2:$T2864)+1,IF(S2865=S2864,$T2864,IF(D2865="x",T2864,IF(D2864="x","",""))))</f>
        <v/>
      </c>
      <c r="U2865" t="str">
        <f>IF(B2865=1,MAX($U$2:$U2864)+1,IF(AND($T2865&lt;&gt;"",$T2865=$T2864),$U2864,IF(B2865="x",U2864,"")))</f>
        <v/>
      </c>
      <c r="V2865" t="str">
        <f>IF(C2865=1,MAX($V$2:$V2864)+1,IF(AND($T2865&lt;&gt;"",$T2865=$T2864),$U2864,IF(C2865="x",V2864,"")))</f>
        <v/>
      </c>
      <c r="X2865" cm="1">
        <f t="array" ref="X2865">IF($I2865&lt;&gt;"",$I2865,INDEX($I$1:$I2865,ROW()-COUNTIFS($T$1:$T2865,"="&amp;$T2865,$S$1:$S2865,"&lt;"&amp;$S2865)))</f>
        <v>0</v>
      </c>
      <c r="Z2865" s="6">
        <f t="shared" si="398"/>
        <v>1</v>
      </c>
      <c r="AA2865" t="e">
        <f t="shared" si="399"/>
        <v>#VALUE!</v>
      </c>
      <c r="AB2865" t="str">
        <f t="shared" si="400"/>
        <v/>
      </c>
      <c r="AC2865" t="e">
        <f t="shared" si="401"/>
        <v>#VALUE!</v>
      </c>
    </row>
    <row r="2866" spans="1:29" x14ac:dyDescent="0.2">
      <c r="A2866" t="str">
        <f t="shared" si="402"/>
        <v/>
      </c>
      <c r="E2866" s="4"/>
      <c r="F2866" s="46"/>
      <c r="G2866" s="4"/>
      <c r="H2866" s="48"/>
      <c r="J2866" s="26" t="str">
        <f t="shared" si="403"/>
        <v/>
      </c>
      <c r="N2866" t="str">
        <f t="shared" si="404"/>
        <v/>
      </c>
      <c r="Q2866" t="str">
        <f t="shared" si="405"/>
        <v/>
      </c>
      <c r="S2866" t="str">
        <f>IF(A2866=1,MAX($S$2:$S2865)+1,IF(OR($I2866&lt;&gt;"",A2866="x"),$S2865,""))</f>
        <v/>
      </c>
      <c r="T2866" t="str">
        <f>IF(D2866=1,MAX($T$2:$T2865)+1,IF(S2866=S2865,$T2865,IF(D2866="x",T2865,IF(D2865="x","",""))))</f>
        <v/>
      </c>
      <c r="U2866" t="str">
        <f>IF(B2866=1,MAX($U$2:$U2865)+1,IF(AND($T2866&lt;&gt;"",$T2866=$T2865),$U2865,IF(B2866="x",U2865,"")))</f>
        <v/>
      </c>
      <c r="V2866" t="str">
        <f>IF(C2866=1,MAX($V$2:$V2865)+1,IF(AND($T2866&lt;&gt;"",$T2866=$T2865),$U2865,IF(C2866="x",V2865,"")))</f>
        <v/>
      </c>
      <c r="X2866" cm="1">
        <f t="array" ref="X2866">IF($I2866&lt;&gt;"",$I2866,INDEX($I$1:$I2866,ROW()-COUNTIFS($T$1:$T2866,"="&amp;$T2866,$S$1:$S2866,"&lt;"&amp;$S2866)))</f>
        <v>0</v>
      </c>
      <c r="Z2866" s="6">
        <f t="shared" si="398"/>
        <v>1</v>
      </c>
      <c r="AA2866" t="e">
        <f t="shared" si="399"/>
        <v>#VALUE!</v>
      </c>
      <c r="AB2866" t="str">
        <f t="shared" si="400"/>
        <v/>
      </c>
      <c r="AC2866" t="e">
        <f t="shared" si="401"/>
        <v>#VALUE!</v>
      </c>
    </row>
    <row r="2867" spans="1:29" x14ac:dyDescent="0.2">
      <c r="A2867" t="str">
        <f t="shared" si="402"/>
        <v/>
      </c>
      <c r="E2867" s="4"/>
      <c r="F2867" s="46"/>
      <c r="G2867" s="4"/>
      <c r="H2867" s="48"/>
      <c r="J2867" s="26" t="str">
        <f t="shared" si="403"/>
        <v/>
      </c>
      <c r="N2867" t="str">
        <f t="shared" si="404"/>
        <v/>
      </c>
      <c r="Q2867" t="str">
        <f t="shared" si="405"/>
        <v/>
      </c>
      <c r="S2867" t="str">
        <f>IF(A2867=1,MAX($S$2:$S2866)+1,IF(OR($I2867&lt;&gt;"",A2867="x"),$S2866,""))</f>
        <v/>
      </c>
      <c r="T2867" t="str">
        <f>IF(D2867=1,MAX($T$2:$T2866)+1,IF(S2867=S2866,$T2866,IF(D2867="x",T2866,IF(D2866="x","",""))))</f>
        <v/>
      </c>
      <c r="U2867" t="str">
        <f>IF(B2867=1,MAX($U$2:$U2866)+1,IF(AND($T2867&lt;&gt;"",$T2867=$T2866),$U2866,IF(B2867="x",U2866,"")))</f>
        <v/>
      </c>
      <c r="V2867" t="str">
        <f>IF(C2867=1,MAX($V$2:$V2866)+1,IF(AND($T2867&lt;&gt;"",$T2867=$T2866),$U2866,IF(C2867="x",V2866,"")))</f>
        <v/>
      </c>
      <c r="X2867" cm="1">
        <f t="array" ref="X2867">IF($I2867&lt;&gt;"",$I2867,INDEX($I$1:$I2867,ROW()-COUNTIFS($T$1:$T2867,"="&amp;$T2867,$S$1:$S2867,"&lt;"&amp;$S2867)))</f>
        <v>0</v>
      </c>
      <c r="Z2867" s="6">
        <f t="shared" si="398"/>
        <v>1</v>
      </c>
      <c r="AA2867" t="e">
        <f t="shared" si="399"/>
        <v>#VALUE!</v>
      </c>
      <c r="AB2867" t="str">
        <f t="shared" si="400"/>
        <v/>
      </c>
      <c r="AC2867" t="e">
        <f t="shared" si="401"/>
        <v>#VALUE!</v>
      </c>
    </row>
    <row r="2868" spans="1:29" x14ac:dyDescent="0.2">
      <c r="A2868" t="str">
        <f t="shared" si="402"/>
        <v/>
      </c>
      <c r="E2868" s="4"/>
      <c r="F2868" s="46"/>
      <c r="G2868" s="4"/>
      <c r="H2868" s="48"/>
      <c r="J2868" s="26" t="str">
        <f t="shared" si="403"/>
        <v/>
      </c>
      <c r="N2868" t="str">
        <f t="shared" si="404"/>
        <v/>
      </c>
      <c r="Q2868" t="str">
        <f t="shared" si="405"/>
        <v/>
      </c>
      <c r="S2868" t="str">
        <f>IF(A2868=1,MAX($S$2:$S2867)+1,IF(OR($I2868&lt;&gt;"",A2868="x"),$S2867,""))</f>
        <v/>
      </c>
      <c r="T2868" t="str">
        <f>IF(D2868=1,MAX($T$2:$T2867)+1,IF(S2868=S2867,$T2867,IF(D2868="x",T2867,IF(D2867="x","",""))))</f>
        <v/>
      </c>
      <c r="U2868" t="str">
        <f>IF(B2868=1,MAX($U$2:$U2867)+1,IF(AND($T2868&lt;&gt;"",$T2868=$T2867),$U2867,IF(B2868="x",U2867,"")))</f>
        <v/>
      </c>
      <c r="V2868" t="str">
        <f>IF(C2868=1,MAX($V$2:$V2867)+1,IF(AND($T2868&lt;&gt;"",$T2868=$T2867),$U2867,IF(C2868="x",V2867,"")))</f>
        <v/>
      </c>
      <c r="X2868" cm="1">
        <f t="array" ref="X2868">IF($I2868&lt;&gt;"",$I2868,INDEX($I$1:$I2868,ROW()-COUNTIFS($T$1:$T2868,"="&amp;$T2868,$S$1:$S2868,"&lt;"&amp;$S2868)))</f>
        <v>0</v>
      </c>
      <c r="Z2868" s="6">
        <f t="shared" si="398"/>
        <v>1</v>
      </c>
      <c r="AA2868" t="e">
        <f t="shared" si="399"/>
        <v>#VALUE!</v>
      </c>
      <c r="AB2868" t="str">
        <f t="shared" si="400"/>
        <v/>
      </c>
      <c r="AC2868" t="e">
        <f t="shared" si="401"/>
        <v>#VALUE!</v>
      </c>
    </row>
    <row r="2869" spans="1:29" x14ac:dyDescent="0.2">
      <c r="A2869" t="str">
        <f t="shared" si="402"/>
        <v/>
      </c>
      <c r="E2869" s="4"/>
      <c r="F2869" s="46"/>
      <c r="G2869" s="4"/>
      <c r="H2869" s="48"/>
      <c r="J2869" s="26" t="str">
        <f t="shared" si="403"/>
        <v/>
      </c>
      <c r="N2869" t="str">
        <f t="shared" si="404"/>
        <v/>
      </c>
      <c r="Q2869" t="str">
        <f t="shared" si="405"/>
        <v/>
      </c>
      <c r="S2869" t="str">
        <f>IF(A2869=1,MAX($S$2:$S2868)+1,IF(OR($I2869&lt;&gt;"",A2869="x"),$S2868,""))</f>
        <v/>
      </c>
      <c r="T2869" t="str">
        <f>IF(D2869=1,MAX($T$2:$T2868)+1,IF(S2869=S2868,$T2868,IF(D2869="x",T2868,IF(D2868="x","",""))))</f>
        <v/>
      </c>
      <c r="U2869" t="str">
        <f>IF(B2869=1,MAX($U$2:$U2868)+1,IF(AND($T2869&lt;&gt;"",$T2869=$T2868),$U2868,IF(B2869="x",U2868,"")))</f>
        <v/>
      </c>
      <c r="V2869" t="str">
        <f>IF(C2869=1,MAX($V$2:$V2868)+1,IF(AND($T2869&lt;&gt;"",$T2869=$T2868),$U2868,IF(C2869="x",V2868,"")))</f>
        <v/>
      </c>
      <c r="X2869" cm="1">
        <f t="array" ref="X2869">IF($I2869&lt;&gt;"",$I2869,INDEX($I$1:$I2869,ROW()-COUNTIFS($T$1:$T2869,"="&amp;$T2869,$S$1:$S2869,"&lt;"&amp;$S2869)))</f>
        <v>0</v>
      </c>
      <c r="Z2869" s="6">
        <f t="shared" si="398"/>
        <v>1</v>
      </c>
      <c r="AA2869" t="e">
        <f t="shared" si="399"/>
        <v>#VALUE!</v>
      </c>
      <c r="AB2869" t="str">
        <f t="shared" si="400"/>
        <v/>
      </c>
      <c r="AC2869" t="e">
        <f t="shared" si="401"/>
        <v>#VALUE!</v>
      </c>
    </row>
    <row r="2870" spans="1:29" x14ac:dyDescent="0.2">
      <c r="A2870" t="str">
        <f t="shared" si="402"/>
        <v/>
      </c>
      <c r="E2870" s="4"/>
      <c r="F2870" s="46"/>
      <c r="G2870" s="4"/>
      <c r="H2870" s="48"/>
      <c r="J2870" s="26" t="str">
        <f t="shared" si="403"/>
        <v/>
      </c>
      <c r="N2870" t="str">
        <f t="shared" si="404"/>
        <v/>
      </c>
      <c r="Q2870" t="str">
        <f t="shared" si="405"/>
        <v/>
      </c>
      <c r="S2870" t="str">
        <f>IF(A2870=1,MAX($S$2:$S2869)+1,IF(OR($I2870&lt;&gt;"",A2870="x"),$S2869,""))</f>
        <v/>
      </c>
      <c r="T2870" t="str">
        <f>IF(D2870=1,MAX($T$2:$T2869)+1,IF(S2870=S2869,$T2869,IF(D2870="x",T2869,IF(D2869="x","",""))))</f>
        <v/>
      </c>
      <c r="U2870" t="str">
        <f>IF(B2870=1,MAX($U$2:$U2869)+1,IF(AND($T2870&lt;&gt;"",$T2870=$T2869),$U2869,IF(B2870="x",U2869,"")))</f>
        <v/>
      </c>
      <c r="V2870" t="str">
        <f>IF(C2870=1,MAX($V$2:$V2869)+1,IF(AND($T2870&lt;&gt;"",$T2870=$T2869),$U2869,IF(C2870="x",V2869,"")))</f>
        <v/>
      </c>
      <c r="X2870" cm="1">
        <f t="array" ref="X2870">IF($I2870&lt;&gt;"",$I2870,INDEX($I$1:$I2870,ROW()-COUNTIFS($T$1:$T2870,"="&amp;$T2870,$S$1:$S2870,"&lt;"&amp;$S2870)))</f>
        <v>0</v>
      </c>
      <c r="Z2870" s="6">
        <f t="shared" si="398"/>
        <v>1</v>
      </c>
      <c r="AA2870" t="e">
        <f t="shared" si="399"/>
        <v>#VALUE!</v>
      </c>
      <c r="AB2870" t="str">
        <f t="shared" si="400"/>
        <v/>
      </c>
      <c r="AC2870" t="e">
        <f t="shared" si="401"/>
        <v>#VALUE!</v>
      </c>
    </row>
    <row r="2871" spans="1:29" x14ac:dyDescent="0.2">
      <c r="A2871" t="str">
        <f t="shared" si="402"/>
        <v/>
      </c>
      <c r="E2871" s="4"/>
      <c r="F2871" s="46"/>
      <c r="G2871" s="4"/>
      <c r="H2871" s="48"/>
      <c r="J2871" s="26" t="str">
        <f t="shared" si="403"/>
        <v/>
      </c>
      <c r="N2871" t="str">
        <f t="shared" si="404"/>
        <v/>
      </c>
      <c r="Q2871" t="str">
        <f t="shared" si="405"/>
        <v/>
      </c>
      <c r="S2871" t="str">
        <f>IF(A2871=1,MAX($S$2:$S2870)+1,IF(OR($I2871&lt;&gt;"",A2871="x"),$S2870,""))</f>
        <v/>
      </c>
      <c r="T2871" t="str">
        <f>IF(D2871=1,MAX($T$2:$T2870)+1,IF(S2871=S2870,$T2870,IF(D2871="x",T2870,IF(D2870="x","",""))))</f>
        <v/>
      </c>
      <c r="U2871" t="str">
        <f>IF(B2871=1,MAX($U$2:$U2870)+1,IF(AND($T2871&lt;&gt;"",$T2871=$T2870),$U2870,IF(B2871="x",U2870,"")))</f>
        <v/>
      </c>
      <c r="V2871" t="str">
        <f>IF(C2871=1,MAX($V$2:$V2870)+1,IF(AND($T2871&lt;&gt;"",$T2871=$T2870),$U2870,IF(C2871="x",V2870,"")))</f>
        <v/>
      </c>
      <c r="X2871" cm="1">
        <f t="array" ref="X2871">IF($I2871&lt;&gt;"",$I2871,INDEX($I$1:$I2871,ROW()-COUNTIFS($T$1:$T2871,"="&amp;$T2871,$S$1:$S2871,"&lt;"&amp;$S2871)))</f>
        <v>0</v>
      </c>
      <c r="Z2871" s="6">
        <f t="shared" si="398"/>
        <v>1</v>
      </c>
      <c r="AA2871" t="e">
        <f t="shared" si="399"/>
        <v>#VALUE!</v>
      </c>
      <c r="AB2871" t="str">
        <f t="shared" si="400"/>
        <v/>
      </c>
      <c r="AC2871" t="e">
        <f t="shared" si="401"/>
        <v>#VALUE!</v>
      </c>
    </row>
    <row r="2872" spans="1:29" x14ac:dyDescent="0.2">
      <c r="A2872" t="str">
        <f t="shared" si="402"/>
        <v/>
      </c>
      <c r="E2872" s="4"/>
      <c r="F2872" s="46"/>
      <c r="G2872" s="4"/>
      <c r="H2872" s="48"/>
      <c r="J2872" s="26" t="str">
        <f t="shared" si="403"/>
        <v/>
      </c>
      <c r="N2872" t="str">
        <f t="shared" si="404"/>
        <v/>
      </c>
      <c r="Q2872" t="str">
        <f t="shared" si="405"/>
        <v/>
      </c>
      <c r="S2872" t="str">
        <f>IF(A2872=1,MAX($S$2:$S2871)+1,IF(OR($I2872&lt;&gt;"",A2872="x"),$S2871,""))</f>
        <v/>
      </c>
      <c r="T2872" t="str">
        <f>IF(D2872=1,MAX($T$2:$T2871)+1,IF(S2872=S2871,$T2871,IF(D2872="x",T2871,IF(D2871="x","",""))))</f>
        <v/>
      </c>
      <c r="U2872" t="str">
        <f>IF(B2872=1,MAX($U$2:$U2871)+1,IF(AND($T2872&lt;&gt;"",$T2872=$T2871),$U2871,IF(B2872="x",U2871,"")))</f>
        <v/>
      </c>
      <c r="V2872" t="str">
        <f>IF(C2872=1,MAX($V$2:$V2871)+1,IF(AND($T2872&lt;&gt;"",$T2872=$T2871),$U2871,IF(C2872="x",V2871,"")))</f>
        <v/>
      </c>
      <c r="X2872" cm="1">
        <f t="array" ref="X2872">IF($I2872&lt;&gt;"",$I2872,INDEX($I$1:$I2872,ROW()-COUNTIFS($T$1:$T2872,"="&amp;$T2872,$S$1:$S2872,"&lt;"&amp;$S2872)))</f>
        <v>0</v>
      </c>
      <c r="Z2872" s="6">
        <f t="shared" si="398"/>
        <v>1</v>
      </c>
      <c r="AA2872" t="e">
        <f t="shared" si="399"/>
        <v>#VALUE!</v>
      </c>
      <c r="AB2872" t="str">
        <f t="shared" si="400"/>
        <v/>
      </c>
      <c r="AC2872" t="e">
        <f t="shared" si="401"/>
        <v>#VALUE!</v>
      </c>
    </row>
    <row r="2873" spans="1:29" x14ac:dyDescent="0.2">
      <c r="A2873" t="str">
        <f t="shared" si="402"/>
        <v/>
      </c>
      <c r="E2873" s="4"/>
      <c r="F2873" s="46"/>
      <c r="G2873" s="4"/>
      <c r="H2873" s="48"/>
      <c r="J2873" s="26" t="str">
        <f t="shared" si="403"/>
        <v/>
      </c>
      <c r="N2873" t="str">
        <f t="shared" si="404"/>
        <v/>
      </c>
      <c r="Q2873" t="str">
        <f t="shared" si="405"/>
        <v/>
      </c>
      <c r="S2873" t="str">
        <f>IF(A2873=1,MAX($S$2:$S2872)+1,IF(OR($I2873&lt;&gt;"",A2873="x"),$S2872,""))</f>
        <v/>
      </c>
      <c r="T2873" t="str">
        <f>IF(D2873=1,MAX($T$2:$T2872)+1,IF(S2873=S2872,$T2872,IF(D2873="x",T2872,IF(D2872="x","",""))))</f>
        <v/>
      </c>
      <c r="U2873" t="str">
        <f>IF(B2873=1,MAX($U$2:$U2872)+1,IF(AND($T2873&lt;&gt;"",$T2873=$T2872),$U2872,IF(B2873="x",U2872,"")))</f>
        <v/>
      </c>
      <c r="V2873" t="str">
        <f>IF(C2873=1,MAX($V$2:$V2872)+1,IF(AND($T2873&lt;&gt;"",$T2873=$T2872),$U2872,IF(C2873="x",V2872,"")))</f>
        <v/>
      </c>
      <c r="X2873" cm="1">
        <f t="array" ref="X2873">IF($I2873&lt;&gt;"",$I2873,INDEX($I$1:$I2873,ROW()-COUNTIFS($T$1:$T2873,"="&amp;$T2873,$S$1:$S2873,"&lt;"&amp;$S2873)))</f>
        <v>0</v>
      </c>
      <c r="Z2873" s="6">
        <f t="shared" si="398"/>
        <v>1</v>
      </c>
      <c r="AA2873" t="e">
        <f t="shared" si="399"/>
        <v>#VALUE!</v>
      </c>
      <c r="AB2873" t="str">
        <f t="shared" si="400"/>
        <v/>
      </c>
      <c r="AC2873" t="e">
        <f t="shared" si="401"/>
        <v>#VALUE!</v>
      </c>
    </row>
    <row r="2874" spans="1:29" x14ac:dyDescent="0.2">
      <c r="A2874" t="str">
        <f t="shared" si="402"/>
        <v/>
      </c>
      <c r="E2874" s="4"/>
      <c r="F2874" s="46"/>
      <c r="G2874" s="4"/>
      <c r="H2874" s="48"/>
      <c r="J2874" s="26" t="str">
        <f t="shared" si="403"/>
        <v/>
      </c>
      <c r="N2874" t="str">
        <f t="shared" si="404"/>
        <v/>
      </c>
      <c r="Q2874" t="str">
        <f t="shared" si="405"/>
        <v/>
      </c>
      <c r="S2874" t="str">
        <f>IF(A2874=1,MAX($S$2:$S2873)+1,IF(OR($I2874&lt;&gt;"",A2874="x"),$S2873,""))</f>
        <v/>
      </c>
      <c r="T2874" t="str">
        <f>IF(D2874=1,MAX($T$2:$T2873)+1,IF(S2874=S2873,$T2873,IF(D2874="x",T2873,IF(D2873="x","",""))))</f>
        <v/>
      </c>
      <c r="U2874" t="str">
        <f>IF(B2874=1,MAX($U$2:$U2873)+1,IF(AND($T2874&lt;&gt;"",$T2874=$T2873),$U2873,IF(B2874="x",U2873,"")))</f>
        <v/>
      </c>
      <c r="V2874" t="str">
        <f>IF(C2874=1,MAX($V$2:$V2873)+1,IF(AND($T2874&lt;&gt;"",$T2874=$T2873),$U2873,IF(C2874="x",V2873,"")))</f>
        <v/>
      </c>
      <c r="X2874" cm="1">
        <f t="array" ref="X2874">IF($I2874&lt;&gt;"",$I2874,INDEX($I$1:$I2874,ROW()-COUNTIFS($T$1:$T2874,"="&amp;$T2874,$S$1:$S2874,"&lt;"&amp;$S2874)))</f>
        <v>0</v>
      </c>
      <c r="Z2874" s="6">
        <f t="shared" si="398"/>
        <v>1</v>
      </c>
      <c r="AA2874" t="e">
        <f t="shared" si="399"/>
        <v>#VALUE!</v>
      </c>
      <c r="AB2874" t="str">
        <f t="shared" si="400"/>
        <v/>
      </c>
      <c r="AC2874" t="e">
        <f t="shared" si="401"/>
        <v>#VALUE!</v>
      </c>
    </row>
    <row r="2875" spans="1:29" x14ac:dyDescent="0.2">
      <c r="A2875" t="str">
        <f t="shared" si="402"/>
        <v/>
      </c>
      <c r="E2875" s="4"/>
      <c r="F2875" s="46"/>
      <c r="G2875" s="4"/>
      <c r="H2875" s="48"/>
      <c r="J2875" s="26" t="str">
        <f t="shared" si="403"/>
        <v/>
      </c>
      <c r="N2875" t="str">
        <f t="shared" si="404"/>
        <v/>
      </c>
      <c r="Q2875" t="str">
        <f t="shared" si="405"/>
        <v/>
      </c>
      <c r="S2875" t="str">
        <f>IF(A2875=1,MAX($S$2:$S2874)+1,IF(OR($I2875&lt;&gt;"",A2875="x"),$S2874,""))</f>
        <v/>
      </c>
      <c r="T2875" t="str">
        <f>IF(D2875=1,MAX($T$2:$T2874)+1,IF(S2875=S2874,$T2874,IF(D2875="x",T2874,IF(D2874="x","",""))))</f>
        <v/>
      </c>
      <c r="U2875" t="str">
        <f>IF(B2875=1,MAX($U$2:$U2874)+1,IF(AND($T2875&lt;&gt;"",$T2875=$T2874),$U2874,IF(B2875="x",U2874,"")))</f>
        <v/>
      </c>
      <c r="V2875" t="str">
        <f>IF(C2875=1,MAX($V$2:$V2874)+1,IF(AND($T2875&lt;&gt;"",$T2875=$T2874),$U2874,IF(C2875="x",V2874,"")))</f>
        <v/>
      </c>
      <c r="X2875" cm="1">
        <f t="array" ref="X2875">IF($I2875&lt;&gt;"",$I2875,INDEX($I$1:$I2875,ROW()-COUNTIFS($T$1:$T2875,"="&amp;$T2875,$S$1:$S2875,"&lt;"&amp;$S2875)))</f>
        <v>0</v>
      </c>
      <c r="Z2875" s="6">
        <f t="shared" si="398"/>
        <v>1</v>
      </c>
      <c r="AA2875" t="e">
        <f t="shared" si="399"/>
        <v>#VALUE!</v>
      </c>
      <c r="AB2875" t="str">
        <f t="shared" si="400"/>
        <v/>
      </c>
      <c r="AC2875" t="e">
        <f t="shared" si="401"/>
        <v>#VALUE!</v>
      </c>
    </row>
    <row r="2876" spans="1:29" x14ac:dyDescent="0.2">
      <c r="A2876" t="str">
        <f t="shared" si="402"/>
        <v/>
      </c>
      <c r="E2876" s="4"/>
      <c r="F2876" s="46"/>
      <c r="G2876" s="4"/>
      <c r="H2876" s="48"/>
      <c r="J2876" s="26" t="str">
        <f t="shared" si="403"/>
        <v/>
      </c>
      <c r="N2876" t="str">
        <f t="shared" si="404"/>
        <v/>
      </c>
      <c r="Q2876" t="str">
        <f t="shared" si="405"/>
        <v/>
      </c>
      <c r="S2876" t="str">
        <f>IF(A2876=1,MAX($S$2:$S2875)+1,IF(OR($I2876&lt;&gt;"",A2876="x"),$S2875,""))</f>
        <v/>
      </c>
      <c r="T2876" t="str">
        <f>IF(D2876=1,MAX($T$2:$T2875)+1,IF(S2876=S2875,$T2875,IF(D2876="x",T2875,IF(D2875="x","",""))))</f>
        <v/>
      </c>
      <c r="U2876" t="str">
        <f>IF(B2876=1,MAX($U$2:$U2875)+1,IF(AND($T2876&lt;&gt;"",$T2876=$T2875),$U2875,IF(B2876="x",U2875,"")))</f>
        <v/>
      </c>
      <c r="V2876" t="str">
        <f>IF(C2876=1,MAX($V$2:$V2875)+1,IF(AND($T2876&lt;&gt;"",$T2876=$T2875),$U2875,IF(C2876="x",V2875,"")))</f>
        <v/>
      </c>
      <c r="X2876" cm="1">
        <f t="array" ref="X2876">IF($I2876&lt;&gt;"",$I2876,INDEX($I$1:$I2876,ROW()-COUNTIFS($T$1:$T2876,"="&amp;$T2876,$S$1:$S2876,"&lt;"&amp;$S2876)))</f>
        <v>0</v>
      </c>
      <c r="Z2876" s="6">
        <f t="shared" si="398"/>
        <v>1</v>
      </c>
      <c r="AA2876" t="e">
        <f t="shared" si="399"/>
        <v>#VALUE!</v>
      </c>
      <c r="AB2876" t="str">
        <f t="shared" si="400"/>
        <v/>
      </c>
      <c r="AC2876" t="e">
        <f t="shared" si="401"/>
        <v>#VALUE!</v>
      </c>
    </row>
    <row r="2877" spans="1:29" x14ac:dyDescent="0.2">
      <c r="A2877" t="str">
        <f t="shared" si="402"/>
        <v/>
      </c>
      <c r="E2877" s="4"/>
      <c r="F2877" s="46"/>
      <c r="G2877" s="4"/>
      <c r="H2877" s="48"/>
      <c r="J2877" s="26" t="str">
        <f t="shared" si="403"/>
        <v/>
      </c>
      <c r="N2877" t="str">
        <f t="shared" si="404"/>
        <v/>
      </c>
      <c r="Q2877" t="str">
        <f t="shared" si="405"/>
        <v/>
      </c>
      <c r="S2877" t="str">
        <f>IF(A2877=1,MAX($S$2:$S2876)+1,IF(OR($I2877&lt;&gt;"",A2877="x"),$S2876,""))</f>
        <v/>
      </c>
      <c r="T2877" t="str">
        <f>IF(D2877=1,MAX($T$2:$T2876)+1,IF(S2877=S2876,$T2876,IF(D2877="x",T2876,IF(D2876="x","",""))))</f>
        <v/>
      </c>
      <c r="U2877" t="str">
        <f>IF(B2877=1,MAX($U$2:$U2876)+1,IF(AND($T2877&lt;&gt;"",$T2877=$T2876),$U2876,IF(B2877="x",U2876,"")))</f>
        <v/>
      </c>
      <c r="V2877" t="str">
        <f>IF(C2877=1,MAX($V$2:$V2876)+1,IF(AND($T2877&lt;&gt;"",$T2877=$T2876),$U2876,IF(C2877="x",V2876,"")))</f>
        <v/>
      </c>
      <c r="X2877" cm="1">
        <f t="array" ref="X2877">IF($I2877&lt;&gt;"",$I2877,INDEX($I$1:$I2877,ROW()-COUNTIFS($T$1:$T2877,"="&amp;$T2877,$S$1:$S2877,"&lt;"&amp;$S2877)))</f>
        <v>0</v>
      </c>
      <c r="Z2877" s="6">
        <f t="shared" si="398"/>
        <v>1</v>
      </c>
      <c r="AA2877" t="e">
        <f t="shared" si="399"/>
        <v>#VALUE!</v>
      </c>
      <c r="AB2877" t="str">
        <f t="shared" si="400"/>
        <v/>
      </c>
      <c r="AC2877" t="e">
        <f t="shared" si="401"/>
        <v>#VALUE!</v>
      </c>
    </row>
    <row r="2878" spans="1:29" x14ac:dyDescent="0.2">
      <c r="A2878" t="str">
        <f t="shared" si="402"/>
        <v/>
      </c>
      <c r="E2878" s="4"/>
      <c r="F2878" s="46"/>
      <c r="G2878" s="4"/>
      <c r="H2878" s="48"/>
      <c r="J2878" s="26" t="str">
        <f t="shared" si="403"/>
        <v/>
      </c>
      <c r="N2878" t="str">
        <f t="shared" si="404"/>
        <v/>
      </c>
      <c r="Q2878" t="str">
        <f t="shared" si="405"/>
        <v/>
      </c>
      <c r="S2878" t="str">
        <f>IF(A2878=1,MAX($S$2:$S2877)+1,IF(OR($I2878&lt;&gt;"",A2878="x"),$S2877,""))</f>
        <v/>
      </c>
      <c r="T2878" t="str">
        <f>IF(D2878=1,MAX($T$2:$T2877)+1,IF(S2878=S2877,$T2877,IF(D2878="x",T2877,IF(D2877="x","",""))))</f>
        <v/>
      </c>
      <c r="U2878" t="str">
        <f>IF(B2878=1,MAX($U$2:$U2877)+1,IF(AND($T2878&lt;&gt;"",$T2878=$T2877),$U2877,IF(B2878="x",U2877,"")))</f>
        <v/>
      </c>
      <c r="V2878" t="str">
        <f>IF(C2878=1,MAX($V$2:$V2877)+1,IF(AND($T2878&lt;&gt;"",$T2878=$T2877),$U2877,IF(C2878="x",V2877,"")))</f>
        <v/>
      </c>
      <c r="X2878" cm="1">
        <f t="array" ref="X2878">IF($I2878&lt;&gt;"",$I2878,INDEX($I$1:$I2878,ROW()-COUNTIFS($T$1:$T2878,"="&amp;$T2878,$S$1:$S2878,"&lt;"&amp;$S2878)))</f>
        <v>0</v>
      </c>
      <c r="Z2878" s="6">
        <f t="shared" si="398"/>
        <v>1</v>
      </c>
      <c r="AA2878" t="e">
        <f t="shared" si="399"/>
        <v>#VALUE!</v>
      </c>
      <c r="AB2878" t="str">
        <f t="shared" si="400"/>
        <v/>
      </c>
      <c r="AC2878" t="e">
        <f t="shared" si="401"/>
        <v>#VALUE!</v>
      </c>
    </row>
    <row r="2879" spans="1:29" x14ac:dyDescent="0.2">
      <c r="A2879" t="str">
        <f t="shared" si="402"/>
        <v/>
      </c>
      <c r="E2879" s="4"/>
      <c r="F2879" s="46"/>
      <c r="G2879" s="4"/>
      <c r="H2879" s="48"/>
      <c r="J2879" s="26" t="str">
        <f t="shared" si="403"/>
        <v/>
      </c>
      <c r="N2879" t="str">
        <f t="shared" si="404"/>
        <v/>
      </c>
      <c r="Q2879" t="str">
        <f t="shared" si="405"/>
        <v/>
      </c>
      <c r="S2879" t="str">
        <f>IF(A2879=1,MAX($S$2:$S2878)+1,IF(OR($I2879&lt;&gt;"",A2879="x"),$S2878,""))</f>
        <v/>
      </c>
      <c r="T2879" t="str">
        <f>IF(D2879=1,MAX($T$2:$T2878)+1,IF(S2879=S2878,$T2878,IF(D2879="x",T2878,IF(D2878="x","",""))))</f>
        <v/>
      </c>
      <c r="U2879" t="str">
        <f>IF(B2879=1,MAX($U$2:$U2878)+1,IF(AND($T2879&lt;&gt;"",$T2879=$T2878),$U2878,IF(B2879="x",U2878,"")))</f>
        <v/>
      </c>
      <c r="V2879" t="str">
        <f>IF(C2879=1,MAX($V$2:$V2878)+1,IF(AND($T2879&lt;&gt;"",$T2879=$T2878),$U2878,IF(C2879="x",V2878,"")))</f>
        <v/>
      </c>
      <c r="X2879" cm="1">
        <f t="array" ref="X2879">IF($I2879&lt;&gt;"",$I2879,INDEX($I$1:$I2879,ROW()-COUNTIFS($T$1:$T2879,"="&amp;$T2879,$S$1:$S2879,"&lt;"&amp;$S2879)))</f>
        <v>0</v>
      </c>
      <c r="Z2879" s="6">
        <f t="shared" si="398"/>
        <v>1</v>
      </c>
      <c r="AA2879" t="e">
        <f t="shared" si="399"/>
        <v>#VALUE!</v>
      </c>
      <c r="AB2879" t="str">
        <f t="shared" si="400"/>
        <v/>
      </c>
      <c r="AC2879" t="e">
        <f t="shared" si="401"/>
        <v>#VALUE!</v>
      </c>
    </row>
    <row r="2880" spans="1:29" x14ac:dyDescent="0.2">
      <c r="A2880" t="str">
        <f t="shared" si="402"/>
        <v/>
      </c>
      <c r="E2880" s="4"/>
      <c r="F2880" s="46"/>
      <c r="G2880" s="4"/>
      <c r="H2880" s="48"/>
      <c r="J2880" s="26" t="str">
        <f t="shared" si="403"/>
        <v/>
      </c>
      <c r="N2880" t="str">
        <f t="shared" si="404"/>
        <v/>
      </c>
      <c r="Q2880" t="str">
        <f t="shared" si="405"/>
        <v/>
      </c>
      <c r="S2880" t="str">
        <f>IF(A2880=1,MAX($S$2:$S2879)+1,IF(OR($I2880&lt;&gt;"",A2880="x"),$S2879,""))</f>
        <v/>
      </c>
      <c r="T2880" t="str">
        <f>IF(D2880=1,MAX($T$2:$T2879)+1,IF(S2880=S2879,$T2879,IF(D2880="x",T2879,IF(D2879="x","",""))))</f>
        <v/>
      </c>
      <c r="U2880" t="str">
        <f>IF(B2880=1,MAX($U$2:$U2879)+1,IF(AND($T2880&lt;&gt;"",$T2880=$T2879),$U2879,IF(B2880="x",U2879,"")))</f>
        <v/>
      </c>
      <c r="V2880" t="str">
        <f>IF(C2880=1,MAX($V$2:$V2879)+1,IF(AND($T2880&lt;&gt;"",$T2880=$T2879),$U2879,IF(C2880="x",V2879,"")))</f>
        <v/>
      </c>
      <c r="X2880" cm="1">
        <f t="array" ref="X2880">IF($I2880&lt;&gt;"",$I2880,INDEX($I$1:$I2880,ROW()-COUNTIFS($T$1:$T2880,"="&amp;$T2880,$S$1:$S2880,"&lt;"&amp;$S2880)))</f>
        <v>0</v>
      </c>
      <c r="Z2880" s="6">
        <f t="shared" si="398"/>
        <v>1</v>
      </c>
      <c r="AA2880" t="e">
        <f t="shared" si="399"/>
        <v>#VALUE!</v>
      </c>
      <c r="AB2880" t="str">
        <f t="shared" si="400"/>
        <v/>
      </c>
      <c r="AC2880" t="e">
        <f t="shared" si="401"/>
        <v>#VALUE!</v>
      </c>
    </row>
    <row r="2881" spans="1:29" x14ac:dyDescent="0.2">
      <c r="A2881" t="str">
        <f t="shared" si="402"/>
        <v/>
      </c>
      <c r="E2881" s="4"/>
      <c r="F2881" s="46"/>
      <c r="G2881" s="4"/>
      <c r="H2881" s="48"/>
      <c r="J2881" s="26" t="str">
        <f t="shared" si="403"/>
        <v/>
      </c>
      <c r="N2881" t="str">
        <f t="shared" si="404"/>
        <v/>
      </c>
      <c r="Q2881" t="str">
        <f t="shared" si="405"/>
        <v/>
      </c>
      <c r="S2881" t="str">
        <f>IF(A2881=1,MAX($S$2:$S2880)+1,IF(OR($I2881&lt;&gt;"",A2881="x"),$S2880,""))</f>
        <v/>
      </c>
      <c r="T2881" t="str">
        <f>IF(D2881=1,MAX($T$2:$T2880)+1,IF(S2881=S2880,$T2880,IF(D2881="x",T2880,IF(D2880="x","",""))))</f>
        <v/>
      </c>
      <c r="U2881" t="str">
        <f>IF(B2881=1,MAX($U$2:$U2880)+1,IF(AND($T2881&lt;&gt;"",$T2881=$T2880),$U2880,IF(B2881="x",U2880,"")))</f>
        <v/>
      </c>
      <c r="V2881" t="str">
        <f>IF(C2881=1,MAX($V$2:$V2880)+1,IF(AND($T2881&lt;&gt;"",$T2881=$T2880),$U2880,IF(C2881="x",V2880,"")))</f>
        <v/>
      </c>
      <c r="X2881" cm="1">
        <f t="array" ref="X2881">IF($I2881&lt;&gt;"",$I2881,INDEX($I$1:$I2881,ROW()-COUNTIFS($T$1:$T2881,"="&amp;$T2881,$S$1:$S2881,"&lt;"&amp;$S2881)))</f>
        <v>0</v>
      </c>
      <c r="Z2881" s="6">
        <f t="shared" si="398"/>
        <v>1</v>
      </c>
      <c r="AA2881" t="e">
        <f t="shared" si="399"/>
        <v>#VALUE!</v>
      </c>
      <c r="AB2881" t="str">
        <f t="shared" si="400"/>
        <v/>
      </c>
      <c r="AC2881" t="e">
        <f t="shared" si="401"/>
        <v>#VALUE!</v>
      </c>
    </row>
    <row r="2882" spans="1:29" x14ac:dyDescent="0.2">
      <c r="A2882" t="str">
        <f t="shared" si="402"/>
        <v/>
      </c>
      <c r="E2882" s="4"/>
      <c r="F2882" s="46"/>
      <c r="G2882" s="4"/>
      <c r="H2882" s="48"/>
      <c r="J2882" s="26" t="str">
        <f t="shared" si="403"/>
        <v/>
      </c>
      <c r="N2882" t="str">
        <f t="shared" si="404"/>
        <v/>
      </c>
      <c r="Q2882" t="str">
        <f t="shared" si="405"/>
        <v/>
      </c>
      <c r="S2882" t="str">
        <f>IF(A2882=1,MAX($S$2:$S2881)+1,IF(OR($I2882&lt;&gt;"",A2882="x"),$S2881,""))</f>
        <v/>
      </c>
      <c r="T2882" t="str">
        <f>IF(D2882=1,MAX($T$2:$T2881)+1,IF(S2882=S2881,$T2881,IF(D2882="x",T2881,IF(D2881="x","",""))))</f>
        <v/>
      </c>
      <c r="U2882" t="str">
        <f>IF(B2882=1,MAX($U$2:$U2881)+1,IF(AND($T2882&lt;&gt;"",$T2882=$T2881),$U2881,IF(B2882="x",U2881,"")))</f>
        <v/>
      </c>
      <c r="V2882" t="str">
        <f>IF(C2882=1,MAX($V$2:$V2881)+1,IF(AND($T2882&lt;&gt;"",$T2882=$T2881),$U2881,IF(C2882="x",V2881,"")))</f>
        <v/>
      </c>
      <c r="X2882" cm="1">
        <f t="array" ref="X2882">IF($I2882&lt;&gt;"",$I2882,INDEX($I$1:$I2882,ROW()-COUNTIFS($T$1:$T2882,"="&amp;$T2882,$S$1:$S2882,"&lt;"&amp;$S2882)))</f>
        <v>0</v>
      </c>
      <c r="Z2882" s="6">
        <f t="shared" si="398"/>
        <v>1</v>
      </c>
      <c r="AA2882" t="e">
        <f t="shared" si="399"/>
        <v>#VALUE!</v>
      </c>
      <c r="AB2882" t="str">
        <f t="shared" si="400"/>
        <v/>
      </c>
      <c r="AC2882" t="e">
        <f t="shared" si="401"/>
        <v>#VALUE!</v>
      </c>
    </row>
    <row r="2883" spans="1:29" x14ac:dyDescent="0.2">
      <c r="A2883" t="str">
        <f t="shared" si="402"/>
        <v/>
      </c>
      <c r="E2883" s="4"/>
      <c r="F2883" s="46"/>
      <c r="G2883" s="4"/>
      <c r="H2883" s="48"/>
      <c r="J2883" s="26" t="str">
        <f t="shared" si="403"/>
        <v/>
      </c>
      <c r="N2883" t="str">
        <f t="shared" si="404"/>
        <v/>
      </c>
      <c r="Q2883" t="str">
        <f t="shared" si="405"/>
        <v/>
      </c>
      <c r="S2883" t="str">
        <f>IF(A2883=1,MAX($S$2:$S2882)+1,IF(OR($I2883&lt;&gt;"",A2883="x"),$S2882,""))</f>
        <v/>
      </c>
      <c r="T2883" t="str">
        <f>IF(D2883=1,MAX($T$2:$T2882)+1,IF(S2883=S2882,$T2882,IF(D2883="x",T2882,IF(D2882="x","",""))))</f>
        <v/>
      </c>
      <c r="U2883" t="str">
        <f>IF(B2883=1,MAX($U$2:$U2882)+1,IF(AND($T2883&lt;&gt;"",$T2883=$T2882),$U2882,IF(B2883="x",U2882,"")))</f>
        <v/>
      </c>
      <c r="V2883" t="str">
        <f>IF(C2883=1,MAX($V$2:$V2882)+1,IF(AND($T2883&lt;&gt;"",$T2883=$T2882),$U2882,IF(C2883="x",V2882,"")))</f>
        <v/>
      </c>
      <c r="X2883" cm="1">
        <f t="array" ref="X2883">IF($I2883&lt;&gt;"",$I2883,INDEX($I$1:$I2883,ROW()-COUNTIFS($T$1:$T2883,"="&amp;$T2883,$S$1:$S2883,"&lt;"&amp;$S2883)))</f>
        <v>0</v>
      </c>
      <c r="Z2883" s="6">
        <f t="shared" si="398"/>
        <v>1</v>
      </c>
      <c r="AA2883" t="e">
        <f t="shared" si="399"/>
        <v>#VALUE!</v>
      </c>
      <c r="AB2883" t="str">
        <f t="shared" si="400"/>
        <v/>
      </c>
      <c r="AC2883" t="e">
        <f t="shared" si="401"/>
        <v>#VALUE!</v>
      </c>
    </row>
    <row r="2884" spans="1:29" x14ac:dyDescent="0.2">
      <c r="A2884" t="str">
        <f t="shared" si="402"/>
        <v/>
      </c>
      <c r="E2884" s="4"/>
      <c r="F2884" s="46"/>
      <c r="G2884" s="4"/>
      <c r="H2884" s="48"/>
      <c r="J2884" s="26" t="str">
        <f t="shared" si="403"/>
        <v/>
      </c>
      <c r="N2884" t="str">
        <f t="shared" si="404"/>
        <v/>
      </c>
      <c r="Q2884" t="str">
        <f t="shared" si="405"/>
        <v/>
      </c>
      <c r="S2884" t="str">
        <f>IF(A2884=1,MAX($S$2:$S2883)+1,IF(OR($I2884&lt;&gt;"",A2884="x"),$S2883,""))</f>
        <v/>
      </c>
      <c r="T2884" t="str">
        <f>IF(D2884=1,MAX($T$2:$T2883)+1,IF(S2884=S2883,$T2883,IF(D2884="x",T2883,IF(D2883="x","",""))))</f>
        <v/>
      </c>
      <c r="U2884" t="str">
        <f>IF(B2884=1,MAX($U$2:$U2883)+1,IF(AND($T2884&lt;&gt;"",$T2884=$T2883),$U2883,IF(B2884="x",U2883,"")))</f>
        <v/>
      </c>
      <c r="V2884" t="str">
        <f>IF(C2884=1,MAX($V$2:$V2883)+1,IF(AND($T2884&lt;&gt;"",$T2884=$T2883),$U2883,IF(C2884="x",V2883,"")))</f>
        <v/>
      </c>
      <c r="X2884" cm="1">
        <f t="array" ref="X2884">IF($I2884&lt;&gt;"",$I2884,INDEX($I$1:$I2884,ROW()-COUNTIFS($T$1:$T2884,"="&amp;$T2884,$S$1:$S2884,"&lt;"&amp;$S2884)))</f>
        <v>0</v>
      </c>
      <c r="Z2884" s="6">
        <f t="shared" si="398"/>
        <v>1</v>
      </c>
      <c r="AA2884" t="e">
        <f t="shared" si="399"/>
        <v>#VALUE!</v>
      </c>
      <c r="AB2884" t="str">
        <f t="shared" si="400"/>
        <v/>
      </c>
      <c r="AC2884" t="e">
        <f t="shared" si="401"/>
        <v>#VALUE!</v>
      </c>
    </row>
    <row r="2885" spans="1:29" x14ac:dyDescent="0.2">
      <c r="A2885" t="str">
        <f t="shared" si="402"/>
        <v/>
      </c>
      <c r="E2885" s="4"/>
      <c r="F2885" s="46"/>
      <c r="G2885" s="4"/>
      <c r="H2885" s="48"/>
      <c r="J2885" s="26" t="str">
        <f t="shared" si="403"/>
        <v/>
      </c>
      <c r="N2885" t="str">
        <f t="shared" si="404"/>
        <v/>
      </c>
      <c r="Q2885" t="str">
        <f t="shared" si="405"/>
        <v/>
      </c>
      <c r="S2885" t="str">
        <f>IF(A2885=1,MAX($S$2:$S2884)+1,IF(OR($I2885&lt;&gt;"",A2885="x"),$S2884,""))</f>
        <v/>
      </c>
      <c r="T2885" t="str">
        <f>IF(D2885=1,MAX($T$2:$T2884)+1,IF(S2885=S2884,$T2884,IF(D2885="x",T2884,IF(D2884="x","",""))))</f>
        <v/>
      </c>
      <c r="U2885" t="str">
        <f>IF(B2885=1,MAX($U$2:$U2884)+1,IF(AND($T2885&lt;&gt;"",$T2885=$T2884),$U2884,IF(B2885="x",U2884,"")))</f>
        <v/>
      </c>
      <c r="V2885" t="str">
        <f>IF(C2885=1,MAX($V$2:$V2884)+1,IF(AND($T2885&lt;&gt;"",$T2885=$T2884),$U2884,IF(C2885="x",V2884,"")))</f>
        <v/>
      </c>
      <c r="X2885" cm="1">
        <f t="array" ref="X2885">IF($I2885&lt;&gt;"",$I2885,INDEX($I$1:$I2885,ROW()-COUNTIFS($T$1:$T2885,"="&amp;$T2885,$S$1:$S2885,"&lt;"&amp;$S2885)))</f>
        <v>0</v>
      </c>
      <c r="Z2885" s="6">
        <f t="shared" ref="Z2885:Z2948" si="406">IF(K2885="Intermission",Z2884+1,Z2884)</f>
        <v>1</v>
      </c>
      <c r="AA2885" t="e">
        <f t="shared" ref="AA2885:AA2948" si="407">S2885+1000</f>
        <v>#VALUE!</v>
      </c>
      <c r="AB2885" t="str">
        <f t="shared" ref="AB2885:AB2948" si="408">IF(T2885&lt;&gt;"",9000+T2885,"")</f>
        <v/>
      </c>
      <c r="AC2885" t="e">
        <f t="shared" ref="AC2885:AC2948" si="409">IF(AB2885&lt;&gt;"",AB2885,S2885+1000)</f>
        <v>#VALUE!</v>
      </c>
    </row>
    <row r="2886" spans="1:29" x14ac:dyDescent="0.2">
      <c r="A2886" t="str">
        <f t="shared" si="402"/>
        <v/>
      </c>
      <c r="E2886" s="4"/>
      <c r="F2886" s="46"/>
      <c r="G2886" s="4"/>
      <c r="H2886" s="48"/>
      <c r="J2886" s="26" t="str">
        <f t="shared" si="403"/>
        <v/>
      </c>
      <c r="N2886" t="str">
        <f t="shared" si="404"/>
        <v/>
      </c>
      <c r="Q2886" t="str">
        <f t="shared" si="405"/>
        <v/>
      </c>
      <c r="S2886" t="str">
        <f>IF(A2886=1,MAX($S$2:$S2885)+1,IF(OR($I2886&lt;&gt;"",A2886="x"),$S2885,""))</f>
        <v/>
      </c>
      <c r="T2886" t="str">
        <f>IF(D2886=1,MAX($T$2:$T2885)+1,IF(S2886=S2885,$T2885,IF(D2886="x",T2885,IF(D2885="x","",""))))</f>
        <v/>
      </c>
      <c r="U2886" t="str">
        <f>IF(B2886=1,MAX($U$2:$U2885)+1,IF(AND($T2886&lt;&gt;"",$T2886=$T2885),$U2885,IF(B2886="x",U2885,"")))</f>
        <v/>
      </c>
      <c r="V2886" t="str">
        <f>IF(C2886=1,MAX($V$2:$V2885)+1,IF(AND($T2886&lt;&gt;"",$T2886=$T2885),$U2885,IF(C2886="x",V2885,"")))</f>
        <v/>
      </c>
      <c r="X2886" cm="1">
        <f t="array" ref="X2886">IF($I2886&lt;&gt;"",$I2886,INDEX($I$1:$I2886,ROW()-COUNTIFS($T$1:$T2886,"="&amp;$T2886,$S$1:$S2886,"&lt;"&amp;$S2886)))</f>
        <v>0</v>
      </c>
      <c r="Z2886" s="6">
        <f t="shared" si="406"/>
        <v>1</v>
      </c>
      <c r="AA2886" t="e">
        <f t="shared" si="407"/>
        <v>#VALUE!</v>
      </c>
      <c r="AB2886" t="str">
        <f t="shared" si="408"/>
        <v/>
      </c>
      <c r="AC2886" t="e">
        <f t="shared" si="409"/>
        <v>#VALUE!</v>
      </c>
    </row>
    <row r="2887" spans="1:29" x14ac:dyDescent="0.2">
      <c r="A2887" t="str">
        <f t="shared" si="402"/>
        <v/>
      </c>
      <c r="E2887" s="4"/>
      <c r="F2887" s="46"/>
      <c r="G2887" s="4"/>
      <c r="H2887" s="48"/>
      <c r="J2887" s="26" t="str">
        <f t="shared" si="403"/>
        <v/>
      </c>
      <c r="N2887" t="str">
        <f t="shared" si="404"/>
        <v/>
      </c>
      <c r="Q2887" t="str">
        <f t="shared" si="405"/>
        <v/>
      </c>
      <c r="S2887" t="str">
        <f>IF(A2887=1,MAX($S$2:$S2886)+1,IF(OR($I2887&lt;&gt;"",A2887="x"),$S2886,""))</f>
        <v/>
      </c>
      <c r="T2887" t="str">
        <f>IF(D2887=1,MAX($T$2:$T2886)+1,IF(S2887=S2886,$T2886,IF(D2887="x",T2886,IF(D2886="x","",""))))</f>
        <v/>
      </c>
      <c r="U2887" t="str">
        <f>IF(B2887=1,MAX($U$2:$U2886)+1,IF(AND($T2887&lt;&gt;"",$T2887=$T2886),$U2886,IF(B2887="x",U2886,"")))</f>
        <v/>
      </c>
      <c r="V2887" t="str">
        <f>IF(C2887=1,MAX($V$2:$V2886)+1,IF(AND($T2887&lt;&gt;"",$T2887=$T2886),$U2886,IF(C2887="x",V2886,"")))</f>
        <v/>
      </c>
      <c r="X2887" cm="1">
        <f t="array" ref="X2887">IF($I2887&lt;&gt;"",$I2887,INDEX($I$1:$I2887,ROW()-COUNTIFS($T$1:$T2887,"="&amp;$T2887,$S$1:$S2887,"&lt;"&amp;$S2887)))</f>
        <v>0</v>
      </c>
      <c r="Z2887" s="6">
        <f t="shared" si="406"/>
        <v>1</v>
      </c>
      <c r="AA2887" t="e">
        <f t="shared" si="407"/>
        <v>#VALUE!</v>
      </c>
      <c r="AB2887" t="str">
        <f t="shared" si="408"/>
        <v/>
      </c>
      <c r="AC2887" t="e">
        <f t="shared" si="409"/>
        <v>#VALUE!</v>
      </c>
    </row>
    <row r="2888" spans="1:29" x14ac:dyDescent="0.2">
      <c r="A2888" t="str">
        <f t="shared" si="402"/>
        <v/>
      </c>
      <c r="E2888" s="4"/>
      <c r="F2888" s="46"/>
      <c r="G2888" s="4"/>
      <c r="H2888" s="48"/>
      <c r="J2888" s="26" t="str">
        <f t="shared" si="403"/>
        <v/>
      </c>
      <c r="N2888" t="str">
        <f t="shared" si="404"/>
        <v/>
      </c>
      <c r="Q2888" t="str">
        <f t="shared" si="405"/>
        <v/>
      </c>
      <c r="S2888" t="str">
        <f>IF(A2888=1,MAX($S$2:$S2887)+1,IF(OR($I2888&lt;&gt;"",A2888="x"),$S2887,""))</f>
        <v/>
      </c>
      <c r="T2888" t="str">
        <f>IF(D2888=1,MAX($T$2:$T2887)+1,IF(S2888=S2887,$T2887,IF(D2888="x",T2887,IF(D2887="x","",""))))</f>
        <v/>
      </c>
      <c r="U2888" t="str">
        <f>IF(B2888=1,MAX($U$2:$U2887)+1,IF(AND($T2888&lt;&gt;"",$T2888=$T2887),$U2887,IF(B2888="x",U2887,"")))</f>
        <v/>
      </c>
      <c r="V2888" t="str">
        <f>IF(C2888=1,MAX($V$2:$V2887)+1,IF(AND($T2888&lt;&gt;"",$T2888=$T2887),$U2887,IF(C2888="x",V2887,"")))</f>
        <v/>
      </c>
      <c r="X2888" cm="1">
        <f t="array" ref="X2888">IF($I2888&lt;&gt;"",$I2888,INDEX($I$1:$I2888,ROW()-COUNTIFS($T$1:$T2888,"="&amp;$T2888,$S$1:$S2888,"&lt;"&amp;$S2888)))</f>
        <v>0</v>
      </c>
      <c r="Z2888" s="6">
        <f t="shared" si="406"/>
        <v>1</v>
      </c>
      <c r="AA2888" t="e">
        <f t="shared" si="407"/>
        <v>#VALUE!</v>
      </c>
      <c r="AB2888" t="str">
        <f t="shared" si="408"/>
        <v/>
      </c>
      <c r="AC2888" t="e">
        <f t="shared" si="409"/>
        <v>#VALUE!</v>
      </c>
    </row>
    <row r="2889" spans="1:29" x14ac:dyDescent="0.2">
      <c r="A2889" t="str">
        <f t="shared" si="402"/>
        <v/>
      </c>
      <c r="E2889" s="4"/>
      <c r="F2889" s="46"/>
      <c r="G2889" s="4"/>
      <c r="H2889" s="48"/>
      <c r="J2889" s="26" t="str">
        <f t="shared" si="403"/>
        <v/>
      </c>
      <c r="N2889" t="str">
        <f t="shared" si="404"/>
        <v/>
      </c>
      <c r="Q2889" t="str">
        <f t="shared" si="405"/>
        <v/>
      </c>
      <c r="S2889" t="str">
        <f>IF(A2889=1,MAX($S$2:$S2888)+1,IF(OR($I2889&lt;&gt;"",A2889="x"),$S2888,""))</f>
        <v/>
      </c>
      <c r="T2889" t="str">
        <f>IF(D2889=1,MAX($T$2:$T2888)+1,IF(S2889=S2888,$T2888,IF(D2889="x",T2888,IF(D2888="x","",""))))</f>
        <v/>
      </c>
      <c r="U2889" t="str">
        <f>IF(B2889=1,MAX($U$2:$U2888)+1,IF(AND($T2889&lt;&gt;"",$T2889=$T2888),$U2888,IF(B2889="x",U2888,"")))</f>
        <v/>
      </c>
      <c r="V2889" t="str">
        <f>IF(C2889=1,MAX($V$2:$V2888)+1,IF(AND($T2889&lt;&gt;"",$T2889=$T2888),$U2888,IF(C2889="x",V2888,"")))</f>
        <v/>
      </c>
      <c r="X2889" cm="1">
        <f t="array" ref="X2889">IF($I2889&lt;&gt;"",$I2889,INDEX($I$1:$I2889,ROW()-COUNTIFS($T$1:$T2889,"="&amp;$T2889,$S$1:$S2889,"&lt;"&amp;$S2889)))</f>
        <v>0</v>
      </c>
      <c r="Z2889" s="6">
        <f t="shared" si="406"/>
        <v>1</v>
      </c>
      <c r="AA2889" t="e">
        <f t="shared" si="407"/>
        <v>#VALUE!</v>
      </c>
      <c r="AB2889" t="str">
        <f t="shared" si="408"/>
        <v/>
      </c>
      <c r="AC2889" t="e">
        <f t="shared" si="409"/>
        <v>#VALUE!</v>
      </c>
    </row>
    <row r="2890" spans="1:29" x14ac:dyDescent="0.2">
      <c r="A2890" t="str">
        <f t="shared" si="402"/>
        <v/>
      </c>
      <c r="E2890" s="4"/>
      <c r="F2890" s="46"/>
      <c r="G2890" s="4"/>
      <c r="H2890" s="48"/>
      <c r="J2890" s="26" t="str">
        <f t="shared" si="403"/>
        <v/>
      </c>
      <c r="N2890" t="str">
        <f t="shared" si="404"/>
        <v/>
      </c>
      <c r="Q2890" t="str">
        <f t="shared" si="405"/>
        <v/>
      </c>
      <c r="S2890" t="str">
        <f>IF(A2890=1,MAX($S$2:$S2889)+1,IF(OR($I2890&lt;&gt;"",A2890="x"),$S2889,""))</f>
        <v/>
      </c>
      <c r="T2890" t="str">
        <f>IF(D2890=1,MAX($T$2:$T2889)+1,IF(S2890=S2889,$T2889,IF(D2890="x",T2889,IF(D2889="x","",""))))</f>
        <v/>
      </c>
      <c r="U2890" t="str">
        <f>IF(B2890=1,MAX($U$2:$U2889)+1,IF(AND($T2890&lt;&gt;"",$T2890=$T2889),$U2889,IF(B2890="x",U2889,"")))</f>
        <v/>
      </c>
      <c r="V2890" t="str">
        <f>IF(C2890=1,MAX($V$2:$V2889)+1,IF(AND($T2890&lt;&gt;"",$T2890=$T2889),$U2889,IF(C2890="x",V2889,"")))</f>
        <v/>
      </c>
      <c r="X2890" cm="1">
        <f t="array" ref="X2890">IF($I2890&lt;&gt;"",$I2890,INDEX($I$1:$I2890,ROW()-COUNTIFS($T$1:$T2890,"="&amp;$T2890,$S$1:$S2890,"&lt;"&amp;$S2890)))</f>
        <v>0</v>
      </c>
      <c r="Z2890" s="6">
        <f t="shared" si="406"/>
        <v>1</v>
      </c>
      <c r="AA2890" t="e">
        <f t="shared" si="407"/>
        <v>#VALUE!</v>
      </c>
      <c r="AB2890" t="str">
        <f t="shared" si="408"/>
        <v/>
      </c>
      <c r="AC2890" t="e">
        <f t="shared" si="409"/>
        <v>#VALUE!</v>
      </c>
    </row>
    <row r="2891" spans="1:29" x14ac:dyDescent="0.2">
      <c r="A2891" t="str">
        <f t="shared" si="402"/>
        <v/>
      </c>
      <c r="E2891" s="4"/>
      <c r="F2891" s="46"/>
      <c r="G2891" s="4"/>
      <c r="H2891" s="48"/>
      <c r="J2891" s="26" t="str">
        <f t="shared" si="403"/>
        <v/>
      </c>
      <c r="N2891" t="str">
        <f t="shared" si="404"/>
        <v/>
      </c>
      <c r="Q2891" t="str">
        <f t="shared" si="405"/>
        <v/>
      </c>
      <c r="S2891" t="str">
        <f>IF(A2891=1,MAX($S$2:$S2890)+1,IF(OR($I2891&lt;&gt;"",A2891="x"),$S2890,""))</f>
        <v/>
      </c>
      <c r="T2891" t="str">
        <f>IF(D2891=1,MAX($T$2:$T2890)+1,IF(S2891=S2890,$T2890,IF(D2891="x",T2890,IF(D2890="x","",""))))</f>
        <v/>
      </c>
      <c r="U2891" t="str">
        <f>IF(B2891=1,MAX($U$2:$U2890)+1,IF(AND($T2891&lt;&gt;"",$T2891=$T2890),$U2890,IF(B2891="x",U2890,"")))</f>
        <v/>
      </c>
      <c r="V2891" t="str">
        <f>IF(C2891=1,MAX($V$2:$V2890)+1,IF(AND($T2891&lt;&gt;"",$T2891=$T2890),$U2890,IF(C2891="x",V2890,"")))</f>
        <v/>
      </c>
      <c r="X2891" cm="1">
        <f t="array" ref="X2891">IF($I2891&lt;&gt;"",$I2891,INDEX($I$1:$I2891,ROW()-COUNTIFS($T$1:$T2891,"="&amp;$T2891,$S$1:$S2891,"&lt;"&amp;$S2891)))</f>
        <v>0</v>
      </c>
      <c r="Z2891" s="6">
        <f t="shared" si="406"/>
        <v>1</v>
      </c>
      <c r="AA2891" t="e">
        <f t="shared" si="407"/>
        <v>#VALUE!</v>
      </c>
      <c r="AB2891" t="str">
        <f t="shared" si="408"/>
        <v/>
      </c>
      <c r="AC2891" t="e">
        <f t="shared" si="409"/>
        <v>#VALUE!</v>
      </c>
    </row>
    <row r="2892" spans="1:29" x14ac:dyDescent="0.2">
      <c r="A2892" t="str">
        <f t="shared" si="402"/>
        <v/>
      </c>
      <c r="E2892" s="4"/>
      <c r="F2892" s="46"/>
      <c r="G2892" s="4"/>
      <c r="H2892" s="48"/>
      <c r="J2892" s="26" t="str">
        <f t="shared" si="403"/>
        <v/>
      </c>
      <c r="N2892" t="str">
        <f t="shared" si="404"/>
        <v/>
      </c>
      <c r="Q2892" t="str">
        <f t="shared" si="405"/>
        <v/>
      </c>
      <c r="S2892" t="str">
        <f>IF(A2892=1,MAX($S$2:$S2891)+1,IF(OR($I2892&lt;&gt;"",A2892="x"),$S2891,""))</f>
        <v/>
      </c>
      <c r="T2892" t="str">
        <f>IF(D2892=1,MAX($T$2:$T2891)+1,IF(S2892=S2891,$T2891,IF(D2892="x",T2891,IF(D2891="x","",""))))</f>
        <v/>
      </c>
      <c r="U2892" t="str">
        <f>IF(B2892=1,MAX($U$2:$U2891)+1,IF(AND($T2892&lt;&gt;"",$T2892=$T2891),$U2891,IF(B2892="x",U2891,"")))</f>
        <v/>
      </c>
      <c r="V2892" t="str">
        <f>IF(C2892=1,MAX($V$2:$V2891)+1,IF(AND($T2892&lt;&gt;"",$T2892=$T2891),$U2891,IF(C2892="x",V2891,"")))</f>
        <v/>
      </c>
      <c r="X2892" cm="1">
        <f t="array" ref="X2892">IF($I2892&lt;&gt;"",$I2892,INDEX($I$1:$I2892,ROW()-COUNTIFS($T$1:$T2892,"="&amp;$T2892,$S$1:$S2892,"&lt;"&amp;$S2892)))</f>
        <v>0</v>
      </c>
      <c r="Z2892" s="6">
        <f t="shared" si="406"/>
        <v>1</v>
      </c>
      <c r="AA2892" t="e">
        <f t="shared" si="407"/>
        <v>#VALUE!</v>
      </c>
      <c r="AB2892" t="str">
        <f t="shared" si="408"/>
        <v/>
      </c>
      <c r="AC2892" t="e">
        <f t="shared" si="409"/>
        <v>#VALUE!</v>
      </c>
    </row>
    <row r="2893" spans="1:29" x14ac:dyDescent="0.2">
      <c r="A2893" t="str">
        <f t="shared" si="402"/>
        <v/>
      </c>
      <c r="E2893" s="4"/>
      <c r="F2893" s="46"/>
      <c r="G2893" s="4"/>
      <c r="H2893" s="48"/>
      <c r="J2893" s="26" t="str">
        <f t="shared" si="403"/>
        <v/>
      </c>
      <c r="N2893" t="str">
        <f t="shared" si="404"/>
        <v/>
      </c>
      <c r="Q2893" t="str">
        <f t="shared" si="405"/>
        <v/>
      </c>
      <c r="S2893" t="str">
        <f>IF(A2893=1,MAX($S$2:$S2892)+1,IF(OR($I2893&lt;&gt;"",A2893="x"),$S2892,""))</f>
        <v/>
      </c>
      <c r="T2893" t="str">
        <f>IF(D2893=1,MAX($T$2:$T2892)+1,IF(S2893=S2892,$T2892,IF(D2893="x",T2892,IF(D2892="x","",""))))</f>
        <v/>
      </c>
      <c r="U2893" t="str">
        <f>IF(B2893=1,MAX($U$2:$U2892)+1,IF(AND($T2893&lt;&gt;"",$T2893=$T2892),$U2892,IF(B2893="x",U2892,"")))</f>
        <v/>
      </c>
      <c r="V2893" t="str">
        <f>IF(C2893=1,MAX($V$2:$V2892)+1,IF(AND($T2893&lt;&gt;"",$T2893=$T2892),$U2892,IF(C2893="x",V2892,"")))</f>
        <v/>
      </c>
      <c r="X2893" cm="1">
        <f t="array" ref="X2893">IF($I2893&lt;&gt;"",$I2893,INDEX($I$1:$I2893,ROW()-COUNTIFS($T$1:$T2893,"="&amp;$T2893,$S$1:$S2893,"&lt;"&amp;$S2893)))</f>
        <v>0</v>
      </c>
      <c r="Z2893" s="6">
        <f t="shared" si="406"/>
        <v>1</v>
      </c>
      <c r="AA2893" t="e">
        <f t="shared" si="407"/>
        <v>#VALUE!</v>
      </c>
      <c r="AB2893" t="str">
        <f t="shared" si="408"/>
        <v/>
      </c>
      <c r="AC2893" t="e">
        <f t="shared" si="409"/>
        <v>#VALUE!</v>
      </c>
    </row>
    <row r="2894" spans="1:29" x14ac:dyDescent="0.2">
      <c r="A2894" t="str">
        <f t="shared" si="402"/>
        <v/>
      </c>
      <c r="E2894" s="4"/>
      <c r="F2894" s="46"/>
      <c r="G2894" s="4"/>
      <c r="H2894" s="48"/>
      <c r="J2894" s="26" t="str">
        <f t="shared" si="403"/>
        <v/>
      </c>
      <c r="N2894" t="str">
        <f t="shared" si="404"/>
        <v/>
      </c>
      <c r="Q2894" t="str">
        <f t="shared" si="405"/>
        <v/>
      </c>
      <c r="S2894" t="str">
        <f>IF(A2894=1,MAX($S$2:$S2893)+1,IF(OR($I2894&lt;&gt;"",A2894="x"),$S2893,""))</f>
        <v/>
      </c>
      <c r="T2894" t="str">
        <f>IF(D2894=1,MAX($T$2:$T2893)+1,IF(S2894=S2893,$T2893,IF(D2894="x",T2893,IF(D2893="x","",""))))</f>
        <v/>
      </c>
      <c r="U2894" t="str">
        <f>IF(B2894=1,MAX($U$2:$U2893)+1,IF(AND($T2894&lt;&gt;"",$T2894=$T2893),$U2893,IF(B2894="x",U2893,"")))</f>
        <v/>
      </c>
      <c r="V2894" t="str">
        <f>IF(C2894=1,MAX($V$2:$V2893)+1,IF(AND($T2894&lt;&gt;"",$T2894=$T2893),$U2893,IF(C2894="x",V2893,"")))</f>
        <v/>
      </c>
      <c r="X2894" cm="1">
        <f t="array" ref="X2894">IF($I2894&lt;&gt;"",$I2894,INDEX($I$1:$I2894,ROW()-COUNTIFS($T$1:$T2894,"="&amp;$T2894,$S$1:$S2894,"&lt;"&amp;$S2894)))</f>
        <v>0</v>
      </c>
      <c r="Z2894" s="6">
        <f t="shared" si="406"/>
        <v>1</v>
      </c>
      <c r="AA2894" t="e">
        <f t="shared" si="407"/>
        <v>#VALUE!</v>
      </c>
      <c r="AB2894" t="str">
        <f t="shared" si="408"/>
        <v/>
      </c>
      <c r="AC2894" t="e">
        <f t="shared" si="409"/>
        <v>#VALUE!</v>
      </c>
    </row>
    <row r="2895" spans="1:29" x14ac:dyDescent="0.2">
      <c r="A2895" t="str">
        <f t="shared" si="402"/>
        <v/>
      </c>
      <c r="E2895" s="4"/>
      <c r="F2895" s="46"/>
      <c r="G2895" s="4"/>
      <c r="H2895" s="48"/>
      <c r="J2895" s="26" t="str">
        <f t="shared" si="403"/>
        <v/>
      </c>
      <c r="N2895" t="str">
        <f t="shared" si="404"/>
        <v/>
      </c>
      <c r="Q2895" t="str">
        <f t="shared" si="405"/>
        <v/>
      </c>
      <c r="S2895" t="str">
        <f>IF(A2895=1,MAX($S$2:$S2894)+1,IF(OR($I2895&lt;&gt;"",A2895="x"),$S2894,""))</f>
        <v/>
      </c>
      <c r="T2895" t="str">
        <f>IF(D2895=1,MAX($T$2:$T2894)+1,IF(S2895=S2894,$T2894,IF(D2895="x",T2894,IF(D2894="x","",""))))</f>
        <v/>
      </c>
      <c r="U2895" t="str">
        <f>IF(B2895=1,MAX($U$2:$U2894)+1,IF(AND($T2895&lt;&gt;"",$T2895=$T2894),$U2894,IF(B2895="x",U2894,"")))</f>
        <v/>
      </c>
      <c r="V2895" t="str">
        <f>IF(C2895=1,MAX($V$2:$V2894)+1,IF(AND($T2895&lt;&gt;"",$T2895=$T2894),$U2894,IF(C2895="x",V2894,"")))</f>
        <v/>
      </c>
      <c r="X2895" cm="1">
        <f t="array" ref="X2895">IF($I2895&lt;&gt;"",$I2895,INDEX($I$1:$I2895,ROW()-COUNTIFS($T$1:$T2895,"="&amp;$T2895,$S$1:$S2895,"&lt;"&amp;$S2895)))</f>
        <v>0</v>
      </c>
      <c r="Z2895" s="6">
        <f t="shared" si="406"/>
        <v>1</v>
      </c>
      <c r="AA2895" t="e">
        <f t="shared" si="407"/>
        <v>#VALUE!</v>
      </c>
      <c r="AB2895" t="str">
        <f t="shared" si="408"/>
        <v/>
      </c>
      <c r="AC2895" t="e">
        <f t="shared" si="409"/>
        <v>#VALUE!</v>
      </c>
    </row>
    <row r="2896" spans="1:29" x14ac:dyDescent="0.2">
      <c r="A2896" t="str">
        <f t="shared" si="402"/>
        <v/>
      </c>
      <c r="E2896" s="4"/>
      <c r="F2896" s="46"/>
      <c r="G2896" s="4"/>
      <c r="H2896" s="48"/>
      <c r="J2896" s="26" t="str">
        <f t="shared" si="403"/>
        <v/>
      </c>
      <c r="N2896" t="str">
        <f t="shared" si="404"/>
        <v/>
      </c>
      <c r="Q2896" t="str">
        <f t="shared" si="405"/>
        <v/>
      </c>
      <c r="S2896" t="str">
        <f>IF(A2896=1,MAX($S$2:$S2895)+1,IF(OR($I2896&lt;&gt;"",A2896="x"),$S2895,""))</f>
        <v/>
      </c>
      <c r="T2896" t="str">
        <f>IF(D2896=1,MAX($T$2:$T2895)+1,IF(S2896=S2895,$T2895,IF(D2896="x",T2895,IF(D2895="x","",""))))</f>
        <v/>
      </c>
      <c r="U2896" t="str">
        <f>IF(B2896=1,MAX($U$2:$U2895)+1,IF(AND($T2896&lt;&gt;"",$T2896=$T2895),$U2895,IF(B2896="x",U2895,"")))</f>
        <v/>
      </c>
      <c r="V2896" t="str">
        <f>IF(C2896=1,MAX($V$2:$V2895)+1,IF(AND($T2896&lt;&gt;"",$T2896=$T2895),$U2895,IF(C2896="x",V2895,"")))</f>
        <v/>
      </c>
      <c r="X2896" cm="1">
        <f t="array" ref="X2896">IF($I2896&lt;&gt;"",$I2896,INDEX($I$1:$I2896,ROW()-COUNTIFS($T$1:$T2896,"="&amp;$T2896,$S$1:$S2896,"&lt;"&amp;$S2896)))</f>
        <v>0</v>
      </c>
      <c r="Z2896" s="6">
        <f t="shared" si="406"/>
        <v>1</v>
      </c>
      <c r="AA2896" t="e">
        <f t="shared" si="407"/>
        <v>#VALUE!</v>
      </c>
      <c r="AB2896" t="str">
        <f t="shared" si="408"/>
        <v/>
      </c>
      <c r="AC2896" t="e">
        <f t="shared" si="409"/>
        <v>#VALUE!</v>
      </c>
    </row>
    <row r="2897" spans="1:29" x14ac:dyDescent="0.2">
      <c r="A2897" t="str">
        <f t="shared" si="402"/>
        <v/>
      </c>
      <c r="E2897" s="4"/>
      <c r="F2897" s="46"/>
      <c r="G2897" s="4"/>
      <c r="H2897" s="48"/>
      <c r="J2897" s="26" t="str">
        <f t="shared" si="403"/>
        <v/>
      </c>
      <c r="N2897" t="str">
        <f t="shared" si="404"/>
        <v/>
      </c>
      <c r="Q2897" t="str">
        <f t="shared" si="405"/>
        <v/>
      </c>
      <c r="S2897" t="str">
        <f>IF(A2897=1,MAX($S$2:$S2896)+1,IF(OR($I2897&lt;&gt;"",A2897="x"),$S2896,""))</f>
        <v/>
      </c>
      <c r="T2897" t="str">
        <f>IF(D2897=1,MAX($T$2:$T2896)+1,IF(S2897=S2896,$T2896,IF(D2897="x",T2896,IF(D2896="x","",""))))</f>
        <v/>
      </c>
      <c r="U2897" t="str">
        <f>IF(B2897=1,MAX($U$2:$U2896)+1,IF(AND($T2897&lt;&gt;"",$T2897=$T2896),$U2896,IF(B2897="x",U2896,"")))</f>
        <v/>
      </c>
      <c r="V2897" t="str">
        <f>IF(C2897=1,MAX($V$2:$V2896)+1,IF(AND($T2897&lt;&gt;"",$T2897=$T2896),$U2896,IF(C2897="x",V2896,"")))</f>
        <v/>
      </c>
      <c r="X2897" cm="1">
        <f t="array" ref="X2897">IF($I2897&lt;&gt;"",$I2897,INDEX($I$1:$I2897,ROW()-COUNTIFS($T$1:$T2897,"="&amp;$T2897,$S$1:$S2897,"&lt;"&amp;$S2897)))</f>
        <v>0</v>
      </c>
      <c r="Z2897" s="6">
        <f t="shared" si="406"/>
        <v>1</v>
      </c>
      <c r="AA2897" t="e">
        <f t="shared" si="407"/>
        <v>#VALUE!</v>
      </c>
      <c r="AB2897" t="str">
        <f t="shared" si="408"/>
        <v/>
      </c>
      <c r="AC2897" t="e">
        <f t="shared" si="409"/>
        <v>#VALUE!</v>
      </c>
    </row>
    <row r="2898" spans="1:29" x14ac:dyDescent="0.2">
      <c r="A2898" t="str">
        <f t="shared" si="402"/>
        <v/>
      </c>
      <c r="E2898" s="4"/>
      <c r="F2898" s="46"/>
      <c r="G2898" s="4"/>
      <c r="H2898" s="48"/>
      <c r="J2898" s="26" t="str">
        <f t="shared" si="403"/>
        <v/>
      </c>
      <c r="N2898" t="str">
        <f t="shared" si="404"/>
        <v/>
      </c>
      <c r="Q2898" t="str">
        <f t="shared" si="405"/>
        <v/>
      </c>
      <c r="S2898" t="str">
        <f>IF(A2898=1,MAX($S$2:$S2897)+1,IF(OR($I2898&lt;&gt;"",A2898="x"),$S2897,""))</f>
        <v/>
      </c>
      <c r="T2898" t="str">
        <f>IF(D2898=1,MAX($T$2:$T2897)+1,IF(S2898=S2897,$T2897,IF(D2898="x",T2897,IF(D2897="x","",""))))</f>
        <v/>
      </c>
      <c r="U2898" t="str">
        <f>IF(B2898=1,MAX($U$2:$U2897)+1,IF(AND($T2898&lt;&gt;"",$T2898=$T2897),$U2897,IF(B2898="x",U2897,"")))</f>
        <v/>
      </c>
      <c r="V2898" t="str">
        <f>IF(C2898=1,MAX($V$2:$V2897)+1,IF(AND($T2898&lt;&gt;"",$T2898=$T2897),$U2897,IF(C2898="x",V2897,"")))</f>
        <v/>
      </c>
      <c r="X2898" cm="1">
        <f t="array" ref="X2898">IF($I2898&lt;&gt;"",$I2898,INDEX($I$1:$I2898,ROW()-COUNTIFS($T$1:$T2898,"="&amp;$T2898,$S$1:$S2898,"&lt;"&amp;$S2898)))</f>
        <v>0</v>
      </c>
      <c r="Z2898" s="6">
        <f t="shared" si="406"/>
        <v>1</v>
      </c>
      <c r="AA2898" t="e">
        <f t="shared" si="407"/>
        <v>#VALUE!</v>
      </c>
      <c r="AB2898" t="str">
        <f t="shared" si="408"/>
        <v/>
      </c>
      <c r="AC2898" t="e">
        <f t="shared" si="409"/>
        <v>#VALUE!</v>
      </c>
    </row>
    <row r="2899" spans="1:29" x14ac:dyDescent="0.2">
      <c r="A2899" t="str">
        <f t="shared" ref="A2899:A2962" si="410">IF(K2899&lt;&gt;"",1,IF(D2899="x","x",""))</f>
        <v/>
      </c>
      <c r="E2899" s="4"/>
      <c r="F2899" s="46"/>
      <c r="G2899" s="4"/>
      <c r="H2899" s="48"/>
      <c r="J2899" s="26" t="str">
        <f t="shared" ref="J2899:J2962" si="411">IF(OR(K2899="Goal",K2899="Shot",L2899="Zone_Entry",M2899="Stoppage-Goal",M2898="Stoppage-Goal"),"o",IF(OR(K2899="Save",K2899="Rebound",L2899="Zone_Exit",M2899="Stoppage-GoalieStoppage",M2898="Stoppage-GoalieStoppage"),"d",IF(OR(L2899="Faceoff_AfterGoal",L2899="Faceoff_PeriodStart",698="Faceoff_GameStart",M2898="Stoppage-Goal"),"n","")))</f>
        <v/>
      </c>
      <c r="N2899" t="str">
        <f t="shared" ref="N2899:N2962" si="412">IF(K2899="","",IF(K2899="Goal","s",IF(AND(K2899="Zone_Entry_Exit",OR(ISNUMBER(SEARCH("fail",L2899)),ISNUMBER(SEARCH("FromExitClear",M2899)),ISNUMBER(SEARCH("miss",M2899)))),"u",IF(AND(K2899="Zone_Entry_Exit",OR(NOT(ISNUMBER(SEARCH("fail",L2899))),NOT(ISNUMBER(SEARCH("FromExitClear",M2899))),NOT(ISNUMBER(SEARCH("miss",M2899))))),"s",IF(AND(OR(K2899="Shot",K2899="Pass"),OR(ISNUMBER(SEARCH("complete",L2899)),ISNUMBER(SEARCH("goal",L2899)),ISNUMBER(SEARCH("OnNet",L2899)))),"s",IF(L2899="Turnover_Giveaway","u",IF(AND(OR(K2899="Shot",K2899="Pass"),OR(ISNUMBER(SEARCH("fail",L2899)),NOT(ISNUMBER(SEARCH("complete",L2899))),NOT(ISNUMBER(SEARCH("OnNet",L2899))))),"u","")))))))</f>
        <v/>
      </c>
      <c r="Q2899" t="str">
        <f t="shared" ref="Q2899:Q2962" si="413">IF(O2899="","",IF(AND(N2899&lt;&gt;"",OR(O2899&lt;&gt;"",P2899&lt;&gt;"")),N2899,IF(OR(ISNUMBER(SEARCH("attemp",O2899)),ISNUMBER(SEARCH("beat",O2899)),ISNUMBER(SEARCH("mis",O2899)),ISNUMBER(SEARCH("fail",O2899)),ISNUMBER(SEARCH("loss",O2899)),ISNUMBER(SEARCH("lost",O2899)),ISNUMBER(SEARCH("attemp",P2899)),ISNUMBER(SEARCH("mis",P2899)),ISNUMBER(SEARCH("fail",P2899)),ISNUMBER(SEARCH("loss",P2899)),ISNUMBER(SEARCH("beat",P2899)),ISNUMBER(SEARCH("lost",P2899))),"u","")))</f>
        <v/>
      </c>
      <c r="S2899" t="str">
        <f>IF(A2899=1,MAX($S$2:$S2898)+1,IF(OR($I2899&lt;&gt;"",A2899="x"),$S2898,""))</f>
        <v/>
      </c>
      <c r="T2899" t="str">
        <f>IF(D2899=1,MAX($T$2:$T2898)+1,IF(S2899=S2898,$T2898,IF(D2899="x",T2898,IF(D2898="x","",""))))</f>
        <v/>
      </c>
      <c r="U2899" t="str">
        <f>IF(B2899=1,MAX($U$2:$U2898)+1,IF(AND($T2899&lt;&gt;"",$T2899=$T2898),$U2898,IF(B2899="x",U2898,"")))</f>
        <v/>
      </c>
      <c r="V2899" t="str">
        <f>IF(C2899=1,MAX($V$2:$V2898)+1,IF(AND($T2899&lt;&gt;"",$T2899=$T2898),$U2898,IF(C2899="x",V2898,"")))</f>
        <v/>
      </c>
      <c r="X2899" cm="1">
        <f t="array" ref="X2899">IF($I2899&lt;&gt;"",$I2899,INDEX($I$1:$I2899,ROW()-COUNTIFS($T$1:$T2899,"="&amp;$T2899,$S$1:$S2899,"&lt;"&amp;$S2899)))</f>
        <v>0</v>
      </c>
      <c r="Z2899" s="6">
        <f t="shared" si="406"/>
        <v>1</v>
      </c>
      <c r="AA2899" t="e">
        <f t="shared" si="407"/>
        <v>#VALUE!</v>
      </c>
      <c r="AB2899" t="str">
        <f t="shared" si="408"/>
        <v/>
      </c>
      <c r="AC2899" t="e">
        <f t="shared" si="409"/>
        <v>#VALUE!</v>
      </c>
    </row>
    <row r="2900" spans="1:29" x14ac:dyDescent="0.2">
      <c r="A2900" t="str">
        <f t="shared" si="410"/>
        <v/>
      </c>
      <c r="E2900" s="4"/>
      <c r="F2900" s="46"/>
      <c r="G2900" s="4"/>
      <c r="H2900" s="48"/>
      <c r="J2900" s="26" t="str">
        <f t="shared" si="411"/>
        <v/>
      </c>
      <c r="N2900" t="str">
        <f t="shared" si="412"/>
        <v/>
      </c>
      <c r="Q2900" t="str">
        <f t="shared" si="413"/>
        <v/>
      </c>
      <c r="S2900" t="str">
        <f>IF(A2900=1,MAX($S$2:$S2899)+1,IF(OR($I2900&lt;&gt;"",A2900="x"),$S2899,""))</f>
        <v/>
      </c>
      <c r="T2900" t="str">
        <f>IF(D2900=1,MAX($T$2:$T2899)+1,IF(S2900=S2899,$T2899,IF(D2900="x",T2899,IF(D2899="x","",""))))</f>
        <v/>
      </c>
      <c r="U2900" t="str">
        <f>IF(B2900=1,MAX($U$2:$U2899)+1,IF(AND($T2900&lt;&gt;"",$T2900=$T2899),$U2899,IF(B2900="x",U2899,"")))</f>
        <v/>
      </c>
      <c r="V2900" t="str">
        <f>IF(C2900=1,MAX($V$2:$V2899)+1,IF(AND($T2900&lt;&gt;"",$T2900=$T2899),$U2899,IF(C2900="x",V2899,"")))</f>
        <v/>
      </c>
      <c r="X2900" cm="1">
        <f t="array" ref="X2900">IF($I2900&lt;&gt;"",$I2900,INDEX($I$1:$I2900,ROW()-COUNTIFS($T$1:$T2900,"="&amp;$T2900,$S$1:$S2900,"&lt;"&amp;$S2900)))</f>
        <v>0</v>
      </c>
      <c r="Z2900" s="6">
        <f t="shared" si="406"/>
        <v>1</v>
      </c>
      <c r="AA2900" t="e">
        <f t="shared" si="407"/>
        <v>#VALUE!</v>
      </c>
      <c r="AB2900" t="str">
        <f t="shared" si="408"/>
        <v/>
      </c>
      <c r="AC2900" t="e">
        <f t="shared" si="409"/>
        <v>#VALUE!</v>
      </c>
    </row>
    <row r="2901" spans="1:29" x14ac:dyDescent="0.2">
      <c r="A2901" t="str">
        <f t="shared" si="410"/>
        <v/>
      </c>
      <c r="E2901" s="4"/>
      <c r="F2901" s="46"/>
      <c r="G2901" s="4"/>
      <c r="H2901" s="48"/>
      <c r="J2901" s="26" t="str">
        <f t="shared" si="411"/>
        <v/>
      </c>
      <c r="N2901" t="str">
        <f t="shared" si="412"/>
        <v/>
      </c>
      <c r="Q2901" t="str">
        <f t="shared" si="413"/>
        <v/>
      </c>
      <c r="S2901" t="str">
        <f>IF(A2901=1,MAX($S$2:$S2900)+1,IF(OR($I2901&lt;&gt;"",A2901="x"),$S2900,""))</f>
        <v/>
      </c>
      <c r="T2901" t="str">
        <f>IF(D2901=1,MAX($T$2:$T2900)+1,IF(S2901=S2900,$T2900,IF(D2901="x",T2900,IF(D2900="x","",""))))</f>
        <v/>
      </c>
      <c r="U2901" t="str">
        <f>IF(B2901=1,MAX($U$2:$U2900)+1,IF(AND($T2901&lt;&gt;"",$T2901=$T2900),$U2900,IF(B2901="x",U2900,"")))</f>
        <v/>
      </c>
      <c r="V2901" t="str">
        <f>IF(C2901=1,MAX($V$2:$V2900)+1,IF(AND($T2901&lt;&gt;"",$T2901=$T2900),$U2900,IF(C2901="x",V2900,"")))</f>
        <v/>
      </c>
      <c r="X2901" cm="1">
        <f t="array" ref="X2901">IF($I2901&lt;&gt;"",$I2901,INDEX($I$1:$I2901,ROW()-COUNTIFS($T$1:$T2901,"="&amp;$T2901,$S$1:$S2901,"&lt;"&amp;$S2901)))</f>
        <v>0</v>
      </c>
      <c r="Z2901" s="6">
        <f t="shared" si="406"/>
        <v>1</v>
      </c>
      <c r="AA2901" t="e">
        <f t="shared" si="407"/>
        <v>#VALUE!</v>
      </c>
      <c r="AB2901" t="str">
        <f t="shared" si="408"/>
        <v/>
      </c>
      <c r="AC2901" t="e">
        <f t="shared" si="409"/>
        <v>#VALUE!</v>
      </c>
    </row>
    <row r="2902" spans="1:29" x14ac:dyDescent="0.2">
      <c r="A2902" t="str">
        <f t="shared" si="410"/>
        <v/>
      </c>
      <c r="E2902" s="4"/>
      <c r="F2902" s="46"/>
      <c r="G2902" s="4"/>
      <c r="H2902" s="48"/>
      <c r="J2902" s="26" t="str">
        <f t="shared" si="411"/>
        <v/>
      </c>
      <c r="N2902" t="str">
        <f t="shared" si="412"/>
        <v/>
      </c>
      <c r="Q2902" t="str">
        <f t="shared" si="413"/>
        <v/>
      </c>
      <c r="S2902" t="str">
        <f>IF(A2902=1,MAX($S$2:$S2901)+1,IF(OR($I2902&lt;&gt;"",A2902="x"),$S2901,""))</f>
        <v/>
      </c>
      <c r="T2902" t="str">
        <f>IF(D2902=1,MAX($T$2:$T2901)+1,IF(S2902=S2901,$T2901,IF(D2902="x",T2901,IF(D2901="x","",""))))</f>
        <v/>
      </c>
      <c r="U2902" t="str">
        <f>IF(B2902=1,MAX($U$2:$U2901)+1,IF(AND($T2902&lt;&gt;"",$T2902=$T2901),$U2901,IF(B2902="x",U2901,"")))</f>
        <v/>
      </c>
      <c r="V2902" t="str">
        <f>IF(C2902=1,MAX($V$2:$V2901)+1,IF(AND($T2902&lt;&gt;"",$T2902=$T2901),$U2901,IF(C2902="x",V2901,"")))</f>
        <v/>
      </c>
      <c r="X2902" cm="1">
        <f t="array" ref="X2902">IF($I2902&lt;&gt;"",$I2902,INDEX($I$1:$I2902,ROW()-COUNTIFS($T$1:$T2902,"="&amp;$T2902,$S$1:$S2902,"&lt;"&amp;$S2902)))</f>
        <v>0</v>
      </c>
      <c r="Z2902" s="6">
        <f t="shared" si="406"/>
        <v>1</v>
      </c>
      <c r="AA2902" t="e">
        <f t="shared" si="407"/>
        <v>#VALUE!</v>
      </c>
      <c r="AB2902" t="str">
        <f t="shared" si="408"/>
        <v/>
      </c>
      <c r="AC2902" t="e">
        <f t="shared" si="409"/>
        <v>#VALUE!</v>
      </c>
    </row>
    <row r="2903" spans="1:29" x14ac:dyDescent="0.2">
      <c r="A2903" t="str">
        <f t="shared" si="410"/>
        <v/>
      </c>
      <c r="E2903" s="4"/>
      <c r="F2903" s="46"/>
      <c r="G2903" s="4"/>
      <c r="H2903" s="48"/>
      <c r="J2903" s="26" t="str">
        <f t="shared" si="411"/>
        <v/>
      </c>
      <c r="N2903" t="str">
        <f t="shared" si="412"/>
        <v/>
      </c>
      <c r="Q2903" t="str">
        <f t="shared" si="413"/>
        <v/>
      </c>
      <c r="S2903" t="str">
        <f>IF(A2903=1,MAX($S$2:$S2902)+1,IF(OR($I2903&lt;&gt;"",A2903="x"),$S2902,""))</f>
        <v/>
      </c>
      <c r="T2903" t="str">
        <f>IF(D2903=1,MAX($T$2:$T2902)+1,IF(S2903=S2902,$T2902,IF(D2903="x",T2902,IF(D2902="x","",""))))</f>
        <v/>
      </c>
      <c r="U2903" t="str">
        <f>IF(B2903=1,MAX($U$2:$U2902)+1,IF(AND($T2903&lt;&gt;"",$T2903=$T2902),$U2902,IF(B2903="x",U2902,"")))</f>
        <v/>
      </c>
      <c r="V2903" t="str">
        <f>IF(C2903=1,MAX($V$2:$V2902)+1,IF(AND($T2903&lt;&gt;"",$T2903=$T2902),$U2902,IF(C2903="x",V2902,"")))</f>
        <v/>
      </c>
      <c r="X2903" cm="1">
        <f t="array" ref="X2903">IF($I2903&lt;&gt;"",$I2903,INDEX($I$1:$I2903,ROW()-COUNTIFS($T$1:$T2903,"="&amp;$T2903,$S$1:$S2903,"&lt;"&amp;$S2903)))</f>
        <v>0</v>
      </c>
      <c r="Z2903" s="6">
        <f t="shared" si="406"/>
        <v>1</v>
      </c>
      <c r="AA2903" t="e">
        <f t="shared" si="407"/>
        <v>#VALUE!</v>
      </c>
      <c r="AB2903" t="str">
        <f t="shared" si="408"/>
        <v/>
      </c>
      <c r="AC2903" t="e">
        <f t="shared" si="409"/>
        <v>#VALUE!</v>
      </c>
    </row>
    <row r="2904" spans="1:29" x14ac:dyDescent="0.2">
      <c r="A2904" t="str">
        <f t="shared" si="410"/>
        <v/>
      </c>
      <c r="E2904" s="4"/>
      <c r="F2904" s="46"/>
      <c r="G2904" s="4"/>
      <c r="H2904" s="48"/>
      <c r="J2904" s="26" t="str">
        <f t="shared" si="411"/>
        <v/>
      </c>
      <c r="N2904" t="str">
        <f t="shared" si="412"/>
        <v/>
      </c>
      <c r="Q2904" t="str">
        <f t="shared" si="413"/>
        <v/>
      </c>
      <c r="S2904" t="str">
        <f>IF(A2904=1,MAX($S$2:$S2903)+1,IF(OR($I2904&lt;&gt;"",A2904="x"),$S2903,""))</f>
        <v/>
      </c>
      <c r="T2904" t="str">
        <f>IF(D2904=1,MAX($T$2:$T2903)+1,IF(S2904=S2903,$T2903,IF(D2904="x",T2903,IF(D2903="x","",""))))</f>
        <v/>
      </c>
      <c r="U2904" t="str">
        <f>IF(B2904=1,MAX($U$2:$U2903)+1,IF(AND($T2904&lt;&gt;"",$T2904=$T2903),$U2903,IF(B2904="x",U2903,"")))</f>
        <v/>
      </c>
      <c r="V2904" t="str">
        <f>IF(C2904=1,MAX($V$2:$V2903)+1,IF(AND($T2904&lt;&gt;"",$T2904=$T2903),$U2903,IF(C2904="x",V2903,"")))</f>
        <v/>
      </c>
      <c r="X2904" cm="1">
        <f t="array" ref="X2904">IF($I2904&lt;&gt;"",$I2904,INDEX($I$1:$I2904,ROW()-COUNTIFS($T$1:$T2904,"="&amp;$T2904,$S$1:$S2904,"&lt;"&amp;$S2904)))</f>
        <v>0</v>
      </c>
      <c r="Z2904" s="6">
        <f t="shared" si="406"/>
        <v>1</v>
      </c>
      <c r="AA2904" t="e">
        <f t="shared" si="407"/>
        <v>#VALUE!</v>
      </c>
      <c r="AB2904" t="str">
        <f t="shared" si="408"/>
        <v/>
      </c>
      <c r="AC2904" t="e">
        <f t="shared" si="409"/>
        <v>#VALUE!</v>
      </c>
    </row>
    <row r="2905" spans="1:29" x14ac:dyDescent="0.2">
      <c r="A2905" t="str">
        <f t="shared" si="410"/>
        <v/>
      </c>
      <c r="E2905" s="4"/>
      <c r="F2905" s="46"/>
      <c r="G2905" s="4"/>
      <c r="H2905" s="48"/>
      <c r="J2905" s="26" t="str">
        <f t="shared" si="411"/>
        <v/>
      </c>
      <c r="N2905" t="str">
        <f t="shared" si="412"/>
        <v/>
      </c>
      <c r="Q2905" t="str">
        <f t="shared" si="413"/>
        <v/>
      </c>
      <c r="S2905" t="str">
        <f>IF(A2905=1,MAX($S$2:$S2904)+1,IF(OR($I2905&lt;&gt;"",A2905="x"),$S2904,""))</f>
        <v/>
      </c>
      <c r="T2905" t="str">
        <f>IF(D2905=1,MAX($T$2:$T2904)+1,IF(S2905=S2904,$T2904,IF(D2905="x",T2904,IF(D2904="x","",""))))</f>
        <v/>
      </c>
      <c r="U2905" t="str">
        <f>IF(B2905=1,MAX($U$2:$U2904)+1,IF(AND($T2905&lt;&gt;"",$T2905=$T2904),$U2904,IF(B2905="x",U2904,"")))</f>
        <v/>
      </c>
      <c r="V2905" t="str">
        <f>IF(C2905=1,MAX($V$2:$V2904)+1,IF(AND($T2905&lt;&gt;"",$T2905=$T2904),$U2904,IF(C2905="x",V2904,"")))</f>
        <v/>
      </c>
      <c r="X2905" cm="1">
        <f t="array" ref="X2905">IF($I2905&lt;&gt;"",$I2905,INDEX($I$1:$I2905,ROW()-COUNTIFS($T$1:$T2905,"="&amp;$T2905,$S$1:$S2905,"&lt;"&amp;$S2905)))</f>
        <v>0</v>
      </c>
      <c r="Z2905" s="6">
        <f t="shared" si="406"/>
        <v>1</v>
      </c>
      <c r="AA2905" t="e">
        <f t="shared" si="407"/>
        <v>#VALUE!</v>
      </c>
      <c r="AB2905" t="str">
        <f t="shared" si="408"/>
        <v/>
      </c>
      <c r="AC2905" t="e">
        <f t="shared" si="409"/>
        <v>#VALUE!</v>
      </c>
    </row>
    <row r="2906" spans="1:29" x14ac:dyDescent="0.2">
      <c r="A2906" t="str">
        <f t="shared" si="410"/>
        <v/>
      </c>
      <c r="E2906" s="4"/>
      <c r="F2906" s="46"/>
      <c r="G2906" s="4"/>
      <c r="H2906" s="48"/>
      <c r="J2906" s="26" t="str">
        <f t="shared" si="411"/>
        <v/>
      </c>
      <c r="N2906" t="str">
        <f t="shared" si="412"/>
        <v/>
      </c>
      <c r="Q2906" t="str">
        <f t="shared" si="413"/>
        <v/>
      </c>
      <c r="S2906" t="str">
        <f>IF(A2906=1,MAX($S$2:$S2905)+1,IF(OR($I2906&lt;&gt;"",A2906="x"),$S2905,""))</f>
        <v/>
      </c>
      <c r="T2906" t="str">
        <f>IF(D2906=1,MAX($T$2:$T2905)+1,IF(S2906=S2905,$T2905,IF(D2906="x",T2905,IF(D2905="x","",""))))</f>
        <v/>
      </c>
      <c r="U2906" t="str">
        <f>IF(B2906=1,MAX($U$2:$U2905)+1,IF(AND($T2906&lt;&gt;"",$T2906=$T2905),$U2905,IF(B2906="x",U2905,"")))</f>
        <v/>
      </c>
      <c r="V2906" t="str">
        <f>IF(C2906=1,MAX($V$2:$V2905)+1,IF(AND($T2906&lt;&gt;"",$T2906=$T2905),$U2905,IF(C2906="x",V2905,"")))</f>
        <v/>
      </c>
      <c r="X2906" cm="1">
        <f t="array" ref="X2906">IF($I2906&lt;&gt;"",$I2906,INDEX($I$1:$I2906,ROW()-COUNTIFS($T$1:$T2906,"="&amp;$T2906,$S$1:$S2906,"&lt;"&amp;$S2906)))</f>
        <v>0</v>
      </c>
      <c r="Z2906" s="6">
        <f t="shared" si="406"/>
        <v>1</v>
      </c>
      <c r="AA2906" t="e">
        <f t="shared" si="407"/>
        <v>#VALUE!</v>
      </c>
      <c r="AB2906" t="str">
        <f t="shared" si="408"/>
        <v/>
      </c>
      <c r="AC2906" t="e">
        <f t="shared" si="409"/>
        <v>#VALUE!</v>
      </c>
    </row>
    <row r="2907" spans="1:29" x14ac:dyDescent="0.2">
      <c r="A2907" t="str">
        <f t="shared" si="410"/>
        <v/>
      </c>
      <c r="E2907" s="4"/>
      <c r="F2907" s="46"/>
      <c r="G2907" s="4"/>
      <c r="H2907" s="48"/>
      <c r="J2907" s="26" t="str">
        <f t="shared" si="411"/>
        <v/>
      </c>
      <c r="N2907" t="str">
        <f t="shared" si="412"/>
        <v/>
      </c>
      <c r="Q2907" t="str">
        <f t="shared" si="413"/>
        <v/>
      </c>
      <c r="S2907" t="str">
        <f>IF(A2907=1,MAX($S$2:$S2906)+1,IF(OR($I2907&lt;&gt;"",A2907="x"),$S2906,""))</f>
        <v/>
      </c>
      <c r="T2907" t="str">
        <f>IF(D2907=1,MAX($T$2:$T2906)+1,IF(S2907=S2906,$T2906,IF(D2907="x",T2906,IF(D2906="x","",""))))</f>
        <v/>
      </c>
      <c r="U2907" t="str">
        <f>IF(B2907=1,MAX($U$2:$U2906)+1,IF(AND($T2907&lt;&gt;"",$T2907=$T2906),$U2906,IF(B2907="x",U2906,"")))</f>
        <v/>
      </c>
      <c r="V2907" t="str">
        <f>IF(C2907=1,MAX($V$2:$V2906)+1,IF(AND($T2907&lt;&gt;"",$T2907=$T2906),$U2906,IF(C2907="x",V2906,"")))</f>
        <v/>
      </c>
      <c r="X2907" cm="1">
        <f t="array" ref="X2907">IF($I2907&lt;&gt;"",$I2907,INDEX($I$1:$I2907,ROW()-COUNTIFS($T$1:$T2907,"="&amp;$T2907,$S$1:$S2907,"&lt;"&amp;$S2907)))</f>
        <v>0</v>
      </c>
      <c r="Z2907" s="6">
        <f t="shared" si="406"/>
        <v>1</v>
      </c>
      <c r="AA2907" t="e">
        <f t="shared" si="407"/>
        <v>#VALUE!</v>
      </c>
      <c r="AB2907" t="str">
        <f t="shared" si="408"/>
        <v/>
      </c>
      <c r="AC2907" t="e">
        <f t="shared" si="409"/>
        <v>#VALUE!</v>
      </c>
    </row>
    <row r="2908" spans="1:29" x14ac:dyDescent="0.2">
      <c r="A2908" t="str">
        <f t="shared" si="410"/>
        <v/>
      </c>
      <c r="E2908" s="4"/>
      <c r="F2908" s="46"/>
      <c r="G2908" s="4"/>
      <c r="H2908" s="48"/>
      <c r="J2908" s="26" t="str">
        <f t="shared" si="411"/>
        <v/>
      </c>
      <c r="N2908" t="str">
        <f t="shared" si="412"/>
        <v/>
      </c>
      <c r="Q2908" t="str">
        <f t="shared" si="413"/>
        <v/>
      </c>
      <c r="S2908" t="str">
        <f>IF(A2908=1,MAX($S$2:$S2907)+1,IF(OR($I2908&lt;&gt;"",A2908="x"),$S2907,""))</f>
        <v/>
      </c>
      <c r="T2908" t="str">
        <f>IF(D2908=1,MAX($T$2:$T2907)+1,IF(S2908=S2907,$T2907,IF(D2908="x",T2907,IF(D2907="x","",""))))</f>
        <v/>
      </c>
      <c r="U2908" t="str">
        <f>IF(B2908=1,MAX($U$2:$U2907)+1,IF(AND($T2908&lt;&gt;"",$T2908=$T2907),$U2907,IF(B2908="x",U2907,"")))</f>
        <v/>
      </c>
      <c r="V2908" t="str">
        <f>IF(C2908=1,MAX($V$2:$V2907)+1,IF(AND($T2908&lt;&gt;"",$T2908=$T2907),$U2907,IF(C2908="x",V2907,"")))</f>
        <v/>
      </c>
      <c r="X2908" cm="1">
        <f t="array" ref="X2908">IF($I2908&lt;&gt;"",$I2908,INDEX($I$1:$I2908,ROW()-COUNTIFS($T$1:$T2908,"="&amp;$T2908,$S$1:$S2908,"&lt;"&amp;$S2908)))</f>
        <v>0</v>
      </c>
      <c r="Z2908" s="6">
        <f t="shared" si="406"/>
        <v>1</v>
      </c>
      <c r="AA2908" t="e">
        <f t="shared" si="407"/>
        <v>#VALUE!</v>
      </c>
      <c r="AB2908" t="str">
        <f t="shared" si="408"/>
        <v/>
      </c>
      <c r="AC2908" t="e">
        <f t="shared" si="409"/>
        <v>#VALUE!</v>
      </c>
    </row>
    <row r="2909" spans="1:29" x14ac:dyDescent="0.2">
      <c r="A2909" t="str">
        <f t="shared" si="410"/>
        <v/>
      </c>
      <c r="E2909" s="4"/>
      <c r="F2909" s="46"/>
      <c r="G2909" s="4"/>
      <c r="H2909" s="48"/>
      <c r="J2909" s="26" t="str">
        <f t="shared" si="411"/>
        <v/>
      </c>
      <c r="N2909" t="str">
        <f t="shared" si="412"/>
        <v/>
      </c>
      <c r="Q2909" t="str">
        <f t="shared" si="413"/>
        <v/>
      </c>
      <c r="S2909" t="str">
        <f>IF(A2909=1,MAX($S$2:$S2908)+1,IF(OR($I2909&lt;&gt;"",A2909="x"),$S2908,""))</f>
        <v/>
      </c>
      <c r="T2909" t="str">
        <f>IF(D2909=1,MAX($T$2:$T2908)+1,IF(S2909=S2908,$T2908,IF(D2909="x",T2908,IF(D2908="x","",""))))</f>
        <v/>
      </c>
      <c r="U2909" t="str">
        <f>IF(B2909=1,MAX($U$2:$U2908)+1,IF(AND($T2909&lt;&gt;"",$T2909=$T2908),$U2908,IF(B2909="x",U2908,"")))</f>
        <v/>
      </c>
      <c r="V2909" t="str">
        <f>IF(C2909=1,MAX($V$2:$V2908)+1,IF(AND($T2909&lt;&gt;"",$T2909=$T2908),$U2908,IF(C2909="x",V2908,"")))</f>
        <v/>
      </c>
      <c r="X2909" cm="1">
        <f t="array" ref="X2909">IF($I2909&lt;&gt;"",$I2909,INDEX($I$1:$I2909,ROW()-COUNTIFS($T$1:$T2909,"="&amp;$T2909,$S$1:$S2909,"&lt;"&amp;$S2909)))</f>
        <v>0</v>
      </c>
      <c r="Z2909" s="6">
        <f t="shared" si="406"/>
        <v>1</v>
      </c>
      <c r="AA2909" t="e">
        <f t="shared" si="407"/>
        <v>#VALUE!</v>
      </c>
      <c r="AB2909" t="str">
        <f t="shared" si="408"/>
        <v/>
      </c>
      <c r="AC2909" t="e">
        <f t="shared" si="409"/>
        <v>#VALUE!</v>
      </c>
    </row>
    <row r="2910" spans="1:29" x14ac:dyDescent="0.2">
      <c r="A2910" t="str">
        <f t="shared" si="410"/>
        <v/>
      </c>
      <c r="E2910" s="4"/>
      <c r="F2910" s="46"/>
      <c r="G2910" s="4"/>
      <c r="H2910" s="48"/>
      <c r="J2910" s="26" t="str">
        <f t="shared" si="411"/>
        <v/>
      </c>
      <c r="N2910" t="str">
        <f t="shared" si="412"/>
        <v/>
      </c>
      <c r="Q2910" t="str">
        <f t="shared" si="413"/>
        <v/>
      </c>
      <c r="S2910" t="str">
        <f>IF(A2910=1,MAX($S$2:$S2909)+1,IF(OR($I2910&lt;&gt;"",A2910="x"),$S2909,""))</f>
        <v/>
      </c>
      <c r="T2910" t="str">
        <f>IF(D2910=1,MAX($T$2:$T2909)+1,IF(S2910=S2909,$T2909,IF(D2910="x",T2909,IF(D2909="x","",""))))</f>
        <v/>
      </c>
      <c r="U2910" t="str">
        <f>IF(B2910=1,MAX($U$2:$U2909)+1,IF(AND($T2910&lt;&gt;"",$T2910=$T2909),$U2909,IF(B2910="x",U2909,"")))</f>
        <v/>
      </c>
      <c r="V2910" t="str">
        <f>IF(C2910=1,MAX($V$2:$V2909)+1,IF(AND($T2910&lt;&gt;"",$T2910=$T2909),$U2909,IF(C2910="x",V2909,"")))</f>
        <v/>
      </c>
      <c r="X2910" cm="1">
        <f t="array" ref="X2910">IF($I2910&lt;&gt;"",$I2910,INDEX($I$1:$I2910,ROW()-COUNTIFS($T$1:$T2910,"="&amp;$T2910,$S$1:$S2910,"&lt;"&amp;$S2910)))</f>
        <v>0</v>
      </c>
      <c r="Z2910" s="6">
        <f t="shared" si="406"/>
        <v>1</v>
      </c>
      <c r="AA2910" t="e">
        <f t="shared" si="407"/>
        <v>#VALUE!</v>
      </c>
      <c r="AB2910" t="str">
        <f t="shared" si="408"/>
        <v/>
      </c>
      <c r="AC2910" t="e">
        <f t="shared" si="409"/>
        <v>#VALUE!</v>
      </c>
    </row>
    <row r="2911" spans="1:29" x14ac:dyDescent="0.2">
      <c r="A2911" t="str">
        <f t="shared" si="410"/>
        <v/>
      </c>
      <c r="E2911" s="4"/>
      <c r="F2911" s="46"/>
      <c r="G2911" s="4"/>
      <c r="H2911" s="48"/>
      <c r="J2911" s="26" t="str">
        <f t="shared" si="411"/>
        <v/>
      </c>
      <c r="N2911" t="str">
        <f t="shared" si="412"/>
        <v/>
      </c>
      <c r="Q2911" t="str">
        <f t="shared" si="413"/>
        <v/>
      </c>
      <c r="S2911" t="str">
        <f>IF(A2911=1,MAX($S$2:$S2910)+1,IF(OR($I2911&lt;&gt;"",A2911="x"),$S2910,""))</f>
        <v/>
      </c>
      <c r="T2911" t="str">
        <f>IF(D2911=1,MAX($T$2:$T2910)+1,IF(S2911=S2910,$T2910,IF(D2911="x",T2910,IF(D2910="x","",""))))</f>
        <v/>
      </c>
      <c r="U2911" t="str">
        <f>IF(B2911=1,MAX($U$2:$U2910)+1,IF(AND($T2911&lt;&gt;"",$T2911=$T2910),$U2910,IF(B2911="x",U2910,"")))</f>
        <v/>
      </c>
      <c r="V2911" t="str">
        <f>IF(C2911=1,MAX($V$2:$V2910)+1,IF(AND($T2911&lt;&gt;"",$T2911=$T2910),$U2910,IF(C2911="x",V2910,"")))</f>
        <v/>
      </c>
      <c r="X2911" cm="1">
        <f t="array" ref="X2911">IF($I2911&lt;&gt;"",$I2911,INDEX($I$1:$I2911,ROW()-COUNTIFS($T$1:$T2911,"="&amp;$T2911,$S$1:$S2911,"&lt;"&amp;$S2911)))</f>
        <v>0</v>
      </c>
      <c r="Z2911" s="6">
        <f t="shared" si="406"/>
        <v>1</v>
      </c>
      <c r="AA2911" t="e">
        <f t="shared" si="407"/>
        <v>#VALUE!</v>
      </c>
      <c r="AB2911" t="str">
        <f t="shared" si="408"/>
        <v/>
      </c>
      <c r="AC2911" t="e">
        <f t="shared" si="409"/>
        <v>#VALUE!</v>
      </c>
    </row>
    <row r="2912" spans="1:29" x14ac:dyDescent="0.2">
      <c r="A2912" t="str">
        <f t="shared" si="410"/>
        <v/>
      </c>
      <c r="E2912" s="4"/>
      <c r="F2912" s="46"/>
      <c r="G2912" s="4"/>
      <c r="H2912" s="48"/>
      <c r="J2912" s="26" t="str">
        <f t="shared" si="411"/>
        <v/>
      </c>
      <c r="N2912" t="str">
        <f t="shared" si="412"/>
        <v/>
      </c>
      <c r="Q2912" t="str">
        <f t="shared" si="413"/>
        <v/>
      </c>
      <c r="S2912" t="str">
        <f>IF(A2912=1,MAX($S$2:$S2911)+1,IF(OR($I2912&lt;&gt;"",A2912="x"),$S2911,""))</f>
        <v/>
      </c>
      <c r="T2912" t="str">
        <f>IF(D2912=1,MAX($T$2:$T2911)+1,IF(S2912=S2911,$T2911,IF(D2912="x",T2911,IF(D2911="x","",""))))</f>
        <v/>
      </c>
      <c r="U2912" t="str">
        <f>IF(B2912=1,MAX($U$2:$U2911)+1,IF(AND($T2912&lt;&gt;"",$T2912=$T2911),$U2911,IF(B2912="x",U2911,"")))</f>
        <v/>
      </c>
      <c r="V2912" t="str">
        <f>IF(C2912=1,MAX($V$2:$V2911)+1,IF(AND($T2912&lt;&gt;"",$T2912=$T2911),$U2911,IF(C2912="x",V2911,"")))</f>
        <v/>
      </c>
      <c r="X2912" cm="1">
        <f t="array" ref="X2912">IF($I2912&lt;&gt;"",$I2912,INDEX($I$1:$I2912,ROW()-COUNTIFS($T$1:$T2912,"="&amp;$T2912,$S$1:$S2912,"&lt;"&amp;$S2912)))</f>
        <v>0</v>
      </c>
      <c r="Z2912" s="6">
        <f t="shared" si="406"/>
        <v>1</v>
      </c>
      <c r="AA2912" t="e">
        <f t="shared" si="407"/>
        <v>#VALUE!</v>
      </c>
      <c r="AB2912" t="str">
        <f t="shared" si="408"/>
        <v/>
      </c>
      <c r="AC2912" t="e">
        <f t="shared" si="409"/>
        <v>#VALUE!</v>
      </c>
    </row>
    <row r="2913" spans="1:29" x14ac:dyDescent="0.2">
      <c r="A2913" t="str">
        <f t="shared" si="410"/>
        <v/>
      </c>
      <c r="E2913" s="4"/>
      <c r="F2913" s="46"/>
      <c r="G2913" s="4"/>
      <c r="H2913" s="48"/>
      <c r="J2913" s="26" t="str">
        <f t="shared" si="411"/>
        <v/>
      </c>
      <c r="N2913" t="str">
        <f t="shared" si="412"/>
        <v/>
      </c>
      <c r="Q2913" t="str">
        <f t="shared" si="413"/>
        <v/>
      </c>
      <c r="S2913" t="str">
        <f>IF(A2913=1,MAX($S$2:$S2912)+1,IF(OR($I2913&lt;&gt;"",A2913="x"),$S2912,""))</f>
        <v/>
      </c>
      <c r="T2913" t="str">
        <f>IF(D2913=1,MAX($T$2:$T2912)+1,IF(S2913=S2912,$T2912,IF(D2913="x",T2912,IF(D2912="x","",""))))</f>
        <v/>
      </c>
      <c r="U2913" t="str">
        <f>IF(B2913=1,MAX($U$2:$U2912)+1,IF(AND($T2913&lt;&gt;"",$T2913=$T2912),$U2912,IF(B2913="x",U2912,"")))</f>
        <v/>
      </c>
      <c r="V2913" t="str">
        <f>IF(C2913=1,MAX($V$2:$V2912)+1,IF(AND($T2913&lt;&gt;"",$T2913=$T2912),$U2912,IF(C2913="x",V2912,"")))</f>
        <v/>
      </c>
      <c r="X2913" cm="1">
        <f t="array" ref="X2913">IF($I2913&lt;&gt;"",$I2913,INDEX($I$1:$I2913,ROW()-COUNTIFS($T$1:$T2913,"="&amp;$T2913,$S$1:$S2913,"&lt;"&amp;$S2913)))</f>
        <v>0</v>
      </c>
      <c r="Z2913" s="6">
        <f t="shared" si="406"/>
        <v>1</v>
      </c>
      <c r="AA2913" t="e">
        <f t="shared" si="407"/>
        <v>#VALUE!</v>
      </c>
      <c r="AB2913" t="str">
        <f t="shared" si="408"/>
        <v/>
      </c>
      <c r="AC2913" t="e">
        <f t="shared" si="409"/>
        <v>#VALUE!</v>
      </c>
    </row>
    <row r="2914" spans="1:29" x14ac:dyDescent="0.2">
      <c r="A2914" t="str">
        <f t="shared" si="410"/>
        <v/>
      </c>
      <c r="E2914" s="4"/>
      <c r="F2914" s="46"/>
      <c r="G2914" s="4"/>
      <c r="H2914" s="48"/>
      <c r="J2914" s="26" t="str">
        <f t="shared" si="411"/>
        <v/>
      </c>
      <c r="N2914" t="str">
        <f t="shared" si="412"/>
        <v/>
      </c>
      <c r="Q2914" t="str">
        <f t="shared" si="413"/>
        <v/>
      </c>
      <c r="S2914" t="str">
        <f>IF(A2914=1,MAX($S$2:$S2913)+1,IF(OR($I2914&lt;&gt;"",A2914="x"),$S2913,""))</f>
        <v/>
      </c>
      <c r="T2914" t="str">
        <f>IF(D2914=1,MAX($T$2:$T2913)+1,IF(S2914=S2913,$T2913,IF(D2914="x",T2913,IF(D2913="x","",""))))</f>
        <v/>
      </c>
      <c r="U2914" t="str">
        <f>IF(B2914=1,MAX($U$2:$U2913)+1,IF(AND($T2914&lt;&gt;"",$T2914=$T2913),$U2913,IF(B2914="x",U2913,"")))</f>
        <v/>
      </c>
      <c r="V2914" t="str">
        <f>IF(C2914=1,MAX($V$2:$V2913)+1,IF(AND($T2914&lt;&gt;"",$T2914=$T2913),$U2913,IF(C2914="x",V2913,"")))</f>
        <v/>
      </c>
      <c r="X2914" cm="1">
        <f t="array" ref="X2914">IF($I2914&lt;&gt;"",$I2914,INDEX($I$1:$I2914,ROW()-COUNTIFS($T$1:$T2914,"="&amp;$T2914,$S$1:$S2914,"&lt;"&amp;$S2914)))</f>
        <v>0</v>
      </c>
      <c r="Z2914" s="6">
        <f t="shared" si="406"/>
        <v>1</v>
      </c>
      <c r="AA2914" t="e">
        <f t="shared" si="407"/>
        <v>#VALUE!</v>
      </c>
      <c r="AB2914" t="str">
        <f t="shared" si="408"/>
        <v/>
      </c>
      <c r="AC2914" t="e">
        <f t="shared" si="409"/>
        <v>#VALUE!</v>
      </c>
    </row>
    <row r="2915" spans="1:29" x14ac:dyDescent="0.2">
      <c r="A2915" t="str">
        <f t="shared" si="410"/>
        <v/>
      </c>
      <c r="E2915" s="4"/>
      <c r="F2915" s="46"/>
      <c r="G2915" s="4"/>
      <c r="H2915" s="48"/>
      <c r="J2915" s="26" t="str">
        <f t="shared" si="411"/>
        <v/>
      </c>
      <c r="N2915" t="str">
        <f t="shared" si="412"/>
        <v/>
      </c>
      <c r="Q2915" t="str">
        <f t="shared" si="413"/>
        <v/>
      </c>
      <c r="S2915" t="str">
        <f>IF(A2915=1,MAX($S$2:$S2914)+1,IF(OR($I2915&lt;&gt;"",A2915="x"),$S2914,""))</f>
        <v/>
      </c>
      <c r="T2915" t="str">
        <f>IF(D2915=1,MAX($T$2:$T2914)+1,IF(S2915=S2914,$T2914,IF(D2915="x",T2914,IF(D2914="x","",""))))</f>
        <v/>
      </c>
      <c r="U2915" t="str">
        <f>IF(B2915=1,MAX($U$2:$U2914)+1,IF(AND($T2915&lt;&gt;"",$T2915=$T2914),$U2914,IF(B2915="x",U2914,"")))</f>
        <v/>
      </c>
      <c r="V2915" t="str">
        <f>IF(C2915=1,MAX($V$2:$V2914)+1,IF(AND($T2915&lt;&gt;"",$T2915=$T2914),$U2914,IF(C2915="x",V2914,"")))</f>
        <v/>
      </c>
      <c r="X2915" cm="1">
        <f t="array" ref="X2915">IF($I2915&lt;&gt;"",$I2915,INDEX($I$1:$I2915,ROW()-COUNTIFS($T$1:$T2915,"="&amp;$T2915,$S$1:$S2915,"&lt;"&amp;$S2915)))</f>
        <v>0</v>
      </c>
      <c r="Z2915" s="6">
        <f t="shared" si="406"/>
        <v>1</v>
      </c>
      <c r="AA2915" t="e">
        <f t="shared" si="407"/>
        <v>#VALUE!</v>
      </c>
      <c r="AB2915" t="str">
        <f t="shared" si="408"/>
        <v/>
      </c>
      <c r="AC2915" t="e">
        <f t="shared" si="409"/>
        <v>#VALUE!</v>
      </c>
    </row>
    <row r="2916" spans="1:29" x14ac:dyDescent="0.2">
      <c r="A2916" t="str">
        <f t="shared" si="410"/>
        <v/>
      </c>
      <c r="E2916" s="4"/>
      <c r="F2916" s="46"/>
      <c r="G2916" s="4"/>
      <c r="H2916" s="48"/>
      <c r="J2916" s="26" t="str">
        <f t="shared" si="411"/>
        <v/>
      </c>
      <c r="N2916" t="str">
        <f t="shared" si="412"/>
        <v/>
      </c>
      <c r="Q2916" t="str">
        <f t="shared" si="413"/>
        <v/>
      </c>
      <c r="S2916" t="str">
        <f>IF(A2916=1,MAX($S$2:$S2915)+1,IF(OR($I2916&lt;&gt;"",A2916="x"),$S2915,""))</f>
        <v/>
      </c>
      <c r="T2916" t="str">
        <f>IF(D2916=1,MAX($T$2:$T2915)+1,IF(S2916=S2915,$T2915,IF(D2916="x",T2915,IF(D2915="x","",""))))</f>
        <v/>
      </c>
      <c r="U2916" t="str">
        <f>IF(B2916=1,MAX($U$2:$U2915)+1,IF(AND($T2916&lt;&gt;"",$T2916=$T2915),$U2915,IF(B2916="x",U2915,"")))</f>
        <v/>
      </c>
      <c r="V2916" t="str">
        <f>IF(C2916=1,MAX($V$2:$V2915)+1,IF(AND($T2916&lt;&gt;"",$T2916=$T2915),$U2915,IF(C2916="x",V2915,"")))</f>
        <v/>
      </c>
      <c r="X2916" cm="1">
        <f t="array" ref="X2916">IF($I2916&lt;&gt;"",$I2916,INDEX($I$1:$I2916,ROW()-COUNTIFS($T$1:$T2916,"="&amp;$T2916,$S$1:$S2916,"&lt;"&amp;$S2916)))</f>
        <v>0</v>
      </c>
      <c r="Z2916" s="6">
        <f t="shared" si="406"/>
        <v>1</v>
      </c>
      <c r="AA2916" t="e">
        <f t="shared" si="407"/>
        <v>#VALUE!</v>
      </c>
      <c r="AB2916" t="str">
        <f t="shared" si="408"/>
        <v/>
      </c>
      <c r="AC2916" t="e">
        <f t="shared" si="409"/>
        <v>#VALUE!</v>
      </c>
    </row>
    <row r="2917" spans="1:29" x14ac:dyDescent="0.2">
      <c r="A2917" t="str">
        <f t="shared" si="410"/>
        <v/>
      </c>
      <c r="E2917" s="4"/>
      <c r="F2917" s="46"/>
      <c r="G2917" s="4"/>
      <c r="H2917" s="48"/>
      <c r="J2917" s="26" t="str">
        <f t="shared" si="411"/>
        <v/>
      </c>
      <c r="N2917" t="str">
        <f t="shared" si="412"/>
        <v/>
      </c>
      <c r="Q2917" t="str">
        <f t="shared" si="413"/>
        <v/>
      </c>
      <c r="S2917" t="str">
        <f>IF(A2917=1,MAX($S$2:$S2916)+1,IF(OR($I2917&lt;&gt;"",A2917="x"),$S2916,""))</f>
        <v/>
      </c>
      <c r="T2917" t="str">
        <f>IF(D2917=1,MAX($T$2:$T2916)+1,IF(S2917=S2916,$T2916,IF(D2917="x",T2916,IF(D2916="x","",""))))</f>
        <v/>
      </c>
      <c r="U2917" t="str">
        <f>IF(B2917=1,MAX($U$2:$U2916)+1,IF(AND($T2917&lt;&gt;"",$T2917=$T2916),$U2916,IF(B2917="x",U2916,"")))</f>
        <v/>
      </c>
      <c r="V2917" t="str">
        <f>IF(C2917=1,MAX($V$2:$V2916)+1,IF(AND($T2917&lt;&gt;"",$T2917=$T2916),$U2916,IF(C2917="x",V2916,"")))</f>
        <v/>
      </c>
      <c r="X2917" cm="1">
        <f t="array" ref="X2917">IF($I2917&lt;&gt;"",$I2917,INDEX($I$1:$I2917,ROW()-COUNTIFS($T$1:$T2917,"="&amp;$T2917,$S$1:$S2917,"&lt;"&amp;$S2917)))</f>
        <v>0</v>
      </c>
      <c r="Z2917" s="6">
        <f t="shared" si="406"/>
        <v>1</v>
      </c>
      <c r="AA2917" t="e">
        <f t="shared" si="407"/>
        <v>#VALUE!</v>
      </c>
      <c r="AB2917" t="str">
        <f t="shared" si="408"/>
        <v/>
      </c>
      <c r="AC2917" t="e">
        <f t="shared" si="409"/>
        <v>#VALUE!</v>
      </c>
    </row>
    <row r="2918" spans="1:29" x14ac:dyDescent="0.2">
      <c r="A2918" t="str">
        <f t="shared" si="410"/>
        <v/>
      </c>
      <c r="E2918" s="4"/>
      <c r="F2918" s="46"/>
      <c r="G2918" s="4"/>
      <c r="H2918" s="48"/>
      <c r="J2918" s="26" t="str">
        <f t="shared" si="411"/>
        <v/>
      </c>
      <c r="N2918" t="str">
        <f t="shared" si="412"/>
        <v/>
      </c>
      <c r="Q2918" t="str">
        <f t="shared" si="413"/>
        <v/>
      </c>
      <c r="S2918" t="str">
        <f>IF(A2918=1,MAX($S$2:$S2917)+1,IF(OR($I2918&lt;&gt;"",A2918="x"),$S2917,""))</f>
        <v/>
      </c>
      <c r="T2918" t="str">
        <f>IF(D2918=1,MAX($T$2:$T2917)+1,IF(S2918=S2917,$T2917,IF(D2918="x",T2917,IF(D2917="x","",""))))</f>
        <v/>
      </c>
      <c r="U2918" t="str">
        <f>IF(B2918=1,MAX($U$2:$U2917)+1,IF(AND($T2918&lt;&gt;"",$T2918=$T2917),$U2917,IF(B2918="x",U2917,"")))</f>
        <v/>
      </c>
      <c r="V2918" t="str">
        <f>IF(C2918=1,MAX($V$2:$V2917)+1,IF(AND($T2918&lt;&gt;"",$T2918=$T2917),$U2917,IF(C2918="x",V2917,"")))</f>
        <v/>
      </c>
      <c r="X2918" cm="1">
        <f t="array" ref="X2918">IF($I2918&lt;&gt;"",$I2918,INDEX($I$1:$I2918,ROW()-COUNTIFS($T$1:$T2918,"="&amp;$T2918,$S$1:$S2918,"&lt;"&amp;$S2918)))</f>
        <v>0</v>
      </c>
      <c r="Z2918" s="6">
        <f t="shared" si="406"/>
        <v>1</v>
      </c>
      <c r="AA2918" t="e">
        <f t="shared" si="407"/>
        <v>#VALUE!</v>
      </c>
      <c r="AB2918" t="str">
        <f t="shared" si="408"/>
        <v/>
      </c>
      <c r="AC2918" t="e">
        <f t="shared" si="409"/>
        <v>#VALUE!</v>
      </c>
    </row>
    <row r="2919" spans="1:29" x14ac:dyDescent="0.2">
      <c r="A2919" t="str">
        <f t="shared" si="410"/>
        <v/>
      </c>
      <c r="E2919" s="4"/>
      <c r="F2919" s="46"/>
      <c r="G2919" s="4"/>
      <c r="H2919" s="48"/>
      <c r="J2919" s="26" t="str">
        <f t="shared" si="411"/>
        <v/>
      </c>
      <c r="N2919" t="str">
        <f t="shared" si="412"/>
        <v/>
      </c>
      <c r="Q2919" t="str">
        <f t="shared" si="413"/>
        <v/>
      </c>
      <c r="S2919" t="str">
        <f>IF(A2919=1,MAX($S$2:$S2918)+1,IF(OR($I2919&lt;&gt;"",A2919="x"),$S2918,""))</f>
        <v/>
      </c>
      <c r="T2919" t="str">
        <f>IF(D2919=1,MAX($T$2:$T2918)+1,IF(S2919=S2918,$T2918,IF(D2919="x",T2918,IF(D2918="x","",""))))</f>
        <v/>
      </c>
      <c r="U2919" t="str">
        <f>IF(B2919=1,MAX($U$2:$U2918)+1,IF(AND($T2919&lt;&gt;"",$T2919=$T2918),$U2918,IF(B2919="x",U2918,"")))</f>
        <v/>
      </c>
      <c r="V2919" t="str">
        <f>IF(C2919=1,MAX($V$2:$V2918)+1,IF(AND($T2919&lt;&gt;"",$T2919=$T2918),$U2918,IF(C2919="x",V2918,"")))</f>
        <v/>
      </c>
      <c r="X2919" cm="1">
        <f t="array" ref="X2919">IF($I2919&lt;&gt;"",$I2919,INDEX($I$1:$I2919,ROW()-COUNTIFS($T$1:$T2919,"="&amp;$T2919,$S$1:$S2919,"&lt;"&amp;$S2919)))</f>
        <v>0</v>
      </c>
      <c r="Z2919" s="6">
        <f t="shared" si="406"/>
        <v>1</v>
      </c>
      <c r="AA2919" t="e">
        <f t="shared" si="407"/>
        <v>#VALUE!</v>
      </c>
      <c r="AB2919" t="str">
        <f t="shared" si="408"/>
        <v/>
      </c>
      <c r="AC2919" t="e">
        <f t="shared" si="409"/>
        <v>#VALUE!</v>
      </c>
    </row>
    <row r="2920" spans="1:29" x14ac:dyDescent="0.2">
      <c r="A2920" t="str">
        <f t="shared" si="410"/>
        <v/>
      </c>
      <c r="E2920" s="4"/>
      <c r="F2920" s="46"/>
      <c r="G2920" s="4"/>
      <c r="H2920" s="48"/>
      <c r="J2920" s="26" t="str">
        <f t="shared" si="411"/>
        <v/>
      </c>
      <c r="N2920" t="str">
        <f t="shared" si="412"/>
        <v/>
      </c>
      <c r="Q2920" t="str">
        <f t="shared" si="413"/>
        <v/>
      </c>
      <c r="S2920" t="str">
        <f>IF(A2920=1,MAX($S$2:$S2919)+1,IF(OR($I2920&lt;&gt;"",A2920="x"),$S2919,""))</f>
        <v/>
      </c>
      <c r="T2920" t="str">
        <f>IF(D2920=1,MAX($T$2:$T2919)+1,IF(S2920=S2919,$T2919,IF(D2920="x",T2919,IF(D2919="x","",""))))</f>
        <v/>
      </c>
      <c r="U2920" t="str">
        <f>IF(B2920=1,MAX($U$2:$U2919)+1,IF(AND($T2920&lt;&gt;"",$T2920=$T2919),$U2919,IF(B2920="x",U2919,"")))</f>
        <v/>
      </c>
      <c r="V2920" t="str">
        <f>IF(C2920=1,MAX($V$2:$V2919)+1,IF(AND($T2920&lt;&gt;"",$T2920=$T2919),$U2919,IF(C2920="x",V2919,"")))</f>
        <v/>
      </c>
      <c r="X2920" cm="1">
        <f t="array" ref="X2920">IF($I2920&lt;&gt;"",$I2920,INDEX($I$1:$I2920,ROW()-COUNTIFS($T$1:$T2920,"="&amp;$T2920,$S$1:$S2920,"&lt;"&amp;$S2920)))</f>
        <v>0</v>
      </c>
      <c r="Z2920" s="6">
        <f t="shared" si="406"/>
        <v>1</v>
      </c>
      <c r="AA2920" t="e">
        <f t="shared" si="407"/>
        <v>#VALUE!</v>
      </c>
      <c r="AB2920" t="str">
        <f t="shared" si="408"/>
        <v/>
      </c>
      <c r="AC2920" t="e">
        <f t="shared" si="409"/>
        <v>#VALUE!</v>
      </c>
    </row>
    <row r="2921" spans="1:29" x14ac:dyDescent="0.2">
      <c r="A2921" t="str">
        <f t="shared" si="410"/>
        <v/>
      </c>
      <c r="E2921" s="4"/>
      <c r="F2921" s="46"/>
      <c r="G2921" s="4"/>
      <c r="H2921" s="48"/>
      <c r="J2921" s="26" t="str">
        <f t="shared" si="411"/>
        <v/>
      </c>
      <c r="N2921" t="str">
        <f t="shared" si="412"/>
        <v/>
      </c>
      <c r="Q2921" t="str">
        <f t="shared" si="413"/>
        <v/>
      </c>
      <c r="S2921" t="str">
        <f>IF(A2921=1,MAX($S$2:$S2920)+1,IF(OR($I2921&lt;&gt;"",A2921="x"),$S2920,""))</f>
        <v/>
      </c>
      <c r="T2921" t="str">
        <f>IF(D2921=1,MAX($T$2:$T2920)+1,IF(S2921=S2920,$T2920,IF(D2921="x",T2920,IF(D2920="x","",""))))</f>
        <v/>
      </c>
      <c r="U2921" t="str">
        <f>IF(B2921=1,MAX($U$2:$U2920)+1,IF(AND($T2921&lt;&gt;"",$T2921=$T2920),$U2920,IF(B2921="x",U2920,"")))</f>
        <v/>
      </c>
      <c r="V2921" t="str">
        <f>IF(C2921=1,MAX($V$2:$V2920)+1,IF(AND($T2921&lt;&gt;"",$T2921=$T2920),$U2920,IF(C2921="x",V2920,"")))</f>
        <v/>
      </c>
      <c r="X2921" cm="1">
        <f t="array" ref="X2921">IF($I2921&lt;&gt;"",$I2921,INDEX($I$1:$I2921,ROW()-COUNTIFS($T$1:$T2921,"="&amp;$T2921,$S$1:$S2921,"&lt;"&amp;$S2921)))</f>
        <v>0</v>
      </c>
      <c r="Z2921" s="6">
        <f t="shared" si="406"/>
        <v>1</v>
      </c>
      <c r="AA2921" t="e">
        <f t="shared" si="407"/>
        <v>#VALUE!</v>
      </c>
      <c r="AB2921" t="str">
        <f t="shared" si="408"/>
        <v/>
      </c>
      <c r="AC2921" t="e">
        <f t="shared" si="409"/>
        <v>#VALUE!</v>
      </c>
    </row>
    <row r="2922" spans="1:29" x14ac:dyDescent="0.2">
      <c r="A2922" t="str">
        <f t="shared" si="410"/>
        <v/>
      </c>
      <c r="E2922" s="4"/>
      <c r="F2922" s="46"/>
      <c r="G2922" s="4"/>
      <c r="H2922" s="48"/>
      <c r="J2922" s="26" t="str">
        <f t="shared" si="411"/>
        <v/>
      </c>
      <c r="N2922" t="str">
        <f t="shared" si="412"/>
        <v/>
      </c>
      <c r="Q2922" t="str">
        <f t="shared" si="413"/>
        <v/>
      </c>
      <c r="S2922" t="str">
        <f>IF(A2922=1,MAX($S$2:$S2921)+1,IF(OR($I2922&lt;&gt;"",A2922="x"),$S2921,""))</f>
        <v/>
      </c>
      <c r="T2922" t="str">
        <f>IF(D2922=1,MAX($T$2:$T2921)+1,IF(S2922=S2921,$T2921,IF(D2922="x",T2921,IF(D2921="x","",""))))</f>
        <v/>
      </c>
      <c r="U2922" t="str">
        <f>IF(B2922=1,MAX($U$2:$U2921)+1,IF(AND($T2922&lt;&gt;"",$T2922=$T2921),$U2921,IF(B2922="x",U2921,"")))</f>
        <v/>
      </c>
      <c r="V2922" t="str">
        <f>IF(C2922=1,MAX($V$2:$V2921)+1,IF(AND($T2922&lt;&gt;"",$T2922=$T2921),$U2921,IF(C2922="x",V2921,"")))</f>
        <v/>
      </c>
      <c r="X2922" cm="1">
        <f t="array" ref="X2922">IF($I2922&lt;&gt;"",$I2922,INDEX($I$1:$I2922,ROW()-COUNTIFS($T$1:$T2922,"="&amp;$T2922,$S$1:$S2922,"&lt;"&amp;$S2922)))</f>
        <v>0</v>
      </c>
      <c r="Z2922" s="6">
        <f t="shared" si="406"/>
        <v>1</v>
      </c>
      <c r="AA2922" t="e">
        <f t="shared" si="407"/>
        <v>#VALUE!</v>
      </c>
      <c r="AB2922" t="str">
        <f t="shared" si="408"/>
        <v/>
      </c>
      <c r="AC2922" t="e">
        <f t="shared" si="409"/>
        <v>#VALUE!</v>
      </c>
    </row>
    <row r="2923" spans="1:29" x14ac:dyDescent="0.2">
      <c r="A2923" t="str">
        <f t="shared" si="410"/>
        <v/>
      </c>
      <c r="E2923" s="4"/>
      <c r="F2923" s="46"/>
      <c r="G2923" s="4"/>
      <c r="H2923" s="48"/>
      <c r="J2923" s="26" t="str">
        <f t="shared" si="411"/>
        <v/>
      </c>
      <c r="N2923" t="str">
        <f t="shared" si="412"/>
        <v/>
      </c>
      <c r="Q2923" t="str">
        <f t="shared" si="413"/>
        <v/>
      </c>
      <c r="S2923" t="str">
        <f>IF(A2923=1,MAX($S$2:$S2922)+1,IF(OR($I2923&lt;&gt;"",A2923="x"),$S2922,""))</f>
        <v/>
      </c>
      <c r="T2923" t="str">
        <f>IF(D2923=1,MAX($T$2:$T2922)+1,IF(S2923=S2922,$T2922,IF(D2923="x",T2922,IF(D2922="x","",""))))</f>
        <v/>
      </c>
      <c r="U2923" t="str">
        <f>IF(B2923=1,MAX($U$2:$U2922)+1,IF(AND($T2923&lt;&gt;"",$T2923=$T2922),$U2922,IF(B2923="x",U2922,"")))</f>
        <v/>
      </c>
      <c r="V2923" t="str">
        <f>IF(C2923=1,MAX($V$2:$V2922)+1,IF(AND($T2923&lt;&gt;"",$T2923=$T2922),$U2922,IF(C2923="x",V2922,"")))</f>
        <v/>
      </c>
      <c r="X2923" cm="1">
        <f t="array" ref="X2923">IF($I2923&lt;&gt;"",$I2923,INDEX($I$1:$I2923,ROW()-COUNTIFS($T$1:$T2923,"="&amp;$T2923,$S$1:$S2923,"&lt;"&amp;$S2923)))</f>
        <v>0</v>
      </c>
      <c r="Z2923" s="6">
        <f t="shared" si="406"/>
        <v>1</v>
      </c>
      <c r="AA2923" t="e">
        <f t="shared" si="407"/>
        <v>#VALUE!</v>
      </c>
      <c r="AB2923" t="str">
        <f t="shared" si="408"/>
        <v/>
      </c>
      <c r="AC2923" t="e">
        <f t="shared" si="409"/>
        <v>#VALUE!</v>
      </c>
    </row>
    <row r="2924" spans="1:29" x14ac:dyDescent="0.2">
      <c r="A2924" t="str">
        <f t="shared" si="410"/>
        <v/>
      </c>
      <c r="E2924" s="4"/>
      <c r="F2924" s="46"/>
      <c r="G2924" s="4"/>
      <c r="H2924" s="48"/>
      <c r="J2924" s="26" t="str">
        <f t="shared" si="411"/>
        <v/>
      </c>
      <c r="N2924" t="str">
        <f t="shared" si="412"/>
        <v/>
      </c>
      <c r="Q2924" t="str">
        <f t="shared" si="413"/>
        <v/>
      </c>
      <c r="S2924" t="str">
        <f>IF(A2924=1,MAX($S$2:$S2923)+1,IF(OR($I2924&lt;&gt;"",A2924="x"),$S2923,""))</f>
        <v/>
      </c>
      <c r="T2924" t="str">
        <f>IF(D2924=1,MAX($T$2:$T2923)+1,IF(S2924=S2923,$T2923,IF(D2924="x",T2923,IF(D2923="x","",""))))</f>
        <v/>
      </c>
      <c r="U2924" t="str">
        <f>IF(B2924=1,MAX($U$2:$U2923)+1,IF(AND($T2924&lt;&gt;"",$T2924=$T2923),$U2923,IF(B2924="x",U2923,"")))</f>
        <v/>
      </c>
      <c r="V2924" t="str">
        <f>IF(C2924=1,MAX($V$2:$V2923)+1,IF(AND($T2924&lt;&gt;"",$T2924=$T2923),$U2923,IF(C2924="x",V2923,"")))</f>
        <v/>
      </c>
      <c r="X2924" cm="1">
        <f t="array" ref="X2924">IF($I2924&lt;&gt;"",$I2924,INDEX($I$1:$I2924,ROW()-COUNTIFS($T$1:$T2924,"="&amp;$T2924,$S$1:$S2924,"&lt;"&amp;$S2924)))</f>
        <v>0</v>
      </c>
      <c r="Z2924" s="6">
        <f t="shared" si="406"/>
        <v>1</v>
      </c>
      <c r="AA2924" t="e">
        <f t="shared" si="407"/>
        <v>#VALUE!</v>
      </c>
      <c r="AB2924" t="str">
        <f t="shared" si="408"/>
        <v/>
      </c>
      <c r="AC2924" t="e">
        <f t="shared" si="409"/>
        <v>#VALUE!</v>
      </c>
    </row>
    <row r="2925" spans="1:29" x14ac:dyDescent="0.2">
      <c r="A2925" t="str">
        <f t="shared" si="410"/>
        <v/>
      </c>
      <c r="E2925" s="4"/>
      <c r="F2925" s="46"/>
      <c r="G2925" s="4"/>
      <c r="H2925" s="48"/>
      <c r="J2925" s="26" t="str">
        <f t="shared" si="411"/>
        <v/>
      </c>
      <c r="N2925" t="str">
        <f t="shared" si="412"/>
        <v/>
      </c>
      <c r="Q2925" t="str">
        <f t="shared" si="413"/>
        <v/>
      </c>
      <c r="S2925" t="str">
        <f>IF(A2925=1,MAX($S$2:$S2924)+1,IF(OR($I2925&lt;&gt;"",A2925="x"),$S2924,""))</f>
        <v/>
      </c>
      <c r="T2925" t="str">
        <f>IF(D2925=1,MAX($T$2:$T2924)+1,IF(S2925=S2924,$T2924,IF(D2925="x",T2924,IF(D2924="x","",""))))</f>
        <v/>
      </c>
      <c r="U2925" t="str">
        <f>IF(B2925=1,MAX($U$2:$U2924)+1,IF(AND($T2925&lt;&gt;"",$T2925=$T2924),$U2924,IF(B2925="x",U2924,"")))</f>
        <v/>
      </c>
      <c r="V2925" t="str">
        <f>IF(C2925=1,MAX($V$2:$V2924)+1,IF(AND($T2925&lt;&gt;"",$T2925=$T2924),$U2924,IF(C2925="x",V2924,"")))</f>
        <v/>
      </c>
      <c r="X2925" cm="1">
        <f t="array" ref="X2925">IF($I2925&lt;&gt;"",$I2925,INDEX($I$1:$I2925,ROW()-COUNTIFS($T$1:$T2925,"="&amp;$T2925,$S$1:$S2925,"&lt;"&amp;$S2925)))</f>
        <v>0</v>
      </c>
      <c r="Z2925" s="6">
        <f t="shared" si="406"/>
        <v>1</v>
      </c>
      <c r="AA2925" t="e">
        <f t="shared" si="407"/>
        <v>#VALUE!</v>
      </c>
      <c r="AB2925" t="str">
        <f t="shared" si="408"/>
        <v/>
      </c>
      <c r="AC2925" t="e">
        <f t="shared" si="409"/>
        <v>#VALUE!</v>
      </c>
    </row>
    <row r="2926" spans="1:29" x14ac:dyDescent="0.2">
      <c r="A2926" t="str">
        <f t="shared" si="410"/>
        <v/>
      </c>
      <c r="E2926" s="4"/>
      <c r="F2926" s="46"/>
      <c r="G2926" s="4"/>
      <c r="H2926" s="48"/>
      <c r="J2926" s="26" t="str">
        <f t="shared" si="411"/>
        <v/>
      </c>
      <c r="N2926" t="str">
        <f t="shared" si="412"/>
        <v/>
      </c>
      <c r="Q2926" t="str">
        <f t="shared" si="413"/>
        <v/>
      </c>
      <c r="S2926" t="str">
        <f>IF(A2926=1,MAX($S$2:$S2925)+1,IF(OR($I2926&lt;&gt;"",A2926="x"),$S2925,""))</f>
        <v/>
      </c>
      <c r="T2926" t="str">
        <f>IF(D2926=1,MAX($T$2:$T2925)+1,IF(S2926=S2925,$T2925,IF(D2926="x",T2925,IF(D2925="x","",""))))</f>
        <v/>
      </c>
      <c r="U2926" t="str">
        <f>IF(B2926=1,MAX($U$2:$U2925)+1,IF(AND($T2926&lt;&gt;"",$T2926=$T2925),$U2925,IF(B2926="x",U2925,"")))</f>
        <v/>
      </c>
      <c r="V2926" t="str">
        <f>IF(C2926=1,MAX($V$2:$V2925)+1,IF(AND($T2926&lt;&gt;"",$T2926=$T2925),$U2925,IF(C2926="x",V2925,"")))</f>
        <v/>
      </c>
      <c r="X2926" cm="1">
        <f t="array" ref="X2926">IF($I2926&lt;&gt;"",$I2926,INDEX($I$1:$I2926,ROW()-COUNTIFS($T$1:$T2926,"="&amp;$T2926,$S$1:$S2926,"&lt;"&amp;$S2926)))</f>
        <v>0</v>
      </c>
      <c r="Z2926" s="6">
        <f t="shared" si="406"/>
        <v>1</v>
      </c>
      <c r="AA2926" t="e">
        <f t="shared" si="407"/>
        <v>#VALUE!</v>
      </c>
      <c r="AB2926" t="str">
        <f t="shared" si="408"/>
        <v/>
      </c>
      <c r="AC2926" t="e">
        <f t="shared" si="409"/>
        <v>#VALUE!</v>
      </c>
    </row>
    <row r="2927" spans="1:29" x14ac:dyDescent="0.2">
      <c r="A2927" t="str">
        <f t="shared" si="410"/>
        <v/>
      </c>
      <c r="E2927" s="4"/>
      <c r="F2927" s="46"/>
      <c r="G2927" s="4"/>
      <c r="H2927" s="48"/>
      <c r="J2927" s="26" t="str">
        <f t="shared" si="411"/>
        <v/>
      </c>
      <c r="N2927" t="str">
        <f t="shared" si="412"/>
        <v/>
      </c>
      <c r="Q2927" t="str">
        <f t="shared" si="413"/>
        <v/>
      </c>
      <c r="S2927" t="str">
        <f>IF(A2927=1,MAX($S$2:$S2926)+1,IF(OR($I2927&lt;&gt;"",A2927="x"),$S2926,""))</f>
        <v/>
      </c>
      <c r="T2927" t="str">
        <f>IF(D2927=1,MAX($T$2:$T2926)+1,IF(S2927=S2926,$T2926,IF(D2927="x",T2926,IF(D2926="x","",""))))</f>
        <v/>
      </c>
      <c r="U2927" t="str">
        <f>IF(B2927=1,MAX($U$2:$U2926)+1,IF(AND($T2927&lt;&gt;"",$T2927=$T2926),$U2926,IF(B2927="x",U2926,"")))</f>
        <v/>
      </c>
      <c r="V2927" t="str">
        <f>IF(C2927=1,MAX($V$2:$V2926)+1,IF(AND($T2927&lt;&gt;"",$T2927=$T2926),$U2926,IF(C2927="x",V2926,"")))</f>
        <v/>
      </c>
      <c r="X2927" cm="1">
        <f t="array" ref="X2927">IF($I2927&lt;&gt;"",$I2927,INDEX($I$1:$I2927,ROW()-COUNTIFS($T$1:$T2927,"="&amp;$T2927,$S$1:$S2927,"&lt;"&amp;$S2927)))</f>
        <v>0</v>
      </c>
      <c r="Z2927" s="6">
        <f t="shared" si="406"/>
        <v>1</v>
      </c>
      <c r="AA2927" t="e">
        <f t="shared" si="407"/>
        <v>#VALUE!</v>
      </c>
      <c r="AB2927" t="str">
        <f t="shared" si="408"/>
        <v/>
      </c>
      <c r="AC2927" t="e">
        <f t="shared" si="409"/>
        <v>#VALUE!</v>
      </c>
    </row>
    <row r="2928" spans="1:29" x14ac:dyDescent="0.2">
      <c r="A2928" t="str">
        <f t="shared" si="410"/>
        <v/>
      </c>
      <c r="E2928" s="4"/>
      <c r="F2928" s="46"/>
      <c r="G2928" s="4"/>
      <c r="H2928" s="48"/>
      <c r="J2928" s="26" t="str">
        <f t="shared" si="411"/>
        <v/>
      </c>
      <c r="N2928" t="str">
        <f t="shared" si="412"/>
        <v/>
      </c>
      <c r="Q2928" t="str">
        <f t="shared" si="413"/>
        <v/>
      </c>
      <c r="S2928" t="str">
        <f>IF(A2928=1,MAX($S$2:$S2927)+1,IF(OR($I2928&lt;&gt;"",A2928="x"),$S2927,""))</f>
        <v/>
      </c>
      <c r="T2928" t="str">
        <f>IF(D2928=1,MAX($T$2:$T2927)+1,IF(S2928=S2927,$T2927,IF(D2928="x",T2927,IF(D2927="x","",""))))</f>
        <v/>
      </c>
      <c r="U2928" t="str">
        <f>IF(B2928=1,MAX($U$2:$U2927)+1,IF(AND($T2928&lt;&gt;"",$T2928=$T2927),$U2927,IF(B2928="x",U2927,"")))</f>
        <v/>
      </c>
      <c r="V2928" t="str">
        <f>IF(C2928=1,MAX($V$2:$V2927)+1,IF(AND($T2928&lt;&gt;"",$T2928=$T2927),$U2927,IF(C2928="x",V2927,"")))</f>
        <v/>
      </c>
      <c r="X2928" cm="1">
        <f t="array" ref="X2928">IF($I2928&lt;&gt;"",$I2928,INDEX($I$1:$I2928,ROW()-COUNTIFS($T$1:$T2928,"="&amp;$T2928,$S$1:$S2928,"&lt;"&amp;$S2928)))</f>
        <v>0</v>
      </c>
      <c r="Z2928" s="6">
        <f t="shared" si="406"/>
        <v>1</v>
      </c>
      <c r="AA2928" t="e">
        <f t="shared" si="407"/>
        <v>#VALUE!</v>
      </c>
      <c r="AB2928" t="str">
        <f t="shared" si="408"/>
        <v/>
      </c>
      <c r="AC2928" t="e">
        <f t="shared" si="409"/>
        <v>#VALUE!</v>
      </c>
    </row>
    <row r="2929" spans="1:29" x14ac:dyDescent="0.2">
      <c r="A2929" t="str">
        <f t="shared" si="410"/>
        <v/>
      </c>
      <c r="E2929" s="4"/>
      <c r="F2929" s="46"/>
      <c r="G2929" s="4"/>
      <c r="H2929" s="48"/>
      <c r="J2929" s="26" t="str">
        <f t="shared" si="411"/>
        <v/>
      </c>
      <c r="N2929" t="str">
        <f t="shared" si="412"/>
        <v/>
      </c>
      <c r="Q2929" t="str">
        <f t="shared" si="413"/>
        <v/>
      </c>
      <c r="S2929" t="str">
        <f>IF(A2929=1,MAX($S$2:$S2928)+1,IF(OR($I2929&lt;&gt;"",A2929="x"),$S2928,""))</f>
        <v/>
      </c>
      <c r="T2929" t="str">
        <f>IF(D2929=1,MAX($T$2:$T2928)+1,IF(S2929=S2928,$T2928,IF(D2929="x",T2928,IF(D2928="x","",""))))</f>
        <v/>
      </c>
      <c r="U2929" t="str">
        <f>IF(B2929=1,MAX($U$2:$U2928)+1,IF(AND($T2929&lt;&gt;"",$T2929=$T2928),$U2928,IF(B2929="x",U2928,"")))</f>
        <v/>
      </c>
      <c r="V2929" t="str">
        <f>IF(C2929=1,MAX($V$2:$V2928)+1,IF(AND($T2929&lt;&gt;"",$T2929=$T2928),$U2928,IF(C2929="x",V2928,"")))</f>
        <v/>
      </c>
      <c r="X2929" cm="1">
        <f t="array" ref="X2929">IF($I2929&lt;&gt;"",$I2929,INDEX($I$1:$I2929,ROW()-COUNTIFS($T$1:$T2929,"="&amp;$T2929,$S$1:$S2929,"&lt;"&amp;$S2929)))</f>
        <v>0</v>
      </c>
      <c r="Z2929" s="6">
        <f t="shared" si="406"/>
        <v>1</v>
      </c>
      <c r="AA2929" t="e">
        <f t="shared" si="407"/>
        <v>#VALUE!</v>
      </c>
      <c r="AB2929" t="str">
        <f t="shared" si="408"/>
        <v/>
      </c>
      <c r="AC2929" t="e">
        <f t="shared" si="409"/>
        <v>#VALUE!</v>
      </c>
    </row>
    <row r="2930" spans="1:29" x14ac:dyDescent="0.2">
      <c r="A2930" t="str">
        <f t="shared" si="410"/>
        <v/>
      </c>
      <c r="E2930" s="4"/>
      <c r="F2930" s="46"/>
      <c r="G2930" s="4"/>
      <c r="H2930" s="48"/>
      <c r="J2930" s="26" t="str">
        <f t="shared" si="411"/>
        <v/>
      </c>
      <c r="N2930" t="str">
        <f t="shared" si="412"/>
        <v/>
      </c>
      <c r="Q2930" t="str">
        <f t="shared" si="413"/>
        <v/>
      </c>
      <c r="S2930" t="str">
        <f>IF(A2930=1,MAX($S$2:$S2929)+1,IF(OR($I2930&lt;&gt;"",A2930="x"),$S2929,""))</f>
        <v/>
      </c>
      <c r="T2930" t="str">
        <f>IF(D2930=1,MAX($T$2:$T2929)+1,IF(S2930=S2929,$T2929,IF(D2930="x",T2929,IF(D2929="x","",""))))</f>
        <v/>
      </c>
      <c r="U2930" t="str">
        <f>IF(B2930=1,MAX($U$2:$U2929)+1,IF(AND($T2930&lt;&gt;"",$T2930=$T2929),$U2929,IF(B2930="x",U2929,"")))</f>
        <v/>
      </c>
      <c r="V2930" t="str">
        <f>IF(C2930=1,MAX($V$2:$V2929)+1,IF(AND($T2930&lt;&gt;"",$T2930=$T2929),$U2929,IF(C2930="x",V2929,"")))</f>
        <v/>
      </c>
      <c r="X2930" cm="1">
        <f t="array" ref="X2930">IF($I2930&lt;&gt;"",$I2930,INDEX($I$1:$I2930,ROW()-COUNTIFS($T$1:$T2930,"="&amp;$T2930,$S$1:$S2930,"&lt;"&amp;$S2930)))</f>
        <v>0</v>
      </c>
      <c r="Z2930" s="6">
        <f t="shared" si="406"/>
        <v>1</v>
      </c>
      <c r="AA2930" t="e">
        <f t="shared" si="407"/>
        <v>#VALUE!</v>
      </c>
      <c r="AB2930" t="str">
        <f t="shared" si="408"/>
        <v/>
      </c>
      <c r="AC2930" t="e">
        <f t="shared" si="409"/>
        <v>#VALUE!</v>
      </c>
    </row>
    <row r="2931" spans="1:29" x14ac:dyDescent="0.2">
      <c r="A2931" t="str">
        <f t="shared" si="410"/>
        <v/>
      </c>
      <c r="E2931" s="4"/>
      <c r="F2931" s="46"/>
      <c r="G2931" s="4"/>
      <c r="H2931" s="48"/>
      <c r="J2931" s="26" t="str">
        <f t="shared" si="411"/>
        <v/>
      </c>
      <c r="N2931" t="str">
        <f t="shared" si="412"/>
        <v/>
      </c>
      <c r="Q2931" t="str">
        <f t="shared" si="413"/>
        <v/>
      </c>
      <c r="S2931" t="str">
        <f>IF(A2931=1,MAX($S$2:$S2930)+1,IF(OR($I2931&lt;&gt;"",A2931="x"),$S2930,""))</f>
        <v/>
      </c>
      <c r="T2931" t="str">
        <f>IF(D2931=1,MAX($T$2:$T2930)+1,IF(S2931=S2930,$T2930,IF(D2931="x",T2930,IF(D2930="x","",""))))</f>
        <v/>
      </c>
      <c r="U2931" t="str">
        <f>IF(B2931=1,MAX($U$2:$U2930)+1,IF(AND($T2931&lt;&gt;"",$T2931=$T2930),$U2930,IF(B2931="x",U2930,"")))</f>
        <v/>
      </c>
      <c r="V2931" t="str">
        <f>IF(C2931=1,MAX($V$2:$V2930)+1,IF(AND($T2931&lt;&gt;"",$T2931=$T2930),$U2930,IF(C2931="x",V2930,"")))</f>
        <v/>
      </c>
      <c r="X2931" cm="1">
        <f t="array" ref="X2931">IF($I2931&lt;&gt;"",$I2931,INDEX($I$1:$I2931,ROW()-COUNTIFS($T$1:$T2931,"="&amp;$T2931,$S$1:$S2931,"&lt;"&amp;$S2931)))</f>
        <v>0</v>
      </c>
      <c r="Z2931" s="6">
        <f t="shared" si="406"/>
        <v>1</v>
      </c>
      <c r="AA2931" t="e">
        <f t="shared" si="407"/>
        <v>#VALUE!</v>
      </c>
      <c r="AB2931" t="str">
        <f t="shared" si="408"/>
        <v/>
      </c>
      <c r="AC2931" t="e">
        <f t="shared" si="409"/>
        <v>#VALUE!</v>
      </c>
    </row>
    <row r="2932" spans="1:29" x14ac:dyDescent="0.2">
      <c r="A2932" t="str">
        <f t="shared" si="410"/>
        <v/>
      </c>
      <c r="E2932" s="4"/>
      <c r="F2932" s="46"/>
      <c r="G2932" s="4"/>
      <c r="H2932" s="48"/>
      <c r="J2932" s="26" t="str">
        <f t="shared" si="411"/>
        <v/>
      </c>
      <c r="N2932" t="str">
        <f t="shared" si="412"/>
        <v/>
      </c>
      <c r="Q2932" t="str">
        <f t="shared" si="413"/>
        <v/>
      </c>
      <c r="S2932" t="str">
        <f>IF(A2932=1,MAX($S$2:$S2931)+1,IF(OR($I2932&lt;&gt;"",A2932="x"),$S2931,""))</f>
        <v/>
      </c>
      <c r="T2932" t="str">
        <f>IF(D2932=1,MAX($T$2:$T2931)+1,IF(S2932=S2931,$T2931,IF(D2932="x",T2931,IF(D2931="x","",""))))</f>
        <v/>
      </c>
      <c r="U2932" t="str">
        <f>IF(B2932=1,MAX($U$2:$U2931)+1,IF(AND($T2932&lt;&gt;"",$T2932=$T2931),$U2931,IF(B2932="x",U2931,"")))</f>
        <v/>
      </c>
      <c r="V2932" t="str">
        <f>IF(C2932=1,MAX($V$2:$V2931)+1,IF(AND($T2932&lt;&gt;"",$T2932=$T2931),$U2931,IF(C2932="x",V2931,"")))</f>
        <v/>
      </c>
      <c r="X2932" cm="1">
        <f t="array" ref="X2932">IF($I2932&lt;&gt;"",$I2932,INDEX($I$1:$I2932,ROW()-COUNTIFS($T$1:$T2932,"="&amp;$T2932,$S$1:$S2932,"&lt;"&amp;$S2932)))</f>
        <v>0</v>
      </c>
      <c r="Z2932" s="6">
        <f t="shared" si="406"/>
        <v>1</v>
      </c>
      <c r="AA2932" t="e">
        <f t="shared" si="407"/>
        <v>#VALUE!</v>
      </c>
      <c r="AB2932" t="str">
        <f t="shared" si="408"/>
        <v/>
      </c>
      <c r="AC2932" t="e">
        <f t="shared" si="409"/>
        <v>#VALUE!</v>
      </c>
    </row>
    <row r="2933" spans="1:29" x14ac:dyDescent="0.2">
      <c r="A2933" t="str">
        <f t="shared" si="410"/>
        <v/>
      </c>
      <c r="E2933" s="4"/>
      <c r="F2933" s="46"/>
      <c r="G2933" s="4"/>
      <c r="H2933" s="48"/>
      <c r="J2933" s="26" t="str">
        <f t="shared" si="411"/>
        <v/>
      </c>
      <c r="N2933" t="str">
        <f t="shared" si="412"/>
        <v/>
      </c>
      <c r="Q2933" t="str">
        <f t="shared" si="413"/>
        <v/>
      </c>
      <c r="S2933" t="str">
        <f>IF(A2933=1,MAX($S$2:$S2932)+1,IF(OR($I2933&lt;&gt;"",A2933="x"),$S2932,""))</f>
        <v/>
      </c>
      <c r="T2933" t="str">
        <f>IF(D2933=1,MAX($T$2:$T2932)+1,IF(S2933=S2932,$T2932,IF(D2933="x",T2932,IF(D2932="x","",""))))</f>
        <v/>
      </c>
      <c r="U2933" t="str">
        <f>IF(B2933=1,MAX($U$2:$U2932)+1,IF(AND($T2933&lt;&gt;"",$T2933=$T2932),$U2932,IF(B2933="x",U2932,"")))</f>
        <v/>
      </c>
      <c r="V2933" t="str">
        <f>IF(C2933=1,MAX($V$2:$V2932)+1,IF(AND($T2933&lt;&gt;"",$T2933=$T2932),$U2932,IF(C2933="x",V2932,"")))</f>
        <v/>
      </c>
      <c r="X2933" cm="1">
        <f t="array" ref="X2933">IF($I2933&lt;&gt;"",$I2933,INDEX($I$1:$I2933,ROW()-COUNTIFS($T$1:$T2933,"="&amp;$T2933,$S$1:$S2933,"&lt;"&amp;$S2933)))</f>
        <v>0</v>
      </c>
      <c r="Z2933" s="6">
        <f t="shared" si="406"/>
        <v>1</v>
      </c>
      <c r="AA2933" t="e">
        <f t="shared" si="407"/>
        <v>#VALUE!</v>
      </c>
      <c r="AB2933" t="str">
        <f t="shared" si="408"/>
        <v/>
      </c>
      <c r="AC2933" t="e">
        <f t="shared" si="409"/>
        <v>#VALUE!</v>
      </c>
    </row>
    <row r="2934" spans="1:29" x14ac:dyDescent="0.2">
      <c r="A2934" t="str">
        <f t="shared" si="410"/>
        <v/>
      </c>
      <c r="E2934" s="4"/>
      <c r="F2934" s="46"/>
      <c r="G2934" s="4"/>
      <c r="H2934" s="48"/>
      <c r="J2934" s="26" t="str">
        <f t="shared" si="411"/>
        <v/>
      </c>
      <c r="N2934" t="str">
        <f t="shared" si="412"/>
        <v/>
      </c>
      <c r="Q2934" t="str">
        <f t="shared" si="413"/>
        <v/>
      </c>
      <c r="S2934" t="str">
        <f>IF(A2934=1,MAX($S$2:$S2933)+1,IF(OR($I2934&lt;&gt;"",A2934="x"),$S2933,""))</f>
        <v/>
      </c>
      <c r="T2934" t="str">
        <f>IF(D2934=1,MAX($T$2:$T2933)+1,IF(S2934=S2933,$T2933,IF(D2934="x",T2933,IF(D2933="x","",""))))</f>
        <v/>
      </c>
      <c r="U2934" t="str">
        <f>IF(B2934=1,MAX($U$2:$U2933)+1,IF(AND($T2934&lt;&gt;"",$T2934=$T2933),$U2933,IF(B2934="x",U2933,"")))</f>
        <v/>
      </c>
      <c r="V2934" t="str">
        <f>IF(C2934=1,MAX($V$2:$V2933)+1,IF(AND($T2934&lt;&gt;"",$T2934=$T2933),$U2933,IF(C2934="x",V2933,"")))</f>
        <v/>
      </c>
      <c r="X2934" cm="1">
        <f t="array" ref="X2934">IF($I2934&lt;&gt;"",$I2934,INDEX($I$1:$I2934,ROW()-COUNTIFS($T$1:$T2934,"="&amp;$T2934,$S$1:$S2934,"&lt;"&amp;$S2934)))</f>
        <v>0</v>
      </c>
      <c r="Z2934" s="6">
        <f t="shared" si="406"/>
        <v>1</v>
      </c>
      <c r="AA2934" t="e">
        <f t="shared" si="407"/>
        <v>#VALUE!</v>
      </c>
      <c r="AB2934" t="str">
        <f t="shared" si="408"/>
        <v/>
      </c>
      <c r="AC2934" t="e">
        <f t="shared" si="409"/>
        <v>#VALUE!</v>
      </c>
    </row>
    <row r="2935" spans="1:29" x14ac:dyDescent="0.2">
      <c r="A2935" t="str">
        <f t="shared" si="410"/>
        <v/>
      </c>
      <c r="E2935" s="4"/>
      <c r="F2935" s="46"/>
      <c r="G2935" s="4"/>
      <c r="H2935" s="48"/>
      <c r="J2935" s="26" t="str">
        <f t="shared" si="411"/>
        <v/>
      </c>
      <c r="N2935" t="str">
        <f t="shared" si="412"/>
        <v/>
      </c>
      <c r="Q2935" t="str">
        <f t="shared" si="413"/>
        <v/>
      </c>
      <c r="S2935" t="str">
        <f>IF(A2935=1,MAX($S$2:$S2934)+1,IF(OR($I2935&lt;&gt;"",A2935="x"),$S2934,""))</f>
        <v/>
      </c>
      <c r="T2935" t="str">
        <f>IF(D2935=1,MAX($T$2:$T2934)+1,IF(S2935=S2934,$T2934,IF(D2935="x",T2934,IF(D2934="x","",""))))</f>
        <v/>
      </c>
      <c r="U2935" t="str">
        <f>IF(B2935=1,MAX($U$2:$U2934)+1,IF(AND($T2935&lt;&gt;"",$T2935=$T2934),$U2934,IF(B2935="x",U2934,"")))</f>
        <v/>
      </c>
      <c r="V2935" t="str">
        <f>IF(C2935=1,MAX($V$2:$V2934)+1,IF(AND($T2935&lt;&gt;"",$T2935=$T2934),$U2934,IF(C2935="x",V2934,"")))</f>
        <v/>
      </c>
      <c r="X2935" cm="1">
        <f t="array" ref="X2935">IF($I2935&lt;&gt;"",$I2935,INDEX($I$1:$I2935,ROW()-COUNTIFS($T$1:$T2935,"="&amp;$T2935,$S$1:$S2935,"&lt;"&amp;$S2935)))</f>
        <v>0</v>
      </c>
      <c r="Z2935" s="6">
        <f t="shared" si="406"/>
        <v>1</v>
      </c>
      <c r="AA2935" t="e">
        <f t="shared" si="407"/>
        <v>#VALUE!</v>
      </c>
      <c r="AB2935" t="str">
        <f t="shared" si="408"/>
        <v/>
      </c>
      <c r="AC2935" t="e">
        <f t="shared" si="409"/>
        <v>#VALUE!</v>
      </c>
    </row>
    <row r="2936" spans="1:29" x14ac:dyDescent="0.2">
      <c r="A2936" t="str">
        <f t="shared" si="410"/>
        <v/>
      </c>
      <c r="E2936" s="4"/>
      <c r="F2936" s="46"/>
      <c r="G2936" s="4"/>
      <c r="H2936" s="48"/>
      <c r="J2936" s="26" t="str">
        <f t="shared" si="411"/>
        <v/>
      </c>
      <c r="N2936" t="str">
        <f t="shared" si="412"/>
        <v/>
      </c>
      <c r="Q2936" t="str">
        <f t="shared" si="413"/>
        <v/>
      </c>
      <c r="S2936" t="str">
        <f>IF(A2936=1,MAX($S$2:$S2935)+1,IF(OR($I2936&lt;&gt;"",A2936="x"),$S2935,""))</f>
        <v/>
      </c>
      <c r="T2936" t="str">
        <f>IF(D2936=1,MAX($T$2:$T2935)+1,IF(S2936=S2935,$T2935,IF(D2936="x",T2935,IF(D2935="x","",""))))</f>
        <v/>
      </c>
      <c r="U2936" t="str">
        <f>IF(B2936=1,MAX($U$2:$U2935)+1,IF(AND($T2936&lt;&gt;"",$T2936=$T2935),$U2935,IF(B2936="x",U2935,"")))</f>
        <v/>
      </c>
      <c r="V2936" t="str">
        <f>IF(C2936=1,MAX($V$2:$V2935)+1,IF(AND($T2936&lt;&gt;"",$T2936=$T2935),$U2935,IF(C2936="x",V2935,"")))</f>
        <v/>
      </c>
      <c r="X2936" cm="1">
        <f t="array" ref="X2936">IF($I2936&lt;&gt;"",$I2936,INDEX($I$1:$I2936,ROW()-COUNTIFS($T$1:$T2936,"="&amp;$T2936,$S$1:$S2936,"&lt;"&amp;$S2936)))</f>
        <v>0</v>
      </c>
      <c r="Z2936" s="6">
        <f t="shared" si="406"/>
        <v>1</v>
      </c>
      <c r="AA2936" t="e">
        <f t="shared" si="407"/>
        <v>#VALUE!</v>
      </c>
      <c r="AB2936" t="str">
        <f t="shared" si="408"/>
        <v/>
      </c>
      <c r="AC2936" t="e">
        <f t="shared" si="409"/>
        <v>#VALUE!</v>
      </c>
    </row>
    <row r="2937" spans="1:29" x14ac:dyDescent="0.2">
      <c r="A2937" t="str">
        <f t="shared" si="410"/>
        <v/>
      </c>
      <c r="E2937" s="4"/>
      <c r="F2937" s="46"/>
      <c r="G2937" s="4"/>
      <c r="H2937" s="48"/>
      <c r="J2937" s="26" t="str">
        <f t="shared" si="411"/>
        <v/>
      </c>
      <c r="N2937" t="str">
        <f t="shared" si="412"/>
        <v/>
      </c>
      <c r="Q2937" t="str">
        <f t="shared" si="413"/>
        <v/>
      </c>
      <c r="S2937" t="str">
        <f>IF(A2937=1,MAX($S$2:$S2936)+1,IF(OR($I2937&lt;&gt;"",A2937="x"),$S2936,""))</f>
        <v/>
      </c>
      <c r="T2937" t="str">
        <f>IF(D2937=1,MAX($T$2:$T2936)+1,IF(S2937=S2936,$T2936,IF(D2937="x",T2936,IF(D2936="x","",""))))</f>
        <v/>
      </c>
      <c r="U2937" t="str">
        <f>IF(B2937=1,MAX($U$2:$U2936)+1,IF(AND($T2937&lt;&gt;"",$T2937=$T2936),$U2936,IF(B2937="x",U2936,"")))</f>
        <v/>
      </c>
      <c r="V2937" t="str">
        <f>IF(C2937=1,MAX($V$2:$V2936)+1,IF(AND($T2937&lt;&gt;"",$T2937=$T2936),$U2936,IF(C2937="x",V2936,"")))</f>
        <v/>
      </c>
      <c r="X2937" cm="1">
        <f t="array" ref="X2937">IF($I2937&lt;&gt;"",$I2937,INDEX($I$1:$I2937,ROW()-COUNTIFS($T$1:$T2937,"="&amp;$T2937,$S$1:$S2937,"&lt;"&amp;$S2937)))</f>
        <v>0</v>
      </c>
      <c r="Z2937" s="6">
        <f t="shared" si="406"/>
        <v>1</v>
      </c>
      <c r="AA2937" t="e">
        <f t="shared" si="407"/>
        <v>#VALUE!</v>
      </c>
      <c r="AB2937" t="str">
        <f t="shared" si="408"/>
        <v/>
      </c>
      <c r="AC2937" t="e">
        <f t="shared" si="409"/>
        <v>#VALUE!</v>
      </c>
    </row>
    <row r="2938" spans="1:29" x14ac:dyDescent="0.2">
      <c r="A2938" t="str">
        <f t="shared" si="410"/>
        <v/>
      </c>
      <c r="E2938" s="4"/>
      <c r="F2938" s="46"/>
      <c r="G2938" s="4"/>
      <c r="H2938" s="48"/>
      <c r="J2938" s="26" t="str">
        <f t="shared" si="411"/>
        <v/>
      </c>
      <c r="N2938" t="str">
        <f t="shared" si="412"/>
        <v/>
      </c>
      <c r="Q2938" t="str">
        <f t="shared" si="413"/>
        <v/>
      </c>
      <c r="S2938" t="str">
        <f>IF(A2938=1,MAX($S$2:$S2937)+1,IF(OR($I2938&lt;&gt;"",A2938="x"),$S2937,""))</f>
        <v/>
      </c>
      <c r="T2938" t="str">
        <f>IF(D2938=1,MAX($T$2:$T2937)+1,IF(S2938=S2937,$T2937,IF(D2938="x",T2937,IF(D2937="x","",""))))</f>
        <v/>
      </c>
      <c r="U2938" t="str">
        <f>IF(B2938=1,MAX($U$2:$U2937)+1,IF(AND($T2938&lt;&gt;"",$T2938=$T2937),$U2937,IF(B2938="x",U2937,"")))</f>
        <v/>
      </c>
      <c r="V2938" t="str">
        <f>IF(C2938=1,MAX($V$2:$V2937)+1,IF(AND($T2938&lt;&gt;"",$T2938=$T2937),$U2937,IF(C2938="x",V2937,"")))</f>
        <v/>
      </c>
      <c r="X2938" cm="1">
        <f t="array" ref="X2938">IF($I2938&lt;&gt;"",$I2938,INDEX($I$1:$I2938,ROW()-COUNTIFS($T$1:$T2938,"="&amp;$T2938,$S$1:$S2938,"&lt;"&amp;$S2938)))</f>
        <v>0</v>
      </c>
      <c r="Z2938" s="6">
        <f t="shared" si="406"/>
        <v>1</v>
      </c>
      <c r="AA2938" t="e">
        <f t="shared" si="407"/>
        <v>#VALUE!</v>
      </c>
      <c r="AB2938" t="str">
        <f t="shared" si="408"/>
        <v/>
      </c>
      <c r="AC2938" t="e">
        <f t="shared" si="409"/>
        <v>#VALUE!</v>
      </c>
    </row>
    <row r="2939" spans="1:29" x14ac:dyDescent="0.2">
      <c r="A2939" t="str">
        <f t="shared" si="410"/>
        <v/>
      </c>
      <c r="E2939" s="4"/>
      <c r="F2939" s="46"/>
      <c r="G2939" s="4"/>
      <c r="H2939" s="48"/>
      <c r="J2939" s="26" t="str">
        <f t="shared" si="411"/>
        <v/>
      </c>
      <c r="N2939" t="str">
        <f t="shared" si="412"/>
        <v/>
      </c>
      <c r="Q2939" t="str">
        <f t="shared" si="413"/>
        <v/>
      </c>
      <c r="S2939" t="str">
        <f>IF(A2939=1,MAX($S$2:$S2938)+1,IF(OR($I2939&lt;&gt;"",A2939="x"),$S2938,""))</f>
        <v/>
      </c>
      <c r="T2939" t="str">
        <f>IF(D2939=1,MAX($T$2:$T2938)+1,IF(S2939=S2938,$T2938,IF(D2939="x",T2938,IF(D2938="x","",""))))</f>
        <v/>
      </c>
      <c r="U2939" t="str">
        <f>IF(B2939=1,MAX($U$2:$U2938)+1,IF(AND($T2939&lt;&gt;"",$T2939=$T2938),$U2938,IF(B2939="x",U2938,"")))</f>
        <v/>
      </c>
      <c r="V2939" t="str">
        <f>IF(C2939=1,MAX($V$2:$V2938)+1,IF(AND($T2939&lt;&gt;"",$T2939=$T2938),$U2938,IF(C2939="x",V2938,"")))</f>
        <v/>
      </c>
      <c r="X2939" cm="1">
        <f t="array" ref="X2939">IF($I2939&lt;&gt;"",$I2939,INDEX($I$1:$I2939,ROW()-COUNTIFS($T$1:$T2939,"="&amp;$T2939,$S$1:$S2939,"&lt;"&amp;$S2939)))</f>
        <v>0</v>
      </c>
      <c r="Z2939" s="6">
        <f t="shared" si="406"/>
        <v>1</v>
      </c>
      <c r="AA2939" t="e">
        <f t="shared" si="407"/>
        <v>#VALUE!</v>
      </c>
      <c r="AB2939" t="str">
        <f t="shared" si="408"/>
        <v/>
      </c>
      <c r="AC2939" t="e">
        <f t="shared" si="409"/>
        <v>#VALUE!</v>
      </c>
    </row>
    <row r="2940" spans="1:29" x14ac:dyDescent="0.2">
      <c r="A2940" t="str">
        <f t="shared" si="410"/>
        <v/>
      </c>
      <c r="E2940" s="4"/>
      <c r="F2940" s="46"/>
      <c r="G2940" s="4"/>
      <c r="H2940" s="48"/>
      <c r="J2940" s="26" t="str">
        <f t="shared" si="411"/>
        <v/>
      </c>
      <c r="N2940" t="str">
        <f t="shared" si="412"/>
        <v/>
      </c>
      <c r="Q2940" t="str">
        <f t="shared" si="413"/>
        <v/>
      </c>
      <c r="S2940" t="str">
        <f>IF(A2940=1,MAX($S$2:$S2939)+1,IF(OR($I2940&lt;&gt;"",A2940="x"),$S2939,""))</f>
        <v/>
      </c>
      <c r="T2940" t="str">
        <f>IF(D2940=1,MAX($T$2:$T2939)+1,IF(S2940=S2939,$T2939,IF(D2940="x",T2939,IF(D2939="x","",""))))</f>
        <v/>
      </c>
      <c r="U2940" t="str">
        <f>IF(B2940=1,MAX($U$2:$U2939)+1,IF(AND($T2940&lt;&gt;"",$T2940=$T2939),$U2939,IF(B2940="x",U2939,"")))</f>
        <v/>
      </c>
      <c r="V2940" t="str">
        <f>IF(C2940=1,MAX($V$2:$V2939)+1,IF(AND($T2940&lt;&gt;"",$T2940=$T2939),$U2939,IF(C2940="x",V2939,"")))</f>
        <v/>
      </c>
      <c r="X2940" cm="1">
        <f t="array" ref="X2940">IF($I2940&lt;&gt;"",$I2940,INDEX($I$1:$I2940,ROW()-COUNTIFS($T$1:$T2940,"="&amp;$T2940,$S$1:$S2940,"&lt;"&amp;$S2940)))</f>
        <v>0</v>
      </c>
      <c r="Z2940" s="6">
        <f t="shared" si="406"/>
        <v>1</v>
      </c>
      <c r="AA2940" t="e">
        <f t="shared" si="407"/>
        <v>#VALUE!</v>
      </c>
      <c r="AB2940" t="str">
        <f t="shared" si="408"/>
        <v/>
      </c>
      <c r="AC2940" t="e">
        <f t="shared" si="409"/>
        <v>#VALUE!</v>
      </c>
    </row>
    <row r="2941" spans="1:29" x14ac:dyDescent="0.2">
      <c r="A2941" t="str">
        <f t="shared" si="410"/>
        <v/>
      </c>
      <c r="E2941" s="4"/>
      <c r="F2941" s="46"/>
      <c r="G2941" s="4"/>
      <c r="H2941" s="48"/>
      <c r="J2941" s="26" t="str">
        <f t="shared" si="411"/>
        <v/>
      </c>
      <c r="N2941" t="str">
        <f t="shared" si="412"/>
        <v/>
      </c>
      <c r="Q2941" t="str">
        <f t="shared" si="413"/>
        <v/>
      </c>
      <c r="S2941" t="str">
        <f>IF(A2941=1,MAX($S$2:$S2940)+1,IF(OR($I2941&lt;&gt;"",A2941="x"),$S2940,""))</f>
        <v/>
      </c>
      <c r="T2941" t="str">
        <f>IF(D2941=1,MAX($T$2:$T2940)+1,IF(S2941=S2940,$T2940,IF(D2941="x",T2940,IF(D2940="x","",""))))</f>
        <v/>
      </c>
      <c r="U2941" t="str">
        <f>IF(B2941=1,MAX($U$2:$U2940)+1,IF(AND($T2941&lt;&gt;"",$T2941=$T2940),$U2940,IF(B2941="x",U2940,"")))</f>
        <v/>
      </c>
      <c r="V2941" t="str">
        <f>IF(C2941=1,MAX($V$2:$V2940)+1,IF(AND($T2941&lt;&gt;"",$T2941=$T2940),$U2940,IF(C2941="x",V2940,"")))</f>
        <v/>
      </c>
      <c r="X2941" cm="1">
        <f t="array" ref="X2941">IF($I2941&lt;&gt;"",$I2941,INDEX($I$1:$I2941,ROW()-COUNTIFS($T$1:$T2941,"="&amp;$T2941,$S$1:$S2941,"&lt;"&amp;$S2941)))</f>
        <v>0</v>
      </c>
      <c r="Z2941" s="6">
        <f t="shared" si="406"/>
        <v>1</v>
      </c>
      <c r="AA2941" t="e">
        <f t="shared" si="407"/>
        <v>#VALUE!</v>
      </c>
      <c r="AB2941" t="str">
        <f t="shared" si="408"/>
        <v/>
      </c>
      <c r="AC2941" t="e">
        <f t="shared" si="409"/>
        <v>#VALUE!</v>
      </c>
    </row>
    <row r="2942" spans="1:29" x14ac:dyDescent="0.2">
      <c r="A2942" t="str">
        <f t="shared" si="410"/>
        <v/>
      </c>
      <c r="E2942" s="4"/>
      <c r="F2942" s="46"/>
      <c r="G2942" s="4"/>
      <c r="H2942" s="48"/>
      <c r="J2942" s="26" t="str">
        <f t="shared" si="411"/>
        <v/>
      </c>
      <c r="N2942" t="str">
        <f t="shared" si="412"/>
        <v/>
      </c>
      <c r="Q2942" t="str">
        <f t="shared" si="413"/>
        <v/>
      </c>
      <c r="S2942" t="str">
        <f>IF(A2942=1,MAX($S$2:$S2941)+1,IF(OR($I2942&lt;&gt;"",A2942="x"),$S2941,""))</f>
        <v/>
      </c>
      <c r="T2942" t="str">
        <f>IF(D2942=1,MAX($T$2:$T2941)+1,IF(S2942=S2941,$T2941,IF(D2942="x",T2941,IF(D2941="x","",""))))</f>
        <v/>
      </c>
      <c r="U2942" t="str">
        <f>IF(B2942=1,MAX($U$2:$U2941)+1,IF(AND($T2942&lt;&gt;"",$T2942=$T2941),$U2941,IF(B2942="x",U2941,"")))</f>
        <v/>
      </c>
      <c r="V2942" t="str">
        <f>IF(C2942=1,MAX($V$2:$V2941)+1,IF(AND($T2942&lt;&gt;"",$T2942=$T2941),$U2941,IF(C2942="x",V2941,"")))</f>
        <v/>
      </c>
      <c r="X2942" cm="1">
        <f t="array" ref="X2942">IF($I2942&lt;&gt;"",$I2942,INDEX($I$1:$I2942,ROW()-COUNTIFS($T$1:$T2942,"="&amp;$T2942,$S$1:$S2942,"&lt;"&amp;$S2942)))</f>
        <v>0</v>
      </c>
      <c r="Z2942" s="6">
        <f t="shared" si="406"/>
        <v>1</v>
      </c>
      <c r="AA2942" t="e">
        <f t="shared" si="407"/>
        <v>#VALUE!</v>
      </c>
      <c r="AB2942" t="str">
        <f t="shared" si="408"/>
        <v/>
      </c>
      <c r="AC2942" t="e">
        <f t="shared" si="409"/>
        <v>#VALUE!</v>
      </c>
    </row>
    <row r="2943" spans="1:29" x14ac:dyDescent="0.2">
      <c r="A2943" t="str">
        <f t="shared" si="410"/>
        <v/>
      </c>
      <c r="E2943" s="4"/>
      <c r="F2943" s="46"/>
      <c r="G2943" s="4"/>
      <c r="H2943" s="48"/>
      <c r="J2943" s="26" t="str">
        <f t="shared" si="411"/>
        <v/>
      </c>
      <c r="N2943" t="str">
        <f t="shared" si="412"/>
        <v/>
      </c>
      <c r="Q2943" t="str">
        <f t="shared" si="413"/>
        <v/>
      </c>
      <c r="S2943" t="str">
        <f>IF(A2943=1,MAX($S$2:$S2942)+1,IF(OR($I2943&lt;&gt;"",A2943="x"),$S2942,""))</f>
        <v/>
      </c>
      <c r="T2943" t="str">
        <f>IF(D2943=1,MAX($T$2:$T2942)+1,IF(S2943=S2942,$T2942,IF(D2943="x",T2942,IF(D2942="x","",""))))</f>
        <v/>
      </c>
      <c r="U2943" t="str">
        <f>IF(B2943=1,MAX($U$2:$U2942)+1,IF(AND($T2943&lt;&gt;"",$T2943=$T2942),$U2942,IF(B2943="x",U2942,"")))</f>
        <v/>
      </c>
      <c r="V2943" t="str">
        <f>IF(C2943=1,MAX($V$2:$V2942)+1,IF(AND($T2943&lt;&gt;"",$T2943=$T2942),$U2942,IF(C2943="x",V2942,"")))</f>
        <v/>
      </c>
      <c r="X2943" cm="1">
        <f t="array" ref="X2943">IF($I2943&lt;&gt;"",$I2943,INDEX($I$1:$I2943,ROW()-COUNTIFS($T$1:$T2943,"="&amp;$T2943,$S$1:$S2943,"&lt;"&amp;$S2943)))</f>
        <v>0</v>
      </c>
      <c r="Z2943" s="6">
        <f t="shared" si="406"/>
        <v>1</v>
      </c>
      <c r="AA2943" t="e">
        <f t="shared" si="407"/>
        <v>#VALUE!</v>
      </c>
      <c r="AB2943" t="str">
        <f t="shared" si="408"/>
        <v/>
      </c>
      <c r="AC2943" t="e">
        <f t="shared" si="409"/>
        <v>#VALUE!</v>
      </c>
    </row>
    <row r="2944" spans="1:29" x14ac:dyDescent="0.2">
      <c r="A2944" t="str">
        <f t="shared" si="410"/>
        <v/>
      </c>
      <c r="E2944" s="4"/>
      <c r="F2944" s="46"/>
      <c r="G2944" s="4"/>
      <c r="H2944" s="48"/>
      <c r="J2944" s="26" t="str">
        <f t="shared" si="411"/>
        <v/>
      </c>
      <c r="N2944" t="str">
        <f t="shared" si="412"/>
        <v/>
      </c>
      <c r="Q2944" t="str">
        <f t="shared" si="413"/>
        <v/>
      </c>
      <c r="S2944" t="str">
        <f>IF(A2944=1,MAX($S$2:$S2943)+1,IF(OR($I2944&lt;&gt;"",A2944="x"),$S2943,""))</f>
        <v/>
      </c>
      <c r="T2944" t="str">
        <f>IF(D2944=1,MAX($T$2:$T2943)+1,IF(S2944=S2943,$T2943,IF(D2944="x",T2943,IF(D2943="x","",""))))</f>
        <v/>
      </c>
      <c r="U2944" t="str">
        <f>IF(B2944=1,MAX($U$2:$U2943)+1,IF(AND($T2944&lt;&gt;"",$T2944=$T2943),$U2943,IF(B2944="x",U2943,"")))</f>
        <v/>
      </c>
      <c r="V2944" t="str">
        <f>IF(C2944=1,MAX($V$2:$V2943)+1,IF(AND($T2944&lt;&gt;"",$T2944=$T2943),$U2943,IF(C2944="x",V2943,"")))</f>
        <v/>
      </c>
      <c r="X2944" cm="1">
        <f t="array" ref="X2944">IF($I2944&lt;&gt;"",$I2944,INDEX($I$1:$I2944,ROW()-COUNTIFS($T$1:$T2944,"="&amp;$T2944,$S$1:$S2944,"&lt;"&amp;$S2944)))</f>
        <v>0</v>
      </c>
      <c r="Z2944" s="6">
        <f t="shared" si="406"/>
        <v>1</v>
      </c>
      <c r="AA2944" t="e">
        <f t="shared" si="407"/>
        <v>#VALUE!</v>
      </c>
      <c r="AB2944" t="str">
        <f t="shared" si="408"/>
        <v/>
      </c>
      <c r="AC2944" t="e">
        <f t="shared" si="409"/>
        <v>#VALUE!</v>
      </c>
    </row>
    <row r="2945" spans="1:29" x14ac:dyDescent="0.2">
      <c r="A2945" t="str">
        <f t="shared" si="410"/>
        <v/>
      </c>
      <c r="E2945" s="4"/>
      <c r="F2945" s="46"/>
      <c r="G2945" s="4"/>
      <c r="H2945" s="48"/>
      <c r="J2945" s="26" t="str">
        <f t="shared" si="411"/>
        <v/>
      </c>
      <c r="N2945" t="str">
        <f t="shared" si="412"/>
        <v/>
      </c>
      <c r="Q2945" t="str">
        <f t="shared" si="413"/>
        <v/>
      </c>
      <c r="S2945" t="str">
        <f>IF(A2945=1,MAX($S$2:$S2944)+1,IF(OR($I2945&lt;&gt;"",A2945="x"),$S2944,""))</f>
        <v/>
      </c>
      <c r="T2945" t="str">
        <f>IF(D2945=1,MAX($T$2:$T2944)+1,IF(S2945=S2944,$T2944,IF(D2945="x",T2944,IF(D2944="x","",""))))</f>
        <v/>
      </c>
      <c r="U2945" t="str">
        <f>IF(B2945=1,MAX($U$2:$U2944)+1,IF(AND($T2945&lt;&gt;"",$T2945=$T2944),$U2944,IF(B2945="x",U2944,"")))</f>
        <v/>
      </c>
      <c r="V2945" t="str">
        <f>IF(C2945=1,MAX($V$2:$V2944)+1,IF(AND($T2945&lt;&gt;"",$T2945=$T2944),$U2944,IF(C2945="x",V2944,"")))</f>
        <v/>
      </c>
      <c r="X2945" cm="1">
        <f t="array" ref="X2945">IF($I2945&lt;&gt;"",$I2945,INDEX($I$1:$I2945,ROW()-COUNTIFS($T$1:$T2945,"="&amp;$T2945,$S$1:$S2945,"&lt;"&amp;$S2945)))</f>
        <v>0</v>
      </c>
      <c r="Z2945" s="6">
        <f t="shared" si="406"/>
        <v>1</v>
      </c>
      <c r="AA2945" t="e">
        <f t="shared" si="407"/>
        <v>#VALUE!</v>
      </c>
      <c r="AB2945" t="str">
        <f t="shared" si="408"/>
        <v/>
      </c>
      <c r="AC2945" t="e">
        <f t="shared" si="409"/>
        <v>#VALUE!</v>
      </c>
    </row>
    <row r="2946" spans="1:29" x14ac:dyDescent="0.2">
      <c r="A2946" t="str">
        <f t="shared" si="410"/>
        <v/>
      </c>
      <c r="E2946" s="4"/>
      <c r="F2946" s="46"/>
      <c r="G2946" s="4"/>
      <c r="H2946" s="48"/>
      <c r="J2946" s="26" t="str">
        <f t="shared" si="411"/>
        <v/>
      </c>
      <c r="N2946" t="str">
        <f t="shared" si="412"/>
        <v/>
      </c>
      <c r="Q2946" t="str">
        <f t="shared" si="413"/>
        <v/>
      </c>
      <c r="S2946" t="str">
        <f>IF(A2946=1,MAX($S$2:$S2945)+1,IF(OR($I2946&lt;&gt;"",A2946="x"),$S2945,""))</f>
        <v/>
      </c>
      <c r="T2946" t="str">
        <f>IF(D2946=1,MAX($T$2:$T2945)+1,IF(S2946=S2945,$T2945,IF(D2946="x",T2945,IF(D2945="x","",""))))</f>
        <v/>
      </c>
      <c r="U2946" t="str">
        <f>IF(B2946=1,MAX($U$2:$U2945)+1,IF(AND($T2946&lt;&gt;"",$T2946=$T2945),$U2945,IF(B2946="x",U2945,"")))</f>
        <v/>
      </c>
      <c r="V2946" t="str">
        <f>IF(C2946=1,MAX($V$2:$V2945)+1,IF(AND($T2946&lt;&gt;"",$T2946=$T2945),$U2945,IF(C2946="x",V2945,"")))</f>
        <v/>
      </c>
      <c r="X2946" cm="1">
        <f t="array" ref="X2946">IF($I2946&lt;&gt;"",$I2946,INDEX($I$1:$I2946,ROW()-COUNTIFS($T$1:$T2946,"="&amp;$T2946,$S$1:$S2946,"&lt;"&amp;$S2946)))</f>
        <v>0</v>
      </c>
      <c r="Z2946" s="6">
        <f t="shared" si="406"/>
        <v>1</v>
      </c>
      <c r="AA2946" t="e">
        <f t="shared" si="407"/>
        <v>#VALUE!</v>
      </c>
      <c r="AB2946" t="str">
        <f t="shared" si="408"/>
        <v/>
      </c>
      <c r="AC2946" t="e">
        <f t="shared" si="409"/>
        <v>#VALUE!</v>
      </c>
    </row>
    <row r="2947" spans="1:29" x14ac:dyDescent="0.2">
      <c r="A2947" t="str">
        <f t="shared" si="410"/>
        <v/>
      </c>
      <c r="E2947" s="4"/>
      <c r="F2947" s="46"/>
      <c r="G2947" s="4"/>
      <c r="H2947" s="48"/>
      <c r="J2947" s="26" t="str">
        <f t="shared" si="411"/>
        <v/>
      </c>
      <c r="N2947" t="str">
        <f t="shared" si="412"/>
        <v/>
      </c>
      <c r="Q2947" t="str">
        <f t="shared" si="413"/>
        <v/>
      </c>
      <c r="S2947" t="str">
        <f>IF(A2947=1,MAX($S$2:$S2946)+1,IF(OR($I2947&lt;&gt;"",A2947="x"),$S2946,""))</f>
        <v/>
      </c>
      <c r="T2947" t="str">
        <f>IF(D2947=1,MAX($T$2:$T2946)+1,IF(S2947=S2946,$T2946,IF(D2947="x",T2946,IF(D2946="x","",""))))</f>
        <v/>
      </c>
      <c r="U2947" t="str">
        <f>IF(B2947=1,MAX($U$2:$U2946)+1,IF(AND($T2947&lt;&gt;"",$T2947=$T2946),$U2946,IF(B2947="x",U2946,"")))</f>
        <v/>
      </c>
      <c r="V2947" t="str">
        <f>IF(C2947=1,MAX($V$2:$V2946)+1,IF(AND($T2947&lt;&gt;"",$T2947=$T2946),$U2946,IF(C2947="x",V2946,"")))</f>
        <v/>
      </c>
      <c r="X2947" cm="1">
        <f t="array" ref="X2947">IF($I2947&lt;&gt;"",$I2947,INDEX($I$1:$I2947,ROW()-COUNTIFS($T$1:$T2947,"="&amp;$T2947,$S$1:$S2947,"&lt;"&amp;$S2947)))</f>
        <v>0</v>
      </c>
      <c r="Z2947" s="6">
        <f t="shared" si="406"/>
        <v>1</v>
      </c>
      <c r="AA2947" t="e">
        <f t="shared" si="407"/>
        <v>#VALUE!</v>
      </c>
      <c r="AB2947" t="str">
        <f t="shared" si="408"/>
        <v/>
      </c>
      <c r="AC2947" t="e">
        <f t="shared" si="409"/>
        <v>#VALUE!</v>
      </c>
    </row>
    <row r="2948" spans="1:29" x14ac:dyDescent="0.2">
      <c r="A2948" t="str">
        <f t="shared" si="410"/>
        <v/>
      </c>
      <c r="E2948" s="4"/>
      <c r="F2948" s="46"/>
      <c r="G2948" s="4"/>
      <c r="H2948" s="48"/>
      <c r="J2948" s="26" t="str">
        <f t="shared" si="411"/>
        <v/>
      </c>
      <c r="N2948" t="str">
        <f t="shared" si="412"/>
        <v/>
      </c>
      <c r="Q2948" t="str">
        <f t="shared" si="413"/>
        <v/>
      </c>
      <c r="S2948" t="str">
        <f>IF(A2948=1,MAX($S$2:$S2947)+1,IF(OR($I2948&lt;&gt;"",A2948="x"),$S2947,""))</f>
        <v/>
      </c>
      <c r="T2948" t="str">
        <f>IF(D2948=1,MAX($T$2:$T2947)+1,IF(S2948=S2947,$T2947,IF(D2948="x",T2947,IF(D2947="x","",""))))</f>
        <v/>
      </c>
      <c r="U2948" t="str">
        <f>IF(B2948=1,MAX($U$2:$U2947)+1,IF(AND($T2948&lt;&gt;"",$T2948=$T2947),$U2947,IF(B2948="x",U2947,"")))</f>
        <v/>
      </c>
      <c r="V2948" t="str">
        <f>IF(C2948=1,MAX($V$2:$V2947)+1,IF(AND($T2948&lt;&gt;"",$T2948=$T2947),$U2947,IF(C2948="x",V2947,"")))</f>
        <v/>
      </c>
      <c r="X2948" cm="1">
        <f t="array" ref="X2948">IF($I2948&lt;&gt;"",$I2948,INDEX($I$1:$I2948,ROW()-COUNTIFS($T$1:$T2948,"="&amp;$T2948,$S$1:$S2948,"&lt;"&amp;$S2948)))</f>
        <v>0</v>
      </c>
      <c r="Z2948" s="6">
        <f t="shared" si="406"/>
        <v>1</v>
      </c>
      <c r="AA2948" t="e">
        <f t="shared" si="407"/>
        <v>#VALUE!</v>
      </c>
      <c r="AB2948" t="str">
        <f t="shared" si="408"/>
        <v/>
      </c>
      <c r="AC2948" t="e">
        <f t="shared" si="409"/>
        <v>#VALUE!</v>
      </c>
    </row>
    <row r="2949" spans="1:29" x14ac:dyDescent="0.2">
      <c r="A2949" t="str">
        <f t="shared" si="410"/>
        <v/>
      </c>
      <c r="E2949" s="4"/>
      <c r="F2949" s="46"/>
      <c r="G2949" s="4"/>
      <c r="H2949" s="48"/>
      <c r="J2949" s="26" t="str">
        <f t="shared" si="411"/>
        <v/>
      </c>
      <c r="N2949" t="str">
        <f t="shared" si="412"/>
        <v/>
      </c>
      <c r="Q2949" t="str">
        <f t="shared" si="413"/>
        <v/>
      </c>
      <c r="S2949" t="str">
        <f>IF(A2949=1,MAX($S$2:$S2948)+1,IF(OR($I2949&lt;&gt;"",A2949="x"),$S2948,""))</f>
        <v/>
      </c>
      <c r="T2949" t="str">
        <f>IF(D2949=1,MAX($T$2:$T2948)+1,IF(S2949=S2948,$T2948,IF(D2949="x",T2948,IF(D2948="x","",""))))</f>
        <v/>
      </c>
      <c r="U2949" t="str">
        <f>IF(B2949=1,MAX($U$2:$U2948)+1,IF(AND($T2949&lt;&gt;"",$T2949=$T2948),$U2948,IF(B2949="x",U2948,"")))</f>
        <v/>
      </c>
      <c r="V2949" t="str">
        <f>IF(C2949=1,MAX($V$2:$V2948)+1,IF(AND($T2949&lt;&gt;"",$T2949=$T2948),$U2948,IF(C2949="x",V2948,"")))</f>
        <v/>
      </c>
      <c r="X2949" cm="1">
        <f t="array" ref="X2949">IF($I2949&lt;&gt;"",$I2949,INDEX($I$1:$I2949,ROW()-COUNTIFS($T$1:$T2949,"="&amp;$T2949,$S$1:$S2949,"&lt;"&amp;$S2949)))</f>
        <v>0</v>
      </c>
      <c r="Z2949" s="6">
        <f t="shared" ref="Z2949:Z3012" si="414">IF(K2949="Intermission",Z2948+1,Z2948)</f>
        <v>1</v>
      </c>
      <c r="AA2949" t="e">
        <f t="shared" ref="AA2949:AA3012" si="415">S2949+1000</f>
        <v>#VALUE!</v>
      </c>
      <c r="AB2949" t="str">
        <f t="shared" ref="AB2949:AB3012" si="416">IF(T2949&lt;&gt;"",9000+T2949,"")</f>
        <v/>
      </c>
      <c r="AC2949" t="e">
        <f t="shared" ref="AC2949:AC3012" si="417">IF(AB2949&lt;&gt;"",AB2949,S2949+1000)</f>
        <v>#VALUE!</v>
      </c>
    </row>
    <row r="2950" spans="1:29" x14ac:dyDescent="0.2">
      <c r="A2950" t="str">
        <f t="shared" si="410"/>
        <v/>
      </c>
      <c r="E2950" s="4"/>
      <c r="F2950" s="46"/>
      <c r="G2950" s="4"/>
      <c r="H2950" s="48"/>
      <c r="J2950" s="26" t="str">
        <f t="shared" si="411"/>
        <v/>
      </c>
      <c r="N2950" t="str">
        <f t="shared" si="412"/>
        <v/>
      </c>
      <c r="Q2950" t="str">
        <f t="shared" si="413"/>
        <v/>
      </c>
      <c r="S2950" t="str">
        <f>IF(A2950=1,MAX($S$2:$S2949)+1,IF(OR($I2950&lt;&gt;"",A2950="x"),$S2949,""))</f>
        <v/>
      </c>
      <c r="T2950" t="str">
        <f>IF(D2950=1,MAX($T$2:$T2949)+1,IF(S2950=S2949,$T2949,IF(D2950="x",T2949,IF(D2949="x","",""))))</f>
        <v/>
      </c>
      <c r="U2950" t="str">
        <f>IF(B2950=1,MAX($U$2:$U2949)+1,IF(AND($T2950&lt;&gt;"",$T2950=$T2949),$U2949,IF(B2950="x",U2949,"")))</f>
        <v/>
      </c>
      <c r="V2950" t="str">
        <f>IF(C2950=1,MAX($V$2:$V2949)+1,IF(AND($T2950&lt;&gt;"",$T2950=$T2949),$U2949,IF(C2950="x",V2949,"")))</f>
        <v/>
      </c>
      <c r="X2950" cm="1">
        <f t="array" ref="X2950">IF($I2950&lt;&gt;"",$I2950,INDEX($I$1:$I2950,ROW()-COUNTIFS($T$1:$T2950,"="&amp;$T2950,$S$1:$S2950,"&lt;"&amp;$S2950)))</f>
        <v>0</v>
      </c>
      <c r="Z2950" s="6">
        <f t="shared" si="414"/>
        <v>1</v>
      </c>
      <c r="AA2950" t="e">
        <f t="shared" si="415"/>
        <v>#VALUE!</v>
      </c>
      <c r="AB2950" t="str">
        <f t="shared" si="416"/>
        <v/>
      </c>
      <c r="AC2950" t="e">
        <f t="shared" si="417"/>
        <v>#VALUE!</v>
      </c>
    </row>
    <row r="2951" spans="1:29" x14ac:dyDescent="0.2">
      <c r="A2951" t="str">
        <f t="shared" si="410"/>
        <v/>
      </c>
      <c r="E2951" s="4"/>
      <c r="F2951" s="46"/>
      <c r="G2951" s="4"/>
      <c r="H2951" s="48"/>
      <c r="J2951" s="26" t="str">
        <f t="shared" si="411"/>
        <v/>
      </c>
      <c r="N2951" t="str">
        <f t="shared" si="412"/>
        <v/>
      </c>
      <c r="Q2951" t="str">
        <f t="shared" si="413"/>
        <v/>
      </c>
      <c r="S2951" t="str">
        <f>IF(A2951=1,MAX($S$2:$S2950)+1,IF(OR($I2951&lt;&gt;"",A2951="x"),$S2950,""))</f>
        <v/>
      </c>
      <c r="T2951" t="str">
        <f>IF(D2951=1,MAX($T$2:$T2950)+1,IF(S2951=S2950,$T2950,IF(D2951="x",T2950,IF(D2950="x","",""))))</f>
        <v/>
      </c>
      <c r="U2951" t="str">
        <f>IF(B2951=1,MAX($U$2:$U2950)+1,IF(AND($T2951&lt;&gt;"",$T2951=$T2950),$U2950,IF(B2951="x",U2950,"")))</f>
        <v/>
      </c>
      <c r="V2951" t="str">
        <f>IF(C2951=1,MAX($V$2:$V2950)+1,IF(AND($T2951&lt;&gt;"",$T2951=$T2950),$U2950,IF(C2951="x",V2950,"")))</f>
        <v/>
      </c>
      <c r="X2951" cm="1">
        <f t="array" ref="X2951">IF($I2951&lt;&gt;"",$I2951,INDEX($I$1:$I2951,ROW()-COUNTIFS($T$1:$T2951,"="&amp;$T2951,$S$1:$S2951,"&lt;"&amp;$S2951)))</f>
        <v>0</v>
      </c>
      <c r="Z2951" s="6">
        <f t="shared" si="414"/>
        <v>1</v>
      </c>
      <c r="AA2951" t="e">
        <f t="shared" si="415"/>
        <v>#VALUE!</v>
      </c>
      <c r="AB2951" t="str">
        <f t="shared" si="416"/>
        <v/>
      </c>
      <c r="AC2951" t="e">
        <f t="shared" si="417"/>
        <v>#VALUE!</v>
      </c>
    </row>
    <row r="2952" spans="1:29" x14ac:dyDescent="0.2">
      <c r="A2952" t="str">
        <f t="shared" si="410"/>
        <v/>
      </c>
      <c r="E2952" s="4"/>
      <c r="F2952" s="46"/>
      <c r="G2952" s="4"/>
      <c r="H2952" s="48"/>
      <c r="J2952" s="26" t="str">
        <f t="shared" si="411"/>
        <v/>
      </c>
      <c r="N2952" t="str">
        <f t="shared" si="412"/>
        <v/>
      </c>
      <c r="Q2952" t="str">
        <f t="shared" si="413"/>
        <v/>
      </c>
      <c r="S2952" t="str">
        <f>IF(A2952=1,MAX($S$2:$S2951)+1,IF(OR($I2952&lt;&gt;"",A2952="x"),$S2951,""))</f>
        <v/>
      </c>
      <c r="T2952" t="str">
        <f>IF(D2952=1,MAX($T$2:$T2951)+1,IF(S2952=S2951,$T2951,IF(D2952="x",T2951,IF(D2951="x","",""))))</f>
        <v/>
      </c>
      <c r="U2952" t="str">
        <f>IF(B2952=1,MAX($U$2:$U2951)+1,IF(AND($T2952&lt;&gt;"",$T2952=$T2951),$U2951,IF(B2952="x",U2951,"")))</f>
        <v/>
      </c>
      <c r="V2952" t="str">
        <f>IF(C2952=1,MAX($V$2:$V2951)+1,IF(AND($T2952&lt;&gt;"",$T2952=$T2951),$U2951,IF(C2952="x",V2951,"")))</f>
        <v/>
      </c>
      <c r="X2952" cm="1">
        <f t="array" ref="X2952">IF($I2952&lt;&gt;"",$I2952,INDEX($I$1:$I2952,ROW()-COUNTIFS($T$1:$T2952,"="&amp;$T2952,$S$1:$S2952,"&lt;"&amp;$S2952)))</f>
        <v>0</v>
      </c>
      <c r="Z2952" s="6">
        <f t="shared" si="414"/>
        <v>1</v>
      </c>
      <c r="AA2952" t="e">
        <f t="shared" si="415"/>
        <v>#VALUE!</v>
      </c>
      <c r="AB2952" t="str">
        <f t="shared" si="416"/>
        <v/>
      </c>
      <c r="AC2952" t="e">
        <f t="shared" si="417"/>
        <v>#VALUE!</v>
      </c>
    </row>
    <row r="2953" spans="1:29" x14ac:dyDescent="0.2">
      <c r="A2953" t="str">
        <f t="shared" si="410"/>
        <v/>
      </c>
      <c r="E2953" s="4"/>
      <c r="F2953" s="46"/>
      <c r="G2953" s="4"/>
      <c r="H2953" s="48"/>
      <c r="J2953" s="26" t="str">
        <f t="shared" si="411"/>
        <v/>
      </c>
      <c r="N2953" t="str">
        <f t="shared" si="412"/>
        <v/>
      </c>
      <c r="Q2953" t="str">
        <f t="shared" si="413"/>
        <v/>
      </c>
      <c r="S2953" t="str">
        <f>IF(A2953=1,MAX($S$2:$S2952)+1,IF(OR($I2953&lt;&gt;"",A2953="x"),$S2952,""))</f>
        <v/>
      </c>
      <c r="T2953" t="str">
        <f>IF(D2953=1,MAX($T$2:$T2952)+1,IF(S2953=S2952,$T2952,IF(D2953="x",T2952,IF(D2952="x","",""))))</f>
        <v/>
      </c>
      <c r="U2953" t="str">
        <f>IF(B2953=1,MAX($U$2:$U2952)+1,IF(AND($T2953&lt;&gt;"",$T2953=$T2952),$U2952,IF(B2953="x",U2952,"")))</f>
        <v/>
      </c>
      <c r="V2953" t="str">
        <f>IF(C2953=1,MAX($V$2:$V2952)+1,IF(AND($T2953&lt;&gt;"",$T2953=$T2952),$U2952,IF(C2953="x",V2952,"")))</f>
        <v/>
      </c>
      <c r="X2953" cm="1">
        <f t="array" ref="X2953">IF($I2953&lt;&gt;"",$I2953,INDEX($I$1:$I2953,ROW()-COUNTIFS($T$1:$T2953,"="&amp;$T2953,$S$1:$S2953,"&lt;"&amp;$S2953)))</f>
        <v>0</v>
      </c>
      <c r="Z2953" s="6">
        <f t="shared" si="414"/>
        <v>1</v>
      </c>
      <c r="AA2953" t="e">
        <f t="shared" si="415"/>
        <v>#VALUE!</v>
      </c>
      <c r="AB2953" t="str">
        <f t="shared" si="416"/>
        <v/>
      </c>
      <c r="AC2953" t="e">
        <f t="shared" si="417"/>
        <v>#VALUE!</v>
      </c>
    </row>
    <row r="2954" spans="1:29" x14ac:dyDescent="0.2">
      <c r="A2954" t="str">
        <f t="shared" si="410"/>
        <v/>
      </c>
      <c r="E2954" s="4"/>
      <c r="F2954" s="46"/>
      <c r="G2954" s="4"/>
      <c r="H2954" s="48"/>
      <c r="J2954" s="26" t="str">
        <f t="shared" si="411"/>
        <v/>
      </c>
      <c r="N2954" t="str">
        <f t="shared" si="412"/>
        <v/>
      </c>
      <c r="Q2954" t="str">
        <f t="shared" si="413"/>
        <v/>
      </c>
      <c r="S2954" t="str">
        <f>IF(A2954=1,MAX($S$2:$S2953)+1,IF(OR($I2954&lt;&gt;"",A2954="x"),$S2953,""))</f>
        <v/>
      </c>
      <c r="T2954" t="str">
        <f>IF(D2954=1,MAX($T$2:$T2953)+1,IF(S2954=S2953,$T2953,IF(D2954="x",T2953,IF(D2953="x","",""))))</f>
        <v/>
      </c>
      <c r="U2954" t="str">
        <f>IF(B2954=1,MAX($U$2:$U2953)+1,IF(AND($T2954&lt;&gt;"",$T2954=$T2953),$U2953,IF(B2954="x",U2953,"")))</f>
        <v/>
      </c>
      <c r="V2954" t="str">
        <f>IF(C2954=1,MAX($V$2:$V2953)+1,IF(AND($T2954&lt;&gt;"",$T2954=$T2953),$U2953,IF(C2954="x",V2953,"")))</f>
        <v/>
      </c>
      <c r="X2954" cm="1">
        <f t="array" ref="X2954">IF($I2954&lt;&gt;"",$I2954,INDEX($I$1:$I2954,ROW()-COUNTIFS($T$1:$T2954,"="&amp;$T2954,$S$1:$S2954,"&lt;"&amp;$S2954)))</f>
        <v>0</v>
      </c>
      <c r="Z2954" s="6">
        <f t="shared" si="414"/>
        <v>1</v>
      </c>
      <c r="AA2954" t="e">
        <f t="shared" si="415"/>
        <v>#VALUE!</v>
      </c>
      <c r="AB2954" t="str">
        <f t="shared" si="416"/>
        <v/>
      </c>
      <c r="AC2954" t="e">
        <f t="shared" si="417"/>
        <v>#VALUE!</v>
      </c>
    </row>
    <row r="2955" spans="1:29" x14ac:dyDescent="0.2">
      <c r="A2955" t="str">
        <f t="shared" si="410"/>
        <v/>
      </c>
      <c r="E2955" s="4"/>
      <c r="F2955" s="46"/>
      <c r="G2955" s="4"/>
      <c r="H2955" s="48"/>
      <c r="J2955" s="26" t="str">
        <f t="shared" si="411"/>
        <v/>
      </c>
      <c r="N2955" t="str">
        <f t="shared" si="412"/>
        <v/>
      </c>
      <c r="Q2955" t="str">
        <f t="shared" si="413"/>
        <v/>
      </c>
      <c r="S2955" t="str">
        <f>IF(A2955=1,MAX($S$2:$S2954)+1,IF(OR($I2955&lt;&gt;"",A2955="x"),$S2954,""))</f>
        <v/>
      </c>
      <c r="T2955" t="str">
        <f>IF(D2955=1,MAX($T$2:$T2954)+1,IF(S2955=S2954,$T2954,IF(D2955="x",T2954,IF(D2954="x","",""))))</f>
        <v/>
      </c>
      <c r="U2955" t="str">
        <f>IF(B2955=1,MAX($U$2:$U2954)+1,IF(AND($T2955&lt;&gt;"",$T2955=$T2954),$U2954,IF(B2955="x",U2954,"")))</f>
        <v/>
      </c>
      <c r="V2955" t="str">
        <f>IF(C2955=1,MAX($V$2:$V2954)+1,IF(AND($T2955&lt;&gt;"",$T2955=$T2954),$U2954,IF(C2955="x",V2954,"")))</f>
        <v/>
      </c>
      <c r="X2955" cm="1">
        <f t="array" ref="X2955">IF($I2955&lt;&gt;"",$I2955,INDEX($I$1:$I2955,ROW()-COUNTIFS($T$1:$T2955,"="&amp;$T2955,$S$1:$S2955,"&lt;"&amp;$S2955)))</f>
        <v>0</v>
      </c>
      <c r="Z2955" s="6">
        <f t="shared" si="414"/>
        <v>1</v>
      </c>
      <c r="AA2955" t="e">
        <f t="shared" si="415"/>
        <v>#VALUE!</v>
      </c>
      <c r="AB2955" t="str">
        <f t="shared" si="416"/>
        <v/>
      </c>
      <c r="AC2955" t="e">
        <f t="shared" si="417"/>
        <v>#VALUE!</v>
      </c>
    </row>
    <row r="2956" spans="1:29" x14ac:dyDescent="0.2">
      <c r="A2956" t="str">
        <f t="shared" si="410"/>
        <v/>
      </c>
      <c r="E2956" s="4"/>
      <c r="F2956" s="46"/>
      <c r="G2956" s="4"/>
      <c r="H2956" s="48"/>
      <c r="J2956" s="26" t="str">
        <f t="shared" si="411"/>
        <v/>
      </c>
      <c r="N2956" t="str">
        <f t="shared" si="412"/>
        <v/>
      </c>
      <c r="Q2956" t="str">
        <f t="shared" si="413"/>
        <v/>
      </c>
      <c r="S2956" t="str">
        <f>IF(A2956=1,MAX($S$2:$S2955)+1,IF(OR($I2956&lt;&gt;"",A2956="x"),$S2955,""))</f>
        <v/>
      </c>
      <c r="T2956" t="str">
        <f>IF(D2956=1,MAX($T$2:$T2955)+1,IF(S2956=S2955,$T2955,IF(D2956="x",T2955,IF(D2955="x","",""))))</f>
        <v/>
      </c>
      <c r="U2956" t="str">
        <f>IF(B2956=1,MAX($U$2:$U2955)+1,IF(AND($T2956&lt;&gt;"",$T2956=$T2955),$U2955,IF(B2956="x",U2955,"")))</f>
        <v/>
      </c>
      <c r="V2956" t="str">
        <f>IF(C2956=1,MAX($V$2:$V2955)+1,IF(AND($T2956&lt;&gt;"",$T2956=$T2955),$U2955,IF(C2956="x",V2955,"")))</f>
        <v/>
      </c>
      <c r="X2956" cm="1">
        <f t="array" ref="X2956">IF($I2956&lt;&gt;"",$I2956,INDEX($I$1:$I2956,ROW()-COUNTIFS($T$1:$T2956,"="&amp;$T2956,$S$1:$S2956,"&lt;"&amp;$S2956)))</f>
        <v>0</v>
      </c>
      <c r="Z2956" s="6">
        <f t="shared" si="414"/>
        <v>1</v>
      </c>
      <c r="AA2956" t="e">
        <f t="shared" si="415"/>
        <v>#VALUE!</v>
      </c>
      <c r="AB2956" t="str">
        <f t="shared" si="416"/>
        <v/>
      </c>
      <c r="AC2956" t="e">
        <f t="shared" si="417"/>
        <v>#VALUE!</v>
      </c>
    </row>
    <row r="2957" spans="1:29" x14ac:dyDescent="0.2">
      <c r="A2957" t="str">
        <f t="shared" si="410"/>
        <v/>
      </c>
      <c r="E2957" s="4"/>
      <c r="F2957" s="46"/>
      <c r="G2957" s="4"/>
      <c r="H2957" s="48"/>
      <c r="J2957" s="26" t="str">
        <f t="shared" si="411"/>
        <v/>
      </c>
      <c r="N2957" t="str">
        <f t="shared" si="412"/>
        <v/>
      </c>
      <c r="Q2957" t="str">
        <f t="shared" si="413"/>
        <v/>
      </c>
      <c r="S2957" t="str">
        <f>IF(A2957=1,MAX($S$2:$S2956)+1,IF(OR($I2957&lt;&gt;"",A2957="x"),$S2956,""))</f>
        <v/>
      </c>
      <c r="T2957" t="str">
        <f>IF(D2957=1,MAX($T$2:$T2956)+1,IF(S2957=S2956,$T2956,IF(D2957="x",T2956,IF(D2956="x","",""))))</f>
        <v/>
      </c>
      <c r="U2957" t="str">
        <f>IF(B2957=1,MAX($U$2:$U2956)+1,IF(AND($T2957&lt;&gt;"",$T2957=$T2956),$U2956,IF(B2957="x",U2956,"")))</f>
        <v/>
      </c>
      <c r="V2957" t="str">
        <f>IF(C2957=1,MAX($V$2:$V2956)+1,IF(AND($T2957&lt;&gt;"",$T2957=$T2956),$U2956,IF(C2957="x",V2956,"")))</f>
        <v/>
      </c>
      <c r="X2957" cm="1">
        <f t="array" ref="X2957">IF($I2957&lt;&gt;"",$I2957,INDEX($I$1:$I2957,ROW()-COUNTIFS($T$1:$T2957,"="&amp;$T2957,$S$1:$S2957,"&lt;"&amp;$S2957)))</f>
        <v>0</v>
      </c>
      <c r="Z2957" s="6">
        <f t="shared" si="414"/>
        <v>1</v>
      </c>
      <c r="AA2957" t="e">
        <f t="shared" si="415"/>
        <v>#VALUE!</v>
      </c>
      <c r="AB2957" t="str">
        <f t="shared" si="416"/>
        <v/>
      </c>
      <c r="AC2957" t="e">
        <f t="shared" si="417"/>
        <v>#VALUE!</v>
      </c>
    </row>
    <row r="2958" spans="1:29" x14ac:dyDescent="0.2">
      <c r="A2958" t="str">
        <f t="shared" si="410"/>
        <v/>
      </c>
      <c r="E2958" s="4"/>
      <c r="F2958" s="46"/>
      <c r="G2958" s="4"/>
      <c r="H2958" s="48"/>
      <c r="J2958" s="26" t="str">
        <f t="shared" si="411"/>
        <v/>
      </c>
      <c r="N2958" t="str">
        <f t="shared" si="412"/>
        <v/>
      </c>
      <c r="Q2958" t="str">
        <f t="shared" si="413"/>
        <v/>
      </c>
      <c r="S2958" t="str">
        <f>IF(A2958=1,MAX($S$2:$S2957)+1,IF(OR($I2958&lt;&gt;"",A2958="x"),$S2957,""))</f>
        <v/>
      </c>
      <c r="T2958" t="str">
        <f>IF(D2958=1,MAX($T$2:$T2957)+1,IF(S2958=S2957,$T2957,IF(D2958="x",T2957,IF(D2957="x","",""))))</f>
        <v/>
      </c>
      <c r="U2958" t="str">
        <f>IF(B2958=1,MAX($U$2:$U2957)+1,IF(AND($T2958&lt;&gt;"",$T2958=$T2957),$U2957,IF(B2958="x",U2957,"")))</f>
        <v/>
      </c>
      <c r="V2958" t="str">
        <f>IF(C2958=1,MAX($V$2:$V2957)+1,IF(AND($T2958&lt;&gt;"",$T2958=$T2957),$U2957,IF(C2958="x",V2957,"")))</f>
        <v/>
      </c>
      <c r="X2958" cm="1">
        <f t="array" ref="X2958">IF($I2958&lt;&gt;"",$I2958,INDEX($I$1:$I2958,ROW()-COUNTIFS($T$1:$T2958,"="&amp;$T2958,$S$1:$S2958,"&lt;"&amp;$S2958)))</f>
        <v>0</v>
      </c>
      <c r="Z2958" s="6">
        <f t="shared" si="414"/>
        <v>1</v>
      </c>
      <c r="AA2958" t="e">
        <f t="shared" si="415"/>
        <v>#VALUE!</v>
      </c>
      <c r="AB2958" t="str">
        <f t="shared" si="416"/>
        <v/>
      </c>
      <c r="AC2958" t="e">
        <f t="shared" si="417"/>
        <v>#VALUE!</v>
      </c>
    </row>
    <row r="2959" spans="1:29" x14ac:dyDescent="0.2">
      <c r="A2959" t="str">
        <f t="shared" si="410"/>
        <v/>
      </c>
      <c r="E2959" s="4"/>
      <c r="F2959" s="46"/>
      <c r="G2959" s="4"/>
      <c r="H2959" s="48"/>
      <c r="J2959" s="26" t="str">
        <f t="shared" si="411"/>
        <v/>
      </c>
      <c r="N2959" t="str">
        <f t="shared" si="412"/>
        <v/>
      </c>
      <c r="Q2959" t="str">
        <f t="shared" si="413"/>
        <v/>
      </c>
      <c r="S2959" t="str">
        <f>IF(A2959=1,MAX($S$2:$S2958)+1,IF(OR($I2959&lt;&gt;"",A2959="x"),$S2958,""))</f>
        <v/>
      </c>
      <c r="T2959" t="str">
        <f>IF(D2959=1,MAX($T$2:$T2958)+1,IF(S2959=S2958,$T2958,IF(D2959="x",T2958,IF(D2958="x","",""))))</f>
        <v/>
      </c>
      <c r="U2959" t="str">
        <f>IF(B2959=1,MAX($U$2:$U2958)+1,IF(AND($T2959&lt;&gt;"",$T2959=$T2958),$U2958,IF(B2959="x",U2958,"")))</f>
        <v/>
      </c>
      <c r="V2959" t="str">
        <f>IF(C2959=1,MAX($V$2:$V2958)+1,IF(AND($T2959&lt;&gt;"",$T2959=$T2958),$U2958,IF(C2959="x",V2958,"")))</f>
        <v/>
      </c>
      <c r="X2959" cm="1">
        <f t="array" ref="X2959">IF($I2959&lt;&gt;"",$I2959,INDEX($I$1:$I2959,ROW()-COUNTIFS($T$1:$T2959,"="&amp;$T2959,$S$1:$S2959,"&lt;"&amp;$S2959)))</f>
        <v>0</v>
      </c>
      <c r="Z2959" s="6">
        <f t="shared" si="414"/>
        <v>1</v>
      </c>
      <c r="AA2959" t="e">
        <f t="shared" si="415"/>
        <v>#VALUE!</v>
      </c>
      <c r="AB2959" t="str">
        <f t="shared" si="416"/>
        <v/>
      </c>
      <c r="AC2959" t="e">
        <f t="shared" si="417"/>
        <v>#VALUE!</v>
      </c>
    </row>
    <row r="2960" spans="1:29" x14ac:dyDescent="0.2">
      <c r="A2960" t="str">
        <f t="shared" si="410"/>
        <v/>
      </c>
      <c r="E2960" s="4"/>
      <c r="F2960" s="46"/>
      <c r="G2960" s="4"/>
      <c r="H2960" s="48"/>
      <c r="J2960" s="26" t="str">
        <f t="shared" si="411"/>
        <v/>
      </c>
      <c r="N2960" t="str">
        <f t="shared" si="412"/>
        <v/>
      </c>
      <c r="Q2960" t="str">
        <f t="shared" si="413"/>
        <v/>
      </c>
      <c r="S2960" t="str">
        <f>IF(A2960=1,MAX($S$2:$S2959)+1,IF(OR($I2960&lt;&gt;"",A2960="x"),$S2959,""))</f>
        <v/>
      </c>
      <c r="T2960" t="str">
        <f>IF(D2960=1,MAX($T$2:$T2959)+1,IF(S2960=S2959,$T2959,IF(D2960="x",T2959,IF(D2959="x","",""))))</f>
        <v/>
      </c>
      <c r="U2960" t="str">
        <f>IF(B2960=1,MAX($U$2:$U2959)+1,IF(AND($T2960&lt;&gt;"",$T2960=$T2959),$U2959,IF(B2960="x",U2959,"")))</f>
        <v/>
      </c>
      <c r="V2960" t="str">
        <f>IF(C2960=1,MAX($V$2:$V2959)+1,IF(AND($T2960&lt;&gt;"",$T2960=$T2959),$U2959,IF(C2960="x",V2959,"")))</f>
        <v/>
      </c>
      <c r="X2960" cm="1">
        <f t="array" ref="X2960">IF($I2960&lt;&gt;"",$I2960,INDEX($I$1:$I2960,ROW()-COUNTIFS($T$1:$T2960,"="&amp;$T2960,$S$1:$S2960,"&lt;"&amp;$S2960)))</f>
        <v>0</v>
      </c>
      <c r="Z2960" s="6">
        <f t="shared" si="414"/>
        <v>1</v>
      </c>
      <c r="AA2960" t="e">
        <f t="shared" si="415"/>
        <v>#VALUE!</v>
      </c>
      <c r="AB2960" t="str">
        <f t="shared" si="416"/>
        <v/>
      </c>
      <c r="AC2960" t="e">
        <f t="shared" si="417"/>
        <v>#VALUE!</v>
      </c>
    </row>
    <row r="2961" spans="1:29" x14ac:dyDescent="0.2">
      <c r="A2961" t="str">
        <f t="shared" si="410"/>
        <v/>
      </c>
      <c r="E2961" s="4"/>
      <c r="F2961" s="46"/>
      <c r="G2961" s="4"/>
      <c r="H2961" s="48"/>
      <c r="J2961" s="26" t="str">
        <f t="shared" si="411"/>
        <v/>
      </c>
      <c r="N2961" t="str">
        <f t="shared" si="412"/>
        <v/>
      </c>
      <c r="Q2961" t="str">
        <f t="shared" si="413"/>
        <v/>
      </c>
      <c r="S2961" t="str">
        <f>IF(A2961=1,MAX($S$2:$S2960)+1,IF(OR($I2961&lt;&gt;"",A2961="x"),$S2960,""))</f>
        <v/>
      </c>
      <c r="T2961" t="str">
        <f>IF(D2961=1,MAX($T$2:$T2960)+1,IF(S2961=S2960,$T2960,IF(D2961="x",T2960,IF(D2960="x","",""))))</f>
        <v/>
      </c>
      <c r="U2961" t="str">
        <f>IF(B2961=1,MAX($U$2:$U2960)+1,IF(AND($T2961&lt;&gt;"",$T2961=$T2960),$U2960,IF(B2961="x",U2960,"")))</f>
        <v/>
      </c>
      <c r="V2961" t="str">
        <f>IF(C2961=1,MAX($V$2:$V2960)+1,IF(AND($T2961&lt;&gt;"",$T2961=$T2960),$U2960,IF(C2961="x",V2960,"")))</f>
        <v/>
      </c>
      <c r="X2961" cm="1">
        <f t="array" ref="X2961">IF($I2961&lt;&gt;"",$I2961,INDEX($I$1:$I2961,ROW()-COUNTIFS($T$1:$T2961,"="&amp;$T2961,$S$1:$S2961,"&lt;"&amp;$S2961)))</f>
        <v>0</v>
      </c>
      <c r="Z2961" s="6">
        <f t="shared" si="414"/>
        <v>1</v>
      </c>
      <c r="AA2961" t="e">
        <f t="shared" si="415"/>
        <v>#VALUE!</v>
      </c>
      <c r="AB2961" t="str">
        <f t="shared" si="416"/>
        <v/>
      </c>
      <c r="AC2961" t="e">
        <f t="shared" si="417"/>
        <v>#VALUE!</v>
      </c>
    </row>
    <row r="2962" spans="1:29" x14ac:dyDescent="0.2">
      <c r="A2962" t="str">
        <f t="shared" si="410"/>
        <v/>
      </c>
      <c r="E2962" s="4"/>
      <c r="F2962" s="46"/>
      <c r="G2962" s="4"/>
      <c r="H2962" s="48"/>
      <c r="J2962" s="26" t="str">
        <f t="shared" si="411"/>
        <v/>
      </c>
      <c r="N2962" t="str">
        <f t="shared" si="412"/>
        <v/>
      </c>
      <c r="Q2962" t="str">
        <f t="shared" si="413"/>
        <v/>
      </c>
      <c r="S2962" t="str">
        <f>IF(A2962=1,MAX($S$2:$S2961)+1,IF(OR($I2962&lt;&gt;"",A2962="x"),$S2961,""))</f>
        <v/>
      </c>
      <c r="T2962" t="str">
        <f>IF(D2962=1,MAX($T$2:$T2961)+1,IF(S2962=S2961,$T2961,IF(D2962="x",T2961,IF(D2961="x","",""))))</f>
        <v/>
      </c>
      <c r="U2962" t="str">
        <f>IF(B2962=1,MAX($U$2:$U2961)+1,IF(AND($T2962&lt;&gt;"",$T2962=$T2961),$U2961,IF(B2962="x",U2961,"")))</f>
        <v/>
      </c>
      <c r="V2962" t="str">
        <f>IF(C2962=1,MAX($V$2:$V2961)+1,IF(AND($T2962&lt;&gt;"",$T2962=$T2961),$U2961,IF(C2962="x",V2961,"")))</f>
        <v/>
      </c>
      <c r="X2962" cm="1">
        <f t="array" ref="X2962">IF($I2962&lt;&gt;"",$I2962,INDEX($I$1:$I2962,ROW()-COUNTIFS($T$1:$T2962,"="&amp;$T2962,$S$1:$S2962,"&lt;"&amp;$S2962)))</f>
        <v>0</v>
      </c>
      <c r="Z2962" s="6">
        <f t="shared" si="414"/>
        <v>1</v>
      </c>
      <c r="AA2962" t="e">
        <f t="shared" si="415"/>
        <v>#VALUE!</v>
      </c>
      <c r="AB2962" t="str">
        <f t="shared" si="416"/>
        <v/>
      </c>
      <c r="AC2962" t="e">
        <f t="shared" si="417"/>
        <v>#VALUE!</v>
      </c>
    </row>
    <row r="2963" spans="1:29" x14ac:dyDescent="0.2">
      <c r="A2963" t="str">
        <f t="shared" ref="A2963:A3026" si="418">IF(K2963&lt;&gt;"",1,IF(D2963="x","x",""))</f>
        <v/>
      </c>
      <c r="E2963" s="4"/>
      <c r="F2963" s="46"/>
      <c r="G2963" s="4"/>
      <c r="H2963" s="48"/>
      <c r="J2963" s="26" t="str">
        <f t="shared" ref="J2963:J3026" si="419">IF(OR(K2963="Goal",K2963="Shot",L2963="Zone_Entry",M2963="Stoppage-Goal",M2962="Stoppage-Goal"),"o",IF(OR(K2963="Save",K2963="Rebound",L2963="Zone_Exit",M2963="Stoppage-GoalieStoppage",M2962="Stoppage-GoalieStoppage"),"d",IF(OR(L2963="Faceoff_AfterGoal",L2963="Faceoff_PeriodStart",698="Faceoff_GameStart",M2962="Stoppage-Goal"),"n","")))</f>
        <v/>
      </c>
      <c r="N2963" t="str">
        <f t="shared" ref="N2963:N3026" si="420">IF(K2963="","",IF(K2963="Goal","s",IF(AND(K2963="Zone_Entry_Exit",OR(ISNUMBER(SEARCH("fail",L2963)),ISNUMBER(SEARCH("FromExitClear",M2963)),ISNUMBER(SEARCH("miss",M2963)))),"u",IF(AND(K2963="Zone_Entry_Exit",OR(NOT(ISNUMBER(SEARCH("fail",L2963))),NOT(ISNUMBER(SEARCH("FromExitClear",M2963))),NOT(ISNUMBER(SEARCH("miss",M2963))))),"s",IF(AND(OR(K2963="Shot",K2963="Pass"),OR(ISNUMBER(SEARCH("complete",L2963)),ISNUMBER(SEARCH("goal",L2963)),ISNUMBER(SEARCH("OnNet",L2963)))),"s",IF(L2963="Turnover_Giveaway","u",IF(AND(OR(K2963="Shot",K2963="Pass"),OR(ISNUMBER(SEARCH("fail",L2963)),NOT(ISNUMBER(SEARCH("complete",L2963))),NOT(ISNUMBER(SEARCH("OnNet",L2963))))),"u","")))))))</f>
        <v/>
      </c>
      <c r="Q2963" t="str">
        <f t="shared" ref="Q2963:Q3026" si="421">IF(O2963="","",IF(AND(N2963&lt;&gt;"",OR(O2963&lt;&gt;"",P2963&lt;&gt;"")),N2963,IF(OR(ISNUMBER(SEARCH("attemp",O2963)),ISNUMBER(SEARCH("beat",O2963)),ISNUMBER(SEARCH("mis",O2963)),ISNUMBER(SEARCH("fail",O2963)),ISNUMBER(SEARCH("loss",O2963)),ISNUMBER(SEARCH("lost",O2963)),ISNUMBER(SEARCH("attemp",P2963)),ISNUMBER(SEARCH("mis",P2963)),ISNUMBER(SEARCH("fail",P2963)),ISNUMBER(SEARCH("loss",P2963)),ISNUMBER(SEARCH("beat",P2963)),ISNUMBER(SEARCH("lost",P2963))),"u","")))</f>
        <v/>
      </c>
      <c r="S2963" t="str">
        <f>IF(A2963=1,MAX($S$2:$S2962)+1,IF(OR($I2963&lt;&gt;"",A2963="x"),$S2962,""))</f>
        <v/>
      </c>
      <c r="T2963" t="str">
        <f>IF(D2963=1,MAX($T$2:$T2962)+1,IF(S2963=S2962,$T2962,IF(D2963="x",T2962,IF(D2962="x","",""))))</f>
        <v/>
      </c>
      <c r="U2963" t="str">
        <f>IF(B2963=1,MAX($U$2:$U2962)+1,IF(AND($T2963&lt;&gt;"",$T2963=$T2962),$U2962,IF(B2963="x",U2962,"")))</f>
        <v/>
      </c>
      <c r="V2963" t="str">
        <f>IF(C2963=1,MAX($V$2:$V2962)+1,IF(AND($T2963&lt;&gt;"",$T2963=$T2962),$U2962,IF(C2963="x",V2962,"")))</f>
        <v/>
      </c>
      <c r="X2963" cm="1">
        <f t="array" ref="X2963">IF($I2963&lt;&gt;"",$I2963,INDEX($I$1:$I2963,ROW()-COUNTIFS($T$1:$T2963,"="&amp;$T2963,$S$1:$S2963,"&lt;"&amp;$S2963)))</f>
        <v>0</v>
      </c>
      <c r="Z2963" s="6">
        <f t="shared" si="414"/>
        <v>1</v>
      </c>
      <c r="AA2963" t="e">
        <f t="shared" si="415"/>
        <v>#VALUE!</v>
      </c>
      <c r="AB2963" t="str">
        <f t="shared" si="416"/>
        <v/>
      </c>
      <c r="AC2963" t="e">
        <f t="shared" si="417"/>
        <v>#VALUE!</v>
      </c>
    </row>
    <row r="2964" spans="1:29" x14ac:dyDescent="0.2">
      <c r="A2964" t="str">
        <f t="shared" si="418"/>
        <v/>
      </c>
      <c r="E2964" s="4"/>
      <c r="F2964" s="46"/>
      <c r="G2964" s="4"/>
      <c r="H2964" s="48"/>
      <c r="J2964" s="26" t="str">
        <f t="shared" si="419"/>
        <v/>
      </c>
      <c r="N2964" t="str">
        <f t="shared" si="420"/>
        <v/>
      </c>
      <c r="Q2964" t="str">
        <f t="shared" si="421"/>
        <v/>
      </c>
      <c r="S2964" t="str">
        <f>IF(A2964=1,MAX($S$2:$S2963)+1,IF(OR($I2964&lt;&gt;"",A2964="x"),$S2963,""))</f>
        <v/>
      </c>
      <c r="T2964" t="str">
        <f>IF(D2964=1,MAX($T$2:$T2963)+1,IF(S2964=S2963,$T2963,IF(D2964="x",T2963,IF(D2963="x","",""))))</f>
        <v/>
      </c>
      <c r="U2964" t="str">
        <f>IF(B2964=1,MAX($U$2:$U2963)+1,IF(AND($T2964&lt;&gt;"",$T2964=$T2963),$U2963,IF(B2964="x",U2963,"")))</f>
        <v/>
      </c>
      <c r="V2964" t="str">
        <f>IF(C2964=1,MAX($V$2:$V2963)+1,IF(AND($T2964&lt;&gt;"",$T2964=$T2963),$U2963,IF(C2964="x",V2963,"")))</f>
        <v/>
      </c>
      <c r="X2964" cm="1">
        <f t="array" ref="X2964">IF($I2964&lt;&gt;"",$I2964,INDEX($I$1:$I2964,ROW()-COUNTIFS($T$1:$T2964,"="&amp;$T2964,$S$1:$S2964,"&lt;"&amp;$S2964)))</f>
        <v>0</v>
      </c>
      <c r="Z2964" s="6">
        <f t="shared" si="414"/>
        <v>1</v>
      </c>
      <c r="AA2964" t="e">
        <f t="shared" si="415"/>
        <v>#VALUE!</v>
      </c>
      <c r="AB2964" t="str">
        <f t="shared" si="416"/>
        <v/>
      </c>
      <c r="AC2964" t="e">
        <f t="shared" si="417"/>
        <v>#VALUE!</v>
      </c>
    </row>
    <row r="2965" spans="1:29" x14ac:dyDescent="0.2">
      <c r="A2965" t="str">
        <f t="shared" si="418"/>
        <v/>
      </c>
      <c r="E2965" s="4"/>
      <c r="F2965" s="46"/>
      <c r="G2965" s="4"/>
      <c r="H2965" s="48"/>
      <c r="J2965" s="26" t="str">
        <f t="shared" si="419"/>
        <v/>
      </c>
      <c r="N2965" t="str">
        <f t="shared" si="420"/>
        <v/>
      </c>
      <c r="Q2965" t="str">
        <f t="shared" si="421"/>
        <v/>
      </c>
      <c r="S2965" t="str">
        <f>IF(A2965=1,MAX($S$2:$S2964)+1,IF(OR($I2965&lt;&gt;"",A2965="x"),$S2964,""))</f>
        <v/>
      </c>
      <c r="T2965" t="str">
        <f>IF(D2965=1,MAX($T$2:$T2964)+1,IF(S2965=S2964,$T2964,IF(D2965="x",T2964,IF(D2964="x","",""))))</f>
        <v/>
      </c>
      <c r="U2965" t="str">
        <f>IF(B2965=1,MAX($U$2:$U2964)+1,IF(AND($T2965&lt;&gt;"",$T2965=$T2964),$U2964,IF(B2965="x",U2964,"")))</f>
        <v/>
      </c>
      <c r="V2965" t="str">
        <f>IF(C2965=1,MAX($V$2:$V2964)+1,IF(AND($T2965&lt;&gt;"",$T2965=$T2964),$U2964,IF(C2965="x",V2964,"")))</f>
        <v/>
      </c>
      <c r="X2965" cm="1">
        <f t="array" ref="X2965">IF($I2965&lt;&gt;"",$I2965,INDEX($I$1:$I2965,ROW()-COUNTIFS($T$1:$T2965,"="&amp;$T2965,$S$1:$S2965,"&lt;"&amp;$S2965)))</f>
        <v>0</v>
      </c>
      <c r="Z2965" s="6">
        <f t="shared" si="414"/>
        <v>1</v>
      </c>
      <c r="AA2965" t="e">
        <f t="shared" si="415"/>
        <v>#VALUE!</v>
      </c>
      <c r="AB2965" t="str">
        <f t="shared" si="416"/>
        <v/>
      </c>
      <c r="AC2965" t="e">
        <f t="shared" si="417"/>
        <v>#VALUE!</v>
      </c>
    </row>
    <row r="2966" spans="1:29" x14ac:dyDescent="0.2">
      <c r="A2966" t="str">
        <f t="shared" si="418"/>
        <v/>
      </c>
      <c r="E2966" s="4"/>
      <c r="F2966" s="46"/>
      <c r="G2966" s="4"/>
      <c r="H2966" s="48"/>
      <c r="J2966" s="26" t="str">
        <f t="shared" si="419"/>
        <v/>
      </c>
      <c r="N2966" t="str">
        <f t="shared" si="420"/>
        <v/>
      </c>
      <c r="Q2966" t="str">
        <f t="shared" si="421"/>
        <v/>
      </c>
      <c r="S2966" t="str">
        <f>IF(A2966=1,MAX($S$2:$S2965)+1,IF(OR($I2966&lt;&gt;"",A2966="x"),$S2965,""))</f>
        <v/>
      </c>
      <c r="T2966" t="str">
        <f>IF(D2966=1,MAX($T$2:$T2965)+1,IF(S2966=S2965,$T2965,IF(D2966="x",T2965,IF(D2965="x","",""))))</f>
        <v/>
      </c>
      <c r="U2966" t="str">
        <f>IF(B2966=1,MAX($U$2:$U2965)+1,IF(AND($T2966&lt;&gt;"",$T2966=$T2965),$U2965,IF(B2966="x",U2965,"")))</f>
        <v/>
      </c>
      <c r="V2966" t="str">
        <f>IF(C2966=1,MAX($V$2:$V2965)+1,IF(AND($T2966&lt;&gt;"",$T2966=$T2965),$U2965,IF(C2966="x",V2965,"")))</f>
        <v/>
      </c>
      <c r="X2966" cm="1">
        <f t="array" ref="X2966">IF($I2966&lt;&gt;"",$I2966,INDEX($I$1:$I2966,ROW()-COUNTIFS($T$1:$T2966,"="&amp;$T2966,$S$1:$S2966,"&lt;"&amp;$S2966)))</f>
        <v>0</v>
      </c>
      <c r="Z2966" s="6">
        <f t="shared" si="414"/>
        <v>1</v>
      </c>
      <c r="AA2966" t="e">
        <f t="shared" si="415"/>
        <v>#VALUE!</v>
      </c>
      <c r="AB2966" t="str">
        <f t="shared" si="416"/>
        <v/>
      </c>
      <c r="AC2966" t="e">
        <f t="shared" si="417"/>
        <v>#VALUE!</v>
      </c>
    </row>
    <row r="2967" spans="1:29" x14ac:dyDescent="0.2">
      <c r="A2967" t="str">
        <f t="shared" si="418"/>
        <v/>
      </c>
      <c r="E2967" s="4"/>
      <c r="F2967" s="46"/>
      <c r="G2967" s="4"/>
      <c r="H2967" s="48"/>
      <c r="J2967" s="26" t="str">
        <f t="shared" si="419"/>
        <v/>
      </c>
      <c r="N2967" t="str">
        <f t="shared" si="420"/>
        <v/>
      </c>
      <c r="Q2967" t="str">
        <f t="shared" si="421"/>
        <v/>
      </c>
      <c r="S2967" t="str">
        <f>IF(A2967=1,MAX($S$2:$S2966)+1,IF(OR($I2967&lt;&gt;"",A2967="x"),$S2966,""))</f>
        <v/>
      </c>
      <c r="T2967" t="str">
        <f>IF(D2967=1,MAX($T$2:$T2966)+1,IF(S2967=S2966,$T2966,IF(D2967="x",T2966,IF(D2966="x","",""))))</f>
        <v/>
      </c>
      <c r="U2967" t="str">
        <f>IF(B2967=1,MAX($U$2:$U2966)+1,IF(AND($T2967&lt;&gt;"",$T2967=$T2966),$U2966,IF(B2967="x",U2966,"")))</f>
        <v/>
      </c>
      <c r="V2967" t="str">
        <f>IF(C2967=1,MAX($V$2:$V2966)+1,IF(AND($T2967&lt;&gt;"",$T2967=$T2966),$U2966,IF(C2967="x",V2966,"")))</f>
        <v/>
      </c>
      <c r="X2967" cm="1">
        <f t="array" ref="X2967">IF($I2967&lt;&gt;"",$I2967,INDEX($I$1:$I2967,ROW()-COUNTIFS($T$1:$T2967,"="&amp;$T2967,$S$1:$S2967,"&lt;"&amp;$S2967)))</f>
        <v>0</v>
      </c>
      <c r="Z2967" s="6">
        <f t="shared" si="414"/>
        <v>1</v>
      </c>
      <c r="AA2967" t="e">
        <f t="shared" si="415"/>
        <v>#VALUE!</v>
      </c>
      <c r="AB2967" t="str">
        <f t="shared" si="416"/>
        <v/>
      </c>
      <c r="AC2967" t="e">
        <f t="shared" si="417"/>
        <v>#VALUE!</v>
      </c>
    </row>
    <row r="2968" spans="1:29" x14ac:dyDescent="0.2">
      <c r="A2968" t="str">
        <f t="shared" si="418"/>
        <v/>
      </c>
      <c r="E2968" s="4"/>
      <c r="F2968" s="46"/>
      <c r="G2968" s="4"/>
      <c r="H2968" s="48"/>
      <c r="J2968" s="26" t="str">
        <f t="shared" si="419"/>
        <v/>
      </c>
      <c r="N2968" t="str">
        <f t="shared" si="420"/>
        <v/>
      </c>
      <c r="Q2968" t="str">
        <f t="shared" si="421"/>
        <v/>
      </c>
      <c r="S2968" t="str">
        <f>IF(A2968=1,MAX($S$2:$S2967)+1,IF(OR($I2968&lt;&gt;"",A2968="x"),$S2967,""))</f>
        <v/>
      </c>
      <c r="T2968" t="str">
        <f>IF(D2968=1,MAX($T$2:$T2967)+1,IF(S2968=S2967,$T2967,IF(D2968="x",T2967,IF(D2967="x","",""))))</f>
        <v/>
      </c>
      <c r="U2968" t="str">
        <f>IF(B2968=1,MAX($U$2:$U2967)+1,IF(AND($T2968&lt;&gt;"",$T2968=$T2967),$U2967,IF(B2968="x",U2967,"")))</f>
        <v/>
      </c>
      <c r="V2968" t="str">
        <f>IF(C2968=1,MAX($V$2:$V2967)+1,IF(AND($T2968&lt;&gt;"",$T2968=$T2967),$U2967,IF(C2968="x",V2967,"")))</f>
        <v/>
      </c>
      <c r="X2968" cm="1">
        <f t="array" ref="X2968">IF($I2968&lt;&gt;"",$I2968,INDEX($I$1:$I2968,ROW()-COUNTIFS($T$1:$T2968,"="&amp;$T2968,$S$1:$S2968,"&lt;"&amp;$S2968)))</f>
        <v>0</v>
      </c>
      <c r="Z2968" s="6">
        <f t="shared" si="414"/>
        <v>1</v>
      </c>
      <c r="AA2968" t="e">
        <f t="shared" si="415"/>
        <v>#VALUE!</v>
      </c>
      <c r="AB2968" t="str">
        <f t="shared" si="416"/>
        <v/>
      </c>
      <c r="AC2968" t="e">
        <f t="shared" si="417"/>
        <v>#VALUE!</v>
      </c>
    </row>
    <row r="2969" spans="1:29" x14ac:dyDescent="0.2">
      <c r="A2969" t="str">
        <f t="shared" si="418"/>
        <v/>
      </c>
      <c r="E2969" s="4"/>
      <c r="F2969" s="46"/>
      <c r="G2969" s="4"/>
      <c r="H2969" s="48"/>
      <c r="J2969" s="26" t="str">
        <f t="shared" si="419"/>
        <v/>
      </c>
      <c r="N2969" t="str">
        <f t="shared" si="420"/>
        <v/>
      </c>
      <c r="Q2969" t="str">
        <f t="shared" si="421"/>
        <v/>
      </c>
      <c r="S2969" t="str">
        <f>IF(A2969=1,MAX($S$2:$S2968)+1,IF(OR($I2969&lt;&gt;"",A2969="x"),$S2968,""))</f>
        <v/>
      </c>
      <c r="T2969" t="str">
        <f>IF(D2969=1,MAX($T$2:$T2968)+1,IF(S2969=S2968,$T2968,IF(D2969="x",T2968,IF(D2968="x","",""))))</f>
        <v/>
      </c>
      <c r="U2969" t="str">
        <f>IF(B2969=1,MAX($U$2:$U2968)+1,IF(AND($T2969&lt;&gt;"",$T2969=$T2968),$U2968,IF(B2969="x",U2968,"")))</f>
        <v/>
      </c>
      <c r="V2969" t="str">
        <f>IF(C2969=1,MAX($V$2:$V2968)+1,IF(AND($T2969&lt;&gt;"",$T2969=$T2968),$U2968,IF(C2969="x",V2968,"")))</f>
        <v/>
      </c>
      <c r="X2969" cm="1">
        <f t="array" ref="X2969">IF($I2969&lt;&gt;"",$I2969,INDEX($I$1:$I2969,ROW()-COUNTIFS($T$1:$T2969,"="&amp;$T2969,$S$1:$S2969,"&lt;"&amp;$S2969)))</f>
        <v>0</v>
      </c>
      <c r="Z2969" s="6">
        <f t="shared" si="414"/>
        <v>1</v>
      </c>
      <c r="AA2969" t="e">
        <f t="shared" si="415"/>
        <v>#VALUE!</v>
      </c>
      <c r="AB2969" t="str">
        <f t="shared" si="416"/>
        <v/>
      </c>
      <c r="AC2969" t="e">
        <f t="shared" si="417"/>
        <v>#VALUE!</v>
      </c>
    </row>
    <row r="2970" spans="1:29" x14ac:dyDescent="0.2">
      <c r="A2970" t="str">
        <f t="shared" si="418"/>
        <v/>
      </c>
      <c r="E2970" s="4"/>
      <c r="F2970" s="46"/>
      <c r="G2970" s="4"/>
      <c r="H2970" s="48"/>
      <c r="J2970" s="26" t="str">
        <f t="shared" si="419"/>
        <v/>
      </c>
      <c r="N2970" t="str">
        <f t="shared" si="420"/>
        <v/>
      </c>
      <c r="Q2970" t="str">
        <f t="shared" si="421"/>
        <v/>
      </c>
      <c r="S2970" t="str">
        <f>IF(A2970=1,MAX($S$2:$S2969)+1,IF(OR($I2970&lt;&gt;"",A2970="x"),$S2969,""))</f>
        <v/>
      </c>
      <c r="T2970" t="str">
        <f>IF(D2970=1,MAX($T$2:$T2969)+1,IF(S2970=S2969,$T2969,IF(D2970="x",T2969,IF(D2969="x","",""))))</f>
        <v/>
      </c>
      <c r="U2970" t="str">
        <f>IF(B2970=1,MAX($U$2:$U2969)+1,IF(AND($T2970&lt;&gt;"",$T2970=$T2969),$U2969,IF(B2970="x",U2969,"")))</f>
        <v/>
      </c>
      <c r="V2970" t="str">
        <f>IF(C2970=1,MAX($V$2:$V2969)+1,IF(AND($T2970&lt;&gt;"",$T2970=$T2969),$U2969,IF(C2970="x",V2969,"")))</f>
        <v/>
      </c>
      <c r="X2970" cm="1">
        <f t="array" ref="X2970">IF($I2970&lt;&gt;"",$I2970,INDEX($I$1:$I2970,ROW()-COUNTIFS($T$1:$T2970,"="&amp;$T2970,$S$1:$S2970,"&lt;"&amp;$S2970)))</f>
        <v>0</v>
      </c>
      <c r="Z2970" s="6">
        <f t="shared" si="414"/>
        <v>1</v>
      </c>
      <c r="AA2970" t="e">
        <f t="shared" si="415"/>
        <v>#VALUE!</v>
      </c>
      <c r="AB2970" t="str">
        <f t="shared" si="416"/>
        <v/>
      </c>
      <c r="AC2970" t="e">
        <f t="shared" si="417"/>
        <v>#VALUE!</v>
      </c>
    </row>
    <row r="2971" spans="1:29" x14ac:dyDescent="0.2">
      <c r="A2971" t="str">
        <f t="shared" si="418"/>
        <v/>
      </c>
      <c r="E2971" s="4"/>
      <c r="F2971" s="46"/>
      <c r="G2971" s="4"/>
      <c r="H2971" s="48"/>
      <c r="J2971" s="26" t="str">
        <f t="shared" si="419"/>
        <v/>
      </c>
      <c r="N2971" t="str">
        <f t="shared" si="420"/>
        <v/>
      </c>
      <c r="Q2971" t="str">
        <f t="shared" si="421"/>
        <v/>
      </c>
      <c r="S2971" t="str">
        <f>IF(A2971=1,MAX($S$2:$S2970)+1,IF(OR($I2971&lt;&gt;"",A2971="x"),$S2970,""))</f>
        <v/>
      </c>
      <c r="T2971" t="str">
        <f>IF(D2971=1,MAX($T$2:$T2970)+1,IF(S2971=S2970,$T2970,IF(D2971="x",T2970,IF(D2970="x","",""))))</f>
        <v/>
      </c>
      <c r="U2971" t="str">
        <f>IF(B2971=1,MAX($U$2:$U2970)+1,IF(AND($T2971&lt;&gt;"",$T2971=$T2970),$U2970,IF(B2971="x",U2970,"")))</f>
        <v/>
      </c>
      <c r="V2971" t="str">
        <f>IF(C2971=1,MAX($V$2:$V2970)+1,IF(AND($T2971&lt;&gt;"",$T2971=$T2970),$U2970,IF(C2971="x",V2970,"")))</f>
        <v/>
      </c>
      <c r="X2971" cm="1">
        <f t="array" ref="X2971">IF($I2971&lt;&gt;"",$I2971,INDEX($I$1:$I2971,ROW()-COUNTIFS($T$1:$T2971,"="&amp;$T2971,$S$1:$S2971,"&lt;"&amp;$S2971)))</f>
        <v>0</v>
      </c>
      <c r="Z2971" s="6">
        <f t="shared" si="414"/>
        <v>1</v>
      </c>
      <c r="AA2971" t="e">
        <f t="shared" si="415"/>
        <v>#VALUE!</v>
      </c>
      <c r="AB2971" t="str">
        <f t="shared" si="416"/>
        <v/>
      </c>
      <c r="AC2971" t="e">
        <f t="shared" si="417"/>
        <v>#VALUE!</v>
      </c>
    </row>
    <row r="2972" spans="1:29" x14ac:dyDescent="0.2">
      <c r="A2972" t="str">
        <f t="shared" si="418"/>
        <v/>
      </c>
      <c r="E2972" s="4"/>
      <c r="F2972" s="46"/>
      <c r="G2972" s="4"/>
      <c r="H2972" s="48"/>
      <c r="J2972" s="26" t="str">
        <f t="shared" si="419"/>
        <v/>
      </c>
      <c r="N2972" t="str">
        <f t="shared" si="420"/>
        <v/>
      </c>
      <c r="Q2972" t="str">
        <f t="shared" si="421"/>
        <v/>
      </c>
      <c r="S2972" t="str">
        <f>IF(A2972=1,MAX($S$2:$S2971)+1,IF(OR($I2972&lt;&gt;"",A2972="x"),$S2971,""))</f>
        <v/>
      </c>
      <c r="T2972" t="str">
        <f>IF(D2972=1,MAX($T$2:$T2971)+1,IF(S2972=S2971,$T2971,IF(D2972="x",T2971,IF(D2971="x","",""))))</f>
        <v/>
      </c>
      <c r="U2972" t="str">
        <f>IF(B2972=1,MAX($U$2:$U2971)+1,IF(AND($T2972&lt;&gt;"",$T2972=$T2971),$U2971,IF(B2972="x",U2971,"")))</f>
        <v/>
      </c>
      <c r="V2972" t="str">
        <f>IF(C2972=1,MAX($V$2:$V2971)+1,IF(AND($T2972&lt;&gt;"",$T2972=$T2971),$U2971,IF(C2972="x",V2971,"")))</f>
        <v/>
      </c>
      <c r="X2972" cm="1">
        <f t="array" ref="X2972">IF($I2972&lt;&gt;"",$I2972,INDEX($I$1:$I2972,ROW()-COUNTIFS($T$1:$T2972,"="&amp;$T2972,$S$1:$S2972,"&lt;"&amp;$S2972)))</f>
        <v>0</v>
      </c>
      <c r="Z2972" s="6">
        <f t="shared" si="414"/>
        <v>1</v>
      </c>
      <c r="AA2972" t="e">
        <f t="shared" si="415"/>
        <v>#VALUE!</v>
      </c>
      <c r="AB2972" t="str">
        <f t="shared" si="416"/>
        <v/>
      </c>
      <c r="AC2972" t="e">
        <f t="shared" si="417"/>
        <v>#VALUE!</v>
      </c>
    </row>
    <row r="2973" spans="1:29" x14ac:dyDescent="0.2">
      <c r="A2973" t="str">
        <f t="shared" si="418"/>
        <v/>
      </c>
      <c r="E2973" s="4"/>
      <c r="F2973" s="46"/>
      <c r="G2973" s="4"/>
      <c r="H2973" s="48"/>
      <c r="J2973" s="26" t="str">
        <f t="shared" si="419"/>
        <v/>
      </c>
      <c r="N2973" t="str">
        <f t="shared" si="420"/>
        <v/>
      </c>
      <c r="Q2973" t="str">
        <f t="shared" si="421"/>
        <v/>
      </c>
      <c r="S2973" t="str">
        <f>IF(A2973=1,MAX($S$2:$S2972)+1,IF(OR($I2973&lt;&gt;"",A2973="x"),$S2972,""))</f>
        <v/>
      </c>
      <c r="T2973" t="str">
        <f>IF(D2973=1,MAX($T$2:$T2972)+1,IF(S2973=S2972,$T2972,IF(D2973="x",T2972,IF(D2972="x","",""))))</f>
        <v/>
      </c>
      <c r="U2973" t="str">
        <f>IF(B2973=1,MAX($U$2:$U2972)+1,IF(AND($T2973&lt;&gt;"",$T2973=$T2972),$U2972,IF(B2973="x",U2972,"")))</f>
        <v/>
      </c>
      <c r="V2973" t="str">
        <f>IF(C2973=1,MAX($V$2:$V2972)+1,IF(AND($T2973&lt;&gt;"",$T2973=$T2972),$U2972,IF(C2973="x",V2972,"")))</f>
        <v/>
      </c>
      <c r="X2973" cm="1">
        <f t="array" ref="X2973">IF($I2973&lt;&gt;"",$I2973,INDEX($I$1:$I2973,ROW()-COUNTIFS($T$1:$T2973,"="&amp;$T2973,$S$1:$S2973,"&lt;"&amp;$S2973)))</f>
        <v>0</v>
      </c>
      <c r="Z2973" s="6">
        <f t="shared" si="414"/>
        <v>1</v>
      </c>
      <c r="AA2973" t="e">
        <f t="shared" si="415"/>
        <v>#VALUE!</v>
      </c>
      <c r="AB2973" t="str">
        <f t="shared" si="416"/>
        <v/>
      </c>
      <c r="AC2973" t="e">
        <f t="shared" si="417"/>
        <v>#VALUE!</v>
      </c>
    </row>
    <row r="2974" spans="1:29" x14ac:dyDescent="0.2">
      <c r="A2974" t="str">
        <f t="shared" si="418"/>
        <v/>
      </c>
      <c r="E2974" s="4"/>
      <c r="F2974" s="46"/>
      <c r="G2974" s="4"/>
      <c r="H2974" s="48"/>
      <c r="J2974" s="26" t="str">
        <f t="shared" si="419"/>
        <v/>
      </c>
      <c r="N2974" t="str">
        <f t="shared" si="420"/>
        <v/>
      </c>
      <c r="Q2974" t="str">
        <f t="shared" si="421"/>
        <v/>
      </c>
      <c r="S2974" t="str">
        <f>IF(A2974=1,MAX($S$2:$S2973)+1,IF(OR($I2974&lt;&gt;"",A2974="x"),$S2973,""))</f>
        <v/>
      </c>
      <c r="T2974" t="str">
        <f>IF(D2974=1,MAX($T$2:$T2973)+1,IF(S2974=S2973,$T2973,IF(D2974="x",T2973,IF(D2973="x","",""))))</f>
        <v/>
      </c>
      <c r="U2974" t="str">
        <f>IF(B2974=1,MAX($U$2:$U2973)+1,IF(AND($T2974&lt;&gt;"",$T2974=$T2973),$U2973,IF(B2974="x",U2973,"")))</f>
        <v/>
      </c>
      <c r="V2974" t="str">
        <f>IF(C2974=1,MAX($V$2:$V2973)+1,IF(AND($T2974&lt;&gt;"",$T2974=$T2973),$U2973,IF(C2974="x",V2973,"")))</f>
        <v/>
      </c>
      <c r="X2974" cm="1">
        <f t="array" ref="X2974">IF($I2974&lt;&gt;"",$I2974,INDEX($I$1:$I2974,ROW()-COUNTIFS($T$1:$T2974,"="&amp;$T2974,$S$1:$S2974,"&lt;"&amp;$S2974)))</f>
        <v>0</v>
      </c>
      <c r="Z2974" s="6">
        <f t="shared" si="414"/>
        <v>1</v>
      </c>
      <c r="AA2974" t="e">
        <f t="shared" si="415"/>
        <v>#VALUE!</v>
      </c>
      <c r="AB2974" t="str">
        <f t="shared" si="416"/>
        <v/>
      </c>
      <c r="AC2974" t="e">
        <f t="shared" si="417"/>
        <v>#VALUE!</v>
      </c>
    </row>
    <row r="2975" spans="1:29" x14ac:dyDescent="0.2">
      <c r="A2975" t="str">
        <f t="shared" si="418"/>
        <v/>
      </c>
      <c r="E2975" s="4"/>
      <c r="F2975" s="46"/>
      <c r="G2975" s="4"/>
      <c r="H2975" s="48"/>
      <c r="J2975" s="26" t="str">
        <f t="shared" si="419"/>
        <v/>
      </c>
      <c r="N2975" t="str">
        <f t="shared" si="420"/>
        <v/>
      </c>
      <c r="Q2975" t="str">
        <f t="shared" si="421"/>
        <v/>
      </c>
      <c r="S2975" t="str">
        <f>IF(A2975=1,MAX($S$2:$S2974)+1,IF(OR($I2975&lt;&gt;"",A2975="x"),$S2974,""))</f>
        <v/>
      </c>
      <c r="T2975" t="str">
        <f>IF(D2975=1,MAX($T$2:$T2974)+1,IF(S2975=S2974,$T2974,IF(D2975="x",T2974,IF(D2974="x","",""))))</f>
        <v/>
      </c>
      <c r="U2975" t="str">
        <f>IF(B2975=1,MAX($U$2:$U2974)+1,IF(AND($T2975&lt;&gt;"",$T2975=$T2974),$U2974,IF(B2975="x",U2974,"")))</f>
        <v/>
      </c>
      <c r="V2975" t="str">
        <f>IF(C2975=1,MAX($V$2:$V2974)+1,IF(AND($T2975&lt;&gt;"",$T2975=$T2974),$U2974,IF(C2975="x",V2974,"")))</f>
        <v/>
      </c>
      <c r="X2975" cm="1">
        <f t="array" ref="X2975">IF($I2975&lt;&gt;"",$I2975,INDEX($I$1:$I2975,ROW()-COUNTIFS($T$1:$T2975,"="&amp;$T2975,$S$1:$S2975,"&lt;"&amp;$S2975)))</f>
        <v>0</v>
      </c>
      <c r="Z2975" s="6">
        <f t="shared" si="414"/>
        <v>1</v>
      </c>
      <c r="AA2975" t="e">
        <f t="shared" si="415"/>
        <v>#VALUE!</v>
      </c>
      <c r="AB2975" t="str">
        <f t="shared" si="416"/>
        <v/>
      </c>
      <c r="AC2975" t="e">
        <f t="shared" si="417"/>
        <v>#VALUE!</v>
      </c>
    </row>
    <row r="2976" spans="1:29" x14ac:dyDescent="0.2">
      <c r="A2976" t="str">
        <f t="shared" si="418"/>
        <v/>
      </c>
      <c r="E2976" s="4"/>
      <c r="F2976" s="46"/>
      <c r="G2976" s="4"/>
      <c r="H2976" s="48"/>
      <c r="J2976" s="26" t="str">
        <f t="shared" si="419"/>
        <v/>
      </c>
      <c r="N2976" t="str">
        <f t="shared" si="420"/>
        <v/>
      </c>
      <c r="Q2976" t="str">
        <f t="shared" si="421"/>
        <v/>
      </c>
      <c r="S2976" t="str">
        <f>IF(A2976=1,MAX($S$2:$S2975)+1,IF(OR($I2976&lt;&gt;"",A2976="x"),$S2975,""))</f>
        <v/>
      </c>
      <c r="T2976" t="str">
        <f>IF(D2976=1,MAX($T$2:$T2975)+1,IF(S2976=S2975,$T2975,IF(D2976="x",T2975,IF(D2975="x","",""))))</f>
        <v/>
      </c>
      <c r="U2976" t="str">
        <f>IF(B2976=1,MAX($U$2:$U2975)+1,IF(AND($T2976&lt;&gt;"",$T2976=$T2975),$U2975,IF(B2976="x",U2975,"")))</f>
        <v/>
      </c>
      <c r="V2976" t="str">
        <f>IF(C2976=1,MAX($V$2:$V2975)+1,IF(AND($T2976&lt;&gt;"",$T2976=$T2975),$U2975,IF(C2976="x",V2975,"")))</f>
        <v/>
      </c>
      <c r="X2976" cm="1">
        <f t="array" ref="X2976">IF($I2976&lt;&gt;"",$I2976,INDEX($I$1:$I2976,ROW()-COUNTIFS($T$1:$T2976,"="&amp;$T2976,$S$1:$S2976,"&lt;"&amp;$S2976)))</f>
        <v>0</v>
      </c>
      <c r="Z2976" s="6">
        <f t="shared" si="414"/>
        <v>1</v>
      </c>
      <c r="AA2976" t="e">
        <f t="shared" si="415"/>
        <v>#VALUE!</v>
      </c>
      <c r="AB2976" t="str">
        <f t="shared" si="416"/>
        <v/>
      </c>
      <c r="AC2976" t="e">
        <f t="shared" si="417"/>
        <v>#VALUE!</v>
      </c>
    </row>
    <row r="2977" spans="1:29" x14ac:dyDescent="0.2">
      <c r="A2977" t="str">
        <f t="shared" si="418"/>
        <v/>
      </c>
      <c r="E2977" s="4"/>
      <c r="F2977" s="46"/>
      <c r="G2977" s="4"/>
      <c r="H2977" s="48"/>
      <c r="J2977" s="26" t="str">
        <f t="shared" si="419"/>
        <v/>
      </c>
      <c r="N2977" t="str">
        <f t="shared" si="420"/>
        <v/>
      </c>
      <c r="Q2977" t="str">
        <f t="shared" si="421"/>
        <v/>
      </c>
      <c r="S2977" t="str">
        <f>IF(A2977=1,MAX($S$2:$S2976)+1,IF(OR($I2977&lt;&gt;"",A2977="x"),$S2976,""))</f>
        <v/>
      </c>
      <c r="T2977" t="str">
        <f>IF(D2977=1,MAX($T$2:$T2976)+1,IF(S2977=S2976,$T2976,IF(D2977="x",T2976,IF(D2976="x","",""))))</f>
        <v/>
      </c>
      <c r="U2977" t="str">
        <f>IF(B2977=1,MAX($U$2:$U2976)+1,IF(AND($T2977&lt;&gt;"",$T2977=$T2976),$U2976,IF(B2977="x",U2976,"")))</f>
        <v/>
      </c>
      <c r="V2977" t="str">
        <f>IF(C2977=1,MAX($V$2:$V2976)+1,IF(AND($T2977&lt;&gt;"",$T2977=$T2976),$U2976,IF(C2977="x",V2976,"")))</f>
        <v/>
      </c>
      <c r="X2977" cm="1">
        <f t="array" ref="X2977">IF($I2977&lt;&gt;"",$I2977,INDEX($I$1:$I2977,ROW()-COUNTIFS($T$1:$T2977,"="&amp;$T2977,$S$1:$S2977,"&lt;"&amp;$S2977)))</f>
        <v>0</v>
      </c>
      <c r="Z2977" s="6">
        <f t="shared" si="414"/>
        <v>1</v>
      </c>
      <c r="AA2977" t="e">
        <f t="shared" si="415"/>
        <v>#VALUE!</v>
      </c>
      <c r="AB2977" t="str">
        <f t="shared" si="416"/>
        <v/>
      </c>
      <c r="AC2977" t="e">
        <f t="shared" si="417"/>
        <v>#VALUE!</v>
      </c>
    </row>
    <row r="2978" spans="1:29" x14ac:dyDescent="0.2">
      <c r="A2978" t="str">
        <f t="shared" si="418"/>
        <v/>
      </c>
      <c r="E2978" s="4"/>
      <c r="F2978" s="46"/>
      <c r="G2978" s="4"/>
      <c r="H2978" s="48"/>
      <c r="J2978" s="26" t="str">
        <f t="shared" si="419"/>
        <v/>
      </c>
      <c r="N2978" t="str">
        <f t="shared" si="420"/>
        <v/>
      </c>
      <c r="Q2978" t="str">
        <f t="shared" si="421"/>
        <v/>
      </c>
      <c r="S2978" t="str">
        <f>IF(A2978=1,MAX($S$2:$S2977)+1,IF(OR($I2978&lt;&gt;"",A2978="x"),$S2977,""))</f>
        <v/>
      </c>
      <c r="T2978" t="str">
        <f>IF(D2978=1,MAX($T$2:$T2977)+1,IF(S2978=S2977,$T2977,IF(D2978="x",T2977,IF(D2977="x","",""))))</f>
        <v/>
      </c>
      <c r="U2978" t="str">
        <f>IF(B2978=1,MAX($U$2:$U2977)+1,IF(AND($T2978&lt;&gt;"",$T2978=$T2977),$U2977,IF(B2978="x",U2977,"")))</f>
        <v/>
      </c>
      <c r="V2978" t="str">
        <f>IF(C2978=1,MAX($V$2:$V2977)+1,IF(AND($T2978&lt;&gt;"",$T2978=$T2977),$U2977,IF(C2978="x",V2977,"")))</f>
        <v/>
      </c>
      <c r="X2978" cm="1">
        <f t="array" ref="X2978">IF($I2978&lt;&gt;"",$I2978,INDEX($I$1:$I2978,ROW()-COUNTIFS($T$1:$T2978,"="&amp;$T2978,$S$1:$S2978,"&lt;"&amp;$S2978)))</f>
        <v>0</v>
      </c>
      <c r="Z2978" s="6">
        <f t="shared" si="414"/>
        <v>1</v>
      </c>
      <c r="AA2978" t="e">
        <f t="shared" si="415"/>
        <v>#VALUE!</v>
      </c>
      <c r="AB2978" t="str">
        <f t="shared" si="416"/>
        <v/>
      </c>
      <c r="AC2978" t="e">
        <f t="shared" si="417"/>
        <v>#VALUE!</v>
      </c>
    </row>
    <row r="2979" spans="1:29" x14ac:dyDescent="0.2">
      <c r="A2979" t="str">
        <f t="shared" si="418"/>
        <v/>
      </c>
      <c r="E2979" s="4"/>
      <c r="F2979" s="46"/>
      <c r="G2979" s="4"/>
      <c r="H2979" s="48"/>
      <c r="J2979" s="26" t="str">
        <f t="shared" si="419"/>
        <v/>
      </c>
      <c r="N2979" t="str">
        <f t="shared" si="420"/>
        <v/>
      </c>
      <c r="Q2979" t="str">
        <f t="shared" si="421"/>
        <v/>
      </c>
      <c r="S2979" t="str">
        <f>IF(A2979=1,MAX($S$2:$S2978)+1,IF(OR($I2979&lt;&gt;"",A2979="x"),$S2978,""))</f>
        <v/>
      </c>
      <c r="T2979" t="str">
        <f>IF(D2979=1,MAX($T$2:$T2978)+1,IF(S2979=S2978,$T2978,IF(D2979="x",T2978,IF(D2978="x","",""))))</f>
        <v/>
      </c>
      <c r="U2979" t="str">
        <f>IF(B2979=1,MAX($U$2:$U2978)+1,IF(AND($T2979&lt;&gt;"",$T2979=$T2978),$U2978,IF(B2979="x",U2978,"")))</f>
        <v/>
      </c>
      <c r="V2979" t="str">
        <f>IF(C2979=1,MAX($V$2:$V2978)+1,IF(AND($T2979&lt;&gt;"",$T2979=$T2978),$U2978,IF(C2979="x",V2978,"")))</f>
        <v/>
      </c>
      <c r="X2979" cm="1">
        <f t="array" ref="X2979">IF($I2979&lt;&gt;"",$I2979,INDEX($I$1:$I2979,ROW()-COUNTIFS($T$1:$T2979,"="&amp;$T2979,$S$1:$S2979,"&lt;"&amp;$S2979)))</f>
        <v>0</v>
      </c>
      <c r="Z2979" s="6">
        <f t="shared" si="414"/>
        <v>1</v>
      </c>
      <c r="AA2979" t="e">
        <f t="shared" si="415"/>
        <v>#VALUE!</v>
      </c>
      <c r="AB2979" t="str">
        <f t="shared" si="416"/>
        <v/>
      </c>
      <c r="AC2979" t="e">
        <f t="shared" si="417"/>
        <v>#VALUE!</v>
      </c>
    </row>
    <row r="2980" spans="1:29" x14ac:dyDescent="0.2">
      <c r="A2980" t="str">
        <f t="shared" si="418"/>
        <v/>
      </c>
      <c r="E2980" s="4"/>
      <c r="F2980" s="46"/>
      <c r="G2980" s="4"/>
      <c r="H2980" s="48"/>
      <c r="J2980" s="26" t="str">
        <f t="shared" si="419"/>
        <v/>
      </c>
      <c r="N2980" t="str">
        <f t="shared" si="420"/>
        <v/>
      </c>
      <c r="Q2980" t="str">
        <f t="shared" si="421"/>
        <v/>
      </c>
      <c r="S2980" t="str">
        <f>IF(A2980=1,MAX($S$2:$S2979)+1,IF(OR($I2980&lt;&gt;"",A2980="x"),$S2979,""))</f>
        <v/>
      </c>
      <c r="T2980" t="str">
        <f>IF(D2980=1,MAX($T$2:$T2979)+1,IF(S2980=S2979,$T2979,IF(D2980="x",T2979,IF(D2979="x","",""))))</f>
        <v/>
      </c>
      <c r="U2980" t="str">
        <f>IF(B2980=1,MAX($U$2:$U2979)+1,IF(AND($T2980&lt;&gt;"",$T2980=$T2979),$U2979,IF(B2980="x",U2979,"")))</f>
        <v/>
      </c>
      <c r="V2980" t="str">
        <f>IF(C2980=1,MAX($V$2:$V2979)+1,IF(AND($T2980&lt;&gt;"",$T2980=$T2979),$U2979,IF(C2980="x",V2979,"")))</f>
        <v/>
      </c>
      <c r="X2980" cm="1">
        <f t="array" ref="X2980">IF($I2980&lt;&gt;"",$I2980,INDEX($I$1:$I2980,ROW()-COUNTIFS($T$1:$T2980,"="&amp;$T2980,$S$1:$S2980,"&lt;"&amp;$S2980)))</f>
        <v>0</v>
      </c>
      <c r="Z2980" s="6">
        <f t="shared" si="414"/>
        <v>1</v>
      </c>
      <c r="AA2980" t="e">
        <f t="shared" si="415"/>
        <v>#VALUE!</v>
      </c>
      <c r="AB2980" t="str">
        <f t="shared" si="416"/>
        <v/>
      </c>
      <c r="AC2980" t="e">
        <f t="shared" si="417"/>
        <v>#VALUE!</v>
      </c>
    </row>
    <row r="2981" spans="1:29" x14ac:dyDescent="0.2">
      <c r="A2981" t="str">
        <f t="shared" si="418"/>
        <v/>
      </c>
      <c r="E2981" s="4"/>
      <c r="F2981" s="46"/>
      <c r="G2981" s="4"/>
      <c r="H2981" s="48"/>
      <c r="J2981" s="26" t="str">
        <f t="shared" si="419"/>
        <v/>
      </c>
      <c r="N2981" t="str">
        <f t="shared" si="420"/>
        <v/>
      </c>
      <c r="Q2981" t="str">
        <f t="shared" si="421"/>
        <v/>
      </c>
      <c r="S2981" t="str">
        <f>IF(A2981=1,MAX($S$2:$S2980)+1,IF(OR($I2981&lt;&gt;"",A2981="x"),$S2980,""))</f>
        <v/>
      </c>
      <c r="T2981" t="str">
        <f>IF(D2981=1,MAX($T$2:$T2980)+1,IF(S2981=S2980,$T2980,IF(D2981="x",T2980,IF(D2980="x","",""))))</f>
        <v/>
      </c>
      <c r="U2981" t="str">
        <f>IF(B2981=1,MAX($U$2:$U2980)+1,IF(AND($T2981&lt;&gt;"",$T2981=$T2980),$U2980,IF(B2981="x",U2980,"")))</f>
        <v/>
      </c>
      <c r="V2981" t="str">
        <f>IF(C2981=1,MAX($V$2:$V2980)+1,IF(AND($T2981&lt;&gt;"",$T2981=$T2980),$U2980,IF(C2981="x",V2980,"")))</f>
        <v/>
      </c>
      <c r="X2981" cm="1">
        <f t="array" ref="X2981">IF($I2981&lt;&gt;"",$I2981,INDEX($I$1:$I2981,ROW()-COUNTIFS($T$1:$T2981,"="&amp;$T2981,$S$1:$S2981,"&lt;"&amp;$S2981)))</f>
        <v>0</v>
      </c>
      <c r="Z2981" s="6">
        <f t="shared" si="414"/>
        <v>1</v>
      </c>
      <c r="AA2981" t="e">
        <f t="shared" si="415"/>
        <v>#VALUE!</v>
      </c>
      <c r="AB2981" t="str">
        <f t="shared" si="416"/>
        <v/>
      </c>
      <c r="AC2981" t="e">
        <f t="shared" si="417"/>
        <v>#VALUE!</v>
      </c>
    </row>
    <row r="2982" spans="1:29" x14ac:dyDescent="0.2">
      <c r="A2982" t="str">
        <f t="shared" si="418"/>
        <v/>
      </c>
      <c r="E2982" s="4"/>
      <c r="F2982" s="46"/>
      <c r="G2982" s="4"/>
      <c r="H2982" s="48"/>
      <c r="J2982" s="26" t="str">
        <f t="shared" si="419"/>
        <v/>
      </c>
      <c r="N2982" t="str">
        <f t="shared" si="420"/>
        <v/>
      </c>
      <c r="Q2982" t="str">
        <f t="shared" si="421"/>
        <v/>
      </c>
      <c r="S2982" t="str">
        <f>IF(A2982=1,MAX($S$2:$S2981)+1,IF(OR($I2982&lt;&gt;"",A2982="x"),$S2981,""))</f>
        <v/>
      </c>
      <c r="T2982" t="str">
        <f>IF(D2982=1,MAX($T$2:$T2981)+1,IF(S2982=S2981,$T2981,IF(D2982="x",T2981,IF(D2981="x","",""))))</f>
        <v/>
      </c>
      <c r="U2982" t="str">
        <f>IF(B2982=1,MAX($U$2:$U2981)+1,IF(AND($T2982&lt;&gt;"",$T2982=$T2981),$U2981,IF(B2982="x",U2981,"")))</f>
        <v/>
      </c>
      <c r="V2982" t="str">
        <f>IF(C2982=1,MAX($V$2:$V2981)+1,IF(AND($T2982&lt;&gt;"",$T2982=$T2981),$U2981,IF(C2982="x",V2981,"")))</f>
        <v/>
      </c>
      <c r="X2982" cm="1">
        <f t="array" ref="X2982">IF($I2982&lt;&gt;"",$I2982,INDEX($I$1:$I2982,ROW()-COUNTIFS($T$1:$T2982,"="&amp;$T2982,$S$1:$S2982,"&lt;"&amp;$S2982)))</f>
        <v>0</v>
      </c>
      <c r="Z2982" s="6">
        <f t="shared" si="414"/>
        <v>1</v>
      </c>
      <c r="AA2982" t="e">
        <f t="shared" si="415"/>
        <v>#VALUE!</v>
      </c>
      <c r="AB2982" t="str">
        <f t="shared" si="416"/>
        <v/>
      </c>
      <c r="AC2982" t="e">
        <f t="shared" si="417"/>
        <v>#VALUE!</v>
      </c>
    </row>
    <row r="2983" spans="1:29" x14ac:dyDescent="0.2">
      <c r="A2983" t="str">
        <f t="shared" si="418"/>
        <v/>
      </c>
      <c r="E2983" s="4"/>
      <c r="F2983" s="46"/>
      <c r="G2983" s="4"/>
      <c r="H2983" s="48"/>
      <c r="J2983" s="26" t="str">
        <f t="shared" si="419"/>
        <v/>
      </c>
      <c r="N2983" t="str">
        <f t="shared" si="420"/>
        <v/>
      </c>
      <c r="Q2983" t="str">
        <f t="shared" si="421"/>
        <v/>
      </c>
      <c r="S2983" t="str">
        <f>IF(A2983=1,MAX($S$2:$S2982)+1,IF(OR($I2983&lt;&gt;"",A2983="x"),$S2982,""))</f>
        <v/>
      </c>
      <c r="T2983" t="str">
        <f>IF(D2983=1,MAX($T$2:$T2982)+1,IF(S2983=S2982,$T2982,IF(D2983="x",T2982,IF(D2982="x","",""))))</f>
        <v/>
      </c>
      <c r="U2983" t="str">
        <f>IF(B2983=1,MAX($U$2:$U2982)+1,IF(AND($T2983&lt;&gt;"",$T2983=$T2982),$U2982,IF(B2983="x",U2982,"")))</f>
        <v/>
      </c>
      <c r="V2983" t="str">
        <f>IF(C2983=1,MAX($V$2:$V2982)+1,IF(AND($T2983&lt;&gt;"",$T2983=$T2982),$U2982,IF(C2983="x",V2982,"")))</f>
        <v/>
      </c>
      <c r="X2983" cm="1">
        <f t="array" ref="X2983">IF($I2983&lt;&gt;"",$I2983,INDEX($I$1:$I2983,ROW()-COUNTIFS($T$1:$T2983,"="&amp;$T2983,$S$1:$S2983,"&lt;"&amp;$S2983)))</f>
        <v>0</v>
      </c>
      <c r="Z2983" s="6">
        <f t="shared" si="414"/>
        <v>1</v>
      </c>
      <c r="AA2983" t="e">
        <f t="shared" si="415"/>
        <v>#VALUE!</v>
      </c>
      <c r="AB2983" t="str">
        <f t="shared" si="416"/>
        <v/>
      </c>
      <c r="AC2983" t="e">
        <f t="shared" si="417"/>
        <v>#VALUE!</v>
      </c>
    </row>
    <row r="2984" spans="1:29" x14ac:dyDescent="0.2">
      <c r="A2984" t="str">
        <f t="shared" si="418"/>
        <v/>
      </c>
      <c r="E2984" s="4"/>
      <c r="F2984" s="46"/>
      <c r="G2984" s="4"/>
      <c r="H2984" s="48"/>
      <c r="J2984" s="26" t="str">
        <f t="shared" si="419"/>
        <v/>
      </c>
      <c r="N2984" t="str">
        <f t="shared" si="420"/>
        <v/>
      </c>
      <c r="Q2984" t="str">
        <f t="shared" si="421"/>
        <v/>
      </c>
      <c r="S2984" t="str">
        <f>IF(A2984=1,MAX($S$2:$S2983)+1,IF(OR($I2984&lt;&gt;"",A2984="x"),$S2983,""))</f>
        <v/>
      </c>
      <c r="T2984" t="str">
        <f>IF(D2984=1,MAX($T$2:$T2983)+1,IF(S2984=S2983,$T2983,IF(D2984="x",T2983,IF(D2983="x","",""))))</f>
        <v/>
      </c>
      <c r="U2984" t="str">
        <f>IF(B2984=1,MAX($U$2:$U2983)+1,IF(AND($T2984&lt;&gt;"",$T2984=$T2983),$U2983,IF(B2984="x",U2983,"")))</f>
        <v/>
      </c>
      <c r="V2984" t="str">
        <f>IF(C2984=1,MAX($V$2:$V2983)+1,IF(AND($T2984&lt;&gt;"",$T2984=$T2983),$U2983,IF(C2984="x",V2983,"")))</f>
        <v/>
      </c>
      <c r="X2984" cm="1">
        <f t="array" ref="X2984">IF($I2984&lt;&gt;"",$I2984,INDEX($I$1:$I2984,ROW()-COUNTIFS($T$1:$T2984,"="&amp;$T2984,$S$1:$S2984,"&lt;"&amp;$S2984)))</f>
        <v>0</v>
      </c>
      <c r="Z2984" s="6">
        <f t="shared" si="414"/>
        <v>1</v>
      </c>
      <c r="AA2984" t="e">
        <f t="shared" si="415"/>
        <v>#VALUE!</v>
      </c>
      <c r="AB2984" t="str">
        <f t="shared" si="416"/>
        <v/>
      </c>
      <c r="AC2984" t="e">
        <f t="shared" si="417"/>
        <v>#VALUE!</v>
      </c>
    </row>
    <row r="2985" spans="1:29" x14ac:dyDescent="0.2">
      <c r="A2985" t="str">
        <f t="shared" si="418"/>
        <v/>
      </c>
      <c r="E2985" s="4"/>
      <c r="F2985" s="46"/>
      <c r="G2985" s="4"/>
      <c r="H2985" s="48"/>
      <c r="J2985" s="26" t="str">
        <f t="shared" si="419"/>
        <v/>
      </c>
      <c r="N2985" t="str">
        <f t="shared" si="420"/>
        <v/>
      </c>
      <c r="Q2985" t="str">
        <f t="shared" si="421"/>
        <v/>
      </c>
      <c r="S2985" t="str">
        <f>IF(A2985=1,MAX($S$2:$S2984)+1,IF(OR($I2985&lt;&gt;"",A2985="x"),$S2984,""))</f>
        <v/>
      </c>
      <c r="T2985" t="str">
        <f>IF(D2985=1,MAX($T$2:$T2984)+1,IF(S2985=S2984,$T2984,IF(D2985="x",T2984,IF(D2984="x","",""))))</f>
        <v/>
      </c>
      <c r="U2985" t="str">
        <f>IF(B2985=1,MAX($U$2:$U2984)+1,IF(AND($T2985&lt;&gt;"",$T2985=$T2984),$U2984,IF(B2985="x",U2984,"")))</f>
        <v/>
      </c>
      <c r="V2985" t="str">
        <f>IF(C2985=1,MAX($V$2:$V2984)+1,IF(AND($T2985&lt;&gt;"",$T2985=$T2984),$U2984,IF(C2985="x",V2984,"")))</f>
        <v/>
      </c>
      <c r="X2985" cm="1">
        <f t="array" ref="X2985">IF($I2985&lt;&gt;"",$I2985,INDEX($I$1:$I2985,ROW()-COUNTIFS($T$1:$T2985,"="&amp;$T2985,$S$1:$S2985,"&lt;"&amp;$S2985)))</f>
        <v>0</v>
      </c>
      <c r="Z2985" s="6">
        <f t="shared" si="414"/>
        <v>1</v>
      </c>
      <c r="AA2985" t="e">
        <f t="shared" si="415"/>
        <v>#VALUE!</v>
      </c>
      <c r="AB2985" t="str">
        <f t="shared" si="416"/>
        <v/>
      </c>
      <c r="AC2985" t="e">
        <f t="shared" si="417"/>
        <v>#VALUE!</v>
      </c>
    </row>
    <row r="2986" spans="1:29" x14ac:dyDescent="0.2">
      <c r="A2986" t="str">
        <f t="shared" si="418"/>
        <v/>
      </c>
      <c r="E2986" s="4"/>
      <c r="F2986" s="46"/>
      <c r="G2986" s="4"/>
      <c r="H2986" s="48"/>
      <c r="J2986" s="26" t="str">
        <f t="shared" si="419"/>
        <v/>
      </c>
      <c r="N2986" t="str">
        <f t="shared" si="420"/>
        <v/>
      </c>
      <c r="Q2986" t="str">
        <f t="shared" si="421"/>
        <v/>
      </c>
      <c r="S2986" t="str">
        <f>IF(A2986=1,MAX($S$2:$S2985)+1,IF(OR($I2986&lt;&gt;"",A2986="x"),$S2985,""))</f>
        <v/>
      </c>
      <c r="T2986" t="str">
        <f>IF(D2986=1,MAX($T$2:$T2985)+1,IF(S2986=S2985,$T2985,IF(D2986="x",T2985,IF(D2985="x","",""))))</f>
        <v/>
      </c>
      <c r="U2986" t="str">
        <f>IF(B2986=1,MAX($U$2:$U2985)+1,IF(AND($T2986&lt;&gt;"",$T2986=$T2985),$U2985,IF(B2986="x",U2985,"")))</f>
        <v/>
      </c>
      <c r="V2986" t="str">
        <f>IF(C2986=1,MAX($V$2:$V2985)+1,IF(AND($T2986&lt;&gt;"",$T2986=$T2985),$U2985,IF(C2986="x",V2985,"")))</f>
        <v/>
      </c>
      <c r="X2986" cm="1">
        <f t="array" ref="X2986">IF($I2986&lt;&gt;"",$I2986,INDEX($I$1:$I2986,ROW()-COUNTIFS($T$1:$T2986,"="&amp;$T2986,$S$1:$S2986,"&lt;"&amp;$S2986)))</f>
        <v>0</v>
      </c>
      <c r="Z2986" s="6">
        <f t="shared" si="414"/>
        <v>1</v>
      </c>
      <c r="AA2986" t="e">
        <f t="shared" si="415"/>
        <v>#VALUE!</v>
      </c>
      <c r="AB2986" t="str">
        <f t="shared" si="416"/>
        <v/>
      </c>
      <c r="AC2986" t="e">
        <f t="shared" si="417"/>
        <v>#VALUE!</v>
      </c>
    </row>
    <row r="2987" spans="1:29" x14ac:dyDescent="0.2">
      <c r="A2987" t="str">
        <f t="shared" si="418"/>
        <v/>
      </c>
      <c r="E2987" s="4"/>
      <c r="F2987" s="46"/>
      <c r="G2987" s="4"/>
      <c r="H2987" s="48"/>
      <c r="J2987" s="26" t="str">
        <f t="shared" si="419"/>
        <v/>
      </c>
      <c r="N2987" t="str">
        <f t="shared" si="420"/>
        <v/>
      </c>
      <c r="Q2987" t="str">
        <f t="shared" si="421"/>
        <v/>
      </c>
      <c r="S2987" t="str">
        <f>IF(A2987=1,MAX($S$2:$S2986)+1,IF(OR($I2987&lt;&gt;"",A2987="x"),$S2986,""))</f>
        <v/>
      </c>
      <c r="T2987" t="str">
        <f>IF(D2987=1,MAX($T$2:$T2986)+1,IF(S2987=S2986,$T2986,IF(D2987="x",T2986,IF(D2986="x","",""))))</f>
        <v/>
      </c>
      <c r="U2987" t="str">
        <f>IF(B2987=1,MAX($U$2:$U2986)+1,IF(AND($T2987&lt;&gt;"",$T2987=$T2986),$U2986,IF(B2987="x",U2986,"")))</f>
        <v/>
      </c>
      <c r="V2987" t="str">
        <f>IF(C2987=1,MAX($V$2:$V2986)+1,IF(AND($T2987&lt;&gt;"",$T2987=$T2986),$U2986,IF(C2987="x",V2986,"")))</f>
        <v/>
      </c>
      <c r="X2987" cm="1">
        <f t="array" ref="X2987">IF($I2987&lt;&gt;"",$I2987,INDEX($I$1:$I2987,ROW()-COUNTIFS($T$1:$T2987,"="&amp;$T2987,$S$1:$S2987,"&lt;"&amp;$S2987)))</f>
        <v>0</v>
      </c>
      <c r="Z2987" s="6">
        <f t="shared" si="414"/>
        <v>1</v>
      </c>
      <c r="AA2987" t="e">
        <f t="shared" si="415"/>
        <v>#VALUE!</v>
      </c>
      <c r="AB2987" t="str">
        <f t="shared" si="416"/>
        <v/>
      </c>
      <c r="AC2987" t="e">
        <f t="shared" si="417"/>
        <v>#VALUE!</v>
      </c>
    </row>
    <row r="2988" spans="1:29" x14ac:dyDescent="0.2">
      <c r="A2988" t="str">
        <f t="shared" si="418"/>
        <v/>
      </c>
      <c r="E2988" s="4"/>
      <c r="F2988" s="46"/>
      <c r="G2988" s="4"/>
      <c r="H2988" s="48"/>
      <c r="J2988" s="26" t="str">
        <f t="shared" si="419"/>
        <v/>
      </c>
      <c r="N2988" t="str">
        <f t="shared" si="420"/>
        <v/>
      </c>
      <c r="Q2988" t="str">
        <f t="shared" si="421"/>
        <v/>
      </c>
      <c r="S2988" t="str">
        <f>IF(A2988=1,MAX($S$2:$S2987)+1,IF(OR($I2988&lt;&gt;"",A2988="x"),$S2987,""))</f>
        <v/>
      </c>
      <c r="T2988" t="str">
        <f>IF(D2988=1,MAX($T$2:$T2987)+1,IF(S2988=S2987,$T2987,IF(D2988="x",T2987,IF(D2987="x","",""))))</f>
        <v/>
      </c>
      <c r="U2988" t="str">
        <f>IF(B2988=1,MAX($U$2:$U2987)+1,IF(AND($T2988&lt;&gt;"",$T2988=$T2987),$U2987,IF(B2988="x",U2987,"")))</f>
        <v/>
      </c>
      <c r="V2988" t="str">
        <f>IF(C2988=1,MAX($V$2:$V2987)+1,IF(AND($T2988&lt;&gt;"",$T2988=$T2987),$U2987,IF(C2988="x",V2987,"")))</f>
        <v/>
      </c>
      <c r="X2988" cm="1">
        <f t="array" ref="X2988">IF($I2988&lt;&gt;"",$I2988,INDEX($I$1:$I2988,ROW()-COUNTIFS($T$1:$T2988,"="&amp;$T2988,$S$1:$S2988,"&lt;"&amp;$S2988)))</f>
        <v>0</v>
      </c>
      <c r="Z2988" s="6">
        <f t="shared" si="414"/>
        <v>1</v>
      </c>
      <c r="AA2988" t="e">
        <f t="shared" si="415"/>
        <v>#VALUE!</v>
      </c>
      <c r="AB2988" t="str">
        <f t="shared" si="416"/>
        <v/>
      </c>
      <c r="AC2988" t="e">
        <f t="shared" si="417"/>
        <v>#VALUE!</v>
      </c>
    </row>
    <row r="2989" spans="1:29" x14ac:dyDescent="0.2">
      <c r="A2989" t="str">
        <f t="shared" si="418"/>
        <v/>
      </c>
      <c r="E2989" s="4"/>
      <c r="F2989" s="46"/>
      <c r="G2989" s="4"/>
      <c r="H2989" s="48"/>
      <c r="J2989" s="26" t="str">
        <f t="shared" si="419"/>
        <v/>
      </c>
      <c r="N2989" t="str">
        <f t="shared" si="420"/>
        <v/>
      </c>
      <c r="Q2989" t="str">
        <f t="shared" si="421"/>
        <v/>
      </c>
      <c r="S2989" t="str">
        <f>IF(A2989=1,MAX($S$2:$S2988)+1,IF(OR($I2989&lt;&gt;"",A2989="x"),$S2988,""))</f>
        <v/>
      </c>
      <c r="T2989" t="str">
        <f>IF(D2989=1,MAX($T$2:$T2988)+1,IF(S2989=S2988,$T2988,IF(D2989="x",T2988,IF(D2988="x","",""))))</f>
        <v/>
      </c>
      <c r="U2989" t="str">
        <f>IF(B2989=1,MAX($U$2:$U2988)+1,IF(AND($T2989&lt;&gt;"",$T2989=$T2988),$U2988,IF(B2989="x",U2988,"")))</f>
        <v/>
      </c>
      <c r="V2989" t="str">
        <f>IF(C2989=1,MAX($V$2:$V2988)+1,IF(AND($T2989&lt;&gt;"",$T2989=$T2988),$U2988,IF(C2989="x",V2988,"")))</f>
        <v/>
      </c>
      <c r="X2989" cm="1">
        <f t="array" ref="X2989">IF($I2989&lt;&gt;"",$I2989,INDEX($I$1:$I2989,ROW()-COUNTIFS($T$1:$T2989,"="&amp;$T2989,$S$1:$S2989,"&lt;"&amp;$S2989)))</f>
        <v>0</v>
      </c>
      <c r="Z2989" s="6">
        <f t="shared" si="414"/>
        <v>1</v>
      </c>
      <c r="AA2989" t="e">
        <f t="shared" si="415"/>
        <v>#VALUE!</v>
      </c>
      <c r="AB2989" t="str">
        <f t="shared" si="416"/>
        <v/>
      </c>
      <c r="AC2989" t="e">
        <f t="shared" si="417"/>
        <v>#VALUE!</v>
      </c>
    </row>
    <row r="2990" spans="1:29" x14ac:dyDescent="0.2">
      <c r="A2990" t="str">
        <f t="shared" si="418"/>
        <v/>
      </c>
      <c r="E2990" s="4"/>
      <c r="F2990" s="46"/>
      <c r="G2990" s="4"/>
      <c r="H2990" s="48"/>
      <c r="J2990" s="26" t="str">
        <f t="shared" si="419"/>
        <v/>
      </c>
      <c r="N2990" t="str">
        <f t="shared" si="420"/>
        <v/>
      </c>
      <c r="Q2990" t="str">
        <f t="shared" si="421"/>
        <v/>
      </c>
      <c r="S2990" t="str">
        <f>IF(A2990=1,MAX($S$2:$S2989)+1,IF(OR($I2990&lt;&gt;"",A2990="x"),$S2989,""))</f>
        <v/>
      </c>
      <c r="T2990" t="str">
        <f>IF(D2990=1,MAX($T$2:$T2989)+1,IF(S2990=S2989,$T2989,IF(D2990="x",T2989,IF(D2989="x","",""))))</f>
        <v/>
      </c>
      <c r="U2990" t="str">
        <f>IF(B2990=1,MAX($U$2:$U2989)+1,IF(AND($T2990&lt;&gt;"",$T2990=$T2989),$U2989,IF(B2990="x",U2989,"")))</f>
        <v/>
      </c>
      <c r="V2990" t="str">
        <f>IF(C2990=1,MAX($V$2:$V2989)+1,IF(AND($T2990&lt;&gt;"",$T2990=$T2989),$U2989,IF(C2990="x",V2989,"")))</f>
        <v/>
      </c>
      <c r="X2990" cm="1">
        <f t="array" ref="X2990">IF($I2990&lt;&gt;"",$I2990,INDEX($I$1:$I2990,ROW()-COUNTIFS($T$1:$T2990,"="&amp;$T2990,$S$1:$S2990,"&lt;"&amp;$S2990)))</f>
        <v>0</v>
      </c>
      <c r="Z2990" s="6">
        <f t="shared" si="414"/>
        <v>1</v>
      </c>
      <c r="AA2990" t="e">
        <f t="shared" si="415"/>
        <v>#VALUE!</v>
      </c>
      <c r="AB2990" t="str">
        <f t="shared" si="416"/>
        <v/>
      </c>
      <c r="AC2990" t="e">
        <f t="shared" si="417"/>
        <v>#VALUE!</v>
      </c>
    </row>
    <row r="2991" spans="1:29" x14ac:dyDescent="0.2">
      <c r="A2991" t="str">
        <f t="shared" si="418"/>
        <v/>
      </c>
      <c r="E2991" s="4"/>
      <c r="F2991" s="46"/>
      <c r="G2991" s="4"/>
      <c r="H2991" s="48"/>
      <c r="J2991" s="26" t="str">
        <f t="shared" si="419"/>
        <v/>
      </c>
      <c r="N2991" t="str">
        <f t="shared" si="420"/>
        <v/>
      </c>
      <c r="Q2991" t="str">
        <f t="shared" si="421"/>
        <v/>
      </c>
      <c r="S2991" t="str">
        <f>IF(A2991=1,MAX($S$2:$S2990)+1,IF(OR($I2991&lt;&gt;"",A2991="x"),$S2990,""))</f>
        <v/>
      </c>
      <c r="T2991" t="str">
        <f>IF(D2991=1,MAX($T$2:$T2990)+1,IF(S2991=S2990,$T2990,IF(D2991="x",T2990,IF(D2990="x","",""))))</f>
        <v/>
      </c>
      <c r="U2991" t="str">
        <f>IF(B2991=1,MAX($U$2:$U2990)+1,IF(AND($T2991&lt;&gt;"",$T2991=$T2990),$U2990,IF(B2991="x",U2990,"")))</f>
        <v/>
      </c>
      <c r="V2991" t="str">
        <f>IF(C2991=1,MAX($V$2:$V2990)+1,IF(AND($T2991&lt;&gt;"",$T2991=$T2990),$U2990,IF(C2991="x",V2990,"")))</f>
        <v/>
      </c>
      <c r="X2991" cm="1">
        <f t="array" ref="X2991">IF($I2991&lt;&gt;"",$I2991,INDEX($I$1:$I2991,ROW()-COUNTIFS($T$1:$T2991,"="&amp;$T2991,$S$1:$S2991,"&lt;"&amp;$S2991)))</f>
        <v>0</v>
      </c>
      <c r="Z2991" s="6">
        <f t="shared" si="414"/>
        <v>1</v>
      </c>
      <c r="AA2991" t="e">
        <f t="shared" si="415"/>
        <v>#VALUE!</v>
      </c>
      <c r="AB2991" t="str">
        <f t="shared" si="416"/>
        <v/>
      </c>
      <c r="AC2991" t="e">
        <f t="shared" si="417"/>
        <v>#VALUE!</v>
      </c>
    </row>
    <row r="2992" spans="1:29" x14ac:dyDescent="0.2">
      <c r="A2992" t="str">
        <f t="shared" si="418"/>
        <v/>
      </c>
      <c r="E2992" s="4"/>
      <c r="F2992" s="46"/>
      <c r="G2992" s="4"/>
      <c r="H2992" s="48"/>
      <c r="J2992" s="26" t="str">
        <f t="shared" si="419"/>
        <v/>
      </c>
      <c r="N2992" t="str">
        <f t="shared" si="420"/>
        <v/>
      </c>
      <c r="Q2992" t="str">
        <f t="shared" si="421"/>
        <v/>
      </c>
      <c r="S2992" t="str">
        <f>IF(A2992=1,MAX($S$2:$S2991)+1,IF(OR($I2992&lt;&gt;"",A2992="x"),$S2991,""))</f>
        <v/>
      </c>
      <c r="T2992" t="str">
        <f>IF(D2992=1,MAX($T$2:$T2991)+1,IF(S2992=S2991,$T2991,IF(D2992="x",T2991,IF(D2991="x","",""))))</f>
        <v/>
      </c>
      <c r="U2992" t="str">
        <f>IF(B2992=1,MAX($U$2:$U2991)+1,IF(AND($T2992&lt;&gt;"",$T2992=$T2991),$U2991,IF(B2992="x",U2991,"")))</f>
        <v/>
      </c>
      <c r="V2992" t="str">
        <f>IF(C2992=1,MAX($V$2:$V2991)+1,IF(AND($T2992&lt;&gt;"",$T2992=$T2991),$U2991,IF(C2992="x",V2991,"")))</f>
        <v/>
      </c>
      <c r="X2992" cm="1">
        <f t="array" ref="X2992">IF($I2992&lt;&gt;"",$I2992,INDEX($I$1:$I2992,ROW()-COUNTIFS($T$1:$T2992,"="&amp;$T2992,$S$1:$S2992,"&lt;"&amp;$S2992)))</f>
        <v>0</v>
      </c>
      <c r="Z2992" s="6">
        <f t="shared" si="414"/>
        <v>1</v>
      </c>
      <c r="AA2992" t="e">
        <f t="shared" si="415"/>
        <v>#VALUE!</v>
      </c>
      <c r="AB2992" t="str">
        <f t="shared" si="416"/>
        <v/>
      </c>
      <c r="AC2992" t="e">
        <f t="shared" si="417"/>
        <v>#VALUE!</v>
      </c>
    </row>
    <row r="2993" spans="1:29" x14ac:dyDescent="0.2">
      <c r="A2993" t="str">
        <f t="shared" si="418"/>
        <v/>
      </c>
      <c r="E2993" s="4"/>
      <c r="F2993" s="46"/>
      <c r="G2993" s="4"/>
      <c r="H2993" s="48"/>
      <c r="J2993" s="26" t="str">
        <f t="shared" si="419"/>
        <v/>
      </c>
      <c r="N2993" t="str">
        <f t="shared" si="420"/>
        <v/>
      </c>
      <c r="Q2993" t="str">
        <f t="shared" si="421"/>
        <v/>
      </c>
      <c r="S2993" t="str">
        <f>IF(A2993=1,MAX($S$2:$S2992)+1,IF(OR($I2993&lt;&gt;"",A2993="x"),$S2992,""))</f>
        <v/>
      </c>
      <c r="T2993" t="str">
        <f>IF(D2993=1,MAX($T$2:$T2992)+1,IF(S2993=S2992,$T2992,IF(D2993="x",T2992,IF(D2992="x","",""))))</f>
        <v/>
      </c>
      <c r="U2993" t="str">
        <f>IF(B2993=1,MAX($U$2:$U2992)+1,IF(AND($T2993&lt;&gt;"",$T2993=$T2992),$U2992,IF(B2993="x",U2992,"")))</f>
        <v/>
      </c>
      <c r="V2993" t="str">
        <f>IF(C2993=1,MAX($V$2:$V2992)+1,IF(AND($T2993&lt;&gt;"",$T2993=$T2992),$U2992,IF(C2993="x",V2992,"")))</f>
        <v/>
      </c>
      <c r="X2993" cm="1">
        <f t="array" ref="X2993">IF($I2993&lt;&gt;"",$I2993,INDEX($I$1:$I2993,ROW()-COUNTIFS($T$1:$T2993,"="&amp;$T2993,$S$1:$S2993,"&lt;"&amp;$S2993)))</f>
        <v>0</v>
      </c>
      <c r="Z2993" s="6">
        <f t="shared" si="414"/>
        <v>1</v>
      </c>
      <c r="AA2993" t="e">
        <f t="shared" si="415"/>
        <v>#VALUE!</v>
      </c>
      <c r="AB2993" t="str">
        <f t="shared" si="416"/>
        <v/>
      </c>
      <c r="AC2993" t="e">
        <f t="shared" si="417"/>
        <v>#VALUE!</v>
      </c>
    </row>
    <row r="2994" spans="1:29" x14ac:dyDescent="0.2">
      <c r="A2994" t="str">
        <f t="shared" si="418"/>
        <v/>
      </c>
      <c r="E2994" s="4"/>
      <c r="F2994" s="46"/>
      <c r="G2994" s="4"/>
      <c r="H2994" s="48"/>
      <c r="J2994" s="26" t="str">
        <f t="shared" si="419"/>
        <v/>
      </c>
      <c r="N2994" t="str">
        <f t="shared" si="420"/>
        <v/>
      </c>
      <c r="Q2994" t="str">
        <f t="shared" si="421"/>
        <v/>
      </c>
      <c r="S2994" t="str">
        <f>IF(A2994=1,MAX($S$2:$S2993)+1,IF(OR($I2994&lt;&gt;"",A2994="x"),$S2993,""))</f>
        <v/>
      </c>
      <c r="T2994" t="str">
        <f>IF(D2994=1,MAX($T$2:$T2993)+1,IF(S2994=S2993,$T2993,IF(D2994="x",T2993,IF(D2993="x","",""))))</f>
        <v/>
      </c>
      <c r="U2994" t="str">
        <f>IF(B2994=1,MAX($U$2:$U2993)+1,IF(AND($T2994&lt;&gt;"",$T2994=$T2993),$U2993,IF(B2994="x",U2993,"")))</f>
        <v/>
      </c>
      <c r="V2994" t="str">
        <f>IF(C2994=1,MAX($V$2:$V2993)+1,IF(AND($T2994&lt;&gt;"",$T2994=$T2993),$U2993,IF(C2994="x",V2993,"")))</f>
        <v/>
      </c>
      <c r="X2994" cm="1">
        <f t="array" ref="X2994">IF($I2994&lt;&gt;"",$I2994,INDEX($I$1:$I2994,ROW()-COUNTIFS($T$1:$T2994,"="&amp;$T2994,$S$1:$S2994,"&lt;"&amp;$S2994)))</f>
        <v>0</v>
      </c>
      <c r="Z2994" s="6">
        <f t="shared" si="414"/>
        <v>1</v>
      </c>
      <c r="AA2994" t="e">
        <f t="shared" si="415"/>
        <v>#VALUE!</v>
      </c>
      <c r="AB2994" t="str">
        <f t="shared" si="416"/>
        <v/>
      </c>
      <c r="AC2994" t="e">
        <f t="shared" si="417"/>
        <v>#VALUE!</v>
      </c>
    </row>
    <row r="2995" spans="1:29" x14ac:dyDescent="0.2">
      <c r="A2995" t="str">
        <f t="shared" si="418"/>
        <v/>
      </c>
      <c r="E2995" s="4"/>
      <c r="F2995" s="46"/>
      <c r="G2995" s="4"/>
      <c r="H2995" s="48"/>
      <c r="J2995" s="26" t="str">
        <f t="shared" si="419"/>
        <v/>
      </c>
      <c r="N2995" t="str">
        <f t="shared" si="420"/>
        <v/>
      </c>
      <c r="Q2995" t="str">
        <f t="shared" si="421"/>
        <v/>
      </c>
      <c r="S2995" t="str">
        <f>IF(A2995=1,MAX($S$2:$S2994)+1,IF(OR($I2995&lt;&gt;"",A2995="x"),$S2994,""))</f>
        <v/>
      </c>
      <c r="T2995" t="str">
        <f>IF(D2995=1,MAX($T$2:$T2994)+1,IF(S2995=S2994,$T2994,IF(D2995="x",T2994,IF(D2994="x","",""))))</f>
        <v/>
      </c>
      <c r="U2995" t="str">
        <f>IF(B2995=1,MAX($U$2:$U2994)+1,IF(AND($T2995&lt;&gt;"",$T2995=$T2994),$U2994,IF(B2995="x",U2994,"")))</f>
        <v/>
      </c>
      <c r="V2995" t="str">
        <f>IF(C2995=1,MAX($V$2:$V2994)+1,IF(AND($T2995&lt;&gt;"",$T2995=$T2994),$U2994,IF(C2995="x",V2994,"")))</f>
        <v/>
      </c>
      <c r="X2995" cm="1">
        <f t="array" ref="X2995">IF($I2995&lt;&gt;"",$I2995,INDEX($I$1:$I2995,ROW()-COUNTIFS($T$1:$T2995,"="&amp;$T2995,$S$1:$S2995,"&lt;"&amp;$S2995)))</f>
        <v>0</v>
      </c>
      <c r="Z2995" s="6">
        <f t="shared" si="414"/>
        <v>1</v>
      </c>
      <c r="AA2995" t="e">
        <f t="shared" si="415"/>
        <v>#VALUE!</v>
      </c>
      <c r="AB2995" t="str">
        <f t="shared" si="416"/>
        <v/>
      </c>
      <c r="AC2995" t="e">
        <f t="shared" si="417"/>
        <v>#VALUE!</v>
      </c>
    </row>
    <row r="2996" spans="1:29" x14ac:dyDescent="0.2">
      <c r="A2996" t="str">
        <f t="shared" si="418"/>
        <v/>
      </c>
      <c r="E2996" s="4"/>
      <c r="F2996" s="46"/>
      <c r="G2996" s="4"/>
      <c r="H2996" s="48"/>
      <c r="J2996" s="26" t="str">
        <f t="shared" si="419"/>
        <v/>
      </c>
      <c r="N2996" t="str">
        <f t="shared" si="420"/>
        <v/>
      </c>
      <c r="Q2996" t="str">
        <f t="shared" si="421"/>
        <v/>
      </c>
      <c r="S2996" t="str">
        <f>IF(A2996=1,MAX($S$2:$S2995)+1,IF(OR($I2996&lt;&gt;"",A2996="x"),$S2995,""))</f>
        <v/>
      </c>
      <c r="T2996" t="str">
        <f>IF(D2996=1,MAX($T$2:$T2995)+1,IF(S2996=S2995,$T2995,IF(D2996="x",T2995,IF(D2995="x","",""))))</f>
        <v/>
      </c>
      <c r="U2996" t="str">
        <f>IF(B2996=1,MAX($U$2:$U2995)+1,IF(AND($T2996&lt;&gt;"",$T2996=$T2995),$U2995,IF(B2996="x",U2995,"")))</f>
        <v/>
      </c>
      <c r="V2996" t="str">
        <f>IF(C2996=1,MAX($V$2:$V2995)+1,IF(AND($T2996&lt;&gt;"",$T2996=$T2995),$U2995,IF(C2996="x",V2995,"")))</f>
        <v/>
      </c>
      <c r="X2996" cm="1">
        <f t="array" ref="X2996">IF($I2996&lt;&gt;"",$I2996,INDEX($I$1:$I2996,ROW()-COUNTIFS($T$1:$T2996,"="&amp;$T2996,$S$1:$S2996,"&lt;"&amp;$S2996)))</f>
        <v>0</v>
      </c>
      <c r="Z2996" s="6">
        <f t="shared" si="414"/>
        <v>1</v>
      </c>
      <c r="AA2996" t="e">
        <f t="shared" si="415"/>
        <v>#VALUE!</v>
      </c>
      <c r="AB2996" t="str">
        <f t="shared" si="416"/>
        <v/>
      </c>
      <c r="AC2996" t="e">
        <f t="shared" si="417"/>
        <v>#VALUE!</v>
      </c>
    </row>
    <row r="2997" spans="1:29" x14ac:dyDescent="0.2">
      <c r="A2997" t="str">
        <f t="shared" si="418"/>
        <v/>
      </c>
      <c r="E2997" s="4"/>
      <c r="F2997" s="46"/>
      <c r="G2997" s="4"/>
      <c r="H2997" s="48"/>
      <c r="J2997" s="26" t="str">
        <f t="shared" si="419"/>
        <v/>
      </c>
      <c r="N2997" t="str">
        <f t="shared" si="420"/>
        <v/>
      </c>
      <c r="Q2997" t="str">
        <f t="shared" si="421"/>
        <v/>
      </c>
      <c r="S2997" t="str">
        <f>IF(A2997=1,MAX($S$2:$S2996)+1,IF(OR($I2997&lt;&gt;"",A2997="x"),$S2996,""))</f>
        <v/>
      </c>
      <c r="T2997" t="str">
        <f>IF(D2997=1,MAX($T$2:$T2996)+1,IF(S2997=S2996,$T2996,IF(D2997="x",T2996,IF(D2996="x","",""))))</f>
        <v/>
      </c>
      <c r="U2997" t="str">
        <f>IF(B2997=1,MAX($U$2:$U2996)+1,IF(AND($T2997&lt;&gt;"",$T2997=$T2996),$U2996,IF(B2997="x",U2996,"")))</f>
        <v/>
      </c>
      <c r="V2997" t="str">
        <f>IF(C2997=1,MAX($V$2:$V2996)+1,IF(AND($T2997&lt;&gt;"",$T2997=$T2996),$U2996,IF(C2997="x",V2996,"")))</f>
        <v/>
      </c>
      <c r="X2997" cm="1">
        <f t="array" ref="X2997">IF($I2997&lt;&gt;"",$I2997,INDEX($I$1:$I2997,ROW()-COUNTIFS($T$1:$T2997,"="&amp;$T2997,$S$1:$S2997,"&lt;"&amp;$S2997)))</f>
        <v>0</v>
      </c>
      <c r="Z2997" s="6">
        <f t="shared" si="414"/>
        <v>1</v>
      </c>
      <c r="AA2997" t="e">
        <f t="shared" si="415"/>
        <v>#VALUE!</v>
      </c>
      <c r="AB2997" t="str">
        <f t="shared" si="416"/>
        <v/>
      </c>
      <c r="AC2997" t="e">
        <f t="shared" si="417"/>
        <v>#VALUE!</v>
      </c>
    </row>
    <row r="2998" spans="1:29" x14ac:dyDescent="0.2">
      <c r="A2998" t="str">
        <f t="shared" si="418"/>
        <v/>
      </c>
      <c r="E2998" s="4"/>
      <c r="F2998" s="46"/>
      <c r="G2998" s="4"/>
      <c r="H2998" s="48"/>
      <c r="J2998" s="26" t="str">
        <f t="shared" si="419"/>
        <v/>
      </c>
      <c r="N2998" t="str">
        <f t="shared" si="420"/>
        <v/>
      </c>
      <c r="Q2998" t="str">
        <f t="shared" si="421"/>
        <v/>
      </c>
      <c r="S2998" t="str">
        <f>IF(A2998=1,MAX($S$2:$S2997)+1,IF(OR($I2998&lt;&gt;"",A2998="x"),$S2997,""))</f>
        <v/>
      </c>
      <c r="T2998" t="str">
        <f>IF(D2998=1,MAX($T$2:$T2997)+1,IF(S2998=S2997,$T2997,IF(D2998="x",T2997,IF(D2997="x","",""))))</f>
        <v/>
      </c>
      <c r="U2998" t="str">
        <f>IF(B2998=1,MAX($U$2:$U2997)+1,IF(AND($T2998&lt;&gt;"",$T2998=$T2997),$U2997,IF(B2998="x",U2997,"")))</f>
        <v/>
      </c>
      <c r="V2998" t="str">
        <f>IF(C2998=1,MAX($V$2:$V2997)+1,IF(AND($T2998&lt;&gt;"",$T2998=$T2997),$U2997,IF(C2998="x",V2997,"")))</f>
        <v/>
      </c>
      <c r="X2998" cm="1">
        <f t="array" ref="X2998">IF($I2998&lt;&gt;"",$I2998,INDEX($I$1:$I2998,ROW()-COUNTIFS($T$1:$T2998,"="&amp;$T2998,$S$1:$S2998,"&lt;"&amp;$S2998)))</f>
        <v>0</v>
      </c>
      <c r="Z2998" s="6">
        <f t="shared" si="414"/>
        <v>1</v>
      </c>
      <c r="AA2998" t="e">
        <f t="shared" si="415"/>
        <v>#VALUE!</v>
      </c>
      <c r="AB2998" t="str">
        <f t="shared" si="416"/>
        <v/>
      </c>
      <c r="AC2998" t="e">
        <f t="shared" si="417"/>
        <v>#VALUE!</v>
      </c>
    </row>
    <row r="2999" spans="1:29" x14ac:dyDescent="0.2">
      <c r="A2999" t="str">
        <f t="shared" si="418"/>
        <v/>
      </c>
      <c r="E2999" s="4"/>
      <c r="F2999" s="46"/>
      <c r="G2999" s="4"/>
      <c r="H2999" s="48"/>
      <c r="J2999" s="26" t="str">
        <f t="shared" si="419"/>
        <v/>
      </c>
      <c r="N2999" t="str">
        <f t="shared" si="420"/>
        <v/>
      </c>
      <c r="Q2999" t="str">
        <f t="shared" si="421"/>
        <v/>
      </c>
      <c r="S2999" t="str">
        <f>IF(A2999=1,MAX($S$2:$S2998)+1,IF(OR($I2999&lt;&gt;"",A2999="x"),$S2998,""))</f>
        <v/>
      </c>
      <c r="T2999" t="str">
        <f>IF(D2999=1,MAX($T$2:$T2998)+1,IF(S2999=S2998,$T2998,IF(D2999="x",T2998,IF(D2998="x","",""))))</f>
        <v/>
      </c>
      <c r="U2999" t="str">
        <f>IF(B2999=1,MAX($U$2:$U2998)+1,IF(AND($T2999&lt;&gt;"",$T2999=$T2998),$U2998,IF(B2999="x",U2998,"")))</f>
        <v/>
      </c>
      <c r="V2999" t="str">
        <f>IF(C2999=1,MAX($V$2:$V2998)+1,IF(AND($T2999&lt;&gt;"",$T2999=$T2998),$U2998,IF(C2999="x",V2998,"")))</f>
        <v/>
      </c>
      <c r="X2999" cm="1">
        <f t="array" ref="X2999">IF($I2999&lt;&gt;"",$I2999,INDEX($I$1:$I2999,ROW()-COUNTIFS($T$1:$T2999,"="&amp;$T2999,$S$1:$S2999,"&lt;"&amp;$S2999)))</f>
        <v>0</v>
      </c>
      <c r="Z2999" s="6">
        <f t="shared" si="414"/>
        <v>1</v>
      </c>
      <c r="AA2999" t="e">
        <f t="shared" si="415"/>
        <v>#VALUE!</v>
      </c>
      <c r="AB2999" t="str">
        <f t="shared" si="416"/>
        <v/>
      </c>
      <c r="AC2999" t="e">
        <f t="shared" si="417"/>
        <v>#VALUE!</v>
      </c>
    </row>
    <row r="3000" spans="1:29" x14ac:dyDescent="0.2">
      <c r="A3000" t="str">
        <f t="shared" si="418"/>
        <v/>
      </c>
      <c r="E3000" s="4"/>
      <c r="F3000" s="46"/>
      <c r="G3000" s="4"/>
      <c r="H3000" s="48"/>
      <c r="J3000" s="26" t="str">
        <f t="shared" si="419"/>
        <v/>
      </c>
      <c r="N3000" t="str">
        <f t="shared" si="420"/>
        <v/>
      </c>
      <c r="Q3000" t="str">
        <f t="shared" si="421"/>
        <v/>
      </c>
      <c r="S3000" t="str">
        <f>IF(A3000=1,MAX($S$2:$S2999)+1,IF(OR($I3000&lt;&gt;"",A3000="x"),$S2999,""))</f>
        <v/>
      </c>
      <c r="T3000" t="str">
        <f>IF(D3000=1,MAX($T$2:$T2999)+1,IF(S3000=S2999,$T2999,IF(D3000="x",T2999,IF(D2999="x","",""))))</f>
        <v/>
      </c>
      <c r="U3000" t="str">
        <f>IF(B3000=1,MAX($U$2:$U2999)+1,IF(AND($T3000&lt;&gt;"",$T3000=$T2999),$U2999,IF(B3000="x",U2999,"")))</f>
        <v/>
      </c>
      <c r="V3000" t="str">
        <f>IF(C3000=1,MAX($V$2:$V2999)+1,IF(AND($T3000&lt;&gt;"",$T3000=$T2999),$U2999,IF(C3000="x",V2999,"")))</f>
        <v/>
      </c>
      <c r="X3000" cm="1">
        <f t="array" ref="X3000">IF($I3000&lt;&gt;"",$I3000,INDEX($I$1:$I3000,ROW()-COUNTIFS($T$1:$T3000,"="&amp;$T3000,$S$1:$S3000,"&lt;"&amp;$S3000)))</f>
        <v>0</v>
      </c>
      <c r="Z3000" s="6">
        <f t="shared" si="414"/>
        <v>1</v>
      </c>
      <c r="AA3000" t="e">
        <f t="shared" si="415"/>
        <v>#VALUE!</v>
      </c>
      <c r="AB3000" t="str">
        <f t="shared" si="416"/>
        <v/>
      </c>
      <c r="AC3000" t="e">
        <f t="shared" si="417"/>
        <v>#VALUE!</v>
      </c>
    </row>
    <row r="3001" spans="1:29" x14ac:dyDescent="0.2">
      <c r="A3001" t="str">
        <f t="shared" si="418"/>
        <v/>
      </c>
      <c r="E3001" s="4"/>
      <c r="F3001" s="46"/>
      <c r="G3001" s="4"/>
      <c r="H3001" s="48"/>
      <c r="J3001" s="26" t="str">
        <f t="shared" si="419"/>
        <v/>
      </c>
      <c r="N3001" t="str">
        <f t="shared" si="420"/>
        <v/>
      </c>
      <c r="Q3001" t="str">
        <f t="shared" si="421"/>
        <v/>
      </c>
      <c r="S3001" t="str">
        <f>IF(A3001=1,MAX($S$2:$S3000)+1,IF(OR($I3001&lt;&gt;"",A3001="x"),$S3000,""))</f>
        <v/>
      </c>
      <c r="T3001" t="str">
        <f>IF(D3001=1,MAX($T$2:$T3000)+1,IF(S3001=S3000,$T3000,IF(D3001="x",T3000,IF(D3000="x","",""))))</f>
        <v/>
      </c>
      <c r="U3001" t="str">
        <f>IF(B3001=1,MAX($U$2:$U3000)+1,IF(AND($T3001&lt;&gt;"",$T3001=$T3000),$U3000,IF(B3001="x",U3000,"")))</f>
        <v/>
      </c>
      <c r="V3001" t="str">
        <f>IF(C3001=1,MAX($V$2:$V3000)+1,IF(AND($T3001&lt;&gt;"",$T3001=$T3000),$U3000,IF(C3001="x",V3000,"")))</f>
        <v/>
      </c>
      <c r="X3001" cm="1">
        <f t="array" ref="X3001">IF($I3001&lt;&gt;"",$I3001,INDEX($I$1:$I3001,ROW()-COUNTIFS($T$1:$T3001,"="&amp;$T3001,$S$1:$S3001,"&lt;"&amp;$S3001)))</f>
        <v>0</v>
      </c>
      <c r="Z3001" s="6">
        <f t="shared" si="414"/>
        <v>1</v>
      </c>
      <c r="AA3001" t="e">
        <f t="shared" si="415"/>
        <v>#VALUE!</v>
      </c>
      <c r="AB3001" t="str">
        <f t="shared" si="416"/>
        <v/>
      </c>
      <c r="AC3001" t="e">
        <f t="shared" si="417"/>
        <v>#VALUE!</v>
      </c>
    </row>
    <row r="3002" spans="1:29" x14ac:dyDescent="0.2">
      <c r="A3002" t="str">
        <f t="shared" si="418"/>
        <v/>
      </c>
      <c r="E3002" s="4"/>
      <c r="F3002" s="46"/>
      <c r="G3002" s="4"/>
      <c r="H3002" s="48"/>
      <c r="J3002" s="26" t="str">
        <f t="shared" si="419"/>
        <v/>
      </c>
      <c r="N3002" t="str">
        <f t="shared" si="420"/>
        <v/>
      </c>
      <c r="Q3002" t="str">
        <f t="shared" si="421"/>
        <v/>
      </c>
      <c r="S3002" t="str">
        <f>IF(A3002=1,MAX($S$2:$S3001)+1,IF(OR($I3002&lt;&gt;"",A3002="x"),$S3001,""))</f>
        <v/>
      </c>
      <c r="T3002" t="str">
        <f>IF(D3002=1,MAX($T$2:$T3001)+1,IF(S3002=S3001,$T3001,IF(D3002="x",T3001,IF(D3001="x","",""))))</f>
        <v/>
      </c>
      <c r="U3002" t="str">
        <f>IF(B3002=1,MAX($U$2:$U3001)+1,IF(AND($T3002&lt;&gt;"",$T3002=$T3001),$U3001,IF(B3002="x",U3001,"")))</f>
        <v/>
      </c>
      <c r="V3002" t="str">
        <f>IF(C3002=1,MAX($V$2:$V3001)+1,IF(AND($T3002&lt;&gt;"",$T3002=$T3001),$U3001,IF(C3002="x",V3001,"")))</f>
        <v/>
      </c>
      <c r="X3002" cm="1">
        <f t="array" ref="X3002">IF($I3002&lt;&gt;"",$I3002,INDEX($I$1:$I3002,ROW()-COUNTIFS($T$1:$T3002,"="&amp;$T3002,$S$1:$S3002,"&lt;"&amp;$S3002)))</f>
        <v>0</v>
      </c>
      <c r="Z3002" s="6">
        <f t="shared" si="414"/>
        <v>1</v>
      </c>
      <c r="AA3002" t="e">
        <f t="shared" si="415"/>
        <v>#VALUE!</v>
      </c>
      <c r="AB3002" t="str">
        <f t="shared" si="416"/>
        <v/>
      </c>
      <c r="AC3002" t="e">
        <f t="shared" si="417"/>
        <v>#VALUE!</v>
      </c>
    </row>
    <row r="3003" spans="1:29" x14ac:dyDescent="0.2">
      <c r="A3003" t="str">
        <f t="shared" si="418"/>
        <v/>
      </c>
      <c r="E3003" s="4"/>
      <c r="F3003" s="46"/>
      <c r="G3003" s="4"/>
      <c r="H3003" s="48"/>
      <c r="J3003" s="26" t="str">
        <f t="shared" si="419"/>
        <v/>
      </c>
      <c r="N3003" t="str">
        <f t="shared" si="420"/>
        <v/>
      </c>
      <c r="Q3003" t="str">
        <f t="shared" si="421"/>
        <v/>
      </c>
      <c r="S3003" t="str">
        <f>IF(A3003=1,MAX($S$2:$S3002)+1,IF(OR($I3003&lt;&gt;"",A3003="x"),$S3002,""))</f>
        <v/>
      </c>
      <c r="T3003" t="str">
        <f>IF(D3003=1,MAX($T$2:$T3002)+1,IF(S3003=S3002,$T3002,IF(D3003="x",T3002,IF(D3002="x","",""))))</f>
        <v/>
      </c>
      <c r="U3003" t="str">
        <f>IF(B3003=1,MAX($U$2:$U3002)+1,IF(AND($T3003&lt;&gt;"",$T3003=$T3002),$U3002,IF(B3003="x",U3002,"")))</f>
        <v/>
      </c>
      <c r="V3003" t="str">
        <f>IF(C3003=1,MAX($V$2:$V3002)+1,IF(AND($T3003&lt;&gt;"",$T3003=$T3002),$U3002,IF(C3003="x",V3002,"")))</f>
        <v/>
      </c>
      <c r="X3003" cm="1">
        <f t="array" ref="X3003">IF($I3003&lt;&gt;"",$I3003,INDEX($I$1:$I3003,ROW()-COUNTIFS($T$1:$T3003,"="&amp;$T3003,$S$1:$S3003,"&lt;"&amp;$S3003)))</f>
        <v>0</v>
      </c>
      <c r="Z3003" s="6">
        <f t="shared" si="414"/>
        <v>1</v>
      </c>
      <c r="AA3003" t="e">
        <f t="shared" si="415"/>
        <v>#VALUE!</v>
      </c>
      <c r="AB3003" t="str">
        <f t="shared" si="416"/>
        <v/>
      </c>
      <c r="AC3003" t="e">
        <f t="shared" si="417"/>
        <v>#VALUE!</v>
      </c>
    </row>
    <row r="3004" spans="1:29" x14ac:dyDescent="0.2">
      <c r="A3004" t="str">
        <f t="shared" si="418"/>
        <v/>
      </c>
      <c r="E3004" s="4"/>
      <c r="F3004" s="46"/>
      <c r="G3004" s="4"/>
      <c r="H3004" s="48"/>
      <c r="J3004" s="26" t="str">
        <f t="shared" si="419"/>
        <v/>
      </c>
      <c r="N3004" t="str">
        <f t="shared" si="420"/>
        <v/>
      </c>
      <c r="Q3004" t="str">
        <f t="shared" si="421"/>
        <v/>
      </c>
      <c r="S3004" t="str">
        <f>IF(A3004=1,MAX($S$2:$S3003)+1,IF(OR($I3004&lt;&gt;"",A3004="x"),$S3003,""))</f>
        <v/>
      </c>
      <c r="T3004" t="str">
        <f>IF(D3004=1,MAX($T$2:$T3003)+1,IF(S3004=S3003,$T3003,IF(D3004="x",T3003,IF(D3003="x","",""))))</f>
        <v/>
      </c>
      <c r="U3004" t="str">
        <f>IF(B3004=1,MAX($U$2:$U3003)+1,IF(AND($T3004&lt;&gt;"",$T3004=$T3003),$U3003,IF(B3004="x",U3003,"")))</f>
        <v/>
      </c>
      <c r="V3004" t="str">
        <f>IF(C3004=1,MAX($V$2:$V3003)+1,IF(AND($T3004&lt;&gt;"",$T3004=$T3003),$U3003,IF(C3004="x",V3003,"")))</f>
        <v/>
      </c>
      <c r="X3004" cm="1">
        <f t="array" ref="X3004">IF($I3004&lt;&gt;"",$I3004,INDEX($I$1:$I3004,ROW()-COUNTIFS($T$1:$T3004,"="&amp;$T3004,$S$1:$S3004,"&lt;"&amp;$S3004)))</f>
        <v>0</v>
      </c>
      <c r="Z3004" s="6">
        <f t="shared" si="414"/>
        <v>1</v>
      </c>
      <c r="AA3004" t="e">
        <f t="shared" si="415"/>
        <v>#VALUE!</v>
      </c>
      <c r="AB3004" t="str">
        <f t="shared" si="416"/>
        <v/>
      </c>
      <c r="AC3004" t="e">
        <f t="shared" si="417"/>
        <v>#VALUE!</v>
      </c>
    </row>
    <row r="3005" spans="1:29" x14ac:dyDescent="0.2">
      <c r="A3005" t="str">
        <f t="shared" si="418"/>
        <v/>
      </c>
      <c r="E3005" s="4"/>
      <c r="F3005" s="46"/>
      <c r="G3005" s="4"/>
      <c r="H3005" s="48"/>
      <c r="J3005" s="26" t="str">
        <f t="shared" si="419"/>
        <v/>
      </c>
      <c r="N3005" t="str">
        <f t="shared" si="420"/>
        <v/>
      </c>
      <c r="Q3005" t="str">
        <f t="shared" si="421"/>
        <v/>
      </c>
      <c r="S3005" t="str">
        <f>IF(A3005=1,MAX($S$2:$S3004)+1,IF(OR($I3005&lt;&gt;"",A3005="x"),$S3004,""))</f>
        <v/>
      </c>
      <c r="T3005" t="str">
        <f>IF(D3005=1,MAX($T$2:$T3004)+1,IF(S3005=S3004,$T3004,IF(D3005="x",T3004,IF(D3004="x","",""))))</f>
        <v/>
      </c>
      <c r="U3005" t="str">
        <f>IF(B3005=1,MAX($U$2:$U3004)+1,IF(AND($T3005&lt;&gt;"",$T3005=$T3004),$U3004,IF(B3005="x",U3004,"")))</f>
        <v/>
      </c>
      <c r="V3005" t="str">
        <f>IF(C3005=1,MAX($V$2:$V3004)+1,IF(AND($T3005&lt;&gt;"",$T3005=$T3004),$U3004,IF(C3005="x",V3004,"")))</f>
        <v/>
      </c>
      <c r="X3005" cm="1">
        <f t="array" ref="X3005">IF($I3005&lt;&gt;"",$I3005,INDEX($I$1:$I3005,ROW()-COUNTIFS($T$1:$T3005,"="&amp;$T3005,$S$1:$S3005,"&lt;"&amp;$S3005)))</f>
        <v>0</v>
      </c>
      <c r="Z3005" s="6">
        <f t="shared" si="414"/>
        <v>1</v>
      </c>
      <c r="AA3005" t="e">
        <f t="shared" si="415"/>
        <v>#VALUE!</v>
      </c>
      <c r="AB3005" t="str">
        <f t="shared" si="416"/>
        <v/>
      </c>
      <c r="AC3005" t="e">
        <f t="shared" si="417"/>
        <v>#VALUE!</v>
      </c>
    </row>
    <row r="3006" spans="1:29" x14ac:dyDescent="0.2">
      <c r="A3006" t="str">
        <f t="shared" si="418"/>
        <v/>
      </c>
      <c r="E3006" s="4"/>
      <c r="F3006" s="46"/>
      <c r="G3006" s="4"/>
      <c r="H3006" s="48"/>
      <c r="J3006" s="26" t="str">
        <f t="shared" si="419"/>
        <v/>
      </c>
      <c r="N3006" t="str">
        <f t="shared" si="420"/>
        <v/>
      </c>
      <c r="Q3006" t="str">
        <f t="shared" si="421"/>
        <v/>
      </c>
      <c r="S3006" t="str">
        <f>IF(A3006=1,MAX($S$2:$S3005)+1,IF(OR($I3006&lt;&gt;"",A3006="x"),$S3005,""))</f>
        <v/>
      </c>
      <c r="T3006" t="str">
        <f>IF(D3006=1,MAX($T$2:$T3005)+1,IF(S3006=S3005,$T3005,IF(D3006="x",T3005,IF(D3005="x","",""))))</f>
        <v/>
      </c>
      <c r="U3006" t="str">
        <f>IF(B3006=1,MAX($U$2:$U3005)+1,IF(AND($T3006&lt;&gt;"",$T3006=$T3005),$U3005,IF(B3006="x",U3005,"")))</f>
        <v/>
      </c>
      <c r="V3006" t="str">
        <f>IF(C3006=1,MAX($V$2:$V3005)+1,IF(AND($T3006&lt;&gt;"",$T3006=$T3005),$U3005,IF(C3006="x",V3005,"")))</f>
        <v/>
      </c>
      <c r="X3006" cm="1">
        <f t="array" ref="X3006">IF($I3006&lt;&gt;"",$I3006,INDEX($I$1:$I3006,ROW()-COUNTIFS($T$1:$T3006,"="&amp;$T3006,$S$1:$S3006,"&lt;"&amp;$S3006)))</f>
        <v>0</v>
      </c>
      <c r="Z3006" s="6">
        <f t="shared" si="414"/>
        <v>1</v>
      </c>
      <c r="AA3006" t="e">
        <f t="shared" si="415"/>
        <v>#VALUE!</v>
      </c>
      <c r="AB3006" t="str">
        <f t="shared" si="416"/>
        <v/>
      </c>
      <c r="AC3006" t="e">
        <f t="shared" si="417"/>
        <v>#VALUE!</v>
      </c>
    </row>
    <row r="3007" spans="1:29" x14ac:dyDescent="0.2">
      <c r="A3007" t="str">
        <f t="shared" si="418"/>
        <v/>
      </c>
      <c r="E3007" s="4"/>
      <c r="F3007" s="46"/>
      <c r="G3007" s="4"/>
      <c r="H3007" s="48"/>
      <c r="J3007" s="26" t="str">
        <f t="shared" si="419"/>
        <v/>
      </c>
      <c r="N3007" t="str">
        <f t="shared" si="420"/>
        <v/>
      </c>
      <c r="Q3007" t="str">
        <f t="shared" si="421"/>
        <v/>
      </c>
      <c r="S3007" t="str">
        <f>IF(A3007=1,MAX($S$2:$S3006)+1,IF(OR($I3007&lt;&gt;"",A3007="x"),$S3006,""))</f>
        <v/>
      </c>
      <c r="T3007" t="str">
        <f>IF(D3007=1,MAX($T$2:$T3006)+1,IF(S3007=S3006,$T3006,IF(D3007="x",T3006,IF(D3006="x","",""))))</f>
        <v/>
      </c>
      <c r="U3007" t="str">
        <f>IF(B3007=1,MAX($U$2:$U3006)+1,IF(AND($T3007&lt;&gt;"",$T3007=$T3006),$U3006,IF(B3007="x",U3006,"")))</f>
        <v/>
      </c>
      <c r="V3007" t="str">
        <f>IF(C3007=1,MAX($V$2:$V3006)+1,IF(AND($T3007&lt;&gt;"",$T3007=$T3006),$U3006,IF(C3007="x",V3006,"")))</f>
        <v/>
      </c>
      <c r="X3007" cm="1">
        <f t="array" ref="X3007">IF($I3007&lt;&gt;"",$I3007,INDEX($I$1:$I3007,ROW()-COUNTIFS($T$1:$T3007,"="&amp;$T3007,$S$1:$S3007,"&lt;"&amp;$S3007)))</f>
        <v>0</v>
      </c>
      <c r="Z3007" s="6">
        <f t="shared" si="414"/>
        <v>1</v>
      </c>
      <c r="AA3007" t="e">
        <f t="shared" si="415"/>
        <v>#VALUE!</v>
      </c>
      <c r="AB3007" t="str">
        <f t="shared" si="416"/>
        <v/>
      </c>
      <c r="AC3007" t="e">
        <f t="shared" si="417"/>
        <v>#VALUE!</v>
      </c>
    </row>
    <row r="3008" spans="1:29" x14ac:dyDescent="0.2">
      <c r="A3008" t="str">
        <f t="shared" si="418"/>
        <v/>
      </c>
      <c r="E3008" s="4"/>
      <c r="F3008" s="46"/>
      <c r="G3008" s="4"/>
      <c r="H3008" s="48"/>
      <c r="J3008" s="26" t="str">
        <f t="shared" si="419"/>
        <v/>
      </c>
      <c r="N3008" t="str">
        <f t="shared" si="420"/>
        <v/>
      </c>
      <c r="Q3008" t="str">
        <f t="shared" si="421"/>
        <v/>
      </c>
      <c r="S3008" t="str">
        <f>IF(A3008=1,MAX($S$2:$S3007)+1,IF(OR($I3008&lt;&gt;"",A3008="x"),$S3007,""))</f>
        <v/>
      </c>
      <c r="T3008" t="str">
        <f>IF(D3008=1,MAX($T$2:$T3007)+1,IF(S3008=S3007,$T3007,IF(D3008="x",T3007,IF(D3007="x","",""))))</f>
        <v/>
      </c>
      <c r="U3008" t="str">
        <f>IF(B3008=1,MAX($U$2:$U3007)+1,IF(AND($T3008&lt;&gt;"",$T3008=$T3007),$U3007,IF(B3008="x",U3007,"")))</f>
        <v/>
      </c>
      <c r="V3008" t="str">
        <f>IF(C3008=1,MAX($V$2:$V3007)+1,IF(AND($T3008&lt;&gt;"",$T3008=$T3007),$U3007,IF(C3008="x",V3007,"")))</f>
        <v/>
      </c>
      <c r="X3008" cm="1">
        <f t="array" ref="X3008">IF($I3008&lt;&gt;"",$I3008,INDEX($I$1:$I3008,ROW()-COUNTIFS($T$1:$T3008,"="&amp;$T3008,$S$1:$S3008,"&lt;"&amp;$S3008)))</f>
        <v>0</v>
      </c>
      <c r="Z3008" s="6">
        <f t="shared" si="414"/>
        <v>1</v>
      </c>
      <c r="AA3008" t="e">
        <f t="shared" si="415"/>
        <v>#VALUE!</v>
      </c>
      <c r="AB3008" t="str">
        <f t="shared" si="416"/>
        <v/>
      </c>
      <c r="AC3008" t="e">
        <f t="shared" si="417"/>
        <v>#VALUE!</v>
      </c>
    </row>
    <row r="3009" spans="1:29" x14ac:dyDescent="0.2">
      <c r="A3009" t="str">
        <f t="shared" si="418"/>
        <v/>
      </c>
      <c r="E3009" s="4"/>
      <c r="F3009" s="46"/>
      <c r="G3009" s="4"/>
      <c r="H3009" s="48"/>
      <c r="J3009" s="26" t="str">
        <f t="shared" si="419"/>
        <v/>
      </c>
      <c r="N3009" t="str">
        <f t="shared" si="420"/>
        <v/>
      </c>
      <c r="Q3009" t="str">
        <f t="shared" si="421"/>
        <v/>
      </c>
      <c r="S3009" t="str">
        <f>IF(A3009=1,MAX($S$2:$S3008)+1,IF(OR($I3009&lt;&gt;"",A3009="x"),$S3008,""))</f>
        <v/>
      </c>
      <c r="T3009" t="str">
        <f>IF(D3009=1,MAX($T$2:$T3008)+1,IF(S3009=S3008,$T3008,IF(D3009="x",T3008,IF(D3008="x","",""))))</f>
        <v/>
      </c>
      <c r="U3009" t="str">
        <f>IF(B3009=1,MAX($U$2:$U3008)+1,IF(AND($T3009&lt;&gt;"",$T3009=$T3008),$U3008,IF(B3009="x",U3008,"")))</f>
        <v/>
      </c>
      <c r="V3009" t="str">
        <f>IF(C3009=1,MAX($V$2:$V3008)+1,IF(AND($T3009&lt;&gt;"",$T3009=$T3008),$U3008,IF(C3009="x",V3008,"")))</f>
        <v/>
      </c>
      <c r="X3009" cm="1">
        <f t="array" ref="X3009">IF($I3009&lt;&gt;"",$I3009,INDEX($I$1:$I3009,ROW()-COUNTIFS($T$1:$T3009,"="&amp;$T3009,$S$1:$S3009,"&lt;"&amp;$S3009)))</f>
        <v>0</v>
      </c>
      <c r="Z3009" s="6">
        <f t="shared" si="414"/>
        <v>1</v>
      </c>
      <c r="AA3009" t="e">
        <f t="shared" si="415"/>
        <v>#VALUE!</v>
      </c>
      <c r="AB3009" t="str">
        <f t="shared" si="416"/>
        <v/>
      </c>
      <c r="AC3009" t="e">
        <f t="shared" si="417"/>
        <v>#VALUE!</v>
      </c>
    </row>
    <row r="3010" spans="1:29" x14ac:dyDescent="0.2">
      <c r="A3010" t="str">
        <f t="shared" si="418"/>
        <v/>
      </c>
      <c r="E3010" s="4"/>
      <c r="F3010" s="46"/>
      <c r="G3010" s="4"/>
      <c r="H3010" s="48"/>
      <c r="J3010" s="26" t="str">
        <f t="shared" si="419"/>
        <v/>
      </c>
      <c r="N3010" t="str">
        <f t="shared" si="420"/>
        <v/>
      </c>
      <c r="Q3010" t="str">
        <f t="shared" si="421"/>
        <v/>
      </c>
      <c r="S3010" t="str">
        <f>IF(A3010=1,MAX($S$2:$S3009)+1,IF(OR($I3010&lt;&gt;"",A3010="x"),$S3009,""))</f>
        <v/>
      </c>
      <c r="T3010" t="str">
        <f>IF(D3010=1,MAX($T$2:$T3009)+1,IF(S3010=S3009,$T3009,IF(D3010="x",T3009,IF(D3009="x","",""))))</f>
        <v/>
      </c>
      <c r="U3010" t="str">
        <f>IF(B3010=1,MAX($U$2:$U3009)+1,IF(AND($T3010&lt;&gt;"",$T3010=$T3009),$U3009,IF(B3010="x",U3009,"")))</f>
        <v/>
      </c>
      <c r="V3010" t="str">
        <f>IF(C3010=1,MAX($V$2:$V3009)+1,IF(AND($T3010&lt;&gt;"",$T3010=$T3009),$U3009,IF(C3010="x",V3009,"")))</f>
        <v/>
      </c>
      <c r="X3010" cm="1">
        <f t="array" ref="X3010">IF($I3010&lt;&gt;"",$I3010,INDEX($I$1:$I3010,ROW()-COUNTIFS($T$1:$T3010,"="&amp;$T3010,$S$1:$S3010,"&lt;"&amp;$S3010)))</f>
        <v>0</v>
      </c>
      <c r="Z3010" s="6">
        <f t="shared" si="414"/>
        <v>1</v>
      </c>
      <c r="AA3010" t="e">
        <f t="shared" si="415"/>
        <v>#VALUE!</v>
      </c>
      <c r="AB3010" t="str">
        <f t="shared" si="416"/>
        <v/>
      </c>
      <c r="AC3010" t="e">
        <f t="shared" si="417"/>
        <v>#VALUE!</v>
      </c>
    </row>
    <row r="3011" spans="1:29" x14ac:dyDescent="0.2">
      <c r="A3011" t="str">
        <f t="shared" si="418"/>
        <v/>
      </c>
      <c r="E3011" s="4"/>
      <c r="F3011" s="46"/>
      <c r="G3011" s="4"/>
      <c r="H3011" s="48"/>
      <c r="J3011" s="26" t="str">
        <f t="shared" si="419"/>
        <v/>
      </c>
      <c r="N3011" t="str">
        <f t="shared" si="420"/>
        <v/>
      </c>
      <c r="Q3011" t="str">
        <f t="shared" si="421"/>
        <v/>
      </c>
      <c r="S3011" t="str">
        <f>IF(A3011=1,MAX($S$2:$S3010)+1,IF(OR($I3011&lt;&gt;"",A3011="x"),$S3010,""))</f>
        <v/>
      </c>
      <c r="T3011" t="str">
        <f>IF(D3011=1,MAX($T$2:$T3010)+1,IF(S3011=S3010,$T3010,IF(D3011="x",T3010,IF(D3010="x","",""))))</f>
        <v/>
      </c>
      <c r="U3011" t="str">
        <f>IF(B3011=1,MAX($U$2:$U3010)+1,IF(AND($T3011&lt;&gt;"",$T3011=$T3010),$U3010,IF(B3011="x",U3010,"")))</f>
        <v/>
      </c>
      <c r="V3011" t="str">
        <f>IF(C3011=1,MAX($V$2:$V3010)+1,IF(AND($T3011&lt;&gt;"",$T3011=$T3010),$U3010,IF(C3011="x",V3010,"")))</f>
        <v/>
      </c>
      <c r="X3011" cm="1">
        <f t="array" ref="X3011">IF($I3011&lt;&gt;"",$I3011,INDEX($I$1:$I3011,ROW()-COUNTIFS($T$1:$T3011,"="&amp;$T3011,$S$1:$S3011,"&lt;"&amp;$S3011)))</f>
        <v>0</v>
      </c>
      <c r="Z3011" s="6">
        <f t="shared" si="414"/>
        <v>1</v>
      </c>
      <c r="AA3011" t="e">
        <f t="shared" si="415"/>
        <v>#VALUE!</v>
      </c>
      <c r="AB3011" t="str">
        <f t="shared" si="416"/>
        <v/>
      </c>
      <c r="AC3011" t="e">
        <f t="shared" si="417"/>
        <v>#VALUE!</v>
      </c>
    </row>
    <row r="3012" spans="1:29" x14ac:dyDescent="0.2">
      <c r="A3012" t="str">
        <f t="shared" si="418"/>
        <v/>
      </c>
      <c r="E3012" s="4"/>
      <c r="F3012" s="46"/>
      <c r="G3012" s="4"/>
      <c r="H3012" s="48"/>
      <c r="J3012" s="26" t="str">
        <f t="shared" si="419"/>
        <v/>
      </c>
      <c r="N3012" t="str">
        <f t="shared" si="420"/>
        <v/>
      </c>
      <c r="Q3012" t="str">
        <f t="shared" si="421"/>
        <v/>
      </c>
      <c r="S3012" t="str">
        <f>IF(A3012=1,MAX($S$2:$S3011)+1,IF(OR($I3012&lt;&gt;"",A3012="x"),$S3011,""))</f>
        <v/>
      </c>
      <c r="T3012" t="str">
        <f>IF(D3012=1,MAX($T$2:$T3011)+1,IF(S3012=S3011,$T3011,IF(D3012="x",T3011,IF(D3011="x","",""))))</f>
        <v/>
      </c>
      <c r="U3012" t="str">
        <f>IF(B3012=1,MAX($U$2:$U3011)+1,IF(AND($T3012&lt;&gt;"",$T3012=$T3011),$U3011,IF(B3012="x",U3011,"")))</f>
        <v/>
      </c>
      <c r="V3012" t="str">
        <f>IF(C3012=1,MAX($V$2:$V3011)+1,IF(AND($T3012&lt;&gt;"",$T3012=$T3011),$U3011,IF(C3012="x",V3011,"")))</f>
        <v/>
      </c>
      <c r="X3012" cm="1">
        <f t="array" ref="X3012">IF($I3012&lt;&gt;"",$I3012,INDEX($I$1:$I3012,ROW()-COUNTIFS($T$1:$T3012,"="&amp;$T3012,$S$1:$S3012,"&lt;"&amp;$S3012)))</f>
        <v>0</v>
      </c>
      <c r="Z3012" s="6">
        <f t="shared" si="414"/>
        <v>1</v>
      </c>
      <c r="AA3012" t="e">
        <f t="shared" si="415"/>
        <v>#VALUE!</v>
      </c>
      <c r="AB3012" t="str">
        <f t="shared" si="416"/>
        <v/>
      </c>
      <c r="AC3012" t="e">
        <f t="shared" si="417"/>
        <v>#VALUE!</v>
      </c>
    </row>
    <row r="3013" spans="1:29" x14ac:dyDescent="0.2">
      <c r="A3013" t="str">
        <f t="shared" si="418"/>
        <v/>
      </c>
      <c r="E3013" s="4"/>
      <c r="F3013" s="46"/>
      <c r="G3013" s="4"/>
      <c r="H3013" s="48"/>
      <c r="J3013" s="26" t="str">
        <f t="shared" si="419"/>
        <v/>
      </c>
      <c r="N3013" t="str">
        <f t="shared" si="420"/>
        <v/>
      </c>
      <c r="Q3013" t="str">
        <f t="shared" si="421"/>
        <v/>
      </c>
      <c r="S3013" t="str">
        <f>IF(A3013=1,MAX($S$2:$S3012)+1,IF(OR($I3013&lt;&gt;"",A3013="x"),$S3012,""))</f>
        <v/>
      </c>
      <c r="T3013" t="str">
        <f>IF(D3013=1,MAX($T$2:$T3012)+1,IF(S3013=S3012,$T3012,IF(D3013="x",T3012,IF(D3012="x","",""))))</f>
        <v/>
      </c>
      <c r="U3013" t="str">
        <f>IF(B3013=1,MAX($U$2:$U3012)+1,IF(AND($T3013&lt;&gt;"",$T3013=$T3012),$U3012,IF(B3013="x",U3012,"")))</f>
        <v/>
      </c>
      <c r="V3013" t="str">
        <f>IF(C3013=1,MAX($V$2:$V3012)+1,IF(AND($T3013&lt;&gt;"",$T3013=$T3012),$U3012,IF(C3013="x",V3012,"")))</f>
        <v/>
      </c>
      <c r="X3013" cm="1">
        <f t="array" ref="X3013">IF($I3013&lt;&gt;"",$I3013,INDEX($I$1:$I3013,ROW()-COUNTIFS($T$1:$T3013,"="&amp;$T3013,$S$1:$S3013,"&lt;"&amp;$S3013)))</f>
        <v>0</v>
      </c>
      <c r="Z3013" s="6">
        <f t="shared" ref="Z3013:Z3076" si="422">IF(K3013="Intermission",Z3012+1,Z3012)</f>
        <v>1</v>
      </c>
      <c r="AA3013" t="e">
        <f t="shared" ref="AA3013:AA3076" si="423">S3013+1000</f>
        <v>#VALUE!</v>
      </c>
      <c r="AB3013" t="str">
        <f t="shared" ref="AB3013:AB3076" si="424">IF(T3013&lt;&gt;"",9000+T3013,"")</f>
        <v/>
      </c>
      <c r="AC3013" t="e">
        <f t="shared" ref="AC3013:AC3076" si="425">IF(AB3013&lt;&gt;"",AB3013,S3013+1000)</f>
        <v>#VALUE!</v>
      </c>
    </row>
    <row r="3014" spans="1:29" x14ac:dyDescent="0.2">
      <c r="A3014" t="str">
        <f t="shared" si="418"/>
        <v/>
      </c>
      <c r="E3014" s="4"/>
      <c r="F3014" s="46"/>
      <c r="G3014" s="4"/>
      <c r="H3014" s="48"/>
      <c r="J3014" s="26" t="str">
        <f t="shared" si="419"/>
        <v/>
      </c>
      <c r="N3014" t="str">
        <f t="shared" si="420"/>
        <v/>
      </c>
      <c r="Q3014" t="str">
        <f t="shared" si="421"/>
        <v/>
      </c>
      <c r="S3014" t="str">
        <f>IF(A3014=1,MAX($S$2:$S3013)+1,IF(OR($I3014&lt;&gt;"",A3014="x"),$S3013,""))</f>
        <v/>
      </c>
      <c r="T3014" t="str">
        <f>IF(D3014=1,MAX($T$2:$T3013)+1,IF(S3014=S3013,$T3013,IF(D3014="x",T3013,IF(D3013="x","",""))))</f>
        <v/>
      </c>
      <c r="U3014" t="str">
        <f>IF(B3014=1,MAX($U$2:$U3013)+1,IF(AND($T3014&lt;&gt;"",$T3014=$T3013),$U3013,IF(B3014="x",U3013,"")))</f>
        <v/>
      </c>
      <c r="V3014" t="str">
        <f>IF(C3014=1,MAX($V$2:$V3013)+1,IF(AND($T3014&lt;&gt;"",$T3014=$T3013),$U3013,IF(C3014="x",V3013,"")))</f>
        <v/>
      </c>
      <c r="X3014" cm="1">
        <f t="array" ref="X3014">IF($I3014&lt;&gt;"",$I3014,INDEX($I$1:$I3014,ROW()-COUNTIFS($T$1:$T3014,"="&amp;$T3014,$S$1:$S3014,"&lt;"&amp;$S3014)))</f>
        <v>0</v>
      </c>
      <c r="Z3014" s="6">
        <f t="shared" si="422"/>
        <v>1</v>
      </c>
      <c r="AA3014" t="e">
        <f t="shared" si="423"/>
        <v>#VALUE!</v>
      </c>
      <c r="AB3014" t="str">
        <f t="shared" si="424"/>
        <v/>
      </c>
      <c r="AC3014" t="e">
        <f t="shared" si="425"/>
        <v>#VALUE!</v>
      </c>
    </row>
    <row r="3015" spans="1:29" x14ac:dyDescent="0.2">
      <c r="A3015" t="str">
        <f t="shared" si="418"/>
        <v/>
      </c>
      <c r="E3015" s="4"/>
      <c r="F3015" s="46"/>
      <c r="G3015" s="4"/>
      <c r="H3015" s="48"/>
      <c r="J3015" s="26" t="str">
        <f t="shared" si="419"/>
        <v/>
      </c>
      <c r="N3015" t="str">
        <f t="shared" si="420"/>
        <v/>
      </c>
      <c r="Q3015" t="str">
        <f t="shared" si="421"/>
        <v/>
      </c>
      <c r="S3015" t="str">
        <f>IF(A3015=1,MAX($S$2:$S3014)+1,IF(OR($I3015&lt;&gt;"",A3015="x"),$S3014,""))</f>
        <v/>
      </c>
      <c r="T3015" t="str">
        <f>IF(D3015=1,MAX($T$2:$T3014)+1,IF(S3015=S3014,$T3014,IF(D3015="x",T3014,IF(D3014="x","",""))))</f>
        <v/>
      </c>
      <c r="U3015" t="str">
        <f>IF(B3015=1,MAX($U$2:$U3014)+1,IF(AND($T3015&lt;&gt;"",$T3015=$T3014),$U3014,IF(B3015="x",U3014,"")))</f>
        <v/>
      </c>
      <c r="V3015" t="str">
        <f>IF(C3015=1,MAX($V$2:$V3014)+1,IF(AND($T3015&lt;&gt;"",$T3015=$T3014),$U3014,IF(C3015="x",V3014,"")))</f>
        <v/>
      </c>
      <c r="X3015" cm="1">
        <f t="array" ref="X3015">IF($I3015&lt;&gt;"",$I3015,INDEX($I$1:$I3015,ROW()-COUNTIFS($T$1:$T3015,"="&amp;$T3015,$S$1:$S3015,"&lt;"&amp;$S3015)))</f>
        <v>0</v>
      </c>
      <c r="Z3015" s="6">
        <f t="shared" si="422"/>
        <v>1</v>
      </c>
      <c r="AA3015" t="e">
        <f t="shared" si="423"/>
        <v>#VALUE!</v>
      </c>
      <c r="AB3015" t="str">
        <f t="shared" si="424"/>
        <v/>
      </c>
      <c r="AC3015" t="e">
        <f t="shared" si="425"/>
        <v>#VALUE!</v>
      </c>
    </row>
    <row r="3016" spans="1:29" x14ac:dyDescent="0.2">
      <c r="A3016" t="str">
        <f t="shared" si="418"/>
        <v/>
      </c>
      <c r="E3016" s="4"/>
      <c r="F3016" s="46"/>
      <c r="G3016" s="4"/>
      <c r="H3016" s="48"/>
      <c r="J3016" s="26" t="str">
        <f t="shared" si="419"/>
        <v/>
      </c>
      <c r="N3016" t="str">
        <f t="shared" si="420"/>
        <v/>
      </c>
      <c r="Q3016" t="str">
        <f t="shared" si="421"/>
        <v/>
      </c>
      <c r="S3016" t="str">
        <f>IF(A3016=1,MAX($S$2:$S3015)+1,IF(OR($I3016&lt;&gt;"",A3016="x"),$S3015,""))</f>
        <v/>
      </c>
      <c r="T3016" t="str">
        <f>IF(D3016=1,MAX($T$2:$T3015)+1,IF(S3016=S3015,$T3015,IF(D3016="x",T3015,IF(D3015="x","",""))))</f>
        <v/>
      </c>
      <c r="U3016" t="str">
        <f>IF(B3016=1,MAX($U$2:$U3015)+1,IF(AND($T3016&lt;&gt;"",$T3016=$T3015),$U3015,IF(B3016="x",U3015,"")))</f>
        <v/>
      </c>
      <c r="V3016" t="str">
        <f>IF(C3016=1,MAX($V$2:$V3015)+1,IF(AND($T3016&lt;&gt;"",$T3016=$T3015),$U3015,IF(C3016="x",V3015,"")))</f>
        <v/>
      </c>
      <c r="X3016" cm="1">
        <f t="array" ref="X3016">IF($I3016&lt;&gt;"",$I3016,INDEX($I$1:$I3016,ROW()-COUNTIFS($T$1:$T3016,"="&amp;$T3016,$S$1:$S3016,"&lt;"&amp;$S3016)))</f>
        <v>0</v>
      </c>
      <c r="Z3016" s="6">
        <f t="shared" si="422"/>
        <v>1</v>
      </c>
      <c r="AA3016" t="e">
        <f t="shared" si="423"/>
        <v>#VALUE!</v>
      </c>
      <c r="AB3016" t="str">
        <f t="shared" si="424"/>
        <v/>
      </c>
      <c r="AC3016" t="e">
        <f t="shared" si="425"/>
        <v>#VALUE!</v>
      </c>
    </row>
    <row r="3017" spans="1:29" x14ac:dyDescent="0.2">
      <c r="A3017" t="str">
        <f t="shared" si="418"/>
        <v/>
      </c>
      <c r="E3017" s="4"/>
      <c r="F3017" s="46"/>
      <c r="G3017" s="4"/>
      <c r="H3017" s="48"/>
      <c r="J3017" s="26" t="str">
        <f t="shared" si="419"/>
        <v/>
      </c>
      <c r="N3017" t="str">
        <f t="shared" si="420"/>
        <v/>
      </c>
      <c r="Q3017" t="str">
        <f t="shared" si="421"/>
        <v/>
      </c>
      <c r="S3017" t="str">
        <f>IF(A3017=1,MAX($S$2:$S3016)+1,IF(OR($I3017&lt;&gt;"",A3017="x"),$S3016,""))</f>
        <v/>
      </c>
      <c r="T3017" t="str">
        <f>IF(D3017=1,MAX($T$2:$T3016)+1,IF(S3017=S3016,$T3016,IF(D3017="x",T3016,IF(D3016="x","",""))))</f>
        <v/>
      </c>
      <c r="U3017" t="str">
        <f>IF(B3017=1,MAX($U$2:$U3016)+1,IF(AND($T3017&lt;&gt;"",$T3017=$T3016),$U3016,IF(B3017="x",U3016,"")))</f>
        <v/>
      </c>
      <c r="V3017" t="str">
        <f>IF(C3017=1,MAX($V$2:$V3016)+1,IF(AND($T3017&lt;&gt;"",$T3017=$T3016),$U3016,IF(C3017="x",V3016,"")))</f>
        <v/>
      </c>
      <c r="X3017" cm="1">
        <f t="array" ref="X3017">IF($I3017&lt;&gt;"",$I3017,INDEX($I$1:$I3017,ROW()-COUNTIFS($T$1:$T3017,"="&amp;$T3017,$S$1:$S3017,"&lt;"&amp;$S3017)))</f>
        <v>0</v>
      </c>
      <c r="Z3017" s="6">
        <f t="shared" si="422"/>
        <v>1</v>
      </c>
      <c r="AA3017" t="e">
        <f t="shared" si="423"/>
        <v>#VALUE!</v>
      </c>
      <c r="AB3017" t="str">
        <f t="shared" si="424"/>
        <v/>
      </c>
      <c r="AC3017" t="e">
        <f t="shared" si="425"/>
        <v>#VALUE!</v>
      </c>
    </row>
    <row r="3018" spans="1:29" x14ac:dyDescent="0.2">
      <c r="A3018" t="str">
        <f t="shared" si="418"/>
        <v/>
      </c>
      <c r="E3018" s="4"/>
      <c r="F3018" s="46"/>
      <c r="G3018" s="4"/>
      <c r="H3018" s="48"/>
      <c r="J3018" s="26" t="str">
        <f t="shared" si="419"/>
        <v/>
      </c>
      <c r="N3018" t="str">
        <f t="shared" si="420"/>
        <v/>
      </c>
      <c r="Q3018" t="str">
        <f t="shared" si="421"/>
        <v/>
      </c>
      <c r="S3018" t="str">
        <f>IF(A3018=1,MAX($S$2:$S3017)+1,IF(OR($I3018&lt;&gt;"",A3018="x"),$S3017,""))</f>
        <v/>
      </c>
      <c r="T3018" t="str">
        <f>IF(D3018=1,MAX($T$2:$T3017)+1,IF(S3018=S3017,$T3017,IF(D3018="x",T3017,IF(D3017="x","",""))))</f>
        <v/>
      </c>
      <c r="U3018" t="str">
        <f>IF(B3018=1,MAX($U$2:$U3017)+1,IF(AND($T3018&lt;&gt;"",$T3018=$T3017),$U3017,IF(B3018="x",U3017,"")))</f>
        <v/>
      </c>
      <c r="V3018" t="str">
        <f>IF(C3018=1,MAX($V$2:$V3017)+1,IF(AND($T3018&lt;&gt;"",$T3018=$T3017),$U3017,IF(C3018="x",V3017,"")))</f>
        <v/>
      </c>
      <c r="X3018" cm="1">
        <f t="array" ref="X3018">IF($I3018&lt;&gt;"",$I3018,INDEX($I$1:$I3018,ROW()-COUNTIFS($T$1:$T3018,"="&amp;$T3018,$S$1:$S3018,"&lt;"&amp;$S3018)))</f>
        <v>0</v>
      </c>
      <c r="Z3018" s="6">
        <f t="shared" si="422"/>
        <v>1</v>
      </c>
      <c r="AA3018" t="e">
        <f t="shared" si="423"/>
        <v>#VALUE!</v>
      </c>
      <c r="AB3018" t="str">
        <f t="shared" si="424"/>
        <v/>
      </c>
      <c r="AC3018" t="e">
        <f t="shared" si="425"/>
        <v>#VALUE!</v>
      </c>
    </row>
    <row r="3019" spans="1:29" x14ac:dyDescent="0.2">
      <c r="A3019" t="str">
        <f t="shared" si="418"/>
        <v/>
      </c>
      <c r="E3019" s="4"/>
      <c r="F3019" s="46"/>
      <c r="G3019" s="4"/>
      <c r="H3019" s="48"/>
      <c r="J3019" s="26" t="str">
        <f t="shared" si="419"/>
        <v/>
      </c>
      <c r="N3019" t="str">
        <f t="shared" si="420"/>
        <v/>
      </c>
      <c r="Q3019" t="str">
        <f t="shared" si="421"/>
        <v/>
      </c>
      <c r="S3019" t="str">
        <f>IF(A3019=1,MAX($S$2:$S3018)+1,IF(OR($I3019&lt;&gt;"",A3019="x"),$S3018,""))</f>
        <v/>
      </c>
      <c r="T3019" t="str">
        <f>IF(D3019=1,MAX($T$2:$T3018)+1,IF(S3019=S3018,$T3018,IF(D3019="x",T3018,IF(D3018="x","",""))))</f>
        <v/>
      </c>
      <c r="U3019" t="str">
        <f>IF(B3019=1,MAX($U$2:$U3018)+1,IF(AND($T3019&lt;&gt;"",$T3019=$T3018),$U3018,IF(B3019="x",U3018,"")))</f>
        <v/>
      </c>
      <c r="V3019" t="str">
        <f>IF(C3019=1,MAX($V$2:$V3018)+1,IF(AND($T3019&lt;&gt;"",$T3019=$T3018),$U3018,IF(C3019="x",V3018,"")))</f>
        <v/>
      </c>
      <c r="X3019" cm="1">
        <f t="array" ref="X3019">IF($I3019&lt;&gt;"",$I3019,INDEX($I$1:$I3019,ROW()-COUNTIFS($T$1:$T3019,"="&amp;$T3019,$S$1:$S3019,"&lt;"&amp;$S3019)))</f>
        <v>0</v>
      </c>
      <c r="Z3019" s="6">
        <f t="shared" si="422"/>
        <v>1</v>
      </c>
      <c r="AA3019" t="e">
        <f t="shared" si="423"/>
        <v>#VALUE!</v>
      </c>
      <c r="AB3019" t="str">
        <f t="shared" si="424"/>
        <v/>
      </c>
      <c r="AC3019" t="e">
        <f t="shared" si="425"/>
        <v>#VALUE!</v>
      </c>
    </row>
    <row r="3020" spans="1:29" x14ac:dyDescent="0.2">
      <c r="A3020" t="str">
        <f t="shared" si="418"/>
        <v/>
      </c>
      <c r="E3020" s="4"/>
      <c r="F3020" s="46"/>
      <c r="G3020" s="4"/>
      <c r="H3020" s="48"/>
      <c r="J3020" s="26" t="str">
        <f t="shared" si="419"/>
        <v/>
      </c>
      <c r="N3020" t="str">
        <f t="shared" si="420"/>
        <v/>
      </c>
      <c r="Q3020" t="str">
        <f t="shared" si="421"/>
        <v/>
      </c>
      <c r="S3020" t="str">
        <f>IF(A3020=1,MAX($S$2:$S3019)+1,IF(OR($I3020&lt;&gt;"",A3020="x"),$S3019,""))</f>
        <v/>
      </c>
      <c r="T3020" t="str">
        <f>IF(D3020=1,MAX($T$2:$T3019)+1,IF(S3020=S3019,$T3019,IF(D3020="x",T3019,IF(D3019="x","",""))))</f>
        <v/>
      </c>
      <c r="U3020" t="str">
        <f>IF(B3020=1,MAX($U$2:$U3019)+1,IF(AND($T3020&lt;&gt;"",$T3020=$T3019),$U3019,IF(B3020="x",U3019,"")))</f>
        <v/>
      </c>
      <c r="V3020" t="str">
        <f>IF(C3020=1,MAX($V$2:$V3019)+1,IF(AND($T3020&lt;&gt;"",$T3020=$T3019),$U3019,IF(C3020="x",V3019,"")))</f>
        <v/>
      </c>
      <c r="X3020" cm="1">
        <f t="array" ref="X3020">IF($I3020&lt;&gt;"",$I3020,INDEX($I$1:$I3020,ROW()-COUNTIFS($T$1:$T3020,"="&amp;$T3020,$S$1:$S3020,"&lt;"&amp;$S3020)))</f>
        <v>0</v>
      </c>
      <c r="Z3020" s="6">
        <f t="shared" si="422"/>
        <v>1</v>
      </c>
      <c r="AA3020" t="e">
        <f t="shared" si="423"/>
        <v>#VALUE!</v>
      </c>
      <c r="AB3020" t="str">
        <f t="shared" si="424"/>
        <v/>
      </c>
      <c r="AC3020" t="e">
        <f t="shared" si="425"/>
        <v>#VALUE!</v>
      </c>
    </row>
    <row r="3021" spans="1:29" x14ac:dyDescent="0.2">
      <c r="A3021" t="str">
        <f t="shared" si="418"/>
        <v/>
      </c>
      <c r="E3021" s="4"/>
      <c r="F3021" s="46"/>
      <c r="G3021" s="4"/>
      <c r="H3021" s="48"/>
      <c r="J3021" s="26" t="str">
        <f t="shared" si="419"/>
        <v/>
      </c>
      <c r="N3021" t="str">
        <f t="shared" si="420"/>
        <v/>
      </c>
      <c r="Q3021" t="str">
        <f t="shared" si="421"/>
        <v/>
      </c>
      <c r="S3021" t="str">
        <f>IF(A3021=1,MAX($S$2:$S3020)+1,IF(OR($I3021&lt;&gt;"",A3021="x"),$S3020,""))</f>
        <v/>
      </c>
      <c r="T3021" t="str">
        <f>IF(D3021=1,MAX($T$2:$T3020)+1,IF(S3021=S3020,$T3020,IF(D3021="x",T3020,IF(D3020="x","",""))))</f>
        <v/>
      </c>
      <c r="U3021" t="str">
        <f>IF(B3021=1,MAX($U$2:$U3020)+1,IF(AND($T3021&lt;&gt;"",$T3021=$T3020),$U3020,IF(B3021="x",U3020,"")))</f>
        <v/>
      </c>
      <c r="V3021" t="str">
        <f>IF(C3021=1,MAX($V$2:$V3020)+1,IF(AND($T3021&lt;&gt;"",$T3021=$T3020),$U3020,IF(C3021="x",V3020,"")))</f>
        <v/>
      </c>
      <c r="X3021" cm="1">
        <f t="array" ref="X3021">IF($I3021&lt;&gt;"",$I3021,INDEX($I$1:$I3021,ROW()-COUNTIFS($T$1:$T3021,"="&amp;$T3021,$S$1:$S3021,"&lt;"&amp;$S3021)))</f>
        <v>0</v>
      </c>
      <c r="Z3021" s="6">
        <f t="shared" si="422"/>
        <v>1</v>
      </c>
      <c r="AA3021" t="e">
        <f t="shared" si="423"/>
        <v>#VALUE!</v>
      </c>
      <c r="AB3021" t="str">
        <f t="shared" si="424"/>
        <v/>
      </c>
      <c r="AC3021" t="e">
        <f t="shared" si="425"/>
        <v>#VALUE!</v>
      </c>
    </row>
    <row r="3022" spans="1:29" x14ac:dyDescent="0.2">
      <c r="A3022" t="str">
        <f t="shared" si="418"/>
        <v/>
      </c>
      <c r="E3022" s="4"/>
      <c r="F3022" s="46"/>
      <c r="G3022" s="4"/>
      <c r="H3022" s="48"/>
      <c r="J3022" s="26" t="str">
        <f t="shared" si="419"/>
        <v/>
      </c>
      <c r="N3022" t="str">
        <f t="shared" si="420"/>
        <v/>
      </c>
      <c r="Q3022" t="str">
        <f t="shared" si="421"/>
        <v/>
      </c>
      <c r="S3022" t="str">
        <f>IF(A3022=1,MAX($S$2:$S3021)+1,IF(OR($I3022&lt;&gt;"",A3022="x"),$S3021,""))</f>
        <v/>
      </c>
      <c r="T3022" t="str">
        <f>IF(D3022=1,MAX($T$2:$T3021)+1,IF(S3022=S3021,$T3021,IF(D3022="x",T3021,IF(D3021="x","",""))))</f>
        <v/>
      </c>
      <c r="U3022" t="str">
        <f>IF(B3022=1,MAX($U$2:$U3021)+1,IF(AND($T3022&lt;&gt;"",$T3022=$T3021),$U3021,IF(B3022="x",U3021,"")))</f>
        <v/>
      </c>
      <c r="V3022" t="str">
        <f>IF(C3022=1,MAX($V$2:$V3021)+1,IF(AND($T3022&lt;&gt;"",$T3022=$T3021),$U3021,IF(C3022="x",V3021,"")))</f>
        <v/>
      </c>
      <c r="X3022" cm="1">
        <f t="array" ref="X3022">IF($I3022&lt;&gt;"",$I3022,INDEX($I$1:$I3022,ROW()-COUNTIFS($T$1:$T3022,"="&amp;$T3022,$S$1:$S3022,"&lt;"&amp;$S3022)))</f>
        <v>0</v>
      </c>
      <c r="Z3022" s="6">
        <f t="shared" si="422"/>
        <v>1</v>
      </c>
      <c r="AA3022" t="e">
        <f t="shared" si="423"/>
        <v>#VALUE!</v>
      </c>
      <c r="AB3022" t="str">
        <f t="shared" si="424"/>
        <v/>
      </c>
      <c r="AC3022" t="e">
        <f t="shared" si="425"/>
        <v>#VALUE!</v>
      </c>
    </row>
    <row r="3023" spans="1:29" x14ac:dyDescent="0.2">
      <c r="A3023" t="str">
        <f t="shared" si="418"/>
        <v/>
      </c>
      <c r="E3023" s="4"/>
      <c r="F3023" s="46"/>
      <c r="G3023" s="4"/>
      <c r="H3023" s="48"/>
      <c r="J3023" s="26" t="str">
        <f t="shared" si="419"/>
        <v/>
      </c>
      <c r="N3023" t="str">
        <f t="shared" si="420"/>
        <v/>
      </c>
      <c r="Q3023" t="str">
        <f t="shared" si="421"/>
        <v/>
      </c>
      <c r="S3023" t="str">
        <f>IF(A3023=1,MAX($S$2:$S3022)+1,IF(OR($I3023&lt;&gt;"",A3023="x"),$S3022,""))</f>
        <v/>
      </c>
      <c r="T3023" t="str">
        <f>IF(D3023=1,MAX($T$2:$T3022)+1,IF(S3023=S3022,$T3022,IF(D3023="x",T3022,IF(D3022="x","",""))))</f>
        <v/>
      </c>
      <c r="U3023" t="str">
        <f>IF(B3023=1,MAX($U$2:$U3022)+1,IF(AND($T3023&lt;&gt;"",$T3023=$T3022),$U3022,IF(B3023="x",U3022,"")))</f>
        <v/>
      </c>
      <c r="V3023" t="str">
        <f>IF(C3023=1,MAX($V$2:$V3022)+1,IF(AND($T3023&lt;&gt;"",$T3023=$T3022),$U3022,IF(C3023="x",V3022,"")))</f>
        <v/>
      </c>
      <c r="X3023" cm="1">
        <f t="array" ref="X3023">IF($I3023&lt;&gt;"",$I3023,INDEX($I$1:$I3023,ROW()-COUNTIFS($T$1:$T3023,"="&amp;$T3023,$S$1:$S3023,"&lt;"&amp;$S3023)))</f>
        <v>0</v>
      </c>
      <c r="Z3023" s="6">
        <f t="shared" si="422"/>
        <v>1</v>
      </c>
      <c r="AA3023" t="e">
        <f t="shared" si="423"/>
        <v>#VALUE!</v>
      </c>
      <c r="AB3023" t="str">
        <f t="shared" si="424"/>
        <v/>
      </c>
      <c r="AC3023" t="e">
        <f t="shared" si="425"/>
        <v>#VALUE!</v>
      </c>
    </row>
    <row r="3024" spans="1:29" x14ac:dyDescent="0.2">
      <c r="A3024" t="str">
        <f t="shared" si="418"/>
        <v/>
      </c>
      <c r="E3024" s="4"/>
      <c r="F3024" s="46"/>
      <c r="G3024" s="4"/>
      <c r="H3024" s="48"/>
      <c r="J3024" s="26" t="str">
        <f t="shared" si="419"/>
        <v/>
      </c>
      <c r="N3024" t="str">
        <f t="shared" si="420"/>
        <v/>
      </c>
      <c r="Q3024" t="str">
        <f t="shared" si="421"/>
        <v/>
      </c>
      <c r="S3024" t="str">
        <f>IF(A3024=1,MAX($S$2:$S3023)+1,IF(OR($I3024&lt;&gt;"",A3024="x"),$S3023,""))</f>
        <v/>
      </c>
      <c r="T3024" t="str">
        <f>IF(D3024=1,MAX($T$2:$T3023)+1,IF(S3024=S3023,$T3023,IF(D3024="x",T3023,IF(D3023="x","",""))))</f>
        <v/>
      </c>
      <c r="U3024" t="str">
        <f>IF(B3024=1,MAX($U$2:$U3023)+1,IF(AND($T3024&lt;&gt;"",$T3024=$T3023),$U3023,IF(B3024="x",U3023,"")))</f>
        <v/>
      </c>
      <c r="V3024" t="str">
        <f>IF(C3024=1,MAX($V$2:$V3023)+1,IF(AND($T3024&lt;&gt;"",$T3024=$T3023),$U3023,IF(C3024="x",V3023,"")))</f>
        <v/>
      </c>
      <c r="X3024" cm="1">
        <f t="array" ref="X3024">IF($I3024&lt;&gt;"",$I3024,INDEX($I$1:$I3024,ROW()-COUNTIFS($T$1:$T3024,"="&amp;$T3024,$S$1:$S3024,"&lt;"&amp;$S3024)))</f>
        <v>0</v>
      </c>
      <c r="Z3024" s="6">
        <f t="shared" si="422"/>
        <v>1</v>
      </c>
      <c r="AA3024" t="e">
        <f t="shared" si="423"/>
        <v>#VALUE!</v>
      </c>
      <c r="AB3024" t="str">
        <f t="shared" si="424"/>
        <v/>
      </c>
      <c r="AC3024" t="e">
        <f t="shared" si="425"/>
        <v>#VALUE!</v>
      </c>
    </row>
    <row r="3025" spans="1:29" x14ac:dyDescent="0.2">
      <c r="A3025" t="str">
        <f t="shared" si="418"/>
        <v/>
      </c>
      <c r="E3025" s="4"/>
      <c r="F3025" s="46"/>
      <c r="G3025" s="4"/>
      <c r="H3025" s="48"/>
      <c r="J3025" s="26" t="str">
        <f t="shared" si="419"/>
        <v/>
      </c>
      <c r="N3025" t="str">
        <f t="shared" si="420"/>
        <v/>
      </c>
      <c r="Q3025" t="str">
        <f t="shared" si="421"/>
        <v/>
      </c>
      <c r="S3025" t="str">
        <f>IF(A3025=1,MAX($S$2:$S3024)+1,IF(OR($I3025&lt;&gt;"",A3025="x"),$S3024,""))</f>
        <v/>
      </c>
      <c r="T3025" t="str">
        <f>IF(D3025=1,MAX($T$2:$T3024)+1,IF(S3025=S3024,$T3024,IF(D3025="x",T3024,IF(D3024="x","",""))))</f>
        <v/>
      </c>
      <c r="U3025" t="str">
        <f>IF(B3025=1,MAX($U$2:$U3024)+1,IF(AND($T3025&lt;&gt;"",$T3025=$T3024),$U3024,IF(B3025="x",U3024,"")))</f>
        <v/>
      </c>
      <c r="V3025" t="str">
        <f>IF(C3025=1,MAX($V$2:$V3024)+1,IF(AND($T3025&lt;&gt;"",$T3025=$T3024),$U3024,IF(C3025="x",V3024,"")))</f>
        <v/>
      </c>
      <c r="X3025" cm="1">
        <f t="array" ref="X3025">IF($I3025&lt;&gt;"",$I3025,INDEX($I$1:$I3025,ROW()-COUNTIFS($T$1:$T3025,"="&amp;$T3025,$S$1:$S3025,"&lt;"&amp;$S3025)))</f>
        <v>0</v>
      </c>
      <c r="Z3025" s="6">
        <f t="shared" si="422"/>
        <v>1</v>
      </c>
      <c r="AA3025" t="e">
        <f t="shared" si="423"/>
        <v>#VALUE!</v>
      </c>
      <c r="AB3025" t="str">
        <f t="shared" si="424"/>
        <v/>
      </c>
      <c r="AC3025" t="e">
        <f t="shared" si="425"/>
        <v>#VALUE!</v>
      </c>
    </row>
    <row r="3026" spans="1:29" x14ac:dyDescent="0.2">
      <c r="A3026" t="str">
        <f t="shared" si="418"/>
        <v/>
      </c>
      <c r="E3026" s="4"/>
      <c r="F3026" s="46"/>
      <c r="G3026" s="4"/>
      <c r="H3026" s="48"/>
      <c r="J3026" s="26" t="str">
        <f t="shared" si="419"/>
        <v/>
      </c>
      <c r="N3026" t="str">
        <f t="shared" si="420"/>
        <v/>
      </c>
      <c r="Q3026" t="str">
        <f t="shared" si="421"/>
        <v/>
      </c>
      <c r="S3026" t="str">
        <f>IF(A3026=1,MAX($S$2:$S3025)+1,IF(OR($I3026&lt;&gt;"",A3026="x"),$S3025,""))</f>
        <v/>
      </c>
      <c r="T3026" t="str">
        <f>IF(D3026=1,MAX($T$2:$T3025)+1,IF(S3026=S3025,$T3025,IF(D3026="x",T3025,IF(D3025="x","",""))))</f>
        <v/>
      </c>
      <c r="U3026" t="str">
        <f>IF(B3026=1,MAX($U$2:$U3025)+1,IF(AND($T3026&lt;&gt;"",$T3026=$T3025),$U3025,IF(B3026="x",U3025,"")))</f>
        <v/>
      </c>
      <c r="V3026" t="str">
        <f>IF(C3026=1,MAX($V$2:$V3025)+1,IF(AND($T3026&lt;&gt;"",$T3026=$T3025),$U3025,IF(C3026="x",V3025,"")))</f>
        <v/>
      </c>
      <c r="X3026" cm="1">
        <f t="array" ref="X3026">IF($I3026&lt;&gt;"",$I3026,INDEX($I$1:$I3026,ROW()-COUNTIFS($T$1:$T3026,"="&amp;$T3026,$S$1:$S3026,"&lt;"&amp;$S3026)))</f>
        <v>0</v>
      </c>
      <c r="Z3026" s="6">
        <f t="shared" si="422"/>
        <v>1</v>
      </c>
      <c r="AA3026" t="e">
        <f t="shared" si="423"/>
        <v>#VALUE!</v>
      </c>
      <c r="AB3026" t="str">
        <f t="shared" si="424"/>
        <v/>
      </c>
      <c r="AC3026" t="e">
        <f t="shared" si="425"/>
        <v>#VALUE!</v>
      </c>
    </row>
    <row r="3027" spans="1:29" x14ac:dyDescent="0.2">
      <c r="A3027" t="str">
        <f t="shared" ref="A3027:A3090" si="426">IF(K3027&lt;&gt;"",1,IF(D3027="x","x",""))</f>
        <v/>
      </c>
      <c r="E3027" s="4"/>
      <c r="F3027" s="46"/>
      <c r="G3027" s="4"/>
      <c r="H3027" s="48"/>
      <c r="J3027" s="26" t="str">
        <f t="shared" ref="J3027:J3090" si="427">IF(OR(K3027="Goal",K3027="Shot",L3027="Zone_Entry",M3027="Stoppage-Goal",M3026="Stoppage-Goal"),"o",IF(OR(K3027="Save",K3027="Rebound",L3027="Zone_Exit",M3027="Stoppage-GoalieStoppage",M3026="Stoppage-GoalieStoppage"),"d",IF(OR(L3027="Faceoff_AfterGoal",L3027="Faceoff_PeriodStart",698="Faceoff_GameStart",M3026="Stoppage-Goal"),"n","")))</f>
        <v/>
      </c>
      <c r="N3027" t="str">
        <f t="shared" ref="N3027:N3090" si="428">IF(K3027="","",IF(K3027="Goal","s",IF(AND(K3027="Zone_Entry_Exit",OR(ISNUMBER(SEARCH("fail",L3027)),ISNUMBER(SEARCH("FromExitClear",M3027)),ISNUMBER(SEARCH("miss",M3027)))),"u",IF(AND(K3027="Zone_Entry_Exit",OR(NOT(ISNUMBER(SEARCH("fail",L3027))),NOT(ISNUMBER(SEARCH("FromExitClear",M3027))),NOT(ISNUMBER(SEARCH("miss",M3027))))),"s",IF(AND(OR(K3027="Shot",K3027="Pass"),OR(ISNUMBER(SEARCH("complete",L3027)),ISNUMBER(SEARCH("goal",L3027)),ISNUMBER(SEARCH("OnNet",L3027)))),"s",IF(L3027="Turnover_Giveaway","u",IF(AND(OR(K3027="Shot",K3027="Pass"),OR(ISNUMBER(SEARCH("fail",L3027)),NOT(ISNUMBER(SEARCH("complete",L3027))),NOT(ISNUMBER(SEARCH("OnNet",L3027))))),"u","")))))))</f>
        <v/>
      </c>
      <c r="Q3027" t="str">
        <f t="shared" ref="Q3027:Q3090" si="429">IF(O3027="","",IF(AND(N3027&lt;&gt;"",OR(O3027&lt;&gt;"",P3027&lt;&gt;"")),N3027,IF(OR(ISNUMBER(SEARCH("attemp",O3027)),ISNUMBER(SEARCH("beat",O3027)),ISNUMBER(SEARCH("mis",O3027)),ISNUMBER(SEARCH("fail",O3027)),ISNUMBER(SEARCH("loss",O3027)),ISNUMBER(SEARCH("lost",O3027)),ISNUMBER(SEARCH("attemp",P3027)),ISNUMBER(SEARCH("mis",P3027)),ISNUMBER(SEARCH("fail",P3027)),ISNUMBER(SEARCH("loss",P3027)),ISNUMBER(SEARCH("beat",P3027)),ISNUMBER(SEARCH("lost",P3027))),"u","")))</f>
        <v/>
      </c>
      <c r="S3027" t="str">
        <f>IF(A3027=1,MAX($S$2:$S3026)+1,IF(OR($I3027&lt;&gt;"",A3027="x"),$S3026,""))</f>
        <v/>
      </c>
      <c r="T3027" t="str">
        <f>IF(D3027=1,MAX($T$2:$T3026)+1,IF(S3027=S3026,$T3026,IF(D3027="x",T3026,IF(D3026="x","",""))))</f>
        <v/>
      </c>
      <c r="U3027" t="str">
        <f>IF(B3027=1,MAX($U$2:$U3026)+1,IF(AND($T3027&lt;&gt;"",$T3027=$T3026),$U3026,IF(B3027="x",U3026,"")))</f>
        <v/>
      </c>
      <c r="V3027" t="str">
        <f>IF(C3027=1,MAX($V$2:$V3026)+1,IF(AND($T3027&lt;&gt;"",$T3027=$T3026),$U3026,IF(C3027="x",V3026,"")))</f>
        <v/>
      </c>
      <c r="X3027" cm="1">
        <f t="array" ref="X3027">IF($I3027&lt;&gt;"",$I3027,INDEX($I$1:$I3027,ROW()-COUNTIFS($T$1:$T3027,"="&amp;$T3027,$S$1:$S3027,"&lt;"&amp;$S3027)))</f>
        <v>0</v>
      </c>
      <c r="Z3027" s="6">
        <f t="shared" si="422"/>
        <v>1</v>
      </c>
      <c r="AA3027" t="e">
        <f t="shared" si="423"/>
        <v>#VALUE!</v>
      </c>
      <c r="AB3027" t="str">
        <f t="shared" si="424"/>
        <v/>
      </c>
      <c r="AC3027" t="e">
        <f t="shared" si="425"/>
        <v>#VALUE!</v>
      </c>
    </row>
    <row r="3028" spans="1:29" x14ac:dyDescent="0.2">
      <c r="A3028" t="str">
        <f t="shared" si="426"/>
        <v/>
      </c>
      <c r="E3028" s="4"/>
      <c r="F3028" s="46"/>
      <c r="G3028" s="4"/>
      <c r="H3028" s="48"/>
      <c r="J3028" s="26" t="str">
        <f t="shared" si="427"/>
        <v/>
      </c>
      <c r="N3028" t="str">
        <f t="shared" si="428"/>
        <v/>
      </c>
      <c r="Q3028" t="str">
        <f t="shared" si="429"/>
        <v/>
      </c>
      <c r="S3028" t="str">
        <f>IF(A3028=1,MAX($S$2:$S3027)+1,IF(OR($I3028&lt;&gt;"",A3028="x"),$S3027,""))</f>
        <v/>
      </c>
      <c r="T3028" t="str">
        <f>IF(D3028=1,MAX($T$2:$T3027)+1,IF(S3028=S3027,$T3027,IF(D3028="x",T3027,IF(D3027="x","",""))))</f>
        <v/>
      </c>
      <c r="U3028" t="str">
        <f>IF(B3028=1,MAX($U$2:$U3027)+1,IF(AND($T3028&lt;&gt;"",$T3028=$T3027),$U3027,IF(B3028="x",U3027,"")))</f>
        <v/>
      </c>
      <c r="V3028" t="str">
        <f>IF(C3028=1,MAX($V$2:$V3027)+1,IF(AND($T3028&lt;&gt;"",$T3028=$T3027),$U3027,IF(C3028="x",V3027,"")))</f>
        <v/>
      </c>
      <c r="X3028" cm="1">
        <f t="array" ref="X3028">IF($I3028&lt;&gt;"",$I3028,INDEX($I$1:$I3028,ROW()-COUNTIFS($T$1:$T3028,"="&amp;$T3028,$S$1:$S3028,"&lt;"&amp;$S3028)))</f>
        <v>0</v>
      </c>
      <c r="Z3028" s="6">
        <f t="shared" si="422"/>
        <v>1</v>
      </c>
      <c r="AA3028" t="e">
        <f t="shared" si="423"/>
        <v>#VALUE!</v>
      </c>
      <c r="AB3028" t="str">
        <f t="shared" si="424"/>
        <v/>
      </c>
      <c r="AC3028" t="e">
        <f t="shared" si="425"/>
        <v>#VALUE!</v>
      </c>
    </row>
    <row r="3029" spans="1:29" x14ac:dyDescent="0.2">
      <c r="A3029" t="str">
        <f t="shared" si="426"/>
        <v/>
      </c>
      <c r="E3029" s="4"/>
      <c r="F3029" s="46"/>
      <c r="G3029" s="4"/>
      <c r="H3029" s="48"/>
      <c r="J3029" s="26" t="str">
        <f t="shared" si="427"/>
        <v/>
      </c>
      <c r="N3029" t="str">
        <f t="shared" si="428"/>
        <v/>
      </c>
      <c r="Q3029" t="str">
        <f t="shared" si="429"/>
        <v/>
      </c>
      <c r="S3029" t="str">
        <f>IF(A3029=1,MAX($S$2:$S3028)+1,IF(OR($I3029&lt;&gt;"",A3029="x"),$S3028,""))</f>
        <v/>
      </c>
      <c r="T3029" t="str">
        <f>IF(D3029=1,MAX($T$2:$T3028)+1,IF(S3029=S3028,$T3028,IF(D3029="x",T3028,IF(D3028="x","",""))))</f>
        <v/>
      </c>
      <c r="U3029" t="str">
        <f>IF(B3029=1,MAX($U$2:$U3028)+1,IF(AND($T3029&lt;&gt;"",$T3029=$T3028),$U3028,IF(B3029="x",U3028,"")))</f>
        <v/>
      </c>
      <c r="V3029" t="str">
        <f>IF(C3029=1,MAX($V$2:$V3028)+1,IF(AND($T3029&lt;&gt;"",$T3029=$T3028),$U3028,IF(C3029="x",V3028,"")))</f>
        <v/>
      </c>
      <c r="X3029" cm="1">
        <f t="array" ref="X3029">IF($I3029&lt;&gt;"",$I3029,INDEX($I$1:$I3029,ROW()-COUNTIFS($T$1:$T3029,"="&amp;$T3029,$S$1:$S3029,"&lt;"&amp;$S3029)))</f>
        <v>0</v>
      </c>
      <c r="Z3029" s="6">
        <f t="shared" si="422"/>
        <v>1</v>
      </c>
      <c r="AA3029" t="e">
        <f t="shared" si="423"/>
        <v>#VALUE!</v>
      </c>
      <c r="AB3029" t="str">
        <f t="shared" si="424"/>
        <v/>
      </c>
      <c r="AC3029" t="e">
        <f t="shared" si="425"/>
        <v>#VALUE!</v>
      </c>
    </row>
    <row r="3030" spans="1:29" x14ac:dyDescent="0.2">
      <c r="A3030" t="str">
        <f t="shared" si="426"/>
        <v/>
      </c>
      <c r="E3030" s="4"/>
      <c r="F3030" s="46"/>
      <c r="G3030" s="4"/>
      <c r="H3030" s="48"/>
      <c r="J3030" s="26" t="str">
        <f t="shared" si="427"/>
        <v/>
      </c>
      <c r="N3030" t="str">
        <f t="shared" si="428"/>
        <v/>
      </c>
      <c r="Q3030" t="str">
        <f t="shared" si="429"/>
        <v/>
      </c>
      <c r="S3030" t="str">
        <f>IF(A3030=1,MAX($S$2:$S3029)+1,IF(OR($I3030&lt;&gt;"",A3030="x"),$S3029,""))</f>
        <v/>
      </c>
      <c r="T3030" t="str">
        <f>IF(D3030=1,MAX($T$2:$T3029)+1,IF(S3030=S3029,$T3029,IF(D3030="x",T3029,IF(D3029="x","",""))))</f>
        <v/>
      </c>
      <c r="U3030" t="str">
        <f>IF(B3030=1,MAX($U$2:$U3029)+1,IF(AND($T3030&lt;&gt;"",$T3030=$T3029),$U3029,IF(B3030="x",U3029,"")))</f>
        <v/>
      </c>
      <c r="V3030" t="str">
        <f>IF(C3030=1,MAX($V$2:$V3029)+1,IF(AND($T3030&lt;&gt;"",$T3030=$T3029),$U3029,IF(C3030="x",V3029,"")))</f>
        <v/>
      </c>
      <c r="X3030" cm="1">
        <f t="array" ref="X3030">IF($I3030&lt;&gt;"",$I3030,INDEX($I$1:$I3030,ROW()-COUNTIFS($T$1:$T3030,"="&amp;$T3030,$S$1:$S3030,"&lt;"&amp;$S3030)))</f>
        <v>0</v>
      </c>
      <c r="Z3030" s="6">
        <f t="shared" si="422"/>
        <v>1</v>
      </c>
      <c r="AA3030" t="e">
        <f t="shared" si="423"/>
        <v>#VALUE!</v>
      </c>
      <c r="AB3030" t="str">
        <f t="shared" si="424"/>
        <v/>
      </c>
      <c r="AC3030" t="e">
        <f t="shared" si="425"/>
        <v>#VALUE!</v>
      </c>
    </row>
    <row r="3031" spans="1:29" x14ac:dyDescent="0.2">
      <c r="A3031" t="str">
        <f t="shared" si="426"/>
        <v/>
      </c>
      <c r="E3031" s="4"/>
      <c r="F3031" s="46"/>
      <c r="G3031" s="4"/>
      <c r="H3031" s="48"/>
      <c r="J3031" s="26" t="str">
        <f t="shared" si="427"/>
        <v/>
      </c>
      <c r="N3031" t="str">
        <f t="shared" si="428"/>
        <v/>
      </c>
      <c r="Q3031" t="str">
        <f t="shared" si="429"/>
        <v/>
      </c>
      <c r="S3031" t="str">
        <f>IF(A3031=1,MAX($S$2:$S3030)+1,IF(OR($I3031&lt;&gt;"",A3031="x"),$S3030,""))</f>
        <v/>
      </c>
      <c r="T3031" t="str">
        <f>IF(D3031=1,MAX($T$2:$T3030)+1,IF(S3031=S3030,$T3030,IF(D3031="x",T3030,IF(D3030="x","",""))))</f>
        <v/>
      </c>
      <c r="U3031" t="str">
        <f>IF(B3031=1,MAX($U$2:$U3030)+1,IF(AND($T3031&lt;&gt;"",$T3031=$T3030),$U3030,IF(B3031="x",U3030,"")))</f>
        <v/>
      </c>
      <c r="V3031" t="str">
        <f>IF(C3031=1,MAX($V$2:$V3030)+1,IF(AND($T3031&lt;&gt;"",$T3031=$T3030),$U3030,IF(C3031="x",V3030,"")))</f>
        <v/>
      </c>
      <c r="X3031" cm="1">
        <f t="array" ref="X3031">IF($I3031&lt;&gt;"",$I3031,INDEX($I$1:$I3031,ROW()-COUNTIFS($T$1:$T3031,"="&amp;$T3031,$S$1:$S3031,"&lt;"&amp;$S3031)))</f>
        <v>0</v>
      </c>
      <c r="Z3031" s="6">
        <f t="shared" si="422"/>
        <v>1</v>
      </c>
      <c r="AA3031" t="e">
        <f t="shared" si="423"/>
        <v>#VALUE!</v>
      </c>
      <c r="AB3031" t="str">
        <f t="shared" si="424"/>
        <v/>
      </c>
      <c r="AC3031" t="e">
        <f t="shared" si="425"/>
        <v>#VALUE!</v>
      </c>
    </row>
    <row r="3032" spans="1:29" x14ac:dyDescent="0.2">
      <c r="A3032" t="str">
        <f t="shared" si="426"/>
        <v/>
      </c>
      <c r="E3032" s="4"/>
      <c r="F3032" s="46"/>
      <c r="G3032" s="4"/>
      <c r="H3032" s="48"/>
      <c r="J3032" s="26" t="str">
        <f t="shared" si="427"/>
        <v/>
      </c>
      <c r="N3032" t="str">
        <f t="shared" si="428"/>
        <v/>
      </c>
      <c r="Q3032" t="str">
        <f t="shared" si="429"/>
        <v/>
      </c>
      <c r="S3032" t="str">
        <f>IF(A3032=1,MAX($S$2:$S3031)+1,IF(OR($I3032&lt;&gt;"",A3032="x"),$S3031,""))</f>
        <v/>
      </c>
      <c r="T3032" t="str">
        <f>IF(D3032=1,MAX($T$2:$T3031)+1,IF(S3032=S3031,$T3031,IF(D3032="x",T3031,IF(D3031="x","",""))))</f>
        <v/>
      </c>
      <c r="U3032" t="str">
        <f>IF(B3032=1,MAX($U$2:$U3031)+1,IF(AND($T3032&lt;&gt;"",$T3032=$T3031),$U3031,IF(B3032="x",U3031,"")))</f>
        <v/>
      </c>
      <c r="V3032" t="str">
        <f>IF(C3032=1,MAX($V$2:$V3031)+1,IF(AND($T3032&lt;&gt;"",$T3032=$T3031),$U3031,IF(C3032="x",V3031,"")))</f>
        <v/>
      </c>
      <c r="X3032" cm="1">
        <f t="array" ref="X3032">IF($I3032&lt;&gt;"",$I3032,INDEX($I$1:$I3032,ROW()-COUNTIFS($T$1:$T3032,"="&amp;$T3032,$S$1:$S3032,"&lt;"&amp;$S3032)))</f>
        <v>0</v>
      </c>
      <c r="Z3032" s="6">
        <f t="shared" si="422"/>
        <v>1</v>
      </c>
      <c r="AA3032" t="e">
        <f t="shared" si="423"/>
        <v>#VALUE!</v>
      </c>
      <c r="AB3032" t="str">
        <f t="shared" si="424"/>
        <v/>
      </c>
      <c r="AC3032" t="e">
        <f t="shared" si="425"/>
        <v>#VALUE!</v>
      </c>
    </row>
    <row r="3033" spans="1:29" x14ac:dyDescent="0.2">
      <c r="A3033" t="str">
        <f t="shared" si="426"/>
        <v/>
      </c>
      <c r="E3033" s="4"/>
      <c r="F3033" s="46"/>
      <c r="G3033" s="4"/>
      <c r="H3033" s="48"/>
      <c r="J3033" s="26" t="str">
        <f t="shared" si="427"/>
        <v/>
      </c>
      <c r="N3033" t="str">
        <f t="shared" si="428"/>
        <v/>
      </c>
      <c r="Q3033" t="str">
        <f t="shared" si="429"/>
        <v/>
      </c>
      <c r="S3033" t="str">
        <f>IF(A3033=1,MAX($S$2:$S3032)+1,IF(OR($I3033&lt;&gt;"",A3033="x"),$S3032,""))</f>
        <v/>
      </c>
      <c r="T3033" t="str">
        <f>IF(D3033=1,MAX($T$2:$T3032)+1,IF(S3033=S3032,$T3032,IF(D3033="x",T3032,IF(D3032="x","",""))))</f>
        <v/>
      </c>
      <c r="U3033" t="str">
        <f>IF(B3033=1,MAX($U$2:$U3032)+1,IF(AND($T3033&lt;&gt;"",$T3033=$T3032),$U3032,IF(B3033="x",U3032,"")))</f>
        <v/>
      </c>
      <c r="V3033" t="str">
        <f>IF(C3033=1,MAX($V$2:$V3032)+1,IF(AND($T3033&lt;&gt;"",$T3033=$T3032),$U3032,IF(C3033="x",V3032,"")))</f>
        <v/>
      </c>
      <c r="X3033" cm="1">
        <f t="array" ref="X3033">IF($I3033&lt;&gt;"",$I3033,INDEX($I$1:$I3033,ROW()-COUNTIFS($T$1:$T3033,"="&amp;$T3033,$S$1:$S3033,"&lt;"&amp;$S3033)))</f>
        <v>0</v>
      </c>
      <c r="Z3033" s="6">
        <f t="shared" si="422"/>
        <v>1</v>
      </c>
      <c r="AA3033" t="e">
        <f t="shared" si="423"/>
        <v>#VALUE!</v>
      </c>
      <c r="AB3033" t="str">
        <f t="shared" si="424"/>
        <v/>
      </c>
      <c r="AC3033" t="e">
        <f t="shared" si="425"/>
        <v>#VALUE!</v>
      </c>
    </row>
    <row r="3034" spans="1:29" x14ac:dyDescent="0.2">
      <c r="A3034" t="str">
        <f t="shared" si="426"/>
        <v/>
      </c>
      <c r="E3034" s="4"/>
      <c r="F3034" s="46"/>
      <c r="G3034" s="4"/>
      <c r="H3034" s="48"/>
      <c r="J3034" s="26" t="str">
        <f t="shared" si="427"/>
        <v/>
      </c>
      <c r="N3034" t="str">
        <f t="shared" si="428"/>
        <v/>
      </c>
      <c r="Q3034" t="str">
        <f t="shared" si="429"/>
        <v/>
      </c>
      <c r="S3034" t="str">
        <f>IF(A3034=1,MAX($S$2:$S3033)+1,IF(OR($I3034&lt;&gt;"",A3034="x"),$S3033,""))</f>
        <v/>
      </c>
      <c r="T3034" t="str">
        <f>IF(D3034=1,MAX($T$2:$T3033)+1,IF(S3034=S3033,$T3033,IF(D3034="x",T3033,IF(D3033="x","",""))))</f>
        <v/>
      </c>
      <c r="U3034" t="str">
        <f>IF(B3034=1,MAX($U$2:$U3033)+1,IF(AND($T3034&lt;&gt;"",$T3034=$T3033),$U3033,IF(B3034="x",U3033,"")))</f>
        <v/>
      </c>
      <c r="V3034" t="str">
        <f>IF(C3034=1,MAX($V$2:$V3033)+1,IF(AND($T3034&lt;&gt;"",$T3034=$T3033),$U3033,IF(C3034="x",V3033,"")))</f>
        <v/>
      </c>
      <c r="X3034" cm="1">
        <f t="array" ref="X3034">IF($I3034&lt;&gt;"",$I3034,INDEX($I$1:$I3034,ROW()-COUNTIFS($T$1:$T3034,"="&amp;$T3034,$S$1:$S3034,"&lt;"&amp;$S3034)))</f>
        <v>0</v>
      </c>
      <c r="Z3034" s="6">
        <f t="shared" si="422"/>
        <v>1</v>
      </c>
      <c r="AA3034" t="e">
        <f t="shared" si="423"/>
        <v>#VALUE!</v>
      </c>
      <c r="AB3034" t="str">
        <f t="shared" si="424"/>
        <v/>
      </c>
      <c r="AC3034" t="e">
        <f t="shared" si="425"/>
        <v>#VALUE!</v>
      </c>
    </row>
    <row r="3035" spans="1:29" x14ac:dyDescent="0.2">
      <c r="A3035" t="str">
        <f t="shared" si="426"/>
        <v/>
      </c>
      <c r="E3035" s="4"/>
      <c r="F3035" s="46"/>
      <c r="G3035" s="4"/>
      <c r="H3035" s="48"/>
      <c r="J3035" s="26" t="str">
        <f t="shared" si="427"/>
        <v/>
      </c>
      <c r="N3035" t="str">
        <f t="shared" si="428"/>
        <v/>
      </c>
      <c r="Q3035" t="str">
        <f t="shared" si="429"/>
        <v/>
      </c>
      <c r="S3035" t="str">
        <f>IF(A3035=1,MAX($S$2:$S3034)+1,IF(OR($I3035&lt;&gt;"",A3035="x"),$S3034,""))</f>
        <v/>
      </c>
      <c r="T3035" t="str">
        <f>IF(D3035=1,MAX($T$2:$T3034)+1,IF(S3035=S3034,$T3034,IF(D3035="x",T3034,IF(D3034="x","",""))))</f>
        <v/>
      </c>
      <c r="U3035" t="str">
        <f>IF(B3035=1,MAX($U$2:$U3034)+1,IF(AND($T3035&lt;&gt;"",$T3035=$T3034),$U3034,IF(B3035="x",U3034,"")))</f>
        <v/>
      </c>
      <c r="V3035" t="str">
        <f>IF(C3035=1,MAX($V$2:$V3034)+1,IF(AND($T3035&lt;&gt;"",$T3035=$T3034),$U3034,IF(C3035="x",V3034,"")))</f>
        <v/>
      </c>
      <c r="X3035" cm="1">
        <f t="array" ref="X3035">IF($I3035&lt;&gt;"",$I3035,INDEX($I$1:$I3035,ROW()-COUNTIFS($T$1:$T3035,"="&amp;$T3035,$S$1:$S3035,"&lt;"&amp;$S3035)))</f>
        <v>0</v>
      </c>
      <c r="Z3035" s="6">
        <f t="shared" si="422"/>
        <v>1</v>
      </c>
      <c r="AA3035" t="e">
        <f t="shared" si="423"/>
        <v>#VALUE!</v>
      </c>
      <c r="AB3035" t="str">
        <f t="shared" si="424"/>
        <v/>
      </c>
      <c r="AC3035" t="e">
        <f t="shared" si="425"/>
        <v>#VALUE!</v>
      </c>
    </row>
    <row r="3036" spans="1:29" x14ac:dyDescent="0.2">
      <c r="A3036" t="str">
        <f t="shared" si="426"/>
        <v/>
      </c>
      <c r="E3036" s="4"/>
      <c r="F3036" s="46"/>
      <c r="G3036" s="4"/>
      <c r="H3036" s="48"/>
      <c r="J3036" s="26" t="str">
        <f t="shared" si="427"/>
        <v/>
      </c>
      <c r="N3036" t="str">
        <f t="shared" si="428"/>
        <v/>
      </c>
      <c r="Q3036" t="str">
        <f t="shared" si="429"/>
        <v/>
      </c>
      <c r="S3036" t="str">
        <f>IF(A3036=1,MAX($S$2:$S3035)+1,IF(OR($I3036&lt;&gt;"",A3036="x"),$S3035,""))</f>
        <v/>
      </c>
      <c r="T3036" t="str">
        <f>IF(D3036=1,MAX($T$2:$T3035)+1,IF(S3036=S3035,$T3035,IF(D3036="x",T3035,IF(D3035="x","",""))))</f>
        <v/>
      </c>
      <c r="U3036" t="str">
        <f>IF(B3036=1,MAX($U$2:$U3035)+1,IF(AND($T3036&lt;&gt;"",$T3036=$T3035),$U3035,IF(B3036="x",U3035,"")))</f>
        <v/>
      </c>
      <c r="V3036" t="str">
        <f>IF(C3036=1,MAX($V$2:$V3035)+1,IF(AND($T3036&lt;&gt;"",$T3036=$T3035),$U3035,IF(C3036="x",V3035,"")))</f>
        <v/>
      </c>
      <c r="X3036" cm="1">
        <f t="array" ref="X3036">IF($I3036&lt;&gt;"",$I3036,INDEX($I$1:$I3036,ROW()-COUNTIFS($T$1:$T3036,"="&amp;$T3036,$S$1:$S3036,"&lt;"&amp;$S3036)))</f>
        <v>0</v>
      </c>
      <c r="Z3036" s="6">
        <f t="shared" si="422"/>
        <v>1</v>
      </c>
      <c r="AA3036" t="e">
        <f t="shared" si="423"/>
        <v>#VALUE!</v>
      </c>
      <c r="AB3036" t="str">
        <f t="shared" si="424"/>
        <v/>
      </c>
      <c r="AC3036" t="e">
        <f t="shared" si="425"/>
        <v>#VALUE!</v>
      </c>
    </row>
    <row r="3037" spans="1:29" x14ac:dyDescent="0.2">
      <c r="A3037" t="str">
        <f t="shared" si="426"/>
        <v/>
      </c>
      <c r="E3037" s="4"/>
      <c r="F3037" s="46"/>
      <c r="G3037" s="4"/>
      <c r="H3037" s="48"/>
      <c r="J3037" s="26" t="str">
        <f t="shared" si="427"/>
        <v/>
      </c>
      <c r="N3037" t="str">
        <f t="shared" si="428"/>
        <v/>
      </c>
      <c r="Q3037" t="str">
        <f t="shared" si="429"/>
        <v/>
      </c>
      <c r="S3037" t="str">
        <f>IF(A3037=1,MAX($S$2:$S3036)+1,IF(OR($I3037&lt;&gt;"",A3037="x"),$S3036,""))</f>
        <v/>
      </c>
      <c r="T3037" t="str">
        <f>IF(D3037=1,MAX($T$2:$T3036)+1,IF(S3037=S3036,$T3036,IF(D3037="x",T3036,IF(D3036="x","",""))))</f>
        <v/>
      </c>
      <c r="U3037" t="str">
        <f>IF(B3037=1,MAX($U$2:$U3036)+1,IF(AND($T3037&lt;&gt;"",$T3037=$T3036),$U3036,IF(B3037="x",U3036,"")))</f>
        <v/>
      </c>
      <c r="V3037" t="str">
        <f>IF(C3037=1,MAX($V$2:$V3036)+1,IF(AND($T3037&lt;&gt;"",$T3037=$T3036),$U3036,IF(C3037="x",V3036,"")))</f>
        <v/>
      </c>
      <c r="X3037" cm="1">
        <f t="array" ref="X3037">IF($I3037&lt;&gt;"",$I3037,INDEX($I$1:$I3037,ROW()-COUNTIFS($T$1:$T3037,"="&amp;$T3037,$S$1:$S3037,"&lt;"&amp;$S3037)))</f>
        <v>0</v>
      </c>
      <c r="Z3037" s="6">
        <f t="shared" si="422"/>
        <v>1</v>
      </c>
      <c r="AA3037" t="e">
        <f t="shared" si="423"/>
        <v>#VALUE!</v>
      </c>
      <c r="AB3037" t="str">
        <f t="shared" si="424"/>
        <v/>
      </c>
      <c r="AC3037" t="e">
        <f t="shared" si="425"/>
        <v>#VALUE!</v>
      </c>
    </row>
    <row r="3038" spans="1:29" x14ac:dyDescent="0.2">
      <c r="A3038" t="str">
        <f t="shared" si="426"/>
        <v/>
      </c>
      <c r="E3038" s="4"/>
      <c r="F3038" s="46"/>
      <c r="G3038" s="4"/>
      <c r="H3038" s="48"/>
      <c r="J3038" s="26" t="str">
        <f t="shared" si="427"/>
        <v/>
      </c>
      <c r="N3038" t="str">
        <f t="shared" si="428"/>
        <v/>
      </c>
      <c r="Q3038" t="str">
        <f t="shared" si="429"/>
        <v/>
      </c>
      <c r="S3038" t="str">
        <f>IF(A3038=1,MAX($S$2:$S3037)+1,IF(OR($I3038&lt;&gt;"",A3038="x"),$S3037,""))</f>
        <v/>
      </c>
      <c r="T3038" t="str">
        <f>IF(D3038=1,MAX($T$2:$T3037)+1,IF(S3038=S3037,$T3037,IF(D3038="x",T3037,IF(D3037="x","",""))))</f>
        <v/>
      </c>
      <c r="U3038" t="str">
        <f>IF(B3038=1,MAX($U$2:$U3037)+1,IF(AND($T3038&lt;&gt;"",$T3038=$T3037),$U3037,IF(B3038="x",U3037,"")))</f>
        <v/>
      </c>
      <c r="V3038" t="str">
        <f>IF(C3038=1,MAX($V$2:$V3037)+1,IF(AND($T3038&lt;&gt;"",$T3038=$T3037),$U3037,IF(C3038="x",V3037,"")))</f>
        <v/>
      </c>
      <c r="X3038" cm="1">
        <f t="array" ref="X3038">IF($I3038&lt;&gt;"",$I3038,INDEX($I$1:$I3038,ROW()-COUNTIFS($T$1:$T3038,"="&amp;$T3038,$S$1:$S3038,"&lt;"&amp;$S3038)))</f>
        <v>0</v>
      </c>
      <c r="Z3038" s="6">
        <f t="shared" si="422"/>
        <v>1</v>
      </c>
      <c r="AA3038" t="e">
        <f t="shared" si="423"/>
        <v>#VALUE!</v>
      </c>
      <c r="AB3038" t="str">
        <f t="shared" si="424"/>
        <v/>
      </c>
      <c r="AC3038" t="e">
        <f t="shared" si="425"/>
        <v>#VALUE!</v>
      </c>
    </row>
    <row r="3039" spans="1:29" x14ac:dyDescent="0.2">
      <c r="A3039" t="str">
        <f t="shared" si="426"/>
        <v/>
      </c>
      <c r="E3039" s="4"/>
      <c r="F3039" s="46"/>
      <c r="G3039" s="4"/>
      <c r="H3039" s="48"/>
      <c r="J3039" s="26" t="str">
        <f t="shared" si="427"/>
        <v/>
      </c>
      <c r="N3039" t="str">
        <f t="shared" si="428"/>
        <v/>
      </c>
      <c r="Q3039" t="str">
        <f t="shared" si="429"/>
        <v/>
      </c>
      <c r="S3039" t="str">
        <f>IF(A3039=1,MAX($S$2:$S3038)+1,IF(OR($I3039&lt;&gt;"",A3039="x"),$S3038,""))</f>
        <v/>
      </c>
      <c r="T3039" t="str">
        <f>IF(D3039=1,MAX($T$2:$T3038)+1,IF(S3039=S3038,$T3038,IF(D3039="x",T3038,IF(D3038="x","",""))))</f>
        <v/>
      </c>
      <c r="U3039" t="str">
        <f>IF(B3039=1,MAX($U$2:$U3038)+1,IF(AND($T3039&lt;&gt;"",$T3039=$T3038),$U3038,IF(B3039="x",U3038,"")))</f>
        <v/>
      </c>
      <c r="V3039" t="str">
        <f>IF(C3039=1,MAX($V$2:$V3038)+1,IF(AND($T3039&lt;&gt;"",$T3039=$T3038),$U3038,IF(C3039="x",V3038,"")))</f>
        <v/>
      </c>
      <c r="X3039" cm="1">
        <f t="array" ref="X3039">IF($I3039&lt;&gt;"",$I3039,INDEX($I$1:$I3039,ROW()-COUNTIFS($T$1:$T3039,"="&amp;$T3039,$S$1:$S3039,"&lt;"&amp;$S3039)))</f>
        <v>0</v>
      </c>
      <c r="Z3039" s="6">
        <f t="shared" si="422"/>
        <v>1</v>
      </c>
      <c r="AA3039" t="e">
        <f t="shared" si="423"/>
        <v>#VALUE!</v>
      </c>
      <c r="AB3039" t="str">
        <f t="shared" si="424"/>
        <v/>
      </c>
      <c r="AC3039" t="e">
        <f t="shared" si="425"/>
        <v>#VALUE!</v>
      </c>
    </row>
    <row r="3040" spans="1:29" x14ac:dyDescent="0.2">
      <c r="A3040" t="str">
        <f t="shared" si="426"/>
        <v/>
      </c>
      <c r="E3040" s="4"/>
      <c r="F3040" s="46"/>
      <c r="G3040" s="4"/>
      <c r="H3040" s="48"/>
      <c r="J3040" s="26" t="str">
        <f t="shared" si="427"/>
        <v/>
      </c>
      <c r="N3040" t="str">
        <f t="shared" si="428"/>
        <v/>
      </c>
      <c r="Q3040" t="str">
        <f t="shared" si="429"/>
        <v/>
      </c>
      <c r="S3040" t="str">
        <f>IF(A3040=1,MAX($S$2:$S3039)+1,IF(OR($I3040&lt;&gt;"",A3040="x"),$S3039,""))</f>
        <v/>
      </c>
      <c r="T3040" t="str">
        <f>IF(D3040=1,MAX($T$2:$T3039)+1,IF(S3040=S3039,$T3039,IF(D3040="x",T3039,IF(D3039="x","",""))))</f>
        <v/>
      </c>
      <c r="U3040" t="str">
        <f>IF(B3040=1,MAX($U$2:$U3039)+1,IF(AND($T3040&lt;&gt;"",$T3040=$T3039),$U3039,IF(B3040="x",U3039,"")))</f>
        <v/>
      </c>
      <c r="V3040" t="str">
        <f>IF(C3040=1,MAX($V$2:$V3039)+1,IF(AND($T3040&lt;&gt;"",$T3040=$T3039),$U3039,IF(C3040="x",V3039,"")))</f>
        <v/>
      </c>
      <c r="X3040" cm="1">
        <f t="array" ref="X3040">IF($I3040&lt;&gt;"",$I3040,INDEX($I$1:$I3040,ROW()-COUNTIFS($T$1:$T3040,"="&amp;$T3040,$S$1:$S3040,"&lt;"&amp;$S3040)))</f>
        <v>0</v>
      </c>
      <c r="Z3040" s="6">
        <f t="shared" si="422"/>
        <v>1</v>
      </c>
      <c r="AA3040" t="e">
        <f t="shared" si="423"/>
        <v>#VALUE!</v>
      </c>
      <c r="AB3040" t="str">
        <f t="shared" si="424"/>
        <v/>
      </c>
      <c r="AC3040" t="e">
        <f t="shared" si="425"/>
        <v>#VALUE!</v>
      </c>
    </row>
    <row r="3041" spans="1:29" x14ac:dyDescent="0.2">
      <c r="A3041" t="str">
        <f t="shared" si="426"/>
        <v/>
      </c>
      <c r="E3041" s="4"/>
      <c r="F3041" s="46"/>
      <c r="G3041" s="4"/>
      <c r="H3041" s="48"/>
      <c r="J3041" s="26" t="str">
        <f t="shared" si="427"/>
        <v/>
      </c>
      <c r="N3041" t="str">
        <f t="shared" si="428"/>
        <v/>
      </c>
      <c r="Q3041" t="str">
        <f t="shared" si="429"/>
        <v/>
      </c>
      <c r="S3041" t="str">
        <f>IF(A3041=1,MAX($S$2:$S3040)+1,IF(OR($I3041&lt;&gt;"",A3041="x"),$S3040,""))</f>
        <v/>
      </c>
      <c r="T3041" t="str">
        <f>IF(D3041=1,MAX($T$2:$T3040)+1,IF(S3041=S3040,$T3040,IF(D3041="x",T3040,IF(D3040="x","",""))))</f>
        <v/>
      </c>
      <c r="U3041" t="str">
        <f>IF(B3041=1,MAX($U$2:$U3040)+1,IF(AND($T3041&lt;&gt;"",$T3041=$T3040),$U3040,IF(B3041="x",U3040,"")))</f>
        <v/>
      </c>
      <c r="V3041" t="str">
        <f>IF(C3041=1,MAX($V$2:$V3040)+1,IF(AND($T3041&lt;&gt;"",$T3041=$T3040),$U3040,IF(C3041="x",V3040,"")))</f>
        <v/>
      </c>
      <c r="X3041" cm="1">
        <f t="array" ref="X3041">IF($I3041&lt;&gt;"",$I3041,INDEX($I$1:$I3041,ROW()-COUNTIFS($T$1:$T3041,"="&amp;$T3041,$S$1:$S3041,"&lt;"&amp;$S3041)))</f>
        <v>0</v>
      </c>
      <c r="Z3041" s="6">
        <f t="shared" si="422"/>
        <v>1</v>
      </c>
      <c r="AA3041" t="e">
        <f t="shared" si="423"/>
        <v>#VALUE!</v>
      </c>
      <c r="AB3041" t="str">
        <f t="shared" si="424"/>
        <v/>
      </c>
      <c r="AC3041" t="e">
        <f t="shared" si="425"/>
        <v>#VALUE!</v>
      </c>
    </row>
    <row r="3042" spans="1:29" x14ac:dyDescent="0.2">
      <c r="A3042" t="str">
        <f t="shared" si="426"/>
        <v/>
      </c>
      <c r="E3042" s="4"/>
      <c r="F3042" s="46"/>
      <c r="G3042" s="4"/>
      <c r="H3042" s="48"/>
      <c r="J3042" s="26" t="str">
        <f t="shared" si="427"/>
        <v/>
      </c>
      <c r="N3042" t="str">
        <f t="shared" si="428"/>
        <v/>
      </c>
      <c r="Q3042" t="str">
        <f t="shared" si="429"/>
        <v/>
      </c>
      <c r="S3042" t="str">
        <f>IF(A3042=1,MAX($S$2:$S3041)+1,IF(OR($I3042&lt;&gt;"",A3042="x"),$S3041,""))</f>
        <v/>
      </c>
      <c r="T3042" t="str">
        <f>IF(D3042=1,MAX($T$2:$T3041)+1,IF(S3042=S3041,$T3041,IF(D3042="x",T3041,IF(D3041="x","",""))))</f>
        <v/>
      </c>
      <c r="U3042" t="str">
        <f>IF(B3042=1,MAX($U$2:$U3041)+1,IF(AND($T3042&lt;&gt;"",$T3042=$T3041),$U3041,IF(B3042="x",U3041,"")))</f>
        <v/>
      </c>
      <c r="V3042" t="str">
        <f>IF(C3042=1,MAX($V$2:$V3041)+1,IF(AND($T3042&lt;&gt;"",$T3042=$T3041),$U3041,IF(C3042="x",V3041,"")))</f>
        <v/>
      </c>
      <c r="X3042" cm="1">
        <f t="array" ref="X3042">IF($I3042&lt;&gt;"",$I3042,INDEX($I$1:$I3042,ROW()-COUNTIFS($T$1:$T3042,"="&amp;$T3042,$S$1:$S3042,"&lt;"&amp;$S3042)))</f>
        <v>0</v>
      </c>
      <c r="Z3042" s="6">
        <f t="shared" si="422"/>
        <v>1</v>
      </c>
      <c r="AA3042" t="e">
        <f t="shared" si="423"/>
        <v>#VALUE!</v>
      </c>
      <c r="AB3042" t="str">
        <f t="shared" si="424"/>
        <v/>
      </c>
      <c r="AC3042" t="e">
        <f t="shared" si="425"/>
        <v>#VALUE!</v>
      </c>
    </row>
    <row r="3043" spans="1:29" x14ac:dyDescent="0.2">
      <c r="A3043" t="str">
        <f t="shared" si="426"/>
        <v/>
      </c>
      <c r="E3043" s="4"/>
      <c r="F3043" s="46"/>
      <c r="G3043" s="4"/>
      <c r="H3043" s="48"/>
      <c r="J3043" s="26" t="str">
        <f t="shared" si="427"/>
        <v/>
      </c>
      <c r="N3043" t="str">
        <f t="shared" si="428"/>
        <v/>
      </c>
      <c r="Q3043" t="str">
        <f t="shared" si="429"/>
        <v/>
      </c>
      <c r="S3043" t="str">
        <f>IF(A3043=1,MAX($S$2:$S3042)+1,IF(OR($I3043&lt;&gt;"",A3043="x"),$S3042,""))</f>
        <v/>
      </c>
      <c r="T3043" t="str">
        <f>IF(D3043=1,MAX($T$2:$T3042)+1,IF(S3043=S3042,$T3042,IF(D3043="x",T3042,IF(D3042="x","",""))))</f>
        <v/>
      </c>
      <c r="U3043" t="str">
        <f>IF(B3043=1,MAX($U$2:$U3042)+1,IF(AND($T3043&lt;&gt;"",$T3043=$T3042),$U3042,IF(B3043="x",U3042,"")))</f>
        <v/>
      </c>
      <c r="V3043" t="str">
        <f>IF(C3043=1,MAX($V$2:$V3042)+1,IF(AND($T3043&lt;&gt;"",$T3043=$T3042),$U3042,IF(C3043="x",V3042,"")))</f>
        <v/>
      </c>
      <c r="X3043" cm="1">
        <f t="array" ref="X3043">IF($I3043&lt;&gt;"",$I3043,INDEX($I$1:$I3043,ROW()-COUNTIFS($T$1:$T3043,"="&amp;$T3043,$S$1:$S3043,"&lt;"&amp;$S3043)))</f>
        <v>0</v>
      </c>
      <c r="Z3043" s="6">
        <f t="shared" si="422"/>
        <v>1</v>
      </c>
      <c r="AA3043" t="e">
        <f t="shared" si="423"/>
        <v>#VALUE!</v>
      </c>
      <c r="AB3043" t="str">
        <f t="shared" si="424"/>
        <v/>
      </c>
      <c r="AC3043" t="e">
        <f t="shared" si="425"/>
        <v>#VALUE!</v>
      </c>
    </row>
    <row r="3044" spans="1:29" x14ac:dyDescent="0.2">
      <c r="A3044" t="str">
        <f t="shared" si="426"/>
        <v/>
      </c>
      <c r="E3044" s="4"/>
      <c r="F3044" s="46"/>
      <c r="G3044" s="4"/>
      <c r="H3044" s="48"/>
      <c r="J3044" s="26" t="str">
        <f t="shared" si="427"/>
        <v/>
      </c>
      <c r="N3044" t="str">
        <f t="shared" si="428"/>
        <v/>
      </c>
      <c r="Q3044" t="str">
        <f t="shared" si="429"/>
        <v/>
      </c>
      <c r="S3044" t="str">
        <f>IF(A3044=1,MAX($S$2:$S3043)+1,IF(OR($I3044&lt;&gt;"",A3044="x"),$S3043,""))</f>
        <v/>
      </c>
      <c r="T3044" t="str">
        <f>IF(D3044=1,MAX($T$2:$T3043)+1,IF(S3044=S3043,$T3043,IF(D3044="x",T3043,IF(D3043="x","",""))))</f>
        <v/>
      </c>
      <c r="U3044" t="str">
        <f>IF(B3044=1,MAX($U$2:$U3043)+1,IF(AND($T3044&lt;&gt;"",$T3044=$T3043),$U3043,IF(B3044="x",U3043,"")))</f>
        <v/>
      </c>
      <c r="V3044" t="str">
        <f>IF(C3044=1,MAX($V$2:$V3043)+1,IF(AND($T3044&lt;&gt;"",$T3044=$T3043),$U3043,IF(C3044="x",V3043,"")))</f>
        <v/>
      </c>
      <c r="X3044" cm="1">
        <f t="array" ref="X3044">IF($I3044&lt;&gt;"",$I3044,INDEX($I$1:$I3044,ROW()-COUNTIFS($T$1:$T3044,"="&amp;$T3044,$S$1:$S3044,"&lt;"&amp;$S3044)))</f>
        <v>0</v>
      </c>
      <c r="Z3044" s="6">
        <f t="shared" si="422"/>
        <v>1</v>
      </c>
      <c r="AA3044" t="e">
        <f t="shared" si="423"/>
        <v>#VALUE!</v>
      </c>
      <c r="AB3044" t="str">
        <f t="shared" si="424"/>
        <v/>
      </c>
      <c r="AC3044" t="e">
        <f t="shared" si="425"/>
        <v>#VALUE!</v>
      </c>
    </row>
    <row r="3045" spans="1:29" x14ac:dyDescent="0.2">
      <c r="A3045" t="str">
        <f t="shared" si="426"/>
        <v/>
      </c>
      <c r="E3045" s="4"/>
      <c r="F3045" s="46"/>
      <c r="G3045" s="4"/>
      <c r="H3045" s="48"/>
      <c r="J3045" s="26" t="str">
        <f t="shared" si="427"/>
        <v/>
      </c>
      <c r="N3045" t="str">
        <f t="shared" si="428"/>
        <v/>
      </c>
      <c r="Q3045" t="str">
        <f t="shared" si="429"/>
        <v/>
      </c>
      <c r="S3045" t="str">
        <f>IF(A3045=1,MAX($S$2:$S3044)+1,IF(OR($I3045&lt;&gt;"",A3045="x"),$S3044,""))</f>
        <v/>
      </c>
      <c r="T3045" t="str">
        <f>IF(D3045=1,MAX($T$2:$T3044)+1,IF(S3045=S3044,$T3044,IF(D3045="x",T3044,IF(D3044="x","",""))))</f>
        <v/>
      </c>
      <c r="U3045" t="str">
        <f>IF(B3045=1,MAX($U$2:$U3044)+1,IF(AND($T3045&lt;&gt;"",$T3045=$T3044),$U3044,IF(B3045="x",U3044,"")))</f>
        <v/>
      </c>
      <c r="V3045" t="str">
        <f>IF(C3045=1,MAX($V$2:$V3044)+1,IF(AND($T3045&lt;&gt;"",$T3045=$T3044),$U3044,IF(C3045="x",V3044,"")))</f>
        <v/>
      </c>
      <c r="X3045" cm="1">
        <f t="array" ref="X3045">IF($I3045&lt;&gt;"",$I3045,INDEX($I$1:$I3045,ROW()-COUNTIFS($T$1:$T3045,"="&amp;$T3045,$S$1:$S3045,"&lt;"&amp;$S3045)))</f>
        <v>0</v>
      </c>
      <c r="Z3045" s="6">
        <f t="shared" si="422"/>
        <v>1</v>
      </c>
      <c r="AA3045" t="e">
        <f t="shared" si="423"/>
        <v>#VALUE!</v>
      </c>
      <c r="AB3045" t="str">
        <f t="shared" si="424"/>
        <v/>
      </c>
      <c r="AC3045" t="e">
        <f t="shared" si="425"/>
        <v>#VALUE!</v>
      </c>
    </row>
    <row r="3046" spans="1:29" x14ac:dyDescent="0.2">
      <c r="A3046" t="str">
        <f t="shared" si="426"/>
        <v/>
      </c>
      <c r="E3046" s="4"/>
      <c r="F3046" s="46"/>
      <c r="G3046" s="4"/>
      <c r="H3046" s="48"/>
      <c r="J3046" s="26" t="str">
        <f t="shared" si="427"/>
        <v/>
      </c>
      <c r="N3046" t="str">
        <f t="shared" si="428"/>
        <v/>
      </c>
      <c r="Q3046" t="str">
        <f t="shared" si="429"/>
        <v/>
      </c>
      <c r="S3046" t="str">
        <f>IF(A3046=1,MAX($S$2:$S3045)+1,IF(OR($I3046&lt;&gt;"",A3046="x"),$S3045,""))</f>
        <v/>
      </c>
      <c r="T3046" t="str">
        <f>IF(D3046=1,MAX($T$2:$T3045)+1,IF(S3046=S3045,$T3045,IF(D3046="x",T3045,IF(D3045="x","",""))))</f>
        <v/>
      </c>
      <c r="U3046" t="str">
        <f>IF(B3046=1,MAX($U$2:$U3045)+1,IF(AND($T3046&lt;&gt;"",$T3046=$T3045),$U3045,IF(B3046="x",U3045,"")))</f>
        <v/>
      </c>
      <c r="V3046" t="str">
        <f>IF(C3046=1,MAX($V$2:$V3045)+1,IF(AND($T3046&lt;&gt;"",$T3046=$T3045),$U3045,IF(C3046="x",V3045,"")))</f>
        <v/>
      </c>
      <c r="X3046" cm="1">
        <f t="array" ref="X3046">IF($I3046&lt;&gt;"",$I3046,INDEX($I$1:$I3046,ROW()-COUNTIFS($T$1:$T3046,"="&amp;$T3046,$S$1:$S3046,"&lt;"&amp;$S3046)))</f>
        <v>0</v>
      </c>
      <c r="Z3046" s="6">
        <f t="shared" si="422"/>
        <v>1</v>
      </c>
      <c r="AA3046" t="e">
        <f t="shared" si="423"/>
        <v>#VALUE!</v>
      </c>
      <c r="AB3046" t="str">
        <f t="shared" si="424"/>
        <v/>
      </c>
      <c r="AC3046" t="e">
        <f t="shared" si="425"/>
        <v>#VALUE!</v>
      </c>
    </row>
    <row r="3047" spans="1:29" x14ac:dyDescent="0.2">
      <c r="A3047" t="str">
        <f t="shared" si="426"/>
        <v/>
      </c>
      <c r="E3047" s="4"/>
      <c r="F3047" s="46"/>
      <c r="G3047" s="4"/>
      <c r="H3047" s="48"/>
      <c r="J3047" s="26" t="str">
        <f t="shared" si="427"/>
        <v/>
      </c>
      <c r="N3047" t="str">
        <f t="shared" si="428"/>
        <v/>
      </c>
      <c r="Q3047" t="str">
        <f t="shared" si="429"/>
        <v/>
      </c>
      <c r="S3047" t="str">
        <f>IF(A3047=1,MAX($S$2:$S3046)+1,IF(OR($I3047&lt;&gt;"",A3047="x"),$S3046,""))</f>
        <v/>
      </c>
      <c r="T3047" t="str">
        <f>IF(D3047=1,MAX($T$2:$T3046)+1,IF(S3047=S3046,$T3046,IF(D3047="x",T3046,IF(D3046="x","",""))))</f>
        <v/>
      </c>
      <c r="U3047" t="str">
        <f>IF(B3047=1,MAX($U$2:$U3046)+1,IF(AND($T3047&lt;&gt;"",$T3047=$T3046),$U3046,IF(B3047="x",U3046,"")))</f>
        <v/>
      </c>
      <c r="V3047" t="str">
        <f>IF(C3047=1,MAX($V$2:$V3046)+1,IF(AND($T3047&lt;&gt;"",$T3047=$T3046),$U3046,IF(C3047="x",V3046,"")))</f>
        <v/>
      </c>
      <c r="X3047" cm="1">
        <f t="array" ref="X3047">IF($I3047&lt;&gt;"",$I3047,INDEX($I$1:$I3047,ROW()-COUNTIFS($T$1:$T3047,"="&amp;$T3047,$S$1:$S3047,"&lt;"&amp;$S3047)))</f>
        <v>0</v>
      </c>
      <c r="Z3047" s="6">
        <f t="shared" si="422"/>
        <v>1</v>
      </c>
      <c r="AA3047" t="e">
        <f t="shared" si="423"/>
        <v>#VALUE!</v>
      </c>
      <c r="AB3047" t="str">
        <f t="shared" si="424"/>
        <v/>
      </c>
      <c r="AC3047" t="e">
        <f t="shared" si="425"/>
        <v>#VALUE!</v>
      </c>
    </row>
    <row r="3048" spans="1:29" x14ac:dyDescent="0.2">
      <c r="A3048" t="str">
        <f t="shared" si="426"/>
        <v/>
      </c>
      <c r="E3048" s="4"/>
      <c r="F3048" s="46"/>
      <c r="G3048" s="4"/>
      <c r="H3048" s="48"/>
      <c r="J3048" s="26" t="str">
        <f t="shared" si="427"/>
        <v/>
      </c>
      <c r="N3048" t="str">
        <f t="shared" si="428"/>
        <v/>
      </c>
      <c r="Q3048" t="str">
        <f t="shared" si="429"/>
        <v/>
      </c>
      <c r="S3048" t="str">
        <f>IF(A3048=1,MAX($S$2:$S3047)+1,IF(OR($I3048&lt;&gt;"",A3048="x"),$S3047,""))</f>
        <v/>
      </c>
      <c r="T3048" t="str">
        <f>IF(D3048=1,MAX($T$2:$T3047)+1,IF(S3048=S3047,$T3047,IF(D3048="x",T3047,IF(D3047="x","",""))))</f>
        <v/>
      </c>
      <c r="U3048" t="str">
        <f>IF(B3048=1,MAX($U$2:$U3047)+1,IF(AND($T3048&lt;&gt;"",$T3048=$T3047),$U3047,IF(B3048="x",U3047,"")))</f>
        <v/>
      </c>
      <c r="V3048" t="str">
        <f>IF(C3048=1,MAX($V$2:$V3047)+1,IF(AND($T3048&lt;&gt;"",$T3048=$T3047),$U3047,IF(C3048="x",V3047,"")))</f>
        <v/>
      </c>
      <c r="X3048" cm="1">
        <f t="array" ref="X3048">IF($I3048&lt;&gt;"",$I3048,INDEX($I$1:$I3048,ROW()-COUNTIFS($T$1:$T3048,"="&amp;$T3048,$S$1:$S3048,"&lt;"&amp;$S3048)))</f>
        <v>0</v>
      </c>
      <c r="Z3048" s="6">
        <f t="shared" si="422"/>
        <v>1</v>
      </c>
      <c r="AA3048" t="e">
        <f t="shared" si="423"/>
        <v>#VALUE!</v>
      </c>
      <c r="AB3048" t="str">
        <f t="shared" si="424"/>
        <v/>
      </c>
      <c r="AC3048" t="e">
        <f t="shared" si="425"/>
        <v>#VALUE!</v>
      </c>
    </row>
    <row r="3049" spans="1:29" x14ac:dyDescent="0.2">
      <c r="A3049" t="str">
        <f t="shared" si="426"/>
        <v/>
      </c>
      <c r="E3049" s="4"/>
      <c r="F3049" s="46"/>
      <c r="G3049" s="4"/>
      <c r="H3049" s="48"/>
      <c r="J3049" s="26" t="str">
        <f t="shared" si="427"/>
        <v/>
      </c>
      <c r="N3049" t="str">
        <f t="shared" si="428"/>
        <v/>
      </c>
      <c r="Q3049" t="str">
        <f t="shared" si="429"/>
        <v/>
      </c>
      <c r="S3049" t="str">
        <f>IF(A3049=1,MAX($S$2:$S3048)+1,IF(OR($I3049&lt;&gt;"",A3049="x"),$S3048,""))</f>
        <v/>
      </c>
      <c r="T3049" t="str">
        <f>IF(D3049=1,MAX($T$2:$T3048)+1,IF(S3049=S3048,$T3048,IF(D3049="x",T3048,IF(D3048="x","",""))))</f>
        <v/>
      </c>
      <c r="U3049" t="str">
        <f>IF(B3049=1,MAX($U$2:$U3048)+1,IF(AND($T3049&lt;&gt;"",$T3049=$T3048),$U3048,IF(B3049="x",U3048,"")))</f>
        <v/>
      </c>
      <c r="V3049" t="str">
        <f>IF(C3049=1,MAX($V$2:$V3048)+1,IF(AND($T3049&lt;&gt;"",$T3049=$T3048),$U3048,IF(C3049="x",V3048,"")))</f>
        <v/>
      </c>
      <c r="X3049" cm="1">
        <f t="array" ref="X3049">IF($I3049&lt;&gt;"",$I3049,INDEX($I$1:$I3049,ROW()-COUNTIFS($T$1:$T3049,"="&amp;$T3049,$S$1:$S3049,"&lt;"&amp;$S3049)))</f>
        <v>0</v>
      </c>
      <c r="Z3049" s="6">
        <f t="shared" si="422"/>
        <v>1</v>
      </c>
      <c r="AA3049" t="e">
        <f t="shared" si="423"/>
        <v>#VALUE!</v>
      </c>
      <c r="AB3049" t="str">
        <f t="shared" si="424"/>
        <v/>
      </c>
      <c r="AC3049" t="e">
        <f t="shared" si="425"/>
        <v>#VALUE!</v>
      </c>
    </row>
    <row r="3050" spans="1:29" x14ac:dyDescent="0.2">
      <c r="A3050" t="str">
        <f t="shared" si="426"/>
        <v/>
      </c>
      <c r="E3050" s="4"/>
      <c r="F3050" s="46"/>
      <c r="G3050" s="4"/>
      <c r="H3050" s="48"/>
      <c r="J3050" s="26" t="str">
        <f t="shared" si="427"/>
        <v/>
      </c>
      <c r="N3050" t="str">
        <f t="shared" si="428"/>
        <v/>
      </c>
      <c r="Q3050" t="str">
        <f t="shared" si="429"/>
        <v/>
      </c>
      <c r="S3050" t="str">
        <f>IF(A3050=1,MAX($S$2:$S3049)+1,IF(OR($I3050&lt;&gt;"",A3050="x"),$S3049,""))</f>
        <v/>
      </c>
      <c r="T3050" t="str">
        <f>IF(D3050=1,MAX($T$2:$T3049)+1,IF(S3050=S3049,$T3049,IF(D3050="x",T3049,IF(D3049="x","",""))))</f>
        <v/>
      </c>
      <c r="U3050" t="str">
        <f>IF(B3050=1,MAX($U$2:$U3049)+1,IF(AND($T3050&lt;&gt;"",$T3050=$T3049),$U3049,IF(B3050="x",U3049,"")))</f>
        <v/>
      </c>
      <c r="V3050" t="str">
        <f>IF(C3050=1,MAX($V$2:$V3049)+1,IF(AND($T3050&lt;&gt;"",$T3050=$T3049),$U3049,IF(C3050="x",V3049,"")))</f>
        <v/>
      </c>
      <c r="X3050" cm="1">
        <f t="array" ref="X3050">IF($I3050&lt;&gt;"",$I3050,INDEX($I$1:$I3050,ROW()-COUNTIFS($T$1:$T3050,"="&amp;$T3050,$S$1:$S3050,"&lt;"&amp;$S3050)))</f>
        <v>0</v>
      </c>
      <c r="Z3050" s="6">
        <f t="shared" si="422"/>
        <v>1</v>
      </c>
      <c r="AA3050" t="e">
        <f t="shared" si="423"/>
        <v>#VALUE!</v>
      </c>
      <c r="AB3050" t="str">
        <f t="shared" si="424"/>
        <v/>
      </c>
      <c r="AC3050" t="e">
        <f t="shared" si="425"/>
        <v>#VALUE!</v>
      </c>
    </row>
    <row r="3051" spans="1:29" x14ac:dyDescent="0.2">
      <c r="A3051" t="str">
        <f t="shared" si="426"/>
        <v/>
      </c>
      <c r="E3051" s="4"/>
      <c r="F3051" s="46"/>
      <c r="G3051" s="4"/>
      <c r="H3051" s="48"/>
      <c r="J3051" s="26" t="str">
        <f t="shared" si="427"/>
        <v/>
      </c>
      <c r="N3051" t="str">
        <f t="shared" si="428"/>
        <v/>
      </c>
      <c r="Q3051" t="str">
        <f t="shared" si="429"/>
        <v/>
      </c>
      <c r="S3051" t="str">
        <f>IF(A3051=1,MAX($S$2:$S3050)+1,IF(OR($I3051&lt;&gt;"",A3051="x"),$S3050,""))</f>
        <v/>
      </c>
      <c r="T3051" t="str">
        <f>IF(D3051=1,MAX($T$2:$T3050)+1,IF(S3051=S3050,$T3050,IF(D3051="x",T3050,IF(D3050="x","",""))))</f>
        <v/>
      </c>
      <c r="U3051" t="str">
        <f>IF(B3051=1,MAX($U$2:$U3050)+1,IF(AND($T3051&lt;&gt;"",$T3051=$T3050),$U3050,IF(B3051="x",U3050,"")))</f>
        <v/>
      </c>
      <c r="V3051" t="str">
        <f>IF(C3051=1,MAX($V$2:$V3050)+1,IF(AND($T3051&lt;&gt;"",$T3051=$T3050),$U3050,IF(C3051="x",V3050,"")))</f>
        <v/>
      </c>
      <c r="X3051" cm="1">
        <f t="array" ref="X3051">IF($I3051&lt;&gt;"",$I3051,INDEX($I$1:$I3051,ROW()-COUNTIFS($T$1:$T3051,"="&amp;$T3051,$S$1:$S3051,"&lt;"&amp;$S3051)))</f>
        <v>0</v>
      </c>
      <c r="Z3051" s="6">
        <f t="shared" si="422"/>
        <v>1</v>
      </c>
      <c r="AA3051" t="e">
        <f t="shared" si="423"/>
        <v>#VALUE!</v>
      </c>
      <c r="AB3051" t="str">
        <f t="shared" si="424"/>
        <v/>
      </c>
      <c r="AC3051" t="e">
        <f t="shared" si="425"/>
        <v>#VALUE!</v>
      </c>
    </row>
    <row r="3052" spans="1:29" x14ac:dyDescent="0.2">
      <c r="A3052" t="str">
        <f t="shared" si="426"/>
        <v/>
      </c>
      <c r="E3052" s="4"/>
      <c r="F3052" s="46"/>
      <c r="G3052" s="4"/>
      <c r="H3052" s="48"/>
      <c r="J3052" s="26" t="str">
        <f t="shared" si="427"/>
        <v/>
      </c>
      <c r="N3052" t="str">
        <f t="shared" si="428"/>
        <v/>
      </c>
      <c r="Q3052" t="str">
        <f t="shared" si="429"/>
        <v/>
      </c>
      <c r="S3052" t="str">
        <f>IF(A3052=1,MAX($S$2:$S3051)+1,IF(OR($I3052&lt;&gt;"",A3052="x"),$S3051,""))</f>
        <v/>
      </c>
      <c r="T3052" t="str">
        <f>IF(D3052=1,MAX($T$2:$T3051)+1,IF(S3052=S3051,$T3051,IF(D3052="x",T3051,IF(D3051="x","",""))))</f>
        <v/>
      </c>
      <c r="U3052" t="str">
        <f>IF(B3052=1,MAX($U$2:$U3051)+1,IF(AND($T3052&lt;&gt;"",$T3052=$T3051),$U3051,IF(B3052="x",U3051,"")))</f>
        <v/>
      </c>
      <c r="V3052" t="str">
        <f>IF(C3052=1,MAX($V$2:$V3051)+1,IF(AND($T3052&lt;&gt;"",$T3052=$T3051),$U3051,IF(C3052="x",V3051,"")))</f>
        <v/>
      </c>
      <c r="X3052" cm="1">
        <f t="array" ref="X3052">IF($I3052&lt;&gt;"",$I3052,INDEX($I$1:$I3052,ROW()-COUNTIFS($T$1:$T3052,"="&amp;$T3052,$S$1:$S3052,"&lt;"&amp;$S3052)))</f>
        <v>0</v>
      </c>
      <c r="Z3052" s="6">
        <f t="shared" si="422"/>
        <v>1</v>
      </c>
      <c r="AA3052" t="e">
        <f t="shared" si="423"/>
        <v>#VALUE!</v>
      </c>
      <c r="AB3052" t="str">
        <f t="shared" si="424"/>
        <v/>
      </c>
      <c r="AC3052" t="e">
        <f t="shared" si="425"/>
        <v>#VALUE!</v>
      </c>
    </row>
    <row r="3053" spans="1:29" x14ac:dyDescent="0.2">
      <c r="A3053" t="str">
        <f t="shared" si="426"/>
        <v/>
      </c>
      <c r="E3053" s="4"/>
      <c r="F3053" s="46"/>
      <c r="G3053" s="4"/>
      <c r="H3053" s="48"/>
      <c r="J3053" s="26" t="str">
        <f t="shared" si="427"/>
        <v/>
      </c>
      <c r="N3053" t="str">
        <f t="shared" si="428"/>
        <v/>
      </c>
      <c r="Q3053" t="str">
        <f t="shared" si="429"/>
        <v/>
      </c>
      <c r="S3053" t="str">
        <f>IF(A3053=1,MAX($S$2:$S3052)+1,IF(OR($I3053&lt;&gt;"",A3053="x"),$S3052,""))</f>
        <v/>
      </c>
      <c r="T3053" t="str">
        <f>IF(D3053=1,MAX($T$2:$T3052)+1,IF(S3053=S3052,$T3052,IF(D3053="x",T3052,IF(D3052="x","",""))))</f>
        <v/>
      </c>
      <c r="U3053" t="str">
        <f>IF(B3053=1,MAX($U$2:$U3052)+1,IF(AND($T3053&lt;&gt;"",$T3053=$T3052),$U3052,IF(B3053="x",U3052,"")))</f>
        <v/>
      </c>
      <c r="V3053" t="str">
        <f>IF(C3053=1,MAX($V$2:$V3052)+1,IF(AND($T3053&lt;&gt;"",$T3053=$T3052),$U3052,IF(C3053="x",V3052,"")))</f>
        <v/>
      </c>
      <c r="X3053" cm="1">
        <f t="array" ref="X3053">IF($I3053&lt;&gt;"",$I3053,INDEX($I$1:$I3053,ROW()-COUNTIFS($T$1:$T3053,"="&amp;$T3053,$S$1:$S3053,"&lt;"&amp;$S3053)))</f>
        <v>0</v>
      </c>
      <c r="Z3053" s="6">
        <f t="shared" si="422"/>
        <v>1</v>
      </c>
      <c r="AA3053" t="e">
        <f t="shared" si="423"/>
        <v>#VALUE!</v>
      </c>
      <c r="AB3053" t="str">
        <f t="shared" si="424"/>
        <v/>
      </c>
      <c r="AC3053" t="e">
        <f t="shared" si="425"/>
        <v>#VALUE!</v>
      </c>
    </row>
    <row r="3054" spans="1:29" x14ac:dyDescent="0.2">
      <c r="A3054" t="str">
        <f t="shared" si="426"/>
        <v/>
      </c>
      <c r="E3054" s="4"/>
      <c r="F3054" s="46"/>
      <c r="G3054" s="4"/>
      <c r="H3054" s="48"/>
      <c r="J3054" s="26" t="str">
        <f t="shared" si="427"/>
        <v/>
      </c>
      <c r="N3054" t="str">
        <f t="shared" si="428"/>
        <v/>
      </c>
      <c r="Q3054" t="str">
        <f t="shared" si="429"/>
        <v/>
      </c>
      <c r="S3054" t="str">
        <f>IF(A3054=1,MAX($S$2:$S3053)+1,IF(OR($I3054&lt;&gt;"",A3054="x"),$S3053,""))</f>
        <v/>
      </c>
      <c r="T3054" t="str">
        <f>IF(D3054=1,MAX($T$2:$T3053)+1,IF(S3054=S3053,$T3053,IF(D3054="x",T3053,IF(D3053="x","",""))))</f>
        <v/>
      </c>
      <c r="U3054" t="str">
        <f>IF(B3054=1,MAX($U$2:$U3053)+1,IF(AND($T3054&lt;&gt;"",$T3054=$T3053),$U3053,IF(B3054="x",U3053,"")))</f>
        <v/>
      </c>
      <c r="V3054" t="str">
        <f>IF(C3054=1,MAX($V$2:$V3053)+1,IF(AND($T3054&lt;&gt;"",$T3054=$T3053),$U3053,IF(C3054="x",V3053,"")))</f>
        <v/>
      </c>
      <c r="X3054" cm="1">
        <f t="array" ref="X3054">IF($I3054&lt;&gt;"",$I3054,INDEX($I$1:$I3054,ROW()-COUNTIFS($T$1:$T3054,"="&amp;$T3054,$S$1:$S3054,"&lt;"&amp;$S3054)))</f>
        <v>0</v>
      </c>
      <c r="Z3054" s="6">
        <f t="shared" si="422"/>
        <v>1</v>
      </c>
      <c r="AA3054" t="e">
        <f t="shared" si="423"/>
        <v>#VALUE!</v>
      </c>
      <c r="AB3054" t="str">
        <f t="shared" si="424"/>
        <v/>
      </c>
      <c r="AC3054" t="e">
        <f t="shared" si="425"/>
        <v>#VALUE!</v>
      </c>
    </row>
    <row r="3055" spans="1:29" x14ac:dyDescent="0.2">
      <c r="A3055" t="str">
        <f t="shared" si="426"/>
        <v/>
      </c>
      <c r="E3055" s="4"/>
      <c r="F3055" s="46"/>
      <c r="G3055" s="4"/>
      <c r="H3055" s="48"/>
      <c r="J3055" s="26" t="str">
        <f t="shared" si="427"/>
        <v/>
      </c>
      <c r="N3055" t="str">
        <f t="shared" si="428"/>
        <v/>
      </c>
      <c r="Q3055" t="str">
        <f t="shared" si="429"/>
        <v/>
      </c>
      <c r="S3055" t="str">
        <f>IF(A3055=1,MAX($S$2:$S3054)+1,IF(OR($I3055&lt;&gt;"",A3055="x"),$S3054,""))</f>
        <v/>
      </c>
      <c r="T3055" t="str">
        <f>IF(D3055=1,MAX($T$2:$T3054)+1,IF(S3055=S3054,$T3054,IF(D3055="x",T3054,IF(D3054="x","",""))))</f>
        <v/>
      </c>
      <c r="U3055" t="str">
        <f>IF(B3055=1,MAX($U$2:$U3054)+1,IF(AND($T3055&lt;&gt;"",$T3055=$T3054),$U3054,IF(B3055="x",U3054,"")))</f>
        <v/>
      </c>
      <c r="V3055" t="str">
        <f>IF(C3055=1,MAX($V$2:$V3054)+1,IF(AND($T3055&lt;&gt;"",$T3055=$T3054),$U3054,IF(C3055="x",V3054,"")))</f>
        <v/>
      </c>
      <c r="X3055" cm="1">
        <f t="array" ref="X3055">IF($I3055&lt;&gt;"",$I3055,INDEX($I$1:$I3055,ROW()-COUNTIFS($T$1:$T3055,"="&amp;$T3055,$S$1:$S3055,"&lt;"&amp;$S3055)))</f>
        <v>0</v>
      </c>
      <c r="Z3055" s="6">
        <f t="shared" si="422"/>
        <v>1</v>
      </c>
      <c r="AA3055" t="e">
        <f t="shared" si="423"/>
        <v>#VALUE!</v>
      </c>
      <c r="AB3055" t="str">
        <f t="shared" si="424"/>
        <v/>
      </c>
      <c r="AC3055" t="e">
        <f t="shared" si="425"/>
        <v>#VALUE!</v>
      </c>
    </row>
    <row r="3056" spans="1:29" x14ac:dyDescent="0.2">
      <c r="A3056" t="str">
        <f t="shared" si="426"/>
        <v/>
      </c>
      <c r="E3056" s="4"/>
      <c r="F3056" s="46"/>
      <c r="G3056" s="4"/>
      <c r="H3056" s="48"/>
      <c r="J3056" s="26" t="str">
        <f t="shared" si="427"/>
        <v/>
      </c>
      <c r="N3056" t="str">
        <f t="shared" si="428"/>
        <v/>
      </c>
      <c r="Q3056" t="str">
        <f t="shared" si="429"/>
        <v/>
      </c>
      <c r="S3056" t="str">
        <f>IF(A3056=1,MAX($S$2:$S3055)+1,IF(OR($I3056&lt;&gt;"",A3056="x"),$S3055,""))</f>
        <v/>
      </c>
      <c r="T3056" t="str">
        <f>IF(D3056=1,MAX($T$2:$T3055)+1,IF(S3056=S3055,$T3055,IF(D3056="x",T3055,IF(D3055="x","",""))))</f>
        <v/>
      </c>
      <c r="U3056" t="str">
        <f>IF(B3056=1,MAX($U$2:$U3055)+1,IF(AND($T3056&lt;&gt;"",$T3056=$T3055),$U3055,IF(B3056="x",U3055,"")))</f>
        <v/>
      </c>
      <c r="V3056" t="str">
        <f>IF(C3056=1,MAX($V$2:$V3055)+1,IF(AND($T3056&lt;&gt;"",$T3056=$T3055),$U3055,IF(C3056="x",V3055,"")))</f>
        <v/>
      </c>
      <c r="X3056" cm="1">
        <f t="array" ref="X3056">IF($I3056&lt;&gt;"",$I3056,INDEX($I$1:$I3056,ROW()-COUNTIFS($T$1:$T3056,"="&amp;$T3056,$S$1:$S3056,"&lt;"&amp;$S3056)))</f>
        <v>0</v>
      </c>
      <c r="Z3056" s="6">
        <f t="shared" si="422"/>
        <v>1</v>
      </c>
      <c r="AA3056" t="e">
        <f t="shared" si="423"/>
        <v>#VALUE!</v>
      </c>
      <c r="AB3056" t="str">
        <f t="shared" si="424"/>
        <v/>
      </c>
      <c r="AC3056" t="e">
        <f t="shared" si="425"/>
        <v>#VALUE!</v>
      </c>
    </row>
    <row r="3057" spans="1:29" x14ac:dyDescent="0.2">
      <c r="A3057" t="str">
        <f t="shared" si="426"/>
        <v/>
      </c>
      <c r="E3057" s="4"/>
      <c r="F3057" s="46"/>
      <c r="G3057" s="4"/>
      <c r="H3057" s="48"/>
      <c r="J3057" s="26" t="str">
        <f t="shared" si="427"/>
        <v/>
      </c>
      <c r="N3057" t="str">
        <f t="shared" si="428"/>
        <v/>
      </c>
      <c r="Q3057" t="str">
        <f t="shared" si="429"/>
        <v/>
      </c>
      <c r="S3057" t="str">
        <f>IF(A3057=1,MAX($S$2:$S3056)+1,IF(OR($I3057&lt;&gt;"",A3057="x"),$S3056,""))</f>
        <v/>
      </c>
      <c r="T3057" t="str">
        <f>IF(D3057=1,MAX($T$2:$T3056)+1,IF(S3057=S3056,$T3056,IF(D3057="x",T3056,IF(D3056="x","",""))))</f>
        <v/>
      </c>
      <c r="U3057" t="str">
        <f>IF(B3057=1,MAX($U$2:$U3056)+1,IF(AND($T3057&lt;&gt;"",$T3057=$T3056),$U3056,IF(B3057="x",U3056,"")))</f>
        <v/>
      </c>
      <c r="V3057" t="str">
        <f>IF(C3057=1,MAX($V$2:$V3056)+1,IF(AND($T3057&lt;&gt;"",$T3057=$T3056),$U3056,IF(C3057="x",V3056,"")))</f>
        <v/>
      </c>
      <c r="X3057" cm="1">
        <f t="array" ref="X3057">IF($I3057&lt;&gt;"",$I3057,INDEX($I$1:$I3057,ROW()-COUNTIFS($T$1:$T3057,"="&amp;$T3057,$S$1:$S3057,"&lt;"&amp;$S3057)))</f>
        <v>0</v>
      </c>
      <c r="Z3057" s="6">
        <f t="shared" si="422"/>
        <v>1</v>
      </c>
      <c r="AA3057" t="e">
        <f t="shared" si="423"/>
        <v>#VALUE!</v>
      </c>
      <c r="AB3057" t="str">
        <f t="shared" si="424"/>
        <v/>
      </c>
      <c r="AC3057" t="e">
        <f t="shared" si="425"/>
        <v>#VALUE!</v>
      </c>
    </row>
    <row r="3058" spans="1:29" x14ac:dyDescent="0.2">
      <c r="A3058" t="str">
        <f t="shared" si="426"/>
        <v/>
      </c>
      <c r="E3058" s="4"/>
      <c r="F3058" s="46"/>
      <c r="G3058" s="4"/>
      <c r="H3058" s="48"/>
      <c r="J3058" s="26" t="str">
        <f t="shared" si="427"/>
        <v/>
      </c>
      <c r="N3058" t="str">
        <f t="shared" si="428"/>
        <v/>
      </c>
      <c r="Q3058" t="str">
        <f t="shared" si="429"/>
        <v/>
      </c>
      <c r="S3058" t="str">
        <f>IF(A3058=1,MAX($S$2:$S3057)+1,IF(OR($I3058&lt;&gt;"",A3058="x"),$S3057,""))</f>
        <v/>
      </c>
      <c r="T3058" t="str">
        <f>IF(D3058=1,MAX($T$2:$T3057)+1,IF(S3058=S3057,$T3057,IF(D3058="x",T3057,IF(D3057="x","",""))))</f>
        <v/>
      </c>
      <c r="U3058" t="str">
        <f>IF(B3058=1,MAX($U$2:$U3057)+1,IF(AND($T3058&lt;&gt;"",$T3058=$T3057),$U3057,IF(B3058="x",U3057,"")))</f>
        <v/>
      </c>
      <c r="V3058" t="str">
        <f>IF(C3058=1,MAX($V$2:$V3057)+1,IF(AND($T3058&lt;&gt;"",$T3058=$T3057),$U3057,IF(C3058="x",V3057,"")))</f>
        <v/>
      </c>
      <c r="X3058" cm="1">
        <f t="array" ref="X3058">IF($I3058&lt;&gt;"",$I3058,INDEX($I$1:$I3058,ROW()-COUNTIFS($T$1:$T3058,"="&amp;$T3058,$S$1:$S3058,"&lt;"&amp;$S3058)))</f>
        <v>0</v>
      </c>
      <c r="Z3058" s="6">
        <f t="shared" si="422"/>
        <v>1</v>
      </c>
      <c r="AA3058" t="e">
        <f t="shared" si="423"/>
        <v>#VALUE!</v>
      </c>
      <c r="AB3058" t="str">
        <f t="shared" si="424"/>
        <v/>
      </c>
      <c r="AC3058" t="e">
        <f t="shared" si="425"/>
        <v>#VALUE!</v>
      </c>
    </row>
    <row r="3059" spans="1:29" x14ac:dyDescent="0.2">
      <c r="A3059" t="str">
        <f t="shared" si="426"/>
        <v/>
      </c>
      <c r="E3059" s="4"/>
      <c r="F3059" s="46"/>
      <c r="G3059" s="4"/>
      <c r="H3059" s="48"/>
      <c r="J3059" s="26" t="str">
        <f t="shared" si="427"/>
        <v/>
      </c>
      <c r="N3059" t="str">
        <f t="shared" si="428"/>
        <v/>
      </c>
      <c r="Q3059" t="str">
        <f t="shared" si="429"/>
        <v/>
      </c>
      <c r="S3059" t="str">
        <f>IF(A3059=1,MAX($S$2:$S3058)+1,IF(OR($I3059&lt;&gt;"",A3059="x"),$S3058,""))</f>
        <v/>
      </c>
      <c r="T3059" t="str">
        <f>IF(D3059=1,MAX($T$2:$T3058)+1,IF(S3059=S3058,$T3058,IF(D3059="x",T3058,IF(D3058="x","",""))))</f>
        <v/>
      </c>
      <c r="U3059" t="str">
        <f>IF(B3059=1,MAX($U$2:$U3058)+1,IF(AND($T3059&lt;&gt;"",$T3059=$T3058),$U3058,IF(B3059="x",U3058,"")))</f>
        <v/>
      </c>
      <c r="V3059" t="str">
        <f>IF(C3059=1,MAX($V$2:$V3058)+1,IF(AND($T3059&lt;&gt;"",$T3059=$T3058),$U3058,IF(C3059="x",V3058,"")))</f>
        <v/>
      </c>
      <c r="X3059" cm="1">
        <f t="array" ref="X3059">IF($I3059&lt;&gt;"",$I3059,INDEX($I$1:$I3059,ROW()-COUNTIFS($T$1:$T3059,"="&amp;$T3059,$S$1:$S3059,"&lt;"&amp;$S3059)))</f>
        <v>0</v>
      </c>
      <c r="Z3059" s="6">
        <f t="shared" si="422"/>
        <v>1</v>
      </c>
      <c r="AA3059" t="e">
        <f t="shared" si="423"/>
        <v>#VALUE!</v>
      </c>
      <c r="AB3059" t="str">
        <f t="shared" si="424"/>
        <v/>
      </c>
      <c r="AC3059" t="e">
        <f t="shared" si="425"/>
        <v>#VALUE!</v>
      </c>
    </row>
    <row r="3060" spans="1:29" x14ac:dyDescent="0.2">
      <c r="A3060" t="str">
        <f t="shared" si="426"/>
        <v/>
      </c>
      <c r="E3060" s="4"/>
      <c r="F3060" s="46"/>
      <c r="G3060" s="4"/>
      <c r="H3060" s="48"/>
      <c r="J3060" s="26" t="str">
        <f t="shared" si="427"/>
        <v/>
      </c>
      <c r="N3060" t="str">
        <f t="shared" si="428"/>
        <v/>
      </c>
      <c r="Q3060" t="str">
        <f t="shared" si="429"/>
        <v/>
      </c>
      <c r="S3060" t="str">
        <f>IF(A3060=1,MAX($S$2:$S3059)+1,IF(OR($I3060&lt;&gt;"",A3060="x"),$S3059,""))</f>
        <v/>
      </c>
      <c r="T3060" t="str">
        <f>IF(D3060=1,MAX($T$2:$T3059)+1,IF(S3060=S3059,$T3059,IF(D3060="x",T3059,IF(D3059="x","",""))))</f>
        <v/>
      </c>
      <c r="U3060" t="str">
        <f>IF(B3060=1,MAX($U$2:$U3059)+1,IF(AND($T3060&lt;&gt;"",$T3060=$T3059),$U3059,IF(B3060="x",U3059,"")))</f>
        <v/>
      </c>
      <c r="V3060" t="str">
        <f>IF(C3060=1,MAX($V$2:$V3059)+1,IF(AND($T3060&lt;&gt;"",$T3060=$T3059),$U3059,IF(C3060="x",V3059,"")))</f>
        <v/>
      </c>
      <c r="X3060" cm="1">
        <f t="array" ref="X3060">IF($I3060&lt;&gt;"",$I3060,INDEX($I$1:$I3060,ROW()-COUNTIFS($T$1:$T3060,"="&amp;$T3060,$S$1:$S3060,"&lt;"&amp;$S3060)))</f>
        <v>0</v>
      </c>
      <c r="Z3060" s="6">
        <f t="shared" si="422"/>
        <v>1</v>
      </c>
      <c r="AA3060" t="e">
        <f t="shared" si="423"/>
        <v>#VALUE!</v>
      </c>
      <c r="AB3060" t="str">
        <f t="shared" si="424"/>
        <v/>
      </c>
      <c r="AC3060" t="e">
        <f t="shared" si="425"/>
        <v>#VALUE!</v>
      </c>
    </row>
    <row r="3061" spans="1:29" x14ac:dyDescent="0.2">
      <c r="A3061" t="str">
        <f t="shared" si="426"/>
        <v/>
      </c>
      <c r="E3061" s="4"/>
      <c r="F3061" s="46"/>
      <c r="G3061" s="4"/>
      <c r="H3061" s="48"/>
      <c r="J3061" s="26" t="str">
        <f t="shared" si="427"/>
        <v/>
      </c>
      <c r="N3061" t="str">
        <f t="shared" si="428"/>
        <v/>
      </c>
      <c r="Q3061" t="str">
        <f t="shared" si="429"/>
        <v/>
      </c>
      <c r="S3061" t="str">
        <f>IF(A3061=1,MAX($S$2:$S3060)+1,IF(OR($I3061&lt;&gt;"",A3061="x"),$S3060,""))</f>
        <v/>
      </c>
      <c r="T3061" t="str">
        <f>IF(D3061=1,MAX($T$2:$T3060)+1,IF(S3061=S3060,$T3060,IF(D3061="x",T3060,IF(D3060="x","",""))))</f>
        <v/>
      </c>
      <c r="U3061" t="str">
        <f>IF(B3061=1,MAX($U$2:$U3060)+1,IF(AND($T3061&lt;&gt;"",$T3061=$T3060),$U3060,IF(B3061="x",U3060,"")))</f>
        <v/>
      </c>
      <c r="V3061" t="str">
        <f>IF(C3061=1,MAX($V$2:$V3060)+1,IF(AND($T3061&lt;&gt;"",$T3061=$T3060),$U3060,IF(C3061="x",V3060,"")))</f>
        <v/>
      </c>
      <c r="X3061" cm="1">
        <f t="array" ref="X3061">IF($I3061&lt;&gt;"",$I3061,INDEX($I$1:$I3061,ROW()-COUNTIFS($T$1:$T3061,"="&amp;$T3061,$S$1:$S3061,"&lt;"&amp;$S3061)))</f>
        <v>0</v>
      </c>
      <c r="Z3061" s="6">
        <f t="shared" si="422"/>
        <v>1</v>
      </c>
      <c r="AA3061" t="e">
        <f t="shared" si="423"/>
        <v>#VALUE!</v>
      </c>
      <c r="AB3061" t="str">
        <f t="shared" si="424"/>
        <v/>
      </c>
      <c r="AC3061" t="e">
        <f t="shared" si="425"/>
        <v>#VALUE!</v>
      </c>
    </row>
    <row r="3062" spans="1:29" x14ac:dyDescent="0.2">
      <c r="A3062" t="str">
        <f t="shared" si="426"/>
        <v/>
      </c>
      <c r="E3062" s="4"/>
      <c r="F3062" s="46"/>
      <c r="G3062" s="4"/>
      <c r="H3062" s="48"/>
      <c r="J3062" s="26" t="str">
        <f t="shared" si="427"/>
        <v/>
      </c>
      <c r="N3062" t="str">
        <f t="shared" si="428"/>
        <v/>
      </c>
      <c r="Q3062" t="str">
        <f t="shared" si="429"/>
        <v/>
      </c>
      <c r="S3062" t="str">
        <f>IF(A3062=1,MAX($S$2:$S3061)+1,IF(OR($I3062&lt;&gt;"",A3062="x"),$S3061,""))</f>
        <v/>
      </c>
      <c r="T3062" t="str">
        <f>IF(D3062=1,MAX($T$2:$T3061)+1,IF(S3062=S3061,$T3061,IF(D3062="x",T3061,IF(D3061="x","",""))))</f>
        <v/>
      </c>
      <c r="U3062" t="str">
        <f>IF(B3062=1,MAX($U$2:$U3061)+1,IF(AND($T3062&lt;&gt;"",$T3062=$T3061),$U3061,IF(B3062="x",U3061,"")))</f>
        <v/>
      </c>
      <c r="V3062" t="str">
        <f>IF(C3062=1,MAX($V$2:$V3061)+1,IF(AND($T3062&lt;&gt;"",$T3062=$T3061),$U3061,IF(C3062="x",V3061,"")))</f>
        <v/>
      </c>
      <c r="X3062" cm="1">
        <f t="array" ref="X3062">IF($I3062&lt;&gt;"",$I3062,INDEX($I$1:$I3062,ROW()-COUNTIFS($T$1:$T3062,"="&amp;$T3062,$S$1:$S3062,"&lt;"&amp;$S3062)))</f>
        <v>0</v>
      </c>
      <c r="Z3062" s="6">
        <f t="shared" si="422"/>
        <v>1</v>
      </c>
      <c r="AA3062" t="e">
        <f t="shared" si="423"/>
        <v>#VALUE!</v>
      </c>
      <c r="AB3062" t="str">
        <f t="shared" si="424"/>
        <v/>
      </c>
      <c r="AC3062" t="e">
        <f t="shared" si="425"/>
        <v>#VALUE!</v>
      </c>
    </row>
    <row r="3063" spans="1:29" x14ac:dyDescent="0.2">
      <c r="A3063" t="str">
        <f t="shared" si="426"/>
        <v/>
      </c>
      <c r="E3063" s="4"/>
      <c r="F3063" s="46"/>
      <c r="G3063" s="4"/>
      <c r="H3063" s="48"/>
      <c r="J3063" s="26" t="str">
        <f t="shared" si="427"/>
        <v/>
      </c>
      <c r="N3063" t="str">
        <f t="shared" si="428"/>
        <v/>
      </c>
      <c r="Q3063" t="str">
        <f t="shared" si="429"/>
        <v/>
      </c>
      <c r="S3063" t="str">
        <f>IF(A3063=1,MAX($S$2:$S3062)+1,IF(OR($I3063&lt;&gt;"",A3063="x"),$S3062,""))</f>
        <v/>
      </c>
      <c r="T3063" t="str">
        <f>IF(D3063=1,MAX($T$2:$T3062)+1,IF(S3063=S3062,$T3062,IF(D3063="x",T3062,IF(D3062="x","",""))))</f>
        <v/>
      </c>
      <c r="U3063" t="str">
        <f>IF(B3063=1,MAX($U$2:$U3062)+1,IF(AND($T3063&lt;&gt;"",$T3063=$T3062),$U3062,IF(B3063="x",U3062,"")))</f>
        <v/>
      </c>
      <c r="V3063" t="str">
        <f>IF(C3063=1,MAX($V$2:$V3062)+1,IF(AND($T3063&lt;&gt;"",$T3063=$T3062),$U3062,IF(C3063="x",V3062,"")))</f>
        <v/>
      </c>
      <c r="X3063" cm="1">
        <f t="array" ref="X3063">IF($I3063&lt;&gt;"",$I3063,INDEX($I$1:$I3063,ROW()-COUNTIFS($T$1:$T3063,"="&amp;$T3063,$S$1:$S3063,"&lt;"&amp;$S3063)))</f>
        <v>0</v>
      </c>
      <c r="Z3063" s="6">
        <f t="shared" si="422"/>
        <v>1</v>
      </c>
      <c r="AA3063" t="e">
        <f t="shared" si="423"/>
        <v>#VALUE!</v>
      </c>
      <c r="AB3063" t="str">
        <f t="shared" si="424"/>
        <v/>
      </c>
      <c r="AC3063" t="e">
        <f t="shared" si="425"/>
        <v>#VALUE!</v>
      </c>
    </row>
    <row r="3064" spans="1:29" x14ac:dyDescent="0.2">
      <c r="A3064" t="str">
        <f t="shared" si="426"/>
        <v/>
      </c>
      <c r="E3064" s="4"/>
      <c r="F3064" s="46"/>
      <c r="G3064" s="4"/>
      <c r="H3064" s="48"/>
      <c r="J3064" s="26" t="str">
        <f t="shared" si="427"/>
        <v/>
      </c>
      <c r="N3064" t="str">
        <f t="shared" si="428"/>
        <v/>
      </c>
      <c r="Q3064" t="str">
        <f t="shared" si="429"/>
        <v/>
      </c>
      <c r="S3064" t="str">
        <f>IF(A3064=1,MAX($S$2:$S3063)+1,IF(OR($I3064&lt;&gt;"",A3064="x"),$S3063,""))</f>
        <v/>
      </c>
      <c r="T3064" t="str">
        <f>IF(D3064=1,MAX($T$2:$T3063)+1,IF(S3064=S3063,$T3063,IF(D3064="x",T3063,IF(D3063="x","",""))))</f>
        <v/>
      </c>
      <c r="U3064" t="str">
        <f>IF(B3064=1,MAX($U$2:$U3063)+1,IF(AND($T3064&lt;&gt;"",$T3064=$T3063),$U3063,IF(B3064="x",U3063,"")))</f>
        <v/>
      </c>
      <c r="V3064" t="str">
        <f>IF(C3064=1,MAX($V$2:$V3063)+1,IF(AND($T3064&lt;&gt;"",$T3064=$T3063),$U3063,IF(C3064="x",V3063,"")))</f>
        <v/>
      </c>
      <c r="X3064" cm="1">
        <f t="array" ref="X3064">IF($I3064&lt;&gt;"",$I3064,INDEX($I$1:$I3064,ROW()-COUNTIFS($T$1:$T3064,"="&amp;$T3064,$S$1:$S3064,"&lt;"&amp;$S3064)))</f>
        <v>0</v>
      </c>
      <c r="Z3064" s="6">
        <f t="shared" si="422"/>
        <v>1</v>
      </c>
      <c r="AA3064" t="e">
        <f t="shared" si="423"/>
        <v>#VALUE!</v>
      </c>
      <c r="AB3064" t="str">
        <f t="shared" si="424"/>
        <v/>
      </c>
      <c r="AC3064" t="e">
        <f t="shared" si="425"/>
        <v>#VALUE!</v>
      </c>
    </row>
    <row r="3065" spans="1:29" x14ac:dyDescent="0.2">
      <c r="A3065" t="str">
        <f t="shared" si="426"/>
        <v/>
      </c>
      <c r="E3065" s="4"/>
      <c r="F3065" s="46"/>
      <c r="G3065" s="4"/>
      <c r="H3065" s="48"/>
      <c r="J3065" s="26" t="str">
        <f t="shared" si="427"/>
        <v/>
      </c>
      <c r="N3065" t="str">
        <f t="shared" si="428"/>
        <v/>
      </c>
      <c r="Q3065" t="str">
        <f t="shared" si="429"/>
        <v/>
      </c>
      <c r="S3065" t="str">
        <f>IF(A3065=1,MAX($S$2:$S3064)+1,IF(OR($I3065&lt;&gt;"",A3065="x"),$S3064,""))</f>
        <v/>
      </c>
      <c r="T3065" t="str">
        <f>IF(D3065=1,MAX($T$2:$T3064)+1,IF(S3065=S3064,$T3064,IF(D3065="x",T3064,IF(D3064="x","",""))))</f>
        <v/>
      </c>
      <c r="U3065" t="str">
        <f>IF(B3065=1,MAX($U$2:$U3064)+1,IF(AND($T3065&lt;&gt;"",$T3065=$T3064),$U3064,IF(B3065="x",U3064,"")))</f>
        <v/>
      </c>
      <c r="V3065" t="str">
        <f>IF(C3065=1,MAX($V$2:$V3064)+1,IF(AND($T3065&lt;&gt;"",$T3065=$T3064),$U3064,IF(C3065="x",V3064,"")))</f>
        <v/>
      </c>
      <c r="X3065" cm="1">
        <f t="array" ref="X3065">IF($I3065&lt;&gt;"",$I3065,INDEX($I$1:$I3065,ROW()-COUNTIFS($T$1:$T3065,"="&amp;$T3065,$S$1:$S3065,"&lt;"&amp;$S3065)))</f>
        <v>0</v>
      </c>
      <c r="Z3065" s="6">
        <f t="shared" si="422"/>
        <v>1</v>
      </c>
      <c r="AA3065" t="e">
        <f t="shared" si="423"/>
        <v>#VALUE!</v>
      </c>
      <c r="AB3065" t="str">
        <f t="shared" si="424"/>
        <v/>
      </c>
      <c r="AC3065" t="e">
        <f t="shared" si="425"/>
        <v>#VALUE!</v>
      </c>
    </row>
    <row r="3066" spans="1:29" x14ac:dyDescent="0.2">
      <c r="A3066" t="str">
        <f t="shared" si="426"/>
        <v/>
      </c>
      <c r="E3066" s="4"/>
      <c r="F3066" s="46"/>
      <c r="G3066" s="4"/>
      <c r="H3066" s="48"/>
      <c r="J3066" s="26" t="str">
        <f t="shared" si="427"/>
        <v/>
      </c>
      <c r="N3066" t="str">
        <f t="shared" si="428"/>
        <v/>
      </c>
      <c r="Q3066" t="str">
        <f t="shared" si="429"/>
        <v/>
      </c>
      <c r="S3066" t="str">
        <f>IF(A3066=1,MAX($S$2:$S3065)+1,IF(OR($I3066&lt;&gt;"",A3066="x"),$S3065,""))</f>
        <v/>
      </c>
      <c r="T3066" t="str">
        <f>IF(D3066=1,MAX($T$2:$T3065)+1,IF(S3066=S3065,$T3065,IF(D3066="x",T3065,IF(D3065="x","",""))))</f>
        <v/>
      </c>
      <c r="U3066" t="str">
        <f>IF(B3066=1,MAX($U$2:$U3065)+1,IF(AND($T3066&lt;&gt;"",$T3066=$T3065),$U3065,IF(B3066="x",U3065,"")))</f>
        <v/>
      </c>
      <c r="V3066" t="str">
        <f>IF(C3066=1,MAX($V$2:$V3065)+1,IF(AND($T3066&lt;&gt;"",$T3066=$T3065),$U3065,IF(C3066="x",V3065,"")))</f>
        <v/>
      </c>
      <c r="X3066" cm="1">
        <f t="array" ref="X3066">IF($I3066&lt;&gt;"",$I3066,INDEX($I$1:$I3066,ROW()-COUNTIFS($T$1:$T3066,"="&amp;$T3066,$S$1:$S3066,"&lt;"&amp;$S3066)))</f>
        <v>0</v>
      </c>
      <c r="Z3066" s="6">
        <f t="shared" si="422"/>
        <v>1</v>
      </c>
      <c r="AA3066" t="e">
        <f t="shared" si="423"/>
        <v>#VALUE!</v>
      </c>
      <c r="AB3066" t="str">
        <f t="shared" si="424"/>
        <v/>
      </c>
      <c r="AC3066" t="e">
        <f t="shared" si="425"/>
        <v>#VALUE!</v>
      </c>
    </row>
    <row r="3067" spans="1:29" x14ac:dyDescent="0.2">
      <c r="A3067" t="str">
        <f t="shared" si="426"/>
        <v/>
      </c>
      <c r="E3067" s="4"/>
      <c r="F3067" s="46"/>
      <c r="G3067" s="4"/>
      <c r="H3067" s="48"/>
      <c r="J3067" s="26" t="str">
        <f t="shared" si="427"/>
        <v/>
      </c>
      <c r="N3067" t="str">
        <f t="shared" si="428"/>
        <v/>
      </c>
      <c r="Q3067" t="str">
        <f t="shared" si="429"/>
        <v/>
      </c>
      <c r="S3067" t="str">
        <f>IF(A3067=1,MAX($S$2:$S3066)+1,IF(OR($I3067&lt;&gt;"",A3067="x"),$S3066,""))</f>
        <v/>
      </c>
      <c r="T3067" t="str">
        <f>IF(D3067=1,MAX($T$2:$T3066)+1,IF(S3067=S3066,$T3066,IF(D3067="x",T3066,IF(D3066="x","",""))))</f>
        <v/>
      </c>
      <c r="U3067" t="str">
        <f>IF(B3067=1,MAX($U$2:$U3066)+1,IF(AND($T3067&lt;&gt;"",$T3067=$T3066),$U3066,IF(B3067="x",U3066,"")))</f>
        <v/>
      </c>
      <c r="V3067" t="str">
        <f>IF(C3067=1,MAX($V$2:$V3066)+1,IF(AND($T3067&lt;&gt;"",$T3067=$T3066),$U3066,IF(C3067="x",V3066,"")))</f>
        <v/>
      </c>
      <c r="X3067" cm="1">
        <f t="array" ref="X3067">IF($I3067&lt;&gt;"",$I3067,INDEX($I$1:$I3067,ROW()-COUNTIFS($T$1:$T3067,"="&amp;$T3067,$S$1:$S3067,"&lt;"&amp;$S3067)))</f>
        <v>0</v>
      </c>
      <c r="Z3067" s="6">
        <f t="shared" si="422"/>
        <v>1</v>
      </c>
      <c r="AA3067" t="e">
        <f t="shared" si="423"/>
        <v>#VALUE!</v>
      </c>
      <c r="AB3067" t="str">
        <f t="shared" si="424"/>
        <v/>
      </c>
      <c r="AC3067" t="e">
        <f t="shared" si="425"/>
        <v>#VALUE!</v>
      </c>
    </row>
    <row r="3068" spans="1:29" x14ac:dyDescent="0.2">
      <c r="A3068" t="str">
        <f t="shared" si="426"/>
        <v/>
      </c>
      <c r="E3068" s="4"/>
      <c r="F3068" s="46"/>
      <c r="G3068" s="4"/>
      <c r="H3068" s="48"/>
      <c r="J3068" s="26" t="str">
        <f t="shared" si="427"/>
        <v/>
      </c>
      <c r="N3068" t="str">
        <f t="shared" si="428"/>
        <v/>
      </c>
      <c r="Q3068" t="str">
        <f t="shared" si="429"/>
        <v/>
      </c>
      <c r="S3068" t="str">
        <f>IF(A3068=1,MAX($S$2:$S3067)+1,IF(OR($I3068&lt;&gt;"",A3068="x"),$S3067,""))</f>
        <v/>
      </c>
      <c r="T3068" t="str">
        <f>IF(D3068=1,MAX($T$2:$T3067)+1,IF(S3068=S3067,$T3067,IF(D3068="x",T3067,IF(D3067="x","",""))))</f>
        <v/>
      </c>
      <c r="U3068" t="str">
        <f>IF(B3068=1,MAX($U$2:$U3067)+1,IF(AND($T3068&lt;&gt;"",$T3068=$T3067),$U3067,IF(B3068="x",U3067,"")))</f>
        <v/>
      </c>
      <c r="V3068" t="str">
        <f>IF(C3068=1,MAX($V$2:$V3067)+1,IF(AND($T3068&lt;&gt;"",$T3068=$T3067),$U3067,IF(C3068="x",V3067,"")))</f>
        <v/>
      </c>
      <c r="X3068" cm="1">
        <f t="array" ref="X3068">IF($I3068&lt;&gt;"",$I3068,INDEX($I$1:$I3068,ROW()-COUNTIFS($T$1:$T3068,"="&amp;$T3068,$S$1:$S3068,"&lt;"&amp;$S3068)))</f>
        <v>0</v>
      </c>
      <c r="Z3068" s="6">
        <f t="shared" si="422"/>
        <v>1</v>
      </c>
      <c r="AA3068" t="e">
        <f t="shared" si="423"/>
        <v>#VALUE!</v>
      </c>
      <c r="AB3068" t="str">
        <f t="shared" si="424"/>
        <v/>
      </c>
      <c r="AC3068" t="e">
        <f t="shared" si="425"/>
        <v>#VALUE!</v>
      </c>
    </row>
    <row r="3069" spans="1:29" x14ac:dyDescent="0.2">
      <c r="A3069" t="str">
        <f t="shared" si="426"/>
        <v/>
      </c>
      <c r="E3069" s="4"/>
      <c r="F3069" s="46"/>
      <c r="G3069" s="4"/>
      <c r="H3069" s="48"/>
      <c r="J3069" s="26" t="str">
        <f t="shared" si="427"/>
        <v/>
      </c>
      <c r="N3069" t="str">
        <f t="shared" si="428"/>
        <v/>
      </c>
      <c r="Q3069" t="str">
        <f t="shared" si="429"/>
        <v/>
      </c>
      <c r="S3069" t="str">
        <f>IF(A3069=1,MAX($S$2:$S3068)+1,IF(OR($I3069&lt;&gt;"",A3069="x"),$S3068,""))</f>
        <v/>
      </c>
      <c r="T3069" t="str">
        <f>IF(D3069=1,MAX($T$2:$T3068)+1,IF(S3069=S3068,$T3068,IF(D3069="x",T3068,IF(D3068="x","",""))))</f>
        <v/>
      </c>
      <c r="U3069" t="str">
        <f>IF(B3069=1,MAX($U$2:$U3068)+1,IF(AND($T3069&lt;&gt;"",$T3069=$T3068),$U3068,IF(B3069="x",U3068,"")))</f>
        <v/>
      </c>
      <c r="V3069" t="str">
        <f>IF(C3069=1,MAX($V$2:$V3068)+1,IF(AND($T3069&lt;&gt;"",$T3069=$T3068),$U3068,IF(C3069="x",V3068,"")))</f>
        <v/>
      </c>
      <c r="X3069" cm="1">
        <f t="array" ref="X3069">IF($I3069&lt;&gt;"",$I3069,INDEX($I$1:$I3069,ROW()-COUNTIFS($T$1:$T3069,"="&amp;$T3069,$S$1:$S3069,"&lt;"&amp;$S3069)))</f>
        <v>0</v>
      </c>
      <c r="Z3069" s="6">
        <f t="shared" si="422"/>
        <v>1</v>
      </c>
      <c r="AA3069" t="e">
        <f t="shared" si="423"/>
        <v>#VALUE!</v>
      </c>
      <c r="AB3069" t="str">
        <f t="shared" si="424"/>
        <v/>
      </c>
      <c r="AC3069" t="e">
        <f t="shared" si="425"/>
        <v>#VALUE!</v>
      </c>
    </row>
    <row r="3070" spans="1:29" x14ac:dyDescent="0.2">
      <c r="A3070" t="str">
        <f t="shared" si="426"/>
        <v/>
      </c>
      <c r="E3070" s="4"/>
      <c r="F3070" s="46"/>
      <c r="G3070" s="4"/>
      <c r="H3070" s="48"/>
      <c r="J3070" s="26" t="str">
        <f t="shared" si="427"/>
        <v/>
      </c>
      <c r="N3070" t="str">
        <f t="shared" si="428"/>
        <v/>
      </c>
      <c r="Q3070" t="str">
        <f t="shared" si="429"/>
        <v/>
      </c>
      <c r="S3070" t="str">
        <f>IF(A3070=1,MAX($S$2:$S3069)+1,IF(OR($I3070&lt;&gt;"",A3070="x"),$S3069,""))</f>
        <v/>
      </c>
      <c r="T3070" t="str">
        <f>IF(D3070=1,MAX($T$2:$T3069)+1,IF(S3070=S3069,$T3069,IF(D3070="x",T3069,IF(D3069="x","",""))))</f>
        <v/>
      </c>
      <c r="U3070" t="str">
        <f>IF(B3070=1,MAX($U$2:$U3069)+1,IF(AND($T3070&lt;&gt;"",$T3070=$T3069),$U3069,IF(B3070="x",U3069,"")))</f>
        <v/>
      </c>
      <c r="V3070" t="str">
        <f>IF(C3070=1,MAX($V$2:$V3069)+1,IF(AND($T3070&lt;&gt;"",$T3070=$T3069),$U3069,IF(C3070="x",V3069,"")))</f>
        <v/>
      </c>
      <c r="X3070" cm="1">
        <f t="array" ref="X3070">IF($I3070&lt;&gt;"",$I3070,INDEX($I$1:$I3070,ROW()-COUNTIFS($T$1:$T3070,"="&amp;$T3070,$S$1:$S3070,"&lt;"&amp;$S3070)))</f>
        <v>0</v>
      </c>
      <c r="Z3070" s="6">
        <f t="shared" si="422"/>
        <v>1</v>
      </c>
      <c r="AA3070" t="e">
        <f t="shared" si="423"/>
        <v>#VALUE!</v>
      </c>
      <c r="AB3070" t="str">
        <f t="shared" si="424"/>
        <v/>
      </c>
      <c r="AC3070" t="e">
        <f t="shared" si="425"/>
        <v>#VALUE!</v>
      </c>
    </row>
    <row r="3071" spans="1:29" x14ac:dyDescent="0.2">
      <c r="A3071" t="str">
        <f t="shared" si="426"/>
        <v/>
      </c>
      <c r="E3071" s="4"/>
      <c r="F3071" s="46"/>
      <c r="G3071" s="4"/>
      <c r="H3071" s="48"/>
      <c r="J3071" s="26" t="str">
        <f t="shared" si="427"/>
        <v/>
      </c>
      <c r="N3071" t="str">
        <f t="shared" si="428"/>
        <v/>
      </c>
      <c r="Q3071" t="str">
        <f t="shared" si="429"/>
        <v/>
      </c>
      <c r="S3071" t="str">
        <f>IF(A3071=1,MAX($S$2:$S3070)+1,IF(OR($I3071&lt;&gt;"",A3071="x"),$S3070,""))</f>
        <v/>
      </c>
      <c r="T3071" t="str">
        <f>IF(D3071=1,MAX($T$2:$T3070)+1,IF(S3071=S3070,$T3070,IF(D3071="x",T3070,IF(D3070="x","",""))))</f>
        <v/>
      </c>
      <c r="U3071" t="str">
        <f>IF(B3071=1,MAX($U$2:$U3070)+1,IF(AND($T3071&lt;&gt;"",$T3071=$T3070),$U3070,IF(B3071="x",U3070,"")))</f>
        <v/>
      </c>
      <c r="V3071" t="str">
        <f>IF(C3071=1,MAX($V$2:$V3070)+1,IF(AND($T3071&lt;&gt;"",$T3071=$T3070),$U3070,IF(C3071="x",V3070,"")))</f>
        <v/>
      </c>
      <c r="X3071" cm="1">
        <f t="array" ref="X3071">IF($I3071&lt;&gt;"",$I3071,INDEX($I$1:$I3071,ROW()-COUNTIFS($T$1:$T3071,"="&amp;$T3071,$S$1:$S3071,"&lt;"&amp;$S3071)))</f>
        <v>0</v>
      </c>
      <c r="Z3071" s="6">
        <f t="shared" si="422"/>
        <v>1</v>
      </c>
      <c r="AA3071" t="e">
        <f t="shared" si="423"/>
        <v>#VALUE!</v>
      </c>
      <c r="AB3071" t="str">
        <f t="shared" si="424"/>
        <v/>
      </c>
      <c r="AC3071" t="e">
        <f t="shared" si="425"/>
        <v>#VALUE!</v>
      </c>
    </row>
    <row r="3072" spans="1:29" x14ac:dyDescent="0.2">
      <c r="A3072" t="str">
        <f t="shared" si="426"/>
        <v/>
      </c>
      <c r="E3072" s="4"/>
      <c r="F3072" s="46"/>
      <c r="G3072" s="4"/>
      <c r="H3072" s="48"/>
      <c r="J3072" s="26" t="str">
        <f t="shared" si="427"/>
        <v/>
      </c>
      <c r="N3072" t="str">
        <f t="shared" si="428"/>
        <v/>
      </c>
      <c r="Q3072" t="str">
        <f t="shared" si="429"/>
        <v/>
      </c>
      <c r="S3072" t="str">
        <f>IF(A3072=1,MAX($S$2:$S3071)+1,IF(OR($I3072&lt;&gt;"",A3072="x"),$S3071,""))</f>
        <v/>
      </c>
      <c r="T3072" t="str">
        <f>IF(D3072=1,MAX($T$2:$T3071)+1,IF(S3072=S3071,$T3071,IF(D3072="x",T3071,IF(D3071="x","",""))))</f>
        <v/>
      </c>
      <c r="U3072" t="str">
        <f>IF(B3072=1,MAX($U$2:$U3071)+1,IF(AND($T3072&lt;&gt;"",$T3072=$T3071),$U3071,IF(B3072="x",U3071,"")))</f>
        <v/>
      </c>
      <c r="V3072" t="str">
        <f>IF(C3072=1,MAX($V$2:$V3071)+1,IF(AND($T3072&lt;&gt;"",$T3072=$T3071),$U3071,IF(C3072="x",V3071,"")))</f>
        <v/>
      </c>
      <c r="X3072" cm="1">
        <f t="array" ref="X3072">IF($I3072&lt;&gt;"",$I3072,INDEX($I$1:$I3072,ROW()-COUNTIFS($T$1:$T3072,"="&amp;$T3072,$S$1:$S3072,"&lt;"&amp;$S3072)))</f>
        <v>0</v>
      </c>
      <c r="Z3072" s="6">
        <f t="shared" si="422"/>
        <v>1</v>
      </c>
      <c r="AA3072" t="e">
        <f t="shared" si="423"/>
        <v>#VALUE!</v>
      </c>
      <c r="AB3072" t="str">
        <f t="shared" si="424"/>
        <v/>
      </c>
      <c r="AC3072" t="e">
        <f t="shared" si="425"/>
        <v>#VALUE!</v>
      </c>
    </row>
    <row r="3073" spans="1:29" x14ac:dyDescent="0.2">
      <c r="A3073" t="str">
        <f t="shared" si="426"/>
        <v/>
      </c>
      <c r="E3073" s="4"/>
      <c r="F3073" s="46"/>
      <c r="G3073" s="4"/>
      <c r="H3073" s="48"/>
      <c r="J3073" s="26" t="str">
        <f t="shared" si="427"/>
        <v/>
      </c>
      <c r="N3073" t="str">
        <f t="shared" si="428"/>
        <v/>
      </c>
      <c r="Q3073" t="str">
        <f t="shared" si="429"/>
        <v/>
      </c>
      <c r="S3073" t="str">
        <f>IF(A3073=1,MAX($S$2:$S3072)+1,IF(OR($I3073&lt;&gt;"",A3073="x"),$S3072,""))</f>
        <v/>
      </c>
      <c r="T3073" t="str">
        <f>IF(D3073=1,MAX($T$2:$T3072)+1,IF(S3073=S3072,$T3072,IF(D3073="x",T3072,IF(D3072="x","",""))))</f>
        <v/>
      </c>
      <c r="U3073" t="str">
        <f>IF(B3073=1,MAX($U$2:$U3072)+1,IF(AND($T3073&lt;&gt;"",$T3073=$T3072),$U3072,IF(B3073="x",U3072,"")))</f>
        <v/>
      </c>
      <c r="V3073" t="str">
        <f>IF(C3073=1,MAX($V$2:$V3072)+1,IF(AND($T3073&lt;&gt;"",$T3073=$T3072),$U3072,IF(C3073="x",V3072,"")))</f>
        <v/>
      </c>
      <c r="X3073" cm="1">
        <f t="array" ref="X3073">IF($I3073&lt;&gt;"",$I3073,INDEX($I$1:$I3073,ROW()-COUNTIFS($T$1:$T3073,"="&amp;$T3073,$S$1:$S3073,"&lt;"&amp;$S3073)))</f>
        <v>0</v>
      </c>
      <c r="Z3073" s="6">
        <f t="shared" si="422"/>
        <v>1</v>
      </c>
      <c r="AA3073" t="e">
        <f t="shared" si="423"/>
        <v>#VALUE!</v>
      </c>
      <c r="AB3073" t="str">
        <f t="shared" si="424"/>
        <v/>
      </c>
      <c r="AC3073" t="e">
        <f t="shared" si="425"/>
        <v>#VALUE!</v>
      </c>
    </row>
    <row r="3074" spans="1:29" x14ac:dyDescent="0.2">
      <c r="A3074" t="str">
        <f t="shared" si="426"/>
        <v/>
      </c>
      <c r="E3074" s="4"/>
      <c r="F3074" s="46"/>
      <c r="G3074" s="4"/>
      <c r="H3074" s="48"/>
      <c r="J3074" s="26" t="str">
        <f t="shared" si="427"/>
        <v/>
      </c>
      <c r="N3074" t="str">
        <f t="shared" si="428"/>
        <v/>
      </c>
      <c r="Q3074" t="str">
        <f t="shared" si="429"/>
        <v/>
      </c>
      <c r="S3074" t="str">
        <f>IF(A3074=1,MAX($S$2:$S3073)+1,IF(OR($I3074&lt;&gt;"",A3074="x"),$S3073,""))</f>
        <v/>
      </c>
      <c r="T3074" t="str">
        <f>IF(D3074=1,MAX($T$2:$T3073)+1,IF(S3074=S3073,$T3073,IF(D3074="x",T3073,IF(D3073="x","",""))))</f>
        <v/>
      </c>
      <c r="U3074" t="str">
        <f>IF(B3074=1,MAX($U$2:$U3073)+1,IF(AND($T3074&lt;&gt;"",$T3074=$T3073),$U3073,IF(B3074="x",U3073,"")))</f>
        <v/>
      </c>
      <c r="V3074" t="str">
        <f>IF(C3074=1,MAX($V$2:$V3073)+1,IF(AND($T3074&lt;&gt;"",$T3074=$T3073),$U3073,IF(C3074="x",V3073,"")))</f>
        <v/>
      </c>
      <c r="X3074" cm="1">
        <f t="array" ref="X3074">IF($I3074&lt;&gt;"",$I3074,INDEX($I$1:$I3074,ROW()-COUNTIFS($T$1:$T3074,"="&amp;$T3074,$S$1:$S3074,"&lt;"&amp;$S3074)))</f>
        <v>0</v>
      </c>
      <c r="Z3074" s="6">
        <f t="shared" si="422"/>
        <v>1</v>
      </c>
      <c r="AA3074" t="e">
        <f t="shared" si="423"/>
        <v>#VALUE!</v>
      </c>
      <c r="AB3074" t="str">
        <f t="shared" si="424"/>
        <v/>
      </c>
      <c r="AC3074" t="e">
        <f t="shared" si="425"/>
        <v>#VALUE!</v>
      </c>
    </row>
    <row r="3075" spans="1:29" x14ac:dyDescent="0.2">
      <c r="A3075" t="str">
        <f t="shared" si="426"/>
        <v/>
      </c>
      <c r="E3075" s="4"/>
      <c r="F3075" s="46"/>
      <c r="G3075" s="4"/>
      <c r="H3075" s="48"/>
      <c r="J3075" s="26" t="str">
        <f t="shared" si="427"/>
        <v/>
      </c>
      <c r="N3075" t="str">
        <f t="shared" si="428"/>
        <v/>
      </c>
      <c r="Q3075" t="str">
        <f t="shared" si="429"/>
        <v/>
      </c>
      <c r="S3075" t="str">
        <f>IF(A3075=1,MAX($S$2:$S3074)+1,IF(OR($I3075&lt;&gt;"",A3075="x"),$S3074,""))</f>
        <v/>
      </c>
      <c r="T3075" t="str">
        <f>IF(D3075=1,MAX($T$2:$T3074)+1,IF(S3075=S3074,$T3074,IF(D3075="x",T3074,IF(D3074="x","",""))))</f>
        <v/>
      </c>
      <c r="U3075" t="str">
        <f>IF(B3075=1,MAX($U$2:$U3074)+1,IF(AND($T3075&lt;&gt;"",$T3075=$T3074),$U3074,IF(B3075="x",U3074,"")))</f>
        <v/>
      </c>
      <c r="V3075" t="str">
        <f>IF(C3075=1,MAX($V$2:$V3074)+1,IF(AND($T3075&lt;&gt;"",$T3075=$T3074),$U3074,IF(C3075="x",V3074,"")))</f>
        <v/>
      </c>
      <c r="X3075" cm="1">
        <f t="array" ref="X3075">IF($I3075&lt;&gt;"",$I3075,INDEX($I$1:$I3075,ROW()-COUNTIFS($T$1:$T3075,"="&amp;$T3075,$S$1:$S3075,"&lt;"&amp;$S3075)))</f>
        <v>0</v>
      </c>
      <c r="Z3075" s="6">
        <f t="shared" si="422"/>
        <v>1</v>
      </c>
      <c r="AA3075" t="e">
        <f t="shared" si="423"/>
        <v>#VALUE!</v>
      </c>
      <c r="AB3075" t="str">
        <f t="shared" si="424"/>
        <v/>
      </c>
      <c r="AC3075" t="e">
        <f t="shared" si="425"/>
        <v>#VALUE!</v>
      </c>
    </row>
    <row r="3076" spans="1:29" x14ac:dyDescent="0.2">
      <c r="A3076" t="str">
        <f t="shared" si="426"/>
        <v/>
      </c>
      <c r="E3076" s="4"/>
      <c r="F3076" s="46"/>
      <c r="G3076" s="4"/>
      <c r="H3076" s="48"/>
      <c r="J3076" s="26" t="str">
        <f t="shared" si="427"/>
        <v/>
      </c>
      <c r="N3076" t="str">
        <f t="shared" si="428"/>
        <v/>
      </c>
      <c r="Q3076" t="str">
        <f t="shared" si="429"/>
        <v/>
      </c>
      <c r="S3076" t="str">
        <f>IF(A3076=1,MAX($S$2:$S3075)+1,IF(OR($I3076&lt;&gt;"",A3076="x"),$S3075,""))</f>
        <v/>
      </c>
      <c r="T3076" t="str">
        <f>IF(D3076=1,MAX($T$2:$T3075)+1,IF(S3076=S3075,$T3075,IF(D3076="x",T3075,IF(D3075="x","",""))))</f>
        <v/>
      </c>
      <c r="U3076" t="str">
        <f>IF(B3076=1,MAX($U$2:$U3075)+1,IF(AND($T3076&lt;&gt;"",$T3076=$T3075),$U3075,IF(B3076="x",U3075,"")))</f>
        <v/>
      </c>
      <c r="V3076" t="str">
        <f>IF(C3076=1,MAX($V$2:$V3075)+1,IF(AND($T3076&lt;&gt;"",$T3076=$T3075),$U3075,IF(C3076="x",V3075,"")))</f>
        <v/>
      </c>
      <c r="X3076" cm="1">
        <f t="array" ref="X3076">IF($I3076&lt;&gt;"",$I3076,INDEX($I$1:$I3076,ROW()-COUNTIFS($T$1:$T3076,"="&amp;$T3076,$S$1:$S3076,"&lt;"&amp;$S3076)))</f>
        <v>0</v>
      </c>
      <c r="Z3076" s="6">
        <f t="shared" si="422"/>
        <v>1</v>
      </c>
      <c r="AA3076" t="e">
        <f t="shared" si="423"/>
        <v>#VALUE!</v>
      </c>
      <c r="AB3076" t="str">
        <f t="shared" si="424"/>
        <v/>
      </c>
      <c r="AC3076" t="e">
        <f t="shared" si="425"/>
        <v>#VALUE!</v>
      </c>
    </row>
    <row r="3077" spans="1:29" x14ac:dyDescent="0.2">
      <c r="A3077" t="str">
        <f t="shared" si="426"/>
        <v/>
      </c>
      <c r="E3077" s="4"/>
      <c r="F3077" s="46"/>
      <c r="G3077" s="4"/>
      <c r="H3077" s="48"/>
      <c r="J3077" s="26" t="str">
        <f t="shared" si="427"/>
        <v/>
      </c>
      <c r="N3077" t="str">
        <f t="shared" si="428"/>
        <v/>
      </c>
      <c r="Q3077" t="str">
        <f t="shared" si="429"/>
        <v/>
      </c>
      <c r="S3077" t="str">
        <f>IF(A3077=1,MAX($S$2:$S3076)+1,IF(OR($I3077&lt;&gt;"",A3077="x"),$S3076,""))</f>
        <v/>
      </c>
      <c r="T3077" t="str">
        <f>IF(D3077=1,MAX($T$2:$T3076)+1,IF(S3077=S3076,$T3076,IF(D3077="x",T3076,IF(D3076="x","",""))))</f>
        <v/>
      </c>
      <c r="U3077" t="str">
        <f>IF(B3077=1,MAX($U$2:$U3076)+1,IF(AND($T3077&lt;&gt;"",$T3077=$T3076),$U3076,IF(B3077="x",U3076,"")))</f>
        <v/>
      </c>
      <c r="V3077" t="str">
        <f>IF(C3077=1,MAX($V$2:$V3076)+1,IF(AND($T3077&lt;&gt;"",$T3077=$T3076),$U3076,IF(C3077="x",V3076,"")))</f>
        <v/>
      </c>
      <c r="X3077" cm="1">
        <f t="array" ref="X3077">IF($I3077&lt;&gt;"",$I3077,INDEX($I$1:$I3077,ROW()-COUNTIFS($T$1:$T3077,"="&amp;$T3077,$S$1:$S3077,"&lt;"&amp;$S3077)))</f>
        <v>0</v>
      </c>
      <c r="Z3077" s="6">
        <f t="shared" ref="Z3077:Z3140" si="430">IF(K3077="Intermission",Z3076+1,Z3076)</f>
        <v>1</v>
      </c>
      <c r="AA3077" t="e">
        <f t="shared" ref="AA3077:AA3140" si="431">S3077+1000</f>
        <v>#VALUE!</v>
      </c>
      <c r="AB3077" t="str">
        <f t="shared" ref="AB3077:AB3140" si="432">IF(T3077&lt;&gt;"",9000+T3077,"")</f>
        <v/>
      </c>
      <c r="AC3077" t="e">
        <f t="shared" ref="AC3077:AC3140" si="433">IF(AB3077&lt;&gt;"",AB3077,S3077+1000)</f>
        <v>#VALUE!</v>
      </c>
    </row>
    <row r="3078" spans="1:29" x14ac:dyDescent="0.2">
      <c r="A3078" t="str">
        <f t="shared" si="426"/>
        <v/>
      </c>
      <c r="E3078" s="4"/>
      <c r="F3078" s="46"/>
      <c r="G3078" s="4"/>
      <c r="H3078" s="48"/>
      <c r="J3078" s="26" t="str">
        <f t="shared" si="427"/>
        <v/>
      </c>
      <c r="N3078" t="str">
        <f t="shared" si="428"/>
        <v/>
      </c>
      <c r="Q3078" t="str">
        <f t="shared" si="429"/>
        <v/>
      </c>
      <c r="S3078" t="str">
        <f>IF(A3078=1,MAX($S$2:$S3077)+1,IF(OR($I3078&lt;&gt;"",A3078="x"),$S3077,""))</f>
        <v/>
      </c>
      <c r="T3078" t="str">
        <f>IF(D3078=1,MAX($T$2:$T3077)+1,IF(S3078=S3077,$T3077,IF(D3078="x",T3077,IF(D3077="x","",""))))</f>
        <v/>
      </c>
      <c r="U3078" t="str">
        <f>IF(B3078=1,MAX($U$2:$U3077)+1,IF(AND($T3078&lt;&gt;"",$T3078=$T3077),$U3077,IF(B3078="x",U3077,"")))</f>
        <v/>
      </c>
      <c r="V3078" t="str">
        <f>IF(C3078=1,MAX($V$2:$V3077)+1,IF(AND($T3078&lt;&gt;"",$T3078=$T3077),$U3077,IF(C3078="x",V3077,"")))</f>
        <v/>
      </c>
      <c r="X3078" cm="1">
        <f t="array" ref="X3078">IF($I3078&lt;&gt;"",$I3078,INDEX($I$1:$I3078,ROW()-COUNTIFS($T$1:$T3078,"="&amp;$T3078,$S$1:$S3078,"&lt;"&amp;$S3078)))</f>
        <v>0</v>
      </c>
      <c r="Z3078" s="6">
        <f t="shared" si="430"/>
        <v>1</v>
      </c>
      <c r="AA3078" t="e">
        <f t="shared" si="431"/>
        <v>#VALUE!</v>
      </c>
      <c r="AB3078" t="str">
        <f t="shared" si="432"/>
        <v/>
      </c>
      <c r="AC3078" t="e">
        <f t="shared" si="433"/>
        <v>#VALUE!</v>
      </c>
    </row>
    <row r="3079" spans="1:29" x14ac:dyDescent="0.2">
      <c r="A3079" t="str">
        <f t="shared" si="426"/>
        <v/>
      </c>
      <c r="E3079" s="4"/>
      <c r="F3079" s="46"/>
      <c r="G3079" s="4"/>
      <c r="H3079" s="48"/>
      <c r="J3079" s="26" t="str">
        <f t="shared" si="427"/>
        <v/>
      </c>
      <c r="N3079" t="str">
        <f t="shared" si="428"/>
        <v/>
      </c>
      <c r="Q3079" t="str">
        <f t="shared" si="429"/>
        <v/>
      </c>
      <c r="S3079" t="str">
        <f>IF(A3079=1,MAX($S$2:$S3078)+1,IF(OR($I3079&lt;&gt;"",A3079="x"),$S3078,""))</f>
        <v/>
      </c>
      <c r="T3079" t="str">
        <f>IF(D3079=1,MAX($T$2:$T3078)+1,IF(S3079=S3078,$T3078,IF(D3079="x",T3078,IF(D3078="x","",""))))</f>
        <v/>
      </c>
      <c r="U3079" t="str">
        <f>IF(B3079=1,MAX($U$2:$U3078)+1,IF(AND($T3079&lt;&gt;"",$T3079=$T3078),$U3078,IF(B3079="x",U3078,"")))</f>
        <v/>
      </c>
      <c r="V3079" t="str">
        <f>IF(C3079=1,MAX($V$2:$V3078)+1,IF(AND($T3079&lt;&gt;"",$T3079=$T3078),$U3078,IF(C3079="x",V3078,"")))</f>
        <v/>
      </c>
      <c r="X3079" cm="1">
        <f t="array" ref="X3079">IF($I3079&lt;&gt;"",$I3079,INDEX($I$1:$I3079,ROW()-COUNTIFS($T$1:$T3079,"="&amp;$T3079,$S$1:$S3079,"&lt;"&amp;$S3079)))</f>
        <v>0</v>
      </c>
      <c r="Z3079" s="6">
        <f t="shared" si="430"/>
        <v>1</v>
      </c>
      <c r="AA3079" t="e">
        <f t="shared" si="431"/>
        <v>#VALUE!</v>
      </c>
      <c r="AB3079" t="str">
        <f t="shared" si="432"/>
        <v/>
      </c>
      <c r="AC3079" t="e">
        <f t="shared" si="433"/>
        <v>#VALUE!</v>
      </c>
    </row>
    <row r="3080" spans="1:29" x14ac:dyDescent="0.2">
      <c r="A3080" t="str">
        <f t="shared" si="426"/>
        <v/>
      </c>
      <c r="E3080" s="4"/>
      <c r="F3080" s="46"/>
      <c r="G3080" s="4"/>
      <c r="H3080" s="48"/>
      <c r="J3080" s="26" t="str">
        <f t="shared" si="427"/>
        <v/>
      </c>
      <c r="N3080" t="str">
        <f t="shared" si="428"/>
        <v/>
      </c>
      <c r="Q3080" t="str">
        <f t="shared" si="429"/>
        <v/>
      </c>
      <c r="S3080" t="str">
        <f>IF(A3080=1,MAX($S$2:$S3079)+1,IF(OR($I3080&lt;&gt;"",A3080="x"),$S3079,""))</f>
        <v/>
      </c>
      <c r="T3080" t="str">
        <f>IF(D3080=1,MAX($T$2:$T3079)+1,IF(S3080=S3079,$T3079,IF(D3080="x",T3079,IF(D3079="x","",""))))</f>
        <v/>
      </c>
      <c r="U3080" t="str">
        <f>IF(B3080=1,MAX($U$2:$U3079)+1,IF(AND($T3080&lt;&gt;"",$T3080=$T3079),$U3079,IF(B3080="x",U3079,"")))</f>
        <v/>
      </c>
      <c r="V3080" t="str">
        <f>IF(C3080=1,MAX($V$2:$V3079)+1,IF(AND($T3080&lt;&gt;"",$T3080=$T3079),$U3079,IF(C3080="x",V3079,"")))</f>
        <v/>
      </c>
      <c r="X3080" cm="1">
        <f t="array" ref="X3080">IF($I3080&lt;&gt;"",$I3080,INDEX($I$1:$I3080,ROW()-COUNTIFS($T$1:$T3080,"="&amp;$T3080,$S$1:$S3080,"&lt;"&amp;$S3080)))</f>
        <v>0</v>
      </c>
      <c r="Z3080" s="6">
        <f t="shared" si="430"/>
        <v>1</v>
      </c>
      <c r="AA3080" t="e">
        <f t="shared" si="431"/>
        <v>#VALUE!</v>
      </c>
      <c r="AB3080" t="str">
        <f t="shared" si="432"/>
        <v/>
      </c>
      <c r="AC3080" t="e">
        <f t="shared" si="433"/>
        <v>#VALUE!</v>
      </c>
    </row>
    <row r="3081" spans="1:29" x14ac:dyDescent="0.2">
      <c r="A3081" t="str">
        <f t="shared" si="426"/>
        <v/>
      </c>
      <c r="E3081" s="4"/>
      <c r="F3081" s="46"/>
      <c r="G3081" s="4"/>
      <c r="H3081" s="48"/>
      <c r="J3081" s="26" t="str">
        <f t="shared" si="427"/>
        <v/>
      </c>
      <c r="N3081" t="str">
        <f t="shared" si="428"/>
        <v/>
      </c>
      <c r="Q3081" t="str">
        <f t="shared" si="429"/>
        <v/>
      </c>
      <c r="S3081" t="str">
        <f>IF(A3081=1,MAX($S$2:$S3080)+1,IF(OR($I3081&lt;&gt;"",A3081="x"),$S3080,""))</f>
        <v/>
      </c>
      <c r="T3081" t="str">
        <f>IF(D3081=1,MAX($T$2:$T3080)+1,IF(S3081=S3080,$T3080,IF(D3081="x",T3080,IF(D3080="x","",""))))</f>
        <v/>
      </c>
      <c r="U3081" t="str">
        <f>IF(B3081=1,MAX($U$2:$U3080)+1,IF(AND($T3081&lt;&gt;"",$T3081=$T3080),$U3080,IF(B3081="x",U3080,"")))</f>
        <v/>
      </c>
      <c r="V3081" t="str">
        <f>IF(C3081=1,MAX($V$2:$V3080)+1,IF(AND($T3081&lt;&gt;"",$T3081=$T3080),$U3080,IF(C3081="x",V3080,"")))</f>
        <v/>
      </c>
      <c r="X3081" cm="1">
        <f t="array" ref="X3081">IF($I3081&lt;&gt;"",$I3081,INDEX($I$1:$I3081,ROW()-COUNTIFS($T$1:$T3081,"="&amp;$T3081,$S$1:$S3081,"&lt;"&amp;$S3081)))</f>
        <v>0</v>
      </c>
      <c r="Z3081" s="6">
        <f t="shared" si="430"/>
        <v>1</v>
      </c>
      <c r="AA3081" t="e">
        <f t="shared" si="431"/>
        <v>#VALUE!</v>
      </c>
      <c r="AB3081" t="str">
        <f t="shared" si="432"/>
        <v/>
      </c>
      <c r="AC3081" t="e">
        <f t="shared" si="433"/>
        <v>#VALUE!</v>
      </c>
    </row>
    <row r="3082" spans="1:29" x14ac:dyDescent="0.2">
      <c r="A3082" t="str">
        <f t="shared" si="426"/>
        <v/>
      </c>
      <c r="E3082" s="4"/>
      <c r="F3082" s="46"/>
      <c r="G3082" s="4"/>
      <c r="H3082" s="48"/>
      <c r="J3082" s="26" t="str">
        <f t="shared" si="427"/>
        <v/>
      </c>
      <c r="N3082" t="str">
        <f t="shared" si="428"/>
        <v/>
      </c>
      <c r="Q3082" t="str">
        <f t="shared" si="429"/>
        <v/>
      </c>
      <c r="S3082" t="str">
        <f>IF(A3082=1,MAX($S$2:$S3081)+1,IF(OR($I3082&lt;&gt;"",A3082="x"),$S3081,""))</f>
        <v/>
      </c>
      <c r="T3082" t="str">
        <f>IF(D3082=1,MAX($T$2:$T3081)+1,IF(S3082=S3081,$T3081,IF(D3082="x",T3081,IF(D3081="x","",""))))</f>
        <v/>
      </c>
      <c r="U3082" t="str">
        <f>IF(B3082=1,MAX($U$2:$U3081)+1,IF(AND($T3082&lt;&gt;"",$T3082=$T3081),$U3081,IF(B3082="x",U3081,"")))</f>
        <v/>
      </c>
      <c r="V3082" t="str">
        <f>IF(C3082=1,MAX($V$2:$V3081)+1,IF(AND($T3082&lt;&gt;"",$T3082=$T3081),$U3081,IF(C3082="x",V3081,"")))</f>
        <v/>
      </c>
      <c r="X3082" cm="1">
        <f t="array" ref="X3082">IF($I3082&lt;&gt;"",$I3082,INDEX($I$1:$I3082,ROW()-COUNTIFS($T$1:$T3082,"="&amp;$T3082,$S$1:$S3082,"&lt;"&amp;$S3082)))</f>
        <v>0</v>
      </c>
      <c r="Z3082" s="6">
        <f t="shared" si="430"/>
        <v>1</v>
      </c>
      <c r="AA3082" t="e">
        <f t="shared" si="431"/>
        <v>#VALUE!</v>
      </c>
      <c r="AB3082" t="str">
        <f t="shared" si="432"/>
        <v/>
      </c>
      <c r="AC3082" t="e">
        <f t="shared" si="433"/>
        <v>#VALUE!</v>
      </c>
    </row>
    <row r="3083" spans="1:29" x14ac:dyDescent="0.2">
      <c r="A3083" t="str">
        <f t="shared" si="426"/>
        <v/>
      </c>
      <c r="E3083" s="4"/>
      <c r="F3083" s="46"/>
      <c r="G3083" s="4"/>
      <c r="H3083" s="48"/>
      <c r="J3083" s="26" t="str">
        <f t="shared" si="427"/>
        <v/>
      </c>
      <c r="N3083" t="str">
        <f t="shared" si="428"/>
        <v/>
      </c>
      <c r="Q3083" t="str">
        <f t="shared" si="429"/>
        <v/>
      </c>
      <c r="S3083" t="str">
        <f>IF(A3083=1,MAX($S$2:$S3082)+1,IF(OR($I3083&lt;&gt;"",A3083="x"),$S3082,""))</f>
        <v/>
      </c>
      <c r="T3083" t="str">
        <f>IF(D3083=1,MAX($T$2:$T3082)+1,IF(S3083=S3082,$T3082,IF(D3083="x",T3082,IF(D3082="x","",""))))</f>
        <v/>
      </c>
      <c r="U3083" t="str">
        <f>IF(B3083=1,MAX($U$2:$U3082)+1,IF(AND($T3083&lt;&gt;"",$T3083=$T3082),$U3082,IF(B3083="x",U3082,"")))</f>
        <v/>
      </c>
      <c r="V3083" t="str">
        <f>IF(C3083=1,MAX($V$2:$V3082)+1,IF(AND($T3083&lt;&gt;"",$T3083=$T3082),$U3082,IF(C3083="x",V3082,"")))</f>
        <v/>
      </c>
      <c r="X3083" cm="1">
        <f t="array" ref="X3083">IF($I3083&lt;&gt;"",$I3083,INDEX($I$1:$I3083,ROW()-COUNTIFS($T$1:$T3083,"="&amp;$T3083,$S$1:$S3083,"&lt;"&amp;$S3083)))</f>
        <v>0</v>
      </c>
      <c r="Z3083" s="6">
        <f t="shared" si="430"/>
        <v>1</v>
      </c>
      <c r="AA3083" t="e">
        <f t="shared" si="431"/>
        <v>#VALUE!</v>
      </c>
      <c r="AB3083" t="str">
        <f t="shared" si="432"/>
        <v/>
      </c>
      <c r="AC3083" t="e">
        <f t="shared" si="433"/>
        <v>#VALUE!</v>
      </c>
    </row>
    <row r="3084" spans="1:29" x14ac:dyDescent="0.2">
      <c r="A3084" t="str">
        <f t="shared" si="426"/>
        <v/>
      </c>
      <c r="E3084" s="4"/>
      <c r="F3084" s="46"/>
      <c r="G3084" s="4"/>
      <c r="H3084" s="48"/>
      <c r="J3084" s="26" t="str">
        <f t="shared" si="427"/>
        <v/>
      </c>
      <c r="N3084" t="str">
        <f t="shared" si="428"/>
        <v/>
      </c>
      <c r="Q3084" t="str">
        <f t="shared" si="429"/>
        <v/>
      </c>
      <c r="S3084" t="str">
        <f>IF(A3084=1,MAX($S$2:$S3083)+1,IF(OR($I3084&lt;&gt;"",A3084="x"),$S3083,""))</f>
        <v/>
      </c>
      <c r="T3084" t="str">
        <f>IF(D3084=1,MAX($T$2:$T3083)+1,IF(S3084=S3083,$T3083,IF(D3084="x",T3083,IF(D3083="x","",""))))</f>
        <v/>
      </c>
      <c r="U3084" t="str">
        <f>IF(B3084=1,MAX($U$2:$U3083)+1,IF(AND($T3084&lt;&gt;"",$T3084=$T3083),$U3083,IF(B3084="x",U3083,"")))</f>
        <v/>
      </c>
      <c r="V3084" t="str">
        <f>IF(C3084=1,MAX($V$2:$V3083)+1,IF(AND($T3084&lt;&gt;"",$T3084=$T3083),$U3083,IF(C3084="x",V3083,"")))</f>
        <v/>
      </c>
      <c r="X3084" cm="1">
        <f t="array" ref="X3084">IF($I3084&lt;&gt;"",$I3084,INDEX($I$1:$I3084,ROW()-COUNTIFS($T$1:$T3084,"="&amp;$T3084,$S$1:$S3084,"&lt;"&amp;$S3084)))</f>
        <v>0</v>
      </c>
      <c r="Z3084" s="6">
        <f t="shared" si="430"/>
        <v>1</v>
      </c>
      <c r="AA3084" t="e">
        <f t="shared" si="431"/>
        <v>#VALUE!</v>
      </c>
      <c r="AB3084" t="str">
        <f t="shared" si="432"/>
        <v/>
      </c>
      <c r="AC3084" t="e">
        <f t="shared" si="433"/>
        <v>#VALUE!</v>
      </c>
    </row>
    <row r="3085" spans="1:29" x14ac:dyDescent="0.2">
      <c r="A3085" t="str">
        <f t="shared" si="426"/>
        <v/>
      </c>
      <c r="E3085" s="4"/>
      <c r="F3085" s="46"/>
      <c r="G3085" s="4"/>
      <c r="H3085" s="48"/>
      <c r="J3085" s="26" t="str">
        <f t="shared" si="427"/>
        <v/>
      </c>
      <c r="N3085" t="str">
        <f t="shared" si="428"/>
        <v/>
      </c>
      <c r="Q3085" t="str">
        <f t="shared" si="429"/>
        <v/>
      </c>
      <c r="S3085" t="str">
        <f>IF(A3085=1,MAX($S$2:$S3084)+1,IF(OR($I3085&lt;&gt;"",A3085="x"),$S3084,""))</f>
        <v/>
      </c>
      <c r="T3085" t="str">
        <f>IF(D3085=1,MAX($T$2:$T3084)+1,IF(S3085=S3084,$T3084,IF(D3085="x",T3084,IF(D3084="x","",""))))</f>
        <v/>
      </c>
      <c r="U3085" t="str">
        <f>IF(B3085=1,MAX($U$2:$U3084)+1,IF(AND($T3085&lt;&gt;"",$T3085=$T3084),$U3084,IF(B3085="x",U3084,"")))</f>
        <v/>
      </c>
      <c r="V3085" t="str">
        <f>IF(C3085=1,MAX($V$2:$V3084)+1,IF(AND($T3085&lt;&gt;"",$T3085=$T3084),$U3084,IF(C3085="x",V3084,"")))</f>
        <v/>
      </c>
      <c r="X3085" cm="1">
        <f t="array" ref="X3085">IF($I3085&lt;&gt;"",$I3085,INDEX($I$1:$I3085,ROW()-COUNTIFS($T$1:$T3085,"="&amp;$T3085,$S$1:$S3085,"&lt;"&amp;$S3085)))</f>
        <v>0</v>
      </c>
      <c r="Z3085" s="6">
        <f t="shared" si="430"/>
        <v>1</v>
      </c>
      <c r="AA3085" t="e">
        <f t="shared" si="431"/>
        <v>#VALUE!</v>
      </c>
      <c r="AB3085" t="str">
        <f t="shared" si="432"/>
        <v/>
      </c>
      <c r="AC3085" t="e">
        <f t="shared" si="433"/>
        <v>#VALUE!</v>
      </c>
    </row>
    <row r="3086" spans="1:29" x14ac:dyDescent="0.2">
      <c r="A3086" t="str">
        <f t="shared" si="426"/>
        <v/>
      </c>
      <c r="E3086" s="4"/>
      <c r="F3086" s="46"/>
      <c r="G3086" s="4"/>
      <c r="H3086" s="48"/>
      <c r="J3086" s="26" t="str">
        <f t="shared" si="427"/>
        <v/>
      </c>
      <c r="N3086" t="str">
        <f t="shared" si="428"/>
        <v/>
      </c>
      <c r="Q3086" t="str">
        <f t="shared" si="429"/>
        <v/>
      </c>
      <c r="S3086" t="str">
        <f>IF(A3086=1,MAX($S$2:$S3085)+1,IF(OR($I3086&lt;&gt;"",A3086="x"),$S3085,""))</f>
        <v/>
      </c>
      <c r="T3086" t="str">
        <f>IF(D3086=1,MAX($T$2:$T3085)+1,IF(S3086=S3085,$T3085,IF(D3086="x",T3085,IF(D3085="x","",""))))</f>
        <v/>
      </c>
      <c r="U3086" t="str">
        <f>IF(B3086=1,MAX($U$2:$U3085)+1,IF(AND($T3086&lt;&gt;"",$T3086=$T3085),$U3085,IF(B3086="x",U3085,"")))</f>
        <v/>
      </c>
      <c r="V3086" t="str">
        <f>IF(C3086=1,MAX($V$2:$V3085)+1,IF(AND($T3086&lt;&gt;"",$T3086=$T3085),$U3085,IF(C3086="x",V3085,"")))</f>
        <v/>
      </c>
      <c r="X3086" cm="1">
        <f t="array" ref="X3086">IF($I3086&lt;&gt;"",$I3086,INDEX($I$1:$I3086,ROW()-COUNTIFS($T$1:$T3086,"="&amp;$T3086,$S$1:$S3086,"&lt;"&amp;$S3086)))</f>
        <v>0</v>
      </c>
      <c r="Z3086" s="6">
        <f t="shared" si="430"/>
        <v>1</v>
      </c>
      <c r="AA3086" t="e">
        <f t="shared" si="431"/>
        <v>#VALUE!</v>
      </c>
      <c r="AB3086" t="str">
        <f t="shared" si="432"/>
        <v/>
      </c>
      <c r="AC3086" t="e">
        <f t="shared" si="433"/>
        <v>#VALUE!</v>
      </c>
    </row>
    <row r="3087" spans="1:29" x14ac:dyDescent="0.2">
      <c r="A3087" t="str">
        <f t="shared" si="426"/>
        <v/>
      </c>
      <c r="E3087" s="4"/>
      <c r="F3087" s="46"/>
      <c r="G3087" s="4"/>
      <c r="H3087" s="48"/>
      <c r="J3087" s="26" t="str">
        <f t="shared" si="427"/>
        <v/>
      </c>
      <c r="N3087" t="str">
        <f t="shared" si="428"/>
        <v/>
      </c>
      <c r="Q3087" t="str">
        <f t="shared" si="429"/>
        <v/>
      </c>
      <c r="S3087" t="str">
        <f>IF(A3087=1,MAX($S$2:$S3086)+1,IF(OR($I3087&lt;&gt;"",A3087="x"),$S3086,""))</f>
        <v/>
      </c>
      <c r="T3087" t="str">
        <f>IF(D3087=1,MAX($T$2:$T3086)+1,IF(S3087=S3086,$T3086,IF(D3087="x",T3086,IF(D3086="x","",""))))</f>
        <v/>
      </c>
      <c r="U3087" t="str">
        <f>IF(B3087=1,MAX($U$2:$U3086)+1,IF(AND($T3087&lt;&gt;"",$T3087=$T3086),$U3086,IF(B3087="x",U3086,"")))</f>
        <v/>
      </c>
      <c r="V3087" t="str">
        <f>IF(C3087=1,MAX($V$2:$V3086)+1,IF(AND($T3087&lt;&gt;"",$T3087=$T3086),$U3086,IF(C3087="x",V3086,"")))</f>
        <v/>
      </c>
      <c r="X3087" cm="1">
        <f t="array" ref="X3087">IF($I3087&lt;&gt;"",$I3087,INDEX($I$1:$I3087,ROW()-COUNTIFS($T$1:$T3087,"="&amp;$T3087,$S$1:$S3087,"&lt;"&amp;$S3087)))</f>
        <v>0</v>
      </c>
      <c r="Z3087" s="6">
        <f t="shared" si="430"/>
        <v>1</v>
      </c>
      <c r="AA3087" t="e">
        <f t="shared" si="431"/>
        <v>#VALUE!</v>
      </c>
      <c r="AB3087" t="str">
        <f t="shared" si="432"/>
        <v/>
      </c>
      <c r="AC3087" t="e">
        <f t="shared" si="433"/>
        <v>#VALUE!</v>
      </c>
    </row>
    <row r="3088" spans="1:29" x14ac:dyDescent="0.2">
      <c r="A3088" t="str">
        <f t="shared" si="426"/>
        <v/>
      </c>
      <c r="E3088" s="4"/>
      <c r="F3088" s="46"/>
      <c r="G3088" s="4"/>
      <c r="H3088" s="48"/>
      <c r="J3088" s="26" t="str">
        <f t="shared" si="427"/>
        <v/>
      </c>
      <c r="N3088" t="str">
        <f t="shared" si="428"/>
        <v/>
      </c>
      <c r="Q3088" t="str">
        <f t="shared" si="429"/>
        <v/>
      </c>
      <c r="S3088" t="str">
        <f>IF(A3088=1,MAX($S$2:$S3087)+1,IF(OR($I3088&lt;&gt;"",A3088="x"),$S3087,""))</f>
        <v/>
      </c>
      <c r="T3088" t="str">
        <f>IF(D3088=1,MAX($T$2:$T3087)+1,IF(S3088=S3087,$T3087,IF(D3088="x",T3087,IF(D3087="x","",""))))</f>
        <v/>
      </c>
      <c r="U3088" t="str">
        <f>IF(B3088=1,MAX($U$2:$U3087)+1,IF(AND($T3088&lt;&gt;"",$T3088=$T3087),$U3087,IF(B3088="x",U3087,"")))</f>
        <v/>
      </c>
      <c r="V3088" t="str">
        <f>IF(C3088=1,MAX($V$2:$V3087)+1,IF(AND($T3088&lt;&gt;"",$T3088=$T3087),$U3087,IF(C3088="x",V3087,"")))</f>
        <v/>
      </c>
      <c r="X3088" cm="1">
        <f t="array" ref="X3088">IF($I3088&lt;&gt;"",$I3088,INDEX($I$1:$I3088,ROW()-COUNTIFS($T$1:$T3088,"="&amp;$T3088,$S$1:$S3088,"&lt;"&amp;$S3088)))</f>
        <v>0</v>
      </c>
      <c r="Z3088" s="6">
        <f t="shared" si="430"/>
        <v>1</v>
      </c>
      <c r="AA3088" t="e">
        <f t="shared" si="431"/>
        <v>#VALUE!</v>
      </c>
      <c r="AB3088" t="str">
        <f t="shared" si="432"/>
        <v/>
      </c>
      <c r="AC3088" t="e">
        <f t="shared" si="433"/>
        <v>#VALUE!</v>
      </c>
    </row>
    <row r="3089" spans="1:29" x14ac:dyDescent="0.2">
      <c r="A3089" t="str">
        <f t="shared" si="426"/>
        <v/>
      </c>
      <c r="E3089" s="4"/>
      <c r="F3089" s="46"/>
      <c r="G3089" s="4"/>
      <c r="H3089" s="48"/>
      <c r="J3089" s="26" t="str">
        <f t="shared" si="427"/>
        <v/>
      </c>
      <c r="N3089" t="str">
        <f t="shared" si="428"/>
        <v/>
      </c>
      <c r="Q3089" t="str">
        <f t="shared" si="429"/>
        <v/>
      </c>
      <c r="S3089" t="str">
        <f>IF(A3089=1,MAX($S$2:$S3088)+1,IF(OR($I3089&lt;&gt;"",A3089="x"),$S3088,""))</f>
        <v/>
      </c>
      <c r="T3089" t="str">
        <f>IF(D3089=1,MAX($T$2:$T3088)+1,IF(S3089=S3088,$T3088,IF(D3089="x",T3088,IF(D3088="x","",""))))</f>
        <v/>
      </c>
      <c r="U3089" t="str">
        <f>IF(B3089=1,MAX($U$2:$U3088)+1,IF(AND($T3089&lt;&gt;"",$T3089=$T3088),$U3088,IF(B3089="x",U3088,"")))</f>
        <v/>
      </c>
      <c r="V3089" t="str">
        <f>IF(C3089=1,MAX($V$2:$V3088)+1,IF(AND($T3089&lt;&gt;"",$T3089=$T3088),$U3088,IF(C3089="x",V3088,"")))</f>
        <v/>
      </c>
      <c r="X3089" cm="1">
        <f t="array" ref="X3089">IF($I3089&lt;&gt;"",$I3089,INDEX($I$1:$I3089,ROW()-COUNTIFS($T$1:$T3089,"="&amp;$T3089,$S$1:$S3089,"&lt;"&amp;$S3089)))</f>
        <v>0</v>
      </c>
      <c r="Z3089" s="6">
        <f t="shared" si="430"/>
        <v>1</v>
      </c>
      <c r="AA3089" t="e">
        <f t="shared" si="431"/>
        <v>#VALUE!</v>
      </c>
      <c r="AB3089" t="str">
        <f t="shared" si="432"/>
        <v/>
      </c>
      <c r="AC3089" t="e">
        <f t="shared" si="433"/>
        <v>#VALUE!</v>
      </c>
    </row>
    <row r="3090" spans="1:29" x14ac:dyDescent="0.2">
      <c r="A3090" t="str">
        <f t="shared" si="426"/>
        <v/>
      </c>
      <c r="E3090" s="4"/>
      <c r="F3090" s="46"/>
      <c r="G3090" s="4"/>
      <c r="H3090" s="48"/>
      <c r="J3090" s="26" t="str">
        <f t="shared" si="427"/>
        <v/>
      </c>
      <c r="N3090" t="str">
        <f t="shared" si="428"/>
        <v/>
      </c>
      <c r="Q3090" t="str">
        <f t="shared" si="429"/>
        <v/>
      </c>
      <c r="S3090" t="str">
        <f>IF(A3090=1,MAX($S$2:$S3089)+1,IF(OR($I3090&lt;&gt;"",A3090="x"),$S3089,""))</f>
        <v/>
      </c>
      <c r="T3090" t="str">
        <f>IF(D3090=1,MAX($T$2:$T3089)+1,IF(S3090=S3089,$T3089,IF(D3090="x",T3089,IF(D3089="x","",""))))</f>
        <v/>
      </c>
      <c r="U3090" t="str">
        <f>IF(B3090=1,MAX($U$2:$U3089)+1,IF(AND($T3090&lt;&gt;"",$T3090=$T3089),$U3089,IF(B3090="x",U3089,"")))</f>
        <v/>
      </c>
      <c r="V3090" t="str">
        <f>IF(C3090=1,MAX($V$2:$V3089)+1,IF(AND($T3090&lt;&gt;"",$T3090=$T3089),$U3089,IF(C3090="x",V3089,"")))</f>
        <v/>
      </c>
      <c r="X3090" cm="1">
        <f t="array" ref="X3090">IF($I3090&lt;&gt;"",$I3090,INDEX($I$1:$I3090,ROW()-COUNTIFS($T$1:$T3090,"="&amp;$T3090,$S$1:$S3090,"&lt;"&amp;$S3090)))</f>
        <v>0</v>
      </c>
      <c r="Z3090" s="6">
        <f t="shared" si="430"/>
        <v>1</v>
      </c>
      <c r="AA3090" t="e">
        <f t="shared" si="431"/>
        <v>#VALUE!</v>
      </c>
      <c r="AB3090" t="str">
        <f t="shared" si="432"/>
        <v/>
      </c>
      <c r="AC3090" t="e">
        <f t="shared" si="433"/>
        <v>#VALUE!</v>
      </c>
    </row>
    <row r="3091" spans="1:29" x14ac:dyDescent="0.2">
      <c r="A3091" t="str">
        <f t="shared" ref="A3091:A3154" si="434">IF(K3091&lt;&gt;"",1,IF(D3091="x","x",""))</f>
        <v/>
      </c>
      <c r="E3091" s="4"/>
      <c r="F3091" s="46"/>
      <c r="G3091" s="4"/>
      <c r="H3091" s="48"/>
      <c r="J3091" s="26" t="str">
        <f t="shared" ref="J3091:J3154" si="435">IF(OR(K3091="Goal",K3091="Shot",L3091="Zone_Entry",M3091="Stoppage-Goal",M3090="Stoppage-Goal"),"o",IF(OR(K3091="Save",K3091="Rebound",L3091="Zone_Exit",M3091="Stoppage-GoalieStoppage",M3090="Stoppage-GoalieStoppage"),"d",IF(OR(L3091="Faceoff_AfterGoal",L3091="Faceoff_PeriodStart",698="Faceoff_GameStart",M3090="Stoppage-Goal"),"n","")))</f>
        <v/>
      </c>
      <c r="N3091" t="str">
        <f t="shared" ref="N3091:N3154" si="436">IF(K3091="","",IF(K3091="Goal","s",IF(AND(K3091="Zone_Entry_Exit",OR(ISNUMBER(SEARCH("fail",L3091)),ISNUMBER(SEARCH("FromExitClear",M3091)),ISNUMBER(SEARCH("miss",M3091)))),"u",IF(AND(K3091="Zone_Entry_Exit",OR(NOT(ISNUMBER(SEARCH("fail",L3091))),NOT(ISNUMBER(SEARCH("FromExitClear",M3091))),NOT(ISNUMBER(SEARCH("miss",M3091))))),"s",IF(AND(OR(K3091="Shot",K3091="Pass"),OR(ISNUMBER(SEARCH("complete",L3091)),ISNUMBER(SEARCH("goal",L3091)),ISNUMBER(SEARCH("OnNet",L3091)))),"s",IF(L3091="Turnover_Giveaway","u",IF(AND(OR(K3091="Shot",K3091="Pass"),OR(ISNUMBER(SEARCH("fail",L3091)),NOT(ISNUMBER(SEARCH("complete",L3091))),NOT(ISNUMBER(SEARCH("OnNet",L3091))))),"u","")))))))</f>
        <v/>
      </c>
      <c r="Q3091" t="str">
        <f t="shared" ref="Q3091:Q3154" si="437">IF(O3091="","",IF(AND(N3091&lt;&gt;"",OR(O3091&lt;&gt;"",P3091&lt;&gt;"")),N3091,IF(OR(ISNUMBER(SEARCH("attemp",O3091)),ISNUMBER(SEARCH("beat",O3091)),ISNUMBER(SEARCH("mis",O3091)),ISNUMBER(SEARCH("fail",O3091)),ISNUMBER(SEARCH("loss",O3091)),ISNUMBER(SEARCH("lost",O3091)),ISNUMBER(SEARCH("attemp",P3091)),ISNUMBER(SEARCH("mis",P3091)),ISNUMBER(SEARCH("fail",P3091)),ISNUMBER(SEARCH("loss",P3091)),ISNUMBER(SEARCH("beat",P3091)),ISNUMBER(SEARCH("lost",P3091))),"u","")))</f>
        <v/>
      </c>
      <c r="S3091" t="str">
        <f>IF(A3091=1,MAX($S$2:$S3090)+1,IF(OR($I3091&lt;&gt;"",A3091="x"),$S3090,""))</f>
        <v/>
      </c>
      <c r="T3091" t="str">
        <f>IF(D3091=1,MAX($T$2:$T3090)+1,IF(S3091=S3090,$T3090,IF(D3091="x",T3090,IF(D3090="x","",""))))</f>
        <v/>
      </c>
      <c r="U3091" t="str">
        <f>IF(B3091=1,MAX($U$2:$U3090)+1,IF(AND($T3091&lt;&gt;"",$T3091=$T3090),$U3090,IF(B3091="x",U3090,"")))</f>
        <v/>
      </c>
      <c r="V3091" t="str">
        <f>IF(C3091=1,MAX($V$2:$V3090)+1,IF(AND($T3091&lt;&gt;"",$T3091=$T3090),$U3090,IF(C3091="x",V3090,"")))</f>
        <v/>
      </c>
      <c r="X3091" cm="1">
        <f t="array" ref="X3091">IF($I3091&lt;&gt;"",$I3091,INDEX($I$1:$I3091,ROW()-COUNTIFS($T$1:$T3091,"="&amp;$T3091,$S$1:$S3091,"&lt;"&amp;$S3091)))</f>
        <v>0</v>
      </c>
      <c r="Z3091" s="6">
        <f t="shared" si="430"/>
        <v>1</v>
      </c>
      <c r="AA3091" t="e">
        <f t="shared" si="431"/>
        <v>#VALUE!</v>
      </c>
      <c r="AB3091" t="str">
        <f t="shared" si="432"/>
        <v/>
      </c>
      <c r="AC3091" t="e">
        <f t="shared" si="433"/>
        <v>#VALUE!</v>
      </c>
    </row>
    <row r="3092" spans="1:29" x14ac:dyDescent="0.2">
      <c r="A3092" t="str">
        <f t="shared" si="434"/>
        <v/>
      </c>
      <c r="E3092" s="4"/>
      <c r="F3092" s="46"/>
      <c r="G3092" s="4"/>
      <c r="H3092" s="48"/>
      <c r="J3092" s="26" t="str">
        <f t="shared" si="435"/>
        <v/>
      </c>
      <c r="N3092" t="str">
        <f t="shared" si="436"/>
        <v/>
      </c>
      <c r="Q3092" t="str">
        <f t="shared" si="437"/>
        <v/>
      </c>
      <c r="S3092" t="str">
        <f>IF(A3092=1,MAX($S$2:$S3091)+1,IF(OR($I3092&lt;&gt;"",A3092="x"),$S3091,""))</f>
        <v/>
      </c>
      <c r="T3092" t="str">
        <f>IF(D3092=1,MAX($T$2:$T3091)+1,IF(S3092=S3091,$T3091,IF(D3092="x",T3091,IF(D3091="x","",""))))</f>
        <v/>
      </c>
      <c r="U3092" t="str">
        <f>IF(B3092=1,MAX($U$2:$U3091)+1,IF(AND($T3092&lt;&gt;"",$T3092=$T3091),$U3091,IF(B3092="x",U3091,"")))</f>
        <v/>
      </c>
      <c r="V3092" t="str">
        <f>IF(C3092=1,MAX($V$2:$V3091)+1,IF(AND($T3092&lt;&gt;"",$T3092=$T3091),$U3091,IF(C3092="x",V3091,"")))</f>
        <v/>
      </c>
      <c r="X3092" cm="1">
        <f t="array" ref="X3092">IF($I3092&lt;&gt;"",$I3092,INDEX($I$1:$I3092,ROW()-COUNTIFS($T$1:$T3092,"="&amp;$T3092,$S$1:$S3092,"&lt;"&amp;$S3092)))</f>
        <v>0</v>
      </c>
      <c r="Z3092" s="6">
        <f t="shared" si="430"/>
        <v>1</v>
      </c>
      <c r="AA3092" t="e">
        <f t="shared" si="431"/>
        <v>#VALUE!</v>
      </c>
      <c r="AB3092" t="str">
        <f t="shared" si="432"/>
        <v/>
      </c>
      <c r="AC3092" t="e">
        <f t="shared" si="433"/>
        <v>#VALUE!</v>
      </c>
    </row>
    <row r="3093" spans="1:29" x14ac:dyDescent="0.2">
      <c r="A3093" t="str">
        <f t="shared" si="434"/>
        <v/>
      </c>
      <c r="E3093" s="4"/>
      <c r="F3093" s="46"/>
      <c r="G3093" s="4"/>
      <c r="H3093" s="48"/>
      <c r="J3093" s="26" t="str">
        <f t="shared" si="435"/>
        <v/>
      </c>
      <c r="N3093" t="str">
        <f t="shared" si="436"/>
        <v/>
      </c>
      <c r="Q3093" t="str">
        <f t="shared" si="437"/>
        <v/>
      </c>
      <c r="S3093" t="str">
        <f>IF(A3093=1,MAX($S$2:$S3092)+1,IF(OR($I3093&lt;&gt;"",A3093="x"),$S3092,""))</f>
        <v/>
      </c>
      <c r="T3093" t="str">
        <f>IF(D3093=1,MAX($T$2:$T3092)+1,IF(S3093=S3092,$T3092,IF(D3093="x",T3092,IF(D3092="x","",""))))</f>
        <v/>
      </c>
      <c r="U3093" t="str">
        <f>IF(B3093=1,MAX($U$2:$U3092)+1,IF(AND($T3093&lt;&gt;"",$T3093=$T3092),$U3092,IF(B3093="x",U3092,"")))</f>
        <v/>
      </c>
      <c r="V3093" t="str">
        <f>IF(C3093=1,MAX($V$2:$V3092)+1,IF(AND($T3093&lt;&gt;"",$T3093=$T3092),$U3092,IF(C3093="x",V3092,"")))</f>
        <v/>
      </c>
      <c r="X3093" cm="1">
        <f t="array" ref="X3093">IF($I3093&lt;&gt;"",$I3093,INDEX($I$1:$I3093,ROW()-COUNTIFS($T$1:$T3093,"="&amp;$T3093,$S$1:$S3093,"&lt;"&amp;$S3093)))</f>
        <v>0</v>
      </c>
      <c r="Z3093" s="6">
        <f t="shared" si="430"/>
        <v>1</v>
      </c>
      <c r="AA3093" t="e">
        <f t="shared" si="431"/>
        <v>#VALUE!</v>
      </c>
      <c r="AB3093" t="str">
        <f t="shared" si="432"/>
        <v/>
      </c>
      <c r="AC3093" t="e">
        <f t="shared" si="433"/>
        <v>#VALUE!</v>
      </c>
    </row>
    <row r="3094" spans="1:29" x14ac:dyDescent="0.2">
      <c r="A3094" t="str">
        <f t="shared" si="434"/>
        <v/>
      </c>
      <c r="E3094" s="4"/>
      <c r="F3094" s="46"/>
      <c r="G3094" s="4"/>
      <c r="H3094" s="48"/>
      <c r="J3094" s="26" t="str">
        <f t="shared" si="435"/>
        <v/>
      </c>
      <c r="N3094" t="str">
        <f t="shared" si="436"/>
        <v/>
      </c>
      <c r="Q3094" t="str">
        <f t="shared" si="437"/>
        <v/>
      </c>
      <c r="S3094" t="str">
        <f>IF(A3094=1,MAX($S$2:$S3093)+1,IF(OR($I3094&lt;&gt;"",A3094="x"),$S3093,""))</f>
        <v/>
      </c>
      <c r="T3094" t="str">
        <f>IF(D3094=1,MAX($T$2:$T3093)+1,IF(S3094=S3093,$T3093,IF(D3094="x",T3093,IF(D3093="x","",""))))</f>
        <v/>
      </c>
      <c r="U3094" t="str">
        <f>IF(B3094=1,MAX($U$2:$U3093)+1,IF(AND($T3094&lt;&gt;"",$T3094=$T3093),$U3093,IF(B3094="x",U3093,"")))</f>
        <v/>
      </c>
      <c r="V3094" t="str">
        <f>IF(C3094=1,MAX($V$2:$V3093)+1,IF(AND($T3094&lt;&gt;"",$T3094=$T3093),$U3093,IF(C3094="x",V3093,"")))</f>
        <v/>
      </c>
      <c r="X3094" cm="1">
        <f t="array" ref="X3094">IF($I3094&lt;&gt;"",$I3094,INDEX($I$1:$I3094,ROW()-COUNTIFS($T$1:$T3094,"="&amp;$T3094,$S$1:$S3094,"&lt;"&amp;$S3094)))</f>
        <v>0</v>
      </c>
      <c r="Z3094" s="6">
        <f t="shared" si="430"/>
        <v>1</v>
      </c>
      <c r="AA3094" t="e">
        <f t="shared" si="431"/>
        <v>#VALUE!</v>
      </c>
      <c r="AB3094" t="str">
        <f t="shared" si="432"/>
        <v/>
      </c>
      <c r="AC3094" t="e">
        <f t="shared" si="433"/>
        <v>#VALUE!</v>
      </c>
    </row>
    <row r="3095" spans="1:29" x14ac:dyDescent="0.2">
      <c r="A3095" t="str">
        <f t="shared" si="434"/>
        <v/>
      </c>
      <c r="E3095" s="4"/>
      <c r="F3095" s="46"/>
      <c r="G3095" s="4"/>
      <c r="H3095" s="48"/>
      <c r="J3095" s="26" t="str">
        <f t="shared" si="435"/>
        <v/>
      </c>
      <c r="N3095" t="str">
        <f t="shared" si="436"/>
        <v/>
      </c>
      <c r="Q3095" t="str">
        <f t="shared" si="437"/>
        <v/>
      </c>
      <c r="S3095" t="str">
        <f>IF(A3095=1,MAX($S$2:$S3094)+1,IF(OR($I3095&lt;&gt;"",A3095="x"),$S3094,""))</f>
        <v/>
      </c>
      <c r="T3095" t="str">
        <f>IF(D3095=1,MAX($T$2:$T3094)+1,IF(S3095=S3094,$T3094,IF(D3095="x",T3094,IF(D3094="x","",""))))</f>
        <v/>
      </c>
      <c r="U3095" t="str">
        <f>IF(B3095=1,MAX($U$2:$U3094)+1,IF(AND($T3095&lt;&gt;"",$T3095=$T3094),$U3094,IF(B3095="x",U3094,"")))</f>
        <v/>
      </c>
      <c r="V3095" t="str">
        <f>IF(C3095=1,MAX($V$2:$V3094)+1,IF(AND($T3095&lt;&gt;"",$T3095=$T3094),$U3094,IF(C3095="x",V3094,"")))</f>
        <v/>
      </c>
      <c r="X3095" cm="1">
        <f t="array" ref="X3095">IF($I3095&lt;&gt;"",$I3095,INDEX($I$1:$I3095,ROW()-COUNTIFS($T$1:$T3095,"="&amp;$T3095,$S$1:$S3095,"&lt;"&amp;$S3095)))</f>
        <v>0</v>
      </c>
      <c r="Z3095" s="6">
        <f t="shared" si="430"/>
        <v>1</v>
      </c>
      <c r="AA3095" t="e">
        <f t="shared" si="431"/>
        <v>#VALUE!</v>
      </c>
      <c r="AB3095" t="str">
        <f t="shared" si="432"/>
        <v/>
      </c>
      <c r="AC3095" t="e">
        <f t="shared" si="433"/>
        <v>#VALUE!</v>
      </c>
    </row>
    <row r="3096" spans="1:29" x14ac:dyDescent="0.2">
      <c r="A3096" t="str">
        <f t="shared" si="434"/>
        <v/>
      </c>
      <c r="E3096" s="4"/>
      <c r="F3096" s="46"/>
      <c r="G3096" s="4"/>
      <c r="H3096" s="48"/>
      <c r="J3096" s="26" t="str">
        <f t="shared" si="435"/>
        <v/>
      </c>
      <c r="N3096" t="str">
        <f t="shared" si="436"/>
        <v/>
      </c>
      <c r="Q3096" t="str">
        <f t="shared" si="437"/>
        <v/>
      </c>
      <c r="S3096" t="str">
        <f>IF(A3096=1,MAX($S$2:$S3095)+1,IF(OR($I3096&lt;&gt;"",A3096="x"),$S3095,""))</f>
        <v/>
      </c>
      <c r="T3096" t="str">
        <f>IF(D3096=1,MAX($T$2:$T3095)+1,IF(S3096=S3095,$T3095,IF(D3096="x",T3095,IF(D3095="x","",""))))</f>
        <v/>
      </c>
      <c r="U3096" t="str">
        <f>IF(B3096=1,MAX($U$2:$U3095)+1,IF(AND($T3096&lt;&gt;"",$T3096=$T3095),$U3095,IF(B3096="x",U3095,"")))</f>
        <v/>
      </c>
      <c r="V3096" t="str">
        <f>IF(C3096=1,MAX($V$2:$V3095)+1,IF(AND($T3096&lt;&gt;"",$T3096=$T3095),$U3095,IF(C3096="x",V3095,"")))</f>
        <v/>
      </c>
      <c r="X3096" cm="1">
        <f t="array" ref="X3096">IF($I3096&lt;&gt;"",$I3096,INDEX($I$1:$I3096,ROW()-COUNTIFS($T$1:$T3096,"="&amp;$T3096,$S$1:$S3096,"&lt;"&amp;$S3096)))</f>
        <v>0</v>
      </c>
      <c r="Z3096" s="6">
        <f t="shared" si="430"/>
        <v>1</v>
      </c>
      <c r="AA3096" t="e">
        <f t="shared" si="431"/>
        <v>#VALUE!</v>
      </c>
      <c r="AB3096" t="str">
        <f t="shared" si="432"/>
        <v/>
      </c>
      <c r="AC3096" t="e">
        <f t="shared" si="433"/>
        <v>#VALUE!</v>
      </c>
    </row>
    <row r="3097" spans="1:29" x14ac:dyDescent="0.2">
      <c r="A3097" t="str">
        <f t="shared" si="434"/>
        <v/>
      </c>
      <c r="E3097" s="4"/>
      <c r="F3097" s="46"/>
      <c r="G3097" s="4"/>
      <c r="H3097" s="48"/>
      <c r="J3097" s="26" t="str">
        <f t="shared" si="435"/>
        <v/>
      </c>
      <c r="N3097" t="str">
        <f t="shared" si="436"/>
        <v/>
      </c>
      <c r="Q3097" t="str">
        <f t="shared" si="437"/>
        <v/>
      </c>
      <c r="S3097" t="str">
        <f>IF(A3097=1,MAX($S$2:$S3096)+1,IF(OR($I3097&lt;&gt;"",A3097="x"),$S3096,""))</f>
        <v/>
      </c>
      <c r="T3097" t="str">
        <f>IF(D3097=1,MAX($T$2:$T3096)+1,IF(S3097=S3096,$T3096,IF(D3097="x",T3096,IF(D3096="x","",""))))</f>
        <v/>
      </c>
      <c r="U3097" t="str">
        <f>IF(B3097=1,MAX($U$2:$U3096)+1,IF(AND($T3097&lt;&gt;"",$T3097=$T3096),$U3096,IF(B3097="x",U3096,"")))</f>
        <v/>
      </c>
      <c r="V3097" t="str">
        <f>IF(C3097=1,MAX($V$2:$V3096)+1,IF(AND($T3097&lt;&gt;"",$T3097=$T3096),$U3096,IF(C3097="x",V3096,"")))</f>
        <v/>
      </c>
      <c r="X3097" cm="1">
        <f t="array" ref="X3097">IF($I3097&lt;&gt;"",$I3097,INDEX($I$1:$I3097,ROW()-COUNTIFS($T$1:$T3097,"="&amp;$T3097,$S$1:$S3097,"&lt;"&amp;$S3097)))</f>
        <v>0</v>
      </c>
      <c r="Z3097" s="6">
        <f t="shared" si="430"/>
        <v>1</v>
      </c>
      <c r="AA3097" t="e">
        <f t="shared" si="431"/>
        <v>#VALUE!</v>
      </c>
      <c r="AB3097" t="str">
        <f t="shared" si="432"/>
        <v/>
      </c>
      <c r="AC3097" t="e">
        <f t="shared" si="433"/>
        <v>#VALUE!</v>
      </c>
    </row>
    <row r="3098" spans="1:29" x14ac:dyDescent="0.2">
      <c r="A3098" t="str">
        <f t="shared" si="434"/>
        <v/>
      </c>
      <c r="E3098" s="4"/>
      <c r="F3098" s="46"/>
      <c r="G3098" s="4"/>
      <c r="H3098" s="48"/>
      <c r="J3098" s="26" t="str">
        <f t="shared" si="435"/>
        <v/>
      </c>
      <c r="N3098" t="str">
        <f t="shared" si="436"/>
        <v/>
      </c>
      <c r="Q3098" t="str">
        <f t="shared" si="437"/>
        <v/>
      </c>
      <c r="S3098" t="str">
        <f>IF(A3098=1,MAX($S$2:$S3097)+1,IF(OR($I3098&lt;&gt;"",A3098="x"),$S3097,""))</f>
        <v/>
      </c>
      <c r="T3098" t="str">
        <f>IF(D3098=1,MAX($T$2:$T3097)+1,IF(S3098=S3097,$T3097,IF(D3098="x",T3097,IF(D3097="x","",""))))</f>
        <v/>
      </c>
      <c r="U3098" t="str">
        <f>IF(B3098=1,MAX($U$2:$U3097)+1,IF(AND($T3098&lt;&gt;"",$T3098=$T3097),$U3097,IF(B3098="x",U3097,"")))</f>
        <v/>
      </c>
      <c r="V3098" t="str">
        <f>IF(C3098=1,MAX($V$2:$V3097)+1,IF(AND($T3098&lt;&gt;"",$T3098=$T3097),$U3097,IF(C3098="x",V3097,"")))</f>
        <v/>
      </c>
      <c r="X3098" cm="1">
        <f t="array" ref="X3098">IF($I3098&lt;&gt;"",$I3098,INDEX($I$1:$I3098,ROW()-COUNTIFS($T$1:$T3098,"="&amp;$T3098,$S$1:$S3098,"&lt;"&amp;$S3098)))</f>
        <v>0</v>
      </c>
      <c r="Z3098" s="6">
        <f t="shared" si="430"/>
        <v>1</v>
      </c>
      <c r="AA3098" t="e">
        <f t="shared" si="431"/>
        <v>#VALUE!</v>
      </c>
      <c r="AB3098" t="str">
        <f t="shared" si="432"/>
        <v/>
      </c>
      <c r="AC3098" t="e">
        <f t="shared" si="433"/>
        <v>#VALUE!</v>
      </c>
    </row>
    <row r="3099" spans="1:29" x14ac:dyDescent="0.2">
      <c r="A3099" t="str">
        <f t="shared" si="434"/>
        <v/>
      </c>
      <c r="E3099" s="4"/>
      <c r="F3099" s="46"/>
      <c r="G3099" s="4"/>
      <c r="H3099" s="48"/>
      <c r="J3099" s="26" t="str">
        <f t="shared" si="435"/>
        <v/>
      </c>
      <c r="N3099" t="str">
        <f t="shared" si="436"/>
        <v/>
      </c>
      <c r="Q3099" t="str">
        <f t="shared" si="437"/>
        <v/>
      </c>
      <c r="S3099" t="str">
        <f>IF(A3099=1,MAX($S$2:$S3098)+1,IF(OR($I3099&lt;&gt;"",A3099="x"),$S3098,""))</f>
        <v/>
      </c>
      <c r="T3099" t="str">
        <f>IF(D3099=1,MAX($T$2:$T3098)+1,IF(S3099=S3098,$T3098,IF(D3099="x",T3098,IF(D3098="x","",""))))</f>
        <v/>
      </c>
      <c r="U3099" t="str">
        <f>IF(B3099=1,MAX($U$2:$U3098)+1,IF(AND($T3099&lt;&gt;"",$T3099=$T3098),$U3098,IF(B3099="x",U3098,"")))</f>
        <v/>
      </c>
      <c r="V3099" t="str">
        <f>IF(C3099=1,MAX($V$2:$V3098)+1,IF(AND($T3099&lt;&gt;"",$T3099=$T3098),$U3098,IF(C3099="x",V3098,"")))</f>
        <v/>
      </c>
      <c r="X3099" cm="1">
        <f t="array" ref="X3099">IF($I3099&lt;&gt;"",$I3099,INDEX($I$1:$I3099,ROW()-COUNTIFS($T$1:$T3099,"="&amp;$T3099,$S$1:$S3099,"&lt;"&amp;$S3099)))</f>
        <v>0</v>
      </c>
      <c r="Z3099" s="6">
        <f t="shared" si="430"/>
        <v>1</v>
      </c>
      <c r="AA3099" t="e">
        <f t="shared" si="431"/>
        <v>#VALUE!</v>
      </c>
      <c r="AB3099" t="str">
        <f t="shared" si="432"/>
        <v/>
      </c>
      <c r="AC3099" t="e">
        <f t="shared" si="433"/>
        <v>#VALUE!</v>
      </c>
    </row>
    <row r="3100" spans="1:29" x14ac:dyDescent="0.2">
      <c r="A3100" t="str">
        <f t="shared" si="434"/>
        <v/>
      </c>
      <c r="E3100" s="4"/>
      <c r="F3100" s="46"/>
      <c r="G3100" s="4"/>
      <c r="H3100" s="48"/>
      <c r="J3100" s="26" t="str">
        <f t="shared" si="435"/>
        <v/>
      </c>
      <c r="N3100" t="str">
        <f t="shared" si="436"/>
        <v/>
      </c>
      <c r="Q3100" t="str">
        <f t="shared" si="437"/>
        <v/>
      </c>
      <c r="S3100" t="str">
        <f>IF(A3100=1,MAX($S$2:$S3099)+1,IF(OR($I3100&lt;&gt;"",A3100="x"),$S3099,""))</f>
        <v/>
      </c>
      <c r="T3100" t="str">
        <f>IF(D3100=1,MAX($T$2:$T3099)+1,IF(S3100=S3099,$T3099,IF(D3100="x",T3099,IF(D3099="x","",""))))</f>
        <v/>
      </c>
      <c r="U3100" t="str">
        <f>IF(B3100=1,MAX($U$2:$U3099)+1,IF(AND($T3100&lt;&gt;"",$T3100=$T3099),$U3099,IF(B3100="x",U3099,"")))</f>
        <v/>
      </c>
      <c r="V3100" t="str">
        <f>IF(C3100=1,MAX($V$2:$V3099)+1,IF(AND($T3100&lt;&gt;"",$T3100=$T3099),$U3099,IF(C3100="x",V3099,"")))</f>
        <v/>
      </c>
      <c r="X3100" cm="1">
        <f t="array" ref="X3100">IF($I3100&lt;&gt;"",$I3100,INDEX($I$1:$I3100,ROW()-COUNTIFS($T$1:$T3100,"="&amp;$T3100,$S$1:$S3100,"&lt;"&amp;$S3100)))</f>
        <v>0</v>
      </c>
      <c r="Z3100" s="6">
        <f t="shared" si="430"/>
        <v>1</v>
      </c>
      <c r="AA3100" t="e">
        <f t="shared" si="431"/>
        <v>#VALUE!</v>
      </c>
      <c r="AB3100" t="str">
        <f t="shared" si="432"/>
        <v/>
      </c>
      <c r="AC3100" t="e">
        <f t="shared" si="433"/>
        <v>#VALUE!</v>
      </c>
    </row>
    <row r="3101" spans="1:29" x14ac:dyDescent="0.2">
      <c r="A3101" t="str">
        <f t="shared" si="434"/>
        <v/>
      </c>
      <c r="E3101" s="4"/>
      <c r="F3101" s="46"/>
      <c r="G3101" s="4"/>
      <c r="H3101" s="48"/>
      <c r="J3101" s="26" t="str">
        <f t="shared" si="435"/>
        <v/>
      </c>
      <c r="N3101" t="str">
        <f t="shared" si="436"/>
        <v/>
      </c>
      <c r="Q3101" t="str">
        <f t="shared" si="437"/>
        <v/>
      </c>
      <c r="S3101" t="str">
        <f>IF(A3101=1,MAX($S$2:$S3100)+1,IF(OR($I3101&lt;&gt;"",A3101="x"),$S3100,""))</f>
        <v/>
      </c>
      <c r="T3101" t="str">
        <f>IF(D3101=1,MAX($T$2:$T3100)+1,IF(S3101=S3100,$T3100,IF(D3101="x",T3100,IF(D3100="x","",""))))</f>
        <v/>
      </c>
      <c r="U3101" t="str">
        <f>IF(B3101=1,MAX($U$2:$U3100)+1,IF(AND($T3101&lt;&gt;"",$T3101=$T3100),$U3100,IF(B3101="x",U3100,"")))</f>
        <v/>
      </c>
      <c r="V3101" t="str">
        <f>IF(C3101=1,MAX($V$2:$V3100)+1,IF(AND($T3101&lt;&gt;"",$T3101=$T3100),$U3100,IF(C3101="x",V3100,"")))</f>
        <v/>
      </c>
      <c r="X3101" cm="1">
        <f t="array" ref="X3101">IF($I3101&lt;&gt;"",$I3101,INDEX($I$1:$I3101,ROW()-COUNTIFS($T$1:$T3101,"="&amp;$T3101,$S$1:$S3101,"&lt;"&amp;$S3101)))</f>
        <v>0</v>
      </c>
      <c r="Z3101" s="6">
        <f t="shared" si="430"/>
        <v>1</v>
      </c>
      <c r="AA3101" t="e">
        <f t="shared" si="431"/>
        <v>#VALUE!</v>
      </c>
      <c r="AB3101" t="str">
        <f t="shared" si="432"/>
        <v/>
      </c>
      <c r="AC3101" t="e">
        <f t="shared" si="433"/>
        <v>#VALUE!</v>
      </c>
    </row>
    <row r="3102" spans="1:29" x14ac:dyDescent="0.2">
      <c r="A3102" t="str">
        <f t="shared" si="434"/>
        <v/>
      </c>
      <c r="E3102" s="4"/>
      <c r="F3102" s="46"/>
      <c r="G3102" s="4"/>
      <c r="H3102" s="48"/>
      <c r="J3102" s="26" t="str">
        <f t="shared" si="435"/>
        <v/>
      </c>
      <c r="N3102" t="str">
        <f t="shared" si="436"/>
        <v/>
      </c>
      <c r="Q3102" t="str">
        <f t="shared" si="437"/>
        <v/>
      </c>
      <c r="S3102" t="str">
        <f>IF(A3102=1,MAX($S$2:$S3101)+1,IF(OR($I3102&lt;&gt;"",A3102="x"),$S3101,""))</f>
        <v/>
      </c>
      <c r="T3102" t="str">
        <f>IF(D3102=1,MAX($T$2:$T3101)+1,IF(S3102=S3101,$T3101,IF(D3102="x",T3101,IF(D3101="x","",""))))</f>
        <v/>
      </c>
      <c r="U3102" t="str">
        <f>IF(B3102=1,MAX($U$2:$U3101)+1,IF(AND($T3102&lt;&gt;"",$T3102=$T3101),$U3101,IF(B3102="x",U3101,"")))</f>
        <v/>
      </c>
      <c r="V3102" t="str">
        <f>IF(C3102=1,MAX($V$2:$V3101)+1,IF(AND($T3102&lt;&gt;"",$T3102=$T3101),$U3101,IF(C3102="x",V3101,"")))</f>
        <v/>
      </c>
      <c r="X3102" cm="1">
        <f t="array" ref="X3102">IF($I3102&lt;&gt;"",$I3102,INDEX($I$1:$I3102,ROW()-COUNTIFS($T$1:$T3102,"="&amp;$T3102,$S$1:$S3102,"&lt;"&amp;$S3102)))</f>
        <v>0</v>
      </c>
      <c r="Z3102" s="6">
        <f t="shared" si="430"/>
        <v>1</v>
      </c>
      <c r="AA3102" t="e">
        <f t="shared" si="431"/>
        <v>#VALUE!</v>
      </c>
      <c r="AB3102" t="str">
        <f t="shared" si="432"/>
        <v/>
      </c>
      <c r="AC3102" t="e">
        <f t="shared" si="433"/>
        <v>#VALUE!</v>
      </c>
    </row>
    <row r="3103" spans="1:29" x14ac:dyDescent="0.2">
      <c r="A3103" t="str">
        <f t="shared" si="434"/>
        <v/>
      </c>
      <c r="E3103" s="4"/>
      <c r="F3103" s="46"/>
      <c r="G3103" s="4"/>
      <c r="H3103" s="48"/>
      <c r="J3103" s="26" t="str">
        <f t="shared" si="435"/>
        <v/>
      </c>
      <c r="N3103" t="str">
        <f t="shared" si="436"/>
        <v/>
      </c>
      <c r="Q3103" t="str">
        <f t="shared" si="437"/>
        <v/>
      </c>
      <c r="S3103" t="str">
        <f>IF(A3103=1,MAX($S$2:$S3102)+1,IF(OR($I3103&lt;&gt;"",A3103="x"),$S3102,""))</f>
        <v/>
      </c>
      <c r="T3103" t="str">
        <f>IF(D3103=1,MAX($T$2:$T3102)+1,IF(S3103=S3102,$T3102,IF(D3103="x",T3102,IF(D3102="x","",""))))</f>
        <v/>
      </c>
      <c r="U3103" t="str">
        <f>IF(B3103=1,MAX($U$2:$U3102)+1,IF(AND($T3103&lt;&gt;"",$T3103=$T3102),$U3102,IF(B3103="x",U3102,"")))</f>
        <v/>
      </c>
      <c r="V3103" t="str">
        <f>IF(C3103=1,MAX($V$2:$V3102)+1,IF(AND($T3103&lt;&gt;"",$T3103=$T3102),$U3102,IF(C3103="x",V3102,"")))</f>
        <v/>
      </c>
      <c r="X3103" cm="1">
        <f t="array" ref="X3103">IF($I3103&lt;&gt;"",$I3103,INDEX($I$1:$I3103,ROW()-COUNTIFS($T$1:$T3103,"="&amp;$T3103,$S$1:$S3103,"&lt;"&amp;$S3103)))</f>
        <v>0</v>
      </c>
      <c r="Z3103" s="6">
        <f t="shared" si="430"/>
        <v>1</v>
      </c>
      <c r="AA3103" t="e">
        <f t="shared" si="431"/>
        <v>#VALUE!</v>
      </c>
      <c r="AB3103" t="str">
        <f t="shared" si="432"/>
        <v/>
      </c>
      <c r="AC3103" t="e">
        <f t="shared" si="433"/>
        <v>#VALUE!</v>
      </c>
    </row>
    <row r="3104" spans="1:29" x14ac:dyDescent="0.2">
      <c r="A3104" t="str">
        <f t="shared" si="434"/>
        <v/>
      </c>
      <c r="E3104" s="4"/>
      <c r="F3104" s="46"/>
      <c r="G3104" s="4"/>
      <c r="H3104" s="48"/>
      <c r="J3104" s="26" t="str">
        <f t="shared" si="435"/>
        <v/>
      </c>
      <c r="N3104" t="str">
        <f t="shared" si="436"/>
        <v/>
      </c>
      <c r="Q3104" t="str">
        <f t="shared" si="437"/>
        <v/>
      </c>
      <c r="S3104" t="str">
        <f>IF(A3104=1,MAX($S$2:$S3103)+1,IF(OR($I3104&lt;&gt;"",A3104="x"),$S3103,""))</f>
        <v/>
      </c>
      <c r="T3104" t="str">
        <f>IF(D3104=1,MAX($T$2:$T3103)+1,IF(S3104=S3103,$T3103,IF(D3104="x",T3103,IF(D3103="x","",""))))</f>
        <v/>
      </c>
      <c r="U3104" t="str">
        <f>IF(B3104=1,MAX($U$2:$U3103)+1,IF(AND($T3104&lt;&gt;"",$T3104=$T3103),$U3103,IF(B3104="x",U3103,"")))</f>
        <v/>
      </c>
      <c r="V3104" t="str">
        <f>IF(C3104=1,MAX($V$2:$V3103)+1,IF(AND($T3104&lt;&gt;"",$T3104=$T3103),$U3103,IF(C3104="x",V3103,"")))</f>
        <v/>
      </c>
      <c r="X3104" cm="1">
        <f t="array" ref="X3104">IF($I3104&lt;&gt;"",$I3104,INDEX($I$1:$I3104,ROW()-COUNTIFS($T$1:$T3104,"="&amp;$T3104,$S$1:$S3104,"&lt;"&amp;$S3104)))</f>
        <v>0</v>
      </c>
      <c r="Z3104" s="6">
        <f t="shared" si="430"/>
        <v>1</v>
      </c>
      <c r="AA3104" t="e">
        <f t="shared" si="431"/>
        <v>#VALUE!</v>
      </c>
      <c r="AB3104" t="str">
        <f t="shared" si="432"/>
        <v/>
      </c>
      <c r="AC3104" t="e">
        <f t="shared" si="433"/>
        <v>#VALUE!</v>
      </c>
    </row>
    <row r="3105" spans="1:29" x14ac:dyDescent="0.2">
      <c r="A3105" t="str">
        <f t="shared" si="434"/>
        <v/>
      </c>
      <c r="E3105" s="4"/>
      <c r="F3105" s="46"/>
      <c r="G3105" s="4"/>
      <c r="H3105" s="48"/>
      <c r="J3105" s="26" t="str">
        <f t="shared" si="435"/>
        <v/>
      </c>
      <c r="N3105" t="str">
        <f t="shared" si="436"/>
        <v/>
      </c>
      <c r="Q3105" t="str">
        <f t="shared" si="437"/>
        <v/>
      </c>
      <c r="S3105" t="str">
        <f>IF(A3105=1,MAX($S$2:$S3104)+1,IF(OR($I3105&lt;&gt;"",A3105="x"),$S3104,""))</f>
        <v/>
      </c>
      <c r="T3105" t="str">
        <f>IF(D3105=1,MAX($T$2:$T3104)+1,IF(S3105=S3104,$T3104,IF(D3105="x",T3104,IF(D3104="x","",""))))</f>
        <v/>
      </c>
      <c r="U3105" t="str">
        <f>IF(B3105=1,MAX($U$2:$U3104)+1,IF(AND($T3105&lt;&gt;"",$T3105=$T3104),$U3104,IF(B3105="x",U3104,"")))</f>
        <v/>
      </c>
      <c r="V3105" t="str">
        <f>IF(C3105=1,MAX($V$2:$V3104)+1,IF(AND($T3105&lt;&gt;"",$T3105=$T3104),$U3104,IF(C3105="x",V3104,"")))</f>
        <v/>
      </c>
      <c r="X3105" cm="1">
        <f t="array" ref="X3105">IF($I3105&lt;&gt;"",$I3105,INDEX($I$1:$I3105,ROW()-COUNTIFS($T$1:$T3105,"="&amp;$T3105,$S$1:$S3105,"&lt;"&amp;$S3105)))</f>
        <v>0</v>
      </c>
      <c r="Z3105" s="6">
        <f t="shared" si="430"/>
        <v>1</v>
      </c>
      <c r="AA3105" t="e">
        <f t="shared" si="431"/>
        <v>#VALUE!</v>
      </c>
      <c r="AB3105" t="str">
        <f t="shared" si="432"/>
        <v/>
      </c>
      <c r="AC3105" t="e">
        <f t="shared" si="433"/>
        <v>#VALUE!</v>
      </c>
    </row>
    <row r="3106" spans="1:29" x14ac:dyDescent="0.2">
      <c r="A3106" t="str">
        <f t="shared" si="434"/>
        <v/>
      </c>
      <c r="E3106" s="4"/>
      <c r="F3106" s="46"/>
      <c r="G3106" s="4"/>
      <c r="H3106" s="48"/>
      <c r="J3106" s="26" t="str">
        <f t="shared" si="435"/>
        <v/>
      </c>
      <c r="N3106" t="str">
        <f t="shared" si="436"/>
        <v/>
      </c>
      <c r="Q3106" t="str">
        <f t="shared" si="437"/>
        <v/>
      </c>
      <c r="S3106" t="str">
        <f>IF(A3106=1,MAX($S$2:$S3105)+1,IF(OR($I3106&lt;&gt;"",A3106="x"),$S3105,""))</f>
        <v/>
      </c>
      <c r="T3106" t="str">
        <f>IF(D3106=1,MAX($T$2:$T3105)+1,IF(S3106=S3105,$T3105,IF(D3106="x",T3105,IF(D3105="x","",""))))</f>
        <v/>
      </c>
      <c r="U3106" t="str">
        <f>IF(B3106=1,MAX($U$2:$U3105)+1,IF(AND($T3106&lt;&gt;"",$T3106=$T3105),$U3105,IF(B3106="x",U3105,"")))</f>
        <v/>
      </c>
      <c r="V3106" t="str">
        <f>IF(C3106=1,MAX($V$2:$V3105)+1,IF(AND($T3106&lt;&gt;"",$T3106=$T3105),$U3105,IF(C3106="x",V3105,"")))</f>
        <v/>
      </c>
      <c r="X3106" cm="1">
        <f t="array" ref="X3106">IF($I3106&lt;&gt;"",$I3106,INDEX($I$1:$I3106,ROW()-COUNTIFS($T$1:$T3106,"="&amp;$T3106,$S$1:$S3106,"&lt;"&amp;$S3106)))</f>
        <v>0</v>
      </c>
      <c r="Z3106" s="6">
        <f t="shared" si="430"/>
        <v>1</v>
      </c>
      <c r="AA3106" t="e">
        <f t="shared" si="431"/>
        <v>#VALUE!</v>
      </c>
      <c r="AB3106" t="str">
        <f t="shared" si="432"/>
        <v/>
      </c>
      <c r="AC3106" t="e">
        <f t="shared" si="433"/>
        <v>#VALUE!</v>
      </c>
    </row>
    <row r="3107" spans="1:29" x14ac:dyDescent="0.2">
      <c r="A3107" t="str">
        <f t="shared" si="434"/>
        <v/>
      </c>
      <c r="E3107" s="4"/>
      <c r="F3107" s="46"/>
      <c r="G3107" s="4"/>
      <c r="H3107" s="48"/>
      <c r="J3107" s="26" t="str">
        <f t="shared" si="435"/>
        <v/>
      </c>
      <c r="N3107" t="str">
        <f t="shared" si="436"/>
        <v/>
      </c>
      <c r="Q3107" t="str">
        <f t="shared" si="437"/>
        <v/>
      </c>
      <c r="S3107" t="str">
        <f>IF(A3107=1,MAX($S$2:$S3106)+1,IF(OR($I3107&lt;&gt;"",A3107="x"),$S3106,""))</f>
        <v/>
      </c>
      <c r="T3107" t="str">
        <f>IF(D3107=1,MAX($T$2:$T3106)+1,IF(S3107=S3106,$T3106,IF(D3107="x",T3106,IF(D3106="x","",""))))</f>
        <v/>
      </c>
      <c r="U3107" t="str">
        <f>IF(B3107=1,MAX($U$2:$U3106)+1,IF(AND($T3107&lt;&gt;"",$T3107=$T3106),$U3106,IF(B3107="x",U3106,"")))</f>
        <v/>
      </c>
      <c r="V3107" t="str">
        <f>IF(C3107=1,MAX($V$2:$V3106)+1,IF(AND($T3107&lt;&gt;"",$T3107=$T3106),$U3106,IF(C3107="x",V3106,"")))</f>
        <v/>
      </c>
      <c r="X3107" cm="1">
        <f t="array" ref="X3107">IF($I3107&lt;&gt;"",$I3107,INDEX($I$1:$I3107,ROW()-COUNTIFS($T$1:$T3107,"="&amp;$T3107,$S$1:$S3107,"&lt;"&amp;$S3107)))</f>
        <v>0</v>
      </c>
      <c r="Z3107" s="6">
        <f t="shared" si="430"/>
        <v>1</v>
      </c>
      <c r="AA3107" t="e">
        <f t="shared" si="431"/>
        <v>#VALUE!</v>
      </c>
      <c r="AB3107" t="str">
        <f t="shared" si="432"/>
        <v/>
      </c>
      <c r="AC3107" t="e">
        <f t="shared" si="433"/>
        <v>#VALUE!</v>
      </c>
    </row>
    <row r="3108" spans="1:29" x14ac:dyDescent="0.2">
      <c r="A3108" t="str">
        <f t="shared" si="434"/>
        <v/>
      </c>
      <c r="E3108" s="4"/>
      <c r="F3108" s="46"/>
      <c r="G3108" s="4"/>
      <c r="H3108" s="48"/>
      <c r="J3108" s="26" t="str">
        <f t="shared" si="435"/>
        <v/>
      </c>
      <c r="N3108" t="str">
        <f t="shared" si="436"/>
        <v/>
      </c>
      <c r="Q3108" t="str">
        <f t="shared" si="437"/>
        <v/>
      </c>
      <c r="S3108" t="str">
        <f>IF(A3108=1,MAX($S$2:$S3107)+1,IF(OR($I3108&lt;&gt;"",A3108="x"),$S3107,""))</f>
        <v/>
      </c>
      <c r="T3108" t="str">
        <f>IF(D3108=1,MAX($T$2:$T3107)+1,IF(S3108=S3107,$T3107,IF(D3108="x",T3107,IF(D3107="x","",""))))</f>
        <v/>
      </c>
      <c r="U3108" t="str">
        <f>IF(B3108=1,MAX($U$2:$U3107)+1,IF(AND($T3108&lt;&gt;"",$T3108=$T3107),$U3107,IF(B3108="x",U3107,"")))</f>
        <v/>
      </c>
      <c r="V3108" t="str">
        <f>IF(C3108=1,MAX($V$2:$V3107)+1,IF(AND($T3108&lt;&gt;"",$T3108=$T3107),$U3107,IF(C3108="x",V3107,"")))</f>
        <v/>
      </c>
      <c r="X3108" cm="1">
        <f t="array" ref="X3108">IF($I3108&lt;&gt;"",$I3108,INDEX($I$1:$I3108,ROW()-COUNTIFS($T$1:$T3108,"="&amp;$T3108,$S$1:$S3108,"&lt;"&amp;$S3108)))</f>
        <v>0</v>
      </c>
      <c r="Z3108" s="6">
        <f t="shared" si="430"/>
        <v>1</v>
      </c>
      <c r="AA3108" t="e">
        <f t="shared" si="431"/>
        <v>#VALUE!</v>
      </c>
      <c r="AB3108" t="str">
        <f t="shared" si="432"/>
        <v/>
      </c>
      <c r="AC3108" t="e">
        <f t="shared" si="433"/>
        <v>#VALUE!</v>
      </c>
    </row>
    <row r="3109" spans="1:29" x14ac:dyDescent="0.2">
      <c r="A3109" t="str">
        <f t="shared" si="434"/>
        <v/>
      </c>
      <c r="E3109" s="4"/>
      <c r="F3109" s="46"/>
      <c r="G3109" s="4"/>
      <c r="H3109" s="48"/>
      <c r="J3109" s="26" t="str">
        <f t="shared" si="435"/>
        <v/>
      </c>
      <c r="N3109" t="str">
        <f t="shared" si="436"/>
        <v/>
      </c>
      <c r="Q3109" t="str">
        <f t="shared" si="437"/>
        <v/>
      </c>
      <c r="S3109" t="str">
        <f>IF(A3109=1,MAX($S$2:$S3108)+1,IF(OR($I3109&lt;&gt;"",A3109="x"),$S3108,""))</f>
        <v/>
      </c>
      <c r="T3109" t="str">
        <f>IF(D3109=1,MAX($T$2:$T3108)+1,IF(S3109=S3108,$T3108,IF(D3109="x",T3108,IF(D3108="x","",""))))</f>
        <v/>
      </c>
      <c r="U3109" t="str">
        <f>IF(B3109=1,MAX($U$2:$U3108)+1,IF(AND($T3109&lt;&gt;"",$T3109=$T3108),$U3108,IF(B3109="x",U3108,"")))</f>
        <v/>
      </c>
      <c r="V3109" t="str">
        <f>IF(C3109=1,MAX($V$2:$V3108)+1,IF(AND($T3109&lt;&gt;"",$T3109=$T3108),$U3108,IF(C3109="x",V3108,"")))</f>
        <v/>
      </c>
      <c r="X3109" cm="1">
        <f t="array" ref="X3109">IF($I3109&lt;&gt;"",$I3109,INDEX($I$1:$I3109,ROW()-COUNTIFS($T$1:$T3109,"="&amp;$T3109,$S$1:$S3109,"&lt;"&amp;$S3109)))</f>
        <v>0</v>
      </c>
      <c r="Z3109" s="6">
        <f t="shared" si="430"/>
        <v>1</v>
      </c>
      <c r="AA3109" t="e">
        <f t="shared" si="431"/>
        <v>#VALUE!</v>
      </c>
      <c r="AB3109" t="str">
        <f t="shared" si="432"/>
        <v/>
      </c>
      <c r="AC3109" t="e">
        <f t="shared" si="433"/>
        <v>#VALUE!</v>
      </c>
    </row>
    <row r="3110" spans="1:29" x14ac:dyDescent="0.2">
      <c r="A3110" t="str">
        <f t="shared" si="434"/>
        <v/>
      </c>
      <c r="E3110" s="4"/>
      <c r="F3110" s="46"/>
      <c r="G3110" s="4"/>
      <c r="H3110" s="48"/>
      <c r="J3110" s="26" t="str">
        <f t="shared" si="435"/>
        <v/>
      </c>
      <c r="N3110" t="str">
        <f t="shared" si="436"/>
        <v/>
      </c>
      <c r="Q3110" t="str">
        <f t="shared" si="437"/>
        <v/>
      </c>
      <c r="S3110" t="str">
        <f>IF(A3110=1,MAX($S$2:$S3109)+1,IF(OR($I3110&lt;&gt;"",A3110="x"),$S3109,""))</f>
        <v/>
      </c>
      <c r="T3110" t="str">
        <f>IF(D3110=1,MAX($T$2:$T3109)+1,IF(S3110=S3109,$T3109,IF(D3110="x",T3109,IF(D3109="x","",""))))</f>
        <v/>
      </c>
      <c r="U3110" t="str">
        <f>IF(B3110=1,MAX($U$2:$U3109)+1,IF(AND($T3110&lt;&gt;"",$T3110=$T3109),$U3109,IF(B3110="x",U3109,"")))</f>
        <v/>
      </c>
      <c r="V3110" t="str">
        <f>IF(C3110=1,MAX($V$2:$V3109)+1,IF(AND($T3110&lt;&gt;"",$T3110=$T3109),$U3109,IF(C3110="x",V3109,"")))</f>
        <v/>
      </c>
      <c r="X3110" cm="1">
        <f t="array" ref="X3110">IF($I3110&lt;&gt;"",$I3110,INDEX($I$1:$I3110,ROW()-COUNTIFS($T$1:$T3110,"="&amp;$T3110,$S$1:$S3110,"&lt;"&amp;$S3110)))</f>
        <v>0</v>
      </c>
      <c r="Z3110" s="6">
        <f t="shared" si="430"/>
        <v>1</v>
      </c>
      <c r="AA3110" t="e">
        <f t="shared" si="431"/>
        <v>#VALUE!</v>
      </c>
      <c r="AB3110" t="str">
        <f t="shared" si="432"/>
        <v/>
      </c>
      <c r="AC3110" t="e">
        <f t="shared" si="433"/>
        <v>#VALUE!</v>
      </c>
    </row>
    <row r="3111" spans="1:29" x14ac:dyDescent="0.2">
      <c r="A3111" t="str">
        <f t="shared" si="434"/>
        <v/>
      </c>
      <c r="E3111" s="4"/>
      <c r="F3111" s="46"/>
      <c r="G3111" s="4"/>
      <c r="H3111" s="48"/>
      <c r="J3111" s="26" t="str">
        <f t="shared" si="435"/>
        <v/>
      </c>
      <c r="N3111" t="str">
        <f t="shared" si="436"/>
        <v/>
      </c>
      <c r="Q3111" t="str">
        <f t="shared" si="437"/>
        <v/>
      </c>
      <c r="S3111" t="str">
        <f>IF(A3111=1,MAX($S$2:$S3110)+1,IF(OR($I3111&lt;&gt;"",A3111="x"),$S3110,""))</f>
        <v/>
      </c>
      <c r="T3111" t="str">
        <f>IF(D3111=1,MAX($T$2:$T3110)+1,IF(S3111=S3110,$T3110,IF(D3111="x",T3110,IF(D3110="x","",""))))</f>
        <v/>
      </c>
      <c r="U3111" t="str">
        <f>IF(B3111=1,MAX($U$2:$U3110)+1,IF(AND($T3111&lt;&gt;"",$T3111=$T3110),$U3110,IF(B3111="x",U3110,"")))</f>
        <v/>
      </c>
      <c r="V3111" t="str">
        <f>IF(C3111=1,MAX($V$2:$V3110)+1,IF(AND($T3111&lt;&gt;"",$T3111=$T3110),$U3110,IF(C3111="x",V3110,"")))</f>
        <v/>
      </c>
      <c r="X3111" cm="1">
        <f t="array" ref="X3111">IF($I3111&lt;&gt;"",$I3111,INDEX($I$1:$I3111,ROW()-COUNTIFS($T$1:$T3111,"="&amp;$T3111,$S$1:$S3111,"&lt;"&amp;$S3111)))</f>
        <v>0</v>
      </c>
      <c r="Z3111" s="6">
        <f t="shared" si="430"/>
        <v>1</v>
      </c>
      <c r="AA3111" t="e">
        <f t="shared" si="431"/>
        <v>#VALUE!</v>
      </c>
      <c r="AB3111" t="str">
        <f t="shared" si="432"/>
        <v/>
      </c>
      <c r="AC3111" t="e">
        <f t="shared" si="433"/>
        <v>#VALUE!</v>
      </c>
    </row>
    <row r="3112" spans="1:29" x14ac:dyDescent="0.2">
      <c r="A3112" t="str">
        <f t="shared" si="434"/>
        <v/>
      </c>
      <c r="E3112" s="4"/>
      <c r="F3112" s="46"/>
      <c r="G3112" s="4"/>
      <c r="H3112" s="48"/>
      <c r="J3112" s="26" t="str">
        <f t="shared" si="435"/>
        <v/>
      </c>
      <c r="N3112" t="str">
        <f t="shared" si="436"/>
        <v/>
      </c>
      <c r="Q3112" t="str">
        <f t="shared" si="437"/>
        <v/>
      </c>
      <c r="S3112" t="str">
        <f>IF(A3112=1,MAX($S$2:$S3111)+1,IF(OR($I3112&lt;&gt;"",A3112="x"),$S3111,""))</f>
        <v/>
      </c>
      <c r="T3112" t="str">
        <f>IF(D3112=1,MAX($T$2:$T3111)+1,IF(S3112=S3111,$T3111,IF(D3112="x",T3111,IF(D3111="x","",""))))</f>
        <v/>
      </c>
      <c r="U3112" t="str">
        <f>IF(B3112=1,MAX($U$2:$U3111)+1,IF(AND($T3112&lt;&gt;"",$T3112=$T3111),$U3111,IF(B3112="x",U3111,"")))</f>
        <v/>
      </c>
      <c r="V3112" t="str">
        <f>IF(C3112=1,MAX($V$2:$V3111)+1,IF(AND($T3112&lt;&gt;"",$T3112=$T3111),$U3111,IF(C3112="x",V3111,"")))</f>
        <v/>
      </c>
      <c r="X3112" cm="1">
        <f t="array" ref="X3112">IF($I3112&lt;&gt;"",$I3112,INDEX($I$1:$I3112,ROW()-COUNTIFS($T$1:$T3112,"="&amp;$T3112,$S$1:$S3112,"&lt;"&amp;$S3112)))</f>
        <v>0</v>
      </c>
      <c r="Z3112" s="6">
        <f t="shared" si="430"/>
        <v>1</v>
      </c>
      <c r="AA3112" t="e">
        <f t="shared" si="431"/>
        <v>#VALUE!</v>
      </c>
      <c r="AB3112" t="str">
        <f t="shared" si="432"/>
        <v/>
      </c>
      <c r="AC3112" t="e">
        <f t="shared" si="433"/>
        <v>#VALUE!</v>
      </c>
    </row>
    <row r="3113" spans="1:29" x14ac:dyDescent="0.2">
      <c r="A3113" t="str">
        <f t="shared" si="434"/>
        <v/>
      </c>
      <c r="E3113" s="4"/>
      <c r="F3113" s="46"/>
      <c r="G3113" s="4"/>
      <c r="H3113" s="48"/>
      <c r="J3113" s="26" t="str">
        <f t="shared" si="435"/>
        <v/>
      </c>
      <c r="N3113" t="str">
        <f t="shared" si="436"/>
        <v/>
      </c>
      <c r="Q3113" t="str">
        <f t="shared" si="437"/>
        <v/>
      </c>
      <c r="S3113" t="str">
        <f>IF(A3113=1,MAX($S$2:$S3112)+1,IF(OR($I3113&lt;&gt;"",A3113="x"),$S3112,""))</f>
        <v/>
      </c>
      <c r="T3113" t="str">
        <f>IF(D3113=1,MAX($T$2:$T3112)+1,IF(S3113=S3112,$T3112,IF(D3113="x",T3112,IF(D3112="x","",""))))</f>
        <v/>
      </c>
      <c r="U3113" t="str">
        <f>IF(B3113=1,MAX($U$2:$U3112)+1,IF(AND($T3113&lt;&gt;"",$T3113=$T3112),$U3112,IF(B3113="x",U3112,"")))</f>
        <v/>
      </c>
      <c r="V3113" t="str">
        <f>IF(C3113=1,MAX($V$2:$V3112)+1,IF(AND($T3113&lt;&gt;"",$T3113=$T3112),$U3112,IF(C3113="x",V3112,"")))</f>
        <v/>
      </c>
      <c r="X3113" cm="1">
        <f t="array" ref="X3113">IF($I3113&lt;&gt;"",$I3113,INDEX($I$1:$I3113,ROW()-COUNTIFS($T$1:$T3113,"="&amp;$T3113,$S$1:$S3113,"&lt;"&amp;$S3113)))</f>
        <v>0</v>
      </c>
      <c r="Z3113" s="6">
        <f t="shared" si="430"/>
        <v>1</v>
      </c>
      <c r="AA3113" t="e">
        <f t="shared" si="431"/>
        <v>#VALUE!</v>
      </c>
      <c r="AB3113" t="str">
        <f t="shared" si="432"/>
        <v/>
      </c>
      <c r="AC3113" t="e">
        <f t="shared" si="433"/>
        <v>#VALUE!</v>
      </c>
    </row>
    <row r="3114" spans="1:29" x14ac:dyDescent="0.2">
      <c r="A3114" t="str">
        <f t="shared" si="434"/>
        <v/>
      </c>
      <c r="E3114" s="4"/>
      <c r="F3114" s="46"/>
      <c r="G3114" s="4"/>
      <c r="H3114" s="48"/>
      <c r="J3114" s="26" t="str">
        <f t="shared" si="435"/>
        <v/>
      </c>
      <c r="N3114" t="str">
        <f t="shared" si="436"/>
        <v/>
      </c>
      <c r="Q3114" t="str">
        <f t="shared" si="437"/>
        <v/>
      </c>
      <c r="S3114" t="str">
        <f>IF(A3114=1,MAX($S$2:$S3113)+1,IF(OR($I3114&lt;&gt;"",A3114="x"),$S3113,""))</f>
        <v/>
      </c>
      <c r="T3114" t="str">
        <f>IF(D3114=1,MAX($T$2:$T3113)+1,IF(S3114=S3113,$T3113,IF(D3114="x",T3113,IF(D3113="x","",""))))</f>
        <v/>
      </c>
      <c r="U3114" t="str">
        <f>IF(B3114=1,MAX($U$2:$U3113)+1,IF(AND($T3114&lt;&gt;"",$T3114=$T3113),$U3113,IF(B3114="x",U3113,"")))</f>
        <v/>
      </c>
      <c r="V3114" t="str">
        <f>IF(C3114=1,MAX($V$2:$V3113)+1,IF(AND($T3114&lt;&gt;"",$T3114=$T3113),$U3113,IF(C3114="x",V3113,"")))</f>
        <v/>
      </c>
      <c r="X3114" cm="1">
        <f t="array" ref="X3114">IF($I3114&lt;&gt;"",$I3114,INDEX($I$1:$I3114,ROW()-COUNTIFS($T$1:$T3114,"="&amp;$T3114,$S$1:$S3114,"&lt;"&amp;$S3114)))</f>
        <v>0</v>
      </c>
      <c r="Z3114" s="6">
        <f t="shared" si="430"/>
        <v>1</v>
      </c>
      <c r="AA3114" t="e">
        <f t="shared" si="431"/>
        <v>#VALUE!</v>
      </c>
      <c r="AB3114" t="str">
        <f t="shared" si="432"/>
        <v/>
      </c>
      <c r="AC3114" t="e">
        <f t="shared" si="433"/>
        <v>#VALUE!</v>
      </c>
    </row>
    <row r="3115" spans="1:29" x14ac:dyDescent="0.2">
      <c r="A3115" t="str">
        <f t="shared" si="434"/>
        <v/>
      </c>
      <c r="E3115" s="4"/>
      <c r="F3115" s="46"/>
      <c r="G3115" s="4"/>
      <c r="H3115" s="48"/>
      <c r="J3115" s="26" t="str">
        <f t="shared" si="435"/>
        <v/>
      </c>
      <c r="N3115" t="str">
        <f t="shared" si="436"/>
        <v/>
      </c>
      <c r="Q3115" t="str">
        <f t="shared" si="437"/>
        <v/>
      </c>
      <c r="S3115" t="str">
        <f>IF(A3115=1,MAX($S$2:$S3114)+1,IF(OR($I3115&lt;&gt;"",A3115="x"),$S3114,""))</f>
        <v/>
      </c>
      <c r="T3115" t="str">
        <f>IF(D3115=1,MAX($T$2:$T3114)+1,IF(S3115=S3114,$T3114,IF(D3115="x",T3114,IF(D3114="x","",""))))</f>
        <v/>
      </c>
      <c r="U3115" t="str">
        <f>IF(B3115=1,MAX($U$2:$U3114)+1,IF(AND($T3115&lt;&gt;"",$T3115=$T3114),$U3114,IF(B3115="x",U3114,"")))</f>
        <v/>
      </c>
      <c r="V3115" t="str">
        <f>IF(C3115=1,MAX($V$2:$V3114)+1,IF(AND($T3115&lt;&gt;"",$T3115=$T3114),$U3114,IF(C3115="x",V3114,"")))</f>
        <v/>
      </c>
      <c r="X3115" cm="1">
        <f t="array" ref="X3115">IF($I3115&lt;&gt;"",$I3115,INDEX($I$1:$I3115,ROW()-COUNTIFS($T$1:$T3115,"="&amp;$T3115,$S$1:$S3115,"&lt;"&amp;$S3115)))</f>
        <v>0</v>
      </c>
      <c r="Z3115" s="6">
        <f t="shared" si="430"/>
        <v>1</v>
      </c>
      <c r="AA3115" t="e">
        <f t="shared" si="431"/>
        <v>#VALUE!</v>
      </c>
      <c r="AB3115" t="str">
        <f t="shared" si="432"/>
        <v/>
      </c>
      <c r="AC3115" t="e">
        <f t="shared" si="433"/>
        <v>#VALUE!</v>
      </c>
    </row>
    <row r="3116" spans="1:29" x14ac:dyDescent="0.2">
      <c r="A3116" t="str">
        <f t="shared" si="434"/>
        <v/>
      </c>
      <c r="E3116" s="4"/>
      <c r="F3116" s="46"/>
      <c r="G3116" s="4"/>
      <c r="H3116" s="48"/>
      <c r="J3116" s="26" t="str">
        <f t="shared" si="435"/>
        <v/>
      </c>
      <c r="N3116" t="str">
        <f t="shared" si="436"/>
        <v/>
      </c>
      <c r="Q3116" t="str">
        <f t="shared" si="437"/>
        <v/>
      </c>
      <c r="S3116" t="str">
        <f>IF(A3116=1,MAX($S$2:$S3115)+1,IF(OR($I3116&lt;&gt;"",A3116="x"),$S3115,""))</f>
        <v/>
      </c>
      <c r="T3116" t="str">
        <f>IF(D3116=1,MAX($T$2:$T3115)+1,IF(S3116=S3115,$T3115,IF(D3116="x",T3115,IF(D3115="x","",""))))</f>
        <v/>
      </c>
      <c r="U3116" t="str">
        <f>IF(B3116=1,MAX($U$2:$U3115)+1,IF(AND($T3116&lt;&gt;"",$T3116=$T3115),$U3115,IF(B3116="x",U3115,"")))</f>
        <v/>
      </c>
      <c r="V3116" t="str">
        <f>IF(C3116=1,MAX($V$2:$V3115)+1,IF(AND($T3116&lt;&gt;"",$T3116=$T3115),$U3115,IF(C3116="x",V3115,"")))</f>
        <v/>
      </c>
      <c r="X3116" cm="1">
        <f t="array" ref="X3116">IF($I3116&lt;&gt;"",$I3116,INDEX($I$1:$I3116,ROW()-COUNTIFS($T$1:$T3116,"="&amp;$T3116,$S$1:$S3116,"&lt;"&amp;$S3116)))</f>
        <v>0</v>
      </c>
      <c r="Z3116" s="6">
        <f t="shared" si="430"/>
        <v>1</v>
      </c>
      <c r="AA3116" t="e">
        <f t="shared" si="431"/>
        <v>#VALUE!</v>
      </c>
      <c r="AB3116" t="str">
        <f t="shared" si="432"/>
        <v/>
      </c>
      <c r="AC3116" t="e">
        <f t="shared" si="433"/>
        <v>#VALUE!</v>
      </c>
    </row>
    <row r="3117" spans="1:29" x14ac:dyDescent="0.2">
      <c r="A3117" t="str">
        <f t="shared" si="434"/>
        <v/>
      </c>
      <c r="E3117" s="4"/>
      <c r="F3117" s="46"/>
      <c r="G3117" s="4"/>
      <c r="H3117" s="48"/>
      <c r="J3117" s="26" t="str">
        <f t="shared" si="435"/>
        <v/>
      </c>
      <c r="N3117" t="str">
        <f t="shared" si="436"/>
        <v/>
      </c>
      <c r="Q3117" t="str">
        <f t="shared" si="437"/>
        <v/>
      </c>
      <c r="S3117" t="str">
        <f>IF(A3117=1,MAX($S$2:$S3116)+1,IF(OR($I3117&lt;&gt;"",A3117="x"),$S3116,""))</f>
        <v/>
      </c>
      <c r="T3117" t="str">
        <f>IF(D3117=1,MAX($T$2:$T3116)+1,IF(S3117=S3116,$T3116,IF(D3117="x",T3116,IF(D3116="x","",""))))</f>
        <v/>
      </c>
      <c r="U3117" t="str">
        <f>IF(B3117=1,MAX($U$2:$U3116)+1,IF(AND($T3117&lt;&gt;"",$T3117=$T3116),$U3116,IF(B3117="x",U3116,"")))</f>
        <v/>
      </c>
      <c r="V3117" t="str">
        <f>IF(C3117=1,MAX($V$2:$V3116)+1,IF(AND($T3117&lt;&gt;"",$T3117=$T3116),$U3116,IF(C3117="x",V3116,"")))</f>
        <v/>
      </c>
      <c r="X3117" cm="1">
        <f t="array" ref="X3117">IF($I3117&lt;&gt;"",$I3117,INDEX($I$1:$I3117,ROW()-COUNTIFS($T$1:$T3117,"="&amp;$T3117,$S$1:$S3117,"&lt;"&amp;$S3117)))</f>
        <v>0</v>
      </c>
      <c r="Z3117" s="6">
        <f t="shared" si="430"/>
        <v>1</v>
      </c>
      <c r="AA3117" t="e">
        <f t="shared" si="431"/>
        <v>#VALUE!</v>
      </c>
      <c r="AB3117" t="str">
        <f t="shared" si="432"/>
        <v/>
      </c>
      <c r="AC3117" t="e">
        <f t="shared" si="433"/>
        <v>#VALUE!</v>
      </c>
    </row>
    <row r="3118" spans="1:29" x14ac:dyDescent="0.2">
      <c r="A3118" t="str">
        <f t="shared" si="434"/>
        <v/>
      </c>
      <c r="E3118" s="4"/>
      <c r="F3118" s="46"/>
      <c r="G3118" s="4"/>
      <c r="H3118" s="48"/>
      <c r="J3118" s="26" t="str">
        <f t="shared" si="435"/>
        <v/>
      </c>
      <c r="N3118" t="str">
        <f t="shared" si="436"/>
        <v/>
      </c>
      <c r="Q3118" t="str">
        <f t="shared" si="437"/>
        <v/>
      </c>
      <c r="S3118" t="str">
        <f>IF(A3118=1,MAX($S$2:$S3117)+1,IF(OR($I3118&lt;&gt;"",A3118="x"),$S3117,""))</f>
        <v/>
      </c>
      <c r="T3118" t="str">
        <f>IF(D3118=1,MAX($T$2:$T3117)+1,IF(S3118=S3117,$T3117,IF(D3118="x",T3117,IF(D3117="x","",""))))</f>
        <v/>
      </c>
      <c r="U3118" t="str">
        <f>IF(B3118=1,MAX($U$2:$U3117)+1,IF(AND($T3118&lt;&gt;"",$T3118=$T3117),$U3117,IF(B3118="x",U3117,"")))</f>
        <v/>
      </c>
      <c r="V3118" t="str">
        <f>IF(C3118=1,MAX($V$2:$V3117)+1,IF(AND($T3118&lt;&gt;"",$T3118=$T3117),$U3117,IF(C3118="x",V3117,"")))</f>
        <v/>
      </c>
      <c r="X3118" cm="1">
        <f t="array" ref="X3118">IF($I3118&lt;&gt;"",$I3118,INDEX($I$1:$I3118,ROW()-COUNTIFS($T$1:$T3118,"="&amp;$T3118,$S$1:$S3118,"&lt;"&amp;$S3118)))</f>
        <v>0</v>
      </c>
      <c r="Z3118" s="6">
        <f t="shared" si="430"/>
        <v>1</v>
      </c>
      <c r="AA3118" t="e">
        <f t="shared" si="431"/>
        <v>#VALUE!</v>
      </c>
      <c r="AB3118" t="str">
        <f t="shared" si="432"/>
        <v/>
      </c>
      <c r="AC3118" t="e">
        <f t="shared" si="433"/>
        <v>#VALUE!</v>
      </c>
    </row>
    <row r="3119" spans="1:29" x14ac:dyDescent="0.2">
      <c r="A3119" t="str">
        <f t="shared" si="434"/>
        <v/>
      </c>
      <c r="E3119" s="4"/>
      <c r="F3119" s="46"/>
      <c r="G3119" s="4"/>
      <c r="H3119" s="48"/>
      <c r="J3119" s="26" t="str">
        <f t="shared" si="435"/>
        <v/>
      </c>
      <c r="N3119" t="str">
        <f t="shared" si="436"/>
        <v/>
      </c>
      <c r="Q3119" t="str">
        <f t="shared" si="437"/>
        <v/>
      </c>
      <c r="S3119" t="str">
        <f>IF(A3119=1,MAX($S$2:$S3118)+1,IF(OR($I3119&lt;&gt;"",A3119="x"),$S3118,""))</f>
        <v/>
      </c>
      <c r="T3119" t="str">
        <f>IF(D3119=1,MAX($T$2:$T3118)+1,IF(S3119=S3118,$T3118,IF(D3119="x",T3118,IF(D3118="x","",""))))</f>
        <v/>
      </c>
      <c r="U3119" t="str">
        <f>IF(B3119=1,MAX($U$2:$U3118)+1,IF(AND($T3119&lt;&gt;"",$T3119=$T3118),$U3118,IF(B3119="x",U3118,"")))</f>
        <v/>
      </c>
      <c r="V3119" t="str">
        <f>IF(C3119=1,MAX($V$2:$V3118)+1,IF(AND($T3119&lt;&gt;"",$T3119=$T3118),$U3118,IF(C3119="x",V3118,"")))</f>
        <v/>
      </c>
      <c r="X3119" cm="1">
        <f t="array" ref="X3119">IF($I3119&lt;&gt;"",$I3119,INDEX($I$1:$I3119,ROW()-COUNTIFS($T$1:$T3119,"="&amp;$T3119,$S$1:$S3119,"&lt;"&amp;$S3119)))</f>
        <v>0</v>
      </c>
      <c r="Z3119" s="6">
        <f t="shared" si="430"/>
        <v>1</v>
      </c>
      <c r="AA3119" t="e">
        <f t="shared" si="431"/>
        <v>#VALUE!</v>
      </c>
      <c r="AB3119" t="str">
        <f t="shared" si="432"/>
        <v/>
      </c>
      <c r="AC3119" t="e">
        <f t="shared" si="433"/>
        <v>#VALUE!</v>
      </c>
    </row>
    <row r="3120" spans="1:29" x14ac:dyDescent="0.2">
      <c r="A3120" t="str">
        <f t="shared" si="434"/>
        <v/>
      </c>
      <c r="E3120" s="4"/>
      <c r="F3120" s="46"/>
      <c r="G3120" s="4"/>
      <c r="H3120" s="48"/>
      <c r="J3120" s="26" t="str">
        <f t="shared" si="435"/>
        <v/>
      </c>
      <c r="N3120" t="str">
        <f t="shared" si="436"/>
        <v/>
      </c>
      <c r="Q3120" t="str">
        <f t="shared" si="437"/>
        <v/>
      </c>
      <c r="S3120" t="str">
        <f>IF(A3120=1,MAX($S$2:$S3119)+1,IF(OR($I3120&lt;&gt;"",A3120="x"),$S3119,""))</f>
        <v/>
      </c>
      <c r="T3120" t="str">
        <f>IF(D3120=1,MAX($T$2:$T3119)+1,IF(S3120=S3119,$T3119,IF(D3120="x",T3119,IF(D3119="x","",""))))</f>
        <v/>
      </c>
      <c r="U3120" t="str">
        <f>IF(B3120=1,MAX($U$2:$U3119)+1,IF(AND($T3120&lt;&gt;"",$T3120=$T3119),$U3119,IF(B3120="x",U3119,"")))</f>
        <v/>
      </c>
      <c r="V3120" t="str">
        <f>IF(C3120=1,MAX($V$2:$V3119)+1,IF(AND($T3120&lt;&gt;"",$T3120=$T3119),$U3119,IF(C3120="x",V3119,"")))</f>
        <v/>
      </c>
      <c r="X3120" cm="1">
        <f t="array" ref="X3120">IF($I3120&lt;&gt;"",$I3120,INDEX($I$1:$I3120,ROW()-COUNTIFS($T$1:$T3120,"="&amp;$T3120,$S$1:$S3120,"&lt;"&amp;$S3120)))</f>
        <v>0</v>
      </c>
      <c r="Z3120" s="6">
        <f t="shared" si="430"/>
        <v>1</v>
      </c>
      <c r="AA3120" t="e">
        <f t="shared" si="431"/>
        <v>#VALUE!</v>
      </c>
      <c r="AB3120" t="str">
        <f t="shared" si="432"/>
        <v/>
      </c>
      <c r="AC3120" t="e">
        <f t="shared" si="433"/>
        <v>#VALUE!</v>
      </c>
    </row>
    <row r="3121" spans="1:29" x14ac:dyDescent="0.2">
      <c r="A3121" t="str">
        <f t="shared" si="434"/>
        <v/>
      </c>
      <c r="E3121" s="4"/>
      <c r="F3121" s="46"/>
      <c r="G3121" s="4"/>
      <c r="H3121" s="48"/>
      <c r="J3121" s="26" t="str">
        <f t="shared" si="435"/>
        <v/>
      </c>
      <c r="N3121" t="str">
        <f t="shared" si="436"/>
        <v/>
      </c>
      <c r="Q3121" t="str">
        <f t="shared" si="437"/>
        <v/>
      </c>
      <c r="S3121" t="str">
        <f>IF(A3121=1,MAX($S$2:$S3120)+1,IF(OR($I3121&lt;&gt;"",A3121="x"),$S3120,""))</f>
        <v/>
      </c>
      <c r="T3121" t="str">
        <f>IF(D3121=1,MAX($T$2:$T3120)+1,IF(S3121=S3120,$T3120,IF(D3121="x",T3120,IF(D3120="x","",""))))</f>
        <v/>
      </c>
      <c r="U3121" t="str">
        <f>IF(B3121=1,MAX($U$2:$U3120)+1,IF(AND($T3121&lt;&gt;"",$T3121=$T3120),$U3120,IF(B3121="x",U3120,"")))</f>
        <v/>
      </c>
      <c r="V3121" t="str">
        <f>IF(C3121=1,MAX($V$2:$V3120)+1,IF(AND($T3121&lt;&gt;"",$T3121=$T3120),$U3120,IF(C3121="x",V3120,"")))</f>
        <v/>
      </c>
      <c r="X3121" cm="1">
        <f t="array" ref="X3121">IF($I3121&lt;&gt;"",$I3121,INDEX($I$1:$I3121,ROW()-COUNTIFS($T$1:$T3121,"="&amp;$T3121,$S$1:$S3121,"&lt;"&amp;$S3121)))</f>
        <v>0</v>
      </c>
      <c r="Z3121" s="6">
        <f t="shared" si="430"/>
        <v>1</v>
      </c>
      <c r="AA3121" t="e">
        <f t="shared" si="431"/>
        <v>#VALUE!</v>
      </c>
      <c r="AB3121" t="str">
        <f t="shared" si="432"/>
        <v/>
      </c>
      <c r="AC3121" t="e">
        <f t="shared" si="433"/>
        <v>#VALUE!</v>
      </c>
    </row>
    <row r="3122" spans="1:29" x14ac:dyDescent="0.2">
      <c r="A3122" t="str">
        <f t="shared" si="434"/>
        <v/>
      </c>
      <c r="E3122" s="4"/>
      <c r="F3122" s="46"/>
      <c r="G3122" s="4"/>
      <c r="H3122" s="48"/>
      <c r="J3122" s="26" t="str">
        <f t="shared" si="435"/>
        <v/>
      </c>
      <c r="N3122" t="str">
        <f t="shared" si="436"/>
        <v/>
      </c>
      <c r="Q3122" t="str">
        <f t="shared" si="437"/>
        <v/>
      </c>
      <c r="S3122" t="str">
        <f>IF(A3122=1,MAX($S$2:$S3121)+1,IF(OR($I3122&lt;&gt;"",A3122="x"),$S3121,""))</f>
        <v/>
      </c>
      <c r="T3122" t="str">
        <f>IF(D3122=1,MAX($T$2:$T3121)+1,IF(S3122=S3121,$T3121,IF(D3122="x",T3121,IF(D3121="x","",""))))</f>
        <v/>
      </c>
      <c r="U3122" t="str">
        <f>IF(B3122=1,MAX($U$2:$U3121)+1,IF(AND($T3122&lt;&gt;"",$T3122=$T3121),$U3121,IF(B3122="x",U3121,"")))</f>
        <v/>
      </c>
      <c r="V3122" t="str">
        <f>IF(C3122=1,MAX($V$2:$V3121)+1,IF(AND($T3122&lt;&gt;"",$T3122=$T3121),$U3121,IF(C3122="x",V3121,"")))</f>
        <v/>
      </c>
      <c r="X3122" cm="1">
        <f t="array" ref="X3122">IF($I3122&lt;&gt;"",$I3122,INDEX($I$1:$I3122,ROW()-COUNTIFS($T$1:$T3122,"="&amp;$T3122,$S$1:$S3122,"&lt;"&amp;$S3122)))</f>
        <v>0</v>
      </c>
      <c r="Z3122" s="6">
        <f t="shared" si="430"/>
        <v>1</v>
      </c>
      <c r="AA3122" t="e">
        <f t="shared" si="431"/>
        <v>#VALUE!</v>
      </c>
      <c r="AB3122" t="str">
        <f t="shared" si="432"/>
        <v/>
      </c>
      <c r="AC3122" t="e">
        <f t="shared" si="433"/>
        <v>#VALUE!</v>
      </c>
    </row>
    <row r="3123" spans="1:29" x14ac:dyDescent="0.2">
      <c r="A3123" t="str">
        <f t="shared" si="434"/>
        <v/>
      </c>
      <c r="E3123" s="4"/>
      <c r="F3123" s="46"/>
      <c r="G3123" s="4"/>
      <c r="H3123" s="48"/>
      <c r="J3123" s="26" t="str">
        <f t="shared" si="435"/>
        <v/>
      </c>
      <c r="N3123" t="str">
        <f t="shared" si="436"/>
        <v/>
      </c>
      <c r="Q3123" t="str">
        <f t="shared" si="437"/>
        <v/>
      </c>
      <c r="S3123" t="str">
        <f>IF(A3123=1,MAX($S$2:$S3122)+1,IF(OR($I3123&lt;&gt;"",A3123="x"),$S3122,""))</f>
        <v/>
      </c>
      <c r="T3123" t="str">
        <f>IF(D3123=1,MAX($T$2:$T3122)+1,IF(S3123=S3122,$T3122,IF(D3123="x",T3122,IF(D3122="x","",""))))</f>
        <v/>
      </c>
      <c r="U3123" t="str">
        <f>IF(B3123=1,MAX($U$2:$U3122)+1,IF(AND($T3123&lt;&gt;"",$T3123=$T3122),$U3122,IF(B3123="x",U3122,"")))</f>
        <v/>
      </c>
      <c r="V3123" t="str">
        <f>IF(C3123=1,MAX($V$2:$V3122)+1,IF(AND($T3123&lt;&gt;"",$T3123=$T3122),$U3122,IF(C3123="x",V3122,"")))</f>
        <v/>
      </c>
      <c r="X3123" cm="1">
        <f t="array" ref="X3123">IF($I3123&lt;&gt;"",$I3123,INDEX($I$1:$I3123,ROW()-COUNTIFS($T$1:$T3123,"="&amp;$T3123,$S$1:$S3123,"&lt;"&amp;$S3123)))</f>
        <v>0</v>
      </c>
      <c r="Z3123" s="6">
        <f t="shared" si="430"/>
        <v>1</v>
      </c>
      <c r="AA3123" t="e">
        <f t="shared" si="431"/>
        <v>#VALUE!</v>
      </c>
      <c r="AB3123" t="str">
        <f t="shared" si="432"/>
        <v/>
      </c>
      <c r="AC3123" t="e">
        <f t="shared" si="433"/>
        <v>#VALUE!</v>
      </c>
    </row>
    <row r="3124" spans="1:29" x14ac:dyDescent="0.2">
      <c r="A3124" t="str">
        <f t="shared" si="434"/>
        <v/>
      </c>
      <c r="E3124" s="4"/>
      <c r="F3124" s="46"/>
      <c r="G3124" s="4"/>
      <c r="H3124" s="48"/>
      <c r="J3124" s="26" t="str">
        <f t="shared" si="435"/>
        <v/>
      </c>
      <c r="N3124" t="str">
        <f t="shared" si="436"/>
        <v/>
      </c>
      <c r="Q3124" t="str">
        <f t="shared" si="437"/>
        <v/>
      </c>
      <c r="S3124" t="str">
        <f>IF(A3124=1,MAX($S$2:$S3123)+1,IF(OR($I3124&lt;&gt;"",A3124="x"),$S3123,""))</f>
        <v/>
      </c>
      <c r="T3124" t="str">
        <f>IF(D3124=1,MAX($T$2:$T3123)+1,IF(S3124=S3123,$T3123,IF(D3124="x",T3123,IF(D3123="x","",""))))</f>
        <v/>
      </c>
      <c r="U3124" t="str">
        <f>IF(B3124=1,MAX($U$2:$U3123)+1,IF(AND($T3124&lt;&gt;"",$T3124=$T3123),$U3123,IF(B3124="x",U3123,"")))</f>
        <v/>
      </c>
      <c r="V3124" t="str">
        <f>IF(C3124=1,MAX($V$2:$V3123)+1,IF(AND($T3124&lt;&gt;"",$T3124=$T3123),$U3123,IF(C3124="x",V3123,"")))</f>
        <v/>
      </c>
      <c r="X3124" cm="1">
        <f t="array" ref="X3124">IF($I3124&lt;&gt;"",$I3124,INDEX($I$1:$I3124,ROW()-COUNTIFS($T$1:$T3124,"="&amp;$T3124,$S$1:$S3124,"&lt;"&amp;$S3124)))</f>
        <v>0</v>
      </c>
      <c r="Z3124" s="6">
        <f t="shared" si="430"/>
        <v>1</v>
      </c>
      <c r="AA3124" t="e">
        <f t="shared" si="431"/>
        <v>#VALUE!</v>
      </c>
      <c r="AB3124" t="str">
        <f t="shared" si="432"/>
        <v/>
      </c>
      <c r="AC3124" t="e">
        <f t="shared" si="433"/>
        <v>#VALUE!</v>
      </c>
    </row>
    <row r="3125" spans="1:29" x14ac:dyDescent="0.2">
      <c r="A3125" t="str">
        <f t="shared" si="434"/>
        <v/>
      </c>
      <c r="E3125" s="4"/>
      <c r="F3125" s="46"/>
      <c r="G3125" s="4"/>
      <c r="H3125" s="48"/>
      <c r="J3125" s="26" t="str">
        <f t="shared" si="435"/>
        <v/>
      </c>
      <c r="N3125" t="str">
        <f t="shared" si="436"/>
        <v/>
      </c>
      <c r="Q3125" t="str">
        <f t="shared" si="437"/>
        <v/>
      </c>
      <c r="S3125" t="str">
        <f>IF(A3125=1,MAX($S$2:$S3124)+1,IF(OR($I3125&lt;&gt;"",A3125="x"),$S3124,""))</f>
        <v/>
      </c>
      <c r="T3125" t="str">
        <f>IF(D3125=1,MAX($T$2:$T3124)+1,IF(S3125=S3124,$T3124,IF(D3125="x",T3124,IF(D3124="x","",""))))</f>
        <v/>
      </c>
      <c r="U3125" t="str">
        <f>IF(B3125=1,MAX($U$2:$U3124)+1,IF(AND($T3125&lt;&gt;"",$T3125=$T3124),$U3124,IF(B3125="x",U3124,"")))</f>
        <v/>
      </c>
      <c r="V3125" t="str">
        <f>IF(C3125=1,MAX($V$2:$V3124)+1,IF(AND($T3125&lt;&gt;"",$T3125=$T3124),$U3124,IF(C3125="x",V3124,"")))</f>
        <v/>
      </c>
      <c r="X3125" cm="1">
        <f t="array" ref="X3125">IF($I3125&lt;&gt;"",$I3125,INDEX($I$1:$I3125,ROW()-COUNTIFS($T$1:$T3125,"="&amp;$T3125,$S$1:$S3125,"&lt;"&amp;$S3125)))</f>
        <v>0</v>
      </c>
      <c r="Z3125" s="6">
        <f t="shared" si="430"/>
        <v>1</v>
      </c>
      <c r="AA3125" t="e">
        <f t="shared" si="431"/>
        <v>#VALUE!</v>
      </c>
      <c r="AB3125" t="str">
        <f t="shared" si="432"/>
        <v/>
      </c>
      <c r="AC3125" t="e">
        <f t="shared" si="433"/>
        <v>#VALUE!</v>
      </c>
    </row>
    <row r="3126" spans="1:29" x14ac:dyDescent="0.2">
      <c r="A3126" t="str">
        <f t="shared" si="434"/>
        <v/>
      </c>
      <c r="E3126" s="4"/>
      <c r="F3126" s="46"/>
      <c r="G3126" s="4"/>
      <c r="H3126" s="48"/>
      <c r="J3126" s="26" t="str">
        <f t="shared" si="435"/>
        <v/>
      </c>
      <c r="N3126" t="str">
        <f t="shared" si="436"/>
        <v/>
      </c>
      <c r="Q3126" t="str">
        <f t="shared" si="437"/>
        <v/>
      </c>
      <c r="S3126" t="str">
        <f>IF(A3126=1,MAX($S$2:$S3125)+1,IF(OR($I3126&lt;&gt;"",A3126="x"),$S3125,""))</f>
        <v/>
      </c>
      <c r="T3126" t="str">
        <f>IF(D3126=1,MAX($T$2:$T3125)+1,IF(S3126=S3125,$T3125,IF(D3126="x",T3125,IF(D3125="x","",""))))</f>
        <v/>
      </c>
      <c r="U3126" t="str">
        <f>IF(B3126=1,MAX($U$2:$U3125)+1,IF(AND($T3126&lt;&gt;"",$T3126=$T3125),$U3125,IF(B3126="x",U3125,"")))</f>
        <v/>
      </c>
      <c r="V3126" t="str">
        <f>IF(C3126=1,MAX($V$2:$V3125)+1,IF(AND($T3126&lt;&gt;"",$T3126=$T3125),$U3125,IF(C3126="x",V3125,"")))</f>
        <v/>
      </c>
      <c r="X3126" cm="1">
        <f t="array" ref="X3126">IF($I3126&lt;&gt;"",$I3126,INDEX($I$1:$I3126,ROW()-COUNTIFS($T$1:$T3126,"="&amp;$T3126,$S$1:$S3126,"&lt;"&amp;$S3126)))</f>
        <v>0</v>
      </c>
      <c r="Z3126" s="6">
        <f t="shared" si="430"/>
        <v>1</v>
      </c>
      <c r="AA3126" t="e">
        <f t="shared" si="431"/>
        <v>#VALUE!</v>
      </c>
      <c r="AB3126" t="str">
        <f t="shared" si="432"/>
        <v/>
      </c>
      <c r="AC3126" t="e">
        <f t="shared" si="433"/>
        <v>#VALUE!</v>
      </c>
    </row>
    <row r="3127" spans="1:29" x14ac:dyDescent="0.2">
      <c r="A3127" t="str">
        <f t="shared" si="434"/>
        <v/>
      </c>
      <c r="E3127" s="4"/>
      <c r="F3127" s="46"/>
      <c r="G3127" s="4"/>
      <c r="H3127" s="48"/>
      <c r="J3127" s="26" t="str">
        <f t="shared" si="435"/>
        <v/>
      </c>
      <c r="N3127" t="str">
        <f t="shared" si="436"/>
        <v/>
      </c>
      <c r="Q3127" t="str">
        <f t="shared" si="437"/>
        <v/>
      </c>
      <c r="S3127" t="str">
        <f>IF(A3127=1,MAX($S$2:$S3126)+1,IF(OR($I3127&lt;&gt;"",A3127="x"),$S3126,""))</f>
        <v/>
      </c>
      <c r="T3127" t="str">
        <f>IF(D3127=1,MAX($T$2:$T3126)+1,IF(S3127=S3126,$T3126,IF(D3127="x",T3126,IF(D3126="x","",""))))</f>
        <v/>
      </c>
      <c r="U3127" t="str">
        <f>IF(B3127=1,MAX($U$2:$U3126)+1,IF(AND($T3127&lt;&gt;"",$T3127=$T3126),$U3126,IF(B3127="x",U3126,"")))</f>
        <v/>
      </c>
      <c r="V3127" t="str">
        <f>IF(C3127=1,MAX($V$2:$V3126)+1,IF(AND($T3127&lt;&gt;"",$T3127=$T3126),$U3126,IF(C3127="x",V3126,"")))</f>
        <v/>
      </c>
      <c r="X3127" cm="1">
        <f t="array" ref="X3127">IF($I3127&lt;&gt;"",$I3127,INDEX($I$1:$I3127,ROW()-COUNTIFS($T$1:$T3127,"="&amp;$T3127,$S$1:$S3127,"&lt;"&amp;$S3127)))</f>
        <v>0</v>
      </c>
      <c r="Z3127" s="6">
        <f t="shared" si="430"/>
        <v>1</v>
      </c>
      <c r="AA3127" t="e">
        <f t="shared" si="431"/>
        <v>#VALUE!</v>
      </c>
      <c r="AB3127" t="str">
        <f t="shared" si="432"/>
        <v/>
      </c>
      <c r="AC3127" t="e">
        <f t="shared" si="433"/>
        <v>#VALUE!</v>
      </c>
    </row>
    <row r="3128" spans="1:29" x14ac:dyDescent="0.2">
      <c r="A3128" t="str">
        <f t="shared" si="434"/>
        <v/>
      </c>
      <c r="E3128" s="4"/>
      <c r="F3128" s="46"/>
      <c r="G3128" s="4"/>
      <c r="H3128" s="48"/>
      <c r="J3128" s="26" t="str">
        <f t="shared" si="435"/>
        <v/>
      </c>
      <c r="N3128" t="str">
        <f t="shared" si="436"/>
        <v/>
      </c>
      <c r="Q3128" t="str">
        <f t="shared" si="437"/>
        <v/>
      </c>
      <c r="S3128" t="str">
        <f>IF(A3128=1,MAX($S$2:$S3127)+1,IF(OR($I3128&lt;&gt;"",A3128="x"),$S3127,""))</f>
        <v/>
      </c>
      <c r="T3128" t="str">
        <f>IF(D3128=1,MAX($T$2:$T3127)+1,IF(S3128=S3127,$T3127,IF(D3128="x",T3127,IF(D3127="x","",""))))</f>
        <v/>
      </c>
      <c r="U3128" t="str">
        <f>IF(B3128=1,MAX($U$2:$U3127)+1,IF(AND($T3128&lt;&gt;"",$T3128=$T3127),$U3127,IF(B3128="x",U3127,"")))</f>
        <v/>
      </c>
      <c r="V3128" t="str">
        <f>IF(C3128=1,MAX($V$2:$V3127)+1,IF(AND($T3128&lt;&gt;"",$T3128=$T3127),$U3127,IF(C3128="x",V3127,"")))</f>
        <v/>
      </c>
      <c r="X3128" cm="1">
        <f t="array" ref="X3128">IF($I3128&lt;&gt;"",$I3128,INDEX($I$1:$I3128,ROW()-COUNTIFS($T$1:$T3128,"="&amp;$T3128,$S$1:$S3128,"&lt;"&amp;$S3128)))</f>
        <v>0</v>
      </c>
      <c r="Z3128" s="6">
        <f t="shared" si="430"/>
        <v>1</v>
      </c>
      <c r="AA3128" t="e">
        <f t="shared" si="431"/>
        <v>#VALUE!</v>
      </c>
      <c r="AB3128" t="str">
        <f t="shared" si="432"/>
        <v/>
      </c>
      <c r="AC3128" t="e">
        <f t="shared" si="433"/>
        <v>#VALUE!</v>
      </c>
    </row>
    <row r="3129" spans="1:29" x14ac:dyDescent="0.2">
      <c r="A3129" t="str">
        <f t="shared" si="434"/>
        <v/>
      </c>
      <c r="E3129" s="4"/>
      <c r="F3129" s="46"/>
      <c r="G3129" s="4"/>
      <c r="H3129" s="48"/>
      <c r="J3129" s="26" t="str">
        <f t="shared" si="435"/>
        <v/>
      </c>
      <c r="N3129" t="str">
        <f t="shared" si="436"/>
        <v/>
      </c>
      <c r="Q3129" t="str">
        <f t="shared" si="437"/>
        <v/>
      </c>
      <c r="S3129" t="str">
        <f>IF(A3129=1,MAX($S$2:$S3128)+1,IF(OR($I3129&lt;&gt;"",A3129="x"),$S3128,""))</f>
        <v/>
      </c>
      <c r="T3129" t="str">
        <f>IF(D3129=1,MAX($T$2:$T3128)+1,IF(S3129=S3128,$T3128,IF(D3129="x",T3128,IF(D3128="x","",""))))</f>
        <v/>
      </c>
      <c r="U3129" t="str">
        <f>IF(B3129=1,MAX($U$2:$U3128)+1,IF(AND($T3129&lt;&gt;"",$T3129=$T3128),$U3128,IF(B3129="x",U3128,"")))</f>
        <v/>
      </c>
      <c r="V3129" t="str">
        <f>IF(C3129=1,MAX($V$2:$V3128)+1,IF(AND($T3129&lt;&gt;"",$T3129=$T3128),$U3128,IF(C3129="x",V3128,"")))</f>
        <v/>
      </c>
      <c r="X3129" cm="1">
        <f t="array" ref="X3129">IF($I3129&lt;&gt;"",$I3129,INDEX($I$1:$I3129,ROW()-COUNTIFS($T$1:$T3129,"="&amp;$T3129,$S$1:$S3129,"&lt;"&amp;$S3129)))</f>
        <v>0</v>
      </c>
      <c r="Z3129" s="6">
        <f t="shared" si="430"/>
        <v>1</v>
      </c>
      <c r="AA3129" t="e">
        <f t="shared" si="431"/>
        <v>#VALUE!</v>
      </c>
      <c r="AB3129" t="str">
        <f t="shared" si="432"/>
        <v/>
      </c>
      <c r="AC3129" t="e">
        <f t="shared" si="433"/>
        <v>#VALUE!</v>
      </c>
    </row>
    <row r="3130" spans="1:29" x14ac:dyDescent="0.2">
      <c r="A3130" t="str">
        <f t="shared" si="434"/>
        <v/>
      </c>
      <c r="E3130" s="4"/>
      <c r="F3130" s="46"/>
      <c r="G3130" s="4"/>
      <c r="H3130" s="48"/>
      <c r="J3130" s="26" t="str">
        <f t="shared" si="435"/>
        <v/>
      </c>
      <c r="N3130" t="str">
        <f t="shared" si="436"/>
        <v/>
      </c>
      <c r="Q3130" t="str">
        <f t="shared" si="437"/>
        <v/>
      </c>
      <c r="S3130" t="str">
        <f>IF(A3130=1,MAX($S$2:$S3129)+1,IF(OR($I3130&lt;&gt;"",A3130="x"),$S3129,""))</f>
        <v/>
      </c>
      <c r="T3130" t="str">
        <f>IF(D3130=1,MAX($T$2:$T3129)+1,IF(S3130=S3129,$T3129,IF(D3130="x",T3129,IF(D3129="x","",""))))</f>
        <v/>
      </c>
      <c r="U3130" t="str">
        <f>IF(B3130=1,MAX($U$2:$U3129)+1,IF(AND($T3130&lt;&gt;"",$T3130=$T3129),$U3129,IF(B3130="x",U3129,"")))</f>
        <v/>
      </c>
      <c r="V3130" t="str">
        <f>IF(C3130=1,MAX($V$2:$V3129)+1,IF(AND($T3130&lt;&gt;"",$T3130=$T3129),$U3129,IF(C3130="x",V3129,"")))</f>
        <v/>
      </c>
      <c r="X3130" cm="1">
        <f t="array" ref="X3130">IF($I3130&lt;&gt;"",$I3130,INDEX($I$1:$I3130,ROW()-COUNTIFS($T$1:$T3130,"="&amp;$T3130,$S$1:$S3130,"&lt;"&amp;$S3130)))</f>
        <v>0</v>
      </c>
      <c r="Z3130" s="6">
        <f t="shared" si="430"/>
        <v>1</v>
      </c>
      <c r="AA3130" t="e">
        <f t="shared" si="431"/>
        <v>#VALUE!</v>
      </c>
      <c r="AB3130" t="str">
        <f t="shared" si="432"/>
        <v/>
      </c>
      <c r="AC3130" t="e">
        <f t="shared" si="433"/>
        <v>#VALUE!</v>
      </c>
    </row>
    <row r="3131" spans="1:29" x14ac:dyDescent="0.2">
      <c r="A3131" t="str">
        <f t="shared" si="434"/>
        <v/>
      </c>
      <c r="E3131" s="4"/>
      <c r="F3131" s="46"/>
      <c r="G3131" s="4"/>
      <c r="H3131" s="48"/>
      <c r="J3131" s="26" t="str">
        <f t="shared" si="435"/>
        <v/>
      </c>
      <c r="N3131" t="str">
        <f t="shared" si="436"/>
        <v/>
      </c>
      <c r="Q3131" t="str">
        <f t="shared" si="437"/>
        <v/>
      </c>
      <c r="S3131" t="str">
        <f>IF(A3131=1,MAX($S$2:$S3130)+1,IF(OR($I3131&lt;&gt;"",A3131="x"),$S3130,""))</f>
        <v/>
      </c>
      <c r="T3131" t="str">
        <f>IF(D3131=1,MAX($T$2:$T3130)+1,IF(S3131=S3130,$T3130,IF(D3131="x",T3130,IF(D3130="x","",""))))</f>
        <v/>
      </c>
      <c r="U3131" t="str">
        <f>IF(B3131=1,MAX($U$2:$U3130)+1,IF(AND($T3131&lt;&gt;"",$T3131=$T3130),$U3130,IF(B3131="x",U3130,"")))</f>
        <v/>
      </c>
      <c r="V3131" t="str">
        <f>IF(C3131=1,MAX($V$2:$V3130)+1,IF(AND($T3131&lt;&gt;"",$T3131=$T3130),$U3130,IF(C3131="x",V3130,"")))</f>
        <v/>
      </c>
      <c r="X3131" cm="1">
        <f t="array" ref="X3131">IF($I3131&lt;&gt;"",$I3131,INDEX($I$1:$I3131,ROW()-COUNTIFS($T$1:$T3131,"="&amp;$T3131,$S$1:$S3131,"&lt;"&amp;$S3131)))</f>
        <v>0</v>
      </c>
      <c r="Z3131" s="6">
        <f t="shared" si="430"/>
        <v>1</v>
      </c>
      <c r="AA3131" t="e">
        <f t="shared" si="431"/>
        <v>#VALUE!</v>
      </c>
      <c r="AB3131" t="str">
        <f t="shared" si="432"/>
        <v/>
      </c>
      <c r="AC3131" t="e">
        <f t="shared" si="433"/>
        <v>#VALUE!</v>
      </c>
    </row>
    <row r="3132" spans="1:29" x14ac:dyDescent="0.2">
      <c r="A3132" t="str">
        <f t="shared" si="434"/>
        <v/>
      </c>
      <c r="E3132" s="4"/>
      <c r="F3132" s="46"/>
      <c r="G3132" s="4"/>
      <c r="H3132" s="48"/>
      <c r="J3132" s="26" t="str">
        <f t="shared" si="435"/>
        <v/>
      </c>
      <c r="N3132" t="str">
        <f t="shared" si="436"/>
        <v/>
      </c>
      <c r="Q3132" t="str">
        <f t="shared" si="437"/>
        <v/>
      </c>
      <c r="S3132" t="str">
        <f>IF(A3132=1,MAX($S$2:$S3131)+1,IF(OR($I3132&lt;&gt;"",A3132="x"),$S3131,""))</f>
        <v/>
      </c>
      <c r="T3132" t="str">
        <f>IF(D3132=1,MAX($T$2:$T3131)+1,IF(S3132=S3131,$T3131,IF(D3132="x",T3131,IF(D3131="x","",""))))</f>
        <v/>
      </c>
      <c r="U3132" t="str">
        <f>IF(B3132=1,MAX($U$2:$U3131)+1,IF(AND($T3132&lt;&gt;"",$T3132=$T3131),$U3131,IF(B3132="x",U3131,"")))</f>
        <v/>
      </c>
      <c r="V3132" t="str">
        <f>IF(C3132=1,MAX($V$2:$V3131)+1,IF(AND($T3132&lt;&gt;"",$T3132=$T3131),$U3131,IF(C3132="x",V3131,"")))</f>
        <v/>
      </c>
      <c r="X3132" cm="1">
        <f t="array" ref="X3132">IF($I3132&lt;&gt;"",$I3132,INDEX($I$1:$I3132,ROW()-COUNTIFS($T$1:$T3132,"="&amp;$T3132,$S$1:$S3132,"&lt;"&amp;$S3132)))</f>
        <v>0</v>
      </c>
      <c r="Z3132" s="6">
        <f t="shared" si="430"/>
        <v>1</v>
      </c>
      <c r="AA3132" t="e">
        <f t="shared" si="431"/>
        <v>#VALUE!</v>
      </c>
      <c r="AB3132" t="str">
        <f t="shared" si="432"/>
        <v/>
      </c>
      <c r="AC3132" t="e">
        <f t="shared" si="433"/>
        <v>#VALUE!</v>
      </c>
    </row>
    <row r="3133" spans="1:29" x14ac:dyDescent="0.2">
      <c r="A3133" t="str">
        <f t="shared" si="434"/>
        <v/>
      </c>
      <c r="E3133" s="4"/>
      <c r="F3133" s="46"/>
      <c r="G3133" s="4"/>
      <c r="H3133" s="48"/>
      <c r="J3133" s="26" t="str">
        <f t="shared" si="435"/>
        <v/>
      </c>
      <c r="N3133" t="str">
        <f t="shared" si="436"/>
        <v/>
      </c>
      <c r="Q3133" t="str">
        <f t="shared" si="437"/>
        <v/>
      </c>
      <c r="S3133" t="str">
        <f>IF(A3133=1,MAX($S$2:$S3132)+1,IF(OR($I3133&lt;&gt;"",A3133="x"),$S3132,""))</f>
        <v/>
      </c>
      <c r="T3133" t="str">
        <f>IF(D3133=1,MAX($T$2:$T3132)+1,IF(S3133=S3132,$T3132,IF(D3133="x",T3132,IF(D3132="x","",""))))</f>
        <v/>
      </c>
      <c r="U3133" t="str">
        <f>IF(B3133=1,MAX($U$2:$U3132)+1,IF(AND($T3133&lt;&gt;"",$T3133=$T3132),$U3132,IF(B3133="x",U3132,"")))</f>
        <v/>
      </c>
      <c r="V3133" t="str">
        <f>IF(C3133=1,MAX($V$2:$V3132)+1,IF(AND($T3133&lt;&gt;"",$T3133=$T3132),$U3132,IF(C3133="x",V3132,"")))</f>
        <v/>
      </c>
      <c r="X3133" cm="1">
        <f t="array" ref="X3133">IF($I3133&lt;&gt;"",$I3133,INDEX($I$1:$I3133,ROW()-COUNTIFS($T$1:$T3133,"="&amp;$T3133,$S$1:$S3133,"&lt;"&amp;$S3133)))</f>
        <v>0</v>
      </c>
      <c r="Z3133" s="6">
        <f t="shared" si="430"/>
        <v>1</v>
      </c>
      <c r="AA3133" t="e">
        <f t="shared" si="431"/>
        <v>#VALUE!</v>
      </c>
      <c r="AB3133" t="str">
        <f t="shared" si="432"/>
        <v/>
      </c>
      <c r="AC3133" t="e">
        <f t="shared" si="433"/>
        <v>#VALUE!</v>
      </c>
    </row>
    <row r="3134" spans="1:29" x14ac:dyDescent="0.2">
      <c r="A3134" t="str">
        <f t="shared" si="434"/>
        <v/>
      </c>
      <c r="E3134" s="4"/>
      <c r="F3134" s="46"/>
      <c r="G3134" s="4"/>
      <c r="H3134" s="48"/>
      <c r="J3134" s="26" t="str">
        <f t="shared" si="435"/>
        <v/>
      </c>
      <c r="N3134" t="str">
        <f t="shared" si="436"/>
        <v/>
      </c>
      <c r="Q3134" t="str">
        <f t="shared" si="437"/>
        <v/>
      </c>
      <c r="S3134" t="str">
        <f>IF(A3134=1,MAX($S$2:$S3133)+1,IF(OR($I3134&lt;&gt;"",A3134="x"),$S3133,""))</f>
        <v/>
      </c>
      <c r="T3134" t="str">
        <f>IF(D3134=1,MAX($T$2:$T3133)+1,IF(S3134=S3133,$T3133,IF(D3134="x",T3133,IF(D3133="x","",""))))</f>
        <v/>
      </c>
      <c r="U3134" t="str">
        <f>IF(B3134=1,MAX($U$2:$U3133)+1,IF(AND($T3134&lt;&gt;"",$T3134=$T3133),$U3133,IF(B3134="x",U3133,"")))</f>
        <v/>
      </c>
      <c r="V3134" t="str">
        <f>IF(C3134=1,MAX($V$2:$V3133)+1,IF(AND($T3134&lt;&gt;"",$T3134=$T3133),$U3133,IF(C3134="x",V3133,"")))</f>
        <v/>
      </c>
      <c r="X3134" cm="1">
        <f t="array" ref="X3134">IF($I3134&lt;&gt;"",$I3134,INDEX($I$1:$I3134,ROW()-COUNTIFS($T$1:$T3134,"="&amp;$T3134,$S$1:$S3134,"&lt;"&amp;$S3134)))</f>
        <v>0</v>
      </c>
      <c r="Z3134" s="6">
        <f t="shared" si="430"/>
        <v>1</v>
      </c>
      <c r="AA3134" t="e">
        <f t="shared" si="431"/>
        <v>#VALUE!</v>
      </c>
      <c r="AB3134" t="str">
        <f t="shared" si="432"/>
        <v/>
      </c>
      <c r="AC3134" t="e">
        <f t="shared" si="433"/>
        <v>#VALUE!</v>
      </c>
    </row>
    <row r="3135" spans="1:29" x14ac:dyDescent="0.2">
      <c r="A3135" t="str">
        <f t="shared" si="434"/>
        <v/>
      </c>
      <c r="E3135" s="4"/>
      <c r="F3135" s="46"/>
      <c r="G3135" s="4"/>
      <c r="H3135" s="48"/>
      <c r="J3135" s="26" t="str">
        <f t="shared" si="435"/>
        <v/>
      </c>
      <c r="N3135" t="str">
        <f t="shared" si="436"/>
        <v/>
      </c>
      <c r="Q3135" t="str">
        <f t="shared" si="437"/>
        <v/>
      </c>
      <c r="S3135" t="str">
        <f>IF(A3135=1,MAX($S$2:$S3134)+1,IF(OR($I3135&lt;&gt;"",A3135="x"),$S3134,""))</f>
        <v/>
      </c>
      <c r="T3135" t="str">
        <f>IF(D3135=1,MAX($T$2:$T3134)+1,IF(S3135=S3134,$T3134,IF(D3135="x",T3134,IF(D3134="x","",""))))</f>
        <v/>
      </c>
      <c r="U3135" t="str">
        <f>IF(B3135=1,MAX($U$2:$U3134)+1,IF(AND($T3135&lt;&gt;"",$T3135=$T3134),$U3134,IF(B3135="x",U3134,"")))</f>
        <v/>
      </c>
      <c r="V3135" t="str">
        <f>IF(C3135=1,MAX($V$2:$V3134)+1,IF(AND($T3135&lt;&gt;"",$T3135=$T3134),$U3134,IF(C3135="x",V3134,"")))</f>
        <v/>
      </c>
      <c r="X3135" cm="1">
        <f t="array" ref="X3135">IF($I3135&lt;&gt;"",$I3135,INDEX($I$1:$I3135,ROW()-COUNTIFS($T$1:$T3135,"="&amp;$T3135,$S$1:$S3135,"&lt;"&amp;$S3135)))</f>
        <v>0</v>
      </c>
      <c r="Z3135" s="6">
        <f t="shared" si="430"/>
        <v>1</v>
      </c>
      <c r="AA3135" t="e">
        <f t="shared" si="431"/>
        <v>#VALUE!</v>
      </c>
      <c r="AB3135" t="str">
        <f t="shared" si="432"/>
        <v/>
      </c>
      <c r="AC3135" t="e">
        <f t="shared" si="433"/>
        <v>#VALUE!</v>
      </c>
    </row>
    <row r="3136" spans="1:29" x14ac:dyDescent="0.2">
      <c r="A3136" t="str">
        <f t="shared" si="434"/>
        <v/>
      </c>
      <c r="E3136" s="4"/>
      <c r="F3136" s="46"/>
      <c r="G3136" s="4"/>
      <c r="H3136" s="48"/>
      <c r="J3136" s="26" t="str">
        <f t="shared" si="435"/>
        <v/>
      </c>
      <c r="N3136" t="str">
        <f t="shared" si="436"/>
        <v/>
      </c>
      <c r="Q3136" t="str">
        <f t="shared" si="437"/>
        <v/>
      </c>
      <c r="S3136" t="str">
        <f>IF(A3136=1,MAX($S$2:$S3135)+1,IF(OR($I3136&lt;&gt;"",A3136="x"),$S3135,""))</f>
        <v/>
      </c>
      <c r="T3136" t="str">
        <f>IF(D3136=1,MAX($T$2:$T3135)+1,IF(S3136=S3135,$T3135,IF(D3136="x",T3135,IF(D3135="x","",""))))</f>
        <v/>
      </c>
      <c r="U3136" t="str">
        <f>IF(B3136=1,MAX($U$2:$U3135)+1,IF(AND($T3136&lt;&gt;"",$T3136=$T3135),$U3135,IF(B3136="x",U3135,"")))</f>
        <v/>
      </c>
      <c r="V3136" t="str">
        <f>IF(C3136=1,MAX($V$2:$V3135)+1,IF(AND($T3136&lt;&gt;"",$T3136=$T3135),$U3135,IF(C3136="x",V3135,"")))</f>
        <v/>
      </c>
      <c r="X3136" cm="1">
        <f t="array" ref="X3136">IF($I3136&lt;&gt;"",$I3136,INDEX($I$1:$I3136,ROW()-COUNTIFS($T$1:$T3136,"="&amp;$T3136,$S$1:$S3136,"&lt;"&amp;$S3136)))</f>
        <v>0</v>
      </c>
      <c r="Z3136" s="6">
        <f t="shared" si="430"/>
        <v>1</v>
      </c>
      <c r="AA3136" t="e">
        <f t="shared" si="431"/>
        <v>#VALUE!</v>
      </c>
      <c r="AB3136" t="str">
        <f t="shared" si="432"/>
        <v/>
      </c>
      <c r="AC3136" t="e">
        <f t="shared" si="433"/>
        <v>#VALUE!</v>
      </c>
    </row>
    <row r="3137" spans="1:29" x14ac:dyDescent="0.2">
      <c r="A3137" t="str">
        <f t="shared" si="434"/>
        <v/>
      </c>
      <c r="E3137" s="4"/>
      <c r="F3137" s="46"/>
      <c r="G3137" s="4"/>
      <c r="H3137" s="48"/>
      <c r="J3137" s="26" t="str">
        <f t="shared" si="435"/>
        <v/>
      </c>
      <c r="N3137" t="str">
        <f t="shared" si="436"/>
        <v/>
      </c>
      <c r="Q3137" t="str">
        <f t="shared" si="437"/>
        <v/>
      </c>
      <c r="S3137" t="str">
        <f>IF(A3137=1,MAX($S$2:$S3136)+1,IF(OR($I3137&lt;&gt;"",A3137="x"),$S3136,""))</f>
        <v/>
      </c>
      <c r="T3137" t="str">
        <f>IF(D3137=1,MAX($T$2:$T3136)+1,IF(S3137=S3136,$T3136,IF(D3137="x",T3136,IF(D3136="x","",""))))</f>
        <v/>
      </c>
      <c r="U3137" t="str">
        <f>IF(B3137=1,MAX($U$2:$U3136)+1,IF(AND($T3137&lt;&gt;"",$T3137=$T3136),$U3136,IF(B3137="x",U3136,"")))</f>
        <v/>
      </c>
      <c r="V3137" t="str">
        <f>IF(C3137=1,MAX($V$2:$V3136)+1,IF(AND($T3137&lt;&gt;"",$T3137=$T3136),$U3136,IF(C3137="x",V3136,"")))</f>
        <v/>
      </c>
      <c r="X3137" cm="1">
        <f t="array" ref="X3137">IF($I3137&lt;&gt;"",$I3137,INDEX($I$1:$I3137,ROW()-COUNTIFS($T$1:$T3137,"="&amp;$T3137,$S$1:$S3137,"&lt;"&amp;$S3137)))</f>
        <v>0</v>
      </c>
      <c r="Z3137" s="6">
        <f t="shared" si="430"/>
        <v>1</v>
      </c>
      <c r="AA3137" t="e">
        <f t="shared" si="431"/>
        <v>#VALUE!</v>
      </c>
      <c r="AB3137" t="str">
        <f t="shared" si="432"/>
        <v/>
      </c>
      <c r="AC3137" t="e">
        <f t="shared" si="433"/>
        <v>#VALUE!</v>
      </c>
    </row>
    <row r="3138" spans="1:29" x14ac:dyDescent="0.2">
      <c r="A3138" t="str">
        <f t="shared" si="434"/>
        <v/>
      </c>
      <c r="E3138" s="4"/>
      <c r="F3138" s="46"/>
      <c r="G3138" s="4"/>
      <c r="H3138" s="48"/>
      <c r="J3138" s="26" t="str">
        <f t="shared" si="435"/>
        <v/>
      </c>
      <c r="N3138" t="str">
        <f t="shared" si="436"/>
        <v/>
      </c>
      <c r="Q3138" t="str">
        <f t="shared" si="437"/>
        <v/>
      </c>
      <c r="S3138" t="str">
        <f>IF(A3138=1,MAX($S$2:$S3137)+1,IF(OR($I3138&lt;&gt;"",A3138="x"),$S3137,""))</f>
        <v/>
      </c>
      <c r="T3138" t="str">
        <f>IF(D3138=1,MAX($T$2:$T3137)+1,IF(S3138=S3137,$T3137,IF(D3138="x",T3137,IF(D3137="x","",""))))</f>
        <v/>
      </c>
      <c r="U3138" t="str">
        <f>IF(B3138=1,MAX($U$2:$U3137)+1,IF(AND($T3138&lt;&gt;"",$T3138=$T3137),$U3137,IF(B3138="x",U3137,"")))</f>
        <v/>
      </c>
      <c r="V3138" t="str">
        <f>IF(C3138=1,MAX($V$2:$V3137)+1,IF(AND($T3138&lt;&gt;"",$T3138=$T3137),$U3137,IF(C3138="x",V3137,"")))</f>
        <v/>
      </c>
      <c r="X3138" cm="1">
        <f t="array" ref="X3138">IF($I3138&lt;&gt;"",$I3138,INDEX($I$1:$I3138,ROW()-COUNTIFS($T$1:$T3138,"="&amp;$T3138,$S$1:$S3138,"&lt;"&amp;$S3138)))</f>
        <v>0</v>
      </c>
      <c r="Z3138" s="6">
        <f t="shared" si="430"/>
        <v>1</v>
      </c>
      <c r="AA3138" t="e">
        <f t="shared" si="431"/>
        <v>#VALUE!</v>
      </c>
      <c r="AB3138" t="str">
        <f t="shared" si="432"/>
        <v/>
      </c>
      <c r="AC3138" t="e">
        <f t="shared" si="433"/>
        <v>#VALUE!</v>
      </c>
    </row>
    <row r="3139" spans="1:29" x14ac:dyDescent="0.2">
      <c r="A3139" t="str">
        <f t="shared" si="434"/>
        <v/>
      </c>
      <c r="E3139" s="4"/>
      <c r="F3139" s="46"/>
      <c r="G3139" s="4"/>
      <c r="H3139" s="48"/>
      <c r="J3139" s="26" t="str">
        <f t="shared" si="435"/>
        <v/>
      </c>
      <c r="N3139" t="str">
        <f t="shared" si="436"/>
        <v/>
      </c>
      <c r="Q3139" t="str">
        <f t="shared" si="437"/>
        <v/>
      </c>
      <c r="S3139" t="str">
        <f>IF(A3139=1,MAX($S$2:$S3138)+1,IF(OR($I3139&lt;&gt;"",A3139="x"),$S3138,""))</f>
        <v/>
      </c>
      <c r="T3139" t="str">
        <f>IF(D3139=1,MAX($T$2:$T3138)+1,IF(S3139=S3138,$T3138,IF(D3139="x",T3138,IF(D3138="x","",""))))</f>
        <v/>
      </c>
      <c r="U3139" t="str">
        <f>IF(B3139=1,MAX($U$2:$U3138)+1,IF(AND($T3139&lt;&gt;"",$T3139=$T3138),$U3138,IF(B3139="x",U3138,"")))</f>
        <v/>
      </c>
      <c r="V3139" t="str">
        <f>IF(C3139=1,MAX($V$2:$V3138)+1,IF(AND($T3139&lt;&gt;"",$T3139=$T3138),$U3138,IF(C3139="x",V3138,"")))</f>
        <v/>
      </c>
      <c r="X3139" cm="1">
        <f t="array" ref="X3139">IF($I3139&lt;&gt;"",$I3139,INDEX($I$1:$I3139,ROW()-COUNTIFS($T$1:$T3139,"="&amp;$T3139,$S$1:$S3139,"&lt;"&amp;$S3139)))</f>
        <v>0</v>
      </c>
      <c r="Z3139" s="6">
        <f t="shared" si="430"/>
        <v>1</v>
      </c>
      <c r="AA3139" t="e">
        <f t="shared" si="431"/>
        <v>#VALUE!</v>
      </c>
      <c r="AB3139" t="str">
        <f t="shared" si="432"/>
        <v/>
      </c>
      <c r="AC3139" t="e">
        <f t="shared" si="433"/>
        <v>#VALUE!</v>
      </c>
    </row>
    <row r="3140" spans="1:29" x14ac:dyDescent="0.2">
      <c r="A3140" t="str">
        <f t="shared" si="434"/>
        <v/>
      </c>
      <c r="E3140" s="4"/>
      <c r="F3140" s="46"/>
      <c r="G3140" s="4"/>
      <c r="H3140" s="48"/>
      <c r="J3140" s="26" t="str">
        <f t="shared" si="435"/>
        <v/>
      </c>
      <c r="N3140" t="str">
        <f t="shared" si="436"/>
        <v/>
      </c>
      <c r="Q3140" t="str">
        <f t="shared" si="437"/>
        <v/>
      </c>
      <c r="S3140" t="str">
        <f>IF(A3140=1,MAX($S$2:$S3139)+1,IF(OR($I3140&lt;&gt;"",A3140="x"),$S3139,""))</f>
        <v/>
      </c>
      <c r="T3140" t="str">
        <f>IF(D3140=1,MAX($T$2:$T3139)+1,IF(S3140=S3139,$T3139,IF(D3140="x",T3139,IF(D3139="x","",""))))</f>
        <v/>
      </c>
      <c r="U3140" t="str">
        <f>IF(B3140=1,MAX($U$2:$U3139)+1,IF(AND($T3140&lt;&gt;"",$T3140=$T3139),$U3139,IF(B3140="x",U3139,"")))</f>
        <v/>
      </c>
      <c r="V3140" t="str">
        <f>IF(C3140=1,MAX($V$2:$V3139)+1,IF(AND($T3140&lt;&gt;"",$T3140=$T3139),$U3139,IF(C3140="x",V3139,"")))</f>
        <v/>
      </c>
      <c r="X3140" cm="1">
        <f t="array" ref="X3140">IF($I3140&lt;&gt;"",$I3140,INDEX($I$1:$I3140,ROW()-COUNTIFS($T$1:$T3140,"="&amp;$T3140,$S$1:$S3140,"&lt;"&amp;$S3140)))</f>
        <v>0</v>
      </c>
      <c r="Z3140" s="6">
        <f t="shared" si="430"/>
        <v>1</v>
      </c>
      <c r="AA3140" t="e">
        <f t="shared" si="431"/>
        <v>#VALUE!</v>
      </c>
      <c r="AB3140" t="str">
        <f t="shared" si="432"/>
        <v/>
      </c>
      <c r="AC3140" t="e">
        <f t="shared" si="433"/>
        <v>#VALUE!</v>
      </c>
    </row>
    <row r="3141" spans="1:29" x14ac:dyDescent="0.2">
      <c r="A3141" t="str">
        <f t="shared" si="434"/>
        <v/>
      </c>
      <c r="E3141" s="4"/>
      <c r="F3141" s="46"/>
      <c r="G3141" s="4"/>
      <c r="H3141" s="48"/>
      <c r="J3141" s="26" t="str">
        <f t="shared" si="435"/>
        <v/>
      </c>
      <c r="N3141" t="str">
        <f t="shared" si="436"/>
        <v/>
      </c>
      <c r="Q3141" t="str">
        <f t="shared" si="437"/>
        <v/>
      </c>
      <c r="S3141" t="str">
        <f>IF(A3141=1,MAX($S$2:$S3140)+1,IF(OR($I3141&lt;&gt;"",A3141="x"),$S3140,""))</f>
        <v/>
      </c>
      <c r="T3141" t="str">
        <f>IF(D3141=1,MAX($T$2:$T3140)+1,IF(S3141=S3140,$T3140,IF(D3141="x",T3140,IF(D3140="x","",""))))</f>
        <v/>
      </c>
      <c r="U3141" t="str">
        <f>IF(B3141=1,MAX($U$2:$U3140)+1,IF(AND($T3141&lt;&gt;"",$T3141=$T3140),$U3140,IF(B3141="x",U3140,"")))</f>
        <v/>
      </c>
      <c r="V3141" t="str">
        <f>IF(C3141=1,MAX($V$2:$V3140)+1,IF(AND($T3141&lt;&gt;"",$T3141=$T3140),$U3140,IF(C3141="x",V3140,"")))</f>
        <v/>
      </c>
      <c r="X3141" cm="1">
        <f t="array" ref="X3141">IF($I3141&lt;&gt;"",$I3141,INDEX($I$1:$I3141,ROW()-COUNTIFS($T$1:$T3141,"="&amp;$T3141,$S$1:$S3141,"&lt;"&amp;$S3141)))</f>
        <v>0</v>
      </c>
      <c r="Z3141" s="6">
        <f t="shared" ref="Z3141:Z3204" si="438">IF(K3141="Intermission",Z3140+1,Z3140)</f>
        <v>1</v>
      </c>
      <c r="AA3141" t="e">
        <f t="shared" ref="AA3141:AA3204" si="439">S3141+1000</f>
        <v>#VALUE!</v>
      </c>
      <c r="AB3141" t="str">
        <f t="shared" ref="AB3141:AB3204" si="440">IF(T3141&lt;&gt;"",9000+T3141,"")</f>
        <v/>
      </c>
      <c r="AC3141" t="e">
        <f t="shared" ref="AC3141:AC3204" si="441">IF(AB3141&lt;&gt;"",AB3141,S3141+1000)</f>
        <v>#VALUE!</v>
      </c>
    </row>
    <row r="3142" spans="1:29" x14ac:dyDescent="0.2">
      <c r="A3142" t="str">
        <f t="shared" si="434"/>
        <v/>
      </c>
      <c r="E3142" s="4"/>
      <c r="F3142" s="46"/>
      <c r="G3142" s="4"/>
      <c r="H3142" s="48"/>
      <c r="J3142" s="26" t="str">
        <f t="shared" si="435"/>
        <v/>
      </c>
      <c r="N3142" t="str">
        <f t="shared" si="436"/>
        <v/>
      </c>
      <c r="Q3142" t="str">
        <f t="shared" si="437"/>
        <v/>
      </c>
      <c r="S3142" t="str">
        <f>IF(A3142=1,MAX($S$2:$S3141)+1,IF(OR($I3142&lt;&gt;"",A3142="x"),$S3141,""))</f>
        <v/>
      </c>
      <c r="T3142" t="str">
        <f>IF(D3142=1,MAX($T$2:$T3141)+1,IF(S3142=S3141,$T3141,IF(D3142="x",T3141,IF(D3141="x","",""))))</f>
        <v/>
      </c>
      <c r="U3142" t="str">
        <f>IF(B3142=1,MAX($U$2:$U3141)+1,IF(AND($T3142&lt;&gt;"",$T3142=$T3141),$U3141,IF(B3142="x",U3141,"")))</f>
        <v/>
      </c>
      <c r="V3142" t="str">
        <f>IF(C3142=1,MAX($V$2:$V3141)+1,IF(AND($T3142&lt;&gt;"",$T3142=$T3141),$U3141,IF(C3142="x",V3141,"")))</f>
        <v/>
      </c>
      <c r="X3142" cm="1">
        <f t="array" ref="X3142">IF($I3142&lt;&gt;"",$I3142,INDEX($I$1:$I3142,ROW()-COUNTIFS($T$1:$T3142,"="&amp;$T3142,$S$1:$S3142,"&lt;"&amp;$S3142)))</f>
        <v>0</v>
      </c>
      <c r="Z3142" s="6">
        <f t="shared" si="438"/>
        <v>1</v>
      </c>
      <c r="AA3142" t="e">
        <f t="shared" si="439"/>
        <v>#VALUE!</v>
      </c>
      <c r="AB3142" t="str">
        <f t="shared" si="440"/>
        <v/>
      </c>
      <c r="AC3142" t="e">
        <f t="shared" si="441"/>
        <v>#VALUE!</v>
      </c>
    </row>
    <row r="3143" spans="1:29" x14ac:dyDescent="0.2">
      <c r="A3143" t="str">
        <f t="shared" si="434"/>
        <v/>
      </c>
      <c r="E3143" s="4"/>
      <c r="F3143" s="46"/>
      <c r="G3143" s="4"/>
      <c r="H3143" s="48"/>
      <c r="J3143" s="26" t="str">
        <f t="shared" si="435"/>
        <v/>
      </c>
      <c r="N3143" t="str">
        <f t="shared" si="436"/>
        <v/>
      </c>
      <c r="Q3143" t="str">
        <f t="shared" si="437"/>
        <v/>
      </c>
      <c r="S3143" t="str">
        <f>IF(A3143=1,MAX($S$2:$S3142)+1,IF(OR($I3143&lt;&gt;"",A3143="x"),$S3142,""))</f>
        <v/>
      </c>
      <c r="T3143" t="str">
        <f>IF(D3143=1,MAX($T$2:$T3142)+1,IF(S3143=S3142,$T3142,IF(D3143="x",T3142,IF(D3142="x","",""))))</f>
        <v/>
      </c>
      <c r="U3143" t="str">
        <f>IF(B3143=1,MAX($U$2:$U3142)+1,IF(AND($T3143&lt;&gt;"",$T3143=$T3142),$U3142,IF(B3143="x",U3142,"")))</f>
        <v/>
      </c>
      <c r="V3143" t="str">
        <f>IF(C3143=1,MAX($V$2:$V3142)+1,IF(AND($T3143&lt;&gt;"",$T3143=$T3142),$U3142,IF(C3143="x",V3142,"")))</f>
        <v/>
      </c>
      <c r="X3143" cm="1">
        <f t="array" ref="X3143">IF($I3143&lt;&gt;"",$I3143,INDEX($I$1:$I3143,ROW()-COUNTIFS($T$1:$T3143,"="&amp;$T3143,$S$1:$S3143,"&lt;"&amp;$S3143)))</f>
        <v>0</v>
      </c>
      <c r="Z3143" s="6">
        <f t="shared" si="438"/>
        <v>1</v>
      </c>
      <c r="AA3143" t="e">
        <f t="shared" si="439"/>
        <v>#VALUE!</v>
      </c>
      <c r="AB3143" t="str">
        <f t="shared" si="440"/>
        <v/>
      </c>
      <c r="AC3143" t="e">
        <f t="shared" si="441"/>
        <v>#VALUE!</v>
      </c>
    </row>
    <row r="3144" spans="1:29" x14ac:dyDescent="0.2">
      <c r="A3144" t="str">
        <f t="shared" si="434"/>
        <v/>
      </c>
      <c r="E3144" s="4"/>
      <c r="F3144" s="46"/>
      <c r="G3144" s="4"/>
      <c r="H3144" s="48"/>
      <c r="J3144" s="26" t="str">
        <f t="shared" si="435"/>
        <v/>
      </c>
      <c r="N3144" t="str">
        <f t="shared" si="436"/>
        <v/>
      </c>
      <c r="Q3144" t="str">
        <f t="shared" si="437"/>
        <v/>
      </c>
      <c r="S3144" t="str">
        <f>IF(A3144=1,MAX($S$2:$S3143)+1,IF(OR($I3144&lt;&gt;"",A3144="x"),$S3143,""))</f>
        <v/>
      </c>
      <c r="T3144" t="str">
        <f>IF(D3144=1,MAX($T$2:$T3143)+1,IF(S3144=S3143,$T3143,IF(D3144="x",T3143,IF(D3143="x","",""))))</f>
        <v/>
      </c>
      <c r="U3144" t="str">
        <f>IF(B3144=1,MAX($U$2:$U3143)+1,IF(AND($T3144&lt;&gt;"",$T3144=$T3143),$U3143,IF(B3144="x",U3143,"")))</f>
        <v/>
      </c>
      <c r="V3144" t="str">
        <f>IF(C3144=1,MAX($V$2:$V3143)+1,IF(AND($T3144&lt;&gt;"",$T3144=$T3143),$U3143,IF(C3144="x",V3143,"")))</f>
        <v/>
      </c>
      <c r="X3144" cm="1">
        <f t="array" ref="X3144">IF($I3144&lt;&gt;"",$I3144,INDEX($I$1:$I3144,ROW()-COUNTIFS($T$1:$T3144,"="&amp;$T3144,$S$1:$S3144,"&lt;"&amp;$S3144)))</f>
        <v>0</v>
      </c>
      <c r="Z3144" s="6">
        <f t="shared" si="438"/>
        <v>1</v>
      </c>
      <c r="AA3144" t="e">
        <f t="shared" si="439"/>
        <v>#VALUE!</v>
      </c>
      <c r="AB3144" t="str">
        <f t="shared" si="440"/>
        <v/>
      </c>
      <c r="AC3144" t="e">
        <f t="shared" si="441"/>
        <v>#VALUE!</v>
      </c>
    </row>
    <row r="3145" spans="1:29" x14ac:dyDescent="0.2">
      <c r="A3145" t="str">
        <f t="shared" si="434"/>
        <v/>
      </c>
      <c r="E3145" s="4"/>
      <c r="F3145" s="46"/>
      <c r="G3145" s="4"/>
      <c r="H3145" s="48"/>
      <c r="J3145" s="26" t="str">
        <f t="shared" si="435"/>
        <v/>
      </c>
      <c r="N3145" t="str">
        <f t="shared" si="436"/>
        <v/>
      </c>
      <c r="Q3145" t="str">
        <f t="shared" si="437"/>
        <v/>
      </c>
      <c r="S3145" t="str">
        <f>IF(A3145=1,MAX($S$2:$S3144)+1,IF(OR($I3145&lt;&gt;"",A3145="x"),$S3144,""))</f>
        <v/>
      </c>
      <c r="T3145" t="str">
        <f>IF(D3145=1,MAX($T$2:$T3144)+1,IF(S3145=S3144,$T3144,IF(D3145="x",T3144,IF(D3144="x","",""))))</f>
        <v/>
      </c>
      <c r="U3145" t="str">
        <f>IF(B3145=1,MAX($U$2:$U3144)+1,IF(AND($T3145&lt;&gt;"",$T3145=$T3144),$U3144,IF(B3145="x",U3144,"")))</f>
        <v/>
      </c>
      <c r="V3145" t="str">
        <f>IF(C3145=1,MAX($V$2:$V3144)+1,IF(AND($T3145&lt;&gt;"",$T3145=$T3144),$U3144,IF(C3145="x",V3144,"")))</f>
        <v/>
      </c>
      <c r="X3145" cm="1">
        <f t="array" ref="X3145">IF($I3145&lt;&gt;"",$I3145,INDEX($I$1:$I3145,ROW()-COUNTIFS($T$1:$T3145,"="&amp;$T3145,$S$1:$S3145,"&lt;"&amp;$S3145)))</f>
        <v>0</v>
      </c>
      <c r="Z3145" s="6">
        <f t="shared" si="438"/>
        <v>1</v>
      </c>
      <c r="AA3145" t="e">
        <f t="shared" si="439"/>
        <v>#VALUE!</v>
      </c>
      <c r="AB3145" t="str">
        <f t="shared" si="440"/>
        <v/>
      </c>
      <c r="AC3145" t="e">
        <f t="shared" si="441"/>
        <v>#VALUE!</v>
      </c>
    </row>
    <row r="3146" spans="1:29" x14ac:dyDescent="0.2">
      <c r="A3146" t="str">
        <f t="shared" si="434"/>
        <v/>
      </c>
      <c r="E3146" s="4"/>
      <c r="F3146" s="46"/>
      <c r="G3146" s="4"/>
      <c r="H3146" s="48"/>
      <c r="J3146" s="26" t="str">
        <f t="shared" si="435"/>
        <v/>
      </c>
      <c r="N3146" t="str">
        <f t="shared" si="436"/>
        <v/>
      </c>
      <c r="Q3146" t="str">
        <f t="shared" si="437"/>
        <v/>
      </c>
      <c r="S3146" t="str">
        <f>IF(A3146=1,MAX($S$2:$S3145)+1,IF(OR($I3146&lt;&gt;"",A3146="x"),$S3145,""))</f>
        <v/>
      </c>
      <c r="T3146" t="str">
        <f>IF(D3146=1,MAX($T$2:$T3145)+1,IF(S3146=S3145,$T3145,IF(D3146="x",T3145,IF(D3145="x","",""))))</f>
        <v/>
      </c>
      <c r="U3146" t="str">
        <f>IF(B3146=1,MAX($U$2:$U3145)+1,IF(AND($T3146&lt;&gt;"",$T3146=$T3145),$U3145,IF(B3146="x",U3145,"")))</f>
        <v/>
      </c>
      <c r="V3146" t="str">
        <f>IF(C3146=1,MAX($V$2:$V3145)+1,IF(AND($T3146&lt;&gt;"",$T3146=$T3145),$U3145,IF(C3146="x",V3145,"")))</f>
        <v/>
      </c>
      <c r="X3146" cm="1">
        <f t="array" ref="X3146">IF($I3146&lt;&gt;"",$I3146,INDEX($I$1:$I3146,ROW()-COUNTIFS($T$1:$T3146,"="&amp;$T3146,$S$1:$S3146,"&lt;"&amp;$S3146)))</f>
        <v>0</v>
      </c>
      <c r="Z3146" s="6">
        <f t="shared" si="438"/>
        <v>1</v>
      </c>
      <c r="AA3146" t="e">
        <f t="shared" si="439"/>
        <v>#VALUE!</v>
      </c>
      <c r="AB3146" t="str">
        <f t="shared" si="440"/>
        <v/>
      </c>
      <c r="AC3146" t="e">
        <f t="shared" si="441"/>
        <v>#VALUE!</v>
      </c>
    </row>
    <row r="3147" spans="1:29" x14ac:dyDescent="0.2">
      <c r="A3147" t="str">
        <f t="shared" si="434"/>
        <v/>
      </c>
      <c r="E3147" s="4"/>
      <c r="F3147" s="46"/>
      <c r="G3147" s="4"/>
      <c r="H3147" s="48"/>
      <c r="J3147" s="26" t="str">
        <f t="shared" si="435"/>
        <v/>
      </c>
      <c r="N3147" t="str">
        <f t="shared" si="436"/>
        <v/>
      </c>
      <c r="Q3147" t="str">
        <f t="shared" si="437"/>
        <v/>
      </c>
      <c r="S3147" t="str">
        <f>IF(A3147=1,MAX($S$2:$S3146)+1,IF(OR($I3147&lt;&gt;"",A3147="x"),$S3146,""))</f>
        <v/>
      </c>
      <c r="T3147" t="str">
        <f>IF(D3147=1,MAX($T$2:$T3146)+1,IF(S3147=S3146,$T3146,IF(D3147="x",T3146,IF(D3146="x","",""))))</f>
        <v/>
      </c>
      <c r="U3147" t="str">
        <f>IF(B3147=1,MAX($U$2:$U3146)+1,IF(AND($T3147&lt;&gt;"",$T3147=$T3146),$U3146,IF(B3147="x",U3146,"")))</f>
        <v/>
      </c>
      <c r="V3147" t="str">
        <f>IF(C3147=1,MAX($V$2:$V3146)+1,IF(AND($T3147&lt;&gt;"",$T3147=$T3146),$U3146,IF(C3147="x",V3146,"")))</f>
        <v/>
      </c>
      <c r="X3147" cm="1">
        <f t="array" ref="X3147">IF($I3147&lt;&gt;"",$I3147,INDEX($I$1:$I3147,ROW()-COUNTIFS($T$1:$T3147,"="&amp;$T3147,$S$1:$S3147,"&lt;"&amp;$S3147)))</f>
        <v>0</v>
      </c>
      <c r="Z3147" s="6">
        <f t="shared" si="438"/>
        <v>1</v>
      </c>
      <c r="AA3147" t="e">
        <f t="shared" si="439"/>
        <v>#VALUE!</v>
      </c>
      <c r="AB3147" t="str">
        <f t="shared" si="440"/>
        <v/>
      </c>
      <c r="AC3147" t="e">
        <f t="shared" si="441"/>
        <v>#VALUE!</v>
      </c>
    </row>
    <row r="3148" spans="1:29" x14ac:dyDescent="0.2">
      <c r="A3148" t="str">
        <f t="shared" si="434"/>
        <v/>
      </c>
      <c r="E3148" s="4"/>
      <c r="F3148" s="46"/>
      <c r="G3148" s="4"/>
      <c r="H3148" s="48"/>
      <c r="J3148" s="26" t="str">
        <f t="shared" si="435"/>
        <v/>
      </c>
      <c r="N3148" t="str">
        <f t="shared" si="436"/>
        <v/>
      </c>
      <c r="Q3148" t="str">
        <f t="shared" si="437"/>
        <v/>
      </c>
      <c r="S3148" t="str">
        <f>IF(A3148=1,MAX($S$2:$S3147)+1,IF(OR($I3148&lt;&gt;"",A3148="x"),$S3147,""))</f>
        <v/>
      </c>
      <c r="T3148" t="str">
        <f>IF(D3148=1,MAX($T$2:$T3147)+1,IF(S3148=S3147,$T3147,IF(D3148="x",T3147,IF(D3147="x","",""))))</f>
        <v/>
      </c>
      <c r="U3148" t="str">
        <f>IF(B3148=1,MAX($U$2:$U3147)+1,IF(AND($T3148&lt;&gt;"",$T3148=$T3147),$U3147,IF(B3148="x",U3147,"")))</f>
        <v/>
      </c>
      <c r="V3148" t="str">
        <f>IF(C3148=1,MAX($V$2:$V3147)+1,IF(AND($T3148&lt;&gt;"",$T3148=$T3147),$U3147,IF(C3148="x",V3147,"")))</f>
        <v/>
      </c>
      <c r="X3148" cm="1">
        <f t="array" ref="X3148">IF($I3148&lt;&gt;"",$I3148,INDEX($I$1:$I3148,ROW()-COUNTIFS($T$1:$T3148,"="&amp;$T3148,$S$1:$S3148,"&lt;"&amp;$S3148)))</f>
        <v>0</v>
      </c>
      <c r="Z3148" s="6">
        <f t="shared" si="438"/>
        <v>1</v>
      </c>
      <c r="AA3148" t="e">
        <f t="shared" si="439"/>
        <v>#VALUE!</v>
      </c>
      <c r="AB3148" t="str">
        <f t="shared" si="440"/>
        <v/>
      </c>
      <c r="AC3148" t="e">
        <f t="shared" si="441"/>
        <v>#VALUE!</v>
      </c>
    </row>
    <row r="3149" spans="1:29" x14ac:dyDescent="0.2">
      <c r="A3149" t="str">
        <f t="shared" si="434"/>
        <v/>
      </c>
      <c r="E3149" s="4"/>
      <c r="F3149" s="46"/>
      <c r="G3149" s="4"/>
      <c r="H3149" s="48"/>
      <c r="J3149" s="26" t="str">
        <f t="shared" si="435"/>
        <v/>
      </c>
      <c r="N3149" t="str">
        <f t="shared" si="436"/>
        <v/>
      </c>
      <c r="Q3149" t="str">
        <f t="shared" si="437"/>
        <v/>
      </c>
      <c r="S3149" t="str">
        <f>IF(A3149=1,MAX($S$2:$S3148)+1,IF(OR($I3149&lt;&gt;"",A3149="x"),$S3148,""))</f>
        <v/>
      </c>
      <c r="T3149" t="str">
        <f>IF(D3149=1,MAX($T$2:$T3148)+1,IF(S3149=S3148,$T3148,IF(D3149="x",T3148,IF(D3148="x","",""))))</f>
        <v/>
      </c>
      <c r="U3149" t="str">
        <f>IF(B3149=1,MAX($U$2:$U3148)+1,IF(AND($T3149&lt;&gt;"",$T3149=$T3148),$U3148,IF(B3149="x",U3148,"")))</f>
        <v/>
      </c>
      <c r="V3149" t="str">
        <f>IF(C3149=1,MAX($V$2:$V3148)+1,IF(AND($T3149&lt;&gt;"",$T3149=$T3148),$U3148,IF(C3149="x",V3148,"")))</f>
        <v/>
      </c>
      <c r="X3149" cm="1">
        <f t="array" ref="X3149">IF($I3149&lt;&gt;"",$I3149,INDEX($I$1:$I3149,ROW()-COUNTIFS($T$1:$T3149,"="&amp;$T3149,$S$1:$S3149,"&lt;"&amp;$S3149)))</f>
        <v>0</v>
      </c>
      <c r="Z3149" s="6">
        <f t="shared" si="438"/>
        <v>1</v>
      </c>
      <c r="AA3149" t="e">
        <f t="shared" si="439"/>
        <v>#VALUE!</v>
      </c>
      <c r="AB3149" t="str">
        <f t="shared" si="440"/>
        <v/>
      </c>
      <c r="AC3149" t="e">
        <f t="shared" si="441"/>
        <v>#VALUE!</v>
      </c>
    </row>
    <row r="3150" spans="1:29" x14ac:dyDescent="0.2">
      <c r="A3150" t="str">
        <f t="shared" si="434"/>
        <v/>
      </c>
      <c r="E3150" s="4"/>
      <c r="F3150" s="46"/>
      <c r="G3150" s="4"/>
      <c r="H3150" s="48"/>
      <c r="J3150" s="26" t="str">
        <f t="shared" si="435"/>
        <v/>
      </c>
      <c r="N3150" t="str">
        <f t="shared" si="436"/>
        <v/>
      </c>
      <c r="Q3150" t="str">
        <f t="shared" si="437"/>
        <v/>
      </c>
      <c r="S3150" t="str">
        <f>IF(A3150=1,MAX($S$2:$S3149)+1,IF(OR($I3150&lt;&gt;"",A3150="x"),$S3149,""))</f>
        <v/>
      </c>
      <c r="T3150" t="str">
        <f>IF(D3150=1,MAX($T$2:$T3149)+1,IF(S3150=S3149,$T3149,IF(D3150="x",T3149,IF(D3149="x","",""))))</f>
        <v/>
      </c>
      <c r="U3150" t="str">
        <f>IF(B3150=1,MAX($U$2:$U3149)+1,IF(AND($T3150&lt;&gt;"",$T3150=$T3149),$U3149,IF(B3150="x",U3149,"")))</f>
        <v/>
      </c>
      <c r="V3150" t="str">
        <f>IF(C3150=1,MAX($V$2:$V3149)+1,IF(AND($T3150&lt;&gt;"",$T3150=$T3149),$U3149,IF(C3150="x",V3149,"")))</f>
        <v/>
      </c>
      <c r="X3150" cm="1">
        <f t="array" ref="X3150">IF($I3150&lt;&gt;"",$I3150,INDEX($I$1:$I3150,ROW()-COUNTIFS($T$1:$T3150,"="&amp;$T3150,$S$1:$S3150,"&lt;"&amp;$S3150)))</f>
        <v>0</v>
      </c>
      <c r="Z3150" s="6">
        <f t="shared" si="438"/>
        <v>1</v>
      </c>
      <c r="AA3150" t="e">
        <f t="shared" si="439"/>
        <v>#VALUE!</v>
      </c>
      <c r="AB3150" t="str">
        <f t="shared" si="440"/>
        <v/>
      </c>
      <c r="AC3150" t="e">
        <f t="shared" si="441"/>
        <v>#VALUE!</v>
      </c>
    </row>
    <row r="3151" spans="1:29" x14ac:dyDescent="0.2">
      <c r="A3151" t="str">
        <f t="shared" si="434"/>
        <v/>
      </c>
      <c r="E3151" s="4"/>
      <c r="F3151" s="46"/>
      <c r="G3151" s="4"/>
      <c r="H3151" s="48"/>
      <c r="J3151" s="26" t="str">
        <f t="shared" si="435"/>
        <v/>
      </c>
      <c r="N3151" t="str">
        <f t="shared" si="436"/>
        <v/>
      </c>
      <c r="Q3151" t="str">
        <f t="shared" si="437"/>
        <v/>
      </c>
      <c r="S3151" t="str">
        <f>IF(A3151=1,MAX($S$2:$S3150)+1,IF(OR($I3151&lt;&gt;"",A3151="x"),$S3150,""))</f>
        <v/>
      </c>
      <c r="T3151" t="str">
        <f>IF(D3151=1,MAX($T$2:$T3150)+1,IF(S3151=S3150,$T3150,IF(D3151="x",T3150,IF(D3150="x","",""))))</f>
        <v/>
      </c>
      <c r="U3151" t="str">
        <f>IF(B3151=1,MAX($U$2:$U3150)+1,IF(AND($T3151&lt;&gt;"",$T3151=$T3150),$U3150,IF(B3151="x",U3150,"")))</f>
        <v/>
      </c>
      <c r="V3151" t="str">
        <f>IF(C3151=1,MAX($V$2:$V3150)+1,IF(AND($T3151&lt;&gt;"",$T3151=$T3150),$U3150,IF(C3151="x",V3150,"")))</f>
        <v/>
      </c>
      <c r="X3151" cm="1">
        <f t="array" ref="X3151">IF($I3151&lt;&gt;"",$I3151,INDEX($I$1:$I3151,ROW()-COUNTIFS($T$1:$T3151,"="&amp;$T3151,$S$1:$S3151,"&lt;"&amp;$S3151)))</f>
        <v>0</v>
      </c>
      <c r="Z3151" s="6">
        <f t="shared" si="438"/>
        <v>1</v>
      </c>
      <c r="AA3151" t="e">
        <f t="shared" si="439"/>
        <v>#VALUE!</v>
      </c>
      <c r="AB3151" t="str">
        <f t="shared" si="440"/>
        <v/>
      </c>
      <c r="AC3151" t="e">
        <f t="shared" si="441"/>
        <v>#VALUE!</v>
      </c>
    </row>
    <row r="3152" spans="1:29" x14ac:dyDescent="0.2">
      <c r="A3152" t="str">
        <f t="shared" si="434"/>
        <v/>
      </c>
      <c r="E3152" s="4"/>
      <c r="F3152" s="46"/>
      <c r="G3152" s="4"/>
      <c r="H3152" s="48"/>
      <c r="J3152" s="26" t="str">
        <f t="shared" si="435"/>
        <v/>
      </c>
      <c r="N3152" t="str">
        <f t="shared" si="436"/>
        <v/>
      </c>
      <c r="Q3152" t="str">
        <f t="shared" si="437"/>
        <v/>
      </c>
      <c r="S3152" t="str">
        <f>IF(A3152=1,MAX($S$2:$S3151)+1,IF(OR($I3152&lt;&gt;"",A3152="x"),$S3151,""))</f>
        <v/>
      </c>
      <c r="T3152" t="str">
        <f>IF(D3152=1,MAX($T$2:$T3151)+1,IF(S3152=S3151,$T3151,IF(D3152="x",T3151,IF(D3151="x","",""))))</f>
        <v/>
      </c>
      <c r="U3152" t="str">
        <f>IF(B3152=1,MAX($U$2:$U3151)+1,IF(AND($T3152&lt;&gt;"",$T3152=$T3151),$U3151,IF(B3152="x",U3151,"")))</f>
        <v/>
      </c>
      <c r="V3152" t="str">
        <f>IF(C3152=1,MAX($V$2:$V3151)+1,IF(AND($T3152&lt;&gt;"",$T3152=$T3151),$U3151,IF(C3152="x",V3151,"")))</f>
        <v/>
      </c>
      <c r="X3152" cm="1">
        <f t="array" ref="X3152">IF($I3152&lt;&gt;"",$I3152,INDEX($I$1:$I3152,ROW()-COUNTIFS($T$1:$T3152,"="&amp;$T3152,$S$1:$S3152,"&lt;"&amp;$S3152)))</f>
        <v>0</v>
      </c>
      <c r="Z3152" s="6">
        <f t="shared" si="438"/>
        <v>1</v>
      </c>
      <c r="AA3152" t="e">
        <f t="shared" si="439"/>
        <v>#VALUE!</v>
      </c>
      <c r="AB3152" t="str">
        <f t="shared" si="440"/>
        <v/>
      </c>
      <c r="AC3152" t="e">
        <f t="shared" si="441"/>
        <v>#VALUE!</v>
      </c>
    </row>
    <row r="3153" spans="1:29" x14ac:dyDescent="0.2">
      <c r="A3153" t="str">
        <f t="shared" si="434"/>
        <v/>
      </c>
      <c r="E3153" s="4"/>
      <c r="F3153" s="46"/>
      <c r="G3153" s="4"/>
      <c r="H3153" s="48"/>
      <c r="J3153" s="26" t="str">
        <f t="shared" si="435"/>
        <v/>
      </c>
      <c r="N3153" t="str">
        <f t="shared" si="436"/>
        <v/>
      </c>
      <c r="Q3153" t="str">
        <f t="shared" si="437"/>
        <v/>
      </c>
      <c r="S3153" t="str">
        <f>IF(A3153=1,MAX($S$2:$S3152)+1,IF(OR($I3153&lt;&gt;"",A3153="x"),$S3152,""))</f>
        <v/>
      </c>
      <c r="T3153" t="str">
        <f>IF(D3153=1,MAX($T$2:$T3152)+1,IF(S3153=S3152,$T3152,IF(D3153="x",T3152,IF(D3152="x","",""))))</f>
        <v/>
      </c>
      <c r="U3153" t="str">
        <f>IF(B3153=1,MAX($U$2:$U3152)+1,IF(AND($T3153&lt;&gt;"",$T3153=$T3152),$U3152,IF(B3153="x",U3152,"")))</f>
        <v/>
      </c>
      <c r="V3153" t="str">
        <f>IF(C3153=1,MAX($V$2:$V3152)+1,IF(AND($T3153&lt;&gt;"",$T3153=$T3152),$U3152,IF(C3153="x",V3152,"")))</f>
        <v/>
      </c>
      <c r="X3153" cm="1">
        <f t="array" ref="X3153">IF($I3153&lt;&gt;"",$I3153,INDEX($I$1:$I3153,ROW()-COUNTIFS($T$1:$T3153,"="&amp;$T3153,$S$1:$S3153,"&lt;"&amp;$S3153)))</f>
        <v>0</v>
      </c>
      <c r="Z3153" s="6">
        <f t="shared" si="438"/>
        <v>1</v>
      </c>
      <c r="AA3153" t="e">
        <f t="shared" si="439"/>
        <v>#VALUE!</v>
      </c>
      <c r="AB3153" t="str">
        <f t="shared" si="440"/>
        <v/>
      </c>
      <c r="AC3153" t="e">
        <f t="shared" si="441"/>
        <v>#VALUE!</v>
      </c>
    </row>
    <row r="3154" spans="1:29" x14ac:dyDescent="0.2">
      <c r="A3154" t="str">
        <f t="shared" si="434"/>
        <v/>
      </c>
      <c r="E3154" s="4"/>
      <c r="F3154" s="46"/>
      <c r="G3154" s="4"/>
      <c r="H3154" s="48"/>
      <c r="J3154" s="26" t="str">
        <f t="shared" si="435"/>
        <v/>
      </c>
      <c r="N3154" t="str">
        <f t="shared" si="436"/>
        <v/>
      </c>
      <c r="Q3154" t="str">
        <f t="shared" si="437"/>
        <v/>
      </c>
      <c r="S3154" t="str">
        <f>IF(A3154=1,MAX($S$2:$S3153)+1,IF(OR($I3154&lt;&gt;"",A3154="x"),$S3153,""))</f>
        <v/>
      </c>
      <c r="T3154" t="str">
        <f>IF(D3154=1,MAX($T$2:$T3153)+1,IF(S3154=S3153,$T3153,IF(D3154="x",T3153,IF(D3153="x","",""))))</f>
        <v/>
      </c>
      <c r="U3154" t="str">
        <f>IF(B3154=1,MAX($U$2:$U3153)+1,IF(AND($T3154&lt;&gt;"",$T3154=$T3153),$U3153,IF(B3154="x",U3153,"")))</f>
        <v/>
      </c>
      <c r="V3154" t="str">
        <f>IF(C3154=1,MAX($V$2:$V3153)+1,IF(AND($T3154&lt;&gt;"",$T3154=$T3153),$U3153,IF(C3154="x",V3153,"")))</f>
        <v/>
      </c>
      <c r="X3154" cm="1">
        <f t="array" ref="X3154">IF($I3154&lt;&gt;"",$I3154,INDEX($I$1:$I3154,ROW()-COUNTIFS($T$1:$T3154,"="&amp;$T3154,$S$1:$S3154,"&lt;"&amp;$S3154)))</f>
        <v>0</v>
      </c>
      <c r="Z3154" s="6">
        <f t="shared" si="438"/>
        <v>1</v>
      </c>
      <c r="AA3154" t="e">
        <f t="shared" si="439"/>
        <v>#VALUE!</v>
      </c>
      <c r="AB3154" t="str">
        <f t="shared" si="440"/>
        <v/>
      </c>
      <c r="AC3154" t="e">
        <f t="shared" si="441"/>
        <v>#VALUE!</v>
      </c>
    </row>
    <row r="3155" spans="1:29" x14ac:dyDescent="0.2">
      <c r="A3155" t="str">
        <f t="shared" ref="A3155:A3218" si="442">IF(K3155&lt;&gt;"",1,IF(D3155="x","x",""))</f>
        <v/>
      </c>
      <c r="E3155" s="4"/>
      <c r="F3155" s="46"/>
      <c r="G3155" s="4"/>
      <c r="H3155" s="48"/>
      <c r="J3155" s="26" t="str">
        <f t="shared" ref="J3155:J3218" si="443">IF(OR(K3155="Goal",K3155="Shot",L3155="Zone_Entry",M3155="Stoppage-Goal",M3154="Stoppage-Goal"),"o",IF(OR(K3155="Save",K3155="Rebound",L3155="Zone_Exit",M3155="Stoppage-GoalieStoppage",M3154="Stoppage-GoalieStoppage"),"d",IF(OR(L3155="Faceoff_AfterGoal",L3155="Faceoff_PeriodStart",698="Faceoff_GameStart",M3154="Stoppage-Goal"),"n","")))</f>
        <v/>
      </c>
      <c r="N3155" t="str">
        <f t="shared" ref="N3155:N3218" si="444">IF(K3155="","",IF(K3155="Goal","s",IF(AND(K3155="Zone_Entry_Exit",OR(ISNUMBER(SEARCH("fail",L3155)),ISNUMBER(SEARCH("FromExitClear",M3155)),ISNUMBER(SEARCH("miss",M3155)))),"u",IF(AND(K3155="Zone_Entry_Exit",OR(NOT(ISNUMBER(SEARCH("fail",L3155))),NOT(ISNUMBER(SEARCH("FromExitClear",M3155))),NOT(ISNUMBER(SEARCH("miss",M3155))))),"s",IF(AND(OR(K3155="Shot",K3155="Pass"),OR(ISNUMBER(SEARCH("complete",L3155)),ISNUMBER(SEARCH("goal",L3155)),ISNUMBER(SEARCH("OnNet",L3155)))),"s",IF(L3155="Turnover_Giveaway","u",IF(AND(OR(K3155="Shot",K3155="Pass"),OR(ISNUMBER(SEARCH("fail",L3155)),NOT(ISNUMBER(SEARCH("complete",L3155))),NOT(ISNUMBER(SEARCH("OnNet",L3155))))),"u","")))))))</f>
        <v/>
      </c>
      <c r="Q3155" t="str">
        <f t="shared" ref="Q3155:Q3218" si="445">IF(O3155="","",IF(AND(N3155&lt;&gt;"",OR(O3155&lt;&gt;"",P3155&lt;&gt;"")),N3155,IF(OR(ISNUMBER(SEARCH("attemp",O3155)),ISNUMBER(SEARCH("beat",O3155)),ISNUMBER(SEARCH("mis",O3155)),ISNUMBER(SEARCH("fail",O3155)),ISNUMBER(SEARCH("loss",O3155)),ISNUMBER(SEARCH("lost",O3155)),ISNUMBER(SEARCH("attemp",P3155)),ISNUMBER(SEARCH("mis",P3155)),ISNUMBER(SEARCH("fail",P3155)),ISNUMBER(SEARCH("loss",P3155)),ISNUMBER(SEARCH("beat",P3155)),ISNUMBER(SEARCH("lost",P3155))),"u","")))</f>
        <v/>
      </c>
      <c r="S3155" t="str">
        <f>IF(A3155=1,MAX($S$2:$S3154)+1,IF(OR($I3155&lt;&gt;"",A3155="x"),$S3154,""))</f>
        <v/>
      </c>
      <c r="T3155" t="str">
        <f>IF(D3155=1,MAX($T$2:$T3154)+1,IF(S3155=S3154,$T3154,IF(D3155="x",T3154,IF(D3154="x","",""))))</f>
        <v/>
      </c>
      <c r="U3155" t="str">
        <f>IF(B3155=1,MAX($U$2:$U3154)+1,IF(AND($T3155&lt;&gt;"",$T3155=$T3154),$U3154,IF(B3155="x",U3154,"")))</f>
        <v/>
      </c>
      <c r="V3155" t="str">
        <f>IF(C3155=1,MAX($V$2:$V3154)+1,IF(AND($T3155&lt;&gt;"",$T3155=$T3154),$U3154,IF(C3155="x",V3154,"")))</f>
        <v/>
      </c>
      <c r="X3155" cm="1">
        <f t="array" ref="X3155">IF($I3155&lt;&gt;"",$I3155,INDEX($I$1:$I3155,ROW()-COUNTIFS($T$1:$T3155,"="&amp;$T3155,$S$1:$S3155,"&lt;"&amp;$S3155)))</f>
        <v>0</v>
      </c>
      <c r="Z3155" s="6">
        <f t="shared" si="438"/>
        <v>1</v>
      </c>
      <c r="AA3155" t="e">
        <f t="shared" si="439"/>
        <v>#VALUE!</v>
      </c>
      <c r="AB3155" t="str">
        <f t="shared" si="440"/>
        <v/>
      </c>
      <c r="AC3155" t="e">
        <f t="shared" si="441"/>
        <v>#VALUE!</v>
      </c>
    </row>
    <row r="3156" spans="1:29" x14ac:dyDescent="0.2">
      <c r="A3156" t="str">
        <f t="shared" si="442"/>
        <v/>
      </c>
      <c r="E3156" s="4"/>
      <c r="F3156" s="46"/>
      <c r="G3156" s="4"/>
      <c r="H3156" s="48"/>
      <c r="J3156" s="26" t="str">
        <f t="shared" si="443"/>
        <v/>
      </c>
      <c r="N3156" t="str">
        <f t="shared" si="444"/>
        <v/>
      </c>
      <c r="Q3156" t="str">
        <f t="shared" si="445"/>
        <v/>
      </c>
      <c r="S3156" t="str">
        <f>IF(A3156=1,MAX($S$2:$S3155)+1,IF(OR($I3156&lt;&gt;"",A3156="x"),$S3155,""))</f>
        <v/>
      </c>
      <c r="T3156" t="str">
        <f>IF(D3156=1,MAX($T$2:$T3155)+1,IF(S3156=S3155,$T3155,IF(D3156="x",T3155,IF(D3155="x","",""))))</f>
        <v/>
      </c>
      <c r="U3156" t="str">
        <f>IF(B3156=1,MAX($U$2:$U3155)+1,IF(AND($T3156&lt;&gt;"",$T3156=$T3155),$U3155,IF(B3156="x",U3155,"")))</f>
        <v/>
      </c>
      <c r="V3156" t="str">
        <f>IF(C3156=1,MAX($V$2:$V3155)+1,IF(AND($T3156&lt;&gt;"",$T3156=$T3155),$U3155,IF(C3156="x",V3155,"")))</f>
        <v/>
      </c>
      <c r="X3156" cm="1">
        <f t="array" ref="X3156">IF($I3156&lt;&gt;"",$I3156,INDEX($I$1:$I3156,ROW()-COUNTIFS($T$1:$T3156,"="&amp;$T3156,$S$1:$S3156,"&lt;"&amp;$S3156)))</f>
        <v>0</v>
      </c>
      <c r="Z3156" s="6">
        <f t="shared" si="438"/>
        <v>1</v>
      </c>
      <c r="AA3156" t="e">
        <f t="shared" si="439"/>
        <v>#VALUE!</v>
      </c>
      <c r="AB3156" t="str">
        <f t="shared" si="440"/>
        <v/>
      </c>
      <c r="AC3156" t="e">
        <f t="shared" si="441"/>
        <v>#VALUE!</v>
      </c>
    </row>
    <row r="3157" spans="1:29" x14ac:dyDescent="0.2">
      <c r="A3157" t="str">
        <f t="shared" si="442"/>
        <v/>
      </c>
      <c r="E3157" s="4"/>
      <c r="F3157" s="46"/>
      <c r="G3157" s="4"/>
      <c r="H3157" s="48"/>
      <c r="J3157" s="26" t="str">
        <f t="shared" si="443"/>
        <v/>
      </c>
      <c r="N3157" t="str">
        <f t="shared" si="444"/>
        <v/>
      </c>
      <c r="Q3157" t="str">
        <f t="shared" si="445"/>
        <v/>
      </c>
      <c r="S3157" t="str">
        <f>IF(A3157=1,MAX($S$2:$S3156)+1,IF(OR($I3157&lt;&gt;"",A3157="x"),$S3156,""))</f>
        <v/>
      </c>
      <c r="T3157" t="str">
        <f>IF(D3157=1,MAX($T$2:$T3156)+1,IF(S3157=S3156,$T3156,IF(D3157="x",T3156,IF(D3156="x","",""))))</f>
        <v/>
      </c>
      <c r="U3157" t="str">
        <f>IF(B3157=1,MAX($U$2:$U3156)+1,IF(AND($T3157&lt;&gt;"",$T3157=$T3156),$U3156,IF(B3157="x",U3156,"")))</f>
        <v/>
      </c>
      <c r="V3157" t="str">
        <f>IF(C3157=1,MAX($V$2:$V3156)+1,IF(AND($T3157&lt;&gt;"",$T3157=$T3156),$U3156,IF(C3157="x",V3156,"")))</f>
        <v/>
      </c>
      <c r="X3157" cm="1">
        <f t="array" ref="X3157">IF($I3157&lt;&gt;"",$I3157,INDEX($I$1:$I3157,ROW()-COUNTIFS($T$1:$T3157,"="&amp;$T3157,$S$1:$S3157,"&lt;"&amp;$S3157)))</f>
        <v>0</v>
      </c>
      <c r="Z3157" s="6">
        <f t="shared" si="438"/>
        <v>1</v>
      </c>
      <c r="AA3157" t="e">
        <f t="shared" si="439"/>
        <v>#VALUE!</v>
      </c>
      <c r="AB3157" t="str">
        <f t="shared" si="440"/>
        <v/>
      </c>
      <c r="AC3157" t="e">
        <f t="shared" si="441"/>
        <v>#VALUE!</v>
      </c>
    </row>
    <row r="3158" spans="1:29" x14ac:dyDescent="0.2">
      <c r="A3158" t="str">
        <f t="shared" si="442"/>
        <v/>
      </c>
      <c r="E3158" s="4"/>
      <c r="F3158" s="46"/>
      <c r="G3158" s="4"/>
      <c r="H3158" s="48"/>
      <c r="J3158" s="26" t="str">
        <f t="shared" si="443"/>
        <v/>
      </c>
      <c r="N3158" t="str">
        <f t="shared" si="444"/>
        <v/>
      </c>
      <c r="Q3158" t="str">
        <f t="shared" si="445"/>
        <v/>
      </c>
      <c r="S3158" t="str">
        <f>IF(A3158=1,MAX($S$2:$S3157)+1,IF(OR($I3158&lt;&gt;"",A3158="x"),$S3157,""))</f>
        <v/>
      </c>
      <c r="T3158" t="str">
        <f>IF(D3158=1,MAX($T$2:$T3157)+1,IF(S3158=S3157,$T3157,IF(D3158="x",T3157,IF(D3157="x","",""))))</f>
        <v/>
      </c>
      <c r="U3158" t="str">
        <f>IF(B3158=1,MAX($U$2:$U3157)+1,IF(AND($T3158&lt;&gt;"",$T3158=$T3157),$U3157,IF(B3158="x",U3157,"")))</f>
        <v/>
      </c>
      <c r="V3158" t="str">
        <f>IF(C3158=1,MAX($V$2:$V3157)+1,IF(AND($T3158&lt;&gt;"",$T3158=$T3157),$U3157,IF(C3158="x",V3157,"")))</f>
        <v/>
      </c>
      <c r="X3158" cm="1">
        <f t="array" ref="X3158">IF($I3158&lt;&gt;"",$I3158,INDEX($I$1:$I3158,ROW()-COUNTIFS($T$1:$T3158,"="&amp;$T3158,$S$1:$S3158,"&lt;"&amp;$S3158)))</f>
        <v>0</v>
      </c>
      <c r="Z3158" s="6">
        <f t="shared" si="438"/>
        <v>1</v>
      </c>
      <c r="AA3158" t="e">
        <f t="shared" si="439"/>
        <v>#VALUE!</v>
      </c>
      <c r="AB3158" t="str">
        <f t="shared" si="440"/>
        <v/>
      </c>
      <c r="AC3158" t="e">
        <f t="shared" si="441"/>
        <v>#VALUE!</v>
      </c>
    </row>
    <row r="3159" spans="1:29" x14ac:dyDescent="0.2">
      <c r="A3159" t="str">
        <f t="shared" si="442"/>
        <v/>
      </c>
      <c r="E3159" s="4"/>
      <c r="F3159" s="46"/>
      <c r="G3159" s="4"/>
      <c r="H3159" s="48"/>
      <c r="J3159" s="26" t="str">
        <f t="shared" si="443"/>
        <v/>
      </c>
      <c r="N3159" t="str">
        <f t="shared" si="444"/>
        <v/>
      </c>
      <c r="Q3159" t="str">
        <f t="shared" si="445"/>
        <v/>
      </c>
      <c r="S3159" t="str">
        <f>IF(A3159=1,MAX($S$2:$S3158)+1,IF(OR($I3159&lt;&gt;"",A3159="x"),$S3158,""))</f>
        <v/>
      </c>
      <c r="T3159" t="str">
        <f>IF(D3159=1,MAX($T$2:$T3158)+1,IF(S3159=S3158,$T3158,IF(D3159="x",T3158,IF(D3158="x","",""))))</f>
        <v/>
      </c>
      <c r="U3159" t="str">
        <f>IF(B3159=1,MAX($U$2:$U3158)+1,IF(AND($T3159&lt;&gt;"",$T3159=$T3158),$U3158,IF(B3159="x",U3158,"")))</f>
        <v/>
      </c>
      <c r="V3159" t="str">
        <f>IF(C3159=1,MAX($V$2:$V3158)+1,IF(AND($T3159&lt;&gt;"",$T3159=$T3158),$U3158,IF(C3159="x",V3158,"")))</f>
        <v/>
      </c>
      <c r="X3159" cm="1">
        <f t="array" ref="X3159">IF($I3159&lt;&gt;"",$I3159,INDEX($I$1:$I3159,ROW()-COUNTIFS($T$1:$T3159,"="&amp;$T3159,$S$1:$S3159,"&lt;"&amp;$S3159)))</f>
        <v>0</v>
      </c>
      <c r="Z3159" s="6">
        <f t="shared" si="438"/>
        <v>1</v>
      </c>
      <c r="AA3159" t="e">
        <f t="shared" si="439"/>
        <v>#VALUE!</v>
      </c>
      <c r="AB3159" t="str">
        <f t="shared" si="440"/>
        <v/>
      </c>
      <c r="AC3159" t="e">
        <f t="shared" si="441"/>
        <v>#VALUE!</v>
      </c>
    </row>
    <row r="3160" spans="1:29" x14ac:dyDescent="0.2">
      <c r="A3160" t="str">
        <f t="shared" si="442"/>
        <v/>
      </c>
      <c r="E3160" s="4"/>
      <c r="F3160" s="46"/>
      <c r="G3160" s="4"/>
      <c r="H3160" s="48"/>
      <c r="J3160" s="26" t="str">
        <f t="shared" si="443"/>
        <v/>
      </c>
      <c r="N3160" t="str">
        <f t="shared" si="444"/>
        <v/>
      </c>
      <c r="Q3160" t="str">
        <f t="shared" si="445"/>
        <v/>
      </c>
      <c r="S3160" t="str">
        <f>IF(A3160=1,MAX($S$2:$S3159)+1,IF(OR($I3160&lt;&gt;"",A3160="x"),$S3159,""))</f>
        <v/>
      </c>
      <c r="T3160" t="str">
        <f>IF(D3160=1,MAX($T$2:$T3159)+1,IF(S3160=S3159,$T3159,IF(D3160="x",T3159,IF(D3159="x","",""))))</f>
        <v/>
      </c>
      <c r="U3160" t="str">
        <f>IF(B3160=1,MAX($U$2:$U3159)+1,IF(AND($T3160&lt;&gt;"",$T3160=$T3159),$U3159,IF(B3160="x",U3159,"")))</f>
        <v/>
      </c>
      <c r="V3160" t="str">
        <f>IF(C3160=1,MAX($V$2:$V3159)+1,IF(AND($T3160&lt;&gt;"",$T3160=$T3159),$U3159,IF(C3160="x",V3159,"")))</f>
        <v/>
      </c>
      <c r="X3160" cm="1">
        <f t="array" ref="X3160">IF($I3160&lt;&gt;"",$I3160,INDEX($I$1:$I3160,ROW()-COUNTIFS($T$1:$T3160,"="&amp;$T3160,$S$1:$S3160,"&lt;"&amp;$S3160)))</f>
        <v>0</v>
      </c>
      <c r="Z3160" s="6">
        <f t="shared" si="438"/>
        <v>1</v>
      </c>
      <c r="AA3160" t="e">
        <f t="shared" si="439"/>
        <v>#VALUE!</v>
      </c>
      <c r="AB3160" t="str">
        <f t="shared" si="440"/>
        <v/>
      </c>
      <c r="AC3160" t="e">
        <f t="shared" si="441"/>
        <v>#VALUE!</v>
      </c>
    </row>
    <row r="3161" spans="1:29" x14ac:dyDescent="0.2">
      <c r="A3161" t="str">
        <f t="shared" si="442"/>
        <v/>
      </c>
      <c r="E3161" s="4"/>
      <c r="F3161" s="46"/>
      <c r="G3161" s="4"/>
      <c r="H3161" s="48"/>
      <c r="J3161" s="26" t="str">
        <f t="shared" si="443"/>
        <v/>
      </c>
      <c r="N3161" t="str">
        <f t="shared" si="444"/>
        <v/>
      </c>
      <c r="Q3161" t="str">
        <f t="shared" si="445"/>
        <v/>
      </c>
      <c r="S3161" t="str">
        <f>IF(A3161=1,MAX($S$2:$S3160)+1,IF(OR($I3161&lt;&gt;"",A3161="x"),$S3160,""))</f>
        <v/>
      </c>
      <c r="T3161" t="str">
        <f>IF(D3161=1,MAX($T$2:$T3160)+1,IF(S3161=S3160,$T3160,IF(D3161="x",T3160,IF(D3160="x","",""))))</f>
        <v/>
      </c>
      <c r="U3161" t="str">
        <f>IF(B3161=1,MAX($U$2:$U3160)+1,IF(AND($T3161&lt;&gt;"",$T3161=$T3160),$U3160,IF(B3161="x",U3160,"")))</f>
        <v/>
      </c>
      <c r="V3161" t="str">
        <f>IF(C3161=1,MAX($V$2:$V3160)+1,IF(AND($T3161&lt;&gt;"",$T3161=$T3160),$U3160,IF(C3161="x",V3160,"")))</f>
        <v/>
      </c>
      <c r="X3161" cm="1">
        <f t="array" ref="X3161">IF($I3161&lt;&gt;"",$I3161,INDEX($I$1:$I3161,ROW()-COUNTIFS($T$1:$T3161,"="&amp;$T3161,$S$1:$S3161,"&lt;"&amp;$S3161)))</f>
        <v>0</v>
      </c>
      <c r="Z3161" s="6">
        <f t="shared" si="438"/>
        <v>1</v>
      </c>
      <c r="AA3161" t="e">
        <f t="shared" si="439"/>
        <v>#VALUE!</v>
      </c>
      <c r="AB3161" t="str">
        <f t="shared" si="440"/>
        <v/>
      </c>
      <c r="AC3161" t="e">
        <f t="shared" si="441"/>
        <v>#VALUE!</v>
      </c>
    </row>
    <row r="3162" spans="1:29" x14ac:dyDescent="0.2">
      <c r="A3162" t="str">
        <f t="shared" si="442"/>
        <v/>
      </c>
      <c r="E3162" s="4"/>
      <c r="F3162" s="46"/>
      <c r="G3162" s="4"/>
      <c r="H3162" s="48"/>
      <c r="J3162" s="26" t="str">
        <f t="shared" si="443"/>
        <v/>
      </c>
      <c r="N3162" t="str">
        <f t="shared" si="444"/>
        <v/>
      </c>
      <c r="Q3162" t="str">
        <f t="shared" si="445"/>
        <v/>
      </c>
      <c r="S3162" t="str">
        <f>IF(A3162=1,MAX($S$2:$S3161)+1,IF(OR($I3162&lt;&gt;"",A3162="x"),$S3161,""))</f>
        <v/>
      </c>
      <c r="T3162" t="str">
        <f>IF(D3162=1,MAX($T$2:$T3161)+1,IF(S3162=S3161,$T3161,IF(D3162="x",T3161,IF(D3161="x","",""))))</f>
        <v/>
      </c>
      <c r="U3162" t="str">
        <f>IF(B3162=1,MAX($U$2:$U3161)+1,IF(AND($T3162&lt;&gt;"",$T3162=$T3161),$U3161,IF(B3162="x",U3161,"")))</f>
        <v/>
      </c>
      <c r="V3162" t="str">
        <f>IF(C3162=1,MAX($V$2:$V3161)+1,IF(AND($T3162&lt;&gt;"",$T3162=$T3161),$U3161,IF(C3162="x",V3161,"")))</f>
        <v/>
      </c>
      <c r="X3162" cm="1">
        <f t="array" ref="X3162">IF($I3162&lt;&gt;"",$I3162,INDEX($I$1:$I3162,ROW()-COUNTIFS($T$1:$T3162,"="&amp;$T3162,$S$1:$S3162,"&lt;"&amp;$S3162)))</f>
        <v>0</v>
      </c>
      <c r="Z3162" s="6">
        <f t="shared" si="438"/>
        <v>1</v>
      </c>
      <c r="AA3162" t="e">
        <f t="shared" si="439"/>
        <v>#VALUE!</v>
      </c>
      <c r="AB3162" t="str">
        <f t="shared" si="440"/>
        <v/>
      </c>
      <c r="AC3162" t="e">
        <f t="shared" si="441"/>
        <v>#VALUE!</v>
      </c>
    </row>
    <row r="3163" spans="1:29" x14ac:dyDescent="0.2">
      <c r="A3163" t="str">
        <f t="shared" si="442"/>
        <v/>
      </c>
      <c r="E3163" s="4"/>
      <c r="F3163" s="46"/>
      <c r="G3163" s="4"/>
      <c r="H3163" s="48"/>
      <c r="J3163" s="26" t="str">
        <f t="shared" si="443"/>
        <v/>
      </c>
      <c r="N3163" t="str">
        <f t="shared" si="444"/>
        <v/>
      </c>
      <c r="Q3163" t="str">
        <f t="shared" si="445"/>
        <v/>
      </c>
      <c r="S3163" t="str">
        <f>IF(A3163=1,MAX($S$2:$S3162)+1,IF(OR($I3163&lt;&gt;"",A3163="x"),$S3162,""))</f>
        <v/>
      </c>
      <c r="T3163" t="str">
        <f>IF(D3163=1,MAX($T$2:$T3162)+1,IF(S3163=S3162,$T3162,IF(D3163="x",T3162,IF(D3162="x","",""))))</f>
        <v/>
      </c>
      <c r="U3163" t="str">
        <f>IF(B3163=1,MAX($U$2:$U3162)+1,IF(AND($T3163&lt;&gt;"",$T3163=$T3162),$U3162,IF(B3163="x",U3162,"")))</f>
        <v/>
      </c>
      <c r="V3163" t="str">
        <f>IF(C3163=1,MAX($V$2:$V3162)+1,IF(AND($T3163&lt;&gt;"",$T3163=$T3162),$U3162,IF(C3163="x",V3162,"")))</f>
        <v/>
      </c>
      <c r="X3163" cm="1">
        <f t="array" ref="X3163">IF($I3163&lt;&gt;"",$I3163,INDEX($I$1:$I3163,ROW()-COUNTIFS($T$1:$T3163,"="&amp;$T3163,$S$1:$S3163,"&lt;"&amp;$S3163)))</f>
        <v>0</v>
      </c>
      <c r="Z3163" s="6">
        <f t="shared" si="438"/>
        <v>1</v>
      </c>
      <c r="AA3163" t="e">
        <f t="shared" si="439"/>
        <v>#VALUE!</v>
      </c>
      <c r="AB3163" t="str">
        <f t="shared" si="440"/>
        <v/>
      </c>
      <c r="AC3163" t="e">
        <f t="shared" si="441"/>
        <v>#VALUE!</v>
      </c>
    </row>
    <row r="3164" spans="1:29" x14ac:dyDescent="0.2">
      <c r="A3164" t="str">
        <f t="shared" si="442"/>
        <v/>
      </c>
      <c r="E3164" s="4"/>
      <c r="F3164" s="46"/>
      <c r="G3164" s="4"/>
      <c r="H3164" s="48"/>
      <c r="J3164" s="26" t="str">
        <f t="shared" si="443"/>
        <v/>
      </c>
      <c r="N3164" t="str">
        <f t="shared" si="444"/>
        <v/>
      </c>
      <c r="Q3164" t="str">
        <f t="shared" si="445"/>
        <v/>
      </c>
      <c r="S3164" t="str">
        <f>IF(A3164=1,MAX($S$2:$S3163)+1,IF(OR($I3164&lt;&gt;"",A3164="x"),$S3163,""))</f>
        <v/>
      </c>
      <c r="T3164" t="str">
        <f>IF(D3164=1,MAX($T$2:$T3163)+1,IF(S3164=S3163,$T3163,IF(D3164="x",T3163,IF(D3163="x","",""))))</f>
        <v/>
      </c>
      <c r="U3164" t="str">
        <f>IF(B3164=1,MAX($U$2:$U3163)+1,IF(AND($T3164&lt;&gt;"",$T3164=$T3163),$U3163,IF(B3164="x",U3163,"")))</f>
        <v/>
      </c>
      <c r="V3164" t="str">
        <f>IF(C3164=1,MAX($V$2:$V3163)+1,IF(AND($T3164&lt;&gt;"",$T3164=$T3163),$U3163,IF(C3164="x",V3163,"")))</f>
        <v/>
      </c>
      <c r="X3164" cm="1">
        <f t="array" ref="X3164">IF($I3164&lt;&gt;"",$I3164,INDEX($I$1:$I3164,ROW()-COUNTIFS($T$1:$T3164,"="&amp;$T3164,$S$1:$S3164,"&lt;"&amp;$S3164)))</f>
        <v>0</v>
      </c>
      <c r="Z3164" s="6">
        <f t="shared" si="438"/>
        <v>1</v>
      </c>
      <c r="AA3164" t="e">
        <f t="shared" si="439"/>
        <v>#VALUE!</v>
      </c>
      <c r="AB3164" t="str">
        <f t="shared" si="440"/>
        <v/>
      </c>
      <c r="AC3164" t="e">
        <f t="shared" si="441"/>
        <v>#VALUE!</v>
      </c>
    </row>
    <row r="3165" spans="1:29" x14ac:dyDescent="0.2">
      <c r="A3165" t="str">
        <f t="shared" si="442"/>
        <v/>
      </c>
      <c r="E3165" s="4"/>
      <c r="F3165" s="46"/>
      <c r="G3165" s="4"/>
      <c r="H3165" s="48"/>
      <c r="J3165" s="26" t="str">
        <f t="shared" si="443"/>
        <v/>
      </c>
      <c r="N3165" t="str">
        <f t="shared" si="444"/>
        <v/>
      </c>
      <c r="Q3165" t="str">
        <f t="shared" si="445"/>
        <v/>
      </c>
      <c r="S3165" t="str">
        <f>IF(A3165=1,MAX($S$2:$S3164)+1,IF(OR($I3165&lt;&gt;"",A3165="x"),$S3164,""))</f>
        <v/>
      </c>
      <c r="T3165" t="str">
        <f>IF(D3165=1,MAX($T$2:$T3164)+1,IF(S3165=S3164,$T3164,IF(D3165="x",T3164,IF(D3164="x","",""))))</f>
        <v/>
      </c>
      <c r="U3165" t="str">
        <f>IF(B3165=1,MAX($U$2:$U3164)+1,IF(AND($T3165&lt;&gt;"",$T3165=$T3164),$U3164,IF(B3165="x",U3164,"")))</f>
        <v/>
      </c>
      <c r="V3165" t="str">
        <f>IF(C3165=1,MAX($V$2:$V3164)+1,IF(AND($T3165&lt;&gt;"",$T3165=$T3164),$U3164,IF(C3165="x",V3164,"")))</f>
        <v/>
      </c>
      <c r="X3165" cm="1">
        <f t="array" ref="X3165">IF($I3165&lt;&gt;"",$I3165,INDEX($I$1:$I3165,ROW()-COUNTIFS($T$1:$T3165,"="&amp;$T3165,$S$1:$S3165,"&lt;"&amp;$S3165)))</f>
        <v>0</v>
      </c>
      <c r="Z3165" s="6">
        <f t="shared" si="438"/>
        <v>1</v>
      </c>
      <c r="AA3165" t="e">
        <f t="shared" si="439"/>
        <v>#VALUE!</v>
      </c>
      <c r="AB3165" t="str">
        <f t="shared" si="440"/>
        <v/>
      </c>
      <c r="AC3165" t="e">
        <f t="shared" si="441"/>
        <v>#VALUE!</v>
      </c>
    </row>
    <row r="3166" spans="1:29" x14ac:dyDescent="0.2">
      <c r="A3166" t="str">
        <f t="shared" si="442"/>
        <v/>
      </c>
      <c r="E3166" s="4"/>
      <c r="F3166" s="46"/>
      <c r="G3166" s="4"/>
      <c r="H3166" s="48"/>
      <c r="J3166" s="26" t="str">
        <f t="shared" si="443"/>
        <v/>
      </c>
      <c r="N3166" t="str">
        <f t="shared" si="444"/>
        <v/>
      </c>
      <c r="Q3166" t="str">
        <f t="shared" si="445"/>
        <v/>
      </c>
      <c r="S3166" t="str">
        <f>IF(A3166=1,MAX($S$2:$S3165)+1,IF(OR($I3166&lt;&gt;"",A3166="x"),$S3165,""))</f>
        <v/>
      </c>
      <c r="T3166" t="str">
        <f>IF(D3166=1,MAX($T$2:$T3165)+1,IF(S3166=S3165,$T3165,IF(D3166="x",T3165,IF(D3165="x","",""))))</f>
        <v/>
      </c>
      <c r="U3166" t="str">
        <f>IF(B3166=1,MAX($U$2:$U3165)+1,IF(AND($T3166&lt;&gt;"",$T3166=$T3165),$U3165,IF(B3166="x",U3165,"")))</f>
        <v/>
      </c>
      <c r="V3166" t="str">
        <f>IF(C3166=1,MAX($V$2:$V3165)+1,IF(AND($T3166&lt;&gt;"",$T3166=$T3165),$U3165,IF(C3166="x",V3165,"")))</f>
        <v/>
      </c>
      <c r="X3166" cm="1">
        <f t="array" ref="X3166">IF($I3166&lt;&gt;"",$I3166,INDEX($I$1:$I3166,ROW()-COUNTIFS($T$1:$T3166,"="&amp;$T3166,$S$1:$S3166,"&lt;"&amp;$S3166)))</f>
        <v>0</v>
      </c>
      <c r="Z3166" s="6">
        <f t="shared" si="438"/>
        <v>1</v>
      </c>
      <c r="AA3166" t="e">
        <f t="shared" si="439"/>
        <v>#VALUE!</v>
      </c>
      <c r="AB3166" t="str">
        <f t="shared" si="440"/>
        <v/>
      </c>
      <c r="AC3166" t="e">
        <f t="shared" si="441"/>
        <v>#VALUE!</v>
      </c>
    </row>
    <row r="3167" spans="1:29" x14ac:dyDescent="0.2">
      <c r="A3167" t="str">
        <f t="shared" si="442"/>
        <v/>
      </c>
      <c r="E3167" s="4"/>
      <c r="F3167" s="46"/>
      <c r="G3167" s="4"/>
      <c r="H3167" s="48"/>
      <c r="J3167" s="26" t="str">
        <f t="shared" si="443"/>
        <v/>
      </c>
      <c r="N3167" t="str">
        <f t="shared" si="444"/>
        <v/>
      </c>
      <c r="Q3167" t="str">
        <f t="shared" si="445"/>
        <v/>
      </c>
      <c r="S3167" t="str">
        <f>IF(A3167=1,MAX($S$2:$S3166)+1,IF(OR($I3167&lt;&gt;"",A3167="x"),$S3166,""))</f>
        <v/>
      </c>
      <c r="T3167" t="str">
        <f>IF(D3167=1,MAX($T$2:$T3166)+1,IF(S3167=S3166,$T3166,IF(D3167="x",T3166,IF(D3166="x","",""))))</f>
        <v/>
      </c>
      <c r="U3167" t="str">
        <f>IF(B3167=1,MAX($U$2:$U3166)+1,IF(AND($T3167&lt;&gt;"",$T3167=$T3166),$U3166,IF(B3167="x",U3166,"")))</f>
        <v/>
      </c>
      <c r="V3167" t="str">
        <f>IF(C3167=1,MAX($V$2:$V3166)+1,IF(AND($T3167&lt;&gt;"",$T3167=$T3166),$U3166,IF(C3167="x",V3166,"")))</f>
        <v/>
      </c>
      <c r="X3167" cm="1">
        <f t="array" ref="X3167">IF($I3167&lt;&gt;"",$I3167,INDEX($I$1:$I3167,ROW()-COUNTIFS($T$1:$T3167,"="&amp;$T3167,$S$1:$S3167,"&lt;"&amp;$S3167)))</f>
        <v>0</v>
      </c>
      <c r="Z3167" s="6">
        <f t="shared" si="438"/>
        <v>1</v>
      </c>
      <c r="AA3167" t="e">
        <f t="shared" si="439"/>
        <v>#VALUE!</v>
      </c>
      <c r="AB3167" t="str">
        <f t="shared" si="440"/>
        <v/>
      </c>
      <c r="AC3167" t="e">
        <f t="shared" si="441"/>
        <v>#VALUE!</v>
      </c>
    </row>
    <row r="3168" spans="1:29" x14ac:dyDescent="0.2">
      <c r="A3168" t="str">
        <f t="shared" si="442"/>
        <v/>
      </c>
      <c r="E3168" s="4"/>
      <c r="F3168" s="46"/>
      <c r="G3168" s="4"/>
      <c r="H3168" s="48"/>
      <c r="J3168" s="26" t="str">
        <f t="shared" si="443"/>
        <v/>
      </c>
      <c r="N3168" t="str">
        <f t="shared" si="444"/>
        <v/>
      </c>
      <c r="Q3168" t="str">
        <f t="shared" si="445"/>
        <v/>
      </c>
      <c r="S3168" t="str">
        <f>IF(A3168=1,MAX($S$2:$S3167)+1,IF(OR($I3168&lt;&gt;"",A3168="x"),$S3167,""))</f>
        <v/>
      </c>
      <c r="T3168" t="str">
        <f>IF(D3168=1,MAX($T$2:$T3167)+1,IF(S3168=S3167,$T3167,IF(D3168="x",T3167,IF(D3167="x","",""))))</f>
        <v/>
      </c>
      <c r="U3168" t="str">
        <f>IF(B3168=1,MAX($U$2:$U3167)+1,IF(AND($T3168&lt;&gt;"",$T3168=$T3167),$U3167,IF(B3168="x",U3167,"")))</f>
        <v/>
      </c>
      <c r="V3168" t="str">
        <f>IF(C3168=1,MAX($V$2:$V3167)+1,IF(AND($T3168&lt;&gt;"",$T3168=$T3167),$U3167,IF(C3168="x",V3167,"")))</f>
        <v/>
      </c>
      <c r="X3168" cm="1">
        <f t="array" ref="X3168">IF($I3168&lt;&gt;"",$I3168,INDEX($I$1:$I3168,ROW()-COUNTIFS($T$1:$T3168,"="&amp;$T3168,$S$1:$S3168,"&lt;"&amp;$S3168)))</f>
        <v>0</v>
      </c>
      <c r="Z3168" s="6">
        <f t="shared" si="438"/>
        <v>1</v>
      </c>
      <c r="AA3168" t="e">
        <f t="shared" si="439"/>
        <v>#VALUE!</v>
      </c>
      <c r="AB3168" t="str">
        <f t="shared" si="440"/>
        <v/>
      </c>
      <c r="AC3168" t="e">
        <f t="shared" si="441"/>
        <v>#VALUE!</v>
      </c>
    </row>
    <row r="3169" spans="1:29" x14ac:dyDescent="0.2">
      <c r="A3169" t="str">
        <f t="shared" si="442"/>
        <v/>
      </c>
      <c r="E3169" s="4"/>
      <c r="F3169" s="46"/>
      <c r="G3169" s="4"/>
      <c r="H3169" s="48"/>
      <c r="J3169" s="26" t="str">
        <f t="shared" si="443"/>
        <v/>
      </c>
      <c r="N3169" t="str">
        <f t="shared" si="444"/>
        <v/>
      </c>
      <c r="Q3169" t="str">
        <f t="shared" si="445"/>
        <v/>
      </c>
      <c r="S3169" t="str">
        <f>IF(A3169=1,MAX($S$2:$S3168)+1,IF(OR($I3169&lt;&gt;"",A3169="x"),$S3168,""))</f>
        <v/>
      </c>
      <c r="T3169" t="str">
        <f>IF(D3169=1,MAX($T$2:$T3168)+1,IF(S3169=S3168,$T3168,IF(D3169="x",T3168,IF(D3168="x","",""))))</f>
        <v/>
      </c>
      <c r="U3169" t="str">
        <f>IF(B3169=1,MAX($U$2:$U3168)+1,IF(AND($T3169&lt;&gt;"",$T3169=$T3168),$U3168,IF(B3169="x",U3168,"")))</f>
        <v/>
      </c>
      <c r="V3169" t="str">
        <f>IF(C3169=1,MAX($V$2:$V3168)+1,IF(AND($T3169&lt;&gt;"",$T3169=$T3168),$U3168,IF(C3169="x",V3168,"")))</f>
        <v/>
      </c>
      <c r="X3169" cm="1">
        <f t="array" ref="X3169">IF($I3169&lt;&gt;"",$I3169,INDEX($I$1:$I3169,ROW()-COUNTIFS($T$1:$T3169,"="&amp;$T3169,$S$1:$S3169,"&lt;"&amp;$S3169)))</f>
        <v>0</v>
      </c>
      <c r="Z3169" s="6">
        <f t="shared" si="438"/>
        <v>1</v>
      </c>
      <c r="AA3169" t="e">
        <f t="shared" si="439"/>
        <v>#VALUE!</v>
      </c>
      <c r="AB3169" t="str">
        <f t="shared" si="440"/>
        <v/>
      </c>
      <c r="AC3169" t="e">
        <f t="shared" si="441"/>
        <v>#VALUE!</v>
      </c>
    </row>
    <row r="3170" spans="1:29" x14ac:dyDescent="0.2">
      <c r="A3170" t="str">
        <f t="shared" si="442"/>
        <v/>
      </c>
      <c r="E3170" s="4"/>
      <c r="F3170" s="46"/>
      <c r="G3170" s="4"/>
      <c r="H3170" s="48"/>
      <c r="J3170" s="26" t="str">
        <f t="shared" si="443"/>
        <v/>
      </c>
      <c r="N3170" t="str">
        <f t="shared" si="444"/>
        <v/>
      </c>
      <c r="Q3170" t="str">
        <f t="shared" si="445"/>
        <v/>
      </c>
      <c r="S3170" t="str">
        <f>IF(A3170=1,MAX($S$2:$S3169)+1,IF(OR($I3170&lt;&gt;"",A3170="x"),$S3169,""))</f>
        <v/>
      </c>
      <c r="T3170" t="str">
        <f>IF(D3170=1,MAX($T$2:$T3169)+1,IF(S3170=S3169,$T3169,IF(D3170="x",T3169,IF(D3169="x","",""))))</f>
        <v/>
      </c>
      <c r="U3170" t="str">
        <f>IF(B3170=1,MAX($U$2:$U3169)+1,IF(AND($T3170&lt;&gt;"",$T3170=$T3169),$U3169,IF(B3170="x",U3169,"")))</f>
        <v/>
      </c>
      <c r="V3170" t="str">
        <f>IF(C3170=1,MAX($V$2:$V3169)+1,IF(AND($T3170&lt;&gt;"",$T3170=$T3169),$U3169,IF(C3170="x",V3169,"")))</f>
        <v/>
      </c>
      <c r="X3170" cm="1">
        <f t="array" ref="X3170">IF($I3170&lt;&gt;"",$I3170,INDEX($I$1:$I3170,ROW()-COUNTIFS($T$1:$T3170,"="&amp;$T3170,$S$1:$S3170,"&lt;"&amp;$S3170)))</f>
        <v>0</v>
      </c>
      <c r="Z3170" s="6">
        <f t="shared" si="438"/>
        <v>1</v>
      </c>
      <c r="AA3170" t="e">
        <f t="shared" si="439"/>
        <v>#VALUE!</v>
      </c>
      <c r="AB3170" t="str">
        <f t="shared" si="440"/>
        <v/>
      </c>
      <c r="AC3170" t="e">
        <f t="shared" si="441"/>
        <v>#VALUE!</v>
      </c>
    </row>
    <row r="3171" spans="1:29" x14ac:dyDescent="0.2">
      <c r="A3171" t="str">
        <f t="shared" si="442"/>
        <v/>
      </c>
      <c r="E3171" s="4"/>
      <c r="F3171" s="46"/>
      <c r="G3171" s="4"/>
      <c r="H3171" s="48"/>
      <c r="J3171" s="26" t="str">
        <f t="shared" si="443"/>
        <v/>
      </c>
      <c r="N3171" t="str">
        <f t="shared" si="444"/>
        <v/>
      </c>
      <c r="Q3171" t="str">
        <f t="shared" si="445"/>
        <v/>
      </c>
      <c r="S3171" t="str">
        <f>IF(A3171=1,MAX($S$2:$S3170)+1,IF(OR($I3171&lt;&gt;"",A3171="x"),$S3170,""))</f>
        <v/>
      </c>
      <c r="T3171" t="str">
        <f>IF(D3171=1,MAX($T$2:$T3170)+1,IF(S3171=S3170,$T3170,IF(D3171="x",T3170,IF(D3170="x","",""))))</f>
        <v/>
      </c>
      <c r="U3171" t="str">
        <f>IF(B3171=1,MAX($U$2:$U3170)+1,IF(AND($T3171&lt;&gt;"",$T3171=$T3170),$U3170,IF(B3171="x",U3170,"")))</f>
        <v/>
      </c>
      <c r="V3171" t="str">
        <f>IF(C3171=1,MAX($V$2:$V3170)+1,IF(AND($T3171&lt;&gt;"",$T3171=$T3170),$U3170,IF(C3171="x",V3170,"")))</f>
        <v/>
      </c>
      <c r="X3171" cm="1">
        <f t="array" ref="X3171">IF($I3171&lt;&gt;"",$I3171,INDEX($I$1:$I3171,ROW()-COUNTIFS($T$1:$T3171,"="&amp;$T3171,$S$1:$S3171,"&lt;"&amp;$S3171)))</f>
        <v>0</v>
      </c>
      <c r="Z3171" s="6">
        <f t="shared" si="438"/>
        <v>1</v>
      </c>
      <c r="AA3171" t="e">
        <f t="shared" si="439"/>
        <v>#VALUE!</v>
      </c>
      <c r="AB3171" t="str">
        <f t="shared" si="440"/>
        <v/>
      </c>
      <c r="AC3171" t="e">
        <f t="shared" si="441"/>
        <v>#VALUE!</v>
      </c>
    </row>
    <row r="3172" spans="1:29" x14ac:dyDescent="0.2">
      <c r="A3172" t="str">
        <f t="shared" si="442"/>
        <v/>
      </c>
      <c r="E3172" s="4"/>
      <c r="F3172" s="46"/>
      <c r="G3172" s="4"/>
      <c r="H3172" s="48"/>
      <c r="J3172" s="26" t="str">
        <f t="shared" si="443"/>
        <v/>
      </c>
      <c r="N3172" t="str">
        <f t="shared" si="444"/>
        <v/>
      </c>
      <c r="Q3172" t="str">
        <f t="shared" si="445"/>
        <v/>
      </c>
      <c r="S3172" t="str">
        <f>IF(A3172=1,MAX($S$2:$S3171)+1,IF(OR($I3172&lt;&gt;"",A3172="x"),$S3171,""))</f>
        <v/>
      </c>
      <c r="T3172" t="str">
        <f>IF(D3172=1,MAX($T$2:$T3171)+1,IF(S3172=S3171,$T3171,IF(D3172="x",T3171,IF(D3171="x","",""))))</f>
        <v/>
      </c>
      <c r="U3172" t="str">
        <f>IF(B3172=1,MAX($U$2:$U3171)+1,IF(AND($T3172&lt;&gt;"",$T3172=$T3171),$U3171,IF(B3172="x",U3171,"")))</f>
        <v/>
      </c>
      <c r="V3172" t="str">
        <f>IF(C3172=1,MAX($V$2:$V3171)+1,IF(AND($T3172&lt;&gt;"",$T3172=$T3171),$U3171,IF(C3172="x",V3171,"")))</f>
        <v/>
      </c>
      <c r="X3172" cm="1">
        <f t="array" ref="X3172">IF($I3172&lt;&gt;"",$I3172,INDEX($I$1:$I3172,ROW()-COUNTIFS($T$1:$T3172,"="&amp;$T3172,$S$1:$S3172,"&lt;"&amp;$S3172)))</f>
        <v>0</v>
      </c>
      <c r="Z3172" s="6">
        <f t="shared" si="438"/>
        <v>1</v>
      </c>
      <c r="AA3172" t="e">
        <f t="shared" si="439"/>
        <v>#VALUE!</v>
      </c>
      <c r="AB3172" t="str">
        <f t="shared" si="440"/>
        <v/>
      </c>
      <c r="AC3172" t="e">
        <f t="shared" si="441"/>
        <v>#VALUE!</v>
      </c>
    </row>
    <row r="3173" spans="1:29" x14ac:dyDescent="0.2">
      <c r="A3173" t="str">
        <f t="shared" si="442"/>
        <v/>
      </c>
      <c r="E3173" s="4"/>
      <c r="F3173" s="46"/>
      <c r="G3173" s="4"/>
      <c r="H3173" s="48"/>
      <c r="J3173" s="26" t="str">
        <f t="shared" si="443"/>
        <v/>
      </c>
      <c r="N3173" t="str">
        <f t="shared" si="444"/>
        <v/>
      </c>
      <c r="Q3173" t="str">
        <f t="shared" si="445"/>
        <v/>
      </c>
      <c r="S3173" t="str">
        <f>IF(A3173=1,MAX($S$2:$S3172)+1,IF(OR($I3173&lt;&gt;"",A3173="x"),$S3172,""))</f>
        <v/>
      </c>
      <c r="T3173" t="str">
        <f>IF(D3173=1,MAX($T$2:$T3172)+1,IF(S3173=S3172,$T3172,IF(D3173="x",T3172,IF(D3172="x","",""))))</f>
        <v/>
      </c>
      <c r="U3173" t="str">
        <f>IF(B3173=1,MAX($U$2:$U3172)+1,IF(AND($T3173&lt;&gt;"",$T3173=$T3172),$U3172,IF(B3173="x",U3172,"")))</f>
        <v/>
      </c>
      <c r="V3173" t="str">
        <f>IF(C3173=1,MAX($V$2:$V3172)+1,IF(AND($T3173&lt;&gt;"",$T3173=$T3172),$U3172,IF(C3173="x",V3172,"")))</f>
        <v/>
      </c>
      <c r="X3173" cm="1">
        <f t="array" ref="X3173">IF($I3173&lt;&gt;"",$I3173,INDEX($I$1:$I3173,ROW()-COUNTIFS($T$1:$T3173,"="&amp;$T3173,$S$1:$S3173,"&lt;"&amp;$S3173)))</f>
        <v>0</v>
      </c>
      <c r="Z3173" s="6">
        <f t="shared" si="438"/>
        <v>1</v>
      </c>
      <c r="AA3173" t="e">
        <f t="shared" si="439"/>
        <v>#VALUE!</v>
      </c>
      <c r="AB3173" t="str">
        <f t="shared" si="440"/>
        <v/>
      </c>
      <c r="AC3173" t="e">
        <f t="shared" si="441"/>
        <v>#VALUE!</v>
      </c>
    </row>
    <row r="3174" spans="1:29" x14ac:dyDescent="0.2">
      <c r="A3174" t="str">
        <f t="shared" si="442"/>
        <v/>
      </c>
      <c r="E3174" s="4"/>
      <c r="F3174" s="46"/>
      <c r="G3174" s="4"/>
      <c r="H3174" s="48"/>
      <c r="J3174" s="26" t="str">
        <f t="shared" si="443"/>
        <v/>
      </c>
      <c r="N3174" t="str">
        <f t="shared" si="444"/>
        <v/>
      </c>
      <c r="Q3174" t="str">
        <f t="shared" si="445"/>
        <v/>
      </c>
      <c r="S3174" t="str">
        <f>IF(A3174=1,MAX($S$2:$S3173)+1,IF(OR($I3174&lt;&gt;"",A3174="x"),$S3173,""))</f>
        <v/>
      </c>
      <c r="T3174" t="str">
        <f>IF(D3174=1,MAX($T$2:$T3173)+1,IF(S3174=S3173,$T3173,IF(D3174="x",T3173,IF(D3173="x","",""))))</f>
        <v/>
      </c>
      <c r="U3174" t="str">
        <f>IF(B3174=1,MAX($U$2:$U3173)+1,IF(AND($T3174&lt;&gt;"",$T3174=$T3173),$U3173,IF(B3174="x",U3173,"")))</f>
        <v/>
      </c>
      <c r="V3174" t="str">
        <f>IF(C3174=1,MAX($V$2:$V3173)+1,IF(AND($T3174&lt;&gt;"",$T3174=$T3173),$U3173,IF(C3174="x",V3173,"")))</f>
        <v/>
      </c>
      <c r="X3174" cm="1">
        <f t="array" ref="X3174">IF($I3174&lt;&gt;"",$I3174,INDEX($I$1:$I3174,ROW()-COUNTIFS($T$1:$T3174,"="&amp;$T3174,$S$1:$S3174,"&lt;"&amp;$S3174)))</f>
        <v>0</v>
      </c>
      <c r="Z3174" s="6">
        <f t="shared" si="438"/>
        <v>1</v>
      </c>
      <c r="AA3174" t="e">
        <f t="shared" si="439"/>
        <v>#VALUE!</v>
      </c>
      <c r="AB3174" t="str">
        <f t="shared" si="440"/>
        <v/>
      </c>
      <c r="AC3174" t="e">
        <f t="shared" si="441"/>
        <v>#VALUE!</v>
      </c>
    </row>
    <row r="3175" spans="1:29" x14ac:dyDescent="0.2">
      <c r="A3175" t="str">
        <f t="shared" si="442"/>
        <v/>
      </c>
      <c r="E3175" s="4"/>
      <c r="F3175" s="46"/>
      <c r="G3175" s="4"/>
      <c r="H3175" s="48"/>
      <c r="J3175" s="26" t="str">
        <f t="shared" si="443"/>
        <v/>
      </c>
      <c r="N3175" t="str">
        <f t="shared" si="444"/>
        <v/>
      </c>
      <c r="Q3175" t="str">
        <f t="shared" si="445"/>
        <v/>
      </c>
      <c r="S3175" t="str">
        <f>IF(A3175=1,MAX($S$2:$S3174)+1,IF(OR($I3175&lt;&gt;"",A3175="x"),$S3174,""))</f>
        <v/>
      </c>
      <c r="T3175" t="str">
        <f>IF(D3175=1,MAX($T$2:$T3174)+1,IF(S3175=S3174,$T3174,IF(D3175="x",T3174,IF(D3174="x","",""))))</f>
        <v/>
      </c>
      <c r="U3175" t="str">
        <f>IF(B3175=1,MAX($U$2:$U3174)+1,IF(AND($T3175&lt;&gt;"",$T3175=$T3174),$U3174,IF(B3175="x",U3174,"")))</f>
        <v/>
      </c>
      <c r="V3175" t="str">
        <f>IF(C3175=1,MAX($V$2:$V3174)+1,IF(AND($T3175&lt;&gt;"",$T3175=$T3174),$U3174,IF(C3175="x",V3174,"")))</f>
        <v/>
      </c>
      <c r="X3175" cm="1">
        <f t="array" ref="X3175">IF($I3175&lt;&gt;"",$I3175,INDEX($I$1:$I3175,ROW()-COUNTIFS($T$1:$T3175,"="&amp;$T3175,$S$1:$S3175,"&lt;"&amp;$S3175)))</f>
        <v>0</v>
      </c>
      <c r="Z3175" s="6">
        <f t="shared" si="438"/>
        <v>1</v>
      </c>
      <c r="AA3175" t="e">
        <f t="shared" si="439"/>
        <v>#VALUE!</v>
      </c>
      <c r="AB3175" t="str">
        <f t="shared" si="440"/>
        <v/>
      </c>
      <c r="AC3175" t="e">
        <f t="shared" si="441"/>
        <v>#VALUE!</v>
      </c>
    </row>
    <row r="3176" spans="1:29" x14ac:dyDescent="0.2">
      <c r="A3176" t="str">
        <f t="shared" si="442"/>
        <v/>
      </c>
      <c r="E3176" s="4"/>
      <c r="F3176" s="46"/>
      <c r="G3176" s="4"/>
      <c r="H3176" s="48"/>
      <c r="J3176" s="26" t="str">
        <f t="shared" si="443"/>
        <v/>
      </c>
      <c r="N3176" t="str">
        <f t="shared" si="444"/>
        <v/>
      </c>
      <c r="Q3176" t="str">
        <f t="shared" si="445"/>
        <v/>
      </c>
      <c r="S3176" t="str">
        <f>IF(A3176=1,MAX($S$2:$S3175)+1,IF(OR($I3176&lt;&gt;"",A3176="x"),$S3175,""))</f>
        <v/>
      </c>
      <c r="T3176" t="str">
        <f>IF(D3176=1,MAX($T$2:$T3175)+1,IF(S3176=S3175,$T3175,IF(D3176="x",T3175,IF(D3175="x","",""))))</f>
        <v/>
      </c>
      <c r="U3176" t="str">
        <f>IF(B3176=1,MAX($U$2:$U3175)+1,IF(AND($T3176&lt;&gt;"",$T3176=$T3175),$U3175,IF(B3176="x",U3175,"")))</f>
        <v/>
      </c>
      <c r="V3176" t="str">
        <f>IF(C3176=1,MAX($V$2:$V3175)+1,IF(AND($T3176&lt;&gt;"",$T3176=$T3175),$U3175,IF(C3176="x",V3175,"")))</f>
        <v/>
      </c>
      <c r="X3176" cm="1">
        <f t="array" ref="X3176">IF($I3176&lt;&gt;"",$I3176,INDEX($I$1:$I3176,ROW()-COUNTIFS($T$1:$T3176,"="&amp;$T3176,$S$1:$S3176,"&lt;"&amp;$S3176)))</f>
        <v>0</v>
      </c>
      <c r="Z3176" s="6">
        <f t="shared" si="438"/>
        <v>1</v>
      </c>
      <c r="AA3176" t="e">
        <f t="shared" si="439"/>
        <v>#VALUE!</v>
      </c>
      <c r="AB3176" t="str">
        <f t="shared" si="440"/>
        <v/>
      </c>
      <c r="AC3176" t="e">
        <f t="shared" si="441"/>
        <v>#VALUE!</v>
      </c>
    </row>
    <row r="3177" spans="1:29" x14ac:dyDescent="0.2">
      <c r="A3177" t="str">
        <f t="shared" si="442"/>
        <v/>
      </c>
      <c r="E3177" s="4"/>
      <c r="F3177" s="46"/>
      <c r="G3177" s="4"/>
      <c r="H3177" s="48"/>
      <c r="J3177" s="26" t="str">
        <f t="shared" si="443"/>
        <v/>
      </c>
      <c r="N3177" t="str">
        <f t="shared" si="444"/>
        <v/>
      </c>
      <c r="Q3177" t="str">
        <f t="shared" si="445"/>
        <v/>
      </c>
      <c r="S3177" t="str">
        <f>IF(A3177=1,MAX($S$2:$S3176)+1,IF(OR($I3177&lt;&gt;"",A3177="x"),$S3176,""))</f>
        <v/>
      </c>
      <c r="T3177" t="str">
        <f>IF(D3177=1,MAX($T$2:$T3176)+1,IF(S3177=S3176,$T3176,IF(D3177="x",T3176,IF(D3176="x","",""))))</f>
        <v/>
      </c>
      <c r="U3177" t="str">
        <f>IF(B3177=1,MAX($U$2:$U3176)+1,IF(AND($T3177&lt;&gt;"",$T3177=$T3176),$U3176,IF(B3177="x",U3176,"")))</f>
        <v/>
      </c>
      <c r="V3177" t="str">
        <f>IF(C3177=1,MAX($V$2:$V3176)+1,IF(AND($T3177&lt;&gt;"",$T3177=$T3176),$U3176,IF(C3177="x",V3176,"")))</f>
        <v/>
      </c>
      <c r="X3177" cm="1">
        <f t="array" ref="X3177">IF($I3177&lt;&gt;"",$I3177,INDEX($I$1:$I3177,ROW()-COUNTIFS($T$1:$T3177,"="&amp;$T3177,$S$1:$S3177,"&lt;"&amp;$S3177)))</f>
        <v>0</v>
      </c>
      <c r="Z3177" s="6">
        <f t="shared" si="438"/>
        <v>1</v>
      </c>
      <c r="AA3177" t="e">
        <f t="shared" si="439"/>
        <v>#VALUE!</v>
      </c>
      <c r="AB3177" t="str">
        <f t="shared" si="440"/>
        <v/>
      </c>
      <c r="AC3177" t="e">
        <f t="shared" si="441"/>
        <v>#VALUE!</v>
      </c>
    </row>
    <row r="3178" spans="1:29" x14ac:dyDescent="0.2">
      <c r="A3178" t="str">
        <f t="shared" si="442"/>
        <v/>
      </c>
      <c r="E3178" s="4"/>
      <c r="F3178" s="46"/>
      <c r="G3178" s="4"/>
      <c r="H3178" s="48"/>
      <c r="J3178" s="26" t="str">
        <f t="shared" si="443"/>
        <v/>
      </c>
      <c r="N3178" t="str">
        <f t="shared" si="444"/>
        <v/>
      </c>
      <c r="Q3178" t="str">
        <f t="shared" si="445"/>
        <v/>
      </c>
      <c r="S3178" t="str">
        <f>IF(A3178=1,MAX($S$2:$S3177)+1,IF(OR($I3178&lt;&gt;"",A3178="x"),$S3177,""))</f>
        <v/>
      </c>
      <c r="T3178" t="str">
        <f>IF(D3178=1,MAX($T$2:$T3177)+1,IF(S3178=S3177,$T3177,IF(D3178="x",T3177,IF(D3177="x","",""))))</f>
        <v/>
      </c>
      <c r="U3178" t="str">
        <f>IF(B3178=1,MAX($U$2:$U3177)+1,IF(AND($T3178&lt;&gt;"",$T3178=$T3177),$U3177,IF(B3178="x",U3177,"")))</f>
        <v/>
      </c>
      <c r="V3178" t="str">
        <f>IF(C3178=1,MAX($V$2:$V3177)+1,IF(AND($T3178&lt;&gt;"",$T3178=$T3177),$U3177,IF(C3178="x",V3177,"")))</f>
        <v/>
      </c>
      <c r="X3178" cm="1">
        <f t="array" ref="X3178">IF($I3178&lt;&gt;"",$I3178,INDEX($I$1:$I3178,ROW()-COUNTIFS($T$1:$T3178,"="&amp;$T3178,$S$1:$S3178,"&lt;"&amp;$S3178)))</f>
        <v>0</v>
      </c>
      <c r="Z3178" s="6">
        <f t="shared" si="438"/>
        <v>1</v>
      </c>
      <c r="AA3178" t="e">
        <f t="shared" si="439"/>
        <v>#VALUE!</v>
      </c>
      <c r="AB3178" t="str">
        <f t="shared" si="440"/>
        <v/>
      </c>
      <c r="AC3178" t="e">
        <f t="shared" si="441"/>
        <v>#VALUE!</v>
      </c>
    </row>
    <row r="3179" spans="1:29" x14ac:dyDescent="0.2">
      <c r="A3179" t="str">
        <f t="shared" si="442"/>
        <v/>
      </c>
      <c r="E3179" s="4"/>
      <c r="F3179" s="46"/>
      <c r="G3179" s="4"/>
      <c r="H3179" s="48"/>
      <c r="J3179" s="26" t="str">
        <f t="shared" si="443"/>
        <v/>
      </c>
      <c r="N3179" t="str">
        <f t="shared" si="444"/>
        <v/>
      </c>
      <c r="Q3179" t="str">
        <f t="shared" si="445"/>
        <v/>
      </c>
      <c r="S3179" t="str">
        <f>IF(A3179=1,MAX($S$2:$S3178)+1,IF(OR($I3179&lt;&gt;"",A3179="x"),$S3178,""))</f>
        <v/>
      </c>
      <c r="T3179" t="str">
        <f>IF(D3179=1,MAX($T$2:$T3178)+1,IF(S3179=S3178,$T3178,IF(D3179="x",T3178,IF(D3178="x","",""))))</f>
        <v/>
      </c>
      <c r="U3179" t="str">
        <f>IF(B3179=1,MAX($U$2:$U3178)+1,IF(AND($T3179&lt;&gt;"",$T3179=$T3178),$U3178,IF(B3179="x",U3178,"")))</f>
        <v/>
      </c>
      <c r="V3179" t="str">
        <f>IF(C3179=1,MAX($V$2:$V3178)+1,IF(AND($T3179&lt;&gt;"",$T3179=$T3178),$U3178,IF(C3179="x",V3178,"")))</f>
        <v/>
      </c>
      <c r="X3179" cm="1">
        <f t="array" ref="X3179">IF($I3179&lt;&gt;"",$I3179,INDEX($I$1:$I3179,ROW()-COUNTIFS($T$1:$T3179,"="&amp;$T3179,$S$1:$S3179,"&lt;"&amp;$S3179)))</f>
        <v>0</v>
      </c>
      <c r="Z3179" s="6">
        <f t="shared" si="438"/>
        <v>1</v>
      </c>
      <c r="AA3179" t="e">
        <f t="shared" si="439"/>
        <v>#VALUE!</v>
      </c>
      <c r="AB3179" t="str">
        <f t="shared" si="440"/>
        <v/>
      </c>
      <c r="AC3179" t="e">
        <f t="shared" si="441"/>
        <v>#VALUE!</v>
      </c>
    </row>
    <row r="3180" spans="1:29" x14ac:dyDescent="0.2">
      <c r="A3180" t="str">
        <f t="shared" si="442"/>
        <v/>
      </c>
      <c r="E3180" s="4"/>
      <c r="F3180" s="46"/>
      <c r="G3180" s="4"/>
      <c r="H3180" s="48"/>
      <c r="J3180" s="26" t="str">
        <f t="shared" si="443"/>
        <v/>
      </c>
      <c r="N3180" t="str">
        <f t="shared" si="444"/>
        <v/>
      </c>
      <c r="Q3180" t="str">
        <f t="shared" si="445"/>
        <v/>
      </c>
      <c r="S3180" t="str">
        <f>IF(A3180=1,MAX($S$2:$S3179)+1,IF(OR($I3180&lt;&gt;"",A3180="x"),$S3179,""))</f>
        <v/>
      </c>
      <c r="T3180" t="str">
        <f>IF(D3180=1,MAX($T$2:$T3179)+1,IF(S3180=S3179,$T3179,IF(D3180="x",T3179,IF(D3179="x","",""))))</f>
        <v/>
      </c>
      <c r="U3180" t="str">
        <f>IF(B3180=1,MAX($U$2:$U3179)+1,IF(AND($T3180&lt;&gt;"",$T3180=$T3179),$U3179,IF(B3180="x",U3179,"")))</f>
        <v/>
      </c>
      <c r="V3180" t="str">
        <f>IF(C3180=1,MAX($V$2:$V3179)+1,IF(AND($T3180&lt;&gt;"",$T3180=$T3179),$U3179,IF(C3180="x",V3179,"")))</f>
        <v/>
      </c>
      <c r="X3180" cm="1">
        <f t="array" ref="X3180">IF($I3180&lt;&gt;"",$I3180,INDEX($I$1:$I3180,ROW()-COUNTIFS($T$1:$T3180,"="&amp;$T3180,$S$1:$S3180,"&lt;"&amp;$S3180)))</f>
        <v>0</v>
      </c>
      <c r="Z3180" s="6">
        <f t="shared" si="438"/>
        <v>1</v>
      </c>
      <c r="AA3180" t="e">
        <f t="shared" si="439"/>
        <v>#VALUE!</v>
      </c>
      <c r="AB3180" t="str">
        <f t="shared" si="440"/>
        <v/>
      </c>
      <c r="AC3180" t="e">
        <f t="shared" si="441"/>
        <v>#VALUE!</v>
      </c>
    </row>
    <row r="3181" spans="1:29" x14ac:dyDescent="0.2">
      <c r="A3181" t="str">
        <f t="shared" si="442"/>
        <v/>
      </c>
      <c r="E3181" s="4"/>
      <c r="F3181" s="46"/>
      <c r="G3181" s="4"/>
      <c r="H3181" s="48"/>
      <c r="J3181" s="26" t="str">
        <f t="shared" si="443"/>
        <v/>
      </c>
      <c r="N3181" t="str">
        <f t="shared" si="444"/>
        <v/>
      </c>
      <c r="Q3181" t="str">
        <f t="shared" si="445"/>
        <v/>
      </c>
      <c r="S3181" t="str">
        <f>IF(A3181=1,MAX($S$2:$S3180)+1,IF(OR($I3181&lt;&gt;"",A3181="x"),$S3180,""))</f>
        <v/>
      </c>
      <c r="T3181" t="str">
        <f>IF(D3181=1,MAX($T$2:$T3180)+1,IF(S3181=S3180,$T3180,IF(D3181="x",T3180,IF(D3180="x","",""))))</f>
        <v/>
      </c>
      <c r="U3181" t="str">
        <f>IF(B3181=1,MAX($U$2:$U3180)+1,IF(AND($T3181&lt;&gt;"",$T3181=$T3180),$U3180,IF(B3181="x",U3180,"")))</f>
        <v/>
      </c>
      <c r="V3181" t="str">
        <f>IF(C3181=1,MAX($V$2:$V3180)+1,IF(AND($T3181&lt;&gt;"",$T3181=$T3180),$U3180,IF(C3181="x",V3180,"")))</f>
        <v/>
      </c>
      <c r="X3181" cm="1">
        <f t="array" ref="X3181">IF($I3181&lt;&gt;"",$I3181,INDEX($I$1:$I3181,ROW()-COUNTIFS($T$1:$T3181,"="&amp;$T3181,$S$1:$S3181,"&lt;"&amp;$S3181)))</f>
        <v>0</v>
      </c>
      <c r="Z3181" s="6">
        <f t="shared" si="438"/>
        <v>1</v>
      </c>
      <c r="AA3181" t="e">
        <f t="shared" si="439"/>
        <v>#VALUE!</v>
      </c>
      <c r="AB3181" t="str">
        <f t="shared" si="440"/>
        <v/>
      </c>
      <c r="AC3181" t="e">
        <f t="shared" si="441"/>
        <v>#VALUE!</v>
      </c>
    </row>
    <row r="3182" spans="1:29" x14ac:dyDescent="0.2">
      <c r="A3182" t="str">
        <f t="shared" si="442"/>
        <v/>
      </c>
      <c r="E3182" s="4"/>
      <c r="F3182" s="46"/>
      <c r="G3182" s="4"/>
      <c r="H3182" s="48"/>
      <c r="J3182" s="26" t="str">
        <f t="shared" si="443"/>
        <v/>
      </c>
      <c r="N3182" t="str">
        <f t="shared" si="444"/>
        <v/>
      </c>
      <c r="Q3182" t="str">
        <f t="shared" si="445"/>
        <v/>
      </c>
      <c r="S3182" t="str">
        <f>IF(A3182=1,MAX($S$2:$S3181)+1,IF(OR($I3182&lt;&gt;"",A3182="x"),$S3181,""))</f>
        <v/>
      </c>
      <c r="T3182" t="str">
        <f>IF(D3182=1,MAX($T$2:$T3181)+1,IF(S3182=S3181,$T3181,IF(D3182="x",T3181,IF(D3181="x","",""))))</f>
        <v/>
      </c>
      <c r="U3182" t="str">
        <f>IF(B3182=1,MAX($U$2:$U3181)+1,IF(AND($T3182&lt;&gt;"",$T3182=$T3181),$U3181,IF(B3182="x",U3181,"")))</f>
        <v/>
      </c>
      <c r="V3182" t="str">
        <f>IF(C3182=1,MAX($V$2:$V3181)+1,IF(AND($T3182&lt;&gt;"",$T3182=$T3181),$U3181,IF(C3182="x",V3181,"")))</f>
        <v/>
      </c>
      <c r="X3182" cm="1">
        <f t="array" ref="X3182">IF($I3182&lt;&gt;"",$I3182,INDEX($I$1:$I3182,ROW()-COUNTIFS($T$1:$T3182,"="&amp;$T3182,$S$1:$S3182,"&lt;"&amp;$S3182)))</f>
        <v>0</v>
      </c>
      <c r="Z3182" s="6">
        <f t="shared" si="438"/>
        <v>1</v>
      </c>
      <c r="AA3182" t="e">
        <f t="shared" si="439"/>
        <v>#VALUE!</v>
      </c>
      <c r="AB3182" t="str">
        <f t="shared" si="440"/>
        <v/>
      </c>
      <c r="AC3182" t="e">
        <f t="shared" si="441"/>
        <v>#VALUE!</v>
      </c>
    </row>
    <row r="3183" spans="1:29" x14ac:dyDescent="0.2">
      <c r="A3183" t="str">
        <f t="shared" si="442"/>
        <v/>
      </c>
      <c r="E3183" s="4"/>
      <c r="F3183" s="46"/>
      <c r="G3183" s="4"/>
      <c r="H3183" s="48"/>
      <c r="J3183" s="26" t="str">
        <f t="shared" si="443"/>
        <v/>
      </c>
      <c r="N3183" t="str">
        <f t="shared" si="444"/>
        <v/>
      </c>
      <c r="Q3183" t="str">
        <f t="shared" si="445"/>
        <v/>
      </c>
      <c r="S3183" t="str">
        <f>IF(A3183=1,MAX($S$2:$S3182)+1,IF(OR($I3183&lt;&gt;"",A3183="x"),$S3182,""))</f>
        <v/>
      </c>
      <c r="T3183" t="str">
        <f>IF(D3183=1,MAX($T$2:$T3182)+1,IF(S3183=S3182,$T3182,IF(D3183="x",T3182,IF(D3182="x","",""))))</f>
        <v/>
      </c>
      <c r="U3183" t="str">
        <f>IF(B3183=1,MAX($U$2:$U3182)+1,IF(AND($T3183&lt;&gt;"",$T3183=$T3182),$U3182,IF(B3183="x",U3182,"")))</f>
        <v/>
      </c>
      <c r="V3183" t="str">
        <f>IF(C3183=1,MAX($V$2:$V3182)+1,IF(AND($T3183&lt;&gt;"",$T3183=$T3182),$U3182,IF(C3183="x",V3182,"")))</f>
        <v/>
      </c>
      <c r="X3183" cm="1">
        <f t="array" ref="X3183">IF($I3183&lt;&gt;"",$I3183,INDEX($I$1:$I3183,ROW()-COUNTIFS($T$1:$T3183,"="&amp;$T3183,$S$1:$S3183,"&lt;"&amp;$S3183)))</f>
        <v>0</v>
      </c>
      <c r="Z3183" s="6">
        <f t="shared" si="438"/>
        <v>1</v>
      </c>
      <c r="AA3183" t="e">
        <f t="shared" si="439"/>
        <v>#VALUE!</v>
      </c>
      <c r="AB3183" t="str">
        <f t="shared" si="440"/>
        <v/>
      </c>
      <c r="AC3183" t="e">
        <f t="shared" si="441"/>
        <v>#VALUE!</v>
      </c>
    </row>
    <row r="3184" spans="1:29" x14ac:dyDescent="0.2">
      <c r="A3184" t="str">
        <f t="shared" si="442"/>
        <v/>
      </c>
      <c r="E3184" s="4"/>
      <c r="F3184" s="46"/>
      <c r="G3184" s="4"/>
      <c r="H3184" s="48"/>
      <c r="J3184" s="26" t="str">
        <f t="shared" si="443"/>
        <v/>
      </c>
      <c r="N3184" t="str">
        <f t="shared" si="444"/>
        <v/>
      </c>
      <c r="Q3184" t="str">
        <f t="shared" si="445"/>
        <v/>
      </c>
      <c r="S3184" t="str">
        <f>IF(A3184=1,MAX($S$2:$S3183)+1,IF(OR($I3184&lt;&gt;"",A3184="x"),$S3183,""))</f>
        <v/>
      </c>
      <c r="T3184" t="str">
        <f>IF(D3184=1,MAX($T$2:$T3183)+1,IF(S3184=S3183,$T3183,IF(D3184="x",T3183,IF(D3183="x","",""))))</f>
        <v/>
      </c>
      <c r="U3184" t="str">
        <f>IF(B3184=1,MAX($U$2:$U3183)+1,IF(AND($T3184&lt;&gt;"",$T3184=$T3183),$U3183,IF(B3184="x",U3183,"")))</f>
        <v/>
      </c>
      <c r="V3184" t="str">
        <f>IF(C3184=1,MAX($V$2:$V3183)+1,IF(AND($T3184&lt;&gt;"",$T3184=$T3183),$U3183,IF(C3184="x",V3183,"")))</f>
        <v/>
      </c>
      <c r="X3184" cm="1">
        <f t="array" ref="X3184">IF($I3184&lt;&gt;"",$I3184,INDEX($I$1:$I3184,ROW()-COUNTIFS($T$1:$T3184,"="&amp;$T3184,$S$1:$S3184,"&lt;"&amp;$S3184)))</f>
        <v>0</v>
      </c>
      <c r="Z3184" s="6">
        <f t="shared" si="438"/>
        <v>1</v>
      </c>
      <c r="AA3184" t="e">
        <f t="shared" si="439"/>
        <v>#VALUE!</v>
      </c>
      <c r="AB3184" t="str">
        <f t="shared" si="440"/>
        <v/>
      </c>
      <c r="AC3184" t="e">
        <f t="shared" si="441"/>
        <v>#VALUE!</v>
      </c>
    </row>
    <row r="3185" spans="1:29" x14ac:dyDescent="0.2">
      <c r="A3185" t="str">
        <f t="shared" si="442"/>
        <v/>
      </c>
      <c r="E3185" s="4"/>
      <c r="F3185" s="46"/>
      <c r="G3185" s="4"/>
      <c r="H3185" s="48"/>
      <c r="J3185" s="26" t="str">
        <f t="shared" si="443"/>
        <v/>
      </c>
      <c r="N3185" t="str">
        <f t="shared" si="444"/>
        <v/>
      </c>
      <c r="Q3185" t="str">
        <f t="shared" si="445"/>
        <v/>
      </c>
      <c r="S3185" t="str">
        <f>IF(A3185=1,MAX($S$2:$S3184)+1,IF(OR($I3185&lt;&gt;"",A3185="x"),$S3184,""))</f>
        <v/>
      </c>
      <c r="T3185" t="str">
        <f>IF(D3185=1,MAX($T$2:$T3184)+1,IF(S3185=S3184,$T3184,IF(D3185="x",T3184,IF(D3184="x","",""))))</f>
        <v/>
      </c>
      <c r="U3185" t="str">
        <f>IF(B3185=1,MAX($U$2:$U3184)+1,IF(AND($T3185&lt;&gt;"",$T3185=$T3184),$U3184,IF(B3185="x",U3184,"")))</f>
        <v/>
      </c>
      <c r="V3185" t="str">
        <f>IF(C3185=1,MAX($V$2:$V3184)+1,IF(AND($T3185&lt;&gt;"",$T3185=$T3184),$U3184,IF(C3185="x",V3184,"")))</f>
        <v/>
      </c>
      <c r="X3185" cm="1">
        <f t="array" ref="X3185">IF($I3185&lt;&gt;"",$I3185,INDEX($I$1:$I3185,ROW()-COUNTIFS($T$1:$T3185,"="&amp;$T3185,$S$1:$S3185,"&lt;"&amp;$S3185)))</f>
        <v>0</v>
      </c>
      <c r="Z3185" s="6">
        <f t="shared" si="438"/>
        <v>1</v>
      </c>
      <c r="AA3185" t="e">
        <f t="shared" si="439"/>
        <v>#VALUE!</v>
      </c>
      <c r="AB3185" t="str">
        <f t="shared" si="440"/>
        <v/>
      </c>
      <c r="AC3185" t="e">
        <f t="shared" si="441"/>
        <v>#VALUE!</v>
      </c>
    </row>
    <row r="3186" spans="1:29" x14ac:dyDescent="0.2">
      <c r="A3186" t="str">
        <f t="shared" si="442"/>
        <v/>
      </c>
      <c r="E3186" s="4"/>
      <c r="F3186" s="46"/>
      <c r="G3186" s="4"/>
      <c r="H3186" s="48"/>
      <c r="J3186" s="26" t="str">
        <f t="shared" si="443"/>
        <v/>
      </c>
      <c r="N3186" t="str">
        <f t="shared" si="444"/>
        <v/>
      </c>
      <c r="Q3186" t="str">
        <f t="shared" si="445"/>
        <v/>
      </c>
      <c r="S3186" t="str">
        <f>IF(A3186=1,MAX($S$2:$S3185)+1,IF(OR($I3186&lt;&gt;"",A3186="x"),$S3185,""))</f>
        <v/>
      </c>
      <c r="T3186" t="str">
        <f>IF(D3186=1,MAX($T$2:$T3185)+1,IF(S3186=S3185,$T3185,IF(D3186="x",T3185,IF(D3185="x","",""))))</f>
        <v/>
      </c>
      <c r="U3186" t="str">
        <f>IF(B3186=1,MAX($U$2:$U3185)+1,IF(AND($T3186&lt;&gt;"",$T3186=$T3185),$U3185,IF(B3186="x",U3185,"")))</f>
        <v/>
      </c>
      <c r="V3186" t="str">
        <f>IF(C3186=1,MAX($V$2:$V3185)+1,IF(AND($T3186&lt;&gt;"",$T3186=$T3185),$U3185,IF(C3186="x",V3185,"")))</f>
        <v/>
      </c>
      <c r="X3186" cm="1">
        <f t="array" ref="X3186">IF($I3186&lt;&gt;"",$I3186,INDEX($I$1:$I3186,ROW()-COUNTIFS($T$1:$T3186,"="&amp;$T3186,$S$1:$S3186,"&lt;"&amp;$S3186)))</f>
        <v>0</v>
      </c>
      <c r="Z3186" s="6">
        <f t="shared" si="438"/>
        <v>1</v>
      </c>
      <c r="AA3186" t="e">
        <f t="shared" si="439"/>
        <v>#VALUE!</v>
      </c>
      <c r="AB3186" t="str">
        <f t="shared" si="440"/>
        <v/>
      </c>
      <c r="AC3186" t="e">
        <f t="shared" si="441"/>
        <v>#VALUE!</v>
      </c>
    </row>
    <row r="3187" spans="1:29" x14ac:dyDescent="0.2">
      <c r="A3187" t="str">
        <f t="shared" si="442"/>
        <v/>
      </c>
      <c r="E3187" s="4"/>
      <c r="F3187" s="46"/>
      <c r="G3187" s="4"/>
      <c r="H3187" s="48"/>
      <c r="J3187" s="26" t="str">
        <f t="shared" si="443"/>
        <v/>
      </c>
      <c r="N3187" t="str">
        <f t="shared" si="444"/>
        <v/>
      </c>
      <c r="Q3187" t="str">
        <f t="shared" si="445"/>
        <v/>
      </c>
      <c r="S3187" t="str">
        <f>IF(A3187=1,MAX($S$2:$S3186)+1,IF(OR($I3187&lt;&gt;"",A3187="x"),$S3186,""))</f>
        <v/>
      </c>
      <c r="T3187" t="str">
        <f>IF(D3187=1,MAX($T$2:$T3186)+1,IF(S3187=S3186,$T3186,IF(D3187="x",T3186,IF(D3186="x","",""))))</f>
        <v/>
      </c>
      <c r="U3187" t="str">
        <f>IF(B3187=1,MAX($U$2:$U3186)+1,IF(AND($T3187&lt;&gt;"",$T3187=$T3186),$U3186,IF(B3187="x",U3186,"")))</f>
        <v/>
      </c>
      <c r="V3187" t="str">
        <f>IF(C3187=1,MAX($V$2:$V3186)+1,IF(AND($T3187&lt;&gt;"",$T3187=$T3186),$U3186,IF(C3187="x",V3186,"")))</f>
        <v/>
      </c>
      <c r="X3187" cm="1">
        <f t="array" ref="X3187">IF($I3187&lt;&gt;"",$I3187,INDEX($I$1:$I3187,ROW()-COUNTIFS($T$1:$T3187,"="&amp;$T3187,$S$1:$S3187,"&lt;"&amp;$S3187)))</f>
        <v>0</v>
      </c>
      <c r="Z3187" s="6">
        <f t="shared" si="438"/>
        <v>1</v>
      </c>
      <c r="AA3187" t="e">
        <f t="shared" si="439"/>
        <v>#VALUE!</v>
      </c>
      <c r="AB3187" t="str">
        <f t="shared" si="440"/>
        <v/>
      </c>
      <c r="AC3187" t="e">
        <f t="shared" si="441"/>
        <v>#VALUE!</v>
      </c>
    </row>
    <row r="3188" spans="1:29" x14ac:dyDescent="0.2">
      <c r="A3188" t="str">
        <f t="shared" si="442"/>
        <v/>
      </c>
      <c r="E3188" s="4"/>
      <c r="F3188" s="46"/>
      <c r="G3188" s="4"/>
      <c r="H3188" s="48"/>
      <c r="J3188" s="26" t="str">
        <f t="shared" si="443"/>
        <v/>
      </c>
      <c r="N3188" t="str">
        <f t="shared" si="444"/>
        <v/>
      </c>
      <c r="Q3188" t="str">
        <f t="shared" si="445"/>
        <v/>
      </c>
      <c r="S3188" t="str">
        <f>IF(A3188=1,MAX($S$2:$S3187)+1,IF(OR($I3188&lt;&gt;"",A3188="x"),$S3187,""))</f>
        <v/>
      </c>
      <c r="T3188" t="str">
        <f>IF(D3188=1,MAX($T$2:$T3187)+1,IF(S3188=S3187,$T3187,IF(D3188="x",T3187,IF(D3187="x","",""))))</f>
        <v/>
      </c>
      <c r="U3188" t="str">
        <f>IF(B3188=1,MAX($U$2:$U3187)+1,IF(AND($T3188&lt;&gt;"",$T3188=$T3187),$U3187,IF(B3188="x",U3187,"")))</f>
        <v/>
      </c>
      <c r="V3188" t="str">
        <f>IF(C3188=1,MAX($V$2:$V3187)+1,IF(AND($T3188&lt;&gt;"",$T3188=$T3187),$U3187,IF(C3188="x",V3187,"")))</f>
        <v/>
      </c>
      <c r="X3188" cm="1">
        <f t="array" ref="X3188">IF($I3188&lt;&gt;"",$I3188,INDEX($I$1:$I3188,ROW()-COUNTIFS($T$1:$T3188,"="&amp;$T3188,$S$1:$S3188,"&lt;"&amp;$S3188)))</f>
        <v>0</v>
      </c>
      <c r="Z3188" s="6">
        <f t="shared" si="438"/>
        <v>1</v>
      </c>
      <c r="AA3188" t="e">
        <f t="shared" si="439"/>
        <v>#VALUE!</v>
      </c>
      <c r="AB3188" t="str">
        <f t="shared" si="440"/>
        <v/>
      </c>
      <c r="AC3188" t="e">
        <f t="shared" si="441"/>
        <v>#VALUE!</v>
      </c>
    </row>
    <row r="3189" spans="1:29" x14ac:dyDescent="0.2">
      <c r="A3189" t="str">
        <f t="shared" si="442"/>
        <v/>
      </c>
      <c r="E3189" s="4"/>
      <c r="F3189" s="46"/>
      <c r="G3189" s="4"/>
      <c r="H3189" s="48"/>
      <c r="J3189" s="26" t="str">
        <f t="shared" si="443"/>
        <v/>
      </c>
      <c r="N3189" t="str">
        <f t="shared" si="444"/>
        <v/>
      </c>
      <c r="Q3189" t="str">
        <f t="shared" si="445"/>
        <v/>
      </c>
      <c r="S3189" t="str">
        <f>IF(A3189=1,MAX($S$2:$S3188)+1,IF(OR($I3189&lt;&gt;"",A3189="x"),$S3188,""))</f>
        <v/>
      </c>
      <c r="T3189" t="str">
        <f>IF(D3189=1,MAX($T$2:$T3188)+1,IF(S3189=S3188,$T3188,IF(D3189="x",T3188,IF(D3188="x","",""))))</f>
        <v/>
      </c>
      <c r="U3189" t="str">
        <f>IF(B3189=1,MAX($U$2:$U3188)+1,IF(AND($T3189&lt;&gt;"",$T3189=$T3188),$U3188,IF(B3189="x",U3188,"")))</f>
        <v/>
      </c>
      <c r="V3189" t="str">
        <f>IF(C3189=1,MAX($V$2:$V3188)+1,IF(AND($T3189&lt;&gt;"",$T3189=$T3188),$U3188,IF(C3189="x",V3188,"")))</f>
        <v/>
      </c>
      <c r="X3189" cm="1">
        <f t="array" ref="X3189">IF($I3189&lt;&gt;"",$I3189,INDEX($I$1:$I3189,ROW()-COUNTIFS($T$1:$T3189,"="&amp;$T3189,$S$1:$S3189,"&lt;"&amp;$S3189)))</f>
        <v>0</v>
      </c>
      <c r="Z3189" s="6">
        <f t="shared" si="438"/>
        <v>1</v>
      </c>
      <c r="AA3189" t="e">
        <f t="shared" si="439"/>
        <v>#VALUE!</v>
      </c>
      <c r="AB3189" t="str">
        <f t="shared" si="440"/>
        <v/>
      </c>
      <c r="AC3189" t="e">
        <f t="shared" si="441"/>
        <v>#VALUE!</v>
      </c>
    </row>
    <row r="3190" spans="1:29" x14ac:dyDescent="0.2">
      <c r="A3190" t="str">
        <f t="shared" si="442"/>
        <v/>
      </c>
      <c r="E3190" s="4"/>
      <c r="F3190" s="46"/>
      <c r="G3190" s="4"/>
      <c r="H3190" s="48"/>
      <c r="J3190" s="26" t="str">
        <f t="shared" si="443"/>
        <v/>
      </c>
      <c r="N3190" t="str">
        <f t="shared" si="444"/>
        <v/>
      </c>
      <c r="Q3190" t="str">
        <f t="shared" si="445"/>
        <v/>
      </c>
      <c r="S3190" t="str">
        <f>IF(A3190=1,MAX($S$2:$S3189)+1,IF(OR($I3190&lt;&gt;"",A3190="x"),$S3189,""))</f>
        <v/>
      </c>
      <c r="T3190" t="str">
        <f>IF(D3190=1,MAX($T$2:$T3189)+1,IF(S3190=S3189,$T3189,IF(D3190="x",T3189,IF(D3189="x","",""))))</f>
        <v/>
      </c>
      <c r="U3190" t="str">
        <f>IF(B3190=1,MAX($U$2:$U3189)+1,IF(AND($T3190&lt;&gt;"",$T3190=$T3189),$U3189,IF(B3190="x",U3189,"")))</f>
        <v/>
      </c>
      <c r="V3190" t="str">
        <f>IF(C3190=1,MAX($V$2:$V3189)+1,IF(AND($T3190&lt;&gt;"",$T3190=$T3189),$U3189,IF(C3190="x",V3189,"")))</f>
        <v/>
      </c>
      <c r="X3190" cm="1">
        <f t="array" ref="X3190">IF($I3190&lt;&gt;"",$I3190,INDEX($I$1:$I3190,ROW()-COUNTIFS($T$1:$T3190,"="&amp;$T3190,$S$1:$S3190,"&lt;"&amp;$S3190)))</f>
        <v>0</v>
      </c>
      <c r="Z3190" s="6">
        <f t="shared" si="438"/>
        <v>1</v>
      </c>
      <c r="AA3190" t="e">
        <f t="shared" si="439"/>
        <v>#VALUE!</v>
      </c>
      <c r="AB3190" t="str">
        <f t="shared" si="440"/>
        <v/>
      </c>
      <c r="AC3190" t="e">
        <f t="shared" si="441"/>
        <v>#VALUE!</v>
      </c>
    </row>
    <row r="3191" spans="1:29" x14ac:dyDescent="0.2">
      <c r="A3191" t="str">
        <f t="shared" si="442"/>
        <v/>
      </c>
      <c r="E3191" s="4"/>
      <c r="F3191" s="46"/>
      <c r="G3191" s="4"/>
      <c r="H3191" s="48"/>
      <c r="J3191" s="26" t="str">
        <f t="shared" si="443"/>
        <v/>
      </c>
      <c r="N3191" t="str">
        <f t="shared" si="444"/>
        <v/>
      </c>
      <c r="Q3191" t="str">
        <f t="shared" si="445"/>
        <v/>
      </c>
      <c r="S3191" t="str">
        <f>IF(A3191=1,MAX($S$2:$S3190)+1,IF(OR($I3191&lt;&gt;"",A3191="x"),$S3190,""))</f>
        <v/>
      </c>
      <c r="T3191" t="str">
        <f>IF(D3191=1,MAX($T$2:$T3190)+1,IF(S3191=S3190,$T3190,IF(D3191="x",T3190,IF(D3190="x","",""))))</f>
        <v/>
      </c>
      <c r="U3191" t="str">
        <f>IF(B3191=1,MAX($U$2:$U3190)+1,IF(AND($T3191&lt;&gt;"",$T3191=$T3190),$U3190,IF(B3191="x",U3190,"")))</f>
        <v/>
      </c>
      <c r="V3191" t="str">
        <f>IF(C3191=1,MAX($V$2:$V3190)+1,IF(AND($T3191&lt;&gt;"",$T3191=$T3190),$U3190,IF(C3191="x",V3190,"")))</f>
        <v/>
      </c>
      <c r="X3191" cm="1">
        <f t="array" ref="X3191">IF($I3191&lt;&gt;"",$I3191,INDEX($I$1:$I3191,ROW()-COUNTIFS($T$1:$T3191,"="&amp;$T3191,$S$1:$S3191,"&lt;"&amp;$S3191)))</f>
        <v>0</v>
      </c>
      <c r="Z3191" s="6">
        <f t="shared" si="438"/>
        <v>1</v>
      </c>
      <c r="AA3191" t="e">
        <f t="shared" si="439"/>
        <v>#VALUE!</v>
      </c>
      <c r="AB3191" t="str">
        <f t="shared" si="440"/>
        <v/>
      </c>
      <c r="AC3191" t="e">
        <f t="shared" si="441"/>
        <v>#VALUE!</v>
      </c>
    </row>
    <row r="3192" spans="1:29" x14ac:dyDescent="0.2">
      <c r="A3192" t="str">
        <f t="shared" si="442"/>
        <v/>
      </c>
      <c r="E3192" s="4"/>
      <c r="F3192" s="46"/>
      <c r="G3192" s="4"/>
      <c r="H3192" s="48"/>
      <c r="J3192" s="26" t="str">
        <f t="shared" si="443"/>
        <v/>
      </c>
      <c r="N3192" t="str">
        <f t="shared" si="444"/>
        <v/>
      </c>
      <c r="Q3192" t="str">
        <f t="shared" si="445"/>
        <v/>
      </c>
      <c r="S3192" t="str">
        <f>IF(A3192=1,MAX($S$2:$S3191)+1,IF(OR($I3192&lt;&gt;"",A3192="x"),$S3191,""))</f>
        <v/>
      </c>
      <c r="T3192" t="str">
        <f>IF(D3192=1,MAX($T$2:$T3191)+1,IF(S3192=S3191,$T3191,IF(D3192="x",T3191,IF(D3191="x","",""))))</f>
        <v/>
      </c>
      <c r="U3192" t="str">
        <f>IF(B3192=1,MAX($U$2:$U3191)+1,IF(AND($T3192&lt;&gt;"",$T3192=$T3191),$U3191,IF(B3192="x",U3191,"")))</f>
        <v/>
      </c>
      <c r="V3192" t="str">
        <f>IF(C3192=1,MAX($V$2:$V3191)+1,IF(AND($T3192&lt;&gt;"",$T3192=$T3191),$U3191,IF(C3192="x",V3191,"")))</f>
        <v/>
      </c>
      <c r="X3192" cm="1">
        <f t="array" ref="X3192">IF($I3192&lt;&gt;"",$I3192,INDEX($I$1:$I3192,ROW()-COUNTIFS($T$1:$T3192,"="&amp;$T3192,$S$1:$S3192,"&lt;"&amp;$S3192)))</f>
        <v>0</v>
      </c>
      <c r="Z3192" s="6">
        <f t="shared" si="438"/>
        <v>1</v>
      </c>
      <c r="AA3192" t="e">
        <f t="shared" si="439"/>
        <v>#VALUE!</v>
      </c>
      <c r="AB3192" t="str">
        <f t="shared" si="440"/>
        <v/>
      </c>
      <c r="AC3192" t="e">
        <f t="shared" si="441"/>
        <v>#VALUE!</v>
      </c>
    </row>
    <row r="3193" spans="1:29" x14ac:dyDescent="0.2">
      <c r="A3193" t="str">
        <f t="shared" si="442"/>
        <v/>
      </c>
      <c r="E3193" s="4"/>
      <c r="F3193" s="46"/>
      <c r="G3193" s="4"/>
      <c r="H3193" s="48"/>
      <c r="J3193" s="26" t="str">
        <f t="shared" si="443"/>
        <v/>
      </c>
      <c r="N3193" t="str">
        <f t="shared" si="444"/>
        <v/>
      </c>
      <c r="Q3193" t="str">
        <f t="shared" si="445"/>
        <v/>
      </c>
      <c r="S3193" t="str">
        <f>IF(A3193=1,MAX($S$2:$S3192)+1,IF(OR($I3193&lt;&gt;"",A3193="x"),$S3192,""))</f>
        <v/>
      </c>
      <c r="T3193" t="str">
        <f>IF(D3193=1,MAX($T$2:$T3192)+1,IF(S3193=S3192,$T3192,IF(D3193="x",T3192,IF(D3192="x","",""))))</f>
        <v/>
      </c>
      <c r="U3193" t="str">
        <f>IF(B3193=1,MAX($U$2:$U3192)+1,IF(AND($T3193&lt;&gt;"",$T3193=$T3192),$U3192,IF(B3193="x",U3192,"")))</f>
        <v/>
      </c>
      <c r="V3193" t="str">
        <f>IF(C3193=1,MAX($V$2:$V3192)+1,IF(AND($T3193&lt;&gt;"",$T3193=$T3192),$U3192,IF(C3193="x",V3192,"")))</f>
        <v/>
      </c>
      <c r="X3193" cm="1">
        <f t="array" ref="X3193">IF($I3193&lt;&gt;"",$I3193,INDEX($I$1:$I3193,ROW()-COUNTIFS($T$1:$T3193,"="&amp;$T3193,$S$1:$S3193,"&lt;"&amp;$S3193)))</f>
        <v>0</v>
      </c>
      <c r="Z3193" s="6">
        <f t="shared" si="438"/>
        <v>1</v>
      </c>
      <c r="AA3193" t="e">
        <f t="shared" si="439"/>
        <v>#VALUE!</v>
      </c>
      <c r="AB3193" t="str">
        <f t="shared" si="440"/>
        <v/>
      </c>
      <c r="AC3193" t="e">
        <f t="shared" si="441"/>
        <v>#VALUE!</v>
      </c>
    </row>
    <row r="3194" spans="1:29" x14ac:dyDescent="0.2">
      <c r="A3194" t="str">
        <f t="shared" si="442"/>
        <v/>
      </c>
      <c r="E3194" s="4"/>
      <c r="F3194" s="46"/>
      <c r="G3194" s="4"/>
      <c r="H3194" s="48"/>
      <c r="J3194" s="26" t="str">
        <f t="shared" si="443"/>
        <v/>
      </c>
      <c r="N3194" t="str">
        <f t="shared" si="444"/>
        <v/>
      </c>
      <c r="Q3194" t="str">
        <f t="shared" si="445"/>
        <v/>
      </c>
      <c r="S3194" t="str">
        <f>IF(A3194=1,MAX($S$2:$S3193)+1,IF(OR($I3194&lt;&gt;"",A3194="x"),$S3193,""))</f>
        <v/>
      </c>
      <c r="T3194" t="str">
        <f>IF(D3194=1,MAX($T$2:$T3193)+1,IF(S3194=S3193,$T3193,IF(D3194="x",T3193,IF(D3193="x","",""))))</f>
        <v/>
      </c>
      <c r="U3194" t="str">
        <f>IF(B3194=1,MAX($U$2:$U3193)+1,IF(AND($T3194&lt;&gt;"",$T3194=$T3193),$U3193,IF(B3194="x",U3193,"")))</f>
        <v/>
      </c>
      <c r="V3194" t="str">
        <f>IF(C3194=1,MAX($V$2:$V3193)+1,IF(AND($T3194&lt;&gt;"",$T3194=$T3193),$U3193,IF(C3194="x",V3193,"")))</f>
        <v/>
      </c>
      <c r="X3194" cm="1">
        <f t="array" ref="X3194">IF($I3194&lt;&gt;"",$I3194,INDEX($I$1:$I3194,ROW()-COUNTIFS($T$1:$T3194,"="&amp;$T3194,$S$1:$S3194,"&lt;"&amp;$S3194)))</f>
        <v>0</v>
      </c>
      <c r="Z3194" s="6">
        <f t="shared" si="438"/>
        <v>1</v>
      </c>
      <c r="AA3194" t="e">
        <f t="shared" si="439"/>
        <v>#VALUE!</v>
      </c>
      <c r="AB3194" t="str">
        <f t="shared" si="440"/>
        <v/>
      </c>
      <c r="AC3194" t="e">
        <f t="shared" si="441"/>
        <v>#VALUE!</v>
      </c>
    </row>
    <row r="3195" spans="1:29" x14ac:dyDescent="0.2">
      <c r="A3195" t="str">
        <f t="shared" si="442"/>
        <v/>
      </c>
      <c r="E3195" s="4"/>
      <c r="F3195" s="46"/>
      <c r="G3195" s="4"/>
      <c r="H3195" s="48"/>
      <c r="J3195" s="26" t="str">
        <f t="shared" si="443"/>
        <v/>
      </c>
      <c r="N3195" t="str">
        <f t="shared" si="444"/>
        <v/>
      </c>
      <c r="Q3195" t="str">
        <f t="shared" si="445"/>
        <v/>
      </c>
      <c r="S3195" t="str">
        <f>IF(A3195=1,MAX($S$2:$S3194)+1,IF(OR($I3195&lt;&gt;"",A3195="x"),$S3194,""))</f>
        <v/>
      </c>
      <c r="T3195" t="str">
        <f>IF(D3195=1,MAX($T$2:$T3194)+1,IF(S3195=S3194,$T3194,IF(D3195="x",T3194,IF(D3194="x","",""))))</f>
        <v/>
      </c>
      <c r="U3195" t="str">
        <f>IF(B3195=1,MAX($U$2:$U3194)+1,IF(AND($T3195&lt;&gt;"",$T3195=$T3194),$U3194,IF(B3195="x",U3194,"")))</f>
        <v/>
      </c>
      <c r="V3195" t="str">
        <f>IF(C3195=1,MAX($V$2:$V3194)+1,IF(AND($T3195&lt;&gt;"",$T3195=$T3194),$U3194,IF(C3195="x",V3194,"")))</f>
        <v/>
      </c>
      <c r="X3195" cm="1">
        <f t="array" ref="X3195">IF($I3195&lt;&gt;"",$I3195,INDEX($I$1:$I3195,ROW()-COUNTIFS($T$1:$T3195,"="&amp;$T3195,$S$1:$S3195,"&lt;"&amp;$S3195)))</f>
        <v>0</v>
      </c>
      <c r="Z3195" s="6">
        <f t="shared" si="438"/>
        <v>1</v>
      </c>
      <c r="AA3195" t="e">
        <f t="shared" si="439"/>
        <v>#VALUE!</v>
      </c>
      <c r="AB3195" t="str">
        <f t="shared" si="440"/>
        <v/>
      </c>
      <c r="AC3195" t="e">
        <f t="shared" si="441"/>
        <v>#VALUE!</v>
      </c>
    </row>
    <row r="3196" spans="1:29" x14ac:dyDescent="0.2">
      <c r="A3196" t="str">
        <f t="shared" si="442"/>
        <v/>
      </c>
      <c r="E3196" s="4"/>
      <c r="F3196" s="46"/>
      <c r="G3196" s="4"/>
      <c r="H3196" s="48"/>
      <c r="J3196" s="26" t="str">
        <f t="shared" si="443"/>
        <v/>
      </c>
      <c r="N3196" t="str">
        <f t="shared" si="444"/>
        <v/>
      </c>
      <c r="Q3196" t="str">
        <f t="shared" si="445"/>
        <v/>
      </c>
      <c r="S3196" t="str">
        <f>IF(A3196=1,MAX($S$2:$S3195)+1,IF(OR($I3196&lt;&gt;"",A3196="x"),$S3195,""))</f>
        <v/>
      </c>
      <c r="T3196" t="str">
        <f>IF(D3196=1,MAX($T$2:$T3195)+1,IF(S3196=S3195,$T3195,IF(D3196="x",T3195,IF(D3195="x","",""))))</f>
        <v/>
      </c>
      <c r="U3196" t="str">
        <f>IF(B3196=1,MAX($U$2:$U3195)+1,IF(AND($T3196&lt;&gt;"",$T3196=$T3195),$U3195,IF(B3196="x",U3195,"")))</f>
        <v/>
      </c>
      <c r="V3196" t="str">
        <f>IF(C3196=1,MAX($V$2:$V3195)+1,IF(AND($T3196&lt;&gt;"",$T3196=$T3195),$U3195,IF(C3196="x",V3195,"")))</f>
        <v/>
      </c>
      <c r="X3196" cm="1">
        <f t="array" ref="X3196">IF($I3196&lt;&gt;"",$I3196,INDEX($I$1:$I3196,ROW()-COUNTIFS($T$1:$T3196,"="&amp;$T3196,$S$1:$S3196,"&lt;"&amp;$S3196)))</f>
        <v>0</v>
      </c>
      <c r="Z3196" s="6">
        <f t="shared" si="438"/>
        <v>1</v>
      </c>
      <c r="AA3196" t="e">
        <f t="shared" si="439"/>
        <v>#VALUE!</v>
      </c>
      <c r="AB3196" t="str">
        <f t="shared" si="440"/>
        <v/>
      </c>
      <c r="AC3196" t="e">
        <f t="shared" si="441"/>
        <v>#VALUE!</v>
      </c>
    </row>
    <row r="3197" spans="1:29" x14ac:dyDescent="0.2">
      <c r="A3197" t="str">
        <f t="shared" si="442"/>
        <v/>
      </c>
      <c r="E3197" s="4"/>
      <c r="F3197" s="46"/>
      <c r="G3197" s="4"/>
      <c r="H3197" s="48"/>
      <c r="J3197" s="26" t="str">
        <f t="shared" si="443"/>
        <v/>
      </c>
      <c r="N3197" t="str">
        <f t="shared" si="444"/>
        <v/>
      </c>
      <c r="Q3197" t="str">
        <f t="shared" si="445"/>
        <v/>
      </c>
      <c r="S3197" t="str">
        <f>IF(A3197=1,MAX($S$2:$S3196)+1,IF(OR($I3197&lt;&gt;"",A3197="x"),$S3196,""))</f>
        <v/>
      </c>
      <c r="T3197" t="str">
        <f>IF(D3197=1,MAX($T$2:$T3196)+1,IF(S3197=S3196,$T3196,IF(D3197="x",T3196,IF(D3196="x","",""))))</f>
        <v/>
      </c>
      <c r="U3197" t="str">
        <f>IF(B3197=1,MAX($U$2:$U3196)+1,IF(AND($T3197&lt;&gt;"",$T3197=$T3196),$U3196,IF(B3197="x",U3196,"")))</f>
        <v/>
      </c>
      <c r="V3197" t="str">
        <f>IF(C3197=1,MAX($V$2:$V3196)+1,IF(AND($T3197&lt;&gt;"",$T3197=$T3196),$U3196,IF(C3197="x",V3196,"")))</f>
        <v/>
      </c>
      <c r="X3197" cm="1">
        <f t="array" ref="X3197">IF($I3197&lt;&gt;"",$I3197,INDEX($I$1:$I3197,ROW()-COUNTIFS($T$1:$T3197,"="&amp;$T3197,$S$1:$S3197,"&lt;"&amp;$S3197)))</f>
        <v>0</v>
      </c>
      <c r="Z3197" s="6">
        <f t="shared" si="438"/>
        <v>1</v>
      </c>
      <c r="AA3197" t="e">
        <f t="shared" si="439"/>
        <v>#VALUE!</v>
      </c>
      <c r="AB3197" t="str">
        <f t="shared" si="440"/>
        <v/>
      </c>
      <c r="AC3197" t="e">
        <f t="shared" si="441"/>
        <v>#VALUE!</v>
      </c>
    </row>
    <row r="3198" spans="1:29" x14ac:dyDescent="0.2">
      <c r="A3198" t="str">
        <f t="shared" si="442"/>
        <v/>
      </c>
      <c r="E3198" s="4"/>
      <c r="F3198" s="46"/>
      <c r="G3198" s="4"/>
      <c r="H3198" s="48"/>
      <c r="J3198" s="26" t="str">
        <f t="shared" si="443"/>
        <v/>
      </c>
      <c r="N3198" t="str">
        <f t="shared" si="444"/>
        <v/>
      </c>
      <c r="Q3198" t="str">
        <f t="shared" si="445"/>
        <v/>
      </c>
      <c r="S3198" t="str">
        <f>IF(A3198=1,MAX($S$2:$S3197)+1,IF(OR($I3198&lt;&gt;"",A3198="x"),$S3197,""))</f>
        <v/>
      </c>
      <c r="T3198" t="str">
        <f>IF(D3198=1,MAX($T$2:$T3197)+1,IF(S3198=S3197,$T3197,IF(D3198="x",T3197,IF(D3197="x","",""))))</f>
        <v/>
      </c>
      <c r="U3198" t="str">
        <f>IF(B3198=1,MAX($U$2:$U3197)+1,IF(AND($T3198&lt;&gt;"",$T3198=$T3197),$U3197,IF(B3198="x",U3197,"")))</f>
        <v/>
      </c>
      <c r="V3198" t="str">
        <f>IF(C3198=1,MAX($V$2:$V3197)+1,IF(AND($T3198&lt;&gt;"",$T3198=$T3197),$U3197,IF(C3198="x",V3197,"")))</f>
        <v/>
      </c>
      <c r="X3198" cm="1">
        <f t="array" ref="X3198">IF($I3198&lt;&gt;"",$I3198,INDEX($I$1:$I3198,ROW()-COUNTIFS($T$1:$T3198,"="&amp;$T3198,$S$1:$S3198,"&lt;"&amp;$S3198)))</f>
        <v>0</v>
      </c>
      <c r="Z3198" s="6">
        <f t="shared" si="438"/>
        <v>1</v>
      </c>
      <c r="AA3198" t="e">
        <f t="shared" si="439"/>
        <v>#VALUE!</v>
      </c>
      <c r="AB3198" t="str">
        <f t="shared" si="440"/>
        <v/>
      </c>
      <c r="AC3198" t="e">
        <f t="shared" si="441"/>
        <v>#VALUE!</v>
      </c>
    </row>
    <row r="3199" spans="1:29" x14ac:dyDescent="0.2">
      <c r="A3199" t="str">
        <f t="shared" si="442"/>
        <v/>
      </c>
      <c r="E3199" s="4"/>
      <c r="F3199" s="46"/>
      <c r="G3199" s="4"/>
      <c r="H3199" s="48"/>
      <c r="J3199" s="26" t="str">
        <f t="shared" si="443"/>
        <v/>
      </c>
      <c r="N3199" t="str">
        <f t="shared" si="444"/>
        <v/>
      </c>
      <c r="Q3199" t="str">
        <f t="shared" si="445"/>
        <v/>
      </c>
      <c r="S3199" t="str">
        <f>IF(A3199=1,MAX($S$2:$S3198)+1,IF(OR($I3199&lt;&gt;"",A3199="x"),$S3198,""))</f>
        <v/>
      </c>
      <c r="T3199" t="str">
        <f>IF(D3199=1,MAX($T$2:$T3198)+1,IF(S3199=S3198,$T3198,IF(D3199="x",T3198,IF(D3198="x","",""))))</f>
        <v/>
      </c>
      <c r="U3199" t="str">
        <f>IF(B3199=1,MAX($U$2:$U3198)+1,IF(AND($T3199&lt;&gt;"",$T3199=$T3198),$U3198,IF(B3199="x",U3198,"")))</f>
        <v/>
      </c>
      <c r="V3199" t="str">
        <f>IF(C3199=1,MAX($V$2:$V3198)+1,IF(AND($T3199&lt;&gt;"",$T3199=$T3198),$U3198,IF(C3199="x",V3198,"")))</f>
        <v/>
      </c>
      <c r="X3199" cm="1">
        <f t="array" ref="X3199">IF($I3199&lt;&gt;"",$I3199,INDEX($I$1:$I3199,ROW()-COUNTIFS($T$1:$T3199,"="&amp;$T3199,$S$1:$S3199,"&lt;"&amp;$S3199)))</f>
        <v>0</v>
      </c>
      <c r="Z3199" s="6">
        <f t="shared" si="438"/>
        <v>1</v>
      </c>
      <c r="AA3199" t="e">
        <f t="shared" si="439"/>
        <v>#VALUE!</v>
      </c>
      <c r="AB3199" t="str">
        <f t="shared" si="440"/>
        <v/>
      </c>
      <c r="AC3199" t="e">
        <f t="shared" si="441"/>
        <v>#VALUE!</v>
      </c>
    </row>
    <row r="3200" spans="1:29" x14ac:dyDescent="0.2">
      <c r="A3200" t="str">
        <f t="shared" si="442"/>
        <v/>
      </c>
      <c r="E3200" s="4"/>
      <c r="F3200" s="46"/>
      <c r="G3200" s="4"/>
      <c r="H3200" s="48"/>
      <c r="J3200" s="26" t="str">
        <f t="shared" si="443"/>
        <v/>
      </c>
      <c r="N3200" t="str">
        <f t="shared" si="444"/>
        <v/>
      </c>
      <c r="Q3200" t="str">
        <f t="shared" si="445"/>
        <v/>
      </c>
      <c r="S3200" t="str">
        <f>IF(A3200=1,MAX($S$2:$S3199)+1,IF(OR($I3200&lt;&gt;"",A3200="x"),$S3199,""))</f>
        <v/>
      </c>
      <c r="T3200" t="str">
        <f>IF(D3200=1,MAX($T$2:$T3199)+1,IF(S3200=S3199,$T3199,IF(D3200="x",T3199,IF(D3199="x","",""))))</f>
        <v/>
      </c>
      <c r="U3200" t="str">
        <f>IF(B3200=1,MAX($U$2:$U3199)+1,IF(AND($T3200&lt;&gt;"",$T3200=$T3199),$U3199,IF(B3200="x",U3199,"")))</f>
        <v/>
      </c>
      <c r="V3200" t="str">
        <f>IF(C3200=1,MAX($V$2:$V3199)+1,IF(AND($T3200&lt;&gt;"",$T3200=$T3199),$U3199,IF(C3200="x",V3199,"")))</f>
        <v/>
      </c>
      <c r="X3200" cm="1">
        <f t="array" ref="X3200">IF($I3200&lt;&gt;"",$I3200,INDEX($I$1:$I3200,ROW()-COUNTIFS($T$1:$T3200,"="&amp;$T3200,$S$1:$S3200,"&lt;"&amp;$S3200)))</f>
        <v>0</v>
      </c>
      <c r="Z3200" s="6">
        <f t="shared" si="438"/>
        <v>1</v>
      </c>
      <c r="AA3200" t="e">
        <f t="shared" si="439"/>
        <v>#VALUE!</v>
      </c>
      <c r="AB3200" t="str">
        <f t="shared" si="440"/>
        <v/>
      </c>
      <c r="AC3200" t="e">
        <f t="shared" si="441"/>
        <v>#VALUE!</v>
      </c>
    </row>
    <row r="3201" spans="1:29" x14ac:dyDescent="0.2">
      <c r="A3201" t="str">
        <f t="shared" si="442"/>
        <v/>
      </c>
      <c r="E3201" s="4"/>
      <c r="F3201" s="46"/>
      <c r="G3201" s="4"/>
      <c r="H3201" s="48"/>
      <c r="J3201" s="26" t="str">
        <f t="shared" si="443"/>
        <v/>
      </c>
      <c r="N3201" t="str">
        <f t="shared" si="444"/>
        <v/>
      </c>
      <c r="Q3201" t="str">
        <f t="shared" si="445"/>
        <v/>
      </c>
      <c r="S3201" t="str">
        <f>IF(A3201=1,MAX($S$2:$S3200)+1,IF(OR($I3201&lt;&gt;"",A3201="x"),$S3200,""))</f>
        <v/>
      </c>
      <c r="T3201" t="str">
        <f>IF(D3201=1,MAX($T$2:$T3200)+1,IF(S3201=S3200,$T3200,IF(D3201="x",T3200,IF(D3200="x","",""))))</f>
        <v/>
      </c>
      <c r="U3201" t="str">
        <f>IF(B3201=1,MAX($U$2:$U3200)+1,IF(AND($T3201&lt;&gt;"",$T3201=$T3200),$U3200,IF(B3201="x",U3200,"")))</f>
        <v/>
      </c>
      <c r="V3201" t="str">
        <f>IF(C3201=1,MAX($V$2:$V3200)+1,IF(AND($T3201&lt;&gt;"",$T3201=$T3200),$U3200,IF(C3201="x",V3200,"")))</f>
        <v/>
      </c>
      <c r="X3201" cm="1">
        <f t="array" ref="X3201">IF($I3201&lt;&gt;"",$I3201,INDEX($I$1:$I3201,ROW()-COUNTIFS($T$1:$T3201,"="&amp;$T3201,$S$1:$S3201,"&lt;"&amp;$S3201)))</f>
        <v>0</v>
      </c>
      <c r="Z3201" s="6">
        <f t="shared" si="438"/>
        <v>1</v>
      </c>
      <c r="AA3201" t="e">
        <f t="shared" si="439"/>
        <v>#VALUE!</v>
      </c>
      <c r="AB3201" t="str">
        <f t="shared" si="440"/>
        <v/>
      </c>
      <c r="AC3201" t="e">
        <f t="shared" si="441"/>
        <v>#VALUE!</v>
      </c>
    </row>
    <row r="3202" spans="1:29" x14ac:dyDescent="0.2">
      <c r="A3202" t="str">
        <f t="shared" si="442"/>
        <v/>
      </c>
      <c r="E3202" s="4"/>
      <c r="F3202" s="46"/>
      <c r="G3202" s="4"/>
      <c r="H3202" s="48"/>
      <c r="J3202" s="26" t="str">
        <f t="shared" si="443"/>
        <v/>
      </c>
      <c r="N3202" t="str">
        <f t="shared" si="444"/>
        <v/>
      </c>
      <c r="Q3202" t="str">
        <f t="shared" si="445"/>
        <v/>
      </c>
      <c r="S3202" t="str">
        <f>IF(A3202=1,MAX($S$2:$S3201)+1,IF(OR($I3202&lt;&gt;"",A3202="x"),$S3201,""))</f>
        <v/>
      </c>
      <c r="T3202" t="str">
        <f>IF(D3202=1,MAX($T$2:$T3201)+1,IF(S3202=S3201,$T3201,IF(D3202="x",T3201,IF(D3201="x","",""))))</f>
        <v/>
      </c>
      <c r="U3202" t="str">
        <f>IF(B3202=1,MAX($U$2:$U3201)+1,IF(AND($T3202&lt;&gt;"",$T3202=$T3201),$U3201,IF(B3202="x",U3201,"")))</f>
        <v/>
      </c>
      <c r="V3202" t="str">
        <f>IF(C3202=1,MAX($V$2:$V3201)+1,IF(AND($T3202&lt;&gt;"",$T3202=$T3201),$U3201,IF(C3202="x",V3201,"")))</f>
        <v/>
      </c>
      <c r="X3202" cm="1">
        <f t="array" ref="X3202">IF($I3202&lt;&gt;"",$I3202,INDEX($I$1:$I3202,ROW()-COUNTIFS($T$1:$T3202,"="&amp;$T3202,$S$1:$S3202,"&lt;"&amp;$S3202)))</f>
        <v>0</v>
      </c>
      <c r="Z3202" s="6">
        <f t="shared" si="438"/>
        <v>1</v>
      </c>
      <c r="AA3202" t="e">
        <f t="shared" si="439"/>
        <v>#VALUE!</v>
      </c>
      <c r="AB3202" t="str">
        <f t="shared" si="440"/>
        <v/>
      </c>
      <c r="AC3202" t="e">
        <f t="shared" si="441"/>
        <v>#VALUE!</v>
      </c>
    </row>
    <row r="3203" spans="1:29" x14ac:dyDescent="0.2">
      <c r="A3203" t="str">
        <f t="shared" si="442"/>
        <v/>
      </c>
      <c r="E3203" s="4"/>
      <c r="F3203" s="46"/>
      <c r="G3203" s="4"/>
      <c r="H3203" s="48"/>
      <c r="J3203" s="26" t="str">
        <f t="shared" si="443"/>
        <v/>
      </c>
      <c r="N3203" t="str">
        <f t="shared" si="444"/>
        <v/>
      </c>
      <c r="Q3203" t="str">
        <f t="shared" si="445"/>
        <v/>
      </c>
      <c r="S3203" t="str">
        <f>IF(A3203=1,MAX($S$2:$S3202)+1,IF(OR($I3203&lt;&gt;"",A3203="x"),$S3202,""))</f>
        <v/>
      </c>
      <c r="T3203" t="str">
        <f>IF(D3203=1,MAX($T$2:$T3202)+1,IF(S3203=S3202,$T3202,IF(D3203="x",T3202,IF(D3202="x","",""))))</f>
        <v/>
      </c>
      <c r="U3203" t="str">
        <f>IF(B3203=1,MAX($U$2:$U3202)+1,IF(AND($T3203&lt;&gt;"",$T3203=$T3202),$U3202,IF(B3203="x",U3202,"")))</f>
        <v/>
      </c>
      <c r="V3203" t="str">
        <f>IF(C3203=1,MAX($V$2:$V3202)+1,IF(AND($T3203&lt;&gt;"",$T3203=$T3202),$U3202,IF(C3203="x",V3202,"")))</f>
        <v/>
      </c>
      <c r="X3203" cm="1">
        <f t="array" ref="X3203">IF($I3203&lt;&gt;"",$I3203,INDEX($I$1:$I3203,ROW()-COUNTIFS($T$1:$T3203,"="&amp;$T3203,$S$1:$S3203,"&lt;"&amp;$S3203)))</f>
        <v>0</v>
      </c>
      <c r="Z3203" s="6">
        <f t="shared" si="438"/>
        <v>1</v>
      </c>
      <c r="AA3203" t="e">
        <f t="shared" si="439"/>
        <v>#VALUE!</v>
      </c>
      <c r="AB3203" t="str">
        <f t="shared" si="440"/>
        <v/>
      </c>
      <c r="AC3203" t="e">
        <f t="shared" si="441"/>
        <v>#VALUE!</v>
      </c>
    </row>
    <row r="3204" spans="1:29" x14ac:dyDescent="0.2">
      <c r="A3204" t="str">
        <f t="shared" si="442"/>
        <v/>
      </c>
      <c r="E3204" s="4"/>
      <c r="F3204" s="46"/>
      <c r="G3204" s="4"/>
      <c r="H3204" s="48"/>
      <c r="J3204" s="26" t="str">
        <f t="shared" si="443"/>
        <v/>
      </c>
      <c r="N3204" t="str">
        <f t="shared" si="444"/>
        <v/>
      </c>
      <c r="Q3204" t="str">
        <f t="shared" si="445"/>
        <v/>
      </c>
      <c r="S3204" t="str">
        <f>IF(A3204=1,MAX($S$2:$S3203)+1,IF(OR($I3204&lt;&gt;"",A3204="x"),$S3203,""))</f>
        <v/>
      </c>
      <c r="T3204" t="str">
        <f>IF(D3204=1,MAX($T$2:$T3203)+1,IF(S3204=S3203,$T3203,IF(D3204="x",T3203,IF(D3203="x","",""))))</f>
        <v/>
      </c>
      <c r="U3204" t="str">
        <f>IF(B3204=1,MAX($U$2:$U3203)+1,IF(AND($T3204&lt;&gt;"",$T3204=$T3203),$U3203,IF(B3204="x",U3203,"")))</f>
        <v/>
      </c>
      <c r="V3204" t="str">
        <f>IF(C3204=1,MAX($V$2:$V3203)+1,IF(AND($T3204&lt;&gt;"",$T3204=$T3203),$U3203,IF(C3204="x",V3203,"")))</f>
        <v/>
      </c>
      <c r="X3204" cm="1">
        <f t="array" ref="X3204">IF($I3204&lt;&gt;"",$I3204,INDEX($I$1:$I3204,ROW()-COUNTIFS($T$1:$T3204,"="&amp;$T3204,$S$1:$S3204,"&lt;"&amp;$S3204)))</f>
        <v>0</v>
      </c>
      <c r="Z3204" s="6">
        <f t="shared" si="438"/>
        <v>1</v>
      </c>
      <c r="AA3204" t="e">
        <f t="shared" si="439"/>
        <v>#VALUE!</v>
      </c>
      <c r="AB3204" t="str">
        <f t="shared" si="440"/>
        <v/>
      </c>
      <c r="AC3204" t="e">
        <f t="shared" si="441"/>
        <v>#VALUE!</v>
      </c>
    </row>
    <row r="3205" spans="1:29" x14ac:dyDescent="0.2">
      <c r="A3205" t="str">
        <f t="shared" si="442"/>
        <v/>
      </c>
      <c r="E3205" s="4"/>
      <c r="F3205" s="46"/>
      <c r="G3205" s="4"/>
      <c r="H3205" s="48"/>
      <c r="J3205" s="26" t="str">
        <f t="shared" si="443"/>
        <v/>
      </c>
      <c r="N3205" t="str">
        <f t="shared" si="444"/>
        <v/>
      </c>
      <c r="Q3205" t="str">
        <f t="shared" si="445"/>
        <v/>
      </c>
      <c r="S3205" t="str">
        <f>IF(A3205=1,MAX($S$2:$S3204)+1,IF(OR($I3205&lt;&gt;"",A3205="x"),$S3204,""))</f>
        <v/>
      </c>
      <c r="T3205" t="str">
        <f>IF(D3205=1,MAX($T$2:$T3204)+1,IF(S3205=S3204,$T3204,IF(D3205="x",T3204,IF(D3204="x","",""))))</f>
        <v/>
      </c>
      <c r="U3205" t="str">
        <f>IF(B3205=1,MAX($U$2:$U3204)+1,IF(AND($T3205&lt;&gt;"",$T3205=$T3204),$U3204,IF(B3205="x",U3204,"")))</f>
        <v/>
      </c>
      <c r="V3205" t="str">
        <f>IF(C3205=1,MAX($V$2:$V3204)+1,IF(AND($T3205&lt;&gt;"",$T3205=$T3204),$U3204,IF(C3205="x",V3204,"")))</f>
        <v/>
      </c>
      <c r="X3205" cm="1">
        <f t="array" ref="X3205">IF($I3205&lt;&gt;"",$I3205,INDEX($I$1:$I3205,ROW()-COUNTIFS($T$1:$T3205,"="&amp;$T3205,$S$1:$S3205,"&lt;"&amp;$S3205)))</f>
        <v>0</v>
      </c>
      <c r="Z3205" s="6">
        <f t="shared" ref="Z3205:Z3268" si="446">IF(K3205="Intermission",Z3204+1,Z3204)</f>
        <v>1</v>
      </c>
      <c r="AA3205" t="e">
        <f t="shared" ref="AA3205:AA3268" si="447">S3205+1000</f>
        <v>#VALUE!</v>
      </c>
      <c r="AB3205" t="str">
        <f t="shared" ref="AB3205:AB3268" si="448">IF(T3205&lt;&gt;"",9000+T3205,"")</f>
        <v/>
      </c>
      <c r="AC3205" t="e">
        <f t="shared" ref="AC3205:AC3268" si="449">IF(AB3205&lt;&gt;"",AB3205,S3205+1000)</f>
        <v>#VALUE!</v>
      </c>
    </row>
    <row r="3206" spans="1:29" x14ac:dyDescent="0.2">
      <c r="A3206" t="str">
        <f t="shared" si="442"/>
        <v/>
      </c>
      <c r="E3206" s="4"/>
      <c r="F3206" s="46"/>
      <c r="G3206" s="4"/>
      <c r="H3206" s="48"/>
      <c r="J3206" s="26" t="str">
        <f t="shared" si="443"/>
        <v/>
      </c>
      <c r="N3206" t="str">
        <f t="shared" si="444"/>
        <v/>
      </c>
      <c r="Q3206" t="str">
        <f t="shared" si="445"/>
        <v/>
      </c>
      <c r="S3206" t="str">
        <f>IF(A3206=1,MAX($S$2:$S3205)+1,IF(OR($I3206&lt;&gt;"",A3206="x"),$S3205,""))</f>
        <v/>
      </c>
      <c r="T3206" t="str">
        <f>IF(D3206=1,MAX($T$2:$T3205)+1,IF(S3206=S3205,$T3205,IF(D3206="x",T3205,IF(D3205="x","",""))))</f>
        <v/>
      </c>
      <c r="U3206" t="str">
        <f>IF(B3206=1,MAX($U$2:$U3205)+1,IF(AND($T3206&lt;&gt;"",$T3206=$T3205),$U3205,IF(B3206="x",U3205,"")))</f>
        <v/>
      </c>
      <c r="V3206" t="str">
        <f>IF(C3206=1,MAX($V$2:$V3205)+1,IF(AND($T3206&lt;&gt;"",$T3206=$T3205),$U3205,IF(C3206="x",V3205,"")))</f>
        <v/>
      </c>
      <c r="X3206" cm="1">
        <f t="array" ref="X3206">IF($I3206&lt;&gt;"",$I3206,INDEX($I$1:$I3206,ROW()-COUNTIFS($T$1:$T3206,"="&amp;$T3206,$S$1:$S3206,"&lt;"&amp;$S3206)))</f>
        <v>0</v>
      </c>
      <c r="Z3206" s="6">
        <f t="shared" si="446"/>
        <v>1</v>
      </c>
      <c r="AA3206" t="e">
        <f t="shared" si="447"/>
        <v>#VALUE!</v>
      </c>
      <c r="AB3206" t="str">
        <f t="shared" si="448"/>
        <v/>
      </c>
      <c r="AC3206" t="e">
        <f t="shared" si="449"/>
        <v>#VALUE!</v>
      </c>
    </row>
    <row r="3207" spans="1:29" x14ac:dyDescent="0.2">
      <c r="A3207" t="str">
        <f t="shared" si="442"/>
        <v/>
      </c>
      <c r="E3207" s="4"/>
      <c r="F3207" s="46"/>
      <c r="G3207" s="4"/>
      <c r="H3207" s="48"/>
      <c r="J3207" s="26" t="str">
        <f t="shared" si="443"/>
        <v/>
      </c>
      <c r="N3207" t="str">
        <f t="shared" si="444"/>
        <v/>
      </c>
      <c r="Q3207" t="str">
        <f t="shared" si="445"/>
        <v/>
      </c>
      <c r="S3207" t="str">
        <f>IF(A3207=1,MAX($S$2:$S3206)+1,IF(OR($I3207&lt;&gt;"",A3207="x"),$S3206,""))</f>
        <v/>
      </c>
      <c r="T3207" t="str">
        <f>IF(D3207=1,MAX($T$2:$T3206)+1,IF(S3207=S3206,$T3206,IF(D3207="x",T3206,IF(D3206="x","",""))))</f>
        <v/>
      </c>
      <c r="U3207" t="str">
        <f>IF(B3207=1,MAX($U$2:$U3206)+1,IF(AND($T3207&lt;&gt;"",$T3207=$T3206),$U3206,IF(B3207="x",U3206,"")))</f>
        <v/>
      </c>
      <c r="V3207" t="str">
        <f>IF(C3207=1,MAX($V$2:$V3206)+1,IF(AND($T3207&lt;&gt;"",$T3207=$T3206),$U3206,IF(C3207="x",V3206,"")))</f>
        <v/>
      </c>
      <c r="X3207" cm="1">
        <f t="array" ref="X3207">IF($I3207&lt;&gt;"",$I3207,INDEX($I$1:$I3207,ROW()-COUNTIFS($T$1:$T3207,"="&amp;$T3207,$S$1:$S3207,"&lt;"&amp;$S3207)))</f>
        <v>0</v>
      </c>
      <c r="Z3207" s="6">
        <f t="shared" si="446"/>
        <v>1</v>
      </c>
      <c r="AA3207" t="e">
        <f t="shared" si="447"/>
        <v>#VALUE!</v>
      </c>
      <c r="AB3207" t="str">
        <f t="shared" si="448"/>
        <v/>
      </c>
      <c r="AC3207" t="e">
        <f t="shared" si="449"/>
        <v>#VALUE!</v>
      </c>
    </row>
    <row r="3208" spans="1:29" x14ac:dyDescent="0.2">
      <c r="A3208" t="str">
        <f t="shared" si="442"/>
        <v/>
      </c>
      <c r="E3208" s="4"/>
      <c r="F3208" s="46"/>
      <c r="G3208" s="4"/>
      <c r="H3208" s="48"/>
      <c r="J3208" s="26" t="str">
        <f t="shared" si="443"/>
        <v/>
      </c>
      <c r="N3208" t="str">
        <f t="shared" si="444"/>
        <v/>
      </c>
      <c r="Q3208" t="str">
        <f t="shared" si="445"/>
        <v/>
      </c>
      <c r="S3208" t="str">
        <f>IF(A3208=1,MAX($S$2:$S3207)+1,IF(OR($I3208&lt;&gt;"",A3208="x"),$S3207,""))</f>
        <v/>
      </c>
      <c r="T3208" t="str">
        <f>IF(D3208=1,MAX($T$2:$T3207)+1,IF(S3208=S3207,$T3207,IF(D3208="x",T3207,IF(D3207="x","",""))))</f>
        <v/>
      </c>
      <c r="U3208" t="str">
        <f>IF(B3208=1,MAX($U$2:$U3207)+1,IF(AND($T3208&lt;&gt;"",$T3208=$T3207),$U3207,IF(B3208="x",U3207,"")))</f>
        <v/>
      </c>
      <c r="V3208" t="str">
        <f>IF(C3208=1,MAX($V$2:$V3207)+1,IF(AND($T3208&lt;&gt;"",$T3208=$T3207),$U3207,IF(C3208="x",V3207,"")))</f>
        <v/>
      </c>
      <c r="X3208" cm="1">
        <f t="array" ref="X3208">IF($I3208&lt;&gt;"",$I3208,INDEX($I$1:$I3208,ROW()-COUNTIFS($T$1:$T3208,"="&amp;$T3208,$S$1:$S3208,"&lt;"&amp;$S3208)))</f>
        <v>0</v>
      </c>
      <c r="Z3208" s="6">
        <f t="shared" si="446"/>
        <v>1</v>
      </c>
      <c r="AA3208" t="e">
        <f t="shared" si="447"/>
        <v>#VALUE!</v>
      </c>
      <c r="AB3208" t="str">
        <f t="shared" si="448"/>
        <v/>
      </c>
      <c r="AC3208" t="e">
        <f t="shared" si="449"/>
        <v>#VALUE!</v>
      </c>
    </row>
    <row r="3209" spans="1:29" x14ac:dyDescent="0.2">
      <c r="A3209" t="str">
        <f t="shared" si="442"/>
        <v/>
      </c>
      <c r="E3209" s="4"/>
      <c r="F3209" s="46"/>
      <c r="G3209" s="4"/>
      <c r="H3209" s="48"/>
      <c r="J3209" s="26" t="str">
        <f t="shared" si="443"/>
        <v/>
      </c>
      <c r="N3209" t="str">
        <f t="shared" si="444"/>
        <v/>
      </c>
      <c r="Q3209" t="str">
        <f t="shared" si="445"/>
        <v/>
      </c>
      <c r="S3209" t="str">
        <f>IF(A3209=1,MAX($S$2:$S3208)+1,IF(OR($I3209&lt;&gt;"",A3209="x"),$S3208,""))</f>
        <v/>
      </c>
      <c r="T3209" t="str">
        <f>IF(D3209=1,MAX($T$2:$T3208)+1,IF(S3209=S3208,$T3208,IF(D3209="x",T3208,IF(D3208="x","",""))))</f>
        <v/>
      </c>
      <c r="U3209" t="str">
        <f>IF(B3209=1,MAX($U$2:$U3208)+1,IF(AND($T3209&lt;&gt;"",$T3209=$T3208),$U3208,IF(B3209="x",U3208,"")))</f>
        <v/>
      </c>
      <c r="V3209" t="str">
        <f>IF(C3209=1,MAX($V$2:$V3208)+1,IF(AND($T3209&lt;&gt;"",$T3209=$T3208),$U3208,IF(C3209="x",V3208,"")))</f>
        <v/>
      </c>
      <c r="X3209" cm="1">
        <f t="array" ref="X3209">IF($I3209&lt;&gt;"",$I3209,INDEX($I$1:$I3209,ROW()-COUNTIFS($T$1:$T3209,"="&amp;$T3209,$S$1:$S3209,"&lt;"&amp;$S3209)))</f>
        <v>0</v>
      </c>
      <c r="Z3209" s="6">
        <f t="shared" si="446"/>
        <v>1</v>
      </c>
      <c r="AA3209" t="e">
        <f t="shared" si="447"/>
        <v>#VALUE!</v>
      </c>
      <c r="AB3209" t="str">
        <f t="shared" si="448"/>
        <v/>
      </c>
      <c r="AC3209" t="e">
        <f t="shared" si="449"/>
        <v>#VALUE!</v>
      </c>
    </row>
    <row r="3210" spans="1:29" x14ac:dyDescent="0.2">
      <c r="A3210" t="str">
        <f t="shared" si="442"/>
        <v/>
      </c>
      <c r="E3210" s="4"/>
      <c r="F3210" s="46"/>
      <c r="G3210" s="4"/>
      <c r="H3210" s="48"/>
      <c r="J3210" s="26" t="str">
        <f t="shared" si="443"/>
        <v/>
      </c>
      <c r="N3210" t="str">
        <f t="shared" si="444"/>
        <v/>
      </c>
      <c r="Q3210" t="str">
        <f t="shared" si="445"/>
        <v/>
      </c>
      <c r="S3210" t="str">
        <f>IF(A3210=1,MAX($S$2:$S3209)+1,IF(OR($I3210&lt;&gt;"",A3210="x"),$S3209,""))</f>
        <v/>
      </c>
      <c r="T3210" t="str">
        <f>IF(D3210=1,MAX($T$2:$T3209)+1,IF(S3210=S3209,$T3209,IF(D3210="x",T3209,IF(D3209="x","",""))))</f>
        <v/>
      </c>
      <c r="U3210" t="str">
        <f>IF(B3210=1,MAX($U$2:$U3209)+1,IF(AND($T3210&lt;&gt;"",$T3210=$T3209),$U3209,IF(B3210="x",U3209,"")))</f>
        <v/>
      </c>
      <c r="V3210" t="str">
        <f>IF(C3210=1,MAX($V$2:$V3209)+1,IF(AND($T3210&lt;&gt;"",$T3210=$T3209),$U3209,IF(C3210="x",V3209,"")))</f>
        <v/>
      </c>
      <c r="X3210" cm="1">
        <f t="array" ref="X3210">IF($I3210&lt;&gt;"",$I3210,INDEX($I$1:$I3210,ROW()-COUNTIFS($T$1:$T3210,"="&amp;$T3210,$S$1:$S3210,"&lt;"&amp;$S3210)))</f>
        <v>0</v>
      </c>
      <c r="Z3210" s="6">
        <f t="shared" si="446"/>
        <v>1</v>
      </c>
      <c r="AA3210" t="e">
        <f t="shared" si="447"/>
        <v>#VALUE!</v>
      </c>
      <c r="AB3210" t="str">
        <f t="shared" si="448"/>
        <v/>
      </c>
      <c r="AC3210" t="e">
        <f t="shared" si="449"/>
        <v>#VALUE!</v>
      </c>
    </row>
    <row r="3211" spans="1:29" x14ac:dyDescent="0.2">
      <c r="A3211" t="str">
        <f t="shared" si="442"/>
        <v/>
      </c>
      <c r="E3211" s="4"/>
      <c r="F3211" s="46"/>
      <c r="G3211" s="4"/>
      <c r="H3211" s="48"/>
      <c r="J3211" s="26" t="str">
        <f t="shared" si="443"/>
        <v/>
      </c>
      <c r="N3211" t="str">
        <f t="shared" si="444"/>
        <v/>
      </c>
      <c r="Q3211" t="str">
        <f t="shared" si="445"/>
        <v/>
      </c>
      <c r="S3211" t="str">
        <f>IF(A3211=1,MAX($S$2:$S3210)+1,IF(OR($I3211&lt;&gt;"",A3211="x"),$S3210,""))</f>
        <v/>
      </c>
      <c r="T3211" t="str">
        <f>IF(D3211=1,MAX($T$2:$T3210)+1,IF(S3211=S3210,$T3210,IF(D3211="x",T3210,IF(D3210="x","",""))))</f>
        <v/>
      </c>
      <c r="U3211" t="str">
        <f>IF(B3211=1,MAX($U$2:$U3210)+1,IF(AND($T3211&lt;&gt;"",$T3211=$T3210),$U3210,IF(B3211="x",U3210,"")))</f>
        <v/>
      </c>
      <c r="V3211" t="str">
        <f>IF(C3211=1,MAX($V$2:$V3210)+1,IF(AND($T3211&lt;&gt;"",$T3211=$T3210),$U3210,IF(C3211="x",V3210,"")))</f>
        <v/>
      </c>
      <c r="X3211" cm="1">
        <f t="array" ref="X3211">IF($I3211&lt;&gt;"",$I3211,INDEX($I$1:$I3211,ROW()-COUNTIFS($T$1:$T3211,"="&amp;$T3211,$S$1:$S3211,"&lt;"&amp;$S3211)))</f>
        <v>0</v>
      </c>
      <c r="Z3211" s="6">
        <f t="shared" si="446"/>
        <v>1</v>
      </c>
      <c r="AA3211" t="e">
        <f t="shared" si="447"/>
        <v>#VALUE!</v>
      </c>
      <c r="AB3211" t="str">
        <f t="shared" si="448"/>
        <v/>
      </c>
      <c r="AC3211" t="e">
        <f t="shared" si="449"/>
        <v>#VALUE!</v>
      </c>
    </row>
    <row r="3212" spans="1:29" x14ac:dyDescent="0.2">
      <c r="A3212" t="str">
        <f t="shared" si="442"/>
        <v/>
      </c>
      <c r="E3212" s="4"/>
      <c r="F3212" s="46"/>
      <c r="G3212" s="4"/>
      <c r="H3212" s="48"/>
      <c r="J3212" s="26" t="str">
        <f t="shared" si="443"/>
        <v/>
      </c>
      <c r="N3212" t="str">
        <f t="shared" si="444"/>
        <v/>
      </c>
      <c r="Q3212" t="str">
        <f t="shared" si="445"/>
        <v/>
      </c>
      <c r="S3212" t="str">
        <f>IF(A3212=1,MAX($S$2:$S3211)+1,IF(OR($I3212&lt;&gt;"",A3212="x"),$S3211,""))</f>
        <v/>
      </c>
      <c r="T3212" t="str">
        <f>IF(D3212=1,MAX($T$2:$T3211)+1,IF(S3212=S3211,$T3211,IF(D3212="x",T3211,IF(D3211="x","",""))))</f>
        <v/>
      </c>
      <c r="U3212" t="str">
        <f>IF(B3212=1,MAX($U$2:$U3211)+1,IF(AND($T3212&lt;&gt;"",$T3212=$T3211),$U3211,IF(B3212="x",U3211,"")))</f>
        <v/>
      </c>
      <c r="V3212" t="str">
        <f>IF(C3212=1,MAX($V$2:$V3211)+1,IF(AND($T3212&lt;&gt;"",$T3212=$T3211),$U3211,IF(C3212="x",V3211,"")))</f>
        <v/>
      </c>
      <c r="X3212" cm="1">
        <f t="array" ref="X3212">IF($I3212&lt;&gt;"",$I3212,INDEX($I$1:$I3212,ROW()-COUNTIFS($T$1:$T3212,"="&amp;$T3212,$S$1:$S3212,"&lt;"&amp;$S3212)))</f>
        <v>0</v>
      </c>
      <c r="Z3212" s="6">
        <f t="shared" si="446"/>
        <v>1</v>
      </c>
      <c r="AA3212" t="e">
        <f t="shared" si="447"/>
        <v>#VALUE!</v>
      </c>
      <c r="AB3212" t="str">
        <f t="shared" si="448"/>
        <v/>
      </c>
      <c r="AC3212" t="e">
        <f t="shared" si="449"/>
        <v>#VALUE!</v>
      </c>
    </row>
    <row r="3213" spans="1:29" x14ac:dyDescent="0.2">
      <c r="A3213" t="str">
        <f t="shared" si="442"/>
        <v/>
      </c>
      <c r="E3213" s="4"/>
      <c r="F3213" s="46"/>
      <c r="G3213" s="4"/>
      <c r="H3213" s="48"/>
      <c r="J3213" s="26" t="str">
        <f t="shared" si="443"/>
        <v/>
      </c>
      <c r="N3213" t="str">
        <f t="shared" si="444"/>
        <v/>
      </c>
      <c r="Q3213" t="str">
        <f t="shared" si="445"/>
        <v/>
      </c>
      <c r="S3213" t="str">
        <f>IF(A3213=1,MAX($S$2:$S3212)+1,IF(OR($I3213&lt;&gt;"",A3213="x"),$S3212,""))</f>
        <v/>
      </c>
      <c r="T3213" t="str">
        <f>IF(D3213=1,MAX($T$2:$T3212)+1,IF(S3213=S3212,$T3212,IF(D3213="x",T3212,IF(D3212="x","",""))))</f>
        <v/>
      </c>
      <c r="U3213" t="str">
        <f>IF(B3213=1,MAX($U$2:$U3212)+1,IF(AND($T3213&lt;&gt;"",$T3213=$T3212),$U3212,IF(B3213="x",U3212,"")))</f>
        <v/>
      </c>
      <c r="V3213" t="str">
        <f>IF(C3213=1,MAX($V$2:$V3212)+1,IF(AND($T3213&lt;&gt;"",$T3213=$T3212),$U3212,IF(C3213="x",V3212,"")))</f>
        <v/>
      </c>
      <c r="X3213" cm="1">
        <f t="array" ref="X3213">IF($I3213&lt;&gt;"",$I3213,INDEX($I$1:$I3213,ROW()-COUNTIFS($T$1:$T3213,"="&amp;$T3213,$S$1:$S3213,"&lt;"&amp;$S3213)))</f>
        <v>0</v>
      </c>
      <c r="Z3213" s="6">
        <f t="shared" si="446"/>
        <v>1</v>
      </c>
      <c r="AA3213" t="e">
        <f t="shared" si="447"/>
        <v>#VALUE!</v>
      </c>
      <c r="AB3213" t="str">
        <f t="shared" si="448"/>
        <v/>
      </c>
      <c r="AC3213" t="e">
        <f t="shared" si="449"/>
        <v>#VALUE!</v>
      </c>
    </row>
    <row r="3214" spans="1:29" x14ac:dyDescent="0.2">
      <c r="A3214" t="str">
        <f t="shared" si="442"/>
        <v/>
      </c>
      <c r="E3214" s="4"/>
      <c r="F3214" s="46"/>
      <c r="G3214" s="4"/>
      <c r="H3214" s="48"/>
      <c r="J3214" s="26" t="str">
        <f t="shared" si="443"/>
        <v/>
      </c>
      <c r="N3214" t="str">
        <f t="shared" si="444"/>
        <v/>
      </c>
      <c r="Q3214" t="str">
        <f t="shared" si="445"/>
        <v/>
      </c>
      <c r="S3214" t="str">
        <f>IF(A3214=1,MAX($S$2:$S3213)+1,IF(OR($I3214&lt;&gt;"",A3214="x"),$S3213,""))</f>
        <v/>
      </c>
      <c r="T3214" t="str">
        <f>IF(D3214=1,MAX($T$2:$T3213)+1,IF(S3214=S3213,$T3213,IF(D3214="x",T3213,IF(D3213="x","",""))))</f>
        <v/>
      </c>
      <c r="U3214" t="str">
        <f>IF(B3214=1,MAX($U$2:$U3213)+1,IF(AND($T3214&lt;&gt;"",$T3214=$T3213),$U3213,IF(B3214="x",U3213,"")))</f>
        <v/>
      </c>
      <c r="V3214" t="str">
        <f>IF(C3214=1,MAX($V$2:$V3213)+1,IF(AND($T3214&lt;&gt;"",$T3214=$T3213),$U3213,IF(C3214="x",V3213,"")))</f>
        <v/>
      </c>
      <c r="X3214" cm="1">
        <f t="array" ref="X3214">IF($I3214&lt;&gt;"",$I3214,INDEX($I$1:$I3214,ROW()-COUNTIFS($T$1:$T3214,"="&amp;$T3214,$S$1:$S3214,"&lt;"&amp;$S3214)))</f>
        <v>0</v>
      </c>
      <c r="Z3214" s="6">
        <f t="shared" si="446"/>
        <v>1</v>
      </c>
      <c r="AA3214" t="e">
        <f t="shared" si="447"/>
        <v>#VALUE!</v>
      </c>
      <c r="AB3214" t="str">
        <f t="shared" si="448"/>
        <v/>
      </c>
      <c r="AC3214" t="e">
        <f t="shared" si="449"/>
        <v>#VALUE!</v>
      </c>
    </row>
    <row r="3215" spans="1:29" x14ac:dyDescent="0.2">
      <c r="A3215" t="str">
        <f t="shared" si="442"/>
        <v/>
      </c>
      <c r="E3215" s="4"/>
      <c r="F3215" s="46"/>
      <c r="G3215" s="4"/>
      <c r="H3215" s="48"/>
      <c r="J3215" s="26" t="str">
        <f t="shared" si="443"/>
        <v/>
      </c>
      <c r="N3215" t="str">
        <f t="shared" si="444"/>
        <v/>
      </c>
      <c r="Q3215" t="str">
        <f t="shared" si="445"/>
        <v/>
      </c>
      <c r="S3215" t="str">
        <f>IF(A3215=1,MAX($S$2:$S3214)+1,IF(OR($I3215&lt;&gt;"",A3215="x"),$S3214,""))</f>
        <v/>
      </c>
      <c r="T3215" t="str">
        <f>IF(D3215=1,MAX($T$2:$T3214)+1,IF(S3215=S3214,$T3214,IF(D3215="x",T3214,IF(D3214="x","",""))))</f>
        <v/>
      </c>
      <c r="U3215" t="str">
        <f>IF(B3215=1,MAX($U$2:$U3214)+1,IF(AND($T3215&lt;&gt;"",$T3215=$T3214),$U3214,IF(B3215="x",U3214,"")))</f>
        <v/>
      </c>
      <c r="V3215" t="str">
        <f>IF(C3215=1,MAX($V$2:$V3214)+1,IF(AND($T3215&lt;&gt;"",$T3215=$T3214),$U3214,IF(C3215="x",V3214,"")))</f>
        <v/>
      </c>
      <c r="X3215" cm="1">
        <f t="array" ref="X3215">IF($I3215&lt;&gt;"",$I3215,INDEX($I$1:$I3215,ROW()-COUNTIFS($T$1:$T3215,"="&amp;$T3215,$S$1:$S3215,"&lt;"&amp;$S3215)))</f>
        <v>0</v>
      </c>
      <c r="Z3215" s="6">
        <f t="shared" si="446"/>
        <v>1</v>
      </c>
      <c r="AA3215" t="e">
        <f t="shared" si="447"/>
        <v>#VALUE!</v>
      </c>
      <c r="AB3215" t="str">
        <f t="shared" si="448"/>
        <v/>
      </c>
      <c r="AC3215" t="e">
        <f t="shared" si="449"/>
        <v>#VALUE!</v>
      </c>
    </row>
    <row r="3216" spans="1:29" x14ac:dyDescent="0.2">
      <c r="A3216" t="str">
        <f t="shared" si="442"/>
        <v/>
      </c>
      <c r="E3216" s="4"/>
      <c r="F3216" s="46"/>
      <c r="G3216" s="4"/>
      <c r="H3216" s="48"/>
      <c r="J3216" s="26" t="str">
        <f t="shared" si="443"/>
        <v/>
      </c>
      <c r="N3216" t="str">
        <f t="shared" si="444"/>
        <v/>
      </c>
      <c r="Q3216" t="str">
        <f t="shared" si="445"/>
        <v/>
      </c>
      <c r="S3216" t="str">
        <f>IF(A3216=1,MAX($S$2:$S3215)+1,IF(OR($I3216&lt;&gt;"",A3216="x"),$S3215,""))</f>
        <v/>
      </c>
      <c r="T3216" t="str">
        <f>IF(D3216=1,MAX($T$2:$T3215)+1,IF(S3216=S3215,$T3215,IF(D3216="x",T3215,IF(D3215="x","",""))))</f>
        <v/>
      </c>
      <c r="U3216" t="str">
        <f>IF(B3216=1,MAX($U$2:$U3215)+1,IF(AND($T3216&lt;&gt;"",$T3216=$T3215),$U3215,IF(B3216="x",U3215,"")))</f>
        <v/>
      </c>
      <c r="V3216" t="str">
        <f>IF(C3216=1,MAX($V$2:$V3215)+1,IF(AND($T3216&lt;&gt;"",$T3216=$T3215),$U3215,IF(C3216="x",V3215,"")))</f>
        <v/>
      </c>
      <c r="X3216" cm="1">
        <f t="array" ref="X3216">IF($I3216&lt;&gt;"",$I3216,INDEX($I$1:$I3216,ROW()-COUNTIFS($T$1:$T3216,"="&amp;$T3216,$S$1:$S3216,"&lt;"&amp;$S3216)))</f>
        <v>0</v>
      </c>
      <c r="Z3216" s="6">
        <f t="shared" si="446"/>
        <v>1</v>
      </c>
      <c r="AA3216" t="e">
        <f t="shared" si="447"/>
        <v>#VALUE!</v>
      </c>
      <c r="AB3216" t="str">
        <f t="shared" si="448"/>
        <v/>
      </c>
      <c r="AC3216" t="e">
        <f t="shared" si="449"/>
        <v>#VALUE!</v>
      </c>
    </row>
    <row r="3217" spans="1:29" x14ac:dyDescent="0.2">
      <c r="A3217" t="str">
        <f t="shared" si="442"/>
        <v/>
      </c>
      <c r="E3217" s="4"/>
      <c r="F3217" s="46"/>
      <c r="G3217" s="4"/>
      <c r="H3217" s="48"/>
      <c r="J3217" s="26" t="str">
        <f t="shared" si="443"/>
        <v/>
      </c>
      <c r="N3217" t="str">
        <f t="shared" si="444"/>
        <v/>
      </c>
      <c r="Q3217" t="str">
        <f t="shared" si="445"/>
        <v/>
      </c>
      <c r="S3217" t="str">
        <f>IF(A3217=1,MAX($S$2:$S3216)+1,IF(OR($I3217&lt;&gt;"",A3217="x"),$S3216,""))</f>
        <v/>
      </c>
      <c r="T3217" t="str">
        <f>IF(D3217=1,MAX($T$2:$T3216)+1,IF(S3217=S3216,$T3216,IF(D3217="x",T3216,IF(D3216="x","",""))))</f>
        <v/>
      </c>
      <c r="U3217" t="str">
        <f>IF(B3217=1,MAX($U$2:$U3216)+1,IF(AND($T3217&lt;&gt;"",$T3217=$T3216),$U3216,IF(B3217="x",U3216,"")))</f>
        <v/>
      </c>
      <c r="V3217" t="str">
        <f>IF(C3217=1,MAX($V$2:$V3216)+1,IF(AND($T3217&lt;&gt;"",$T3217=$T3216),$U3216,IF(C3217="x",V3216,"")))</f>
        <v/>
      </c>
      <c r="X3217" cm="1">
        <f t="array" ref="X3217">IF($I3217&lt;&gt;"",$I3217,INDEX($I$1:$I3217,ROW()-COUNTIFS($T$1:$T3217,"="&amp;$T3217,$S$1:$S3217,"&lt;"&amp;$S3217)))</f>
        <v>0</v>
      </c>
      <c r="Z3217" s="6">
        <f t="shared" si="446"/>
        <v>1</v>
      </c>
      <c r="AA3217" t="e">
        <f t="shared" si="447"/>
        <v>#VALUE!</v>
      </c>
      <c r="AB3217" t="str">
        <f t="shared" si="448"/>
        <v/>
      </c>
      <c r="AC3217" t="e">
        <f t="shared" si="449"/>
        <v>#VALUE!</v>
      </c>
    </row>
    <row r="3218" spans="1:29" x14ac:dyDescent="0.2">
      <c r="A3218" t="str">
        <f t="shared" si="442"/>
        <v/>
      </c>
      <c r="E3218" s="4"/>
      <c r="F3218" s="46"/>
      <c r="G3218" s="4"/>
      <c r="H3218" s="48"/>
      <c r="J3218" s="26" t="str">
        <f t="shared" si="443"/>
        <v/>
      </c>
      <c r="N3218" t="str">
        <f t="shared" si="444"/>
        <v/>
      </c>
      <c r="Q3218" t="str">
        <f t="shared" si="445"/>
        <v/>
      </c>
      <c r="S3218" t="str">
        <f>IF(A3218=1,MAX($S$2:$S3217)+1,IF(OR($I3218&lt;&gt;"",A3218="x"),$S3217,""))</f>
        <v/>
      </c>
      <c r="T3218" t="str">
        <f>IF(D3218=1,MAX($T$2:$T3217)+1,IF(S3218=S3217,$T3217,IF(D3218="x",T3217,IF(D3217="x","",""))))</f>
        <v/>
      </c>
      <c r="U3218" t="str">
        <f>IF(B3218=1,MAX($U$2:$U3217)+1,IF(AND($T3218&lt;&gt;"",$T3218=$T3217),$U3217,IF(B3218="x",U3217,"")))</f>
        <v/>
      </c>
      <c r="V3218" t="str">
        <f>IF(C3218=1,MAX($V$2:$V3217)+1,IF(AND($T3218&lt;&gt;"",$T3218=$T3217),$U3217,IF(C3218="x",V3217,"")))</f>
        <v/>
      </c>
      <c r="X3218" cm="1">
        <f t="array" ref="X3218">IF($I3218&lt;&gt;"",$I3218,INDEX($I$1:$I3218,ROW()-COUNTIFS($T$1:$T3218,"="&amp;$T3218,$S$1:$S3218,"&lt;"&amp;$S3218)))</f>
        <v>0</v>
      </c>
      <c r="Z3218" s="6">
        <f t="shared" si="446"/>
        <v>1</v>
      </c>
      <c r="AA3218" t="e">
        <f t="shared" si="447"/>
        <v>#VALUE!</v>
      </c>
      <c r="AB3218" t="str">
        <f t="shared" si="448"/>
        <v/>
      </c>
      <c r="AC3218" t="e">
        <f t="shared" si="449"/>
        <v>#VALUE!</v>
      </c>
    </row>
    <row r="3219" spans="1:29" x14ac:dyDescent="0.2">
      <c r="A3219" t="str">
        <f t="shared" ref="A3219:A3282" si="450">IF(K3219&lt;&gt;"",1,IF(D3219="x","x",""))</f>
        <v/>
      </c>
      <c r="E3219" s="4"/>
      <c r="F3219" s="46"/>
      <c r="G3219" s="4"/>
      <c r="H3219" s="48"/>
      <c r="J3219" s="26" t="str">
        <f t="shared" ref="J3219:J3282" si="451">IF(OR(K3219="Goal",K3219="Shot",L3219="Zone_Entry",M3219="Stoppage-Goal",M3218="Stoppage-Goal"),"o",IF(OR(K3219="Save",K3219="Rebound",L3219="Zone_Exit",M3219="Stoppage-GoalieStoppage",M3218="Stoppage-GoalieStoppage"),"d",IF(OR(L3219="Faceoff_AfterGoal",L3219="Faceoff_PeriodStart",698="Faceoff_GameStart",M3218="Stoppage-Goal"),"n","")))</f>
        <v/>
      </c>
      <c r="N3219" t="str">
        <f t="shared" ref="N3219:N3282" si="452">IF(K3219="","",IF(K3219="Goal","s",IF(AND(K3219="Zone_Entry_Exit",OR(ISNUMBER(SEARCH("fail",L3219)),ISNUMBER(SEARCH("FromExitClear",M3219)),ISNUMBER(SEARCH("miss",M3219)))),"u",IF(AND(K3219="Zone_Entry_Exit",OR(NOT(ISNUMBER(SEARCH("fail",L3219))),NOT(ISNUMBER(SEARCH("FromExitClear",M3219))),NOT(ISNUMBER(SEARCH("miss",M3219))))),"s",IF(AND(OR(K3219="Shot",K3219="Pass"),OR(ISNUMBER(SEARCH("complete",L3219)),ISNUMBER(SEARCH("goal",L3219)),ISNUMBER(SEARCH("OnNet",L3219)))),"s",IF(L3219="Turnover_Giveaway","u",IF(AND(OR(K3219="Shot",K3219="Pass"),OR(ISNUMBER(SEARCH("fail",L3219)),NOT(ISNUMBER(SEARCH("complete",L3219))),NOT(ISNUMBER(SEARCH("OnNet",L3219))))),"u","")))))))</f>
        <v/>
      </c>
      <c r="Q3219" t="str">
        <f t="shared" ref="Q3219:Q3282" si="453">IF(O3219="","",IF(AND(N3219&lt;&gt;"",OR(O3219&lt;&gt;"",P3219&lt;&gt;"")),N3219,IF(OR(ISNUMBER(SEARCH("attemp",O3219)),ISNUMBER(SEARCH("beat",O3219)),ISNUMBER(SEARCH("mis",O3219)),ISNUMBER(SEARCH("fail",O3219)),ISNUMBER(SEARCH("loss",O3219)),ISNUMBER(SEARCH("lost",O3219)),ISNUMBER(SEARCH("attemp",P3219)),ISNUMBER(SEARCH("mis",P3219)),ISNUMBER(SEARCH("fail",P3219)),ISNUMBER(SEARCH("loss",P3219)),ISNUMBER(SEARCH("beat",P3219)),ISNUMBER(SEARCH("lost",P3219))),"u","")))</f>
        <v/>
      </c>
      <c r="S3219" t="str">
        <f>IF(A3219=1,MAX($S$2:$S3218)+1,IF(OR($I3219&lt;&gt;"",A3219="x"),$S3218,""))</f>
        <v/>
      </c>
      <c r="T3219" t="str">
        <f>IF(D3219=1,MAX($T$2:$T3218)+1,IF(S3219=S3218,$T3218,IF(D3219="x",T3218,IF(D3218="x","",""))))</f>
        <v/>
      </c>
      <c r="U3219" t="str">
        <f>IF(B3219=1,MAX($U$2:$U3218)+1,IF(AND($T3219&lt;&gt;"",$T3219=$T3218),$U3218,IF(B3219="x",U3218,"")))</f>
        <v/>
      </c>
      <c r="V3219" t="str">
        <f>IF(C3219=1,MAX($V$2:$V3218)+1,IF(AND($T3219&lt;&gt;"",$T3219=$T3218),$U3218,IF(C3219="x",V3218,"")))</f>
        <v/>
      </c>
      <c r="X3219" cm="1">
        <f t="array" ref="X3219">IF($I3219&lt;&gt;"",$I3219,INDEX($I$1:$I3219,ROW()-COUNTIFS($T$1:$T3219,"="&amp;$T3219,$S$1:$S3219,"&lt;"&amp;$S3219)))</f>
        <v>0</v>
      </c>
      <c r="Z3219" s="6">
        <f t="shared" si="446"/>
        <v>1</v>
      </c>
      <c r="AA3219" t="e">
        <f t="shared" si="447"/>
        <v>#VALUE!</v>
      </c>
      <c r="AB3219" t="str">
        <f t="shared" si="448"/>
        <v/>
      </c>
      <c r="AC3219" t="e">
        <f t="shared" si="449"/>
        <v>#VALUE!</v>
      </c>
    </row>
    <row r="3220" spans="1:29" x14ac:dyDescent="0.2">
      <c r="A3220" t="str">
        <f t="shared" si="450"/>
        <v/>
      </c>
      <c r="E3220" s="4"/>
      <c r="F3220" s="46"/>
      <c r="G3220" s="4"/>
      <c r="H3220" s="48"/>
      <c r="J3220" s="26" t="str">
        <f t="shared" si="451"/>
        <v/>
      </c>
      <c r="N3220" t="str">
        <f t="shared" si="452"/>
        <v/>
      </c>
      <c r="Q3220" t="str">
        <f t="shared" si="453"/>
        <v/>
      </c>
      <c r="S3220" t="str">
        <f>IF(A3220=1,MAX($S$2:$S3219)+1,IF(OR($I3220&lt;&gt;"",A3220="x"),$S3219,""))</f>
        <v/>
      </c>
      <c r="T3220" t="str">
        <f>IF(D3220=1,MAX($T$2:$T3219)+1,IF(S3220=S3219,$T3219,IF(D3220="x",T3219,IF(D3219="x","",""))))</f>
        <v/>
      </c>
      <c r="U3220" t="str">
        <f>IF(B3220=1,MAX($U$2:$U3219)+1,IF(AND($T3220&lt;&gt;"",$T3220=$T3219),$U3219,IF(B3220="x",U3219,"")))</f>
        <v/>
      </c>
      <c r="V3220" t="str">
        <f>IF(C3220=1,MAX($V$2:$V3219)+1,IF(AND($T3220&lt;&gt;"",$T3220=$T3219),$U3219,IF(C3220="x",V3219,"")))</f>
        <v/>
      </c>
      <c r="X3220" cm="1">
        <f t="array" ref="X3220">IF($I3220&lt;&gt;"",$I3220,INDEX($I$1:$I3220,ROW()-COUNTIFS($T$1:$T3220,"="&amp;$T3220,$S$1:$S3220,"&lt;"&amp;$S3220)))</f>
        <v>0</v>
      </c>
      <c r="Z3220" s="6">
        <f t="shared" si="446"/>
        <v>1</v>
      </c>
      <c r="AA3220" t="e">
        <f t="shared" si="447"/>
        <v>#VALUE!</v>
      </c>
      <c r="AB3220" t="str">
        <f t="shared" si="448"/>
        <v/>
      </c>
      <c r="AC3220" t="e">
        <f t="shared" si="449"/>
        <v>#VALUE!</v>
      </c>
    </row>
    <row r="3221" spans="1:29" x14ac:dyDescent="0.2">
      <c r="A3221" t="str">
        <f t="shared" si="450"/>
        <v/>
      </c>
      <c r="E3221" s="4"/>
      <c r="F3221" s="46"/>
      <c r="G3221" s="4"/>
      <c r="H3221" s="48"/>
      <c r="J3221" s="26" t="str">
        <f t="shared" si="451"/>
        <v/>
      </c>
      <c r="N3221" t="str">
        <f t="shared" si="452"/>
        <v/>
      </c>
      <c r="Q3221" t="str">
        <f t="shared" si="453"/>
        <v/>
      </c>
      <c r="S3221" t="str">
        <f>IF(A3221=1,MAX($S$2:$S3220)+1,IF(OR($I3221&lt;&gt;"",A3221="x"),$S3220,""))</f>
        <v/>
      </c>
      <c r="T3221" t="str">
        <f>IF(D3221=1,MAX($T$2:$T3220)+1,IF(S3221=S3220,$T3220,IF(D3221="x",T3220,IF(D3220="x","",""))))</f>
        <v/>
      </c>
      <c r="U3221" t="str">
        <f>IF(B3221=1,MAX($U$2:$U3220)+1,IF(AND($T3221&lt;&gt;"",$T3221=$T3220),$U3220,IF(B3221="x",U3220,"")))</f>
        <v/>
      </c>
      <c r="V3221" t="str">
        <f>IF(C3221=1,MAX($V$2:$V3220)+1,IF(AND($T3221&lt;&gt;"",$T3221=$T3220),$U3220,IF(C3221="x",V3220,"")))</f>
        <v/>
      </c>
      <c r="X3221" cm="1">
        <f t="array" ref="X3221">IF($I3221&lt;&gt;"",$I3221,INDEX($I$1:$I3221,ROW()-COUNTIFS($T$1:$T3221,"="&amp;$T3221,$S$1:$S3221,"&lt;"&amp;$S3221)))</f>
        <v>0</v>
      </c>
      <c r="Z3221" s="6">
        <f t="shared" si="446"/>
        <v>1</v>
      </c>
      <c r="AA3221" t="e">
        <f t="shared" si="447"/>
        <v>#VALUE!</v>
      </c>
      <c r="AB3221" t="str">
        <f t="shared" si="448"/>
        <v/>
      </c>
      <c r="AC3221" t="e">
        <f t="shared" si="449"/>
        <v>#VALUE!</v>
      </c>
    </row>
    <row r="3222" spans="1:29" x14ac:dyDescent="0.2">
      <c r="A3222" t="str">
        <f t="shared" si="450"/>
        <v/>
      </c>
      <c r="E3222" s="4"/>
      <c r="F3222" s="46"/>
      <c r="G3222" s="4"/>
      <c r="H3222" s="48"/>
      <c r="J3222" s="26" t="str">
        <f t="shared" si="451"/>
        <v/>
      </c>
      <c r="N3222" t="str">
        <f t="shared" si="452"/>
        <v/>
      </c>
      <c r="Q3222" t="str">
        <f t="shared" si="453"/>
        <v/>
      </c>
      <c r="S3222" t="str">
        <f>IF(A3222=1,MAX($S$2:$S3221)+1,IF(OR($I3222&lt;&gt;"",A3222="x"),$S3221,""))</f>
        <v/>
      </c>
      <c r="T3222" t="str">
        <f>IF(D3222=1,MAX($T$2:$T3221)+1,IF(S3222=S3221,$T3221,IF(D3222="x",T3221,IF(D3221="x","",""))))</f>
        <v/>
      </c>
      <c r="U3222" t="str">
        <f>IF(B3222=1,MAX($U$2:$U3221)+1,IF(AND($T3222&lt;&gt;"",$T3222=$T3221),$U3221,IF(B3222="x",U3221,"")))</f>
        <v/>
      </c>
      <c r="V3222" t="str">
        <f>IF(C3222=1,MAX($V$2:$V3221)+1,IF(AND($T3222&lt;&gt;"",$T3222=$T3221),$U3221,IF(C3222="x",V3221,"")))</f>
        <v/>
      </c>
      <c r="X3222" cm="1">
        <f t="array" ref="X3222">IF($I3222&lt;&gt;"",$I3222,INDEX($I$1:$I3222,ROW()-COUNTIFS($T$1:$T3222,"="&amp;$T3222,$S$1:$S3222,"&lt;"&amp;$S3222)))</f>
        <v>0</v>
      </c>
      <c r="Z3222" s="6">
        <f t="shared" si="446"/>
        <v>1</v>
      </c>
      <c r="AA3222" t="e">
        <f t="shared" si="447"/>
        <v>#VALUE!</v>
      </c>
      <c r="AB3222" t="str">
        <f t="shared" si="448"/>
        <v/>
      </c>
      <c r="AC3222" t="e">
        <f t="shared" si="449"/>
        <v>#VALUE!</v>
      </c>
    </row>
    <row r="3223" spans="1:29" x14ac:dyDescent="0.2">
      <c r="A3223" t="str">
        <f t="shared" si="450"/>
        <v/>
      </c>
      <c r="E3223" s="4"/>
      <c r="F3223" s="46"/>
      <c r="G3223" s="4"/>
      <c r="H3223" s="48"/>
      <c r="J3223" s="26" t="str">
        <f t="shared" si="451"/>
        <v/>
      </c>
      <c r="N3223" t="str">
        <f t="shared" si="452"/>
        <v/>
      </c>
      <c r="Q3223" t="str">
        <f t="shared" si="453"/>
        <v/>
      </c>
      <c r="S3223" t="str">
        <f>IF(A3223=1,MAX($S$2:$S3222)+1,IF(OR($I3223&lt;&gt;"",A3223="x"),$S3222,""))</f>
        <v/>
      </c>
      <c r="T3223" t="str">
        <f>IF(D3223=1,MAX($T$2:$T3222)+1,IF(S3223=S3222,$T3222,IF(D3223="x",T3222,IF(D3222="x","",""))))</f>
        <v/>
      </c>
      <c r="U3223" t="str">
        <f>IF(B3223=1,MAX($U$2:$U3222)+1,IF(AND($T3223&lt;&gt;"",$T3223=$T3222),$U3222,IF(B3223="x",U3222,"")))</f>
        <v/>
      </c>
      <c r="V3223" t="str">
        <f>IF(C3223=1,MAX($V$2:$V3222)+1,IF(AND($T3223&lt;&gt;"",$T3223=$T3222),$U3222,IF(C3223="x",V3222,"")))</f>
        <v/>
      </c>
      <c r="X3223" cm="1">
        <f t="array" ref="X3223">IF($I3223&lt;&gt;"",$I3223,INDEX($I$1:$I3223,ROW()-COUNTIFS($T$1:$T3223,"="&amp;$T3223,$S$1:$S3223,"&lt;"&amp;$S3223)))</f>
        <v>0</v>
      </c>
      <c r="Z3223" s="6">
        <f t="shared" si="446"/>
        <v>1</v>
      </c>
      <c r="AA3223" t="e">
        <f t="shared" si="447"/>
        <v>#VALUE!</v>
      </c>
      <c r="AB3223" t="str">
        <f t="shared" si="448"/>
        <v/>
      </c>
      <c r="AC3223" t="e">
        <f t="shared" si="449"/>
        <v>#VALUE!</v>
      </c>
    </row>
    <row r="3224" spans="1:29" x14ac:dyDescent="0.2">
      <c r="A3224" t="str">
        <f t="shared" si="450"/>
        <v/>
      </c>
      <c r="E3224" s="4"/>
      <c r="F3224" s="46"/>
      <c r="G3224" s="4"/>
      <c r="H3224" s="48"/>
      <c r="J3224" s="26" t="str">
        <f t="shared" si="451"/>
        <v/>
      </c>
      <c r="N3224" t="str">
        <f t="shared" si="452"/>
        <v/>
      </c>
      <c r="Q3224" t="str">
        <f t="shared" si="453"/>
        <v/>
      </c>
      <c r="S3224" t="str">
        <f>IF(A3224=1,MAX($S$2:$S3223)+1,IF(OR($I3224&lt;&gt;"",A3224="x"),$S3223,""))</f>
        <v/>
      </c>
      <c r="T3224" t="str">
        <f>IF(D3224=1,MAX($T$2:$T3223)+1,IF(S3224=S3223,$T3223,IF(D3224="x",T3223,IF(D3223="x","",""))))</f>
        <v/>
      </c>
      <c r="U3224" t="str">
        <f>IF(B3224=1,MAX($U$2:$U3223)+1,IF(AND($T3224&lt;&gt;"",$T3224=$T3223),$U3223,IF(B3224="x",U3223,"")))</f>
        <v/>
      </c>
      <c r="V3224" t="str">
        <f>IF(C3224=1,MAX($V$2:$V3223)+1,IF(AND($T3224&lt;&gt;"",$T3224=$T3223),$U3223,IF(C3224="x",V3223,"")))</f>
        <v/>
      </c>
      <c r="X3224" cm="1">
        <f t="array" ref="X3224">IF($I3224&lt;&gt;"",$I3224,INDEX($I$1:$I3224,ROW()-COUNTIFS($T$1:$T3224,"="&amp;$T3224,$S$1:$S3224,"&lt;"&amp;$S3224)))</f>
        <v>0</v>
      </c>
      <c r="Z3224" s="6">
        <f t="shared" si="446"/>
        <v>1</v>
      </c>
      <c r="AA3224" t="e">
        <f t="shared" si="447"/>
        <v>#VALUE!</v>
      </c>
      <c r="AB3224" t="str">
        <f t="shared" si="448"/>
        <v/>
      </c>
      <c r="AC3224" t="e">
        <f t="shared" si="449"/>
        <v>#VALUE!</v>
      </c>
    </row>
    <row r="3225" spans="1:29" x14ac:dyDescent="0.2">
      <c r="A3225" t="str">
        <f t="shared" si="450"/>
        <v/>
      </c>
      <c r="E3225" s="4"/>
      <c r="F3225" s="46"/>
      <c r="G3225" s="4"/>
      <c r="H3225" s="48"/>
      <c r="J3225" s="26" t="str">
        <f t="shared" si="451"/>
        <v/>
      </c>
      <c r="N3225" t="str">
        <f t="shared" si="452"/>
        <v/>
      </c>
      <c r="Q3225" t="str">
        <f t="shared" si="453"/>
        <v/>
      </c>
      <c r="S3225" t="str">
        <f>IF(A3225=1,MAX($S$2:$S3224)+1,IF(OR($I3225&lt;&gt;"",A3225="x"),$S3224,""))</f>
        <v/>
      </c>
      <c r="T3225" t="str">
        <f>IF(D3225=1,MAX($T$2:$T3224)+1,IF(S3225=S3224,$T3224,IF(D3225="x",T3224,IF(D3224="x","",""))))</f>
        <v/>
      </c>
      <c r="U3225" t="str">
        <f>IF(B3225=1,MAX($U$2:$U3224)+1,IF(AND($T3225&lt;&gt;"",$T3225=$T3224),$U3224,IF(B3225="x",U3224,"")))</f>
        <v/>
      </c>
      <c r="V3225" t="str">
        <f>IF(C3225=1,MAX($V$2:$V3224)+1,IF(AND($T3225&lt;&gt;"",$T3225=$T3224),$U3224,IF(C3225="x",V3224,"")))</f>
        <v/>
      </c>
      <c r="X3225" cm="1">
        <f t="array" ref="X3225">IF($I3225&lt;&gt;"",$I3225,INDEX($I$1:$I3225,ROW()-COUNTIFS($T$1:$T3225,"="&amp;$T3225,$S$1:$S3225,"&lt;"&amp;$S3225)))</f>
        <v>0</v>
      </c>
      <c r="Z3225" s="6">
        <f t="shared" si="446"/>
        <v>1</v>
      </c>
      <c r="AA3225" t="e">
        <f t="shared" si="447"/>
        <v>#VALUE!</v>
      </c>
      <c r="AB3225" t="str">
        <f t="shared" si="448"/>
        <v/>
      </c>
      <c r="AC3225" t="e">
        <f t="shared" si="449"/>
        <v>#VALUE!</v>
      </c>
    </row>
    <row r="3226" spans="1:29" x14ac:dyDescent="0.2">
      <c r="A3226" t="str">
        <f t="shared" si="450"/>
        <v/>
      </c>
      <c r="E3226" s="4"/>
      <c r="F3226" s="46"/>
      <c r="G3226" s="4"/>
      <c r="H3226" s="48"/>
      <c r="J3226" s="26" t="str">
        <f t="shared" si="451"/>
        <v/>
      </c>
      <c r="N3226" t="str">
        <f t="shared" si="452"/>
        <v/>
      </c>
      <c r="Q3226" t="str">
        <f t="shared" si="453"/>
        <v/>
      </c>
      <c r="S3226" t="str">
        <f>IF(A3226=1,MAX($S$2:$S3225)+1,IF(OR($I3226&lt;&gt;"",A3226="x"),$S3225,""))</f>
        <v/>
      </c>
      <c r="T3226" t="str">
        <f>IF(D3226=1,MAX($T$2:$T3225)+1,IF(S3226=S3225,$T3225,IF(D3226="x",T3225,IF(D3225="x","",""))))</f>
        <v/>
      </c>
      <c r="U3226" t="str">
        <f>IF(B3226=1,MAX($U$2:$U3225)+1,IF(AND($T3226&lt;&gt;"",$T3226=$T3225),$U3225,IF(B3226="x",U3225,"")))</f>
        <v/>
      </c>
      <c r="V3226" t="str">
        <f>IF(C3226=1,MAX($V$2:$V3225)+1,IF(AND($T3226&lt;&gt;"",$T3226=$T3225),$U3225,IF(C3226="x",V3225,"")))</f>
        <v/>
      </c>
      <c r="X3226" cm="1">
        <f t="array" ref="X3226">IF($I3226&lt;&gt;"",$I3226,INDEX($I$1:$I3226,ROW()-COUNTIFS($T$1:$T3226,"="&amp;$T3226,$S$1:$S3226,"&lt;"&amp;$S3226)))</f>
        <v>0</v>
      </c>
      <c r="Z3226" s="6">
        <f t="shared" si="446"/>
        <v>1</v>
      </c>
      <c r="AA3226" t="e">
        <f t="shared" si="447"/>
        <v>#VALUE!</v>
      </c>
      <c r="AB3226" t="str">
        <f t="shared" si="448"/>
        <v/>
      </c>
      <c r="AC3226" t="e">
        <f t="shared" si="449"/>
        <v>#VALUE!</v>
      </c>
    </row>
    <row r="3227" spans="1:29" x14ac:dyDescent="0.2">
      <c r="A3227" t="str">
        <f t="shared" si="450"/>
        <v/>
      </c>
      <c r="E3227" s="4"/>
      <c r="F3227" s="46"/>
      <c r="G3227" s="4"/>
      <c r="H3227" s="48"/>
      <c r="J3227" s="26" t="str">
        <f t="shared" si="451"/>
        <v/>
      </c>
      <c r="N3227" t="str">
        <f t="shared" si="452"/>
        <v/>
      </c>
      <c r="Q3227" t="str">
        <f t="shared" si="453"/>
        <v/>
      </c>
      <c r="S3227" t="str">
        <f>IF(A3227=1,MAX($S$2:$S3226)+1,IF(OR($I3227&lt;&gt;"",A3227="x"),$S3226,""))</f>
        <v/>
      </c>
      <c r="T3227" t="str">
        <f>IF(D3227=1,MAX($T$2:$T3226)+1,IF(S3227=S3226,$T3226,IF(D3227="x",T3226,IF(D3226="x","",""))))</f>
        <v/>
      </c>
      <c r="U3227" t="str">
        <f>IF(B3227=1,MAX($U$2:$U3226)+1,IF(AND($T3227&lt;&gt;"",$T3227=$T3226),$U3226,IF(B3227="x",U3226,"")))</f>
        <v/>
      </c>
      <c r="V3227" t="str">
        <f>IF(C3227=1,MAX($V$2:$V3226)+1,IF(AND($T3227&lt;&gt;"",$T3227=$T3226),$U3226,IF(C3227="x",V3226,"")))</f>
        <v/>
      </c>
      <c r="X3227" cm="1">
        <f t="array" ref="X3227">IF($I3227&lt;&gt;"",$I3227,INDEX($I$1:$I3227,ROW()-COUNTIFS($T$1:$T3227,"="&amp;$T3227,$S$1:$S3227,"&lt;"&amp;$S3227)))</f>
        <v>0</v>
      </c>
      <c r="Z3227" s="6">
        <f t="shared" si="446"/>
        <v>1</v>
      </c>
      <c r="AA3227" t="e">
        <f t="shared" si="447"/>
        <v>#VALUE!</v>
      </c>
      <c r="AB3227" t="str">
        <f t="shared" si="448"/>
        <v/>
      </c>
      <c r="AC3227" t="e">
        <f t="shared" si="449"/>
        <v>#VALUE!</v>
      </c>
    </row>
    <row r="3228" spans="1:29" x14ac:dyDescent="0.2">
      <c r="A3228" t="str">
        <f t="shared" si="450"/>
        <v/>
      </c>
      <c r="E3228" s="4"/>
      <c r="F3228" s="46"/>
      <c r="G3228" s="4"/>
      <c r="H3228" s="48"/>
      <c r="J3228" s="26" t="str">
        <f t="shared" si="451"/>
        <v/>
      </c>
      <c r="N3228" t="str">
        <f t="shared" si="452"/>
        <v/>
      </c>
      <c r="Q3228" t="str">
        <f t="shared" si="453"/>
        <v/>
      </c>
      <c r="S3228" t="str">
        <f>IF(A3228=1,MAX($S$2:$S3227)+1,IF(OR($I3228&lt;&gt;"",A3228="x"),$S3227,""))</f>
        <v/>
      </c>
      <c r="T3228" t="str">
        <f>IF(D3228=1,MAX($T$2:$T3227)+1,IF(S3228=S3227,$T3227,IF(D3228="x",T3227,IF(D3227="x","",""))))</f>
        <v/>
      </c>
      <c r="U3228" t="str">
        <f>IF(B3228=1,MAX($U$2:$U3227)+1,IF(AND($T3228&lt;&gt;"",$T3228=$T3227),$U3227,IF(B3228="x",U3227,"")))</f>
        <v/>
      </c>
      <c r="V3228" t="str">
        <f>IF(C3228=1,MAX($V$2:$V3227)+1,IF(AND($T3228&lt;&gt;"",$T3228=$T3227),$U3227,IF(C3228="x",V3227,"")))</f>
        <v/>
      </c>
      <c r="X3228" cm="1">
        <f t="array" ref="X3228">IF($I3228&lt;&gt;"",$I3228,INDEX($I$1:$I3228,ROW()-COUNTIFS($T$1:$T3228,"="&amp;$T3228,$S$1:$S3228,"&lt;"&amp;$S3228)))</f>
        <v>0</v>
      </c>
      <c r="Z3228" s="6">
        <f t="shared" si="446"/>
        <v>1</v>
      </c>
      <c r="AA3228" t="e">
        <f t="shared" si="447"/>
        <v>#VALUE!</v>
      </c>
      <c r="AB3228" t="str">
        <f t="shared" si="448"/>
        <v/>
      </c>
      <c r="AC3228" t="e">
        <f t="shared" si="449"/>
        <v>#VALUE!</v>
      </c>
    </row>
    <row r="3229" spans="1:29" x14ac:dyDescent="0.2">
      <c r="A3229" t="str">
        <f t="shared" si="450"/>
        <v/>
      </c>
      <c r="E3229" s="4"/>
      <c r="F3229" s="46"/>
      <c r="G3229" s="4"/>
      <c r="H3229" s="48"/>
      <c r="J3229" s="26" t="str">
        <f t="shared" si="451"/>
        <v/>
      </c>
      <c r="N3229" t="str">
        <f t="shared" si="452"/>
        <v/>
      </c>
      <c r="Q3229" t="str">
        <f t="shared" si="453"/>
        <v/>
      </c>
      <c r="S3229" t="str">
        <f>IF(A3229=1,MAX($S$2:$S3228)+1,IF(OR($I3229&lt;&gt;"",A3229="x"),$S3228,""))</f>
        <v/>
      </c>
      <c r="T3229" t="str">
        <f>IF(D3229=1,MAX($T$2:$T3228)+1,IF(S3229=S3228,$T3228,IF(D3229="x",T3228,IF(D3228="x","",""))))</f>
        <v/>
      </c>
      <c r="U3229" t="str">
        <f>IF(B3229=1,MAX($U$2:$U3228)+1,IF(AND($T3229&lt;&gt;"",$T3229=$T3228),$U3228,IF(B3229="x",U3228,"")))</f>
        <v/>
      </c>
      <c r="V3229" t="str">
        <f>IF(C3229=1,MAX($V$2:$V3228)+1,IF(AND($T3229&lt;&gt;"",$T3229=$T3228),$U3228,IF(C3229="x",V3228,"")))</f>
        <v/>
      </c>
      <c r="X3229" cm="1">
        <f t="array" ref="X3229">IF($I3229&lt;&gt;"",$I3229,INDEX($I$1:$I3229,ROW()-COUNTIFS($T$1:$T3229,"="&amp;$T3229,$S$1:$S3229,"&lt;"&amp;$S3229)))</f>
        <v>0</v>
      </c>
      <c r="Z3229" s="6">
        <f t="shared" si="446"/>
        <v>1</v>
      </c>
      <c r="AA3229" t="e">
        <f t="shared" si="447"/>
        <v>#VALUE!</v>
      </c>
      <c r="AB3229" t="str">
        <f t="shared" si="448"/>
        <v/>
      </c>
      <c r="AC3229" t="e">
        <f t="shared" si="449"/>
        <v>#VALUE!</v>
      </c>
    </row>
    <row r="3230" spans="1:29" x14ac:dyDescent="0.2">
      <c r="A3230" t="str">
        <f t="shared" si="450"/>
        <v/>
      </c>
      <c r="E3230" s="4"/>
      <c r="F3230" s="46"/>
      <c r="G3230" s="4"/>
      <c r="H3230" s="48"/>
      <c r="J3230" s="26" t="str">
        <f t="shared" si="451"/>
        <v/>
      </c>
      <c r="N3230" t="str">
        <f t="shared" si="452"/>
        <v/>
      </c>
      <c r="Q3230" t="str">
        <f t="shared" si="453"/>
        <v/>
      </c>
      <c r="S3230" t="str">
        <f>IF(A3230=1,MAX($S$2:$S3229)+1,IF(OR($I3230&lt;&gt;"",A3230="x"),$S3229,""))</f>
        <v/>
      </c>
      <c r="T3230" t="str">
        <f>IF(D3230=1,MAX($T$2:$T3229)+1,IF(S3230=S3229,$T3229,IF(D3230="x",T3229,IF(D3229="x","",""))))</f>
        <v/>
      </c>
      <c r="U3230" t="str">
        <f>IF(B3230=1,MAX($U$2:$U3229)+1,IF(AND($T3230&lt;&gt;"",$T3230=$T3229),$U3229,IF(B3230="x",U3229,"")))</f>
        <v/>
      </c>
      <c r="V3230" t="str">
        <f>IF(C3230=1,MAX($V$2:$V3229)+1,IF(AND($T3230&lt;&gt;"",$T3230=$T3229),$U3229,IF(C3230="x",V3229,"")))</f>
        <v/>
      </c>
      <c r="X3230" cm="1">
        <f t="array" ref="X3230">IF($I3230&lt;&gt;"",$I3230,INDEX($I$1:$I3230,ROW()-COUNTIFS($T$1:$T3230,"="&amp;$T3230,$S$1:$S3230,"&lt;"&amp;$S3230)))</f>
        <v>0</v>
      </c>
      <c r="Z3230" s="6">
        <f t="shared" si="446"/>
        <v>1</v>
      </c>
      <c r="AA3230" t="e">
        <f t="shared" si="447"/>
        <v>#VALUE!</v>
      </c>
      <c r="AB3230" t="str">
        <f t="shared" si="448"/>
        <v/>
      </c>
      <c r="AC3230" t="e">
        <f t="shared" si="449"/>
        <v>#VALUE!</v>
      </c>
    </row>
    <row r="3231" spans="1:29" x14ac:dyDescent="0.2">
      <c r="A3231" t="str">
        <f t="shared" si="450"/>
        <v/>
      </c>
      <c r="E3231" s="4"/>
      <c r="F3231" s="46"/>
      <c r="G3231" s="4"/>
      <c r="H3231" s="48"/>
      <c r="J3231" s="26" t="str">
        <f t="shared" si="451"/>
        <v/>
      </c>
      <c r="N3231" t="str">
        <f t="shared" si="452"/>
        <v/>
      </c>
      <c r="Q3231" t="str">
        <f t="shared" si="453"/>
        <v/>
      </c>
      <c r="S3231" t="str">
        <f>IF(A3231=1,MAX($S$2:$S3230)+1,IF(OR($I3231&lt;&gt;"",A3231="x"),$S3230,""))</f>
        <v/>
      </c>
      <c r="T3231" t="str">
        <f>IF(D3231=1,MAX($T$2:$T3230)+1,IF(S3231=S3230,$T3230,IF(D3231="x",T3230,IF(D3230="x","",""))))</f>
        <v/>
      </c>
      <c r="U3231" t="str">
        <f>IF(B3231=1,MAX($U$2:$U3230)+1,IF(AND($T3231&lt;&gt;"",$T3231=$T3230),$U3230,IF(B3231="x",U3230,"")))</f>
        <v/>
      </c>
      <c r="V3231" t="str">
        <f>IF(C3231=1,MAX($V$2:$V3230)+1,IF(AND($T3231&lt;&gt;"",$T3231=$T3230),$U3230,IF(C3231="x",V3230,"")))</f>
        <v/>
      </c>
      <c r="X3231" cm="1">
        <f t="array" ref="X3231">IF($I3231&lt;&gt;"",$I3231,INDEX($I$1:$I3231,ROW()-COUNTIFS($T$1:$T3231,"="&amp;$T3231,$S$1:$S3231,"&lt;"&amp;$S3231)))</f>
        <v>0</v>
      </c>
      <c r="Z3231" s="6">
        <f t="shared" si="446"/>
        <v>1</v>
      </c>
      <c r="AA3231" t="e">
        <f t="shared" si="447"/>
        <v>#VALUE!</v>
      </c>
      <c r="AB3231" t="str">
        <f t="shared" si="448"/>
        <v/>
      </c>
      <c r="AC3231" t="e">
        <f t="shared" si="449"/>
        <v>#VALUE!</v>
      </c>
    </row>
    <row r="3232" spans="1:29" x14ac:dyDescent="0.2">
      <c r="A3232" t="str">
        <f t="shared" si="450"/>
        <v/>
      </c>
      <c r="E3232" s="4"/>
      <c r="F3232" s="46"/>
      <c r="G3232" s="4"/>
      <c r="H3232" s="48"/>
      <c r="J3232" s="26" t="str">
        <f t="shared" si="451"/>
        <v/>
      </c>
      <c r="N3232" t="str">
        <f t="shared" si="452"/>
        <v/>
      </c>
      <c r="Q3232" t="str">
        <f t="shared" si="453"/>
        <v/>
      </c>
      <c r="S3232" t="str">
        <f>IF(A3232=1,MAX($S$2:$S3231)+1,IF(OR($I3232&lt;&gt;"",A3232="x"),$S3231,""))</f>
        <v/>
      </c>
      <c r="T3232" t="str">
        <f>IF(D3232=1,MAX($T$2:$T3231)+1,IF(S3232=S3231,$T3231,IF(D3232="x",T3231,IF(D3231="x","",""))))</f>
        <v/>
      </c>
      <c r="U3232" t="str">
        <f>IF(B3232=1,MAX($U$2:$U3231)+1,IF(AND($T3232&lt;&gt;"",$T3232=$T3231),$U3231,IF(B3232="x",U3231,"")))</f>
        <v/>
      </c>
      <c r="V3232" t="str">
        <f>IF(C3232=1,MAX($V$2:$V3231)+1,IF(AND($T3232&lt;&gt;"",$T3232=$T3231),$U3231,IF(C3232="x",V3231,"")))</f>
        <v/>
      </c>
      <c r="X3232" cm="1">
        <f t="array" ref="X3232">IF($I3232&lt;&gt;"",$I3232,INDEX($I$1:$I3232,ROW()-COUNTIFS($T$1:$T3232,"="&amp;$T3232,$S$1:$S3232,"&lt;"&amp;$S3232)))</f>
        <v>0</v>
      </c>
      <c r="Z3232" s="6">
        <f t="shared" si="446"/>
        <v>1</v>
      </c>
      <c r="AA3232" t="e">
        <f t="shared" si="447"/>
        <v>#VALUE!</v>
      </c>
      <c r="AB3232" t="str">
        <f t="shared" si="448"/>
        <v/>
      </c>
      <c r="AC3232" t="e">
        <f t="shared" si="449"/>
        <v>#VALUE!</v>
      </c>
    </row>
    <row r="3233" spans="1:29" x14ac:dyDescent="0.2">
      <c r="A3233" t="str">
        <f t="shared" si="450"/>
        <v/>
      </c>
      <c r="E3233" s="4"/>
      <c r="F3233" s="46"/>
      <c r="G3233" s="4"/>
      <c r="H3233" s="48"/>
      <c r="J3233" s="26" t="str">
        <f t="shared" si="451"/>
        <v/>
      </c>
      <c r="N3233" t="str">
        <f t="shared" si="452"/>
        <v/>
      </c>
      <c r="Q3233" t="str">
        <f t="shared" si="453"/>
        <v/>
      </c>
      <c r="S3233" t="str">
        <f>IF(A3233=1,MAX($S$2:$S3232)+1,IF(OR($I3233&lt;&gt;"",A3233="x"),$S3232,""))</f>
        <v/>
      </c>
      <c r="T3233" t="str">
        <f>IF(D3233=1,MAX($T$2:$T3232)+1,IF(S3233=S3232,$T3232,IF(D3233="x",T3232,IF(D3232="x","",""))))</f>
        <v/>
      </c>
      <c r="U3233" t="str">
        <f>IF(B3233=1,MAX($U$2:$U3232)+1,IF(AND($T3233&lt;&gt;"",$T3233=$T3232),$U3232,IF(B3233="x",U3232,"")))</f>
        <v/>
      </c>
      <c r="V3233" t="str">
        <f>IF(C3233=1,MAX($V$2:$V3232)+1,IF(AND($T3233&lt;&gt;"",$T3233=$T3232),$U3232,IF(C3233="x",V3232,"")))</f>
        <v/>
      </c>
      <c r="X3233" cm="1">
        <f t="array" ref="X3233">IF($I3233&lt;&gt;"",$I3233,INDEX($I$1:$I3233,ROW()-COUNTIFS($T$1:$T3233,"="&amp;$T3233,$S$1:$S3233,"&lt;"&amp;$S3233)))</f>
        <v>0</v>
      </c>
      <c r="Z3233" s="6">
        <f t="shared" si="446"/>
        <v>1</v>
      </c>
      <c r="AA3233" t="e">
        <f t="shared" si="447"/>
        <v>#VALUE!</v>
      </c>
      <c r="AB3233" t="str">
        <f t="shared" si="448"/>
        <v/>
      </c>
      <c r="AC3233" t="e">
        <f t="shared" si="449"/>
        <v>#VALUE!</v>
      </c>
    </row>
    <row r="3234" spans="1:29" x14ac:dyDescent="0.2">
      <c r="A3234" t="str">
        <f t="shared" si="450"/>
        <v/>
      </c>
      <c r="E3234" s="4"/>
      <c r="F3234" s="46"/>
      <c r="G3234" s="4"/>
      <c r="H3234" s="48"/>
      <c r="J3234" s="26" t="str">
        <f t="shared" si="451"/>
        <v/>
      </c>
      <c r="N3234" t="str">
        <f t="shared" si="452"/>
        <v/>
      </c>
      <c r="Q3234" t="str">
        <f t="shared" si="453"/>
        <v/>
      </c>
      <c r="S3234" t="str">
        <f>IF(A3234=1,MAX($S$2:$S3233)+1,IF(OR($I3234&lt;&gt;"",A3234="x"),$S3233,""))</f>
        <v/>
      </c>
      <c r="T3234" t="str">
        <f>IF(D3234=1,MAX($T$2:$T3233)+1,IF(S3234=S3233,$T3233,IF(D3234="x",T3233,IF(D3233="x","",""))))</f>
        <v/>
      </c>
      <c r="U3234" t="str">
        <f>IF(B3234=1,MAX($U$2:$U3233)+1,IF(AND($T3234&lt;&gt;"",$T3234=$T3233),$U3233,IF(B3234="x",U3233,"")))</f>
        <v/>
      </c>
      <c r="V3234" t="str">
        <f>IF(C3234=1,MAX($V$2:$V3233)+1,IF(AND($T3234&lt;&gt;"",$T3234=$T3233),$U3233,IF(C3234="x",V3233,"")))</f>
        <v/>
      </c>
      <c r="X3234" cm="1">
        <f t="array" ref="X3234">IF($I3234&lt;&gt;"",$I3234,INDEX($I$1:$I3234,ROW()-COUNTIFS($T$1:$T3234,"="&amp;$T3234,$S$1:$S3234,"&lt;"&amp;$S3234)))</f>
        <v>0</v>
      </c>
      <c r="Z3234" s="6">
        <f t="shared" si="446"/>
        <v>1</v>
      </c>
      <c r="AA3234" t="e">
        <f t="shared" si="447"/>
        <v>#VALUE!</v>
      </c>
      <c r="AB3234" t="str">
        <f t="shared" si="448"/>
        <v/>
      </c>
      <c r="AC3234" t="e">
        <f t="shared" si="449"/>
        <v>#VALUE!</v>
      </c>
    </row>
    <row r="3235" spans="1:29" x14ac:dyDescent="0.2">
      <c r="A3235" t="str">
        <f t="shared" si="450"/>
        <v/>
      </c>
      <c r="E3235" s="4"/>
      <c r="F3235" s="46"/>
      <c r="G3235" s="4"/>
      <c r="H3235" s="48"/>
      <c r="J3235" s="26" t="str">
        <f t="shared" si="451"/>
        <v/>
      </c>
      <c r="N3235" t="str">
        <f t="shared" si="452"/>
        <v/>
      </c>
      <c r="Q3235" t="str">
        <f t="shared" si="453"/>
        <v/>
      </c>
      <c r="S3235" t="str">
        <f>IF(A3235=1,MAX($S$2:$S3234)+1,IF(OR($I3235&lt;&gt;"",A3235="x"),$S3234,""))</f>
        <v/>
      </c>
      <c r="T3235" t="str">
        <f>IF(D3235=1,MAX($T$2:$T3234)+1,IF(S3235=S3234,$T3234,IF(D3235="x",T3234,IF(D3234="x","",""))))</f>
        <v/>
      </c>
      <c r="U3235" t="str">
        <f>IF(B3235=1,MAX($U$2:$U3234)+1,IF(AND($T3235&lt;&gt;"",$T3235=$T3234),$U3234,IF(B3235="x",U3234,"")))</f>
        <v/>
      </c>
      <c r="V3235" t="str">
        <f>IF(C3235=1,MAX($V$2:$V3234)+1,IF(AND($T3235&lt;&gt;"",$T3235=$T3234),$U3234,IF(C3235="x",V3234,"")))</f>
        <v/>
      </c>
      <c r="X3235" cm="1">
        <f t="array" ref="X3235">IF($I3235&lt;&gt;"",$I3235,INDEX($I$1:$I3235,ROW()-COUNTIFS($T$1:$T3235,"="&amp;$T3235,$S$1:$S3235,"&lt;"&amp;$S3235)))</f>
        <v>0</v>
      </c>
      <c r="Z3235" s="6">
        <f t="shared" si="446"/>
        <v>1</v>
      </c>
      <c r="AA3235" t="e">
        <f t="shared" si="447"/>
        <v>#VALUE!</v>
      </c>
      <c r="AB3235" t="str">
        <f t="shared" si="448"/>
        <v/>
      </c>
      <c r="AC3235" t="e">
        <f t="shared" si="449"/>
        <v>#VALUE!</v>
      </c>
    </row>
    <row r="3236" spans="1:29" x14ac:dyDescent="0.2">
      <c r="A3236" t="str">
        <f t="shared" si="450"/>
        <v/>
      </c>
      <c r="E3236" s="4"/>
      <c r="F3236" s="46"/>
      <c r="G3236" s="4"/>
      <c r="H3236" s="48"/>
      <c r="J3236" s="26" t="str">
        <f t="shared" si="451"/>
        <v/>
      </c>
      <c r="N3236" t="str">
        <f t="shared" si="452"/>
        <v/>
      </c>
      <c r="Q3236" t="str">
        <f t="shared" si="453"/>
        <v/>
      </c>
      <c r="S3236" t="str">
        <f>IF(A3236=1,MAX($S$2:$S3235)+1,IF(OR($I3236&lt;&gt;"",A3236="x"),$S3235,""))</f>
        <v/>
      </c>
      <c r="T3236" t="str">
        <f>IF(D3236=1,MAX($T$2:$T3235)+1,IF(S3236=S3235,$T3235,IF(D3236="x",T3235,IF(D3235="x","",""))))</f>
        <v/>
      </c>
      <c r="U3236" t="str">
        <f>IF(B3236=1,MAX($U$2:$U3235)+1,IF(AND($T3236&lt;&gt;"",$T3236=$T3235),$U3235,IF(B3236="x",U3235,"")))</f>
        <v/>
      </c>
      <c r="V3236" t="str">
        <f>IF(C3236=1,MAX($V$2:$V3235)+1,IF(AND($T3236&lt;&gt;"",$T3236=$T3235),$U3235,IF(C3236="x",V3235,"")))</f>
        <v/>
      </c>
      <c r="X3236" cm="1">
        <f t="array" ref="X3236">IF($I3236&lt;&gt;"",$I3236,INDEX($I$1:$I3236,ROW()-COUNTIFS($T$1:$T3236,"="&amp;$T3236,$S$1:$S3236,"&lt;"&amp;$S3236)))</f>
        <v>0</v>
      </c>
      <c r="Z3236" s="6">
        <f t="shared" si="446"/>
        <v>1</v>
      </c>
      <c r="AA3236" t="e">
        <f t="shared" si="447"/>
        <v>#VALUE!</v>
      </c>
      <c r="AB3236" t="str">
        <f t="shared" si="448"/>
        <v/>
      </c>
      <c r="AC3236" t="e">
        <f t="shared" si="449"/>
        <v>#VALUE!</v>
      </c>
    </row>
    <row r="3237" spans="1:29" x14ac:dyDescent="0.2">
      <c r="A3237" t="str">
        <f t="shared" si="450"/>
        <v/>
      </c>
      <c r="E3237" s="4"/>
      <c r="F3237" s="46"/>
      <c r="G3237" s="4"/>
      <c r="H3237" s="48"/>
      <c r="J3237" s="26" t="str">
        <f t="shared" si="451"/>
        <v/>
      </c>
      <c r="N3237" t="str">
        <f t="shared" si="452"/>
        <v/>
      </c>
      <c r="Q3237" t="str">
        <f t="shared" si="453"/>
        <v/>
      </c>
      <c r="S3237" t="str">
        <f>IF(A3237=1,MAX($S$2:$S3236)+1,IF(OR($I3237&lt;&gt;"",A3237="x"),$S3236,""))</f>
        <v/>
      </c>
      <c r="T3237" t="str">
        <f>IF(D3237=1,MAX($T$2:$T3236)+1,IF(S3237=S3236,$T3236,IF(D3237="x",T3236,IF(D3236="x","",""))))</f>
        <v/>
      </c>
      <c r="U3237" t="str">
        <f>IF(B3237=1,MAX($U$2:$U3236)+1,IF(AND($T3237&lt;&gt;"",$T3237=$T3236),$U3236,IF(B3237="x",U3236,"")))</f>
        <v/>
      </c>
      <c r="V3237" t="str">
        <f>IF(C3237=1,MAX($V$2:$V3236)+1,IF(AND($T3237&lt;&gt;"",$T3237=$T3236),$U3236,IF(C3237="x",V3236,"")))</f>
        <v/>
      </c>
      <c r="X3237" cm="1">
        <f t="array" ref="X3237">IF($I3237&lt;&gt;"",$I3237,INDEX($I$1:$I3237,ROW()-COUNTIFS($T$1:$T3237,"="&amp;$T3237,$S$1:$S3237,"&lt;"&amp;$S3237)))</f>
        <v>0</v>
      </c>
      <c r="Z3237" s="6">
        <f t="shared" si="446"/>
        <v>1</v>
      </c>
      <c r="AA3237" t="e">
        <f t="shared" si="447"/>
        <v>#VALUE!</v>
      </c>
      <c r="AB3237" t="str">
        <f t="shared" si="448"/>
        <v/>
      </c>
      <c r="AC3237" t="e">
        <f t="shared" si="449"/>
        <v>#VALUE!</v>
      </c>
    </row>
    <row r="3238" spans="1:29" x14ac:dyDescent="0.2">
      <c r="A3238" t="str">
        <f t="shared" si="450"/>
        <v/>
      </c>
      <c r="E3238" s="4"/>
      <c r="F3238" s="46"/>
      <c r="G3238" s="4"/>
      <c r="H3238" s="48"/>
      <c r="J3238" s="26" t="str">
        <f t="shared" si="451"/>
        <v/>
      </c>
      <c r="N3238" t="str">
        <f t="shared" si="452"/>
        <v/>
      </c>
      <c r="Q3238" t="str">
        <f t="shared" si="453"/>
        <v/>
      </c>
      <c r="S3238" t="str">
        <f>IF(A3238=1,MAX($S$2:$S3237)+1,IF(OR($I3238&lt;&gt;"",A3238="x"),$S3237,""))</f>
        <v/>
      </c>
      <c r="T3238" t="str">
        <f>IF(D3238=1,MAX($T$2:$T3237)+1,IF(S3238=S3237,$T3237,IF(D3238="x",T3237,IF(D3237="x","",""))))</f>
        <v/>
      </c>
      <c r="U3238" t="str">
        <f>IF(B3238=1,MAX($U$2:$U3237)+1,IF(AND($T3238&lt;&gt;"",$T3238=$T3237),$U3237,IF(B3238="x",U3237,"")))</f>
        <v/>
      </c>
      <c r="V3238" t="str">
        <f>IF(C3238=1,MAX($V$2:$V3237)+1,IF(AND($T3238&lt;&gt;"",$T3238=$T3237),$U3237,IF(C3238="x",V3237,"")))</f>
        <v/>
      </c>
      <c r="X3238" cm="1">
        <f t="array" ref="X3238">IF($I3238&lt;&gt;"",$I3238,INDEX($I$1:$I3238,ROW()-COUNTIFS($T$1:$T3238,"="&amp;$T3238,$S$1:$S3238,"&lt;"&amp;$S3238)))</f>
        <v>0</v>
      </c>
      <c r="Z3238" s="6">
        <f t="shared" si="446"/>
        <v>1</v>
      </c>
      <c r="AA3238" t="e">
        <f t="shared" si="447"/>
        <v>#VALUE!</v>
      </c>
      <c r="AB3238" t="str">
        <f t="shared" si="448"/>
        <v/>
      </c>
      <c r="AC3238" t="e">
        <f t="shared" si="449"/>
        <v>#VALUE!</v>
      </c>
    </row>
    <row r="3239" spans="1:29" x14ac:dyDescent="0.2">
      <c r="A3239" t="str">
        <f t="shared" si="450"/>
        <v/>
      </c>
      <c r="E3239" s="4"/>
      <c r="F3239" s="46"/>
      <c r="G3239" s="4"/>
      <c r="H3239" s="48"/>
      <c r="J3239" s="26" t="str">
        <f t="shared" si="451"/>
        <v/>
      </c>
      <c r="N3239" t="str">
        <f t="shared" si="452"/>
        <v/>
      </c>
      <c r="Q3239" t="str">
        <f t="shared" si="453"/>
        <v/>
      </c>
      <c r="S3239" t="str">
        <f>IF(A3239=1,MAX($S$2:$S3238)+1,IF(OR($I3239&lt;&gt;"",A3239="x"),$S3238,""))</f>
        <v/>
      </c>
      <c r="T3239" t="str">
        <f>IF(D3239=1,MAX($T$2:$T3238)+1,IF(S3239=S3238,$T3238,IF(D3239="x",T3238,IF(D3238="x","",""))))</f>
        <v/>
      </c>
      <c r="U3239" t="str">
        <f>IF(B3239=1,MAX($U$2:$U3238)+1,IF(AND($T3239&lt;&gt;"",$T3239=$T3238),$U3238,IF(B3239="x",U3238,"")))</f>
        <v/>
      </c>
      <c r="V3239" t="str">
        <f>IF(C3239=1,MAX($V$2:$V3238)+1,IF(AND($T3239&lt;&gt;"",$T3239=$T3238),$U3238,IF(C3239="x",V3238,"")))</f>
        <v/>
      </c>
      <c r="X3239" cm="1">
        <f t="array" ref="X3239">IF($I3239&lt;&gt;"",$I3239,INDEX($I$1:$I3239,ROW()-COUNTIFS($T$1:$T3239,"="&amp;$T3239,$S$1:$S3239,"&lt;"&amp;$S3239)))</f>
        <v>0</v>
      </c>
      <c r="Z3239" s="6">
        <f t="shared" si="446"/>
        <v>1</v>
      </c>
      <c r="AA3239" t="e">
        <f t="shared" si="447"/>
        <v>#VALUE!</v>
      </c>
      <c r="AB3239" t="str">
        <f t="shared" si="448"/>
        <v/>
      </c>
      <c r="AC3239" t="e">
        <f t="shared" si="449"/>
        <v>#VALUE!</v>
      </c>
    </row>
    <row r="3240" spans="1:29" x14ac:dyDescent="0.2">
      <c r="A3240" t="str">
        <f t="shared" si="450"/>
        <v/>
      </c>
      <c r="E3240" s="4"/>
      <c r="F3240" s="46"/>
      <c r="G3240" s="4"/>
      <c r="H3240" s="48"/>
      <c r="J3240" s="26" t="str">
        <f t="shared" si="451"/>
        <v/>
      </c>
      <c r="N3240" t="str">
        <f t="shared" si="452"/>
        <v/>
      </c>
      <c r="Q3240" t="str">
        <f t="shared" si="453"/>
        <v/>
      </c>
      <c r="S3240" t="str">
        <f>IF(A3240=1,MAX($S$2:$S3239)+1,IF(OR($I3240&lt;&gt;"",A3240="x"),$S3239,""))</f>
        <v/>
      </c>
      <c r="T3240" t="str">
        <f>IF(D3240=1,MAX($T$2:$T3239)+1,IF(S3240=S3239,$T3239,IF(D3240="x",T3239,IF(D3239="x","",""))))</f>
        <v/>
      </c>
      <c r="U3240" t="str">
        <f>IF(B3240=1,MAX($U$2:$U3239)+1,IF(AND($T3240&lt;&gt;"",$T3240=$T3239),$U3239,IF(B3240="x",U3239,"")))</f>
        <v/>
      </c>
      <c r="V3240" t="str">
        <f>IF(C3240=1,MAX($V$2:$V3239)+1,IF(AND($T3240&lt;&gt;"",$T3240=$T3239),$U3239,IF(C3240="x",V3239,"")))</f>
        <v/>
      </c>
      <c r="X3240" cm="1">
        <f t="array" ref="X3240">IF($I3240&lt;&gt;"",$I3240,INDEX($I$1:$I3240,ROW()-COUNTIFS($T$1:$T3240,"="&amp;$T3240,$S$1:$S3240,"&lt;"&amp;$S3240)))</f>
        <v>0</v>
      </c>
      <c r="Z3240" s="6">
        <f t="shared" si="446"/>
        <v>1</v>
      </c>
      <c r="AA3240" t="e">
        <f t="shared" si="447"/>
        <v>#VALUE!</v>
      </c>
      <c r="AB3240" t="str">
        <f t="shared" si="448"/>
        <v/>
      </c>
      <c r="AC3240" t="e">
        <f t="shared" si="449"/>
        <v>#VALUE!</v>
      </c>
    </row>
    <row r="3241" spans="1:29" x14ac:dyDescent="0.2">
      <c r="A3241" t="str">
        <f t="shared" si="450"/>
        <v/>
      </c>
      <c r="E3241" s="4"/>
      <c r="F3241" s="46"/>
      <c r="G3241" s="4"/>
      <c r="H3241" s="48"/>
      <c r="J3241" s="26" t="str">
        <f t="shared" si="451"/>
        <v/>
      </c>
      <c r="N3241" t="str">
        <f t="shared" si="452"/>
        <v/>
      </c>
      <c r="Q3241" t="str">
        <f t="shared" si="453"/>
        <v/>
      </c>
      <c r="S3241" t="str">
        <f>IF(A3241=1,MAX($S$2:$S3240)+1,IF(OR($I3241&lt;&gt;"",A3241="x"),$S3240,""))</f>
        <v/>
      </c>
      <c r="T3241" t="str">
        <f>IF(D3241=1,MAX($T$2:$T3240)+1,IF(S3241=S3240,$T3240,IF(D3241="x",T3240,IF(D3240="x","",""))))</f>
        <v/>
      </c>
      <c r="U3241" t="str">
        <f>IF(B3241=1,MAX($U$2:$U3240)+1,IF(AND($T3241&lt;&gt;"",$T3241=$T3240),$U3240,IF(B3241="x",U3240,"")))</f>
        <v/>
      </c>
      <c r="V3241" t="str">
        <f>IF(C3241=1,MAX($V$2:$V3240)+1,IF(AND($T3241&lt;&gt;"",$T3241=$T3240),$U3240,IF(C3241="x",V3240,"")))</f>
        <v/>
      </c>
      <c r="X3241" cm="1">
        <f t="array" ref="X3241">IF($I3241&lt;&gt;"",$I3241,INDEX($I$1:$I3241,ROW()-COUNTIFS($T$1:$T3241,"="&amp;$T3241,$S$1:$S3241,"&lt;"&amp;$S3241)))</f>
        <v>0</v>
      </c>
      <c r="Z3241" s="6">
        <f t="shared" si="446"/>
        <v>1</v>
      </c>
      <c r="AA3241" t="e">
        <f t="shared" si="447"/>
        <v>#VALUE!</v>
      </c>
      <c r="AB3241" t="str">
        <f t="shared" si="448"/>
        <v/>
      </c>
      <c r="AC3241" t="e">
        <f t="shared" si="449"/>
        <v>#VALUE!</v>
      </c>
    </row>
    <row r="3242" spans="1:29" x14ac:dyDescent="0.2">
      <c r="A3242" t="str">
        <f t="shared" si="450"/>
        <v/>
      </c>
      <c r="E3242" s="4"/>
      <c r="F3242" s="46"/>
      <c r="G3242" s="4"/>
      <c r="H3242" s="48"/>
      <c r="J3242" s="26" t="str">
        <f t="shared" si="451"/>
        <v/>
      </c>
      <c r="N3242" t="str">
        <f t="shared" si="452"/>
        <v/>
      </c>
      <c r="Q3242" t="str">
        <f t="shared" si="453"/>
        <v/>
      </c>
      <c r="S3242" t="str">
        <f>IF(A3242=1,MAX($S$2:$S3241)+1,IF(OR($I3242&lt;&gt;"",A3242="x"),$S3241,""))</f>
        <v/>
      </c>
      <c r="T3242" t="str">
        <f>IF(D3242=1,MAX($T$2:$T3241)+1,IF(S3242=S3241,$T3241,IF(D3242="x",T3241,IF(D3241="x","",""))))</f>
        <v/>
      </c>
      <c r="U3242" t="str">
        <f>IF(B3242=1,MAX($U$2:$U3241)+1,IF(AND($T3242&lt;&gt;"",$T3242=$T3241),$U3241,IF(B3242="x",U3241,"")))</f>
        <v/>
      </c>
      <c r="V3242" t="str">
        <f>IF(C3242=1,MAX($V$2:$V3241)+1,IF(AND($T3242&lt;&gt;"",$T3242=$T3241),$U3241,IF(C3242="x",V3241,"")))</f>
        <v/>
      </c>
      <c r="X3242" cm="1">
        <f t="array" ref="X3242">IF($I3242&lt;&gt;"",$I3242,INDEX($I$1:$I3242,ROW()-COUNTIFS($T$1:$T3242,"="&amp;$T3242,$S$1:$S3242,"&lt;"&amp;$S3242)))</f>
        <v>0</v>
      </c>
      <c r="Z3242" s="6">
        <f t="shared" si="446"/>
        <v>1</v>
      </c>
      <c r="AA3242" t="e">
        <f t="shared" si="447"/>
        <v>#VALUE!</v>
      </c>
      <c r="AB3242" t="str">
        <f t="shared" si="448"/>
        <v/>
      </c>
      <c r="AC3242" t="e">
        <f t="shared" si="449"/>
        <v>#VALUE!</v>
      </c>
    </row>
    <row r="3243" spans="1:29" x14ac:dyDescent="0.2">
      <c r="A3243" t="str">
        <f t="shared" si="450"/>
        <v/>
      </c>
      <c r="E3243" s="4"/>
      <c r="F3243" s="46"/>
      <c r="G3243" s="4"/>
      <c r="H3243" s="48"/>
      <c r="J3243" s="26" t="str">
        <f t="shared" si="451"/>
        <v/>
      </c>
      <c r="N3243" t="str">
        <f t="shared" si="452"/>
        <v/>
      </c>
      <c r="Q3243" t="str">
        <f t="shared" si="453"/>
        <v/>
      </c>
      <c r="S3243" t="str">
        <f>IF(A3243=1,MAX($S$2:$S3242)+1,IF(OR($I3243&lt;&gt;"",A3243="x"),$S3242,""))</f>
        <v/>
      </c>
      <c r="T3243" t="str">
        <f>IF(D3243=1,MAX($T$2:$T3242)+1,IF(S3243=S3242,$T3242,IF(D3243="x",T3242,IF(D3242="x","",""))))</f>
        <v/>
      </c>
      <c r="U3243" t="str">
        <f>IF(B3243=1,MAX($U$2:$U3242)+1,IF(AND($T3243&lt;&gt;"",$T3243=$T3242),$U3242,IF(B3243="x",U3242,"")))</f>
        <v/>
      </c>
      <c r="V3243" t="str">
        <f>IF(C3243=1,MAX($V$2:$V3242)+1,IF(AND($T3243&lt;&gt;"",$T3243=$T3242),$U3242,IF(C3243="x",V3242,"")))</f>
        <v/>
      </c>
      <c r="X3243" cm="1">
        <f t="array" ref="X3243">IF($I3243&lt;&gt;"",$I3243,INDEX($I$1:$I3243,ROW()-COUNTIFS($T$1:$T3243,"="&amp;$T3243,$S$1:$S3243,"&lt;"&amp;$S3243)))</f>
        <v>0</v>
      </c>
      <c r="Z3243" s="6">
        <f t="shared" si="446"/>
        <v>1</v>
      </c>
      <c r="AA3243" t="e">
        <f t="shared" si="447"/>
        <v>#VALUE!</v>
      </c>
      <c r="AB3243" t="str">
        <f t="shared" si="448"/>
        <v/>
      </c>
      <c r="AC3243" t="e">
        <f t="shared" si="449"/>
        <v>#VALUE!</v>
      </c>
    </row>
    <row r="3244" spans="1:29" x14ac:dyDescent="0.2">
      <c r="A3244" t="str">
        <f t="shared" si="450"/>
        <v/>
      </c>
      <c r="E3244" s="4"/>
      <c r="F3244" s="46"/>
      <c r="G3244" s="4"/>
      <c r="H3244" s="48"/>
      <c r="J3244" s="26" t="str">
        <f t="shared" si="451"/>
        <v/>
      </c>
      <c r="N3244" t="str">
        <f t="shared" si="452"/>
        <v/>
      </c>
      <c r="Q3244" t="str">
        <f t="shared" si="453"/>
        <v/>
      </c>
      <c r="S3244" t="str">
        <f>IF(A3244=1,MAX($S$2:$S3243)+1,IF(OR($I3244&lt;&gt;"",A3244="x"),$S3243,""))</f>
        <v/>
      </c>
      <c r="T3244" t="str">
        <f>IF(D3244=1,MAX($T$2:$T3243)+1,IF(S3244=S3243,$T3243,IF(D3244="x",T3243,IF(D3243="x","",""))))</f>
        <v/>
      </c>
      <c r="U3244" t="str">
        <f>IF(B3244=1,MAX($U$2:$U3243)+1,IF(AND($T3244&lt;&gt;"",$T3244=$T3243),$U3243,IF(B3244="x",U3243,"")))</f>
        <v/>
      </c>
      <c r="V3244" t="str">
        <f>IF(C3244=1,MAX($V$2:$V3243)+1,IF(AND($T3244&lt;&gt;"",$T3244=$T3243),$U3243,IF(C3244="x",V3243,"")))</f>
        <v/>
      </c>
      <c r="X3244" cm="1">
        <f t="array" ref="X3244">IF($I3244&lt;&gt;"",$I3244,INDEX($I$1:$I3244,ROW()-COUNTIFS($T$1:$T3244,"="&amp;$T3244,$S$1:$S3244,"&lt;"&amp;$S3244)))</f>
        <v>0</v>
      </c>
      <c r="Z3244" s="6">
        <f t="shared" si="446"/>
        <v>1</v>
      </c>
      <c r="AA3244" t="e">
        <f t="shared" si="447"/>
        <v>#VALUE!</v>
      </c>
      <c r="AB3244" t="str">
        <f t="shared" si="448"/>
        <v/>
      </c>
      <c r="AC3244" t="e">
        <f t="shared" si="449"/>
        <v>#VALUE!</v>
      </c>
    </row>
    <row r="3245" spans="1:29" x14ac:dyDescent="0.2">
      <c r="A3245" t="str">
        <f t="shared" si="450"/>
        <v/>
      </c>
      <c r="E3245" s="4"/>
      <c r="F3245" s="46"/>
      <c r="G3245" s="4"/>
      <c r="H3245" s="48"/>
      <c r="J3245" s="26" t="str">
        <f t="shared" si="451"/>
        <v/>
      </c>
      <c r="N3245" t="str">
        <f t="shared" si="452"/>
        <v/>
      </c>
      <c r="Q3245" t="str">
        <f t="shared" si="453"/>
        <v/>
      </c>
      <c r="S3245" t="str">
        <f>IF(A3245=1,MAX($S$2:$S3244)+1,IF(OR($I3245&lt;&gt;"",A3245="x"),$S3244,""))</f>
        <v/>
      </c>
      <c r="T3245" t="str">
        <f>IF(D3245=1,MAX($T$2:$T3244)+1,IF(S3245=S3244,$T3244,IF(D3245="x",T3244,IF(D3244="x","",""))))</f>
        <v/>
      </c>
      <c r="U3245" t="str">
        <f>IF(B3245=1,MAX($U$2:$U3244)+1,IF(AND($T3245&lt;&gt;"",$T3245=$T3244),$U3244,IF(B3245="x",U3244,"")))</f>
        <v/>
      </c>
      <c r="V3245" t="str">
        <f>IF(C3245=1,MAX($V$2:$V3244)+1,IF(AND($T3245&lt;&gt;"",$T3245=$T3244),$U3244,IF(C3245="x",V3244,"")))</f>
        <v/>
      </c>
      <c r="X3245" cm="1">
        <f t="array" ref="X3245">IF($I3245&lt;&gt;"",$I3245,INDEX($I$1:$I3245,ROW()-COUNTIFS($T$1:$T3245,"="&amp;$T3245,$S$1:$S3245,"&lt;"&amp;$S3245)))</f>
        <v>0</v>
      </c>
      <c r="Z3245" s="6">
        <f t="shared" si="446"/>
        <v>1</v>
      </c>
      <c r="AA3245" t="e">
        <f t="shared" si="447"/>
        <v>#VALUE!</v>
      </c>
      <c r="AB3245" t="str">
        <f t="shared" si="448"/>
        <v/>
      </c>
      <c r="AC3245" t="e">
        <f t="shared" si="449"/>
        <v>#VALUE!</v>
      </c>
    </row>
    <row r="3246" spans="1:29" x14ac:dyDescent="0.2">
      <c r="A3246" t="str">
        <f t="shared" si="450"/>
        <v/>
      </c>
      <c r="E3246" s="4"/>
      <c r="F3246" s="46"/>
      <c r="G3246" s="4"/>
      <c r="H3246" s="48"/>
      <c r="J3246" s="26" t="str">
        <f t="shared" si="451"/>
        <v/>
      </c>
      <c r="N3246" t="str">
        <f t="shared" si="452"/>
        <v/>
      </c>
      <c r="Q3246" t="str">
        <f t="shared" si="453"/>
        <v/>
      </c>
      <c r="S3246" t="str">
        <f>IF(A3246=1,MAX($S$2:$S3245)+1,IF(OR($I3246&lt;&gt;"",A3246="x"),$S3245,""))</f>
        <v/>
      </c>
      <c r="T3246" t="str">
        <f>IF(D3246=1,MAX($T$2:$T3245)+1,IF(S3246=S3245,$T3245,IF(D3246="x",T3245,IF(D3245="x","",""))))</f>
        <v/>
      </c>
      <c r="U3246" t="str">
        <f>IF(B3246=1,MAX($U$2:$U3245)+1,IF(AND($T3246&lt;&gt;"",$T3246=$T3245),$U3245,IF(B3246="x",U3245,"")))</f>
        <v/>
      </c>
      <c r="V3246" t="str">
        <f>IF(C3246=1,MAX($V$2:$V3245)+1,IF(AND($T3246&lt;&gt;"",$T3246=$T3245),$U3245,IF(C3246="x",V3245,"")))</f>
        <v/>
      </c>
      <c r="X3246" cm="1">
        <f t="array" ref="X3246">IF($I3246&lt;&gt;"",$I3246,INDEX($I$1:$I3246,ROW()-COUNTIFS($T$1:$T3246,"="&amp;$T3246,$S$1:$S3246,"&lt;"&amp;$S3246)))</f>
        <v>0</v>
      </c>
      <c r="Z3246" s="6">
        <f t="shared" si="446"/>
        <v>1</v>
      </c>
      <c r="AA3246" t="e">
        <f t="shared" si="447"/>
        <v>#VALUE!</v>
      </c>
      <c r="AB3246" t="str">
        <f t="shared" si="448"/>
        <v/>
      </c>
      <c r="AC3246" t="e">
        <f t="shared" si="449"/>
        <v>#VALUE!</v>
      </c>
    </row>
    <row r="3247" spans="1:29" x14ac:dyDescent="0.2">
      <c r="A3247" t="str">
        <f t="shared" si="450"/>
        <v/>
      </c>
      <c r="E3247" s="4"/>
      <c r="F3247" s="46"/>
      <c r="G3247" s="4"/>
      <c r="H3247" s="48"/>
      <c r="J3247" s="26" t="str">
        <f t="shared" si="451"/>
        <v/>
      </c>
      <c r="N3247" t="str">
        <f t="shared" si="452"/>
        <v/>
      </c>
      <c r="Q3247" t="str">
        <f t="shared" si="453"/>
        <v/>
      </c>
      <c r="S3247" t="str">
        <f>IF(A3247=1,MAX($S$2:$S3246)+1,IF(OR($I3247&lt;&gt;"",A3247="x"),$S3246,""))</f>
        <v/>
      </c>
      <c r="T3247" t="str">
        <f>IF(D3247=1,MAX($T$2:$T3246)+1,IF(S3247=S3246,$T3246,IF(D3247="x",T3246,IF(D3246="x","",""))))</f>
        <v/>
      </c>
      <c r="U3247" t="str">
        <f>IF(B3247=1,MAX($U$2:$U3246)+1,IF(AND($T3247&lt;&gt;"",$T3247=$T3246),$U3246,IF(B3247="x",U3246,"")))</f>
        <v/>
      </c>
      <c r="V3247" t="str">
        <f>IF(C3247=1,MAX($V$2:$V3246)+1,IF(AND($T3247&lt;&gt;"",$T3247=$T3246),$U3246,IF(C3247="x",V3246,"")))</f>
        <v/>
      </c>
      <c r="X3247" cm="1">
        <f t="array" ref="X3247">IF($I3247&lt;&gt;"",$I3247,INDEX($I$1:$I3247,ROW()-COUNTIFS($T$1:$T3247,"="&amp;$T3247,$S$1:$S3247,"&lt;"&amp;$S3247)))</f>
        <v>0</v>
      </c>
      <c r="Z3247" s="6">
        <f t="shared" si="446"/>
        <v>1</v>
      </c>
      <c r="AA3247" t="e">
        <f t="shared" si="447"/>
        <v>#VALUE!</v>
      </c>
      <c r="AB3247" t="str">
        <f t="shared" si="448"/>
        <v/>
      </c>
      <c r="AC3247" t="e">
        <f t="shared" si="449"/>
        <v>#VALUE!</v>
      </c>
    </row>
    <row r="3248" spans="1:29" x14ac:dyDescent="0.2">
      <c r="A3248" t="str">
        <f t="shared" si="450"/>
        <v/>
      </c>
      <c r="E3248" s="4"/>
      <c r="F3248" s="46"/>
      <c r="G3248" s="4"/>
      <c r="H3248" s="48"/>
      <c r="J3248" s="26" t="str">
        <f t="shared" si="451"/>
        <v/>
      </c>
      <c r="N3248" t="str">
        <f t="shared" si="452"/>
        <v/>
      </c>
      <c r="Q3248" t="str">
        <f t="shared" si="453"/>
        <v/>
      </c>
      <c r="S3248" t="str">
        <f>IF(A3248=1,MAX($S$2:$S3247)+1,IF(OR($I3248&lt;&gt;"",A3248="x"),$S3247,""))</f>
        <v/>
      </c>
      <c r="T3248" t="str">
        <f>IF(D3248=1,MAX($T$2:$T3247)+1,IF(S3248=S3247,$T3247,IF(D3248="x",T3247,IF(D3247="x","",""))))</f>
        <v/>
      </c>
      <c r="U3248" t="str">
        <f>IF(B3248=1,MAX($U$2:$U3247)+1,IF(AND($T3248&lt;&gt;"",$T3248=$T3247),$U3247,IF(B3248="x",U3247,"")))</f>
        <v/>
      </c>
      <c r="V3248" t="str">
        <f>IF(C3248=1,MAX($V$2:$V3247)+1,IF(AND($T3248&lt;&gt;"",$T3248=$T3247),$U3247,IF(C3248="x",V3247,"")))</f>
        <v/>
      </c>
      <c r="X3248" cm="1">
        <f t="array" ref="X3248">IF($I3248&lt;&gt;"",$I3248,INDEX($I$1:$I3248,ROW()-COUNTIFS($T$1:$T3248,"="&amp;$T3248,$S$1:$S3248,"&lt;"&amp;$S3248)))</f>
        <v>0</v>
      </c>
      <c r="Z3248" s="6">
        <f t="shared" si="446"/>
        <v>1</v>
      </c>
      <c r="AA3248" t="e">
        <f t="shared" si="447"/>
        <v>#VALUE!</v>
      </c>
      <c r="AB3248" t="str">
        <f t="shared" si="448"/>
        <v/>
      </c>
      <c r="AC3248" t="e">
        <f t="shared" si="449"/>
        <v>#VALUE!</v>
      </c>
    </row>
    <row r="3249" spans="1:29" x14ac:dyDescent="0.2">
      <c r="A3249" t="str">
        <f t="shared" si="450"/>
        <v/>
      </c>
      <c r="E3249" s="4"/>
      <c r="F3249" s="46"/>
      <c r="G3249" s="4"/>
      <c r="H3249" s="48"/>
      <c r="J3249" s="26" t="str">
        <f t="shared" si="451"/>
        <v/>
      </c>
      <c r="N3249" t="str">
        <f t="shared" si="452"/>
        <v/>
      </c>
      <c r="Q3249" t="str">
        <f t="shared" si="453"/>
        <v/>
      </c>
      <c r="S3249" t="str">
        <f>IF(A3249=1,MAX($S$2:$S3248)+1,IF(OR($I3249&lt;&gt;"",A3249="x"),$S3248,""))</f>
        <v/>
      </c>
      <c r="T3249" t="str">
        <f>IF(D3249=1,MAX($T$2:$T3248)+1,IF(S3249=S3248,$T3248,IF(D3249="x",T3248,IF(D3248="x","",""))))</f>
        <v/>
      </c>
      <c r="U3249" t="str">
        <f>IF(B3249=1,MAX($U$2:$U3248)+1,IF(AND($T3249&lt;&gt;"",$T3249=$T3248),$U3248,IF(B3249="x",U3248,"")))</f>
        <v/>
      </c>
      <c r="V3249" t="str">
        <f>IF(C3249=1,MAX($V$2:$V3248)+1,IF(AND($T3249&lt;&gt;"",$T3249=$T3248),$U3248,IF(C3249="x",V3248,"")))</f>
        <v/>
      </c>
      <c r="X3249" cm="1">
        <f t="array" ref="X3249">IF($I3249&lt;&gt;"",$I3249,INDEX($I$1:$I3249,ROW()-COUNTIFS($T$1:$T3249,"="&amp;$T3249,$S$1:$S3249,"&lt;"&amp;$S3249)))</f>
        <v>0</v>
      </c>
      <c r="Z3249" s="6">
        <f t="shared" si="446"/>
        <v>1</v>
      </c>
      <c r="AA3249" t="e">
        <f t="shared" si="447"/>
        <v>#VALUE!</v>
      </c>
      <c r="AB3249" t="str">
        <f t="shared" si="448"/>
        <v/>
      </c>
      <c r="AC3249" t="e">
        <f t="shared" si="449"/>
        <v>#VALUE!</v>
      </c>
    </row>
    <row r="3250" spans="1:29" x14ac:dyDescent="0.2">
      <c r="A3250" t="str">
        <f t="shared" si="450"/>
        <v/>
      </c>
      <c r="E3250" s="4"/>
      <c r="F3250" s="46"/>
      <c r="G3250" s="4"/>
      <c r="H3250" s="48"/>
      <c r="J3250" s="26" t="str">
        <f t="shared" si="451"/>
        <v/>
      </c>
      <c r="N3250" t="str">
        <f t="shared" si="452"/>
        <v/>
      </c>
      <c r="Q3250" t="str">
        <f t="shared" si="453"/>
        <v/>
      </c>
      <c r="S3250" t="str">
        <f>IF(A3250=1,MAX($S$2:$S3249)+1,IF(OR($I3250&lt;&gt;"",A3250="x"),$S3249,""))</f>
        <v/>
      </c>
      <c r="T3250" t="str">
        <f>IF(D3250=1,MAX($T$2:$T3249)+1,IF(S3250=S3249,$T3249,IF(D3250="x",T3249,IF(D3249="x","",""))))</f>
        <v/>
      </c>
      <c r="U3250" t="str">
        <f>IF(B3250=1,MAX($U$2:$U3249)+1,IF(AND($T3250&lt;&gt;"",$T3250=$T3249),$U3249,IF(B3250="x",U3249,"")))</f>
        <v/>
      </c>
      <c r="V3250" t="str">
        <f>IF(C3250=1,MAX($V$2:$V3249)+1,IF(AND($T3250&lt;&gt;"",$T3250=$T3249),$U3249,IF(C3250="x",V3249,"")))</f>
        <v/>
      </c>
      <c r="X3250" cm="1">
        <f t="array" ref="X3250">IF($I3250&lt;&gt;"",$I3250,INDEX($I$1:$I3250,ROW()-COUNTIFS($T$1:$T3250,"="&amp;$T3250,$S$1:$S3250,"&lt;"&amp;$S3250)))</f>
        <v>0</v>
      </c>
      <c r="Z3250" s="6">
        <f t="shared" si="446"/>
        <v>1</v>
      </c>
      <c r="AA3250" t="e">
        <f t="shared" si="447"/>
        <v>#VALUE!</v>
      </c>
      <c r="AB3250" t="str">
        <f t="shared" si="448"/>
        <v/>
      </c>
      <c r="AC3250" t="e">
        <f t="shared" si="449"/>
        <v>#VALUE!</v>
      </c>
    </row>
    <row r="3251" spans="1:29" x14ac:dyDescent="0.2">
      <c r="A3251" t="str">
        <f t="shared" si="450"/>
        <v/>
      </c>
      <c r="E3251" s="4"/>
      <c r="F3251" s="46"/>
      <c r="G3251" s="4"/>
      <c r="H3251" s="48"/>
      <c r="J3251" s="26" t="str">
        <f t="shared" si="451"/>
        <v/>
      </c>
      <c r="N3251" t="str">
        <f t="shared" si="452"/>
        <v/>
      </c>
      <c r="Q3251" t="str">
        <f t="shared" si="453"/>
        <v/>
      </c>
      <c r="S3251" t="str">
        <f>IF(A3251=1,MAX($S$2:$S3250)+1,IF(OR($I3251&lt;&gt;"",A3251="x"),$S3250,""))</f>
        <v/>
      </c>
      <c r="T3251" t="str">
        <f>IF(D3251=1,MAX($T$2:$T3250)+1,IF(S3251=S3250,$T3250,IF(D3251="x",T3250,IF(D3250="x","",""))))</f>
        <v/>
      </c>
      <c r="U3251" t="str">
        <f>IF(B3251=1,MAX($U$2:$U3250)+1,IF(AND($T3251&lt;&gt;"",$T3251=$T3250),$U3250,IF(B3251="x",U3250,"")))</f>
        <v/>
      </c>
      <c r="V3251" t="str">
        <f>IF(C3251=1,MAX($V$2:$V3250)+1,IF(AND($T3251&lt;&gt;"",$T3251=$T3250),$U3250,IF(C3251="x",V3250,"")))</f>
        <v/>
      </c>
      <c r="X3251" cm="1">
        <f t="array" ref="X3251">IF($I3251&lt;&gt;"",$I3251,INDEX($I$1:$I3251,ROW()-COUNTIFS($T$1:$T3251,"="&amp;$T3251,$S$1:$S3251,"&lt;"&amp;$S3251)))</f>
        <v>0</v>
      </c>
      <c r="Z3251" s="6">
        <f t="shared" si="446"/>
        <v>1</v>
      </c>
      <c r="AA3251" t="e">
        <f t="shared" si="447"/>
        <v>#VALUE!</v>
      </c>
      <c r="AB3251" t="str">
        <f t="shared" si="448"/>
        <v/>
      </c>
      <c r="AC3251" t="e">
        <f t="shared" si="449"/>
        <v>#VALUE!</v>
      </c>
    </row>
    <row r="3252" spans="1:29" x14ac:dyDescent="0.2">
      <c r="A3252" t="str">
        <f t="shared" si="450"/>
        <v/>
      </c>
      <c r="E3252" s="4"/>
      <c r="F3252" s="46"/>
      <c r="G3252" s="4"/>
      <c r="H3252" s="48"/>
      <c r="J3252" s="26" t="str">
        <f t="shared" si="451"/>
        <v/>
      </c>
      <c r="N3252" t="str">
        <f t="shared" si="452"/>
        <v/>
      </c>
      <c r="Q3252" t="str">
        <f t="shared" si="453"/>
        <v/>
      </c>
      <c r="S3252" t="str">
        <f>IF(A3252=1,MAX($S$2:$S3251)+1,IF(OR($I3252&lt;&gt;"",A3252="x"),$S3251,""))</f>
        <v/>
      </c>
      <c r="T3252" t="str">
        <f>IF(D3252=1,MAX($T$2:$T3251)+1,IF(S3252=S3251,$T3251,IF(D3252="x",T3251,IF(D3251="x","",""))))</f>
        <v/>
      </c>
      <c r="U3252" t="str">
        <f>IF(B3252=1,MAX($U$2:$U3251)+1,IF(AND($T3252&lt;&gt;"",$T3252=$T3251),$U3251,IF(B3252="x",U3251,"")))</f>
        <v/>
      </c>
      <c r="V3252" t="str">
        <f>IF(C3252=1,MAX($V$2:$V3251)+1,IF(AND($T3252&lt;&gt;"",$T3252=$T3251),$U3251,IF(C3252="x",V3251,"")))</f>
        <v/>
      </c>
      <c r="X3252" cm="1">
        <f t="array" ref="X3252">IF($I3252&lt;&gt;"",$I3252,INDEX($I$1:$I3252,ROW()-COUNTIFS($T$1:$T3252,"="&amp;$T3252,$S$1:$S3252,"&lt;"&amp;$S3252)))</f>
        <v>0</v>
      </c>
      <c r="Z3252" s="6">
        <f t="shared" si="446"/>
        <v>1</v>
      </c>
      <c r="AA3252" t="e">
        <f t="shared" si="447"/>
        <v>#VALUE!</v>
      </c>
      <c r="AB3252" t="str">
        <f t="shared" si="448"/>
        <v/>
      </c>
      <c r="AC3252" t="e">
        <f t="shared" si="449"/>
        <v>#VALUE!</v>
      </c>
    </row>
    <row r="3253" spans="1:29" x14ac:dyDescent="0.2">
      <c r="A3253" t="str">
        <f t="shared" si="450"/>
        <v/>
      </c>
      <c r="E3253" s="4"/>
      <c r="F3253" s="46"/>
      <c r="G3253" s="4"/>
      <c r="H3253" s="48"/>
      <c r="J3253" s="26" t="str">
        <f t="shared" si="451"/>
        <v/>
      </c>
      <c r="N3253" t="str">
        <f t="shared" si="452"/>
        <v/>
      </c>
      <c r="Q3253" t="str">
        <f t="shared" si="453"/>
        <v/>
      </c>
      <c r="S3253" t="str">
        <f>IF(A3253=1,MAX($S$2:$S3252)+1,IF(OR($I3253&lt;&gt;"",A3253="x"),$S3252,""))</f>
        <v/>
      </c>
      <c r="T3253" t="str">
        <f>IF(D3253=1,MAX($T$2:$T3252)+1,IF(S3253=S3252,$T3252,IF(D3253="x",T3252,IF(D3252="x","",""))))</f>
        <v/>
      </c>
      <c r="U3253" t="str">
        <f>IF(B3253=1,MAX($U$2:$U3252)+1,IF(AND($T3253&lt;&gt;"",$T3253=$T3252),$U3252,IF(B3253="x",U3252,"")))</f>
        <v/>
      </c>
      <c r="V3253" t="str">
        <f>IF(C3253=1,MAX($V$2:$V3252)+1,IF(AND($T3253&lt;&gt;"",$T3253=$T3252),$U3252,IF(C3253="x",V3252,"")))</f>
        <v/>
      </c>
      <c r="X3253" cm="1">
        <f t="array" ref="X3253">IF($I3253&lt;&gt;"",$I3253,INDEX($I$1:$I3253,ROW()-COUNTIFS($T$1:$T3253,"="&amp;$T3253,$S$1:$S3253,"&lt;"&amp;$S3253)))</f>
        <v>0</v>
      </c>
      <c r="Z3253" s="6">
        <f t="shared" si="446"/>
        <v>1</v>
      </c>
      <c r="AA3253" t="e">
        <f t="shared" si="447"/>
        <v>#VALUE!</v>
      </c>
      <c r="AB3253" t="str">
        <f t="shared" si="448"/>
        <v/>
      </c>
      <c r="AC3253" t="e">
        <f t="shared" si="449"/>
        <v>#VALUE!</v>
      </c>
    </row>
    <row r="3254" spans="1:29" x14ac:dyDescent="0.2">
      <c r="A3254" t="str">
        <f t="shared" si="450"/>
        <v/>
      </c>
      <c r="E3254" s="4"/>
      <c r="F3254" s="46"/>
      <c r="G3254" s="4"/>
      <c r="H3254" s="48"/>
      <c r="J3254" s="26" t="str">
        <f t="shared" si="451"/>
        <v/>
      </c>
      <c r="N3254" t="str">
        <f t="shared" si="452"/>
        <v/>
      </c>
      <c r="Q3254" t="str">
        <f t="shared" si="453"/>
        <v/>
      </c>
      <c r="S3254" t="str">
        <f>IF(A3254=1,MAX($S$2:$S3253)+1,IF(OR($I3254&lt;&gt;"",A3254="x"),$S3253,""))</f>
        <v/>
      </c>
      <c r="T3254" t="str">
        <f>IF(D3254=1,MAX($T$2:$T3253)+1,IF(S3254=S3253,$T3253,IF(D3254="x",T3253,IF(D3253="x","",""))))</f>
        <v/>
      </c>
      <c r="U3254" t="str">
        <f>IF(B3254=1,MAX($U$2:$U3253)+1,IF(AND($T3254&lt;&gt;"",$T3254=$T3253),$U3253,IF(B3254="x",U3253,"")))</f>
        <v/>
      </c>
      <c r="V3254" t="str">
        <f>IF(C3254=1,MAX($V$2:$V3253)+1,IF(AND($T3254&lt;&gt;"",$T3254=$T3253),$U3253,IF(C3254="x",V3253,"")))</f>
        <v/>
      </c>
      <c r="X3254" cm="1">
        <f t="array" ref="X3254">IF($I3254&lt;&gt;"",$I3254,INDEX($I$1:$I3254,ROW()-COUNTIFS($T$1:$T3254,"="&amp;$T3254,$S$1:$S3254,"&lt;"&amp;$S3254)))</f>
        <v>0</v>
      </c>
      <c r="Z3254" s="6">
        <f t="shared" si="446"/>
        <v>1</v>
      </c>
      <c r="AA3254" t="e">
        <f t="shared" si="447"/>
        <v>#VALUE!</v>
      </c>
      <c r="AB3254" t="str">
        <f t="shared" si="448"/>
        <v/>
      </c>
      <c r="AC3254" t="e">
        <f t="shared" si="449"/>
        <v>#VALUE!</v>
      </c>
    </row>
    <row r="3255" spans="1:29" x14ac:dyDescent="0.2">
      <c r="A3255" t="str">
        <f t="shared" si="450"/>
        <v/>
      </c>
      <c r="E3255" s="4"/>
      <c r="F3255" s="46"/>
      <c r="G3255" s="4"/>
      <c r="H3255" s="48"/>
      <c r="J3255" s="26" t="str">
        <f t="shared" si="451"/>
        <v/>
      </c>
      <c r="N3255" t="str">
        <f t="shared" si="452"/>
        <v/>
      </c>
      <c r="Q3255" t="str">
        <f t="shared" si="453"/>
        <v/>
      </c>
      <c r="S3255" t="str">
        <f>IF(A3255=1,MAX($S$2:$S3254)+1,IF(OR($I3255&lt;&gt;"",A3255="x"),$S3254,""))</f>
        <v/>
      </c>
      <c r="T3255" t="str">
        <f>IF(D3255=1,MAX($T$2:$T3254)+1,IF(S3255=S3254,$T3254,IF(D3255="x",T3254,IF(D3254="x","",""))))</f>
        <v/>
      </c>
      <c r="U3255" t="str">
        <f>IF(B3255=1,MAX($U$2:$U3254)+1,IF(AND($T3255&lt;&gt;"",$T3255=$T3254),$U3254,IF(B3255="x",U3254,"")))</f>
        <v/>
      </c>
      <c r="V3255" t="str">
        <f>IF(C3255=1,MAX($V$2:$V3254)+1,IF(AND($T3255&lt;&gt;"",$T3255=$T3254),$U3254,IF(C3255="x",V3254,"")))</f>
        <v/>
      </c>
      <c r="X3255" cm="1">
        <f t="array" ref="X3255">IF($I3255&lt;&gt;"",$I3255,INDEX($I$1:$I3255,ROW()-COUNTIFS($T$1:$T3255,"="&amp;$T3255,$S$1:$S3255,"&lt;"&amp;$S3255)))</f>
        <v>0</v>
      </c>
      <c r="Z3255" s="6">
        <f t="shared" si="446"/>
        <v>1</v>
      </c>
      <c r="AA3255" t="e">
        <f t="shared" si="447"/>
        <v>#VALUE!</v>
      </c>
      <c r="AB3255" t="str">
        <f t="shared" si="448"/>
        <v/>
      </c>
      <c r="AC3255" t="e">
        <f t="shared" si="449"/>
        <v>#VALUE!</v>
      </c>
    </row>
    <row r="3256" spans="1:29" x14ac:dyDescent="0.2">
      <c r="A3256" t="str">
        <f t="shared" si="450"/>
        <v/>
      </c>
      <c r="E3256" s="4"/>
      <c r="F3256" s="46"/>
      <c r="G3256" s="4"/>
      <c r="H3256" s="48"/>
      <c r="J3256" s="26" t="str">
        <f t="shared" si="451"/>
        <v/>
      </c>
      <c r="N3256" t="str">
        <f t="shared" si="452"/>
        <v/>
      </c>
      <c r="Q3256" t="str">
        <f t="shared" si="453"/>
        <v/>
      </c>
      <c r="S3256" t="str">
        <f>IF(A3256=1,MAX($S$2:$S3255)+1,IF(OR($I3256&lt;&gt;"",A3256="x"),$S3255,""))</f>
        <v/>
      </c>
      <c r="T3256" t="str">
        <f>IF(D3256=1,MAX($T$2:$T3255)+1,IF(S3256=S3255,$T3255,IF(D3256="x",T3255,IF(D3255="x","",""))))</f>
        <v/>
      </c>
      <c r="U3256" t="str">
        <f>IF(B3256=1,MAX($U$2:$U3255)+1,IF(AND($T3256&lt;&gt;"",$T3256=$T3255),$U3255,IF(B3256="x",U3255,"")))</f>
        <v/>
      </c>
      <c r="V3256" t="str">
        <f>IF(C3256=1,MAX($V$2:$V3255)+1,IF(AND($T3256&lt;&gt;"",$T3256=$T3255),$U3255,IF(C3256="x",V3255,"")))</f>
        <v/>
      </c>
      <c r="X3256" cm="1">
        <f t="array" ref="X3256">IF($I3256&lt;&gt;"",$I3256,INDEX($I$1:$I3256,ROW()-COUNTIFS($T$1:$T3256,"="&amp;$T3256,$S$1:$S3256,"&lt;"&amp;$S3256)))</f>
        <v>0</v>
      </c>
      <c r="Z3256" s="6">
        <f t="shared" si="446"/>
        <v>1</v>
      </c>
      <c r="AA3256" t="e">
        <f t="shared" si="447"/>
        <v>#VALUE!</v>
      </c>
      <c r="AB3256" t="str">
        <f t="shared" si="448"/>
        <v/>
      </c>
      <c r="AC3256" t="e">
        <f t="shared" si="449"/>
        <v>#VALUE!</v>
      </c>
    </row>
    <row r="3257" spans="1:29" x14ac:dyDescent="0.2">
      <c r="A3257" t="str">
        <f t="shared" si="450"/>
        <v/>
      </c>
      <c r="E3257" s="4"/>
      <c r="F3257" s="46"/>
      <c r="G3257" s="4"/>
      <c r="H3257" s="48"/>
      <c r="J3257" s="26" t="str">
        <f t="shared" si="451"/>
        <v/>
      </c>
      <c r="N3257" t="str">
        <f t="shared" si="452"/>
        <v/>
      </c>
      <c r="Q3257" t="str">
        <f t="shared" si="453"/>
        <v/>
      </c>
      <c r="S3257" t="str">
        <f>IF(A3257=1,MAX($S$2:$S3256)+1,IF(OR($I3257&lt;&gt;"",A3257="x"),$S3256,""))</f>
        <v/>
      </c>
      <c r="T3257" t="str">
        <f>IF(D3257=1,MAX($T$2:$T3256)+1,IF(S3257=S3256,$T3256,IF(D3257="x",T3256,IF(D3256="x","",""))))</f>
        <v/>
      </c>
      <c r="U3257" t="str">
        <f>IF(B3257=1,MAX($U$2:$U3256)+1,IF(AND($T3257&lt;&gt;"",$T3257=$T3256),$U3256,IF(B3257="x",U3256,"")))</f>
        <v/>
      </c>
      <c r="V3257" t="str">
        <f>IF(C3257=1,MAX($V$2:$V3256)+1,IF(AND($T3257&lt;&gt;"",$T3257=$T3256),$U3256,IF(C3257="x",V3256,"")))</f>
        <v/>
      </c>
      <c r="X3257" cm="1">
        <f t="array" ref="X3257">IF($I3257&lt;&gt;"",$I3257,INDEX($I$1:$I3257,ROW()-COUNTIFS($T$1:$T3257,"="&amp;$T3257,$S$1:$S3257,"&lt;"&amp;$S3257)))</f>
        <v>0</v>
      </c>
      <c r="Z3257" s="6">
        <f t="shared" si="446"/>
        <v>1</v>
      </c>
      <c r="AA3257" t="e">
        <f t="shared" si="447"/>
        <v>#VALUE!</v>
      </c>
      <c r="AB3257" t="str">
        <f t="shared" si="448"/>
        <v/>
      </c>
      <c r="AC3257" t="e">
        <f t="shared" si="449"/>
        <v>#VALUE!</v>
      </c>
    </row>
    <row r="3258" spans="1:29" x14ac:dyDescent="0.2">
      <c r="A3258" t="str">
        <f t="shared" si="450"/>
        <v/>
      </c>
      <c r="E3258" s="4"/>
      <c r="F3258" s="46"/>
      <c r="G3258" s="4"/>
      <c r="H3258" s="48"/>
      <c r="J3258" s="26" t="str">
        <f t="shared" si="451"/>
        <v/>
      </c>
      <c r="N3258" t="str">
        <f t="shared" si="452"/>
        <v/>
      </c>
      <c r="Q3258" t="str">
        <f t="shared" si="453"/>
        <v/>
      </c>
      <c r="S3258" t="str">
        <f>IF(A3258=1,MAX($S$2:$S3257)+1,IF(OR($I3258&lt;&gt;"",A3258="x"),$S3257,""))</f>
        <v/>
      </c>
      <c r="T3258" t="str">
        <f>IF(D3258=1,MAX($T$2:$T3257)+1,IF(S3258=S3257,$T3257,IF(D3258="x",T3257,IF(D3257="x","",""))))</f>
        <v/>
      </c>
      <c r="U3258" t="str">
        <f>IF(B3258=1,MAX($U$2:$U3257)+1,IF(AND($T3258&lt;&gt;"",$T3258=$T3257),$U3257,IF(B3258="x",U3257,"")))</f>
        <v/>
      </c>
      <c r="V3258" t="str">
        <f>IF(C3258=1,MAX($V$2:$V3257)+1,IF(AND($T3258&lt;&gt;"",$T3258=$T3257),$U3257,IF(C3258="x",V3257,"")))</f>
        <v/>
      </c>
      <c r="X3258" cm="1">
        <f t="array" ref="X3258">IF($I3258&lt;&gt;"",$I3258,INDEX($I$1:$I3258,ROW()-COUNTIFS($T$1:$T3258,"="&amp;$T3258,$S$1:$S3258,"&lt;"&amp;$S3258)))</f>
        <v>0</v>
      </c>
      <c r="Z3258" s="6">
        <f t="shared" si="446"/>
        <v>1</v>
      </c>
      <c r="AA3258" t="e">
        <f t="shared" si="447"/>
        <v>#VALUE!</v>
      </c>
      <c r="AB3258" t="str">
        <f t="shared" si="448"/>
        <v/>
      </c>
      <c r="AC3258" t="e">
        <f t="shared" si="449"/>
        <v>#VALUE!</v>
      </c>
    </row>
    <row r="3259" spans="1:29" x14ac:dyDescent="0.2">
      <c r="A3259" t="str">
        <f t="shared" si="450"/>
        <v/>
      </c>
      <c r="E3259" s="4"/>
      <c r="F3259" s="46"/>
      <c r="G3259" s="4"/>
      <c r="H3259" s="48"/>
      <c r="J3259" s="26" t="str">
        <f t="shared" si="451"/>
        <v/>
      </c>
      <c r="N3259" t="str">
        <f t="shared" si="452"/>
        <v/>
      </c>
      <c r="Q3259" t="str">
        <f t="shared" si="453"/>
        <v/>
      </c>
      <c r="S3259" t="str">
        <f>IF(A3259=1,MAX($S$2:$S3258)+1,IF(OR($I3259&lt;&gt;"",A3259="x"),$S3258,""))</f>
        <v/>
      </c>
      <c r="T3259" t="str">
        <f>IF(D3259=1,MAX($T$2:$T3258)+1,IF(S3259=S3258,$T3258,IF(D3259="x",T3258,IF(D3258="x","",""))))</f>
        <v/>
      </c>
      <c r="U3259" t="str">
        <f>IF(B3259=1,MAX($U$2:$U3258)+1,IF(AND($T3259&lt;&gt;"",$T3259=$T3258),$U3258,IF(B3259="x",U3258,"")))</f>
        <v/>
      </c>
      <c r="V3259" t="str">
        <f>IF(C3259=1,MAX($V$2:$V3258)+1,IF(AND($T3259&lt;&gt;"",$T3259=$T3258),$U3258,IF(C3259="x",V3258,"")))</f>
        <v/>
      </c>
      <c r="X3259" cm="1">
        <f t="array" ref="X3259">IF($I3259&lt;&gt;"",$I3259,INDEX($I$1:$I3259,ROW()-COUNTIFS($T$1:$T3259,"="&amp;$T3259,$S$1:$S3259,"&lt;"&amp;$S3259)))</f>
        <v>0</v>
      </c>
      <c r="Z3259" s="6">
        <f t="shared" si="446"/>
        <v>1</v>
      </c>
      <c r="AA3259" t="e">
        <f t="shared" si="447"/>
        <v>#VALUE!</v>
      </c>
      <c r="AB3259" t="str">
        <f t="shared" si="448"/>
        <v/>
      </c>
      <c r="AC3259" t="e">
        <f t="shared" si="449"/>
        <v>#VALUE!</v>
      </c>
    </row>
    <row r="3260" spans="1:29" x14ac:dyDescent="0.2">
      <c r="A3260" t="str">
        <f t="shared" si="450"/>
        <v/>
      </c>
      <c r="E3260" s="4"/>
      <c r="F3260" s="46"/>
      <c r="G3260" s="4"/>
      <c r="H3260" s="48"/>
      <c r="J3260" s="26" t="str">
        <f t="shared" si="451"/>
        <v/>
      </c>
      <c r="N3260" t="str">
        <f t="shared" si="452"/>
        <v/>
      </c>
      <c r="Q3260" t="str">
        <f t="shared" si="453"/>
        <v/>
      </c>
      <c r="S3260" t="str">
        <f>IF(A3260=1,MAX($S$2:$S3259)+1,IF(OR($I3260&lt;&gt;"",A3260="x"),$S3259,""))</f>
        <v/>
      </c>
      <c r="T3260" t="str">
        <f>IF(D3260=1,MAX($T$2:$T3259)+1,IF(S3260=S3259,$T3259,IF(D3260="x",T3259,IF(D3259="x","",""))))</f>
        <v/>
      </c>
      <c r="U3260" t="str">
        <f>IF(B3260=1,MAX($U$2:$U3259)+1,IF(AND($T3260&lt;&gt;"",$T3260=$T3259),$U3259,IF(B3260="x",U3259,"")))</f>
        <v/>
      </c>
      <c r="V3260" t="str">
        <f>IF(C3260=1,MAX($V$2:$V3259)+1,IF(AND($T3260&lt;&gt;"",$T3260=$T3259),$U3259,IF(C3260="x",V3259,"")))</f>
        <v/>
      </c>
      <c r="X3260" cm="1">
        <f t="array" ref="X3260">IF($I3260&lt;&gt;"",$I3260,INDEX($I$1:$I3260,ROW()-COUNTIFS($T$1:$T3260,"="&amp;$T3260,$S$1:$S3260,"&lt;"&amp;$S3260)))</f>
        <v>0</v>
      </c>
      <c r="Z3260" s="6">
        <f t="shared" si="446"/>
        <v>1</v>
      </c>
      <c r="AA3260" t="e">
        <f t="shared" si="447"/>
        <v>#VALUE!</v>
      </c>
      <c r="AB3260" t="str">
        <f t="shared" si="448"/>
        <v/>
      </c>
      <c r="AC3260" t="e">
        <f t="shared" si="449"/>
        <v>#VALUE!</v>
      </c>
    </row>
    <row r="3261" spans="1:29" x14ac:dyDescent="0.2">
      <c r="A3261" t="str">
        <f t="shared" si="450"/>
        <v/>
      </c>
      <c r="E3261" s="4"/>
      <c r="F3261" s="46"/>
      <c r="G3261" s="4"/>
      <c r="H3261" s="48"/>
      <c r="J3261" s="26" t="str">
        <f t="shared" si="451"/>
        <v/>
      </c>
      <c r="N3261" t="str">
        <f t="shared" si="452"/>
        <v/>
      </c>
      <c r="Q3261" t="str">
        <f t="shared" si="453"/>
        <v/>
      </c>
      <c r="S3261" t="str">
        <f>IF(A3261=1,MAX($S$2:$S3260)+1,IF(OR($I3261&lt;&gt;"",A3261="x"),$S3260,""))</f>
        <v/>
      </c>
      <c r="T3261" t="str">
        <f>IF(D3261=1,MAX($T$2:$T3260)+1,IF(S3261=S3260,$T3260,IF(D3261="x",T3260,IF(D3260="x","",""))))</f>
        <v/>
      </c>
      <c r="U3261" t="str">
        <f>IF(B3261=1,MAX($U$2:$U3260)+1,IF(AND($T3261&lt;&gt;"",$T3261=$T3260),$U3260,IF(B3261="x",U3260,"")))</f>
        <v/>
      </c>
      <c r="V3261" t="str">
        <f>IF(C3261=1,MAX($V$2:$V3260)+1,IF(AND($T3261&lt;&gt;"",$T3261=$T3260),$U3260,IF(C3261="x",V3260,"")))</f>
        <v/>
      </c>
      <c r="X3261" cm="1">
        <f t="array" ref="X3261">IF($I3261&lt;&gt;"",$I3261,INDEX($I$1:$I3261,ROW()-COUNTIFS($T$1:$T3261,"="&amp;$T3261,$S$1:$S3261,"&lt;"&amp;$S3261)))</f>
        <v>0</v>
      </c>
      <c r="Z3261" s="6">
        <f t="shared" si="446"/>
        <v>1</v>
      </c>
      <c r="AA3261" t="e">
        <f t="shared" si="447"/>
        <v>#VALUE!</v>
      </c>
      <c r="AB3261" t="str">
        <f t="shared" si="448"/>
        <v/>
      </c>
      <c r="AC3261" t="e">
        <f t="shared" si="449"/>
        <v>#VALUE!</v>
      </c>
    </row>
    <row r="3262" spans="1:29" x14ac:dyDescent="0.2">
      <c r="A3262" t="str">
        <f t="shared" si="450"/>
        <v/>
      </c>
      <c r="E3262" s="4"/>
      <c r="F3262" s="46"/>
      <c r="G3262" s="4"/>
      <c r="H3262" s="48"/>
      <c r="J3262" s="26" t="str">
        <f t="shared" si="451"/>
        <v/>
      </c>
      <c r="N3262" t="str">
        <f t="shared" si="452"/>
        <v/>
      </c>
      <c r="Q3262" t="str">
        <f t="shared" si="453"/>
        <v/>
      </c>
      <c r="S3262" t="str">
        <f>IF(A3262=1,MAX($S$2:$S3261)+1,IF(OR($I3262&lt;&gt;"",A3262="x"),$S3261,""))</f>
        <v/>
      </c>
      <c r="T3262" t="str">
        <f>IF(D3262=1,MAX($T$2:$T3261)+1,IF(S3262=S3261,$T3261,IF(D3262="x",T3261,IF(D3261="x","",""))))</f>
        <v/>
      </c>
      <c r="U3262" t="str">
        <f>IF(B3262=1,MAX($U$2:$U3261)+1,IF(AND($T3262&lt;&gt;"",$T3262=$T3261),$U3261,IF(B3262="x",U3261,"")))</f>
        <v/>
      </c>
      <c r="V3262" t="str">
        <f>IF(C3262=1,MAX($V$2:$V3261)+1,IF(AND($T3262&lt;&gt;"",$T3262=$T3261),$U3261,IF(C3262="x",V3261,"")))</f>
        <v/>
      </c>
      <c r="X3262" cm="1">
        <f t="array" ref="X3262">IF($I3262&lt;&gt;"",$I3262,INDEX($I$1:$I3262,ROW()-COUNTIFS($T$1:$T3262,"="&amp;$T3262,$S$1:$S3262,"&lt;"&amp;$S3262)))</f>
        <v>0</v>
      </c>
      <c r="Z3262" s="6">
        <f t="shared" si="446"/>
        <v>1</v>
      </c>
      <c r="AA3262" t="e">
        <f t="shared" si="447"/>
        <v>#VALUE!</v>
      </c>
      <c r="AB3262" t="str">
        <f t="shared" si="448"/>
        <v/>
      </c>
      <c r="AC3262" t="e">
        <f t="shared" si="449"/>
        <v>#VALUE!</v>
      </c>
    </row>
    <row r="3263" spans="1:29" x14ac:dyDescent="0.2">
      <c r="A3263" t="str">
        <f t="shared" si="450"/>
        <v/>
      </c>
      <c r="E3263" s="4"/>
      <c r="F3263" s="46"/>
      <c r="G3263" s="4"/>
      <c r="H3263" s="48"/>
      <c r="J3263" s="26" t="str">
        <f t="shared" si="451"/>
        <v/>
      </c>
      <c r="N3263" t="str">
        <f t="shared" si="452"/>
        <v/>
      </c>
      <c r="Q3263" t="str">
        <f t="shared" si="453"/>
        <v/>
      </c>
      <c r="S3263" t="str">
        <f>IF(A3263=1,MAX($S$2:$S3262)+1,IF(OR($I3263&lt;&gt;"",A3263="x"),$S3262,""))</f>
        <v/>
      </c>
      <c r="T3263" t="str">
        <f>IF(D3263=1,MAX($T$2:$T3262)+1,IF(S3263=S3262,$T3262,IF(D3263="x",T3262,IF(D3262="x","",""))))</f>
        <v/>
      </c>
      <c r="U3263" t="str">
        <f>IF(B3263=1,MAX($U$2:$U3262)+1,IF(AND($T3263&lt;&gt;"",$T3263=$T3262),$U3262,IF(B3263="x",U3262,"")))</f>
        <v/>
      </c>
      <c r="V3263" t="str">
        <f>IF(C3263=1,MAX($V$2:$V3262)+1,IF(AND($T3263&lt;&gt;"",$T3263=$T3262),$U3262,IF(C3263="x",V3262,"")))</f>
        <v/>
      </c>
      <c r="X3263" cm="1">
        <f t="array" ref="X3263">IF($I3263&lt;&gt;"",$I3263,INDEX($I$1:$I3263,ROW()-COUNTIFS($T$1:$T3263,"="&amp;$T3263,$S$1:$S3263,"&lt;"&amp;$S3263)))</f>
        <v>0</v>
      </c>
      <c r="Z3263" s="6">
        <f t="shared" si="446"/>
        <v>1</v>
      </c>
      <c r="AA3263" t="e">
        <f t="shared" si="447"/>
        <v>#VALUE!</v>
      </c>
      <c r="AB3263" t="str">
        <f t="shared" si="448"/>
        <v/>
      </c>
      <c r="AC3263" t="e">
        <f t="shared" si="449"/>
        <v>#VALUE!</v>
      </c>
    </row>
    <row r="3264" spans="1:29" x14ac:dyDescent="0.2">
      <c r="A3264" t="str">
        <f t="shared" si="450"/>
        <v/>
      </c>
      <c r="E3264" s="4"/>
      <c r="F3264" s="46"/>
      <c r="G3264" s="4"/>
      <c r="H3264" s="48"/>
      <c r="J3264" s="26" t="str">
        <f t="shared" si="451"/>
        <v/>
      </c>
      <c r="N3264" t="str">
        <f t="shared" si="452"/>
        <v/>
      </c>
      <c r="Q3264" t="str">
        <f t="shared" si="453"/>
        <v/>
      </c>
      <c r="S3264" t="str">
        <f>IF(A3264=1,MAX($S$2:$S3263)+1,IF(OR($I3264&lt;&gt;"",A3264="x"),$S3263,""))</f>
        <v/>
      </c>
      <c r="T3264" t="str">
        <f>IF(D3264=1,MAX($T$2:$T3263)+1,IF(S3264=S3263,$T3263,IF(D3264="x",T3263,IF(D3263="x","",""))))</f>
        <v/>
      </c>
      <c r="U3264" t="str">
        <f>IF(B3264=1,MAX($U$2:$U3263)+1,IF(AND($T3264&lt;&gt;"",$T3264=$T3263),$U3263,IF(B3264="x",U3263,"")))</f>
        <v/>
      </c>
      <c r="V3264" t="str">
        <f>IF(C3264=1,MAX($V$2:$V3263)+1,IF(AND($T3264&lt;&gt;"",$T3264=$T3263),$U3263,IF(C3264="x",V3263,"")))</f>
        <v/>
      </c>
      <c r="X3264" cm="1">
        <f t="array" ref="X3264">IF($I3264&lt;&gt;"",$I3264,INDEX($I$1:$I3264,ROW()-COUNTIFS($T$1:$T3264,"="&amp;$T3264,$S$1:$S3264,"&lt;"&amp;$S3264)))</f>
        <v>0</v>
      </c>
      <c r="Z3264" s="6">
        <f t="shared" si="446"/>
        <v>1</v>
      </c>
      <c r="AA3264" t="e">
        <f t="shared" si="447"/>
        <v>#VALUE!</v>
      </c>
      <c r="AB3264" t="str">
        <f t="shared" si="448"/>
        <v/>
      </c>
      <c r="AC3264" t="e">
        <f t="shared" si="449"/>
        <v>#VALUE!</v>
      </c>
    </row>
    <row r="3265" spans="1:29" x14ac:dyDescent="0.2">
      <c r="A3265" t="str">
        <f t="shared" si="450"/>
        <v/>
      </c>
      <c r="E3265" s="4"/>
      <c r="F3265" s="46"/>
      <c r="G3265" s="4"/>
      <c r="H3265" s="48"/>
      <c r="J3265" s="26" t="str">
        <f t="shared" si="451"/>
        <v/>
      </c>
      <c r="N3265" t="str">
        <f t="shared" si="452"/>
        <v/>
      </c>
      <c r="Q3265" t="str">
        <f t="shared" si="453"/>
        <v/>
      </c>
      <c r="S3265" t="str">
        <f>IF(A3265=1,MAX($S$2:$S3264)+1,IF(OR($I3265&lt;&gt;"",A3265="x"),$S3264,""))</f>
        <v/>
      </c>
      <c r="T3265" t="str">
        <f>IF(D3265=1,MAX($T$2:$T3264)+1,IF(S3265=S3264,$T3264,IF(D3265="x",T3264,IF(D3264="x","",""))))</f>
        <v/>
      </c>
      <c r="U3265" t="str">
        <f>IF(B3265=1,MAX($U$2:$U3264)+1,IF(AND($T3265&lt;&gt;"",$T3265=$T3264),$U3264,IF(B3265="x",U3264,"")))</f>
        <v/>
      </c>
      <c r="V3265" t="str">
        <f>IF(C3265=1,MAX($V$2:$V3264)+1,IF(AND($T3265&lt;&gt;"",$T3265=$T3264),$U3264,IF(C3265="x",V3264,"")))</f>
        <v/>
      </c>
      <c r="X3265" cm="1">
        <f t="array" ref="X3265">IF($I3265&lt;&gt;"",$I3265,INDEX($I$1:$I3265,ROW()-COUNTIFS($T$1:$T3265,"="&amp;$T3265,$S$1:$S3265,"&lt;"&amp;$S3265)))</f>
        <v>0</v>
      </c>
      <c r="Z3265" s="6">
        <f t="shared" si="446"/>
        <v>1</v>
      </c>
      <c r="AA3265" t="e">
        <f t="shared" si="447"/>
        <v>#VALUE!</v>
      </c>
      <c r="AB3265" t="str">
        <f t="shared" si="448"/>
        <v/>
      </c>
      <c r="AC3265" t="e">
        <f t="shared" si="449"/>
        <v>#VALUE!</v>
      </c>
    </row>
    <row r="3266" spans="1:29" x14ac:dyDescent="0.2">
      <c r="A3266" t="str">
        <f t="shared" si="450"/>
        <v/>
      </c>
      <c r="E3266" s="4"/>
      <c r="F3266" s="46"/>
      <c r="G3266" s="4"/>
      <c r="H3266" s="48"/>
      <c r="J3266" s="26" t="str">
        <f t="shared" si="451"/>
        <v/>
      </c>
      <c r="N3266" t="str">
        <f t="shared" si="452"/>
        <v/>
      </c>
      <c r="Q3266" t="str">
        <f t="shared" si="453"/>
        <v/>
      </c>
      <c r="S3266" t="str">
        <f>IF(A3266=1,MAX($S$2:$S3265)+1,IF(OR($I3266&lt;&gt;"",A3266="x"),$S3265,""))</f>
        <v/>
      </c>
      <c r="T3266" t="str">
        <f>IF(D3266=1,MAX($T$2:$T3265)+1,IF(S3266=S3265,$T3265,IF(D3266="x",T3265,IF(D3265="x","",""))))</f>
        <v/>
      </c>
      <c r="U3266" t="str">
        <f>IF(B3266=1,MAX($U$2:$U3265)+1,IF(AND($T3266&lt;&gt;"",$T3266=$T3265),$U3265,IF(B3266="x",U3265,"")))</f>
        <v/>
      </c>
      <c r="V3266" t="str">
        <f>IF(C3266=1,MAX($V$2:$V3265)+1,IF(AND($T3266&lt;&gt;"",$T3266=$T3265),$U3265,IF(C3266="x",V3265,"")))</f>
        <v/>
      </c>
      <c r="X3266" cm="1">
        <f t="array" ref="X3266">IF($I3266&lt;&gt;"",$I3266,INDEX($I$1:$I3266,ROW()-COUNTIFS($T$1:$T3266,"="&amp;$T3266,$S$1:$S3266,"&lt;"&amp;$S3266)))</f>
        <v>0</v>
      </c>
      <c r="Z3266" s="6">
        <f t="shared" si="446"/>
        <v>1</v>
      </c>
      <c r="AA3266" t="e">
        <f t="shared" si="447"/>
        <v>#VALUE!</v>
      </c>
      <c r="AB3266" t="str">
        <f t="shared" si="448"/>
        <v/>
      </c>
      <c r="AC3266" t="e">
        <f t="shared" si="449"/>
        <v>#VALUE!</v>
      </c>
    </row>
    <row r="3267" spans="1:29" x14ac:dyDescent="0.2">
      <c r="A3267" t="str">
        <f t="shared" si="450"/>
        <v/>
      </c>
      <c r="E3267" s="4"/>
      <c r="F3267" s="46"/>
      <c r="G3267" s="4"/>
      <c r="H3267" s="48"/>
      <c r="J3267" s="26" t="str">
        <f t="shared" si="451"/>
        <v/>
      </c>
      <c r="N3267" t="str">
        <f t="shared" si="452"/>
        <v/>
      </c>
      <c r="Q3267" t="str">
        <f t="shared" si="453"/>
        <v/>
      </c>
      <c r="S3267" t="str">
        <f>IF(A3267=1,MAX($S$2:$S3266)+1,IF(OR($I3267&lt;&gt;"",A3267="x"),$S3266,""))</f>
        <v/>
      </c>
      <c r="T3267" t="str">
        <f>IF(D3267=1,MAX($T$2:$T3266)+1,IF(S3267=S3266,$T3266,IF(D3267="x",T3266,IF(D3266="x","",""))))</f>
        <v/>
      </c>
      <c r="U3267" t="str">
        <f>IF(B3267=1,MAX($U$2:$U3266)+1,IF(AND($T3267&lt;&gt;"",$T3267=$T3266),$U3266,IF(B3267="x",U3266,"")))</f>
        <v/>
      </c>
      <c r="V3267" t="str">
        <f>IF(C3267=1,MAX($V$2:$V3266)+1,IF(AND($T3267&lt;&gt;"",$T3267=$T3266),$U3266,IF(C3267="x",V3266,"")))</f>
        <v/>
      </c>
      <c r="X3267" cm="1">
        <f t="array" ref="X3267">IF($I3267&lt;&gt;"",$I3267,INDEX($I$1:$I3267,ROW()-COUNTIFS($T$1:$T3267,"="&amp;$T3267,$S$1:$S3267,"&lt;"&amp;$S3267)))</f>
        <v>0</v>
      </c>
      <c r="Z3267" s="6">
        <f t="shared" si="446"/>
        <v>1</v>
      </c>
      <c r="AA3267" t="e">
        <f t="shared" si="447"/>
        <v>#VALUE!</v>
      </c>
      <c r="AB3267" t="str">
        <f t="shared" si="448"/>
        <v/>
      </c>
      <c r="AC3267" t="e">
        <f t="shared" si="449"/>
        <v>#VALUE!</v>
      </c>
    </row>
    <row r="3268" spans="1:29" x14ac:dyDescent="0.2">
      <c r="A3268" t="str">
        <f t="shared" si="450"/>
        <v/>
      </c>
      <c r="E3268" s="4"/>
      <c r="F3268" s="46"/>
      <c r="G3268" s="4"/>
      <c r="H3268" s="48"/>
      <c r="J3268" s="26" t="str">
        <f t="shared" si="451"/>
        <v/>
      </c>
      <c r="N3268" t="str">
        <f t="shared" si="452"/>
        <v/>
      </c>
      <c r="Q3268" t="str">
        <f t="shared" si="453"/>
        <v/>
      </c>
      <c r="S3268" t="str">
        <f>IF(A3268=1,MAX($S$2:$S3267)+1,IF(OR($I3268&lt;&gt;"",A3268="x"),$S3267,""))</f>
        <v/>
      </c>
      <c r="T3268" t="str">
        <f>IF(D3268=1,MAX($T$2:$T3267)+1,IF(S3268=S3267,$T3267,IF(D3268="x",T3267,IF(D3267="x","",""))))</f>
        <v/>
      </c>
      <c r="U3268" t="str">
        <f>IF(B3268=1,MAX($U$2:$U3267)+1,IF(AND($T3268&lt;&gt;"",$T3268=$T3267),$U3267,IF(B3268="x",U3267,"")))</f>
        <v/>
      </c>
      <c r="V3268" t="str">
        <f>IF(C3268=1,MAX($V$2:$V3267)+1,IF(AND($T3268&lt;&gt;"",$T3268=$T3267),$U3267,IF(C3268="x",V3267,"")))</f>
        <v/>
      </c>
      <c r="X3268" cm="1">
        <f t="array" ref="X3268">IF($I3268&lt;&gt;"",$I3268,INDEX($I$1:$I3268,ROW()-COUNTIFS($T$1:$T3268,"="&amp;$T3268,$S$1:$S3268,"&lt;"&amp;$S3268)))</f>
        <v>0</v>
      </c>
      <c r="Z3268" s="6">
        <f t="shared" si="446"/>
        <v>1</v>
      </c>
      <c r="AA3268" t="e">
        <f t="shared" si="447"/>
        <v>#VALUE!</v>
      </c>
      <c r="AB3268" t="str">
        <f t="shared" si="448"/>
        <v/>
      </c>
      <c r="AC3268" t="e">
        <f t="shared" si="449"/>
        <v>#VALUE!</v>
      </c>
    </row>
    <row r="3269" spans="1:29" x14ac:dyDescent="0.2">
      <c r="A3269" t="str">
        <f t="shared" si="450"/>
        <v/>
      </c>
      <c r="E3269" s="4"/>
      <c r="F3269" s="46"/>
      <c r="G3269" s="4"/>
      <c r="H3269" s="48"/>
      <c r="J3269" s="26" t="str">
        <f t="shared" si="451"/>
        <v/>
      </c>
      <c r="N3269" t="str">
        <f t="shared" si="452"/>
        <v/>
      </c>
      <c r="Q3269" t="str">
        <f t="shared" si="453"/>
        <v/>
      </c>
      <c r="S3269" t="str">
        <f>IF(A3269=1,MAX($S$2:$S3268)+1,IF(OR($I3269&lt;&gt;"",A3269="x"),$S3268,""))</f>
        <v/>
      </c>
      <c r="T3269" t="str">
        <f>IF(D3269=1,MAX($T$2:$T3268)+1,IF(S3269=S3268,$T3268,IF(D3269="x",T3268,IF(D3268="x","",""))))</f>
        <v/>
      </c>
      <c r="U3269" t="str">
        <f>IF(B3269=1,MAX($U$2:$U3268)+1,IF(AND($T3269&lt;&gt;"",$T3269=$T3268),$U3268,IF(B3269="x",U3268,"")))</f>
        <v/>
      </c>
      <c r="V3269" t="str">
        <f>IF(C3269=1,MAX($V$2:$V3268)+1,IF(AND($T3269&lt;&gt;"",$T3269=$T3268),$U3268,IF(C3269="x",V3268,"")))</f>
        <v/>
      </c>
      <c r="X3269" cm="1">
        <f t="array" ref="X3269">IF($I3269&lt;&gt;"",$I3269,INDEX($I$1:$I3269,ROW()-COUNTIFS($T$1:$T3269,"="&amp;$T3269,$S$1:$S3269,"&lt;"&amp;$S3269)))</f>
        <v>0</v>
      </c>
      <c r="Z3269" s="6">
        <f t="shared" ref="Z3269:Z3332" si="454">IF(K3269="Intermission",Z3268+1,Z3268)</f>
        <v>1</v>
      </c>
      <c r="AA3269" t="e">
        <f t="shared" ref="AA3269:AA3332" si="455">S3269+1000</f>
        <v>#VALUE!</v>
      </c>
      <c r="AB3269" t="str">
        <f t="shared" ref="AB3269:AB3332" si="456">IF(T3269&lt;&gt;"",9000+T3269,"")</f>
        <v/>
      </c>
      <c r="AC3269" t="e">
        <f t="shared" ref="AC3269:AC3332" si="457">IF(AB3269&lt;&gt;"",AB3269,S3269+1000)</f>
        <v>#VALUE!</v>
      </c>
    </row>
    <row r="3270" spans="1:29" x14ac:dyDescent="0.2">
      <c r="A3270" t="str">
        <f t="shared" si="450"/>
        <v/>
      </c>
      <c r="E3270" s="4"/>
      <c r="F3270" s="46"/>
      <c r="G3270" s="4"/>
      <c r="H3270" s="48"/>
      <c r="J3270" s="26" t="str">
        <f t="shared" si="451"/>
        <v/>
      </c>
      <c r="N3270" t="str">
        <f t="shared" si="452"/>
        <v/>
      </c>
      <c r="Q3270" t="str">
        <f t="shared" si="453"/>
        <v/>
      </c>
      <c r="S3270" t="str">
        <f>IF(A3270=1,MAX($S$2:$S3269)+1,IF(OR($I3270&lt;&gt;"",A3270="x"),$S3269,""))</f>
        <v/>
      </c>
      <c r="T3270" t="str">
        <f>IF(D3270=1,MAX($T$2:$T3269)+1,IF(S3270=S3269,$T3269,IF(D3270="x",T3269,IF(D3269="x","",""))))</f>
        <v/>
      </c>
      <c r="U3270" t="str">
        <f>IF(B3270=1,MAX($U$2:$U3269)+1,IF(AND($T3270&lt;&gt;"",$T3270=$T3269),$U3269,IF(B3270="x",U3269,"")))</f>
        <v/>
      </c>
      <c r="V3270" t="str">
        <f>IF(C3270=1,MAX($V$2:$V3269)+1,IF(AND($T3270&lt;&gt;"",$T3270=$T3269),$U3269,IF(C3270="x",V3269,"")))</f>
        <v/>
      </c>
      <c r="X3270" cm="1">
        <f t="array" ref="X3270">IF($I3270&lt;&gt;"",$I3270,INDEX($I$1:$I3270,ROW()-COUNTIFS($T$1:$T3270,"="&amp;$T3270,$S$1:$S3270,"&lt;"&amp;$S3270)))</f>
        <v>0</v>
      </c>
      <c r="Z3270" s="6">
        <f t="shared" si="454"/>
        <v>1</v>
      </c>
      <c r="AA3270" t="e">
        <f t="shared" si="455"/>
        <v>#VALUE!</v>
      </c>
      <c r="AB3270" t="str">
        <f t="shared" si="456"/>
        <v/>
      </c>
      <c r="AC3270" t="e">
        <f t="shared" si="457"/>
        <v>#VALUE!</v>
      </c>
    </row>
    <row r="3271" spans="1:29" x14ac:dyDescent="0.2">
      <c r="A3271" t="str">
        <f t="shared" si="450"/>
        <v/>
      </c>
      <c r="E3271" s="4"/>
      <c r="F3271" s="46"/>
      <c r="G3271" s="4"/>
      <c r="H3271" s="48"/>
      <c r="J3271" s="26" t="str">
        <f t="shared" si="451"/>
        <v/>
      </c>
      <c r="N3271" t="str">
        <f t="shared" si="452"/>
        <v/>
      </c>
      <c r="Q3271" t="str">
        <f t="shared" si="453"/>
        <v/>
      </c>
      <c r="S3271" t="str">
        <f>IF(A3271=1,MAX($S$2:$S3270)+1,IF(OR($I3271&lt;&gt;"",A3271="x"),$S3270,""))</f>
        <v/>
      </c>
      <c r="T3271" t="str">
        <f>IF(D3271=1,MAX($T$2:$T3270)+1,IF(S3271=S3270,$T3270,IF(D3271="x",T3270,IF(D3270="x","",""))))</f>
        <v/>
      </c>
      <c r="U3271" t="str">
        <f>IF(B3271=1,MAX($U$2:$U3270)+1,IF(AND($T3271&lt;&gt;"",$T3271=$T3270),$U3270,IF(B3271="x",U3270,"")))</f>
        <v/>
      </c>
      <c r="V3271" t="str">
        <f>IF(C3271=1,MAX($V$2:$V3270)+1,IF(AND($T3271&lt;&gt;"",$T3271=$T3270),$U3270,IF(C3271="x",V3270,"")))</f>
        <v/>
      </c>
      <c r="X3271" cm="1">
        <f t="array" ref="X3271">IF($I3271&lt;&gt;"",$I3271,INDEX($I$1:$I3271,ROW()-COUNTIFS($T$1:$T3271,"="&amp;$T3271,$S$1:$S3271,"&lt;"&amp;$S3271)))</f>
        <v>0</v>
      </c>
      <c r="Z3271" s="6">
        <f t="shared" si="454"/>
        <v>1</v>
      </c>
      <c r="AA3271" t="e">
        <f t="shared" si="455"/>
        <v>#VALUE!</v>
      </c>
      <c r="AB3271" t="str">
        <f t="shared" si="456"/>
        <v/>
      </c>
      <c r="AC3271" t="e">
        <f t="shared" si="457"/>
        <v>#VALUE!</v>
      </c>
    </row>
    <row r="3272" spans="1:29" x14ac:dyDescent="0.2">
      <c r="A3272" t="str">
        <f t="shared" si="450"/>
        <v/>
      </c>
      <c r="E3272" s="4"/>
      <c r="F3272" s="46"/>
      <c r="G3272" s="4"/>
      <c r="H3272" s="48"/>
      <c r="J3272" s="26" t="str">
        <f t="shared" si="451"/>
        <v/>
      </c>
      <c r="N3272" t="str">
        <f t="shared" si="452"/>
        <v/>
      </c>
      <c r="Q3272" t="str">
        <f t="shared" si="453"/>
        <v/>
      </c>
      <c r="S3272" t="str">
        <f>IF(A3272=1,MAX($S$2:$S3271)+1,IF(OR($I3272&lt;&gt;"",A3272="x"),$S3271,""))</f>
        <v/>
      </c>
      <c r="T3272" t="str">
        <f>IF(D3272=1,MAX($T$2:$T3271)+1,IF(S3272=S3271,$T3271,IF(D3272="x",T3271,IF(D3271="x","",""))))</f>
        <v/>
      </c>
      <c r="U3272" t="str">
        <f>IF(B3272=1,MAX($U$2:$U3271)+1,IF(AND($T3272&lt;&gt;"",$T3272=$T3271),$U3271,IF(B3272="x",U3271,"")))</f>
        <v/>
      </c>
      <c r="V3272" t="str">
        <f>IF(C3272=1,MAX($V$2:$V3271)+1,IF(AND($T3272&lt;&gt;"",$T3272=$T3271),$U3271,IF(C3272="x",V3271,"")))</f>
        <v/>
      </c>
      <c r="X3272" cm="1">
        <f t="array" ref="X3272">IF($I3272&lt;&gt;"",$I3272,INDEX($I$1:$I3272,ROW()-COUNTIFS($T$1:$T3272,"="&amp;$T3272,$S$1:$S3272,"&lt;"&amp;$S3272)))</f>
        <v>0</v>
      </c>
      <c r="Z3272" s="6">
        <f t="shared" si="454"/>
        <v>1</v>
      </c>
      <c r="AA3272" t="e">
        <f t="shared" si="455"/>
        <v>#VALUE!</v>
      </c>
      <c r="AB3272" t="str">
        <f t="shared" si="456"/>
        <v/>
      </c>
      <c r="AC3272" t="e">
        <f t="shared" si="457"/>
        <v>#VALUE!</v>
      </c>
    </row>
    <row r="3273" spans="1:29" x14ac:dyDescent="0.2">
      <c r="A3273" t="str">
        <f t="shared" si="450"/>
        <v/>
      </c>
      <c r="E3273" s="4"/>
      <c r="F3273" s="46"/>
      <c r="G3273" s="4"/>
      <c r="H3273" s="48"/>
      <c r="J3273" s="26" t="str">
        <f t="shared" si="451"/>
        <v/>
      </c>
      <c r="N3273" t="str">
        <f t="shared" si="452"/>
        <v/>
      </c>
      <c r="Q3273" t="str">
        <f t="shared" si="453"/>
        <v/>
      </c>
      <c r="S3273" t="str">
        <f>IF(A3273=1,MAX($S$2:$S3272)+1,IF(OR($I3273&lt;&gt;"",A3273="x"),$S3272,""))</f>
        <v/>
      </c>
      <c r="T3273" t="str">
        <f>IF(D3273=1,MAX($T$2:$T3272)+1,IF(S3273=S3272,$T3272,IF(D3273="x",T3272,IF(D3272="x","",""))))</f>
        <v/>
      </c>
      <c r="U3273" t="str">
        <f>IF(B3273=1,MAX($U$2:$U3272)+1,IF(AND($T3273&lt;&gt;"",$T3273=$T3272),$U3272,IF(B3273="x",U3272,"")))</f>
        <v/>
      </c>
      <c r="V3273" t="str">
        <f>IF(C3273=1,MAX($V$2:$V3272)+1,IF(AND($T3273&lt;&gt;"",$T3273=$T3272),$U3272,IF(C3273="x",V3272,"")))</f>
        <v/>
      </c>
      <c r="X3273" cm="1">
        <f t="array" ref="X3273">IF($I3273&lt;&gt;"",$I3273,INDEX($I$1:$I3273,ROW()-COUNTIFS($T$1:$T3273,"="&amp;$T3273,$S$1:$S3273,"&lt;"&amp;$S3273)))</f>
        <v>0</v>
      </c>
      <c r="Z3273" s="6">
        <f t="shared" si="454"/>
        <v>1</v>
      </c>
      <c r="AA3273" t="e">
        <f t="shared" si="455"/>
        <v>#VALUE!</v>
      </c>
      <c r="AB3273" t="str">
        <f t="shared" si="456"/>
        <v/>
      </c>
      <c r="AC3273" t="e">
        <f t="shared" si="457"/>
        <v>#VALUE!</v>
      </c>
    </row>
    <row r="3274" spans="1:29" x14ac:dyDescent="0.2">
      <c r="A3274" t="str">
        <f t="shared" si="450"/>
        <v/>
      </c>
      <c r="E3274" s="4"/>
      <c r="F3274" s="46"/>
      <c r="G3274" s="4"/>
      <c r="H3274" s="48"/>
      <c r="J3274" s="26" t="str">
        <f t="shared" si="451"/>
        <v/>
      </c>
      <c r="N3274" t="str">
        <f t="shared" si="452"/>
        <v/>
      </c>
      <c r="Q3274" t="str">
        <f t="shared" si="453"/>
        <v/>
      </c>
      <c r="S3274" t="str">
        <f>IF(A3274=1,MAX($S$2:$S3273)+1,IF(OR($I3274&lt;&gt;"",A3274="x"),$S3273,""))</f>
        <v/>
      </c>
      <c r="T3274" t="str">
        <f>IF(D3274=1,MAX($T$2:$T3273)+1,IF(S3274=S3273,$T3273,IF(D3274="x",T3273,IF(D3273="x","",""))))</f>
        <v/>
      </c>
      <c r="U3274" t="str">
        <f>IF(B3274=1,MAX($U$2:$U3273)+1,IF(AND($T3274&lt;&gt;"",$T3274=$T3273),$U3273,IF(B3274="x",U3273,"")))</f>
        <v/>
      </c>
      <c r="V3274" t="str">
        <f>IF(C3274=1,MAX($V$2:$V3273)+1,IF(AND($T3274&lt;&gt;"",$T3274=$T3273),$U3273,IF(C3274="x",V3273,"")))</f>
        <v/>
      </c>
      <c r="X3274" cm="1">
        <f t="array" ref="X3274">IF($I3274&lt;&gt;"",$I3274,INDEX($I$1:$I3274,ROW()-COUNTIFS($T$1:$T3274,"="&amp;$T3274,$S$1:$S3274,"&lt;"&amp;$S3274)))</f>
        <v>0</v>
      </c>
      <c r="Z3274" s="6">
        <f t="shared" si="454"/>
        <v>1</v>
      </c>
      <c r="AA3274" t="e">
        <f t="shared" si="455"/>
        <v>#VALUE!</v>
      </c>
      <c r="AB3274" t="str">
        <f t="shared" si="456"/>
        <v/>
      </c>
      <c r="AC3274" t="e">
        <f t="shared" si="457"/>
        <v>#VALUE!</v>
      </c>
    </row>
    <row r="3275" spans="1:29" x14ac:dyDescent="0.2">
      <c r="A3275" t="str">
        <f t="shared" si="450"/>
        <v/>
      </c>
      <c r="E3275" s="4"/>
      <c r="F3275" s="46"/>
      <c r="G3275" s="4"/>
      <c r="H3275" s="48"/>
      <c r="J3275" s="26" t="str">
        <f t="shared" si="451"/>
        <v/>
      </c>
      <c r="N3275" t="str">
        <f t="shared" si="452"/>
        <v/>
      </c>
      <c r="Q3275" t="str">
        <f t="shared" si="453"/>
        <v/>
      </c>
      <c r="S3275" t="str">
        <f>IF(A3275=1,MAX($S$2:$S3274)+1,IF(OR($I3275&lt;&gt;"",A3275="x"),$S3274,""))</f>
        <v/>
      </c>
      <c r="T3275" t="str">
        <f>IF(D3275=1,MAX($T$2:$T3274)+1,IF(S3275=S3274,$T3274,IF(D3275="x",T3274,IF(D3274="x","",""))))</f>
        <v/>
      </c>
      <c r="U3275" t="str">
        <f>IF(B3275=1,MAX($U$2:$U3274)+1,IF(AND($T3275&lt;&gt;"",$T3275=$T3274),$U3274,IF(B3275="x",U3274,"")))</f>
        <v/>
      </c>
      <c r="V3275" t="str">
        <f>IF(C3275=1,MAX($V$2:$V3274)+1,IF(AND($T3275&lt;&gt;"",$T3275=$T3274),$U3274,IF(C3275="x",V3274,"")))</f>
        <v/>
      </c>
      <c r="X3275" cm="1">
        <f t="array" ref="X3275">IF($I3275&lt;&gt;"",$I3275,INDEX($I$1:$I3275,ROW()-COUNTIFS($T$1:$T3275,"="&amp;$T3275,$S$1:$S3275,"&lt;"&amp;$S3275)))</f>
        <v>0</v>
      </c>
      <c r="Z3275" s="6">
        <f t="shared" si="454"/>
        <v>1</v>
      </c>
      <c r="AA3275" t="e">
        <f t="shared" si="455"/>
        <v>#VALUE!</v>
      </c>
      <c r="AB3275" t="str">
        <f t="shared" si="456"/>
        <v/>
      </c>
      <c r="AC3275" t="e">
        <f t="shared" si="457"/>
        <v>#VALUE!</v>
      </c>
    </row>
    <row r="3276" spans="1:29" x14ac:dyDescent="0.2">
      <c r="A3276" t="str">
        <f t="shared" si="450"/>
        <v/>
      </c>
      <c r="E3276" s="4"/>
      <c r="F3276" s="46"/>
      <c r="G3276" s="4"/>
      <c r="H3276" s="48"/>
      <c r="J3276" s="26" t="str">
        <f t="shared" si="451"/>
        <v/>
      </c>
      <c r="N3276" t="str">
        <f t="shared" si="452"/>
        <v/>
      </c>
      <c r="Q3276" t="str">
        <f t="shared" si="453"/>
        <v/>
      </c>
      <c r="S3276" t="str">
        <f>IF(A3276=1,MAX($S$2:$S3275)+1,IF(OR($I3276&lt;&gt;"",A3276="x"),$S3275,""))</f>
        <v/>
      </c>
      <c r="T3276" t="str">
        <f>IF(D3276=1,MAX($T$2:$T3275)+1,IF(S3276=S3275,$T3275,IF(D3276="x",T3275,IF(D3275="x","",""))))</f>
        <v/>
      </c>
      <c r="U3276" t="str">
        <f>IF(B3276=1,MAX($U$2:$U3275)+1,IF(AND($T3276&lt;&gt;"",$T3276=$T3275),$U3275,IF(B3276="x",U3275,"")))</f>
        <v/>
      </c>
      <c r="V3276" t="str">
        <f>IF(C3276=1,MAX($V$2:$V3275)+1,IF(AND($T3276&lt;&gt;"",$T3276=$T3275),$U3275,IF(C3276="x",V3275,"")))</f>
        <v/>
      </c>
      <c r="X3276" cm="1">
        <f t="array" ref="X3276">IF($I3276&lt;&gt;"",$I3276,INDEX($I$1:$I3276,ROW()-COUNTIFS($T$1:$T3276,"="&amp;$T3276,$S$1:$S3276,"&lt;"&amp;$S3276)))</f>
        <v>0</v>
      </c>
      <c r="Z3276" s="6">
        <f t="shared" si="454"/>
        <v>1</v>
      </c>
      <c r="AA3276" t="e">
        <f t="shared" si="455"/>
        <v>#VALUE!</v>
      </c>
      <c r="AB3276" t="str">
        <f t="shared" si="456"/>
        <v/>
      </c>
      <c r="AC3276" t="e">
        <f t="shared" si="457"/>
        <v>#VALUE!</v>
      </c>
    </row>
    <row r="3277" spans="1:29" x14ac:dyDescent="0.2">
      <c r="A3277" t="str">
        <f t="shared" si="450"/>
        <v/>
      </c>
      <c r="E3277" s="4"/>
      <c r="F3277" s="46"/>
      <c r="G3277" s="4"/>
      <c r="H3277" s="48"/>
      <c r="J3277" s="26" t="str">
        <f t="shared" si="451"/>
        <v/>
      </c>
      <c r="N3277" t="str">
        <f t="shared" si="452"/>
        <v/>
      </c>
      <c r="Q3277" t="str">
        <f t="shared" si="453"/>
        <v/>
      </c>
      <c r="S3277" t="str">
        <f>IF(A3277=1,MAX($S$2:$S3276)+1,IF(OR($I3277&lt;&gt;"",A3277="x"),$S3276,""))</f>
        <v/>
      </c>
      <c r="T3277" t="str">
        <f>IF(D3277=1,MAX($T$2:$T3276)+1,IF(S3277=S3276,$T3276,IF(D3277="x",T3276,IF(D3276="x","",""))))</f>
        <v/>
      </c>
      <c r="U3277" t="str">
        <f>IF(B3277=1,MAX($U$2:$U3276)+1,IF(AND($T3277&lt;&gt;"",$T3277=$T3276),$U3276,IF(B3277="x",U3276,"")))</f>
        <v/>
      </c>
      <c r="V3277" t="str">
        <f>IF(C3277=1,MAX($V$2:$V3276)+1,IF(AND($T3277&lt;&gt;"",$T3277=$T3276),$U3276,IF(C3277="x",V3276,"")))</f>
        <v/>
      </c>
      <c r="X3277" cm="1">
        <f t="array" ref="X3277">IF($I3277&lt;&gt;"",$I3277,INDEX($I$1:$I3277,ROW()-COUNTIFS($T$1:$T3277,"="&amp;$T3277,$S$1:$S3277,"&lt;"&amp;$S3277)))</f>
        <v>0</v>
      </c>
      <c r="Z3277" s="6">
        <f t="shared" si="454"/>
        <v>1</v>
      </c>
      <c r="AA3277" t="e">
        <f t="shared" si="455"/>
        <v>#VALUE!</v>
      </c>
      <c r="AB3277" t="str">
        <f t="shared" si="456"/>
        <v/>
      </c>
      <c r="AC3277" t="e">
        <f t="shared" si="457"/>
        <v>#VALUE!</v>
      </c>
    </row>
    <row r="3278" spans="1:29" x14ac:dyDescent="0.2">
      <c r="A3278" t="str">
        <f t="shared" si="450"/>
        <v/>
      </c>
      <c r="E3278" s="4"/>
      <c r="F3278" s="46"/>
      <c r="G3278" s="4"/>
      <c r="H3278" s="48"/>
      <c r="J3278" s="26" t="str">
        <f t="shared" si="451"/>
        <v/>
      </c>
      <c r="N3278" t="str">
        <f t="shared" si="452"/>
        <v/>
      </c>
      <c r="Q3278" t="str">
        <f t="shared" si="453"/>
        <v/>
      </c>
      <c r="S3278" t="str">
        <f>IF(A3278=1,MAX($S$2:$S3277)+1,IF(OR($I3278&lt;&gt;"",A3278="x"),$S3277,""))</f>
        <v/>
      </c>
      <c r="T3278" t="str">
        <f>IF(D3278=1,MAX($T$2:$T3277)+1,IF(S3278=S3277,$T3277,IF(D3278="x",T3277,IF(D3277="x","",""))))</f>
        <v/>
      </c>
      <c r="U3278" t="str">
        <f>IF(B3278=1,MAX($U$2:$U3277)+1,IF(AND($T3278&lt;&gt;"",$T3278=$T3277),$U3277,IF(B3278="x",U3277,"")))</f>
        <v/>
      </c>
      <c r="V3278" t="str">
        <f>IF(C3278=1,MAX($V$2:$V3277)+1,IF(AND($T3278&lt;&gt;"",$T3278=$T3277),$U3277,IF(C3278="x",V3277,"")))</f>
        <v/>
      </c>
      <c r="X3278" cm="1">
        <f t="array" ref="X3278">IF($I3278&lt;&gt;"",$I3278,INDEX($I$1:$I3278,ROW()-COUNTIFS($T$1:$T3278,"="&amp;$T3278,$S$1:$S3278,"&lt;"&amp;$S3278)))</f>
        <v>0</v>
      </c>
      <c r="Z3278" s="6">
        <f t="shared" si="454"/>
        <v>1</v>
      </c>
      <c r="AA3278" t="e">
        <f t="shared" si="455"/>
        <v>#VALUE!</v>
      </c>
      <c r="AB3278" t="str">
        <f t="shared" si="456"/>
        <v/>
      </c>
      <c r="AC3278" t="e">
        <f t="shared" si="457"/>
        <v>#VALUE!</v>
      </c>
    </row>
    <row r="3279" spans="1:29" x14ac:dyDescent="0.2">
      <c r="A3279" t="str">
        <f t="shared" si="450"/>
        <v/>
      </c>
      <c r="E3279" s="4"/>
      <c r="F3279" s="46"/>
      <c r="G3279" s="4"/>
      <c r="H3279" s="48"/>
      <c r="J3279" s="26" t="str">
        <f t="shared" si="451"/>
        <v/>
      </c>
      <c r="N3279" t="str">
        <f t="shared" si="452"/>
        <v/>
      </c>
      <c r="Q3279" t="str">
        <f t="shared" si="453"/>
        <v/>
      </c>
      <c r="S3279" t="str">
        <f>IF(A3279=1,MAX($S$2:$S3278)+1,IF(OR($I3279&lt;&gt;"",A3279="x"),$S3278,""))</f>
        <v/>
      </c>
      <c r="T3279" t="str">
        <f>IF(D3279=1,MAX($T$2:$T3278)+1,IF(S3279=S3278,$T3278,IF(D3279="x",T3278,IF(D3278="x","",""))))</f>
        <v/>
      </c>
      <c r="U3279" t="str">
        <f>IF(B3279=1,MAX($U$2:$U3278)+1,IF(AND($T3279&lt;&gt;"",$T3279=$T3278),$U3278,IF(B3279="x",U3278,"")))</f>
        <v/>
      </c>
      <c r="V3279" t="str">
        <f>IF(C3279=1,MAX($V$2:$V3278)+1,IF(AND($T3279&lt;&gt;"",$T3279=$T3278),$U3278,IF(C3279="x",V3278,"")))</f>
        <v/>
      </c>
      <c r="X3279" cm="1">
        <f t="array" ref="X3279">IF($I3279&lt;&gt;"",$I3279,INDEX($I$1:$I3279,ROW()-COUNTIFS($T$1:$T3279,"="&amp;$T3279,$S$1:$S3279,"&lt;"&amp;$S3279)))</f>
        <v>0</v>
      </c>
      <c r="Z3279" s="6">
        <f t="shared" si="454"/>
        <v>1</v>
      </c>
      <c r="AA3279" t="e">
        <f t="shared" si="455"/>
        <v>#VALUE!</v>
      </c>
      <c r="AB3279" t="str">
        <f t="shared" si="456"/>
        <v/>
      </c>
      <c r="AC3279" t="e">
        <f t="shared" si="457"/>
        <v>#VALUE!</v>
      </c>
    </row>
    <row r="3280" spans="1:29" x14ac:dyDescent="0.2">
      <c r="A3280" t="str">
        <f t="shared" si="450"/>
        <v/>
      </c>
      <c r="E3280" s="4"/>
      <c r="F3280" s="46"/>
      <c r="G3280" s="4"/>
      <c r="H3280" s="48"/>
      <c r="J3280" s="26" t="str">
        <f t="shared" si="451"/>
        <v/>
      </c>
      <c r="N3280" t="str">
        <f t="shared" si="452"/>
        <v/>
      </c>
      <c r="Q3280" t="str">
        <f t="shared" si="453"/>
        <v/>
      </c>
      <c r="S3280" t="str">
        <f>IF(A3280=1,MAX($S$2:$S3279)+1,IF(OR($I3280&lt;&gt;"",A3280="x"),$S3279,""))</f>
        <v/>
      </c>
      <c r="T3280" t="str">
        <f>IF(D3280=1,MAX($T$2:$T3279)+1,IF(S3280=S3279,$T3279,IF(D3280="x",T3279,IF(D3279="x","",""))))</f>
        <v/>
      </c>
      <c r="U3280" t="str">
        <f>IF(B3280=1,MAX($U$2:$U3279)+1,IF(AND($T3280&lt;&gt;"",$T3280=$T3279),$U3279,IF(B3280="x",U3279,"")))</f>
        <v/>
      </c>
      <c r="V3280" t="str">
        <f>IF(C3280=1,MAX($V$2:$V3279)+1,IF(AND($T3280&lt;&gt;"",$T3280=$T3279),$U3279,IF(C3280="x",V3279,"")))</f>
        <v/>
      </c>
      <c r="X3280" cm="1">
        <f t="array" ref="X3280">IF($I3280&lt;&gt;"",$I3280,INDEX($I$1:$I3280,ROW()-COUNTIFS($T$1:$T3280,"="&amp;$T3280,$S$1:$S3280,"&lt;"&amp;$S3280)))</f>
        <v>0</v>
      </c>
      <c r="Z3280" s="6">
        <f t="shared" si="454"/>
        <v>1</v>
      </c>
      <c r="AA3280" t="e">
        <f t="shared" si="455"/>
        <v>#VALUE!</v>
      </c>
      <c r="AB3280" t="str">
        <f t="shared" si="456"/>
        <v/>
      </c>
      <c r="AC3280" t="e">
        <f t="shared" si="457"/>
        <v>#VALUE!</v>
      </c>
    </row>
    <row r="3281" spans="1:29" x14ac:dyDescent="0.2">
      <c r="A3281" t="str">
        <f t="shared" si="450"/>
        <v/>
      </c>
      <c r="E3281" s="4"/>
      <c r="F3281" s="46"/>
      <c r="G3281" s="4"/>
      <c r="H3281" s="48"/>
      <c r="J3281" s="26" t="str">
        <f t="shared" si="451"/>
        <v/>
      </c>
      <c r="N3281" t="str">
        <f t="shared" si="452"/>
        <v/>
      </c>
      <c r="Q3281" t="str">
        <f t="shared" si="453"/>
        <v/>
      </c>
      <c r="S3281" t="str">
        <f>IF(A3281=1,MAX($S$2:$S3280)+1,IF(OR($I3281&lt;&gt;"",A3281="x"),$S3280,""))</f>
        <v/>
      </c>
      <c r="T3281" t="str">
        <f>IF(D3281=1,MAX($T$2:$T3280)+1,IF(S3281=S3280,$T3280,IF(D3281="x",T3280,IF(D3280="x","",""))))</f>
        <v/>
      </c>
      <c r="U3281" t="str">
        <f>IF(B3281=1,MAX($U$2:$U3280)+1,IF(AND($T3281&lt;&gt;"",$T3281=$T3280),$U3280,IF(B3281="x",U3280,"")))</f>
        <v/>
      </c>
      <c r="V3281" t="str">
        <f>IF(C3281=1,MAX($V$2:$V3280)+1,IF(AND($T3281&lt;&gt;"",$T3281=$T3280),$U3280,IF(C3281="x",V3280,"")))</f>
        <v/>
      </c>
      <c r="X3281" cm="1">
        <f t="array" ref="X3281">IF($I3281&lt;&gt;"",$I3281,INDEX($I$1:$I3281,ROW()-COUNTIFS($T$1:$T3281,"="&amp;$T3281,$S$1:$S3281,"&lt;"&amp;$S3281)))</f>
        <v>0</v>
      </c>
      <c r="Z3281" s="6">
        <f t="shared" si="454"/>
        <v>1</v>
      </c>
      <c r="AA3281" t="e">
        <f t="shared" si="455"/>
        <v>#VALUE!</v>
      </c>
      <c r="AB3281" t="str">
        <f t="shared" si="456"/>
        <v/>
      </c>
      <c r="AC3281" t="e">
        <f t="shared" si="457"/>
        <v>#VALUE!</v>
      </c>
    </row>
    <row r="3282" spans="1:29" x14ac:dyDescent="0.2">
      <c r="A3282" t="str">
        <f t="shared" si="450"/>
        <v/>
      </c>
      <c r="E3282" s="4"/>
      <c r="F3282" s="46"/>
      <c r="G3282" s="4"/>
      <c r="H3282" s="48"/>
      <c r="J3282" s="26" t="str">
        <f t="shared" si="451"/>
        <v/>
      </c>
      <c r="N3282" t="str">
        <f t="shared" si="452"/>
        <v/>
      </c>
      <c r="Q3282" t="str">
        <f t="shared" si="453"/>
        <v/>
      </c>
      <c r="S3282" t="str">
        <f>IF(A3282=1,MAX($S$2:$S3281)+1,IF(OR($I3282&lt;&gt;"",A3282="x"),$S3281,""))</f>
        <v/>
      </c>
      <c r="T3282" t="str">
        <f>IF(D3282=1,MAX($T$2:$T3281)+1,IF(S3282=S3281,$T3281,IF(D3282="x",T3281,IF(D3281="x","",""))))</f>
        <v/>
      </c>
      <c r="U3282" t="str">
        <f>IF(B3282=1,MAX($U$2:$U3281)+1,IF(AND($T3282&lt;&gt;"",$T3282=$T3281),$U3281,IF(B3282="x",U3281,"")))</f>
        <v/>
      </c>
      <c r="V3282" t="str">
        <f>IF(C3282=1,MAX($V$2:$V3281)+1,IF(AND($T3282&lt;&gt;"",$T3282=$T3281),$U3281,IF(C3282="x",V3281,"")))</f>
        <v/>
      </c>
      <c r="X3282" cm="1">
        <f t="array" ref="X3282">IF($I3282&lt;&gt;"",$I3282,INDEX($I$1:$I3282,ROW()-COUNTIFS($T$1:$T3282,"="&amp;$T3282,$S$1:$S3282,"&lt;"&amp;$S3282)))</f>
        <v>0</v>
      </c>
      <c r="Z3282" s="6">
        <f t="shared" si="454"/>
        <v>1</v>
      </c>
      <c r="AA3282" t="e">
        <f t="shared" si="455"/>
        <v>#VALUE!</v>
      </c>
      <c r="AB3282" t="str">
        <f t="shared" si="456"/>
        <v/>
      </c>
      <c r="AC3282" t="e">
        <f t="shared" si="457"/>
        <v>#VALUE!</v>
      </c>
    </row>
    <row r="3283" spans="1:29" x14ac:dyDescent="0.2">
      <c r="A3283" t="str">
        <f t="shared" ref="A3283:A3346" si="458">IF(K3283&lt;&gt;"",1,IF(D3283="x","x",""))</f>
        <v/>
      </c>
      <c r="E3283" s="4"/>
      <c r="F3283" s="46"/>
      <c r="G3283" s="4"/>
      <c r="H3283" s="48"/>
      <c r="J3283" s="26" t="str">
        <f t="shared" ref="J3283:J3346" si="459">IF(OR(K3283="Goal",K3283="Shot",L3283="Zone_Entry",M3283="Stoppage-Goal",M3282="Stoppage-Goal"),"o",IF(OR(K3283="Save",K3283="Rebound",L3283="Zone_Exit",M3283="Stoppage-GoalieStoppage",M3282="Stoppage-GoalieStoppage"),"d",IF(OR(L3283="Faceoff_AfterGoal",L3283="Faceoff_PeriodStart",698="Faceoff_GameStart",M3282="Stoppage-Goal"),"n","")))</f>
        <v/>
      </c>
      <c r="N3283" t="str">
        <f t="shared" ref="N3283:N3346" si="460">IF(K3283="","",IF(K3283="Goal","s",IF(AND(K3283="Zone_Entry_Exit",OR(ISNUMBER(SEARCH("fail",L3283)),ISNUMBER(SEARCH("FromExitClear",M3283)),ISNUMBER(SEARCH("miss",M3283)))),"u",IF(AND(K3283="Zone_Entry_Exit",OR(NOT(ISNUMBER(SEARCH("fail",L3283))),NOT(ISNUMBER(SEARCH("FromExitClear",M3283))),NOT(ISNUMBER(SEARCH("miss",M3283))))),"s",IF(AND(OR(K3283="Shot",K3283="Pass"),OR(ISNUMBER(SEARCH("complete",L3283)),ISNUMBER(SEARCH("goal",L3283)),ISNUMBER(SEARCH("OnNet",L3283)))),"s",IF(L3283="Turnover_Giveaway","u",IF(AND(OR(K3283="Shot",K3283="Pass"),OR(ISNUMBER(SEARCH("fail",L3283)),NOT(ISNUMBER(SEARCH("complete",L3283))),NOT(ISNUMBER(SEARCH("OnNet",L3283))))),"u","")))))))</f>
        <v/>
      </c>
      <c r="Q3283" t="str">
        <f t="shared" ref="Q3283:Q3346" si="461">IF(O3283="","",IF(AND(N3283&lt;&gt;"",OR(O3283&lt;&gt;"",P3283&lt;&gt;"")),N3283,IF(OR(ISNUMBER(SEARCH("attemp",O3283)),ISNUMBER(SEARCH("beat",O3283)),ISNUMBER(SEARCH("mis",O3283)),ISNUMBER(SEARCH("fail",O3283)),ISNUMBER(SEARCH("loss",O3283)),ISNUMBER(SEARCH("lost",O3283)),ISNUMBER(SEARCH("attemp",P3283)),ISNUMBER(SEARCH("mis",P3283)),ISNUMBER(SEARCH("fail",P3283)),ISNUMBER(SEARCH("loss",P3283)),ISNUMBER(SEARCH("beat",P3283)),ISNUMBER(SEARCH("lost",P3283))),"u","")))</f>
        <v/>
      </c>
      <c r="S3283" t="str">
        <f>IF(A3283=1,MAX($S$2:$S3282)+1,IF(OR($I3283&lt;&gt;"",A3283="x"),$S3282,""))</f>
        <v/>
      </c>
      <c r="T3283" t="str">
        <f>IF(D3283=1,MAX($T$2:$T3282)+1,IF(S3283=S3282,$T3282,IF(D3283="x",T3282,IF(D3282="x","",""))))</f>
        <v/>
      </c>
      <c r="U3283" t="str">
        <f>IF(B3283=1,MAX($U$2:$U3282)+1,IF(AND($T3283&lt;&gt;"",$T3283=$T3282),$U3282,IF(B3283="x",U3282,"")))</f>
        <v/>
      </c>
      <c r="V3283" t="str">
        <f>IF(C3283=1,MAX($V$2:$V3282)+1,IF(AND($T3283&lt;&gt;"",$T3283=$T3282),$U3282,IF(C3283="x",V3282,"")))</f>
        <v/>
      </c>
      <c r="X3283" cm="1">
        <f t="array" ref="X3283">IF($I3283&lt;&gt;"",$I3283,INDEX($I$1:$I3283,ROW()-COUNTIFS($T$1:$T3283,"="&amp;$T3283,$S$1:$S3283,"&lt;"&amp;$S3283)))</f>
        <v>0</v>
      </c>
      <c r="Z3283" s="6">
        <f t="shared" si="454"/>
        <v>1</v>
      </c>
      <c r="AA3283" t="e">
        <f t="shared" si="455"/>
        <v>#VALUE!</v>
      </c>
      <c r="AB3283" t="str">
        <f t="shared" si="456"/>
        <v/>
      </c>
      <c r="AC3283" t="e">
        <f t="shared" si="457"/>
        <v>#VALUE!</v>
      </c>
    </row>
    <row r="3284" spans="1:29" x14ac:dyDescent="0.2">
      <c r="A3284" t="str">
        <f t="shared" si="458"/>
        <v/>
      </c>
      <c r="E3284" s="4"/>
      <c r="F3284" s="46"/>
      <c r="G3284" s="4"/>
      <c r="H3284" s="48"/>
      <c r="J3284" s="26" t="str">
        <f t="shared" si="459"/>
        <v/>
      </c>
      <c r="N3284" t="str">
        <f t="shared" si="460"/>
        <v/>
      </c>
      <c r="Q3284" t="str">
        <f t="shared" si="461"/>
        <v/>
      </c>
      <c r="S3284" t="str">
        <f>IF(A3284=1,MAX($S$2:$S3283)+1,IF(OR($I3284&lt;&gt;"",A3284="x"),$S3283,""))</f>
        <v/>
      </c>
      <c r="T3284" t="str">
        <f>IF(D3284=1,MAX($T$2:$T3283)+1,IF(S3284=S3283,$T3283,IF(D3284="x",T3283,IF(D3283="x","",""))))</f>
        <v/>
      </c>
      <c r="U3284" t="str">
        <f>IF(B3284=1,MAX($U$2:$U3283)+1,IF(AND($T3284&lt;&gt;"",$T3284=$T3283),$U3283,IF(B3284="x",U3283,"")))</f>
        <v/>
      </c>
      <c r="V3284" t="str">
        <f>IF(C3284=1,MAX($V$2:$V3283)+1,IF(AND($T3284&lt;&gt;"",$T3284=$T3283),$U3283,IF(C3284="x",V3283,"")))</f>
        <v/>
      </c>
      <c r="X3284" cm="1">
        <f t="array" ref="X3284">IF($I3284&lt;&gt;"",$I3284,INDEX($I$1:$I3284,ROW()-COUNTIFS($T$1:$T3284,"="&amp;$T3284,$S$1:$S3284,"&lt;"&amp;$S3284)))</f>
        <v>0</v>
      </c>
      <c r="Z3284" s="6">
        <f t="shared" si="454"/>
        <v>1</v>
      </c>
      <c r="AA3284" t="e">
        <f t="shared" si="455"/>
        <v>#VALUE!</v>
      </c>
      <c r="AB3284" t="str">
        <f t="shared" si="456"/>
        <v/>
      </c>
      <c r="AC3284" t="e">
        <f t="shared" si="457"/>
        <v>#VALUE!</v>
      </c>
    </row>
    <row r="3285" spans="1:29" x14ac:dyDescent="0.2">
      <c r="A3285" t="str">
        <f t="shared" si="458"/>
        <v/>
      </c>
      <c r="E3285" s="4"/>
      <c r="F3285" s="46"/>
      <c r="G3285" s="4"/>
      <c r="H3285" s="48"/>
      <c r="J3285" s="26" t="str">
        <f t="shared" si="459"/>
        <v/>
      </c>
      <c r="N3285" t="str">
        <f t="shared" si="460"/>
        <v/>
      </c>
      <c r="Q3285" t="str">
        <f t="shared" si="461"/>
        <v/>
      </c>
      <c r="S3285" t="str">
        <f>IF(A3285=1,MAX($S$2:$S3284)+1,IF(OR($I3285&lt;&gt;"",A3285="x"),$S3284,""))</f>
        <v/>
      </c>
      <c r="T3285" t="str">
        <f>IF(D3285=1,MAX($T$2:$T3284)+1,IF(S3285=S3284,$T3284,IF(D3285="x",T3284,IF(D3284="x","",""))))</f>
        <v/>
      </c>
      <c r="U3285" t="str">
        <f>IF(B3285=1,MAX($U$2:$U3284)+1,IF(AND($T3285&lt;&gt;"",$T3285=$T3284),$U3284,IF(B3285="x",U3284,"")))</f>
        <v/>
      </c>
      <c r="V3285" t="str">
        <f>IF(C3285=1,MAX($V$2:$V3284)+1,IF(AND($T3285&lt;&gt;"",$T3285=$T3284),$U3284,IF(C3285="x",V3284,"")))</f>
        <v/>
      </c>
      <c r="X3285" cm="1">
        <f t="array" ref="X3285">IF($I3285&lt;&gt;"",$I3285,INDEX($I$1:$I3285,ROW()-COUNTIFS($T$1:$T3285,"="&amp;$T3285,$S$1:$S3285,"&lt;"&amp;$S3285)))</f>
        <v>0</v>
      </c>
      <c r="Z3285" s="6">
        <f t="shared" si="454"/>
        <v>1</v>
      </c>
      <c r="AA3285" t="e">
        <f t="shared" si="455"/>
        <v>#VALUE!</v>
      </c>
      <c r="AB3285" t="str">
        <f t="shared" si="456"/>
        <v/>
      </c>
      <c r="AC3285" t="e">
        <f t="shared" si="457"/>
        <v>#VALUE!</v>
      </c>
    </row>
    <row r="3286" spans="1:29" x14ac:dyDescent="0.2">
      <c r="A3286" t="str">
        <f t="shared" si="458"/>
        <v/>
      </c>
      <c r="E3286" s="4"/>
      <c r="F3286" s="46"/>
      <c r="G3286" s="4"/>
      <c r="H3286" s="48"/>
      <c r="J3286" s="26" t="str">
        <f t="shared" si="459"/>
        <v/>
      </c>
      <c r="N3286" t="str">
        <f t="shared" si="460"/>
        <v/>
      </c>
      <c r="Q3286" t="str">
        <f t="shared" si="461"/>
        <v/>
      </c>
      <c r="S3286" t="str">
        <f>IF(A3286=1,MAX($S$2:$S3285)+1,IF(OR($I3286&lt;&gt;"",A3286="x"),$S3285,""))</f>
        <v/>
      </c>
      <c r="T3286" t="str">
        <f>IF(D3286=1,MAX($T$2:$T3285)+1,IF(S3286=S3285,$T3285,IF(D3286="x",T3285,IF(D3285="x","",""))))</f>
        <v/>
      </c>
      <c r="U3286" t="str">
        <f>IF(B3286=1,MAX($U$2:$U3285)+1,IF(AND($T3286&lt;&gt;"",$T3286=$T3285),$U3285,IF(B3286="x",U3285,"")))</f>
        <v/>
      </c>
      <c r="V3286" t="str">
        <f>IF(C3286=1,MAX($V$2:$V3285)+1,IF(AND($T3286&lt;&gt;"",$T3286=$T3285),$U3285,IF(C3286="x",V3285,"")))</f>
        <v/>
      </c>
      <c r="X3286" cm="1">
        <f t="array" ref="X3286">IF($I3286&lt;&gt;"",$I3286,INDEX($I$1:$I3286,ROW()-COUNTIFS($T$1:$T3286,"="&amp;$T3286,$S$1:$S3286,"&lt;"&amp;$S3286)))</f>
        <v>0</v>
      </c>
      <c r="Z3286" s="6">
        <f t="shared" si="454"/>
        <v>1</v>
      </c>
      <c r="AA3286" t="e">
        <f t="shared" si="455"/>
        <v>#VALUE!</v>
      </c>
      <c r="AB3286" t="str">
        <f t="shared" si="456"/>
        <v/>
      </c>
      <c r="AC3286" t="e">
        <f t="shared" si="457"/>
        <v>#VALUE!</v>
      </c>
    </row>
    <row r="3287" spans="1:29" x14ac:dyDescent="0.2">
      <c r="A3287" t="str">
        <f t="shared" si="458"/>
        <v/>
      </c>
      <c r="E3287" s="4"/>
      <c r="F3287" s="46"/>
      <c r="G3287" s="4"/>
      <c r="H3287" s="48"/>
      <c r="J3287" s="26" t="str">
        <f t="shared" si="459"/>
        <v/>
      </c>
      <c r="N3287" t="str">
        <f t="shared" si="460"/>
        <v/>
      </c>
      <c r="Q3287" t="str">
        <f t="shared" si="461"/>
        <v/>
      </c>
      <c r="S3287" t="str">
        <f>IF(A3287=1,MAX($S$2:$S3286)+1,IF(OR($I3287&lt;&gt;"",A3287="x"),$S3286,""))</f>
        <v/>
      </c>
      <c r="T3287" t="str">
        <f>IF(D3287=1,MAX($T$2:$T3286)+1,IF(S3287=S3286,$T3286,IF(D3287="x",T3286,IF(D3286="x","",""))))</f>
        <v/>
      </c>
      <c r="U3287" t="str">
        <f>IF(B3287=1,MAX($U$2:$U3286)+1,IF(AND($T3287&lt;&gt;"",$T3287=$T3286),$U3286,IF(B3287="x",U3286,"")))</f>
        <v/>
      </c>
      <c r="V3287" t="str">
        <f>IF(C3287=1,MAX($V$2:$V3286)+1,IF(AND($T3287&lt;&gt;"",$T3287=$T3286),$U3286,IF(C3287="x",V3286,"")))</f>
        <v/>
      </c>
      <c r="X3287" cm="1">
        <f t="array" ref="X3287">IF($I3287&lt;&gt;"",$I3287,INDEX($I$1:$I3287,ROW()-COUNTIFS($T$1:$T3287,"="&amp;$T3287,$S$1:$S3287,"&lt;"&amp;$S3287)))</f>
        <v>0</v>
      </c>
      <c r="Z3287" s="6">
        <f t="shared" si="454"/>
        <v>1</v>
      </c>
      <c r="AA3287" t="e">
        <f t="shared" si="455"/>
        <v>#VALUE!</v>
      </c>
      <c r="AB3287" t="str">
        <f t="shared" si="456"/>
        <v/>
      </c>
      <c r="AC3287" t="e">
        <f t="shared" si="457"/>
        <v>#VALUE!</v>
      </c>
    </row>
    <row r="3288" spans="1:29" x14ac:dyDescent="0.2">
      <c r="A3288" t="str">
        <f t="shared" si="458"/>
        <v/>
      </c>
      <c r="E3288" s="4"/>
      <c r="F3288" s="46"/>
      <c r="G3288" s="4"/>
      <c r="H3288" s="48"/>
      <c r="J3288" s="26" t="str">
        <f t="shared" si="459"/>
        <v/>
      </c>
      <c r="N3288" t="str">
        <f t="shared" si="460"/>
        <v/>
      </c>
      <c r="Q3288" t="str">
        <f t="shared" si="461"/>
        <v/>
      </c>
      <c r="S3288" t="str">
        <f>IF(A3288=1,MAX($S$2:$S3287)+1,IF(OR($I3288&lt;&gt;"",A3288="x"),$S3287,""))</f>
        <v/>
      </c>
      <c r="T3288" t="str">
        <f>IF(D3288=1,MAX($T$2:$T3287)+1,IF(S3288=S3287,$T3287,IF(D3288="x",T3287,IF(D3287="x","",""))))</f>
        <v/>
      </c>
      <c r="U3288" t="str">
        <f>IF(B3288=1,MAX($U$2:$U3287)+1,IF(AND($T3288&lt;&gt;"",$T3288=$T3287),$U3287,IF(B3288="x",U3287,"")))</f>
        <v/>
      </c>
      <c r="V3288" t="str">
        <f>IF(C3288=1,MAX($V$2:$V3287)+1,IF(AND($T3288&lt;&gt;"",$T3288=$T3287),$U3287,IF(C3288="x",V3287,"")))</f>
        <v/>
      </c>
      <c r="X3288" cm="1">
        <f t="array" ref="X3288">IF($I3288&lt;&gt;"",$I3288,INDEX($I$1:$I3288,ROW()-COUNTIFS($T$1:$T3288,"="&amp;$T3288,$S$1:$S3288,"&lt;"&amp;$S3288)))</f>
        <v>0</v>
      </c>
      <c r="Z3288" s="6">
        <f t="shared" si="454"/>
        <v>1</v>
      </c>
      <c r="AA3288" t="e">
        <f t="shared" si="455"/>
        <v>#VALUE!</v>
      </c>
      <c r="AB3288" t="str">
        <f t="shared" si="456"/>
        <v/>
      </c>
      <c r="AC3288" t="e">
        <f t="shared" si="457"/>
        <v>#VALUE!</v>
      </c>
    </row>
    <row r="3289" spans="1:29" x14ac:dyDescent="0.2">
      <c r="A3289" t="str">
        <f t="shared" si="458"/>
        <v/>
      </c>
      <c r="E3289" s="4"/>
      <c r="F3289" s="46"/>
      <c r="G3289" s="4"/>
      <c r="H3289" s="48"/>
      <c r="J3289" s="26" t="str">
        <f t="shared" si="459"/>
        <v/>
      </c>
      <c r="N3289" t="str">
        <f t="shared" si="460"/>
        <v/>
      </c>
      <c r="Q3289" t="str">
        <f t="shared" si="461"/>
        <v/>
      </c>
      <c r="S3289" t="str">
        <f>IF(A3289=1,MAX($S$2:$S3288)+1,IF(OR($I3289&lt;&gt;"",A3289="x"),$S3288,""))</f>
        <v/>
      </c>
      <c r="T3289" t="str">
        <f>IF(D3289=1,MAX($T$2:$T3288)+1,IF(S3289=S3288,$T3288,IF(D3289="x",T3288,IF(D3288="x","",""))))</f>
        <v/>
      </c>
      <c r="U3289" t="str">
        <f>IF(B3289=1,MAX($U$2:$U3288)+1,IF(AND($T3289&lt;&gt;"",$T3289=$T3288),$U3288,IF(B3289="x",U3288,"")))</f>
        <v/>
      </c>
      <c r="V3289" t="str">
        <f>IF(C3289=1,MAX($V$2:$V3288)+1,IF(AND($T3289&lt;&gt;"",$T3289=$T3288),$U3288,IF(C3289="x",V3288,"")))</f>
        <v/>
      </c>
      <c r="X3289" cm="1">
        <f t="array" ref="X3289">IF($I3289&lt;&gt;"",$I3289,INDEX($I$1:$I3289,ROW()-COUNTIFS($T$1:$T3289,"="&amp;$T3289,$S$1:$S3289,"&lt;"&amp;$S3289)))</f>
        <v>0</v>
      </c>
      <c r="Z3289" s="6">
        <f t="shared" si="454"/>
        <v>1</v>
      </c>
      <c r="AA3289" t="e">
        <f t="shared" si="455"/>
        <v>#VALUE!</v>
      </c>
      <c r="AB3289" t="str">
        <f t="shared" si="456"/>
        <v/>
      </c>
      <c r="AC3289" t="e">
        <f t="shared" si="457"/>
        <v>#VALUE!</v>
      </c>
    </row>
    <row r="3290" spans="1:29" x14ac:dyDescent="0.2">
      <c r="A3290" t="str">
        <f t="shared" si="458"/>
        <v/>
      </c>
      <c r="E3290" s="4"/>
      <c r="F3290" s="46"/>
      <c r="G3290" s="4"/>
      <c r="H3290" s="48"/>
      <c r="J3290" s="26" t="str">
        <f t="shared" si="459"/>
        <v/>
      </c>
      <c r="N3290" t="str">
        <f t="shared" si="460"/>
        <v/>
      </c>
      <c r="Q3290" t="str">
        <f t="shared" si="461"/>
        <v/>
      </c>
      <c r="S3290" t="str">
        <f>IF(A3290=1,MAX($S$2:$S3289)+1,IF(OR($I3290&lt;&gt;"",A3290="x"),$S3289,""))</f>
        <v/>
      </c>
      <c r="T3290" t="str">
        <f>IF(D3290=1,MAX($T$2:$T3289)+1,IF(S3290=S3289,$T3289,IF(D3290="x",T3289,IF(D3289="x","",""))))</f>
        <v/>
      </c>
      <c r="U3290" t="str">
        <f>IF(B3290=1,MAX($U$2:$U3289)+1,IF(AND($T3290&lt;&gt;"",$T3290=$T3289),$U3289,IF(B3290="x",U3289,"")))</f>
        <v/>
      </c>
      <c r="V3290" t="str">
        <f>IF(C3290=1,MAX($V$2:$V3289)+1,IF(AND($T3290&lt;&gt;"",$T3290=$T3289),$U3289,IF(C3290="x",V3289,"")))</f>
        <v/>
      </c>
      <c r="X3290" cm="1">
        <f t="array" ref="X3290">IF($I3290&lt;&gt;"",$I3290,INDEX($I$1:$I3290,ROW()-COUNTIFS($T$1:$T3290,"="&amp;$T3290,$S$1:$S3290,"&lt;"&amp;$S3290)))</f>
        <v>0</v>
      </c>
      <c r="Z3290" s="6">
        <f t="shared" si="454"/>
        <v>1</v>
      </c>
      <c r="AA3290" t="e">
        <f t="shared" si="455"/>
        <v>#VALUE!</v>
      </c>
      <c r="AB3290" t="str">
        <f t="shared" si="456"/>
        <v/>
      </c>
      <c r="AC3290" t="e">
        <f t="shared" si="457"/>
        <v>#VALUE!</v>
      </c>
    </row>
    <row r="3291" spans="1:29" x14ac:dyDescent="0.2">
      <c r="A3291" t="str">
        <f t="shared" si="458"/>
        <v/>
      </c>
      <c r="E3291" s="4"/>
      <c r="F3291" s="46"/>
      <c r="G3291" s="4"/>
      <c r="H3291" s="48"/>
      <c r="J3291" s="26" t="str">
        <f t="shared" si="459"/>
        <v/>
      </c>
      <c r="N3291" t="str">
        <f t="shared" si="460"/>
        <v/>
      </c>
      <c r="Q3291" t="str">
        <f t="shared" si="461"/>
        <v/>
      </c>
      <c r="S3291" t="str">
        <f>IF(A3291=1,MAX($S$2:$S3290)+1,IF(OR($I3291&lt;&gt;"",A3291="x"),$S3290,""))</f>
        <v/>
      </c>
      <c r="T3291" t="str">
        <f>IF(D3291=1,MAX($T$2:$T3290)+1,IF(S3291=S3290,$T3290,IF(D3291="x",T3290,IF(D3290="x","",""))))</f>
        <v/>
      </c>
      <c r="U3291" t="str">
        <f>IF(B3291=1,MAX($U$2:$U3290)+1,IF(AND($T3291&lt;&gt;"",$T3291=$T3290),$U3290,IF(B3291="x",U3290,"")))</f>
        <v/>
      </c>
      <c r="V3291" t="str">
        <f>IF(C3291=1,MAX($V$2:$V3290)+1,IF(AND($T3291&lt;&gt;"",$T3291=$T3290),$U3290,IF(C3291="x",V3290,"")))</f>
        <v/>
      </c>
      <c r="X3291" cm="1">
        <f t="array" ref="X3291">IF($I3291&lt;&gt;"",$I3291,INDEX($I$1:$I3291,ROW()-COUNTIFS($T$1:$T3291,"="&amp;$T3291,$S$1:$S3291,"&lt;"&amp;$S3291)))</f>
        <v>0</v>
      </c>
      <c r="Z3291" s="6">
        <f t="shared" si="454"/>
        <v>1</v>
      </c>
      <c r="AA3291" t="e">
        <f t="shared" si="455"/>
        <v>#VALUE!</v>
      </c>
      <c r="AB3291" t="str">
        <f t="shared" si="456"/>
        <v/>
      </c>
      <c r="AC3291" t="e">
        <f t="shared" si="457"/>
        <v>#VALUE!</v>
      </c>
    </row>
    <row r="3292" spans="1:29" x14ac:dyDescent="0.2">
      <c r="A3292" t="str">
        <f t="shared" si="458"/>
        <v/>
      </c>
      <c r="E3292" s="4"/>
      <c r="F3292" s="46"/>
      <c r="G3292" s="4"/>
      <c r="H3292" s="48"/>
      <c r="J3292" s="26" t="str">
        <f t="shared" si="459"/>
        <v/>
      </c>
      <c r="N3292" t="str">
        <f t="shared" si="460"/>
        <v/>
      </c>
      <c r="Q3292" t="str">
        <f t="shared" si="461"/>
        <v/>
      </c>
      <c r="S3292" t="str">
        <f>IF(A3292=1,MAX($S$2:$S3291)+1,IF(OR($I3292&lt;&gt;"",A3292="x"),$S3291,""))</f>
        <v/>
      </c>
      <c r="T3292" t="str">
        <f>IF(D3292=1,MAX($T$2:$T3291)+1,IF(S3292=S3291,$T3291,IF(D3292="x",T3291,IF(D3291="x","",""))))</f>
        <v/>
      </c>
      <c r="U3292" t="str">
        <f>IF(B3292=1,MAX($U$2:$U3291)+1,IF(AND($T3292&lt;&gt;"",$T3292=$T3291),$U3291,IF(B3292="x",U3291,"")))</f>
        <v/>
      </c>
      <c r="V3292" t="str">
        <f>IF(C3292=1,MAX($V$2:$V3291)+1,IF(AND($T3292&lt;&gt;"",$T3292=$T3291),$U3291,IF(C3292="x",V3291,"")))</f>
        <v/>
      </c>
      <c r="X3292" cm="1">
        <f t="array" ref="X3292">IF($I3292&lt;&gt;"",$I3292,INDEX($I$1:$I3292,ROW()-COUNTIFS($T$1:$T3292,"="&amp;$T3292,$S$1:$S3292,"&lt;"&amp;$S3292)))</f>
        <v>0</v>
      </c>
      <c r="Z3292" s="6">
        <f t="shared" si="454"/>
        <v>1</v>
      </c>
      <c r="AA3292" t="e">
        <f t="shared" si="455"/>
        <v>#VALUE!</v>
      </c>
      <c r="AB3292" t="str">
        <f t="shared" si="456"/>
        <v/>
      </c>
      <c r="AC3292" t="e">
        <f t="shared" si="457"/>
        <v>#VALUE!</v>
      </c>
    </row>
    <row r="3293" spans="1:29" x14ac:dyDescent="0.2">
      <c r="A3293" t="str">
        <f t="shared" si="458"/>
        <v/>
      </c>
      <c r="E3293" s="4"/>
      <c r="F3293" s="46"/>
      <c r="G3293" s="4"/>
      <c r="H3293" s="48"/>
      <c r="J3293" s="26" t="str">
        <f t="shared" si="459"/>
        <v/>
      </c>
      <c r="N3293" t="str">
        <f t="shared" si="460"/>
        <v/>
      </c>
      <c r="Q3293" t="str">
        <f t="shared" si="461"/>
        <v/>
      </c>
      <c r="S3293" t="str">
        <f>IF(A3293=1,MAX($S$2:$S3292)+1,IF(OR($I3293&lt;&gt;"",A3293="x"),$S3292,""))</f>
        <v/>
      </c>
      <c r="T3293" t="str">
        <f>IF(D3293=1,MAX($T$2:$T3292)+1,IF(S3293=S3292,$T3292,IF(D3293="x",T3292,IF(D3292="x","",""))))</f>
        <v/>
      </c>
      <c r="U3293" t="str">
        <f>IF(B3293=1,MAX($U$2:$U3292)+1,IF(AND($T3293&lt;&gt;"",$T3293=$T3292),$U3292,IF(B3293="x",U3292,"")))</f>
        <v/>
      </c>
      <c r="V3293" t="str">
        <f>IF(C3293=1,MAX($V$2:$V3292)+1,IF(AND($T3293&lt;&gt;"",$T3293=$T3292),$U3292,IF(C3293="x",V3292,"")))</f>
        <v/>
      </c>
      <c r="X3293" cm="1">
        <f t="array" ref="X3293">IF($I3293&lt;&gt;"",$I3293,INDEX($I$1:$I3293,ROW()-COUNTIFS($T$1:$T3293,"="&amp;$T3293,$S$1:$S3293,"&lt;"&amp;$S3293)))</f>
        <v>0</v>
      </c>
      <c r="Z3293" s="6">
        <f t="shared" si="454"/>
        <v>1</v>
      </c>
      <c r="AA3293" t="e">
        <f t="shared" si="455"/>
        <v>#VALUE!</v>
      </c>
      <c r="AB3293" t="str">
        <f t="shared" si="456"/>
        <v/>
      </c>
      <c r="AC3293" t="e">
        <f t="shared" si="457"/>
        <v>#VALUE!</v>
      </c>
    </row>
    <row r="3294" spans="1:29" x14ac:dyDescent="0.2">
      <c r="A3294" t="str">
        <f t="shared" si="458"/>
        <v/>
      </c>
      <c r="E3294" s="4"/>
      <c r="F3294" s="46"/>
      <c r="G3294" s="4"/>
      <c r="H3294" s="48"/>
      <c r="J3294" s="26" t="str">
        <f t="shared" si="459"/>
        <v/>
      </c>
      <c r="N3294" t="str">
        <f t="shared" si="460"/>
        <v/>
      </c>
      <c r="Q3294" t="str">
        <f t="shared" si="461"/>
        <v/>
      </c>
      <c r="S3294" t="str">
        <f>IF(A3294=1,MAX($S$2:$S3293)+1,IF(OR($I3294&lt;&gt;"",A3294="x"),$S3293,""))</f>
        <v/>
      </c>
      <c r="T3294" t="str">
        <f>IF(D3294=1,MAX($T$2:$T3293)+1,IF(S3294=S3293,$T3293,IF(D3294="x",T3293,IF(D3293="x","",""))))</f>
        <v/>
      </c>
      <c r="U3294" t="str">
        <f>IF(B3294=1,MAX($U$2:$U3293)+1,IF(AND($T3294&lt;&gt;"",$T3294=$T3293),$U3293,IF(B3294="x",U3293,"")))</f>
        <v/>
      </c>
      <c r="V3294" t="str">
        <f>IF(C3294=1,MAX($V$2:$V3293)+1,IF(AND($T3294&lt;&gt;"",$T3294=$T3293),$U3293,IF(C3294="x",V3293,"")))</f>
        <v/>
      </c>
      <c r="X3294" cm="1">
        <f t="array" ref="X3294">IF($I3294&lt;&gt;"",$I3294,INDEX($I$1:$I3294,ROW()-COUNTIFS($T$1:$T3294,"="&amp;$T3294,$S$1:$S3294,"&lt;"&amp;$S3294)))</f>
        <v>0</v>
      </c>
      <c r="Z3294" s="6">
        <f t="shared" si="454"/>
        <v>1</v>
      </c>
      <c r="AA3294" t="e">
        <f t="shared" si="455"/>
        <v>#VALUE!</v>
      </c>
      <c r="AB3294" t="str">
        <f t="shared" si="456"/>
        <v/>
      </c>
      <c r="AC3294" t="e">
        <f t="shared" si="457"/>
        <v>#VALUE!</v>
      </c>
    </row>
    <row r="3295" spans="1:29" x14ac:dyDescent="0.2">
      <c r="A3295" t="str">
        <f t="shared" si="458"/>
        <v/>
      </c>
      <c r="E3295" s="4"/>
      <c r="F3295" s="46"/>
      <c r="G3295" s="4"/>
      <c r="H3295" s="48"/>
      <c r="J3295" s="26" t="str">
        <f t="shared" si="459"/>
        <v/>
      </c>
      <c r="N3295" t="str">
        <f t="shared" si="460"/>
        <v/>
      </c>
      <c r="Q3295" t="str">
        <f t="shared" si="461"/>
        <v/>
      </c>
      <c r="S3295" t="str">
        <f>IF(A3295=1,MAX($S$2:$S3294)+1,IF(OR($I3295&lt;&gt;"",A3295="x"),$S3294,""))</f>
        <v/>
      </c>
      <c r="T3295" t="str">
        <f>IF(D3295=1,MAX($T$2:$T3294)+1,IF(S3295=S3294,$T3294,IF(D3295="x",T3294,IF(D3294="x","",""))))</f>
        <v/>
      </c>
      <c r="U3295" t="str">
        <f>IF(B3295=1,MAX($U$2:$U3294)+1,IF(AND($T3295&lt;&gt;"",$T3295=$T3294),$U3294,IF(B3295="x",U3294,"")))</f>
        <v/>
      </c>
      <c r="V3295" t="str">
        <f>IF(C3295=1,MAX($V$2:$V3294)+1,IF(AND($T3295&lt;&gt;"",$T3295=$T3294),$U3294,IF(C3295="x",V3294,"")))</f>
        <v/>
      </c>
      <c r="X3295" cm="1">
        <f t="array" ref="X3295">IF($I3295&lt;&gt;"",$I3295,INDEX($I$1:$I3295,ROW()-COUNTIFS($T$1:$T3295,"="&amp;$T3295,$S$1:$S3295,"&lt;"&amp;$S3295)))</f>
        <v>0</v>
      </c>
      <c r="Z3295" s="6">
        <f t="shared" si="454"/>
        <v>1</v>
      </c>
      <c r="AA3295" t="e">
        <f t="shared" si="455"/>
        <v>#VALUE!</v>
      </c>
      <c r="AB3295" t="str">
        <f t="shared" si="456"/>
        <v/>
      </c>
      <c r="AC3295" t="e">
        <f t="shared" si="457"/>
        <v>#VALUE!</v>
      </c>
    </row>
    <row r="3296" spans="1:29" x14ac:dyDescent="0.2">
      <c r="A3296" t="str">
        <f t="shared" si="458"/>
        <v/>
      </c>
      <c r="E3296" s="4"/>
      <c r="F3296" s="46"/>
      <c r="G3296" s="4"/>
      <c r="H3296" s="48"/>
      <c r="J3296" s="26" t="str">
        <f t="shared" si="459"/>
        <v/>
      </c>
      <c r="N3296" t="str">
        <f t="shared" si="460"/>
        <v/>
      </c>
      <c r="Q3296" t="str">
        <f t="shared" si="461"/>
        <v/>
      </c>
      <c r="S3296" t="str">
        <f>IF(A3296=1,MAX($S$2:$S3295)+1,IF(OR($I3296&lt;&gt;"",A3296="x"),$S3295,""))</f>
        <v/>
      </c>
      <c r="T3296" t="str">
        <f>IF(D3296=1,MAX($T$2:$T3295)+1,IF(S3296=S3295,$T3295,IF(D3296="x",T3295,IF(D3295="x","",""))))</f>
        <v/>
      </c>
      <c r="U3296" t="str">
        <f>IF(B3296=1,MAX($U$2:$U3295)+1,IF(AND($T3296&lt;&gt;"",$T3296=$T3295),$U3295,IF(B3296="x",U3295,"")))</f>
        <v/>
      </c>
      <c r="V3296" t="str">
        <f>IF(C3296=1,MAX($V$2:$V3295)+1,IF(AND($T3296&lt;&gt;"",$T3296=$T3295),$U3295,IF(C3296="x",V3295,"")))</f>
        <v/>
      </c>
      <c r="X3296" cm="1">
        <f t="array" ref="X3296">IF($I3296&lt;&gt;"",$I3296,INDEX($I$1:$I3296,ROW()-COUNTIFS($T$1:$T3296,"="&amp;$T3296,$S$1:$S3296,"&lt;"&amp;$S3296)))</f>
        <v>0</v>
      </c>
      <c r="Z3296" s="6">
        <f t="shared" si="454"/>
        <v>1</v>
      </c>
      <c r="AA3296" t="e">
        <f t="shared" si="455"/>
        <v>#VALUE!</v>
      </c>
      <c r="AB3296" t="str">
        <f t="shared" si="456"/>
        <v/>
      </c>
      <c r="AC3296" t="e">
        <f t="shared" si="457"/>
        <v>#VALUE!</v>
      </c>
    </row>
    <row r="3297" spans="1:29" x14ac:dyDescent="0.2">
      <c r="A3297" t="str">
        <f t="shared" si="458"/>
        <v/>
      </c>
      <c r="E3297" s="4"/>
      <c r="F3297" s="46"/>
      <c r="G3297" s="4"/>
      <c r="H3297" s="48"/>
      <c r="J3297" s="26" t="str">
        <f t="shared" si="459"/>
        <v/>
      </c>
      <c r="N3297" t="str">
        <f t="shared" si="460"/>
        <v/>
      </c>
      <c r="Q3297" t="str">
        <f t="shared" si="461"/>
        <v/>
      </c>
      <c r="S3297" t="str">
        <f>IF(A3297=1,MAX($S$2:$S3296)+1,IF(OR($I3297&lt;&gt;"",A3297="x"),$S3296,""))</f>
        <v/>
      </c>
      <c r="T3297" t="str">
        <f>IF(D3297=1,MAX($T$2:$T3296)+1,IF(S3297=S3296,$T3296,IF(D3297="x",T3296,IF(D3296="x","",""))))</f>
        <v/>
      </c>
      <c r="U3297" t="str">
        <f>IF(B3297=1,MAX($U$2:$U3296)+1,IF(AND($T3297&lt;&gt;"",$T3297=$T3296),$U3296,IF(B3297="x",U3296,"")))</f>
        <v/>
      </c>
      <c r="V3297" t="str">
        <f>IF(C3297=1,MAX($V$2:$V3296)+1,IF(AND($T3297&lt;&gt;"",$T3297=$T3296),$U3296,IF(C3297="x",V3296,"")))</f>
        <v/>
      </c>
      <c r="X3297" cm="1">
        <f t="array" ref="X3297">IF($I3297&lt;&gt;"",$I3297,INDEX($I$1:$I3297,ROW()-COUNTIFS($T$1:$T3297,"="&amp;$T3297,$S$1:$S3297,"&lt;"&amp;$S3297)))</f>
        <v>0</v>
      </c>
      <c r="Z3297" s="6">
        <f t="shared" si="454"/>
        <v>1</v>
      </c>
      <c r="AA3297" t="e">
        <f t="shared" si="455"/>
        <v>#VALUE!</v>
      </c>
      <c r="AB3297" t="str">
        <f t="shared" si="456"/>
        <v/>
      </c>
      <c r="AC3297" t="e">
        <f t="shared" si="457"/>
        <v>#VALUE!</v>
      </c>
    </row>
    <row r="3298" spans="1:29" x14ac:dyDescent="0.2">
      <c r="A3298" t="str">
        <f t="shared" si="458"/>
        <v/>
      </c>
      <c r="E3298" s="4"/>
      <c r="F3298" s="46"/>
      <c r="G3298" s="4"/>
      <c r="H3298" s="48"/>
      <c r="J3298" s="26" t="str">
        <f t="shared" si="459"/>
        <v/>
      </c>
      <c r="N3298" t="str">
        <f t="shared" si="460"/>
        <v/>
      </c>
      <c r="Q3298" t="str">
        <f t="shared" si="461"/>
        <v/>
      </c>
      <c r="S3298" t="str">
        <f>IF(A3298=1,MAX($S$2:$S3297)+1,IF(OR($I3298&lt;&gt;"",A3298="x"),$S3297,""))</f>
        <v/>
      </c>
      <c r="T3298" t="str">
        <f>IF(D3298=1,MAX($T$2:$T3297)+1,IF(S3298=S3297,$T3297,IF(D3298="x",T3297,IF(D3297="x","",""))))</f>
        <v/>
      </c>
      <c r="U3298" t="str">
        <f>IF(B3298=1,MAX($U$2:$U3297)+1,IF(AND($T3298&lt;&gt;"",$T3298=$T3297),$U3297,IF(B3298="x",U3297,"")))</f>
        <v/>
      </c>
      <c r="V3298" t="str">
        <f>IF(C3298=1,MAX($V$2:$V3297)+1,IF(AND($T3298&lt;&gt;"",$T3298=$T3297),$U3297,IF(C3298="x",V3297,"")))</f>
        <v/>
      </c>
      <c r="X3298" cm="1">
        <f t="array" ref="X3298">IF($I3298&lt;&gt;"",$I3298,INDEX($I$1:$I3298,ROW()-COUNTIFS($T$1:$T3298,"="&amp;$T3298,$S$1:$S3298,"&lt;"&amp;$S3298)))</f>
        <v>0</v>
      </c>
      <c r="Z3298" s="6">
        <f t="shared" si="454"/>
        <v>1</v>
      </c>
      <c r="AA3298" t="e">
        <f t="shared" si="455"/>
        <v>#VALUE!</v>
      </c>
      <c r="AB3298" t="str">
        <f t="shared" si="456"/>
        <v/>
      </c>
      <c r="AC3298" t="e">
        <f t="shared" si="457"/>
        <v>#VALUE!</v>
      </c>
    </row>
    <row r="3299" spans="1:29" x14ac:dyDescent="0.2">
      <c r="A3299" t="str">
        <f t="shared" si="458"/>
        <v/>
      </c>
      <c r="E3299" s="4"/>
      <c r="F3299" s="46"/>
      <c r="G3299" s="4"/>
      <c r="H3299" s="48"/>
      <c r="J3299" s="26" t="str">
        <f t="shared" si="459"/>
        <v/>
      </c>
      <c r="N3299" t="str">
        <f t="shared" si="460"/>
        <v/>
      </c>
      <c r="Q3299" t="str">
        <f t="shared" si="461"/>
        <v/>
      </c>
      <c r="S3299" t="str">
        <f>IF(A3299=1,MAX($S$2:$S3298)+1,IF(OR($I3299&lt;&gt;"",A3299="x"),$S3298,""))</f>
        <v/>
      </c>
      <c r="T3299" t="str">
        <f>IF(D3299=1,MAX($T$2:$T3298)+1,IF(S3299=S3298,$T3298,IF(D3299="x",T3298,IF(D3298="x","",""))))</f>
        <v/>
      </c>
      <c r="U3299" t="str">
        <f>IF(B3299=1,MAX($U$2:$U3298)+1,IF(AND($T3299&lt;&gt;"",$T3299=$T3298),$U3298,IF(B3299="x",U3298,"")))</f>
        <v/>
      </c>
      <c r="V3299" t="str">
        <f>IF(C3299=1,MAX($V$2:$V3298)+1,IF(AND($T3299&lt;&gt;"",$T3299=$T3298),$U3298,IF(C3299="x",V3298,"")))</f>
        <v/>
      </c>
      <c r="X3299" cm="1">
        <f t="array" ref="X3299">IF($I3299&lt;&gt;"",$I3299,INDEX($I$1:$I3299,ROW()-COUNTIFS($T$1:$T3299,"="&amp;$T3299,$S$1:$S3299,"&lt;"&amp;$S3299)))</f>
        <v>0</v>
      </c>
      <c r="Z3299" s="6">
        <f t="shared" si="454"/>
        <v>1</v>
      </c>
      <c r="AA3299" t="e">
        <f t="shared" si="455"/>
        <v>#VALUE!</v>
      </c>
      <c r="AB3299" t="str">
        <f t="shared" si="456"/>
        <v/>
      </c>
      <c r="AC3299" t="e">
        <f t="shared" si="457"/>
        <v>#VALUE!</v>
      </c>
    </row>
    <row r="3300" spans="1:29" x14ac:dyDescent="0.2">
      <c r="A3300" t="str">
        <f t="shared" si="458"/>
        <v/>
      </c>
      <c r="E3300" s="4"/>
      <c r="F3300" s="46"/>
      <c r="G3300" s="4"/>
      <c r="H3300" s="48"/>
      <c r="J3300" s="26" t="str">
        <f t="shared" si="459"/>
        <v/>
      </c>
      <c r="N3300" t="str">
        <f t="shared" si="460"/>
        <v/>
      </c>
      <c r="Q3300" t="str">
        <f t="shared" si="461"/>
        <v/>
      </c>
      <c r="S3300" t="str">
        <f>IF(A3300=1,MAX($S$2:$S3299)+1,IF(OR($I3300&lt;&gt;"",A3300="x"),$S3299,""))</f>
        <v/>
      </c>
      <c r="T3300" t="str">
        <f>IF(D3300=1,MAX($T$2:$T3299)+1,IF(S3300=S3299,$T3299,IF(D3300="x",T3299,IF(D3299="x","",""))))</f>
        <v/>
      </c>
      <c r="U3300" t="str">
        <f>IF(B3300=1,MAX($U$2:$U3299)+1,IF(AND($T3300&lt;&gt;"",$T3300=$T3299),$U3299,IF(B3300="x",U3299,"")))</f>
        <v/>
      </c>
      <c r="V3300" t="str">
        <f>IF(C3300=1,MAX($V$2:$V3299)+1,IF(AND($T3300&lt;&gt;"",$T3300=$T3299),$U3299,IF(C3300="x",V3299,"")))</f>
        <v/>
      </c>
      <c r="X3300" cm="1">
        <f t="array" ref="X3300">IF($I3300&lt;&gt;"",$I3300,INDEX($I$1:$I3300,ROW()-COUNTIFS($T$1:$T3300,"="&amp;$T3300,$S$1:$S3300,"&lt;"&amp;$S3300)))</f>
        <v>0</v>
      </c>
      <c r="Z3300" s="6">
        <f t="shared" si="454"/>
        <v>1</v>
      </c>
      <c r="AA3300" t="e">
        <f t="shared" si="455"/>
        <v>#VALUE!</v>
      </c>
      <c r="AB3300" t="str">
        <f t="shared" si="456"/>
        <v/>
      </c>
      <c r="AC3300" t="e">
        <f t="shared" si="457"/>
        <v>#VALUE!</v>
      </c>
    </row>
    <row r="3301" spans="1:29" x14ac:dyDescent="0.2">
      <c r="A3301" t="str">
        <f t="shared" si="458"/>
        <v/>
      </c>
      <c r="E3301" s="4"/>
      <c r="F3301" s="46"/>
      <c r="G3301" s="4"/>
      <c r="H3301" s="48"/>
      <c r="J3301" s="26" t="str">
        <f t="shared" si="459"/>
        <v/>
      </c>
      <c r="N3301" t="str">
        <f t="shared" si="460"/>
        <v/>
      </c>
      <c r="Q3301" t="str">
        <f t="shared" si="461"/>
        <v/>
      </c>
      <c r="S3301" t="str">
        <f>IF(A3301=1,MAX($S$2:$S3300)+1,IF(OR($I3301&lt;&gt;"",A3301="x"),$S3300,""))</f>
        <v/>
      </c>
      <c r="T3301" t="str">
        <f>IF(D3301=1,MAX($T$2:$T3300)+1,IF(S3301=S3300,$T3300,IF(D3301="x",T3300,IF(D3300="x","",""))))</f>
        <v/>
      </c>
      <c r="U3301" t="str">
        <f>IF(B3301=1,MAX($U$2:$U3300)+1,IF(AND($T3301&lt;&gt;"",$T3301=$T3300),$U3300,IF(B3301="x",U3300,"")))</f>
        <v/>
      </c>
      <c r="V3301" t="str">
        <f>IF(C3301=1,MAX($V$2:$V3300)+1,IF(AND($T3301&lt;&gt;"",$T3301=$T3300),$U3300,IF(C3301="x",V3300,"")))</f>
        <v/>
      </c>
      <c r="X3301" cm="1">
        <f t="array" ref="X3301">IF($I3301&lt;&gt;"",$I3301,INDEX($I$1:$I3301,ROW()-COUNTIFS($T$1:$T3301,"="&amp;$T3301,$S$1:$S3301,"&lt;"&amp;$S3301)))</f>
        <v>0</v>
      </c>
      <c r="Z3301" s="6">
        <f t="shared" si="454"/>
        <v>1</v>
      </c>
      <c r="AA3301" t="e">
        <f t="shared" si="455"/>
        <v>#VALUE!</v>
      </c>
      <c r="AB3301" t="str">
        <f t="shared" si="456"/>
        <v/>
      </c>
      <c r="AC3301" t="e">
        <f t="shared" si="457"/>
        <v>#VALUE!</v>
      </c>
    </row>
    <row r="3302" spans="1:29" x14ac:dyDescent="0.2">
      <c r="A3302" t="str">
        <f t="shared" si="458"/>
        <v/>
      </c>
      <c r="E3302" s="4"/>
      <c r="F3302" s="46"/>
      <c r="G3302" s="4"/>
      <c r="H3302" s="48"/>
      <c r="J3302" s="26" t="str">
        <f t="shared" si="459"/>
        <v/>
      </c>
      <c r="N3302" t="str">
        <f t="shared" si="460"/>
        <v/>
      </c>
      <c r="Q3302" t="str">
        <f t="shared" si="461"/>
        <v/>
      </c>
      <c r="S3302" t="str">
        <f>IF(A3302=1,MAX($S$2:$S3301)+1,IF(OR($I3302&lt;&gt;"",A3302="x"),$S3301,""))</f>
        <v/>
      </c>
      <c r="T3302" t="str">
        <f>IF(D3302=1,MAX($T$2:$T3301)+1,IF(S3302=S3301,$T3301,IF(D3302="x",T3301,IF(D3301="x","",""))))</f>
        <v/>
      </c>
      <c r="U3302" t="str">
        <f>IF(B3302=1,MAX($U$2:$U3301)+1,IF(AND($T3302&lt;&gt;"",$T3302=$T3301),$U3301,IF(B3302="x",U3301,"")))</f>
        <v/>
      </c>
      <c r="V3302" t="str">
        <f>IF(C3302=1,MAX($V$2:$V3301)+1,IF(AND($T3302&lt;&gt;"",$T3302=$T3301),$U3301,IF(C3302="x",V3301,"")))</f>
        <v/>
      </c>
      <c r="X3302" cm="1">
        <f t="array" ref="X3302">IF($I3302&lt;&gt;"",$I3302,INDEX($I$1:$I3302,ROW()-COUNTIFS($T$1:$T3302,"="&amp;$T3302,$S$1:$S3302,"&lt;"&amp;$S3302)))</f>
        <v>0</v>
      </c>
      <c r="Z3302" s="6">
        <f t="shared" si="454"/>
        <v>1</v>
      </c>
      <c r="AA3302" t="e">
        <f t="shared" si="455"/>
        <v>#VALUE!</v>
      </c>
      <c r="AB3302" t="str">
        <f t="shared" si="456"/>
        <v/>
      </c>
      <c r="AC3302" t="e">
        <f t="shared" si="457"/>
        <v>#VALUE!</v>
      </c>
    </row>
    <row r="3303" spans="1:29" x14ac:dyDescent="0.2">
      <c r="A3303" t="str">
        <f t="shared" si="458"/>
        <v/>
      </c>
      <c r="E3303" s="4"/>
      <c r="F3303" s="46"/>
      <c r="G3303" s="4"/>
      <c r="H3303" s="48"/>
      <c r="J3303" s="26" t="str">
        <f t="shared" si="459"/>
        <v/>
      </c>
      <c r="N3303" t="str">
        <f t="shared" si="460"/>
        <v/>
      </c>
      <c r="Q3303" t="str">
        <f t="shared" si="461"/>
        <v/>
      </c>
      <c r="S3303" t="str">
        <f>IF(A3303=1,MAX($S$2:$S3302)+1,IF(OR($I3303&lt;&gt;"",A3303="x"),$S3302,""))</f>
        <v/>
      </c>
      <c r="T3303" t="str">
        <f>IF(D3303=1,MAX($T$2:$T3302)+1,IF(S3303=S3302,$T3302,IF(D3303="x",T3302,IF(D3302="x","",""))))</f>
        <v/>
      </c>
      <c r="U3303" t="str">
        <f>IF(B3303=1,MAX($U$2:$U3302)+1,IF(AND($T3303&lt;&gt;"",$T3303=$T3302),$U3302,IF(B3303="x",U3302,"")))</f>
        <v/>
      </c>
      <c r="V3303" t="str">
        <f>IF(C3303=1,MAX($V$2:$V3302)+1,IF(AND($T3303&lt;&gt;"",$T3303=$T3302),$U3302,IF(C3303="x",V3302,"")))</f>
        <v/>
      </c>
      <c r="X3303" cm="1">
        <f t="array" ref="X3303">IF($I3303&lt;&gt;"",$I3303,INDEX($I$1:$I3303,ROW()-COUNTIFS($T$1:$T3303,"="&amp;$T3303,$S$1:$S3303,"&lt;"&amp;$S3303)))</f>
        <v>0</v>
      </c>
      <c r="Z3303" s="6">
        <f t="shared" si="454"/>
        <v>1</v>
      </c>
      <c r="AA3303" t="e">
        <f t="shared" si="455"/>
        <v>#VALUE!</v>
      </c>
      <c r="AB3303" t="str">
        <f t="shared" si="456"/>
        <v/>
      </c>
      <c r="AC3303" t="e">
        <f t="shared" si="457"/>
        <v>#VALUE!</v>
      </c>
    </row>
    <row r="3304" spans="1:29" x14ac:dyDescent="0.2">
      <c r="A3304" t="str">
        <f t="shared" si="458"/>
        <v/>
      </c>
      <c r="E3304" s="4"/>
      <c r="F3304" s="46"/>
      <c r="G3304" s="4"/>
      <c r="H3304" s="48"/>
      <c r="J3304" s="26" t="str">
        <f t="shared" si="459"/>
        <v/>
      </c>
      <c r="N3304" t="str">
        <f t="shared" si="460"/>
        <v/>
      </c>
      <c r="Q3304" t="str">
        <f t="shared" si="461"/>
        <v/>
      </c>
      <c r="S3304" t="str">
        <f>IF(A3304=1,MAX($S$2:$S3303)+1,IF(OR($I3304&lt;&gt;"",A3304="x"),$S3303,""))</f>
        <v/>
      </c>
      <c r="T3304" t="str">
        <f>IF(D3304=1,MAX($T$2:$T3303)+1,IF(S3304=S3303,$T3303,IF(D3304="x",T3303,IF(D3303="x","",""))))</f>
        <v/>
      </c>
      <c r="U3304" t="str">
        <f>IF(B3304=1,MAX($U$2:$U3303)+1,IF(AND($T3304&lt;&gt;"",$T3304=$T3303),$U3303,IF(B3304="x",U3303,"")))</f>
        <v/>
      </c>
      <c r="V3304" t="str">
        <f>IF(C3304=1,MAX($V$2:$V3303)+1,IF(AND($T3304&lt;&gt;"",$T3304=$T3303),$U3303,IF(C3304="x",V3303,"")))</f>
        <v/>
      </c>
      <c r="X3304" cm="1">
        <f t="array" ref="X3304">IF($I3304&lt;&gt;"",$I3304,INDEX($I$1:$I3304,ROW()-COUNTIFS($T$1:$T3304,"="&amp;$T3304,$S$1:$S3304,"&lt;"&amp;$S3304)))</f>
        <v>0</v>
      </c>
      <c r="Z3304" s="6">
        <f t="shared" si="454"/>
        <v>1</v>
      </c>
      <c r="AA3304" t="e">
        <f t="shared" si="455"/>
        <v>#VALUE!</v>
      </c>
      <c r="AB3304" t="str">
        <f t="shared" si="456"/>
        <v/>
      </c>
      <c r="AC3304" t="e">
        <f t="shared" si="457"/>
        <v>#VALUE!</v>
      </c>
    </row>
    <row r="3305" spans="1:29" x14ac:dyDescent="0.2">
      <c r="A3305" t="str">
        <f t="shared" si="458"/>
        <v/>
      </c>
      <c r="E3305" s="4"/>
      <c r="F3305" s="46"/>
      <c r="G3305" s="4"/>
      <c r="H3305" s="48"/>
      <c r="J3305" s="26" t="str">
        <f t="shared" si="459"/>
        <v/>
      </c>
      <c r="N3305" t="str">
        <f t="shared" si="460"/>
        <v/>
      </c>
      <c r="Q3305" t="str">
        <f t="shared" si="461"/>
        <v/>
      </c>
      <c r="S3305" t="str">
        <f>IF(A3305=1,MAX($S$2:$S3304)+1,IF(OR($I3305&lt;&gt;"",A3305="x"),$S3304,""))</f>
        <v/>
      </c>
      <c r="T3305" t="str">
        <f>IF(D3305=1,MAX($T$2:$T3304)+1,IF(S3305=S3304,$T3304,IF(D3305="x",T3304,IF(D3304="x","",""))))</f>
        <v/>
      </c>
      <c r="U3305" t="str">
        <f>IF(B3305=1,MAX($U$2:$U3304)+1,IF(AND($T3305&lt;&gt;"",$T3305=$T3304),$U3304,IF(B3305="x",U3304,"")))</f>
        <v/>
      </c>
      <c r="V3305" t="str">
        <f>IF(C3305=1,MAX($V$2:$V3304)+1,IF(AND($T3305&lt;&gt;"",$T3305=$T3304),$U3304,IF(C3305="x",V3304,"")))</f>
        <v/>
      </c>
      <c r="X3305" cm="1">
        <f t="array" ref="X3305">IF($I3305&lt;&gt;"",$I3305,INDEX($I$1:$I3305,ROW()-COUNTIFS($T$1:$T3305,"="&amp;$T3305,$S$1:$S3305,"&lt;"&amp;$S3305)))</f>
        <v>0</v>
      </c>
      <c r="Z3305" s="6">
        <f t="shared" si="454"/>
        <v>1</v>
      </c>
      <c r="AA3305" t="e">
        <f t="shared" si="455"/>
        <v>#VALUE!</v>
      </c>
      <c r="AB3305" t="str">
        <f t="shared" si="456"/>
        <v/>
      </c>
      <c r="AC3305" t="e">
        <f t="shared" si="457"/>
        <v>#VALUE!</v>
      </c>
    </row>
    <row r="3306" spans="1:29" x14ac:dyDescent="0.2">
      <c r="A3306" t="str">
        <f t="shared" si="458"/>
        <v/>
      </c>
      <c r="E3306" s="4"/>
      <c r="F3306" s="46"/>
      <c r="G3306" s="4"/>
      <c r="H3306" s="48"/>
      <c r="J3306" s="26" t="str">
        <f t="shared" si="459"/>
        <v/>
      </c>
      <c r="N3306" t="str">
        <f t="shared" si="460"/>
        <v/>
      </c>
      <c r="Q3306" t="str">
        <f t="shared" si="461"/>
        <v/>
      </c>
      <c r="S3306" t="str">
        <f>IF(A3306=1,MAX($S$2:$S3305)+1,IF(OR($I3306&lt;&gt;"",A3306="x"),$S3305,""))</f>
        <v/>
      </c>
      <c r="T3306" t="str">
        <f>IF(D3306=1,MAX($T$2:$T3305)+1,IF(S3306=S3305,$T3305,IF(D3306="x",T3305,IF(D3305="x","",""))))</f>
        <v/>
      </c>
      <c r="U3306" t="str">
        <f>IF(B3306=1,MAX($U$2:$U3305)+1,IF(AND($T3306&lt;&gt;"",$T3306=$T3305),$U3305,IF(B3306="x",U3305,"")))</f>
        <v/>
      </c>
      <c r="V3306" t="str">
        <f>IF(C3306=1,MAX($V$2:$V3305)+1,IF(AND($T3306&lt;&gt;"",$T3306=$T3305),$U3305,IF(C3306="x",V3305,"")))</f>
        <v/>
      </c>
      <c r="X3306" cm="1">
        <f t="array" ref="X3306">IF($I3306&lt;&gt;"",$I3306,INDEX($I$1:$I3306,ROW()-COUNTIFS($T$1:$T3306,"="&amp;$T3306,$S$1:$S3306,"&lt;"&amp;$S3306)))</f>
        <v>0</v>
      </c>
      <c r="Z3306" s="6">
        <f t="shared" si="454"/>
        <v>1</v>
      </c>
      <c r="AA3306" t="e">
        <f t="shared" si="455"/>
        <v>#VALUE!</v>
      </c>
      <c r="AB3306" t="str">
        <f t="shared" si="456"/>
        <v/>
      </c>
      <c r="AC3306" t="e">
        <f t="shared" si="457"/>
        <v>#VALUE!</v>
      </c>
    </row>
    <row r="3307" spans="1:29" x14ac:dyDescent="0.2">
      <c r="A3307" t="str">
        <f t="shared" si="458"/>
        <v/>
      </c>
      <c r="E3307" s="4"/>
      <c r="F3307" s="46"/>
      <c r="G3307" s="4"/>
      <c r="H3307" s="48"/>
      <c r="J3307" s="26" t="str">
        <f t="shared" si="459"/>
        <v/>
      </c>
      <c r="N3307" t="str">
        <f t="shared" si="460"/>
        <v/>
      </c>
      <c r="Q3307" t="str">
        <f t="shared" si="461"/>
        <v/>
      </c>
      <c r="S3307" t="str">
        <f>IF(A3307=1,MAX($S$2:$S3306)+1,IF(OR($I3307&lt;&gt;"",A3307="x"),$S3306,""))</f>
        <v/>
      </c>
      <c r="T3307" t="str">
        <f>IF(D3307=1,MAX($T$2:$T3306)+1,IF(S3307=S3306,$T3306,IF(D3307="x",T3306,IF(D3306="x","",""))))</f>
        <v/>
      </c>
      <c r="U3307" t="str">
        <f>IF(B3307=1,MAX($U$2:$U3306)+1,IF(AND($T3307&lt;&gt;"",$T3307=$T3306),$U3306,IF(B3307="x",U3306,"")))</f>
        <v/>
      </c>
      <c r="V3307" t="str">
        <f>IF(C3307=1,MAX($V$2:$V3306)+1,IF(AND($T3307&lt;&gt;"",$T3307=$T3306),$U3306,IF(C3307="x",V3306,"")))</f>
        <v/>
      </c>
      <c r="X3307" cm="1">
        <f t="array" ref="X3307">IF($I3307&lt;&gt;"",$I3307,INDEX($I$1:$I3307,ROW()-COUNTIFS($T$1:$T3307,"="&amp;$T3307,$S$1:$S3307,"&lt;"&amp;$S3307)))</f>
        <v>0</v>
      </c>
      <c r="Z3307" s="6">
        <f t="shared" si="454"/>
        <v>1</v>
      </c>
      <c r="AA3307" t="e">
        <f t="shared" si="455"/>
        <v>#VALUE!</v>
      </c>
      <c r="AB3307" t="str">
        <f t="shared" si="456"/>
        <v/>
      </c>
      <c r="AC3307" t="e">
        <f t="shared" si="457"/>
        <v>#VALUE!</v>
      </c>
    </row>
    <row r="3308" spans="1:29" x14ac:dyDescent="0.2">
      <c r="A3308" t="str">
        <f t="shared" si="458"/>
        <v/>
      </c>
      <c r="E3308" s="4"/>
      <c r="F3308" s="46"/>
      <c r="G3308" s="4"/>
      <c r="H3308" s="48"/>
      <c r="J3308" s="26" t="str">
        <f t="shared" si="459"/>
        <v/>
      </c>
      <c r="N3308" t="str">
        <f t="shared" si="460"/>
        <v/>
      </c>
      <c r="Q3308" t="str">
        <f t="shared" si="461"/>
        <v/>
      </c>
      <c r="S3308" t="str">
        <f>IF(A3308=1,MAX($S$2:$S3307)+1,IF(OR($I3308&lt;&gt;"",A3308="x"),$S3307,""))</f>
        <v/>
      </c>
      <c r="T3308" t="str">
        <f>IF(D3308=1,MAX($T$2:$T3307)+1,IF(S3308=S3307,$T3307,IF(D3308="x",T3307,IF(D3307="x","",""))))</f>
        <v/>
      </c>
      <c r="U3308" t="str">
        <f>IF(B3308=1,MAX($U$2:$U3307)+1,IF(AND($T3308&lt;&gt;"",$T3308=$T3307),$U3307,IF(B3308="x",U3307,"")))</f>
        <v/>
      </c>
      <c r="V3308" t="str">
        <f>IF(C3308=1,MAX($V$2:$V3307)+1,IF(AND($T3308&lt;&gt;"",$T3308=$T3307),$U3307,IF(C3308="x",V3307,"")))</f>
        <v/>
      </c>
      <c r="X3308" cm="1">
        <f t="array" ref="X3308">IF($I3308&lt;&gt;"",$I3308,INDEX($I$1:$I3308,ROW()-COUNTIFS($T$1:$T3308,"="&amp;$T3308,$S$1:$S3308,"&lt;"&amp;$S3308)))</f>
        <v>0</v>
      </c>
      <c r="Z3308" s="6">
        <f t="shared" si="454"/>
        <v>1</v>
      </c>
      <c r="AA3308" t="e">
        <f t="shared" si="455"/>
        <v>#VALUE!</v>
      </c>
      <c r="AB3308" t="str">
        <f t="shared" si="456"/>
        <v/>
      </c>
      <c r="AC3308" t="e">
        <f t="shared" si="457"/>
        <v>#VALUE!</v>
      </c>
    </row>
    <row r="3309" spans="1:29" x14ac:dyDescent="0.2">
      <c r="A3309" t="str">
        <f t="shared" si="458"/>
        <v/>
      </c>
      <c r="E3309" s="4"/>
      <c r="F3309" s="46"/>
      <c r="G3309" s="4"/>
      <c r="H3309" s="48"/>
      <c r="J3309" s="26" t="str">
        <f t="shared" si="459"/>
        <v/>
      </c>
      <c r="N3309" t="str">
        <f t="shared" si="460"/>
        <v/>
      </c>
      <c r="Q3309" t="str">
        <f t="shared" si="461"/>
        <v/>
      </c>
      <c r="S3309" t="str">
        <f>IF(A3309=1,MAX($S$2:$S3308)+1,IF(OR($I3309&lt;&gt;"",A3309="x"),$S3308,""))</f>
        <v/>
      </c>
      <c r="T3309" t="str">
        <f>IF(D3309=1,MAX($T$2:$T3308)+1,IF(S3309=S3308,$T3308,IF(D3309="x",T3308,IF(D3308="x","",""))))</f>
        <v/>
      </c>
      <c r="U3309" t="str">
        <f>IF(B3309=1,MAX($U$2:$U3308)+1,IF(AND($T3309&lt;&gt;"",$T3309=$T3308),$U3308,IF(B3309="x",U3308,"")))</f>
        <v/>
      </c>
      <c r="V3309" t="str">
        <f>IF(C3309=1,MAX($V$2:$V3308)+1,IF(AND($T3309&lt;&gt;"",$T3309=$T3308),$U3308,IF(C3309="x",V3308,"")))</f>
        <v/>
      </c>
      <c r="X3309" cm="1">
        <f t="array" ref="X3309">IF($I3309&lt;&gt;"",$I3309,INDEX($I$1:$I3309,ROW()-COUNTIFS($T$1:$T3309,"="&amp;$T3309,$S$1:$S3309,"&lt;"&amp;$S3309)))</f>
        <v>0</v>
      </c>
      <c r="Z3309" s="6">
        <f t="shared" si="454"/>
        <v>1</v>
      </c>
      <c r="AA3309" t="e">
        <f t="shared" si="455"/>
        <v>#VALUE!</v>
      </c>
      <c r="AB3309" t="str">
        <f t="shared" si="456"/>
        <v/>
      </c>
      <c r="AC3309" t="e">
        <f t="shared" si="457"/>
        <v>#VALUE!</v>
      </c>
    </row>
    <row r="3310" spans="1:29" x14ac:dyDescent="0.2">
      <c r="A3310" t="str">
        <f t="shared" si="458"/>
        <v/>
      </c>
      <c r="E3310" s="4"/>
      <c r="F3310" s="46"/>
      <c r="G3310" s="4"/>
      <c r="H3310" s="48"/>
      <c r="J3310" s="26" t="str">
        <f t="shared" si="459"/>
        <v/>
      </c>
      <c r="N3310" t="str">
        <f t="shared" si="460"/>
        <v/>
      </c>
      <c r="Q3310" t="str">
        <f t="shared" si="461"/>
        <v/>
      </c>
      <c r="S3310" t="str">
        <f>IF(A3310=1,MAX($S$2:$S3309)+1,IF(OR($I3310&lt;&gt;"",A3310="x"),$S3309,""))</f>
        <v/>
      </c>
      <c r="T3310" t="str">
        <f>IF(D3310=1,MAX($T$2:$T3309)+1,IF(S3310=S3309,$T3309,IF(D3310="x",T3309,IF(D3309="x","",""))))</f>
        <v/>
      </c>
      <c r="U3310" t="str">
        <f>IF(B3310=1,MAX($U$2:$U3309)+1,IF(AND($T3310&lt;&gt;"",$T3310=$T3309),$U3309,IF(B3310="x",U3309,"")))</f>
        <v/>
      </c>
      <c r="V3310" t="str">
        <f>IF(C3310=1,MAX($V$2:$V3309)+1,IF(AND($T3310&lt;&gt;"",$T3310=$T3309),$U3309,IF(C3310="x",V3309,"")))</f>
        <v/>
      </c>
      <c r="X3310" cm="1">
        <f t="array" ref="X3310">IF($I3310&lt;&gt;"",$I3310,INDEX($I$1:$I3310,ROW()-COUNTIFS($T$1:$T3310,"="&amp;$T3310,$S$1:$S3310,"&lt;"&amp;$S3310)))</f>
        <v>0</v>
      </c>
      <c r="Z3310" s="6">
        <f t="shared" si="454"/>
        <v>1</v>
      </c>
      <c r="AA3310" t="e">
        <f t="shared" si="455"/>
        <v>#VALUE!</v>
      </c>
      <c r="AB3310" t="str">
        <f t="shared" si="456"/>
        <v/>
      </c>
      <c r="AC3310" t="e">
        <f t="shared" si="457"/>
        <v>#VALUE!</v>
      </c>
    </row>
    <row r="3311" spans="1:29" x14ac:dyDescent="0.2">
      <c r="A3311" t="str">
        <f t="shared" si="458"/>
        <v/>
      </c>
      <c r="E3311" s="4"/>
      <c r="F3311" s="46"/>
      <c r="G3311" s="4"/>
      <c r="H3311" s="48"/>
      <c r="J3311" s="26" t="str">
        <f t="shared" si="459"/>
        <v/>
      </c>
      <c r="N3311" t="str">
        <f t="shared" si="460"/>
        <v/>
      </c>
      <c r="Q3311" t="str">
        <f t="shared" si="461"/>
        <v/>
      </c>
      <c r="S3311" t="str">
        <f>IF(A3311=1,MAX($S$2:$S3310)+1,IF(OR($I3311&lt;&gt;"",A3311="x"),$S3310,""))</f>
        <v/>
      </c>
      <c r="T3311" t="str">
        <f>IF(D3311=1,MAX($T$2:$T3310)+1,IF(S3311=S3310,$T3310,IF(D3311="x",T3310,IF(D3310="x","",""))))</f>
        <v/>
      </c>
      <c r="U3311" t="str">
        <f>IF(B3311=1,MAX($U$2:$U3310)+1,IF(AND($T3311&lt;&gt;"",$T3311=$T3310),$U3310,IF(B3311="x",U3310,"")))</f>
        <v/>
      </c>
      <c r="V3311" t="str">
        <f>IF(C3311=1,MAX($V$2:$V3310)+1,IF(AND($T3311&lt;&gt;"",$T3311=$T3310),$U3310,IF(C3311="x",V3310,"")))</f>
        <v/>
      </c>
      <c r="X3311" cm="1">
        <f t="array" ref="X3311">IF($I3311&lt;&gt;"",$I3311,INDEX($I$1:$I3311,ROW()-COUNTIFS($T$1:$T3311,"="&amp;$T3311,$S$1:$S3311,"&lt;"&amp;$S3311)))</f>
        <v>0</v>
      </c>
      <c r="Z3311" s="6">
        <f t="shared" si="454"/>
        <v>1</v>
      </c>
      <c r="AA3311" t="e">
        <f t="shared" si="455"/>
        <v>#VALUE!</v>
      </c>
      <c r="AB3311" t="str">
        <f t="shared" si="456"/>
        <v/>
      </c>
      <c r="AC3311" t="e">
        <f t="shared" si="457"/>
        <v>#VALUE!</v>
      </c>
    </row>
    <row r="3312" spans="1:29" x14ac:dyDescent="0.2">
      <c r="A3312" t="str">
        <f t="shared" si="458"/>
        <v/>
      </c>
      <c r="E3312" s="4"/>
      <c r="F3312" s="46"/>
      <c r="G3312" s="4"/>
      <c r="H3312" s="48"/>
      <c r="J3312" s="26" t="str">
        <f t="shared" si="459"/>
        <v/>
      </c>
      <c r="N3312" t="str">
        <f t="shared" si="460"/>
        <v/>
      </c>
      <c r="Q3312" t="str">
        <f t="shared" si="461"/>
        <v/>
      </c>
      <c r="S3312" t="str">
        <f>IF(A3312=1,MAX($S$2:$S3311)+1,IF(OR($I3312&lt;&gt;"",A3312="x"),$S3311,""))</f>
        <v/>
      </c>
      <c r="T3312" t="str">
        <f>IF(D3312=1,MAX($T$2:$T3311)+1,IF(S3312=S3311,$T3311,IF(D3312="x",T3311,IF(D3311="x","",""))))</f>
        <v/>
      </c>
      <c r="U3312" t="str">
        <f>IF(B3312=1,MAX($U$2:$U3311)+1,IF(AND($T3312&lt;&gt;"",$T3312=$T3311),$U3311,IF(B3312="x",U3311,"")))</f>
        <v/>
      </c>
      <c r="V3312" t="str">
        <f>IF(C3312=1,MAX($V$2:$V3311)+1,IF(AND($T3312&lt;&gt;"",$T3312=$T3311),$U3311,IF(C3312="x",V3311,"")))</f>
        <v/>
      </c>
      <c r="X3312" cm="1">
        <f t="array" ref="X3312">IF($I3312&lt;&gt;"",$I3312,INDEX($I$1:$I3312,ROW()-COUNTIFS($T$1:$T3312,"="&amp;$T3312,$S$1:$S3312,"&lt;"&amp;$S3312)))</f>
        <v>0</v>
      </c>
      <c r="Z3312" s="6">
        <f t="shared" si="454"/>
        <v>1</v>
      </c>
      <c r="AA3312" t="e">
        <f t="shared" si="455"/>
        <v>#VALUE!</v>
      </c>
      <c r="AB3312" t="str">
        <f t="shared" si="456"/>
        <v/>
      </c>
      <c r="AC3312" t="e">
        <f t="shared" si="457"/>
        <v>#VALUE!</v>
      </c>
    </row>
    <row r="3313" spans="1:29" x14ac:dyDescent="0.2">
      <c r="A3313" t="str">
        <f t="shared" si="458"/>
        <v/>
      </c>
      <c r="E3313" s="4"/>
      <c r="F3313" s="46"/>
      <c r="G3313" s="4"/>
      <c r="H3313" s="48"/>
      <c r="J3313" s="26" t="str">
        <f t="shared" si="459"/>
        <v/>
      </c>
      <c r="N3313" t="str">
        <f t="shared" si="460"/>
        <v/>
      </c>
      <c r="Q3313" t="str">
        <f t="shared" si="461"/>
        <v/>
      </c>
      <c r="S3313" t="str">
        <f>IF(A3313=1,MAX($S$2:$S3312)+1,IF(OR($I3313&lt;&gt;"",A3313="x"),$S3312,""))</f>
        <v/>
      </c>
      <c r="T3313" t="str">
        <f>IF(D3313=1,MAX($T$2:$T3312)+1,IF(S3313=S3312,$T3312,IF(D3313="x",T3312,IF(D3312="x","",""))))</f>
        <v/>
      </c>
      <c r="U3313" t="str">
        <f>IF(B3313=1,MAX($U$2:$U3312)+1,IF(AND($T3313&lt;&gt;"",$T3313=$T3312),$U3312,IF(B3313="x",U3312,"")))</f>
        <v/>
      </c>
      <c r="V3313" t="str">
        <f>IF(C3313=1,MAX($V$2:$V3312)+1,IF(AND($T3313&lt;&gt;"",$T3313=$T3312),$U3312,IF(C3313="x",V3312,"")))</f>
        <v/>
      </c>
      <c r="X3313" cm="1">
        <f t="array" ref="X3313">IF($I3313&lt;&gt;"",$I3313,INDEX($I$1:$I3313,ROW()-COUNTIFS($T$1:$T3313,"="&amp;$T3313,$S$1:$S3313,"&lt;"&amp;$S3313)))</f>
        <v>0</v>
      </c>
      <c r="Z3313" s="6">
        <f t="shared" si="454"/>
        <v>1</v>
      </c>
      <c r="AA3313" t="e">
        <f t="shared" si="455"/>
        <v>#VALUE!</v>
      </c>
      <c r="AB3313" t="str">
        <f t="shared" si="456"/>
        <v/>
      </c>
      <c r="AC3313" t="e">
        <f t="shared" si="457"/>
        <v>#VALUE!</v>
      </c>
    </row>
    <row r="3314" spans="1:29" x14ac:dyDescent="0.2">
      <c r="A3314" t="str">
        <f t="shared" si="458"/>
        <v/>
      </c>
      <c r="E3314" s="4"/>
      <c r="F3314" s="46"/>
      <c r="G3314" s="4"/>
      <c r="H3314" s="48"/>
      <c r="J3314" s="26" t="str">
        <f t="shared" si="459"/>
        <v/>
      </c>
      <c r="N3314" t="str">
        <f t="shared" si="460"/>
        <v/>
      </c>
      <c r="Q3314" t="str">
        <f t="shared" si="461"/>
        <v/>
      </c>
      <c r="S3314" t="str">
        <f>IF(A3314=1,MAX($S$2:$S3313)+1,IF(OR($I3314&lt;&gt;"",A3314="x"),$S3313,""))</f>
        <v/>
      </c>
      <c r="T3314" t="str">
        <f>IF(D3314=1,MAX($T$2:$T3313)+1,IF(S3314=S3313,$T3313,IF(D3314="x",T3313,IF(D3313="x","",""))))</f>
        <v/>
      </c>
      <c r="U3314" t="str">
        <f>IF(B3314=1,MAX($U$2:$U3313)+1,IF(AND($T3314&lt;&gt;"",$T3314=$T3313),$U3313,IF(B3314="x",U3313,"")))</f>
        <v/>
      </c>
      <c r="V3314" t="str">
        <f>IF(C3314=1,MAX($V$2:$V3313)+1,IF(AND($T3314&lt;&gt;"",$T3314=$T3313),$U3313,IF(C3314="x",V3313,"")))</f>
        <v/>
      </c>
      <c r="X3314" cm="1">
        <f t="array" ref="X3314">IF($I3314&lt;&gt;"",$I3314,INDEX($I$1:$I3314,ROW()-COUNTIFS($T$1:$T3314,"="&amp;$T3314,$S$1:$S3314,"&lt;"&amp;$S3314)))</f>
        <v>0</v>
      </c>
      <c r="Z3314" s="6">
        <f t="shared" si="454"/>
        <v>1</v>
      </c>
      <c r="AA3314" t="e">
        <f t="shared" si="455"/>
        <v>#VALUE!</v>
      </c>
      <c r="AB3314" t="str">
        <f t="shared" si="456"/>
        <v/>
      </c>
      <c r="AC3314" t="e">
        <f t="shared" si="457"/>
        <v>#VALUE!</v>
      </c>
    </row>
    <row r="3315" spans="1:29" x14ac:dyDescent="0.2">
      <c r="A3315" t="str">
        <f t="shared" si="458"/>
        <v/>
      </c>
      <c r="E3315" s="4"/>
      <c r="F3315" s="46"/>
      <c r="G3315" s="4"/>
      <c r="H3315" s="48"/>
      <c r="J3315" s="26" t="str">
        <f t="shared" si="459"/>
        <v/>
      </c>
      <c r="N3315" t="str">
        <f t="shared" si="460"/>
        <v/>
      </c>
      <c r="Q3315" t="str">
        <f t="shared" si="461"/>
        <v/>
      </c>
      <c r="S3315" t="str">
        <f>IF(A3315=1,MAX($S$2:$S3314)+1,IF(OR($I3315&lt;&gt;"",A3315="x"),$S3314,""))</f>
        <v/>
      </c>
      <c r="T3315" t="str">
        <f>IF(D3315=1,MAX($T$2:$T3314)+1,IF(S3315=S3314,$T3314,IF(D3315="x",T3314,IF(D3314="x","",""))))</f>
        <v/>
      </c>
      <c r="U3315" t="str">
        <f>IF(B3315=1,MAX($U$2:$U3314)+1,IF(AND($T3315&lt;&gt;"",$T3315=$T3314),$U3314,IF(B3315="x",U3314,"")))</f>
        <v/>
      </c>
      <c r="V3315" t="str">
        <f>IF(C3315=1,MAX($V$2:$V3314)+1,IF(AND($T3315&lt;&gt;"",$T3315=$T3314),$U3314,IF(C3315="x",V3314,"")))</f>
        <v/>
      </c>
      <c r="X3315" cm="1">
        <f t="array" ref="X3315">IF($I3315&lt;&gt;"",$I3315,INDEX($I$1:$I3315,ROW()-COUNTIFS($T$1:$T3315,"="&amp;$T3315,$S$1:$S3315,"&lt;"&amp;$S3315)))</f>
        <v>0</v>
      </c>
      <c r="Z3315" s="6">
        <f t="shared" si="454"/>
        <v>1</v>
      </c>
      <c r="AA3315" t="e">
        <f t="shared" si="455"/>
        <v>#VALUE!</v>
      </c>
      <c r="AB3315" t="str">
        <f t="shared" si="456"/>
        <v/>
      </c>
      <c r="AC3315" t="e">
        <f t="shared" si="457"/>
        <v>#VALUE!</v>
      </c>
    </row>
    <row r="3316" spans="1:29" x14ac:dyDescent="0.2">
      <c r="A3316" t="str">
        <f t="shared" si="458"/>
        <v/>
      </c>
      <c r="E3316" s="4"/>
      <c r="F3316" s="46"/>
      <c r="G3316" s="4"/>
      <c r="H3316" s="48"/>
      <c r="J3316" s="26" t="str">
        <f t="shared" si="459"/>
        <v/>
      </c>
      <c r="N3316" t="str">
        <f t="shared" si="460"/>
        <v/>
      </c>
      <c r="Q3316" t="str">
        <f t="shared" si="461"/>
        <v/>
      </c>
      <c r="S3316" t="str">
        <f>IF(A3316=1,MAX($S$2:$S3315)+1,IF(OR($I3316&lt;&gt;"",A3316="x"),$S3315,""))</f>
        <v/>
      </c>
      <c r="T3316" t="str">
        <f>IF(D3316=1,MAX($T$2:$T3315)+1,IF(S3316=S3315,$T3315,IF(D3316="x",T3315,IF(D3315="x","",""))))</f>
        <v/>
      </c>
      <c r="U3316" t="str">
        <f>IF(B3316=1,MAX($U$2:$U3315)+1,IF(AND($T3316&lt;&gt;"",$T3316=$T3315),$U3315,IF(B3316="x",U3315,"")))</f>
        <v/>
      </c>
      <c r="V3316" t="str">
        <f>IF(C3316=1,MAX($V$2:$V3315)+1,IF(AND($T3316&lt;&gt;"",$T3316=$T3315),$U3315,IF(C3316="x",V3315,"")))</f>
        <v/>
      </c>
      <c r="X3316" cm="1">
        <f t="array" ref="X3316">IF($I3316&lt;&gt;"",$I3316,INDEX($I$1:$I3316,ROW()-COUNTIFS($T$1:$T3316,"="&amp;$T3316,$S$1:$S3316,"&lt;"&amp;$S3316)))</f>
        <v>0</v>
      </c>
      <c r="Z3316" s="6">
        <f t="shared" si="454"/>
        <v>1</v>
      </c>
      <c r="AA3316" t="e">
        <f t="shared" si="455"/>
        <v>#VALUE!</v>
      </c>
      <c r="AB3316" t="str">
        <f t="shared" si="456"/>
        <v/>
      </c>
      <c r="AC3316" t="e">
        <f t="shared" si="457"/>
        <v>#VALUE!</v>
      </c>
    </row>
    <row r="3317" spans="1:29" x14ac:dyDescent="0.2">
      <c r="A3317" t="str">
        <f t="shared" si="458"/>
        <v/>
      </c>
      <c r="E3317" s="4"/>
      <c r="F3317" s="46"/>
      <c r="G3317" s="4"/>
      <c r="H3317" s="48"/>
      <c r="J3317" s="26" t="str">
        <f t="shared" si="459"/>
        <v/>
      </c>
      <c r="N3317" t="str">
        <f t="shared" si="460"/>
        <v/>
      </c>
      <c r="Q3317" t="str">
        <f t="shared" si="461"/>
        <v/>
      </c>
      <c r="S3317" t="str">
        <f>IF(A3317=1,MAX($S$2:$S3316)+1,IF(OR($I3317&lt;&gt;"",A3317="x"),$S3316,""))</f>
        <v/>
      </c>
      <c r="T3317" t="str">
        <f>IF(D3317=1,MAX($T$2:$T3316)+1,IF(S3317=S3316,$T3316,IF(D3317="x",T3316,IF(D3316="x","",""))))</f>
        <v/>
      </c>
      <c r="U3317" t="str">
        <f>IF(B3317=1,MAX($U$2:$U3316)+1,IF(AND($T3317&lt;&gt;"",$T3317=$T3316),$U3316,IF(B3317="x",U3316,"")))</f>
        <v/>
      </c>
      <c r="V3317" t="str">
        <f>IF(C3317=1,MAX($V$2:$V3316)+1,IF(AND($T3317&lt;&gt;"",$T3317=$T3316),$U3316,IF(C3317="x",V3316,"")))</f>
        <v/>
      </c>
      <c r="X3317" cm="1">
        <f t="array" ref="X3317">IF($I3317&lt;&gt;"",$I3317,INDEX($I$1:$I3317,ROW()-COUNTIFS($T$1:$T3317,"="&amp;$T3317,$S$1:$S3317,"&lt;"&amp;$S3317)))</f>
        <v>0</v>
      </c>
      <c r="Z3317" s="6">
        <f t="shared" si="454"/>
        <v>1</v>
      </c>
      <c r="AA3317" t="e">
        <f t="shared" si="455"/>
        <v>#VALUE!</v>
      </c>
      <c r="AB3317" t="str">
        <f t="shared" si="456"/>
        <v/>
      </c>
      <c r="AC3317" t="e">
        <f t="shared" si="457"/>
        <v>#VALUE!</v>
      </c>
    </row>
    <row r="3318" spans="1:29" x14ac:dyDescent="0.2">
      <c r="A3318" t="str">
        <f t="shared" si="458"/>
        <v/>
      </c>
      <c r="E3318" s="4"/>
      <c r="F3318" s="46"/>
      <c r="G3318" s="4"/>
      <c r="H3318" s="48"/>
      <c r="J3318" s="26" t="str">
        <f t="shared" si="459"/>
        <v/>
      </c>
      <c r="N3318" t="str">
        <f t="shared" si="460"/>
        <v/>
      </c>
      <c r="Q3318" t="str">
        <f t="shared" si="461"/>
        <v/>
      </c>
      <c r="S3318" t="str">
        <f>IF(A3318=1,MAX($S$2:$S3317)+1,IF(OR($I3318&lt;&gt;"",A3318="x"),$S3317,""))</f>
        <v/>
      </c>
      <c r="T3318" t="str">
        <f>IF(D3318=1,MAX($T$2:$T3317)+1,IF(S3318=S3317,$T3317,IF(D3318="x",T3317,IF(D3317="x","",""))))</f>
        <v/>
      </c>
      <c r="U3318" t="str">
        <f>IF(B3318=1,MAX($U$2:$U3317)+1,IF(AND($T3318&lt;&gt;"",$T3318=$T3317),$U3317,IF(B3318="x",U3317,"")))</f>
        <v/>
      </c>
      <c r="V3318" t="str">
        <f>IF(C3318=1,MAX($V$2:$V3317)+1,IF(AND($T3318&lt;&gt;"",$T3318=$T3317),$U3317,IF(C3318="x",V3317,"")))</f>
        <v/>
      </c>
      <c r="X3318" cm="1">
        <f t="array" ref="X3318">IF($I3318&lt;&gt;"",$I3318,INDEX($I$1:$I3318,ROW()-COUNTIFS($T$1:$T3318,"="&amp;$T3318,$S$1:$S3318,"&lt;"&amp;$S3318)))</f>
        <v>0</v>
      </c>
      <c r="Z3318" s="6">
        <f t="shared" si="454"/>
        <v>1</v>
      </c>
      <c r="AA3318" t="e">
        <f t="shared" si="455"/>
        <v>#VALUE!</v>
      </c>
      <c r="AB3318" t="str">
        <f t="shared" si="456"/>
        <v/>
      </c>
      <c r="AC3318" t="e">
        <f t="shared" si="457"/>
        <v>#VALUE!</v>
      </c>
    </row>
    <row r="3319" spans="1:29" x14ac:dyDescent="0.2">
      <c r="A3319" t="str">
        <f t="shared" si="458"/>
        <v/>
      </c>
      <c r="E3319" s="4"/>
      <c r="F3319" s="46"/>
      <c r="G3319" s="4"/>
      <c r="H3319" s="48"/>
      <c r="J3319" s="26" t="str">
        <f t="shared" si="459"/>
        <v/>
      </c>
      <c r="N3319" t="str">
        <f t="shared" si="460"/>
        <v/>
      </c>
      <c r="Q3319" t="str">
        <f t="shared" si="461"/>
        <v/>
      </c>
      <c r="S3319" t="str">
        <f>IF(A3319=1,MAX($S$2:$S3318)+1,IF(OR($I3319&lt;&gt;"",A3319="x"),$S3318,""))</f>
        <v/>
      </c>
      <c r="T3319" t="str">
        <f>IF(D3319=1,MAX($T$2:$T3318)+1,IF(S3319=S3318,$T3318,IF(D3319="x",T3318,IF(D3318="x","",""))))</f>
        <v/>
      </c>
      <c r="U3319" t="str">
        <f>IF(B3319=1,MAX($U$2:$U3318)+1,IF(AND($T3319&lt;&gt;"",$T3319=$T3318),$U3318,IF(B3319="x",U3318,"")))</f>
        <v/>
      </c>
      <c r="V3319" t="str">
        <f>IF(C3319=1,MAX($V$2:$V3318)+1,IF(AND($T3319&lt;&gt;"",$T3319=$T3318),$U3318,IF(C3319="x",V3318,"")))</f>
        <v/>
      </c>
      <c r="X3319" cm="1">
        <f t="array" ref="X3319">IF($I3319&lt;&gt;"",$I3319,INDEX($I$1:$I3319,ROW()-COUNTIFS($T$1:$T3319,"="&amp;$T3319,$S$1:$S3319,"&lt;"&amp;$S3319)))</f>
        <v>0</v>
      </c>
      <c r="Z3319" s="6">
        <f t="shared" si="454"/>
        <v>1</v>
      </c>
      <c r="AA3319" t="e">
        <f t="shared" si="455"/>
        <v>#VALUE!</v>
      </c>
      <c r="AB3319" t="str">
        <f t="shared" si="456"/>
        <v/>
      </c>
      <c r="AC3319" t="e">
        <f t="shared" si="457"/>
        <v>#VALUE!</v>
      </c>
    </row>
    <row r="3320" spans="1:29" x14ac:dyDescent="0.2">
      <c r="A3320" t="str">
        <f t="shared" si="458"/>
        <v/>
      </c>
      <c r="E3320" s="4"/>
      <c r="F3320" s="46"/>
      <c r="G3320" s="4"/>
      <c r="H3320" s="48"/>
      <c r="J3320" s="26" t="str">
        <f t="shared" si="459"/>
        <v/>
      </c>
      <c r="N3320" t="str">
        <f t="shared" si="460"/>
        <v/>
      </c>
      <c r="Q3320" t="str">
        <f t="shared" si="461"/>
        <v/>
      </c>
      <c r="S3320" t="str">
        <f>IF(A3320=1,MAX($S$2:$S3319)+1,IF(OR($I3320&lt;&gt;"",A3320="x"),$S3319,""))</f>
        <v/>
      </c>
      <c r="T3320" t="str">
        <f>IF(D3320=1,MAX($T$2:$T3319)+1,IF(S3320=S3319,$T3319,IF(D3320="x",T3319,IF(D3319="x","",""))))</f>
        <v/>
      </c>
      <c r="U3320" t="str">
        <f>IF(B3320=1,MAX($U$2:$U3319)+1,IF(AND($T3320&lt;&gt;"",$T3320=$T3319),$U3319,IF(B3320="x",U3319,"")))</f>
        <v/>
      </c>
      <c r="V3320" t="str">
        <f>IF(C3320=1,MAX($V$2:$V3319)+1,IF(AND($T3320&lt;&gt;"",$T3320=$T3319),$U3319,IF(C3320="x",V3319,"")))</f>
        <v/>
      </c>
      <c r="X3320" cm="1">
        <f t="array" ref="X3320">IF($I3320&lt;&gt;"",$I3320,INDEX($I$1:$I3320,ROW()-COUNTIFS($T$1:$T3320,"="&amp;$T3320,$S$1:$S3320,"&lt;"&amp;$S3320)))</f>
        <v>0</v>
      </c>
      <c r="Z3320" s="6">
        <f t="shared" si="454"/>
        <v>1</v>
      </c>
      <c r="AA3320" t="e">
        <f t="shared" si="455"/>
        <v>#VALUE!</v>
      </c>
      <c r="AB3320" t="str">
        <f t="shared" si="456"/>
        <v/>
      </c>
      <c r="AC3320" t="e">
        <f t="shared" si="457"/>
        <v>#VALUE!</v>
      </c>
    </row>
    <row r="3321" spans="1:29" x14ac:dyDescent="0.2">
      <c r="A3321" t="str">
        <f t="shared" si="458"/>
        <v/>
      </c>
      <c r="E3321" s="4"/>
      <c r="F3321" s="46"/>
      <c r="G3321" s="4"/>
      <c r="H3321" s="48"/>
      <c r="J3321" s="26" t="str">
        <f t="shared" si="459"/>
        <v/>
      </c>
      <c r="N3321" t="str">
        <f t="shared" si="460"/>
        <v/>
      </c>
      <c r="Q3321" t="str">
        <f t="shared" si="461"/>
        <v/>
      </c>
      <c r="S3321" t="str">
        <f>IF(A3321=1,MAX($S$2:$S3320)+1,IF(OR($I3321&lt;&gt;"",A3321="x"),$S3320,""))</f>
        <v/>
      </c>
      <c r="T3321" t="str">
        <f>IF(D3321=1,MAX($T$2:$T3320)+1,IF(S3321=S3320,$T3320,IF(D3321="x",T3320,IF(D3320="x","",""))))</f>
        <v/>
      </c>
      <c r="U3321" t="str">
        <f>IF(B3321=1,MAX($U$2:$U3320)+1,IF(AND($T3321&lt;&gt;"",$T3321=$T3320),$U3320,IF(B3321="x",U3320,"")))</f>
        <v/>
      </c>
      <c r="V3321" t="str">
        <f>IF(C3321=1,MAX($V$2:$V3320)+1,IF(AND($T3321&lt;&gt;"",$T3321=$T3320),$U3320,IF(C3321="x",V3320,"")))</f>
        <v/>
      </c>
      <c r="X3321" cm="1">
        <f t="array" ref="X3321">IF($I3321&lt;&gt;"",$I3321,INDEX($I$1:$I3321,ROW()-COUNTIFS($T$1:$T3321,"="&amp;$T3321,$S$1:$S3321,"&lt;"&amp;$S3321)))</f>
        <v>0</v>
      </c>
      <c r="Z3321" s="6">
        <f t="shared" si="454"/>
        <v>1</v>
      </c>
      <c r="AA3321" t="e">
        <f t="shared" si="455"/>
        <v>#VALUE!</v>
      </c>
      <c r="AB3321" t="str">
        <f t="shared" si="456"/>
        <v/>
      </c>
      <c r="AC3321" t="e">
        <f t="shared" si="457"/>
        <v>#VALUE!</v>
      </c>
    </row>
    <row r="3322" spans="1:29" x14ac:dyDescent="0.2">
      <c r="A3322" t="str">
        <f t="shared" si="458"/>
        <v/>
      </c>
      <c r="E3322" s="4"/>
      <c r="F3322" s="46"/>
      <c r="G3322" s="4"/>
      <c r="H3322" s="48"/>
      <c r="J3322" s="26" t="str">
        <f t="shared" si="459"/>
        <v/>
      </c>
      <c r="N3322" t="str">
        <f t="shared" si="460"/>
        <v/>
      </c>
      <c r="Q3322" t="str">
        <f t="shared" si="461"/>
        <v/>
      </c>
      <c r="S3322" t="str">
        <f>IF(A3322=1,MAX($S$2:$S3321)+1,IF(OR($I3322&lt;&gt;"",A3322="x"),$S3321,""))</f>
        <v/>
      </c>
      <c r="T3322" t="str">
        <f>IF(D3322=1,MAX($T$2:$T3321)+1,IF(S3322=S3321,$T3321,IF(D3322="x",T3321,IF(D3321="x","",""))))</f>
        <v/>
      </c>
      <c r="U3322" t="str">
        <f>IF(B3322=1,MAX($U$2:$U3321)+1,IF(AND($T3322&lt;&gt;"",$T3322=$T3321),$U3321,IF(B3322="x",U3321,"")))</f>
        <v/>
      </c>
      <c r="V3322" t="str">
        <f>IF(C3322=1,MAX($V$2:$V3321)+1,IF(AND($T3322&lt;&gt;"",$T3322=$T3321),$U3321,IF(C3322="x",V3321,"")))</f>
        <v/>
      </c>
      <c r="X3322" cm="1">
        <f t="array" ref="X3322">IF($I3322&lt;&gt;"",$I3322,INDEX($I$1:$I3322,ROW()-COUNTIFS($T$1:$T3322,"="&amp;$T3322,$S$1:$S3322,"&lt;"&amp;$S3322)))</f>
        <v>0</v>
      </c>
      <c r="Z3322" s="6">
        <f t="shared" si="454"/>
        <v>1</v>
      </c>
      <c r="AA3322" t="e">
        <f t="shared" si="455"/>
        <v>#VALUE!</v>
      </c>
      <c r="AB3322" t="str">
        <f t="shared" si="456"/>
        <v/>
      </c>
      <c r="AC3322" t="e">
        <f t="shared" si="457"/>
        <v>#VALUE!</v>
      </c>
    </row>
    <row r="3323" spans="1:29" x14ac:dyDescent="0.2">
      <c r="A3323" t="str">
        <f t="shared" si="458"/>
        <v/>
      </c>
      <c r="E3323" s="4"/>
      <c r="F3323" s="46"/>
      <c r="G3323" s="4"/>
      <c r="H3323" s="48"/>
      <c r="J3323" s="26" t="str">
        <f t="shared" si="459"/>
        <v/>
      </c>
      <c r="N3323" t="str">
        <f t="shared" si="460"/>
        <v/>
      </c>
      <c r="Q3323" t="str">
        <f t="shared" si="461"/>
        <v/>
      </c>
      <c r="S3323" t="str">
        <f>IF(A3323=1,MAX($S$2:$S3322)+1,IF(OR($I3323&lt;&gt;"",A3323="x"),$S3322,""))</f>
        <v/>
      </c>
      <c r="T3323" t="str">
        <f>IF(D3323=1,MAX($T$2:$T3322)+1,IF(S3323=S3322,$T3322,IF(D3323="x",T3322,IF(D3322="x","",""))))</f>
        <v/>
      </c>
      <c r="U3323" t="str">
        <f>IF(B3323=1,MAX($U$2:$U3322)+1,IF(AND($T3323&lt;&gt;"",$T3323=$T3322),$U3322,IF(B3323="x",U3322,"")))</f>
        <v/>
      </c>
      <c r="V3323" t="str">
        <f>IF(C3323=1,MAX($V$2:$V3322)+1,IF(AND($T3323&lt;&gt;"",$T3323=$T3322),$U3322,IF(C3323="x",V3322,"")))</f>
        <v/>
      </c>
      <c r="X3323" cm="1">
        <f t="array" ref="X3323">IF($I3323&lt;&gt;"",$I3323,INDEX($I$1:$I3323,ROW()-COUNTIFS($T$1:$T3323,"="&amp;$T3323,$S$1:$S3323,"&lt;"&amp;$S3323)))</f>
        <v>0</v>
      </c>
      <c r="Z3323" s="6">
        <f t="shared" si="454"/>
        <v>1</v>
      </c>
      <c r="AA3323" t="e">
        <f t="shared" si="455"/>
        <v>#VALUE!</v>
      </c>
      <c r="AB3323" t="str">
        <f t="shared" si="456"/>
        <v/>
      </c>
      <c r="AC3323" t="e">
        <f t="shared" si="457"/>
        <v>#VALUE!</v>
      </c>
    </row>
    <row r="3324" spans="1:29" x14ac:dyDescent="0.2">
      <c r="A3324" t="str">
        <f t="shared" si="458"/>
        <v/>
      </c>
      <c r="E3324" s="4"/>
      <c r="F3324" s="46"/>
      <c r="G3324" s="4"/>
      <c r="H3324" s="48"/>
      <c r="J3324" s="26" t="str">
        <f t="shared" si="459"/>
        <v/>
      </c>
      <c r="N3324" t="str">
        <f t="shared" si="460"/>
        <v/>
      </c>
      <c r="Q3324" t="str">
        <f t="shared" si="461"/>
        <v/>
      </c>
      <c r="S3324" t="str">
        <f>IF(A3324=1,MAX($S$2:$S3323)+1,IF(OR($I3324&lt;&gt;"",A3324="x"),$S3323,""))</f>
        <v/>
      </c>
      <c r="T3324" t="str">
        <f>IF(D3324=1,MAX($T$2:$T3323)+1,IF(S3324=S3323,$T3323,IF(D3324="x",T3323,IF(D3323="x","",""))))</f>
        <v/>
      </c>
      <c r="U3324" t="str">
        <f>IF(B3324=1,MAX($U$2:$U3323)+1,IF(AND($T3324&lt;&gt;"",$T3324=$T3323),$U3323,IF(B3324="x",U3323,"")))</f>
        <v/>
      </c>
      <c r="V3324" t="str">
        <f>IF(C3324=1,MAX($V$2:$V3323)+1,IF(AND($T3324&lt;&gt;"",$T3324=$T3323),$U3323,IF(C3324="x",V3323,"")))</f>
        <v/>
      </c>
      <c r="X3324" cm="1">
        <f t="array" ref="X3324">IF($I3324&lt;&gt;"",$I3324,INDEX($I$1:$I3324,ROW()-COUNTIFS($T$1:$T3324,"="&amp;$T3324,$S$1:$S3324,"&lt;"&amp;$S3324)))</f>
        <v>0</v>
      </c>
      <c r="Z3324" s="6">
        <f t="shared" si="454"/>
        <v>1</v>
      </c>
      <c r="AA3324" t="e">
        <f t="shared" si="455"/>
        <v>#VALUE!</v>
      </c>
      <c r="AB3324" t="str">
        <f t="shared" si="456"/>
        <v/>
      </c>
      <c r="AC3324" t="e">
        <f t="shared" si="457"/>
        <v>#VALUE!</v>
      </c>
    </row>
    <row r="3325" spans="1:29" x14ac:dyDescent="0.2">
      <c r="A3325" t="str">
        <f t="shared" si="458"/>
        <v/>
      </c>
      <c r="E3325" s="4"/>
      <c r="F3325" s="46"/>
      <c r="G3325" s="4"/>
      <c r="H3325" s="48"/>
      <c r="J3325" s="26" t="str">
        <f t="shared" si="459"/>
        <v/>
      </c>
      <c r="N3325" t="str">
        <f t="shared" si="460"/>
        <v/>
      </c>
      <c r="Q3325" t="str">
        <f t="shared" si="461"/>
        <v/>
      </c>
      <c r="S3325" t="str">
        <f>IF(A3325=1,MAX($S$2:$S3324)+1,IF(OR($I3325&lt;&gt;"",A3325="x"),$S3324,""))</f>
        <v/>
      </c>
      <c r="T3325" t="str">
        <f>IF(D3325=1,MAX($T$2:$T3324)+1,IF(S3325=S3324,$T3324,IF(D3325="x",T3324,IF(D3324="x","",""))))</f>
        <v/>
      </c>
      <c r="U3325" t="str">
        <f>IF(B3325=1,MAX($U$2:$U3324)+1,IF(AND($T3325&lt;&gt;"",$T3325=$T3324),$U3324,IF(B3325="x",U3324,"")))</f>
        <v/>
      </c>
      <c r="V3325" t="str">
        <f>IF(C3325=1,MAX($V$2:$V3324)+1,IF(AND($T3325&lt;&gt;"",$T3325=$T3324),$U3324,IF(C3325="x",V3324,"")))</f>
        <v/>
      </c>
      <c r="X3325" cm="1">
        <f t="array" ref="X3325">IF($I3325&lt;&gt;"",$I3325,INDEX($I$1:$I3325,ROW()-COUNTIFS($T$1:$T3325,"="&amp;$T3325,$S$1:$S3325,"&lt;"&amp;$S3325)))</f>
        <v>0</v>
      </c>
      <c r="Z3325" s="6">
        <f t="shared" si="454"/>
        <v>1</v>
      </c>
      <c r="AA3325" t="e">
        <f t="shared" si="455"/>
        <v>#VALUE!</v>
      </c>
      <c r="AB3325" t="str">
        <f t="shared" si="456"/>
        <v/>
      </c>
      <c r="AC3325" t="e">
        <f t="shared" si="457"/>
        <v>#VALUE!</v>
      </c>
    </row>
    <row r="3326" spans="1:29" x14ac:dyDescent="0.2">
      <c r="A3326" t="str">
        <f t="shared" si="458"/>
        <v/>
      </c>
      <c r="E3326" s="4"/>
      <c r="F3326" s="46"/>
      <c r="G3326" s="4"/>
      <c r="H3326" s="48"/>
      <c r="J3326" s="26" t="str">
        <f t="shared" si="459"/>
        <v/>
      </c>
      <c r="N3326" t="str">
        <f t="shared" si="460"/>
        <v/>
      </c>
      <c r="Q3326" t="str">
        <f t="shared" si="461"/>
        <v/>
      </c>
      <c r="S3326" t="str">
        <f>IF(A3326=1,MAX($S$2:$S3325)+1,IF(OR($I3326&lt;&gt;"",A3326="x"),$S3325,""))</f>
        <v/>
      </c>
      <c r="T3326" t="str">
        <f>IF(D3326=1,MAX($T$2:$T3325)+1,IF(S3326=S3325,$T3325,IF(D3326="x",T3325,IF(D3325="x","",""))))</f>
        <v/>
      </c>
      <c r="U3326" t="str">
        <f>IF(B3326=1,MAX($U$2:$U3325)+1,IF(AND($T3326&lt;&gt;"",$T3326=$T3325),$U3325,IF(B3326="x",U3325,"")))</f>
        <v/>
      </c>
      <c r="V3326" t="str">
        <f>IF(C3326=1,MAX($V$2:$V3325)+1,IF(AND($T3326&lt;&gt;"",$T3326=$T3325),$U3325,IF(C3326="x",V3325,"")))</f>
        <v/>
      </c>
      <c r="X3326" cm="1">
        <f t="array" ref="X3326">IF($I3326&lt;&gt;"",$I3326,INDEX($I$1:$I3326,ROW()-COUNTIFS($T$1:$T3326,"="&amp;$T3326,$S$1:$S3326,"&lt;"&amp;$S3326)))</f>
        <v>0</v>
      </c>
      <c r="Z3326" s="6">
        <f t="shared" si="454"/>
        <v>1</v>
      </c>
      <c r="AA3326" t="e">
        <f t="shared" si="455"/>
        <v>#VALUE!</v>
      </c>
      <c r="AB3326" t="str">
        <f t="shared" si="456"/>
        <v/>
      </c>
      <c r="AC3326" t="e">
        <f t="shared" si="457"/>
        <v>#VALUE!</v>
      </c>
    </row>
    <row r="3327" spans="1:29" x14ac:dyDescent="0.2">
      <c r="A3327" t="str">
        <f t="shared" si="458"/>
        <v/>
      </c>
      <c r="E3327" s="4"/>
      <c r="F3327" s="46"/>
      <c r="G3327" s="4"/>
      <c r="H3327" s="48"/>
      <c r="J3327" s="26" t="str">
        <f t="shared" si="459"/>
        <v/>
      </c>
      <c r="N3327" t="str">
        <f t="shared" si="460"/>
        <v/>
      </c>
      <c r="Q3327" t="str">
        <f t="shared" si="461"/>
        <v/>
      </c>
      <c r="S3327" t="str">
        <f>IF(A3327=1,MAX($S$2:$S3326)+1,IF(OR($I3327&lt;&gt;"",A3327="x"),$S3326,""))</f>
        <v/>
      </c>
      <c r="T3327" t="str">
        <f>IF(D3327=1,MAX($T$2:$T3326)+1,IF(S3327=S3326,$T3326,IF(D3327="x",T3326,IF(D3326="x","",""))))</f>
        <v/>
      </c>
      <c r="U3327" t="str">
        <f>IF(B3327=1,MAX($U$2:$U3326)+1,IF(AND($T3327&lt;&gt;"",$T3327=$T3326),$U3326,IF(B3327="x",U3326,"")))</f>
        <v/>
      </c>
      <c r="V3327" t="str">
        <f>IF(C3327=1,MAX($V$2:$V3326)+1,IF(AND($T3327&lt;&gt;"",$T3327=$T3326),$U3326,IF(C3327="x",V3326,"")))</f>
        <v/>
      </c>
      <c r="X3327" cm="1">
        <f t="array" ref="X3327">IF($I3327&lt;&gt;"",$I3327,INDEX($I$1:$I3327,ROW()-COUNTIFS($T$1:$T3327,"="&amp;$T3327,$S$1:$S3327,"&lt;"&amp;$S3327)))</f>
        <v>0</v>
      </c>
      <c r="Z3327" s="6">
        <f t="shared" si="454"/>
        <v>1</v>
      </c>
      <c r="AA3327" t="e">
        <f t="shared" si="455"/>
        <v>#VALUE!</v>
      </c>
      <c r="AB3327" t="str">
        <f t="shared" si="456"/>
        <v/>
      </c>
      <c r="AC3327" t="e">
        <f t="shared" si="457"/>
        <v>#VALUE!</v>
      </c>
    </row>
    <row r="3328" spans="1:29" x14ac:dyDescent="0.2">
      <c r="A3328" t="str">
        <f t="shared" si="458"/>
        <v/>
      </c>
      <c r="E3328" s="4"/>
      <c r="F3328" s="46"/>
      <c r="G3328" s="4"/>
      <c r="H3328" s="48"/>
      <c r="J3328" s="26" t="str">
        <f t="shared" si="459"/>
        <v/>
      </c>
      <c r="N3328" t="str">
        <f t="shared" si="460"/>
        <v/>
      </c>
      <c r="Q3328" t="str">
        <f t="shared" si="461"/>
        <v/>
      </c>
      <c r="S3328" t="str">
        <f>IF(A3328=1,MAX($S$2:$S3327)+1,IF(OR($I3328&lt;&gt;"",A3328="x"),$S3327,""))</f>
        <v/>
      </c>
      <c r="T3328" t="str">
        <f>IF(D3328=1,MAX($T$2:$T3327)+1,IF(S3328=S3327,$T3327,IF(D3328="x",T3327,IF(D3327="x","",""))))</f>
        <v/>
      </c>
      <c r="U3328" t="str">
        <f>IF(B3328=1,MAX($U$2:$U3327)+1,IF(AND($T3328&lt;&gt;"",$T3328=$T3327),$U3327,IF(B3328="x",U3327,"")))</f>
        <v/>
      </c>
      <c r="V3328" t="str">
        <f>IF(C3328=1,MAX($V$2:$V3327)+1,IF(AND($T3328&lt;&gt;"",$T3328=$T3327),$U3327,IF(C3328="x",V3327,"")))</f>
        <v/>
      </c>
      <c r="X3328" cm="1">
        <f t="array" ref="X3328">IF($I3328&lt;&gt;"",$I3328,INDEX($I$1:$I3328,ROW()-COUNTIFS($T$1:$T3328,"="&amp;$T3328,$S$1:$S3328,"&lt;"&amp;$S3328)))</f>
        <v>0</v>
      </c>
      <c r="Z3328" s="6">
        <f t="shared" si="454"/>
        <v>1</v>
      </c>
      <c r="AA3328" t="e">
        <f t="shared" si="455"/>
        <v>#VALUE!</v>
      </c>
      <c r="AB3328" t="str">
        <f t="shared" si="456"/>
        <v/>
      </c>
      <c r="AC3328" t="e">
        <f t="shared" si="457"/>
        <v>#VALUE!</v>
      </c>
    </row>
    <row r="3329" spans="1:29" x14ac:dyDescent="0.2">
      <c r="A3329" t="str">
        <f t="shared" si="458"/>
        <v/>
      </c>
      <c r="E3329" s="4"/>
      <c r="F3329" s="46"/>
      <c r="G3329" s="4"/>
      <c r="H3329" s="48"/>
      <c r="J3329" s="26" t="str">
        <f t="shared" si="459"/>
        <v/>
      </c>
      <c r="N3329" t="str">
        <f t="shared" si="460"/>
        <v/>
      </c>
      <c r="Q3329" t="str">
        <f t="shared" si="461"/>
        <v/>
      </c>
      <c r="S3329" t="str">
        <f>IF(A3329=1,MAX($S$2:$S3328)+1,IF(OR($I3329&lt;&gt;"",A3329="x"),$S3328,""))</f>
        <v/>
      </c>
      <c r="T3329" t="str">
        <f>IF(D3329=1,MAX($T$2:$T3328)+1,IF(S3329=S3328,$T3328,IF(D3329="x",T3328,IF(D3328="x","",""))))</f>
        <v/>
      </c>
      <c r="U3329" t="str">
        <f>IF(B3329=1,MAX($U$2:$U3328)+1,IF(AND($T3329&lt;&gt;"",$T3329=$T3328),$U3328,IF(B3329="x",U3328,"")))</f>
        <v/>
      </c>
      <c r="V3329" t="str">
        <f>IF(C3329=1,MAX($V$2:$V3328)+1,IF(AND($T3329&lt;&gt;"",$T3329=$T3328),$U3328,IF(C3329="x",V3328,"")))</f>
        <v/>
      </c>
      <c r="X3329" cm="1">
        <f t="array" ref="X3329">IF($I3329&lt;&gt;"",$I3329,INDEX($I$1:$I3329,ROW()-COUNTIFS($T$1:$T3329,"="&amp;$T3329,$S$1:$S3329,"&lt;"&amp;$S3329)))</f>
        <v>0</v>
      </c>
      <c r="Z3329" s="6">
        <f t="shared" si="454"/>
        <v>1</v>
      </c>
      <c r="AA3329" t="e">
        <f t="shared" si="455"/>
        <v>#VALUE!</v>
      </c>
      <c r="AB3329" t="str">
        <f t="shared" si="456"/>
        <v/>
      </c>
      <c r="AC3329" t="e">
        <f t="shared" si="457"/>
        <v>#VALUE!</v>
      </c>
    </row>
    <row r="3330" spans="1:29" x14ac:dyDescent="0.2">
      <c r="A3330" t="str">
        <f t="shared" si="458"/>
        <v/>
      </c>
      <c r="E3330" s="4"/>
      <c r="F3330" s="46"/>
      <c r="G3330" s="4"/>
      <c r="H3330" s="48"/>
      <c r="J3330" s="26" t="str">
        <f t="shared" si="459"/>
        <v/>
      </c>
      <c r="N3330" t="str">
        <f t="shared" si="460"/>
        <v/>
      </c>
      <c r="Q3330" t="str">
        <f t="shared" si="461"/>
        <v/>
      </c>
      <c r="S3330" t="str">
        <f>IF(A3330=1,MAX($S$2:$S3329)+1,IF(OR($I3330&lt;&gt;"",A3330="x"),$S3329,""))</f>
        <v/>
      </c>
      <c r="T3330" t="str">
        <f>IF(D3330=1,MAX($T$2:$T3329)+1,IF(S3330=S3329,$T3329,IF(D3330="x",T3329,IF(D3329="x","",""))))</f>
        <v/>
      </c>
      <c r="U3330" t="str">
        <f>IF(B3330=1,MAX($U$2:$U3329)+1,IF(AND($T3330&lt;&gt;"",$T3330=$T3329),$U3329,IF(B3330="x",U3329,"")))</f>
        <v/>
      </c>
      <c r="V3330" t="str">
        <f>IF(C3330=1,MAX($V$2:$V3329)+1,IF(AND($T3330&lt;&gt;"",$T3330=$T3329),$U3329,IF(C3330="x",V3329,"")))</f>
        <v/>
      </c>
      <c r="X3330" cm="1">
        <f t="array" ref="X3330">IF($I3330&lt;&gt;"",$I3330,INDEX($I$1:$I3330,ROW()-COUNTIFS($T$1:$T3330,"="&amp;$T3330,$S$1:$S3330,"&lt;"&amp;$S3330)))</f>
        <v>0</v>
      </c>
      <c r="Z3330" s="6">
        <f t="shared" si="454"/>
        <v>1</v>
      </c>
      <c r="AA3330" t="e">
        <f t="shared" si="455"/>
        <v>#VALUE!</v>
      </c>
      <c r="AB3330" t="str">
        <f t="shared" si="456"/>
        <v/>
      </c>
      <c r="AC3330" t="e">
        <f t="shared" si="457"/>
        <v>#VALUE!</v>
      </c>
    </row>
    <row r="3331" spans="1:29" x14ac:dyDescent="0.2">
      <c r="A3331" t="str">
        <f t="shared" si="458"/>
        <v/>
      </c>
      <c r="E3331" s="4"/>
      <c r="F3331" s="46"/>
      <c r="G3331" s="4"/>
      <c r="H3331" s="48"/>
      <c r="J3331" s="26" t="str">
        <f t="shared" si="459"/>
        <v/>
      </c>
      <c r="N3331" t="str">
        <f t="shared" si="460"/>
        <v/>
      </c>
      <c r="Q3331" t="str">
        <f t="shared" si="461"/>
        <v/>
      </c>
      <c r="S3331" t="str">
        <f>IF(A3331=1,MAX($S$2:$S3330)+1,IF(OR($I3331&lt;&gt;"",A3331="x"),$S3330,""))</f>
        <v/>
      </c>
      <c r="T3331" t="str">
        <f>IF(D3331=1,MAX($T$2:$T3330)+1,IF(S3331=S3330,$T3330,IF(D3331="x",T3330,IF(D3330="x","",""))))</f>
        <v/>
      </c>
      <c r="U3331" t="str">
        <f>IF(B3331=1,MAX($U$2:$U3330)+1,IF(AND($T3331&lt;&gt;"",$T3331=$T3330),$U3330,IF(B3331="x",U3330,"")))</f>
        <v/>
      </c>
      <c r="V3331" t="str">
        <f>IF(C3331=1,MAX($V$2:$V3330)+1,IF(AND($T3331&lt;&gt;"",$T3331=$T3330),$U3330,IF(C3331="x",V3330,"")))</f>
        <v/>
      </c>
      <c r="X3331" cm="1">
        <f t="array" ref="X3331">IF($I3331&lt;&gt;"",$I3331,INDEX($I$1:$I3331,ROW()-COUNTIFS($T$1:$T3331,"="&amp;$T3331,$S$1:$S3331,"&lt;"&amp;$S3331)))</f>
        <v>0</v>
      </c>
      <c r="Z3331" s="6">
        <f t="shared" si="454"/>
        <v>1</v>
      </c>
      <c r="AA3331" t="e">
        <f t="shared" si="455"/>
        <v>#VALUE!</v>
      </c>
      <c r="AB3331" t="str">
        <f t="shared" si="456"/>
        <v/>
      </c>
      <c r="AC3331" t="e">
        <f t="shared" si="457"/>
        <v>#VALUE!</v>
      </c>
    </row>
    <row r="3332" spans="1:29" x14ac:dyDescent="0.2">
      <c r="A3332" t="str">
        <f t="shared" si="458"/>
        <v/>
      </c>
      <c r="E3332" s="4"/>
      <c r="F3332" s="46"/>
      <c r="G3332" s="4"/>
      <c r="H3332" s="48"/>
      <c r="J3332" s="26" t="str">
        <f t="shared" si="459"/>
        <v/>
      </c>
      <c r="N3332" t="str">
        <f t="shared" si="460"/>
        <v/>
      </c>
      <c r="Q3332" t="str">
        <f t="shared" si="461"/>
        <v/>
      </c>
      <c r="S3332" t="str">
        <f>IF(A3332=1,MAX($S$2:$S3331)+1,IF(OR($I3332&lt;&gt;"",A3332="x"),$S3331,""))</f>
        <v/>
      </c>
      <c r="T3332" t="str">
        <f>IF(D3332=1,MAX($T$2:$T3331)+1,IF(S3332=S3331,$T3331,IF(D3332="x",T3331,IF(D3331="x","",""))))</f>
        <v/>
      </c>
      <c r="U3332" t="str">
        <f>IF(B3332=1,MAX($U$2:$U3331)+1,IF(AND($T3332&lt;&gt;"",$T3332=$T3331),$U3331,IF(B3332="x",U3331,"")))</f>
        <v/>
      </c>
      <c r="V3332" t="str">
        <f>IF(C3332=1,MAX($V$2:$V3331)+1,IF(AND($T3332&lt;&gt;"",$T3332=$T3331),$U3331,IF(C3332="x",V3331,"")))</f>
        <v/>
      </c>
      <c r="X3332" cm="1">
        <f t="array" ref="X3332">IF($I3332&lt;&gt;"",$I3332,INDEX($I$1:$I3332,ROW()-COUNTIFS($T$1:$T3332,"="&amp;$T3332,$S$1:$S3332,"&lt;"&amp;$S3332)))</f>
        <v>0</v>
      </c>
      <c r="Z3332" s="6">
        <f t="shared" si="454"/>
        <v>1</v>
      </c>
      <c r="AA3332" t="e">
        <f t="shared" si="455"/>
        <v>#VALUE!</v>
      </c>
      <c r="AB3332" t="str">
        <f t="shared" si="456"/>
        <v/>
      </c>
      <c r="AC3332" t="e">
        <f t="shared" si="457"/>
        <v>#VALUE!</v>
      </c>
    </row>
    <row r="3333" spans="1:29" x14ac:dyDescent="0.2">
      <c r="A3333" t="str">
        <f t="shared" si="458"/>
        <v/>
      </c>
      <c r="E3333" s="4"/>
      <c r="F3333" s="46"/>
      <c r="G3333" s="4"/>
      <c r="H3333" s="48"/>
      <c r="J3333" s="26" t="str">
        <f t="shared" si="459"/>
        <v/>
      </c>
      <c r="N3333" t="str">
        <f t="shared" si="460"/>
        <v/>
      </c>
      <c r="Q3333" t="str">
        <f t="shared" si="461"/>
        <v/>
      </c>
      <c r="S3333" t="str">
        <f>IF(A3333=1,MAX($S$2:$S3332)+1,IF(OR($I3333&lt;&gt;"",A3333="x"),$S3332,""))</f>
        <v/>
      </c>
      <c r="T3333" t="str">
        <f>IF(D3333=1,MAX($T$2:$T3332)+1,IF(S3333=S3332,$T3332,IF(D3333="x",T3332,IF(D3332="x","",""))))</f>
        <v/>
      </c>
      <c r="U3333" t="str">
        <f>IF(B3333=1,MAX($U$2:$U3332)+1,IF(AND($T3333&lt;&gt;"",$T3333=$T3332),$U3332,IF(B3333="x",U3332,"")))</f>
        <v/>
      </c>
      <c r="V3333" t="str">
        <f>IF(C3333=1,MAX($V$2:$V3332)+1,IF(AND($T3333&lt;&gt;"",$T3333=$T3332),$U3332,IF(C3333="x",V3332,"")))</f>
        <v/>
      </c>
      <c r="X3333" cm="1">
        <f t="array" ref="X3333">IF($I3333&lt;&gt;"",$I3333,INDEX($I$1:$I3333,ROW()-COUNTIFS($T$1:$T3333,"="&amp;$T3333,$S$1:$S3333,"&lt;"&amp;$S3333)))</f>
        <v>0</v>
      </c>
      <c r="Z3333" s="6">
        <f t="shared" ref="Z3333:Z3396" si="462">IF(K3333="Intermission",Z3332+1,Z3332)</f>
        <v>1</v>
      </c>
      <c r="AA3333" t="e">
        <f t="shared" ref="AA3333:AA3396" si="463">S3333+1000</f>
        <v>#VALUE!</v>
      </c>
      <c r="AB3333" t="str">
        <f t="shared" ref="AB3333:AB3396" si="464">IF(T3333&lt;&gt;"",9000+T3333,"")</f>
        <v/>
      </c>
      <c r="AC3333" t="e">
        <f t="shared" ref="AC3333:AC3396" si="465">IF(AB3333&lt;&gt;"",AB3333,S3333+1000)</f>
        <v>#VALUE!</v>
      </c>
    </row>
    <row r="3334" spans="1:29" x14ac:dyDescent="0.2">
      <c r="A3334" t="str">
        <f t="shared" si="458"/>
        <v/>
      </c>
      <c r="E3334" s="4"/>
      <c r="F3334" s="46"/>
      <c r="G3334" s="4"/>
      <c r="H3334" s="48"/>
      <c r="J3334" s="26" t="str">
        <f t="shared" si="459"/>
        <v/>
      </c>
      <c r="N3334" t="str">
        <f t="shared" si="460"/>
        <v/>
      </c>
      <c r="Q3334" t="str">
        <f t="shared" si="461"/>
        <v/>
      </c>
      <c r="S3334" t="str">
        <f>IF(A3334=1,MAX($S$2:$S3333)+1,IF(OR($I3334&lt;&gt;"",A3334="x"),$S3333,""))</f>
        <v/>
      </c>
      <c r="T3334" t="str">
        <f>IF(D3334=1,MAX($T$2:$T3333)+1,IF(S3334=S3333,$T3333,IF(D3334="x",T3333,IF(D3333="x","",""))))</f>
        <v/>
      </c>
      <c r="U3334" t="str">
        <f>IF(B3334=1,MAX($U$2:$U3333)+1,IF(AND($T3334&lt;&gt;"",$T3334=$T3333),$U3333,IF(B3334="x",U3333,"")))</f>
        <v/>
      </c>
      <c r="V3334" t="str">
        <f>IF(C3334=1,MAX($V$2:$V3333)+1,IF(AND($T3334&lt;&gt;"",$T3334=$T3333),$U3333,IF(C3334="x",V3333,"")))</f>
        <v/>
      </c>
      <c r="X3334" cm="1">
        <f t="array" ref="X3334">IF($I3334&lt;&gt;"",$I3334,INDEX($I$1:$I3334,ROW()-COUNTIFS($T$1:$T3334,"="&amp;$T3334,$S$1:$S3334,"&lt;"&amp;$S3334)))</f>
        <v>0</v>
      </c>
      <c r="Z3334" s="6">
        <f t="shared" si="462"/>
        <v>1</v>
      </c>
      <c r="AA3334" t="e">
        <f t="shared" si="463"/>
        <v>#VALUE!</v>
      </c>
      <c r="AB3334" t="str">
        <f t="shared" si="464"/>
        <v/>
      </c>
      <c r="AC3334" t="e">
        <f t="shared" si="465"/>
        <v>#VALUE!</v>
      </c>
    </row>
    <row r="3335" spans="1:29" x14ac:dyDescent="0.2">
      <c r="A3335" t="str">
        <f t="shared" si="458"/>
        <v/>
      </c>
      <c r="E3335" s="4"/>
      <c r="F3335" s="46"/>
      <c r="G3335" s="4"/>
      <c r="H3335" s="48"/>
      <c r="J3335" s="26" t="str">
        <f t="shared" si="459"/>
        <v/>
      </c>
      <c r="N3335" t="str">
        <f t="shared" si="460"/>
        <v/>
      </c>
      <c r="Q3335" t="str">
        <f t="shared" si="461"/>
        <v/>
      </c>
      <c r="S3335" t="str">
        <f>IF(A3335=1,MAX($S$2:$S3334)+1,IF(OR($I3335&lt;&gt;"",A3335="x"),$S3334,""))</f>
        <v/>
      </c>
      <c r="T3335" t="str">
        <f>IF(D3335=1,MAX($T$2:$T3334)+1,IF(S3335=S3334,$T3334,IF(D3335="x",T3334,IF(D3334="x","",""))))</f>
        <v/>
      </c>
      <c r="U3335" t="str">
        <f>IF(B3335=1,MAX($U$2:$U3334)+1,IF(AND($T3335&lt;&gt;"",$T3335=$T3334),$U3334,IF(B3335="x",U3334,"")))</f>
        <v/>
      </c>
      <c r="V3335" t="str">
        <f>IF(C3335=1,MAX($V$2:$V3334)+1,IF(AND($T3335&lt;&gt;"",$T3335=$T3334),$U3334,IF(C3335="x",V3334,"")))</f>
        <v/>
      </c>
      <c r="X3335" cm="1">
        <f t="array" ref="X3335">IF($I3335&lt;&gt;"",$I3335,INDEX($I$1:$I3335,ROW()-COUNTIFS($T$1:$T3335,"="&amp;$T3335,$S$1:$S3335,"&lt;"&amp;$S3335)))</f>
        <v>0</v>
      </c>
      <c r="Z3335" s="6">
        <f t="shared" si="462"/>
        <v>1</v>
      </c>
      <c r="AA3335" t="e">
        <f t="shared" si="463"/>
        <v>#VALUE!</v>
      </c>
      <c r="AB3335" t="str">
        <f t="shared" si="464"/>
        <v/>
      </c>
      <c r="AC3335" t="e">
        <f t="shared" si="465"/>
        <v>#VALUE!</v>
      </c>
    </row>
    <row r="3336" spans="1:29" x14ac:dyDescent="0.2">
      <c r="A3336" t="str">
        <f t="shared" si="458"/>
        <v/>
      </c>
      <c r="E3336" s="4"/>
      <c r="F3336" s="46"/>
      <c r="G3336" s="4"/>
      <c r="H3336" s="48"/>
      <c r="J3336" s="26" t="str">
        <f t="shared" si="459"/>
        <v/>
      </c>
      <c r="N3336" t="str">
        <f t="shared" si="460"/>
        <v/>
      </c>
      <c r="Q3336" t="str">
        <f t="shared" si="461"/>
        <v/>
      </c>
      <c r="S3336" t="str">
        <f>IF(A3336=1,MAX($S$2:$S3335)+1,IF(OR($I3336&lt;&gt;"",A3336="x"),$S3335,""))</f>
        <v/>
      </c>
      <c r="T3336" t="str">
        <f>IF(D3336=1,MAX($T$2:$T3335)+1,IF(S3336=S3335,$T3335,IF(D3336="x",T3335,IF(D3335="x","",""))))</f>
        <v/>
      </c>
      <c r="U3336" t="str">
        <f>IF(B3336=1,MAX($U$2:$U3335)+1,IF(AND($T3336&lt;&gt;"",$T3336=$T3335),$U3335,IF(B3336="x",U3335,"")))</f>
        <v/>
      </c>
      <c r="V3336" t="str">
        <f>IF(C3336=1,MAX($V$2:$V3335)+1,IF(AND($T3336&lt;&gt;"",$T3336=$T3335),$U3335,IF(C3336="x",V3335,"")))</f>
        <v/>
      </c>
      <c r="X3336" cm="1">
        <f t="array" ref="X3336">IF($I3336&lt;&gt;"",$I3336,INDEX($I$1:$I3336,ROW()-COUNTIFS($T$1:$T3336,"="&amp;$T3336,$S$1:$S3336,"&lt;"&amp;$S3336)))</f>
        <v>0</v>
      </c>
      <c r="Z3336" s="6">
        <f t="shared" si="462"/>
        <v>1</v>
      </c>
      <c r="AA3336" t="e">
        <f t="shared" si="463"/>
        <v>#VALUE!</v>
      </c>
      <c r="AB3336" t="str">
        <f t="shared" si="464"/>
        <v/>
      </c>
      <c r="AC3336" t="e">
        <f t="shared" si="465"/>
        <v>#VALUE!</v>
      </c>
    </row>
    <row r="3337" spans="1:29" x14ac:dyDescent="0.2">
      <c r="A3337" t="str">
        <f t="shared" si="458"/>
        <v/>
      </c>
      <c r="E3337" s="4"/>
      <c r="F3337" s="46"/>
      <c r="G3337" s="4"/>
      <c r="H3337" s="48"/>
      <c r="J3337" s="26" t="str">
        <f t="shared" si="459"/>
        <v/>
      </c>
      <c r="N3337" t="str">
        <f t="shared" si="460"/>
        <v/>
      </c>
      <c r="Q3337" t="str">
        <f t="shared" si="461"/>
        <v/>
      </c>
      <c r="S3337" t="str">
        <f>IF(A3337=1,MAX($S$2:$S3336)+1,IF(OR($I3337&lt;&gt;"",A3337="x"),$S3336,""))</f>
        <v/>
      </c>
      <c r="T3337" t="str">
        <f>IF(D3337=1,MAX($T$2:$T3336)+1,IF(S3337=S3336,$T3336,IF(D3337="x",T3336,IF(D3336="x","",""))))</f>
        <v/>
      </c>
      <c r="U3337" t="str">
        <f>IF(B3337=1,MAX($U$2:$U3336)+1,IF(AND($T3337&lt;&gt;"",$T3337=$T3336),$U3336,IF(B3337="x",U3336,"")))</f>
        <v/>
      </c>
      <c r="V3337" t="str">
        <f>IF(C3337=1,MAX($V$2:$V3336)+1,IF(AND($T3337&lt;&gt;"",$T3337=$T3336),$U3336,IF(C3337="x",V3336,"")))</f>
        <v/>
      </c>
      <c r="X3337" cm="1">
        <f t="array" ref="X3337">IF($I3337&lt;&gt;"",$I3337,INDEX($I$1:$I3337,ROW()-COUNTIFS($T$1:$T3337,"="&amp;$T3337,$S$1:$S3337,"&lt;"&amp;$S3337)))</f>
        <v>0</v>
      </c>
      <c r="Z3337" s="6">
        <f t="shared" si="462"/>
        <v>1</v>
      </c>
      <c r="AA3337" t="e">
        <f t="shared" si="463"/>
        <v>#VALUE!</v>
      </c>
      <c r="AB3337" t="str">
        <f t="shared" si="464"/>
        <v/>
      </c>
      <c r="AC3337" t="e">
        <f t="shared" si="465"/>
        <v>#VALUE!</v>
      </c>
    </row>
    <row r="3338" spans="1:29" x14ac:dyDescent="0.2">
      <c r="A3338" t="str">
        <f t="shared" si="458"/>
        <v/>
      </c>
      <c r="E3338" s="4"/>
      <c r="F3338" s="46"/>
      <c r="G3338" s="4"/>
      <c r="H3338" s="48"/>
      <c r="J3338" s="26" t="str">
        <f t="shared" si="459"/>
        <v/>
      </c>
      <c r="N3338" t="str">
        <f t="shared" si="460"/>
        <v/>
      </c>
      <c r="Q3338" t="str">
        <f t="shared" si="461"/>
        <v/>
      </c>
      <c r="S3338" t="str">
        <f>IF(A3338=1,MAX($S$2:$S3337)+1,IF(OR($I3338&lt;&gt;"",A3338="x"),$S3337,""))</f>
        <v/>
      </c>
      <c r="T3338" t="str">
        <f>IF(D3338=1,MAX($T$2:$T3337)+1,IF(S3338=S3337,$T3337,IF(D3338="x",T3337,IF(D3337="x","",""))))</f>
        <v/>
      </c>
      <c r="U3338" t="str">
        <f>IF(B3338=1,MAX($U$2:$U3337)+1,IF(AND($T3338&lt;&gt;"",$T3338=$T3337),$U3337,IF(B3338="x",U3337,"")))</f>
        <v/>
      </c>
      <c r="V3338" t="str">
        <f>IF(C3338=1,MAX($V$2:$V3337)+1,IF(AND($T3338&lt;&gt;"",$T3338=$T3337),$U3337,IF(C3338="x",V3337,"")))</f>
        <v/>
      </c>
      <c r="X3338" cm="1">
        <f t="array" ref="X3338">IF($I3338&lt;&gt;"",$I3338,INDEX($I$1:$I3338,ROW()-COUNTIFS($T$1:$T3338,"="&amp;$T3338,$S$1:$S3338,"&lt;"&amp;$S3338)))</f>
        <v>0</v>
      </c>
      <c r="Z3338" s="6">
        <f t="shared" si="462"/>
        <v>1</v>
      </c>
      <c r="AA3338" t="e">
        <f t="shared" si="463"/>
        <v>#VALUE!</v>
      </c>
      <c r="AB3338" t="str">
        <f t="shared" si="464"/>
        <v/>
      </c>
      <c r="AC3338" t="e">
        <f t="shared" si="465"/>
        <v>#VALUE!</v>
      </c>
    </row>
    <row r="3339" spans="1:29" x14ac:dyDescent="0.2">
      <c r="A3339" t="str">
        <f t="shared" si="458"/>
        <v/>
      </c>
      <c r="E3339" s="4"/>
      <c r="F3339" s="46"/>
      <c r="G3339" s="4"/>
      <c r="H3339" s="48"/>
      <c r="J3339" s="26" t="str">
        <f t="shared" si="459"/>
        <v/>
      </c>
      <c r="N3339" t="str">
        <f t="shared" si="460"/>
        <v/>
      </c>
      <c r="Q3339" t="str">
        <f t="shared" si="461"/>
        <v/>
      </c>
      <c r="S3339" t="str">
        <f>IF(A3339=1,MAX($S$2:$S3338)+1,IF(OR($I3339&lt;&gt;"",A3339="x"),$S3338,""))</f>
        <v/>
      </c>
      <c r="T3339" t="str">
        <f>IF(D3339=1,MAX($T$2:$T3338)+1,IF(S3339=S3338,$T3338,IF(D3339="x",T3338,IF(D3338="x","",""))))</f>
        <v/>
      </c>
      <c r="U3339" t="str">
        <f>IF(B3339=1,MAX($U$2:$U3338)+1,IF(AND($T3339&lt;&gt;"",$T3339=$T3338),$U3338,IF(B3339="x",U3338,"")))</f>
        <v/>
      </c>
      <c r="V3339" t="str">
        <f>IF(C3339=1,MAX($V$2:$V3338)+1,IF(AND($T3339&lt;&gt;"",$T3339=$T3338),$U3338,IF(C3339="x",V3338,"")))</f>
        <v/>
      </c>
      <c r="X3339" cm="1">
        <f t="array" ref="X3339">IF($I3339&lt;&gt;"",$I3339,INDEX($I$1:$I3339,ROW()-COUNTIFS($T$1:$T3339,"="&amp;$T3339,$S$1:$S3339,"&lt;"&amp;$S3339)))</f>
        <v>0</v>
      </c>
      <c r="Z3339" s="6">
        <f t="shared" si="462"/>
        <v>1</v>
      </c>
      <c r="AA3339" t="e">
        <f t="shared" si="463"/>
        <v>#VALUE!</v>
      </c>
      <c r="AB3339" t="str">
        <f t="shared" si="464"/>
        <v/>
      </c>
      <c r="AC3339" t="e">
        <f t="shared" si="465"/>
        <v>#VALUE!</v>
      </c>
    </row>
    <row r="3340" spans="1:29" x14ac:dyDescent="0.2">
      <c r="A3340" t="str">
        <f t="shared" si="458"/>
        <v/>
      </c>
      <c r="E3340" s="4"/>
      <c r="F3340" s="46"/>
      <c r="G3340" s="4"/>
      <c r="H3340" s="48"/>
      <c r="J3340" s="26" t="str">
        <f t="shared" si="459"/>
        <v/>
      </c>
      <c r="N3340" t="str">
        <f t="shared" si="460"/>
        <v/>
      </c>
      <c r="Q3340" t="str">
        <f t="shared" si="461"/>
        <v/>
      </c>
      <c r="S3340" t="str">
        <f>IF(A3340=1,MAX($S$2:$S3339)+1,IF(OR($I3340&lt;&gt;"",A3340="x"),$S3339,""))</f>
        <v/>
      </c>
      <c r="T3340" t="str">
        <f>IF(D3340=1,MAX($T$2:$T3339)+1,IF(S3340=S3339,$T3339,IF(D3340="x",T3339,IF(D3339="x","",""))))</f>
        <v/>
      </c>
      <c r="U3340" t="str">
        <f>IF(B3340=1,MAX($U$2:$U3339)+1,IF(AND($T3340&lt;&gt;"",$T3340=$T3339),$U3339,IF(B3340="x",U3339,"")))</f>
        <v/>
      </c>
      <c r="V3340" t="str">
        <f>IF(C3340=1,MAX($V$2:$V3339)+1,IF(AND($T3340&lt;&gt;"",$T3340=$T3339),$U3339,IF(C3340="x",V3339,"")))</f>
        <v/>
      </c>
      <c r="X3340" cm="1">
        <f t="array" ref="X3340">IF($I3340&lt;&gt;"",$I3340,INDEX($I$1:$I3340,ROW()-COUNTIFS($T$1:$T3340,"="&amp;$T3340,$S$1:$S3340,"&lt;"&amp;$S3340)))</f>
        <v>0</v>
      </c>
      <c r="Z3340" s="6">
        <f t="shared" si="462"/>
        <v>1</v>
      </c>
      <c r="AA3340" t="e">
        <f t="shared" si="463"/>
        <v>#VALUE!</v>
      </c>
      <c r="AB3340" t="str">
        <f t="shared" si="464"/>
        <v/>
      </c>
      <c r="AC3340" t="e">
        <f t="shared" si="465"/>
        <v>#VALUE!</v>
      </c>
    </row>
    <row r="3341" spans="1:29" x14ac:dyDescent="0.2">
      <c r="A3341" t="str">
        <f t="shared" si="458"/>
        <v/>
      </c>
      <c r="E3341" s="4"/>
      <c r="F3341" s="46"/>
      <c r="G3341" s="4"/>
      <c r="H3341" s="48"/>
      <c r="J3341" s="26" t="str">
        <f t="shared" si="459"/>
        <v/>
      </c>
      <c r="N3341" t="str">
        <f t="shared" si="460"/>
        <v/>
      </c>
      <c r="Q3341" t="str">
        <f t="shared" si="461"/>
        <v/>
      </c>
      <c r="S3341" t="str">
        <f>IF(A3341=1,MAX($S$2:$S3340)+1,IF(OR($I3341&lt;&gt;"",A3341="x"),$S3340,""))</f>
        <v/>
      </c>
      <c r="T3341" t="str">
        <f>IF(D3341=1,MAX($T$2:$T3340)+1,IF(S3341=S3340,$T3340,IF(D3341="x",T3340,IF(D3340="x","",""))))</f>
        <v/>
      </c>
      <c r="U3341" t="str">
        <f>IF(B3341=1,MAX($U$2:$U3340)+1,IF(AND($T3341&lt;&gt;"",$T3341=$T3340),$U3340,IF(B3341="x",U3340,"")))</f>
        <v/>
      </c>
      <c r="V3341" t="str">
        <f>IF(C3341=1,MAX($V$2:$V3340)+1,IF(AND($T3341&lt;&gt;"",$T3341=$T3340),$U3340,IF(C3341="x",V3340,"")))</f>
        <v/>
      </c>
      <c r="X3341" cm="1">
        <f t="array" ref="X3341">IF($I3341&lt;&gt;"",$I3341,INDEX($I$1:$I3341,ROW()-COUNTIFS($T$1:$T3341,"="&amp;$T3341,$S$1:$S3341,"&lt;"&amp;$S3341)))</f>
        <v>0</v>
      </c>
      <c r="Z3341" s="6">
        <f t="shared" si="462"/>
        <v>1</v>
      </c>
      <c r="AA3341" t="e">
        <f t="shared" si="463"/>
        <v>#VALUE!</v>
      </c>
      <c r="AB3341" t="str">
        <f t="shared" si="464"/>
        <v/>
      </c>
      <c r="AC3341" t="e">
        <f t="shared" si="465"/>
        <v>#VALUE!</v>
      </c>
    </row>
    <row r="3342" spans="1:29" x14ac:dyDescent="0.2">
      <c r="A3342" t="str">
        <f t="shared" si="458"/>
        <v/>
      </c>
      <c r="E3342" s="4"/>
      <c r="F3342" s="46"/>
      <c r="G3342" s="4"/>
      <c r="H3342" s="48"/>
      <c r="J3342" s="26" t="str">
        <f t="shared" si="459"/>
        <v/>
      </c>
      <c r="N3342" t="str">
        <f t="shared" si="460"/>
        <v/>
      </c>
      <c r="Q3342" t="str">
        <f t="shared" si="461"/>
        <v/>
      </c>
      <c r="S3342" t="str">
        <f>IF(A3342=1,MAX($S$2:$S3341)+1,IF(OR($I3342&lt;&gt;"",A3342="x"),$S3341,""))</f>
        <v/>
      </c>
      <c r="T3342" t="str">
        <f>IF(D3342=1,MAX($T$2:$T3341)+1,IF(S3342=S3341,$T3341,IF(D3342="x",T3341,IF(D3341="x","",""))))</f>
        <v/>
      </c>
      <c r="U3342" t="str">
        <f>IF(B3342=1,MAX($U$2:$U3341)+1,IF(AND($T3342&lt;&gt;"",$T3342=$T3341),$U3341,IF(B3342="x",U3341,"")))</f>
        <v/>
      </c>
      <c r="V3342" t="str">
        <f>IF(C3342=1,MAX($V$2:$V3341)+1,IF(AND($T3342&lt;&gt;"",$T3342=$T3341),$U3341,IF(C3342="x",V3341,"")))</f>
        <v/>
      </c>
      <c r="X3342" cm="1">
        <f t="array" ref="X3342">IF($I3342&lt;&gt;"",$I3342,INDEX($I$1:$I3342,ROW()-COUNTIFS($T$1:$T3342,"="&amp;$T3342,$S$1:$S3342,"&lt;"&amp;$S3342)))</f>
        <v>0</v>
      </c>
      <c r="Z3342" s="6">
        <f t="shared" si="462"/>
        <v>1</v>
      </c>
      <c r="AA3342" t="e">
        <f t="shared" si="463"/>
        <v>#VALUE!</v>
      </c>
      <c r="AB3342" t="str">
        <f t="shared" si="464"/>
        <v/>
      </c>
      <c r="AC3342" t="e">
        <f t="shared" si="465"/>
        <v>#VALUE!</v>
      </c>
    </row>
    <row r="3343" spans="1:29" x14ac:dyDescent="0.2">
      <c r="A3343" t="str">
        <f t="shared" si="458"/>
        <v/>
      </c>
      <c r="E3343" s="4"/>
      <c r="F3343" s="46"/>
      <c r="G3343" s="4"/>
      <c r="H3343" s="48"/>
      <c r="J3343" s="26" t="str">
        <f t="shared" si="459"/>
        <v/>
      </c>
      <c r="N3343" t="str">
        <f t="shared" si="460"/>
        <v/>
      </c>
      <c r="Q3343" t="str">
        <f t="shared" si="461"/>
        <v/>
      </c>
      <c r="S3343" t="str">
        <f>IF(A3343=1,MAX($S$2:$S3342)+1,IF(OR($I3343&lt;&gt;"",A3343="x"),$S3342,""))</f>
        <v/>
      </c>
      <c r="T3343" t="str">
        <f>IF(D3343=1,MAX($T$2:$T3342)+1,IF(S3343=S3342,$T3342,IF(D3343="x",T3342,IF(D3342="x","",""))))</f>
        <v/>
      </c>
      <c r="U3343" t="str">
        <f>IF(B3343=1,MAX($U$2:$U3342)+1,IF(AND($T3343&lt;&gt;"",$T3343=$T3342),$U3342,IF(B3343="x",U3342,"")))</f>
        <v/>
      </c>
      <c r="V3343" t="str">
        <f>IF(C3343=1,MAX($V$2:$V3342)+1,IF(AND($T3343&lt;&gt;"",$T3343=$T3342),$U3342,IF(C3343="x",V3342,"")))</f>
        <v/>
      </c>
      <c r="X3343" cm="1">
        <f t="array" ref="X3343">IF($I3343&lt;&gt;"",$I3343,INDEX($I$1:$I3343,ROW()-COUNTIFS($T$1:$T3343,"="&amp;$T3343,$S$1:$S3343,"&lt;"&amp;$S3343)))</f>
        <v>0</v>
      </c>
      <c r="Z3343" s="6">
        <f t="shared" si="462"/>
        <v>1</v>
      </c>
      <c r="AA3343" t="e">
        <f t="shared" si="463"/>
        <v>#VALUE!</v>
      </c>
      <c r="AB3343" t="str">
        <f t="shared" si="464"/>
        <v/>
      </c>
      <c r="AC3343" t="e">
        <f t="shared" si="465"/>
        <v>#VALUE!</v>
      </c>
    </row>
    <row r="3344" spans="1:29" x14ac:dyDescent="0.2">
      <c r="A3344" t="str">
        <f t="shared" si="458"/>
        <v/>
      </c>
      <c r="E3344" s="4"/>
      <c r="F3344" s="46"/>
      <c r="G3344" s="4"/>
      <c r="H3344" s="48"/>
      <c r="J3344" s="26" t="str">
        <f t="shared" si="459"/>
        <v/>
      </c>
      <c r="N3344" t="str">
        <f t="shared" si="460"/>
        <v/>
      </c>
      <c r="Q3344" t="str">
        <f t="shared" si="461"/>
        <v/>
      </c>
      <c r="S3344" t="str">
        <f>IF(A3344=1,MAX($S$2:$S3343)+1,IF(OR($I3344&lt;&gt;"",A3344="x"),$S3343,""))</f>
        <v/>
      </c>
      <c r="T3344" t="str">
        <f>IF(D3344=1,MAX($T$2:$T3343)+1,IF(S3344=S3343,$T3343,IF(D3344="x",T3343,IF(D3343="x","",""))))</f>
        <v/>
      </c>
      <c r="U3344" t="str">
        <f>IF(B3344=1,MAX($U$2:$U3343)+1,IF(AND($T3344&lt;&gt;"",$T3344=$T3343),$U3343,IF(B3344="x",U3343,"")))</f>
        <v/>
      </c>
      <c r="V3344" t="str">
        <f>IF(C3344=1,MAX($V$2:$V3343)+1,IF(AND($T3344&lt;&gt;"",$T3344=$T3343),$U3343,IF(C3344="x",V3343,"")))</f>
        <v/>
      </c>
      <c r="X3344" cm="1">
        <f t="array" ref="X3344">IF($I3344&lt;&gt;"",$I3344,INDEX($I$1:$I3344,ROW()-COUNTIFS($T$1:$T3344,"="&amp;$T3344,$S$1:$S3344,"&lt;"&amp;$S3344)))</f>
        <v>0</v>
      </c>
      <c r="Z3344" s="6">
        <f t="shared" si="462"/>
        <v>1</v>
      </c>
      <c r="AA3344" t="e">
        <f t="shared" si="463"/>
        <v>#VALUE!</v>
      </c>
      <c r="AB3344" t="str">
        <f t="shared" si="464"/>
        <v/>
      </c>
      <c r="AC3344" t="e">
        <f t="shared" si="465"/>
        <v>#VALUE!</v>
      </c>
    </row>
    <row r="3345" spans="1:29" x14ac:dyDescent="0.2">
      <c r="A3345" t="str">
        <f t="shared" si="458"/>
        <v/>
      </c>
      <c r="E3345" s="4"/>
      <c r="F3345" s="46"/>
      <c r="G3345" s="4"/>
      <c r="H3345" s="48"/>
      <c r="J3345" s="26" t="str">
        <f t="shared" si="459"/>
        <v/>
      </c>
      <c r="N3345" t="str">
        <f t="shared" si="460"/>
        <v/>
      </c>
      <c r="Q3345" t="str">
        <f t="shared" si="461"/>
        <v/>
      </c>
      <c r="S3345" t="str">
        <f>IF(A3345=1,MAX($S$2:$S3344)+1,IF(OR($I3345&lt;&gt;"",A3345="x"),$S3344,""))</f>
        <v/>
      </c>
      <c r="T3345" t="str">
        <f>IF(D3345=1,MAX($T$2:$T3344)+1,IF(S3345=S3344,$T3344,IF(D3345="x",T3344,IF(D3344="x","",""))))</f>
        <v/>
      </c>
      <c r="U3345" t="str">
        <f>IF(B3345=1,MAX($U$2:$U3344)+1,IF(AND($T3345&lt;&gt;"",$T3345=$T3344),$U3344,IF(B3345="x",U3344,"")))</f>
        <v/>
      </c>
      <c r="V3345" t="str">
        <f>IF(C3345=1,MAX($V$2:$V3344)+1,IF(AND($T3345&lt;&gt;"",$T3345=$T3344),$U3344,IF(C3345="x",V3344,"")))</f>
        <v/>
      </c>
      <c r="X3345" cm="1">
        <f t="array" ref="X3345">IF($I3345&lt;&gt;"",$I3345,INDEX($I$1:$I3345,ROW()-COUNTIFS($T$1:$T3345,"="&amp;$T3345,$S$1:$S3345,"&lt;"&amp;$S3345)))</f>
        <v>0</v>
      </c>
      <c r="Z3345" s="6">
        <f t="shared" si="462"/>
        <v>1</v>
      </c>
      <c r="AA3345" t="e">
        <f t="shared" si="463"/>
        <v>#VALUE!</v>
      </c>
      <c r="AB3345" t="str">
        <f t="shared" si="464"/>
        <v/>
      </c>
      <c r="AC3345" t="e">
        <f t="shared" si="465"/>
        <v>#VALUE!</v>
      </c>
    </row>
    <row r="3346" spans="1:29" x14ac:dyDescent="0.2">
      <c r="A3346" t="str">
        <f t="shared" si="458"/>
        <v/>
      </c>
      <c r="E3346" s="4"/>
      <c r="F3346" s="46"/>
      <c r="G3346" s="4"/>
      <c r="H3346" s="48"/>
      <c r="J3346" s="26" t="str">
        <f t="shared" si="459"/>
        <v/>
      </c>
      <c r="N3346" t="str">
        <f t="shared" si="460"/>
        <v/>
      </c>
      <c r="Q3346" t="str">
        <f t="shared" si="461"/>
        <v/>
      </c>
      <c r="S3346" t="str">
        <f>IF(A3346=1,MAX($S$2:$S3345)+1,IF(OR($I3346&lt;&gt;"",A3346="x"),$S3345,""))</f>
        <v/>
      </c>
      <c r="T3346" t="str">
        <f>IF(D3346=1,MAX($T$2:$T3345)+1,IF(S3346=S3345,$T3345,IF(D3346="x",T3345,IF(D3345="x","",""))))</f>
        <v/>
      </c>
      <c r="U3346" t="str">
        <f>IF(B3346=1,MAX($U$2:$U3345)+1,IF(AND($T3346&lt;&gt;"",$T3346=$T3345),$U3345,IF(B3346="x",U3345,"")))</f>
        <v/>
      </c>
      <c r="V3346" t="str">
        <f>IF(C3346=1,MAX($V$2:$V3345)+1,IF(AND($T3346&lt;&gt;"",$T3346=$T3345),$U3345,IF(C3346="x",V3345,"")))</f>
        <v/>
      </c>
      <c r="X3346" cm="1">
        <f t="array" ref="X3346">IF($I3346&lt;&gt;"",$I3346,INDEX($I$1:$I3346,ROW()-COUNTIFS($T$1:$T3346,"="&amp;$T3346,$S$1:$S3346,"&lt;"&amp;$S3346)))</f>
        <v>0</v>
      </c>
      <c r="Z3346" s="6">
        <f t="shared" si="462"/>
        <v>1</v>
      </c>
      <c r="AA3346" t="e">
        <f t="shared" si="463"/>
        <v>#VALUE!</v>
      </c>
      <c r="AB3346" t="str">
        <f t="shared" si="464"/>
        <v/>
      </c>
      <c r="AC3346" t="e">
        <f t="shared" si="465"/>
        <v>#VALUE!</v>
      </c>
    </row>
    <row r="3347" spans="1:29" x14ac:dyDescent="0.2">
      <c r="A3347" t="str">
        <f t="shared" ref="A3347:A3410" si="466">IF(K3347&lt;&gt;"",1,IF(D3347="x","x",""))</f>
        <v/>
      </c>
      <c r="E3347" s="4"/>
      <c r="F3347" s="46"/>
      <c r="G3347" s="4"/>
      <c r="H3347" s="48"/>
      <c r="J3347" s="26" t="str">
        <f t="shared" ref="J3347:J3410" si="467">IF(OR(K3347="Goal",K3347="Shot",L3347="Zone_Entry",M3347="Stoppage-Goal",M3346="Stoppage-Goal"),"o",IF(OR(K3347="Save",K3347="Rebound",L3347="Zone_Exit",M3347="Stoppage-GoalieStoppage",M3346="Stoppage-GoalieStoppage"),"d",IF(OR(L3347="Faceoff_AfterGoal",L3347="Faceoff_PeriodStart",698="Faceoff_GameStart",M3346="Stoppage-Goal"),"n","")))</f>
        <v/>
      </c>
      <c r="N3347" t="str">
        <f t="shared" ref="N3347:N3410" si="468">IF(K3347="","",IF(K3347="Goal","s",IF(AND(K3347="Zone_Entry_Exit",OR(ISNUMBER(SEARCH("fail",L3347)),ISNUMBER(SEARCH("FromExitClear",M3347)),ISNUMBER(SEARCH("miss",M3347)))),"u",IF(AND(K3347="Zone_Entry_Exit",OR(NOT(ISNUMBER(SEARCH("fail",L3347))),NOT(ISNUMBER(SEARCH("FromExitClear",M3347))),NOT(ISNUMBER(SEARCH("miss",M3347))))),"s",IF(AND(OR(K3347="Shot",K3347="Pass"),OR(ISNUMBER(SEARCH("complete",L3347)),ISNUMBER(SEARCH("goal",L3347)),ISNUMBER(SEARCH("OnNet",L3347)))),"s",IF(L3347="Turnover_Giveaway","u",IF(AND(OR(K3347="Shot",K3347="Pass"),OR(ISNUMBER(SEARCH("fail",L3347)),NOT(ISNUMBER(SEARCH("complete",L3347))),NOT(ISNUMBER(SEARCH("OnNet",L3347))))),"u","")))))))</f>
        <v/>
      </c>
      <c r="Q3347" t="str">
        <f t="shared" ref="Q3347:Q3410" si="469">IF(O3347="","",IF(AND(N3347&lt;&gt;"",OR(O3347&lt;&gt;"",P3347&lt;&gt;"")),N3347,IF(OR(ISNUMBER(SEARCH("attemp",O3347)),ISNUMBER(SEARCH("beat",O3347)),ISNUMBER(SEARCH("mis",O3347)),ISNUMBER(SEARCH("fail",O3347)),ISNUMBER(SEARCH("loss",O3347)),ISNUMBER(SEARCH("lost",O3347)),ISNUMBER(SEARCH("attemp",P3347)),ISNUMBER(SEARCH("mis",P3347)),ISNUMBER(SEARCH("fail",P3347)),ISNUMBER(SEARCH("loss",P3347)),ISNUMBER(SEARCH("beat",P3347)),ISNUMBER(SEARCH("lost",P3347))),"u","")))</f>
        <v/>
      </c>
      <c r="S3347" t="str">
        <f>IF(A3347=1,MAX($S$2:$S3346)+1,IF(OR($I3347&lt;&gt;"",A3347="x"),$S3346,""))</f>
        <v/>
      </c>
      <c r="T3347" t="str">
        <f>IF(D3347=1,MAX($T$2:$T3346)+1,IF(S3347=S3346,$T3346,IF(D3347="x",T3346,IF(D3346="x","",""))))</f>
        <v/>
      </c>
      <c r="U3347" t="str">
        <f>IF(B3347=1,MAX($U$2:$U3346)+1,IF(AND($T3347&lt;&gt;"",$T3347=$T3346),$U3346,IF(B3347="x",U3346,"")))</f>
        <v/>
      </c>
      <c r="V3347" t="str">
        <f>IF(C3347=1,MAX($V$2:$V3346)+1,IF(AND($T3347&lt;&gt;"",$T3347=$T3346),$U3346,IF(C3347="x",V3346,"")))</f>
        <v/>
      </c>
      <c r="X3347" cm="1">
        <f t="array" ref="X3347">IF($I3347&lt;&gt;"",$I3347,INDEX($I$1:$I3347,ROW()-COUNTIFS($T$1:$T3347,"="&amp;$T3347,$S$1:$S3347,"&lt;"&amp;$S3347)))</f>
        <v>0</v>
      </c>
      <c r="Z3347" s="6">
        <f t="shared" si="462"/>
        <v>1</v>
      </c>
      <c r="AA3347" t="e">
        <f t="shared" si="463"/>
        <v>#VALUE!</v>
      </c>
      <c r="AB3347" t="str">
        <f t="shared" si="464"/>
        <v/>
      </c>
      <c r="AC3347" t="e">
        <f t="shared" si="465"/>
        <v>#VALUE!</v>
      </c>
    </row>
    <row r="3348" spans="1:29" x14ac:dyDescent="0.2">
      <c r="A3348" t="str">
        <f t="shared" si="466"/>
        <v/>
      </c>
      <c r="E3348" s="4"/>
      <c r="F3348" s="46"/>
      <c r="G3348" s="4"/>
      <c r="H3348" s="48"/>
      <c r="J3348" s="26" t="str">
        <f t="shared" si="467"/>
        <v/>
      </c>
      <c r="N3348" t="str">
        <f t="shared" si="468"/>
        <v/>
      </c>
      <c r="Q3348" t="str">
        <f t="shared" si="469"/>
        <v/>
      </c>
      <c r="S3348" t="str">
        <f>IF(A3348=1,MAX($S$2:$S3347)+1,IF(OR($I3348&lt;&gt;"",A3348="x"),$S3347,""))</f>
        <v/>
      </c>
      <c r="T3348" t="str">
        <f>IF(D3348=1,MAX($T$2:$T3347)+1,IF(S3348=S3347,$T3347,IF(D3348="x",T3347,IF(D3347="x","",""))))</f>
        <v/>
      </c>
      <c r="U3348" t="str">
        <f>IF(B3348=1,MAX($U$2:$U3347)+1,IF(AND($T3348&lt;&gt;"",$T3348=$T3347),$U3347,IF(B3348="x",U3347,"")))</f>
        <v/>
      </c>
      <c r="V3348" t="str">
        <f>IF(C3348=1,MAX($V$2:$V3347)+1,IF(AND($T3348&lt;&gt;"",$T3348=$T3347),$U3347,IF(C3348="x",V3347,"")))</f>
        <v/>
      </c>
      <c r="X3348" cm="1">
        <f t="array" ref="X3348">IF($I3348&lt;&gt;"",$I3348,INDEX($I$1:$I3348,ROW()-COUNTIFS($T$1:$T3348,"="&amp;$T3348,$S$1:$S3348,"&lt;"&amp;$S3348)))</f>
        <v>0</v>
      </c>
      <c r="Z3348" s="6">
        <f t="shared" si="462"/>
        <v>1</v>
      </c>
      <c r="AA3348" t="e">
        <f t="shared" si="463"/>
        <v>#VALUE!</v>
      </c>
      <c r="AB3348" t="str">
        <f t="shared" si="464"/>
        <v/>
      </c>
      <c r="AC3348" t="e">
        <f t="shared" si="465"/>
        <v>#VALUE!</v>
      </c>
    </row>
    <row r="3349" spans="1:29" x14ac:dyDescent="0.2">
      <c r="A3349" t="str">
        <f t="shared" si="466"/>
        <v/>
      </c>
      <c r="E3349" s="4"/>
      <c r="F3349" s="46"/>
      <c r="G3349" s="4"/>
      <c r="H3349" s="48"/>
      <c r="J3349" s="26" t="str">
        <f t="shared" si="467"/>
        <v/>
      </c>
      <c r="N3349" t="str">
        <f t="shared" si="468"/>
        <v/>
      </c>
      <c r="Q3349" t="str">
        <f t="shared" si="469"/>
        <v/>
      </c>
      <c r="S3349" t="str">
        <f>IF(A3349=1,MAX($S$2:$S3348)+1,IF(OR($I3349&lt;&gt;"",A3349="x"),$S3348,""))</f>
        <v/>
      </c>
      <c r="T3349" t="str">
        <f>IF(D3349=1,MAX($T$2:$T3348)+1,IF(S3349=S3348,$T3348,IF(D3349="x",T3348,IF(D3348="x","",""))))</f>
        <v/>
      </c>
      <c r="U3349" t="str">
        <f>IF(B3349=1,MAX($U$2:$U3348)+1,IF(AND($T3349&lt;&gt;"",$T3349=$T3348),$U3348,IF(B3349="x",U3348,"")))</f>
        <v/>
      </c>
      <c r="V3349" t="str">
        <f>IF(C3349=1,MAX($V$2:$V3348)+1,IF(AND($T3349&lt;&gt;"",$T3349=$T3348),$U3348,IF(C3349="x",V3348,"")))</f>
        <v/>
      </c>
      <c r="X3349" cm="1">
        <f t="array" ref="X3349">IF($I3349&lt;&gt;"",$I3349,INDEX($I$1:$I3349,ROW()-COUNTIFS($T$1:$T3349,"="&amp;$T3349,$S$1:$S3349,"&lt;"&amp;$S3349)))</f>
        <v>0</v>
      </c>
      <c r="Z3349" s="6">
        <f t="shared" si="462"/>
        <v>1</v>
      </c>
      <c r="AA3349" t="e">
        <f t="shared" si="463"/>
        <v>#VALUE!</v>
      </c>
      <c r="AB3349" t="str">
        <f t="shared" si="464"/>
        <v/>
      </c>
      <c r="AC3349" t="e">
        <f t="shared" si="465"/>
        <v>#VALUE!</v>
      </c>
    </row>
    <row r="3350" spans="1:29" x14ac:dyDescent="0.2">
      <c r="A3350" t="str">
        <f t="shared" si="466"/>
        <v/>
      </c>
      <c r="E3350" s="4"/>
      <c r="F3350" s="46"/>
      <c r="G3350" s="4"/>
      <c r="H3350" s="48"/>
      <c r="J3350" s="26" t="str">
        <f t="shared" si="467"/>
        <v/>
      </c>
      <c r="N3350" t="str">
        <f t="shared" si="468"/>
        <v/>
      </c>
      <c r="Q3350" t="str">
        <f t="shared" si="469"/>
        <v/>
      </c>
      <c r="S3350" t="str">
        <f>IF(A3350=1,MAX($S$2:$S3349)+1,IF(OR($I3350&lt;&gt;"",A3350="x"),$S3349,""))</f>
        <v/>
      </c>
      <c r="T3350" t="str">
        <f>IF(D3350=1,MAX($T$2:$T3349)+1,IF(S3350=S3349,$T3349,IF(D3350="x",T3349,IF(D3349="x","",""))))</f>
        <v/>
      </c>
      <c r="U3350" t="str">
        <f>IF(B3350=1,MAX($U$2:$U3349)+1,IF(AND($T3350&lt;&gt;"",$T3350=$T3349),$U3349,IF(B3350="x",U3349,"")))</f>
        <v/>
      </c>
      <c r="V3350" t="str">
        <f>IF(C3350=1,MAX($V$2:$V3349)+1,IF(AND($T3350&lt;&gt;"",$T3350=$T3349),$U3349,IF(C3350="x",V3349,"")))</f>
        <v/>
      </c>
      <c r="X3350" cm="1">
        <f t="array" ref="X3350">IF($I3350&lt;&gt;"",$I3350,INDEX($I$1:$I3350,ROW()-COUNTIFS($T$1:$T3350,"="&amp;$T3350,$S$1:$S3350,"&lt;"&amp;$S3350)))</f>
        <v>0</v>
      </c>
      <c r="Z3350" s="6">
        <f t="shared" si="462"/>
        <v>1</v>
      </c>
      <c r="AA3350" t="e">
        <f t="shared" si="463"/>
        <v>#VALUE!</v>
      </c>
      <c r="AB3350" t="str">
        <f t="shared" si="464"/>
        <v/>
      </c>
      <c r="AC3350" t="e">
        <f t="shared" si="465"/>
        <v>#VALUE!</v>
      </c>
    </row>
    <row r="3351" spans="1:29" x14ac:dyDescent="0.2">
      <c r="A3351" t="str">
        <f t="shared" si="466"/>
        <v/>
      </c>
      <c r="E3351" s="4"/>
      <c r="F3351" s="46"/>
      <c r="G3351" s="4"/>
      <c r="H3351" s="48"/>
      <c r="J3351" s="26" t="str">
        <f t="shared" si="467"/>
        <v/>
      </c>
      <c r="N3351" t="str">
        <f t="shared" si="468"/>
        <v/>
      </c>
      <c r="Q3351" t="str">
        <f t="shared" si="469"/>
        <v/>
      </c>
      <c r="S3351" t="str">
        <f>IF(A3351=1,MAX($S$2:$S3350)+1,IF(OR($I3351&lt;&gt;"",A3351="x"),$S3350,""))</f>
        <v/>
      </c>
      <c r="T3351" t="str">
        <f>IF(D3351=1,MAX($T$2:$T3350)+1,IF(S3351=S3350,$T3350,IF(D3351="x",T3350,IF(D3350="x","",""))))</f>
        <v/>
      </c>
      <c r="U3351" t="str">
        <f>IF(B3351=1,MAX($U$2:$U3350)+1,IF(AND($T3351&lt;&gt;"",$T3351=$T3350),$U3350,IF(B3351="x",U3350,"")))</f>
        <v/>
      </c>
      <c r="V3351" t="str">
        <f>IF(C3351=1,MAX($V$2:$V3350)+1,IF(AND($T3351&lt;&gt;"",$T3351=$T3350),$U3350,IF(C3351="x",V3350,"")))</f>
        <v/>
      </c>
      <c r="X3351" cm="1">
        <f t="array" ref="X3351">IF($I3351&lt;&gt;"",$I3351,INDEX($I$1:$I3351,ROW()-COUNTIFS($T$1:$T3351,"="&amp;$T3351,$S$1:$S3351,"&lt;"&amp;$S3351)))</f>
        <v>0</v>
      </c>
      <c r="Z3351" s="6">
        <f t="shared" si="462"/>
        <v>1</v>
      </c>
      <c r="AA3351" t="e">
        <f t="shared" si="463"/>
        <v>#VALUE!</v>
      </c>
      <c r="AB3351" t="str">
        <f t="shared" si="464"/>
        <v/>
      </c>
      <c r="AC3351" t="e">
        <f t="shared" si="465"/>
        <v>#VALUE!</v>
      </c>
    </row>
    <row r="3352" spans="1:29" x14ac:dyDescent="0.2">
      <c r="A3352" t="str">
        <f t="shared" si="466"/>
        <v/>
      </c>
      <c r="E3352" s="4"/>
      <c r="F3352" s="46"/>
      <c r="G3352" s="4"/>
      <c r="H3352" s="48"/>
      <c r="J3352" s="26" t="str">
        <f t="shared" si="467"/>
        <v/>
      </c>
      <c r="N3352" t="str">
        <f t="shared" si="468"/>
        <v/>
      </c>
      <c r="Q3352" t="str">
        <f t="shared" si="469"/>
        <v/>
      </c>
      <c r="S3352" t="str">
        <f>IF(A3352=1,MAX($S$2:$S3351)+1,IF(OR($I3352&lt;&gt;"",A3352="x"),$S3351,""))</f>
        <v/>
      </c>
      <c r="T3352" t="str">
        <f>IF(D3352=1,MAX($T$2:$T3351)+1,IF(S3352=S3351,$T3351,IF(D3352="x",T3351,IF(D3351="x","",""))))</f>
        <v/>
      </c>
      <c r="U3352" t="str">
        <f>IF(B3352=1,MAX($U$2:$U3351)+1,IF(AND($T3352&lt;&gt;"",$T3352=$T3351),$U3351,IF(B3352="x",U3351,"")))</f>
        <v/>
      </c>
      <c r="V3352" t="str">
        <f>IF(C3352=1,MAX($V$2:$V3351)+1,IF(AND($T3352&lt;&gt;"",$T3352=$T3351),$U3351,IF(C3352="x",V3351,"")))</f>
        <v/>
      </c>
      <c r="X3352" cm="1">
        <f t="array" ref="X3352">IF($I3352&lt;&gt;"",$I3352,INDEX($I$1:$I3352,ROW()-COUNTIFS($T$1:$T3352,"="&amp;$T3352,$S$1:$S3352,"&lt;"&amp;$S3352)))</f>
        <v>0</v>
      </c>
      <c r="Z3352" s="6">
        <f t="shared" si="462"/>
        <v>1</v>
      </c>
      <c r="AA3352" t="e">
        <f t="shared" si="463"/>
        <v>#VALUE!</v>
      </c>
      <c r="AB3352" t="str">
        <f t="shared" si="464"/>
        <v/>
      </c>
      <c r="AC3352" t="e">
        <f t="shared" si="465"/>
        <v>#VALUE!</v>
      </c>
    </row>
    <row r="3353" spans="1:29" x14ac:dyDescent="0.2">
      <c r="A3353" t="str">
        <f t="shared" si="466"/>
        <v/>
      </c>
      <c r="E3353" s="4"/>
      <c r="F3353" s="46"/>
      <c r="G3353" s="4"/>
      <c r="H3353" s="48"/>
      <c r="J3353" s="26" t="str">
        <f t="shared" si="467"/>
        <v/>
      </c>
      <c r="N3353" t="str">
        <f t="shared" si="468"/>
        <v/>
      </c>
      <c r="Q3353" t="str">
        <f t="shared" si="469"/>
        <v/>
      </c>
      <c r="S3353" t="str">
        <f>IF(A3353=1,MAX($S$2:$S3352)+1,IF(OR($I3353&lt;&gt;"",A3353="x"),$S3352,""))</f>
        <v/>
      </c>
      <c r="T3353" t="str">
        <f>IF(D3353=1,MAX($T$2:$T3352)+1,IF(S3353=S3352,$T3352,IF(D3353="x",T3352,IF(D3352="x","",""))))</f>
        <v/>
      </c>
      <c r="U3353" t="str">
        <f>IF(B3353=1,MAX($U$2:$U3352)+1,IF(AND($T3353&lt;&gt;"",$T3353=$T3352),$U3352,IF(B3353="x",U3352,"")))</f>
        <v/>
      </c>
      <c r="V3353" t="str">
        <f>IF(C3353=1,MAX($V$2:$V3352)+1,IF(AND($T3353&lt;&gt;"",$T3353=$T3352),$U3352,IF(C3353="x",V3352,"")))</f>
        <v/>
      </c>
      <c r="X3353" cm="1">
        <f t="array" ref="X3353">IF($I3353&lt;&gt;"",$I3353,INDEX($I$1:$I3353,ROW()-COUNTIFS($T$1:$T3353,"="&amp;$T3353,$S$1:$S3353,"&lt;"&amp;$S3353)))</f>
        <v>0</v>
      </c>
      <c r="Z3353" s="6">
        <f t="shared" si="462"/>
        <v>1</v>
      </c>
      <c r="AA3353" t="e">
        <f t="shared" si="463"/>
        <v>#VALUE!</v>
      </c>
      <c r="AB3353" t="str">
        <f t="shared" si="464"/>
        <v/>
      </c>
      <c r="AC3353" t="e">
        <f t="shared" si="465"/>
        <v>#VALUE!</v>
      </c>
    </row>
    <row r="3354" spans="1:29" x14ac:dyDescent="0.2">
      <c r="A3354" t="str">
        <f t="shared" si="466"/>
        <v/>
      </c>
      <c r="E3354" s="4"/>
      <c r="F3354" s="46"/>
      <c r="G3354" s="4"/>
      <c r="H3354" s="48"/>
      <c r="J3354" s="26" t="str">
        <f t="shared" si="467"/>
        <v/>
      </c>
      <c r="N3354" t="str">
        <f t="shared" si="468"/>
        <v/>
      </c>
      <c r="Q3354" t="str">
        <f t="shared" si="469"/>
        <v/>
      </c>
      <c r="S3354" t="str">
        <f>IF(A3354=1,MAX($S$2:$S3353)+1,IF(OR($I3354&lt;&gt;"",A3354="x"),$S3353,""))</f>
        <v/>
      </c>
      <c r="T3354" t="str">
        <f>IF(D3354=1,MAX($T$2:$T3353)+1,IF(S3354=S3353,$T3353,IF(D3354="x",T3353,IF(D3353="x","",""))))</f>
        <v/>
      </c>
      <c r="U3354" t="str">
        <f>IF(B3354=1,MAX($U$2:$U3353)+1,IF(AND($T3354&lt;&gt;"",$T3354=$T3353),$U3353,IF(B3354="x",U3353,"")))</f>
        <v/>
      </c>
      <c r="V3354" t="str">
        <f>IF(C3354=1,MAX($V$2:$V3353)+1,IF(AND($T3354&lt;&gt;"",$T3354=$T3353),$U3353,IF(C3354="x",V3353,"")))</f>
        <v/>
      </c>
      <c r="X3354" cm="1">
        <f t="array" ref="X3354">IF($I3354&lt;&gt;"",$I3354,INDEX($I$1:$I3354,ROW()-COUNTIFS($T$1:$T3354,"="&amp;$T3354,$S$1:$S3354,"&lt;"&amp;$S3354)))</f>
        <v>0</v>
      </c>
      <c r="Z3354" s="6">
        <f t="shared" si="462"/>
        <v>1</v>
      </c>
      <c r="AA3354" t="e">
        <f t="shared" si="463"/>
        <v>#VALUE!</v>
      </c>
      <c r="AB3354" t="str">
        <f t="shared" si="464"/>
        <v/>
      </c>
      <c r="AC3354" t="e">
        <f t="shared" si="465"/>
        <v>#VALUE!</v>
      </c>
    </row>
    <row r="3355" spans="1:29" x14ac:dyDescent="0.2">
      <c r="A3355" t="str">
        <f t="shared" si="466"/>
        <v/>
      </c>
      <c r="E3355" s="4"/>
      <c r="F3355" s="46"/>
      <c r="G3355" s="4"/>
      <c r="H3355" s="48"/>
      <c r="J3355" s="26" t="str">
        <f t="shared" si="467"/>
        <v/>
      </c>
      <c r="N3355" t="str">
        <f t="shared" si="468"/>
        <v/>
      </c>
      <c r="Q3355" t="str">
        <f t="shared" si="469"/>
        <v/>
      </c>
      <c r="S3355" t="str">
        <f>IF(A3355=1,MAX($S$2:$S3354)+1,IF(OR($I3355&lt;&gt;"",A3355="x"),$S3354,""))</f>
        <v/>
      </c>
      <c r="T3355" t="str">
        <f>IF(D3355=1,MAX($T$2:$T3354)+1,IF(S3355=S3354,$T3354,IF(D3355="x",T3354,IF(D3354="x","",""))))</f>
        <v/>
      </c>
      <c r="U3355" t="str">
        <f>IF(B3355=1,MAX($U$2:$U3354)+1,IF(AND($T3355&lt;&gt;"",$T3355=$T3354),$U3354,IF(B3355="x",U3354,"")))</f>
        <v/>
      </c>
      <c r="V3355" t="str">
        <f>IF(C3355=1,MAX($V$2:$V3354)+1,IF(AND($T3355&lt;&gt;"",$T3355=$T3354),$U3354,IF(C3355="x",V3354,"")))</f>
        <v/>
      </c>
      <c r="X3355" cm="1">
        <f t="array" ref="X3355">IF($I3355&lt;&gt;"",$I3355,INDEX($I$1:$I3355,ROW()-COUNTIFS($T$1:$T3355,"="&amp;$T3355,$S$1:$S3355,"&lt;"&amp;$S3355)))</f>
        <v>0</v>
      </c>
      <c r="Z3355" s="6">
        <f t="shared" si="462"/>
        <v>1</v>
      </c>
      <c r="AA3355" t="e">
        <f t="shared" si="463"/>
        <v>#VALUE!</v>
      </c>
      <c r="AB3355" t="str">
        <f t="shared" si="464"/>
        <v/>
      </c>
      <c r="AC3355" t="e">
        <f t="shared" si="465"/>
        <v>#VALUE!</v>
      </c>
    </row>
    <row r="3356" spans="1:29" x14ac:dyDescent="0.2">
      <c r="A3356" t="str">
        <f t="shared" si="466"/>
        <v/>
      </c>
      <c r="E3356" s="4"/>
      <c r="F3356" s="46"/>
      <c r="G3356" s="4"/>
      <c r="H3356" s="48"/>
      <c r="J3356" s="26" t="str">
        <f t="shared" si="467"/>
        <v/>
      </c>
      <c r="N3356" t="str">
        <f t="shared" si="468"/>
        <v/>
      </c>
      <c r="Q3356" t="str">
        <f t="shared" si="469"/>
        <v/>
      </c>
      <c r="S3356" t="str">
        <f>IF(A3356=1,MAX($S$2:$S3355)+1,IF(OR($I3356&lt;&gt;"",A3356="x"),$S3355,""))</f>
        <v/>
      </c>
      <c r="T3356" t="str">
        <f>IF(D3356=1,MAX($T$2:$T3355)+1,IF(S3356=S3355,$T3355,IF(D3356="x",T3355,IF(D3355="x","",""))))</f>
        <v/>
      </c>
      <c r="U3356" t="str">
        <f>IF(B3356=1,MAX($U$2:$U3355)+1,IF(AND($T3356&lt;&gt;"",$T3356=$T3355),$U3355,IF(B3356="x",U3355,"")))</f>
        <v/>
      </c>
      <c r="V3356" t="str">
        <f>IF(C3356=1,MAX($V$2:$V3355)+1,IF(AND($T3356&lt;&gt;"",$T3356=$T3355),$U3355,IF(C3356="x",V3355,"")))</f>
        <v/>
      </c>
      <c r="X3356" cm="1">
        <f t="array" ref="X3356">IF($I3356&lt;&gt;"",$I3356,INDEX($I$1:$I3356,ROW()-COUNTIFS($T$1:$T3356,"="&amp;$T3356,$S$1:$S3356,"&lt;"&amp;$S3356)))</f>
        <v>0</v>
      </c>
      <c r="Z3356" s="6">
        <f t="shared" si="462"/>
        <v>1</v>
      </c>
      <c r="AA3356" t="e">
        <f t="shared" si="463"/>
        <v>#VALUE!</v>
      </c>
      <c r="AB3356" t="str">
        <f t="shared" si="464"/>
        <v/>
      </c>
      <c r="AC3356" t="e">
        <f t="shared" si="465"/>
        <v>#VALUE!</v>
      </c>
    </row>
    <row r="3357" spans="1:29" x14ac:dyDescent="0.2">
      <c r="A3357" t="str">
        <f t="shared" si="466"/>
        <v/>
      </c>
      <c r="E3357" s="4"/>
      <c r="F3357" s="46"/>
      <c r="G3357" s="4"/>
      <c r="H3357" s="48"/>
      <c r="J3357" s="26" t="str">
        <f t="shared" si="467"/>
        <v/>
      </c>
      <c r="N3357" t="str">
        <f t="shared" si="468"/>
        <v/>
      </c>
      <c r="Q3357" t="str">
        <f t="shared" si="469"/>
        <v/>
      </c>
      <c r="S3357" t="str">
        <f>IF(A3357=1,MAX($S$2:$S3356)+1,IF(OR($I3357&lt;&gt;"",A3357="x"),$S3356,""))</f>
        <v/>
      </c>
      <c r="T3357" t="str">
        <f>IF(D3357=1,MAX($T$2:$T3356)+1,IF(S3357=S3356,$T3356,IF(D3357="x",T3356,IF(D3356="x","",""))))</f>
        <v/>
      </c>
      <c r="U3357" t="str">
        <f>IF(B3357=1,MAX($U$2:$U3356)+1,IF(AND($T3357&lt;&gt;"",$T3357=$T3356),$U3356,IF(B3357="x",U3356,"")))</f>
        <v/>
      </c>
      <c r="V3357" t="str">
        <f>IF(C3357=1,MAX($V$2:$V3356)+1,IF(AND($T3357&lt;&gt;"",$T3357=$T3356),$U3356,IF(C3357="x",V3356,"")))</f>
        <v/>
      </c>
      <c r="X3357" cm="1">
        <f t="array" ref="X3357">IF($I3357&lt;&gt;"",$I3357,INDEX($I$1:$I3357,ROW()-COUNTIFS($T$1:$T3357,"="&amp;$T3357,$S$1:$S3357,"&lt;"&amp;$S3357)))</f>
        <v>0</v>
      </c>
      <c r="Z3357" s="6">
        <f t="shared" si="462"/>
        <v>1</v>
      </c>
      <c r="AA3357" t="e">
        <f t="shared" si="463"/>
        <v>#VALUE!</v>
      </c>
      <c r="AB3357" t="str">
        <f t="shared" si="464"/>
        <v/>
      </c>
      <c r="AC3357" t="e">
        <f t="shared" si="465"/>
        <v>#VALUE!</v>
      </c>
    </row>
    <row r="3358" spans="1:29" x14ac:dyDescent="0.2">
      <c r="A3358" t="str">
        <f t="shared" si="466"/>
        <v/>
      </c>
      <c r="E3358" s="4"/>
      <c r="F3358" s="46"/>
      <c r="G3358" s="4"/>
      <c r="H3358" s="48"/>
      <c r="J3358" s="26" t="str">
        <f t="shared" si="467"/>
        <v/>
      </c>
      <c r="N3358" t="str">
        <f t="shared" si="468"/>
        <v/>
      </c>
      <c r="Q3358" t="str">
        <f t="shared" si="469"/>
        <v/>
      </c>
      <c r="S3358" t="str">
        <f>IF(A3358=1,MAX($S$2:$S3357)+1,IF(OR($I3358&lt;&gt;"",A3358="x"),$S3357,""))</f>
        <v/>
      </c>
      <c r="T3358" t="str">
        <f>IF(D3358=1,MAX($T$2:$T3357)+1,IF(S3358=S3357,$T3357,IF(D3358="x",T3357,IF(D3357="x","",""))))</f>
        <v/>
      </c>
      <c r="U3358" t="str">
        <f>IF(B3358=1,MAX($U$2:$U3357)+1,IF(AND($T3358&lt;&gt;"",$T3358=$T3357),$U3357,IF(B3358="x",U3357,"")))</f>
        <v/>
      </c>
      <c r="V3358" t="str">
        <f>IF(C3358=1,MAX($V$2:$V3357)+1,IF(AND($T3358&lt;&gt;"",$T3358=$T3357),$U3357,IF(C3358="x",V3357,"")))</f>
        <v/>
      </c>
      <c r="X3358" cm="1">
        <f t="array" ref="X3358">IF($I3358&lt;&gt;"",$I3358,INDEX($I$1:$I3358,ROW()-COUNTIFS($T$1:$T3358,"="&amp;$T3358,$S$1:$S3358,"&lt;"&amp;$S3358)))</f>
        <v>0</v>
      </c>
      <c r="Z3358" s="6">
        <f t="shared" si="462"/>
        <v>1</v>
      </c>
      <c r="AA3358" t="e">
        <f t="shared" si="463"/>
        <v>#VALUE!</v>
      </c>
      <c r="AB3358" t="str">
        <f t="shared" si="464"/>
        <v/>
      </c>
      <c r="AC3358" t="e">
        <f t="shared" si="465"/>
        <v>#VALUE!</v>
      </c>
    </row>
    <row r="3359" spans="1:29" x14ac:dyDescent="0.2">
      <c r="A3359" t="str">
        <f t="shared" si="466"/>
        <v/>
      </c>
      <c r="E3359" s="4"/>
      <c r="F3359" s="46"/>
      <c r="G3359" s="4"/>
      <c r="H3359" s="48"/>
      <c r="J3359" s="26" t="str">
        <f t="shared" si="467"/>
        <v/>
      </c>
      <c r="N3359" t="str">
        <f t="shared" si="468"/>
        <v/>
      </c>
      <c r="Q3359" t="str">
        <f t="shared" si="469"/>
        <v/>
      </c>
      <c r="S3359" t="str">
        <f>IF(A3359=1,MAX($S$2:$S3358)+1,IF(OR($I3359&lt;&gt;"",A3359="x"),$S3358,""))</f>
        <v/>
      </c>
      <c r="T3359" t="str">
        <f>IF(D3359=1,MAX($T$2:$T3358)+1,IF(S3359=S3358,$T3358,IF(D3359="x",T3358,IF(D3358="x","",""))))</f>
        <v/>
      </c>
      <c r="U3359" t="str">
        <f>IF(B3359=1,MAX($U$2:$U3358)+1,IF(AND($T3359&lt;&gt;"",$T3359=$T3358),$U3358,IF(B3359="x",U3358,"")))</f>
        <v/>
      </c>
      <c r="V3359" t="str">
        <f>IF(C3359=1,MAX($V$2:$V3358)+1,IF(AND($T3359&lt;&gt;"",$T3359=$T3358),$U3358,IF(C3359="x",V3358,"")))</f>
        <v/>
      </c>
      <c r="X3359" cm="1">
        <f t="array" ref="X3359">IF($I3359&lt;&gt;"",$I3359,INDEX($I$1:$I3359,ROW()-COUNTIFS($T$1:$T3359,"="&amp;$T3359,$S$1:$S3359,"&lt;"&amp;$S3359)))</f>
        <v>0</v>
      </c>
      <c r="Z3359" s="6">
        <f t="shared" si="462"/>
        <v>1</v>
      </c>
      <c r="AA3359" t="e">
        <f t="shared" si="463"/>
        <v>#VALUE!</v>
      </c>
      <c r="AB3359" t="str">
        <f t="shared" si="464"/>
        <v/>
      </c>
      <c r="AC3359" t="e">
        <f t="shared" si="465"/>
        <v>#VALUE!</v>
      </c>
    </row>
    <row r="3360" spans="1:29" x14ac:dyDescent="0.2">
      <c r="A3360" t="str">
        <f t="shared" si="466"/>
        <v/>
      </c>
      <c r="E3360" s="4"/>
      <c r="F3360" s="46"/>
      <c r="G3360" s="4"/>
      <c r="H3360" s="48"/>
      <c r="J3360" s="26" t="str">
        <f t="shared" si="467"/>
        <v/>
      </c>
      <c r="N3360" t="str">
        <f t="shared" si="468"/>
        <v/>
      </c>
      <c r="Q3360" t="str">
        <f t="shared" si="469"/>
        <v/>
      </c>
      <c r="S3360" t="str">
        <f>IF(A3360=1,MAX($S$2:$S3359)+1,IF(OR($I3360&lt;&gt;"",A3360="x"),$S3359,""))</f>
        <v/>
      </c>
      <c r="T3360" t="str">
        <f>IF(D3360=1,MAX($T$2:$T3359)+1,IF(S3360=S3359,$T3359,IF(D3360="x",T3359,IF(D3359="x","",""))))</f>
        <v/>
      </c>
      <c r="U3360" t="str">
        <f>IF(B3360=1,MAX($U$2:$U3359)+1,IF(AND($T3360&lt;&gt;"",$T3360=$T3359),$U3359,IF(B3360="x",U3359,"")))</f>
        <v/>
      </c>
      <c r="V3360" t="str">
        <f>IF(C3360=1,MAX($V$2:$V3359)+1,IF(AND($T3360&lt;&gt;"",$T3360=$T3359),$U3359,IF(C3360="x",V3359,"")))</f>
        <v/>
      </c>
      <c r="X3360" cm="1">
        <f t="array" ref="X3360">IF($I3360&lt;&gt;"",$I3360,INDEX($I$1:$I3360,ROW()-COUNTIFS($T$1:$T3360,"="&amp;$T3360,$S$1:$S3360,"&lt;"&amp;$S3360)))</f>
        <v>0</v>
      </c>
      <c r="Z3360" s="6">
        <f t="shared" si="462"/>
        <v>1</v>
      </c>
      <c r="AA3360" t="e">
        <f t="shared" si="463"/>
        <v>#VALUE!</v>
      </c>
      <c r="AB3360" t="str">
        <f t="shared" si="464"/>
        <v/>
      </c>
      <c r="AC3360" t="e">
        <f t="shared" si="465"/>
        <v>#VALUE!</v>
      </c>
    </row>
    <row r="3361" spans="1:29" x14ac:dyDescent="0.2">
      <c r="A3361" t="str">
        <f t="shared" si="466"/>
        <v/>
      </c>
      <c r="E3361" s="4"/>
      <c r="F3361" s="46"/>
      <c r="G3361" s="4"/>
      <c r="H3361" s="48"/>
      <c r="J3361" s="26" t="str">
        <f t="shared" si="467"/>
        <v/>
      </c>
      <c r="N3361" t="str">
        <f t="shared" si="468"/>
        <v/>
      </c>
      <c r="Q3361" t="str">
        <f t="shared" si="469"/>
        <v/>
      </c>
      <c r="S3361" t="str">
        <f>IF(A3361=1,MAX($S$2:$S3360)+1,IF(OR($I3361&lt;&gt;"",A3361="x"),$S3360,""))</f>
        <v/>
      </c>
      <c r="T3361" t="str">
        <f>IF(D3361=1,MAX($T$2:$T3360)+1,IF(S3361=S3360,$T3360,IF(D3361="x",T3360,IF(D3360="x","",""))))</f>
        <v/>
      </c>
      <c r="U3361" t="str">
        <f>IF(B3361=1,MAX($U$2:$U3360)+1,IF(AND($T3361&lt;&gt;"",$T3361=$T3360),$U3360,IF(B3361="x",U3360,"")))</f>
        <v/>
      </c>
      <c r="V3361" t="str">
        <f>IF(C3361=1,MAX($V$2:$V3360)+1,IF(AND($T3361&lt;&gt;"",$T3361=$T3360),$U3360,IF(C3361="x",V3360,"")))</f>
        <v/>
      </c>
      <c r="X3361" cm="1">
        <f t="array" ref="X3361">IF($I3361&lt;&gt;"",$I3361,INDEX($I$1:$I3361,ROW()-COUNTIFS($T$1:$T3361,"="&amp;$T3361,$S$1:$S3361,"&lt;"&amp;$S3361)))</f>
        <v>0</v>
      </c>
      <c r="Z3361" s="6">
        <f t="shared" si="462"/>
        <v>1</v>
      </c>
      <c r="AA3361" t="e">
        <f t="shared" si="463"/>
        <v>#VALUE!</v>
      </c>
      <c r="AB3361" t="str">
        <f t="shared" si="464"/>
        <v/>
      </c>
      <c r="AC3361" t="e">
        <f t="shared" si="465"/>
        <v>#VALUE!</v>
      </c>
    </row>
    <row r="3362" spans="1:29" x14ac:dyDescent="0.2">
      <c r="A3362" t="str">
        <f t="shared" si="466"/>
        <v/>
      </c>
      <c r="E3362" s="4"/>
      <c r="F3362" s="46"/>
      <c r="G3362" s="4"/>
      <c r="H3362" s="48"/>
      <c r="J3362" s="26" t="str">
        <f t="shared" si="467"/>
        <v/>
      </c>
      <c r="N3362" t="str">
        <f t="shared" si="468"/>
        <v/>
      </c>
      <c r="Q3362" t="str">
        <f t="shared" si="469"/>
        <v/>
      </c>
      <c r="S3362" t="str">
        <f>IF(A3362=1,MAX($S$2:$S3361)+1,IF(OR($I3362&lt;&gt;"",A3362="x"),$S3361,""))</f>
        <v/>
      </c>
      <c r="T3362" t="str">
        <f>IF(D3362=1,MAX($T$2:$T3361)+1,IF(S3362=S3361,$T3361,IF(D3362="x",T3361,IF(D3361="x","",""))))</f>
        <v/>
      </c>
      <c r="U3362" t="str">
        <f>IF(B3362=1,MAX($U$2:$U3361)+1,IF(AND($T3362&lt;&gt;"",$T3362=$T3361),$U3361,IF(B3362="x",U3361,"")))</f>
        <v/>
      </c>
      <c r="V3362" t="str">
        <f>IF(C3362=1,MAX($V$2:$V3361)+1,IF(AND($T3362&lt;&gt;"",$T3362=$T3361),$U3361,IF(C3362="x",V3361,"")))</f>
        <v/>
      </c>
      <c r="X3362" cm="1">
        <f t="array" ref="X3362">IF($I3362&lt;&gt;"",$I3362,INDEX($I$1:$I3362,ROW()-COUNTIFS($T$1:$T3362,"="&amp;$T3362,$S$1:$S3362,"&lt;"&amp;$S3362)))</f>
        <v>0</v>
      </c>
      <c r="Z3362" s="6">
        <f t="shared" si="462"/>
        <v>1</v>
      </c>
      <c r="AA3362" t="e">
        <f t="shared" si="463"/>
        <v>#VALUE!</v>
      </c>
      <c r="AB3362" t="str">
        <f t="shared" si="464"/>
        <v/>
      </c>
      <c r="AC3362" t="e">
        <f t="shared" si="465"/>
        <v>#VALUE!</v>
      </c>
    </row>
    <row r="3363" spans="1:29" x14ac:dyDescent="0.2">
      <c r="A3363" t="str">
        <f t="shared" si="466"/>
        <v/>
      </c>
      <c r="E3363" s="4"/>
      <c r="F3363" s="46"/>
      <c r="G3363" s="4"/>
      <c r="H3363" s="48"/>
      <c r="J3363" s="26" t="str">
        <f t="shared" si="467"/>
        <v/>
      </c>
      <c r="N3363" t="str">
        <f t="shared" si="468"/>
        <v/>
      </c>
      <c r="Q3363" t="str">
        <f t="shared" si="469"/>
        <v/>
      </c>
      <c r="S3363" t="str">
        <f>IF(A3363=1,MAX($S$2:$S3362)+1,IF(OR($I3363&lt;&gt;"",A3363="x"),$S3362,""))</f>
        <v/>
      </c>
      <c r="T3363" t="str">
        <f>IF(D3363=1,MAX($T$2:$T3362)+1,IF(S3363=S3362,$T3362,IF(D3363="x",T3362,IF(D3362="x","",""))))</f>
        <v/>
      </c>
      <c r="U3363" t="str">
        <f>IF(B3363=1,MAX($U$2:$U3362)+1,IF(AND($T3363&lt;&gt;"",$T3363=$T3362),$U3362,IF(B3363="x",U3362,"")))</f>
        <v/>
      </c>
      <c r="V3363" t="str">
        <f>IF(C3363=1,MAX($V$2:$V3362)+1,IF(AND($T3363&lt;&gt;"",$T3363=$T3362),$U3362,IF(C3363="x",V3362,"")))</f>
        <v/>
      </c>
      <c r="X3363" cm="1">
        <f t="array" ref="X3363">IF($I3363&lt;&gt;"",$I3363,INDEX($I$1:$I3363,ROW()-COUNTIFS($T$1:$T3363,"="&amp;$T3363,$S$1:$S3363,"&lt;"&amp;$S3363)))</f>
        <v>0</v>
      </c>
      <c r="Z3363" s="6">
        <f t="shared" si="462"/>
        <v>1</v>
      </c>
      <c r="AA3363" t="e">
        <f t="shared" si="463"/>
        <v>#VALUE!</v>
      </c>
      <c r="AB3363" t="str">
        <f t="shared" si="464"/>
        <v/>
      </c>
      <c r="AC3363" t="e">
        <f t="shared" si="465"/>
        <v>#VALUE!</v>
      </c>
    </row>
    <row r="3364" spans="1:29" x14ac:dyDescent="0.2">
      <c r="A3364" t="str">
        <f t="shared" si="466"/>
        <v/>
      </c>
      <c r="E3364" s="4"/>
      <c r="F3364" s="46"/>
      <c r="G3364" s="4"/>
      <c r="H3364" s="48"/>
      <c r="J3364" s="26" t="str">
        <f t="shared" si="467"/>
        <v/>
      </c>
      <c r="N3364" t="str">
        <f t="shared" si="468"/>
        <v/>
      </c>
      <c r="Q3364" t="str">
        <f t="shared" si="469"/>
        <v/>
      </c>
      <c r="S3364" t="str">
        <f>IF(A3364=1,MAX($S$2:$S3363)+1,IF(OR($I3364&lt;&gt;"",A3364="x"),$S3363,""))</f>
        <v/>
      </c>
      <c r="T3364" t="str">
        <f>IF(D3364=1,MAX($T$2:$T3363)+1,IF(S3364=S3363,$T3363,IF(D3364="x",T3363,IF(D3363="x","",""))))</f>
        <v/>
      </c>
      <c r="U3364" t="str">
        <f>IF(B3364=1,MAX($U$2:$U3363)+1,IF(AND($T3364&lt;&gt;"",$T3364=$T3363),$U3363,IF(B3364="x",U3363,"")))</f>
        <v/>
      </c>
      <c r="V3364" t="str">
        <f>IF(C3364=1,MAX($V$2:$V3363)+1,IF(AND($T3364&lt;&gt;"",$T3364=$T3363),$U3363,IF(C3364="x",V3363,"")))</f>
        <v/>
      </c>
      <c r="X3364" cm="1">
        <f t="array" ref="X3364">IF($I3364&lt;&gt;"",$I3364,INDEX($I$1:$I3364,ROW()-COUNTIFS($T$1:$T3364,"="&amp;$T3364,$S$1:$S3364,"&lt;"&amp;$S3364)))</f>
        <v>0</v>
      </c>
      <c r="Z3364" s="6">
        <f t="shared" si="462"/>
        <v>1</v>
      </c>
      <c r="AA3364" t="e">
        <f t="shared" si="463"/>
        <v>#VALUE!</v>
      </c>
      <c r="AB3364" t="str">
        <f t="shared" si="464"/>
        <v/>
      </c>
      <c r="AC3364" t="e">
        <f t="shared" si="465"/>
        <v>#VALUE!</v>
      </c>
    </row>
    <row r="3365" spans="1:29" x14ac:dyDescent="0.2">
      <c r="A3365" t="str">
        <f t="shared" si="466"/>
        <v/>
      </c>
      <c r="E3365" s="4"/>
      <c r="F3365" s="46"/>
      <c r="G3365" s="4"/>
      <c r="H3365" s="48"/>
      <c r="J3365" s="26" t="str">
        <f t="shared" si="467"/>
        <v/>
      </c>
      <c r="N3365" t="str">
        <f t="shared" si="468"/>
        <v/>
      </c>
      <c r="Q3365" t="str">
        <f t="shared" si="469"/>
        <v/>
      </c>
      <c r="S3365" t="str">
        <f>IF(A3365=1,MAX($S$2:$S3364)+1,IF(OR($I3365&lt;&gt;"",A3365="x"),$S3364,""))</f>
        <v/>
      </c>
      <c r="T3365" t="str">
        <f>IF(D3365=1,MAX($T$2:$T3364)+1,IF(S3365=S3364,$T3364,IF(D3365="x",T3364,IF(D3364="x","",""))))</f>
        <v/>
      </c>
      <c r="U3365" t="str">
        <f>IF(B3365=1,MAX($U$2:$U3364)+1,IF(AND($T3365&lt;&gt;"",$T3365=$T3364),$U3364,IF(B3365="x",U3364,"")))</f>
        <v/>
      </c>
      <c r="V3365" t="str">
        <f>IF(C3365=1,MAX($V$2:$V3364)+1,IF(AND($T3365&lt;&gt;"",$T3365=$T3364),$U3364,IF(C3365="x",V3364,"")))</f>
        <v/>
      </c>
      <c r="X3365" cm="1">
        <f t="array" ref="X3365">IF($I3365&lt;&gt;"",$I3365,INDEX($I$1:$I3365,ROW()-COUNTIFS($T$1:$T3365,"="&amp;$T3365,$S$1:$S3365,"&lt;"&amp;$S3365)))</f>
        <v>0</v>
      </c>
      <c r="Z3365" s="6">
        <f t="shared" si="462"/>
        <v>1</v>
      </c>
      <c r="AA3365" t="e">
        <f t="shared" si="463"/>
        <v>#VALUE!</v>
      </c>
      <c r="AB3365" t="str">
        <f t="shared" si="464"/>
        <v/>
      </c>
      <c r="AC3365" t="e">
        <f t="shared" si="465"/>
        <v>#VALUE!</v>
      </c>
    </row>
    <row r="3366" spans="1:29" x14ac:dyDescent="0.2">
      <c r="A3366" t="str">
        <f t="shared" si="466"/>
        <v/>
      </c>
      <c r="E3366" s="4"/>
      <c r="F3366" s="46"/>
      <c r="G3366" s="4"/>
      <c r="H3366" s="48"/>
      <c r="J3366" s="26" t="str">
        <f t="shared" si="467"/>
        <v/>
      </c>
      <c r="N3366" t="str">
        <f t="shared" si="468"/>
        <v/>
      </c>
      <c r="Q3366" t="str">
        <f t="shared" si="469"/>
        <v/>
      </c>
      <c r="S3366" t="str">
        <f>IF(A3366=1,MAX($S$2:$S3365)+1,IF(OR($I3366&lt;&gt;"",A3366="x"),$S3365,""))</f>
        <v/>
      </c>
      <c r="T3366" t="str">
        <f>IF(D3366=1,MAX($T$2:$T3365)+1,IF(S3366=S3365,$T3365,IF(D3366="x",T3365,IF(D3365="x","",""))))</f>
        <v/>
      </c>
      <c r="U3366" t="str">
        <f>IF(B3366=1,MAX($U$2:$U3365)+1,IF(AND($T3366&lt;&gt;"",$T3366=$T3365),$U3365,IF(B3366="x",U3365,"")))</f>
        <v/>
      </c>
      <c r="V3366" t="str">
        <f>IF(C3366=1,MAX($V$2:$V3365)+1,IF(AND($T3366&lt;&gt;"",$T3366=$T3365),$U3365,IF(C3366="x",V3365,"")))</f>
        <v/>
      </c>
      <c r="X3366" cm="1">
        <f t="array" ref="X3366">IF($I3366&lt;&gt;"",$I3366,INDEX($I$1:$I3366,ROW()-COUNTIFS($T$1:$T3366,"="&amp;$T3366,$S$1:$S3366,"&lt;"&amp;$S3366)))</f>
        <v>0</v>
      </c>
      <c r="Z3366" s="6">
        <f t="shared" si="462"/>
        <v>1</v>
      </c>
      <c r="AA3366" t="e">
        <f t="shared" si="463"/>
        <v>#VALUE!</v>
      </c>
      <c r="AB3366" t="str">
        <f t="shared" si="464"/>
        <v/>
      </c>
      <c r="AC3366" t="e">
        <f t="shared" si="465"/>
        <v>#VALUE!</v>
      </c>
    </row>
    <row r="3367" spans="1:29" x14ac:dyDescent="0.2">
      <c r="A3367" t="str">
        <f t="shared" si="466"/>
        <v/>
      </c>
      <c r="E3367" s="4"/>
      <c r="F3367" s="46"/>
      <c r="G3367" s="4"/>
      <c r="H3367" s="48"/>
      <c r="J3367" s="26" t="str">
        <f t="shared" si="467"/>
        <v/>
      </c>
      <c r="N3367" t="str">
        <f t="shared" si="468"/>
        <v/>
      </c>
      <c r="Q3367" t="str">
        <f t="shared" si="469"/>
        <v/>
      </c>
      <c r="S3367" t="str">
        <f>IF(A3367=1,MAX($S$2:$S3366)+1,IF(OR($I3367&lt;&gt;"",A3367="x"),$S3366,""))</f>
        <v/>
      </c>
      <c r="T3367" t="str">
        <f>IF(D3367=1,MAX($T$2:$T3366)+1,IF(S3367=S3366,$T3366,IF(D3367="x",T3366,IF(D3366="x","",""))))</f>
        <v/>
      </c>
      <c r="U3367" t="str">
        <f>IF(B3367=1,MAX($U$2:$U3366)+1,IF(AND($T3367&lt;&gt;"",$T3367=$T3366),$U3366,IF(B3367="x",U3366,"")))</f>
        <v/>
      </c>
      <c r="V3367" t="str">
        <f>IF(C3367=1,MAX($V$2:$V3366)+1,IF(AND($T3367&lt;&gt;"",$T3367=$T3366),$U3366,IF(C3367="x",V3366,"")))</f>
        <v/>
      </c>
      <c r="X3367" cm="1">
        <f t="array" ref="X3367">IF($I3367&lt;&gt;"",$I3367,INDEX($I$1:$I3367,ROW()-COUNTIFS($T$1:$T3367,"="&amp;$T3367,$S$1:$S3367,"&lt;"&amp;$S3367)))</f>
        <v>0</v>
      </c>
      <c r="Z3367" s="6">
        <f t="shared" si="462"/>
        <v>1</v>
      </c>
      <c r="AA3367" t="e">
        <f t="shared" si="463"/>
        <v>#VALUE!</v>
      </c>
      <c r="AB3367" t="str">
        <f t="shared" si="464"/>
        <v/>
      </c>
      <c r="AC3367" t="e">
        <f t="shared" si="465"/>
        <v>#VALUE!</v>
      </c>
    </row>
    <row r="3368" spans="1:29" x14ac:dyDescent="0.2">
      <c r="A3368" t="str">
        <f t="shared" si="466"/>
        <v/>
      </c>
      <c r="E3368" s="4"/>
      <c r="F3368" s="46"/>
      <c r="G3368" s="4"/>
      <c r="H3368" s="48"/>
      <c r="J3368" s="26" t="str">
        <f t="shared" si="467"/>
        <v/>
      </c>
      <c r="N3368" t="str">
        <f t="shared" si="468"/>
        <v/>
      </c>
      <c r="Q3368" t="str">
        <f t="shared" si="469"/>
        <v/>
      </c>
      <c r="S3368" t="str">
        <f>IF(A3368=1,MAX($S$2:$S3367)+1,IF(OR($I3368&lt;&gt;"",A3368="x"),$S3367,""))</f>
        <v/>
      </c>
      <c r="T3368" t="str">
        <f>IF(D3368=1,MAX($T$2:$T3367)+1,IF(S3368=S3367,$T3367,IF(D3368="x",T3367,IF(D3367="x","",""))))</f>
        <v/>
      </c>
      <c r="U3368" t="str">
        <f>IF(B3368=1,MAX($U$2:$U3367)+1,IF(AND($T3368&lt;&gt;"",$T3368=$T3367),$U3367,IF(B3368="x",U3367,"")))</f>
        <v/>
      </c>
      <c r="V3368" t="str">
        <f>IF(C3368=1,MAX($V$2:$V3367)+1,IF(AND($T3368&lt;&gt;"",$T3368=$T3367),$U3367,IF(C3368="x",V3367,"")))</f>
        <v/>
      </c>
      <c r="X3368" cm="1">
        <f t="array" ref="X3368">IF($I3368&lt;&gt;"",$I3368,INDEX($I$1:$I3368,ROW()-COUNTIFS($T$1:$T3368,"="&amp;$T3368,$S$1:$S3368,"&lt;"&amp;$S3368)))</f>
        <v>0</v>
      </c>
      <c r="Z3368" s="6">
        <f t="shared" si="462"/>
        <v>1</v>
      </c>
      <c r="AA3368" t="e">
        <f t="shared" si="463"/>
        <v>#VALUE!</v>
      </c>
      <c r="AB3368" t="str">
        <f t="shared" si="464"/>
        <v/>
      </c>
      <c r="AC3368" t="e">
        <f t="shared" si="465"/>
        <v>#VALUE!</v>
      </c>
    </row>
    <row r="3369" spans="1:29" x14ac:dyDescent="0.2">
      <c r="A3369" t="str">
        <f t="shared" si="466"/>
        <v/>
      </c>
      <c r="E3369" s="4"/>
      <c r="F3369" s="46"/>
      <c r="G3369" s="4"/>
      <c r="H3369" s="48"/>
      <c r="J3369" s="26" t="str">
        <f t="shared" si="467"/>
        <v/>
      </c>
      <c r="N3369" t="str">
        <f t="shared" si="468"/>
        <v/>
      </c>
      <c r="Q3369" t="str">
        <f t="shared" si="469"/>
        <v/>
      </c>
      <c r="S3369" t="str">
        <f>IF(A3369=1,MAX($S$2:$S3368)+1,IF(OR($I3369&lt;&gt;"",A3369="x"),$S3368,""))</f>
        <v/>
      </c>
      <c r="T3369" t="str">
        <f>IF(D3369=1,MAX($T$2:$T3368)+1,IF(S3369=S3368,$T3368,IF(D3369="x",T3368,IF(D3368="x","",""))))</f>
        <v/>
      </c>
      <c r="U3369" t="str">
        <f>IF(B3369=1,MAX($U$2:$U3368)+1,IF(AND($T3369&lt;&gt;"",$T3369=$T3368),$U3368,IF(B3369="x",U3368,"")))</f>
        <v/>
      </c>
      <c r="V3369" t="str">
        <f>IF(C3369=1,MAX($V$2:$V3368)+1,IF(AND($T3369&lt;&gt;"",$T3369=$T3368),$U3368,IF(C3369="x",V3368,"")))</f>
        <v/>
      </c>
      <c r="X3369" cm="1">
        <f t="array" ref="X3369">IF($I3369&lt;&gt;"",$I3369,INDEX($I$1:$I3369,ROW()-COUNTIFS($T$1:$T3369,"="&amp;$T3369,$S$1:$S3369,"&lt;"&amp;$S3369)))</f>
        <v>0</v>
      </c>
      <c r="Z3369" s="6">
        <f t="shared" si="462"/>
        <v>1</v>
      </c>
      <c r="AA3369" t="e">
        <f t="shared" si="463"/>
        <v>#VALUE!</v>
      </c>
      <c r="AB3369" t="str">
        <f t="shared" si="464"/>
        <v/>
      </c>
      <c r="AC3369" t="e">
        <f t="shared" si="465"/>
        <v>#VALUE!</v>
      </c>
    </row>
    <row r="3370" spans="1:29" x14ac:dyDescent="0.2">
      <c r="A3370" t="str">
        <f t="shared" si="466"/>
        <v/>
      </c>
      <c r="E3370" s="4"/>
      <c r="F3370" s="46"/>
      <c r="G3370" s="4"/>
      <c r="H3370" s="48"/>
      <c r="J3370" s="26" t="str">
        <f t="shared" si="467"/>
        <v/>
      </c>
      <c r="N3370" t="str">
        <f t="shared" si="468"/>
        <v/>
      </c>
      <c r="Q3370" t="str">
        <f t="shared" si="469"/>
        <v/>
      </c>
      <c r="S3370" t="str">
        <f>IF(A3370=1,MAX($S$2:$S3369)+1,IF(OR($I3370&lt;&gt;"",A3370="x"),$S3369,""))</f>
        <v/>
      </c>
      <c r="T3370" t="str">
        <f>IF(D3370=1,MAX($T$2:$T3369)+1,IF(S3370=S3369,$T3369,IF(D3370="x",T3369,IF(D3369="x","",""))))</f>
        <v/>
      </c>
      <c r="U3370" t="str">
        <f>IF(B3370=1,MAX($U$2:$U3369)+1,IF(AND($T3370&lt;&gt;"",$T3370=$T3369),$U3369,IF(B3370="x",U3369,"")))</f>
        <v/>
      </c>
      <c r="V3370" t="str">
        <f>IF(C3370=1,MAX($V$2:$V3369)+1,IF(AND($T3370&lt;&gt;"",$T3370=$T3369),$U3369,IF(C3370="x",V3369,"")))</f>
        <v/>
      </c>
      <c r="X3370" cm="1">
        <f t="array" ref="X3370">IF($I3370&lt;&gt;"",$I3370,INDEX($I$1:$I3370,ROW()-COUNTIFS($T$1:$T3370,"="&amp;$T3370,$S$1:$S3370,"&lt;"&amp;$S3370)))</f>
        <v>0</v>
      </c>
      <c r="Z3370" s="6">
        <f t="shared" si="462"/>
        <v>1</v>
      </c>
      <c r="AA3370" t="e">
        <f t="shared" si="463"/>
        <v>#VALUE!</v>
      </c>
      <c r="AB3370" t="str">
        <f t="shared" si="464"/>
        <v/>
      </c>
      <c r="AC3370" t="e">
        <f t="shared" si="465"/>
        <v>#VALUE!</v>
      </c>
    </row>
    <row r="3371" spans="1:29" x14ac:dyDescent="0.2">
      <c r="A3371" t="str">
        <f t="shared" si="466"/>
        <v/>
      </c>
      <c r="E3371" s="4"/>
      <c r="F3371" s="46"/>
      <c r="G3371" s="4"/>
      <c r="H3371" s="48"/>
      <c r="J3371" s="26" t="str">
        <f t="shared" si="467"/>
        <v/>
      </c>
      <c r="N3371" t="str">
        <f t="shared" si="468"/>
        <v/>
      </c>
      <c r="Q3371" t="str">
        <f t="shared" si="469"/>
        <v/>
      </c>
      <c r="S3371" t="str">
        <f>IF(A3371=1,MAX($S$2:$S3370)+1,IF(OR($I3371&lt;&gt;"",A3371="x"),$S3370,""))</f>
        <v/>
      </c>
      <c r="T3371" t="str">
        <f>IF(D3371=1,MAX($T$2:$T3370)+1,IF(S3371=S3370,$T3370,IF(D3371="x",T3370,IF(D3370="x","",""))))</f>
        <v/>
      </c>
      <c r="U3371" t="str">
        <f>IF(B3371=1,MAX($U$2:$U3370)+1,IF(AND($T3371&lt;&gt;"",$T3371=$T3370),$U3370,IF(B3371="x",U3370,"")))</f>
        <v/>
      </c>
      <c r="V3371" t="str">
        <f>IF(C3371=1,MAX($V$2:$V3370)+1,IF(AND($T3371&lt;&gt;"",$T3371=$T3370),$U3370,IF(C3371="x",V3370,"")))</f>
        <v/>
      </c>
      <c r="X3371" cm="1">
        <f t="array" ref="X3371">IF($I3371&lt;&gt;"",$I3371,INDEX($I$1:$I3371,ROW()-COUNTIFS($T$1:$T3371,"="&amp;$T3371,$S$1:$S3371,"&lt;"&amp;$S3371)))</f>
        <v>0</v>
      </c>
      <c r="Z3371" s="6">
        <f t="shared" si="462"/>
        <v>1</v>
      </c>
      <c r="AA3371" t="e">
        <f t="shared" si="463"/>
        <v>#VALUE!</v>
      </c>
      <c r="AB3371" t="str">
        <f t="shared" si="464"/>
        <v/>
      </c>
      <c r="AC3371" t="e">
        <f t="shared" si="465"/>
        <v>#VALUE!</v>
      </c>
    </row>
    <row r="3372" spans="1:29" x14ac:dyDescent="0.2">
      <c r="A3372" t="str">
        <f t="shared" si="466"/>
        <v/>
      </c>
      <c r="E3372" s="4"/>
      <c r="F3372" s="46"/>
      <c r="G3372" s="4"/>
      <c r="H3372" s="48"/>
      <c r="J3372" s="26" t="str">
        <f t="shared" si="467"/>
        <v/>
      </c>
      <c r="N3372" t="str">
        <f t="shared" si="468"/>
        <v/>
      </c>
      <c r="Q3372" t="str">
        <f t="shared" si="469"/>
        <v/>
      </c>
      <c r="S3372" t="str">
        <f>IF(A3372=1,MAX($S$2:$S3371)+1,IF(OR($I3372&lt;&gt;"",A3372="x"),$S3371,""))</f>
        <v/>
      </c>
      <c r="T3372" t="str">
        <f>IF(D3372=1,MAX($T$2:$T3371)+1,IF(S3372=S3371,$T3371,IF(D3372="x",T3371,IF(D3371="x","",""))))</f>
        <v/>
      </c>
      <c r="U3372" t="str">
        <f>IF(B3372=1,MAX($U$2:$U3371)+1,IF(AND($T3372&lt;&gt;"",$T3372=$T3371),$U3371,IF(B3372="x",U3371,"")))</f>
        <v/>
      </c>
      <c r="V3372" t="str">
        <f>IF(C3372=1,MAX($V$2:$V3371)+1,IF(AND($T3372&lt;&gt;"",$T3372=$T3371),$U3371,IF(C3372="x",V3371,"")))</f>
        <v/>
      </c>
      <c r="X3372" cm="1">
        <f t="array" ref="X3372">IF($I3372&lt;&gt;"",$I3372,INDEX($I$1:$I3372,ROW()-COUNTIFS($T$1:$T3372,"="&amp;$T3372,$S$1:$S3372,"&lt;"&amp;$S3372)))</f>
        <v>0</v>
      </c>
      <c r="Z3372" s="6">
        <f t="shared" si="462"/>
        <v>1</v>
      </c>
      <c r="AA3372" t="e">
        <f t="shared" si="463"/>
        <v>#VALUE!</v>
      </c>
      <c r="AB3372" t="str">
        <f t="shared" si="464"/>
        <v/>
      </c>
      <c r="AC3372" t="e">
        <f t="shared" si="465"/>
        <v>#VALUE!</v>
      </c>
    </row>
    <row r="3373" spans="1:29" x14ac:dyDescent="0.2">
      <c r="A3373" t="str">
        <f t="shared" si="466"/>
        <v/>
      </c>
      <c r="E3373" s="4"/>
      <c r="F3373" s="46"/>
      <c r="G3373" s="4"/>
      <c r="H3373" s="48"/>
      <c r="J3373" s="26" t="str">
        <f t="shared" si="467"/>
        <v/>
      </c>
      <c r="N3373" t="str">
        <f t="shared" si="468"/>
        <v/>
      </c>
      <c r="Q3373" t="str">
        <f t="shared" si="469"/>
        <v/>
      </c>
      <c r="S3373" t="str">
        <f>IF(A3373=1,MAX($S$2:$S3372)+1,IF(OR($I3373&lt;&gt;"",A3373="x"),$S3372,""))</f>
        <v/>
      </c>
      <c r="T3373" t="str">
        <f>IF(D3373=1,MAX($T$2:$T3372)+1,IF(S3373=S3372,$T3372,IF(D3373="x",T3372,IF(D3372="x","",""))))</f>
        <v/>
      </c>
      <c r="U3373" t="str">
        <f>IF(B3373=1,MAX($U$2:$U3372)+1,IF(AND($T3373&lt;&gt;"",$T3373=$T3372),$U3372,IF(B3373="x",U3372,"")))</f>
        <v/>
      </c>
      <c r="V3373" t="str">
        <f>IF(C3373=1,MAX($V$2:$V3372)+1,IF(AND($T3373&lt;&gt;"",$T3373=$T3372),$U3372,IF(C3373="x",V3372,"")))</f>
        <v/>
      </c>
      <c r="X3373" cm="1">
        <f t="array" ref="X3373">IF($I3373&lt;&gt;"",$I3373,INDEX($I$1:$I3373,ROW()-COUNTIFS($T$1:$T3373,"="&amp;$T3373,$S$1:$S3373,"&lt;"&amp;$S3373)))</f>
        <v>0</v>
      </c>
      <c r="Z3373" s="6">
        <f t="shared" si="462"/>
        <v>1</v>
      </c>
      <c r="AA3373" t="e">
        <f t="shared" si="463"/>
        <v>#VALUE!</v>
      </c>
      <c r="AB3373" t="str">
        <f t="shared" si="464"/>
        <v/>
      </c>
      <c r="AC3373" t="e">
        <f t="shared" si="465"/>
        <v>#VALUE!</v>
      </c>
    </row>
    <row r="3374" spans="1:29" x14ac:dyDescent="0.2">
      <c r="A3374" t="str">
        <f t="shared" si="466"/>
        <v/>
      </c>
      <c r="E3374" s="4"/>
      <c r="F3374" s="46"/>
      <c r="G3374" s="4"/>
      <c r="H3374" s="48"/>
      <c r="J3374" s="26" t="str">
        <f t="shared" si="467"/>
        <v/>
      </c>
      <c r="N3374" t="str">
        <f t="shared" si="468"/>
        <v/>
      </c>
      <c r="Q3374" t="str">
        <f t="shared" si="469"/>
        <v/>
      </c>
      <c r="S3374" t="str">
        <f>IF(A3374=1,MAX($S$2:$S3373)+1,IF(OR($I3374&lt;&gt;"",A3374="x"),$S3373,""))</f>
        <v/>
      </c>
      <c r="T3374" t="str">
        <f>IF(D3374=1,MAX($T$2:$T3373)+1,IF(S3374=S3373,$T3373,IF(D3374="x",T3373,IF(D3373="x","",""))))</f>
        <v/>
      </c>
      <c r="U3374" t="str">
        <f>IF(B3374=1,MAX($U$2:$U3373)+1,IF(AND($T3374&lt;&gt;"",$T3374=$T3373),$U3373,IF(B3374="x",U3373,"")))</f>
        <v/>
      </c>
      <c r="V3374" t="str">
        <f>IF(C3374=1,MAX($V$2:$V3373)+1,IF(AND($T3374&lt;&gt;"",$T3374=$T3373),$U3373,IF(C3374="x",V3373,"")))</f>
        <v/>
      </c>
      <c r="X3374" cm="1">
        <f t="array" ref="X3374">IF($I3374&lt;&gt;"",$I3374,INDEX($I$1:$I3374,ROW()-COUNTIFS($T$1:$T3374,"="&amp;$T3374,$S$1:$S3374,"&lt;"&amp;$S3374)))</f>
        <v>0</v>
      </c>
      <c r="Z3374" s="6">
        <f t="shared" si="462"/>
        <v>1</v>
      </c>
      <c r="AA3374" t="e">
        <f t="shared" si="463"/>
        <v>#VALUE!</v>
      </c>
      <c r="AB3374" t="str">
        <f t="shared" si="464"/>
        <v/>
      </c>
      <c r="AC3374" t="e">
        <f t="shared" si="465"/>
        <v>#VALUE!</v>
      </c>
    </row>
    <row r="3375" spans="1:29" x14ac:dyDescent="0.2">
      <c r="A3375" t="str">
        <f t="shared" si="466"/>
        <v/>
      </c>
      <c r="E3375" s="4"/>
      <c r="F3375" s="46"/>
      <c r="G3375" s="4"/>
      <c r="H3375" s="48"/>
      <c r="J3375" s="26" t="str">
        <f t="shared" si="467"/>
        <v/>
      </c>
      <c r="N3375" t="str">
        <f t="shared" si="468"/>
        <v/>
      </c>
      <c r="Q3375" t="str">
        <f t="shared" si="469"/>
        <v/>
      </c>
      <c r="S3375" t="str">
        <f>IF(A3375=1,MAX($S$2:$S3374)+1,IF(OR($I3375&lt;&gt;"",A3375="x"),$S3374,""))</f>
        <v/>
      </c>
      <c r="T3375" t="str">
        <f>IF(D3375=1,MAX($T$2:$T3374)+1,IF(S3375=S3374,$T3374,IF(D3375="x",T3374,IF(D3374="x","",""))))</f>
        <v/>
      </c>
      <c r="U3375" t="str">
        <f>IF(B3375=1,MAX($U$2:$U3374)+1,IF(AND($T3375&lt;&gt;"",$T3375=$T3374),$U3374,IF(B3375="x",U3374,"")))</f>
        <v/>
      </c>
      <c r="V3375" t="str">
        <f>IF(C3375=1,MAX($V$2:$V3374)+1,IF(AND($T3375&lt;&gt;"",$T3375=$T3374),$U3374,IF(C3375="x",V3374,"")))</f>
        <v/>
      </c>
      <c r="X3375" cm="1">
        <f t="array" ref="X3375">IF($I3375&lt;&gt;"",$I3375,INDEX($I$1:$I3375,ROW()-COUNTIFS($T$1:$T3375,"="&amp;$T3375,$S$1:$S3375,"&lt;"&amp;$S3375)))</f>
        <v>0</v>
      </c>
      <c r="Z3375" s="6">
        <f t="shared" si="462"/>
        <v>1</v>
      </c>
      <c r="AA3375" t="e">
        <f t="shared" si="463"/>
        <v>#VALUE!</v>
      </c>
      <c r="AB3375" t="str">
        <f t="shared" si="464"/>
        <v/>
      </c>
      <c r="AC3375" t="e">
        <f t="shared" si="465"/>
        <v>#VALUE!</v>
      </c>
    </row>
    <row r="3376" spans="1:29" x14ac:dyDescent="0.2">
      <c r="A3376" t="str">
        <f t="shared" si="466"/>
        <v/>
      </c>
      <c r="E3376" s="4"/>
      <c r="F3376" s="46"/>
      <c r="G3376" s="4"/>
      <c r="H3376" s="48"/>
      <c r="J3376" s="26" t="str">
        <f t="shared" si="467"/>
        <v/>
      </c>
      <c r="N3376" t="str">
        <f t="shared" si="468"/>
        <v/>
      </c>
      <c r="Q3376" t="str">
        <f t="shared" si="469"/>
        <v/>
      </c>
      <c r="S3376" t="str">
        <f>IF(A3376=1,MAX($S$2:$S3375)+1,IF(OR($I3376&lt;&gt;"",A3376="x"),$S3375,""))</f>
        <v/>
      </c>
      <c r="T3376" t="str">
        <f>IF(D3376=1,MAX($T$2:$T3375)+1,IF(S3376=S3375,$T3375,IF(D3376="x",T3375,IF(D3375="x","",""))))</f>
        <v/>
      </c>
      <c r="U3376" t="str">
        <f>IF(B3376=1,MAX($U$2:$U3375)+1,IF(AND($T3376&lt;&gt;"",$T3376=$T3375),$U3375,IF(B3376="x",U3375,"")))</f>
        <v/>
      </c>
      <c r="V3376" t="str">
        <f>IF(C3376=1,MAX($V$2:$V3375)+1,IF(AND($T3376&lt;&gt;"",$T3376=$T3375),$U3375,IF(C3376="x",V3375,"")))</f>
        <v/>
      </c>
      <c r="X3376" cm="1">
        <f t="array" ref="X3376">IF($I3376&lt;&gt;"",$I3376,INDEX($I$1:$I3376,ROW()-COUNTIFS($T$1:$T3376,"="&amp;$T3376,$S$1:$S3376,"&lt;"&amp;$S3376)))</f>
        <v>0</v>
      </c>
      <c r="Z3376" s="6">
        <f t="shared" si="462"/>
        <v>1</v>
      </c>
      <c r="AA3376" t="e">
        <f t="shared" si="463"/>
        <v>#VALUE!</v>
      </c>
      <c r="AB3376" t="str">
        <f t="shared" si="464"/>
        <v/>
      </c>
      <c r="AC3376" t="e">
        <f t="shared" si="465"/>
        <v>#VALUE!</v>
      </c>
    </row>
    <row r="3377" spans="1:29" x14ac:dyDescent="0.2">
      <c r="A3377" t="str">
        <f t="shared" si="466"/>
        <v/>
      </c>
      <c r="E3377" s="4"/>
      <c r="F3377" s="46"/>
      <c r="G3377" s="4"/>
      <c r="H3377" s="48"/>
      <c r="J3377" s="26" t="str">
        <f t="shared" si="467"/>
        <v/>
      </c>
      <c r="N3377" t="str">
        <f t="shared" si="468"/>
        <v/>
      </c>
      <c r="Q3377" t="str">
        <f t="shared" si="469"/>
        <v/>
      </c>
      <c r="S3377" t="str">
        <f>IF(A3377=1,MAX($S$2:$S3376)+1,IF(OR($I3377&lt;&gt;"",A3377="x"),$S3376,""))</f>
        <v/>
      </c>
      <c r="T3377" t="str">
        <f>IF(D3377=1,MAX($T$2:$T3376)+1,IF(S3377=S3376,$T3376,IF(D3377="x",T3376,IF(D3376="x","",""))))</f>
        <v/>
      </c>
      <c r="U3377" t="str">
        <f>IF(B3377=1,MAX($U$2:$U3376)+1,IF(AND($T3377&lt;&gt;"",$T3377=$T3376),$U3376,IF(B3377="x",U3376,"")))</f>
        <v/>
      </c>
      <c r="V3377" t="str">
        <f>IF(C3377=1,MAX($V$2:$V3376)+1,IF(AND($T3377&lt;&gt;"",$T3377=$T3376),$U3376,IF(C3377="x",V3376,"")))</f>
        <v/>
      </c>
      <c r="X3377" cm="1">
        <f t="array" ref="X3377">IF($I3377&lt;&gt;"",$I3377,INDEX($I$1:$I3377,ROW()-COUNTIFS($T$1:$T3377,"="&amp;$T3377,$S$1:$S3377,"&lt;"&amp;$S3377)))</f>
        <v>0</v>
      </c>
      <c r="Z3377" s="6">
        <f t="shared" si="462"/>
        <v>1</v>
      </c>
      <c r="AA3377" t="e">
        <f t="shared" si="463"/>
        <v>#VALUE!</v>
      </c>
      <c r="AB3377" t="str">
        <f t="shared" si="464"/>
        <v/>
      </c>
      <c r="AC3377" t="e">
        <f t="shared" si="465"/>
        <v>#VALUE!</v>
      </c>
    </row>
    <row r="3378" spans="1:29" x14ac:dyDescent="0.2">
      <c r="A3378" t="str">
        <f t="shared" si="466"/>
        <v/>
      </c>
      <c r="E3378" s="4"/>
      <c r="F3378" s="46"/>
      <c r="G3378" s="4"/>
      <c r="H3378" s="48"/>
      <c r="J3378" s="26" t="str">
        <f t="shared" si="467"/>
        <v/>
      </c>
      <c r="N3378" t="str">
        <f t="shared" si="468"/>
        <v/>
      </c>
      <c r="Q3378" t="str">
        <f t="shared" si="469"/>
        <v/>
      </c>
      <c r="S3378" t="str">
        <f>IF(A3378=1,MAX($S$2:$S3377)+1,IF(OR($I3378&lt;&gt;"",A3378="x"),$S3377,""))</f>
        <v/>
      </c>
      <c r="T3378" t="str">
        <f>IF(D3378=1,MAX($T$2:$T3377)+1,IF(S3378=S3377,$T3377,IF(D3378="x",T3377,IF(D3377="x","",""))))</f>
        <v/>
      </c>
      <c r="U3378" t="str">
        <f>IF(B3378=1,MAX($U$2:$U3377)+1,IF(AND($T3378&lt;&gt;"",$T3378=$T3377),$U3377,IF(B3378="x",U3377,"")))</f>
        <v/>
      </c>
      <c r="V3378" t="str">
        <f>IF(C3378=1,MAX($V$2:$V3377)+1,IF(AND($T3378&lt;&gt;"",$T3378=$T3377),$U3377,IF(C3378="x",V3377,"")))</f>
        <v/>
      </c>
      <c r="X3378" cm="1">
        <f t="array" ref="X3378">IF($I3378&lt;&gt;"",$I3378,INDEX($I$1:$I3378,ROW()-COUNTIFS($T$1:$T3378,"="&amp;$T3378,$S$1:$S3378,"&lt;"&amp;$S3378)))</f>
        <v>0</v>
      </c>
      <c r="Z3378" s="6">
        <f t="shared" si="462"/>
        <v>1</v>
      </c>
      <c r="AA3378" t="e">
        <f t="shared" si="463"/>
        <v>#VALUE!</v>
      </c>
      <c r="AB3378" t="str">
        <f t="shared" si="464"/>
        <v/>
      </c>
      <c r="AC3378" t="e">
        <f t="shared" si="465"/>
        <v>#VALUE!</v>
      </c>
    </row>
    <row r="3379" spans="1:29" x14ac:dyDescent="0.2">
      <c r="A3379" t="str">
        <f t="shared" si="466"/>
        <v/>
      </c>
      <c r="E3379" s="4"/>
      <c r="F3379" s="46"/>
      <c r="G3379" s="4"/>
      <c r="H3379" s="48"/>
      <c r="J3379" s="26" t="str">
        <f t="shared" si="467"/>
        <v/>
      </c>
      <c r="N3379" t="str">
        <f t="shared" si="468"/>
        <v/>
      </c>
      <c r="Q3379" t="str">
        <f t="shared" si="469"/>
        <v/>
      </c>
      <c r="S3379" t="str">
        <f>IF(A3379=1,MAX($S$2:$S3378)+1,IF(OR($I3379&lt;&gt;"",A3379="x"),$S3378,""))</f>
        <v/>
      </c>
      <c r="T3379" t="str">
        <f>IF(D3379=1,MAX($T$2:$T3378)+1,IF(S3379=S3378,$T3378,IF(D3379="x",T3378,IF(D3378="x","",""))))</f>
        <v/>
      </c>
      <c r="U3379" t="str">
        <f>IF(B3379=1,MAX($U$2:$U3378)+1,IF(AND($T3379&lt;&gt;"",$T3379=$T3378),$U3378,IF(B3379="x",U3378,"")))</f>
        <v/>
      </c>
      <c r="V3379" t="str">
        <f>IF(C3379=1,MAX($V$2:$V3378)+1,IF(AND($T3379&lt;&gt;"",$T3379=$T3378),$U3378,IF(C3379="x",V3378,"")))</f>
        <v/>
      </c>
      <c r="X3379" cm="1">
        <f t="array" ref="X3379">IF($I3379&lt;&gt;"",$I3379,INDEX($I$1:$I3379,ROW()-COUNTIFS($T$1:$T3379,"="&amp;$T3379,$S$1:$S3379,"&lt;"&amp;$S3379)))</f>
        <v>0</v>
      </c>
      <c r="Z3379" s="6">
        <f t="shared" si="462"/>
        <v>1</v>
      </c>
      <c r="AA3379" t="e">
        <f t="shared" si="463"/>
        <v>#VALUE!</v>
      </c>
      <c r="AB3379" t="str">
        <f t="shared" si="464"/>
        <v/>
      </c>
      <c r="AC3379" t="e">
        <f t="shared" si="465"/>
        <v>#VALUE!</v>
      </c>
    </row>
    <row r="3380" spans="1:29" x14ac:dyDescent="0.2">
      <c r="A3380" t="str">
        <f t="shared" si="466"/>
        <v/>
      </c>
      <c r="E3380" s="4"/>
      <c r="F3380" s="46"/>
      <c r="G3380" s="4"/>
      <c r="H3380" s="48"/>
      <c r="J3380" s="26" t="str">
        <f t="shared" si="467"/>
        <v/>
      </c>
      <c r="N3380" t="str">
        <f t="shared" si="468"/>
        <v/>
      </c>
      <c r="Q3380" t="str">
        <f t="shared" si="469"/>
        <v/>
      </c>
      <c r="S3380" t="str">
        <f>IF(A3380=1,MAX($S$2:$S3379)+1,IF(OR($I3380&lt;&gt;"",A3380="x"),$S3379,""))</f>
        <v/>
      </c>
      <c r="T3380" t="str">
        <f>IF(D3380=1,MAX($T$2:$T3379)+1,IF(S3380=S3379,$T3379,IF(D3380="x",T3379,IF(D3379="x","",""))))</f>
        <v/>
      </c>
      <c r="U3380" t="str">
        <f>IF(B3380=1,MAX($U$2:$U3379)+1,IF(AND($T3380&lt;&gt;"",$T3380=$T3379),$U3379,IF(B3380="x",U3379,"")))</f>
        <v/>
      </c>
      <c r="V3380" t="str">
        <f>IF(C3380=1,MAX($V$2:$V3379)+1,IF(AND($T3380&lt;&gt;"",$T3380=$T3379),$U3379,IF(C3380="x",V3379,"")))</f>
        <v/>
      </c>
      <c r="X3380" cm="1">
        <f t="array" ref="X3380">IF($I3380&lt;&gt;"",$I3380,INDEX($I$1:$I3380,ROW()-COUNTIFS($T$1:$T3380,"="&amp;$T3380,$S$1:$S3380,"&lt;"&amp;$S3380)))</f>
        <v>0</v>
      </c>
      <c r="Z3380" s="6">
        <f t="shared" si="462"/>
        <v>1</v>
      </c>
      <c r="AA3380" t="e">
        <f t="shared" si="463"/>
        <v>#VALUE!</v>
      </c>
      <c r="AB3380" t="str">
        <f t="shared" si="464"/>
        <v/>
      </c>
      <c r="AC3380" t="e">
        <f t="shared" si="465"/>
        <v>#VALUE!</v>
      </c>
    </row>
    <row r="3381" spans="1:29" x14ac:dyDescent="0.2">
      <c r="A3381" t="str">
        <f t="shared" si="466"/>
        <v/>
      </c>
      <c r="E3381" s="4"/>
      <c r="F3381" s="46"/>
      <c r="G3381" s="4"/>
      <c r="H3381" s="48"/>
      <c r="J3381" s="26" t="str">
        <f t="shared" si="467"/>
        <v/>
      </c>
      <c r="N3381" t="str">
        <f t="shared" si="468"/>
        <v/>
      </c>
      <c r="Q3381" t="str">
        <f t="shared" si="469"/>
        <v/>
      </c>
      <c r="S3381" t="str">
        <f>IF(A3381=1,MAX($S$2:$S3380)+1,IF(OR($I3381&lt;&gt;"",A3381="x"),$S3380,""))</f>
        <v/>
      </c>
      <c r="T3381" t="str">
        <f>IF(D3381=1,MAX($T$2:$T3380)+1,IF(S3381=S3380,$T3380,IF(D3381="x",T3380,IF(D3380="x","",""))))</f>
        <v/>
      </c>
      <c r="U3381" t="str">
        <f>IF(B3381=1,MAX($U$2:$U3380)+1,IF(AND($T3381&lt;&gt;"",$T3381=$T3380),$U3380,IF(B3381="x",U3380,"")))</f>
        <v/>
      </c>
      <c r="V3381" t="str">
        <f>IF(C3381=1,MAX($V$2:$V3380)+1,IF(AND($T3381&lt;&gt;"",$T3381=$T3380),$U3380,IF(C3381="x",V3380,"")))</f>
        <v/>
      </c>
      <c r="X3381" cm="1">
        <f t="array" ref="X3381">IF($I3381&lt;&gt;"",$I3381,INDEX($I$1:$I3381,ROW()-COUNTIFS($T$1:$T3381,"="&amp;$T3381,$S$1:$S3381,"&lt;"&amp;$S3381)))</f>
        <v>0</v>
      </c>
      <c r="Z3381" s="6">
        <f t="shared" si="462"/>
        <v>1</v>
      </c>
      <c r="AA3381" t="e">
        <f t="shared" si="463"/>
        <v>#VALUE!</v>
      </c>
      <c r="AB3381" t="str">
        <f t="shared" si="464"/>
        <v/>
      </c>
      <c r="AC3381" t="e">
        <f t="shared" si="465"/>
        <v>#VALUE!</v>
      </c>
    </row>
    <row r="3382" spans="1:29" x14ac:dyDescent="0.2">
      <c r="A3382" t="str">
        <f t="shared" si="466"/>
        <v/>
      </c>
      <c r="E3382" s="4"/>
      <c r="F3382" s="46"/>
      <c r="G3382" s="4"/>
      <c r="H3382" s="48"/>
      <c r="J3382" s="26" t="str">
        <f t="shared" si="467"/>
        <v/>
      </c>
      <c r="N3382" t="str">
        <f t="shared" si="468"/>
        <v/>
      </c>
      <c r="Q3382" t="str">
        <f t="shared" si="469"/>
        <v/>
      </c>
      <c r="S3382" t="str">
        <f>IF(A3382=1,MAX($S$2:$S3381)+1,IF(OR($I3382&lt;&gt;"",A3382="x"),$S3381,""))</f>
        <v/>
      </c>
      <c r="T3382" t="str">
        <f>IF(D3382=1,MAX($T$2:$T3381)+1,IF(S3382=S3381,$T3381,IF(D3382="x",T3381,IF(D3381="x","",""))))</f>
        <v/>
      </c>
      <c r="U3382" t="str">
        <f>IF(B3382=1,MAX($U$2:$U3381)+1,IF(AND($T3382&lt;&gt;"",$T3382=$T3381),$U3381,IF(B3382="x",U3381,"")))</f>
        <v/>
      </c>
      <c r="V3382" t="str">
        <f>IF(C3382=1,MAX($V$2:$V3381)+1,IF(AND($T3382&lt;&gt;"",$T3382=$T3381),$U3381,IF(C3382="x",V3381,"")))</f>
        <v/>
      </c>
      <c r="X3382" cm="1">
        <f t="array" ref="X3382">IF($I3382&lt;&gt;"",$I3382,INDEX($I$1:$I3382,ROW()-COUNTIFS($T$1:$T3382,"="&amp;$T3382,$S$1:$S3382,"&lt;"&amp;$S3382)))</f>
        <v>0</v>
      </c>
      <c r="Z3382" s="6">
        <f t="shared" si="462"/>
        <v>1</v>
      </c>
      <c r="AA3382" t="e">
        <f t="shared" si="463"/>
        <v>#VALUE!</v>
      </c>
      <c r="AB3382" t="str">
        <f t="shared" si="464"/>
        <v/>
      </c>
      <c r="AC3382" t="e">
        <f t="shared" si="465"/>
        <v>#VALUE!</v>
      </c>
    </row>
    <row r="3383" spans="1:29" x14ac:dyDescent="0.2">
      <c r="A3383" t="str">
        <f t="shared" si="466"/>
        <v/>
      </c>
      <c r="E3383" s="4"/>
      <c r="F3383" s="46"/>
      <c r="G3383" s="4"/>
      <c r="H3383" s="48"/>
      <c r="J3383" s="26" t="str">
        <f t="shared" si="467"/>
        <v/>
      </c>
      <c r="N3383" t="str">
        <f t="shared" si="468"/>
        <v/>
      </c>
      <c r="Q3383" t="str">
        <f t="shared" si="469"/>
        <v/>
      </c>
      <c r="S3383" t="str">
        <f>IF(A3383=1,MAX($S$2:$S3382)+1,IF(OR($I3383&lt;&gt;"",A3383="x"),$S3382,""))</f>
        <v/>
      </c>
      <c r="T3383" t="str">
        <f>IF(D3383=1,MAX($T$2:$T3382)+1,IF(S3383=S3382,$T3382,IF(D3383="x",T3382,IF(D3382="x","",""))))</f>
        <v/>
      </c>
      <c r="U3383" t="str">
        <f>IF(B3383=1,MAX($U$2:$U3382)+1,IF(AND($T3383&lt;&gt;"",$T3383=$T3382),$U3382,IF(B3383="x",U3382,"")))</f>
        <v/>
      </c>
      <c r="V3383" t="str">
        <f>IF(C3383=1,MAX($V$2:$V3382)+1,IF(AND($T3383&lt;&gt;"",$T3383=$T3382),$U3382,IF(C3383="x",V3382,"")))</f>
        <v/>
      </c>
      <c r="X3383" cm="1">
        <f t="array" ref="X3383">IF($I3383&lt;&gt;"",$I3383,INDEX($I$1:$I3383,ROW()-COUNTIFS($T$1:$T3383,"="&amp;$T3383,$S$1:$S3383,"&lt;"&amp;$S3383)))</f>
        <v>0</v>
      </c>
      <c r="Z3383" s="6">
        <f t="shared" si="462"/>
        <v>1</v>
      </c>
      <c r="AA3383" t="e">
        <f t="shared" si="463"/>
        <v>#VALUE!</v>
      </c>
      <c r="AB3383" t="str">
        <f t="shared" si="464"/>
        <v/>
      </c>
      <c r="AC3383" t="e">
        <f t="shared" si="465"/>
        <v>#VALUE!</v>
      </c>
    </row>
    <row r="3384" spans="1:29" x14ac:dyDescent="0.2">
      <c r="A3384" t="str">
        <f t="shared" si="466"/>
        <v/>
      </c>
      <c r="E3384" s="4"/>
      <c r="F3384" s="46"/>
      <c r="G3384" s="4"/>
      <c r="H3384" s="48"/>
      <c r="J3384" s="26" t="str">
        <f t="shared" si="467"/>
        <v/>
      </c>
      <c r="N3384" t="str">
        <f t="shared" si="468"/>
        <v/>
      </c>
      <c r="Q3384" t="str">
        <f t="shared" si="469"/>
        <v/>
      </c>
      <c r="S3384" t="str">
        <f>IF(A3384=1,MAX($S$2:$S3383)+1,IF(OR($I3384&lt;&gt;"",A3384="x"),$S3383,""))</f>
        <v/>
      </c>
      <c r="T3384" t="str">
        <f>IF(D3384=1,MAX($T$2:$T3383)+1,IF(S3384=S3383,$T3383,IF(D3384="x",T3383,IF(D3383="x","",""))))</f>
        <v/>
      </c>
      <c r="U3384" t="str">
        <f>IF(B3384=1,MAX($U$2:$U3383)+1,IF(AND($T3384&lt;&gt;"",$T3384=$T3383),$U3383,IF(B3384="x",U3383,"")))</f>
        <v/>
      </c>
      <c r="V3384" t="str">
        <f>IF(C3384=1,MAX($V$2:$V3383)+1,IF(AND($T3384&lt;&gt;"",$T3384=$T3383),$U3383,IF(C3384="x",V3383,"")))</f>
        <v/>
      </c>
      <c r="X3384" cm="1">
        <f t="array" ref="X3384">IF($I3384&lt;&gt;"",$I3384,INDEX($I$1:$I3384,ROW()-COUNTIFS($T$1:$T3384,"="&amp;$T3384,$S$1:$S3384,"&lt;"&amp;$S3384)))</f>
        <v>0</v>
      </c>
      <c r="Z3384" s="6">
        <f t="shared" si="462"/>
        <v>1</v>
      </c>
      <c r="AA3384" t="e">
        <f t="shared" si="463"/>
        <v>#VALUE!</v>
      </c>
      <c r="AB3384" t="str">
        <f t="shared" si="464"/>
        <v/>
      </c>
      <c r="AC3384" t="e">
        <f t="shared" si="465"/>
        <v>#VALUE!</v>
      </c>
    </row>
    <row r="3385" spans="1:29" x14ac:dyDescent="0.2">
      <c r="A3385" t="str">
        <f t="shared" si="466"/>
        <v/>
      </c>
      <c r="E3385" s="4"/>
      <c r="F3385" s="46"/>
      <c r="G3385" s="4"/>
      <c r="H3385" s="48"/>
      <c r="J3385" s="26" t="str">
        <f t="shared" si="467"/>
        <v/>
      </c>
      <c r="N3385" t="str">
        <f t="shared" si="468"/>
        <v/>
      </c>
      <c r="Q3385" t="str">
        <f t="shared" si="469"/>
        <v/>
      </c>
      <c r="S3385" t="str">
        <f>IF(A3385=1,MAX($S$2:$S3384)+1,IF(OR($I3385&lt;&gt;"",A3385="x"),$S3384,""))</f>
        <v/>
      </c>
      <c r="T3385" t="str">
        <f>IF(D3385=1,MAX($T$2:$T3384)+1,IF(S3385=S3384,$T3384,IF(D3385="x",T3384,IF(D3384="x","",""))))</f>
        <v/>
      </c>
      <c r="U3385" t="str">
        <f>IF(B3385=1,MAX($U$2:$U3384)+1,IF(AND($T3385&lt;&gt;"",$T3385=$T3384),$U3384,IF(B3385="x",U3384,"")))</f>
        <v/>
      </c>
      <c r="V3385" t="str">
        <f>IF(C3385=1,MAX($V$2:$V3384)+1,IF(AND($T3385&lt;&gt;"",$T3385=$T3384),$U3384,IF(C3385="x",V3384,"")))</f>
        <v/>
      </c>
      <c r="X3385" cm="1">
        <f t="array" ref="X3385">IF($I3385&lt;&gt;"",$I3385,INDEX($I$1:$I3385,ROW()-COUNTIFS($T$1:$T3385,"="&amp;$T3385,$S$1:$S3385,"&lt;"&amp;$S3385)))</f>
        <v>0</v>
      </c>
      <c r="Z3385" s="6">
        <f t="shared" si="462"/>
        <v>1</v>
      </c>
      <c r="AA3385" t="e">
        <f t="shared" si="463"/>
        <v>#VALUE!</v>
      </c>
      <c r="AB3385" t="str">
        <f t="shared" si="464"/>
        <v/>
      </c>
      <c r="AC3385" t="e">
        <f t="shared" si="465"/>
        <v>#VALUE!</v>
      </c>
    </row>
    <row r="3386" spans="1:29" x14ac:dyDescent="0.2">
      <c r="A3386" t="str">
        <f t="shared" si="466"/>
        <v/>
      </c>
      <c r="E3386" s="4"/>
      <c r="F3386" s="46"/>
      <c r="G3386" s="4"/>
      <c r="H3386" s="48"/>
      <c r="J3386" s="26" t="str">
        <f t="shared" si="467"/>
        <v/>
      </c>
      <c r="N3386" t="str">
        <f t="shared" si="468"/>
        <v/>
      </c>
      <c r="Q3386" t="str">
        <f t="shared" si="469"/>
        <v/>
      </c>
      <c r="S3386" t="str">
        <f>IF(A3386=1,MAX($S$2:$S3385)+1,IF(OR($I3386&lt;&gt;"",A3386="x"),$S3385,""))</f>
        <v/>
      </c>
      <c r="T3386" t="str">
        <f>IF(D3386=1,MAX($T$2:$T3385)+1,IF(S3386=S3385,$T3385,IF(D3386="x",T3385,IF(D3385="x","",""))))</f>
        <v/>
      </c>
      <c r="U3386" t="str">
        <f>IF(B3386=1,MAX($U$2:$U3385)+1,IF(AND($T3386&lt;&gt;"",$T3386=$T3385),$U3385,IF(B3386="x",U3385,"")))</f>
        <v/>
      </c>
      <c r="V3386" t="str">
        <f>IF(C3386=1,MAX($V$2:$V3385)+1,IF(AND($T3386&lt;&gt;"",$T3386=$T3385),$U3385,IF(C3386="x",V3385,"")))</f>
        <v/>
      </c>
      <c r="X3386" cm="1">
        <f t="array" ref="X3386">IF($I3386&lt;&gt;"",$I3386,INDEX($I$1:$I3386,ROW()-COUNTIFS($T$1:$T3386,"="&amp;$T3386,$S$1:$S3386,"&lt;"&amp;$S3386)))</f>
        <v>0</v>
      </c>
      <c r="Z3386" s="6">
        <f t="shared" si="462"/>
        <v>1</v>
      </c>
      <c r="AA3386" t="e">
        <f t="shared" si="463"/>
        <v>#VALUE!</v>
      </c>
      <c r="AB3386" t="str">
        <f t="shared" si="464"/>
        <v/>
      </c>
      <c r="AC3386" t="e">
        <f t="shared" si="465"/>
        <v>#VALUE!</v>
      </c>
    </row>
    <row r="3387" spans="1:29" x14ac:dyDescent="0.2">
      <c r="A3387" t="str">
        <f t="shared" si="466"/>
        <v/>
      </c>
      <c r="E3387" s="4"/>
      <c r="F3387" s="46"/>
      <c r="G3387" s="4"/>
      <c r="H3387" s="48"/>
      <c r="J3387" s="26" t="str">
        <f t="shared" si="467"/>
        <v/>
      </c>
      <c r="N3387" t="str">
        <f t="shared" si="468"/>
        <v/>
      </c>
      <c r="Q3387" t="str">
        <f t="shared" si="469"/>
        <v/>
      </c>
      <c r="S3387" t="str">
        <f>IF(A3387=1,MAX($S$2:$S3386)+1,IF(OR($I3387&lt;&gt;"",A3387="x"),$S3386,""))</f>
        <v/>
      </c>
      <c r="T3387" t="str">
        <f>IF(D3387=1,MAX($T$2:$T3386)+1,IF(S3387=S3386,$T3386,IF(D3387="x",T3386,IF(D3386="x","",""))))</f>
        <v/>
      </c>
      <c r="U3387" t="str">
        <f>IF(B3387=1,MAX($U$2:$U3386)+1,IF(AND($T3387&lt;&gt;"",$T3387=$T3386),$U3386,IF(B3387="x",U3386,"")))</f>
        <v/>
      </c>
      <c r="V3387" t="str">
        <f>IF(C3387=1,MAX($V$2:$V3386)+1,IF(AND($T3387&lt;&gt;"",$T3387=$T3386),$U3386,IF(C3387="x",V3386,"")))</f>
        <v/>
      </c>
      <c r="X3387" cm="1">
        <f t="array" ref="X3387">IF($I3387&lt;&gt;"",$I3387,INDEX($I$1:$I3387,ROW()-COUNTIFS($T$1:$T3387,"="&amp;$T3387,$S$1:$S3387,"&lt;"&amp;$S3387)))</f>
        <v>0</v>
      </c>
      <c r="Z3387" s="6">
        <f t="shared" si="462"/>
        <v>1</v>
      </c>
      <c r="AA3387" t="e">
        <f t="shared" si="463"/>
        <v>#VALUE!</v>
      </c>
      <c r="AB3387" t="str">
        <f t="shared" si="464"/>
        <v/>
      </c>
      <c r="AC3387" t="e">
        <f t="shared" si="465"/>
        <v>#VALUE!</v>
      </c>
    </row>
    <row r="3388" spans="1:29" x14ac:dyDescent="0.2">
      <c r="A3388" t="str">
        <f t="shared" si="466"/>
        <v/>
      </c>
      <c r="E3388" s="4"/>
      <c r="F3388" s="46"/>
      <c r="G3388" s="4"/>
      <c r="H3388" s="48"/>
      <c r="J3388" s="26" t="str">
        <f t="shared" si="467"/>
        <v/>
      </c>
      <c r="N3388" t="str">
        <f t="shared" si="468"/>
        <v/>
      </c>
      <c r="Q3388" t="str">
        <f t="shared" si="469"/>
        <v/>
      </c>
      <c r="S3388" t="str">
        <f>IF(A3388=1,MAX($S$2:$S3387)+1,IF(OR($I3388&lt;&gt;"",A3388="x"),$S3387,""))</f>
        <v/>
      </c>
      <c r="T3388" t="str">
        <f>IF(D3388=1,MAX($T$2:$T3387)+1,IF(S3388=S3387,$T3387,IF(D3388="x",T3387,IF(D3387="x","",""))))</f>
        <v/>
      </c>
      <c r="U3388" t="str">
        <f>IF(B3388=1,MAX($U$2:$U3387)+1,IF(AND($T3388&lt;&gt;"",$T3388=$T3387),$U3387,IF(B3388="x",U3387,"")))</f>
        <v/>
      </c>
      <c r="V3388" t="str">
        <f>IF(C3388=1,MAX($V$2:$V3387)+1,IF(AND($T3388&lt;&gt;"",$T3388=$T3387),$U3387,IF(C3388="x",V3387,"")))</f>
        <v/>
      </c>
      <c r="X3388" cm="1">
        <f t="array" ref="X3388">IF($I3388&lt;&gt;"",$I3388,INDEX($I$1:$I3388,ROW()-COUNTIFS($T$1:$T3388,"="&amp;$T3388,$S$1:$S3388,"&lt;"&amp;$S3388)))</f>
        <v>0</v>
      </c>
      <c r="Z3388" s="6">
        <f t="shared" si="462"/>
        <v>1</v>
      </c>
      <c r="AA3388" t="e">
        <f t="shared" si="463"/>
        <v>#VALUE!</v>
      </c>
      <c r="AB3388" t="str">
        <f t="shared" si="464"/>
        <v/>
      </c>
      <c r="AC3388" t="e">
        <f t="shared" si="465"/>
        <v>#VALUE!</v>
      </c>
    </row>
    <row r="3389" spans="1:29" x14ac:dyDescent="0.2">
      <c r="A3389" t="str">
        <f t="shared" si="466"/>
        <v/>
      </c>
      <c r="E3389" s="4"/>
      <c r="F3389" s="46"/>
      <c r="G3389" s="4"/>
      <c r="H3389" s="48"/>
      <c r="J3389" s="26" t="str">
        <f t="shared" si="467"/>
        <v/>
      </c>
      <c r="N3389" t="str">
        <f t="shared" si="468"/>
        <v/>
      </c>
      <c r="Q3389" t="str">
        <f t="shared" si="469"/>
        <v/>
      </c>
      <c r="S3389" t="str">
        <f>IF(A3389=1,MAX($S$2:$S3388)+1,IF(OR($I3389&lt;&gt;"",A3389="x"),$S3388,""))</f>
        <v/>
      </c>
      <c r="T3389" t="str">
        <f>IF(D3389=1,MAX($T$2:$T3388)+1,IF(S3389=S3388,$T3388,IF(D3389="x",T3388,IF(D3388="x","",""))))</f>
        <v/>
      </c>
      <c r="U3389" t="str">
        <f>IF(B3389=1,MAX($U$2:$U3388)+1,IF(AND($T3389&lt;&gt;"",$T3389=$T3388),$U3388,IF(B3389="x",U3388,"")))</f>
        <v/>
      </c>
      <c r="V3389" t="str">
        <f>IF(C3389=1,MAX($V$2:$V3388)+1,IF(AND($T3389&lt;&gt;"",$T3389=$T3388),$U3388,IF(C3389="x",V3388,"")))</f>
        <v/>
      </c>
      <c r="X3389" cm="1">
        <f t="array" ref="X3389">IF($I3389&lt;&gt;"",$I3389,INDEX($I$1:$I3389,ROW()-COUNTIFS($T$1:$T3389,"="&amp;$T3389,$S$1:$S3389,"&lt;"&amp;$S3389)))</f>
        <v>0</v>
      </c>
      <c r="Z3389" s="6">
        <f t="shared" si="462"/>
        <v>1</v>
      </c>
      <c r="AA3389" t="e">
        <f t="shared" si="463"/>
        <v>#VALUE!</v>
      </c>
      <c r="AB3389" t="str">
        <f t="shared" si="464"/>
        <v/>
      </c>
      <c r="AC3389" t="e">
        <f t="shared" si="465"/>
        <v>#VALUE!</v>
      </c>
    </row>
    <row r="3390" spans="1:29" x14ac:dyDescent="0.2">
      <c r="A3390" t="str">
        <f t="shared" si="466"/>
        <v/>
      </c>
      <c r="E3390" s="4"/>
      <c r="F3390" s="46"/>
      <c r="G3390" s="4"/>
      <c r="H3390" s="48"/>
      <c r="J3390" s="26" t="str">
        <f t="shared" si="467"/>
        <v/>
      </c>
      <c r="N3390" t="str">
        <f t="shared" si="468"/>
        <v/>
      </c>
      <c r="Q3390" t="str">
        <f t="shared" si="469"/>
        <v/>
      </c>
      <c r="S3390" t="str">
        <f>IF(A3390=1,MAX($S$2:$S3389)+1,IF(OR($I3390&lt;&gt;"",A3390="x"),$S3389,""))</f>
        <v/>
      </c>
      <c r="T3390" t="str">
        <f>IF(D3390=1,MAX($T$2:$T3389)+1,IF(S3390=S3389,$T3389,IF(D3390="x",T3389,IF(D3389="x","",""))))</f>
        <v/>
      </c>
      <c r="U3390" t="str">
        <f>IF(B3390=1,MAX($U$2:$U3389)+1,IF(AND($T3390&lt;&gt;"",$T3390=$T3389),$U3389,IF(B3390="x",U3389,"")))</f>
        <v/>
      </c>
      <c r="V3390" t="str">
        <f>IF(C3390=1,MAX($V$2:$V3389)+1,IF(AND($T3390&lt;&gt;"",$T3390=$T3389),$U3389,IF(C3390="x",V3389,"")))</f>
        <v/>
      </c>
      <c r="X3390" cm="1">
        <f t="array" ref="X3390">IF($I3390&lt;&gt;"",$I3390,INDEX($I$1:$I3390,ROW()-COUNTIFS($T$1:$T3390,"="&amp;$T3390,$S$1:$S3390,"&lt;"&amp;$S3390)))</f>
        <v>0</v>
      </c>
      <c r="Z3390" s="6">
        <f t="shared" si="462"/>
        <v>1</v>
      </c>
      <c r="AA3390" t="e">
        <f t="shared" si="463"/>
        <v>#VALUE!</v>
      </c>
      <c r="AB3390" t="str">
        <f t="shared" si="464"/>
        <v/>
      </c>
      <c r="AC3390" t="e">
        <f t="shared" si="465"/>
        <v>#VALUE!</v>
      </c>
    </row>
    <row r="3391" spans="1:29" x14ac:dyDescent="0.2">
      <c r="A3391" t="str">
        <f t="shared" si="466"/>
        <v/>
      </c>
      <c r="E3391" s="4"/>
      <c r="F3391" s="46"/>
      <c r="G3391" s="4"/>
      <c r="H3391" s="48"/>
      <c r="J3391" s="26" t="str">
        <f t="shared" si="467"/>
        <v/>
      </c>
      <c r="N3391" t="str">
        <f t="shared" si="468"/>
        <v/>
      </c>
      <c r="Q3391" t="str">
        <f t="shared" si="469"/>
        <v/>
      </c>
      <c r="S3391" t="str">
        <f>IF(A3391=1,MAX($S$2:$S3390)+1,IF(OR($I3391&lt;&gt;"",A3391="x"),$S3390,""))</f>
        <v/>
      </c>
      <c r="T3391" t="str">
        <f>IF(D3391=1,MAX($T$2:$T3390)+1,IF(S3391=S3390,$T3390,IF(D3391="x",T3390,IF(D3390="x","",""))))</f>
        <v/>
      </c>
      <c r="U3391" t="str">
        <f>IF(B3391=1,MAX($U$2:$U3390)+1,IF(AND($T3391&lt;&gt;"",$T3391=$T3390),$U3390,IF(B3391="x",U3390,"")))</f>
        <v/>
      </c>
      <c r="V3391" t="str">
        <f>IF(C3391=1,MAX($V$2:$V3390)+1,IF(AND($T3391&lt;&gt;"",$T3391=$T3390),$U3390,IF(C3391="x",V3390,"")))</f>
        <v/>
      </c>
      <c r="X3391" cm="1">
        <f t="array" ref="X3391">IF($I3391&lt;&gt;"",$I3391,INDEX($I$1:$I3391,ROW()-COUNTIFS($T$1:$T3391,"="&amp;$T3391,$S$1:$S3391,"&lt;"&amp;$S3391)))</f>
        <v>0</v>
      </c>
      <c r="Z3391" s="6">
        <f t="shared" si="462"/>
        <v>1</v>
      </c>
      <c r="AA3391" t="e">
        <f t="shared" si="463"/>
        <v>#VALUE!</v>
      </c>
      <c r="AB3391" t="str">
        <f t="shared" si="464"/>
        <v/>
      </c>
      <c r="AC3391" t="e">
        <f t="shared" si="465"/>
        <v>#VALUE!</v>
      </c>
    </row>
    <row r="3392" spans="1:29" x14ac:dyDescent="0.2">
      <c r="A3392" t="str">
        <f t="shared" si="466"/>
        <v/>
      </c>
      <c r="E3392" s="4"/>
      <c r="F3392" s="46"/>
      <c r="G3392" s="4"/>
      <c r="H3392" s="48"/>
      <c r="J3392" s="26" t="str">
        <f t="shared" si="467"/>
        <v/>
      </c>
      <c r="N3392" t="str">
        <f t="shared" si="468"/>
        <v/>
      </c>
      <c r="Q3392" t="str">
        <f t="shared" si="469"/>
        <v/>
      </c>
      <c r="S3392" t="str">
        <f>IF(A3392=1,MAX($S$2:$S3391)+1,IF(OR($I3392&lt;&gt;"",A3392="x"),$S3391,""))</f>
        <v/>
      </c>
      <c r="T3392" t="str">
        <f>IF(D3392=1,MAX($T$2:$T3391)+1,IF(S3392=S3391,$T3391,IF(D3392="x",T3391,IF(D3391="x","",""))))</f>
        <v/>
      </c>
      <c r="U3392" t="str">
        <f>IF(B3392=1,MAX($U$2:$U3391)+1,IF(AND($T3392&lt;&gt;"",$T3392=$T3391),$U3391,IF(B3392="x",U3391,"")))</f>
        <v/>
      </c>
      <c r="V3392" t="str">
        <f>IF(C3392=1,MAX($V$2:$V3391)+1,IF(AND($T3392&lt;&gt;"",$T3392=$T3391),$U3391,IF(C3392="x",V3391,"")))</f>
        <v/>
      </c>
      <c r="X3392" cm="1">
        <f t="array" ref="X3392">IF($I3392&lt;&gt;"",$I3392,INDEX($I$1:$I3392,ROW()-COUNTIFS($T$1:$T3392,"="&amp;$T3392,$S$1:$S3392,"&lt;"&amp;$S3392)))</f>
        <v>0</v>
      </c>
      <c r="Z3392" s="6">
        <f t="shared" si="462"/>
        <v>1</v>
      </c>
      <c r="AA3392" t="e">
        <f t="shared" si="463"/>
        <v>#VALUE!</v>
      </c>
      <c r="AB3392" t="str">
        <f t="shared" si="464"/>
        <v/>
      </c>
      <c r="AC3392" t="e">
        <f t="shared" si="465"/>
        <v>#VALUE!</v>
      </c>
    </row>
    <row r="3393" spans="1:29" x14ac:dyDescent="0.2">
      <c r="A3393" t="str">
        <f t="shared" si="466"/>
        <v/>
      </c>
      <c r="E3393" s="4"/>
      <c r="F3393" s="46"/>
      <c r="G3393" s="4"/>
      <c r="H3393" s="48"/>
      <c r="J3393" s="26" t="str">
        <f t="shared" si="467"/>
        <v/>
      </c>
      <c r="N3393" t="str">
        <f t="shared" si="468"/>
        <v/>
      </c>
      <c r="Q3393" t="str">
        <f t="shared" si="469"/>
        <v/>
      </c>
      <c r="S3393" t="str">
        <f>IF(A3393=1,MAX($S$2:$S3392)+1,IF(OR($I3393&lt;&gt;"",A3393="x"),$S3392,""))</f>
        <v/>
      </c>
      <c r="T3393" t="str">
        <f>IF(D3393=1,MAX($T$2:$T3392)+1,IF(S3393=S3392,$T3392,IF(D3393="x",T3392,IF(D3392="x","",""))))</f>
        <v/>
      </c>
      <c r="U3393" t="str">
        <f>IF(B3393=1,MAX($U$2:$U3392)+1,IF(AND($T3393&lt;&gt;"",$T3393=$T3392),$U3392,IF(B3393="x",U3392,"")))</f>
        <v/>
      </c>
      <c r="V3393" t="str">
        <f>IF(C3393=1,MAX($V$2:$V3392)+1,IF(AND($T3393&lt;&gt;"",$T3393=$T3392),$U3392,IF(C3393="x",V3392,"")))</f>
        <v/>
      </c>
      <c r="X3393" cm="1">
        <f t="array" ref="X3393">IF($I3393&lt;&gt;"",$I3393,INDEX($I$1:$I3393,ROW()-COUNTIFS($T$1:$T3393,"="&amp;$T3393,$S$1:$S3393,"&lt;"&amp;$S3393)))</f>
        <v>0</v>
      </c>
      <c r="Z3393" s="6">
        <f t="shared" si="462"/>
        <v>1</v>
      </c>
      <c r="AA3393" t="e">
        <f t="shared" si="463"/>
        <v>#VALUE!</v>
      </c>
      <c r="AB3393" t="str">
        <f t="shared" si="464"/>
        <v/>
      </c>
      <c r="AC3393" t="e">
        <f t="shared" si="465"/>
        <v>#VALUE!</v>
      </c>
    </row>
    <row r="3394" spans="1:29" x14ac:dyDescent="0.2">
      <c r="A3394" t="str">
        <f t="shared" si="466"/>
        <v/>
      </c>
      <c r="E3394" s="4"/>
      <c r="F3394" s="46"/>
      <c r="G3394" s="4"/>
      <c r="H3394" s="48"/>
      <c r="J3394" s="26" t="str">
        <f t="shared" si="467"/>
        <v/>
      </c>
      <c r="N3394" t="str">
        <f t="shared" si="468"/>
        <v/>
      </c>
      <c r="Q3394" t="str">
        <f t="shared" si="469"/>
        <v/>
      </c>
      <c r="S3394" t="str">
        <f>IF(A3394=1,MAX($S$2:$S3393)+1,IF(OR($I3394&lt;&gt;"",A3394="x"),$S3393,""))</f>
        <v/>
      </c>
      <c r="T3394" t="str">
        <f>IF(D3394=1,MAX($T$2:$T3393)+1,IF(S3394=S3393,$T3393,IF(D3394="x",T3393,IF(D3393="x","",""))))</f>
        <v/>
      </c>
      <c r="U3394" t="str">
        <f>IF(B3394=1,MAX($U$2:$U3393)+1,IF(AND($T3394&lt;&gt;"",$T3394=$T3393),$U3393,IF(B3394="x",U3393,"")))</f>
        <v/>
      </c>
      <c r="V3394" t="str">
        <f>IF(C3394=1,MAX($V$2:$V3393)+1,IF(AND($T3394&lt;&gt;"",$T3394=$T3393),$U3393,IF(C3394="x",V3393,"")))</f>
        <v/>
      </c>
      <c r="X3394" cm="1">
        <f t="array" ref="X3394">IF($I3394&lt;&gt;"",$I3394,INDEX($I$1:$I3394,ROW()-COUNTIFS($T$1:$T3394,"="&amp;$T3394,$S$1:$S3394,"&lt;"&amp;$S3394)))</f>
        <v>0</v>
      </c>
      <c r="Z3394" s="6">
        <f t="shared" si="462"/>
        <v>1</v>
      </c>
      <c r="AA3394" t="e">
        <f t="shared" si="463"/>
        <v>#VALUE!</v>
      </c>
      <c r="AB3394" t="str">
        <f t="shared" si="464"/>
        <v/>
      </c>
      <c r="AC3394" t="e">
        <f t="shared" si="465"/>
        <v>#VALUE!</v>
      </c>
    </row>
    <row r="3395" spans="1:29" x14ac:dyDescent="0.2">
      <c r="A3395" t="str">
        <f t="shared" si="466"/>
        <v/>
      </c>
      <c r="E3395" s="4"/>
      <c r="F3395" s="46"/>
      <c r="G3395" s="4"/>
      <c r="H3395" s="48"/>
      <c r="J3395" s="26" t="str">
        <f t="shared" si="467"/>
        <v/>
      </c>
      <c r="N3395" t="str">
        <f t="shared" si="468"/>
        <v/>
      </c>
      <c r="Q3395" t="str">
        <f t="shared" si="469"/>
        <v/>
      </c>
      <c r="S3395" t="str">
        <f>IF(A3395=1,MAX($S$2:$S3394)+1,IF(OR($I3395&lt;&gt;"",A3395="x"),$S3394,""))</f>
        <v/>
      </c>
      <c r="T3395" t="str">
        <f>IF(D3395=1,MAX($T$2:$T3394)+1,IF(S3395=S3394,$T3394,IF(D3395="x",T3394,IF(D3394="x","",""))))</f>
        <v/>
      </c>
      <c r="U3395" t="str">
        <f>IF(B3395=1,MAX($U$2:$U3394)+1,IF(AND($T3395&lt;&gt;"",$T3395=$T3394),$U3394,IF(B3395="x",U3394,"")))</f>
        <v/>
      </c>
      <c r="V3395" t="str">
        <f>IF(C3395=1,MAX($V$2:$V3394)+1,IF(AND($T3395&lt;&gt;"",$T3395=$T3394),$U3394,IF(C3395="x",V3394,"")))</f>
        <v/>
      </c>
      <c r="X3395" cm="1">
        <f t="array" ref="X3395">IF($I3395&lt;&gt;"",$I3395,INDEX($I$1:$I3395,ROW()-COUNTIFS($T$1:$T3395,"="&amp;$T3395,$S$1:$S3395,"&lt;"&amp;$S3395)))</f>
        <v>0</v>
      </c>
      <c r="Z3395" s="6">
        <f t="shared" si="462"/>
        <v>1</v>
      </c>
      <c r="AA3395" t="e">
        <f t="shared" si="463"/>
        <v>#VALUE!</v>
      </c>
      <c r="AB3395" t="str">
        <f t="shared" si="464"/>
        <v/>
      </c>
      <c r="AC3395" t="e">
        <f t="shared" si="465"/>
        <v>#VALUE!</v>
      </c>
    </row>
    <row r="3396" spans="1:29" x14ac:dyDescent="0.2">
      <c r="A3396" t="str">
        <f t="shared" si="466"/>
        <v/>
      </c>
      <c r="E3396" s="4"/>
      <c r="F3396" s="46"/>
      <c r="G3396" s="4"/>
      <c r="H3396" s="48"/>
      <c r="J3396" s="26" t="str">
        <f t="shared" si="467"/>
        <v/>
      </c>
      <c r="N3396" t="str">
        <f t="shared" si="468"/>
        <v/>
      </c>
      <c r="Q3396" t="str">
        <f t="shared" si="469"/>
        <v/>
      </c>
      <c r="S3396" t="str">
        <f>IF(A3396=1,MAX($S$2:$S3395)+1,IF(OR($I3396&lt;&gt;"",A3396="x"),$S3395,""))</f>
        <v/>
      </c>
      <c r="T3396" t="str">
        <f>IF(D3396=1,MAX($T$2:$T3395)+1,IF(S3396=S3395,$T3395,IF(D3396="x",T3395,IF(D3395="x","",""))))</f>
        <v/>
      </c>
      <c r="U3396" t="str">
        <f>IF(B3396=1,MAX($U$2:$U3395)+1,IF(AND($T3396&lt;&gt;"",$T3396=$T3395),$U3395,IF(B3396="x",U3395,"")))</f>
        <v/>
      </c>
      <c r="V3396" t="str">
        <f>IF(C3396=1,MAX($V$2:$V3395)+1,IF(AND($T3396&lt;&gt;"",$T3396=$T3395),$U3395,IF(C3396="x",V3395,"")))</f>
        <v/>
      </c>
      <c r="X3396" cm="1">
        <f t="array" ref="X3396">IF($I3396&lt;&gt;"",$I3396,INDEX($I$1:$I3396,ROW()-COUNTIFS($T$1:$T3396,"="&amp;$T3396,$S$1:$S3396,"&lt;"&amp;$S3396)))</f>
        <v>0</v>
      </c>
      <c r="Z3396" s="6">
        <f t="shared" si="462"/>
        <v>1</v>
      </c>
      <c r="AA3396" t="e">
        <f t="shared" si="463"/>
        <v>#VALUE!</v>
      </c>
      <c r="AB3396" t="str">
        <f t="shared" si="464"/>
        <v/>
      </c>
      <c r="AC3396" t="e">
        <f t="shared" si="465"/>
        <v>#VALUE!</v>
      </c>
    </row>
    <row r="3397" spans="1:29" x14ac:dyDescent="0.2">
      <c r="A3397" t="str">
        <f t="shared" si="466"/>
        <v/>
      </c>
      <c r="E3397" s="4"/>
      <c r="F3397" s="46"/>
      <c r="G3397" s="4"/>
      <c r="H3397" s="48"/>
      <c r="J3397" s="26" t="str">
        <f t="shared" si="467"/>
        <v/>
      </c>
      <c r="N3397" t="str">
        <f t="shared" si="468"/>
        <v/>
      </c>
      <c r="Q3397" t="str">
        <f t="shared" si="469"/>
        <v/>
      </c>
      <c r="S3397" t="str">
        <f>IF(A3397=1,MAX($S$2:$S3396)+1,IF(OR($I3397&lt;&gt;"",A3397="x"),$S3396,""))</f>
        <v/>
      </c>
      <c r="T3397" t="str">
        <f>IF(D3397=1,MAX($T$2:$T3396)+1,IF(S3397=S3396,$T3396,IF(D3397="x",T3396,IF(D3396="x","",""))))</f>
        <v/>
      </c>
      <c r="U3397" t="str">
        <f>IF(B3397=1,MAX($U$2:$U3396)+1,IF(AND($T3397&lt;&gt;"",$T3397=$T3396),$U3396,IF(B3397="x",U3396,"")))</f>
        <v/>
      </c>
      <c r="V3397" t="str">
        <f>IF(C3397=1,MAX($V$2:$V3396)+1,IF(AND($T3397&lt;&gt;"",$T3397=$T3396),$U3396,IF(C3397="x",V3396,"")))</f>
        <v/>
      </c>
      <c r="X3397" cm="1">
        <f t="array" ref="X3397">IF($I3397&lt;&gt;"",$I3397,INDEX($I$1:$I3397,ROW()-COUNTIFS($T$1:$T3397,"="&amp;$T3397,$S$1:$S3397,"&lt;"&amp;$S3397)))</f>
        <v>0</v>
      </c>
      <c r="Z3397" s="6">
        <f t="shared" ref="Z3397:Z3460" si="470">IF(K3397="Intermission",Z3396+1,Z3396)</f>
        <v>1</v>
      </c>
      <c r="AA3397" t="e">
        <f t="shared" ref="AA3397:AA3460" si="471">S3397+1000</f>
        <v>#VALUE!</v>
      </c>
      <c r="AB3397" t="str">
        <f t="shared" ref="AB3397:AB3460" si="472">IF(T3397&lt;&gt;"",9000+T3397,"")</f>
        <v/>
      </c>
      <c r="AC3397" t="e">
        <f t="shared" ref="AC3397:AC3460" si="473">IF(AB3397&lt;&gt;"",AB3397,S3397+1000)</f>
        <v>#VALUE!</v>
      </c>
    </row>
    <row r="3398" spans="1:29" x14ac:dyDescent="0.2">
      <c r="A3398" t="str">
        <f t="shared" si="466"/>
        <v/>
      </c>
      <c r="E3398" s="4"/>
      <c r="F3398" s="46"/>
      <c r="G3398" s="4"/>
      <c r="H3398" s="48"/>
      <c r="J3398" s="26" t="str">
        <f t="shared" si="467"/>
        <v/>
      </c>
      <c r="N3398" t="str">
        <f t="shared" si="468"/>
        <v/>
      </c>
      <c r="Q3398" t="str">
        <f t="shared" si="469"/>
        <v/>
      </c>
      <c r="S3398" t="str">
        <f>IF(A3398=1,MAX($S$2:$S3397)+1,IF(OR($I3398&lt;&gt;"",A3398="x"),$S3397,""))</f>
        <v/>
      </c>
      <c r="T3398" t="str">
        <f>IF(D3398=1,MAX($T$2:$T3397)+1,IF(S3398=S3397,$T3397,IF(D3398="x",T3397,IF(D3397="x","",""))))</f>
        <v/>
      </c>
      <c r="U3398" t="str">
        <f>IF(B3398=1,MAX($U$2:$U3397)+1,IF(AND($T3398&lt;&gt;"",$T3398=$T3397),$U3397,IF(B3398="x",U3397,"")))</f>
        <v/>
      </c>
      <c r="V3398" t="str">
        <f>IF(C3398=1,MAX($V$2:$V3397)+1,IF(AND($T3398&lt;&gt;"",$T3398=$T3397),$U3397,IF(C3398="x",V3397,"")))</f>
        <v/>
      </c>
      <c r="X3398" cm="1">
        <f t="array" ref="X3398">IF($I3398&lt;&gt;"",$I3398,INDEX($I$1:$I3398,ROW()-COUNTIFS($T$1:$T3398,"="&amp;$T3398,$S$1:$S3398,"&lt;"&amp;$S3398)))</f>
        <v>0</v>
      </c>
      <c r="Z3398" s="6">
        <f t="shared" si="470"/>
        <v>1</v>
      </c>
      <c r="AA3398" t="e">
        <f t="shared" si="471"/>
        <v>#VALUE!</v>
      </c>
      <c r="AB3398" t="str">
        <f t="shared" si="472"/>
        <v/>
      </c>
      <c r="AC3398" t="e">
        <f t="shared" si="473"/>
        <v>#VALUE!</v>
      </c>
    </row>
    <row r="3399" spans="1:29" x14ac:dyDescent="0.2">
      <c r="A3399" t="str">
        <f t="shared" si="466"/>
        <v/>
      </c>
      <c r="E3399" s="4"/>
      <c r="F3399" s="46"/>
      <c r="G3399" s="4"/>
      <c r="H3399" s="48"/>
      <c r="J3399" s="26" t="str">
        <f t="shared" si="467"/>
        <v/>
      </c>
      <c r="N3399" t="str">
        <f t="shared" si="468"/>
        <v/>
      </c>
      <c r="Q3399" t="str">
        <f t="shared" si="469"/>
        <v/>
      </c>
      <c r="S3399" t="str">
        <f>IF(A3399=1,MAX($S$2:$S3398)+1,IF(OR($I3399&lt;&gt;"",A3399="x"),$S3398,""))</f>
        <v/>
      </c>
      <c r="T3399" t="str">
        <f>IF(D3399=1,MAX($T$2:$T3398)+1,IF(S3399=S3398,$T3398,IF(D3399="x",T3398,IF(D3398="x","",""))))</f>
        <v/>
      </c>
      <c r="U3399" t="str">
        <f>IF(B3399=1,MAX($U$2:$U3398)+1,IF(AND($T3399&lt;&gt;"",$T3399=$T3398),$U3398,IF(B3399="x",U3398,"")))</f>
        <v/>
      </c>
      <c r="V3399" t="str">
        <f>IF(C3399=1,MAX($V$2:$V3398)+1,IF(AND($T3399&lt;&gt;"",$T3399=$T3398),$U3398,IF(C3399="x",V3398,"")))</f>
        <v/>
      </c>
      <c r="X3399" cm="1">
        <f t="array" ref="X3399">IF($I3399&lt;&gt;"",$I3399,INDEX($I$1:$I3399,ROW()-COUNTIFS($T$1:$T3399,"="&amp;$T3399,$S$1:$S3399,"&lt;"&amp;$S3399)))</f>
        <v>0</v>
      </c>
      <c r="Z3399" s="6">
        <f t="shared" si="470"/>
        <v>1</v>
      </c>
      <c r="AA3399" t="e">
        <f t="shared" si="471"/>
        <v>#VALUE!</v>
      </c>
      <c r="AB3399" t="str">
        <f t="shared" si="472"/>
        <v/>
      </c>
      <c r="AC3399" t="e">
        <f t="shared" si="473"/>
        <v>#VALUE!</v>
      </c>
    </row>
    <row r="3400" spans="1:29" x14ac:dyDescent="0.2">
      <c r="A3400" t="str">
        <f t="shared" si="466"/>
        <v/>
      </c>
      <c r="E3400" s="4"/>
      <c r="F3400" s="46"/>
      <c r="G3400" s="4"/>
      <c r="H3400" s="48"/>
      <c r="J3400" s="26" t="str">
        <f t="shared" si="467"/>
        <v/>
      </c>
      <c r="N3400" t="str">
        <f t="shared" si="468"/>
        <v/>
      </c>
      <c r="Q3400" t="str">
        <f t="shared" si="469"/>
        <v/>
      </c>
      <c r="S3400" t="str">
        <f>IF(A3400=1,MAX($S$2:$S3399)+1,IF(OR($I3400&lt;&gt;"",A3400="x"),$S3399,""))</f>
        <v/>
      </c>
      <c r="T3400" t="str">
        <f>IF(D3400=1,MAX($T$2:$T3399)+1,IF(S3400=S3399,$T3399,IF(D3400="x",T3399,IF(D3399="x","",""))))</f>
        <v/>
      </c>
      <c r="U3400" t="str">
        <f>IF(B3400=1,MAX($U$2:$U3399)+1,IF(AND($T3400&lt;&gt;"",$T3400=$T3399),$U3399,IF(B3400="x",U3399,"")))</f>
        <v/>
      </c>
      <c r="V3400" t="str">
        <f>IF(C3400=1,MAX($V$2:$V3399)+1,IF(AND($T3400&lt;&gt;"",$T3400=$T3399),$U3399,IF(C3400="x",V3399,"")))</f>
        <v/>
      </c>
      <c r="X3400" cm="1">
        <f t="array" ref="X3400">IF($I3400&lt;&gt;"",$I3400,INDEX($I$1:$I3400,ROW()-COUNTIFS($T$1:$T3400,"="&amp;$T3400,$S$1:$S3400,"&lt;"&amp;$S3400)))</f>
        <v>0</v>
      </c>
      <c r="Z3400" s="6">
        <f t="shared" si="470"/>
        <v>1</v>
      </c>
      <c r="AA3400" t="e">
        <f t="shared" si="471"/>
        <v>#VALUE!</v>
      </c>
      <c r="AB3400" t="str">
        <f t="shared" si="472"/>
        <v/>
      </c>
      <c r="AC3400" t="e">
        <f t="shared" si="473"/>
        <v>#VALUE!</v>
      </c>
    </row>
    <row r="3401" spans="1:29" x14ac:dyDescent="0.2">
      <c r="A3401" t="str">
        <f t="shared" si="466"/>
        <v/>
      </c>
      <c r="E3401" s="4"/>
      <c r="F3401" s="46"/>
      <c r="G3401" s="4"/>
      <c r="H3401" s="48"/>
      <c r="J3401" s="26" t="str">
        <f t="shared" si="467"/>
        <v/>
      </c>
      <c r="N3401" t="str">
        <f t="shared" si="468"/>
        <v/>
      </c>
      <c r="Q3401" t="str">
        <f t="shared" si="469"/>
        <v/>
      </c>
      <c r="S3401" t="str">
        <f>IF(A3401=1,MAX($S$2:$S3400)+1,IF(OR($I3401&lt;&gt;"",A3401="x"),$S3400,""))</f>
        <v/>
      </c>
      <c r="T3401" t="str">
        <f>IF(D3401=1,MAX($T$2:$T3400)+1,IF(S3401=S3400,$T3400,IF(D3401="x",T3400,IF(D3400="x","",""))))</f>
        <v/>
      </c>
      <c r="U3401" t="str">
        <f>IF(B3401=1,MAX($U$2:$U3400)+1,IF(AND($T3401&lt;&gt;"",$T3401=$T3400),$U3400,IF(B3401="x",U3400,"")))</f>
        <v/>
      </c>
      <c r="V3401" t="str">
        <f>IF(C3401=1,MAX($V$2:$V3400)+1,IF(AND($T3401&lt;&gt;"",$T3401=$T3400),$U3400,IF(C3401="x",V3400,"")))</f>
        <v/>
      </c>
      <c r="X3401" cm="1">
        <f t="array" ref="X3401">IF($I3401&lt;&gt;"",$I3401,INDEX($I$1:$I3401,ROW()-COUNTIFS($T$1:$T3401,"="&amp;$T3401,$S$1:$S3401,"&lt;"&amp;$S3401)))</f>
        <v>0</v>
      </c>
      <c r="Z3401" s="6">
        <f t="shared" si="470"/>
        <v>1</v>
      </c>
      <c r="AA3401" t="e">
        <f t="shared" si="471"/>
        <v>#VALUE!</v>
      </c>
      <c r="AB3401" t="str">
        <f t="shared" si="472"/>
        <v/>
      </c>
      <c r="AC3401" t="e">
        <f t="shared" si="473"/>
        <v>#VALUE!</v>
      </c>
    </row>
    <row r="3402" spans="1:29" x14ac:dyDescent="0.2">
      <c r="A3402" t="str">
        <f t="shared" si="466"/>
        <v/>
      </c>
      <c r="E3402" s="4"/>
      <c r="F3402" s="46"/>
      <c r="G3402" s="4"/>
      <c r="H3402" s="48"/>
      <c r="J3402" s="26" t="str">
        <f t="shared" si="467"/>
        <v/>
      </c>
      <c r="N3402" t="str">
        <f t="shared" si="468"/>
        <v/>
      </c>
      <c r="Q3402" t="str">
        <f t="shared" si="469"/>
        <v/>
      </c>
      <c r="S3402" t="str">
        <f>IF(A3402=1,MAX($S$2:$S3401)+1,IF(OR($I3402&lt;&gt;"",A3402="x"),$S3401,""))</f>
        <v/>
      </c>
      <c r="T3402" t="str">
        <f>IF(D3402=1,MAX($T$2:$T3401)+1,IF(S3402=S3401,$T3401,IF(D3402="x",T3401,IF(D3401="x","",""))))</f>
        <v/>
      </c>
      <c r="U3402" t="str">
        <f>IF(B3402=1,MAX($U$2:$U3401)+1,IF(AND($T3402&lt;&gt;"",$T3402=$T3401),$U3401,IF(B3402="x",U3401,"")))</f>
        <v/>
      </c>
      <c r="V3402" t="str">
        <f>IF(C3402=1,MAX($V$2:$V3401)+1,IF(AND($T3402&lt;&gt;"",$T3402=$T3401),$U3401,IF(C3402="x",V3401,"")))</f>
        <v/>
      </c>
      <c r="X3402" cm="1">
        <f t="array" ref="X3402">IF($I3402&lt;&gt;"",$I3402,INDEX($I$1:$I3402,ROW()-COUNTIFS($T$1:$T3402,"="&amp;$T3402,$S$1:$S3402,"&lt;"&amp;$S3402)))</f>
        <v>0</v>
      </c>
      <c r="Z3402" s="6">
        <f t="shared" si="470"/>
        <v>1</v>
      </c>
      <c r="AA3402" t="e">
        <f t="shared" si="471"/>
        <v>#VALUE!</v>
      </c>
      <c r="AB3402" t="str">
        <f t="shared" si="472"/>
        <v/>
      </c>
      <c r="AC3402" t="e">
        <f t="shared" si="473"/>
        <v>#VALUE!</v>
      </c>
    </row>
    <row r="3403" spans="1:29" x14ac:dyDescent="0.2">
      <c r="A3403" t="str">
        <f t="shared" si="466"/>
        <v/>
      </c>
      <c r="E3403" s="4"/>
      <c r="F3403" s="46"/>
      <c r="G3403" s="4"/>
      <c r="H3403" s="48"/>
      <c r="J3403" s="26" t="str">
        <f t="shared" si="467"/>
        <v/>
      </c>
      <c r="N3403" t="str">
        <f t="shared" si="468"/>
        <v/>
      </c>
      <c r="Q3403" t="str">
        <f t="shared" si="469"/>
        <v/>
      </c>
      <c r="S3403" t="str">
        <f>IF(A3403=1,MAX($S$2:$S3402)+1,IF(OR($I3403&lt;&gt;"",A3403="x"),$S3402,""))</f>
        <v/>
      </c>
      <c r="T3403" t="str">
        <f>IF(D3403=1,MAX($T$2:$T3402)+1,IF(S3403=S3402,$T3402,IF(D3403="x",T3402,IF(D3402="x","",""))))</f>
        <v/>
      </c>
      <c r="U3403" t="str">
        <f>IF(B3403=1,MAX($U$2:$U3402)+1,IF(AND($T3403&lt;&gt;"",$T3403=$T3402),$U3402,IF(B3403="x",U3402,"")))</f>
        <v/>
      </c>
      <c r="V3403" t="str">
        <f>IF(C3403=1,MAX($V$2:$V3402)+1,IF(AND($T3403&lt;&gt;"",$T3403=$T3402),$U3402,IF(C3403="x",V3402,"")))</f>
        <v/>
      </c>
      <c r="X3403" cm="1">
        <f t="array" ref="X3403">IF($I3403&lt;&gt;"",$I3403,INDEX($I$1:$I3403,ROW()-COUNTIFS($T$1:$T3403,"="&amp;$T3403,$S$1:$S3403,"&lt;"&amp;$S3403)))</f>
        <v>0</v>
      </c>
      <c r="Z3403" s="6">
        <f t="shared" si="470"/>
        <v>1</v>
      </c>
      <c r="AA3403" t="e">
        <f t="shared" si="471"/>
        <v>#VALUE!</v>
      </c>
      <c r="AB3403" t="str">
        <f t="shared" si="472"/>
        <v/>
      </c>
      <c r="AC3403" t="e">
        <f t="shared" si="473"/>
        <v>#VALUE!</v>
      </c>
    </row>
    <row r="3404" spans="1:29" x14ac:dyDescent="0.2">
      <c r="A3404" t="str">
        <f t="shared" si="466"/>
        <v/>
      </c>
      <c r="E3404" s="4"/>
      <c r="F3404" s="46"/>
      <c r="G3404" s="4"/>
      <c r="H3404" s="48"/>
      <c r="J3404" s="26" t="str">
        <f t="shared" si="467"/>
        <v/>
      </c>
      <c r="N3404" t="str">
        <f t="shared" si="468"/>
        <v/>
      </c>
      <c r="Q3404" t="str">
        <f t="shared" si="469"/>
        <v/>
      </c>
      <c r="S3404" t="str">
        <f>IF(A3404=1,MAX($S$2:$S3403)+1,IF(OR($I3404&lt;&gt;"",A3404="x"),$S3403,""))</f>
        <v/>
      </c>
      <c r="T3404" t="str">
        <f>IF(D3404=1,MAX($T$2:$T3403)+1,IF(S3404=S3403,$T3403,IF(D3404="x",T3403,IF(D3403="x","",""))))</f>
        <v/>
      </c>
      <c r="U3404" t="str">
        <f>IF(B3404=1,MAX($U$2:$U3403)+1,IF(AND($T3404&lt;&gt;"",$T3404=$T3403),$U3403,IF(B3404="x",U3403,"")))</f>
        <v/>
      </c>
      <c r="V3404" t="str">
        <f>IF(C3404=1,MAX($V$2:$V3403)+1,IF(AND($T3404&lt;&gt;"",$T3404=$T3403),$U3403,IF(C3404="x",V3403,"")))</f>
        <v/>
      </c>
      <c r="X3404" cm="1">
        <f t="array" ref="X3404">IF($I3404&lt;&gt;"",$I3404,INDEX($I$1:$I3404,ROW()-COUNTIFS($T$1:$T3404,"="&amp;$T3404,$S$1:$S3404,"&lt;"&amp;$S3404)))</f>
        <v>0</v>
      </c>
      <c r="Z3404" s="6">
        <f t="shared" si="470"/>
        <v>1</v>
      </c>
      <c r="AA3404" t="e">
        <f t="shared" si="471"/>
        <v>#VALUE!</v>
      </c>
      <c r="AB3404" t="str">
        <f t="shared" si="472"/>
        <v/>
      </c>
      <c r="AC3404" t="e">
        <f t="shared" si="473"/>
        <v>#VALUE!</v>
      </c>
    </row>
    <row r="3405" spans="1:29" x14ac:dyDescent="0.2">
      <c r="A3405" t="str">
        <f t="shared" si="466"/>
        <v/>
      </c>
      <c r="E3405" s="4"/>
      <c r="F3405" s="46"/>
      <c r="G3405" s="4"/>
      <c r="H3405" s="48"/>
      <c r="J3405" s="26" t="str">
        <f t="shared" si="467"/>
        <v/>
      </c>
      <c r="N3405" t="str">
        <f t="shared" si="468"/>
        <v/>
      </c>
      <c r="Q3405" t="str">
        <f t="shared" si="469"/>
        <v/>
      </c>
      <c r="S3405" t="str">
        <f>IF(A3405=1,MAX($S$2:$S3404)+1,IF(OR($I3405&lt;&gt;"",A3405="x"),$S3404,""))</f>
        <v/>
      </c>
      <c r="T3405" t="str">
        <f>IF(D3405=1,MAX($T$2:$T3404)+1,IF(S3405=S3404,$T3404,IF(D3405="x",T3404,IF(D3404="x","",""))))</f>
        <v/>
      </c>
      <c r="U3405" t="str">
        <f>IF(B3405=1,MAX($U$2:$U3404)+1,IF(AND($T3405&lt;&gt;"",$T3405=$T3404),$U3404,IF(B3405="x",U3404,"")))</f>
        <v/>
      </c>
      <c r="V3405" t="str">
        <f>IF(C3405=1,MAX($V$2:$V3404)+1,IF(AND($T3405&lt;&gt;"",$T3405=$T3404),$U3404,IF(C3405="x",V3404,"")))</f>
        <v/>
      </c>
      <c r="X3405" cm="1">
        <f t="array" ref="X3405">IF($I3405&lt;&gt;"",$I3405,INDEX($I$1:$I3405,ROW()-COUNTIFS($T$1:$T3405,"="&amp;$T3405,$S$1:$S3405,"&lt;"&amp;$S3405)))</f>
        <v>0</v>
      </c>
      <c r="Z3405" s="6">
        <f t="shared" si="470"/>
        <v>1</v>
      </c>
      <c r="AA3405" t="e">
        <f t="shared" si="471"/>
        <v>#VALUE!</v>
      </c>
      <c r="AB3405" t="str">
        <f t="shared" si="472"/>
        <v/>
      </c>
      <c r="AC3405" t="e">
        <f t="shared" si="473"/>
        <v>#VALUE!</v>
      </c>
    </row>
    <row r="3406" spans="1:29" x14ac:dyDescent="0.2">
      <c r="A3406" t="str">
        <f t="shared" si="466"/>
        <v/>
      </c>
      <c r="E3406" s="4"/>
      <c r="F3406" s="46"/>
      <c r="G3406" s="4"/>
      <c r="H3406" s="48"/>
      <c r="J3406" s="26" t="str">
        <f t="shared" si="467"/>
        <v/>
      </c>
      <c r="N3406" t="str">
        <f t="shared" si="468"/>
        <v/>
      </c>
      <c r="Q3406" t="str">
        <f t="shared" si="469"/>
        <v/>
      </c>
      <c r="S3406" t="str">
        <f>IF(A3406=1,MAX($S$2:$S3405)+1,IF(OR($I3406&lt;&gt;"",A3406="x"),$S3405,""))</f>
        <v/>
      </c>
      <c r="T3406" t="str">
        <f>IF(D3406=1,MAX($T$2:$T3405)+1,IF(S3406=S3405,$T3405,IF(D3406="x",T3405,IF(D3405="x","",""))))</f>
        <v/>
      </c>
      <c r="U3406" t="str">
        <f>IF(B3406=1,MAX($U$2:$U3405)+1,IF(AND($T3406&lt;&gt;"",$T3406=$T3405),$U3405,IF(B3406="x",U3405,"")))</f>
        <v/>
      </c>
      <c r="V3406" t="str">
        <f>IF(C3406=1,MAX($V$2:$V3405)+1,IF(AND($T3406&lt;&gt;"",$T3406=$T3405),$U3405,IF(C3406="x",V3405,"")))</f>
        <v/>
      </c>
      <c r="X3406" cm="1">
        <f t="array" ref="X3406">IF($I3406&lt;&gt;"",$I3406,INDEX($I$1:$I3406,ROW()-COUNTIFS($T$1:$T3406,"="&amp;$T3406,$S$1:$S3406,"&lt;"&amp;$S3406)))</f>
        <v>0</v>
      </c>
      <c r="Z3406" s="6">
        <f t="shared" si="470"/>
        <v>1</v>
      </c>
      <c r="AA3406" t="e">
        <f t="shared" si="471"/>
        <v>#VALUE!</v>
      </c>
      <c r="AB3406" t="str">
        <f t="shared" si="472"/>
        <v/>
      </c>
      <c r="AC3406" t="e">
        <f t="shared" si="473"/>
        <v>#VALUE!</v>
      </c>
    </row>
    <row r="3407" spans="1:29" x14ac:dyDescent="0.2">
      <c r="A3407" t="str">
        <f t="shared" si="466"/>
        <v/>
      </c>
      <c r="E3407" s="4"/>
      <c r="F3407" s="46"/>
      <c r="G3407" s="4"/>
      <c r="H3407" s="48"/>
      <c r="J3407" s="26" t="str">
        <f t="shared" si="467"/>
        <v/>
      </c>
      <c r="N3407" t="str">
        <f t="shared" si="468"/>
        <v/>
      </c>
      <c r="Q3407" t="str">
        <f t="shared" si="469"/>
        <v/>
      </c>
      <c r="S3407" t="str">
        <f>IF(A3407=1,MAX($S$2:$S3406)+1,IF(OR($I3407&lt;&gt;"",A3407="x"),$S3406,""))</f>
        <v/>
      </c>
      <c r="T3407" t="str">
        <f>IF(D3407=1,MAX($T$2:$T3406)+1,IF(S3407=S3406,$T3406,IF(D3407="x",T3406,IF(D3406="x","",""))))</f>
        <v/>
      </c>
      <c r="U3407" t="str">
        <f>IF(B3407=1,MAX($U$2:$U3406)+1,IF(AND($T3407&lt;&gt;"",$T3407=$T3406),$U3406,IF(B3407="x",U3406,"")))</f>
        <v/>
      </c>
      <c r="V3407" t="str">
        <f>IF(C3407=1,MAX($V$2:$V3406)+1,IF(AND($T3407&lt;&gt;"",$T3407=$T3406),$U3406,IF(C3407="x",V3406,"")))</f>
        <v/>
      </c>
      <c r="X3407" cm="1">
        <f t="array" ref="X3407">IF($I3407&lt;&gt;"",$I3407,INDEX($I$1:$I3407,ROW()-COUNTIFS($T$1:$T3407,"="&amp;$T3407,$S$1:$S3407,"&lt;"&amp;$S3407)))</f>
        <v>0</v>
      </c>
      <c r="Z3407" s="6">
        <f t="shared" si="470"/>
        <v>1</v>
      </c>
      <c r="AA3407" t="e">
        <f t="shared" si="471"/>
        <v>#VALUE!</v>
      </c>
      <c r="AB3407" t="str">
        <f t="shared" si="472"/>
        <v/>
      </c>
      <c r="AC3407" t="e">
        <f t="shared" si="473"/>
        <v>#VALUE!</v>
      </c>
    </row>
    <row r="3408" spans="1:29" x14ac:dyDescent="0.2">
      <c r="A3408" t="str">
        <f t="shared" si="466"/>
        <v/>
      </c>
      <c r="E3408" s="4"/>
      <c r="F3408" s="46"/>
      <c r="G3408" s="4"/>
      <c r="H3408" s="48"/>
      <c r="J3408" s="26" t="str">
        <f t="shared" si="467"/>
        <v/>
      </c>
      <c r="N3408" t="str">
        <f t="shared" si="468"/>
        <v/>
      </c>
      <c r="Q3408" t="str">
        <f t="shared" si="469"/>
        <v/>
      </c>
      <c r="S3408" t="str">
        <f>IF(A3408=1,MAX($S$2:$S3407)+1,IF(OR($I3408&lt;&gt;"",A3408="x"),$S3407,""))</f>
        <v/>
      </c>
      <c r="T3408" t="str">
        <f>IF(D3408=1,MAX($T$2:$T3407)+1,IF(S3408=S3407,$T3407,IF(D3408="x",T3407,IF(D3407="x","",""))))</f>
        <v/>
      </c>
      <c r="U3408" t="str">
        <f>IF(B3408=1,MAX($U$2:$U3407)+1,IF(AND($T3408&lt;&gt;"",$T3408=$T3407),$U3407,IF(B3408="x",U3407,"")))</f>
        <v/>
      </c>
      <c r="V3408" t="str">
        <f>IF(C3408=1,MAX($V$2:$V3407)+1,IF(AND($T3408&lt;&gt;"",$T3408=$T3407),$U3407,IF(C3408="x",V3407,"")))</f>
        <v/>
      </c>
      <c r="X3408" cm="1">
        <f t="array" ref="X3408">IF($I3408&lt;&gt;"",$I3408,INDEX($I$1:$I3408,ROW()-COUNTIFS($T$1:$T3408,"="&amp;$T3408,$S$1:$S3408,"&lt;"&amp;$S3408)))</f>
        <v>0</v>
      </c>
      <c r="Z3408" s="6">
        <f t="shared" si="470"/>
        <v>1</v>
      </c>
      <c r="AA3408" t="e">
        <f t="shared" si="471"/>
        <v>#VALUE!</v>
      </c>
      <c r="AB3408" t="str">
        <f t="shared" si="472"/>
        <v/>
      </c>
      <c r="AC3408" t="e">
        <f t="shared" si="473"/>
        <v>#VALUE!</v>
      </c>
    </row>
    <row r="3409" spans="1:29" x14ac:dyDescent="0.2">
      <c r="A3409" t="str">
        <f t="shared" si="466"/>
        <v/>
      </c>
      <c r="E3409" s="4"/>
      <c r="F3409" s="46"/>
      <c r="G3409" s="4"/>
      <c r="H3409" s="48"/>
      <c r="J3409" s="26" t="str">
        <f t="shared" si="467"/>
        <v/>
      </c>
      <c r="N3409" t="str">
        <f t="shared" si="468"/>
        <v/>
      </c>
      <c r="Q3409" t="str">
        <f t="shared" si="469"/>
        <v/>
      </c>
      <c r="S3409" t="str">
        <f>IF(A3409=1,MAX($S$2:$S3408)+1,IF(OR($I3409&lt;&gt;"",A3409="x"),$S3408,""))</f>
        <v/>
      </c>
      <c r="T3409" t="str">
        <f>IF(D3409=1,MAX($T$2:$T3408)+1,IF(S3409=S3408,$T3408,IF(D3409="x",T3408,IF(D3408="x","",""))))</f>
        <v/>
      </c>
      <c r="U3409" t="str">
        <f>IF(B3409=1,MAX($U$2:$U3408)+1,IF(AND($T3409&lt;&gt;"",$T3409=$T3408),$U3408,IF(B3409="x",U3408,"")))</f>
        <v/>
      </c>
      <c r="V3409" t="str">
        <f>IF(C3409=1,MAX($V$2:$V3408)+1,IF(AND($T3409&lt;&gt;"",$T3409=$T3408),$U3408,IF(C3409="x",V3408,"")))</f>
        <v/>
      </c>
      <c r="X3409" cm="1">
        <f t="array" ref="X3409">IF($I3409&lt;&gt;"",$I3409,INDEX($I$1:$I3409,ROW()-COUNTIFS($T$1:$T3409,"="&amp;$T3409,$S$1:$S3409,"&lt;"&amp;$S3409)))</f>
        <v>0</v>
      </c>
      <c r="Z3409" s="6">
        <f t="shared" si="470"/>
        <v>1</v>
      </c>
      <c r="AA3409" t="e">
        <f t="shared" si="471"/>
        <v>#VALUE!</v>
      </c>
      <c r="AB3409" t="str">
        <f t="shared" si="472"/>
        <v/>
      </c>
      <c r="AC3409" t="e">
        <f t="shared" si="473"/>
        <v>#VALUE!</v>
      </c>
    </row>
    <row r="3410" spans="1:29" x14ac:dyDescent="0.2">
      <c r="A3410" t="str">
        <f t="shared" si="466"/>
        <v/>
      </c>
      <c r="E3410" s="4"/>
      <c r="F3410" s="46"/>
      <c r="G3410" s="4"/>
      <c r="H3410" s="48"/>
      <c r="J3410" s="26" t="str">
        <f t="shared" si="467"/>
        <v/>
      </c>
      <c r="N3410" t="str">
        <f t="shared" si="468"/>
        <v/>
      </c>
      <c r="Q3410" t="str">
        <f t="shared" si="469"/>
        <v/>
      </c>
      <c r="S3410" t="str">
        <f>IF(A3410=1,MAX($S$2:$S3409)+1,IF(OR($I3410&lt;&gt;"",A3410="x"),$S3409,""))</f>
        <v/>
      </c>
      <c r="T3410" t="str">
        <f>IF(D3410=1,MAX($T$2:$T3409)+1,IF(S3410=S3409,$T3409,IF(D3410="x",T3409,IF(D3409="x","",""))))</f>
        <v/>
      </c>
      <c r="U3410" t="str">
        <f>IF(B3410=1,MAX($U$2:$U3409)+1,IF(AND($T3410&lt;&gt;"",$T3410=$T3409),$U3409,IF(B3410="x",U3409,"")))</f>
        <v/>
      </c>
      <c r="V3410" t="str">
        <f>IF(C3410=1,MAX($V$2:$V3409)+1,IF(AND($T3410&lt;&gt;"",$T3410=$T3409),$U3409,IF(C3410="x",V3409,"")))</f>
        <v/>
      </c>
      <c r="X3410" cm="1">
        <f t="array" ref="X3410">IF($I3410&lt;&gt;"",$I3410,INDEX($I$1:$I3410,ROW()-COUNTIFS($T$1:$T3410,"="&amp;$T3410,$S$1:$S3410,"&lt;"&amp;$S3410)))</f>
        <v>0</v>
      </c>
      <c r="Z3410" s="6">
        <f t="shared" si="470"/>
        <v>1</v>
      </c>
      <c r="AA3410" t="e">
        <f t="shared" si="471"/>
        <v>#VALUE!</v>
      </c>
      <c r="AB3410" t="str">
        <f t="shared" si="472"/>
        <v/>
      </c>
      <c r="AC3410" t="e">
        <f t="shared" si="473"/>
        <v>#VALUE!</v>
      </c>
    </row>
    <row r="3411" spans="1:29" x14ac:dyDescent="0.2">
      <c r="A3411" t="str">
        <f t="shared" ref="A3411:A3474" si="474">IF(K3411&lt;&gt;"",1,IF(D3411="x","x",""))</f>
        <v/>
      </c>
      <c r="E3411" s="4"/>
      <c r="F3411" s="46"/>
      <c r="G3411" s="4"/>
      <c r="H3411" s="48"/>
      <c r="J3411" s="26" t="str">
        <f t="shared" ref="J3411:J3474" si="475">IF(OR(K3411="Goal",K3411="Shot",L3411="Zone_Entry",M3411="Stoppage-Goal",M3410="Stoppage-Goal"),"o",IF(OR(K3411="Save",K3411="Rebound",L3411="Zone_Exit",M3411="Stoppage-GoalieStoppage",M3410="Stoppage-GoalieStoppage"),"d",IF(OR(L3411="Faceoff_AfterGoal",L3411="Faceoff_PeriodStart",698="Faceoff_GameStart",M3410="Stoppage-Goal"),"n","")))</f>
        <v/>
      </c>
      <c r="N3411" t="str">
        <f t="shared" ref="N3411:N3474" si="476">IF(K3411="","",IF(K3411="Goal","s",IF(AND(K3411="Zone_Entry_Exit",OR(ISNUMBER(SEARCH("fail",L3411)),ISNUMBER(SEARCH("FromExitClear",M3411)),ISNUMBER(SEARCH("miss",M3411)))),"u",IF(AND(K3411="Zone_Entry_Exit",OR(NOT(ISNUMBER(SEARCH("fail",L3411))),NOT(ISNUMBER(SEARCH("FromExitClear",M3411))),NOT(ISNUMBER(SEARCH("miss",M3411))))),"s",IF(AND(OR(K3411="Shot",K3411="Pass"),OR(ISNUMBER(SEARCH("complete",L3411)),ISNUMBER(SEARCH("goal",L3411)),ISNUMBER(SEARCH("OnNet",L3411)))),"s",IF(L3411="Turnover_Giveaway","u",IF(AND(OR(K3411="Shot",K3411="Pass"),OR(ISNUMBER(SEARCH("fail",L3411)),NOT(ISNUMBER(SEARCH("complete",L3411))),NOT(ISNUMBER(SEARCH("OnNet",L3411))))),"u","")))))))</f>
        <v/>
      </c>
      <c r="Q3411" t="str">
        <f t="shared" ref="Q3411:Q3474" si="477">IF(O3411="","",IF(AND(N3411&lt;&gt;"",OR(O3411&lt;&gt;"",P3411&lt;&gt;"")),N3411,IF(OR(ISNUMBER(SEARCH("attemp",O3411)),ISNUMBER(SEARCH("beat",O3411)),ISNUMBER(SEARCH("mis",O3411)),ISNUMBER(SEARCH("fail",O3411)),ISNUMBER(SEARCH("loss",O3411)),ISNUMBER(SEARCH("lost",O3411)),ISNUMBER(SEARCH("attemp",P3411)),ISNUMBER(SEARCH("mis",P3411)),ISNUMBER(SEARCH("fail",P3411)),ISNUMBER(SEARCH("loss",P3411)),ISNUMBER(SEARCH("beat",P3411)),ISNUMBER(SEARCH("lost",P3411))),"u","")))</f>
        <v/>
      </c>
      <c r="S3411" t="str">
        <f>IF(A3411=1,MAX($S$2:$S3410)+1,IF(OR($I3411&lt;&gt;"",A3411="x"),$S3410,""))</f>
        <v/>
      </c>
      <c r="T3411" t="str">
        <f>IF(D3411=1,MAX($T$2:$T3410)+1,IF(S3411=S3410,$T3410,IF(D3411="x",T3410,IF(D3410="x","",""))))</f>
        <v/>
      </c>
      <c r="U3411" t="str">
        <f>IF(B3411=1,MAX($U$2:$U3410)+1,IF(AND($T3411&lt;&gt;"",$T3411=$T3410),$U3410,IF(B3411="x",U3410,"")))</f>
        <v/>
      </c>
      <c r="V3411" t="str">
        <f>IF(C3411=1,MAX($V$2:$V3410)+1,IF(AND($T3411&lt;&gt;"",$T3411=$T3410),$U3410,IF(C3411="x",V3410,"")))</f>
        <v/>
      </c>
      <c r="X3411" cm="1">
        <f t="array" ref="X3411">IF($I3411&lt;&gt;"",$I3411,INDEX($I$1:$I3411,ROW()-COUNTIFS($T$1:$T3411,"="&amp;$T3411,$S$1:$S3411,"&lt;"&amp;$S3411)))</f>
        <v>0</v>
      </c>
      <c r="Z3411" s="6">
        <f t="shared" si="470"/>
        <v>1</v>
      </c>
      <c r="AA3411" t="e">
        <f t="shared" si="471"/>
        <v>#VALUE!</v>
      </c>
      <c r="AB3411" t="str">
        <f t="shared" si="472"/>
        <v/>
      </c>
      <c r="AC3411" t="e">
        <f t="shared" si="473"/>
        <v>#VALUE!</v>
      </c>
    </row>
    <row r="3412" spans="1:29" x14ac:dyDescent="0.2">
      <c r="A3412" t="str">
        <f t="shared" si="474"/>
        <v/>
      </c>
      <c r="E3412" s="4"/>
      <c r="F3412" s="46"/>
      <c r="G3412" s="4"/>
      <c r="H3412" s="48"/>
      <c r="J3412" s="26" t="str">
        <f t="shared" si="475"/>
        <v/>
      </c>
      <c r="N3412" t="str">
        <f t="shared" si="476"/>
        <v/>
      </c>
      <c r="Q3412" t="str">
        <f t="shared" si="477"/>
        <v/>
      </c>
      <c r="S3412" t="str">
        <f>IF(A3412=1,MAX($S$2:$S3411)+1,IF(OR($I3412&lt;&gt;"",A3412="x"),$S3411,""))</f>
        <v/>
      </c>
      <c r="T3412" t="str">
        <f>IF(D3412=1,MAX($T$2:$T3411)+1,IF(S3412=S3411,$T3411,IF(D3412="x",T3411,IF(D3411="x","",""))))</f>
        <v/>
      </c>
      <c r="U3412" t="str">
        <f>IF(B3412=1,MAX($U$2:$U3411)+1,IF(AND($T3412&lt;&gt;"",$T3412=$T3411),$U3411,IF(B3412="x",U3411,"")))</f>
        <v/>
      </c>
      <c r="V3412" t="str">
        <f>IF(C3412=1,MAX($V$2:$V3411)+1,IF(AND($T3412&lt;&gt;"",$T3412=$T3411),$U3411,IF(C3412="x",V3411,"")))</f>
        <v/>
      </c>
      <c r="X3412" cm="1">
        <f t="array" ref="X3412">IF($I3412&lt;&gt;"",$I3412,INDEX($I$1:$I3412,ROW()-COUNTIFS($T$1:$T3412,"="&amp;$T3412,$S$1:$S3412,"&lt;"&amp;$S3412)))</f>
        <v>0</v>
      </c>
      <c r="Z3412" s="6">
        <f t="shared" si="470"/>
        <v>1</v>
      </c>
      <c r="AA3412" t="e">
        <f t="shared" si="471"/>
        <v>#VALUE!</v>
      </c>
      <c r="AB3412" t="str">
        <f t="shared" si="472"/>
        <v/>
      </c>
      <c r="AC3412" t="e">
        <f t="shared" si="473"/>
        <v>#VALUE!</v>
      </c>
    </row>
    <row r="3413" spans="1:29" x14ac:dyDescent="0.2">
      <c r="A3413" t="str">
        <f t="shared" si="474"/>
        <v/>
      </c>
      <c r="E3413" s="4"/>
      <c r="F3413" s="46"/>
      <c r="G3413" s="4"/>
      <c r="H3413" s="48"/>
      <c r="J3413" s="26" t="str">
        <f t="shared" si="475"/>
        <v/>
      </c>
      <c r="N3413" t="str">
        <f t="shared" si="476"/>
        <v/>
      </c>
      <c r="Q3413" t="str">
        <f t="shared" si="477"/>
        <v/>
      </c>
      <c r="S3413" t="str">
        <f>IF(A3413=1,MAX($S$2:$S3412)+1,IF(OR($I3413&lt;&gt;"",A3413="x"),$S3412,""))</f>
        <v/>
      </c>
      <c r="T3413" t="str">
        <f>IF(D3413=1,MAX($T$2:$T3412)+1,IF(S3413=S3412,$T3412,IF(D3413="x",T3412,IF(D3412="x","",""))))</f>
        <v/>
      </c>
      <c r="U3413" t="str">
        <f>IF(B3413=1,MAX($U$2:$U3412)+1,IF(AND($T3413&lt;&gt;"",$T3413=$T3412),$U3412,IF(B3413="x",U3412,"")))</f>
        <v/>
      </c>
      <c r="V3413" t="str">
        <f>IF(C3413=1,MAX($V$2:$V3412)+1,IF(AND($T3413&lt;&gt;"",$T3413=$T3412),$U3412,IF(C3413="x",V3412,"")))</f>
        <v/>
      </c>
      <c r="X3413" cm="1">
        <f t="array" ref="X3413">IF($I3413&lt;&gt;"",$I3413,INDEX($I$1:$I3413,ROW()-COUNTIFS($T$1:$T3413,"="&amp;$T3413,$S$1:$S3413,"&lt;"&amp;$S3413)))</f>
        <v>0</v>
      </c>
      <c r="Z3413" s="6">
        <f t="shared" si="470"/>
        <v>1</v>
      </c>
      <c r="AA3413" t="e">
        <f t="shared" si="471"/>
        <v>#VALUE!</v>
      </c>
      <c r="AB3413" t="str">
        <f t="shared" si="472"/>
        <v/>
      </c>
      <c r="AC3413" t="e">
        <f t="shared" si="473"/>
        <v>#VALUE!</v>
      </c>
    </row>
    <row r="3414" spans="1:29" x14ac:dyDescent="0.2">
      <c r="A3414" t="str">
        <f t="shared" si="474"/>
        <v/>
      </c>
      <c r="E3414" s="4"/>
      <c r="F3414" s="46"/>
      <c r="G3414" s="4"/>
      <c r="H3414" s="48"/>
      <c r="J3414" s="26" t="str">
        <f t="shared" si="475"/>
        <v/>
      </c>
      <c r="N3414" t="str">
        <f t="shared" si="476"/>
        <v/>
      </c>
      <c r="Q3414" t="str">
        <f t="shared" si="477"/>
        <v/>
      </c>
      <c r="S3414" t="str">
        <f>IF(A3414=1,MAX($S$2:$S3413)+1,IF(OR($I3414&lt;&gt;"",A3414="x"),$S3413,""))</f>
        <v/>
      </c>
      <c r="T3414" t="str">
        <f>IF(D3414=1,MAX($T$2:$T3413)+1,IF(S3414=S3413,$T3413,IF(D3414="x",T3413,IF(D3413="x","",""))))</f>
        <v/>
      </c>
      <c r="U3414" t="str">
        <f>IF(B3414=1,MAX($U$2:$U3413)+1,IF(AND($T3414&lt;&gt;"",$T3414=$T3413),$U3413,IF(B3414="x",U3413,"")))</f>
        <v/>
      </c>
      <c r="V3414" t="str">
        <f>IF(C3414=1,MAX($V$2:$V3413)+1,IF(AND($T3414&lt;&gt;"",$T3414=$T3413),$U3413,IF(C3414="x",V3413,"")))</f>
        <v/>
      </c>
      <c r="X3414" cm="1">
        <f t="array" ref="X3414">IF($I3414&lt;&gt;"",$I3414,INDEX($I$1:$I3414,ROW()-COUNTIFS($T$1:$T3414,"="&amp;$T3414,$S$1:$S3414,"&lt;"&amp;$S3414)))</f>
        <v>0</v>
      </c>
      <c r="Z3414" s="6">
        <f t="shared" si="470"/>
        <v>1</v>
      </c>
      <c r="AA3414" t="e">
        <f t="shared" si="471"/>
        <v>#VALUE!</v>
      </c>
      <c r="AB3414" t="str">
        <f t="shared" si="472"/>
        <v/>
      </c>
      <c r="AC3414" t="e">
        <f t="shared" si="473"/>
        <v>#VALUE!</v>
      </c>
    </row>
    <row r="3415" spans="1:29" x14ac:dyDescent="0.2">
      <c r="A3415" t="str">
        <f t="shared" si="474"/>
        <v/>
      </c>
      <c r="E3415" s="4"/>
      <c r="F3415" s="46"/>
      <c r="G3415" s="4"/>
      <c r="H3415" s="48"/>
      <c r="J3415" s="26" t="str">
        <f t="shared" si="475"/>
        <v/>
      </c>
      <c r="N3415" t="str">
        <f t="shared" si="476"/>
        <v/>
      </c>
      <c r="Q3415" t="str">
        <f t="shared" si="477"/>
        <v/>
      </c>
      <c r="S3415" t="str">
        <f>IF(A3415=1,MAX($S$2:$S3414)+1,IF(OR($I3415&lt;&gt;"",A3415="x"),$S3414,""))</f>
        <v/>
      </c>
      <c r="T3415" t="str">
        <f>IF(D3415=1,MAX($T$2:$T3414)+1,IF(S3415=S3414,$T3414,IF(D3415="x",T3414,IF(D3414="x","",""))))</f>
        <v/>
      </c>
      <c r="U3415" t="str">
        <f>IF(B3415=1,MAX($U$2:$U3414)+1,IF(AND($T3415&lt;&gt;"",$T3415=$T3414),$U3414,IF(B3415="x",U3414,"")))</f>
        <v/>
      </c>
      <c r="V3415" t="str">
        <f>IF(C3415=1,MAX($V$2:$V3414)+1,IF(AND($T3415&lt;&gt;"",$T3415=$T3414),$U3414,IF(C3415="x",V3414,"")))</f>
        <v/>
      </c>
      <c r="X3415" cm="1">
        <f t="array" ref="X3415">IF($I3415&lt;&gt;"",$I3415,INDEX($I$1:$I3415,ROW()-COUNTIFS($T$1:$T3415,"="&amp;$T3415,$S$1:$S3415,"&lt;"&amp;$S3415)))</f>
        <v>0</v>
      </c>
      <c r="Z3415" s="6">
        <f t="shared" si="470"/>
        <v>1</v>
      </c>
      <c r="AA3415" t="e">
        <f t="shared" si="471"/>
        <v>#VALUE!</v>
      </c>
      <c r="AB3415" t="str">
        <f t="shared" si="472"/>
        <v/>
      </c>
      <c r="AC3415" t="e">
        <f t="shared" si="473"/>
        <v>#VALUE!</v>
      </c>
    </row>
    <row r="3416" spans="1:29" x14ac:dyDescent="0.2">
      <c r="A3416" t="str">
        <f t="shared" si="474"/>
        <v/>
      </c>
      <c r="E3416" s="4"/>
      <c r="F3416" s="46"/>
      <c r="G3416" s="4"/>
      <c r="H3416" s="48"/>
      <c r="J3416" s="26" t="str">
        <f t="shared" si="475"/>
        <v/>
      </c>
      <c r="N3416" t="str">
        <f t="shared" si="476"/>
        <v/>
      </c>
      <c r="Q3416" t="str">
        <f t="shared" si="477"/>
        <v/>
      </c>
      <c r="S3416" t="str">
        <f>IF(A3416=1,MAX($S$2:$S3415)+1,IF(OR($I3416&lt;&gt;"",A3416="x"),$S3415,""))</f>
        <v/>
      </c>
      <c r="T3416" t="str">
        <f>IF(D3416=1,MAX($T$2:$T3415)+1,IF(S3416=S3415,$T3415,IF(D3416="x",T3415,IF(D3415="x","",""))))</f>
        <v/>
      </c>
      <c r="U3416" t="str">
        <f>IF(B3416=1,MAX($U$2:$U3415)+1,IF(AND($T3416&lt;&gt;"",$T3416=$T3415),$U3415,IF(B3416="x",U3415,"")))</f>
        <v/>
      </c>
      <c r="V3416" t="str">
        <f>IF(C3416=1,MAX($V$2:$V3415)+1,IF(AND($T3416&lt;&gt;"",$T3416=$T3415),$U3415,IF(C3416="x",V3415,"")))</f>
        <v/>
      </c>
      <c r="X3416" cm="1">
        <f t="array" ref="X3416">IF($I3416&lt;&gt;"",$I3416,INDEX($I$1:$I3416,ROW()-COUNTIFS($T$1:$T3416,"="&amp;$T3416,$S$1:$S3416,"&lt;"&amp;$S3416)))</f>
        <v>0</v>
      </c>
      <c r="Z3416" s="6">
        <f t="shared" si="470"/>
        <v>1</v>
      </c>
      <c r="AA3416" t="e">
        <f t="shared" si="471"/>
        <v>#VALUE!</v>
      </c>
      <c r="AB3416" t="str">
        <f t="shared" si="472"/>
        <v/>
      </c>
      <c r="AC3416" t="e">
        <f t="shared" si="473"/>
        <v>#VALUE!</v>
      </c>
    </row>
    <row r="3417" spans="1:29" x14ac:dyDescent="0.2">
      <c r="A3417" t="str">
        <f t="shared" si="474"/>
        <v/>
      </c>
      <c r="E3417" s="4"/>
      <c r="F3417" s="46"/>
      <c r="G3417" s="4"/>
      <c r="H3417" s="48"/>
      <c r="J3417" s="26" t="str">
        <f t="shared" si="475"/>
        <v/>
      </c>
      <c r="N3417" t="str">
        <f t="shared" si="476"/>
        <v/>
      </c>
      <c r="Q3417" t="str">
        <f t="shared" si="477"/>
        <v/>
      </c>
      <c r="S3417" t="str">
        <f>IF(A3417=1,MAX($S$2:$S3416)+1,IF(OR($I3417&lt;&gt;"",A3417="x"),$S3416,""))</f>
        <v/>
      </c>
      <c r="T3417" t="str">
        <f>IF(D3417=1,MAX($T$2:$T3416)+1,IF(S3417=S3416,$T3416,IF(D3417="x",T3416,IF(D3416="x","",""))))</f>
        <v/>
      </c>
      <c r="U3417" t="str">
        <f>IF(B3417=1,MAX($U$2:$U3416)+1,IF(AND($T3417&lt;&gt;"",$T3417=$T3416),$U3416,IF(B3417="x",U3416,"")))</f>
        <v/>
      </c>
      <c r="V3417" t="str">
        <f>IF(C3417=1,MAX($V$2:$V3416)+1,IF(AND($T3417&lt;&gt;"",$T3417=$T3416),$U3416,IF(C3417="x",V3416,"")))</f>
        <v/>
      </c>
      <c r="X3417" cm="1">
        <f t="array" ref="X3417">IF($I3417&lt;&gt;"",$I3417,INDEX($I$1:$I3417,ROW()-COUNTIFS($T$1:$T3417,"="&amp;$T3417,$S$1:$S3417,"&lt;"&amp;$S3417)))</f>
        <v>0</v>
      </c>
      <c r="Z3417" s="6">
        <f t="shared" si="470"/>
        <v>1</v>
      </c>
      <c r="AA3417" t="e">
        <f t="shared" si="471"/>
        <v>#VALUE!</v>
      </c>
      <c r="AB3417" t="str">
        <f t="shared" si="472"/>
        <v/>
      </c>
      <c r="AC3417" t="e">
        <f t="shared" si="473"/>
        <v>#VALUE!</v>
      </c>
    </row>
    <row r="3418" spans="1:29" x14ac:dyDescent="0.2">
      <c r="A3418" t="str">
        <f t="shared" si="474"/>
        <v/>
      </c>
      <c r="E3418" s="4"/>
      <c r="F3418" s="46"/>
      <c r="G3418" s="4"/>
      <c r="H3418" s="48"/>
      <c r="J3418" s="26" t="str">
        <f t="shared" si="475"/>
        <v/>
      </c>
      <c r="N3418" t="str">
        <f t="shared" si="476"/>
        <v/>
      </c>
      <c r="Q3418" t="str">
        <f t="shared" si="477"/>
        <v/>
      </c>
      <c r="S3418" t="str">
        <f>IF(A3418=1,MAX($S$2:$S3417)+1,IF(OR($I3418&lt;&gt;"",A3418="x"),$S3417,""))</f>
        <v/>
      </c>
      <c r="T3418" t="str">
        <f>IF(D3418=1,MAX($T$2:$T3417)+1,IF(S3418=S3417,$T3417,IF(D3418="x",T3417,IF(D3417="x","",""))))</f>
        <v/>
      </c>
      <c r="U3418" t="str">
        <f>IF(B3418=1,MAX($U$2:$U3417)+1,IF(AND($T3418&lt;&gt;"",$T3418=$T3417),$U3417,IF(B3418="x",U3417,"")))</f>
        <v/>
      </c>
      <c r="V3418" t="str">
        <f>IF(C3418=1,MAX($V$2:$V3417)+1,IF(AND($T3418&lt;&gt;"",$T3418=$T3417),$U3417,IF(C3418="x",V3417,"")))</f>
        <v/>
      </c>
      <c r="X3418" cm="1">
        <f t="array" ref="X3418">IF($I3418&lt;&gt;"",$I3418,INDEX($I$1:$I3418,ROW()-COUNTIFS($T$1:$T3418,"="&amp;$T3418,$S$1:$S3418,"&lt;"&amp;$S3418)))</f>
        <v>0</v>
      </c>
      <c r="Z3418" s="6">
        <f t="shared" si="470"/>
        <v>1</v>
      </c>
      <c r="AA3418" t="e">
        <f t="shared" si="471"/>
        <v>#VALUE!</v>
      </c>
      <c r="AB3418" t="str">
        <f t="shared" si="472"/>
        <v/>
      </c>
      <c r="AC3418" t="e">
        <f t="shared" si="473"/>
        <v>#VALUE!</v>
      </c>
    </row>
    <row r="3419" spans="1:29" x14ac:dyDescent="0.2">
      <c r="A3419" t="str">
        <f t="shared" si="474"/>
        <v/>
      </c>
      <c r="E3419" s="4"/>
      <c r="F3419" s="46"/>
      <c r="G3419" s="4"/>
      <c r="H3419" s="48"/>
      <c r="J3419" s="26" t="str">
        <f t="shared" si="475"/>
        <v/>
      </c>
      <c r="N3419" t="str">
        <f t="shared" si="476"/>
        <v/>
      </c>
      <c r="Q3419" t="str">
        <f t="shared" si="477"/>
        <v/>
      </c>
      <c r="S3419" t="str">
        <f>IF(A3419=1,MAX($S$2:$S3418)+1,IF(OR($I3419&lt;&gt;"",A3419="x"),$S3418,""))</f>
        <v/>
      </c>
      <c r="T3419" t="str">
        <f>IF(D3419=1,MAX($T$2:$T3418)+1,IF(S3419=S3418,$T3418,IF(D3419="x",T3418,IF(D3418="x","",""))))</f>
        <v/>
      </c>
      <c r="U3419" t="str">
        <f>IF(B3419=1,MAX($U$2:$U3418)+1,IF(AND($T3419&lt;&gt;"",$T3419=$T3418),$U3418,IF(B3419="x",U3418,"")))</f>
        <v/>
      </c>
      <c r="V3419" t="str">
        <f>IF(C3419=1,MAX($V$2:$V3418)+1,IF(AND($T3419&lt;&gt;"",$T3419=$T3418),$U3418,IF(C3419="x",V3418,"")))</f>
        <v/>
      </c>
      <c r="X3419" cm="1">
        <f t="array" ref="X3419">IF($I3419&lt;&gt;"",$I3419,INDEX($I$1:$I3419,ROW()-COUNTIFS($T$1:$T3419,"="&amp;$T3419,$S$1:$S3419,"&lt;"&amp;$S3419)))</f>
        <v>0</v>
      </c>
      <c r="Z3419" s="6">
        <f t="shared" si="470"/>
        <v>1</v>
      </c>
      <c r="AA3419" t="e">
        <f t="shared" si="471"/>
        <v>#VALUE!</v>
      </c>
      <c r="AB3419" t="str">
        <f t="shared" si="472"/>
        <v/>
      </c>
      <c r="AC3419" t="e">
        <f t="shared" si="473"/>
        <v>#VALUE!</v>
      </c>
    </row>
    <row r="3420" spans="1:29" x14ac:dyDescent="0.2">
      <c r="A3420" t="str">
        <f t="shared" si="474"/>
        <v/>
      </c>
      <c r="E3420" s="4"/>
      <c r="F3420" s="46"/>
      <c r="G3420" s="4"/>
      <c r="H3420" s="48"/>
      <c r="J3420" s="26" t="str">
        <f t="shared" si="475"/>
        <v/>
      </c>
      <c r="N3420" t="str">
        <f t="shared" si="476"/>
        <v/>
      </c>
      <c r="Q3420" t="str">
        <f t="shared" si="477"/>
        <v/>
      </c>
      <c r="S3420" t="str">
        <f>IF(A3420=1,MAX($S$2:$S3419)+1,IF(OR($I3420&lt;&gt;"",A3420="x"),$S3419,""))</f>
        <v/>
      </c>
      <c r="T3420" t="str">
        <f>IF(D3420=1,MAX($T$2:$T3419)+1,IF(S3420=S3419,$T3419,IF(D3420="x",T3419,IF(D3419="x","",""))))</f>
        <v/>
      </c>
      <c r="U3420" t="str">
        <f>IF(B3420=1,MAX($U$2:$U3419)+1,IF(AND($T3420&lt;&gt;"",$T3420=$T3419),$U3419,IF(B3420="x",U3419,"")))</f>
        <v/>
      </c>
      <c r="V3420" t="str">
        <f>IF(C3420=1,MAX($V$2:$V3419)+1,IF(AND($T3420&lt;&gt;"",$T3420=$T3419),$U3419,IF(C3420="x",V3419,"")))</f>
        <v/>
      </c>
      <c r="X3420" cm="1">
        <f t="array" ref="X3420">IF($I3420&lt;&gt;"",$I3420,INDEX($I$1:$I3420,ROW()-COUNTIFS($T$1:$T3420,"="&amp;$T3420,$S$1:$S3420,"&lt;"&amp;$S3420)))</f>
        <v>0</v>
      </c>
      <c r="Z3420" s="6">
        <f t="shared" si="470"/>
        <v>1</v>
      </c>
      <c r="AA3420" t="e">
        <f t="shared" si="471"/>
        <v>#VALUE!</v>
      </c>
      <c r="AB3420" t="str">
        <f t="shared" si="472"/>
        <v/>
      </c>
      <c r="AC3420" t="e">
        <f t="shared" si="473"/>
        <v>#VALUE!</v>
      </c>
    </row>
    <row r="3421" spans="1:29" x14ac:dyDescent="0.2">
      <c r="A3421" t="str">
        <f t="shared" si="474"/>
        <v/>
      </c>
      <c r="E3421" s="4"/>
      <c r="F3421" s="46"/>
      <c r="G3421" s="4"/>
      <c r="H3421" s="48"/>
      <c r="J3421" s="26" t="str">
        <f t="shared" si="475"/>
        <v/>
      </c>
      <c r="N3421" t="str">
        <f t="shared" si="476"/>
        <v/>
      </c>
      <c r="Q3421" t="str">
        <f t="shared" si="477"/>
        <v/>
      </c>
      <c r="S3421" t="str">
        <f>IF(A3421=1,MAX($S$2:$S3420)+1,IF(OR($I3421&lt;&gt;"",A3421="x"),$S3420,""))</f>
        <v/>
      </c>
      <c r="T3421" t="str">
        <f>IF(D3421=1,MAX($T$2:$T3420)+1,IF(S3421=S3420,$T3420,IF(D3421="x",T3420,IF(D3420="x","",""))))</f>
        <v/>
      </c>
      <c r="U3421" t="str">
        <f>IF(B3421=1,MAX($U$2:$U3420)+1,IF(AND($T3421&lt;&gt;"",$T3421=$T3420),$U3420,IF(B3421="x",U3420,"")))</f>
        <v/>
      </c>
      <c r="V3421" t="str">
        <f>IF(C3421=1,MAX($V$2:$V3420)+1,IF(AND($T3421&lt;&gt;"",$T3421=$T3420),$U3420,IF(C3421="x",V3420,"")))</f>
        <v/>
      </c>
      <c r="X3421" cm="1">
        <f t="array" ref="X3421">IF($I3421&lt;&gt;"",$I3421,INDEX($I$1:$I3421,ROW()-COUNTIFS($T$1:$T3421,"="&amp;$T3421,$S$1:$S3421,"&lt;"&amp;$S3421)))</f>
        <v>0</v>
      </c>
      <c r="Z3421" s="6">
        <f t="shared" si="470"/>
        <v>1</v>
      </c>
      <c r="AA3421" t="e">
        <f t="shared" si="471"/>
        <v>#VALUE!</v>
      </c>
      <c r="AB3421" t="str">
        <f t="shared" si="472"/>
        <v/>
      </c>
      <c r="AC3421" t="e">
        <f t="shared" si="473"/>
        <v>#VALUE!</v>
      </c>
    </row>
    <row r="3422" spans="1:29" x14ac:dyDescent="0.2">
      <c r="A3422" t="str">
        <f t="shared" si="474"/>
        <v/>
      </c>
      <c r="E3422" s="4"/>
      <c r="F3422" s="46"/>
      <c r="G3422" s="4"/>
      <c r="H3422" s="48"/>
      <c r="J3422" s="26" t="str">
        <f t="shared" si="475"/>
        <v/>
      </c>
      <c r="N3422" t="str">
        <f t="shared" si="476"/>
        <v/>
      </c>
      <c r="Q3422" t="str">
        <f t="shared" si="477"/>
        <v/>
      </c>
      <c r="S3422" t="str">
        <f>IF(A3422=1,MAX($S$2:$S3421)+1,IF(OR($I3422&lt;&gt;"",A3422="x"),$S3421,""))</f>
        <v/>
      </c>
      <c r="T3422" t="str">
        <f>IF(D3422=1,MAX($T$2:$T3421)+1,IF(S3422=S3421,$T3421,IF(D3422="x",T3421,IF(D3421="x","",""))))</f>
        <v/>
      </c>
      <c r="U3422" t="str">
        <f>IF(B3422=1,MAX($U$2:$U3421)+1,IF(AND($T3422&lt;&gt;"",$T3422=$T3421),$U3421,IF(B3422="x",U3421,"")))</f>
        <v/>
      </c>
      <c r="V3422" t="str">
        <f>IF(C3422=1,MAX($V$2:$V3421)+1,IF(AND($T3422&lt;&gt;"",$T3422=$T3421),$U3421,IF(C3422="x",V3421,"")))</f>
        <v/>
      </c>
      <c r="X3422" cm="1">
        <f t="array" ref="X3422">IF($I3422&lt;&gt;"",$I3422,INDEX($I$1:$I3422,ROW()-COUNTIFS($T$1:$T3422,"="&amp;$T3422,$S$1:$S3422,"&lt;"&amp;$S3422)))</f>
        <v>0</v>
      </c>
      <c r="Z3422" s="6">
        <f t="shared" si="470"/>
        <v>1</v>
      </c>
      <c r="AA3422" t="e">
        <f t="shared" si="471"/>
        <v>#VALUE!</v>
      </c>
      <c r="AB3422" t="str">
        <f t="shared" si="472"/>
        <v/>
      </c>
      <c r="AC3422" t="e">
        <f t="shared" si="473"/>
        <v>#VALUE!</v>
      </c>
    </row>
    <row r="3423" spans="1:29" x14ac:dyDescent="0.2">
      <c r="A3423" t="str">
        <f t="shared" si="474"/>
        <v/>
      </c>
      <c r="E3423" s="4"/>
      <c r="F3423" s="46"/>
      <c r="G3423" s="4"/>
      <c r="H3423" s="48"/>
      <c r="J3423" s="26" t="str">
        <f t="shared" si="475"/>
        <v/>
      </c>
      <c r="N3423" t="str">
        <f t="shared" si="476"/>
        <v/>
      </c>
      <c r="Q3423" t="str">
        <f t="shared" si="477"/>
        <v/>
      </c>
      <c r="S3423" t="str">
        <f>IF(A3423=1,MAX($S$2:$S3422)+1,IF(OR($I3423&lt;&gt;"",A3423="x"),$S3422,""))</f>
        <v/>
      </c>
      <c r="T3423" t="str">
        <f>IF(D3423=1,MAX($T$2:$T3422)+1,IF(S3423=S3422,$T3422,IF(D3423="x",T3422,IF(D3422="x","",""))))</f>
        <v/>
      </c>
      <c r="U3423" t="str">
        <f>IF(B3423=1,MAX($U$2:$U3422)+1,IF(AND($T3423&lt;&gt;"",$T3423=$T3422),$U3422,IF(B3423="x",U3422,"")))</f>
        <v/>
      </c>
      <c r="V3423" t="str">
        <f>IF(C3423=1,MAX($V$2:$V3422)+1,IF(AND($T3423&lt;&gt;"",$T3423=$T3422),$U3422,IF(C3423="x",V3422,"")))</f>
        <v/>
      </c>
      <c r="X3423" cm="1">
        <f t="array" ref="X3423">IF($I3423&lt;&gt;"",$I3423,INDEX($I$1:$I3423,ROW()-COUNTIFS($T$1:$T3423,"="&amp;$T3423,$S$1:$S3423,"&lt;"&amp;$S3423)))</f>
        <v>0</v>
      </c>
      <c r="Z3423" s="6">
        <f t="shared" si="470"/>
        <v>1</v>
      </c>
      <c r="AA3423" t="e">
        <f t="shared" si="471"/>
        <v>#VALUE!</v>
      </c>
      <c r="AB3423" t="str">
        <f t="shared" si="472"/>
        <v/>
      </c>
      <c r="AC3423" t="e">
        <f t="shared" si="473"/>
        <v>#VALUE!</v>
      </c>
    </row>
    <row r="3424" spans="1:29" x14ac:dyDescent="0.2">
      <c r="A3424" t="str">
        <f t="shared" si="474"/>
        <v/>
      </c>
      <c r="E3424" s="4"/>
      <c r="F3424" s="46"/>
      <c r="G3424" s="4"/>
      <c r="H3424" s="48"/>
      <c r="J3424" s="26" t="str">
        <f t="shared" si="475"/>
        <v/>
      </c>
      <c r="N3424" t="str">
        <f t="shared" si="476"/>
        <v/>
      </c>
      <c r="Q3424" t="str">
        <f t="shared" si="477"/>
        <v/>
      </c>
      <c r="S3424" t="str">
        <f>IF(A3424=1,MAX($S$2:$S3423)+1,IF(OR($I3424&lt;&gt;"",A3424="x"),$S3423,""))</f>
        <v/>
      </c>
      <c r="T3424" t="str">
        <f>IF(D3424=1,MAX($T$2:$T3423)+1,IF(S3424=S3423,$T3423,IF(D3424="x",T3423,IF(D3423="x","",""))))</f>
        <v/>
      </c>
      <c r="U3424" t="str">
        <f>IF(B3424=1,MAX($U$2:$U3423)+1,IF(AND($T3424&lt;&gt;"",$T3424=$T3423),$U3423,IF(B3424="x",U3423,"")))</f>
        <v/>
      </c>
      <c r="V3424" t="str">
        <f>IF(C3424=1,MAX($V$2:$V3423)+1,IF(AND($T3424&lt;&gt;"",$T3424=$T3423),$U3423,IF(C3424="x",V3423,"")))</f>
        <v/>
      </c>
      <c r="X3424" cm="1">
        <f t="array" ref="X3424">IF($I3424&lt;&gt;"",$I3424,INDEX($I$1:$I3424,ROW()-COUNTIFS($T$1:$T3424,"="&amp;$T3424,$S$1:$S3424,"&lt;"&amp;$S3424)))</f>
        <v>0</v>
      </c>
      <c r="Z3424" s="6">
        <f t="shared" si="470"/>
        <v>1</v>
      </c>
      <c r="AA3424" t="e">
        <f t="shared" si="471"/>
        <v>#VALUE!</v>
      </c>
      <c r="AB3424" t="str">
        <f t="shared" si="472"/>
        <v/>
      </c>
      <c r="AC3424" t="e">
        <f t="shared" si="473"/>
        <v>#VALUE!</v>
      </c>
    </row>
    <row r="3425" spans="1:29" x14ac:dyDescent="0.2">
      <c r="A3425" t="str">
        <f t="shared" si="474"/>
        <v/>
      </c>
      <c r="E3425" s="4"/>
      <c r="F3425" s="46"/>
      <c r="G3425" s="4"/>
      <c r="H3425" s="48"/>
      <c r="J3425" s="26" t="str">
        <f t="shared" si="475"/>
        <v/>
      </c>
      <c r="N3425" t="str">
        <f t="shared" si="476"/>
        <v/>
      </c>
      <c r="Q3425" t="str">
        <f t="shared" si="477"/>
        <v/>
      </c>
      <c r="S3425" t="str">
        <f>IF(A3425=1,MAX($S$2:$S3424)+1,IF(OR($I3425&lt;&gt;"",A3425="x"),$S3424,""))</f>
        <v/>
      </c>
      <c r="T3425" t="str">
        <f>IF(D3425=1,MAX($T$2:$T3424)+1,IF(S3425=S3424,$T3424,IF(D3425="x",T3424,IF(D3424="x","",""))))</f>
        <v/>
      </c>
      <c r="U3425" t="str">
        <f>IF(B3425=1,MAX($U$2:$U3424)+1,IF(AND($T3425&lt;&gt;"",$T3425=$T3424),$U3424,IF(B3425="x",U3424,"")))</f>
        <v/>
      </c>
      <c r="V3425" t="str">
        <f>IF(C3425=1,MAX($V$2:$V3424)+1,IF(AND($T3425&lt;&gt;"",$T3425=$T3424),$U3424,IF(C3425="x",V3424,"")))</f>
        <v/>
      </c>
      <c r="X3425" cm="1">
        <f t="array" ref="X3425">IF($I3425&lt;&gt;"",$I3425,INDEX($I$1:$I3425,ROW()-COUNTIFS($T$1:$T3425,"="&amp;$T3425,$S$1:$S3425,"&lt;"&amp;$S3425)))</f>
        <v>0</v>
      </c>
      <c r="Z3425" s="6">
        <f t="shared" si="470"/>
        <v>1</v>
      </c>
      <c r="AA3425" t="e">
        <f t="shared" si="471"/>
        <v>#VALUE!</v>
      </c>
      <c r="AB3425" t="str">
        <f t="shared" si="472"/>
        <v/>
      </c>
      <c r="AC3425" t="e">
        <f t="shared" si="473"/>
        <v>#VALUE!</v>
      </c>
    </row>
    <row r="3426" spans="1:29" x14ac:dyDescent="0.2">
      <c r="A3426" t="str">
        <f t="shared" si="474"/>
        <v/>
      </c>
      <c r="E3426" s="4"/>
      <c r="F3426" s="46"/>
      <c r="G3426" s="4"/>
      <c r="H3426" s="48"/>
      <c r="J3426" s="26" t="str">
        <f t="shared" si="475"/>
        <v/>
      </c>
      <c r="N3426" t="str">
        <f t="shared" si="476"/>
        <v/>
      </c>
      <c r="Q3426" t="str">
        <f t="shared" si="477"/>
        <v/>
      </c>
      <c r="S3426" t="str">
        <f>IF(A3426=1,MAX($S$2:$S3425)+1,IF(OR($I3426&lt;&gt;"",A3426="x"),$S3425,""))</f>
        <v/>
      </c>
      <c r="T3426" t="str">
        <f>IF(D3426=1,MAX($T$2:$T3425)+1,IF(S3426=S3425,$T3425,IF(D3426="x",T3425,IF(D3425="x","",""))))</f>
        <v/>
      </c>
      <c r="U3426" t="str">
        <f>IF(B3426=1,MAX($U$2:$U3425)+1,IF(AND($T3426&lt;&gt;"",$T3426=$T3425),$U3425,IF(B3426="x",U3425,"")))</f>
        <v/>
      </c>
      <c r="V3426" t="str">
        <f>IF(C3426=1,MAX($V$2:$V3425)+1,IF(AND($T3426&lt;&gt;"",$T3426=$T3425),$U3425,IF(C3426="x",V3425,"")))</f>
        <v/>
      </c>
      <c r="X3426" cm="1">
        <f t="array" ref="X3426">IF($I3426&lt;&gt;"",$I3426,INDEX($I$1:$I3426,ROW()-COUNTIFS($T$1:$T3426,"="&amp;$T3426,$S$1:$S3426,"&lt;"&amp;$S3426)))</f>
        <v>0</v>
      </c>
      <c r="Z3426" s="6">
        <f t="shared" si="470"/>
        <v>1</v>
      </c>
      <c r="AA3426" t="e">
        <f t="shared" si="471"/>
        <v>#VALUE!</v>
      </c>
      <c r="AB3426" t="str">
        <f t="shared" si="472"/>
        <v/>
      </c>
      <c r="AC3426" t="e">
        <f t="shared" si="473"/>
        <v>#VALUE!</v>
      </c>
    </row>
    <row r="3427" spans="1:29" x14ac:dyDescent="0.2">
      <c r="A3427" t="str">
        <f t="shared" si="474"/>
        <v/>
      </c>
      <c r="E3427" s="4"/>
      <c r="F3427" s="46"/>
      <c r="G3427" s="4"/>
      <c r="H3427" s="48"/>
      <c r="J3427" s="26" t="str">
        <f t="shared" si="475"/>
        <v/>
      </c>
      <c r="N3427" t="str">
        <f t="shared" si="476"/>
        <v/>
      </c>
      <c r="Q3427" t="str">
        <f t="shared" si="477"/>
        <v/>
      </c>
      <c r="S3427" t="str">
        <f>IF(A3427=1,MAX($S$2:$S3426)+1,IF(OR($I3427&lt;&gt;"",A3427="x"),$S3426,""))</f>
        <v/>
      </c>
      <c r="T3427" t="str">
        <f>IF(D3427=1,MAX($T$2:$T3426)+1,IF(S3427=S3426,$T3426,IF(D3427="x",T3426,IF(D3426="x","",""))))</f>
        <v/>
      </c>
      <c r="U3427" t="str">
        <f>IF(B3427=1,MAX($U$2:$U3426)+1,IF(AND($T3427&lt;&gt;"",$T3427=$T3426),$U3426,IF(B3427="x",U3426,"")))</f>
        <v/>
      </c>
      <c r="V3427" t="str">
        <f>IF(C3427=1,MAX($V$2:$V3426)+1,IF(AND($T3427&lt;&gt;"",$T3427=$T3426),$U3426,IF(C3427="x",V3426,"")))</f>
        <v/>
      </c>
      <c r="X3427" cm="1">
        <f t="array" ref="X3427">IF($I3427&lt;&gt;"",$I3427,INDEX($I$1:$I3427,ROW()-COUNTIFS($T$1:$T3427,"="&amp;$T3427,$S$1:$S3427,"&lt;"&amp;$S3427)))</f>
        <v>0</v>
      </c>
      <c r="Z3427" s="6">
        <f t="shared" si="470"/>
        <v>1</v>
      </c>
      <c r="AA3427" t="e">
        <f t="shared" si="471"/>
        <v>#VALUE!</v>
      </c>
      <c r="AB3427" t="str">
        <f t="shared" si="472"/>
        <v/>
      </c>
      <c r="AC3427" t="e">
        <f t="shared" si="473"/>
        <v>#VALUE!</v>
      </c>
    </row>
    <row r="3428" spans="1:29" x14ac:dyDescent="0.2">
      <c r="A3428" t="str">
        <f t="shared" si="474"/>
        <v/>
      </c>
      <c r="E3428" s="4"/>
      <c r="F3428" s="46"/>
      <c r="G3428" s="4"/>
      <c r="H3428" s="48"/>
      <c r="J3428" s="26" t="str">
        <f t="shared" si="475"/>
        <v/>
      </c>
      <c r="N3428" t="str">
        <f t="shared" si="476"/>
        <v/>
      </c>
      <c r="Q3428" t="str">
        <f t="shared" si="477"/>
        <v/>
      </c>
      <c r="S3428" t="str">
        <f>IF(A3428=1,MAX($S$2:$S3427)+1,IF(OR($I3428&lt;&gt;"",A3428="x"),$S3427,""))</f>
        <v/>
      </c>
      <c r="T3428" t="str">
        <f>IF(D3428=1,MAX($T$2:$T3427)+1,IF(S3428=S3427,$T3427,IF(D3428="x",T3427,IF(D3427="x","",""))))</f>
        <v/>
      </c>
      <c r="U3428" t="str">
        <f>IF(B3428=1,MAX($U$2:$U3427)+1,IF(AND($T3428&lt;&gt;"",$T3428=$T3427),$U3427,IF(B3428="x",U3427,"")))</f>
        <v/>
      </c>
      <c r="V3428" t="str">
        <f>IF(C3428=1,MAX($V$2:$V3427)+1,IF(AND($T3428&lt;&gt;"",$T3428=$T3427),$U3427,IF(C3428="x",V3427,"")))</f>
        <v/>
      </c>
      <c r="X3428" cm="1">
        <f t="array" ref="X3428">IF($I3428&lt;&gt;"",$I3428,INDEX($I$1:$I3428,ROW()-COUNTIFS($T$1:$T3428,"="&amp;$T3428,$S$1:$S3428,"&lt;"&amp;$S3428)))</f>
        <v>0</v>
      </c>
      <c r="Z3428" s="6">
        <f t="shared" si="470"/>
        <v>1</v>
      </c>
      <c r="AA3428" t="e">
        <f t="shared" si="471"/>
        <v>#VALUE!</v>
      </c>
      <c r="AB3428" t="str">
        <f t="shared" si="472"/>
        <v/>
      </c>
      <c r="AC3428" t="e">
        <f t="shared" si="473"/>
        <v>#VALUE!</v>
      </c>
    </row>
    <row r="3429" spans="1:29" x14ac:dyDescent="0.2">
      <c r="A3429" t="str">
        <f t="shared" si="474"/>
        <v/>
      </c>
      <c r="E3429" s="4"/>
      <c r="F3429" s="46"/>
      <c r="G3429" s="4"/>
      <c r="H3429" s="48"/>
      <c r="J3429" s="26" t="str">
        <f t="shared" si="475"/>
        <v/>
      </c>
      <c r="N3429" t="str">
        <f t="shared" si="476"/>
        <v/>
      </c>
      <c r="Q3429" t="str">
        <f t="shared" si="477"/>
        <v/>
      </c>
      <c r="S3429" t="str">
        <f>IF(A3429=1,MAX($S$2:$S3428)+1,IF(OR($I3429&lt;&gt;"",A3429="x"),$S3428,""))</f>
        <v/>
      </c>
      <c r="T3429" t="str">
        <f>IF(D3429=1,MAX($T$2:$T3428)+1,IF(S3429=S3428,$T3428,IF(D3429="x",T3428,IF(D3428="x","",""))))</f>
        <v/>
      </c>
      <c r="U3429" t="str">
        <f>IF(B3429=1,MAX($U$2:$U3428)+1,IF(AND($T3429&lt;&gt;"",$T3429=$T3428),$U3428,IF(B3429="x",U3428,"")))</f>
        <v/>
      </c>
      <c r="V3429" t="str">
        <f>IF(C3429=1,MAX($V$2:$V3428)+1,IF(AND($T3429&lt;&gt;"",$T3429=$T3428),$U3428,IF(C3429="x",V3428,"")))</f>
        <v/>
      </c>
      <c r="X3429" cm="1">
        <f t="array" ref="X3429">IF($I3429&lt;&gt;"",$I3429,INDEX($I$1:$I3429,ROW()-COUNTIFS($T$1:$T3429,"="&amp;$T3429,$S$1:$S3429,"&lt;"&amp;$S3429)))</f>
        <v>0</v>
      </c>
      <c r="Z3429" s="6">
        <f t="shared" si="470"/>
        <v>1</v>
      </c>
      <c r="AA3429" t="e">
        <f t="shared" si="471"/>
        <v>#VALUE!</v>
      </c>
      <c r="AB3429" t="str">
        <f t="shared" si="472"/>
        <v/>
      </c>
      <c r="AC3429" t="e">
        <f t="shared" si="473"/>
        <v>#VALUE!</v>
      </c>
    </row>
    <row r="3430" spans="1:29" x14ac:dyDescent="0.2">
      <c r="A3430" t="str">
        <f t="shared" si="474"/>
        <v/>
      </c>
      <c r="E3430" s="4"/>
      <c r="F3430" s="46"/>
      <c r="G3430" s="4"/>
      <c r="H3430" s="48"/>
      <c r="J3430" s="26" t="str">
        <f t="shared" si="475"/>
        <v/>
      </c>
      <c r="N3430" t="str">
        <f t="shared" si="476"/>
        <v/>
      </c>
      <c r="Q3430" t="str">
        <f t="shared" si="477"/>
        <v/>
      </c>
      <c r="S3430" t="str">
        <f>IF(A3430=1,MAX($S$2:$S3429)+1,IF(OR($I3430&lt;&gt;"",A3430="x"),$S3429,""))</f>
        <v/>
      </c>
      <c r="T3430" t="str">
        <f>IF(D3430=1,MAX($T$2:$T3429)+1,IF(S3430=S3429,$T3429,IF(D3430="x",T3429,IF(D3429="x","",""))))</f>
        <v/>
      </c>
      <c r="U3430" t="str">
        <f>IF(B3430=1,MAX($U$2:$U3429)+1,IF(AND($T3430&lt;&gt;"",$T3430=$T3429),$U3429,IF(B3430="x",U3429,"")))</f>
        <v/>
      </c>
      <c r="V3430" t="str">
        <f>IF(C3430=1,MAX($V$2:$V3429)+1,IF(AND($T3430&lt;&gt;"",$T3430=$T3429),$U3429,IF(C3430="x",V3429,"")))</f>
        <v/>
      </c>
      <c r="X3430" cm="1">
        <f t="array" ref="X3430">IF($I3430&lt;&gt;"",$I3430,INDEX($I$1:$I3430,ROW()-COUNTIFS($T$1:$T3430,"="&amp;$T3430,$S$1:$S3430,"&lt;"&amp;$S3430)))</f>
        <v>0</v>
      </c>
      <c r="Z3430" s="6">
        <f t="shared" si="470"/>
        <v>1</v>
      </c>
      <c r="AA3430" t="e">
        <f t="shared" si="471"/>
        <v>#VALUE!</v>
      </c>
      <c r="AB3430" t="str">
        <f t="shared" si="472"/>
        <v/>
      </c>
      <c r="AC3430" t="e">
        <f t="shared" si="473"/>
        <v>#VALUE!</v>
      </c>
    </row>
    <row r="3431" spans="1:29" x14ac:dyDescent="0.2">
      <c r="A3431" t="str">
        <f t="shared" si="474"/>
        <v/>
      </c>
      <c r="E3431" s="4"/>
      <c r="F3431" s="46"/>
      <c r="G3431" s="4"/>
      <c r="H3431" s="48"/>
      <c r="J3431" s="26" t="str">
        <f t="shared" si="475"/>
        <v/>
      </c>
      <c r="N3431" t="str">
        <f t="shared" si="476"/>
        <v/>
      </c>
      <c r="Q3431" t="str">
        <f t="shared" si="477"/>
        <v/>
      </c>
      <c r="S3431" t="str">
        <f>IF(A3431=1,MAX($S$2:$S3430)+1,IF(OR($I3431&lt;&gt;"",A3431="x"),$S3430,""))</f>
        <v/>
      </c>
      <c r="T3431" t="str">
        <f>IF(D3431=1,MAX($T$2:$T3430)+1,IF(S3431=S3430,$T3430,IF(D3431="x",T3430,IF(D3430="x","",""))))</f>
        <v/>
      </c>
      <c r="U3431" t="str">
        <f>IF(B3431=1,MAX($U$2:$U3430)+1,IF(AND($T3431&lt;&gt;"",$T3431=$T3430),$U3430,IF(B3431="x",U3430,"")))</f>
        <v/>
      </c>
      <c r="V3431" t="str">
        <f>IF(C3431=1,MAX($V$2:$V3430)+1,IF(AND($T3431&lt;&gt;"",$T3431=$T3430),$U3430,IF(C3431="x",V3430,"")))</f>
        <v/>
      </c>
      <c r="X3431" cm="1">
        <f t="array" ref="X3431">IF($I3431&lt;&gt;"",$I3431,INDEX($I$1:$I3431,ROW()-COUNTIFS($T$1:$T3431,"="&amp;$T3431,$S$1:$S3431,"&lt;"&amp;$S3431)))</f>
        <v>0</v>
      </c>
      <c r="Z3431" s="6">
        <f t="shared" si="470"/>
        <v>1</v>
      </c>
      <c r="AA3431" t="e">
        <f t="shared" si="471"/>
        <v>#VALUE!</v>
      </c>
      <c r="AB3431" t="str">
        <f t="shared" si="472"/>
        <v/>
      </c>
      <c r="AC3431" t="e">
        <f t="shared" si="473"/>
        <v>#VALUE!</v>
      </c>
    </row>
    <row r="3432" spans="1:29" x14ac:dyDescent="0.2">
      <c r="A3432" t="str">
        <f t="shared" si="474"/>
        <v/>
      </c>
      <c r="E3432" s="4"/>
      <c r="F3432" s="46"/>
      <c r="G3432" s="4"/>
      <c r="H3432" s="48"/>
      <c r="J3432" s="26" t="str">
        <f t="shared" si="475"/>
        <v/>
      </c>
      <c r="N3432" t="str">
        <f t="shared" si="476"/>
        <v/>
      </c>
      <c r="Q3432" t="str">
        <f t="shared" si="477"/>
        <v/>
      </c>
      <c r="S3432" t="str">
        <f>IF(A3432=1,MAX($S$2:$S3431)+1,IF(OR($I3432&lt;&gt;"",A3432="x"),$S3431,""))</f>
        <v/>
      </c>
      <c r="T3432" t="str">
        <f>IF(D3432=1,MAX($T$2:$T3431)+1,IF(S3432=S3431,$T3431,IF(D3432="x",T3431,IF(D3431="x","",""))))</f>
        <v/>
      </c>
      <c r="U3432" t="str">
        <f>IF(B3432=1,MAX($U$2:$U3431)+1,IF(AND($T3432&lt;&gt;"",$T3432=$T3431),$U3431,IF(B3432="x",U3431,"")))</f>
        <v/>
      </c>
      <c r="V3432" t="str">
        <f>IF(C3432=1,MAX($V$2:$V3431)+1,IF(AND($T3432&lt;&gt;"",$T3432=$T3431),$U3431,IF(C3432="x",V3431,"")))</f>
        <v/>
      </c>
      <c r="X3432" cm="1">
        <f t="array" ref="X3432">IF($I3432&lt;&gt;"",$I3432,INDEX($I$1:$I3432,ROW()-COUNTIFS($T$1:$T3432,"="&amp;$T3432,$S$1:$S3432,"&lt;"&amp;$S3432)))</f>
        <v>0</v>
      </c>
      <c r="Z3432" s="6">
        <f t="shared" si="470"/>
        <v>1</v>
      </c>
      <c r="AA3432" t="e">
        <f t="shared" si="471"/>
        <v>#VALUE!</v>
      </c>
      <c r="AB3432" t="str">
        <f t="shared" si="472"/>
        <v/>
      </c>
      <c r="AC3432" t="e">
        <f t="shared" si="473"/>
        <v>#VALUE!</v>
      </c>
    </row>
    <row r="3433" spans="1:29" x14ac:dyDescent="0.2">
      <c r="A3433" t="str">
        <f t="shared" si="474"/>
        <v/>
      </c>
      <c r="E3433" s="4"/>
      <c r="F3433" s="46"/>
      <c r="G3433" s="4"/>
      <c r="H3433" s="48"/>
      <c r="J3433" s="26" t="str">
        <f t="shared" si="475"/>
        <v/>
      </c>
      <c r="N3433" t="str">
        <f t="shared" si="476"/>
        <v/>
      </c>
      <c r="Q3433" t="str">
        <f t="shared" si="477"/>
        <v/>
      </c>
      <c r="S3433" t="str">
        <f>IF(A3433=1,MAX($S$2:$S3432)+1,IF(OR($I3433&lt;&gt;"",A3433="x"),$S3432,""))</f>
        <v/>
      </c>
      <c r="T3433" t="str">
        <f>IF(D3433=1,MAX($T$2:$T3432)+1,IF(S3433=S3432,$T3432,IF(D3433="x",T3432,IF(D3432="x","",""))))</f>
        <v/>
      </c>
      <c r="U3433" t="str">
        <f>IF(B3433=1,MAX($U$2:$U3432)+1,IF(AND($T3433&lt;&gt;"",$T3433=$T3432),$U3432,IF(B3433="x",U3432,"")))</f>
        <v/>
      </c>
      <c r="V3433" t="str">
        <f>IF(C3433=1,MAX($V$2:$V3432)+1,IF(AND($T3433&lt;&gt;"",$T3433=$T3432),$U3432,IF(C3433="x",V3432,"")))</f>
        <v/>
      </c>
      <c r="X3433" cm="1">
        <f t="array" ref="X3433">IF($I3433&lt;&gt;"",$I3433,INDEX($I$1:$I3433,ROW()-COUNTIFS($T$1:$T3433,"="&amp;$T3433,$S$1:$S3433,"&lt;"&amp;$S3433)))</f>
        <v>0</v>
      </c>
      <c r="Z3433" s="6">
        <f t="shared" si="470"/>
        <v>1</v>
      </c>
      <c r="AA3433" t="e">
        <f t="shared" si="471"/>
        <v>#VALUE!</v>
      </c>
      <c r="AB3433" t="str">
        <f t="shared" si="472"/>
        <v/>
      </c>
      <c r="AC3433" t="e">
        <f t="shared" si="473"/>
        <v>#VALUE!</v>
      </c>
    </row>
    <row r="3434" spans="1:29" x14ac:dyDescent="0.2">
      <c r="A3434" t="str">
        <f t="shared" si="474"/>
        <v/>
      </c>
      <c r="E3434" s="4"/>
      <c r="F3434" s="46"/>
      <c r="G3434" s="4"/>
      <c r="H3434" s="48"/>
      <c r="J3434" s="26" t="str">
        <f t="shared" si="475"/>
        <v/>
      </c>
      <c r="N3434" t="str">
        <f t="shared" si="476"/>
        <v/>
      </c>
      <c r="Q3434" t="str">
        <f t="shared" si="477"/>
        <v/>
      </c>
      <c r="S3434" t="str">
        <f>IF(A3434=1,MAX($S$2:$S3433)+1,IF(OR($I3434&lt;&gt;"",A3434="x"),$S3433,""))</f>
        <v/>
      </c>
      <c r="T3434" t="str">
        <f>IF(D3434=1,MAX($T$2:$T3433)+1,IF(S3434=S3433,$T3433,IF(D3434="x",T3433,IF(D3433="x","",""))))</f>
        <v/>
      </c>
      <c r="U3434" t="str">
        <f>IF(B3434=1,MAX($U$2:$U3433)+1,IF(AND($T3434&lt;&gt;"",$T3434=$T3433),$U3433,IF(B3434="x",U3433,"")))</f>
        <v/>
      </c>
      <c r="V3434" t="str">
        <f>IF(C3434=1,MAX($V$2:$V3433)+1,IF(AND($T3434&lt;&gt;"",$T3434=$T3433),$U3433,IF(C3434="x",V3433,"")))</f>
        <v/>
      </c>
      <c r="X3434" cm="1">
        <f t="array" ref="X3434">IF($I3434&lt;&gt;"",$I3434,INDEX($I$1:$I3434,ROW()-COUNTIFS($T$1:$T3434,"="&amp;$T3434,$S$1:$S3434,"&lt;"&amp;$S3434)))</f>
        <v>0</v>
      </c>
      <c r="Z3434" s="6">
        <f t="shared" si="470"/>
        <v>1</v>
      </c>
      <c r="AA3434" t="e">
        <f t="shared" si="471"/>
        <v>#VALUE!</v>
      </c>
      <c r="AB3434" t="str">
        <f t="shared" si="472"/>
        <v/>
      </c>
      <c r="AC3434" t="e">
        <f t="shared" si="473"/>
        <v>#VALUE!</v>
      </c>
    </row>
    <row r="3435" spans="1:29" x14ac:dyDescent="0.2">
      <c r="A3435" t="str">
        <f t="shared" si="474"/>
        <v/>
      </c>
      <c r="E3435" s="4"/>
      <c r="F3435" s="46"/>
      <c r="G3435" s="4"/>
      <c r="H3435" s="48"/>
      <c r="J3435" s="26" t="str">
        <f t="shared" si="475"/>
        <v/>
      </c>
      <c r="N3435" t="str">
        <f t="shared" si="476"/>
        <v/>
      </c>
      <c r="Q3435" t="str">
        <f t="shared" si="477"/>
        <v/>
      </c>
      <c r="S3435" t="str">
        <f>IF(A3435=1,MAX($S$2:$S3434)+1,IF(OR($I3435&lt;&gt;"",A3435="x"),$S3434,""))</f>
        <v/>
      </c>
      <c r="T3435" t="str">
        <f>IF(D3435=1,MAX($T$2:$T3434)+1,IF(S3435=S3434,$T3434,IF(D3435="x",T3434,IF(D3434="x","",""))))</f>
        <v/>
      </c>
      <c r="U3435" t="str">
        <f>IF(B3435=1,MAX($U$2:$U3434)+1,IF(AND($T3435&lt;&gt;"",$T3435=$T3434),$U3434,IF(B3435="x",U3434,"")))</f>
        <v/>
      </c>
      <c r="V3435" t="str">
        <f>IF(C3435=1,MAX($V$2:$V3434)+1,IF(AND($T3435&lt;&gt;"",$T3435=$T3434),$U3434,IF(C3435="x",V3434,"")))</f>
        <v/>
      </c>
      <c r="X3435" cm="1">
        <f t="array" ref="X3435">IF($I3435&lt;&gt;"",$I3435,INDEX($I$1:$I3435,ROW()-COUNTIFS($T$1:$T3435,"="&amp;$T3435,$S$1:$S3435,"&lt;"&amp;$S3435)))</f>
        <v>0</v>
      </c>
      <c r="Z3435" s="6">
        <f t="shared" si="470"/>
        <v>1</v>
      </c>
      <c r="AA3435" t="e">
        <f t="shared" si="471"/>
        <v>#VALUE!</v>
      </c>
      <c r="AB3435" t="str">
        <f t="shared" si="472"/>
        <v/>
      </c>
      <c r="AC3435" t="e">
        <f t="shared" si="473"/>
        <v>#VALUE!</v>
      </c>
    </row>
    <row r="3436" spans="1:29" x14ac:dyDescent="0.2">
      <c r="A3436" t="str">
        <f t="shared" si="474"/>
        <v/>
      </c>
      <c r="E3436" s="4"/>
      <c r="F3436" s="46"/>
      <c r="G3436" s="4"/>
      <c r="H3436" s="48"/>
      <c r="J3436" s="26" t="str">
        <f t="shared" si="475"/>
        <v/>
      </c>
      <c r="N3436" t="str">
        <f t="shared" si="476"/>
        <v/>
      </c>
      <c r="Q3436" t="str">
        <f t="shared" si="477"/>
        <v/>
      </c>
      <c r="S3436" t="str">
        <f>IF(A3436=1,MAX($S$2:$S3435)+1,IF(OR($I3436&lt;&gt;"",A3436="x"),$S3435,""))</f>
        <v/>
      </c>
      <c r="T3436" t="str">
        <f>IF(D3436=1,MAX($T$2:$T3435)+1,IF(S3436=S3435,$T3435,IF(D3436="x",T3435,IF(D3435="x","",""))))</f>
        <v/>
      </c>
      <c r="U3436" t="str">
        <f>IF(B3436=1,MAX($U$2:$U3435)+1,IF(AND($T3436&lt;&gt;"",$T3436=$T3435),$U3435,IF(B3436="x",U3435,"")))</f>
        <v/>
      </c>
      <c r="V3436" t="str">
        <f>IF(C3436=1,MAX($V$2:$V3435)+1,IF(AND($T3436&lt;&gt;"",$T3436=$T3435),$U3435,IF(C3436="x",V3435,"")))</f>
        <v/>
      </c>
      <c r="X3436" cm="1">
        <f t="array" ref="X3436">IF($I3436&lt;&gt;"",$I3436,INDEX($I$1:$I3436,ROW()-COUNTIFS($T$1:$T3436,"="&amp;$T3436,$S$1:$S3436,"&lt;"&amp;$S3436)))</f>
        <v>0</v>
      </c>
      <c r="Z3436" s="6">
        <f t="shared" si="470"/>
        <v>1</v>
      </c>
      <c r="AA3436" t="e">
        <f t="shared" si="471"/>
        <v>#VALUE!</v>
      </c>
      <c r="AB3436" t="str">
        <f t="shared" si="472"/>
        <v/>
      </c>
      <c r="AC3436" t="e">
        <f t="shared" si="473"/>
        <v>#VALUE!</v>
      </c>
    </row>
    <row r="3437" spans="1:29" x14ac:dyDescent="0.2">
      <c r="A3437" t="str">
        <f t="shared" si="474"/>
        <v/>
      </c>
      <c r="E3437" s="4"/>
      <c r="F3437" s="46"/>
      <c r="G3437" s="4"/>
      <c r="H3437" s="48"/>
      <c r="J3437" s="26" t="str">
        <f t="shared" si="475"/>
        <v/>
      </c>
      <c r="N3437" t="str">
        <f t="shared" si="476"/>
        <v/>
      </c>
      <c r="Q3437" t="str">
        <f t="shared" si="477"/>
        <v/>
      </c>
      <c r="S3437" t="str">
        <f>IF(A3437=1,MAX($S$2:$S3436)+1,IF(OR($I3437&lt;&gt;"",A3437="x"),$S3436,""))</f>
        <v/>
      </c>
      <c r="T3437" t="str">
        <f>IF(D3437=1,MAX($T$2:$T3436)+1,IF(S3437=S3436,$T3436,IF(D3437="x",T3436,IF(D3436="x","",""))))</f>
        <v/>
      </c>
      <c r="U3437" t="str">
        <f>IF(B3437=1,MAX($U$2:$U3436)+1,IF(AND($T3437&lt;&gt;"",$T3437=$T3436),$U3436,IF(B3437="x",U3436,"")))</f>
        <v/>
      </c>
      <c r="V3437" t="str">
        <f>IF(C3437=1,MAX($V$2:$V3436)+1,IF(AND($T3437&lt;&gt;"",$T3437=$T3436),$U3436,IF(C3437="x",V3436,"")))</f>
        <v/>
      </c>
      <c r="X3437" cm="1">
        <f t="array" ref="X3437">IF($I3437&lt;&gt;"",$I3437,INDEX($I$1:$I3437,ROW()-COUNTIFS($T$1:$T3437,"="&amp;$T3437,$S$1:$S3437,"&lt;"&amp;$S3437)))</f>
        <v>0</v>
      </c>
      <c r="Z3437" s="6">
        <f t="shared" si="470"/>
        <v>1</v>
      </c>
      <c r="AA3437" t="e">
        <f t="shared" si="471"/>
        <v>#VALUE!</v>
      </c>
      <c r="AB3437" t="str">
        <f t="shared" si="472"/>
        <v/>
      </c>
      <c r="AC3437" t="e">
        <f t="shared" si="473"/>
        <v>#VALUE!</v>
      </c>
    </row>
    <row r="3438" spans="1:29" x14ac:dyDescent="0.2">
      <c r="A3438" t="str">
        <f t="shared" si="474"/>
        <v/>
      </c>
      <c r="E3438" s="4"/>
      <c r="F3438" s="46"/>
      <c r="G3438" s="4"/>
      <c r="H3438" s="48"/>
      <c r="J3438" s="26" t="str">
        <f t="shared" si="475"/>
        <v/>
      </c>
      <c r="N3438" t="str">
        <f t="shared" si="476"/>
        <v/>
      </c>
      <c r="Q3438" t="str">
        <f t="shared" si="477"/>
        <v/>
      </c>
      <c r="S3438" t="str">
        <f>IF(A3438=1,MAX($S$2:$S3437)+1,IF(OR($I3438&lt;&gt;"",A3438="x"),$S3437,""))</f>
        <v/>
      </c>
      <c r="T3438" t="str">
        <f>IF(D3438=1,MAX($T$2:$T3437)+1,IF(S3438=S3437,$T3437,IF(D3438="x",T3437,IF(D3437="x","",""))))</f>
        <v/>
      </c>
      <c r="U3438" t="str">
        <f>IF(B3438=1,MAX($U$2:$U3437)+1,IF(AND($T3438&lt;&gt;"",$T3438=$T3437),$U3437,IF(B3438="x",U3437,"")))</f>
        <v/>
      </c>
      <c r="V3438" t="str">
        <f>IF(C3438=1,MAX($V$2:$V3437)+1,IF(AND($T3438&lt;&gt;"",$T3438=$T3437),$U3437,IF(C3438="x",V3437,"")))</f>
        <v/>
      </c>
      <c r="X3438" cm="1">
        <f t="array" ref="X3438">IF($I3438&lt;&gt;"",$I3438,INDEX($I$1:$I3438,ROW()-COUNTIFS($T$1:$T3438,"="&amp;$T3438,$S$1:$S3438,"&lt;"&amp;$S3438)))</f>
        <v>0</v>
      </c>
      <c r="Z3438" s="6">
        <f t="shared" si="470"/>
        <v>1</v>
      </c>
      <c r="AA3438" t="e">
        <f t="shared" si="471"/>
        <v>#VALUE!</v>
      </c>
      <c r="AB3438" t="str">
        <f t="shared" si="472"/>
        <v/>
      </c>
      <c r="AC3438" t="e">
        <f t="shared" si="473"/>
        <v>#VALUE!</v>
      </c>
    </row>
    <row r="3439" spans="1:29" x14ac:dyDescent="0.2">
      <c r="A3439" t="str">
        <f t="shared" si="474"/>
        <v/>
      </c>
      <c r="E3439" s="4"/>
      <c r="F3439" s="46"/>
      <c r="G3439" s="4"/>
      <c r="H3439" s="48"/>
      <c r="J3439" s="26" t="str">
        <f t="shared" si="475"/>
        <v/>
      </c>
      <c r="N3439" t="str">
        <f t="shared" si="476"/>
        <v/>
      </c>
      <c r="Q3439" t="str">
        <f t="shared" si="477"/>
        <v/>
      </c>
      <c r="S3439" t="str">
        <f>IF(A3439=1,MAX($S$2:$S3438)+1,IF(OR($I3439&lt;&gt;"",A3439="x"),$S3438,""))</f>
        <v/>
      </c>
      <c r="T3439" t="str">
        <f>IF(D3439=1,MAX($T$2:$T3438)+1,IF(S3439=S3438,$T3438,IF(D3439="x",T3438,IF(D3438="x","",""))))</f>
        <v/>
      </c>
      <c r="U3439" t="str">
        <f>IF(B3439=1,MAX($U$2:$U3438)+1,IF(AND($T3439&lt;&gt;"",$T3439=$T3438),$U3438,IF(B3439="x",U3438,"")))</f>
        <v/>
      </c>
      <c r="V3439" t="str">
        <f>IF(C3439=1,MAX($V$2:$V3438)+1,IF(AND($T3439&lt;&gt;"",$T3439=$T3438),$U3438,IF(C3439="x",V3438,"")))</f>
        <v/>
      </c>
      <c r="X3439" cm="1">
        <f t="array" ref="X3439">IF($I3439&lt;&gt;"",$I3439,INDEX($I$1:$I3439,ROW()-COUNTIFS($T$1:$T3439,"="&amp;$T3439,$S$1:$S3439,"&lt;"&amp;$S3439)))</f>
        <v>0</v>
      </c>
      <c r="Z3439" s="6">
        <f t="shared" si="470"/>
        <v>1</v>
      </c>
      <c r="AA3439" t="e">
        <f t="shared" si="471"/>
        <v>#VALUE!</v>
      </c>
      <c r="AB3439" t="str">
        <f t="shared" si="472"/>
        <v/>
      </c>
      <c r="AC3439" t="e">
        <f t="shared" si="473"/>
        <v>#VALUE!</v>
      </c>
    </row>
    <row r="3440" spans="1:29" x14ac:dyDescent="0.2">
      <c r="A3440" t="str">
        <f t="shared" si="474"/>
        <v/>
      </c>
      <c r="E3440" s="4"/>
      <c r="F3440" s="46"/>
      <c r="G3440" s="4"/>
      <c r="H3440" s="48"/>
      <c r="J3440" s="26" t="str">
        <f t="shared" si="475"/>
        <v/>
      </c>
      <c r="N3440" t="str">
        <f t="shared" si="476"/>
        <v/>
      </c>
      <c r="Q3440" t="str">
        <f t="shared" si="477"/>
        <v/>
      </c>
      <c r="S3440" t="str">
        <f>IF(A3440=1,MAX($S$2:$S3439)+1,IF(OR($I3440&lt;&gt;"",A3440="x"),$S3439,""))</f>
        <v/>
      </c>
      <c r="T3440" t="str">
        <f>IF(D3440=1,MAX($T$2:$T3439)+1,IF(S3440=S3439,$T3439,IF(D3440="x",T3439,IF(D3439="x","",""))))</f>
        <v/>
      </c>
      <c r="U3440" t="str">
        <f>IF(B3440=1,MAX($U$2:$U3439)+1,IF(AND($T3440&lt;&gt;"",$T3440=$T3439),$U3439,IF(B3440="x",U3439,"")))</f>
        <v/>
      </c>
      <c r="V3440" t="str">
        <f>IF(C3440=1,MAX($V$2:$V3439)+1,IF(AND($T3440&lt;&gt;"",$T3440=$T3439),$U3439,IF(C3440="x",V3439,"")))</f>
        <v/>
      </c>
      <c r="X3440" cm="1">
        <f t="array" ref="X3440">IF($I3440&lt;&gt;"",$I3440,INDEX($I$1:$I3440,ROW()-COUNTIFS($T$1:$T3440,"="&amp;$T3440,$S$1:$S3440,"&lt;"&amp;$S3440)))</f>
        <v>0</v>
      </c>
      <c r="Z3440" s="6">
        <f t="shared" si="470"/>
        <v>1</v>
      </c>
      <c r="AA3440" t="e">
        <f t="shared" si="471"/>
        <v>#VALUE!</v>
      </c>
      <c r="AB3440" t="str">
        <f t="shared" si="472"/>
        <v/>
      </c>
      <c r="AC3440" t="e">
        <f t="shared" si="473"/>
        <v>#VALUE!</v>
      </c>
    </row>
    <row r="3441" spans="1:29" x14ac:dyDescent="0.2">
      <c r="A3441" t="str">
        <f t="shared" si="474"/>
        <v/>
      </c>
      <c r="E3441" s="4"/>
      <c r="F3441" s="46"/>
      <c r="G3441" s="4"/>
      <c r="H3441" s="48"/>
      <c r="J3441" s="26" t="str">
        <f t="shared" si="475"/>
        <v/>
      </c>
      <c r="N3441" t="str">
        <f t="shared" si="476"/>
        <v/>
      </c>
      <c r="Q3441" t="str">
        <f t="shared" si="477"/>
        <v/>
      </c>
      <c r="S3441" t="str">
        <f>IF(A3441=1,MAX($S$2:$S3440)+1,IF(OR($I3441&lt;&gt;"",A3441="x"),$S3440,""))</f>
        <v/>
      </c>
      <c r="T3441" t="str">
        <f>IF(D3441=1,MAX($T$2:$T3440)+1,IF(S3441=S3440,$T3440,IF(D3441="x",T3440,IF(D3440="x","",""))))</f>
        <v/>
      </c>
      <c r="U3441" t="str">
        <f>IF(B3441=1,MAX($U$2:$U3440)+1,IF(AND($T3441&lt;&gt;"",$T3441=$T3440),$U3440,IF(B3441="x",U3440,"")))</f>
        <v/>
      </c>
      <c r="V3441" t="str">
        <f>IF(C3441=1,MAX($V$2:$V3440)+1,IF(AND($T3441&lt;&gt;"",$T3441=$T3440),$U3440,IF(C3441="x",V3440,"")))</f>
        <v/>
      </c>
      <c r="X3441" cm="1">
        <f t="array" ref="X3441">IF($I3441&lt;&gt;"",$I3441,INDEX($I$1:$I3441,ROW()-COUNTIFS($T$1:$T3441,"="&amp;$T3441,$S$1:$S3441,"&lt;"&amp;$S3441)))</f>
        <v>0</v>
      </c>
      <c r="Z3441" s="6">
        <f t="shared" si="470"/>
        <v>1</v>
      </c>
      <c r="AA3441" t="e">
        <f t="shared" si="471"/>
        <v>#VALUE!</v>
      </c>
      <c r="AB3441" t="str">
        <f t="shared" si="472"/>
        <v/>
      </c>
      <c r="AC3441" t="e">
        <f t="shared" si="473"/>
        <v>#VALUE!</v>
      </c>
    </row>
    <row r="3442" spans="1:29" x14ac:dyDescent="0.2">
      <c r="A3442" t="str">
        <f t="shared" si="474"/>
        <v/>
      </c>
      <c r="E3442" s="4"/>
      <c r="F3442" s="46"/>
      <c r="G3442" s="4"/>
      <c r="H3442" s="48"/>
      <c r="J3442" s="26" t="str">
        <f t="shared" si="475"/>
        <v/>
      </c>
      <c r="N3442" t="str">
        <f t="shared" si="476"/>
        <v/>
      </c>
      <c r="Q3442" t="str">
        <f t="shared" si="477"/>
        <v/>
      </c>
      <c r="S3442" t="str">
        <f>IF(A3442=1,MAX($S$2:$S3441)+1,IF(OR($I3442&lt;&gt;"",A3442="x"),$S3441,""))</f>
        <v/>
      </c>
      <c r="T3442" t="str">
        <f>IF(D3442=1,MAX($T$2:$T3441)+1,IF(S3442=S3441,$T3441,IF(D3442="x",T3441,IF(D3441="x","",""))))</f>
        <v/>
      </c>
      <c r="U3442" t="str">
        <f>IF(B3442=1,MAX($U$2:$U3441)+1,IF(AND($T3442&lt;&gt;"",$T3442=$T3441),$U3441,IF(B3442="x",U3441,"")))</f>
        <v/>
      </c>
      <c r="V3442" t="str">
        <f>IF(C3442=1,MAX($V$2:$V3441)+1,IF(AND($T3442&lt;&gt;"",$T3442=$T3441),$U3441,IF(C3442="x",V3441,"")))</f>
        <v/>
      </c>
      <c r="X3442" cm="1">
        <f t="array" ref="X3442">IF($I3442&lt;&gt;"",$I3442,INDEX($I$1:$I3442,ROW()-COUNTIFS($T$1:$T3442,"="&amp;$T3442,$S$1:$S3442,"&lt;"&amp;$S3442)))</f>
        <v>0</v>
      </c>
      <c r="Z3442" s="6">
        <f t="shared" si="470"/>
        <v>1</v>
      </c>
      <c r="AA3442" t="e">
        <f t="shared" si="471"/>
        <v>#VALUE!</v>
      </c>
      <c r="AB3442" t="str">
        <f t="shared" si="472"/>
        <v/>
      </c>
      <c r="AC3442" t="e">
        <f t="shared" si="473"/>
        <v>#VALUE!</v>
      </c>
    </row>
    <row r="3443" spans="1:29" x14ac:dyDescent="0.2">
      <c r="A3443" t="str">
        <f t="shared" si="474"/>
        <v/>
      </c>
      <c r="E3443" s="4"/>
      <c r="F3443" s="46"/>
      <c r="G3443" s="4"/>
      <c r="H3443" s="48"/>
      <c r="J3443" s="26" t="str">
        <f t="shared" si="475"/>
        <v/>
      </c>
      <c r="N3443" t="str">
        <f t="shared" si="476"/>
        <v/>
      </c>
      <c r="Q3443" t="str">
        <f t="shared" si="477"/>
        <v/>
      </c>
      <c r="S3443" t="str">
        <f>IF(A3443=1,MAX($S$2:$S3442)+1,IF(OR($I3443&lt;&gt;"",A3443="x"),$S3442,""))</f>
        <v/>
      </c>
      <c r="T3443" t="str">
        <f>IF(D3443=1,MAX($T$2:$T3442)+1,IF(S3443=S3442,$T3442,IF(D3443="x",T3442,IF(D3442="x","",""))))</f>
        <v/>
      </c>
      <c r="U3443" t="str">
        <f>IF(B3443=1,MAX($U$2:$U3442)+1,IF(AND($T3443&lt;&gt;"",$T3443=$T3442),$U3442,IF(B3443="x",U3442,"")))</f>
        <v/>
      </c>
      <c r="V3443" t="str">
        <f>IF(C3443=1,MAX($V$2:$V3442)+1,IF(AND($T3443&lt;&gt;"",$T3443=$T3442),$U3442,IF(C3443="x",V3442,"")))</f>
        <v/>
      </c>
      <c r="X3443" cm="1">
        <f t="array" ref="X3443">IF($I3443&lt;&gt;"",$I3443,INDEX($I$1:$I3443,ROW()-COUNTIFS($T$1:$T3443,"="&amp;$T3443,$S$1:$S3443,"&lt;"&amp;$S3443)))</f>
        <v>0</v>
      </c>
      <c r="Z3443" s="6">
        <f t="shared" si="470"/>
        <v>1</v>
      </c>
      <c r="AA3443" t="e">
        <f t="shared" si="471"/>
        <v>#VALUE!</v>
      </c>
      <c r="AB3443" t="str">
        <f t="shared" si="472"/>
        <v/>
      </c>
      <c r="AC3443" t="e">
        <f t="shared" si="473"/>
        <v>#VALUE!</v>
      </c>
    </row>
    <row r="3444" spans="1:29" x14ac:dyDescent="0.2">
      <c r="A3444" t="str">
        <f t="shared" si="474"/>
        <v/>
      </c>
      <c r="E3444" s="4"/>
      <c r="F3444" s="46"/>
      <c r="G3444" s="4"/>
      <c r="H3444" s="48"/>
      <c r="J3444" s="26" t="str">
        <f t="shared" si="475"/>
        <v/>
      </c>
      <c r="N3444" t="str">
        <f t="shared" si="476"/>
        <v/>
      </c>
      <c r="Q3444" t="str">
        <f t="shared" si="477"/>
        <v/>
      </c>
      <c r="S3444" t="str">
        <f>IF(A3444=1,MAX($S$2:$S3443)+1,IF(OR($I3444&lt;&gt;"",A3444="x"),$S3443,""))</f>
        <v/>
      </c>
      <c r="T3444" t="str">
        <f>IF(D3444=1,MAX($T$2:$T3443)+1,IF(S3444=S3443,$T3443,IF(D3444="x",T3443,IF(D3443="x","",""))))</f>
        <v/>
      </c>
      <c r="U3444" t="str">
        <f>IF(B3444=1,MAX($U$2:$U3443)+1,IF(AND($T3444&lt;&gt;"",$T3444=$T3443),$U3443,IF(B3444="x",U3443,"")))</f>
        <v/>
      </c>
      <c r="V3444" t="str">
        <f>IF(C3444=1,MAX($V$2:$V3443)+1,IF(AND($T3444&lt;&gt;"",$T3444=$T3443),$U3443,IF(C3444="x",V3443,"")))</f>
        <v/>
      </c>
      <c r="X3444" cm="1">
        <f t="array" ref="X3444">IF($I3444&lt;&gt;"",$I3444,INDEX($I$1:$I3444,ROW()-COUNTIFS($T$1:$T3444,"="&amp;$T3444,$S$1:$S3444,"&lt;"&amp;$S3444)))</f>
        <v>0</v>
      </c>
      <c r="Z3444" s="6">
        <f t="shared" si="470"/>
        <v>1</v>
      </c>
      <c r="AA3444" t="e">
        <f t="shared" si="471"/>
        <v>#VALUE!</v>
      </c>
      <c r="AB3444" t="str">
        <f t="shared" si="472"/>
        <v/>
      </c>
      <c r="AC3444" t="e">
        <f t="shared" si="473"/>
        <v>#VALUE!</v>
      </c>
    </row>
    <row r="3445" spans="1:29" x14ac:dyDescent="0.2">
      <c r="A3445" t="str">
        <f t="shared" si="474"/>
        <v/>
      </c>
      <c r="E3445" s="4"/>
      <c r="F3445" s="46"/>
      <c r="G3445" s="4"/>
      <c r="H3445" s="48"/>
      <c r="J3445" s="26" t="str">
        <f t="shared" si="475"/>
        <v/>
      </c>
      <c r="N3445" t="str">
        <f t="shared" si="476"/>
        <v/>
      </c>
      <c r="Q3445" t="str">
        <f t="shared" si="477"/>
        <v/>
      </c>
      <c r="S3445" t="str">
        <f>IF(A3445=1,MAX($S$2:$S3444)+1,IF(OR($I3445&lt;&gt;"",A3445="x"),$S3444,""))</f>
        <v/>
      </c>
      <c r="T3445" t="str">
        <f>IF(D3445=1,MAX($T$2:$T3444)+1,IF(S3445=S3444,$T3444,IF(D3445="x",T3444,IF(D3444="x","",""))))</f>
        <v/>
      </c>
      <c r="U3445" t="str">
        <f>IF(B3445=1,MAX($U$2:$U3444)+1,IF(AND($T3445&lt;&gt;"",$T3445=$T3444),$U3444,IF(B3445="x",U3444,"")))</f>
        <v/>
      </c>
      <c r="V3445" t="str">
        <f>IF(C3445=1,MAX($V$2:$V3444)+1,IF(AND($T3445&lt;&gt;"",$T3445=$T3444),$U3444,IF(C3445="x",V3444,"")))</f>
        <v/>
      </c>
      <c r="X3445" cm="1">
        <f t="array" ref="X3445">IF($I3445&lt;&gt;"",$I3445,INDEX($I$1:$I3445,ROW()-COUNTIFS($T$1:$T3445,"="&amp;$T3445,$S$1:$S3445,"&lt;"&amp;$S3445)))</f>
        <v>0</v>
      </c>
      <c r="Z3445" s="6">
        <f t="shared" si="470"/>
        <v>1</v>
      </c>
      <c r="AA3445" t="e">
        <f t="shared" si="471"/>
        <v>#VALUE!</v>
      </c>
      <c r="AB3445" t="str">
        <f t="shared" si="472"/>
        <v/>
      </c>
      <c r="AC3445" t="e">
        <f t="shared" si="473"/>
        <v>#VALUE!</v>
      </c>
    </row>
    <row r="3446" spans="1:29" x14ac:dyDescent="0.2">
      <c r="A3446" t="str">
        <f t="shared" si="474"/>
        <v/>
      </c>
      <c r="E3446" s="4"/>
      <c r="F3446" s="46"/>
      <c r="G3446" s="4"/>
      <c r="H3446" s="48"/>
      <c r="J3446" s="26" t="str">
        <f t="shared" si="475"/>
        <v/>
      </c>
      <c r="N3446" t="str">
        <f t="shared" si="476"/>
        <v/>
      </c>
      <c r="Q3446" t="str">
        <f t="shared" si="477"/>
        <v/>
      </c>
      <c r="S3446" t="str">
        <f>IF(A3446=1,MAX($S$2:$S3445)+1,IF(OR($I3446&lt;&gt;"",A3446="x"),$S3445,""))</f>
        <v/>
      </c>
      <c r="T3446" t="str">
        <f>IF(D3446=1,MAX($T$2:$T3445)+1,IF(S3446=S3445,$T3445,IF(D3446="x",T3445,IF(D3445="x","",""))))</f>
        <v/>
      </c>
      <c r="U3446" t="str">
        <f>IF(B3446=1,MAX($U$2:$U3445)+1,IF(AND($T3446&lt;&gt;"",$T3446=$T3445),$U3445,IF(B3446="x",U3445,"")))</f>
        <v/>
      </c>
      <c r="V3446" t="str">
        <f>IF(C3446=1,MAX($V$2:$V3445)+1,IF(AND($T3446&lt;&gt;"",$T3446=$T3445),$U3445,IF(C3446="x",V3445,"")))</f>
        <v/>
      </c>
      <c r="X3446" cm="1">
        <f t="array" ref="X3446">IF($I3446&lt;&gt;"",$I3446,INDEX($I$1:$I3446,ROW()-COUNTIFS($T$1:$T3446,"="&amp;$T3446,$S$1:$S3446,"&lt;"&amp;$S3446)))</f>
        <v>0</v>
      </c>
      <c r="Z3446" s="6">
        <f t="shared" si="470"/>
        <v>1</v>
      </c>
      <c r="AA3446" t="e">
        <f t="shared" si="471"/>
        <v>#VALUE!</v>
      </c>
      <c r="AB3446" t="str">
        <f t="shared" si="472"/>
        <v/>
      </c>
      <c r="AC3446" t="e">
        <f t="shared" si="473"/>
        <v>#VALUE!</v>
      </c>
    </row>
    <row r="3447" spans="1:29" x14ac:dyDescent="0.2">
      <c r="A3447" t="str">
        <f t="shared" si="474"/>
        <v/>
      </c>
      <c r="E3447" s="4"/>
      <c r="F3447" s="46"/>
      <c r="G3447" s="4"/>
      <c r="H3447" s="48"/>
      <c r="J3447" s="26" t="str">
        <f t="shared" si="475"/>
        <v/>
      </c>
      <c r="N3447" t="str">
        <f t="shared" si="476"/>
        <v/>
      </c>
      <c r="Q3447" t="str">
        <f t="shared" si="477"/>
        <v/>
      </c>
      <c r="S3447" t="str">
        <f>IF(A3447=1,MAX($S$2:$S3446)+1,IF(OR($I3447&lt;&gt;"",A3447="x"),$S3446,""))</f>
        <v/>
      </c>
      <c r="T3447" t="str">
        <f>IF(D3447=1,MAX($T$2:$T3446)+1,IF(S3447=S3446,$T3446,IF(D3447="x",T3446,IF(D3446="x","",""))))</f>
        <v/>
      </c>
      <c r="U3447" t="str">
        <f>IF(B3447=1,MAX($U$2:$U3446)+1,IF(AND($T3447&lt;&gt;"",$T3447=$T3446),$U3446,IF(B3447="x",U3446,"")))</f>
        <v/>
      </c>
      <c r="V3447" t="str">
        <f>IF(C3447=1,MAX($V$2:$V3446)+1,IF(AND($T3447&lt;&gt;"",$T3447=$T3446),$U3446,IF(C3447="x",V3446,"")))</f>
        <v/>
      </c>
      <c r="X3447" cm="1">
        <f t="array" ref="X3447">IF($I3447&lt;&gt;"",$I3447,INDEX($I$1:$I3447,ROW()-COUNTIFS($T$1:$T3447,"="&amp;$T3447,$S$1:$S3447,"&lt;"&amp;$S3447)))</f>
        <v>0</v>
      </c>
      <c r="Z3447" s="6">
        <f t="shared" si="470"/>
        <v>1</v>
      </c>
      <c r="AA3447" t="e">
        <f t="shared" si="471"/>
        <v>#VALUE!</v>
      </c>
      <c r="AB3447" t="str">
        <f t="shared" si="472"/>
        <v/>
      </c>
      <c r="AC3447" t="e">
        <f t="shared" si="473"/>
        <v>#VALUE!</v>
      </c>
    </row>
    <row r="3448" spans="1:29" x14ac:dyDescent="0.2">
      <c r="A3448" t="str">
        <f t="shared" si="474"/>
        <v/>
      </c>
      <c r="E3448" s="4"/>
      <c r="F3448" s="46"/>
      <c r="G3448" s="4"/>
      <c r="H3448" s="48"/>
      <c r="J3448" s="26" t="str">
        <f t="shared" si="475"/>
        <v/>
      </c>
      <c r="N3448" t="str">
        <f t="shared" si="476"/>
        <v/>
      </c>
      <c r="Q3448" t="str">
        <f t="shared" si="477"/>
        <v/>
      </c>
      <c r="S3448" t="str">
        <f>IF(A3448=1,MAX($S$2:$S3447)+1,IF(OR($I3448&lt;&gt;"",A3448="x"),$S3447,""))</f>
        <v/>
      </c>
      <c r="T3448" t="str">
        <f>IF(D3448=1,MAX($T$2:$T3447)+1,IF(S3448=S3447,$T3447,IF(D3448="x",T3447,IF(D3447="x","",""))))</f>
        <v/>
      </c>
      <c r="U3448" t="str">
        <f>IF(B3448=1,MAX($U$2:$U3447)+1,IF(AND($T3448&lt;&gt;"",$T3448=$T3447),$U3447,IF(B3448="x",U3447,"")))</f>
        <v/>
      </c>
      <c r="V3448" t="str">
        <f>IF(C3448=1,MAX($V$2:$V3447)+1,IF(AND($T3448&lt;&gt;"",$T3448=$T3447),$U3447,IF(C3448="x",V3447,"")))</f>
        <v/>
      </c>
      <c r="X3448" cm="1">
        <f t="array" ref="X3448">IF($I3448&lt;&gt;"",$I3448,INDEX($I$1:$I3448,ROW()-COUNTIFS($T$1:$T3448,"="&amp;$T3448,$S$1:$S3448,"&lt;"&amp;$S3448)))</f>
        <v>0</v>
      </c>
      <c r="Z3448" s="6">
        <f t="shared" si="470"/>
        <v>1</v>
      </c>
      <c r="AA3448" t="e">
        <f t="shared" si="471"/>
        <v>#VALUE!</v>
      </c>
      <c r="AB3448" t="str">
        <f t="shared" si="472"/>
        <v/>
      </c>
      <c r="AC3448" t="e">
        <f t="shared" si="473"/>
        <v>#VALUE!</v>
      </c>
    </row>
    <row r="3449" spans="1:29" x14ac:dyDescent="0.2">
      <c r="A3449" t="str">
        <f t="shared" si="474"/>
        <v/>
      </c>
      <c r="E3449" s="4"/>
      <c r="F3449" s="46"/>
      <c r="G3449" s="4"/>
      <c r="H3449" s="48"/>
      <c r="J3449" s="26" t="str">
        <f t="shared" si="475"/>
        <v/>
      </c>
      <c r="N3449" t="str">
        <f t="shared" si="476"/>
        <v/>
      </c>
      <c r="Q3449" t="str">
        <f t="shared" si="477"/>
        <v/>
      </c>
      <c r="S3449" t="str">
        <f>IF(A3449=1,MAX($S$2:$S3448)+1,IF(OR($I3449&lt;&gt;"",A3449="x"),$S3448,""))</f>
        <v/>
      </c>
      <c r="T3449" t="str">
        <f>IF(D3449=1,MAX($T$2:$T3448)+1,IF(S3449=S3448,$T3448,IF(D3449="x",T3448,IF(D3448="x","",""))))</f>
        <v/>
      </c>
      <c r="U3449" t="str">
        <f>IF(B3449=1,MAX($U$2:$U3448)+1,IF(AND($T3449&lt;&gt;"",$T3449=$T3448),$U3448,IF(B3449="x",U3448,"")))</f>
        <v/>
      </c>
      <c r="V3449" t="str">
        <f>IF(C3449=1,MAX($V$2:$V3448)+1,IF(AND($T3449&lt;&gt;"",$T3449=$T3448),$U3448,IF(C3449="x",V3448,"")))</f>
        <v/>
      </c>
      <c r="X3449" cm="1">
        <f t="array" ref="X3449">IF($I3449&lt;&gt;"",$I3449,INDEX($I$1:$I3449,ROW()-COUNTIFS($T$1:$T3449,"="&amp;$T3449,$S$1:$S3449,"&lt;"&amp;$S3449)))</f>
        <v>0</v>
      </c>
      <c r="Z3449" s="6">
        <f t="shared" si="470"/>
        <v>1</v>
      </c>
      <c r="AA3449" t="e">
        <f t="shared" si="471"/>
        <v>#VALUE!</v>
      </c>
      <c r="AB3449" t="str">
        <f t="shared" si="472"/>
        <v/>
      </c>
      <c r="AC3449" t="e">
        <f t="shared" si="473"/>
        <v>#VALUE!</v>
      </c>
    </row>
    <row r="3450" spans="1:29" x14ac:dyDescent="0.2">
      <c r="A3450" t="str">
        <f t="shared" si="474"/>
        <v/>
      </c>
      <c r="E3450" s="4"/>
      <c r="F3450" s="46"/>
      <c r="G3450" s="4"/>
      <c r="H3450" s="48"/>
      <c r="J3450" s="26" t="str">
        <f t="shared" si="475"/>
        <v/>
      </c>
      <c r="N3450" t="str">
        <f t="shared" si="476"/>
        <v/>
      </c>
      <c r="Q3450" t="str">
        <f t="shared" si="477"/>
        <v/>
      </c>
      <c r="S3450" t="str">
        <f>IF(A3450=1,MAX($S$2:$S3449)+1,IF(OR($I3450&lt;&gt;"",A3450="x"),$S3449,""))</f>
        <v/>
      </c>
      <c r="T3450" t="str">
        <f>IF(D3450=1,MAX($T$2:$T3449)+1,IF(S3450=S3449,$T3449,IF(D3450="x",T3449,IF(D3449="x","",""))))</f>
        <v/>
      </c>
      <c r="U3450" t="str">
        <f>IF(B3450=1,MAX($U$2:$U3449)+1,IF(AND($T3450&lt;&gt;"",$T3450=$T3449),$U3449,IF(B3450="x",U3449,"")))</f>
        <v/>
      </c>
      <c r="V3450" t="str">
        <f>IF(C3450=1,MAX($V$2:$V3449)+1,IF(AND($T3450&lt;&gt;"",$T3450=$T3449),$U3449,IF(C3450="x",V3449,"")))</f>
        <v/>
      </c>
      <c r="X3450" cm="1">
        <f t="array" ref="X3450">IF($I3450&lt;&gt;"",$I3450,INDEX($I$1:$I3450,ROW()-COUNTIFS($T$1:$T3450,"="&amp;$T3450,$S$1:$S3450,"&lt;"&amp;$S3450)))</f>
        <v>0</v>
      </c>
      <c r="Z3450" s="6">
        <f t="shared" si="470"/>
        <v>1</v>
      </c>
      <c r="AA3450" t="e">
        <f t="shared" si="471"/>
        <v>#VALUE!</v>
      </c>
      <c r="AB3450" t="str">
        <f t="shared" si="472"/>
        <v/>
      </c>
      <c r="AC3450" t="e">
        <f t="shared" si="473"/>
        <v>#VALUE!</v>
      </c>
    </row>
    <row r="3451" spans="1:29" x14ac:dyDescent="0.2">
      <c r="A3451" t="str">
        <f t="shared" si="474"/>
        <v/>
      </c>
      <c r="E3451" s="4"/>
      <c r="F3451" s="46"/>
      <c r="G3451" s="4"/>
      <c r="H3451" s="48"/>
      <c r="J3451" s="26" t="str">
        <f t="shared" si="475"/>
        <v/>
      </c>
      <c r="N3451" t="str">
        <f t="shared" si="476"/>
        <v/>
      </c>
      <c r="Q3451" t="str">
        <f t="shared" si="477"/>
        <v/>
      </c>
      <c r="S3451" t="str">
        <f>IF(A3451=1,MAX($S$2:$S3450)+1,IF(OR($I3451&lt;&gt;"",A3451="x"),$S3450,""))</f>
        <v/>
      </c>
      <c r="T3451" t="str">
        <f>IF(D3451=1,MAX($T$2:$T3450)+1,IF(S3451=S3450,$T3450,IF(D3451="x",T3450,IF(D3450="x","",""))))</f>
        <v/>
      </c>
      <c r="U3451" t="str">
        <f>IF(B3451=1,MAX($U$2:$U3450)+1,IF(AND($T3451&lt;&gt;"",$T3451=$T3450),$U3450,IF(B3451="x",U3450,"")))</f>
        <v/>
      </c>
      <c r="V3451" t="str">
        <f>IF(C3451=1,MAX($V$2:$V3450)+1,IF(AND($T3451&lt;&gt;"",$T3451=$T3450),$U3450,IF(C3451="x",V3450,"")))</f>
        <v/>
      </c>
      <c r="X3451" cm="1">
        <f t="array" ref="X3451">IF($I3451&lt;&gt;"",$I3451,INDEX($I$1:$I3451,ROW()-COUNTIFS($T$1:$T3451,"="&amp;$T3451,$S$1:$S3451,"&lt;"&amp;$S3451)))</f>
        <v>0</v>
      </c>
      <c r="Z3451" s="6">
        <f t="shared" si="470"/>
        <v>1</v>
      </c>
      <c r="AA3451" t="e">
        <f t="shared" si="471"/>
        <v>#VALUE!</v>
      </c>
      <c r="AB3451" t="str">
        <f t="shared" si="472"/>
        <v/>
      </c>
      <c r="AC3451" t="e">
        <f t="shared" si="473"/>
        <v>#VALUE!</v>
      </c>
    </row>
    <row r="3452" spans="1:29" x14ac:dyDescent="0.2">
      <c r="A3452" t="str">
        <f t="shared" si="474"/>
        <v/>
      </c>
      <c r="E3452" s="4"/>
      <c r="F3452" s="46"/>
      <c r="G3452" s="4"/>
      <c r="H3452" s="48"/>
      <c r="J3452" s="26" t="str">
        <f t="shared" si="475"/>
        <v/>
      </c>
      <c r="N3452" t="str">
        <f t="shared" si="476"/>
        <v/>
      </c>
      <c r="Q3452" t="str">
        <f t="shared" si="477"/>
        <v/>
      </c>
      <c r="S3452" t="str">
        <f>IF(A3452=1,MAX($S$2:$S3451)+1,IF(OR($I3452&lt;&gt;"",A3452="x"),$S3451,""))</f>
        <v/>
      </c>
      <c r="T3452" t="str">
        <f>IF(D3452=1,MAX($T$2:$T3451)+1,IF(S3452=S3451,$T3451,IF(D3452="x",T3451,IF(D3451="x","",""))))</f>
        <v/>
      </c>
      <c r="U3452" t="str">
        <f>IF(B3452=1,MAX($U$2:$U3451)+1,IF(AND($T3452&lt;&gt;"",$T3452=$T3451),$U3451,IF(B3452="x",U3451,"")))</f>
        <v/>
      </c>
      <c r="V3452" t="str">
        <f>IF(C3452=1,MAX($V$2:$V3451)+1,IF(AND($T3452&lt;&gt;"",$T3452=$T3451),$U3451,IF(C3452="x",V3451,"")))</f>
        <v/>
      </c>
      <c r="X3452" cm="1">
        <f t="array" ref="X3452">IF($I3452&lt;&gt;"",$I3452,INDEX($I$1:$I3452,ROW()-COUNTIFS($T$1:$T3452,"="&amp;$T3452,$S$1:$S3452,"&lt;"&amp;$S3452)))</f>
        <v>0</v>
      </c>
      <c r="Z3452" s="6">
        <f t="shared" si="470"/>
        <v>1</v>
      </c>
      <c r="AA3452" t="e">
        <f t="shared" si="471"/>
        <v>#VALUE!</v>
      </c>
      <c r="AB3452" t="str">
        <f t="shared" si="472"/>
        <v/>
      </c>
      <c r="AC3452" t="e">
        <f t="shared" si="473"/>
        <v>#VALUE!</v>
      </c>
    </row>
    <row r="3453" spans="1:29" x14ac:dyDescent="0.2">
      <c r="A3453" t="str">
        <f t="shared" si="474"/>
        <v/>
      </c>
      <c r="E3453" s="4"/>
      <c r="F3453" s="46"/>
      <c r="G3453" s="4"/>
      <c r="H3453" s="48"/>
      <c r="J3453" s="26" t="str">
        <f t="shared" si="475"/>
        <v/>
      </c>
      <c r="N3453" t="str">
        <f t="shared" si="476"/>
        <v/>
      </c>
      <c r="Q3453" t="str">
        <f t="shared" si="477"/>
        <v/>
      </c>
      <c r="S3453" t="str">
        <f>IF(A3453=1,MAX($S$2:$S3452)+1,IF(OR($I3453&lt;&gt;"",A3453="x"),$S3452,""))</f>
        <v/>
      </c>
      <c r="T3453" t="str">
        <f>IF(D3453=1,MAX($T$2:$T3452)+1,IF(S3453=S3452,$T3452,IF(D3453="x",T3452,IF(D3452="x","",""))))</f>
        <v/>
      </c>
      <c r="U3453" t="str">
        <f>IF(B3453=1,MAX($U$2:$U3452)+1,IF(AND($T3453&lt;&gt;"",$T3453=$T3452),$U3452,IF(B3453="x",U3452,"")))</f>
        <v/>
      </c>
      <c r="V3453" t="str">
        <f>IF(C3453=1,MAX($V$2:$V3452)+1,IF(AND($T3453&lt;&gt;"",$T3453=$T3452),$U3452,IF(C3453="x",V3452,"")))</f>
        <v/>
      </c>
      <c r="X3453" cm="1">
        <f t="array" ref="X3453">IF($I3453&lt;&gt;"",$I3453,INDEX($I$1:$I3453,ROW()-COUNTIFS($T$1:$T3453,"="&amp;$T3453,$S$1:$S3453,"&lt;"&amp;$S3453)))</f>
        <v>0</v>
      </c>
      <c r="Z3453" s="6">
        <f t="shared" si="470"/>
        <v>1</v>
      </c>
      <c r="AA3453" t="e">
        <f t="shared" si="471"/>
        <v>#VALUE!</v>
      </c>
      <c r="AB3453" t="str">
        <f t="shared" si="472"/>
        <v/>
      </c>
      <c r="AC3453" t="e">
        <f t="shared" si="473"/>
        <v>#VALUE!</v>
      </c>
    </row>
    <row r="3454" spans="1:29" x14ac:dyDescent="0.2">
      <c r="A3454" t="str">
        <f t="shared" si="474"/>
        <v/>
      </c>
      <c r="E3454" s="4"/>
      <c r="F3454" s="46"/>
      <c r="G3454" s="4"/>
      <c r="H3454" s="48"/>
      <c r="J3454" s="26" t="str">
        <f t="shared" si="475"/>
        <v/>
      </c>
      <c r="N3454" t="str">
        <f t="shared" si="476"/>
        <v/>
      </c>
      <c r="Q3454" t="str">
        <f t="shared" si="477"/>
        <v/>
      </c>
      <c r="S3454" t="str">
        <f>IF(A3454=1,MAX($S$2:$S3453)+1,IF(OR($I3454&lt;&gt;"",A3454="x"),$S3453,""))</f>
        <v/>
      </c>
      <c r="T3454" t="str">
        <f>IF(D3454=1,MAX($T$2:$T3453)+1,IF(S3454=S3453,$T3453,IF(D3454="x",T3453,IF(D3453="x","",""))))</f>
        <v/>
      </c>
      <c r="U3454" t="str">
        <f>IF(B3454=1,MAX($U$2:$U3453)+1,IF(AND($T3454&lt;&gt;"",$T3454=$T3453),$U3453,IF(B3454="x",U3453,"")))</f>
        <v/>
      </c>
      <c r="V3454" t="str">
        <f>IF(C3454=1,MAX($V$2:$V3453)+1,IF(AND($T3454&lt;&gt;"",$T3454=$T3453),$U3453,IF(C3454="x",V3453,"")))</f>
        <v/>
      </c>
      <c r="X3454" cm="1">
        <f t="array" ref="X3454">IF($I3454&lt;&gt;"",$I3454,INDEX($I$1:$I3454,ROW()-COUNTIFS($T$1:$T3454,"="&amp;$T3454,$S$1:$S3454,"&lt;"&amp;$S3454)))</f>
        <v>0</v>
      </c>
      <c r="Z3454" s="6">
        <f t="shared" si="470"/>
        <v>1</v>
      </c>
      <c r="AA3454" t="e">
        <f t="shared" si="471"/>
        <v>#VALUE!</v>
      </c>
      <c r="AB3454" t="str">
        <f t="shared" si="472"/>
        <v/>
      </c>
      <c r="AC3454" t="e">
        <f t="shared" si="473"/>
        <v>#VALUE!</v>
      </c>
    </row>
    <row r="3455" spans="1:29" x14ac:dyDescent="0.2">
      <c r="A3455" t="str">
        <f t="shared" si="474"/>
        <v/>
      </c>
      <c r="E3455" s="4"/>
      <c r="F3455" s="46"/>
      <c r="G3455" s="4"/>
      <c r="H3455" s="48"/>
      <c r="J3455" s="26" t="str">
        <f t="shared" si="475"/>
        <v/>
      </c>
      <c r="N3455" t="str">
        <f t="shared" si="476"/>
        <v/>
      </c>
      <c r="Q3455" t="str">
        <f t="shared" si="477"/>
        <v/>
      </c>
      <c r="S3455" t="str">
        <f>IF(A3455=1,MAX($S$2:$S3454)+1,IF(OR($I3455&lt;&gt;"",A3455="x"),$S3454,""))</f>
        <v/>
      </c>
      <c r="T3455" t="str">
        <f>IF(D3455=1,MAX($T$2:$T3454)+1,IF(S3455=S3454,$T3454,IF(D3455="x",T3454,IF(D3454="x","",""))))</f>
        <v/>
      </c>
      <c r="U3455" t="str">
        <f>IF(B3455=1,MAX($U$2:$U3454)+1,IF(AND($T3455&lt;&gt;"",$T3455=$T3454),$U3454,IF(B3455="x",U3454,"")))</f>
        <v/>
      </c>
      <c r="V3455" t="str">
        <f>IF(C3455=1,MAX($V$2:$V3454)+1,IF(AND($T3455&lt;&gt;"",$T3455=$T3454),$U3454,IF(C3455="x",V3454,"")))</f>
        <v/>
      </c>
      <c r="X3455" cm="1">
        <f t="array" ref="X3455">IF($I3455&lt;&gt;"",$I3455,INDEX($I$1:$I3455,ROW()-COUNTIFS($T$1:$T3455,"="&amp;$T3455,$S$1:$S3455,"&lt;"&amp;$S3455)))</f>
        <v>0</v>
      </c>
      <c r="Z3455" s="6">
        <f t="shared" si="470"/>
        <v>1</v>
      </c>
      <c r="AA3455" t="e">
        <f t="shared" si="471"/>
        <v>#VALUE!</v>
      </c>
      <c r="AB3455" t="str">
        <f t="shared" si="472"/>
        <v/>
      </c>
      <c r="AC3455" t="e">
        <f t="shared" si="473"/>
        <v>#VALUE!</v>
      </c>
    </row>
    <row r="3456" spans="1:29" x14ac:dyDescent="0.2">
      <c r="A3456" t="str">
        <f t="shared" si="474"/>
        <v/>
      </c>
      <c r="E3456" s="4"/>
      <c r="F3456" s="46"/>
      <c r="G3456" s="4"/>
      <c r="H3456" s="48"/>
      <c r="J3456" s="26" t="str">
        <f t="shared" si="475"/>
        <v/>
      </c>
      <c r="N3456" t="str">
        <f t="shared" si="476"/>
        <v/>
      </c>
      <c r="Q3456" t="str">
        <f t="shared" si="477"/>
        <v/>
      </c>
      <c r="S3456" t="str">
        <f>IF(A3456=1,MAX($S$2:$S3455)+1,IF(OR($I3456&lt;&gt;"",A3456="x"),$S3455,""))</f>
        <v/>
      </c>
      <c r="T3456" t="str">
        <f>IF(D3456=1,MAX($T$2:$T3455)+1,IF(S3456=S3455,$T3455,IF(D3456="x",T3455,IF(D3455="x","",""))))</f>
        <v/>
      </c>
      <c r="U3456" t="str">
        <f>IF(B3456=1,MAX($U$2:$U3455)+1,IF(AND($T3456&lt;&gt;"",$T3456=$T3455),$U3455,IF(B3456="x",U3455,"")))</f>
        <v/>
      </c>
      <c r="V3456" t="str">
        <f>IF(C3456=1,MAX($V$2:$V3455)+1,IF(AND($T3456&lt;&gt;"",$T3456=$T3455),$U3455,IF(C3456="x",V3455,"")))</f>
        <v/>
      </c>
      <c r="X3456" cm="1">
        <f t="array" ref="X3456">IF($I3456&lt;&gt;"",$I3456,INDEX($I$1:$I3456,ROW()-COUNTIFS($T$1:$T3456,"="&amp;$T3456,$S$1:$S3456,"&lt;"&amp;$S3456)))</f>
        <v>0</v>
      </c>
      <c r="Z3456" s="6">
        <f t="shared" si="470"/>
        <v>1</v>
      </c>
      <c r="AA3456" t="e">
        <f t="shared" si="471"/>
        <v>#VALUE!</v>
      </c>
      <c r="AB3456" t="str">
        <f t="shared" si="472"/>
        <v/>
      </c>
      <c r="AC3456" t="e">
        <f t="shared" si="473"/>
        <v>#VALUE!</v>
      </c>
    </row>
    <row r="3457" spans="1:29" x14ac:dyDescent="0.2">
      <c r="A3457" t="str">
        <f t="shared" si="474"/>
        <v/>
      </c>
      <c r="E3457" s="4"/>
      <c r="F3457" s="46"/>
      <c r="G3457" s="4"/>
      <c r="H3457" s="48"/>
      <c r="J3457" s="26" t="str">
        <f t="shared" si="475"/>
        <v/>
      </c>
      <c r="N3457" t="str">
        <f t="shared" si="476"/>
        <v/>
      </c>
      <c r="Q3457" t="str">
        <f t="shared" si="477"/>
        <v/>
      </c>
      <c r="S3457" t="str">
        <f>IF(A3457=1,MAX($S$2:$S3456)+1,IF(OR($I3457&lt;&gt;"",A3457="x"),$S3456,""))</f>
        <v/>
      </c>
      <c r="T3457" t="str">
        <f>IF(D3457=1,MAX($T$2:$T3456)+1,IF(S3457=S3456,$T3456,IF(D3457="x",T3456,IF(D3456="x","",""))))</f>
        <v/>
      </c>
      <c r="U3457" t="str">
        <f>IF(B3457=1,MAX($U$2:$U3456)+1,IF(AND($T3457&lt;&gt;"",$T3457=$T3456),$U3456,IF(B3457="x",U3456,"")))</f>
        <v/>
      </c>
      <c r="V3457" t="str">
        <f>IF(C3457=1,MAX($V$2:$V3456)+1,IF(AND($T3457&lt;&gt;"",$T3457=$T3456),$U3456,IF(C3457="x",V3456,"")))</f>
        <v/>
      </c>
      <c r="X3457" cm="1">
        <f t="array" ref="X3457">IF($I3457&lt;&gt;"",$I3457,INDEX($I$1:$I3457,ROW()-COUNTIFS($T$1:$T3457,"="&amp;$T3457,$S$1:$S3457,"&lt;"&amp;$S3457)))</f>
        <v>0</v>
      </c>
      <c r="Z3457" s="6">
        <f t="shared" si="470"/>
        <v>1</v>
      </c>
      <c r="AA3457" t="e">
        <f t="shared" si="471"/>
        <v>#VALUE!</v>
      </c>
      <c r="AB3457" t="str">
        <f t="shared" si="472"/>
        <v/>
      </c>
      <c r="AC3457" t="e">
        <f t="shared" si="473"/>
        <v>#VALUE!</v>
      </c>
    </row>
    <row r="3458" spans="1:29" x14ac:dyDescent="0.2">
      <c r="A3458" t="str">
        <f t="shared" si="474"/>
        <v/>
      </c>
      <c r="E3458" s="4"/>
      <c r="F3458" s="46"/>
      <c r="G3458" s="4"/>
      <c r="H3458" s="48"/>
      <c r="J3458" s="26" t="str">
        <f t="shared" si="475"/>
        <v/>
      </c>
      <c r="N3458" t="str">
        <f t="shared" si="476"/>
        <v/>
      </c>
      <c r="Q3458" t="str">
        <f t="shared" si="477"/>
        <v/>
      </c>
      <c r="S3458" t="str">
        <f>IF(A3458=1,MAX($S$2:$S3457)+1,IF(OR($I3458&lt;&gt;"",A3458="x"),$S3457,""))</f>
        <v/>
      </c>
      <c r="T3458" t="str">
        <f>IF(D3458=1,MAX($T$2:$T3457)+1,IF(S3458=S3457,$T3457,IF(D3458="x",T3457,IF(D3457="x","",""))))</f>
        <v/>
      </c>
      <c r="U3458" t="str">
        <f>IF(B3458=1,MAX($U$2:$U3457)+1,IF(AND($T3458&lt;&gt;"",$T3458=$T3457),$U3457,IF(B3458="x",U3457,"")))</f>
        <v/>
      </c>
      <c r="V3458" t="str">
        <f>IF(C3458=1,MAX($V$2:$V3457)+1,IF(AND($T3458&lt;&gt;"",$T3458=$T3457),$U3457,IF(C3458="x",V3457,"")))</f>
        <v/>
      </c>
      <c r="X3458" cm="1">
        <f t="array" ref="X3458">IF($I3458&lt;&gt;"",$I3458,INDEX($I$1:$I3458,ROW()-COUNTIFS($T$1:$T3458,"="&amp;$T3458,$S$1:$S3458,"&lt;"&amp;$S3458)))</f>
        <v>0</v>
      </c>
      <c r="Z3458" s="6">
        <f t="shared" si="470"/>
        <v>1</v>
      </c>
      <c r="AA3458" t="e">
        <f t="shared" si="471"/>
        <v>#VALUE!</v>
      </c>
      <c r="AB3458" t="str">
        <f t="shared" si="472"/>
        <v/>
      </c>
      <c r="AC3458" t="e">
        <f t="shared" si="473"/>
        <v>#VALUE!</v>
      </c>
    </row>
    <row r="3459" spans="1:29" x14ac:dyDescent="0.2">
      <c r="A3459" t="str">
        <f t="shared" si="474"/>
        <v/>
      </c>
      <c r="E3459" s="4"/>
      <c r="F3459" s="46"/>
      <c r="G3459" s="4"/>
      <c r="H3459" s="48"/>
      <c r="J3459" s="26" t="str">
        <f t="shared" si="475"/>
        <v/>
      </c>
      <c r="N3459" t="str">
        <f t="shared" si="476"/>
        <v/>
      </c>
      <c r="Q3459" t="str">
        <f t="shared" si="477"/>
        <v/>
      </c>
      <c r="S3459" t="str">
        <f>IF(A3459=1,MAX($S$2:$S3458)+1,IF(OR($I3459&lt;&gt;"",A3459="x"),$S3458,""))</f>
        <v/>
      </c>
      <c r="T3459" t="str">
        <f>IF(D3459=1,MAX($T$2:$T3458)+1,IF(S3459=S3458,$T3458,IF(D3459="x",T3458,IF(D3458="x","",""))))</f>
        <v/>
      </c>
      <c r="U3459" t="str">
        <f>IF(B3459=1,MAX($U$2:$U3458)+1,IF(AND($T3459&lt;&gt;"",$T3459=$T3458),$U3458,IF(B3459="x",U3458,"")))</f>
        <v/>
      </c>
      <c r="V3459" t="str">
        <f>IF(C3459=1,MAX($V$2:$V3458)+1,IF(AND($T3459&lt;&gt;"",$T3459=$T3458),$U3458,IF(C3459="x",V3458,"")))</f>
        <v/>
      </c>
      <c r="X3459" cm="1">
        <f t="array" ref="X3459">IF($I3459&lt;&gt;"",$I3459,INDEX($I$1:$I3459,ROW()-COUNTIFS($T$1:$T3459,"="&amp;$T3459,$S$1:$S3459,"&lt;"&amp;$S3459)))</f>
        <v>0</v>
      </c>
      <c r="Z3459" s="6">
        <f t="shared" si="470"/>
        <v>1</v>
      </c>
      <c r="AA3459" t="e">
        <f t="shared" si="471"/>
        <v>#VALUE!</v>
      </c>
      <c r="AB3459" t="str">
        <f t="shared" si="472"/>
        <v/>
      </c>
      <c r="AC3459" t="e">
        <f t="shared" si="473"/>
        <v>#VALUE!</v>
      </c>
    </row>
    <row r="3460" spans="1:29" x14ac:dyDescent="0.2">
      <c r="A3460" t="str">
        <f t="shared" si="474"/>
        <v/>
      </c>
      <c r="E3460" s="4"/>
      <c r="F3460" s="46"/>
      <c r="G3460" s="4"/>
      <c r="H3460" s="48"/>
      <c r="J3460" s="26" t="str">
        <f t="shared" si="475"/>
        <v/>
      </c>
      <c r="N3460" t="str">
        <f t="shared" si="476"/>
        <v/>
      </c>
      <c r="Q3460" t="str">
        <f t="shared" si="477"/>
        <v/>
      </c>
      <c r="S3460" t="str">
        <f>IF(A3460=1,MAX($S$2:$S3459)+1,IF(OR($I3460&lt;&gt;"",A3460="x"),$S3459,""))</f>
        <v/>
      </c>
      <c r="T3460" t="str">
        <f>IF(D3460=1,MAX($T$2:$T3459)+1,IF(S3460=S3459,$T3459,IF(D3460="x",T3459,IF(D3459="x","",""))))</f>
        <v/>
      </c>
      <c r="U3460" t="str">
        <f>IF(B3460=1,MAX($U$2:$U3459)+1,IF(AND($T3460&lt;&gt;"",$T3460=$T3459),$U3459,IF(B3460="x",U3459,"")))</f>
        <v/>
      </c>
      <c r="V3460" t="str">
        <f>IF(C3460=1,MAX($V$2:$V3459)+1,IF(AND($T3460&lt;&gt;"",$T3460=$T3459),$U3459,IF(C3460="x",V3459,"")))</f>
        <v/>
      </c>
      <c r="X3460" cm="1">
        <f t="array" ref="X3460">IF($I3460&lt;&gt;"",$I3460,INDEX($I$1:$I3460,ROW()-COUNTIFS($T$1:$T3460,"="&amp;$T3460,$S$1:$S3460,"&lt;"&amp;$S3460)))</f>
        <v>0</v>
      </c>
      <c r="Z3460" s="6">
        <f t="shared" si="470"/>
        <v>1</v>
      </c>
      <c r="AA3460" t="e">
        <f t="shared" si="471"/>
        <v>#VALUE!</v>
      </c>
      <c r="AB3460" t="str">
        <f t="shared" si="472"/>
        <v/>
      </c>
      <c r="AC3460" t="e">
        <f t="shared" si="473"/>
        <v>#VALUE!</v>
      </c>
    </row>
    <row r="3461" spans="1:29" x14ac:dyDescent="0.2">
      <c r="A3461" t="str">
        <f t="shared" si="474"/>
        <v/>
      </c>
      <c r="E3461" s="4"/>
      <c r="F3461" s="46"/>
      <c r="G3461" s="4"/>
      <c r="H3461" s="48"/>
      <c r="J3461" s="26" t="str">
        <f t="shared" si="475"/>
        <v/>
      </c>
      <c r="N3461" t="str">
        <f t="shared" si="476"/>
        <v/>
      </c>
      <c r="Q3461" t="str">
        <f t="shared" si="477"/>
        <v/>
      </c>
      <c r="S3461" t="str">
        <f>IF(A3461=1,MAX($S$2:$S3460)+1,IF(OR($I3461&lt;&gt;"",A3461="x"),$S3460,""))</f>
        <v/>
      </c>
      <c r="T3461" t="str">
        <f>IF(D3461=1,MAX($T$2:$T3460)+1,IF(S3461=S3460,$T3460,IF(D3461="x",T3460,IF(D3460="x","",""))))</f>
        <v/>
      </c>
      <c r="U3461" t="str">
        <f>IF(B3461=1,MAX($U$2:$U3460)+1,IF(AND($T3461&lt;&gt;"",$T3461=$T3460),$U3460,IF(B3461="x",U3460,"")))</f>
        <v/>
      </c>
      <c r="V3461" t="str">
        <f>IF(C3461=1,MAX($V$2:$V3460)+1,IF(AND($T3461&lt;&gt;"",$T3461=$T3460),$U3460,IF(C3461="x",V3460,"")))</f>
        <v/>
      </c>
      <c r="X3461" cm="1">
        <f t="array" ref="X3461">IF($I3461&lt;&gt;"",$I3461,INDEX($I$1:$I3461,ROW()-COUNTIFS($T$1:$T3461,"="&amp;$T3461,$S$1:$S3461,"&lt;"&amp;$S3461)))</f>
        <v>0</v>
      </c>
      <c r="Z3461" s="6">
        <f t="shared" ref="Z3461:Z3524" si="478">IF(K3461="Intermission",Z3460+1,Z3460)</f>
        <v>1</v>
      </c>
      <c r="AA3461" t="e">
        <f t="shared" ref="AA3461:AA3524" si="479">S3461+1000</f>
        <v>#VALUE!</v>
      </c>
      <c r="AB3461" t="str">
        <f t="shared" ref="AB3461:AB3524" si="480">IF(T3461&lt;&gt;"",9000+T3461,"")</f>
        <v/>
      </c>
      <c r="AC3461" t="e">
        <f t="shared" ref="AC3461:AC3524" si="481">IF(AB3461&lt;&gt;"",AB3461,S3461+1000)</f>
        <v>#VALUE!</v>
      </c>
    </row>
    <row r="3462" spans="1:29" x14ac:dyDescent="0.2">
      <c r="A3462" t="str">
        <f t="shared" si="474"/>
        <v/>
      </c>
      <c r="E3462" s="4"/>
      <c r="F3462" s="46"/>
      <c r="G3462" s="4"/>
      <c r="H3462" s="48"/>
      <c r="J3462" s="26" t="str">
        <f t="shared" si="475"/>
        <v/>
      </c>
      <c r="N3462" t="str">
        <f t="shared" si="476"/>
        <v/>
      </c>
      <c r="Q3462" t="str">
        <f t="shared" si="477"/>
        <v/>
      </c>
      <c r="S3462" t="str">
        <f>IF(A3462=1,MAX($S$2:$S3461)+1,IF(OR($I3462&lt;&gt;"",A3462="x"),$S3461,""))</f>
        <v/>
      </c>
      <c r="T3462" t="str">
        <f>IF(D3462=1,MAX($T$2:$T3461)+1,IF(S3462=S3461,$T3461,IF(D3462="x",T3461,IF(D3461="x","",""))))</f>
        <v/>
      </c>
      <c r="U3462" t="str">
        <f>IF(B3462=1,MAX($U$2:$U3461)+1,IF(AND($T3462&lt;&gt;"",$T3462=$T3461),$U3461,IF(B3462="x",U3461,"")))</f>
        <v/>
      </c>
      <c r="V3462" t="str">
        <f>IF(C3462=1,MAX($V$2:$V3461)+1,IF(AND($T3462&lt;&gt;"",$T3462=$T3461),$U3461,IF(C3462="x",V3461,"")))</f>
        <v/>
      </c>
      <c r="X3462" cm="1">
        <f t="array" ref="X3462">IF($I3462&lt;&gt;"",$I3462,INDEX($I$1:$I3462,ROW()-COUNTIFS($T$1:$T3462,"="&amp;$T3462,$S$1:$S3462,"&lt;"&amp;$S3462)))</f>
        <v>0</v>
      </c>
      <c r="Z3462" s="6">
        <f t="shared" si="478"/>
        <v>1</v>
      </c>
      <c r="AA3462" t="e">
        <f t="shared" si="479"/>
        <v>#VALUE!</v>
      </c>
      <c r="AB3462" t="str">
        <f t="shared" si="480"/>
        <v/>
      </c>
      <c r="AC3462" t="e">
        <f t="shared" si="481"/>
        <v>#VALUE!</v>
      </c>
    </row>
    <row r="3463" spans="1:29" x14ac:dyDescent="0.2">
      <c r="A3463" t="str">
        <f t="shared" si="474"/>
        <v/>
      </c>
      <c r="E3463" s="4"/>
      <c r="F3463" s="46"/>
      <c r="G3463" s="4"/>
      <c r="H3463" s="48"/>
      <c r="J3463" s="26" t="str">
        <f t="shared" si="475"/>
        <v/>
      </c>
      <c r="N3463" t="str">
        <f t="shared" si="476"/>
        <v/>
      </c>
      <c r="Q3463" t="str">
        <f t="shared" si="477"/>
        <v/>
      </c>
      <c r="S3463" t="str">
        <f>IF(A3463=1,MAX($S$2:$S3462)+1,IF(OR($I3463&lt;&gt;"",A3463="x"),$S3462,""))</f>
        <v/>
      </c>
      <c r="T3463" t="str">
        <f>IF(D3463=1,MAX($T$2:$T3462)+1,IF(S3463=S3462,$T3462,IF(D3463="x",T3462,IF(D3462="x","",""))))</f>
        <v/>
      </c>
      <c r="U3463" t="str">
        <f>IF(B3463=1,MAX($U$2:$U3462)+1,IF(AND($T3463&lt;&gt;"",$T3463=$T3462),$U3462,IF(B3463="x",U3462,"")))</f>
        <v/>
      </c>
      <c r="V3463" t="str">
        <f>IF(C3463=1,MAX($V$2:$V3462)+1,IF(AND($T3463&lt;&gt;"",$T3463=$T3462),$U3462,IF(C3463="x",V3462,"")))</f>
        <v/>
      </c>
      <c r="X3463" cm="1">
        <f t="array" ref="X3463">IF($I3463&lt;&gt;"",$I3463,INDEX($I$1:$I3463,ROW()-COUNTIFS($T$1:$T3463,"="&amp;$T3463,$S$1:$S3463,"&lt;"&amp;$S3463)))</f>
        <v>0</v>
      </c>
      <c r="Z3463" s="6">
        <f t="shared" si="478"/>
        <v>1</v>
      </c>
      <c r="AA3463" t="e">
        <f t="shared" si="479"/>
        <v>#VALUE!</v>
      </c>
      <c r="AB3463" t="str">
        <f t="shared" si="480"/>
        <v/>
      </c>
      <c r="AC3463" t="e">
        <f t="shared" si="481"/>
        <v>#VALUE!</v>
      </c>
    </row>
    <row r="3464" spans="1:29" x14ac:dyDescent="0.2">
      <c r="A3464" t="str">
        <f t="shared" si="474"/>
        <v/>
      </c>
      <c r="E3464" s="4"/>
      <c r="F3464" s="46"/>
      <c r="G3464" s="4"/>
      <c r="H3464" s="48"/>
      <c r="J3464" s="26" t="str">
        <f t="shared" si="475"/>
        <v/>
      </c>
      <c r="N3464" t="str">
        <f t="shared" si="476"/>
        <v/>
      </c>
      <c r="Q3464" t="str">
        <f t="shared" si="477"/>
        <v/>
      </c>
      <c r="S3464" t="str">
        <f>IF(A3464=1,MAX($S$2:$S3463)+1,IF(OR($I3464&lt;&gt;"",A3464="x"),$S3463,""))</f>
        <v/>
      </c>
      <c r="T3464" t="str">
        <f>IF(D3464=1,MAX($T$2:$T3463)+1,IF(S3464=S3463,$T3463,IF(D3464="x",T3463,IF(D3463="x","",""))))</f>
        <v/>
      </c>
      <c r="U3464" t="str">
        <f>IF(B3464=1,MAX($U$2:$U3463)+1,IF(AND($T3464&lt;&gt;"",$T3464=$T3463),$U3463,IF(B3464="x",U3463,"")))</f>
        <v/>
      </c>
      <c r="V3464" t="str">
        <f>IF(C3464=1,MAX($V$2:$V3463)+1,IF(AND($T3464&lt;&gt;"",$T3464=$T3463),$U3463,IF(C3464="x",V3463,"")))</f>
        <v/>
      </c>
      <c r="X3464" cm="1">
        <f t="array" ref="X3464">IF($I3464&lt;&gt;"",$I3464,INDEX($I$1:$I3464,ROW()-COUNTIFS($T$1:$T3464,"="&amp;$T3464,$S$1:$S3464,"&lt;"&amp;$S3464)))</f>
        <v>0</v>
      </c>
      <c r="Z3464" s="6">
        <f t="shared" si="478"/>
        <v>1</v>
      </c>
      <c r="AA3464" t="e">
        <f t="shared" si="479"/>
        <v>#VALUE!</v>
      </c>
      <c r="AB3464" t="str">
        <f t="shared" si="480"/>
        <v/>
      </c>
      <c r="AC3464" t="e">
        <f t="shared" si="481"/>
        <v>#VALUE!</v>
      </c>
    </row>
    <row r="3465" spans="1:29" x14ac:dyDescent="0.2">
      <c r="A3465" t="str">
        <f t="shared" si="474"/>
        <v/>
      </c>
      <c r="E3465" s="4"/>
      <c r="F3465" s="46"/>
      <c r="G3465" s="4"/>
      <c r="H3465" s="48"/>
      <c r="J3465" s="26" t="str">
        <f t="shared" si="475"/>
        <v/>
      </c>
      <c r="N3465" t="str">
        <f t="shared" si="476"/>
        <v/>
      </c>
      <c r="Q3465" t="str">
        <f t="shared" si="477"/>
        <v/>
      </c>
      <c r="S3465" t="str">
        <f>IF(A3465=1,MAX($S$2:$S3464)+1,IF(OR($I3465&lt;&gt;"",A3465="x"),$S3464,""))</f>
        <v/>
      </c>
      <c r="T3465" t="str">
        <f>IF(D3465=1,MAX($T$2:$T3464)+1,IF(S3465=S3464,$T3464,IF(D3465="x",T3464,IF(D3464="x","",""))))</f>
        <v/>
      </c>
      <c r="U3465" t="str">
        <f>IF(B3465=1,MAX($U$2:$U3464)+1,IF(AND($T3465&lt;&gt;"",$T3465=$T3464),$U3464,IF(B3465="x",U3464,"")))</f>
        <v/>
      </c>
      <c r="V3465" t="str">
        <f>IF(C3465=1,MAX($V$2:$V3464)+1,IF(AND($T3465&lt;&gt;"",$T3465=$T3464),$U3464,IF(C3465="x",V3464,"")))</f>
        <v/>
      </c>
      <c r="X3465" cm="1">
        <f t="array" ref="X3465">IF($I3465&lt;&gt;"",$I3465,INDEX($I$1:$I3465,ROW()-COUNTIFS($T$1:$T3465,"="&amp;$T3465,$S$1:$S3465,"&lt;"&amp;$S3465)))</f>
        <v>0</v>
      </c>
      <c r="Z3465" s="6">
        <f t="shared" si="478"/>
        <v>1</v>
      </c>
      <c r="AA3465" t="e">
        <f t="shared" si="479"/>
        <v>#VALUE!</v>
      </c>
      <c r="AB3465" t="str">
        <f t="shared" si="480"/>
        <v/>
      </c>
      <c r="AC3465" t="e">
        <f t="shared" si="481"/>
        <v>#VALUE!</v>
      </c>
    </row>
    <row r="3466" spans="1:29" x14ac:dyDescent="0.2">
      <c r="A3466" t="str">
        <f t="shared" si="474"/>
        <v/>
      </c>
      <c r="E3466" s="4"/>
      <c r="F3466" s="46"/>
      <c r="G3466" s="4"/>
      <c r="H3466" s="48"/>
      <c r="J3466" s="26" t="str">
        <f t="shared" si="475"/>
        <v/>
      </c>
      <c r="N3466" t="str">
        <f t="shared" si="476"/>
        <v/>
      </c>
      <c r="Q3466" t="str">
        <f t="shared" si="477"/>
        <v/>
      </c>
      <c r="S3466" t="str">
        <f>IF(A3466=1,MAX($S$2:$S3465)+1,IF(OR($I3466&lt;&gt;"",A3466="x"),$S3465,""))</f>
        <v/>
      </c>
      <c r="T3466" t="str">
        <f>IF(D3466=1,MAX($T$2:$T3465)+1,IF(S3466=S3465,$T3465,IF(D3466="x",T3465,IF(D3465="x","",""))))</f>
        <v/>
      </c>
      <c r="U3466" t="str">
        <f>IF(B3466=1,MAX($U$2:$U3465)+1,IF(AND($T3466&lt;&gt;"",$T3466=$T3465),$U3465,IF(B3466="x",U3465,"")))</f>
        <v/>
      </c>
      <c r="V3466" t="str">
        <f>IF(C3466=1,MAX($V$2:$V3465)+1,IF(AND($T3466&lt;&gt;"",$T3466=$T3465),$U3465,IF(C3466="x",V3465,"")))</f>
        <v/>
      </c>
      <c r="X3466" cm="1">
        <f t="array" ref="X3466">IF($I3466&lt;&gt;"",$I3466,INDEX($I$1:$I3466,ROW()-COUNTIFS($T$1:$T3466,"="&amp;$T3466,$S$1:$S3466,"&lt;"&amp;$S3466)))</f>
        <v>0</v>
      </c>
      <c r="Z3466" s="6">
        <f t="shared" si="478"/>
        <v>1</v>
      </c>
      <c r="AA3466" t="e">
        <f t="shared" si="479"/>
        <v>#VALUE!</v>
      </c>
      <c r="AB3466" t="str">
        <f t="shared" si="480"/>
        <v/>
      </c>
      <c r="AC3466" t="e">
        <f t="shared" si="481"/>
        <v>#VALUE!</v>
      </c>
    </row>
    <row r="3467" spans="1:29" x14ac:dyDescent="0.2">
      <c r="A3467" t="str">
        <f t="shared" si="474"/>
        <v/>
      </c>
      <c r="E3467" s="4"/>
      <c r="F3467" s="46"/>
      <c r="G3467" s="4"/>
      <c r="H3467" s="48"/>
      <c r="J3467" s="26" t="str">
        <f t="shared" si="475"/>
        <v/>
      </c>
      <c r="N3467" t="str">
        <f t="shared" si="476"/>
        <v/>
      </c>
      <c r="Q3467" t="str">
        <f t="shared" si="477"/>
        <v/>
      </c>
      <c r="S3467" t="str">
        <f>IF(A3467=1,MAX($S$2:$S3466)+1,IF(OR($I3467&lt;&gt;"",A3467="x"),$S3466,""))</f>
        <v/>
      </c>
      <c r="T3467" t="str">
        <f>IF(D3467=1,MAX($T$2:$T3466)+1,IF(S3467=S3466,$T3466,IF(D3467="x",T3466,IF(D3466="x","",""))))</f>
        <v/>
      </c>
      <c r="U3467" t="str">
        <f>IF(B3467=1,MAX($U$2:$U3466)+1,IF(AND($T3467&lt;&gt;"",$T3467=$T3466),$U3466,IF(B3467="x",U3466,"")))</f>
        <v/>
      </c>
      <c r="V3467" t="str">
        <f>IF(C3467=1,MAX($V$2:$V3466)+1,IF(AND($T3467&lt;&gt;"",$T3467=$T3466),$U3466,IF(C3467="x",V3466,"")))</f>
        <v/>
      </c>
      <c r="X3467" cm="1">
        <f t="array" ref="X3467">IF($I3467&lt;&gt;"",$I3467,INDEX($I$1:$I3467,ROW()-COUNTIFS($T$1:$T3467,"="&amp;$T3467,$S$1:$S3467,"&lt;"&amp;$S3467)))</f>
        <v>0</v>
      </c>
      <c r="Z3467" s="6">
        <f t="shared" si="478"/>
        <v>1</v>
      </c>
      <c r="AA3467" t="e">
        <f t="shared" si="479"/>
        <v>#VALUE!</v>
      </c>
      <c r="AB3467" t="str">
        <f t="shared" si="480"/>
        <v/>
      </c>
      <c r="AC3467" t="e">
        <f t="shared" si="481"/>
        <v>#VALUE!</v>
      </c>
    </row>
    <row r="3468" spans="1:29" x14ac:dyDescent="0.2">
      <c r="A3468" t="str">
        <f t="shared" si="474"/>
        <v/>
      </c>
      <c r="E3468" s="4"/>
      <c r="F3468" s="46"/>
      <c r="G3468" s="4"/>
      <c r="H3468" s="48"/>
      <c r="J3468" s="26" t="str">
        <f t="shared" si="475"/>
        <v/>
      </c>
      <c r="N3468" t="str">
        <f t="shared" si="476"/>
        <v/>
      </c>
      <c r="Q3468" t="str">
        <f t="shared" si="477"/>
        <v/>
      </c>
      <c r="S3468" t="str">
        <f>IF(A3468=1,MAX($S$2:$S3467)+1,IF(OR($I3468&lt;&gt;"",A3468="x"),$S3467,""))</f>
        <v/>
      </c>
      <c r="T3468" t="str">
        <f>IF(D3468=1,MAX($T$2:$T3467)+1,IF(S3468=S3467,$T3467,IF(D3468="x",T3467,IF(D3467="x","",""))))</f>
        <v/>
      </c>
      <c r="U3468" t="str">
        <f>IF(B3468=1,MAX($U$2:$U3467)+1,IF(AND($T3468&lt;&gt;"",$T3468=$T3467),$U3467,IF(B3468="x",U3467,"")))</f>
        <v/>
      </c>
      <c r="V3468" t="str">
        <f>IF(C3468=1,MAX($V$2:$V3467)+1,IF(AND($T3468&lt;&gt;"",$T3468=$T3467),$U3467,IF(C3468="x",V3467,"")))</f>
        <v/>
      </c>
      <c r="X3468" cm="1">
        <f t="array" ref="X3468">IF($I3468&lt;&gt;"",$I3468,INDEX($I$1:$I3468,ROW()-COUNTIFS($T$1:$T3468,"="&amp;$T3468,$S$1:$S3468,"&lt;"&amp;$S3468)))</f>
        <v>0</v>
      </c>
      <c r="Z3468" s="6">
        <f t="shared" si="478"/>
        <v>1</v>
      </c>
      <c r="AA3468" t="e">
        <f t="shared" si="479"/>
        <v>#VALUE!</v>
      </c>
      <c r="AB3468" t="str">
        <f t="shared" si="480"/>
        <v/>
      </c>
      <c r="AC3468" t="e">
        <f t="shared" si="481"/>
        <v>#VALUE!</v>
      </c>
    </row>
    <row r="3469" spans="1:29" x14ac:dyDescent="0.2">
      <c r="A3469" t="str">
        <f t="shared" si="474"/>
        <v/>
      </c>
      <c r="E3469" s="4"/>
      <c r="F3469" s="46"/>
      <c r="G3469" s="4"/>
      <c r="H3469" s="48"/>
      <c r="J3469" s="26" t="str">
        <f t="shared" si="475"/>
        <v/>
      </c>
      <c r="N3469" t="str">
        <f t="shared" si="476"/>
        <v/>
      </c>
      <c r="Q3469" t="str">
        <f t="shared" si="477"/>
        <v/>
      </c>
      <c r="S3469" t="str">
        <f>IF(A3469=1,MAX($S$2:$S3468)+1,IF(OR($I3469&lt;&gt;"",A3469="x"),$S3468,""))</f>
        <v/>
      </c>
      <c r="T3469" t="str">
        <f>IF(D3469=1,MAX($T$2:$T3468)+1,IF(S3469=S3468,$T3468,IF(D3469="x",T3468,IF(D3468="x","",""))))</f>
        <v/>
      </c>
      <c r="U3469" t="str">
        <f>IF(B3469=1,MAX($U$2:$U3468)+1,IF(AND($T3469&lt;&gt;"",$T3469=$T3468),$U3468,IF(B3469="x",U3468,"")))</f>
        <v/>
      </c>
      <c r="V3469" t="str">
        <f>IF(C3469=1,MAX($V$2:$V3468)+1,IF(AND($T3469&lt;&gt;"",$T3469=$T3468),$U3468,IF(C3469="x",V3468,"")))</f>
        <v/>
      </c>
      <c r="X3469" cm="1">
        <f t="array" ref="X3469">IF($I3469&lt;&gt;"",$I3469,INDEX($I$1:$I3469,ROW()-COUNTIFS($T$1:$T3469,"="&amp;$T3469,$S$1:$S3469,"&lt;"&amp;$S3469)))</f>
        <v>0</v>
      </c>
      <c r="Z3469" s="6">
        <f t="shared" si="478"/>
        <v>1</v>
      </c>
      <c r="AA3469" t="e">
        <f t="shared" si="479"/>
        <v>#VALUE!</v>
      </c>
      <c r="AB3469" t="str">
        <f t="shared" si="480"/>
        <v/>
      </c>
      <c r="AC3469" t="e">
        <f t="shared" si="481"/>
        <v>#VALUE!</v>
      </c>
    </row>
    <row r="3470" spans="1:29" x14ac:dyDescent="0.2">
      <c r="A3470" t="str">
        <f t="shared" si="474"/>
        <v/>
      </c>
      <c r="E3470" s="4"/>
      <c r="F3470" s="46"/>
      <c r="G3470" s="4"/>
      <c r="H3470" s="48"/>
      <c r="J3470" s="26" t="str">
        <f t="shared" si="475"/>
        <v/>
      </c>
      <c r="N3470" t="str">
        <f t="shared" si="476"/>
        <v/>
      </c>
      <c r="Q3470" t="str">
        <f t="shared" si="477"/>
        <v/>
      </c>
      <c r="S3470" t="str">
        <f>IF(A3470=1,MAX($S$2:$S3469)+1,IF(OR($I3470&lt;&gt;"",A3470="x"),$S3469,""))</f>
        <v/>
      </c>
      <c r="T3470" t="str">
        <f>IF(D3470=1,MAX($T$2:$T3469)+1,IF(S3470=S3469,$T3469,IF(D3470="x",T3469,IF(D3469="x","",""))))</f>
        <v/>
      </c>
      <c r="U3470" t="str">
        <f>IF(B3470=1,MAX($U$2:$U3469)+1,IF(AND($T3470&lt;&gt;"",$T3470=$T3469),$U3469,IF(B3470="x",U3469,"")))</f>
        <v/>
      </c>
      <c r="V3470" t="str">
        <f>IF(C3470=1,MAX($V$2:$V3469)+1,IF(AND($T3470&lt;&gt;"",$T3470=$T3469),$U3469,IF(C3470="x",V3469,"")))</f>
        <v/>
      </c>
      <c r="X3470" cm="1">
        <f t="array" ref="X3470">IF($I3470&lt;&gt;"",$I3470,INDEX($I$1:$I3470,ROW()-COUNTIFS($T$1:$T3470,"="&amp;$T3470,$S$1:$S3470,"&lt;"&amp;$S3470)))</f>
        <v>0</v>
      </c>
      <c r="Z3470" s="6">
        <f t="shared" si="478"/>
        <v>1</v>
      </c>
      <c r="AA3470" t="e">
        <f t="shared" si="479"/>
        <v>#VALUE!</v>
      </c>
      <c r="AB3470" t="str">
        <f t="shared" si="480"/>
        <v/>
      </c>
      <c r="AC3470" t="e">
        <f t="shared" si="481"/>
        <v>#VALUE!</v>
      </c>
    </row>
    <row r="3471" spans="1:29" x14ac:dyDescent="0.2">
      <c r="A3471" t="str">
        <f t="shared" si="474"/>
        <v/>
      </c>
      <c r="E3471" s="4"/>
      <c r="F3471" s="46"/>
      <c r="G3471" s="4"/>
      <c r="H3471" s="48"/>
      <c r="J3471" s="26" t="str">
        <f t="shared" si="475"/>
        <v/>
      </c>
      <c r="N3471" t="str">
        <f t="shared" si="476"/>
        <v/>
      </c>
      <c r="Q3471" t="str">
        <f t="shared" si="477"/>
        <v/>
      </c>
      <c r="S3471" t="str">
        <f>IF(A3471=1,MAX($S$2:$S3470)+1,IF(OR($I3471&lt;&gt;"",A3471="x"),$S3470,""))</f>
        <v/>
      </c>
      <c r="T3471" t="str">
        <f>IF(D3471=1,MAX($T$2:$T3470)+1,IF(S3471=S3470,$T3470,IF(D3471="x",T3470,IF(D3470="x","",""))))</f>
        <v/>
      </c>
      <c r="U3471" t="str">
        <f>IF(B3471=1,MAX($U$2:$U3470)+1,IF(AND($T3471&lt;&gt;"",$T3471=$T3470),$U3470,IF(B3471="x",U3470,"")))</f>
        <v/>
      </c>
      <c r="V3471" t="str">
        <f>IF(C3471=1,MAX($V$2:$V3470)+1,IF(AND($T3471&lt;&gt;"",$T3471=$T3470),$U3470,IF(C3471="x",V3470,"")))</f>
        <v/>
      </c>
      <c r="X3471" cm="1">
        <f t="array" ref="X3471">IF($I3471&lt;&gt;"",$I3471,INDEX($I$1:$I3471,ROW()-COUNTIFS($T$1:$T3471,"="&amp;$T3471,$S$1:$S3471,"&lt;"&amp;$S3471)))</f>
        <v>0</v>
      </c>
      <c r="Z3471" s="6">
        <f t="shared" si="478"/>
        <v>1</v>
      </c>
      <c r="AA3471" t="e">
        <f t="shared" si="479"/>
        <v>#VALUE!</v>
      </c>
      <c r="AB3471" t="str">
        <f t="shared" si="480"/>
        <v/>
      </c>
      <c r="AC3471" t="e">
        <f t="shared" si="481"/>
        <v>#VALUE!</v>
      </c>
    </row>
    <row r="3472" spans="1:29" x14ac:dyDescent="0.2">
      <c r="A3472" t="str">
        <f t="shared" si="474"/>
        <v/>
      </c>
      <c r="E3472" s="4"/>
      <c r="F3472" s="46"/>
      <c r="G3472" s="4"/>
      <c r="H3472" s="48"/>
      <c r="J3472" s="26" t="str">
        <f t="shared" si="475"/>
        <v/>
      </c>
      <c r="N3472" t="str">
        <f t="shared" si="476"/>
        <v/>
      </c>
      <c r="Q3472" t="str">
        <f t="shared" si="477"/>
        <v/>
      </c>
      <c r="S3472" t="str">
        <f>IF(A3472=1,MAX($S$2:$S3471)+1,IF(OR($I3472&lt;&gt;"",A3472="x"),$S3471,""))</f>
        <v/>
      </c>
      <c r="T3472" t="str">
        <f>IF(D3472=1,MAX($T$2:$T3471)+1,IF(S3472=S3471,$T3471,IF(D3472="x",T3471,IF(D3471="x","",""))))</f>
        <v/>
      </c>
      <c r="U3472" t="str">
        <f>IF(B3472=1,MAX($U$2:$U3471)+1,IF(AND($T3472&lt;&gt;"",$T3472=$T3471),$U3471,IF(B3472="x",U3471,"")))</f>
        <v/>
      </c>
      <c r="V3472" t="str">
        <f>IF(C3472=1,MAX($V$2:$V3471)+1,IF(AND($T3472&lt;&gt;"",$T3472=$T3471),$U3471,IF(C3472="x",V3471,"")))</f>
        <v/>
      </c>
      <c r="X3472" cm="1">
        <f t="array" ref="X3472">IF($I3472&lt;&gt;"",$I3472,INDEX($I$1:$I3472,ROW()-COUNTIFS($T$1:$T3472,"="&amp;$T3472,$S$1:$S3472,"&lt;"&amp;$S3472)))</f>
        <v>0</v>
      </c>
      <c r="Z3472" s="6">
        <f t="shared" si="478"/>
        <v>1</v>
      </c>
      <c r="AA3472" t="e">
        <f t="shared" si="479"/>
        <v>#VALUE!</v>
      </c>
      <c r="AB3472" t="str">
        <f t="shared" si="480"/>
        <v/>
      </c>
      <c r="AC3472" t="e">
        <f t="shared" si="481"/>
        <v>#VALUE!</v>
      </c>
    </row>
    <row r="3473" spans="1:29" x14ac:dyDescent="0.2">
      <c r="A3473" t="str">
        <f t="shared" si="474"/>
        <v/>
      </c>
      <c r="E3473" s="4"/>
      <c r="F3473" s="46"/>
      <c r="G3473" s="4"/>
      <c r="H3473" s="48"/>
      <c r="J3473" s="26" t="str">
        <f t="shared" si="475"/>
        <v/>
      </c>
      <c r="N3473" t="str">
        <f t="shared" si="476"/>
        <v/>
      </c>
      <c r="Q3473" t="str">
        <f t="shared" si="477"/>
        <v/>
      </c>
      <c r="S3473" t="str">
        <f>IF(A3473=1,MAX($S$2:$S3472)+1,IF(OR($I3473&lt;&gt;"",A3473="x"),$S3472,""))</f>
        <v/>
      </c>
      <c r="T3473" t="str">
        <f>IF(D3473=1,MAX($T$2:$T3472)+1,IF(S3473=S3472,$T3472,IF(D3473="x",T3472,IF(D3472="x","",""))))</f>
        <v/>
      </c>
      <c r="U3473" t="str">
        <f>IF(B3473=1,MAX($U$2:$U3472)+1,IF(AND($T3473&lt;&gt;"",$T3473=$T3472),$U3472,IF(B3473="x",U3472,"")))</f>
        <v/>
      </c>
      <c r="V3473" t="str">
        <f>IF(C3473=1,MAX($V$2:$V3472)+1,IF(AND($T3473&lt;&gt;"",$T3473=$T3472),$U3472,IF(C3473="x",V3472,"")))</f>
        <v/>
      </c>
      <c r="X3473" cm="1">
        <f t="array" ref="X3473">IF($I3473&lt;&gt;"",$I3473,INDEX($I$1:$I3473,ROW()-COUNTIFS($T$1:$T3473,"="&amp;$T3473,$S$1:$S3473,"&lt;"&amp;$S3473)))</f>
        <v>0</v>
      </c>
      <c r="Z3473" s="6">
        <f t="shared" si="478"/>
        <v>1</v>
      </c>
      <c r="AA3473" t="e">
        <f t="shared" si="479"/>
        <v>#VALUE!</v>
      </c>
      <c r="AB3473" t="str">
        <f t="shared" si="480"/>
        <v/>
      </c>
      <c r="AC3473" t="e">
        <f t="shared" si="481"/>
        <v>#VALUE!</v>
      </c>
    </row>
    <row r="3474" spans="1:29" x14ac:dyDescent="0.2">
      <c r="A3474" t="str">
        <f t="shared" si="474"/>
        <v/>
      </c>
      <c r="E3474" s="4"/>
      <c r="F3474" s="46"/>
      <c r="G3474" s="4"/>
      <c r="H3474" s="48"/>
      <c r="J3474" s="26" t="str">
        <f t="shared" si="475"/>
        <v/>
      </c>
      <c r="N3474" t="str">
        <f t="shared" si="476"/>
        <v/>
      </c>
      <c r="Q3474" t="str">
        <f t="shared" si="477"/>
        <v/>
      </c>
      <c r="S3474" t="str">
        <f>IF(A3474=1,MAX($S$2:$S3473)+1,IF(OR($I3474&lt;&gt;"",A3474="x"),$S3473,""))</f>
        <v/>
      </c>
      <c r="T3474" t="str">
        <f>IF(D3474=1,MAX($T$2:$T3473)+1,IF(S3474=S3473,$T3473,IF(D3474="x",T3473,IF(D3473="x","",""))))</f>
        <v/>
      </c>
      <c r="U3474" t="str">
        <f>IF(B3474=1,MAX($U$2:$U3473)+1,IF(AND($T3474&lt;&gt;"",$T3474=$T3473),$U3473,IF(B3474="x",U3473,"")))</f>
        <v/>
      </c>
      <c r="V3474" t="str">
        <f>IF(C3474=1,MAX($V$2:$V3473)+1,IF(AND($T3474&lt;&gt;"",$T3474=$T3473),$U3473,IF(C3474="x",V3473,"")))</f>
        <v/>
      </c>
      <c r="X3474" cm="1">
        <f t="array" ref="X3474">IF($I3474&lt;&gt;"",$I3474,INDEX($I$1:$I3474,ROW()-COUNTIFS($T$1:$T3474,"="&amp;$T3474,$S$1:$S3474,"&lt;"&amp;$S3474)))</f>
        <v>0</v>
      </c>
      <c r="Z3474" s="6">
        <f t="shared" si="478"/>
        <v>1</v>
      </c>
      <c r="AA3474" t="e">
        <f t="shared" si="479"/>
        <v>#VALUE!</v>
      </c>
      <c r="AB3474" t="str">
        <f t="shared" si="480"/>
        <v/>
      </c>
      <c r="AC3474" t="e">
        <f t="shared" si="481"/>
        <v>#VALUE!</v>
      </c>
    </row>
    <row r="3475" spans="1:29" x14ac:dyDescent="0.2">
      <c r="A3475" t="str">
        <f t="shared" ref="A3475:A3538" si="482">IF(K3475&lt;&gt;"",1,IF(D3475="x","x",""))</f>
        <v/>
      </c>
      <c r="E3475" s="4"/>
      <c r="F3475" s="46"/>
      <c r="G3475" s="4"/>
      <c r="H3475" s="48"/>
      <c r="J3475" s="26" t="str">
        <f t="shared" ref="J3475:J3538" si="483">IF(OR(K3475="Goal",K3475="Shot",L3475="Zone_Entry",M3475="Stoppage-Goal",M3474="Stoppage-Goal"),"o",IF(OR(K3475="Save",K3475="Rebound",L3475="Zone_Exit",M3475="Stoppage-GoalieStoppage",M3474="Stoppage-GoalieStoppage"),"d",IF(OR(L3475="Faceoff_AfterGoal",L3475="Faceoff_PeriodStart",698="Faceoff_GameStart",M3474="Stoppage-Goal"),"n","")))</f>
        <v/>
      </c>
      <c r="N3475" t="str">
        <f t="shared" ref="N3475:N3538" si="484">IF(K3475="","",IF(K3475="Goal","s",IF(AND(K3475="Zone_Entry_Exit",OR(ISNUMBER(SEARCH("fail",L3475)),ISNUMBER(SEARCH("FromExitClear",M3475)),ISNUMBER(SEARCH("miss",M3475)))),"u",IF(AND(K3475="Zone_Entry_Exit",OR(NOT(ISNUMBER(SEARCH("fail",L3475))),NOT(ISNUMBER(SEARCH("FromExitClear",M3475))),NOT(ISNUMBER(SEARCH("miss",M3475))))),"s",IF(AND(OR(K3475="Shot",K3475="Pass"),OR(ISNUMBER(SEARCH("complete",L3475)),ISNUMBER(SEARCH("goal",L3475)),ISNUMBER(SEARCH("OnNet",L3475)))),"s",IF(L3475="Turnover_Giveaway","u",IF(AND(OR(K3475="Shot",K3475="Pass"),OR(ISNUMBER(SEARCH("fail",L3475)),NOT(ISNUMBER(SEARCH("complete",L3475))),NOT(ISNUMBER(SEARCH("OnNet",L3475))))),"u","")))))))</f>
        <v/>
      </c>
      <c r="Q3475" t="str">
        <f t="shared" ref="Q3475:Q3538" si="485">IF(O3475="","",IF(AND(N3475&lt;&gt;"",OR(O3475&lt;&gt;"",P3475&lt;&gt;"")),N3475,IF(OR(ISNUMBER(SEARCH("attemp",O3475)),ISNUMBER(SEARCH("beat",O3475)),ISNUMBER(SEARCH("mis",O3475)),ISNUMBER(SEARCH("fail",O3475)),ISNUMBER(SEARCH("loss",O3475)),ISNUMBER(SEARCH("lost",O3475)),ISNUMBER(SEARCH("attemp",P3475)),ISNUMBER(SEARCH("mis",P3475)),ISNUMBER(SEARCH("fail",P3475)),ISNUMBER(SEARCH("loss",P3475)),ISNUMBER(SEARCH("beat",P3475)),ISNUMBER(SEARCH("lost",P3475))),"u","")))</f>
        <v/>
      </c>
      <c r="S3475" t="str">
        <f>IF(A3475=1,MAX($S$2:$S3474)+1,IF(OR($I3475&lt;&gt;"",A3475="x"),$S3474,""))</f>
        <v/>
      </c>
      <c r="T3475" t="str">
        <f>IF(D3475=1,MAX($T$2:$T3474)+1,IF(S3475=S3474,$T3474,IF(D3475="x",T3474,IF(D3474="x","",""))))</f>
        <v/>
      </c>
      <c r="U3475" t="str">
        <f>IF(B3475=1,MAX($U$2:$U3474)+1,IF(AND($T3475&lt;&gt;"",$T3475=$T3474),$U3474,IF(B3475="x",U3474,"")))</f>
        <v/>
      </c>
      <c r="V3475" t="str">
        <f>IF(C3475=1,MAX($V$2:$V3474)+1,IF(AND($T3475&lt;&gt;"",$T3475=$T3474),$U3474,IF(C3475="x",V3474,"")))</f>
        <v/>
      </c>
      <c r="X3475" cm="1">
        <f t="array" ref="X3475">IF($I3475&lt;&gt;"",$I3475,INDEX($I$1:$I3475,ROW()-COUNTIFS($T$1:$T3475,"="&amp;$T3475,$S$1:$S3475,"&lt;"&amp;$S3475)))</f>
        <v>0</v>
      </c>
      <c r="Z3475" s="6">
        <f t="shared" si="478"/>
        <v>1</v>
      </c>
      <c r="AA3475" t="e">
        <f t="shared" si="479"/>
        <v>#VALUE!</v>
      </c>
      <c r="AB3475" t="str">
        <f t="shared" si="480"/>
        <v/>
      </c>
      <c r="AC3475" t="e">
        <f t="shared" si="481"/>
        <v>#VALUE!</v>
      </c>
    </row>
    <row r="3476" spans="1:29" x14ac:dyDescent="0.2">
      <c r="A3476" t="str">
        <f t="shared" si="482"/>
        <v/>
      </c>
      <c r="E3476" s="4"/>
      <c r="F3476" s="46"/>
      <c r="G3476" s="4"/>
      <c r="H3476" s="48"/>
      <c r="J3476" s="26" t="str">
        <f t="shared" si="483"/>
        <v/>
      </c>
      <c r="N3476" t="str">
        <f t="shared" si="484"/>
        <v/>
      </c>
      <c r="Q3476" t="str">
        <f t="shared" si="485"/>
        <v/>
      </c>
      <c r="S3476" t="str">
        <f>IF(A3476=1,MAX($S$2:$S3475)+1,IF(OR($I3476&lt;&gt;"",A3476="x"),$S3475,""))</f>
        <v/>
      </c>
      <c r="T3476" t="str">
        <f>IF(D3476=1,MAX($T$2:$T3475)+1,IF(S3476=S3475,$T3475,IF(D3476="x",T3475,IF(D3475="x","",""))))</f>
        <v/>
      </c>
      <c r="U3476" t="str">
        <f>IF(B3476=1,MAX($U$2:$U3475)+1,IF(AND($T3476&lt;&gt;"",$T3476=$T3475),$U3475,IF(B3476="x",U3475,"")))</f>
        <v/>
      </c>
      <c r="V3476" t="str">
        <f>IF(C3476=1,MAX($V$2:$V3475)+1,IF(AND($T3476&lt;&gt;"",$T3476=$T3475),$U3475,IF(C3476="x",V3475,"")))</f>
        <v/>
      </c>
      <c r="X3476" cm="1">
        <f t="array" ref="X3476">IF($I3476&lt;&gt;"",$I3476,INDEX($I$1:$I3476,ROW()-COUNTIFS($T$1:$T3476,"="&amp;$T3476,$S$1:$S3476,"&lt;"&amp;$S3476)))</f>
        <v>0</v>
      </c>
      <c r="Z3476" s="6">
        <f t="shared" si="478"/>
        <v>1</v>
      </c>
      <c r="AA3476" t="e">
        <f t="shared" si="479"/>
        <v>#VALUE!</v>
      </c>
      <c r="AB3476" t="str">
        <f t="shared" si="480"/>
        <v/>
      </c>
      <c r="AC3476" t="e">
        <f t="shared" si="481"/>
        <v>#VALUE!</v>
      </c>
    </row>
    <row r="3477" spans="1:29" x14ac:dyDescent="0.2">
      <c r="A3477" t="str">
        <f t="shared" si="482"/>
        <v/>
      </c>
      <c r="E3477" s="4"/>
      <c r="F3477" s="46"/>
      <c r="G3477" s="4"/>
      <c r="H3477" s="48"/>
      <c r="J3477" s="26" t="str">
        <f t="shared" si="483"/>
        <v/>
      </c>
      <c r="N3477" t="str">
        <f t="shared" si="484"/>
        <v/>
      </c>
      <c r="Q3477" t="str">
        <f t="shared" si="485"/>
        <v/>
      </c>
      <c r="S3477" t="str">
        <f>IF(A3477=1,MAX($S$2:$S3476)+1,IF(OR($I3477&lt;&gt;"",A3477="x"),$S3476,""))</f>
        <v/>
      </c>
      <c r="T3477" t="str">
        <f>IF(D3477=1,MAX($T$2:$T3476)+1,IF(S3477=S3476,$T3476,IF(D3477="x",T3476,IF(D3476="x","",""))))</f>
        <v/>
      </c>
      <c r="U3477" t="str">
        <f>IF(B3477=1,MAX($U$2:$U3476)+1,IF(AND($T3477&lt;&gt;"",$T3477=$T3476),$U3476,IF(B3477="x",U3476,"")))</f>
        <v/>
      </c>
      <c r="V3477" t="str">
        <f>IF(C3477=1,MAX($V$2:$V3476)+1,IF(AND($T3477&lt;&gt;"",$T3477=$T3476),$U3476,IF(C3477="x",V3476,"")))</f>
        <v/>
      </c>
      <c r="X3477" cm="1">
        <f t="array" ref="X3477">IF($I3477&lt;&gt;"",$I3477,INDEX($I$1:$I3477,ROW()-COUNTIFS($T$1:$T3477,"="&amp;$T3477,$S$1:$S3477,"&lt;"&amp;$S3477)))</f>
        <v>0</v>
      </c>
      <c r="Z3477" s="6">
        <f t="shared" si="478"/>
        <v>1</v>
      </c>
      <c r="AA3477" t="e">
        <f t="shared" si="479"/>
        <v>#VALUE!</v>
      </c>
      <c r="AB3477" t="str">
        <f t="shared" si="480"/>
        <v/>
      </c>
      <c r="AC3477" t="e">
        <f t="shared" si="481"/>
        <v>#VALUE!</v>
      </c>
    </row>
    <row r="3478" spans="1:29" x14ac:dyDescent="0.2">
      <c r="A3478" t="str">
        <f t="shared" si="482"/>
        <v/>
      </c>
      <c r="E3478" s="4"/>
      <c r="F3478" s="46"/>
      <c r="G3478" s="4"/>
      <c r="H3478" s="48"/>
      <c r="J3478" s="26" t="str">
        <f t="shared" si="483"/>
        <v/>
      </c>
      <c r="N3478" t="str">
        <f t="shared" si="484"/>
        <v/>
      </c>
      <c r="Q3478" t="str">
        <f t="shared" si="485"/>
        <v/>
      </c>
      <c r="S3478" t="str">
        <f>IF(A3478=1,MAX($S$2:$S3477)+1,IF(OR($I3478&lt;&gt;"",A3478="x"),$S3477,""))</f>
        <v/>
      </c>
      <c r="T3478" t="str">
        <f>IF(D3478=1,MAX($T$2:$T3477)+1,IF(S3478=S3477,$T3477,IF(D3478="x",T3477,IF(D3477="x","",""))))</f>
        <v/>
      </c>
      <c r="U3478" t="str">
        <f>IF(B3478=1,MAX($U$2:$U3477)+1,IF(AND($T3478&lt;&gt;"",$T3478=$T3477),$U3477,IF(B3478="x",U3477,"")))</f>
        <v/>
      </c>
      <c r="V3478" t="str">
        <f>IF(C3478=1,MAX($V$2:$V3477)+1,IF(AND($T3478&lt;&gt;"",$T3478=$T3477),$U3477,IF(C3478="x",V3477,"")))</f>
        <v/>
      </c>
      <c r="X3478" cm="1">
        <f t="array" ref="X3478">IF($I3478&lt;&gt;"",$I3478,INDEX($I$1:$I3478,ROW()-COUNTIFS($T$1:$T3478,"="&amp;$T3478,$S$1:$S3478,"&lt;"&amp;$S3478)))</f>
        <v>0</v>
      </c>
      <c r="Z3478" s="6">
        <f t="shared" si="478"/>
        <v>1</v>
      </c>
      <c r="AA3478" t="e">
        <f t="shared" si="479"/>
        <v>#VALUE!</v>
      </c>
      <c r="AB3478" t="str">
        <f t="shared" si="480"/>
        <v/>
      </c>
      <c r="AC3478" t="e">
        <f t="shared" si="481"/>
        <v>#VALUE!</v>
      </c>
    </row>
    <row r="3479" spans="1:29" x14ac:dyDescent="0.2">
      <c r="A3479" t="str">
        <f t="shared" si="482"/>
        <v/>
      </c>
      <c r="E3479" s="4"/>
      <c r="F3479" s="46"/>
      <c r="G3479" s="4"/>
      <c r="H3479" s="48"/>
      <c r="J3479" s="26" t="str">
        <f t="shared" si="483"/>
        <v/>
      </c>
      <c r="N3479" t="str">
        <f t="shared" si="484"/>
        <v/>
      </c>
      <c r="Q3479" t="str">
        <f t="shared" si="485"/>
        <v/>
      </c>
      <c r="S3479" t="str">
        <f>IF(A3479=1,MAX($S$2:$S3478)+1,IF(OR($I3479&lt;&gt;"",A3479="x"),$S3478,""))</f>
        <v/>
      </c>
      <c r="T3479" t="str">
        <f>IF(D3479=1,MAX($T$2:$T3478)+1,IF(S3479=S3478,$T3478,IF(D3479="x",T3478,IF(D3478="x","",""))))</f>
        <v/>
      </c>
      <c r="U3479" t="str">
        <f>IF(B3479=1,MAX($U$2:$U3478)+1,IF(AND($T3479&lt;&gt;"",$T3479=$T3478),$U3478,IF(B3479="x",U3478,"")))</f>
        <v/>
      </c>
      <c r="V3479" t="str">
        <f>IF(C3479=1,MAX($V$2:$V3478)+1,IF(AND($T3479&lt;&gt;"",$T3479=$T3478),$U3478,IF(C3479="x",V3478,"")))</f>
        <v/>
      </c>
      <c r="X3479" cm="1">
        <f t="array" ref="X3479">IF($I3479&lt;&gt;"",$I3479,INDEX($I$1:$I3479,ROW()-COUNTIFS($T$1:$T3479,"="&amp;$T3479,$S$1:$S3479,"&lt;"&amp;$S3479)))</f>
        <v>0</v>
      </c>
      <c r="Z3479" s="6">
        <f t="shared" si="478"/>
        <v>1</v>
      </c>
      <c r="AA3479" t="e">
        <f t="shared" si="479"/>
        <v>#VALUE!</v>
      </c>
      <c r="AB3479" t="str">
        <f t="shared" si="480"/>
        <v/>
      </c>
      <c r="AC3479" t="e">
        <f t="shared" si="481"/>
        <v>#VALUE!</v>
      </c>
    </row>
    <row r="3480" spans="1:29" x14ac:dyDescent="0.2">
      <c r="A3480" t="str">
        <f t="shared" si="482"/>
        <v/>
      </c>
      <c r="E3480" s="4"/>
      <c r="F3480" s="46"/>
      <c r="G3480" s="4"/>
      <c r="H3480" s="48"/>
      <c r="J3480" s="26" t="str">
        <f t="shared" si="483"/>
        <v/>
      </c>
      <c r="N3480" t="str">
        <f t="shared" si="484"/>
        <v/>
      </c>
      <c r="Q3480" t="str">
        <f t="shared" si="485"/>
        <v/>
      </c>
      <c r="S3480" t="str">
        <f>IF(A3480=1,MAX($S$2:$S3479)+1,IF(OR($I3480&lt;&gt;"",A3480="x"),$S3479,""))</f>
        <v/>
      </c>
      <c r="T3480" t="str">
        <f>IF(D3480=1,MAX($T$2:$T3479)+1,IF(S3480=S3479,$T3479,IF(D3480="x",T3479,IF(D3479="x","",""))))</f>
        <v/>
      </c>
      <c r="U3480" t="str">
        <f>IF(B3480=1,MAX($U$2:$U3479)+1,IF(AND($T3480&lt;&gt;"",$T3480=$T3479),$U3479,IF(B3480="x",U3479,"")))</f>
        <v/>
      </c>
      <c r="V3480" t="str">
        <f>IF(C3480=1,MAX($V$2:$V3479)+1,IF(AND($T3480&lt;&gt;"",$T3480=$T3479),$U3479,IF(C3480="x",V3479,"")))</f>
        <v/>
      </c>
      <c r="X3480" cm="1">
        <f t="array" ref="X3480">IF($I3480&lt;&gt;"",$I3480,INDEX($I$1:$I3480,ROW()-COUNTIFS($T$1:$T3480,"="&amp;$T3480,$S$1:$S3480,"&lt;"&amp;$S3480)))</f>
        <v>0</v>
      </c>
      <c r="Z3480" s="6">
        <f t="shared" si="478"/>
        <v>1</v>
      </c>
      <c r="AA3480" t="e">
        <f t="shared" si="479"/>
        <v>#VALUE!</v>
      </c>
      <c r="AB3480" t="str">
        <f t="shared" si="480"/>
        <v/>
      </c>
      <c r="AC3480" t="e">
        <f t="shared" si="481"/>
        <v>#VALUE!</v>
      </c>
    </row>
    <row r="3481" spans="1:29" x14ac:dyDescent="0.2">
      <c r="A3481" t="str">
        <f t="shared" si="482"/>
        <v/>
      </c>
      <c r="E3481" s="4"/>
      <c r="F3481" s="46"/>
      <c r="G3481" s="4"/>
      <c r="H3481" s="48"/>
      <c r="J3481" s="26" t="str">
        <f t="shared" si="483"/>
        <v/>
      </c>
      <c r="N3481" t="str">
        <f t="shared" si="484"/>
        <v/>
      </c>
      <c r="Q3481" t="str">
        <f t="shared" si="485"/>
        <v/>
      </c>
      <c r="S3481" t="str">
        <f>IF(A3481=1,MAX($S$2:$S3480)+1,IF(OR($I3481&lt;&gt;"",A3481="x"),$S3480,""))</f>
        <v/>
      </c>
      <c r="T3481" t="str">
        <f>IF(D3481=1,MAX($T$2:$T3480)+1,IF(S3481=S3480,$T3480,IF(D3481="x",T3480,IF(D3480="x","",""))))</f>
        <v/>
      </c>
      <c r="U3481" t="str">
        <f>IF(B3481=1,MAX($U$2:$U3480)+1,IF(AND($T3481&lt;&gt;"",$T3481=$T3480),$U3480,IF(B3481="x",U3480,"")))</f>
        <v/>
      </c>
      <c r="V3481" t="str">
        <f>IF(C3481=1,MAX($V$2:$V3480)+1,IF(AND($T3481&lt;&gt;"",$T3481=$T3480),$U3480,IF(C3481="x",V3480,"")))</f>
        <v/>
      </c>
      <c r="X3481" cm="1">
        <f t="array" ref="X3481">IF($I3481&lt;&gt;"",$I3481,INDEX($I$1:$I3481,ROW()-COUNTIFS($T$1:$T3481,"="&amp;$T3481,$S$1:$S3481,"&lt;"&amp;$S3481)))</f>
        <v>0</v>
      </c>
      <c r="Z3481" s="6">
        <f t="shared" si="478"/>
        <v>1</v>
      </c>
      <c r="AA3481" t="e">
        <f t="shared" si="479"/>
        <v>#VALUE!</v>
      </c>
      <c r="AB3481" t="str">
        <f t="shared" si="480"/>
        <v/>
      </c>
      <c r="AC3481" t="e">
        <f t="shared" si="481"/>
        <v>#VALUE!</v>
      </c>
    </row>
    <row r="3482" spans="1:29" x14ac:dyDescent="0.2">
      <c r="A3482" t="str">
        <f t="shared" si="482"/>
        <v/>
      </c>
      <c r="E3482" s="4"/>
      <c r="F3482" s="46"/>
      <c r="G3482" s="4"/>
      <c r="H3482" s="48"/>
      <c r="J3482" s="26" t="str">
        <f t="shared" si="483"/>
        <v/>
      </c>
      <c r="N3482" t="str">
        <f t="shared" si="484"/>
        <v/>
      </c>
      <c r="Q3482" t="str">
        <f t="shared" si="485"/>
        <v/>
      </c>
      <c r="S3482" t="str">
        <f>IF(A3482=1,MAX($S$2:$S3481)+1,IF(OR($I3482&lt;&gt;"",A3482="x"),$S3481,""))</f>
        <v/>
      </c>
      <c r="T3482" t="str">
        <f>IF(D3482=1,MAX($T$2:$T3481)+1,IF(S3482=S3481,$T3481,IF(D3482="x",T3481,IF(D3481="x","",""))))</f>
        <v/>
      </c>
      <c r="U3482" t="str">
        <f>IF(B3482=1,MAX($U$2:$U3481)+1,IF(AND($T3482&lt;&gt;"",$T3482=$T3481),$U3481,IF(B3482="x",U3481,"")))</f>
        <v/>
      </c>
      <c r="V3482" t="str">
        <f>IF(C3482=1,MAX($V$2:$V3481)+1,IF(AND($T3482&lt;&gt;"",$T3482=$T3481),$U3481,IF(C3482="x",V3481,"")))</f>
        <v/>
      </c>
      <c r="X3482" cm="1">
        <f t="array" ref="X3482">IF($I3482&lt;&gt;"",$I3482,INDEX($I$1:$I3482,ROW()-COUNTIFS($T$1:$T3482,"="&amp;$T3482,$S$1:$S3482,"&lt;"&amp;$S3482)))</f>
        <v>0</v>
      </c>
      <c r="Z3482" s="6">
        <f t="shared" si="478"/>
        <v>1</v>
      </c>
      <c r="AA3482" t="e">
        <f t="shared" si="479"/>
        <v>#VALUE!</v>
      </c>
      <c r="AB3482" t="str">
        <f t="shared" si="480"/>
        <v/>
      </c>
      <c r="AC3482" t="e">
        <f t="shared" si="481"/>
        <v>#VALUE!</v>
      </c>
    </row>
    <row r="3483" spans="1:29" x14ac:dyDescent="0.2">
      <c r="A3483" t="str">
        <f t="shared" si="482"/>
        <v/>
      </c>
      <c r="E3483" s="4"/>
      <c r="F3483" s="46"/>
      <c r="G3483" s="4"/>
      <c r="H3483" s="48"/>
      <c r="J3483" s="26" t="str">
        <f t="shared" si="483"/>
        <v/>
      </c>
      <c r="N3483" t="str">
        <f t="shared" si="484"/>
        <v/>
      </c>
      <c r="Q3483" t="str">
        <f t="shared" si="485"/>
        <v/>
      </c>
      <c r="S3483" t="str">
        <f>IF(A3483=1,MAX($S$2:$S3482)+1,IF(OR($I3483&lt;&gt;"",A3483="x"),$S3482,""))</f>
        <v/>
      </c>
      <c r="T3483" t="str">
        <f>IF(D3483=1,MAX($T$2:$T3482)+1,IF(S3483=S3482,$T3482,IF(D3483="x",T3482,IF(D3482="x","",""))))</f>
        <v/>
      </c>
      <c r="U3483" t="str">
        <f>IF(B3483=1,MAX($U$2:$U3482)+1,IF(AND($T3483&lt;&gt;"",$T3483=$T3482),$U3482,IF(B3483="x",U3482,"")))</f>
        <v/>
      </c>
      <c r="V3483" t="str">
        <f>IF(C3483=1,MAX($V$2:$V3482)+1,IF(AND($T3483&lt;&gt;"",$T3483=$T3482),$U3482,IF(C3483="x",V3482,"")))</f>
        <v/>
      </c>
      <c r="X3483" cm="1">
        <f t="array" ref="X3483">IF($I3483&lt;&gt;"",$I3483,INDEX($I$1:$I3483,ROW()-COUNTIFS($T$1:$T3483,"="&amp;$T3483,$S$1:$S3483,"&lt;"&amp;$S3483)))</f>
        <v>0</v>
      </c>
      <c r="Z3483" s="6">
        <f t="shared" si="478"/>
        <v>1</v>
      </c>
      <c r="AA3483" t="e">
        <f t="shared" si="479"/>
        <v>#VALUE!</v>
      </c>
      <c r="AB3483" t="str">
        <f t="shared" si="480"/>
        <v/>
      </c>
      <c r="AC3483" t="e">
        <f t="shared" si="481"/>
        <v>#VALUE!</v>
      </c>
    </row>
    <row r="3484" spans="1:29" x14ac:dyDescent="0.2">
      <c r="A3484" t="str">
        <f t="shared" si="482"/>
        <v/>
      </c>
      <c r="E3484" s="4"/>
      <c r="F3484" s="46"/>
      <c r="G3484" s="4"/>
      <c r="H3484" s="48"/>
      <c r="J3484" s="26" t="str">
        <f t="shared" si="483"/>
        <v/>
      </c>
      <c r="N3484" t="str">
        <f t="shared" si="484"/>
        <v/>
      </c>
      <c r="Q3484" t="str">
        <f t="shared" si="485"/>
        <v/>
      </c>
      <c r="S3484" t="str">
        <f>IF(A3484=1,MAX($S$2:$S3483)+1,IF(OR($I3484&lt;&gt;"",A3484="x"),$S3483,""))</f>
        <v/>
      </c>
      <c r="T3484" t="str">
        <f>IF(D3484=1,MAX($T$2:$T3483)+1,IF(S3484=S3483,$T3483,IF(D3484="x",T3483,IF(D3483="x","",""))))</f>
        <v/>
      </c>
      <c r="U3484" t="str">
        <f>IF(B3484=1,MAX($U$2:$U3483)+1,IF(AND($T3484&lt;&gt;"",$T3484=$T3483),$U3483,IF(B3484="x",U3483,"")))</f>
        <v/>
      </c>
      <c r="V3484" t="str">
        <f>IF(C3484=1,MAX($V$2:$V3483)+1,IF(AND($T3484&lt;&gt;"",$T3484=$T3483),$U3483,IF(C3484="x",V3483,"")))</f>
        <v/>
      </c>
      <c r="X3484" cm="1">
        <f t="array" ref="X3484">IF($I3484&lt;&gt;"",$I3484,INDEX($I$1:$I3484,ROW()-COUNTIFS($T$1:$T3484,"="&amp;$T3484,$S$1:$S3484,"&lt;"&amp;$S3484)))</f>
        <v>0</v>
      </c>
      <c r="Z3484" s="6">
        <f t="shared" si="478"/>
        <v>1</v>
      </c>
      <c r="AA3484" t="e">
        <f t="shared" si="479"/>
        <v>#VALUE!</v>
      </c>
      <c r="AB3484" t="str">
        <f t="shared" si="480"/>
        <v/>
      </c>
      <c r="AC3484" t="e">
        <f t="shared" si="481"/>
        <v>#VALUE!</v>
      </c>
    </row>
    <row r="3485" spans="1:29" x14ac:dyDescent="0.2">
      <c r="A3485" t="str">
        <f t="shared" si="482"/>
        <v/>
      </c>
      <c r="E3485" s="4"/>
      <c r="F3485" s="46"/>
      <c r="G3485" s="4"/>
      <c r="H3485" s="48"/>
      <c r="J3485" s="26" t="str">
        <f t="shared" si="483"/>
        <v/>
      </c>
      <c r="N3485" t="str">
        <f t="shared" si="484"/>
        <v/>
      </c>
      <c r="Q3485" t="str">
        <f t="shared" si="485"/>
        <v/>
      </c>
      <c r="S3485" t="str">
        <f>IF(A3485=1,MAX($S$2:$S3484)+1,IF(OR($I3485&lt;&gt;"",A3485="x"),$S3484,""))</f>
        <v/>
      </c>
      <c r="T3485" t="str">
        <f>IF(D3485=1,MAX($T$2:$T3484)+1,IF(S3485=S3484,$T3484,IF(D3485="x",T3484,IF(D3484="x","",""))))</f>
        <v/>
      </c>
      <c r="U3485" t="str">
        <f>IF(B3485=1,MAX($U$2:$U3484)+1,IF(AND($T3485&lt;&gt;"",$T3485=$T3484),$U3484,IF(B3485="x",U3484,"")))</f>
        <v/>
      </c>
      <c r="V3485" t="str">
        <f>IF(C3485=1,MAX($V$2:$V3484)+1,IF(AND($T3485&lt;&gt;"",$T3485=$T3484),$U3484,IF(C3485="x",V3484,"")))</f>
        <v/>
      </c>
      <c r="X3485" cm="1">
        <f t="array" ref="X3485">IF($I3485&lt;&gt;"",$I3485,INDEX($I$1:$I3485,ROW()-COUNTIFS($T$1:$T3485,"="&amp;$T3485,$S$1:$S3485,"&lt;"&amp;$S3485)))</f>
        <v>0</v>
      </c>
      <c r="Z3485" s="6">
        <f t="shared" si="478"/>
        <v>1</v>
      </c>
      <c r="AA3485" t="e">
        <f t="shared" si="479"/>
        <v>#VALUE!</v>
      </c>
      <c r="AB3485" t="str">
        <f t="shared" si="480"/>
        <v/>
      </c>
      <c r="AC3485" t="e">
        <f t="shared" si="481"/>
        <v>#VALUE!</v>
      </c>
    </row>
    <row r="3486" spans="1:29" x14ac:dyDescent="0.2">
      <c r="A3486" t="str">
        <f t="shared" si="482"/>
        <v/>
      </c>
      <c r="E3486" s="4"/>
      <c r="F3486" s="46"/>
      <c r="G3486" s="4"/>
      <c r="H3486" s="48"/>
      <c r="J3486" s="26" t="str">
        <f t="shared" si="483"/>
        <v/>
      </c>
      <c r="N3486" t="str">
        <f t="shared" si="484"/>
        <v/>
      </c>
      <c r="Q3486" t="str">
        <f t="shared" si="485"/>
        <v/>
      </c>
      <c r="S3486" t="str">
        <f>IF(A3486=1,MAX($S$2:$S3485)+1,IF(OR($I3486&lt;&gt;"",A3486="x"),$S3485,""))</f>
        <v/>
      </c>
      <c r="T3486" t="str">
        <f>IF(D3486=1,MAX($T$2:$T3485)+1,IF(S3486=S3485,$T3485,IF(D3486="x",T3485,IF(D3485="x","",""))))</f>
        <v/>
      </c>
      <c r="U3486" t="str">
        <f>IF(B3486=1,MAX($U$2:$U3485)+1,IF(AND($T3486&lt;&gt;"",$T3486=$T3485),$U3485,IF(B3486="x",U3485,"")))</f>
        <v/>
      </c>
      <c r="V3486" t="str">
        <f>IF(C3486=1,MAX($V$2:$V3485)+1,IF(AND($T3486&lt;&gt;"",$T3486=$T3485),$U3485,IF(C3486="x",V3485,"")))</f>
        <v/>
      </c>
      <c r="X3486" cm="1">
        <f t="array" ref="X3486">IF($I3486&lt;&gt;"",$I3486,INDEX($I$1:$I3486,ROW()-COUNTIFS($T$1:$T3486,"="&amp;$T3486,$S$1:$S3486,"&lt;"&amp;$S3486)))</f>
        <v>0</v>
      </c>
      <c r="Z3486" s="6">
        <f t="shared" si="478"/>
        <v>1</v>
      </c>
      <c r="AA3486" t="e">
        <f t="shared" si="479"/>
        <v>#VALUE!</v>
      </c>
      <c r="AB3486" t="str">
        <f t="shared" si="480"/>
        <v/>
      </c>
      <c r="AC3486" t="e">
        <f t="shared" si="481"/>
        <v>#VALUE!</v>
      </c>
    </row>
    <row r="3487" spans="1:29" x14ac:dyDescent="0.2">
      <c r="A3487" t="str">
        <f t="shared" si="482"/>
        <v/>
      </c>
      <c r="E3487" s="4"/>
      <c r="F3487" s="46"/>
      <c r="G3487" s="4"/>
      <c r="H3487" s="48"/>
      <c r="J3487" s="26" t="str">
        <f t="shared" si="483"/>
        <v/>
      </c>
      <c r="N3487" t="str">
        <f t="shared" si="484"/>
        <v/>
      </c>
      <c r="Q3487" t="str">
        <f t="shared" si="485"/>
        <v/>
      </c>
      <c r="S3487" t="str">
        <f>IF(A3487=1,MAX($S$2:$S3486)+1,IF(OR($I3487&lt;&gt;"",A3487="x"),$S3486,""))</f>
        <v/>
      </c>
      <c r="T3487" t="str">
        <f>IF(D3487=1,MAX($T$2:$T3486)+1,IF(S3487=S3486,$T3486,IF(D3487="x",T3486,IF(D3486="x","",""))))</f>
        <v/>
      </c>
      <c r="U3487" t="str">
        <f>IF(B3487=1,MAX($U$2:$U3486)+1,IF(AND($T3487&lt;&gt;"",$T3487=$T3486),$U3486,IF(B3487="x",U3486,"")))</f>
        <v/>
      </c>
      <c r="V3487" t="str">
        <f>IF(C3487=1,MAX($V$2:$V3486)+1,IF(AND($T3487&lt;&gt;"",$T3487=$T3486),$U3486,IF(C3487="x",V3486,"")))</f>
        <v/>
      </c>
      <c r="X3487" cm="1">
        <f t="array" ref="X3487">IF($I3487&lt;&gt;"",$I3487,INDEX($I$1:$I3487,ROW()-COUNTIFS($T$1:$T3487,"="&amp;$T3487,$S$1:$S3487,"&lt;"&amp;$S3487)))</f>
        <v>0</v>
      </c>
      <c r="Z3487" s="6">
        <f t="shared" si="478"/>
        <v>1</v>
      </c>
      <c r="AA3487" t="e">
        <f t="shared" si="479"/>
        <v>#VALUE!</v>
      </c>
      <c r="AB3487" t="str">
        <f t="shared" si="480"/>
        <v/>
      </c>
      <c r="AC3487" t="e">
        <f t="shared" si="481"/>
        <v>#VALUE!</v>
      </c>
    </row>
    <row r="3488" spans="1:29" x14ac:dyDescent="0.2">
      <c r="A3488" t="str">
        <f t="shared" si="482"/>
        <v/>
      </c>
      <c r="E3488" s="4"/>
      <c r="F3488" s="46"/>
      <c r="G3488" s="4"/>
      <c r="H3488" s="48"/>
      <c r="J3488" s="26" t="str">
        <f t="shared" si="483"/>
        <v/>
      </c>
      <c r="N3488" t="str">
        <f t="shared" si="484"/>
        <v/>
      </c>
      <c r="Q3488" t="str">
        <f t="shared" si="485"/>
        <v/>
      </c>
      <c r="S3488" t="str">
        <f>IF(A3488=1,MAX($S$2:$S3487)+1,IF(OR($I3488&lt;&gt;"",A3488="x"),$S3487,""))</f>
        <v/>
      </c>
      <c r="T3488" t="str">
        <f>IF(D3488=1,MAX($T$2:$T3487)+1,IF(S3488=S3487,$T3487,IF(D3488="x",T3487,IF(D3487="x","",""))))</f>
        <v/>
      </c>
      <c r="U3488" t="str">
        <f>IF(B3488=1,MAX($U$2:$U3487)+1,IF(AND($T3488&lt;&gt;"",$T3488=$T3487),$U3487,IF(B3488="x",U3487,"")))</f>
        <v/>
      </c>
      <c r="V3488" t="str">
        <f>IF(C3488=1,MAX($V$2:$V3487)+1,IF(AND($T3488&lt;&gt;"",$T3488=$T3487),$U3487,IF(C3488="x",V3487,"")))</f>
        <v/>
      </c>
      <c r="X3488" cm="1">
        <f t="array" ref="X3488">IF($I3488&lt;&gt;"",$I3488,INDEX($I$1:$I3488,ROW()-COUNTIFS($T$1:$T3488,"="&amp;$T3488,$S$1:$S3488,"&lt;"&amp;$S3488)))</f>
        <v>0</v>
      </c>
      <c r="Z3488" s="6">
        <f t="shared" si="478"/>
        <v>1</v>
      </c>
      <c r="AA3488" t="e">
        <f t="shared" si="479"/>
        <v>#VALUE!</v>
      </c>
      <c r="AB3488" t="str">
        <f t="shared" si="480"/>
        <v/>
      </c>
      <c r="AC3488" t="e">
        <f t="shared" si="481"/>
        <v>#VALUE!</v>
      </c>
    </row>
    <row r="3489" spans="1:29" x14ac:dyDescent="0.2">
      <c r="A3489" t="str">
        <f t="shared" si="482"/>
        <v/>
      </c>
      <c r="E3489" s="4"/>
      <c r="F3489" s="46"/>
      <c r="G3489" s="4"/>
      <c r="H3489" s="48"/>
      <c r="J3489" s="26" t="str">
        <f t="shared" si="483"/>
        <v/>
      </c>
      <c r="N3489" t="str">
        <f t="shared" si="484"/>
        <v/>
      </c>
      <c r="Q3489" t="str">
        <f t="shared" si="485"/>
        <v/>
      </c>
      <c r="S3489" t="str">
        <f>IF(A3489=1,MAX($S$2:$S3488)+1,IF(OR($I3489&lt;&gt;"",A3489="x"),$S3488,""))</f>
        <v/>
      </c>
      <c r="T3489" t="str">
        <f>IF(D3489=1,MAX($T$2:$T3488)+1,IF(S3489=S3488,$T3488,IF(D3489="x",T3488,IF(D3488="x","",""))))</f>
        <v/>
      </c>
      <c r="U3489" t="str">
        <f>IF(B3489=1,MAX($U$2:$U3488)+1,IF(AND($T3489&lt;&gt;"",$T3489=$T3488),$U3488,IF(B3489="x",U3488,"")))</f>
        <v/>
      </c>
      <c r="V3489" t="str">
        <f>IF(C3489=1,MAX($V$2:$V3488)+1,IF(AND($T3489&lt;&gt;"",$T3489=$T3488),$U3488,IF(C3489="x",V3488,"")))</f>
        <v/>
      </c>
      <c r="X3489" cm="1">
        <f t="array" ref="X3489">IF($I3489&lt;&gt;"",$I3489,INDEX($I$1:$I3489,ROW()-COUNTIFS($T$1:$T3489,"="&amp;$T3489,$S$1:$S3489,"&lt;"&amp;$S3489)))</f>
        <v>0</v>
      </c>
      <c r="Z3489" s="6">
        <f t="shared" si="478"/>
        <v>1</v>
      </c>
      <c r="AA3489" t="e">
        <f t="shared" si="479"/>
        <v>#VALUE!</v>
      </c>
      <c r="AB3489" t="str">
        <f t="shared" si="480"/>
        <v/>
      </c>
      <c r="AC3489" t="e">
        <f t="shared" si="481"/>
        <v>#VALUE!</v>
      </c>
    </row>
    <row r="3490" spans="1:29" x14ac:dyDescent="0.2">
      <c r="A3490" t="str">
        <f t="shared" si="482"/>
        <v/>
      </c>
      <c r="E3490" s="4"/>
      <c r="F3490" s="46"/>
      <c r="G3490" s="4"/>
      <c r="H3490" s="48"/>
      <c r="J3490" s="26" t="str">
        <f t="shared" si="483"/>
        <v/>
      </c>
      <c r="N3490" t="str">
        <f t="shared" si="484"/>
        <v/>
      </c>
      <c r="Q3490" t="str">
        <f t="shared" si="485"/>
        <v/>
      </c>
      <c r="S3490" t="str">
        <f>IF(A3490=1,MAX($S$2:$S3489)+1,IF(OR($I3490&lt;&gt;"",A3490="x"),$S3489,""))</f>
        <v/>
      </c>
      <c r="T3490" t="str">
        <f>IF(D3490=1,MAX($T$2:$T3489)+1,IF(S3490=S3489,$T3489,IF(D3490="x",T3489,IF(D3489="x","",""))))</f>
        <v/>
      </c>
      <c r="U3490" t="str">
        <f>IF(B3490=1,MAX($U$2:$U3489)+1,IF(AND($T3490&lt;&gt;"",$T3490=$T3489),$U3489,IF(B3490="x",U3489,"")))</f>
        <v/>
      </c>
      <c r="V3490" t="str">
        <f>IF(C3490=1,MAX($V$2:$V3489)+1,IF(AND($T3490&lt;&gt;"",$T3490=$T3489),$U3489,IF(C3490="x",V3489,"")))</f>
        <v/>
      </c>
      <c r="X3490" cm="1">
        <f t="array" ref="X3490">IF($I3490&lt;&gt;"",$I3490,INDEX($I$1:$I3490,ROW()-COUNTIFS($T$1:$T3490,"="&amp;$T3490,$S$1:$S3490,"&lt;"&amp;$S3490)))</f>
        <v>0</v>
      </c>
      <c r="Z3490" s="6">
        <f t="shared" si="478"/>
        <v>1</v>
      </c>
      <c r="AA3490" t="e">
        <f t="shared" si="479"/>
        <v>#VALUE!</v>
      </c>
      <c r="AB3490" t="str">
        <f t="shared" si="480"/>
        <v/>
      </c>
      <c r="AC3490" t="e">
        <f t="shared" si="481"/>
        <v>#VALUE!</v>
      </c>
    </row>
    <row r="3491" spans="1:29" x14ac:dyDescent="0.2">
      <c r="A3491" t="str">
        <f t="shared" si="482"/>
        <v/>
      </c>
      <c r="E3491" s="4"/>
      <c r="F3491" s="46"/>
      <c r="G3491" s="4"/>
      <c r="H3491" s="48"/>
      <c r="J3491" s="26" t="str">
        <f t="shared" si="483"/>
        <v/>
      </c>
      <c r="N3491" t="str">
        <f t="shared" si="484"/>
        <v/>
      </c>
      <c r="Q3491" t="str">
        <f t="shared" si="485"/>
        <v/>
      </c>
      <c r="S3491" t="str">
        <f>IF(A3491=1,MAX($S$2:$S3490)+1,IF(OR($I3491&lt;&gt;"",A3491="x"),$S3490,""))</f>
        <v/>
      </c>
      <c r="T3491" t="str">
        <f>IF(D3491=1,MAX($T$2:$T3490)+1,IF(S3491=S3490,$T3490,IF(D3491="x",T3490,IF(D3490="x","",""))))</f>
        <v/>
      </c>
      <c r="U3491" t="str">
        <f>IF(B3491=1,MAX($U$2:$U3490)+1,IF(AND($T3491&lt;&gt;"",$T3491=$T3490),$U3490,IF(B3491="x",U3490,"")))</f>
        <v/>
      </c>
      <c r="V3491" t="str">
        <f>IF(C3491=1,MAX($V$2:$V3490)+1,IF(AND($T3491&lt;&gt;"",$T3491=$T3490),$U3490,IF(C3491="x",V3490,"")))</f>
        <v/>
      </c>
      <c r="X3491" cm="1">
        <f t="array" ref="X3491">IF($I3491&lt;&gt;"",$I3491,INDEX($I$1:$I3491,ROW()-COUNTIFS($T$1:$T3491,"="&amp;$T3491,$S$1:$S3491,"&lt;"&amp;$S3491)))</f>
        <v>0</v>
      </c>
      <c r="Z3491" s="6">
        <f t="shared" si="478"/>
        <v>1</v>
      </c>
      <c r="AA3491" t="e">
        <f t="shared" si="479"/>
        <v>#VALUE!</v>
      </c>
      <c r="AB3491" t="str">
        <f t="shared" si="480"/>
        <v/>
      </c>
      <c r="AC3491" t="e">
        <f t="shared" si="481"/>
        <v>#VALUE!</v>
      </c>
    </row>
    <row r="3492" spans="1:29" x14ac:dyDescent="0.2">
      <c r="A3492" t="str">
        <f t="shared" si="482"/>
        <v/>
      </c>
      <c r="E3492" s="4"/>
      <c r="F3492" s="46"/>
      <c r="G3492" s="4"/>
      <c r="H3492" s="48"/>
      <c r="J3492" s="26" t="str">
        <f t="shared" si="483"/>
        <v/>
      </c>
      <c r="N3492" t="str">
        <f t="shared" si="484"/>
        <v/>
      </c>
      <c r="Q3492" t="str">
        <f t="shared" si="485"/>
        <v/>
      </c>
      <c r="S3492" t="str">
        <f>IF(A3492=1,MAX($S$2:$S3491)+1,IF(OR($I3492&lt;&gt;"",A3492="x"),$S3491,""))</f>
        <v/>
      </c>
      <c r="T3492" t="str">
        <f>IF(D3492=1,MAX($T$2:$T3491)+1,IF(S3492=S3491,$T3491,IF(D3492="x",T3491,IF(D3491="x","",""))))</f>
        <v/>
      </c>
      <c r="U3492" t="str">
        <f>IF(B3492=1,MAX($U$2:$U3491)+1,IF(AND($T3492&lt;&gt;"",$T3492=$T3491),$U3491,IF(B3492="x",U3491,"")))</f>
        <v/>
      </c>
      <c r="V3492" t="str">
        <f>IF(C3492=1,MAX($V$2:$V3491)+1,IF(AND($T3492&lt;&gt;"",$T3492=$T3491),$U3491,IF(C3492="x",V3491,"")))</f>
        <v/>
      </c>
      <c r="X3492" cm="1">
        <f t="array" ref="X3492">IF($I3492&lt;&gt;"",$I3492,INDEX($I$1:$I3492,ROW()-COUNTIFS($T$1:$T3492,"="&amp;$T3492,$S$1:$S3492,"&lt;"&amp;$S3492)))</f>
        <v>0</v>
      </c>
      <c r="Z3492" s="6">
        <f t="shared" si="478"/>
        <v>1</v>
      </c>
      <c r="AA3492" t="e">
        <f t="shared" si="479"/>
        <v>#VALUE!</v>
      </c>
      <c r="AB3492" t="str">
        <f t="shared" si="480"/>
        <v/>
      </c>
      <c r="AC3492" t="e">
        <f t="shared" si="481"/>
        <v>#VALUE!</v>
      </c>
    </row>
    <row r="3493" spans="1:29" x14ac:dyDescent="0.2">
      <c r="A3493" t="str">
        <f t="shared" si="482"/>
        <v/>
      </c>
      <c r="E3493" s="4"/>
      <c r="F3493" s="46"/>
      <c r="G3493" s="4"/>
      <c r="H3493" s="48"/>
      <c r="J3493" s="26" t="str">
        <f t="shared" si="483"/>
        <v/>
      </c>
      <c r="N3493" t="str">
        <f t="shared" si="484"/>
        <v/>
      </c>
      <c r="Q3493" t="str">
        <f t="shared" si="485"/>
        <v/>
      </c>
      <c r="S3493" t="str">
        <f>IF(A3493=1,MAX($S$2:$S3492)+1,IF(OR($I3493&lt;&gt;"",A3493="x"),$S3492,""))</f>
        <v/>
      </c>
      <c r="T3493" t="str">
        <f>IF(D3493=1,MAX($T$2:$T3492)+1,IF(S3493=S3492,$T3492,IF(D3493="x",T3492,IF(D3492="x","",""))))</f>
        <v/>
      </c>
      <c r="U3493" t="str">
        <f>IF(B3493=1,MAX($U$2:$U3492)+1,IF(AND($T3493&lt;&gt;"",$T3493=$T3492),$U3492,IF(B3493="x",U3492,"")))</f>
        <v/>
      </c>
      <c r="V3493" t="str">
        <f>IF(C3493=1,MAX($V$2:$V3492)+1,IF(AND($T3493&lt;&gt;"",$T3493=$T3492),$U3492,IF(C3493="x",V3492,"")))</f>
        <v/>
      </c>
      <c r="X3493" cm="1">
        <f t="array" ref="X3493">IF($I3493&lt;&gt;"",$I3493,INDEX($I$1:$I3493,ROW()-COUNTIFS($T$1:$T3493,"="&amp;$T3493,$S$1:$S3493,"&lt;"&amp;$S3493)))</f>
        <v>0</v>
      </c>
      <c r="Z3493" s="6">
        <f t="shared" si="478"/>
        <v>1</v>
      </c>
      <c r="AA3493" t="e">
        <f t="shared" si="479"/>
        <v>#VALUE!</v>
      </c>
      <c r="AB3493" t="str">
        <f t="shared" si="480"/>
        <v/>
      </c>
      <c r="AC3493" t="e">
        <f t="shared" si="481"/>
        <v>#VALUE!</v>
      </c>
    </row>
    <row r="3494" spans="1:29" x14ac:dyDescent="0.2">
      <c r="A3494" t="str">
        <f t="shared" si="482"/>
        <v/>
      </c>
      <c r="E3494" s="4"/>
      <c r="F3494" s="46"/>
      <c r="G3494" s="4"/>
      <c r="H3494" s="48"/>
      <c r="J3494" s="26" t="str">
        <f t="shared" si="483"/>
        <v/>
      </c>
      <c r="N3494" t="str">
        <f t="shared" si="484"/>
        <v/>
      </c>
      <c r="Q3494" t="str">
        <f t="shared" si="485"/>
        <v/>
      </c>
      <c r="S3494" t="str">
        <f>IF(A3494=1,MAX($S$2:$S3493)+1,IF(OR($I3494&lt;&gt;"",A3494="x"),$S3493,""))</f>
        <v/>
      </c>
      <c r="T3494" t="str">
        <f>IF(D3494=1,MAX($T$2:$T3493)+1,IF(S3494=S3493,$T3493,IF(D3494="x",T3493,IF(D3493="x","",""))))</f>
        <v/>
      </c>
      <c r="U3494" t="str">
        <f>IF(B3494=1,MAX($U$2:$U3493)+1,IF(AND($T3494&lt;&gt;"",$T3494=$T3493),$U3493,IF(B3494="x",U3493,"")))</f>
        <v/>
      </c>
      <c r="V3494" t="str">
        <f>IF(C3494=1,MAX($V$2:$V3493)+1,IF(AND($T3494&lt;&gt;"",$T3494=$T3493),$U3493,IF(C3494="x",V3493,"")))</f>
        <v/>
      </c>
      <c r="X3494" cm="1">
        <f t="array" ref="X3494">IF($I3494&lt;&gt;"",$I3494,INDEX($I$1:$I3494,ROW()-COUNTIFS($T$1:$T3494,"="&amp;$T3494,$S$1:$S3494,"&lt;"&amp;$S3494)))</f>
        <v>0</v>
      </c>
      <c r="Z3494" s="6">
        <f t="shared" si="478"/>
        <v>1</v>
      </c>
      <c r="AA3494" t="e">
        <f t="shared" si="479"/>
        <v>#VALUE!</v>
      </c>
      <c r="AB3494" t="str">
        <f t="shared" si="480"/>
        <v/>
      </c>
      <c r="AC3494" t="e">
        <f t="shared" si="481"/>
        <v>#VALUE!</v>
      </c>
    </row>
    <row r="3495" spans="1:29" x14ac:dyDescent="0.2">
      <c r="A3495" t="str">
        <f t="shared" si="482"/>
        <v/>
      </c>
      <c r="E3495" s="4"/>
      <c r="F3495" s="46"/>
      <c r="G3495" s="4"/>
      <c r="H3495" s="48"/>
      <c r="J3495" s="26" t="str">
        <f t="shared" si="483"/>
        <v/>
      </c>
      <c r="N3495" t="str">
        <f t="shared" si="484"/>
        <v/>
      </c>
      <c r="Q3495" t="str">
        <f t="shared" si="485"/>
        <v/>
      </c>
      <c r="S3495" t="str">
        <f>IF(A3495=1,MAX($S$2:$S3494)+1,IF(OR($I3495&lt;&gt;"",A3495="x"),$S3494,""))</f>
        <v/>
      </c>
      <c r="T3495" t="str">
        <f>IF(D3495=1,MAX($T$2:$T3494)+1,IF(S3495=S3494,$T3494,IF(D3495="x",T3494,IF(D3494="x","",""))))</f>
        <v/>
      </c>
      <c r="U3495" t="str">
        <f>IF(B3495=1,MAX($U$2:$U3494)+1,IF(AND($T3495&lt;&gt;"",$T3495=$T3494),$U3494,IF(B3495="x",U3494,"")))</f>
        <v/>
      </c>
      <c r="V3495" t="str">
        <f>IF(C3495=1,MAX($V$2:$V3494)+1,IF(AND($T3495&lt;&gt;"",$T3495=$T3494),$U3494,IF(C3495="x",V3494,"")))</f>
        <v/>
      </c>
      <c r="X3495" cm="1">
        <f t="array" ref="X3495">IF($I3495&lt;&gt;"",$I3495,INDEX($I$1:$I3495,ROW()-COUNTIFS($T$1:$T3495,"="&amp;$T3495,$S$1:$S3495,"&lt;"&amp;$S3495)))</f>
        <v>0</v>
      </c>
      <c r="Z3495" s="6">
        <f t="shared" si="478"/>
        <v>1</v>
      </c>
      <c r="AA3495" t="e">
        <f t="shared" si="479"/>
        <v>#VALUE!</v>
      </c>
      <c r="AB3495" t="str">
        <f t="shared" si="480"/>
        <v/>
      </c>
      <c r="AC3495" t="e">
        <f t="shared" si="481"/>
        <v>#VALUE!</v>
      </c>
    </row>
    <row r="3496" spans="1:29" x14ac:dyDescent="0.2">
      <c r="A3496" t="str">
        <f t="shared" si="482"/>
        <v/>
      </c>
      <c r="E3496" s="4"/>
      <c r="F3496" s="46"/>
      <c r="G3496" s="4"/>
      <c r="H3496" s="48"/>
      <c r="J3496" s="26" t="str">
        <f t="shared" si="483"/>
        <v/>
      </c>
      <c r="N3496" t="str">
        <f t="shared" si="484"/>
        <v/>
      </c>
      <c r="Q3496" t="str">
        <f t="shared" si="485"/>
        <v/>
      </c>
      <c r="S3496" t="str">
        <f>IF(A3496=1,MAX($S$2:$S3495)+1,IF(OR($I3496&lt;&gt;"",A3496="x"),$S3495,""))</f>
        <v/>
      </c>
      <c r="T3496" t="str">
        <f>IF(D3496=1,MAX($T$2:$T3495)+1,IF(S3496=S3495,$T3495,IF(D3496="x",T3495,IF(D3495="x","",""))))</f>
        <v/>
      </c>
      <c r="U3496" t="str">
        <f>IF(B3496=1,MAX($U$2:$U3495)+1,IF(AND($T3496&lt;&gt;"",$T3496=$T3495),$U3495,IF(B3496="x",U3495,"")))</f>
        <v/>
      </c>
      <c r="V3496" t="str">
        <f>IF(C3496=1,MAX($V$2:$V3495)+1,IF(AND($T3496&lt;&gt;"",$T3496=$T3495),$U3495,IF(C3496="x",V3495,"")))</f>
        <v/>
      </c>
      <c r="X3496" cm="1">
        <f t="array" ref="X3496">IF($I3496&lt;&gt;"",$I3496,INDEX($I$1:$I3496,ROW()-COUNTIFS($T$1:$T3496,"="&amp;$T3496,$S$1:$S3496,"&lt;"&amp;$S3496)))</f>
        <v>0</v>
      </c>
      <c r="Z3496" s="6">
        <f t="shared" si="478"/>
        <v>1</v>
      </c>
      <c r="AA3496" t="e">
        <f t="shared" si="479"/>
        <v>#VALUE!</v>
      </c>
      <c r="AB3496" t="str">
        <f t="shared" si="480"/>
        <v/>
      </c>
      <c r="AC3496" t="e">
        <f t="shared" si="481"/>
        <v>#VALUE!</v>
      </c>
    </row>
    <row r="3497" spans="1:29" x14ac:dyDescent="0.2">
      <c r="A3497" t="str">
        <f t="shared" si="482"/>
        <v/>
      </c>
      <c r="E3497" s="4"/>
      <c r="F3497" s="46"/>
      <c r="G3497" s="4"/>
      <c r="H3497" s="48"/>
      <c r="J3497" s="26" t="str">
        <f t="shared" si="483"/>
        <v/>
      </c>
      <c r="N3497" t="str">
        <f t="shared" si="484"/>
        <v/>
      </c>
      <c r="Q3497" t="str">
        <f t="shared" si="485"/>
        <v/>
      </c>
      <c r="S3497" t="str">
        <f>IF(A3497=1,MAX($S$2:$S3496)+1,IF(OR($I3497&lt;&gt;"",A3497="x"),$S3496,""))</f>
        <v/>
      </c>
      <c r="T3497" t="str">
        <f>IF(D3497=1,MAX($T$2:$T3496)+1,IF(S3497=S3496,$T3496,IF(D3497="x",T3496,IF(D3496="x","",""))))</f>
        <v/>
      </c>
      <c r="U3497" t="str">
        <f>IF(B3497=1,MAX($U$2:$U3496)+1,IF(AND($T3497&lt;&gt;"",$T3497=$T3496),$U3496,IF(B3497="x",U3496,"")))</f>
        <v/>
      </c>
      <c r="V3497" t="str">
        <f>IF(C3497=1,MAX($V$2:$V3496)+1,IF(AND($T3497&lt;&gt;"",$T3497=$T3496),$U3496,IF(C3497="x",V3496,"")))</f>
        <v/>
      </c>
      <c r="X3497" cm="1">
        <f t="array" ref="X3497">IF($I3497&lt;&gt;"",$I3497,INDEX($I$1:$I3497,ROW()-COUNTIFS($T$1:$T3497,"="&amp;$T3497,$S$1:$S3497,"&lt;"&amp;$S3497)))</f>
        <v>0</v>
      </c>
      <c r="Z3497" s="6">
        <f t="shared" si="478"/>
        <v>1</v>
      </c>
      <c r="AA3497" t="e">
        <f t="shared" si="479"/>
        <v>#VALUE!</v>
      </c>
      <c r="AB3497" t="str">
        <f t="shared" si="480"/>
        <v/>
      </c>
      <c r="AC3497" t="e">
        <f t="shared" si="481"/>
        <v>#VALUE!</v>
      </c>
    </row>
    <row r="3498" spans="1:29" x14ac:dyDescent="0.2">
      <c r="A3498" t="str">
        <f t="shared" si="482"/>
        <v/>
      </c>
      <c r="E3498" s="4"/>
      <c r="F3498" s="46"/>
      <c r="G3498" s="4"/>
      <c r="H3498" s="48"/>
      <c r="J3498" s="26" t="str">
        <f t="shared" si="483"/>
        <v/>
      </c>
      <c r="N3498" t="str">
        <f t="shared" si="484"/>
        <v/>
      </c>
      <c r="Q3498" t="str">
        <f t="shared" si="485"/>
        <v/>
      </c>
      <c r="S3498" t="str">
        <f>IF(A3498=1,MAX($S$2:$S3497)+1,IF(OR($I3498&lt;&gt;"",A3498="x"),$S3497,""))</f>
        <v/>
      </c>
      <c r="T3498" t="str">
        <f>IF(D3498=1,MAX($T$2:$T3497)+1,IF(S3498=S3497,$T3497,IF(D3498="x",T3497,IF(D3497="x","",""))))</f>
        <v/>
      </c>
      <c r="U3498" t="str">
        <f>IF(B3498=1,MAX($U$2:$U3497)+1,IF(AND($T3498&lt;&gt;"",$T3498=$T3497),$U3497,IF(B3498="x",U3497,"")))</f>
        <v/>
      </c>
      <c r="V3498" t="str">
        <f>IF(C3498=1,MAX($V$2:$V3497)+1,IF(AND($T3498&lt;&gt;"",$T3498=$T3497),$U3497,IF(C3498="x",V3497,"")))</f>
        <v/>
      </c>
      <c r="X3498" cm="1">
        <f t="array" ref="X3498">IF($I3498&lt;&gt;"",$I3498,INDEX($I$1:$I3498,ROW()-COUNTIFS($T$1:$T3498,"="&amp;$T3498,$S$1:$S3498,"&lt;"&amp;$S3498)))</f>
        <v>0</v>
      </c>
      <c r="Z3498" s="6">
        <f t="shared" si="478"/>
        <v>1</v>
      </c>
      <c r="AA3498" t="e">
        <f t="shared" si="479"/>
        <v>#VALUE!</v>
      </c>
      <c r="AB3498" t="str">
        <f t="shared" si="480"/>
        <v/>
      </c>
      <c r="AC3498" t="e">
        <f t="shared" si="481"/>
        <v>#VALUE!</v>
      </c>
    </row>
    <row r="3499" spans="1:29" x14ac:dyDescent="0.2">
      <c r="A3499" t="str">
        <f t="shared" si="482"/>
        <v/>
      </c>
      <c r="E3499" s="4"/>
      <c r="F3499" s="46"/>
      <c r="G3499" s="4"/>
      <c r="H3499" s="48"/>
      <c r="J3499" s="26" t="str">
        <f t="shared" si="483"/>
        <v/>
      </c>
      <c r="N3499" t="str">
        <f t="shared" si="484"/>
        <v/>
      </c>
      <c r="Q3499" t="str">
        <f t="shared" si="485"/>
        <v/>
      </c>
      <c r="S3499" t="str">
        <f>IF(A3499=1,MAX($S$2:$S3498)+1,IF(OR($I3499&lt;&gt;"",A3499="x"),$S3498,""))</f>
        <v/>
      </c>
      <c r="T3499" t="str">
        <f>IF(D3499=1,MAX($T$2:$T3498)+1,IF(S3499=S3498,$T3498,IF(D3499="x",T3498,IF(D3498="x","",""))))</f>
        <v/>
      </c>
      <c r="U3499" t="str">
        <f>IF(B3499=1,MAX($U$2:$U3498)+1,IF(AND($T3499&lt;&gt;"",$T3499=$T3498),$U3498,IF(B3499="x",U3498,"")))</f>
        <v/>
      </c>
      <c r="V3499" t="str">
        <f>IF(C3499=1,MAX($V$2:$V3498)+1,IF(AND($T3499&lt;&gt;"",$T3499=$T3498),$U3498,IF(C3499="x",V3498,"")))</f>
        <v/>
      </c>
      <c r="X3499" cm="1">
        <f t="array" ref="X3499">IF($I3499&lt;&gt;"",$I3499,INDEX($I$1:$I3499,ROW()-COUNTIFS($T$1:$T3499,"="&amp;$T3499,$S$1:$S3499,"&lt;"&amp;$S3499)))</f>
        <v>0</v>
      </c>
      <c r="Z3499" s="6">
        <f t="shared" si="478"/>
        <v>1</v>
      </c>
      <c r="AA3499" t="e">
        <f t="shared" si="479"/>
        <v>#VALUE!</v>
      </c>
      <c r="AB3499" t="str">
        <f t="shared" si="480"/>
        <v/>
      </c>
      <c r="AC3499" t="e">
        <f t="shared" si="481"/>
        <v>#VALUE!</v>
      </c>
    </row>
    <row r="3500" spans="1:29" x14ac:dyDescent="0.2">
      <c r="A3500" t="str">
        <f t="shared" si="482"/>
        <v/>
      </c>
      <c r="E3500" s="4"/>
      <c r="F3500" s="46"/>
      <c r="G3500" s="4"/>
      <c r="H3500" s="48"/>
      <c r="J3500" s="26" t="str">
        <f t="shared" si="483"/>
        <v/>
      </c>
      <c r="N3500" t="str">
        <f t="shared" si="484"/>
        <v/>
      </c>
      <c r="Q3500" t="str">
        <f t="shared" si="485"/>
        <v/>
      </c>
      <c r="S3500" t="str">
        <f>IF(A3500=1,MAX($S$2:$S3499)+1,IF(OR($I3500&lt;&gt;"",A3500="x"),$S3499,""))</f>
        <v/>
      </c>
      <c r="T3500" t="str">
        <f>IF(D3500=1,MAX($T$2:$T3499)+1,IF(S3500=S3499,$T3499,IF(D3500="x",T3499,IF(D3499="x","",""))))</f>
        <v/>
      </c>
      <c r="U3500" t="str">
        <f>IF(B3500=1,MAX($U$2:$U3499)+1,IF(AND($T3500&lt;&gt;"",$T3500=$T3499),$U3499,IF(B3500="x",U3499,"")))</f>
        <v/>
      </c>
      <c r="V3500" t="str">
        <f>IF(C3500=1,MAX($V$2:$V3499)+1,IF(AND($T3500&lt;&gt;"",$T3500=$T3499),$U3499,IF(C3500="x",V3499,"")))</f>
        <v/>
      </c>
      <c r="X3500" cm="1">
        <f t="array" ref="X3500">IF($I3500&lt;&gt;"",$I3500,INDEX($I$1:$I3500,ROW()-COUNTIFS($T$1:$T3500,"="&amp;$T3500,$S$1:$S3500,"&lt;"&amp;$S3500)))</f>
        <v>0</v>
      </c>
      <c r="Z3500" s="6">
        <f t="shared" si="478"/>
        <v>1</v>
      </c>
      <c r="AA3500" t="e">
        <f t="shared" si="479"/>
        <v>#VALUE!</v>
      </c>
      <c r="AB3500" t="str">
        <f t="shared" si="480"/>
        <v/>
      </c>
      <c r="AC3500" t="e">
        <f t="shared" si="481"/>
        <v>#VALUE!</v>
      </c>
    </row>
    <row r="3501" spans="1:29" x14ac:dyDescent="0.2">
      <c r="A3501" t="str">
        <f t="shared" si="482"/>
        <v/>
      </c>
      <c r="E3501" s="4"/>
      <c r="F3501" s="46"/>
      <c r="G3501" s="4"/>
      <c r="H3501" s="48"/>
      <c r="J3501" s="26" t="str">
        <f t="shared" si="483"/>
        <v/>
      </c>
      <c r="N3501" t="str">
        <f t="shared" si="484"/>
        <v/>
      </c>
      <c r="Q3501" t="str">
        <f t="shared" si="485"/>
        <v/>
      </c>
      <c r="S3501" t="str">
        <f>IF(A3501=1,MAX($S$2:$S3500)+1,IF(OR($I3501&lt;&gt;"",A3501="x"),$S3500,""))</f>
        <v/>
      </c>
      <c r="T3501" t="str">
        <f>IF(D3501=1,MAX($T$2:$T3500)+1,IF(S3501=S3500,$T3500,IF(D3501="x",T3500,IF(D3500="x","",""))))</f>
        <v/>
      </c>
      <c r="U3501" t="str">
        <f>IF(B3501=1,MAX($U$2:$U3500)+1,IF(AND($T3501&lt;&gt;"",$T3501=$T3500),$U3500,IF(B3501="x",U3500,"")))</f>
        <v/>
      </c>
      <c r="V3501" t="str">
        <f>IF(C3501=1,MAX($V$2:$V3500)+1,IF(AND($T3501&lt;&gt;"",$T3501=$T3500),$U3500,IF(C3501="x",V3500,"")))</f>
        <v/>
      </c>
      <c r="X3501" cm="1">
        <f t="array" ref="X3501">IF($I3501&lt;&gt;"",$I3501,INDEX($I$1:$I3501,ROW()-COUNTIFS($T$1:$T3501,"="&amp;$T3501,$S$1:$S3501,"&lt;"&amp;$S3501)))</f>
        <v>0</v>
      </c>
      <c r="Z3501" s="6">
        <f t="shared" si="478"/>
        <v>1</v>
      </c>
      <c r="AA3501" t="e">
        <f t="shared" si="479"/>
        <v>#VALUE!</v>
      </c>
      <c r="AB3501" t="str">
        <f t="shared" si="480"/>
        <v/>
      </c>
      <c r="AC3501" t="e">
        <f t="shared" si="481"/>
        <v>#VALUE!</v>
      </c>
    </row>
    <row r="3502" spans="1:29" x14ac:dyDescent="0.2">
      <c r="A3502" t="str">
        <f t="shared" si="482"/>
        <v/>
      </c>
      <c r="E3502" s="4"/>
      <c r="F3502" s="46"/>
      <c r="G3502" s="4"/>
      <c r="H3502" s="48"/>
      <c r="J3502" s="26" t="str">
        <f t="shared" si="483"/>
        <v/>
      </c>
      <c r="N3502" t="str">
        <f t="shared" si="484"/>
        <v/>
      </c>
      <c r="Q3502" t="str">
        <f t="shared" si="485"/>
        <v/>
      </c>
      <c r="S3502" t="str">
        <f>IF(A3502=1,MAX($S$2:$S3501)+1,IF(OR($I3502&lt;&gt;"",A3502="x"),$S3501,""))</f>
        <v/>
      </c>
      <c r="T3502" t="str">
        <f>IF(D3502=1,MAX($T$2:$T3501)+1,IF(S3502=S3501,$T3501,IF(D3502="x",T3501,IF(D3501="x","",""))))</f>
        <v/>
      </c>
      <c r="U3502" t="str">
        <f>IF(B3502=1,MAX($U$2:$U3501)+1,IF(AND($T3502&lt;&gt;"",$T3502=$T3501),$U3501,IF(B3502="x",U3501,"")))</f>
        <v/>
      </c>
      <c r="V3502" t="str">
        <f>IF(C3502=1,MAX($V$2:$V3501)+1,IF(AND($T3502&lt;&gt;"",$T3502=$T3501),$U3501,IF(C3502="x",V3501,"")))</f>
        <v/>
      </c>
      <c r="X3502" cm="1">
        <f t="array" ref="X3502">IF($I3502&lt;&gt;"",$I3502,INDEX($I$1:$I3502,ROW()-COUNTIFS($T$1:$T3502,"="&amp;$T3502,$S$1:$S3502,"&lt;"&amp;$S3502)))</f>
        <v>0</v>
      </c>
      <c r="Z3502" s="6">
        <f t="shared" si="478"/>
        <v>1</v>
      </c>
      <c r="AA3502" t="e">
        <f t="shared" si="479"/>
        <v>#VALUE!</v>
      </c>
      <c r="AB3502" t="str">
        <f t="shared" si="480"/>
        <v/>
      </c>
      <c r="AC3502" t="e">
        <f t="shared" si="481"/>
        <v>#VALUE!</v>
      </c>
    </row>
    <row r="3503" spans="1:29" x14ac:dyDescent="0.2">
      <c r="A3503" t="str">
        <f t="shared" si="482"/>
        <v/>
      </c>
      <c r="E3503" s="4"/>
      <c r="F3503" s="46"/>
      <c r="G3503" s="4"/>
      <c r="H3503" s="48"/>
      <c r="J3503" s="26" t="str">
        <f t="shared" si="483"/>
        <v/>
      </c>
      <c r="N3503" t="str">
        <f t="shared" si="484"/>
        <v/>
      </c>
      <c r="Q3503" t="str">
        <f t="shared" si="485"/>
        <v/>
      </c>
      <c r="S3503" t="str">
        <f>IF(A3503=1,MAX($S$2:$S3502)+1,IF(OR($I3503&lt;&gt;"",A3503="x"),$S3502,""))</f>
        <v/>
      </c>
      <c r="T3503" t="str">
        <f>IF(D3503=1,MAX($T$2:$T3502)+1,IF(S3503=S3502,$T3502,IF(D3503="x",T3502,IF(D3502="x","",""))))</f>
        <v/>
      </c>
      <c r="U3503" t="str">
        <f>IF(B3503=1,MAX($U$2:$U3502)+1,IF(AND($T3503&lt;&gt;"",$T3503=$T3502),$U3502,IF(B3503="x",U3502,"")))</f>
        <v/>
      </c>
      <c r="V3503" t="str">
        <f>IF(C3503=1,MAX($V$2:$V3502)+1,IF(AND($T3503&lt;&gt;"",$T3503=$T3502),$U3502,IF(C3503="x",V3502,"")))</f>
        <v/>
      </c>
      <c r="X3503" cm="1">
        <f t="array" ref="X3503">IF($I3503&lt;&gt;"",$I3503,INDEX($I$1:$I3503,ROW()-COUNTIFS($T$1:$T3503,"="&amp;$T3503,$S$1:$S3503,"&lt;"&amp;$S3503)))</f>
        <v>0</v>
      </c>
      <c r="Z3503" s="6">
        <f t="shared" si="478"/>
        <v>1</v>
      </c>
      <c r="AA3503" t="e">
        <f t="shared" si="479"/>
        <v>#VALUE!</v>
      </c>
      <c r="AB3503" t="str">
        <f t="shared" si="480"/>
        <v/>
      </c>
      <c r="AC3503" t="e">
        <f t="shared" si="481"/>
        <v>#VALUE!</v>
      </c>
    </row>
    <row r="3504" spans="1:29" x14ac:dyDescent="0.2">
      <c r="A3504" t="str">
        <f t="shared" si="482"/>
        <v/>
      </c>
      <c r="E3504" s="4"/>
      <c r="F3504" s="46"/>
      <c r="G3504" s="4"/>
      <c r="H3504" s="48"/>
      <c r="J3504" s="26" t="str">
        <f t="shared" si="483"/>
        <v/>
      </c>
      <c r="N3504" t="str">
        <f t="shared" si="484"/>
        <v/>
      </c>
      <c r="Q3504" t="str">
        <f t="shared" si="485"/>
        <v/>
      </c>
      <c r="S3504" t="str">
        <f>IF(A3504=1,MAX($S$2:$S3503)+1,IF(OR($I3504&lt;&gt;"",A3504="x"),$S3503,""))</f>
        <v/>
      </c>
      <c r="T3504" t="str">
        <f>IF(D3504=1,MAX($T$2:$T3503)+1,IF(S3504=S3503,$T3503,IF(D3504="x",T3503,IF(D3503="x","",""))))</f>
        <v/>
      </c>
      <c r="U3504" t="str">
        <f>IF(B3504=1,MAX($U$2:$U3503)+1,IF(AND($T3504&lt;&gt;"",$T3504=$T3503),$U3503,IF(B3504="x",U3503,"")))</f>
        <v/>
      </c>
      <c r="V3504" t="str">
        <f>IF(C3504=1,MAX($V$2:$V3503)+1,IF(AND($T3504&lt;&gt;"",$T3504=$T3503),$U3503,IF(C3504="x",V3503,"")))</f>
        <v/>
      </c>
      <c r="X3504" cm="1">
        <f t="array" ref="X3504">IF($I3504&lt;&gt;"",$I3504,INDEX($I$1:$I3504,ROW()-COUNTIFS($T$1:$T3504,"="&amp;$T3504,$S$1:$S3504,"&lt;"&amp;$S3504)))</f>
        <v>0</v>
      </c>
      <c r="Z3504" s="6">
        <f t="shared" si="478"/>
        <v>1</v>
      </c>
      <c r="AA3504" t="e">
        <f t="shared" si="479"/>
        <v>#VALUE!</v>
      </c>
      <c r="AB3504" t="str">
        <f t="shared" si="480"/>
        <v/>
      </c>
      <c r="AC3504" t="e">
        <f t="shared" si="481"/>
        <v>#VALUE!</v>
      </c>
    </row>
    <row r="3505" spans="1:29" x14ac:dyDescent="0.2">
      <c r="A3505" t="str">
        <f t="shared" si="482"/>
        <v/>
      </c>
      <c r="E3505" s="4"/>
      <c r="F3505" s="46"/>
      <c r="G3505" s="4"/>
      <c r="H3505" s="48"/>
      <c r="J3505" s="26" t="str">
        <f t="shared" si="483"/>
        <v/>
      </c>
      <c r="N3505" t="str">
        <f t="shared" si="484"/>
        <v/>
      </c>
      <c r="Q3505" t="str">
        <f t="shared" si="485"/>
        <v/>
      </c>
      <c r="S3505" t="str">
        <f>IF(A3505=1,MAX($S$2:$S3504)+1,IF(OR($I3505&lt;&gt;"",A3505="x"),$S3504,""))</f>
        <v/>
      </c>
      <c r="T3505" t="str">
        <f>IF(D3505=1,MAX($T$2:$T3504)+1,IF(S3505=S3504,$T3504,IF(D3505="x",T3504,IF(D3504="x","",""))))</f>
        <v/>
      </c>
      <c r="U3505" t="str">
        <f>IF(B3505=1,MAX($U$2:$U3504)+1,IF(AND($T3505&lt;&gt;"",$T3505=$T3504),$U3504,IF(B3505="x",U3504,"")))</f>
        <v/>
      </c>
      <c r="V3505" t="str">
        <f>IF(C3505=1,MAX($V$2:$V3504)+1,IF(AND($T3505&lt;&gt;"",$T3505=$T3504),$U3504,IF(C3505="x",V3504,"")))</f>
        <v/>
      </c>
      <c r="X3505" cm="1">
        <f t="array" ref="X3505">IF($I3505&lt;&gt;"",$I3505,INDEX($I$1:$I3505,ROW()-COUNTIFS($T$1:$T3505,"="&amp;$T3505,$S$1:$S3505,"&lt;"&amp;$S3505)))</f>
        <v>0</v>
      </c>
      <c r="Z3505" s="6">
        <f t="shared" si="478"/>
        <v>1</v>
      </c>
      <c r="AA3505" t="e">
        <f t="shared" si="479"/>
        <v>#VALUE!</v>
      </c>
      <c r="AB3505" t="str">
        <f t="shared" si="480"/>
        <v/>
      </c>
      <c r="AC3505" t="e">
        <f t="shared" si="481"/>
        <v>#VALUE!</v>
      </c>
    </row>
    <row r="3506" spans="1:29" x14ac:dyDescent="0.2">
      <c r="A3506" t="str">
        <f t="shared" si="482"/>
        <v/>
      </c>
      <c r="E3506" s="4"/>
      <c r="F3506" s="46"/>
      <c r="G3506" s="4"/>
      <c r="H3506" s="48"/>
      <c r="J3506" s="26" t="str">
        <f t="shared" si="483"/>
        <v/>
      </c>
      <c r="N3506" t="str">
        <f t="shared" si="484"/>
        <v/>
      </c>
      <c r="Q3506" t="str">
        <f t="shared" si="485"/>
        <v/>
      </c>
      <c r="S3506" t="str">
        <f>IF(A3506=1,MAX($S$2:$S3505)+1,IF(OR($I3506&lt;&gt;"",A3506="x"),$S3505,""))</f>
        <v/>
      </c>
      <c r="T3506" t="str">
        <f>IF(D3506=1,MAX($T$2:$T3505)+1,IF(S3506=S3505,$T3505,IF(D3506="x",T3505,IF(D3505="x","",""))))</f>
        <v/>
      </c>
      <c r="U3506" t="str">
        <f>IF(B3506=1,MAX($U$2:$U3505)+1,IF(AND($T3506&lt;&gt;"",$T3506=$T3505),$U3505,IF(B3506="x",U3505,"")))</f>
        <v/>
      </c>
      <c r="V3506" t="str">
        <f>IF(C3506=1,MAX($V$2:$V3505)+1,IF(AND($T3506&lt;&gt;"",$T3506=$T3505),$U3505,IF(C3506="x",V3505,"")))</f>
        <v/>
      </c>
      <c r="X3506" cm="1">
        <f t="array" ref="X3506">IF($I3506&lt;&gt;"",$I3506,INDEX($I$1:$I3506,ROW()-COUNTIFS($T$1:$T3506,"="&amp;$T3506,$S$1:$S3506,"&lt;"&amp;$S3506)))</f>
        <v>0</v>
      </c>
      <c r="Z3506" s="6">
        <f t="shared" si="478"/>
        <v>1</v>
      </c>
      <c r="AA3506" t="e">
        <f t="shared" si="479"/>
        <v>#VALUE!</v>
      </c>
      <c r="AB3506" t="str">
        <f t="shared" si="480"/>
        <v/>
      </c>
      <c r="AC3506" t="e">
        <f t="shared" si="481"/>
        <v>#VALUE!</v>
      </c>
    </row>
    <row r="3507" spans="1:29" x14ac:dyDescent="0.2">
      <c r="A3507" t="str">
        <f t="shared" si="482"/>
        <v/>
      </c>
      <c r="E3507" s="4"/>
      <c r="F3507" s="46"/>
      <c r="G3507" s="4"/>
      <c r="H3507" s="48"/>
      <c r="J3507" s="26" t="str">
        <f t="shared" si="483"/>
        <v/>
      </c>
      <c r="N3507" t="str">
        <f t="shared" si="484"/>
        <v/>
      </c>
      <c r="Q3507" t="str">
        <f t="shared" si="485"/>
        <v/>
      </c>
      <c r="S3507" t="str">
        <f>IF(A3507=1,MAX($S$2:$S3506)+1,IF(OR($I3507&lt;&gt;"",A3507="x"),$S3506,""))</f>
        <v/>
      </c>
      <c r="T3507" t="str">
        <f>IF(D3507=1,MAX($T$2:$T3506)+1,IF(S3507=S3506,$T3506,IF(D3507="x",T3506,IF(D3506="x","",""))))</f>
        <v/>
      </c>
      <c r="U3507" t="str">
        <f>IF(B3507=1,MAX($U$2:$U3506)+1,IF(AND($T3507&lt;&gt;"",$T3507=$T3506),$U3506,IF(B3507="x",U3506,"")))</f>
        <v/>
      </c>
      <c r="V3507" t="str">
        <f>IF(C3507=1,MAX($V$2:$V3506)+1,IF(AND($T3507&lt;&gt;"",$T3507=$T3506),$U3506,IF(C3507="x",V3506,"")))</f>
        <v/>
      </c>
      <c r="X3507" cm="1">
        <f t="array" ref="X3507">IF($I3507&lt;&gt;"",$I3507,INDEX($I$1:$I3507,ROW()-COUNTIFS($T$1:$T3507,"="&amp;$T3507,$S$1:$S3507,"&lt;"&amp;$S3507)))</f>
        <v>0</v>
      </c>
      <c r="Z3507" s="6">
        <f t="shared" si="478"/>
        <v>1</v>
      </c>
      <c r="AA3507" t="e">
        <f t="shared" si="479"/>
        <v>#VALUE!</v>
      </c>
      <c r="AB3507" t="str">
        <f t="shared" si="480"/>
        <v/>
      </c>
      <c r="AC3507" t="e">
        <f t="shared" si="481"/>
        <v>#VALUE!</v>
      </c>
    </row>
    <row r="3508" spans="1:29" x14ac:dyDescent="0.2">
      <c r="A3508" t="str">
        <f t="shared" si="482"/>
        <v/>
      </c>
      <c r="E3508" s="4"/>
      <c r="F3508" s="46"/>
      <c r="G3508" s="4"/>
      <c r="H3508" s="48"/>
      <c r="J3508" s="26" t="str">
        <f t="shared" si="483"/>
        <v/>
      </c>
      <c r="N3508" t="str">
        <f t="shared" si="484"/>
        <v/>
      </c>
      <c r="Q3508" t="str">
        <f t="shared" si="485"/>
        <v/>
      </c>
      <c r="S3508" t="str">
        <f>IF(A3508=1,MAX($S$2:$S3507)+1,IF(OR($I3508&lt;&gt;"",A3508="x"),$S3507,""))</f>
        <v/>
      </c>
      <c r="T3508" t="str">
        <f>IF(D3508=1,MAX($T$2:$T3507)+1,IF(S3508=S3507,$T3507,IF(D3508="x",T3507,IF(D3507="x","",""))))</f>
        <v/>
      </c>
      <c r="U3508" t="str">
        <f>IF(B3508=1,MAX($U$2:$U3507)+1,IF(AND($T3508&lt;&gt;"",$T3508=$T3507),$U3507,IF(B3508="x",U3507,"")))</f>
        <v/>
      </c>
      <c r="V3508" t="str">
        <f>IF(C3508=1,MAX($V$2:$V3507)+1,IF(AND($T3508&lt;&gt;"",$T3508=$T3507),$U3507,IF(C3508="x",V3507,"")))</f>
        <v/>
      </c>
      <c r="X3508" cm="1">
        <f t="array" ref="X3508">IF($I3508&lt;&gt;"",$I3508,INDEX($I$1:$I3508,ROW()-COUNTIFS($T$1:$T3508,"="&amp;$T3508,$S$1:$S3508,"&lt;"&amp;$S3508)))</f>
        <v>0</v>
      </c>
      <c r="Z3508" s="6">
        <f t="shared" si="478"/>
        <v>1</v>
      </c>
      <c r="AA3508" t="e">
        <f t="shared" si="479"/>
        <v>#VALUE!</v>
      </c>
      <c r="AB3508" t="str">
        <f t="shared" si="480"/>
        <v/>
      </c>
      <c r="AC3508" t="e">
        <f t="shared" si="481"/>
        <v>#VALUE!</v>
      </c>
    </row>
    <row r="3509" spans="1:29" x14ac:dyDescent="0.2">
      <c r="A3509" t="str">
        <f t="shared" si="482"/>
        <v/>
      </c>
      <c r="E3509" s="4"/>
      <c r="F3509" s="46"/>
      <c r="G3509" s="4"/>
      <c r="H3509" s="48"/>
      <c r="J3509" s="26" t="str">
        <f t="shared" si="483"/>
        <v/>
      </c>
      <c r="N3509" t="str">
        <f t="shared" si="484"/>
        <v/>
      </c>
      <c r="Q3509" t="str">
        <f t="shared" si="485"/>
        <v/>
      </c>
      <c r="S3509" t="str">
        <f>IF(A3509=1,MAX($S$2:$S3508)+1,IF(OR($I3509&lt;&gt;"",A3509="x"),$S3508,""))</f>
        <v/>
      </c>
      <c r="T3509" t="str">
        <f>IF(D3509=1,MAX($T$2:$T3508)+1,IF(S3509=S3508,$T3508,IF(D3509="x",T3508,IF(D3508="x","",""))))</f>
        <v/>
      </c>
      <c r="U3509" t="str">
        <f>IF(B3509=1,MAX($U$2:$U3508)+1,IF(AND($T3509&lt;&gt;"",$T3509=$T3508),$U3508,IF(B3509="x",U3508,"")))</f>
        <v/>
      </c>
      <c r="V3509" t="str">
        <f>IF(C3509=1,MAX($V$2:$V3508)+1,IF(AND($T3509&lt;&gt;"",$T3509=$T3508),$U3508,IF(C3509="x",V3508,"")))</f>
        <v/>
      </c>
      <c r="X3509" cm="1">
        <f t="array" ref="X3509">IF($I3509&lt;&gt;"",$I3509,INDEX($I$1:$I3509,ROW()-COUNTIFS($T$1:$T3509,"="&amp;$T3509,$S$1:$S3509,"&lt;"&amp;$S3509)))</f>
        <v>0</v>
      </c>
      <c r="Z3509" s="6">
        <f t="shared" si="478"/>
        <v>1</v>
      </c>
      <c r="AA3509" t="e">
        <f t="shared" si="479"/>
        <v>#VALUE!</v>
      </c>
      <c r="AB3509" t="str">
        <f t="shared" si="480"/>
        <v/>
      </c>
      <c r="AC3509" t="e">
        <f t="shared" si="481"/>
        <v>#VALUE!</v>
      </c>
    </row>
    <row r="3510" spans="1:29" x14ac:dyDescent="0.2">
      <c r="A3510" t="str">
        <f t="shared" si="482"/>
        <v/>
      </c>
      <c r="E3510" s="4"/>
      <c r="F3510" s="46"/>
      <c r="G3510" s="4"/>
      <c r="H3510" s="48"/>
      <c r="J3510" s="26" t="str">
        <f t="shared" si="483"/>
        <v/>
      </c>
      <c r="N3510" t="str">
        <f t="shared" si="484"/>
        <v/>
      </c>
      <c r="Q3510" t="str">
        <f t="shared" si="485"/>
        <v/>
      </c>
      <c r="S3510" t="str">
        <f>IF(A3510=1,MAX($S$2:$S3509)+1,IF(OR($I3510&lt;&gt;"",A3510="x"),$S3509,""))</f>
        <v/>
      </c>
      <c r="T3510" t="str">
        <f>IF(D3510=1,MAX($T$2:$T3509)+1,IF(S3510=S3509,$T3509,IF(D3510="x",T3509,IF(D3509="x","",""))))</f>
        <v/>
      </c>
      <c r="U3510" t="str">
        <f>IF(B3510=1,MAX($U$2:$U3509)+1,IF(AND($T3510&lt;&gt;"",$T3510=$T3509),$U3509,IF(B3510="x",U3509,"")))</f>
        <v/>
      </c>
      <c r="V3510" t="str">
        <f>IF(C3510=1,MAX($V$2:$V3509)+1,IF(AND($T3510&lt;&gt;"",$T3510=$T3509),$U3509,IF(C3510="x",V3509,"")))</f>
        <v/>
      </c>
      <c r="X3510" cm="1">
        <f t="array" ref="X3510">IF($I3510&lt;&gt;"",$I3510,INDEX($I$1:$I3510,ROW()-COUNTIFS($T$1:$T3510,"="&amp;$T3510,$S$1:$S3510,"&lt;"&amp;$S3510)))</f>
        <v>0</v>
      </c>
      <c r="Z3510" s="6">
        <f t="shared" si="478"/>
        <v>1</v>
      </c>
      <c r="AA3510" t="e">
        <f t="shared" si="479"/>
        <v>#VALUE!</v>
      </c>
      <c r="AB3510" t="str">
        <f t="shared" si="480"/>
        <v/>
      </c>
      <c r="AC3510" t="e">
        <f t="shared" si="481"/>
        <v>#VALUE!</v>
      </c>
    </row>
    <row r="3511" spans="1:29" x14ac:dyDescent="0.2">
      <c r="A3511" t="str">
        <f t="shared" si="482"/>
        <v/>
      </c>
      <c r="E3511" s="4"/>
      <c r="F3511" s="46"/>
      <c r="G3511" s="4"/>
      <c r="H3511" s="48"/>
      <c r="J3511" s="26" t="str">
        <f t="shared" si="483"/>
        <v/>
      </c>
      <c r="N3511" t="str">
        <f t="shared" si="484"/>
        <v/>
      </c>
      <c r="Q3511" t="str">
        <f t="shared" si="485"/>
        <v/>
      </c>
      <c r="S3511" t="str">
        <f>IF(A3511=1,MAX($S$2:$S3510)+1,IF(OR($I3511&lt;&gt;"",A3511="x"),$S3510,""))</f>
        <v/>
      </c>
      <c r="T3511" t="str">
        <f>IF(D3511=1,MAX($T$2:$T3510)+1,IF(S3511=S3510,$T3510,IF(D3511="x",T3510,IF(D3510="x","",""))))</f>
        <v/>
      </c>
      <c r="U3511" t="str">
        <f>IF(B3511=1,MAX($U$2:$U3510)+1,IF(AND($T3511&lt;&gt;"",$T3511=$T3510),$U3510,IF(B3511="x",U3510,"")))</f>
        <v/>
      </c>
      <c r="V3511" t="str">
        <f>IF(C3511=1,MAX($V$2:$V3510)+1,IF(AND($T3511&lt;&gt;"",$T3511=$T3510),$U3510,IF(C3511="x",V3510,"")))</f>
        <v/>
      </c>
      <c r="X3511" cm="1">
        <f t="array" ref="X3511">IF($I3511&lt;&gt;"",$I3511,INDEX($I$1:$I3511,ROW()-COUNTIFS($T$1:$T3511,"="&amp;$T3511,$S$1:$S3511,"&lt;"&amp;$S3511)))</f>
        <v>0</v>
      </c>
      <c r="Z3511" s="6">
        <f t="shared" si="478"/>
        <v>1</v>
      </c>
      <c r="AA3511" t="e">
        <f t="shared" si="479"/>
        <v>#VALUE!</v>
      </c>
      <c r="AB3511" t="str">
        <f t="shared" si="480"/>
        <v/>
      </c>
      <c r="AC3511" t="e">
        <f t="shared" si="481"/>
        <v>#VALUE!</v>
      </c>
    </row>
    <row r="3512" spans="1:29" x14ac:dyDescent="0.2">
      <c r="A3512" t="str">
        <f t="shared" si="482"/>
        <v/>
      </c>
      <c r="E3512" s="4"/>
      <c r="F3512" s="46"/>
      <c r="G3512" s="4"/>
      <c r="H3512" s="48"/>
      <c r="J3512" s="26" t="str">
        <f t="shared" si="483"/>
        <v/>
      </c>
      <c r="N3512" t="str">
        <f t="shared" si="484"/>
        <v/>
      </c>
      <c r="Q3512" t="str">
        <f t="shared" si="485"/>
        <v/>
      </c>
      <c r="S3512" t="str">
        <f>IF(A3512=1,MAX($S$2:$S3511)+1,IF(OR($I3512&lt;&gt;"",A3512="x"),$S3511,""))</f>
        <v/>
      </c>
      <c r="T3512" t="str">
        <f>IF(D3512=1,MAX($T$2:$T3511)+1,IF(S3512=S3511,$T3511,IF(D3512="x",T3511,IF(D3511="x","",""))))</f>
        <v/>
      </c>
      <c r="U3512" t="str">
        <f>IF(B3512=1,MAX($U$2:$U3511)+1,IF(AND($T3512&lt;&gt;"",$T3512=$T3511),$U3511,IF(B3512="x",U3511,"")))</f>
        <v/>
      </c>
      <c r="V3512" t="str">
        <f>IF(C3512=1,MAX($V$2:$V3511)+1,IF(AND($T3512&lt;&gt;"",$T3512=$T3511),$U3511,IF(C3512="x",V3511,"")))</f>
        <v/>
      </c>
      <c r="X3512" cm="1">
        <f t="array" ref="X3512">IF($I3512&lt;&gt;"",$I3512,INDEX($I$1:$I3512,ROW()-COUNTIFS($T$1:$T3512,"="&amp;$T3512,$S$1:$S3512,"&lt;"&amp;$S3512)))</f>
        <v>0</v>
      </c>
      <c r="Z3512" s="6">
        <f t="shared" si="478"/>
        <v>1</v>
      </c>
      <c r="AA3512" t="e">
        <f t="shared" si="479"/>
        <v>#VALUE!</v>
      </c>
      <c r="AB3512" t="str">
        <f t="shared" si="480"/>
        <v/>
      </c>
      <c r="AC3512" t="e">
        <f t="shared" si="481"/>
        <v>#VALUE!</v>
      </c>
    </row>
    <row r="3513" spans="1:29" x14ac:dyDescent="0.2">
      <c r="A3513" t="str">
        <f t="shared" si="482"/>
        <v/>
      </c>
      <c r="E3513" s="4"/>
      <c r="F3513" s="46"/>
      <c r="G3513" s="4"/>
      <c r="H3513" s="48"/>
      <c r="J3513" s="26" t="str">
        <f t="shared" si="483"/>
        <v/>
      </c>
      <c r="N3513" t="str">
        <f t="shared" si="484"/>
        <v/>
      </c>
      <c r="Q3513" t="str">
        <f t="shared" si="485"/>
        <v/>
      </c>
      <c r="S3513" t="str">
        <f>IF(A3513=1,MAX($S$2:$S3512)+1,IF(OR($I3513&lt;&gt;"",A3513="x"),$S3512,""))</f>
        <v/>
      </c>
      <c r="T3513" t="str">
        <f>IF(D3513=1,MAX($T$2:$T3512)+1,IF(S3513=S3512,$T3512,IF(D3513="x",T3512,IF(D3512="x","",""))))</f>
        <v/>
      </c>
      <c r="U3513" t="str">
        <f>IF(B3513=1,MAX($U$2:$U3512)+1,IF(AND($T3513&lt;&gt;"",$T3513=$T3512),$U3512,IF(B3513="x",U3512,"")))</f>
        <v/>
      </c>
      <c r="V3513" t="str">
        <f>IF(C3513=1,MAX($V$2:$V3512)+1,IF(AND($T3513&lt;&gt;"",$T3513=$T3512),$U3512,IF(C3513="x",V3512,"")))</f>
        <v/>
      </c>
      <c r="X3513" cm="1">
        <f t="array" ref="X3513">IF($I3513&lt;&gt;"",$I3513,INDEX($I$1:$I3513,ROW()-COUNTIFS($T$1:$T3513,"="&amp;$T3513,$S$1:$S3513,"&lt;"&amp;$S3513)))</f>
        <v>0</v>
      </c>
      <c r="Z3513" s="6">
        <f t="shared" si="478"/>
        <v>1</v>
      </c>
      <c r="AA3513" t="e">
        <f t="shared" si="479"/>
        <v>#VALUE!</v>
      </c>
      <c r="AB3513" t="str">
        <f t="shared" si="480"/>
        <v/>
      </c>
      <c r="AC3513" t="e">
        <f t="shared" si="481"/>
        <v>#VALUE!</v>
      </c>
    </row>
    <row r="3514" spans="1:29" x14ac:dyDescent="0.2">
      <c r="A3514" t="str">
        <f t="shared" si="482"/>
        <v/>
      </c>
      <c r="E3514" s="4"/>
      <c r="F3514" s="46"/>
      <c r="G3514" s="4"/>
      <c r="H3514" s="48"/>
      <c r="J3514" s="26" t="str">
        <f t="shared" si="483"/>
        <v/>
      </c>
      <c r="N3514" t="str">
        <f t="shared" si="484"/>
        <v/>
      </c>
      <c r="Q3514" t="str">
        <f t="shared" si="485"/>
        <v/>
      </c>
      <c r="S3514" t="str">
        <f>IF(A3514=1,MAX($S$2:$S3513)+1,IF(OR($I3514&lt;&gt;"",A3514="x"),$S3513,""))</f>
        <v/>
      </c>
      <c r="T3514" t="str">
        <f>IF(D3514=1,MAX($T$2:$T3513)+1,IF(S3514=S3513,$T3513,IF(D3514="x",T3513,IF(D3513="x","",""))))</f>
        <v/>
      </c>
      <c r="U3514" t="str">
        <f>IF(B3514=1,MAX($U$2:$U3513)+1,IF(AND($T3514&lt;&gt;"",$T3514=$T3513),$U3513,IF(B3514="x",U3513,"")))</f>
        <v/>
      </c>
      <c r="V3514" t="str">
        <f>IF(C3514=1,MAX($V$2:$V3513)+1,IF(AND($T3514&lt;&gt;"",$T3514=$T3513),$U3513,IF(C3514="x",V3513,"")))</f>
        <v/>
      </c>
      <c r="X3514" cm="1">
        <f t="array" ref="X3514">IF($I3514&lt;&gt;"",$I3514,INDEX($I$1:$I3514,ROW()-COUNTIFS($T$1:$T3514,"="&amp;$T3514,$S$1:$S3514,"&lt;"&amp;$S3514)))</f>
        <v>0</v>
      </c>
      <c r="Z3514" s="6">
        <f t="shared" si="478"/>
        <v>1</v>
      </c>
      <c r="AA3514" t="e">
        <f t="shared" si="479"/>
        <v>#VALUE!</v>
      </c>
      <c r="AB3514" t="str">
        <f t="shared" si="480"/>
        <v/>
      </c>
      <c r="AC3514" t="e">
        <f t="shared" si="481"/>
        <v>#VALUE!</v>
      </c>
    </row>
    <row r="3515" spans="1:29" x14ac:dyDescent="0.2">
      <c r="A3515" t="str">
        <f t="shared" si="482"/>
        <v/>
      </c>
      <c r="E3515" s="4"/>
      <c r="F3515" s="46"/>
      <c r="G3515" s="4"/>
      <c r="H3515" s="48"/>
      <c r="J3515" s="26" t="str">
        <f t="shared" si="483"/>
        <v/>
      </c>
      <c r="N3515" t="str">
        <f t="shared" si="484"/>
        <v/>
      </c>
      <c r="Q3515" t="str">
        <f t="shared" si="485"/>
        <v/>
      </c>
      <c r="S3515" t="str">
        <f>IF(A3515=1,MAX($S$2:$S3514)+1,IF(OR($I3515&lt;&gt;"",A3515="x"),$S3514,""))</f>
        <v/>
      </c>
      <c r="T3515" t="str">
        <f>IF(D3515=1,MAX($T$2:$T3514)+1,IF(S3515=S3514,$T3514,IF(D3515="x",T3514,IF(D3514="x","",""))))</f>
        <v/>
      </c>
      <c r="U3515" t="str">
        <f>IF(B3515=1,MAX($U$2:$U3514)+1,IF(AND($T3515&lt;&gt;"",$T3515=$T3514),$U3514,IF(B3515="x",U3514,"")))</f>
        <v/>
      </c>
      <c r="V3515" t="str">
        <f>IF(C3515=1,MAX($V$2:$V3514)+1,IF(AND($T3515&lt;&gt;"",$T3515=$T3514),$U3514,IF(C3515="x",V3514,"")))</f>
        <v/>
      </c>
      <c r="X3515" cm="1">
        <f t="array" ref="X3515">IF($I3515&lt;&gt;"",$I3515,INDEX($I$1:$I3515,ROW()-COUNTIFS($T$1:$T3515,"="&amp;$T3515,$S$1:$S3515,"&lt;"&amp;$S3515)))</f>
        <v>0</v>
      </c>
      <c r="Z3515" s="6">
        <f t="shared" si="478"/>
        <v>1</v>
      </c>
      <c r="AA3515" t="e">
        <f t="shared" si="479"/>
        <v>#VALUE!</v>
      </c>
      <c r="AB3515" t="str">
        <f t="shared" si="480"/>
        <v/>
      </c>
      <c r="AC3515" t="e">
        <f t="shared" si="481"/>
        <v>#VALUE!</v>
      </c>
    </row>
    <row r="3516" spans="1:29" x14ac:dyDescent="0.2">
      <c r="A3516" t="str">
        <f t="shared" si="482"/>
        <v/>
      </c>
      <c r="E3516" s="4"/>
      <c r="F3516" s="46"/>
      <c r="G3516" s="4"/>
      <c r="H3516" s="48"/>
      <c r="J3516" s="26" t="str">
        <f t="shared" si="483"/>
        <v/>
      </c>
      <c r="N3516" t="str">
        <f t="shared" si="484"/>
        <v/>
      </c>
      <c r="Q3516" t="str">
        <f t="shared" si="485"/>
        <v/>
      </c>
      <c r="S3516" t="str">
        <f>IF(A3516=1,MAX($S$2:$S3515)+1,IF(OR($I3516&lt;&gt;"",A3516="x"),$S3515,""))</f>
        <v/>
      </c>
      <c r="T3516" t="str">
        <f>IF(D3516=1,MAX($T$2:$T3515)+1,IF(S3516=S3515,$T3515,IF(D3516="x",T3515,IF(D3515="x","",""))))</f>
        <v/>
      </c>
      <c r="U3516" t="str">
        <f>IF(B3516=1,MAX($U$2:$U3515)+1,IF(AND($T3516&lt;&gt;"",$T3516=$T3515),$U3515,IF(B3516="x",U3515,"")))</f>
        <v/>
      </c>
      <c r="V3516" t="str">
        <f>IF(C3516=1,MAX($V$2:$V3515)+1,IF(AND($T3516&lt;&gt;"",$T3516=$T3515),$U3515,IF(C3516="x",V3515,"")))</f>
        <v/>
      </c>
      <c r="X3516" cm="1">
        <f t="array" ref="X3516">IF($I3516&lt;&gt;"",$I3516,INDEX($I$1:$I3516,ROW()-COUNTIFS($T$1:$T3516,"="&amp;$T3516,$S$1:$S3516,"&lt;"&amp;$S3516)))</f>
        <v>0</v>
      </c>
      <c r="Z3516" s="6">
        <f t="shared" si="478"/>
        <v>1</v>
      </c>
      <c r="AA3516" t="e">
        <f t="shared" si="479"/>
        <v>#VALUE!</v>
      </c>
      <c r="AB3516" t="str">
        <f t="shared" si="480"/>
        <v/>
      </c>
      <c r="AC3516" t="e">
        <f t="shared" si="481"/>
        <v>#VALUE!</v>
      </c>
    </row>
    <row r="3517" spans="1:29" x14ac:dyDescent="0.2">
      <c r="A3517" t="str">
        <f t="shared" si="482"/>
        <v/>
      </c>
      <c r="E3517" s="4"/>
      <c r="F3517" s="46"/>
      <c r="G3517" s="4"/>
      <c r="H3517" s="48"/>
      <c r="J3517" s="26" t="str">
        <f t="shared" si="483"/>
        <v/>
      </c>
      <c r="N3517" t="str">
        <f t="shared" si="484"/>
        <v/>
      </c>
      <c r="Q3517" t="str">
        <f t="shared" si="485"/>
        <v/>
      </c>
      <c r="S3517" t="str">
        <f>IF(A3517=1,MAX($S$2:$S3516)+1,IF(OR($I3517&lt;&gt;"",A3517="x"),$S3516,""))</f>
        <v/>
      </c>
      <c r="T3517" t="str">
        <f>IF(D3517=1,MAX($T$2:$T3516)+1,IF(S3517=S3516,$T3516,IF(D3517="x",T3516,IF(D3516="x","",""))))</f>
        <v/>
      </c>
      <c r="U3517" t="str">
        <f>IF(B3517=1,MAX($U$2:$U3516)+1,IF(AND($T3517&lt;&gt;"",$T3517=$T3516),$U3516,IF(B3517="x",U3516,"")))</f>
        <v/>
      </c>
      <c r="V3517" t="str">
        <f>IF(C3517=1,MAX($V$2:$V3516)+1,IF(AND($T3517&lt;&gt;"",$T3517=$T3516),$U3516,IF(C3517="x",V3516,"")))</f>
        <v/>
      </c>
      <c r="X3517" cm="1">
        <f t="array" ref="X3517">IF($I3517&lt;&gt;"",$I3517,INDEX($I$1:$I3517,ROW()-COUNTIFS($T$1:$T3517,"="&amp;$T3517,$S$1:$S3517,"&lt;"&amp;$S3517)))</f>
        <v>0</v>
      </c>
      <c r="Z3517" s="6">
        <f t="shared" si="478"/>
        <v>1</v>
      </c>
      <c r="AA3517" t="e">
        <f t="shared" si="479"/>
        <v>#VALUE!</v>
      </c>
      <c r="AB3517" t="str">
        <f t="shared" si="480"/>
        <v/>
      </c>
      <c r="AC3517" t="e">
        <f t="shared" si="481"/>
        <v>#VALUE!</v>
      </c>
    </row>
    <row r="3518" spans="1:29" x14ac:dyDescent="0.2">
      <c r="A3518" t="str">
        <f t="shared" si="482"/>
        <v/>
      </c>
      <c r="E3518" s="4"/>
      <c r="F3518" s="46"/>
      <c r="G3518" s="4"/>
      <c r="H3518" s="48"/>
      <c r="J3518" s="26" t="str">
        <f t="shared" si="483"/>
        <v/>
      </c>
      <c r="N3518" t="str">
        <f t="shared" si="484"/>
        <v/>
      </c>
      <c r="Q3518" t="str">
        <f t="shared" si="485"/>
        <v/>
      </c>
      <c r="S3518" t="str">
        <f>IF(A3518=1,MAX($S$2:$S3517)+1,IF(OR($I3518&lt;&gt;"",A3518="x"),$S3517,""))</f>
        <v/>
      </c>
      <c r="T3518" t="str">
        <f>IF(D3518=1,MAX($T$2:$T3517)+1,IF(S3518=S3517,$T3517,IF(D3518="x",T3517,IF(D3517="x","",""))))</f>
        <v/>
      </c>
      <c r="U3518" t="str">
        <f>IF(B3518=1,MAX($U$2:$U3517)+1,IF(AND($T3518&lt;&gt;"",$T3518=$T3517),$U3517,IF(B3518="x",U3517,"")))</f>
        <v/>
      </c>
      <c r="V3518" t="str">
        <f>IF(C3518=1,MAX($V$2:$V3517)+1,IF(AND($T3518&lt;&gt;"",$T3518=$T3517),$U3517,IF(C3518="x",V3517,"")))</f>
        <v/>
      </c>
      <c r="X3518" cm="1">
        <f t="array" ref="X3518">IF($I3518&lt;&gt;"",$I3518,INDEX($I$1:$I3518,ROW()-COUNTIFS($T$1:$T3518,"="&amp;$T3518,$S$1:$S3518,"&lt;"&amp;$S3518)))</f>
        <v>0</v>
      </c>
      <c r="Z3518" s="6">
        <f t="shared" si="478"/>
        <v>1</v>
      </c>
      <c r="AA3518" t="e">
        <f t="shared" si="479"/>
        <v>#VALUE!</v>
      </c>
      <c r="AB3518" t="str">
        <f t="shared" si="480"/>
        <v/>
      </c>
      <c r="AC3518" t="e">
        <f t="shared" si="481"/>
        <v>#VALUE!</v>
      </c>
    </row>
    <row r="3519" spans="1:29" x14ac:dyDescent="0.2">
      <c r="A3519" t="str">
        <f t="shared" si="482"/>
        <v/>
      </c>
      <c r="E3519" s="4"/>
      <c r="F3519" s="46"/>
      <c r="G3519" s="4"/>
      <c r="H3519" s="48"/>
      <c r="J3519" s="26" t="str">
        <f t="shared" si="483"/>
        <v/>
      </c>
      <c r="N3519" t="str">
        <f t="shared" si="484"/>
        <v/>
      </c>
      <c r="Q3519" t="str">
        <f t="shared" si="485"/>
        <v/>
      </c>
      <c r="S3519" t="str">
        <f>IF(A3519=1,MAX($S$2:$S3518)+1,IF(OR($I3519&lt;&gt;"",A3519="x"),$S3518,""))</f>
        <v/>
      </c>
      <c r="T3519" t="str">
        <f>IF(D3519=1,MAX($T$2:$T3518)+1,IF(S3519=S3518,$T3518,IF(D3519="x",T3518,IF(D3518="x","",""))))</f>
        <v/>
      </c>
      <c r="U3519" t="str">
        <f>IF(B3519=1,MAX($U$2:$U3518)+1,IF(AND($T3519&lt;&gt;"",$T3519=$T3518),$U3518,IF(B3519="x",U3518,"")))</f>
        <v/>
      </c>
      <c r="V3519" t="str">
        <f>IF(C3519=1,MAX($V$2:$V3518)+1,IF(AND($T3519&lt;&gt;"",$T3519=$T3518),$U3518,IF(C3519="x",V3518,"")))</f>
        <v/>
      </c>
      <c r="X3519" cm="1">
        <f t="array" ref="X3519">IF($I3519&lt;&gt;"",$I3519,INDEX($I$1:$I3519,ROW()-COUNTIFS($T$1:$T3519,"="&amp;$T3519,$S$1:$S3519,"&lt;"&amp;$S3519)))</f>
        <v>0</v>
      </c>
      <c r="Z3519" s="6">
        <f t="shared" si="478"/>
        <v>1</v>
      </c>
      <c r="AA3519" t="e">
        <f t="shared" si="479"/>
        <v>#VALUE!</v>
      </c>
      <c r="AB3519" t="str">
        <f t="shared" si="480"/>
        <v/>
      </c>
      <c r="AC3519" t="e">
        <f t="shared" si="481"/>
        <v>#VALUE!</v>
      </c>
    </row>
    <row r="3520" spans="1:29" x14ac:dyDescent="0.2">
      <c r="A3520" t="str">
        <f t="shared" si="482"/>
        <v/>
      </c>
      <c r="E3520" s="4"/>
      <c r="F3520" s="46"/>
      <c r="G3520" s="4"/>
      <c r="H3520" s="48"/>
      <c r="J3520" s="26" t="str">
        <f t="shared" si="483"/>
        <v/>
      </c>
      <c r="N3520" t="str">
        <f t="shared" si="484"/>
        <v/>
      </c>
      <c r="Q3520" t="str">
        <f t="shared" si="485"/>
        <v/>
      </c>
      <c r="S3520" t="str">
        <f>IF(A3520=1,MAX($S$2:$S3519)+1,IF(OR($I3520&lt;&gt;"",A3520="x"),$S3519,""))</f>
        <v/>
      </c>
      <c r="T3520" t="str">
        <f>IF(D3520=1,MAX($T$2:$T3519)+1,IF(S3520=S3519,$T3519,IF(D3520="x",T3519,IF(D3519="x","",""))))</f>
        <v/>
      </c>
      <c r="U3520" t="str">
        <f>IF(B3520=1,MAX($U$2:$U3519)+1,IF(AND($T3520&lt;&gt;"",$T3520=$T3519),$U3519,IF(B3520="x",U3519,"")))</f>
        <v/>
      </c>
      <c r="V3520" t="str">
        <f>IF(C3520=1,MAX($V$2:$V3519)+1,IF(AND($T3520&lt;&gt;"",$T3520=$T3519),$U3519,IF(C3520="x",V3519,"")))</f>
        <v/>
      </c>
      <c r="X3520" cm="1">
        <f t="array" ref="X3520">IF($I3520&lt;&gt;"",$I3520,INDEX($I$1:$I3520,ROW()-COUNTIFS($T$1:$T3520,"="&amp;$T3520,$S$1:$S3520,"&lt;"&amp;$S3520)))</f>
        <v>0</v>
      </c>
      <c r="Z3520" s="6">
        <f t="shared" si="478"/>
        <v>1</v>
      </c>
      <c r="AA3520" t="e">
        <f t="shared" si="479"/>
        <v>#VALUE!</v>
      </c>
      <c r="AB3520" t="str">
        <f t="shared" si="480"/>
        <v/>
      </c>
      <c r="AC3520" t="e">
        <f t="shared" si="481"/>
        <v>#VALUE!</v>
      </c>
    </row>
    <row r="3521" spans="1:29" x14ac:dyDescent="0.2">
      <c r="A3521" t="str">
        <f t="shared" si="482"/>
        <v/>
      </c>
      <c r="E3521" s="4"/>
      <c r="F3521" s="46"/>
      <c r="G3521" s="4"/>
      <c r="H3521" s="48"/>
      <c r="J3521" s="26" t="str">
        <f t="shared" si="483"/>
        <v/>
      </c>
      <c r="N3521" t="str">
        <f t="shared" si="484"/>
        <v/>
      </c>
      <c r="Q3521" t="str">
        <f t="shared" si="485"/>
        <v/>
      </c>
      <c r="S3521" t="str">
        <f>IF(A3521=1,MAX($S$2:$S3520)+1,IF(OR($I3521&lt;&gt;"",A3521="x"),$S3520,""))</f>
        <v/>
      </c>
      <c r="T3521" t="str">
        <f>IF(D3521=1,MAX($T$2:$T3520)+1,IF(S3521=S3520,$T3520,IF(D3521="x",T3520,IF(D3520="x","",""))))</f>
        <v/>
      </c>
      <c r="U3521" t="str">
        <f>IF(B3521=1,MAX($U$2:$U3520)+1,IF(AND($T3521&lt;&gt;"",$T3521=$T3520),$U3520,IF(B3521="x",U3520,"")))</f>
        <v/>
      </c>
      <c r="V3521" t="str">
        <f>IF(C3521=1,MAX($V$2:$V3520)+1,IF(AND($T3521&lt;&gt;"",$T3521=$T3520),$U3520,IF(C3521="x",V3520,"")))</f>
        <v/>
      </c>
      <c r="X3521" cm="1">
        <f t="array" ref="X3521">IF($I3521&lt;&gt;"",$I3521,INDEX($I$1:$I3521,ROW()-COUNTIFS($T$1:$T3521,"="&amp;$T3521,$S$1:$S3521,"&lt;"&amp;$S3521)))</f>
        <v>0</v>
      </c>
      <c r="Z3521" s="6">
        <f t="shared" si="478"/>
        <v>1</v>
      </c>
      <c r="AA3521" t="e">
        <f t="shared" si="479"/>
        <v>#VALUE!</v>
      </c>
      <c r="AB3521" t="str">
        <f t="shared" si="480"/>
        <v/>
      </c>
      <c r="AC3521" t="e">
        <f t="shared" si="481"/>
        <v>#VALUE!</v>
      </c>
    </row>
    <row r="3522" spans="1:29" x14ac:dyDescent="0.2">
      <c r="A3522" t="str">
        <f t="shared" si="482"/>
        <v/>
      </c>
      <c r="E3522" s="4"/>
      <c r="F3522" s="46"/>
      <c r="G3522" s="4"/>
      <c r="H3522" s="48"/>
      <c r="J3522" s="26" t="str">
        <f t="shared" si="483"/>
        <v/>
      </c>
      <c r="N3522" t="str">
        <f t="shared" si="484"/>
        <v/>
      </c>
      <c r="Q3522" t="str">
        <f t="shared" si="485"/>
        <v/>
      </c>
      <c r="S3522" t="str">
        <f>IF(A3522=1,MAX($S$2:$S3521)+1,IF(OR($I3522&lt;&gt;"",A3522="x"),$S3521,""))</f>
        <v/>
      </c>
      <c r="T3522" t="str">
        <f>IF(D3522=1,MAX($T$2:$T3521)+1,IF(S3522=S3521,$T3521,IF(D3522="x",T3521,IF(D3521="x","",""))))</f>
        <v/>
      </c>
      <c r="U3522" t="str">
        <f>IF(B3522=1,MAX($U$2:$U3521)+1,IF(AND($T3522&lt;&gt;"",$T3522=$T3521),$U3521,IF(B3522="x",U3521,"")))</f>
        <v/>
      </c>
      <c r="V3522" t="str">
        <f>IF(C3522=1,MAX($V$2:$V3521)+1,IF(AND($T3522&lt;&gt;"",$T3522=$T3521),$U3521,IF(C3522="x",V3521,"")))</f>
        <v/>
      </c>
      <c r="X3522" cm="1">
        <f t="array" ref="X3522">IF($I3522&lt;&gt;"",$I3522,INDEX($I$1:$I3522,ROW()-COUNTIFS($T$1:$T3522,"="&amp;$T3522,$S$1:$S3522,"&lt;"&amp;$S3522)))</f>
        <v>0</v>
      </c>
      <c r="Z3522" s="6">
        <f t="shared" si="478"/>
        <v>1</v>
      </c>
      <c r="AA3522" t="e">
        <f t="shared" si="479"/>
        <v>#VALUE!</v>
      </c>
      <c r="AB3522" t="str">
        <f t="shared" si="480"/>
        <v/>
      </c>
      <c r="AC3522" t="e">
        <f t="shared" si="481"/>
        <v>#VALUE!</v>
      </c>
    </row>
    <row r="3523" spans="1:29" x14ac:dyDescent="0.2">
      <c r="A3523" t="str">
        <f t="shared" si="482"/>
        <v/>
      </c>
      <c r="E3523" s="4"/>
      <c r="F3523" s="46"/>
      <c r="G3523" s="4"/>
      <c r="H3523" s="48"/>
      <c r="J3523" s="26" t="str">
        <f t="shared" si="483"/>
        <v/>
      </c>
      <c r="N3523" t="str">
        <f t="shared" si="484"/>
        <v/>
      </c>
      <c r="Q3523" t="str">
        <f t="shared" si="485"/>
        <v/>
      </c>
      <c r="S3523" t="str">
        <f>IF(A3523=1,MAX($S$2:$S3522)+1,IF(OR($I3523&lt;&gt;"",A3523="x"),$S3522,""))</f>
        <v/>
      </c>
      <c r="T3523" t="str">
        <f>IF(D3523=1,MAX($T$2:$T3522)+1,IF(S3523=S3522,$T3522,IF(D3523="x",T3522,IF(D3522="x","",""))))</f>
        <v/>
      </c>
      <c r="U3523" t="str">
        <f>IF(B3523=1,MAX($U$2:$U3522)+1,IF(AND($T3523&lt;&gt;"",$T3523=$T3522),$U3522,IF(B3523="x",U3522,"")))</f>
        <v/>
      </c>
      <c r="V3523" t="str">
        <f>IF(C3523=1,MAX($V$2:$V3522)+1,IF(AND($T3523&lt;&gt;"",$T3523=$T3522),$U3522,IF(C3523="x",V3522,"")))</f>
        <v/>
      </c>
      <c r="X3523" cm="1">
        <f t="array" ref="X3523">IF($I3523&lt;&gt;"",$I3523,INDEX($I$1:$I3523,ROW()-COUNTIFS($T$1:$T3523,"="&amp;$T3523,$S$1:$S3523,"&lt;"&amp;$S3523)))</f>
        <v>0</v>
      </c>
      <c r="Z3523" s="6">
        <f t="shared" si="478"/>
        <v>1</v>
      </c>
      <c r="AA3523" t="e">
        <f t="shared" si="479"/>
        <v>#VALUE!</v>
      </c>
      <c r="AB3523" t="str">
        <f t="shared" si="480"/>
        <v/>
      </c>
      <c r="AC3523" t="e">
        <f t="shared" si="481"/>
        <v>#VALUE!</v>
      </c>
    </row>
    <row r="3524" spans="1:29" x14ac:dyDescent="0.2">
      <c r="A3524" t="str">
        <f t="shared" si="482"/>
        <v/>
      </c>
      <c r="E3524" s="4"/>
      <c r="F3524" s="46"/>
      <c r="G3524" s="4"/>
      <c r="H3524" s="48"/>
      <c r="J3524" s="26" t="str">
        <f t="shared" si="483"/>
        <v/>
      </c>
      <c r="N3524" t="str">
        <f t="shared" si="484"/>
        <v/>
      </c>
      <c r="Q3524" t="str">
        <f t="shared" si="485"/>
        <v/>
      </c>
      <c r="S3524" t="str">
        <f>IF(A3524=1,MAX($S$2:$S3523)+1,IF(OR($I3524&lt;&gt;"",A3524="x"),$S3523,""))</f>
        <v/>
      </c>
      <c r="T3524" t="str">
        <f>IF(D3524=1,MAX($T$2:$T3523)+1,IF(S3524=S3523,$T3523,IF(D3524="x",T3523,IF(D3523="x","",""))))</f>
        <v/>
      </c>
      <c r="U3524" t="str">
        <f>IF(B3524=1,MAX($U$2:$U3523)+1,IF(AND($T3524&lt;&gt;"",$T3524=$T3523),$U3523,IF(B3524="x",U3523,"")))</f>
        <v/>
      </c>
      <c r="V3524" t="str">
        <f>IF(C3524=1,MAX($V$2:$V3523)+1,IF(AND($T3524&lt;&gt;"",$T3524=$T3523),$U3523,IF(C3524="x",V3523,"")))</f>
        <v/>
      </c>
      <c r="X3524" cm="1">
        <f t="array" ref="X3524">IF($I3524&lt;&gt;"",$I3524,INDEX($I$1:$I3524,ROW()-COUNTIFS($T$1:$T3524,"="&amp;$T3524,$S$1:$S3524,"&lt;"&amp;$S3524)))</f>
        <v>0</v>
      </c>
      <c r="Z3524" s="6">
        <f t="shared" si="478"/>
        <v>1</v>
      </c>
      <c r="AA3524" t="e">
        <f t="shared" si="479"/>
        <v>#VALUE!</v>
      </c>
      <c r="AB3524" t="str">
        <f t="shared" si="480"/>
        <v/>
      </c>
      <c r="AC3524" t="e">
        <f t="shared" si="481"/>
        <v>#VALUE!</v>
      </c>
    </row>
    <row r="3525" spans="1:29" x14ac:dyDescent="0.2">
      <c r="A3525" t="str">
        <f t="shared" si="482"/>
        <v/>
      </c>
      <c r="E3525" s="4"/>
      <c r="F3525" s="46"/>
      <c r="G3525" s="4"/>
      <c r="H3525" s="48"/>
      <c r="J3525" s="26" t="str">
        <f t="shared" si="483"/>
        <v/>
      </c>
      <c r="N3525" t="str">
        <f t="shared" si="484"/>
        <v/>
      </c>
      <c r="Q3525" t="str">
        <f t="shared" si="485"/>
        <v/>
      </c>
      <c r="S3525" t="str">
        <f>IF(A3525=1,MAX($S$2:$S3524)+1,IF(OR($I3525&lt;&gt;"",A3525="x"),$S3524,""))</f>
        <v/>
      </c>
      <c r="T3525" t="str">
        <f>IF(D3525=1,MAX($T$2:$T3524)+1,IF(S3525=S3524,$T3524,IF(D3525="x",T3524,IF(D3524="x","",""))))</f>
        <v/>
      </c>
      <c r="U3525" t="str">
        <f>IF(B3525=1,MAX($U$2:$U3524)+1,IF(AND($T3525&lt;&gt;"",$T3525=$T3524),$U3524,IF(B3525="x",U3524,"")))</f>
        <v/>
      </c>
      <c r="V3525" t="str">
        <f>IF(C3525=1,MAX($V$2:$V3524)+1,IF(AND($T3525&lt;&gt;"",$T3525=$T3524),$U3524,IF(C3525="x",V3524,"")))</f>
        <v/>
      </c>
      <c r="X3525" cm="1">
        <f t="array" ref="X3525">IF($I3525&lt;&gt;"",$I3525,INDEX($I$1:$I3525,ROW()-COUNTIFS($T$1:$T3525,"="&amp;$T3525,$S$1:$S3525,"&lt;"&amp;$S3525)))</f>
        <v>0</v>
      </c>
      <c r="Z3525" s="6">
        <f t="shared" ref="Z3525:Z3588" si="486">IF(K3525="Intermission",Z3524+1,Z3524)</f>
        <v>1</v>
      </c>
      <c r="AA3525" t="e">
        <f t="shared" ref="AA3525:AA3588" si="487">S3525+1000</f>
        <v>#VALUE!</v>
      </c>
      <c r="AB3525" t="str">
        <f t="shared" ref="AB3525:AB3588" si="488">IF(T3525&lt;&gt;"",9000+T3525,"")</f>
        <v/>
      </c>
      <c r="AC3525" t="e">
        <f t="shared" ref="AC3525:AC3588" si="489">IF(AB3525&lt;&gt;"",AB3525,S3525+1000)</f>
        <v>#VALUE!</v>
      </c>
    </row>
    <row r="3526" spans="1:29" x14ac:dyDescent="0.2">
      <c r="A3526" t="str">
        <f t="shared" si="482"/>
        <v/>
      </c>
      <c r="E3526" s="4"/>
      <c r="F3526" s="46"/>
      <c r="G3526" s="4"/>
      <c r="H3526" s="48"/>
      <c r="J3526" s="26" t="str">
        <f t="shared" si="483"/>
        <v/>
      </c>
      <c r="N3526" t="str">
        <f t="shared" si="484"/>
        <v/>
      </c>
      <c r="Q3526" t="str">
        <f t="shared" si="485"/>
        <v/>
      </c>
      <c r="S3526" t="str">
        <f>IF(A3526=1,MAX($S$2:$S3525)+1,IF(OR($I3526&lt;&gt;"",A3526="x"),$S3525,""))</f>
        <v/>
      </c>
      <c r="T3526" t="str">
        <f>IF(D3526=1,MAX($T$2:$T3525)+1,IF(S3526=S3525,$T3525,IF(D3526="x",T3525,IF(D3525="x","",""))))</f>
        <v/>
      </c>
      <c r="U3526" t="str">
        <f>IF(B3526=1,MAX($U$2:$U3525)+1,IF(AND($T3526&lt;&gt;"",$T3526=$T3525),$U3525,IF(B3526="x",U3525,"")))</f>
        <v/>
      </c>
      <c r="V3526" t="str">
        <f>IF(C3526=1,MAX($V$2:$V3525)+1,IF(AND($T3526&lt;&gt;"",$T3526=$T3525),$U3525,IF(C3526="x",V3525,"")))</f>
        <v/>
      </c>
      <c r="X3526" cm="1">
        <f t="array" ref="X3526">IF($I3526&lt;&gt;"",$I3526,INDEX($I$1:$I3526,ROW()-COUNTIFS($T$1:$T3526,"="&amp;$T3526,$S$1:$S3526,"&lt;"&amp;$S3526)))</f>
        <v>0</v>
      </c>
      <c r="Z3526" s="6">
        <f t="shared" si="486"/>
        <v>1</v>
      </c>
      <c r="AA3526" t="e">
        <f t="shared" si="487"/>
        <v>#VALUE!</v>
      </c>
      <c r="AB3526" t="str">
        <f t="shared" si="488"/>
        <v/>
      </c>
      <c r="AC3526" t="e">
        <f t="shared" si="489"/>
        <v>#VALUE!</v>
      </c>
    </row>
    <row r="3527" spans="1:29" x14ac:dyDescent="0.2">
      <c r="A3527" t="str">
        <f t="shared" si="482"/>
        <v/>
      </c>
      <c r="E3527" s="4"/>
      <c r="F3527" s="46"/>
      <c r="G3527" s="4"/>
      <c r="H3527" s="48"/>
      <c r="J3527" s="26" t="str">
        <f t="shared" si="483"/>
        <v/>
      </c>
      <c r="N3527" t="str">
        <f t="shared" si="484"/>
        <v/>
      </c>
      <c r="Q3527" t="str">
        <f t="shared" si="485"/>
        <v/>
      </c>
      <c r="S3527" t="str">
        <f>IF(A3527=1,MAX($S$2:$S3526)+1,IF(OR($I3527&lt;&gt;"",A3527="x"),$S3526,""))</f>
        <v/>
      </c>
      <c r="T3527" t="str">
        <f>IF(D3527=1,MAX($T$2:$T3526)+1,IF(S3527=S3526,$T3526,IF(D3527="x",T3526,IF(D3526="x","",""))))</f>
        <v/>
      </c>
      <c r="U3527" t="str">
        <f>IF(B3527=1,MAX($U$2:$U3526)+1,IF(AND($T3527&lt;&gt;"",$T3527=$T3526),$U3526,IF(B3527="x",U3526,"")))</f>
        <v/>
      </c>
      <c r="V3527" t="str">
        <f>IF(C3527=1,MAX($V$2:$V3526)+1,IF(AND($T3527&lt;&gt;"",$T3527=$T3526),$U3526,IF(C3527="x",V3526,"")))</f>
        <v/>
      </c>
      <c r="X3527" cm="1">
        <f t="array" ref="X3527">IF($I3527&lt;&gt;"",$I3527,INDEX($I$1:$I3527,ROW()-COUNTIFS($T$1:$T3527,"="&amp;$T3527,$S$1:$S3527,"&lt;"&amp;$S3527)))</f>
        <v>0</v>
      </c>
      <c r="Z3527" s="6">
        <f t="shared" si="486"/>
        <v>1</v>
      </c>
      <c r="AA3527" t="e">
        <f t="shared" si="487"/>
        <v>#VALUE!</v>
      </c>
      <c r="AB3527" t="str">
        <f t="shared" si="488"/>
        <v/>
      </c>
      <c r="AC3527" t="e">
        <f t="shared" si="489"/>
        <v>#VALUE!</v>
      </c>
    </row>
    <row r="3528" spans="1:29" x14ac:dyDescent="0.2">
      <c r="A3528" t="str">
        <f t="shared" si="482"/>
        <v/>
      </c>
      <c r="E3528" s="4"/>
      <c r="F3528" s="46"/>
      <c r="G3528" s="4"/>
      <c r="H3528" s="48"/>
      <c r="J3528" s="26" t="str">
        <f t="shared" si="483"/>
        <v/>
      </c>
      <c r="N3528" t="str">
        <f t="shared" si="484"/>
        <v/>
      </c>
      <c r="Q3528" t="str">
        <f t="shared" si="485"/>
        <v/>
      </c>
      <c r="S3528" t="str">
        <f>IF(A3528=1,MAX($S$2:$S3527)+1,IF(OR($I3528&lt;&gt;"",A3528="x"),$S3527,""))</f>
        <v/>
      </c>
      <c r="T3528" t="str">
        <f>IF(D3528=1,MAX($T$2:$T3527)+1,IF(S3528=S3527,$T3527,IF(D3528="x",T3527,IF(D3527="x","",""))))</f>
        <v/>
      </c>
      <c r="U3528" t="str">
        <f>IF(B3528=1,MAX($U$2:$U3527)+1,IF(AND($T3528&lt;&gt;"",$T3528=$T3527),$U3527,IF(B3528="x",U3527,"")))</f>
        <v/>
      </c>
      <c r="V3528" t="str">
        <f>IF(C3528=1,MAX($V$2:$V3527)+1,IF(AND($T3528&lt;&gt;"",$T3528=$T3527),$U3527,IF(C3528="x",V3527,"")))</f>
        <v/>
      </c>
      <c r="X3528" cm="1">
        <f t="array" ref="X3528">IF($I3528&lt;&gt;"",$I3528,INDEX($I$1:$I3528,ROW()-COUNTIFS($T$1:$T3528,"="&amp;$T3528,$S$1:$S3528,"&lt;"&amp;$S3528)))</f>
        <v>0</v>
      </c>
      <c r="Z3528" s="6">
        <f t="shared" si="486"/>
        <v>1</v>
      </c>
      <c r="AA3528" t="e">
        <f t="shared" si="487"/>
        <v>#VALUE!</v>
      </c>
      <c r="AB3528" t="str">
        <f t="shared" si="488"/>
        <v/>
      </c>
      <c r="AC3528" t="e">
        <f t="shared" si="489"/>
        <v>#VALUE!</v>
      </c>
    </row>
    <row r="3529" spans="1:29" x14ac:dyDescent="0.2">
      <c r="A3529" t="str">
        <f t="shared" si="482"/>
        <v/>
      </c>
      <c r="E3529" s="4"/>
      <c r="F3529" s="46"/>
      <c r="G3529" s="4"/>
      <c r="H3529" s="48"/>
      <c r="J3529" s="26" t="str">
        <f t="shared" si="483"/>
        <v/>
      </c>
      <c r="N3529" t="str">
        <f t="shared" si="484"/>
        <v/>
      </c>
      <c r="Q3529" t="str">
        <f t="shared" si="485"/>
        <v/>
      </c>
      <c r="S3529" t="str">
        <f>IF(A3529=1,MAX($S$2:$S3528)+1,IF(OR($I3529&lt;&gt;"",A3529="x"),$S3528,""))</f>
        <v/>
      </c>
      <c r="T3529" t="str">
        <f>IF(D3529=1,MAX($T$2:$T3528)+1,IF(S3529=S3528,$T3528,IF(D3529="x",T3528,IF(D3528="x","",""))))</f>
        <v/>
      </c>
      <c r="U3529" t="str">
        <f>IF(B3529=1,MAX($U$2:$U3528)+1,IF(AND($T3529&lt;&gt;"",$T3529=$T3528),$U3528,IF(B3529="x",U3528,"")))</f>
        <v/>
      </c>
      <c r="V3529" t="str">
        <f>IF(C3529=1,MAX($V$2:$V3528)+1,IF(AND($T3529&lt;&gt;"",$T3529=$T3528),$U3528,IF(C3529="x",V3528,"")))</f>
        <v/>
      </c>
      <c r="X3529" cm="1">
        <f t="array" ref="X3529">IF($I3529&lt;&gt;"",$I3529,INDEX($I$1:$I3529,ROW()-COUNTIFS($T$1:$T3529,"="&amp;$T3529,$S$1:$S3529,"&lt;"&amp;$S3529)))</f>
        <v>0</v>
      </c>
      <c r="Z3529" s="6">
        <f t="shared" si="486"/>
        <v>1</v>
      </c>
      <c r="AA3529" t="e">
        <f t="shared" si="487"/>
        <v>#VALUE!</v>
      </c>
      <c r="AB3529" t="str">
        <f t="shared" si="488"/>
        <v/>
      </c>
      <c r="AC3529" t="e">
        <f t="shared" si="489"/>
        <v>#VALUE!</v>
      </c>
    </row>
    <row r="3530" spans="1:29" x14ac:dyDescent="0.2">
      <c r="A3530" t="str">
        <f t="shared" si="482"/>
        <v/>
      </c>
      <c r="E3530" s="4"/>
      <c r="F3530" s="46"/>
      <c r="G3530" s="4"/>
      <c r="H3530" s="48"/>
      <c r="J3530" s="26" t="str">
        <f t="shared" si="483"/>
        <v/>
      </c>
      <c r="N3530" t="str">
        <f t="shared" si="484"/>
        <v/>
      </c>
      <c r="Q3530" t="str">
        <f t="shared" si="485"/>
        <v/>
      </c>
      <c r="S3530" t="str">
        <f>IF(A3530=1,MAX($S$2:$S3529)+1,IF(OR($I3530&lt;&gt;"",A3530="x"),$S3529,""))</f>
        <v/>
      </c>
      <c r="T3530" t="str">
        <f>IF(D3530=1,MAX($T$2:$T3529)+1,IF(S3530=S3529,$T3529,IF(D3530="x",T3529,IF(D3529="x","",""))))</f>
        <v/>
      </c>
      <c r="U3530" t="str">
        <f>IF(B3530=1,MAX($U$2:$U3529)+1,IF(AND($T3530&lt;&gt;"",$T3530=$T3529),$U3529,IF(B3530="x",U3529,"")))</f>
        <v/>
      </c>
      <c r="V3530" t="str">
        <f>IF(C3530=1,MAX($V$2:$V3529)+1,IF(AND($T3530&lt;&gt;"",$T3530=$T3529),$U3529,IF(C3530="x",V3529,"")))</f>
        <v/>
      </c>
      <c r="X3530" cm="1">
        <f t="array" ref="X3530">IF($I3530&lt;&gt;"",$I3530,INDEX($I$1:$I3530,ROW()-COUNTIFS($T$1:$T3530,"="&amp;$T3530,$S$1:$S3530,"&lt;"&amp;$S3530)))</f>
        <v>0</v>
      </c>
      <c r="Z3530" s="6">
        <f t="shared" si="486"/>
        <v>1</v>
      </c>
      <c r="AA3530" t="e">
        <f t="shared" si="487"/>
        <v>#VALUE!</v>
      </c>
      <c r="AB3530" t="str">
        <f t="shared" si="488"/>
        <v/>
      </c>
      <c r="AC3530" t="e">
        <f t="shared" si="489"/>
        <v>#VALUE!</v>
      </c>
    </row>
    <row r="3531" spans="1:29" x14ac:dyDescent="0.2">
      <c r="A3531" t="str">
        <f t="shared" si="482"/>
        <v/>
      </c>
      <c r="E3531" s="4"/>
      <c r="F3531" s="46"/>
      <c r="G3531" s="4"/>
      <c r="H3531" s="48"/>
      <c r="J3531" s="26" t="str">
        <f t="shared" si="483"/>
        <v/>
      </c>
      <c r="N3531" t="str">
        <f t="shared" si="484"/>
        <v/>
      </c>
      <c r="Q3531" t="str">
        <f t="shared" si="485"/>
        <v/>
      </c>
      <c r="S3531" t="str">
        <f>IF(A3531=1,MAX($S$2:$S3530)+1,IF(OR($I3531&lt;&gt;"",A3531="x"),$S3530,""))</f>
        <v/>
      </c>
      <c r="T3531" t="str">
        <f>IF(D3531=1,MAX($T$2:$T3530)+1,IF(S3531=S3530,$T3530,IF(D3531="x",T3530,IF(D3530="x","",""))))</f>
        <v/>
      </c>
      <c r="U3531" t="str">
        <f>IF(B3531=1,MAX($U$2:$U3530)+1,IF(AND($T3531&lt;&gt;"",$T3531=$T3530),$U3530,IF(B3531="x",U3530,"")))</f>
        <v/>
      </c>
      <c r="V3531" t="str">
        <f>IF(C3531=1,MAX($V$2:$V3530)+1,IF(AND($T3531&lt;&gt;"",$T3531=$T3530),$U3530,IF(C3531="x",V3530,"")))</f>
        <v/>
      </c>
      <c r="X3531" cm="1">
        <f t="array" ref="X3531">IF($I3531&lt;&gt;"",$I3531,INDEX($I$1:$I3531,ROW()-COUNTIFS($T$1:$T3531,"="&amp;$T3531,$S$1:$S3531,"&lt;"&amp;$S3531)))</f>
        <v>0</v>
      </c>
      <c r="Z3531" s="6">
        <f t="shared" si="486"/>
        <v>1</v>
      </c>
      <c r="AA3531" t="e">
        <f t="shared" si="487"/>
        <v>#VALUE!</v>
      </c>
      <c r="AB3531" t="str">
        <f t="shared" si="488"/>
        <v/>
      </c>
      <c r="AC3531" t="e">
        <f t="shared" si="489"/>
        <v>#VALUE!</v>
      </c>
    </row>
    <row r="3532" spans="1:29" x14ac:dyDescent="0.2">
      <c r="A3532" t="str">
        <f t="shared" si="482"/>
        <v/>
      </c>
      <c r="E3532" s="4"/>
      <c r="F3532" s="46"/>
      <c r="G3532" s="4"/>
      <c r="H3532" s="48"/>
      <c r="J3532" s="26" t="str">
        <f t="shared" si="483"/>
        <v/>
      </c>
      <c r="N3532" t="str">
        <f t="shared" si="484"/>
        <v/>
      </c>
      <c r="Q3532" t="str">
        <f t="shared" si="485"/>
        <v/>
      </c>
      <c r="S3532" t="str">
        <f>IF(A3532=1,MAX($S$2:$S3531)+1,IF(OR($I3532&lt;&gt;"",A3532="x"),$S3531,""))</f>
        <v/>
      </c>
      <c r="T3532" t="str">
        <f>IF(D3532=1,MAX($T$2:$T3531)+1,IF(S3532=S3531,$T3531,IF(D3532="x",T3531,IF(D3531="x","",""))))</f>
        <v/>
      </c>
      <c r="U3532" t="str">
        <f>IF(B3532=1,MAX($U$2:$U3531)+1,IF(AND($T3532&lt;&gt;"",$T3532=$T3531),$U3531,IF(B3532="x",U3531,"")))</f>
        <v/>
      </c>
      <c r="V3532" t="str">
        <f>IF(C3532=1,MAX($V$2:$V3531)+1,IF(AND($T3532&lt;&gt;"",$T3532=$T3531),$U3531,IF(C3532="x",V3531,"")))</f>
        <v/>
      </c>
      <c r="X3532" cm="1">
        <f t="array" ref="X3532">IF($I3532&lt;&gt;"",$I3532,INDEX($I$1:$I3532,ROW()-COUNTIFS($T$1:$T3532,"="&amp;$T3532,$S$1:$S3532,"&lt;"&amp;$S3532)))</f>
        <v>0</v>
      </c>
      <c r="Z3532" s="6">
        <f t="shared" si="486"/>
        <v>1</v>
      </c>
      <c r="AA3532" t="e">
        <f t="shared" si="487"/>
        <v>#VALUE!</v>
      </c>
      <c r="AB3532" t="str">
        <f t="shared" si="488"/>
        <v/>
      </c>
      <c r="AC3532" t="e">
        <f t="shared" si="489"/>
        <v>#VALUE!</v>
      </c>
    </row>
    <row r="3533" spans="1:29" x14ac:dyDescent="0.2">
      <c r="A3533" t="str">
        <f t="shared" si="482"/>
        <v/>
      </c>
      <c r="E3533" s="4"/>
      <c r="F3533" s="46"/>
      <c r="G3533" s="4"/>
      <c r="H3533" s="48"/>
      <c r="J3533" s="26" t="str">
        <f t="shared" si="483"/>
        <v/>
      </c>
      <c r="N3533" t="str">
        <f t="shared" si="484"/>
        <v/>
      </c>
      <c r="Q3533" t="str">
        <f t="shared" si="485"/>
        <v/>
      </c>
      <c r="S3533" t="str">
        <f>IF(A3533=1,MAX($S$2:$S3532)+1,IF(OR($I3533&lt;&gt;"",A3533="x"),$S3532,""))</f>
        <v/>
      </c>
      <c r="T3533" t="str">
        <f>IF(D3533=1,MAX($T$2:$T3532)+1,IF(S3533=S3532,$T3532,IF(D3533="x",T3532,IF(D3532="x","",""))))</f>
        <v/>
      </c>
      <c r="U3533" t="str">
        <f>IF(B3533=1,MAX($U$2:$U3532)+1,IF(AND($T3533&lt;&gt;"",$T3533=$T3532),$U3532,IF(B3533="x",U3532,"")))</f>
        <v/>
      </c>
      <c r="V3533" t="str">
        <f>IF(C3533=1,MAX($V$2:$V3532)+1,IF(AND($T3533&lt;&gt;"",$T3533=$T3532),$U3532,IF(C3533="x",V3532,"")))</f>
        <v/>
      </c>
      <c r="X3533" cm="1">
        <f t="array" ref="X3533">IF($I3533&lt;&gt;"",$I3533,INDEX($I$1:$I3533,ROW()-COUNTIFS($T$1:$T3533,"="&amp;$T3533,$S$1:$S3533,"&lt;"&amp;$S3533)))</f>
        <v>0</v>
      </c>
      <c r="Z3533" s="6">
        <f t="shared" si="486"/>
        <v>1</v>
      </c>
      <c r="AA3533" t="e">
        <f t="shared" si="487"/>
        <v>#VALUE!</v>
      </c>
      <c r="AB3533" t="str">
        <f t="shared" si="488"/>
        <v/>
      </c>
      <c r="AC3533" t="e">
        <f t="shared" si="489"/>
        <v>#VALUE!</v>
      </c>
    </row>
    <row r="3534" spans="1:29" x14ac:dyDescent="0.2">
      <c r="A3534" t="str">
        <f t="shared" si="482"/>
        <v/>
      </c>
      <c r="E3534" s="4"/>
      <c r="F3534" s="46"/>
      <c r="G3534" s="4"/>
      <c r="H3534" s="48"/>
      <c r="J3534" s="26" t="str">
        <f t="shared" si="483"/>
        <v/>
      </c>
      <c r="N3534" t="str">
        <f t="shared" si="484"/>
        <v/>
      </c>
      <c r="Q3534" t="str">
        <f t="shared" si="485"/>
        <v/>
      </c>
      <c r="S3534" t="str">
        <f>IF(A3534=1,MAX($S$2:$S3533)+1,IF(OR($I3534&lt;&gt;"",A3534="x"),$S3533,""))</f>
        <v/>
      </c>
      <c r="T3534" t="str">
        <f>IF(D3534=1,MAX($T$2:$T3533)+1,IF(S3534=S3533,$T3533,IF(D3534="x",T3533,IF(D3533="x","",""))))</f>
        <v/>
      </c>
      <c r="U3534" t="str">
        <f>IF(B3534=1,MAX($U$2:$U3533)+1,IF(AND($T3534&lt;&gt;"",$T3534=$T3533),$U3533,IF(B3534="x",U3533,"")))</f>
        <v/>
      </c>
      <c r="V3534" t="str">
        <f>IF(C3534=1,MAX($V$2:$V3533)+1,IF(AND($T3534&lt;&gt;"",$T3534=$T3533),$U3533,IF(C3534="x",V3533,"")))</f>
        <v/>
      </c>
      <c r="X3534" cm="1">
        <f t="array" ref="X3534">IF($I3534&lt;&gt;"",$I3534,INDEX($I$1:$I3534,ROW()-COUNTIFS($T$1:$T3534,"="&amp;$T3534,$S$1:$S3534,"&lt;"&amp;$S3534)))</f>
        <v>0</v>
      </c>
      <c r="Z3534" s="6">
        <f t="shared" si="486"/>
        <v>1</v>
      </c>
      <c r="AA3534" t="e">
        <f t="shared" si="487"/>
        <v>#VALUE!</v>
      </c>
      <c r="AB3534" t="str">
        <f t="shared" si="488"/>
        <v/>
      </c>
      <c r="AC3534" t="e">
        <f t="shared" si="489"/>
        <v>#VALUE!</v>
      </c>
    </row>
    <row r="3535" spans="1:29" x14ac:dyDescent="0.2">
      <c r="A3535" t="str">
        <f t="shared" si="482"/>
        <v/>
      </c>
      <c r="E3535" s="4"/>
      <c r="F3535" s="46"/>
      <c r="G3535" s="4"/>
      <c r="H3535" s="48"/>
      <c r="J3535" s="26" t="str">
        <f t="shared" si="483"/>
        <v/>
      </c>
      <c r="N3535" t="str">
        <f t="shared" si="484"/>
        <v/>
      </c>
      <c r="Q3535" t="str">
        <f t="shared" si="485"/>
        <v/>
      </c>
      <c r="S3535" t="str">
        <f>IF(A3535=1,MAX($S$2:$S3534)+1,IF(OR($I3535&lt;&gt;"",A3535="x"),$S3534,""))</f>
        <v/>
      </c>
      <c r="T3535" t="str">
        <f>IF(D3535=1,MAX($T$2:$T3534)+1,IF(S3535=S3534,$T3534,IF(D3535="x",T3534,IF(D3534="x","",""))))</f>
        <v/>
      </c>
      <c r="U3535" t="str">
        <f>IF(B3535=1,MAX($U$2:$U3534)+1,IF(AND($T3535&lt;&gt;"",$T3535=$T3534),$U3534,IF(B3535="x",U3534,"")))</f>
        <v/>
      </c>
      <c r="V3535" t="str">
        <f>IF(C3535=1,MAX($V$2:$V3534)+1,IF(AND($T3535&lt;&gt;"",$T3535=$T3534),$U3534,IF(C3535="x",V3534,"")))</f>
        <v/>
      </c>
      <c r="X3535" cm="1">
        <f t="array" ref="X3535">IF($I3535&lt;&gt;"",$I3535,INDEX($I$1:$I3535,ROW()-COUNTIFS($T$1:$T3535,"="&amp;$T3535,$S$1:$S3535,"&lt;"&amp;$S3535)))</f>
        <v>0</v>
      </c>
      <c r="Z3535" s="6">
        <f t="shared" si="486"/>
        <v>1</v>
      </c>
      <c r="AA3535" t="e">
        <f t="shared" si="487"/>
        <v>#VALUE!</v>
      </c>
      <c r="AB3535" t="str">
        <f t="shared" si="488"/>
        <v/>
      </c>
      <c r="AC3535" t="e">
        <f t="shared" si="489"/>
        <v>#VALUE!</v>
      </c>
    </row>
    <row r="3536" spans="1:29" x14ac:dyDescent="0.2">
      <c r="A3536" t="str">
        <f t="shared" si="482"/>
        <v/>
      </c>
      <c r="E3536" s="4"/>
      <c r="F3536" s="46"/>
      <c r="G3536" s="4"/>
      <c r="H3536" s="48"/>
      <c r="J3536" s="26" t="str">
        <f t="shared" si="483"/>
        <v/>
      </c>
      <c r="N3536" t="str">
        <f t="shared" si="484"/>
        <v/>
      </c>
      <c r="Q3536" t="str">
        <f t="shared" si="485"/>
        <v/>
      </c>
      <c r="S3536" t="str">
        <f>IF(A3536=1,MAX($S$2:$S3535)+1,IF(OR($I3536&lt;&gt;"",A3536="x"),$S3535,""))</f>
        <v/>
      </c>
      <c r="T3536" t="str">
        <f>IF(D3536=1,MAX($T$2:$T3535)+1,IF(S3536=S3535,$T3535,IF(D3536="x",T3535,IF(D3535="x","",""))))</f>
        <v/>
      </c>
      <c r="U3536" t="str">
        <f>IF(B3536=1,MAX($U$2:$U3535)+1,IF(AND($T3536&lt;&gt;"",$T3536=$T3535),$U3535,IF(B3536="x",U3535,"")))</f>
        <v/>
      </c>
      <c r="V3536" t="str">
        <f>IF(C3536=1,MAX($V$2:$V3535)+1,IF(AND($T3536&lt;&gt;"",$T3536=$T3535),$U3535,IF(C3536="x",V3535,"")))</f>
        <v/>
      </c>
      <c r="X3536" cm="1">
        <f t="array" ref="X3536">IF($I3536&lt;&gt;"",$I3536,INDEX($I$1:$I3536,ROW()-COUNTIFS($T$1:$T3536,"="&amp;$T3536,$S$1:$S3536,"&lt;"&amp;$S3536)))</f>
        <v>0</v>
      </c>
      <c r="Z3536" s="6">
        <f t="shared" si="486"/>
        <v>1</v>
      </c>
      <c r="AA3536" t="e">
        <f t="shared" si="487"/>
        <v>#VALUE!</v>
      </c>
      <c r="AB3536" t="str">
        <f t="shared" si="488"/>
        <v/>
      </c>
      <c r="AC3536" t="e">
        <f t="shared" si="489"/>
        <v>#VALUE!</v>
      </c>
    </row>
    <row r="3537" spans="1:29" x14ac:dyDescent="0.2">
      <c r="A3537" t="str">
        <f t="shared" si="482"/>
        <v/>
      </c>
      <c r="E3537" s="4"/>
      <c r="F3537" s="46"/>
      <c r="G3537" s="4"/>
      <c r="H3537" s="48"/>
      <c r="J3537" s="26" t="str">
        <f t="shared" si="483"/>
        <v/>
      </c>
      <c r="N3537" t="str">
        <f t="shared" si="484"/>
        <v/>
      </c>
      <c r="Q3537" t="str">
        <f t="shared" si="485"/>
        <v/>
      </c>
      <c r="S3537" t="str">
        <f>IF(A3537=1,MAX($S$2:$S3536)+1,IF(OR($I3537&lt;&gt;"",A3537="x"),$S3536,""))</f>
        <v/>
      </c>
      <c r="T3537" t="str">
        <f>IF(D3537=1,MAX($T$2:$T3536)+1,IF(S3537=S3536,$T3536,IF(D3537="x",T3536,IF(D3536="x","",""))))</f>
        <v/>
      </c>
      <c r="U3537" t="str">
        <f>IF(B3537=1,MAX($U$2:$U3536)+1,IF(AND($T3537&lt;&gt;"",$T3537=$T3536),$U3536,IF(B3537="x",U3536,"")))</f>
        <v/>
      </c>
      <c r="V3537" t="str">
        <f>IF(C3537=1,MAX($V$2:$V3536)+1,IF(AND($T3537&lt;&gt;"",$T3537=$T3536),$U3536,IF(C3537="x",V3536,"")))</f>
        <v/>
      </c>
      <c r="X3537" cm="1">
        <f t="array" ref="X3537">IF($I3537&lt;&gt;"",$I3537,INDEX($I$1:$I3537,ROW()-COUNTIFS($T$1:$T3537,"="&amp;$T3537,$S$1:$S3537,"&lt;"&amp;$S3537)))</f>
        <v>0</v>
      </c>
      <c r="Z3537" s="6">
        <f t="shared" si="486"/>
        <v>1</v>
      </c>
      <c r="AA3537" t="e">
        <f t="shared" si="487"/>
        <v>#VALUE!</v>
      </c>
      <c r="AB3537" t="str">
        <f t="shared" si="488"/>
        <v/>
      </c>
      <c r="AC3537" t="e">
        <f t="shared" si="489"/>
        <v>#VALUE!</v>
      </c>
    </row>
    <row r="3538" spans="1:29" x14ac:dyDescent="0.2">
      <c r="A3538" t="str">
        <f t="shared" si="482"/>
        <v/>
      </c>
      <c r="E3538" s="4"/>
      <c r="F3538" s="46"/>
      <c r="G3538" s="4"/>
      <c r="H3538" s="48"/>
      <c r="J3538" s="26" t="str">
        <f t="shared" si="483"/>
        <v/>
      </c>
      <c r="N3538" t="str">
        <f t="shared" si="484"/>
        <v/>
      </c>
      <c r="Q3538" t="str">
        <f t="shared" si="485"/>
        <v/>
      </c>
      <c r="S3538" t="str">
        <f>IF(A3538=1,MAX($S$2:$S3537)+1,IF(OR($I3538&lt;&gt;"",A3538="x"),$S3537,""))</f>
        <v/>
      </c>
      <c r="T3538" t="str">
        <f>IF(D3538=1,MAX($T$2:$T3537)+1,IF(S3538=S3537,$T3537,IF(D3538="x",T3537,IF(D3537="x","",""))))</f>
        <v/>
      </c>
      <c r="U3538" t="str">
        <f>IF(B3538=1,MAX($U$2:$U3537)+1,IF(AND($T3538&lt;&gt;"",$T3538=$T3537),$U3537,IF(B3538="x",U3537,"")))</f>
        <v/>
      </c>
      <c r="V3538" t="str">
        <f>IF(C3538=1,MAX($V$2:$V3537)+1,IF(AND($T3538&lt;&gt;"",$T3538=$T3537),$U3537,IF(C3538="x",V3537,"")))</f>
        <v/>
      </c>
      <c r="X3538" cm="1">
        <f t="array" ref="X3538">IF($I3538&lt;&gt;"",$I3538,INDEX($I$1:$I3538,ROW()-COUNTIFS($T$1:$T3538,"="&amp;$T3538,$S$1:$S3538,"&lt;"&amp;$S3538)))</f>
        <v>0</v>
      </c>
      <c r="Z3538" s="6">
        <f t="shared" si="486"/>
        <v>1</v>
      </c>
      <c r="AA3538" t="e">
        <f t="shared" si="487"/>
        <v>#VALUE!</v>
      </c>
      <c r="AB3538" t="str">
        <f t="shared" si="488"/>
        <v/>
      </c>
      <c r="AC3538" t="e">
        <f t="shared" si="489"/>
        <v>#VALUE!</v>
      </c>
    </row>
    <row r="3539" spans="1:29" x14ac:dyDescent="0.2">
      <c r="A3539" t="str">
        <f t="shared" ref="A3539:A3602" si="490">IF(K3539&lt;&gt;"",1,IF(D3539="x","x",""))</f>
        <v/>
      </c>
      <c r="E3539" s="4"/>
      <c r="F3539" s="46"/>
      <c r="G3539" s="4"/>
      <c r="H3539" s="48"/>
      <c r="J3539" s="26" t="str">
        <f t="shared" ref="J3539:J3602" si="491">IF(OR(K3539="Goal",K3539="Shot",L3539="Zone_Entry",M3539="Stoppage-Goal",M3538="Stoppage-Goal"),"o",IF(OR(K3539="Save",K3539="Rebound",L3539="Zone_Exit",M3539="Stoppage-GoalieStoppage",M3538="Stoppage-GoalieStoppage"),"d",IF(OR(L3539="Faceoff_AfterGoal",L3539="Faceoff_PeriodStart",698="Faceoff_GameStart",M3538="Stoppage-Goal"),"n","")))</f>
        <v/>
      </c>
      <c r="N3539" t="str">
        <f t="shared" ref="N3539:N3602" si="492">IF(K3539="","",IF(K3539="Goal","s",IF(AND(K3539="Zone_Entry_Exit",OR(ISNUMBER(SEARCH("fail",L3539)),ISNUMBER(SEARCH("FromExitClear",M3539)),ISNUMBER(SEARCH("miss",M3539)))),"u",IF(AND(K3539="Zone_Entry_Exit",OR(NOT(ISNUMBER(SEARCH("fail",L3539))),NOT(ISNUMBER(SEARCH("FromExitClear",M3539))),NOT(ISNUMBER(SEARCH("miss",M3539))))),"s",IF(AND(OR(K3539="Shot",K3539="Pass"),OR(ISNUMBER(SEARCH("complete",L3539)),ISNUMBER(SEARCH("goal",L3539)),ISNUMBER(SEARCH("OnNet",L3539)))),"s",IF(L3539="Turnover_Giveaway","u",IF(AND(OR(K3539="Shot",K3539="Pass"),OR(ISNUMBER(SEARCH("fail",L3539)),NOT(ISNUMBER(SEARCH("complete",L3539))),NOT(ISNUMBER(SEARCH("OnNet",L3539))))),"u","")))))))</f>
        <v/>
      </c>
      <c r="Q3539" t="str">
        <f t="shared" ref="Q3539:Q3602" si="493">IF(O3539="","",IF(AND(N3539&lt;&gt;"",OR(O3539&lt;&gt;"",P3539&lt;&gt;"")),N3539,IF(OR(ISNUMBER(SEARCH("attemp",O3539)),ISNUMBER(SEARCH("beat",O3539)),ISNUMBER(SEARCH("mis",O3539)),ISNUMBER(SEARCH("fail",O3539)),ISNUMBER(SEARCH("loss",O3539)),ISNUMBER(SEARCH("lost",O3539)),ISNUMBER(SEARCH("attemp",P3539)),ISNUMBER(SEARCH("mis",P3539)),ISNUMBER(SEARCH("fail",P3539)),ISNUMBER(SEARCH("loss",P3539)),ISNUMBER(SEARCH("beat",P3539)),ISNUMBER(SEARCH("lost",P3539))),"u","")))</f>
        <v/>
      </c>
      <c r="S3539" t="str">
        <f>IF(A3539=1,MAX($S$2:$S3538)+1,IF(OR($I3539&lt;&gt;"",A3539="x"),$S3538,""))</f>
        <v/>
      </c>
      <c r="T3539" t="str">
        <f>IF(D3539=1,MAX($T$2:$T3538)+1,IF(S3539=S3538,$T3538,IF(D3539="x",T3538,IF(D3538="x","",""))))</f>
        <v/>
      </c>
      <c r="U3539" t="str">
        <f>IF(B3539=1,MAX($U$2:$U3538)+1,IF(AND($T3539&lt;&gt;"",$T3539=$T3538),$U3538,IF(B3539="x",U3538,"")))</f>
        <v/>
      </c>
      <c r="V3539" t="str">
        <f>IF(C3539=1,MAX($V$2:$V3538)+1,IF(AND($T3539&lt;&gt;"",$T3539=$T3538),$U3538,IF(C3539="x",V3538,"")))</f>
        <v/>
      </c>
      <c r="X3539" cm="1">
        <f t="array" ref="X3539">IF($I3539&lt;&gt;"",$I3539,INDEX($I$1:$I3539,ROW()-COUNTIFS($T$1:$T3539,"="&amp;$T3539,$S$1:$S3539,"&lt;"&amp;$S3539)))</f>
        <v>0</v>
      </c>
      <c r="Z3539" s="6">
        <f t="shared" si="486"/>
        <v>1</v>
      </c>
      <c r="AA3539" t="e">
        <f t="shared" si="487"/>
        <v>#VALUE!</v>
      </c>
      <c r="AB3539" t="str">
        <f t="shared" si="488"/>
        <v/>
      </c>
      <c r="AC3539" t="e">
        <f t="shared" si="489"/>
        <v>#VALUE!</v>
      </c>
    </row>
    <row r="3540" spans="1:29" x14ac:dyDescent="0.2">
      <c r="A3540" t="str">
        <f t="shared" si="490"/>
        <v/>
      </c>
      <c r="E3540" s="4"/>
      <c r="F3540" s="46"/>
      <c r="G3540" s="4"/>
      <c r="H3540" s="48"/>
      <c r="J3540" s="26" t="str">
        <f t="shared" si="491"/>
        <v/>
      </c>
      <c r="N3540" t="str">
        <f t="shared" si="492"/>
        <v/>
      </c>
      <c r="Q3540" t="str">
        <f t="shared" si="493"/>
        <v/>
      </c>
      <c r="S3540" t="str">
        <f>IF(A3540=1,MAX($S$2:$S3539)+1,IF(OR($I3540&lt;&gt;"",A3540="x"),$S3539,""))</f>
        <v/>
      </c>
      <c r="T3540" t="str">
        <f>IF(D3540=1,MAX($T$2:$T3539)+1,IF(S3540=S3539,$T3539,IF(D3540="x",T3539,IF(D3539="x","",""))))</f>
        <v/>
      </c>
      <c r="U3540" t="str">
        <f>IF(B3540=1,MAX($U$2:$U3539)+1,IF(AND($T3540&lt;&gt;"",$T3540=$T3539),$U3539,IF(B3540="x",U3539,"")))</f>
        <v/>
      </c>
      <c r="V3540" t="str">
        <f>IF(C3540=1,MAX($V$2:$V3539)+1,IF(AND($T3540&lt;&gt;"",$T3540=$T3539),$U3539,IF(C3540="x",V3539,"")))</f>
        <v/>
      </c>
      <c r="X3540" cm="1">
        <f t="array" ref="X3540">IF($I3540&lt;&gt;"",$I3540,INDEX($I$1:$I3540,ROW()-COUNTIFS($T$1:$T3540,"="&amp;$T3540,$S$1:$S3540,"&lt;"&amp;$S3540)))</f>
        <v>0</v>
      </c>
      <c r="Z3540" s="6">
        <f t="shared" si="486"/>
        <v>1</v>
      </c>
      <c r="AA3540" t="e">
        <f t="shared" si="487"/>
        <v>#VALUE!</v>
      </c>
      <c r="AB3540" t="str">
        <f t="shared" si="488"/>
        <v/>
      </c>
      <c r="AC3540" t="e">
        <f t="shared" si="489"/>
        <v>#VALUE!</v>
      </c>
    </row>
    <row r="3541" spans="1:29" x14ac:dyDescent="0.2">
      <c r="A3541" t="str">
        <f t="shared" si="490"/>
        <v/>
      </c>
      <c r="E3541" s="4"/>
      <c r="F3541" s="46"/>
      <c r="G3541" s="4"/>
      <c r="H3541" s="48"/>
      <c r="J3541" s="26" t="str">
        <f t="shared" si="491"/>
        <v/>
      </c>
      <c r="N3541" t="str">
        <f t="shared" si="492"/>
        <v/>
      </c>
      <c r="Q3541" t="str">
        <f t="shared" si="493"/>
        <v/>
      </c>
      <c r="S3541" t="str">
        <f>IF(A3541=1,MAX($S$2:$S3540)+1,IF(OR($I3541&lt;&gt;"",A3541="x"),$S3540,""))</f>
        <v/>
      </c>
      <c r="T3541" t="str">
        <f>IF(D3541=1,MAX($T$2:$T3540)+1,IF(S3541=S3540,$T3540,IF(D3541="x",T3540,IF(D3540="x","",""))))</f>
        <v/>
      </c>
      <c r="U3541" t="str">
        <f>IF(B3541=1,MAX($U$2:$U3540)+1,IF(AND($T3541&lt;&gt;"",$T3541=$T3540),$U3540,IF(B3541="x",U3540,"")))</f>
        <v/>
      </c>
      <c r="V3541" t="str">
        <f>IF(C3541=1,MAX($V$2:$V3540)+1,IF(AND($T3541&lt;&gt;"",$T3541=$T3540),$U3540,IF(C3541="x",V3540,"")))</f>
        <v/>
      </c>
      <c r="X3541" cm="1">
        <f t="array" ref="X3541">IF($I3541&lt;&gt;"",$I3541,INDEX($I$1:$I3541,ROW()-COUNTIFS($T$1:$T3541,"="&amp;$T3541,$S$1:$S3541,"&lt;"&amp;$S3541)))</f>
        <v>0</v>
      </c>
      <c r="Z3541" s="6">
        <f t="shared" si="486"/>
        <v>1</v>
      </c>
      <c r="AA3541" t="e">
        <f t="shared" si="487"/>
        <v>#VALUE!</v>
      </c>
      <c r="AB3541" t="str">
        <f t="shared" si="488"/>
        <v/>
      </c>
      <c r="AC3541" t="e">
        <f t="shared" si="489"/>
        <v>#VALUE!</v>
      </c>
    </row>
    <row r="3542" spans="1:29" x14ac:dyDescent="0.2">
      <c r="A3542" t="str">
        <f t="shared" si="490"/>
        <v/>
      </c>
      <c r="E3542" s="4"/>
      <c r="F3542" s="46"/>
      <c r="G3542" s="4"/>
      <c r="H3542" s="48"/>
      <c r="J3542" s="26" t="str">
        <f t="shared" si="491"/>
        <v/>
      </c>
      <c r="N3542" t="str">
        <f t="shared" si="492"/>
        <v/>
      </c>
      <c r="Q3542" t="str">
        <f t="shared" si="493"/>
        <v/>
      </c>
      <c r="S3542" t="str">
        <f>IF(A3542=1,MAX($S$2:$S3541)+1,IF(OR($I3542&lt;&gt;"",A3542="x"),$S3541,""))</f>
        <v/>
      </c>
      <c r="T3542" t="str">
        <f>IF(D3542=1,MAX($T$2:$T3541)+1,IF(S3542=S3541,$T3541,IF(D3542="x",T3541,IF(D3541="x","",""))))</f>
        <v/>
      </c>
      <c r="U3542" t="str">
        <f>IF(B3542=1,MAX($U$2:$U3541)+1,IF(AND($T3542&lt;&gt;"",$T3542=$T3541),$U3541,IF(B3542="x",U3541,"")))</f>
        <v/>
      </c>
      <c r="V3542" t="str">
        <f>IF(C3542=1,MAX($V$2:$V3541)+1,IF(AND($T3542&lt;&gt;"",$T3542=$T3541),$U3541,IF(C3542="x",V3541,"")))</f>
        <v/>
      </c>
      <c r="X3542" cm="1">
        <f t="array" ref="X3542">IF($I3542&lt;&gt;"",$I3542,INDEX($I$1:$I3542,ROW()-COUNTIFS($T$1:$T3542,"="&amp;$T3542,$S$1:$S3542,"&lt;"&amp;$S3542)))</f>
        <v>0</v>
      </c>
      <c r="Z3542" s="6">
        <f t="shared" si="486"/>
        <v>1</v>
      </c>
      <c r="AA3542" t="e">
        <f t="shared" si="487"/>
        <v>#VALUE!</v>
      </c>
      <c r="AB3542" t="str">
        <f t="shared" si="488"/>
        <v/>
      </c>
      <c r="AC3542" t="e">
        <f t="shared" si="489"/>
        <v>#VALUE!</v>
      </c>
    </row>
    <row r="3543" spans="1:29" x14ac:dyDescent="0.2">
      <c r="A3543" t="str">
        <f t="shared" si="490"/>
        <v/>
      </c>
      <c r="E3543" s="4"/>
      <c r="F3543" s="46"/>
      <c r="G3543" s="4"/>
      <c r="H3543" s="48"/>
      <c r="J3543" s="26" t="str">
        <f t="shared" si="491"/>
        <v/>
      </c>
      <c r="N3543" t="str">
        <f t="shared" si="492"/>
        <v/>
      </c>
      <c r="Q3543" t="str">
        <f t="shared" si="493"/>
        <v/>
      </c>
      <c r="S3543" t="str">
        <f>IF(A3543=1,MAX($S$2:$S3542)+1,IF(OR($I3543&lt;&gt;"",A3543="x"),$S3542,""))</f>
        <v/>
      </c>
      <c r="T3543" t="str">
        <f>IF(D3543=1,MAX($T$2:$T3542)+1,IF(S3543=S3542,$T3542,IF(D3543="x",T3542,IF(D3542="x","",""))))</f>
        <v/>
      </c>
      <c r="U3543" t="str">
        <f>IF(B3543=1,MAX($U$2:$U3542)+1,IF(AND($T3543&lt;&gt;"",$T3543=$T3542),$U3542,IF(B3543="x",U3542,"")))</f>
        <v/>
      </c>
      <c r="V3543" t="str">
        <f>IF(C3543=1,MAX($V$2:$V3542)+1,IF(AND($T3543&lt;&gt;"",$T3543=$T3542),$U3542,IF(C3543="x",V3542,"")))</f>
        <v/>
      </c>
      <c r="X3543" cm="1">
        <f t="array" ref="X3543">IF($I3543&lt;&gt;"",$I3543,INDEX($I$1:$I3543,ROW()-COUNTIFS($T$1:$T3543,"="&amp;$T3543,$S$1:$S3543,"&lt;"&amp;$S3543)))</f>
        <v>0</v>
      </c>
      <c r="Z3543" s="6">
        <f t="shared" si="486"/>
        <v>1</v>
      </c>
      <c r="AA3543" t="e">
        <f t="shared" si="487"/>
        <v>#VALUE!</v>
      </c>
      <c r="AB3543" t="str">
        <f t="shared" si="488"/>
        <v/>
      </c>
      <c r="AC3543" t="e">
        <f t="shared" si="489"/>
        <v>#VALUE!</v>
      </c>
    </row>
    <row r="3544" spans="1:29" x14ac:dyDescent="0.2">
      <c r="A3544" t="str">
        <f t="shared" si="490"/>
        <v/>
      </c>
      <c r="E3544" s="4"/>
      <c r="F3544" s="46"/>
      <c r="G3544" s="4"/>
      <c r="H3544" s="48"/>
      <c r="J3544" s="26" t="str">
        <f t="shared" si="491"/>
        <v/>
      </c>
      <c r="N3544" t="str">
        <f t="shared" si="492"/>
        <v/>
      </c>
      <c r="Q3544" t="str">
        <f t="shared" si="493"/>
        <v/>
      </c>
      <c r="S3544" t="str">
        <f>IF(A3544=1,MAX($S$2:$S3543)+1,IF(OR($I3544&lt;&gt;"",A3544="x"),$S3543,""))</f>
        <v/>
      </c>
      <c r="T3544" t="str">
        <f>IF(D3544=1,MAX($T$2:$T3543)+1,IF(S3544=S3543,$T3543,IF(D3544="x",T3543,IF(D3543="x","",""))))</f>
        <v/>
      </c>
      <c r="U3544" t="str">
        <f>IF(B3544=1,MAX($U$2:$U3543)+1,IF(AND($T3544&lt;&gt;"",$T3544=$T3543),$U3543,IF(B3544="x",U3543,"")))</f>
        <v/>
      </c>
      <c r="V3544" t="str">
        <f>IF(C3544=1,MAX($V$2:$V3543)+1,IF(AND($T3544&lt;&gt;"",$T3544=$T3543),$U3543,IF(C3544="x",V3543,"")))</f>
        <v/>
      </c>
      <c r="X3544" cm="1">
        <f t="array" ref="X3544">IF($I3544&lt;&gt;"",$I3544,INDEX($I$1:$I3544,ROW()-COUNTIFS($T$1:$T3544,"="&amp;$T3544,$S$1:$S3544,"&lt;"&amp;$S3544)))</f>
        <v>0</v>
      </c>
      <c r="Z3544" s="6">
        <f t="shared" si="486"/>
        <v>1</v>
      </c>
      <c r="AA3544" t="e">
        <f t="shared" si="487"/>
        <v>#VALUE!</v>
      </c>
      <c r="AB3544" t="str">
        <f t="shared" si="488"/>
        <v/>
      </c>
      <c r="AC3544" t="e">
        <f t="shared" si="489"/>
        <v>#VALUE!</v>
      </c>
    </row>
    <row r="3545" spans="1:29" x14ac:dyDescent="0.2">
      <c r="A3545" t="str">
        <f t="shared" si="490"/>
        <v/>
      </c>
      <c r="E3545" s="4"/>
      <c r="F3545" s="46"/>
      <c r="G3545" s="4"/>
      <c r="H3545" s="48"/>
      <c r="J3545" s="26" t="str">
        <f t="shared" si="491"/>
        <v/>
      </c>
      <c r="N3545" t="str">
        <f t="shared" si="492"/>
        <v/>
      </c>
      <c r="Q3545" t="str">
        <f t="shared" si="493"/>
        <v/>
      </c>
      <c r="S3545" t="str">
        <f>IF(A3545=1,MAX($S$2:$S3544)+1,IF(OR($I3545&lt;&gt;"",A3545="x"),$S3544,""))</f>
        <v/>
      </c>
      <c r="T3545" t="str">
        <f>IF(D3545=1,MAX($T$2:$T3544)+1,IF(S3545=S3544,$T3544,IF(D3545="x",T3544,IF(D3544="x","",""))))</f>
        <v/>
      </c>
      <c r="U3545" t="str">
        <f>IF(B3545=1,MAX($U$2:$U3544)+1,IF(AND($T3545&lt;&gt;"",$T3545=$T3544),$U3544,IF(B3545="x",U3544,"")))</f>
        <v/>
      </c>
      <c r="V3545" t="str">
        <f>IF(C3545=1,MAX($V$2:$V3544)+1,IF(AND($T3545&lt;&gt;"",$T3545=$T3544),$U3544,IF(C3545="x",V3544,"")))</f>
        <v/>
      </c>
      <c r="X3545" cm="1">
        <f t="array" ref="X3545">IF($I3545&lt;&gt;"",$I3545,INDEX($I$1:$I3545,ROW()-COUNTIFS($T$1:$T3545,"="&amp;$T3545,$S$1:$S3545,"&lt;"&amp;$S3545)))</f>
        <v>0</v>
      </c>
      <c r="Z3545" s="6">
        <f t="shared" si="486"/>
        <v>1</v>
      </c>
      <c r="AA3545" t="e">
        <f t="shared" si="487"/>
        <v>#VALUE!</v>
      </c>
      <c r="AB3545" t="str">
        <f t="shared" si="488"/>
        <v/>
      </c>
      <c r="AC3545" t="e">
        <f t="shared" si="489"/>
        <v>#VALUE!</v>
      </c>
    </row>
    <row r="3546" spans="1:29" x14ac:dyDescent="0.2">
      <c r="A3546" t="str">
        <f t="shared" si="490"/>
        <v/>
      </c>
      <c r="E3546" s="4"/>
      <c r="F3546" s="46"/>
      <c r="G3546" s="4"/>
      <c r="H3546" s="48"/>
      <c r="J3546" s="26" t="str">
        <f t="shared" si="491"/>
        <v/>
      </c>
      <c r="N3546" t="str">
        <f t="shared" si="492"/>
        <v/>
      </c>
      <c r="Q3546" t="str">
        <f t="shared" si="493"/>
        <v/>
      </c>
      <c r="S3546" t="str">
        <f>IF(A3546=1,MAX($S$2:$S3545)+1,IF(OR($I3546&lt;&gt;"",A3546="x"),$S3545,""))</f>
        <v/>
      </c>
      <c r="T3546" t="str">
        <f>IF(D3546=1,MAX($T$2:$T3545)+1,IF(S3546=S3545,$T3545,IF(D3546="x",T3545,IF(D3545="x","",""))))</f>
        <v/>
      </c>
      <c r="U3546" t="str">
        <f>IF(B3546=1,MAX($U$2:$U3545)+1,IF(AND($T3546&lt;&gt;"",$T3546=$T3545),$U3545,IF(B3546="x",U3545,"")))</f>
        <v/>
      </c>
      <c r="V3546" t="str">
        <f>IF(C3546=1,MAX($V$2:$V3545)+1,IF(AND($T3546&lt;&gt;"",$T3546=$T3545),$U3545,IF(C3546="x",V3545,"")))</f>
        <v/>
      </c>
      <c r="X3546" cm="1">
        <f t="array" ref="X3546">IF($I3546&lt;&gt;"",$I3546,INDEX($I$1:$I3546,ROW()-COUNTIFS($T$1:$T3546,"="&amp;$T3546,$S$1:$S3546,"&lt;"&amp;$S3546)))</f>
        <v>0</v>
      </c>
      <c r="Z3546" s="6">
        <f t="shared" si="486"/>
        <v>1</v>
      </c>
      <c r="AA3546" t="e">
        <f t="shared" si="487"/>
        <v>#VALUE!</v>
      </c>
      <c r="AB3546" t="str">
        <f t="shared" si="488"/>
        <v/>
      </c>
      <c r="AC3546" t="e">
        <f t="shared" si="489"/>
        <v>#VALUE!</v>
      </c>
    </row>
    <row r="3547" spans="1:29" x14ac:dyDescent="0.2">
      <c r="A3547" t="str">
        <f t="shared" si="490"/>
        <v/>
      </c>
      <c r="E3547" s="4"/>
      <c r="F3547" s="46"/>
      <c r="G3547" s="4"/>
      <c r="H3547" s="48"/>
      <c r="J3547" s="26" t="str">
        <f t="shared" si="491"/>
        <v/>
      </c>
      <c r="N3547" t="str">
        <f t="shared" si="492"/>
        <v/>
      </c>
      <c r="Q3547" t="str">
        <f t="shared" si="493"/>
        <v/>
      </c>
      <c r="S3547" t="str">
        <f>IF(A3547=1,MAX($S$2:$S3546)+1,IF(OR($I3547&lt;&gt;"",A3547="x"),$S3546,""))</f>
        <v/>
      </c>
      <c r="T3547" t="str">
        <f>IF(D3547=1,MAX($T$2:$T3546)+1,IF(S3547=S3546,$T3546,IF(D3547="x",T3546,IF(D3546="x","",""))))</f>
        <v/>
      </c>
      <c r="U3547" t="str">
        <f>IF(B3547=1,MAX($U$2:$U3546)+1,IF(AND($T3547&lt;&gt;"",$T3547=$T3546),$U3546,IF(B3547="x",U3546,"")))</f>
        <v/>
      </c>
      <c r="V3547" t="str">
        <f>IF(C3547=1,MAX($V$2:$V3546)+1,IF(AND($T3547&lt;&gt;"",$T3547=$T3546),$U3546,IF(C3547="x",V3546,"")))</f>
        <v/>
      </c>
      <c r="X3547" cm="1">
        <f t="array" ref="X3547">IF($I3547&lt;&gt;"",$I3547,INDEX($I$1:$I3547,ROW()-COUNTIFS($T$1:$T3547,"="&amp;$T3547,$S$1:$S3547,"&lt;"&amp;$S3547)))</f>
        <v>0</v>
      </c>
      <c r="Z3547" s="6">
        <f t="shared" si="486"/>
        <v>1</v>
      </c>
      <c r="AA3547" t="e">
        <f t="shared" si="487"/>
        <v>#VALUE!</v>
      </c>
      <c r="AB3547" t="str">
        <f t="shared" si="488"/>
        <v/>
      </c>
      <c r="AC3547" t="e">
        <f t="shared" si="489"/>
        <v>#VALUE!</v>
      </c>
    </row>
    <row r="3548" spans="1:29" x14ac:dyDescent="0.2">
      <c r="A3548" t="str">
        <f t="shared" si="490"/>
        <v/>
      </c>
      <c r="E3548" s="4"/>
      <c r="F3548" s="46"/>
      <c r="G3548" s="4"/>
      <c r="H3548" s="48"/>
      <c r="J3548" s="26" t="str">
        <f t="shared" si="491"/>
        <v/>
      </c>
      <c r="N3548" t="str">
        <f t="shared" si="492"/>
        <v/>
      </c>
      <c r="Q3548" t="str">
        <f t="shared" si="493"/>
        <v/>
      </c>
      <c r="S3548" t="str">
        <f>IF(A3548=1,MAX($S$2:$S3547)+1,IF(OR($I3548&lt;&gt;"",A3548="x"),$S3547,""))</f>
        <v/>
      </c>
      <c r="T3548" t="str">
        <f>IF(D3548=1,MAX($T$2:$T3547)+1,IF(S3548=S3547,$T3547,IF(D3548="x",T3547,IF(D3547="x","",""))))</f>
        <v/>
      </c>
      <c r="U3548" t="str">
        <f>IF(B3548=1,MAX($U$2:$U3547)+1,IF(AND($T3548&lt;&gt;"",$T3548=$T3547),$U3547,IF(B3548="x",U3547,"")))</f>
        <v/>
      </c>
      <c r="V3548" t="str">
        <f>IF(C3548=1,MAX($V$2:$V3547)+1,IF(AND($T3548&lt;&gt;"",$T3548=$T3547),$U3547,IF(C3548="x",V3547,"")))</f>
        <v/>
      </c>
      <c r="X3548" cm="1">
        <f t="array" ref="X3548">IF($I3548&lt;&gt;"",$I3548,INDEX($I$1:$I3548,ROW()-COUNTIFS($T$1:$T3548,"="&amp;$T3548,$S$1:$S3548,"&lt;"&amp;$S3548)))</f>
        <v>0</v>
      </c>
      <c r="Z3548" s="6">
        <f t="shared" si="486"/>
        <v>1</v>
      </c>
      <c r="AA3548" t="e">
        <f t="shared" si="487"/>
        <v>#VALUE!</v>
      </c>
      <c r="AB3548" t="str">
        <f t="shared" si="488"/>
        <v/>
      </c>
      <c r="AC3548" t="e">
        <f t="shared" si="489"/>
        <v>#VALUE!</v>
      </c>
    </row>
    <row r="3549" spans="1:29" x14ac:dyDescent="0.2">
      <c r="A3549" t="str">
        <f t="shared" si="490"/>
        <v/>
      </c>
      <c r="E3549" s="4"/>
      <c r="F3549" s="46"/>
      <c r="G3549" s="4"/>
      <c r="H3549" s="48"/>
      <c r="J3549" s="26" t="str">
        <f t="shared" si="491"/>
        <v/>
      </c>
      <c r="N3549" t="str">
        <f t="shared" si="492"/>
        <v/>
      </c>
      <c r="Q3549" t="str">
        <f t="shared" si="493"/>
        <v/>
      </c>
      <c r="S3549" t="str">
        <f>IF(A3549=1,MAX($S$2:$S3548)+1,IF(OR($I3549&lt;&gt;"",A3549="x"),$S3548,""))</f>
        <v/>
      </c>
      <c r="T3549" t="str">
        <f>IF(D3549=1,MAX($T$2:$T3548)+1,IF(S3549=S3548,$T3548,IF(D3549="x",T3548,IF(D3548="x","",""))))</f>
        <v/>
      </c>
      <c r="U3549" t="str">
        <f>IF(B3549=1,MAX($U$2:$U3548)+1,IF(AND($T3549&lt;&gt;"",$T3549=$T3548),$U3548,IF(B3549="x",U3548,"")))</f>
        <v/>
      </c>
      <c r="V3549" t="str">
        <f>IF(C3549=1,MAX($V$2:$V3548)+1,IF(AND($T3549&lt;&gt;"",$T3549=$T3548),$U3548,IF(C3549="x",V3548,"")))</f>
        <v/>
      </c>
      <c r="X3549" cm="1">
        <f t="array" ref="X3549">IF($I3549&lt;&gt;"",$I3549,INDEX($I$1:$I3549,ROW()-COUNTIFS($T$1:$T3549,"="&amp;$T3549,$S$1:$S3549,"&lt;"&amp;$S3549)))</f>
        <v>0</v>
      </c>
      <c r="Z3549" s="6">
        <f t="shared" si="486"/>
        <v>1</v>
      </c>
      <c r="AA3549" t="e">
        <f t="shared" si="487"/>
        <v>#VALUE!</v>
      </c>
      <c r="AB3549" t="str">
        <f t="shared" si="488"/>
        <v/>
      </c>
      <c r="AC3549" t="e">
        <f t="shared" si="489"/>
        <v>#VALUE!</v>
      </c>
    </row>
    <row r="3550" spans="1:29" x14ac:dyDescent="0.2">
      <c r="A3550" t="str">
        <f t="shared" si="490"/>
        <v/>
      </c>
      <c r="E3550" s="4"/>
      <c r="F3550" s="46"/>
      <c r="G3550" s="4"/>
      <c r="H3550" s="48"/>
      <c r="J3550" s="26" t="str">
        <f t="shared" si="491"/>
        <v/>
      </c>
      <c r="N3550" t="str">
        <f t="shared" si="492"/>
        <v/>
      </c>
      <c r="Q3550" t="str">
        <f t="shared" si="493"/>
        <v/>
      </c>
      <c r="S3550" t="str">
        <f>IF(A3550=1,MAX($S$2:$S3549)+1,IF(OR($I3550&lt;&gt;"",A3550="x"),$S3549,""))</f>
        <v/>
      </c>
      <c r="T3550" t="str">
        <f>IF(D3550=1,MAX($T$2:$T3549)+1,IF(S3550=S3549,$T3549,IF(D3550="x",T3549,IF(D3549="x","",""))))</f>
        <v/>
      </c>
      <c r="U3550" t="str">
        <f>IF(B3550=1,MAX($U$2:$U3549)+1,IF(AND($T3550&lt;&gt;"",$T3550=$T3549),$U3549,IF(B3550="x",U3549,"")))</f>
        <v/>
      </c>
      <c r="V3550" t="str">
        <f>IF(C3550=1,MAX($V$2:$V3549)+1,IF(AND($T3550&lt;&gt;"",$T3550=$T3549),$U3549,IF(C3550="x",V3549,"")))</f>
        <v/>
      </c>
      <c r="X3550" cm="1">
        <f t="array" ref="X3550">IF($I3550&lt;&gt;"",$I3550,INDEX($I$1:$I3550,ROW()-COUNTIFS($T$1:$T3550,"="&amp;$T3550,$S$1:$S3550,"&lt;"&amp;$S3550)))</f>
        <v>0</v>
      </c>
      <c r="Z3550" s="6">
        <f t="shared" si="486"/>
        <v>1</v>
      </c>
      <c r="AA3550" t="e">
        <f t="shared" si="487"/>
        <v>#VALUE!</v>
      </c>
      <c r="AB3550" t="str">
        <f t="shared" si="488"/>
        <v/>
      </c>
      <c r="AC3550" t="e">
        <f t="shared" si="489"/>
        <v>#VALUE!</v>
      </c>
    </row>
    <row r="3551" spans="1:29" x14ac:dyDescent="0.2">
      <c r="A3551" t="str">
        <f t="shared" si="490"/>
        <v/>
      </c>
      <c r="E3551" s="4"/>
      <c r="F3551" s="46"/>
      <c r="G3551" s="4"/>
      <c r="H3551" s="48"/>
      <c r="J3551" s="26" t="str">
        <f t="shared" si="491"/>
        <v/>
      </c>
      <c r="N3551" t="str">
        <f t="shared" si="492"/>
        <v/>
      </c>
      <c r="Q3551" t="str">
        <f t="shared" si="493"/>
        <v/>
      </c>
      <c r="S3551" t="str">
        <f>IF(A3551=1,MAX($S$2:$S3550)+1,IF(OR($I3551&lt;&gt;"",A3551="x"),$S3550,""))</f>
        <v/>
      </c>
      <c r="T3551" t="str">
        <f>IF(D3551=1,MAX($T$2:$T3550)+1,IF(S3551=S3550,$T3550,IF(D3551="x",T3550,IF(D3550="x","",""))))</f>
        <v/>
      </c>
      <c r="U3551" t="str">
        <f>IF(B3551=1,MAX($U$2:$U3550)+1,IF(AND($T3551&lt;&gt;"",$T3551=$T3550),$U3550,IF(B3551="x",U3550,"")))</f>
        <v/>
      </c>
      <c r="V3551" t="str">
        <f>IF(C3551=1,MAX($V$2:$V3550)+1,IF(AND($T3551&lt;&gt;"",$T3551=$T3550),$U3550,IF(C3551="x",V3550,"")))</f>
        <v/>
      </c>
      <c r="X3551" cm="1">
        <f t="array" ref="X3551">IF($I3551&lt;&gt;"",$I3551,INDEX($I$1:$I3551,ROW()-COUNTIFS($T$1:$T3551,"="&amp;$T3551,$S$1:$S3551,"&lt;"&amp;$S3551)))</f>
        <v>0</v>
      </c>
      <c r="Z3551" s="6">
        <f t="shared" si="486"/>
        <v>1</v>
      </c>
      <c r="AA3551" t="e">
        <f t="shared" si="487"/>
        <v>#VALUE!</v>
      </c>
      <c r="AB3551" t="str">
        <f t="shared" si="488"/>
        <v/>
      </c>
      <c r="AC3551" t="e">
        <f t="shared" si="489"/>
        <v>#VALUE!</v>
      </c>
    </row>
    <row r="3552" spans="1:29" x14ac:dyDescent="0.2">
      <c r="A3552" t="str">
        <f t="shared" si="490"/>
        <v/>
      </c>
      <c r="E3552" s="4"/>
      <c r="F3552" s="46"/>
      <c r="G3552" s="4"/>
      <c r="H3552" s="48"/>
      <c r="J3552" s="26" t="str">
        <f t="shared" si="491"/>
        <v/>
      </c>
      <c r="N3552" t="str">
        <f t="shared" si="492"/>
        <v/>
      </c>
      <c r="Q3552" t="str">
        <f t="shared" si="493"/>
        <v/>
      </c>
      <c r="S3552" t="str">
        <f>IF(A3552=1,MAX($S$2:$S3551)+1,IF(OR($I3552&lt;&gt;"",A3552="x"),$S3551,""))</f>
        <v/>
      </c>
      <c r="T3552" t="str">
        <f>IF(D3552=1,MAX($T$2:$T3551)+1,IF(S3552=S3551,$T3551,IF(D3552="x",T3551,IF(D3551="x","",""))))</f>
        <v/>
      </c>
      <c r="U3552" t="str">
        <f>IF(B3552=1,MAX($U$2:$U3551)+1,IF(AND($T3552&lt;&gt;"",$T3552=$T3551),$U3551,IF(B3552="x",U3551,"")))</f>
        <v/>
      </c>
      <c r="V3552" t="str">
        <f>IF(C3552=1,MAX($V$2:$V3551)+1,IF(AND($T3552&lt;&gt;"",$T3552=$T3551),$U3551,IF(C3552="x",V3551,"")))</f>
        <v/>
      </c>
      <c r="X3552" cm="1">
        <f t="array" ref="X3552">IF($I3552&lt;&gt;"",$I3552,INDEX($I$1:$I3552,ROW()-COUNTIFS($T$1:$T3552,"="&amp;$T3552,$S$1:$S3552,"&lt;"&amp;$S3552)))</f>
        <v>0</v>
      </c>
      <c r="Z3552" s="6">
        <f t="shared" si="486"/>
        <v>1</v>
      </c>
      <c r="AA3552" t="e">
        <f t="shared" si="487"/>
        <v>#VALUE!</v>
      </c>
      <c r="AB3552" t="str">
        <f t="shared" si="488"/>
        <v/>
      </c>
      <c r="AC3552" t="e">
        <f t="shared" si="489"/>
        <v>#VALUE!</v>
      </c>
    </row>
    <row r="3553" spans="1:29" x14ac:dyDescent="0.2">
      <c r="A3553" t="str">
        <f t="shared" si="490"/>
        <v/>
      </c>
      <c r="E3553" s="4"/>
      <c r="F3553" s="46"/>
      <c r="G3553" s="4"/>
      <c r="H3553" s="48"/>
      <c r="J3553" s="26" t="str">
        <f t="shared" si="491"/>
        <v/>
      </c>
      <c r="N3553" t="str">
        <f t="shared" si="492"/>
        <v/>
      </c>
      <c r="Q3553" t="str">
        <f t="shared" si="493"/>
        <v/>
      </c>
      <c r="S3553" t="str">
        <f>IF(A3553=1,MAX($S$2:$S3552)+1,IF(OR($I3553&lt;&gt;"",A3553="x"),$S3552,""))</f>
        <v/>
      </c>
      <c r="T3553" t="str">
        <f>IF(D3553=1,MAX($T$2:$T3552)+1,IF(S3553=S3552,$T3552,IF(D3553="x",T3552,IF(D3552="x","",""))))</f>
        <v/>
      </c>
      <c r="U3553" t="str">
        <f>IF(B3553=1,MAX($U$2:$U3552)+1,IF(AND($T3553&lt;&gt;"",$T3553=$T3552),$U3552,IF(B3553="x",U3552,"")))</f>
        <v/>
      </c>
      <c r="V3553" t="str">
        <f>IF(C3553=1,MAX($V$2:$V3552)+1,IF(AND($T3553&lt;&gt;"",$T3553=$T3552),$U3552,IF(C3553="x",V3552,"")))</f>
        <v/>
      </c>
      <c r="X3553" cm="1">
        <f t="array" ref="X3553">IF($I3553&lt;&gt;"",$I3553,INDEX($I$1:$I3553,ROW()-COUNTIFS($T$1:$T3553,"="&amp;$T3553,$S$1:$S3553,"&lt;"&amp;$S3553)))</f>
        <v>0</v>
      </c>
      <c r="Z3553" s="6">
        <f t="shared" si="486"/>
        <v>1</v>
      </c>
      <c r="AA3553" t="e">
        <f t="shared" si="487"/>
        <v>#VALUE!</v>
      </c>
      <c r="AB3553" t="str">
        <f t="shared" si="488"/>
        <v/>
      </c>
      <c r="AC3553" t="e">
        <f t="shared" si="489"/>
        <v>#VALUE!</v>
      </c>
    </row>
    <row r="3554" spans="1:29" x14ac:dyDescent="0.2">
      <c r="A3554" t="str">
        <f t="shared" si="490"/>
        <v/>
      </c>
      <c r="E3554" s="4"/>
      <c r="F3554" s="46"/>
      <c r="G3554" s="4"/>
      <c r="H3554" s="48"/>
      <c r="J3554" s="26" t="str">
        <f t="shared" si="491"/>
        <v/>
      </c>
      <c r="N3554" t="str">
        <f t="shared" si="492"/>
        <v/>
      </c>
      <c r="Q3554" t="str">
        <f t="shared" si="493"/>
        <v/>
      </c>
      <c r="S3554" t="str">
        <f>IF(A3554=1,MAX($S$2:$S3553)+1,IF(OR($I3554&lt;&gt;"",A3554="x"),$S3553,""))</f>
        <v/>
      </c>
      <c r="T3554" t="str">
        <f>IF(D3554=1,MAX($T$2:$T3553)+1,IF(S3554=S3553,$T3553,IF(D3554="x",T3553,IF(D3553="x","",""))))</f>
        <v/>
      </c>
      <c r="U3554" t="str">
        <f>IF(B3554=1,MAX($U$2:$U3553)+1,IF(AND($T3554&lt;&gt;"",$T3554=$T3553),$U3553,IF(B3554="x",U3553,"")))</f>
        <v/>
      </c>
      <c r="V3554" t="str">
        <f>IF(C3554=1,MAX($V$2:$V3553)+1,IF(AND($T3554&lt;&gt;"",$T3554=$T3553),$U3553,IF(C3554="x",V3553,"")))</f>
        <v/>
      </c>
      <c r="X3554" cm="1">
        <f t="array" ref="X3554">IF($I3554&lt;&gt;"",$I3554,INDEX($I$1:$I3554,ROW()-COUNTIFS($T$1:$T3554,"="&amp;$T3554,$S$1:$S3554,"&lt;"&amp;$S3554)))</f>
        <v>0</v>
      </c>
      <c r="Z3554" s="6">
        <f t="shared" si="486"/>
        <v>1</v>
      </c>
      <c r="AA3554" t="e">
        <f t="shared" si="487"/>
        <v>#VALUE!</v>
      </c>
      <c r="AB3554" t="str">
        <f t="shared" si="488"/>
        <v/>
      </c>
      <c r="AC3554" t="e">
        <f t="shared" si="489"/>
        <v>#VALUE!</v>
      </c>
    </row>
    <row r="3555" spans="1:29" x14ac:dyDescent="0.2">
      <c r="A3555" t="str">
        <f t="shared" si="490"/>
        <v/>
      </c>
      <c r="E3555" s="4"/>
      <c r="F3555" s="46"/>
      <c r="G3555" s="4"/>
      <c r="H3555" s="48"/>
      <c r="J3555" s="26" t="str">
        <f t="shared" si="491"/>
        <v/>
      </c>
      <c r="N3555" t="str">
        <f t="shared" si="492"/>
        <v/>
      </c>
      <c r="Q3555" t="str">
        <f t="shared" si="493"/>
        <v/>
      </c>
      <c r="S3555" t="str">
        <f>IF(A3555=1,MAX($S$2:$S3554)+1,IF(OR($I3555&lt;&gt;"",A3555="x"),$S3554,""))</f>
        <v/>
      </c>
      <c r="T3555" t="str">
        <f>IF(D3555=1,MAX($T$2:$T3554)+1,IF(S3555=S3554,$T3554,IF(D3555="x",T3554,IF(D3554="x","",""))))</f>
        <v/>
      </c>
      <c r="U3555" t="str">
        <f>IF(B3555=1,MAX($U$2:$U3554)+1,IF(AND($T3555&lt;&gt;"",$T3555=$T3554),$U3554,IF(B3555="x",U3554,"")))</f>
        <v/>
      </c>
      <c r="V3555" t="str">
        <f>IF(C3555=1,MAX($V$2:$V3554)+1,IF(AND($T3555&lt;&gt;"",$T3555=$T3554),$U3554,IF(C3555="x",V3554,"")))</f>
        <v/>
      </c>
      <c r="X3555" cm="1">
        <f t="array" ref="X3555">IF($I3555&lt;&gt;"",$I3555,INDEX($I$1:$I3555,ROW()-COUNTIFS($T$1:$T3555,"="&amp;$T3555,$S$1:$S3555,"&lt;"&amp;$S3555)))</f>
        <v>0</v>
      </c>
      <c r="Z3555" s="6">
        <f t="shared" si="486"/>
        <v>1</v>
      </c>
      <c r="AA3555" t="e">
        <f t="shared" si="487"/>
        <v>#VALUE!</v>
      </c>
      <c r="AB3555" t="str">
        <f t="shared" si="488"/>
        <v/>
      </c>
      <c r="AC3555" t="e">
        <f t="shared" si="489"/>
        <v>#VALUE!</v>
      </c>
    </row>
    <row r="3556" spans="1:29" x14ac:dyDescent="0.2">
      <c r="A3556" t="str">
        <f t="shared" si="490"/>
        <v/>
      </c>
      <c r="E3556" s="4"/>
      <c r="F3556" s="46"/>
      <c r="G3556" s="4"/>
      <c r="H3556" s="48"/>
      <c r="J3556" s="26" t="str">
        <f t="shared" si="491"/>
        <v/>
      </c>
      <c r="N3556" t="str">
        <f t="shared" si="492"/>
        <v/>
      </c>
      <c r="Q3556" t="str">
        <f t="shared" si="493"/>
        <v/>
      </c>
      <c r="S3556" t="str">
        <f>IF(A3556=1,MAX($S$2:$S3555)+1,IF(OR($I3556&lt;&gt;"",A3556="x"),$S3555,""))</f>
        <v/>
      </c>
      <c r="T3556" t="str">
        <f>IF(D3556=1,MAX($T$2:$T3555)+1,IF(S3556=S3555,$T3555,IF(D3556="x",T3555,IF(D3555="x","",""))))</f>
        <v/>
      </c>
      <c r="U3556" t="str">
        <f>IF(B3556=1,MAX($U$2:$U3555)+1,IF(AND($T3556&lt;&gt;"",$T3556=$T3555),$U3555,IF(B3556="x",U3555,"")))</f>
        <v/>
      </c>
      <c r="V3556" t="str">
        <f>IF(C3556=1,MAX($V$2:$V3555)+1,IF(AND($T3556&lt;&gt;"",$T3556=$T3555),$U3555,IF(C3556="x",V3555,"")))</f>
        <v/>
      </c>
      <c r="X3556" cm="1">
        <f t="array" ref="X3556">IF($I3556&lt;&gt;"",$I3556,INDEX($I$1:$I3556,ROW()-COUNTIFS($T$1:$T3556,"="&amp;$T3556,$S$1:$S3556,"&lt;"&amp;$S3556)))</f>
        <v>0</v>
      </c>
      <c r="Z3556" s="6">
        <f t="shared" si="486"/>
        <v>1</v>
      </c>
      <c r="AA3556" t="e">
        <f t="shared" si="487"/>
        <v>#VALUE!</v>
      </c>
      <c r="AB3556" t="str">
        <f t="shared" si="488"/>
        <v/>
      </c>
      <c r="AC3556" t="e">
        <f t="shared" si="489"/>
        <v>#VALUE!</v>
      </c>
    </row>
    <row r="3557" spans="1:29" x14ac:dyDescent="0.2">
      <c r="A3557" t="str">
        <f t="shared" si="490"/>
        <v/>
      </c>
      <c r="E3557" s="4"/>
      <c r="F3557" s="46"/>
      <c r="G3557" s="4"/>
      <c r="H3557" s="48"/>
      <c r="J3557" s="26" t="str">
        <f t="shared" si="491"/>
        <v/>
      </c>
      <c r="N3557" t="str">
        <f t="shared" si="492"/>
        <v/>
      </c>
      <c r="Q3557" t="str">
        <f t="shared" si="493"/>
        <v/>
      </c>
      <c r="S3557" t="str">
        <f>IF(A3557=1,MAX($S$2:$S3556)+1,IF(OR($I3557&lt;&gt;"",A3557="x"),$S3556,""))</f>
        <v/>
      </c>
      <c r="T3557" t="str">
        <f>IF(D3557=1,MAX($T$2:$T3556)+1,IF(S3557=S3556,$T3556,IF(D3557="x",T3556,IF(D3556="x","",""))))</f>
        <v/>
      </c>
      <c r="U3557" t="str">
        <f>IF(B3557=1,MAX($U$2:$U3556)+1,IF(AND($T3557&lt;&gt;"",$T3557=$T3556),$U3556,IF(B3557="x",U3556,"")))</f>
        <v/>
      </c>
      <c r="V3557" t="str">
        <f>IF(C3557=1,MAX($V$2:$V3556)+1,IF(AND($T3557&lt;&gt;"",$T3557=$T3556),$U3556,IF(C3557="x",V3556,"")))</f>
        <v/>
      </c>
      <c r="X3557" cm="1">
        <f t="array" ref="X3557">IF($I3557&lt;&gt;"",$I3557,INDEX($I$1:$I3557,ROW()-COUNTIFS($T$1:$T3557,"="&amp;$T3557,$S$1:$S3557,"&lt;"&amp;$S3557)))</f>
        <v>0</v>
      </c>
      <c r="Z3557" s="6">
        <f t="shared" si="486"/>
        <v>1</v>
      </c>
      <c r="AA3557" t="e">
        <f t="shared" si="487"/>
        <v>#VALUE!</v>
      </c>
      <c r="AB3557" t="str">
        <f t="shared" si="488"/>
        <v/>
      </c>
      <c r="AC3557" t="e">
        <f t="shared" si="489"/>
        <v>#VALUE!</v>
      </c>
    </row>
    <row r="3558" spans="1:29" x14ac:dyDescent="0.2">
      <c r="A3558" t="str">
        <f t="shared" si="490"/>
        <v/>
      </c>
      <c r="E3558" s="4"/>
      <c r="F3558" s="46"/>
      <c r="G3558" s="4"/>
      <c r="H3558" s="48"/>
      <c r="J3558" s="26" t="str">
        <f t="shared" si="491"/>
        <v/>
      </c>
      <c r="N3558" t="str">
        <f t="shared" si="492"/>
        <v/>
      </c>
      <c r="Q3558" t="str">
        <f t="shared" si="493"/>
        <v/>
      </c>
      <c r="S3558" t="str">
        <f>IF(A3558=1,MAX($S$2:$S3557)+1,IF(OR($I3558&lt;&gt;"",A3558="x"),$S3557,""))</f>
        <v/>
      </c>
      <c r="T3558" t="str">
        <f>IF(D3558=1,MAX($T$2:$T3557)+1,IF(S3558=S3557,$T3557,IF(D3558="x",T3557,IF(D3557="x","",""))))</f>
        <v/>
      </c>
      <c r="U3558" t="str">
        <f>IF(B3558=1,MAX($U$2:$U3557)+1,IF(AND($T3558&lt;&gt;"",$T3558=$T3557),$U3557,IF(B3558="x",U3557,"")))</f>
        <v/>
      </c>
      <c r="V3558" t="str">
        <f>IF(C3558=1,MAX($V$2:$V3557)+1,IF(AND($T3558&lt;&gt;"",$T3558=$T3557),$U3557,IF(C3558="x",V3557,"")))</f>
        <v/>
      </c>
      <c r="X3558" cm="1">
        <f t="array" ref="X3558">IF($I3558&lt;&gt;"",$I3558,INDEX($I$1:$I3558,ROW()-COUNTIFS($T$1:$T3558,"="&amp;$T3558,$S$1:$S3558,"&lt;"&amp;$S3558)))</f>
        <v>0</v>
      </c>
      <c r="Z3558" s="6">
        <f t="shared" si="486"/>
        <v>1</v>
      </c>
      <c r="AA3558" t="e">
        <f t="shared" si="487"/>
        <v>#VALUE!</v>
      </c>
      <c r="AB3558" t="str">
        <f t="shared" si="488"/>
        <v/>
      </c>
      <c r="AC3558" t="e">
        <f t="shared" si="489"/>
        <v>#VALUE!</v>
      </c>
    </row>
    <row r="3559" spans="1:29" x14ac:dyDescent="0.2">
      <c r="A3559" t="str">
        <f t="shared" si="490"/>
        <v/>
      </c>
      <c r="E3559" s="4"/>
      <c r="F3559" s="46"/>
      <c r="G3559" s="4"/>
      <c r="H3559" s="48"/>
      <c r="J3559" s="26" t="str">
        <f t="shared" si="491"/>
        <v/>
      </c>
      <c r="N3559" t="str">
        <f t="shared" si="492"/>
        <v/>
      </c>
      <c r="Q3559" t="str">
        <f t="shared" si="493"/>
        <v/>
      </c>
      <c r="S3559" t="str">
        <f>IF(A3559=1,MAX($S$2:$S3558)+1,IF(OR($I3559&lt;&gt;"",A3559="x"),$S3558,""))</f>
        <v/>
      </c>
      <c r="T3559" t="str">
        <f>IF(D3559=1,MAX($T$2:$T3558)+1,IF(S3559=S3558,$T3558,IF(D3559="x",T3558,IF(D3558="x","",""))))</f>
        <v/>
      </c>
      <c r="U3559" t="str">
        <f>IF(B3559=1,MAX($U$2:$U3558)+1,IF(AND($T3559&lt;&gt;"",$T3559=$T3558),$U3558,IF(B3559="x",U3558,"")))</f>
        <v/>
      </c>
      <c r="V3559" t="str">
        <f>IF(C3559=1,MAX($V$2:$V3558)+1,IF(AND($T3559&lt;&gt;"",$T3559=$T3558),$U3558,IF(C3559="x",V3558,"")))</f>
        <v/>
      </c>
      <c r="X3559" cm="1">
        <f t="array" ref="X3559">IF($I3559&lt;&gt;"",$I3559,INDEX($I$1:$I3559,ROW()-COUNTIFS($T$1:$T3559,"="&amp;$T3559,$S$1:$S3559,"&lt;"&amp;$S3559)))</f>
        <v>0</v>
      </c>
      <c r="Z3559" s="6">
        <f t="shared" si="486"/>
        <v>1</v>
      </c>
      <c r="AA3559" t="e">
        <f t="shared" si="487"/>
        <v>#VALUE!</v>
      </c>
      <c r="AB3559" t="str">
        <f t="shared" si="488"/>
        <v/>
      </c>
      <c r="AC3559" t="e">
        <f t="shared" si="489"/>
        <v>#VALUE!</v>
      </c>
    </row>
    <row r="3560" spans="1:29" x14ac:dyDescent="0.2">
      <c r="A3560" t="str">
        <f t="shared" si="490"/>
        <v/>
      </c>
      <c r="E3560" s="4"/>
      <c r="F3560" s="46"/>
      <c r="G3560" s="4"/>
      <c r="H3560" s="48"/>
      <c r="J3560" s="26" t="str">
        <f t="shared" si="491"/>
        <v/>
      </c>
      <c r="N3560" t="str">
        <f t="shared" si="492"/>
        <v/>
      </c>
      <c r="Q3560" t="str">
        <f t="shared" si="493"/>
        <v/>
      </c>
      <c r="S3560" t="str">
        <f>IF(A3560=1,MAX($S$2:$S3559)+1,IF(OR($I3560&lt;&gt;"",A3560="x"),$S3559,""))</f>
        <v/>
      </c>
      <c r="T3560" t="str">
        <f>IF(D3560=1,MAX($T$2:$T3559)+1,IF(S3560=S3559,$T3559,IF(D3560="x",T3559,IF(D3559="x","",""))))</f>
        <v/>
      </c>
      <c r="U3560" t="str">
        <f>IF(B3560=1,MAX($U$2:$U3559)+1,IF(AND($T3560&lt;&gt;"",$T3560=$T3559),$U3559,IF(B3560="x",U3559,"")))</f>
        <v/>
      </c>
      <c r="V3560" t="str">
        <f>IF(C3560=1,MAX($V$2:$V3559)+1,IF(AND($T3560&lt;&gt;"",$T3560=$T3559),$U3559,IF(C3560="x",V3559,"")))</f>
        <v/>
      </c>
      <c r="X3560" cm="1">
        <f t="array" ref="X3560">IF($I3560&lt;&gt;"",$I3560,INDEX($I$1:$I3560,ROW()-COUNTIFS($T$1:$T3560,"="&amp;$T3560,$S$1:$S3560,"&lt;"&amp;$S3560)))</f>
        <v>0</v>
      </c>
      <c r="Z3560" s="6">
        <f t="shared" si="486"/>
        <v>1</v>
      </c>
      <c r="AA3560" t="e">
        <f t="shared" si="487"/>
        <v>#VALUE!</v>
      </c>
      <c r="AB3560" t="str">
        <f t="shared" si="488"/>
        <v/>
      </c>
      <c r="AC3560" t="e">
        <f t="shared" si="489"/>
        <v>#VALUE!</v>
      </c>
    </row>
    <row r="3561" spans="1:29" x14ac:dyDescent="0.2">
      <c r="A3561" t="str">
        <f t="shared" si="490"/>
        <v/>
      </c>
      <c r="E3561" s="4"/>
      <c r="F3561" s="46"/>
      <c r="G3561" s="4"/>
      <c r="H3561" s="48"/>
      <c r="J3561" s="26" t="str">
        <f t="shared" si="491"/>
        <v/>
      </c>
      <c r="N3561" t="str">
        <f t="shared" si="492"/>
        <v/>
      </c>
      <c r="Q3561" t="str">
        <f t="shared" si="493"/>
        <v/>
      </c>
      <c r="S3561" t="str">
        <f>IF(A3561=1,MAX($S$2:$S3560)+1,IF(OR($I3561&lt;&gt;"",A3561="x"),$S3560,""))</f>
        <v/>
      </c>
      <c r="T3561" t="str">
        <f>IF(D3561=1,MAX($T$2:$T3560)+1,IF(S3561=S3560,$T3560,IF(D3561="x",T3560,IF(D3560="x","",""))))</f>
        <v/>
      </c>
      <c r="U3561" t="str">
        <f>IF(B3561=1,MAX($U$2:$U3560)+1,IF(AND($T3561&lt;&gt;"",$T3561=$T3560),$U3560,IF(B3561="x",U3560,"")))</f>
        <v/>
      </c>
      <c r="V3561" t="str">
        <f>IF(C3561=1,MAX($V$2:$V3560)+1,IF(AND($T3561&lt;&gt;"",$T3561=$T3560),$U3560,IF(C3561="x",V3560,"")))</f>
        <v/>
      </c>
      <c r="X3561" cm="1">
        <f t="array" ref="X3561">IF($I3561&lt;&gt;"",$I3561,INDEX($I$1:$I3561,ROW()-COUNTIFS($T$1:$T3561,"="&amp;$T3561,$S$1:$S3561,"&lt;"&amp;$S3561)))</f>
        <v>0</v>
      </c>
      <c r="Z3561" s="6">
        <f t="shared" si="486"/>
        <v>1</v>
      </c>
      <c r="AA3561" t="e">
        <f t="shared" si="487"/>
        <v>#VALUE!</v>
      </c>
      <c r="AB3561" t="str">
        <f t="shared" si="488"/>
        <v/>
      </c>
      <c r="AC3561" t="e">
        <f t="shared" si="489"/>
        <v>#VALUE!</v>
      </c>
    </row>
    <row r="3562" spans="1:29" x14ac:dyDescent="0.2">
      <c r="A3562" t="str">
        <f t="shared" si="490"/>
        <v/>
      </c>
      <c r="E3562" s="4"/>
      <c r="F3562" s="46"/>
      <c r="G3562" s="4"/>
      <c r="H3562" s="48"/>
      <c r="J3562" s="26" t="str">
        <f t="shared" si="491"/>
        <v/>
      </c>
      <c r="N3562" t="str">
        <f t="shared" si="492"/>
        <v/>
      </c>
      <c r="Q3562" t="str">
        <f t="shared" si="493"/>
        <v/>
      </c>
      <c r="S3562" t="str">
        <f>IF(A3562=1,MAX($S$2:$S3561)+1,IF(OR($I3562&lt;&gt;"",A3562="x"),$S3561,""))</f>
        <v/>
      </c>
      <c r="T3562" t="str">
        <f>IF(D3562=1,MAX($T$2:$T3561)+1,IF(S3562=S3561,$T3561,IF(D3562="x",T3561,IF(D3561="x","",""))))</f>
        <v/>
      </c>
      <c r="U3562" t="str">
        <f>IF(B3562=1,MAX($U$2:$U3561)+1,IF(AND($T3562&lt;&gt;"",$T3562=$T3561),$U3561,IF(B3562="x",U3561,"")))</f>
        <v/>
      </c>
      <c r="V3562" t="str">
        <f>IF(C3562=1,MAX($V$2:$V3561)+1,IF(AND($T3562&lt;&gt;"",$T3562=$T3561),$U3561,IF(C3562="x",V3561,"")))</f>
        <v/>
      </c>
      <c r="X3562" cm="1">
        <f t="array" ref="X3562">IF($I3562&lt;&gt;"",$I3562,INDEX($I$1:$I3562,ROW()-COUNTIFS($T$1:$T3562,"="&amp;$T3562,$S$1:$S3562,"&lt;"&amp;$S3562)))</f>
        <v>0</v>
      </c>
      <c r="Z3562" s="6">
        <f t="shared" si="486"/>
        <v>1</v>
      </c>
      <c r="AA3562" t="e">
        <f t="shared" si="487"/>
        <v>#VALUE!</v>
      </c>
      <c r="AB3562" t="str">
        <f t="shared" si="488"/>
        <v/>
      </c>
      <c r="AC3562" t="e">
        <f t="shared" si="489"/>
        <v>#VALUE!</v>
      </c>
    </row>
    <row r="3563" spans="1:29" x14ac:dyDescent="0.2">
      <c r="A3563" t="str">
        <f t="shared" si="490"/>
        <v/>
      </c>
      <c r="E3563" s="4"/>
      <c r="F3563" s="46"/>
      <c r="G3563" s="4"/>
      <c r="H3563" s="48"/>
      <c r="J3563" s="26" t="str">
        <f t="shared" si="491"/>
        <v/>
      </c>
      <c r="N3563" t="str">
        <f t="shared" si="492"/>
        <v/>
      </c>
      <c r="Q3563" t="str">
        <f t="shared" si="493"/>
        <v/>
      </c>
      <c r="S3563" t="str">
        <f>IF(A3563=1,MAX($S$2:$S3562)+1,IF(OR($I3563&lt;&gt;"",A3563="x"),$S3562,""))</f>
        <v/>
      </c>
      <c r="T3563" t="str">
        <f>IF(D3563=1,MAX($T$2:$T3562)+1,IF(S3563=S3562,$T3562,IF(D3563="x",T3562,IF(D3562="x","",""))))</f>
        <v/>
      </c>
      <c r="U3563" t="str">
        <f>IF(B3563=1,MAX($U$2:$U3562)+1,IF(AND($T3563&lt;&gt;"",$T3563=$T3562),$U3562,IF(B3563="x",U3562,"")))</f>
        <v/>
      </c>
      <c r="V3563" t="str">
        <f>IF(C3563=1,MAX($V$2:$V3562)+1,IF(AND($T3563&lt;&gt;"",$T3563=$T3562),$U3562,IF(C3563="x",V3562,"")))</f>
        <v/>
      </c>
      <c r="X3563" cm="1">
        <f t="array" ref="X3563">IF($I3563&lt;&gt;"",$I3563,INDEX($I$1:$I3563,ROW()-COUNTIFS($T$1:$T3563,"="&amp;$T3563,$S$1:$S3563,"&lt;"&amp;$S3563)))</f>
        <v>0</v>
      </c>
      <c r="Z3563" s="6">
        <f t="shared" si="486"/>
        <v>1</v>
      </c>
      <c r="AA3563" t="e">
        <f t="shared" si="487"/>
        <v>#VALUE!</v>
      </c>
      <c r="AB3563" t="str">
        <f t="shared" si="488"/>
        <v/>
      </c>
      <c r="AC3563" t="e">
        <f t="shared" si="489"/>
        <v>#VALUE!</v>
      </c>
    </row>
    <row r="3564" spans="1:29" x14ac:dyDescent="0.2">
      <c r="A3564" t="str">
        <f t="shared" si="490"/>
        <v/>
      </c>
      <c r="E3564" s="4"/>
      <c r="F3564" s="46"/>
      <c r="G3564" s="4"/>
      <c r="H3564" s="48"/>
      <c r="J3564" s="26" t="str">
        <f t="shared" si="491"/>
        <v/>
      </c>
      <c r="N3564" t="str">
        <f t="shared" si="492"/>
        <v/>
      </c>
      <c r="Q3564" t="str">
        <f t="shared" si="493"/>
        <v/>
      </c>
      <c r="S3564" t="str">
        <f>IF(A3564=1,MAX($S$2:$S3563)+1,IF(OR($I3564&lt;&gt;"",A3564="x"),$S3563,""))</f>
        <v/>
      </c>
      <c r="T3564" t="str">
        <f>IF(D3564=1,MAX($T$2:$T3563)+1,IF(S3564=S3563,$T3563,IF(D3564="x",T3563,IF(D3563="x","",""))))</f>
        <v/>
      </c>
      <c r="U3564" t="str">
        <f>IF(B3564=1,MAX($U$2:$U3563)+1,IF(AND($T3564&lt;&gt;"",$T3564=$T3563),$U3563,IF(B3564="x",U3563,"")))</f>
        <v/>
      </c>
      <c r="V3564" t="str">
        <f>IF(C3564=1,MAX($V$2:$V3563)+1,IF(AND($T3564&lt;&gt;"",$T3564=$T3563),$U3563,IF(C3564="x",V3563,"")))</f>
        <v/>
      </c>
      <c r="X3564" cm="1">
        <f t="array" ref="X3564">IF($I3564&lt;&gt;"",$I3564,INDEX($I$1:$I3564,ROW()-COUNTIFS($T$1:$T3564,"="&amp;$T3564,$S$1:$S3564,"&lt;"&amp;$S3564)))</f>
        <v>0</v>
      </c>
      <c r="Z3564" s="6">
        <f t="shared" si="486"/>
        <v>1</v>
      </c>
      <c r="AA3564" t="e">
        <f t="shared" si="487"/>
        <v>#VALUE!</v>
      </c>
      <c r="AB3564" t="str">
        <f t="shared" si="488"/>
        <v/>
      </c>
      <c r="AC3564" t="e">
        <f t="shared" si="489"/>
        <v>#VALUE!</v>
      </c>
    </row>
    <row r="3565" spans="1:29" x14ac:dyDescent="0.2">
      <c r="A3565" t="str">
        <f t="shared" si="490"/>
        <v/>
      </c>
      <c r="E3565" s="4"/>
      <c r="F3565" s="46"/>
      <c r="G3565" s="4"/>
      <c r="H3565" s="48"/>
      <c r="J3565" s="26" t="str">
        <f t="shared" si="491"/>
        <v/>
      </c>
      <c r="N3565" t="str">
        <f t="shared" si="492"/>
        <v/>
      </c>
      <c r="Q3565" t="str">
        <f t="shared" si="493"/>
        <v/>
      </c>
      <c r="S3565" t="str">
        <f>IF(A3565=1,MAX($S$2:$S3564)+1,IF(OR($I3565&lt;&gt;"",A3565="x"),$S3564,""))</f>
        <v/>
      </c>
      <c r="T3565" t="str">
        <f>IF(D3565=1,MAX($T$2:$T3564)+1,IF(S3565=S3564,$T3564,IF(D3565="x",T3564,IF(D3564="x","",""))))</f>
        <v/>
      </c>
      <c r="U3565" t="str">
        <f>IF(B3565=1,MAX($U$2:$U3564)+1,IF(AND($T3565&lt;&gt;"",$T3565=$T3564),$U3564,IF(B3565="x",U3564,"")))</f>
        <v/>
      </c>
      <c r="V3565" t="str">
        <f>IF(C3565=1,MAX($V$2:$V3564)+1,IF(AND($T3565&lt;&gt;"",$T3565=$T3564),$U3564,IF(C3565="x",V3564,"")))</f>
        <v/>
      </c>
      <c r="X3565" cm="1">
        <f t="array" ref="X3565">IF($I3565&lt;&gt;"",$I3565,INDEX($I$1:$I3565,ROW()-COUNTIFS($T$1:$T3565,"="&amp;$T3565,$S$1:$S3565,"&lt;"&amp;$S3565)))</f>
        <v>0</v>
      </c>
      <c r="Z3565" s="6">
        <f t="shared" si="486"/>
        <v>1</v>
      </c>
      <c r="AA3565" t="e">
        <f t="shared" si="487"/>
        <v>#VALUE!</v>
      </c>
      <c r="AB3565" t="str">
        <f t="shared" si="488"/>
        <v/>
      </c>
      <c r="AC3565" t="e">
        <f t="shared" si="489"/>
        <v>#VALUE!</v>
      </c>
    </row>
    <row r="3566" spans="1:29" x14ac:dyDescent="0.2">
      <c r="A3566" t="str">
        <f t="shared" si="490"/>
        <v/>
      </c>
      <c r="E3566" s="4"/>
      <c r="F3566" s="46"/>
      <c r="G3566" s="4"/>
      <c r="H3566" s="48"/>
      <c r="J3566" s="26" t="str">
        <f t="shared" si="491"/>
        <v/>
      </c>
      <c r="N3566" t="str">
        <f t="shared" si="492"/>
        <v/>
      </c>
      <c r="Q3566" t="str">
        <f t="shared" si="493"/>
        <v/>
      </c>
      <c r="S3566" t="str">
        <f>IF(A3566=1,MAX($S$2:$S3565)+1,IF(OR($I3566&lt;&gt;"",A3566="x"),$S3565,""))</f>
        <v/>
      </c>
      <c r="T3566" t="str">
        <f>IF(D3566=1,MAX($T$2:$T3565)+1,IF(S3566=S3565,$T3565,IF(D3566="x",T3565,IF(D3565="x","",""))))</f>
        <v/>
      </c>
      <c r="U3566" t="str">
        <f>IF(B3566=1,MAX($U$2:$U3565)+1,IF(AND($T3566&lt;&gt;"",$T3566=$T3565),$U3565,IF(B3566="x",U3565,"")))</f>
        <v/>
      </c>
      <c r="V3566" t="str">
        <f>IF(C3566=1,MAX($V$2:$V3565)+1,IF(AND($T3566&lt;&gt;"",$T3566=$T3565),$U3565,IF(C3566="x",V3565,"")))</f>
        <v/>
      </c>
      <c r="X3566" cm="1">
        <f t="array" ref="X3566">IF($I3566&lt;&gt;"",$I3566,INDEX($I$1:$I3566,ROW()-COUNTIFS($T$1:$T3566,"="&amp;$T3566,$S$1:$S3566,"&lt;"&amp;$S3566)))</f>
        <v>0</v>
      </c>
      <c r="Z3566" s="6">
        <f t="shared" si="486"/>
        <v>1</v>
      </c>
      <c r="AA3566" t="e">
        <f t="shared" si="487"/>
        <v>#VALUE!</v>
      </c>
      <c r="AB3566" t="str">
        <f t="shared" si="488"/>
        <v/>
      </c>
      <c r="AC3566" t="e">
        <f t="shared" si="489"/>
        <v>#VALUE!</v>
      </c>
    </row>
    <row r="3567" spans="1:29" x14ac:dyDescent="0.2">
      <c r="A3567" t="str">
        <f t="shared" si="490"/>
        <v/>
      </c>
      <c r="E3567" s="4"/>
      <c r="F3567" s="46"/>
      <c r="G3567" s="4"/>
      <c r="H3567" s="48"/>
      <c r="J3567" s="26" t="str">
        <f t="shared" si="491"/>
        <v/>
      </c>
      <c r="N3567" t="str">
        <f t="shared" si="492"/>
        <v/>
      </c>
      <c r="Q3567" t="str">
        <f t="shared" si="493"/>
        <v/>
      </c>
      <c r="S3567" t="str">
        <f>IF(A3567=1,MAX($S$2:$S3566)+1,IF(OR($I3567&lt;&gt;"",A3567="x"),$S3566,""))</f>
        <v/>
      </c>
      <c r="T3567" t="str">
        <f>IF(D3567=1,MAX($T$2:$T3566)+1,IF(S3567=S3566,$T3566,IF(D3567="x",T3566,IF(D3566="x","",""))))</f>
        <v/>
      </c>
      <c r="U3567" t="str">
        <f>IF(B3567=1,MAX($U$2:$U3566)+1,IF(AND($T3567&lt;&gt;"",$T3567=$T3566),$U3566,IF(B3567="x",U3566,"")))</f>
        <v/>
      </c>
      <c r="V3567" t="str">
        <f>IF(C3567=1,MAX($V$2:$V3566)+1,IF(AND($T3567&lt;&gt;"",$T3567=$T3566),$U3566,IF(C3567="x",V3566,"")))</f>
        <v/>
      </c>
      <c r="X3567" cm="1">
        <f t="array" ref="X3567">IF($I3567&lt;&gt;"",$I3567,INDEX($I$1:$I3567,ROW()-COUNTIFS($T$1:$T3567,"="&amp;$T3567,$S$1:$S3567,"&lt;"&amp;$S3567)))</f>
        <v>0</v>
      </c>
      <c r="Z3567" s="6">
        <f t="shared" si="486"/>
        <v>1</v>
      </c>
      <c r="AA3567" t="e">
        <f t="shared" si="487"/>
        <v>#VALUE!</v>
      </c>
      <c r="AB3567" t="str">
        <f t="shared" si="488"/>
        <v/>
      </c>
      <c r="AC3567" t="e">
        <f t="shared" si="489"/>
        <v>#VALUE!</v>
      </c>
    </row>
    <row r="3568" spans="1:29" x14ac:dyDescent="0.2">
      <c r="A3568" t="str">
        <f t="shared" si="490"/>
        <v/>
      </c>
      <c r="E3568" s="4"/>
      <c r="F3568" s="46"/>
      <c r="G3568" s="4"/>
      <c r="H3568" s="48"/>
      <c r="J3568" s="26" t="str">
        <f t="shared" si="491"/>
        <v/>
      </c>
      <c r="N3568" t="str">
        <f t="shared" si="492"/>
        <v/>
      </c>
      <c r="Q3568" t="str">
        <f t="shared" si="493"/>
        <v/>
      </c>
      <c r="S3568" t="str">
        <f>IF(A3568=1,MAX($S$2:$S3567)+1,IF(OR($I3568&lt;&gt;"",A3568="x"),$S3567,""))</f>
        <v/>
      </c>
      <c r="T3568" t="str">
        <f>IF(D3568=1,MAX($T$2:$T3567)+1,IF(S3568=S3567,$T3567,IF(D3568="x",T3567,IF(D3567="x","",""))))</f>
        <v/>
      </c>
      <c r="U3568" t="str">
        <f>IF(B3568=1,MAX($U$2:$U3567)+1,IF(AND($T3568&lt;&gt;"",$T3568=$T3567),$U3567,IF(B3568="x",U3567,"")))</f>
        <v/>
      </c>
      <c r="V3568" t="str">
        <f>IF(C3568=1,MAX($V$2:$V3567)+1,IF(AND($T3568&lt;&gt;"",$T3568=$T3567),$U3567,IF(C3568="x",V3567,"")))</f>
        <v/>
      </c>
      <c r="X3568" cm="1">
        <f t="array" ref="X3568">IF($I3568&lt;&gt;"",$I3568,INDEX($I$1:$I3568,ROW()-COUNTIFS($T$1:$T3568,"="&amp;$T3568,$S$1:$S3568,"&lt;"&amp;$S3568)))</f>
        <v>0</v>
      </c>
      <c r="Z3568" s="6">
        <f t="shared" si="486"/>
        <v>1</v>
      </c>
      <c r="AA3568" t="e">
        <f t="shared" si="487"/>
        <v>#VALUE!</v>
      </c>
      <c r="AB3568" t="str">
        <f t="shared" si="488"/>
        <v/>
      </c>
      <c r="AC3568" t="e">
        <f t="shared" si="489"/>
        <v>#VALUE!</v>
      </c>
    </row>
    <row r="3569" spans="1:29" x14ac:dyDescent="0.2">
      <c r="A3569" t="str">
        <f t="shared" si="490"/>
        <v/>
      </c>
      <c r="E3569" s="4"/>
      <c r="F3569" s="46"/>
      <c r="G3569" s="4"/>
      <c r="H3569" s="48"/>
      <c r="J3569" s="26" t="str">
        <f t="shared" si="491"/>
        <v/>
      </c>
      <c r="N3569" t="str">
        <f t="shared" si="492"/>
        <v/>
      </c>
      <c r="Q3569" t="str">
        <f t="shared" si="493"/>
        <v/>
      </c>
      <c r="S3569" t="str">
        <f>IF(A3569=1,MAX($S$2:$S3568)+1,IF(OR($I3569&lt;&gt;"",A3569="x"),$S3568,""))</f>
        <v/>
      </c>
      <c r="T3569" t="str">
        <f>IF(D3569=1,MAX($T$2:$T3568)+1,IF(S3569=S3568,$T3568,IF(D3569="x",T3568,IF(D3568="x","",""))))</f>
        <v/>
      </c>
      <c r="U3569" t="str">
        <f>IF(B3569=1,MAX($U$2:$U3568)+1,IF(AND($T3569&lt;&gt;"",$T3569=$T3568),$U3568,IF(B3569="x",U3568,"")))</f>
        <v/>
      </c>
      <c r="V3569" t="str">
        <f>IF(C3569=1,MAX($V$2:$V3568)+1,IF(AND($T3569&lt;&gt;"",$T3569=$T3568),$U3568,IF(C3569="x",V3568,"")))</f>
        <v/>
      </c>
      <c r="X3569" cm="1">
        <f t="array" ref="X3569">IF($I3569&lt;&gt;"",$I3569,INDEX($I$1:$I3569,ROW()-COUNTIFS($T$1:$T3569,"="&amp;$T3569,$S$1:$S3569,"&lt;"&amp;$S3569)))</f>
        <v>0</v>
      </c>
      <c r="Z3569" s="6">
        <f t="shared" si="486"/>
        <v>1</v>
      </c>
      <c r="AA3569" t="e">
        <f t="shared" si="487"/>
        <v>#VALUE!</v>
      </c>
      <c r="AB3569" t="str">
        <f t="shared" si="488"/>
        <v/>
      </c>
      <c r="AC3569" t="e">
        <f t="shared" si="489"/>
        <v>#VALUE!</v>
      </c>
    </row>
    <row r="3570" spans="1:29" x14ac:dyDescent="0.2">
      <c r="A3570" t="str">
        <f t="shared" si="490"/>
        <v/>
      </c>
      <c r="E3570" s="4"/>
      <c r="F3570" s="46"/>
      <c r="G3570" s="4"/>
      <c r="H3570" s="48"/>
      <c r="J3570" s="26" t="str">
        <f t="shared" si="491"/>
        <v/>
      </c>
      <c r="N3570" t="str">
        <f t="shared" si="492"/>
        <v/>
      </c>
      <c r="Q3570" t="str">
        <f t="shared" si="493"/>
        <v/>
      </c>
      <c r="S3570" t="str">
        <f>IF(A3570=1,MAX($S$2:$S3569)+1,IF(OR($I3570&lt;&gt;"",A3570="x"),$S3569,""))</f>
        <v/>
      </c>
      <c r="T3570" t="str">
        <f>IF(D3570=1,MAX($T$2:$T3569)+1,IF(S3570=S3569,$T3569,IF(D3570="x",T3569,IF(D3569="x","",""))))</f>
        <v/>
      </c>
      <c r="U3570" t="str">
        <f>IF(B3570=1,MAX($U$2:$U3569)+1,IF(AND($T3570&lt;&gt;"",$T3570=$T3569),$U3569,IF(B3570="x",U3569,"")))</f>
        <v/>
      </c>
      <c r="V3570" t="str">
        <f>IF(C3570=1,MAX($V$2:$V3569)+1,IF(AND($T3570&lt;&gt;"",$T3570=$T3569),$U3569,IF(C3570="x",V3569,"")))</f>
        <v/>
      </c>
      <c r="X3570" cm="1">
        <f t="array" ref="X3570">IF($I3570&lt;&gt;"",$I3570,INDEX($I$1:$I3570,ROW()-COUNTIFS($T$1:$T3570,"="&amp;$T3570,$S$1:$S3570,"&lt;"&amp;$S3570)))</f>
        <v>0</v>
      </c>
      <c r="Z3570" s="6">
        <f t="shared" si="486"/>
        <v>1</v>
      </c>
      <c r="AA3570" t="e">
        <f t="shared" si="487"/>
        <v>#VALUE!</v>
      </c>
      <c r="AB3570" t="str">
        <f t="shared" si="488"/>
        <v/>
      </c>
      <c r="AC3570" t="e">
        <f t="shared" si="489"/>
        <v>#VALUE!</v>
      </c>
    </row>
    <row r="3571" spans="1:29" x14ac:dyDescent="0.2">
      <c r="A3571" t="str">
        <f t="shared" si="490"/>
        <v/>
      </c>
      <c r="E3571" s="4"/>
      <c r="F3571" s="46"/>
      <c r="G3571" s="4"/>
      <c r="H3571" s="48"/>
      <c r="J3571" s="26" t="str">
        <f t="shared" si="491"/>
        <v/>
      </c>
      <c r="N3571" t="str">
        <f t="shared" si="492"/>
        <v/>
      </c>
      <c r="Q3571" t="str">
        <f t="shared" si="493"/>
        <v/>
      </c>
      <c r="S3571" t="str">
        <f>IF(A3571=1,MAX($S$2:$S3570)+1,IF(OR($I3571&lt;&gt;"",A3571="x"),$S3570,""))</f>
        <v/>
      </c>
      <c r="T3571" t="str">
        <f>IF(D3571=1,MAX($T$2:$T3570)+1,IF(S3571=S3570,$T3570,IF(D3571="x",T3570,IF(D3570="x","",""))))</f>
        <v/>
      </c>
      <c r="U3571" t="str">
        <f>IF(B3571=1,MAX($U$2:$U3570)+1,IF(AND($T3571&lt;&gt;"",$T3571=$T3570),$U3570,IF(B3571="x",U3570,"")))</f>
        <v/>
      </c>
      <c r="V3571" t="str">
        <f>IF(C3571=1,MAX($V$2:$V3570)+1,IF(AND($T3571&lt;&gt;"",$T3571=$T3570),$U3570,IF(C3571="x",V3570,"")))</f>
        <v/>
      </c>
      <c r="X3571" cm="1">
        <f t="array" ref="X3571">IF($I3571&lt;&gt;"",$I3571,INDEX($I$1:$I3571,ROW()-COUNTIFS($T$1:$T3571,"="&amp;$T3571,$S$1:$S3571,"&lt;"&amp;$S3571)))</f>
        <v>0</v>
      </c>
      <c r="Z3571" s="6">
        <f t="shared" si="486"/>
        <v>1</v>
      </c>
      <c r="AA3571" t="e">
        <f t="shared" si="487"/>
        <v>#VALUE!</v>
      </c>
      <c r="AB3571" t="str">
        <f t="shared" si="488"/>
        <v/>
      </c>
      <c r="AC3571" t="e">
        <f t="shared" si="489"/>
        <v>#VALUE!</v>
      </c>
    </row>
    <row r="3572" spans="1:29" x14ac:dyDescent="0.2">
      <c r="A3572" t="str">
        <f t="shared" si="490"/>
        <v/>
      </c>
      <c r="E3572" s="4"/>
      <c r="F3572" s="46"/>
      <c r="G3572" s="4"/>
      <c r="H3572" s="48"/>
      <c r="J3572" s="26" t="str">
        <f t="shared" si="491"/>
        <v/>
      </c>
      <c r="N3572" t="str">
        <f t="shared" si="492"/>
        <v/>
      </c>
      <c r="Q3572" t="str">
        <f t="shared" si="493"/>
        <v/>
      </c>
      <c r="S3572" t="str">
        <f>IF(A3572=1,MAX($S$2:$S3571)+1,IF(OR($I3572&lt;&gt;"",A3572="x"),$S3571,""))</f>
        <v/>
      </c>
      <c r="T3572" t="str">
        <f>IF(D3572=1,MAX($T$2:$T3571)+1,IF(S3572=S3571,$T3571,IF(D3572="x",T3571,IF(D3571="x","",""))))</f>
        <v/>
      </c>
      <c r="U3572" t="str">
        <f>IF(B3572=1,MAX($U$2:$U3571)+1,IF(AND($T3572&lt;&gt;"",$T3572=$T3571),$U3571,IF(B3572="x",U3571,"")))</f>
        <v/>
      </c>
      <c r="V3572" t="str">
        <f>IF(C3572=1,MAX($V$2:$V3571)+1,IF(AND($T3572&lt;&gt;"",$T3572=$T3571),$U3571,IF(C3572="x",V3571,"")))</f>
        <v/>
      </c>
      <c r="X3572" cm="1">
        <f t="array" ref="X3572">IF($I3572&lt;&gt;"",$I3572,INDEX($I$1:$I3572,ROW()-COUNTIFS($T$1:$T3572,"="&amp;$T3572,$S$1:$S3572,"&lt;"&amp;$S3572)))</f>
        <v>0</v>
      </c>
      <c r="Z3572" s="6">
        <f t="shared" si="486"/>
        <v>1</v>
      </c>
      <c r="AA3572" t="e">
        <f t="shared" si="487"/>
        <v>#VALUE!</v>
      </c>
      <c r="AB3572" t="str">
        <f t="shared" si="488"/>
        <v/>
      </c>
      <c r="AC3572" t="e">
        <f t="shared" si="489"/>
        <v>#VALUE!</v>
      </c>
    </row>
    <row r="3573" spans="1:29" x14ac:dyDescent="0.2">
      <c r="A3573" t="str">
        <f t="shared" si="490"/>
        <v/>
      </c>
      <c r="E3573" s="4"/>
      <c r="F3573" s="46"/>
      <c r="G3573" s="4"/>
      <c r="H3573" s="48"/>
      <c r="J3573" s="26" t="str">
        <f t="shared" si="491"/>
        <v/>
      </c>
      <c r="N3573" t="str">
        <f t="shared" si="492"/>
        <v/>
      </c>
      <c r="Q3573" t="str">
        <f t="shared" si="493"/>
        <v/>
      </c>
      <c r="S3573" t="str">
        <f>IF(A3573=1,MAX($S$2:$S3572)+1,IF(OR($I3573&lt;&gt;"",A3573="x"),$S3572,""))</f>
        <v/>
      </c>
      <c r="T3573" t="str">
        <f>IF(D3573=1,MAX($T$2:$T3572)+1,IF(S3573=S3572,$T3572,IF(D3573="x",T3572,IF(D3572="x","",""))))</f>
        <v/>
      </c>
      <c r="U3573" t="str">
        <f>IF(B3573=1,MAX($U$2:$U3572)+1,IF(AND($T3573&lt;&gt;"",$T3573=$T3572),$U3572,IF(B3573="x",U3572,"")))</f>
        <v/>
      </c>
      <c r="V3573" t="str">
        <f>IF(C3573=1,MAX($V$2:$V3572)+1,IF(AND($T3573&lt;&gt;"",$T3573=$T3572),$U3572,IF(C3573="x",V3572,"")))</f>
        <v/>
      </c>
      <c r="X3573" cm="1">
        <f t="array" ref="X3573">IF($I3573&lt;&gt;"",$I3573,INDEX($I$1:$I3573,ROW()-COUNTIFS($T$1:$T3573,"="&amp;$T3573,$S$1:$S3573,"&lt;"&amp;$S3573)))</f>
        <v>0</v>
      </c>
      <c r="Z3573" s="6">
        <f t="shared" si="486"/>
        <v>1</v>
      </c>
      <c r="AA3573" t="e">
        <f t="shared" si="487"/>
        <v>#VALUE!</v>
      </c>
      <c r="AB3573" t="str">
        <f t="shared" si="488"/>
        <v/>
      </c>
      <c r="AC3573" t="e">
        <f t="shared" si="489"/>
        <v>#VALUE!</v>
      </c>
    </row>
    <row r="3574" spans="1:29" x14ac:dyDescent="0.2">
      <c r="A3574" t="str">
        <f t="shared" si="490"/>
        <v/>
      </c>
      <c r="E3574" s="4"/>
      <c r="F3574" s="46"/>
      <c r="G3574" s="4"/>
      <c r="H3574" s="48"/>
      <c r="J3574" s="26" t="str">
        <f t="shared" si="491"/>
        <v/>
      </c>
      <c r="N3574" t="str">
        <f t="shared" si="492"/>
        <v/>
      </c>
      <c r="Q3574" t="str">
        <f t="shared" si="493"/>
        <v/>
      </c>
      <c r="S3574" t="str">
        <f>IF(A3574=1,MAX($S$2:$S3573)+1,IF(OR($I3574&lt;&gt;"",A3574="x"),$S3573,""))</f>
        <v/>
      </c>
      <c r="T3574" t="str">
        <f>IF(D3574=1,MAX($T$2:$T3573)+1,IF(S3574=S3573,$T3573,IF(D3574="x",T3573,IF(D3573="x","",""))))</f>
        <v/>
      </c>
      <c r="U3574" t="str">
        <f>IF(B3574=1,MAX($U$2:$U3573)+1,IF(AND($T3574&lt;&gt;"",$T3574=$T3573),$U3573,IF(B3574="x",U3573,"")))</f>
        <v/>
      </c>
      <c r="V3574" t="str">
        <f>IF(C3574=1,MAX($V$2:$V3573)+1,IF(AND($T3574&lt;&gt;"",$T3574=$T3573),$U3573,IF(C3574="x",V3573,"")))</f>
        <v/>
      </c>
      <c r="X3574" cm="1">
        <f t="array" ref="X3574">IF($I3574&lt;&gt;"",$I3574,INDEX($I$1:$I3574,ROW()-COUNTIFS($T$1:$T3574,"="&amp;$T3574,$S$1:$S3574,"&lt;"&amp;$S3574)))</f>
        <v>0</v>
      </c>
      <c r="Z3574" s="6">
        <f t="shared" si="486"/>
        <v>1</v>
      </c>
      <c r="AA3574" t="e">
        <f t="shared" si="487"/>
        <v>#VALUE!</v>
      </c>
      <c r="AB3574" t="str">
        <f t="shared" si="488"/>
        <v/>
      </c>
      <c r="AC3574" t="e">
        <f t="shared" si="489"/>
        <v>#VALUE!</v>
      </c>
    </row>
    <row r="3575" spans="1:29" x14ac:dyDescent="0.2">
      <c r="A3575" t="str">
        <f t="shared" si="490"/>
        <v/>
      </c>
      <c r="E3575" s="4"/>
      <c r="F3575" s="46"/>
      <c r="G3575" s="4"/>
      <c r="H3575" s="48"/>
      <c r="J3575" s="26" t="str">
        <f t="shared" si="491"/>
        <v/>
      </c>
      <c r="N3575" t="str">
        <f t="shared" si="492"/>
        <v/>
      </c>
      <c r="Q3575" t="str">
        <f t="shared" si="493"/>
        <v/>
      </c>
      <c r="S3575" t="str">
        <f>IF(A3575=1,MAX($S$2:$S3574)+1,IF(OR($I3575&lt;&gt;"",A3575="x"),$S3574,""))</f>
        <v/>
      </c>
      <c r="T3575" t="str">
        <f>IF(D3575=1,MAX($T$2:$T3574)+1,IF(S3575=S3574,$T3574,IF(D3575="x",T3574,IF(D3574="x","",""))))</f>
        <v/>
      </c>
      <c r="U3575" t="str">
        <f>IF(B3575=1,MAX($U$2:$U3574)+1,IF(AND($T3575&lt;&gt;"",$T3575=$T3574),$U3574,IF(B3575="x",U3574,"")))</f>
        <v/>
      </c>
      <c r="V3575" t="str">
        <f>IF(C3575=1,MAX($V$2:$V3574)+1,IF(AND($T3575&lt;&gt;"",$T3575=$T3574),$U3574,IF(C3575="x",V3574,"")))</f>
        <v/>
      </c>
      <c r="X3575" cm="1">
        <f t="array" ref="X3575">IF($I3575&lt;&gt;"",$I3575,INDEX($I$1:$I3575,ROW()-COUNTIFS($T$1:$T3575,"="&amp;$T3575,$S$1:$S3575,"&lt;"&amp;$S3575)))</f>
        <v>0</v>
      </c>
      <c r="Z3575" s="6">
        <f t="shared" si="486"/>
        <v>1</v>
      </c>
      <c r="AA3575" t="e">
        <f t="shared" si="487"/>
        <v>#VALUE!</v>
      </c>
      <c r="AB3575" t="str">
        <f t="shared" si="488"/>
        <v/>
      </c>
      <c r="AC3575" t="e">
        <f t="shared" si="489"/>
        <v>#VALUE!</v>
      </c>
    </row>
    <row r="3576" spans="1:29" x14ac:dyDescent="0.2">
      <c r="A3576" t="str">
        <f t="shared" si="490"/>
        <v/>
      </c>
      <c r="E3576" s="4"/>
      <c r="F3576" s="46"/>
      <c r="G3576" s="4"/>
      <c r="H3576" s="48"/>
      <c r="J3576" s="26" t="str">
        <f t="shared" si="491"/>
        <v/>
      </c>
      <c r="N3576" t="str">
        <f t="shared" si="492"/>
        <v/>
      </c>
      <c r="Q3576" t="str">
        <f t="shared" si="493"/>
        <v/>
      </c>
      <c r="S3576" t="str">
        <f>IF(A3576=1,MAX($S$2:$S3575)+1,IF(OR($I3576&lt;&gt;"",A3576="x"),$S3575,""))</f>
        <v/>
      </c>
      <c r="T3576" t="str">
        <f>IF(D3576=1,MAX($T$2:$T3575)+1,IF(S3576=S3575,$T3575,IF(D3576="x",T3575,IF(D3575="x","",""))))</f>
        <v/>
      </c>
      <c r="U3576" t="str">
        <f>IF(B3576=1,MAX($U$2:$U3575)+1,IF(AND($T3576&lt;&gt;"",$T3576=$T3575),$U3575,IF(B3576="x",U3575,"")))</f>
        <v/>
      </c>
      <c r="V3576" t="str">
        <f>IF(C3576=1,MAX($V$2:$V3575)+1,IF(AND($T3576&lt;&gt;"",$T3576=$T3575),$U3575,IF(C3576="x",V3575,"")))</f>
        <v/>
      </c>
      <c r="X3576" cm="1">
        <f t="array" ref="X3576">IF($I3576&lt;&gt;"",$I3576,INDEX($I$1:$I3576,ROW()-COUNTIFS($T$1:$T3576,"="&amp;$T3576,$S$1:$S3576,"&lt;"&amp;$S3576)))</f>
        <v>0</v>
      </c>
      <c r="Z3576" s="6">
        <f t="shared" si="486"/>
        <v>1</v>
      </c>
      <c r="AA3576" t="e">
        <f t="shared" si="487"/>
        <v>#VALUE!</v>
      </c>
      <c r="AB3576" t="str">
        <f t="shared" si="488"/>
        <v/>
      </c>
      <c r="AC3576" t="e">
        <f t="shared" si="489"/>
        <v>#VALUE!</v>
      </c>
    </row>
    <row r="3577" spans="1:29" x14ac:dyDescent="0.2">
      <c r="A3577" t="str">
        <f t="shared" si="490"/>
        <v/>
      </c>
      <c r="E3577" s="4"/>
      <c r="F3577" s="46"/>
      <c r="G3577" s="4"/>
      <c r="H3577" s="48"/>
      <c r="J3577" s="26" t="str">
        <f t="shared" si="491"/>
        <v/>
      </c>
      <c r="N3577" t="str">
        <f t="shared" si="492"/>
        <v/>
      </c>
      <c r="Q3577" t="str">
        <f t="shared" si="493"/>
        <v/>
      </c>
      <c r="S3577" t="str">
        <f>IF(A3577=1,MAX($S$2:$S3576)+1,IF(OR($I3577&lt;&gt;"",A3577="x"),$S3576,""))</f>
        <v/>
      </c>
      <c r="T3577" t="str">
        <f>IF(D3577=1,MAX($T$2:$T3576)+1,IF(S3577=S3576,$T3576,IF(D3577="x",T3576,IF(D3576="x","",""))))</f>
        <v/>
      </c>
      <c r="U3577" t="str">
        <f>IF(B3577=1,MAX($U$2:$U3576)+1,IF(AND($T3577&lt;&gt;"",$T3577=$T3576),$U3576,IF(B3577="x",U3576,"")))</f>
        <v/>
      </c>
      <c r="V3577" t="str">
        <f>IF(C3577=1,MAX($V$2:$V3576)+1,IF(AND($T3577&lt;&gt;"",$T3577=$T3576),$U3576,IF(C3577="x",V3576,"")))</f>
        <v/>
      </c>
      <c r="X3577" cm="1">
        <f t="array" ref="X3577">IF($I3577&lt;&gt;"",$I3577,INDEX($I$1:$I3577,ROW()-COUNTIFS($T$1:$T3577,"="&amp;$T3577,$S$1:$S3577,"&lt;"&amp;$S3577)))</f>
        <v>0</v>
      </c>
      <c r="Z3577" s="6">
        <f t="shared" si="486"/>
        <v>1</v>
      </c>
      <c r="AA3577" t="e">
        <f t="shared" si="487"/>
        <v>#VALUE!</v>
      </c>
      <c r="AB3577" t="str">
        <f t="shared" si="488"/>
        <v/>
      </c>
      <c r="AC3577" t="e">
        <f t="shared" si="489"/>
        <v>#VALUE!</v>
      </c>
    </row>
    <row r="3578" spans="1:29" x14ac:dyDescent="0.2">
      <c r="A3578" t="str">
        <f t="shared" si="490"/>
        <v/>
      </c>
      <c r="E3578" s="4"/>
      <c r="F3578" s="46"/>
      <c r="G3578" s="4"/>
      <c r="H3578" s="48"/>
      <c r="J3578" s="26" t="str">
        <f t="shared" si="491"/>
        <v/>
      </c>
      <c r="N3578" t="str">
        <f t="shared" si="492"/>
        <v/>
      </c>
      <c r="Q3578" t="str">
        <f t="shared" si="493"/>
        <v/>
      </c>
      <c r="S3578" t="str">
        <f>IF(A3578=1,MAX($S$2:$S3577)+1,IF(OR($I3578&lt;&gt;"",A3578="x"),$S3577,""))</f>
        <v/>
      </c>
      <c r="T3578" t="str">
        <f>IF(D3578=1,MAX($T$2:$T3577)+1,IF(S3578=S3577,$T3577,IF(D3578="x",T3577,IF(D3577="x","",""))))</f>
        <v/>
      </c>
      <c r="U3578" t="str">
        <f>IF(B3578=1,MAX($U$2:$U3577)+1,IF(AND($T3578&lt;&gt;"",$T3578=$T3577),$U3577,IF(B3578="x",U3577,"")))</f>
        <v/>
      </c>
      <c r="V3578" t="str">
        <f>IF(C3578=1,MAX($V$2:$V3577)+1,IF(AND($T3578&lt;&gt;"",$T3578=$T3577),$U3577,IF(C3578="x",V3577,"")))</f>
        <v/>
      </c>
      <c r="X3578" cm="1">
        <f t="array" ref="X3578">IF($I3578&lt;&gt;"",$I3578,INDEX($I$1:$I3578,ROW()-COUNTIFS($T$1:$T3578,"="&amp;$T3578,$S$1:$S3578,"&lt;"&amp;$S3578)))</f>
        <v>0</v>
      </c>
      <c r="Z3578" s="6">
        <f t="shared" si="486"/>
        <v>1</v>
      </c>
      <c r="AA3578" t="e">
        <f t="shared" si="487"/>
        <v>#VALUE!</v>
      </c>
      <c r="AB3578" t="str">
        <f t="shared" si="488"/>
        <v/>
      </c>
      <c r="AC3578" t="e">
        <f t="shared" si="489"/>
        <v>#VALUE!</v>
      </c>
    </row>
    <row r="3579" spans="1:29" x14ac:dyDescent="0.2">
      <c r="A3579" t="str">
        <f t="shared" si="490"/>
        <v/>
      </c>
      <c r="E3579" s="4"/>
      <c r="F3579" s="46"/>
      <c r="G3579" s="4"/>
      <c r="H3579" s="48"/>
      <c r="J3579" s="26" t="str">
        <f t="shared" si="491"/>
        <v/>
      </c>
      <c r="N3579" t="str">
        <f t="shared" si="492"/>
        <v/>
      </c>
      <c r="Q3579" t="str">
        <f t="shared" si="493"/>
        <v/>
      </c>
      <c r="S3579" t="str">
        <f>IF(A3579=1,MAX($S$2:$S3578)+1,IF(OR($I3579&lt;&gt;"",A3579="x"),$S3578,""))</f>
        <v/>
      </c>
      <c r="T3579" t="str">
        <f>IF(D3579=1,MAX($T$2:$T3578)+1,IF(S3579=S3578,$T3578,IF(D3579="x",T3578,IF(D3578="x","",""))))</f>
        <v/>
      </c>
      <c r="U3579" t="str">
        <f>IF(B3579=1,MAX($U$2:$U3578)+1,IF(AND($T3579&lt;&gt;"",$T3579=$T3578),$U3578,IF(B3579="x",U3578,"")))</f>
        <v/>
      </c>
      <c r="V3579" t="str">
        <f>IF(C3579=1,MAX($V$2:$V3578)+1,IF(AND($T3579&lt;&gt;"",$T3579=$T3578),$U3578,IF(C3579="x",V3578,"")))</f>
        <v/>
      </c>
      <c r="X3579" cm="1">
        <f t="array" ref="X3579">IF($I3579&lt;&gt;"",$I3579,INDEX($I$1:$I3579,ROW()-COUNTIFS($T$1:$T3579,"="&amp;$T3579,$S$1:$S3579,"&lt;"&amp;$S3579)))</f>
        <v>0</v>
      </c>
      <c r="Z3579" s="6">
        <f t="shared" si="486"/>
        <v>1</v>
      </c>
      <c r="AA3579" t="e">
        <f t="shared" si="487"/>
        <v>#VALUE!</v>
      </c>
      <c r="AB3579" t="str">
        <f t="shared" si="488"/>
        <v/>
      </c>
      <c r="AC3579" t="e">
        <f t="shared" si="489"/>
        <v>#VALUE!</v>
      </c>
    </row>
    <row r="3580" spans="1:29" x14ac:dyDescent="0.2">
      <c r="A3580" t="str">
        <f t="shared" si="490"/>
        <v/>
      </c>
      <c r="E3580" s="4"/>
      <c r="F3580" s="46"/>
      <c r="G3580" s="4"/>
      <c r="H3580" s="48"/>
      <c r="J3580" s="26" t="str">
        <f t="shared" si="491"/>
        <v/>
      </c>
      <c r="N3580" t="str">
        <f t="shared" si="492"/>
        <v/>
      </c>
      <c r="Q3580" t="str">
        <f t="shared" si="493"/>
        <v/>
      </c>
      <c r="S3580" t="str">
        <f>IF(A3580=1,MAX($S$2:$S3579)+1,IF(OR($I3580&lt;&gt;"",A3580="x"),$S3579,""))</f>
        <v/>
      </c>
      <c r="T3580" t="str">
        <f>IF(D3580=1,MAX($T$2:$T3579)+1,IF(S3580=S3579,$T3579,IF(D3580="x",T3579,IF(D3579="x","",""))))</f>
        <v/>
      </c>
      <c r="U3580" t="str">
        <f>IF(B3580=1,MAX($U$2:$U3579)+1,IF(AND($T3580&lt;&gt;"",$T3580=$T3579),$U3579,IF(B3580="x",U3579,"")))</f>
        <v/>
      </c>
      <c r="V3580" t="str">
        <f>IF(C3580=1,MAX($V$2:$V3579)+1,IF(AND($T3580&lt;&gt;"",$T3580=$T3579),$U3579,IF(C3580="x",V3579,"")))</f>
        <v/>
      </c>
      <c r="X3580" cm="1">
        <f t="array" ref="X3580">IF($I3580&lt;&gt;"",$I3580,INDEX($I$1:$I3580,ROW()-COUNTIFS($T$1:$T3580,"="&amp;$T3580,$S$1:$S3580,"&lt;"&amp;$S3580)))</f>
        <v>0</v>
      </c>
      <c r="Z3580" s="6">
        <f t="shared" si="486"/>
        <v>1</v>
      </c>
      <c r="AA3580" t="e">
        <f t="shared" si="487"/>
        <v>#VALUE!</v>
      </c>
      <c r="AB3580" t="str">
        <f t="shared" si="488"/>
        <v/>
      </c>
      <c r="AC3580" t="e">
        <f t="shared" si="489"/>
        <v>#VALUE!</v>
      </c>
    </row>
    <row r="3581" spans="1:29" x14ac:dyDescent="0.2">
      <c r="A3581" t="str">
        <f t="shared" si="490"/>
        <v/>
      </c>
      <c r="E3581" s="4"/>
      <c r="F3581" s="46"/>
      <c r="G3581" s="4"/>
      <c r="H3581" s="48"/>
      <c r="J3581" s="26" t="str">
        <f t="shared" si="491"/>
        <v/>
      </c>
      <c r="N3581" t="str">
        <f t="shared" si="492"/>
        <v/>
      </c>
      <c r="Q3581" t="str">
        <f t="shared" si="493"/>
        <v/>
      </c>
      <c r="S3581" t="str">
        <f>IF(A3581=1,MAX($S$2:$S3580)+1,IF(OR($I3581&lt;&gt;"",A3581="x"),$S3580,""))</f>
        <v/>
      </c>
      <c r="T3581" t="str">
        <f>IF(D3581=1,MAX($T$2:$T3580)+1,IF(S3581=S3580,$T3580,IF(D3581="x",T3580,IF(D3580="x","",""))))</f>
        <v/>
      </c>
      <c r="U3581" t="str">
        <f>IF(B3581=1,MAX($U$2:$U3580)+1,IF(AND($T3581&lt;&gt;"",$T3581=$T3580),$U3580,IF(B3581="x",U3580,"")))</f>
        <v/>
      </c>
      <c r="V3581" t="str">
        <f>IF(C3581=1,MAX($V$2:$V3580)+1,IF(AND($T3581&lt;&gt;"",$T3581=$T3580),$U3580,IF(C3581="x",V3580,"")))</f>
        <v/>
      </c>
      <c r="X3581" cm="1">
        <f t="array" ref="X3581">IF($I3581&lt;&gt;"",$I3581,INDEX($I$1:$I3581,ROW()-COUNTIFS($T$1:$T3581,"="&amp;$T3581,$S$1:$S3581,"&lt;"&amp;$S3581)))</f>
        <v>0</v>
      </c>
      <c r="Z3581" s="6">
        <f t="shared" si="486"/>
        <v>1</v>
      </c>
      <c r="AA3581" t="e">
        <f t="shared" si="487"/>
        <v>#VALUE!</v>
      </c>
      <c r="AB3581" t="str">
        <f t="shared" si="488"/>
        <v/>
      </c>
      <c r="AC3581" t="e">
        <f t="shared" si="489"/>
        <v>#VALUE!</v>
      </c>
    </row>
    <row r="3582" spans="1:29" x14ac:dyDescent="0.2">
      <c r="A3582" t="str">
        <f t="shared" si="490"/>
        <v/>
      </c>
      <c r="E3582" s="4"/>
      <c r="F3582" s="46"/>
      <c r="G3582" s="4"/>
      <c r="H3582" s="48"/>
      <c r="J3582" s="26" t="str">
        <f t="shared" si="491"/>
        <v/>
      </c>
      <c r="N3582" t="str">
        <f t="shared" si="492"/>
        <v/>
      </c>
      <c r="Q3582" t="str">
        <f t="shared" si="493"/>
        <v/>
      </c>
      <c r="S3582" t="str">
        <f>IF(A3582=1,MAX($S$2:$S3581)+1,IF(OR($I3582&lt;&gt;"",A3582="x"),$S3581,""))</f>
        <v/>
      </c>
      <c r="T3582" t="str">
        <f>IF(D3582=1,MAX($T$2:$T3581)+1,IF(S3582=S3581,$T3581,IF(D3582="x",T3581,IF(D3581="x","",""))))</f>
        <v/>
      </c>
      <c r="U3582" t="str">
        <f>IF(B3582=1,MAX($U$2:$U3581)+1,IF(AND($T3582&lt;&gt;"",$T3582=$T3581),$U3581,IF(B3582="x",U3581,"")))</f>
        <v/>
      </c>
      <c r="V3582" t="str">
        <f>IF(C3582=1,MAX($V$2:$V3581)+1,IF(AND($T3582&lt;&gt;"",$T3582=$T3581),$U3581,IF(C3582="x",V3581,"")))</f>
        <v/>
      </c>
      <c r="X3582" cm="1">
        <f t="array" ref="X3582">IF($I3582&lt;&gt;"",$I3582,INDEX($I$1:$I3582,ROW()-COUNTIFS($T$1:$T3582,"="&amp;$T3582,$S$1:$S3582,"&lt;"&amp;$S3582)))</f>
        <v>0</v>
      </c>
      <c r="Z3582" s="6">
        <f t="shared" si="486"/>
        <v>1</v>
      </c>
      <c r="AA3582" t="e">
        <f t="shared" si="487"/>
        <v>#VALUE!</v>
      </c>
      <c r="AB3582" t="str">
        <f t="shared" si="488"/>
        <v/>
      </c>
      <c r="AC3582" t="e">
        <f t="shared" si="489"/>
        <v>#VALUE!</v>
      </c>
    </row>
    <row r="3583" spans="1:29" x14ac:dyDescent="0.2">
      <c r="A3583" t="str">
        <f t="shared" si="490"/>
        <v/>
      </c>
      <c r="E3583" s="4"/>
      <c r="F3583" s="46"/>
      <c r="G3583" s="4"/>
      <c r="H3583" s="48"/>
      <c r="J3583" s="26" t="str">
        <f t="shared" si="491"/>
        <v/>
      </c>
      <c r="N3583" t="str">
        <f t="shared" si="492"/>
        <v/>
      </c>
      <c r="Q3583" t="str">
        <f t="shared" si="493"/>
        <v/>
      </c>
      <c r="S3583" t="str">
        <f>IF(A3583=1,MAX($S$2:$S3582)+1,IF(OR($I3583&lt;&gt;"",A3583="x"),$S3582,""))</f>
        <v/>
      </c>
      <c r="T3583" t="str">
        <f>IF(D3583=1,MAX($T$2:$T3582)+1,IF(S3583=S3582,$T3582,IF(D3583="x",T3582,IF(D3582="x","",""))))</f>
        <v/>
      </c>
      <c r="U3583" t="str">
        <f>IF(B3583=1,MAX($U$2:$U3582)+1,IF(AND($T3583&lt;&gt;"",$T3583=$T3582),$U3582,IF(B3583="x",U3582,"")))</f>
        <v/>
      </c>
      <c r="V3583" t="str">
        <f>IF(C3583=1,MAX($V$2:$V3582)+1,IF(AND($T3583&lt;&gt;"",$T3583=$T3582),$U3582,IF(C3583="x",V3582,"")))</f>
        <v/>
      </c>
      <c r="X3583" cm="1">
        <f t="array" ref="X3583">IF($I3583&lt;&gt;"",$I3583,INDEX($I$1:$I3583,ROW()-COUNTIFS($T$1:$T3583,"="&amp;$T3583,$S$1:$S3583,"&lt;"&amp;$S3583)))</f>
        <v>0</v>
      </c>
      <c r="Z3583" s="6">
        <f t="shared" si="486"/>
        <v>1</v>
      </c>
      <c r="AA3583" t="e">
        <f t="shared" si="487"/>
        <v>#VALUE!</v>
      </c>
      <c r="AB3583" t="str">
        <f t="shared" si="488"/>
        <v/>
      </c>
      <c r="AC3583" t="e">
        <f t="shared" si="489"/>
        <v>#VALUE!</v>
      </c>
    </row>
    <row r="3584" spans="1:29" x14ac:dyDescent="0.2">
      <c r="A3584" t="str">
        <f t="shared" si="490"/>
        <v/>
      </c>
      <c r="E3584" s="4"/>
      <c r="F3584" s="46"/>
      <c r="G3584" s="4"/>
      <c r="H3584" s="48"/>
      <c r="J3584" s="26" t="str">
        <f t="shared" si="491"/>
        <v/>
      </c>
      <c r="N3584" t="str">
        <f t="shared" si="492"/>
        <v/>
      </c>
      <c r="Q3584" t="str">
        <f t="shared" si="493"/>
        <v/>
      </c>
      <c r="S3584" t="str">
        <f>IF(A3584=1,MAX($S$2:$S3583)+1,IF(OR($I3584&lt;&gt;"",A3584="x"),$S3583,""))</f>
        <v/>
      </c>
      <c r="T3584" t="str">
        <f>IF(D3584=1,MAX($T$2:$T3583)+1,IF(S3584=S3583,$T3583,IF(D3584="x",T3583,IF(D3583="x","",""))))</f>
        <v/>
      </c>
      <c r="U3584" t="str">
        <f>IF(B3584=1,MAX($U$2:$U3583)+1,IF(AND($T3584&lt;&gt;"",$T3584=$T3583),$U3583,IF(B3584="x",U3583,"")))</f>
        <v/>
      </c>
      <c r="V3584" t="str">
        <f>IF(C3584=1,MAX($V$2:$V3583)+1,IF(AND($T3584&lt;&gt;"",$T3584=$T3583),$U3583,IF(C3584="x",V3583,"")))</f>
        <v/>
      </c>
      <c r="X3584" cm="1">
        <f t="array" ref="X3584">IF($I3584&lt;&gt;"",$I3584,INDEX($I$1:$I3584,ROW()-COUNTIFS($T$1:$T3584,"="&amp;$T3584,$S$1:$S3584,"&lt;"&amp;$S3584)))</f>
        <v>0</v>
      </c>
      <c r="Z3584" s="6">
        <f t="shared" si="486"/>
        <v>1</v>
      </c>
      <c r="AA3584" t="e">
        <f t="shared" si="487"/>
        <v>#VALUE!</v>
      </c>
      <c r="AB3584" t="str">
        <f t="shared" si="488"/>
        <v/>
      </c>
      <c r="AC3584" t="e">
        <f t="shared" si="489"/>
        <v>#VALUE!</v>
      </c>
    </row>
    <row r="3585" spans="1:29" x14ac:dyDescent="0.2">
      <c r="A3585" t="str">
        <f t="shared" si="490"/>
        <v/>
      </c>
      <c r="E3585" s="4"/>
      <c r="F3585" s="46"/>
      <c r="G3585" s="4"/>
      <c r="H3585" s="48"/>
      <c r="J3585" s="26" t="str">
        <f t="shared" si="491"/>
        <v/>
      </c>
      <c r="N3585" t="str">
        <f t="shared" si="492"/>
        <v/>
      </c>
      <c r="Q3585" t="str">
        <f t="shared" si="493"/>
        <v/>
      </c>
      <c r="S3585" t="str">
        <f>IF(A3585=1,MAX($S$2:$S3584)+1,IF(OR($I3585&lt;&gt;"",A3585="x"),$S3584,""))</f>
        <v/>
      </c>
      <c r="T3585" t="str">
        <f>IF(D3585=1,MAX($T$2:$T3584)+1,IF(S3585=S3584,$T3584,IF(D3585="x",T3584,IF(D3584="x","",""))))</f>
        <v/>
      </c>
      <c r="U3585" t="str">
        <f>IF(B3585=1,MAX($U$2:$U3584)+1,IF(AND($T3585&lt;&gt;"",$T3585=$T3584),$U3584,IF(B3585="x",U3584,"")))</f>
        <v/>
      </c>
      <c r="V3585" t="str">
        <f>IF(C3585=1,MAX($V$2:$V3584)+1,IF(AND($T3585&lt;&gt;"",$T3585=$T3584),$U3584,IF(C3585="x",V3584,"")))</f>
        <v/>
      </c>
      <c r="X3585" cm="1">
        <f t="array" ref="X3585">IF($I3585&lt;&gt;"",$I3585,INDEX($I$1:$I3585,ROW()-COUNTIFS($T$1:$T3585,"="&amp;$T3585,$S$1:$S3585,"&lt;"&amp;$S3585)))</f>
        <v>0</v>
      </c>
      <c r="Z3585" s="6">
        <f t="shared" si="486"/>
        <v>1</v>
      </c>
      <c r="AA3585" t="e">
        <f t="shared" si="487"/>
        <v>#VALUE!</v>
      </c>
      <c r="AB3585" t="str">
        <f t="shared" si="488"/>
        <v/>
      </c>
      <c r="AC3585" t="e">
        <f t="shared" si="489"/>
        <v>#VALUE!</v>
      </c>
    </row>
    <row r="3586" spans="1:29" x14ac:dyDescent="0.2">
      <c r="A3586" t="str">
        <f t="shared" si="490"/>
        <v/>
      </c>
      <c r="E3586" s="4"/>
      <c r="F3586" s="46"/>
      <c r="G3586" s="4"/>
      <c r="H3586" s="48"/>
      <c r="J3586" s="26" t="str">
        <f t="shared" si="491"/>
        <v/>
      </c>
      <c r="N3586" t="str">
        <f t="shared" si="492"/>
        <v/>
      </c>
      <c r="Q3586" t="str">
        <f t="shared" si="493"/>
        <v/>
      </c>
      <c r="S3586" t="str">
        <f>IF(A3586=1,MAX($S$2:$S3585)+1,IF(OR($I3586&lt;&gt;"",A3586="x"),$S3585,""))</f>
        <v/>
      </c>
      <c r="T3586" t="str">
        <f>IF(D3586=1,MAX($T$2:$T3585)+1,IF(S3586=S3585,$T3585,IF(D3586="x",T3585,IF(D3585="x","",""))))</f>
        <v/>
      </c>
      <c r="U3586" t="str">
        <f>IF(B3586=1,MAX($U$2:$U3585)+1,IF(AND($T3586&lt;&gt;"",$T3586=$T3585),$U3585,IF(B3586="x",U3585,"")))</f>
        <v/>
      </c>
      <c r="V3586" t="str">
        <f>IF(C3586=1,MAX($V$2:$V3585)+1,IF(AND($T3586&lt;&gt;"",$T3586=$T3585),$U3585,IF(C3586="x",V3585,"")))</f>
        <v/>
      </c>
      <c r="X3586" cm="1">
        <f t="array" ref="X3586">IF($I3586&lt;&gt;"",$I3586,INDEX($I$1:$I3586,ROW()-COUNTIFS($T$1:$T3586,"="&amp;$T3586,$S$1:$S3586,"&lt;"&amp;$S3586)))</f>
        <v>0</v>
      </c>
      <c r="Z3586" s="6">
        <f t="shared" si="486"/>
        <v>1</v>
      </c>
      <c r="AA3586" t="e">
        <f t="shared" si="487"/>
        <v>#VALUE!</v>
      </c>
      <c r="AB3586" t="str">
        <f t="shared" si="488"/>
        <v/>
      </c>
      <c r="AC3586" t="e">
        <f t="shared" si="489"/>
        <v>#VALUE!</v>
      </c>
    </row>
    <row r="3587" spans="1:29" x14ac:dyDescent="0.2">
      <c r="A3587" t="str">
        <f t="shared" si="490"/>
        <v/>
      </c>
      <c r="E3587" s="4"/>
      <c r="F3587" s="46"/>
      <c r="G3587" s="4"/>
      <c r="H3587" s="48"/>
      <c r="J3587" s="26" t="str">
        <f t="shared" si="491"/>
        <v/>
      </c>
      <c r="N3587" t="str">
        <f t="shared" si="492"/>
        <v/>
      </c>
      <c r="Q3587" t="str">
        <f t="shared" si="493"/>
        <v/>
      </c>
      <c r="S3587" t="str">
        <f>IF(A3587=1,MAX($S$2:$S3586)+1,IF(OR($I3587&lt;&gt;"",A3587="x"),$S3586,""))</f>
        <v/>
      </c>
      <c r="T3587" t="str">
        <f>IF(D3587=1,MAX($T$2:$T3586)+1,IF(S3587=S3586,$T3586,IF(D3587="x",T3586,IF(D3586="x","",""))))</f>
        <v/>
      </c>
      <c r="U3587" t="str">
        <f>IF(B3587=1,MAX($U$2:$U3586)+1,IF(AND($T3587&lt;&gt;"",$T3587=$T3586),$U3586,IF(B3587="x",U3586,"")))</f>
        <v/>
      </c>
      <c r="V3587" t="str">
        <f>IF(C3587=1,MAX($V$2:$V3586)+1,IF(AND($T3587&lt;&gt;"",$T3587=$T3586),$U3586,IF(C3587="x",V3586,"")))</f>
        <v/>
      </c>
      <c r="X3587" cm="1">
        <f t="array" ref="X3587">IF($I3587&lt;&gt;"",$I3587,INDEX($I$1:$I3587,ROW()-COUNTIFS($T$1:$T3587,"="&amp;$T3587,$S$1:$S3587,"&lt;"&amp;$S3587)))</f>
        <v>0</v>
      </c>
      <c r="Z3587" s="6">
        <f t="shared" si="486"/>
        <v>1</v>
      </c>
      <c r="AA3587" t="e">
        <f t="shared" si="487"/>
        <v>#VALUE!</v>
      </c>
      <c r="AB3587" t="str">
        <f t="shared" si="488"/>
        <v/>
      </c>
      <c r="AC3587" t="e">
        <f t="shared" si="489"/>
        <v>#VALUE!</v>
      </c>
    </row>
    <row r="3588" spans="1:29" x14ac:dyDescent="0.2">
      <c r="A3588" t="str">
        <f t="shared" si="490"/>
        <v/>
      </c>
      <c r="E3588" s="4"/>
      <c r="F3588" s="46"/>
      <c r="G3588" s="4"/>
      <c r="H3588" s="48"/>
      <c r="J3588" s="26" t="str">
        <f t="shared" si="491"/>
        <v/>
      </c>
      <c r="N3588" t="str">
        <f t="shared" si="492"/>
        <v/>
      </c>
      <c r="Q3588" t="str">
        <f t="shared" si="493"/>
        <v/>
      </c>
      <c r="S3588" t="str">
        <f>IF(A3588=1,MAX($S$2:$S3587)+1,IF(OR($I3588&lt;&gt;"",A3588="x"),$S3587,""))</f>
        <v/>
      </c>
      <c r="T3588" t="str">
        <f>IF(D3588=1,MAX($T$2:$T3587)+1,IF(S3588=S3587,$T3587,IF(D3588="x",T3587,IF(D3587="x","",""))))</f>
        <v/>
      </c>
      <c r="U3588" t="str">
        <f>IF(B3588=1,MAX($U$2:$U3587)+1,IF(AND($T3588&lt;&gt;"",$T3588=$T3587),$U3587,IF(B3588="x",U3587,"")))</f>
        <v/>
      </c>
      <c r="V3588" t="str">
        <f>IF(C3588=1,MAX($V$2:$V3587)+1,IF(AND($T3588&lt;&gt;"",$T3588=$T3587),$U3587,IF(C3588="x",V3587,"")))</f>
        <v/>
      </c>
      <c r="X3588" cm="1">
        <f t="array" ref="X3588">IF($I3588&lt;&gt;"",$I3588,INDEX($I$1:$I3588,ROW()-COUNTIFS($T$1:$T3588,"="&amp;$T3588,$S$1:$S3588,"&lt;"&amp;$S3588)))</f>
        <v>0</v>
      </c>
      <c r="Z3588" s="6">
        <f t="shared" si="486"/>
        <v>1</v>
      </c>
      <c r="AA3588" t="e">
        <f t="shared" si="487"/>
        <v>#VALUE!</v>
      </c>
      <c r="AB3588" t="str">
        <f t="shared" si="488"/>
        <v/>
      </c>
      <c r="AC3588" t="e">
        <f t="shared" si="489"/>
        <v>#VALUE!</v>
      </c>
    </row>
    <row r="3589" spans="1:29" x14ac:dyDescent="0.2">
      <c r="A3589" t="str">
        <f t="shared" si="490"/>
        <v/>
      </c>
      <c r="E3589" s="4"/>
      <c r="F3589" s="46"/>
      <c r="G3589" s="4"/>
      <c r="H3589" s="48"/>
      <c r="J3589" s="26" t="str">
        <f t="shared" si="491"/>
        <v/>
      </c>
      <c r="N3589" t="str">
        <f t="shared" si="492"/>
        <v/>
      </c>
      <c r="Q3589" t="str">
        <f t="shared" si="493"/>
        <v/>
      </c>
      <c r="S3589" t="str">
        <f>IF(A3589=1,MAX($S$2:$S3588)+1,IF(OR($I3589&lt;&gt;"",A3589="x"),$S3588,""))</f>
        <v/>
      </c>
      <c r="T3589" t="str">
        <f>IF(D3589=1,MAX($T$2:$T3588)+1,IF(S3589=S3588,$T3588,IF(D3589="x",T3588,IF(D3588="x","",""))))</f>
        <v/>
      </c>
      <c r="U3589" t="str">
        <f>IF(B3589=1,MAX($U$2:$U3588)+1,IF(AND($T3589&lt;&gt;"",$T3589=$T3588),$U3588,IF(B3589="x",U3588,"")))</f>
        <v/>
      </c>
      <c r="V3589" t="str">
        <f>IF(C3589=1,MAX($V$2:$V3588)+1,IF(AND($T3589&lt;&gt;"",$T3589=$T3588),$U3588,IF(C3589="x",V3588,"")))</f>
        <v/>
      </c>
      <c r="X3589" cm="1">
        <f t="array" ref="X3589">IF($I3589&lt;&gt;"",$I3589,INDEX($I$1:$I3589,ROW()-COUNTIFS($T$1:$T3589,"="&amp;$T3589,$S$1:$S3589,"&lt;"&amp;$S3589)))</f>
        <v>0</v>
      </c>
      <c r="Z3589" s="6">
        <f t="shared" ref="Z3589:Z3652" si="494">IF(K3589="Intermission",Z3588+1,Z3588)</f>
        <v>1</v>
      </c>
      <c r="AA3589" t="e">
        <f t="shared" ref="AA3589:AA3652" si="495">S3589+1000</f>
        <v>#VALUE!</v>
      </c>
      <c r="AB3589" t="str">
        <f t="shared" ref="AB3589:AB3652" si="496">IF(T3589&lt;&gt;"",9000+T3589,"")</f>
        <v/>
      </c>
      <c r="AC3589" t="e">
        <f t="shared" ref="AC3589:AC3652" si="497">IF(AB3589&lt;&gt;"",AB3589,S3589+1000)</f>
        <v>#VALUE!</v>
      </c>
    </row>
    <row r="3590" spans="1:29" x14ac:dyDescent="0.2">
      <c r="A3590" t="str">
        <f t="shared" si="490"/>
        <v/>
      </c>
      <c r="E3590" s="4"/>
      <c r="F3590" s="46"/>
      <c r="G3590" s="4"/>
      <c r="H3590" s="48"/>
      <c r="J3590" s="26" t="str">
        <f t="shared" si="491"/>
        <v/>
      </c>
      <c r="N3590" t="str">
        <f t="shared" si="492"/>
        <v/>
      </c>
      <c r="Q3590" t="str">
        <f t="shared" si="493"/>
        <v/>
      </c>
      <c r="S3590" t="str">
        <f>IF(A3590=1,MAX($S$2:$S3589)+1,IF(OR($I3590&lt;&gt;"",A3590="x"),$S3589,""))</f>
        <v/>
      </c>
      <c r="T3590" t="str">
        <f>IF(D3590=1,MAX($T$2:$T3589)+1,IF(S3590=S3589,$T3589,IF(D3590="x",T3589,IF(D3589="x","",""))))</f>
        <v/>
      </c>
      <c r="U3590" t="str">
        <f>IF(B3590=1,MAX($U$2:$U3589)+1,IF(AND($T3590&lt;&gt;"",$T3590=$T3589),$U3589,IF(B3590="x",U3589,"")))</f>
        <v/>
      </c>
      <c r="V3590" t="str">
        <f>IF(C3590=1,MAX($V$2:$V3589)+1,IF(AND($T3590&lt;&gt;"",$T3590=$T3589),$U3589,IF(C3590="x",V3589,"")))</f>
        <v/>
      </c>
      <c r="X3590" cm="1">
        <f t="array" ref="X3590">IF($I3590&lt;&gt;"",$I3590,INDEX($I$1:$I3590,ROW()-COUNTIFS($T$1:$T3590,"="&amp;$T3590,$S$1:$S3590,"&lt;"&amp;$S3590)))</f>
        <v>0</v>
      </c>
      <c r="Z3590" s="6">
        <f t="shared" si="494"/>
        <v>1</v>
      </c>
      <c r="AA3590" t="e">
        <f t="shared" si="495"/>
        <v>#VALUE!</v>
      </c>
      <c r="AB3590" t="str">
        <f t="shared" si="496"/>
        <v/>
      </c>
      <c r="AC3590" t="e">
        <f t="shared" si="497"/>
        <v>#VALUE!</v>
      </c>
    </row>
    <row r="3591" spans="1:29" x14ac:dyDescent="0.2">
      <c r="A3591" t="str">
        <f t="shared" si="490"/>
        <v/>
      </c>
      <c r="E3591" s="4"/>
      <c r="F3591" s="46"/>
      <c r="G3591" s="4"/>
      <c r="H3591" s="48"/>
      <c r="J3591" s="26" t="str">
        <f t="shared" si="491"/>
        <v/>
      </c>
      <c r="N3591" t="str">
        <f t="shared" si="492"/>
        <v/>
      </c>
      <c r="Q3591" t="str">
        <f t="shared" si="493"/>
        <v/>
      </c>
      <c r="S3591" t="str">
        <f>IF(A3591=1,MAX($S$2:$S3590)+1,IF(OR($I3591&lt;&gt;"",A3591="x"),$S3590,""))</f>
        <v/>
      </c>
      <c r="T3591" t="str">
        <f>IF(D3591=1,MAX($T$2:$T3590)+1,IF(S3591=S3590,$T3590,IF(D3591="x",T3590,IF(D3590="x","",""))))</f>
        <v/>
      </c>
      <c r="U3591" t="str">
        <f>IF(B3591=1,MAX($U$2:$U3590)+1,IF(AND($T3591&lt;&gt;"",$T3591=$T3590),$U3590,IF(B3591="x",U3590,"")))</f>
        <v/>
      </c>
      <c r="V3591" t="str">
        <f>IF(C3591=1,MAX($V$2:$V3590)+1,IF(AND($T3591&lt;&gt;"",$T3591=$T3590),$U3590,IF(C3591="x",V3590,"")))</f>
        <v/>
      </c>
      <c r="X3591" cm="1">
        <f t="array" ref="X3591">IF($I3591&lt;&gt;"",$I3591,INDEX($I$1:$I3591,ROW()-COUNTIFS($T$1:$T3591,"="&amp;$T3591,$S$1:$S3591,"&lt;"&amp;$S3591)))</f>
        <v>0</v>
      </c>
      <c r="Z3591" s="6">
        <f t="shared" si="494"/>
        <v>1</v>
      </c>
      <c r="AA3591" t="e">
        <f t="shared" si="495"/>
        <v>#VALUE!</v>
      </c>
      <c r="AB3591" t="str">
        <f t="shared" si="496"/>
        <v/>
      </c>
      <c r="AC3591" t="e">
        <f t="shared" si="497"/>
        <v>#VALUE!</v>
      </c>
    </row>
    <row r="3592" spans="1:29" x14ac:dyDescent="0.2">
      <c r="A3592" t="str">
        <f t="shared" si="490"/>
        <v/>
      </c>
      <c r="E3592" s="4"/>
      <c r="F3592" s="46"/>
      <c r="G3592" s="4"/>
      <c r="H3592" s="48"/>
      <c r="J3592" s="26" t="str">
        <f t="shared" si="491"/>
        <v/>
      </c>
      <c r="N3592" t="str">
        <f t="shared" si="492"/>
        <v/>
      </c>
      <c r="Q3592" t="str">
        <f t="shared" si="493"/>
        <v/>
      </c>
      <c r="S3592" t="str">
        <f>IF(A3592=1,MAX($S$2:$S3591)+1,IF(OR($I3592&lt;&gt;"",A3592="x"),$S3591,""))</f>
        <v/>
      </c>
      <c r="T3592" t="str">
        <f>IF(D3592=1,MAX($T$2:$T3591)+1,IF(S3592=S3591,$T3591,IF(D3592="x",T3591,IF(D3591="x","",""))))</f>
        <v/>
      </c>
      <c r="U3592" t="str">
        <f>IF(B3592=1,MAX($U$2:$U3591)+1,IF(AND($T3592&lt;&gt;"",$T3592=$T3591),$U3591,IF(B3592="x",U3591,"")))</f>
        <v/>
      </c>
      <c r="V3592" t="str">
        <f>IF(C3592=1,MAX($V$2:$V3591)+1,IF(AND($T3592&lt;&gt;"",$T3592=$T3591),$U3591,IF(C3592="x",V3591,"")))</f>
        <v/>
      </c>
      <c r="X3592" cm="1">
        <f t="array" ref="X3592">IF($I3592&lt;&gt;"",$I3592,INDEX($I$1:$I3592,ROW()-COUNTIFS($T$1:$T3592,"="&amp;$T3592,$S$1:$S3592,"&lt;"&amp;$S3592)))</f>
        <v>0</v>
      </c>
      <c r="Z3592" s="6">
        <f t="shared" si="494"/>
        <v>1</v>
      </c>
      <c r="AA3592" t="e">
        <f t="shared" si="495"/>
        <v>#VALUE!</v>
      </c>
      <c r="AB3592" t="str">
        <f t="shared" si="496"/>
        <v/>
      </c>
      <c r="AC3592" t="e">
        <f t="shared" si="497"/>
        <v>#VALUE!</v>
      </c>
    </row>
    <row r="3593" spans="1:29" x14ac:dyDescent="0.2">
      <c r="A3593" t="str">
        <f t="shared" si="490"/>
        <v/>
      </c>
      <c r="E3593" s="4"/>
      <c r="F3593" s="46"/>
      <c r="G3593" s="4"/>
      <c r="H3593" s="48"/>
      <c r="J3593" s="26" t="str">
        <f t="shared" si="491"/>
        <v/>
      </c>
      <c r="N3593" t="str">
        <f t="shared" si="492"/>
        <v/>
      </c>
      <c r="Q3593" t="str">
        <f t="shared" si="493"/>
        <v/>
      </c>
      <c r="S3593" t="str">
        <f>IF(A3593=1,MAX($S$2:$S3592)+1,IF(OR($I3593&lt;&gt;"",A3593="x"),$S3592,""))</f>
        <v/>
      </c>
      <c r="T3593" t="str">
        <f>IF(D3593=1,MAX($T$2:$T3592)+1,IF(S3593=S3592,$T3592,IF(D3593="x",T3592,IF(D3592="x","",""))))</f>
        <v/>
      </c>
      <c r="U3593" t="str">
        <f>IF(B3593=1,MAX($U$2:$U3592)+1,IF(AND($T3593&lt;&gt;"",$T3593=$T3592),$U3592,IF(B3593="x",U3592,"")))</f>
        <v/>
      </c>
      <c r="V3593" t="str">
        <f>IF(C3593=1,MAX($V$2:$V3592)+1,IF(AND($T3593&lt;&gt;"",$T3593=$T3592),$U3592,IF(C3593="x",V3592,"")))</f>
        <v/>
      </c>
      <c r="X3593" cm="1">
        <f t="array" ref="X3593">IF($I3593&lt;&gt;"",$I3593,INDEX($I$1:$I3593,ROW()-COUNTIFS($T$1:$T3593,"="&amp;$T3593,$S$1:$S3593,"&lt;"&amp;$S3593)))</f>
        <v>0</v>
      </c>
      <c r="Z3593" s="6">
        <f t="shared" si="494"/>
        <v>1</v>
      </c>
      <c r="AA3593" t="e">
        <f t="shared" si="495"/>
        <v>#VALUE!</v>
      </c>
      <c r="AB3593" t="str">
        <f t="shared" si="496"/>
        <v/>
      </c>
      <c r="AC3593" t="e">
        <f t="shared" si="497"/>
        <v>#VALUE!</v>
      </c>
    </row>
    <row r="3594" spans="1:29" x14ac:dyDescent="0.2">
      <c r="A3594" t="str">
        <f t="shared" si="490"/>
        <v/>
      </c>
      <c r="E3594" s="4"/>
      <c r="F3594" s="46"/>
      <c r="G3594" s="4"/>
      <c r="H3594" s="48"/>
      <c r="J3594" s="26" t="str">
        <f t="shared" si="491"/>
        <v/>
      </c>
      <c r="N3594" t="str">
        <f t="shared" si="492"/>
        <v/>
      </c>
      <c r="Q3594" t="str">
        <f t="shared" si="493"/>
        <v/>
      </c>
      <c r="S3594" t="str">
        <f>IF(A3594=1,MAX($S$2:$S3593)+1,IF(OR($I3594&lt;&gt;"",A3594="x"),$S3593,""))</f>
        <v/>
      </c>
      <c r="T3594" t="str">
        <f>IF(D3594=1,MAX($T$2:$T3593)+1,IF(S3594=S3593,$T3593,IF(D3594="x",T3593,IF(D3593="x","",""))))</f>
        <v/>
      </c>
      <c r="U3594" t="str">
        <f>IF(B3594=1,MAX($U$2:$U3593)+1,IF(AND($T3594&lt;&gt;"",$T3594=$T3593),$U3593,IF(B3594="x",U3593,"")))</f>
        <v/>
      </c>
      <c r="V3594" t="str">
        <f>IF(C3594=1,MAX($V$2:$V3593)+1,IF(AND($T3594&lt;&gt;"",$T3594=$T3593),$U3593,IF(C3594="x",V3593,"")))</f>
        <v/>
      </c>
      <c r="X3594" cm="1">
        <f t="array" ref="X3594">IF($I3594&lt;&gt;"",$I3594,INDEX($I$1:$I3594,ROW()-COUNTIFS($T$1:$T3594,"="&amp;$T3594,$S$1:$S3594,"&lt;"&amp;$S3594)))</f>
        <v>0</v>
      </c>
      <c r="Z3594" s="6">
        <f t="shared" si="494"/>
        <v>1</v>
      </c>
      <c r="AA3594" t="e">
        <f t="shared" si="495"/>
        <v>#VALUE!</v>
      </c>
      <c r="AB3594" t="str">
        <f t="shared" si="496"/>
        <v/>
      </c>
      <c r="AC3594" t="e">
        <f t="shared" si="497"/>
        <v>#VALUE!</v>
      </c>
    </row>
    <row r="3595" spans="1:29" x14ac:dyDescent="0.2">
      <c r="A3595" t="str">
        <f t="shared" si="490"/>
        <v/>
      </c>
      <c r="E3595" s="4"/>
      <c r="F3595" s="46"/>
      <c r="G3595" s="4"/>
      <c r="H3595" s="48"/>
      <c r="J3595" s="26" t="str">
        <f t="shared" si="491"/>
        <v/>
      </c>
      <c r="N3595" t="str">
        <f t="shared" si="492"/>
        <v/>
      </c>
      <c r="Q3595" t="str">
        <f t="shared" si="493"/>
        <v/>
      </c>
      <c r="S3595" t="str">
        <f>IF(A3595=1,MAX($S$2:$S3594)+1,IF(OR($I3595&lt;&gt;"",A3595="x"),$S3594,""))</f>
        <v/>
      </c>
      <c r="T3595" t="str">
        <f>IF(D3595=1,MAX($T$2:$T3594)+1,IF(S3595=S3594,$T3594,IF(D3595="x",T3594,IF(D3594="x","",""))))</f>
        <v/>
      </c>
      <c r="U3595" t="str">
        <f>IF(B3595=1,MAX($U$2:$U3594)+1,IF(AND($T3595&lt;&gt;"",$T3595=$T3594),$U3594,IF(B3595="x",U3594,"")))</f>
        <v/>
      </c>
      <c r="V3595" t="str">
        <f>IF(C3595=1,MAX($V$2:$V3594)+1,IF(AND($T3595&lt;&gt;"",$T3595=$T3594),$U3594,IF(C3595="x",V3594,"")))</f>
        <v/>
      </c>
      <c r="X3595" cm="1">
        <f t="array" ref="X3595">IF($I3595&lt;&gt;"",$I3595,INDEX($I$1:$I3595,ROW()-COUNTIFS($T$1:$T3595,"="&amp;$T3595,$S$1:$S3595,"&lt;"&amp;$S3595)))</f>
        <v>0</v>
      </c>
      <c r="Z3595" s="6">
        <f t="shared" si="494"/>
        <v>1</v>
      </c>
      <c r="AA3595" t="e">
        <f t="shared" si="495"/>
        <v>#VALUE!</v>
      </c>
      <c r="AB3595" t="str">
        <f t="shared" si="496"/>
        <v/>
      </c>
      <c r="AC3595" t="e">
        <f t="shared" si="497"/>
        <v>#VALUE!</v>
      </c>
    </row>
    <row r="3596" spans="1:29" x14ac:dyDescent="0.2">
      <c r="A3596" t="str">
        <f t="shared" si="490"/>
        <v/>
      </c>
      <c r="E3596" s="4"/>
      <c r="F3596" s="46"/>
      <c r="G3596" s="4"/>
      <c r="H3596" s="48"/>
      <c r="J3596" s="26" t="str">
        <f t="shared" si="491"/>
        <v/>
      </c>
      <c r="N3596" t="str">
        <f t="shared" si="492"/>
        <v/>
      </c>
      <c r="Q3596" t="str">
        <f t="shared" si="493"/>
        <v/>
      </c>
      <c r="S3596" t="str">
        <f>IF(A3596=1,MAX($S$2:$S3595)+1,IF(OR($I3596&lt;&gt;"",A3596="x"),$S3595,""))</f>
        <v/>
      </c>
      <c r="T3596" t="str">
        <f>IF(D3596=1,MAX($T$2:$T3595)+1,IF(S3596=S3595,$T3595,IF(D3596="x",T3595,IF(D3595="x","",""))))</f>
        <v/>
      </c>
      <c r="U3596" t="str">
        <f>IF(B3596=1,MAX($U$2:$U3595)+1,IF(AND($T3596&lt;&gt;"",$T3596=$T3595),$U3595,IF(B3596="x",U3595,"")))</f>
        <v/>
      </c>
      <c r="V3596" t="str">
        <f>IF(C3596=1,MAX($V$2:$V3595)+1,IF(AND($T3596&lt;&gt;"",$T3596=$T3595),$U3595,IF(C3596="x",V3595,"")))</f>
        <v/>
      </c>
      <c r="X3596" cm="1">
        <f t="array" ref="X3596">IF($I3596&lt;&gt;"",$I3596,INDEX($I$1:$I3596,ROW()-COUNTIFS($T$1:$T3596,"="&amp;$T3596,$S$1:$S3596,"&lt;"&amp;$S3596)))</f>
        <v>0</v>
      </c>
      <c r="Z3596" s="6">
        <f t="shared" si="494"/>
        <v>1</v>
      </c>
      <c r="AA3596" t="e">
        <f t="shared" si="495"/>
        <v>#VALUE!</v>
      </c>
      <c r="AB3596" t="str">
        <f t="shared" si="496"/>
        <v/>
      </c>
      <c r="AC3596" t="e">
        <f t="shared" si="497"/>
        <v>#VALUE!</v>
      </c>
    </row>
    <row r="3597" spans="1:29" x14ac:dyDescent="0.2">
      <c r="A3597" t="str">
        <f t="shared" si="490"/>
        <v/>
      </c>
      <c r="E3597" s="4"/>
      <c r="F3597" s="46"/>
      <c r="G3597" s="4"/>
      <c r="H3597" s="48"/>
      <c r="J3597" s="26" t="str">
        <f t="shared" si="491"/>
        <v/>
      </c>
      <c r="N3597" t="str">
        <f t="shared" si="492"/>
        <v/>
      </c>
      <c r="Q3597" t="str">
        <f t="shared" si="493"/>
        <v/>
      </c>
      <c r="S3597" t="str">
        <f>IF(A3597=1,MAX($S$2:$S3596)+1,IF(OR($I3597&lt;&gt;"",A3597="x"),$S3596,""))</f>
        <v/>
      </c>
      <c r="T3597" t="str">
        <f>IF(D3597=1,MAX($T$2:$T3596)+1,IF(S3597=S3596,$T3596,IF(D3597="x",T3596,IF(D3596="x","",""))))</f>
        <v/>
      </c>
      <c r="U3597" t="str">
        <f>IF(B3597=1,MAX($U$2:$U3596)+1,IF(AND($T3597&lt;&gt;"",$T3597=$T3596),$U3596,IF(B3597="x",U3596,"")))</f>
        <v/>
      </c>
      <c r="V3597" t="str">
        <f>IF(C3597=1,MAX($V$2:$V3596)+1,IF(AND($T3597&lt;&gt;"",$T3597=$T3596),$U3596,IF(C3597="x",V3596,"")))</f>
        <v/>
      </c>
      <c r="X3597" cm="1">
        <f t="array" ref="X3597">IF($I3597&lt;&gt;"",$I3597,INDEX($I$1:$I3597,ROW()-COUNTIFS($T$1:$T3597,"="&amp;$T3597,$S$1:$S3597,"&lt;"&amp;$S3597)))</f>
        <v>0</v>
      </c>
      <c r="Z3597" s="6">
        <f t="shared" si="494"/>
        <v>1</v>
      </c>
      <c r="AA3597" t="e">
        <f t="shared" si="495"/>
        <v>#VALUE!</v>
      </c>
      <c r="AB3597" t="str">
        <f t="shared" si="496"/>
        <v/>
      </c>
      <c r="AC3597" t="e">
        <f t="shared" si="497"/>
        <v>#VALUE!</v>
      </c>
    </row>
    <row r="3598" spans="1:29" x14ac:dyDescent="0.2">
      <c r="A3598" t="str">
        <f t="shared" si="490"/>
        <v/>
      </c>
      <c r="E3598" s="4"/>
      <c r="F3598" s="46"/>
      <c r="G3598" s="4"/>
      <c r="H3598" s="48"/>
      <c r="J3598" s="26" t="str">
        <f t="shared" si="491"/>
        <v/>
      </c>
      <c r="N3598" t="str">
        <f t="shared" si="492"/>
        <v/>
      </c>
      <c r="Q3598" t="str">
        <f t="shared" si="493"/>
        <v/>
      </c>
      <c r="S3598" t="str">
        <f>IF(A3598=1,MAX($S$2:$S3597)+1,IF(OR($I3598&lt;&gt;"",A3598="x"),$S3597,""))</f>
        <v/>
      </c>
      <c r="T3598" t="str">
        <f>IF(D3598=1,MAX($T$2:$T3597)+1,IF(S3598=S3597,$T3597,IF(D3598="x",T3597,IF(D3597="x","",""))))</f>
        <v/>
      </c>
      <c r="U3598" t="str">
        <f>IF(B3598=1,MAX($U$2:$U3597)+1,IF(AND($T3598&lt;&gt;"",$T3598=$T3597),$U3597,IF(B3598="x",U3597,"")))</f>
        <v/>
      </c>
      <c r="V3598" t="str">
        <f>IF(C3598=1,MAX($V$2:$V3597)+1,IF(AND($T3598&lt;&gt;"",$T3598=$T3597),$U3597,IF(C3598="x",V3597,"")))</f>
        <v/>
      </c>
      <c r="X3598" cm="1">
        <f t="array" ref="X3598">IF($I3598&lt;&gt;"",$I3598,INDEX($I$1:$I3598,ROW()-COUNTIFS($T$1:$T3598,"="&amp;$T3598,$S$1:$S3598,"&lt;"&amp;$S3598)))</f>
        <v>0</v>
      </c>
      <c r="Z3598" s="6">
        <f t="shared" si="494"/>
        <v>1</v>
      </c>
      <c r="AA3598" t="e">
        <f t="shared" si="495"/>
        <v>#VALUE!</v>
      </c>
      <c r="AB3598" t="str">
        <f t="shared" si="496"/>
        <v/>
      </c>
      <c r="AC3598" t="e">
        <f t="shared" si="497"/>
        <v>#VALUE!</v>
      </c>
    </row>
    <row r="3599" spans="1:29" x14ac:dyDescent="0.2">
      <c r="A3599" t="str">
        <f t="shared" si="490"/>
        <v/>
      </c>
      <c r="E3599" s="4"/>
      <c r="F3599" s="46"/>
      <c r="G3599" s="4"/>
      <c r="H3599" s="48"/>
      <c r="J3599" s="26" t="str">
        <f t="shared" si="491"/>
        <v/>
      </c>
      <c r="N3599" t="str">
        <f t="shared" si="492"/>
        <v/>
      </c>
      <c r="Q3599" t="str">
        <f t="shared" si="493"/>
        <v/>
      </c>
      <c r="S3599" t="str">
        <f>IF(A3599=1,MAX($S$2:$S3598)+1,IF(OR($I3599&lt;&gt;"",A3599="x"),$S3598,""))</f>
        <v/>
      </c>
      <c r="T3599" t="str">
        <f>IF(D3599=1,MAX($T$2:$T3598)+1,IF(S3599=S3598,$T3598,IF(D3599="x",T3598,IF(D3598="x","",""))))</f>
        <v/>
      </c>
      <c r="U3599" t="str">
        <f>IF(B3599=1,MAX($U$2:$U3598)+1,IF(AND($T3599&lt;&gt;"",$T3599=$T3598),$U3598,IF(B3599="x",U3598,"")))</f>
        <v/>
      </c>
      <c r="V3599" t="str">
        <f>IF(C3599=1,MAX($V$2:$V3598)+1,IF(AND($T3599&lt;&gt;"",$T3599=$T3598),$U3598,IF(C3599="x",V3598,"")))</f>
        <v/>
      </c>
      <c r="X3599" cm="1">
        <f t="array" ref="X3599">IF($I3599&lt;&gt;"",$I3599,INDEX($I$1:$I3599,ROW()-COUNTIFS($T$1:$T3599,"="&amp;$T3599,$S$1:$S3599,"&lt;"&amp;$S3599)))</f>
        <v>0</v>
      </c>
      <c r="Z3599" s="6">
        <f t="shared" si="494"/>
        <v>1</v>
      </c>
      <c r="AA3599" t="e">
        <f t="shared" si="495"/>
        <v>#VALUE!</v>
      </c>
      <c r="AB3599" t="str">
        <f t="shared" si="496"/>
        <v/>
      </c>
      <c r="AC3599" t="e">
        <f t="shared" si="497"/>
        <v>#VALUE!</v>
      </c>
    </row>
    <row r="3600" spans="1:29" x14ac:dyDescent="0.2">
      <c r="A3600" t="str">
        <f t="shared" si="490"/>
        <v/>
      </c>
      <c r="E3600" s="4"/>
      <c r="F3600" s="46"/>
      <c r="G3600" s="4"/>
      <c r="H3600" s="48"/>
      <c r="J3600" s="26" t="str">
        <f t="shared" si="491"/>
        <v/>
      </c>
      <c r="N3600" t="str">
        <f t="shared" si="492"/>
        <v/>
      </c>
      <c r="Q3600" t="str">
        <f t="shared" si="493"/>
        <v/>
      </c>
      <c r="S3600" t="str">
        <f>IF(A3600=1,MAX($S$2:$S3599)+1,IF(OR($I3600&lt;&gt;"",A3600="x"),$S3599,""))</f>
        <v/>
      </c>
      <c r="T3600" t="str">
        <f>IF(D3600=1,MAX($T$2:$T3599)+1,IF(S3600=S3599,$T3599,IF(D3600="x",T3599,IF(D3599="x","",""))))</f>
        <v/>
      </c>
      <c r="U3600" t="str">
        <f>IF(B3600=1,MAX($U$2:$U3599)+1,IF(AND($T3600&lt;&gt;"",$T3600=$T3599),$U3599,IF(B3600="x",U3599,"")))</f>
        <v/>
      </c>
      <c r="V3600" t="str">
        <f>IF(C3600=1,MAX($V$2:$V3599)+1,IF(AND($T3600&lt;&gt;"",$T3600=$T3599),$U3599,IF(C3600="x",V3599,"")))</f>
        <v/>
      </c>
      <c r="X3600" cm="1">
        <f t="array" ref="X3600">IF($I3600&lt;&gt;"",$I3600,INDEX($I$1:$I3600,ROW()-COUNTIFS($T$1:$T3600,"="&amp;$T3600,$S$1:$S3600,"&lt;"&amp;$S3600)))</f>
        <v>0</v>
      </c>
      <c r="Z3600" s="6">
        <f t="shared" si="494"/>
        <v>1</v>
      </c>
      <c r="AA3600" t="e">
        <f t="shared" si="495"/>
        <v>#VALUE!</v>
      </c>
      <c r="AB3600" t="str">
        <f t="shared" si="496"/>
        <v/>
      </c>
      <c r="AC3600" t="e">
        <f t="shared" si="497"/>
        <v>#VALUE!</v>
      </c>
    </row>
    <row r="3601" spans="1:29" x14ac:dyDescent="0.2">
      <c r="A3601" t="str">
        <f t="shared" si="490"/>
        <v/>
      </c>
      <c r="E3601" s="4"/>
      <c r="F3601" s="46"/>
      <c r="G3601" s="4"/>
      <c r="H3601" s="48"/>
      <c r="J3601" s="26" t="str">
        <f t="shared" si="491"/>
        <v/>
      </c>
      <c r="N3601" t="str">
        <f t="shared" si="492"/>
        <v/>
      </c>
      <c r="Q3601" t="str">
        <f t="shared" si="493"/>
        <v/>
      </c>
      <c r="S3601" t="str">
        <f>IF(A3601=1,MAX($S$2:$S3600)+1,IF(OR($I3601&lt;&gt;"",A3601="x"),$S3600,""))</f>
        <v/>
      </c>
      <c r="T3601" t="str">
        <f>IF(D3601=1,MAX($T$2:$T3600)+1,IF(S3601=S3600,$T3600,IF(D3601="x",T3600,IF(D3600="x","",""))))</f>
        <v/>
      </c>
      <c r="U3601" t="str">
        <f>IF(B3601=1,MAX($U$2:$U3600)+1,IF(AND($T3601&lt;&gt;"",$T3601=$T3600),$U3600,IF(B3601="x",U3600,"")))</f>
        <v/>
      </c>
      <c r="V3601" t="str">
        <f>IF(C3601=1,MAX($V$2:$V3600)+1,IF(AND($T3601&lt;&gt;"",$T3601=$T3600),$U3600,IF(C3601="x",V3600,"")))</f>
        <v/>
      </c>
      <c r="X3601" cm="1">
        <f t="array" ref="X3601">IF($I3601&lt;&gt;"",$I3601,INDEX($I$1:$I3601,ROW()-COUNTIFS($T$1:$T3601,"="&amp;$T3601,$S$1:$S3601,"&lt;"&amp;$S3601)))</f>
        <v>0</v>
      </c>
      <c r="Z3601" s="6">
        <f t="shared" si="494"/>
        <v>1</v>
      </c>
      <c r="AA3601" t="e">
        <f t="shared" si="495"/>
        <v>#VALUE!</v>
      </c>
      <c r="AB3601" t="str">
        <f t="shared" si="496"/>
        <v/>
      </c>
      <c r="AC3601" t="e">
        <f t="shared" si="497"/>
        <v>#VALUE!</v>
      </c>
    </row>
    <row r="3602" spans="1:29" x14ac:dyDescent="0.2">
      <c r="A3602" t="str">
        <f t="shared" si="490"/>
        <v/>
      </c>
      <c r="E3602" s="4"/>
      <c r="F3602" s="46"/>
      <c r="G3602" s="4"/>
      <c r="H3602" s="48"/>
      <c r="J3602" s="26" t="str">
        <f t="shared" si="491"/>
        <v/>
      </c>
      <c r="N3602" t="str">
        <f t="shared" si="492"/>
        <v/>
      </c>
      <c r="Q3602" t="str">
        <f t="shared" si="493"/>
        <v/>
      </c>
      <c r="S3602" t="str">
        <f>IF(A3602=1,MAX($S$2:$S3601)+1,IF(OR($I3602&lt;&gt;"",A3602="x"),$S3601,""))</f>
        <v/>
      </c>
      <c r="T3602" t="str">
        <f>IF(D3602=1,MAX($T$2:$T3601)+1,IF(S3602=S3601,$T3601,IF(D3602="x",T3601,IF(D3601="x","",""))))</f>
        <v/>
      </c>
      <c r="U3602" t="str">
        <f>IF(B3602=1,MAX($U$2:$U3601)+1,IF(AND($T3602&lt;&gt;"",$T3602=$T3601),$U3601,IF(B3602="x",U3601,"")))</f>
        <v/>
      </c>
      <c r="V3602" t="str">
        <f>IF(C3602=1,MAX($V$2:$V3601)+1,IF(AND($T3602&lt;&gt;"",$T3602=$T3601),$U3601,IF(C3602="x",V3601,"")))</f>
        <v/>
      </c>
      <c r="X3602" cm="1">
        <f t="array" ref="X3602">IF($I3602&lt;&gt;"",$I3602,INDEX($I$1:$I3602,ROW()-COUNTIFS($T$1:$T3602,"="&amp;$T3602,$S$1:$S3602,"&lt;"&amp;$S3602)))</f>
        <v>0</v>
      </c>
      <c r="Z3602" s="6">
        <f t="shared" si="494"/>
        <v>1</v>
      </c>
      <c r="AA3602" t="e">
        <f t="shared" si="495"/>
        <v>#VALUE!</v>
      </c>
      <c r="AB3602" t="str">
        <f t="shared" si="496"/>
        <v/>
      </c>
      <c r="AC3602" t="e">
        <f t="shared" si="497"/>
        <v>#VALUE!</v>
      </c>
    </row>
    <row r="3603" spans="1:29" x14ac:dyDescent="0.2">
      <c r="A3603" t="str">
        <f t="shared" ref="A3603:A3666" si="498">IF(K3603&lt;&gt;"",1,IF(D3603="x","x",""))</f>
        <v/>
      </c>
      <c r="E3603" s="4"/>
      <c r="F3603" s="46"/>
      <c r="G3603" s="4"/>
      <c r="H3603" s="48"/>
      <c r="J3603" s="26" t="str">
        <f t="shared" ref="J3603:J3666" si="499">IF(OR(K3603="Goal",K3603="Shot",L3603="Zone_Entry",M3603="Stoppage-Goal",M3602="Stoppage-Goal"),"o",IF(OR(K3603="Save",K3603="Rebound",L3603="Zone_Exit",M3603="Stoppage-GoalieStoppage",M3602="Stoppage-GoalieStoppage"),"d",IF(OR(L3603="Faceoff_AfterGoal",L3603="Faceoff_PeriodStart",698="Faceoff_GameStart",M3602="Stoppage-Goal"),"n","")))</f>
        <v/>
      </c>
      <c r="N3603" t="str">
        <f t="shared" ref="N3603:N3666" si="500">IF(K3603="","",IF(K3603="Goal","s",IF(AND(K3603="Zone_Entry_Exit",OR(ISNUMBER(SEARCH("fail",L3603)),ISNUMBER(SEARCH("FromExitClear",M3603)),ISNUMBER(SEARCH("miss",M3603)))),"u",IF(AND(K3603="Zone_Entry_Exit",OR(NOT(ISNUMBER(SEARCH("fail",L3603))),NOT(ISNUMBER(SEARCH("FromExitClear",M3603))),NOT(ISNUMBER(SEARCH("miss",M3603))))),"s",IF(AND(OR(K3603="Shot",K3603="Pass"),OR(ISNUMBER(SEARCH("complete",L3603)),ISNUMBER(SEARCH("goal",L3603)),ISNUMBER(SEARCH("OnNet",L3603)))),"s",IF(L3603="Turnover_Giveaway","u",IF(AND(OR(K3603="Shot",K3603="Pass"),OR(ISNUMBER(SEARCH("fail",L3603)),NOT(ISNUMBER(SEARCH("complete",L3603))),NOT(ISNUMBER(SEARCH("OnNet",L3603))))),"u","")))))))</f>
        <v/>
      </c>
      <c r="Q3603" t="str">
        <f t="shared" ref="Q3603:Q3666" si="501">IF(O3603="","",IF(AND(N3603&lt;&gt;"",OR(O3603&lt;&gt;"",P3603&lt;&gt;"")),N3603,IF(OR(ISNUMBER(SEARCH("attemp",O3603)),ISNUMBER(SEARCH("beat",O3603)),ISNUMBER(SEARCH("mis",O3603)),ISNUMBER(SEARCH("fail",O3603)),ISNUMBER(SEARCH("loss",O3603)),ISNUMBER(SEARCH("lost",O3603)),ISNUMBER(SEARCH("attemp",P3603)),ISNUMBER(SEARCH("mis",P3603)),ISNUMBER(SEARCH("fail",P3603)),ISNUMBER(SEARCH("loss",P3603)),ISNUMBER(SEARCH("beat",P3603)),ISNUMBER(SEARCH("lost",P3603))),"u","")))</f>
        <v/>
      </c>
      <c r="S3603" t="str">
        <f>IF(A3603=1,MAX($S$2:$S3602)+1,IF(OR($I3603&lt;&gt;"",A3603="x"),$S3602,""))</f>
        <v/>
      </c>
      <c r="T3603" t="str">
        <f>IF(D3603=1,MAX($T$2:$T3602)+1,IF(S3603=S3602,$T3602,IF(D3603="x",T3602,IF(D3602="x","",""))))</f>
        <v/>
      </c>
      <c r="U3603" t="str">
        <f>IF(B3603=1,MAX($U$2:$U3602)+1,IF(AND($T3603&lt;&gt;"",$T3603=$T3602),$U3602,IF(B3603="x",U3602,"")))</f>
        <v/>
      </c>
      <c r="V3603" t="str">
        <f>IF(C3603=1,MAX($V$2:$V3602)+1,IF(AND($T3603&lt;&gt;"",$T3603=$T3602),$U3602,IF(C3603="x",V3602,"")))</f>
        <v/>
      </c>
      <c r="X3603" cm="1">
        <f t="array" ref="X3603">IF($I3603&lt;&gt;"",$I3603,INDEX($I$1:$I3603,ROW()-COUNTIFS($T$1:$T3603,"="&amp;$T3603,$S$1:$S3603,"&lt;"&amp;$S3603)))</f>
        <v>0</v>
      </c>
      <c r="Z3603" s="6">
        <f t="shared" si="494"/>
        <v>1</v>
      </c>
      <c r="AA3603" t="e">
        <f t="shared" si="495"/>
        <v>#VALUE!</v>
      </c>
      <c r="AB3603" t="str">
        <f t="shared" si="496"/>
        <v/>
      </c>
      <c r="AC3603" t="e">
        <f t="shared" si="497"/>
        <v>#VALUE!</v>
      </c>
    </row>
    <row r="3604" spans="1:29" x14ac:dyDescent="0.2">
      <c r="A3604" t="str">
        <f t="shared" si="498"/>
        <v/>
      </c>
      <c r="E3604" s="4"/>
      <c r="F3604" s="46"/>
      <c r="G3604" s="4"/>
      <c r="H3604" s="48"/>
      <c r="J3604" s="26" t="str">
        <f t="shared" si="499"/>
        <v/>
      </c>
      <c r="N3604" t="str">
        <f t="shared" si="500"/>
        <v/>
      </c>
      <c r="Q3604" t="str">
        <f t="shared" si="501"/>
        <v/>
      </c>
      <c r="S3604" t="str">
        <f>IF(A3604=1,MAX($S$2:$S3603)+1,IF(OR($I3604&lt;&gt;"",A3604="x"),$S3603,""))</f>
        <v/>
      </c>
      <c r="T3604" t="str">
        <f>IF(D3604=1,MAX($T$2:$T3603)+1,IF(S3604=S3603,$T3603,IF(D3604="x",T3603,IF(D3603="x","",""))))</f>
        <v/>
      </c>
      <c r="U3604" t="str">
        <f>IF(B3604=1,MAX($U$2:$U3603)+1,IF(AND($T3604&lt;&gt;"",$T3604=$T3603),$U3603,IF(B3604="x",U3603,"")))</f>
        <v/>
      </c>
      <c r="V3604" t="str">
        <f>IF(C3604=1,MAX($V$2:$V3603)+1,IF(AND($T3604&lt;&gt;"",$T3604=$T3603),$U3603,IF(C3604="x",V3603,"")))</f>
        <v/>
      </c>
      <c r="X3604" cm="1">
        <f t="array" ref="X3604">IF($I3604&lt;&gt;"",$I3604,INDEX($I$1:$I3604,ROW()-COUNTIFS($T$1:$T3604,"="&amp;$T3604,$S$1:$S3604,"&lt;"&amp;$S3604)))</f>
        <v>0</v>
      </c>
      <c r="Z3604" s="6">
        <f t="shared" si="494"/>
        <v>1</v>
      </c>
      <c r="AA3604" t="e">
        <f t="shared" si="495"/>
        <v>#VALUE!</v>
      </c>
      <c r="AB3604" t="str">
        <f t="shared" si="496"/>
        <v/>
      </c>
      <c r="AC3604" t="e">
        <f t="shared" si="497"/>
        <v>#VALUE!</v>
      </c>
    </row>
    <row r="3605" spans="1:29" x14ac:dyDescent="0.2">
      <c r="A3605" t="str">
        <f t="shared" si="498"/>
        <v/>
      </c>
      <c r="E3605" s="4"/>
      <c r="F3605" s="46"/>
      <c r="G3605" s="4"/>
      <c r="H3605" s="48"/>
      <c r="J3605" s="26" t="str">
        <f t="shared" si="499"/>
        <v/>
      </c>
      <c r="N3605" t="str">
        <f t="shared" si="500"/>
        <v/>
      </c>
      <c r="Q3605" t="str">
        <f t="shared" si="501"/>
        <v/>
      </c>
      <c r="S3605" t="str">
        <f>IF(A3605=1,MAX($S$2:$S3604)+1,IF(OR($I3605&lt;&gt;"",A3605="x"),$S3604,""))</f>
        <v/>
      </c>
      <c r="T3605" t="str">
        <f>IF(D3605=1,MAX($T$2:$T3604)+1,IF(S3605=S3604,$T3604,IF(D3605="x",T3604,IF(D3604="x","",""))))</f>
        <v/>
      </c>
      <c r="U3605" t="str">
        <f>IF(B3605=1,MAX($U$2:$U3604)+1,IF(AND($T3605&lt;&gt;"",$T3605=$T3604),$U3604,IF(B3605="x",U3604,"")))</f>
        <v/>
      </c>
      <c r="V3605" t="str">
        <f>IF(C3605=1,MAX($V$2:$V3604)+1,IF(AND($T3605&lt;&gt;"",$T3605=$T3604),$U3604,IF(C3605="x",V3604,"")))</f>
        <v/>
      </c>
      <c r="X3605" cm="1">
        <f t="array" ref="X3605">IF($I3605&lt;&gt;"",$I3605,INDEX($I$1:$I3605,ROW()-COUNTIFS($T$1:$T3605,"="&amp;$T3605,$S$1:$S3605,"&lt;"&amp;$S3605)))</f>
        <v>0</v>
      </c>
      <c r="Z3605" s="6">
        <f t="shared" si="494"/>
        <v>1</v>
      </c>
      <c r="AA3605" t="e">
        <f t="shared" si="495"/>
        <v>#VALUE!</v>
      </c>
      <c r="AB3605" t="str">
        <f t="shared" si="496"/>
        <v/>
      </c>
      <c r="AC3605" t="e">
        <f t="shared" si="497"/>
        <v>#VALUE!</v>
      </c>
    </row>
    <row r="3606" spans="1:29" x14ac:dyDescent="0.2">
      <c r="A3606" t="str">
        <f t="shared" si="498"/>
        <v/>
      </c>
      <c r="E3606" s="4"/>
      <c r="F3606" s="46"/>
      <c r="G3606" s="4"/>
      <c r="H3606" s="48"/>
      <c r="J3606" s="26" t="str">
        <f t="shared" si="499"/>
        <v/>
      </c>
      <c r="N3606" t="str">
        <f t="shared" si="500"/>
        <v/>
      </c>
      <c r="Q3606" t="str">
        <f t="shared" si="501"/>
        <v/>
      </c>
      <c r="S3606" t="str">
        <f>IF(A3606=1,MAX($S$2:$S3605)+1,IF(OR($I3606&lt;&gt;"",A3606="x"),$S3605,""))</f>
        <v/>
      </c>
      <c r="T3606" t="str">
        <f>IF(D3606=1,MAX($T$2:$T3605)+1,IF(S3606=S3605,$T3605,IF(D3606="x",T3605,IF(D3605="x","",""))))</f>
        <v/>
      </c>
      <c r="U3606" t="str">
        <f>IF(B3606=1,MAX($U$2:$U3605)+1,IF(AND($T3606&lt;&gt;"",$T3606=$T3605),$U3605,IF(B3606="x",U3605,"")))</f>
        <v/>
      </c>
      <c r="V3606" t="str">
        <f>IF(C3606=1,MAX($V$2:$V3605)+1,IF(AND($T3606&lt;&gt;"",$T3606=$T3605),$U3605,IF(C3606="x",V3605,"")))</f>
        <v/>
      </c>
      <c r="X3606" cm="1">
        <f t="array" ref="X3606">IF($I3606&lt;&gt;"",$I3606,INDEX($I$1:$I3606,ROW()-COUNTIFS($T$1:$T3606,"="&amp;$T3606,$S$1:$S3606,"&lt;"&amp;$S3606)))</f>
        <v>0</v>
      </c>
      <c r="Z3606" s="6">
        <f t="shared" si="494"/>
        <v>1</v>
      </c>
      <c r="AA3606" t="e">
        <f t="shared" si="495"/>
        <v>#VALUE!</v>
      </c>
      <c r="AB3606" t="str">
        <f t="shared" si="496"/>
        <v/>
      </c>
      <c r="AC3606" t="e">
        <f t="shared" si="497"/>
        <v>#VALUE!</v>
      </c>
    </row>
    <row r="3607" spans="1:29" x14ac:dyDescent="0.2">
      <c r="A3607" t="str">
        <f t="shared" si="498"/>
        <v/>
      </c>
      <c r="E3607" s="4"/>
      <c r="F3607" s="46"/>
      <c r="G3607" s="4"/>
      <c r="H3607" s="48"/>
      <c r="J3607" s="26" t="str">
        <f t="shared" si="499"/>
        <v/>
      </c>
      <c r="N3607" t="str">
        <f t="shared" si="500"/>
        <v/>
      </c>
      <c r="Q3607" t="str">
        <f t="shared" si="501"/>
        <v/>
      </c>
      <c r="S3607" t="str">
        <f>IF(A3607=1,MAX($S$2:$S3606)+1,IF(OR($I3607&lt;&gt;"",A3607="x"),$S3606,""))</f>
        <v/>
      </c>
      <c r="T3607" t="str">
        <f>IF(D3607=1,MAX($T$2:$T3606)+1,IF(S3607=S3606,$T3606,IF(D3607="x",T3606,IF(D3606="x","",""))))</f>
        <v/>
      </c>
      <c r="U3607" t="str">
        <f>IF(B3607=1,MAX($U$2:$U3606)+1,IF(AND($T3607&lt;&gt;"",$T3607=$T3606),$U3606,IF(B3607="x",U3606,"")))</f>
        <v/>
      </c>
      <c r="V3607" t="str">
        <f>IF(C3607=1,MAX($V$2:$V3606)+1,IF(AND($T3607&lt;&gt;"",$T3607=$T3606),$U3606,IF(C3607="x",V3606,"")))</f>
        <v/>
      </c>
      <c r="X3607" cm="1">
        <f t="array" ref="X3607">IF($I3607&lt;&gt;"",$I3607,INDEX($I$1:$I3607,ROW()-COUNTIFS($T$1:$T3607,"="&amp;$T3607,$S$1:$S3607,"&lt;"&amp;$S3607)))</f>
        <v>0</v>
      </c>
      <c r="Z3607" s="6">
        <f t="shared" si="494"/>
        <v>1</v>
      </c>
      <c r="AA3607" t="e">
        <f t="shared" si="495"/>
        <v>#VALUE!</v>
      </c>
      <c r="AB3607" t="str">
        <f t="shared" si="496"/>
        <v/>
      </c>
      <c r="AC3607" t="e">
        <f t="shared" si="497"/>
        <v>#VALUE!</v>
      </c>
    </row>
    <row r="3608" spans="1:29" x14ac:dyDescent="0.2">
      <c r="A3608" t="str">
        <f t="shared" si="498"/>
        <v/>
      </c>
      <c r="E3608" s="4"/>
      <c r="F3608" s="46"/>
      <c r="G3608" s="4"/>
      <c r="H3608" s="48"/>
      <c r="J3608" s="26" t="str">
        <f t="shared" si="499"/>
        <v/>
      </c>
      <c r="N3608" t="str">
        <f t="shared" si="500"/>
        <v/>
      </c>
      <c r="Q3608" t="str">
        <f t="shared" si="501"/>
        <v/>
      </c>
      <c r="S3608" t="str">
        <f>IF(A3608=1,MAX($S$2:$S3607)+1,IF(OR($I3608&lt;&gt;"",A3608="x"),$S3607,""))</f>
        <v/>
      </c>
      <c r="T3608" t="str">
        <f>IF(D3608=1,MAX($T$2:$T3607)+1,IF(S3608=S3607,$T3607,IF(D3608="x",T3607,IF(D3607="x","",""))))</f>
        <v/>
      </c>
      <c r="U3608" t="str">
        <f>IF(B3608=1,MAX($U$2:$U3607)+1,IF(AND($T3608&lt;&gt;"",$T3608=$T3607),$U3607,IF(B3608="x",U3607,"")))</f>
        <v/>
      </c>
      <c r="V3608" t="str">
        <f>IF(C3608=1,MAX($V$2:$V3607)+1,IF(AND($T3608&lt;&gt;"",$T3608=$T3607),$U3607,IF(C3608="x",V3607,"")))</f>
        <v/>
      </c>
      <c r="X3608" cm="1">
        <f t="array" ref="X3608">IF($I3608&lt;&gt;"",$I3608,INDEX($I$1:$I3608,ROW()-COUNTIFS($T$1:$T3608,"="&amp;$T3608,$S$1:$S3608,"&lt;"&amp;$S3608)))</f>
        <v>0</v>
      </c>
      <c r="Z3608" s="6">
        <f t="shared" si="494"/>
        <v>1</v>
      </c>
      <c r="AA3608" t="e">
        <f t="shared" si="495"/>
        <v>#VALUE!</v>
      </c>
      <c r="AB3608" t="str">
        <f t="shared" si="496"/>
        <v/>
      </c>
      <c r="AC3608" t="e">
        <f t="shared" si="497"/>
        <v>#VALUE!</v>
      </c>
    </row>
    <row r="3609" spans="1:29" x14ac:dyDescent="0.2">
      <c r="A3609" t="str">
        <f t="shared" si="498"/>
        <v/>
      </c>
      <c r="E3609" s="4"/>
      <c r="F3609" s="46"/>
      <c r="G3609" s="4"/>
      <c r="H3609" s="48"/>
      <c r="J3609" s="26" t="str">
        <f t="shared" si="499"/>
        <v/>
      </c>
      <c r="N3609" t="str">
        <f t="shared" si="500"/>
        <v/>
      </c>
      <c r="Q3609" t="str">
        <f t="shared" si="501"/>
        <v/>
      </c>
      <c r="S3609" t="str">
        <f>IF(A3609=1,MAX($S$2:$S3608)+1,IF(OR($I3609&lt;&gt;"",A3609="x"),$S3608,""))</f>
        <v/>
      </c>
      <c r="T3609" t="str">
        <f>IF(D3609=1,MAX($T$2:$T3608)+1,IF(S3609=S3608,$T3608,IF(D3609="x",T3608,IF(D3608="x","",""))))</f>
        <v/>
      </c>
      <c r="U3609" t="str">
        <f>IF(B3609=1,MAX($U$2:$U3608)+1,IF(AND($T3609&lt;&gt;"",$T3609=$T3608),$U3608,IF(B3609="x",U3608,"")))</f>
        <v/>
      </c>
      <c r="V3609" t="str">
        <f>IF(C3609=1,MAX($V$2:$V3608)+1,IF(AND($T3609&lt;&gt;"",$T3609=$T3608),$U3608,IF(C3609="x",V3608,"")))</f>
        <v/>
      </c>
      <c r="X3609" cm="1">
        <f t="array" ref="X3609">IF($I3609&lt;&gt;"",$I3609,INDEX($I$1:$I3609,ROW()-COUNTIFS($T$1:$T3609,"="&amp;$T3609,$S$1:$S3609,"&lt;"&amp;$S3609)))</f>
        <v>0</v>
      </c>
      <c r="Z3609" s="6">
        <f t="shared" si="494"/>
        <v>1</v>
      </c>
      <c r="AA3609" t="e">
        <f t="shared" si="495"/>
        <v>#VALUE!</v>
      </c>
      <c r="AB3609" t="str">
        <f t="shared" si="496"/>
        <v/>
      </c>
      <c r="AC3609" t="e">
        <f t="shared" si="497"/>
        <v>#VALUE!</v>
      </c>
    </row>
    <row r="3610" spans="1:29" x14ac:dyDescent="0.2">
      <c r="A3610" t="str">
        <f t="shared" si="498"/>
        <v/>
      </c>
      <c r="E3610" s="4"/>
      <c r="F3610" s="46"/>
      <c r="G3610" s="4"/>
      <c r="H3610" s="48"/>
      <c r="J3610" s="26" t="str">
        <f t="shared" si="499"/>
        <v/>
      </c>
      <c r="N3610" t="str">
        <f t="shared" si="500"/>
        <v/>
      </c>
      <c r="Q3610" t="str">
        <f t="shared" si="501"/>
        <v/>
      </c>
      <c r="S3610" t="str">
        <f>IF(A3610=1,MAX($S$2:$S3609)+1,IF(OR($I3610&lt;&gt;"",A3610="x"),$S3609,""))</f>
        <v/>
      </c>
      <c r="T3610" t="str">
        <f>IF(D3610=1,MAX($T$2:$T3609)+1,IF(S3610=S3609,$T3609,IF(D3610="x",T3609,IF(D3609="x","",""))))</f>
        <v/>
      </c>
      <c r="U3610" t="str">
        <f>IF(B3610=1,MAX($U$2:$U3609)+1,IF(AND($T3610&lt;&gt;"",$T3610=$T3609),$U3609,IF(B3610="x",U3609,"")))</f>
        <v/>
      </c>
      <c r="V3610" t="str">
        <f>IF(C3610=1,MAX($V$2:$V3609)+1,IF(AND($T3610&lt;&gt;"",$T3610=$T3609),$U3609,IF(C3610="x",V3609,"")))</f>
        <v/>
      </c>
      <c r="X3610" cm="1">
        <f t="array" ref="X3610">IF($I3610&lt;&gt;"",$I3610,INDEX($I$1:$I3610,ROW()-COUNTIFS($T$1:$T3610,"="&amp;$T3610,$S$1:$S3610,"&lt;"&amp;$S3610)))</f>
        <v>0</v>
      </c>
      <c r="Z3610" s="6">
        <f t="shared" si="494"/>
        <v>1</v>
      </c>
      <c r="AA3610" t="e">
        <f t="shared" si="495"/>
        <v>#VALUE!</v>
      </c>
      <c r="AB3610" t="str">
        <f t="shared" si="496"/>
        <v/>
      </c>
      <c r="AC3610" t="e">
        <f t="shared" si="497"/>
        <v>#VALUE!</v>
      </c>
    </row>
    <row r="3611" spans="1:29" x14ac:dyDescent="0.2">
      <c r="A3611" t="str">
        <f t="shared" si="498"/>
        <v/>
      </c>
      <c r="E3611" s="4"/>
      <c r="F3611" s="46"/>
      <c r="G3611" s="4"/>
      <c r="H3611" s="48"/>
      <c r="J3611" s="26" t="str">
        <f t="shared" si="499"/>
        <v/>
      </c>
      <c r="N3611" t="str">
        <f t="shared" si="500"/>
        <v/>
      </c>
      <c r="Q3611" t="str">
        <f t="shared" si="501"/>
        <v/>
      </c>
      <c r="S3611" t="str">
        <f>IF(A3611=1,MAX($S$2:$S3610)+1,IF(OR($I3611&lt;&gt;"",A3611="x"),$S3610,""))</f>
        <v/>
      </c>
      <c r="T3611" t="str">
        <f>IF(D3611=1,MAX($T$2:$T3610)+1,IF(S3611=S3610,$T3610,IF(D3611="x",T3610,IF(D3610="x","",""))))</f>
        <v/>
      </c>
      <c r="U3611" t="str">
        <f>IF(B3611=1,MAX($U$2:$U3610)+1,IF(AND($T3611&lt;&gt;"",$T3611=$T3610),$U3610,IF(B3611="x",U3610,"")))</f>
        <v/>
      </c>
      <c r="V3611" t="str">
        <f>IF(C3611=1,MAX($V$2:$V3610)+1,IF(AND($T3611&lt;&gt;"",$T3611=$T3610),$U3610,IF(C3611="x",V3610,"")))</f>
        <v/>
      </c>
      <c r="X3611" cm="1">
        <f t="array" ref="X3611">IF($I3611&lt;&gt;"",$I3611,INDEX($I$1:$I3611,ROW()-COUNTIFS($T$1:$T3611,"="&amp;$T3611,$S$1:$S3611,"&lt;"&amp;$S3611)))</f>
        <v>0</v>
      </c>
      <c r="Z3611" s="6">
        <f t="shared" si="494"/>
        <v>1</v>
      </c>
      <c r="AA3611" t="e">
        <f t="shared" si="495"/>
        <v>#VALUE!</v>
      </c>
      <c r="AB3611" t="str">
        <f t="shared" si="496"/>
        <v/>
      </c>
      <c r="AC3611" t="e">
        <f t="shared" si="497"/>
        <v>#VALUE!</v>
      </c>
    </row>
    <row r="3612" spans="1:29" x14ac:dyDescent="0.2">
      <c r="A3612" t="str">
        <f t="shared" si="498"/>
        <v/>
      </c>
      <c r="E3612" s="4"/>
      <c r="F3612" s="46"/>
      <c r="G3612" s="4"/>
      <c r="H3612" s="48"/>
      <c r="J3612" s="26" t="str">
        <f t="shared" si="499"/>
        <v/>
      </c>
      <c r="N3612" t="str">
        <f t="shared" si="500"/>
        <v/>
      </c>
      <c r="Q3612" t="str">
        <f t="shared" si="501"/>
        <v/>
      </c>
      <c r="S3612" t="str">
        <f>IF(A3612=1,MAX($S$2:$S3611)+1,IF(OR($I3612&lt;&gt;"",A3612="x"),$S3611,""))</f>
        <v/>
      </c>
      <c r="T3612" t="str">
        <f>IF(D3612=1,MAX($T$2:$T3611)+1,IF(S3612=S3611,$T3611,IF(D3612="x",T3611,IF(D3611="x","",""))))</f>
        <v/>
      </c>
      <c r="U3612" t="str">
        <f>IF(B3612=1,MAX($U$2:$U3611)+1,IF(AND($T3612&lt;&gt;"",$T3612=$T3611),$U3611,IF(B3612="x",U3611,"")))</f>
        <v/>
      </c>
      <c r="V3612" t="str">
        <f>IF(C3612=1,MAX($V$2:$V3611)+1,IF(AND($T3612&lt;&gt;"",$T3612=$T3611),$U3611,IF(C3612="x",V3611,"")))</f>
        <v/>
      </c>
      <c r="X3612" cm="1">
        <f t="array" ref="X3612">IF($I3612&lt;&gt;"",$I3612,INDEX($I$1:$I3612,ROW()-COUNTIFS($T$1:$T3612,"="&amp;$T3612,$S$1:$S3612,"&lt;"&amp;$S3612)))</f>
        <v>0</v>
      </c>
      <c r="Z3612" s="6">
        <f t="shared" si="494"/>
        <v>1</v>
      </c>
      <c r="AA3612" t="e">
        <f t="shared" si="495"/>
        <v>#VALUE!</v>
      </c>
      <c r="AB3612" t="str">
        <f t="shared" si="496"/>
        <v/>
      </c>
      <c r="AC3612" t="e">
        <f t="shared" si="497"/>
        <v>#VALUE!</v>
      </c>
    </row>
    <row r="3613" spans="1:29" x14ac:dyDescent="0.2">
      <c r="A3613" t="str">
        <f t="shared" si="498"/>
        <v/>
      </c>
      <c r="E3613" s="4"/>
      <c r="F3613" s="46"/>
      <c r="G3613" s="4"/>
      <c r="H3613" s="48"/>
      <c r="J3613" s="26" t="str">
        <f t="shared" si="499"/>
        <v/>
      </c>
      <c r="N3613" t="str">
        <f t="shared" si="500"/>
        <v/>
      </c>
      <c r="Q3613" t="str">
        <f t="shared" si="501"/>
        <v/>
      </c>
      <c r="S3613" t="str">
        <f>IF(A3613=1,MAX($S$2:$S3612)+1,IF(OR($I3613&lt;&gt;"",A3613="x"),$S3612,""))</f>
        <v/>
      </c>
      <c r="T3613" t="str">
        <f>IF(D3613=1,MAX($T$2:$T3612)+1,IF(S3613=S3612,$T3612,IF(D3613="x",T3612,IF(D3612="x","",""))))</f>
        <v/>
      </c>
      <c r="U3613" t="str">
        <f>IF(B3613=1,MAX($U$2:$U3612)+1,IF(AND($T3613&lt;&gt;"",$T3613=$T3612),$U3612,IF(B3613="x",U3612,"")))</f>
        <v/>
      </c>
      <c r="V3613" t="str">
        <f>IF(C3613=1,MAX($V$2:$V3612)+1,IF(AND($T3613&lt;&gt;"",$T3613=$T3612),$U3612,IF(C3613="x",V3612,"")))</f>
        <v/>
      </c>
      <c r="X3613" cm="1">
        <f t="array" ref="X3613">IF($I3613&lt;&gt;"",$I3613,INDEX($I$1:$I3613,ROW()-COUNTIFS($T$1:$T3613,"="&amp;$T3613,$S$1:$S3613,"&lt;"&amp;$S3613)))</f>
        <v>0</v>
      </c>
      <c r="Z3613" s="6">
        <f t="shared" si="494"/>
        <v>1</v>
      </c>
      <c r="AA3613" t="e">
        <f t="shared" si="495"/>
        <v>#VALUE!</v>
      </c>
      <c r="AB3613" t="str">
        <f t="shared" si="496"/>
        <v/>
      </c>
      <c r="AC3613" t="e">
        <f t="shared" si="497"/>
        <v>#VALUE!</v>
      </c>
    </row>
    <row r="3614" spans="1:29" x14ac:dyDescent="0.2">
      <c r="A3614" t="str">
        <f t="shared" si="498"/>
        <v/>
      </c>
      <c r="E3614" s="4"/>
      <c r="F3614" s="46"/>
      <c r="G3614" s="4"/>
      <c r="H3614" s="48"/>
      <c r="J3614" s="26" t="str">
        <f t="shared" si="499"/>
        <v/>
      </c>
      <c r="N3614" t="str">
        <f t="shared" si="500"/>
        <v/>
      </c>
      <c r="Q3614" t="str">
        <f t="shared" si="501"/>
        <v/>
      </c>
      <c r="S3614" t="str">
        <f>IF(A3614=1,MAX($S$2:$S3613)+1,IF(OR($I3614&lt;&gt;"",A3614="x"),$S3613,""))</f>
        <v/>
      </c>
      <c r="T3614" t="str">
        <f>IF(D3614=1,MAX($T$2:$T3613)+1,IF(S3614=S3613,$T3613,IF(D3614="x",T3613,IF(D3613="x","",""))))</f>
        <v/>
      </c>
      <c r="U3614" t="str">
        <f>IF(B3614=1,MAX($U$2:$U3613)+1,IF(AND($T3614&lt;&gt;"",$T3614=$T3613),$U3613,IF(B3614="x",U3613,"")))</f>
        <v/>
      </c>
      <c r="V3614" t="str">
        <f>IF(C3614=1,MAX($V$2:$V3613)+1,IF(AND($T3614&lt;&gt;"",$T3614=$T3613),$U3613,IF(C3614="x",V3613,"")))</f>
        <v/>
      </c>
      <c r="X3614" cm="1">
        <f t="array" ref="X3614">IF($I3614&lt;&gt;"",$I3614,INDEX($I$1:$I3614,ROW()-COUNTIFS($T$1:$T3614,"="&amp;$T3614,$S$1:$S3614,"&lt;"&amp;$S3614)))</f>
        <v>0</v>
      </c>
      <c r="Z3614" s="6">
        <f t="shared" si="494"/>
        <v>1</v>
      </c>
      <c r="AA3614" t="e">
        <f t="shared" si="495"/>
        <v>#VALUE!</v>
      </c>
      <c r="AB3614" t="str">
        <f t="shared" si="496"/>
        <v/>
      </c>
      <c r="AC3614" t="e">
        <f t="shared" si="497"/>
        <v>#VALUE!</v>
      </c>
    </row>
    <row r="3615" spans="1:29" x14ac:dyDescent="0.2">
      <c r="A3615" t="str">
        <f t="shared" si="498"/>
        <v/>
      </c>
      <c r="E3615" s="4"/>
      <c r="F3615" s="46"/>
      <c r="G3615" s="4"/>
      <c r="H3615" s="48"/>
      <c r="J3615" s="26" t="str">
        <f t="shared" si="499"/>
        <v/>
      </c>
      <c r="N3615" t="str">
        <f t="shared" si="500"/>
        <v/>
      </c>
      <c r="Q3615" t="str">
        <f t="shared" si="501"/>
        <v/>
      </c>
      <c r="S3615" t="str">
        <f>IF(A3615=1,MAX($S$2:$S3614)+1,IF(OR($I3615&lt;&gt;"",A3615="x"),$S3614,""))</f>
        <v/>
      </c>
      <c r="T3615" t="str">
        <f>IF(D3615=1,MAX($T$2:$T3614)+1,IF(S3615=S3614,$T3614,IF(D3615="x",T3614,IF(D3614="x","",""))))</f>
        <v/>
      </c>
      <c r="U3615" t="str">
        <f>IF(B3615=1,MAX($U$2:$U3614)+1,IF(AND($T3615&lt;&gt;"",$T3615=$T3614),$U3614,IF(B3615="x",U3614,"")))</f>
        <v/>
      </c>
      <c r="V3615" t="str">
        <f>IF(C3615=1,MAX($V$2:$V3614)+1,IF(AND($T3615&lt;&gt;"",$T3615=$T3614),$U3614,IF(C3615="x",V3614,"")))</f>
        <v/>
      </c>
      <c r="X3615" cm="1">
        <f t="array" ref="X3615">IF($I3615&lt;&gt;"",$I3615,INDEX($I$1:$I3615,ROW()-COUNTIFS($T$1:$T3615,"="&amp;$T3615,$S$1:$S3615,"&lt;"&amp;$S3615)))</f>
        <v>0</v>
      </c>
      <c r="Z3615" s="6">
        <f t="shared" si="494"/>
        <v>1</v>
      </c>
      <c r="AA3615" t="e">
        <f t="shared" si="495"/>
        <v>#VALUE!</v>
      </c>
      <c r="AB3615" t="str">
        <f t="shared" si="496"/>
        <v/>
      </c>
      <c r="AC3615" t="e">
        <f t="shared" si="497"/>
        <v>#VALUE!</v>
      </c>
    </row>
    <row r="3616" spans="1:29" x14ac:dyDescent="0.2">
      <c r="A3616" t="str">
        <f t="shared" si="498"/>
        <v/>
      </c>
      <c r="E3616" s="4"/>
      <c r="F3616" s="46"/>
      <c r="G3616" s="4"/>
      <c r="H3616" s="48"/>
      <c r="J3616" s="26" t="str">
        <f t="shared" si="499"/>
        <v/>
      </c>
      <c r="N3616" t="str">
        <f t="shared" si="500"/>
        <v/>
      </c>
      <c r="Q3616" t="str">
        <f t="shared" si="501"/>
        <v/>
      </c>
      <c r="S3616" t="str">
        <f>IF(A3616=1,MAX($S$2:$S3615)+1,IF(OR($I3616&lt;&gt;"",A3616="x"),$S3615,""))</f>
        <v/>
      </c>
      <c r="T3616" t="str">
        <f>IF(D3616=1,MAX($T$2:$T3615)+1,IF(S3616=S3615,$T3615,IF(D3616="x",T3615,IF(D3615="x","",""))))</f>
        <v/>
      </c>
      <c r="U3616" t="str">
        <f>IF(B3616=1,MAX($U$2:$U3615)+1,IF(AND($T3616&lt;&gt;"",$T3616=$T3615),$U3615,IF(B3616="x",U3615,"")))</f>
        <v/>
      </c>
      <c r="V3616" t="str">
        <f>IF(C3616=1,MAX($V$2:$V3615)+1,IF(AND($T3616&lt;&gt;"",$T3616=$T3615),$U3615,IF(C3616="x",V3615,"")))</f>
        <v/>
      </c>
      <c r="X3616" cm="1">
        <f t="array" ref="X3616">IF($I3616&lt;&gt;"",$I3616,INDEX($I$1:$I3616,ROW()-COUNTIFS($T$1:$T3616,"="&amp;$T3616,$S$1:$S3616,"&lt;"&amp;$S3616)))</f>
        <v>0</v>
      </c>
      <c r="Z3616" s="6">
        <f t="shared" si="494"/>
        <v>1</v>
      </c>
      <c r="AA3616" t="e">
        <f t="shared" si="495"/>
        <v>#VALUE!</v>
      </c>
      <c r="AB3616" t="str">
        <f t="shared" si="496"/>
        <v/>
      </c>
      <c r="AC3616" t="e">
        <f t="shared" si="497"/>
        <v>#VALUE!</v>
      </c>
    </row>
    <row r="3617" spans="1:29" x14ac:dyDescent="0.2">
      <c r="A3617" t="str">
        <f t="shared" si="498"/>
        <v/>
      </c>
      <c r="E3617" s="4"/>
      <c r="F3617" s="46"/>
      <c r="G3617" s="4"/>
      <c r="H3617" s="48"/>
      <c r="J3617" s="26" t="str">
        <f t="shared" si="499"/>
        <v/>
      </c>
      <c r="N3617" t="str">
        <f t="shared" si="500"/>
        <v/>
      </c>
      <c r="Q3617" t="str">
        <f t="shared" si="501"/>
        <v/>
      </c>
      <c r="S3617" t="str">
        <f>IF(A3617=1,MAX($S$2:$S3616)+1,IF(OR($I3617&lt;&gt;"",A3617="x"),$S3616,""))</f>
        <v/>
      </c>
      <c r="T3617" t="str">
        <f>IF(D3617=1,MAX($T$2:$T3616)+1,IF(S3617=S3616,$T3616,IF(D3617="x",T3616,IF(D3616="x","",""))))</f>
        <v/>
      </c>
      <c r="U3617" t="str">
        <f>IF(B3617=1,MAX($U$2:$U3616)+1,IF(AND($T3617&lt;&gt;"",$T3617=$T3616),$U3616,IF(B3617="x",U3616,"")))</f>
        <v/>
      </c>
      <c r="V3617" t="str">
        <f>IF(C3617=1,MAX($V$2:$V3616)+1,IF(AND($T3617&lt;&gt;"",$T3617=$T3616),$U3616,IF(C3617="x",V3616,"")))</f>
        <v/>
      </c>
      <c r="X3617" cm="1">
        <f t="array" ref="X3617">IF($I3617&lt;&gt;"",$I3617,INDEX($I$1:$I3617,ROW()-COUNTIFS($T$1:$T3617,"="&amp;$T3617,$S$1:$S3617,"&lt;"&amp;$S3617)))</f>
        <v>0</v>
      </c>
      <c r="Z3617" s="6">
        <f t="shared" si="494"/>
        <v>1</v>
      </c>
      <c r="AA3617" t="e">
        <f t="shared" si="495"/>
        <v>#VALUE!</v>
      </c>
      <c r="AB3617" t="str">
        <f t="shared" si="496"/>
        <v/>
      </c>
      <c r="AC3617" t="e">
        <f t="shared" si="497"/>
        <v>#VALUE!</v>
      </c>
    </row>
    <row r="3618" spans="1:29" x14ac:dyDescent="0.2">
      <c r="A3618" t="str">
        <f t="shared" si="498"/>
        <v/>
      </c>
      <c r="E3618" s="4"/>
      <c r="F3618" s="46"/>
      <c r="G3618" s="4"/>
      <c r="H3618" s="48"/>
      <c r="J3618" s="26" t="str">
        <f t="shared" si="499"/>
        <v/>
      </c>
      <c r="N3618" t="str">
        <f t="shared" si="500"/>
        <v/>
      </c>
      <c r="Q3618" t="str">
        <f t="shared" si="501"/>
        <v/>
      </c>
      <c r="S3618" t="str">
        <f>IF(A3618=1,MAX($S$2:$S3617)+1,IF(OR($I3618&lt;&gt;"",A3618="x"),$S3617,""))</f>
        <v/>
      </c>
      <c r="T3618" t="str">
        <f>IF(D3618=1,MAX($T$2:$T3617)+1,IF(S3618=S3617,$T3617,IF(D3618="x",T3617,IF(D3617="x","",""))))</f>
        <v/>
      </c>
      <c r="U3618" t="str">
        <f>IF(B3618=1,MAX($U$2:$U3617)+1,IF(AND($T3618&lt;&gt;"",$T3618=$T3617),$U3617,IF(B3618="x",U3617,"")))</f>
        <v/>
      </c>
      <c r="V3618" t="str">
        <f>IF(C3618=1,MAX($V$2:$V3617)+1,IF(AND($T3618&lt;&gt;"",$T3618=$T3617),$U3617,IF(C3618="x",V3617,"")))</f>
        <v/>
      </c>
      <c r="X3618" cm="1">
        <f t="array" ref="X3618">IF($I3618&lt;&gt;"",$I3618,INDEX($I$1:$I3618,ROW()-COUNTIFS($T$1:$T3618,"="&amp;$T3618,$S$1:$S3618,"&lt;"&amp;$S3618)))</f>
        <v>0</v>
      </c>
      <c r="Z3618" s="6">
        <f t="shared" si="494"/>
        <v>1</v>
      </c>
      <c r="AA3618" t="e">
        <f t="shared" si="495"/>
        <v>#VALUE!</v>
      </c>
      <c r="AB3618" t="str">
        <f t="shared" si="496"/>
        <v/>
      </c>
      <c r="AC3618" t="e">
        <f t="shared" si="497"/>
        <v>#VALUE!</v>
      </c>
    </row>
    <row r="3619" spans="1:29" x14ac:dyDescent="0.2">
      <c r="A3619" t="str">
        <f t="shared" si="498"/>
        <v/>
      </c>
      <c r="E3619" s="4"/>
      <c r="F3619" s="46"/>
      <c r="G3619" s="4"/>
      <c r="H3619" s="48"/>
      <c r="J3619" s="26" t="str">
        <f t="shared" si="499"/>
        <v/>
      </c>
      <c r="N3619" t="str">
        <f t="shared" si="500"/>
        <v/>
      </c>
      <c r="Q3619" t="str">
        <f t="shared" si="501"/>
        <v/>
      </c>
      <c r="S3619" t="str">
        <f>IF(A3619=1,MAX($S$2:$S3618)+1,IF(OR($I3619&lt;&gt;"",A3619="x"),$S3618,""))</f>
        <v/>
      </c>
      <c r="T3619" t="str">
        <f>IF(D3619=1,MAX($T$2:$T3618)+1,IF(S3619=S3618,$T3618,IF(D3619="x",T3618,IF(D3618="x","",""))))</f>
        <v/>
      </c>
      <c r="U3619" t="str">
        <f>IF(B3619=1,MAX($U$2:$U3618)+1,IF(AND($T3619&lt;&gt;"",$T3619=$T3618),$U3618,IF(B3619="x",U3618,"")))</f>
        <v/>
      </c>
      <c r="V3619" t="str">
        <f>IF(C3619=1,MAX($V$2:$V3618)+1,IF(AND($T3619&lt;&gt;"",$T3619=$T3618),$U3618,IF(C3619="x",V3618,"")))</f>
        <v/>
      </c>
      <c r="X3619" cm="1">
        <f t="array" ref="X3619">IF($I3619&lt;&gt;"",$I3619,INDEX($I$1:$I3619,ROW()-COUNTIFS($T$1:$T3619,"="&amp;$T3619,$S$1:$S3619,"&lt;"&amp;$S3619)))</f>
        <v>0</v>
      </c>
      <c r="Z3619" s="6">
        <f t="shared" si="494"/>
        <v>1</v>
      </c>
      <c r="AA3619" t="e">
        <f t="shared" si="495"/>
        <v>#VALUE!</v>
      </c>
      <c r="AB3619" t="str">
        <f t="shared" si="496"/>
        <v/>
      </c>
      <c r="AC3619" t="e">
        <f t="shared" si="497"/>
        <v>#VALUE!</v>
      </c>
    </row>
    <row r="3620" spans="1:29" x14ac:dyDescent="0.2">
      <c r="A3620" t="str">
        <f t="shared" si="498"/>
        <v/>
      </c>
      <c r="E3620" s="4"/>
      <c r="F3620" s="46"/>
      <c r="G3620" s="4"/>
      <c r="H3620" s="48"/>
      <c r="J3620" s="26" t="str">
        <f t="shared" si="499"/>
        <v/>
      </c>
      <c r="N3620" t="str">
        <f t="shared" si="500"/>
        <v/>
      </c>
      <c r="Q3620" t="str">
        <f t="shared" si="501"/>
        <v/>
      </c>
      <c r="S3620" t="str">
        <f>IF(A3620=1,MAX($S$2:$S3619)+1,IF(OR($I3620&lt;&gt;"",A3620="x"),$S3619,""))</f>
        <v/>
      </c>
      <c r="T3620" t="str">
        <f>IF(D3620=1,MAX($T$2:$T3619)+1,IF(S3620=S3619,$T3619,IF(D3620="x",T3619,IF(D3619="x","",""))))</f>
        <v/>
      </c>
      <c r="U3620" t="str">
        <f>IF(B3620=1,MAX($U$2:$U3619)+1,IF(AND($T3620&lt;&gt;"",$T3620=$T3619),$U3619,IF(B3620="x",U3619,"")))</f>
        <v/>
      </c>
      <c r="V3620" t="str">
        <f>IF(C3620=1,MAX($V$2:$V3619)+1,IF(AND($T3620&lt;&gt;"",$T3620=$T3619),$U3619,IF(C3620="x",V3619,"")))</f>
        <v/>
      </c>
      <c r="X3620" cm="1">
        <f t="array" ref="X3620">IF($I3620&lt;&gt;"",$I3620,INDEX($I$1:$I3620,ROW()-COUNTIFS($T$1:$T3620,"="&amp;$T3620,$S$1:$S3620,"&lt;"&amp;$S3620)))</f>
        <v>0</v>
      </c>
      <c r="Z3620" s="6">
        <f t="shared" si="494"/>
        <v>1</v>
      </c>
      <c r="AA3620" t="e">
        <f t="shared" si="495"/>
        <v>#VALUE!</v>
      </c>
      <c r="AB3620" t="str">
        <f t="shared" si="496"/>
        <v/>
      </c>
      <c r="AC3620" t="e">
        <f t="shared" si="497"/>
        <v>#VALUE!</v>
      </c>
    </row>
    <row r="3621" spans="1:29" x14ac:dyDescent="0.2">
      <c r="A3621" t="str">
        <f t="shared" si="498"/>
        <v/>
      </c>
      <c r="E3621" s="4"/>
      <c r="F3621" s="46"/>
      <c r="G3621" s="4"/>
      <c r="H3621" s="48"/>
      <c r="J3621" s="26" t="str">
        <f t="shared" si="499"/>
        <v/>
      </c>
      <c r="N3621" t="str">
        <f t="shared" si="500"/>
        <v/>
      </c>
      <c r="Q3621" t="str">
        <f t="shared" si="501"/>
        <v/>
      </c>
      <c r="S3621" t="str">
        <f>IF(A3621=1,MAX($S$2:$S3620)+1,IF(OR($I3621&lt;&gt;"",A3621="x"),$S3620,""))</f>
        <v/>
      </c>
      <c r="T3621" t="str">
        <f>IF(D3621=1,MAX($T$2:$T3620)+1,IF(S3621=S3620,$T3620,IF(D3621="x",T3620,IF(D3620="x","",""))))</f>
        <v/>
      </c>
      <c r="U3621" t="str">
        <f>IF(B3621=1,MAX($U$2:$U3620)+1,IF(AND($T3621&lt;&gt;"",$T3621=$T3620),$U3620,IF(B3621="x",U3620,"")))</f>
        <v/>
      </c>
      <c r="V3621" t="str">
        <f>IF(C3621=1,MAX($V$2:$V3620)+1,IF(AND($T3621&lt;&gt;"",$T3621=$T3620),$U3620,IF(C3621="x",V3620,"")))</f>
        <v/>
      </c>
      <c r="X3621" cm="1">
        <f t="array" ref="X3621">IF($I3621&lt;&gt;"",$I3621,INDEX($I$1:$I3621,ROW()-COUNTIFS($T$1:$T3621,"="&amp;$T3621,$S$1:$S3621,"&lt;"&amp;$S3621)))</f>
        <v>0</v>
      </c>
      <c r="Z3621" s="6">
        <f t="shared" si="494"/>
        <v>1</v>
      </c>
      <c r="AA3621" t="e">
        <f t="shared" si="495"/>
        <v>#VALUE!</v>
      </c>
      <c r="AB3621" t="str">
        <f t="shared" si="496"/>
        <v/>
      </c>
      <c r="AC3621" t="e">
        <f t="shared" si="497"/>
        <v>#VALUE!</v>
      </c>
    </row>
    <row r="3622" spans="1:29" x14ac:dyDescent="0.2">
      <c r="A3622" t="str">
        <f t="shared" si="498"/>
        <v/>
      </c>
      <c r="E3622" s="4"/>
      <c r="F3622" s="46"/>
      <c r="G3622" s="4"/>
      <c r="H3622" s="48"/>
      <c r="J3622" s="26" t="str">
        <f t="shared" si="499"/>
        <v/>
      </c>
      <c r="N3622" t="str">
        <f t="shared" si="500"/>
        <v/>
      </c>
      <c r="Q3622" t="str">
        <f t="shared" si="501"/>
        <v/>
      </c>
      <c r="S3622" t="str">
        <f>IF(A3622=1,MAX($S$2:$S3621)+1,IF(OR($I3622&lt;&gt;"",A3622="x"),$S3621,""))</f>
        <v/>
      </c>
      <c r="T3622" t="str">
        <f>IF(D3622=1,MAX($T$2:$T3621)+1,IF(S3622=S3621,$T3621,IF(D3622="x",T3621,IF(D3621="x","",""))))</f>
        <v/>
      </c>
      <c r="U3622" t="str">
        <f>IF(B3622=1,MAX($U$2:$U3621)+1,IF(AND($T3622&lt;&gt;"",$T3622=$T3621),$U3621,IF(B3622="x",U3621,"")))</f>
        <v/>
      </c>
      <c r="V3622" t="str">
        <f>IF(C3622=1,MAX($V$2:$V3621)+1,IF(AND($T3622&lt;&gt;"",$T3622=$T3621),$U3621,IF(C3622="x",V3621,"")))</f>
        <v/>
      </c>
      <c r="X3622" cm="1">
        <f t="array" ref="X3622">IF($I3622&lt;&gt;"",$I3622,INDEX($I$1:$I3622,ROW()-COUNTIFS($T$1:$T3622,"="&amp;$T3622,$S$1:$S3622,"&lt;"&amp;$S3622)))</f>
        <v>0</v>
      </c>
      <c r="Z3622" s="6">
        <f t="shared" si="494"/>
        <v>1</v>
      </c>
      <c r="AA3622" t="e">
        <f t="shared" si="495"/>
        <v>#VALUE!</v>
      </c>
      <c r="AB3622" t="str">
        <f t="shared" si="496"/>
        <v/>
      </c>
      <c r="AC3622" t="e">
        <f t="shared" si="497"/>
        <v>#VALUE!</v>
      </c>
    </row>
    <row r="3623" spans="1:29" x14ac:dyDescent="0.2">
      <c r="A3623" t="str">
        <f t="shared" si="498"/>
        <v/>
      </c>
      <c r="E3623" s="4"/>
      <c r="F3623" s="46"/>
      <c r="G3623" s="4"/>
      <c r="H3623" s="48"/>
      <c r="J3623" s="26" t="str">
        <f t="shared" si="499"/>
        <v/>
      </c>
      <c r="N3623" t="str">
        <f t="shared" si="500"/>
        <v/>
      </c>
      <c r="Q3623" t="str">
        <f t="shared" si="501"/>
        <v/>
      </c>
      <c r="S3623" t="str">
        <f>IF(A3623=1,MAX($S$2:$S3622)+1,IF(OR($I3623&lt;&gt;"",A3623="x"),$S3622,""))</f>
        <v/>
      </c>
      <c r="T3623" t="str">
        <f>IF(D3623=1,MAX($T$2:$T3622)+1,IF(S3623=S3622,$T3622,IF(D3623="x",T3622,IF(D3622="x","",""))))</f>
        <v/>
      </c>
      <c r="U3623" t="str">
        <f>IF(B3623=1,MAX($U$2:$U3622)+1,IF(AND($T3623&lt;&gt;"",$T3623=$T3622),$U3622,IF(B3623="x",U3622,"")))</f>
        <v/>
      </c>
      <c r="V3623" t="str">
        <f>IF(C3623=1,MAX($V$2:$V3622)+1,IF(AND($T3623&lt;&gt;"",$T3623=$T3622),$U3622,IF(C3623="x",V3622,"")))</f>
        <v/>
      </c>
      <c r="X3623" cm="1">
        <f t="array" ref="X3623">IF($I3623&lt;&gt;"",$I3623,INDEX($I$1:$I3623,ROW()-COUNTIFS($T$1:$T3623,"="&amp;$T3623,$S$1:$S3623,"&lt;"&amp;$S3623)))</f>
        <v>0</v>
      </c>
      <c r="Z3623" s="6">
        <f t="shared" si="494"/>
        <v>1</v>
      </c>
      <c r="AA3623" t="e">
        <f t="shared" si="495"/>
        <v>#VALUE!</v>
      </c>
      <c r="AB3623" t="str">
        <f t="shared" si="496"/>
        <v/>
      </c>
      <c r="AC3623" t="e">
        <f t="shared" si="497"/>
        <v>#VALUE!</v>
      </c>
    </row>
    <row r="3624" spans="1:29" x14ac:dyDescent="0.2">
      <c r="A3624" t="str">
        <f t="shared" si="498"/>
        <v/>
      </c>
      <c r="E3624" s="4"/>
      <c r="F3624" s="46"/>
      <c r="G3624" s="4"/>
      <c r="H3624" s="48"/>
      <c r="J3624" s="26" t="str">
        <f t="shared" si="499"/>
        <v/>
      </c>
      <c r="N3624" t="str">
        <f t="shared" si="500"/>
        <v/>
      </c>
      <c r="Q3624" t="str">
        <f t="shared" si="501"/>
        <v/>
      </c>
      <c r="S3624" t="str">
        <f>IF(A3624=1,MAX($S$2:$S3623)+1,IF(OR($I3624&lt;&gt;"",A3624="x"),$S3623,""))</f>
        <v/>
      </c>
      <c r="T3624" t="str">
        <f>IF(D3624=1,MAX($T$2:$T3623)+1,IF(S3624=S3623,$T3623,IF(D3624="x",T3623,IF(D3623="x","",""))))</f>
        <v/>
      </c>
      <c r="U3624" t="str">
        <f>IF(B3624=1,MAX($U$2:$U3623)+1,IF(AND($T3624&lt;&gt;"",$T3624=$T3623),$U3623,IF(B3624="x",U3623,"")))</f>
        <v/>
      </c>
      <c r="V3624" t="str">
        <f>IF(C3624=1,MAX($V$2:$V3623)+1,IF(AND($T3624&lt;&gt;"",$T3624=$T3623),$U3623,IF(C3624="x",V3623,"")))</f>
        <v/>
      </c>
      <c r="X3624" cm="1">
        <f t="array" ref="X3624">IF($I3624&lt;&gt;"",$I3624,INDEX($I$1:$I3624,ROW()-COUNTIFS($T$1:$T3624,"="&amp;$T3624,$S$1:$S3624,"&lt;"&amp;$S3624)))</f>
        <v>0</v>
      </c>
      <c r="Z3624" s="6">
        <f t="shared" si="494"/>
        <v>1</v>
      </c>
      <c r="AA3624" t="e">
        <f t="shared" si="495"/>
        <v>#VALUE!</v>
      </c>
      <c r="AB3624" t="str">
        <f t="shared" si="496"/>
        <v/>
      </c>
      <c r="AC3624" t="e">
        <f t="shared" si="497"/>
        <v>#VALUE!</v>
      </c>
    </row>
    <row r="3625" spans="1:29" x14ac:dyDescent="0.2">
      <c r="A3625" t="str">
        <f t="shared" si="498"/>
        <v/>
      </c>
      <c r="E3625" s="4"/>
      <c r="F3625" s="46"/>
      <c r="G3625" s="4"/>
      <c r="H3625" s="48"/>
      <c r="J3625" s="26" t="str">
        <f t="shared" si="499"/>
        <v/>
      </c>
      <c r="N3625" t="str">
        <f t="shared" si="500"/>
        <v/>
      </c>
      <c r="Q3625" t="str">
        <f t="shared" si="501"/>
        <v/>
      </c>
      <c r="S3625" t="str">
        <f>IF(A3625=1,MAX($S$2:$S3624)+1,IF(OR($I3625&lt;&gt;"",A3625="x"),$S3624,""))</f>
        <v/>
      </c>
      <c r="T3625" t="str">
        <f>IF(D3625=1,MAX($T$2:$T3624)+1,IF(S3625=S3624,$T3624,IF(D3625="x",T3624,IF(D3624="x","",""))))</f>
        <v/>
      </c>
      <c r="U3625" t="str">
        <f>IF(B3625=1,MAX($U$2:$U3624)+1,IF(AND($T3625&lt;&gt;"",$T3625=$T3624),$U3624,IF(B3625="x",U3624,"")))</f>
        <v/>
      </c>
      <c r="V3625" t="str">
        <f>IF(C3625=1,MAX($V$2:$V3624)+1,IF(AND($T3625&lt;&gt;"",$T3625=$T3624),$U3624,IF(C3625="x",V3624,"")))</f>
        <v/>
      </c>
      <c r="X3625" cm="1">
        <f t="array" ref="X3625">IF($I3625&lt;&gt;"",$I3625,INDEX($I$1:$I3625,ROW()-COUNTIFS($T$1:$T3625,"="&amp;$T3625,$S$1:$S3625,"&lt;"&amp;$S3625)))</f>
        <v>0</v>
      </c>
      <c r="Z3625" s="6">
        <f t="shared" si="494"/>
        <v>1</v>
      </c>
      <c r="AA3625" t="e">
        <f t="shared" si="495"/>
        <v>#VALUE!</v>
      </c>
      <c r="AB3625" t="str">
        <f t="shared" si="496"/>
        <v/>
      </c>
      <c r="AC3625" t="e">
        <f t="shared" si="497"/>
        <v>#VALUE!</v>
      </c>
    </row>
    <row r="3626" spans="1:29" x14ac:dyDescent="0.2">
      <c r="A3626" t="str">
        <f t="shared" si="498"/>
        <v/>
      </c>
      <c r="E3626" s="4"/>
      <c r="F3626" s="46"/>
      <c r="G3626" s="4"/>
      <c r="H3626" s="48"/>
      <c r="J3626" s="26" t="str">
        <f t="shared" si="499"/>
        <v/>
      </c>
      <c r="N3626" t="str">
        <f t="shared" si="500"/>
        <v/>
      </c>
      <c r="Q3626" t="str">
        <f t="shared" si="501"/>
        <v/>
      </c>
      <c r="S3626" t="str">
        <f>IF(A3626=1,MAX($S$2:$S3625)+1,IF(OR($I3626&lt;&gt;"",A3626="x"),$S3625,""))</f>
        <v/>
      </c>
      <c r="T3626" t="str">
        <f>IF(D3626=1,MAX($T$2:$T3625)+1,IF(S3626=S3625,$T3625,IF(D3626="x",T3625,IF(D3625="x","",""))))</f>
        <v/>
      </c>
      <c r="U3626" t="str">
        <f>IF(B3626=1,MAX($U$2:$U3625)+1,IF(AND($T3626&lt;&gt;"",$T3626=$T3625),$U3625,IF(B3626="x",U3625,"")))</f>
        <v/>
      </c>
      <c r="V3626" t="str">
        <f>IF(C3626=1,MAX($V$2:$V3625)+1,IF(AND($T3626&lt;&gt;"",$T3626=$T3625),$U3625,IF(C3626="x",V3625,"")))</f>
        <v/>
      </c>
      <c r="X3626" cm="1">
        <f t="array" ref="X3626">IF($I3626&lt;&gt;"",$I3626,INDEX($I$1:$I3626,ROW()-COUNTIFS($T$1:$T3626,"="&amp;$T3626,$S$1:$S3626,"&lt;"&amp;$S3626)))</f>
        <v>0</v>
      </c>
      <c r="Z3626" s="6">
        <f t="shared" si="494"/>
        <v>1</v>
      </c>
      <c r="AA3626" t="e">
        <f t="shared" si="495"/>
        <v>#VALUE!</v>
      </c>
      <c r="AB3626" t="str">
        <f t="shared" si="496"/>
        <v/>
      </c>
      <c r="AC3626" t="e">
        <f t="shared" si="497"/>
        <v>#VALUE!</v>
      </c>
    </row>
    <row r="3627" spans="1:29" x14ac:dyDescent="0.2">
      <c r="A3627" t="str">
        <f t="shared" si="498"/>
        <v/>
      </c>
      <c r="E3627" s="4"/>
      <c r="F3627" s="46"/>
      <c r="G3627" s="4"/>
      <c r="H3627" s="48"/>
      <c r="J3627" s="26" t="str">
        <f t="shared" si="499"/>
        <v/>
      </c>
      <c r="N3627" t="str">
        <f t="shared" si="500"/>
        <v/>
      </c>
      <c r="Q3627" t="str">
        <f t="shared" si="501"/>
        <v/>
      </c>
      <c r="S3627" t="str">
        <f>IF(A3627=1,MAX($S$2:$S3626)+1,IF(OR($I3627&lt;&gt;"",A3627="x"),$S3626,""))</f>
        <v/>
      </c>
      <c r="T3627" t="str">
        <f>IF(D3627=1,MAX($T$2:$T3626)+1,IF(S3627=S3626,$T3626,IF(D3627="x",T3626,IF(D3626="x","",""))))</f>
        <v/>
      </c>
      <c r="U3627" t="str">
        <f>IF(B3627=1,MAX($U$2:$U3626)+1,IF(AND($T3627&lt;&gt;"",$T3627=$T3626),$U3626,IF(B3627="x",U3626,"")))</f>
        <v/>
      </c>
      <c r="V3627" t="str">
        <f>IF(C3627=1,MAX($V$2:$V3626)+1,IF(AND($T3627&lt;&gt;"",$T3627=$T3626),$U3626,IF(C3627="x",V3626,"")))</f>
        <v/>
      </c>
      <c r="X3627" cm="1">
        <f t="array" ref="X3627">IF($I3627&lt;&gt;"",$I3627,INDEX($I$1:$I3627,ROW()-COUNTIFS($T$1:$T3627,"="&amp;$T3627,$S$1:$S3627,"&lt;"&amp;$S3627)))</f>
        <v>0</v>
      </c>
      <c r="Z3627" s="6">
        <f t="shared" si="494"/>
        <v>1</v>
      </c>
      <c r="AA3627" t="e">
        <f t="shared" si="495"/>
        <v>#VALUE!</v>
      </c>
      <c r="AB3627" t="str">
        <f t="shared" si="496"/>
        <v/>
      </c>
      <c r="AC3627" t="e">
        <f t="shared" si="497"/>
        <v>#VALUE!</v>
      </c>
    </row>
    <row r="3628" spans="1:29" x14ac:dyDescent="0.2">
      <c r="A3628" t="str">
        <f t="shared" si="498"/>
        <v/>
      </c>
      <c r="E3628" s="4"/>
      <c r="F3628" s="46"/>
      <c r="G3628" s="4"/>
      <c r="H3628" s="48"/>
      <c r="J3628" s="26" t="str">
        <f t="shared" si="499"/>
        <v/>
      </c>
      <c r="N3628" t="str">
        <f t="shared" si="500"/>
        <v/>
      </c>
      <c r="Q3628" t="str">
        <f t="shared" si="501"/>
        <v/>
      </c>
      <c r="S3628" t="str">
        <f>IF(A3628=1,MAX($S$2:$S3627)+1,IF(OR($I3628&lt;&gt;"",A3628="x"),$S3627,""))</f>
        <v/>
      </c>
      <c r="T3628" t="str">
        <f>IF(D3628=1,MAX($T$2:$T3627)+1,IF(S3628=S3627,$T3627,IF(D3628="x",T3627,IF(D3627="x","",""))))</f>
        <v/>
      </c>
      <c r="U3628" t="str">
        <f>IF(B3628=1,MAX($U$2:$U3627)+1,IF(AND($T3628&lt;&gt;"",$T3628=$T3627),$U3627,IF(B3628="x",U3627,"")))</f>
        <v/>
      </c>
      <c r="V3628" t="str">
        <f>IF(C3628=1,MAX($V$2:$V3627)+1,IF(AND($T3628&lt;&gt;"",$T3628=$T3627),$U3627,IF(C3628="x",V3627,"")))</f>
        <v/>
      </c>
      <c r="X3628" cm="1">
        <f t="array" ref="X3628">IF($I3628&lt;&gt;"",$I3628,INDEX($I$1:$I3628,ROW()-COUNTIFS($T$1:$T3628,"="&amp;$T3628,$S$1:$S3628,"&lt;"&amp;$S3628)))</f>
        <v>0</v>
      </c>
      <c r="Z3628" s="6">
        <f t="shared" si="494"/>
        <v>1</v>
      </c>
      <c r="AA3628" t="e">
        <f t="shared" si="495"/>
        <v>#VALUE!</v>
      </c>
      <c r="AB3628" t="str">
        <f t="shared" si="496"/>
        <v/>
      </c>
      <c r="AC3628" t="e">
        <f t="shared" si="497"/>
        <v>#VALUE!</v>
      </c>
    </row>
    <row r="3629" spans="1:29" x14ac:dyDescent="0.2">
      <c r="A3629" t="str">
        <f t="shared" si="498"/>
        <v/>
      </c>
      <c r="E3629" s="4"/>
      <c r="F3629" s="46"/>
      <c r="G3629" s="4"/>
      <c r="H3629" s="48"/>
      <c r="J3629" s="26" t="str">
        <f t="shared" si="499"/>
        <v/>
      </c>
      <c r="N3629" t="str">
        <f t="shared" si="500"/>
        <v/>
      </c>
      <c r="Q3629" t="str">
        <f t="shared" si="501"/>
        <v/>
      </c>
      <c r="S3629" t="str">
        <f>IF(A3629=1,MAX($S$2:$S3628)+1,IF(OR($I3629&lt;&gt;"",A3629="x"),$S3628,""))</f>
        <v/>
      </c>
      <c r="T3629" t="str">
        <f>IF(D3629=1,MAX($T$2:$T3628)+1,IF(S3629=S3628,$T3628,IF(D3629="x",T3628,IF(D3628="x","",""))))</f>
        <v/>
      </c>
      <c r="U3629" t="str">
        <f>IF(B3629=1,MAX($U$2:$U3628)+1,IF(AND($T3629&lt;&gt;"",$T3629=$T3628),$U3628,IF(B3629="x",U3628,"")))</f>
        <v/>
      </c>
      <c r="V3629" t="str">
        <f>IF(C3629=1,MAX($V$2:$V3628)+1,IF(AND($T3629&lt;&gt;"",$T3629=$T3628),$U3628,IF(C3629="x",V3628,"")))</f>
        <v/>
      </c>
      <c r="X3629" cm="1">
        <f t="array" ref="X3629">IF($I3629&lt;&gt;"",$I3629,INDEX($I$1:$I3629,ROW()-COUNTIFS($T$1:$T3629,"="&amp;$T3629,$S$1:$S3629,"&lt;"&amp;$S3629)))</f>
        <v>0</v>
      </c>
      <c r="Z3629" s="6">
        <f t="shared" si="494"/>
        <v>1</v>
      </c>
      <c r="AA3629" t="e">
        <f t="shared" si="495"/>
        <v>#VALUE!</v>
      </c>
      <c r="AB3629" t="str">
        <f t="shared" si="496"/>
        <v/>
      </c>
      <c r="AC3629" t="e">
        <f t="shared" si="497"/>
        <v>#VALUE!</v>
      </c>
    </row>
    <row r="3630" spans="1:29" x14ac:dyDescent="0.2">
      <c r="A3630" t="str">
        <f t="shared" si="498"/>
        <v/>
      </c>
      <c r="E3630" s="4"/>
      <c r="F3630" s="46"/>
      <c r="G3630" s="4"/>
      <c r="H3630" s="48"/>
      <c r="J3630" s="26" t="str">
        <f t="shared" si="499"/>
        <v/>
      </c>
      <c r="N3630" t="str">
        <f t="shared" si="500"/>
        <v/>
      </c>
      <c r="Q3630" t="str">
        <f t="shared" si="501"/>
        <v/>
      </c>
      <c r="S3630" t="str">
        <f>IF(A3630=1,MAX($S$2:$S3629)+1,IF(OR($I3630&lt;&gt;"",A3630="x"),$S3629,""))</f>
        <v/>
      </c>
      <c r="T3630" t="str">
        <f>IF(D3630=1,MAX($T$2:$T3629)+1,IF(S3630=S3629,$T3629,IF(D3630="x",T3629,IF(D3629="x","",""))))</f>
        <v/>
      </c>
      <c r="U3630" t="str">
        <f>IF(B3630=1,MAX($U$2:$U3629)+1,IF(AND($T3630&lt;&gt;"",$T3630=$T3629),$U3629,IF(B3630="x",U3629,"")))</f>
        <v/>
      </c>
      <c r="V3630" t="str">
        <f>IF(C3630=1,MAX($V$2:$V3629)+1,IF(AND($T3630&lt;&gt;"",$T3630=$T3629),$U3629,IF(C3630="x",V3629,"")))</f>
        <v/>
      </c>
      <c r="X3630" cm="1">
        <f t="array" ref="X3630">IF($I3630&lt;&gt;"",$I3630,INDEX($I$1:$I3630,ROW()-COUNTIFS($T$1:$T3630,"="&amp;$T3630,$S$1:$S3630,"&lt;"&amp;$S3630)))</f>
        <v>0</v>
      </c>
      <c r="Z3630" s="6">
        <f t="shared" si="494"/>
        <v>1</v>
      </c>
      <c r="AA3630" t="e">
        <f t="shared" si="495"/>
        <v>#VALUE!</v>
      </c>
      <c r="AB3630" t="str">
        <f t="shared" si="496"/>
        <v/>
      </c>
      <c r="AC3630" t="e">
        <f t="shared" si="497"/>
        <v>#VALUE!</v>
      </c>
    </row>
    <row r="3631" spans="1:29" x14ac:dyDescent="0.2">
      <c r="A3631" t="str">
        <f t="shared" si="498"/>
        <v/>
      </c>
      <c r="E3631" s="4"/>
      <c r="F3631" s="46"/>
      <c r="G3631" s="4"/>
      <c r="H3631" s="48"/>
      <c r="J3631" s="26" t="str">
        <f t="shared" si="499"/>
        <v/>
      </c>
      <c r="N3631" t="str">
        <f t="shared" si="500"/>
        <v/>
      </c>
      <c r="Q3631" t="str">
        <f t="shared" si="501"/>
        <v/>
      </c>
      <c r="S3631" t="str">
        <f>IF(A3631=1,MAX($S$2:$S3630)+1,IF(OR($I3631&lt;&gt;"",A3631="x"),$S3630,""))</f>
        <v/>
      </c>
      <c r="T3631" t="str">
        <f>IF(D3631=1,MAX($T$2:$T3630)+1,IF(S3631=S3630,$T3630,IF(D3631="x",T3630,IF(D3630="x","",""))))</f>
        <v/>
      </c>
      <c r="U3631" t="str">
        <f>IF(B3631=1,MAX($U$2:$U3630)+1,IF(AND($T3631&lt;&gt;"",$T3631=$T3630),$U3630,IF(B3631="x",U3630,"")))</f>
        <v/>
      </c>
      <c r="V3631" t="str">
        <f>IF(C3631=1,MAX($V$2:$V3630)+1,IF(AND($T3631&lt;&gt;"",$T3631=$T3630),$U3630,IF(C3631="x",V3630,"")))</f>
        <v/>
      </c>
      <c r="X3631" cm="1">
        <f t="array" ref="X3631">IF($I3631&lt;&gt;"",$I3631,INDEX($I$1:$I3631,ROW()-COUNTIFS($T$1:$T3631,"="&amp;$T3631,$S$1:$S3631,"&lt;"&amp;$S3631)))</f>
        <v>0</v>
      </c>
      <c r="Z3631" s="6">
        <f t="shared" si="494"/>
        <v>1</v>
      </c>
      <c r="AA3631" t="e">
        <f t="shared" si="495"/>
        <v>#VALUE!</v>
      </c>
      <c r="AB3631" t="str">
        <f t="shared" si="496"/>
        <v/>
      </c>
      <c r="AC3631" t="e">
        <f t="shared" si="497"/>
        <v>#VALUE!</v>
      </c>
    </row>
    <row r="3632" spans="1:29" x14ac:dyDescent="0.2">
      <c r="A3632" t="str">
        <f t="shared" si="498"/>
        <v/>
      </c>
      <c r="E3632" s="4"/>
      <c r="F3632" s="46"/>
      <c r="G3632" s="4"/>
      <c r="H3632" s="48"/>
      <c r="J3632" s="26" t="str">
        <f t="shared" si="499"/>
        <v/>
      </c>
      <c r="N3632" t="str">
        <f t="shared" si="500"/>
        <v/>
      </c>
      <c r="Q3632" t="str">
        <f t="shared" si="501"/>
        <v/>
      </c>
      <c r="S3632" t="str">
        <f>IF(A3632=1,MAX($S$2:$S3631)+1,IF(OR($I3632&lt;&gt;"",A3632="x"),$S3631,""))</f>
        <v/>
      </c>
      <c r="T3632" t="str">
        <f>IF(D3632=1,MAX($T$2:$T3631)+1,IF(S3632=S3631,$T3631,IF(D3632="x",T3631,IF(D3631="x","",""))))</f>
        <v/>
      </c>
      <c r="U3632" t="str">
        <f>IF(B3632=1,MAX($U$2:$U3631)+1,IF(AND($T3632&lt;&gt;"",$T3632=$T3631),$U3631,IF(B3632="x",U3631,"")))</f>
        <v/>
      </c>
      <c r="V3632" t="str">
        <f>IF(C3632=1,MAX($V$2:$V3631)+1,IF(AND($T3632&lt;&gt;"",$T3632=$T3631),$U3631,IF(C3632="x",V3631,"")))</f>
        <v/>
      </c>
      <c r="X3632" cm="1">
        <f t="array" ref="X3632">IF($I3632&lt;&gt;"",$I3632,INDEX($I$1:$I3632,ROW()-COUNTIFS($T$1:$T3632,"="&amp;$T3632,$S$1:$S3632,"&lt;"&amp;$S3632)))</f>
        <v>0</v>
      </c>
      <c r="Z3632" s="6">
        <f t="shared" si="494"/>
        <v>1</v>
      </c>
      <c r="AA3632" t="e">
        <f t="shared" si="495"/>
        <v>#VALUE!</v>
      </c>
      <c r="AB3632" t="str">
        <f t="shared" si="496"/>
        <v/>
      </c>
      <c r="AC3632" t="e">
        <f t="shared" si="497"/>
        <v>#VALUE!</v>
      </c>
    </row>
    <row r="3633" spans="1:29" x14ac:dyDescent="0.2">
      <c r="A3633" t="str">
        <f t="shared" si="498"/>
        <v/>
      </c>
      <c r="E3633" s="4"/>
      <c r="F3633" s="46"/>
      <c r="G3633" s="4"/>
      <c r="H3633" s="48"/>
      <c r="J3633" s="26" t="str">
        <f t="shared" si="499"/>
        <v/>
      </c>
      <c r="N3633" t="str">
        <f t="shared" si="500"/>
        <v/>
      </c>
      <c r="Q3633" t="str">
        <f t="shared" si="501"/>
        <v/>
      </c>
      <c r="S3633" t="str">
        <f>IF(A3633=1,MAX($S$2:$S3632)+1,IF(OR($I3633&lt;&gt;"",A3633="x"),$S3632,""))</f>
        <v/>
      </c>
      <c r="T3633" t="str">
        <f>IF(D3633=1,MAX($T$2:$T3632)+1,IF(S3633=S3632,$T3632,IF(D3633="x",T3632,IF(D3632="x","",""))))</f>
        <v/>
      </c>
      <c r="U3633" t="str">
        <f>IF(B3633=1,MAX($U$2:$U3632)+1,IF(AND($T3633&lt;&gt;"",$T3633=$T3632),$U3632,IF(B3633="x",U3632,"")))</f>
        <v/>
      </c>
      <c r="V3633" t="str">
        <f>IF(C3633=1,MAX($V$2:$V3632)+1,IF(AND($T3633&lt;&gt;"",$T3633=$T3632),$U3632,IF(C3633="x",V3632,"")))</f>
        <v/>
      </c>
      <c r="X3633" cm="1">
        <f t="array" ref="X3633">IF($I3633&lt;&gt;"",$I3633,INDEX($I$1:$I3633,ROW()-COUNTIFS($T$1:$T3633,"="&amp;$T3633,$S$1:$S3633,"&lt;"&amp;$S3633)))</f>
        <v>0</v>
      </c>
      <c r="Z3633" s="6">
        <f t="shared" si="494"/>
        <v>1</v>
      </c>
      <c r="AA3633" t="e">
        <f t="shared" si="495"/>
        <v>#VALUE!</v>
      </c>
      <c r="AB3633" t="str">
        <f t="shared" si="496"/>
        <v/>
      </c>
      <c r="AC3633" t="e">
        <f t="shared" si="497"/>
        <v>#VALUE!</v>
      </c>
    </row>
    <row r="3634" spans="1:29" x14ac:dyDescent="0.2">
      <c r="A3634" t="str">
        <f t="shared" si="498"/>
        <v/>
      </c>
      <c r="E3634" s="4"/>
      <c r="F3634" s="46"/>
      <c r="G3634" s="4"/>
      <c r="H3634" s="48"/>
      <c r="J3634" s="26" t="str">
        <f t="shared" si="499"/>
        <v/>
      </c>
      <c r="N3634" t="str">
        <f t="shared" si="500"/>
        <v/>
      </c>
      <c r="Q3634" t="str">
        <f t="shared" si="501"/>
        <v/>
      </c>
      <c r="S3634" t="str">
        <f>IF(A3634=1,MAX($S$2:$S3633)+1,IF(OR($I3634&lt;&gt;"",A3634="x"),$S3633,""))</f>
        <v/>
      </c>
      <c r="T3634" t="str">
        <f>IF(D3634=1,MAX($T$2:$T3633)+1,IF(S3634=S3633,$T3633,IF(D3634="x",T3633,IF(D3633="x","",""))))</f>
        <v/>
      </c>
      <c r="U3634" t="str">
        <f>IF(B3634=1,MAX($U$2:$U3633)+1,IF(AND($T3634&lt;&gt;"",$T3634=$T3633),$U3633,IF(B3634="x",U3633,"")))</f>
        <v/>
      </c>
      <c r="V3634" t="str">
        <f>IF(C3634=1,MAX($V$2:$V3633)+1,IF(AND($T3634&lt;&gt;"",$T3634=$T3633),$U3633,IF(C3634="x",V3633,"")))</f>
        <v/>
      </c>
      <c r="X3634" cm="1">
        <f t="array" ref="X3634">IF($I3634&lt;&gt;"",$I3634,INDEX($I$1:$I3634,ROW()-COUNTIFS($T$1:$T3634,"="&amp;$T3634,$S$1:$S3634,"&lt;"&amp;$S3634)))</f>
        <v>0</v>
      </c>
      <c r="Z3634" s="6">
        <f t="shared" si="494"/>
        <v>1</v>
      </c>
      <c r="AA3634" t="e">
        <f t="shared" si="495"/>
        <v>#VALUE!</v>
      </c>
      <c r="AB3634" t="str">
        <f t="shared" si="496"/>
        <v/>
      </c>
      <c r="AC3634" t="e">
        <f t="shared" si="497"/>
        <v>#VALUE!</v>
      </c>
    </row>
    <row r="3635" spans="1:29" x14ac:dyDescent="0.2">
      <c r="A3635" t="str">
        <f t="shared" si="498"/>
        <v/>
      </c>
      <c r="E3635" s="4"/>
      <c r="F3635" s="46"/>
      <c r="G3635" s="4"/>
      <c r="H3635" s="48"/>
      <c r="J3635" s="26" t="str">
        <f t="shared" si="499"/>
        <v/>
      </c>
      <c r="N3635" t="str">
        <f t="shared" si="500"/>
        <v/>
      </c>
      <c r="Q3635" t="str">
        <f t="shared" si="501"/>
        <v/>
      </c>
      <c r="S3635" t="str">
        <f>IF(A3635=1,MAX($S$2:$S3634)+1,IF(OR($I3635&lt;&gt;"",A3635="x"),$S3634,""))</f>
        <v/>
      </c>
      <c r="T3635" t="str">
        <f>IF(D3635=1,MAX($T$2:$T3634)+1,IF(S3635=S3634,$T3634,IF(D3635="x",T3634,IF(D3634="x","",""))))</f>
        <v/>
      </c>
      <c r="U3635" t="str">
        <f>IF(B3635=1,MAX($U$2:$U3634)+1,IF(AND($T3635&lt;&gt;"",$T3635=$T3634),$U3634,IF(B3635="x",U3634,"")))</f>
        <v/>
      </c>
      <c r="V3635" t="str">
        <f>IF(C3635=1,MAX($V$2:$V3634)+1,IF(AND($T3635&lt;&gt;"",$T3635=$T3634),$U3634,IF(C3635="x",V3634,"")))</f>
        <v/>
      </c>
      <c r="X3635" cm="1">
        <f t="array" ref="X3635">IF($I3635&lt;&gt;"",$I3635,INDEX($I$1:$I3635,ROW()-COUNTIFS($T$1:$T3635,"="&amp;$T3635,$S$1:$S3635,"&lt;"&amp;$S3635)))</f>
        <v>0</v>
      </c>
      <c r="Z3635" s="6">
        <f t="shared" si="494"/>
        <v>1</v>
      </c>
      <c r="AA3635" t="e">
        <f t="shared" si="495"/>
        <v>#VALUE!</v>
      </c>
      <c r="AB3635" t="str">
        <f t="shared" si="496"/>
        <v/>
      </c>
      <c r="AC3635" t="e">
        <f t="shared" si="497"/>
        <v>#VALUE!</v>
      </c>
    </row>
    <row r="3636" spans="1:29" x14ac:dyDescent="0.2">
      <c r="A3636" t="str">
        <f t="shared" si="498"/>
        <v/>
      </c>
      <c r="E3636" s="4"/>
      <c r="F3636" s="46"/>
      <c r="G3636" s="4"/>
      <c r="H3636" s="48"/>
      <c r="J3636" s="26" t="str">
        <f t="shared" si="499"/>
        <v/>
      </c>
      <c r="N3636" t="str">
        <f t="shared" si="500"/>
        <v/>
      </c>
      <c r="Q3636" t="str">
        <f t="shared" si="501"/>
        <v/>
      </c>
      <c r="S3636" t="str">
        <f>IF(A3636=1,MAX($S$2:$S3635)+1,IF(OR($I3636&lt;&gt;"",A3636="x"),$S3635,""))</f>
        <v/>
      </c>
      <c r="T3636" t="str">
        <f>IF(D3636=1,MAX($T$2:$T3635)+1,IF(S3636=S3635,$T3635,IF(D3636="x",T3635,IF(D3635="x","",""))))</f>
        <v/>
      </c>
      <c r="U3636" t="str">
        <f>IF(B3636=1,MAX($U$2:$U3635)+1,IF(AND($T3636&lt;&gt;"",$T3636=$T3635),$U3635,IF(B3636="x",U3635,"")))</f>
        <v/>
      </c>
      <c r="V3636" t="str">
        <f>IF(C3636=1,MAX($V$2:$V3635)+1,IF(AND($T3636&lt;&gt;"",$T3636=$T3635),$U3635,IF(C3636="x",V3635,"")))</f>
        <v/>
      </c>
      <c r="X3636" cm="1">
        <f t="array" ref="X3636">IF($I3636&lt;&gt;"",$I3636,INDEX($I$1:$I3636,ROW()-COUNTIFS($T$1:$T3636,"="&amp;$T3636,$S$1:$S3636,"&lt;"&amp;$S3636)))</f>
        <v>0</v>
      </c>
      <c r="Z3636" s="6">
        <f t="shared" si="494"/>
        <v>1</v>
      </c>
      <c r="AA3636" t="e">
        <f t="shared" si="495"/>
        <v>#VALUE!</v>
      </c>
      <c r="AB3636" t="str">
        <f t="shared" si="496"/>
        <v/>
      </c>
      <c r="AC3636" t="e">
        <f t="shared" si="497"/>
        <v>#VALUE!</v>
      </c>
    </row>
    <row r="3637" spans="1:29" x14ac:dyDescent="0.2">
      <c r="A3637" t="str">
        <f t="shared" si="498"/>
        <v/>
      </c>
      <c r="E3637" s="4"/>
      <c r="F3637" s="46"/>
      <c r="G3637" s="4"/>
      <c r="H3637" s="48"/>
      <c r="J3637" s="26" t="str">
        <f t="shared" si="499"/>
        <v/>
      </c>
      <c r="N3637" t="str">
        <f t="shared" si="500"/>
        <v/>
      </c>
      <c r="Q3637" t="str">
        <f t="shared" si="501"/>
        <v/>
      </c>
      <c r="S3637" t="str">
        <f>IF(A3637=1,MAX($S$2:$S3636)+1,IF(OR($I3637&lt;&gt;"",A3637="x"),$S3636,""))</f>
        <v/>
      </c>
      <c r="T3637" t="str">
        <f>IF(D3637=1,MAX($T$2:$T3636)+1,IF(S3637=S3636,$T3636,IF(D3637="x",T3636,IF(D3636="x","",""))))</f>
        <v/>
      </c>
      <c r="U3637" t="str">
        <f>IF(B3637=1,MAX($U$2:$U3636)+1,IF(AND($T3637&lt;&gt;"",$T3637=$T3636),$U3636,IF(B3637="x",U3636,"")))</f>
        <v/>
      </c>
      <c r="V3637" t="str">
        <f>IF(C3637=1,MAX($V$2:$V3636)+1,IF(AND($T3637&lt;&gt;"",$T3637=$T3636),$U3636,IF(C3637="x",V3636,"")))</f>
        <v/>
      </c>
      <c r="X3637" cm="1">
        <f t="array" ref="X3637">IF($I3637&lt;&gt;"",$I3637,INDEX($I$1:$I3637,ROW()-COUNTIFS($T$1:$T3637,"="&amp;$T3637,$S$1:$S3637,"&lt;"&amp;$S3637)))</f>
        <v>0</v>
      </c>
      <c r="Z3637" s="6">
        <f t="shared" si="494"/>
        <v>1</v>
      </c>
      <c r="AA3637" t="e">
        <f t="shared" si="495"/>
        <v>#VALUE!</v>
      </c>
      <c r="AB3637" t="str">
        <f t="shared" si="496"/>
        <v/>
      </c>
      <c r="AC3637" t="e">
        <f t="shared" si="497"/>
        <v>#VALUE!</v>
      </c>
    </row>
    <row r="3638" spans="1:29" x14ac:dyDescent="0.2">
      <c r="A3638" t="str">
        <f t="shared" si="498"/>
        <v/>
      </c>
      <c r="E3638" s="4"/>
      <c r="F3638" s="46"/>
      <c r="G3638" s="4"/>
      <c r="H3638" s="48"/>
      <c r="J3638" s="26" t="str">
        <f t="shared" si="499"/>
        <v/>
      </c>
      <c r="N3638" t="str">
        <f t="shared" si="500"/>
        <v/>
      </c>
      <c r="Q3638" t="str">
        <f t="shared" si="501"/>
        <v/>
      </c>
      <c r="S3638" t="str">
        <f>IF(A3638=1,MAX($S$2:$S3637)+1,IF(OR($I3638&lt;&gt;"",A3638="x"),$S3637,""))</f>
        <v/>
      </c>
      <c r="T3638" t="str">
        <f>IF(D3638=1,MAX($T$2:$T3637)+1,IF(S3638=S3637,$T3637,IF(D3638="x",T3637,IF(D3637="x","",""))))</f>
        <v/>
      </c>
      <c r="U3638" t="str">
        <f>IF(B3638=1,MAX($U$2:$U3637)+1,IF(AND($T3638&lt;&gt;"",$T3638=$T3637),$U3637,IF(B3638="x",U3637,"")))</f>
        <v/>
      </c>
      <c r="V3638" t="str">
        <f>IF(C3638=1,MAX($V$2:$V3637)+1,IF(AND($T3638&lt;&gt;"",$T3638=$T3637),$U3637,IF(C3638="x",V3637,"")))</f>
        <v/>
      </c>
      <c r="X3638" cm="1">
        <f t="array" ref="X3638">IF($I3638&lt;&gt;"",$I3638,INDEX($I$1:$I3638,ROW()-COUNTIFS($T$1:$T3638,"="&amp;$T3638,$S$1:$S3638,"&lt;"&amp;$S3638)))</f>
        <v>0</v>
      </c>
      <c r="Z3638" s="6">
        <f t="shared" si="494"/>
        <v>1</v>
      </c>
      <c r="AA3638" t="e">
        <f t="shared" si="495"/>
        <v>#VALUE!</v>
      </c>
      <c r="AB3638" t="str">
        <f t="shared" si="496"/>
        <v/>
      </c>
      <c r="AC3638" t="e">
        <f t="shared" si="497"/>
        <v>#VALUE!</v>
      </c>
    </row>
    <row r="3639" spans="1:29" x14ac:dyDescent="0.2">
      <c r="A3639" t="str">
        <f t="shared" si="498"/>
        <v/>
      </c>
      <c r="E3639" s="4"/>
      <c r="F3639" s="46"/>
      <c r="G3639" s="4"/>
      <c r="H3639" s="48"/>
      <c r="J3639" s="26" t="str">
        <f t="shared" si="499"/>
        <v/>
      </c>
      <c r="N3639" t="str">
        <f t="shared" si="500"/>
        <v/>
      </c>
      <c r="Q3639" t="str">
        <f t="shared" si="501"/>
        <v/>
      </c>
      <c r="S3639" t="str">
        <f>IF(A3639=1,MAX($S$2:$S3638)+1,IF(OR($I3639&lt;&gt;"",A3639="x"),$S3638,""))</f>
        <v/>
      </c>
      <c r="T3639" t="str">
        <f>IF(D3639=1,MAX($T$2:$T3638)+1,IF(S3639=S3638,$T3638,IF(D3639="x",T3638,IF(D3638="x","",""))))</f>
        <v/>
      </c>
      <c r="U3639" t="str">
        <f>IF(B3639=1,MAX($U$2:$U3638)+1,IF(AND($T3639&lt;&gt;"",$T3639=$T3638),$U3638,IF(B3639="x",U3638,"")))</f>
        <v/>
      </c>
      <c r="V3639" t="str">
        <f>IF(C3639=1,MAX($V$2:$V3638)+1,IF(AND($T3639&lt;&gt;"",$T3639=$T3638),$U3638,IF(C3639="x",V3638,"")))</f>
        <v/>
      </c>
      <c r="X3639" cm="1">
        <f t="array" ref="X3639">IF($I3639&lt;&gt;"",$I3639,INDEX($I$1:$I3639,ROW()-COUNTIFS($T$1:$T3639,"="&amp;$T3639,$S$1:$S3639,"&lt;"&amp;$S3639)))</f>
        <v>0</v>
      </c>
      <c r="Z3639" s="6">
        <f t="shared" si="494"/>
        <v>1</v>
      </c>
      <c r="AA3639" t="e">
        <f t="shared" si="495"/>
        <v>#VALUE!</v>
      </c>
      <c r="AB3639" t="str">
        <f t="shared" si="496"/>
        <v/>
      </c>
      <c r="AC3639" t="e">
        <f t="shared" si="497"/>
        <v>#VALUE!</v>
      </c>
    </row>
    <row r="3640" spans="1:29" x14ac:dyDescent="0.2">
      <c r="A3640" t="str">
        <f t="shared" si="498"/>
        <v/>
      </c>
      <c r="E3640" s="4"/>
      <c r="F3640" s="46"/>
      <c r="G3640" s="4"/>
      <c r="H3640" s="48"/>
      <c r="J3640" s="26" t="str">
        <f t="shared" si="499"/>
        <v/>
      </c>
      <c r="N3640" t="str">
        <f t="shared" si="500"/>
        <v/>
      </c>
      <c r="Q3640" t="str">
        <f t="shared" si="501"/>
        <v/>
      </c>
      <c r="S3640" t="str">
        <f>IF(A3640=1,MAX($S$2:$S3639)+1,IF(OR($I3640&lt;&gt;"",A3640="x"),$S3639,""))</f>
        <v/>
      </c>
      <c r="T3640" t="str">
        <f>IF(D3640=1,MAX($T$2:$T3639)+1,IF(S3640=S3639,$T3639,IF(D3640="x",T3639,IF(D3639="x","",""))))</f>
        <v/>
      </c>
      <c r="U3640" t="str">
        <f>IF(B3640=1,MAX($U$2:$U3639)+1,IF(AND($T3640&lt;&gt;"",$T3640=$T3639),$U3639,IF(B3640="x",U3639,"")))</f>
        <v/>
      </c>
      <c r="V3640" t="str">
        <f>IF(C3640=1,MAX($V$2:$V3639)+1,IF(AND($T3640&lt;&gt;"",$T3640=$T3639),$U3639,IF(C3640="x",V3639,"")))</f>
        <v/>
      </c>
      <c r="X3640" cm="1">
        <f t="array" ref="X3640">IF($I3640&lt;&gt;"",$I3640,INDEX($I$1:$I3640,ROW()-COUNTIFS($T$1:$T3640,"="&amp;$T3640,$S$1:$S3640,"&lt;"&amp;$S3640)))</f>
        <v>0</v>
      </c>
      <c r="Z3640" s="6">
        <f t="shared" si="494"/>
        <v>1</v>
      </c>
      <c r="AA3640" t="e">
        <f t="shared" si="495"/>
        <v>#VALUE!</v>
      </c>
      <c r="AB3640" t="str">
        <f t="shared" si="496"/>
        <v/>
      </c>
      <c r="AC3640" t="e">
        <f t="shared" si="497"/>
        <v>#VALUE!</v>
      </c>
    </row>
    <row r="3641" spans="1:29" x14ac:dyDescent="0.2">
      <c r="A3641" t="str">
        <f t="shared" si="498"/>
        <v/>
      </c>
      <c r="E3641" s="4"/>
      <c r="F3641" s="46"/>
      <c r="G3641" s="4"/>
      <c r="H3641" s="48"/>
      <c r="J3641" s="26" t="str">
        <f t="shared" si="499"/>
        <v/>
      </c>
      <c r="N3641" t="str">
        <f t="shared" si="500"/>
        <v/>
      </c>
      <c r="Q3641" t="str">
        <f t="shared" si="501"/>
        <v/>
      </c>
      <c r="S3641" t="str">
        <f>IF(A3641=1,MAX($S$2:$S3640)+1,IF(OR($I3641&lt;&gt;"",A3641="x"),$S3640,""))</f>
        <v/>
      </c>
      <c r="T3641" t="str">
        <f>IF(D3641=1,MAX($T$2:$T3640)+1,IF(S3641=S3640,$T3640,IF(D3641="x",T3640,IF(D3640="x","",""))))</f>
        <v/>
      </c>
      <c r="U3641" t="str">
        <f>IF(B3641=1,MAX($U$2:$U3640)+1,IF(AND($T3641&lt;&gt;"",$T3641=$T3640),$U3640,IF(B3641="x",U3640,"")))</f>
        <v/>
      </c>
      <c r="V3641" t="str">
        <f>IF(C3641=1,MAX($V$2:$V3640)+1,IF(AND($T3641&lt;&gt;"",$T3641=$T3640),$U3640,IF(C3641="x",V3640,"")))</f>
        <v/>
      </c>
      <c r="X3641" cm="1">
        <f t="array" ref="X3641">IF($I3641&lt;&gt;"",$I3641,INDEX($I$1:$I3641,ROW()-COUNTIFS($T$1:$T3641,"="&amp;$T3641,$S$1:$S3641,"&lt;"&amp;$S3641)))</f>
        <v>0</v>
      </c>
      <c r="Z3641" s="6">
        <f t="shared" si="494"/>
        <v>1</v>
      </c>
      <c r="AA3641" t="e">
        <f t="shared" si="495"/>
        <v>#VALUE!</v>
      </c>
      <c r="AB3641" t="str">
        <f t="shared" si="496"/>
        <v/>
      </c>
      <c r="AC3641" t="e">
        <f t="shared" si="497"/>
        <v>#VALUE!</v>
      </c>
    </row>
    <row r="3642" spans="1:29" x14ac:dyDescent="0.2">
      <c r="A3642" t="str">
        <f t="shared" si="498"/>
        <v/>
      </c>
      <c r="E3642" s="4"/>
      <c r="F3642" s="46"/>
      <c r="G3642" s="4"/>
      <c r="H3642" s="48"/>
      <c r="J3642" s="26" t="str">
        <f t="shared" si="499"/>
        <v/>
      </c>
      <c r="N3642" t="str">
        <f t="shared" si="500"/>
        <v/>
      </c>
      <c r="Q3642" t="str">
        <f t="shared" si="501"/>
        <v/>
      </c>
      <c r="S3642" t="str">
        <f>IF(A3642=1,MAX($S$2:$S3641)+1,IF(OR($I3642&lt;&gt;"",A3642="x"),$S3641,""))</f>
        <v/>
      </c>
      <c r="T3642" t="str">
        <f>IF(D3642=1,MAX($T$2:$T3641)+1,IF(S3642=S3641,$T3641,IF(D3642="x",T3641,IF(D3641="x","",""))))</f>
        <v/>
      </c>
      <c r="U3642" t="str">
        <f>IF(B3642=1,MAX($U$2:$U3641)+1,IF(AND($T3642&lt;&gt;"",$T3642=$T3641),$U3641,IF(B3642="x",U3641,"")))</f>
        <v/>
      </c>
      <c r="V3642" t="str">
        <f>IF(C3642=1,MAX($V$2:$V3641)+1,IF(AND($T3642&lt;&gt;"",$T3642=$T3641),$U3641,IF(C3642="x",V3641,"")))</f>
        <v/>
      </c>
      <c r="X3642" cm="1">
        <f t="array" ref="X3642">IF($I3642&lt;&gt;"",$I3642,INDEX($I$1:$I3642,ROW()-COUNTIFS($T$1:$T3642,"="&amp;$T3642,$S$1:$S3642,"&lt;"&amp;$S3642)))</f>
        <v>0</v>
      </c>
      <c r="Z3642" s="6">
        <f t="shared" si="494"/>
        <v>1</v>
      </c>
      <c r="AA3642" t="e">
        <f t="shared" si="495"/>
        <v>#VALUE!</v>
      </c>
      <c r="AB3642" t="str">
        <f t="shared" si="496"/>
        <v/>
      </c>
      <c r="AC3642" t="e">
        <f t="shared" si="497"/>
        <v>#VALUE!</v>
      </c>
    </row>
    <row r="3643" spans="1:29" x14ac:dyDescent="0.2">
      <c r="A3643" t="str">
        <f t="shared" si="498"/>
        <v/>
      </c>
      <c r="E3643" s="4"/>
      <c r="F3643" s="46"/>
      <c r="G3643" s="4"/>
      <c r="H3643" s="48"/>
      <c r="J3643" s="26" t="str">
        <f t="shared" si="499"/>
        <v/>
      </c>
      <c r="N3643" t="str">
        <f t="shared" si="500"/>
        <v/>
      </c>
      <c r="Q3643" t="str">
        <f t="shared" si="501"/>
        <v/>
      </c>
      <c r="S3643" t="str">
        <f>IF(A3643=1,MAX($S$2:$S3642)+1,IF(OR($I3643&lt;&gt;"",A3643="x"),$S3642,""))</f>
        <v/>
      </c>
      <c r="T3643" t="str">
        <f>IF(D3643=1,MAX($T$2:$T3642)+1,IF(S3643=S3642,$T3642,IF(D3643="x",T3642,IF(D3642="x","",""))))</f>
        <v/>
      </c>
      <c r="U3643" t="str">
        <f>IF(B3643=1,MAX($U$2:$U3642)+1,IF(AND($T3643&lt;&gt;"",$T3643=$T3642),$U3642,IF(B3643="x",U3642,"")))</f>
        <v/>
      </c>
      <c r="V3643" t="str">
        <f>IF(C3643=1,MAX($V$2:$V3642)+1,IF(AND($T3643&lt;&gt;"",$T3643=$T3642),$U3642,IF(C3643="x",V3642,"")))</f>
        <v/>
      </c>
      <c r="X3643" cm="1">
        <f t="array" ref="X3643">IF($I3643&lt;&gt;"",$I3643,INDEX($I$1:$I3643,ROW()-COUNTIFS($T$1:$T3643,"="&amp;$T3643,$S$1:$S3643,"&lt;"&amp;$S3643)))</f>
        <v>0</v>
      </c>
      <c r="Z3643" s="6">
        <f t="shared" si="494"/>
        <v>1</v>
      </c>
      <c r="AA3643" t="e">
        <f t="shared" si="495"/>
        <v>#VALUE!</v>
      </c>
      <c r="AB3643" t="str">
        <f t="shared" si="496"/>
        <v/>
      </c>
      <c r="AC3643" t="e">
        <f t="shared" si="497"/>
        <v>#VALUE!</v>
      </c>
    </row>
    <row r="3644" spans="1:29" x14ac:dyDescent="0.2">
      <c r="A3644" t="str">
        <f t="shared" si="498"/>
        <v/>
      </c>
      <c r="E3644" s="4"/>
      <c r="F3644" s="46"/>
      <c r="G3644" s="4"/>
      <c r="H3644" s="48"/>
      <c r="J3644" s="26" t="str">
        <f t="shared" si="499"/>
        <v/>
      </c>
      <c r="N3644" t="str">
        <f t="shared" si="500"/>
        <v/>
      </c>
      <c r="Q3644" t="str">
        <f t="shared" si="501"/>
        <v/>
      </c>
      <c r="S3644" t="str">
        <f>IF(A3644=1,MAX($S$2:$S3643)+1,IF(OR($I3644&lt;&gt;"",A3644="x"),$S3643,""))</f>
        <v/>
      </c>
      <c r="T3644" t="str">
        <f>IF(D3644=1,MAX($T$2:$T3643)+1,IF(S3644=S3643,$T3643,IF(D3644="x",T3643,IF(D3643="x","",""))))</f>
        <v/>
      </c>
      <c r="U3644" t="str">
        <f>IF(B3644=1,MAX($U$2:$U3643)+1,IF(AND($T3644&lt;&gt;"",$T3644=$T3643),$U3643,IF(B3644="x",U3643,"")))</f>
        <v/>
      </c>
      <c r="V3644" t="str">
        <f>IF(C3644=1,MAX($V$2:$V3643)+1,IF(AND($T3644&lt;&gt;"",$T3644=$T3643),$U3643,IF(C3644="x",V3643,"")))</f>
        <v/>
      </c>
      <c r="X3644" cm="1">
        <f t="array" ref="X3644">IF($I3644&lt;&gt;"",$I3644,INDEX($I$1:$I3644,ROW()-COUNTIFS($T$1:$T3644,"="&amp;$T3644,$S$1:$S3644,"&lt;"&amp;$S3644)))</f>
        <v>0</v>
      </c>
      <c r="Z3644" s="6">
        <f t="shared" si="494"/>
        <v>1</v>
      </c>
      <c r="AA3644" t="e">
        <f t="shared" si="495"/>
        <v>#VALUE!</v>
      </c>
      <c r="AB3644" t="str">
        <f t="shared" si="496"/>
        <v/>
      </c>
      <c r="AC3644" t="e">
        <f t="shared" si="497"/>
        <v>#VALUE!</v>
      </c>
    </row>
    <row r="3645" spans="1:29" x14ac:dyDescent="0.2">
      <c r="A3645" t="str">
        <f t="shared" si="498"/>
        <v/>
      </c>
      <c r="E3645" s="4"/>
      <c r="F3645" s="46"/>
      <c r="G3645" s="4"/>
      <c r="H3645" s="48"/>
      <c r="J3645" s="26" t="str">
        <f t="shared" si="499"/>
        <v/>
      </c>
      <c r="N3645" t="str">
        <f t="shared" si="500"/>
        <v/>
      </c>
      <c r="Q3645" t="str">
        <f t="shared" si="501"/>
        <v/>
      </c>
      <c r="S3645" t="str">
        <f>IF(A3645=1,MAX($S$2:$S3644)+1,IF(OR($I3645&lt;&gt;"",A3645="x"),$S3644,""))</f>
        <v/>
      </c>
      <c r="T3645" t="str">
        <f>IF(D3645=1,MAX($T$2:$T3644)+1,IF(S3645=S3644,$T3644,IF(D3645="x",T3644,IF(D3644="x","",""))))</f>
        <v/>
      </c>
      <c r="U3645" t="str">
        <f>IF(B3645=1,MAX($U$2:$U3644)+1,IF(AND($T3645&lt;&gt;"",$T3645=$T3644),$U3644,IF(B3645="x",U3644,"")))</f>
        <v/>
      </c>
      <c r="V3645" t="str">
        <f>IF(C3645=1,MAX($V$2:$V3644)+1,IF(AND($T3645&lt;&gt;"",$T3645=$T3644),$U3644,IF(C3645="x",V3644,"")))</f>
        <v/>
      </c>
      <c r="X3645" cm="1">
        <f t="array" ref="X3645">IF($I3645&lt;&gt;"",$I3645,INDEX($I$1:$I3645,ROW()-COUNTIFS($T$1:$T3645,"="&amp;$T3645,$S$1:$S3645,"&lt;"&amp;$S3645)))</f>
        <v>0</v>
      </c>
      <c r="Z3645" s="6">
        <f t="shared" si="494"/>
        <v>1</v>
      </c>
      <c r="AA3645" t="e">
        <f t="shared" si="495"/>
        <v>#VALUE!</v>
      </c>
      <c r="AB3645" t="str">
        <f t="shared" si="496"/>
        <v/>
      </c>
      <c r="AC3645" t="e">
        <f t="shared" si="497"/>
        <v>#VALUE!</v>
      </c>
    </row>
    <row r="3646" spans="1:29" x14ac:dyDescent="0.2">
      <c r="A3646" t="str">
        <f t="shared" si="498"/>
        <v/>
      </c>
      <c r="E3646" s="4"/>
      <c r="F3646" s="46"/>
      <c r="G3646" s="4"/>
      <c r="H3646" s="48"/>
      <c r="J3646" s="26" t="str">
        <f t="shared" si="499"/>
        <v/>
      </c>
      <c r="N3646" t="str">
        <f t="shared" si="500"/>
        <v/>
      </c>
      <c r="Q3646" t="str">
        <f t="shared" si="501"/>
        <v/>
      </c>
      <c r="S3646" t="str">
        <f>IF(A3646=1,MAX($S$2:$S3645)+1,IF(OR($I3646&lt;&gt;"",A3646="x"),$S3645,""))</f>
        <v/>
      </c>
      <c r="T3646" t="str">
        <f>IF(D3646=1,MAX($T$2:$T3645)+1,IF(S3646=S3645,$T3645,IF(D3646="x",T3645,IF(D3645="x","",""))))</f>
        <v/>
      </c>
      <c r="U3646" t="str">
        <f>IF(B3646=1,MAX($U$2:$U3645)+1,IF(AND($T3646&lt;&gt;"",$T3646=$T3645),$U3645,IF(B3646="x",U3645,"")))</f>
        <v/>
      </c>
      <c r="V3646" t="str">
        <f>IF(C3646=1,MAX($V$2:$V3645)+1,IF(AND($T3646&lt;&gt;"",$T3646=$T3645),$U3645,IF(C3646="x",V3645,"")))</f>
        <v/>
      </c>
      <c r="X3646" cm="1">
        <f t="array" ref="X3646">IF($I3646&lt;&gt;"",$I3646,INDEX($I$1:$I3646,ROW()-COUNTIFS($T$1:$T3646,"="&amp;$T3646,$S$1:$S3646,"&lt;"&amp;$S3646)))</f>
        <v>0</v>
      </c>
      <c r="Z3646" s="6">
        <f t="shared" si="494"/>
        <v>1</v>
      </c>
      <c r="AA3646" t="e">
        <f t="shared" si="495"/>
        <v>#VALUE!</v>
      </c>
      <c r="AB3646" t="str">
        <f t="shared" si="496"/>
        <v/>
      </c>
      <c r="AC3646" t="e">
        <f t="shared" si="497"/>
        <v>#VALUE!</v>
      </c>
    </row>
    <row r="3647" spans="1:29" x14ac:dyDescent="0.2">
      <c r="A3647" t="str">
        <f t="shared" si="498"/>
        <v/>
      </c>
      <c r="E3647" s="4"/>
      <c r="F3647" s="46"/>
      <c r="G3647" s="4"/>
      <c r="H3647" s="48"/>
      <c r="J3647" s="26" t="str">
        <f t="shared" si="499"/>
        <v/>
      </c>
      <c r="N3647" t="str">
        <f t="shared" si="500"/>
        <v/>
      </c>
      <c r="Q3647" t="str">
        <f t="shared" si="501"/>
        <v/>
      </c>
      <c r="S3647" t="str">
        <f>IF(A3647=1,MAX($S$2:$S3646)+1,IF(OR($I3647&lt;&gt;"",A3647="x"),$S3646,""))</f>
        <v/>
      </c>
      <c r="T3647" t="str">
        <f>IF(D3647=1,MAX($T$2:$T3646)+1,IF(S3647=S3646,$T3646,IF(D3647="x",T3646,IF(D3646="x","",""))))</f>
        <v/>
      </c>
      <c r="U3647" t="str">
        <f>IF(B3647=1,MAX($U$2:$U3646)+1,IF(AND($T3647&lt;&gt;"",$T3647=$T3646),$U3646,IF(B3647="x",U3646,"")))</f>
        <v/>
      </c>
      <c r="V3647" t="str">
        <f>IF(C3647=1,MAX($V$2:$V3646)+1,IF(AND($T3647&lt;&gt;"",$T3647=$T3646),$U3646,IF(C3647="x",V3646,"")))</f>
        <v/>
      </c>
      <c r="X3647" cm="1">
        <f t="array" ref="X3647">IF($I3647&lt;&gt;"",$I3647,INDEX($I$1:$I3647,ROW()-COUNTIFS($T$1:$T3647,"="&amp;$T3647,$S$1:$S3647,"&lt;"&amp;$S3647)))</f>
        <v>0</v>
      </c>
      <c r="Z3647" s="6">
        <f t="shared" si="494"/>
        <v>1</v>
      </c>
      <c r="AA3647" t="e">
        <f t="shared" si="495"/>
        <v>#VALUE!</v>
      </c>
      <c r="AB3647" t="str">
        <f t="shared" si="496"/>
        <v/>
      </c>
      <c r="AC3647" t="e">
        <f t="shared" si="497"/>
        <v>#VALUE!</v>
      </c>
    </row>
    <row r="3648" spans="1:29" x14ac:dyDescent="0.2">
      <c r="A3648" t="str">
        <f t="shared" si="498"/>
        <v/>
      </c>
      <c r="E3648" s="4"/>
      <c r="F3648" s="46"/>
      <c r="G3648" s="4"/>
      <c r="H3648" s="48"/>
      <c r="J3648" s="26" t="str">
        <f t="shared" si="499"/>
        <v/>
      </c>
      <c r="N3648" t="str">
        <f t="shared" si="500"/>
        <v/>
      </c>
      <c r="Q3648" t="str">
        <f t="shared" si="501"/>
        <v/>
      </c>
      <c r="S3648" t="str">
        <f>IF(A3648=1,MAX($S$2:$S3647)+1,IF(OR($I3648&lt;&gt;"",A3648="x"),$S3647,""))</f>
        <v/>
      </c>
      <c r="T3648" t="str">
        <f>IF(D3648=1,MAX($T$2:$T3647)+1,IF(S3648=S3647,$T3647,IF(D3648="x",T3647,IF(D3647="x","",""))))</f>
        <v/>
      </c>
      <c r="U3648" t="str">
        <f>IF(B3648=1,MAX($U$2:$U3647)+1,IF(AND($T3648&lt;&gt;"",$T3648=$T3647),$U3647,IF(B3648="x",U3647,"")))</f>
        <v/>
      </c>
      <c r="V3648" t="str">
        <f>IF(C3648=1,MAX($V$2:$V3647)+1,IF(AND($T3648&lt;&gt;"",$T3648=$T3647),$U3647,IF(C3648="x",V3647,"")))</f>
        <v/>
      </c>
      <c r="X3648" cm="1">
        <f t="array" ref="X3648">IF($I3648&lt;&gt;"",$I3648,INDEX($I$1:$I3648,ROW()-COUNTIFS($T$1:$T3648,"="&amp;$T3648,$S$1:$S3648,"&lt;"&amp;$S3648)))</f>
        <v>0</v>
      </c>
      <c r="Z3648" s="6">
        <f t="shared" si="494"/>
        <v>1</v>
      </c>
      <c r="AA3648" t="e">
        <f t="shared" si="495"/>
        <v>#VALUE!</v>
      </c>
      <c r="AB3648" t="str">
        <f t="shared" si="496"/>
        <v/>
      </c>
      <c r="AC3648" t="e">
        <f t="shared" si="497"/>
        <v>#VALUE!</v>
      </c>
    </row>
    <row r="3649" spans="1:29" x14ac:dyDescent="0.2">
      <c r="A3649" t="str">
        <f t="shared" si="498"/>
        <v/>
      </c>
      <c r="E3649" s="4"/>
      <c r="F3649" s="46"/>
      <c r="G3649" s="4"/>
      <c r="H3649" s="48"/>
      <c r="J3649" s="26" t="str">
        <f t="shared" si="499"/>
        <v/>
      </c>
      <c r="N3649" t="str">
        <f t="shared" si="500"/>
        <v/>
      </c>
      <c r="Q3649" t="str">
        <f t="shared" si="501"/>
        <v/>
      </c>
      <c r="S3649" t="str">
        <f>IF(A3649=1,MAX($S$2:$S3648)+1,IF(OR($I3649&lt;&gt;"",A3649="x"),$S3648,""))</f>
        <v/>
      </c>
      <c r="T3649" t="str">
        <f>IF(D3649=1,MAX($T$2:$T3648)+1,IF(S3649=S3648,$T3648,IF(D3649="x",T3648,IF(D3648="x","",""))))</f>
        <v/>
      </c>
      <c r="U3649" t="str">
        <f>IF(B3649=1,MAX($U$2:$U3648)+1,IF(AND($T3649&lt;&gt;"",$T3649=$T3648),$U3648,IF(B3649="x",U3648,"")))</f>
        <v/>
      </c>
      <c r="V3649" t="str">
        <f>IF(C3649=1,MAX($V$2:$V3648)+1,IF(AND($T3649&lt;&gt;"",$T3649=$T3648),$U3648,IF(C3649="x",V3648,"")))</f>
        <v/>
      </c>
      <c r="X3649" cm="1">
        <f t="array" ref="X3649">IF($I3649&lt;&gt;"",$I3649,INDEX($I$1:$I3649,ROW()-COUNTIFS($T$1:$T3649,"="&amp;$T3649,$S$1:$S3649,"&lt;"&amp;$S3649)))</f>
        <v>0</v>
      </c>
      <c r="Z3649" s="6">
        <f t="shared" si="494"/>
        <v>1</v>
      </c>
      <c r="AA3649" t="e">
        <f t="shared" si="495"/>
        <v>#VALUE!</v>
      </c>
      <c r="AB3649" t="str">
        <f t="shared" si="496"/>
        <v/>
      </c>
      <c r="AC3649" t="e">
        <f t="shared" si="497"/>
        <v>#VALUE!</v>
      </c>
    </row>
    <row r="3650" spans="1:29" x14ac:dyDescent="0.2">
      <c r="A3650" t="str">
        <f t="shared" si="498"/>
        <v/>
      </c>
      <c r="E3650" s="4"/>
      <c r="F3650" s="46"/>
      <c r="G3650" s="4"/>
      <c r="H3650" s="48"/>
      <c r="J3650" s="26" t="str">
        <f t="shared" si="499"/>
        <v/>
      </c>
      <c r="N3650" t="str">
        <f t="shared" si="500"/>
        <v/>
      </c>
      <c r="Q3650" t="str">
        <f t="shared" si="501"/>
        <v/>
      </c>
      <c r="S3650" t="str">
        <f>IF(A3650=1,MAX($S$2:$S3649)+1,IF(OR($I3650&lt;&gt;"",A3650="x"),$S3649,""))</f>
        <v/>
      </c>
      <c r="T3650" t="str">
        <f>IF(D3650=1,MAX($T$2:$T3649)+1,IF(S3650=S3649,$T3649,IF(D3650="x",T3649,IF(D3649="x","",""))))</f>
        <v/>
      </c>
      <c r="U3650" t="str">
        <f>IF(B3650=1,MAX($U$2:$U3649)+1,IF(AND($T3650&lt;&gt;"",$T3650=$T3649),$U3649,IF(B3650="x",U3649,"")))</f>
        <v/>
      </c>
      <c r="V3650" t="str">
        <f>IF(C3650=1,MAX($V$2:$V3649)+1,IF(AND($T3650&lt;&gt;"",$T3650=$T3649),$U3649,IF(C3650="x",V3649,"")))</f>
        <v/>
      </c>
      <c r="X3650" cm="1">
        <f t="array" ref="X3650">IF($I3650&lt;&gt;"",$I3650,INDEX($I$1:$I3650,ROW()-COUNTIFS($T$1:$T3650,"="&amp;$T3650,$S$1:$S3650,"&lt;"&amp;$S3650)))</f>
        <v>0</v>
      </c>
      <c r="Z3650" s="6">
        <f t="shared" si="494"/>
        <v>1</v>
      </c>
      <c r="AA3650" t="e">
        <f t="shared" si="495"/>
        <v>#VALUE!</v>
      </c>
      <c r="AB3650" t="str">
        <f t="shared" si="496"/>
        <v/>
      </c>
      <c r="AC3650" t="e">
        <f t="shared" si="497"/>
        <v>#VALUE!</v>
      </c>
    </row>
    <row r="3651" spans="1:29" x14ac:dyDescent="0.2">
      <c r="A3651" t="str">
        <f t="shared" si="498"/>
        <v/>
      </c>
      <c r="E3651" s="4"/>
      <c r="F3651" s="46"/>
      <c r="G3651" s="4"/>
      <c r="H3651" s="48"/>
      <c r="J3651" s="26" t="str">
        <f t="shared" si="499"/>
        <v/>
      </c>
      <c r="N3651" t="str">
        <f t="shared" si="500"/>
        <v/>
      </c>
      <c r="Q3651" t="str">
        <f t="shared" si="501"/>
        <v/>
      </c>
      <c r="S3651" t="str">
        <f>IF(A3651=1,MAX($S$2:$S3650)+1,IF(OR($I3651&lt;&gt;"",A3651="x"),$S3650,""))</f>
        <v/>
      </c>
      <c r="T3651" t="str">
        <f>IF(D3651=1,MAX($T$2:$T3650)+1,IF(S3651=S3650,$T3650,IF(D3651="x",T3650,IF(D3650="x","",""))))</f>
        <v/>
      </c>
      <c r="U3651" t="str">
        <f>IF(B3651=1,MAX($U$2:$U3650)+1,IF(AND($T3651&lt;&gt;"",$T3651=$T3650),$U3650,IF(B3651="x",U3650,"")))</f>
        <v/>
      </c>
      <c r="V3651" t="str">
        <f>IF(C3651=1,MAX($V$2:$V3650)+1,IF(AND($T3651&lt;&gt;"",$T3651=$T3650),$U3650,IF(C3651="x",V3650,"")))</f>
        <v/>
      </c>
      <c r="X3651" cm="1">
        <f t="array" ref="X3651">IF($I3651&lt;&gt;"",$I3651,INDEX($I$1:$I3651,ROW()-COUNTIFS($T$1:$T3651,"="&amp;$T3651,$S$1:$S3651,"&lt;"&amp;$S3651)))</f>
        <v>0</v>
      </c>
      <c r="Z3651" s="6">
        <f t="shared" si="494"/>
        <v>1</v>
      </c>
      <c r="AA3651" t="e">
        <f t="shared" si="495"/>
        <v>#VALUE!</v>
      </c>
      <c r="AB3651" t="str">
        <f t="shared" si="496"/>
        <v/>
      </c>
      <c r="AC3651" t="e">
        <f t="shared" si="497"/>
        <v>#VALUE!</v>
      </c>
    </row>
    <row r="3652" spans="1:29" x14ac:dyDescent="0.2">
      <c r="A3652" t="str">
        <f t="shared" si="498"/>
        <v/>
      </c>
      <c r="E3652" s="4"/>
      <c r="F3652" s="46"/>
      <c r="G3652" s="4"/>
      <c r="H3652" s="48"/>
      <c r="J3652" s="26" t="str">
        <f t="shared" si="499"/>
        <v/>
      </c>
      <c r="N3652" t="str">
        <f t="shared" si="500"/>
        <v/>
      </c>
      <c r="Q3652" t="str">
        <f t="shared" si="501"/>
        <v/>
      </c>
      <c r="S3652" t="str">
        <f>IF(A3652=1,MAX($S$2:$S3651)+1,IF(OR($I3652&lt;&gt;"",A3652="x"),$S3651,""))</f>
        <v/>
      </c>
      <c r="T3652" t="str">
        <f>IF(D3652=1,MAX($T$2:$T3651)+1,IF(S3652=S3651,$T3651,IF(D3652="x",T3651,IF(D3651="x","",""))))</f>
        <v/>
      </c>
      <c r="U3652" t="str">
        <f>IF(B3652=1,MAX($U$2:$U3651)+1,IF(AND($T3652&lt;&gt;"",$T3652=$T3651),$U3651,IF(B3652="x",U3651,"")))</f>
        <v/>
      </c>
      <c r="V3652" t="str">
        <f>IF(C3652=1,MAX($V$2:$V3651)+1,IF(AND($T3652&lt;&gt;"",$T3652=$T3651),$U3651,IF(C3652="x",V3651,"")))</f>
        <v/>
      </c>
      <c r="X3652" cm="1">
        <f t="array" ref="X3652">IF($I3652&lt;&gt;"",$I3652,INDEX($I$1:$I3652,ROW()-COUNTIFS($T$1:$T3652,"="&amp;$T3652,$S$1:$S3652,"&lt;"&amp;$S3652)))</f>
        <v>0</v>
      </c>
      <c r="Z3652" s="6">
        <f t="shared" si="494"/>
        <v>1</v>
      </c>
      <c r="AA3652" t="e">
        <f t="shared" si="495"/>
        <v>#VALUE!</v>
      </c>
      <c r="AB3652" t="str">
        <f t="shared" si="496"/>
        <v/>
      </c>
      <c r="AC3652" t="e">
        <f t="shared" si="497"/>
        <v>#VALUE!</v>
      </c>
    </row>
    <row r="3653" spans="1:29" x14ac:dyDescent="0.2">
      <c r="A3653" t="str">
        <f t="shared" si="498"/>
        <v/>
      </c>
      <c r="E3653" s="4"/>
      <c r="F3653" s="46"/>
      <c r="G3653" s="4"/>
      <c r="H3653" s="48"/>
      <c r="J3653" s="26" t="str">
        <f t="shared" si="499"/>
        <v/>
      </c>
      <c r="N3653" t="str">
        <f t="shared" si="500"/>
        <v/>
      </c>
      <c r="Q3653" t="str">
        <f t="shared" si="501"/>
        <v/>
      </c>
      <c r="S3653" t="str">
        <f>IF(A3653=1,MAX($S$2:$S3652)+1,IF(OR($I3653&lt;&gt;"",A3653="x"),$S3652,""))</f>
        <v/>
      </c>
      <c r="T3653" t="str">
        <f>IF(D3653=1,MAX($T$2:$T3652)+1,IF(S3653=S3652,$T3652,IF(D3653="x",T3652,IF(D3652="x","",""))))</f>
        <v/>
      </c>
      <c r="U3653" t="str">
        <f>IF(B3653=1,MAX($U$2:$U3652)+1,IF(AND($T3653&lt;&gt;"",$T3653=$T3652),$U3652,IF(B3653="x",U3652,"")))</f>
        <v/>
      </c>
      <c r="V3653" t="str">
        <f>IF(C3653=1,MAX($V$2:$V3652)+1,IF(AND($T3653&lt;&gt;"",$T3653=$T3652),$U3652,IF(C3653="x",V3652,"")))</f>
        <v/>
      </c>
      <c r="X3653" cm="1">
        <f t="array" ref="X3653">IF($I3653&lt;&gt;"",$I3653,INDEX($I$1:$I3653,ROW()-COUNTIFS($T$1:$T3653,"="&amp;$T3653,$S$1:$S3653,"&lt;"&amp;$S3653)))</f>
        <v>0</v>
      </c>
      <c r="Z3653" s="6">
        <f t="shared" ref="Z3653:Z3716" si="502">IF(K3653="Intermission",Z3652+1,Z3652)</f>
        <v>1</v>
      </c>
      <c r="AA3653" t="e">
        <f t="shared" ref="AA3653:AA3716" si="503">S3653+1000</f>
        <v>#VALUE!</v>
      </c>
      <c r="AB3653" t="str">
        <f t="shared" ref="AB3653:AB3716" si="504">IF(T3653&lt;&gt;"",9000+T3653,"")</f>
        <v/>
      </c>
      <c r="AC3653" t="e">
        <f t="shared" ref="AC3653:AC3716" si="505">IF(AB3653&lt;&gt;"",AB3653,S3653+1000)</f>
        <v>#VALUE!</v>
      </c>
    </row>
    <row r="3654" spans="1:29" x14ac:dyDescent="0.2">
      <c r="A3654" t="str">
        <f t="shared" si="498"/>
        <v/>
      </c>
      <c r="E3654" s="4"/>
      <c r="F3654" s="46"/>
      <c r="G3654" s="4"/>
      <c r="H3654" s="48"/>
      <c r="J3654" s="26" t="str">
        <f t="shared" si="499"/>
        <v/>
      </c>
      <c r="N3654" t="str">
        <f t="shared" si="500"/>
        <v/>
      </c>
      <c r="Q3654" t="str">
        <f t="shared" si="501"/>
        <v/>
      </c>
      <c r="S3654" t="str">
        <f>IF(A3654=1,MAX($S$2:$S3653)+1,IF(OR($I3654&lt;&gt;"",A3654="x"),$S3653,""))</f>
        <v/>
      </c>
      <c r="T3654" t="str">
        <f>IF(D3654=1,MAX($T$2:$T3653)+1,IF(S3654=S3653,$T3653,IF(D3654="x",T3653,IF(D3653="x","",""))))</f>
        <v/>
      </c>
      <c r="U3654" t="str">
        <f>IF(B3654=1,MAX($U$2:$U3653)+1,IF(AND($T3654&lt;&gt;"",$T3654=$T3653),$U3653,IF(B3654="x",U3653,"")))</f>
        <v/>
      </c>
      <c r="V3654" t="str">
        <f>IF(C3654=1,MAX($V$2:$V3653)+1,IF(AND($T3654&lt;&gt;"",$T3654=$T3653),$U3653,IF(C3654="x",V3653,"")))</f>
        <v/>
      </c>
      <c r="X3654" cm="1">
        <f t="array" ref="X3654">IF($I3654&lt;&gt;"",$I3654,INDEX($I$1:$I3654,ROW()-COUNTIFS($T$1:$T3654,"="&amp;$T3654,$S$1:$S3654,"&lt;"&amp;$S3654)))</f>
        <v>0</v>
      </c>
      <c r="Z3654" s="6">
        <f t="shared" si="502"/>
        <v>1</v>
      </c>
      <c r="AA3654" t="e">
        <f t="shared" si="503"/>
        <v>#VALUE!</v>
      </c>
      <c r="AB3654" t="str">
        <f t="shared" si="504"/>
        <v/>
      </c>
      <c r="AC3654" t="e">
        <f t="shared" si="505"/>
        <v>#VALUE!</v>
      </c>
    </row>
    <row r="3655" spans="1:29" x14ac:dyDescent="0.2">
      <c r="A3655" t="str">
        <f t="shared" si="498"/>
        <v/>
      </c>
      <c r="E3655" s="4"/>
      <c r="F3655" s="46"/>
      <c r="G3655" s="4"/>
      <c r="H3655" s="48"/>
      <c r="J3655" s="26" t="str">
        <f t="shared" si="499"/>
        <v/>
      </c>
      <c r="N3655" t="str">
        <f t="shared" si="500"/>
        <v/>
      </c>
      <c r="Q3655" t="str">
        <f t="shared" si="501"/>
        <v/>
      </c>
      <c r="S3655" t="str">
        <f>IF(A3655=1,MAX($S$2:$S3654)+1,IF(OR($I3655&lt;&gt;"",A3655="x"),$S3654,""))</f>
        <v/>
      </c>
      <c r="T3655" t="str">
        <f>IF(D3655=1,MAX($T$2:$T3654)+1,IF(S3655=S3654,$T3654,IF(D3655="x",T3654,IF(D3654="x","",""))))</f>
        <v/>
      </c>
      <c r="U3655" t="str">
        <f>IF(B3655=1,MAX($U$2:$U3654)+1,IF(AND($T3655&lt;&gt;"",$T3655=$T3654),$U3654,IF(B3655="x",U3654,"")))</f>
        <v/>
      </c>
      <c r="V3655" t="str">
        <f>IF(C3655=1,MAX($V$2:$V3654)+1,IF(AND($T3655&lt;&gt;"",$T3655=$T3654),$U3654,IF(C3655="x",V3654,"")))</f>
        <v/>
      </c>
      <c r="X3655" cm="1">
        <f t="array" ref="X3655">IF($I3655&lt;&gt;"",$I3655,INDEX($I$1:$I3655,ROW()-COUNTIFS($T$1:$T3655,"="&amp;$T3655,$S$1:$S3655,"&lt;"&amp;$S3655)))</f>
        <v>0</v>
      </c>
      <c r="Z3655" s="6">
        <f t="shared" si="502"/>
        <v>1</v>
      </c>
      <c r="AA3655" t="e">
        <f t="shared" si="503"/>
        <v>#VALUE!</v>
      </c>
      <c r="AB3655" t="str">
        <f t="shared" si="504"/>
        <v/>
      </c>
      <c r="AC3655" t="e">
        <f t="shared" si="505"/>
        <v>#VALUE!</v>
      </c>
    </row>
    <row r="3656" spans="1:29" x14ac:dyDescent="0.2">
      <c r="A3656" t="str">
        <f t="shared" si="498"/>
        <v/>
      </c>
      <c r="E3656" s="4"/>
      <c r="F3656" s="46"/>
      <c r="G3656" s="4"/>
      <c r="H3656" s="48"/>
      <c r="J3656" s="26" t="str">
        <f t="shared" si="499"/>
        <v/>
      </c>
      <c r="N3656" t="str">
        <f t="shared" si="500"/>
        <v/>
      </c>
      <c r="Q3656" t="str">
        <f t="shared" si="501"/>
        <v/>
      </c>
      <c r="S3656" t="str">
        <f>IF(A3656=1,MAX($S$2:$S3655)+1,IF(OR($I3656&lt;&gt;"",A3656="x"),$S3655,""))</f>
        <v/>
      </c>
      <c r="T3656" t="str">
        <f>IF(D3656=1,MAX($T$2:$T3655)+1,IF(S3656=S3655,$T3655,IF(D3656="x",T3655,IF(D3655="x","",""))))</f>
        <v/>
      </c>
      <c r="U3656" t="str">
        <f>IF(B3656=1,MAX($U$2:$U3655)+1,IF(AND($T3656&lt;&gt;"",$T3656=$T3655),$U3655,IF(B3656="x",U3655,"")))</f>
        <v/>
      </c>
      <c r="V3656" t="str">
        <f>IF(C3656=1,MAX($V$2:$V3655)+1,IF(AND($T3656&lt;&gt;"",$T3656=$T3655),$U3655,IF(C3656="x",V3655,"")))</f>
        <v/>
      </c>
      <c r="X3656" cm="1">
        <f t="array" ref="X3656">IF($I3656&lt;&gt;"",$I3656,INDEX($I$1:$I3656,ROW()-COUNTIFS($T$1:$T3656,"="&amp;$T3656,$S$1:$S3656,"&lt;"&amp;$S3656)))</f>
        <v>0</v>
      </c>
      <c r="Z3656" s="6">
        <f t="shared" si="502"/>
        <v>1</v>
      </c>
      <c r="AA3656" t="e">
        <f t="shared" si="503"/>
        <v>#VALUE!</v>
      </c>
      <c r="AB3656" t="str">
        <f t="shared" si="504"/>
        <v/>
      </c>
      <c r="AC3656" t="e">
        <f t="shared" si="505"/>
        <v>#VALUE!</v>
      </c>
    </row>
    <row r="3657" spans="1:29" x14ac:dyDescent="0.2">
      <c r="A3657" t="str">
        <f t="shared" si="498"/>
        <v/>
      </c>
      <c r="E3657" s="4"/>
      <c r="F3657" s="46"/>
      <c r="G3657" s="4"/>
      <c r="H3657" s="48"/>
      <c r="J3657" s="26" t="str">
        <f t="shared" si="499"/>
        <v/>
      </c>
      <c r="N3657" t="str">
        <f t="shared" si="500"/>
        <v/>
      </c>
      <c r="Q3657" t="str">
        <f t="shared" si="501"/>
        <v/>
      </c>
      <c r="S3657" t="str">
        <f>IF(A3657=1,MAX($S$2:$S3656)+1,IF(OR($I3657&lt;&gt;"",A3657="x"),$S3656,""))</f>
        <v/>
      </c>
      <c r="T3657" t="str">
        <f>IF(D3657=1,MAX($T$2:$T3656)+1,IF(S3657=S3656,$T3656,IF(D3657="x",T3656,IF(D3656="x","",""))))</f>
        <v/>
      </c>
      <c r="U3657" t="str">
        <f>IF(B3657=1,MAX($U$2:$U3656)+1,IF(AND($T3657&lt;&gt;"",$T3657=$T3656),$U3656,IF(B3657="x",U3656,"")))</f>
        <v/>
      </c>
      <c r="V3657" t="str">
        <f>IF(C3657=1,MAX($V$2:$V3656)+1,IF(AND($T3657&lt;&gt;"",$T3657=$T3656),$U3656,IF(C3657="x",V3656,"")))</f>
        <v/>
      </c>
      <c r="X3657" cm="1">
        <f t="array" ref="X3657">IF($I3657&lt;&gt;"",$I3657,INDEX($I$1:$I3657,ROW()-COUNTIFS($T$1:$T3657,"="&amp;$T3657,$S$1:$S3657,"&lt;"&amp;$S3657)))</f>
        <v>0</v>
      </c>
      <c r="Z3657" s="6">
        <f t="shared" si="502"/>
        <v>1</v>
      </c>
      <c r="AA3657" t="e">
        <f t="shared" si="503"/>
        <v>#VALUE!</v>
      </c>
      <c r="AB3657" t="str">
        <f t="shared" si="504"/>
        <v/>
      </c>
      <c r="AC3657" t="e">
        <f t="shared" si="505"/>
        <v>#VALUE!</v>
      </c>
    </row>
    <row r="3658" spans="1:29" x14ac:dyDescent="0.2">
      <c r="A3658" t="str">
        <f t="shared" si="498"/>
        <v/>
      </c>
      <c r="E3658" s="4"/>
      <c r="F3658" s="46"/>
      <c r="G3658" s="4"/>
      <c r="H3658" s="48"/>
      <c r="J3658" s="26" t="str">
        <f t="shared" si="499"/>
        <v/>
      </c>
      <c r="N3658" t="str">
        <f t="shared" si="500"/>
        <v/>
      </c>
      <c r="Q3658" t="str">
        <f t="shared" si="501"/>
        <v/>
      </c>
      <c r="S3658" t="str">
        <f>IF(A3658=1,MAX($S$2:$S3657)+1,IF(OR($I3658&lt;&gt;"",A3658="x"),$S3657,""))</f>
        <v/>
      </c>
      <c r="T3658" t="str">
        <f>IF(D3658=1,MAX($T$2:$T3657)+1,IF(S3658=S3657,$T3657,IF(D3658="x",T3657,IF(D3657="x","",""))))</f>
        <v/>
      </c>
      <c r="U3658" t="str">
        <f>IF(B3658=1,MAX($U$2:$U3657)+1,IF(AND($T3658&lt;&gt;"",$T3658=$T3657),$U3657,IF(B3658="x",U3657,"")))</f>
        <v/>
      </c>
      <c r="V3658" t="str">
        <f>IF(C3658=1,MAX($V$2:$V3657)+1,IF(AND($T3658&lt;&gt;"",$T3658=$T3657),$U3657,IF(C3658="x",V3657,"")))</f>
        <v/>
      </c>
      <c r="X3658" cm="1">
        <f t="array" ref="X3658">IF($I3658&lt;&gt;"",$I3658,INDEX($I$1:$I3658,ROW()-COUNTIFS($T$1:$T3658,"="&amp;$T3658,$S$1:$S3658,"&lt;"&amp;$S3658)))</f>
        <v>0</v>
      </c>
      <c r="Z3658" s="6">
        <f t="shared" si="502"/>
        <v>1</v>
      </c>
      <c r="AA3658" t="e">
        <f t="shared" si="503"/>
        <v>#VALUE!</v>
      </c>
      <c r="AB3658" t="str">
        <f t="shared" si="504"/>
        <v/>
      </c>
      <c r="AC3658" t="e">
        <f t="shared" si="505"/>
        <v>#VALUE!</v>
      </c>
    </row>
    <row r="3659" spans="1:29" x14ac:dyDescent="0.2">
      <c r="A3659" t="str">
        <f t="shared" si="498"/>
        <v/>
      </c>
      <c r="E3659" s="4"/>
      <c r="F3659" s="46"/>
      <c r="G3659" s="4"/>
      <c r="H3659" s="48"/>
      <c r="J3659" s="26" t="str">
        <f t="shared" si="499"/>
        <v/>
      </c>
      <c r="N3659" t="str">
        <f t="shared" si="500"/>
        <v/>
      </c>
      <c r="Q3659" t="str">
        <f t="shared" si="501"/>
        <v/>
      </c>
      <c r="S3659" t="str">
        <f>IF(A3659=1,MAX($S$2:$S3658)+1,IF(OR($I3659&lt;&gt;"",A3659="x"),$S3658,""))</f>
        <v/>
      </c>
      <c r="T3659" t="str">
        <f>IF(D3659=1,MAX($T$2:$T3658)+1,IF(S3659=S3658,$T3658,IF(D3659="x",T3658,IF(D3658="x","",""))))</f>
        <v/>
      </c>
      <c r="U3659" t="str">
        <f>IF(B3659=1,MAX($U$2:$U3658)+1,IF(AND($T3659&lt;&gt;"",$T3659=$T3658),$U3658,IF(B3659="x",U3658,"")))</f>
        <v/>
      </c>
      <c r="V3659" t="str">
        <f>IF(C3659=1,MAX($V$2:$V3658)+1,IF(AND($T3659&lt;&gt;"",$T3659=$T3658),$U3658,IF(C3659="x",V3658,"")))</f>
        <v/>
      </c>
      <c r="X3659" cm="1">
        <f t="array" ref="X3659">IF($I3659&lt;&gt;"",$I3659,INDEX($I$1:$I3659,ROW()-COUNTIFS($T$1:$T3659,"="&amp;$T3659,$S$1:$S3659,"&lt;"&amp;$S3659)))</f>
        <v>0</v>
      </c>
      <c r="Z3659" s="6">
        <f t="shared" si="502"/>
        <v>1</v>
      </c>
      <c r="AA3659" t="e">
        <f t="shared" si="503"/>
        <v>#VALUE!</v>
      </c>
      <c r="AB3659" t="str">
        <f t="shared" si="504"/>
        <v/>
      </c>
      <c r="AC3659" t="e">
        <f t="shared" si="505"/>
        <v>#VALUE!</v>
      </c>
    </row>
    <row r="3660" spans="1:29" x14ac:dyDescent="0.2">
      <c r="A3660" t="str">
        <f t="shared" si="498"/>
        <v/>
      </c>
      <c r="E3660" s="4"/>
      <c r="F3660" s="46"/>
      <c r="G3660" s="4"/>
      <c r="H3660" s="48"/>
      <c r="J3660" s="26" t="str">
        <f t="shared" si="499"/>
        <v/>
      </c>
      <c r="N3660" t="str">
        <f t="shared" si="500"/>
        <v/>
      </c>
      <c r="Q3660" t="str">
        <f t="shared" si="501"/>
        <v/>
      </c>
      <c r="S3660" t="str">
        <f>IF(A3660=1,MAX($S$2:$S3659)+1,IF(OR($I3660&lt;&gt;"",A3660="x"),$S3659,""))</f>
        <v/>
      </c>
      <c r="T3660" t="str">
        <f>IF(D3660=1,MAX($T$2:$T3659)+1,IF(S3660=S3659,$T3659,IF(D3660="x",T3659,IF(D3659="x","",""))))</f>
        <v/>
      </c>
      <c r="U3660" t="str">
        <f>IF(B3660=1,MAX($U$2:$U3659)+1,IF(AND($T3660&lt;&gt;"",$T3660=$T3659),$U3659,IF(B3660="x",U3659,"")))</f>
        <v/>
      </c>
      <c r="V3660" t="str">
        <f>IF(C3660=1,MAX($V$2:$V3659)+1,IF(AND($T3660&lt;&gt;"",$T3660=$T3659),$U3659,IF(C3660="x",V3659,"")))</f>
        <v/>
      </c>
      <c r="X3660" cm="1">
        <f t="array" ref="X3660">IF($I3660&lt;&gt;"",$I3660,INDEX($I$1:$I3660,ROW()-COUNTIFS($T$1:$T3660,"="&amp;$T3660,$S$1:$S3660,"&lt;"&amp;$S3660)))</f>
        <v>0</v>
      </c>
      <c r="Z3660" s="6">
        <f t="shared" si="502"/>
        <v>1</v>
      </c>
      <c r="AA3660" t="e">
        <f t="shared" si="503"/>
        <v>#VALUE!</v>
      </c>
      <c r="AB3660" t="str">
        <f t="shared" si="504"/>
        <v/>
      </c>
      <c r="AC3660" t="e">
        <f t="shared" si="505"/>
        <v>#VALUE!</v>
      </c>
    </row>
    <row r="3661" spans="1:29" x14ac:dyDescent="0.2">
      <c r="A3661" t="str">
        <f t="shared" si="498"/>
        <v/>
      </c>
      <c r="E3661" s="4"/>
      <c r="F3661" s="46"/>
      <c r="G3661" s="4"/>
      <c r="H3661" s="48"/>
      <c r="J3661" s="26" t="str">
        <f t="shared" si="499"/>
        <v/>
      </c>
      <c r="N3661" t="str">
        <f t="shared" si="500"/>
        <v/>
      </c>
      <c r="Q3661" t="str">
        <f t="shared" si="501"/>
        <v/>
      </c>
      <c r="S3661" t="str">
        <f>IF(A3661=1,MAX($S$2:$S3660)+1,IF(OR($I3661&lt;&gt;"",A3661="x"),$S3660,""))</f>
        <v/>
      </c>
      <c r="T3661" t="str">
        <f>IF(D3661=1,MAX($T$2:$T3660)+1,IF(S3661=S3660,$T3660,IF(D3661="x",T3660,IF(D3660="x","",""))))</f>
        <v/>
      </c>
      <c r="U3661" t="str">
        <f>IF(B3661=1,MAX($U$2:$U3660)+1,IF(AND($T3661&lt;&gt;"",$T3661=$T3660),$U3660,IF(B3661="x",U3660,"")))</f>
        <v/>
      </c>
      <c r="V3661" t="str">
        <f>IF(C3661=1,MAX($V$2:$V3660)+1,IF(AND($T3661&lt;&gt;"",$T3661=$T3660),$U3660,IF(C3661="x",V3660,"")))</f>
        <v/>
      </c>
      <c r="X3661" cm="1">
        <f t="array" ref="X3661">IF($I3661&lt;&gt;"",$I3661,INDEX($I$1:$I3661,ROW()-COUNTIFS($T$1:$T3661,"="&amp;$T3661,$S$1:$S3661,"&lt;"&amp;$S3661)))</f>
        <v>0</v>
      </c>
      <c r="Z3661" s="6">
        <f t="shared" si="502"/>
        <v>1</v>
      </c>
      <c r="AA3661" t="e">
        <f t="shared" si="503"/>
        <v>#VALUE!</v>
      </c>
      <c r="AB3661" t="str">
        <f t="shared" si="504"/>
        <v/>
      </c>
      <c r="AC3661" t="e">
        <f t="shared" si="505"/>
        <v>#VALUE!</v>
      </c>
    </row>
    <row r="3662" spans="1:29" x14ac:dyDescent="0.2">
      <c r="A3662" t="str">
        <f t="shared" si="498"/>
        <v/>
      </c>
      <c r="E3662" s="4"/>
      <c r="F3662" s="46"/>
      <c r="G3662" s="4"/>
      <c r="H3662" s="48"/>
      <c r="J3662" s="26" t="str">
        <f t="shared" si="499"/>
        <v/>
      </c>
      <c r="N3662" t="str">
        <f t="shared" si="500"/>
        <v/>
      </c>
      <c r="Q3662" t="str">
        <f t="shared" si="501"/>
        <v/>
      </c>
      <c r="S3662" t="str">
        <f>IF(A3662=1,MAX($S$2:$S3661)+1,IF(OR($I3662&lt;&gt;"",A3662="x"),$S3661,""))</f>
        <v/>
      </c>
      <c r="T3662" t="str">
        <f>IF(D3662=1,MAX($T$2:$T3661)+1,IF(S3662=S3661,$T3661,IF(D3662="x",T3661,IF(D3661="x","",""))))</f>
        <v/>
      </c>
      <c r="U3662" t="str">
        <f>IF(B3662=1,MAX($U$2:$U3661)+1,IF(AND($T3662&lt;&gt;"",$T3662=$T3661),$U3661,IF(B3662="x",U3661,"")))</f>
        <v/>
      </c>
      <c r="V3662" t="str">
        <f>IF(C3662=1,MAX($V$2:$V3661)+1,IF(AND($T3662&lt;&gt;"",$T3662=$T3661),$U3661,IF(C3662="x",V3661,"")))</f>
        <v/>
      </c>
      <c r="X3662" cm="1">
        <f t="array" ref="X3662">IF($I3662&lt;&gt;"",$I3662,INDEX($I$1:$I3662,ROW()-COUNTIFS($T$1:$T3662,"="&amp;$T3662,$S$1:$S3662,"&lt;"&amp;$S3662)))</f>
        <v>0</v>
      </c>
      <c r="Z3662" s="6">
        <f t="shared" si="502"/>
        <v>1</v>
      </c>
      <c r="AA3662" t="e">
        <f t="shared" si="503"/>
        <v>#VALUE!</v>
      </c>
      <c r="AB3662" t="str">
        <f t="shared" si="504"/>
        <v/>
      </c>
      <c r="AC3662" t="e">
        <f t="shared" si="505"/>
        <v>#VALUE!</v>
      </c>
    </row>
    <row r="3663" spans="1:29" x14ac:dyDescent="0.2">
      <c r="A3663" t="str">
        <f t="shared" si="498"/>
        <v/>
      </c>
      <c r="E3663" s="4"/>
      <c r="F3663" s="46"/>
      <c r="G3663" s="4"/>
      <c r="H3663" s="48"/>
      <c r="J3663" s="26" t="str">
        <f t="shared" si="499"/>
        <v/>
      </c>
      <c r="N3663" t="str">
        <f t="shared" si="500"/>
        <v/>
      </c>
      <c r="Q3663" t="str">
        <f t="shared" si="501"/>
        <v/>
      </c>
      <c r="S3663" t="str">
        <f>IF(A3663=1,MAX($S$2:$S3662)+1,IF(OR($I3663&lt;&gt;"",A3663="x"),$S3662,""))</f>
        <v/>
      </c>
      <c r="T3663" t="str">
        <f>IF(D3663=1,MAX($T$2:$T3662)+1,IF(S3663=S3662,$T3662,IF(D3663="x",T3662,IF(D3662="x","",""))))</f>
        <v/>
      </c>
      <c r="U3663" t="str">
        <f>IF(B3663=1,MAX($U$2:$U3662)+1,IF(AND($T3663&lt;&gt;"",$T3663=$T3662),$U3662,IF(B3663="x",U3662,"")))</f>
        <v/>
      </c>
      <c r="V3663" t="str">
        <f>IF(C3663=1,MAX($V$2:$V3662)+1,IF(AND($T3663&lt;&gt;"",$T3663=$T3662),$U3662,IF(C3663="x",V3662,"")))</f>
        <v/>
      </c>
      <c r="X3663" cm="1">
        <f t="array" ref="X3663">IF($I3663&lt;&gt;"",$I3663,INDEX($I$1:$I3663,ROW()-COUNTIFS($T$1:$T3663,"="&amp;$T3663,$S$1:$S3663,"&lt;"&amp;$S3663)))</f>
        <v>0</v>
      </c>
      <c r="Z3663" s="6">
        <f t="shared" si="502"/>
        <v>1</v>
      </c>
      <c r="AA3663" t="e">
        <f t="shared" si="503"/>
        <v>#VALUE!</v>
      </c>
      <c r="AB3663" t="str">
        <f t="shared" si="504"/>
        <v/>
      </c>
      <c r="AC3663" t="e">
        <f t="shared" si="505"/>
        <v>#VALUE!</v>
      </c>
    </row>
    <row r="3664" spans="1:29" x14ac:dyDescent="0.2">
      <c r="A3664" t="str">
        <f t="shared" si="498"/>
        <v/>
      </c>
      <c r="E3664" s="4"/>
      <c r="F3664" s="46"/>
      <c r="G3664" s="4"/>
      <c r="H3664" s="48"/>
      <c r="J3664" s="26" t="str">
        <f t="shared" si="499"/>
        <v/>
      </c>
      <c r="N3664" t="str">
        <f t="shared" si="500"/>
        <v/>
      </c>
      <c r="Q3664" t="str">
        <f t="shared" si="501"/>
        <v/>
      </c>
      <c r="S3664" t="str">
        <f>IF(A3664=1,MAX($S$2:$S3663)+1,IF(OR($I3664&lt;&gt;"",A3664="x"),$S3663,""))</f>
        <v/>
      </c>
      <c r="T3664" t="str">
        <f>IF(D3664=1,MAX($T$2:$T3663)+1,IF(S3664=S3663,$T3663,IF(D3664="x",T3663,IF(D3663="x","",""))))</f>
        <v/>
      </c>
      <c r="U3664" t="str">
        <f>IF(B3664=1,MAX($U$2:$U3663)+1,IF(AND($T3664&lt;&gt;"",$T3664=$T3663),$U3663,IF(B3664="x",U3663,"")))</f>
        <v/>
      </c>
      <c r="V3664" t="str">
        <f>IF(C3664=1,MAX($V$2:$V3663)+1,IF(AND($T3664&lt;&gt;"",$T3664=$T3663),$U3663,IF(C3664="x",V3663,"")))</f>
        <v/>
      </c>
      <c r="X3664" cm="1">
        <f t="array" ref="X3664">IF($I3664&lt;&gt;"",$I3664,INDEX($I$1:$I3664,ROW()-COUNTIFS($T$1:$T3664,"="&amp;$T3664,$S$1:$S3664,"&lt;"&amp;$S3664)))</f>
        <v>0</v>
      </c>
      <c r="Z3664" s="6">
        <f t="shared" si="502"/>
        <v>1</v>
      </c>
      <c r="AA3664" t="e">
        <f t="shared" si="503"/>
        <v>#VALUE!</v>
      </c>
      <c r="AB3664" t="str">
        <f t="shared" si="504"/>
        <v/>
      </c>
      <c r="AC3664" t="e">
        <f t="shared" si="505"/>
        <v>#VALUE!</v>
      </c>
    </row>
    <row r="3665" spans="1:29" x14ac:dyDescent="0.2">
      <c r="A3665" t="str">
        <f t="shared" si="498"/>
        <v/>
      </c>
      <c r="E3665" s="4"/>
      <c r="F3665" s="46"/>
      <c r="G3665" s="4"/>
      <c r="H3665" s="48"/>
      <c r="J3665" s="26" t="str">
        <f t="shared" si="499"/>
        <v/>
      </c>
      <c r="N3665" t="str">
        <f t="shared" si="500"/>
        <v/>
      </c>
      <c r="Q3665" t="str">
        <f t="shared" si="501"/>
        <v/>
      </c>
      <c r="S3665" t="str">
        <f>IF(A3665=1,MAX($S$2:$S3664)+1,IF(OR($I3665&lt;&gt;"",A3665="x"),$S3664,""))</f>
        <v/>
      </c>
      <c r="T3665" t="str">
        <f>IF(D3665=1,MAX($T$2:$T3664)+1,IF(S3665=S3664,$T3664,IF(D3665="x",T3664,IF(D3664="x","",""))))</f>
        <v/>
      </c>
      <c r="U3665" t="str">
        <f>IF(B3665=1,MAX($U$2:$U3664)+1,IF(AND($T3665&lt;&gt;"",$T3665=$T3664),$U3664,IF(B3665="x",U3664,"")))</f>
        <v/>
      </c>
      <c r="V3665" t="str">
        <f>IF(C3665=1,MAX($V$2:$V3664)+1,IF(AND($T3665&lt;&gt;"",$T3665=$T3664),$U3664,IF(C3665="x",V3664,"")))</f>
        <v/>
      </c>
      <c r="X3665" cm="1">
        <f t="array" ref="X3665">IF($I3665&lt;&gt;"",$I3665,INDEX($I$1:$I3665,ROW()-COUNTIFS($T$1:$T3665,"="&amp;$T3665,$S$1:$S3665,"&lt;"&amp;$S3665)))</f>
        <v>0</v>
      </c>
      <c r="Z3665" s="6">
        <f t="shared" si="502"/>
        <v>1</v>
      </c>
      <c r="AA3665" t="e">
        <f t="shared" si="503"/>
        <v>#VALUE!</v>
      </c>
      <c r="AB3665" t="str">
        <f t="shared" si="504"/>
        <v/>
      </c>
      <c r="AC3665" t="e">
        <f t="shared" si="505"/>
        <v>#VALUE!</v>
      </c>
    </row>
    <row r="3666" spans="1:29" x14ac:dyDescent="0.2">
      <c r="A3666" t="str">
        <f t="shared" si="498"/>
        <v/>
      </c>
      <c r="E3666" s="4"/>
      <c r="F3666" s="46"/>
      <c r="G3666" s="4"/>
      <c r="H3666" s="48"/>
      <c r="J3666" s="26" t="str">
        <f t="shared" si="499"/>
        <v/>
      </c>
      <c r="N3666" t="str">
        <f t="shared" si="500"/>
        <v/>
      </c>
      <c r="Q3666" t="str">
        <f t="shared" si="501"/>
        <v/>
      </c>
      <c r="S3666" t="str">
        <f>IF(A3666=1,MAX($S$2:$S3665)+1,IF(OR($I3666&lt;&gt;"",A3666="x"),$S3665,""))</f>
        <v/>
      </c>
      <c r="T3666" t="str">
        <f>IF(D3666=1,MAX($T$2:$T3665)+1,IF(S3666=S3665,$T3665,IF(D3666="x",T3665,IF(D3665="x","",""))))</f>
        <v/>
      </c>
      <c r="U3666" t="str">
        <f>IF(B3666=1,MAX($U$2:$U3665)+1,IF(AND($T3666&lt;&gt;"",$T3666=$T3665),$U3665,IF(B3666="x",U3665,"")))</f>
        <v/>
      </c>
      <c r="V3666" t="str">
        <f>IF(C3666=1,MAX($V$2:$V3665)+1,IF(AND($T3666&lt;&gt;"",$T3666=$T3665),$U3665,IF(C3666="x",V3665,"")))</f>
        <v/>
      </c>
      <c r="X3666" cm="1">
        <f t="array" ref="X3666">IF($I3666&lt;&gt;"",$I3666,INDEX($I$1:$I3666,ROW()-COUNTIFS($T$1:$T3666,"="&amp;$T3666,$S$1:$S3666,"&lt;"&amp;$S3666)))</f>
        <v>0</v>
      </c>
      <c r="Z3666" s="6">
        <f t="shared" si="502"/>
        <v>1</v>
      </c>
      <c r="AA3666" t="e">
        <f t="shared" si="503"/>
        <v>#VALUE!</v>
      </c>
      <c r="AB3666" t="str">
        <f t="shared" si="504"/>
        <v/>
      </c>
      <c r="AC3666" t="e">
        <f t="shared" si="505"/>
        <v>#VALUE!</v>
      </c>
    </row>
    <row r="3667" spans="1:29" x14ac:dyDescent="0.2">
      <c r="A3667" t="str">
        <f t="shared" ref="A3667:A3730" si="506">IF(K3667&lt;&gt;"",1,IF(D3667="x","x",""))</f>
        <v/>
      </c>
      <c r="E3667" s="4"/>
      <c r="F3667" s="46"/>
      <c r="G3667" s="4"/>
      <c r="H3667" s="48"/>
      <c r="J3667" s="26" t="str">
        <f t="shared" ref="J3667:J3730" si="507">IF(OR(K3667="Goal",K3667="Shot",L3667="Zone_Entry",M3667="Stoppage-Goal",M3666="Stoppage-Goal"),"o",IF(OR(K3667="Save",K3667="Rebound",L3667="Zone_Exit",M3667="Stoppage-GoalieStoppage",M3666="Stoppage-GoalieStoppage"),"d",IF(OR(L3667="Faceoff_AfterGoal",L3667="Faceoff_PeriodStart",698="Faceoff_GameStart",M3666="Stoppage-Goal"),"n","")))</f>
        <v/>
      </c>
      <c r="N3667" t="str">
        <f t="shared" ref="N3667:N3730" si="508">IF(K3667="","",IF(K3667="Goal","s",IF(AND(K3667="Zone_Entry_Exit",OR(ISNUMBER(SEARCH("fail",L3667)),ISNUMBER(SEARCH("FromExitClear",M3667)),ISNUMBER(SEARCH("miss",M3667)))),"u",IF(AND(K3667="Zone_Entry_Exit",OR(NOT(ISNUMBER(SEARCH("fail",L3667))),NOT(ISNUMBER(SEARCH("FromExitClear",M3667))),NOT(ISNUMBER(SEARCH("miss",M3667))))),"s",IF(AND(OR(K3667="Shot",K3667="Pass"),OR(ISNUMBER(SEARCH("complete",L3667)),ISNUMBER(SEARCH("goal",L3667)),ISNUMBER(SEARCH("OnNet",L3667)))),"s",IF(L3667="Turnover_Giveaway","u",IF(AND(OR(K3667="Shot",K3667="Pass"),OR(ISNUMBER(SEARCH("fail",L3667)),NOT(ISNUMBER(SEARCH("complete",L3667))),NOT(ISNUMBER(SEARCH("OnNet",L3667))))),"u","")))))))</f>
        <v/>
      </c>
      <c r="Q3667" t="str">
        <f t="shared" ref="Q3667:Q3730" si="509">IF(O3667="","",IF(AND(N3667&lt;&gt;"",OR(O3667&lt;&gt;"",P3667&lt;&gt;"")),N3667,IF(OR(ISNUMBER(SEARCH("attemp",O3667)),ISNUMBER(SEARCH("beat",O3667)),ISNUMBER(SEARCH("mis",O3667)),ISNUMBER(SEARCH("fail",O3667)),ISNUMBER(SEARCH("loss",O3667)),ISNUMBER(SEARCH("lost",O3667)),ISNUMBER(SEARCH("attemp",P3667)),ISNUMBER(SEARCH("mis",P3667)),ISNUMBER(SEARCH("fail",P3667)),ISNUMBER(SEARCH("loss",P3667)),ISNUMBER(SEARCH("beat",P3667)),ISNUMBER(SEARCH("lost",P3667))),"u","")))</f>
        <v/>
      </c>
      <c r="S3667" t="str">
        <f>IF(A3667=1,MAX($S$2:$S3666)+1,IF(OR($I3667&lt;&gt;"",A3667="x"),$S3666,""))</f>
        <v/>
      </c>
      <c r="T3667" t="str">
        <f>IF(D3667=1,MAX($T$2:$T3666)+1,IF(S3667=S3666,$T3666,IF(D3667="x",T3666,IF(D3666="x","",""))))</f>
        <v/>
      </c>
      <c r="U3667" t="str">
        <f>IF(B3667=1,MAX($U$2:$U3666)+1,IF(AND($T3667&lt;&gt;"",$T3667=$T3666),$U3666,IF(B3667="x",U3666,"")))</f>
        <v/>
      </c>
      <c r="V3667" t="str">
        <f>IF(C3667=1,MAX($V$2:$V3666)+1,IF(AND($T3667&lt;&gt;"",$T3667=$T3666),$U3666,IF(C3667="x",V3666,"")))</f>
        <v/>
      </c>
      <c r="X3667" cm="1">
        <f t="array" ref="X3667">IF($I3667&lt;&gt;"",$I3667,INDEX($I$1:$I3667,ROW()-COUNTIFS($T$1:$T3667,"="&amp;$T3667,$S$1:$S3667,"&lt;"&amp;$S3667)))</f>
        <v>0</v>
      </c>
      <c r="Z3667" s="6">
        <f t="shared" si="502"/>
        <v>1</v>
      </c>
      <c r="AA3667" t="e">
        <f t="shared" si="503"/>
        <v>#VALUE!</v>
      </c>
      <c r="AB3667" t="str">
        <f t="shared" si="504"/>
        <v/>
      </c>
      <c r="AC3667" t="e">
        <f t="shared" si="505"/>
        <v>#VALUE!</v>
      </c>
    </row>
    <row r="3668" spans="1:29" x14ac:dyDescent="0.2">
      <c r="A3668" t="str">
        <f t="shared" si="506"/>
        <v/>
      </c>
      <c r="E3668" s="4"/>
      <c r="F3668" s="46"/>
      <c r="G3668" s="4"/>
      <c r="H3668" s="48"/>
      <c r="J3668" s="26" t="str">
        <f t="shared" si="507"/>
        <v/>
      </c>
      <c r="N3668" t="str">
        <f t="shared" si="508"/>
        <v/>
      </c>
      <c r="Q3668" t="str">
        <f t="shared" si="509"/>
        <v/>
      </c>
      <c r="S3668" t="str">
        <f>IF(A3668=1,MAX($S$2:$S3667)+1,IF(OR($I3668&lt;&gt;"",A3668="x"),$S3667,""))</f>
        <v/>
      </c>
      <c r="T3668" t="str">
        <f>IF(D3668=1,MAX($T$2:$T3667)+1,IF(S3668=S3667,$T3667,IF(D3668="x",T3667,IF(D3667="x","",""))))</f>
        <v/>
      </c>
      <c r="U3668" t="str">
        <f>IF(B3668=1,MAX($U$2:$U3667)+1,IF(AND($T3668&lt;&gt;"",$T3668=$T3667),$U3667,IF(B3668="x",U3667,"")))</f>
        <v/>
      </c>
      <c r="V3668" t="str">
        <f>IF(C3668=1,MAX($V$2:$V3667)+1,IF(AND($T3668&lt;&gt;"",$T3668=$T3667),$U3667,IF(C3668="x",V3667,"")))</f>
        <v/>
      </c>
      <c r="X3668" cm="1">
        <f t="array" ref="X3668">IF($I3668&lt;&gt;"",$I3668,INDEX($I$1:$I3668,ROW()-COUNTIFS($T$1:$T3668,"="&amp;$T3668,$S$1:$S3668,"&lt;"&amp;$S3668)))</f>
        <v>0</v>
      </c>
      <c r="Z3668" s="6">
        <f t="shared" si="502"/>
        <v>1</v>
      </c>
      <c r="AA3668" t="e">
        <f t="shared" si="503"/>
        <v>#VALUE!</v>
      </c>
      <c r="AB3668" t="str">
        <f t="shared" si="504"/>
        <v/>
      </c>
      <c r="AC3668" t="e">
        <f t="shared" si="505"/>
        <v>#VALUE!</v>
      </c>
    </row>
    <row r="3669" spans="1:29" x14ac:dyDescent="0.2">
      <c r="A3669" t="str">
        <f t="shared" si="506"/>
        <v/>
      </c>
      <c r="E3669" s="4"/>
      <c r="F3669" s="46"/>
      <c r="G3669" s="4"/>
      <c r="H3669" s="48"/>
      <c r="J3669" s="26" t="str">
        <f t="shared" si="507"/>
        <v/>
      </c>
      <c r="N3669" t="str">
        <f t="shared" si="508"/>
        <v/>
      </c>
      <c r="Q3669" t="str">
        <f t="shared" si="509"/>
        <v/>
      </c>
      <c r="S3669" t="str">
        <f>IF(A3669=1,MAX($S$2:$S3668)+1,IF(OR($I3669&lt;&gt;"",A3669="x"),$S3668,""))</f>
        <v/>
      </c>
      <c r="T3669" t="str">
        <f>IF(D3669=1,MAX($T$2:$T3668)+1,IF(S3669=S3668,$T3668,IF(D3669="x",T3668,IF(D3668="x","",""))))</f>
        <v/>
      </c>
      <c r="U3669" t="str">
        <f>IF(B3669=1,MAX($U$2:$U3668)+1,IF(AND($T3669&lt;&gt;"",$T3669=$T3668),$U3668,IF(B3669="x",U3668,"")))</f>
        <v/>
      </c>
      <c r="V3669" t="str">
        <f>IF(C3669=1,MAX($V$2:$V3668)+1,IF(AND($T3669&lt;&gt;"",$T3669=$T3668),$U3668,IF(C3669="x",V3668,"")))</f>
        <v/>
      </c>
      <c r="X3669" cm="1">
        <f t="array" ref="X3669">IF($I3669&lt;&gt;"",$I3669,INDEX($I$1:$I3669,ROW()-COUNTIFS($T$1:$T3669,"="&amp;$T3669,$S$1:$S3669,"&lt;"&amp;$S3669)))</f>
        <v>0</v>
      </c>
      <c r="Z3669" s="6">
        <f t="shared" si="502"/>
        <v>1</v>
      </c>
      <c r="AA3669" t="e">
        <f t="shared" si="503"/>
        <v>#VALUE!</v>
      </c>
      <c r="AB3669" t="str">
        <f t="shared" si="504"/>
        <v/>
      </c>
      <c r="AC3669" t="e">
        <f t="shared" si="505"/>
        <v>#VALUE!</v>
      </c>
    </row>
    <row r="3670" spans="1:29" x14ac:dyDescent="0.2">
      <c r="A3670" t="str">
        <f t="shared" si="506"/>
        <v/>
      </c>
      <c r="E3670" s="4"/>
      <c r="F3670" s="46"/>
      <c r="G3670" s="4"/>
      <c r="H3670" s="48"/>
      <c r="J3670" s="26" t="str">
        <f t="shared" si="507"/>
        <v/>
      </c>
      <c r="N3670" t="str">
        <f t="shared" si="508"/>
        <v/>
      </c>
      <c r="Q3670" t="str">
        <f t="shared" si="509"/>
        <v/>
      </c>
      <c r="S3670" t="str">
        <f>IF(A3670=1,MAX($S$2:$S3669)+1,IF(OR($I3670&lt;&gt;"",A3670="x"),$S3669,""))</f>
        <v/>
      </c>
      <c r="T3670" t="str">
        <f>IF(D3670=1,MAX($T$2:$T3669)+1,IF(S3670=S3669,$T3669,IF(D3670="x",T3669,IF(D3669="x","",""))))</f>
        <v/>
      </c>
      <c r="U3670" t="str">
        <f>IF(B3670=1,MAX($U$2:$U3669)+1,IF(AND($T3670&lt;&gt;"",$T3670=$T3669),$U3669,IF(B3670="x",U3669,"")))</f>
        <v/>
      </c>
      <c r="V3670" t="str">
        <f>IF(C3670=1,MAX($V$2:$V3669)+1,IF(AND($T3670&lt;&gt;"",$T3670=$T3669),$U3669,IF(C3670="x",V3669,"")))</f>
        <v/>
      </c>
      <c r="X3670" cm="1">
        <f t="array" ref="X3670">IF($I3670&lt;&gt;"",$I3670,INDEX($I$1:$I3670,ROW()-COUNTIFS($T$1:$T3670,"="&amp;$T3670,$S$1:$S3670,"&lt;"&amp;$S3670)))</f>
        <v>0</v>
      </c>
      <c r="Z3670" s="6">
        <f t="shared" si="502"/>
        <v>1</v>
      </c>
      <c r="AA3670" t="e">
        <f t="shared" si="503"/>
        <v>#VALUE!</v>
      </c>
      <c r="AB3670" t="str">
        <f t="shared" si="504"/>
        <v/>
      </c>
      <c r="AC3670" t="e">
        <f t="shared" si="505"/>
        <v>#VALUE!</v>
      </c>
    </row>
    <row r="3671" spans="1:29" x14ac:dyDescent="0.2">
      <c r="A3671" t="str">
        <f t="shared" si="506"/>
        <v/>
      </c>
      <c r="E3671" s="4"/>
      <c r="F3671" s="46"/>
      <c r="G3671" s="4"/>
      <c r="H3671" s="48"/>
      <c r="J3671" s="26" t="str">
        <f t="shared" si="507"/>
        <v/>
      </c>
      <c r="N3671" t="str">
        <f t="shared" si="508"/>
        <v/>
      </c>
      <c r="Q3671" t="str">
        <f t="shared" si="509"/>
        <v/>
      </c>
      <c r="S3671" t="str">
        <f>IF(A3671=1,MAX($S$2:$S3670)+1,IF(OR($I3671&lt;&gt;"",A3671="x"),$S3670,""))</f>
        <v/>
      </c>
      <c r="T3671" t="str">
        <f>IF(D3671=1,MAX($T$2:$T3670)+1,IF(S3671=S3670,$T3670,IF(D3671="x",T3670,IF(D3670="x","",""))))</f>
        <v/>
      </c>
      <c r="U3671" t="str">
        <f>IF(B3671=1,MAX($U$2:$U3670)+1,IF(AND($T3671&lt;&gt;"",$T3671=$T3670),$U3670,IF(B3671="x",U3670,"")))</f>
        <v/>
      </c>
      <c r="V3671" t="str">
        <f>IF(C3671=1,MAX($V$2:$V3670)+1,IF(AND($T3671&lt;&gt;"",$T3671=$T3670),$U3670,IF(C3671="x",V3670,"")))</f>
        <v/>
      </c>
      <c r="X3671" cm="1">
        <f t="array" ref="X3671">IF($I3671&lt;&gt;"",$I3671,INDEX($I$1:$I3671,ROW()-COUNTIFS($T$1:$T3671,"="&amp;$T3671,$S$1:$S3671,"&lt;"&amp;$S3671)))</f>
        <v>0</v>
      </c>
      <c r="Z3671" s="6">
        <f t="shared" si="502"/>
        <v>1</v>
      </c>
      <c r="AA3671" t="e">
        <f t="shared" si="503"/>
        <v>#VALUE!</v>
      </c>
      <c r="AB3671" t="str">
        <f t="shared" si="504"/>
        <v/>
      </c>
      <c r="AC3671" t="e">
        <f t="shared" si="505"/>
        <v>#VALUE!</v>
      </c>
    </row>
    <row r="3672" spans="1:29" x14ac:dyDescent="0.2">
      <c r="A3672" t="str">
        <f t="shared" si="506"/>
        <v/>
      </c>
      <c r="E3672" s="4"/>
      <c r="F3672" s="46"/>
      <c r="G3672" s="4"/>
      <c r="H3672" s="48"/>
      <c r="J3672" s="26" t="str">
        <f t="shared" si="507"/>
        <v/>
      </c>
      <c r="N3672" t="str">
        <f t="shared" si="508"/>
        <v/>
      </c>
      <c r="Q3672" t="str">
        <f t="shared" si="509"/>
        <v/>
      </c>
      <c r="S3672" t="str">
        <f>IF(A3672=1,MAX($S$2:$S3671)+1,IF(OR($I3672&lt;&gt;"",A3672="x"),$S3671,""))</f>
        <v/>
      </c>
      <c r="T3672" t="str">
        <f>IF(D3672=1,MAX($T$2:$T3671)+1,IF(S3672=S3671,$T3671,IF(D3672="x",T3671,IF(D3671="x","",""))))</f>
        <v/>
      </c>
      <c r="U3672" t="str">
        <f>IF(B3672=1,MAX($U$2:$U3671)+1,IF(AND($T3672&lt;&gt;"",$T3672=$T3671),$U3671,IF(B3672="x",U3671,"")))</f>
        <v/>
      </c>
      <c r="V3672" t="str">
        <f>IF(C3672=1,MAX($V$2:$V3671)+1,IF(AND($T3672&lt;&gt;"",$T3672=$T3671),$U3671,IF(C3672="x",V3671,"")))</f>
        <v/>
      </c>
      <c r="X3672" cm="1">
        <f t="array" ref="X3672">IF($I3672&lt;&gt;"",$I3672,INDEX($I$1:$I3672,ROW()-COUNTIFS($T$1:$T3672,"="&amp;$T3672,$S$1:$S3672,"&lt;"&amp;$S3672)))</f>
        <v>0</v>
      </c>
      <c r="Z3672" s="6">
        <f t="shared" si="502"/>
        <v>1</v>
      </c>
      <c r="AA3672" t="e">
        <f t="shared" si="503"/>
        <v>#VALUE!</v>
      </c>
      <c r="AB3672" t="str">
        <f t="shared" si="504"/>
        <v/>
      </c>
      <c r="AC3672" t="e">
        <f t="shared" si="505"/>
        <v>#VALUE!</v>
      </c>
    </row>
    <row r="3673" spans="1:29" x14ac:dyDescent="0.2">
      <c r="A3673" t="str">
        <f t="shared" si="506"/>
        <v/>
      </c>
      <c r="E3673" s="4"/>
      <c r="F3673" s="46"/>
      <c r="G3673" s="4"/>
      <c r="H3673" s="48"/>
      <c r="J3673" s="26" t="str">
        <f t="shared" si="507"/>
        <v/>
      </c>
      <c r="N3673" t="str">
        <f t="shared" si="508"/>
        <v/>
      </c>
      <c r="Q3673" t="str">
        <f t="shared" si="509"/>
        <v/>
      </c>
      <c r="S3673" t="str">
        <f>IF(A3673=1,MAX($S$2:$S3672)+1,IF(OR($I3673&lt;&gt;"",A3673="x"),$S3672,""))</f>
        <v/>
      </c>
      <c r="T3673" t="str">
        <f>IF(D3673=1,MAX($T$2:$T3672)+1,IF(S3673=S3672,$T3672,IF(D3673="x",T3672,IF(D3672="x","",""))))</f>
        <v/>
      </c>
      <c r="U3673" t="str">
        <f>IF(B3673=1,MAX($U$2:$U3672)+1,IF(AND($T3673&lt;&gt;"",$T3673=$T3672),$U3672,IF(B3673="x",U3672,"")))</f>
        <v/>
      </c>
      <c r="V3673" t="str">
        <f>IF(C3673=1,MAX($V$2:$V3672)+1,IF(AND($T3673&lt;&gt;"",$T3673=$T3672),$U3672,IF(C3673="x",V3672,"")))</f>
        <v/>
      </c>
      <c r="X3673" cm="1">
        <f t="array" ref="X3673">IF($I3673&lt;&gt;"",$I3673,INDEX($I$1:$I3673,ROW()-COUNTIFS($T$1:$T3673,"="&amp;$T3673,$S$1:$S3673,"&lt;"&amp;$S3673)))</f>
        <v>0</v>
      </c>
      <c r="Z3673" s="6">
        <f t="shared" si="502"/>
        <v>1</v>
      </c>
      <c r="AA3673" t="e">
        <f t="shared" si="503"/>
        <v>#VALUE!</v>
      </c>
      <c r="AB3673" t="str">
        <f t="shared" si="504"/>
        <v/>
      </c>
      <c r="AC3673" t="e">
        <f t="shared" si="505"/>
        <v>#VALUE!</v>
      </c>
    </row>
    <row r="3674" spans="1:29" x14ac:dyDescent="0.2">
      <c r="A3674" t="str">
        <f t="shared" si="506"/>
        <v/>
      </c>
      <c r="E3674" s="4"/>
      <c r="F3674" s="46"/>
      <c r="G3674" s="4"/>
      <c r="H3674" s="48"/>
      <c r="J3674" s="26" t="str">
        <f t="shared" si="507"/>
        <v/>
      </c>
      <c r="N3674" t="str">
        <f t="shared" si="508"/>
        <v/>
      </c>
      <c r="Q3674" t="str">
        <f t="shared" si="509"/>
        <v/>
      </c>
      <c r="S3674" t="str">
        <f>IF(A3674=1,MAX($S$2:$S3673)+1,IF(OR($I3674&lt;&gt;"",A3674="x"),$S3673,""))</f>
        <v/>
      </c>
      <c r="T3674" t="str">
        <f>IF(D3674=1,MAX($T$2:$T3673)+1,IF(S3674=S3673,$T3673,IF(D3674="x",T3673,IF(D3673="x","",""))))</f>
        <v/>
      </c>
      <c r="U3674" t="str">
        <f>IF(B3674=1,MAX($U$2:$U3673)+1,IF(AND($T3674&lt;&gt;"",$T3674=$T3673),$U3673,IF(B3674="x",U3673,"")))</f>
        <v/>
      </c>
      <c r="V3674" t="str">
        <f>IF(C3674=1,MAX($V$2:$V3673)+1,IF(AND($T3674&lt;&gt;"",$T3674=$T3673),$U3673,IF(C3674="x",V3673,"")))</f>
        <v/>
      </c>
      <c r="X3674" cm="1">
        <f t="array" ref="X3674">IF($I3674&lt;&gt;"",$I3674,INDEX($I$1:$I3674,ROW()-COUNTIFS($T$1:$T3674,"="&amp;$T3674,$S$1:$S3674,"&lt;"&amp;$S3674)))</f>
        <v>0</v>
      </c>
      <c r="Z3674" s="6">
        <f t="shared" si="502"/>
        <v>1</v>
      </c>
      <c r="AA3674" t="e">
        <f t="shared" si="503"/>
        <v>#VALUE!</v>
      </c>
      <c r="AB3674" t="str">
        <f t="shared" si="504"/>
        <v/>
      </c>
      <c r="AC3674" t="e">
        <f t="shared" si="505"/>
        <v>#VALUE!</v>
      </c>
    </row>
    <row r="3675" spans="1:29" x14ac:dyDescent="0.2">
      <c r="A3675" t="str">
        <f t="shared" si="506"/>
        <v/>
      </c>
      <c r="E3675" s="4"/>
      <c r="F3675" s="46"/>
      <c r="G3675" s="4"/>
      <c r="H3675" s="48"/>
      <c r="J3675" s="26" t="str">
        <f t="shared" si="507"/>
        <v/>
      </c>
      <c r="N3675" t="str">
        <f t="shared" si="508"/>
        <v/>
      </c>
      <c r="Q3675" t="str">
        <f t="shared" si="509"/>
        <v/>
      </c>
      <c r="S3675" t="str">
        <f>IF(A3675=1,MAX($S$2:$S3674)+1,IF(OR($I3675&lt;&gt;"",A3675="x"),$S3674,""))</f>
        <v/>
      </c>
      <c r="T3675" t="str">
        <f>IF(D3675=1,MAX($T$2:$T3674)+1,IF(S3675=S3674,$T3674,IF(D3675="x",T3674,IF(D3674="x","",""))))</f>
        <v/>
      </c>
      <c r="U3675" t="str">
        <f>IF(B3675=1,MAX($U$2:$U3674)+1,IF(AND($T3675&lt;&gt;"",$T3675=$T3674),$U3674,IF(B3675="x",U3674,"")))</f>
        <v/>
      </c>
      <c r="V3675" t="str">
        <f>IF(C3675=1,MAX($V$2:$V3674)+1,IF(AND($T3675&lt;&gt;"",$T3675=$T3674),$U3674,IF(C3675="x",V3674,"")))</f>
        <v/>
      </c>
      <c r="X3675" cm="1">
        <f t="array" ref="X3675">IF($I3675&lt;&gt;"",$I3675,INDEX($I$1:$I3675,ROW()-COUNTIFS($T$1:$T3675,"="&amp;$T3675,$S$1:$S3675,"&lt;"&amp;$S3675)))</f>
        <v>0</v>
      </c>
      <c r="Z3675" s="6">
        <f t="shared" si="502"/>
        <v>1</v>
      </c>
      <c r="AA3675" t="e">
        <f t="shared" si="503"/>
        <v>#VALUE!</v>
      </c>
      <c r="AB3675" t="str">
        <f t="shared" si="504"/>
        <v/>
      </c>
      <c r="AC3675" t="e">
        <f t="shared" si="505"/>
        <v>#VALUE!</v>
      </c>
    </row>
    <row r="3676" spans="1:29" x14ac:dyDescent="0.2">
      <c r="A3676" t="str">
        <f t="shared" si="506"/>
        <v/>
      </c>
      <c r="E3676" s="4"/>
      <c r="F3676" s="46"/>
      <c r="G3676" s="4"/>
      <c r="H3676" s="48"/>
      <c r="J3676" s="26" t="str">
        <f t="shared" si="507"/>
        <v/>
      </c>
      <c r="N3676" t="str">
        <f t="shared" si="508"/>
        <v/>
      </c>
      <c r="Q3676" t="str">
        <f t="shared" si="509"/>
        <v/>
      </c>
      <c r="S3676" t="str">
        <f>IF(A3676=1,MAX($S$2:$S3675)+1,IF(OR($I3676&lt;&gt;"",A3676="x"),$S3675,""))</f>
        <v/>
      </c>
      <c r="T3676" t="str">
        <f>IF(D3676=1,MAX($T$2:$T3675)+1,IF(S3676=S3675,$T3675,IF(D3676="x",T3675,IF(D3675="x","",""))))</f>
        <v/>
      </c>
      <c r="U3676" t="str">
        <f>IF(B3676=1,MAX($U$2:$U3675)+1,IF(AND($T3676&lt;&gt;"",$T3676=$T3675),$U3675,IF(B3676="x",U3675,"")))</f>
        <v/>
      </c>
      <c r="V3676" t="str">
        <f>IF(C3676=1,MAX($V$2:$V3675)+1,IF(AND($T3676&lt;&gt;"",$T3676=$T3675),$U3675,IF(C3676="x",V3675,"")))</f>
        <v/>
      </c>
      <c r="X3676" cm="1">
        <f t="array" ref="X3676">IF($I3676&lt;&gt;"",$I3676,INDEX($I$1:$I3676,ROW()-COUNTIFS($T$1:$T3676,"="&amp;$T3676,$S$1:$S3676,"&lt;"&amp;$S3676)))</f>
        <v>0</v>
      </c>
      <c r="Z3676" s="6">
        <f t="shared" si="502"/>
        <v>1</v>
      </c>
      <c r="AA3676" t="e">
        <f t="shared" si="503"/>
        <v>#VALUE!</v>
      </c>
      <c r="AB3676" t="str">
        <f t="shared" si="504"/>
        <v/>
      </c>
      <c r="AC3676" t="e">
        <f t="shared" si="505"/>
        <v>#VALUE!</v>
      </c>
    </row>
    <row r="3677" spans="1:29" x14ac:dyDescent="0.2">
      <c r="A3677" t="str">
        <f t="shared" si="506"/>
        <v/>
      </c>
      <c r="E3677" s="4"/>
      <c r="F3677" s="46"/>
      <c r="G3677" s="4"/>
      <c r="H3677" s="48"/>
      <c r="J3677" s="26" t="str">
        <f t="shared" si="507"/>
        <v/>
      </c>
      <c r="N3677" t="str">
        <f t="shared" si="508"/>
        <v/>
      </c>
      <c r="Q3677" t="str">
        <f t="shared" si="509"/>
        <v/>
      </c>
      <c r="S3677" t="str">
        <f>IF(A3677=1,MAX($S$2:$S3676)+1,IF(OR($I3677&lt;&gt;"",A3677="x"),$S3676,""))</f>
        <v/>
      </c>
      <c r="T3677" t="str">
        <f>IF(D3677=1,MAX($T$2:$T3676)+1,IF(S3677=S3676,$T3676,IF(D3677="x",T3676,IF(D3676="x","",""))))</f>
        <v/>
      </c>
      <c r="U3677" t="str">
        <f>IF(B3677=1,MAX($U$2:$U3676)+1,IF(AND($T3677&lt;&gt;"",$T3677=$T3676),$U3676,IF(B3677="x",U3676,"")))</f>
        <v/>
      </c>
      <c r="V3677" t="str">
        <f>IF(C3677=1,MAX($V$2:$V3676)+1,IF(AND($T3677&lt;&gt;"",$T3677=$T3676),$U3676,IF(C3677="x",V3676,"")))</f>
        <v/>
      </c>
      <c r="X3677" cm="1">
        <f t="array" ref="X3677">IF($I3677&lt;&gt;"",$I3677,INDEX($I$1:$I3677,ROW()-COUNTIFS($T$1:$T3677,"="&amp;$T3677,$S$1:$S3677,"&lt;"&amp;$S3677)))</f>
        <v>0</v>
      </c>
      <c r="Z3677" s="6">
        <f t="shared" si="502"/>
        <v>1</v>
      </c>
      <c r="AA3677" t="e">
        <f t="shared" si="503"/>
        <v>#VALUE!</v>
      </c>
      <c r="AB3677" t="str">
        <f t="shared" si="504"/>
        <v/>
      </c>
      <c r="AC3677" t="e">
        <f t="shared" si="505"/>
        <v>#VALUE!</v>
      </c>
    </row>
    <row r="3678" spans="1:29" x14ac:dyDescent="0.2">
      <c r="A3678" t="str">
        <f t="shared" si="506"/>
        <v/>
      </c>
      <c r="E3678" s="4"/>
      <c r="F3678" s="46"/>
      <c r="G3678" s="4"/>
      <c r="H3678" s="48"/>
      <c r="J3678" s="26" t="str">
        <f t="shared" si="507"/>
        <v/>
      </c>
      <c r="N3678" t="str">
        <f t="shared" si="508"/>
        <v/>
      </c>
      <c r="Q3678" t="str">
        <f t="shared" si="509"/>
        <v/>
      </c>
      <c r="S3678" t="str">
        <f>IF(A3678=1,MAX($S$2:$S3677)+1,IF(OR($I3678&lt;&gt;"",A3678="x"),$S3677,""))</f>
        <v/>
      </c>
      <c r="T3678" t="str">
        <f>IF(D3678=1,MAX($T$2:$T3677)+1,IF(S3678=S3677,$T3677,IF(D3678="x",T3677,IF(D3677="x","",""))))</f>
        <v/>
      </c>
      <c r="U3678" t="str">
        <f>IF(B3678=1,MAX($U$2:$U3677)+1,IF(AND($T3678&lt;&gt;"",$T3678=$T3677),$U3677,IF(B3678="x",U3677,"")))</f>
        <v/>
      </c>
      <c r="V3678" t="str">
        <f>IF(C3678=1,MAX($V$2:$V3677)+1,IF(AND($T3678&lt;&gt;"",$T3678=$T3677),$U3677,IF(C3678="x",V3677,"")))</f>
        <v/>
      </c>
      <c r="X3678" cm="1">
        <f t="array" ref="X3678">IF($I3678&lt;&gt;"",$I3678,INDEX($I$1:$I3678,ROW()-COUNTIFS($T$1:$T3678,"="&amp;$T3678,$S$1:$S3678,"&lt;"&amp;$S3678)))</f>
        <v>0</v>
      </c>
      <c r="Z3678" s="6">
        <f t="shared" si="502"/>
        <v>1</v>
      </c>
      <c r="AA3678" t="e">
        <f t="shared" si="503"/>
        <v>#VALUE!</v>
      </c>
      <c r="AB3678" t="str">
        <f t="shared" si="504"/>
        <v/>
      </c>
      <c r="AC3678" t="e">
        <f t="shared" si="505"/>
        <v>#VALUE!</v>
      </c>
    </row>
    <row r="3679" spans="1:29" x14ac:dyDescent="0.2">
      <c r="A3679" t="str">
        <f t="shared" si="506"/>
        <v/>
      </c>
      <c r="E3679" s="4"/>
      <c r="F3679" s="46"/>
      <c r="G3679" s="4"/>
      <c r="H3679" s="48"/>
      <c r="J3679" s="26" t="str">
        <f t="shared" si="507"/>
        <v/>
      </c>
      <c r="N3679" t="str">
        <f t="shared" si="508"/>
        <v/>
      </c>
      <c r="Q3679" t="str">
        <f t="shared" si="509"/>
        <v/>
      </c>
      <c r="S3679" t="str">
        <f>IF(A3679=1,MAX($S$2:$S3678)+1,IF(OR($I3679&lt;&gt;"",A3679="x"),$S3678,""))</f>
        <v/>
      </c>
      <c r="T3679" t="str">
        <f>IF(D3679=1,MAX($T$2:$T3678)+1,IF(S3679=S3678,$T3678,IF(D3679="x",T3678,IF(D3678="x","",""))))</f>
        <v/>
      </c>
      <c r="U3679" t="str">
        <f>IF(B3679=1,MAX($U$2:$U3678)+1,IF(AND($T3679&lt;&gt;"",$T3679=$T3678),$U3678,IF(B3679="x",U3678,"")))</f>
        <v/>
      </c>
      <c r="V3679" t="str">
        <f>IF(C3679=1,MAX($V$2:$V3678)+1,IF(AND($T3679&lt;&gt;"",$T3679=$T3678),$U3678,IF(C3679="x",V3678,"")))</f>
        <v/>
      </c>
      <c r="X3679" cm="1">
        <f t="array" ref="X3679">IF($I3679&lt;&gt;"",$I3679,INDEX($I$1:$I3679,ROW()-COUNTIFS($T$1:$T3679,"="&amp;$T3679,$S$1:$S3679,"&lt;"&amp;$S3679)))</f>
        <v>0</v>
      </c>
      <c r="Z3679" s="6">
        <f t="shared" si="502"/>
        <v>1</v>
      </c>
      <c r="AA3679" t="e">
        <f t="shared" si="503"/>
        <v>#VALUE!</v>
      </c>
      <c r="AB3679" t="str">
        <f t="shared" si="504"/>
        <v/>
      </c>
      <c r="AC3679" t="e">
        <f t="shared" si="505"/>
        <v>#VALUE!</v>
      </c>
    </row>
    <row r="3680" spans="1:29" x14ac:dyDescent="0.2">
      <c r="A3680" t="str">
        <f t="shared" si="506"/>
        <v/>
      </c>
      <c r="E3680" s="4"/>
      <c r="F3680" s="46"/>
      <c r="G3680" s="4"/>
      <c r="H3680" s="48"/>
      <c r="J3680" s="26" t="str">
        <f t="shared" si="507"/>
        <v/>
      </c>
      <c r="N3680" t="str">
        <f t="shared" si="508"/>
        <v/>
      </c>
      <c r="Q3680" t="str">
        <f t="shared" si="509"/>
        <v/>
      </c>
      <c r="S3680" t="str">
        <f>IF(A3680=1,MAX($S$2:$S3679)+1,IF(OR($I3680&lt;&gt;"",A3680="x"),$S3679,""))</f>
        <v/>
      </c>
      <c r="T3680" t="str">
        <f>IF(D3680=1,MAX($T$2:$T3679)+1,IF(S3680=S3679,$T3679,IF(D3680="x",T3679,IF(D3679="x","",""))))</f>
        <v/>
      </c>
      <c r="U3680" t="str">
        <f>IF(B3680=1,MAX($U$2:$U3679)+1,IF(AND($T3680&lt;&gt;"",$T3680=$T3679),$U3679,IF(B3680="x",U3679,"")))</f>
        <v/>
      </c>
      <c r="V3680" t="str">
        <f>IF(C3680=1,MAX($V$2:$V3679)+1,IF(AND($T3680&lt;&gt;"",$T3680=$T3679),$U3679,IF(C3680="x",V3679,"")))</f>
        <v/>
      </c>
      <c r="X3680" cm="1">
        <f t="array" ref="X3680">IF($I3680&lt;&gt;"",$I3680,INDEX($I$1:$I3680,ROW()-COUNTIFS($T$1:$T3680,"="&amp;$T3680,$S$1:$S3680,"&lt;"&amp;$S3680)))</f>
        <v>0</v>
      </c>
      <c r="Z3680" s="6">
        <f t="shared" si="502"/>
        <v>1</v>
      </c>
      <c r="AA3680" t="e">
        <f t="shared" si="503"/>
        <v>#VALUE!</v>
      </c>
      <c r="AB3680" t="str">
        <f t="shared" si="504"/>
        <v/>
      </c>
      <c r="AC3680" t="e">
        <f t="shared" si="505"/>
        <v>#VALUE!</v>
      </c>
    </row>
    <row r="3681" spans="1:29" x14ac:dyDescent="0.2">
      <c r="A3681" t="str">
        <f t="shared" si="506"/>
        <v/>
      </c>
      <c r="E3681" s="4"/>
      <c r="F3681" s="46"/>
      <c r="G3681" s="4"/>
      <c r="H3681" s="48"/>
      <c r="J3681" s="26" t="str">
        <f t="shared" si="507"/>
        <v/>
      </c>
      <c r="N3681" t="str">
        <f t="shared" si="508"/>
        <v/>
      </c>
      <c r="Q3681" t="str">
        <f t="shared" si="509"/>
        <v/>
      </c>
      <c r="S3681" t="str">
        <f>IF(A3681=1,MAX($S$2:$S3680)+1,IF(OR($I3681&lt;&gt;"",A3681="x"),$S3680,""))</f>
        <v/>
      </c>
      <c r="T3681" t="str">
        <f>IF(D3681=1,MAX($T$2:$T3680)+1,IF(S3681=S3680,$T3680,IF(D3681="x",T3680,IF(D3680="x","",""))))</f>
        <v/>
      </c>
      <c r="U3681" t="str">
        <f>IF(B3681=1,MAX($U$2:$U3680)+1,IF(AND($T3681&lt;&gt;"",$T3681=$T3680),$U3680,IF(B3681="x",U3680,"")))</f>
        <v/>
      </c>
      <c r="V3681" t="str">
        <f>IF(C3681=1,MAX($V$2:$V3680)+1,IF(AND($T3681&lt;&gt;"",$T3681=$T3680),$U3680,IF(C3681="x",V3680,"")))</f>
        <v/>
      </c>
      <c r="X3681" cm="1">
        <f t="array" ref="X3681">IF($I3681&lt;&gt;"",$I3681,INDEX($I$1:$I3681,ROW()-COUNTIFS($T$1:$T3681,"="&amp;$T3681,$S$1:$S3681,"&lt;"&amp;$S3681)))</f>
        <v>0</v>
      </c>
      <c r="Z3681" s="6">
        <f t="shared" si="502"/>
        <v>1</v>
      </c>
      <c r="AA3681" t="e">
        <f t="shared" si="503"/>
        <v>#VALUE!</v>
      </c>
      <c r="AB3681" t="str">
        <f t="shared" si="504"/>
        <v/>
      </c>
      <c r="AC3681" t="e">
        <f t="shared" si="505"/>
        <v>#VALUE!</v>
      </c>
    </row>
    <row r="3682" spans="1:29" x14ac:dyDescent="0.2">
      <c r="A3682" t="str">
        <f t="shared" si="506"/>
        <v/>
      </c>
      <c r="E3682" s="4"/>
      <c r="F3682" s="46"/>
      <c r="G3682" s="4"/>
      <c r="H3682" s="48"/>
      <c r="J3682" s="26" t="str">
        <f t="shared" si="507"/>
        <v/>
      </c>
      <c r="N3682" t="str">
        <f t="shared" si="508"/>
        <v/>
      </c>
      <c r="Q3682" t="str">
        <f t="shared" si="509"/>
        <v/>
      </c>
      <c r="S3682" t="str">
        <f>IF(A3682=1,MAX($S$2:$S3681)+1,IF(OR($I3682&lt;&gt;"",A3682="x"),$S3681,""))</f>
        <v/>
      </c>
      <c r="T3682" t="str">
        <f>IF(D3682=1,MAX($T$2:$T3681)+1,IF(S3682=S3681,$T3681,IF(D3682="x",T3681,IF(D3681="x","",""))))</f>
        <v/>
      </c>
      <c r="U3682" t="str">
        <f>IF(B3682=1,MAX($U$2:$U3681)+1,IF(AND($T3682&lt;&gt;"",$T3682=$T3681),$U3681,IF(B3682="x",U3681,"")))</f>
        <v/>
      </c>
      <c r="V3682" t="str">
        <f>IF(C3682=1,MAX($V$2:$V3681)+1,IF(AND($T3682&lt;&gt;"",$T3682=$T3681),$U3681,IF(C3682="x",V3681,"")))</f>
        <v/>
      </c>
      <c r="X3682" cm="1">
        <f t="array" ref="X3682">IF($I3682&lt;&gt;"",$I3682,INDEX($I$1:$I3682,ROW()-COUNTIFS($T$1:$T3682,"="&amp;$T3682,$S$1:$S3682,"&lt;"&amp;$S3682)))</f>
        <v>0</v>
      </c>
      <c r="Z3682" s="6">
        <f t="shared" si="502"/>
        <v>1</v>
      </c>
      <c r="AA3682" t="e">
        <f t="shared" si="503"/>
        <v>#VALUE!</v>
      </c>
      <c r="AB3682" t="str">
        <f t="shared" si="504"/>
        <v/>
      </c>
      <c r="AC3682" t="e">
        <f t="shared" si="505"/>
        <v>#VALUE!</v>
      </c>
    </row>
    <row r="3683" spans="1:29" x14ac:dyDescent="0.2">
      <c r="A3683" t="str">
        <f t="shared" si="506"/>
        <v/>
      </c>
      <c r="E3683" s="4"/>
      <c r="F3683" s="46"/>
      <c r="G3683" s="4"/>
      <c r="H3683" s="48"/>
      <c r="J3683" s="26" t="str">
        <f t="shared" si="507"/>
        <v/>
      </c>
      <c r="N3683" t="str">
        <f t="shared" si="508"/>
        <v/>
      </c>
      <c r="Q3683" t="str">
        <f t="shared" si="509"/>
        <v/>
      </c>
      <c r="S3683" t="str">
        <f>IF(A3683=1,MAX($S$2:$S3682)+1,IF(OR($I3683&lt;&gt;"",A3683="x"),$S3682,""))</f>
        <v/>
      </c>
      <c r="T3683" t="str">
        <f>IF(D3683=1,MAX($T$2:$T3682)+1,IF(S3683=S3682,$T3682,IF(D3683="x",T3682,IF(D3682="x","",""))))</f>
        <v/>
      </c>
      <c r="U3683" t="str">
        <f>IF(B3683=1,MAX($U$2:$U3682)+1,IF(AND($T3683&lt;&gt;"",$T3683=$T3682),$U3682,IF(B3683="x",U3682,"")))</f>
        <v/>
      </c>
      <c r="V3683" t="str">
        <f>IF(C3683=1,MAX($V$2:$V3682)+1,IF(AND($T3683&lt;&gt;"",$T3683=$T3682),$U3682,IF(C3683="x",V3682,"")))</f>
        <v/>
      </c>
      <c r="X3683" cm="1">
        <f t="array" ref="X3683">IF($I3683&lt;&gt;"",$I3683,INDEX($I$1:$I3683,ROW()-COUNTIFS($T$1:$T3683,"="&amp;$T3683,$S$1:$S3683,"&lt;"&amp;$S3683)))</f>
        <v>0</v>
      </c>
      <c r="Z3683" s="6">
        <f t="shared" si="502"/>
        <v>1</v>
      </c>
      <c r="AA3683" t="e">
        <f t="shared" si="503"/>
        <v>#VALUE!</v>
      </c>
      <c r="AB3683" t="str">
        <f t="shared" si="504"/>
        <v/>
      </c>
      <c r="AC3683" t="e">
        <f t="shared" si="505"/>
        <v>#VALUE!</v>
      </c>
    </row>
    <row r="3684" spans="1:29" x14ac:dyDescent="0.2">
      <c r="A3684" t="str">
        <f t="shared" si="506"/>
        <v/>
      </c>
      <c r="E3684" s="4"/>
      <c r="F3684" s="46"/>
      <c r="G3684" s="4"/>
      <c r="H3684" s="48"/>
      <c r="J3684" s="26" t="str">
        <f t="shared" si="507"/>
        <v/>
      </c>
      <c r="N3684" t="str">
        <f t="shared" si="508"/>
        <v/>
      </c>
      <c r="Q3684" t="str">
        <f t="shared" si="509"/>
        <v/>
      </c>
      <c r="S3684" t="str">
        <f>IF(A3684=1,MAX($S$2:$S3683)+1,IF(OR($I3684&lt;&gt;"",A3684="x"),$S3683,""))</f>
        <v/>
      </c>
      <c r="T3684" t="str">
        <f>IF(D3684=1,MAX($T$2:$T3683)+1,IF(S3684=S3683,$T3683,IF(D3684="x",T3683,IF(D3683="x","",""))))</f>
        <v/>
      </c>
      <c r="U3684" t="str">
        <f>IF(B3684=1,MAX($U$2:$U3683)+1,IF(AND($T3684&lt;&gt;"",$T3684=$T3683),$U3683,IF(B3684="x",U3683,"")))</f>
        <v/>
      </c>
      <c r="V3684" t="str">
        <f>IF(C3684=1,MAX($V$2:$V3683)+1,IF(AND($T3684&lt;&gt;"",$T3684=$T3683),$U3683,IF(C3684="x",V3683,"")))</f>
        <v/>
      </c>
      <c r="X3684" cm="1">
        <f t="array" ref="X3684">IF($I3684&lt;&gt;"",$I3684,INDEX($I$1:$I3684,ROW()-COUNTIFS($T$1:$T3684,"="&amp;$T3684,$S$1:$S3684,"&lt;"&amp;$S3684)))</f>
        <v>0</v>
      </c>
      <c r="Z3684" s="6">
        <f t="shared" si="502"/>
        <v>1</v>
      </c>
      <c r="AA3684" t="e">
        <f t="shared" si="503"/>
        <v>#VALUE!</v>
      </c>
      <c r="AB3684" t="str">
        <f t="shared" si="504"/>
        <v/>
      </c>
      <c r="AC3684" t="e">
        <f t="shared" si="505"/>
        <v>#VALUE!</v>
      </c>
    </row>
    <row r="3685" spans="1:29" x14ac:dyDescent="0.2">
      <c r="A3685" t="str">
        <f t="shared" si="506"/>
        <v/>
      </c>
      <c r="E3685" s="4"/>
      <c r="F3685" s="46"/>
      <c r="G3685" s="4"/>
      <c r="H3685" s="48"/>
      <c r="J3685" s="26" t="str">
        <f t="shared" si="507"/>
        <v/>
      </c>
      <c r="N3685" t="str">
        <f t="shared" si="508"/>
        <v/>
      </c>
      <c r="Q3685" t="str">
        <f t="shared" si="509"/>
        <v/>
      </c>
      <c r="S3685" t="str">
        <f>IF(A3685=1,MAX($S$2:$S3684)+1,IF(OR($I3685&lt;&gt;"",A3685="x"),$S3684,""))</f>
        <v/>
      </c>
      <c r="T3685" t="str">
        <f>IF(D3685=1,MAX($T$2:$T3684)+1,IF(S3685=S3684,$T3684,IF(D3685="x",T3684,IF(D3684="x","",""))))</f>
        <v/>
      </c>
      <c r="U3685" t="str">
        <f>IF(B3685=1,MAX($U$2:$U3684)+1,IF(AND($T3685&lt;&gt;"",$T3685=$T3684),$U3684,IF(B3685="x",U3684,"")))</f>
        <v/>
      </c>
      <c r="V3685" t="str">
        <f>IF(C3685=1,MAX($V$2:$V3684)+1,IF(AND($T3685&lt;&gt;"",$T3685=$T3684),$U3684,IF(C3685="x",V3684,"")))</f>
        <v/>
      </c>
      <c r="X3685" cm="1">
        <f t="array" ref="X3685">IF($I3685&lt;&gt;"",$I3685,INDEX($I$1:$I3685,ROW()-COUNTIFS($T$1:$T3685,"="&amp;$T3685,$S$1:$S3685,"&lt;"&amp;$S3685)))</f>
        <v>0</v>
      </c>
      <c r="Z3685" s="6">
        <f t="shared" si="502"/>
        <v>1</v>
      </c>
      <c r="AA3685" t="e">
        <f t="shared" si="503"/>
        <v>#VALUE!</v>
      </c>
      <c r="AB3685" t="str">
        <f t="shared" si="504"/>
        <v/>
      </c>
      <c r="AC3685" t="e">
        <f t="shared" si="505"/>
        <v>#VALUE!</v>
      </c>
    </row>
    <row r="3686" spans="1:29" x14ac:dyDescent="0.2">
      <c r="A3686" t="str">
        <f t="shared" si="506"/>
        <v/>
      </c>
      <c r="E3686" s="4"/>
      <c r="F3686" s="46"/>
      <c r="G3686" s="4"/>
      <c r="H3686" s="48"/>
      <c r="J3686" s="26" t="str">
        <f t="shared" si="507"/>
        <v/>
      </c>
      <c r="N3686" t="str">
        <f t="shared" si="508"/>
        <v/>
      </c>
      <c r="Q3686" t="str">
        <f t="shared" si="509"/>
        <v/>
      </c>
      <c r="S3686" t="str">
        <f>IF(A3686=1,MAX($S$2:$S3685)+1,IF(OR($I3686&lt;&gt;"",A3686="x"),$S3685,""))</f>
        <v/>
      </c>
      <c r="T3686" t="str">
        <f>IF(D3686=1,MAX($T$2:$T3685)+1,IF(S3686=S3685,$T3685,IF(D3686="x",T3685,IF(D3685="x","",""))))</f>
        <v/>
      </c>
      <c r="U3686" t="str">
        <f>IF(B3686=1,MAX($U$2:$U3685)+1,IF(AND($T3686&lt;&gt;"",$T3686=$T3685),$U3685,IF(B3686="x",U3685,"")))</f>
        <v/>
      </c>
      <c r="V3686" t="str">
        <f>IF(C3686=1,MAX($V$2:$V3685)+1,IF(AND($T3686&lt;&gt;"",$T3686=$T3685),$U3685,IF(C3686="x",V3685,"")))</f>
        <v/>
      </c>
      <c r="X3686" cm="1">
        <f t="array" ref="X3686">IF($I3686&lt;&gt;"",$I3686,INDEX($I$1:$I3686,ROW()-COUNTIFS($T$1:$T3686,"="&amp;$T3686,$S$1:$S3686,"&lt;"&amp;$S3686)))</f>
        <v>0</v>
      </c>
      <c r="Z3686" s="6">
        <f t="shared" si="502"/>
        <v>1</v>
      </c>
      <c r="AA3686" t="e">
        <f t="shared" si="503"/>
        <v>#VALUE!</v>
      </c>
      <c r="AB3686" t="str">
        <f t="shared" si="504"/>
        <v/>
      </c>
      <c r="AC3686" t="e">
        <f t="shared" si="505"/>
        <v>#VALUE!</v>
      </c>
    </row>
    <row r="3687" spans="1:29" x14ac:dyDescent="0.2">
      <c r="A3687" t="str">
        <f t="shared" si="506"/>
        <v/>
      </c>
      <c r="E3687" s="4"/>
      <c r="F3687" s="46"/>
      <c r="G3687" s="4"/>
      <c r="H3687" s="48"/>
      <c r="J3687" s="26" t="str">
        <f t="shared" si="507"/>
        <v/>
      </c>
      <c r="N3687" t="str">
        <f t="shared" si="508"/>
        <v/>
      </c>
      <c r="Q3687" t="str">
        <f t="shared" si="509"/>
        <v/>
      </c>
      <c r="S3687" t="str">
        <f>IF(A3687=1,MAX($S$2:$S3686)+1,IF(OR($I3687&lt;&gt;"",A3687="x"),$S3686,""))</f>
        <v/>
      </c>
      <c r="T3687" t="str">
        <f>IF(D3687=1,MAX($T$2:$T3686)+1,IF(S3687=S3686,$T3686,IF(D3687="x",T3686,IF(D3686="x","",""))))</f>
        <v/>
      </c>
      <c r="U3687" t="str">
        <f>IF(B3687=1,MAX($U$2:$U3686)+1,IF(AND($T3687&lt;&gt;"",$T3687=$T3686),$U3686,IF(B3687="x",U3686,"")))</f>
        <v/>
      </c>
      <c r="V3687" t="str">
        <f>IF(C3687=1,MAX($V$2:$V3686)+1,IF(AND($T3687&lt;&gt;"",$T3687=$T3686),$U3686,IF(C3687="x",V3686,"")))</f>
        <v/>
      </c>
      <c r="X3687" cm="1">
        <f t="array" ref="X3687">IF($I3687&lt;&gt;"",$I3687,INDEX($I$1:$I3687,ROW()-COUNTIFS($T$1:$T3687,"="&amp;$T3687,$S$1:$S3687,"&lt;"&amp;$S3687)))</f>
        <v>0</v>
      </c>
      <c r="Z3687" s="6">
        <f t="shared" si="502"/>
        <v>1</v>
      </c>
      <c r="AA3687" t="e">
        <f t="shared" si="503"/>
        <v>#VALUE!</v>
      </c>
      <c r="AB3687" t="str">
        <f t="shared" si="504"/>
        <v/>
      </c>
      <c r="AC3687" t="e">
        <f t="shared" si="505"/>
        <v>#VALUE!</v>
      </c>
    </row>
    <row r="3688" spans="1:29" x14ac:dyDescent="0.2">
      <c r="A3688" t="str">
        <f t="shared" si="506"/>
        <v/>
      </c>
      <c r="E3688" s="4"/>
      <c r="F3688" s="46"/>
      <c r="G3688" s="4"/>
      <c r="H3688" s="48"/>
      <c r="J3688" s="26" t="str">
        <f t="shared" si="507"/>
        <v/>
      </c>
      <c r="N3688" t="str">
        <f t="shared" si="508"/>
        <v/>
      </c>
      <c r="Q3688" t="str">
        <f t="shared" si="509"/>
        <v/>
      </c>
      <c r="S3688" t="str">
        <f>IF(A3688=1,MAX($S$2:$S3687)+1,IF(OR($I3688&lt;&gt;"",A3688="x"),$S3687,""))</f>
        <v/>
      </c>
      <c r="T3688" t="str">
        <f>IF(D3688=1,MAX($T$2:$T3687)+1,IF(S3688=S3687,$T3687,IF(D3688="x",T3687,IF(D3687="x","",""))))</f>
        <v/>
      </c>
      <c r="U3688" t="str">
        <f>IF(B3688=1,MAX($U$2:$U3687)+1,IF(AND($T3688&lt;&gt;"",$T3688=$T3687),$U3687,IF(B3688="x",U3687,"")))</f>
        <v/>
      </c>
      <c r="V3688" t="str">
        <f>IF(C3688=1,MAX($V$2:$V3687)+1,IF(AND($T3688&lt;&gt;"",$T3688=$T3687),$U3687,IF(C3688="x",V3687,"")))</f>
        <v/>
      </c>
      <c r="X3688" cm="1">
        <f t="array" ref="X3688">IF($I3688&lt;&gt;"",$I3688,INDEX($I$1:$I3688,ROW()-COUNTIFS($T$1:$T3688,"="&amp;$T3688,$S$1:$S3688,"&lt;"&amp;$S3688)))</f>
        <v>0</v>
      </c>
      <c r="Z3688" s="6">
        <f t="shared" si="502"/>
        <v>1</v>
      </c>
      <c r="AA3688" t="e">
        <f t="shared" si="503"/>
        <v>#VALUE!</v>
      </c>
      <c r="AB3688" t="str">
        <f t="shared" si="504"/>
        <v/>
      </c>
      <c r="AC3688" t="e">
        <f t="shared" si="505"/>
        <v>#VALUE!</v>
      </c>
    </row>
    <row r="3689" spans="1:29" x14ac:dyDescent="0.2">
      <c r="A3689" t="str">
        <f t="shared" si="506"/>
        <v/>
      </c>
      <c r="E3689" s="4"/>
      <c r="F3689" s="46"/>
      <c r="G3689" s="4"/>
      <c r="H3689" s="48"/>
      <c r="J3689" s="26" t="str">
        <f t="shared" si="507"/>
        <v/>
      </c>
      <c r="N3689" t="str">
        <f t="shared" si="508"/>
        <v/>
      </c>
      <c r="Q3689" t="str">
        <f t="shared" si="509"/>
        <v/>
      </c>
      <c r="S3689" t="str">
        <f>IF(A3689=1,MAX($S$2:$S3688)+1,IF(OR($I3689&lt;&gt;"",A3689="x"),$S3688,""))</f>
        <v/>
      </c>
      <c r="T3689" t="str">
        <f>IF(D3689=1,MAX($T$2:$T3688)+1,IF(S3689=S3688,$T3688,IF(D3689="x",T3688,IF(D3688="x","",""))))</f>
        <v/>
      </c>
      <c r="U3689" t="str">
        <f>IF(B3689=1,MAX($U$2:$U3688)+1,IF(AND($T3689&lt;&gt;"",$T3689=$T3688),$U3688,IF(B3689="x",U3688,"")))</f>
        <v/>
      </c>
      <c r="V3689" t="str">
        <f>IF(C3689=1,MAX($V$2:$V3688)+1,IF(AND($T3689&lt;&gt;"",$T3689=$T3688),$U3688,IF(C3689="x",V3688,"")))</f>
        <v/>
      </c>
      <c r="X3689" cm="1">
        <f t="array" ref="X3689">IF($I3689&lt;&gt;"",$I3689,INDEX($I$1:$I3689,ROW()-COUNTIFS($T$1:$T3689,"="&amp;$T3689,$S$1:$S3689,"&lt;"&amp;$S3689)))</f>
        <v>0</v>
      </c>
      <c r="Z3689" s="6">
        <f t="shared" si="502"/>
        <v>1</v>
      </c>
      <c r="AA3689" t="e">
        <f t="shared" si="503"/>
        <v>#VALUE!</v>
      </c>
      <c r="AB3689" t="str">
        <f t="shared" si="504"/>
        <v/>
      </c>
      <c r="AC3689" t="e">
        <f t="shared" si="505"/>
        <v>#VALUE!</v>
      </c>
    </row>
    <row r="3690" spans="1:29" x14ac:dyDescent="0.2">
      <c r="A3690" t="str">
        <f t="shared" si="506"/>
        <v/>
      </c>
      <c r="E3690" s="4"/>
      <c r="F3690" s="46"/>
      <c r="G3690" s="4"/>
      <c r="H3690" s="48"/>
      <c r="J3690" s="26" t="str">
        <f t="shared" si="507"/>
        <v/>
      </c>
      <c r="N3690" t="str">
        <f t="shared" si="508"/>
        <v/>
      </c>
      <c r="Q3690" t="str">
        <f t="shared" si="509"/>
        <v/>
      </c>
      <c r="S3690" t="str">
        <f>IF(A3690=1,MAX($S$2:$S3689)+1,IF(OR($I3690&lt;&gt;"",A3690="x"),$S3689,""))</f>
        <v/>
      </c>
      <c r="T3690" t="str">
        <f>IF(D3690=1,MAX($T$2:$T3689)+1,IF(S3690=S3689,$T3689,IF(D3690="x",T3689,IF(D3689="x","",""))))</f>
        <v/>
      </c>
      <c r="U3690" t="str">
        <f>IF(B3690=1,MAX($U$2:$U3689)+1,IF(AND($T3690&lt;&gt;"",$T3690=$T3689),$U3689,IF(B3690="x",U3689,"")))</f>
        <v/>
      </c>
      <c r="V3690" t="str">
        <f>IF(C3690=1,MAX($V$2:$V3689)+1,IF(AND($T3690&lt;&gt;"",$T3690=$T3689),$U3689,IF(C3690="x",V3689,"")))</f>
        <v/>
      </c>
      <c r="X3690" cm="1">
        <f t="array" ref="X3690">IF($I3690&lt;&gt;"",$I3690,INDEX($I$1:$I3690,ROW()-COUNTIFS($T$1:$T3690,"="&amp;$T3690,$S$1:$S3690,"&lt;"&amp;$S3690)))</f>
        <v>0</v>
      </c>
      <c r="Z3690" s="6">
        <f t="shared" si="502"/>
        <v>1</v>
      </c>
      <c r="AA3690" t="e">
        <f t="shared" si="503"/>
        <v>#VALUE!</v>
      </c>
      <c r="AB3690" t="str">
        <f t="shared" si="504"/>
        <v/>
      </c>
      <c r="AC3690" t="e">
        <f t="shared" si="505"/>
        <v>#VALUE!</v>
      </c>
    </row>
    <row r="3691" spans="1:29" x14ac:dyDescent="0.2">
      <c r="A3691" t="str">
        <f t="shared" si="506"/>
        <v/>
      </c>
      <c r="E3691" s="4"/>
      <c r="F3691" s="46"/>
      <c r="G3691" s="4"/>
      <c r="H3691" s="48"/>
      <c r="J3691" s="26" t="str">
        <f t="shared" si="507"/>
        <v/>
      </c>
      <c r="N3691" t="str">
        <f t="shared" si="508"/>
        <v/>
      </c>
      <c r="Q3691" t="str">
        <f t="shared" si="509"/>
        <v/>
      </c>
      <c r="S3691" t="str">
        <f>IF(A3691=1,MAX($S$2:$S3690)+1,IF(OR($I3691&lt;&gt;"",A3691="x"),$S3690,""))</f>
        <v/>
      </c>
      <c r="T3691" t="str">
        <f>IF(D3691=1,MAX($T$2:$T3690)+1,IF(S3691=S3690,$T3690,IF(D3691="x",T3690,IF(D3690="x","",""))))</f>
        <v/>
      </c>
      <c r="U3691" t="str">
        <f>IF(B3691=1,MAX($U$2:$U3690)+1,IF(AND($T3691&lt;&gt;"",$T3691=$T3690),$U3690,IF(B3691="x",U3690,"")))</f>
        <v/>
      </c>
      <c r="V3691" t="str">
        <f>IF(C3691=1,MAX($V$2:$V3690)+1,IF(AND($T3691&lt;&gt;"",$T3691=$T3690),$U3690,IF(C3691="x",V3690,"")))</f>
        <v/>
      </c>
      <c r="X3691" cm="1">
        <f t="array" ref="X3691">IF($I3691&lt;&gt;"",$I3691,INDEX($I$1:$I3691,ROW()-COUNTIFS($T$1:$T3691,"="&amp;$T3691,$S$1:$S3691,"&lt;"&amp;$S3691)))</f>
        <v>0</v>
      </c>
      <c r="Z3691" s="6">
        <f t="shared" si="502"/>
        <v>1</v>
      </c>
      <c r="AA3691" t="e">
        <f t="shared" si="503"/>
        <v>#VALUE!</v>
      </c>
      <c r="AB3691" t="str">
        <f t="shared" si="504"/>
        <v/>
      </c>
      <c r="AC3691" t="e">
        <f t="shared" si="505"/>
        <v>#VALUE!</v>
      </c>
    </row>
    <row r="3692" spans="1:29" x14ac:dyDescent="0.2">
      <c r="A3692" t="str">
        <f t="shared" si="506"/>
        <v/>
      </c>
      <c r="E3692" s="4"/>
      <c r="F3692" s="46"/>
      <c r="G3692" s="4"/>
      <c r="H3692" s="48"/>
      <c r="J3692" s="26" t="str">
        <f t="shared" si="507"/>
        <v/>
      </c>
      <c r="N3692" t="str">
        <f t="shared" si="508"/>
        <v/>
      </c>
      <c r="Q3692" t="str">
        <f t="shared" si="509"/>
        <v/>
      </c>
      <c r="S3692" t="str">
        <f>IF(A3692=1,MAX($S$2:$S3691)+1,IF(OR($I3692&lt;&gt;"",A3692="x"),$S3691,""))</f>
        <v/>
      </c>
      <c r="T3692" t="str">
        <f>IF(D3692=1,MAX($T$2:$T3691)+1,IF(S3692=S3691,$T3691,IF(D3692="x",T3691,IF(D3691="x","",""))))</f>
        <v/>
      </c>
      <c r="U3692" t="str">
        <f>IF(B3692=1,MAX($U$2:$U3691)+1,IF(AND($T3692&lt;&gt;"",$T3692=$T3691),$U3691,IF(B3692="x",U3691,"")))</f>
        <v/>
      </c>
      <c r="V3692" t="str">
        <f>IF(C3692=1,MAX($V$2:$V3691)+1,IF(AND($T3692&lt;&gt;"",$T3692=$T3691),$U3691,IF(C3692="x",V3691,"")))</f>
        <v/>
      </c>
      <c r="X3692" cm="1">
        <f t="array" ref="X3692">IF($I3692&lt;&gt;"",$I3692,INDEX($I$1:$I3692,ROW()-COUNTIFS($T$1:$T3692,"="&amp;$T3692,$S$1:$S3692,"&lt;"&amp;$S3692)))</f>
        <v>0</v>
      </c>
      <c r="Z3692" s="6">
        <f t="shared" si="502"/>
        <v>1</v>
      </c>
      <c r="AA3692" t="e">
        <f t="shared" si="503"/>
        <v>#VALUE!</v>
      </c>
      <c r="AB3692" t="str">
        <f t="shared" si="504"/>
        <v/>
      </c>
      <c r="AC3692" t="e">
        <f t="shared" si="505"/>
        <v>#VALUE!</v>
      </c>
    </row>
    <row r="3693" spans="1:29" x14ac:dyDescent="0.2">
      <c r="A3693" t="str">
        <f t="shared" si="506"/>
        <v/>
      </c>
      <c r="E3693" s="4"/>
      <c r="F3693" s="46"/>
      <c r="G3693" s="4"/>
      <c r="H3693" s="48"/>
      <c r="J3693" s="26" t="str">
        <f t="shared" si="507"/>
        <v/>
      </c>
      <c r="N3693" t="str">
        <f t="shared" si="508"/>
        <v/>
      </c>
      <c r="Q3693" t="str">
        <f t="shared" si="509"/>
        <v/>
      </c>
      <c r="S3693" t="str">
        <f>IF(A3693=1,MAX($S$2:$S3692)+1,IF(OR($I3693&lt;&gt;"",A3693="x"),$S3692,""))</f>
        <v/>
      </c>
      <c r="T3693" t="str">
        <f>IF(D3693=1,MAX($T$2:$T3692)+1,IF(S3693=S3692,$T3692,IF(D3693="x",T3692,IF(D3692="x","",""))))</f>
        <v/>
      </c>
      <c r="U3693" t="str">
        <f>IF(B3693=1,MAX($U$2:$U3692)+1,IF(AND($T3693&lt;&gt;"",$T3693=$T3692),$U3692,IF(B3693="x",U3692,"")))</f>
        <v/>
      </c>
      <c r="V3693" t="str">
        <f>IF(C3693=1,MAX($V$2:$V3692)+1,IF(AND($T3693&lt;&gt;"",$T3693=$T3692),$U3692,IF(C3693="x",V3692,"")))</f>
        <v/>
      </c>
      <c r="X3693" cm="1">
        <f t="array" ref="X3693">IF($I3693&lt;&gt;"",$I3693,INDEX($I$1:$I3693,ROW()-COUNTIFS($T$1:$T3693,"="&amp;$T3693,$S$1:$S3693,"&lt;"&amp;$S3693)))</f>
        <v>0</v>
      </c>
      <c r="Z3693" s="6">
        <f t="shared" si="502"/>
        <v>1</v>
      </c>
      <c r="AA3693" t="e">
        <f t="shared" si="503"/>
        <v>#VALUE!</v>
      </c>
      <c r="AB3693" t="str">
        <f t="shared" si="504"/>
        <v/>
      </c>
      <c r="AC3693" t="e">
        <f t="shared" si="505"/>
        <v>#VALUE!</v>
      </c>
    </row>
    <row r="3694" spans="1:29" x14ac:dyDescent="0.2">
      <c r="A3694" t="str">
        <f t="shared" si="506"/>
        <v/>
      </c>
      <c r="E3694" s="4"/>
      <c r="F3694" s="46"/>
      <c r="G3694" s="4"/>
      <c r="H3694" s="48"/>
      <c r="J3694" s="26" t="str">
        <f t="shared" si="507"/>
        <v/>
      </c>
      <c r="N3694" t="str">
        <f t="shared" si="508"/>
        <v/>
      </c>
      <c r="Q3694" t="str">
        <f t="shared" si="509"/>
        <v/>
      </c>
      <c r="S3694" t="str">
        <f>IF(A3694=1,MAX($S$2:$S3693)+1,IF(OR($I3694&lt;&gt;"",A3694="x"),$S3693,""))</f>
        <v/>
      </c>
      <c r="T3694" t="str">
        <f>IF(D3694=1,MAX($T$2:$T3693)+1,IF(S3694=S3693,$T3693,IF(D3694="x",T3693,IF(D3693="x","",""))))</f>
        <v/>
      </c>
      <c r="U3694" t="str">
        <f>IF(B3694=1,MAX($U$2:$U3693)+1,IF(AND($T3694&lt;&gt;"",$T3694=$T3693),$U3693,IF(B3694="x",U3693,"")))</f>
        <v/>
      </c>
      <c r="V3694" t="str">
        <f>IF(C3694=1,MAX($V$2:$V3693)+1,IF(AND($T3694&lt;&gt;"",$T3694=$T3693),$U3693,IF(C3694="x",V3693,"")))</f>
        <v/>
      </c>
      <c r="X3694" cm="1">
        <f t="array" ref="X3694">IF($I3694&lt;&gt;"",$I3694,INDEX($I$1:$I3694,ROW()-COUNTIFS($T$1:$T3694,"="&amp;$T3694,$S$1:$S3694,"&lt;"&amp;$S3694)))</f>
        <v>0</v>
      </c>
      <c r="Z3694" s="6">
        <f t="shared" si="502"/>
        <v>1</v>
      </c>
      <c r="AA3694" t="e">
        <f t="shared" si="503"/>
        <v>#VALUE!</v>
      </c>
      <c r="AB3694" t="str">
        <f t="shared" si="504"/>
        <v/>
      </c>
      <c r="AC3694" t="e">
        <f t="shared" si="505"/>
        <v>#VALUE!</v>
      </c>
    </row>
    <row r="3695" spans="1:29" x14ac:dyDescent="0.2">
      <c r="A3695" t="str">
        <f t="shared" si="506"/>
        <v/>
      </c>
      <c r="E3695" s="4"/>
      <c r="F3695" s="46"/>
      <c r="G3695" s="4"/>
      <c r="H3695" s="48"/>
      <c r="J3695" s="26" t="str">
        <f t="shared" si="507"/>
        <v/>
      </c>
      <c r="N3695" t="str">
        <f t="shared" si="508"/>
        <v/>
      </c>
      <c r="Q3695" t="str">
        <f t="shared" si="509"/>
        <v/>
      </c>
      <c r="S3695" t="str">
        <f>IF(A3695=1,MAX($S$2:$S3694)+1,IF(OR($I3695&lt;&gt;"",A3695="x"),$S3694,""))</f>
        <v/>
      </c>
      <c r="T3695" t="str">
        <f>IF(D3695=1,MAX($T$2:$T3694)+1,IF(S3695=S3694,$T3694,IF(D3695="x",T3694,IF(D3694="x","",""))))</f>
        <v/>
      </c>
      <c r="U3695" t="str">
        <f>IF(B3695=1,MAX($U$2:$U3694)+1,IF(AND($T3695&lt;&gt;"",$T3695=$T3694),$U3694,IF(B3695="x",U3694,"")))</f>
        <v/>
      </c>
      <c r="V3695" t="str">
        <f>IF(C3695=1,MAX($V$2:$V3694)+1,IF(AND($T3695&lt;&gt;"",$T3695=$T3694),$U3694,IF(C3695="x",V3694,"")))</f>
        <v/>
      </c>
      <c r="X3695" cm="1">
        <f t="array" ref="X3695">IF($I3695&lt;&gt;"",$I3695,INDEX($I$1:$I3695,ROW()-COUNTIFS($T$1:$T3695,"="&amp;$T3695,$S$1:$S3695,"&lt;"&amp;$S3695)))</f>
        <v>0</v>
      </c>
      <c r="Z3695" s="6">
        <f t="shared" si="502"/>
        <v>1</v>
      </c>
      <c r="AA3695" t="e">
        <f t="shared" si="503"/>
        <v>#VALUE!</v>
      </c>
      <c r="AB3695" t="str">
        <f t="shared" si="504"/>
        <v/>
      </c>
      <c r="AC3695" t="e">
        <f t="shared" si="505"/>
        <v>#VALUE!</v>
      </c>
    </row>
    <row r="3696" spans="1:29" x14ac:dyDescent="0.2">
      <c r="A3696" t="str">
        <f t="shared" si="506"/>
        <v/>
      </c>
      <c r="E3696" s="4"/>
      <c r="F3696" s="46"/>
      <c r="G3696" s="4"/>
      <c r="H3696" s="48"/>
      <c r="J3696" s="26" t="str">
        <f t="shared" si="507"/>
        <v/>
      </c>
      <c r="N3696" t="str">
        <f t="shared" si="508"/>
        <v/>
      </c>
      <c r="Q3696" t="str">
        <f t="shared" si="509"/>
        <v/>
      </c>
      <c r="S3696" t="str">
        <f>IF(A3696=1,MAX($S$2:$S3695)+1,IF(OR($I3696&lt;&gt;"",A3696="x"),$S3695,""))</f>
        <v/>
      </c>
      <c r="T3696" t="str">
        <f>IF(D3696=1,MAX($T$2:$T3695)+1,IF(S3696=S3695,$T3695,IF(D3696="x",T3695,IF(D3695="x","",""))))</f>
        <v/>
      </c>
      <c r="U3696" t="str">
        <f>IF(B3696=1,MAX($U$2:$U3695)+1,IF(AND($T3696&lt;&gt;"",$T3696=$T3695),$U3695,IF(B3696="x",U3695,"")))</f>
        <v/>
      </c>
      <c r="V3696" t="str">
        <f>IF(C3696=1,MAX($V$2:$V3695)+1,IF(AND($T3696&lt;&gt;"",$T3696=$T3695),$U3695,IF(C3696="x",V3695,"")))</f>
        <v/>
      </c>
      <c r="X3696" cm="1">
        <f t="array" ref="X3696">IF($I3696&lt;&gt;"",$I3696,INDEX($I$1:$I3696,ROW()-COUNTIFS($T$1:$T3696,"="&amp;$T3696,$S$1:$S3696,"&lt;"&amp;$S3696)))</f>
        <v>0</v>
      </c>
      <c r="Z3696" s="6">
        <f t="shared" si="502"/>
        <v>1</v>
      </c>
      <c r="AA3696" t="e">
        <f t="shared" si="503"/>
        <v>#VALUE!</v>
      </c>
      <c r="AB3696" t="str">
        <f t="shared" si="504"/>
        <v/>
      </c>
      <c r="AC3696" t="e">
        <f t="shared" si="505"/>
        <v>#VALUE!</v>
      </c>
    </row>
    <row r="3697" spans="1:29" x14ac:dyDescent="0.2">
      <c r="A3697" t="str">
        <f t="shared" si="506"/>
        <v/>
      </c>
      <c r="E3697" s="4"/>
      <c r="F3697" s="46"/>
      <c r="G3697" s="4"/>
      <c r="H3697" s="48"/>
      <c r="J3697" s="26" t="str">
        <f t="shared" si="507"/>
        <v/>
      </c>
      <c r="N3697" t="str">
        <f t="shared" si="508"/>
        <v/>
      </c>
      <c r="Q3697" t="str">
        <f t="shared" si="509"/>
        <v/>
      </c>
      <c r="S3697" t="str">
        <f>IF(A3697=1,MAX($S$2:$S3696)+1,IF(OR($I3697&lt;&gt;"",A3697="x"),$S3696,""))</f>
        <v/>
      </c>
      <c r="T3697" t="str">
        <f>IF(D3697=1,MAX($T$2:$T3696)+1,IF(S3697=S3696,$T3696,IF(D3697="x",T3696,IF(D3696="x","",""))))</f>
        <v/>
      </c>
      <c r="U3697" t="str">
        <f>IF(B3697=1,MAX($U$2:$U3696)+1,IF(AND($T3697&lt;&gt;"",$T3697=$T3696),$U3696,IF(B3697="x",U3696,"")))</f>
        <v/>
      </c>
      <c r="V3697" t="str">
        <f>IF(C3697=1,MAX($V$2:$V3696)+1,IF(AND($T3697&lt;&gt;"",$T3697=$T3696),$U3696,IF(C3697="x",V3696,"")))</f>
        <v/>
      </c>
      <c r="X3697" cm="1">
        <f t="array" ref="X3697">IF($I3697&lt;&gt;"",$I3697,INDEX($I$1:$I3697,ROW()-COUNTIFS($T$1:$T3697,"="&amp;$T3697,$S$1:$S3697,"&lt;"&amp;$S3697)))</f>
        <v>0</v>
      </c>
      <c r="Z3697" s="6">
        <f t="shared" si="502"/>
        <v>1</v>
      </c>
      <c r="AA3697" t="e">
        <f t="shared" si="503"/>
        <v>#VALUE!</v>
      </c>
      <c r="AB3697" t="str">
        <f t="shared" si="504"/>
        <v/>
      </c>
      <c r="AC3697" t="e">
        <f t="shared" si="505"/>
        <v>#VALUE!</v>
      </c>
    </row>
    <row r="3698" spans="1:29" x14ac:dyDescent="0.2">
      <c r="A3698" t="str">
        <f t="shared" si="506"/>
        <v/>
      </c>
      <c r="E3698" s="4"/>
      <c r="F3698" s="46"/>
      <c r="G3698" s="4"/>
      <c r="H3698" s="48"/>
      <c r="J3698" s="26" t="str">
        <f t="shared" si="507"/>
        <v/>
      </c>
      <c r="N3698" t="str">
        <f t="shared" si="508"/>
        <v/>
      </c>
      <c r="Q3698" t="str">
        <f t="shared" si="509"/>
        <v/>
      </c>
      <c r="S3698" t="str">
        <f>IF(A3698=1,MAX($S$2:$S3697)+1,IF(OR($I3698&lt;&gt;"",A3698="x"),$S3697,""))</f>
        <v/>
      </c>
      <c r="T3698" t="str">
        <f>IF(D3698=1,MAX($T$2:$T3697)+1,IF(S3698=S3697,$T3697,IF(D3698="x",T3697,IF(D3697="x","",""))))</f>
        <v/>
      </c>
      <c r="U3698" t="str">
        <f>IF(B3698=1,MAX($U$2:$U3697)+1,IF(AND($T3698&lt;&gt;"",$T3698=$T3697),$U3697,IF(B3698="x",U3697,"")))</f>
        <v/>
      </c>
      <c r="V3698" t="str">
        <f>IF(C3698=1,MAX($V$2:$V3697)+1,IF(AND($T3698&lt;&gt;"",$T3698=$T3697),$U3697,IF(C3698="x",V3697,"")))</f>
        <v/>
      </c>
      <c r="X3698" cm="1">
        <f t="array" ref="X3698">IF($I3698&lt;&gt;"",$I3698,INDEX($I$1:$I3698,ROW()-COUNTIFS($T$1:$T3698,"="&amp;$T3698,$S$1:$S3698,"&lt;"&amp;$S3698)))</f>
        <v>0</v>
      </c>
      <c r="Z3698" s="6">
        <f t="shared" si="502"/>
        <v>1</v>
      </c>
      <c r="AA3698" t="e">
        <f t="shared" si="503"/>
        <v>#VALUE!</v>
      </c>
      <c r="AB3698" t="str">
        <f t="shared" si="504"/>
        <v/>
      </c>
      <c r="AC3698" t="e">
        <f t="shared" si="505"/>
        <v>#VALUE!</v>
      </c>
    </row>
    <row r="3699" spans="1:29" x14ac:dyDescent="0.2">
      <c r="A3699" t="str">
        <f t="shared" si="506"/>
        <v/>
      </c>
      <c r="E3699" s="4"/>
      <c r="F3699" s="46"/>
      <c r="G3699" s="4"/>
      <c r="H3699" s="48"/>
      <c r="J3699" s="26" t="str">
        <f t="shared" si="507"/>
        <v/>
      </c>
      <c r="N3699" t="str">
        <f t="shared" si="508"/>
        <v/>
      </c>
      <c r="Q3699" t="str">
        <f t="shared" si="509"/>
        <v/>
      </c>
      <c r="S3699" t="str">
        <f>IF(A3699=1,MAX($S$2:$S3698)+1,IF(OR($I3699&lt;&gt;"",A3699="x"),$S3698,""))</f>
        <v/>
      </c>
      <c r="T3699" t="str">
        <f>IF(D3699=1,MAX($T$2:$T3698)+1,IF(S3699=S3698,$T3698,IF(D3699="x",T3698,IF(D3698="x","",""))))</f>
        <v/>
      </c>
      <c r="U3699" t="str">
        <f>IF(B3699=1,MAX($U$2:$U3698)+1,IF(AND($T3699&lt;&gt;"",$T3699=$T3698),$U3698,IF(B3699="x",U3698,"")))</f>
        <v/>
      </c>
      <c r="V3699" t="str">
        <f>IF(C3699=1,MAX($V$2:$V3698)+1,IF(AND($T3699&lt;&gt;"",$T3699=$T3698),$U3698,IF(C3699="x",V3698,"")))</f>
        <v/>
      </c>
      <c r="X3699" cm="1">
        <f t="array" ref="X3699">IF($I3699&lt;&gt;"",$I3699,INDEX($I$1:$I3699,ROW()-COUNTIFS($T$1:$T3699,"="&amp;$T3699,$S$1:$S3699,"&lt;"&amp;$S3699)))</f>
        <v>0</v>
      </c>
      <c r="Z3699" s="6">
        <f t="shared" si="502"/>
        <v>1</v>
      </c>
      <c r="AA3699" t="e">
        <f t="shared" si="503"/>
        <v>#VALUE!</v>
      </c>
      <c r="AB3699" t="str">
        <f t="shared" si="504"/>
        <v/>
      </c>
      <c r="AC3699" t="e">
        <f t="shared" si="505"/>
        <v>#VALUE!</v>
      </c>
    </row>
    <row r="3700" spans="1:29" x14ac:dyDescent="0.2">
      <c r="A3700" t="str">
        <f t="shared" si="506"/>
        <v/>
      </c>
      <c r="E3700" s="4"/>
      <c r="F3700" s="46"/>
      <c r="G3700" s="4"/>
      <c r="H3700" s="48"/>
      <c r="J3700" s="26" t="str">
        <f t="shared" si="507"/>
        <v/>
      </c>
      <c r="N3700" t="str">
        <f t="shared" si="508"/>
        <v/>
      </c>
      <c r="Q3700" t="str">
        <f t="shared" si="509"/>
        <v/>
      </c>
      <c r="S3700" t="str">
        <f>IF(A3700=1,MAX($S$2:$S3699)+1,IF(OR($I3700&lt;&gt;"",A3700="x"),$S3699,""))</f>
        <v/>
      </c>
      <c r="T3700" t="str">
        <f>IF(D3700=1,MAX($T$2:$T3699)+1,IF(S3700=S3699,$T3699,IF(D3700="x",T3699,IF(D3699="x","",""))))</f>
        <v/>
      </c>
      <c r="U3700" t="str">
        <f>IF(B3700=1,MAX($U$2:$U3699)+1,IF(AND($T3700&lt;&gt;"",$T3700=$T3699),$U3699,IF(B3700="x",U3699,"")))</f>
        <v/>
      </c>
      <c r="V3700" t="str">
        <f>IF(C3700=1,MAX($V$2:$V3699)+1,IF(AND($T3700&lt;&gt;"",$T3700=$T3699),$U3699,IF(C3700="x",V3699,"")))</f>
        <v/>
      </c>
      <c r="X3700" cm="1">
        <f t="array" ref="X3700">IF($I3700&lt;&gt;"",$I3700,INDEX($I$1:$I3700,ROW()-COUNTIFS($T$1:$T3700,"="&amp;$T3700,$S$1:$S3700,"&lt;"&amp;$S3700)))</f>
        <v>0</v>
      </c>
      <c r="Z3700" s="6">
        <f t="shared" si="502"/>
        <v>1</v>
      </c>
      <c r="AA3700" t="e">
        <f t="shared" si="503"/>
        <v>#VALUE!</v>
      </c>
      <c r="AB3700" t="str">
        <f t="shared" si="504"/>
        <v/>
      </c>
      <c r="AC3700" t="e">
        <f t="shared" si="505"/>
        <v>#VALUE!</v>
      </c>
    </row>
    <row r="3701" spans="1:29" x14ac:dyDescent="0.2">
      <c r="A3701" t="str">
        <f t="shared" si="506"/>
        <v/>
      </c>
      <c r="E3701" s="4"/>
      <c r="F3701" s="46"/>
      <c r="G3701" s="4"/>
      <c r="H3701" s="48"/>
      <c r="J3701" s="26" t="str">
        <f t="shared" si="507"/>
        <v/>
      </c>
      <c r="N3701" t="str">
        <f t="shared" si="508"/>
        <v/>
      </c>
      <c r="Q3701" t="str">
        <f t="shared" si="509"/>
        <v/>
      </c>
      <c r="S3701" t="str">
        <f>IF(A3701=1,MAX($S$2:$S3700)+1,IF(OR($I3701&lt;&gt;"",A3701="x"),$S3700,""))</f>
        <v/>
      </c>
      <c r="T3701" t="str">
        <f>IF(D3701=1,MAX($T$2:$T3700)+1,IF(S3701=S3700,$T3700,IF(D3701="x",T3700,IF(D3700="x","",""))))</f>
        <v/>
      </c>
      <c r="U3701" t="str">
        <f>IF(B3701=1,MAX($U$2:$U3700)+1,IF(AND($T3701&lt;&gt;"",$T3701=$T3700),$U3700,IF(B3701="x",U3700,"")))</f>
        <v/>
      </c>
      <c r="V3701" t="str">
        <f>IF(C3701=1,MAX($V$2:$V3700)+1,IF(AND($T3701&lt;&gt;"",$T3701=$T3700),$U3700,IF(C3701="x",V3700,"")))</f>
        <v/>
      </c>
      <c r="X3701" cm="1">
        <f t="array" ref="X3701">IF($I3701&lt;&gt;"",$I3701,INDEX($I$1:$I3701,ROW()-COUNTIFS($T$1:$T3701,"="&amp;$T3701,$S$1:$S3701,"&lt;"&amp;$S3701)))</f>
        <v>0</v>
      </c>
      <c r="Z3701" s="6">
        <f t="shared" si="502"/>
        <v>1</v>
      </c>
      <c r="AA3701" t="e">
        <f t="shared" si="503"/>
        <v>#VALUE!</v>
      </c>
      <c r="AB3701" t="str">
        <f t="shared" si="504"/>
        <v/>
      </c>
      <c r="AC3701" t="e">
        <f t="shared" si="505"/>
        <v>#VALUE!</v>
      </c>
    </row>
    <row r="3702" spans="1:29" x14ac:dyDescent="0.2">
      <c r="A3702" t="str">
        <f t="shared" si="506"/>
        <v/>
      </c>
      <c r="E3702" s="4"/>
      <c r="F3702" s="46"/>
      <c r="G3702" s="4"/>
      <c r="H3702" s="48"/>
      <c r="J3702" s="26" t="str">
        <f t="shared" si="507"/>
        <v/>
      </c>
      <c r="N3702" t="str">
        <f t="shared" si="508"/>
        <v/>
      </c>
      <c r="Q3702" t="str">
        <f t="shared" si="509"/>
        <v/>
      </c>
      <c r="S3702" t="str">
        <f>IF(A3702=1,MAX($S$2:$S3701)+1,IF(OR($I3702&lt;&gt;"",A3702="x"),$S3701,""))</f>
        <v/>
      </c>
      <c r="T3702" t="str">
        <f>IF(D3702=1,MAX($T$2:$T3701)+1,IF(S3702=S3701,$T3701,IF(D3702="x",T3701,IF(D3701="x","",""))))</f>
        <v/>
      </c>
      <c r="U3702" t="str">
        <f>IF(B3702=1,MAX($U$2:$U3701)+1,IF(AND($T3702&lt;&gt;"",$T3702=$T3701),$U3701,IF(B3702="x",U3701,"")))</f>
        <v/>
      </c>
      <c r="V3702" t="str">
        <f>IF(C3702=1,MAX($V$2:$V3701)+1,IF(AND($T3702&lt;&gt;"",$T3702=$T3701),$U3701,IF(C3702="x",V3701,"")))</f>
        <v/>
      </c>
      <c r="X3702" cm="1">
        <f t="array" ref="X3702">IF($I3702&lt;&gt;"",$I3702,INDEX($I$1:$I3702,ROW()-COUNTIFS($T$1:$T3702,"="&amp;$T3702,$S$1:$S3702,"&lt;"&amp;$S3702)))</f>
        <v>0</v>
      </c>
      <c r="Z3702" s="6">
        <f t="shared" si="502"/>
        <v>1</v>
      </c>
      <c r="AA3702" t="e">
        <f t="shared" si="503"/>
        <v>#VALUE!</v>
      </c>
      <c r="AB3702" t="str">
        <f t="shared" si="504"/>
        <v/>
      </c>
      <c r="AC3702" t="e">
        <f t="shared" si="505"/>
        <v>#VALUE!</v>
      </c>
    </row>
    <row r="3703" spans="1:29" x14ac:dyDescent="0.2">
      <c r="A3703" t="str">
        <f t="shared" si="506"/>
        <v/>
      </c>
      <c r="E3703" s="4"/>
      <c r="F3703" s="46"/>
      <c r="G3703" s="4"/>
      <c r="H3703" s="48"/>
      <c r="J3703" s="26" t="str">
        <f t="shared" si="507"/>
        <v/>
      </c>
      <c r="N3703" t="str">
        <f t="shared" si="508"/>
        <v/>
      </c>
      <c r="Q3703" t="str">
        <f t="shared" si="509"/>
        <v/>
      </c>
      <c r="S3703" t="str">
        <f>IF(A3703=1,MAX($S$2:$S3702)+1,IF(OR($I3703&lt;&gt;"",A3703="x"),$S3702,""))</f>
        <v/>
      </c>
      <c r="T3703" t="str">
        <f>IF(D3703=1,MAX($T$2:$T3702)+1,IF(S3703=S3702,$T3702,IF(D3703="x",T3702,IF(D3702="x","",""))))</f>
        <v/>
      </c>
      <c r="U3703" t="str">
        <f>IF(B3703=1,MAX($U$2:$U3702)+1,IF(AND($T3703&lt;&gt;"",$T3703=$T3702),$U3702,IF(B3703="x",U3702,"")))</f>
        <v/>
      </c>
      <c r="V3703" t="str">
        <f>IF(C3703=1,MAX($V$2:$V3702)+1,IF(AND($T3703&lt;&gt;"",$T3703=$T3702),$U3702,IF(C3703="x",V3702,"")))</f>
        <v/>
      </c>
      <c r="X3703" cm="1">
        <f t="array" ref="X3703">IF($I3703&lt;&gt;"",$I3703,INDEX($I$1:$I3703,ROW()-COUNTIFS($T$1:$T3703,"="&amp;$T3703,$S$1:$S3703,"&lt;"&amp;$S3703)))</f>
        <v>0</v>
      </c>
      <c r="Z3703" s="6">
        <f t="shared" si="502"/>
        <v>1</v>
      </c>
      <c r="AA3703" t="e">
        <f t="shared" si="503"/>
        <v>#VALUE!</v>
      </c>
      <c r="AB3703" t="str">
        <f t="shared" si="504"/>
        <v/>
      </c>
      <c r="AC3703" t="e">
        <f t="shared" si="505"/>
        <v>#VALUE!</v>
      </c>
    </row>
    <row r="3704" spans="1:29" x14ac:dyDescent="0.2">
      <c r="A3704" t="str">
        <f t="shared" si="506"/>
        <v/>
      </c>
      <c r="E3704" s="4"/>
      <c r="F3704" s="46"/>
      <c r="G3704" s="4"/>
      <c r="H3704" s="48"/>
      <c r="J3704" s="26" t="str">
        <f t="shared" si="507"/>
        <v/>
      </c>
      <c r="N3704" t="str">
        <f t="shared" si="508"/>
        <v/>
      </c>
      <c r="Q3704" t="str">
        <f t="shared" si="509"/>
        <v/>
      </c>
      <c r="S3704" t="str">
        <f>IF(A3704=1,MAX($S$2:$S3703)+1,IF(OR($I3704&lt;&gt;"",A3704="x"),$S3703,""))</f>
        <v/>
      </c>
      <c r="T3704" t="str">
        <f>IF(D3704=1,MAX($T$2:$T3703)+1,IF(S3704=S3703,$T3703,IF(D3704="x",T3703,IF(D3703="x","",""))))</f>
        <v/>
      </c>
      <c r="U3704" t="str">
        <f>IF(B3704=1,MAX($U$2:$U3703)+1,IF(AND($T3704&lt;&gt;"",$T3704=$T3703),$U3703,IF(B3704="x",U3703,"")))</f>
        <v/>
      </c>
      <c r="V3704" t="str">
        <f>IF(C3704=1,MAX($V$2:$V3703)+1,IF(AND($T3704&lt;&gt;"",$T3704=$T3703),$U3703,IF(C3704="x",V3703,"")))</f>
        <v/>
      </c>
      <c r="X3704" cm="1">
        <f t="array" ref="X3704">IF($I3704&lt;&gt;"",$I3704,INDEX($I$1:$I3704,ROW()-COUNTIFS($T$1:$T3704,"="&amp;$T3704,$S$1:$S3704,"&lt;"&amp;$S3704)))</f>
        <v>0</v>
      </c>
      <c r="Z3704" s="6">
        <f t="shared" si="502"/>
        <v>1</v>
      </c>
      <c r="AA3704" t="e">
        <f t="shared" si="503"/>
        <v>#VALUE!</v>
      </c>
      <c r="AB3704" t="str">
        <f t="shared" si="504"/>
        <v/>
      </c>
      <c r="AC3704" t="e">
        <f t="shared" si="505"/>
        <v>#VALUE!</v>
      </c>
    </row>
    <row r="3705" spans="1:29" x14ac:dyDescent="0.2">
      <c r="A3705" t="str">
        <f t="shared" si="506"/>
        <v/>
      </c>
      <c r="E3705" s="4"/>
      <c r="F3705" s="46"/>
      <c r="G3705" s="4"/>
      <c r="H3705" s="48"/>
      <c r="J3705" s="26" t="str">
        <f t="shared" si="507"/>
        <v/>
      </c>
      <c r="N3705" t="str">
        <f t="shared" si="508"/>
        <v/>
      </c>
      <c r="Q3705" t="str">
        <f t="shared" si="509"/>
        <v/>
      </c>
      <c r="S3705" t="str">
        <f>IF(A3705=1,MAX($S$2:$S3704)+1,IF(OR($I3705&lt;&gt;"",A3705="x"),$S3704,""))</f>
        <v/>
      </c>
      <c r="T3705" t="str">
        <f>IF(D3705=1,MAX($T$2:$T3704)+1,IF(S3705=S3704,$T3704,IF(D3705="x",T3704,IF(D3704="x","",""))))</f>
        <v/>
      </c>
      <c r="U3705" t="str">
        <f>IF(B3705=1,MAX($U$2:$U3704)+1,IF(AND($T3705&lt;&gt;"",$T3705=$T3704),$U3704,IF(B3705="x",U3704,"")))</f>
        <v/>
      </c>
      <c r="V3705" t="str">
        <f>IF(C3705=1,MAX($V$2:$V3704)+1,IF(AND($T3705&lt;&gt;"",$T3705=$T3704),$U3704,IF(C3705="x",V3704,"")))</f>
        <v/>
      </c>
      <c r="X3705" cm="1">
        <f t="array" ref="X3705">IF($I3705&lt;&gt;"",$I3705,INDEX($I$1:$I3705,ROW()-COUNTIFS($T$1:$T3705,"="&amp;$T3705,$S$1:$S3705,"&lt;"&amp;$S3705)))</f>
        <v>0</v>
      </c>
      <c r="Z3705" s="6">
        <f t="shared" si="502"/>
        <v>1</v>
      </c>
      <c r="AA3705" t="e">
        <f t="shared" si="503"/>
        <v>#VALUE!</v>
      </c>
      <c r="AB3705" t="str">
        <f t="shared" si="504"/>
        <v/>
      </c>
      <c r="AC3705" t="e">
        <f t="shared" si="505"/>
        <v>#VALUE!</v>
      </c>
    </row>
    <row r="3706" spans="1:29" x14ac:dyDescent="0.2">
      <c r="A3706" t="str">
        <f t="shared" si="506"/>
        <v/>
      </c>
      <c r="E3706" s="4"/>
      <c r="F3706" s="46"/>
      <c r="G3706" s="4"/>
      <c r="H3706" s="48"/>
      <c r="J3706" s="26" t="str">
        <f t="shared" si="507"/>
        <v/>
      </c>
      <c r="N3706" t="str">
        <f t="shared" si="508"/>
        <v/>
      </c>
      <c r="Q3706" t="str">
        <f t="shared" si="509"/>
        <v/>
      </c>
      <c r="S3706" t="str">
        <f>IF(A3706=1,MAX($S$2:$S3705)+1,IF(OR($I3706&lt;&gt;"",A3706="x"),$S3705,""))</f>
        <v/>
      </c>
      <c r="T3706" t="str">
        <f>IF(D3706=1,MAX($T$2:$T3705)+1,IF(S3706=S3705,$T3705,IF(D3706="x",T3705,IF(D3705="x","",""))))</f>
        <v/>
      </c>
      <c r="U3706" t="str">
        <f>IF(B3706=1,MAX($U$2:$U3705)+1,IF(AND($T3706&lt;&gt;"",$T3706=$T3705),$U3705,IF(B3706="x",U3705,"")))</f>
        <v/>
      </c>
      <c r="V3706" t="str">
        <f>IF(C3706=1,MAX($V$2:$V3705)+1,IF(AND($T3706&lt;&gt;"",$T3706=$T3705),$U3705,IF(C3706="x",V3705,"")))</f>
        <v/>
      </c>
      <c r="X3706" cm="1">
        <f t="array" ref="X3706">IF($I3706&lt;&gt;"",$I3706,INDEX($I$1:$I3706,ROW()-COUNTIFS($T$1:$T3706,"="&amp;$T3706,$S$1:$S3706,"&lt;"&amp;$S3706)))</f>
        <v>0</v>
      </c>
      <c r="Z3706" s="6">
        <f t="shared" si="502"/>
        <v>1</v>
      </c>
      <c r="AA3706" t="e">
        <f t="shared" si="503"/>
        <v>#VALUE!</v>
      </c>
      <c r="AB3706" t="str">
        <f t="shared" si="504"/>
        <v/>
      </c>
      <c r="AC3706" t="e">
        <f t="shared" si="505"/>
        <v>#VALUE!</v>
      </c>
    </row>
    <row r="3707" spans="1:29" x14ac:dyDescent="0.2">
      <c r="A3707" t="str">
        <f t="shared" si="506"/>
        <v/>
      </c>
      <c r="E3707" s="4"/>
      <c r="F3707" s="46"/>
      <c r="G3707" s="4"/>
      <c r="H3707" s="48"/>
      <c r="J3707" s="26" t="str">
        <f t="shared" si="507"/>
        <v/>
      </c>
      <c r="N3707" t="str">
        <f t="shared" si="508"/>
        <v/>
      </c>
      <c r="Q3707" t="str">
        <f t="shared" si="509"/>
        <v/>
      </c>
      <c r="S3707" t="str">
        <f>IF(A3707=1,MAX($S$2:$S3706)+1,IF(OR($I3707&lt;&gt;"",A3707="x"),$S3706,""))</f>
        <v/>
      </c>
      <c r="T3707" t="str">
        <f>IF(D3707=1,MAX($T$2:$T3706)+1,IF(S3707=S3706,$T3706,IF(D3707="x",T3706,IF(D3706="x","",""))))</f>
        <v/>
      </c>
      <c r="U3707" t="str">
        <f>IF(B3707=1,MAX($U$2:$U3706)+1,IF(AND($T3707&lt;&gt;"",$T3707=$T3706),$U3706,IF(B3707="x",U3706,"")))</f>
        <v/>
      </c>
      <c r="V3707" t="str">
        <f>IF(C3707=1,MAX($V$2:$V3706)+1,IF(AND($T3707&lt;&gt;"",$T3707=$T3706),$U3706,IF(C3707="x",V3706,"")))</f>
        <v/>
      </c>
      <c r="X3707" cm="1">
        <f t="array" ref="X3707">IF($I3707&lt;&gt;"",$I3707,INDEX($I$1:$I3707,ROW()-COUNTIFS($T$1:$T3707,"="&amp;$T3707,$S$1:$S3707,"&lt;"&amp;$S3707)))</f>
        <v>0</v>
      </c>
      <c r="Z3707" s="6">
        <f t="shared" si="502"/>
        <v>1</v>
      </c>
      <c r="AA3707" t="e">
        <f t="shared" si="503"/>
        <v>#VALUE!</v>
      </c>
      <c r="AB3707" t="str">
        <f t="shared" si="504"/>
        <v/>
      </c>
      <c r="AC3707" t="e">
        <f t="shared" si="505"/>
        <v>#VALUE!</v>
      </c>
    </row>
    <row r="3708" spans="1:29" x14ac:dyDescent="0.2">
      <c r="A3708" t="str">
        <f t="shared" si="506"/>
        <v/>
      </c>
      <c r="E3708" s="4"/>
      <c r="F3708" s="46"/>
      <c r="G3708" s="4"/>
      <c r="H3708" s="48"/>
      <c r="J3708" s="26" t="str">
        <f t="shared" si="507"/>
        <v/>
      </c>
      <c r="N3708" t="str">
        <f t="shared" si="508"/>
        <v/>
      </c>
      <c r="Q3708" t="str">
        <f t="shared" si="509"/>
        <v/>
      </c>
      <c r="S3708" t="str">
        <f>IF(A3708=1,MAX($S$2:$S3707)+1,IF(OR($I3708&lt;&gt;"",A3708="x"),$S3707,""))</f>
        <v/>
      </c>
      <c r="T3708" t="str">
        <f>IF(D3708=1,MAX($T$2:$T3707)+1,IF(S3708=S3707,$T3707,IF(D3708="x",T3707,IF(D3707="x","",""))))</f>
        <v/>
      </c>
      <c r="U3708" t="str">
        <f>IF(B3708=1,MAX($U$2:$U3707)+1,IF(AND($T3708&lt;&gt;"",$T3708=$T3707),$U3707,IF(B3708="x",U3707,"")))</f>
        <v/>
      </c>
      <c r="V3708" t="str">
        <f>IF(C3708=1,MAX($V$2:$V3707)+1,IF(AND($T3708&lt;&gt;"",$T3708=$T3707),$U3707,IF(C3708="x",V3707,"")))</f>
        <v/>
      </c>
      <c r="X3708" cm="1">
        <f t="array" ref="X3708">IF($I3708&lt;&gt;"",$I3708,INDEX($I$1:$I3708,ROW()-COUNTIFS($T$1:$T3708,"="&amp;$T3708,$S$1:$S3708,"&lt;"&amp;$S3708)))</f>
        <v>0</v>
      </c>
      <c r="Z3708" s="6">
        <f t="shared" si="502"/>
        <v>1</v>
      </c>
      <c r="AA3708" t="e">
        <f t="shared" si="503"/>
        <v>#VALUE!</v>
      </c>
      <c r="AB3708" t="str">
        <f t="shared" si="504"/>
        <v/>
      </c>
      <c r="AC3708" t="e">
        <f t="shared" si="505"/>
        <v>#VALUE!</v>
      </c>
    </row>
    <row r="3709" spans="1:29" x14ac:dyDescent="0.2">
      <c r="A3709" t="str">
        <f t="shared" si="506"/>
        <v/>
      </c>
      <c r="E3709" s="4"/>
      <c r="F3709" s="46"/>
      <c r="G3709" s="4"/>
      <c r="H3709" s="48"/>
      <c r="J3709" s="26" t="str">
        <f t="shared" si="507"/>
        <v/>
      </c>
      <c r="N3709" t="str">
        <f t="shared" si="508"/>
        <v/>
      </c>
      <c r="Q3709" t="str">
        <f t="shared" si="509"/>
        <v/>
      </c>
      <c r="S3709" t="str">
        <f>IF(A3709=1,MAX($S$2:$S3708)+1,IF(OR($I3709&lt;&gt;"",A3709="x"),$S3708,""))</f>
        <v/>
      </c>
      <c r="T3709" t="str">
        <f>IF(D3709=1,MAX($T$2:$T3708)+1,IF(S3709=S3708,$T3708,IF(D3709="x",T3708,IF(D3708="x","",""))))</f>
        <v/>
      </c>
      <c r="U3709" t="str">
        <f>IF(B3709=1,MAX($U$2:$U3708)+1,IF(AND($T3709&lt;&gt;"",$T3709=$T3708),$U3708,IF(B3709="x",U3708,"")))</f>
        <v/>
      </c>
      <c r="V3709" t="str">
        <f>IF(C3709=1,MAX($V$2:$V3708)+1,IF(AND($T3709&lt;&gt;"",$T3709=$T3708),$U3708,IF(C3709="x",V3708,"")))</f>
        <v/>
      </c>
      <c r="X3709" cm="1">
        <f t="array" ref="X3709">IF($I3709&lt;&gt;"",$I3709,INDEX($I$1:$I3709,ROW()-COUNTIFS($T$1:$T3709,"="&amp;$T3709,$S$1:$S3709,"&lt;"&amp;$S3709)))</f>
        <v>0</v>
      </c>
      <c r="Z3709" s="6">
        <f t="shared" si="502"/>
        <v>1</v>
      </c>
      <c r="AA3709" t="e">
        <f t="shared" si="503"/>
        <v>#VALUE!</v>
      </c>
      <c r="AB3709" t="str">
        <f t="shared" si="504"/>
        <v/>
      </c>
      <c r="AC3709" t="e">
        <f t="shared" si="505"/>
        <v>#VALUE!</v>
      </c>
    </row>
    <row r="3710" spans="1:29" x14ac:dyDescent="0.2">
      <c r="A3710" t="str">
        <f t="shared" si="506"/>
        <v/>
      </c>
      <c r="E3710" s="4"/>
      <c r="F3710" s="46"/>
      <c r="G3710" s="4"/>
      <c r="H3710" s="48"/>
      <c r="J3710" s="26" t="str">
        <f t="shared" si="507"/>
        <v/>
      </c>
      <c r="N3710" t="str">
        <f t="shared" si="508"/>
        <v/>
      </c>
      <c r="Q3710" t="str">
        <f t="shared" si="509"/>
        <v/>
      </c>
      <c r="S3710" t="str">
        <f>IF(A3710=1,MAX($S$2:$S3709)+1,IF(OR($I3710&lt;&gt;"",A3710="x"),$S3709,""))</f>
        <v/>
      </c>
      <c r="T3710" t="str">
        <f>IF(D3710=1,MAX($T$2:$T3709)+1,IF(S3710=S3709,$T3709,IF(D3710="x",T3709,IF(D3709="x","",""))))</f>
        <v/>
      </c>
      <c r="U3710" t="str">
        <f>IF(B3710=1,MAX($U$2:$U3709)+1,IF(AND($T3710&lt;&gt;"",$T3710=$T3709),$U3709,IF(B3710="x",U3709,"")))</f>
        <v/>
      </c>
      <c r="V3710" t="str">
        <f>IF(C3710=1,MAX($V$2:$V3709)+1,IF(AND($T3710&lt;&gt;"",$T3710=$T3709),$U3709,IF(C3710="x",V3709,"")))</f>
        <v/>
      </c>
      <c r="X3710" cm="1">
        <f t="array" ref="X3710">IF($I3710&lt;&gt;"",$I3710,INDEX($I$1:$I3710,ROW()-COUNTIFS($T$1:$T3710,"="&amp;$T3710,$S$1:$S3710,"&lt;"&amp;$S3710)))</f>
        <v>0</v>
      </c>
      <c r="Z3710" s="6">
        <f t="shared" si="502"/>
        <v>1</v>
      </c>
      <c r="AA3710" t="e">
        <f t="shared" si="503"/>
        <v>#VALUE!</v>
      </c>
      <c r="AB3710" t="str">
        <f t="shared" si="504"/>
        <v/>
      </c>
      <c r="AC3710" t="e">
        <f t="shared" si="505"/>
        <v>#VALUE!</v>
      </c>
    </row>
    <row r="3711" spans="1:29" x14ac:dyDescent="0.2">
      <c r="A3711" t="str">
        <f t="shared" si="506"/>
        <v/>
      </c>
      <c r="E3711" s="4"/>
      <c r="F3711" s="46"/>
      <c r="G3711" s="4"/>
      <c r="H3711" s="48"/>
      <c r="J3711" s="26" t="str">
        <f t="shared" si="507"/>
        <v/>
      </c>
      <c r="N3711" t="str">
        <f t="shared" si="508"/>
        <v/>
      </c>
      <c r="Q3711" t="str">
        <f t="shared" si="509"/>
        <v/>
      </c>
      <c r="S3711" t="str">
        <f>IF(A3711=1,MAX($S$2:$S3710)+1,IF(OR($I3711&lt;&gt;"",A3711="x"),$S3710,""))</f>
        <v/>
      </c>
      <c r="T3711" t="str">
        <f>IF(D3711=1,MAX($T$2:$T3710)+1,IF(S3711=S3710,$T3710,IF(D3711="x",T3710,IF(D3710="x","",""))))</f>
        <v/>
      </c>
      <c r="U3711" t="str">
        <f>IF(B3711=1,MAX($U$2:$U3710)+1,IF(AND($T3711&lt;&gt;"",$T3711=$T3710),$U3710,IF(B3711="x",U3710,"")))</f>
        <v/>
      </c>
      <c r="V3711" t="str">
        <f>IF(C3711=1,MAX($V$2:$V3710)+1,IF(AND($T3711&lt;&gt;"",$T3711=$T3710),$U3710,IF(C3711="x",V3710,"")))</f>
        <v/>
      </c>
      <c r="X3711" cm="1">
        <f t="array" ref="X3711">IF($I3711&lt;&gt;"",$I3711,INDEX($I$1:$I3711,ROW()-COUNTIFS($T$1:$T3711,"="&amp;$T3711,$S$1:$S3711,"&lt;"&amp;$S3711)))</f>
        <v>0</v>
      </c>
      <c r="Z3711" s="6">
        <f t="shared" si="502"/>
        <v>1</v>
      </c>
      <c r="AA3711" t="e">
        <f t="shared" si="503"/>
        <v>#VALUE!</v>
      </c>
      <c r="AB3711" t="str">
        <f t="shared" si="504"/>
        <v/>
      </c>
      <c r="AC3711" t="e">
        <f t="shared" si="505"/>
        <v>#VALUE!</v>
      </c>
    </row>
    <row r="3712" spans="1:29" x14ac:dyDescent="0.2">
      <c r="A3712" t="str">
        <f t="shared" si="506"/>
        <v/>
      </c>
      <c r="E3712" s="4"/>
      <c r="F3712" s="46"/>
      <c r="G3712" s="4"/>
      <c r="H3712" s="48"/>
      <c r="J3712" s="26" t="str">
        <f t="shared" si="507"/>
        <v/>
      </c>
      <c r="N3712" t="str">
        <f t="shared" si="508"/>
        <v/>
      </c>
      <c r="Q3712" t="str">
        <f t="shared" si="509"/>
        <v/>
      </c>
      <c r="S3712" t="str">
        <f>IF(A3712=1,MAX($S$2:$S3711)+1,IF(OR($I3712&lt;&gt;"",A3712="x"),$S3711,""))</f>
        <v/>
      </c>
      <c r="T3712" t="str">
        <f>IF(D3712=1,MAX($T$2:$T3711)+1,IF(S3712=S3711,$T3711,IF(D3712="x",T3711,IF(D3711="x","",""))))</f>
        <v/>
      </c>
      <c r="U3712" t="str">
        <f>IF(B3712=1,MAX($U$2:$U3711)+1,IF(AND($T3712&lt;&gt;"",$T3712=$T3711),$U3711,IF(B3712="x",U3711,"")))</f>
        <v/>
      </c>
      <c r="V3712" t="str">
        <f>IF(C3712=1,MAX($V$2:$V3711)+1,IF(AND($T3712&lt;&gt;"",$T3712=$T3711),$U3711,IF(C3712="x",V3711,"")))</f>
        <v/>
      </c>
      <c r="X3712" cm="1">
        <f t="array" ref="X3712">IF($I3712&lt;&gt;"",$I3712,INDEX($I$1:$I3712,ROW()-COUNTIFS($T$1:$T3712,"="&amp;$T3712,$S$1:$S3712,"&lt;"&amp;$S3712)))</f>
        <v>0</v>
      </c>
      <c r="Z3712" s="6">
        <f t="shared" si="502"/>
        <v>1</v>
      </c>
      <c r="AA3712" t="e">
        <f t="shared" si="503"/>
        <v>#VALUE!</v>
      </c>
      <c r="AB3712" t="str">
        <f t="shared" si="504"/>
        <v/>
      </c>
      <c r="AC3712" t="e">
        <f t="shared" si="505"/>
        <v>#VALUE!</v>
      </c>
    </row>
    <row r="3713" spans="1:29" x14ac:dyDescent="0.2">
      <c r="A3713" t="str">
        <f t="shared" si="506"/>
        <v/>
      </c>
      <c r="E3713" s="4"/>
      <c r="F3713" s="46"/>
      <c r="G3713" s="4"/>
      <c r="H3713" s="48"/>
      <c r="J3713" s="26" t="str">
        <f t="shared" si="507"/>
        <v/>
      </c>
      <c r="N3713" t="str">
        <f t="shared" si="508"/>
        <v/>
      </c>
      <c r="Q3713" t="str">
        <f t="shared" si="509"/>
        <v/>
      </c>
      <c r="S3713" t="str">
        <f>IF(A3713=1,MAX($S$2:$S3712)+1,IF(OR($I3713&lt;&gt;"",A3713="x"),$S3712,""))</f>
        <v/>
      </c>
      <c r="T3713" t="str">
        <f>IF(D3713=1,MAX($T$2:$T3712)+1,IF(S3713=S3712,$T3712,IF(D3713="x",T3712,IF(D3712="x","",""))))</f>
        <v/>
      </c>
      <c r="U3713" t="str">
        <f>IF(B3713=1,MAX($U$2:$U3712)+1,IF(AND($T3713&lt;&gt;"",$T3713=$T3712),$U3712,IF(B3713="x",U3712,"")))</f>
        <v/>
      </c>
      <c r="V3713" t="str">
        <f>IF(C3713=1,MAX($V$2:$V3712)+1,IF(AND($T3713&lt;&gt;"",$T3713=$T3712),$U3712,IF(C3713="x",V3712,"")))</f>
        <v/>
      </c>
      <c r="X3713" cm="1">
        <f t="array" ref="X3713">IF($I3713&lt;&gt;"",$I3713,INDEX($I$1:$I3713,ROW()-COUNTIFS($T$1:$T3713,"="&amp;$T3713,$S$1:$S3713,"&lt;"&amp;$S3713)))</f>
        <v>0</v>
      </c>
      <c r="Z3713" s="6">
        <f t="shared" si="502"/>
        <v>1</v>
      </c>
      <c r="AA3713" t="e">
        <f t="shared" si="503"/>
        <v>#VALUE!</v>
      </c>
      <c r="AB3713" t="str">
        <f t="shared" si="504"/>
        <v/>
      </c>
      <c r="AC3713" t="e">
        <f t="shared" si="505"/>
        <v>#VALUE!</v>
      </c>
    </row>
    <row r="3714" spans="1:29" x14ac:dyDescent="0.2">
      <c r="A3714" t="str">
        <f t="shared" si="506"/>
        <v/>
      </c>
      <c r="E3714" s="4"/>
      <c r="F3714" s="46"/>
      <c r="G3714" s="4"/>
      <c r="H3714" s="48"/>
      <c r="J3714" s="26" t="str">
        <f t="shared" si="507"/>
        <v/>
      </c>
      <c r="N3714" t="str">
        <f t="shared" si="508"/>
        <v/>
      </c>
      <c r="Q3714" t="str">
        <f t="shared" si="509"/>
        <v/>
      </c>
      <c r="S3714" t="str">
        <f>IF(A3714=1,MAX($S$2:$S3713)+1,IF(OR($I3714&lt;&gt;"",A3714="x"),$S3713,""))</f>
        <v/>
      </c>
      <c r="T3714" t="str">
        <f>IF(D3714=1,MAX($T$2:$T3713)+1,IF(S3714=S3713,$T3713,IF(D3714="x",T3713,IF(D3713="x","",""))))</f>
        <v/>
      </c>
      <c r="U3714" t="str">
        <f>IF(B3714=1,MAX($U$2:$U3713)+1,IF(AND($T3714&lt;&gt;"",$T3714=$T3713),$U3713,IF(B3714="x",U3713,"")))</f>
        <v/>
      </c>
      <c r="V3714" t="str">
        <f>IF(C3714=1,MAX($V$2:$V3713)+1,IF(AND($T3714&lt;&gt;"",$T3714=$T3713),$U3713,IF(C3714="x",V3713,"")))</f>
        <v/>
      </c>
      <c r="X3714" cm="1">
        <f t="array" ref="X3714">IF($I3714&lt;&gt;"",$I3714,INDEX($I$1:$I3714,ROW()-COUNTIFS($T$1:$T3714,"="&amp;$T3714,$S$1:$S3714,"&lt;"&amp;$S3714)))</f>
        <v>0</v>
      </c>
      <c r="Z3714" s="6">
        <f t="shared" si="502"/>
        <v>1</v>
      </c>
      <c r="AA3714" t="e">
        <f t="shared" si="503"/>
        <v>#VALUE!</v>
      </c>
      <c r="AB3714" t="str">
        <f t="shared" si="504"/>
        <v/>
      </c>
      <c r="AC3714" t="e">
        <f t="shared" si="505"/>
        <v>#VALUE!</v>
      </c>
    </row>
    <row r="3715" spans="1:29" x14ac:dyDescent="0.2">
      <c r="A3715" t="str">
        <f t="shared" si="506"/>
        <v/>
      </c>
      <c r="E3715" s="4"/>
      <c r="F3715" s="46"/>
      <c r="G3715" s="4"/>
      <c r="H3715" s="48"/>
      <c r="J3715" s="26" t="str">
        <f t="shared" si="507"/>
        <v/>
      </c>
      <c r="N3715" t="str">
        <f t="shared" si="508"/>
        <v/>
      </c>
      <c r="Q3715" t="str">
        <f t="shared" si="509"/>
        <v/>
      </c>
      <c r="S3715" t="str">
        <f>IF(A3715=1,MAX($S$2:$S3714)+1,IF(OR($I3715&lt;&gt;"",A3715="x"),$S3714,""))</f>
        <v/>
      </c>
      <c r="T3715" t="str">
        <f>IF(D3715=1,MAX($T$2:$T3714)+1,IF(S3715=S3714,$T3714,IF(D3715="x",T3714,IF(D3714="x","",""))))</f>
        <v/>
      </c>
      <c r="U3715" t="str">
        <f>IF(B3715=1,MAX($U$2:$U3714)+1,IF(AND($T3715&lt;&gt;"",$T3715=$T3714),$U3714,IF(B3715="x",U3714,"")))</f>
        <v/>
      </c>
      <c r="V3715" t="str">
        <f>IF(C3715=1,MAX($V$2:$V3714)+1,IF(AND($T3715&lt;&gt;"",$T3715=$T3714),$U3714,IF(C3715="x",V3714,"")))</f>
        <v/>
      </c>
      <c r="X3715" cm="1">
        <f t="array" ref="X3715">IF($I3715&lt;&gt;"",$I3715,INDEX($I$1:$I3715,ROW()-COUNTIFS($T$1:$T3715,"="&amp;$T3715,$S$1:$S3715,"&lt;"&amp;$S3715)))</f>
        <v>0</v>
      </c>
      <c r="Z3715" s="6">
        <f t="shared" si="502"/>
        <v>1</v>
      </c>
      <c r="AA3715" t="e">
        <f t="shared" si="503"/>
        <v>#VALUE!</v>
      </c>
      <c r="AB3715" t="str">
        <f t="shared" si="504"/>
        <v/>
      </c>
      <c r="AC3715" t="e">
        <f t="shared" si="505"/>
        <v>#VALUE!</v>
      </c>
    </row>
    <row r="3716" spans="1:29" x14ac:dyDescent="0.2">
      <c r="A3716" t="str">
        <f t="shared" si="506"/>
        <v/>
      </c>
      <c r="E3716" s="4"/>
      <c r="F3716" s="46"/>
      <c r="G3716" s="4"/>
      <c r="H3716" s="48"/>
      <c r="J3716" s="26" t="str">
        <f t="shared" si="507"/>
        <v/>
      </c>
      <c r="N3716" t="str">
        <f t="shared" si="508"/>
        <v/>
      </c>
      <c r="Q3716" t="str">
        <f t="shared" si="509"/>
        <v/>
      </c>
      <c r="S3716" t="str">
        <f>IF(A3716=1,MAX($S$2:$S3715)+1,IF(OR($I3716&lt;&gt;"",A3716="x"),$S3715,""))</f>
        <v/>
      </c>
      <c r="T3716" t="str">
        <f>IF(D3716=1,MAX($T$2:$T3715)+1,IF(S3716=S3715,$T3715,IF(D3716="x",T3715,IF(D3715="x","",""))))</f>
        <v/>
      </c>
      <c r="U3716" t="str">
        <f>IF(B3716=1,MAX($U$2:$U3715)+1,IF(AND($T3716&lt;&gt;"",$T3716=$T3715),$U3715,IF(B3716="x",U3715,"")))</f>
        <v/>
      </c>
      <c r="V3716" t="str">
        <f>IF(C3716=1,MAX($V$2:$V3715)+1,IF(AND($T3716&lt;&gt;"",$T3716=$T3715),$U3715,IF(C3716="x",V3715,"")))</f>
        <v/>
      </c>
      <c r="X3716" cm="1">
        <f t="array" ref="X3716">IF($I3716&lt;&gt;"",$I3716,INDEX($I$1:$I3716,ROW()-COUNTIFS($T$1:$T3716,"="&amp;$T3716,$S$1:$S3716,"&lt;"&amp;$S3716)))</f>
        <v>0</v>
      </c>
      <c r="Z3716" s="6">
        <f t="shared" si="502"/>
        <v>1</v>
      </c>
      <c r="AA3716" t="e">
        <f t="shared" si="503"/>
        <v>#VALUE!</v>
      </c>
      <c r="AB3716" t="str">
        <f t="shared" si="504"/>
        <v/>
      </c>
      <c r="AC3716" t="e">
        <f t="shared" si="505"/>
        <v>#VALUE!</v>
      </c>
    </row>
    <row r="3717" spans="1:29" x14ac:dyDescent="0.2">
      <c r="A3717" t="str">
        <f t="shared" si="506"/>
        <v/>
      </c>
      <c r="E3717" s="4"/>
      <c r="F3717" s="46"/>
      <c r="G3717" s="4"/>
      <c r="H3717" s="48"/>
      <c r="J3717" s="26" t="str">
        <f t="shared" si="507"/>
        <v/>
      </c>
      <c r="N3717" t="str">
        <f t="shared" si="508"/>
        <v/>
      </c>
      <c r="Q3717" t="str">
        <f t="shared" si="509"/>
        <v/>
      </c>
      <c r="S3717" t="str">
        <f>IF(A3717=1,MAX($S$2:$S3716)+1,IF(OR($I3717&lt;&gt;"",A3717="x"),$S3716,""))</f>
        <v/>
      </c>
      <c r="T3717" t="str">
        <f>IF(D3717=1,MAX($T$2:$T3716)+1,IF(S3717=S3716,$T3716,IF(D3717="x",T3716,IF(D3716="x","",""))))</f>
        <v/>
      </c>
      <c r="U3717" t="str">
        <f>IF(B3717=1,MAX($U$2:$U3716)+1,IF(AND($T3717&lt;&gt;"",$T3717=$T3716),$U3716,IF(B3717="x",U3716,"")))</f>
        <v/>
      </c>
      <c r="V3717" t="str">
        <f>IF(C3717=1,MAX($V$2:$V3716)+1,IF(AND($T3717&lt;&gt;"",$T3717=$T3716),$U3716,IF(C3717="x",V3716,"")))</f>
        <v/>
      </c>
      <c r="X3717" cm="1">
        <f t="array" ref="X3717">IF($I3717&lt;&gt;"",$I3717,INDEX($I$1:$I3717,ROW()-COUNTIFS($T$1:$T3717,"="&amp;$T3717,$S$1:$S3717,"&lt;"&amp;$S3717)))</f>
        <v>0</v>
      </c>
      <c r="Z3717" s="6">
        <f t="shared" ref="Z3717:Z3780" si="510">IF(K3717="Intermission",Z3716+1,Z3716)</f>
        <v>1</v>
      </c>
      <c r="AA3717" t="e">
        <f t="shared" ref="AA3717:AA3780" si="511">S3717+1000</f>
        <v>#VALUE!</v>
      </c>
      <c r="AB3717" t="str">
        <f t="shared" ref="AB3717:AB3780" si="512">IF(T3717&lt;&gt;"",9000+T3717,"")</f>
        <v/>
      </c>
      <c r="AC3717" t="e">
        <f t="shared" ref="AC3717:AC3780" si="513">IF(AB3717&lt;&gt;"",AB3717,S3717+1000)</f>
        <v>#VALUE!</v>
      </c>
    </row>
    <row r="3718" spans="1:29" x14ac:dyDescent="0.2">
      <c r="A3718" t="str">
        <f t="shared" si="506"/>
        <v/>
      </c>
      <c r="E3718" s="4"/>
      <c r="F3718" s="46"/>
      <c r="G3718" s="4"/>
      <c r="H3718" s="48"/>
      <c r="J3718" s="26" t="str">
        <f t="shared" si="507"/>
        <v/>
      </c>
      <c r="N3718" t="str">
        <f t="shared" si="508"/>
        <v/>
      </c>
      <c r="Q3718" t="str">
        <f t="shared" si="509"/>
        <v/>
      </c>
      <c r="S3718" t="str">
        <f>IF(A3718=1,MAX($S$2:$S3717)+1,IF(OR($I3718&lt;&gt;"",A3718="x"),$S3717,""))</f>
        <v/>
      </c>
      <c r="T3718" t="str">
        <f>IF(D3718=1,MAX($T$2:$T3717)+1,IF(S3718=S3717,$T3717,IF(D3718="x",T3717,IF(D3717="x","",""))))</f>
        <v/>
      </c>
      <c r="U3718" t="str">
        <f>IF(B3718=1,MAX($U$2:$U3717)+1,IF(AND($T3718&lt;&gt;"",$T3718=$T3717),$U3717,IF(B3718="x",U3717,"")))</f>
        <v/>
      </c>
      <c r="V3718" t="str">
        <f>IF(C3718=1,MAX($V$2:$V3717)+1,IF(AND($T3718&lt;&gt;"",$T3718=$T3717),$U3717,IF(C3718="x",V3717,"")))</f>
        <v/>
      </c>
      <c r="X3718" cm="1">
        <f t="array" ref="X3718">IF($I3718&lt;&gt;"",$I3718,INDEX($I$1:$I3718,ROW()-COUNTIFS($T$1:$T3718,"="&amp;$T3718,$S$1:$S3718,"&lt;"&amp;$S3718)))</f>
        <v>0</v>
      </c>
      <c r="Z3718" s="6">
        <f t="shared" si="510"/>
        <v>1</v>
      </c>
      <c r="AA3718" t="e">
        <f t="shared" si="511"/>
        <v>#VALUE!</v>
      </c>
      <c r="AB3718" t="str">
        <f t="shared" si="512"/>
        <v/>
      </c>
      <c r="AC3718" t="e">
        <f t="shared" si="513"/>
        <v>#VALUE!</v>
      </c>
    </row>
    <row r="3719" spans="1:29" x14ac:dyDescent="0.2">
      <c r="A3719" t="str">
        <f t="shared" si="506"/>
        <v/>
      </c>
      <c r="E3719" s="4"/>
      <c r="F3719" s="46"/>
      <c r="G3719" s="4"/>
      <c r="H3719" s="48"/>
      <c r="J3719" s="26" t="str">
        <f t="shared" si="507"/>
        <v/>
      </c>
      <c r="N3719" t="str">
        <f t="shared" si="508"/>
        <v/>
      </c>
      <c r="Q3719" t="str">
        <f t="shared" si="509"/>
        <v/>
      </c>
      <c r="S3719" t="str">
        <f>IF(A3719=1,MAX($S$2:$S3718)+1,IF(OR($I3719&lt;&gt;"",A3719="x"),$S3718,""))</f>
        <v/>
      </c>
      <c r="T3719" t="str">
        <f>IF(D3719=1,MAX($T$2:$T3718)+1,IF(S3719=S3718,$T3718,IF(D3719="x",T3718,IF(D3718="x","",""))))</f>
        <v/>
      </c>
      <c r="U3719" t="str">
        <f>IF(B3719=1,MAX($U$2:$U3718)+1,IF(AND($T3719&lt;&gt;"",$T3719=$T3718),$U3718,IF(B3719="x",U3718,"")))</f>
        <v/>
      </c>
      <c r="V3719" t="str">
        <f>IF(C3719=1,MAX($V$2:$V3718)+1,IF(AND($T3719&lt;&gt;"",$T3719=$T3718),$U3718,IF(C3719="x",V3718,"")))</f>
        <v/>
      </c>
      <c r="X3719" cm="1">
        <f t="array" ref="X3719">IF($I3719&lt;&gt;"",$I3719,INDEX($I$1:$I3719,ROW()-COUNTIFS($T$1:$T3719,"="&amp;$T3719,$S$1:$S3719,"&lt;"&amp;$S3719)))</f>
        <v>0</v>
      </c>
      <c r="Z3719" s="6">
        <f t="shared" si="510"/>
        <v>1</v>
      </c>
      <c r="AA3719" t="e">
        <f t="shared" si="511"/>
        <v>#VALUE!</v>
      </c>
      <c r="AB3719" t="str">
        <f t="shared" si="512"/>
        <v/>
      </c>
      <c r="AC3719" t="e">
        <f t="shared" si="513"/>
        <v>#VALUE!</v>
      </c>
    </row>
    <row r="3720" spans="1:29" x14ac:dyDescent="0.2">
      <c r="A3720" t="str">
        <f t="shared" si="506"/>
        <v/>
      </c>
      <c r="E3720" s="4"/>
      <c r="F3720" s="46"/>
      <c r="G3720" s="4"/>
      <c r="H3720" s="48"/>
      <c r="J3720" s="26" t="str">
        <f t="shared" si="507"/>
        <v/>
      </c>
      <c r="N3720" t="str">
        <f t="shared" si="508"/>
        <v/>
      </c>
      <c r="Q3720" t="str">
        <f t="shared" si="509"/>
        <v/>
      </c>
      <c r="S3720" t="str">
        <f>IF(A3720=1,MAX($S$2:$S3719)+1,IF(OR($I3720&lt;&gt;"",A3720="x"),$S3719,""))</f>
        <v/>
      </c>
      <c r="T3720" t="str">
        <f>IF(D3720=1,MAX($T$2:$T3719)+1,IF(S3720=S3719,$T3719,IF(D3720="x",T3719,IF(D3719="x","",""))))</f>
        <v/>
      </c>
      <c r="U3720" t="str">
        <f>IF(B3720=1,MAX($U$2:$U3719)+1,IF(AND($T3720&lt;&gt;"",$T3720=$T3719),$U3719,IF(B3720="x",U3719,"")))</f>
        <v/>
      </c>
      <c r="V3720" t="str">
        <f>IF(C3720=1,MAX($V$2:$V3719)+1,IF(AND($T3720&lt;&gt;"",$T3720=$T3719),$U3719,IF(C3720="x",V3719,"")))</f>
        <v/>
      </c>
      <c r="X3720" cm="1">
        <f t="array" ref="X3720">IF($I3720&lt;&gt;"",$I3720,INDEX($I$1:$I3720,ROW()-COUNTIFS($T$1:$T3720,"="&amp;$T3720,$S$1:$S3720,"&lt;"&amp;$S3720)))</f>
        <v>0</v>
      </c>
      <c r="Z3720" s="6">
        <f t="shared" si="510"/>
        <v>1</v>
      </c>
      <c r="AA3720" t="e">
        <f t="shared" si="511"/>
        <v>#VALUE!</v>
      </c>
      <c r="AB3720" t="str">
        <f t="shared" si="512"/>
        <v/>
      </c>
      <c r="AC3720" t="e">
        <f t="shared" si="513"/>
        <v>#VALUE!</v>
      </c>
    </row>
    <row r="3721" spans="1:29" x14ac:dyDescent="0.2">
      <c r="A3721" t="str">
        <f t="shared" si="506"/>
        <v/>
      </c>
      <c r="E3721" s="4"/>
      <c r="F3721" s="46"/>
      <c r="G3721" s="4"/>
      <c r="H3721" s="48"/>
      <c r="J3721" s="26" t="str">
        <f t="shared" si="507"/>
        <v/>
      </c>
      <c r="N3721" t="str">
        <f t="shared" si="508"/>
        <v/>
      </c>
      <c r="Q3721" t="str">
        <f t="shared" si="509"/>
        <v/>
      </c>
      <c r="S3721" t="str">
        <f>IF(A3721=1,MAX($S$2:$S3720)+1,IF(OR($I3721&lt;&gt;"",A3721="x"),$S3720,""))</f>
        <v/>
      </c>
      <c r="T3721" t="str">
        <f>IF(D3721=1,MAX($T$2:$T3720)+1,IF(S3721=S3720,$T3720,IF(D3721="x",T3720,IF(D3720="x","",""))))</f>
        <v/>
      </c>
      <c r="U3721" t="str">
        <f>IF(B3721=1,MAX($U$2:$U3720)+1,IF(AND($T3721&lt;&gt;"",$T3721=$T3720),$U3720,IF(B3721="x",U3720,"")))</f>
        <v/>
      </c>
      <c r="V3721" t="str">
        <f>IF(C3721=1,MAX($V$2:$V3720)+1,IF(AND($T3721&lt;&gt;"",$T3721=$T3720),$U3720,IF(C3721="x",V3720,"")))</f>
        <v/>
      </c>
      <c r="X3721" cm="1">
        <f t="array" ref="X3721">IF($I3721&lt;&gt;"",$I3721,INDEX($I$1:$I3721,ROW()-COUNTIFS($T$1:$T3721,"="&amp;$T3721,$S$1:$S3721,"&lt;"&amp;$S3721)))</f>
        <v>0</v>
      </c>
      <c r="Z3721" s="6">
        <f t="shared" si="510"/>
        <v>1</v>
      </c>
      <c r="AA3721" t="e">
        <f t="shared" si="511"/>
        <v>#VALUE!</v>
      </c>
      <c r="AB3721" t="str">
        <f t="shared" si="512"/>
        <v/>
      </c>
      <c r="AC3721" t="e">
        <f t="shared" si="513"/>
        <v>#VALUE!</v>
      </c>
    </row>
    <row r="3722" spans="1:29" x14ac:dyDescent="0.2">
      <c r="A3722" t="str">
        <f t="shared" si="506"/>
        <v/>
      </c>
      <c r="E3722" s="4"/>
      <c r="F3722" s="46"/>
      <c r="G3722" s="4"/>
      <c r="H3722" s="48"/>
      <c r="J3722" s="26" t="str">
        <f t="shared" si="507"/>
        <v/>
      </c>
      <c r="N3722" t="str">
        <f t="shared" si="508"/>
        <v/>
      </c>
      <c r="Q3722" t="str">
        <f t="shared" si="509"/>
        <v/>
      </c>
      <c r="S3722" t="str">
        <f>IF(A3722=1,MAX($S$2:$S3721)+1,IF(OR($I3722&lt;&gt;"",A3722="x"),$S3721,""))</f>
        <v/>
      </c>
      <c r="T3722" t="str">
        <f>IF(D3722=1,MAX($T$2:$T3721)+1,IF(S3722=S3721,$T3721,IF(D3722="x",T3721,IF(D3721="x","",""))))</f>
        <v/>
      </c>
      <c r="U3722" t="str">
        <f>IF(B3722=1,MAX($U$2:$U3721)+1,IF(AND($T3722&lt;&gt;"",$T3722=$T3721),$U3721,IF(B3722="x",U3721,"")))</f>
        <v/>
      </c>
      <c r="V3722" t="str">
        <f>IF(C3722=1,MAX($V$2:$V3721)+1,IF(AND($T3722&lt;&gt;"",$T3722=$T3721),$U3721,IF(C3722="x",V3721,"")))</f>
        <v/>
      </c>
      <c r="X3722" cm="1">
        <f t="array" ref="X3722">IF($I3722&lt;&gt;"",$I3722,INDEX($I$1:$I3722,ROW()-COUNTIFS($T$1:$T3722,"="&amp;$T3722,$S$1:$S3722,"&lt;"&amp;$S3722)))</f>
        <v>0</v>
      </c>
      <c r="Z3722" s="6">
        <f t="shared" si="510"/>
        <v>1</v>
      </c>
      <c r="AA3722" t="e">
        <f t="shared" si="511"/>
        <v>#VALUE!</v>
      </c>
      <c r="AB3722" t="str">
        <f t="shared" si="512"/>
        <v/>
      </c>
      <c r="AC3722" t="e">
        <f t="shared" si="513"/>
        <v>#VALUE!</v>
      </c>
    </row>
    <row r="3723" spans="1:29" x14ac:dyDescent="0.2">
      <c r="A3723" t="str">
        <f t="shared" si="506"/>
        <v/>
      </c>
      <c r="E3723" s="4"/>
      <c r="F3723" s="46"/>
      <c r="G3723" s="4"/>
      <c r="H3723" s="48"/>
      <c r="J3723" s="26" t="str">
        <f t="shared" si="507"/>
        <v/>
      </c>
      <c r="N3723" t="str">
        <f t="shared" si="508"/>
        <v/>
      </c>
      <c r="Q3723" t="str">
        <f t="shared" si="509"/>
        <v/>
      </c>
      <c r="S3723" t="str">
        <f>IF(A3723=1,MAX($S$2:$S3722)+1,IF(OR($I3723&lt;&gt;"",A3723="x"),$S3722,""))</f>
        <v/>
      </c>
      <c r="T3723" t="str">
        <f>IF(D3723=1,MAX($T$2:$T3722)+1,IF(S3723=S3722,$T3722,IF(D3723="x",T3722,IF(D3722="x","",""))))</f>
        <v/>
      </c>
      <c r="U3723" t="str">
        <f>IF(B3723=1,MAX($U$2:$U3722)+1,IF(AND($T3723&lt;&gt;"",$T3723=$T3722),$U3722,IF(B3723="x",U3722,"")))</f>
        <v/>
      </c>
      <c r="V3723" t="str">
        <f>IF(C3723=1,MAX($V$2:$V3722)+1,IF(AND($T3723&lt;&gt;"",$T3723=$T3722),$U3722,IF(C3723="x",V3722,"")))</f>
        <v/>
      </c>
      <c r="X3723" cm="1">
        <f t="array" ref="X3723">IF($I3723&lt;&gt;"",$I3723,INDEX($I$1:$I3723,ROW()-COUNTIFS($T$1:$T3723,"="&amp;$T3723,$S$1:$S3723,"&lt;"&amp;$S3723)))</f>
        <v>0</v>
      </c>
      <c r="Z3723" s="6">
        <f t="shared" si="510"/>
        <v>1</v>
      </c>
      <c r="AA3723" t="e">
        <f t="shared" si="511"/>
        <v>#VALUE!</v>
      </c>
      <c r="AB3723" t="str">
        <f t="shared" si="512"/>
        <v/>
      </c>
      <c r="AC3723" t="e">
        <f t="shared" si="513"/>
        <v>#VALUE!</v>
      </c>
    </row>
    <row r="3724" spans="1:29" x14ac:dyDescent="0.2">
      <c r="A3724" t="str">
        <f t="shared" si="506"/>
        <v/>
      </c>
      <c r="E3724" s="4"/>
      <c r="F3724" s="46"/>
      <c r="G3724" s="4"/>
      <c r="H3724" s="48"/>
      <c r="J3724" s="26" t="str">
        <f t="shared" si="507"/>
        <v/>
      </c>
      <c r="N3724" t="str">
        <f t="shared" si="508"/>
        <v/>
      </c>
      <c r="Q3724" t="str">
        <f t="shared" si="509"/>
        <v/>
      </c>
      <c r="S3724" t="str">
        <f>IF(A3724=1,MAX($S$2:$S3723)+1,IF(OR($I3724&lt;&gt;"",A3724="x"),$S3723,""))</f>
        <v/>
      </c>
      <c r="T3724" t="str">
        <f>IF(D3724=1,MAX($T$2:$T3723)+1,IF(S3724=S3723,$T3723,IF(D3724="x",T3723,IF(D3723="x","",""))))</f>
        <v/>
      </c>
      <c r="U3724" t="str">
        <f>IF(B3724=1,MAX($U$2:$U3723)+1,IF(AND($T3724&lt;&gt;"",$T3724=$T3723),$U3723,IF(B3724="x",U3723,"")))</f>
        <v/>
      </c>
      <c r="V3724" t="str">
        <f>IF(C3724=1,MAX($V$2:$V3723)+1,IF(AND($T3724&lt;&gt;"",$T3724=$T3723),$U3723,IF(C3724="x",V3723,"")))</f>
        <v/>
      </c>
      <c r="X3724" cm="1">
        <f t="array" ref="X3724">IF($I3724&lt;&gt;"",$I3724,INDEX($I$1:$I3724,ROW()-COUNTIFS($T$1:$T3724,"="&amp;$T3724,$S$1:$S3724,"&lt;"&amp;$S3724)))</f>
        <v>0</v>
      </c>
      <c r="Z3724" s="6">
        <f t="shared" si="510"/>
        <v>1</v>
      </c>
      <c r="AA3724" t="e">
        <f t="shared" si="511"/>
        <v>#VALUE!</v>
      </c>
      <c r="AB3724" t="str">
        <f t="shared" si="512"/>
        <v/>
      </c>
      <c r="AC3724" t="e">
        <f t="shared" si="513"/>
        <v>#VALUE!</v>
      </c>
    </row>
    <row r="3725" spans="1:29" x14ac:dyDescent="0.2">
      <c r="A3725" t="str">
        <f t="shared" si="506"/>
        <v/>
      </c>
      <c r="E3725" s="4"/>
      <c r="F3725" s="46"/>
      <c r="G3725" s="4"/>
      <c r="H3725" s="48"/>
      <c r="J3725" s="26" t="str">
        <f t="shared" si="507"/>
        <v/>
      </c>
      <c r="N3725" t="str">
        <f t="shared" si="508"/>
        <v/>
      </c>
      <c r="Q3725" t="str">
        <f t="shared" si="509"/>
        <v/>
      </c>
      <c r="S3725" t="str">
        <f>IF(A3725=1,MAX($S$2:$S3724)+1,IF(OR($I3725&lt;&gt;"",A3725="x"),$S3724,""))</f>
        <v/>
      </c>
      <c r="T3725" t="str">
        <f>IF(D3725=1,MAX($T$2:$T3724)+1,IF(S3725=S3724,$T3724,IF(D3725="x",T3724,IF(D3724="x","",""))))</f>
        <v/>
      </c>
      <c r="U3725" t="str">
        <f>IF(B3725=1,MAX($U$2:$U3724)+1,IF(AND($T3725&lt;&gt;"",$T3725=$T3724),$U3724,IF(B3725="x",U3724,"")))</f>
        <v/>
      </c>
      <c r="V3725" t="str">
        <f>IF(C3725=1,MAX($V$2:$V3724)+1,IF(AND($T3725&lt;&gt;"",$T3725=$T3724),$U3724,IF(C3725="x",V3724,"")))</f>
        <v/>
      </c>
      <c r="X3725" cm="1">
        <f t="array" ref="X3725">IF($I3725&lt;&gt;"",$I3725,INDEX($I$1:$I3725,ROW()-COUNTIFS($T$1:$T3725,"="&amp;$T3725,$S$1:$S3725,"&lt;"&amp;$S3725)))</f>
        <v>0</v>
      </c>
      <c r="Z3725" s="6">
        <f t="shared" si="510"/>
        <v>1</v>
      </c>
      <c r="AA3725" t="e">
        <f t="shared" si="511"/>
        <v>#VALUE!</v>
      </c>
      <c r="AB3725" t="str">
        <f t="shared" si="512"/>
        <v/>
      </c>
      <c r="AC3725" t="e">
        <f t="shared" si="513"/>
        <v>#VALUE!</v>
      </c>
    </row>
    <row r="3726" spans="1:29" x14ac:dyDescent="0.2">
      <c r="A3726" t="str">
        <f t="shared" si="506"/>
        <v/>
      </c>
      <c r="E3726" s="4"/>
      <c r="F3726" s="46"/>
      <c r="G3726" s="4"/>
      <c r="H3726" s="48"/>
      <c r="J3726" s="26" t="str">
        <f t="shared" si="507"/>
        <v/>
      </c>
      <c r="N3726" t="str">
        <f t="shared" si="508"/>
        <v/>
      </c>
      <c r="Q3726" t="str">
        <f t="shared" si="509"/>
        <v/>
      </c>
      <c r="S3726" t="str">
        <f>IF(A3726=1,MAX($S$2:$S3725)+1,IF(OR($I3726&lt;&gt;"",A3726="x"),$S3725,""))</f>
        <v/>
      </c>
      <c r="T3726" t="str">
        <f>IF(D3726=1,MAX($T$2:$T3725)+1,IF(S3726=S3725,$T3725,IF(D3726="x",T3725,IF(D3725="x","",""))))</f>
        <v/>
      </c>
      <c r="U3726" t="str">
        <f>IF(B3726=1,MAX($U$2:$U3725)+1,IF(AND($T3726&lt;&gt;"",$T3726=$T3725),$U3725,IF(B3726="x",U3725,"")))</f>
        <v/>
      </c>
      <c r="V3726" t="str">
        <f>IF(C3726=1,MAX($V$2:$V3725)+1,IF(AND($T3726&lt;&gt;"",$T3726=$T3725),$U3725,IF(C3726="x",V3725,"")))</f>
        <v/>
      </c>
      <c r="X3726" cm="1">
        <f t="array" ref="X3726">IF($I3726&lt;&gt;"",$I3726,INDEX($I$1:$I3726,ROW()-COUNTIFS($T$1:$T3726,"="&amp;$T3726,$S$1:$S3726,"&lt;"&amp;$S3726)))</f>
        <v>0</v>
      </c>
      <c r="Z3726" s="6">
        <f t="shared" si="510"/>
        <v>1</v>
      </c>
      <c r="AA3726" t="e">
        <f t="shared" si="511"/>
        <v>#VALUE!</v>
      </c>
      <c r="AB3726" t="str">
        <f t="shared" si="512"/>
        <v/>
      </c>
      <c r="AC3726" t="e">
        <f t="shared" si="513"/>
        <v>#VALUE!</v>
      </c>
    </row>
    <row r="3727" spans="1:29" x14ac:dyDescent="0.2">
      <c r="A3727" t="str">
        <f t="shared" si="506"/>
        <v/>
      </c>
      <c r="E3727" s="4"/>
      <c r="F3727" s="46"/>
      <c r="G3727" s="4"/>
      <c r="H3727" s="48"/>
      <c r="J3727" s="26" t="str">
        <f t="shared" si="507"/>
        <v/>
      </c>
      <c r="N3727" t="str">
        <f t="shared" si="508"/>
        <v/>
      </c>
      <c r="Q3727" t="str">
        <f t="shared" si="509"/>
        <v/>
      </c>
      <c r="S3727" t="str">
        <f>IF(A3727=1,MAX($S$2:$S3726)+1,IF(OR($I3727&lt;&gt;"",A3727="x"),$S3726,""))</f>
        <v/>
      </c>
      <c r="T3727" t="str">
        <f>IF(D3727=1,MAX($T$2:$T3726)+1,IF(S3727=S3726,$T3726,IF(D3727="x",T3726,IF(D3726="x","",""))))</f>
        <v/>
      </c>
      <c r="U3727" t="str">
        <f>IF(B3727=1,MAX($U$2:$U3726)+1,IF(AND($T3727&lt;&gt;"",$T3727=$T3726),$U3726,IF(B3727="x",U3726,"")))</f>
        <v/>
      </c>
      <c r="V3727" t="str">
        <f>IF(C3727=1,MAX($V$2:$V3726)+1,IF(AND($T3727&lt;&gt;"",$T3727=$T3726),$U3726,IF(C3727="x",V3726,"")))</f>
        <v/>
      </c>
      <c r="X3727" cm="1">
        <f t="array" ref="X3727">IF($I3727&lt;&gt;"",$I3727,INDEX($I$1:$I3727,ROW()-COUNTIFS($T$1:$T3727,"="&amp;$T3727,$S$1:$S3727,"&lt;"&amp;$S3727)))</f>
        <v>0</v>
      </c>
      <c r="Z3727" s="6">
        <f t="shared" si="510"/>
        <v>1</v>
      </c>
      <c r="AA3727" t="e">
        <f t="shared" si="511"/>
        <v>#VALUE!</v>
      </c>
      <c r="AB3727" t="str">
        <f t="shared" si="512"/>
        <v/>
      </c>
      <c r="AC3727" t="e">
        <f t="shared" si="513"/>
        <v>#VALUE!</v>
      </c>
    </row>
    <row r="3728" spans="1:29" x14ac:dyDescent="0.2">
      <c r="A3728" t="str">
        <f t="shared" si="506"/>
        <v/>
      </c>
      <c r="E3728" s="4"/>
      <c r="F3728" s="46"/>
      <c r="G3728" s="4"/>
      <c r="H3728" s="48"/>
      <c r="J3728" s="26" t="str">
        <f t="shared" si="507"/>
        <v/>
      </c>
      <c r="N3728" t="str">
        <f t="shared" si="508"/>
        <v/>
      </c>
      <c r="Q3728" t="str">
        <f t="shared" si="509"/>
        <v/>
      </c>
      <c r="S3728" t="str">
        <f>IF(A3728=1,MAX($S$2:$S3727)+1,IF(OR($I3728&lt;&gt;"",A3728="x"),$S3727,""))</f>
        <v/>
      </c>
      <c r="T3728" t="str">
        <f>IF(D3728=1,MAX($T$2:$T3727)+1,IF(S3728=S3727,$T3727,IF(D3728="x",T3727,IF(D3727="x","",""))))</f>
        <v/>
      </c>
      <c r="U3728" t="str">
        <f>IF(B3728=1,MAX($U$2:$U3727)+1,IF(AND($T3728&lt;&gt;"",$T3728=$T3727),$U3727,IF(B3728="x",U3727,"")))</f>
        <v/>
      </c>
      <c r="V3728" t="str">
        <f>IF(C3728=1,MAX($V$2:$V3727)+1,IF(AND($T3728&lt;&gt;"",$T3728=$T3727),$U3727,IF(C3728="x",V3727,"")))</f>
        <v/>
      </c>
      <c r="X3728" cm="1">
        <f t="array" ref="X3728">IF($I3728&lt;&gt;"",$I3728,INDEX($I$1:$I3728,ROW()-COUNTIFS($T$1:$T3728,"="&amp;$T3728,$S$1:$S3728,"&lt;"&amp;$S3728)))</f>
        <v>0</v>
      </c>
      <c r="Z3728" s="6">
        <f t="shared" si="510"/>
        <v>1</v>
      </c>
      <c r="AA3728" t="e">
        <f t="shared" si="511"/>
        <v>#VALUE!</v>
      </c>
      <c r="AB3728" t="str">
        <f t="shared" si="512"/>
        <v/>
      </c>
      <c r="AC3728" t="e">
        <f t="shared" si="513"/>
        <v>#VALUE!</v>
      </c>
    </row>
    <row r="3729" spans="1:29" x14ac:dyDescent="0.2">
      <c r="A3729" t="str">
        <f t="shared" si="506"/>
        <v/>
      </c>
      <c r="E3729" s="4"/>
      <c r="F3729" s="46"/>
      <c r="G3729" s="4"/>
      <c r="H3729" s="48"/>
      <c r="J3729" s="26" t="str">
        <f t="shared" si="507"/>
        <v/>
      </c>
      <c r="N3729" t="str">
        <f t="shared" si="508"/>
        <v/>
      </c>
      <c r="Q3729" t="str">
        <f t="shared" si="509"/>
        <v/>
      </c>
      <c r="S3729" t="str">
        <f>IF(A3729=1,MAX($S$2:$S3728)+1,IF(OR($I3729&lt;&gt;"",A3729="x"),$S3728,""))</f>
        <v/>
      </c>
      <c r="T3729" t="str">
        <f>IF(D3729=1,MAX($T$2:$T3728)+1,IF(S3729=S3728,$T3728,IF(D3729="x",T3728,IF(D3728="x","",""))))</f>
        <v/>
      </c>
      <c r="U3729" t="str">
        <f>IF(B3729=1,MAX($U$2:$U3728)+1,IF(AND($T3729&lt;&gt;"",$T3729=$T3728),$U3728,IF(B3729="x",U3728,"")))</f>
        <v/>
      </c>
      <c r="V3729" t="str">
        <f>IF(C3729=1,MAX($V$2:$V3728)+1,IF(AND($T3729&lt;&gt;"",$T3729=$T3728),$U3728,IF(C3729="x",V3728,"")))</f>
        <v/>
      </c>
      <c r="X3729" cm="1">
        <f t="array" ref="X3729">IF($I3729&lt;&gt;"",$I3729,INDEX($I$1:$I3729,ROW()-COUNTIFS($T$1:$T3729,"="&amp;$T3729,$S$1:$S3729,"&lt;"&amp;$S3729)))</f>
        <v>0</v>
      </c>
      <c r="Z3729" s="6">
        <f t="shared" si="510"/>
        <v>1</v>
      </c>
      <c r="AA3729" t="e">
        <f t="shared" si="511"/>
        <v>#VALUE!</v>
      </c>
      <c r="AB3729" t="str">
        <f t="shared" si="512"/>
        <v/>
      </c>
      <c r="AC3729" t="e">
        <f t="shared" si="513"/>
        <v>#VALUE!</v>
      </c>
    </row>
    <row r="3730" spans="1:29" x14ac:dyDescent="0.2">
      <c r="A3730" t="str">
        <f t="shared" si="506"/>
        <v/>
      </c>
      <c r="E3730" s="4"/>
      <c r="F3730" s="46"/>
      <c r="G3730" s="4"/>
      <c r="H3730" s="48"/>
      <c r="J3730" s="26" t="str">
        <f t="shared" si="507"/>
        <v/>
      </c>
      <c r="N3730" t="str">
        <f t="shared" si="508"/>
        <v/>
      </c>
      <c r="Q3730" t="str">
        <f t="shared" si="509"/>
        <v/>
      </c>
      <c r="S3730" t="str">
        <f>IF(A3730=1,MAX($S$2:$S3729)+1,IF(OR($I3730&lt;&gt;"",A3730="x"),$S3729,""))</f>
        <v/>
      </c>
      <c r="T3730" t="str">
        <f>IF(D3730=1,MAX($T$2:$T3729)+1,IF(S3730=S3729,$T3729,IF(D3730="x",T3729,IF(D3729="x","",""))))</f>
        <v/>
      </c>
      <c r="U3730" t="str">
        <f>IF(B3730=1,MAX($U$2:$U3729)+1,IF(AND($T3730&lt;&gt;"",$T3730=$T3729),$U3729,IF(B3730="x",U3729,"")))</f>
        <v/>
      </c>
      <c r="V3730" t="str">
        <f>IF(C3730=1,MAX($V$2:$V3729)+1,IF(AND($T3730&lt;&gt;"",$T3730=$T3729),$U3729,IF(C3730="x",V3729,"")))</f>
        <v/>
      </c>
      <c r="X3730" cm="1">
        <f t="array" ref="X3730">IF($I3730&lt;&gt;"",$I3730,INDEX($I$1:$I3730,ROW()-COUNTIFS($T$1:$T3730,"="&amp;$T3730,$S$1:$S3730,"&lt;"&amp;$S3730)))</f>
        <v>0</v>
      </c>
      <c r="Z3730" s="6">
        <f t="shared" si="510"/>
        <v>1</v>
      </c>
      <c r="AA3730" t="e">
        <f t="shared" si="511"/>
        <v>#VALUE!</v>
      </c>
      <c r="AB3730" t="str">
        <f t="shared" si="512"/>
        <v/>
      </c>
      <c r="AC3730" t="e">
        <f t="shared" si="513"/>
        <v>#VALUE!</v>
      </c>
    </row>
    <row r="3731" spans="1:29" x14ac:dyDescent="0.2">
      <c r="A3731" t="str">
        <f t="shared" ref="A3731:A3794" si="514">IF(K3731&lt;&gt;"",1,IF(D3731="x","x",""))</f>
        <v/>
      </c>
      <c r="E3731" s="4"/>
      <c r="F3731" s="46"/>
      <c r="G3731" s="4"/>
      <c r="H3731" s="48"/>
      <c r="J3731" s="26" t="str">
        <f t="shared" ref="J3731:J3794" si="515">IF(OR(K3731="Goal",K3731="Shot",L3731="Zone_Entry",M3731="Stoppage-Goal",M3730="Stoppage-Goal"),"o",IF(OR(K3731="Save",K3731="Rebound",L3731="Zone_Exit",M3731="Stoppage-GoalieStoppage",M3730="Stoppage-GoalieStoppage"),"d",IF(OR(L3731="Faceoff_AfterGoal",L3731="Faceoff_PeriodStart",698="Faceoff_GameStart",M3730="Stoppage-Goal"),"n","")))</f>
        <v/>
      </c>
      <c r="N3731" t="str">
        <f t="shared" ref="N3731:N3794" si="516">IF(K3731="","",IF(K3731="Goal","s",IF(AND(K3731="Zone_Entry_Exit",OR(ISNUMBER(SEARCH("fail",L3731)),ISNUMBER(SEARCH("FromExitClear",M3731)),ISNUMBER(SEARCH("miss",M3731)))),"u",IF(AND(K3731="Zone_Entry_Exit",OR(NOT(ISNUMBER(SEARCH("fail",L3731))),NOT(ISNUMBER(SEARCH("FromExitClear",M3731))),NOT(ISNUMBER(SEARCH("miss",M3731))))),"s",IF(AND(OR(K3731="Shot",K3731="Pass"),OR(ISNUMBER(SEARCH("complete",L3731)),ISNUMBER(SEARCH("goal",L3731)),ISNUMBER(SEARCH("OnNet",L3731)))),"s",IF(L3731="Turnover_Giveaway","u",IF(AND(OR(K3731="Shot",K3731="Pass"),OR(ISNUMBER(SEARCH("fail",L3731)),NOT(ISNUMBER(SEARCH("complete",L3731))),NOT(ISNUMBER(SEARCH("OnNet",L3731))))),"u","")))))))</f>
        <v/>
      </c>
      <c r="Q3731" t="str">
        <f t="shared" ref="Q3731:Q3794" si="517">IF(O3731="","",IF(AND(N3731&lt;&gt;"",OR(O3731&lt;&gt;"",P3731&lt;&gt;"")),N3731,IF(OR(ISNUMBER(SEARCH("attemp",O3731)),ISNUMBER(SEARCH("beat",O3731)),ISNUMBER(SEARCH("mis",O3731)),ISNUMBER(SEARCH("fail",O3731)),ISNUMBER(SEARCH("loss",O3731)),ISNUMBER(SEARCH("lost",O3731)),ISNUMBER(SEARCH("attemp",P3731)),ISNUMBER(SEARCH("mis",P3731)),ISNUMBER(SEARCH("fail",P3731)),ISNUMBER(SEARCH("loss",P3731)),ISNUMBER(SEARCH("beat",P3731)),ISNUMBER(SEARCH("lost",P3731))),"u","")))</f>
        <v/>
      </c>
      <c r="S3731" t="str">
        <f>IF(A3731=1,MAX($S$2:$S3730)+1,IF(OR($I3731&lt;&gt;"",A3731="x"),$S3730,""))</f>
        <v/>
      </c>
      <c r="T3731" t="str">
        <f>IF(D3731=1,MAX($T$2:$T3730)+1,IF(S3731=S3730,$T3730,IF(D3731="x",T3730,IF(D3730="x","",""))))</f>
        <v/>
      </c>
      <c r="U3731" t="str">
        <f>IF(B3731=1,MAX($U$2:$U3730)+1,IF(AND($T3731&lt;&gt;"",$T3731=$T3730),$U3730,IF(B3731="x",U3730,"")))</f>
        <v/>
      </c>
      <c r="V3731" t="str">
        <f>IF(C3731=1,MAX($V$2:$V3730)+1,IF(AND($T3731&lt;&gt;"",$T3731=$T3730),$U3730,IF(C3731="x",V3730,"")))</f>
        <v/>
      </c>
      <c r="X3731" cm="1">
        <f t="array" ref="X3731">IF($I3731&lt;&gt;"",$I3731,INDEX($I$1:$I3731,ROW()-COUNTIFS($T$1:$T3731,"="&amp;$T3731,$S$1:$S3731,"&lt;"&amp;$S3731)))</f>
        <v>0</v>
      </c>
      <c r="Z3731" s="6">
        <f t="shared" si="510"/>
        <v>1</v>
      </c>
      <c r="AA3731" t="e">
        <f t="shared" si="511"/>
        <v>#VALUE!</v>
      </c>
      <c r="AB3731" t="str">
        <f t="shared" si="512"/>
        <v/>
      </c>
      <c r="AC3731" t="e">
        <f t="shared" si="513"/>
        <v>#VALUE!</v>
      </c>
    </row>
    <row r="3732" spans="1:29" x14ac:dyDescent="0.2">
      <c r="A3732" t="str">
        <f t="shared" si="514"/>
        <v/>
      </c>
      <c r="E3732" s="4"/>
      <c r="F3732" s="46"/>
      <c r="G3732" s="4"/>
      <c r="H3732" s="48"/>
      <c r="J3732" s="26" t="str">
        <f t="shared" si="515"/>
        <v/>
      </c>
      <c r="N3732" t="str">
        <f t="shared" si="516"/>
        <v/>
      </c>
      <c r="Q3732" t="str">
        <f t="shared" si="517"/>
        <v/>
      </c>
      <c r="S3732" t="str">
        <f>IF(A3732=1,MAX($S$2:$S3731)+1,IF(OR($I3732&lt;&gt;"",A3732="x"),$S3731,""))</f>
        <v/>
      </c>
      <c r="T3732" t="str">
        <f>IF(D3732=1,MAX($T$2:$T3731)+1,IF(S3732=S3731,$T3731,IF(D3732="x",T3731,IF(D3731="x","",""))))</f>
        <v/>
      </c>
      <c r="U3732" t="str">
        <f>IF(B3732=1,MAX($U$2:$U3731)+1,IF(AND($T3732&lt;&gt;"",$T3732=$T3731),$U3731,IF(B3732="x",U3731,"")))</f>
        <v/>
      </c>
      <c r="V3732" t="str">
        <f>IF(C3732=1,MAX($V$2:$V3731)+1,IF(AND($T3732&lt;&gt;"",$T3732=$T3731),$U3731,IF(C3732="x",V3731,"")))</f>
        <v/>
      </c>
      <c r="X3732" cm="1">
        <f t="array" ref="X3732">IF($I3732&lt;&gt;"",$I3732,INDEX($I$1:$I3732,ROW()-COUNTIFS($T$1:$T3732,"="&amp;$T3732,$S$1:$S3732,"&lt;"&amp;$S3732)))</f>
        <v>0</v>
      </c>
      <c r="Z3732" s="6">
        <f t="shared" si="510"/>
        <v>1</v>
      </c>
      <c r="AA3732" t="e">
        <f t="shared" si="511"/>
        <v>#VALUE!</v>
      </c>
      <c r="AB3732" t="str">
        <f t="shared" si="512"/>
        <v/>
      </c>
      <c r="AC3732" t="e">
        <f t="shared" si="513"/>
        <v>#VALUE!</v>
      </c>
    </row>
    <row r="3733" spans="1:29" x14ac:dyDescent="0.2">
      <c r="A3733" t="str">
        <f t="shared" si="514"/>
        <v/>
      </c>
      <c r="E3733" s="4"/>
      <c r="F3733" s="46"/>
      <c r="G3733" s="4"/>
      <c r="H3733" s="48"/>
      <c r="J3733" s="26" t="str">
        <f t="shared" si="515"/>
        <v/>
      </c>
      <c r="N3733" t="str">
        <f t="shared" si="516"/>
        <v/>
      </c>
      <c r="Q3733" t="str">
        <f t="shared" si="517"/>
        <v/>
      </c>
      <c r="S3733" t="str">
        <f>IF(A3733=1,MAX($S$2:$S3732)+1,IF(OR($I3733&lt;&gt;"",A3733="x"),$S3732,""))</f>
        <v/>
      </c>
      <c r="T3733" t="str">
        <f>IF(D3733=1,MAX($T$2:$T3732)+1,IF(S3733=S3732,$T3732,IF(D3733="x",T3732,IF(D3732="x","",""))))</f>
        <v/>
      </c>
      <c r="U3733" t="str">
        <f>IF(B3733=1,MAX($U$2:$U3732)+1,IF(AND($T3733&lt;&gt;"",$T3733=$T3732),$U3732,IF(B3733="x",U3732,"")))</f>
        <v/>
      </c>
      <c r="V3733" t="str">
        <f>IF(C3733=1,MAX($V$2:$V3732)+1,IF(AND($T3733&lt;&gt;"",$T3733=$T3732),$U3732,IF(C3733="x",V3732,"")))</f>
        <v/>
      </c>
      <c r="X3733" cm="1">
        <f t="array" ref="X3733">IF($I3733&lt;&gt;"",$I3733,INDEX($I$1:$I3733,ROW()-COUNTIFS($T$1:$T3733,"="&amp;$T3733,$S$1:$S3733,"&lt;"&amp;$S3733)))</f>
        <v>0</v>
      </c>
      <c r="Z3733" s="6">
        <f t="shared" si="510"/>
        <v>1</v>
      </c>
      <c r="AA3733" t="e">
        <f t="shared" si="511"/>
        <v>#VALUE!</v>
      </c>
      <c r="AB3733" t="str">
        <f t="shared" si="512"/>
        <v/>
      </c>
      <c r="AC3733" t="e">
        <f t="shared" si="513"/>
        <v>#VALUE!</v>
      </c>
    </row>
    <row r="3734" spans="1:29" x14ac:dyDescent="0.2">
      <c r="A3734" t="str">
        <f t="shared" si="514"/>
        <v/>
      </c>
      <c r="E3734" s="4"/>
      <c r="F3734" s="46"/>
      <c r="G3734" s="4"/>
      <c r="H3734" s="48"/>
      <c r="J3734" s="26" t="str">
        <f t="shared" si="515"/>
        <v/>
      </c>
      <c r="N3734" t="str">
        <f t="shared" si="516"/>
        <v/>
      </c>
      <c r="Q3734" t="str">
        <f t="shared" si="517"/>
        <v/>
      </c>
      <c r="S3734" t="str">
        <f>IF(A3734=1,MAX($S$2:$S3733)+1,IF(OR($I3734&lt;&gt;"",A3734="x"),$S3733,""))</f>
        <v/>
      </c>
      <c r="T3734" t="str">
        <f>IF(D3734=1,MAX($T$2:$T3733)+1,IF(S3734=S3733,$T3733,IF(D3734="x",T3733,IF(D3733="x","",""))))</f>
        <v/>
      </c>
      <c r="U3734" t="str">
        <f>IF(B3734=1,MAX($U$2:$U3733)+1,IF(AND($T3734&lt;&gt;"",$T3734=$T3733),$U3733,IF(B3734="x",U3733,"")))</f>
        <v/>
      </c>
      <c r="V3734" t="str">
        <f>IF(C3734=1,MAX($V$2:$V3733)+1,IF(AND($T3734&lt;&gt;"",$T3734=$T3733),$U3733,IF(C3734="x",V3733,"")))</f>
        <v/>
      </c>
      <c r="X3734" cm="1">
        <f t="array" ref="X3734">IF($I3734&lt;&gt;"",$I3734,INDEX($I$1:$I3734,ROW()-COUNTIFS($T$1:$T3734,"="&amp;$T3734,$S$1:$S3734,"&lt;"&amp;$S3734)))</f>
        <v>0</v>
      </c>
      <c r="Z3734" s="6">
        <f t="shared" si="510"/>
        <v>1</v>
      </c>
      <c r="AA3734" t="e">
        <f t="shared" si="511"/>
        <v>#VALUE!</v>
      </c>
      <c r="AB3734" t="str">
        <f t="shared" si="512"/>
        <v/>
      </c>
      <c r="AC3734" t="e">
        <f t="shared" si="513"/>
        <v>#VALUE!</v>
      </c>
    </row>
    <row r="3735" spans="1:29" x14ac:dyDescent="0.2">
      <c r="A3735" t="str">
        <f t="shared" si="514"/>
        <v/>
      </c>
      <c r="E3735" s="4"/>
      <c r="F3735" s="46"/>
      <c r="G3735" s="4"/>
      <c r="H3735" s="48"/>
      <c r="J3735" s="26" t="str">
        <f t="shared" si="515"/>
        <v/>
      </c>
      <c r="N3735" t="str">
        <f t="shared" si="516"/>
        <v/>
      </c>
      <c r="Q3735" t="str">
        <f t="shared" si="517"/>
        <v/>
      </c>
      <c r="S3735" t="str">
        <f>IF(A3735=1,MAX($S$2:$S3734)+1,IF(OR($I3735&lt;&gt;"",A3735="x"),$S3734,""))</f>
        <v/>
      </c>
      <c r="T3735" t="str">
        <f>IF(D3735=1,MAX($T$2:$T3734)+1,IF(S3735=S3734,$T3734,IF(D3735="x",T3734,IF(D3734="x","",""))))</f>
        <v/>
      </c>
      <c r="U3735" t="str">
        <f>IF(B3735=1,MAX($U$2:$U3734)+1,IF(AND($T3735&lt;&gt;"",$T3735=$T3734),$U3734,IF(B3735="x",U3734,"")))</f>
        <v/>
      </c>
      <c r="V3735" t="str">
        <f>IF(C3735=1,MAX($V$2:$V3734)+1,IF(AND($T3735&lt;&gt;"",$T3735=$T3734),$U3734,IF(C3735="x",V3734,"")))</f>
        <v/>
      </c>
      <c r="X3735" cm="1">
        <f t="array" ref="X3735">IF($I3735&lt;&gt;"",$I3735,INDEX($I$1:$I3735,ROW()-COUNTIFS($T$1:$T3735,"="&amp;$T3735,$S$1:$S3735,"&lt;"&amp;$S3735)))</f>
        <v>0</v>
      </c>
      <c r="Z3735" s="6">
        <f t="shared" si="510"/>
        <v>1</v>
      </c>
      <c r="AA3735" t="e">
        <f t="shared" si="511"/>
        <v>#VALUE!</v>
      </c>
      <c r="AB3735" t="str">
        <f t="shared" si="512"/>
        <v/>
      </c>
      <c r="AC3735" t="e">
        <f t="shared" si="513"/>
        <v>#VALUE!</v>
      </c>
    </row>
    <row r="3736" spans="1:29" x14ac:dyDescent="0.2">
      <c r="A3736" t="str">
        <f t="shared" si="514"/>
        <v/>
      </c>
      <c r="E3736" s="4"/>
      <c r="F3736" s="46"/>
      <c r="G3736" s="4"/>
      <c r="H3736" s="48"/>
      <c r="J3736" s="26" t="str">
        <f t="shared" si="515"/>
        <v/>
      </c>
      <c r="N3736" t="str">
        <f t="shared" si="516"/>
        <v/>
      </c>
      <c r="Q3736" t="str">
        <f t="shared" si="517"/>
        <v/>
      </c>
      <c r="S3736" t="str">
        <f>IF(A3736=1,MAX($S$2:$S3735)+1,IF(OR($I3736&lt;&gt;"",A3736="x"),$S3735,""))</f>
        <v/>
      </c>
      <c r="T3736" t="str">
        <f>IF(D3736=1,MAX($T$2:$T3735)+1,IF(S3736=S3735,$T3735,IF(D3736="x",T3735,IF(D3735="x","",""))))</f>
        <v/>
      </c>
      <c r="U3736" t="str">
        <f>IF(B3736=1,MAX($U$2:$U3735)+1,IF(AND($T3736&lt;&gt;"",$T3736=$T3735),$U3735,IF(B3736="x",U3735,"")))</f>
        <v/>
      </c>
      <c r="V3736" t="str">
        <f>IF(C3736=1,MAX($V$2:$V3735)+1,IF(AND($T3736&lt;&gt;"",$T3736=$T3735),$U3735,IF(C3736="x",V3735,"")))</f>
        <v/>
      </c>
      <c r="X3736" cm="1">
        <f t="array" ref="X3736">IF($I3736&lt;&gt;"",$I3736,INDEX($I$1:$I3736,ROW()-COUNTIFS($T$1:$T3736,"="&amp;$T3736,$S$1:$S3736,"&lt;"&amp;$S3736)))</f>
        <v>0</v>
      </c>
      <c r="Z3736" s="6">
        <f t="shared" si="510"/>
        <v>1</v>
      </c>
      <c r="AA3736" t="e">
        <f t="shared" si="511"/>
        <v>#VALUE!</v>
      </c>
      <c r="AB3736" t="str">
        <f t="shared" si="512"/>
        <v/>
      </c>
      <c r="AC3736" t="e">
        <f t="shared" si="513"/>
        <v>#VALUE!</v>
      </c>
    </row>
    <row r="3737" spans="1:29" x14ac:dyDescent="0.2">
      <c r="A3737" t="str">
        <f t="shared" si="514"/>
        <v/>
      </c>
      <c r="E3737" s="4"/>
      <c r="F3737" s="46"/>
      <c r="G3737" s="4"/>
      <c r="H3737" s="48"/>
      <c r="J3737" s="26" t="str">
        <f t="shared" si="515"/>
        <v/>
      </c>
      <c r="N3737" t="str">
        <f t="shared" si="516"/>
        <v/>
      </c>
      <c r="Q3737" t="str">
        <f t="shared" si="517"/>
        <v/>
      </c>
      <c r="S3737" t="str">
        <f>IF(A3737=1,MAX($S$2:$S3736)+1,IF(OR($I3737&lt;&gt;"",A3737="x"),$S3736,""))</f>
        <v/>
      </c>
      <c r="T3737" t="str">
        <f>IF(D3737=1,MAX($T$2:$T3736)+1,IF(S3737=S3736,$T3736,IF(D3737="x",T3736,IF(D3736="x","",""))))</f>
        <v/>
      </c>
      <c r="U3737" t="str">
        <f>IF(B3737=1,MAX($U$2:$U3736)+1,IF(AND($T3737&lt;&gt;"",$T3737=$T3736),$U3736,IF(B3737="x",U3736,"")))</f>
        <v/>
      </c>
      <c r="V3737" t="str">
        <f>IF(C3737=1,MAX($V$2:$V3736)+1,IF(AND($T3737&lt;&gt;"",$T3737=$T3736),$U3736,IF(C3737="x",V3736,"")))</f>
        <v/>
      </c>
      <c r="X3737" cm="1">
        <f t="array" ref="X3737">IF($I3737&lt;&gt;"",$I3737,INDEX($I$1:$I3737,ROW()-COUNTIFS($T$1:$T3737,"="&amp;$T3737,$S$1:$S3737,"&lt;"&amp;$S3737)))</f>
        <v>0</v>
      </c>
      <c r="Z3737" s="6">
        <f t="shared" si="510"/>
        <v>1</v>
      </c>
      <c r="AA3737" t="e">
        <f t="shared" si="511"/>
        <v>#VALUE!</v>
      </c>
      <c r="AB3737" t="str">
        <f t="shared" si="512"/>
        <v/>
      </c>
      <c r="AC3737" t="e">
        <f t="shared" si="513"/>
        <v>#VALUE!</v>
      </c>
    </row>
    <row r="3738" spans="1:29" x14ac:dyDescent="0.2">
      <c r="A3738" t="str">
        <f t="shared" si="514"/>
        <v/>
      </c>
      <c r="E3738" s="4"/>
      <c r="F3738" s="46"/>
      <c r="G3738" s="4"/>
      <c r="H3738" s="48"/>
      <c r="J3738" s="26" t="str">
        <f t="shared" si="515"/>
        <v/>
      </c>
      <c r="N3738" t="str">
        <f t="shared" si="516"/>
        <v/>
      </c>
      <c r="Q3738" t="str">
        <f t="shared" si="517"/>
        <v/>
      </c>
      <c r="S3738" t="str">
        <f>IF(A3738=1,MAX($S$2:$S3737)+1,IF(OR($I3738&lt;&gt;"",A3738="x"),$S3737,""))</f>
        <v/>
      </c>
      <c r="T3738" t="str">
        <f>IF(D3738=1,MAX($T$2:$T3737)+1,IF(S3738=S3737,$T3737,IF(D3738="x",T3737,IF(D3737="x","",""))))</f>
        <v/>
      </c>
      <c r="U3738" t="str">
        <f>IF(B3738=1,MAX($U$2:$U3737)+1,IF(AND($T3738&lt;&gt;"",$T3738=$T3737),$U3737,IF(B3738="x",U3737,"")))</f>
        <v/>
      </c>
      <c r="V3738" t="str">
        <f>IF(C3738=1,MAX($V$2:$V3737)+1,IF(AND($T3738&lt;&gt;"",$T3738=$T3737),$U3737,IF(C3738="x",V3737,"")))</f>
        <v/>
      </c>
      <c r="X3738" cm="1">
        <f t="array" ref="X3738">IF($I3738&lt;&gt;"",$I3738,INDEX($I$1:$I3738,ROW()-COUNTIFS($T$1:$T3738,"="&amp;$T3738,$S$1:$S3738,"&lt;"&amp;$S3738)))</f>
        <v>0</v>
      </c>
      <c r="Z3738" s="6">
        <f t="shared" si="510"/>
        <v>1</v>
      </c>
      <c r="AA3738" t="e">
        <f t="shared" si="511"/>
        <v>#VALUE!</v>
      </c>
      <c r="AB3738" t="str">
        <f t="shared" si="512"/>
        <v/>
      </c>
      <c r="AC3738" t="e">
        <f t="shared" si="513"/>
        <v>#VALUE!</v>
      </c>
    </row>
    <row r="3739" spans="1:29" x14ac:dyDescent="0.2">
      <c r="A3739" t="str">
        <f t="shared" si="514"/>
        <v/>
      </c>
      <c r="E3739" s="4"/>
      <c r="F3739" s="46"/>
      <c r="G3739" s="4"/>
      <c r="H3739" s="48"/>
      <c r="J3739" s="26" t="str">
        <f t="shared" si="515"/>
        <v/>
      </c>
      <c r="N3739" t="str">
        <f t="shared" si="516"/>
        <v/>
      </c>
      <c r="Q3739" t="str">
        <f t="shared" si="517"/>
        <v/>
      </c>
      <c r="S3739" t="str">
        <f>IF(A3739=1,MAX($S$2:$S3738)+1,IF(OR($I3739&lt;&gt;"",A3739="x"),$S3738,""))</f>
        <v/>
      </c>
      <c r="T3739" t="str">
        <f>IF(D3739=1,MAX($T$2:$T3738)+1,IF(S3739=S3738,$T3738,IF(D3739="x",T3738,IF(D3738="x","",""))))</f>
        <v/>
      </c>
      <c r="U3739" t="str">
        <f>IF(B3739=1,MAX($U$2:$U3738)+1,IF(AND($T3739&lt;&gt;"",$T3739=$T3738),$U3738,IF(B3739="x",U3738,"")))</f>
        <v/>
      </c>
      <c r="V3739" t="str">
        <f>IF(C3739=1,MAX($V$2:$V3738)+1,IF(AND($T3739&lt;&gt;"",$T3739=$T3738),$U3738,IF(C3739="x",V3738,"")))</f>
        <v/>
      </c>
      <c r="X3739" cm="1">
        <f t="array" ref="X3739">IF($I3739&lt;&gt;"",$I3739,INDEX($I$1:$I3739,ROW()-COUNTIFS($T$1:$T3739,"="&amp;$T3739,$S$1:$S3739,"&lt;"&amp;$S3739)))</f>
        <v>0</v>
      </c>
      <c r="Z3739" s="6">
        <f t="shared" si="510"/>
        <v>1</v>
      </c>
      <c r="AA3739" t="e">
        <f t="shared" si="511"/>
        <v>#VALUE!</v>
      </c>
      <c r="AB3739" t="str">
        <f t="shared" si="512"/>
        <v/>
      </c>
      <c r="AC3739" t="e">
        <f t="shared" si="513"/>
        <v>#VALUE!</v>
      </c>
    </row>
    <row r="3740" spans="1:29" x14ac:dyDescent="0.2">
      <c r="A3740" t="str">
        <f t="shared" si="514"/>
        <v/>
      </c>
      <c r="E3740" s="4"/>
      <c r="F3740" s="46"/>
      <c r="G3740" s="4"/>
      <c r="H3740" s="48"/>
      <c r="J3740" s="26" t="str">
        <f t="shared" si="515"/>
        <v/>
      </c>
      <c r="N3740" t="str">
        <f t="shared" si="516"/>
        <v/>
      </c>
      <c r="Q3740" t="str">
        <f t="shared" si="517"/>
        <v/>
      </c>
      <c r="S3740" t="str">
        <f>IF(A3740=1,MAX($S$2:$S3739)+1,IF(OR($I3740&lt;&gt;"",A3740="x"),$S3739,""))</f>
        <v/>
      </c>
      <c r="T3740" t="str">
        <f>IF(D3740=1,MAX($T$2:$T3739)+1,IF(S3740=S3739,$T3739,IF(D3740="x",T3739,IF(D3739="x","",""))))</f>
        <v/>
      </c>
      <c r="U3740" t="str">
        <f>IF(B3740=1,MAX($U$2:$U3739)+1,IF(AND($T3740&lt;&gt;"",$T3740=$T3739),$U3739,IF(B3740="x",U3739,"")))</f>
        <v/>
      </c>
      <c r="V3740" t="str">
        <f>IF(C3740=1,MAX($V$2:$V3739)+1,IF(AND($T3740&lt;&gt;"",$T3740=$T3739),$U3739,IF(C3740="x",V3739,"")))</f>
        <v/>
      </c>
      <c r="X3740" cm="1">
        <f t="array" ref="X3740">IF($I3740&lt;&gt;"",$I3740,INDEX($I$1:$I3740,ROW()-COUNTIFS($T$1:$T3740,"="&amp;$T3740,$S$1:$S3740,"&lt;"&amp;$S3740)))</f>
        <v>0</v>
      </c>
      <c r="Z3740" s="6">
        <f t="shared" si="510"/>
        <v>1</v>
      </c>
      <c r="AA3740" t="e">
        <f t="shared" si="511"/>
        <v>#VALUE!</v>
      </c>
      <c r="AB3740" t="str">
        <f t="shared" si="512"/>
        <v/>
      </c>
      <c r="AC3740" t="e">
        <f t="shared" si="513"/>
        <v>#VALUE!</v>
      </c>
    </row>
    <row r="3741" spans="1:29" x14ac:dyDescent="0.2">
      <c r="A3741" t="str">
        <f t="shared" si="514"/>
        <v/>
      </c>
      <c r="E3741" s="4"/>
      <c r="F3741" s="46"/>
      <c r="G3741" s="4"/>
      <c r="H3741" s="48"/>
      <c r="J3741" s="26" t="str">
        <f t="shared" si="515"/>
        <v/>
      </c>
      <c r="N3741" t="str">
        <f t="shared" si="516"/>
        <v/>
      </c>
      <c r="Q3741" t="str">
        <f t="shared" si="517"/>
        <v/>
      </c>
      <c r="S3741" t="str">
        <f>IF(A3741=1,MAX($S$2:$S3740)+1,IF(OR($I3741&lt;&gt;"",A3741="x"),$S3740,""))</f>
        <v/>
      </c>
      <c r="T3741" t="str">
        <f>IF(D3741=1,MAX($T$2:$T3740)+1,IF(S3741=S3740,$T3740,IF(D3741="x",T3740,IF(D3740="x","",""))))</f>
        <v/>
      </c>
      <c r="U3741" t="str">
        <f>IF(B3741=1,MAX($U$2:$U3740)+1,IF(AND($T3741&lt;&gt;"",$T3741=$T3740),$U3740,IF(B3741="x",U3740,"")))</f>
        <v/>
      </c>
      <c r="V3741" t="str">
        <f>IF(C3741=1,MAX($V$2:$V3740)+1,IF(AND($T3741&lt;&gt;"",$T3741=$T3740),$U3740,IF(C3741="x",V3740,"")))</f>
        <v/>
      </c>
      <c r="X3741" cm="1">
        <f t="array" ref="X3741">IF($I3741&lt;&gt;"",$I3741,INDEX($I$1:$I3741,ROW()-COUNTIFS($T$1:$T3741,"="&amp;$T3741,$S$1:$S3741,"&lt;"&amp;$S3741)))</f>
        <v>0</v>
      </c>
      <c r="Z3741" s="6">
        <f t="shared" si="510"/>
        <v>1</v>
      </c>
      <c r="AA3741" t="e">
        <f t="shared" si="511"/>
        <v>#VALUE!</v>
      </c>
      <c r="AB3741" t="str">
        <f t="shared" si="512"/>
        <v/>
      </c>
      <c r="AC3741" t="e">
        <f t="shared" si="513"/>
        <v>#VALUE!</v>
      </c>
    </row>
    <row r="3742" spans="1:29" x14ac:dyDescent="0.2">
      <c r="A3742" t="str">
        <f t="shared" si="514"/>
        <v/>
      </c>
      <c r="E3742" s="4"/>
      <c r="F3742" s="46"/>
      <c r="G3742" s="4"/>
      <c r="H3742" s="48"/>
      <c r="J3742" s="26" t="str">
        <f t="shared" si="515"/>
        <v/>
      </c>
      <c r="N3742" t="str">
        <f t="shared" si="516"/>
        <v/>
      </c>
      <c r="Q3742" t="str">
        <f t="shared" si="517"/>
        <v/>
      </c>
      <c r="S3742" t="str">
        <f>IF(A3742=1,MAX($S$2:$S3741)+1,IF(OR($I3742&lt;&gt;"",A3742="x"),$S3741,""))</f>
        <v/>
      </c>
      <c r="T3742" t="str">
        <f>IF(D3742=1,MAX($T$2:$T3741)+1,IF(S3742=S3741,$T3741,IF(D3742="x",T3741,IF(D3741="x","",""))))</f>
        <v/>
      </c>
      <c r="U3742" t="str">
        <f>IF(B3742=1,MAX($U$2:$U3741)+1,IF(AND($T3742&lt;&gt;"",$T3742=$T3741),$U3741,IF(B3742="x",U3741,"")))</f>
        <v/>
      </c>
      <c r="V3742" t="str">
        <f>IF(C3742=1,MAX($V$2:$V3741)+1,IF(AND($T3742&lt;&gt;"",$T3742=$T3741),$U3741,IF(C3742="x",V3741,"")))</f>
        <v/>
      </c>
      <c r="X3742" cm="1">
        <f t="array" ref="X3742">IF($I3742&lt;&gt;"",$I3742,INDEX($I$1:$I3742,ROW()-COUNTIFS($T$1:$T3742,"="&amp;$T3742,$S$1:$S3742,"&lt;"&amp;$S3742)))</f>
        <v>0</v>
      </c>
      <c r="Z3742" s="6">
        <f t="shared" si="510"/>
        <v>1</v>
      </c>
      <c r="AA3742" t="e">
        <f t="shared" si="511"/>
        <v>#VALUE!</v>
      </c>
      <c r="AB3742" t="str">
        <f t="shared" si="512"/>
        <v/>
      </c>
      <c r="AC3742" t="e">
        <f t="shared" si="513"/>
        <v>#VALUE!</v>
      </c>
    </row>
    <row r="3743" spans="1:29" x14ac:dyDescent="0.2">
      <c r="A3743" t="str">
        <f t="shared" si="514"/>
        <v/>
      </c>
      <c r="E3743" s="4"/>
      <c r="F3743" s="46"/>
      <c r="G3743" s="4"/>
      <c r="H3743" s="48"/>
      <c r="J3743" s="26" t="str">
        <f t="shared" si="515"/>
        <v/>
      </c>
      <c r="N3743" t="str">
        <f t="shared" si="516"/>
        <v/>
      </c>
      <c r="Q3743" t="str">
        <f t="shared" si="517"/>
        <v/>
      </c>
      <c r="S3743" t="str">
        <f>IF(A3743=1,MAX($S$2:$S3742)+1,IF(OR($I3743&lt;&gt;"",A3743="x"),$S3742,""))</f>
        <v/>
      </c>
      <c r="T3743" t="str">
        <f>IF(D3743=1,MAX($T$2:$T3742)+1,IF(S3743=S3742,$T3742,IF(D3743="x",T3742,IF(D3742="x","",""))))</f>
        <v/>
      </c>
      <c r="U3743" t="str">
        <f>IF(B3743=1,MAX($U$2:$U3742)+1,IF(AND($T3743&lt;&gt;"",$T3743=$T3742),$U3742,IF(B3743="x",U3742,"")))</f>
        <v/>
      </c>
      <c r="V3743" t="str">
        <f>IF(C3743=1,MAX($V$2:$V3742)+1,IF(AND($T3743&lt;&gt;"",$T3743=$T3742),$U3742,IF(C3743="x",V3742,"")))</f>
        <v/>
      </c>
      <c r="X3743" cm="1">
        <f t="array" ref="X3743">IF($I3743&lt;&gt;"",$I3743,INDEX($I$1:$I3743,ROW()-COUNTIFS($T$1:$T3743,"="&amp;$T3743,$S$1:$S3743,"&lt;"&amp;$S3743)))</f>
        <v>0</v>
      </c>
      <c r="Z3743" s="6">
        <f t="shared" si="510"/>
        <v>1</v>
      </c>
      <c r="AA3743" t="e">
        <f t="shared" si="511"/>
        <v>#VALUE!</v>
      </c>
      <c r="AB3743" t="str">
        <f t="shared" si="512"/>
        <v/>
      </c>
      <c r="AC3743" t="e">
        <f t="shared" si="513"/>
        <v>#VALUE!</v>
      </c>
    </row>
    <row r="3744" spans="1:29" x14ac:dyDescent="0.2">
      <c r="A3744" t="str">
        <f t="shared" si="514"/>
        <v/>
      </c>
      <c r="E3744" s="4"/>
      <c r="F3744" s="46"/>
      <c r="G3744" s="4"/>
      <c r="H3744" s="48"/>
      <c r="J3744" s="26" t="str">
        <f t="shared" si="515"/>
        <v/>
      </c>
      <c r="N3744" t="str">
        <f t="shared" si="516"/>
        <v/>
      </c>
      <c r="Q3744" t="str">
        <f t="shared" si="517"/>
        <v/>
      </c>
      <c r="S3744" t="str">
        <f>IF(A3744=1,MAX($S$2:$S3743)+1,IF(OR($I3744&lt;&gt;"",A3744="x"),$S3743,""))</f>
        <v/>
      </c>
      <c r="T3744" t="str">
        <f>IF(D3744=1,MAX($T$2:$T3743)+1,IF(S3744=S3743,$T3743,IF(D3744="x",T3743,IF(D3743="x","",""))))</f>
        <v/>
      </c>
      <c r="U3744" t="str">
        <f>IF(B3744=1,MAX($U$2:$U3743)+1,IF(AND($T3744&lt;&gt;"",$T3744=$T3743),$U3743,IF(B3744="x",U3743,"")))</f>
        <v/>
      </c>
      <c r="V3744" t="str">
        <f>IF(C3744=1,MAX($V$2:$V3743)+1,IF(AND($T3744&lt;&gt;"",$T3744=$T3743),$U3743,IF(C3744="x",V3743,"")))</f>
        <v/>
      </c>
      <c r="X3744" cm="1">
        <f t="array" ref="X3744">IF($I3744&lt;&gt;"",$I3744,INDEX($I$1:$I3744,ROW()-COUNTIFS($T$1:$T3744,"="&amp;$T3744,$S$1:$S3744,"&lt;"&amp;$S3744)))</f>
        <v>0</v>
      </c>
      <c r="Z3744" s="6">
        <f t="shared" si="510"/>
        <v>1</v>
      </c>
      <c r="AA3744" t="e">
        <f t="shared" si="511"/>
        <v>#VALUE!</v>
      </c>
      <c r="AB3744" t="str">
        <f t="shared" si="512"/>
        <v/>
      </c>
      <c r="AC3744" t="e">
        <f t="shared" si="513"/>
        <v>#VALUE!</v>
      </c>
    </row>
    <row r="3745" spans="1:29" x14ac:dyDescent="0.2">
      <c r="A3745" t="str">
        <f t="shared" si="514"/>
        <v/>
      </c>
      <c r="E3745" s="4"/>
      <c r="F3745" s="46"/>
      <c r="G3745" s="4"/>
      <c r="H3745" s="48"/>
      <c r="J3745" s="26" t="str">
        <f t="shared" si="515"/>
        <v/>
      </c>
      <c r="N3745" t="str">
        <f t="shared" si="516"/>
        <v/>
      </c>
      <c r="Q3745" t="str">
        <f t="shared" si="517"/>
        <v/>
      </c>
      <c r="S3745" t="str">
        <f>IF(A3745=1,MAX($S$2:$S3744)+1,IF(OR($I3745&lt;&gt;"",A3745="x"),$S3744,""))</f>
        <v/>
      </c>
      <c r="T3745" t="str">
        <f>IF(D3745=1,MAX($T$2:$T3744)+1,IF(S3745=S3744,$T3744,IF(D3745="x",T3744,IF(D3744="x","",""))))</f>
        <v/>
      </c>
      <c r="U3745" t="str">
        <f>IF(B3745=1,MAX($U$2:$U3744)+1,IF(AND($T3745&lt;&gt;"",$T3745=$T3744),$U3744,IF(B3745="x",U3744,"")))</f>
        <v/>
      </c>
      <c r="V3745" t="str">
        <f>IF(C3745=1,MAX($V$2:$V3744)+1,IF(AND($T3745&lt;&gt;"",$T3745=$T3744),$U3744,IF(C3745="x",V3744,"")))</f>
        <v/>
      </c>
      <c r="X3745" cm="1">
        <f t="array" ref="X3745">IF($I3745&lt;&gt;"",$I3745,INDEX($I$1:$I3745,ROW()-COUNTIFS($T$1:$T3745,"="&amp;$T3745,$S$1:$S3745,"&lt;"&amp;$S3745)))</f>
        <v>0</v>
      </c>
      <c r="Z3745" s="6">
        <f t="shared" si="510"/>
        <v>1</v>
      </c>
      <c r="AA3745" t="e">
        <f t="shared" si="511"/>
        <v>#VALUE!</v>
      </c>
      <c r="AB3745" t="str">
        <f t="shared" si="512"/>
        <v/>
      </c>
      <c r="AC3745" t="e">
        <f t="shared" si="513"/>
        <v>#VALUE!</v>
      </c>
    </row>
    <row r="3746" spans="1:29" x14ac:dyDescent="0.2">
      <c r="A3746" t="str">
        <f t="shared" si="514"/>
        <v/>
      </c>
      <c r="E3746" s="4"/>
      <c r="F3746" s="46"/>
      <c r="G3746" s="4"/>
      <c r="H3746" s="48"/>
      <c r="J3746" s="26" t="str">
        <f t="shared" si="515"/>
        <v/>
      </c>
      <c r="N3746" t="str">
        <f t="shared" si="516"/>
        <v/>
      </c>
      <c r="Q3746" t="str">
        <f t="shared" si="517"/>
        <v/>
      </c>
      <c r="S3746" t="str">
        <f>IF(A3746=1,MAX($S$2:$S3745)+1,IF(OR($I3746&lt;&gt;"",A3746="x"),$S3745,""))</f>
        <v/>
      </c>
      <c r="T3746" t="str">
        <f>IF(D3746=1,MAX($T$2:$T3745)+1,IF(S3746=S3745,$T3745,IF(D3746="x",T3745,IF(D3745="x","",""))))</f>
        <v/>
      </c>
      <c r="U3746" t="str">
        <f>IF(B3746=1,MAX($U$2:$U3745)+1,IF(AND($T3746&lt;&gt;"",$T3746=$T3745),$U3745,IF(B3746="x",U3745,"")))</f>
        <v/>
      </c>
      <c r="V3746" t="str">
        <f>IF(C3746=1,MAX($V$2:$V3745)+1,IF(AND($T3746&lt;&gt;"",$T3746=$T3745),$U3745,IF(C3746="x",V3745,"")))</f>
        <v/>
      </c>
      <c r="X3746" cm="1">
        <f t="array" ref="X3746">IF($I3746&lt;&gt;"",$I3746,INDEX($I$1:$I3746,ROW()-COUNTIFS($T$1:$T3746,"="&amp;$T3746,$S$1:$S3746,"&lt;"&amp;$S3746)))</f>
        <v>0</v>
      </c>
      <c r="Z3746" s="6">
        <f t="shared" si="510"/>
        <v>1</v>
      </c>
      <c r="AA3746" t="e">
        <f t="shared" si="511"/>
        <v>#VALUE!</v>
      </c>
      <c r="AB3746" t="str">
        <f t="shared" si="512"/>
        <v/>
      </c>
      <c r="AC3746" t="e">
        <f t="shared" si="513"/>
        <v>#VALUE!</v>
      </c>
    </row>
    <row r="3747" spans="1:29" x14ac:dyDescent="0.2">
      <c r="A3747" t="str">
        <f t="shared" si="514"/>
        <v/>
      </c>
      <c r="E3747" s="4"/>
      <c r="F3747" s="46"/>
      <c r="G3747" s="4"/>
      <c r="H3747" s="48"/>
      <c r="J3747" s="26" t="str">
        <f t="shared" si="515"/>
        <v/>
      </c>
      <c r="N3747" t="str">
        <f t="shared" si="516"/>
        <v/>
      </c>
      <c r="Q3747" t="str">
        <f t="shared" si="517"/>
        <v/>
      </c>
      <c r="S3747" t="str">
        <f>IF(A3747=1,MAX($S$2:$S3746)+1,IF(OR($I3747&lt;&gt;"",A3747="x"),$S3746,""))</f>
        <v/>
      </c>
      <c r="T3747" t="str">
        <f>IF(D3747=1,MAX($T$2:$T3746)+1,IF(S3747=S3746,$T3746,IF(D3747="x",T3746,IF(D3746="x","",""))))</f>
        <v/>
      </c>
      <c r="U3747" t="str">
        <f>IF(B3747=1,MAX($U$2:$U3746)+1,IF(AND($T3747&lt;&gt;"",$T3747=$T3746),$U3746,IF(B3747="x",U3746,"")))</f>
        <v/>
      </c>
      <c r="V3747" t="str">
        <f>IF(C3747=1,MAX($V$2:$V3746)+1,IF(AND($T3747&lt;&gt;"",$T3747=$T3746),$U3746,IF(C3747="x",V3746,"")))</f>
        <v/>
      </c>
      <c r="X3747" cm="1">
        <f t="array" ref="X3747">IF($I3747&lt;&gt;"",$I3747,INDEX($I$1:$I3747,ROW()-COUNTIFS($T$1:$T3747,"="&amp;$T3747,$S$1:$S3747,"&lt;"&amp;$S3747)))</f>
        <v>0</v>
      </c>
      <c r="Z3747" s="6">
        <f t="shared" si="510"/>
        <v>1</v>
      </c>
      <c r="AA3747" t="e">
        <f t="shared" si="511"/>
        <v>#VALUE!</v>
      </c>
      <c r="AB3747" t="str">
        <f t="shared" si="512"/>
        <v/>
      </c>
      <c r="AC3747" t="e">
        <f t="shared" si="513"/>
        <v>#VALUE!</v>
      </c>
    </row>
    <row r="3748" spans="1:29" x14ac:dyDescent="0.2">
      <c r="A3748" t="str">
        <f t="shared" si="514"/>
        <v/>
      </c>
      <c r="E3748" s="4"/>
      <c r="F3748" s="46"/>
      <c r="G3748" s="4"/>
      <c r="H3748" s="48"/>
      <c r="J3748" s="26" t="str">
        <f t="shared" si="515"/>
        <v/>
      </c>
      <c r="N3748" t="str">
        <f t="shared" si="516"/>
        <v/>
      </c>
      <c r="Q3748" t="str">
        <f t="shared" si="517"/>
        <v/>
      </c>
      <c r="S3748" t="str">
        <f>IF(A3748=1,MAX($S$2:$S3747)+1,IF(OR($I3748&lt;&gt;"",A3748="x"),$S3747,""))</f>
        <v/>
      </c>
      <c r="T3748" t="str">
        <f>IF(D3748=1,MAX($T$2:$T3747)+1,IF(S3748=S3747,$T3747,IF(D3748="x",T3747,IF(D3747="x","",""))))</f>
        <v/>
      </c>
      <c r="U3748" t="str">
        <f>IF(B3748=1,MAX($U$2:$U3747)+1,IF(AND($T3748&lt;&gt;"",$T3748=$T3747),$U3747,IF(B3748="x",U3747,"")))</f>
        <v/>
      </c>
      <c r="V3748" t="str">
        <f>IF(C3748=1,MAX($V$2:$V3747)+1,IF(AND($T3748&lt;&gt;"",$T3748=$T3747),$U3747,IF(C3748="x",V3747,"")))</f>
        <v/>
      </c>
      <c r="X3748" cm="1">
        <f t="array" ref="X3748">IF($I3748&lt;&gt;"",$I3748,INDEX($I$1:$I3748,ROW()-COUNTIFS($T$1:$T3748,"="&amp;$T3748,$S$1:$S3748,"&lt;"&amp;$S3748)))</f>
        <v>0</v>
      </c>
      <c r="Z3748" s="6">
        <f t="shared" si="510"/>
        <v>1</v>
      </c>
      <c r="AA3748" t="e">
        <f t="shared" si="511"/>
        <v>#VALUE!</v>
      </c>
      <c r="AB3748" t="str">
        <f t="shared" si="512"/>
        <v/>
      </c>
      <c r="AC3748" t="e">
        <f t="shared" si="513"/>
        <v>#VALUE!</v>
      </c>
    </row>
    <row r="3749" spans="1:29" x14ac:dyDescent="0.2">
      <c r="A3749" t="str">
        <f t="shared" si="514"/>
        <v/>
      </c>
      <c r="E3749" s="4"/>
      <c r="F3749" s="46"/>
      <c r="G3749" s="4"/>
      <c r="H3749" s="48"/>
      <c r="J3749" s="26" t="str">
        <f t="shared" si="515"/>
        <v/>
      </c>
      <c r="N3749" t="str">
        <f t="shared" si="516"/>
        <v/>
      </c>
      <c r="Q3749" t="str">
        <f t="shared" si="517"/>
        <v/>
      </c>
      <c r="S3749" t="str">
        <f>IF(A3749=1,MAX($S$2:$S3748)+1,IF(OR($I3749&lt;&gt;"",A3749="x"),$S3748,""))</f>
        <v/>
      </c>
      <c r="T3749" t="str">
        <f>IF(D3749=1,MAX($T$2:$T3748)+1,IF(S3749=S3748,$T3748,IF(D3749="x",T3748,IF(D3748="x","",""))))</f>
        <v/>
      </c>
      <c r="U3749" t="str">
        <f>IF(B3749=1,MAX($U$2:$U3748)+1,IF(AND($T3749&lt;&gt;"",$T3749=$T3748),$U3748,IF(B3749="x",U3748,"")))</f>
        <v/>
      </c>
      <c r="V3749" t="str">
        <f>IF(C3749=1,MAX($V$2:$V3748)+1,IF(AND($T3749&lt;&gt;"",$T3749=$T3748),$U3748,IF(C3749="x",V3748,"")))</f>
        <v/>
      </c>
      <c r="X3749" cm="1">
        <f t="array" ref="X3749">IF($I3749&lt;&gt;"",$I3749,INDEX($I$1:$I3749,ROW()-COUNTIFS($T$1:$T3749,"="&amp;$T3749,$S$1:$S3749,"&lt;"&amp;$S3749)))</f>
        <v>0</v>
      </c>
      <c r="Z3749" s="6">
        <f t="shared" si="510"/>
        <v>1</v>
      </c>
      <c r="AA3749" t="e">
        <f t="shared" si="511"/>
        <v>#VALUE!</v>
      </c>
      <c r="AB3749" t="str">
        <f t="shared" si="512"/>
        <v/>
      </c>
      <c r="AC3749" t="e">
        <f t="shared" si="513"/>
        <v>#VALUE!</v>
      </c>
    </row>
    <row r="3750" spans="1:29" x14ac:dyDescent="0.2">
      <c r="A3750" t="str">
        <f t="shared" si="514"/>
        <v/>
      </c>
      <c r="E3750" s="4"/>
      <c r="F3750" s="46"/>
      <c r="G3750" s="4"/>
      <c r="H3750" s="48"/>
      <c r="J3750" s="26" t="str">
        <f t="shared" si="515"/>
        <v/>
      </c>
      <c r="N3750" t="str">
        <f t="shared" si="516"/>
        <v/>
      </c>
      <c r="Q3750" t="str">
        <f t="shared" si="517"/>
        <v/>
      </c>
      <c r="S3750" t="str">
        <f>IF(A3750=1,MAX($S$2:$S3749)+1,IF(OR($I3750&lt;&gt;"",A3750="x"),$S3749,""))</f>
        <v/>
      </c>
      <c r="T3750" t="str">
        <f>IF(D3750=1,MAX($T$2:$T3749)+1,IF(S3750=S3749,$T3749,IF(D3750="x",T3749,IF(D3749="x","",""))))</f>
        <v/>
      </c>
      <c r="U3750" t="str">
        <f>IF(B3750=1,MAX($U$2:$U3749)+1,IF(AND($T3750&lt;&gt;"",$T3750=$T3749),$U3749,IF(B3750="x",U3749,"")))</f>
        <v/>
      </c>
      <c r="V3750" t="str">
        <f>IF(C3750=1,MAX($V$2:$V3749)+1,IF(AND($T3750&lt;&gt;"",$T3750=$T3749),$U3749,IF(C3750="x",V3749,"")))</f>
        <v/>
      </c>
      <c r="X3750" cm="1">
        <f t="array" ref="X3750">IF($I3750&lt;&gt;"",$I3750,INDEX($I$1:$I3750,ROW()-COUNTIFS($T$1:$T3750,"="&amp;$T3750,$S$1:$S3750,"&lt;"&amp;$S3750)))</f>
        <v>0</v>
      </c>
      <c r="Z3750" s="6">
        <f t="shared" si="510"/>
        <v>1</v>
      </c>
      <c r="AA3750" t="e">
        <f t="shared" si="511"/>
        <v>#VALUE!</v>
      </c>
      <c r="AB3750" t="str">
        <f t="shared" si="512"/>
        <v/>
      </c>
      <c r="AC3750" t="e">
        <f t="shared" si="513"/>
        <v>#VALUE!</v>
      </c>
    </row>
    <row r="3751" spans="1:29" x14ac:dyDescent="0.2">
      <c r="A3751" t="str">
        <f t="shared" si="514"/>
        <v/>
      </c>
      <c r="E3751" s="4"/>
      <c r="F3751" s="46"/>
      <c r="G3751" s="4"/>
      <c r="H3751" s="48"/>
      <c r="J3751" s="26" t="str">
        <f t="shared" si="515"/>
        <v/>
      </c>
      <c r="N3751" t="str">
        <f t="shared" si="516"/>
        <v/>
      </c>
      <c r="Q3751" t="str">
        <f t="shared" si="517"/>
        <v/>
      </c>
      <c r="S3751" t="str">
        <f>IF(A3751=1,MAX($S$2:$S3750)+1,IF(OR($I3751&lt;&gt;"",A3751="x"),$S3750,""))</f>
        <v/>
      </c>
      <c r="T3751" t="str">
        <f>IF(D3751=1,MAX($T$2:$T3750)+1,IF(S3751=S3750,$T3750,IF(D3751="x",T3750,IF(D3750="x","",""))))</f>
        <v/>
      </c>
      <c r="U3751" t="str">
        <f>IF(B3751=1,MAX($U$2:$U3750)+1,IF(AND($T3751&lt;&gt;"",$T3751=$T3750),$U3750,IF(B3751="x",U3750,"")))</f>
        <v/>
      </c>
      <c r="V3751" t="str">
        <f>IF(C3751=1,MAX($V$2:$V3750)+1,IF(AND($T3751&lt;&gt;"",$T3751=$T3750),$U3750,IF(C3751="x",V3750,"")))</f>
        <v/>
      </c>
      <c r="X3751" cm="1">
        <f t="array" ref="X3751">IF($I3751&lt;&gt;"",$I3751,INDEX($I$1:$I3751,ROW()-COUNTIFS($T$1:$T3751,"="&amp;$T3751,$S$1:$S3751,"&lt;"&amp;$S3751)))</f>
        <v>0</v>
      </c>
      <c r="Z3751" s="6">
        <f t="shared" si="510"/>
        <v>1</v>
      </c>
      <c r="AA3751" t="e">
        <f t="shared" si="511"/>
        <v>#VALUE!</v>
      </c>
      <c r="AB3751" t="str">
        <f t="shared" si="512"/>
        <v/>
      </c>
      <c r="AC3751" t="e">
        <f t="shared" si="513"/>
        <v>#VALUE!</v>
      </c>
    </row>
    <row r="3752" spans="1:29" x14ac:dyDescent="0.2">
      <c r="A3752" t="str">
        <f t="shared" si="514"/>
        <v/>
      </c>
      <c r="E3752" s="4"/>
      <c r="F3752" s="46"/>
      <c r="G3752" s="4"/>
      <c r="H3752" s="48"/>
      <c r="J3752" s="26" t="str">
        <f t="shared" si="515"/>
        <v/>
      </c>
      <c r="N3752" t="str">
        <f t="shared" si="516"/>
        <v/>
      </c>
      <c r="Q3752" t="str">
        <f t="shared" si="517"/>
        <v/>
      </c>
      <c r="S3752" t="str">
        <f>IF(A3752=1,MAX($S$2:$S3751)+1,IF(OR($I3752&lt;&gt;"",A3752="x"),$S3751,""))</f>
        <v/>
      </c>
      <c r="T3752" t="str">
        <f>IF(D3752=1,MAX($T$2:$T3751)+1,IF(S3752=S3751,$T3751,IF(D3752="x",T3751,IF(D3751="x","",""))))</f>
        <v/>
      </c>
      <c r="U3752" t="str">
        <f>IF(B3752=1,MAX($U$2:$U3751)+1,IF(AND($T3752&lt;&gt;"",$T3752=$T3751),$U3751,IF(B3752="x",U3751,"")))</f>
        <v/>
      </c>
      <c r="V3752" t="str">
        <f>IF(C3752=1,MAX($V$2:$V3751)+1,IF(AND($T3752&lt;&gt;"",$T3752=$T3751),$U3751,IF(C3752="x",V3751,"")))</f>
        <v/>
      </c>
      <c r="X3752" cm="1">
        <f t="array" ref="X3752">IF($I3752&lt;&gt;"",$I3752,INDEX($I$1:$I3752,ROW()-COUNTIFS($T$1:$T3752,"="&amp;$T3752,$S$1:$S3752,"&lt;"&amp;$S3752)))</f>
        <v>0</v>
      </c>
      <c r="Z3752" s="6">
        <f t="shared" si="510"/>
        <v>1</v>
      </c>
      <c r="AA3752" t="e">
        <f t="shared" si="511"/>
        <v>#VALUE!</v>
      </c>
      <c r="AB3752" t="str">
        <f t="shared" si="512"/>
        <v/>
      </c>
      <c r="AC3752" t="e">
        <f t="shared" si="513"/>
        <v>#VALUE!</v>
      </c>
    </row>
    <row r="3753" spans="1:29" x14ac:dyDescent="0.2">
      <c r="A3753" t="str">
        <f t="shared" si="514"/>
        <v/>
      </c>
      <c r="E3753" s="4"/>
      <c r="F3753" s="46"/>
      <c r="G3753" s="4"/>
      <c r="H3753" s="48"/>
      <c r="J3753" s="26" t="str">
        <f t="shared" si="515"/>
        <v/>
      </c>
      <c r="N3753" t="str">
        <f t="shared" si="516"/>
        <v/>
      </c>
      <c r="Q3753" t="str">
        <f t="shared" si="517"/>
        <v/>
      </c>
      <c r="S3753" t="str">
        <f>IF(A3753=1,MAX($S$2:$S3752)+1,IF(OR($I3753&lt;&gt;"",A3753="x"),$S3752,""))</f>
        <v/>
      </c>
      <c r="T3753" t="str">
        <f>IF(D3753=1,MAX($T$2:$T3752)+1,IF(S3753=S3752,$T3752,IF(D3753="x",T3752,IF(D3752="x","",""))))</f>
        <v/>
      </c>
      <c r="U3753" t="str">
        <f>IF(B3753=1,MAX($U$2:$U3752)+1,IF(AND($T3753&lt;&gt;"",$T3753=$T3752),$U3752,IF(B3753="x",U3752,"")))</f>
        <v/>
      </c>
      <c r="V3753" t="str">
        <f>IF(C3753=1,MAX($V$2:$V3752)+1,IF(AND($T3753&lt;&gt;"",$T3753=$T3752),$U3752,IF(C3753="x",V3752,"")))</f>
        <v/>
      </c>
      <c r="X3753" cm="1">
        <f t="array" ref="X3753">IF($I3753&lt;&gt;"",$I3753,INDEX($I$1:$I3753,ROW()-COUNTIFS($T$1:$T3753,"="&amp;$T3753,$S$1:$S3753,"&lt;"&amp;$S3753)))</f>
        <v>0</v>
      </c>
      <c r="Z3753" s="6">
        <f t="shared" si="510"/>
        <v>1</v>
      </c>
      <c r="AA3753" t="e">
        <f t="shared" si="511"/>
        <v>#VALUE!</v>
      </c>
      <c r="AB3753" t="str">
        <f t="shared" si="512"/>
        <v/>
      </c>
      <c r="AC3753" t="e">
        <f t="shared" si="513"/>
        <v>#VALUE!</v>
      </c>
    </row>
    <row r="3754" spans="1:29" x14ac:dyDescent="0.2">
      <c r="A3754" t="str">
        <f t="shared" si="514"/>
        <v/>
      </c>
      <c r="E3754" s="4"/>
      <c r="F3754" s="46"/>
      <c r="G3754" s="4"/>
      <c r="H3754" s="48"/>
      <c r="J3754" s="26" t="str">
        <f t="shared" si="515"/>
        <v/>
      </c>
      <c r="N3754" t="str">
        <f t="shared" si="516"/>
        <v/>
      </c>
      <c r="Q3754" t="str">
        <f t="shared" si="517"/>
        <v/>
      </c>
      <c r="S3754" t="str">
        <f>IF(A3754=1,MAX($S$2:$S3753)+1,IF(OR($I3754&lt;&gt;"",A3754="x"),$S3753,""))</f>
        <v/>
      </c>
      <c r="T3754" t="str">
        <f>IF(D3754=1,MAX($T$2:$T3753)+1,IF(S3754=S3753,$T3753,IF(D3754="x",T3753,IF(D3753="x","",""))))</f>
        <v/>
      </c>
      <c r="U3754" t="str">
        <f>IF(B3754=1,MAX($U$2:$U3753)+1,IF(AND($T3754&lt;&gt;"",$T3754=$T3753),$U3753,IF(B3754="x",U3753,"")))</f>
        <v/>
      </c>
      <c r="V3754" t="str">
        <f>IF(C3754=1,MAX($V$2:$V3753)+1,IF(AND($T3754&lt;&gt;"",$T3754=$T3753),$U3753,IF(C3754="x",V3753,"")))</f>
        <v/>
      </c>
      <c r="X3754" cm="1">
        <f t="array" ref="X3754">IF($I3754&lt;&gt;"",$I3754,INDEX($I$1:$I3754,ROW()-COUNTIFS($T$1:$T3754,"="&amp;$T3754,$S$1:$S3754,"&lt;"&amp;$S3754)))</f>
        <v>0</v>
      </c>
      <c r="Z3754" s="6">
        <f t="shared" si="510"/>
        <v>1</v>
      </c>
      <c r="AA3754" t="e">
        <f t="shared" si="511"/>
        <v>#VALUE!</v>
      </c>
      <c r="AB3754" t="str">
        <f t="shared" si="512"/>
        <v/>
      </c>
      <c r="AC3754" t="e">
        <f t="shared" si="513"/>
        <v>#VALUE!</v>
      </c>
    </row>
    <row r="3755" spans="1:29" x14ac:dyDescent="0.2">
      <c r="A3755" t="str">
        <f t="shared" si="514"/>
        <v/>
      </c>
      <c r="E3755" s="4"/>
      <c r="F3755" s="46"/>
      <c r="G3755" s="4"/>
      <c r="H3755" s="48"/>
      <c r="J3755" s="26" t="str">
        <f t="shared" si="515"/>
        <v/>
      </c>
      <c r="N3755" t="str">
        <f t="shared" si="516"/>
        <v/>
      </c>
      <c r="Q3755" t="str">
        <f t="shared" si="517"/>
        <v/>
      </c>
      <c r="S3755" t="str">
        <f>IF(A3755=1,MAX($S$2:$S3754)+1,IF(OR($I3755&lt;&gt;"",A3755="x"),$S3754,""))</f>
        <v/>
      </c>
      <c r="T3755" t="str">
        <f>IF(D3755=1,MAX($T$2:$T3754)+1,IF(S3755=S3754,$T3754,IF(D3755="x",T3754,IF(D3754="x","",""))))</f>
        <v/>
      </c>
      <c r="U3755" t="str">
        <f>IF(B3755=1,MAX($U$2:$U3754)+1,IF(AND($T3755&lt;&gt;"",$T3755=$T3754),$U3754,IF(B3755="x",U3754,"")))</f>
        <v/>
      </c>
      <c r="V3755" t="str">
        <f>IF(C3755=1,MAX($V$2:$V3754)+1,IF(AND($T3755&lt;&gt;"",$T3755=$T3754),$U3754,IF(C3755="x",V3754,"")))</f>
        <v/>
      </c>
      <c r="X3755" cm="1">
        <f t="array" ref="X3755">IF($I3755&lt;&gt;"",$I3755,INDEX($I$1:$I3755,ROW()-COUNTIFS($T$1:$T3755,"="&amp;$T3755,$S$1:$S3755,"&lt;"&amp;$S3755)))</f>
        <v>0</v>
      </c>
      <c r="Z3755" s="6">
        <f t="shared" si="510"/>
        <v>1</v>
      </c>
      <c r="AA3755" t="e">
        <f t="shared" si="511"/>
        <v>#VALUE!</v>
      </c>
      <c r="AB3755" t="str">
        <f t="shared" si="512"/>
        <v/>
      </c>
      <c r="AC3755" t="e">
        <f t="shared" si="513"/>
        <v>#VALUE!</v>
      </c>
    </row>
    <row r="3756" spans="1:29" x14ac:dyDescent="0.2">
      <c r="A3756" t="str">
        <f t="shared" si="514"/>
        <v/>
      </c>
      <c r="E3756" s="4"/>
      <c r="F3756" s="46"/>
      <c r="G3756" s="4"/>
      <c r="H3756" s="48"/>
      <c r="J3756" s="26" t="str">
        <f t="shared" si="515"/>
        <v/>
      </c>
      <c r="N3756" t="str">
        <f t="shared" si="516"/>
        <v/>
      </c>
      <c r="Q3756" t="str">
        <f t="shared" si="517"/>
        <v/>
      </c>
      <c r="S3756" t="str">
        <f>IF(A3756=1,MAX($S$2:$S3755)+1,IF(OR($I3756&lt;&gt;"",A3756="x"),$S3755,""))</f>
        <v/>
      </c>
      <c r="T3756" t="str">
        <f>IF(D3756=1,MAX($T$2:$T3755)+1,IF(S3756=S3755,$T3755,IF(D3756="x",T3755,IF(D3755="x","",""))))</f>
        <v/>
      </c>
      <c r="U3756" t="str">
        <f>IF(B3756=1,MAX($U$2:$U3755)+1,IF(AND($T3756&lt;&gt;"",$T3756=$T3755),$U3755,IF(B3756="x",U3755,"")))</f>
        <v/>
      </c>
      <c r="V3756" t="str">
        <f>IF(C3756=1,MAX($V$2:$V3755)+1,IF(AND($T3756&lt;&gt;"",$T3756=$T3755),$U3755,IF(C3756="x",V3755,"")))</f>
        <v/>
      </c>
      <c r="X3756" cm="1">
        <f t="array" ref="X3756">IF($I3756&lt;&gt;"",$I3756,INDEX($I$1:$I3756,ROW()-COUNTIFS($T$1:$T3756,"="&amp;$T3756,$S$1:$S3756,"&lt;"&amp;$S3756)))</f>
        <v>0</v>
      </c>
      <c r="Z3756" s="6">
        <f t="shared" si="510"/>
        <v>1</v>
      </c>
      <c r="AA3756" t="e">
        <f t="shared" si="511"/>
        <v>#VALUE!</v>
      </c>
      <c r="AB3756" t="str">
        <f t="shared" si="512"/>
        <v/>
      </c>
      <c r="AC3756" t="e">
        <f t="shared" si="513"/>
        <v>#VALUE!</v>
      </c>
    </row>
    <row r="3757" spans="1:29" x14ac:dyDescent="0.2">
      <c r="A3757" t="str">
        <f t="shared" si="514"/>
        <v/>
      </c>
      <c r="E3757" s="4"/>
      <c r="F3757" s="46"/>
      <c r="G3757" s="4"/>
      <c r="H3757" s="48"/>
      <c r="J3757" s="26" t="str">
        <f t="shared" si="515"/>
        <v/>
      </c>
      <c r="N3757" t="str">
        <f t="shared" si="516"/>
        <v/>
      </c>
      <c r="Q3757" t="str">
        <f t="shared" si="517"/>
        <v/>
      </c>
      <c r="S3757" t="str">
        <f>IF(A3757=1,MAX($S$2:$S3756)+1,IF(OR($I3757&lt;&gt;"",A3757="x"),$S3756,""))</f>
        <v/>
      </c>
      <c r="T3757" t="str">
        <f>IF(D3757=1,MAX($T$2:$T3756)+1,IF(S3757=S3756,$T3756,IF(D3757="x",T3756,IF(D3756="x","",""))))</f>
        <v/>
      </c>
      <c r="U3757" t="str">
        <f>IF(B3757=1,MAX($U$2:$U3756)+1,IF(AND($T3757&lt;&gt;"",$T3757=$T3756),$U3756,IF(B3757="x",U3756,"")))</f>
        <v/>
      </c>
      <c r="V3757" t="str">
        <f>IF(C3757=1,MAX($V$2:$V3756)+1,IF(AND($T3757&lt;&gt;"",$T3757=$T3756),$U3756,IF(C3757="x",V3756,"")))</f>
        <v/>
      </c>
      <c r="X3757" cm="1">
        <f t="array" ref="X3757">IF($I3757&lt;&gt;"",$I3757,INDEX($I$1:$I3757,ROW()-COUNTIFS($T$1:$T3757,"="&amp;$T3757,$S$1:$S3757,"&lt;"&amp;$S3757)))</f>
        <v>0</v>
      </c>
      <c r="Z3757" s="6">
        <f t="shared" si="510"/>
        <v>1</v>
      </c>
      <c r="AA3757" t="e">
        <f t="shared" si="511"/>
        <v>#VALUE!</v>
      </c>
      <c r="AB3757" t="str">
        <f t="shared" si="512"/>
        <v/>
      </c>
      <c r="AC3757" t="e">
        <f t="shared" si="513"/>
        <v>#VALUE!</v>
      </c>
    </row>
    <row r="3758" spans="1:29" x14ac:dyDescent="0.2">
      <c r="A3758" t="str">
        <f t="shared" si="514"/>
        <v/>
      </c>
      <c r="E3758" s="4"/>
      <c r="F3758" s="46"/>
      <c r="G3758" s="4"/>
      <c r="H3758" s="48"/>
      <c r="J3758" s="26" t="str">
        <f t="shared" si="515"/>
        <v/>
      </c>
      <c r="N3758" t="str">
        <f t="shared" si="516"/>
        <v/>
      </c>
      <c r="Q3758" t="str">
        <f t="shared" si="517"/>
        <v/>
      </c>
      <c r="S3758" t="str">
        <f>IF(A3758=1,MAX($S$2:$S3757)+1,IF(OR($I3758&lt;&gt;"",A3758="x"),$S3757,""))</f>
        <v/>
      </c>
      <c r="T3758" t="str">
        <f>IF(D3758=1,MAX($T$2:$T3757)+1,IF(S3758=S3757,$T3757,IF(D3758="x",T3757,IF(D3757="x","",""))))</f>
        <v/>
      </c>
      <c r="U3758" t="str">
        <f>IF(B3758=1,MAX($U$2:$U3757)+1,IF(AND($T3758&lt;&gt;"",$T3758=$T3757),$U3757,IF(B3758="x",U3757,"")))</f>
        <v/>
      </c>
      <c r="V3758" t="str">
        <f>IF(C3758=1,MAX($V$2:$V3757)+1,IF(AND($T3758&lt;&gt;"",$T3758=$T3757),$U3757,IF(C3758="x",V3757,"")))</f>
        <v/>
      </c>
      <c r="X3758" cm="1">
        <f t="array" ref="X3758">IF($I3758&lt;&gt;"",$I3758,INDEX($I$1:$I3758,ROW()-COUNTIFS($T$1:$T3758,"="&amp;$T3758,$S$1:$S3758,"&lt;"&amp;$S3758)))</f>
        <v>0</v>
      </c>
      <c r="Z3758" s="6">
        <f t="shared" si="510"/>
        <v>1</v>
      </c>
      <c r="AA3758" t="e">
        <f t="shared" si="511"/>
        <v>#VALUE!</v>
      </c>
      <c r="AB3758" t="str">
        <f t="shared" si="512"/>
        <v/>
      </c>
      <c r="AC3758" t="e">
        <f t="shared" si="513"/>
        <v>#VALUE!</v>
      </c>
    </row>
    <row r="3759" spans="1:29" x14ac:dyDescent="0.2">
      <c r="A3759" t="str">
        <f t="shared" si="514"/>
        <v/>
      </c>
      <c r="E3759" s="4"/>
      <c r="F3759" s="46"/>
      <c r="G3759" s="4"/>
      <c r="H3759" s="48"/>
      <c r="J3759" s="26" t="str">
        <f t="shared" si="515"/>
        <v/>
      </c>
      <c r="N3759" t="str">
        <f t="shared" si="516"/>
        <v/>
      </c>
      <c r="Q3759" t="str">
        <f t="shared" si="517"/>
        <v/>
      </c>
      <c r="S3759" t="str">
        <f>IF(A3759=1,MAX($S$2:$S3758)+1,IF(OR($I3759&lt;&gt;"",A3759="x"),$S3758,""))</f>
        <v/>
      </c>
      <c r="T3759" t="str">
        <f>IF(D3759=1,MAX($T$2:$T3758)+1,IF(S3759=S3758,$T3758,IF(D3759="x",T3758,IF(D3758="x","",""))))</f>
        <v/>
      </c>
      <c r="U3759" t="str">
        <f>IF(B3759=1,MAX($U$2:$U3758)+1,IF(AND($T3759&lt;&gt;"",$T3759=$T3758),$U3758,IF(B3759="x",U3758,"")))</f>
        <v/>
      </c>
      <c r="V3759" t="str">
        <f>IF(C3759=1,MAX($V$2:$V3758)+1,IF(AND($T3759&lt;&gt;"",$T3759=$T3758),$U3758,IF(C3759="x",V3758,"")))</f>
        <v/>
      </c>
      <c r="X3759" cm="1">
        <f t="array" ref="X3759">IF($I3759&lt;&gt;"",$I3759,INDEX($I$1:$I3759,ROW()-COUNTIFS($T$1:$T3759,"="&amp;$T3759,$S$1:$S3759,"&lt;"&amp;$S3759)))</f>
        <v>0</v>
      </c>
      <c r="Z3759" s="6">
        <f t="shared" si="510"/>
        <v>1</v>
      </c>
      <c r="AA3759" t="e">
        <f t="shared" si="511"/>
        <v>#VALUE!</v>
      </c>
      <c r="AB3759" t="str">
        <f t="shared" si="512"/>
        <v/>
      </c>
      <c r="AC3759" t="e">
        <f t="shared" si="513"/>
        <v>#VALUE!</v>
      </c>
    </row>
    <row r="3760" spans="1:29" x14ac:dyDescent="0.2">
      <c r="A3760" t="str">
        <f t="shared" si="514"/>
        <v/>
      </c>
      <c r="E3760" s="4"/>
      <c r="F3760" s="46"/>
      <c r="G3760" s="4"/>
      <c r="H3760" s="48"/>
      <c r="J3760" s="26" t="str">
        <f t="shared" si="515"/>
        <v/>
      </c>
      <c r="N3760" t="str">
        <f t="shared" si="516"/>
        <v/>
      </c>
      <c r="Q3760" t="str">
        <f t="shared" si="517"/>
        <v/>
      </c>
      <c r="S3760" t="str">
        <f>IF(A3760=1,MAX($S$2:$S3759)+1,IF(OR($I3760&lt;&gt;"",A3760="x"),$S3759,""))</f>
        <v/>
      </c>
      <c r="T3760" t="str">
        <f>IF(D3760=1,MAX($T$2:$T3759)+1,IF(S3760=S3759,$T3759,IF(D3760="x",T3759,IF(D3759="x","",""))))</f>
        <v/>
      </c>
      <c r="U3760" t="str">
        <f>IF(B3760=1,MAX($U$2:$U3759)+1,IF(AND($T3760&lt;&gt;"",$T3760=$T3759),$U3759,IF(B3760="x",U3759,"")))</f>
        <v/>
      </c>
      <c r="V3760" t="str">
        <f>IF(C3760=1,MAX($V$2:$V3759)+1,IF(AND($T3760&lt;&gt;"",$T3760=$T3759),$U3759,IF(C3760="x",V3759,"")))</f>
        <v/>
      </c>
      <c r="X3760" cm="1">
        <f t="array" ref="X3760">IF($I3760&lt;&gt;"",$I3760,INDEX($I$1:$I3760,ROW()-COUNTIFS($T$1:$T3760,"="&amp;$T3760,$S$1:$S3760,"&lt;"&amp;$S3760)))</f>
        <v>0</v>
      </c>
      <c r="Z3760" s="6">
        <f t="shared" si="510"/>
        <v>1</v>
      </c>
      <c r="AA3760" t="e">
        <f t="shared" si="511"/>
        <v>#VALUE!</v>
      </c>
      <c r="AB3760" t="str">
        <f t="shared" si="512"/>
        <v/>
      </c>
      <c r="AC3760" t="e">
        <f t="shared" si="513"/>
        <v>#VALUE!</v>
      </c>
    </row>
    <row r="3761" spans="1:29" x14ac:dyDescent="0.2">
      <c r="A3761" t="str">
        <f t="shared" si="514"/>
        <v/>
      </c>
      <c r="E3761" s="4"/>
      <c r="F3761" s="46"/>
      <c r="G3761" s="4"/>
      <c r="H3761" s="48"/>
      <c r="J3761" s="26" t="str">
        <f t="shared" si="515"/>
        <v/>
      </c>
      <c r="N3761" t="str">
        <f t="shared" si="516"/>
        <v/>
      </c>
      <c r="Q3761" t="str">
        <f t="shared" si="517"/>
        <v/>
      </c>
      <c r="S3761" t="str">
        <f>IF(A3761=1,MAX($S$2:$S3760)+1,IF(OR($I3761&lt;&gt;"",A3761="x"),$S3760,""))</f>
        <v/>
      </c>
      <c r="T3761" t="str">
        <f>IF(D3761=1,MAX($T$2:$T3760)+1,IF(S3761=S3760,$T3760,IF(D3761="x",T3760,IF(D3760="x","",""))))</f>
        <v/>
      </c>
      <c r="U3761" t="str">
        <f>IF(B3761=1,MAX($U$2:$U3760)+1,IF(AND($T3761&lt;&gt;"",$T3761=$T3760),$U3760,IF(B3761="x",U3760,"")))</f>
        <v/>
      </c>
      <c r="V3761" t="str">
        <f>IF(C3761=1,MAX($V$2:$V3760)+1,IF(AND($T3761&lt;&gt;"",$T3761=$T3760),$U3760,IF(C3761="x",V3760,"")))</f>
        <v/>
      </c>
      <c r="X3761" cm="1">
        <f t="array" ref="X3761">IF($I3761&lt;&gt;"",$I3761,INDEX($I$1:$I3761,ROW()-COUNTIFS($T$1:$T3761,"="&amp;$T3761,$S$1:$S3761,"&lt;"&amp;$S3761)))</f>
        <v>0</v>
      </c>
      <c r="Z3761" s="6">
        <f t="shared" si="510"/>
        <v>1</v>
      </c>
      <c r="AA3761" t="e">
        <f t="shared" si="511"/>
        <v>#VALUE!</v>
      </c>
      <c r="AB3761" t="str">
        <f t="shared" si="512"/>
        <v/>
      </c>
      <c r="AC3761" t="e">
        <f t="shared" si="513"/>
        <v>#VALUE!</v>
      </c>
    </row>
    <row r="3762" spans="1:29" x14ac:dyDescent="0.2">
      <c r="A3762" t="str">
        <f t="shared" si="514"/>
        <v/>
      </c>
      <c r="E3762" s="4"/>
      <c r="F3762" s="46"/>
      <c r="G3762" s="4"/>
      <c r="H3762" s="48"/>
      <c r="J3762" s="26" t="str">
        <f t="shared" si="515"/>
        <v/>
      </c>
      <c r="N3762" t="str">
        <f t="shared" si="516"/>
        <v/>
      </c>
      <c r="Q3762" t="str">
        <f t="shared" si="517"/>
        <v/>
      </c>
      <c r="S3762" t="str">
        <f>IF(A3762=1,MAX($S$2:$S3761)+1,IF(OR($I3762&lt;&gt;"",A3762="x"),$S3761,""))</f>
        <v/>
      </c>
      <c r="T3762" t="str">
        <f>IF(D3762=1,MAX($T$2:$T3761)+1,IF(S3762=S3761,$T3761,IF(D3762="x",T3761,IF(D3761="x","",""))))</f>
        <v/>
      </c>
      <c r="U3762" t="str">
        <f>IF(B3762=1,MAX($U$2:$U3761)+1,IF(AND($T3762&lt;&gt;"",$T3762=$T3761),$U3761,IF(B3762="x",U3761,"")))</f>
        <v/>
      </c>
      <c r="V3762" t="str">
        <f>IF(C3762=1,MAX($V$2:$V3761)+1,IF(AND($T3762&lt;&gt;"",$T3762=$T3761),$U3761,IF(C3762="x",V3761,"")))</f>
        <v/>
      </c>
      <c r="X3762" cm="1">
        <f t="array" ref="X3762">IF($I3762&lt;&gt;"",$I3762,INDEX($I$1:$I3762,ROW()-COUNTIFS($T$1:$T3762,"="&amp;$T3762,$S$1:$S3762,"&lt;"&amp;$S3762)))</f>
        <v>0</v>
      </c>
      <c r="Z3762" s="6">
        <f t="shared" si="510"/>
        <v>1</v>
      </c>
      <c r="AA3762" t="e">
        <f t="shared" si="511"/>
        <v>#VALUE!</v>
      </c>
      <c r="AB3762" t="str">
        <f t="shared" si="512"/>
        <v/>
      </c>
      <c r="AC3762" t="e">
        <f t="shared" si="513"/>
        <v>#VALUE!</v>
      </c>
    </row>
    <row r="3763" spans="1:29" x14ac:dyDescent="0.2">
      <c r="A3763" t="str">
        <f t="shared" si="514"/>
        <v/>
      </c>
      <c r="E3763" s="4"/>
      <c r="F3763" s="46"/>
      <c r="G3763" s="4"/>
      <c r="H3763" s="48"/>
      <c r="J3763" s="26" t="str">
        <f t="shared" si="515"/>
        <v/>
      </c>
      <c r="N3763" t="str">
        <f t="shared" si="516"/>
        <v/>
      </c>
      <c r="Q3763" t="str">
        <f t="shared" si="517"/>
        <v/>
      </c>
      <c r="S3763" t="str">
        <f>IF(A3763=1,MAX($S$2:$S3762)+1,IF(OR($I3763&lt;&gt;"",A3763="x"),$S3762,""))</f>
        <v/>
      </c>
      <c r="T3763" t="str">
        <f>IF(D3763=1,MAX($T$2:$T3762)+1,IF(S3763=S3762,$T3762,IF(D3763="x",T3762,IF(D3762="x","",""))))</f>
        <v/>
      </c>
      <c r="U3763" t="str">
        <f>IF(B3763=1,MAX($U$2:$U3762)+1,IF(AND($T3763&lt;&gt;"",$T3763=$T3762),$U3762,IF(B3763="x",U3762,"")))</f>
        <v/>
      </c>
      <c r="V3763" t="str">
        <f>IF(C3763=1,MAX($V$2:$V3762)+1,IF(AND($T3763&lt;&gt;"",$T3763=$T3762),$U3762,IF(C3763="x",V3762,"")))</f>
        <v/>
      </c>
      <c r="X3763" cm="1">
        <f t="array" ref="X3763">IF($I3763&lt;&gt;"",$I3763,INDEX($I$1:$I3763,ROW()-COUNTIFS($T$1:$T3763,"="&amp;$T3763,$S$1:$S3763,"&lt;"&amp;$S3763)))</f>
        <v>0</v>
      </c>
      <c r="Z3763" s="6">
        <f t="shared" si="510"/>
        <v>1</v>
      </c>
      <c r="AA3763" t="e">
        <f t="shared" si="511"/>
        <v>#VALUE!</v>
      </c>
      <c r="AB3763" t="str">
        <f t="shared" si="512"/>
        <v/>
      </c>
      <c r="AC3763" t="e">
        <f t="shared" si="513"/>
        <v>#VALUE!</v>
      </c>
    </row>
    <row r="3764" spans="1:29" x14ac:dyDescent="0.2">
      <c r="A3764" t="str">
        <f t="shared" si="514"/>
        <v/>
      </c>
      <c r="E3764" s="4"/>
      <c r="F3764" s="46"/>
      <c r="G3764" s="4"/>
      <c r="H3764" s="48"/>
      <c r="J3764" s="26" t="str">
        <f t="shared" si="515"/>
        <v/>
      </c>
      <c r="N3764" t="str">
        <f t="shared" si="516"/>
        <v/>
      </c>
      <c r="Q3764" t="str">
        <f t="shared" si="517"/>
        <v/>
      </c>
      <c r="S3764" t="str">
        <f>IF(A3764=1,MAX($S$2:$S3763)+1,IF(OR($I3764&lt;&gt;"",A3764="x"),$S3763,""))</f>
        <v/>
      </c>
      <c r="T3764" t="str">
        <f>IF(D3764=1,MAX($T$2:$T3763)+1,IF(S3764=S3763,$T3763,IF(D3764="x",T3763,IF(D3763="x","",""))))</f>
        <v/>
      </c>
      <c r="U3764" t="str">
        <f>IF(B3764=1,MAX($U$2:$U3763)+1,IF(AND($T3764&lt;&gt;"",$T3764=$T3763),$U3763,IF(B3764="x",U3763,"")))</f>
        <v/>
      </c>
      <c r="V3764" t="str">
        <f>IF(C3764=1,MAX($V$2:$V3763)+1,IF(AND($T3764&lt;&gt;"",$T3764=$T3763),$U3763,IF(C3764="x",V3763,"")))</f>
        <v/>
      </c>
      <c r="X3764" cm="1">
        <f t="array" ref="X3764">IF($I3764&lt;&gt;"",$I3764,INDEX($I$1:$I3764,ROW()-COUNTIFS($T$1:$T3764,"="&amp;$T3764,$S$1:$S3764,"&lt;"&amp;$S3764)))</f>
        <v>0</v>
      </c>
      <c r="Z3764" s="6">
        <f t="shared" si="510"/>
        <v>1</v>
      </c>
      <c r="AA3764" t="e">
        <f t="shared" si="511"/>
        <v>#VALUE!</v>
      </c>
      <c r="AB3764" t="str">
        <f t="shared" si="512"/>
        <v/>
      </c>
      <c r="AC3764" t="e">
        <f t="shared" si="513"/>
        <v>#VALUE!</v>
      </c>
    </row>
    <row r="3765" spans="1:29" x14ac:dyDescent="0.2">
      <c r="A3765" t="str">
        <f t="shared" si="514"/>
        <v/>
      </c>
      <c r="E3765" s="4"/>
      <c r="F3765" s="46"/>
      <c r="G3765" s="4"/>
      <c r="H3765" s="48"/>
      <c r="J3765" s="26" t="str">
        <f t="shared" si="515"/>
        <v/>
      </c>
      <c r="N3765" t="str">
        <f t="shared" si="516"/>
        <v/>
      </c>
      <c r="Q3765" t="str">
        <f t="shared" si="517"/>
        <v/>
      </c>
      <c r="S3765" t="str">
        <f>IF(A3765=1,MAX($S$2:$S3764)+1,IF(OR($I3765&lt;&gt;"",A3765="x"),$S3764,""))</f>
        <v/>
      </c>
      <c r="T3765" t="str">
        <f>IF(D3765=1,MAX($T$2:$T3764)+1,IF(S3765=S3764,$T3764,IF(D3765="x",T3764,IF(D3764="x","",""))))</f>
        <v/>
      </c>
      <c r="U3765" t="str">
        <f>IF(B3765=1,MAX($U$2:$U3764)+1,IF(AND($T3765&lt;&gt;"",$T3765=$T3764),$U3764,IF(B3765="x",U3764,"")))</f>
        <v/>
      </c>
      <c r="V3765" t="str">
        <f>IF(C3765=1,MAX($V$2:$V3764)+1,IF(AND($T3765&lt;&gt;"",$T3765=$T3764),$U3764,IF(C3765="x",V3764,"")))</f>
        <v/>
      </c>
      <c r="X3765" cm="1">
        <f t="array" ref="X3765">IF($I3765&lt;&gt;"",$I3765,INDEX($I$1:$I3765,ROW()-COUNTIFS($T$1:$T3765,"="&amp;$T3765,$S$1:$S3765,"&lt;"&amp;$S3765)))</f>
        <v>0</v>
      </c>
      <c r="Z3765" s="6">
        <f t="shared" si="510"/>
        <v>1</v>
      </c>
      <c r="AA3765" t="e">
        <f t="shared" si="511"/>
        <v>#VALUE!</v>
      </c>
      <c r="AB3765" t="str">
        <f t="shared" si="512"/>
        <v/>
      </c>
      <c r="AC3765" t="e">
        <f t="shared" si="513"/>
        <v>#VALUE!</v>
      </c>
    </row>
    <row r="3766" spans="1:29" x14ac:dyDescent="0.2">
      <c r="A3766" t="str">
        <f t="shared" si="514"/>
        <v/>
      </c>
      <c r="E3766" s="4"/>
      <c r="F3766" s="46"/>
      <c r="G3766" s="4"/>
      <c r="H3766" s="48"/>
      <c r="J3766" s="26" t="str">
        <f t="shared" si="515"/>
        <v/>
      </c>
      <c r="N3766" t="str">
        <f t="shared" si="516"/>
        <v/>
      </c>
      <c r="Q3766" t="str">
        <f t="shared" si="517"/>
        <v/>
      </c>
      <c r="S3766" t="str">
        <f>IF(A3766=1,MAX($S$2:$S3765)+1,IF(OR($I3766&lt;&gt;"",A3766="x"),$S3765,""))</f>
        <v/>
      </c>
      <c r="T3766" t="str">
        <f>IF(D3766=1,MAX($T$2:$T3765)+1,IF(S3766=S3765,$T3765,IF(D3766="x",T3765,IF(D3765="x","",""))))</f>
        <v/>
      </c>
      <c r="U3766" t="str">
        <f>IF(B3766=1,MAX($U$2:$U3765)+1,IF(AND($T3766&lt;&gt;"",$T3766=$T3765),$U3765,IF(B3766="x",U3765,"")))</f>
        <v/>
      </c>
      <c r="V3766" t="str">
        <f>IF(C3766=1,MAX($V$2:$V3765)+1,IF(AND($T3766&lt;&gt;"",$T3766=$T3765),$U3765,IF(C3766="x",V3765,"")))</f>
        <v/>
      </c>
      <c r="X3766" cm="1">
        <f t="array" ref="X3766">IF($I3766&lt;&gt;"",$I3766,INDEX($I$1:$I3766,ROW()-COUNTIFS($T$1:$T3766,"="&amp;$T3766,$S$1:$S3766,"&lt;"&amp;$S3766)))</f>
        <v>0</v>
      </c>
      <c r="Z3766" s="6">
        <f t="shared" si="510"/>
        <v>1</v>
      </c>
      <c r="AA3766" t="e">
        <f t="shared" si="511"/>
        <v>#VALUE!</v>
      </c>
      <c r="AB3766" t="str">
        <f t="shared" si="512"/>
        <v/>
      </c>
      <c r="AC3766" t="e">
        <f t="shared" si="513"/>
        <v>#VALUE!</v>
      </c>
    </row>
    <row r="3767" spans="1:29" x14ac:dyDescent="0.2">
      <c r="A3767" t="str">
        <f t="shared" si="514"/>
        <v/>
      </c>
      <c r="E3767" s="4"/>
      <c r="F3767" s="46"/>
      <c r="G3767" s="4"/>
      <c r="H3767" s="48"/>
      <c r="J3767" s="26" t="str">
        <f t="shared" si="515"/>
        <v/>
      </c>
      <c r="N3767" t="str">
        <f t="shared" si="516"/>
        <v/>
      </c>
      <c r="Q3767" t="str">
        <f t="shared" si="517"/>
        <v/>
      </c>
      <c r="S3767" t="str">
        <f>IF(A3767=1,MAX($S$2:$S3766)+1,IF(OR($I3767&lt;&gt;"",A3767="x"),$S3766,""))</f>
        <v/>
      </c>
      <c r="T3767" t="str">
        <f>IF(D3767=1,MAX($T$2:$T3766)+1,IF(S3767=S3766,$T3766,IF(D3767="x",T3766,IF(D3766="x","",""))))</f>
        <v/>
      </c>
      <c r="U3767" t="str">
        <f>IF(B3767=1,MAX($U$2:$U3766)+1,IF(AND($T3767&lt;&gt;"",$T3767=$T3766),$U3766,IF(B3767="x",U3766,"")))</f>
        <v/>
      </c>
      <c r="V3767" t="str">
        <f>IF(C3767=1,MAX($V$2:$V3766)+1,IF(AND($T3767&lt;&gt;"",$T3767=$T3766),$U3766,IF(C3767="x",V3766,"")))</f>
        <v/>
      </c>
      <c r="X3767" cm="1">
        <f t="array" ref="X3767">IF($I3767&lt;&gt;"",$I3767,INDEX($I$1:$I3767,ROW()-COUNTIFS($T$1:$T3767,"="&amp;$T3767,$S$1:$S3767,"&lt;"&amp;$S3767)))</f>
        <v>0</v>
      </c>
      <c r="Z3767" s="6">
        <f t="shared" si="510"/>
        <v>1</v>
      </c>
      <c r="AA3767" t="e">
        <f t="shared" si="511"/>
        <v>#VALUE!</v>
      </c>
      <c r="AB3767" t="str">
        <f t="shared" si="512"/>
        <v/>
      </c>
      <c r="AC3767" t="e">
        <f t="shared" si="513"/>
        <v>#VALUE!</v>
      </c>
    </row>
    <row r="3768" spans="1:29" x14ac:dyDescent="0.2">
      <c r="A3768" t="str">
        <f t="shared" si="514"/>
        <v/>
      </c>
      <c r="E3768" s="4"/>
      <c r="F3768" s="46"/>
      <c r="G3768" s="4"/>
      <c r="H3768" s="48"/>
      <c r="J3768" s="26" t="str">
        <f t="shared" si="515"/>
        <v/>
      </c>
      <c r="N3768" t="str">
        <f t="shared" si="516"/>
        <v/>
      </c>
      <c r="Q3768" t="str">
        <f t="shared" si="517"/>
        <v/>
      </c>
      <c r="S3768" t="str">
        <f>IF(A3768=1,MAX($S$2:$S3767)+1,IF(OR($I3768&lt;&gt;"",A3768="x"),$S3767,""))</f>
        <v/>
      </c>
      <c r="T3768" t="str">
        <f>IF(D3768=1,MAX($T$2:$T3767)+1,IF(S3768=S3767,$T3767,IF(D3768="x",T3767,IF(D3767="x","",""))))</f>
        <v/>
      </c>
      <c r="U3768" t="str">
        <f>IF(B3768=1,MAX($U$2:$U3767)+1,IF(AND($T3768&lt;&gt;"",$T3768=$T3767),$U3767,IF(B3768="x",U3767,"")))</f>
        <v/>
      </c>
      <c r="V3768" t="str">
        <f>IF(C3768=1,MAX($V$2:$V3767)+1,IF(AND($T3768&lt;&gt;"",$T3768=$T3767),$U3767,IF(C3768="x",V3767,"")))</f>
        <v/>
      </c>
      <c r="X3768" cm="1">
        <f t="array" ref="X3768">IF($I3768&lt;&gt;"",$I3768,INDEX($I$1:$I3768,ROW()-COUNTIFS($T$1:$T3768,"="&amp;$T3768,$S$1:$S3768,"&lt;"&amp;$S3768)))</f>
        <v>0</v>
      </c>
      <c r="Z3768" s="6">
        <f t="shared" si="510"/>
        <v>1</v>
      </c>
      <c r="AA3768" t="e">
        <f t="shared" si="511"/>
        <v>#VALUE!</v>
      </c>
      <c r="AB3768" t="str">
        <f t="shared" si="512"/>
        <v/>
      </c>
      <c r="AC3768" t="e">
        <f t="shared" si="513"/>
        <v>#VALUE!</v>
      </c>
    </row>
    <row r="3769" spans="1:29" x14ac:dyDescent="0.2">
      <c r="A3769" t="str">
        <f t="shared" si="514"/>
        <v/>
      </c>
      <c r="E3769" s="4"/>
      <c r="F3769" s="46"/>
      <c r="G3769" s="4"/>
      <c r="H3769" s="48"/>
      <c r="J3769" s="26" t="str">
        <f t="shared" si="515"/>
        <v/>
      </c>
      <c r="N3769" t="str">
        <f t="shared" si="516"/>
        <v/>
      </c>
      <c r="Q3769" t="str">
        <f t="shared" si="517"/>
        <v/>
      </c>
      <c r="S3769" t="str">
        <f>IF(A3769=1,MAX($S$2:$S3768)+1,IF(OR($I3769&lt;&gt;"",A3769="x"),$S3768,""))</f>
        <v/>
      </c>
      <c r="T3769" t="str">
        <f>IF(D3769=1,MAX($T$2:$T3768)+1,IF(S3769=S3768,$T3768,IF(D3769="x",T3768,IF(D3768="x","",""))))</f>
        <v/>
      </c>
      <c r="U3769" t="str">
        <f>IF(B3769=1,MAX($U$2:$U3768)+1,IF(AND($T3769&lt;&gt;"",$T3769=$T3768),$U3768,IF(B3769="x",U3768,"")))</f>
        <v/>
      </c>
      <c r="V3769" t="str">
        <f>IF(C3769=1,MAX($V$2:$V3768)+1,IF(AND($T3769&lt;&gt;"",$T3769=$T3768),$U3768,IF(C3769="x",V3768,"")))</f>
        <v/>
      </c>
      <c r="X3769" cm="1">
        <f t="array" ref="X3769">IF($I3769&lt;&gt;"",$I3769,INDEX($I$1:$I3769,ROW()-COUNTIFS($T$1:$T3769,"="&amp;$T3769,$S$1:$S3769,"&lt;"&amp;$S3769)))</f>
        <v>0</v>
      </c>
      <c r="Z3769" s="6">
        <f t="shared" si="510"/>
        <v>1</v>
      </c>
      <c r="AA3769" t="e">
        <f t="shared" si="511"/>
        <v>#VALUE!</v>
      </c>
      <c r="AB3769" t="str">
        <f t="shared" si="512"/>
        <v/>
      </c>
      <c r="AC3769" t="e">
        <f t="shared" si="513"/>
        <v>#VALUE!</v>
      </c>
    </row>
    <row r="3770" spans="1:29" x14ac:dyDescent="0.2">
      <c r="A3770" t="str">
        <f t="shared" si="514"/>
        <v/>
      </c>
      <c r="E3770" s="4"/>
      <c r="F3770" s="46"/>
      <c r="G3770" s="4"/>
      <c r="H3770" s="48"/>
      <c r="J3770" s="26" t="str">
        <f t="shared" si="515"/>
        <v/>
      </c>
      <c r="N3770" t="str">
        <f t="shared" si="516"/>
        <v/>
      </c>
      <c r="Q3770" t="str">
        <f t="shared" si="517"/>
        <v/>
      </c>
      <c r="S3770" t="str">
        <f>IF(A3770=1,MAX($S$2:$S3769)+1,IF(OR($I3770&lt;&gt;"",A3770="x"),$S3769,""))</f>
        <v/>
      </c>
      <c r="T3770" t="str">
        <f>IF(D3770=1,MAX($T$2:$T3769)+1,IF(S3770=S3769,$T3769,IF(D3770="x",T3769,IF(D3769="x","",""))))</f>
        <v/>
      </c>
      <c r="U3770" t="str">
        <f>IF(B3770=1,MAX($U$2:$U3769)+1,IF(AND($T3770&lt;&gt;"",$T3770=$T3769),$U3769,IF(B3770="x",U3769,"")))</f>
        <v/>
      </c>
      <c r="V3770" t="str">
        <f>IF(C3770=1,MAX($V$2:$V3769)+1,IF(AND($T3770&lt;&gt;"",$T3770=$T3769),$U3769,IF(C3770="x",V3769,"")))</f>
        <v/>
      </c>
      <c r="X3770" cm="1">
        <f t="array" ref="X3770">IF($I3770&lt;&gt;"",$I3770,INDEX($I$1:$I3770,ROW()-COUNTIFS($T$1:$T3770,"="&amp;$T3770,$S$1:$S3770,"&lt;"&amp;$S3770)))</f>
        <v>0</v>
      </c>
      <c r="Z3770" s="6">
        <f t="shared" si="510"/>
        <v>1</v>
      </c>
      <c r="AA3770" t="e">
        <f t="shared" si="511"/>
        <v>#VALUE!</v>
      </c>
      <c r="AB3770" t="str">
        <f t="shared" si="512"/>
        <v/>
      </c>
      <c r="AC3770" t="e">
        <f t="shared" si="513"/>
        <v>#VALUE!</v>
      </c>
    </row>
    <row r="3771" spans="1:29" x14ac:dyDescent="0.2">
      <c r="A3771" t="str">
        <f t="shared" si="514"/>
        <v/>
      </c>
      <c r="E3771" s="4"/>
      <c r="F3771" s="46"/>
      <c r="G3771" s="4"/>
      <c r="H3771" s="48"/>
      <c r="J3771" s="26" t="str">
        <f t="shared" si="515"/>
        <v/>
      </c>
      <c r="N3771" t="str">
        <f t="shared" si="516"/>
        <v/>
      </c>
      <c r="Q3771" t="str">
        <f t="shared" si="517"/>
        <v/>
      </c>
      <c r="S3771" t="str">
        <f>IF(A3771=1,MAX($S$2:$S3770)+1,IF(OR($I3771&lt;&gt;"",A3771="x"),$S3770,""))</f>
        <v/>
      </c>
      <c r="T3771" t="str">
        <f>IF(D3771=1,MAX($T$2:$T3770)+1,IF(S3771=S3770,$T3770,IF(D3771="x",T3770,IF(D3770="x","",""))))</f>
        <v/>
      </c>
      <c r="U3771" t="str">
        <f>IF(B3771=1,MAX($U$2:$U3770)+1,IF(AND($T3771&lt;&gt;"",$T3771=$T3770),$U3770,IF(B3771="x",U3770,"")))</f>
        <v/>
      </c>
      <c r="V3771" t="str">
        <f>IF(C3771=1,MAX($V$2:$V3770)+1,IF(AND($T3771&lt;&gt;"",$T3771=$T3770),$U3770,IF(C3771="x",V3770,"")))</f>
        <v/>
      </c>
      <c r="X3771" cm="1">
        <f t="array" ref="X3771">IF($I3771&lt;&gt;"",$I3771,INDEX($I$1:$I3771,ROW()-COUNTIFS($T$1:$T3771,"="&amp;$T3771,$S$1:$S3771,"&lt;"&amp;$S3771)))</f>
        <v>0</v>
      </c>
      <c r="Z3771" s="6">
        <f t="shared" si="510"/>
        <v>1</v>
      </c>
      <c r="AA3771" t="e">
        <f t="shared" si="511"/>
        <v>#VALUE!</v>
      </c>
      <c r="AB3771" t="str">
        <f t="shared" si="512"/>
        <v/>
      </c>
      <c r="AC3771" t="e">
        <f t="shared" si="513"/>
        <v>#VALUE!</v>
      </c>
    </row>
    <row r="3772" spans="1:29" x14ac:dyDescent="0.2">
      <c r="A3772" t="str">
        <f t="shared" si="514"/>
        <v/>
      </c>
      <c r="E3772" s="4"/>
      <c r="F3772" s="46"/>
      <c r="G3772" s="4"/>
      <c r="H3772" s="48"/>
      <c r="J3772" s="26" t="str">
        <f t="shared" si="515"/>
        <v/>
      </c>
      <c r="N3772" t="str">
        <f t="shared" si="516"/>
        <v/>
      </c>
      <c r="Q3772" t="str">
        <f t="shared" si="517"/>
        <v/>
      </c>
      <c r="S3772" t="str">
        <f>IF(A3772=1,MAX($S$2:$S3771)+1,IF(OR($I3772&lt;&gt;"",A3772="x"),$S3771,""))</f>
        <v/>
      </c>
      <c r="T3772" t="str">
        <f>IF(D3772=1,MAX($T$2:$T3771)+1,IF(S3772=S3771,$T3771,IF(D3772="x",T3771,IF(D3771="x","",""))))</f>
        <v/>
      </c>
      <c r="U3772" t="str">
        <f>IF(B3772=1,MAX($U$2:$U3771)+1,IF(AND($T3772&lt;&gt;"",$T3772=$T3771),$U3771,IF(B3772="x",U3771,"")))</f>
        <v/>
      </c>
      <c r="V3772" t="str">
        <f>IF(C3772=1,MAX($V$2:$V3771)+1,IF(AND($T3772&lt;&gt;"",$T3772=$T3771),$U3771,IF(C3772="x",V3771,"")))</f>
        <v/>
      </c>
      <c r="X3772" cm="1">
        <f t="array" ref="X3772">IF($I3772&lt;&gt;"",$I3772,INDEX($I$1:$I3772,ROW()-COUNTIFS($T$1:$T3772,"="&amp;$T3772,$S$1:$S3772,"&lt;"&amp;$S3772)))</f>
        <v>0</v>
      </c>
      <c r="Z3772" s="6">
        <f t="shared" si="510"/>
        <v>1</v>
      </c>
      <c r="AA3772" t="e">
        <f t="shared" si="511"/>
        <v>#VALUE!</v>
      </c>
      <c r="AB3772" t="str">
        <f t="shared" si="512"/>
        <v/>
      </c>
      <c r="AC3772" t="e">
        <f t="shared" si="513"/>
        <v>#VALUE!</v>
      </c>
    </row>
    <row r="3773" spans="1:29" x14ac:dyDescent="0.2">
      <c r="A3773" t="str">
        <f t="shared" si="514"/>
        <v/>
      </c>
      <c r="E3773" s="4"/>
      <c r="F3773" s="46"/>
      <c r="G3773" s="4"/>
      <c r="H3773" s="48"/>
      <c r="J3773" s="26" t="str">
        <f t="shared" si="515"/>
        <v/>
      </c>
      <c r="N3773" t="str">
        <f t="shared" si="516"/>
        <v/>
      </c>
      <c r="Q3773" t="str">
        <f t="shared" si="517"/>
        <v/>
      </c>
      <c r="S3773" t="str">
        <f>IF(A3773=1,MAX($S$2:$S3772)+1,IF(OR($I3773&lt;&gt;"",A3773="x"),$S3772,""))</f>
        <v/>
      </c>
      <c r="T3773" t="str">
        <f>IF(D3773=1,MAX($T$2:$T3772)+1,IF(S3773=S3772,$T3772,IF(D3773="x",T3772,IF(D3772="x","",""))))</f>
        <v/>
      </c>
      <c r="U3773" t="str">
        <f>IF(B3773=1,MAX($U$2:$U3772)+1,IF(AND($T3773&lt;&gt;"",$T3773=$T3772),$U3772,IF(B3773="x",U3772,"")))</f>
        <v/>
      </c>
      <c r="V3773" t="str">
        <f>IF(C3773=1,MAX($V$2:$V3772)+1,IF(AND($T3773&lt;&gt;"",$T3773=$T3772),$U3772,IF(C3773="x",V3772,"")))</f>
        <v/>
      </c>
      <c r="X3773" cm="1">
        <f t="array" ref="X3773">IF($I3773&lt;&gt;"",$I3773,INDEX($I$1:$I3773,ROW()-COUNTIFS($T$1:$T3773,"="&amp;$T3773,$S$1:$S3773,"&lt;"&amp;$S3773)))</f>
        <v>0</v>
      </c>
      <c r="Z3773" s="6">
        <f t="shared" si="510"/>
        <v>1</v>
      </c>
      <c r="AA3773" t="e">
        <f t="shared" si="511"/>
        <v>#VALUE!</v>
      </c>
      <c r="AB3773" t="str">
        <f t="shared" si="512"/>
        <v/>
      </c>
      <c r="AC3773" t="e">
        <f t="shared" si="513"/>
        <v>#VALUE!</v>
      </c>
    </row>
    <row r="3774" spans="1:29" x14ac:dyDescent="0.2">
      <c r="A3774" t="str">
        <f t="shared" si="514"/>
        <v/>
      </c>
      <c r="E3774" s="4"/>
      <c r="F3774" s="46"/>
      <c r="G3774" s="4"/>
      <c r="H3774" s="48"/>
      <c r="J3774" s="26" t="str">
        <f t="shared" si="515"/>
        <v/>
      </c>
      <c r="N3774" t="str">
        <f t="shared" si="516"/>
        <v/>
      </c>
      <c r="Q3774" t="str">
        <f t="shared" si="517"/>
        <v/>
      </c>
      <c r="S3774" t="str">
        <f>IF(A3774=1,MAX($S$2:$S3773)+1,IF(OR($I3774&lt;&gt;"",A3774="x"),$S3773,""))</f>
        <v/>
      </c>
      <c r="T3774" t="str">
        <f>IF(D3774=1,MAX($T$2:$T3773)+1,IF(S3774=S3773,$T3773,IF(D3774="x",T3773,IF(D3773="x","",""))))</f>
        <v/>
      </c>
      <c r="U3774" t="str">
        <f>IF(B3774=1,MAX($U$2:$U3773)+1,IF(AND($T3774&lt;&gt;"",$T3774=$T3773),$U3773,IF(B3774="x",U3773,"")))</f>
        <v/>
      </c>
      <c r="V3774" t="str">
        <f>IF(C3774=1,MAX($V$2:$V3773)+1,IF(AND($T3774&lt;&gt;"",$T3774=$T3773),$U3773,IF(C3774="x",V3773,"")))</f>
        <v/>
      </c>
      <c r="X3774" cm="1">
        <f t="array" ref="X3774">IF($I3774&lt;&gt;"",$I3774,INDEX($I$1:$I3774,ROW()-COUNTIFS($T$1:$T3774,"="&amp;$T3774,$S$1:$S3774,"&lt;"&amp;$S3774)))</f>
        <v>0</v>
      </c>
      <c r="Z3774" s="6">
        <f t="shared" si="510"/>
        <v>1</v>
      </c>
      <c r="AA3774" t="e">
        <f t="shared" si="511"/>
        <v>#VALUE!</v>
      </c>
      <c r="AB3774" t="str">
        <f t="shared" si="512"/>
        <v/>
      </c>
      <c r="AC3774" t="e">
        <f t="shared" si="513"/>
        <v>#VALUE!</v>
      </c>
    </row>
    <row r="3775" spans="1:29" x14ac:dyDescent="0.2">
      <c r="A3775" t="str">
        <f t="shared" si="514"/>
        <v/>
      </c>
      <c r="E3775" s="4"/>
      <c r="F3775" s="46"/>
      <c r="G3775" s="4"/>
      <c r="H3775" s="48"/>
      <c r="J3775" s="26" t="str">
        <f t="shared" si="515"/>
        <v/>
      </c>
      <c r="N3775" t="str">
        <f t="shared" si="516"/>
        <v/>
      </c>
      <c r="Q3775" t="str">
        <f t="shared" si="517"/>
        <v/>
      </c>
      <c r="S3775" t="str">
        <f>IF(A3775=1,MAX($S$2:$S3774)+1,IF(OR($I3775&lt;&gt;"",A3775="x"),$S3774,""))</f>
        <v/>
      </c>
      <c r="T3775" t="str">
        <f>IF(D3775=1,MAX($T$2:$T3774)+1,IF(S3775=S3774,$T3774,IF(D3775="x",T3774,IF(D3774="x","",""))))</f>
        <v/>
      </c>
      <c r="U3775" t="str">
        <f>IF(B3775=1,MAX($U$2:$U3774)+1,IF(AND($T3775&lt;&gt;"",$T3775=$T3774),$U3774,IF(B3775="x",U3774,"")))</f>
        <v/>
      </c>
      <c r="V3775" t="str">
        <f>IF(C3775=1,MAX($V$2:$V3774)+1,IF(AND($T3775&lt;&gt;"",$T3775=$T3774),$U3774,IF(C3775="x",V3774,"")))</f>
        <v/>
      </c>
      <c r="X3775" cm="1">
        <f t="array" ref="X3775">IF($I3775&lt;&gt;"",$I3775,INDEX($I$1:$I3775,ROW()-COUNTIFS($T$1:$T3775,"="&amp;$T3775,$S$1:$S3775,"&lt;"&amp;$S3775)))</f>
        <v>0</v>
      </c>
      <c r="Z3775" s="6">
        <f t="shared" si="510"/>
        <v>1</v>
      </c>
      <c r="AA3775" t="e">
        <f t="shared" si="511"/>
        <v>#VALUE!</v>
      </c>
      <c r="AB3775" t="str">
        <f t="shared" si="512"/>
        <v/>
      </c>
      <c r="AC3775" t="e">
        <f t="shared" si="513"/>
        <v>#VALUE!</v>
      </c>
    </row>
    <row r="3776" spans="1:29" x14ac:dyDescent="0.2">
      <c r="A3776" t="str">
        <f t="shared" si="514"/>
        <v/>
      </c>
      <c r="E3776" s="4"/>
      <c r="F3776" s="46"/>
      <c r="G3776" s="4"/>
      <c r="H3776" s="48"/>
      <c r="J3776" s="26" t="str">
        <f t="shared" si="515"/>
        <v/>
      </c>
      <c r="N3776" t="str">
        <f t="shared" si="516"/>
        <v/>
      </c>
      <c r="Q3776" t="str">
        <f t="shared" si="517"/>
        <v/>
      </c>
      <c r="S3776" t="str">
        <f>IF(A3776=1,MAX($S$2:$S3775)+1,IF(OR($I3776&lt;&gt;"",A3776="x"),$S3775,""))</f>
        <v/>
      </c>
      <c r="T3776" t="str">
        <f>IF(D3776=1,MAX($T$2:$T3775)+1,IF(S3776=S3775,$T3775,IF(D3776="x",T3775,IF(D3775="x","",""))))</f>
        <v/>
      </c>
      <c r="U3776" t="str">
        <f>IF(B3776=1,MAX($U$2:$U3775)+1,IF(AND($T3776&lt;&gt;"",$T3776=$T3775),$U3775,IF(B3776="x",U3775,"")))</f>
        <v/>
      </c>
      <c r="V3776" t="str">
        <f>IF(C3776=1,MAX($V$2:$V3775)+1,IF(AND($T3776&lt;&gt;"",$T3776=$T3775),$U3775,IF(C3776="x",V3775,"")))</f>
        <v/>
      </c>
      <c r="X3776" cm="1">
        <f t="array" ref="X3776">IF($I3776&lt;&gt;"",$I3776,INDEX($I$1:$I3776,ROW()-COUNTIFS($T$1:$T3776,"="&amp;$T3776,$S$1:$S3776,"&lt;"&amp;$S3776)))</f>
        <v>0</v>
      </c>
      <c r="Z3776" s="6">
        <f t="shared" si="510"/>
        <v>1</v>
      </c>
      <c r="AA3776" t="e">
        <f t="shared" si="511"/>
        <v>#VALUE!</v>
      </c>
      <c r="AB3776" t="str">
        <f t="shared" si="512"/>
        <v/>
      </c>
      <c r="AC3776" t="e">
        <f t="shared" si="513"/>
        <v>#VALUE!</v>
      </c>
    </row>
    <row r="3777" spans="1:29" x14ac:dyDescent="0.2">
      <c r="A3777" t="str">
        <f t="shared" si="514"/>
        <v/>
      </c>
      <c r="E3777" s="4"/>
      <c r="F3777" s="46"/>
      <c r="G3777" s="4"/>
      <c r="H3777" s="48"/>
      <c r="J3777" s="26" t="str">
        <f t="shared" si="515"/>
        <v/>
      </c>
      <c r="N3777" t="str">
        <f t="shared" si="516"/>
        <v/>
      </c>
      <c r="Q3777" t="str">
        <f t="shared" si="517"/>
        <v/>
      </c>
      <c r="S3777" t="str">
        <f>IF(A3777=1,MAX($S$2:$S3776)+1,IF(OR($I3777&lt;&gt;"",A3777="x"),$S3776,""))</f>
        <v/>
      </c>
      <c r="T3777" t="str">
        <f>IF(D3777=1,MAX($T$2:$T3776)+1,IF(S3777=S3776,$T3776,IF(D3777="x",T3776,IF(D3776="x","",""))))</f>
        <v/>
      </c>
      <c r="U3777" t="str">
        <f>IF(B3777=1,MAX($U$2:$U3776)+1,IF(AND($T3777&lt;&gt;"",$T3777=$T3776),$U3776,IF(B3777="x",U3776,"")))</f>
        <v/>
      </c>
      <c r="V3777" t="str">
        <f>IF(C3777=1,MAX($V$2:$V3776)+1,IF(AND($T3777&lt;&gt;"",$T3777=$T3776),$U3776,IF(C3777="x",V3776,"")))</f>
        <v/>
      </c>
      <c r="X3777" cm="1">
        <f t="array" ref="X3777">IF($I3777&lt;&gt;"",$I3777,INDEX($I$1:$I3777,ROW()-COUNTIFS($T$1:$T3777,"="&amp;$T3777,$S$1:$S3777,"&lt;"&amp;$S3777)))</f>
        <v>0</v>
      </c>
      <c r="Z3777" s="6">
        <f t="shared" si="510"/>
        <v>1</v>
      </c>
      <c r="AA3777" t="e">
        <f t="shared" si="511"/>
        <v>#VALUE!</v>
      </c>
      <c r="AB3777" t="str">
        <f t="shared" si="512"/>
        <v/>
      </c>
      <c r="AC3777" t="e">
        <f t="shared" si="513"/>
        <v>#VALUE!</v>
      </c>
    </row>
    <row r="3778" spans="1:29" x14ac:dyDescent="0.2">
      <c r="A3778" t="str">
        <f t="shared" si="514"/>
        <v/>
      </c>
      <c r="E3778" s="4"/>
      <c r="F3778" s="46"/>
      <c r="G3778" s="4"/>
      <c r="H3778" s="48"/>
      <c r="J3778" s="26" t="str">
        <f t="shared" si="515"/>
        <v/>
      </c>
      <c r="N3778" t="str">
        <f t="shared" si="516"/>
        <v/>
      </c>
      <c r="Q3778" t="str">
        <f t="shared" si="517"/>
        <v/>
      </c>
      <c r="S3778" t="str">
        <f>IF(A3778=1,MAX($S$2:$S3777)+1,IF(OR($I3778&lt;&gt;"",A3778="x"),$S3777,""))</f>
        <v/>
      </c>
      <c r="T3778" t="str">
        <f>IF(D3778=1,MAX($T$2:$T3777)+1,IF(S3778=S3777,$T3777,IF(D3778="x",T3777,IF(D3777="x","",""))))</f>
        <v/>
      </c>
      <c r="U3778" t="str">
        <f>IF(B3778=1,MAX($U$2:$U3777)+1,IF(AND($T3778&lt;&gt;"",$T3778=$T3777),$U3777,IF(B3778="x",U3777,"")))</f>
        <v/>
      </c>
      <c r="V3778" t="str">
        <f>IF(C3778=1,MAX($V$2:$V3777)+1,IF(AND($T3778&lt;&gt;"",$T3778=$T3777),$U3777,IF(C3778="x",V3777,"")))</f>
        <v/>
      </c>
      <c r="X3778" cm="1">
        <f t="array" ref="X3778">IF($I3778&lt;&gt;"",$I3778,INDEX($I$1:$I3778,ROW()-COUNTIFS($T$1:$T3778,"="&amp;$T3778,$S$1:$S3778,"&lt;"&amp;$S3778)))</f>
        <v>0</v>
      </c>
      <c r="Z3778" s="6">
        <f t="shared" si="510"/>
        <v>1</v>
      </c>
      <c r="AA3778" t="e">
        <f t="shared" si="511"/>
        <v>#VALUE!</v>
      </c>
      <c r="AB3778" t="str">
        <f t="shared" si="512"/>
        <v/>
      </c>
      <c r="AC3778" t="e">
        <f t="shared" si="513"/>
        <v>#VALUE!</v>
      </c>
    </row>
    <row r="3779" spans="1:29" x14ac:dyDescent="0.2">
      <c r="A3779" t="str">
        <f t="shared" si="514"/>
        <v/>
      </c>
      <c r="E3779" s="4"/>
      <c r="F3779" s="46"/>
      <c r="G3779" s="4"/>
      <c r="H3779" s="48"/>
      <c r="J3779" s="26" t="str">
        <f t="shared" si="515"/>
        <v/>
      </c>
      <c r="N3779" t="str">
        <f t="shared" si="516"/>
        <v/>
      </c>
      <c r="Q3779" t="str">
        <f t="shared" si="517"/>
        <v/>
      </c>
      <c r="S3779" t="str">
        <f>IF(A3779=1,MAX($S$2:$S3778)+1,IF(OR($I3779&lt;&gt;"",A3779="x"),$S3778,""))</f>
        <v/>
      </c>
      <c r="T3779" t="str">
        <f>IF(D3779=1,MAX($T$2:$T3778)+1,IF(S3779=S3778,$T3778,IF(D3779="x",T3778,IF(D3778="x","",""))))</f>
        <v/>
      </c>
      <c r="U3779" t="str">
        <f>IF(B3779=1,MAX($U$2:$U3778)+1,IF(AND($T3779&lt;&gt;"",$T3779=$T3778),$U3778,IF(B3779="x",U3778,"")))</f>
        <v/>
      </c>
      <c r="V3779" t="str">
        <f>IF(C3779=1,MAX($V$2:$V3778)+1,IF(AND($T3779&lt;&gt;"",$T3779=$T3778),$U3778,IF(C3779="x",V3778,"")))</f>
        <v/>
      </c>
      <c r="X3779" cm="1">
        <f t="array" ref="X3779">IF($I3779&lt;&gt;"",$I3779,INDEX($I$1:$I3779,ROW()-COUNTIFS($T$1:$T3779,"="&amp;$T3779,$S$1:$S3779,"&lt;"&amp;$S3779)))</f>
        <v>0</v>
      </c>
      <c r="Z3779" s="6">
        <f t="shared" si="510"/>
        <v>1</v>
      </c>
      <c r="AA3779" t="e">
        <f t="shared" si="511"/>
        <v>#VALUE!</v>
      </c>
      <c r="AB3779" t="str">
        <f t="shared" si="512"/>
        <v/>
      </c>
      <c r="AC3779" t="e">
        <f t="shared" si="513"/>
        <v>#VALUE!</v>
      </c>
    </row>
    <row r="3780" spans="1:29" x14ac:dyDescent="0.2">
      <c r="A3780" t="str">
        <f t="shared" si="514"/>
        <v/>
      </c>
      <c r="E3780" s="4"/>
      <c r="F3780" s="46"/>
      <c r="G3780" s="4"/>
      <c r="H3780" s="48"/>
      <c r="J3780" s="26" t="str">
        <f t="shared" si="515"/>
        <v/>
      </c>
      <c r="N3780" t="str">
        <f t="shared" si="516"/>
        <v/>
      </c>
      <c r="Q3780" t="str">
        <f t="shared" si="517"/>
        <v/>
      </c>
      <c r="S3780" t="str">
        <f>IF(A3780=1,MAX($S$2:$S3779)+1,IF(OR($I3780&lt;&gt;"",A3780="x"),$S3779,""))</f>
        <v/>
      </c>
      <c r="T3780" t="str">
        <f>IF(D3780=1,MAX($T$2:$T3779)+1,IF(S3780=S3779,$T3779,IF(D3780="x",T3779,IF(D3779="x","",""))))</f>
        <v/>
      </c>
      <c r="U3780" t="str">
        <f>IF(B3780=1,MAX($U$2:$U3779)+1,IF(AND($T3780&lt;&gt;"",$T3780=$T3779),$U3779,IF(B3780="x",U3779,"")))</f>
        <v/>
      </c>
      <c r="V3780" t="str">
        <f>IF(C3780=1,MAX($V$2:$V3779)+1,IF(AND($T3780&lt;&gt;"",$T3780=$T3779),$U3779,IF(C3780="x",V3779,"")))</f>
        <v/>
      </c>
      <c r="X3780" cm="1">
        <f t="array" ref="X3780">IF($I3780&lt;&gt;"",$I3780,INDEX($I$1:$I3780,ROW()-COUNTIFS($T$1:$T3780,"="&amp;$T3780,$S$1:$S3780,"&lt;"&amp;$S3780)))</f>
        <v>0</v>
      </c>
      <c r="Z3780" s="6">
        <f t="shared" si="510"/>
        <v>1</v>
      </c>
      <c r="AA3780" t="e">
        <f t="shared" si="511"/>
        <v>#VALUE!</v>
      </c>
      <c r="AB3780" t="str">
        <f t="shared" si="512"/>
        <v/>
      </c>
      <c r="AC3780" t="e">
        <f t="shared" si="513"/>
        <v>#VALUE!</v>
      </c>
    </row>
    <row r="3781" spans="1:29" x14ac:dyDescent="0.2">
      <c r="A3781" t="str">
        <f t="shared" si="514"/>
        <v/>
      </c>
      <c r="E3781" s="4"/>
      <c r="F3781" s="46"/>
      <c r="G3781" s="4"/>
      <c r="H3781" s="48"/>
      <c r="J3781" s="26" t="str">
        <f t="shared" si="515"/>
        <v/>
      </c>
      <c r="N3781" t="str">
        <f t="shared" si="516"/>
        <v/>
      </c>
      <c r="Q3781" t="str">
        <f t="shared" si="517"/>
        <v/>
      </c>
      <c r="S3781" t="str">
        <f>IF(A3781=1,MAX($S$2:$S3780)+1,IF(OR($I3781&lt;&gt;"",A3781="x"),$S3780,""))</f>
        <v/>
      </c>
      <c r="T3781" t="str">
        <f>IF(D3781=1,MAX($T$2:$T3780)+1,IF(S3781=S3780,$T3780,IF(D3781="x",T3780,IF(D3780="x","",""))))</f>
        <v/>
      </c>
      <c r="U3781" t="str">
        <f>IF(B3781=1,MAX($U$2:$U3780)+1,IF(AND($T3781&lt;&gt;"",$T3781=$T3780),$U3780,IF(B3781="x",U3780,"")))</f>
        <v/>
      </c>
      <c r="V3781" t="str">
        <f>IF(C3781=1,MAX($V$2:$V3780)+1,IF(AND($T3781&lt;&gt;"",$T3781=$T3780),$U3780,IF(C3781="x",V3780,"")))</f>
        <v/>
      </c>
      <c r="X3781" cm="1">
        <f t="array" ref="X3781">IF($I3781&lt;&gt;"",$I3781,INDEX($I$1:$I3781,ROW()-COUNTIFS($T$1:$T3781,"="&amp;$T3781,$S$1:$S3781,"&lt;"&amp;$S3781)))</f>
        <v>0</v>
      </c>
      <c r="Z3781" s="6">
        <f t="shared" ref="Z3781:Z3844" si="518">IF(K3781="Intermission",Z3780+1,Z3780)</f>
        <v>1</v>
      </c>
      <c r="AA3781" t="e">
        <f t="shared" ref="AA3781:AA3844" si="519">S3781+1000</f>
        <v>#VALUE!</v>
      </c>
      <c r="AB3781" t="str">
        <f t="shared" ref="AB3781:AB3844" si="520">IF(T3781&lt;&gt;"",9000+T3781,"")</f>
        <v/>
      </c>
      <c r="AC3781" t="e">
        <f t="shared" ref="AC3781:AC3844" si="521">IF(AB3781&lt;&gt;"",AB3781,S3781+1000)</f>
        <v>#VALUE!</v>
      </c>
    </row>
    <row r="3782" spans="1:29" x14ac:dyDescent="0.2">
      <c r="A3782" t="str">
        <f t="shared" si="514"/>
        <v/>
      </c>
      <c r="E3782" s="4"/>
      <c r="F3782" s="46"/>
      <c r="G3782" s="4"/>
      <c r="H3782" s="48"/>
      <c r="J3782" s="26" t="str">
        <f t="shared" si="515"/>
        <v/>
      </c>
      <c r="N3782" t="str">
        <f t="shared" si="516"/>
        <v/>
      </c>
      <c r="Q3782" t="str">
        <f t="shared" si="517"/>
        <v/>
      </c>
      <c r="S3782" t="str">
        <f>IF(A3782=1,MAX($S$2:$S3781)+1,IF(OR($I3782&lt;&gt;"",A3782="x"),$S3781,""))</f>
        <v/>
      </c>
      <c r="T3782" t="str">
        <f>IF(D3782=1,MAX($T$2:$T3781)+1,IF(S3782=S3781,$T3781,IF(D3782="x",T3781,IF(D3781="x","",""))))</f>
        <v/>
      </c>
      <c r="U3782" t="str">
        <f>IF(B3782=1,MAX($U$2:$U3781)+1,IF(AND($T3782&lt;&gt;"",$T3782=$T3781),$U3781,IF(B3782="x",U3781,"")))</f>
        <v/>
      </c>
      <c r="V3782" t="str">
        <f>IF(C3782=1,MAX($V$2:$V3781)+1,IF(AND($T3782&lt;&gt;"",$T3782=$T3781),$U3781,IF(C3782="x",V3781,"")))</f>
        <v/>
      </c>
      <c r="X3782" cm="1">
        <f t="array" ref="X3782">IF($I3782&lt;&gt;"",$I3782,INDEX($I$1:$I3782,ROW()-COUNTIFS($T$1:$T3782,"="&amp;$T3782,$S$1:$S3782,"&lt;"&amp;$S3782)))</f>
        <v>0</v>
      </c>
      <c r="Z3782" s="6">
        <f t="shared" si="518"/>
        <v>1</v>
      </c>
      <c r="AA3782" t="e">
        <f t="shared" si="519"/>
        <v>#VALUE!</v>
      </c>
      <c r="AB3782" t="str">
        <f t="shared" si="520"/>
        <v/>
      </c>
      <c r="AC3782" t="e">
        <f t="shared" si="521"/>
        <v>#VALUE!</v>
      </c>
    </row>
    <row r="3783" spans="1:29" x14ac:dyDescent="0.2">
      <c r="A3783" t="str">
        <f t="shared" si="514"/>
        <v/>
      </c>
      <c r="E3783" s="4"/>
      <c r="F3783" s="46"/>
      <c r="G3783" s="4"/>
      <c r="H3783" s="48"/>
      <c r="J3783" s="26" t="str">
        <f t="shared" si="515"/>
        <v/>
      </c>
      <c r="N3783" t="str">
        <f t="shared" si="516"/>
        <v/>
      </c>
      <c r="Q3783" t="str">
        <f t="shared" si="517"/>
        <v/>
      </c>
      <c r="S3783" t="str">
        <f>IF(A3783=1,MAX($S$2:$S3782)+1,IF(OR($I3783&lt;&gt;"",A3783="x"),$S3782,""))</f>
        <v/>
      </c>
      <c r="T3783" t="str">
        <f>IF(D3783=1,MAX($T$2:$T3782)+1,IF(S3783=S3782,$T3782,IF(D3783="x",T3782,IF(D3782="x","",""))))</f>
        <v/>
      </c>
      <c r="U3783" t="str">
        <f>IF(B3783=1,MAX($U$2:$U3782)+1,IF(AND($T3783&lt;&gt;"",$T3783=$T3782),$U3782,IF(B3783="x",U3782,"")))</f>
        <v/>
      </c>
      <c r="V3783" t="str">
        <f>IF(C3783=1,MAX($V$2:$V3782)+1,IF(AND($T3783&lt;&gt;"",$T3783=$T3782),$U3782,IF(C3783="x",V3782,"")))</f>
        <v/>
      </c>
      <c r="X3783" cm="1">
        <f t="array" ref="X3783">IF($I3783&lt;&gt;"",$I3783,INDEX($I$1:$I3783,ROW()-COUNTIFS($T$1:$T3783,"="&amp;$T3783,$S$1:$S3783,"&lt;"&amp;$S3783)))</f>
        <v>0</v>
      </c>
      <c r="Z3783" s="6">
        <f t="shared" si="518"/>
        <v>1</v>
      </c>
      <c r="AA3783" t="e">
        <f t="shared" si="519"/>
        <v>#VALUE!</v>
      </c>
      <c r="AB3783" t="str">
        <f t="shared" si="520"/>
        <v/>
      </c>
      <c r="AC3783" t="e">
        <f t="shared" si="521"/>
        <v>#VALUE!</v>
      </c>
    </row>
    <row r="3784" spans="1:29" x14ac:dyDescent="0.2">
      <c r="A3784" t="str">
        <f t="shared" si="514"/>
        <v/>
      </c>
      <c r="E3784" s="4"/>
      <c r="F3784" s="46"/>
      <c r="G3784" s="4"/>
      <c r="H3784" s="48"/>
      <c r="J3784" s="26" t="str">
        <f t="shared" si="515"/>
        <v/>
      </c>
      <c r="N3784" t="str">
        <f t="shared" si="516"/>
        <v/>
      </c>
      <c r="Q3784" t="str">
        <f t="shared" si="517"/>
        <v/>
      </c>
      <c r="S3784" t="str">
        <f>IF(A3784=1,MAX($S$2:$S3783)+1,IF(OR($I3784&lt;&gt;"",A3784="x"),$S3783,""))</f>
        <v/>
      </c>
      <c r="T3784" t="str">
        <f>IF(D3784=1,MAX($T$2:$T3783)+1,IF(S3784=S3783,$T3783,IF(D3784="x",T3783,IF(D3783="x","",""))))</f>
        <v/>
      </c>
      <c r="U3784" t="str">
        <f>IF(B3784=1,MAX($U$2:$U3783)+1,IF(AND($T3784&lt;&gt;"",$T3784=$T3783),$U3783,IF(B3784="x",U3783,"")))</f>
        <v/>
      </c>
      <c r="V3784" t="str">
        <f>IF(C3784=1,MAX($V$2:$V3783)+1,IF(AND($T3784&lt;&gt;"",$T3784=$T3783),$U3783,IF(C3784="x",V3783,"")))</f>
        <v/>
      </c>
      <c r="X3784" cm="1">
        <f t="array" ref="X3784">IF($I3784&lt;&gt;"",$I3784,INDEX($I$1:$I3784,ROW()-COUNTIFS($T$1:$T3784,"="&amp;$T3784,$S$1:$S3784,"&lt;"&amp;$S3784)))</f>
        <v>0</v>
      </c>
      <c r="Z3784" s="6">
        <f t="shared" si="518"/>
        <v>1</v>
      </c>
      <c r="AA3784" t="e">
        <f t="shared" si="519"/>
        <v>#VALUE!</v>
      </c>
      <c r="AB3784" t="str">
        <f t="shared" si="520"/>
        <v/>
      </c>
      <c r="AC3784" t="e">
        <f t="shared" si="521"/>
        <v>#VALUE!</v>
      </c>
    </row>
    <row r="3785" spans="1:29" x14ac:dyDescent="0.2">
      <c r="A3785" t="str">
        <f t="shared" si="514"/>
        <v/>
      </c>
      <c r="E3785" s="4"/>
      <c r="F3785" s="46"/>
      <c r="G3785" s="4"/>
      <c r="H3785" s="48"/>
      <c r="J3785" s="26" t="str">
        <f t="shared" si="515"/>
        <v/>
      </c>
      <c r="N3785" t="str">
        <f t="shared" si="516"/>
        <v/>
      </c>
      <c r="Q3785" t="str">
        <f t="shared" si="517"/>
        <v/>
      </c>
      <c r="S3785" t="str">
        <f>IF(A3785=1,MAX($S$2:$S3784)+1,IF(OR($I3785&lt;&gt;"",A3785="x"),$S3784,""))</f>
        <v/>
      </c>
      <c r="T3785" t="str">
        <f>IF(D3785=1,MAX($T$2:$T3784)+1,IF(S3785=S3784,$T3784,IF(D3785="x",T3784,IF(D3784="x","",""))))</f>
        <v/>
      </c>
      <c r="U3785" t="str">
        <f>IF(B3785=1,MAX($U$2:$U3784)+1,IF(AND($T3785&lt;&gt;"",$T3785=$T3784),$U3784,IF(B3785="x",U3784,"")))</f>
        <v/>
      </c>
      <c r="V3785" t="str">
        <f>IF(C3785=1,MAX($V$2:$V3784)+1,IF(AND($T3785&lt;&gt;"",$T3785=$T3784),$U3784,IF(C3785="x",V3784,"")))</f>
        <v/>
      </c>
      <c r="X3785" cm="1">
        <f t="array" ref="X3785">IF($I3785&lt;&gt;"",$I3785,INDEX($I$1:$I3785,ROW()-COUNTIFS($T$1:$T3785,"="&amp;$T3785,$S$1:$S3785,"&lt;"&amp;$S3785)))</f>
        <v>0</v>
      </c>
      <c r="Z3785" s="6">
        <f t="shared" si="518"/>
        <v>1</v>
      </c>
      <c r="AA3785" t="e">
        <f t="shared" si="519"/>
        <v>#VALUE!</v>
      </c>
      <c r="AB3785" t="str">
        <f t="shared" si="520"/>
        <v/>
      </c>
      <c r="AC3785" t="e">
        <f t="shared" si="521"/>
        <v>#VALUE!</v>
      </c>
    </row>
    <row r="3786" spans="1:29" x14ac:dyDescent="0.2">
      <c r="A3786" t="str">
        <f t="shared" si="514"/>
        <v/>
      </c>
      <c r="E3786" s="4"/>
      <c r="F3786" s="46"/>
      <c r="G3786" s="4"/>
      <c r="H3786" s="48"/>
      <c r="J3786" s="26" t="str">
        <f t="shared" si="515"/>
        <v/>
      </c>
      <c r="N3786" t="str">
        <f t="shared" si="516"/>
        <v/>
      </c>
      <c r="Q3786" t="str">
        <f t="shared" si="517"/>
        <v/>
      </c>
      <c r="S3786" t="str">
        <f>IF(A3786=1,MAX($S$2:$S3785)+1,IF(OR($I3786&lt;&gt;"",A3786="x"),$S3785,""))</f>
        <v/>
      </c>
      <c r="T3786" t="str">
        <f>IF(D3786=1,MAX($T$2:$T3785)+1,IF(S3786=S3785,$T3785,IF(D3786="x",T3785,IF(D3785="x","",""))))</f>
        <v/>
      </c>
      <c r="U3786" t="str">
        <f>IF(B3786=1,MAX($U$2:$U3785)+1,IF(AND($T3786&lt;&gt;"",$T3786=$T3785),$U3785,IF(B3786="x",U3785,"")))</f>
        <v/>
      </c>
      <c r="V3786" t="str">
        <f>IF(C3786=1,MAX($V$2:$V3785)+1,IF(AND($T3786&lt;&gt;"",$T3786=$T3785),$U3785,IF(C3786="x",V3785,"")))</f>
        <v/>
      </c>
      <c r="X3786" cm="1">
        <f t="array" ref="X3786">IF($I3786&lt;&gt;"",$I3786,INDEX($I$1:$I3786,ROW()-COUNTIFS($T$1:$T3786,"="&amp;$T3786,$S$1:$S3786,"&lt;"&amp;$S3786)))</f>
        <v>0</v>
      </c>
      <c r="Z3786" s="6">
        <f t="shared" si="518"/>
        <v>1</v>
      </c>
      <c r="AA3786" t="e">
        <f t="shared" si="519"/>
        <v>#VALUE!</v>
      </c>
      <c r="AB3786" t="str">
        <f t="shared" si="520"/>
        <v/>
      </c>
      <c r="AC3786" t="e">
        <f t="shared" si="521"/>
        <v>#VALUE!</v>
      </c>
    </row>
    <row r="3787" spans="1:29" x14ac:dyDescent="0.2">
      <c r="A3787" t="str">
        <f t="shared" si="514"/>
        <v/>
      </c>
      <c r="E3787" s="4"/>
      <c r="F3787" s="46"/>
      <c r="G3787" s="4"/>
      <c r="H3787" s="48"/>
      <c r="J3787" s="26" t="str">
        <f t="shared" si="515"/>
        <v/>
      </c>
      <c r="N3787" t="str">
        <f t="shared" si="516"/>
        <v/>
      </c>
      <c r="Q3787" t="str">
        <f t="shared" si="517"/>
        <v/>
      </c>
      <c r="S3787" t="str">
        <f>IF(A3787=1,MAX($S$2:$S3786)+1,IF(OR($I3787&lt;&gt;"",A3787="x"),$S3786,""))</f>
        <v/>
      </c>
      <c r="T3787" t="str">
        <f>IF(D3787=1,MAX($T$2:$T3786)+1,IF(S3787=S3786,$T3786,IF(D3787="x",T3786,IF(D3786="x","",""))))</f>
        <v/>
      </c>
      <c r="U3787" t="str">
        <f>IF(B3787=1,MAX($U$2:$U3786)+1,IF(AND($T3787&lt;&gt;"",$T3787=$T3786),$U3786,IF(B3787="x",U3786,"")))</f>
        <v/>
      </c>
      <c r="V3787" t="str">
        <f>IF(C3787=1,MAX($V$2:$V3786)+1,IF(AND($T3787&lt;&gt;"",$T3787=$T3786),$U3786,IF(C3787="x",V3786,"")))</f>
        <v/>
      </c>
      <c r="X3787" cm="1">
        <f t="array" ref="X3787">IF($I3787&lt;&gt;"",$I3787,INDEX($I$1:$I3787,ROW()-COUNTIFS($T$1:$T3787,"="&amp;$T3787,$S$1:$S3787,"&lt;"&amp;$S3787)))</f>
        <v>0</v>
      </c>
      <c r="Z3787" s="6">
        <f t="shared" si="518"/>
        <v>1</v>
      </c>
      <c r="AA3787" t="e">
        <f t="shared" si="519"/>
        <v>#VALUE!</v>
      </c>
      <c r="AB3787" t="str">
        <f t="shared" si="520"/>
        <v/>
      </c>
      <c r="AC3787" t="e">
        <f t="shared" si="521"/>
        <v>#VALUE!</v>
      </c>
    </row>
    <row r="3788" spans="1:29" x14ac:dyDescent="0.2">
      <c r="A3788" t="str">
        <f t="shared" si="514"/>
        <v/>
      </c>
      <c r="E3788" s="4"/>
      <c r="F3788" s="46"/>
      <c r="G3788" s="4"/>
      <c r="H3788" s="48"/>
      <c r="J3788" s="26" t="str">
        <f t="shared" si="515"/>
        <v/>
      </c>
      <c r="N3788" t="str">
        <f t="shared" si="516"/>
        <v/>
      </c>
      <c r="Q3788" t="str">
        <f t="shared" si="517"/>
        <v/>
      </c>
      <c r="S3788" t="str">
        <f>IF(A3788=1,MAX($S$2:$S3787)+1,IF(OR($I3788&lt;&gt;"",A3788="x"),$S3787,""))</f>
        <v/>
      </c>
      <c r="T3788" t="str">
        <f>IF(D3788=1,MAX($T$2:$T3787)+1,IF(S3788=S3787,$T3787,IF(D3788="x",T3787,IF(D3787="x","",""))))</f>
        <v/>
      </c>
      <c r="U3788" t="str">
        <f>IF(B3788=1,MAX($U$2:$U3787)+1,IF(AND($T3788&lt;&gt;"",$T3788=$T3787),$U3787,IF(B3788="x",U3787,"")))</f>
        <v/>
      </c>
      <c r="V3788" t="str">
        <f>IF(C3788=1,MAX($V$2:$V3787)+1,IF(AND($T3788&lt;&gt;"",$T3788=$T3787),$U3787,IF(C3788="x",V3787,"")))</f>
        <v/>
      </c>
      <c r="X3788" cm="1">
        <f t="array" ref="X3788">IF($I3788&lt;&gt;"",$I3788,INDEX($I$1:$I3788,ROW()-COUNTIFS($T$1:$T3788,"="&amp;$T3788,$S$1:$S3788,"&lt;"&amp;$S3788)))</f>
        <v>0</v>
      </c>
      <c r="Z3788" s="6">
        <f t="shared" si="518"/>
        <v>1</v>
      </c>
      <c r="AA3788" t="e">
        <f t="shared" si="519"/>
        <v>#VALUE!</v>
      </c>
      <c r="AB3788" t="str">
        <f t="shared" si="520"/>
        <v/>
      </c>
      <c r="AC3788" t="e">
        <f t="shared" si="521"/>
        <v>#VALUE!</v>
      </c>
    </row>
    <row r="3789" spans="1:29" x14ac:dyDescent="0.2">
      <c r="A3789" t="str">
        <f t="shared" si="514"/>
        <v/>
      </c>
      <c r="E3789" s="4"/>
      <c r="F3789" s="46"/>
      <c r="G3789" s="4"/>
      <c r="H3789" s="48"/>
      <c r="J3789" s="26" t="str">
        <f t="shared" si="515"/>
        <v/>
      </c>
      <c r="N3789" t="str">
        <f t="shared" si="516"/>
        <v/>
      </c>
      <c r="Q3789" t="str">
        <f t="shared" si="517"/>
        <v/>
      </c>
      <c r="S3789" t="str">
        <f>IF(A3789=1,MAX($S$2:$S3788)+1,IF(OR($I3789&lt;&gt;"",A3789="x"),$S3788,""))</f>
        <v/>
      </c>
      <c r="T3789" t="str">
        <f>IF(D3789=1,MAX($T$2:$T3788)+1,IF(S3789=S3788,$T3788,IF(D3789="x",T3788,IF(D3788="x","",""))))</f>
        <v/>
      </c>
      <c r="U3789" t="str">
        <f>IF(B3789=1,MAX($U$2:$U3788)+1,IF(AND($T3789&lt;&gt;"",$T3789=$T3788),$U3788,IF(B3789="x",U3788,"")))</f>
        <v/>
      </c>
      <c r="V3789" t="str">
        <f>IF(C3789=1,MAX($V$2:$V3788)+1,IF(AND($T3789&lt;&gt;"",$T3789=$T3788),$U3788,IF(C3789="x",V3788,"")))</f>
        <v/>
      </c>
      <c r="X3789" cm="1">
        <f t="array" ref="X3789">IF($I3789&lt;&gt;"",$I3789,INDEX($I$1:$I3789,ROW()-COUNTIFS($T$1:$T3789,"="&amp;$T3789,$S$1:$S3789,"&lt;"&amp;$S3789)))</f>
        <v>0</v>
      </c>
      <c r="Z3789" s="6">
        <f t="shared" si="518"/>
        <v>1</v>
      </c>
      <c r="AA3789" t="e">
        <f t="shared" si="519"/>
        <v>#VALUE!</v>
      </c>
      <c r="AB3789" t="str">
        <f t="shared" si="520"/>
        <v/>
      </c>
      <c r="AC3789" t="e">
        <f t="shared" si="521"/>
        <v>#VALUE!</v>
      </c>
    </row>
    <row r="3790" spans="1:29" x14ac:dyDescent="0.2">
      <c r="A3790" t="str">
        <f t="shared" si="514"/>
        <v/>
      </c>
      <c r="E3790" s="4"/>
      <c r="F3790" s="46"/>
      <c r="G3790" s="4"/>
      <c r="H3790" s="48"/>
      <c r="J3790" s="26" t="str">
        <f t="shared" si="515"/>
        <v/>
      </c>
      <c r="N3790" t="str">
        <f t="shared" si="516"/>
        <v/>
      </c>
      <c r="Q3790" t="str">
        <f t="shared" si="517"/>
        <v/>
      </c>
      <c r="S3790" t="str">
        <f>IF(A3790=1,MAX($S$2:$S3789)+1,IF(OR($I3790&lt;&gt;"",A3790="x"),$S3789,""))</f>
        <v/>
      </c>
      <c r="T3790" t="str">
        <f>IF(D3790=1,MAX($T$2:$T3789)+1,IF(S3790=S3789,$T3789,IF(D3790="x",T3789,IF(D3789="x","",""))))</f>
        <v/>
      </c>
      <c r="U3790" t="str">
        <f>IF(B3790=1,MAX($U$2:$U3789)+1,IF(AND($T3790&lt;&gt;"",$T3790=$T3789),$U3789,IF(B3790="x",U3789,"")))</f>
        <v/>
      </c>
      <c r="V3790" t="str">
        <f>IF(C3790=1,MAX($V$2:$V3789)+1,IF(AND($T3790&lt;&gt;"",$T3790=$T3789),$U3789,IF(C3790="x",V3789,"")))</f>
        <v/>
      </c>
      <c r="X3790" cm="1">
        <f t="array" ref="X3790">IF($I3790&lt;&gt;"",$I3790,INDEX($I$1:$I3790,ROW()-COUNTIFS($T$1:$T3790,"="&amp;$T3790,$S$1:$S3790,"&lt;"&amp;$S3790)))</f>
        <v>0</v>
      </c>
      <c r="Z3790" s="6">
        <f t="shared" si="518"/>
        <v>1</v>
      </c>
      <c r="AA3790" t="e">
        <f t="shared" si="519"/>
        <v>#VALUE!</v>
      </c>
      <c r="AB3790" t="str">
        <f t="shared" si="520"/>
        <v/>
      </c>
      <c r="AC3790" t="e">
        <f t="shared" si="521"/>
        <v>#VALUE!</v>
      </c>
    </row>
    <row r="3791" spans="1:29" x14ac:dyDescent="0.2">
      <c r="A3791" t="str">
        <f t="shared" si="514"/>
        <v/>
      </c>
      <c r="E3791" s="4"/>
      <c r="F3791" s="46"/>
      <c r="G3791" s="4"/>
      <c r="H3791" s="48"/>
      <c r="J3791" s="26" t="str">
        <f t="shared" si="515"/>
        <v/>
      </c>
      <c r="N3791" t="str">
        <f t="shared" si="516"/>
        <v/>
      </c>
      <c r="Q3791" t="str">
        <f t="shared" si="517"/>
        <v/>
      </c>
      <c r="S3791" t="str">
        <f>IF(A3791=1,MAX($S$2:$S3790)+1,IF(OR($I3791&lt;&gt;"",A3791="x"),$S3790,""))</f>
        <v/>
      </c>
      <c r="T3791" t="str">
        <f>IF(D3791=1,MAX($T$2:$T3790)+1,IF(S3791=S3790,$T3790,IF(D3791="x",T3790,IF(D3790="x","",""))))</f>
        <v/>
      </c>
      <c r="U3791" t="str">
        <f>IF(B3791=1,MAX($U$2:$U3790)+1,IF(AND($T3791&lt;&gt;"",$T3791=$T3790),$U3790,IF(B3791="x",U3790,"")))</f>
        <v/>
      </c>
      <c r="V3791" t="str">
        <f>IF(C3791=1,MAX($V$2:$V3790)+1,IF(AND($T3791&lt;&gt;"",$T3791=$T3790),$U3790,IF(C3791="x",V3790,"")))</f>
        <v/>
      </c>
      <c r="X3791" cm="1">
        <f t="array" ref="X3791">IF($I3791&lt;&gt;"",$I3791,INDEX($I$1:$I3791,ROW()-COUNTIFS($T$1:$T3791,"="&amp;$T3791,$S$1:$S3791,"&lt;"&amp;$S3791)))</f>
        <v>0</v>
      </c>
      <c r="Z3791" s="6">
        <f t="shared" si="518"/>
        <v>1</v>
      </c>
      <c r="AA3791" t="e">
        <f t="shared" si="519"/>
        <v>#VALUE!</v>
      </c>
      <c r="AB3791" t="str">
        <f t="shared" si="520"/>
        <v/>
      </c>
      <c r="AC3791" t="e">
        <f t="shared" si="521"/>
        <v>#VALUE!</v>
      </c>
    </row>
    <row r="3792" spans="1:29" x14ac:dyDescent="0.2">
      <c r="A3792" t="str">
        <f t="shared" si="514"/>
        <v/>
      </c>
      <c r="E3792" s="4"/>
      <c r="F3792" s="46"/>
      <c r="G3792" s="4"/>
      <c r="H3792" s="48"/>
      <c r="J3792" s="26" t="str">
        <f t="shared" si="515"/>
        <v/>
      </c>
      <c r="N3792" t="str">
        <f t="shared" si="516"/>
        <v/>
      </c>
      <c r="Q3792" t="str">
        <f t="shared" si="517"/>
        <v/>
      </c>
      <c r="S3792" t="str">
        <f>IF(A3792=1,MAX($S$2:$S3791)+1,IF(OR($I3792&lt;&gt;"",A3792="x"),$S3791,""))</f>
        <v/>
      </c>
      <c r="T3792" t="str">
        <f>IF(D3792=1,MAX($T$2:$T3791)+1,IF(S3792=S3791,$T3791,IF(D3792="x",T3791,IF(D3791="x","",""))))</f>
        <v/>
      </c>
      <c r="U3792" t="str">
        <f>IF(B3792=1,MAX($U$2:$U3791)+1,IF(AND($T3792&lt;&gt;"",$T3792=$T3791),$U3791,IF(B3792="x",U3791,"")))</f>
        <v/>
      </c>
      <c r="V3792" t="str">
        <f>IF(C3792=1,MAX($V$2:$V3791)+1,IF(AND($T3792&lt;&gt;"",$T3792=$T3791),$U3791,IF(C3792="x",V3791,"")))</f>
        <v/>
      </c>
      <c r="X3792" cm="1">
        <f t="array" ref="X3792">IF($I3792&lt;&gt;"",$I3792,INDEX($I$1:$I3792,ROW()-COUNTIFS($T$1:$T3792,"="&amp;$T3792,$S$1:$S3792,"&lt;"&amp;$S3792)))</f>
        <v>0</v>
      </c>
      <c r="Z3792" s="6">
        <f t="shared" si="518"/>
        <v>1</v>
      </c>
      <c r="AA3792" t="e">
        <f t="shared" si="519"/>
        <v>#VALUE!</v>
      </c>
      <c r="AB3792" t="str">
        <f t="shared" si="520"/>
        <v/>
      </c>
      <c r="AC3792" t="e">
        <f t="shared" si="521"/>
        <v>#VALUE!</v>
      </c>
    </row>
    <row r="3793" spans="1:29" x14ac:dyDescent="0.2">
      <c r="A3793" t="str">
        <f t="shared" si="514"/>
        <v/>
      </c>
      <c r="E3793" s="4"/>
      <c r="F3793" s="46"/>
      <c r="G3793" s="4"/>
      <c r="H3793" s="48"/>
      <c r="J3793" s="26" t="str">
        <f t="shared" si="515"/>
        <v/>
      </c>
      <c r="N3793" t="str">
        <f t="shared" si="516"/>
        <v/>
      </c>
      <c r="Q3793" t="str">
        <f t="shared" si="517"/>
        <v/>
      </c>
      <c r="S3793" t="str">
        <f>IF(A3793=1,MAX($S$2:$S3792)+1,IF(OR($I3793&lt;&gt;"",A3793="x"),$S3792,""))</f>
        <v/>
      </c>
      <c r="T3793" t="str">
        <f>IF(D3793=1,MAX($T$2:$T3792)+1,IF(S3793=S3792,$T3792,IF(D3793="x",T3792,IF(D3792="x","",""))))</f>
        <v/>
      </c>
      <c r="U3793" t="str">
        <f>IF(B3793=1,MAX($U$2:$U3792)+1,IF(AND($T3793&lt;&gt;"",$T3793=$T3792),$U3792,IF(B3793="x",U3792,"")))</f>
        <v/>
      </c>
      <c r="V3793" t="str">
        <f>IF(C3793=1,MAX($V$2:$V3792)+1,IF(AND($T3793&lt;&gt;"",$T3793=$T3792),$U3792,IF(C3793="x",V3792,"")))</f>
        <v/>
      </c>
      <c r="X3793" cm="1">
        <f t="array" ref="X3793">IF($I3793&lt;&gt;"",$I3793,INDEX($I$1:$I3793,ROW()-COUNTIFS($T$1:$T3793,"="&amp;$T3793,$S$1:$S3793,"&lt;"&amp;$S3793)))</f>
        <v>0</v>
      </c>
      <c r="Z3793" s="6">
        <f t="shared" si="518"/>
        <v>1</v>
      </c>
      <c r="AA3793" t="e">
        <f t="shared" si="519"/>
        <v>#VALUE!</v>
      </c>
      <c r="AB3793" t="str">
        <f t="shared" si="520"/>
        <v/>
      </c>
      <c r="AC3793" t="e">
        <f t="shared" si="521"/>
        <v>#VALUE!</v>
      </c>
    </row>
    <row r="3794" spans="1:29" x14ac:dyDescent="0.2">
      <c r="A3794" t="str">
        <f t="shared" si="514"/>
        <v/>
      </c>
      <c r="E3794" s="4"/>
      <c r="F3794" s="46"/>
      <c r="G3794" s="4"/>
      <c r="H3794" s="48"/>
      <c r="J3794" s="26" t="str">
        <f t="shared" si="515"/>
        <v/>
      </c>
      <c r="N3794" t="str">
        <f t="shared" si="516"/>
        <v/>
      </c>
      <c r="Q3794" t="str">
        <f t="shared" si="517"/>
        <v/>
      </c>
      <c r="S3794" t="str">
        <f>IF(A3794=1,MAX($S$2:$S3793)+1,IF(OR($I3794&lt;&gt;"",A3794="x"),$S3793,""))</f>
        <v/>
      </c>
      <c r="T3794" t="str">
        <f>IF(D3794=1,MAX($T$2:$T3793)+1,IF(S3794=S3793,$T3793,IF(D3794="x",T3793,IF(D3793="x","",""))))</f>
        <v/>
      </c>
      <c r="U3794" t="str">
        <f>IF(B3794=1,MAX($U$2:$U3793)+1,IF(AND($T3794&lt;&gt;"",$T3794=$T3793),$U3793,IF(B3794="x",U3793,"")))</f>
        <v/>
      </c>
      <c r="V3794" t="str">
        <f>IF(C3794=1,MAX($V$2:$V3793)+1,IF(AND($T3794&lt;&gt;"",$T3794=$T3793),$U3793,IF(C3794="x",V3793,"")))</f>
        <v/>
      </c>
      <c r="X3794" cm="1">
        <f t="array" ref="X3794">IF($I3794&lt;&gt;"",$I3794,INDEX($I$1:$I3794,ROW()-COUNTIFS($T$1:$T3794,"="&amp;$T3794,$S$1:$S3794,"&lt;"&amp;$S3794)))</f>
        <v>0</v>
      </c>
      <c r="Z3794" s="6">
        <f t="shared" si="518"/>
        <v>1</v>
      </c>
      <c r="AA3794" t="e">
        <f t="shared" si="519"/>
        <v>#VALUE!</v>
      </c>
      <c r="AB3794" t="str">
        <f t="shared" si="520"/>
        <v/>
      </c>
      <c r="AC3794" t="e">
        <f t="shared" si="521"/>
        <v>#VALUE!</v>
      </c>
    </row>
    <row r="3795" spans="1:29" x14ac:dyDescent="0.2">
      <c r="A3795" t="str">
        <f t="shared" ref="A3795:A3858" si="522">IF(K3795&lt;&gt;"",1,IF(D3795="x","x",""))</f>
        <v/>
      </c>
      <c r="E3795" s="4"/>
      <c r="F3795" s="46"/>
      <c r="G3795" s="4"/>
      <c r="H3795" s="48"/>
      <c r="J3795" s="26" t="str">
        <f t="shared" ref="J3795:J3858" si="523">IF(OR(K3795="Goal",K3795="Shot",L3795="Zone_Entry",M3795="Stoppage-Goal",M3794="Stoppage-Goal"),"o",IF(OR(K3795="Save",K3795="Rebound",L3795="Zone_Exit",M3795="Stoppage-GoalieStoppage",M3794="Stoppage-GoalieStoppage"),"d",IF(OR(L3795="Faceoff_AfterGoal",L3795="Faceoff_PeriodStart",698="Faceoff_GameStart",M3794="Stoppage-Goal"),"n","")))</f>
        <v/>
      </c>
      <c r="N3795" t="str">
        <f t="shared" ref="N3795:N3858" si="524">IF(K3795="","",IF(K3795="Goal","s",IF(AND(K3795="Zone_Entry_Exit",OR(ISNUMBER(SEARCH("fail",L3795)),ISNUMBER(SEARCH("FromExitClear",M3795)),ISNUMBER(SEARCH("miss",M3795)))),"u",IF(AND(K3795="Zone_Entry_Exit",OR(NOT(ISNUMBER(SEARCH("fail",L3795))),NOT(ISNUMBER(SEARCH("FromExitClear",M3795))),NOT(ISNUMBER(SEARCH("miss",M3795))))),"s",IF(AND(OR(K3795="Shot",K3795="Pass"),OR(ISNUMBER(SEARCH("complete",L3795)),ISNUMBER(SEARCH("goal",L3795)),ISNUMBER(SEARCH("OnNet",L3795)))),"s",IF(L3795="Turnover_Giveaway","u",IF(AND(OR(K3795="Shot",K3795="Pass"),OR(ISNUMBER(SEARCH("fail",L3795)),NOT(ISNUMBER(SEARCH("complete",L3795))),NOT(ISNUMBER(SEARCH("OnNet",L3795))))),"u","")))))))</f>
        <v/>
      </c>
      <c r="Q3795" t="str">
        <f t="shared" ref="Q3795:Q3858" si="525">IF(O3795="","",IF(AND(N3795&lt;&gt;"",OR(O3795&lt;&gt;"",P3795&lt;&gt;"")),N3795,IF(OR(ISNUMBER(SEARCH("attemp",O3795)),ISNUMBER(SEARCH("beat",O3795)),ISNUMBER(SEARCH("mis",O3795)),ISNUMBER(SEARCH("fail",O3795)),ISNUMBER(SEARCH("loss",O3795)),ISNUMBER(SEARCH("lost",O3795)),ISNUMBER(SEARCH("attemp",P3795)),ISNUMBER(SEARCH("mis",P3795)),ISNUMBER(SEARCH("fail",P3795)),ISNUMBER(SEARCH("loss",P3795)),ISNUMBER(SEARCH("beat",P3795)),ISNUMBER(SEARCH("lost",P3795))),"u","")))</f>
        <v/>
      </c>
      <c r="S3795" t="str">
        <f>IF(A3795=1,MAX($S$2:$S3794)+1,IF(OR($I3795&lt;&gt;"",A3795="x"),$S3794,""))</f>
        <v/>
      </c>
      <c r="T3795" t="str">
        <f>IF(D3795=1,MAX($T$2:$T3794)+1,IF(S3795=S3794,$T3794,IF(D3795="x",T3794,IF(D3794="x","",""))))</f>
        <v/>
      </c>
      <c r="U3795" t="str">
        <f>IF(B3795=1,MAX($U$2:$U3794)+1,IF(AND($T3795&lt;&gt;"",$T3795=$T3794),$U3794,IF(B3795="x",U3794,"")))</f>
        <v/>
      </c>
      <c r="V3795" t="str">
        <f>IF(C3795=1,MAX($V$2:$V3794)+1,IF(AND($T3795&lt;&gt;"",$T3795=$T3794),$U3794,IF(C3795="x",V3794,"")))</f>
        <v/>
      </c>
      <c r="X3795" cm="1">
        <f t="array" ref="X3795">IF($I3795&lt;&gt;"",$I3795,INDEX($I$1:$I3795,ROW()-COUNTIFS($T$1:$T3795,"="&amp;$T3795,$S$1:$S3795,"&lt;"&amp;$S3795)))</f>
        <v>0</v>
      </c>
      <c r="Z3795" s="6">
        <f t="shared" si="518"/>
        <v>1</v>
      </c>
      <c r="AA3795" t="e">
        <f t="shared" si="519"/>
        <v>#VALUE!</v>
      </c>
      <c r="AB3795" t="str">
        <f t="shared" si="520"/>
        <v/>
      </c>
      <c r="AC3795" t="e">
        <f t="shared" si="521"/>
        <v>#VALUE!</v>
      </c>
    </row>
    <row r="3796" spans="1:29" x14ac:dyDescent="0.2">
      <c r="A3796" t="str">
        <f t="shared" si="522"/>
        <v/>
      </c>
      <c r="E3796" s="4"/>
      <c r="F3796" s="46"/>
      <c r="G3796" s="4"/>
      <c r="H3796" s="48"/>
      <c r="J3796" s="26" t="str">
        <f t="shared" si="523"/>
        <v/>
      </c>
      <c r="N3796" t="str">
        <f t="shared" si="524"/>
        <v/>
      </c>
      <c r="Q3796" t="str">
        <f t="shared" si="525"/>
        <v/>
      </c>
      <c r="S3796" t="str">
        <f>IF(A3796=1,MAX($S$2:$S3795)+1,IF(OR($I3796&lt;&gt;"",A3796="x"),$S3795,""))</f>
        <v/>
      </c>
      <c r="T3796" t="str">
        <f>IF(D3796=1,MAX($T$2:$T3795)+1,IF(S3796=S3795,$T3795,IF(D3796="x",T3795,IF(D3795="x","",""))))</f>
        <v/>
      </c>
      <c r="U3796" t="str">
        <f>IF(B3796=1,MAX($U$2:$U3795)+1,IF(AND($T3796&lt;&gt;"",$T3796=$T3795),$U3795,IF(B3796="x",U3795,"")))</f>
        <v/>
      </c>
      <c r="V3796" t="str">
        <f>IF(C3796=1,MAX($V$2:$V3795)+1,IF(AND($T3796&lt;&gt;"",$T3796=$T3795),$U3795,IF(C3796="x",V3795,"")))</f>
        <v/>
      </c>
      <c r="X3796" cm="1">
        <f t="array" ref="X3796">IF($I3796&lt;&gt;"",$I3796,INDEX($I$1:$I3796,ROW()-COUNTIFS($T$1:$T3796,"="&amp;$T3796,$S$1:$S3796,"&lt;"&amp;$S3796)))</f>
        <v>0</v>
      </c>
      <c r="Z3796" s="6">
        <f t="shared" si="518"/>
        <v>1</v>
      </c>
      <c r="AA3796" t="e">
        <f t="shared" si="519"/>
        <v>#VALUE!</v>
      </c>
      <c r="AB3796" t="str">
        <f t="shared" si="520"/>
        <v/>
      </c>
      <c r="AC3796" t="e">
        <f t="shared" si="521"/>
        <v>#VALUE!</v>
      </c>
    </row>
    <row r="3797" spans="1:29" x14ac:dyDescent="0.2">
      <c r="A3797" t="str">
        <f t="shared" si="522"/>
        <v/>
      </c>
      <c r="E3797" s="4"/>
      <c r="F3797" s="46"/>
      <c r="G3797" s="4"/>
      <c r="H3797" s="48"/>
      <c r="J3797" s="26" t="str">
        <f t="shared" si="523"/>
        <v/>
      </c>
      <c r="N3797" t="str">
        <f t="shared" si="524"/>
        <v/>
      </c>
      <c r="Q3797" t="str">
        <f t="shared" si="525"/>
        <v/>
      </c>
      <c r="S3797" t="str">
        <f>IF(A3797=1,MAX($S$2:$S3796)+1,IF(OR($I3797&lt;&gt;"",A3797="x"),$S3796,""))</f>
        <v/>
      </c>
      <c r="T3797" t="str">
        <f>IF(D3797=1,MAX($T$2:$T3796)+1,IF(S3797=S3796,$T3796,IF(D3797="x",T3796,IF(D3796="x","",""))))</f>
        <v/>
      </c>
      <c r="U3797" t="str">
        <f>IF(B3797=1,MAX($U$2:$U3796)+1,IF(AND($T3797&lt;&gt;"",$T3797=$T3796),$U3796,IF(B3797="x",U3796,"")))</f>
        <v/>
      </c>
      <c r="V3797" t="str">
        <f>IF(C3797=1,MAX($V$2:$V3796)+1,IF(AND($T3797&lt;&gt;"",$T3797=$T3796),$U3796,IF(C3797="x",V3796,"")))</f>
        <v/>
      </c>
      <c r="X3797" cm="1">
        <f t="array" ref="X3797">IF($I3797&lt;&gt;"",$I3797,INDEX($I$1:$I3797,ROW()-COUNTIFS($T$1:$T3797,"="&amp;$T3797,$S$1:$S3797,"&lt;"&amp;$S3797)))</f>
        <v>0</v>
      </c>
      <c r="Z3797" s="6">
        <f t="shared" si="518"/>
        <v>1</v>
      </c>
      <c r="AA3797" t="e">
        <f t="shared" si="519"/>
        <v>#VALUE!</v>
      </c>
      <c r="AB3797" t="str">
        <f t="shared" si="520"/>
        <v/>
      </c>
      <c r="AC3797" t="e">
        <f t="shared" si="521"/>
        <v>#VALUE!</v>
      </c>
    </row>
    <row r="3798" spans="1:29" x14ac:dyDescent="0.2">
      <c r="A3798" t="str">
        <f t="shared" si="522"/>
        <v/>
      </c>
      <c r="E3798" s="4"/>
      <c r="F3798" s="46"/>
      <c r="G3798" s="4"/>
      <c r="H3798" s="48"/>
      <c r="J3798" s="26" t="str">
        <f t="shared" si="523"/>
        <v/>
      </c>
      <c r="N3798" t="str">
        <f t="shared" si="524"/>
        <v/>
      </c>
      <c r="Q3798" t="str">
        <f t="shared" si="525"/>
        <v/>
      </c>
      <c r="S3798" t="str">
        <f>IF(A3798=1,MAX($S$2:$S3797)+1,IF(OR($I3798&lt;&gt;"",A3798="x"),$S3797,""))</f>
        <v/>
      </c>
      <c r="T3798" t="str">
        <f>IF(D3798=1,MAX($T$2:$T3797)+1,IF(S3798=S3797,$T3797,IF(D3798="x",T3797,IF(D3797="x","",""))))</f>
        <v/>
      </c>
      <c r="U3798" t="str">
        <f>IF(B3798=1,MAX($U$2:$U3797)+1,IF(AND($T3798&lt;&gt;"",$T3798=$T3797),$U3797,IF(B3798="x",U3797,"")))</f>
        <v/>
      </c>
      <c r="V3798" t="str">
        <f>IF(C3798=1,MAX($V$2:$V3797)+1,IF(AND($T3798&lt;&gt;"",$T3798=$T3797),$U3797,IF(C3798="x",V3797,"")))</f>
        <v/>
      </c>
      <c r="X3798" cm="1">
        <f t="array" ref="X3798">IF($I3798&lt;&gt;"",$I3798,INDEX($I$1:$I3798,ROW()-COUNTIFS($T$1:$T3798,"="&amp;$T3798,$S$1:$S3798,"&lt;"&amp;$S3798)))</f>
        <v>0</v>
      </c>
      <c r="Z3798" s="6">
        <f t="shared" si="518"/>
        <v>1</v>
      </c>
      <c r="AA3798" t="e">
        <f t="shared" si="519"/>
        <v>#VALUE!</v>
      </c>
      <c r="AB3798" t="str">
        <f t="shared" si="520"/>
        <v/>
      </c>
      <c r="AC3798" t="e">
        <f t="shared" si="521"/>
        <v>#VALUE!</v>
      </c>
    </row>
    <row r="3799" spans="1:29" x14ac:dyDescent="0.2">
      <c r="A3799" t="str">
        <f t="shared" si="522"/>
        <v/>
      </c>
      <c r="E3799" s="4"/>
      <c r="F3799" s="46"/>
      <c r="G3799" s="4"/>
      <c r="H3799" s="48"/>
      <c r="J3799" s="26" t="str">
        <f t="shared" si="523"/>
        <v/>
      </c>
      <c r="N3799" t="str">
        <f t="shared" si="524"/>
        <v/>
      </c>
      <c r="Q3799" t="str">
        <f t="shared" si="525"/>
        <v/>
      </c>
      <c r="S3799" t="str">
        <f>IF(A3799=1,MAX($S$2:$S3798)+1,IF(OR($I3799&lt;&gt;"",A3799="x"),$S3798,""))</f>
        <v/>
      </c>
      <c r="T3799" t="str">
        <f>IF(D3799=1,MAX($T$2:$T3798)+1,IF(S3799=S3798,$T3798,IF(D3799="x",T3798,IF(D3798="x","",""))))</f>
        <v/>
      </c>
      <c r="U3799" t="str">
        <f>IF(B3799=1,MAX($U$2:$U3798)+1,IF(AND($T3799&lt;&gt;"",$T3799=$T3798),$U3798,IF(B3799="x",U3798,"")))</f>
        <v/>
      </c>
      <c r="V3799" t="str">
        <f>IF(C3799=1,MAX($V$2:$V3798)+1,IF(AND($T3799&lt;&gt;"",$T3799=$T3798),$U3798,IF(C3799="x",V3798,"")))</f>
        <v/>
      </c>
      <c r="X3799" cm="1">
        <f t="array" ref="X3799">IF($I3799&lt;&gt;"",$I3799,INDEX($I$1:$I3799,ROW()-COUNTIFS($T$1:$T3799,"="&amp;$T3799,$S$1:$S3799,"&lt;"&amp;$S3799)))</f>
        <v>0</v>
      </c>
      <c r="Z3799" s="6">
        <f t="shared" si="518"/>
        <v>1</v>
      </c>
      <c r="AA3799" t="e">
        <f t="shared" si="519"/>
        <v>#VALUE!</v>
      </c>
      <c r="AB3799" t="str">
        <f t="shared" si="520"/>
        <v/>
      </c>
      <c r="AC3799" t="e">
        <f t="shared" si="521"/>
        <v>#VALUE!</v>
      </c>
    </row>
    <row r="3800" spans="1:29" x14ac:dyDescent="0.2">
      <c r="A3800" t="str">
        <f t="shared" si="522"/>
        <v/>
      </c>
      <c r="E3800" s="4"/>
      <c r="F3800" s="46"/>
      <c r="G3800" s="4"/>
      <c r="H3800" s="48"/>
      <c r="J3800" s="26" t="str">
        <f t="shared" si="523"/>
        <v/>
      </c>
      <c r="N3800" t="str">
        <f t="shared" si="524"/>
        <v/>
      </c>
      <c r="Q3800" t="str">
        <f t="shared" si="525"/>
        <v/>
      </c>
      <c r="S3800" t="str">
        <f>IF(A3800=1,MAX($S$2:$S3799)+1,IF(OR($I3800&lt;&gt;"",A3800="x"),$S3799,""))</f>
        <v/>
      </c>
      <c r="T3800" t="str">
        <f>IF(D3800=1,MAX($T$2:$T3799)+1,IF(S3800=S3799,$T3799,IF(D3800="x",T3799,IF(D3799="x","",""))))</f>
        <v/>
      </c>
      <c r="U3800" t="str">
        <f>IF(B3800=1,MAX($U$2:$U3799)+1,IF(AND($T3800&lt;&gt;"",$T3800=$T3799),$U3799,IF(B3800="x",U3799,"")))</f>
        <v/>
      </c>
      <c r="V3800" t="str">
        <f>IF(C3800=1,MAX($V$2:$V3799)+1,IF(AND($T3800&lt;&gt;"",$T3800=$T3799),$U3799,IF(C3800="x",V3799,"")))</f>
        <v/>
      </c>
      <c r="X3800" cm="1">
        <f t="array" ref="X3800">IF($I3800&lt;&gt;"",$I3800,INDEX($I$1:$I3800,ROW()-COUNTIFS($T$1:$T3800,"="&amp;$T3800,$S$1:$S3800,"&lt;"&amp;$S3800)))</f>
        <v>0</v>
      </c>
      <c r="Z3800" s="6">
        <f t="shared" si="518"/>
        <v>1</v>
      </c>
      <c r="AA3800" t="e">
        <f t="shared" si="519"/>
        <v>#VALUE!</v>
      </c>
      <c r="AB3800" t="str">
        <f t="shared" si="520"/>
        <v/>
      </c>
      <c r="AC3800" t="e">
        <f t="shared" si="521"/>
        <v>#VALUE!</v>
      </c>
    </row>
    <row r="3801" spans="1:29" x14ac:dyDescent="0.2">
      <c r="A3801" t="str">
        <f t="shared" si="522"/>
        <v/>
      </c>
      <c r="E3801" s="4"/>
      <c r="F3801" s="46"/>
      <c r="G3801" s="4"/>
      <c r="H3801" s="48"/>
      <c r="J3801" s="26" t="str">
        <f t="shared" si="523"/>
        <v/>
      </c>
      <c r="N3801" t="str">
        <f t="shared" si="524"/>
        <v/>
      </c>
      <c r="Q3801" t="str">
        <f t="shared" si="525"/>
        <v/>
      </c>
      <c r="S3801" t="str">
        <f>IF(A3801=1,MAX($S$2:$S3800)+1,IF(OR($I3801&lt;&gt;"",A3801="x"),$S3800,""))</f>
        <v/>
      </c>
      <c r="T3801" t="str">
        <f>IF(D3801=1,MAX($T$2:$T3800)+1,IF(S3801=S3800,$T3800,IF(D3801="x",T3800,IF(D3800="x","",""))))</f>
        <v/>
      </c>
      <c r="U3801" t="str">
        <f>IF(B3801=1,MAX($U$2:$U3800)+1,IF(AND($T3801&lt;&gt;"",$T3801=$T3800),$U3800,IF(B3801="x",U3800,"")))</f>
        <v/>
      </c>
      <c r="V3801" t="str">
        <f>IF(C3801=1,MAX($V$2:$V3800)+1,IF(AND($T3801&lt;&gt;"",$T3801=$T3800),$U3800,IF(C3801="x",V3800,"")))</f>
        <v/>
      </c>
      <c r="X3801" cm="1">
        <f t="array" ref="X3801">IF($I3801&lt;&gt;"",$I3801,INDEX($I$1:$I3801,ROW()-COUNTIFS($T$1:$T3801,"="&amp;$T3801,$S$1:$S3801,"&lt;"&amp;$S3801)))</f>
        <v>0</v>
      </c>
      <c r="Z3801" s="6">
        <f t="shared" si="518"/>
        <v>1</v>
      </c>
      <c r="AA3801" t="e">
        <f t="shared" si="519"/>
        <v>#VALUE!</v>
      </c>
      <c r="AB3801" t="str">
        <f t="shared" si="520"/>
        <v/>
      </c>
      <c r="AC3801" t="e">
        <f t="shared" si="521"/>
        <v>#VALUE!</v>
      </c>
    </row>
    <row r="3802" spans="1:29" x14ac:dyDescent="0.2">
      <c r="A3802" t="str">
        <f t="shared" si="522"/>
        <v/>
      </c>
      <c r="E3802" s="4"/>
      <c r="F3802" s="46"/>
      <c r="G3802" s="4"/>
      <c r="H3802" s="48"/>
      <c r="J3802" s="26" t="str">
        <f t="shared" si="523"/>
        <v/>
      </c>
      <c r="N3802" t="str">
        <f t="shared" si="524"/>
        <v/>
      </c>
      <c r="Q3802" t="str">
        <f t="shared" si="525"/>
        <v/>
      </c>
      <c r="S3802" t="str">
        <f>IF(A3802=1,MAX($S$2:$S3801)+1,IF(OR($I3802&lt;&gt;"",A3802="x"),$S3801,""))</f>
        <v/>
      </c>
      <c r="T3802" t="str">
        <f>IF(D3802=1,MAX($T$2:$T3801)+1,IF(S3802=S3801,$T3801,IF(D3802="x",T3801,IF(D3801="x","",""))))</f>
        <v/>
      </c>
      <c r="U3802" t="str">
        <f>IF(B3802=1,MAX($U$2:$U3801)+1,IF(AND($T3802&lt;&gt;"",$T3802=$T3801),$U3801,IF(B3802="x",U3801,"")))</f>
        <v/>
      </c>
      <c r="V3802" t="str">
        <f>IF(C3802=1,MAX($V$2:$V3801)+1,IF(AND($T3802&lt;&gt;"",$T3802=$T3801),$U3801,IF(C3802="x",V3801,"")))</f>
        <v/>
      </c>
      <c r="X3802" cm="1">
        <f t="array" ref="X3802">IF($I3802&lt;&gt;"",$I3802,INDEX($I$1:$I3802,ROW()-COUNTIFS($T$1:$T3802,"="&amp;$T3802,$S$1:$S3802,"&lt;"&amp;$S3802)))</f>
        <v>0</v>
      </c>
      <c r="Z3802" s="6">
        <f t="shared" si="518"/>
        <v>1</v>
      </c>
      <c r="AA3802" t="e">
        <f t="shared" si="519"/>
        <v>#VALUE!</v>
      </c>
      <c r="AB3802" t="str">
        <f t="shared" si="520"/>
        <v/>
      </c>
      <c r="AC3802" t="e">
        <f t="shared" si="521"/>
        <v>#VALUE!</v>
      </c>
    </row>
    <row r="3803" spans="1:29" x14ac:dyDescent="0.2">
      <c r="A3803" t="str">
        <f t="shared" si="522"/>
        <v/>
      </c>
      <c r="E3803" s="4"/>
      <c r="F3803" s="46"/>
      <c r="G3803" s="4"/>
      <c r="H3803" s="48"/>
      <c r="J3803" s="26" t="str">
        <f t="shared" si="523"/>
        <v/>
      </c>
      <c r="N3803" t="str">
        <f t="shared" si="524"/>
        <v/>
      </c>
      <c r="Q3803" t="str">
        <f t="shared" si="525"/>
        <v/>
      </c>
      <c r="S3803" t="str">
        <f>IF(A3803=1,MAX($S$2:$S3802)+1,IF(OR($I3803&lt;&gt;"",A3803="x"),$S3802,""))</f>
        <v/>
      </c>
      <c r="T3803" t="str">
        <f>IF(D3803=1,MAX($T$2:$T3802)+1,IF(S3803=S3802,$T3802,IF(D3803="x",T3802,IF(D3802="x","",""))))</f>
        <v/>
      </c>
      <c r="U3803" t="str">
        <f>IF(B3803=1,MAX($U$2:$U3802)+1,IF(AND($T3803&lt;&gt;"",$T3803=$T3802),$U3802,IF(B3803="x",U3802,"")))</f>
        <v/>
      </c>
      <c r="V3803" t="str">
        <f>IF(C3803=1,MAX($V$2:$V3802)+1,IF(AND($T3803&lt;&gt;"",$T3803=$T3802),$U3802,IF(C3803="x",V3802,"")))</f>
        <v/>
      </c>
      <c r="X3803" cm="1">
        <f t="array" ref="X3803">IF($I3803&lt;&gt;"",$I3803,INDEX($I$1:$I3803,ROW()-COUNTIFS($T$1:$T3803,"="&amp;$T3803,$S$1:$S3803,"&lt;"&amp;$S3803)))</f>
        <v>0</v>
      </c>
      <c r="Z3803" s="6">
        <f t="shared" si="518"/>
        <v>1</v>
      </c>
      <c r="AA3803" t="e">
        <f t="shared" si="519"/>
        <v>#VALUE!</v>
      </c>
      <c r="AB3803" t="str">
        <f t="shared" si="520"/>
        <v/>
      </c>
      <c r="AC3803" t="e">
        <f t="shared" si="521"/>
        <v>#VALUE!</v>
      </c>
    </row>
    <row r="3804" spans="1:29" x14ac:dyDescent="0.2">
      <c r="A3804" t="str">
        <f t="shared" si="522"/>
        <v/>
      </c>
      <c r="E3804" s="4"/>
      <c r="F3804" s="46"/>
      <c r="G3804" s="4"/>
      <c r="H3804" s="48"/>
      <c r="J3804" s="26" t="str">
        <f t="shared" si="523"/>
        <v/>
      </c>
      <c r="N3804" t="str">
        <f t="shared" si="524"/>
        <v/>
      </c>
      <c r="Q3804" t="str">
        <f t="shared" si="525"/>
        <v/>
      </c>
      <c r="S3804" t="str">
        <f>IF(A3804=1,MAX($S$2:$S3803)+1,IF(OR($I3804&lt;&gt;"",A3804="x"),$S3803,""))</f>
        <v/>
      </c>
      <c r="T3804" t="str">
        <f>IF(D3804=1,MAX($T$2:$T3803)+1,IF(S3804=S3803,$T3803,IF(D3804="x",T3803,IF(D3803="x","",""))))</f>
        <v/>
      </c>
      <c r="U3804" t="str">
        <f>IF(B3804=1,MAX($U$2:$U3803)+1,IF(AND($T3804&lt;&gt;"",$T3804=$T3803),$U3803,IF(B3804="x",U3803,"")))</f>
        <v/>
      </c>
      <c r="V3804" t="str">
        <f>IF(C3804=1,MAX($V$2:$V3803)+1,IF(AND($T3804&lt;&gt;"",$T3804=$T3803),$U3803,IF(C3804="x",V3803,"")))</f>
        <v/>
      </c>
      <c r="X3804" cm="1">
        <f t="array" ref="X3804">IF($I3804&lt;&gt;"",$I3804,INDEX($I$1:$I3804,ROW()-COUNTIFS($T$1:$T3804,"="&amp;$T3804,$S$1:$S3804,"&lt;"&amp;$S3804)))</f>
        <v>0</v>
      </c>
      <c r="Z3804" s="6">
        <f t="shared" si="518"/>
        <v>1</v>
      </c>
      <c r="AA3804" t="e">
        <f t="shared" si="519"/>
        <v>#VALUE!</v>
      </c>
      <c r="AB3804" t="str">
        <f t="shared" si="520"/>
        <v/>
      </c>
      <c r="AC3804" t="e">
        <f t="shared" si="521"/>
        <v>#VALUE!</v>
      </c>
    </row>
    <row r="3805" spans="1:29" x14ac:dyDescent="0.2">
      <c r="A3805" t="str">
        <f t="shared" si="522"/>
        <v/>
      </c>
      <c r="E3805" s="4"/>
      <c r="F3805" s="46"/>
      <c r="G3805" s="4"/>
      <c r="H3805" s="48"/>
      <c r="J3805" s="26" t="str">
        <f t="shared" si="523"/>
        <v/>
      </c>
      <c r="N3805" t="str">
        <f t="shared" si="524"/>
        <v/>
      </c>
      <c r="Q3805" t="str">
        <f t="shared" si="525"/>
        <v/>
      </c>
      <c r="S3805" t="str">
        <f>IF(A3805=1,MAX($S$2:$S3804)+1,IF(OR($I3805&lt;&gt;"",A3805="x"),$S3804,""))</f>
        <v/>
      </c>
      <c r="T3805" t="str">
        <f>IF(D3805=1,MAX($T$2:$T3804)+1,IF(S3805=S3804,$T3804,IF(D3805="x",T3804,IF(D3804="x","",""))))</f>
        <v/>
      </c>
      <c r="U3805" t="str">
        <f>IF(B3805=1,MAX($U$2:$U3804)+1,IF(AND($T3805&lt;&gt;"",$T3805=$T3804),$U3804,IF(B3805="x",U3804,"")))</f>
        <v/>
      </c>
      <c r="V3805" t="str">
        <f>IF(C3805=1,MAX($V$2:$V3804)+1,IF(AND($T3805&lt;&gt;"",$T3805=$T3804),$U3804,IF(C3805="x",V3804,"")))</f>
        <v/>
      </c>
      <c r="X3805" cm="1">
        <f t="array" ref="X3805">IF($I3805&lt;&gt;"",$I3805,INDEX($I$1:$I3805,ROW()-COUNTIFS($T$1:$T3805,"="&amp;$T3805,$S$1:$S3805,"&lt;"&amp;$S3805)))</f>
        <v>0</v>
      </c>
      <c r="Z3805" s="6">
        <f t="shared" si="518"/>
        <v>1</v>
      </c>
      <c r="AA3805" t="e">
        <f t="shared" si="519"/>
        <v>#VALUE!</v>
      </c>
      <c r="AB3805" t="str">
        <f t="shared" si="520"/>
        <v/>
      </c>
      <c r="AC3805" t="e">
        <f t="shared" si="521"/>
        <v>#VALUE!</v>
      </c>
    </row>
    <row r="3806" spans="1:29" x14ac:dyDescent="0.2">
      <c r="A3806" t="str">
        <f t="shared" si="522"/>
        <v/>
      </c>
      <c r="E3806" s="4"/>
      <c r="F3806" s="46"/>
      <c r="G3806" s="4"/>
      <c r="H3806" s="48"/>
      <c r="J3806" s="26" t="str">
        <f t="shared" si="523"/>
        <v/>
      </c>
      <c r="N3806" t="str">
        <f t="shared" si="524"/>
        <v/>
      </c>
      <c r="Q3806" t="str">
        <f t="shared" si="525"/>
        <v/>
      </c>
      <c r="S3806" t="str">
        <f>IF(A3806=1,MAX($S$2:$S3805)+1,IF(OR($I3806&lt;&gt;"",A3806="x"),$S3805,""))</f>
        <v/>
      </c>
      <c r="T3806" t="str">
        <f>IF(D3806=1,MAX($T$2:$T3805)+1,IF(S3806=S3805,$T3805,IF(D3806="x",T3805,IF(D3805="x","",""))))</f>
        <v/>
      </c>
      <c r="U3806" t="str">
        <f>IF(B3806=1,MAX($U$2:$U3805)+1,IF(AND($T3806&lt;&gt;"",$T3806=$T3805),$U3805,IF(B3806="x",U3805,"")))</f>
        <v/>
      </c>
      <c r="V3806" t="str">
        <f>IF(C3806=1,MAX($V$2:$V3805)+1,IF(AND($T3806&lt;&gt;"",$T3806=$T3805),$U3805,IF(C3806="x",V3805,"")))</f>
        <v/>
      </c>
      <c r="X3806" cm="1">
        <f t="array" ref="X3806">IF($I3806&lt;&gt;"",$I3806,INDEX($I$1:$I3806,ROW()-COUNTIFS($T$1:$T3806,"="&amp;$T3806,$S$1:$S3806,"&lt;"&amp;$S3806)))</f>
        <v>0</v>
      </c>
      <c r="Z3806" s="6">
        <f t="shared" si="518"/>
        <v>1</v>
      </c>
      <c r="AA3806" t="e">
        <f t="shared" si="519"/>
        <v>#VALUE!</v>
      </c>
      <c r="AB3806" t="str">
        <f t="shared" si="520"/>
        <v/>
      </c>
      <c r="AC3806" t="e">
        <f t="shared" si="521"/>
        <v>#VALUE!</v>
      </c>
    </row>
    <row r="3807" spans="1:29" x14ac:dyDescent="0.2">
      <c r="A3807" t="str">
        <f t="shared" si="522"/>
        <v/>
      </c>
      <c r="E3807" s="4"/>
      <c r="F3807" s="46"/>
      <c r="G3807" s="4"/>
      <c r="H3807" s="48"/>
      <c r="J3807" s="26" t="str">
        <f t="shared" si="523"/>
        <v/>
      </c>
      <c r="N3807" t="str">
        <f t="shared" si="524"/>
        <v/>
      </c>
      <c r="Q3807" t="str">
        <f t="shared" si="525"/>
        <v/>
      </c>
      <c r="S3807" t="str">
        <f>IF(A3807=1,MAX($S$2:$S3806)+1,IF(OR($I3807&lt;&gt;"",A3807="x"),$S3806,""))</f>
        <v/>
      </c>
      <c r="T3807" t="str">
        <f>IF(D3807=1,MAX($T$2:$T3806)+1,IF(S3807=S3806,$T3806,IF(D3807="x",T3806,IF(D3806="x","",""))))</f>
        <v/>
      </c>
      <c r="U3807" t="str">
        <f>IF(B3807=1,MAX($U$2:$U3806)+1,IF(AND($T3807&lt;&gt;"",$T3807=$T3806),$U3806,IF(B3807="x",U3806,"")))</f>
        <v/>
      </c>
      <c r="V3807" t="str">
        <f>IF(C3807=1,MAX($V$2:$V3806)+1,IF(AND($T3807&lt;&gt;"",$T3807=$T3806),$U3806,IF(C3807="x",V3806,"")))</f>
        <v/>
      </c>
      <c r="X3807" cm="1">
        <f t="array" ref="X3807">IF($I3807&lt;&gt;"",$I3807,INDEX($I$1:$I3807,ROW()-COUNTIFS($T$1:$T3807,"="&amp;$T3807,$S$1:$S3807,"&lt;"&amp;$S3807)))</f>
        <v>0</v>
      </c>
      <c r="Z3807" s="6">
        <f t="shared" si="518"/>
        <v>1</v>
      </c>
      <c r="AA3807" t="e">
        <f t="shared" si="519"/>
        <v>#VALUE!</v>
      </c>
      <c r="AB3807" t="str">
        <f t="shared" si="520"/>
        <v/>
      </c>
      <c r="AC3807" t="e">
        <f t="shared" si="521"/>
        <v>#VALUE!</v>
      </c>
    </row>
    <row r="3808" spans="1:29" x14ac:dyDescent="0.2">
      <c r="A3808" t="str">
        <f t="shared" si="522"/>
        <v/>
      </c>
      <c r="E3808" s="4"/>
      <c r="F3808" s="46"/>
      <c r="G3808" s="4"/>
      <c r="H3808" s="48"/>
      <c r="J3808" s="26" t="str">
        <f t="shared" si="523"/>
        <v/>
      </c>
      <c r="N3808" t="str">
        <f t="shared" si="524"/>
        <v/>
      </c>
      <c r="Q3808" t="str">
        <f t="shared" si="525"/>
        <v/>
      </c>
      <c r="S3808" t="str">
        <f>IF(A3808=1,MAX($S$2:$S3807)+1,IF(OR($I3808&lt;&gt;"",A3808="x"),$S3807,""))</f>
        <v/>
      </c>
      <c r="T3808" t="str">
        <f>IF(D3808=1,MAX($T$2:$T3807)+1,IF(S3808=S3807,$T3807,IF(D3808="x",T3807,IF(D3807="x","",""))))</f>
        <v/>
      </c>
      <c r="U3808" t="str">
        <f>IF(B3808=1,MAX($U$2:$U3807)+1,IF(AND($T3808&lt;&gt;"",$T3808=$T3807),$U3807,IF(B3808="x",U3807,"")))</f>
        <v/>
      </c>
      <c r="V3808" t="str">
        <f>IF(C3808=1,MAX($V$2:$V3807)+1,IF(AND($T3808&lt;&gt;"",$T3808=$T3807),$U3807,IF(C3808="x",V3807,"")))</f>
        <v/>
      </c>
      <c r="X3808" cm="1">
        <f t="array" ref="X3808">IF($I3808&lt;&gt;"",$I3808,INDEX($I$1:$I3808,ROW()-COUNTIFS($T$1:$T3808,"="&amp;$T3808,$S$1:$S3808,"&lt;"&amp;$S3808)))</f>
        <v>0</v>
      </c>
      <c r="Z3808" s="6">
        <f t="shared" si="518"/>
        <v>1</v>
      </c>
      <c r="AA3808" t="e">
        <f t="shared" si="519"/>
        <v>#VALUE!</v>
      </c>
      <c r="AB3808" t="str">
        <f t="shared" si="520"/>
        <v/>
      </c>
      <c r="AC3808" t="e">
        <f t="shared" si="521"/>
        <v>#VALUE!</v>
      </c>
    </row>
    <row r="3809" spans="1:29" x14ac:dyDescent="0.2">
      <c r="A3809" t="str">
        <f t="shared" si="522"/>
        <v/>
      </c>
      <c r="E3809" s="4"/>
      <c r="F3809" s="46"/>
      <c r="G3809" s="4"/>
      <c r="H3809" s="48"/>
      <c r="J3809" s="26" t="str">
        <f t="shared" si="523"/>
        <v/>
      </c>
      <c r="N3809" t="str">
        <f t="shared" si="524"/>
        <v/>
      </c>
      <c r="Q3809" t="str">
        <f t="shared" si="525"/>
        <v/>
      </c>
      <c r="S3809" t="str">
        <f>IF(A3809=1,MAX($S$2:$S3808)+1,IF(OR($I3809&lt;&gt;"",A3809="x"),$S3808,""))</f>
        <v/>
      </c>
      <c r="T3809" t="str">
        <f>IF(D3809=1,MAX($T$2:$T3808)+1,IF(S3809=S3808,$T3808,IF(D3809="x",T3808,IF(D3808="x","",""))))</f>
        <v/>
      </c>
      <c r="U3809" t="str">
        <f>IF(B3809=1,MAX($U$2:$U3808)+1,IF(AND($T3809&lt;&gt;"",$T3809=$T3808),$U3808,IF(B3809="x",U3808,"")))</f>
        <v/>
      </c>
      <c r="V3809" t="str">
        <f>IF(C3809=1,MAX($V$2:$V3808)+1,IF(AND($T3809&lt;&gt;"",$T3809=$T3808),$U3808,IF(C3809="x",V3808,"")))</f>
        <v/>
      </c>
      <c r="X3809" cm="1">
        <f t="array" ref="X3809">IF($I3809&lt;&gt;"",$I3809,INDEX($I$1:$I3809,ROW()-COUNTIFS($T$1:$T3809,"="&amp;$T3809,$S$1:$S3809,"&lt;"&amp;$S3809)))</f>
        <v>0</v>
      </c>
      <c r="Z3809" s="6">
        <f t="shared" si="518"/>
        <v>1</v>
      </c>
      <c r="AA3809" t="e">
        <f t="shared" si="519"/>
        <v>#VALUE!</v>
      </c>
      <c r="AB3809" t="str">
        <f t="shared" si="520"/>
        <v/>
      </c>
      <c r="AC3809" t="e">
        <f t="shared" si="521"/>
        <v>#VALUE!</v>
      </c>
    </row>
    <row r="3810" spans="1:29" x14ac:dyDescent="0.2">
      <c r="A3810" t="str">
        <f t="shared" si="522"/>
        <v/>
      </c>
      <c r="E3810" s="4"/>
      <c r="F3810" s="46"/>
      <c r="G3810" s="4"/>
      <c r="H3810" s="48"/>
      <c r="J3810" s="26" t="str">
        <f t="shared" si="523"/>
        <v/>
      </c>
      <c r="N3810" t="str">
        <f t="shared" si="524"/>
        <v/>
      </c>
      <c r="Q3810" t="str">
        <f t="shared" si="525"/>
        <v/>
      </c>
      <c r="S3810" t="str">
        <f>IF(A3810=1,MAX($S$2:$S3809)+1,IF(OR($I3810&lt;&gt;"",A3810="x"),$S3809,""))</f>
        <v/>
      </c>
      <c r="T3810" t="str">
        <f>IF(D3810=1,MAX($T$2:$T3809)+1,IF(S3810=S3809,$T3809,IF(D3810="x",T3809,IF(D3809="x","",""))))</f>
        <v/>
      </c>
      <c r="U3810" t="str">
        <f>IF(B3810=1,MAX($U$2:$U3809)+1,IF(AND($T3810&lt;&gt;"",$T3810=$T3809),$U3809,IF(B3810="x",U3809,"")))</f>
        <v/>
      </c>
      <c r="V3810" t="str">
        <f>IF(C3810=1,MAX($V$2:$V3809)+1,IF(AND($T3810&lt;&gt;"",$T3810=$T3809),$U3809,IF(C3810="x",V3809,"")))</f>
        <v/>
      </c>
      <c r="X3810" cm="1">
        <f t="array" ref="X3810">IF($I3810&lt;&gt;"",$I3810,INDEX($I$1:$I3810,ROW()-COUNTIFS($T$1:$T3810,"="&amp;$T3810,$S$1:$S3810,"&lt;"&amp;$S3810)))</f>
        <v>0</v>
      </c>
      <c r="Z3810" s="6">
        <f t="shared" si="518"/>
        <v>1</v>
      </c>
      <c r="AA3810" t="e">
        <f t="shared" si="519"/>
        <v>#VALUE!</v>
      </c>
      <c r="AB3810" t="str">
        <f t="shared" si="520"/>
        <v/>
      </c>
      <c r="AC3810" t="e">
        <f t="shared" si="521"/>
        <v>#VALUE!</v>
      </c>
    </row>
    <row r="3811" spans="1:29" x14ac:dyDescent="0.2">
      <c r="A3811" t="str">
        <f t="shared" si="522"/>
        <v/>
      </c>
      <c r="E3811" s="4"/>
      <c r="F3811" s="46"/>
      <c r="G3811" s="4"/>
      <c r="H3811" s="48"/>
      <c r="J3811" s="26" t="str">
        <f t="shared" si="523"/>
        <v/>
      </c>
      <c r="N3811" t="str">
        <f t="shared" si="524"/>
        <v/>
      </c>
      <c r="Q3811" t="str">
        <f t="shared" si="525"/>
        <v/>
      </c>
      <c r="S3811" t="str">
        <f>IF(A3811=1,MAX($S$2:$S3810)+1,IF(OR($I3811&lt;&gt;"",A3811="x"),$S3810,""))</f>
        <v/>
      </c>
      <c r="T3811" t="str">
        <f>IF(D3811=1,MAX($T$2:$T3810)+1,IF(S3811=S3810,$T3810,IF(D3811="x",T3810,IF(D3810="x","",""))))</f>
        <v/>
      </c>
      <c r="U3811" t="str">
        <f>IF(B3811=1,MAX($U$2:$U3810)+1,IF(AND($T3811&lt;&gt;"",$T3811=$T3810),$U3810,IF(B3811="x",U3810,"")))</f>
        <v/>
      </c>
      <c r="V3811" t="str">
        <f>IF(C3811=1,MAX($V$2:$V3810)+1,IF(AND($T3811&lt;&gt;"",$T3811=$T3810),$U3810,IF(C3811="x",V3810,"")))</f>
        <v/>
      </c>
      <c r="X3811" cm="1">
        <f t="array" ref="X3811">IF($I3811&lt;&gt;"",$I3811,INDEX($I$1:$I3811,ROW()-COUNTIFS($T$1:$T3811,"="&amp;$T3811,$S$1:$S3811,"&lt;"&amp;$S3811)))</f>
        <v>0</v>
      </c>
      <c r="Z3811" s="6">
        <f t="shared" si="518"/>
        <v>1</v>
      </c>
      <c r="AA3811" t="e">
        <f t="shared" si="519"/>
        <v>#VALUE!</v>
      </c>
      <c r="AB3811" t="str">
        <f t="shared" si="520"/>
        <v/>
      </c>
      <c r="AC3811" t="e">
        <f t="shared" si="521"/>
        <v>#VALUE!</v>
      </c>
    </row>
    <row r="3812" spans="1:29" x14ac:dyDescent="0.2">
      <c r="A3812" t="str">
        <f t="shared" si="522"/>
        <v/>
      </c>
      <c r="E3812" s="4"/>
      <c r="F3812" s="46"/>
      <c r="G3812" s="4"/>
      <c r="H3812" s="48"/>
      <c r="J3812" s="26" t="str">
        <f t="shared" si="523"/>
        <v/>
      </c>
      <c r="N3812" t="str">
        <f t="shared" si="524"/>
        <v/>
      </c>
      <c r="Q3812" t="str">
        <f t="shared" si="525"/>
        <v/>
      </c>
      <c r="S3812" t="str">
        <f>IF(A3812=1,MAX($S$2:$S3811)+1,IF(OR($I3812&lt;&gt;"",A3812="x"),$S3811,""))</f>
        <v/>
      </c>
      <c r="T3812" t="str">
        <f>IF(D3812=1,MAX($T$2:$T3811)+1,IF(S3812=S3811,$T3811,IF(D3812="x",T3811,IF(D3811="x","",""))))</f>
        <v/>
      </c>
      <c r="U3812" t="str">
        <f>IF(B3812=1,MAX($U$2:$U3811)+1,IF(AND($T3812&lt;&gt;"",$T3812=$T3811),$U3811,IF(B3812="x",U3811,"")))</f>
        <v/>
      </c>
      <c r="V3812" t="str">
        <f>IF(C3812=1,MAX($V$2:$V3811)+1,IF(AND($T3812&lt;&gt;"",$T3812=$T3811),$U3811,IF(C3812="x",V3811,"")))</f>
        <v/>
      </c>
      <c r="X3812" cm="1">
        <f t="array" ref="X3812">IF($I3812&lt;&gt;"",$I3812,INDEX($I$1:$I3812,ROW()-COUNTIFS($T$1:$T3812,"="&amp;$T3812,$S$1:$S3812,"&lt;"&amp;$S3812)))</f>
        <v>0</v>
      </c>
      <c r="Z3812" s="6">
        <f t="shared" si="518"/>
        <v>1</v>
      </c>
      <c r="AA3812" t="e">
        <f t="shared" si="519"/>
        <v>#VALUE!</v>
      </c>
      <c r="AB3812" t="str">
        <f t="shared" si="520"/>
        <v/>
      </c>
      <c r="AC3812" t="e">
        <f t="shared" si="521"/>
        <v>#VALUE!</v>
      </c>
    </row>
    <row r="3813" spans="1:29" x14ac:dyDescent="0.2">
      <c r="A3813" t="str">
        <f t="shared" si="522"/>
        <v/>
      </c>
      <c r="E3813" s="4"/>
      <c r="F3813" s="46"/>
      <c r="G3813" s="4"/>
      <c r="H3813" s="48"/>
      <c r="J3813" s="26" t="str">
        <f t="shared" si="523"/>
        <v/>
      </c>
      <c r="N3813" t="str">
        <f t="shared" si="524"/>
        <v/>
      </c>
      <c r="Q3813" t="str">
        <f t="shared" si="525"/>
        <v/>
      </c>
      <c r="S3813" t="str">
        <f>IF(A3813=1,MAX($S$2:$S3812)+1,IF(OR($I3813&lt;&gt;"",A3813="x"),$S3812,""))</f>
        <v/>
      </c>
      <c r="T3813" t="str">
        <f>IF(D3813=1,MAX($T$2:$T3812)+1,IF(S3813=S3812,$T3812,IF(D3813="x",T3812,IF(D3812="x","",""))))</f>
        <v/>
      </c>
      <c r="U3813" t="str">
        <f>IF(B3813=1,MAX($U$2:$U3812)+1,IF(AND($T3813&lt;&gt;"",$T3813=$T3812),$U3812,IF(B3813="x",U3812,"")))</f>
        <v/>
      </c>
      <c r="V3813" t="str">
        <f>IF(C3813=1,MAX($V$2:$V3812)+1,IF(AND($T3813&lt;&gt;"",$T3813=$T3812),$U3812,IF(C3813="x",V3812,"")))</f>
        <v/>
      </c>
      <c r="X3813" cm="1">
        <f t="array" ref="X3813">IF($I3813&lt;&gt;"",$I3813,INDEX($I$1:$I3813,ROW()-COUNTIFS($T$1:$T3813,"="&amp;$T3813,$S$1:$S3813,"&lt;"&amp;$S3813)))</f>
        <v>0</v>
      </c>
      <c r="Z3813" s="6">
        <f t="shared" si="518"/>
        <v>1</v>
      </c>
      <c r="AA3813" t="e">
        <f t="shared" si="519"/>
        <v>#VALUE!</v>
      </c>
      <c r="AB3813" t="str">
        <f t="shared" si="520"/>
        <v/>
      </c>
      <c r="AC3813" t="e">
        <f t="shared" si="521"/>
        <v>#VALUE!</v>
      </c>
    </row>
    <row r="3814" spans="1:29" x14ac:dyDescent="0.2">
      <c r="A3814" t="str">
        <f t="shared" si="522"/>
        <v/>
      </c>
      <c r="E3814" s="4"/>
      <c r="F3814" s="46"/>
      <c r="G3814" s="4"/>
      <c r="H3814" s="48"/>
      <c r="J3814" s="26" t="str">
        <f t="shared" si="523"/>
        <v/>
      </c>
      <c r="N3814" t="str">
        <f t="shared" si="524"/>
        <v/>
      </c>
      <c r="Q3814" t="str">
        <f t="shared" si="525"/>
        <v/>
      </c>
      <c r="S3814" t="str">
        <f>IF(A3814=1,MAX($S$2:$S3813)+1,IF(OR($I3814&lt;&gt;"",A3814="x"),$S3813,""))</f>
        <v/>
      </c>
      <c r="T3814" t="str">
        <f>IF(D3814=1,MAX($T$2:$T3813)+1,IF(S3814=S3813,$T3813,IF(D3814="x",T3813,IF(D3813="x","",""))))</f>
        <v/>
      </c>
      <c r="U3814" t="str">
        <f>IF(B3814=1,MAX($U$2:$U3813)+1,IF(AND($T3814&lt;&gt;"",$T3814=$T3813),$U3813,IF(B3814="x",U3813,"")))</f>
        <v/>
      </c>
      <c r="V3814" t="str">
        <f>IF(C3814=1,MAX($V$2:$V3813)+1,IF(AND($T3814&lt;&gt;"",$T3814=$T3813),$U3813,IF(C3814="x",V3813,"")))</f>
        <v/>
      </c>
      <c r="X3814" cm="1">
        <f t="array" ref="X3814">IF($I3814&lt;&gt;"",$I3814,INDEX($I$1:$I3814,ROW()-COUNTIFS($T$1:$T3814,"="&amp;$T3814,$S$1:$S3814,"&lt;"&amp;$S3814)))</f>
        <v>0</v>
      </c>
      <c r="Z3814" s="6">
        <f t="shared" si="518"/>
        <v>1</v>
      </c>
      <c r="AA3814" t="e">
        <f t="shared" si="519"/>
        <v>#VALUE!</v>
      </c>
      <c r="AB3814" t="str">
        <f t="shared" si="520"/>
        <v/>
      </c>
      <c r="AC3814" t="e">
        <f t="shared" si="521"/>
        <v>#VALUE!</v>
      </c>
    </row>
    <row r="3815" spans="1:29" x14ac:dyDescent="0.2">
      <c r="A3815" t="str">
        <f t="shared" si="522"/>
        <v/>
      </c>
      <c r="E3815" s="4"/>
      <c r="F3815" s="46"/>
      <c r="G3815" s="4"/>
      <c r="H3815" s="48"/>
      <c r="J3815" s="26" t="str">
        <f t="shared" si="523"/>
        <v/>
      </c>
      <c r="N3815" t="str">
        <f t="shared" si="524"/>
        <v/>
      </c>
      <c r="Q3815" t="str">
        <f t="shared" si="525"/>
        <v/>
      </c>
      <c r="S3815" t="str">
        <f>IF(A3815=1,MAX($S$2:$S3814)+1,IF(OR($I3815&lt;&gt;"",A3815="x"),$S3814,""))</f>
        <v/>
      </c>
      <c r="T3815" t="str">
        <f>IF(D3815=1,MAX($T$2:$T3814)+1,IF(S3815=S3814,$T3814,IF(D3815="x",T3814,IF(D3814="x","",""))))</f>
        <v/>
      </c>
      <c r="U3815" t="str">
        <f>IF(B3815=1,MAX($U$2:$U3814)+1,IF(AND($T3815&lt;&gt;"",$T3815=$T3814),$U3814,IF(B3815="x",U3814,"")))</f>
        <v/>
      </c>
      <c r="V3815" t="str">
        <f>IF(C3815=1,MAX($V$2:$V3814)+1,IF(AND($T3815&lt;&gt;"",$T3815=$T3814),$U3814,IF(C3815="x",V3814,"")))</f>
        <v/>
      </c>
      <c r="X3815" cm="1">
        <f t="array" ref="X3815">IF($I3815&lt;&gt;"",$I3815,INDEX($I$1:$I3815,ROW()-COUNTIFS($T$1:$T3815,"="&amp;$T3815,$S$1:$S3815,"&lt;"&amp;$S3815)))</f>
        <v>0</v>
      </c>
      <c r="Z3815" s="6">
        <f t="shared" si="518"/>
        <v>1</v>
      </c>
      <c r="AA3815" t="e">
        <f t="shared" si="519"/>
        <v>#VALUE!</v>
      </c>
      <c r="AB3815" t="str">
        <f t="shared" si="520"/>
        <v/>
      </c>
      <c r="AC3815" t="e">
        <f t="shared" si="521"/>
        <v>#VALUE!</v>
      </c>
    </row>
    <row r="3816" spans="1:29" x14ac:dyDescent="0.2">
      <c r="A3816" t="str">
        <f t="shared" si="522"/>
        <v/>
      </c>
      <c r="E3816" s="4"/>
      <c r="F3816" s="46"/>
      <c r="G3816" s="4"/>
      <c r="H3816" s="48"/>
      <c r="J3816" s="26" t="str">
        <f t="shared" si="523"/>
        <v/>
      </c>
      <c r="N3816" t="str">
        <f t="shared" si="524"/>
        <v/>
      </c>
      <c r="Q3816" t="str">
        <f t="shared" si="525"/>
        <v/>
      </c>
      <c r="S3816" t="str">
        <f>IF(A3816=1,MAX($S$2:$S3815)+1,IF(OR($I3816&lt;&gt;"",A3816="x"),$S3815,""))</f>
        <v/>
      </c>
      <c r="T3816" t="str">
        <f>IF(D3816=1,MAX($T$2:$T3815)+1,IF(S3816=S3815,$T3815,IF(D3816="x",T3815,IF(D3815="x","",""))))</f>
        <v/>
      </c>
      <c r="U3816" t="str">
        <f>IF(B3816=1,MAX($U$2:$U3815)+1,IF(AND($T3816&lt;&gt;"",$T3816=$T3815),$U3815,IF(B3816="x",U3815,"")))</f>
        <v/>
      </c>
      <c r="V3816" t="str">
        <f>IF(C3816=1,MAX($V$2:$V3815)+1,IF(AND($T3816&lt;&gt;"",$T3816=$T3815),$U3815,IF(C3816="x",V3815,"")))</f>
        <v/>
      </c>
      <c r="X3816" cm="1">
        <f t="array" ref="X3816">IF($I3816&lt;&gt;"",$I3816,INDEX($I$1:$I3816,ROW()-COUNTIFS($T$1:$T3816,"="&amp;$T3816,$S$1:$S3816,"&lt;"&amp;$S3816)))</f>
        <v>0</v>
      </c>
      <c r="Z3816" s="6">
        <f t="shared" si="518"/>
        <v>1</v>
      </c>
      <c r="AA3816" t="e">
        <f t="shared" si="519"/>
        <v>#VALUE!</v>
      </c>
      <c r="AB3816" t="str">
        <f t="shared" si="520"/>
        <v/>
      </c>
      <c r="AC3816" t="e">
        <f t="shared" si="521"/>
        <v>#VALUE!</v>
      </c>
    </row>
    <row r="3817" spans="1:29" x14ac:dyDescent="0.2">
      <c r="A3817" t="str">
        <f t="shared" si="522"/>
        <v/>
      </c>
      <c r="E3817" s="4"/>
      <c r="F3817" s="46"/>
      <c r="G3817" s="4"/>
      <c r="H3817" s="48"/>
      <c r="J3817" s="26" t="str">
        <f t="shared" si="523"/>
        <v/>
      </c>
      <c r="N3817" t="str">
        <f t="shared" si="524"/>
        <v/>
      </c>
      <c r="Q3817" t="str">
        <f t="shared" si="525"/>
        <v/>
      </c>
      <c r="S3817" t="str">
        <f>IF(A3817=1,MAX($S$2:$S3816)+1,IF(OR($I3817&lt;&gt;"",A3817="x"),$S3816,""))</f>
        <v/>
      </c>
      <c r="T3817" t="str">
        <f>IF(D3817=1,MAX($T$2:$T3816)+1,IF(S3817=S3816,$T3816,IF(D3817="x",T3816,IF(D3816="x","",""))))</f>
        <v/>
      </c>
      <c r="U3817" t="str">
        <f>IF(B3817=1,MAX($U$2:$U3816)+1,IF(AND($T3817&lt;&gt;"",$T3817=$T3816),$U3816,IF(B3817="x",U3816,"")))</f>
        <v/>
      </c>
      <c r="V3817" t="str">
        <f>IF(C3817=1,MAX($V$2:$V3816)+1,IF(AND($T3817&lt;&gt;"",$T3817=$T3816),$U3816,IF(C3817="x",V3816,"")))</f>
        <v/>
      </c>
      <c r="X3817" cm="1">
        <f t="array" ref="X3817">IF($I3817&lt;&gt;"",$I3817,INDEX($I$1:$I3817,ROW()-COUNTIFS($T$1:$T3817,"="&amp;$T3817,$S$1:$S3817,"&lt;"&amp;$S3817)))</f>
        <v>0</v>
      </c>
      <c r="Z3817" s="6">
        <f t="shared" si="518"/>
        <v>1</v>
      </c>
      <c r="AA3817" t="e">
        <f t="shared" si="519"/>
        <v>#VALUE!</v>
      </c>
      <c r="AB3817" t="str">
        <f t="shared" si="520"/>
        <v/>
      </c>
      <c r="AC3817" t="e">
        <f t="shared" si="521"/>
        <v>#VALUE!</v>
      </c>
    </row>
    <row r="3818" spans="1:29" x14ac:dyDescent="0.2">
      <c r="A3818" t="str">
        <f t="shared" si="522"/>
        <v/>
      </c>
      <c r="E3818" s="4"/>
      <c r="F3818" s="46"/>
      <c r="G3818" s="4"/>
      <c r="H3818" s="48"/>
      <c r="J3818" s="26" t="str">
        <f t="shared" si="523"/>
        <v/>
      </c>
      <c r="N3818" t="str">
        <f t="shared" si="524"/>
        <v/>
      </c>
      <c r="Q3818" t="str">
        <f t="shared" si="525"/>
        <v/>
      </c>
      <c r="S3818" t="str">
        <f>IF(A3818=1,MAX($S$2:$S3817)+1,IF(OR($I3818&lt;&gt;"",A3818="x"),$S3817,""))</f>
        <v/>
      </c>
      <c r="T3818" t="str">
        <f>IF(D3818=1,MAX($T$2:$T3817)+1,IF(S3818=S3817,$T3817,IF(D3818="x",T3817,IF(D3817="x","",""))))</f>
        <v/>
      </c>
      <c r="U3818" t="str">
        <f>IF(B3818=1,MAX($U$2:$U3817)+1,IF(AND($T3818&lt;&gt;"",$T3818=$T3817),$U3817,IF(B3818="x",U3817,"")))</f>
        <v/>
      </c>
      <c r="V3818" t="str">
        <f>IF(C3818=1,MAX($V$2:$V3817)+1,IF(AND($T3818&lt;&gt;"",$T3818=$T3817),$U3817,IF(C3818="x",V3817,"")))</f>
        <v/>
      </c>
      <c r="X3818" cm="1">
        <f t="array" ref="X3818">IF($I3818&lt;&gt;"",$I3818,INDEX($I$1:$I3818,ROW()-COUNTIFS($T$1:$T3818,"="&amp;$T3818,$S$1:$S3818,"&lt;"&amp;$S3818)))</f>
        <v>0</v>
      </c>
      <c r="Z3818" s="6">
        <f t="shared" si="518"/>
        <v>1</v>
      </c>
      <c r="AA3818" t="e">
        <f t="shared" si="519"/>
        <v>#VALUE!</v>
      </c>
      <c r="AB3818" t="str">
        <f t="shared" si="520"/>
        <v/>
      </c>
      <c r="AC3818" t="e">
        <f t="shared" si="521"/>
        <v>#VALUE!</v>
      </c>
    </row>
    <row r="3819" spans="1:29" x14ac:dyDescent="0.2">
      <c r="A3819" t="str">
        <f t="shared" si="522"/>
        <v/>
      </c>
      <c r="E3819" s="4"/>
      <c r="F3819" s="46"/>
      <c r="G3819" s="4"/>
      <c r="H3819" s="48"/>
      <c r="J3819" s="26" t="str">
        <f t="shared" si="523"/>
        <v/>
      </c>
      <c r="N3819" t="str">
        <f t="shared" si="524"/>
        <v/>
      </c>
      <c r="Q3819" t="str">
        <f t="shared" si="525"/>
        <v/>
      </c>
      <c r="S3819" t="str">
        <f>IF(A3819=1,MAX($S$2:$S3818)+1,IF(OR($I3819&lt;&gt;"",A3819="x"),$S3818,""))</f>
        <v/>
      </c>
      <c r="T3819" t="str">
        <f>IF(D3819=1,MAX($T$2:$T3818)+1,IF(S3819=S3818,$T3818,IF(D3819="x",T3818,IF(D3818="x","",""))))</f>
        <v/>
      </c>
      <c r="U3819" t="str">
        <f>IF(B3819=1,MAX($U$2:$U3818)+1,IF(AND($T3819&lt;&gt;"",$T3819=$T3818),$U3818,IF(B3819="x",U3818,"")))</f>
        <v/>
      </c>
      <c r="V3819" t="str">
        <f>IF(C3819=1,MAX($V$2:$V3818)+1,IF(AND($T3819&lt;&gt;"",$T3819=$T3818),$U3818,IF(C3819="x",V3818,"")))</f>
        <v/>
      </c>
      <c r="X3819" cm="1">
        <f t="array" ref="X3819">IF($I3819&lt;&gt;"",$I3819,INDEX($I$1:$I3819,ROW()-COUNTIFS($T$1:$T3819,"="&amp;$T3819,$S$1:$S3819,"&lt;"&amp;$S3819)))</f>
        <v>0</v>
      </c>
      <c r="Z3819" s="6">
        <f t="shared" si="518"/>
        <v>1</v>
      </c>
      <c r="AA3819" t="e">
        <f t="shared" si="519"/>
        <v>#VALUE!</v>
      </c>
      <c r="AB3819" t="str">
        <f t="shared" si="520"/>
        <v/>
      </c>
      <c r="AC3819" t="e">
        <f t="shared" si="521"/>
        <v>#VALUE!</v>
      </c>
    </row>
    <row r="3820" spans="1:29" x14ac:dyDescent="0.2">
      <c r="A3820" t="str">
        <f t="shared" si="522"/>
        <v/>
      </c>
      <c r="E3820" s="4"/>
      <c r="F3820" s="46"/>
      <c r="G3820" s="4"/>
      <c r="H3820" s="48"/>
      <c r="J3820" s="26" t="str">
        <f t="shared" si="523"/>
        <v/>
      </c>
      <c r="N3820" t="str">
        <f t="shared" si="524"/>
        <v/>
      </c>
      <c r="Q3820" t="str">
        <f t="shared" si="525"/>
        <v/>
      </c>
      <c r="S3820" t="str">
        <f>IF(A3820=1,MAX($S$2:$S3819)+1,IF(OR($I3820&lt;&gt;"",A3820="x"),$S3819,""))</f>
        <v/>
      </c>
      <c r="T3820" t="str">
        <f>IF(D3820=1,MAX($T$2:$T3819)+1,IF(S3820=S3819,$T3819,IF(D3820="x",T3819,IF(D3819="x","",""))))</f>
        <v/>
      </c>
      <c r="U3820" t="str">
        <f>IF(B3820=1,MAX($U$2:$U3819)+1,IF(AND($T3820&lt;&gt;"",$T3820=$T3819),$U3819,IF(B3820="x",U3819,"")))</f>
        <v/>
      </c>
      <c r="V3820" t="str">
        <f>IF(C3820=1,MAX($V$2:$V3819)+1,IF(AND($T3820&lt;&gt;"",$T3820=$T3819),$U3819,IF(C3820="x",V3819,"")))</f>
        <v/>
      </c>
      <c r="X3820" cm="1">
        <f t="array" ref="X3820">IF($I3820&lt;&gt;"",$I3820,INDEX($I$1:$I3820,ROW()-COUNTIFS($T$1:$T3820,"="&amp;$T3820,$S$1:$S3820,"&lt;"&amp;$S3820)))</f>
        <v>0</v>
      </c>
      <c r="Z3820" s="6">
        <f t="shared" si="518"/>
        <v>1</v>
      </c>
      <c r="AA3820" t="e">
        <f t="shared" si="519"/>
        <v>#VALUE!</v>
      </c>
      <c r="AB3820" t="str">
        <f t="shared" si="520"/>
        <v/>
      </c>
      <c r="AC3820" t="e">
        <f t="shared" si="521"/>
        <v>#VALUE!</v>
      </c>
    </row>
    <row r="3821" spans="1:29" x14ac:dyDescent="0.2">
      <c r="A3821" t="str">
        <f t="shared" si="522"/>
        <v/>
      </c>
      <c r="E3821" s="4"/>
      <c r="F3821" s="46"/>
      <c r="G3821" s="4"/>
      <c r="H3821" s="48"/>
      <c r="J3821" s="26" t="str">
        <f t="shared" si="523"/>
        <v/>
      </c>
      <c r="N3821" t="str">
        <f t="shared" si="524"/>
        <v/>
      </c>
      <c r="Q3821" t="str">
        <f t="shared" si="525"/>
        <v/>
      </c>
      <c r="S3821" t="str">
        <f>IF(A3821=1,MAX($S$2:$S3820)+1,IF(OR($I3821&lt;&gt;"",A3821="x"),$S3820,""))</f>
        <v/>
      </c>
      <c r="T3821" t="str">
        <f>IF(D3821=1,MAX($T$2:$T3820)+1,IF(S3821=S3820,$T3820,IF(D3821="x",T3820,IF(D3820="x","",""))))</f>
        <v/>
      </c>
      <c r="U3821" t="str">
        <f>IF(B3821=1,MAX($U$2:$U3820)+1,IF(AND($T3821&lt;&gt;"",$T3821=$T3820),$U3820,IF(B3821="x",U3820,"")))</f>
        <v/>
      </c>
      <c r="V3821" t="str">
        <f>IF(C3821=1,MAX($V$2:$V3820)+1,IF(AND($T3821&lt;&gt;"",$T3821=$T3820),$U3820,IF(C3821="x",V3820,"")))</f>
        <v/>
      </c>
      <c r="X3821" cm="1">
        <f t="array" ref="X3821">IF($I3821&lt;&gt;"",$I3821,INDEX($I$1:$I3821,ROW()-COUNTIFS($T$1:$T3821,"="&amp;$T3821,$S$1:$S3821,"&lt;"&amp;$S3821)))</f>
        <v>0</v>
      </c>
      <c r="Z3821" s="6">
        <f t="shared" si="518"/>
        <v>1</v>
      </c>
      <c r="AA3821" t="e">
        <f t="shared" si="519"/>
        <v>#VALUE!</v>
      </c>
      <c r="AB3821" t="str">
        <f t="shared" si="520"/>
        <v/>
      </c>
      <c r="AC3821" t="e">
        <f t="shared" si="521"/>
        <v>#VALUE!</v>
      </c>
    </row>
    <row r="3822" spans="1:29" x14ac:dyDescent="0.2">
      <c r="A3822" t="str">
        <f t="shared" si="522"/>
        <v/>
      </c>
      <c r="E3822" s="4"/>
      <c r="F3822" s="46"/>
      <c r="G3822" s="4"/>
      <c r="H3822" s="48"/>
      <c r="J3822" s="26" t="str">
        <f t="shared" si="523"/>
        <v/>
      </c>
      <c r="N3822" t="str">
        <f t="shared" si="524"/>
        <v/>
      </c>
      <c r="Q3822" t="str">
        <f t="shared" si="525"/>
        <v/>
      </c>
      <c r="S3822" t="str">
        <f>IF(A3822=1,MAX($S$2:$S3821)+1,IF(OR($I3822&lt;&gt;"",A3822="x"),$S3821,""))</f>
        <v/>
      </c>
      <c r="T3822" t="str">
        <f>IF(D3822=1,MAX($T$2:$T3821)+1,IF(S3822=S3821,$T3821,IF(D3822="x",T3821,IF(D3821="x","",""))))</f>
        <v/>
      </c>
      <c r="U3822" t="str">
        <f>IF(B3822=1,MAX($U$2:$U3821)+1,IF(AND($T3822&lt;&gt;"",$T3822=$T3821),$U3821,IF(B3822="x",U3821,"")))</f>
        <v/>
      </c>
      <c r="V3822" t="str">
        <f>IF(C3822=1,MAX($V$2:$V3821)+1,IF(AND($T3822&lt;&gt;"",$T3822=$T3821),$U3821,IF(C3822="x",V3821,"")))</f>
        <v/>
      </c>
      <c r="X3822" cm="1">
        <f t="array" ref="X3822">IF($I3822&lt;&gt;"",$I3822,INDEX($I$1:$I3822,ROW()-COUNTIFS($T$1:$T3822,"="&amp;$T3822,$S$1:$S3822,"&lt;"&amp;$S3822)))</f>
        <v>0</v>
      </c>
      <c r="Z3822" s="6">
        <f t="shared" si="518"/>
        <v>1</v>
      </c>
      <c r="AA3822" t="e">
        <f t="shared" si="519"/>
        <v>#VALUE!</v>
      </c>
      <c r="AB3822" t="str">
        <f t="shared" si="520"/>
        <v/>
      </c>
      <c r="AC3822" t="e">
        <f t="shared" si="521"/>
        <v>#VALUE!</v>
      </c>
    </row>
    <row r="3823" spans="1:29" x14ac:dyDescent="0.2">
      <c r="A3823" t="str">
        <f t="shared" si="522"/>
        <v/>
      </c>
      <c r="E3823" s="4"/>
      <c r="F3823" s="46"/>
      <c r="G3823" s="4"/>
      <c r="H3823" s="48"/>
      <c r="J3823" s="26" t="str">
        <f t="shared" si="523"/>
        <v/>
      </c>
      <c r="N3823" t="str">
        <f t="shared" si="524"/>
        <v/>
      </c>
      <c r="Q3823" t="str">
        <f t="shared" si="525"/>
        <v/>
      </c>
      <c r="S3823" t="str">
        <f>IF(A3823=1,MAX($S$2:$S3822)+1,IF(OR($I3823&lt;&gt;"",A3823="x"),$S3822,""))</f>
        <v/>
      </c>
      <c r="T3823" t="str">
        <f>IF(D3823=1,MAX($T$2:$T3822)+1,IF(S3823=S3822,$T3822,IF(D3823="x",T3822,IF(D3822="x","",""))))</f>
        <v/>
      </c>
      <c r="U3823" t="str">
        <f>IF(B3823=1,MAX($U$2:$U3822)+1,IF(AND($T3823&lt;&gt;"",$T3823=$T3822),$U3822,IF(B3823="x",U3822,"")))</f>
        <v/>
      </c>
      <c r="V3823" t="str">
        <f>IF(C3823=1,MAX($V$2:$V3822)+1,IF(AND($T3823&lt;&gt;"",$T3823=$T3822),$U3822,IF(C3823="x",V3822,"")))</f>
        <v/>
      </c>
      <c r="X3823" cm="1">
        <f t="array" ref="X3823">IF($I3823&lt;&gt;"",$I3823,INDEX($I$1:$I3823,ROW()-COUNTIFS($T$1:$T3823,"="&amp;$T3823,$S$1:$S3823,"&lt;"&amp;$S3823)))</f>
        <v>0</v>
      </c>
      <c r="Z3823" s="6">
        <f t="shared" si="518"/>
        <v>1</v>
      </c>
      <c r="AA3823" t="e">
        <f t="shared" si="519"/>
        <v>#VALUE!</v>
      </c>
      <c r="AB3823" t="str">
        <f t="shared" si="520"/>
        <v/>
      </c>
      <c r="AC3823" t="e">
        <f t="shared" si="521"/>
        <v>#VALUE!</v>
      </c>
    </row>
    <row r="3824" spans="1:29" x14ac:dyDescent="0.2">
      <c r="A3824" t="str">
        <f t="shared" si="522"/>
        <v/>
      </c>
      <c r="E3824" s="4"/>
      <c r="F3824" s="46"/>
      <c r="G3824" s="4"/>
      <c r="H3824" s="48"/>
      <c r="J3824" s="26" t="str">
        <f t="shared" si="523"/>
        <v/>
      </c>
      <c r="N3824" t="str">
        <f t="shared" si="524"/>
        <v/>
      </c>
      <c r="Q3824" t="str">
        <f t="shared" si="525"/>
        <v/>
      </c>
      <c r="S3824" t="str">
        <f>IF(A3824=1,MAX($S$2:$S3823)+1,IF(OR($I3824&lt;&gt;"",A3824="x"),$S3823,""))</f>
        <v/>
      </c>
      <c r="T3824" t="str">
        <f>IF(D3824=1,MAX($T$2:$T3823)+1,IF(S3824=S3823,$T3823,IF(D3824="x",T3823,IF(D3823="x","",""))))</f>
        <v/>
      </c>
      <c r="U3824" t="str">
        <f>IF(B3824=1,MAX($U$2:$U3823)+1,IF(AND($T3824&lt;&gt;"",$T3824=$T3823),$U3823,IF(B3824="x",U3823,"")))</f>
        <v/>
      </c>
      <c r="V3824" t="str">
        <f>IF(C3824=1,MAX($V$2:$V3823)+1,IF(AND($T3824&lt;&gt;"",$T3824=$T3823),$U3823,IF(C3824="x",V3823,"")))</f>
        <v/>
      </c>
      <c r="X3824" cm="1">
        <f t="array" ref="X3824">IF($I3824&lt;&gt;"",$I3824,INDEX($I$1:$I3824,ROW()-COUNTIFS($T$1:$T3824,"="&amp;$T3824,$S$1:$S3824,"&lt;"&amp;$S3824)))</f>
        <v>0</v>
      </c>
      <c r="Z3824" s="6">
        <f t="shared" si="518"/>
        <v>1</v>
      </c>
      <c r="AA3824" t="e">
        <f t="shared" si="519"/>
        <v>#VALUE!</v>
      </c>
      <c r="AB3824" t="str">
        <f t="shared" si="520"/>
        <v/>
      </c>
      <c r="AC3824" t="e">
        <f t="shared" si="521"/>
        <v>#VALUE!</v>
      </c>
    </row>
    <row r="3825" spans="1:29" x14ac:dyDescent="0.2">
      <c r="A3825" t="str">
        <f t="shared" si="522"/>
        <v/>
      </c>
      <c r="E3825" s="4"/>
      <c r="F3825" s="46"/>
      <c r="G3825" s="4"/>
      <c r="H3825" s="48"/>
      <c r="J3825" s="26" t="str">
        <f t="shared" si="523"/>
        <v/>
      </c>
      <c r="N3825" t="str">
        <f t="shared" si="524"/>
        <v/>
      </c>
      <c r="Q3825" t="str">
        <f t="shared" si="525"/>
        <v/>
      </c>
      <c r="S3825" t="str">
        <f>IF(A3825=1,MAX($S$2:$S3824)+1,IF(OR($I3825&lt;&gt;"",A3825="x"),$S3824,""))</f>
        <v/>
      </c>
      <c r="T3825" t="str">
        <f>IF(D3825=1,MAX($T$2:$T3824)+1,IF(S3825=S3824,$T3824,IF(D3825="x",T3824,IF(D3824="x","",""))))</f>
        <v/>
      </c>
      <c r="U3825" t="str">
        <f>IF(B3825=1,MAX($U$2:$U3824)+1,IF(AND($T3825&lt;&gt;"",$T3825=$T3824),$U3824,IF(B3825="x",U3824,"")))</f>
        <v/>
      </c>
      <c r="V3825" t="str">
        <f>IF(C3825=1,MAX($V$2:$V3824)+1,IF(AND($T3825&lt;&gt;"",$T3825=$T3824),$U3824,IF(C3825="x",V3824,"")))</f>
        <v/>
      </c>
      <c r="X3825" cm="1">
        <f t="array" ref="X3825">IF($I3825&lt;&gt;"",$I3825,INDEX($I$1:$I3825,ROW()-COUNTIFS($T$1:$T3825,"="&amp;$T3825,$S$1:$S3825,"&lt;"&amp;$S3825)))</f>
        <v>0</v>
      </c>
      <c r="Z3825" s="6">
        <f t="shared" si="518"/>
        <v>1</v>
      </c>
      <c r="AA3825" t="e">
        <f t="shared" si="519"/>
        <v>#VALUE!</v>
      </c>
      <c r="AB3825" t="str">
        <f t="shared" si="520"/>
        <v/>
      </c>
      <c r="AC3825" t="e">
        <f t="shared" si="521"/>
        <v>#VALUE!</v>
      </c>
    </row>
    <row r="3826" spans="1:29" x14ac:dyDescent="0.2">
      <c r="A3826" t="str">
        <f t="shared" si="522"/>
        <v/>
      </c>
      <c r="E3826" s="4"/>
      <c r="F3826" s="46"/>
      <c r="G3826" s="4"/>
      <c r="H3826" s="48"/>
      <c r="J3826" s="26" t="str">
        <f t="shared" si="523"/>
        <v/>
      </c>
      <c r="N3826" t="str">
        <f t="shared" si="524"/>
        <v/>
      </c>
      <c r="Q3826" t="str">
        <f t="shared" si="525"/>
        <v/>
      </c>
      <c r="S3826" t="str">
        <f>IF(A3826=1,MAX($S$2:$S3825)+1,IF(OR($I3826&lt;&gt;"",A3826="x"),$S3825,""))</f>
        <v/>
      </c>
      <c r="T3826" t="str">
        <f>IF(D3826=1,MAX($T$2:$T3825)+1,IF(S3826=S3825,$T3825,IF(D3826="x",T3825,IF(D3825="x","",""))))</f>
        <v/>
      </c>
      <c r="U3826" t="str">
        <f>IF(B3826=1,MAX($U$2:$U3825)+1,IF(AND($T3826&lt;&gt;"",$T3826=$T3825),$U3825,IF(B3826="x",U3825,"")))</f>
        <v/>
      </c>
      <c r="V3826" t="str">
        <f>IF(C3826=1,MAX($V$2:$V3825)+1,IF(AND($T3826&lt;&gt;"",$T3826=$T3825),$U3825,IF(C3826="x",V3825,"")))</f>
        <v/>
      </c>
      <c r="X3826" cm="1">
        <f t="array" ref="X3826">IF($I3826&lt;&gt;"",$I3826,INDEX($I$1:$I3826,ROW()-COUNTIFS($T$1:$T3826,"="&amp;$T3826,$S$1:$S3826,"&lt;"&amp;$S3826)))</f>
        <v>0</v>
      </c>
      <c r="Z3826" s="6">
        <f t="shared" si="518"/>
        <v>1</v>
      </c>
      <c r="AA3826" t="e">
        <f t="shared" si="519"/>
        <v>#VALUE!</v>
      </c>
      <c r="AB3826" t="str">
        <f t="shared" si="520"/>
        <v/>
      </c>
      <c r="AC3826" t="e">
        <f t="shared" si="521"/>
        <v>#VALUE!</v>
      </c>
    </row>
    <row r="3827" spans="1:29" x14ac:dyDescent="0.2">
      <c r="A3827" t="str">
        <f t="shared" si="522"/>
        <v/>
      </c>
      <c r="E3827" s="4"/>
      <c r="F3827" s="46"/>
      <c r="G3827" s="4"/>
      <c r="H3827" s="48"/>
      <c r="J3827" s="26" t="str">
        <f t="shared" si="523"/>
        <v/>
      </c>
      <c r="N3827" t="str">
        <f t="shared" si="524"/>
        <v/>
      </c>
      <c r="Q3827" t="str">
        <f t="shared" si="525"/>
        <v/>
      </c>
      <c r="S3827" t="str">
        <f>IF(A3827=1,MAX($S$2:$S3826)+1,IF(OR($I3827&lt;&gt;"",A3827="x"),$S3826,""))</f>
        <v/>
      </c>
      <c r="T3827" t="str">
        <f>IF(D3827=1,MAX($T$2:$T3826)+1,IF(S3827=S3826,$T3826,IF(D3827="x",T3826,IF(D3826="x","",""))))</f>
        <v/>
      </c>
      <c r="U3827" t="str">
        <f>IF(B3827=1,MAX($U$2:$U3826)+1,IF(AND($T3827&lt;&gt;"",$T3827=$T3826),$U3826,IF(B3827="x",U3826,"")))</f>
        <v/>
      </c>
      <c r="V3827" t="str">
        <f>IF(C3827=1,MAX($V$2:$V3826)+1,IF(AND($T3827&lt;&gt;"",$T3827=$T3826),$U3826,IF(C3827="x",V3826,"")))</f>
        <v/>
      </c>
      <c r="X3827" cm="1">
        <f t="array" ref="X3827">IF($I3827&lt;&gt;"",$I3827,INDEX($I$1:$I3827,ROW()-COUNTIFS($T$1:$T3827,"="&amp;$T3827,$S$1:$S3827,"&lt;"&amp;$S3827)))</f>
        <v>0</v>
      </c>
      <c r="Z3827" s="6">
        <f t="shared" si="518"/>
        <v>1</v>
      </c>
      <c r="AA3827" t="e">
        <f t="shared" si="519"/>
        <v>#VALUE!</v>
      </c>
      <c r="AB3827" t="str">
        <f t="shared" si="520"/>
        <v/>
      </c>
      <c r="AC3827" t="e">
        <f t="shared" si="521"/>
        <v>#VALUE!</v>
      </c>
    </row>
    <row r="3828" spans="1:29" x14ac:dyDescent="0.2">
      <c r="A3828" t="str">
        <f t="shared" si="522"/>
        <v/>
      </c>
      <c r="E3828" s="4"/>
      <c r="F3828" s="46"/>
      <c r="G3828" s="4"/>
      <c r="H3828" s="48"/>
      <c r="J3828" s="26" t="str">
        <f t="shared" si="523"/>
        <v/>
      </c>
      <c r="N3828" t="str">
        <f t="shared" si="524"/>
        <v/>
      </c>
      <c r="Q3828" t="str">
        <f t="shared" si="525"/>
        <v/>
      </c>
      <c r="S3828" t="str">
        <f>IF(A3828=1,MAX($S$2:$S3827)+1,IF(OR($I3828&lt;&gt;"",A3828="x"),$S3827,""))</f>
        <v/>
      </c>
      <c r="T3828" t="str">
        <f>IF(D3828=1,MAX($T$2:$T3827)+1,IF(S3828=S3827,$T3827,IF(D3828="x",T3827,IF(D3827="x","",""))))</f>
        <v/>
      </c>
      <c r="U3828" t="str">
        <f>IF(B3828=1,MAX($U$2:$U3827)+1,IF(AND($T3828&lt;&gt;"",$T3828=$T3827),$U3827,IF(B3828="x",U3827,"")))</f>
        <v/>
      </c>
      <c r="V3828" t="str">
        <f>IF(C3828=1,MAX($V$2:$V3827)+1,IF(AND($T3828&lt;&gt;"",$T3828=$T3827),$U3827,IF(C3828="x",V3827,"")))</f>
        <v/>
      </c>
      <c r="X3828" cm="1">
        <f t="array" ref="X3828">IF($I3828&lt;&gt;"",$I3828,INDEX($I$1:$I3828,ROW()-COUNTIFS($T$1:$T3828,"="&amp;$T3828,$S$1:$S3828,"&lt;"&amp;$S3828)))</f>
        <v>0</v>
      </c>
      <c r="Z3828" s="6">
        <f t="shared" si="518"/>
        <v>1</v>
      </c>
      <c r="AA3828" t="e">
        <f t="shared" si="519"/>
        <v>#VALUE!</v>
      </c>
      <c r="AB3828" t="str">
        <f t="shared" si="520"/>
        <v/>
      </c>
      <c r="AC3828" t="e">
        <f t="shared" si="521"/>
        <v>#VALUE!</v>
      </c>
    </row>
    <row r="3829" spans="1:29" x14ac:dyDescent="0.2">
      <c r="A3829" t="str">
        <f t="shared" si="522"/>
        <v/>
      </c>
      <c r="E3829" s="4"/>
      <c r="F3829" s="46"/>
      <c r="G3829" s="4"/>
      <c r="H3829" s="48"/>
      <c r="J3829" s="26" t="str">
        <f t="shared" si="523"/>
        <v/>
      </c>
      <c r="N3829" t="str">
        <f t="shared" si="524"/>
        <v/>
      </c>
      <c r="Q3829" t="str">
        <f t="shared" si="525"/>
        <v/>
      </c>
      <c r="S3829" t="str">
        <f>IF(A3829=1,MAX($S$2:$S3828)+1,IF(OR($I3829&lt;&gt;"",A3829="x"),$S3828,""))</f>
        <v/>
      </c>
      <c r="T3829" t="str">
        <f>IF(D3829=1,MAX($T$2:$T3828)+1,IF(S3829=S3828,$T3828,IF(D3829="x",T3828,IF(D3828="x","",""))))</f>
        <v/>
      </c>
      <c r="U3829" t="str">
        <f>IF(B3829=1,MAX($U$2:$U3828)+1,IF(AND($T3829&lt;&gt;"",$T3829=$T3828),$U3828,IF(B3829="x",U3828,"")))</f>
        <v/>
      </c>
      <c r="V3829" t="str">
        <f>IF(C3829=1,MAX($V$2:$V3828)+1,IF(AND($T3829&lt;&gt;"",$T3829=$T3828),$U3828,IF(C3829="x",V3828,"")))</f>
        <v/>
      </c>
      <c r="X3829" cm="1">
        <f t="array" ref="X3829">IF($I3829&lt;&gt;"",$I3829,INDEX($I$1:$I3829,ROW()-COUNTIFS($T$1:$T3829,"="&amp;$T3829,$S$1:$S3829,"&lt;"&amp;$S3829)))</f>
        <v>0</v>
      </c>
      <c r="Z3829" s="6">
        <f t="shared" si="518"/>
        <v>1</v>
      </c>
      <c r="AA3829" t="e">
        <f t="shared" si="519"/>
        <v>#VALUE!</v>
      </c>
      <c r="AB3829" t="str">
        <f t="shared" si="520"/>
        <v/>
      </c>
      <c r="AC3829" t="e">
        <f t="shared" si="521"/>
        <v>#VALUE!</v>
      </c>
    </row>
    <row r="3830" spans="1:29" x14ac:dyDescent="0.2">
      <c r="A3830" t="str">
        <f t="shared" si="522"/>
        <v/>
      </c>
      <c r="E3830" s="4"/>
      <c r="F3830" s="46"/>
      <c r="G3830" s="4"/>
      <c r="H3830" s="48"/>
      <c r="J3830" s="26" t="str">
        <f t="shared" si="523"/>
        <v/>
      </c>
      <c r="N3830" t="str">
        <f t="shared" si="524"/>
        <v/>
      </c>
      <c r="Q3830" t="str">
        <f t="shared" si="525"/>
        <v/>
      </c>
      <c r="S3830" t="str">
        <f>IF(A3830=1,MAX($S$2:$S3829)+1,IF(OR($I3830&lt;&gt;"",A3830="x"),$S3829,""))</f>
        <v/>
      </c>
      <c r="T3830" t="str">
        <f>IF(D3830=1,MAX($T$2:$T3829)+1,IF(S3830=S3829,$T3829,IF(D3830="x",T3829,IF(D3829="x","",""))))</f>
        <v/>
      </c>
      <c r="U3830" t="str">
        <f>IF(B3830=1,MAX($U$2:$U3829)+1,IF(AND($T3830&lt;&gt;"",$T3830=$T3829),$U3829,IF(B3830="x",U3829,"")))</f>
        <v/>
      </c>
      <c r="V3830" t="str">
        <f>IF(C3830=1,MAX($V$2:$V3829)+1,IF(AND($T3830&lt;&gt;"",$T3830=$T3829),$U3829,IF(C3830="x",V3829,"")))</f>
        <v/>
      </c>
      <c r="X3830" cm="1">
        <f t="array" ref="X3830">IF($I3830&lt;&gt;"",$I3830,INDEX($I$1:$I3830,ROW()-COUNTIFS($T$1:$T3830,"="&amp;$T3830,$S$1:$S3830,"&lt;"&amp;$S3830)))</f>
        <v>0</v>
      </c>
      <c r="Z3830" s="6">
        <f t="shared" si="518"/>
        <v>1</v>
      </c>
      <c r="AA3830" t="e">
        <f t="shared" si="519"/>
        <v>#VALUE!</v>
      </c>
      <c r="AB3830" t="str">
        <f t="shared" si="520"/>
        <v/>
      </c>
      <c r="AC3830" t="e">
        <f t="shared" si="521"/>
        <v>#VALUE!</v>
      </c>
    </row>
    <row r="3831" spans="1:29" x14ac:dyDescent="0.2">
      <c r="A3831" t="str">
        <f t="shared" si="522"/>
        <v/>
      </c>
      <c r="E3831" s="4"/>
      <c r="F3831" s="46"/>
      <c r="G3831" s="4"/>
      <c r="H3831" s="48"/>
      <c r="J3831" s="26" t="str">
        <f t="shared" si="523"/>
        <v/>
      </c>
      <c r="N3831" t="str">
        <f t="shared" si="524"/>
        <v/>
      </c>
      <c r="Q3831" t="str">
        <f t="shared" si="525"/>
        <v/>
      </c>
      <c r="S3831" t="str">
        <f>IF(A3831=1,MAX($S$2:$S3830)+1,IF(OR($I3831&lt;&gt;"",A3831="x"),$S3830,""))</f>
        <v/>
      </c>
      <c r="T3831" t="str">
        <f>IF(D3831=1,MAX($T$2:$T3830)+1,IF(S3831=S3830,$T3830,IF(D3831="x",T3830,IF(D3830="x","",""))))</f>
        <v/>
      </c>
      <c r="U3831" t="str">
        <f>IF(B3831=1,MAX($U$2:$U3830)+1,IF(AND($T3831&lt;&gt;"",$T3831=$T3830),$U3830,IF(B3831="x",U3830,"")))</f>
        <v/>
      </c>
      <c r="V3831" t="str">
        <f>IF(C3831=1,MAX($V$2:$V3830)+1,IF(AND($T3831&lt;&gt;"",$T3831=$T3830),$U3830,IF(C3831="x",V3830,"")))</f>
        <v/>
      </c>
      <c r="X3831" cm="1">
        <f t="array" ref="X3831">IF($I3831&lt;&gt;"",$I3831,INDEX($I$1:$I3831,ROW()-COUNTIFS($T$1:$T3831,"="&amp;$T3831,$S$1:$S3831,"&lt;"&amp;$S3831)))</f>
        <v>0</v>
      </c>
      <c r="Z3831" s="6">
        <f t="shared" si="518"/>
        <v>1</v>
      </c>
      <c r="AA3831" t="e">
        <f t="shared" si="519"/>
        <v>#VALUE!</v>
      </c>
      <c r="AB3831" t="str">
        <f t="shared" si="520"/>
        <v/>
      </c>
      <c r="AC3831" t="e">
        <f t="shared" si="521"/>
        <v>#VALUE!</v>
      </c>
    </row>
    <row r="3832" spans="1:29" x14ac:dyDescent="0.2">
      <c r="A3832" t="str">
        <f t="shared" si="522"/>
        <v/>
      </c>
      <c r="E3832" s="4"/>
      <c r="F3832" s="46"/>
      <c r="G3832" s="4"/>
      <c r="H3832" s="48"/>
      <c r="J3832" s="26" t="str">
        <f t="shared" si="523"/>
        <v/>
      </c>
      <c r="N3832" t="str">
        <f t="shared" si="524"/>
        <v/>
      </c>
      <c r="Q3832" t="str">
        <f t="shared" si="525"/>
        <v/>
      </c>
      <c r="S3832" t="str">
        <f>IF(A3832=1,MAX($S$2:$S3831)+1,IF(OR($I3832&lt;&gt;"",A3832="x"),$S3831,""))</f>
        <v/>
      </c>
      <c r="T3832" t="str">
        <f>IF(D3832=1,MAX($T$2:$T3831)+1,IF(S3832=S3831,$T3831,IF(D3832="x",T3831,IF(D3831="x","",""))))</f>
        <v/>
      </c>
      <c r="U3832" t="str">
        <f>IF(B3832=1,MAX($U$2:$U3831)+1,IF(AND($T3832&lt;&gt;"",$T3832=$T3831),$U3831,IF(B3832="x",U3831,"")))</f>
        <v/>
      </c>
      <c r="V3832" t="str">
        <f>IF(C3832=1,MAX($V$2:$V3831)+1,IF(AND($T3832&lt;&gt;"",$T3832=$T3831),$U3831,IF(C3832="x",V3831,"")))</f>
        <v/>
      </c>
      <c r="X3832" cm="1">
        <f t="array" ref="X3832">IF($I3832&lt;&gt;"",$I3832,INDEX($I$1:$I3832,ROW()-COUNTIFS($T$1:$T3832,"="&amp;$T3832,$S$1:$S3832,"&lt;"&amp;$S3832)))</f>
        <v>0</v>
      </c>
      <c r="Z3832" s="6">
        <f t="shared" si="518"/>
        <v>1</v>
      </c>
      <c r="AA3832" t="e">
        <f t="shared" si="519"/>
        <v>#VALUE!</v>
      </c>
      <c r="AB3832" t="str">
        <f t="shared" si="520"/>
        <v/>
      </c>
      <c r="AC3832" t="e">
        <f t="shared" si="521"/>
        <v>#VALUE!</v>
      </c>
    </row>
    <row r="3833" spans="1:29" x14ac:dyDescent="0.2">
      <c r="A3833" t="str">
        <f t="shared" si="522"/>
        <v/>
      </c>
      <c r="E3833" s="4"/>
      <c r="F3833" s="46"/>
      <c r="G3833" s="4"/>
      <c r="H3833" s="48"/>
      <c r="J3833" s="26" t="str">
        <f t="shared" si="523"/>
        <v/>
      </c>
      <c r="N3833" t="str">
        <f t="shared" si="524"/>
        <v/>
      </c>
      <c r="Q3833" t="str">
        <f t="shared" si="525"/>
        <v/>
      </c>
      <c r="S3833" t="str">
        <f>IF(A3833=1,MAX($S$2:$S3832)+1,IF(OR($I3833&lt;&gt;"",A3833="x"),$S3832,""))</f>
        <v/>
      </c>
      <c r="T3833" t="str">
        <f>IF(D3833=1,MAX($T$2:$T3832)+1,IF(S3833=S3832,$T3832,IF(D3833="x",T3832,IF(D3832="x","",""))))</f>
        <v/>
      </c>
      <c r="U3833" t="str">
        <f>IF(B3833=1,MAX($U$2:$U3832)+1,IF(AND($T3833&lt;&gt;"",$T3833=$T3832),$U3832,IF(B3833="x",U3832,"")))</f>
        <v/>
      </c>
      <c r="V3833" t="str">
        <f>IF(C3833=1,MAX($V$2:$V3832)+1,IF(AND($T3833&lt;&gt;"",$T3833=$T3832),$U3832,IF(C3833="x",V3832,"")))</f>
        <v/>
      </c>
      <c r="X3833" cm="1">
        <f t="array" ref="X3833">IF($I3833&lt;&gt;"",$I3833,INDEX($I$1:$I3833,ROW()-COUNTIFS($T$1:$T3833,"="&amp;$T3833,$S$1:$S3833,"&lt;"&amp;$S3833)))</f>
        <v>0</v>
      </c>
      <c r="Z3833" s="6">
        <f t="shared" si="518"/>
        <v>1</v>
      </c>
      <c r="AA3833" t="e">
        <f t="shared" si="519"/>
        <v>#VALUE!</v>
      </c>
      <c r="AB3833" t="str">
        <f t="shared" si="520"/>
        <v/>
      </c>
      <c r="AC3833" t="e">
        <f t="shared" si="521"/>
        <v>#VALUE!</v>
      </c>
    </row>
    <row r="3834" spans="1:29" x14ac:dyDescent="0.2">
      <c r="A3834" t="str">
        <f t="shared" si="522"/>
        <v/>
      </c>
      <c r="E3834" s="4"/>
      <c r="F3834" s="46"/>
      <c r="G3834" s="4"/>
      <c r="H3834" s="48"/>
      <c r="J3834" s="26" t="str">
        <f t="shared" si="523"/>
        <v/>
      </c>
      <c r="N3834" t="str">
        <f t="shared" si="524"/>
        <v/>
      </c>
      <c r="Q3834" t="str">
        <f t="shared" si="525"/>
        <v/>
      </c>
      <c r="S3834" t="str">
        <f>IF(A3834=1,MAX($S$2:$S3833)+1,IF(OR($I3834&lt;&gt;"",A3834="x"),$S3833,""))</f>
        <v/>
      </c>
      <c r="T3834" t="str">
        <f>IF(D3834=1,MAX($T$2:$T3833)+1,IF(S3834=S3833,$T3833,IF(D3834="x",T3833,IF(D3833="x","",""))))</f>
        <v/>
      </c>
      <c r="U3834" t="str">
        <f>IF(B3834=1,MAX($U$2:$U3833)+1,IF(AND($T3834&lt;&gt;"",$T3834=$T3833),$U3833,IF(B3834="x",U3833,"")))</f>
        <v/>
      </c>
      <c r="V3834" t="str">
        <f>IF(C3834=1,MAX($V$2:$V3833)+1,IF(AND($T3834&lt;&gt;"",$T3834=$T3833),$U3833,IF(C3834="x",V3833,"")))</f>
        <v/>
      </c>
      <c r="X3834" cm="1">
        <f t="array" ref="X3834">IF($I3834&lt;&gt;"",$I3834,INDEX($I$1:$I3834,ROW()-COUNTIFS($T$1:$T3834,"="&amp;$T3834,$S$1:$S3834,"&lt;"&amp;$S3834)))</f>
        <v>0</v>
      </c>
      <c r="Z3834" s="6">
        <f t="shared" si="518"/>
        <v>1</v>
      </c>
      <c r="AA3834" t="e">
        <f t="shared" si="519"/>
        <v>#VALUE!</v>
      </c>
      <c r="AB3834" t="str">
        <f t="shared" si="520"/>
        <v/>
      </c>
      <c r="AC3834" t="e">
        <f t="shared" si="521"/>
        <v>#VALUE!</v>
      </c>
    </row>
    <row r="3835" spans="1:29" x14ac:dyDescent="0.2">
      <c r="A3835" t="str">
        <f t="shared" si="522"/>
        <v/>
      </c>
      <c r="E3835" s="4"/>
      <c r="F3835" s="46"/>
      <c r="G3835" s="4"/>
      <c r="H3835" s="48"/>
      <c r="J3835" s="26" t="str">
        <f t="shared" si="523"/>
        <v/>
      </c>
      <c r="N3835" t="str">
        <f t="shared" si="524"/>
        <v/>
      </c>
      <c r="Q3835" t="str">
        <f t="shared" si="525"/>
        <v/>
      </c>
      <c r="S3835" t="str">
        <f>IF(A3835=1,MAX($S$2:$S3834)+1,IF(OR($I3835&lt;&gt;"",A3835="x"),$S3834,""))</f>
        <v/>
      </c>
      <c r="T3835" t="str">
        <f>IF(D3835=1,MAX($T$2:$T3834)+1,IF(S3835=S3834,$T3834,IF(D3835="x",T3834,IF(D3834="x","",""))))</f>
        <v/>
      </c>
      <c r="U3835" t="str">
        <f>IF(B3835=1,MAX($U$2:$U3834)+1,IF(AND($T3835&lt;&gt;"",$T3835=$T3834),$U3834,IF(B3835="x",U3834,"")))</f>
        <v/>
      </c>
      <c r="V3835" t="str">
        <f>IF(C3835=1,MAX($V$2:$V3834)+1,IF(AND($T3835&lt;&gt;"",$T3835=$T3834),$U3834,IF(C3835="x",V3834,"")))</f>
        <v/>
      </c>
      <c r="X3835" cm="1">
        <f t="array" ref="X3835">IF($I3835&lt;&gt;"",$I3835,INDEX($I$1:$I3835,ROW()-COUNTIFS($T$1:$T3835,"="&amp;$T3835,$S$1:$S3835,"&lt;"&amp;$S3835)))</f>
        <v>0</v>
      </c>
      <c r="Z3835" s="6">
        <f t="shared" si="518"/>
        <v>1</v>
      </c>
      <c r="AA3835" t="e">
        <f t="shared" si="519"/>
        <v>#VALUE!</v>
      </c>
      <c r="AB3835" t="str">
        <f t="shared" si="520"/>
        <v/>
      </c>
      <c r="AC3835" t="e">
        <f t="shared" si="521"/>
        <v>#VALUE!</v>
      </c>
    </row>
    <row r="3836" spans="1:29" x14ac:dyDescent="0.2">
      <c r="A3836" t="str">
        <f t="shared" si="522"/>
        <v/>
      </c>
      <c r="E3836" s="4"/>
      <c r="F3836" s="46"/>
      <c r="G3836" s="4"/>
      <c r="H3836" s="48"/>
      <c r="J3836" s="26" t="str">
        <f t="shared" si="523"/>
        <v/>
      </c>
      <c r="N3836" t="str">
        <f t="shared" si="524"/>
        <v/>
      </c>
      <c r="Q3836" t="str">
        <f t="shared" si="525"/>
        <v/>
      </c>
      <c r="S3836" t="str">
        <f>IF(A3836=1,MAX($S$2:$S3835)+1,IF(OR($I3836&lt;&gt;"",A3836="x"),$S3835,""))</f>
        <v/>
      </c>
      <c r="T3836" t="str">
        <f>IF(D3836=1,MAX($T$2:$T3835)+1,IF(S3836=S3835,$T3835,IF(D3836="x",T3835,IF(D3835="x","",""))))</f>
        <v/>
      </c>
      <c r="U3836" t="str">
        <f>IF(B3836=1,MAX($U$2:$U3835)+1,IF(AND($T3836&lt;&gt;"",$T3836=$T3835),$U3835,IF(B3836="x",U3835,"")))</f>
        <v/>
      </c>
      <c r="V3836" t="str">
        <f>IF(C3836=1,MAX($V$2:$V3835)+1,IF(AND($T3836&lt;&gt;"",$T3836=$T3835),$U3835,IF(C3836="x",V3835,"")))</f>
        <v/>
      </c>
      <c r="X3836" cm="1">
        <f t="array" ref="X3836">IF($I3836&lt;&gt;"",$I3836,INDEX($I$1:$I3836,ROW()-COUNTIFS($T$1:$T3836,"="&amp;$T3836,$S$1:$S3836,"&lt;"&amp;$S3836)))</f>
        <v>0</v>
      </c>
      <c r="Z3836" s="6">
        <f t="shared" si="518"/>
        <v>1</v>
      </c>
      <c r="AA3836" t="e">
        <f t="shared" si="519"/>
        <v>#VALUE!</v>
      </c>
      <c r="AB3836" t="str">
        <f t="shared" si="520"/>
        <v/>
      </c>
      <c r="AC3836" t="e">
        <f t="shared" si="521"/>
        <v>#VALUE!</v>
      </c>
    </row>
    <row r="3837" spans="1:29" x14ac:dyDescent="0.2">
      <c r="A3837" t="str">
        <f t="shared" si="522"/>
        <v/>
      </c>
      <c r="E3837" s="4"/>
      <c r="F3837" s="46"/>
      <c r="G3837" s="4"/>
      <c r="H3837" s="48"/>
      <c r="J3837" s="26" t="str">
        <f t="shared" si="523"/>
        <v/>
      </c>
      <c r="N3837" t="str">
        <f t="shared" si="524"/>
        <v/>
      </c>
      <c r="Q3837" t="str">
        <f t="shared" si="525"/>
        <v/>
      </c>
      <c r="S3837" t="str">
        <f>IF(A3837=1,MAX($S$2:$S3836)+1,IF(OR($I3837&lt;&gt;"",A3837="x"),$S3836,""))</f>
        <v/>
      </c>
      <c r="T3837" t="str">
        <f>IF(D3837=1,MAX($T$2:$T3836)+1,IF(S3837=S3836,$T3836,IF(D3837="x",T3836,IF(D3836="x","",""))))</f>
        <v/>
      </c>
      <c r="U3837" t="str">
        <f>IF(B3837=1,MAX($U$2:$U3836)+1,IF(AND($T3837&lt;&gt;"",$T3837=$T3836),$U3836,IF(B3837="x",U3836,"")))</f>
        <v/>
      </c>
      <c r="V3837" t="str">
        <f>IF(C3837=1,MAX($V$2:$V3836)+1,IF(AND($T3837&lt;&gt;"",$T3837=$T3836),$U3836,IF(C3837="x",V3836,"")))</f>
        <v/>
      </c>
      <c r="X3837" cm="1">
        <f t="array" ref="X3837">IF($I3837&lt;&gt;"",$I3837,INDEX($I$1:$I3837,ROW()-COUNTIFS($T$1:$T3837,"="&amp;$T3837,$S$1:$S3837,"&lt;"&amp;$S3837)))</f>
        <v>0</v>
      </c>
      <c r="Z3837" s="6">
        <f t="shared" si="518"/>
        <v>1</v>
      </c>
      <c r="AA3837" t="e">
        <f t="shared" si="519"/>
        <v>#VALUE!</v>
      </c>
      <c r="AB3837" t="str">
        <f t="shared" si="520"/>
        <v/>
      </c>
      <c r="AC3837" t="e">
        <f t="shared" si="521"/>
        <v>#VALUE!</v>
      </c>
    </row>
    <row r="3838" spans="1:29" x14ac:dyDescent="0.2">
      <c r="A3838" t="str">
        <f t="shared" si="522"/>
        <v/>
      </c>
      <c r="E3838" s="4"/>
      <c r="F3838" s="46"/>
      <c r="G3838" s="4"/>
      <c r="H3838" s="48"/>
      <c r="J3838" s="26" t="str">
        <f t="shared" si="523"/>
        <v/>
      </c>
      <c r="N3838" t="str">
        <f t="shared" si="524"/>
        <v/>
      </c>
      <c r="Q3838" t="str">
        <f t="shared" si="525"/>
        <v/>
      </c>
      <c r="S3838" t="str">
        <f>IF(A3838=1,MAX($S$2:$S3837)+1,IF(OR($I3838&lt;&gt;"",A3838="x"),$S3837,""))</f>
        <v/>
      </c>
      <c r="T3838" t="str">
        <f>IF(D3838=1,MAX($T$2:$T3837)+1,IF(S3838=S3837,$T3837,IF(D3838="x",T3837,IF(D3837="x","",""))))</f>
        <v/>
      </c>
      <c r="U3838" t="str">
        <f>IF(B3838=1,MAX($U$2:$U3837)+1,IF(AND($T3838&lt;&gt;"",$T3838=$T3837),$U3837,IF(B3838="x",U3837,"")))</f>
        <v/>
      </c>
      <c r="V3838" t="str">
        <f>IF(C3838=1,MAX($V$2:$V3837)+1,IF(AND($T3838&lt;&gt;"",$T3838=$T3837),$U3837,IF(C3838="x",V3837,"")))</f>
        <v/>
      </c>
      <c r="X3838" cm="1">
        <f t="array" ref="X3838">IF($I3838&lt;&gt;"",$I3838,INDEX($I$1:$I3838,ROW()-COUNTIFS($T$1:$T3838,"="&amp;$T3838,$S$1:$S3838,"&lt;"&amp;$S3838)))</f>
        <v>0</v>
      </c>
      <c r="Z3838" s="6">
        <f t="shared" si="518"/>
        <v>1</v>
      </c>
      <c r="AA3838" t="e">
        <f t="shared" si="519"/>
        <v>#VALUE!</v>
      </c>
      <c r="AB3838" t="str">
        <f t="shared" si="520"/>
        <v/>
      </c>
      <c r="AC3838" t="e">
        <f t="shared" si="521"/>
        <v>#VALUE!</v>
      </c>
    </row>
    <row r="3839" spans="1:29" x14ac:dyDescent="0.2">
      <c r="A3839" t="str">
        <f t="shared" si="522"/>
        <v/>
      </c>
      <c r="E3839" s="4"/>
      <c r="F3839" s="46"/>
      <c r="G3839" s="4"/>
      <c r="H3839" s="48"/>
      <c r="J3839" s="26" t="str">
        <f t="shared" si="523"/>
        <v/>
      </c>
      <c r="N3839" t="str">
        <f t="shared" si="524"/>
        <v/>
      </c>
      <c r="Q3839" t="str">
        <f t="shared" si="525"/>
        <v/>
      </c>
      <c r="S3839" t="str">
        <f>IF(A3839=1,MAX($S$2:$S3838)+1,IF(OR($I3839&lt;&gt;"",A3839="x"),$S3838,""))</f>
        <v/>
      </c>
      <c r="T3839" t="str">
        <f>IF(D3839=1,MAX($T$2:$T3838)+1,IF(S3839=S3838,$T3838,IF(D3839="x",T3838,IF(D3838="x","",""))))</f>
        <v/>
      </c>
      <c r="U3839" t="str">
        <f>IF(B3839=1,MAX($U$2:$U3838)+1,IF(AND($T3839&lt;&gt;"",$T3839=$T3838),$U3838,IF(B3839="x",U3838,"")))</f>
        <v/>
      </c>
      <c r="V3839" t="str">
        <f>IF(C3839=1,MAX($V$2:$V3838)+1,IF(AND($T3839&lt;&gt;"",$T3839=$T3838),$U3838,IF(C3839="x",V3838,"")))</f>
        <v/>
      </c>
      <c r="X3839" cm="1">
        <f t="array" ref="X3839">IF($I3839&lt;&gt;"",$I3839,INDEX($I$1:$I3839,ROW()-COUNTIFS($T$1:$T3839,"="&amp;$T3839,$S$1:$S3839,"&lt;"&amp;$S3839)))</f>
        <v>0</v>
      </c>
      <c r="Z3839" s="6">
        <f t="shared" si="518"/>
        <v>1</v>
      </c>
      <c r="AA3839" t="e">
        <f t="shared" si="519"/>
        <v>#VALUE!</v>
      </c>
      <c r="AB3839" t="str">
        <f t="shared" si="520"/>
        <v/>
      </c>
      <c r="AC3839" t="e">
        <f t="shared" si="521"/>
        <v>#VALUE!</v>
      </c>
    </row>
    <row r="3840" spans="1:29" x14ac:dyDescent="0.2">
      <c r="A3840" t="str">
        <f t="shared" si="522"/>
        <v/>
      </c>
      <c r="E3840" s="4"/>
      <c r="F3840" s="46"/>
      <c r="G3840" s="4"/>
      <c r="H3840" s="48"/>
      <c r="J3840" s="26" t="str">
        <f t="shared" si="523"/>
        <v/>
      </c>
      <c r="N3840" t="str">
        <f t="shared" si="524"/>
        <v/>
      </c>
      <c r="Q3840" t="str">
        <f t="shared" si="525"/>
        <v/>
      </c>
      <c r="S3840" t="str">
        <f>IF(A3840=1,MAX($S$2:$S3839)+1,IF(OR($I3840&lt;&gt;"",A3840="x"),$S3839,""))</f>
        <v/>
      </c>
      <c r="T3840" t="str">
        <f>IF(D3840=1,MAX($T$2:$T3839)+1,IF(S3840=S3839,$T3839,IF(D3840="x",T3839,IF(D3839="x","",""))))</f>
        <v/>
      </c>
      <c r="U3840" t="str">
        <f>IF(B3840=1,MAX($U$2:$U3839)+1,IF(AND($T3840&lt;&gt;"",$T3840=$T3839),$U3839,IF(B3840="x",U3839,"")))</f>
        <v/>
      </c>
      <c r="V3840" t="str">
        <f>IF(C3840=1,MAX($V$2:$V3839)+1,IF(AND($T3840&lt;&gt;"",$T3840=$T3839),$U3839,IF(C3840="x",V3839,"")))</f>
        <v/>
      </c>
      <c r="X3840" cm="1">
        <f t="array" ref="X3840">IF($I3840&lt;&gt;"",$I3840,INDEX($I$1:$I3840,ROW()-COUNTIFS($T$1:$T3840,"="&amp;$T3840,$S$1:$S3840,"&lt;"&amp;$S3840)))</f>
        <v>0</v>
      </c>
      <c r="Z3840" s="6">
        <f t="shared" si="518"/>
        <v>1</v>
      </c>
      <c r="AA3840" t="e">
        <f t="shared" si="519"/>
        <v>#VALUE!</v>
      </c>
      <c r="AB3840" t="str">
        <f t="shared" si="520"/>
        <v/>
      </c>
      <c r="AC3840" t="e">
        <f t="shared" si="521"/>
        <v>#VALUE!</v>
      </c>
    </row>
    <row r="3841" spans="1:29" x14ac:dyDescent="0.2">
      <c r="A3841" t="str">
        <f t="shared" si="522"/>
        <v/>
      </c>
      <c r="E3841" s="4"/>
      <c r="F3841" s="46"/>
      <c r="G3841" s="4"/>
      <c r="H3841" s="48"/>
      <c r="J3841" s="26" t="str">
        <f t="shared" si="523"/>
        <v/>
      </c>
      <c r="N3841" t="str">
        <f t="shared" si="524"/>
        <v/>
      </c>
      <c r="Q3841" t="str">
        <f t="shared" si="525"/>
        <v/>
      </c>
      <c r="S3841" t="str">
        <f>IF(A3841=1,MAX($S$2:$S3840)+1,IF(OR($I3841&lt;&gt;"",A3841="x"),$S3840,""))</f>
        <v/>
      </c>
      <c r="T3841" t="str">
        <f>IF(D3841=1,MAX($T$2:$T3840)+1,IF(S3841=S3840,$T3840,IF(D3841="x",T3840,IF(D3840="x","",""))))</f>
        <v/>
      </c>
      <c r="U3841" t="str">
        <f>IF(B3841=1,MAX($U$2:$U3840)+1,IF(AND($T3841&lt;&gt;"",$T3841=$T3840),$U3840,IF(B3841="x",U3840,"")))</f>
        <v/>
      </c>
      <c r="V3841" t="str">
        <f>IF(C3841=1,MAX($V$2:$V3840)+1,IF(AND($T3841&lt;&gt;"",$T3841=$T3840),$U3840,IF(C3841="x",V3840,"")))</f>
        <v/>
      </c>
      <c r="X3841" cm="1">
        <f t="array" ref="X3841">IF($I3841&lt;&gt;"",$I3841,INDEX($I$1:$I3841,ROW()-COUNTIFS($T$1:$T3841,"="&amp;$T3841,$S$1:$S3841,"&lt;"&amp;$S3841)))</f>
        <v>0</v>
      </c>
      <c r="Z3841" s="6">
        <f t="shared" si="518"/>
        <v>1</v>
      </c>
      <c r="AA3841" t="e">
        <f t="shared" si="519"/>
        <v>#VALUE!</v>
      </c>
      <c r="AB3841" t="str">
        <f t="shared" si="520"/>
        <v/>
      </c>
      <c r="AC3841" t="e">
        <f t="shared" si="521"/>
        <v>#VALUE!</v>
      </c>
    </row>
    <row r="3842" spans="1:29" x14ac:dyDescent="0.2">
      <c r="A3842" t="str">
        <f t="shared" si="522"/>
        <v/>
      </c>
      <c r="E3842" s="4"/>
      <c r="F3842" s="46"/>
      <c r="G3842" s="4"/>
      <c r="H3842" s="48"/>
      <c r="J3842" s="26" t="str">
        <f t="shared" si="523"/>
        <v/>
      </c>
      <c r="N3842" t="str">
        <f t="shared" si="524"/>
        <v/>
      </c>
      <c r="Q3842" t="str">
        <f t="shared" si="525"/>
        <v/>
      </c>
      <c r="S3842" t="str">
        <f>IF(A3842=1,MAX($S$2:$S3841)+1,IF(OR($I3842&lt;&gt;"",A3842="x"),$S3841,""))</f>
        <v/>
      </c>
      <c r="T3842" t="str">
        <f>IF(D3842=1,MAX($T$2:$T3841)+1,IF(S3842=S3841,$T3841,IF(D3842="x",T3841,IF(D3841="x","",""))))</f>
        <v/>
      </c>
      <c r="U3842" t="str">
        <f>IF(B3842=1,MAX($U$2:$U3841)+1,IF(AND($T3842&lt;&gt;"",$T3842=$T3841),$U3841,IF(B3842="x",U3841,"")))</f>
        <v/>
      </c>
      <c r="V3842" t="str">
        <f>IF(C3842=1,MAX($V$2:$V3841)+1,IF(AND($T3842&lt;&gt;"",$T3842=$T3841),$U3841,IF(C3842="x",V3841,"")))</f>
        <v/>
      </c>
      <c r="X3842" cm="1">
        <f t="array" ref="X3842">IF($I3842&lt;&gt;"",$I3842,INDEX($I$1:$I3842,ROW()-COUNTIFS($T$1:$T3842,"="&amp;$T3842,$S$1:$S3842,"&lt;"&amp;$S3842)))</f>
        <v>0</v>
      </c>
      <c r="Z3842" s="6">
        <f t="shared" si="518"/>
        <v>1</v>
      </c>
      <c r="AA3842" t="e">
        <f t="shared" si="519"/>
        <v>#VALUE!</v>
      </c>
      <c r="AB3842" t="str">
        <f t="shared" si="520"/>
        <v/>
      </c>
      <c r="AC3842" t="e">
        <f t="shared" si="521"/>
        <v>#VALUE!</v>
      </c>
    </row>
    <row r="3843" spans="1:29" x14ac:dyDescent="0.2">
      <c r="A3843" t="str">
        <f t="shared" si="522"/>
        <v/>
      </c>
      <c r="E3843" s="4"/>
      <c r="F3843" s="46"/>
      <c r="G3843" s="4"/>
      <c r="H3843" s="48"/>
      <c r="J3843" s="26" t="str">
        <f t="shared" si="523"/>
        <v/>
      </c>
      <c r="N3843" t="str">
        <f t="shared" si="524"/>
        <v/>
      </c>
      <c r="Q3843" t="str">
        <f t="shared" si="525"/>
        <v/>
      </c>
      <c r="S3843" t="str">
        <f>IF(A3843=1,MAX($S$2:$S3842)+1,IF(OR($I3843&lt;&gt;"",A3843="x"),$S3842,""))</f>
        <v/>
      </c>
      <c r="T3843" t="str">
        <f>IF(D3843=1,MAX($T$2:$T3842)+1,IF(S3843=S3842,$T3842,IF(D3843="x",T3842,IF(D3842="x","",""))))</f>
        <v/>
      </c>
      <c r="U3843" t="str">
        <f>IF(B3843=1,MAX($U$2:$U3842)+1,IF(AND($T3843&lt;&gt;"",$T3843=$T3842),$U3842,IF(B3843="x",U3842,"")))</f>
        <v/>
      </c>
      <c r="V3843" t="str">
        <f>IF(C3843=1,MAX($V$2:$V3842)+1,IF(AND($T3843&lt;&gt;"",$T3843=$T3842),$U3842,IF(C3843="x",V3842,"")))</f>
        <v/>
      </c>
      <c r="X3843" cm="1">
        <f t="array" ref="X3843">IF($I3843&lt;&gt;"",$I3843,INDEX($I$1:$I3843,ROW()-COUNTIFS($T$1:$T3843,"="&amp;$T3843,$S$1:$S3843,"&lt;"&amp;$S3843)))</f>
        <v>0</v>
      </c>
      <c r="Z3843" s="6">
        <f t="shared" si="518"/>
        <v>1</v>
      </c>
      <c r="AA3843" t="e">
        <f t="shared" si="519"/>
        <v>#VALUE!</v>
      </c>
      <c r="AB3843" t="str">
        <f t="shared" si="520"/>
        <v/>
      </c>
      <c r="AC3843" t="e">
        <f t="shared" si="521"/>
        <v>#VALUE!</v>
      </c>
    </row>
    <row r="3844" spans="1:29" x14ac:dyDescent="0.2">
      <c r="A3844" t="str">
        <f t="shared" si="522"/>
        <v/>
      </c>
      <c r="E3844" s="4"/>
      <c r="F3844" s="46"/>
      <c r="G3844" s="4"/>
      <c r="H3844" s="48"/>
      <c r="J3844" s="26" t="str">
        <f t="shared" si="523"/>
        <v/>
      </c>
      <c r="N3844" t="str">
        <f t="shared" si="524"/>
        <v/>
      </c>
      <c r="Q3844" t="str">
        <f t="shared" si="525"/>
        <v/>
      </c>
      <c r="S3844" t="str">
        <f>IF(A3844=1,MAX($S$2:$S3843)+1,IF(OR($I3844&lt;&gt;"",A3844="x"),$S3843,""))</f>
        <v/>
      </c>
      <c r="T3844" t="str">
        <f>IF(D3844=1,MAX($T$2:$T3843)+1,IF(S3844=S3843,$T3843,IF(D3844="x",T3843,IF(D3843="x","",""))))</f>
        <v/>
      </c>
      <c r="U3844" t="str">
        <f>IF(B3844=1,MAX($U$2:$U3843)+1,IF(AND($T3844&lt;&gt;"",$T3844=$T3843),$U3843,IF(B3844="x",U3843,"")))</f>
        <v/>
      </c>
      <c r="V3844" t="str">
        <f>IF(C3844=1,MAX($V$2:$V3843)+1,IF(AND($T3844&lt;&gt;"",$T3844=$T3843),$U3843,IF(C3844="x",V3843,"")))</f>
        <v/>
      </c>
      <c r="X3844" cm="1">
        <f t="array" ref="X3844">IF($I3844&lt;&gt;"",$I3844,INDEX($I$1:$I3844,ROW()-COUNTIFS($T$1:$T3844,"="&amp;$T3844,$S$1:$S3844,"&lt;"&amp;$S3844)))</f>
        <v>0</v>
      </c>
      <c r="Z3844" s="6">
        <f t="shared" si="518"/>
        <v>1</v>
      </c>
      <c r="AA3844" t="e">
        <f t="shared" si="519"/>
        <v>#VALUE!</v>
      </c>
      <c r="AB3844" t="str">
        <f t="shared" si="520"/>
        <v/>
      </c>
      <c r="AC3844" t="e">
        <f t="shared" si="521"/>
        <v>#VALUE!</v>
      </c>
    </row>
    <row r="3845" spans="1:29" x14ac:dyDescent="0.2">
      <c r="A3845" t="str">
        <f t="shared" si="522"/>
        <v/>
      </c>
      <c r="E3845" s="4"/>
      <c r="F3845" s="46"/>
      <c r="G3845" s="4"/>
      <c r="H3845" s="48"/>
      <c r="J3845" s="26" t="str">
        <f t="shared" si="523"/>
        <v/>
      </c>
      <c r="N3845" t="str">
        <f t="shared" si="524"/>
        <v/>
      </c>
      <c r="Q3845" t="str">
        <f t="shared" si="525"/>
        <v/>
      </c>
      <c r="S3845" t="str">
        <f>IF(A3845=1,MAX($S$2:$S3844)+1,IF(OR($I3845&lt;&gt;"",A3845="x"),$S3844,""))</f>
        <v/>
      </c>
      <c r="T3845" t="str">
        <f>IF(D3845=1,MAX($T$2:$T3844)+1,IF(S3845=S3844,$T3844,IF(D3845="x",T3844,IF(D3844="x","",""))))</f>
        <v/>
      </c>
      <c r="U3845" t="str">
        <f>IF(B3845=1,MAX($U$2:$U3844)+1,IF(AND($T3845&lt;&gt;"",$T3845=$T3844),$U3844,IF(B3845="x",U3844,"")))</f>
        <v/>
      </c>
      <c r="V3845" t="str">
        <f>IF(C3845=1,MAX($V$2:$V3844)+1,IF(AND($T3845&lt;&gt;"",$T3845=$T3844),$U3844,IF(C3845="x",V3844,"")))</f>
        <v/>
      </c>
      <c r="X3845" cm="1">
        <f t="array" ref="X3845">IF($I3845&lt;&gt;"",$I3845,INDEX($I$1:$I3845,ROW()-COUNTIFS($T$1:$T3845,"="&amp;$T3845,$S$1:$S3845,"&lt;"&amp;$S3845)))</f>
        <v>0</v>
      </c>
      <c r="Z3845" s="6">
        <f t="shared" ref="Z3845:Z3908" si="526">IF(K3845="Intermission",Z3844+1,Z3844)</f>
        <v>1</v>
      </c>
      <c r="AA3845" t="e">
        <f t="shared" ref="AA3845:AA3908" si="527">S3845+1000</f>
        <v>#VALUE!</v>
      </c>
      <c r="AB3845" t="str">
        <f t="shared" ref="AB3845:AB3908" si="528">IF(T3845&lt;&gt;"",9000+T3845,"")</f>
        <v/>
      </c>
      <c r="AC3845" t="e">
        <f t="shared" ref="AC3845:AC3908" si="529">IF(AB3845&lt;&gt;"",AB3845,S3845+1000)</f>
        <v>#VALUE!</v>
      </c>
    </row>
    <row r="3846" spans="1:29" x14ac:dyDescent="0.2">
      <c r="A3846" t="str">
        <f t="shared" si="522"/>
        <v/>
      </c>
      <c r="E3846" s="4"/>
      <c r="F3846" s="46"/>
      <c r="G3846" s="4"/>
      <c r="H3846" s="48"/>
      <c r="J3846" s="26" t="str">
        <f t="shared" si="523"/>
        <v/>
      </c>
      <c r="N3846" t="str">
        <f t="shared" si="524"/>
        <v/>
      </c>
      <c r="Q3846" t="str">
        <f t="shared" si="525"/>
        <v/>
      </c>
      <c r="S3846" t="str">
        <f>IF(A3846=1,MAX($S$2:$S3845)+1,IF(OR($I3846&lt;&gt;"",A3846="x"),$S3845,""))</f>
        <v/>
      </c>
      <c r="T3846" t="str">
        <f>IF(D3846=1,MAX($T$2:$T3845)+1,IF(S3846=S3845,$T3845,IF(D3846="x",T3845,IF(D3845="x","",""))))</f>
        <v/>
      </c>
      <c r="U3846" t="str">
        <f>IF(B3846=1,MAX($U$2:$U3845)+1,IF(AND($T3846&lt;&gt;"",$T3846=$T3845),$U3845,IF(B3846="x",U3845,"")))</f>
        <v/>
      </c>
      <c r="V3846" t="str">
        <f>IF(C3846=1,MAX($V$2:$V3845)+1,IF(AND($T3846&lt;&gt;"",$T3846=$T3845),$U3845,IF(C3846="x",V3845,"")))</f>
        <v/>
      </c>
      <c r="X3846" cm="1">
        <f t="array" ref="X3846">IF($I3846&lt;&gt;"",$I3846,INDEX($I$1:$I3846,ROW()-COUNTIFS($T$1:$T3846,"="&amp;$T3846,$S$1:$S3846,"&lt;"&amp;$S3846)))</f>
        <v>0</v>
      </c>
      <c r="Z3846" s="6">
        <f t="shared" si="526"/>
        <v>1</v>
      </c>
      <c r="AA3846" t="e">
        <f t="shared" si="527"/>
        <v>#VALUE!</v>
      </c>
      <c r="AB3846" t="str">
        <f t="shared" si="528"/>
        <v/>
      </c>
      <c r="AC3846" t="e">
        <f t="shared" si="529"/>
        <v>#VALUE!</v>
      </c>
    </row>
    <row r="3847" spans="1:29" x14ac:dyDescent="0.2">
      <c r="A3847" t="str">
        <f t="shared" si="522"/>
        <v/>
      </c>
      <c r="E3847" s="4"/>
      <c r="F3847" s="46"/>
      <c r="G3847" s="4"/>
      <c r="H3847" s="48"/>
      <c r="J3847" s="26" t="str">
        <f t="shared" si="523"/>
        <v/>
      </c>
      <c r="N3847" t="str">
        <f t="shared" si="524"/>
        <v/>
      </c>
      <c r="Q3847" t="str">
        <f t="shared" si="525"/>
        <v/>
      </c>
      <c r="S3847" t="str">
        <f>IF(A3847=1,MAX($S$2:$S3846)+1,IF(OR($I3847&lt;&gt;"",A3847="x"),$S3846,""))</f>
        <v/>
      </c>
      <c r="T3847" t="str">
        <f>IF(D3847=1,MAX($T$2:$T3846)+1,IF(S3847=S3846,$T3846,IF(D3847="x",T3846,IF(D3846="x","",""))))</f>
        <v/>
      </c>
      <c r="U3847" t="str">
        <f>IF(B3847=1,MAX($U$2:$U3846)+1,IF(AND($T3847&lt;&gt;"",$T3847=$T3846),$U3846,IF(B3847="x",U3846,"")))</f>
        <v/>
      </c>
      <c r="V3847" t="str">
        <f>IF(C3847=1,MAX($V$2:$V3846)+1,IF(AND($T3847&lt;&gt;"",$T3847=$T3846),$U3846,IF(C3847="x",V3846,"")))</f>
        <v/>
      </c>
      <c r="X3847" cm="1">
        <f t="array" ref="X3847">IF($I3847&lt;&gt;"",$I3847,INDEX($I$1:$I3847,ROW()-COUNTIFS($T$1:$T3847,"="&amp;$T3847,$S$1:$S3847,"&lt;"&amp;$S3847)))</f>
        <v>0</v>
      </c>
      <c r="Z3847" s="6">
        <f t="shared" si="526"/>
        <v>1</v>
      </c>
      <c r="AA3847" t="e">
        <f t="shared" si="527"/>
        <v>#VALUE!</v>
      </c>
      <c r="AB3847" t="str">
        <f t="shared" si="528"/>
        <v/>
      </c>
      <c r="AC3847" t="e">
        <f t="shared" si="529"/>
        <v>#VALUE!</v>
      </c>
    </row>
    <row r="3848" spans="1:29" x14ac:dyDescent="0.2">
      <c r="A3848" t="str">
        <f t="shared" si="522"/>
        <v/>
      </c>
      <c r="E3848" s="4"/>
      <c r="F3848" s="46"/>
      <c r="G3848" s="4"/>
      <c r="H3848" s="48"/>
      <c r="J3848" s="26" t="str">
        <f t="shared" si="523"/>
        <v/>
      </c>
      <c r="N3848" t="str">
        <f t="shared" si="524"/>
        <v/>
      </c>
      <c r="Q3848" t="str">
        <f t="shared" si="525"/>
        <v/>
      </c>
      <c r="S3848" t="str">
        <f>IF(A3848=1,MAX($S$2:$S3847)+1,IF(OR($I3848&lt;&gt;"",A3848="x"),$S3847,""))</f>
        <v/>
      </c>
      <c r="T3848" t="str">
        <f>IF(D3848=1,MAX($T$2:$T3847)+1,IF(S3848=S3847,$T3847,IF(D3848="x",T3847,IF(D3847="x","",""))))</f>
        <v/>
      </c>
      <c r="U3848" t="str">
        <f>IF(B3848=1,MAX($U$2:$U3847)+1,IF(AND($T3848&lt;&gt;"",$T3848=$T3847),$U3847,IF(B3848="x",U3847,"")))</f>
        <v/>
      </c>
      <c r="V3848" t="str">
        <f>IF(C3848=1,MAX($V$2:$V3847)+1,IF(AND($T3848&lt;&gt;"",$T3848=$T3847),$U3847,IF(C3848="x",V3847,"")))</f>
        <v/>
      </c>
      <c r="X3848" cm="1">
        <f t="array" ref="X3848">IF($I3848&lt;&gt;"",$I3848,INDEX($I$1:$I3848,ROW()-COUNTIFS($T$1:$T3848,"="&amp;$T3848,$S$1:$S3848,"&lt;"&amp;$S3848)))</f>
        <v>0</v>
      </c>
      <c r="Z3848" s="6">
        <f t="shared" si="526"/>
        <v>1</v>
      </c>
      <c r="AA3848" t="e">
        <f t="shared" si="527"/>
        <v>#VALUE!</v>
      </c>
      <c r="AB3848" t="str">
        <f t="shared" si="528"/>
        <v/>
      </c>
      <c r="AC3848" t="e">
        <f t="shared" si="529"/>
        <v>#VALUE!</v>
      </c>
    </row>
    <row r="3849" spans="1:29" x14ac:dyDescent="0.2">
      <c r="A3849" t="str">
        <f t="shared" si="522"/>
        <v/>
      </c>
      <c r="E3849" s="4"/>
      <c r="F3849" s="46"/>
      <c r="G3849" s="4"/>
      <c r="H3849" s="48"/>
      <c r="J3849" s="26" t="str">
        <f t="shared" si="523"/>
        <v/>
      </c>
      <c r="N3849" t="str">
        <f t="shared" si="524"/>
        <v/>
      </c>
      <c r="Q3849" t="str">
        <f t="shared" si="525"/>
        <v/>
      </c>
      <c r="S3849" t="str">
        <f>IF(A3849=1,MAX($S$2:$S3848)+1,IF(OR($I3849&lt;&gt;"",A3849="x"),$S3848,""))</f>
        <v/>
      </c>
      <c r="T3849" t="str">
        <f>IF(D3849=1,MAX($T$2:$T3848)+1,IF(S3849=S3848,$T3848,IF(D3849="x",T3848,IF(D3848="x","",""))))</f>
        <v/>
      </c>
      <c r="U3849" t="str">
        <f>IF(B3849=1,MAX($U$2:$U3848)+1,IF(AND($T3849&lt;&gt;"",$T3849=$T3848),$U3848,IF(B3849="x",U3848,"")))</f>
        <v/>
      </c>
      <c r="V3849" t="str">
        <f>IF(C3849=1,MAX($V$2:$V3848)+1,IF(AND($T3849&lt;&gt;"",$T3849=$T3848),$U3848,IF(C3849="x",V3848,"")))</f>
        <v/>
      </c>
      <c r="X3849" cm="1">
        <f t="array" ref="X3849">IF($I3849&lt;&gt;"",$I3849,INDEX($I$1:$I3849,ROW()-COUNTIFS($T$1:$T3849,"="&amp;$T3849,$S$1:$S3849,"&lt;"&amp;$S3849)))</f>
        <v>0</v>
      </c>
      <c r="Z3849" s="6">
        <f t="shared" si="526"/>
        <v>1</v>
      </c>
      <c r="AA3849" t="e">
        <f t="shared" si="527"/>
        <v>#VALUE!</v>
      </c>
      <c r="AB3849" t="str">
        <f t="shared" si="528"/>
        <v/>
      </c>
      <c r="AC3849" t="e">
        <f t="shared" si="529"/>
        <v>#VALUE!</v>
      </c>
    </row>
    <row r="3850" spans="1:29" x14ac:dyDescent="0.2">
      <c r="A3850" t="str">
        <f t="shared" si="522"/>
        <v/>
      </c>
      <c r="E3850" s="4"/>
      <c r="F3850" s="46"/>
      <c r="G3850" s="4"/>
      <c r="H3850" s="48"/>
      <c r="J3850" s="26" t="str">
        <f t="shared" si="523"/>
        <v/>
      </c>
      <c r="N3850" t="str">
        <f t="shared" si="524"/>
        <v/>
      </c>
      <c r="Q3850" t="str">
        <f t="shared" si="525"/>
        <v/>
      </c>
      <c r="S3850" t="str">
        <f>IF(A3850=1,MAX($S$2:$S3849)+1,IF(OR($I3850&lt;&gt;"",A3850="x"),$S3849,""))</f>
        <v/>
      </c>
      <c r="T3850" t="str">
        <f>IF(D3850=1,MAX($T$2:$T3849)+1,IF(S3850=S3849,$T3849,IF(D3850="x",T3849,IF(D3849="x","",""))))</f>
        <v/>
      </c>
      <c r="U3850" t="str">
        <f>IF(B3850=1,MAX($U$2:$U3849)+1,IF(AND($T3850&lt;&gt;"",$T3850=$T3849),$U3849,IF(B3850="x",U3849,"")))</f>
        <v/>
      </c>
      <c r="V3850" t="str">
        <f>IF(C3850=1,MAX($V$2:$V3849)+1,IF(AND($T3850&lt;&gt;"",$T3850=$T3849),$U3849,IF(C3850="x",V3849,"")))</f>
        <v/>
      </c>
      <c r="X3850" cm="1">
        <f t="array" ref="X3850">IF($I3850&lt;&gt;"",$I3850,INDEX($I$1:$I3850,ROW()-COUNTIFS($T$1:$T3850,"="&amp;$T3850,$S$1:$S3850,"&lt;"&amp;$S3850)))</f>
        <v>0</v>
      </c>
      <c r="Z3850" s="6">
        <f t="shared" si="526"/>
        <v>1</v>
      </c>
      <c r="AA3850" t="e">
        <f t="shared" si="527"/>
        <v>#VALUE!</v>
      </c>
      <c r="AB3850" t="str">
        <f t="shared" si="528"/>
        <v/>
      </c>
      <c r="AC3850" t="e">
        <f t="shared" si="529"/>
        <v>#VALUE!</v>
      </c>
    </row>
    <row r="3851" spans="1:29" x14ac:dyDescent="0.2">
      <c r="A3851" t="str">
        <f t="shared" si="522"/>
        <v/>
      </c>
      <c r="E3851" s="4"/>
      <c r="F3851" s="46"/>
      <c r="G3851" s="4"/>
      <c r="H3851" s="48"/>
      <c r="J3851" s="26" t="str">
        <f t="shared" si="523"/>
        <v/>
      </c>
      <c r="N3851" t="str">
        <f t="shared" si="524"/>
        <v/>
      </c>
      <c r="Q3851" t="str">
        <f t="shared" si="525"/>
        <v/>
      </c>
      <c r="S3851" t="str">
        <f>IF(A3851=1,MAX($S$2:$S3850)+1,IF(OR($I3851&lt;&gt;"",A3851="x"),$S3850,""))</f>
        <v/>
      </c>
      <c r="T3851" t="str">
        <f>IF(D3851=1,MAX($T$2:$T3850)+1,IF(S3851=S3850,$T3850,IF(D3851="x",T3850,IF(D3850="x","",""))))</f>
        <v/>
      </c>
      <c r="U3851" t="str">
        <f>IF(B3851=1,MAX($U$2:$U3850)+1,IF(AND($T3851&lt;&gt;"",$T3851=$T3850),$U3850,IF(B3851="x",U3850,"")))</f>
        <v/>
      </c>
      <c r="V3851" t="str">
        <f>IF(C3851=1,MAX($V$2:$V3850)+1,IF(AND($T3851&lt;&gt;"",$T3851=$T3850),$U3850,IF(C3851="x",V3850,"")))</f>
        <v/>
      </c>
      <c r="X3851" cm="1">
        <f t="array" ref="X3851">IF($I3851&lt;&gt;"",$I3851,INDEX($I$1:$I3851,ROW()-COUNTIFS($T$1:$T3851,"="&amp;$T3851,$S$1:$S3851,"&lt;"&amp;$S3851)))</f>
        <v>0</v>
      </c>
      <c r="Z3851" s="6">
        <f t="shared" si="526"/>
        <v>1</v>
      </c>
      <c r="AA3851" t="e">
        <f t="shared" si="527"/>
        <v>#VALUE!</v>
      </c>
      <c r="AB3851" t="str">
        <f t="shared" si="528"/>
        <v/>
      </c>
      <c r="AC3851" t="e">
        <f t="shared" si="529"/>
        <v>#VALUE!</v>
      </c>
    </row>
    <row r="3852" spans="1:29" x14ac:dyDescent="0.2">
      <c r="A3852" t="str">
        <f t="shared" si="522"/>
        <v/>
      </c>
      <c r="E3852" s="4"/>
      <c r="F3852" s="46"/>
      <c r="G3852" s="4"/>
      <c r="H3852" s="48"/>
      <c r="J3852" s="26" t="str">
        <f t="shared" si="523"/>
        <v/>
      </c>
      <c r="N3852" t="str">
        <f t="shared" si="524"/>
        <v/>
      </c>
      <c r="Q3852" t="str">
        <f t="shared" si="525"/>
        <v/>
      </c>
      <c r="S3852" t="str">
        <f>IF(A3852=1,MAX($S$2:$S3851)+1,IF(OR($I3852&lt;&gt;"",A3852="x"),$S3851,""))</f>
        <v/>
      </c>
      <c r="T3852" t="str">
        <f>IF(D3852=1,MAX($T$2:$T3851)+1,IF(S3852=S3851,$T3851,IF(D3852="x",T3851,IF(D3851="x","",""))))</f>
        <v/>
      </c>
      <c r="U3852" t="str">
        <f>IF(B3852=1,MAX($U$2:$U3851)+1,IF(AND($T3852&lt;&gt;"",$T3852=$T3851),$U3851,IF(B3852="x",U3851,"")))</f>
        <v/>
      </c>
      <c r="V3852" t="str">
        <f>IF(C3852=1,MAX($V$2:$V3851)+1,IF(AND($T3852&lt;&gt;"",$T3852=$T3851),$U3851,IF(C3852="x",V3851,"")))</f>
        <v/>
      </c>
      <c r="X3852" cm="1">
        <f t="array" ref="X3852">IF($I3852&lt;&gt;"",$I3852,INDEX($I$1:$I3852,ROW()-COUNTIFS($T$1:$T3852,"="&amp;$T3852,$S$1:$S3852,"&lt;"&amp;$S3852)))</f>
        <v>0</v>
      </c>
      <c r="Z3852" s="6">
        <f t="shared" si="526"/>
        <v>1</v>
      </c>
      <c r="AA3852" t="e">
        <f t="shared" si="527"/>
        <v>#VALUE!</v>
      </c>
      <c r="AB3852" t="str">
        <f t="shared" si="528"/>
        <v/>
      </c>
      <c r="AC3852" t="e">
        <f t="shared" si="529"/>
        <v>#VALUE!</v>
      </c>
    </row>
    <row r="3853" spans="1:29" x14ac:dyDescent="0.2">
      <c r="A3853" t="str">
        <f t="shared" si="522"/>
        <v/>
      </c>
      <c r="E3853" s="4"/>
      <c r="F3853" s="46"/>
      <c r="G3853" s="4"/>
      <c r="H3853" s="48"/>
      <c r="J3853" s="26" t="str">
        <f t="shared" si="523"/>
        <v/>
      </c>
      <c r="N3853" t="str">
        <f t="shared" si="524"/>
        <v/>
      </c>
      <c r="Q3853" t="str">
        <f t="shared" si="525"/>
        <v/>
      </c>
      <c r="S3853" t="str">
        <f>IF(A3853=1,MAX($S$2:$S3852)+1,IF(OR($I3853&lt;&gt;"",A3853="x"),$S3852,""))</f>
        <v/>
      </c>
      <c r="T3853" t="str">
        <f>IF(D3853=1,MAX($T$2:$T3852)+1,IF(S3853=S3852,$T3852,IF(D3853="x",T3852,IF(D3852="x","",""))))</f>
        <v/>
      </c>
      <c r="U3853" t="str">
        <f>IF(B3853=1,MAX($U$2:$U3852)+1,IF(AND($T3853&lt;&gt;"",$T3853=$T3852),$U3852,IF(B3853="x",U3852,"")))</f>
        <v/>
      </c>
      <c r="V3853" t="str">
        <f>IF(C3853=1,MAX($V$2:$V3852)+1,IF(AND($T3853&lt;&gt;"",$T3853=$T3852),$U3852,IF(C3853="x",V3852,"")))</f>
        <v/>
      </c>
      <c r="X3853" cm="1">
        <f t="array" ref="X3853">IF($I3853&lt;&gt;"",$I3853,INDEX($I$1:$I3853,ROW()-COUNTIFS($T$1:$T3853,"="&amp;$T3853,$S$1:$S3853,"&lt;"&amp;$S3853)))</f>
        <v>0</v>
      </c>
      <c r="Z3853" s="6">
        <f t="shared" si="526"/>
        <v>1</v>
      </c>
      <c r="AA3853" t="e">
        <f t="shared" si="527"/>
        <v>#VALUE!</v>
      </c>
      <c r="AB3853" t="str">
        <f t="shared" si="528"/>
        <v/>
      </c>
      <c r="AC3853" t="e">
        <f t="shared" si="529"/>
        <v>#VALUE!</v>
      </c>
    </row>
    <row r="3854" spans="1:29" x14ac:dyDescent="0.2">
      <c r="A3854" t="str">
        <f t="shared" si="522"/>
        <v/>
      </c>
      <c r="E3854" s="4"/>
      <c r="F3854" s="46"/>
      <c r="G3854" s="4"/>
      <c r="H3854" s="48"/>
      <c r="J3854" s="26" t="str">
        <f t="shared" si="523"/>
        <v/>
      </c>
      <c r="N3854" t="str">
        <f t="shared" si="524"/>
        <v/>
      </c>
      <c r="Q3854" t="str">
        <f t="shared" si="525"/>
        <v/>
      </c>
      <c r="S3854" t="str">
        <f>IF(A3854=1,MAX($S$2:$S3853)+1,IF(OR($I3854&lt;&gt;"",A3854="x"),$S3853,""))</f>
        <v/>
      </c>
      <c r="T3854" t="str">
        <f>IF(D3854=1,MAX($T$2:$T3853)+1,IF(S3854=S3853,$T3853,IF(D3854="x",T3853,IF(D3853="x","",""))))</f>
        <v/>
      </c>
      <c r="U3854" t="str">
        <f>IF(B3854=1,MAX($U$2:$U3853)+1,IF(AND($T3854&lt;&gt;"",$T3854=$T3853),$U3853,IF(B3854="x",U3853,"")))</f>
        <v/>
      </c>
      <c r="V3854" t="str">
        <f>IF(C3854=1,MAX($V$2:$V3853)+1,IF(AND($T3854&lt;&gt;"",$T3854=$T3853),$U3853,IF(C3854="x",V3853,"")))</f>
        <v/>
      </c>
      <c r="X3854" cm="1">
        <f t="array" ref="X3854">IF($I3854&lt;&gt;"",$I3854,INDEX($I$1:$I3854,ROW()-COUNTIFS($T$1:$T3854,"="&amp;$T3854,$S$1:$S3854,"&lt;"&amp;$S3854)))</f>
        <v>0</v>
      </c>
      <c r="Z3854" s="6">
        <f t="shared" si="526"/>
        <v>1</v>
      </c>
      <c r="AA3854" t="e">
        <f t="shared" si="527"/>
        <v>#VALUE!</v>
      </c>
      <c r="AB3854" t="str">
        <f t="shared" si="528"/>
        <v/>
      </c>
      <c r="AC3854" t="e">
        <f t="shared" si="529"/>
        <v>#VALUE!</v>
      </c>
    </row>
    <row r="3855" spans="1:29" x14ac:dyDescent="0.2">
      <c r="A3855" t="str">
        <f t="shared" si="522"/>
        <v/>
      </c>
      <c r="E3855" s="4"/>
      <c r="F3855" s="46"/>
      <c r="G3855" s="4"/>
      <c r="H3855" s="48"/>
      <c r="J3855" s="26" t="str">
        <f t="shared" si="523"/>
        <v/>
      </c>
      <c r="N3855" t="str">
        <f t="shared" si="524"/>
        <v/>
      </c>
      <c r="Q3855" t="str">
        <f t="shared" si="525"/>
        <v/>
      </c>
      <c r="S3855" t="str">
        <f>IF(A3855=1,MAX($S$2:$S3854)+1,IF(OR($I3855&lt;&gt;"",A3855="x"),$S3854,""))</f>
        <v/>
      </c>
      <c r="T3855" t="str">
        <f>IF(D3855=1,MAX($T$2:$T3854)+1,IF(S3855=S3854,$T3854,IF(D3855="x",T3854,IF(D3854="x","",""))))</f>
        <v/>
      </c>
      <c r="U3855" t="str">
        <f>IF(B3855=1,MAX($U$2:$U3854)+1,IF(AND($T3855&lt;&gt;"",$T3855=$T3854),$U3854,IF(B3855="x",U3854,"")))</f>
        <v/>
      </c>
      <c r="V3855" t="str">
        <f>IF(C3855=1,MAX($V$2:$V3854)+1,IF(AND($T3855&lt;&gt;"",$T3855=$T3854),$U3854,IF(C3855="x",V3854,"")))</f>
        <v/>
      </c>
      <c r="X3855" cm="1">
        <f t="array" ref="X3855">IF($I3855&lt;&gt;"",$I3855,INDEX($I$1:$I3855,ROW()-COUNTIFS($T$1:$T3855,"="&amp;$T3855,$S$1:$S3855,"&lt;"&amp;$S3855)))</f>
        <v>0</v>
      </c>
      <c r="Z3855" s="6">
        <f t="shared" si="526"/>
        <v>1</v>
      </c>
      <c r="AA3855" t="e">
        <f t="shared" si="527"/>
        <v>#VALUE!</v>
      </c>
      <c r="AB3855" t="str">
        <f t="shared" si="528"/>
        <v/>
      </c>
      <c r="AC3855" t="e">
        <f t="shared" si="529"/>
        <v>#VALUE!</v>
      </c>
    </row>
    <row r="3856" spans="1:29" x14ac:dyDescent="0.2">
      <c r="A3856" t="str">
        <f t="shared" si="522"/>
        <v/>
      </c>
      <c r="E3856" s="4"/>
      <c r="F3856" s="46"/>
      <c r="G3856" s="4"/>
      <c r="H3856" s="48"/>
      <c r="J3856" s="26" t="str">
        <f t="shared" si="523"/>
        <v/>
      </c>
      <c r="N3856" t="str">
        <f t="shared" si="524"/>
        <v/>
      </c>
      <c r="Q3856" t="str">
        <f t="shared" si="525"/>
        <v/>
      </c>
      <c r="S3856" t="str">
        <f>IF(A3856=1,MAX($S$2:$S3855)+1,IF(OR($I3856&lt;&gt;"",A3856="x"),$S3855,""))</f>
        <v/>
      </c>
      <c r="T3856" t="str">
        <f>IF(D3856=1,MAX($T$2:$T3855)+1,IF(S3856=S3855,$T3855,IF(D3856="x",T3855,IF(D3855="x","",""))))</f>
        <v/>
      </c>
      <c r="U3856" t="str">
        <f>IF(B3856=1,MAX($U$2:$U3855)+1,IF(AND($T3856&lt;&gt;"",$T3856=$T3855),$U3855,IF(B3856="x",U3855,"")))</f>
        <v/>
      </c>
      <c r="V3856" t="str">
        <f>IF(C3856=1,MAX($V$2:$V3855)+1,IF(AND($T3856&lt;&gt;"",$T3856=$T3855),$U3855,IF(C3856="x",V3855,"")))</f>
        <v/>
      </c>
      <c r="X3856" cm="1">
        <f t="array" ref="X3856">IF($I3856&lt;&gt;"",$I3856,INDEX($I$1:$I3856,ROW()-COUNTIFS($T$1:$T3856,"="&amp;$T3856,$S$1:$S3856,"&lt;"&amp;$S3856)))</f>
        <v>0</v>
      </c>
      <c r="Z3856" s="6">
        <f t="shared" si="526"/>
        <v>1</v>
      </c>
      <c r="AA3856" t="e">
        <f t="shared" si="527"/>
        <v>#VALUE!</v>
      </c>
      <c r="AB3856" t="str">
        <f t="shared" si="528"/>
        <v/>
      </c>
      <c r="AC3856" t="e">
        <f t="shared" si="529"/>
        <v>#VALUE!</v>
      </c>
    </row>
    <row r="3857" spans="1:29" x14ac:dyDescent="0.2">
      <c r="A3857" t="str">
        <f t="shared" si="522"/>
        <v/>
      </c>
      <c r="E3857" s="4"/>
      <c r="F3857" s="46"/>
      <c r="G3857" s="4"/>
      <c r="H3857" s="48"/>
      <c r="J3857" s="26" t="str">
        <f t="shared" si="523"/>
        <v/>
      </c>
      <c r="N3857" t="str">
        <f t="shared" si="524"/>
        <v/>
      </c>
      <c r="Q3857" t="str">
        <f t="shared" si="525"/>
        <v/>
      </c>
      <c r="S3857" t="str">
        <f>IF(A3857=1,MAX($S$2:$S3856)+1,IF(OR($I3857&lt;&gt;"",A3857="x"),$S3856,""))</f>
        <v/>
      </c>
      <c r="T3857" t="str">
        <f>IF(D3857=1,MAX($T$2:$T3856)+1,IF(S3857=S3856,$T3856,IF(D3857="x",T3856,IF(D3856="x","",""))))</f>
        <v/>
      </c>
      <c r="U3857" t="str">
        <f>IF(B3857=1,MAX($U$2:$U3856)+1,IF(AND($T3857&lt;&gt;"",$T3857=$T3856),$U3856,IF(B3857="x",U3856,"")))</f>
        <v/>
      </c>
      <c r="V3857" t="str">
        <f>IF(C3857=1,MAX($V$2:$V3856)+1,IF(AND($T3857&lt;&gt;"",$T3857=$T3856),$U3856,IF(C3857="x",V3856,"")))</f>
        <v/>
      </c>
      <c r="X3857" cm="1">
        <f t="array" ref="X3857">IF($I3857&lt;&gt;"",$I3857,INDEX($I$1:$I3857,ROW()-COUNTIFS($T$1:$T3857,"="&amp;$T3857,$S$1:$S3857,"&lt;"&amp;$S3857)))</f>
        <v>0</v>
      </c>
      <c r="Z3857" s="6">
        <f t="shared" si="526"/>
        <v>1</v>
      </c>
      <c r="AA3857" t="e">
        <f t="shared" si="527"/>
        <v>#VALUE!</v>
      </c>
      <c r="AB3857" t="str">
        <f t="shared" si="528"/>
        <v/>
      </c>
      <c r="AC3857" t="e">
        <f t="shared" si="529"/>
        <v>#VALUE!</v>
      </c>
    </row>
    <row r="3858" spans="1:29" x14ac:dyDescent="0.2">
      <c r="A3858" t="str">
        <f t="shared" si="522"/>
        <v/>
      </c>
      <c r="E3858" s="4"/>
      <c r="F3858" s="46"/>
      <c r="G3858" s="4"/>
      <c r="H3858" s="48"/>
      <c r="J3858" s="26" t="str">
        <f t="shared" si="523"/>
        <v/>
      </c>
      <c r="N3858" t="str">
        <f t="shared" si="524"/>
        <v/>
      </c>
      <c r="Q3858" t="str">
        <f t="shared" si="525"/>
        <v/>
      </c>
      <c r="S3858" t="str">
        <f>IF(A3858=1,MAX($S$2:$S3857)+1,IF(OR($I3858&lt;&gt;"",A3858="x"),$S3857,""))</f>
        <v/>
      </c>
      <c r="T3858" t="str">
        <f>IF(D3858=1,MAX($T$2:$T3857)+1,IF(S3858=S3857,$T3857,IF(D3858="x",T3857,IF(D3857="x","",""))))</f>
        <v/>
      </c>
      <c r="U3858" t="str">
        <f>IF(B3858=1,MAX($U$2:$U3857)+1,IF(AND($T3858&lt;&gt;"",$T3858=$T3857),$U3857,IF(B3858="x",U3857,"")))</f>
        <v/>
      </c>
      <c r="V3858" t="str">
        <f>IF(C3858=1,MAX($V$2:$V3857)+1,IF(AND($T3858&lt;&gt;"",$T3858=$T3857),$U3857,IF(C3858="x",V3857,"")))</f>
        <v/>
      </c>
      <c r="X3858" cm="1">
        <f t="array" ref="X3858">IF($I3858&lt;&gt;"",$I3858,INDEX($I$1:$I3858,ROW()-COUNTIFS($T$1:$T3858,"="&amp;$T3858,$S$1:$S3858,"&lt;"&amp;$S3858)))</f>
        <v>0</v>
      </c>
      <c r="Z3858" s="6">
        <f t="shared" si="526"/>
        <v>1</v>
      </c>
      <c r="AA3858" t="e">
        <f t="shared" si="527"/>
        <v>#VALUE!</v>
      </c>
      <c r="AB3858" t="str">
        <f t="shared" si="528"/>
        <v/>
      </c>
      <c r="AC3858" t="e">
        <f t="shared" si="529"/>
        <v>#VALUE!</v>
      </c>
    </row>
    <row r="3859" spans="1:29" x14ac:dyDescent="0.2">
      <c r="A3859" t="str">
        <f t="shared" ref="A3859:A3922" si="530">IF(K3859&lt;&gt;"",1,IF(D3859="x","x",""))</f>
        <v/>
      </c>
      <c r="E3859" s="4"/>
      <c r="F3859" s="46"/>
      <c r="G3859" s="4"/>
      <c r="H3859" s="48"/>
      <c r="J3859" s="26" t="str">
        <f t="shared" ref="J3859:J3922" si="531">IF(OR(K3859="Goal",K3859="Shot",L3859="Zone_Entry",M3859="Stoppage-Goal",M3858="Stoppage-Goal"),"o",IF(OR(K3859="Save",K3859="Rebound",L3859="Zone_Exit",M3859="Stoppage-GoalieStoppage",M3858="Stoppage-GoalieStoppage"),"d",IF(OR(L3859="Faceoff_AfterGoal",L3859="Faceoff_PeriodStart",698="Faceoff_GameStart",M3858="Stoppage-Goal"),"n","")))</f>
        <v/>
      </c>
      <c r="N3859" t="str">
        <f t="shared" ref="N3859:N3922" si="532">IF(K3859="","",IF(K3859="Goal","s",IF(AND(K3859="Zone_Entry_Exit",OR(ISNUMBER(SEARCH("fail",L3859)),ISNUMBER(SEARCH("FromExitClear",M3859)),ISNUMBER(SEARCH("miss",M3859)))),"u",IF(AND(K3859="Zone_Entry_Exit",OR(NOT(ISNUMBER(SEARCH("fail",L3859))),NOT(ISNUMBER(SEARCH("FromExitClear",M3859))),NOT(ISNUMBER(SEARCH("miss",M3859))))),"s",IF(AND(OR(K3859="Shot",K3859="Pass"),OR(ISNUMBER(SEARCH("complete",L3859)),ISNUMBER(SEARCH("goal",L3859)),ISNUMBER(SEARCH("OnNet",L3859)))),"s",IF(L3859="Turnover_Giveaway","u",IF(AND(OR(K3859="Shot",K3859="Pass"),OR(ISNUMBER(SEARCH("fail",L3859)),NOT(ISNUMBER(SEARCH("complete",L3859))),NOT(ISNUMBER(SEARCH("OnNet",L3859))))),"u","")))))))</f>
        <v/>
      </c>
      <c r="Q3859" t="str">
        <f t="shared" ref="Q3859:Q3922" si="533">IF(O3859="","",IF(AND(N3859&lt;&gt;"",OR(O3859&lt;&gt;"",P3859&lt;&gt;"")),N3859,IF(OR(ISNUMBER(SEARCH("attemp",O3859)),ISNUMBER(SEARCH("beat",O3859)),ISNUMBER(SEARCH("mis",O3859)),ISNUMBER(SEARCH("fail",O3859)),ISNUMBER(SEARCH("loss",O3859)),ISNUMBER(SEARCH("lost",O3859)),ISNUMBER(SEARCH("attemp",P3859)),ISNUMBER(SEARCH("mis",P3859)),ISNUMBER(SEARCH("fail",P3859)),ISNUMBER(SEARCH("loss",P3859)),ISNUMBER(SEARCH("beat",P3859)),ISNUMBER(SEARCH("lost",P3859))),"u","")))</f>
        <v/>
      </c>
      <c r="S3859" t="str">
        <f>IF(A3859=1,MAX($S$2:$S3858)+1,IF(OR($I3859&lt;&gt;"",A3859="x"),$S3858,""))</f>
        <v/>
      </c>
      <c r="T3859" t="str">
        <f>IF(D3859=1,MAX($T$2:$T3858)+1,IF(S3859=S3858,$T3858,IF(D3859="x",T3858,IF(D3858="x","",""))))</f>
        <v/>
      </c>
      <c r="U3859" t="str">
        <f>IF(B3859=1,MAX($U$2:$U3858)+1,IF(AND($T3859&lt;&gt;"",$T3859=$T3858),$U3858,IF(B3859="x",U3858,"")))</f>
        <v/>
      </c>
      <c r="V3859" t="str">
        <f>IF(C3859=1,MAX($V$2:$V3858)+1,IF(AND($T3859&lt;&gt;"",$T3859=$T3858),$U3858,IF(C3859="x",V3858,"")))</f>
        <v/>
      </c>
      <c r="X3859" cm="1">
        <f t="array" ref="X3859">IF($I3859&lt;&gt;"",$I3859,INDEX($I$1:$I3859,ROW()-COUNTIFS($T$1:$T3859,"="&amp;$T3859,$S$1:$S3859,"&lt;"&amp;$S3859)))</f>
        <v>0</v>
      </c>
      <c r="Z3859" s="6">
        <f t="shared" si="526"/>
        <v>1</v>
      </c>
      <c r="AA3859" t="e">
        <f t="shared" si="527"/>
        <v>#VALUE!</v>
      </c>
      <c r="AB3859" t="str">
        <f t="shared" si="528"/>
        <v/>
      </c>
      <c r="AC3859" t="e">
        <f t="shared" si="529"/>
        <v>#VALUE!</v>
      </c>
    </row>
    <row r="3860" spans="1:29" x14ac:dyDescent="0.2">
      <c r="A3860" t="str">
        <f t="shared" si="530"/>
        <v/>
      </c>
      <c r="E3860" s="4"/>
      <c r="F3860" s="46"/>
      <c r="G3860" s="4"/>
      <c r="H3860" s="48"/>
      <c r="J3860" s="26" t="str">
        <f t="shared" si="531"/>
        <v/>
      </c>
      <c r="N3860" t="str">
        <f t="shared" si="532"/>
        <v/>
      </c>
      <c r="Q3860" t="str">
        <f t="shared" si="533"/>
        <v/>
      </c>
      <c r="S3860" t="str">
        <f>IF(A3860=1,MAX($S$2:$S3859)+1,IF(OR($I3860&lt;&gt;"",A3860="x"),$S3859,""))</f>
        <v/>
      </c>
      <c r="T3860" t="str">
        <f>IF(D3860=1,MAX($T$2:$T3859)+1,IF(S3860=S3859,$T3859,IF(D3860="x",T3859,IF(D3859="x","",""))))</f>
        <v/>
      </c>
      <c r="U3860" t="str">
        <f>IF(B3860=1,MAX($U$2:$U3859)+1,IF(AND($T3860&lt;&gt;"",$T3860=$T3859),$U3859,IF(B3860="x",U3859,"")))</f>
        <v/>
      </c>
      <c r="V3860" t="str">
        <f>IF(C3860=1,MAX($V$2:$V3859)+1,IF(AND($T3860&lt;&gt;"",$T3860=$T3859),$U3859,IF(C3860="x",V3859,"")))</f>
        <v/>
      </c>
      <c r="X3860" cm="1">
        <f t="array" ref="X3860">IF($I3860&lt;&gt;"",$I3860,INDEX($I$1:$I3860,ROW()-COUNTIFS($T$1:$T3860,"="&amp;$T3860,$S$1:$S3860,"&lt;"&amp;$S3860)))</f>
        <v>0</v>
      </c>
      <c r="Z3860" s="6">
        <f t="shared" si="526"/>
        <v>1</v>
      </c>
      <c r="AA3860" t="e">
        <f t="shared" si="527"/>
        <v>#VALUE!</v>
      </c>
      <c r="AB3860" t="str">
        <f t="shared" si="528"/>
        <v/>
      </c>
      <c r="AC3860" t="e">
        <f t="shared" si="529"/>
        <v>#VALUE!</v>
      </c>
    </row>
    <row r="3861" spans="1:29" x14ac:dyDescent="0.2">
      <c r="A3861" t="str">
        <f t="shared" si="530"/>
        <v/>
      </c>
      <c r="E3861" s="4"/>
      <c r="F3861" s="46"/>
      <c r="G3861" s="4"/>
      <c r="H3861" s="48"/>
      <c r="J3861" s="26" t="str">
        <f t="shared" si="531"/>
        <v/>
      </c>
      <c r="N3861" t="str">
        <f t="shared" si="532"/>
        <v/>
      </c>
      <c r="Q3861" t="str">
        <f t="shared" si="533"/>
        <v/>
      </c>
      <c r="S3861" t="str">
        <f>IF(A3861=1,MAX($S$2:$S3860)+1,IF(OR($I3861&lt;&gt;"",A3861="x"),$S3860,""))</f>
        <v/>
      </c>
      <c r="T3861" t="str">
        <f>IF(D3861=1,MAX($T$2:$T3860)+1,IF(S3861=S3860,$T3860,IF(D3861="x",T3860,IF(D3860="x","",""))))</f>
        <v/>
      </c>
      <c r="U3861" t="str">
        <f>IF(B3861=1,MAX($U$2:$U3860)+1,IF(AND($T3861&lt;&gt;"",$T3861=$T3860),$U3860,IF(B3861="x",U3860,"")))</f>
        <v/>
      </c>
      <c r="V3861" t="str">
        <f>IF(C3861=1,MAX($V$2:$V3860)+1,IF(AND($T3861&lt;&gt;"",$T3861=$T3860),$U3860,IF(C3861="x",V3860,"")))</f>
        <v/>
      </c>
      <c r="X3861" cm="1">
        <f t="array" ref="X3861">IF($I3861&lt;&gt;"",$I3861,INDEX($I$1:$I3861,ROW()-COUNTIFS($T$1:$T3861,"="&amp;$T3861,$S$1:$S3861,"&lt;"&amp;$S3861)))</f>
        <v>0</v>
      </c>
      <c r="Z3861" s="6">
        <f t="shared" si="526"/>
        <v>1</v>
      </c>
      <c r="AA3861" t="e">
        <f t="shared" si="527"/>
        <v>#VALUE!</v>
      </c>
      <c r="AB3861" t="str">
        <f t="shared" si="528"/>
        <v/>
      </c>
      <c r="AC3861" t="e">
        <f t="shared" si="529"/>
        <v>#VALUE!</v>
      </c>
    </row>
    <row r="3862" spans="1:29" x14ac:dyDescent="0.2">
      <c r="A3862" t="str">
        <f t="shared" si="530"/>
        <v/>
      </c>
      <c r="E3862" s="4"/>
      <c r="F3862" s="46"/>
      <c r="G3862" s="4"/>
      <c r="H3862" s="48"/>
      <c r="J3862" s="26" t="str">
        <f t="shared" si="531"/>
        <v/>
      </c>
      <c r="N3862" t="str">
        <f t="shared" si="532"/>
        <v/>
      </c>
      <c r="Q3862" t="str">
        <f t="shared" si="533"/>
        <v/>
      </c>
      <c r="S3862" t="str">
        <f>IF(A3862=1,MAX($S$2:$S3861)+1,IF(OR($I3862&lt;&gt;"",A3862="x"),$S3861,""))</f>
        <v/>
      </c>
      <c r="T3862" t="str">
        <f>IF(D3862=1,MAX($T$2:$T3861)+1,IF(S3862=S3861,$T3861,IF(D3862="x",T3861,IF(D3861="x","",""))))</f>
        <v/>
      </c>
      <c r="U3862" t="str">
        <f>IF(B3862=1,MAX($U$2:$U3861)+1,IF(AND($T3862&lt;&gt;"",$T3862=$T3861),$U3861,IF(B3862="x",U3861,"")))</f>
        <v/>
      </c>
      <c r="V3862" t="str">
        <f>IF(C3862=1,MAX($V$2:$V3861)+1,IF(AND($T3862&lt;&gt;"",$T3862=$T3861),$U3861,IF(C3862="x",V3861,"")))</f>
        <v/>
      </c>
      <c r="X3862" cm="1">
        <f t="array" ref="X3862">IF($I3862&lt;&gt;"",$I3862,INDEX($I$1:$I3862,ROW()-COUNTIFS($T$1:$T3862,"="&amp;$T3862,$S$1:$S3862,"&lt;"&amp;$S3862)))</f>
        <v>0</v>
      </c>
      <c r="Z3862" s="6">
        <f t="shared" si="526"/>
        <v>1</v>
      </c>
      <c r="AA3862" t="e">
        <f t="shared" si="527"/>
        <v>#VALUE!</v>
      </c>
      <c r="AB3862" t="str">
        <f t="shared" si="528"/>
        <v/>
      </c>
      <c r="AC3862" t="e">
        <f t="shared" si="529"/>
        <v>#VALUE!</v>
      </c>
    </row>
    <row r="3863" spans="1:29" x14ac:dyDescent="0.2">
      <c r="A3863" t="str">
        <f t="shared" si="530"/>
        <v/>
      </c>
      <c r="E3863" s="4"/>
      <c r="F3863" s="46"/>
      <c r="G3863" s="4"/>
      <c r="H3863" s="48"/>
      <c r="J3863" s="26" t="str">
        <f t="shared" si="531"/>
        <v/>
      </c>
      <c r="N3863" t="str">
        <f t="shared" si="532"/>
        <v/>
      </c>
      <c r="Q3863" t="str">
        <f t="shared" si="533"/>
        <v/>
      </c>
      <c r="S3863" t="str">
        <f>IF(A3863=1,MAX($S$2:$S3862)+1,IF(OR($I3863&lt;&gt;"",A3863="x"),$S3862,""))</f>
        <v/>
      </c>
      <c r="T3863" t="str">
        <f>IF(D3863=1,MAX($T$2:$T3862)+1,IF(S3863=S3862,$T3862,IF(D3863="x",T3862,IF(D3862="x","",""))))</f>
        <v/>
      </c>
      <c r="U3863" t="str">
        <f>IF(B3863=1,MAX($U$2:$U3862)+1,IF(AND($T3863&lt;&gt;"",$T3863=$T3862),$U3862,IF(B3863="x",U3862,"")))</f>
        <v/>
      </c>
      <c r="V3863" t="str">
        <f>IF(C3863=1,MAX($V$2:$V3862)+1,IF(AND($T3863&lt;&gt;"",$T3863=$T3862),$U3862,IF(C3863="x",V3862,"")))</f>
        <v/>
      </c>
      <c r="X3863" cm="1">
        <f t="array" ref="X3863">IF($I3863&lt;&gt;"",$I3863,INDEX($I$1:$I3863,ROW()-COUNTIFS($T$1:$T3863,"="&amp;$T3863,$S$1:$S3863,"&lt;"&amp;$S3863)))</f>
        <v>0</v>
      </c>
      <c r="Z3863" s="6">
        <f t="shared" si="526"/>
        <v>1</v>
      </c>
      <c r="AA3863" t="e">
        <f t="shared" si="527"/>
        <v>#VALUE!</v>
      </c>
      <c r="AB3863" t="str">
        <f t="shared" si="528"/>
        <v/>
      </c>
      <c r="AC3863" t="e">
        <f t="shared" si="529"/>
        <v>#VALUE!</v>
      </c>
    </row>
    <row r="3864" spans="1:29" x14ac:dyDescent="0.2">
      <c r="A3864" t="str">
        <f t="shared" si="530"/>
        <v/>
      </c>
      <c r="E3864" s="4"/>
      <c r="F3864" s="46"/>
      <c r="G3864" s="4"/>
      <c r="H3864" s="48"/>
      <c r="J3864" s="26" t="str">
        <f t="shared" si="531"/>
        <v/>
      </c>
      <c r="N3864" t="str">
        <f t="shared" si="532"/>
        <v/>
      </c>
      <c r="Q3864" t="str">
        <f t="shared" si="533"/>
        <v/>
      </c>
      <c r="S3864" t="str">
        <f>IF(A3864=1,MAX($S$2:$S3863)+1,IF(OR($I3864&lt;&gt;"",A3864="x"),$S3863,""))</f>
        <v/>
      </c>
      <c r="T3864" t="str">
        <f>IF(D3864=1,MAX($T$2:$T3863)+1,IF(S3864=S3863,$T3863,IF(D3864="x",T3863,IF(D3863="x","",""))))</f>
        <v/>
      </c>
      <c r="U3864" t="str">
        <f>IF(B3864=1,MAX($U$2:$U3863)+1,IF(AND($T3864&lt;&gt;"",$T3864=$T3863),$U3863,IF(B3864="x",U3863,"")))</f>
        <v/>
      </c>
      <c r="V3864" t="str">
        <f>IF(C3864=1,MAX($V$2:$V3863)+1,IF(AND($T3864&lt;&gt;"",$T3864=$T3863),$U3863,IF(C3864="x",V3863,"")))</f>
        <v/>
      </c>
      <c r="X3864" cm="1">
        <f t="array" ref="X3864">IF($I3864&lt;&gt;"",$I3864,INDEX($I$1:$I3864,ROW()-COUNTIFS($T$1:$T3864,"="&amp;$T3864,$S$1:$S3864,"&lt;"&amp;$S3864)))</f>
        <v>0</v>
      </c>
      <c r="Z3864" s="6">
        <f t="shared" si="526"/>
        <v>1</v>
      </c>
      <c r="AA3864" t="e">
        <f t="shared" si="527"/>
        <v>#VALUE!</v>
      </c>
      <c r="AB3864" t="str">
        <f t="shared" si="528"/>
        <v/>
      </c>
      <c r="AC3864" t="e">
        <f t="shared" si="529"/>
        <v>#VALUE!</v>
      </c>
    </row>
    <row r="3865" spans="1:29" x14ac:dyDescent="0.2">
      <c r="A3865" t="str">
        <f t="shared" si="530"/>
        <v/>
      </c>
      <c r="E3865" s="4"/>
      <c r="F3865" s="46"/>
      <c r="G3865" s="4"/>
      <c r="H3865" s="48"/>
      <c r="J3865" s="26" t="str">
        <f t="shared" si="531"/>
        <v/>
      </c>
      <c r="N3865" t="str">
        <f t="shared" si="532"/>
        <v/>
      </c>
      <c r="Q3865" t="str">
        <f t="shared" si="533"/>
        <v/>
      </c>
      <c r="S3865" t="str">
        <f>IF(A3865=1,MAX($S$2:$S3864)+1,IF(OR($I3865&lt;&gt;"",A3865="x"),$S3864,""))</f>
        <v/>
      </c>
      <c r="T3865" t="str">
        <f>IF(D3865=1,MAX($T$2:$T3864)+1,IF(S3865=S3864,$T3864,IF(D3865="x",T3864,IF(D3864="x","",""))))</f>
        <v/>
      </c>
      <c r="U3865" t="str">
        <f>IF(B3865=1,MAX($U$2:$U3864)+1,IF(AND($T3865&lt;&gt;"",$T3865=$T3864),$U3864,IF(B3865="x",U3864,"")))</f>
        <v/>
      </c>
      <c r="V3865" t="str">
        <f>IF(C3865=1,MAX($V$2:$V3864)+1,IF(AND($T3865&lt;&gt;"",$T3865=$T3864),$U3864,IF(C3865="x",V3864,"")))</f>
        <v/>
      </c>
      <c r="X3865" cm="1">
        <f t="array" ref="X3865">IF($I3865&lt;&gt;"",$I3865,INDEX($I$1:$I3865,ROW()-COUNTIFS($T$1:$T3865,"="&amp;$T3865,$S$1:$S3865,"&lt;"&amp;$S3865)))</f>
        <v>0</v>
      </c>
      <c r="Z3865" s="6">
        <f t="shared" si="526"/>
        <v>1</v>
      </c>
      <c r="AA3865" t="e">
        <f t="shared" si="527"/>
        <v>#VALUE!</v>
      </c>
      <c r="AB3865" t="str">
        <f t="shared" si="528"/>
        <v/>
      </c>
      <c r="AC3865" t="e">
        <f t="shared" si="529"/>
        <v>#VALUE!</v>
      </c>
    </row>
    <row r="3866" spans="1:29" x14ac:dyDescent="0.2">
      <c r="A3866" t="str">
        <f t="shared" si="530"/>
        <v/>
      </c>
      <c r="E3866" s="4"/>
      <c r="F3866" s="46"/>
      <c r="G3866" s="4"/>
      <c r="H3866" s="48"/>
      <c r="J3866" s="26" t="str">
        <f t="shared" si="531"/>
        <v/>
      </c>
      <c r="N3866" t="str">
        <f t="shared" si="532"/>
        <v/>
      </c>
      <c r="Q3866" t="str">
        <f t="shared" si="533"/>
        <v/>
      </c>
      <c r="S3866" t="str">
        <f>IF(A3866=1,MAX($S$2:$S3865)+1,IF(OR($I3866&lt;&gt;"",A3866="x"),$S3865,""))</f>
        <v/>
      </c>
      <c r="T3866" t="str">
        <f>IF(D3866=1,MAX($T$2:$T3865)+1,IF(S3866=S3865,$T3865,IF(D3866="x",T3865,IF(D3865="x","",""))))</f>
        <v/>
      </c>
      <c r="U3866" t="str">
        <f>IF(B3866=1,MAX($U$2:$U3865)+1,IF(AND($T3866&lt;&gt;"",$T3866=$T3865),$U3865,IF(B3866="x",U3865,"")))</f>
        <v/>
      </c>
      <c r="V3866" t="str">
        <f>IF(C3866=1,MAX($V$2:$V3865)+1,IF(AND($T3866&lt;&gt;"",$T3866=$T3865),$U3865,IF(C3866="x",V3865,"")))</f>
        <v/>
      </c>
      <c r="X3866" cm="1">
        <f t="array" ref="X3866">IF($I3866&lt;&gt;"",$I3866,INDEX($I$1:$I3866,ROW()-COUNTIFS($T$1:$T3866,"="&amp;$T3866,$S$1:$S3866,"&lt;"&amp;$S3866)))</f>
        <v>0</v>
      </c>
      <c r="Z3866" s="6">
        <f t="shared" si="526"/>
        <v>1</v>
      </c>
      <c r="AA3866" t="e">
        <f t="shared" si="527"/>
        <v>#VALUE!</v>
      </c>
      <c r="AB3866" t="str">
        <f t="shared" si="528"/>
        <v/>
      </c>
      <c r="AC3866" t="e">
        <f t="shared" si="529"/>
        <v>#VALUE!</v>
      </c>
    </row>
    <row r="3867" spans="1:29" x14ac:dyDescent="0.2">
      <c r="A3867" t="str">
        <f t="shared" si="530"/>
        <v/>
      </c>
      <c r="E3867" s="4"/>
      <c r="F3867" s="46"/>
      <c r="G3867" s="4"/>
      <c r="H3867" s="48"/>
      <c r="J3867" s="26" t="str">
        <f t="shared" si="531"/>
        <v/>
      </c>
      <c r="N3867" t="str">
        <f t="shared" si="532"/>
        <v/>
      </c>
      <c r="Q3867" t="str">
        <f t="shared" si="533"/>
        <v/>
      </c>
      <c r="S3867" t="str">
        <f>IF(A3867=1,MAX($S$2:$S3866)+1,IF(OR($I3867&lt;&gt;"",A3867="x"),$S3866,""))</f>
        <v/>
      </c>
      <c r="T3867" t="str">
        <f>IF(D3867=1,MAX($T$2:$T3866)+1,IF(S3867=S3866,$T3866,IF(D3867="x",T3866,IF(D3866="x","",""))))</f>
        <v/>
      </c>
      <c r="U3867" t="str">
        <f>IF(B3867=1,MAX($U$2:$U3866)+1,IF(AND($T3867&lt;&gt;"",$T3867=$T3866),$U3866,IF(B3867="x",U3866,"")))</f>
        <v/>
      </c>
      <c r="V3867" t="str">
        <f>IF(C3867=1,MAX($V$2:$V3866)+1,IF(AND($T3867&lt;&gt;"",$T3867=$T3866),$U3866,IF(C3867="x",V3866,"")))</f>
        <v/>
      </c>
      <c r="X3867" cm="1">
        <f t="array" ref="X3867">IF($I3867&lt;&gt;"",$I3867,INDEX($I$1:$I3867,ROW()-COUNTIFS($T$1:$T3867,"="&amp;$T3867,$S$1:$S3867,"&lt;"&amp;$S3867)))</f>
        <v>0</v>
      </c>
      <c r="Z3867" s="6">
        <f t="shared" si="526"/>
        <v>1</v>
      </c>
      <c r="AA3867" t="e">
        <f t="shared" si="527"/>
        <v>#VALUE!</v>
      </c>
      <c r="AB3867" t="str">
        <f t="shared" si="528"/>
        <v/>
      </c>
      <c r="AC3867" t="e">
        <f t="shared" si="529"/>
        <v>#VALUE!</v>
      </c>
    </row>
    <row r="3868" spans="1:29" x14ac:dyDescent="0.2">
      <c r="A3868" t="str">
        <f t="shared" si="530"/>
        <v/>
      </c>
      <c r="E3868" s="4"/>
      <c r="F3868" s="46"/>
      <c r="G3868" s="4"/>
      <c r="H3868" s="48"/>
      <c r="J3868" s="26" t="str">
        <f t="shared" si="531"/>
        <v/>
      </c>
      <c r="N3868" t="str">
        <f t="shared" si="532"/>
        <v/>
      </c>
      <c r="Q3868" t="str">
        <f t="shared" si="533"/>
        <v/>
      </c>
      <c r="S3868" t="str">
        <f>IF(A3868=1,MAX($S$2:$S3867)+1,IF(OR($I3868&lt;&gt;"",A3868="x"),$S3867,""))</f>
        <v/>
      </c>
      <c r="T3868" t="str">
        <f>IF(D3868=1,MAX($T$2:$T3867)+1,IF(S3868=S3867,$T3867,IF(D3868="x",T3867,IF(D3867="x","",""))))</f>
        <v/>
      </c>
      <c r="U3868" t="str">
        <f>IF(B3868=1,MAX($U$2:$U3867)+1,IF(AND($T3868&lt;&gt;"",$T3868=$T3867),$U3867,IF(B3868="x",U3867,"")))</f>
        <v/>
      </c>
      <c r="V3868" t="str">
        <f>IF(C3868=1,MAX($V$2:$V3867)+1,IF(AND($T3868&lt;&gt;"",$T3868=$T3867),$U3867,IF(C3868="x",V3867,"")))</f>
        <v/>
      </c>
      <c r="X3868" cm="1">
        <f t="array" ref="X3868">IF($I3868&lt;&gt;"",$I3868,INDEX($I$1:$I3868,ROW()-COUNTIFS($T$1:$T3868,"="&amp;$T3868,$S$1:$S3868,"&lt;"&amp;$S3868)))</f>
        <v>0</v>
      </c>
      <c r="Z3868" s="6">
        <f t="shared" si="526"/>
        <v>1</v>
      </c>
      <c r="AA3868" t="e">
        <f t="shared" si="527"/>
        <v>#VALUE!</v>
      </c>
      <c r="AB3868" t="str">
        <f t="shared" si="528"/>
        <v/>
      </c>
      <c r="AC3868" t="e">
        <f t="shared" si="529"/>
        <v>#VALUE!</v>
      </c>
    </row>
    <row r="3869" spans="1:29" x14ac:dyDescent="0.2">
      <c r="A3869" t="str">
        <f t="shared" si="530"/>
        <v/>
      </c>
      <c r="E3869" s="4"/>
      <c r="F3869" s="46"/>
      <c r="G3869" s="4"/>
      <c r="H3869" s="48"/>
      <c r="J3869" s="26" t="str">
        <f t="shared" si="531"/>
        <v/>
      </c>
      <c r="N3869" t="str">
        <f t="shared" si="532"/>
        <v/>
      </c>
      <c r="Q3869" t="str">
        <f t="shared" si="533"/>
        <v/>
      </c>
      <c r="S3869" t="str">
        <f>IF(A3869=1,MAX($S$2:$S3868)+1,IF(OR($I3869&lt;&gt;"",A3869="x"),$S3868,""))</f>
        <v/>
      </c>
      <c r="T3869" t="str">
        <f>IF(D3869=1,MAX($T$2:$T3868)+1,IF(S3869=S3868,$T3868,IF(D3869="x",T3868,IF(D3868="x","",""))))</f>
        <v/>
      </c>
      <c r="U3869" t="str">
        <f>IF(B3869=1,MAX($U$2:$U3868)+1,IF(AND($T3869&lt;&gt;"",$T3869=$T3868),$U3868,IF(B3869="x",U3868,"")))</f>
        <v/>
      </c>
      <c r="V3869" t="str">
        <f>IF(C3869=1,MAX($V$2:$V3868)+1,IF(AND($T3869&lt;&gt;"",$T3869=$T3868),$U3868,IF(C3869="x",V3868,"")))</f>
        <v/>
      </c>
      <c r="X3869" cm="1">
        <f t="array" ref="X3869">IF($I3869&lt;&gt;"",$I3869,INDEX($I$1:$I3869,ROW()-COUNTIFS($T$1:$T3869,"="&amp;$T3869,$S$1:$S3869,"&lt;"&amp;$S3869)))</f>
        <v>0</v>
      </c>
      <c r="Z3869" s="6">
        <f t="shared" si="526"/>
        <v>1</v>
      </c>
      <c r="AA3869" t="e">
        <f t="shared" si="527"/>
        <v>#VALUE!</v>
      </c>
      <c r="AB3869" t="str">
        <f t="shared" si="528"/>
        <v/>
      </c>
      <c r="AC3869" t="e">
        <f t="shared" si="529"/>
        <v>#VALUE!</v>
      </c>
    </row>
    <row r="3870" spans="1:29" x14ac:dyDescent="0.2">
      <c r="A3870" t="str">
        <f t="shared" si="530"/>
        <v/>
      </c>
      <c r="E3870" s="4"/>
      <c r="F3870" s="46"/>
      <c r="G3870" s="4"/>
      <c r="H3870" s="48"/>
      <c r="J3870" s="26" t="str">
        <f t="shared" si="531"/>
        <v/>
      </c>
      <c r="N3870" t="str">
        <f t="shared" si="532"/>
        <v/>
      </c>
      <c r="Q3870" t="str">
        <f t="shared" si="533"/>
        <v/>
      </c>
      <c r="S3870" t="str">
        <f>IF(A3870=1,MAX($S$2:$S3869)+1,IF(OR($I3870&lt;&gt;"",A3870="x"),$S3869,""))</f>
        <v/>
      </c>
      <c r="T3870" t="str">
        <f>IF(D3870=1,MAX($T$2:$T3869)+1,IF(S3870=S3869,$T3869,IF(D3870="x",T3869,IF(D3869="x","",""))))</f>
        <v/>
      </c>
      <c r="U3870" t="str">
        <f>IF(B3870=1,MAX($U$2:$U3869)+1,IF(AND($T3870&lt;&gt;"",$T3870=$T3869),$U3869,IF(B3870="x",U3869,"")))</f>
        <v/>
      </c>
      <c r="V3870" t="str">
        <f>IF(C3870=1,MAX($V$2:$V3869)+1,IF(AND($T3870&lt;&gt;"",$T3870=$T3869),$U3869,IF(C3870="x",V3869,"")))</f>
        <v/>
      </c>
      <c r="X3870" cm="1">
        <f t="array" ref="X3870">IF($I3870&lt;&gt;"",$I3870,INDEX($I$1:$I3870,ROW()-COUNTIFS($T$1:$T3870,"="&amp;$T3870,$S$1:$S3870,"&lt;"&amp;$S3870)))</f>
        <v>0</v>
      </c>
      <c r="Z3870" s="6">
        <f t="shared" si="526"/>
        <v>1</v>
      </c>
      <c r="AA3870" t="e">
        <f t="shared" si="527"/>
        <v>#VALUE!</v>
      </c>
      <c r="AB3870" t="str">
        <f t="shared" si="528"/>
        <v/>
      </c>
      <c r="AC3870" t="e">
        <f t="shared" si="529"/>
        <v>#VALUE!</v>
      </c>
    </row>
    <row r="3871" spans="1:29" x14ac:dyDescent="0.2">
      <c r="A3871" t="str">
        <f t="shared" si="530"/>
        <v/>
      </c>
      <c r="E3871" s="4"/>
      <c r="F3871" s="46"/>
      <c r="G3871" s="4"/>
      <c r="H3871" s="48"/>
      <c r="J3871" s="26" t="str">
        <f t="shared" si="531"/>
        <v/>
      </c>
      <c r="N3871" t="str">
        <f t="shared" si="532"/>
        <v/>
      </c>
      <c r="Q3871" t="str">
        <f t="shared" si="533"/>
        <v/>
      </c>
      <c r="S3871" t="str">
        <f>IF(A3871=1,MAX($S$2:$S3870)+1,IF(OR($I3871&lt;&gt;"",A3871="x"),$S3870,""))</f>
        <v/>
      </c>
      <c r="T3871" t="str">
        <f>IF(D3871=1,MAX($T$2:$T3870)+1,IF(S3871=S3870,$T3870,IF(D3871="x",T3870,IF(D3870="x","",""))))</f>
        <v/>
      </c>
      <c r="U3871" t="str">
        <f>IF(B3871=1,MAX($U$2:$U3870)+1,IF(AND($T3871&lt;&gt;"",$T3871=$T3870),$U3870,IF(B3871="x",U3870,"")))</f>
        <v/>
      </c>
      <c r="V3871" t="str">
        <f>IF(C3871=1,MAX($V$2:$V3870)+1,IF(AND($T3871&lt;&gt;"",$T3871=$T3870),$U3870,IF(C3871="x",V3870,"")))</f>
        <v/>
      </c>
      <c r="X3871" cm="1">
        <f t="array" ref="X3871">IF($I3871&lt;&gt;"",$I3871,INDEX($I$1:$I3871,ROW()-COUNTIFS($T$1:$T3871,"="&amp;$T3871,$S$1:$S3871,"&lt;"&amp;$S3871)))</f>
        <v>0</v>
      </c>
      <c r="Z3871" s="6">
        <f t="shared" si="526"/>
        <v>1</v>
      </c>
      <c r="AA3871" t="e">
        <f t="shared" si="527"/>
        <v>#VALUE!</v>
      </c>
      <c r="AB3871" t="str">
        <f t="shared" si="528"/>
        <v/>
      </c>
      <c r="AC3871" t="e">
        <f t="shared" si="529"/>
        <v>#VALUE!</v>
      </c>
    </row>
    <row r="3872" spans="1:29" x14ac:dyDescent="0.2">
      <c r="A3872" t="str">
        <f t="shared" si="530"/>
        <v/>
      </c>
      <c r="E3872" s="4"/>
      <c r="F3872" s="46"/>
      <c r="G3872" s="4"/>
      <c r="H3872" s="48"/>
      <c r="J3872" s="26" t="str">
        <f t="shared" si="531"/>
        <v/>
      </c>
      <c r="N3872" t="str">
        <f t="shared" si="532"/>
        <v/>
      </c>
      <c r="Q3872" t="str">
        <f t="shared" si="533"/>
        <v/>
      </c>
      <c r="S3872" t="str">
        <f>IF(A3872=1,MAX($S$2:$S3871)+1,IF(OR($I3872&lt;&gt;"",A3872="x"),$S3871,""))</f>
        <v/>
      </c>
      <c r="T3872" t="str">
        <f>IF(D3872=1,MAX($T$2:$T3871)+1,IF(S3872=S3871,$T3871,IF(D3872="x",T3871,IF(D3871="x","",""))))</f>
        <v/>
      </c>
      <c r="U3872" t="str">
        <f>IF(B3872=1,MAX($U$2:$U3871)+1,IF(AND($T3872&lt;&gt;"",$T3872=$T3871),$U3871,IF(B3872="x",U3871,"")))</f>
        <v/>
      </c>
      <c r="V3872" t="str">
        <f>IF(C3872=1,MAX($V$2:$V3871)+1,IF(AND($T3872&lt;&gt;"",$T3872=$T3871),$U3871,IF(C3872="x",V3871,"")))</f>
        <v/>
      </c>
      <c r="X3872" cm="1">
        <f t="array" ref="X3872">IF($I3872&lt;&gt;"",$I3872,INDEX($I$1:$I3872,ROW()-COUNTIFS($T$1:$T3872,"="&amp;$T3872,$S$1:$S3872,"&lt;"&amp;$S3872)))</f>
        <v>0</v>
      </c>
      <c r="Z3872" s="6">
        <f t="shared" si="526"/>
        <v>1</v>
      </c>
      <c r="AA3872" t="e">
        <f t="shared" si="527"/>
        <v>#VALUE!</v>
      </c>
      <c r="AB3872" t="str">
        <f t="shared" si="528"/>
        <v/>
      </c>
      <c r="AC3872" t="e">
        <f t="shared" si="529"/>
        <v>#VALUE!</v>
      </c>
    </row>
    <row r="3873" spans="1:29" x14ac:dyDescent="0.2">
      <c r="A3873" t="str">
        <f t="shared" si="530"/>
        <v/>
      </c>
      <c r="E3873" s="4"/>
      <c r="F3873" s="46"/>
      <c r="G3873" s="4"/>
      <c r="H3873" s="48"/>
      <c r="J3873" s="26" t="str">
        <f t="shared" si="531"/>
        <v/>
      </c>
      <c r="N3873" t="str">
        <f t="shared" si="532"/>
        <v/>
      </c>
      <c r="Q3873" t="str">
        <f t="shared" si="533"/>
        <v/>
      </c>
      <c r="S3873" t="str">
        <f>IF(A3873=1,MAX($S$2:$S3872)+1,IF(OR($I3873&lt;&gt;"",A3873="x"),$S3872,""))</f>
        <v/>
      </c>
      <c r="T3873" t="str">
        <f>IF(D3873=1,MAX($T$2:$T3872)+1,IF(S3873=S3872,$T3872,IF(D3873="x",T3872,IF(D3872="x","",""))))</f>
        <v/>
      </c>
      <c r="U3873" t="str">
        <f>IF(B3873=1,MAX($U$2:$U3872)+1,IF(AND($T3873&lt;&gt;"",$T3873=$T3872),$U3872,IF(B3873="x",U3872,"")))</f>
        <v/>
      </c>
      <c r="V3873" t="str">
        <f>IF(C3873=1,MAX($V$2:$V3872)+1,IF(AND($T3873&lt;&gt;"",$T3873=$T3872),$U3872,IF(C3873="x",V3872,"")))</f>
        <v/>
      </c>
      <c r="X3873" cm="1">
        <f t="array" ref="X3873">IF($I3873&lt;&gt;"",$I3873,INDEX($I$1:$I3873,ROW()-COUNTIFS($T$1:$T3873,"="&amp;$T3873,$S$1:$S3873,"&lt;"&amp;$S3873)))</f>
        <v>0</v>
      </c>
      <c r="Z3873" s="6">
        <f t="shared" si="526"/>
        <v>1</v>
      </c>
      <c r="AA3873" t="e">
        <f t="shared" si="527"/>
        <v>#VALUE!</v>
      </c>
      <c r="AB3873" t="str">
        <f t="shared" si="528"/>
        <v/>
      </c>
      <c r="AC3873" t="e">
        <f t="shared" si="529"/>
        <v>#VALUE!</v>
      </c>
    </row>
    <row r="3874" spans="1:29" x14ac:dyDescent="0.2">
      <c r="A3874" t="str">
        <f t="shared" si="530"/>
        <v/>
      </c>
      <c r="E3874" s="4"/>
      <c r="F3874" s="46"/>
      <c r="G3874" s="4"/>
      <c r="H3874" s="48"/>
      <c r="J3874" s="26" t="str">
        <f t="shared" si="531"/>
        <v/>
      </c>
      <c r="N3874" t="str">
        <f t="shared" si="532"/>
        <v/>
      </c>
      <c r="Q3874" t="str">
        <f t="shared" si="533"/>
        <v/>
      </c>
      <c r="S3874" t="str">
        <f>IF(A3874=1,MAX($S$2:$S3873)+1,IF(OR($I3874&lt;&gt;"",A3874="x"),$S3873,""))</f>
        <v/>
      </c>
      <c r="T3874" t="str">
        <f>IF(D3874=1,MAX($T$2:$T3873)+1,IF(S3874=S3873,$T3873,IF(D3874="x",T3873,IF(D3873="x","",""))))</f>
        <v/>
      </c>
      <c r="U3874" t="str">
        <f>IF(B3874=1,MAX($U$2:$U3873)+1,IF(AND($T3874&lt;&gt;"",$T3874=$T3873),$U3873,IF(B3874="x",U3873,"")))</f>
        <v/>
      </c>
      <c r="V3874" t="str">
        <f>IF(C3874=1,MAX($V$2:$V3873)+1,IF(AND($T3874&lt;&gt;"",$T3874=$T3873),$U3873,IF(C3874="x",V3873,"")))</f>
        <v/>
      </c>
      <c r="X3874" cm="1">
        <f t="array" ref="X3874">IF($I3874&lt;&gt;"",$I3874,INDEX($I$1:$I3874,ROW()-COUNTIFS($T$1:$T3874,"="&amp;$T3874,$S$1:$S3874,"&lt;"&amp;$S3874)))</f>
        <v>0</v>
      </c>
      <c r="Z3874" s="6">
        <f t="shared" si="526"/>
        <v>1</v>
      </c>
      <c r="AA3874" t="e">
        <f t="shared" si="527"/>
        <v>#VALUE!</v>
      </c>
      <c r="AB3874" t="str">
        <f t="shared" si="528"/>
        <v/>
      </c>
      <c r="AC3874" t="e">
        <f t="shared" si="529"/>
        <v>#VALUE!</v>
      </c>
    </row>
    <row r="3875" spans="1:29" x14ac:dyDescent="0.2">
      <c r="A3875" t="str">
        <f t="shared" si="530"/>
        <v/>
      </c>
      <c r="E3875" s="4"/>
      <c r="F3875" s="46"/>
      <c r="G3875" s="4"/>
      <c r="H3875" s="48"/>
      <c r="J3875" s="26" t="str">
        <f t="shared" si="531"/>
        <v/>
      </c>
      <c r="N3875" t="str">
        <f t="shared" si="532"/>
        <v/>
      </c>
      <c r="Q3875" t="str">
        <f t="shared" si="533"/>
        <v/>
      </c>
      <c r="S3875" t="str">
        <f>IF(A3875=1,MAX($S$2:$S3874)+1,IF(OR($I3875&lt;&gt;"",A3875="x"),$S3874,""))</f>
        <v/>
      </c>
      <c r="T3875" t="str">
        <f>IF(D3875=1,MAX($T$2:$T3874)+1,IF(S3875=S3874,$T3874,IF(D3875="x",T3874,IF(D3874="x","",""))))</f>
        <v/>
      </c>
      <c r="U3875" t="str">
        <f>IF(B3875=1,MAX($U$2:$U3874)+1,IF(AND($T3875&lt;&gt;"",$T3875=$T3874),$U3874,IF(B3875="x",U3874,"")))</f>
        <v/>
      </c>
      <c r="V3875" t="str">
        <f>IF(C3875=1,MAX($V$2:$V3874)+1,IF(AND($T3875&lt;&gt;"",$T3875=$T3874),$U3874,IF(C3875="x",V3874,"")))</f>
        <v/>
      </c>
      <c r="X3875" cm="1">
        <f t="array" ref="X3875">IF($I3875&lt;&gt;"",$I3875,INDEX($I$1:$I3875,ROW()-COUNTIFS($T$1:$T3875,"="&amp;$T3875,$S$1:$S3875,"&lt;"&amp;$S3875)))</f>
        <v>0</v>
      </c>
      <c r="Z3875" s="6">
        <f t="shared" si="526"/>
        <v>1</v>
      </c>
      <c r="AA3875" t="e">
        <f t="shared" si="527"/>
        <v>#VALUE!</v>
      </c>
      <c r="AB3875" t="str">
        <f t="shared" si="528"/>
        <v/>
      </c>
      <c r="AC3875" t="e">
        <f t="shared" si="529"/>
        <v>#VALUE!</v>
      </c>
    </row>
    <row r="3876" spans="1:29" x14ac:dyDescent="0.2">
      <c r="A3876" t="str">
        <f t="shared" si="530"/>
        <v/>
      </c>
      <c r="E3876" s="4"/>
      <c r="F3876" s="46"/>
      <c r="G3876" s="4"/>
      <c r="H3876" s="48"/>
      <c r="J3876" s="26" t="str">
        <f t="shared" si="531"/>
        <v/>
      </c>
      <c r="N3876" t="str">
        <f t="shared" si="532"/>
        <v/>
      </c>
      <c r="Q3876" t="str">
        <f t="shared" si="533"/>
        <v/>
      </c>
      <c r="S3876" t="str">
        <f>IF(A3876=1,MAX($S$2:$S3875)+1,IF(OR($I3876&lt;&gt;"",A3876="x"),$S3875,""))</f>
        <v/>
      </c>
      <c r="T3876" t="str">
        <f>IF(D3876=1,MAX($T$2:$T3875)+1,IF(S3876=S3875,$T3875,IF(D3876="x",T3875,IF(D3875="x","",""))))</f>
        <v/>
      </c>
      <c r="U3876" t="str">
        <f>IF(B3876=1,MAX($U$2:$U3875)+1,IF(AND($T3876&lt;&gt;"",$T3876=$T3875),$U3875,IF(B3876="x",U3875,"")))</f>
        <v/>
      </c>
      <c r="V3876" t="str">
        <f>IF(C3876=1,MAX($V$2:$V3875)+1,IF(AND($T3876&lt;&gt;"",$T3876=$T3875),$U3875,IF(C3876="x",V3875,"")))</f>
        <v/>
      </c>
      <c r="X3876" cm="1">
        <f t="array" ref="X3876">IF($I3876&lt;&gt;"",$I3876,INDEX($I$1:$I3876,ROW()-COUNTIFS($T$1:$T3876,"="&amp;$T3876,$S$1:$S3876,"&lt;"&amp;$S3876)))</f>
        <v>0</v>
      </c>
      <c r="Z3876" s="6">
        <f t="shared" si="526"/>
        <v>1</v>
      </c>
      <c r="AA3876" t="e">
        <f t="shared" si="527"/>
        <v>#VALUE!</v>
      </c>
      <c r="AB3876" t="str">
        <f t="shared" si="528"/>
        <v/>
      </c>
      <c r="AC3876" t="e">
        <f t="shared" si="529"/>
        <v>#VALUE!</v>
      </c>
    </row>
    <row r="3877" spans="1:29" x14ac:dyDescent="0.2">
      <c r="A3877" t="str">
        <f t="shared" si="530"/>
        <v/>
      </c>
      <c r="E3877" s="4"/>
      <c r="F3877" s="46"/>
      <c r="G3877" s="4"/>
      <c r="H3877" s="48"/>
      <c r="J3877" s="26" t="str">
        <f t="shared" si="531"/>
        <v/>
      </c>
      <c r="N3877" t="str">
        <f t="shared" si="532"/>
        <v/>
      </c>
      <c r="Q3877" t="str">
        <f t="shared" si="533"/>
        <v/>
      </c>
      <c r="S3877" t="str">
        <f>IF(A3877=1,MAX($S$2:$S3876)+1,IF(OR($I3877&lt;&gt;"",A3877="x"),$S3876,""))</f>
        <v/>
      </c>
      <c r="T3877" t="str">
        <f>IF(D3877=1,MAX($T$2:$T3876)+1,IF(S3877=S3876,$T3876,IF(D3877="x",T3876,IF(D3876="x","",""))))</f>
        <v/>
      </c>
      <c r="U3877" t="str">
        <f>IF(B3877=1,MAX($U$2:$U3876)+1,IF(AND($T3877&lt;&gt;"",$T3877=$T3876),$U3876,IF(B3877="x",U3876,"")))</f>
        <v/>
      </c>
      <c r="V3877" t="str">
        <f>IF(C3877=1,MAX($V$2:$V3876)+1,IF(AND($T3877&lt;&gt;"",$T3877=$T3876),$U3876,IF(C3877="x",V3876,"")))</f>
        <v/>
      </c>
      <c r="X3877" cm="1">
        <f t="array" ref="X3877">IF($I3877&lt;&gt;"",$I3877,INDEX($I$1:$I3877,ROW()-COUNTIFS($T$1:$T3877,"="&amp;$T3877,$S$1:$S3877,"&lt;"&amp;$S3877)))</f>
        <v>0</v>
      </c>
      <c r="Z3877" s="6">
        <f t="shared" si="526"/>
        <v>1</v>
      </c>
      <c r="AA3877" t="e">
        <f t="shared" si="527"/>
        <v>#VALUE!</v>
      </c>
      <c r="AB3877" t="str">
        <f t="shared" si="528"/>
        <v/>
      </c>
      <c r="AC3877" t="e">
        <f t="shared" si="529"/>
        <v>#VALUE!</v>
      </c>
    </row>
    <row r="3878" spans="1:29" x14ac:dyDescent="0.2">
      <c r="A3878" t="str">
        <f t="shared" si="530"/>
        <v/>
      </c>
      <c r="E3878" s="4"/>
      <c r="F3878" s="46"/>
      <c r="G3878" s="4"/>
      <c r="H3878" s="48"/>
      <c r="J3878" s="26" t="str">
        <f t="shared" si="531"/>
        <v/>
      </c>
      <c r="N3878" t="str">
        <f t="shared" si="532"/>
        <v/>
      </c>
      <c r="Q3878" t="str">
        <f t="shared" si="533"/>
        <v/>
      </c>
      <c r="S3878" t="str">
        <f>IF(A3878=1,MAX($S$2:$S3877)+1,IF(OR($I3878&lt;&gt;"",A3878="x"),$S3877,""))</f>
        <v/>
      </c>
      <c r="T3878" t="str">
        <f>IF(D3878=1,MAX($T$2:$T3877)+1,IF(S3878=S3877,$T3877,IF(D3878="x",T3877,IF(D3877="x","",""))))</f>
        <v/>
      </c>
      <c r="U3878" t="str">
        <f>IF(B3878=1,MAX($U$2:$U3877)+1,IF(AND($T3878&lt;&gt;"",$T3878=$T3877),$U3877,IF(B3878="x",U3877,"")))</f>
        <v/>
      </c>
      <c r="V3878" t="str">
        <f>IF(C3878=1,MAX($V$2:$V3877)+1,IF(AND($T3878&lt;&gt;"",$T3878=$T3877),$U3877,IF(C3878="x",V3877,"")))</f>
        <v/>
      </c>
      <c r="X3878" cm="1">
        <f t="array" ref="X3878">IF($I3878&lt;&gt;"",$I3878,INDEX($I$1:$I3878,ROW()-COUNTIFS($T$1:$T3878,"="&amp;$T3878,$S$1:$S3878,"&lt;"&amp;$S3878)))</f>
        <v>0</v>
      </c>
      <c r="Z3878" s="6">
        <f t="shared" si="526"/>
        <v>1</v>
      </c>
      <c r="AA3878" t="e">
        <f t="shared" si="527"/>
        <v>#VALUE!</v>
      </c>
      <c r="AB3878" t="str">
        <f t="shared" si="528"/>
        <v/>
      </c>
      <c r="AC3878" t="e">
        <f t="shared" si="529"/>
        <v>#VALUE!</v>
      </c>
    </row>
    <row r="3879" spans="1:29" x14ac:dyDescent="0.2">
      <c r="A3879" t="str">
        <f t="shared" si="530"/>
        <v/>
      </c>
      <c r="E3879" s="4"/>
      <c r="F3879" s="46"/>
      <c r="G3879" s="4"/>
      <c r="H3879" s="48"/>
      <c r="J3879" s="26" t="str">
        <f t="shared" si="531"/>
        <v/>
      </c>
      <c r="N3879" t="str">
        <f t="shared" si="532"/>
        <v/>
      </c>
      <c r="Q3879" t="str">
        <f t="shared" si="533"/>
        <v/>
      </c>
      <c r="S3879" t="str">
        <f>IF(A3879=1,MAX($S$2:$S3878)+1,IF(OR($I3879&lt;&gt;"",A3879="x"),$S3878,""))</f>
        <v/>
      </c>
      <c r="T3879" t="str">
        <f>IF(D3879=1,MAX($T$2:$T3878)+1,IF(S3879=S3878,$T3878,IF(D3879="x",T3878,IF(D3878="x","",""))))</f>
        <v/>
      </c>
      <c r="U3879" t="str">
        <f>IF(B3879=1,MAX($U$2:$U3878)+1,IF(AND($T3879&lt;&gt;"",$T3879=$T3878),$U3878,IF(B3879="x",U3878,"")))</f>
        <v/>
      </c>
      <c r="V3879" t="str">
        <f>IF(C3879=1,MAX($V$2:$V3878)+1,IF(AND($T3879&lt;&gt;"",$T3879=$T3878),$U3878,IF(C3879="x",V3878,"")))</f>
        <v/>
      </c>
      <c r="X3879" cm="1">
        <f t="array" ref="X3879">IF($I3879&lt;&gt;"",$I3879,INDEX($I$1:$I3879,ROW()-COUNTIFS($T$1:$T3879,"="&amp;$T3879,$S$1:$S3879,"&lt;"&amp;$S3879)))</f>
        <v>0</v>
      </c>
      <c r="Z3879" s="6">
        <f t="shared" si="526"/>
        <v>1</v>
      </c>
      <c r="AA3879" t="e">
        <f t="shared" si="527"/>
        <v>#VALUE!</v>
      </c>
      <c r="AB3879" t="str">
        <f t="shared" si="528"/>
        <v/>
      </c>
      <c r="AC3879" t="e">
        <f t="shared" si="529"/>
        <v>#VALUE!</v>
      </c>
    </row>
    <row r="3880" spans="1:29" x14ac:dyDescent="0.2">
      <c r="A3880" t="str">
        <f t="shared" si="530"/>
        <v/>
      </c>
      <c r="E3880" s="4"/>
      <c r="F3880" s="46"/>
      <c r="G3880" s="4"/>
      <c r="H3880" s="48"/>
      <c r="J3880" s="26" t="str">
        <f t="shared" si="531"/>
        <v/>
      </c>
      <c r="N3880" t="str">
        <f t="shared" si="532"/>
        <v/>
      </c>
      <c r="Q3880" t="str">
        <f t="shared" si="533"/>
        <v/>
      </c>
      <c r="S3880" t="str">
        <f>IF(A3880=1,MAX($S$2:$S3879)+1,IF(OR($I3880&lt;&gt;"",A3880="x"),$S3879,""))</f>
        <v/>
      </c>
      <c r="T3880" t="str">
        <f>IF(D3880=1,MAX($T$2:$T3879)+1,IF(S3880=S3879,$T3879,IF(D3880="x",T3879,IF(D3879="x","",""))))</f>
        <v/>
      </c>
      <c r="U3880" t="str">
        <f>IF(B3880=1,MAX($U$2:$U3879)+1,IF(AND($T3880&lt;&gt;"",$T3880=$T3879),$U3879,IF(B3880="x",U3879,"")))</f>
        <v/>
      </c>
      <c r="V3880" t="str">
        <f>IF(C3880=1,MAX($V$2:$V3879)+1,IF(AND($T3880&lt;&gt;"",$T3880=$T3879),$U3879,IF(C3880="x",V3879,"")))</f>
        <v/>
      </c>
      <c r="X3880" cm="1">
        <f t="array" ref="X3880">IF($I3880&lt;&gt;"",$I3880,INDEX($I$1:$I3880,ROW()-COUNTIFS($T$1:$T3880,"="&amp;$T3880,$S$1:$S3880,"&lt;"&amp;$S3880)))</f>
        <v>0</v>
      </c>
      <c r="Z3880" s="6">
        <f t="shared" si="526"/>
        <v>1</v>
      </c>
      <c r="AA3880" t="e">
        <f t="shared" si="527"/>
        <v>#VALUE!</v>
      </c>
      <c r="AB3880" t="str">
        <f t="shared" si="528"/>
        <v/>
      </c>
      <c r="AC3880" t="e">
        <f t="shared" si="529"/>
        <v>#VALUE!</v>
      </c>
    </row>
    <row r="3881" spans="1:29" x14ac:dyDescent="0.2">
      <c r="A3881" t="str">
        <f t="shared" si="530"/>
        <v/>
      </c>
      <c r="E3881" s="4"/>
      <c r="F3881" s="46"/>
      <c r="G3881" s="4"/>
      <c r="H3881" s="48"/>
      <c r="J3881" s="26" t="str">
        <f t="shared" si="531"/>
        <v/>
      </c>
      <c r="N3881" t="str">
        <f t="shared" si="532"/>
        <v/>
      </c>
      <c r="Q3881" t="str">
        <f t="shared" si="533"/>
        <v/>
      </c>
      <c r="S3881" t="str">
        <f>IF(A3881=1,MAX($S$2:$S3880)+1,IF(OR($I3881&lt;&gt;"",A3881="x"),$S3880,""))</f>
        <v/>
      </c>
      <c r="T3881" t="str">
        <f>IF(D3881=1,MAX($T$2:$T3880)+1,IF(S3881=S3880,$T3880,IF(D3881="x",T3880,IF(D3880="x","",""))))</f>
        <v/>
      </c>
      <c r="U3881" t="str">
        <f>IF(B3881=1,MAX($U$2:$U3880)+1,IF(AND($T3881&lt;&gt;"",$T3881=$T3880),$U3880,IF(B3881="x",U3880,"")))</f>
        <v/>
      </c>
      <c r="V3881" t="str">
        <f>IF(C3881=1,MAX($V$2:$V3880)+1,IF(AND($T3881&lt;&gt;"",$T3881=$T3880),$U3880,IF(C3881="x",V3880,"")))</f>
        <v/>
      </c>
      <c r="X3881" cm="1">
        <f t="array" ref="X3881">IF($I3881&lt;&gt;"",$I3881,INDEX($I$1:$I3881,ROW()-COUNTIFS($T$1:$T3881,"="&amp;$T3881,$S$1:$S3881,"&lt;"&amp;$S3881)))</f>
        <v>0</v>
      </c>
      <c r="Z3881" s="6">
        <f t="shared" si="526"/>
        <v>1</v>
      </c>
      <c r="AA3881" t="e">
        <f t="shared" si="527"/>
        <v>#VALUE!</v>
      </c>
      <c r="AB3881" t="str">
        <f t="shared" si="528"/>
        <v/>
      </c>
      <c r="AC3881" t="e">
        <f t="shared" si="529"/>
        <v>#VALUE!</v>
      </c>
    </row>
    <row r="3882" spans="1:29" x14ac:dyDescent="0.2">
      <c r="A3882" t="str">
        <f t="shared" si="530"/>
        <v/>
      </c>
      <c r="E3882" s="4"/>
      <c r="F3882" s="46"/>
      <c r="G3882" s="4"/>
      <c r="H3882" s="48"/>
      <c r="J3882" s="26" t="str">
        <f t="shared" si="531"/>
        <v/>
      </c>
      <c r="N3882" t="str">
        <f t="shared" si="532"/>
        <v/>
      </c>
      <c r="Q3882" t="str">
        <f t="shared" si="533"/>
        <v/>
      </c>
      <c r="S3882" t="str">
        <f>IF(A3882=1,MAX($S$2:$S3881)+1,IF(OR($I3882&lt;&gt;"",A3882="x"),$S3881,""))</f>
        <v/>
      </c>
      <c r="T3882" t="str">
        <f>IF(D3882=1,MAX($T$2:$T3881)+1,IF(S3882=S3881,$T3881,IF(D3882="x",T3881,IF(D3881="x","",""))))</f>
        <v/>
      </c>
      <c r="U3882" t="str">
        <f>IF(B3882=1,MAX($U$2:$U3881)+1,IF(AND($T3882&lt;&gt;"",$T3882=$T3881),$U3881,IF(B3882="x",U3881,"")))</f>
        <v/>
      </c>
      <c r="V3882" t="str">
        <f>IF(C3882=1,MAX($V$2:$V3881)+1,IF(AND($T3882&lt;&gt;"",$T3882=$T3881),$U3881,IF(C3882="x",V3881,"")))</f>
        <v/>
      </c>
      <c r="X3882" cm="1">
        <f t="array" ref="X3882">IF($I3882&lt;&gt;"",$I3882,INDEX($I$1:$I3882,ROW()-COUNTIFS($T$1:$T3882,"="&amp;$T3882,$S$1:$S3882,"&lt;"&amp;$S3882)))</f>
        <v>0</v>
      </c>
      <c r="Z3882" s="6">
        <f t="shared" si="526"/>
        <v>1</v>
      </c>
      <c r="AA3882" t="e">
        <f t="shared" si="527"/>
        <v>#VALUE!</v>
      </c>
      <c r="AB3882" t="str">
        <f t="shared" si="528"/>
        <v/>
      </c>
      <c r="AC3882" t="e">
        <f t="shared" si="529"/>
        <v>#VALUE!</v>
      </c>
    </row>
    <row r="3883" spans="1:29" x14ac:dyDescent="0.2">
      <c r="A3883" t="str">
        <f t="shared" si="530"/>
        <v/>
      </c>
      <c r="E3883" s="4"/>
      <c r="F3883" s="46"/>
      <c r="G3883" s="4"/>
      <c r="H3883" s="48"/>
      <c r="J3883" s="26" t="str">
        <f t="shared" si="531"/>
        <v/>
      </c>
      <c r="N3883" t="str">
        <f t="shared" si="532"/>
        <v/>
      </c>
      <c r="Q3883" t="str">
        <f t="shared" si="533"/>
        <v/>
      </c>
      <c r="S3883" t="str">
        <f>IF(A3883=1,MAX($S$2:$S3882)+1,IF(OR($I3883&lt;&gt;"",A3883="x"),$S3882,""))</f>
        <v/>
      </c>
      <c r="T3883" t="str">
        <f>IF(D3883=1,MAX($T$2:$T3882)+1,IF(S3883=S3882,$T3882,IF(D3883="x",T3882,IF(D3882="x","",""))))</f>
        <v/>
      </c>
      <c r="U3883" t="str">
        <f>IF(B3883=1,MAX($U$2:$U3882)+1,IF(AND($T3883&lt;&gt;"",$T3883=$T3882),$U3882,IF(B3883="x",U3882,"")))</f>
        <v/>
      </c>
      <c r="V3883" t="str">
        <f>IF(C3883=1,MAX($V$2:$V3882)+1,IF(AND($T3883&lt;&gt;"",$T3883=$T3882),$U3882,IF(C3883="x",V3882,"")))</f>
        <v/>
      </c>
      <c r="X3883" cm="1">
        <f t="array" ref="X3883">IF($I3883&lt;&gt;"",$I3883,INDEX($I$1:$I3883,ROW()-COUNTIFS($T$1:$T3883,"="&amp;$T3883,$S$1:$S3883,"&lt;"&amp;$S3883)))</f>
        <v>0</v>
      </c>
      <c r="Z3883" s="6">
        <f t="shared" si="526"/>
        <v>1</v>
      </c>
      <c r="AA3883" t="e">
        <f t="shared" si="527"/>
        <v>#VALUE!</v>
      </c>
      <c r="AB3883" t="str">
        <f t="shared" si="528"/>
        <v/>
      </c>
      <c r="AC3883" t="e">
        <f t="shared" si="529"/>
        <v>#VALUE!</v>
      </c>
    </row>
    <row r="3884" spans="1:29" x14ac:dyDescent="0.2">
      <c r="A3884" t="str">
        <f t="shared" si="530"/>
        <v/>
      </c>
      <c r="E3884" s="4"/>
      <c r="F3884" s="46"/>
      <c r="G3884" s="4"/>
      <c r="H3884" s="48"/>
      <c r="J3884" s="26" t="str">
        <f t="shared" si="531"/>
        <v/>
      </c>
      <c r="N3884" t="str">
        <f t="shared" si="532"/>
        <v/>
      </c>
      <c r="Q3884" t="str">
        <f t="shared" si="533"/>
        <v/>
      </c>
      <c r="S3884" t="str">
        <f>IF(A3884=1,MAX($S$2:$S3883)+1,IF(OR($I3884&lt;&gt;"",A3884="x"),$S3883,""))</f>
        <v/>
      </c>
      <c r="T3884" t="str">
        <f>IF(D3884=1,MAX($T$2:$T3883)+1,IF(S3884=S3883,$T3883,IF(D3884="x",T3883,IF(D3883="x","",""))))</f>
        <v/>
      </c>
      <c r="U3884" t="str">
        <f>IF(B3884=1,MAX($U$2:$U3883)+1,IF(AND($T3884&lt;&gt;"",$T3884=$T3883),$U3883,IF(B3884="x",U3883,"")))</f>
        <v/>
      </c>
      <c r="V3884" t="str">
        <f>IF(C3884=1,MAX($V$2:$V3883)+1,IF(AND($T3884&lt;&gt;"",$T3884=$T3883),$U3883,IF(C3884="x",V3883,"")))</f>
        <v/>
      </c>
      <c r="X3884" cm="1">
        <f t="array" ref="X3884">IF($I3884&lt;&gt;"",$I3884,INDEX($I$1:$I3884,ROW()-COUNTIFS($T$1:$T3884,"="&amp;$T3884,$S$1:$S3884,"&lt;"&amp;$S3884)))</f>
        <v>0</v>
      </c>
      <c r="Z3884" s="6">
        <f t="shared" si="526"/>
        <v>1</v>
      </c>
      <c r="AA3884" t="e">
        <f t="shared" si="527"/>
        <v>#VALUE!</v>
      </c>
      <c r="AB3884" t="str">
        <f t="shared" si="528"/>
        <v/>
      </c>
      <c r="AC3884" t="e">
        <f t="shared" si="529"/>
        <v>#VALUE!</v>
      </c>
    </row>
    <row r="3885" spans="1:29" x14ac:dyDescent="0.2">
      <c r="A3885" t="str">
        <f t="shared" si="530"/>
        <v/>
      </c>
      <c r="E3885" s="4"/>
      <c r="F3885" s="46"/>
      <c r="G3885" s="4"/>
      <c r="H3885" s="48"/>
      <c r="J3885" s="26" t="str">
        <f t="shared" si="531"/>
        <v/>
      </c>
      <c r="N3885" t="str">
        <f t="shared" si="532"/>
        <v/>
      </c>
      <c r="Q3885" t="str">
        <f t="shared" si="533"/>
        <v/>
      </c>
      <c r="S3885" t="str">
        <f>IF(A3885=1,MAX($S$2:$S3884)+1,IF(OR($I3885&lt;&gt;"",A3885="x"),$S3884,""))</f>
        <v/>
      </c>
      <c r="T3885" t="str">
        <f>IF(D3885=1,MAX($T$2:$T3884)+1,IF(S3885=S3884,$T3884,IF(D3885="x",T3884,IF(D3884="x","",""))))</f>
        <v/>
      </c>
      <c r="U3885" t="str">
        <f>IF(B3885=1,MAX($U$2:$U3884)+1,IF(AND($T3885&lt;&gt;"",$T3885=$T3884),$U3884,IF(B3885="x",U3884,"")))</f>
        <v/>
      </c>
      <c r="V3885" t="str">
        <f>IF(C3885=1,MAX($V$2:$V3884)+1,IF(AND($T3885&lt;&gt;"",$T3885=$T3884),$U3884,IF(C3885="x",V3884,"")))</f>
        <v/>
      </c>
      <c r="X3885" cm="1">
        <f t="array" ref="X3885">IF($I3885&lt;&gt;"",$I3885,INDEX($I$1:$I3885,ROW()-COUNTIFS($T$1:$T3885,"="&amp;$T3885,$S$1:$S3885,"&lt;"&amp;$S3885)))</f>
        <v>0</v>
      </c>
      <c r="Z3885" s="6">
        <f t="shared" si="526"/>
        <v>1</v>
      </c>
      <c r="AA3885" t="e">
        <f t="shared" si="527"/>
        <v>#VALUE!</v>
      </c>
      <c r="AB3885" t="str">
        <f t="shared" si="528"/>
        <v/>
      </c>
      <c r="AC3885" t="e">
        <f t="shared" si="529"/>
        <v>#VALUE!</v>
      </c>
    </row>
    <row r="3886" spans="1:29" x14ac:dyDescent="0.2">
      <c r="A3886" t="str">
        <f t="shared" si="530"/>
        <v/>
      </c>
      <c r="E3886" s="4"/>
      <c r="F3886" s="46"/>
      <c r="G3886" s="4"/>
      <c r="H3886" s="48"/>
      <c r="J3886" s="26" t="str">
        <f t="shared" si="531"/>
        <v/>
      </c>
      <c r="N3886" t="str">
        <f t="shared" si="532"/>
        <v/>
      </c>
      <c r="Q3886" t="str">
        <f t="shared" si="533"/>
        <v/>
      </c>
      <c r="S3886" t="str">
        <f>IF(A3886=1,MAX($S$2:$S3885)+1,IF(OR($I3886&lt;&gt;"",A3886="x"),$S3885,""))</f>
        <v/>
      </c>
      <c r="T3886" t="str">
        <f>IF(D3886=1,MAX($T$2:$T3885)+1,IF(S3886=S3885,$T3885,IF(D3886="x",T3885,IF(D3885="x","",""))))</f>
        <v/>
      </c>
      <c r="U3886" t="str">
        <f>IF(B3886=1,MAX($U$2:$U3885)+1,IF(AND($T3886&lt;&gt;"",$T3886=$T3885),$U3885,IF(B3886="x",U3885,"")))</f>
        <v/>
      </c>
      <c r="V3886" t="str">
        <f>IF(C3886=1,MAX($V$2:$V3885)+1,IF(AND($T3886&lt;&gt;"",$T3886=$T3885),$U3885,IF(C3886="x",V3885,"")))</f>
        <v/>
      </c>
      <c r="X3886" cm="1">
        <f t="array" ref="X3886">IF($I3886&lt;&gt;"",$I3886,INDEX($I$1:$I3886,ROW()-COUNTIFS($T$1:$T3886,"="&amp;$T3886,$S$1:$S3886,"&lt;"&amp;$S3886)))</f>
        <v>0</v>
      </c>
      <c r="Z3886" s="6">
        <f t="shared" si="526"/>
        <v>1</v>
      </c>
      <c r="AA3886" t="e">
        <f t="shared" si="527"/>
        <v>#VALUE!</v>
      </c>
      <c r="AB3886" t="str">
        <f t="shared" si="528"/>
        <v/>
      </c>
      <c r="AC3886" t="e">
        <f t="shared" si="529"/>
        <v>#VALUE!</v>
      </c>
    </row>
    <row r="3887" spans="1:29" x14ac:dyDescent="0.2">
      <c r="A3887" t="str">
        <f t="shared" si="530"/>
        <v/>
      </c>
      <c r="E3887" s="4"/>
      <c r="F3887" s="46"/>
      <c r="G3887" s="4"/>
      <c r="H3887" s="48"/>
      <c r="J3887" s="26" t="str">
        <f t="shared" si="531"/>
        <v/>
      </c>
      <c r="N3887" t="str">
        <f t="shared" si="532"/>
        <v/>
      </c>
      <c r="Q3887" t="str">
        <f t="shared" si="533"/>
        <v/>
      </c>
      <c r="S3887" t="str">
        <f>IF(A3887=1,MAX($S$2:$S3886)+1,IF(OR($I3887&lt;&gt;"",A3887="x"),$S3886,""))</f>
        <v/>
      </c>
      <c r="T3887" t="str">
        <f>IF(D3887=1,MAX($T$2:$T3886)+1,IF(S3887=S3886,$T3886,IF(D3887="x",T3886,IF(D3886="x","",""))))</f>
        <v/>
      </c>
      <c r="U3887" t="str">
        <f>IF(B3887=1,MAX($U$2:$U3886)+1,IF(AND($T3887&lt;&gt;"",$T3887=$T3886),$U3886,IF(B3887="x",U3886,"")))</f>
        <v/>
      </c>
      <c r="V3887" t="str">
        <f>IF(C3887=1,MAX($V$2:$V3886)+1,IF(AND($T3887&lt;&gt;"",$T3887=$T3886),$U3886,IF(C3887="x",V3886,"")))</f>
        <v/>
      </c>
      <c r="X3887" cm="1">
        <f t="array" ref="X3887">IF($I3887&lt;&gt;"",$I3887,INDEX($I$1:$I3887,ROW()-COUNTIFS($T$1:$T3887,"="&amp;$T3887,$S$1:$S3887,"&lt;"&amp;$S3887)))</f>
        <v>0</v>
      </c>
      <c r="Z3887" s="6">
        <f t="shared" si="526"/>
        <v>1</v>
      </c>
      <c r="AA3887" t="e">
        <f t="shared" si="527"/>
        <v>#VALUE!</v>
      </c>
      <c r="AB3887" t="str">
        <f t="shared" si="528"/>
        <v/>
      </c>
      <c r="AC3887" t="e">
        <f t="shared" si="529"/>
        <v>#VALUE!</v>
      </c>
    </row>
    <row r="3888" spans="1:29" x14ac:dyDescent="0.2">
      <c r="A3888" t="str">
        <f t="shared" si="530"/>
        <v/>
      </c>
      <c r="E3888" s="4"/>
      <c r="F3888" s="46"/>
      <c r="G3888" s="4"/>
      <c r="H3888" s="48"/>
      <c r="J3888" s="26" t="str">
        <f t="shared" si="531"/>
        <v/>
      </c>
      <c r="N3888" t="str">
        <f t="shared" si="532"/>
        <v/>
      </c>
      <c r="Q3888" t="str">
        <f t="shared" si="533"/>
        <v/>
      </c>
      <c r="S3888" t="str">
        <f>IF(A3888=1,MAX($S$2:$S3887)+1,IF(OR($I3888&lt;&gt;"",A3888="x"),$S3887,""))</f>
        <v/>
      </c>
      <c r="T3888" t="str">
        <f>IF(D3888=1,MAX($T$2:$T3887)+1,IF(S3888=S3887,$T3887,IF(D3888="x",T3887,IF(D3887="x","",""))))</f>
        <v/>
      </c>
      <c r="U3888" t="str">
        <f>IF(B3888=1,MAX($U$2:$U3887)+1,IF(AND($T3888&lt;&gt;"",$T3888=$T3887),$U3887,IF(B3888="x",U3887,"")))</f>
        <v/>
      </c>
      <c r="V3888" t="str">
        <f>IF(C3888=1,MAX($V$2:$V3887)+1,IF(AND($T3888&lt;&gt;"",$T3888=$T3887),$U3887,IF(C3888="x",V3887,"")))</f>
        <v/>
      </c>
      <c r="X3888" cm="1">
        <f t="array" ref="X3888">IF($I3888&lt;&gt;"",$I3888,INDEX($I$1:$I3888,ROW()-COUNTIFS($T$1:$T3888,"="&amp;$T3888,$S$1:$S3888,"&lt;"&amp;$S3888)))</f>
        <v>0</v>
      </c>
      <c r="Z3888" s="6">
        <f t="shared" si="526"/>
        <v>1</v>
      </c>
      <c r="AA3888" t="e">
        <f t="shared" si="527"/>
        <v>#VALUE!</v>
      </c>
      <c r="AB3888" t="str">
        <f t="shared" si="528"/>
        <v/>
      </c>
      <c r="AC3888" t="e">
        <f t="shared" si="529"/>
        <v>#VALUE!</v>
      </c>
    </row>
    <row r="3889" spans="1:29" x14ac:dyDescent="0.2">
      <c r="A3889" t="str">
        <f t="shared" si="530"/>
        <v/>
      </c>
      <c r="E3889" s="4"/>
      <c r="F3889" s="46"/>
      <c r="G3889" s="4"/>
      <c r="H3889" s="48"/>
      <c r="J3889" s="26" t="str">
        <f t="shared" si="531"/>
        <v/>
      </c>
      <c r="N3889" t="str">
        <f t="shared" si="532"/>
        <v/>
      </c>
      <c r="Q3889" t="str">
        <f t="shared" si="533"/>
        <v/>
      </c>
      <c r="S3889" t="str">
        <f>IF(A3889=1,MAX($S$2:$S3888)+1,IF(OR($I3889&lt;&gt;"",A3889="x"),$S3888,""))</f>
        <v/>
      </c>
      <c r="T3889" t="str">
        <f>IF(D3889=1,MAX($T$2:$T3888)+1,IF(S3889=S3888,$T3888,IF(D3889="x",T3888,IF(D3888="x","",""))))</f>
        <v/>
      </c>
      <c r="U3889" t="str">
        <f>IF(B3889=1,MAX($U$2:$U3888)+1,IF(AND($T3889&lt;&gt;"",$T3889=$T3888),$U3888,IF(B3889="x",U3888,"")))</f>
        <v/>
      </c>
      <c r="V3889" t="str">
        <f>IF(C3889=1,MAX($V$2:$V3888)+1,IF(AND($T3889&lt;&gt;"",$T3889=$T3888),$U3888,IF(C3889="x",V3888,"")))</f>
        <v/>
      </c>
      <c r="X3889" cm="1">
        <f t="array" ref="X3889">IF($I3889&lt;&gt;"",$I3889,INDEX($I$1:$I3889,ROW()-COUNTIFS($T$1:$T3889,"="&amp;$T3889,$S$1:$S3889,"&lt;"&amp;$S3889)))</f>
        <v>0</v>
      </c>
      <c r="Z3889" s="6">
        <f t="shared" si="526"/>
        <v>1</v>
      </c>
      <c r="AA3889" t="e">
        <f t="shared" si="527"/>
        <v>#VALUE!</v>
      </c>
      <c r="AB3889" t="str">
        <f t="shared" si="528"/>
        <v/>
      </c>
      <c r="AC3889" t="e">
        <f t="shared" si="529"/>
        <v>#VALUE!</v>
      </c>
    </row>
    <row r="3890" spans="1:29" x14ac:dyDescent="0.2">
      <c r="A3890" t="str">
        <f t="shared" si="530"/>
        <v/>
      </c>
      <c r="E3890" s="4"/>
      <c r="F3890" s="46"/>
      <c r="G3890" s="4"/>
      <c r="H3890" s="48"/>
      <c r="J3890" s="26" t="str">
        <f t="shared" si="531"/>
        <v/>
      </c>
      <c r="N3890" t="str">
        <f t="shared" si="532"/>
        <v/>
      </c>
      <c r="Q3890" t="str">
        <f t="shared" si="533"/>
        <v/>
      </c>
      <c r="S3890" t="str">
        <f>IF(A3890=1,MAX($S$2:$S3889)+1,IF(OR($I3890&lt;&gt;"",A3890="x"),$S3889,""))</f>
        <v/>
      </c>
      <c r="T3890" t="str">
        <f>IF(D3890=1,MAX($T$2:$T3889)+1,IF(S3890=S3889,$T3889,IF(D3890="x",T3889,IF(D3889="x","",""))))</f>
        <v/>
      </c>
      <c r="U3890" t="str">
        <f>IF(B3890=1,MAX($U$2:$U3889)+1,IF(AND($T3890&lt;&gt;"",$T3890=$T3889),$U3889,IF(B3890="x",U3889,"")))</f>
        <v/>
      </c>
      <c r="V3890" t="str">
        <f>IF(C3890=1,MAX($V$2:$V3889)+1,IF(AND($T3890&lt;&gt;"",$T3890=$T3889),$U3889,IF(C3890="x",V3889,"")))</f>
        <v/>
      </c>
      <c r="X3890" cm="1">
        <f t="array" ref="X3890">IF($I3890&lt;&gt;"",$I3890,INDEX($I$1:$I3890,ROW()-COUNTIFS($T$1:$T3890,"="&amp;$T3890,$S$1:$S3890,"&lt;"&amp;$S3890)))</f>
        <v>0</v>
      </c>
      <c r="Z3890" s="6">
        <f t="shared" si="526"/>
        <v>1</v>
      </c>
      <c r="AA3890" t="e">
        <f t="shared" si="527"/>
        <v>#VALUE!</v>
      </c>
      <c r="AB3890" t="str">
        <f t="shared" si="528"/>
        <v/>
      </c>
      <c r="AC3890" t="e">
        <f t="shared" si="529"/>
        <v>#VALUE!</v>
      </c>
    </row>
    <row r="3891" spans="1:29" x14ac:dyDescent="0.2">
      <c r="A3891" t="str">
        <f t="shared" si="530"/>
        <v/>
      </c>
      <c r="E3891" s="4"/>
      <c r="F3891" s="46"/>
      <c r="G3891" s="4"/>
      <c r="H3891" s="48"/>
      <c r="J3891" s="26" t="str">
        <f t="shared" si="531"/>
        <v/>
      </c>
      <c r="N3891" t="str">
        <f t="shared" si="532"/>
        <v/>
      </c>
      <c r="Q3891" t="str">
        <f t="shared" si="533"/>
        <v/>
      </c>
      <c r="S3891" t="str">
        <f>IF(A3891=1,MAX($S$2:$S3890)+1,IF(OR($I3891&lt;&gt;"",A3891="x"),$S3890,""))</f>
        <v/>
      </c>
      <c r="T3891" t="str">
        <f>IF(D3891=1,MAX($T$2:$T3890)+1,IF(S3891=S3890,$T3890,IF(D3891="x",T3890,IF(D3890="x","",""))))</f>
        <v/>
      </c>
      <c r="U3891" t="str">
        <f>IF(B3891=1,MAX($U$2:$U3890)+1,IF(AND($T3891&lt;&gt;"",$T3891=$T3890),$U3890,IF(B3891="x",U3890,"")))</f>
        <v/>
      </c>
      <c r="V3891" t="str">
        <f>IF(C3891=1,MAX($V$2:$V3890)+1,IF(AND($T3891&lt;&gt;"",$T3891=$T3890),$U3890,IF(C3891="x",V3890,"")))</f>
        <v/>
      </c>
      <c r="X3891" cm="1">
        <f t="array" ref="X3891">IF($I3891&lt;&gt;"",$I3891,INDEX($I$1:$I3891,ROW()-COUNTIFS($T$1:$T3891,"="&amp;$T3891,$S$1:$S3891,"&lt;"&amp;$S3891)))</f>
        <v>0</v>
      </c>
      <c r="Z3891" s="6">
        <f t="shared" si="526"/>
        <v>1</v>
      </c>
      <c r="AA3891" t="e">
        <f t="shared" si="527"/>
        <v>#VALUE!</v>
      </c>
      <c r="AB3891" t="str">
        <f t="shared" si="528"/>
        <v/>
      </c>
      <c r="AC3891" t="e">
        <f t="shared" si="529"/>
        <v>#VALUE!</v>
      </c>
    </row>
    <row r="3892" spans="1:29" x14ac:dyDescent="0.2">
      <c r="A3892" t="str">
        <f t="shared" si="530"/>
        <v/>
      </c>
      <c r="E3892" s="4"/>
      <c r="F3892" s="46"/>
      <c r="G3892" s="4"/>
      <c r="H3892" s="48"/>
      <c r="J3892" s="26" t="str">
        <f t="shared" si="531"/>
        <v/>
      </c>
      <c r="N3892" t="str">
        <f t="shared" si="532"/>
        <v/>
      </c>
      <c r="Q3892" t="str">
        <f t="shared" si="533"/>
        <v/>
      </c>
      <c r="S3892" t="str">
        <f>IF(A3892=1,MAX($S$2:$S3891)+1,IF(OR($I3892&lt;&gt;"",A3892="x"),$S3891,""))</f>
        <v/>
      </c>
      <c r="T3892" t="str">
        <f>IF(D3892=1,MAX($T$2:$T3891)+1,IF(S3892=S3891,$T3891,IF(D3892="x",T3891,IF(D3891="x","",""))))</f>
        <v/>
      </c>
      <c r="U3892" t="str">
        <f>IF(B3892=1,MAX($U$2:$U3891)+1,IF(AND($T3892&lt;&gt;"",$T3892=$T3891),$U3891,IF(B3892="x",U3891,"")))</f>
        <v/>
      </c>
      <c r="V3892" t="str">
        <f>IF(C3892=1,MAX($V$2:$V3891)+1,IF(AND($T3892&lt;&gt;"",$T3892=$T3891),$U3891,IF(C3892="x",V3891,"")))</f>
        <v/>
      </c>
      <c r="X3892" cm="1">
        <f t="array" ref="X3892">IF($I3892&lt;&gt;"",$I3892,INDEX($I$1:$I3892,ROW()-COUNTIFS($T$1:$T3892,"="&amp;$T3892,$S$1:$S3892,"&lt;"&amp;$S3892)))</f>
        <v>0</v>
      </c>
      <c r="Z3892" s="6">
        <f t="shared" si="526"/>
        <v>1</v>
      </c>
      <c r="AA3892" t="e">
        <f t="shared" si="527"/>
        <v>#VALUE!</v>
      </c>
      <c r="AB3892" t="str">
        <f t="shared" si="528"/>
        <v/>
      </c>
      <c r="AC3892" t="e">
        <f t="shared" si="529"/>
        <v>#VALUE!</v>
      </c>
    </row>
    <row r="3893" spans="1:29" x14ac:dyDescent="0.2">
      <c r="A3893" t="str">
        <f t="shared" si="530"/>
        <v/>
      </c>
      <c r="E3893" s="4"/>
      <c r="F3893" s="46"/>
      <c r="G3893" s="4"/>
      <c r="H3893" s="48"/>
      <c r="J3893" s="26" t="str">
        <f t="shared" si="531"/>
        <v/>
      </c>
      <c r="N3893" t="str">
        <f t="shared" si="532"/>
        <v/>
      </c>
      <c r="Q3893" t="str">
        <f t="shared" si="533"/>
        <v/>
      </c>
      <c r="S3893" t="str">
        <f>IF(A3893=1,MAX($S$2:$S3892)+1,IF(OR($I3893&lt;&gt;"",A3893="x"),$S3892,""))</f>
        <v/>
      </c>
      <c r="T3893" t="str">
        <f>IF(D3893=1,MAX($T$2:$T3892)+1,IF(S3893=S3892,$T3892,IF(D3893="x",T3892,IF(D3892="x","",""))))</f>
        <v/>
      </c>
      <c r="U3893" t="str">
        <f>IF(B3893=1,MAX($U$2:$U3892)+1,IF(AND($T3893&lt;&gt;"",$T3893=$T3892),$U3892,IF(B3893="x",U3892,"")))</f>
        <v/>
      </c>
      <c r="V3893" t="str">
        <f>IF(C3893=1,MAX($V$2:$V3892)+1,IF(AND($T3893&lt;&gt;"",$T3893=$T3892),$U3892,IF(C3893="x",V3892,"")))</f>
        <v/>
      </c>
      <c r="X3893" cm="1">
        <f t="array" ref="X3893">IF($I3893&lt;&gt;"",$I3893,INDEX($I$1:$I3893,ROW()-COUNTIFS($T$1:$T3893,"="&amp;$T3893,$S$1:$S3893,"&lt;"&amp;$S3893)))</f>
        <v>0</v>
      </c>
      <c r="Z3893" s="6">
        <f t="shared" si="526"/>
        <v>1</v>
      </c>
      <c r="AA3893" t="e">
        <f t="shared" si="527"/>
        <v>#VALUE!</v>
      </c>
      <c r="AB3893" t="str">
        <f t="shared" si="528"/>
        <v/>
      </c>
      <c r="AC3893" t="e">
        <f t="shared" si="529"/>
        <v>#VALUE!</v>
      </c>
    </row>
    <row r="3894" spans="1:29" x14ac:dyDescent="0.2">
      <c r="A3894" t="str">
        <f t="shared" si="530"/>
        <v/>
      </c>
      <c r="E3894" s="4"/>
      <c r="F3894" s="46"/>
      <c r="G3894" s="4"/>
      <c r="H3894" s="48"/>
      <c r="J3894" s="26" t="str">
        <f t="shared" si="531"/>
        <v/>
      </c>
      <c r="N3894" t="str">
        <f t="shared" si="532"/>
        <v/>
      </c>
      <c r="Q3894" t="str">
        <f t="shared" si="533"/>
        <v/>
      </c>
      <c r="S3894" t="str">
        <f>IF(A3894=1,MAX($S$2:$S3893)+1,IF(OR($I3894&lt;&gt;"",A3894="x"),$S3893,""))</f>
        <v/>
      </c>
      <c r="T3894" t="str">
        <f>IF(D3894=1,MAX($T$2:$T3893)+1,IF(S3894=S3893,$T3893,IF(D3894="x",T3893,IF(D3893="x","",""))))</f>
        <v/>
      </c>
      <c r="U3894" t="str">
        <f>IF(B3894=1,MAX($U$2:$U3893)+1,IF(AND($T3894&lt;&gt;"",$T3894=$T3893),$U3893,IF(B3894="x",U3893,"")))</f>
        <v/>
      </c>
      <c r="V3894" t="str">
        <f>IF(C3894=1,MAX($V$2:$V3893)+1,IF(AND($T3894&lt;&gt;"",$T3894=$T3893),$U3893,IF(C3894="x",V3893,"")))</f>
        <v/>
      </c>
      <c r="X3894" cm="1">
        <f t="array" ref="X3894">IF($I3894&lt;&gt;"",$I3894,INDEX($I$1:$I3894,ROW()-COUNTIFS($T$1:$T3894,"="&amp;$T3894,$S$1:$S3894,"&lt;"&amp;$S3894)))</f>
        <v>0</v>
      </c>
      <c r="Z3894" s="6">
        <f t="shared" si="526"/>
        <v>1</v>
      </c>
      <c r="AA3894" t="e">
        <f t="shared" si="527"/>
        <v>#VALUE!</v>
      </c>
      <c r="AB3894" t="str">
        <f t="shared" si="528"/>
        <v/>
      </c>
      <c r="AC3894" t="e">
        <f t="shared" si="529"/>
        <v>#VALUE!</v>
      </c>
    </row>
    <row r="3895" spans="1:29" x14ac:dyDescent="0.2">
      <c r="A3895" t="str">
        <f t="shared" si="530"/>
        <v/>
      </c>
      <c r="E3895" s="4"/>
      <c r="F3895" s="46"/>
      <c r="G3895" s="4"/>
      <c r="H3895" s="48"/>
      <c r="J3895" s="26" t="str">
        <f t="shared" si="531"/>
        <v/>
      </c>
      <c r="N3895" t="str">
        <f t="shared" si="532"/>
        <v/>
      </c>
      <c r="Q3895" t="str">
        <f t="shared" si="533"/>
        <v/>
      </c>
      <c r="S3895" t="str">
        <f>IF(A3895=1,MAX($S$2:$S3894)+1,IF(OR($I3895&lt;&gt;"",A3895="x"),$S3894,""))</f>
        <v/>
      </c>
      <c r="T3895" t="str">
        <f>IF(D3895=1,MAX($T$2:$T3894)+1,IF(S3895=S3894,$T3894,IF(D3895="x",T3894,IF(D3894="x","",""))))</f>
        <v/>
      </c>
      <c r="U3895" t="str">
        <f>IF(B3895=1,MAX($U$2:$U3894)+1,IF(AND($T3895&lt;&gt;"",$T3895=$T3894),$U3894,IF(B3895="x",U3894,"")))</f>
        <v/>
      </c>
      <c r="V3895" t="str">
        <f>IF(C3895=1,MAX($V$2:$V3894)+1,IF(AND($T3895&lt;&gt;"",$T3895=$T3894),$U3894,IF(C3895="x",V3894,"")))</f>
        <v/>
      </c>
      <c r="X3895" cm="1">
        <f t="array" ref="X3895">IF($I3895&lt;&gt;"",$I3895,INDEX($I$1:$I3895,ROW()-COUNTIFS($T$1:$T3895,"="&amp;$T3895,$S$1:$S3895,"&lt;"&amp;$S3895)))</f>
        <v>0</v>
      </c>
      <c r="Z3895" s="6">
        <f t="shared" si="526"/>
        <v>1</v>
      </c>
      <c r="AA3895" t="e">
        <f t="shared" si="527"/>
        <v>#VALUE!</v>
      </c>
      <c r="AB3895" t="str">
        <f t="shared" si="528"/>
        <v/>
      </c>
      <c r="AC3895" t="e">
        <f t="shared" si="529"/>
        <v>#VALUE!</v>
      </c>
    </row>
    <row r="3896" spans="1:29" x14ac:dyDescent="0.2">
      <c r="A3896" t="str">
        <f t="shared" si="530"/>
        <v/>
      </c>
      <c r="E3896" s="4"/>
      <c r="F3896" s="46"/>
      <c r="G3896" s="4"/>
      <c r="H3896" s="48"/>
      <c r="J3896" s="26" t="str">
        <f t="shared" si="531"/>
        <v/>
      </c>
      <c r="N3896" t="str">
        <f t="shared" si="532"/>
        <v/>
      </c>
      <c r="Q3896" t="str">
        <f t="shared" si="533"/>
        <v/>
      </c>
      <c r="S3896" t="str">
        <f>IF(A3896=1,MAX($S$2:$S3895)+1,IF(OR($I3896&lt;&gt;"",A3896="x"),$S3895,""))</f>
        <v/>
      </c>
      <c r="T3896" t="str">
        <f>IF(D3896=1,MAX($T$2:$T3895)+1,IF(S3896=S3895,$T3895,IF(D3896="x",T3895,IF(D3895="x","",""))))</f>
        <v/>
      </c>
      <c r="U3896" t="str">
        <f>IF(B3896=1,MAX($U$2:$U3895)+1,IF(AND($T3896&lt;&gt;"",$T3896=$T3895),$U3895,IF(B3896="x",U3895,"")))</f>
        <v/>
      </c>
      <c r="V3896" t="str">
        <f>IF(C3896=1,MAX($V$2:$V3895)+1,IF(AND($T3896&lt;&gt;"",$T3896=$T3895),$U3895,IF(C3896="x",V3895,"")))</f>
        <v/>
      </c>
      <c r="X3896" cm="1">
        <f t="array" ref="X3896">IF($I3896&lt;&gt;"",$I3896,INDEX($I$1:$I3896,ROW()-COUNTIFS($T$1:$T3896,"="&amp;$T3896,$S$1:$S3896,"&lt;"&amp;$S3896)))</f>
        <v>0</v>
      </c>
      <c r="Z3896" s="6">
        <f t="shared" si="526"/>
        <v>1</v>
      </c>
      <c r="AA3896" t="e">
        <f t="shared" si="527"/>
        <v>#VALUE!</v>
      </c>
      <c r="AB3896" t="str">
        <f t="shared" si="528"/>
        <v/>
      </c>
      <c r="AC3896" t="e">
        <f t="shared" si="529"/>
        <v>#VALUE!</v>
      </c>
    </row>
    <row r="3897" spans="1:29" x14ac:dyDescent="0.2">
      <c r="A3897" t="str">
        <f t="shared" si="530"/>
        <v/>
      </c>
      <c r="E3897" s="4"/>
      <c r="F3897" s="46"/>
      <c r="G3897" s="4"/>
      <c r="H3897" s="48"/>
      <c r="J3897" s="26" t="str">
        <f t="shared" si="531"/>
        <v/>
      </c>
      <c r="N3897" t="str">
        <f t="shared" si="532"/>
        <v/>
      </c>
      <c r="Q3897" t="str">
        <f t="shared" si="533"/>
        <v/>
      </c>
      <c r="S3897" t="str">
        <f>IF(A3897=1,MAX($S$2:$S3896)+1,IF(OR($I3897&lt;&gt;"",A3897="x"),$S3896,""))</f>
        <v/>
      </c>
      <c r="T3897" t="str">
        <f>IF(D3897=1,MAX($T$2:$T3896)+1,IF(S3897=S3896,$T3896,IF(D3897="x",T3896,IF(D3896="x","",""))))</f>
        <v/>
      </c>
      <c r="U3897" t="str">
        <f>IF(B3897=1,MAX($U$2:$U3896)+1,IF(AND($T3897&lt;&gt;"",$T3897=$T3896),$U3896,IF(B3897="x",U3896,"")))</f>
        <v/>
      </c>
      <c r="V3897" t="str">
        <f>IF(C3897=1,MAX($V$2:$V3896)+1,IF(AND($T3897&lt;&gt;"",$T3897=$T3896),$U3896,IF(C3897="x",V3896,"")))</f>
        <v/>
      </c>
      <c r="X3897" cm="1">
        <f t="array" ref="X3897">IF($I3897&lt;&gt;"",$I3897,INDEX($I$1:$I3897,ROW()-COUNTIFS($T$1:$T3897,"="&amp;$T3897,$S$1:$S3897,"&lt;"&amp;$S3897)))</f>
        <v>0</v>
      </c>
      <c r="Z3897" s="6">
        <f t="shared" si="526"/>
        <v>1</v>
      </c>
      <c r="AA3897" t="e">
        <f t="shared" si="527"/>
        <v>#VALUE!</v>
      </c>
      <c r="AB3897" t="str">
        <f t="shared" si="528"/>
        <v/>
      </c>
      <c r="AC3897" t="e">
        <f t="shared" si="529"/>
        <v>#VALUE!</v>
      </c>
    </row>
    <row r="3898" spans="1:29" x14ac:dyDescent="0.2">
      <c r="A3898" t="str">
        <f t="shared" si="530"/>
        <v/>
      </c>
      <c r="E3898" s="4"/>
      <c r="F3898" s="46"/>
      <c r="G3898" s="4"/>
      <c r="H3898" s="48"/>
      <c r="J3898" s="26" t="str">
        <f t="shared" si="531"/>
        <v/>
      </c>
      <c r="N3898" t="str">
        <f t="shared" si="532"/>
        <v/>
      </c>
      <c r="Q3898" t="str">
        <f t="shared" si="533"/>
        <v/>
      </c>
      <c r="S3898" t="str">
        <f>IF(A3898=1,MAX($S$2:$S3897)+1,IF(OR($I3898&lt;&gt;"",A3898="x"),$S3897,""))</f>
        <v/>
      </c>
      <c r="T3898" t="str">
        <f>IF(D3898=1,MAX($T$2:$T3897)+1,IF(S3898=S3897,$T3897,IF(D3898="x",T3897,IF(D3897="x","",""))))</f>
        <v/>
      </c>
      <c r="U3898" t="str">
        <f>IF(B3898=1,MAX($U$2:$U3897)+1,IF(AND($T3898&lt;&gt;"",$T3898=$T3897),$U3897,IF(B3898="x",U3897,"")))</f>
        <v/>
      </c>
      <c r="V3898" t="str">
        <f>IF(C3898=1,MAX($V$2:$V3897)+1,IF(AND($T3898&lt;&gt;"",$T3898=$T3897),$U3897,IF(C3898="x",V3897,"")))</f>
        <v/>
      </c>
      <c r="X3898" cm="1">
        <f t="array" ref="X3898">IF($I3898&lt;&gt;"",$I3898,INDEX($I$1:$I3898,ROW()-COUNTIFS($T$1:$T3898,"="&amp;$T3898,$S$1:$S3898,"&lt;"&amp;$S3898)))</f>
        <v>0</v>
      </c>
      <c r="Z3898" s="6">
        <f t="shared" si="526"/>
        <v>1</v>
      </c>
      <c r="AA3898" t="e">
        <f t="shared" si="527"/>
        <v>#VALUE!</v>
      </c>
      <c r="AB3898" t="str">
        <f t="shared" si="528"/>
        <v/>
      </c>
      <c r="AC3898" t="e">
        <f t="shared" si="529"/>
        <v>#VALUE!</v>
      </c>
    </row>
    <row r="3899" spans="1:29" x14ac:dyDescent="0.2">
      <c r="A3899" t="str">
        <f t="shared" si="530"/>
        <v/>
      </c>
      <c r="E3899" s="4"/>
      <c r="F3899" s="46"/>
      <c r="G3899" s="4"/>
      <c r="H3899" s="48"/>
      <c r="J3899" s="26" t="str">
        <f t="shared" si="531"/>
        <v/>
      </c>
      <c r="N3899" t="str">
        <f t="shared" si="532"/>
        <v/>
      </c>
      <c r="Q3899" t="str">
        <f t="shared" si="533"/>
        <v/>
      </c>
      <c r="S3899" t="str">
        <f>IF(A3899=1,MAX($S$2:$S3898)+1,IF(OR($I3899&lt;&gt;"",A3899="x"),$S3898,""))</f>
        <v/>
      </c>
      <c r="T3899" t="str">
        <f>IF(D3899=1,MAX($T$2:$T3898)+1,IF(S3899=S3898,$T3898,IF(D3899="x",T3898,IF(D3898="x","",""))))</f>
        <v/>
      </c>
      <c r="U3899" t="str">
        <f>IF(B3899=1,MAX($U$2:$U3898)+1,IF(AND($T3899&lt;&gt;"",$T3899=$T3898),$U3898,IF(B3899="x",U3898,"")))</f>
        <v/>
      </c>
      <c r="V3899" t="str">
        <f>IF(C3899=1,MAX($V$2:$V3898)+1,IF(AND($T3899&lt;&gt;"",$T3899=$T3898),$U3898,IF(C3899="x",V3898,"")))</f>
        <v/>
      </c>
      <c r="X3899" cm="1">
        <f t="array" ref="X3899">IF($I3899&lt;&gt;"",$I3899,INDEX($I$1:$I3899,ROW()-COUNTIFS($T$1:$T3899,"="&amp;$T3899,$S$1:$S3899,"&lt;"&amp;$S3899)))</f>
        <v>0</v>
      </c>
      <c r="Z3899" s="6">
        <f t="shared" si="526"/>
        <v>1</v>
      </c>
      <c r="AA3899" t="e">
        <f t="shared" si="527"/>
        <v>#VALUE!</v>
      </c>
      <c r="AB3899" t="str">
        <f t="shared" si="528"/>
        <v/>
      </c>
      <c r="AC3899" t="e">
        <f t="shared" si="529"/>
        <v>#VALUE!</v>
      </c>
    </row>
    <row r="3900" spans="1:29" x14ac:dyDescent="0.2">
      <c r="A3900" t="str">
        <f t="shared" si="530"/>
        <v/>
      </c>
      <c r="E3900" s="4"/>
      <c r="F3900" s="46"/>
      <c r="G3900" s="4"/>
      <c r="H3900" s="48"/>
      <c r="J3900" s="26" t="str">
        <f t="shared" si="531"/>
        <v/>
      </c>
      <c r="N3900" t="str">
        <f t="shared" si="532"/>
        <v/>
      </c>
      <c r="Q3900" t="str">
        <f t="shared" si="533"/>
        <v/>
      </c>
      <c r="S3900" t="str">
        <f>IF(A3900=1,MAX($S$2:$S3899)+1,IF(OR($I3900&lt;&gt;"",A3900="x"),$S3899,""))</f>
        <v/>
      </c>
      <c r="T3900" t="str">
        <f>IF(D3900=1,MAX($T$2:$T3899)+1,IF(S3900=S3899,$T3899,IF(D3900="x",T3899,IF(D3899="x","",""))))</f>
        <v/>
      </c>
      <c r="U3900" t="str">
        <f>IF(B3900=1,MAX($U$2:$U3899)+1,IF(AND($T3900&lt;&gt;"",$T3900=$T3899),$U3899,IF(B3900="x",U3899,"")))</f>
        <v/>
      </c>
      <c r="V3900" t="str">
        <f>IF(C3900=1,MAX($V$2:$V3899)+1,IF(AND($T3900&lt;&gt;"",$T3900=$T3899),$U3899,IF(C3900="x",V3899,"")))</f>
        <v/>
      </c>
      <c r="X3900" cm="1">
        <f t="array" ref="X3900">IF($I3900&lt;&gt;"",$I3900,INDEX($I$1:$I3900,ROW()-COUNTIFS($T$1:$T3900,"="&amp;$T3900,$S$1:$S3900,"&lt;"&amp;$S3900)))</f>
        <v>0</v>
      </c>
      <c r="Z3900" s="6">
        <f t="shared" si="526"/>
        <v>1</v>
      </c>
      <c r="AA3900" t="e">
        <f t="shared" si="527"/>
        <v>#VALUE!</v>
      </c>
      <c r="AB3900" t="str">
        <f t="shared" si="528"/>
        <v/>
      </c>
      <c r="AC3900" t="e">
        <f t="shared" si="529"/>
        <v>#VALUE!</v>
      </c>
    </row>
    <row r="3901" spans="1:29" x14ac:dyDescent="0.2">
      <c r="A3901" t="str">
        <f t="shared" si="530"/>
        <v/>
      </c>
      <c r="E3901" s="4"/>
      <c r="F3901" s="46"/>
      <c r="G3901" s="4"/>
      <c r="H3901" s="48"/>
      <c r="J3901" s="26" t="str">
        <f t="shared" si="531"/>
        <v/>
      </c>
      <c r="N3901" t="str">
        <f t="shared" si="532"/>
        <v/>
      </c>
      <c r="Q3901" t="str">
        <f t="shared" si="533"/>
        <v/>
      </c>
      <c r="S3901" t="str">
        <f>IF(A3901=1,MAX($S$2:$S3900)+1,IF(OR($I3901&lt;&gt;"",A3901="x"),$S3900,""))</f>
        <v/>
      </c>
      <c r="T3901" t="str">
        <f>IF(D3901=1,MAX($T$2:$T3900)+1,IF(S3901=S3900,$T3900,IF(D3901="x",T3900,IF(D3900="x","",""))))</f>
        <v/>
      </c>
      <c r="U3901" t="str">
        <f>IF(B3901=1,MAX($U$2:$U3900)+1,IF(AND($T3901&lt;&gt;"",$T3901=$T3900),$U3900,IF(B3901="x",U3900,"")))</f>
        <v/>
      </c>
      <c r="V3901" t="str">
        <f>IF(C3901=1,MAX($V$2:$V3900)+1,IF(AND($T3901&lt;&gt;"",$T3901=$T3900),$U3900,IF(C3901="x",V3900,"")))</f>
        <v/>
      </c>
      <c r="X3901" cm="1">
        <f t="array" ref="X3901">IF($I3901&lt;&gt;"",$I3901,INDEX($I$1:$I3901,ROW()-COUNTIFS($T$1:$T3901,"="&amp;$T3901,$S$1:$S3901,"&lt;"&amp;$S3901)))</f>
        <v>0</v>
      </c>
      <c r="Z3901" s="6">
        <f t="shared" si="526"/>
        <v>1</v>
      </c>
      <c r="AA3901" t="e">
        <f t="shared" si="527"/>
        <v>#VALUE!</v>
      </c>
      <c r="AB3901" t="str">
        <f t="shared" si="528"/>
        <v/>
      </c>
      <c r="AC3901" t="e">
        <f t="shared" si="529"/>
        <v>#VALUE!</v>
      </c>
    </row>
    <row r="3902" spans="1:29" x14ac:dyDescent="0.2">
      <c r="A3902" t="str">
        <f t="shared" si="530"/>
        <v/>
      </c>
      <c r="E3902" s="4"/>
      <c r="F3902" s="46"/>
      <c r="G3902" s="4"/>
      <c r="H3902" s="48"/>
      <c r="J3902" s="26" t="str">
        <f t="shared" si="531"/>
        <v/>
      </c>
      <c r="N3902" t="str">
        <f t="shared" si="532"/>
        <v/>
      </c>
      <c r="Q3902" t="str">
        <f t="shared" si="533"/>
        <v/>
      </c>
      <c r="S3902" t="str">
        <f>IF(A3902=1,MAX($S$2:$S3901)+1,IF(OR($I3902&lt;&gt;"",A3902="x"),$S3901,""))</f>
        <v/>
      </c>
      <c r="T3902" t="str">
        <f>IF(D3902=1,MAX($T$2:$T3901)+1,IF(S3902=S3901,$T3901,IF(D3902="x",T3901,IF(D3901="x","",""))))</f>
        <v/>
      </c>
      <c r="U3902" t="str">
        <f>IF(B3902=1,MAX($U$2:$U3901)+1,IF(AND($T3902&lt;&gt;"",$T3902=$T3901),$U3901,IF(B3902="x",U3901,"")))</f>
        <v/>
      </c>
      <c r="V3902" t="str">
        <f>IF(C3902=1,MAX($V$2:$V3901)+1,IF(AND($T3902&lt;&gt;"",$T3902=$T3901),$U3901,IF(C3902="x",V3901,"")))</f>
        <v/>
      </c>
      <c r="X3902" cm="1">
        <f t="array" ref="X3902">IF($I3902&lt;&gt;"",$I3902,INDEX($I$1:$I3902,ROW()-COUNTIFS($T$1:$T3902,"="&amp;$T3902,$S$1:$S3902,"&lt;"&amp;$S3902)))</f>
        <v>0</v>
      </c>
      <c r="Z3902" s="6">
        <f t="shared" si="526"/>
        <v>1</v>
      </c>
      <c r="AA3902" t="e">
        <f t="shared" si="527"/>
        <v>#VALUE!</v>
      </c>
      <c r="AB3902" t="str">
        <f t="shared" si="528"/>
        <v/>
      </c>
      <c r="AC3902" t="e">
        <f t="shared" si="529"/>
        <v>#VALUE!</v>
      </c>
    </row>
    <row r="3903" spans="1:29" x14ac:dyDescent="0.2">
      <c r="A3903" t="str">
        <f t="shared" si="530"/>
        <v/>
      </c>
      <c r="E3903" s="4"/>
      <c r="F3903" s="46"/>
      <c r="G3903" s="4"/>
      <c r="H3903" s="48"/>
      <c r="J3903" s="26" t="str">
        <f t="shared" si="531"/>
        <v/>
      </c>
      <c r="N3903" t="str">
        <f t="shared" si="532"/>
        <v/>
      </c>
      <c r="Q3903" t="str">
        <f t="shared" si="533"/>
        <v/>
      </c>
      <c r="S3903" t="str">
        <f>IF(A3903=1,MAX($S$2:$S3902)+1,IF(OR($I3903&lt;&gt;"",A3903="x"),$S3902,""))</f>
        <v/>
      </c>
      <c r="T3903" t="str">
        <f>IF(D3903=1,MAX($T$2:$T3902)+1,IF(S3903=S3902,$T3902,IF(D3903="x",T3902,IF(D3902="x","",""))))</f>
        <v/>
      </c>
      <c r="U3903" t="str">
        <f>IF(B3903=1,MAX($U$2:$U3902)+1,IF(AND($T3903&lt;&gt;"",$T3903=$T3902),$U3902,IF(B3903="x",U3902,"")))</f>
        <v/>
      </c>
      <c r="V3903" t="str">
        <f>IF(C3903=1,MAX($V$2:$V3902)+1,IF(AND($T3903&lt;&gt;"",$T3903=$T3902),$U3902,IF(C3903="x",V3902,"")))</f>
        <v/>
      </c>
      <c r="X3903" cm="1">
        <f t="array" ref="X3903">IF($I3903&lt;&gt;"",$I3903,INDEX($I$1:$I3903,ROW()-COUNTIFS($T$1:$T3903,"="&amp;$T3903,$S$1:$S3903,"&lt;"&amp;$S3903)))</f>
        <v>0</v>
      </c>
      <c r="Z3903" s="6">
        <f t="shared" si="526"/>
        <v>1</v>
      </c>
      <c r="AA3903" t="e">
        <f t="shared" si="527"/>
        <v>#VALUE!</v>
      </c>
      <c r="AB3903" t="str">
        <f t="shared" si="528"/>
        <v/>
      </c>
      <c r="AC3903" t="e">
        <f t="shared" si="529"/>
        <v>#VALUE!</v>
      </c>
    </row>
    <row r="3904" spans="1:29" x14ac:dyDescent="0.2">
      <c r="A3904" t="str">
        <f t="shared" si="530"/>
        <v/>
      </c>
      <c r="E3904" s="4"/>
      <c r="F3904" s="46"/>
      <c r="G3904" s="4"/>
      <c r="H3904" s="48"/>
      <c r="J3904" s="26" t="str">
        <f t="shared" si="531"/>
        <v/>
      </c>
      <c r="N3904" t="str">
        <f t="shared" si="532"/>
        <v/>
      </c>
      <c r="Q3904" t="str">
        <f t="shared" si="533"/>
        <v/>
      </c>
      <c r="S3904" t="str">
        <f>IF(A3904=1,MAX($S$2:$S3903)+1,IF(OR($I3904&lt;&gt;"",A3904="x"),$S3903,""))</f>
        <v/>
      </c>
      <c r="T3904" t="str">
        <f>IF(D3904=1,MAX($T$2:$T3903)+1,IF(S3904=S3903,$T3903,IF(D3904="x",T3903,IF(D3903="x","",""))))</f>
        <v/>
      </c>
      <c r="U3904" t="str">
        <f>IF(B3904=1,MAX($U$2:$U3903)+1,IF(AND($T3904&lt;&gt;"",$T3904=$T3903),$U3903,IF(B3904="x",U3903,"")))</f>
        <v/>
      </c>
      <c r="V3904" t="str">
        <f>IF(C3904=1,MAX($V$2:$V3903)+1,IF(AND($T3904&lt;&gt;"",$T3904=$T3903),$U3903,IF(C3904="x",V3903,"")))</f>
        <v/>
      </c>
      <c r="X3904" cm="1">
        <f t="array" ref="X3904">IF($I3904&lt;&gt;"",$I3904,INDEX($I$1:$I3904,ROW()-COUNTIFS($T$1:$T3904,"="&amp;$T3904,$S$1:$S3904,"&lt;"&amp;$S3904)))</f>
        <v>0</v>
      </c>
      <c r="Z3904" s="6">
        <f t="shared" si="526"/>
        <v>1</v>
      </c>
      <c r="AA3904" t="e">
        <f t="shared" si="527"/>
        <v>#VALUE!</v>
      </c>
      <c r="AB3904" t="str">
        <f t="shared" si="528"/>
        <v/>
      </c>
      <c r="AC3904" t="e">
        <f t="shared" si="529"/>
        <v>#VALUE!</v>
      </c>
    </row>
    <row r="3905" spans="1:29" x14ac:dyDescent="0.2">
      <c r="A3905" t="str">
        <f t="shared" si="530"/>
        <v/>
      </c>
      <c r="E3905" s="4"/>
      <c r="F3905" s="46"/>
      <c r="G3905" s="4"/>
      <c r="H3905" s="48"/>
      <c r="J3905" s="26" t="str">
        <f t="shared" si="531"/>
        <v/>
      </c>
      <c r="N3905" t="str">
        <f t="shared" si="532"/>
        <v/>
      </c>
      <c r="Q3905" t="str">
        <f t="shared" si="533"/>
        <v/>
      </c>
      <c r="S3905" t="str">
        <f>IF(A3905=1,MAX($S$2:$S3904)+1,IF(OR($I3905&lt;&gt;"",A3905="x"),$S3904,""))</f>
        <v/>
      </c>
      <c r="T3905" t="str">
        <f>IF(D3905=1,MAX($T$2:$T3904)+1,IF(S3905=S3904,$T3904,IF(D3905="x",T3904,IF(D3904="x","",""))))</f>
        <v/>
      </c>
      <c r="U3905" t="str">
        <f>IF(B3905=1,MAX($U$2:$U3904)+1,IF(AND($T3905&lt;&gt;"",$T3905=$T3904),$U3904,IF(B3905="x",U3904,"")))</f>
        <v/>
      </c>
      <c r="V3905" t="str">
        <f>IF(C3905=1,MAX($V$2:$V3904)+1,IF(AND($T3905&lt;&gt;"",$T3905=$T3904),$U3904,IF(C3905="x",V3904,"")))</f>
        <v/>
      </c>
      <c r="X3905" cm="1">
        <f t="array" ref="X3905">IF($I3905&lt;&gt;"",$I3905,INDEX($I$1:$I3905,ROW()-COUNTIFS($T$1:$T3905,"="&amp;$T3905,$S$1:$S3905,"&lt;"&amp;$S3905)))</f>
        <v>0</v>
      </c>
      <c r="Z3905" s="6">
        <f t="shared" si="526"/>
        <v>1</v>
      </c>
      <c r="AA3905" t="e">
        <f t="shared" si="527"/>
        <v>#VALUE!</v>
      </c>
      <c r="AB3905" t="str">
        <f t="shared" si="528"/>
        <v/>
      </c>
      <c r="AC3905" t="e">
        <f t="shared" si="529"/>
        <v>#VALUE!</v>
      </c>
    </row>
    <row r="3906" spans="1:29" x14ac:dyDescent="0.2">
      <c r="A3906" t="str">
        <f t="shared" si="530"/>
        <v/>
      </c>
      <c r="E3906" s="4"/>
      <c r="F3906" s="46"/>
      <c r="G3906" s="4"/>
      <c r="H3906" s="48"/>
      <c r="J3906" s="26" t="str">
        <f t="shared" si="531"/>
        <v/>
      </c>
      <c r="N3906" t="str">
        <f t="shared" si="532"/>
        <v/>
      </c>
      <c r="Q3906" t="str">
        <f t="shared" si="533"/>
        <v/>
      </c>
      <c r="S3906" t="str">
        <f>IF(A3906=1,MAX($S$2:$S3905)+1,IF(OR($I3906&lt;&gt;"",A3906="x"),$S3905,""))</f>
        <v/>
      </c>
      <c r="T3906" t="str">
        <f>IF(D3906=1,MAX($T$2:$T3905)+1,IF(S3906=S3905,$T3905,IF(D3906="x",T3905,IF(D3905="x","",""))))</f>
        <v/>
      </c>
      <c r="U3906" t="str">
        <f>IF(B3906=1,MAX($U$2:$U3905)+1,IF(AND($T3906&lt;&gt;"",$T3906=$T3905),$U3905,IF(B3906="x",U3905,"")))</f>
        <v/>
      </c>
      <c r="V3906" t="str">
        <f>IF(C3906=1,MAX($V$2:$V3905)+1,IF(AND($T3906&lt;&gt;"",$T3906=$T3905),$U3905,IF(C3906="x",V3905,"")))</f>
        <v/>
      </c>
      <c r="X3906" cm="1">
        <f t="array" ref="X3906">IF($I3906&lt;&gt;"",$I3906,INDEX($I$1:$I3906,ROW()-COUNTIFS($T$1:$T3906,"="&amp;$T3906,$S$1:$S3906,"&lt;"&amp;$S3906)))</f>
        <v>0</v>
      </c>
      <c r="Z3906" s="6">
        <f t="shared" si="526"/>
        <v>1</v>
      </c>
      <c r="AA3906" t="e">
        <f t="shared" si="527"/>
        <v>#VALUE!</v>
      </c>
      <c r="AB3906" t="str">
        <f t="shared" si="528"/>
        <v/>
      </c>
      <c r="AC3906" t="e">
        <f t="shared" si="529"/>
        <v>#VALUE!</v>
      </c>
    </row>
    <row r="3907" spans="1:29" x14ac:dyDescent="0.2">
      <c r="A3907" t="str">
        <f t="shared" si="530"/>
        <v/>
      </c>
      <c r="E3907" s="4"/>
      <c r="F3907" s="46"/>
      <c r="G3907" s="4"/>
      <c r="H3907" s="48"/>
      <c r="J3907" s="26" t="str">
        <f t="shared" si="531"/>
        <v/>
      </c>
      <c r="N3907" t="str">
        <f t="shared" si="532"/>
        <v/>
      </c>
      <c r="Q3907" t="str">
        <f t="shared" si="533"/>
        <v/>
      </c>
      <c r="S3907" t="str">
        <f>IF(A3907=1,MAX($S$2:$S3906)+1,IF(OR($I3907&lt;&gt;"",A3907="x"),$S3906,""))</f>
        <v/>
      </c>
      <c r="T3907" t="str">
        <f>IF(D3907=1,MAX($T$2:$T3906)+1,IF(S3907=S3906,$T3906,IF(D3907="x",T3906,IF(D3906="x","",""))))</f>
        <v/>
      </c>
      <c r="U3907" t="str">
        <f>IF(B3907=1,MAX($U$2:$U3906)+1,IF(AND($T3907&lt;&gt;"",$T3907=$T3906),$U3906,IF(B3907="x",U3906,"")))</f>
        <v/>
      </c>
      <c r="V3907" t="str">
        <f>IF(C3907=1,MAX($V$2:$V3906)+1,IF(AND($T3907&lt;&gt;"",$T3907=$T3906),$U3906,IF(C3907="x",V3906,"")))</f>
        <v/>
      </c>
      <c r="X3907" cm="1">
        <f t="array" ref="X3907">IF($I3907&lt;&gt;"",$I3907,INDEX($I$1:$I3907,ROW()-COUNTIFS($T$1:$T3907,"="&amp;$T3907,$S$1:$S3907,"&lt;"&amp;$S3907)))</f>
        <v>0</v>
      </c>
      <c r="Z3907" s="6">
        <f t="shared" si="526"/>
        <v>1</v>
      </c>
      <c r="AA3907" t="e">
        <f t="shared" si="527"/>
        <v>#VALUE!</v>
      </c>
      <c r="AB3907" t="str">
        <f t="shared" si="528"/>
        <v/>
      </c>
      <c r="AC3907" t="e">
        <f t="shared" si="529"/>
        <v>#VALUE!</v>
      </c>
    </row>
    <row r="3908" spans="1:29" x14ac:dyDescent="0.2">
      <c r="A3908" t="str">
        <f t="shared" si="530"/>
        <v/>
      </c>
      <c r="E3908" s="4"/>
      <c r="F3908" s="46"/>
      <c r="G3908" s="4"/>
      <c r="H3908" s="48"/>
      <c r="J3908" s="26" t="str">
        <f t="shared" si="531"/>
        <v/>
      </c>
      <c r="N3908" t="str">
        <f t="shared" si="532"/>
        <v/>
      </c>
      <c r="Q3908" t="str">
        <f t="shared" si="533"/>
        <v/>
      </c>
      <c r="S3908" t="str">
        <f>IF(A3908=1,MAX($S$2:$S3907)+1,IF(OR($I3908&lt;&gt;"",A3908="x"),$S3907,""))</f>
        <v/>
      </c>
      <c r="T3908" t="str">
        <f>IF(D3908=1,MAX($T$2:$T3907)+1,IF(S3908=S3907,$T3907,IF(D3908="x",T3907,IF(D3907="x","",""))))</f>
        <v/>
      </c>
      <c r="U3908" t="str">
        <f>IF(B3908=1,MAX($U$2:$U3907)+1,IF(AND($T3908&lt;&gt;"",$T3908=$T3907),$U3907,IF(B3908="x",U3907,"")))</f>
        <v/>
      </c>
      <c r="V3908" t="str">
        <f>IF(C3908=1,MAX($V$2:$V3907)+1,IF(AND($T3908&lt;&gt;"",$T3908=$T3907),$U3907,IF(C3908="x",V3907,"")))</f>
        <v/>
      </c>
      <c r="X3908" cm="1">
        <f t="array" ref="X3908">IF($I3908&lt;&gt;"",$I3908,INDEX($I$1:$I3908,ROW()-COUNTIFS($T$1:$T3908,"="&amp;$T3908,$S$1:$S3908,"&lt;"&amp;$S3908)))</f>
        <v>0</v>
      </c>
      <c r="Z3908" s="6">
        <f t="shared" si="526"/>
        <v>1</v>
      </c>
      <c r="AA3908" t="e">
        <f t="shared" si="527"/>
        <v>#VALUE!</v>
      </c>
      <c r="AB3908" t="str">
        <f t="shared" si="528"/>
        <v/>
      </c>
      <c r="AC3908" t="e">
        <f t="shared" si="529"/>
        <v>#VALUE!</v>
      </c>
    </row>
    <row r="3909" spans="1:29" x14ac:dyDescent="0.2">
      <c r="A3909" t="str">
        <f t="shared" si="530"/>
        <v/>
      </c>
      <c r="E3909" s="4"/>
      <c r="F3909" s="46"/>
      <c r="G3909" s="4"/>
      <c r="H3909" s="48"/>
      <c r="J3909" s="26" t="str">
        <f t="shared" si="531"/>
        <v/>
      </c>
      <c r="N3909" t="str">
        <f t="shared" si="532"/>
        <v/>
      </c>
      <c r="Q3909" t="str">
        <f t="shared" si="533"/>
        <v/>
      </c>
      <c r="S3909" t="str">
        <f>IF(A3909=1,MAX($S$2:$S3908)+1,IF(OR($I3909&lt;&gt;"",A3909="x"),$S3908,""))</f>
        <v/>
      </c>
      <c r="T3909" t="str">
        <f>IF(D3909=1,MAX($T$2:$T3908)+1,IF(S3909=S3908,$T3908,IF(D3909="x",T3908,IF(D3908="x","",""))))</f>
        <v/>
      </c>
      <c r="U3909" t="str">
        <f>IF(B3909=1,MAX($U$2:$U3908)+1,IF(AND($T3909&lt;&gt;"",$T3909=$T3908),$U3908,IF(B3909="x",U3908,"")))</f>
        <v/>
      </c>
      <c r="V3909" t="str">
        <f>IF(C3909=1,MAX($V$2:$V3908)+1,IF(AND($T3909&lt;&gt;"",$T3909=$T3908),$U3908,IF(C3909="x",V3908,"")))</f>
        <v/>
      </c>
      <c r="X3909" cm="1">
        <f t="array" ref="X3909">IF($I3909&lt;&gt;"",$I3909,INDEX($I$1:$I3909,ROW()-COUNTIFS($T$1:$T3909,"="&amp;$T3909,$S$1:$S3909,"&lt;"&amp;$S3909)))</f>
        <v>0</v>
      </c>
      <c r="Z3909" s="6">
        <f t="shared" ref="Z3909:Z3972" si="534">IF(K3909="Intermission",Z3908+1,Z3908)</f>
        <v>1</v>
      </c>
      <c r="AA3909" t="e">
        <f t="shared" ref="AA3909:AA3972" si="535">S3909+1000</f>
        <v>#VALUE!</v>
      </c>
      <c r="AB3909" t="str">
        <f t="shared" ref="AB3909:AB3972" si="536">IF(T3909&lt;&gt;"",9000+T3909,"")</f>
        <v/>
      </c>
      <c r="AC3909" t="e">
        <f t="shared" ref="AC3909:AC3972" si="537">IF(AB3909&lt;&gt;"",AB3909,S3909+1000)</f>
        <v>#VALUE!</v>
      </c>
    </row>
    <row r="3910" spans="1:29" x14ac:dyDescent="0.2">
      <c r="A3910" t="str">
        <f t="shared" si="530"/>
        <v/>
      </c>
      <c r="E3910" s="4"/>
      <c r="F3910" s="46"/>
      <c r="G3910" s="4"/>
      <c r="H3910" s="48"/>
      <c r="J3910" s="26" t="str">
        <f t="shared" si="531"/>
        <v/>
      </c>
      <c r="N3910" t="str">
        <f t="shared" si="532"/>
        <v/>
      </c>
      <c r="Q3910" t="str">
        <f t="shared" si="533"/>
        <v/>
      </c>
      <c r="S3910" t="str">
        <f>IF(A3910=1,MAX($S$2:$S3909)+1,IF(OR($I3910&lt;&gt;"",A3910="x"),$S3909,""))</f>
        <v/>
      </c>
      <c r="T3910" t="str">
        <f>IF(D3910=1,MAX($T$2:$T3909)+1,IF(S3910=S3909,$T3909,IF(D3910="x",T3909,IF(D3909="x","",""))))</f>
        <v/>
      </c>
      <c r="U3910" t="str">
        <f>IF(B3910=1,MAX($U$2:$U3909)+1,IF(AND($T3910&lt;&gt;"",$T3910=$T3909),$U3909,IF(B3910="x",U3909,"")))</f>
        <v/>
      </c>
      <c r="V3910" t="str">
        <f>IF(C3910=1,MAX($V$2:$V3909)+1,IF(AND($T3910&lt;&gt;"",$T3910=$T3909),$U3909,IF(C3910="x",V3909,"")))</f>
        <v/>
      </c>
      <c r="X3910" cm="1">
        <f t="array" ref="X3910">IF($I3910&lt;&gt;"",$I3910,INDEX($I$1:$I3910,ROW()-COUNTIFS($T$1:$T3910,"="&amp;$T3910,$S$1:$S3910,"&lt;"&amp;$S3910)))</f>
        <v>0</v>
      </c>
      <c r="Z3910" s="6">
        <f t="shared" si="534"/>
        <v>1</v>
      </c>
      <c r="AA3910" t="e">
        <f t="shared" si="535"/>
        <v>#VALUE!</v>
      </c>
      <c r="AB3910" t="str">
        <f t="shared" si="536"/>
        <v/>
      </c>
      <c r="AC3910" t="e">
        <f t="shared" si="537"/>
        <v>#VALUE!</v>
      </c>
    </row>
    <row r="3911" spans="1:29" x14ac:dyDescent="0.2">
      <c r="A3911" t="str">
        <f t="shared" si="530"/>
        <v/>
      </c>
      <c r="E3911" s="4"/>
      <c r="F3911" s="46"/>
      <c r="G3911" s="4"/>
      <c r="H3911" s="48"/>
      <c r="J3911" s="26" t="str">
        <f t="shared" si="531"/>
        <v/>
      </c>
      <c r="N3911" t="str">
        <f t="shared" si="532"/>
        <v/>
      </c>
      <c r="Q3911" t="str">
        <f t="shared" si="533"/>
        <v/>
      </c>
      <c r="S3911" t="str">
        <f>IF(A3911=1,MAX($S$2:$S3910)+1,IF(OR($I3911&lt;&gt;"",A3911="x"),$S3910,""))</f>
        <v/>
      </c>
      <c r="T3911" t="str">
        <f>IF(D3911=1,MAX($T$2:$T3910)+1,IF(S3911=S3910,$T3910,IF(D3911="x",T3910,IF(D3910="x","",""))))</f>
        <v/>
      </c>
      <c r="U3911" t="str">
        <f>IF(B3911=1,MAX($U$2:$U3910)+1,IF(AND($T3911&lt;&gt;"",$T3911=$T3910),$U3910,IF(B3911="x",U3910,"")))</f>
        <v/>
      </c>
      <c r="V3911" t="str">
        <f>IF(C3911=1,MAX($V$2:$V3910)+1,IF(AND($T3911&lt;&gt;"",$T3911=$T3910),$U3910,IF(C3911="x",V3910,"")))</f>
        <v/>
      </c>
      <c r="X3911" cm="1">
        <f t="array" ref="X3911">IF($I3911&lt;&gt;"",$I3911,INDEX($I$1:$I3911,ROW()-COUNTIFS($T$1:$T3911,"="&amp;$T3911,$S$1:$S3911,"&lt;"&amp;$S3911)))</f>
        <v>0</v>
      </c>
      <c r="Z3911" s="6">
        <f t="shared" si="534"/>
        <v>1</v>
      </c>
      <c r="AA3911" t="e">
        <f t="shared" si="535"/>
        <v>#VALUE!</v>
      </c>
      <c r="AB3911" t="str">
        <f t="shared" si="536"/>
        <v/>
      </c>
      <c r="AC3911" t="e">
        <f t="shared" si="537"/>
        <v>#VALUE!</v>
      </c>
    </row>
    <row r="3912" spans="1:29" x14ac:dyDescent="0.2">
      <c r="A3912" t="str">
        <f t="shared" si="530"/>
        <v/>
      </c>
      <c r="E3912" s="4"/>
      <c r="F3912" s="46"/>
      <c r="G3912" s="4"/>
      <c r="H3912" s="48"/>
      <c r="J3912" s="26" t="str">
        <f t="shared" si="531"/>
        <v/>
      </c>
      <c r="N3912" t="str">
        <f t="shared" si="532"/>
        <v/>
      </c>
      <c r="Q3912" t="str">
        <f t="shared" si="533"/>
        <v/>
      </c>
      <c r="S3912" t="str">
        <f>IF(A3912=1,MAX($S$2:$S3911)+1,IF(OR($I3912&lt;&gt;"",A3912="x"),$S3911,""))</f>
        <v/>
      </c>
      <c r="T3912" t="str">
        <f>IF(D3912=1,MAX($T$2:$T3911)+1,IF(S3912=S3911,$T3911,IF(D3912="x",T3911,IF(D3911="x","",""))))</f>
        <v/>
      </c>
      <c r="U3912" t="str">
        <f>IF(B3912=1,MAX($U$2:$U3911)+1,IF(AND($T3912&lt;&gt;"",$T3912=$T3911),$U3911,IF(B3912="x",U3911,"")))</f>
        <v/>
      </c>
      <c r="V3912" t="str">
        <f>IF(C3912=1,MAX($V$2:$V3911)+1,IF(AND($T3912&lt;&gt;"",$T3912=$T3911),$U3911,IF(C3912="x",V3911,"")))</f>
        <v/>
      </c>
      <c r="X3912" cm="1">
        <f t="array" ref="X3912">IF($I3912&lt;&gt;"",$I3912,INDEX($I$1:$I3912,ROW()-COUNTIFS($T$1:$T3912,"="&amp;$T3912,$S$1:$S3912,"&lt;"&amp;$S3912)))</f>
        <v>0</v>
      </c>
      <c r="Z3912" s="6">
        <f t="shared" si="534"/>
        <v>1</v>
      </c>
      <c r="AA3912" t="e">
        <f t="shared" si="535"/>
        <v>#VALUE!</v>
      </c>
      <c r="AB3912" t="str">
        <f t="shared" si="536"/>
        <v/>
      </c>
      <c r="AC3912" t="e">
        <f t="shared" si="537"/>
        <v>#VALUE!</v>
      </c>
    </row>
    <row r="3913" spans="1:29" x14ac:dyDescent="0.2">
      <c r="A3913" t="str">
        <f t="shared" si="530"/>
        <v/>
      </c>
      <c r="E3913" s="4"/>
      <c r="F3913" s="46"/>
      <c r="G3913" s="4"/>
      <c r="H3913" s="48"/>
      <c r="J3913" s="26" t="str">
        <f t="shared" si="531"/>
        <v/>
      </c>
      <c r="N3913" t="str">
        <f t="shared" si="532"/>
        <v/>
      </c>
      <c r="Q3913" t="str">
        <f t="shared" si="533"/>
        <v/>
      </c>
      <c r="S3913" t="str">
        <f>IF(A3913=1,MAX($S$2:$S3912)+1,IF(OR($I3913&lt;&gt;"",A3913="x"),$S3912,""))</f>
        <v/>
      </c>
      <c r="T3913" t="str">
        <f>IF(D3913=1,MAX($T$2:$T3912)+1,IF(S3913=S3912,$T3912,IF(D3913="x",T3912,IF(D3912="x","",""))))</f>
        <v/>
      </c>
      <c r="U3913" t="str">
        <f>IF(B3913=1,MAX($U$2:$U3912)+1,IF(AND($T3913&lt;&gt;"",$T3913=$T3912),$U3912,IF(B3913="x",U3912,"")))</f>
        <v/>
      </c>
      <c r="V3913" t="str">
        <f>IF(C3913=1,MAX($V$2:$V3912)+1,IF(AND($T3913&lt;&gt;"",$T3913=$T3912),$U3912,IF(C3913="x",V3912,"")))</f>
        <v/>
      </c>
      <c r="X3913" cm="1">
        <f t="array" ref="X3913">IF($I3913&lt;&gt;"",$I3913,INDEX($I$1:$I3913,ROW()-COUNTIFS($T$1:$T3913,"="&amp;$T3913,$S$1:$S3913,"&lt;"&amp;$S3913)))</f>
        <v>0</v>
      </c>
      <c r="Z3913" s="6">
        <f t="shared" si="534"/>
        <v>1</v>
      </c>
      <c r="AA3913" t="e">
        <f t="shared" si="535"/>
        <v>#VALUE!</v>
      </c>
      <c r="AB3913" t="str">
        <f t="shared" si="536"/>
        <v/>
      </c>
      <c r="AC3913" t="e">
        <f t="shared" si="537"/>
        <v>#VALUE!</v>
      </c>
    </row>
    <row r="3914" spans="1:29" x14ac:dyDescent="0.2">
      <c r="A3914" t="str">
        <f t="shared" si="530"/>
        <v/>
      </c>
      <c r="E3914" s="4"/>
      <c r="F3914" s="46"/>
      <c r="G3914" s="4"/>
      <c r="H3914" s="48"/>
      <c r="J3914" s="26" t="str">
        <f t="shared" si="531"/>
        <v/>
      </c>
      <c r="N3914" t="str">
        <f t="shared" si="532"/>
        <v/>
      </c>
      <c r="Q3914" t="str">
        <f t="shared" si="533"/>
        <v/>
      </c>
      <c r="S3914" t="str">
        <f>IF(A3914=1,MAX($S$2:$S3913)+1,IF(OR($I3914&lt;&gt;"",A3914="x"),$S3913,""))</f>
        <v/>
      </c>
      <c r="T3914" t="str">
        <f>IF(D3914=1,MAX($T$2:$T3913)+1,IF(S3914=S3913,$T3913,IF(D3914="x",T3913,IF(D3913="x","",""))))</f>
        <v/>
      </c>
      <c r="U3914" t="str">
        <f>IF(B3914=1,MAX($U$2:$U3913)+1,IF(AND($T3914&lt;&gt;"",$T3914=$T3913),$U3913,IF(B3914="x",U3913,"")))</f>
        <v/>
      </c>
      <c r="V3914" t="str">
        <f>IF(C3914=1,MAX($V$2:$V3913)+1,IF(AND($T3914&lt;&gt;"",$T3914=$T3913),$U3913,IF(C3914="x",V3913,"")))</f>
        <v/>
      </c>
      <c r="X3914" cm="1">
        <f t="array" ref="X3914">IF($I3914&lt;&gt;"",$I3914,INDEX($I$1:$I3914,ROW()-COUNTIFS($T$1:$T3914,"="&amp;$T3914,$S$1:$S3914,"&lt;"&amp;$S3914)))</f>
        <v>0</v>
      </c>
      <c r="Z3914" s="6">
        <f t="shared" si="534"/>
        <v>1</v>
      </c>
      <c r="AA3914" t="e">
        <f t="shared" si="535"/>
        <v>#VALUE!</v>
      </c>
      <c r="AB3914" t="str">
        <f t="shared" si="536"/>
        <v/>
      </c>
      <c r="AC3914" t="e">
        <f t="shared" si="537"/>
        <v>#VALUE!</v>
      </c>
    </row>
    <row r="3915" spans="1:29" x14ac:dyDescent="0.2">
      <c r="A3915" t="str">
        <f t="shared" si="530"/>
        <v/>
      </c>
      <c r="E3915" s="4"/>
      <c r="F3915" s="46"/>
      <c r="G3915" s="4"/>
      <c r="H3915" s="48"/>
      <c r="J3915" s="26" t="str">
        <f t="shared" si="531"/>
        <v/>
      </c>
      <c r="N3915" t="str">
        <f t="shared" si="532"/>
        <v/>
      </c>
      <c r="Q3915" t="str">
        <f t="shared" si="533"/>
        <v/>
      </c>
      <c r="S3915" t="str">
        <f>IF(A3915=1,MAX($S$2:$S3914)+1,IF(OR($I3915&lt;&gt;"",A3915="x"),$S3914,""))</f>
        <v/>
      </c>
      <c r="T3915" t="str">
        <f>IF(D3915=1,MAX($T$2:$T3914)+1,IF(S3915=S3914,$T3914,IF(D3915="x",T3914,IF(D3914="x","",""))))</f>
        <v/>
      </c>
      <c r="U3915" t="str">
        <f>IF(B3915=1,MAX($U$2:$U3914)+1,IF(AND($T3915&lt;&gt;"",$T3915=$T3914),$U3914,IF(B3915="x",U3914,"")))</f>
        <v/>
      </c>
      <c r="V3915" t="str">
        <f>IF(C3915=1,MAX($V$2:$V3914)+1,IF(AND($T3915&lt;&gt;"",$T3915=$T3914),$U3914,IF(C3915="x",V3914,"")))</f>
        <v/>
      </c>
      <c r="X3915" cm="1">
        <f t="array" ref="X3915">IF($I3915&lt;&gt;"",$I3915,INDEX($I$1:$I3915,ROW()-COUNTIFS($T$1:$T3915,"="&amp;$T3915,$S$1:$S3915,"&lt;"&amp;$S3915)))</f>
        <v>0</v>
      </c>
      <c r="Z3915" s="6">
        <f t="shared" si="534"/>
        <v>1</v>
      </c>
      <c r="AA3915" t="e">
        <f t="shared" si="535"/>
        <v>#VALUE!</v>
      </c>
      <c r="AB3915" t="str">
        <f t="shared" si="536"/>
        <v/>
      </c>
      <c r="AC3915" t="e">
        <f t="shared" si="537"/>
        <v>#VALUE!</v>
      </c>
    </row>
    <row r="3916" spans="1:29" x14ac:dyDescent="0.2">
      <c r="A3916" t="str">
        <f t="shared" si="530"/>
        <v/>
      </c>
      <c r="E3916" s="4"/>
      <c r="F3916" s="46"/>
      <c r="G3916" s="4"/>
      <c r="H3916" s="48"/>
      <c r="J3916" s="26" t="str">
        <f t="shared" si="531"/>
        <v/>
      </c>
      <c r="N3916" t="str">
        <f t="shared" si="532"/>
        <v/>
      </c>
      <c r="Q3916" t="str">
        <f t="shared" si="533"/>
        <v/>
      </c>
      <c r="S3916" t="str">
        <f>IF(A3916=1,MAX($S$2:$S3915)+1,IF(OR($I3916&lt;&gt;"",A3916="x"),$S3915,""))</f>
        <v/>
      </c>
      <c r="T3916" t="str">
        <f>IF(D3916=1,MAX($T$2:$T3915)+1,IF(S3916=S3915,$T3915,IF(D3916="x",T3915,IF(D3915="x","",""))))</f>
        <v/>
      </c>
      <c r="U3916" t="str">
        <f>IF(B3916=1,MAX($U$2:$U3915)+1,IF(AND($T3916&lt;&gt;"",$T3916=$T3915),$U3915,IF(B3916="x",U3915,"")))</f>
        <v/>
      </c>
      <c r="V3916" t="str">
        <f>IF(C3916=1,MAX($V$2:$V3915)+1,IF(AND($T3916&lt;&gt;"",$T3916=$T3915),$U3915,IF(C3916="x",V3915,"")))</f>
        <v/>
      </c>
      <c r="X3916" cm="1">
        <f t="array" ref="X3916">IF($I3916&lt;&gt;"",$I3916,INDEX($I$1:$I3916,ROW()-COUNTIFS($T$1:$T3916,"="&amp;$T3916,$S$1:$S3916,"&lt;"&amp;$S3916)))</f>
        <v>0</v>
      </c>
      <c r="Z3916" s="6">
        <f t="shared" si="534"/>
        <v>1</v>
      </c>
      <c r="AA3916" t="e">
        <f t="shared" si="535"/>
        <v>#VALUE!</v>
      </c>
      <c r="AB3916" t="str">
        <f t="shared" si="536"/>
        <v/>
      </c>
      <c r="AC3916" t="e">
        <f t="shared" si="537"/>
        <v>#VALUE!</v>
      </c>
    </row>
    <row r="3917" spans="1:29" x14ac:dyDescent="0.2">
      <c r="A3917" t="str">
        <f t="shared" si="530"/>
        <v/>
      </c>
      <c r="E3917" s="4"/>
      <c r="F3917" s="46"/>
      <c r="G3917" s="4"/>
      <c r="H3917" s="48"/>
      <c r="J3917" s="26" t="str">
        <f t="shared" si="531"/>
        <v/>
      </c>
      <c r="N3917" t="str">
        <f t="shared" si="532"/>
        <v/>
      </c>
      <c r="Q3917" t="str">
        <f t="shared" si="533"/>
        <v/>
      </c>
      <c r="S3917" t="str">
        <f>IF(A3917=1,MAX($S$2:$S3916)+1,IF(OR($I3917&lt;&gt;"",A3917="x"),$S3916,""))</f>
        <v/>
      </c>
      <c r="T3917" t="str">
        <f>IF(D3917=1,MAX($T$2:$T3916)+1,IF(S3917=S3916,$T3916,IF(D3917="x",T3916,IF(D3916="x","",""))))</f>
        <v/>
      </c>
      <c r="U3917" t="str">
        <f>IF(B3917=1,MAX($U$2:$U3916)+1,IF(AND($T3917&lt;&gt;"",$T3917=$T3916),$U3916,IF(B3917="x",U3916,"")))</f>
        <v/>
      </c>
      <c r="V3917" t="str">
        <f>IF(C3917=1,MAX($V$2:$V3916)+1,IF(AND($T3917&lt;&gt;"",$T3917=$T3916),$U3916,IF(C3917="x",V3916,"")))</f>
        <v/>
      </c>
      <c r="X3917" cm="1">
        <f t="array" ref="X3917">IF($I3917&lt;&gt;"",$I3917,INDEX($I$1:$I3917,ROW()-COUNTIFS($T$1:$T3917,"="&amp;$T3917,$S$1:$S3917,"&lt;"&amp;$S3917)))</f>
        <v>0</v>
      </c>
      <c r="Z3917" s="6">
        <f t="shared" si="534"/>
        <v>1</v>
      </c>
      <c r="AA3917" t="e">
        <f t="shared" si="535"/>
        <v>#VALUE!</v>
      </c>
      <c r="AB3917" t="str">
        <f t="shared" si="536"/>
        <v/>
      </c>
      <c r="AC3917" t="e">
        <f t="shared" si="537"/>
        <v>#VALUE!</v>
      </c>
    </row>
    <row r="3918" spans="1:29" x14ac:dyDescent="0.2">
      <c r="A3918" t="str">
        <f t="shared" si="530"/>
        <v/>
      </c>
      <c r="E3918" s="4"/>
      <c r="F3918" s="46"/>
      <c r="G3918" s="4"/>
      <c r="H3918" s="48"/>
      <c r="J3918" s="26" t="str">
        <f t="shared" si="531"/>
        <v/>
      </c>
      <c r="N3918" t="str">
        <f t="shared" si="532"/>
        <v/>
      </c>
      <c r="Q3918" t="str">
        <f t="shared" si="533"/>
        <v/>
      </c>
      <c r="S3918" t="str">
        <f>IF(A3918=1,MAX($S$2:$S3917)+1,IF(OR($I3918&lt;&gt;"",A3918="x"),$S3917,""))</f>
        <v/>
      </c>
      <c r="T3918" t="str">
        <f>IF(D3918=1,MAX($T$2:$T3917)+1,IF(S3918=S3917,$T3917,IF(D3918="x",T3917,IF(D3917="x","",""))))</f>
        <v/>
      </c>
      <c r="U3918" t="str">
        <f>IF(B3918=1,MAX($U$2:$U3917)+1,IF(AND($T3918&lt;&gt;"",$T3918=$T3917),$U3917,IF(B3918="x",U3917,"")))</f>
        <v/>
      </c>
      <c r="V3918" t="str">
        <f>IF(C3918=1,MAX($V$2:$V3917)+1,IF(AND($T3918&lt;&gt;"",$T3918=$T3917),$U3917,IF(C3918="x",V3917,"")))</f>
        <v/>
      </c>
      <c r="X3918" cm="1">
        <f t="array" ref="X3918">IF($I3918&lt;&gt;"",$I3918,INDEX($I$1:$I3918,ROW()-COUNTIFS($T$1:$T3918,"="&amp;$T3918,$S$1:$S3918,"&lt;"&amp;$S3918)))</f>
        <v>0</v>
      </c>
      <c r="Z3918" s="6">
        <f t="shared" si="534"/>
        <v>1</v>
      </c>
      <c r="AA3918" t="e">
        <f t="shared" si="535"/>
        <v>#VALUE!</v>
      </c>
      <c r="AB3918" t="str">
        <f t="shared" si="536"/>
        <v/>
      </c>
      <c r="AC3918" t="e">
        <f t="shared" si="537"/>
        <v>#VALUE!</v>
      </c>
    </row>
    <row r="3919" spans="1:29" x14ac:dyDescent="0.2">
      <c r="A3919" t="str">
        <f t="shared" si="530"/>
        <v/>
      </c>
      <c r="E3919" s="4"/>
      <c r="F3919" s="46"/>
      <c r="G3919" s="4"/>
      <c r="H3919" s="48"/>
      <c r="J3919" s="26" t="str">
        <f t="shared" si="531"/>
        <v/>
      </c>
      <c r="N3919" t="str">
        <f t="shared" si="532"/>
        <v/>
      </c>
      <c r="Q3919" t="str">
        <f t="shared" si="533"/>
        <v/>
      </c>
      <c r="S3919" t="str">
        <f>IF(A3919=1,MAX($S$2:$S3918)+1,IF(OR($I3919&lt;&gt;"",A3919="x"),$S3918,""))</f>
        <v/>
      </c>
      <c r="T3919" t="str">
        <f>IF(D3919=1,MAX($T$2:$T3918)+1,IF(S3919=S3918,$T3918,IF(D3919="x",T3918,IF(D3918="x","",""))))</f>
        <v/>
      </c>
      <c r="U3919" t="str">
        <f>IF(B3919=1,MAX($U$2:$U3918)+1,IF(AND($T3919&lt;&gt;"",$T3919=$T3918),$U3918,IF(B3919="x",U3918,"")))</f>
        <v/>
      </c>
      <c r="V3919" t="str">
        <f>IF(C3919=1,MAX($V$2:$V3918)+1,IF(AND($T3919&lt;&gt;"",$T3919=$T3918),$U3918,IF(C3919="x",V3918,"")))</f>
        <v/>
      </c>
      <c r="X3919" cm="1">
        <f t="array" ref="X3919">IF($I3919&lt;&gt;"",$I3919,INDEX($I$1:$I3919,ROW()-COUNTIFS($T$1:$T3919,"="&amp;$T3919,$S$1:$S3919,"&lt;"&amp;$S3919)))</f>
        <v>0</v>
      </c>
      <c r="Z3919" s="6">
        <f t="shared" si="534"/>
        <v>1</v>
      </c>
      <c r="AA3919" t="e">
        <f t="shared" si="535"/>
        <v>#VALUE!</v>
      </c>
      <c r="AB3919" t="str">
        <f t="shared" si="536"/>
        <v/>
      </c>
      <c r="AC3919" t="e">
        <f t="shared" si="537"/>
        <v>#VALUE!</v>
      </c>
    </row>
    <row r="3920" spans="1:29" x14ac:dyDescent="0.2">
      <c r="A3920" t="str">
        <f t="shared" si="530"/>
        <v/>
      </c>
      <c r="E3920" s="4"/>
      <c r="F3920" s="46"/>
      <c r="G3920" s="4"/>
      <c r="H3920" s="48"/>
      <c r="J3920" s="26" t="str">
        <f t="shared" si="531"/>
        <v/>
      </c>
      <c r="N3920" t="str">
        <f t="shared" si="532"/>
        <v/>
      </c>
      <c r="Q3920" t="str">
        <f t="shared" si="533"/>
        <v/>
      </c>
      <c r="S3920" t="str">
        <f>IF(A3920=1,MAX($S$2:$S3919)+1,IF(OR($I3920&lt;&gt;"",A3920="x"),$S3919,""))</f>
        <v/>
      </c>
      <c r="T3920" t="str">
        <f>IF(D3920=1,MAX($T$2:$T3919)+1,IF(S3920=S3919,$T3919,IF(D3920="x",T3919,IF(D3919="x","",""))))</f>
        <v/>
      </c>
      <c r="U3920" t="str">
        <f>IF(B3920=1,MAX($U$2:$U3919)+1,IF(AND($T3920&lt;&gt;"",$T3920=$T3919),$U3919,IF(B3920="x",U3919,"")))</f>
        <v/>
      </c>
      <c r="V3920" t="str">
        <f>IF(C3920=1,MAX($V$2:$V3919)+1,IF(AND($T3920&lt;&gt;"",$T3920=$T3919),$U3919,IF(C3920="x",V3919,"")))</f>
        <v/>
      </c>
      <c r="X3920" cm="1">
        <f t="array" ref="X3920">IF($I3920&lt;&gt;"",$I3920,INDEX($I$1:$I3920,ROW()-COUNTIFS($T$1:$T3920,"="&amp;$T3920,$S$1:$S3920,"&lt;"&amp;$S3920)))</f>
        <v>0</v>
      </c>
      <c r="Z3920" s="6">
        <f t="shared" si="534"/>
        <v>1</v>
      </c>
      <c r="AA3920" t="e">
        <f t="shared" si="535"/>
        <v>#VALUE!</v>
      </c>
      <c r="AB3920" t="str">
        <f t="shared" si="536"/>
        <v/>
      </c>
      <c r="AC3920" t="e">
        <f t="shared" si="537"/>
        <v>#VALUE!</v>
      </c>
    </row>
    <row r="3921" spans="1:29" x14ac:dyDescent="0.2">
      <c r="A3921" t="str">
        <f t="shared" si="530"/>
        <v/>
      </c>
      <c r="E3921" s="4"/>
      <c r="F3921" s="46"/>
      <c r="G3921" s="4"/>
      <c r="H3921" s="48"/>
      <c r="J3921" s="26" t="str">
        <f t="shared" si="531"/>
        <v/>
      </c>
      <c r="N3921" t="str">
        <f t="shared" si="532"/>
        <v/>
      </c>
      <c r="Q3921" t="str">
        <f t="shared" si="533"/>
        <v/>
      </c>
      <c r="S3921" t="str">
        <f>IF(A3921=1,MAX($S$2:$S3920)+1,IF(OR($I3921&lt;&gt;"",A3921="x"),$S3920,""))</f>
        <v/>
      </c>
      <c r="T3921" t="str">
        <f>IF(D3921=1,MAX($T$2:$T3920)+1,IF(S3921=S3920,$T3920,IF(D3921="x",T3920,IF(D3920="x","",""))))</f>
        <v/>
      </c>
      <c r="U3921" t="str">
        <f>IF(B3921=1,MAX($U$2:$U3920)+1,IF(AND($T3921&lt;&gt;"",$T3921=$T3920),$U3920,IF(B3921="x",U3920,"")))</f>
        <v/>
      </c>
      <c r="V3921" t="str">
        <f>IF(C3921=1,MAX($V$2:$V3920)+1,IF(AND($T3921&lt;&gt;"",$T3921=$T3920),$U3920,IF(C3921="x",V3920,"")))</f>
        <v/>
      </c>
      <c r="X3921" cm="1">
        <f t="array" ref="X3921">IF($I3921&lt;&gt;"",$I3921,INDEX($I$1:$I3921,ROW()-COUNTIFS($T$1:$T3921,"="&amp;$T3921,$S$1:$S3921,"&lt;"&amp;$S3921)))</f>
        <v>0</v>
      </c>
      <c r="Z3921" s="6">
        <f t="shared" si="534"/>
        <v>1</v>
      </c>
      <c r="AA3921" t="e">
        <f t="shared" si="535"/>
        <v>#VALUE!</v>
      </c>
      <c r="AB3921" t="str">
        <f t="shared" si="536"/>
        <v/>
      </c>
      <c r="AC3921" t="e">
        <f t="shared" si="537"/>
        <v>#VALUE!</v>
      </c>
    </row>
    <row r="3922" spans="1:29" x14ac:dyDescent="0.2">
      <c r="A3922" t="str">
        <f t="shared" si="530"/>
        <v/>
      </c>
      <c r="E3922" s="4"/>
      <c r="F3922" s="46"/>
      <c r="G3922" s="4"/>
      <c r="H3922" s="48"/>
      <c r="J3922" s="26" t="str">
        <f t="shared" si="531"/>
        <v/>
      </c>
      <c r="N3922" t="str">
        <f t="shared" si="532"/>
        <v/>
      </c>
      <c r="Q3922" t="str">
        <f t="shared" si="533"/>
        <v/>
      </c>
      <c r="S3922" t="str">
        <f>IF(A3922=1,MAX($S$2:$S3921)+1,IF(OR($I3922&lt;&gt;"",A3922="x"),$S3921,""))</f>
        <v/>
      </c>
      <c r="T3922" t="str">
        <f>IF(D3922=1,MAX($T$2:$T3921)+1,IF(S3922=S3921,$T3921,IF(D3922="x",T3921,IF(D3921="x","",""))))</f>
        <v/>
      </c>
      <c r="U3922" t="str">
        <f>IF(B3922=1,MAX($U$2:$U3921)+1,IF(AND($T3922&lt;&gt;"",$T3922=$T3921),$U3921,IF(B3922="x",U3921,"")))</f>
        <v/>
      </c>
      <c r="V3922" t="str">
        <f>IF(C3922=1,MAX($V$2:$V3921)+1,IF(AND($T3922&lt;&gt;"",$T3922=$T3921),$U3921,IF(C3922="x",V3921,"")))</f>
        <v/>
      </c>
      <c r="X3922" cm="1">
        <f t="array" ref="X3922">IF($I3922&lt;&gt;"",$I3922,INDEX($I$1:$I3922,ROW()-COUNTIFS($T$1:$T3922,"="&amp;$T3922,$S$1:$S3922,"&lt;"&amp;$S3922)))</f>
        <v>0</v>
      </c>
      <c r="Z3922" s="6">
        <f t="shared" si="534"/>
        <v>1</v>
      </c>
      <c r="AA3922" t="e">
        <f t="shared" si="535"/>
        <v>#VALUE!</v>
      </c>
      <c r="AB3922" t="str">
        <f t="shared" si="536"/>
        <v/>
      </c>
      <c r="AC3922" t="e">
        <f t="shared" si="537"/>
        <v>#VALUE!</v>
      </c>
    </row>
    <row r="3923" spans="1:29" x14ac:dyDescent="0.2">
      <c r="A3923" t="str">
        <f t="shared" ref="A3923:A3986" si="538">IF(K3923&lt;&gt;"",1,IF(D3923="x","x",""))</f>
        <v/>
      </c>
      <c r="E3923" s="4"/>
      <c r="F3923" s="46"/>
      <c r="G3923" s="4"/>
      <c r="H3923" s="48"/>
      <c r="J3923" s="26" t="str">
        <f t="shared" ref="J3923:J3986" si="539">IF(OR(K3923="Goal",K3923="Shot",L3923="Zone_Entry",M3923="Stoppage-Goal",M3922="Stoppage-Goal"),"o",IF(OR(K3923="Save",K3923="Rebound",L3923="Zone_Exit",M3923="Stoppage-GoalieStoppage",M3922="Stoppage-GoalieStoppage"),"d",IF(OR(L3923="Faceoff_AfterGoal",L3923="Faceoff_PeriodStart",698="Faceoff_GameStart",M3922="Stoppage-Goal"),"n","")))</f>
        <v/>
      </c>
      <c r="N3923" t="str">
        <f t="shared" ref="N3923:N3986" si="540">IF(K3923="","",IF(K3923="Goal","s",IF(AND(K3923="Zone_Entry_Exit",OR(ISNUMBER(SEARCH("fail",L3923)),ISNUMBER(SEARCH("FromExitClear",M3923)),ISNUMBER(SEARCH("miss",M3923)))),"u",IF(AND(K3923="Zone_Entry_Exit",OR(NOT(ISNUMBER(SEARCH("fail",L3923))),NOT(ISNUMBER(SEARCH("FromExitClear",M3923))),NOT(ISNUMBER(SEARCH("miss",M3923))))),"s",IF(AND(OR(K3923="Shot",K3923="Pass"),OR(ISNUMBER(SEARCH("complete",L3923)),ISNUMBER(SEARCH("goal",L3923)),ISNUMBER(SEARCH("OnNet",L3923)))),"s",IF(L3923="Turnover_Giveaway","u",IF(AND(OR(K3923="Shot",K3923="Pass"),OR(ISNUMBER(SEARCH("fail",L3923)),NOT(ISNUMBER(SEARCH("complete",L3923))),NOT(ISNUMBER(SEARCH("OnNet",L3923))))),"u","")))))))</f>
        <v/>
      </c>
      <c r="Q3923" t="str">
        <f t="shared" ref="Q3923:Q3986" si="541">IF(O3923="","",IF(AND(N3923&lt;&gt;"",OR(O3923&lt;&gt;"",P3923&lt;&gt;"")),N3923,IF(OR(ISNUMBER(SEARCH("attemp",O3923)),ISNUMBER(SEARCH("beat",O3923)),ISNUMBER(SEARCH("mis",O3923)),ISNUMBER(SEARCH("fail",O3923)),ISNUMBER(SEARCH("loss",O3923)),ISNUMBER(SEARCH("lost",O3923)),ISNUMBER(SEARCH("attemp",P3923)),ISNUMBER(SEARCH("mis",P3923)),ISNUMBER(SEARCH("fail",P3923)),ISNUMBER(SEARCH("loss",P3923)),ISNUMBER(SEARCH("beat",P3923)),ISNUMBER(SEARCH("lost",P3923))),"u","")))</f>
        <v/>
      </c>
      <c r="S3923" t="str">
        <f>IF(A3923=1,MAX($S$2:$S3922)+1,IF(OR($I3923&lt;&gt;"",A3923="x"),$S3922,""))</f>
        <v/>
      </c>
      <c r="T3923" t="str">
        <f>IF(D3923=1,MAX($T$2:$T3922)+1,IF(S3923=S3922,$T3922,IF(D3923="x",T3922,IF(D3922="x","",""))))</f>
        <v/>
      </c>
      <c r="U3923" t="str">
        <f>IF(B3923=1,MAX($U$2:$U3922)+1,IF(AND($T3923&lt;&gt;"",$T3923=$T3922),$U3922,IF(B3923="x",U3922,"")))</f>
        <v/>
      </c>
      <c r="V3923" t="str">
        <f>IF(C3923=1,MAX($V$2:$V3922)+1,IF(AND($T3923&lt;&gt;"",$T3923=$T3922),$U3922,IF(C3923="x",V3922,"")))</f>
        <v/>
      </c>
      <c r="X3923" cm="1">
        <f t="array" ref="X3923">IF($I3923&lt;&gt;"",$I3923,INDEX($I$1:$I3923,ROW()-COUNTIFS($T$1:$T3923,"="&amp;$T3923,$S$1:$S3923,"&lt;"&amp;$S3923)))</f>
        <v>0</v>
      </c>
      <c r="Z3923" s="6">
        <f t="shared" si="534"/>
        <v>1</v>
      </c>
      <c r="AA3923" t="e">
        <f t="shared" si="535"/>
        <v>#VALUE!</v>
      </c>
      <c r="AB3923" t="str">
        <f t="shared" si="536"/>
        <v/>
      </c>
      <c r="AC3923" t="e">
        <f t="shared" si="537"/>
        <v>#VALUE!</v>
      </c>
    </row>
    <row r="3924" spans="1:29" x14ac:dyDescent="0.2">
      <c r="A3924" t="str">
        <f t="shared" si="538"/>
        <v/>
      </c>
      <c r="E3924" s="4"/>
      <c r="F3924" s="46"/>
      <c r="G3924" s="4"/>
      <c r="H3924" s="48"/>
      <c r="J3924" s="26" t="str">
        <f t="shared" si="539"/>
        <v/>
      </c>
      <c r="N3924" t="str">
        <f t="shared" si="540"/>
        <v/>
      </c>
      <c r="Q3924" t="str">
        <f t="shared" si="541"/>
        <v/>
      </c>
      <c r="S3924" t="str">
        <f>IF(A3924=1,MAX($S$2:$S3923)+1,IF(OR($I3924&lt;&gt;"",A3924="x"),$S3923,""))</f>
        <v/>
      </c>
      <c r="T3924" t="str">
        <f>IF(D3924=1,MAX($T$2:$T3923)+1,IF(S3924=S3923,$T3923,IF(D3924="x",T3923,IF(D3923="x","",""))))</f>
        <v/>
      </c>
      <c r="U3924" t="str">
        <f>IF(B3924=1,MAX($U$2:$U3923)+1,IF(AND($T3924&lt;&gt;"",$T3924=$T3923),$U3923,IF(B3924="x",U3923,"")))</f>
        <v/>
      </c>
      <c r="V3924" t="str">
        <f>IF(C3924=1,MAX($V$2:$V3923)+1,IF(AND($T3924&lt;&gt;"",$T3924=$T3923),$U3923,IF(C3924="x",V3923,"")))</f>
        <v/>
      </c>
      <c r="X3924" cm="1">
        <f t="array" ref="X3924">IF($I3924&lt;&gt;"",$I3924,INDEX($I$1:$I3924,ROW()-COUNTIFS($T$1:$T3924,"="&amp;$T3924,$S$1:$S3924,"&lt;"&amp;$S3924)))</f>
        <v>0</v>
      </c>
      <c r="Z3924" s="6">
        <f t="shared" si="534"/>
        <v>1</v>
      </c>
      <c r="AA3924" t="e">
        <f t="shared" si="535"/>
        <v>#VALUE!</v>
      </c>
      <c r="AB3924" t="str">
        <f t="shared" si="536"/>
        <v/>
      </c>
      <c r="AC3924" t="e">
        <f t="shared" si="537"/>
        <v>#VALUE!</v>
      </c>
    </row>
    <row r="3925" spans="1:29" x14ac:dyDescent="0.2">
      <c r="A3925" t="str">
        <f t="shared" si="538"/>
        <v/>
      </c>
      <c r="E3925" s="4"/>
      <c r="F3925" s="46"/>
      <c r="G3925" s="4"/>
      <c r="H3925" s="48"/>
      <c r="J3925" s="26" t="str">
        <f t="shared" si="539"/>
        <v/>
      </c>
      <c r="N3925" t="str">
        <f t="shared" si="540"/>
        <v/>
      </c>
      <c r="Q3925" t="str">
        <f t="shared" si="541"/>
        <v/>
      </c>
      <c r="S3925" t="str">
        <f>IF(A3925=1,MAX($S$2:$S3924)+1,IF(OR($I3925&lt;&gt;"",A3925="x"),$S3924,""))</f>
        <v/>
      </c>
      <c r="T3925" t="str">
        <f>IF(D3925=1,MAX($T$2:$T3924)+1,IF(S3925=S3924,$T3924,IF(D3925="x",T3924,IF(D3924="x","",""))))</f>
        <v/>
      </c>
      <c r="U3925" t="str">
        <f>IF(B3925=1,MAX($U$2:$U3924)+1,IF(AND($T3925&lt;&gt;"",$T3925=$T3924),$U3924,IF(B3925="x",U3924,"")))</f>
        <v/>
      </c>
      <c r="V3925" t="str">
        <f>IF(C3925=1,MAX($V$2:$V3924)+1,IF(AND($T3925&lt;&gt;"",$T3925=$T3924),$U3924,IF(C3925="x",V3924,"")))</f>
        <v/>
      </c>
      <c r="X3925" cm="1">
        <f t="array" ref="X3925">IF($I3925&lt;&gt;"",$I3925,INDEX($I$1:$I3925,ROW()-COUNTIFS($T$1:$T3925,"="&amp;$T3925,$S$1:$S3925,"&lt;"&amp;$S3925)))</f>
        <v>0</v>
      </c>
      <c r="Z3925" s="6">
        <f t="shared" si="534"/>
        <v>1</v>
      </c>
      <c r="AA3925" t="e">
        <f t="shared" si="535"/>
        <v>#VALUE!</v>
      </c>
      <c r="AB3925" t="str">
        <f t="shared" si="536"/>
        <v/>
      </c>
      <c r="AC3925" t="e">
        <f t="shared" si="537"/>
        <v>#VALUE!</v>
      </c>
    </row>
    <row r="3926" spans="1:29" x14ac:dyDescent="0.2">
      <c r="A3926" t="str">
        <f t="shared" si="538"/>
        <v/>
      </c>
      <c r="E3926" s="4"/>
      <c r="F3926" s="46"/>
      <c r="G3926" s="4"/>
      <c r="H3926" s="48"/>
      <c r="J3926" s="26" t="str">
        <f t="shared" si="539"/>
        <v/>
      </c>
      <c r="N3926" t="str">
        <f t="shared" si="540"/>
        <v/>
      </c>
      <c r="Q3926" t="str">
        <f t="shared" si="541"/>
        <v/>
      </c>
      <c r="S3926" t="str">
        <f>IF(A3926=1,MAX($S$2:$S3925)+1,IF(OR($I3926&lt;&gt;"",A3926="x"),$S3925,""))</f>
        <v/>
      </c>
      <c r="T3926" t="str">
        <f>IF(D3926=1,MAX($T$2:$T3925)+1,IF(S3926=S3925,$T3925,IF(D3926="x",T3925,IF(D3925="x","",""))))</f>
        <v/>
      </c>
      <c r="U3926" t="str">
        <f>IF(B3926=1,MAX($U$2:$U3925)+1,IF(AND($T3926&lt;&gt;"",$T3926=$T3925),$U3925,IF(B3926="x",U3925,"")))</f>
        <v/>
      </c>
      <c r="V3926" t="str">
        <f>IF(C3926=1,MAX($V$2:$V3925)+1,IF(AND($T3926&lt;&gt;"",$T3926=$T3925),$U3925,IF(C3926="x",V3925,"")))</f>
        <v/>
      </c>
      <c r="X3926" cm="1">
        <f t="array" ref="X3926">IF($I3926&lt;&gt;"",$I3926,INDEX($I$1:$I3926,ROW()-COUNTIFS($T$1:$T3926,"="&amp;$T3926,$S$1:$S3926,"&lt;"&amp;$S3926)))</f>
        <v>0</v>
      </c>
      <c r="Z3926" s="6">
        <f t="shared" si="534"/>
        <v>1</v>
      </c>
      <c r="AA3926" t="e">
        <f t="shared" si="535"/>
        <v>#VALUE!</v>
      </c>
      <c r="AB3926" t="str">
        <f t="shared" si="536"/>
        <v/>
      </c>
      <c r="AC3926" t="e">
        <f t="shared" si="537"/>
        <v>#VALUE!</v>
      </c>
    </row>
    <row r="3927" spans="1:29" x14ac:dyDescent="0.2">
      <c r="A3927" t="str">
        <f t="shared" si="538"/>
        <v/>
      </c>
      <c r="E3927" s="4"/>
      <c r="F3927" s="46"/>
      <c r="G3927" s="4"/>
      <c r="H3927" s="48"/>
      <c r="J3927" s="26" t="str">
        <f t="shared" si="539"/>
        <v/>
      </c>
      <c r="N3927" t="str">
        <f t="shared" si="540"/>
        <v/>
      </c>
      <c r="Q3927" t="str">
        <f t="shared" si="541"/>
        <v/>
      </c>
      <c r="S3927" t="str">
        <f>IF(A3927=1,MAX($S$2:$S3926)+1,IF(OR($I3927&lt;&gt;"",A3927="x"),$S3926,""))</f>
        <v/>
      </c>
      <c r="T3927" t="str">
        <f>IF(D3927=1,MAX($T$2:$T3926)+1,IF(S3927=S3926,$T3926,IF(D3927="x",T3926,IF(D3926="x","",""))))</f>
        <v/>
      </c>
      <c r="U3927" t="str">
        <f>IF(B3927=1,MAX($U$2:$U3926)+1,IF(AND($T3927&lt;&gt;"",$T3927=$T3926),$U3926,IF(B3927="x",U3926,"")))</f>
        <v/>
      </c>
      <c r="V3927" t="str">
        <f>IF(C3927=1,MAX($V$2:$V3926)+1,IF(AND($T3927&lt;&gt;"",$T3927=$T3926),$U3926,IF(C3927="x",V3926,"")))</f>
        <v/>
      </c>
      <c r="X3927" cm="1">
        <f t="array" ref="X3927">IF($I3927&lt;&gt;"",$I3927,INDEX($I$1:$I3927,ROW()-COUNTIFS($T$1:$T3927,"="&amp;$T3927,$S$1:$S3927,"&lt;"&amp;$S3927)))</f>
        <v>0</v>
      </c>
      <c r="Z3927" s="6">
        <f t="shared" si="534"/>
        <v>1</v>
      </c>
      <c r="AA3927" t="e">
        <f t="shared" si="535"/>
        <v>#VALUE!</v>
      </c>
      <c r="AB3927" t="str">
        <f t="shared" si="536"/>
        <v/>
      </c>
      <c r="AC3927" t="e">
        <f t="shared" si="537"/>
        <v>#VALUE!</v>
      </c>
    </row>
    <row r="3928" spans="1:29" x14ac:dyDescent="0.2">
      <c r="A3928" t="str">
        <f t="shared" si="538"/>
        <v/>
      </c>
      <c r="E3928" s="4"/>
      <c r="F3928" s="46"/>
      <c r="G3928" s="4"/>
      <c r="H3928" s="48"/>
      <c r="J3928" s="26" t="str">
        <f t="shared" si="539"/>
        <v/>
      </c>
      <c r="N3928" t="str">
        <f t="shared" si="540"/>
        <v/>
      </c>
      <c r="Q3928" t="str">
        <f t="shared" si="541"/>
        <v/>
      </c>
      <c r="S3928" t="str">
        <f>IF(A3928=1,MAX($S$2:$S3927)+1,IF(OR($I3928&lt;&gt;"",A3928="x"),$S3927,""))</f>
        <v/>
      </c>
      <c r="T3928" t="str">
        <f>IF(D3928=1,MAX($T$2:$T3927)+1,IF(S3928=S3927,$T3927,IF(D3928="x",T3927,IF(D3927="x","",""))))</f>
        <v/>
      </c>
      <c r="U3928" t="str">
        <f>IF(B3928=1,MAX($U$2:$U3927)+1,IF(AND($T3928&lt;&gt;"",$T3928=$T3927),$U3927,IF(B3928="x",U3927,"")))</f>
        <v/>
      </c>
      <c r="V3928" t="str">
        <f>IF(C3928=1,MAX($V$2:$V3927)+1,IF(AND($T3928&lt;&gt;"",$T3928=$T3927),$U3927,IF(C3928="x",V3927,"")))</f>
        <v/>
      </c>
      <c r="X3928" cm="1">
        <f t="array" ref="X3928">IF($I3928&lt;&gt;"",$I3928,INDEX($I$1:$I3928,ROW()-COUNTIFS($T$1:$T3928,"="&amp;$T3928,$S$1:$S3928,"&lt;"&amp;$S3928)))</f>
        <v>0</v>
      </c>
      <c r="Z3928" s="6">
        <f t="shared" si="534"/>
        <v>1</v>
      </c>
      <c r="AA3928" t="e">
        <f t="shared" si="535"/>
        <v>#VALUE!</v>
      </c>
      <c r="AB3928" t="str">
        <f t="shared" si="536"/>
        <v/>
      </c>
      <c r="AC3928" t="e">
        <f t="shared" si="537"/>
        <v>#VALUE!</v>
      </c>
    </row>
    <row r="3929" spans="1:29" x14ac:dyDescent="0.2">
      <c r="A3929" t="str">
        <f t="shared" si="538"/>
        <v/>
      </c>
      <c r="E3929" s="4"/>
      <c r="F3929" s="46"/>
      <c r="G3929" s="4"/>
      <c r="H3929" s="48"/>
      <c r="J3929" s="26" t="str">
        <f t="shared" si="539"/>
        <v/>
      </c>
      <c r="N3929" t="str">
        <f t="shared" si="540"/>
        <v/>
      </c>
      <c r="Q3929" t="str">
        <f t="shared" si="541"/>
        <v/>
      </c>
      <c r="S3929" t="str">
        <f>IF(A3929=1,MAX($S$2:$S3928)+1,IF(OR($I3929&lt;&gt;"",A3929="x"),$S3928,""))</f>
        <v/>
      </c>
      <c r="T3929" t="str">
        <f>IF(D3929=1,MAX($T$2:$T3928)+1,IF(S3929=S3928,$T3928,IF(D3929="x",T3928,IF(D3928="x","",""))))</f>
        <v/>
      </c>
      <c r="U3929" t="str">
        <f>IF(B3929=1,MAX($U$2:$U3928)+1,IF(AND($T3929&lt;&gt;"",$T3929=$T3928),$U3928,IF(B3929="x",U3928,"")))</f>
        <v/>
      </c>
      <c r="V3929" t="str">
        <f>IF(C3929=1,MAX($V$2:$V3928)+1,IF(AND($T3929&lt;&gt;"",$T3929=$T3928),$U3928,IF(C3929="x",V3928,"")))</f>
        <v/>
      </c>
      <c r="X3929" cm="1">
        <f t="array" ref="X3929">IF($I3929&lt;&gt;"",$I3929,INDEX($I$1:$I3929,ROW()-COUNTIFS($T$1:$T3929,"="&amp;$T3929,$S$1:$S3929,"&lt;"&amp;$S3929)))</f>
        <v>0</v>
      </c>
      <c r="Z3929" s="6">
        <f t="shared" si="534"/>
        <v>1</v>
      </c>
      <c r="AA3929" t="e">
        <f t="shared" si="535"/>
        <v>#VALUE!</v>
      </c>
      <c r="AB3929" t="str">
        <f t="shared" si="536"/>
        <v/>
      </c>
      <c r="AC3929" t="e">
        <f t="shared" si="537"/>
        <v>#VALUE!</v>
      </c>
    </row>
    <row r="3930" spans="1:29" x14ac:dyDescent="0.2">
      <c r="A3930" t="str">
        <f t="shared" si="538"/>
        <v/>
      </c>
      <c r="E3930" s="4"/>
      <c r="F3930" s="46"/>
      <c r="G3930" s="4"/>
      <c r="H3930" s="48"/>
      <c r="J3930" s="26" t="str">
        <f t="shared" si="539"/>
        <v/>
      </c>
      <c r="N3930" t="str">
        <f t="shared" si="540"/>
        <v/>
      </c>
      <c r="Q3930" t="str">
        <f t="shared" si="541"/>
        <v/>
      </c>
      <c r="S3930" t="str">
        <f>IF(A3930=1,MAX($S$2:$S3929)+1,IF(OR($I3930&lt;&gt;"",A3930="x"),$S3929,""))</f>
        <v/>
      </c>
      <c r="T3930" t="str">
        <f>IF(D3930=1,MAX($T$2:$T3929)+1,IF(S3930=S3929,$T3929,IF(D3930="x",T3929,IF(D3929="x","",""))))</f>
        <v/>
      </c>
      <c r="U3930" t="str">
        <f>IF(B3930=1,MAX($U$2:$U3929)+1,IF(AND($T3930&lt;&gt;"",$T3930=$T3929),$U3929,IF(B3930="x",U3929,"")))</f>
        <v/>
      </c>
      <c r="V3930" t="str">
        <f>IF(C3930=1,MAX($V$2:$V3929)+1,IF(AND($T3930&lt;&gt;"",$T3930=$T3929),$U3929,IF(C3930="x",V3929,"")))</f>
        <v/>
      </c>
      <c r="X3930" cm="1">
        <f t="array" ref="X3930">IF($I3930&lt;&gt;"",$I3930,INDEX($I$1:$I3930,ROW()-COUNTIFS($T$1:$T3930,"="&amp;$T3930,$S$1:$S3930,"&lt;"&amp;$S3930)))</f>
        <v>0</v>
      </c>
      <c r="Z3930" s="6">
        <f t="shared" si="534"/>
        <v>1</v>
      </c>
      <c r="AA3930" t="e">
        <f t="shared" si="535"/>
        <v>#VALUE!</v>
      </c>
      <c r="AB3930" t="str">
        <f t="shared" si="536"/>
        <v/>
      </c>
      <c r="AC3930" t="e">
        <f t="shared" si="537"/>
        <v>#VALUE!</v>
      </c>
    </row>
    <row r="3931" spans="1:29" x14ac:dyDescent="0.2">
      <c r="A3931" t="str">
        <f t="shared" si="538"/>
        <v/>
      </c>
      <c r="E3931" s="4"/>
      <c r="F3931" s="46"/>
      <c r="G3931" s="4"/>
      <c r="H3931" s="48"/>
      <c r="J3931" s="26" t="str">
        <f t="shared" si="539"/>
        <v/>
      </c>
      <c r="N3931" t="str">
        <f t="shared" si="540"/>
        <v/>
      </c>
      <c r="Q3931" t="str">
        <f t="shared" si="541"/>
        <v/>
      </c>
      <c r="S3931" t="str">
        <f>IF(A3931=1,MAX($S$2:$S3930)+1,IF(OR($I3931&lt;&gt;"",A3931="x"),$S3930,""))</f>
        <v/>
      </c>
      <c r="T3931" t="str">
        <f>IF(D3931=1,MAX($T$2:$T3930)+1,IF(S3931=S3930,$T3930,IF(D3931="x",T3930,IF(D3930="x","",""))))</f>
        <v/>
      </c>
      <c r="U3931" t="str">
        <f>IF(B3931=1,MAX($U$2:$U3930)+1,IF(AND($T3931&lt;&gt;"",$T3931=$T3930),$U3930,IF(B3931="x",U3930,"")))</f>
        <v/>
      </c>
      <c r="V3931" t="str">
        <f>IF(C3931=1,MAX($V$2:$V3930)+1,IF(AND($T3931&lt;&gt;"",$T3931=$T3930),$U3930,IF(C3931="x",V3930,"")))</f>
        <v/>
      </c>
      <c r="X3931" cm="1">
        <f t="array" ref="X3931">IF($I3931&lt;&gt;"",$I3931,INDEX($I$1:$I3931,ROW()-COUNTIFS($T$1:$T3931,"="&amp;$T3931,$S$1:$S3931,"&lt;"&amp;$S3931)))</f>
        <v>0</v>
      </c>
      <c r="Z3931" s="6">
        <f t="shared" si="534"/>
        <v>1</v>
      </c>
      <c r="AA3931" t="e">
        <f t="shared" si="535"/>
        <v>#VALUE!</v>
      </c>
      <c r="AB3931" t="str">
        <f t="shared" si="536"/>
        <v/>
      </c>
      <c r="AC3931" t="e">
        <f t="shared" si="537"/>
        <v>#VALUE!</v>
      </c>
    </row>
    <row r="3932" spans="1:29" x14ac:dyDescent="0.2">
      <c r="A3932" t="str">
        <f t="shared" si="538"/>
        <v/>
      </c>
      <c r="E3932" s="4"/>
      <c r="F3932" s="46"/>
      <c r="G3932" s="4"/>
      <c r="H3932" s="48"/>
      <c r="J3932" s="26" t="str">
        <f t="shared" si="539"/>
        <v/>
      </c>
      <c r="N3932" t="str">
        <f t="shared" si="540"/>
        <v/>
      </c>
      <c r="Q3932" t="str">
        <f t="shared" si="541"/>
        <v/>
      </c>
      <c r="S3932" t="str">
        <f>IF(A3932=1,MAX($S$2:$S3931)+1,IF(OR($I3932&lt;&gt;"",A3932="x"),$S3931,""))</f>
        <v/>
      </c>
      <c r="T3932" t="str">
        <f>IF(D3932=1,MAX($T$2:$T3931)+1,IF(S3932=S3931,$T3931,IF(D3932="x",T3931,IF(D3931="x","",""))))</f>
        <v/>
      </c>
      <c r="U3932" t="str">
        <f>IF(B3932=1,MAX($U$2:$U3931)+1,IF(AND($T3932&lt;&gt;"",$T3932=$T3931),$U3931,IF(B3932="x",U3931,"")))</f>
        <v/>
      </c>
      <c r="V3932" t="str">
        <f>IF(C3932=1,MAX($V$2:$V3931)+1,IF(AND($T3932&lt;&gt;"",$T3932=$T3931),$U3931,IF(C3932="x",V3931,"")))</f>
        <v/>
      </c>
      <c r="X3932" cm="1">
        <f t="array" ref="X3932">IF($I3932&lt;&gt;"",$I3932,INDEX($I$1:$I3932,ROW()-COUNTIFS($T$1:$T3932,"="&amp;$T3932,$S$1:$S3932,"&lt;"&amp;$S3932)))</f>
        <v>0</v>
      </c>
      <c r="Z3932" s="6">
        <f t="shared" si="534"/>
        <v>1</v>
      </c>
      <c r="AA3932" t="e">
        <f t="shared" si="535"/>
        <v>#VALUE!</v>
      </c>
      <c r="AB3932" t="str">
        <f t="shared" si="536"/>
        <v/>
      </c>
      <c r="AC3932" t="e">
        <f t="shared" si="537"/>
        <v>#VALUE!</v>
      </c>
    </row>
    <row r="3933" spans="1:29" x14ac:dyDescent="0.2">
      <c r="A3933" t="str">
        <f t="shared" si="538"/>
        <v/>
      </c>
      <c r="E3933" s="4"/>
      <c r="F3933" s="46"/>
      <c r="G3933" s="4"/>
      <c r="H3933" s="48"/>
      <c r="J3933" s="26" t="str">
        <f t="shared" si="539"/>
        <v/>
      </c>
      <c r="N3933" t="str">
        <f t="shared" si="540"/>
        <v/>
      </c>
      <c r="Q3933" t="str">
        <f t="shared" si="541"/>
        <v/>
      </c>
      <c r="S3933" t="str">
        <f>IF(A3933=1,MAX($S$2:$S3932)+1,IF(OR($I3933&lt;&gt;"",A3933="x"),$S3932,""))</f>
        <v/>
      </c>
      <c r="T3933" t="str">
        <f>IF(D3933=1,MAX($T$2:$T3932)+1,IF(S3933=S3932,$T3932,IF(D3933="x",T3932,IF(D3932="x","",""))))</f>
        <v/>
      </c>
      <c r="U3933" t="str">
        <f>IF(B3933=1,MAX($U$2:$U3932)+1,IF(AND($T3933&lt;&gt;"",$T3933=$T3932),$U3932,IF(B3933="x",U3932,"")))</f>
        <v/>
      </c>
      <c r="V3933" t="str">
        <f>IF(C3933=1,MAX($V$2:$V3932)+1,IF(AND($T3933&lt;&gt;"",$T3933=$T3932),$U3932,IF(C3933="x",V3932,"")))</f>
        <v/>
      </c>
      <c r="X3933" cm="1">
        <f t="array" ref="X3933">IF($I3933&lt;&gt;"",$I3933,INDEX($I$1:$I3933,ROW()-COUNTIFS($T$1:$T3933,"="&amp;$T3933,$S$1:$S3933,"&lt;"&amp;$S3933)))</f>
        <v>0</v>
      </c>
      <c r="Z3933" s="6">
        <f t="shared" si="534"/>
        <v>1</v>
      </c>
      <c r="AA3933" t="e">
        <f t="shared" si="535"/>
        <v>#VALUE!</v>
      </c>
      <c r="AB3933" t="str">
        <f t="shared" si="536"/>
        <v/>
      </c>
      <c r="AC3933" t="e">
        <f t="shared" si="537"/>
        <v>#VALUE!</v>
      </c>
    </row>
    <row r="3934" spans="1:29" x14ac:dyDescent="0.2">
      <c r="A3934" t="str">
        <f t="shared" si="538"/>
        <v/>
      </c>
      <c r="E3934" s="4"/>
      <c r="F3934" s="46"/>
      <c r="G3934" s="4"/>
      <c r="H3934" s="48"/>
      <c r="J3934" s="26" t="str">
        <f t="shared" si="539"/>
        <v/>
      </c>
      <c r="N3934" t="str">
        <f t="shared" si="540"/>
        <v/>
      </c>
      <c r="Q3934" t="str">
        <f t="shared" si="541"/>
        <v/>
      </c>
      <c r="S3934" t="str">
        <f>IF(A3934=1,MAX($S$2:$S3933)+1,IF(OR($I3934&lt;&gt;"",A3934="x"),$S3933,""))</f>
        <v/>
      </c>
      <c r="T3934" t="str">
        <f>IF(D3934=1,MAX($T$2:$T3933)+1,IF(S3934=S3933,$T3933,IF(D3934="x",T3933,IF(D3933="x","",""))))</f>
        <v/>
      </c>
      <c r="U3934" t="str">
        <f>IF(B3934=1,MAX($U$2:$U3933)+1,IF(AND($T3934&lt;&gt;"",$T3934=$T3933),$U3933,IF(B3934="x",U3933,"")))</f>
        <v/>
      </c>
      <c r="V3934" t="str">
        <f>IF(C3934=1,MAX($V$2:$V3933)+1,IF(AND($T3934&lt;&gt;"",$T3934=$T3933),$U3933,IF(C3934="x",V3933,"")))</f>
        <v/>
      </c>
      <c r="X3934" cm="1">
        <f t="array" ref="X3934">IF($I3934&lt;&gt;"",$I3934,INDEX($I$1:$I3934,ROW()-COUNTIFS($T$1:$T3934,"="&amp;$T3934,$S$1:$S3934,"&lt;"&amp;$S3934)))</f>
        <v>0</v>
      </c>
      <c r="Z3934" s="6">
        <f t="shared" si="534"/>
        <v>1</v>
      </c>
      <c r="AA3934" t="e">
        <f t="shared" si="535"/>
        <v>#VALUE!</v>
      </c>
      <c r="AB3934" t="str">
        <f t="shared" si="536"/>
        <v/>
      </c>
      <c r="AC3934" t="e">
        <f t="shared" si="537"/>
        <v>#VALUE!</v>
      </c>
    </row>
    <row r="3935" spans="1:29" x14ac:dyDescent="0.2">
      <c r="A3935" t="str">
        <f t="shared" si="538"/>
        <v/>
      </c>
      <c r="E3935" s="4"/>
      <c r="F3935" s="46"/>
      <c r="G3935" s="4"/>
      <c r="H3935" s="48"/>
      <c r="J3935" s="26" t="str">
        <f t="shared" si="539"/>
        <v/>
      </c>
      <c r="N3935" t="str">
        <f t="shared" si="540"/>
        <v/>
      </c>
      <c r="Q3935" t="str">
        <f t="shared" si="541"/>
        <v/>
      </c>
      <c r="S3935" t="str">
        <f>IF(A3935=1,MAX($S$2:$S3934)+1,IF(OR($I3935&lt;&gt;"",A3935="x"),$S3934,""))</f>
        <v/>
      </c>
      <c r="T3935" t="str">
        <f>IF(D3935=1,MAX($T$2:$T3934)+1,IF(S3935=S3934,$T3934,IF(D3935="x",T3934,IF(D3934="x","",""))))</f>
        <v/>
      </c>
      <c r="U3935" t="str">
        <f>IF(B3935=1,MAX($U$2:$U3934)+1,IF(AND($T3935&lt;&gt;"",$T3935=$T3934),$U3934,IF(B3935="x",U3934,"")))</f>
        <v/>
      </c>
      <c r="V3935" t="str">
        <f>IF(C3935=1,MAX($V$2:$V3934)+1,IF(AND($T3935&lt;&gt;"",$T3935=$T3934),$U3934,IF(C3935="x",V3934,"")))</f>
        <v/>
      </c>
      <c r="X3935" cm="1">
        <f t="array" ref="X3935">IF($I3935&lt;&gt;"",$I3935,INDEX($I$1:$I3935,ROW()-COUNTIFS($T$1:$T3935,"="&amp;$T3935,$S$1:$S3935,"&lt;"&amp;$S3935)))</f>
        <v>0</v>
      </c>
      <c r="Z3935" s="6">
        <f t="shared" si="534"/>
        <v>1</v>
      </c>
      <c r="AA3935" t="e">
        <f t="shared" si="535"/>
        <v>#VALUE!</v>
      </c>
      <c r="AB3935" t="str">
        <f t="shared" si="536"/>
        <v/>
      </c>
      <c r="AC3935" t="e">
        <f t="shared" si="537"/>
        <v>#VALUE!</v>
      </c>
    </row>
    <row r="3936" spans="1:29" x14ac:dyDescent="0.2">
      <c r="A3936" t="str">
        <f t="shared" si="538"/>
        <v/>
      </c>
      <c r="E3936" s="4"/>
      <c r="F3936" s="46"/>
      <c r="G3936" s="4"/>
      <c r="H3936" s="48"/>
      <c r="J3936" s="26" t="str">
        <f t="shared" si="539"/>
        <v/>
      </c>
      <c r="N3936" t="str">
        <f t="shared" si="540"/>
        <v/>
      </c>
      <c r="Q3936" t="str">
        <f t="shared" si="541"/>
        <v/>
      </c>
      <c r="S3936" t="str">
        <f>IF(A3936=1,MAX($S$2:$S3935)+1,IF(OR($I3936&lt;&gt;"",A3936="x"),$S3935,""))</f>
        <v/>
      </c>
      <c r="T3936" t="str">
        <f>IF(D3936=1,MAX($T$2:$T3935)+1,IF(S3936=S3935,$T3935,IF(D3936="x",T3935,IF(D3935="x","",""))))</f>
        <v/>
      </c>
      <c r="U3936" t="str">
        <f>IF(B3936=1,MAX($U$2:$U3935)+1,IF(AND($T3936&lt;&gt;"",$T3936=$T3935),$U3935,IF(B3936="x",U3935,"")))</f>
        <v/>
      </c>
      <c r="V3936" t="str">
        <f>IF(C3936=1,MAX($V$2:$V3935)+1,IF(AND($T3936&lt;&gt;"",$T3936=$T3935),$U3935,IF(C3936="x",V3935,"")))</f>
        <v/>
      </c>
      <c r="X3936" cm="1">
        <f t="array" ref="X3936">IF($I3936&lt;&gt;"",$I3936,INDEX($I$1:$I3936,ROW()-COUNTIFS($T$1:$T3936,"="&amp;$T3936,$S$1:$S3936,"&lt;"&amp;$S3936)))</f>
        <v>0</v>
      </c>
      <c r="Z3936" s="6">
        <f t="shared" si="534"/>
        <v>1</v>
      </c>
      <c r="AA3936" t="e">
        <f t="shared" si="535"/>
        <v>#VALUE!</v>
      </c>
      <c r="AB3936" t="str">
        <f t="shared" si="536"/>
        <v/>
      </c>
      <c r="AC3936" t="e">
        <f t="shared" si="537"/>
        <v>#VALUE!</v>
      </c>
    </row>
    <row r="3937" spans="1:29" x14ac:dyDescent="0.2">
      <c r="A3937" t="str">
        <f t="shared" si="538"/>
        <v/>
      </c>
      <c r="E3937" s="4"/>
      <c r="F3937" s="46"/>
      <c r="G3937" s="4"/>
      <c r="H3937" s="48"/>
      <c r="J3937" s="26" t="str">
        <f t="shared" si="539"/>
        <v/>
      </c>
      <c r="N3937" t="str">
        <f t="shared" si="540"/>
        <v/>
      </c>
      <c r="Q3937" t="str">
        <f t="shared" si="541"/>
        <v/>
      </c>
      <c r="S3937" t="str">
        <f>IF(A3937=1,MAX($S$2:$S3936)+1,IF(OR($I3937&lt;&gt;"",A3937="x"),$S3936,""))</f>
        <v/>
      </c>
      <c r="T3937" t="str">
        <f>IF(D3937=1,MAX($T$2:$T3936)+1,IF(S3937=S3936,$T3936,IF(D3937="x",T3936,IF(D3936="x","",""))))</f>
        <v/>
      </c>
      <c r="U3937" t="str">
        <f>IF(B3937=1,MAX($U$2:$U3936)+1,IF(AND($T3937&lt;&gt;"",$T3937=$T3936),$U3936,IF(B3937="x",U3936,"")))</f>
        <v/>
      </c>
      <c r="V3937" t="str">
        <f>IF(C3937=1,MAX($V$2:$V3936)+1,IF(AND($T3937&lt;&gt;"",$T3937=$T3936),$U3936,IF(C3937="x",V3936,"")))</f>
        <v/>
      </c>
      <c r="X3937" cm="1">
        <f t="array" ref="X3937">IF($I3937&lt;&gt;"",$I3937,INDEX($I$1:$I3937,ROW()-COUNTIFS($T$1:$T3937,"="&amp;$T3937,$S$1:$S3937,"&lt;"&amp;$S3937)))</f>
        <v>0</v>
      </c>
      <c r="Z3937" s="6">
        <f t="shared" si="534"/>
        <v>1</v>
      </c>
      <c r="AA3937" t="e">
        <f t="shared" si="535"/>
        <v>#VALUE!</v>
      </c>
      <c r="AB3937" t="str">
        <f t="shared" si="536"/>
        <v/>
      </c>
      <c r="AC3937" t="e">
        <f t="shared" si="537"/>
        <v>#VALUE!</v>
      </c>
    </row>
    <row r="3938" spans="1:29" x14ac:dyDescent="0.2">
      <c r="A3938" t="str">
        <f t="shared" si="538"/>
        <v/>
      </c>
      <c r="E3938" s="4"/>
      <c r="F3938" s="46"/>
      <c r="G3938" s="4"/>
      <c r="H3938" s="48"/>
      <c r="J3938" s="26" t="str">
        <f t="shared" si="539"/>
        <v/>
      </c>
      <c r="N3938" t="str">
        <f t="shared" si="540"/>
        <v/>
      </c>
      <c r="Q3938" t="str">
        <f t="shared" si="541"/>
        <v/>
      </c>
      <c r="S3938" t="str">
        <f>IF(A3938=1,MAX($S$2:$S3937)+1,IF(OR($I3938&lt;&gt;"",A3938="x"),$S3937,""))</f>
        <v/>
      </c>
      <c r="T3938" t="str">
        <f>IF(D3938=1,MAX($T$2:$T3937)+1,IF(S3938=S3937,$T3937,IF(D3938="x",T3937,IF(D3937="x","",""))))</f>
        <v/>
      </c>
      <c r="U3938" t="str">
        <f>IF(B3938=1,MAX($U$2:$U3937)+1,IF(AND($T3938&lt;&gt;"",$T3938=$T3937),$U3937,IF(B3938="x",U3937,"")))</f>
        <v/>
      </c>
      <c r="V3938" t="str">
        <f>IF(C3938=1,MAX($V$2:$V3937)+1,IF(AND($T3938&lt;&gt;"",$T3938=$T3937),$U3937,IF(C3938="x",V3937,"")))</f>
        <v/>
      </c>
      <c r="X3938" cm="1">
        <f t="array" ref="X3938">IF($I3938&lt;&gt;"",$I3938,INDEX($I$1:$I3938,ROW()-COUNTIFS($T$1:$T3938,"="&amp;$T3938,$S$1:$S3938,"&lt;"&amp;$S3938)))</f>
        <v>0</v>
      </c>
      <c r="Z3938" s="6">
        <f t="shared" si="534"/>
        <v>1</v>
      </c>
      <c r="AA3938" t="e">
        <f t="shared" si="535"/>
        <v>#VALUE!</v>
      </c>
      <c r="AB3938" t="str">
        <f t="shared" si="536"/>
        <v/>
      </c>
      <c r="AC3938" t="e">
        <f t="shared" si="537"/>
        <v>#VALUE!</v>
      </c>
    </row>
    <row r="3939" spans="1:29" x14ac:dyDescent="0.2">
      <c r="A3939" t="str">
        <f t="shared" si="538"/>
        <v/>
      </c>
      <c r="E3939" s="4"/>
      <c r="F3939" s="46"/>
      <c r="G3939" s="4"/>
      <c r="H3939" s="48"/>
      <c r="J3939" s="26" t="str">
        <f t="shared" si="539"/>
        <v/>
      </c>
      <c r="N3939" t="str">
        <f t="shared" si="540"/>
        <v/>
      </c>
      <c r="Q3939" t="str">
        <f t="shared" si="541"/>
        <v/>
      </c>
      <c r="S3939" t="str">
        <f>IF(A3939=1,MAX($S$2:$S3938)+1,IF(OR($I3939&lt;&gt;"",A3939="x"),$S3938,""))</f>
        <v/>
      </c>
      <c r="T3939" t="str">
        <f>IF(D3939=1,MAX($T$2:$T3938)+1,IF(S3939=S3938,$T3938,IF(D3939="x",T3938,IF(D3938="x","",""))))</f>
        <v/>
      </c>
      <c r="U3939" t="str">
        <f>IF(B3939=1,MAX($U$2:$U3938)+1,IF(AND($T3939&lt;&gt;"",$T3939=$T3938),$U3938,IF(B3939="x",U3938,"")))</f>
        <v/>
      </c>
      <c r="V3939" t="str">
        <f>IF(C3939=1,MAX($V$2:$V3938)+1,IF(AND($T3939&lt;&gt;"",$T3939=$T3938),$U3938,IF(C3939="x",V3938,"")))</f>
        <v/>
      </c>
      <c r="X3939" cm="1">
        <f t="array" ref="X3939">IF($I3939&lt;&gt;"",$I3939,INDEX($I$1:$I3939,ROW()-COUNTIFS($T$1:$T3939,"="&amp;$T3939,$S$1:$S3939,"&lt;"&amp;$S3939)))</f>
        <v>0</v>
      </c>
      <c r="Z3939" s="6">
        <f t="shared" si="534"/>
        <v>1</v>
      </c>
      <c r="AA3939" t="e">
        <f t="shared" si="535"/>
        <v>#VALUE!</v>
      </c>
      <c r="AB3939" t="str">
        <f t="shared" si="536"/>
        <v/>
      </c>
      <c r="AC3939" t="e">
        <f t="shared" si="537"/>
        <v>#VALUE!</v>
      </c>
    </row>
    <row r="3940" spans="1:29" x14ac:dyDescent="0.2">
      <c r="A3940" t="str">
        <f t="shared" si="538"/>
        <v/>
      </c>
      <c r="E3940" s="4"/>
      <c r="F3940" s="46"/>
      <c r="G3940" s="4"/>
      <c r="H3940" s="48"/>
      <c r="J3940" s="26" t="str">
        <f t="shared" si="539"/>
        <v/>
      </c>
      <c r="N3940" t="str">
        <f t="shared" si="540"/>
        <v/>
      </c>
      <c r="Q3940" t="str">
        <f t="shared" si="541"/>
        <v/>
      </c>
      <c r="S3940" t="str">
        <f>IF(A3940=1,MAX($S$2:$S3939)+1,IF(OR($I3940&lt;&gt;"",A3940="x"),$S3939,""))</f>
        <v/>
      </c>
      <c r="T3940" t="str">
        <f>IF(D3940=1,MAX($T$2:$T3939)+1,IF(S3940=S3939,$T3939,IF(D3940="x",T3939,IF(D3939="x","",""))))</f>
        <v/>
      </c>
      <c r="U3940" t="str">
        <f>IF(B3940=1,MAX($U$2:$U3939)+1,IF(AND($T3940&lt;&gt;"",$T3940=$T3939),$U3939,IF(B3940="x",U3939,"")))</f>
        <v/>
      </c>
      <c r="V3940" t="str">
        <f>IF(C3940=1,MAX($V$2:$V3939)+1,IF(AND($T3940&lt;&gt;"",$T3940=$T3939),$U3939,IF(C3940="x",V3939,"")))</f>
        <v/>
      </c>
      <c r="X3940" cm="1">
        <f t="array" ref="X3940">IF($I3940&lt;&gt;"",$I3940,INDEX($I$1:$I3940,ROW()-COUNTIFS($T$1:$T3940,"="&amp;$T3940,$S$1:$S3940,"&lt;"&amp;$S3940)))</f>
        <v>0</v>
      </c>
      <c r="Z3940" s="6">
        <f t="shared" si="534"/>
        <v>1</v>
      </c>
      <c r="AA3940" t="e">
        <f t="shared" si="535"/>
        <v>#VALUE!</v>
      </c>
      <c r="AB3940" t="str">
        <f t="shared" si="536"/>
        <v/>
      </c>
      <c r="AC3940" t="e">
        <f t="shared" si="537"/>
        <v>#VALUE!</v>
      </c>
    </row>
    <row r="3941" spans="1:29" x14ac:dyDescent="0.2">
      <c r="A3941" t="str">
        <f t="shared" si="538"/>
        <v/>
      </c>
      <c r="E3941" s="4"/>
      <c r="F3941" s="46"/>
      <c r="G3941" s="4"/>
      <c r="H3941" s="48"/>
      <c r="J3941" s="26" t="str">
        <f t="shared" si="539"/>
        <v/>
      </c>
      <c r="N3941" t="str">
        <f t="shared" si="540"/>
        <v/>
      </c>
      <c r="Q3941" t="str">
        <f t="shared" si="541"/>
        <v/>
      </c>
      <c r="S3941" t="str">
        <f>IF(A3941=1,MAX($S$2:$S3940)+1,IF(OR($I3941&lt;&gt;"",A3941="x"),$S3940,""))</f>
        <v/>
      </c>
      <c r="T3941" t="str">
        <f>IF(D3941=1,MAX($T$2:$T3940)+1,IF(S3941=S3940,$T3940,IF(D3941="x",T3940,IF(D3940="x","",""))))</f>
        <v/>
      </c>
      <c r="U3941" t="str">
        <f>IF(B3941=1,MAX($U$2:$U3940)+1,IF(AND($T3941&lt;&gt;"",$T3941=$T3940),$U3940,IF(B3941="x",U3940,"")))</f>
        <v/>
      </c>
      <c r="V3941" t="str">
        <f>IF(C3941=1,MAX($V$2:$V3940)+1,IF(AND($T3941&lt;&gt;"",$T3941=$T3940),$U3940,IF(C3941="x",V3940,"")))</f>
        <v/>
      </c>
      <c r="X3941" cm="1">
        <f t="array" ref="X3941">IF($I3941&lt;&gt;"",$I3941,INDEX($I$1:$I3941,ROW()-COUNTIFS($T$1:$T3941,"="&amp;$T3941,$S$1:$S3941,"&lt;"&amp;$S3941)))</f>
        <v>0</v>
      </c>
      <c r="Z3941" s="6">
        <f t="shared" si="534"/>
        <v>1</v>
      </c>
      <c r="AA3941" t="e">
        <f t="shared" si="535"/>
        <v>#VALUE!</v>
      </c>
      <c r="AB3941" t="str">
        <f t="shared" si="536"/>
        <v/>
      </c>
      <c r="AC3941" t="e">
        <f t="shared" si="537"/>
        <v>#VALUE!</v>
      </c>
    </row>
    <row r="3942" spans="1:29" x14ac:dyDescent="0.2">
      <c r="A3942" t="str">
        <f t="shared" si="538"/>
        <v/>
      </c>
      <c r="E3942" s="4"/>
      <c r="F3942" s="46"/>
      <c r="G3942" s="4"/>
      <c r="H3942" s="48"/>
      <c r="J3942" s="26" t="str">
        <f t="shared" si="539"/>
        <v/>
      </c>
      <c r="N3942" t="str">
        <f t="shared" si="540"/>
        <v/>
      </c>
      <c r="Q3942" t="str">
        <f t="shared" si="541"/>
        <v/>
      </c>
      <c r="S3942" t="str">
        <f>IF(A3942=1,MAX($S$2:$S3941)+1,IF(OR($I3942&lt;&gt;"",A3942="x"),$S3941,""))</f>
        <v/>
      </c>
      <c r="T3942" t="str">
        <f>IF(D3942=1,MAX($T$2:$T3941)+1,IF(S3942=S3941,$T3941,IF(D3942="x",T3941,IF(D3941="x","",""))))</f>
        <v/>
      </c>
      <c r="U3942" t="str">
        <f>IF(B3942=1,MAX($U$2:$U3941)+1,IF(AND($T3942&lt;&gt;"",$T3942=$T3941),$U3941,IF(B3942="x",U3941,"")))</f>
        <v/>
      </c>
      <c r="V3942" t="str">
        <f>IF(C3942=1,MAX($V$2:$V3941)+1,IF(AND($T3942&lt;&gt;"",$T3942=$T3941),$U3941,IF(C3942="x",V3941,"")))</f>
        <v/>
      </c>
      <c r="X3942" cm="1">
        <f t="array" ref="X3942">IF($I3942&lt;&gt;"",$I3942,INDEX($I$1:$I3942,ROW()-COUNTIFS($T$1:$T3942,"="&amp;$T3942,$S$1:$S3942,"&lt;"&amp;$S3942)))</f>
        <v>0</v>
      </c>
      <c r="Z3942" s="6">
        <f t="shared" si="534"/>
        <v>1</v>
      </c>
      <c r="AA3942" t="e">
        <f t="shared" si="535"/>
        <v>#VALUE!</v>
      </c>
      <c r="AB3942" t="str">
        <f t="shared" si="536"/>
        <v/>
      </c>
      <c r="AC3942" t="e">
        <f t="shared" si="537"/>
        <v>#VALUE!</v>
      </c>
    </row>
    <row r="3943" spans="1:29" x14ac:dyDescent="0.2">
      <c r="A3943" t="str">
        <f t="shared" si="538"/>
        <v/>
      </c>
      <c r="E3943" s="4"/>
      <c r="F3943" s="46"/>
      <c r="G3943" s="4"/>
      <c r="H3943" s="48"/>
      <c r="J3943" s="26" t="str">
        <f t="shared" si="539"/>
        <v/>
      </c>
      <c r="N3943" t="str">
        <f t="shared" si="540"/>
        <v/>
      </c>
      <c r="Q3943" t="str">
        <f t="shared" si="541"/>
        <v/>
      </c>
      <c r="S3943" t="str">
        <f>IF(A3943=1,MAX($S$2:$S3942)+1,IF(OR($I3943&lt;&gt;"",A3943="x"),$S3942,""))</f>
        <v/>
      </c>
      <c r="T3943" t="str">
        <f>IF(D3943=1,MAX($T$2:$T3942)+1,IF(S3943=S3942,$T3942,IF(D3943="x",T3942,IF(D3942="x","",""))))</f>
        <v/>
      </c>
      <c r="U3943" t="str">
        <f>IF(B3943=1,MAX($U$2:$U3942)+1,IF(AND($T3943&lt;&gt;"",$T3943=$T3942),$U3942,IF(B3943="x",U3942,"")))</f>
        <v/>
      </c>
      <c r="V3943" t="str">
        <f>IF(C3943=1,MAX($V$2:$V3942)+1,IF(AND($T3943&lt;&gt;"",$T3943=$T3942),$U3942,IF(C3943="x",V3942,"")))</f>
        <v/>
      </c>
      <c r="X3943" cm="1">
        <f t="array" ref="X3943">IF($I3943&lt;&gt;"",$I3943,INDEX($I$1:$I3943,ROW()-COUNTIFS($T$1:$T3943,"="&amp;$T3943,$S$1:$S3943,"&lt;"&amp;$S3943)))</f>
        <v>0</v>
      </c>
      <c r="Z3943" s="6">
        <f t="shared" si="534"/>
        <v>1</v>
      </c>
      <c r="AA3943" t="e">
        <f t="shared" si="535"/>
        <v>#VALUE!</v>
      </c>
      <c r="AB3943" t="str">
        <f t="shared" si="536"/>
        <v/>
      </c>
      <c r="AC3943" t="e">
        <f t="shared" si="537"/>
        <v>#VALUE!</v>
      </c>
    </row>
    <row r="3944" spans="1:29" x14ac:dyDescent="0.2">
      <c r="A3944" t="str">
        <f t="shared" si="538"/>
        <v/>
      </c>
      <c r="E3944" s="4"/>
      <c r="F3944" s="46"/>
      <c r="G3944" s="4"/>
      <c r="H3944" s="48"/>
      <c r="J3944" s="26" t="str">
        <f t="shared" si="539"/>
        <v/>
      </c>
      <c r="N3944" t="str">
        <f t="shared" si="540"/>
        <v/>
      </c>
      <c r="Q3944" t="str">
        <f t="shared" si="541"/>
        <v/>
      </c>
      <c r="S3944" t="str">
        <f>IF(A3944=1,MAX($S$2:$S3943)+1,IF(OR($I3944&lt;&gt;"",A3944="x"),$S3943,""))</f>
        <v/>
      </c>
      <c r="T3944" t="str">
        <f>IF(D3944=1,MAX($T$2:$T3943)+1,IF(S3944=S3943,$T3943,IF(D3944="x",T3943,IF(D3943="x","",""))))</f>
        <v/>
      </c>
      <c r="U3944" t="str">
        <f>IF(B3944=1,MAX($U$2:$U3943)+1,IF(AND($T3944&lt;&gt;"",$T3944=$T3943),$U3943,IF(B3944="x",U3943,"")))</f>
        <v/>
      </c>
      <c r="V3944" t="str">
        <f>IF(C3944=1,MAX($V$2:$V3943)+1,IF(AND($T3944&lt;&gt;"",$T3944=$T3943),$U3943,IF(C3944="x",V3943,"")))</f>
        <v/>
      </c>
      <c r="X3944" cm="1">
        <f t="array" ref="X3944">IF($I3944&lt;&gt;"",$I3944,INDEX($I$1:$I3944,ROW()-COUNTIFS($T$1:$T3944,"="&amp;$T3944,$S$1:$S3944,"&lt;"&amp;$S3944)))</f>
        <v>0</v>
      </c>
      <c r="Z3944" s="6">
        <f t="shared" si="534"/>
        <v>1</v>
      </c>
      <c r="AA3944" t="e">
        <f t="shared" si="535"/>
        <v>#VALUE!</v>
      </c>
      <c r="AB3944" t="str">
        <f t="shared" si="536"/>
        <v/>
      </c>
      <c r="AC3944" t="e">
        <f t="shared" si="537"/>
        <v>#VALUE!</v>
      </c>
    </row>
    <row r="3945" spans="1:29" x14ac:dyDescent="0.2">
      <c r="A3945" t="str">
        <f t="shared" si="538"/>
        <v/>
      </c>
      <c r="E3945" s="4"/>
      <c r="F3945" s="46"/>
      <c r="G3945" s="4"/>
      <c r="H3945" s="48"/>
      <c r="J3945" s="26" t="str">
        <f t="shared" si="539"/>
        <v/>
      </c>
      <c r="N3945" t="str">
        <f t="shared" si="540"/>
        <v/>
      </c>
      <c r="Q3945" t="str">
        <f t="shared" si="541"/>
        <v/>
      </c>
      <c r="S3945" t="str">
        <f>IF(A3945=1,MAX($S$2:$S3944)+1,IF(OR($I3945&lt;&gt;"",A3945="x"),$S3944,""))</f>
        <v/>
      </c>
      <c r="T3945" t="str">
        <f>IF(D3945=1,MAX($T$2:$T3944)+1,IF(S3945=S3944,$T3944,IF(D3945="x",T3944,IF(D3944="x","",""))))</f>
        <v/>
      </c>
      <c r="U3945" t="str">
        <f>IF(B3945=1,MAX($U$2:$U3944)+1,IF(AND($T3945&lt;&gt;"",$T3945=$T3944),$U3944,IF(B3945="x",U3944,"")))</f>
        <v/>
      </c>
      <c r="V3945" t="str">
        <f>IF(C3945=1,MAX($V$2:$V3944)+1,IF(AND($T3945&lt;&gt;"",$T3945=$T3944),$U3944,IF(C3945="x",V3944,"")))</f>
        <v/>
      </c>
      <c r="X3945" cm="1">
        <f t="array" ref="X3945">IF($I3945&lt;&gt;"",$I3945,INDEX($I$1:$I3945,ROW()-COUNTIFS($T$1:$T3945,"="&amp;$T3945,$S$1:$S3945,"&lt;"&amp;$S3945)))</f>
        <v>0</v>
      </c>
      <c r="Z3945" s="6">
        <f t="shared" si="534"/>
        <v>1</v>
      </c>
      <c r="AA3945" t="e">
        <f t="shared" si="535"/>
        <v>#VALUE!</v>
      </c>
      <c r="AB3945" t="str">
        <f t="shared" si="536"/>
        <v/>
      </c>
      <c r="AC3945" t="e">
        <f t="shared" si="537"/>
        <v>#VALUE!</v>
      </c>
    </row>
    <row r="3946" spans="1:29" x14ac:dyDescent="0.2">
      <c r="A3946" t="str">
        <f t="shared" si="538"/>
        <v/>
      </c>
      <c r="E3946" s="4"/>
      <c r="F3946" s="46"/>
      <c r="G3946" s="4"/>
      <c r="H3946" s="48"/>
      <c r="J3946" s="26" t="str">
        <f t="shared" si="539"/>
        <v/>
      </c>
      <c r="N3946" t="str">
        <f t="shared" si="540"/>
        <v/>
      </c>
      <c r="Q3946" t="str">
        <f t="shared" si="541"/>
        <v/>
      </c>
      <c r="S3946" t="str">
        <f>IF(A3946=1,MAX($S$2:$S3945)+1,IF(OR($I3946&lt;&gt;"",A3946="x"),$S3945,""))</f>
        <v/>
      </c>
      <c r="T3946" t="str">
        <f>IF(D3946=1,MAX($T$2:$T3945)+1,IF(S3946=S3945,$T3945,IF(D3946="x",T3945,IF(D3945="x","",""))))</f>
        <v/>
      </c>
      <c r="U3946" t="str">
        <f>IF(B3946=1,MAX($U$2:$U3945)+1,IF(AND($T3946&lt;&gt;"",$T3946=$T3945),$U3945,IF(B3946="x",U3945,"")))</f>
        <v/>
      </c>
      <c r="V3946" t="str">
        <f>IF(C3946=1,MAX($V$2:$V3945)+1,IF(AND($T3946&lt;&gt;"",$T3946=$T3945),$U3945,IF(C3946="x",V3945,"")))</f>
        <v/>
      </c>
      <c r="X3946" cm="1">
        <f t="array" ref="X3946">IF($I3946&lt;&gt;"",$I3946,INDEX($I$1:$I3946,ROW()-COUNTIFS($T$1:$T3946,"="&amp;$T3946,$S$1:$S3946,"&lt;"&amp;$S3946)))</f>
        <v>0</v>
      </c>
      <c r="Z3946" s="6">
        <f t="shared" si="534"/>
        <v>1</v>
      </c>
      <c r="AA3946" t="e">
        <f t="shared" si="535"/>
        <v>#VALUE!</v>
      </c>
      <c r="AB3946" t="str">
        <f t="shared" si="536"/>
        <v/>
      </c>
      <c r="AC3946" t="e">
        <f t="shared" si="537"/>
        <v>#VALUE!</v>
      </c>
    </row>
    <row r="3947" spans="1:29" x14ac:dyDescent="0.2">
      <c r="A3947" t="str">
        <f t="shared" si="538"/>
        <v/>
      </c>
      <c r="E3947" s="4"/>
      <c r="F3947" s="46"/>
      <c r="G3947" s="4"/>
      <c r="H3947" s="48"/>
      <c r="J3947" s="26" t="str">
        <f t="shared" si="539"/>
        <v/>
      </c>
      <c r="N3947" t="str">
        <f t="shared" si="540"/>
        <v/>
      </c>
      <c r="Q3947" t="str">
        <f t="shared" si="541"/>
        <v/>
      </c>
      <c r="S3947" t="str">
        <f>IF(A3947=1,MAX($S$2:$S3946)+1,IF(OR($I3947&lt;&gt;"",A3947="x"),$S3946,""))</f>
        <v/>
      </c>
      <c r="T3947" t="str">
        <f>IF(D3947=1,MAX($T$2:$T3946)+1,IF(S3947=S3946,$T3946,IF(D3947="x",T3946,IF(D3946="x","",""))))</f>
        <v/>
      </c>
      <c r="U3947" t="str">
        <f>IF(B3947=1,MAX($U$2:$U3946)+1,IF(AND($T3947&lt;&gt;"",$T3947=$T3946),$U3946,IF(B3947="x",U3946,"")))</f>
        <v/>
      </c>
      <c r="V3947" t="str">
        <f>IF(C3947=1,MAX($V$2:$V3946)+1,IF(AND($T3947&lt;&gt;"",$T3947=$T3946),$U3946,IF(C3947="x",V3946,"")))</f>
        <v/>
      </c>
      <c r="X3947" cm="1">
        <f t="array" ref="X3947">IF($I3947&lt;&gt;"",$I3947,INDEX($I$1:$I3947,ROW()-COUNTIFS($T$1:$T3947,"="&amp;$T3947,$S$1:$S3947,"&lt;"&amp;$S3947)))</f>
        <v>0</v>
      </c>
      <c r="Z3947" s="6">
        <f t="shared" si="534"/>
        <v>1</v>
      </c>
      <c r="AA3947" t="e">
        <f t="shared" si="535"/>
        <v>#VALUE!</v>
      </c>
      <c r="AB3947" t="str">
        <f t="shared" si="536"/>
        <v/>
      </c>
      <c r="AC3947" t="e">
        <f t="shared" si="537"/>
        <v>#VALUE!</v>
      </c>
    </row>
    <row r="3948" spans="1:29" x14ac:dyDescent="0.2">
      <c r="A3948" t="str">
        <f t="shared" si="538"/>
        <v/>
      </c>
      <c r="E3948" s="4"/>
      <c r="F3948" s="46"/>
      <c r="G3948" s="4"/>
      <c r="H3948" s="48"/>
      <c r="J3948" s="26" t="str">
        <f t="shared" si="539"/>
        <v/>
      </c>
      <c r="N3948" t="str">
        <f t="shared" si="540"/>
        <v/>
      </c>
      <c r="Q3948" t="str">
        <f t="shared" si="541"/>
        <v/>
      </c>
      <c r="S3948" t="str">
        <f>IF(A3948=1,MAX($S$2:$S3947)+1,IF(OR($I3948&lt;&gt;"",A3948="x"),$S3947,""))</f>
        <v/>
      </c>
      <c r="T3948" t="str">
        <f>IF(D3948=1,MAX($T$2:$T3947)+1,IF(S3948=S3947,$T3947,IF(D3948="x",T3947,IF(D3947="x","",""))))</f>
        <v/>
      </c>
      <c r="U3948" t="str">
        <f>IF(B3948=1,MAX($U$2:$U3947)+1,IF(AND($T3948&lt;&gt;"",$T3948=$T3947),$U3947,IF(B3948="x",U3947,"")))</f>
        <v/>
      </c>
      <c r="V3948" t="str">
        <f>IF(C3948=1,MAX($V$2:$V3947)+1,IF(AND($T3948&lt;&gt;"",$T3948=$T3947),$U3947,IF(C3948="x",V3947,"")))</f>
        <v/>
      </c>
      <c r="X3948" cm="1">
        <f t="array" ref="X3948">IF($I3948&lt;&gt;"",$I3948,INDEX($I$1:$I3948,ROW()-COUNTIFS($T$1:$T3948,"="&amp;$T3948,$S$1:$S3948,"&lt;"&amp;$S3948)))</f>
        <v>0</v>
      </c>
      <c r="Z3948" s="6">
        <f t="shared" si="534"/>
        <v>1</v>
      </c>
      <c r="AA3948" t="e">
        <f t="shared" si="535"/>
        <v>#VALUE!</v>
      </c>
      <c r="AB3948" t="str">
        <f t="shared" si="536"/>
        <v/>
      </c>
      <c r="AC3948" t="e">
        <f t="shared" si="537"/>
        <v>#VALUE!</v>
      </c>
    </row>
    <row r="3949" spans="1:29" x14ac:dyDescent="0.2">
      <c r="A3949" t="str">
        <f t="shared" si="538"/>
        <v/>
      </c>
      <c r="E3949" s="4"/>
      <c r="F3949" s="46"/>
      <c r="G3949" s="4"/>
      <c r="H3949" s="48"/>
      <c r="J3949" s="26" t="str">
        <f t="shared" si="539"/>
        <v/>
      </c>
      <c r="N3949" t="str">
        <f t="shared" si="540"/>
        <v/>
      </c>
      <c r="Q3949" t="str">
        <f t="shared" si="541"/>
        <v/>
      </c>
      <c r="S3949" t="str">
        <f>IF(A3949=1,MAX($S$2:$S3948)+1,IF(OR($I3949&lt;&gt;"",A3949="x"),$S3948,""))</f>
        <v/>
      </c>
      <c r="T3949" t="str">
        <f>IF(D3949=1,MAX($T$2:$T3948)+1,IF(S3949=S3948,$T3948,IF(D3949="x",T3948,IF(D3948="x","",""))))</f>
        <v/>
      </c>
      <c r="U3949" t="str">
        <f>IF(B3949=1,MAX($U$2:$U3948)+1,IF(AND($T3949&lt;&gt;"",$T3949=$T3948),$U3948,IF(B3949="x",U3948,"")))</f>
        <v/>
      </c>
      <c r="V3949" t="str">
        <f>IF(C3949=1,MAX($V$2:$V3948)+1,IF(AND($T3949&lt;&gt;"",$T3949=$T3948),$U3948,IF(C3949="x",V3948,"")))</f>
        <v/>
      </c>
      <c r="X3949" cm="1">
        <f t="array" ref="X3949">IF($I3949&lt;&gt;"",$I3949,INDEX($I$1:$I3949,ROW()-COUNTIFS($T$1:$T3949,"="&amp;$T3949,$S$1:$S3949,"&lt;"&amp;$S3949)))</f>
        <v>0</v>
      </c>
      <c r="Z3949" s="6">
        <f t="shared" si="534"/>
        <v>1</v>
      </c>
      <c r="AA3949" t="e">
        <f t="shared" si="535"/>
        <v>#VALUE!</v>
      </c>
      <c r="AB3949" t="str">
        <f t="shared" si="536"/>
        <v/>
      </c>
      <c r="AC3949" t="e">
        <f t="shared" si="537"/>
        <v>#VALUE!</v>
      </c>
    </row>
    <row r="3950" spans="1:29" x14ac:dyDescent="0.2">
      <c r="A3950" t="str">
        <f t="shared" si="538"/>
        <v/>
      </c>
      <c r="E3950" s="4"/>
      <c r="F3950" s="46"/>
      <c r="G3950" s="4"/>
      <c r="H3950" s="48"/>
      <c r="J3950" s="26" t="str">
        <f t="shared" si="539"/>
        <v/>
      </c>
      <c r="N3950" t="str">
        <f t="shared" si="540"/>
        <v/>
      </c>
      <c r="Q3950" t="str">
        <f t="shared" si="541"/>
        <v/>
      </c>
      <c r="S3950" t="str">
        <f>IF(A3950=1,MAX($S$2:$S3949)+1,IF(OR($I3950&lt;&gt;"",A3950="x"),$S3949,""))</f>
        <v/>
      </c>
      <c r="T3950" t="str">
        <f>IF(D3950=1,MAX($T$2:$T3949)+1,IF(S3950=S3949,$T3949,IF(D3950="x",T3949,IF(D3949="x","",""))))</f>
        <v/>
      </c>
      <c r="U3950" t="str">
        <f>IF(B3950=1,MAX($U$2:$U3949)+1,IF(AND($T3950&lt;&gt;"",$T3950=$T3949),$U3949,IF(B3950="x",U3949,"")))</f>
        <v/>
      </c>
      <c r="V3950" t="str">
        <f>IF(C3950=1,MAX($V$2:$V3949)+1,IF(AND($T3950&lt;&gt;"",$T3950=$T3949),$U3949,IF(C3950="x",V3949,"")))</f>
        <v/>
      </c>
      <c r="X3950" cm="1">
        <f t="array" ref="X3950">IF($I3950&lt;&gt;"",$I3950,INDEX($I$1:$I3950,ROW()-COUNTIFS($T$1:$T3950,"="&amp;$T3950,$S$1:$S3950,"&lt;"&amp;$S3950)))</f>
        <v>0</v>
      </c>
      <c r="Z3950" s="6">
        <f t="shared" si="534"/>
        <v>1</v>
      </c>
      <c r="AA3950" t="e">
        <f t="shared" si="535"/>
        <v>#VALUE!</v>
      </c>
      <c r="AB3950" t="str">
        <f t="shared" si="536"/>
        <v/>
      </c>
      <c r="AC3950" t="e">
        <f t="shared" si="537"/>
        <v>#VALUE!</v>
      </c>
    </row>
    <row r="3951" spans="1:29" x14ac:dyDescent="0.2">
      <c r="A3951" t="str">
        <f t="shared" si="538"/>
        <v/>
      </c>
      <c r="E3951" s="4"/>
      <c r="F3951" s="46"/>
      <c r="G3951" s="4"/>
      <c r="H3951" s="48"/>
      <c r="J3951" s="26" t="str">
        <f t="shared" si="539"/>
        <v/>
      </c>
      <c r="N3951" t="str">
        <f t="shared" si="540"/>
        <v/>
      </c>
      <c r="Q3951" t="str">
        <f t="shared" si="541"/>
        <v/>
      </c>
      <c r="S3951" t="str">
        <f>IF(A3951=1,MAX($S$2:$S3950)+1,IF(OR($I3951&lt;&gt;"",A3951="x"),$S3950,""))</f>
        <v/>
      </c>
      <c r="T3951" t="str">
        <f>IF(D3951=1,MAX($T$2:$T3950)+1,IF(S3951=S3950,$T3950,IF(D3951="x",T3950,IF(D3950="x","",""))))</f>
        <v/>
      </c>
      <c r="U3951" t="str">
        <f>IF(B3951=1,MAX($U$2:$U3950)+1,IF(AND($T3951&lt;&gt;"",$T3951=$T3950),$U3950,IF(B3951="x",U3950,"")))</f>
        <v/>
      </c>
      <c r="V3951" t="str">
        <f>IF(C3951=1,MAX($V$2:$V3950)+1,IF(AND($T3951&lt;&gt;"",$T3951=$T3950),$U3950,IF(C3951="x",V3950,"")))</f>
        <v/>
      </c>
      <c r="X3951" cm="1">
        <f t="array" ref="X3951">IF($I3951&lt;&gt;"",$I3951,INDEX($I$1:$I3951,ROW()-COUNTIFS($T$1:$T3951,"="&amp;$T3951,$S$1:$S3951,"&lt;"&amp;$S3951)))</f>
        <v>0</v>
      </c>
      <c r="Z3951" s="6">
        <f t="shared" si="534"/>
        <v>1</v>
      </c>
      <c r="AA3951" t="e">
        <f t="shared" si="535"/>
        <v>#VALUE!</v>
      </c>
      <c r="AB3951" t="str">
        <f t="shared" si="536"/>
        <v/>
      </c>
      <c r="AC3951" t="e">
        <f t="shared" si="537"/>
        <v>#VALUE!</v>
      </c>
    </row>
    <row r="3952" spans="1:29" x14ac:dyDescent="0.2">
      <c r="A3952" t="str">
        <f t="shared" si="538"/>
        <v/>
      </c>
      <c r="E3952" s="4"/>
      <c r="F3952" s="46"/>
      <c r="G3952" s="4"/>
      <c r="H3952" s="48"/>
      <c r="J3952" s="26" t="str">
        <f t="shared" si="539"/>
        <v/>
      </c>
      <c r="N3952" t="str">
        <f t="shared" si="540"/>
        <v/>
      </c>
      <c r="Q3952" t="str">
        <f t="shared" si="541"/>
        <v/>
      </c>
      <c r="S3952" t="str">
        <f>IF(A3952=1,MAX($S$2:$S3951)+1,IF(OR($I3952&lt;&gt;"",A3952="x"),$S3951,""))</f>
        <v/>
      </c>
      <c r="T3952" t="str">
        <f>IF(D3952=1,MAX($T$2:$T3951)+1,IF(S3952=S3951,$T3951,IF(D3952="x",T3951,IF(D3951="x","",""))))</f>
        <v/>
      </c>
      <c r="U3952" t="str">
        <f>IF(B3952=1,MAX($U$2:$U3951)+1,IF(AND($T3952&lt;&gt;"",$T3952=$T3951),$U3951,IF(B3952="x",U3951,"")))</f>
        <v/>
      </c>
      <c r="V3952" t="str">
        <f>IF(C3952=1,MAX($V$2:$V3951)+1,IF(AND($T3952&lt;&gt;"",$T3952=$T3951),$U3951,IF(C3952="x",V3951,"")))</f>
        <v/>
      </c>
      <c r="X3952" cm="1">
        <f t="array" ref="X3952">IF($I3952&lt;&gt;"",$I3952,INDEX($I$1:$I3952,ROW()-COUNTIFS($T$1:$T3952,"="&amp;$T3952,$S$1:$S3952,"&lt;"&amp;$S3952)))</f>
        <v>0</v>
      </c>
      <c r="Z3952" s="6">
        <f t="shared" si="534"/>
        <v>1</v>
      </c>
      <c r="AA3952" t="e">
        <f t="shared" si="535"/>
        <v>#VALUE!</v>
      </c>
      <c r="AB3952" t="str">
        <f t="shared" si="536"/>
        <v/>
      </c>
      <c r="AC3952" t="e">
        <f t="shared" si="537"/>
        <v>#VALUE!</v>
      </c>
    </row>
    <row r="3953" spans="1:29" x14ac:dyDescent="0.2">
      <c r="A3953" t="str">
        <f t="shared" si="538"/>
        <v/>
      </c>
      <c r="E3953" s="4"/>
      <c r="F3953" s="46"/>
      <c r="G3953" s="4"/>
      <c r="H3953" s="48"/>
      <c r="J3953" s="26" t="str">
        <f t="shared" si="539"/>
        <v/>
      </c>
      <c r="N3953" t="str">
        <f t="shared" si="540"/>
        <v/>
      </c>
      <c r="Q3953" t="str">
        <f t="shared" si="541"/>
        <v/>
      </c>
      <c r="S3953" t="str">
        <f>IF(A3953=1,MAX($S$2:$S3952)+1,IF(OR($I3953&lt;&gt;"",A3953="x"),$S3952,""))</f>
        <v/>
      </c>
      <c r="T3953" t="str">
        <f>IF(D3953=1,MAX($T$2:$T3952)+1,IF(S3953=S3952,$T3952,IF(D3953="x",T3952,IF(D3952="x","",""))))</f>
        <v/>
      </c>
      <c r="U3953" t="str">
        <f>IF(B3953=1,MAX($U$2:$U3952)+1,IF(AND($T3953&lt;&gt;"",$T3953=$T3952),$U3952,IF(B3953="x",U3952,"")))</f>
        <v/>
      </c>
      <c r="V3953" t="str">
        <f>IF(C3953=1,MAX($V$2:$V3952)+1,IF(AND($T3953&lt;&gt;"",$T3953=$T3952),$U3952,IF(C3953="x",V3952,"")))</f>
        <v/>
      </c>
      <c r="X3953" cm="1">
        <f t="array" ref="X3953">IF($I3953&lt;&gt;"",$I3953,INDEX($I$1:$I3953,ROW()-COUNTIFS($T$1:$T3953,"="&amp;$T3953,$S$1:$S3953,"&lt;"&amp;$S3953)))</f>
        <v>0</v>
      </c>
      <c r="Z3953" s="6">
        <f t="shared" si="534"/>
        <v>1</v>
      </c>
      <c r="AA3953" t="e">
        <f t="shared" si="535"/>
        <v>#VALUE!</v>
      </c>
      <c r="AB3953" t="str">
        <f t="shared" si="536"/>
        <v/>
      </c>
      <c r="AC3953" t="e">
        <f t="shared" si="537"/>
        <v>#VALUE!</v>
      </c>
    </row>
    <row r="3954" spans="1:29" x14ac:dyDescent="0.2">
      <c r="A3954" t="str">
        <f t="shared" si="538"/>
        <v/>
      </c>
      <c r="E3954" s="4"/>
      <c r="F3954" s="46"/>
      <c r="G3954" s="4"/>
      <c r="H3954" s="48"/>
      <c r="J3954" s="26" t="str">
        <f t="shared" si="539"/>
        <v/>
      </c>
      <c r="N3954" t="str">
        <f t="shared" si="540"/>
        <v/>
      </c>
      <c r="Q3954" t="str">
        <f t="shared" si="541"/>
        <v/>
      </c>
      <c r="S3954" t="str">
        <f>IF(A3954=1,MAX($S$2:$S3953)+1,IF(OR($I3954&lt;&gt;"",A3954="x"),$S3953,""))</f>
        <v/>
      </c>
      <c r="T3954" t="str">
        <f>IF(D3954=1,MAX($T$2:$T3953)+1,IF(S3954=S3953,$T3953,IF(D3954="x",T3953,IF(D3953="x","",""))))</f>
        <v/>
      </c>
      <c r="U3954" t="str">
        <f>IF(B3954=1,MAX($U$2:$U3953)+1,IF(AND($T3954&lt;&gt;"",$T3954=$T3953),$U3953,IF(B3954="x",U3953,"")))</f>
        <v/>
      </c>
      <c r="V3954" t="str">
        <f>IF(C3954=1,MAX($V$2:$V3953)+1,IF(AND($T3954&lt;&gt;"",$T3954=$T3953),$U3953,IF(C3954="x",V3953,"")))</f>
        <v/>
      </c>
      <c r="X3954" cm="1">
        <f t="array" ref="X3954">IF($I3954&lt;&gt;"",$I3954,INDEX($I$1:$I3954,ROW()-COUNTIFS($T$1:$T3954,"="&amp;$T3954,$S$1:$S3954,"&lt;"&amp;$S3954)))</f>
        <v>0</v>
      </c>
      <c r="Z3954" s="6">
        <f t="shared" si="534"/>
        <v>1</v>
      </c>
      <c r="AA3954" t="e">
        <f t="shared" si="535"/>
        <v>#VALUE!</v>
      </c>
      <c r="AB3954" t="str">
        <f t="shared" si="536"/>
        <v/>
      </c>
      <c r="AC3954" t="e">
        <f t="shared" si="537"/>
        <v>#VALUE!</v>
      </c>
    </row>
    <row r="3955" spans="1:29" x14ac:dyDescent="0.2">
      <c r="A3955" t="str">
        <f t="shared" si="538"/>
        <v/>
      </c>
      <c r="E3955" s="4"/>
      <c r="F3955" s="46"/>
      <c r="G3955" s="4"/>
      <c r="H3955" s="48"/>
      <c r="J3955" s="26" t="str">
        <f t="shared" si="539"/>
        <v/>
      </c>
      <c r="N3955" t="str">
        <f t="shared" si="540"/>
        <v/>
      </c>
      <c r="Q3955" t="str">
        <f t="shared" si="541"/>
        <v/>
      </c>
      <c r="S3955" t="str">
        <f>IF(A3955=1,MAX($S$2:$S3954)+1,IF(OR($I3955&lt;&gt;"",A3955="x"),$S3954,""))</f>
        <v/>
      </c>
      <c r="T3955" t="str">
        <f>IF(D3955=1,MAX($T$2:$T3954)+1,IF(S3955=S3954,$T3954,IF(D3955="x",T3954,IF(D3954="x","",""))))</f>
        <v/>
      </c>
      <c r="U3955" t="str">
        <f>IF(B3955=1,MAX($U$2:$U3954)+1,IF(AND($T3955&lt;&gt;"",$T3955=$T3954),$U3954,IF(B3955="x",U3954,"")))</f>
        <v/>
      </c>
      <c r="V3955" t="str">
        <f>IF(C3955=1,MAX($V$2:$V3954)+1,IF(AND($T3955&lt;&gt;"",$T3955=$T3954),$U3954,IF(C3955="x",V3954,"")))</f>
        <v/>
      </c>
      <c r="X3955" cm="1">
        <f t="array" ref="X3955">IF($I3955&lt;&gt;"",$I3955,INDEX($I$1:$I3955,ROW()-COUNTIFS($T$1:$T3955,"="&amp;$T3955,$S$1:$S3955,"&lt;"&amp;$S3955)))</f>
        <v>0</v>
      </c>
      <c r="Z3955" s="6">
        <f t="shared" si="534"/>
        <v>1</v>
      </c>
      <c r="AA3955" t="e">
        <f t="shared" si="535"/>
        <v>#VALUE!</v>
      </c>
      <c r="AB3955" t="str">
        <f t="shared" si="536"/>
        <v/>
      </c>
      <c r="AC3955" t="e">
        <f t="shared" si="537"/>
        <v>#VALUE!</v>
      </c>
    </row>
    <row r="3956" spans="1:29" x14ac:dyDescent="0.2">
      <c r="A3956" t="str">
        <f t="shared" si="538"/>
        <v/>
      </c>
      <c r="E3956" s="4"/>
      <c r="F3956" s="46"/>
      <c r="G3956" s="4"/>
      <c r="H3956" s="48"/>
      <c r="J3956" s="26" t="str">
        <f t="shared" si="539"/>
        <v/>
      </c>
      <c r="N3956" t="str">
        <f t="shared" si="540"/>
        <v/>
      </c>
      <c r="Q3956" t="str">
        <f t="shared" si="541"/>
        <v/>
      </c>
      <c r="S3956" t="str">
        <f>IF(A3956=1,MAX($S$2:$S3955)+1,IF(OR($I3956&lt;&gt;"",A3956="x"),$S3955,""))</f>
        <v/>
      </c>
      <c r="T3956" t="str">
        <f>IF(D3956=1,MAX($T$2:$T3955)+1,IF(S3956=S3955,$T3955,IF(D3956="x",T3955,IF(D3955="x","",""))))</f>
        <v/>
      </c>
      <c r="U3956" t="str">
        <f>IF(B3956=1,MAX($U$2:$U3955)+1,IF(AND($T3956&lt;&gt;"",$T3956=$T3955),$U3955,IF(B3956="x",U3955,"")))</f>
        <v/>
      </c>
      <c r="V3956" t="str">
        <f>IF(C3956=1,MAX($V$2:$V3955)+1,IF(AND($T3956&lt;&gt;"",$T3956=$T3955),$U3955,IF(C3956="x",V3955,"")))</f>
        <v/>
      </c>
      <c r="X3956" cm="1">
        <f t="array" ref="X3956">IF($I3956&lt;&gt;"",$I3956,INDEX($I$1:$I3956,ROW()-COUNTIFS($T$1:$T3956,"="&amp;$T3956,$S$1:$S3956,"&lt;"&amp;$S3956)))</f>
        <v>0</v>
      </c>
      <c r="Z3956" s="6">
        <f t="shared" si="534"/>
        <v>1</v>
      </c>
      <c r="AA3956" t="e">
        <f t="shared" si="535"/>
        <v>#VALUE!</v>
      </c>
      <c r="AB3956" t="str">
        <f t="shared" si="536"/>
        <v/>
      </c>
      <c r="AC3956" t="e">
        <f t="shared" si="537"/>
        <v>#VALUE!</v>
      </c>
    </row>
    <row r="3957" spans="1:29" x14ac:dyDescent="0.2">
      <c r="A3957" t="str">
        <f t="shared" si="538"/>
        <v/>
      </c>
      <c r="E3957" s="4"/>
      <c r="F3957" s="46"/>
      <c r="G3957" s="4"/>
      <c r="H3957" s="48"/>
      <c r="J3957" s="26" t="str">
        <f t="shared" si="539"/>
        <v/>
      </c>
      <c r="N3957" t="str">
        <f t="shared" si="540"/>
        <v/>
      </c>
      <c r="Q3957" t="str">
        <f t="shared" si="541"/>
        <v/>
      </c>
      <c r="S3957" t="str">
        <f>IF(A3957=1,MAX($S$2:$S3956)+1,IF(OR($I3957&lt;&gt;"",A3957="x"),$S3956,""))</f>
        <v/>
      </c>
      <c r="T3957" t="str">
        <f>IF(D3957=1,MAX($T$2:$T3956)+1,IF(S3957=S3956,$T3956,IF(D3957="x",T3956,IF(D3956="x","",""))))</f>
        <v/>
      </c>
      <c r="U3957" t="str">
        <f>IF(B3957=1,MAX($U$2:$U3956)+1,IF(AND($T3957&lt;&gt;"",$T3957=$T3956),$U3956,IF(B3957="x",U3956,"")))</f>
        <v/>
      </c>
      <c r="V3957" t="str">
        <f>IF(C3957=1,MAX($V$2:$V3956)+1,IF(AND($T3957&lt;&gt;"",$T3957=$T3956),$U3956,IF(C3957="x",V3956,"")))</f>
        <v/>
      </c>
      <c r="X3957" cm="1">
        <f t="array" ref="X3957">IF($I3957&lt;&gt;"",$I3957,INDEX($I$1:$I3957,ROW()-COUNTIFS($T$1:$T3957,"="&amp;$T3957,$S$1:$S3957,"&lt;"&amp;$S3957)))</f>
        <v>0</v>
      </c>
      <c r="Z3957" s="6">
        <f t="shared" si="534"/>
        <v>1</v>
      </c>
      <c r="AA3957" t="e">
        <f t="shared" si="535"/>
        <v>#VALUE!</v>
      </c>
      <c r="AB3957" t="str">
        <f t="shared" si="536"/>
        <v/>
      </c>
      <c r="AC3957" t="e">
        <f t="shared" si="537"/>
        <v>#VALUE!</v>
      </c>
    </row>
    <row r="3958" spans="1:29" x14ac:dyDescent="0.2">
      <c r="A3958" t="str">
        <f t="shared" si="538"/>
        <v/>
      </c>
      <c r="E3958" s="4"/>
      <c r="F3958" s="46"/>
      <c r="G3958" s="4"/>
      <c r="H3958" s="48"/>
      <c r="J3958" s="26" t="str">
        <f t="shared" si="539"/>
        <v/>
      </c>
      <c r="N3958" t="str">
        <f t="shared" si="540"/>
        <v/>
      </c>
      <c r="Q3958" t="str">
        <f t="shared" si="541"/>
        <v/>
      </c>
      <c r="S3958" t="str">
        <f>IF(A3958=1,MAX($S$2:$S3957)+1,IF(OR($I3958&lt;&gt;"",A3958="x"),$S3957,""))</f>
        <v/>
      </c>
      <c r="T3958" t="str">
        <f>IF(D3958=1,MAX($T$2:$T3957)+1,IF(S3958=S3957,$T3957,IF(D3958="x",T3957,IF(D3957="x","",""))))</f>
        <v/>
      </c>
      <c r="U3958" t="str">
        <f>IF(B3958=1,MAX($U$2:$U3957)+1,IF(AND($T3958&lt;&gt;"",$T3958=$T3957),$U3957,IF(B3958="x",U3957,"")))</f>
        <v/>
      </c>
      <c r="V3958" t="str">
        <f>IF(C3958=1,MAX($V$2:$V3957)+1,IF(AND($T3958&lt;&gt;"",$T3958=$T3957),$U3957,IF(C3958="x",V3957,"")))</f>
        <v/>
      </c>
      <c r="X3958" cm="1">
        <f t="array" ref="X3958">IF($I3958&lt;&gt;"",$I3958,INDEX($I$1:$I3958,ROW()-COUNTIFS($T$1:$T3958,"="&amp;$T3958,$S$1:$S3958,"&lt;"&amp;$S3958)))</f>
        <v>0</v>
      </c>
      <c r="Z3958" s="6">
        <f t="shared" si="534"/>
        <v>1</v>
      </c>
      <c r="AA3958" t="e">
        <f t="shared" si="535"/>
        <v>#VALUE!</v>
      </c>
      <c r="AB3958" t="str">
        <f t="shared" si="536"/>
        <v/>
      </c>
      <c r="AC3958" t="e">
        <f t="shared" si="537"/>
        <v>#VALUE!</v>
      </c>
    </row>
    <row r="3959" spans="1:29" x14ac:dyDescent="0.2">
      <c r="A3959" t="str">
        <f t="shared" si="538"/>
        <v/>
      </c>
      <c r="E3959" s="4"/>
      <c r="F3959" s="46"/>
      <c r="G3959" s="4"/>
      <c r="H3959" s="48"/>
      <c r="J3959" s="26" t="str">
        <f t="shared" si="539"/>
        <v/>
      </c>
      <c r="N3959" t="str">
        <f t="shared" si="540"/>
        <v/>
      </c>
      <c r="Q3959" t="str">
        <f t="shared" si="541"/>
        <v/>
      </c>
      <c r="S3959" t="str">
        <f>IF(A3959=1,MAX($S$2:$S3958)+1,IF(OR($I3959&lt;&gt;"",A3959="x"),$S3958,""))</f>
        <v/>
      </c>
      <c r="T3959" t="str">
        <f>IF(D3959=1,MAX($T$2:$T3958)+1,IF(S3959=S3958,$T3958,IF(D3959="x",T3958,IF(D3958="x","",""))))</f>
        <v/>
      </c>
      <c r="U3959" t="str">
        <f>IF(B3959=1,MAX($U$2:$U3958)+1,IF(AND($T3959&lt;&gt;"",$T3959=$T3958),$U3958,IF(B3959="x",U3958,"")))</f>
        <v/>
      </c>
      <c r="V3959" t="str">
        <f>IF(C3959=1,MAX($V$2:$V3958)+1,IF(AND($T3959&lt;&gt;"",$T3959=$T3958),$U3958,IF(C3959="x",V3958,"")))</f>
        <v/>
      </c>
      <c r="X3959" cm="1">
        <f t="array" ref="X3959">IF($I3959&lt;&gt;"",$I3959,INDEX($I$1:$I3959,ROW()-COUNTIFS($T$1:$T3959,"="&amp;$T3959,$S$1:$S3959,"&lt;"&amp;$S3959)))</f>
        <v>0</v>
      </c>
      <c r="Z3959" s="6">
        <f t="shared" si="534"/>
        <v>1</v>
      </c>
      <c r="AA3959" t="e">
        <f t="shared" si="535"/>
        <v>#VALUE!</v>
      </c>
      <c r="AB3959" t="str">
        <f t="shared" si="536"/>
        <v/>
      </c>
      <c r="AC3959" t="e">
        <f t="shared" si="537"/>
        <v>#VALUE!</v>
      </c>
    </row>
    <row r="3960" spans="1:29" x14ac:dyDescent="0.2">
      <c r="A3960" t="str">
        <f t="shared" si="538"/>
        <v/>
      </c>
      <c r="E3960" s="4"/>
      <c r="F3960" s="46"/>
      <c r="G3960" s="4"/>
      <c r="H3960" s="48"/>
      <c r="J3960" s="26" t="str">
        <f t="shared" si="539"/>
        <v/>
      </c>
      <c r="N3960" t="str">
        <f t="shared" si="540"/>
        <v/>
      </c>
      <c r="Q3960" t="str">
        <f t="shared" si="541"/>
        <v/>
      </c>
      <c r="S3960" t="str">
        <f>IF(A3960=1,MAX($S$2:$S3959)+1,IF(OR($I3960&lt;&gt;"",A3960="x"),$S3959,""))</f>
        <v/>
      </c>
      <c r="T3960" t="str">
        <f>IF(D3960=1,MAX($T$2:$T3959)+1,IF(S3960=S3959,$T3959,IF(D3960="x",T3959,IF(D3959="x","",""))))</f>
        <v/>
      </c>
      <c r="U3960" t="str">
        <f>IF(B3960=1,MAX($U$2:$U3959)+1,IF(AND($T3960&lt;&gt;"",$T3960=$T3959),$U3959,IF(B3960="x",U3959,"")))</f>
        <v/>
      </c>
      <c r="V3960" t="str">
        <f>IF(C3960=1,MAX($V$2:$V3959)+1,IF(AND($T3960&lt;&gt;"",$T3960=$T3959),$U3959,IF(C3960="x",V3959,"")))</f>
        <v/>
      </c>
      <c r="X3960" cm="1">
        <f t="array" ref="X3960">IF($I3960&lt;&gt;"",$I3960,INDEX($I$1:$I3960,ROW()-COUNTIFS($T$1:$T3960,"="&amp;$T3960,$S$1:$S3960,"&lt;"&amp;$S3960)))</f>
        <v>0</v>
      </c>
      <c r="Z3960" s="6">
        <f t="shared" si="534"/>
        <v>1</v>
      </c>
      <c r="AA3960" t="e">
        <f t="shared" si="535"/>
        <v>#VALUE!</v>
      </c>
      <c r="AB3960" t="str">
        <f t="shared" si="536"/>
        <v/>
      </c>
      <c r="AC3960" t="e">
        <f t="shared" si="537"/>
        <v>#VALUE!</v>
      </c>
    </row>
    <row r="3961" spans="1:29" x14ac:dyDescent="0.2">
      <c r="A3961" t="str">
        <f t="shared" si="538"/>
        <v/>
      </c>
      <c r="E3961" s="4"/>
      <c r="F3961" s="46"/>
      <c r="G3961" s="4"/>
      <c r="H3961" s="48"/>
      <c r="J3961" s="26" t="str">
        <f t="shared" si="539"/>
        <v/>
      </c>
      <c r="N3961" t="str">
        <f t="shared" si="540"/>
        <v/>
      </c>
      <c r="Q3961" t="str">
        <f t="shared" si="541"/>
        <v/>
      </c>
      <c r="S3961" t="str">
        <f>IF(A3961=1,MAX($S$2:$S3960)+1,IF(OR($I3961&lt;&gt;"",A3961="x"),$S3960,""))</f>
        <v/>
      </c>
      <c r="T3961" t="str">
        <f>IF(D3961=1,MAX($T$2:$T3960)+1,IF(S3961=S3960,$T3960,IF(D3961="x",T3960,IF(D3960="x","",""))))</f>
        <v/>
      </c>
      <c r="U3961" t="str">
        <f>IF(B3961=1,MAX($U$2:$U3960)+1,IF(AND($T3961&lt;&gt;"",$T3961=$T3960),$U3960,IF(B3961="x",U3960,"")))</f>
        <v/>
      </c>
      <c r="V3961" t="str">
        <f>IF(C3961=1,MAX($V$2:$V3960)+1,IF(AND($T3961&lt;&gt;"",$T3961=$T3960),$U3960,IF(C3961="x",V3960,"")))</f>
        <v/>
      </c>
      <c r="X3961" cm="1">
        <f t="array" ref="X3961">IF($I3961&lt;&gt;"",$I3961,INDEX($I$1:$I3961,ROW()-COUNTIFS($T$1:$T3961,"="&amp;$T3961,$S$1:$S3961,"&lt;"&amp;$S3961)))</f>
        <v>0</v>
      </c>
      <c r="Z3961" s="6">
        <f t="shared" si="534"/>
        <v>1</v>
      </c>
      <c r="AA3961" t="e">
        <f t="shared" si="535"/>
        <v>#VALUE!</v>
      </c>
      <c r="AB3961" t="str">
        <f t="shared" si="536"/>
        <v/>
      </c>
      <c r="AC3961" t="e">
        <f t="shared" si="537"/>
        <v>#VALUE!</v>
      </c>
    </row>
    <row r="3962" spans="1:29" x14ac:dyDescent="0.2">
      <c r="A3962" t="str">
        <f t="shared" si="538"/>
        <v/>
      </c>
      <c r="E3962" s="4"/>
      <c r="F3962" s="46"/>
      <c r="G3962" s="4"/>
      <c r="H3962" s="48"/>
      <c r="J3962" s="26" t="str">
        <f t="shared" si="539"/>
        <v/>
      </c>
      <c r="N3962" t="str">
        <f t="shared" si="540"/>
        <v/>
      </c>
      <c r="Q3962" t="str">
        <f t="shared" si="541"/>
        <v/>
      </c>
      <c r="S3962" t="str">
        <f>IF(A3962=1,MAX($S$2:$S3961)+1,IF(OR($I3962&lt;&gt;"",A3962="x"),$S3961,""))</f>
        <v/>
      </c>
      <c r="T3962" t="str">
        <f>IF(D3962=1,MAX($T$2:$T3961)+1,IF(S3962=S3961,$T3961,IF(D3962="x",T3961,IF(D3961="x","",""))))</f>
        <v/>
      </c>
      <c r="U3962" t="str">
        <f>IF(B3962=1,MAX($U$2:$U3961)+1,IF(AND($T3962&lt;&gt;"",$T3962=$T3961),$U3961,IF(B3962="x",U3961,"")))</f>
        <v/>
      </c>
      <c r="V3962" t="str">
        <f>IF(C3962=1,MAX($V$2:$V3961)+1,IF(AND($T3962&lt;&gt;"",$T3962=$T3961),$U3961,IF(C3962="x",V3961,"")))</f>
        <v/>
      </c>
      <c r="X3962" cm="1">
        <f t="array" ref="X3962">IF($I3962&lt;&gt;"",$I3962,INDEX($I$1:$I3962,ROW()-COUNTIFS($T$1:$T3962,"="&amp;$T3962,$S$1:$S3962,"&lt;"&amp;$S3962)))</f>
        <v>0</v>
      </c>
      <c r="Z3962" s="6">
        <f t="shared" si="534"/>
        <v>1</v>
      </c>
      <c r="AA3962" t="e">
        <f t="shared" si="535"/>
        <v>#VALUE!</v>
      </c>
      <c r="AB3962" t="str">
        <f t="shared" si="536"/>
        <v/>
      </c>
      <c r="AC3962" t="e">
        <f t="shared" si="537"/>
        <v>#VALUE!</v>
      </c>
    </row>
    <row r="3963" spans="1:29" x14ac:dyDescent="0.2">
      <c r="A3963" t="str">
        <f t="shared" si="538"/>
        <v/>
      </c>
      <c r="E3963" s="4"/>
      <c r="F3963" s="46"/>
      <c r="G3963" s="4"/>
      <c r="H3963" s="48"/>
      <c r="J3963" s="26" t="str">
        <f t="shared" si="539"/>
        <v/>
      </c>
      <c r="N3963" t="str">
        <f t="shared" si="540"/>
        <v/>
      </c>
      <c r="Q3963" t="str">
        <f t="shared" si="541"/>
        <v/>
      </c>
      <c r="S3963" t="str">
        <f>IF(A3963=1,MAX($S$2:$S3962)+1,IF(OR($I3963&lt;&gt;"",A3963="x"),$S3962,""))</f>
        <v/>
      </c>
      <c r="T3963" t="str">
        <f>IF(D3963=1,MAX($T$2:$T3962)+1,IF(S3963=S3962,$T3962,IF(D3963="x",T3962,IF(D3962="x","",""))))</f>
        <v/>
      </c>
      <c r="U3963" t="str">
        <f>IF(B3963=1,MAX($U$2:$U3962)+1,IF(AND($T3963&lt;&gt;"",$T3963=$T3962),$U3962,IF(B3963="x",U3962,"")))</f>
        <v/>
      </c>
      <c r="V3963" t="str">
        <f>IF(C3963=1,MAX($V$2:$V3962)+1,IF(AND($T3963&lt;&gt;"",$T3963=$T3962),$U3962,IF(C3963="x",V3962,"")))</f>
        <v/>
      </c>
      <c r="X3963" cm="1">
        <f t="array" ref="X3963">IF($I3963&lt;&gt;"",$I3963,INDEX($I$1:$I3963,ROW()-COUNTIFS($T$1:$T3963,"="&amp;$T3963,$S$1:$S3963,"&lt;"&amp;$S3963)))</f>
        <v>0</v>
      </c>
      <c r="Z3963" s="6">
        <f t="shared" si="534"/>
        <v>1</v>
      </c>
      <c r="AA3963" t="e">
        <f t="shared" si="535"/>
        <v>#VALUE!</v>
      </c>
      <c r="AB3963" t="str">
        <f t="shared" si="536"/>
        <v/>
      </c>
      <c r="AC3963" t="e">
        <f t="shared" si="537"/>
        <v>#VALUE!</v>
      </c>
    </row>
    <row r="3964" spans="1:29" x14ac:dyDescent="0.2">
      <c r="A3964" t="str">
        <f t="shared" si="538"/>
        <v/>
      </c>
      <c r="E3964" s="4"/>
      <c r="F3964" s="46"/>
      <c r="G3964" s="4"/>
      <c r="H3964" s="48"/>
      <c r="J3964" s="26" t="str">
        <f t="shared" si="539"/>
        <v/>
      </c>
      <c r="N3964" t="str">
        <f t="shared" si="540"/>
        <v/>
      </c>
      <c r="Q3964" t="str">
        <f t="shared" si="541"/>
        <v/>
      </c>
      <c r="S3964" t="str">
        <f>IF(A3964=1,MAX($S$2:$S3963)+1,IF(OR($I3964&lt;&gt;"",A3964="x"),$S3963,""))</f>
        <v/>
      </c>
      <c r="T3964" t="str">
        <f>IF(D3964=1,MAX($T$2:$T3963)+1,IF(S3964=S3963,$T3963,IF(D3964="x",T3963,IF(D3963="x","",""))))</f>
        <v/>
      </c>
      <c r="U3964" t="str">
        <f>IF(B3964=1,MAX($U$2:$U3963)+1,IF(AND($T3964&lt;&gt;"",$T3964=$T3963),$U3963,IF(B3964="x",U3963,"")))</f>
        <v/>
      </c>
      <c r="V3964" t="str">
        <f>IF(C3964=1,MAX($V$2:$V3963)+1,IF(AND($T3964&lt;&gt;"",$T3964=$T3963),$U3963,IF(C3964="x",V3963,"")))</f>
        <v/>
      </c>
      <c r="X3964" cm="1">
        <f t="array" ref="X3964">IF($I3964&lt;&gt;"",$I3964,INDEX($I$1:$I3964,ROW()-COUNTIFS($T$1:$T3964,"="&amp;$T3964,$S$1:$S3964,"&lt;"&amp;$S3964)))</f>
        <v>0</v>
      </c>
      <c r="Z3964" s="6">
        <f t="shared" si="534"/>
        <v>1</v>
      </c>
      <c r="AA3964" t="e">
        <f t="shared" si="535"/>
        <v>#VALUE!</v>
      </c>
      <c r="AB3964" t="str">
        <f t="shared" si="536"/>
        <v/>
      </c>
      <c r="AC3964" t="e">
        <f t="shared" si="537"/>
        <v>#VALUE!</v>
      </c>
    </row>
    <row r="3965" spans="1:29" x14ac:dyDescent="0.2">
      <c r="A3965" t="str">
        <f t="shared" si="538"/>
        <v/>
      </c>
      <c r="E3965" s="4"/>
      <c r="F3965" s="46"/>
      <c r="G3965" s="4"/>
      <c r="H3965" s="48"/>
      <c r="J3965" s="26" t="str">
        <f t="shared" si="539"/>
        <v/>
      </c>
      <c r="N3965" t="str">
        <f t="shared" si="540"/>
        <v/>
      </c>
      <c r="Q3965" t="str">
        <f t="shared" si="541"/>
        <v/>
      </c>
      <c r="S3965" t="str">
        <f>IF(A3965=1,MAX($S$2:$S3964)+1,IF(OR($I3965&lt;&gt;"",A3965="x"),$S3964,""))</f>
        <v/>
      </c>
      <c r="T3965" t="str">
        <f>IF(D3965=1,MAX($T$2:$T3964)+1,IF(S3965=S3964,$T3964,IF(D3965="x",T3964,IF(D3964="x","",""))))</f>
        <v/>
      </c>
      <c r="U3965" t="str">
        <f>IF(B3965=1,MAX($U$2:$U3964)+1,IF(AND($T3965&lt;&gt;"",$T3965=$T3964),$U3964,IF(B3965="x",U3964,"")))</f>
        <v/>
      </c>
      <c r="V3965" t="str">
        <f>IF(C3965=1,MAX($V$2:$V3964)+1,IF(AND($T3965&lt;&gt;"",$T3965=$T3964),$U3964,IF(C3965="x",V3964,"")))</f>
        <v/>
      </c>
      <c r="X3965" cm="1">
        <f t="array" ref="X3965">IF($I3965&lt;&gt;"",$I3965,INDEX($I$1:$I3965,ROW()-COUNTIFS($T$1:$T3965,"="&amp;$T3965,$S$1:$S3965,"&lt;"&amp;$S3965)))</f>
        <v>0</v>
      </c>
      <c r="Z3965" s="6">
        <f t="shared" si="534"/>
        <v>1</v>
      </c>
      <c r="AA3965" t="e">
        <f t="shared" si="535"/>
        <v>#VALUE!</v>
      </c>
      <c r="AB3965" t="str">
        <f t="shared" si="536"/>
        <v/>
      </c>
      <c r="AC3965" t="e">
        <f t="shared" si="537"/>
        <v>#VALUE!</v>
      </c>
    </row>
    <row r="3966" spans="1:29" x14ac:dyDescent="0.2">
      <c r="A3966" t="str">
        <f t="shared" si="538"/>
        <v/>
      </c>
      <c r="E3966" s="4"/>
      <c r="F3966" s="46"/>
      <c r="G3966" s="4"/>
      <c r="H3966" s="48"/>
      <c r="J3966" s="26" t="str">
        <f t="shared" si="539"/>
        <v/>
      </c>
      <c r="N3966" t="str">
        <f t="shared" si="540"/>
        <v/>
      </c>
      <c r="Q3966" t="str">
        <f t="shared" si="541"/>
        <v/>
      </c>
      <c r="S3966" t="str">
        <f>IF(A3966=1,MAX($S$2:$S3965)+1,IF(OR($I3966&lt;&gt;"",A3966="x"),$S3965,""))</f>
        <v/>
      </c>
      <c r="T3966" t="str">
        <f>IF(D3966=1,MAX($T$2:$T3965)+1,IF(S3966=S3965,$T3965,IF(D3966="x",T3965,IF(D3965="x","",""))))</f>
        <v/>
      </c>
      <c r="U3966" t="str">
        <f>IF(B3966=1,MAX($U$2:$U3965)+1,IF(AND($T3966&lt;&gt;"",$T3966=$T3965),$U3965,IF(B3966="x",U3965,"")))</f>
        <v/>
      </c>
      <c r="V3966" t="str">
        <f>IF(C3966=1,MAX($V$2:$V3965)+1,IF(AND($T3966&lt;&gt;"",$T3966=$T3965),$U3965,IF(C3966="x",V3965,"")))</f>
        <v/>
      </c>
      <c r="X3966" cm="1">
        <f t="array" ref="X3966">IF($I3966&lt;&gt;"",$I3966,INDEX($I$1:$I3966,ROW()-COUNTIFS($T$1:$T3966,"="&amp;$T3966,$S$1:$S3966,"&lt;"&amp;$S3966)))</f>
        <v>0</v>
      </c>
      <c r="Z3966" s="6">
        <f t="shared" si="534"/>
        <v>1</v>
      </c>
      <c r="AA3966" t="e">
        <f t="shared" si="535"/>
        <v>#VALUE!</v>
      </c>
      <c r="AB3966" t="str">
        <f t="shared" si="536"/>
        <v/>
      </c>
      <c r="AC3966" t="e">
        <f t="shared" si="537"/>
        <v>#VALUE!</v>
      </c>
    </row>
    <row r="3967" spans="1:29" x14ac:dyDescent="0.2">
      <c r="A3967" t="str">
        <f t="shared" si="538"/>
        <v/>
      </c>
      <c r="E3967" s="4"/>
      <c r="F3967" s="46"/>
      <c r="G3967" s="4"/>
      <c r="H3967" s="48"/>
      <c r="J3967" s="26" t="str">
        <f t="shared" si="539"/>
        <v/>
      </c>
      <c r="N3967" t="str">
        <f t="shared" si="540"/>
        <v/>
      </c>
      <c r="Q3967" t="str">
        <f t="shared" si="541"/>
        <v/>
      </c>
      <c r="S3967" t="str">
        <f>IF(A3967=1,MAX($S$2:$S3966)+1,IF(OR($I3967&lt;&gt;"",A3967="x"),$S3966,""))</f>
        <v/>
      </c>
      <c r="T3967" t="str">
        <f>IF(D3967=1,MAX($T$2:$T3966)+1,IF(S3967=S3966,$T3966,IF(D3967="x",T3966,IF(D3966="x","",""))))</f>
        <v/>
      </c>
      <c r="U3967" t="str">
        <f>IF(B3967=1,MAX($U$2:$U3966)+1,IF(AND($T3967&lt;&gt;"",$T3967=$T3966),$U3966,IF(B3967="x",U3966,"")))</f>
        <v/>
      </c>
      <c r="V3967" t="str">
        <f>IF(C3967=1,MAX($V$2:$V3966)+1,IF(AND($T3967&lt;&gt;"",$T3967=$T3966),$U3966,IF(C3967="x",V3966,"")))</f>
        <v/>
      </c>
      <c r="X3967" cm="1">
        <f t="array" ref="X3967">IF($I3967&lt;&gt;"",$I3967,INDEX($I$1:$I3967,ROW()-COUNTIFS($T$1:$T3967,"="&amp;$T3967,$S$1:$S3967,"&lt;"&amp;$S3967)))</f>
        <v>0</v>
      </c>
      <c r="Z3967" s="6">
        <f t="shared" si="534"/>
        <v>1</v>
      </c>
      <c r="AA3967" t="e">
        <f t="shared" si="535"/>
        <v>#VALUE!</v>
      </c>
      <c r="AB3967" t="str">
        <f t="shared" si="536"/>
        <v/>
      </c>
      <c r="AC3967" t="e">
        <f t="shared" si="537"/>
        <v>#VALUE!</v>
      </c>
    </row>
    <row r="3968" spans="1:29" x14ac:dyDescent="0.2">
      <c r="A3968" t="str">
        <f t="shared" si="538"/>
        <v/>
      </c>
      <c r="E3968" s="4"/>
      <c r="F3968" s="46"/>
      <c r="G3968" s="4"/>
      <c r="H3968" s="48"/>
      <c r="J3968" s="26" t="str">
        <f t="shared" si="539"/>
        <v/>
      </c>
      <c r="N3968" t="str">
        <f t="shared" si="540"/>
        <v/>
      </c>
      <c r="Q3968" t="str">
        <f t="shared" si="541"/>
        <v/>
      </c>
      <c r="S3968" t="str">
        <f>IF(A3968=1,MAX($S$2:$S3967)+1,IF(OR($I3968&lt;&gt;"",A3968="x"),$S3967,""))</f>
        <v/>
      </c>
      <c r="T3968" t="str">
        <f>IF(D3968=1,MAX($T$2:$T3967)+1,IF(S3968=S3967,$T3967,IF(D3968="x",T3967,IF(D3967="x","",""))))</f>
        <v/>
      </c>
      <c r="U3968" t="str">
        <f>IF(B3968=1,MAX($U$2:$U3967)+1,IF(AND($T3968&lt;&gt;"",$T3968=$T3967),$U3967,IF(B3968="x",U3967,"")))</f>
        <v/>
      </c>
      <c r="V3968" t="str">
        <f>IF(C3968=1,MAX($V$2:$V3967)+1,IF(AND($T3968&lt;&gt;"",$T3968=$T3967),$U3967,IF(C3968="x",V3967,"")))</f>
        <v/>
      </c>
      <c r="X3968" cm="1">
        <f t="array" ref="X3968">IF($I3968&lt;&gt;"",$I3968,INDEX($I$1:$I3968,ROW()-COUNTIFS($T$1:$T3968,"="&amp;$T3968,$S$1:$S3968,"&lt;"&amp;$S3968)))</f>
        <v>0</v>
      </c>
      <c r="Z3968" s="6">
        <f t="shared" si="534"/>
        <v>1</v>
      </c>
      <c r="AA3968" t="e">
        <f t="shared" si="535"/>
        <v>#VALUE!</v>
      </c>
      <c r="AB3968" t="str">
        <f t="shared" si="536"/>
        <v/>
      </c>
      <c r="AC3968" t="e">
        <f t="shared" si="537"/>
        <v>#VALUE!</v>
      </c>
    </row>
    <row r="3969" spans="1:29" x14ac:dyDescent="0.2">
      <c r="A3969" t="str">
        <f t="shared" si="538"/>
        <v/>
      </c>
      <c r="E3969" s="4"/>
      <c r="F3969" s="46"/>
      <c r="G3969" s="4"/>
      <c r="H3969" s="48"/>
      <c r="J3969" s="26" t="str">
        <f t="shared" si="539"/>
        <v/>
      </c>
      <c r="N3969" t="str">
        <f t="shared" si="540"/>
        <v/>
      </c>
      <c r="Q3969" t="str">
        <f t="shared" si="541"/>
        <v/>
      </c>
      <c r="S3969" t="str">
        <f>IF(A3969=1,MAX($S$2:$S3968)+1,IF(OR($I3969&lt;&gt;"",A3969="x"),$S3968,""))</f>
        <v/>
      </c>
      <c r="T3969" t="str">
        <f>IF(D3969=1,MAX($T$2:$T3968)+1,IF(S3969=S3968,$T3968,IF(D3969="x",T3968,IF(D3968="x","",""))))</f>
        <v/>
      </c>
      <c r="U3969" t="str">
        <f>IF(B3969=1,MAX($U$2:$U3968)+1,IF(AND($T3969&lt;&gt;"",$T3969=$T3968),$U3968,IF(B3969="x",U3968,"")))</f>
        <v/>
      </c>
      <c r="V3969" t="str">
        <f>IF(C3969=1,MAX($V$2:$V3968)+1,IF(AND($T3969&lt;&gt;"",$T3969=$T3968),$U3968,IF(C3969="x",V3968,"")))</f>
        <v/>
      </c>
      <c r="X3969" cm="1">
        <f t="array" ref="X3969">IF($I3969&lt;&gt;"",$I3969,INDEX($I$1:$I3969,ROW()-COUNTIFS($T$1:$T3969,"="&amp;$T3969,$S$1:$S3969,"&lt;"&amp;$S3969)))</f>
        <v>0</v>
      </c>
      <c r="Z3969" s="6">
        <f t="shared" si="534"/>
        <v>1</v>
      </c>
      <c r="AA3969" t="e">
        <f t="shared" si="535"/>
        <v>#VALUE!</v>
      </c>
      <c r="AB3969" t="str">
        <f t="shared" si="536"/>
        <v/>
      </c>
      <c r="AC3969" t="e">
        <f t="shared" si="537"/>
        <v>#VALUE!</v>
      </c>
    </row>
    <row r="3970" spans="1:29" x14ac:dyDescent="0.2">
      <c r="A3970" t="str">
        <f t="shared" si="538"/>
        <v/>
      </c>
      <c r="E3970" s="4"/>
      <c r="F3970" s="46"/>
      <c r="G3970" s="4"/>
      <c r="H3970" s="48"/>
      <c r="J3970" s="26" t="str">
        <f t="shared" si="539"/>
        <v/>
      </c>
      <c r="N3970" t="str">
        <f t="shared" si="540"/>
        <v/>
      </c>
      <c r="Q3970" t="str">
        <f t="shared" si="541"/>
        <v/>
      </c>
      <c r="S3970" t="str">
        <f>IF(A3970=1,MAX($S$2:$S3969)+1,IF(OR($I3970&lt;&gt;"",A3970="x"),$S3969,""))</f>
        <v/>
      </c>
      <c r="T3970" t="str">
        <f>IF(D3970=1,MAX($T$2:$T3969)+1,IF(S3970=S3969,$T3969,IF(D3970="x",T3969,IF(D3969="x","",""))))</f>
        <v/>
      </c>
      <c r="U3970" t="str">
        <f>IF(B3970=1,MAX($U$2:$U3969)+1,IF(AND($T3970&lt;&gt;"",$T3970=$T3969),$U3969,IF(B3970="x",U3969,"")))</f>
        <v/>
      </c>
      <c r="V3970" t="str">
        <f>IF(C3970=1,MAX($V$2:$V3969)+1,IF(AND($T3970&lt;&gt;"",$T3970=$T3969),$U3969,IF(C3970="x",V3969,"")))</f>
        <v/>
      </c>
      <c r="X3970" cm="1">
        <f t="array" ref="X3970">IF($I3970&lt;&gt;"",$I3970,INDEX($I$1:$I3970,ROW()-COUNTIFS($T$1:$T3970,"="&amp;$T3970,$S$1:$S3970,"&lt;"&amp;$S3970)))</f>
        <v>0</v>
      </c>
      <c r="Z3970" s="6">
        <f t="shared" si="534"/>
        <v>1</v>
      </c>
      <c r="AA3970" t="e">
        <f t="shared" si="535"/>
        <v>#VALUE!</v>
      </c>
      <c r="AB3970" t="str">
        <f t="shared" si="536"/>
        <v/>
      </c>
      <c r="AC3970" t="e">
        <f t="shared" si="537"/>
        <v>#VALUE!</v>
      </c>
    </row>
    <row r="3971" spans="1:29" x14ac:dyDescent="0.2">
      <c r="A3971" t="str">
        <f t="shared" si="538"/>
        <v/>
      </c>
      <c r="E3971" s="4"/>
      <c r="F3971" s="46"/>
      <c r="G3971" s="4"/>
      <c r="H3971" s="48"/>
      <c r="J3971" s="26" t="str">
        <f t="shared" si="539"/>
        <v/>
      </c>
      <c r="N3971" t="str">
        <f t="shared" si="540"/>
        <v/>
      </c>
      <c r="Q3971" t="str">
        <f t="shared" si="541"/>
        <v/>
      </c>
      <c r="S3971" t="str">
        <f>IF(A3971=1,MAX($S$2:$S3970)+1,IF(OR($I3971&lt;&gt;"",A3971="x"),$S3970,""))</f>
        <v/>
      </c>
      <c r="T3971" t="str">
        <f>IF(D3971=1,MAX($T$2:$T3970)+1,IF(S3971=S3970,$T3970,IF(D3971="x",T3970,IF(D3970="x","",""))))</f>
        <v/>
      </c>
      <c r="U3971" t="str">
        <f>IF(B3971=1,MAX($U$2:$U3970)+1,IF(AND($T3971&lt;&gt;"",$T3971=$T3970),$U3970,IF(B3971="x",U3970,"")))</f>
        <v/>
      </c>
      <c r="V3971" t="str">
        <f>IF(C3971=1,MAX($V$2:$V3970)+1,IF(AND($T3971&lt;&gt;"",$T3971=$T3970),$U3970,IF(C3971="x",V3970,"")))</f>
        <v/>
      </c>
      <c r="X3971" cm="1">
        <f t="array" ref="X3971">IF($I3971&lt;&gt;"",$I3971,INDEX($I$1:$I3971,ROW()-COUNTIFS($T$1:$T3971,"="&amp;$T3971,$S$1:$S3971,"&lt;"&amp;$S3971)))</f>
        <v>0</v>
      </c>
      <c r="Z3971" s="6">
        <f t="shared" si="534"/>
        <v>1</v>
      </c>
      <c r="AA3971" t="e">
        <f t="shared" si="535"/>
        <v>#VALUE!</v>
      </c>
      <c r="AB3971" t="str">
        <f t="shared" si="536"/>
        <v/>
      </c>
      <c r="AC3971" t="e">
        <f t="shared" si="537"/>
        <v>#VALUE!</v>
      </c>
    </row>
    <row r="3972" spans="1:29" x14ac:dyDescent="0.2">
      <c r="A3972" t="str">
        <f t="shared" si="538"/>
        <v/>
      </c>
      <c r="E3972" s="4"/>
      <c r="F3972" s="46"/>
      <c r="G3972" s="4"/>
      <c r="H3972" s="48"/>
      <c r="J3972" s="26" t="str">
        <f t="shared" si="539"/>
        <v/>
      </c>
      <c r="N3972" t="str">
        <f t="shared" si="540"/>
        <v/>
      </c>
      <c r="Q3972" t="str">
        <f t="shared" si="541"/>
        <v/>
      </c>
      <c r="S3972" t="str">
        <f>IF(A3972=1,MAX($S$2:$S3971)+1,IF(OR($I3972&lt;&gt;"",A3972="x"),$S3971,""))</f>
        <v/>
      </c>
      <c r="T3972" t="str">
        <f>IF(D3972=1,MAX($T$2:$T3971)+1,IF(S3972=S3971,$T3971,IF(D3972="x",T3971,IF(D3971="x","",""))))</f>
        <v/>
      </c>
      <c r="U3972" t="str">
        <f>IF(B3972=1,MAX($U$2:$U3971)+1,IF(AND($T3972&lt;&gt;"",$T3972=$T3971),$U3971,IF(B3972="x",U3971,"")))</f>
        <v/>
      </c>
      <c r="V3972" t="str">
        <f>IF(C3972=1,MAX($V$2:$V3971)+1,IF(AND($T3972&lt;&gt;"",$T3972=$T3971),$U3971,IF(C3972="x",V3971,"")))</f>
        <v/>
      </c>
      <c r="X3972" cm="1">
        <f t="array" ref="X3972">IF($I3972&lt;&gt;"",$I3972,INDEX($I$1:$I3972,ROW()-COUNTIFS($T$1:$T3972,"="&amp;$T3972,$S$1:$S3972,"&lt;"&amp;$S3972)))</f>
        <v>0</v>
      </c>
      <c r="Z3972" s="6">
        <f t="shared" si="534"/>
        <v>1</v>
      </c>
      <c r="AA3972" t="e">
        <f t="shared" si="535"/>
        <v>#VALUE!</v>
      </c>
      <c r="AB3972" t="str">
        <f t="shared" si="536"/>
        <v/>
      </c>
      <c r="AC3972" t="e">
        <f t="shared" si="537"/>
        <v>#VALUE!</v>
      </c>
    </row>
    <row r="3973" spans="1:29" x14ac:dyDescent="0.2">
      <c r="A3973" t="str">
        <f t="shared" si="538"/>
        <v/>
      </c>
      <c r="E3973" s="4"/>
      <c r="F3973" s="46"/>
      <c r="G3973" s="4"/>
      <c r="H3973" s="48"/>
      <c r="J3973" s="26" t="str">
        <f t="shared" si="539"/>
        <v/>
      </c>
      <c r="N3973" t="str">
        <f t="shared" si="540"/>
        <v/>
      </c>
      <c r="Q3973" t="str">
        <f t="shared" si="541"/>
        <v/>
      </c>
      <c r="S3973" t="str">
        <f>IF(A3973=1,MAX($S$2:$S3972)+1,IF(OR($I3973&lt;&gt;"",A3973="x"),$S3972,""))</f>
        <v/>
      </c>
      <c r="T3973" t="str">
        <f>IF(D3973=1,MAX($T$2:$T3972)+1,IF(S3973=S3972,$T3972,IF(D3973="x",T3972,IF(D3972="x","",""))))</f>
        <v/>
      </c>
      <c r="U3973" t="str">
        <f>IF(B3973=1,MAX($U$2:$U3972)+1,IF(AND($T3973&lt;&gt;"",$T3973=$T3972),$U3972,IF(B3973="x",U3972,"")))</f>
        <v/>
      </c>
      <c r="V3973" t="str">
        <f>IF(C3973=1,MAX($V$2:$V3972)+1,IF(AND($T3973&lt;&gt;"",$T3973=$T3972),$U3972,IF(C3973="x",V3972,"")))</f>
        <v/>
      </c>
      <c r="X3973" cm="1">
        <f t="array" ref="X3973">IF($I3973&lt;&gt;"",$I3973,INDEX($I$1:$I3973,ROW()-COUNTIFS($T$1:$T3973,"="&amp;$T3973,$S$1:$S3973,"&lt;"&amp;$S3973)))</f>
        <v>0</v>
      </c>
      <c r="Z3973" s="6">
        <f t="shared" ref="Z3973:Z4001" si="542">IF(K3973="Intermission",Z3972+1,Z3972)</f>
        <v>1</v>
      </c>
      <c r="AA3973" t="e">
        <f t="shared" ref="AA3973:AA4001" si="543">S3973+1000</f>
        <v>#VALUE!</v>
      </c>
      <c r="AB3973" t="str">
        <f t="shared" ref="AB3973:AB4001" si="544">IF(T3973&lt;&gt;"",9000+T3973,"")</f>
        <v/>
      </c>
      <c r="AC3973" t="e">
        <f t="shared" ref="AC3973:AC4001" si="545">IF(AB3973&lt;&gt;"",AB3973,S3973+1000)</f>
        <v>#VALUE!</v>
      </c>
    </row>
    <row r="3974" spans="1:29" x14ac:dyDescent="0.2">
      <c r="A3974" t="str">
        <f t="shared" si="538"/>
        <v/>
      </c>
      <c r="E3974" s="4"/>
      <c r="F3974" s="46"/>
      <c r="G3974" s="4"/>
      <c r="H3974" s="48"/>
      <c r="J3974" s="26" t="str">
        <f t="shared" si="539"/>
        <v/>
      </c>
      <c r="N3974" t="str">
        <f t="shared" si="540"/>
        <v/>
      </c>
      <c r="Q3974" t="str">
        <f t="shared" si="541"/>
        <v/>
      </c>
      <c r="S3974" t="str">
        <f>IF(A3974=1,MAX($S$2:$S3973)+1,IF(OR($I3974&lt;&gt;"",A3974="x"),$S3973,""))</f>
        <v/>
      </c>
      <c r="T3974" t="str">
        <f>IF(D3974=1,MAX($T$2:$T3973)+1,IF(S3974=S3973,$T3973,IF(D3974="x",T3973,IF(D3973="x","",""))))</f>
        <v/>
      </c>
      <c r="U3974" t="str">
        <f>IF(B3974=1,MAX($U$2:$U3973)+1,IF(AND($T3974&lt;&gt;"",$T3974=$T3973),$U3973,IF(B3974="x",U3973,"")))</f>
        <v/>
      </c>
      <c r="V3974" t="str">
        <f>IF(C3974=1,MAX($V$2:$V3973)+1,IF(AND($T3974&lt;&gt;"",$T3974=$T3973),$U3973,IF(C3974="x",V3973,"")))</f>
        <v/>
      </c>
      <c r="X3974" cm="1">
        <f t="array" ref="X3974">IF($I3974&lt;&gt;"",$I3974,INDEX($I$1:$I3974,ROW()-COUNTIFS($T$1:$T3974,"="&amp;$T3974,$S$1:$S3974,"&lt;"&amp;$S3974)))</f>
        <v>0</v>
      </c>
      <c r="Z3974" s="6">
        <f t="shared" si="542"/>
        <v>1</v>
      </c>
      <c r="AA3974" t="e">
        <f t="shared" si="543"/>
        <v>#VALUE!</v>
      </c>
      <c r="AB3974" t="str">
        <f t="shared" si="544"/>
        <v/>
      </c>
      <c r="AC3974" t="e">
        <f t="shared" si="545"/>
        <v>#VALUE!</v>
      </c>
    </row>
    <row r="3975" spans="1:29" x14ac:dyDescent="0.2">
      <c r="A3975" t="str">
        <f t="shared" si="538"/>
        <v/>
      </c>
      <c r="E3975" s="4"/>
      <c r="F3975" s="46"/>
      <c r="G3975" s="4"/>
      <c r="H3975" s="48"/>
      <c r="J3975" s="26" t="str">
        <f t="shared" si="539"/>
        <v/>
      </c>
      <c r="N3975" t="str">
        <f t="shared" si="540"/>
        <v/>
      </c>
      <c r="Q3975" t="str">
        <f t="shared" si="541"/>
        <v/>
      </c>
      <c r="S3975" t="str">
        <f>IF(A3975=1,MAX($S$2:$S3974)+1,IF(OR($I3975&lt;&gt;"",A3975="x"),$S3974,""))</f>
        <v/>
      </c>
      <c r="T3975" t="str">
        <f>IF(D3975=1,MAX($T$2:$T3974)+1,IF(S3975=S3974,$T3974,IF(D3975="x",T3974,IF(D3974="x","",""))))</f>
        <v/>
      </c>
      <c r="U3975" t="str">
        <f>IF(B3975=1,MAX($U$2:$U3974)+1,IF(AND($T3975&lt;&gt;"",$T3975=$T3974),$U3974,IF(B3975="x",U3974,"")))</f>
        <v/>
      </c>
      <c r="V3975" t="str">
        <f>IF(C3975=1,MAX($V$2:$V3974)+1,IF(AND($T3975&lt;&gt;"",$T3975=$T3974),$U3974,IF(C3975="x",V3974,"")))</f>
        <v/>
      </c>
      <c r="X3975" cm="1">
        <f t="array" ref="X3975">IF($I3975&lt;&gt;"",$I3975,INDEX($I$1:$I3975,ROW()-COUNTIFS($T$1:$T3975,"="&amp;$T3975,$S$1:$S3975,"&lt;"&amp;$S3975)))</f>
        <v>0</v>
      </c>
      <c r="Z3975" s="6">
        <f t="shared" si="542"/>
        <v>1</v>
      </c>
      <c r="AA3975" t="e">
        <f t="shared" si="543"/>
        <v>#VALUE!</v>
      </c>
      <c r="AB3975" t="str">
        <f t="shared" si="544"/>
        <v/>
      </c>
      <c r="AC3975" t="e">
        <f t="shared" si="545"/>
        <v>#VALUE!</v>
      </c>
    </row>
    <row r="3976" spans="1:29" x14ac:dyDescent="0.2">
      <c r="A3976" t="str">
        <f t="shared" si="538"/>
        <v/>
      </c>
      <c r="E3976" s="4"/>
      <c r="F3976" s="46"/>
      <c r="G3976" s="4"/>
      <c r="H3976" s="48"/>
      <c r="J3976" s="26" t="str">
        <f t="shared" si="539"/>
        <v/>
      </c>
      <c r="N3976" t="str">
        <f t="shared" si="540"/>
        <v/>
      </c>
      <c r="Q3976" t="str">
        <f t="shared" si="541"/>
        <v/>
      </c>
      <c r="S3976" t="str">
        <f>IF(A3976=1,MAX($S$2:$S3975)+1,IF(OR($I3976&lt;&gt;"",A3976="x"),$S3975,""))</f>
        <v/>
      </c>
      <c r="T3976" t="str">
        <f>IF(D3976=1,MAX($T$2:$T3975)+1,IF(S3976=S3975,$T3975,IF(D3976="x",T3975,IF(D3975="x","",""))))</f>
        <v/>
      </c>
      <c r="U3976" t="str">
        <f>IF(B3976=1,MAX($U$2:$U3975)+1,IF(AND($T3976&lt;&gt;"",$T3976=$T3975),$U3975,IF(B3976="x",U3975,"")))</f>
        <v/>
      </c>
      <c r="V3976" t="str">
        <f>IF(C3976=1,MAX($V$2:$V3975)+1,IF(AND($T3976&lt;&gt;"",$T3976=$T3975),$U3975,IF(C3976="x",V3975,"")))</f>
        <v/>
      </c>
      <c r="X3976" cm="1">
        <f t="array" ref="X3976">IF($I3976&lt;&gt;"",$I3976,INDEX($I$1:$I3976,ROW()-COUNTIFS($T$1:$T3976,"="&amp;$T3976,$S$1:$S3976,"&lt;"&amp;$S3976)))</f>
        <v>0</v>
      </c>
      <c r="Z3976" s="6">
        <f t="shared" si="542"/>
        <v>1</v>
      </c>
      <c r="AA3976" t="e">
        <f t="shared" si="543"/>
        <v>#VALUE!</v>
      </c>
      <c r="AB3976" t="str">
        <f t="shared" si="544"/>
        <v/>
      </c>
      <c r="AC3976" t="e">
        <f t="shared" si="545"/>
        <v>#VALUE!</v>
      </c>
    </row>
    <row r="3977" spans="1:29" x14ac:dyDescent="0.2">
      <c r="A3977" t="str">
        <f t="shared" si="538"/>
        <v/>
      </c>
      <c r="E3977" s="4"/>
      <c r="F3977" s="46"/>
      <c r="G3977" s="4"/>
      <c r="H3977" s="48"/>
      <c r="J3977" s="26" t="str">
        <f t="shared" si="539"/>
        <v/>
      </c>
      <c r="N3977" t="str">
        <f t="shared" si="540"/>
        <v/>
      </c>
      <c r="Q3977" t="str">
        <f t="shared" si="541"/>
        <v/>
      </c>
      <c r="S3977" t="str">
        <f>IF(A3977=1,MAX($S$2:$S3976)+1,IF(OR($I3977&lt;&gt;"",A3977="x"),$S3976,""))</f>
        <v/>
      </c>
      <c r="T3977" t="str">
        <f>IF(D3977=1,MAX($T$2:$T3976)+1,IF(S3977=S3976,$T3976,IF(D3977="x",T3976,IF(D3976="x","",""))))</f>
        <v/>
      </c>
      <c r="U3977" t="str">
        <f>IF(B3977=1,MAX($U$2:$U3976)+1,IF(AND($T3977&lt;&gt;"",$T3977=$T3976),$U3976,IF(B3977="x",U3976,"")))</f>
        <v/>
      </c>
      <c r="V3977" t="str">
        <f>IF(C3977=1,MAX($V$2:$V3976)+1,IF(AND($T3977&lt;&gt;"",$T3977=$T3976),$U3976,IF(C3977="x",V3976,"")))</f>
        <v/>
      </c>
      <c r="X3977" cm="1">
        <f t="array" ref="X3977">IF($I3977&lt;&gt;"",$I3977,INDEX($I$1:$I3977,ROW()-COUNTIFS($T$1:$T3977,"="&amp;$T3977,$S$1:$S3977,"&lt;"&amp;$S3977)))</f>
        <v>0</v>
      </c>
      <c r="Z3977" s="6">
        <f t="shared" si="542"/>
        <v>1</v>
      </c>
      <c r="AA3977" t="e">
        <f t="shared" si="543"/>
        <v>#VALUE!</v>
      </c>
      <c r="AB3977" t="str">
        <f t="shared" si="544"/>
        <v/>
      </c>
      <c r="AC3977" t="e">
        <f t="shared" si="545"/>
        <v>#VALUE!</v>
      </c>
    </row>
    <row r="3978" spans="1:29" x14ac:dyDescent="0.2">
      <c r="A3978" t="str">
        <f t="shared" si="538"/>
        <v/>
      </c>
      <c r="E3978" s="4"/>
      <c r="F3978" s="46"/>
      <c r="G3978" s="4"/>
      <c r="H3978" s="48"/>
      <c r="J3978" s="26" t="str">
        <f t="shared" si="539"/>
        <v/>
      </c>
      <c r="N3978" t="str">
        <f t="shared" si="540"/>
        <v/>
      </c>
      <c r="Q3978" t="str">
        <f t="shared" si="541"/>
        <v/>
      </c>
      <c r="S3978" t="str">
        <f>IF(A3978=1,MAX($S$2:$S3977)+1,IF(OR($I3978&lt;&gt;"",A3978="x"),$S3977,""))</f>
        <v/>
      </c>
      <c r="T3978" t="str">
        <f>IF(D3978=1,MAX($T$2:$T3977)+1,IF(S3978=S3977,$T3977,IF(D3978="x",T3977,IF(D3977="x","",""))))</f>
        <v/>
      </c>
      <c r="U3978" t="str">
        <f>IF(B3978=1,MAX($U$2:$U3977)+1,IF(AND($T3978&lt;&gt;"",$T3978=$T3977),$U3977,IF(B3978="x",U3977,"")))</f>
        <v/>
      </c>
      <c r="V3978" t="str">
        <f>IF(C3978=1,MAX($V$2:$V3977)+1,IF(AND($T3978&lt;&gt;"",$T3978=$T3977),$U3977,IF(C3978="x",V3977,"")))</f>
        <v/>
      </c>
      <c r="X3978" cm="1">
        <f t="array" ref="X3978">IF($I3978&lt;&gt;"",$I3978,INDEX($I$1:$I3978,ROW()-COUNTIFS($T$1:$T3978,"="&amp;$T3978,$S$1:$S3978,"&lt;"&amp;$S3978)))</f>
        <v>0</v>
      </c>
      <c r="Z3978" s="6">
        <f t="shared" si="542"/>
        <v>1</v>
      </c>
      <c r="AA3978" t="e">
        <f t="shared" si="543"/>
        <v>#VALUE!</v>
      </c>
      <c r="AB3978" t="str">
        <f t="shared" si="544"/>
        <v/>
      </c>
      <c r="AC3978" t="e">
        <f t="shared" si="545"/>
        <v>#VALUE!</v>
      </c>
    </row>
    <row r="3979" spans="1:29" x14ac:dyDescent="0.2">
      <c r="A3979" t="str">
        <f t="shared" si="538"/>
        <v/>
      </c>
      <c r="E3979" s="4"/>
      <c r="F3979" s="46"/>
      <c r="G3979" s="4"/>
      <c r="H3979" s="48"/>
      <c r="J3979" s="26" t="str">
        <f t="shared" si="539"/>
        <v/>
      </c>
      <c r="N3979" t="str">
        <f t="shared" si="540"/>
        <v/>
      </c>
      <c r="Q3979" t="str">
        <f t="shared" si="541"/>
        <v/>
      </c>
      <c r="S3979" t="str">
        <f>IF(A3979=1,MAX($S$2:$S3978)+1,IF(OR($I3979&lt;&gt;"",A3979="x"),$S3978,""))</f>
        <v/>
      </c>
      <c r="T3979" t="str">
        <f>IF(D3979=1,MAX($T$2:$T3978)+1,IF(S3979=S3978,$T3978,IF(D3979="x",T3978,IF(D3978="x","",""))))</f>
        <v/>
      </c>
      <c r="U3979" t="str">
        <f>IF(B3979=1,MAX($U$2:$U3978)+1,IF(AND($T3979&lt;&gt;"",$T3979=$T3978),$U3978,IF(B3979="x",U3978,"")))</f>
        <v/>
      </c>
      <c r="V3979" t="str">
        <f>IF(C3979=1,MAX($V$2:$V3978)+1,IF(AND($T3979&lt;&gt;"",$T3979=$T3978),$U3978,IF(C3979="x",V3978,"")))</f>
        <v/>
      </c>
      <c r="X3979" cm="1">
        <f t="array" ref="X3979">IF($I3979&lt;&gt;"",$I3979,INDEX($I$1:$I3979,ROW()-COUNTIFS($T$1:$T3979,"="&amp;$T3979,$S$1:$S3979,"&lt;"&amp;$S3979)))</f>
        <v>0</v>
      </c>
      <c r="Z3979" s="6">
        <f t="shared" si="542"/>
        <v>1</v>
      </c>
      <c r="AA3979" t="e">
        <f t="shared" si="543"/>
        <v>#VALUE!</v>
      </c>
      <c r="AB3979" t="str">
        <f t="shared" si="544"/>
        <v/>
      </c>
      <c r="AC3979" t="e">
        <f t="shared" si="545"/>
        <v>#VALUE!</v>
      </c>
    </row>
    <row r="3980" spans="1:29" x14ac:dyDescent="0.2">
      <c r="A3980" t="str">
        <f t="shared" si="538"/>
        <v/>
      </c>
      <c r="E3980" s="4"/>
      <c r="F3980" s="46"/>
      <c r="G3980" s="4"/>
      <c r="H3980" s="48"/>
      <c r="J3980" s="26" t="str">
        <f t="shared" si="539"/>
        <v/>
      </c>
      <c r="N3980" t="str">
        <f t="shared" si="540"/>
        <v/>
      </c>
      <c r="Q3980" t="str">
        <f t="shared" si="541"/>
        <v/>
      </c>
      <c r="S3980" t="str">
        <f>IF(A3980=1,MAX($S$2:$S3979)+1,IF(OR($I3980&lt;&gt;"",A3980="x"),$S3979,""))</f>
        <v/>
      </c>
      <c r="T3980" t="str">
        <f>IF(D3980=1,MAX($T$2:$T3979)+1,IF(S3980=S3979,$T3979,IF(D3980="x",T3979,IF(D3979="x","",""))))</f>
        <v/>
      </c>
      <c r="U3980" t="str">
        <f>IF(B3980=1,MAX($U$2:$U3979)+1,IF(AND($T3980&lt;&gt;"",$T3980=$T3979),$U3979,IF(B3980="x",U3979,"")))</f>
        <v/>
      </c>
      <c r="V3980" t="str">
        <f>IF(C3980=1,MAX($V$2:$V3979)+1,IF(AND($T3980&lt;&gt;"",$T3980=$T3979),$U3979,IF(C3980="x",V3979,"")))</f>
        <v/>
      </c>
      <c r="X3980" cm="1">
        <f t="array" ref="X3980">IF($I3980&lt;&gt;"",$I3980,INDEX($I$1:$I3980,ROW()-COUNTIFS($T$1:$T3980,"="&amp;$T3980,$S$1:$S3980,"&lt;"&amp;$S3980)))</f>
        <v>0</v>
      </c>
      <c r="Z3980" s="6">
        <f t="shared" si="542"/>
        <v>1</v>
      </c>
      <c r="AA3980" t="e">
        <f t="shared" si="543"/>
        <v>#VALUE!</v>
      </c>
      <c r="AB3980" t="str">
        <f t="shared" si="544"/>
        <v/>
      </c>
      <c r="AC3980" t="e">
        <f t="shared" si="545"/>
        <v>#VALUE!</v>
      </c>
    </row>
    <row r="3981" spans="1:29" x14ac:dyDescent="0.2">
      <c r="A3981" t="str">
        <f t="shared" si="538"/>
        <v/>
      </c>
      <c r="E3981" s="4"/>
      <c r="F3981" s="46"/>
      <c r="G3981" s="4"/>
      <c r="H3981" s="48"/>
      <c r="J3981" s="26" t="str">
        <f t="shared" si="539"/>
        <v/>
      </c>
      <c r="N3981" t="str">
        <f t="shared" si="540"/>
        <v/>
      </c>
      <c r="Q3981" t="str">
        <f t="shared" si="541"/>
        <v/>
      </c>
      <c r="S3981" t="str">
        <f>IF(A3981=1,MAX($S$2:$S3980)+1,IF(OR($I3981&lt;&gt;"",A3981="x"),$S3980,""))</f>
        <v/>
      </c>
      <c r="T3981" t="str">
        <f>IF(D3981=1,MAX($T$2:$T3980)+1,IF(S3981=S3980,$T3980,IF(D3981="x",T3980,IF(D3980="x","",""))))</f>
        <v/>
      </c>
      <c r="U3981" t="str">
        <f>IF(B3981=1,MAX($U$2:$U3980)+1,IF(AND($T3981&lt;&gt;"",$T3981=$T3980),$U3980,IF(B3981="x",U3980,"")))</f>
        <v/>
      </c>
      <c r="V3981" t="str">
        <f>IF(C3981=1,MAX($V$2:$V3980)+1,IF(AND($T3981&lt;&gt;"",$T3981=$T3980),$U3980,IF(C3981="x",V3980,"")))</f>
        <v/>
      </c>
      <c r="X3981" cm="1">
        <f t="array" ref="X3981">IF($I3981&lt;&gt;"",$I3981,INDEX($I$1:$I3981,ROW()-COUNTIFS($T$1:$T3981,"="&amp;$T3981,$S$1:$S3981,"&lt;"&amp;$S3981)))</f>
        <v>0</v>
      </c>
      <c r="Z3981" s="6">
        <f t="shared" si="542"/>
        <v>1</v>
      </c>
      <c r="AA3981" t="e">
        <f t="shared" si="543"/>
        <v>#VALUE!</v>
      </c>
      <c r="AB3981" t="str">
        <f t="shared" si="544"/>
        <v/>
      </c>
      <c r="AC3981" t="e">
        <f t="shared" si="545"/>
        <v>#VALUE!</v>
      </c>
    </row>
    <row r="3982" spans="1:29" x14ac:dyDescent="0.2">
      <c r="A3982" t="str">
        <f t="shared" si="538"/>
        <v/>
      </c>
      <c r="E3982" s="4"/>
      <c r="F3982" s="46"/>
      <c r="G3982" s="4"/>
      <c r="H3982" s="48"/>
      <c r="J3982" s="26" t="str">
        <f t="shared" si="539"/>
        <v/>
      </c>
      <c r="N3982" t="str">
        <f t="shared" si="540"/>
        <v/>
      </c>
      <c r="Q3982" t="str">
        <f t="shared" si="541"/>
        <v/>
      </c>
      <c r="S3982" t="str">
        <f>IF(A3982=1,MAX($S$2:$S3981)+1,IF(OR($I3982&lt;&gt;"",A3982="x"),$S3981,""))</f>
        <v/>
      </c>
      <c r="T3982" t="str">
        <f>IF(D3982=1,MAX($T$2:$T3981)+1,IF(S3982=S3981,$T3981,IF(D3982="x",T3981,IF(D3981="x","",""))))</f>
        <v/>
      </c>
      <c r="U3982" t="str">
        <f>IF(B3982=1,MAX($U$2:$U3981)+1,IF(AND($T3982&lt;&gt;"",$T3982=$T3981),$U3981,IF(B3982="x",U3981,"")))</f>
        <v/>
      </c>
      <c r="V3982" t="str">
        <f>IF(C3982=1,MAX($V$2:$V3981)+1,IF(AND($T3982&lt;&gt;"",$T3982=$T3981),$U3981,IF(C3982="x",V3981,"")))</f>
        <v/>
      </c>
      <c r="X3982" cm="1">
        <f t="array" ref="X3982">IF($I3982&lt;&gt;"",$I3982,INDEX($I$1:$I3982,ROW()-COUNTIFS($T$1:$T3982,"="&amp;$T3982,$S$1:$S3982,"&lt;"&amp;$S3982)))</f>
        <v>0</v>
      </c>
      <c r="Z3982" s="6">
        <f t="shared" si="542"/>
        <v>1</v>
      </c>
      <c r="AA3982" t="e">
        <f t="shared" si="543"/>
        <v>#VALUE!</v>
      </c>
      <c r="AB3982" t="str">
        <f t="shared" si="544"/>
        <v/>
      </c>
      <c r="AC3982" t="e">
        <f t="shared" si="545"/>
        <v>#VALUE!</v>
      </c>
    </row>
    <row r="3983" spans="1:29" x14ac:dyDescent="0.2">
      <c r="A3983" t="str">
        <f t="shared" si="538"/>
        <v/>
      </c>
      <c r="E3983" s="4"/>
      <c r="F3983" s="46"/>
      <c r="G3983" s="4"/>
      <c r="H3983" s="48"/>
      <c r="J3983" s="26" t="str">
        <f t="shared" si="539"/>
        <v/>
      </c>
      <c r="N3983" t="str">
        <f t="shared" si="540"/>
        <v/>
      </c>
      <c r="Q3983" t="str">
        <f t="shared" si="541"/>
        <v/>
      </c>
      <c r="S3983" t="str">
        <f>IF(A3983=1,MAX($S$2:$S3982)+1,IF(OR($I3983&lt;&gt;"",A3983="x"),$S3982,""))</f>
        <v/>
      </c>
      <c r="T3983" t="str">
        <f>IF(D3983=1,MAX($T$2:$T3982)+1,IF(S3983=S3982,$T3982,IF(D3983="x",T3982,IF(D3982="x","",""))))</f>
        <v/>
      </c>
      <c r="U3983" t="str">
        <f>IF(B3983=1,MAX($U$2:$U3982)+1,IF(AND($T3983&lt;&gt;"",$T3983=$T3982),$U3982,IF(B3983="x",U3982,"")))</f>
        <v/>
      </c>
      <c r="V3983" t="str">
        <f>IF(C3983=1,MAX($V$2:$V3982)+1,IF(AND($T3983&lt;&gt;"",$T3983=$T3982),$U3982,IF(C3983="x",V3982,"")))</f>
        <v/>
      </c>
      <c r="X3983" cm="1">
        <f t="array" ref="X3983">IF($I3983&lt;&gt;"",$I3983,INDEX($I$1:$I3983,ROW()-COUNTIFS($T$1:$T3983,"="&amp;$T3983,$S$1:$S3983,"&lt;"&amp;$S3983)))</f>
        <v>0</v>
      </c>
      <c r="Z3983" s="6">
        <f t="shared" si="542"/>
        <v>1</v>
      </c>
      <c r="AA3983" t="e">
        <f t="shared" si="543"/>
        <v>#VALUE!</v>
      </c>
      <c r="AB3983" t="str">
        <f t="shared" si="544"/>
        <v/>
      </c>
      <c r="AC3983" t="e">
        <f t="shared" si="545"/>
        <v>#VALUE!</v>
      </c>
    </row>
    <row r="3984" spans="1:29" x14ac:dyDescent="0.2">
      <c r="A3984" t="str">
        <f t="shared" si="538"/>
        <v/>
      </c>
      <c r="E3984" s="4"/>
      <c r="F3984" s="46"/>
      <c r="G3984" s="4"/>
      <c r="H3984" s="48"/>
      <c r="J3984" s="26" t="str">
        <f t="shared" si="539"/>
        <v/>
      </c>
      <c r="N3984" t="str">
        <f t="shared" si="540"/>
        <v/>
      </c>
      <c r="Q3984" t="str">
        <f t="shared" si="541"/>
        <v/>
      </c>
      <c r="S3984" t="str">
        <f>IF(A3984=1,MAX($S$2:$S3983)+1,IF(OR($I3984&lt;&gt;"",A3984="x"),$S3983,""))</f>
        <v/>
      </c>
      <c r="T3984" t="str">
        <f>IF(D3984=1,MAX($T$2:$T3983)+1,IF(S3984=S3983,$T3983,IF(D3984="x",T3983,IF(D3983="x","",""))))</f>
        <v/>
      </c>
      <c r="U3984" t="str">
        <f>IF(B3984=1,MAX($U$2:$U3983)+1,IF(AND($T3984&lt;&gt;"",$T3984=$T3983),$U3983,IF(B3984="x",U3983,"")))</f>
        <v/>
      </c>
      <c r="V3984" t="str">
        <f>IF(C3984=1,MAX($V$2:$V3983)+1,IF(AND($T3984&lt;&gt;"",$T3984=$T3983),$U3983,IF(C3984="x",V3983,"")))</f>
        <v/>
      </c>
      <c r="X3984" cm="1">
        <f t="array" ref="X3984">IF($I3984&lt;&gt;"",$I3984,INDEX($I$1:$I3984,ROW()-COUNTIFS($T$1:$T3984,"="&amp;$T3984,$S$1:$S3984,"&lt;"&amp;$S3984)))</f>
        <v>0</v>
      </c>
      <c r="Z3984" s="6">
        <f t="shared" si="542"/>
        <v>1</v>
      </c>
      <c r="AA3984" t="e">
        <f t="shared" si="543"/>
        <v>#VALUE!</v>
      </c>
      <c r="AB3984" t="str">
        <f t="shared" si="544"/>
        <v/>
      </c>
      <c r="AC3984" t="e">
        <f t="shared" si="545"/>
        <v>#VALUE!</v>
      </c>
    </row>
    <row r="3985" spans="1:29" x14ac:dyDescent="0.2">
      <c r="A3985" t="str">
        <f t="shared" si="538"/>
        <v/>
      </c>
      <c r="E3985" s="4"/>
      <c r="F3985" s="46"/>
      <c r="G3985" s="4"/>
      <c r="H3985" s="48"/>
      <c r="J3985" s="26" t="str">
        <f t="shared" si="539"/>
        <v/>
      </c>
      <c r="N3985" t="str">
        <f t="shared" si="540"/>
        <v/>
      </c>
      <c r="Q3985" t="str">
        <f t="shared" si="541"/>
        <v/>
      </c>
      <c r="S3985" t="str">
        <f>IF(A3985=1,MAX($S$2:$S3984)+1,IF(OR($I3985&lt;&gt;"",A3985="x"),$S3984,""))</f>
        <v/>
      </c>
      <c r="T3985" t="str">
        <f>IF(D3985=1,MAX($T$2:$T3984)+1,IF(S3985=S3984,$T3984,IF(D3985="x",T3984,IF(D3984="x","",""))))</f>
        <v/>
      </c>
      <c r="U3985" t="str">
        <f>IF(B3985=1,MAX($U$2:$U3984)+1,IF(AND($T3985&lt;&gt;"",$T3985=$T3984),$U3984,IF(B3985="x",U3984,"")))</f>
        <v/>
      </c>
      <c r="V3985" t="str">
        <f>IF(C3985=1,MAX($V$2:$V3984)+1,IF(AND($T3985&lt;&gt;"",$T3985=$T3984),$U3984,IF(C3985="x",V3984,"")))</f>
        <v/>
      </c>
      <c r="X3985" cm="1">
        <f t="array" ref="X3985">IF($I3985&lt;&gt;"",$I3985,INDEX($I$1:$I3985,ROW()-COUNTIFS($T$1:$T3985,"="&amp;$T3985,$S$1:$S3985,"&lt;"&amp;$S3985)))</f>
        <v>0</v>
      </c>
      <c r="Z3985" s="6">
        <f t="shared" si="542"/>
        <v>1</v>
      </c>
      <c r="AA3985" t="e">
        <f t="shared" si="543"/>
        <v>#VALUE!</v>
      </c>
      <c r="AB3985" t="str">
        <f t="shared" si="544"/>
        <v/>
      </c>
      <c r="AC3985" t="e">
        <f t="shared" si="545"/>
        <v>#VALUE!</v>
      </c>
    </row>
    <row r="3986" spans="1:29" x14ac:dyDescent="0.2">
      <c r="A3986" t="str">
        <f t="shared" si="538"/>
        <v/>
      </c>
      <c r="E3986" s="4"/>
      <c r="F3986" s="46"/>
      <c r="G3986" s="4"/>
      <c r="H3986" s="48"/>
      <c r="J3986" s="26" t="str">
        <f t="shared" si="539"/>
        <v/>
      </c>
      <c r="N3986" t="str">
        <f t="shared" si="540"/>
        <v/>
      </c>
      <c r="Q3986" t="str">
        <f t="shared" si="541"/>
        <v/>
      </c>
      <c r="S3986" t="str">
        <f>IF(A3986=1,MAX($S$2:$S3985)+1,IF(OR($I3986&lt;&gt;"",A3986="x"),$S3985,""))</f>
        <v/>
      </c>
      <c r="T3986" t="str">
        <f>IF(D3986=1,MAX($T$2:$T3985)+1,IF(S3986=S3985,$T3985,IF(D3986="x",T3985,IF(D3985="x","",""))))</f>
        <v/>
      </c>
      <c r="U3986" t="str">
        <f>IF(B3986=1,MAX($U$2:$U3985)+1,IF(AND($T3986&lt;&gt;"",$T3986=$T3985),$U3985,IF(B3986="x",U3985,"")))</f>
        <v/>
      </c>
      <c r="V3986" t="str">
        <f>IF(C3986=1,MAX($V$2:$V3985)+1,IF(AND($T3986&lt;&gt;"",$T3986=$T3985),$U3985,IF(C3986="x",V3985,"")))</f>
        <v/>
      </c>
      <c r="X3986" cm="1">
        <f t="array" ref="X3986">IF($I3986&lt;&gt;"",$I3986,INDEX($I$1:$I3986,ROW()-COUNTIFS($T$1:$T3986,"="&amp;$T3986,$S$1:$S3986,"&lt;"&amp;$S3986)))</f>
        <v>0</v>
      </c>
      <c r="Z3986" s="6">
        <f t="shared" si="542"/>
        <v>1</v>
      </c>
      <c r="AA3986" t="e">
        <f t="shared" si="543"/>
        <v>#VALUE!</v>
      </c>
      <c r="AB3986" t="str">
        <f t="shared" si="544"/>
        <v/>
      </c>
      <c r="AC3986" t="e">
        <f t="shared" si="545"/>
        <v>#VALUE!</v>
      </c>
    </row>
    <row r="3987" spans="1:29" x14ac:dyDescent="0.2">
      <c r="A3987" t="str">
        <f t="shared" ref="A3987:A4001" si="546">IF(K3987&lt;&gt;"",1,IF(D3987="x","x",""))</f>
        <v/>
      </c>
      <c r="E3987" s="4"/>
      <c r="F3987" s="46"/>
      <c r="G3987" s="4"/>
      <c r="H3987" s="48"/>
      <c r="J3987" s="26" t="str">
        <f t="shared" ref="J3987:J4001" si="547">IF(OR(K3987="Goal",K3987="Shot",L3987="Zone_Entry",M3987="Stoppage-Goal",M3986="Stoppage-Goal"),"o",IF(OR(K3987="Save",K3987="Rebound",L3987="Zone_Exit",M3987="Stoppage-GoalieStoppage",M3986="Stoppage-GoalieStoppage"),"d",IF(OR(L3987="Faceoff_AfterGoal",L3987="Faceoff_PeriodStart",698="Faceoff_GameStart",M3986="Stoppage-Goal"),"n","")))</f>
        <v/>
      </c>
      <c r="N3987" t="str">
        <f t="shared" ref="N3987:N4001" si="548">IF(K3987="","",IF(K3987="Goal","s",IF(AND(K3987="Zone_Entry_Exit",OR(ISNUMBER(SEARCH("fail",L3987)),ISNUMBER(SEARCH("FromExitClear",M3987)),ISNUMBER(SEARCH("miss",M3987)))),"u",IF(AND(K3987="Zone_Entry_Exit",OR(NOT(ISNUMBER(SEARCH("fail",L3987))),NOT(ISNUMBER(SEARCH("FromExitClear",M3987))),NOT(ISNUMBER(SEARCH("miss",M3987))))),"s",IF(AND(OR(K3987="Shot",K3987="Pass"),OR(ISNUMBER(SEARCH("complete",L3987)),ISNUMBER(SEARCH("goal",L3987)),ISNUMBER(SEARCH("OnNet",L3987)))),"s",IF(L3987="Turnover_Giveaway","u",IF(AND(OR(K3987="Shot",K3987="Pass"),OR(ISNUMBER(SEARCH("fail",L3987)),NOT(ISNUMBER(SEARCH("complete",L3987))),NOT(ISNUMBER(SEARCH("OnNet",L3987))))),"u","")))))))</f>
        <v/>
      </c>
      <c r="Q3987" t="str">
        <f t="shared" ref="Q3987:Q4001" si="549">IF(O3987="","",IF(AND(N3987&lt;&gt;"",OR(O3987&lt;&gt;"",P3987&lt;&gt;"")),N3987,IF(OR(ISNUMBER(SEARCH("attemp",O3987)),ISNUMBER(SEARCH("beat",O3987)),ISNUMBER(SEARCH("mis",O3987)),ISNUMBER(SEARCH("fail",O3987)),ISNUMBER(SEARCH("loss",O3987)),ISNUMBER(SEARCH("lost",O3987)),ISNUMBER(SEARCH("attemp",P3987)),ISNUMBER(SEARCH("mis",P3987)),ISNUMBER(SEARCH("fail",P3987)),ISNUMBER(SEARCH("loss",P3987)),ISNUMBER(SEARCH("beat",P3987)),ISNUMBER(SEARCH("lost",P3987))),"u","")))</f>
        <v/>
      </c>
      <c r="S3987" t="str">
        <f>IF(A3987=1,MAX($S$2:$S3986)+1,IF(OR($I3987&lt;&gt;"",A3987="x"),$S3986,""))</f>
        <v/>
      </c>
      <c r="T3987" t="str">
        <f>IF(D3987=1,MAX($T$2:$T3986)+1,IF(S3987=S3986,$T3986,IF(D3987="x",T3986,IF(D3986="x","",""))))</f>
        <v/>
      </c>
      <c r="U3987" t="str">
        <f>IF(B3987=1,MAX($U$2:$U3986)+1,IF(AND($T3987&lt;&gt;"",$T3987=$T3986),$U3986,IF(B3987="x",U3986,"")))</f>
        <v/>
      </c>
      <c r="V3987" t="str">
        <f>IF(C3987=1,MAX($V$2:$V3986)+1,IF(AND($T3987&lt;&gt;"",$T3987=$T3986),$U3986,IF(C3987="x",V3986,"")))</f>
        <v/>
      </c>
      <c r="X3987" cm="1">
        <f t="array" ref="X3987">IF($I3987&lt;&gt;"",$I3987,INDEX($I$1:$I3987,ROW()-COUNTIFS($T$1:$T3987,"="&amp;$T3987,$S$1:$S3987,"&lt;"&amp;$S3987)))</f>
        <v>0</v>
      </c>
      <c r="Z3987" s="6">
        <f t="shared" si="542"/>
        <v>1</v>
      </c>
      <c r="AA3987" t="e">
        <f t="shared" si="543"/>
        <v>#VALUE!</v>
      </c>
      <c r="AB3987" t="str">
        <f t="shared" si="544"/>
        <v/>
      </c>
      <c r="AC3987" t="e">
        <f t="shared" si="545"/>
        <v>#VALUE!</v>
      </c>
    </row>
    <row r="3988" spans="1:29" x14ac:dyDescent="0.2">
      <c r="A3988" t="str">
        <f t="shared" si="546"/>
        <v/>
      </c>
      <c r="E3988" s="4"/>
      <c r="F3988" s="46"/>
      <c r="G3988" s="4"/>
      <c r="H3988" s="48"/>
      <c r="J3988" s="26" t="str">
        <f t="shared" si="547"/>
        <v/>
      </c>
      <c r="N3988" t="str">
        <f t="shared" si="548"/>
        <v/>
      </c>
      <c r="Q3988" t="str">
        <f t="shared" si="549"/>
        <v/>
      </c>
      <c r="S3988" t="str">
        <f>IF(A3988=1,MAX($S$2:$S3987)+1,IF(OR($I3988&lt;&gt;"",A3988="x"),$S3987,""))</f>
        <v/>
      </c>
      <c r="T3988" t="str">
        <f>IF(D3988=1,MAX($T$2:$T3987)+1,IF(S3988=S3987,$T3987,IF(D3988="x",T3987,IF(D3987="x","",""))))</f>
        <v/>
      </c>
      <c r="U3988" t="str">
        <f>IF(B3988=1,MAX($U$2:$U3987)+1,IF(AND($T3988&lt;&gt;"",$T3988=$T3987),$U3987,IF(B3988="x",U3987,"")))</f>
        <v/>
      </c>
      <c r="V3988" t="str">
        <f>IF(C3988=1,MAX($V$2:$V3987)+1,IF(AND($T3988&lt;&gt;"",$T3988=$T3987),$U3987,IF(C3988="x",V3987,"")))</f>
        <v/>
      </c>
      <c r="X3988" cm="1">
        <f t="array" ref="X3988">IF($I3988&lt;&gt;"",$I3988,INDEX($I$1:$I3988,ROW()-COUNTIFS($T$1:$T3988,"="&amp;$T3988,$S$1:$S3988,"&lt;"&amp;$S3988)))</f>
        <v>0</v>
      </c>
      <c r="Z3988" s="6">
        <f t="shared" si="542"/>
        <v>1</v>
      </c>
      <c r="AA3988" t="e">
        <f t="shared" si="543"/>
        <v>#VALUE!</v>
      </c>
      <c r="AB3988" t="str">
        <f t="shared" si="544"/>
        <v/>
      </c>
      <c r="AC3988" t="e">
        <f t="shared" si="545"/>
        <v>#VALUE!</v>
      </c>
    </row>
    <row r="3989" spans="1:29" x14ac:dyDescent="0.2">
      <c r="A3989" t="str">
        <f t="shared" si="546"/>
        <v/>
      </c>
      <c r="E3989" s="4"/>
      <c r="F3989" s="46"/>
      <c r="G3989" s="4"/>
      <c r="H3989" s="48"/>
      <c r="J3989" s="26" t="str">
        <f t="shared" si="547"/>
        <v/>
      </c>
      <c r="N3989" t="str">
        <f t="shared" si="548"/>
        <v/>
      </c>
      <c r="Q3989" t="str">
        <f t="shared" si="549"/>
        <v/>
      </c>
      <c r="S3989" t="str">
        <f>IF(A3989=1,MAX($S$2:$S3988)+1,IF(OR($I3989&lt;&gt;"",A3989="x"),$S3988,""))</f>
        <v/>
      </c>
      <c r="T3989" t="str">
        <f>IF(D3989=1,MAX($T$2:$T3988)+1,IF(S3989=S3988,$T3988,IF(D3989="x",T3988,IF(D3988="x","",""))))</f>
        <v/>
      </c>
      <c r="U3989" t="str">
        <f>IF(B3989=1,MAX($U$2:$U3988)+1,IF(AND($T3989&lt;&gt;"",$T3989=$T3988),$U3988,IF(B3989="x",U3988,"")))</f>
        <v/>
      </c>
      <c r="V3989" t="str">
        <f>IF(C3989=1,MAX($V$2:$V3988)+1,IF(AND($T3989&lt;&gt;"",$T3989=$T3988),$U3988,IF(C3989="x",V3988,"")))</f>
        <v/>
      </c>
      <c r="X3989" cm="1">
        <f t="array" ref="X3989">IF($I3989&lt;&gt;"",$I3989,INDEX($I$1:$I3989,ROW()-COUNTIFS($T$1:$T3989,"="&amp;$T3989,$S$1:$S3989,"&lt;"&amp;$S3989)))</f>
        <v>0</v>
      </c>
      <c r="Z3989" s="6">
        <f t="shared" si="542"/>
        <v>1</v>
      </c>
      <c r="AA3989" t="e">
        <f t="shared" si="543"/>
        <v>#VALUE!</v>
      </c>
      <c r="AB3989" t="str">
        <f t="shared" si="544"/>
        <v/>
      </c>
      <c r="AC3989" t="e">
        <f t="shared" si="545"/>
        <v>#VALUE!</v>
      </c>
    </row>
    <row r="3990" spans="1:29" x14ac:dyDescent="0.2">
      <c r="A3990" t="str">
        <f t="shared" si="546"/>
        <v/>
      </c>
      <c r="E3990" s="4"/>
      <c r="F3990" s="46"/>
      <c r="G3990" s="4"/>
      <c r="H3990" s="48"/>
      <c r="J3990" s="26" t="str">
        <f t="shared" si="547"/>
        <v/>
      </c>
      <c r="N3990" t="str">
        <f t="shared" si="548"/>
        <v/>
      </c>
      <c r="Q3990" t="str">
        <f t="shared" si="549"/>
        <v/>
      </c>
      <c r="S3990" t="str">
        <f>IF(A3990=1,MAX($S$2:$S3989)+1,IF(OR($I3990&lt;&gt;"",A3990="x"),$S3989,""))</f>
        <v/>
      </c>
      <c r="T3990" t="str">
        <f>IF(D3990=1,MAX($T$2:$T3989)+1,IF(S3990=S3989,$T3989,IF(D3990="x",T3989,IF(D3989="x","",""))))</f>
        <v/>
      </c>
      <c r="U3990" t="str">
        <f>IF(B3990=1,MAX($U$2:$U3989)+1,IF(AND($T3990&lt;&gt;"",$T3990=$T3989),$U3989,IF(B3990="x",U3989,"")))</f>
        <v/>
      </c>
      <c r="V3990" t="str">
        <f>IF(C3990=1,MAX($V$2:$V3989)+1,IF(AND($T3990&lt;&gt;"",$T3990=$T3989),$U3989,IF(C3990="x",V3989,"")))</f>
        <v/>
      </c>
      <c r="X3990" cm="1">
        <f t="array" ref="X3990">IF($I3990&lt;&gt;"",$I3990,INDEX($I$1:$I3990,ROW()-COUNTIFS($T$1:$T3990,"="&amp;$T3990,$S$1:$S3990,"&lt;"&amp;$S3990)))</f>
        <v>0</v>
      </c>
      <c r="Z3990" s="6">
        <f t="shared" si="542"/>
        <v>1</v>
      </c>
      <c r="AA3990" t="e">
        <f t="shared" si="543"/>
        <v>#VALUE!</v>
      </c>
      <c r="AB3990" t="str">
        <f t="shared" si="544"/>
        <v/>
      </c>
      <c r="AC3990" t="e">
        <f t="shared" si="545"/>
        <v>#VALUE!</v>
      </c>
    </row>
    <row r="3991" spans="1:29" x14ac:dyDescent="0.2">
      <c r="A3991" t="str">
        <f t="shared" si="546"/>
        <v/>
      </c>
      <c r="E3991" s="4"/>
      <c r="F3991" s="46"/>
      <c r="G3991" s="4"/>
      <c r="H3991" s="48"/>
      <c r="J3991" s="26" t="str">
        <f t="shared" si="547"/>
        <v/>
      </c>
      <c r="N3991" t="str">
        <f t="shared" si="548"/>
        <v/>
      </c>
      <c r="Q3991" t="str">
        <f t="shared" si="549"/>
        <v/>
      </c>
      <c r="S3991" t="str">
        <f>IF(A3991=1,MAX($S$2:$S3990)+1,IF(OR($I3991&lt;&gt;"",A3991="x"),$S3990,""))</f>
        <v/>
      </c>
      <c r="T3991" t="str">
        <f>IF(D3991=1,MAX($T$2:$T3990)+1,IF(S3991=S3990,$T3990,IF(D3991="x",T3990,IF(D3990="x","",""))))</f>
        <v/>
      </c>
      <c r="U3991" t="str">
        <f>IF(B3991=1,MAX($U$2:$U3990)+1,IF(AND($T3991&lt;&gt;"",$T3991=$T3990),$U3990,IF(B3991="x",U3990,"")))</f>
        <v/>
      </c>
      <c r="V3991" t="str">
        <f>IF(C3991=1,MAX($V$2:$V3990)+1,IF(AND($T3991&lt;&gt;"",$T3991=$T3990),$U3990,IF(C3991="x",V3990,"")))</f>
        <v/>
      </c>
      <c r="X3991" cm="1">
        <f t="array" ref="X3991">IF($I3991&lt;&gt;"",$I3991,INDEX($I$1:$I3991,ROW()-COUNTIFS($T$1:$T3991,"="&amp;$T3991,$S$1:$S3991,"&lt;"&amp;$S3991)))</f>
        <v>0</v>
      </c>
      <c r="Z3991" s="6">
        <f t="shared" si="542"/>
        <v>1</v>
      </c>
      <c r="AA3991" t="e">
        <f t="shared" si="543"/>
        <v>#VALUE!</v>
      </c>
      <c r="AB3991" t="str">
        <f t="shared" si="544"/>
        <v/>
      </c>
      <c r="AC3991" t="e">
        <f t="shared" si="545"/>
        <v>#VALUE!</v>
      </c>
    </row>
    <row r="3992" spans="1:29" x14ac:dyDescent="0.2">
      <c r="A3992" t="str">
        <f t="shared" si="546"/>
        <v/>
      </c>
      <c r="E3992" s="4"/>
      <c r="F3992" s="46"/>
      <c r="G3992" s="4"/>
      <c r="H3992" s="48"/>
      <c r="J3992" s="26" t="str">
        <f t="shared" si="547"/>
        <v/>
      </c>
      <c r="N3992" t="str">
        <f t="shared" si="548"/>
        <v/>
      </c>
      <c r="Q3992" t="str">
        <f t="shared" si="549"/>
        <v/>
      </c>
      <c r="S3992" t="str">
        <f>IF(A3992=1,MAX($S$2:$S3991)+1,IF(OR($I3992&lt;&gt;"",A3992="x"),$S3991,""))</f>
        <v/>
      </c>
      <c r="T3992" t="str">
        <f>IF(D3992=1,MAX($T$2:$T3991)+1,IF(S3992=S3991,$T3991,IF(D3992="x",T3991,IF(D3991="x","",""))))</f>
        <v/>
      </c>
      <c r="U3992" t="str">
        <f>IF(B3992=1,MAX($U$2:$U3991)+1,IF(AND($T3992&lt;&gt;"",$T3992=$T3991),$U3991,IF(B3992="x",U3991,"")))</f>
        <v/>
      </c>
      <c r="V3992" t="str">
        <f>IF(C3992=1,MAX($V$2:$V3991)+1,IF(AND($T3992&lt;&gt;"",$T3992=$T3991),$U3991,IF(C3992="x",V3991,"")))</f>
        <v/>
      </c>
      <c r="X3992" cm="1">
        <f t="array" ref="X3992">IF($I3992&lt;&gt;"",$I3992,INDEX($I$1:$I3992,ROW()-COUNTIFS($T$1:$T3992,"="&amp;$T3992,$S$1:$S3992,"&lt;"&amp;$S3992)))</f>
        <v>0</v>
      </c>
      <c r="Z3992" s="6">
        <f t="shared" si="542"/>
        <v>1</v>
      </c>
      <c r="AA3992" t="e">
        <f t="shared" si="543"/>
        <v>#VALUE!</v>
      </c>
      <c r="AB3992" t="str">
        <f t="shared" si="544"/>
        <v/>
      </c>
      <c r="AC3992" t="e">
        <f t="shared" si="545"/>
        <v>#VALUE!</v>
      </c>
    </row>
    <row r="3993" spans="1:29" x14ac:dyDescent="0.2">
      <c r="A3993" t="str">
        <f t="shared" si="546"/>
        <v/>
      </c>
      <c r="E3993" s="4"/>
      <c r="F3993" s="46"/>
      <c r="G3993" s="4"/>
      <c r="H3993" s="48"/>
      <c r="J3993" s="26" t="str">
        <f t="shared" si="547"/>
        <v/>
      </c>
      <c r="N3993" t="str">
        <f t="shared" si="548"/>
        <v/>
      </c>
      <c r="Q3993" t="str">
        <f t="shared" si="549"/>
        <v/>
      </c>
      <c r="S3993" t="str">
        <f>IF(A3993=1,MAX($S$2:$S3992)+1,IF(OR($I3993&lt;&gt;"",A3993="x"),$S3992,""))</f>
        <v/>
      </c>
      <c r="T3993" t="str">
        <f>IF(D3993=1,MAX($T$2:$T3992)+1,IF(S3993=S3992,$T3992,IF(D3993="x",T3992,IF(D3992="x","",""))))</f>
        <v/>
      </c>
      <c r="U3993" t="str">
        <f>IF(B3993=1,MAX($U$2:$U3992)+1,IF(AND($T3993&lt;&gt;"",$T3993=$T3992),$U3992,IF(B3993="x",U3992,"")))</f>
        <v/>
      </c>
      <c r="V3993" t="str">
        <f>IF(C3993=1,MAX($V$2:$V3992)+1,IF(AND($T3993&lt;&gt;"",$T3993=$T3992),$U3992,IF(C3993="x",V3992,"")))</f>
        <v/>
      </c>
      <c r="X3993" cm="1">
        <f t="array" ref="X3993">IF($I3993&lt;&gt;"",$I3993,INDEX($I$1:$I3993,ROW()-COUNTIFS($T$1:$T3993,"="&amp;$T3993,$S$1:$S3993,"&lt;"&amp;$S3993)))</f>
        <v>0</v>
      </c>
      <c r="Z3993" s="6">
        <f t="shared" si="542"/>
        <v>1</v>
      </c>
      <c r="AA3993" t="e">
        <f t="shared" si="543"/>
        <v>#VALUE!</v>
      </c>
      <c r="AB3993" t="str">
        <f t="shared" si="544"/>
        <v/>
      </c>
      <c r="AC3993" t="e">
        <f t="shared" si="545"/>
        <v>#VALUE!</v>
      </c>
    </row>
    <row r="3994" spans="1:29" x14ac:dyDescent="0.2">
      <c r="A3994" t="str">
        <f t="shared" si="546"/>
        <v/>
      </c>
      <c r="E3994" s="4"/>
      <c r="F3994" s="46"/>
      <c r="G3994" s="4"/>
      <c r="H3994" s="48"/>
      <c r="J3994" s="26" t="str">
        <f t="shared" si="547"/>
        <v/>
      </c>
      <c r="N3994" t="str">
        <f t="shared" si="548"/>
        <v/>
      </c>
      <c r="Q3994" t="str">
        <f t="shared" si="549"/>
        <v/>
      </c>
      <c r="S3994" t="str">
        <f>IF(A3994=1,MAX($S$2:$S3993)+1,IF(OR($I3994&lt;&gt;"",A3994="x"),$S3993,""))</f>
        <v/>
      </c>
      <c r="T3994" t="str">
        <f>IF(D3994=1,MAX($T$2:$T3993)+1,IF(S3994=S3993,$T3993,IF(D3994="x",T3993,IF(D3993="x","",""))))</f>
        <v/>
      </c>
      <c r="U3994" t="str">
        <f>IF(B3994=1,MAX($U$2:$U3993)+1,IF(AND($T3994&lt;&gt;"",$T3994=$T3993),$U3993,IF(B3994="x",U3993,"")))</f>
        <v/>
      </c>
      <c r="V3994" t="str">
        <f>IF(C3994=1,MAX($V$2:$V3993)+1,IF(AND($T3994&lt;&gt;"",$T3994=$T3993),$U3993,IF(C3994="x",V3993,"")))</f>
        <v/>
      </c>
      <c r="X3994" cm="1">
        <f t="array" ref="X3994">IF($I3994&lt;&gt;"",$I3994,INDEX($I$1:$I3994,ROW()-COUNTIFS($T$1:$T3994,"="&amp;$T3994,$S$1:$S3994,"&lt;"&amp;$S3994)))</f>
        <v>0</v>
      </c>
      <c r="Z3994" s="6">
        <f t="shared" si="542"/>
        <v>1</v>
      </c>
      <c r="AA3994" t="e">
        <f t="shared" si="543"/>
        <v>#VALUE!</v>
      </c>
      <c r="AB3994" t="str">
        <f t="shared" si="544"/>
        <v/>
      </c>
      <c r="AC3994" t="e">
        <f t="shared" si="545"/>
        <v>#VALUE!</v>
      </c>
    </row>
    <row r="3995" spans="1:29" x14ac:dyDescent="0.2">
      <c r="A3995" t="str">
        <f t="shared" si="546"/>
        <v/>
      </c>
      <c r="E3995" s="4"/>
      <c r="F3995" s="46"/>
      <c r="G3995" s="4"/>
      <c r="H3995" s="48"/>
      <c r="J3995" s="26" t="str">
        <f t="shared" si="547"/>
        <v/>
      </c>
      <c r="N3995" t="str">
        <f t="shared" si="548"/>
        <v/>
      </c>
      <c r="Q3995" t="str">
        <f t="shared" si="549"/>
        <v/>
      </c>
      <c r="S3995" t="str">
        <f>IF(A3995=1,MAX($S$2:$S3994)+1,IF(OR($I3995&lt;&gt;"",A3995="x"),$S3994,""))</f>
        <v/>
      </c>
      <c r="T3995" t="str">
        <f>IF(D3995=1,MAX($T$2:$T3994)+1,IF(S3995=S3994,$T3994,IF(D3995="x",T3994,IF(D3994="x","",""))))</f>
        <v/>
      </c>
      <c r="U3995" t="str">
        <f>IF(B3995=1,MAX($U$2:$U3994)+1,IF(AND($T3995&lt;&gt;"",$T3995=$T3994),$U3994,IF(B3995="x",U3994,"")))</f>
        <v/>
      </c>
      <c r="V3995" t="str">
        <f>IF(C3995=1,MAX($V$2:$V3994)+1,IF(AND($T3995&lt;&gt;"",$T3995=$T3994),$U3994,IF(C3995="x",V3994,"")))</f>
        <v/>
      </c>
      <c r="X3995" cm="1">
        <f t="array" ref="X3995">IF($I3995&lt;&gt;"",$I3995,INDEX($I$1:$I3995,ROW()-COUNTIFS($T$1:$T3995,"="&amp;$T3995,$S$1:$S3995,"&lt;"&amp;$S3995)))</f>
        <v>0</v>
      </c>
      <c r="Z3995" s="6">
        <f t="shared" si="542"/>
        <v>1</v>
      </c>
      <c r="AA3995" t="e">
        <f t="shared" si="543"/>
        <v>#VALUE!</v>
      </c>
      <c r="AB3995" t="str">
        <f t="shared" si="544"/>
        <v/>
      </c>
      <c r="AC3995" t="e">
        <f t="shared" si="545"/>
        <v>#VALUE!</v>
      </c>
    </row>
    <row r="3996" spans="1:29" x14ac:dyDescent="0.2">
      <c r="A3996" t="str">
        <f t="shared" si="546"/>
        <v/>
      </c>
      <c r="E3996" s="4"/>
      <c r="F3996" s="46"/>
      <c r="G3996" s="4"/>
      <c r="H3996" s="48"/>
      <c r="J3996" s="26" t="str">
        <f t="shared" si="547"/>
        <v/>
      </c>
      <c r="N3996" t="str">
        <f t="shared" si="548"/>
        <v/>
      </c>
      <c r="Q3996" t="str">
        <f t="shared" si="549"/>
        <v/>
      </c>
      <c r="S3996" t="str">
        <f>IF(A3996=1,MAX($S$2:$S3995)+1,IF(OR($I3996&lt;&gt;"",A3996="x"),$S3995,""))</f>
        <v/>
      </c>
      <c r="T3996" t="str">
        <f>IF(D3996=1,MAX($T$2:$T3995)+1,IF(S3996=S3995,$T3995,IF(D3996="x",T3995,IF(D3995="x","",""))))</f>
        <v/>
      </c>
      <c r="U3996" t="str">
        <f>IF(B3996=1,MAX($U$2:$U3995)+1,IF(AND($T3996&lt;&gt;"",$T3996=$T3995),$U3995,IF(B3996="x",U3995,"")))</f>
        <v/>
      </c>
      <c r="V3996" t="str">
        <f>IF(C3996=1,MAX($V$2:$V3995)+1,IF(AND($T3996&lt;&gt;"",$T3996=$T3995),$U3995,IF(C3996="x",V3995,"")))</f>
        <v/>
      </c>
      <c r="X3996" cm="1">
        <f t="array" ref="X3996">IF($I3996&lt;&gt;"",$I3996,INDEX($I$1:$I3996,ROW()-COUNTIFS($T$1:$T3996,"="&amp;$T3996,$S$1:$S3996,"&lt;"&amp;$S3996)))</f>
        <v>0</v>
      </c>
      <c r="Z3996" s="6">
        <f t="shared" si="542"/>
        <v>1</v>
      </c>
      <c r="AA3996" t="e">
        <f t="shared" si="543"/>
        <v>#VALUE!</v>
      </c>
      <c r="AB3996" t="str">
        <f t="shared" si="544"/>
        <v/>
      </c>
      <c r="AC3996" t="e">
        <f t="shared" si="545"/>
        <v>#VALUE!</v>
      </c>
    </row>
    <row r="3997" spans="1:29" x14ac:dyDescent="0.2">
      <c r="A3997" t="str">
        <f t="shared" si="546"/>
        <v/>
      </c>
      <c r="E3997" s="4"/>
      <c r="F3997" s="46"/>
      <c r="G3997" s="4"/>
      <c r="H3997" s="48"/>
      <c r="J3997" s="26" t="str">
        <f t="shared" si="547"/>
        <v/>
      </c>
      <c r="N3997" t="str">
        <f t="shared" si="548"/>
        <v/>
      </c>
      <c r="Q3997" t="str">
        <f t="shared" si="549"/>
        <v/>
      </c>
      <c r="S3997" t="str">
        <f>IF(A3997=1,MAX($S$2:$S3996)+1,IF(OR($I3997&lt;&gt;"",A3997="x"),$S3996,""))</f>
        <v/>
      </c>
      <c r="T3997" t="str">
        <f>IF(D3997=1,MAX($T$2:$T3996)+1,IF(S3997=S3996,$T3996,IF(D3997="x",T3996,IF(D3996="x","",""))))</f>
        <v/>
      </c>
      <c r="U3997" t="str">
        <f>IF(B3997=1,MAX($U$2:$U3996)+1,IF(AND($T3997&lt;&gt;"",$T3997=$T3996),$U3996,IF(B3997="x",U3996,"")))</f>
        <v/>
      </c>
      <c r="V3997" t="str">
        <f>IF(C3997=1,MAX($V$2:$V3996)+1,IF(AND($T3997&lt;&gt;"",$T3997=$T3996),$U3996,IF(C3997="x",V3996,"")))</f>
        <v/>
      </c>
      <c r="X3997" cm="1">
        <f t="array" ref="X3997">IF($I3997&lt;&gt;"",$I3997,INDEX($I$1:$I3997,ROW()-COUNTIFS($T$1:$T3997,"="&amp;$T3997,$S$1:$S3997,"&lt;"&amp;$S3997)))</f>
        <v>0</v>
      </c>
      <c r="Z3997" s="6">
        <f t="shared" si="542"/>
        <v>1</v>
      </c>
      <c r="AA3997" t="e">
        <f t="shared" si="543"/>
        <v>#VALUE!</v>
      </c>
      <c r="AB3997" t="str">
        <f t="shared" si="544"/>
        <v/>
      </c>
      <c r="AC3997" t="e">
        <f t="shared" si="545"/>
        <v>#VALUE!</v>
      </c>
    </row>
    <row r="3998" spans="1:29" x14ac:dyDescent="0.2">
      <c r="A3998" t="str">
        <f t="shared" si="546"/>
        <v/>
      </c>
      <c r="E3998" s="4"/>
      <c r="F3998" s="46"/>
      <c r="G3998" s="4"/>
      <c r="H3998" s="48"/>
      <c r="J3998" s="26" t="str">
        <f t="shared" si="547"/>
        <v/>
      </c>
      <c r="N3998" t="str">
        <f t="shared" si="548"/>
        <v/>
      </c>
      <c r="Q3998" t="str">
        <f t="shared" si="549"/>
        <v/>
      </c>
      <c r="S3998" t="str">
        <f>IF(A3998=1,MAX($S$2:$S3997)+1,IF(OR($I3998&lt;&gt;"",A3998="x"),$S3997,""))</f>
        <v/>
      </c>
      <c r="T3998" t="str">
        <f>IF(D3998=1,MAX($T$2:$T3997)+1,IF(S3998=S3997,$T3997,IF(D3998="x",T3997,IF(D3997="x","",""))))</f>
        <v/>
      </c>
      <c r="U3998" t="str">
        <f>IF(B3998=1,MAX($U$2:$U3997)+1,IF(AND($T3998&lt;&gt;"",$T3998=$T3997),$U3997,IF(B3998="x",U3997,"")))</f>
        <v/>
      </c>
      <c r="V3998" t="str">
        <f>IF(C3998=1,MAX($V$2:$V3997)+1,IF(AND($T3998&lt;&gt;"",$T3998=$T3997),$U3997,IF(C3998="x",V3997,"")))</f>
        <v/>
      </c>
      <c r="X3998" cm="1">
        <f t="array" ref="X3998">IF($I3998&lt;&gt;"",$I3998,INDEX($I$1:$I3998,ROW()-COUNTIFS($T$1:$T3998,"="&amp;$T3998,$S$1:$S3998,"&lt;"&amp;$S3998)))</f>
        <v>0</v>
      </c>
      <c r="Z3998" s="6">
        <f t="shared" si="542"/>
        <v>1</v>
      </c>
      <c r="AA3998" t="e">
        <f t="shared" si="543"/>
        <v>#VALUE!</v>
      </c>
      <c r="AB3998" t="str">
        <f t="shared" si="544"/>
        <v/>
      </c>
      <c r="AC3998" t="e">
        <f t="shared" si="545"/>
        <v>#VALUE!</v>
      </c>
    </row>
    <row r="3999" spans="1:29" x14ac:dyDescent="0.2">
      <c r="A3999" t="str">
        <f t="shared" si="546"/>
        <v/>
      </c>
      <c r="E3999" s="4"/>
      <c r="F3999" s="46"/>
      <c r="G3999" s="4"/>
      <c r="H3999" s="48"/>
      <c r="J3999" s="26" t="str">
        <f t="shared" si="547"/>
        <v/>
      </c>
      <c r="N3999" t="str">
        <f t="shared" si="548"/>
        <v/>
      </c>
      <c r="Q3999" t="str">
        <f t="shared" si="549"/>
        <v/>
      </c>
      <c r="S3999" t="str">
        <f>IF(A3999=1,MAX($S$2:$S3998)+1,IF(OR($I3999&lt;&gt;"",A3999="x"),$S3998,""))</f>
        <v/>
      </c>
      <c r="T3999" t="str">
        <f>IF(D3999=1,MAX($T$2:$T3998)+1,IF(S3999=S3998,$T3998,IF(D3999="x",T3998,IF(D3998="x","",""))))</f>
        <v/>
      </c>
      <c r="U3999" t="str">
        <f>IF(B3999=1,MAX($U$2:$U3998)+1,IF(AND($T3999&lt;&gt;"",$T3999=$T3998),$U3998,IF(B3999="x",U3998,"")))</f>
        <v/>
      </c>
      <c r="V3999" t="str">
        <f>IF(C3999=1,MAX($V$2:$V3998)+1,IF(AND($T3999&lt;&gt;"",$T3999=$T3998),$U3998,IF(C3999="x",V3998,"")))</f>
        <v/>
      </c>
      <c r="X3999" cm="1">
        <f t="array" ref="X3999">IF($I3999&lt;&gt;"",$I3999,INDEX($I$1:$I3999,ROW()-COUNTIFS($T$1:$T3999,"="&amp;$T3999,$S$1:$S3999,"&lt;"&amp;$S3999)))</f>
        <v>0</v>
      </c>
      <c r="Z3999" s="6">
        <f t="shared" si="542"/>
        <v>1</v>
      </c>
      <c r="AA3999" t="e">
        <f t="shared" si="543"/>
        <v>#VALUE!</v>
      </c>
      <c r="AB3999" t="str">
        <f t="shared" si="544"/>
        <v/>
      </c>
      <c r="AC3999" t="e">
        <f t="shared" si="545"/>
        <v>#VALUE!</v>
      </c>
    </row>
    <row r="4000" spans="1:29" x14ac:dyDescent="0.2">
      <c r="A4000" t="str">
        <f t="shared" si="546"/>
        <v/>
      </c>
      <c r="E4000" s="4"/>
      <c r="F4000" s="46"/>
      <c r="G4000" s="4"/>
      <c r="H4000" s="48"/>
      <c r="J4000" s="26" t="str">
        <f t="shared" si="547"/>
        <v/>
      </c>
      <c r="N4000" t="str">
        <f t="shared" si="548"/>
        <v/>
      </c>
      <c r="Q4000" t="str">
        <f t="shared" si="549"/>
        <v/>
      </c>
      <c r="S4000" t="str">
        <f>IF(A4000=1,MAX($S$2:$S3999)+1,IF(OR($I4000&lt;&gt;"",A4000="x"),$S3999,""))</f>
        <v/>
      </c>
      <c r="T4000" t="str">
        <f>IF(D4000=1,MAX($T$2:$T3999)+1,IF(S4000=S3999,$T3999,IF(D4000="x",T3999,IF(D3999="x","",""))))</f>
        <v/>
      </c>
      <c r="U4000" t="str">
        <f>IF(B4000=1,MAX($U$2:$U3999)+1,IF(AND($T4000&lt;&gt;"",$T4000=$T3999),$U3999,IF(B4000="x",U3999,"")))</f>
        <v/>
      </c>
      <c r="V4000" t="str">
        <f>IF(C4000=1,MAX($V$2:$V3999)+1,IF(AND($T4000&lt;&gt;"",$T4000=$T3999),$U3999,IF(C4000="x",V3999,"")))</f>
        <v/>
      </c>
      <c r="X4000" cm="1">
        <f t="array" ref="X4000">IF($I4000&lt;&gt;"",$I4000,INDEX($I$1:$I4000,ROW()-COUNTIFS($T$1:$T4000,"="&amp;$T4000,$S$1:$S4000,"&lt;"&amp;$S4000)))</f>
        <v>0</v>
      </c>
      <c r="Z4000" s="6">
        <f t="shared" si="542"/>
        <v>1</v>
      </c>
      <c r="AA4000" t="e">
        <f t="shared" si="543"/>
        <v>#VALUE!</v>
      </c>
      <c r="AB4000" t="str">
        <f t="shared" si="544"/>
        <v/>
      </c>
      <c r="AC4000" t="e">
        <f t="shared" si="545"/>
        <v>#VALUE!</v>
      </c>
    </row>
    <row r="4001" spans="1:29" x14ac:dyDescent="0.2">
      <c r="A4001" t="str">
        <f t="shared" si="546"/>
        <v/>
      </c>
      <c r="E4001" s="4"/>
      <c r="F4001" s="46"/>
      <c r="G4001" s="4"/>
      <c r="H4001" s="48"/>
      <c r="J4001" s="26" t="str">
        <f t="shared" si="547"/>
        <v/>
      </c>
      <c r="N4001" t="str">
        <f t="shared" si="548"/>
        <v/>
      </c>
      <c r="Q4001" t="str">
        <f t="shared" si="549"/>
        <v/>
      </c>
      <c r="S4001" t="str">
        <f>IF(A4001=1,MAX($S$2:$S4000)+1,IF(OR($I4001&lt;&gt;"",A4001="x"),$S4000,""))</f>
        <v/>
      </c>
      <c r="T4001" t="str">
        <f>IF(D4001=1,MAX($T$2:$T4000)+1,IF(S4001=S4000,$T4000,IF(D4001="x",T4000,IF(D4000="x","",""))))</f>
        <v/>
      </c>
      <c r="U4001" t="str">
        <f>IF(B4001=1,MAX($U$2:$U4000)+1,IF(AND($T4001&lt;&gt;"",$T4001=$T4000),$U4000,IF(B4001="x",U4000,"")))</f>
        <v/>
      </c>
      <c r="V4001" t="str">
        <f>IF(C4001=1,MAX($V$2:$V4000)+1,IF(AND($T4001&lt;&gt;"",$T4001=$T4000),$U4000,IF(C4001="x",V4000,"")))</f>
        <v/>
      </c>
      <c r="X4001" cm="1">
        <f t="array" ref="X4001">IF($I4001&lt;&gt;"",$I4001,INDEX($I$1:$I4001,ROW()-COUNTIFS($T$1:$T4001,"="&amp;$T4001,$S$1:$S4001,"&lt;"&amp;$S4001)))</f>
        <v>0</v>
      </c>
      <c r="Z4001" s="6">
        <f t="shared" si="542"/>
        <v>1</v>
      </c>
      <c r="AA4001" t="e">
        <f t="shared" si="543"/>
        <v>#VALUE!</v>
      </c>
      <c r="AB4001" t="str">
        <f t="shared" si="544"/>
        <v/>
      </c>
      <c r="AC4001" t="e">
        <f t="shared" si="545"/>
        <v>#VALUE!</v>
      </c>
    </row>
  </sheetData>
  <autoFilter ref="F1:BS860" xr:uid="{24A10568-2B3A-4A48-AC24-E8A68FC7CC92}"/>
  <phoneticPr fontId="2" type="noConversion"/>
  <conditionalFormatting sqref="B4:R4 T24:X4001 T4:W23 X3:X23">
    <cfRule type="expression" dxfId="0" priority="6" stopIfTrue="1">
      <formula>$S3&lt;#REF!</formula>
    </cfRule>
  </conditionalFormatting>
  <conditionalFormatting sqref="B2:Y2 S4:S4001 B5:R4001 B3:W3 Y3:Y4001">
    <cfRule type="expression" dxfId="4" priority="3" stopIfTrue="1">
      <formula>$S2&lt;$S3</formula>
    </cfRule>
  </conditionalFormatting>
  <conditionalFormatting sqref="BS1:BT860">
    <cfRule type="containsText" dxfId="3" priority="1" operator="containsText" text="XX">
      <formula>NOT(ISERROR(SEARCH("XX",BS1)))</formula>
    </cfRule>
  </conditionalFormatting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2B68188-98A6-3F4E-BE51-AC7D2CB1B669}">
          <x14:formula1>
            <xm:f>Lists!$A:$A</xm:f>
          </x14:formula1>
          <xm:sqref>K3:K4001</xm:sqref>
        </x14:dataValidation>
        <x14:dataValidation type="list" allowBlank="1" showInputMessage="1" showErrorMessage="1" xr:uid="{AEB0E96D-A258-564D-9E07-30FECDE0D412}">
          <x14:formula1>
            <xm:f>_xlfn.XLOOKUP($K3,Lists!$A$1:$BO$1,Lists!$A$2:$BO$10000)</xm:f>
          </x14:formula1>
          <xm:sqref>L3:L4001</xm:sqref>
        </x14:dataValidation>
        <x14:dataValidation type="list" allowBlank="1" showInputMessage="1" showErrorMessage="1" xr:uid="{89E93ACB-5452-944D-8FCA-D1B915343FC2}">
          <x14:formula1>
            <xm:f>_xlfn.XLOOKUP($L3,Lists!$A$1:$BO$1,Lists!$A$2:$BO$10000)</xm:f>
          </x14:formula1>
          <xm:sqref>M3:M4001</xm:sqref>
        </x14:dataValidation>
        <x14:dataValidation type="list" allowBlank="1" showInputMessage="1" showErrorMessage="1" xr:uid="{A86E4765-FD14-F245-9244-1C1956801F00}">
          <x14:formula1>
            <xm:f>Lists!$BQ:$BQ</xm:f>
          </x14:formula1>
          <xm:sqref>O3:P4001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A400-733E-7A4C-BA36-0E45C3970E91}">
  <sheetPr>
    <tabColor theme="7"/>
  </sheetPr>
  <dimension ref="A1:BC202"/>
  <sheetViews>
    <sheetView zoomScale="85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B16" sqref="B16"/>
    </sheetView>
  </sheetViews>
  <sheetFormatPr baseColWidth="10" defaultRowHeight="16" x14ac:dyDescent="0.2"/>
  <cols>
    <col min="2" max="2" width="10.83203125" style="6"/>
    <col min="4" max="4" width="10.83203125" style="4" customWidth="1"/>
    <col min="6" max="6" width="10.83203125" style="4"/>
    <col min="7" max="7" width="10.83203125" style="6"/>
    <col min="8" max="8" width="10.83203125" style="5"/>
    <col min="14" max="14" width="10.83203125" hidden="1" customWidth="1"/>
    <col min="15" max="15" width="10.83203125" style="5"/>
    <col min="16" max="16" width="10.83203125" style="6"/>
    <col min="21" max="21" width="10.83203125" customWidth="1"/>
    <col min="23" max="23" width="10.83203125" style="6"/>
    <col min="24" max="24" width="10.83203125" style="6" hidden="1" customWidth="1"/>
    <col min="26" max="26" width="10.83203125" hidden="1" customWidth="1"/>
    <col min="28" max="28" width="10.83203125" hidden="1" customWidth="1"/>
    <col min="33" max="33" width="12.6640625" customWidth="1"/>
    <col min="44" max="44" width="34.6640625" customWidth="1"/>
  </cols>
  <sheetData>
    <row r="1" spans="1:55" s="2" customFormat="1" ht="68" x14ac:dyDescent="0.2">
      <c r="A1" s="2" t="s">
        <v>256</v>
      </c>
      <c r="B1" s="9" t="s">
        <v>0</v>
      </c>
      <c r="C1" s="2" t="s">
        <v>259</v>
      </c>
      <c r="D1" s="8" t="s">
        <v>260</v>
      </c>
      <c r="E1" s="2" t="s">
        <v>261</v>
      </c>
      <c r="F1" s="8" t="s">
        <v>262</v>
      </c>
      <c r="G1" s="9" t="s">
        <v>257</v>
      </c>
      <c r="H1" s="12" t="s">
        <v>258</v>
      </c>
      <c r="I1" s="2" t="s">
        <v>263</v>
      </c>
      <c r="J1" s="2" t="s">
        <v>264</v>
      </c>
      <c r="K1" s="2" t="s">
        <v>265</v>
      </c>
      <c r="L1" s="2" t="s">
        <v>266</v>
      </c>
      <c r="M1" s="2" t="s">
        <v>267</v>
      </c>
      <c r="N1" s="2" t="s">
        <v>269</v>
      </c>
      <c r="O1" s="12" t="s">
        <v>268</v>
      </c>
      <c r="P1" s="9" t="s">
        <v>270</v>
      </c>
      <c r="Q1" s="2" t="s">
        <v>271</v>
      </c>
      <c r="R1" s="2" t="s">
        <v>272</v>
      </c>
      <c r="S1" s="2" t="s">
        <v>273</v>
      </c>
      <c r="T1" s="2" t="s">
        <v>274</v>
      </c>
      <c r="U1" s="2" t="s">
        <v>276</v>
      </c>
      <c r="V1" s="2" t="s">
        <v>275</v>
      </c>
      <c r="W1" s="10" t="s">
        <v>277</v>
      </c>
      <c r="X1" s="13" t="s">
        <v>278</v>
      </c>
      <c r="Y1" s="11" t="s">
        <v>279</v>
      </c>
      <c r="Z1" s="16" t="s">
        <v>280</v>
      </c>
      <c r="AA1" s="11" t="s">
        <v>281</v>
      </c>
      <c r="AB1" s="16" t="s">
        <v>282</v>
      </c>
      <c r="AC1" s="11" t="s">
        <v>283</v>
      </c>
      <c r="AD1" s="2" t="s">
        <v>248</v>
      </c>
      <c r="AE1" s="2" t="s">
        <v>249</v>
      </c>
      <c r="AF1" s="2" t="s">
        <v>250</v>
      </c>
      <c r="AG1" s="2" t="s">
        <v>360</v>
      </c>
      <c r="AH1" s="2" t="s">
        <v>359</v>
      </c>
      <c r="AI1" s="2" t="s">
        <v>361</v>
      </c>
      <c r="AJ1" s="2" t="s">
        <v>345</v>
      </c>
      <c r="AK1" s="2" t="s">
        <v>346</v>
      </c>
      <c r="AL1" s="2" t="s">
        <v>347</v>
      </c>
      <c r="AM1" s="2" t="s">
        <v>348</v>
      </c>
      <c r="AN1" s="2" t="s">
        <v>350</v>
      </c>
      <c r="AO1" s="2" t="s">
        <v>349</v>
      </c>
      <c r="AP1" s="2" t="s">
        <v>351</v>
      </c>
      <c r="AQ1" s="2" t="s">
        <v>352</v>
      </c>
      <c r="AR1" s="2" t="s">
        <v>353</v>
      </c>
      <c r="AS1" s="2" t="s">
        <v>362</v>
      </c>
      <c r="AT1" s="2" t="s">
        <v>363</v>
      </c>
      <c r="AU1" s="2" t="s">
        <v>364</v>
      </c>
      <c r="AV1" s="2" t="s">
        <v>926</v>
      </c>
      <c r="AW1" s="2" t="s">
        <v>927</v>
      </c>
      <c r="AX1" s="2" t="s">
        <v>928</v>
      </c>
      <c r="AY1" s="2" t="s">
        <v>929</v>
      </c>
      <c r="AZ1" s="18" t="s">
        <v>396</v>
      </c>
      <c r="BA1" s="18" t="s">
        <v>403</v>
      </c>
      <c r="BB1" s="2" t="s">
        <v>404</v>
      </c>
      <c r="BC1" s="2" t="s">
        <v>405</v>
      </c>
    </row>
    <row r="2" spans="1:55" x14ac:dyDescent="0.2">
      <c r="A2">
        <v>1</v>
      </c>
      <c r="B2" s="6">
        <v>1</v>
      </c>
      <c r="C2">
        <v>18</v>
      </c>
      <c r="D2" s="4" t="s">
        <v>413</v>
      </c>
      <c r="E2">
        <v>16</v>
      </c>
      <c r="F2" s="4" t="s">
        <v>1028</v>
      </c>
      <c r="G2" s="6" t="s">
        <v>287</v>
      </c>
      <c r="I2">
        <v>73</v>
      </c>
      <c r="J2">
        <v>12</v>
      </c>
      <c r="K2">
        <v>16</v>
      </c>
      <c r="L2">
        <v>41</v>
      </c>
      <c r="M2">
        <v>19</v>
      </c>
      <c r="O2" s="5">
        <v>1</v>
      </c>
      <c r="P2" s="6">
        <v>70</v>
      </c>
      <c r="Q2">
        <v>75</v>
      </c>
      <c r="R2">
        <v>14</v>
      </c>
      <c r="S2">
        <v>22</v>
      </c>
      <c r="T2">
        <v>84</v>
      </c>
      <c r="V2">
        <v>39</v>
      </c>
      <c r="W2" s="6">
        <f>SUMIFS(events!BI:BI,events!K:K,"=DeadIce",events!BJ:BJ,"&lt;="&amp;shifts!AG2,events!BK:BK,"&gt;"&amp;shifts!AH2,events!Z:Z,"="&amp;shifts!B3)+SUMIFS(events!BI:BI,events!K:K,"=Timeout",events!BJ:BJ,"&lt;="&amp;shifts!AG2,events!BK:BK,"&gt;"&amp;shifts!AH2,events!Z:Z,"="&amp;shifts!B3)</f>
        <v>0</v>
      </c>
      <c r="AA2">
        <v>1</v>
      </c>
      <c r="AB2">
        <v>1</v>
      </c>
      <c r="AD2">
        <f>events!BA2</f>
        <v>18991</v>
      </c>
      <c r="AE2" t="str">
        <f>events!BB2</f>
        <v>Triple J</v>
      </c>
      <c r="AF2" t="str">
        <f>events!BC2</f>
        <v>Velodrome</v>
      </c>
      <c r="AG2" s="4">
        <f>((C2*60)+D2)</f>
        <v>1080</v>
      </c>
      <c r="AH2" s="4">
        <f>((E2*60)+F2)</f>
        <v>1018</v>
      </c>
      <c r="AI2" s="14">
        <f>ROUND(AG2-AH2,0)</f>
        <v>62</v>
      </c>
      <c r="AJ2">
        <f>COUNTIF(I2:N2,"&gt;0")</f>
        <v>5</v>
      </c>
      <c r="AK2">
        <f>COUNTIF(P2:U2,"&gt;0")</f>
        <v>5</v>
      </c>
      <c r="AL2">
        <f>IF(O2="",1,0)</f>
        <v>0</v>
      </c>
      <c r="AM2">
        <f>IF(V2="",1,0)</f>
        <v>0</v>
      </c>
      <c r="AN2">
        <f>IF(AND($AL2&lt;&gt;1,$AJ2&lt;$AK2,AM2&lt;&gt;1),1,)</f>
        <v>0</v>
      </c>
      <c r="AO2">
        <f>IF(AND($AL2&lt;&gt;1,$AJ2&gt;$AK2),1,)</f>
        <v>0</v>
      </c>
      <c r="AP2">
        <f>IF(AN2=1,1,0)</f>
        <v>0</v>
      </c>
      <c r="AQ2">
        <f>IF(AO2=1,1,0)</f>
        <v>0</v>
      </c>
      <c r="AR2" t="str">
        <f>IF(AND(AJ2=5,AK2=5,AL2=0,AM2=0),"Full Strength",IF(AP2=1,"Away PowerPlay",IF(AO2=1,"Home PowerPlay",IF(AL2=1,"Home EmptyNet",IF(AM2=1,"Away EmptyNet","")))))</f>
        <v>Full Strength</v>
      </c>
      <c r="AS2" t="str">
        <f>IF(AND(AL2=0,AM2=0),AJ2&amp;"v"&amp;AK2,IF(AL2=1,AJ2&amp;"v"&amp;AK2&amp;" Home EN",IF(AM2=1,AJ2&amp;"v"&amp;AK2&amp;" Away EN","")))</f>
        <v>5v5</v>
      </c>
      <c r="AT2">
        <v>0</v>
      </c>
      <c r="AU2">
        <v>0</v>
      </c>
      <c r="AV2">
        <f>IF(AND($H2="Home Goal", AO2=0),1,0)</f>
        <v>0</v>
      </c>
      <c r="AW2">
        <f>IF(AX2=1,-1,0)</f>
        <v>0</v>
      </c>
      <c r="AX2">
        <f>IF(AND($H2="AwayGoal", AP2=0),1,0)</f>
        <v>0</v>
      </c>
      <c r="AY2">
        <f>IF(AV2=1,-1,0)</f>
        <v>0</v>
      </c>
      <c r="AZ2">
        <f>IFERROR(VLOOKUP(B2,events!Z:BM,40,FALSE),0)</f>
        <v>0</v>
      </c>
      <c r="BA2">
        <v>0</v>
      </c>
      <c r="BB2">
        <f>IF(BA2&lt;5,0,BA2-5)</f>
        <v>0</v>
      </c>
      <c r="BC2" s="4">
        <f>BB2+AI2+3</f>
        <v>65</v>
      </c>
    </row>
    <row r="3" spans="1:55" x14ac:dyDescent="0.2">
      <c r="A3">
        <v>2</v>
      </c>
      <c r="B3" s="6">
        <f>IF(G3="PeriodStart",B2+1,B2)</f>
        <v>1</v>
      </c>
      <c r="C3">
        <f>E2</f>
        <v>16</v>
      </c>
      <c r="D3" t="str">
        <f>F2</f>
        <v>58</v>
      </c>
      <c r="E3">
        <v>16</v>
      </c>
      <c r="F3" s="4" t="s">
        <v>1029</v>
      </c>
      <c r="I3">
        <f>IF($D3&gt;0,I2,"")</f>
        <v>73</v>
      </c>
      <c r="J3">
        <f t="shared" ref="J3" si="0">IF($D3&gt;0,J2,"")</f>
        <v>12</v>
      </c>
      <c r="K3">
        <v>90</v>
      </c>
      <c r="L3">
        <f t="shared" ref="L3" si="1">IF($D3&gt;0,L2,"")</f>
        <v>41</v>
      </c>
      <c r="M3">
        <f t="shared" ref="M3" si="2">IF($D3&gt;0,M2,"")</f>
        <v>19</v>
      </c>
      <c r="O3" s="5">
        <f>O2</f>
        <v>1</v>
      </c>
      <c r="P3">
        <v>87</v>
      </c>
      <c r="Q3">
        <v>24</v>
      </c>
      <c r="R3">
        <f t="shared" ref="R3" si="3">IF($D3&gt;0,R2,"")</f>
        <v>14</v>
      </c>
      <c r="S3">
        <v>9</v>
      </c>
      <c r="T3">
        <v>93</v>
      </c>
      <c r="V3">
        <f>V2</f>
        <v>39</v>
      </c>
      <c r="X3" s="6" t="str">
        <f>IF(OR($H2="Home Goal",$H2="Away Goal",$H2="Period End"),"",IF(Y2=1,1,""))</f>
        <v/>
      </c>
      <c r="Z3">
        <f>IF(OR($H2="Home Goal",$H2="Away Goal",$H2="Period End"),"",IF(AA2=1,1,""))</f>
        <v>1</v>
      </c>
      <c r="AA3">
        <v>1</v>
      </c>
      <c r="AB3" t="str">
        <f>IF(OR($H2="Home Goal",$H2="Away Goal",$H2="Period End"),1,IF(AC2=1,1,""))</f>
        <v/>
      </c>
      <c r="AD3">
        <f>AD2</f>
        <v>18991</v>
      </c>
      <c r="AE3" t="str">
        <f t="shared" ref="AE3:AF3" si="4">AE2</f>
        <v>Triple J</v>
      </c>
      <c r="AF3" t="str">
        <f t="shared" si="4"/>
        <v>Velodrome</v>
      </c>
      <c r="AG3" s="4">
        <f>((C3*60)+D3)</f>
        <v>1018</v>
      </c>
      <c r="AH3" s="4">
        <f>((E3*60)+F3)</f>
        <v>1004</v>
      </c>
      <c r="AI3" s="14">
        <f>ROUND(AG3-AH3,0)</f>
        <v>14</v>
      </c>
      <c r="AJ3">
        <f>COUNTIF(I3:N3,"&gt;0")</f>
        <v>5</v>
      </c>
      <c r="AK3">
        <f>COUNTIF(P3:U3,"&gt;0")</f>
        <v>5</v>
      </c>
      <c r="AL3">
        <f>IF(O3="",1,0)</f>
        <v>0</v>
      </c>
      <c r="AM3">
        <f>IF(V3="",1,0)</f>
        <v>0</v>
      </c>
      <c r="AN3">
        <f>IF(AND($AL3&lt;&gt;1,$AJ3&lt;$AK3,AM3&lt;&gt;1),1,)</f>
        <v>0</v>
      </c>
      <c r="AO3">
        <f>IF(AND($AL3&lt;&gt;1,$AJ3&gt;$AK3),1,)</f>
        <v>0</v>
      </c>
      <c r="AP3">
        <f>IF(AN3=1,1,0)</f>
        <v>0</v>
      </c>
      <c r="AQ3">
        <f>IF(AO3=1,1,0)</f>
        <v>0</v>
      </c>
      <c r="AR3" t="str">
        <f t="shared" ref="AR3" si="5">IF(AND(AJ3=5,AK3=5,AL3=0,AM3=0),"Full Strength",IF(AP3=1,"Away PowerPlay",IF(AO3=1,"Home PowerPlay",IF(AL3=1,"Home EmptyNet",IF(AM3=1,"Away EmptyNet","")))))</f>
        <v>Full Strength</v>
      </c>
      <c r="AS3" t="str">
        <f t="shared" ref="AS3" si="6">IF(AND(AL3=0,AM3=0),AJ3&amp;"v"&amp;AK3,IF(AL3=1,AJ3&amp;"v"&amp;AK3&amp;" Home EN",IF(AM3=1,AJ3&amp;"v"&amp;AK3&amp;" Away EN","")))</f>
        <v>5v5</v>
      </c>
      <c r="AT3">
        <f>IF($H2="Home Goal",AT2+1,AT2)</f>
        <v>0</v>
      </c>
      <c r="AU3">
        <f>IF($H2="Away Goal",AU2+1,AU2)</f>
        <v>0</v>
      </c>
      <c r="AV3">
        <f>IF(AND($H3="Home Goal", AO3=0),1,0)</f>
        <v>0</v>
      </c>
      <c r="AW3">
        <f>IF(AX3=1,-1,0)</f>
        <v>0</v>
      </c>
      <c r="AX3">
        <f>IF(AND($H3="Away Goal", AP3=0),1,0)</f>
        <v>0</v>
      </c>
      <c r="AY3">
        <f>IF(AV3=1,-1,0)</f>
        <v>0</v>
      </c>
      <c r="AZ3">
        <f>IFERROR(VLOOKUP(B3,events!Z:BM,40,FALSE),0)</f>
        <v>0</v>
      </c>
      <c r="BA3">
        <f>ROUND(IF(G3="Intermission",BA2,((1080)-((C3*60)+D3))+AZ3),0)</f>
        <v>62</v>
      </c>
      <c r="BB3">
        <f>IF(BA3&lt;5,0,BA3-5)</f>
        <v>57</v>
      </c>
      <c r="BC3" s="4">
        <f>BB3+AI3+3</f>
        <v>74</v>
      </c>
    </row>
    <row r="4" spans="1:55" x14ac:dyDescent="0.2">
      <c r="A4">
        <v>3</v>
      </c>
      <c r="B4" s="6">
        <f t="shared" ref="B4:B67" si="7">IF(G4="PeriodStart",B3+1,B3)</f>
        <v>1</v>
      </c>
      <c r="C4">
        <f t="shared" ref="C4:C67" si="8">E3</f>
        <v>16</v>
      </c>
      <c r="D4" t="str">
        <f t="shared" ref="D4:D67" si="9">F3</f>
        <v>44</v>
      </c>
      <c r="E4">
        <v>16</v>
      </c>
      <c r="F4" s="4" t="s">
        <v>1030</v>
      </c>
      <c r="I4">
        <f>IF($D4&gt;0,I3,"")</f>
        <v>73</v>
      </c>
      <c r="J4">
        <f t="shared" ref="J4:L4" si="10">IF($D4&gt;0,J3,"")</f>
        <v>12</v>
      </c>
      <c r="K4">
        <f t="shared" si="10"/>
        <v>90</v>
      </c>
      <c r="L4">
        <f t="shared" si="10"/>
        <v>41</v>
      </c>
      <c r="M4">
        <v>57</v>
      </c>
      <c r="N4">
        <f t="shared" ref="N4" si="11">IF($D4&gt;0,N3,"")</f>
        <v>0</v>
      </c>
      <c r="O4" s="5">
        <f t="shared" ref="O4:O67" si="12">O3</f>
        <v>1</v>
      </c>
      <c r="P4">
        <f>IF($D4&gt;0,P3,"")</f>
        <v>87</v>
      </c>
      <c r="Q4">
        <f t="shared" ref="Q4:T4" si="13">IF($D4&gt;0,Q3,"")</f>
        <v>24</v>
      </c>
      <c r="R4">
        <v>91</v>
      </c>
      <c r="S4">
        <f t="shared" si="13"/>
        <v>9</v>
      </c>
      <c r="T4">
        <f t="shared" si="13"/>
        <v>93</v>
      </c>
      <c r="V4">
        <f t="shared" ref="V4:V67" si="14">V3</f>
        <v>39</v>
      </c>
      <c r="AC4">
        <v>1</v>
      </c>
      <c r="AD4">
        <f t="shared" ref="AD4:AF4" si="15">AD3</f>
        <v>18991</v>
      </c>
      <c r="AE4" t="str">
        <f t="shared" si="15"/>
        <v>Triple J</v>
      </c>
      <c r="AF4" t="str">
        <f t="shared" si="15"/>
        <v>Velodrome</v>
      </c>
      <c r="AG4" s="4">
        <f t="shared" ref="AG4" si="16">((C4*60)+D4)</f>
        <v>1004</v>
      </c>
      <c r="AH4" s="4">
        <f t="shared" ref="AH4" si="17">((E4*60)+F4)</f>
        <v>994</v>
      </c>
      <c r="AI4" s="14">
        <f t="shared" ref="AI4" si="18">ROUND(AG4-AH4,0)</f>
        <v>10</v>
      </c>
      <c r="AJ4">
        <f t="shared" ref="AJ4" si="19">COUNTIF(I4:N4,"&gt;0")</f>
        <v>5</v>
      </c>
      <c r="AK4">
        <f t="shared" ref="AK4" si="20">COUNTIF(P4:U4,"&gt;0")</f>
        <v>5</v>
      </c>
      <c r="AL4">
        <f t="shared" ref="AL4" si="21">IF(O4="",1,0)</f>
        <v>0</v>
      </c>
      <c r="AM4">
        <f t="shared" ref="AM4" si="22">IF(V4="",1,0)</f>
        <v>0</v>
      </c>
      <c r="AN4">
        <f t="shared" ref="AN4" si="23">IF(AND($AL4&lt;&gt;1,$AJ4&lt;$AK4,AM4&lt;&gt;1),1,)</f>
        <v>0</v>
      </c>
      <c r="AO4">
        <f t="shared" ref="AO4" si="24">IF(AND($AL4&lt;&gt;1,$AJ4&gt;$AK4),1,)</f>
        <v>0</v>
      </c>
      <c r="AP4">
        <f t="shared" ref="AP4" si="25">IF(AN4=1,1,0)</f>
        <v>0</v>
      </c>
      <c r="AQ4">
        <f t="shared" ref="AQ4" si="26">IF(AO4=1,1,0)</f>
        <v>0</v>
      </c>
      <c r="AR4" t="str">
        <f t="shared" ref="AR4" si="27">IF(AND(AJ4=5,AK4=5,AL4=0,AM4=0),"Full Strength",IF(AP4=1,"Away PowerPlay",IF(AO4=1,"Home PowerPlay",IF(AL4=1,"Home EmptyNet",IF(AM4=1,"Away EmptyNet","")))))</f>
        <v>Full Strength</v>
      </c>
      <c r="AS4" t="str">
        <f t="shared" ref="AS4" si="28">IF(AND(AL4=0,AM4=0),AJ4&amp;"v"&amp;AK4,IF(AL4=1,AJ4&amp;"v"&amp;AK4&amp;" Home EN",IF(AM4=1,AJ4&amp;"v"&amp;AK4&amp;" Away EN","")))</f>
        <v>5v5</v>
      </c>
      <c r="AT4">
        <f t="shared" ref="AT4" si="29">IF($H3="Home Goal",AT3+1,AT3)</f>
        <v>0</v>
      </c>
      <c r="AU4">
        <f t="shared" ref="AU4" si="30">IF($H3="Away Goal",AU3+1,AU3)</f>
        <v>0</v>
      </c>
      <c r="AV4">
        <f t="shared" ref="AV4" si="31">IF(AND($H4="Home Goal", AO4=0),1,0)</f>
        <v>0</v>
      </c>
      <c r="AW4">
        <f t="shared" ref="AW4" si="32">IF(AX4=1,-1,0)</f>
        <v>0</v>
      </c>
      <c r="AX4">
        <f t="shared" ref="AX4" si="33">IF(AND($H4="Away Goal", AP4=0),1,0)</f>
        <v>0</v>
      </c>
      <c r="AY4">
        <f t="shared" ref="AY4" si="34">IF(AV4=1,-1,0)</f>
        <v>0</v>
      </c>
      <c r="AZ4">
        <f>IFERROR(VLOOKUP(B4,events!Z:BM,40,FALSE),0)</f>
        <v>0</v>
      </c>
      <c r="BA4">
        <f t="shared" ref="BA4" si="35">ROUND(IF(G4="Intermission",BA3,((1080)-((C4*60)+D4))+AZ4),0)</f>
        <v>76</v>
      </c>
      <c r="BB4">
        <f t="shared" ref="BB4" si="36">IF(BA4&lt;5,0,BA4-5)</f>
        <v>71</v>
      </c>
      <c r="BC4" s="4">
        <f t="shared" ref="BC4" si="37">BB4+AI4+3</f>
        <v>84</v>
      </c>
    </row>
    <row r="5" spans="1:55" x14ac:dyDescent="0.2">
      <c r="A5">
        <f t="shared" ref="A5:A68" si="38">A4+1</f>
        <v>4</v>
      </c>
      <c r="B5" s="6">
        <f t="shared" si="7"/>
        <v>1</v>
      </c>
      <c r="C5">
        <f t="shared" si="8"/>
        <v>16</v>
      </c>
      <c r="D5" t="str">
        <f t="shared" si="9"/>
        <v>34</v>
      </c>
      <c r="E5">
        <v>15</v>
      </c>
      <c r="F5" s="4" t="s">
        <v>1031</v>
      </c>
      <c r="I5">
        <v>21</v>
      </c>
      <c r="J5">
        <v>69</v>
      </c>
      <c r="K5">
        <f t="shared" ref="K5:K68" si="39">IF($D5&gt;0,K4,"")</f>
        <v>90</v>
      </c>
      <c r="L5">
        <v>10</v>
      </c>
      <c r="M5">
        <f t="shared" ref="M5:M68" si="40">IF($D5&gt;0,M4,"")</f>
        <v>57</v>
      </c>
      <c r="O5" s="5">
        <f t="shared" si="12"/>
        <v>1</v>
      </c>
      <c r="P5">
        <f t="shared" ref="P5:P68" si="41">IF($D5&gt;0,P4,"")</f>
        <v>87</v>
      </c>
      <c r="Q5">
        <f t="shared" ref="Q5:Q68" si="42">IF($D5&gt;0,Q4,"")</f>
        <v>24</v>
      </c>
      <c r="R5">
        <f t="shared" ref="R5:R68" si="43">IF($D5&gt;0,R4,"")</f>
        <v>91</v>
      </c>
      <c r="S5">
        <f t="shared" ref="S5:S68" si="44">IF($D5&gt;0,S4,"")</f>
        <v>9</v>
      </c>
      <c r="T5">
        <f t="shared" ref="T5:T68" si="45">IF($D5&gt;0,T4,"")</f>
        <v>93</v>
      </c>
      <c r="V5">
        <f t="shared" si="14"/>
        <v>39</v>
      </c>
      <c r="AA5">
        <v>1</v>
      </c>
      <c r="AG5" s="4"/>
      <c r="AH5" s="4"/>
      <c r="AI5" s="14"/>
      <c r="BC5" s="4"/>
    </row>
    <row r="6" spans="1:55" x14ac:dyDescent="0.2">
      <c r="A6">
        <f t="shared" si="38"/>
        <v>5</v>
      </c>
      <c r="B6" s="6">
        <f t="shared" si="7"/>
        <v>1</v>
      </c>
      <c r="C6">
        <f t="shared" si="8"/>
        <v>15</v>
      </c>
      <c r="D6" t="str">
        <f t="shared" si="9"/>
        <v>47</v>
      </c>
      <c r="E6">
        <v>15</v>
      </c>
      <c r="F6" s="4" t="s">
        <v>1032</v>
      </c>
      <c r="I6">
        <f t="shared" ref="I6:I68" si="46">IF($D6&gt;0,I5,"")</f>
        <v>21</v>
      </c>
      <c r="J6">
        <f t="shared" ref="J6:J68" si="47">IF($D6&gt;0,J5,"")</f>
        <v>69</v>
      </c>
      <c r="K6">
        <f t="shared" si="39"/>
        <v>90</v>
      </c>
      <c r="L6">
        <f t="shared" ref="L6:L67" si="48">IF($D6&gt;0,L5,"")</f>
        <v>10</v>
      </c>
      <c r="M6">
        <f t="shared" si="40"/>
        <v>57</v>
      </c>
      <c r="O6" s="5">
        <f t="shared" si="12"/>
        <v>1</v>
      </c>
      <c r="P6">
        <f t="shared" si="41"/>
        <v>87</v>
      </c>
      <c r="Q6">
        <f t="shared" si="42"/>
        <v>24</v>
      </c>
      <c r="R6">
        <f t="shared" si="43"/>
        <v>91</v>
      </c>
      <c r="S6">
        <f t="shared" si="44"/>
        <v>9</v>
      </c>
      <c r="T6">
        <v>22</v>
      </c>
      <c r="V6">
        <f t="shared" si="14"/>
        <v>39</v>
      </c>
      <c r="Y6">
        <v>1</v>
      </c>
      <c r="AG6" s="4"/>
      <c r="AH6" s="4"/>
      <c r="AI6" s="14"/>
      <c r="BC6" s="4"/>
    </row>
    <row r="7" spans="1:55" x14ac:dyDescent="0.2">
      <c r="A7">
        <f t="shared" si="38"/>
        <v>6</v>
      </c>
      <c r="B7" s="6">
        <f t="shared" si="7"/>
        <v>1</v>
      </c>
      <c r="C7">
        <f t="shared" si="8"/>
        <v>15</v>
      </c>
      <c r="D7" t="str">
        <f t="shared" si="9"/>
        <v>42</v>
      </c>
      <c r="E7">
        <v>15</v>
      </c>
      <c r="F7" s="4" t="s">
        <v>749</v>
      </c>
      <c r="H7" s="5" t="s">
        <v>307</v>
      </c>
      <c r="I7">
        <f t="shared" si="46"/>
        <v>21</v>
      </c>
      <c r="J7">
        <f t="shared" si="47"/>
        <v>69</v>
      </c>
      <c r="K7">
        <v>71</v>
      </c>
      <c r="L7">
        <v>41</v>
      </c>
      <c r="M7">
        <v>19</v>
      </c>
      <c r="O7" s="5">
        <f t="shared" si="12"/>
        <v>1</v>
      </c>
      <c r="P7">
        <f t="shared" si="41"/>
        <v>87</v>
      </c>
      <c r="Q7">
        <f t="shared" si="42"/>
        <v>24</v>
      </c>
      <c r="R7">
        <f t="shared" si="43"/>
        <v>91</v>
      </c>
      <c r="S7">
        <f t="shared" si="44"/>
        <v>9</v>
      </c>
      <c r="T7">
        <f t="shared" si="45"/>
        <v>22</v>
      </c>
      <c r="V7">
        <f t="shared" si="14"/>
        <v>39</v>
      </c>
      <c r="AA7">
        <v>1</v>
      </c>
      <c r="AG7" s="4"/>
      <c r="AH7" s="4"/>
      <c r="AI7" s="14"/>
      <c r="BC7" s="4"/>
    </row>
    <row r="8" spans="1:55" x14ac:dyDescent="0.2">
      <c r="A8">
        <f t="shared" si="38"/>
        <v>7</v>
      </c>
      <c r="B8" s="6">
        <f t="shared" si="7"/>
        <v>1</v>
      </c>
      <c r="C8">
        <f t="shared" si="8"/>
        <v>15</v>
      </c>
      <c r="D8" t="str">
        <f t="shared" si="9"/>
        <v>39</v>
      </c>
      <c r="E8">
        <v>14</v>
      </c>
      <c r="F8" s="4" t="s">
        <v>1033</v>
      </c>
      <c r="G8" s="6" t="s">
        <v>289</v>
      </c>
      <c r="I8">
        <v>21</v>
      </c>
      <c r="J8">
        <f t="shared" si="47"/>
        <v>69</v>
      </c>
      <c r="K8">
        <f t="shared" si="39"/>
        <v>71</v>
      </c>
      <c r="L8">
        <f t="shared" si="48"/>
        <v>41</v>
      </c>
      <c r="M8">
        <f t="shared" si="40"/>
        <v>19</v>
      </c>
      <c r="O8" s="5">
        <f t="shared" si="12"/>
        <v>1</v>
      </c>
      <c r="P8">
        <v>70</v>
      </c>
      <c r="Q8">
        <f t="shared" si="42"/>
        <v>24</v>
      </c>
      <c r="R8">
        <f t="shared" si="43"/>
        <v>91</v>
      </c>
      <c r="S8">
        <v>84</v>
      </c>
      <c r="T8">
        <f t="shared" si="45"/>
        <v>22</v>
      </c>
      <c r="V8">
        <f t="shared" si="14"/>
        <v>39</v>
      </c>
      <c r="AA8">
        <v>1</v>
      </c>
      <c r="AG8" s="4"/>
      <c r="AH8" s="4"/>
      <c r="AI8" s="14"/>
      <c r="BC8" s="4"/>
    </row>
    <row r="9" spans="1:55" x14ac:dyDescent="0.2">
      <c r="A9">
        <f t="shared" si="38"/>
        <v>8</v>
      </c>
      <c r="B9" s="6">
        <f t="shared" si="7"/>
        <v>1</v>
      </c>
      <c r="C9">
        <f t="shared" si="8"/>
        <v>14</v>
      </c>
      <c r="D9" t="str">
        <f t="shared" si="9"/>
        <v>57</v>
      </c>
      <c r="E9">
        <v>14</v>
      </c>
      <c r="F9" s="4" t="s">
        <v>1034</v>
      </c>
      <c r="H9" s="5" t="s">
        <v>340</v>
      </c>
      <c r="I9">
        <v>73</v>
      </c>
      <c r="J9">
        <f t="shared" si="47"/>
        <v>69</v>
      </c>
      <c r="K9">
        <f t="shared" si="39"/>
        <v>71</v>
      </c>
      <c r="L9">
        <f t="shared" si="48"/>
        <v>41</v>
      </c>
      <c r="M9">
        <f t="shared" si="40"/>
        <v>19</v>
      </c>
      <c r="O9" s="5">
        <f t="shared" si="12"/>
        <v>1</v>
      </c>
      <c r="P9">
        <f t="shared" si="41"/>
        <v>70</v>
      </c>
      <c r="Q9">
        <f t="shared" si="42"/>
        <v>24</v>
      </c>
      <c r="R9">
        <f t="shared" si="43"/>
        <v>91</v>
      </c>
      <c r="S9">
        <f t="shared" si="44"/>
        <v>84</v>
      </c>
      <c r="T9">
        <f t="shared" si="45"/>
        <v>22</v>
      </c>
      <c r="V9">
        <f t="shared" si="14"/>
        <v>39</v>
      </c>
      <c r="AA9">
        <v>1</v>
      </c>
      <c r="AG9" s="4"/>
      <c r="AH9" s="4"/>
      <c r="AI9" s="14"/>
      <c r="BC9" s="4"/>
    </row>
    <row r="10" spans="1:55" x14ac:dyDescent="0.2">
      <c r="A10">
        <f t="shared" si="38"/>
        <v>9</v>
      </c>
      <c r="B10" s="6">
        <f t="shared" si="7"/>
        <v>1</v>
      </c>
      <c r="C10">
        <f t="shared" si="8"/>
        <v>14</v>
      </c>
      <c r="D10" t="str">
        <f t="shared" si="9"/>
        <v>24</v>
      </c>
      <c r="E10">
        <v>13</v>
      </c>
      <c r="F10" s="4" t="s">
        <v>1035</v>
      </c>
      <c r="G10" s="6" t="s">
        <v>286</v>
      </c>
      <c r="I10">
        <f t="shared" si="46"/>
        <v>73</v>
      </c>
      <c r="J10">
        <v>37</v>
      </c>
      <c r="K10">
        <f t="shared" si="39"/>
        <v>71</v>
      </c>
      <c r="L10">
        <v>10</v>
      </c>
      <c r="M10">
        <v>57</v>
      </c>
      <c r="O10" s="5">
        <f t="shared" si="12"/>
        <v>1</v>
      </c>
      <c r="P10">
        <f t="shared" si="41"/>
        <v>70</v>
      </c>
      <c r="Q10">
        <v>55</v>
      </c>
      <c r="R10">
        <v>61</v>
      </c>
      <c r="S10">
        <f t="shared" si="44"/>
        <v>84</v>
      </c>
      <c r="T10">
        <f t="shared" si="45"/>
        <v>22</v>
      </c>
      <c r="V10">
        <f t="shared" si="14"/>
        <v>39</v>
      </c>
      <c r="AA10">
        <v>1</v>
      </c>
      <c r="AG10" s="4"/>
      <c r="AH10" s="4"/>
      <c r="AI10" s="14"/>
      <c r="BC10" s="4"/>
    </row>
    <row r="11" spans="1:55" x14ac:dyDescent="0.2">
      <c r="A11">
        <f t="shared" si="38"/>
        <v>10</v>
      </c>
      <c r="B11" s="6">
        <f t="shared" si="7"/>
        <v>1</v>
      </c>
      <c r="C11">
        <f t="shared" si="8"/>
        <v>13</v>
      </c>
      <c r="D11" t="str">
        <f t="shared" si="9"/>
        <v>38</v>
      </c>
      <c r="E11">
        <v>13</v>
      </c>
      <c r="F11" s="4" t="s">
        <v>1036</v>
      </c>
      <c r="I11">
        <f t="shared" si="46"/>
        <v>73</v>
      </c>
      <c r="J11">
        <f t="shared" si="47"/>
        <v>37</v>
      </c>
      <c r="K11">
        <f t="shared" si="39"/>
        <v>71</v>
      </c>
      <c r="L11">
        <f t="shared" si="48"/>
        <v>10</v>
      </c>
      <c r="M11">
        <f t="shared" si="40"/>
        <v>57</v>
      </c>
      <c r="O11" s="5">
        <f t="shared" si="12"/>
        <v>1</v>
      </c>
      <c r="P11">
        <f t="shared" si="41"/>
        <v>70</v>
      </c>
      <c r="Q11">
        <f t="shared" si="42"/>
        <v>55</v>
      </c>
      <c r="R11">
        <f t="shared" si="43"/>
        <v>61</v>
      </c>
      <c r="S11">
        <f t="shared" si="44"/>
        <v>84</v>
      </c>
      <c r="T11">
        <v>9</v>
      </c>
      <c r="V11">
        <f t="shared" si="14"/>
        <v>39</v>
      </c>
      <c r="AA11">
        <v>1</v>
      </c>
      <c r="AG11" s="4"/>
      <c r="AH11" s="4"/>
      <c r="AI11" s="14"/>
      <c r="BC11" s="4"/>
    </row>
    <row r="12" spans="1:55" x14ac:dyDescent="0.2">
      <c r="A12">
        <f t="shared" si="38"/>
        <v>11</v>
      </c>
      <c r="B12" s="6">
        <f t="shared" si="7"/>
        <v>1</v>
      </c>
      <c r="C12">
        <f t="shared" si="8"/>
        <v>13</v>
      </c>
      <c r="D12" t="str">
        <f t="shared" si="9"/>
        <v>20</v>
      </c>
      <c r="E12">
        <v>12</v>
      </c>
      <c r="F12" s="4" t="s">
        <v>1037</v>
      </c>
      <c r="I12">
        <f t="shared" si="46"/>
        <v>73</v>
      </c>
      <c r="J12">
        <f t="shared" si="47"/>
        <v>37</v>
      </c>
      <c r="K12">
        <f t="shared" si="39"/>
        <v>71</v>
      </c>
      <c r="L12">
        <f t="shared" si="48"/>
        <v>10</v>
      </c>
      <c r="M12">
        <f t="shared" si="40"/>
        <v>57</v>
      </c>
      <c r="O12" s="5">
        <f t="shared" si="12"/>
        <v>1</v>
      </c>
      <c r="P12">
        <v>87</v>
      </c>
      <c r="Q12">
        <f t="shared" si="42"/>
        <v>55</v>
      </c>
      <c r="R12">
        <f t="shared" si="43"/>
        <v>61</v>
      </c>
      <c r="S12">
        <v>93</v>
      </c>
      <c r="T12">
        <f t="shared" si="45"/>
        <v>9</v>
      </c>
      <c r="V12">
        <f t="shared" si="14"/>
        <v>39</v>
      </c>
      <c r="AC12">
        <v>1</v>
      </c>
      <c r="AG12" s="4"/>
      <c r="AH12" s="4"/>
      <c r="AI12" s="14"/>
      <c r="BC12" s="4"/>
    </row>
    <row r="13" spans="1:55" x14ac:dyDescent="0.2">
      <c r="A13">
        <f t="shared" si="38"/>
        <v>12</v>
      </c>
      <c r="B13" s="6">
        <f t="shared" si="7"/>
        <v>1</v>
      </c>
      <c r="C13">
        <f t="shared" si="8"/>
        <v>12</v>
      </c>
      <c r="D13" t="str">
        <f t="shared" si="9"/>
        <v>41</v>
      </c>
      <c r="E13">
        <v>12</v>
      </c>
      <c r="F13" s="4" t="s">
        <v>1038</v>
      </c>
      <c r="H13" s="5" t="s">
        <v>341</v>
      </c>
      <c r="I13">
        <f t="shared" si="46"/>
        <v>73</v>
      </c>
      <c r="J13">
        <f t="shared" si="47"/>
        <v>37</v>
      </c>
      <c r="K13">
        <v>16</v>
      </c>
      <c r="L13">
        <v>41</v>
      </c>
      <c r="M13">
        <v>19</v>
      </c>
      <c r="O13" s="5">
        <f t="shared" si="12"/>
        <v>1</v>
      </c>
      <c r="P13">
        <f t="shared" si="41"/>
        <v>87</v>
      </c>
      <c r="Q13">
        <f t="shared" si="42"/>
        <v>55</v>
      </c>
      <c r="R13">
        <f t="shared" si="43"/>
        <v>61</v>
      </c>
      <c r="S13">
        <f t="shared" si="44"/>
        <v>93</v>
      </c>
      <c r="T13">
        <f t="shared" si="45"/>
        <v>9</v>
      </c>
      <c r="V13">
        <f t="shared" si="14"/>
        <v>39</v>
      </c>
      <c r="Y13">
        <v>1</v>
      </c>
      <c r="AG13" s="4"/>
      <c r="AH13" s="4"/>
      <c r="AI13" s="14"/>
      <c r="BC13" s="4"/>
    </row>
    <row r="14" spans="1:55" x14ac:dyDescent="0.2">
      <c r="A14">
        <f t="shared" si="38"/>
        <v>13</v>
      </c>
      <c r="B14" s="6">
        <f t="shared" si="7"/>
        <v>1</v>
      </c>
      <c r="C14">
        <f t="shared" si="8"/>
        <v>12</v>
      </c>
      <c r="D14" t="str">
        <f t="shared" si="9"/>
        <v>37</v>
      </c>
      <c r="E14">
        <v>11</v>
      </c>
      <c r="F14" s="4" t="s">
        <v>1037</v>
      </c>
      <c r="G14" s="6" t="s">
        <v>289</v>
      </c>
      <c r="I14">
        <f t="shared" si="46"/>
        <v>73</v>
      </c>
      <c r="J14">
        <v>12</v>
      </c>
      <c r="K14">
        <f t="shared" si="39"/>
        <v>16</v>
      </c>
      <c r="L14">
        <f t="shared" si="48"/>
        <v>41</v>
      </c>
      <c r="M14">
        <f t="shared" si="40"/>
        <v>19</v>
      </c>
      <c r="O14" s="5">
        <f t="shared" si="12"/>
        <v>1</v>
      </c>
      <c r="P14">
        <f t="shared" si="41"/>
        <v>87</v>
      </c>
      <c r="Q14">
        <v>75</v>
      </c>
      <c r="R14">
        <v>14</v>
      </c>
      <c r="S14">
        <f t="shared" si="44"/>
        <v>93</v>
      </c>
      <c r="T14">
        <f t="shared" si="45"/>
        <v>9</v>
      </c>
      <c r="V14">
        <f t="shared" si="14"/>
        <v>39</v>
      </c>
      <c r="AC14">
        <v>1</v>
      </c>
      <c r="AG14" s="4"/>
      <c r="AH14" s="4"/>
      <c r="AI14" s="14"/>
      <c r="BC14" s="4"/>
    </row>
    <row r="15" spans="1:55" x14ac:dyDescent="0.2">
      <c r="A15">
        <f t="shared" si="38"/>
        <v>14</v>
      </c>
      <c r="B15" s="6">
        <f t="shared" si="7"/>
        <v>1</v>
      </c>
      <c r="C15">
        <f t="shared" si="8"/>
        <v>11</v>
      </c>
      <c r="D15" t="str">
        <f t="shared" si="9"/>
        <v>41</v>
      </c>
      <c r="E15">
        <v>11</v>
      </c>
      <c r="F15" s="4" t="s">
        <v>1039</v>
      </c>
      <c r="I15">
        <f t="shared" si="46"/>
        <v>73</v>
      </c>
      <c r="J15">
        <f t="shared" si="47"/>
        <v>12</v>
      </c>
      <c r="K15">
        <f t="shared" si="39"/>
        <v>16</v>
      </c>
      <c r="L15">
        <f t="shared" si="48"/>
        <v>41</v>
      </c>
      <c r="M15">
        <f t="shared" si="40"/>
        <v>19</v>
      </c>
      <c r="O15" s="5">
        <f t="shared" si="12"/>
        <v>1</v>
      </c>
      <c r="P15">
        <f t="shared" si="41"/>
        <v>87</v>
      </c>
      <c r="Q15">
        <f t="shared" si="42"/>
        <v>75</v>
      </c>
      <c r="R15">
        <f t="shared" si="43"/>
        <v>14</v>
      </c>
      <c r="S15">
        <f t="shared" si="44"/>
        <v>93</v>
      </c>
      <c r="T15">
        <v>84</v>
      </c>
      <c r="V15">
        <f t="shared" si="14"/>
        <v>39</v>
      </c>
      <c r="Y15">
        <v>1</v>
      </c>
      <c r="AG15" s="4"/>
      <c r="AH15" s="4"/>
      <c r="AI15" s="14"/>
      <c r="BC15" s="4"/>
    </row>
    <row r="16" spans="1:55" x14ac:dyDescent="0.2">
      <c r="A16">
        <f t="shared" si="38"/>
        <v>15</v>
      </c>
      <c r="B16" s="6">
        <f t="shared" si="7"/>
        <v>1</v>
      </c>
      <c r="C16">
        <f t="shared" si="8"/>
        <v>11</v>
      </c>
      <c r="D16" t="str">
        <f t="shared" si="9"/>
        <v>27</v>
      </c>
      <c r="E16">
        <v>11</v>
      </c>
      <c r="F16" s="4" t="s">
        <v>745</v>
      </c>
      <c r="I16">
        <v>21</v>
      </c>
      <c r="J16">
        <f t="shared" si="47"/>
        <v>12</v>
      </c>
      <c r="K16">
        <f t="shared" si="39"/>
        <v>16</v>
      </c>
      <c r="L16">
        <f t="shared" si="48"/>
        <v>41</v>
      </c>
      <c r="M16">
        <f t="shared" si="40"/>
        <v>19</v>
      </c>
      <c r="O16" s="5">
        <f t="shared" si="12"/>
        <v>1</v>
      </c>
      <c r="P16">
        <f t="shared" si="41"/>
        <v>87</v>
      </c>
      <c r="Q16">
        <f t="shared" si="42"/>
        <v>75</v>
      </c>
      <c r="R16">
        <f t="shared" si="43"/>
        <v>14</v>
      </c>
      <c r="S16">
        <f t="shared" si="44"/>
        <v>93</v>
      </c>
      <c r="T16">
        <f t="shared" si="45"/>
        <v>84</v>
      </c>
      <c r="V16">
        <f t="shared" si="14"/>
        <v>39</v>
      </c>
      <c r="AA16">
        <v>1</v>
      </c>
      <c r="AG16" s="4"/>
      <c r="AH16" s="4"/>
      <c r="AI16" s="14"/>
      <c r="BC16" s="4"/>
    </row>
    <row r="17" spans="1:55" x14ac:dyDescent="0.2">
      <c r="A17">
        <f t="shared" si="38"/>
        <v>16</v>
      </c>
      <c r="B17" s="6">
        <f t="shared" si="7"/>
        <v>1</v>
      </c>
      <c r="C17">
        <f t="shared" si="8"/>
        <v>11</v>
      </c>
      <c r="D17" t="str">
        <f t="shared" si="9"/>
        <v>14</v>
      </c>
      <c r="E17">
        <v>11</v>
      </c>
      <c r="F17" s="4" t="s">
        <v>1040</v>
      </c>
      <c r="I17">
        <f t="shared" si="46"/>
        <v>21</v>
      </c>
      <c r="J17">
        <f t="shared" si="47"/>
        <v>12</v>
      </c>
      <c r="K17">
        <f t="shared" si="39"/>
        <v>16</v>
      </c>
      <c r="L17">
        <f t="shared" si="48"/>
        <v>41</v>
      </c>
      <c r="M17">
        <f t="shared" si="40"/>
        <v>19</v>
      </c>
      <c r="O17" s="5">
        <f t="shared" si="12"/>
        <v>1</v>
      </c>
      <c r="P17">
        <f t="shared" si="41"/>
        <v>87</v>
      </c>
      <c r="Q17">
        <f t="shared" si="42"/>
        <v>75</v>
      </c>
      <c r="R17">
        <f t="shared" si="43"/>
        <v>14</v>
      </c>
      <c r="S17">
        <v>22</v>
      </c>
      <c r="T17">
        <f t="shared" si="45"/>
        <v>84</v>
      </c>
      <c r="V17">
        <f t="shared" si="14"/>
        <v>39</v>
      </c>
      <c r="Y17">
        <v>1</v>
      </c>
      <c r="AG17" s="4"/>
      <c r="AH17" s="4"/>
      <c r="AI17" s="14"/>
      <c r="BC17" s="4"/>
    </row>
    <row r="18" spans="1:55" x14ac:dyDescent="0.2">
      <c r="A18">
        <f t="shared" si="38"/>
        <v>17</v>
      </c>
      <c r="B18" s="6">
        <f t="shared" si="7"/>
        <v>1</v>
      </c>
      <c r="C18">
        <f t="shared" si="8"/>
        <v>11</v>
      </c>
      <c r="D18" t="str">
        <f t="shared" si="9"/>
        <v>02</v>
      </c>
      <c r="E18">
        <v>10</v>
      </c>
      <c r="F18" s="4" t="s">
        <v>1041</v>
      </c>
      <c r="H18" s="5" t="s">
        <v>301</v>
      </c>
      <c r="I18">
        <f t="shared" si="46"/>
        <v>21</v>
      </c>
      <c r="J18">
        <f t="shared" si="47"/>
        <v>12</v>
      </c>
      <c r="K18">
        <f t="shared" si="39"/>
        <v>16</v>
      </c>
      <c r="L18">
        <v>10</v>
      </c>
      <c r="M18">
        <v>57</v>
      </c>
      <c r="O18" s="5">
        <f t="shared" si="12"/>
        <v>1</v>
      </c>
      <c r="P18">
        <f t="shared" si="41"/>
        <v>87</v>
      </c>
      <c r="Q18">
        <f t="shared" si="42"/>
        <v>75</v>
      </c>
      <c r="R18">
        <f t="shared" si="43"/>
        <v>14</v>
      </c>
      <c r="S18">
        <f t="shared" si="44"/>
        <v>22</v>
      </c>
      <c r="T18">
        <f t="shared" si="45"/>
        <v>84</v>
      </c>
      <c r="V18">
        <f t="shared" si="14"/>
        <v>39</v>
      </c>
      <c r="Y18">
        <v>1</v>
      </c>
      <c r="AG18" s="4"/>
      <c r="AH18" s="4"/>
      <c r="AI18" s="14"/>
      <c r="BC18" s="4"/>
    </row>
    <row r="19" spans="1:55" x14ac:dyDescent="0.2">
      <c r="A19">
        <f t="shared" si="38"/>
        <v>18</v>
      </c>
      <c r="B19" s="6">
        <f t="shared" si="7"/>
        <v>1</v>
      </c>
      <c r="C19">
        <f t="shared" si="8"/>
        <v>10</v>
      </c>
      <c r="D19" t="str">
        <f t="shared" si="9"/>
        <v>43</v>
      </c>
      <c r="E19">
        <v>9</v>
      </c>
      <c r="F19" s="4" t="s">
        <v>754</v>
      </c>
      <c r="G19" s="6" t="s">
        <v>289</v>
      </c>
      <c r="I19">
        <f t="shared" si="46"/>
        <v>21</v>
      </c>
      <c r="J19">
        <v>90</v>
      </c>
      <c r="K19">
        <v>69</v>
      </c>
      <c r="L19">
        <f t="shared" si="48"/>
        <v>10</v>
      </c>
      <c r="M19">
        <f t="shared" si="40"/>
        <v>57</v>
      </c>
      <c r="O19" s="5">
        <f t="shared" si="12"/>
        <v>1</v>
      </c>
      <c r="P19">
        <v>70</v>
      </c>
      <c r="Q19">
        <v>24</v>
      </c>
      <c r="R19">
        <v>91</v>
      </c>
      <c r="S19">
        <f t="shared" si="44"/>
        <v>22</v>
      </c>
      <c r="T19">
        <f t="shared" si="45"/>
        <v>84</v>
      </c>
      <c r="V19">
        <f t="shared" si="14"/>
        <v>39</v>
      </c>
      <c r="Y19">
        <v>1</v>
      </c>
      <c r="AG19" s="4"/>
      <c r="AH19" s="4"/>
      <c r="AI19" s="14"/>
      <c r="BC19" s="4"/>
    </row>
    <row r="20" spans="1:55" x14ac:dyDescent="0.2">
      <c r="A20">
        <f t="shared" si="38"/>
        <v>19</v>
      </c>
      <c r="B20" s="6">
        <f t="shared" si="7"/>
        <v>1</v>
      </c>
      <c r="C20">
        <f t="shared" si="8"/>
        <v>9</v>
      </c>
      <c r="D20" t="str">
        <f t="shared" si="9"/>
        <v>11</v>
      </c>
      <c r="E20">
        <v>9</v>
      </c>
      <c r="F20" s="4" t="s">
        <v>1042</v>
      </c>
      <c r="I20">
        <f t="shared" si="46"/>
        <v>21</v>
      </c>
      <c r="J20">
        <f t="shared" si="47"/>
        <v>90</v>
      </c>
      <c r="K20">
        <f t="shared" si="39"/>
        <v>69</v>
      </c>
      <c r="L20">
        <v>41</v>
      </c>
      <c r="M20">
        <v>19</v>
      </c>
      <c r="O20" s="5">
        <f t="shared" si="12"/>
        <v>1</v>
      </c>
      <c r="P20">
        <f t="shared" si="41"/>
        <v>70</v>
      </c>
      <c r="Q20">
        <f t="shared" si="42"/>
        <v>24</v>
      </c>
      <c r="R20">
        <f t="shared" si="43"/>
        <v>91</v>
      </c>
      <c r="S20">
        <f t="shared" si="44"/>
        <v>22</v>
      </c>
      <c r="T20">
        <f t="shared" si="45"/>
        <v>84</v>
      </c>
      <c r="V20">
        <f t="shared" si="14"/>
        <v>39</v>
      </c>
      <c r="AA20">
        <v>1</v>
      </c>
      <c r="AG20" s="4"/>
      <c r="AH20" s="4"/>
      <c r="AI20" s="14"/>
      <c r="BC20" s="4"/>
    </row>
    <row r="21" spans="1:55" x14ac:dyDescent="0.2">
      <c r="A21">
        <f t="shared" si="38"/>
        <v>20</v>
      </c>
      <c r="B21" s="6">
        <f t="shared" si="7"/>
        <v>1</v>
      </c>
      <c r="C21">
        <f t="shared" si="8"/>
        <v>9</v>
      </c>
      <c r="D21" t="str">
        <f t="shared" si="9"/>
        <v>06</v>
      </c>
      <c r="E21">
        <v>9</v>
      </c>
      <c r="F21" s="4" t="s">
        <v>748</v>
      </c>
      <c r="I21">
        <f t="shared" si="46"/>
        <v>21</v>
      </c>
      <c r="J21">
        <v>71</v>
      </c>
      <c r="K21">
        <f t="shared" si="39"/>
        <v>69</v>
      </c>
      <c r="L21">
        <f t="shared" si="48"/>
        <v>41</v>
      </c>
      <c r="M21">
        <f t="shared" si="40"/>
        <v>19</v>
      </c>
      <c r="O21" s="5">
        <f t="shared" si="12"/>
        <v>1</v>
      </c>
      <c r="P21">
        <f t="shared" si="41"/>
        <v>70</v>
      </c>
      <c r="Q21">
        <f t="shared" si="42"/>
        <v>24</v>
      </c>
      <c r="R21">
        <f t="shared" si="43"/>
        <v>91</v>
      </c>
      <c r="S21">
        <v>9</v>
      </c>
      <c r="T21">
        <f t="shared" si="45"/>
        <v>84</v>
      </c>
      <c r="V21">
        <f t="shared" si="14"/>
        <v>39</v>
      </c>
      <c r="AA21">
        <v>1</v>
      </c>
      <c r="AG21" s="4"/>
      <c r="AH21" s="4"/>
      <c r="AI21" s="14"/>
      <c r="BC21" s="4"/>
    </row>
    <row r="22" spans="1:55" x14ac:dyDescent="0.2">
      <c r="A22">
        <f t="shared" si="38"/>
        <v>21</v>
      </c>
      <c r="B22" s="6">
        <f t="shared" si="7"/>
        <v>1</v>
      </c>
      <c r="C22">
        <f t="shared" si="8"/>
        <v>9</v>
      </c>
      <c r="D22" t="str">
        <f t="shared" si="9"/>
        <v>01</v>
      </c>
      <c r="E22">
        <v>8</v>
      </c>
      <c r="F22" s="4" t="s">
        <v>1038</v>
      </c>
      <c r="I22">
        <f t="shared" si="46"/>
        <v>21</v>
      </c>
      <c r="J22">
        <f t="shared" si="47"/>
        <v>71</v>
      </c>
      <c r="K22">
        <f t="shared" si="39"/>
        <v>69</v>
      </c>
      <c r="L22">
        <f t="shared" si="48"/>
        <v>41</v>
      </c>
      <c r="M22">
        <f t="shared" si="40"/>
        <v>19</v>
      </c>
      <c r="O22" s="5">
        <f t="shared" si="12"/>
        <v>1</v>
      </c>
      <c r="P22">
        <f t="shared" si="41"/>
        <v>70</v>
      </c>
      <c r="Q22">
        <f t="shared" si="42"/>
        <v>24</v>
      </c>
      <c r="R22">
        <f t="shared" si="43"/>
        <v>91</v>
      </c>
      <c r="S22">
        <f t="shared" si="44"/>
        <v>9</v>
      </c>
      <c r="T22">
        <v>93</v>
      </c>
      <c r="V22">
        <f t="shared" si="14"/>
        <v>39</v>
      </c>
      <c r="AA22">
        <v>1</v>
      </c>
      <c r="AG22" s="4"/>
      <c r="AH22" s="4"/>
      <c r="AI22" s="14"/>
      <c r="BC22" s="4"/>
    </row>
    <row r="23" spans="1:55" x14ac:dyDescent="0.2">
      <c r="A23">
        <f t="shared" si="38"/>
        <v>22</v>
      </c>
      <c r="B23" s="6">
        <f t="shared" si="7"/>
        <v>1</v>
      </c>
      <c r="C23">
        <f t="shared" si="8"/>
        <v>8</v>
      </c>
      <c r="D23" t="str">
        <f t="shared" si="9"/>
        <v>37</v>
      </c>
      <c r="E23">
        <v>8</v>
      </c>
      <c r="F23" s="4" t="s">
        <v>740</v>
      </c>
      <c r="I23">
        <f t="shared" si="46"/>
        <v>21</v>
      </c>
      <c r="J23">
        <f t="shared" si="47"/>
        <v>71</v>
      </c>
      <c r="K23">
        <f t="shared" si="39"/>
        <v>69</v>
      </c>
      <c r="L23">
        <f t="shared" si="48"/>
        <v>41</v>
      </c>
      <c r="M23">
        <f t="shared" si="40"/>
        <v>19</v>
      </c>
      <c r="O23" s="5">
        <f t="shared" si="12"/>
        <v>1</v>
      </c>
      <c r="P23">
        <f t="shared" si="41"/>
        <v>70</v>
      </c>
      <c r="Q23">
        <f t="shared" si="42"/>
        <v>24</v>
      </c>
      <c r="R23">
        <v>55</v>
      </c>
      <c r="S23">
        <f t="shared" si="44"/>
        <v>9</v>
      </c>
      <c r="T23">
        <f t="shared" si="45"/>
        <v>93</v>
      </c>
      <c r="V23">
        <f t="shared" si="14"/>
        <v>39</v>
      </c>
      <c r="Y23">
        <v>1</v>
      </c>
      <c r="AG23" s="4"/>
      <c r="AH23" s="4"/>
      <c r="AI23" s="14"/>
      <c r="BC23" s="4"/>
    </row>
    <row r="24" spans="1:55" x14ac:dyDescent="0.2">
      <c r="A24">
        <f t="shared" si="38"/>
        <v>23</v>
      </c>
      <c r="B24" s="6">
        <f t="shared" si="7"/>
        <v>1</v>
      </c>
      <c r="C24">
        <f t="shared" si="8"/>
        <v>8</v>
      </c>
      <c r="D24" t="str">
        <f t="shared" si="9"/>
        <v>25</v>
      </c>
      <c r="E24">
        <v>8</v>
      </c>
      <c r="F24" s="4" t="s">
        <v>745</v>
      </c>
      <c r="I24">
        <f t="shared" si="46"/>
        <v>21</v>
      </c>
      <c r="J24">
        <f t="shared" si="47"/>
        <v>71</v>
      </c>
      <c r="K24">
        <v>37</v>
      </c>
      <c r="L24">
        <f t="shared" si="48"/>
        <v>41</v>
      </c>
      <c r="M24">
        <f t="shared" si="40"/>
        <v>19</v>
      </c>
      <c r="O24" s="5">
        <f t="shared" si="12"/>
        <v>1</v>
      </c>
      <c r="P24">
        <f t="shared" si="41"/>
        <v>70</v>
      </c>
      <c r="Q24">
        <f t="shared" si="42"/>
        <v>24</v>
      </c>
      <c r="R24">
        <f t="shared" si="43"/>
        <v>55</v>
      </c>
      <c r="S24">
        <f t="shared" si="44"/>
        <v>9</v>
      </c>
      <c r="T24">
        <f t="shared" si="45"/>
        <v>93</v>
      </c>
      <c r="V24">
        <f t="shared" si="14"/>
        <v>39</v>
      </c>
      <c r="AA24">
        <v>1</v>
      </c>
      <c r="AG24" s="4"/>
      <c r="AH24" s="4"/>
      <c r="AI24" s="14"/>
      <c r="BC24" s="4"/>
    </row>
    <row r="25" spans="1:55" x14ac:dyDescent="0.2">
      <c r="A25">
        <f t="shared" si="38"/>
        <v>24</v>
      </c>
      <c r="B25" s="6">
        <f t="shared" si="7"/>
        <v>1</v>
      </c>
      <c r="C25">
        <f t="shared" si="8"/>
        <v>8</v>
      </c>
      <c r="D25" t="str">
        <f t="shared" si="9"/>
        <v>14</v>
      </c>
      <c r="E25">
        <v>7</v>
      </c>
      <c r="F25" s="4" t="s">
        <v>1039</v>
      </c>
      <c r="I25">
        <v>73</v>
      </c>
      <c r="J25">
        <f t="shared" si="47"/>
        <v>71</v>
      </c>
      <c r="K25">
        <f t="shared" si="39"/>
        <v>37</v>
      </c>
      <c r="L25">
        <f t="shared" si="48"/>
        <v>41</v>
      </c>
      <c r="M25">
        <f t="shared" si="40"/>
        <v>19</v>
      </c>
      <c r="O25" s="5">
        <f t="shared" si="12"/>
        <v>1</v>
      </c>
      <c r="P25">
        <f t="shared" si="41"/>
        <v>70</v>
      </c>
      <c r="Q25">
        <f t="shared" si="42"/>
        <v>24</v>
      </c>
      <c r="R25">
        <f t="shared" si="43"/>
        <v>55</v>
      </c>
      <c r="S25">
        <f t="shared" si="44"/>
        <v>9</v>
      </c>
      <c r="T25">
        <f t="shared" si="45"/>
        <v>93</v>
      </c>
      <c r="V25">
        <f t="shared" si="14"/>
        <v>39</v>
      </c>
      <c r="AC25">
        <v>1</v>
      </c>
      <c r="AG25" s="4"/>
      <c r="AH25" s="4"/>
      <c r="AI25" s="14"/>
      <c r="BC25" s="4"/>
    </row>
    <row r="26" spans="1:55" x14ac:dyDescent="0.2">
      <c r="A26">
        <f t="shared" si="38"/>
        <v>25</v>
      </c>
      <c r="B26" s="6">
        <f t="shared" si="7"/>
        <v>1</v>
      </c>
      <c r="C26">
        <f t="shared" si="8"/>
        <v>7</v>
      </c>
      <c r="D26" t="str">
        <f t="shared" si="9"/>
        <v>27</v>
      </c>
      <c r="E26">
        <v>7</v>
      </c>
      <c r="F26" s="4" t="s">
        <v>1040</v>
      </c>
      <c r="I26">
        <f t="shared" si="46"/>
        <v>73</v>
      </c>
      <c r="J26">
        <f t="shared" si="47"/>
        <v>71</v>
      </c>
      <c r="K26">
        <f t="shared" si="39"/>
        <v>37</v>
      </c>
      <c r="L26">
        <v>10</v>
      </c>
      <c r="M26">
        <v>57</v>
      </c>
      <c r="O26" s="5">
        <f t="shared" si="12"/>
        <v>1</v>
      </c>
      <c r="P26">
        <v>87</v>
      </c>
      <c r="Q26">
        <v>61</v>
      </c>
      <c r="R26">
        <f t="shared" si="43"/>
        <v>55</v>
      </c>
      <c r="S26">
        <f t="shared" si="44"/>
        <v>9</v>
      </c>
      <c r="T26">
        <f t="shared" si="45"/>
        <v>93</v>
      </c>
      <c r="V26">
        <f t="shared" si="14"/>
        <v>39</v>
      </c>
      <c r="AC26">
        <v>1</v>
      </c>
      <c r="AG26" s="4"/>
      <c r="AH26" s="4"/>
      <c r="AI26" s="14"/>
      <c r="BC26" s="4"/>
    </row>
    <row r="27" spans="1:55" x14ac:dyDescent="0.2">
      <c r="A27">
        <f t="shared" si="38"/>
        <v>26</v>
      </c>
      <c r="B27" s="6">
        <f t="shared" si="7"/>
        <v>1</v>
      </c>
      <c r="C27">
        <f t="shared" si="8"/>
        <v>7</v>
      </c>
      <c r="D27" t="str">
        <f t="shared" si="9"/>
        <v>02</v>
      </c>
      <c r="E27">
        <v>6</v>
      </c>
      <c r="F27" s="4" t="s">
        <v>1032</v>
      </c>
      <c r="H27" s="5" t="s">
        <v>342</v>
      </c>
      <c r="I27">
        <f t="shared" si="46"/>
        <v>73</v>
      </c>
      <c r="J27">
        <f t="shared" si="47"/>
        <v>71</v>
      </c>
      <c r="K27">
        <f t="shared" si="39"/>
        <v>37</v>
      </c>
      <c r="L27">
        <f t="shared" si="48"/>
        <v>10</v>
      </c>
      <c r="M27">
        <f t="shared" si="40"/>
        <v>57</v>
      </c>
      <c r="O27" s="5">
        <f t="shared" si="12"/>
        <v>1</v>
      </c>
      <c r="P27">
        <f t="shared" si="41"/>
        <v>87</v>
      </c>
      <c r="Q27">
        <f t="shared" si="42"/>
        <v>61</v>
      </c>
      <c r="R27">
        <f t="shared" si="43"/>
        <v>55</v>
      </c>
      <c r="S27">
        <v>22</v>
      </c>
      <c r="T27">
        <f t="shared" si="45"/>
        <v>93</v>
      </c>
      <c r="V27">
        <f t="shared" si="14"/>
        <v>39</v>
      </c>
      <c r="AA27">
        <v>1</v>
      </c>
      <c r="AG27" s="4"/>
      <c r="AH27" s="4"/>
      <c r="AI27" s="14"/>
      <c r="BC27" s="4"/>
    </row>
    <row r="28" spans="1:55" x14ac:dyDescent="0.2">
      <c r="A28">
        <f t="shared" si="38"/>
        <v>27</v>
      </c>
      <c r="B28" s="6">
        <f t="shared" si="7"/>
        <v>1</v>
      </c>
      <c r="C28">
        <f t="shared" si="8"/>
        <v>6</v>
      </c>
      <c r="D28" t="str">
        <f t="shared" si="9"/>
        <v>42</v>
      </c>
      <c r="E28">
        <v>5</v>
      </c>
      <c r="F28" s="4" t="s">
        <v>1036</v>
      </c>
      <c r="G28" s="6" t="s">
        <v>289</v>
      </c>
      <c r="I28">
        <f t="shared" si="46"/>
        <v>73</v>
      </c>
      <c r="J28">
        <v>16</v>
      </c>
      <c r="K28">
        <v>12</v>
      </c>
      <c r="L28">
        <f t="shared" si="48"/>
        <v>10</v>
      </c>
      <c r="M28">
        <f t="shared" si="40"/>
        <v>57</v>
      </c>
      <c r="O28" s="5">
        <f t="shared" si="12"/>
        <v>1</v>
      </c>
      <c r="P28">
        <f t="shared" si="41"/>
        <v>87</v>
      </c>
      <c r="Q28">
        <f t="shared" si="42"/>
        <v>61</v>
      </c>
      <c r="R28">
        <f t="shared" si="43"/>
        <v>55</v>
      </c>
      <c r="S28">
        <f t="shared" si="44"/>
        <v>22</v>
      </c>
      <c r="T28">
        <v>84</v>
      </c>
      <c r="V28">
        <f t="shared" si="14"/>
        <v>39</v>
      </c>
      <c r="AC28">
        <v>1</v>
      </c>
      <c r="AG28" s="4"/>
      <c r="AH28" s="4"/>
      <c r="AI28" s="14"/>
      <c r="BC28" s="4"/>
    </row>
    <row r="29" spans="1:55" x14ac:dyDescent="0.2">
      <c r="A29">
        <f t="shared" si="38"/>
        <v>28</v>
      </c>
      <c r="B29" s="6">
        <f t="shared" si="7"/>
        <v>1</v>
      </c>
      <c r="C29">
        <f t="shared" si="8"/>
        <v>5</v>
      </c>
      <c r="D29" t="str">
        <f t="shared" si="9"/>
        <v>20</v>
      </c>
      <c r="E29">
        <v>5</v>
      </c>
      <c r="F29" s="4" t="s">
        <v>746</v>
      </c>
      <c r="I29">
        <f t="shared" si="46"/>
        <v>73</v>
      </c>
      <c r="J29">
        <f t="shared" si="47"/>
        <v>16</v>
      </c>
      <c r="K29">
        <f t="shared" si="39"/>
        <v>12</v>
      </c>
      <c r="L29">
        <v>41</v>
      </c>
      <c r="M29">
        <f t="shared" si="40"/>
        <v>57</v>
      </c>
      <c r="O29" s="5">
        <f t="shared" si="12"/>
        <v>1</v>
      </c>
      <c r="P29">
        <f t="shared" si="41"/>
        <v>87</v>
      </c>
      <c r="Q29">
        <f t="shared" si="42"/>
        <v>61</v>
      </c>
      <c r="R29">
        <f t="shared" si="43"/>
        <v>55</v>
      </c>
      <c r="S29">
        <f t="shared" si="44"/>
        <v>22</v>
      </c>
      <c r="T29">
        <f t="shared" si="45"/>
        <v>84</v>
      </c>
      <c r="V29">
        <f t="shared" si="14"/>
        <v>39</v>
      </c>
      <c r="AA29">
        <v>1</v>
      </c>
      <c r="AG29" s="4"/>
      <c r="AH29" s="4"/>
      <c r="AI29" s="14"/>
      <c r="BC29" s="4"/>
    </row>
    <row r="30" spans="1:55" x14ac:dyDescent="0.2">
      <c r="A30">
        <f t="shared" si="38"/>
        <v>29</v>
      </c>
      <c r="B30" s="6">
        <f t="shared" si="7"/>
        <v>1</v>
      </c>
      <c r="C30">
        <f t="shared" si="8"/>
        <v>5</v>
      </c>
      <c r="D30" t="str">
        <f t="shared" si="9"/>
        <v>12</v>
      </c>
      <c r="E30">
        <v>4</v>
      </c>
      <c r="F30" s="4" t="s">
        <v>1028</v>
      </c>
      <c r="I30">
        <f t="shared" si="46"/>
        <v>73</v>
      </c>
      <c r="J30">
        <f t="shared" si="47"/>
        <v>16</v>
      </c>
      <c r="K30">
        <f t="shared" si="39"/>
        <v>12</v>
      </c>
      <c r="L30">
        <f t="shared" si="48"/>
        <v>41</v>
      </c>
      <c r="M30">
        <f t="shared" si="40"/>
        <v>57</v>
      </c>
      <c r="O30" s="5">
        <f t="shared" si="12"/>
        <v>1</v>
      </c>
      <c r="P30">
        <v>70</v>
      </c>
      <c r="Q30">
        <f t="shared" si="42"/>
        <v>61</v>
      </c>
      <c r="R30">
        <v>14</v>
      </c>
      <c r="S30">
        <f t="shared" si="44"/>
        <v>22</v>
      </c>
      <c r="T30">
        <f t="shared" si="45"/>
        <v>84</v>
      </c>
      <c r="V30">
        <f t="shared" si="14"/>
        <v>39</v>
      </c>
      <c r="AC30">
        <v>1</v>
      </c>
      <c r="AG30" s="4"/>
      <c r="AH30" s="4"/>
      <c r="AI30" s="14"/>
      <c r="BC30" s="4"/>
    </row>
    <row r="31" spans="1:55" x14ac:dyDescent="0.2">
      <c r="A31">
        <f t="shared" si="38"/>
        <v>30</v>
      </c>
      <c r="B31" s="6">
        <f t="shared" si="7"/>
        <v>1</v>
      </c>
      <c r="C31">
        <f t="shared" si="8"/>
        <v>4</v>
      </c>
      <c r="D31" t="str">
        <f t="shared" si="9"/>
        <v>58</v>
      </c>
      <c r="E31">
        <v>4</v>
      </c>
      <c r="F31" s="4" t="s">
        <v>1043</v>
      </c>
      <c r="H31" s="5" t="s">
        <v>301</v>
      </c>
      <c r="I31">
        <f t="shared" si="46"/>
        <v>73</v>
      </c>
      <c r="J31">
        <f t="shared" si="47"/>
        <v>16</v>
      </c>
      <c r="K31">
        <f t="shared" si="39"/>
        <v>12</v>
      </c>
      <c r="L31">
        <f t="shared" si="48"/>
        <v>41</v>
      </c>
      <c r="M31">
        <f>IF($D31&gt;0,M30,"")</f>
        <v>57</v>
      </c>
      <c r="O31" s="5">
        <f t="shared" si="12"/>
        <v>1</v>
      </c>
      <c r="P31">
        <f t="shared" si="41"/>
        <v>70</v>
      </c>
      <c r="Q31">
        <v>75</v>
      </c>
      <c r="R31">
        <f t="shared" si="43"/>
        <v>14</v>
      </c>
      <c r="S31">
        <f t="shared" si="44"/>
        <v>22</v>
      </c>
      <c r="T31">
        <v>84</v>
      </c>
      <c r="V31">
        <f t="shared" si="14"/>
        <v>39</v>
      </c>
      <c r="Y31">
        <v>1</v>
      </c>
      <c r="AG31" s="4"/>
      <c r="AH31" s="4"/>
      <c r="AI31" s="14"/>
      <c r="BC31" s="4"/>
    </row>
    <row r="32" spans="1:55" x14ac:dyDescent="0.2">
      <c r="A32">
        <f t="shared" si="38"/>
        <v>31</v>
      </c>
      <c r="B32" s="6">
        <f t="shared" si="7"/>
        <v>1</v>
      </c>
      <c r="C32">
        <f t="shared" si="8"/>
        <v>4</v>
      </c>
      <c r="D32" t="str">
        <f t="shared" si="9"/>
        <v>33</v>
      </c>
      <c r="E32">
        <v>2</v>
      </c>
      <c r="F32" s="4" t="s">
        <v>1044</v>
      </c>
      <c r="G32" s="6" t="s">
        <v>289</v>
      </c>
      <c r="H32" s="5" t="s">
        <v>341</v>
      </c>
      <c r="I32">
        <v>21</v>
      </c>
      <c r="J32">
        <v>90</v>
      </c>
      <c r="K32">
        <v>69</v>
      </c>
      <c r="L32">
        <f t="shared" si="48"/>
        <v>41</v>
      </c>
      <c r="M32">
        <v>19</v>
      </c>
      <c r="O32" s="5">
        <f t="shared" si="12"/>
        <v>1</v>
      </c>
      <c r="P32">
        <f t="shared" si="41"/>
        <v>70</v>
      </c>
      <c r="Q32">
        <f t="shared" si="42"/>
        <v>75</v>
      </c>
      <c r="R32">
        <f t="shared" si="43"/>
        <v>14</v>
      </c>
      <c r="S32">
        <v>9</v>
      </c>
      <c r="T32">
        <v>93</v>
      </c>
      <c r="V32">
        <f t="shared" si="14"/>
        <v>39</v>
      </c>
      <c r="Y32">
        <v>1</v>
      </c>
      <c r="AG32" s="4"/>
      <c r="AH32" s="4"/>
      <c r="AI32" s="14"/>
      <c r="BC32" s="4"/>
    </row>
    <row r="33" spans="1:55" x14ac:dyDescent="0.2">
      <c r="A33">
        <f t="shared" si="38"/>
        <v>32</v>
      </c>
      <c r="B33" s="6">
        <f t="shared" si="7"/>
        <v>1</v>
      </c>
      <c r="C33">
        <f t="shared" si="8"/>
        <v>2</v>
      </c>
      <c r="D33" t="str">
        <f t="shared" si="9"/>
        <v>52</v>
      </c>
      <c r="E33">
        <v>2</v>
      </c>
      <c r="F33" s="4" t="s">
        <v>739</v>
      </c>
      <c r="G33" s="6" t="s">
        <v>289</v>
      </c>
      <c r="I33">
        <v>73</v>
      </c>
      <c r="J33">
        <v>71</v>
      </c>
      <c r="K33">
        <f t="shared" si="39"/>
        <v>69</v>
      </c>
      <c r="L33">
        <v>41</v>
      </c>
      <c r="M33">
        <f t="shared" si="40"/>
        <v>19</v>
      </c>
      <c r="O33" s="5">
        <f t="shared" si="12"/>
        <v>1</v>
      </c>
      <c r="P33">
        <f t="shared" si="41"/>
        <v>70</v>
      </c>
      <c r="Q33">
        <f t="shared" si="42"/>
        <v>75</v>
      </c>
      <c r="R33">
        <v>91</v>
      </c>
      <c r="S33">
        <f t="shared" si="44"/>
        <v>9</v>
      </c>
      <c r="T33">
        <f t="shared" si="45"/>
        <v>93</v>
      </c>
      <c r="V33">
        <f t="shared" si="14"/>
        <v>39</v>
      </c>
      <c r="AA33">
        <v>1</v>
      </c>
      <c r="AG33" s="4"/>
      <c r="AH33" s="4"/>
      <c r="AI33" s="14"/>
      <c r="BC33" s="4"/>
    </row>
    <row r="34" spans="1:55" x14ac:dyDescent="0.2">
      <c r="A34">
        <f t="shared" si="38"/>
        <v>33</v>
      </c>
      <c r="B34" s="6">
        <f t="shared" si="7"/>
        <v>1</v>
      </c>
      <c r="C34">
        <f t="shared" si="8"/>
        <v>2</v>
      </c>
      <c r="D34" t="str">
        <f t="shared" si="9"/>
        <v>26</v>
      </c>
      <c r="E34">
        <v>2</v>
      </c>
      <c r="F34" s="4" t="s">
        <v>745</v>
      </c>
      <c r="H34" s="5" t="s">
        <v>299</v>
      </c>
      <c r="I34">
        <f t="shared" si="46"/>
        <v>73</v>
      </c>
      <c r="J34">
        <f t="shared" si="47"/>
        <v>71</v>
      </c>
      <c r="K34">
        <f t="shared" si="39"/>
        <v>69</v>
      </c>
      <c r="L34">
        <f t="shared" si="48"/>
        <v>41</v>
      </c>
      <c r="M34">
        <f t="shared" si="40"/>
        <v>19</v>
      </c>
      <c r="O34" s="5">
        <f t="shared" si="12"/>
        <v>1</v>
      </c>
      <c r="P34">
        <f t="shared" si="41"/>
        <v>70</v>
      </c>
      <c r="Q34">
        <v>24</v>
      </c>
      <c r="R34">
        <f t="shared" si="43"/>
        <v>91</v>
      </c>
      <c r="S34">
        <f t="shared" si="44"/>
        <v>9</v>
      </c>
      <c r="T34">
        <f t="shared" si="45"/>
        <v>93</v>
      </c>
      <c r="V34">
        <f t="shared" si="14"/>
        <v>39</v>
      </c>
      <c r="AA34">
        <v>1</v>
      </c>
      <c r="AG34" s="4"/>
      <c r="AH34" s="4"/>
      <c r="AI34" s="14"/>
      <c r="BC34" s="4"/>
    </row>
    <row r="35" spans="1:55" x14ac:dyDescent="0.2">
      <c r="A35">
        <f t="shared" si="38"/>
        <v>34</v>
      </c>
      <c r="B35" s="6">
        <f t="shared" si="7"/>
        <v>1</v>
      </c>
      <c r="C35">
        <f t="shared" si="8"/>
        <v>2</v>
      </c>
      <c r="D35" t="str">
        <f t="shared" si="9"/>
        <v>14</v>
      </c>
      <c r="E35">
        <v>0</v>
      </c>
      <c r="F35" s="4" t="s">
        <v>755</v>
      </c>
      <c r="G35" s="6" t="s">
        <v>289</v>
      </c>
      <c r="H35" s="5" t="s">
        <v>292</v>
      </c>
      <c r="I35">
        <f t="shared" si="46"/>
        <v>73</v>
      </c>
      <c r="J35">
        <f t="shared" si="47"/>
        <v>71</v>
      </c>
      <c r="K35">
        <v>37</v>
      </c>
      <c r="L35">
        <v>57</v>
      </c>
      <c r="M35">
        <v>10</v>
      </c>
      <c r="O35" s="5">
        <f t="shared" si="12"/>
        <v>1</v>
      </c>
      <c r="P35">
        <f t="shared" si="41"/>
        <v>70</v>
      </c>
      <c r="Q35">
        <f t="shared" si="42"/>
        <v>24</v>
      </c>
      <c r="R35">
        <f t="shared" si="43"/>
        <v>91</v>
      </c>
      <c r="S35">
        <v>22</v>
      </c>
      <c r="T35">
        <v>84</v>
      </c>
      <c r="V35">
        <f t="shared" si="14"/>
        <v>39</v>
      </c>
      <c r="AA35">
        <v>1</v>
      </c>
      <c r="AG35" s="4"/>
      <c r="AH35" s="4"/>
      <c r="AI35" s="14"/>
      <c r="BC35" s="4"/>
    </row>
    <row r="36" spans="1:55" x14ac:dyDescent="0.2">
      <c r="A36">
        <f t="shared" si="38"/>
        <v>35</v>
      </c>
      <c r="B36" s="6">
        <f t="shared" si="7"/>
        <v>1</v>
      </c>
      <c r="C36">
        <f t="shared" si="8"/>
        <v>0</v>
      </c>
      <c r="D36" t="str">
        <f t="shared" si="9"/>
        <v>0.01</v>
      </c>
      <c r="G36" s="6" t="s">
        <v>393</v>
      </c>
      <c r="P36"/>
      <c r="AG36" s="4"/>
      <c r="AH36" s="4"/>
      <c r="AI36" s="14"/>
      <c r="BC36" s="4"/>
    </row>
    <row r="37" spans="1:55" x14ac:dyDescent="0.2">
      <c r="A37">
        <f t="shared" si="38"/>
        <v>36</v>
      </c>
      <c r="B37" s="6">
        <f t="shared" si="7"/>
        <v>2</v>
      </c>
      <c r="C37">
        <v>18</v>
      </c>
      <c r="D37">
        <v>0</v>
      </c>
      <c r="E37">
        <v>17</v>
      </c>
      <c r="F37" s="4" t="s">
        <v>1046</v>
      </c>
      <c r="G37" s="6" t="s">
        <v>284</v>
      </c>
      <c r="H37" s="5" t="s">
        <v>339</v>
      </c>
      <c r="I37">
        <v>73</v>
      </c>
      <c r="J37">
        <v>12</v>
      </c>
      <c r="K37">
        <v>16</v>
      </c>
      <c r="L37">
        <v>41</v>
      </c>
      <c r="M37">
        <v>19</v>
      </c>
      <c r="O37" s="5">
        <v>1</v>
      </c>
      <c r="P37">
        <v>87</v>
      </c>
      <c r="Q37">
        <v>61</v>
      </c>
      <c r="R37">
        <v>55</v>
      </c>
      <c r="S37">
        <v>9</v>
      </c>
      <c r="T37">
        <v>93</v>
      </c>
      <c r="V37">
        <v>39</v>
      </c>
      <c r="Y37">
        <v>1</v>
      </c>
      <c r="AG37" s="4"/>
      <c r="AH37" s="4"/>
      <c r="AI37" s="14"/>
      <c r="BC37" s="4"/>
    </row>
    <row r="38" spans="1:55" x14ac:dyDescent="0.2">
      <c r="A38">
        <f t="shared" si="38"/>
        <v>37</v>
      </c>
      <c r="B38" s="6">
        <f t="shared" si="7"/>
        <v>2</v>
      </c>
      <c r="C38">
        <f t="shared" si="8"/>
        <v>17</v>
      </c>
      <c r="D38" t="str">
        <f t="shared" si="9"/>
        <v>30</v>
      </c>
      <c r="E38">
        <v>16</v>
      </c>
      <c r="F38" s="4" t="s">
        <v>732</v>
      </c>
      <c r="G38" s="6" t="s">
        <v>286</v>
      </c>
      <c r="H38" s="5" t="s">
        <v>340</v>
      </c>
      <c r="I38">
        <v>73</v>
      </c>
      <c r="J38">
        <f t="shared" si="47"/>
        <v>12</v>
      </c>
      <c r="K38">
        <f t="shared" si="39"/>
        <v>16</v>
      </c>
      <c r="L38">
        <f>IF($D38&gt;0,L37,"")</f>
        <v>41</v>
      </c>
      <c r="M38">
        <f t="shared" si="40"/>
        <v>19</v>
      </c>
      <c r="O38" s="5">
        <f t="shared" si="12"/>
        <v>1</v>
      </c>
      <c r="P38">
        <f t="shared" si="41"/>
        <v>87</v>
      </c>
      <c r="Q38">
        <f t="shared" si="42"/>
        <v>61</v>
      </c>
      <c r="R38">
        <f t="shared" si="43"/>
        <v>55</v>
      </c>
      <c r="S38">
        <f t="shared" si="44"/>
        <v>9</v>
      </c>
      <c r="T38">
        <f t="shared" si="45"/>
        <v>93</v>
      </c>
      <c r="V38">
        <f t="shared" si="14"/>
        <v>39</v>
      </c>
      <c r="AA38">
        <v>1</v>
      </c>
      <c r="AG38" s="4"/>
      <c r="AH38" s="4"/>
      <c r="AI38" s="14"/>
      <c r="BC38" s="4"/>
    </row>
    <row r="39" spans="1:55" x14ac:dyDescent="0.2">
      <c r="A39">
        <f t="shared" si="38"/>
        <v>38</v>
      </c>
      <c r="B39" s="6">
        <f t="shared" si="7"/>
        <v>2</v>
      </c>
      <c r="C39">
        <f t="shared" si="8"/>
        <v>16</v>
      </c>
      <c r="D39" t="str">
        <f t="shared" si="9"/>
        <v>17</v>
      </c>
      <c r="E39">
        <v>14</v>
      </c>
      <c r="F39" s="4" t="s">
        <v>1045</v>
      </c>
      <c r="G39" s="6" t="s">
        <v>286</v>
      </c>
      <c r="H39" s="5" t="s">
        <v>340</v>
      </c>
      <c r="I39">
        <v>21</v>
      </c>
      <c r="J39">
        <v>90</v>
      </c>
      <c r="K39">
        <v>69</v>
      </c>
      <c r="L39">
        <v>10</v>
      </c>
      <c r="M39">
        <v>57</v>
      </c>
      <c r="O39" s="5">
        <f t="shared" si="12"/>
        <v>1</v>
      </c>
      <c r="P39">
        <v>70</v>
      </c>
      <c r="Q39">
        <v>75</v>
      </c>
      <c r="R39">
        <v>14</v>
      </c>
      <c r="S39">
        <v>84</v>
      </c>
      <c r="T39">
        <v>22</v>
      </c>
      <c r="V39">
        <f t="shared" si="14"/>
        <v>39</v>
      </c>
      <c r="AA39">
        <v>1</v>
      </c>
      <c r="AG39" s="4"/>
      <c r="AH39" s="4"/>
      <c r="AI39" s="14"/>
      <c r="BC39" s="4"/>
    </row>
    <row r="40" spans="1:55" x14ac:dyDescent="0.2">
      <c r="A40">
        <f t="shared" si="38"/>
        <v>39</v>
      </c>
      <c r="B40" s="6">
        <f t="shared" si="7"/>
        <v>2</v>
      </c>
      <c r="C40">
        <f t="shared" si="8"/>
        <v>14</v>
      </c>
      <c r="D40" t="str">
        <f t="shared" si="9"/>
        <v>50</v>
      </c>
      <c r="E40">
        <v>14</v>
      </c>
      <c r="F40" s="4" t="s">
        <v>1047</v>
      </c>
      <c r="G40" s="6" t="s">
        <v>286</v>
      </c>
      <c r="H40" s="5" t="s">
        <v>341</v>
      </c>
      <c r="I40">
        <f t="shared" si="46"/>
        <v>21</v>
      </c>
      <c r="J40">
        <f t="shared" si="47"/>
        <v>90</v>
      </c>
      <c r="K40">
        <f t="shared" si="39"/>
        <v>69</v>
      </c>
      <c r="L40">
        <f t="shared" si="48"/>
        <v>10</v>
      </c>
      <c r="M40">
        <f t="shared" si="40"/>
        <v>57</v>
      </c>
      <c r="O40" s="5">
        <f t="shared" si="12"/>
        <v>1</v>
      </c>
      <c r="P40">
        <f t="shared" si="41"/>
        <v>70</v>
      </c>
      <c r="Q40">
        <v>24</v>
      </c>
      <c r="R40">
        <f t="shared" si="43"/>
        <v>14</v>
      </c>
      <c r="S40">
        <f t="shared" si="44"/>
        <v>84</v>
      </c>
      <c r="T40">
        <f t="shared" si="45"/>
        <v>22</v>
      </c>
      <c r="V40">
        <f t="shared" si="14"/>
        <v>39</v>
      </c>
      <c r="Y40">
        <v>1</v>
      </c>
      <c r="AG40" s="4"/>
      <c r="AH40" s="4"/>
      <c r="AI40" s="14"/>
      <c r="BC40" s="4"/>
    </row>
    <row r="41" spans="1:55" x14ac:dyDescent="0.2">
      <c r="A41">
        <f t="shared" si="38"/>
        <v>40</v>
      </c>
      <c r="B41" s="6">
        <f t="shared" si="7"/>
        <v>2</v>
      </c>
      <c r="C41">
        <f t="shared" si="8"/>
        <v>14</v>
      </c>
      <c r="D41" t="str">
        <f t="shared" si="9"/>
        <v>09</v>
      </c>
      <c r="E41">
        <v>13</v>
      </c>
      <c r="F41" s="4" t="s">
        <v>754</v>
      </c>
      <c r="G41" s="6" t="s">
        <v>289</v>
      </c>
      <c r="H41" s="5" t="s">
        <v>340</v>
      </c>
      <c r="I41">
        <f t="shared" si="46"/>
        <v>21</v>
      </c>
      <c r="J41">
        <v>37</v>
      </c>
      <c r="K41">
        <v>71</v>
      </c>
      <c r="L41">
        <v>41</v>
      </c>
      <c r="M41">
        <v>19</v>
      </c>
      <c r="O41" s="5">
        <f t="shared" si="12"/>
        <v>1</v>
      </c>
      <c r="P41">
        <f t="shared" si="41"/>
        <v>70</v>
      </c>
      <c r="Q41">
        <f t="shared" si="42"/>
        <v>24</v>
      </c>
      <c r="R41">
        <v>91</v>
      </c>
      <c r="S41">
        <f t="shared" si="44"/>
        <v>84</v>
      </c>
      <c r="T41">
        <f t="shared" si="45"/>
        <v>22</v>
      </c>
      <c r="V41">
        <f t="shared" si="14"/>
        <v>39</v>
      </c>
      <c r="AA41">
        <v>1</v>
      </c>
      <c r="AG41" s="4"/>
      <c r="AH41" s="4"/>
      <c r="AI41" s="14"/>
      <c r="BC41" s="4"/>
    </row>
    <row r="42" spans="1:55" x14ac:dyDescent="0.2">
      <c r="A42">
        <f t="shared" si="38"/>
        <v>41</v>
      </c>
      <c r="B42" s="6">
        <f t="shared" si="7"/>
        <v>2</v>
      </c>
      <c r="C42">
        <f t="shared" si="8"/>
        <v>13</v>
      </c>
      <c r="D42" t="str">
        <f t="shared" si="9"/>
        <v>11</v>
      </c>
      <c r="E42">
        <v>11</v>
      </c>
      <c r="F42" s="4" t="s">
        <v>1031</v>
      </c>
      <c r="G42" s="6" t="s">
        <v>286</v>
      </c>
      <c r="I42">
        <v>73</v>
      </c>
      <c r="J42">
        <f t="shared" si="47"/>
        <v>37</v>
      </c>
      <c r="K42">
        <f t="shared" si="39"/>
        <v>71</v>
      </c>
      <c r="L42">
        <v>10</v>
      </c>
      <c r="M42">
        <v>57</v>
      </c>
      <c r="O42" s="5">
        <f t="shared" si="12"/>
        <v>1</v>
      </c>
      <c r="P42">
        <v>87</v>
      </c>
      <c r="Q42">
        <v>61</v>
      </c>
      <c r="R42">
        <v>91</v>
      </c>
      <c r="S42">
        <v>9</v>
      </c>
      <c r="T42">
        <v>93</v>
      </c>
      <c r="V42">
        <f t="shared" si="14"/>
        <v>39</v>
      </c>
      <c r="AC42">
        <v>1</v>
      </c>
      <c r="AG42" s="4"/>
      <c r="AH42" s="4"/>
      <c r="AI42" s="14"/>
      <c r="BC42" s="4"/>
    </row>
    <row r="43" spans="1:55" x14ac:dyDescent="0.2">
      <c r="A43">
        <f t="shared" si="38"/>
        <v>42</v>
      </c>
      <c r="B43" s="6">
        <f t="shared" si="7"/>
        <v>2</v>
      </c>
      <c r="C43">
        <f t="shared" si="8"/>
        <v>11</v>
      </c>
      <c r="D43" t="str">
        <f t="shared" si="9"/>
        <v>47</v>
      </c>
      <c r="E43">
        <v>11</v>
      </c>
      <c r="F43" s="4" t="s">
        <v>1048</v>
      </c>
      <c r="I43">
        <f t="shared" si="46"/>
        <v>73</v>
      </c>
      <c r="J43">
        <f t="shared" si="47"/>
        <v>37</v>
      </c>
      <c r="K43">
        <f t="shared" si="39"/>
        <v>71</v>
      </c>
      <c r="L43">
        <f t="shared" si="48"/>
        <v>10</v>
      </c>
      <c r="M43">
        <f t="shared" si="40"/>
        <v>57</v>
      </c>
      <c r="O43" s="5">
        <f t="shared" si="12"/>
        <v>1</v>
      </c>
      <c r="P43">
        <f t="shared" si="41"/>
        <v>87</v>
      </c>
      <c r="Q43">
        <f t="shared" si="42"/>
        <v>61</v>
      </c>
      <c r="R43">
        <v>55</v>
      </c>
      <c r="S43">
        <f t="shared" si="44"/>
        <v>9</v>
      </c>
      <c r="T43">
        <f t="shared" si="45"/>
        <v>93</v>
      </c>
      <c r="V43">
        <f t="shared" si="14"/>
        <v>39</v>
      </c>
      <c r="Y43">
        <v>1</v>
      </c>
      <c r="AG43" s="4"/>
      <c r="AH43" s="4"/>
      <c r="AI43" s="14"/>
      <c r="BC43" s="4"/>
    </row>
    <row r="44" spans="1:55" x14ac:dyDescent="0.2">
      <c r="A44">
        <f t="shared" si="38"/>
        <v>43</v>
      </c>
      <c r="B44" s="6">
        <f t="shared" si="7"/>
        <v>2</v>
      </c>
      <c r="C44">
        <f t="shared" si="8"/>
        <v>11</v>
      </c>
      <c r="D44" t="str">
        <f t="shared" si="9"/>
        <v>32</v>
      </c>
      <c r="E44">
        <v>11</v>
      </c>
      <c r="F44" s="4" t="s">
        <v>744</v>
      </c>
      <c r="H44" s="5" t="s">
        <v>299</v>
      </c>
      <c r="I44">
        <f t="shared" si="46"/>
        <v>73</v>
      </c>
      <c r="J44">
        <v>12</v>
      </c>
      <c r="K44">
        <v>16</v>
      </c>
      <c r="L44">
        <f t="shared" si="48"/>
        <v>10</v>
      </c>
      <c r="M44">
        <f t="shared" si="40"/>
        <v>57</v>
      </c>
      <c r="O44" s="5">
        <f t="shared" si="12"/>
        <v>1</v>
      </c>
      <c r="P44">
        <f t="shared" si="41"/>
        <v>87</v>
      </c>
      <c r="Q44">
        <f t="shared" si="42"/>
        <v>61</v>
      </c>
      <c r="R44">
        <f t="shared" si="43"/>
        <v>55</v>
      </c>
      <c r="S44">
        <f t="shared" si="44"/>
        <v>9</v>
      </c>
      <c r="T44">
        <f t="shared" si="45"/>
        <v>93</v>
      </c>
      <c r="V44">
        <f t="shared" si="14"/>
        <v>39</v>
      </c>
      <c r="AA44">
        <v>1</v>
      </c>
      <c r="AG44" s="4"/>
      <c r="AH44" s="4"/>
      <c r="AI44" s="14"/>
      <c r="BC44" s="4"/>
    </row>
    <row r="45" spans="1:55" x14ac:dyDescent="0.2">
      <c r="A45">
        <f t="shared" si="38"/>
        <v>44</v>
      </c>
      <c r="B45" s="6">
        <f t="shared" si="7"/>
        <v>2</v>
      </c>
      <c r="C45">
        <f t="shared" si="8"/>
        <v>11</v>
      </c>
      <c r="D45" t="str">
        <f t="shared" si="9"/>
        <v>15</v>
      </c>
      <c r="E45">
        <v>9</v>
      </c>
      <c r="F45" s="4" t="s">
        <v>1047</v>
      </c>
      <c r="G45" s="6" t="s">
        <v>289</v>
      </c>
      <c r="H45" s="5" t="s">
        <v>341</v>
      </c>
      <c r="I45">
        <f t="shared" si="46"/>
        <v>73</v>
      </c>
      <c r="J45">
        <f t="shared" si="47"/>
        <v>12</v>
      </c>
      <c r="K45">
        <f t="shared" si="39"/>
        <v>16</v>
      </c>
      <c r="L45">
        <v>41</v>
      </c>
      <c r="M45">
        <v>19</v>
      </c>
      <c r="O45" s="5">
        <f t="shared" si="12"/>
        <v>1</v>
      </c>
      <c r="P45">
        <v>70</v>
      </c>
      <c r="Q45">
        <f t="shared" si="42"/>
        <v>61</v>
      </c>
      <c r="R45">
        <f t="shared" si="43"/>
        <v>55</v>
      </c>
      <c r="S45">
        <v>84</v>
      </c>
      <c r="T45">
        <v>22</v>
      </c>
      <c r="V45">
        <f t="shared" si="14"/>
        <v>39</v>
      </c>
      <c r="Y45">
        <v>1</v>
      </c>
      <c r="AG45" s="4"/>
      <c r="AH45" s="4"/>
      <c r="AI45" s="14"/>
      <c r="BC45" s="4"/>
    </row>
    <row r="46" spans="1:55" x14ac:dyDescent="0.2">
      <c r="A46">
        <f t="shared" si="38"/>
        <v>45</v>
      </c>
      <c r="B46" s="6">
        <f t="shared" si="7"/>
        <v>2</v>
      </c>
      <c r="C46">
        <f t="shared" si="8"/>
        <v>9</v>
      </c>
      <c r="D46" t="str">
        <f t="shared" si="9"/>
        <v>09</v>
      </c>
      <c r="E46">
        <v>7</v>
      </c>
      <c r="F46" s="4" t="s">
        <v>1049</v>
      </c>
      <c r="G46" s="6" t="s">
        <v>289</v>
      </c>
      <c r="H46" s="5" t="s">
        <v>341</v>
      </c>
      <c r="I46">
        <v>21</v>
      </c>
      <c r="J46">
        <v>69</v>
      </c>
      <c r="K46">
        <v>90</v>
      </c>
      <c r="L46">
        <v>10</v>
      </c>
      <c r="M46">
        <v>57</v>
      </c>
      <c r="O46" s="5">
        <f t="shared" si="12"/>
        <v>1</v>
      </c>
      <c r="P46">
        <v>87</v>
      </c>
      <c r="Q46">
        <v>14</v>
      </c>
      <c r="R46">
        <v>75</v>
      </c>
      <c r="S46">
        <f t="shared" si="44"/>
        <v>84</v>
      </c>
      <c r="T46">
        <f t="shared" si="45"/>
        <v>22</v>
      </c>
      <c r="V46">
        <f t="shared" si="14"/>
        <v>39</v>
      </c>
      <c r="Y46">
        <v>1</v>
      </c>
      <c r="AG46" s="4"/>
      <c r="AH46" s="4"/>
      <c r="AI46" s="14"/>
      <c r="BC46" s="4"/>
    </row>
    <row r="47" spans="1:55" x14ac:dyDescent="0.2">
      <c r="A47">
        <f t="shared" si="38"/>
        <v>46</v>
      </c>
      <c r="B47" s="6">
        <f t="shared" si="7"/>
        <v>2</v>
      </c>
      <c r="C47">
        <f t="shared" si="8"/>
        <v>7</v>
      </c>
      <c r="D47" t="str">
        <f t="shared" si="9"/>
        <v>45</v>
      </c>
      <c r="E47">
        <v>7</v>
      </c>
      <c r="F47" s="4" t="s">
        <v>745</v>
      </c>
      <c r="G47" s="6" t="s">
        <v>289</v>
      </c>
      <c r="I47">
        <v>73</v>
      </c>
      <c r="J47">
        <f t="shared" si="47"/>
        <v>69</v>
      </c>
      <c r="K47">
        <f t="shared" si="39"/>
        <v>90</v>
      </c>
      <c r="L47">
        <v>41</v>
      </c>
      <c r="M47">
        <v>19</v>
      </c>
      <c r="O47" s="5">
        <f t="shared" si="12"/>
        <v>1</v>
      </c>
      <c r="P47">
        <f t="shared" si="41"/>
        <v>87</v>
      </c>
      <c r="Q47">
        <f t="shared" si="42"/>
        <v>14</v>
      </c>
      <c r="R47">
        <f t="shared" si="43"/>
        <v>75</v>
      </c>
      <c r="S47">
        <v>9</v>
      </c>
      <c r="T47">
        <v>93</v>
      </c>
      <c r="V47">
        <f t="shared" si="14"/>
        <v>39</v>
      </c>
      <c r="AA47">
        <v>1</v>
      </c>
      <c r="AG47" s="4"/>
      <c r="AH47" s="4"/>
      <c r="AI47" s="14"/>
      <c r="BC47" s="4"/>
    </row>
    <row r="48" spans="1:55" x14ac:dyDescent="0.2">
      <c r="A48">
        <f t="shared" si="38"/>
        <v>47</v>
      </c>
      <c r="B48" s="6">
        <f t="shared" si="7"/>
        <v>2</v>
      </c>
      <c r="C48">
        <f t="shared" si="8"/>
        <v>7</v>
      </c>
      <c r="D48" t="str">
        <f t="shared" si="9"/>
        <v>14</v>
      </c>
      <c r="E48">
        <v>6</v>
      </c>
      <c r="F48" s="4" t="s">
        <v>1035</v>
      </c>
      <c r="H48" s="5" t="s">
        <v>301</v>
      </c>
      <c r="I48">
        <f t="shared" si="46"/>
        <v>73</v>
      </c>
      <c r="J48">
        <f t="shared" si="47"/>
        <v>69</v>
      </c>
      <c r="K48">
        <f t="shared" si="39"/>
        <v>90</v>
      </c>
      <c r="L48">
        <f t="shared" si="48"/>
        <v>41</v>
      </c>
      <c r="M48">
        <f t="shared" si="40"/>
        <v>19</v>
      </c>
      <c r="O48" s="5">
        <f t="shared" si="12"/>
        <v>1</v>
      </c>
      <c r="P48">
        <v>70</v>
      </c>
      <c r="Q48">
        <v>91</v>
      </c>
      <c r="R48">
        <v>24</v>
      </c>
      <c r="S48">
        <f t="shared" si="44"/>
        <v>9</v>
      </c>
      <c r="T48">
        <f t="shared" si="45"/>
        <v>93</v>
      </c>
      <c r="V48">
        <f t="shared" si="14"/>
        <v>39</v>
      </c>
      <c r="Y48">
        <v>1</v>
      </c>
      <c r="AG48" s="4"/>
      <c r="AH48" s="4"/>
      <c r="AI48" s="14"/>
      <c r="BC48" s="4"/>
    </row>
    <row r="49" spans="1:55" x14ac:dyDescent="0.2">
      <c r="A49">
        <f t="shared" si="38"/>
        <v>48</v>
      </c>
      <c r="B49" s="6">
        <f t="shared" si="7"/>
        <v>2</v>
      </c>
      <c r="C49">
        <f t="shared" si="8"/>
        <v>6</v>
      </c>
      <c r="D49" t="str">
        <f t="shared" si="9"/>
        <v>38</v>
      </c>
      <c r="E49">
        <v>5</v>
      </c>
      <c r="F49" s="4" t="s">
        <v>1050</v>
      </c>
      <c r="G49" s="6" t="s">
        <v>289</v>
      </c>
      <c r="H49" s="5" t="s">
        <v>341</v>
      </c>
      <c r="I49">
        <f t="shared" si="46"/>
        <v>73</v>
      </c>
      <c r="J49">
        <v>37</v>
      </c>
      <c r="K49">
        <v>71</v>
      </c>
      <c r="L49">
        <f t="shared" si="48"/>
        <v>41</v>
      </c>
      <c r="M49">
        <f t="shared" si="40"/>
        <v>19</v>
      </c>
      <c r="O49" s="5">
        <f t="shared" si="12"/>
        <v>1</v>
      </c>
      <c r="P49">
        <f t="shared" si="41"/>
        <v>70</v>
      </c>
      <c r="Q49">
        <f t="shared" si="42"/>
        <v>91</v>
      </c>
      <c r="R49">
        <f t="shared" si="43"/>
        <v>24</v>
      </c>
      <c r="S49">
        <f t="shared" si="44"/>
        <v>9</v>
      </c>
      <c r="T49">
        <f t="shared" si="45"/>
        <v>93</v>
      </c>
      <c r="V49">
        <f t="shared" si="14"/>
        <v>39</v>
      </c>
      <c r="Y49">
        <v>1</v>
      </c>
      <c r="AG49" s="4"/>
      <c r="AH49" s="4"/>
      <c r="AI49" s="14"/>
      <c r="BC49" s="4"/>
    </row>
    <row r="50" spans="1:55" x14ac:dyDescent="0.2">
      <c r="A50">
        <f t="shared" si="38"/>
        <v>49</v>
      </c>
      <c r="B50" s="6">
        <f t="shared" si="7"/>
        <v>2</v>
      </c>
      <c r="C50">
        <f t="shared" si="8"/>
        <v>5</v>
      </c>
      <c r="D50" t="str">
        <f t="shared" si="9"/>
        <v>10</v>
      </c>
      <c r="E50">
        <v>4</v>
      </c>
      <c r="F50" s="4" t="s">
        <v>746</v>
      </c>
      <c r="G50" s="6" t="s">
        <v>289</v>
      </c>
      <c r="I50">
        <f t="shared" si="46"/>
        <v>73</v>
      </c>
      <c r="J50">
        <f t="shared" si="47"/>
        <v>37</v>
      </c>
      <c r="K50">
        <v>16</v>
      </c>
      <c r="L50">
        <v>10</v>
      </c>
      <c r="M50">
        <v>57</v>
      </c>
      <c r="O50" s="5">
        <f t="shared" si="12"/>
        <v>1</v>
      </c>
      <c r="P50">
        <f t="shared" si="41"/>
        <v>70</v>
      </c>
      <c r="Q50">
        <f t="shared" si="42"/>
        <v>91</v>
      </c>
      <c r="R50">
        <f t="shared" si="43"/>
        <v>24</v>
      </c>
      <c r="S50">
        <f t="shared" si="44"/>
        <v>9</v>
      </c>
      <c r="T50">
        <f t="shared" si="45"/>
        <v>93</v>
      </c>
      <c r="V50">
        <f t="shared" si="14"/>
        <v>39</v>
      </c>
      <c r="AA50">
        <v>1</v>
      </c>
      <c r="AG50" s="4"/>
      <c r="AH50" s="4"/>
      <c r="AI50" s="14"/>
      <c r="BC50" s="4"/>
    </row>
    <row r="51" spans="1:55" x14ac:dyDescent="0.2">
      <c r="A51">
        <f t="shared" si="38"/>
        <v>50</v>
      </c>
      <c r="B51" s="6">
        <f t="shared" si="7"/>
        <v>2</v>
      </c>
      <c r="C51">
        <f t="shared" si="8"/>
        <v>4</v>
      </c>
      <c r="D51" t="str">
        <f t="shared" si="9"/>
        <v>12</v>
      </c>
      <c r="E51">
        <v>4</v>
      </c>
      <c r="F51" s="4" t="s">
        <v>1051</v>
      </c>
      <c r="H51" s="5" t="s">
        <v>342</v>
      </c>
      <c r="I51">
        <f t="shared" si="46"/>
        <v>73</v>
      </c>
      <c r="J51">
        <f t="shared" si="47"/>
        <v>37</v>
      </c>
      <c r="K51">
        <f t="shared" si="39"/>
        <v>16</v>
      </c>
      <c r="L51">
        <f t="shared" si="48"/>
        <v>10</v>
      </c>
      <c r="M51">
        <f t="shared" si="40"/>
        <v>57</v>
      </c>
      <c r="O51" s="5">
        <f t="shared" si="12"/>
        <v>1</v>
      </c>
      <c r="P51">
        <f t="shared" si="41"/>
        <v>70</v>
      </c>
      <c r="Q51">
        <f t="shared" si="42"/>
        <v>91</v>
      </c>
      <c r="R51">
        <f t="shared" si="43"/>
        <v>24</v>
      </c>
      <c r="S51">
        <v>84</v>
      </c>
      <c r="T51">
        <v>22</v>
      </c>
      <c r="V51">
        <f t="shared" si="14"/>
        <v>39</v>
      </c>
      <c r="AA51">
        <v>1</v>
      </c>
      <c r="AG51" s="4"/>
      <c r="AH51" s="4"/>
      <c r="AI51" s="14"/>
      <c r="BC51" s="4"/>
    </row>
    <row r="52" spans="1:55" x14ac:dyDescent="0.2">
      <c r="A52">
        <f t="shared" si="38"/>
        <v>51</v>
      </c>
      <c r="B52" s="6">
        <f t="shared" si="7"/>
        <v>2</v>
      </c>
      <c r="C52">
        <f t="shared" si="8"/>
        <v>4</v>
      </c>
      <c r="D52" t="str">
        <f t="shared" si="9"/>
        <v>04</v>
      </c>
      <c r="E52">
        <v>2</v>
      </c>
      <c r="F52" s="4" t="s">
        <v>750</v>
      </c>
      <c r="G52" s="6" t="s">
        <v>289</v>
      </c>
      <c r="I52">
        <v>21</v>
      </c>
      <c r="J52">
        <v>12</v>
      </c>
      <c r="K52">
        <f t="shared" si="39"/>
        <v>16</v>
      </c>
      <c r="L52">
        <f t="shared" si="48"/>
        <v>10</v>
      </c>
      <c r="M52">
        <f t="shared" si="40"/>
        <v>57</v>
      </c>
      <c r="O52" s="5">
        <f t="shared" si="12"/>
        <v>1</v>
      </c>
      <c r="P52">
        <v>87</v>
      </c>
      <c r="Q52">
        <v>61</v>
      </c>
      <c r="R52">
        <v>55</v>
      </c>
      <c r="S52">
        <f t="shared" si="44"/>
        <v>84</v>
      </c>
      <c r="T52">
        <f t="shared" si="45"/>
        <v>22</v>
      </c>
      <c r="V52">
        <f t="shared" si="14"/>
        <v>39</v>
      </c>
      <c r="Y52">
        <v>1</v>
      </c>
      <c r="AG52" s="4"/>
      <c r="AH52" s="4"/>
      <c r="AI52" s="14"/>
      <c r="BC52" s="4"/>
    </row>
    <row r="53" spans="1:55" x14ac:dyDescent="0.2">
      <c r="A53">
        <f t="shared" si="38"/>
        <v>52</v>
      </c>
      <c r="B53" s="6">
        <f t="shared" si="7"/>
        <v>2</v>
      </c>
      <c r="C53">
        <f t="shared" si="8"/>
        <v>2</v>
      </c>
      <c r="D53" t="str">
        <f t="shared" si="9"/>
        <v>35</v>
      </c>
      <c r="E53">
        <v>2</v>
      </c>
      <c r="F53" s="4" t="s">
        <v>1052</v>
      </c>
      <c r="I53">
        <f t="shared" si="46"/>
        <v>21</v>
      </c>
      <c r="J53">
        <f t="shared" si="47"/>
        <v>12</v>
      </c>
      <c r="K53">
        <f t="shared" si="39"/>
        <v>16</v>
      </c>
      <c r="L53">
        <f t="shared" si="48"/>
        <v>10</v>
      </c>
      <c r="M53">
        <v>41</v>
      </c>
      <c r="O53" s="5">
        <f t="shared" si="12"/>
        <v>1</v>
      </c>
      <c r="P53">
        <f t="shared" si="41"/>
        <v>87</v>
      </c>
      <c r="Q53">
        <f t="shared" si="42"/>
        <v>61</v>
      </c>
      <c r="R53">
        <f t="shared" si="43"/>
        <v>55</v>
      </c>
      <c r="S53">
        <f t="shared" si="44"/>
        <v>84</v>
      </c>
      <c r="T53">
        <f t="shared" si="45"/>
        <v>22</v>
      </c>
      <c r="V53">
        <f t="shared" si="14"/>
        <v>39</v>
      </c>
      <c r="Y53">
        <v>1</v>
      </c>
      <c r="AG53" s="4"/>
      <c r="AH53" s="4"/>
      <c r="AI53" s="14"/>
      <c r="BC53" s="4"/>
    </row>
    <row r="54" spans="1:55" x14ac:dyDescent="0.2">
      <c r="A54">
        <f t="shared" si="38"/>
        <v>53</v>
      </c>
      <c r="B54" s="6">
        <f t="shared" si="7"/>
        <v>2</v>
      </c>
      <c r="C54">
        <f t="shared" si="8"/>
        <v>2</v>
      </c>
      <c r="D54" t="str">
        <f t="shared" si="9"/>
        <v>28</v>
      </c>
      <c r="E54">
        <v>2</v>
      </c>
      <c r="F54" s="4" t="s">
        <v>1050</v>
      </c>
      <c r="I54">
        <v>73</v>
      </c>
      <c r="J54">
        <f t="shared" si="47"/>
        <v>12</v>
      </c>
      <c r="K54">
        <f t="shared" si="39"/>
        <v>16</v>
      </c>
      <c r="L54">
        <f t="shared" si="48"/>
        <v>10</v>
      </c>
      <c r="M54">
        <f t="shared" si="40"/>
        <v>41</v>
      </c>
      <c r="O54" s="5">
        <f t="shared" si="12"/>
        <v>1</v>
      </c>
      <c r="P54">
        <f t="shared" si="41"/>
        <v>87</v>
      </c>
      <c r="Q54">
        <f t="shared" si="42"/>
        <v>61</v>
      </c>
      <c r="R54">
        <f t="shared" si="43"/>
        <v>55</v>
      </c>
      <c r="S54">
        <f t="shared" si="44"/>
        <v>84</v>
      </c>
      <c r="T54">
        <f t="shared" si="45"/>
        <v>22</v>
      </c>
      <c r="V54">
        <f t="shared" si="14"/>
        <v>39</v>
      </c>
      <c r="AA54">
        <v>1</v>
      </c>
      <c r="AG54" s="4"/>
      <c r="AH54" s="4"/>
      <c r="AI54" s="14"/>
      <c r="BC54" s="4"/>
    </row>
    <row r="55" spans="1:55" x14ac:dyDescent="0.2">
      <c r="A55">
        <f t="shared" si="38"/>
        <v>54</v>
      </c>
      <c r="B55" s="6">
        <f t="shared" si="7"/>
        <v>2</v>
      </c>
      <c r="C55">
        <f t="shared" si="8"/>
        <v>2</v>
      </c>
      <c r="D55" t="str">
        <f t="shared" si="9"/>
        <v>10</v>
      </c>
      <c r="E55">
        <v>1</v>
      </c>
      <c r="F55" s="4" t="s">
        <v>1053</v>
      </c>
      <c r="I55">
        <f t="shared" si="46"/>
        <v>73</v>
      </c>
      <c r="J55">
        <f t="shared" si="47"/>
        <v>12</v>
      </c>
      <c r="K55">
        <f t="shared" si="39"/>
        <v>16</v>
      </c>
      <c r="L55">
        <v>19</v>
      </c>
      <c r="M55">
        <f t="shared" si="40"/>
        <v>41</v>
      </c>
      <c r="O55" s="5">
        <f t="shared" si="12"/>
        <v>1</v>
      </c>
      <c r="P55">
        <f t="shared" si="41"/>
        <v>87</v>
      </c>
      <c r="Q55">
        <v>75</v>
      </c>
      <c r="R55">
        <f t="shared" si="43"/>
        <v>55</v>
      </c>
      <c r="S55">
        <f t="shared" si="44"/>
        <v>84</v>
      </c>
      <c r="T55">
        <f t="shared" si="45"/>
        <v>22</v>
      </c>
      <c r="V55">
        <f t="shared" si="14"/>
        <v>39</v>
      </c>
      <c r="Y55">
        <v>1</v>
      </c>
      <c r="AG55" s="4"/>
      <c r="AH55" s="4"/>
      <c r="AI55" s="14"/>
      <c r="BC55" s="4"/>
    </row>
    <row r="56" spans="1:55" x14ac:dyDescent="0.2">
      <c r="A56">
        <f t="shared" si="38"/>
        <v>55</v>
      </c>
      <c r="B56" s="6">
        <f t="shared" si="7"/>
        <v>2</v>
      </c>
      <c r="C56">
        <f t="shared" si="8"/>
        <v>1</v>
      </c>
      <c r="D56" t="str">
        <f t="shared" si="9"/>
        <v>53</v>
      </c>
      <c r="E56">
        <v>1</v>
      </c>
      <c r="F56" s="4" t="s">
        <v>750</v>
      </c>
      <c r="I56">
        <f t="shared" si="46"/>
        <v>73</v>
      </c>
      <c r="J56">
        <f t="shared" si="47"/>
        <v>12</v>
      </c>
      <c r="K56">
        <v>90</v>
      </c>
      <c r="L56">
        <f t="shared" si="48"/>
        <v>19</v>
      </c>
      <c r="M56">
        <f t="shared" si="40"/>
        <v>41</v>
      </c>
      <c r="O56" s="5">
        <f t="shared" si="12"/>
        <v>1</v>
      </c>
      <c r="P56">
        <f t="shared" si="41"/>
        <v>87</v>
      </c>
      <c r="Q56">
        <f t="shared" si="42"/>
        <v>75</v>
      </c>
      <c r="R56">
        <f t="shared" si="43"/>
        <v>55</v>
      </c>
      <c r="S56">
        <f t="shared" si="44"/>
        <v>84</v>
      </c>
      <c r="T56">
        <f t="shared" si="45"/>
        <v>22</v>
      </c>
      <c r="V56">
        <f t="shared" si="14"/>
        <v>39</v>
      </c>
      <c r="AA56">
        <v>1</v>
      </c>
      <c r="AG56" s="4"/>
      <c r="AH56" s="4"/>
      <c r="AI56" s="14"/>
      <c r="BC56" s="4"/>
    </row>
    <row r="57" spans="1:55" x14ac:dyDescent="0.2">
      <c r="A57">
        <f t="shared" si="38"/>
        <v>56</v>
      </c>
      <c r="B57" s="6">
        <f t="shared" si="7"/>
        <v>2</v>
      </c>
      <c r="C57">
        <f t="shared" si="8"/>
        <v>1</v>
      </c>
      <c r="D57" t="str">
        <f t="shared" si="9"/>
        <v>35</v>
      </c>
      <c r="E57">
        <v>1</v>
      </c>
      <c r="F57" s="4" t="s">
        <v>1048</v>
      </c>
      <c r="H57" s="5" t="s">
        <v>342</v>
      </c>
      <c r="I57">
        <f t="shared" si="46"/>
        <v>73</v>
      </c>
      <c r="J57">
        <f t="shared" si="47"/>
        <v>12</v>
      </c>
      <c r="K57">
        <f t="shared" si="39"/>
        <v>90</v>
      </c>
      <c r="L57">
        <f t="shared" si="48"/>
        <v>19</v>
      </c>
      <c r="M57">
        <f t="shared" si="40"/>
        <v>41</v>
      </c>
      <c r="O57" s="5">
        <f t="shared" si="12"/>
        <v>1</v>
      </c>
      <c r="P57">
        <f t="shared" si="41"/>
        <v>87</v>
      </c>
      <c r="Q57">
        <f t="shared" si="42"/>
        <v>75</v>
      </c>
      <c r="R57">
        <v>14</v>
      </c>
      <c r="S57">
        <f t="shared" si="44"/>
        <v>84</v>
      </c>
      <c r="T57">
        <f t="shared" si="45"/>
        <v>22</v>
      </c>
      <c r="V57">
        <f t="shared" si="14"/>
        <v>39</v>
      </c>
      <c r="AA57">
        <v>1</v>
      </c>
      <c r="AG57" s="4"/>
      <c r="AH57" s="4"/>
      <c r="AI57" s="14"/>
      <c r="BC57" s="4"/>
    </row>
    <row r="58" spans="1:55" x14ac:dyDescent="0.2">
      <c r="A58">
        <f t="shared" si="38"/>
        <v>57</v>
      </c>
      <c r="B58" s="6">
        <f t="shared" si="7"/>
        <v>2</v>
      </c>
      <c r="C58">
        <f t="shared" si="8"/>
        <v>1</v>
      </c>
      <c r="D58" t="str">
        <f t="shared" si="9"/>
        <v>32</v>
      </c>
      <c r="E58">
        <v>0</v>
      </c>
      <c r="F58" s="4" t="s">
        <v>755</v>
      </c>
      <c r="G58" s="6" t="s">
        <v>289</v>
      </c>
      <c r="H58" s="5" t="s">
        <v>292</v>
      </c>
      <c r="I58">
        <f t="shared" si="46"/>
        <v>73</v>
      </c>
      <c r="J58">
        <v>69</v>
      </c>
      <c r="K58">
        <f t="shared" si="39"/>
        <v>90</v>
      </c>
      <c r="L58">
        <f t="shared" si="48"/>
        <v>19</v>
      </c>
      <c r="M58">
        <f t="shared" si="40"/>
        <v>41</v>
      </c>
      <c r="O58" s="5">
        <f t="shared" si="12"/>
        <v>1</v>
      </c>
      <c r="P58">
        <v>70</v>
      </c>
      <c r="Q58">
        <f t="shared" si="42"/>
        <v>75</v>
      </c>
      <c r="R58">
        <f t="shared" si="43"/>
        <v>14</v>
      </c>
      <c r="S58">
        <v>9</v>
      </c>
      <c r="T58">
        <v>93</v>
      </c>
      <c r="V58">
        <f t="shared" si="14"/>
        <v>39</v>
      </c>
      <c r="AA58">
        <v>1</v>
      </c>
      <c r="AG58" s="4"/>
      <c r="AH58" s="4"/>
      <c r="AI58" s="14"/>
      <c r="BC58" s="4"/>
    </row>
    <row r="59" spans="1:55" x14ac:dyDescent="0.2">
      <c r="A59">
        <f t="shared" si="38"/>
        <v>58</v>
      </c>
      <c r="B59" s="6">
        <f t="shared" si="7"/>
        <v>2</v>
      </c>
      <c r="C59">
        <f t="shared" si="8"/>
        <v>0</v>
      </c>
      <c r="D59" t="str">
        <f t="shared" si="9"/>
        <v>0.01</v>
      </c>
      <c r="G59" s="6" t="s">
        <v>393</v>
      </c>
      <c r="P59"/>
      <c r="AG59" s="4"/>
      <c r="AH59" s="4"/>
      <c r="AI59" s="14"/>
      <c r="BC59" s="4"/>
    </row>
    <row r="60" spans="1:55" x14ac:dyDescent="0.2">
      <c r="A60">
        <f t="shared" si="38"/>
        <v>59</v>
      </c>
      <c r="B60" s="6">
        <f t="shared" si="7"/>
        <v>3</v>
      </c>
      <c r="C60">
        <v>18</v>
      </c>
      <c r="D60">
        <v>0</v>
      </c>
      <c r="E60">
        <v>16</v>
      </c>
      <c r="F60" s="4" t="s">
        <v>749</v>
      </c>
      <c r="G60" s="6" t="s">
        <v>284</v>
      </c>
      <c r="H60" s="5" t="s">
        <v>300</v>
      </c>
      <c r="I60">
        <v>73</v>
      </c>
      <c r="J60">
        <v>37</v>
      </c>
      <c r="K60">
        <v>71</v>
      </c>
      <c r="L60">
        <v>10</v>
      </c>
      <c r="M60">
        <v>57</v>
      </c>
      <c r="O60" s="5">
        <v>1</v>
      </c>
      <c r="P60">
        <v>70</v>
      </c>
      <c r="Q60">
        <v>91</v>
      </c>
      <c r="R60">
        <v>24</v>
      </c>
      <c r="S60">
        <v>9</v>
      </c>
      <c r="T60">
        <v>93</v>
      </c>
      <c r="V60">
        <v>39</v>
      </c>
      <c r="AC60">
        <v>1</v>
      </c>
      <c r="AG60" s="4"/>
      <c r="AH60" s="4"/>
      <c r="AI60" s="14"/>
      <c r="BC60" s="4"/>
    </row>
    <row r="61" spans="1:55" x14ac:dyDescent="0.2">
      <c r="A61">
        <f t="shared" si="38"/>
        <v>60</v>
      </c>
      <c r="B61" s="6">
        <f t="shared" si="7"/>
        <v>3</v>
      </c>
      <c r="C61">
        <f t="shared" si="8"/>
        <v>16</v>
      </c>
      <c r="D61" t="str">
        <f t="shared" si="9"/>
        <v>39</v>
      </c>
      <c r="E61">
        <v>15</v>
      </c>
      <c r="F61" s="4" t="s">
        <v>1044</v>
      </c>
      <c r="G61" s="6" t="s">
        <v>289</v>
      </c>
      <c r="H61" s="5" t="s">
        <v>342</v>
      </c>
      <c r="I61">
        <v>21</v>
      </c>
      <c r="J61">
        <f t="shared" si="47"/>
        <v>37</v>
      </c>
      <c r="K61">
        <f t="shared" si="39"/>
        <v>71</v>
      </c>
      <c r="L61">
        <f t="shared" si="48"/>
        <v>10</v>
      </c>
      <c r="M61">
        <f t="shared" si="40"/>
        <v>57</v>
      </c>
      <c r="O61" s="5">
        <f t="shared" si="12"/>
        <v>1</v>
      </c>
      <c r="P61">
        <v>87</v>
      </c>
      <c r="Q61">
        <f t="shared" si="42"/>
        <v>91</v>
      </c>
      <c r="R61">
        <f t="shared" si="43"/>
        <v>24</v>
      </c>
      <c r="S61">
        <v>84</v>
      </c>
      <c r="T61">
        <v>22</v>
      </c>
      <c r="V61">
        <f t="shared" si="14"/>
        <v>39</v>
      </c>
      <c r="AA61">
        <v>1</v>
      </c>
      <c r="AG61" s="4"/>
      <c r="AH61" s="4"/>
      <c r="AI61" s="14"/>
      <c r="BC61" s="4"/>
    </row>
    <row r="62" spans="1:55" x14ac:dyDescent="0.2">
      <c r="A62">
        <f t="shared" si="38"/>
        <v>61</v>
      </c>
      <c r="B62" s="6">
        <f t="shared" si="7"/>
        <v>3</v>
      </c>
      <c r="C62">
        <f t="shared" si="8"/>
        <v>15</v>
      </c>
      <c r="D62" t="str">
        <f t="shared" si="9"/>
        <v>52</v>
      </c>
      <c r="E62">
        <v>15</v>
      </c>
      <c r="F62" s="4" t="s">
        <v>1050</v>
      </c>
      <c r="G62" s="6" t="s">
        <v>289</v>
      </c>
      <c r="H62" s="5" t="s">
        <v>342</v>
      </c>
      <c r="I62">
        <f t="shared" si="46"/>
        <v>21</v>
      </c>
      <c r="J62">
        <v>12</v>
      </c>
      <c r="K62">
        <v>16</v>
      </c>
      <c r="L62">
        <f t="shared" si="48"/>
        <v>10</v>
      </c>
      <c r="M62">
        <f t="shared" si="40"/>
        <v>57</v>
      </c>
      <c r="O62" s="5">
        <f t="shared" si="12"/>
        <v>1</v>
      </c>
      <c r="P62">
        <f t="shared" si="41"/>
        <v>87</v>
      </c>
      <c r="Q62">
        <v>61</v>
      </c>
      <c r="R62">
        <v>55</v>
      </c>
      <c r="S62">
        <f t="shared" si="44"/>
        <v>84</v>
      </c>
      <c r="T62">
        <f t="shared" si="45"/>
        <v>22</v>
      </c>
      <c r="V62">
        <f t="shared" si="14"/>
        <v>39</v>
      </c>
      <c r="AA62">
        <v>1</v>
      </c>
      <c r="AG62" s="4"/>
      <c r="AH62" s="4"/>
      <c r="AI62" s="14"/>
      <c r="BC62" s="4"/>
    </row>
    <row r="63" spans="1:55" x14ac:dyDescent="0.2">
      <c r="A63">
        <f t="shared" si="38"/>
        <v>62</v>
      </c>
      <c r="B63" s="6">
        <f t="shared" si="7"/>
        <v>3</v>
      </c>
      <c r="C63">
        <f t="shared" si="8"/>
        <v>15</v>
      </c>
      <c r="D63" t="str">
        <f t="shared" si="9"/>
        <v>10</v>
      </c>
      <c r="E63">
        <v>13</v>
      </c>
      <c r="F63" s="4" t="s">
        <v>753</v>
      </c>
      <c r="G63" s="6" t="s">
        <v>289</v>
      </c>
      <c r="H63" s="5" t="s">
        <v>342</v>
      </c>
      <c r="I63">
        <f t="shared" si="46"/>
        <v>21</v>
      </c>
      <c r="J63">
        <f t="shared" si="47"/>
        <v>12</v>
      </c>
      <c r="K63">
        <f t="shared" si="39"/>
        <v>16</v>
      </c>
      <c r="L63">
        <v>19</v>
      </c>
      <c r="M63">
        <v>41</v>
      </c>
      <c r="O63" s="5">
        <f t="shared" si="12"/>
        <v>1</v>
      </c>
      <c r="P63">
        <f t="shared" si="41"/>
        <v>87</v>
      </c>
      <c r="Q63">
        <f t="shared" si="42"/>
        <v>61</v>
      </c>
      <c r="R63">
        <f t="shared" si="43"/>
        <v>55</v>
      </c>
      <c r="S63">
        <f t="shared" si="44"/>
        <v>84</v>
      </c>
      <c r="T63">
        <f t="shared" si="45"/>
        <v>22</v>
      </c>
      <c r="V63">
        <f t="shared" si="14"/>
        <v>39</v>
      </c>
      <c r="AA63">
        <v>1</v>
      </c>
      <c r="AG63" s="4"/>
      <c r="AH63" s="4"/>
      <c r="AI63" s="14"/>
      <c r="BC63" s="4"/>
    </row>
    <row r="64" spans="1:55" x14ac:dyDescent="0.2">
      <c r="A64">
        <f t="shared" si="38"/>
        <v>63</v>
      </c>
      <c r="B64" s="6">
        <f t="shared" si="7"/>
        <v>3</v>
      </c>
      <c r="C64">
        <f t="shared" si="8"/>
        <v>13</v>
      </c>
      <c r="D64" t="str">
        <f t="shared" si="9"/>
        <v>55</v>
      </c>
      <c r="E64">
        <v>12</v>
      </c>
      <c r="F64" s="4" t="s">
        <v>1054</v>
      </c>
      <c r="G64" s="6" t="s">
        <v>289</v>
      </c>
      <c r="I64">
        <v>73</v>
      </c>
      <c r="J64">
        <f t="shared" si="47"/>
        <v>12</v>
      </c>
      <c r="K64">
        <f t="shared" si="39"/>
        <v>16</v>
      </c>
      <c r="L64">
        <f t="shared" si="48"/>
        <v>19</v>
      </c>
      <c r="M64">
        <f t="shared" si="40"/>
        <v>41</v>
      </c>
      <c r="O64" s="5">
        <f t="shared" si="12"/>
        <v>1</v>
      </c>
      <c r="P64">
        <v>70</v>
      </c>
      <c r="Q64">
        <f t="shared" si="42"/>
        <v>61</v>
      </c>
      <c r="R64">
        <f t="shared" si="43"/>
        <v>55</v>
      </c>
      <c r="S64">
        <v>9</v>
      </c>
      <c r="T64">
        <v>93</v>
      </c>
      <c r="V64">
        <f t="shared" si="14"/>
        <v>39</v>
      </c>
      <c r="AC64">
        <v>1</v>
      </c>
      <c r="AG64" s="4"/>
      <c r="AH64" s="4"/>
      <c r="AI64" s="14"/>
      <c r="BC64" s="4"/>
    </row>
    <row r="65" spans="1:55" x14ac:dyDescent="0.2">
      <c r="A65">
        <f t="shared" si="38"/>
        <v>64</v>
      </c>
      <c r="B65" s="6">
        <f t="shared" si="7"/>
        <v>3</v>
      </c>
      <c r="C65">
        <f t="shared" si="8"/>
        <v>12</v>
      </c>
      <c r="D65" t="str">
        <f t="shared" si="9"/>
        <v>16</v>
      </c>
      <c r="E65">
        <v>12</v>
      </c>
      <c r="F65" s="4" t="s">
        <v>754</v>
      </c>
      <c r="I65">
        <f t="shared" si="46"/>
        <v>73</v>
      </c>
      <c r="J65">
        <f t="shared" si="47"/>
        <v>12</v>
      </c>
      <c r="K65">
        <v>90</v>
      </c>
      <c r="L65">
        <f t="shared" si="48"/>
        <v>19</v>
      </c>
      <c r="M65">
        <f t="shared" si="40"/>
        <v>41</v>
      </c>
      <c r="O65" s="5">
        <f t="shared" si="12"/>
        <v>1</v>
      </c>
      <c r="P65">
        <f t="shared" si="41"/>
        <v>70</v>
      </c>
      <c r="Q65">
        <f t="shared" si="42"/>
        <v>61</v>
      </c>
      <c r="R65">
        <f t="shared" si="43"/>
        <v>55</v>
      </c>
      <c r="S65">
        <f t="shared" si="44"/>
        <v>9</v>
      </c>
      <c r="T65">
        <f t="shared" si="45"/>
        <v>93</v>
      </c>
      <c r="V65">
        <f t="shared" si="14"/>
        <v>39</v>
      </c>
      <c r="AC65">
        <v>1</v>
      </c>
      <c r="AG65" s="4"/>
      <c r="AH65" s="4"/>
      <c r="AI65" s="14"/>
      <c r="BC65" s="4"/>
    </row>
    <row r="66" spans="1:55" x14ac:dyDescent="0.2">
      <c r="A66">
        <f t="shared" si="38"/>
        <v>65</v>
      </c>
      <c r="B66" s="6">
        <f t="shared" si="7"/>
        <v>3</v>
      </c>
      <c r="C66">
        <f t="shared" si="8"/>
        <v>12</v>
      </c>
      <c r="D66" t="str">
        <f t="shared" si="9"/>
        <v>11</v>
      </c>
      <c r="E66">
        <v>11</v>
      </c>
      <c r="F66" s="4" t="s">
        <v>1056</v>
      </c>
      <c r="H66" s="5" t="s">
        <v>342</v>
      </c>
      <c r="I66">
        <f t="shared" si="46"/>
        <v>73</v>
      </c>
      <c r="J66">
        <v>69</v>
      </c>
      <c r="K66">
        <f t="shared" si="39"/>
        <v>90</v>
      </c>
      <c r="L66">
        <v>10</v>
      </c>
      <c r="M66">
        <v>57</v>
      </c>
      <c r="O66" s="5">
        <f t="shared" si="12"/>
        <v>1</v>
      </c>
      <c r="P66">
        <f t="shared" si="41"/>
        <v>70</v>
      </c>
      <c r="Q66">
        <v>14</v>
      </c>
      <c r="R66">
        <v>75</v>
      </c>
      <c r="S66">
        <f t="shared" si="44"/>
        <v>9</v>
      </c>
      <c r="T66">
        <f t="shared" si="45"/>
        <v>93</v>
      </c>
      <c r="V66">
        <f t="shared" si="14"/>
        <v>39</v>
      </c>
      <c r="AA66">
        <v>1</v>
      </c>
      <c r="AG66" s="4"/>
      <c r="AH66" s="4"/>
      <c r="AI66" s="14"/>
      <c r="BC66" s="4"/>
    </row>
    <row r="67" spans="1:55" x14ac:dyDescent="0.2">
      <c r="A67">
        <f t="shared" si="38"/>
        <v>66</v>
      </c>
      <c r="B67" s="6">
        <f t="shared" si="7"/>
        <v>3</v>
      </c>
      <c r="C67">
        <f t="shared" si="8"/>
        <v>11</v>
      </c>
      <c r="D67" t="str">
        <f t="shared" si="9"/>
        <v>19</v>
      </c>
      <c r="E67">
        <v>10</v>
      </c>
      <c r="F67" s="4" t="s">
        <v>745</v>
      </c>
      <c r="G67" s="6" t="s">
        <v>289</v>
      </c>
      <c r="I67">
        <f t="shared" si="46"/>
        <v>73</v>
      </c>
      <c r="J67">
        <f t="shared" si="47"/>
        <v>69</v>
      </c>
      <c r="K67">
        <f t="shared" si="39"/>
        <v>90</v>
      </c>
      <c r="L67">
        <f t="shared" si="48"/>
        <v>10</v>
      </c>
      <c r="M67">
        <f t="shared" si="40"/>
        <v>57</v>
      </c>
      <c r="O67" s="5">
        <f t="shared" si="12"/>
        <v>1</v>
      </c>
      <c r="P67">
        <v>87</v>
      </c>
      <c r="Q67">
        <f t="shared" si="42"/>
        <v>14</v>
      </c>
      <c r="R67">
        <f t="shared" si="43"/>
        <v>75</v>
      </c>
      <c r="S67">
        <v>84</v>
      </c>
      <c r="T67">
        <v>22</v>
      </c>
      <c r="V67">
        <f t="shared" si="14"/>
        <v>39</v>
      </c>
      <c r="Y67">
        <v>1</v>
      </c>
      <c r="AG67" s="4"/>
      <c r="AH67" s="4"/>
      <c r="AI67" s="14"/>
      <c r="BC67" s="4"/>
    </row>
    <row r="68" spans="1:55" x14ac:dyDescent="0.2">
      <c r="A68">
        <f t="shared" si="38"/>
        <v>67</v>
      </c>
      <c r="B68" s="6">
        <f t="shared" ref="B68:B79" si="49">IF(G68="PeriodStart",B67+1,B67)</f>
        <v>3</v>
      </c>
      <c r="C68">
        <f t="shared" ref="C68:C79" si="50">E67</f>
        <v>10</v>
      </c>
      <c r="D68" t="str">
        <f t="shared" ref="D68:D79" si="51">F67</f>
        <v>14</v>
      </c>
      <c r="E68">
        <v>10</v>
      </c>
      <c r="F68" s="4" t="s">
        <v>1057</v>
      </c>
      <c r="I68">
        <f t="shared" si="46"/>
        <v>73</v>
      </c>
      <c r="J68">
        <f t="shared" si="47"/>
        <v>69</v>
      </c>
      <c r="K68">
        <f t="shared" si="39"/>
        <v>90</v>
      </c>
      <c r="L68">
        <v>19</v>
      </c>
      <c r="M68">
        <f t="shared" si="40"/>
        <v>57</v>
      </c>
      <c r="O68" s="5">
        <f t="shared" ref="O68:O78" si="52">O67</f>
        <v>1</v>
      </c>
      <c r="P68">
        <f t="shared" si="41"/>
        <v>87</v>
      </c>
      <c r="Q68">
        <f t="shared" si="42"/>
        <v>14</v>
      </c>
      <c r="R68">
        <f t="shared" si="43"/>
        <v>75</v>
      </c>
      <c r="S68">
        <f t="shared" si="44"/>
        <v>84</v>
      </c>
      <c r="T68">
        <f t="shared" si="45"/>
        <v>22</v>
      </c>
      <c r="V68">
        <f t="shared" ref="V68:V78" si="53">V67</f>
        <v>39</v>
      </c>
      <c r="Y68">
        <v>1</v>
      </c>
      <c r="AG68" s="4"/>
      <c r="AH68" s="4"/>
      <c r="AI68" s="14"/>
      <c r="BC68" s="4"/>
    </row>
    <row r="69" spans="1:55" x14ac:dyDescent="0.2">
      <c r="A69">
        <f t="shared" ref="A69:A79" si="54">A68+1</f>
        <v>68</v>
      </c>
      <c r="B69" s="6">
        <f t="shared" si="49"/>
        <v>3</v>
      </c>
      <c r="C69">
        <f t="shared" si="50"/>
        <v>10</v>
      </c>
      <c r="D69" t="str">
        <f t="shared" si="51"/>
        <v>03</v>
      </c>
      <c r="E69">
        <v>9</v>
      </c>
      <c r="F69" s="4" t="s">
        <v>1031</v>
      </c>
      <c r="I69">
        <f t="shared" ref="I69:I78" si="55">IF($D69&gt;0,I68,"")</f>
        <v>73</v>
      </c>
      <c r="J69">
        <v>37</v>
      </c>
      <c r="K69">
        <f t="shared" ref="K69:K77" si="56">IF($D69&gt;0,K68,"")</f>
        <v>90</v>
      </c>
      <c r="L69">
        <f t="shared" ref="L69:L77" si="57">IF($D69&gt;0,L68,"")</f>
        <v>19</v>
      </c>
      <c r="M69">
        <v>41</v>
      </c>
      <c r="O69" s="5">
        <f t="shared" si="52"/>
        <v>1</v>
      </c>
      <c r="P69">
        <f t="shared" ref="P69:P77" si="58">IF($D69&gt;0,P68,"")</f>
        <v>87</v>
      </c>
      <c r="Q69">
        <f t="shared" ref="Q69:Q77" si="59">IF($D69&gt;0,Q68,"")</f>
        <v>14</v>
      </c>
      <c r="R69">
        <f t="shared" ref="R69:R77" si="60">IF($D69&gt;0,R68,"")</f>
        <v>75</v>
      </c>
      <c r="S69">
        <f t="shared" ref="S69:S78" si="61">IF($D69&gt;0,S68,"")</f>
        <v>84</v>
      </c>
      <c r="T69">
        <f t="shared" ref="T69:T77" si="62">IF($D69&gt;0,T68,"")</f>
        <v>22</v>
      </c>
      <c r="V69">
        <f t="shared" si="53"/>
        <v>39</v>
      </c>
      <c r="AC69">
        <v>1</v>
      </c>
      <c r="AG69" s="4"/>
      <c r="AH69" s="4"/>
      <c r="AI69" s="14"/>
      <c r="BC69" s="4"/>
    </row>
    <row r="70" spans="1:55" x14ac:dyDescent="0.2">
      <c r="A70">
        <f t="shared" si="54"/>
        <v>69</v>
      </c>
      <c r="B70" s="6">
        <f t="shared" si="49"/>
        <v>3</v>
      </c>
      <c r="C70">
        <f t="shared" si="50"/>
        <v>9</v>
      </c>
      <c r="D70" t="str">
        <f t="shared" si="51"/>
        <v>47</v>
      </c>
      <c r="E70">
        <v>9</v>
      </c>
      <c r="F70" s="4" t="s">
        <v>1048</v>
      </c>
      <c r="I70">
        <f t="shared" si="55"/>
        <v>73</v>
      </c>
      <c r="J70">
        <f t="shared" ref="J70:J77" si="63">IF($D70&gt;0,J69,"")</f>
        <v>37</v>
      </c>
      <c r="K70">
        <v>71</v>
      </c>
      <c r="L70">
        <f t="shared" si="57"/>
        <v>19</v>
      </c>
      <c r="M70">
        <f t="shared" ref="M70:M77" si="64">IF($D70&gt;0,M69,"")</f>
        <v>41</v>
      </c>
      <c r="O70" s="5">
        <f t="shared" si="52"/>
        <v>1</v>
      </c>
      <c r="P70">
        <f t="shared" si="58"/>
        <v>87</v>
      </c>
      <c r="Q70">
        <f t="shared" si="59"/>
        <v>14</v>
      </c>
      <c r="R70">
        <v>24</v>
      </c>
      <c r="S70">
        <f t="shared" si="61"/>
        <v>84</v>
      </c>
      <c r="T70">
        <f t="shared" si="62"/>
        <v>22</v>
      </c>
      <c r="V70">
        <f t="shared" si="53"/>
        <v>39</v>
      </c>
      <c r="AC70">
        <v>1</v>
      </c>
      <c r="AG70" s="4"/>
      <c r="AH70" s="4"/>
      <c r="AI70" s="14"/>
      <c r="BC70" s="4"/>
    </row>
    <row r="71" spans="1:55" x14ac:dyDescent="0.2">
      <c r="A71">
        <f t="shared" si="54"/>
        <v>70</v>
      </c>
      <c r="B71" s="6">
        <f t="shared" si="49"/>
        <v>3</v>
      </c>
      <c r="C71">
        <f t="shared" si="50"/>
        <v>9</v>
      </c>
      <c r="D71" t="str">
        <f t="shared" si="51"/>
        <v>32</v>
      </c>
      <c r="E71">
        <v>8</v>
      </c>
      <c r="F71" s="4" t="s">
        <v>1033</v>
      </c>
      <c r="H71" s="5" t="s">
        <v>341</v>
      </c>
      <c r="I71">
        <v>21</v>
      </c>
      <c r="J71">
        <f t="shared" si="63"/>
        <v>37</v>
      </c>
      <c r="K71">
        <f t="shared" si="56"/>
        <v>71</v>
      </c>
      <c r="L71">
        <f t="shared" si="57"/>
        <v>19</v>
      </c>
      <c r="M71">
        <f t="shared" si="64"/>
        <v>41</v>
      </c>
      <c r="O71" s="5">
        <f t="shared" si="52"/>
        <v>1</v>
      </c>
      <c r="P71">
        <f t="shared" si="58"/>
        <v>87</v>
      </c>
      <c r="Q71">
        <f t="shared" si="59"/>
        <v>14</v>
      </c>
      <c r="R71">
        <f t="shared" si="60"/>
        <v>24</v>
      </c>
      <c r="S71">
        <f t="shared" si="61"/>
        <v>84</v>
      </c>
      <c r="T71">
        <f t="shared" si="62"/>
        <v>22</v>
      </c>
      <c r="V71">
        <f t="shared" si="53"/>
        <v>39</v>
      </c>
      <c r="Y71">
        <v>1</v>
      </c>
      <c r="AG71" s="4"/>
      <c r="AH71" s="4"/>
      <c r="AI71" s="14"/>
      <c r="BC71" s="4"/>
    </row>
    <row r="72" spans="1:55" x14ac:dyDescent="0.2">
      <c r="A72">
        <f t="shared" si="54"/>
        <v>71</v>
      </c>
      <c r="B72" s="6">
        <f t="shared" si="49"/>
        <v>3</v>
      </c>
      <c r="C72">
        <f t="shared" si="50"/>
        <v>8</v>
      </c>
      <c r="D72" t="str">
        <f t="shared" si="51"/>
        <v>57</v>
      </c>
      <c r="E72">
        <v>7</v>
      </c>
      <c r="F72" s="4" t="s">
        <v>738</v>
      </c>
      <c r="G72" s="6" t="s">
        <v>289</v>
      </c>
      <c r="H72" s="5" t="s">
        <v>340</v>
      </c>
      <c r="I72">
        <f t="shared" si="55"/>
        <v>21</v>
      </c>
      <c r="J72">
        <f t="shared" si="63"/>
        <v>37</v>
      </c>
      <c r="K72">
        <f t="shared" si="56"/>
        <v>71</v>
      </c>
      <c r="L72">
        <f t="shared" si="57"/>
        <v>19</v>
      </c>
      <c r="M72">
        <f t="shared" si="64"/>
        <v>41</v>
      </c>
      <c r="O72" s="5">
        <f t="shared" si="52"/>
        <v>1</v>
      </c>
      <c r="P72">
        <v>70</v>
      </c>
      <c r="Q72">
        <v>91</v>
      </c>
      <c r="R72">
        <f t="shared" si="60"/>
        <v>24</v>
      </c>
      <c r="S72">
        <v>9</v>
      </c>
      <c r="T72">
        <v>93</v>
      </c>
      <c r="V72">
        <f t="shared" si="53"/>
        <v>39</v>
      </c>
      <c r="AA72">
        <v>1</v>
      </c>
      <c r="AG72" s="4"/>
      <c r="AH72" s="4"/>
      <c r="AI72" s="14"/>
      <c r="BC72" s="4"/>
    </row>
    <row r="73" spans="1:55" x14ac:dyDescent="0.2">
      <c r="A73">
        <f t="shared" si="54"/>
        <v>72</v>
      </c>
      <c r="B73" s="6">
        <f t="shared" si="49"/>
        <v>3</v>
      </c>
      <c r="C73">
        <f t="shared" si="50"/>
        <v>7</v>
      </c>
      <c r="D73" t="str">
        <f t="shared" si="51"/>
        <v>31</v>
      </c>
      <c r="E73">
        <v>6</v>
      </c>
      <c r="F73" s="4" t="s">
        <v>1057</v>
      </c>
      <c r="G73" s="6" t="s">
        <v>286</v>
      </c>
      <c r="H73" s="5" t="s">
        <v>301</v>
      </c>
      <c r="I73">
        <f t="shared" si="55"/>
        <v>21</v>
      </c>
      <c r="J73">
        <v>12</v>
      </c>
      <c r="K73">
        <v>16</v>
      </c>
      <c r="L73">
        <v>10</v>
      </c>
      <c r="M73">
        <v>57</v>
      </c>
      <c r="O73" s="5">
        <f t="shared" si="52"/>
        <v>1</v>
      </c>
      <c r="P73">
        <f t="shared" si="58"/>
        <v>70</v>
      </c>
      <c r="Q73">
        <v>61</v>
      </c>
      <c r="R73">
        <v>55</v>
      </c>
      <c r="S73">
        <f t="shared" si="61"/>
        <v>9</v>
      </c>
      <c r="T73">
        <f t="shared" si="62"/>
        <v>93</v>
      </c>
      <c r="V73">
        <f t="shared" si="53"/>
        <v>39</v>
      </c>
      <c r="Y73">
        <v>1</v>
      </c>
      <c r="AG73" s="4"/>
      <c r="AH73" s="4"/>
      <c r="AI73" s="14"/>
      <c r="BC73" s="4"/>
    </row>
    <row r="74" spans="1:55" x14ac:dyDescent="0.2">
      <c r="A74">
        <f t="shared" si="54"/>
        <v>73</v>
      </c>
      <c r="B74" s="6">
        <f t="shared" si="49"/>
        <v>3</v>
      </c>
      <c r="C74">
        <f t="shared" si="50"/>
        <v>6</v>
      </c>
      <c r="D74" t="str">
        <f t="shared" si="51"/>
        <v>03</v>
      </c>
      <c r="E74">
        <v>5</v>
      </c>
      <c r="F74" s="4" t="s">
        <v>1047</v>
      </c>
      <c r="G74" s="6" t="s">
        <v>289</v>
      </c>
      <c r="H74" s="5" t="s">
        <v>301</v>
      </c>
      <c r="I74">
        <v>73</v>
      </c>
      <c r="J74">
        <f t="shared" si="63"/>
        <v>12</v>
      </c>
      <c r="K74">
        <f t="shared" si="56"/>
        <v>16</v>
      </c>
      <c r="L74">
        <f t="shared" si="57"/>
        <v>10</v>
      </c>
      <c r="M74">
        <f t="shared" si="64"/>
        <v>57</v>
      </c>
      <c r="O74" s="5">
        <f t="shared" si="52"/>
        <v>1</v>
      </c>
      <c r="P74">
        <v>87</v>
      </c>
      <c r="Q74">
        <v>61</v>
      </c>
      <c r="R74">
        <f t="shared" si="60"/>
        <v>55</v>
      </c>
      <c r="S74">
        <v>84</v>
      </c>
      <c r="T74">
        <v>22</v>
      </c>
      <c r="V74">
        <f t="shared" si="53"/>
        <v>39</v>
      </c>
      <c r="Y74">
        <v>1</v>
      </c>
      <c r="AG74" s="4"/>
      <c r="AH74" s="4"/>
      <c r="AI74" s="14"/>
      <c r="BC74" s="4"/>
    </row>
    <row r="75" spans="1:55" x14ac:dyDescent="0.2">
      <c r="A75">
        <f t="shared" si="54"/>
        <v>74</v>
      </c>
      <c r="B75" s="6">
        <f t="shared" si="49"/>
        <v>3</v>
      </c>
      <c r="C75">
        <f t="shared" si="50"/>
        <v>5</v>
      </c>
      <c r="D75" t="str">
        <f t="shared" si="51"/>
        <v>09</v>
      </c>
      <c r="E75">
        <v>4</v>
      </c>
      <c r="F75" s="4" t="s">
        <v>732</v>
      </c>
      <c r="G75" s="6" t="s">
        <v>289</v>
      </c>
      <c r="H75" s="5" t="s">
        <v>293</v>
      </c>
      <c r="I75">
        <f t="shared" si="55"/>
        <v>73</v>
      </c>
      <c r="J75">
        <f t="shared" si="63"/>
        <v>12</v>
      </c>
      <c r="K75">
        <f t="shared" si="56"/>
        <v>16</v>
      </c>
      <c r="L75">
        <v>41</v>
      </c>
      <c r="M75">
        <v>19</v>
      </c>
      <c r="O75" s="5">
        <f t="shared" si="52"/>
        <v>1</v>
      </c>
      <c r="P75">
        <f t="shared" si="58"/>
        <v>87</v>
      </c>
      <c r="Q75">
        <v>14</v>
      </c>
      <c r="R75">
        <v>75</v>
      </c>
      <c r="S75">
        <f t="shared" si="61"/>
        <v>84</v>
      </c>
      <c r="T75">
        <f t="shared" si="62"/>
        <v>22</v>
      </c>
      <c r="V75">
        <f t="shared" si="53"/>
        <v>39</v>
      </c>
      <c r="Y75">
        <v>1</v>
      </c>
      <c r="AG75" s="4"/>
      <c r="AH75" s="4"/>
      <c r="AI75" s="14"/>
      <c r="BC75" s="4"/>
    </row>
    <row r="76" spans="1:55" x14ac:dyDescent="0.2">
      <c r="A76">
        <f t="shared" si="54"/>
        <v>75</v>
      </c>
      <c r="B76" s="6">
        <f t="shared" si="49"/>
        <v>3</v>
      </c>
      <c r="C76">
        <f t="shared" si="50"/>
        <v>4</v>
      </c>
      <c r="D76" t="str">
        <f t="shared" si="51"/>
        <v>17</v>
      </c>
      <c r="E76">
        <v>2</v>
      </c>
      <c r="F76" s="4" t="s">
        <v>741</v>
      </c>
      <c r="G76" s="6" t="s">
        <v>289</v>
      </c>
      <c r="I76">
        <f t="shared" si="55"/>
        <v>73</v>
      </c>
      <c r="J76">
        <v>69</v>
      </c>
      <c r="K76">
        <v>90</v>
      </c>
      <c r="L76">
        <f t="shared" si="57"/>
        <v>41</v>
      </c>
      <c r="M76">
        <f t="shared" si="64"/>
        <v>19</v>
      </c>
      <c r="O76" s="5">
        <f t="shared" si="52"/>
        <v>1</v>
      </c>
      <c r="P76">
        <f t="shared" si="58"/>
        <v>87</v>
      </c>
      <c r="Q76">
        <f t="shared" si="59"/>
        <v>14</v>
      </c>
      <c r="R76">
        <f t="shared" si="60"/>
        <v>75</v>
      </c>
      <c r="S76">
        <f t="shared" si="61"/>
        <v>84</v>
      </c>
      <c r="T76">
        <f t="shared" si="62"/>
        <v>22</v>
      </c>
      <c r="V76">
        <f t="shared" si="53"/>
        <v>39</v>
      </c>
      <c r="AC76">
        <v>1</v>
      </c>
      <c r="AG76" s="4"/>
      <c r="AH76" s="4"/>
      <c r="AI76" s="14"/>
      <c r="BC76" s="4"/>
    </row>
    <row r="77" spans="1:55" x14ac:dyDescent="0.2">
      <c r="A77">
        <f t="shared" si="54"/>
        <v>76</v>
      </c>
      <c r="B77" s="6">
        <f t="shared" si="49"/>
        <v>3</v>
      </c>
      <c r="C77">
        <f t="shared" si="50"/>
        <v>2</v>
      </c>
      <c r="D77" t="str">
        <f t="shared" si="51"/>
        <v>21</v>
      </c>
      <c r="E77">
        <v>2</v>
      </c>
      <c r="F77" s="4" t="s">
        <v>748</v>
      </c>
      <c r="H77" s="5" t="s">
        <v>342</v>
      </c>
      <c r="I77">
        <v>21</v>
      </c>
      <c r="J77">
        <f t="shared" si="63"/>
        <v>69</v>
      </c>
      <c r="K77">
        <f t="shared" si="56"/>
        <v>90</v>
      </c>
      <c r="L77">
        <f t="shared" si="57"/>
        <v>41</v>
      </c>
      <c r="M77">
        <f t="shared" si="64"/>
        <v>19</v>
      </c>
      <c r="O77" s="5">
        <f t="shared" si="52"/>
        <v>1</v>
      </c>
      <c r="P77">
        <f t="shared" si="58"/>
        <v>87</v>
      </c>
      <c r="Q77">
        <f t="shared" si="59"/>
        <v>14</v>
      </c>
      <c r="R77">
        <f t="shared" si="60"/>
        <v>75</v>
      </c>
      <c r="S77">
        <v>93</v>
      </c>
      <c r="T77">
        <f t="shared" si="62"/>
        <v>22</v>
      </c>
      <c r="V77">
        <f t="shared" si="53"/>
        <v>39</v>
      </c>
      <c r="AA77">
        <v>1</v>
      </c>
      <c r="AG77" s="4"/>
      <c r="AH77" s="4"/>
      <c r="AI77" s="14"/>
      <c r="BC77" s="4"/>
    </row>
    <row r="78" spans="1:55" x14ac:dyDescent="0.2">
      <c r="A78">
        <f t="shared" si="54"/>
        <v>77</v>
      </c>
      <c r="B78" s="6">
        <f t="shared" si="49"/>
        <v>3</v>
      </c>
      <c r="C78">
        <f t="shared" si="50"/>
        <v>2</v>
      </c>
      <c r="D78" t="str">
        <f t="shared" si="51"/>
        <v>01</v>
      </c>
      <c r="E78">
        <v>0</v>
      </c>
      <c r="F78" s="4" t="s">
        <v>755</v>
      </c>
      <c r="G78" s="6" t="s">
        <v>289</v>
      </c>
      <c r="H78" s="5" t="s">
        <v>400</v>
      </c>
      <c r="I78">
        <f t="shared" si="55"/>
        <v>21</v>
      </c>
      <c r="J78">
        <v>37</v>
      </c>
      <c r="K78">
        <v>71</v>
      </c>
      <c r="L78">
        <v>10</v>
      </c>
      <c r="M78">
        <v>57</v>
      </c>
      <c r="O78" s="5">
        <f t="shared" si="52"/>
        <v>1</v>
      </c>
      <c r="P78">
        <v>70</v>
      </c>
      <c r="Q78">
        <v>91</v>
      </c>
      <c r="R78">
        <v>24</v>
      </c>
      <c r="S78">
        <f t="shared" si="61"/>
        <v>93</v>
      </c>
      <c r="T78">
        <v>9</v>
      </c>
      <c r="V78">
        <f t="shared" si="53"/>
        <v>39</v>
      </c>
      <c r="AA78">
        <v>1</v>
      </c>
      <c r="AG78" s="4"/>
      <c r="AH78" s="4"/>
      <c r="AI78" s="14"/>
      <c r="BC78" s="4"/>
    </row>
    <row r="79" spans="1:55" x14ac:dyDescent="0.2">
      <c r="A79">
        <f t="shared" si="54"/>
        <v>78</v>
      </c>
      <c r="B79" s="6">
        <f t="shared" si="49"/>
        <v>3</v>
      </c>
      <c r="C79">
        <f t="shared" si="50"/>
        <v>0</v>
      </c>
      <c r="D79" t="str">
        <f t="shared" si="51"/>
        <v>0.01</v>
      </c>
      <c r="P79"/>
      <c r="AG79" s="4"/>
      <c r="AH79" s="4"/>
      <c r="AI79" s="14"/>
      <c r="BC79" s="4"/>
    </row>
    <row r="80" spans="1:55" x14ac:dyDescent="0.2">
      <c r="D80"/>
      <c r="P80"/>
      <c r="AG80" s="4"/>
      <c r="AH80" s="4"/>
      <c r="AI80" s="14"/>
      <c r="BC80" s="4"/>
    </row>
    <row r="81" spans="4:55" x14ac:dyDescent="0.2">
      <c r="D81"/>
      <c r="P81"/>
      <c r="AG81" s="4"/>
      <c r="AH81" s="4"/>
      <c r="AI81" s="14"/>
      <c r="BC81" s="4"/>
    </row>
    <row r="82" spans="4:55" x14ac:dyDescent="0.2">
      <c r="D82"/>
      <c r="P82"/>
      <c r="AG82" s="4"/>
      <c r="AH82" s="4"/>
      <c r="AI82" s="14"/>
      <c r="BC82" s="4"/>
    </row>
    <row r="83" spans="4:55" x14ac:dyDescent="0.2">
      <c r="D83"/>
      <c r="P83"/>
      <c r="AG83" s="4"/>
      <c r="AH83" s="4"/>
      <c r="AI83" s="14"/>
      <c r="BC83" s="4"/>
    </row>
    <row r="84" spans="4:55" x14ac:dyDescent="0.2">
      <c r="D84"/>
      <c r="P84"/>
      <c r="AG84" s="4"/>
      <c r="AH84" s="4"/>
      <c r="AI84" s="14"/>
      <c r="BC84" s="4"/>
    </row>
    <row r="85" spans="4:55" x14ac:dyDescent="0.2">
      <c r="D85"/>
      <c r="P85"/>
      <c r="AG85" s="4"/>
      <c r="AH85" s="4"/>
      <c r="AI85" s="14"/>
      <c r="BC85" s="4"/>
    </row>
    <row r="86" spans="4:55" x14ac:dyDescent="0.2">
      <c r="D86"/>
      <c r="P86"/>
      <c r="AG86" s="4"/>
      <c r="AH86" s="4"/>
      <c r="AI86" s="14"/>
      <c r="BC86" s="4"/>
    </row>
    <row r="87" spans="4:55" x14ac:dyDescent="0.2">
      <c r="D87"/>
      <c r="P87"/>
      <c r="AG87" s="4"/>
      <c r="AH87" s="4"/>
      <c r="AI87" s="14"/>
      <c r="BC87" s="4"/>
    </row>
    <row r="88" spans="4:55" x14ac:dyDescent="0.2">
      <c r="D88"/>
      <c r="P88"/>
      <c r="AG88" s="4"/>
      <c r="AH88" s="4"/>
      <c r="AI88" s="14"/>
      <c r="BC88" s="4"/>
    </row>
    <row r="89" spans="4:55" x14ac:dyDescent="0.2">
      <c r="D89"/>
      <c r="P89"/>
      <c r="AG89" s="4"/>
      <c r="AH89" s="4"/>
      <c r="AI89" s="14"/>
      <c r="BC89" s="4"/>
    </row>
    <row r="90" spans="4:55" x14ac:dyDescent="0.2">
      <c r="D90"/>
      <c r="P90"/>
      <c r="AG90" s="4"/>
      <c r="AH90" s="4"/>
      <c r="AI90" s="14"/>
      <c r="BC90" s="4"/>
    </row>
    <row r="91" spans="4:55" x14ac:dyDescent="0.2">
      <c r="D91"/>
      <c r="P91"/>
      <c r="AG91" s="4"/>
      <c r="AH91" s="4"/>
      <c r="AI91" s="14"/>
      <c r="BC91" s="4"/>
    </row>
    <row r="92" spans="4:55" x14ac:dyDescent="0.2">
      <c r="D92"/>
      <c r="P92"/>
      <c r="AG92" s="4"/>
      <c r="AH92" s="4"/>
      <c r="AI92" s="14"/>
      <c r="BC92" s="4"/>
    </row>
    <row r="93" spans="4:55" x14ac:dyDescent="0.2">
      <c r="D93"/>
      <c r="P93"/>
      <c r="AG93" s="4"/>
      <c r="AH93" s="4"/>
      <c r="AI93" s="14"/>
      <c r="BC93" s="4"/>
    </row>
    <row r="94" spans="4:55" x14ac:dyDescent="0.2">
      <c r="D94"/>
      <c r="P94"/>
      <c r="AG94" s="4"/>
      <c r="AH94" s="4"/>
      <c r="AI94" s="14"/>
      <c r="BC94" s="4"/>
    </row>
    <row r="95" spans="4:55" x14ac:dyDescent="0.2">
      <c r="D95"/>
      <c r="P95"/>
      <c r="AG95" s="4"/>
      <c r="AH95" s="4"/>
      <c r="AI95" s="14"/>
      <c r="BC95" s="4"/>
    </row>
    <row r="96" spans="4:55" x14ac:dyDescent="0.2">
      <c r="D96"/>
      <c r="P96"/>
      <c r="AG96" s="4"/>
      <c r="AH96" s="4"/>
      <c r="AI96" s="14"/>
      <c r="BC96" s="4"/>
    </row>
    <row r="97" spans="4:55" x14ac:dyDescent="0.2">
      <c r="D97"/>
      <c r="P97"/>
      <c r="AG97" s="4"/>
      <c r="AH97" s="4"/>
      <c r="AI97" s="14"/>
      <c r="BC97" s="4"/>
    </row>
    <row r="98" spans="4:55" x14ac:dyDescent="0.2">
      <c r="D98"/>
      <c r="P98"/>
      <c r="AG98" s="4"/>
      <c r="AH98" s="4"/>
      <c r="AI98" s="14"/>
      <c r="BC98" s="4"/>
    </row>
    <row r="99" spans="4:55" x14ac:dyDescent="0.2">
      <c r="D99"/>
      <c r="P99"/>
      <c r="AG99" s="4"/>
      <c r="AH99" s="4"/>
      <c r="AI99" s="14"/>
      <c r="BC99" s="4"/>
    </row>
    <row r="100" spans="4:55" x14ac:dyDescent="0.2">
      <c r="P100"/>
      <c r="AG100" s="4"/>
      <c r="AH100" s="4"/>
      <c r="AI100" s="14"/>
      <c r="BC100" s="4"/>
    </row>
    <row r="101" spans="4:55" x14ac:dyDescent="0.2">
      <c r="P101"/>
      <c r="AG101" s="4"/>
      <c r="AH101" s="4"/>
      <c r="AI101" s="14"/>
      <c r="BC101" s="4"/>
    </row>
    <row r="102" spans="4:55" x14ac:dyDescent="0.2">
      <c r="P102"/>
      <c r="AG102" s="4"/>
      <c r="AH102" s="4"/>
      <c r="AI102" s="14"/>
      <c r="BC102" s="4"/>
    </row>
    <row r="103" spans="4:55" x14ac:dyDescent="0.2">
      <c r="P103"/>
      <c r="AG103" s="4"/>
      <c r="AH103" s="4"/>
      <c r="AI103" s="14"/>
      <c r="BC103" s="4"/>
    </row>
    <row r="104" spans="4:55" x14ac:dyDescent="0.2">
      <c r="P104"/>
      <c r="AG104" s="4"/>
      <c r="AH104" s="4"/>
      <c r="AI104" s="14"/>
      <c r="BC104" s="4"/>
    </row>
    <row r="105" spans="4:55" x14ac:dyDescent="0.2">
      <c r="P105"/>
      <c r="AG105" s="4"/>
      <c r="AH105" s="4"/>
      <c r="AI105" s="14"/>
      <c r="BC105" s="4"/>
    </row>
    <row r="106" spans="4:55" x14ac:dyDescent="0.2">
      <c r="P106"/>
      <c r="AG106" s="4"/>
      <c r="AH106" s="4"/>
      <c r="AI106" s="14"/>
      <c r="BC106" s="4"/>
    </row>
    <row r="107" spans="4:55" x14ac:dyDescent="0.2">
      <c r="P107"/>
      <c r="AG107" s="4"/>
      <c r="AH107" s="4"/>
      <c r="AI107" s="14"/>
      <c r="BC107" s="4"/>
    </row>
    <row r="108" spans="4:55" x14ac:dyDescent="0.2">
      <c r="P108"/>
      <c r="AG108" s="4"/>
      <c r="AH108" s="4"/>
      <c r="AI108" s="14"/>
      <c r="BC108" s="4"/>
    </row>
    <row r="109" spans="4:55" x14ac:dyDescent="0.2">
      <c r="P109"/>
      <c r="AG109" s="4"/>
      <c r="AH109" s="4"/>
      <c r="AI109" s="14"/>
      <c r="BC109" s="4"/>
    </row>
    <row r="110" spans="4:55" x14ac:dyDescent="0.2">
      <c r="P110"/>
      <c r="AG110" s="4"/>
      <c r="AH110" s="4"/>
      <c r="AI110" s="14"/>
      <c r="BC110" s="4"/>
    </row>
    <row r="111" spans="4:55" x14ac:dyDescent="0.2">
      <c r="P111"/>
      <c r="AG111" s="4"/>
      <c r="AH111" s="4"/>
      <c r="AI111" s="14"/>
      <c r="BC111" s="4"/>
    </row>
    <row r="112" spans="4:55" x14ac:dyDescent="0.2">
      <c r="P112"/>
      <c r="AG112" s="4"/>
      <c r="AH112" s="4"/>
      <c r="AI112" s="14"/>
      <c r="BC112" s="4"/>
    </row>
    <row r="113" spans="16:55" x14ac:dyDescent="0.2">
      <c r="P113"/>
      <c r="AG113" s="4"/>
      <c r="AH113" s="4"/>
      <c r="AI113" s="14"/>
      <c r="BC113" s="4"/>
    </row>
    <row r="114" spans="16:55" x14ac:dyDescent="0.2">
      <c r="P114"/>
      <c r="AG114" s="4"/>
      <c r="AH114" s="4"/>
      <c r="AI114" s="14"/>
      <c r="BC114" s="4"/>
    </row>
    <row r="115" spans="16:55" x14ac:dyDescent="0.2">
      <c r="P115"/>
      <c r="AG115" s="4"/>
      <c r="AH115" s="4"/>
      <c r="AI115" s="14"/>
      <c r="BC115" s="4"/>
    </row>
    <row r="116" spans="16:55" x14ac:dyDescent="0.2">
      <c r="P116"/>
      <c r="AG116" s="4"/>
      <c r="AH116" s="4"/>
      <c r="AI116" s="14"/>
      <c r="BC116" s="4"/>
    </row>
    <row r="117" spans="16:55" x14ac:dyDescent="0.2">
      <c r="P117"/>
      <c r="AG117" s="4"/>
      <c r="AH117" s="4"/>
      <c r="AI117" s="14"/>
      <c r="BC117" s="4"/>
    </row>
    <row r="118" spans="16:55" x14ac:dyDescent="0.2">
      <c r="P118"/>
      <c r="AG118" s="4"/>
      <c r="AH118" s="4"/>
      <c r="AI118" s="14"/>
      <c r="BC118" s="4"/>
    </row>
    <row r="119" spans="16:55" x14ac:dyDescent="0.2">
      <c r="P119"/>
      <c r="AG119" s="4"/>
      <c r="AH119" s="4"/>
      <c r="AI119" s="14"/>
      <c r="BC119" s="4"/>
    </row>
    <row r="120" spans="16:55" x14ac:dyDescent="0.2">
      <c r="P120"/>
      <c r="AG120" s="4"/>
      <c r="AH120" s="4"/>
      <c r="AI120" s="14"/>
      <c r="BC120" s="4"/>
    </row>
    <row r="121" spans="16:55" x14ac:dyDescent="0.2">
      <c r="P121"/>
      <c r="AG121" s="4"/>
      <c r="AH121" s="4"/>
      <c r="AI121" s="14"/>
      <c r="BC121" s="4"/>
    </row>
    <row r="122" spans="16:55" x14ac:dyDescent="0.2">
      <c r="P122"/>
      <c r="AG122" s="4"/>
      <c r="AH122" s="4"/>
      <c r="AI122" s="14"/>
      <c r="BC122" s="4"/>
    </row>
    <row r="123" spans="16:55" x14ac:dyDescent="0.2">
      <c r="P123"/>
      <c r="AG123" s="4"/>
      <c r="AH123" s="4"/>
      <c r="AI123" s="14"/>
      <c r="BC123" s="4"/>
    </row>
    <row r="124" spans="16:55" x14ac:dyDescent="0.2">
      <c r="P124"/>
      <c r="AG124" s="4"/>
      <c r="AH124" s="4"/>
      <c r="AI124" s="14"/>
      <c r="BC124" s="4"/>
    </row>
    <row r="125" spans="16:55" x14ac:dyDescent="0.2">
      <c r="P125"/>
      <c r="AG125" s="4"/>
      <c r="AH125" s="4"/>
      <c r="AI125" s="14"/>
      <c r="BC125" s="4"/>
    </row>
    <row r="126" spans="16:55" x14ac:dyDescent="0.2">
      <c r="P126"/>
      <c r="AG126" s="4"/>
      <c r="AH126" s="4"/>
      <c r="AI126" s="14"/>
      <c r="BC126" s="4"/>
    </row>
    <row r="127" spans="16:55" x14ac:dyDescent="0.2">
      <c r="P127"/>
      <c r="AG127" s="4"/>
      <c r="AH127" s="4"/>
      <c r="AI127" s="14"/>
      <c r="BC127" s="4"/>
    </row>
    <row r="128" spans="16:55" x14ac:dyDescent="0.2">
      <c r="P128"/>
      <c r="AG128" s="4"/>
      <c r="AH128" s="4"/>
      <c r="AI128" s="14"/>
      <c r="BC128" s="4"/>
    </row>
    <row r="129" spans="16:55" x14ac:dyDescent="0.2">
      <c r="P129"/>
      <c r="AG129" s="4"/>
      <c r="AH129" s="4"/>
      <c r="AI129" s="14"/>
      <c r="BC129" s="4"/>
    </row>
    <row r="130" spans="16:55" x14ac:dyDescent="0.2">
      <c r="P130"/>
      <c r="AG130" s="4"/>
      <c r="AH130" s="4"/>
      <c r="AI130" s="14"/>
      <c r="BC130" s="4"/>
    </row>
    <row r="131" spans="16:55" x14ac:dyDescent="0.2">
      <c r="P131"/>
      <c r="AG131" s="4"/>
      <c r="AH131" s="4"/>
      <c r="AI131" s="14"/>
      <c r="BC131" s="4"/>
    </row>
    <row r="132" spans="16:55" x14ac:dyDescent="0.2">
      <c r="P132"/>
      <c r="AG132" s="4"/>
      <c r="AH132" s="4"/>
      <c r="AI132" s="14"/>
      <c r="BC132" s="4"/>
    </row>
    <row r="133" spans="16:55" x14ac:dyDescent="0.2">
      <c r="P133"/>
      <c r="AG133" s="4"/>
      <c r="AH133" s="4"/>
      <c r="AI133" s="14"/>
      <c r="BC133" s="4"/>
    </row>
    <row r="134" spans="16:55" x14ac:dyDescent="0.2">
      <c r="P134"/>
      <c r="AG134" s="4"/>
      <c r="AH134" s="4"/>
      <c r="AI134" s="14"/>
      <c r="BC134" s="4"/>
    </row>
    <row r="135" spans="16:55" x14ac:dyDescent="0.2">
      <c r="P135"/>
      <c r="AG135" s="4"/>
      <c r="AH135" s="4"/>
      <c r="AI135" s="14"/>
      <c r="BC135" s="4"/>
    </row>
    <row r="136" spans="16:55" x14ac:dyDescent="0.2">
      <c r="P136"/>
      <c r="AG136" s="4"/>
      <c r="AH136" s="4"/>
      <c r="AI136" s="14"/>
      <c r="BC136" s="4"/>
    </row>
    <row r="137" spans="16:55" x14ac:dyDescent="0.2">
      <c r="P137"/>
      <c r="AG137" s="4"/>
      <c r="AH137" s="4"/>
      <c r="AI137" s="14"/>
      <c r="BC137" s="4"/>
    </row>
    <row r="138" spans="16:55" x14ac:dyDescent="0.2">
      <c r="P138"/>
      <c r="AG138" s="4"/>
      <c r="AH138" s="4"/>
      <c r="AI138" s="14"/>
      <c r="BC138" s="4"/>
    </row>
    <row r="139" spans="16:55" x14ac:dyDescent="0.2">
      <c r="P139"/>
      <c r="AG139" s="4"/>
      <c r="AH139" s="4"/>
      <c r="AI139" s="14"/>
      <c r="BC139" s="4"/>
    </row>
    <row r="140" spans="16:55" x14ac:dyDescent="0.2">
      <c r="P140"/>
      <c r="AG140" s="4"/>
      <c r="AH140" s="4"/>
      <c r="AI140" s="14"/>
      <c r="BC140" s="4"/>
    </row>
    <row r="141" spans="16:55" x14ac:dyDescent="0.2">
      <c r="P141"/>
      <c r="AG141" s="4"/>
      <c r="AH141" s="4"/>
      <c r="AI141" s="14"/>
      <c r="BC141" s="4"/>
    </row>
    <row r="142" spans="16:55" x14ac:dyDescent="0.2">
      <c r="P142"/>
      <c r="AG142" s="4"/>
      <c r="AH142" s="4"/>
      <c r="AI142" s="14"/>
      <c r="BC142" s="4"/>
    </row>
    <row r="143" spans="16:55" x14ac:dyDescent="0.2">
      <c r="P143"/>
      <c r="AG143" s="4"/>
      <c r="AH143" s="4"/>
      <c r="AI143" s="14"/>
      <c r="BC143" s="4"/>
    </row>
    <row r="144" spans="16:55" x14ac:dyDescent="0.2">
      <c r="P144"/>
      <c r="AG144" s="4"/>
      <c r="AH144" s="4"/>
      <c r="AI144" s="14"/>
      <c r="BC144" s="4"/>
    </row>
    <row r="145" spans="16:55" x14ac:dyDescent="0.2">
      <c r="P145"/>
      <c r="AG145" s="4"/>
      <c r="AH145" s="4"/>
      <c r="AI145" s="14"/>
      <c r="BC145" s="4"/>
    </row>
    <row r="146" spans="16:55" x14ac:dyDescent="0.2">
      <c r="P146"/>
      <c r="AG146" s="4"/>
      <c r="AH146" s="4"/>
      <c r="AI146" s="14"/>
      <c r="BC146" s="4"/>
    </row>
    <row r="147" spans="16:55" x14ac:dyDescent="0.2">
      <c r="P147"/>
      <c r="AG147" s="4"/>
      <c r="AH147" s="4"/>
      <c r="AI147" s="14"/>
      <c r="BC147" s="4"/>
    </row>
    <row r="148" spans="16:55" x14ac:dyDescent="0.2">
      <c r="P148"/>
      <c r="AG148" s="4"/>
      <c r="AH148" s="4"/>
      <c r="AI148" s="14"/>
      <c r="BC148" s="4"/>
    </row>
    <row r="149" spans="16:55" x14ac:dyDescent="0.2">
      <c r="P149"/>
      <c r="AG149" s="4"/>
      <c r="AH149" s="4"/>
      <c r="AI149" s="14"/>
      <c r="BC149" s="4"/>
    </row>
    <row r="150" spans="16:55" x14ac:dyDescent="0.2">
      <c r="P150"/>
      <c r="AG150" s="4"/>
      <c r="AH150" s="4"/>
      <c r="AI150" s="14"/>
      <c r="BC150" s="4"/>
    </row>
    <row r="151" spans="16:55" x14ac:dyDescent="0.2">
      <c r="P151"/>
      <c r="AG151" s="4"/>
      <c r="AH151" s="4"/>
      <c r="AI151" s="14"/>
      <c r="BC151" s="4"/>
    </row>
    <row r="152" spans="16:55" x14ac:dyDescent="0.2">
      <c r="P152"/>
      <c r="AG152" s="4"/>
      <c r="AH152" s="4"/>
      <c r="AI152" s="14"/>
      <c r="BC152" s="4"/>
    </row>
    <row r="153" spans="16:55" x14ac:dyDescent="0.2">
      <c r="P153"/>
      <c r="AG153" s="4"/>
      <c r="AH153" s="4"/>
      <c r="AI153" s="14"/>
      <c r="BC153" s="4"/>
    </row>
    <row r="154" spans="16:55" x14ac:dyDescent="0.2">
      <c r="P154"/>
      <c r="AG154" s="4"/>
      <c r="AH154" s="4"/>
      <c r="AI154" s="14"/>
      <c r="BC154" s="4"/>
    </row>
    <row r="155" spans="16:55" x14ac:dyDescent="0.2">
      <c r="P155"/>
      <c r="AG155" s="4"/>
      <c r="AH155" s="4"/>
      <c r="AI155" s="14"/>
      <c r="BC155" s="4"/>
    </row>
    <row r="156" spans="16:55" x14ac:dyDescent="0.2">
      <c r="P156"/>
      <c r="AG156" s="4"/>
      <c r="AH156" s="4"/>
      <c r="AI156" s="14"/>
      <c r="BC156" s="4"/>
    </row>
    <row r="157" spans="16:55" x14ac:dyDescent="0.2">
      <c r="P157"/>
      <c r="AG157" s="4"/>
      <c r="AH157" s="4"/>
      <c r="AI157" s="14"/>
      <c r="BC157" s="4"/>
    </row>
    <row r="158" spans="16:55" x14ac:dyDescent="0.2">
      <c r="P158"/>
      <c r="AG158" s="4"/>
      <c r="AH158" s="4"/>
      <c r="AI158" s="14"/>
      <c r="BC158" s="4"/>
    </row>
    <row r="159" spans="16:55" x14ac:dyDescent="0.2">
      <c r="P159"/>
      <c r="AG159" s="4"/>
      <c r="AH159" s="4"/>
      <c r="AI159" s="14"/>
      <c r="BC159" s="4"/>
    </row>
    <row r="160" spans="16:55" x14ac:dyDescent="0.2">
      <c r="P160"/>
      <c r="AG160" s="4"/>
      <c r="AH160" s="4"/>
      <c r="AI160" s="14"/>
      <c r="BC160" s="4"/>
    </row>
    <row r="161" spans="16:55" x14ac:dyDescent="0.2">
      <c r="P161"/>
      <c r="AG161" s="4"/>
      <c r="AH161" s="4"/>
      <c r="AI161" s="14"/>
      <c r="BC161" s="4"/>
    </row>
    <row r="162" spans="16:55" x14ac:dyDescent="0.2">
      <c r="P162"/>
      <c r="AG162" s="4"/>
      <c r="AH162" s="4"/>
      <c r="AI162" s="14"/>
      <c r="BC162" s="4"/>
    </row>
    <row r="163" spans="16:55" x14ac:dyDescent="0.2">
      <c r="P163"/>
      <c r="AG163" s="4"/>
      <c r="AH163" s="4"/>
      <c r="AI163" s="14"/>
      <c r="BC163" s="4"/>
    </row>
    <row r="164" spans="16:55" x14ac:dyDescent="0.2">
      <c r="P164"/>
      <c r="AG164" s="4"/>
      <c r="AH164" s="4"/>
      <c r="AI164" s="14"/>
      <c r="BC164" s="4"/>
    </row>
    <row r="165" spans="16:55" x14ac:dyDescent="0.2">
      <c r="P165"/>
      <c r="AG165" s="4"/>
      <c r="AH165" s="4"/>
      <c r="AI165" s="14"/>
      <c r="BC165" s="4"/>
    </row>
    <row r="166" spans="16:55" x14ac:dyDescent="0.2">
      <c r="P166"/>
      <c r="AG166" s="4"/>
      <c r="AH166" s="4"/>
      <c r="AI166" s="14"/>
      <c r="BC166" s="4"/>
    </row>
    <row r="167" spans="16:55" x14ac:dyDescent="0.2">
      <c r="P167"/>
      <c r="AG167" s="4"/>
      <c r="AH167" s="4"/>
      <c r="AI167" s="14"/>
      <c r="BC167" s="4"/>
    </row>
    <row r="168" spans="16:55" x14ac:dyDescent="0.2">
      <c r="P168"/>
      <c r="AG168" s="4"/>
      <c r="AH168" s="4"/>
      <c r="AI168" s="14"/>
      <c r="BC168" s="4"/>
    </row>
    <row r="169" spans="16:55" x14ac:dyDescent="0.2">
      <c r="P169"/>
      <c r="AG169" s="4"/>
      <c r="AH169" s="4"/>
      <c r="AI169" s="14"/>
      <c r="BC169" s="4"/>
    </row>
    <row r="170" spans="16:55" x14ac:dyDescent="0.2">
      <c r="P170"/>
      <c r="AG170" s="4"/>
      <c r="AH170" s="4"/>
      <c r="AI170" s="14"/>
      <c r="BC170" s="4"/>
    </row>
    <row r="171" spans="16:55" x14ac:dyDescent="0.2">
      <c r="P171"/>
      <c r="AG171" s="4"/>
      <c r="AH171" s="4"/>
      <c r="AI171" s="14"/>
      <c r="BC171" s="4"/>
    </row>
    <row r="172" spans="16:55" x14ac:dyDescent="0.2">
      <c r="P172"/>
      <c r="AG172" s="4"/>
      <c r="AH172" s="4"/>
      <c r="AI172" s="14"/>
      <c r="BC172" s="4"/>
    </row>
    <row r="173" spans="16:55" x14ac:dyDescent="0.2">
      <c r="P173"/>
      <c r="AG173" s="4"/>
      <c r="AH173" s="4"/>
      <c r="AI173" s="14"/>
      <c r="BC173" s="4"/>
    </row>
    <row r="174" spans="16:55" x14ac:dyDescent="0.2">
      <c r="P174"/>
      <c r="AG174" s="4"/>
      <c r="AH174" s="4"/>
      <c r="AI174" s="14"/>
      <c r="BC174" s="4"/>
    </row>
    <row r="175" spans="16:55" x14ac:dyDescent="0.2">
      <c r="P175"/>
      <c r="AG175" s="4"/>
      <c r="AH175" s="4"/>
      <c r="AI175" s="14"/>
      <c r="BC175" s="4"/>
    </row>
    <row r="176" spans="16:55" x14ac:dyDescent="0.2">
      <c r="P176"/>
      <c r="AG176" s="4"/>
      <c r="AH176" s="4"/>
      <c r="AI176" s="14"/>
      <c r="BC176" s="4"/>
    </row>
    <row r="177" spans="16:55" x14ac:dyDescent="0.2">
      <c r="P177"/>
      <c r="AG177" s="4"/>
      <c r="AH177" s="4"/>
      <c r="AI177" s="14"/>
      <c r="BC177" s="4"/>
    </row>
    <row r="178" spans="16:55" x14ac:dyDescent="0.2">
      <c r="P178"/>
      <c r="AG178" s="4"/>
      <c r="AH178" s="4"/>
      <c r="AI178" s="14"/>
      <c r="BC178" s="4"/>
    </row>
    <row r="179" spans="16:55" x14ac:dyDescent="0.2">
      <c r="P179"/>
      <c r="AG179" s="4"/>
      <c r="AH179" s="4"/>
      <c r="AI179" s="14"/>
      <c r="BC179" s="4"/>
    </row>
    <row r="180" spans="16:55" x14ac:dyDescent="0.2">
      <c r="P180"/>
      <c r="AG180" s="4"/>
      <c r="AH180" s="4"/>
      <c r="AI180" s="14"/>
      <c r="BC180" s="4"/>
    </row>
    <row r="181" spans="16:55" x14ac:dyDescent="0.2">
      <c r="P181"/>
      <c r="AG181" s="4"/>
      <c r="AH181" s="4"/>
      <c r="AI181" s="14"/>
      <c r="BC181" s="4"/>
    </row>
    <row r="182" spans="16:55" x14ac:dyDescent="0.2">
      <c r="P182"/>
      <c r="AG182" s="4"/>
      <c r="AH182" s="4"/>
      <c r="AI182" s="14"/>
      <c r="BC182" s="4"/>
    </row>
    <row r="183" spans="16:55" x14ac:dyDescent="0.2">
      <c r="P183"/>
      <c r="AG183" s="4"/>
      <c r="AH183" s="4"/>
      <c r="AI183" s="14"/>
      <c r="BC183" s="4"/>
    </row>
    <row r="184" spans="16:55" x14ac:dyDescent="0.2">
      <c r="P184"/>
      <c r="AG184" s="4"/>
      <c r="AH184" s="4"/>
      <c r="AI184" s="14"/>
      <c r="BC184" s="4"/>
    </row>
    <row r="185" spans="16:55" x14ac:dyDescent="0.2">
      <c r="P185"/>
      <c r="AG185" s="4"/>
      <c r="AH185" s="4"/>
      <c r="AI185" s="14"/>
      <c r="BC185" s="4"/>
    </row>
    <row r="186" spans="16:55" x14ac:dyDescent="0.2">
      <c r="P186"/>
      <c r="AG186" s="4"/>
      <c r="AH186" s="4"/>
      <c r="AI186" s="14"/>
      <c r="BC186" s="4"/>
    </row>
    <row r="187" spans="16:55" x14ac:dyDescent="0.2">
      <c r="P187"/>
      <c r="AG187" s="4"/>
      <c r="AH187" s="4"/>
      <c r="AI187" s="14"/>
      <c r="BC187" s="4"/>
    </row>
    <row r="188" spans="16:55" x14ac:dyDescent="0.2">
      <c r="P188"/>
      <c r="AG188" s="4"/>
      <c r="AH188" s="4"/>
      <c r="AI188" s="14"/>
      <c r="BC188" s="4"/>
    </row>
    <row r="189" spans="16:55" x14ac:dyDescent="0.2">
      <c r="P189"/>
      <c r="AG189" s="4"/>
      <c r="AH189" s="4"/>
      <c r="AI189" s="14"/>
      <c r="BC189" s="4"/>
    </row>
    <row r="190" spans="16:55" x14ac:dyDescent="0.2">
      <c r="P190"/>
      <c r="AG190" s="4"/>
      <c r="AH190" s="4"/>
      <c r="AI190" s="14"/>
      <c r="BC190" s="4"/>
    </row>
    <row r="191" spans="16:55" x14ac:dyDescent="0.2">
      <c r="P191"/>
      <c r="AG191" s="4"/>
      <c r="AH191" s="4"/>
      <c r="AI191" s="14"/>
      <c r="BC191" s="4"/>
    </row>
    <row r="192" spans="16:55" x14ac:dyDescent="0.2">
      <c r="P192"/>
      <c r="AG192" s="4"/>
      <c r="AH192" s="4"/>
      <c r="AI192" s="14"/>
      <c r="BC192" s="4"/>
    </row>
    <row r="193" spans="16:55" x14ac:dyDescent="0.2">
      <c r="P193"/>
      <c r="AG193" s="4"/>
      <c r="AH193" s="4"/>
      <c r="AI193" s="14"/>
      <c r="BC193" s="4"/>
    </row>
    <row r="194" spans="16:55" x14ac:dyDescent="0.2">
      <c r="P194"/>
      <c r="AG194" s="4"/>
      <c r="AH194" s="4"/>
      <c r="AI194" s="14"/>
      <c r="BC194" s="4"/>
    </row>
    <row r="195" spans="16:55" x14ac:dyDescent="0.2">
      <c r="P195"/>
      <c r="AG195" s="4"/>
      <c r="AH195" s="4"/>
      <c r="AI195" s="14"/>
      <c r="BC195" s="4"/>
    </row>
    <row r="196" spans="16:55" x14ac:dyDescent="0.2">
      <c r="P196"/>
      <c r="AG196" s="4"/>
      <c r="AH196" s="4"/>
      <c r="AI196" s="14"/>
      <c r="BC196" s="4"/>
    </row>
    <row r="197" spans="16:55" x14ac:dyDescent="0.2">
      <c r="P197"/>
      <c r="AG197" s="4"/>
      <c r="AH197" s="4"/>
      <c r="AI197" s="14"/>
      <c r="BC197" s="4"/>
    </row>
    <row r="198" spans="16:55" x14ac:dyDescent="0.2">
      <c r="P198"/>
      <c r="AG198" s="4"/>
      <c r="AH198" s="4"/>
      <c r="AI198" s="14"/>
      <c r="BC198" s="4"/>
    </row>
    <row r="199" spans="16:55" x14ac:dyDescent="0.2">
      <c r="P199"/>
      <c r="AG199" s="4"/>
      <c r="AH199" s="4"/>
      <c r="AI199" s="14"/>
      <c r="BC199" s="4"/>
    </row>
    <row r="200" spans="16:55" x14ac:dyDescent="0.2">
      <c r="P200"/>
      <c r="AG200" s="4"/>
      <c r="AH200" s="4"/>
      <c r="AI200" s="14"/>
      <c r="BC200" s="4"/>
    </row>
    <row r="201" spans="16:55" x14ac:dyDescent="0.2">
      <c r="P201"/>
      <c r="AG201" s="4"/>
      <c r="AH201" s="4"/>
      <c r="AI201" s="14"/>
      <c r="BC201" s="4"/>
    </row>
    <row r="202" spans="16:55" x14ac:dyDescent="0.2">
      <c r="P202"/>
      <c r="AG202" s="4"/>
      <c r="AH202" s="4"/>
      <c r="AI202" s="14"/>
      <c r="BC202" s="4"/>
    </row>
  </sheetData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4C6BD61-2492-1B48-8640-EE7F44BD2FBE}">
          <x14:formula1>
            <xm:f>Lists!$BI:$BI</xm:f>
          </x14:formula1>
          <xm:sqref>G2:G201</xm:sqref>
        </x14:dataValidation>
        <x14:dataValidation type="list" allowBlank="1" showInputMessage="1" showErrorMessage="1" xr:uid="{F96B7B0B-A1E0-0441-9959-A79C46FEC7D1}">
          <x14:formula1>
            <xm:f>Lists!$BJ:$BJ</xm:f>
          </x14:formula1>
          <xm:sqref>H2:H201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0E104-6AEB-6A4D-8F83-331F2C542107}">
  <sheetPr>
    <tabColor theme="7"/>
  </sheetPr>
  <dimension ref="A1:BC56"/>
  <sheetViews>
    <sheetView topLeftCell="N1" workbookViewId="0">
      <selection activeCell="AF13" sqref="AF13"/>
    </sheetView>
  </sheetViews>
  <sheetFormatPr baseColWidth="10" defaultRowHeight="16" x14ac:dyDescent="0.2"/>
  <cols>
    <col min="4" max="10" width="10.83203125" customWidth="1"/>
    <col min="11" max="11" width="20.5" customWidth="1"/>
    <col min="19" max="20" width="10.83203125" customWidth="1"/>
    <col min="21" max="21" width="32.33203125" customWidth="1"/>
    <col min="22" max="27" width="10.83203125" customWidth="1"/>
    <col min="28" max="29" width="10.83203125" style="41"/>
  </cols>
  <sheetData>
    <row r="1" spans="1:55" x14ac:dyDescent="0.2">
      <c r="A1" t="s">
        <v>840</v>
      </c>
      <c r="B1" s="39" t="s">
        <v>932</v>
      </c>
    </row>
    <row r="2" spans="1:55" x14ac:dyDescent="0.2">
      <c r="B2" s="37" t="s">
        <v>812</v>
      </c>
      <c r="C2" s="37" t="s">
        <v>248</v>
      </c>
      <c r="D2" s="37" t="s">
        <v>813</v>
      </c>
      <c r="E2" s="37" t="s">
        <v>814</v>
      </c>
      <c r="F2" s="37" t="s">
        <v>815</v>
      </c>
      <c r="G2" s="37" t="s">
        <v>793</v>
      </c>
      <c r="H2" s="37" t="s">
        <v>816</v>
      </c>
      <c r="I2" s="37" t="s">
        <v>817</v>
      </c>
      <c r="J2" s="37" t="s">
        <v>789</v>
      </c>
      <c r="K2" s="37" t="s">
        <v>818</v>
      </c>
      <c r="L2" s="37" t="s">
        <v>819</v>
      </c>
      <c r="M2" s="37" t="s">
        <v>820</v>
      </c>
      <c r="N2" s="37" t="s">
        <v>821</v>
      </c>
      <c r="O2" s="37" t="s">
        <v>822</v>
      </c>
      <c r="P2" s="37" t="s">
        <v>823</v>
      </c>
      <c r="Q2" s="37" t="s">
        <v>824</v>
      </c>
      <c r="R2" s="37" t="s">
        <v>825</v>
      </c>
      <c r="S2" s="37" t="s">
        <v>826</v>
      </c>
      <c r="T2" s="37" t="s">
        <v>827</v>
      </c>
      <c r="U2" s="37" t="s">
        <v>828</v>
      </c>
      <c r="V2" s="37" t="s">
        <v>829</v>
      </c>
      <c r="W2" s="37" t="s">
        <v>810</v>
      </c>
      <c r="X2" s="38" t="s">
        <v>830</v>
      </c>
      <c r="Y2" s="38" t="s">
        <v>831</v>
      </c>
      <c r="Z2" s="38" t="s">
        <v>832</v>
      </c>
      <c r="AA2" s="38"/>
      <c r="AB2" s="42" t="s">
        <v>833</v>
      </c>
      <c r="AC2" s="42" t="s">
        <v>903</v>
      </c>
      <c r="AD2" s="38" t="s">
        <v>841</v>
      </c>
      <c r="AE2" s="38" t="s">
        <v>842</v>
      </c>
      <c r="AF2" s="38" t="s">
        <v>843</v>
      </c>
      <c r="AG2" s="38" t="s">
        <v>844</v>
      </c>
      <c r="AH2" s="38" t="s">
        <v>845</v>
      </c>
      <c r="AI2" s="38" t="s">
        <v>846</v>
      </c>
      <c r="AJ2" s="38" t="s">
        <v>847</v>
      </c>
      <c r="AK2" s="38" t="s">
        <v>848</v>
      </c>
      <c r="AP2" t="s">
        <v>835</v>
      </c>
      <c r="AQ2" t="s">
        <v>836</v>
      </c>
      <c r="AR2" t="s">
        <v>837</v>
      </c>
      <c r="AS2" t="s">
        <v>834</v>
      </c>
      <c r="AT2" t="s">
        <v>838</v>
      </c>
      <c r="AU2" t="s">
        <v>839</v>
      </c>
      <c r="AX2" t="s">
        <v>835</v>
      </c>
      <c r="AY2" t="s">
        <v>836</v>
      </c>
      <c r="AZ2" t="s">
        <v>837</v>
      </c>
      <c r="BA2" t="s">
        <v>834</v>
      </c>
      <c r="BB2" t="s">
        <v>838</v>
      </c>
      <c r="BC2" t="s">
        <v>839</v>
      </c>
    </row>
    <row r="3" spans="1:55" x14ac:dyDescent="0.2">
      <c r="B3" s="39">
        <v>13457</v>
      </c>
      <c r="C3">
        <v>18991</v>
      </c>
      <c r="D3" t="s">
        <v>933</v>
      </c>
      <c r="E3" t="s">
        <v>934</v>
      </c>
      <c r="F3" t="s">
        <v>935</v>
      </c>
      <c r="G3" t="s">
        <v>849</v>
      </c>
      <c r="H3" t="s">
        <v>931</v>
      </c>
      <c r="I3" t="s">
        <v>521</v>
      </c>
      <c r="J3">
        <v>1</v>
      </c>
      <c r="K3" t="s">
        <v>936</v>
      </c>
      <c r="L3" t="s">
        <v>853</v>
      </c>
      <c r="M3">
        <v>1</v>
      </c>
      <c r="N3">
        <v>0</v>
      </c>
      <c r="O3">
        <v>0</v>
      </c>
      <c r="P3">
        <v>5</v>
      </c>
      <c r="Q3">
        <v>0</v>
      </c>
      <c r="R3">
        <v>0</v>
      </c>
      <c r="S3" t="s">
        <v>937</v>
      </c>
      <c r="T3" t="s">
        <v>851</v>
      </c>
      <c r="U3" t="s">
        <v>938</v>
      </c>
      <c r="V3" t="s">
        <v>939</v>
      </c>
      <c r="W3" t="s">
        <v>940</v>
      </c>
      <c r="X3">
        <v>45942</v>
      </c>
      <c r="Y3">
        <v>20252040</v>
      </c>
      <c r="Z3" t="s">
        <v>756</v>
      </c>
      <c r="AA3" t="s">
        <v>931</v>
      </c>
      <c r="AB3" s="41">
        <v>5</v>
      </c>
      <c r="AC3" s="41" t="str">
        <f>IF(G3="home","h",IF(G3="away","a",""))</f>
        <v>h</v>
      </c>
      <c r="AD3">
        <f>COUNTIFS(events!$X:$X,"="&amp;game_rosters!$J3,events!$AQ:$AQ,"="&amp;game_rosters!$G3,events!$K:$K,"=Goal")</f>
        <v>0</v>
      </c>
      <c r="AE3">
        <f>COUNTIFS(events!$X:$X,"="&amp;game_rosters!$J3,events!$AQ:$AQ,"="&amp;game_rosters!$G3,events!$K:$K,"=Penalty")</f>
        <v>0</v>
      </c>
      <c r="AF3">
        <f>COUNTIFS(events!$X:$X,"="&amp;game_rosters!$J3,events!$AQ:$AQ,"="&amp;game_rosters!$G3,events!$O:$O,"=AssistPrimary")</f>
        <v>0</v>
      </c>
      <c r="AG3">
        <f>COUNTIFS(events!$X:$X,"="&amp;game_rosters!$J3,events!$AQ:$AQ,"="&amp;game_rosters!$G3,events!$O:$O,"=AssistSecondary")</f>
        <v>0</v>
      </c>
      <c r="AH3">
        <f>AF3+AG3</f>
        <v>0</v>
      </c>
      <c r="AI3">
        <f>AD3-N3</f>
        <v>0</v>
      </c>
      <c r="AJ3">
        <f>(AE3*3)-Q3</f>
        <v>0</v>
      </c>
      <c r="AK3">
        <f>AH3-O3</f>
        <v>0</v>
      </c>
      <c r="AP3" t="e" cm="1" vm="1">
        <f t="array" ref="AP3">_xlfn._xlws.FILTER(events!$I:$I,(events!$K:$K="Goal")*(events!$AQ:$AQ="Home"))</f>
        <v>#VALUE!</v>
      </c>
      <c r="AQ3" t="e" cm="1" vm="1">
        <f t="array" ref="AQ3">_xlfn._xlws.FILTER(events!$I:$I,((events!O:O="AssistPrimary")+(events!O:O="AssistSecondary"))*(events!$AQ:$AQ="Home"))</f>
        <v>#VALUE!</v>
      </c>
      <c r="AR3" t="e" cm="1" vm="1">
        <f t="array" ref="AR3">_xlfn._xlws.FILTER(events!$I:$I,(events!$K:$K="Penalty")*(events!$AQ:$AQ="Home"))</f>
        <v>#VALUE!</v>
      </c>
      <c r="AS3" t="e" cm="1" vm="1">
        <f t="array" ref="AS3">_xlfn._xlws.FILTER(events!$I:$I,(events!$K:$K="Goal")*(events!$AQ:$AQ="Away"))</f>
        <v>#VALUE!</v>
      </c>
      <c r="AT3" t="e" cm="1" vm="1">
        <f t="array" ref="AT3">_xlfn._xlws.FILTER(events!$I:$I,((events!O:O="AssistPrimary")+(events!O:O="AssistSecondary"))*(events!$AQ:$AQ="Away"))</f>
        <v>#VALUE!</v>
      </c>
      <c r="AU3" t="str" cm="1">
        <f t="array" ref="AU3">IFERROR(_xlfn._xlws.FILTER(events!$I:$I,(events!$K:$K="Penalty")*(events!$AQ:$AQ="Away")),"")</f>
        <v/>
      </c>
      <c r="AX3" cm="1">
        <f t="array" ref="AX3">_xlfn._xlws.FILTER($J:$J,($G:$G="Home")*($N:$N&gt;=1))</f>
        <v>41</v>
      </c>
      <c r="AY3" cm="1">
        <f t="array" ref="AY3">_xlfn._xlws.FILTER($J:$J,($G:$G="Home")*($O:$O&gt;=1))</f>
        <v>16</v>
      </c>
      <c r="AZ3" t="e" cm="1" vm="1">
        <f t="array" ref="AZ3">_xlfn._xlws.FILTER($J:$J,($G:$G="Home")*($Q:$Q&gt;=1))</f>
        <v>#VALUE!</v>
      </c>
      <c r="BA3" cm="1">
        <f t="array" ref="BA3:BA5">_xlfn._xlws.FILTER($J:$J,($G:$G="Away")*($N:$N&gt;=1))</f>
        <v>70</v>
      </c>
      <c r="BB3" cm="1">
        <f t="array" ref="BB3:BB7">_xlfn._xlws.FILTER($J:$J,($G:$G="Away")*($O:$O&gt;=1))</f>
        <v>9</v>
      </c>
      <c r="BC3" t="str" cm="1">
        <f t="array" ref="BC3">IFERROR(_xlfn._xlws.FILTER($J:$J,($G:$G="Away")*($Q:$Q&gt;=1)),"")</f>
        <v/>
      </c>
    </row>
    <row r="4" spans="1:55" x14ac:dyDescent="0.2">
      <c r="B4">
        <v>13458</v>
      </c>
      <c r="C4">
        <v>18991</v>
      </c>
      <c r="D4" t="s">
        <v>933</v>
      </c>
      <c r="E4" t="s">
        <v>934</v>
      </c>
      <c r="F4" t="s">
        <v>941</v>
      </c>
      <c r="G4" t="s">
        <v>849</v>
      </c>
      <c r="H4" t="s">
        <v>931</v>
      </c>
      <c r="I4" t="s">
        <v>521</v>
      </c>
      <c r="J4">
        <v>10</v>
      </c>
      <c r="K4" t="s">
        <v>942</v>
      </c>
      <c r="L4" t="s">
        <v>852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 t="s">
        <v>937</v>
      </c>
      <c r="T4" t="s">
        <v>851</v>
      </c>
      <c r="U4" t="s">
        <v>943</v>
      </c>
      <c r="V4" t="s">
        <v>944</v>
      </c>
      <c r="W4" t="s">
        <v>945</v>
      </c>
      <c r="X4">
        <v>45942</v>
      </c>
      <c r="Y4">
        <v>20252040</v>
      </c>
      <c r="Z4" t="s">
        <v>756</v>
      </c>
      <c r="AA4" t="s">
        <v>931</v>
      </c>
      <c r="AB4" s="41">
        <v>2</v>
      </c>
      <c r="AC4" s="41" t="str">
        <f t="shared" ref="AC4:AC29" si="0">IF(G4="home","h",IF(G4="away","a",""))</f>
        <v>h</v>
      </c>
      <c r="AD4">
        <f>COUNTIFS(events!$X:$X,"="&amp;game_rosters!$J4,events!$AQ:$AQ,"="&amp;game_rosters!$G4,events!$K:$K,"=Goal")</f>
        <v>0</v>
      </c>
      <c r="AE4">
        <f>COUNTIFS(events!$X:$X,"="&amp;game_rosters!$J4,events!$AQ:$AQ,"="&amp;game_rosters!$G4,events!$K:$K,"=Penalty")</f>
        <v>0</v>
      </c>
      <c r="AF4">
        <f>COUNTIFS(events!$X:$X,"="&amp;game_rosters!$J4,events!$AQ:$AQ,"="&amp;game_rosters!$G4,events!$O:$O,"=AssistPrimary")</f>
        <v>0</v>
      </c>
      <c r="AG4">
        <f>COUNTIFS(events!$X:$X,"="&amp;game_rosters!$J4,events!$AQ:$AQ,"="&amp;game_rosters!$G4,events!$O:$O,"=AssistSecondary")</f>
        <v>0</v>
      </c>
      <c r="AH4">
        <f t="shared" ref="AH4:AH27" si="1">AF4+AG4</f>
        <v>0</v>
      </c>
      <c r="AI4">
        <f t="shared" ref="AI4:AI27" si="2">AD4-N4</f>
        <v>0</v>
      </c>
      <c r="AJ4">
        <f t="shared" ref="AJ4:AJ27" si="3">(AE4*3)-Q4</f>
        <v>0</v>
      </c>
      <c r="AK4">
        <f t="shared" ref="AK4:AK27" si="4">AH4-O4</f>
        <v>0</v>
      </c>
      <c r="BA4">
        <v>87</v>
      </c>
      <c r="BB4">
        <v>24</v>
      </c>
    </row>
    <row r="5" spans="1:55" x14ac:dyDescent="0.2">
      <c r="B5">
        <v>13459</v>
      </c>
      <c r="C5">
        <v>18991</v>
      </c>
      <c r="D5" t="s">
        <v>933</v>
      </c>
      <c r="E5" t="s">
        <v>934</v>
      </c>
      <c r="F5" t="s">
        <v>946</v>
      </c>
      <c r="G5" t="s">
        <v>849</v>
      </c>
      <c r="H5" t="s">
        <v>931</v>
      </c>
      <c r="I5" t="s">
        <v>521</v>
      </c>
      <c r="J5">
        <v>16</v>
      </c>
      <c r="K5" t="s">
        <v>947</v>
      </c>
      <c r="L5" t="s">
        <v>852</v>
      </c>
      <c r="M5">
        <v>1</v>
      </c>
      <c r="N5">
        <v>0</v>
      </c>
      <c r="O5">
        <v>1</v>
      </c>
      <c r="P5">
        <v>0</v>
      </c>
      <c r="Q5">
        <v>0</v>
      </c>
      <c r="R5">
        <v>0</v>
      </c>
      <c r="S5" t="s">
        <v>937</v>
      </c>
      <c r="T5" t="s">
        <v>851</v>
      </c>
      <c r="U5" t="s">
        <v>948</v>
      </c>
      <c r="V5" t="s">
        <v>949</v>
      </c>
      <c r="W5" t="s">
        <v>950</v>
      </c>
      <c r="X5">
        <v>45942</v>
      </c>
      <c r="Y5">
        <v>20252040</v>
      </c>
      <c r="AA5" t="s">
        <v>931</v>
      </c>
      <c r="AB5" s="41">
        <v>3</v>
      </c>
      <c r="AC5" s="41" t="str">
        <f t="shared" si="0"/>
        <v>h</v>
      </c>
      <c r="AD5">
        <f>COUNTIFS(events!$X:$X,"="&amp;game_rosters!$J5,events!$AQ:$AQ,"="&amp;game_rosters!$G5,events!$K:$K,"=Goal")</f>
        <v>0</v>
      </c>
      <c r="AE5">
        <f>COUNTIFS(events!$X:$X,"="&amp;game_rosters!$J5,events!$AQ:$AQ,"="&amp;game_rosters!$G5,events!$K:$K,"=Penalty")</f>
        <v>0</v>
      </c>
      <c r="AF5">
        <f>COUNTIFS(events!$X:$X,"="&amp;game_rosters!$J5,events!$AQ:$AQ,"="&amp;game_rosters!$G5,events!$O:$O,"=AssistPrimary")</f>
        <v>0</v>
      </c>
      <c r="AG5">
        <f>COUNTIFS(events!$X:$X,"="&amp;game_rosters!$J5,events!$AQ:$AQ,"="&amp;game_rosters!$G5,events!$O:$O,"=AssistSecondary")</f>
        <v>0</v>
      </c>
      <c r="AH5">
        <f t="shared" si="1"/>
        <v>0</v>
      </c>
      <c r="AI5">
        <f t="shared" si="2"/>
        <v>0</v>
      </c>
      <c r="AJ5">
        <f t="shared" si="3"/>
        <v>0</v>
      </c>
      <c r="AK5">
        <f t="shared" si="4"/>
        <v>-1</v>
      </c>
      <c r="BA5">
        <v>91</v>
      </c>
      <c r="BB5">
        <v>70</v>
      </c>
    </row>
    <row r="6" spans="1:55" x14ac:dyDescent="0.2">
      <c r="B6">
        <v>13460</v>
      </c>
      <c r="C6">
        <v>18991</v>
      </c>
      <c r="D6" t="s">
        <v>933</v>
      </c>
      <c r="E6" t="s">
        <v>934</v>
      </c>
      <c r="F6" t="s">
        <v>951</v>
      </c>
      <c r="G6" t="s">
        <v>849</v>
      </c>
      <c r="H6" t="s">
        <v>931</v>
      </c>
      <c r="I6" t="s">
        <v>521</v>
      </c>
      <c r="J6">
        <v>19</v>
      </c>
      <c r="K6" t="s">
        <v>952</v>
      </c>
      <c r="L6" t="s">
        <v>850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 t="s">
        <v>937</v>
      </c>
      <c r="T6" t="s">
        <v>851</v>
      </c>
      <c r="U6" t="s">
        <v>953</v>
      </c>
      <c r="V6" t="s">
        <v>954</v>
      </c>
      <c r="W6" t="s">
        <v>955</v>
      </c>
      <c r="X6">
        <v>45942</v>
      </c>
      <c r="Y6">
        <v>20252040</v>
      </c>
      <c r="Z6" t="s">
        <v>756</v>
      </c>
      <c r="AA6" t="s">
        <v>931</v>
      </c>
      <c r="AB6" s="41">
        <v>4</v>
      </c>
      <c r="AC6" s="41" t="str">
        <f t="shared" si="0"/>
        <v>h</v>
      </c>
      <c r="AD6">
        <f>COUNTIFS(events!$X:$X,"="&amp;game_rosters!$J6,events!$AQ:$AQ,"="&amp;game_rosters!$G6,events!$K:$K,"=Goal")</f>
        <v>0</v>
      </c>
      <c r="AE6">
        <f>COUNTIFS(events!$X:$X,"="&amp;game_rosters!$J6,events!$AQ:$AQ,"="&amp;game_rosters!$G6,events!$K:$K,"=Penalty")</f>
        <v>0</v>
      </c>
      <c r="AF6">
        <f>COUNTIFS(events!$X:$X,"="&amp;game_rosters!$J6,events!$AQ:$AQ,"="&amp;game_rosters!$G6,events!$O:$O,"=AssistPrimary")</f>
        <v>0</v>
      </c>
      <c r="AG6">
        <f>COUNTIFS(events!$X:$X,"="&amp;game_rosters!$J6,events!$AQ:$AQ,"="&amp;game_rosters!$G6,events!$O:$O,"=AssistSecondary")</f>
        <v>0</v>
      </c>
      <c r="AH6">
        <f t="shared" si="1"/>
        <v>0</v>
      </c>
      <c r="AI6">
        <f t="shared" si="2"/>
        <v>0</v>
      </c>
      <c r="AJ6">
        <f t="shared" si="3"/>
        <v>0</v>
      </c>
      <c r="AK6">
        <f t="shared" si="4"/>
        <v>0</v>
      </c>
      <c r="BB6">
        <v>84</v>
      </c>
    </row>
    <row r="7" spans="1:55" x14ac:dyDescent="0.2">
      <c r="B7">
        <v>13461</v>
      </c>
      <c r="C7">
        <v>18991</v>
      </c>
      <c r="D7" t="s">
        <v>933</v>
      </c>
      <c r="E7" t="s">
        <v>934</v>
      </c>
      <c r="F7" t="s">
        <v>956</v>
      </c>
      <c r="G7" t="s">
        <v>849</v>
      </c>
      <c r="H7" t="s">
        <v>931</v>
      </c>
      <c r="I7" t="s">
        <v>521</v>
      </c>
      <c r="J7">
        <v>21</v>
      </c>
      <c r="K7" t="s">
        <v>957</v>
      </c>
      <c r="L7" t="s">
        <v>852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 t="s">
        <v>937</v>
      </c>
      <c r="T7" t="s">
        <v>851</v>
      </c>
      <c r="U7" t="s">
        <v>958</v>
      </c>
      <c r="V7" t="s">
        <v>959</v>
      </c>
      <c r="W7" t="s">
        <v>960</v>
      </c>
      <c r="X7">
        <v>45942</v>
      </c>
      <c r="Y7">
        <v>20252040</v>
      </c>
      <c r="Z7" t="s">
        <v>756</v>
      </c>
      <c r="AA7" t="s">
        <v>931</v>
      </c>
      <c r="AB7" s="41">
        <v>5</v>
      </c>
      <c r="AC7" s="41" t="str">
        <f t="shared" si="0"/>
        <v>h</v>
      </c>
      <c r="AD7">
        <f>COUNTIFS(events!$X:$X,"="&amp;game_rosters!$J7,events!$AQ:$AQ,"="&amp;game_rosters!$G7,events!$K:$K,"=Goal")</f>
        <v>0</v>
      </c>
      <c r="AE7">
        <f>COUNTIFS(events!$X:$X,"="&amp;game_rosters!$J7,events!$AQ:$AQ,"="&amp;game_rosters!$G7,events!$K:$K,"=Penalty")</f>
        <v>0</v>
      </c>
      <c r="AF7">
        <f>COUNTIFS(events!$X:$X,"="&amp;game_rosters!$J7,events!$AQ:$AQ,"="&amp;game_rosters!$G7,events!$O:$O,"=AssistPrimary")</f>
        <v>0</v>
      </c>
      <c r="AG7">
        <f>COUNTIFS(events!$X:$X,"="&amp;game_rosters!$J7,events!$AQ:$AQ,"="&amp;game_rosters!$G7,events!$O:$O,"=AssistSecondary")</f>
        <v>0</v>
      </c>
      <c r="AH7">
        <f t="shared" si="1"/>
        <v>0</v>
      </c>
      <c r="AI7">
        <f t="shared" si="2"/>
        <v>0</v>
      </c>
      <c r="AJ7">
        <f t="shared" si="3"/>
        <v>0</v>
      </c>
      <c r="AK7">
        <f t="shared" si="4"/>
        <v>0</v>
      </c>
      <c r="BB7">
        <v>91</v>
      </c>
    </row>
    <row r="8" spans="1:55" x14ac:dyDescent="0.2">
      <c r="B8">
        <v>13462</v>
      </c>
      <c r="C8">
        <v>18991</v>
      </c>
      <c r="D8" t="s">
        <v>933</v>
      </c>
      <c r="E8" t="s">
        <v>934</v>
      </c>
      <c r="F8" t="s">
        <v>961</v>
      </c>
      <c r="G8" t="s">
        <v>849</v>
      </c>
      <c r="H8" t="s">
        <v>931</v>
      </c>
      <c r="I8" t="s">
        <v>521</v>
      </c>
      <c r="J8">
        <v>37</v>
      </c>
      <c r="K8" t="s">
        <v>962</v>
      </c>
      <c r="L8" t="s">
        <v>852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 t="s">
        <v>937</v>
      </c>
      <c r="T8" t="s">
        <v>851</v>
      </c>
      <c r="U8" t="s">
        <v>963</v>
      </c>
      <c r="V8" t="s">
        <v>964</v>
      </c>
      <c r="W8" t="s">
        <v>965</v>
      </c>
      <c r="X8">
        <v>45942</v>
      </c>
      <c r="Y8">
        <v>20252040</v>
      </c>
      <c r="Z8" t="s">
        <v>756</v>
      </c>
      <c r="AA8" t="s">
        <v>931</v>
      </c>
      <c r="AB8" s="41">
        <v>4</v>
      </c>
      <c r="AC8" s="41" t="str">
        <f t="shared" si="0"/>
        <v>h</v>
      </c>
      <c r="AD8">
        <f>COUNTIFS(events!$X:$X,"="&amp;game_rosters!$J8,events!$AQ:$AQ,"="&amp;game_rosters!$G8,events!$K:$K,"=Goal")</f>
        <v>0</v>
      </c>
      <c r="AE8">
        <f>COUNTIFS(events!$X:$X,"="&amp;game_rosters!$J8,events!$AQ:$AQ,"="&amp;game_rosters!$G8,events!$K:$K,"=Penalty")</f>
        <v>0</v>
      </c>
      <c r="AF8">
        <f>COUNTIFS(events!$X:$X,"="&amp;game_rosters!$J8,events!$AQ:$AQ,"="&amp;game_rosters!$G8,events!$O:$O,"=AssistPrimary")</f>
        <v>0</v>
      </c>
      <c r="AG8">
        <f>COUNTIFS(events!$X:$X,"="&amp;game_rosters!$J8,events!$AQ:$AQ,"="&amp;game_rosters!$G8,events!$O:$O,"=AssistSecondary")</f>
        <v>0</v>
      </c>
      <c r="AH8">
        <f t="shared" si="1"/>
        <v>0</v>
      </c>
      <c r="AI8">
        <f t="shared" si="2"/>
        <v>0</v>
      </c>
      <c r="AJ8">
        <f t="shared" si="3"/>
        <v>0</v>
      </c>
      <c r="AK8">
        <f t="shared" si="4"/>
        <v>0</v>
      </c>
    </row>
    <row r="9" spans="1:55" x14ac:dyDescent="0.2">
      <c r="B9">
        <v>13463</v>
      </c>
      <c r="C9">
        <v>18991</v>
      </c>
      <c r="D9" t="s">
        <v>933</v>
      </c>
      <c r="E9" t="s">
        <v>934</v>
      </c>
      <c r="F9" t="s">
        <v>966</v>
      </c>
      <c r="G9" t="s">
        <v>849</v>
      </c>
      <c r="H9" t="s">
        <v>931</v>
      </c>
      <c r="I9" t="s">
        <v>521</v>
      </c>
      <c r="J9">
        <v>41</v>
      </c>
      <c r="K9" t="s">
        <v>967</v>
      </c>
      <c r="L9" t="s">
        <v>850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 t="s">
        <v>937</v>
      </c>
      <c r="T9" t="s">
        <v>851</v>
      </c>
      <c r="U9" t="s">
        <v>968</v>
      </c>
      <c r="V9" t="s">
        <v>969</v>
      </c>
      <c r="W9" t="s">
        <v>970</v>
      </c>
      <c r="X9">
        <v>45942</v>
      </c>
      <c r="Y9">
        <v>20252040</v>
      </c>
      <c r="Z9" t="s">
        <v>756</v>
      </c>
      <c r="AA9" t="s">
        <v>931</v>
      </c>
      <c r="AB9" s="41">
        <v>4</v>
      </c>
      <c r="AC9" s="41" t="str">
        <f t="shared" si="0"/>
        <v>h</v>
      </c>
      <c r="AD9">
        <f>COUNTIFS(events!$X:$X,"="&amp;game_rosters!$J9,events!$AQ:$AQ,"="&amp;game_rosters!$G9,events!$K:$K,"=Goal")</f>
        <v>0</v>
      </c>
      <c r="AE9">
        <f>COUNTIFS(events!$X:$X,"="&amp;game_rosters!$J9,events!$AQ:$AQ,"="&amp;game_rosters!$G9,events!$K:$K,"=Penalty")</f>
        <v>0</v>
      </c>
      <c r="AF9">
        <f>COUNTIFS(events!$X:$X,"="&amp;game_rosters!$J9,events!$AQ:$AQ,"="&amp;game_rosters!$G9,events!$O:$O,"=AssistPrimary")</f>
        <v>0</v>
      </c>
      <c r="AG9">
        <f>COUNTIFS(events!$X:$X,"="&amp;game_rosters!$J9,events!$AQ:$AQ,"="&amp;game_rosters!$G9,events!$O:$O,"=AssistSecondary")</f>
        <v>0</v>
      </c>
      <c r="AH9">
        <f t="shared" si="1"/>
        <v>0</v>
      </c>
      <c r="AI9">
        <f>AD9-N9</f>
        <v>-1</v>
      </c>
      <c r="AJ9">
        <f t="shared" si="3"/>
        <v>0</v>
      </c>
      <c r="AK9">
        <f t="shared" si="4"/>
        <v>0</v>
      </c>
    </row>
    <row r="10" spans="1:55" x14ac:dyDescent="0.2">
      <c r="B10">
        <v>13464</v>
      </c>
      <c r="C10">
        <v>18991</v>
      </c>
      <c r="D10" t="s">
        <v>933</v>
      </c>
      <c r="E10" t="s">
        <v>934</v>
      </c>
      <c r="F10" t="s">
        <v>971</v>
      </c>
      <c r="G10" t="s">
        <v>849</v>
      </c>
      <c r="H10" t="s">
        <v>931</v>
      </c>
      <c r="I10" t="s">
        <v>521</v>
      </c>
      <c r="J10">
        <v>57</v>
      </c>
      <c r="K10" t="s">
        <v>972</v>
      </c>
      <c r="L10" t="s">
        <v>850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 t="s">
        <v>937</v>
      </c>
      <c r="T10" t="s">
        <v>851</v>
      </c>
      <c r="U10" t="s">
        <v>973</v>
      </c>
      <c r="V10" t="s">
        <v>974</v>
      </c>
      <c r="W10" t="s">
        <v>975</v>
      </c>
      <c r="X10">
        <v>45942</v>
      </c>
      <c r="Y10">
        <v>20252040</v>
      </c>
      <c r="Z10" t="s">
        <v>756</v>
      </c>
      <c r="AA10" t="s">
        <v>931</v>
      </c>
      <c r="AB10" s="41">
        <v>5</v>
      </c>
      <c r="AC10" s="41" t="str">
        <f t="shared" si="0"/>
        <v>h</v>
      </c>
      <c r="AD10">
        <f>COUNTIFS(events!$X:$X,"="&amp;game_rosters!$J10,events!$AQ:$AQ,"="&amp;game_rosters!$G10,events!$K:$K,"=Goal")</f>
        <v>0</v>
      </c>
      <c r="AE10">
        <f>COUNTIFS(events!$X:$X,"="&amp;game_rosters!$J10,events!$AQ:$AQ,"="&amp;game_rosters!$G10,events!$K:$K,"=Penalty")</f>
        <v>0</v>
      </c>
      <c r="AF10">
        <f>COUNTIFS(events!$X:$X,"="&amp;game_rosters!$J10,events!$AQ:$AQ,"="&amp;game_rosters!$G10,events!$O:$O,"=AssistPrimary")</f>
        <v>0</v>
      </c>
      <c r="AG10">
        <f>COUNTIFS(events!$X:$X,"="&amp;game_rosters!$J10,events!$AQ:$AQ,"="&amp;game_rosters!$G10,events!$O:$O,"=AssistSecondary")</f>
        <v>0</v>
      </c>
      <c r="AH10">
        <f t="shared" si="1"/>
        <v>0</v>
      </c>
      <c r="AI10">
        <f t="shared" si="2"/>
        <v>0</v>
      </c>
      <c r="AJ10">
        <f t="shared" si="3"/>
        <v>0</v>
      </c>
      <c r="AK10">
        <f t="shared" si="4"/>
        <v>0</v>
      </c>
    </row>
    <row r="11" spans="1:55" x14ac:dyDescent="0.2">
      <c r="B11">
        <v>13465</v>
      </c>
      <c r="C11">
        <v>18991</v>
      </c>
      <c r="D11" t="s">
        <v>933</v>
      </c>
      <c r="E11" t="s">
        <v>934</v>
      </c>
      <c r="F11" t="s">
        <v>976</v>
      </c>
      <c r="G11" t="s">
        <v>849</v>
      </c>
      <c r="H11" t="s">
        <v>931</v>
      </c>
      <c r="I11" t="s">
        <v>521</v>
      </c>
      <c r="J11">
        <v>69</v>
      </c>
      <c r="K11" t="s">
        <v>977</v>
      </c>
      <c r="L11" t="s">
        <v>852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 t="s">
        <v>937</v>
      </c>
      <c r="T11" t="s">
        <v>851</v>
      </c>
      <c r="U11" t="s">
        <v>978</v>
      </c>
      <c r="V11" t="s">
        <v>979</v>
      </c>
      <c r="W11" t="s">
        <v>980</v>
      </c>
      <c r="X11">
        <v>45942</v>
      </c>
      <c r="Y11">
        <v>20252040</v>
      </c>
      <c r="Z11" t="s">
        <v>756</v>
      </c>
      <c r="AA11" t="s">
        <v>931</v>
      </c>
      <c r="AB11" s="41">
        <v>3</v>
      </c>
      <c r="AC11" s="41" t="str">
        <f t="shared" si="0"/>
        <v>h</v>
      </c>
      <c r="AD11">
        <f>COUNTIFS(events!$X:$X,"="&amp;game_rosters!$J11,events!$AQ:$AQ,"="&amp;game_rosters!$G11,events!$K:$K,"=Goal")</f>
        <v>0</v>
      </c>
      <c r="AE11">
        <f>COUNTIFS(events!$X:$X,"="&amp;game_rosters!$J11,events!$AQ:$AQ,"="&amp;game_rosters!$G11,events!$K:$K,"=Penalty")</f>
        <v>0</v>
      </c>
      <c r="AF11">
        <f>COUNTIFS(events!$X:$X,"="&amp;game_rosters!$J11,events!$AQ:$AQ,"="&amp;game_rosters!$G11,events!$O:$O,"=AssistPrimary")</f>
        <v>0</v>
      </c>
      <c r="AG11">
        <f>COUNTIFS(events!$X:$X,"="&amp;game_rosters!$J11,events!$AQ:$AQ,"="&amp;game_rosters!$G11,events!$O:$O,"=AssistSecondary")</f>
        <v>0</v>
      </c>
      <c r="AH11">
        <f t="shared" si="1"/>
        <v>0</v>
      </c>
      <c r="AI11">
        <f t="shared" si="2"/>
        <v>0</v>
      </c>
      <c r="AJ11">
        <f t="shared" si="3"/>
        <v>0</v>
      </c>
      <c r="AK11">
        <f t="shared" si="4"/>
        <v>0</v>
      </c>
    </row>
    <row r="12" spans="1:55" x14ac:dyDescent="0.2">
      <c r="B12">
        <v>13466</v>
      </c>
      <c r="C12">
        <v>18991</v>
      </c>
      <c r="D12" t="s">
        <v>933</v>
      </c>
      <c r="E12" t="s">
        <v>934</v>
      </c>
      <c r="F12" t="s">
        <v>981</v>
      </c>
      <c r="G12" t="s">
        <v>849</v>
      </c>
      <c r="H12" t="s">
        <v>931</v>
      </c>
      <c r="I12" t="s">
        <v>521</v>
      </c>
      <c r="J12">
        <v>71</v>
      </c>
      <c r="K12" t="s">
        <v>982</v>
      </c>
      <c r="L12" t="s">
        <v>852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 t="s">
        <v>937</v>
      </c>
      <c r="T12" t="s">
        <v>851</v>
      </c>
      <c r="U12" t="s">
        <v>983</v>
      </c>
      <c r="V12" t="s">
        <v>984</v>
      </c>
      <c r="W12" t="s">
        <v>985</v>
      </c>
      <c r="X12">
        <v>45942</v>
      </c>
      <c r="Y12">
        <v>20252040</v>
      </c>
      <c r="Z12" t="s">
        <v>756</v>
      </c>
      <c r="AA12" t="s">
        <v>931</v>
      </c>
      <c r="AB12" s="41">
        <v>4</v>
      </c>
      <c r="AC12" s="41" t="str">
        <f t="shared" si="0"/>
        <v>h</v>
      </c>
      <c r="AD12">
        <f>COUNTIFS(events!$X:$X,"="&amp;game_rosters!$J12,events!$AQ:$AQ,"="&amp;game_rosters!$G12,events!$K:$K,"=Goal")</f>
        <v>0</v>
      </c>
      <c r="AE12">
        <f>COUNTIFS(events!$X:$X,"="&amp;game_rosters!$J12,events!$AQ:$AQ,"="&amp;game_rosters!$G12,events!$K:$K,"=Penalty")</f>
        <v>0</v>
      </c>
      <c r="AF12">
        <f>COUNTIFS(events!$X:$X,"="&amp;game_rosters!$J12,events!$AQ:$AQ,"="&amp;game_rosters!$G12,events!$O:$O,"=AssistPrimary")</f>
        <v>0</v>
      </c>
      <c r="AG12">
        <f>COUNTIFS(events!$X:$X,"="&amp;game_rosters!$J12,events!$AQ:$AQ,"="&amp;game_rosters!$G12,events!$O:$O,"=AssistSecondary")</f>
        <v>0</v>
      </c>
      <c r="AH12">
        <f t="shared" si="1"/>
        <v>0</v>
      </c>
      <c r="AI12">
        <f t="shared" si="2"/>
        <v>0</v>
      </c>
      <c r="AJ12">
        <f t="shared" si="3"/>
        <v>0</v>
      </c>
      <c r="AK12">
        <f t="shared" si="4"/>
        <v>0</v>
      </c>
    </row>
    <row r="13" spans="1:55" x14ac:dyDescent="0.2">
      <c r="B13">
        <v>13467</v>
      </c>
      <c r="C13">
        <v>18991</v>
      </c>
      <c r="D13" t="s">
        <v>933</v>
      </c>
      <c r="E13" t="s">
        <v>934</v>
      </c>
      <c r="F13" t="s">
        <v>986</v>
      </c>
      <c r="G13" t="s">
        <v>849</v>
      </c>
      <c r="H13" t="s">
        <v>931</v>
      </c>
      <c r="I13" t="s">
        <v>521</v>
      </c>
      <c r="J13">
        <v>73</v>
      </c>
      <c r="K13" t="s">
        <v>987</v>
      </c>
      <c r="L13" t="s">
        <v>852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 t="s">
        <v>937</v>
      </c>
      <c r="T13" t="s">
        <v>851</v>
      </c>
      <c r="U13" t="s">
        <v>988</v>
      </c>
      <c r="V13" t="s">
        <v>989</v>
      </c>
      <c r="W13" t="s">
        <v>990</v>
      </c>
      <c r="X13">
        <v>45942</v>
      </c>
      <c r="Y13">
        <v>20252040</v>
      </c>
      <c r="Z13" t="s">
        <v>756</v>
      </c>
      <c r="AA13" t="s">
        <v>931</v>
      </c>
      <c r="AB13" s="41">
        <v>5</v>
      </c>
      <c r="AC13" s="41" t="str">
        <f t="shared" si="0"/>
        <v>h</v>
      </c>
      <c r="AD13">
        <f>COUNTIFS(events!$X:$X,"="&amp;game_rosters!$J13,events!$AQ:$AQ,"="&amp;game_rosters!$G13,events!$K:$K,"=Goal")</f>
        <v>0</v>
      </c>
      <c r="AE13">
        <f>COUNTIFS(events!$X:$X,"="&amp;game_rosters!$J13,events!$AQ:$AQ,"="&amp;game_rosters!$G13,events!$K:$K,"=Penalty")</f>
        <v>0</v>
      </c>
      <c r="AF13">
        <f>COUNTIFS(events!$X:$X,"="&amp;game_rosters!$J13,events!$AQ:$AQ,"="&amp;game_rosters!$G13,events!$O:$O,"=AssistPrimary")</f>
        <v>0</v>
      </c>
      <c r="AG13">
        <f>COUNTIFS(events!$X:$X,"="&amp;game_rosters!$J13,events!$AQ:$AQ,"="&amp;game_rosters!$G13,events!$O:$O,"=AssistSecondary")</f>
        <v>0</v>
      </c>
      <c r="AH13">
        <f t="shared" si="1"/>
        <v>0</v>
      </c>
      <c r="AI13">
        <f t="shared" si="2"/>
        <v>0</v>
      </c>
      <c r="AJ13">
        <f t="shared" si="3"/>
        <v>0</v>
      </c>
      <c r="AK13">
        <f t="shared" si="4"/>
        <v>0</v>
      </c>
    </row>
    <row r="14" spans="1:55" x14ac:dyDescent="0.2">
      <c r="B14">
        <v>13468</v>
      </c>
      <c r="C14">
        <v>18991</v>
      </c>
      <c r="D14" t="s">
        <v>933</v>
      </c>
      <c r="E14" t="s">
        <v>934</v>
      </c>
      <c r="F14" t="s">
        <v>991</v>
      </c>
      <c r="G14" t="s">
        <v>849</v>
      </c>
      <c r="H14" t="s">
        <v>931</v>
      </c>
      <c r="I14" t="s">
        <v>521</v>
      </c>
      <c r="J14">
        <v>90</v>
      </c>
      <c r="K14" t="s">
        <v>992</v>
      </c>
      <c r="L14" t="s">
        <v>852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 t="s">
        <v>937</v>
      </c>
      <c r="T14" t="s">
        <v>851</v>
      </c>
      <c r="U14" t="s">
        <v>993</v>
      </c>
      <c r="V14" t="s">
        <v>994</v>
      </c>
      <c r="W14" t="s">
        <v>995</v>
      </c>
      <c r="X14">
        <v>45942</v>
      </c>
      <c r="Y14">
        <v>20252040</v>
      </c>
      <c r="Z14" t="s">
        <v>756</v>
      </c>
      <c r="AA14" t="s">
        <v>931</v>
      </c>
      <c r="AB14" s="41">
        <v>2</v>
      </c>
      <c r="AC14" s="41" t="str">
        <f t="shared" si="0"/>
        <v>h</v>
      </c>
      <c r="AD14">
        <f>COUNTIFS(events!$X:$X,"="&amp;game_rosters!$J14,events!$AQ:$AQ,"="&amp;game_rosters!$G14,events!$K:$K,"=Goal")</f>
        <v>0</v>
      </c>
      <c r="AE14">
        <f>COUNTIFS(events!$X:$X,"="&amp;game_rosters!$J14,events!$AQ:$AQ,"="&amp;game_rosters!$G14,events!$K:$K,"=Penalty")</f>
        <v>0</v>
      </c>
      <c r="AF14">
        <f>COUNTIFS(events!$X:$X,"="&amp;game_rosters!$J14,events!$AQ:$AQ,"="&amp;game_rosters!$G14,events!$O:$O,"=AssistPrimary")</f>
        <v>0</v>
      </c>
      <c r="AG14">
        <f>COUNTIFS(events!$X:$X,"="&amp;game_rosters!$J14,events!$AQ:$AQ,"="&amp;game_rosters!$G14,events!$O:$O,"=AssistSecondary")</f>
        <v>0</v>
      </c>
      <c r="AH14">
        <f t="shared" si="1"/>
        <v>0</v>
      </c>
      <c r="AI14">
        <f t="shared" si="2"/>
        <v>0</v>
      </c>
      <c r="AJ14">
        <f t="shared" si="3"/>
        <v>0</v>
      </c>
      <c r="AK14">
        <f t="shared" si="4"/>
        <v>0</v>
      </c>
    </row>
    <row r="15" spans="1:55" x14ac:dyDescent="0.2">
      <c r="B15">
        <v>13469</v>
      </c>
      <c r="C15">
        <v>18991</v>
      </c>
      <c r="D15" t="s">
        <v>934</v>
      </c>
      <c r="E15" t="s">
        <v>933</v>
      </c>
      <c r="F15" t="s">
        <v>996</v>
      </c>
      <c r="G15" t="s">
        <v>854</v>
      </c>
      <c r="H15" t="s">
        <v>521</v>
      </c>
      <c r="I15" t="s">
        <v>931</v>
      </c>
      <c r="J15">
        <v>9</v>
      </c>
      <c r="K15" t="s">
        <v>855</v>
      </c>
      <c r="L15" t="s">
        <v>850</v>
      </c>
      <c r="M15">
        <v>1</v>
      </c>
      <c r="N15">
        <v>0</v>
      </c>
      <c r="O15">
        <v>1</v>
      </c>
      <c r="P15">
        <v>0</v>
      </c>
      <c r="Q15">
        <v>0</v>
      </c>
      <c r="R15">
        <v>0</v>
      </c>
      <c r="S15" t="s">
        <v>851</v>
      </c>
      <c r="T15" t="s">
        <v>937</v>
      </c>
      <c r="U15" t="s">
        <v>997</v>
      </c>
      <c r="V15" t="s">
        <v>856</v>
      </c>
      <c r="W15" t="s">
        <v>857</v>
      </c>
      <c r="X15">
        <v>45942</v>
      </c>
      <c r="Y15">
        <v>20252040</v>
      </c>
      <c r="Z15" t="s">
        <v>756</v>
      </c>
      <c r="AA15" t="s">
        <v>521</v>
      </c>
      <c r="AB15" s="41">
        <v>4</v>
      </c>
      <c r="AC15" s="41" t="str">
        <f t="shared" si="0"/>
        <v>a</v>
      </c>
      <c r="AD15">
        <f>COUNTIFS(events!$X:$X,"="&amp;game_rosters!$J15,events!$AQ:$AQ,"="&amp;game_rosters!$G15,events!$K:$K,"=Goal")</f>
        <v>0</v>
      </c>
      <c r="AE15">
        <f>COUNTIFS(events!$X:$X,"="&amp;game_rosters!$J15,events!$AQ:$AQ,"="&amp;game_rosters!$G15,events!$K:$K,"=Penalty")</f>
        <v>0</v>
      </c>
      <c r="AF15">
        <f>COUNTIFS(events!$X:$X,"="&amp;game_rosters!$J15,events!$AQ:$AQ,"="&amp;game_rosters!$G15,events!$O:$O,"=AssistPrimary")</f>
        <v>0</v>
      </c>
      <c r="AG15">
        <f>COUNTIFS(events!$X:$X,"="&amp;game_rosters!$J15,events!$AQ:$AQ,"="&amp;game_rosters!$G15,events!$O:$O,"=AssistSecondary")</f>
        <v>0</v>
      </c>
      <c r="AH15">
        <f t="shared" si="1"/>
        <v>0</v>
      </c>
      <c r="AI15">
        <f t="shared" si="2"/>
        <v>0</v>
      </c>
      <c r="AJ15">
        <f t="shared" si="3"/>
        <v>0</v>
      </c>
      <c r="AK15">
        <f t="shared" si="4"/>
        <v>-1</v>
      </c>
    </row>
    <row r="16" spans="1:55" x14ac:dyDescent="0.2">
      <c r="B16">
        <v>13470</v>
      </c>
      <c r="C16">
        <v>18991</v>
      </c>
      <c r="D16" t="s">
        <v>934</v>
      </c>
      <c r="E16" t="s">
        <v>933</v>
      </c>
      <c r="F16" t="s">
        <v>998</v>
      </c>
      <c r="G16" t="s">
        <v>854</v>
      </c>
      <c r="H16" t="s">
        <v>521</v>
      </c>
      <c r="I16" t="s">
        <v>931</v>
      </c>
      <c r="J16">
        <v>14</v>
      </c>
      <c r="K16" t="s">
        <v>858</v>
      </c>
      <c r="L16" t="s">
        <v>852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 t="s">
        <v>851</v>
      </c>
      <c r="T16" t="s">
        <v>937</v>
      </c>
      <c r="U16" t="s">
        <v>999</v>
      </c>
      <c r="V16" t="s">
        <v>859</v>
      </c>
      <c r="W16" t="s">
        <v>860</v>
      </c>
      <c r="X16">
        <v>45942</v>
      </c>
      <c r="Y16">
        <v>20252040</v>
      </c>
      <c r="Z16" t="s">
        <v>756</v>
      </c>
      <c r="AA16" t="s">
        <v>521</v>
      </c>
      <c r="AB16" s="41">
        <v>4</v>
      </c>
      <c r="AC16" s="41" t="str">
        <f t="shared" si="0"/>
        <v>a</v>
      </c>
      <c r="AD16">
        <f>COUNTIFS(events!$X:$X,"="&amp;game_rosters!$J16,events!$AQ:$AQ,"="&amp;game_rosters!$G16,events!$K:$K,"=Goal")</f>
        <v>0</v>
      </c>
      <c r="AE16">
        <f>COUNTIFS(events!$X:$X,"="&amp;game_rosters!$J16,events!$AQ:$AQ,"="&amp;game_rosters!$G16,events!$K:$K,"=Penalty")</f>
        <v>0</v>
      </c>
      <c r="AF16">
        <f>COUNTIFS(events!$X:$X,"="&amp;game_rosters!$J16,events!$AQ:$AQ,"="&amp;game_rosters!$G16,events!$O:$O,"=AssistPrimary")</f>
        <v>0</v>
      </c>
      <c r="AG16">
        <f>COUNTIFS(events!$X:$X,"="&amp;game_rosters!$J16,events!$AQ:$AQ,"="&amp;game_rosters!$G16,events!$O:$O,"=AssistSecondary")</f>
        <v>0</v>
      </c>
      <c r="AH16">
        <f t="shared" si="1"/>
        <v>0</v>
      </c>
      <c r="AI16">
        <f t="shared" si="2"/>
        <v>0</v>
      </c>
      <c r="AJ16">
        <f t="shared" si="3"/>
        <v>0</v>
      </c>
      <c r="AK16">
        <f t="shared" si="4"/>
        <v>0</v>
      </c>
    </row>
    <row r="17" spans="2:37" x14ac:dyDescent="0.2">
      <c r="B17">
        <v>13471</v>
      </c>
      <c r="C17">
        <v>18991</v>
      </c>
      <c r="D17" t="s">
        <v>934</v>
      </c>
      <c r="E17" t="s">
        <v>933</v>
      </c>
      <c r="F17" t="s">
        <v>1000</v>
      </c>
      <c r="G17" t="s">
        <v>854</v>
      </c>
      <c r="H17" t="s">
        <v>521</v>
      </c>
      <c r="I17" t="s">
        <v>931</v>
      </c>
      <c r="J17">
        <v>22</v>
      </c>
      <c r="K17" t="s">
        <v>861</v>
      </c>
      <c r="L17" t="s">
        <v>850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 t="s">
        <v>851</v>
      </c>
      <c r="T17" t="s">
        <v>937</v>
      </c>
      <c r="U17" t="s">
        <v>1001</v>
      </c>
      <c r="V17" t="s">
        <v>862</v>
      </c>
      <c r="W17" t="s">
        <v>863</v>
      </c>
      <c r="X17">
        <v>45942</v>
      </c>
      <c r="Y17">
        <v>20252040</v>
      </c>
      <c r="Z17" t="s">
        <v>756</v>
      </c>
      <c r="AA17" t="s">
        <v>521</v>
      </c>
      <c r="AB17" s="41">
        <v>3</v>
      </c>
      <c r="AC17" s="41" t="str">
        <f t="shared" si="0"/>
        <v>a</v>
      </c>
      <c r="AD17">
        <f>COUNTIFS(events!$X:$X,"="&amp;game_rosters!$J17,events!$AQ:$AQ,"="&amp;game_rosters!$G17,events!$K:$K,"=Goal")</f>
        <v>0</v>
      </c>
      <c r="AE17">
        <f>COUNTIFS(events!$X:$X,"="&amp;game_rosters!$J17,events!$AQ:$AQ,"="&amp;game_rosters!$G17,events!$K:$K,"=Penalty")</f>
        <v>0</v>
      </c>
      <c r="AF17">
        <f>COUNTIFS(events!$X:$X,"="&amp;game_rosters!$J17,events!$AQ:$AQ,"="&amp;game_rosters!$G17,events!$O:$O,"=AssistPrimary")</f>
        <v>0</v>
      </c>
      <c r="AG17">
        <f>COUNTIFS(events!$X:$X,"="&amp;game_rosters!$J17,events!$AQ:$AQ,"="&amp;game_rosters!$G17,events!$O:$O,"=AssistSecondary")</f>
        <v>0</v>
      </c>
      <c r="AH17">
        <f t="shared" si="1"/>
        <v>0</v>
      </c>
      <c r="AI17">
        <f>AD17-N17</f>
        <v>0</v>
      </c>
      <c r="AJ17">
        <f t="shared" si="3"/>
        <v>0</v>
      </c>
      <c r="AK17">
        <f t="shared" si="4"/>
        <v>0</v>
      </c>
    </row>
    <row r="18" spans="2:37" x14ac:dyDescent="0.2">
      <c r="B18">
        <v>13472</v>
      </c>
      <c r="C18">
        <v>18991</v>
      </c>
      <c r="D18" t="s">
        <v>934</v>
      </c>
      <c r="E18" t="s">
        <v>933</v>
      </c>
      <c r="F18" t="s">
        <v>1002</v>
      </c>
      <c r="G18" t="s">
        <v>854</v>
      </c>
      <c r="H18" t="s">
        <v>521</v>
      </c>
      <c r="I18" t="s">
        <v>931</v>
      </c>
      <c r="J18">
        <v>24</v>
      </c>
      <c r="K18" t="s">
        <v>1003</v>
      </c>
      <c r="L18" t="s">
        <v>852</v>
      </c>
      <c r="M18">
        <v>1</v>
      </c>
      <c r="N18">
        <v>0</v>
      </c>
      <c r="O18">
        <v>2</v>
      </c>
      <c r="P18">
        <v>0</v>
      </c>
      <c r="Q18">
        <v>0</v>
      </c>
      <c r="R18">
        <v>0</v>
      </c>
      <c r="S18" t="s">
        <v>851</v>
      </c>
      <c r="T18" t="s">
        <v>937</v>
      </c>
      <c r="U18" t="s">
        <v>1004</v>
      </c>
      <c r="V18" t="s">
        <v>1005</v>
      </c>
      <c r="W18" t="s">
        <v>1006</v>
      </c>
      <c r="X18">
        <v>45942</v>
      </c>
      <c r="Y18">
        <v>20252040</v>
      </c>
      <c r="Z18" t="s">
        <v>756</v>
      </c>
      <c r="AA18" t="s">
        <v>521</v>
      </c>
      <c r="AB18" s="41">
        <v>2</v>
      </c>
      <c r="AC18" s="41" t="str">
        <f t="shared" si="0"/>
        <v>a</v>
      </c>
      <c r="AD18">
        <f>COUNTIFS(events!$X:$X,"="&amp;game_rosters!$J18,events!$AQ:$AQ,"="&amp;game_rosters!$G18,events!$K:$K,"=Goal")</f>
        <v>0</v>
      </c>
      <c r="AE18">
        <f>COUNTIFS(events!$X:$X,"="&amp;game_rosters!$J18,events!$AQ:$AQ,"="&amp;game_rosters!$G18,events!$K:$K,"=Penalty")</f>
        <v>0</v>
      </c>
      <c r="AF18">
        <f>COUNTIFS(events!$X:$X,"="&amp;game_rosters!$J18,events!$AQ:$AQ,"="&amp;game_rosters!$G18,events!$O:$O,"=AssistPrimary")</f>
        <v>0</v>
      </c>
      <c r="AG18">
        <f>COUNTIFS(events!$X:$X,"="&amp;game_rosters!$J18,events!$AQ:$AQ,"="&amp;game_rosters!$G18,events!$O:$O,"=AssistSecondary")</f>
        <v>0</v>
      </c>
      <c r="AH18">
        <f t="shared" si="1"/>
        <v>0</v>
      </c>
      <c r="AI18">
        <f t="shared" si="2"/>
        <v>0</v>
      </c>
      <c r="AJ18">
        <f t="shared" si="3"/>
        <v>0</v>
      </c>
      <c r="AK18">
        <f>AH18-O18</f>
        <v>-2</v>
      </c>
    </row>
    <row r="19" spans="2:37" x14ac:dyDescent="0.2">
      <c r="B19">
        <v>13473</v>
      </c>
      <c r="C19">
        <v>18991</v>
      </c>
      <c r="D19" t="s">
        <v>934</v>
      </c>
      <c r="E19" t="s">
        <v>933</v>
      </c>
      <c r="F19" t="s">
        <v>1007</v>
      </c>
      <c r="G19" t="s">
        <v>854</v>
      </c>
      <c r="H19" t="s">
        <v>521</v>
      </c>
      <c r="I19" t="s">
        <v>931</v>
      </c>
      <c r="J19">
        <v>39</v>
      </c>
      <c r="K19" t="s">
        <v>864</v>
      </c>
      <c r="L19" t="s">
        <v>853</v>
      </c>
      <c r="M19">
        <v>1</v>
      </c>
      <c r="N19">
        <v>0</v>
      </c>
      <c r="O19">
        <v>0</v>
      </c>
      <c r="P19">
        <v>1</v>
      </c>
      <c r="Q19">
        <v>0</v>
      </c>
      <c r="R19">
        <v>0</v>
      </c>
      <c r="S19" t="s">
        <v>851</v>
      </c>
      <c r="T19" t="s">
        <v>937</v>
      </c>
      <c r="U19" t="s">
        <v>1008</v>
      </c>
      <c r="V19" t="s">
        <v>865</v>
      </c>
      <c r="W19" t="s">
        <v>866</v>
      </c>
      <c r="X19">
        <v>45942</v>
      </c>
      <c r="Y19">
        <v>20252040</v>
      </c>
      <c r="Z19" t="s">
        <v>756</v>
      </c>
      <c r="AA19" t="s">
        <v>521</v>
      </c>
      <c r="AB19" s="41">
        <v>5</v>
      </c>
      <c r="AC19" s="41" t="str">
        <f t="shared" si="0"/>
        <v>a</v>
      </c>
      <c r="AD19">
        <f>COUNTIFS(events!$X:$X,"="&amp;game_rosters!$J19,events!$AQ:$AQ,"="&amp;game_rosters!$G19,events!$K:$K,"=Goal")</f>
        <v>0</v>
      </c>
      <c r="AE19">
        <f>COUNTIFS(events!$X:$X,"="&amp;game_rosters!$J19,events!$AQ:$AQ,"="&amp;game_rosters!$G19,events!$K:$K,"=Penalty")</f>
        <v>0</v>
      </c>
      <c r="AF19">
        <f>COUNTIFS(events!$X:$X,"="&amp;game_rosters!$J19,events!$AQ:$AQ,"="&amp;game_rosters!$G19,events!$O:$O,"=AssistPrimary")</f>
        <v>0</v>
      </c>
      <c r="AG19">
        <f>COUNTIFS(events!$X:$X,"="&amp;game_rosters!$J19,events!$AQ:$AQ,"="&amp;game_rosters!$G19,events!$O:$O,"=AssistSecondary")</f>
        <v>0</v>
      </c>
      <c r="AH19">
        <f t="shared" si="1"/>
        <v>0</v>
      </c>
      <c r="AI19">
        <f t="shared" si="2"/>
        <v>0</v>
      </c>
      <c r="AJ19">
        <f t="shared" si="3"/>
        <v>0</v>
      </c>
      <c r="AK19">
        <f t="shared" si="4"/>
        <v>0</v>
      </c>
    </row>
    <row r="20" spans="2:37" x14ac:dyDescent="0.2">
      <c r="B20">
        <v>13474</v>
      </c>
      <c r="C20">
        <v>18991</v>
      </c>
      <c r="D20" t="s">
        <v>934</v>
      </c>
      <c r="E20" t="s">
        <v>933</v>
      </c>
      <c r="F20" t="s">
        <v>1009</v>
      </c>
      <c r="G20" t="s">
        <v>854</v>
      </c>
      <c r="H20" t="s">
        <v>521</v>
      </c>
      <c r="I20" t="s">
        <v>931</v>
      </c>
      <c r="J20">
        <v>55</v>
      </c>
      <c r="K20" t="s">
        <v>867</v>
      </c>
      <c r="L20" t="s">
        <v>852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 t="s">
        <v>851</v>
      </c>
      <c r="T20" t="s">
        <v>937</v>
      </c>
      <c r="U20" t="s">
        <v>1010</v>
      </c>
      <c r="V20" t="s">
        <v>868</v>
      </c>
      <c r="W20" t="s">
        <v>869</v>
      </c>
      <c r="X20">
        <v>45942</v>
      </c>
      <c r="Y20">
        <v>20252040</v>
      </c>
      <c r="Z20" t="s">
        <v>756</v>
      </c>
      <c r="AA20" t="s">
        <v>521</v>
      </c>
      <c r="AB20" s="41">
        <v>3</v>
      </c>
      <c r="AC20" s="41" t="str">
        <f t="shared" si="0"/>
        <v>a</v>
      </c>
      <c r="AD20">
        <f>COUNTIFS(events!$X:$X,"="&amp;game_rosters!$J20,events!$AQ:$AQ,"="&amp;game_rosters!$G20,events!$K:$K,"=Goal")</f>
        <v>0</v>
      </c>
      <c r="AE20">
        <f>COUNTIFS(events!$X:$X,"="&amp;game_rosters!$J20,events!$AQ:$AQ,"="&amp;game_rosters!$G20,events!$K:$K,"=Penalty")</f>
        <v>0</v>
      </c>
      <c r="AF20">
        <f>COUNTIFS(events!$X:$X,"="&amp;game_rosters!$J20,events!$AQ:$AQ,"="&amp;game_rosters!$G20,events!$O:$O,"=AssistPrimary")</f>
        <v>0</v>
      </c>
      <c r="AG20">
        <f>COUNTIFS(events!$X:$X,"="&amp;game_rosters!$J20,events!$AQ:$AQ,"="&amp;game_rosters!$G20,events!$O:$O,"=AssistSecondary")</f>
        <v>0</v>
      </c>
      <c r="AH20">
        <f t="shared" si="1"/>
        <v>0</v>
      </c>
      <c r="AI20">
        <f t="shared" si="2"/>
        <v>0</v>
      </c>
      <c r="AJ20">
        <f t="shared" si="3"/>
        <v>0</v>
      </c>
      <c r="AK20">
        <f t="shared" si="4"/>
        <v>0</v>
      </c>
    </row>
    <row r="21" spans="2:37" x14ac:dyDescent="0.2">
      <c r="B21">
        <v>13475</v>
      </c>
      <c r="C21">
        <v>18991</v>
      </c>
      <c r="D21" t="s">
        <v>934</v>
      </c>
      <c r="E21" t="s">
        <v>933</v>
      </c>
      <c r="F21" t="s">
        <v>1011</v>
      </c>
      <c r="G21" t="s">
        <v>854</v>
      </c>
      <c r="H21" t="s">
        <v>521</v>
      </c>
      <c r="I21" t="s">
        <v>931</v>
      </c>
      <c r="J21">
        <v>61</v>
      </c>
      <c r="K21" t="s">
        <v>870</v>
      </c>
      <c r="L21" t="s">
        <v>852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 t="s">
        <v>851</v>
      </c>
      <c r="T21" t="s">
        <v>937</v>
      </c>
      <c r="U21" t="s">
        <v>1012</v>
      </c>
      <c r="V21" t="s">
        <v>871</v>
      </c>
      <c r="W21" t="s">
        <v>872</v>
      </c>
      <c r="X21">
        <v>45942</v>
      </c>
      <c r="Y21">
        <v>20252040</v>
      </c>
      <c r="Z21" t="s">
        <v>756</v>
      </c>
      <c r="AA21" t="s">
        <v>521</v>
      </c>
      <c r="AB21" s="41">
        <v>3</v>
      </c>
      <c r="AC21" s="41" t="str">
        <f t="shared" si="0"/>
        <v>a</v>
      </c>
      <c r="AD21">
        <f>COUNTIFS(events!$X:$X,"="&amp;game_rosters!$J21,events!$AQ:$AQ,"="&amp;game_rosters!$G21,events!$K:$K,"=Goal")</f>
        <v>0</v>
      </c>
      <c r="AE21">
        <f>COUNTIFS(events!$X:$X,"="&amp;game_rosters!$J21,events!$AQ:$AQ,"="&amp;game_rosters!$G21,events!$K:$K,"=Penalty")</f>
        <v>0</v>
      </c>
      <c r="AF21">
        <f>COUNTIFS(events!$X:$X,"="&amp;game_rosters!$J21,events!$AQ:$AQ,"="&amp;game_rosters!$G21,events!$O:$O,"=AssistPrimary")</f>
        <v>0</v>
      </c>
      <c r="AG21">
        <f>COUNTIFS(events!$X:$X,"="&amp;game_rosters!$J21,events!$AQ:$AQ,"="&amp;game_rosters!$G21,events!$O:$O,"=AssistSecondary")</f>
        <v>0</v>
      </c>
      <c r="AH21">
        <f t="shared" si="1"/>
        <v>0</v>
      </c>
      <c r="AI21">
        <f t="shared" si="2"/>
        <v>0</v>
      </c>
      <c r="AJ21">
        <f t="shared" si="3"/>
        <v>0</v>
      </c>
      <c r="AK21">
        <f t="shared" si="4"/>
        <v>0</v>
      </c>
    </row>
    <row r="22" spans="2:37" x14ac:dyDescent="0.2">
      <c r="B22">
        <v>13476</v>
      </c>
      <c r="C22">
        <v>18991</v>
      </c>
      <c r="D22" t="s">
        <v>934</v>
      </c>
      <c r="E22" t="s">
        <v>933</v>
      </c>
      <c r="F22" t="s">
        <v>1013</v>
      </c>
      <c r="G22" t="s">
        <v>854</v>
      </c>
      <c r="H22" t="s">
        <v>521</v>
      </c>
      <c r="I22" t="s">
        <v>931</v>
      </c>
      <c r="J22">
        <v>70</v>
      </c>
      <c r="K22" t="s">
        <v>873</v>
      </c>
      <c r="L22" t="s">
        <v>852</v>
      </c>
      <c r="M22">
        <v>1</v>
      </c>
      <c r="N22">
        <v>3</v>
      </c>
      <c r="O22">
        <v>1</v>
      </c>
      <c r="P22">
        <v>0</v>
      </c>
      <c r="Q22">
        <v>0</v>
      </c>
      <c r="R22">
        <v>0</v>
      </c>
      <c r="S22" t="s">
        <v>851</v>
      </c>
      <c r="T22" t="s">
        <v>937</v>
      </c>
      <c r="U22" t="s">
        <v>1014</v>
      </c>
      <c r="V22" t="s">
        <v>874</v>
      </c>
      <c r="W22" t="s">
        <v>875</v>
      </c>
      <c r="X22">
        <v>45942</v>
      </c>
      <c r="Y22">
        <v>20252040</v>
      </c>
      <c r="Z22" t="s">
        <v>756</v>
      </c>
      <c r="AA22" t="s">
        <v>521</v>
      </c>
      <c r="AB22" s="41">
        <v>6</v>
      </c>
      <c r="AC22" s="41" t="str">
        <f t="shared" si="0"/>
        <v>a</v>
      </c>
      <c r="AD22">
        <f>COUNTIFS(events!$X:$X,"="&amp;game_rosters!$J22,events!$AQ:$AQ,"="&amp;game_rosters!$G22,events!$K:$K,"=Goal")</f>
        <v>0</v>
      </c>
      <c r="AE22">
        <f>COUNTIFS(events!$X:$X,"="&amp;game_rosters!$J22,events!$AQ:$AQ,"="&amp;game_rosters!$G22,events!$K:$K,"=Penalty")</f>
        <v>0</v>
      </c>
      <c r="AF22">
        <f>COUNTIFS(events!$X:$X,"="&amp;game_rosters!$J22,events!$AQ:$AQ,"="&amp;game_rosters!$G22,events!$O:$O,"=AssistPrimary")</f>
        <v>0</v>
      </c>
      <c r="AG22">
        <f>COUNTIFS(events!$X:$X,"="&amp;game_rosters!$J22,events!$AQ:$AQ,"="&amp;game_rosters!$G22,events!$O:$O,"=AssistSecondary")</f>
        <v>0</v>
      </c>
      <c r="AH22">
        <f t="shared" si="1"/>
        <v>0</v>
      </c>
      <c r="AI22">
        <f t="shared" si="2"/>
        <v>-3</v>
      </c>
      <c r="AJ22">
        <f t="shared" si="3"/>
        <v>0</v>
      </c>
      <c r="AK22">
        <f t="shared" si="4"/>
        <v>-1</v>
      </c>
    </row>
    <row r="23" spans="2:37" x14ac:dyDescent="0.2">
      <c r="B23">
        <v>13477</v>
      </c>
      <c r="C23">
        <v>18991</v>
      </c>
      <c r="D23" t="s">
        <v>934</v>
      </c>
      <c r="E23" t="s">
        <v>933</v>
      </c>
      <c r="F23" t="s">
        <v>1015</v>
      </c>
      <c r="G23" t="s">
        <v>854</v>
      </c>
      <c r="H23" t="s">
        <v>521</v>
      </c>
      <c r="I23" t="s">
        <v>931</v>
      </c>
      <c r="J23">
        <v>75</v>
      </c>
      <c r="K23" t="s">
        <v>876</v>
      </c>
      <c r="L23" t="s">
        <v>852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 t="s">
        <v>851</v>
      </c>
      <c r="T23" t="s">
        <v>937</v>
      </c>
      <c r="U23" t="s">
        <v>1016</v>
      </c>
      <c r="V23" t="s">
        <v>877</v>
      </c>
      <c r="W23" t="s">
        <v>878</v>
      </c>
      <c r="X23">
        <v>45942</v>
      </c>
      <c r="Y23">
        <v>20252040</v>
      </c>
      <c r="Z23" t="s">
        <v>756</v>
      </c>
      <c r="AA23" t="s">
        <v>521</v>
      </c>
      <c r="AB23" s="41">
        <v>2</v>
      </c>
      <c r="AC23" s="41" t="str">
        <f t="shared" si="0"/>
        <v>a</v>
      </c>
      <c r="AD23">
        <f>COUNTIFS(events!$X:$X,"="&amp;game_rosters!$J23,events!$AQ:$AQ,"="&amp;game_rosters!$G23,events!$K:$K,"=Goal")</f>
        <v>0</v>
      </c>
      <c r="AE23">
        <f>COUNTIFS(events!$X:$X,"="&amp;game_rosters!$J23,events!$AQ:$AQ,"="&amp;game_rosters!$G23,events!$K:$K,"=Penalty")</f>
        <v>0</v>
      </c>
      <c r="AF23">
        <f>COUNTIFS(events!$X:$X,"="&amp;game_rosters!$J23,events!$AQ:$AQ,"="&amp;game_rosters!$G23,events!$O:$O,"=AssistPrimary")</f>
        <v>0</v>
      </c>
      <c r="AG23">
        <f>COUNTIFS(events!$X:$X,"="&amp;game_rosters!$J23,events!$AQ:$AQ,"="&amp;game_rosters!$G23,events!$O:$O,"=AssistSecondary")</f>
        <v>0</v>
      </c>
      <c r="AH23">
        <f t="shared" si="1"/>
        <v>0</v>
      </c>
      <c r="AI23">
        <f t="shared" si="2"/>
        <v>0</v>
      </c>
      <c r="AJ23">
        <f t="shared" si="3"/>
        <v>0</v>
      </c>
      <c r="AK23">
        <f t="shared" si="4"/>
        <v>0</v>
      </c>
    </row>
    <row r="24" spans="2:37" x14ac:dyDescent="0.2">
      <c r="B24">
        <v>13478</v>
      </c>
      <c r="C24">
        <v>18991</v>
      </c>
      <c r="D24" t="s">
        <v>934</v>
      </c>
      <c r="E24" t="s">
        <v>933</v>
      </c>
      <c r="F24" t="s">
        <v>1017</v>
      </c>
      <c r="G24" t="s">
        <v>854</v>
      </c>
      <c r="H24" t="s">
        <v>521</v>
      </c>
      <c r="I24" t="s">
        <v>931</v>
      </c>
      <c r="J24">
        <v>84</v>
      </c>
      <c r="K24" t="s">
        <v>879</v>
      </c>
      <c r="L24" t="s">
        <v>850</v>
      </c>
      <c r="M24">
        <v>1</v>
      </c>
      <c r="N24">
        <v>0</v>
      </c>
      <c r="O24">
        <v>1</v>
      </c>
      <c r="P24">
        <v>0</v>
      </c>
      <c r="Q24">
        <v>0</v>
      </c>
      <c r="R24">
        <v>0</v>
      </c>
      <c r="S24" t="s">
        <v>851</v>
      </c>
      <c r="T24" t="s">
        <v>937</v>
      </c>
      <c r="U24" t="s">
        <v>1018</v>
      </c>
      <c r="V24" t="s">
        <v>880</v>
      </c>
      <c r="W24" t="s">
        <v>881</v>
      </c>
      <c r="X24">
        <v>45942</v>
      </c>
      <c r="Y24">
        <v>20252040</v>
      </c>
      <c r="Z24" t="s">
        <v>756</v>
      </c>
      <c r="AA24" t="s">
        <v>521</v>
      </c>
      <c r="AB24" s="41">
        <v>5</v>
      </c>
      <c r="AC24" s="41" t="str">
        <f t="shared" si="0"/>
        <v>a</v>
      </c>
      <c r="AD24">
        <f>COUNTIFS(events!$X:$X,"="&amp;game_rosters!$J24,events!$AQ:$AQ,"="&amp;game_rosters!$G24,events!$K:$K,"=Goal")</f>
        <v>0</v>
      </c>
      <c r="AE24">
        <f>COUNTIFS(events!$X:$X,"="&amp;game_rosters!$J24,events!$AQ:$AQ,"="&amp;game_rosters!$G24,events!$K:$K,"=Penalty")</f>
        <v>0</v>
      </c>
      <c r="AF24">
        <f>COUNTIFS(events!$X:$X,"="&amp;game_rosters!$J24,events!$AQ:$AQ,"="&amp;game_rosters!$G24,events!$O:$O,"=AssistPrimary")</f>
        <v>0</v>
      </c>
      <c r="AG24">
        <f>COUNTIFS(events!$X:$X,"="&amp;game_rosters!$J24,events!$AQ:$AQ,"="&amp;game_rosters!$G24,events!$O:$O,"=AssistSecondary")</f>
        <v>0</v>
      </c>
      <c r="AH24">
        <f t="shared" si="1"/>
        <v>0</v>
      </c>
      <c r="AI24">
        <f t="shared" si="2"/>
        <v>0</v>
      </c>
      <c r="AJ24">
        <f t="shared" si="3"/>
        <v>0</v>
      </c>
      <c r="AK24">
        <f t="shared" si="4"/>
        <v>-1</v>
      </c>
    </row>
    <row r="25" spans="2:37" x14ac:dyDescent="0.2">
      <c r="B25">
        <v>13479</v>
      </c>
      <c r="C25">
        <v>18991</v>
      </c>
      <c r="D25" t="s">
        <v>934</v>
      </c>
      <c r="E25" t="s">
        <v>933</v>
      </c>
      <c r="F25" t="s">
        <v>1019</v>
      </c>
      <c r="G25" t="s">
        <v>854</v>
      </c>
      <c r="H25" t="s">
        <v>521</v>
      </c>
      <c r="I25" t="s">
        <v>931</v>
      </c>
      <c r="J25">
        <v>87</v>
      </c>
      <c r="K25" t="s">
        <v>1020</v>
      </c>
      <c r="L25" t="s">
        <v>850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 t="s">
        <v>851</v>
      </c>
      <c r="T25" t="s">
        <v>937</v>
      </c>
      <c r="U25" t="s">
        <v>1021</v>
      </c>
      <c r="V25" t="s">
        <v>1022</v>
      </c>
      <c r="W25" t="s">
        <v>1023</v>
      </c>
      <c r="X25">
        <v>45942</v>
      </c>
      <c r="Y25">
        <v>20252040</v>
      </c>
      <c r="Z25" t="s">
        <v>756</v>
      </c>
      <c r="AA25" t="s">
        <v>521</v>
      </c>
      <c r="AB25" s="41">
        <v>5</v>
      </c>
      <c r="AC25" s="41" t="str">
        <f t="shared" si="0"/>
        <v>a</v>
      </c>
      <c r="AD25">
        <f>COUNTIFS(events!$X:$X,"="&amp;game_rosters!$J25,events!$AQ:$AQ,"="&amp;game_rosters!$G25,events!$K:$K,"=Goal")</f>
        <v>0</v>
      </c>
      <c r="AE25">
        <f>COUNTIFS(events!$X:$X,"="&amp;game_rosters!$J25,events!$AQ:$AQ,"="&amp;game_rosters!$G25,events!$K:$K,"=Penalty")</f>
        <v>0</v>
      </c>
      <c r="AF25">
        <f>COUNTIFS(events!$X:$X,"="&amp;game_rosters!$J25,events!$AQ:$AQ,"="&amp;game_rosters!$G25,events!$O:$O,"=AssistPrimary")</f>
        <v>0</v>
      </c>
      <c r="AG25">
        <f>COUNTIFS(events!$X:$X,"="&amp;game_rosters!$J25,events!$AQ:$AQ,"="&amp;game_rosters!$G25,events!$O:$O,"=AssistSecondary")</f>
        <v>0</v>
      </c>
      <c r="AH25">
        <f t="shared" si="1"/>
        <v>0</v>
      </c>
      <c r="AI25">
        <f t="shared" si="2"/>
        <v>-1</v>
      </c>
      <c r="AJ25">
        <f t="shared" si="3"/>
        <v>0</v>
      </c>
      <c r="AK25">
        <f t="shared" si="4"/>
        <v>0</v>
      </c>
    </row>
    <row r="26" spans="2:37" x14ac:dyDescent="0.2">
      <c r="B26">
        <v>13480</v>
      </c>
      <c r="C26">
        <v>18991</v>
      </c>
      <c r="D26" t="s">
        <v>934</v>
      </c>
      <c r="E26" t="s">
        <v>933</v>
      </c>
      <c r="F26" t="s">
        <v>1024</v>
      </c>
      <c r="G26" t="s">
        <v>854</v>
      </c>
      <c r="H26" t="s">
        <v>521</v>
      </c>
      <c r="I26" t="s">
        <v>931</v>
      </c>
      <c r="J26">
        <v>91</v>
      </c>
      <c r="K26" t="s">
        <v>882</v>
      </c>
      <c r="L26" t="s">
        <v>852</v>
      </c>
      <c r="M26">
        <v>1</v>
      </c>
      <c r="N26">
        <v>1</v>
      </c>
      <c r="O26">
        <v>1</v>
      </c>
      <c r="P26">
        <v>0</v>
      </c>
      <c r="Q26">
        <v>0</v>
      </c>
      <c r="R26">
        <v>0</v>
      </c>
      <c r="S26" t="s">
        <v>851</v>
      </c>
      <c r="T26" t="s">
        <v>937</v>
      </c>
      <c r="U26" t="s">
        <v>1025</v>
      </c>
      <c r="V26" t="s">
        <v>883</v>
      </c>
      <c r="W26" t="s">
        <v>884</v>
      </c>
      <c r="X26">
        <v>45942</v>
      </c>
      <c r="Y26">
        <v>20252040</v>
      </c>
      <c r="Z26" t="s">
        <v>756</v>
      </c>
      <c r="AA26" t="s">
        <v>521</v>
      </c>
      <c r="AB26" s="41">
        <v>4</v>
      </c>
      <c r="AC26" s="41" t="str">
        <f t="shared" si="0"/>
        <v>a</v>
      </c>
      <c r="AD26">
        <f>COUNTIFS(events!$X:$X,"="&amp;game_rosters!$J26,events!$AQ:$AQ,"="&amp;game_rosters!$G26,events!$K:$K,"=Goal")</f>
        <v>0</v>
      </c>
      <c r="AE26">
        <f>COUNTIFS(events!$X:$X,"="&amp;game_rosters!$J26,events!$AQ:$AQ,"="&amp;game_rosters!$G26,events!$K:$K,"=Penalty")</f>
        <v>0</v>
      </c>
      <c r="AF26">
        <f>COUNTIFS(events!$X:$X,"="&amp;game_rosters!$J26,events!$AQ:$AQ,"="&amp;game_rosters!$G26,events!$O:$O,"=AssistPrimary")</f>
        <v>0</v>
      </c>
      <c r="AG26">
        <f>COUNTIFS(events!$X:$X,"="&amp;game_rosters!$J26,events!$AQ:$AQ,"="&amp;game_rosters!$G26,events!$O:$O,"=AssistSecondary")</f>
        <v>0</v>
      </c>
      <c r="AH26">
        <f t="shared" si="1"/>
        <v>0</v>
      </c>
      <c r="AI26">
        <f t="shared" si="2"/>
        <v>-1</v>
      </c>
      <c r="AJ26">
        <f t="shared" si="3"/>
        <v>0</v>
      </c>
      <c r="AK26">
        <f t="shared" si="4"/>
        <v>-1</v>
      </c>
    </row>
    <row r="27" spans="2:37" x14ac:dyDescent="0.2">
      <c r="B27">
        <v>13481</v>
      </c>
      <c r="C27">
        <v>18991</v>
      </c>
      <c r="D27" t="s">
        <v>934</v>
      </c>
      <c r="E27" t="s">
        <v>933</v>
      </c>
      <c r="F27" t="s">
        <v>1026</v>
      </c>
      <c r="G27" t="s">
        <v>854</v>
      </c>
      <c r="H27" t="s">
        <v>521</v>
      </c>
      <c r="I27" t="s">
        <v>931</v>
      </c>
      <c r="J27">
        <v>93</v>
      </c>
      <c r="K27" t="s">
        <v>885</v>
      </c>
      <c r="L27" t="s">
        <v>850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 t="s">
        <v>851</v>
      </c>
      <c r="T27" t="s">
        <v>937</v>
      </c>
      <c r="U27" t="s">
        <v>1027</v>
      </c>
      <c r="V27" t="s">
        <v>886</v>
      </c>
      <c r="W27" t="s">
        <v>887</v>
      </c>
      <c r="X27">
        <v>45942</v>
      </c>
      <c r="Y27">
        <v>20252040</v>
      </c>
      <c r="Z27" t="s">
        <v>756</v>
      </c>
      <c r="AA27" t="s">
        <v>521</v>
      </c>
      <c r="AB27" s="41">
        <v>3</v>
      </c>
      <c r="AC27" s="41" t="str">
        <f t="shared" si="0"/>
        <v>a</v>
      </c>
      <c r="AD27">
        <f>COUNTIFS(events!$X:$X,"="&amp;game_rosters!$J27,events!$AQ:$AQ,"="&amp;game_rosters!$G27,events!$K:$K,"=Goal")</f>
        <v>0</v>
      </c>
      <c r="AE27">
        <f>COUNTIFS(events!$X:$X,"="&amp;game_rosters!$J27,events!$AQ:$AQ,"="&amp;game_rosters!$G27,events!$K:$K,"=Penalty")</f>
        <v>0</v>
      </c>
      <c r="AF27">
        <f>COUNTIFS(events!$X:$X,"="&amp;game_rosters!$J27,events!$AQ:$AQ,"="&amp;game_rosters!$G27,events!$O:$O,"=AssistPrimary")</f>
        <v>0</v>
      </c>
      <c r="AG27">
        <f>COUNTIFS(events!$X:$X,"="&amp;game_rosters!$J27,events!$AQ:$AQ,"="&amp;game_rosters!$G27,events!$O:$O,"=AssistSecondary")</f>
        <v>0</v>
      </c>
      <c r="AH27">
        <f t="shared" si="1"/>
        <v>0</v>
      </c>
      <c r="AI27">
        <f t="shared" si="2"/>
        <v>0</v>
      </c>
      <c r="AJ27">
        <f t="shared" si="3"/>
        <v>0</v>
      </c>
      <c r="AK27">
        <f t="shared" si="4"/>
        <v>0</v>
      </c>
    </row>
    <row r="28" spans="2:37" x14ac:dyDescent="0.2">
      <c r="AC28" s="41" t="str">
        <f t="shared" si="0"/>
        <v/>
      </c>
    </row>
    <row r="29" spans="2:37" x14ac:dyDescent="0.2">
      <c r="AC29" s="41" t="str">
        <f t="shared" si="0"/>
        <v/>
      </c>
    </row>
    <row r="43" spans="3:4" x14ac:dyDescent="0.2">
      <c r="C43" t="s">
        <v>900</v>
      </c>
      <c r="D43" t="s">
        <v>901</v>
      </c>
    </row>
    <row r="44" spans="3:4" x14ac:dyDescent="0.2">
      <c r="C44" cm="1">
        <f t="array" ref="C44:C55">_xlfn._xlws.FILTER(J:J,G:G="home")</f>
        <v>1</v>
      </c>
      <c r="D44" cm="1">
        <f t="array" ref="D44:D56">_xlfn._xlws.FILTER(J:J,G:G="away")</f>
        <v>9</v>
      </c>
    </row>
    <row r="45" spans="3:4" x14ac:dyDescent="0.2">
      <c r="C45">
        <v>10</v>
      </c>
      <c r="D45">
        <v>14</v>
      </c>
    </row>
    <row r="46" spans="3:4" x14ac:dyDescent="0.2">
      <c r="C46">
        <v>16</v>
      </c>
      <c r="D46">
        <v>22</v>
      </c>
    </row>
    <row r="47" spans="3:4" x14ac:dyDescent="0.2">
      <c r="C47">
        <v>19</v>
      </c>
      <c r="D47">
        <v>24</v>
      </c>
    </row>
    <row r="48" spans="3:4" x14ac:dyDescent="0.2">
      <c r="C48">
        <v>21</v>
      </c>
      <c r="D48">
        <v>39</v>
      </c>
    </row>
    <row r="49" spans="3:4" x14ac:dyDescent="0.2">
      <c r="C49">
        <v>37</v>
      </c>
      <c r="D49">
        <v>55</v>
      </c>
    </row>
    <row r="50" spans="3:4" x14ac:dyDescent="0.2">
      <c r="C50">
        <v>41</v>
      </c>
      <c r="D50">
        <v>61</v>
      </c>
    </row>
    <row r="51" spans="3:4" x14ac:dyDescent="0.2">
      <c r="C51">
        <v>57</v>
      </c>
      <c r="D51">
        <v>70</v>
      </c>
    </row>
    <row r="52" spans="3:4" x14ac:dyDescent="0.2">
      <c r="C52">
        <v>69</v>
      </c>
      <c r="D52">
        <v>75</v>
      </c>
    </row>
    <row r="53" spans="3:4" x14ac:dyDescent="0.2">
      <c r="C53">
        <v>71</v>
      </c>
      <c r="D53">
        <v>84</v>
      </c>
    </row>
    <row r="54" spans="3:4" x14ac:dyDescent="0.2">
      <c r="C54">
        <v>73</v>
      </c>
      <c r="D54">
        <v>87</v>
      </c>
    </row>
    <row r="55" spans="3:4" x14ac:dyDescent="0.2">
      <c r="C55">
        <v>90</v>
      </c>
      <c r="D55">
        <v>91</v>
      </c>
    </row>
    <row r="56" spans="3:4" x14ac:dyDescent="0.2">
      <c r="D56">
        <v>93</v>
      </c>
    </row>
  </sheetData>
  <conditionalFormatting sqref="C44:D57">
    <cfRule type="duplicateValues" dxfId="2" priority="1"/>
  </conditionalFormatting>
  <conditionalFormatting sqref="AI1:AK1048576"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59</vt:i4>
      </vt:variant>
    </vt:vector>
  </HeadingPairs>
  <TitlesOfParts>
    <vt:vector size="66" baseType="lpstr">
      <vt:lpstr>examples</vt:lpstr>
      <vt:lpstr>Sheet1</vt:lpstr>
      <vt:lpstr>Rules</vt:lpstr>
      <vt:lpstr>Lists</vt:lpstr>
      <vt:lpstr>events</vt:lpstr>
      <vt:lpstr>shifts</vt:lpstr>
      <vt:lpstr>game_rosters</vt:lpstr>
      <vt:lpstr>DEfensive</vt:lpstr>
      <vt:lpstr>EventType</vt:lpstr>
      <vt:lpstr>Faceoff</vt:lpstr>
      <vt:lpstr>Goal</vt:lpstr>
      <vt:lpstr>Goal_PenaltyShot</vt:lpstr>
      <vt:lpstr>Goal_Scored</vt:lpstr>
      <vt:lpstr>Goal_Shootout</vt:lpstr>
      <vt:lpstr>LoosePuck</vt:lpstr>
      <vt:lpstr>Offensive</vt:lpstr>
      <vt:lpstr>Pass</vt:lpstr>
      <vt:lpstr>Pass_Completed</vt:lpstr>
      <vt:lpstr>Pass_Deflected</vt:lpstr>
      <vt:lpstr>Pass_Intercepted</vt:lpstr>
      <vt:lpstr>Pass_Missed</vt:lpstr>
      <vt:lpstr>Penalty</vt:lpstr>
      <vt:lpstr>Penalty_Major</vt:lpstr>
      <vt:lpstr>Penalty_Minor</vt:lpstr>
      <vt:lpstr>Penalty_Offsetting</vt:lpstr>
      <vt:lpstr>PenaltyShot_Missed</vt:lpstr>
      <vt:lpstr>PenaltyShot_OnNet</vt:lpstr>
      <vt:lpstr>PenaltyShot_Saved</vt:lpstr>
      <vt:lpstr>PenaltyShot_Shootout</vt:lpstr>
      <vt:lpstr>Play</vt:lpstr>
      <vt:lpstr>Play_Defensive</vt:lpstr>
      <vt:lpstr>Play_Offensive</vt:lpstr>
      <vt:lpstr>Possession</vt:lpstr>
      <vt:lpstr>Rebound</vt:lpstr>
      <vt:lpstr>Save</vt:lpstr>
      <vt:lpstr>Save_Freeze</vt:lpstr>
      <vt:lpstr>Save_Played</vt:lpstr>
      <vt:lpstr>Save_Rebound</vt:lpstr>
      <vt:lpstr>Shootout_Missed</vt:lpstr>
      <vt:lpstr>Shootout_OnNet</vt:lpstr>
      <vt:lpstr>Shootout_Saved</vt:lpstr>
      <vt:lpstr>Shot</vt:lpstr>
      <vt:lpstr>Shot_Blocked</vt:lpstr>
      <vt:lpstr>Shot_BlockedSameTeam</vt:lpstr>
      <vt:lpstr>Shot_Deflected</vt:lpstr>
      <vt:lpstr>Shot_DeflectedGoal</vt:lpstr>
      <vt:lpstr>Shot_DeflectedOnNetSaved</vt:lpstr>
      <vt:lpstr>Shot_Missed</vt:lpstr>
      <vt:lpstr>Shot_MissedPost</vt:lpstr>
      <vt:lpstr>Shot_OnNetGoal</vt:lpstr>
      <vt:lpstr>Shot_OnNetSaved</vt:lpstr>
      <vt:lpstr>Shot_TippedGoal</vt:lpstr>
      <vt:lpstr>Shot_TippedOnNetSaved</vt:lpstr>
      <vt:lpstr>Stoppage</vt:lpstr>
      <vt:lpstr>Stoppage_Other</vt:lpstr>
      <vt:lpstr>Stoppage_Period</vt:lpstr>
      <vt:lpstr>Stoppage_Play</vt:lpstr>
      <vt:lpstr>Turnover</vt:lpstr>
      <vt:lpstr>Turnover_Giveaway</vt:lpstr>
      <vt:lpstr>Turnover_Takeaway</vt:lpstr>
      <vt:lpstr>Zone_Entry</vt:lpstr>
      <vt:lpstr>Zone_Entry_Exit</vt:lpstr>
      <vt:lpstr>Zone_EntryFailed</vt:lpstr>
      <vt:lpstr>Zone_Exit</vt:lpstr>
      <vt:lpstr>Zone_ExitFailed</vt:lpstr>
      <vt:lpstr>Zone_Keepin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Ronnie Pinnell</dc:creator>
  <cp:lastModifiedBy>Ronnie Pinnell</cp:lastModifiedBy>
  <dcterms:created xsi:type="dcterms:W3CDTF">2025-08-29T17:51:06Z</dcterms:created>
  <dcterms:modified xsi:type="dcterms:W3CDTF">2025-12-19T04:54:54Z</dcterms:modified>
</cp:coreProperties>
</file>